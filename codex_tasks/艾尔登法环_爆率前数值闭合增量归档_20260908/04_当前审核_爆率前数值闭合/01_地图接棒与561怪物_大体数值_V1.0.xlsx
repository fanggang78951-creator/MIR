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f1f9bb3e744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阅读入口" sheetId="1" r:id="Ra77c1c3f2581498f"/>
    <x:sheet xmlns:r="http://schemas.openxmlformats.org/officeDocument/2006/relationships" name="01_参数" sheetId="2" r:id="Rbfeb6695f89f45d4"/>
    <x:sheet xmlns:r="http://schemas.openxmlformats.org/officeDocument/2006/relationships" name="02_人物原始合计" sheetId="3" r:id="R3e7f25607c144c8d"/>
    <x:sheet xmlns:r="http://schemas.openxmlformats.org/officeDocument/2006/relationships" name="03_人物面板" sheetId="4" r:id="R85b4e5dacd24415d"/>
    <x:sheet xmlns:r="http://schemas.openxmlformats.org/officeDocument/2006/relationships" name="04_地图组接棒" sheetId="5" r:id="R5baa780f30364f1b"/>
    <x:sheet xmlns:r="http://schemas.openxmlformats.org/officeDocument/2006/relationships" name="05_561怪物属性" sheetId="6" r:id="Ree62da9caf51457e"/>
    <x:sheet xmlns:r="http://schemas.openxmlformats.org/officeDocument/2006/relationships" name="06_171地图要求" sheetId="7" r:id="R5e336fc49a714c28"/>
    <x:sheet xmlns:r="http://schemas.openxmlformats.org/officeDocument/2006/relationships" name="07_守关粗校验" sheetId="8" r:id="Rccd0076b23c94b51"/>
    <x:sheet xmlns:r="http://schemas.openxmlformats.org/officeDocument/2006/relationships" name="08_逐落点核算" sheetId="9" r:id="R3d0b252e64734921"/>
    <x:sheet xmlns:r="http://schemas.openxmlformats.org/officeDocument/2006/relationships" name="09_结构核验" sheetId="10" r:id="R8edb2359e1914295"/>
    <x:sheet xmlns:r="http://schemas.openxmlformats.org/officeDocument/2006/relationships" name="10_状态与偏差" sheetId="11" r:id="R7cf35c2c300541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#,##0"/>
    <x:numFmt numFmtId="202" formatCode="0.00"/>
    <x:numFmt numFmtId="203" formatCode="0.0"/>
  </x:numFmts>
  <x:fonts count="5">
    <x:font>
      <x:sz val="11"/>
      <x:name val="Carlito"/>
    </x:font>
    <x:font>
      <x:b/>
      <x:sz val="15"/>
      <x:color rgb="FFFFFFFF"/>
      <x:name val="Carlito"/>
    </x:font>
    <x:font>
      <x:sz val="10"/>
      <x:color rgb="FF41536B"/>
      <x:name val="Carlito"/>
    </x:font>
    <x:font>
      <x:b/>
      <x:sz val="10"/>
      <x:color rgb="FFFFFFFF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6"/>
      </x:patternFill>
    </x:fill>
    <x:fill>
      <x:patternFill patternType="solid">
        <x:fgColor rgb="FF2E6075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a25ef8d6694b7e" /><Relationship Type="http://schemas.openxmlformats.org/officeDocument/2006/relationships/theme" Target="/xl/theme/theme1.xml" Id="Rad7fae3d898e4716" /><Relationship Type="http://schemas.openxmlformats.org/officeDocument/2006/relationships/sharedStrings" Target="/xl/sharedStrings.xml" Id="R11c80384d8e74027" /><Relationship Type="http://schemas.openxmlformats.org/officeDocument/2006/relationships/worksheet" Target="/xl/worksheets/sheet1.xml" Id="Ra77c1c3f2581498f" /><Relationship Type="http://schemas.openxmlformats.org/officeDocument/2006/relationships/worksheet" Target="/xl/worksheets/sheet2.xml" Id="Rbfeb6695f89f45d4" /><Relationship Type="http://schemas.openxmlformats.org/officeDocument/2006/relationships/worksheet" Target="/xl/worksheets/sheet3.xml" Id="R3e7f25607c144c8d" /><Relationship Type="http://schemas.openxmlformats.org/officeDocument/2006/relationships/worksheet" Target="/xl/worksheets/sheet4.xml" Id="R85b4e5dacd24415d" /><Relationship Type="http://schemas.openxmlformats.org/officeDocument/2006/relationships/worksheet" Target="/xl/worksheets/sheet5.xml" Id="R5baa780f30364f1b" /><Relationship Type="http://schemas.openxmlformats.org/officeDocument/2006/relationships/worksheet" Target="/xl/worksheets/sheet6.xml" Id="Ree62da9caf51457e" /><Relationship Type="http://schemas.openxmlformats.org/officeDocument/2006/relationships/worksheet" Target="/xl/worksheets/sheet7.xml" Id="R5e336fc49a714c28" /><Relationship Type="http://schemas.openxmlformats.org/officeDocument/2006/relationships/worksheet" Target="/xl/worksheets/sheet8.xml" Id="Rccd0076b23c94b51" /><Relationship Type="http://schemas.openxmlformats.org/officeDocument/2006/relationships/worksheet" Target="/xl/worksheets/sheet9.xml" Id="R3d0b252e64734921" /><Relationship Type="http://schemas.openxmlformats.org/officeDocument/2006/relationships/worksheet" Target="/xl/worksheets/sheet10.xml" Id="R8edb2359e1914295" /><Relationship Type="http://schemas.openxmlformats.org/officeDocument/2006/relationships/worksheet" Target="/xl/worksheets/sheet11.xml" Id="R7cf35c2c300541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76" hidden="0" customWidth="1"/>
  </x:cols>
  <x:sheetData>
    <x:row r="1" ht="32" customHeight="1">
      <x:c r="A1" s="3" t="str">
        <x:v>十大陆爆率前大体数值 · V1.0</x:v>
      </x:c>
      <x:c r="B1" s="3"/>
      <x:c r="C1" s="3"/>
      <x:c r="D1" s="3"/>
    </x:row>
    <x:row r="2" ht="34" customHeight="1">
      <x:c r="A2" s="8" t="str">
        <x:v>继承已批准装备与BOSS来源修订；采用用户最新2/1.3与普通专属接棒规则。明确记录衔接偏差，不以通过检查数代替玩法验收。</x:v>
      </x:c>
      <x:c r="B2" s="8"/>
      <x:c r="C2" s="8"/>
      <x:c r="D2" s="8"/>
    </x:row>
    <x:row r="4" ht="30" customHeight="1">
      <x:c r="A4" s="15" t="str">
        <x:v>类别</x:v>
      </x:c>
      <x:c r="B4" s="15" t="str">
        <x:v>项目</x:v>
      </x:c>
      <x:c r="C4" s="15" t="str">
        <x:v>本轮值</x:v>
      </x:c>
      <x:c r="D4" s="15" t="str">
        <x:v>解释</x:v>
      </x:c>
    </x:row>
    <x:row r="5" ht="24" customHeight="1">
      <x:c r="A5" s="22" t="str">
        <x:v>口径</x:v>
      </x:c>
      <x:c r="B5" s="22" t="str">
        <x:v>技能总体效率</x:v>
      </x:c>
      <x:c r="C5" s="22" t="str">
        <x:v>2倍</x:v>
      </x:c>
      <x:c r="D5" s="22" t="str">
        <x:v>含现有技能/群攻的粗略整体效率；不另叠旧技能模拟倍率</x:v>
      </x:c>
    </x:row>
    <x:row r="6" ht="24" customHeight="1">
      <x:c r="A6" s="22" t="str">
        <x:v>口径</x:v>
      </x:c>
      <x:c r="B6" s="22" t="str">
        <x:v>吸血收益</x:v>
      </x:c>
      <x:c r="C6" s="22" t="str">
        <x:v>1.3倍</x:v>
      </x:c>
      <x:c r="D6" s="22" t="str">
        <x:v>只放大可吸血的常规伤害；固定回血不乘1.3；不按技能2倍回血</x:v>
      </x:c>
    </x:row>
    <x:row r="7" ht="24" customHeight="1">
      <x:c r="A7" s="22" t="str">
        <x:v>口径</x:v>
      </x:c>
      <x:c r="B7" s="22" t="str">
        <x:v>普通专属</x:v>
      </x:c>
      <x:c r="C7" s="22" t="str">
        <x:v>3/5或4/6种</x:v>
      </x:c>
      <x:c r="D7" s="22" t="str">
        <x:v>50%-70%按普通专属种类；双戒/双腕需另有实物；不是图鉴比例</x:v>
      </x:c>
    </x:row>
    <x:row r="8" ht="24" customHeight="1">
      <x:c r="A8" s="22" t="str">
        <x:v>覆盖</x:v>
      </x:c>
      <x:c r="B8" s="22" t="str">
        <x:v>地图组</x:v>
      </x:c>
      <x:c r="C8" s="22" t="n">
        <x:v>46</x:v>
      </x:c>
      <x:c r="D8" s="22" t="str">
        <x:v>36条组间衔接；10个末组进入守关检查</x:v>
      </x:c>
    </x:row>
    <x:row r="9" ht="24" customHeight="1">
      <x:c r="A9" s="22" t="str">
        <x:v>覆盖</x:v>
      </x:c>
      <x:c r="B9" s="22" t="str">
        <x:v>怪物</x:v>
      </x:c>
      <x:c r="C9" s="22" t="n">
        <x:v>561</x:v>
      </x:c>
      <x:c r="D9" s="22" t="str">
        <x:v>92地图BOSS、10守关BOSS；不把二者混为一类</x:v>
      </x:c>
    </x:row>
    <x:row r="10" ht="24" customHeight="1">
      <x:c r="A10" s="22" t="str">
        <x:v>覆盖</x:v>
      </x:c>
      <x:c r="B10" s="22" t="str">
        <x:v>人物状态</x:v>
      </x:c>
      <x:c r="C10" s="22" t="n">
        <x:v>336</x:v>
      </x:c>
      <x:c r="D10" s="22" t="str">
        <x:v>实际换装、普通60%隔离、BOSS快线、守关准备分开</x:v>
      </x:c>
    </x:row>
    <x:row r="11" ht="24" customHeight="1">
      <x:c r="A11" s="22" t="str">
        <x:v>覆盖</x:v>
      </x:c>
      <x:c r="B11" s="22" t="str">
        <x:v>地图配置</x:v>
      </x:c>
      <x:c r="C11" s="22" t="n">
        <x:v>171</x:v>
      </x:c>
      <x:c r="D11" s="22" t="str">
        <x:v>同图一组要求；11张C1按原层名记录，真实地图号施工前对接</x:v>
      </x:c>
    </x:row>
    <x:row r="12" ht="24" customHeight="1">
      <x:c r="A12" s="22" t="str">
        <x:v>结果</x:v>
      </x:c>
      <x:c r="B12" s="22" t="str">
        <x:v>普通换装后下一组TTK</x:v>
      </x:c>
      <x:c r="C12" s="22" t="str">
        <x:v>7.2—9.2秒</x:v>
      </x:c>
      <x:c r="D12" s="22" t="str">
        <x:v>此处是不计韧性且排除处决加速的普通怪参考；不是保证所有玩家</x:v>
      </x:c>
    </x:row>
    <x:row r="13" ht="24" customHeight="1">
      <x:c r="A13" s="22" t="str">
        <x:v>偏差</x:v>
      </x:c>
      <x:c r="B13" s="22" t="str">
        <x:v>裸跳慢20%以上</x:v>
      </x:c>
      <x:c r="C13" s="22" t="n">
        <x:v>4</x:v>
      </x:c>
      <x:c r="D13" s="22" t="str">
        <x:v>36条衔接中仅4条达到本轮20%诊断线；其余并非全部满足明显吃力</x:v>
      </x:c>
    </x:row>
    <x:row r="14" ht="24" customHeight="1">
      <x:c r="A14" s="22" t="str">
        <x:v>保护</x:v>
      </x:c>
      <x:c r="B14" s="22" t="str">
        <x:v>已批准装备</x:v>
      </x:c>
      <x:c r="C14" s="22" t="n">
        <x:v>817</x:v>
      </x:c>
      <x:c r="D14" s="22" t="str">
        <x:v>原属性保持不动；不能为追求图上漂亮指标静默改变</x:v>
      </x:c>
    </x:row>
    <x:row r="15" ht="24" customHeight="1">
      <x:c r="A15" s="22" t="str">
        <x:v>边界</x:v>
      </x:c>
      <x:c r="B15" s="22" t="str">
        <x:v>物品爆率</x:v>
      </x:c>
      <x:c r="C15" s="22" t="str">
        <x:v>全部留空</x:v>
      </x:c>
      <x:c r="D15" s="22" t="str">
        <x:v>5400条掉落内容/候选记录不代表独立掉落次数；未确定1/x</x:v>
      </x:c>
    </x:row>
    <x:row r="16" ht="24" customHeight="1">
      <x:c r="A16" s="22" t="str">
        <x:v>边界</x:v>
      </x:c>
      <x:c r="B16" s="22" t="str">
        <x:v>平台/服务器/GitHub</x:v>
      </x:c>
      <x:c r="C16" s="22" t="str">
        <x:v>未修改</x:v>
      </x:c>
      <x:c r="D16" s="22" t="str">
        <x:v>这是大体数值审核稿，不是已完成实服验收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2" hidden="0" customWidth="1"/>
    <x:col min="4" max="4" width="76" hidden="0" customWidth="1"/>
  </x:cols>
  <x:sheetData>
    <x:row r="1" ht="32" customHeight="1">
      <x:c r="A1" s="3" t="str">
        <x:v>参数与证据级别</x:v>
      </x:c>
      <x:c r="B1" s="3"/>
      <x:c r="C1" s="3"/>
      <x:c r="D1" s="3"/>
    </x:row>
    <x:row r="4" ht="30" customHeight="1">
      <x:c r="A4" s="15" t="str">
        <x:v>参数</x:v>
      </x:c>
      <x:c r="B4" s="15" t="str">
        <x:v>数值</x:v>
      </x:c>
      <x:c r="C4" s="15" t="str">
        <x:v>单位</x:v>
      </x:c>
      <x:c r="D4" s="15" t="str">
        <x:v>来源性质</x:v>
      </x:c>
    </x:row>
    <x:row r="5" ht="24" customHeight="1">
      <x:c r="A5" s="22" t="str">
        <x:v>技能效率</x:v>
      </x:c>
      <x:c r="B5" s="22" t="n">
        <x:v>2</x:v>
      </x:c>
      <x:c r="C5" s="22" t="str">
        <x:v>倍</x:v>
      </x:c>
      <x:c r="D5" s="22" t="str">
        <x:v>用户最新要求</x:v>
      </x:c>
    </x:row>
    <x:row r="6" ht="24" customHeight="1">
      <x:c r="A6" s="22" t="str">
        <x:v>吸血效率</x:v>
      </x:c>
      <x:c r="B6" s="22" t="n">
        <x:v>1.3</x:v>
      </x:c>
      <x:c r="C6" s="22" t="str">
        <x:v>倍</x:v>
      </x:c>
      <x:c r="D6" s="22" t="str">
        <x:v>用户最新要求；最多按此预算</x:v>
      </x:c>
    </x:row>
    <x:row r="7" ht="24" customHeight="1">
      <x:c r="A7" s="22" t="str">
        <x:v>命中率</x:v>
      </x:c>
      <x:c r="B7" s="22" t="n">
        <x:v>0.95</x:v>
      </x:c>
      <x:c r="C7" s="22" t="str">
        <x:v>概率</x:v>
      </x:c>
      <x:c r="D7" s="22" t="str">
        <x:v>继承模型假设</x:v>
      </x:c>
    </x:row>
    <x:row r="8" ht="24" customHeight="1">
      <x:c r="A8" s="22" t="str">
        <x:v>有效输出时间</x:v>
      </x:c>
      <x:c r="B8" s="22" t="n">
        <x:v>0.8</x:v>
      </x:c>
      <x:c r="C8" s="22" t="str">
        <x:v>比例</x:v>
      </x:c>
      <x:c r="D8" s="22" t="str">
        <x:v>继承模型假设</x:v>
      </x:c>
    </x:row>
    <x:row r="9" ht="24" customHeight="1">
      <x:c r="A9" s="22" t="str">
        <x:v>普通怪目标时间</x:v>
      </x:c>
      <x:c r="B9" s="22" t="n">
        <x:v>8</x:v>
      </x:c>
      <x:c r="C9" s="22" t="str">
        <x:v>秒</x:v>
      </x:c>
      <x:c r="D9" s="22" t="str">
        <x:v>本轮自主设计</x:v>
      </x:c>
    </x:row>
    <x:row r="10" ht="24" customHeight="1">
      <x:c r="A10" s="22" t="str">
        <x:v>稀有怪目标时间</x:v>
      </x:c>
      <x:c r="B10" s="22" t="n">
        <x:v>24</x:v>
      </x:c>
      <x:c r="C10" s="22" t="str">
        <x:v>秒</x:v>
      </x:c>
      <x:c r="D10" s="22" t="str">
        <x:v>本轮自主设计</x:v>
      </x:c>
    </x:row>
    <x:row r="11" ht="24" customHeight="1">
      <x:c r="A11" s="22" t="str">
        <x:v>地图BOSS目标时间</x:v>
      </x:c>
      <x:c r="B11" s="22" t="n">
        <x:v>75</x:v>
      </x:c>
      <x:c r="C11" s="22" t="str">
        <x:v>秒</x:v>
      </x:c>
      <x:c r="D11" s="22" t="str">
        <x:v>本轮自主设计</x:v>
      </x:c>
    </x:row>
    <x:row r="12" ht="24" customHeight="1">
      <x:c r="A12" s="22" t="str">
        <x:v>普通采样中心</x:v>
      </x:c>
      <x:c r="B12" s="22" t="n">
        <x:v>0.6</x:v>
      </x:c>
      <x:c r="C12" s="22" t="str">
        <x:v>比例</x:v>
      </x:c>
      <x:c r="D12" s="22" t="str">
        <x:v>用户50%-70%区间的中心</x:v>
      </x:c>
    </x:row>
    <x:row r="13" ht="24" customHeight="1">
      <x:c r="A13" s="22" t="str">
        <x:v>裸跳明显差异诊断线</x:v>
      </x:c>
      <x:c r="B13" s="22" t="n">
        <x:v>1.2</x:v>
      </x:c>
      <x:c r="C13" s="22" t="str">
        <x:v>比值</x:v>
      </x:c>
      <x:c r="D13" s="22" t="str">
        <x:v>自主诊断线，不是用户指定的硬数字</x:v>
      </x:c>
    </x:row>
    <x:row r="14" ht="24" customHeight="1">
      <x:c r="A14" s="22" t="str">
        <x:v>C1普通/稀有攻击缩放</x:v>
      </x:c>
      <x:c r="B14" s="22" t="n">
        <x:v>0.18</x:v>
      </x:c>
      <x:c r="C14" s="22" t="str">
        <x:v>系数</x:v>
      </x:c>
      <x:c r="D14" s="22" t="str">
        <x:v>只用于低攻击，HP公式无此系数；守关另按低单击压力</x:v>
      </x:c>
    </x:row>
    <x:row r="15" ht="24" customHeight="1">
      <x:c r="A15" s="22" t="str">
        <x:v>版本范围</x:v>
      </x:c>
      <x:c r="B15" s="22" t="str">
        <x:v>2026-09-08</x:v>
      </x:c>
      <x:c r="C15" s="22" t="str">
        <x:v>日期</x:v>
      </x:c>
      <x:c r="D15" s="22" t="str">
        <x:v>概率未定不承诺获取时长或货币产出/小时</x:v>
      </x:c>
    </x:row>
    <x:row r="16" ht="24" customHeight="1">
      <x:c r="A16" s="21" t="str">
        <x:v>基础暴击总倍率</x:v>
      </x:c>
      <x:c r="B16" s="21" t="n">
        <x:v>2</x:v>
      </x:c>
      <x:c r="C16" s="21" t="str">
        <x:v>倍</x:v>
      </x:c>
      <x:c r="D16" s="21" t="str">
        <x:v>继承适配假设，不是引擎实测</x:v>
      </x:c>
    </x:row>
    <x:row r="17" ht="24" customHeight="1">
      <x:c r="A17" s="21" t="str">
        <x:v>基础致命总倍率</x:v>
      </x:c>
      <x:c r="B17" s="21" t="n">
        <x:v>2</x:v>
      </x:c>
      <x:c r="C17" s="21" t="str">
        <x:v>倍</x:v>
      </x:c>
      <x:c r="D17" s="21" t="str">
        <x:v>继承适配假设，不是引擎实测</x:v>
      </x:c>
    </x:row>
    <x:row r="18" ht="24" customHeight="1">
      <x:c r="A18" s="21" t="str">
        <x:v>攻击伤害字段单位</x:v>
      </x:c>
      <x:c r="B18" s="21" t="n">
        <x:v>0.01</x:v>
      </x:c>
      <x:c r="C18" s="21" t="str">
        <x:v>增量/点</x:v>
      </x:c>
      <x:c r="D18" s="21" t="str">
        <x:v>继承适配假设</x:v>
      </x:c>
    </x:row>
    <x:row r="19" ht="24" customHeight="1">
      <x:c r="A19" s="21" t="str">
        <x:v>基础对怪吸收上限</x:v>
      </x:c>
      <x:c r="B19" s="21" t="n">
        <x:v>0.6</x:v>
      </x:c>
      <x:c r="C19" s="21" t="str">
        <x:v>比例</x:v>
      </x:c>
      <x:c r="D19" s="21" t="str">
        <x:v>现有规则</x:v>
      </x:c>
    </x:row>
    <x:row r="20" ht="24" customHeight="1">
      <x:c r="A20" s="21" t="str">
        <x:v>统计吸收安全上界</x:v>
      </x:c>
      <x:c r="B20" s="21" t="n">
        <x:v>0.99</x:v>
      </x:c>
      <x:c r="C20" s="21" t="str">
        <x:v>比例</x:v>
      </x:c>
      <x:c r="D20" s="21" t="str">
        <x:v>只用于避免无穷等效HP，不修改引擎</x:v>
      </x:c>
    </x:row>
    <x:row r="21" ht="24" customHeight="1">
      <x:c r="A21" s="21" t="str">
        <x:v>刀间隔拟合截距</x:v>
      </x:c>
      <x:c r="B21" s="21" t="n">
        <x:v>570.11143</x:v>
      </x:c>
      <x:c r="C21" s="21" t="str">
        <x:v>毫秒</x:v>
      </x:c>
      <x:c r="D21" s="21" t="str">
        <x:v>继承前次六档实测拟合</x:v>
      </x:c>
    </x:row>
    <x:row r="22" ht="24" customHeight="1">
      <x:c r="A22" s="21" t="str">
        <x:v>刀间隔拟合斜率</x:v>
      </x:c>
      <x:c r="B22" s="21" t="n">
        <x:v>11.295503</x:v>
      </x:c>
      <x:c r="C22" s="21" t="str">
        <x:v>毫秒/点</x:v>
      </x:c>
      <x:c r="D22" s="21" t="str">
        <x:v>继承前次六档实测拟合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8" hidden="0" customWidth="1"/>
    <x:col min="4" max="4" width="3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</x:cols>
  <x:sheetData>
    <x:row r="1" ht="32" customHeight="1">
      <x:c r="A1" s="3" t="str">
        <x:v>336状态｜全来源原始属性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</x:row>
    <x:row r="2" ht="34" customHeight="1">
      <x:c r="A2" s="8" t="str">
        <x:v>原始加法合计；逐项来源、装备实例、事件在可复算/results/final.json。没有把旧人物总面板再叠一次付费。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8"/>
      <x:c r="AL2" s="8"/>
      <x:c r="AM2" s="8"/>
      <x:c r="AN2" s="8"/>
      <x:c r="AO2" s="8"/>
      <x:c r="AP2" s="8"/>
      <x:c r="AQ2" s="8"/>
      <x:c r="AR2" s="8"/>
      <x:c r="AS2" s="8"/>
      <x:c r="AT2" s="8"/>
      <x:c r="AU2" s="8"/>
      <x:c r="AV2" s="8"/>
      <x:c r="AW2" s="8"/>
    </x:row>
    <x:row r="4" ht="30" customHeight="1">
      <x:c r="A4" s="15" t="str">
        <x:v>人物ID</x:v>
      </x:c>
      <x:c r="B4" s="15" t="str">
        <x:v>大陆</x:v>
      </x:c>
      <x:c r="C4" s="15" t="str">
        <x:v>组序</x:v>
      </x:c>
      <x:c r="D4" s="15" t="str">
        <x:v>状态</x:v>
      </x:c>
      <x:c r="E4" s="15" t="str">
        <x:v>攻击下限</x:v>
      </x:c>
      <x:c r="F4" s="15" t="str">
        <x:v>攻击上限</x:v>
      </x:c>
      <x:c r="G4" s="15" t="str">
        <x:v>魔法下限</x:v>
      </x:c>
      <x:c r="H4" s="15" t="str">
        <x:v>魔法上限</x:v>
      </x:c>
      <x:c r="I4" s="15" t="str">
        <x:v>道术下限</x:v>
      </x:c>
      <x:c r="J4" s="15" t="str">
        <x:v>道术上限</x:v>
      </x:c>
      <x:c r="K4" s="15" t="str">
        <x:v>HP</x:v>
      </x:c>
      <x:c r="L4" s="15" t="str">
        <x:v>MP</x:v>
      </x:c>
      <x:c r="M4" s="15" t="str">
        <x:v>防御下限</x:v>
      </x:c>
      <x:c r="N4" s="15" t="str">
        <x:v>防御上限</x:v>
      </x:c>
      <x:c r="O4" s="15" t="str">
        <x:v>魔御下限</x:v>
      </x:c>
      <x:c r="P4" s="15" t="str">
        <x:v>魔御上限</x:v>
      </x:c>
      <x:c r="Q4" s="15" t="str">
        <x:v>攻击加成</x:v>
      </x:c>
      <x:c r="R4" s="15" t="str">
        <x:v>魔法加成</x:v>
      </x:c>
      <x:c r="S4" s="15" t="str">
        <x:v>道术加成</x:v>
      </x:c>
      <x:c r="T4" s="15" t="str">
        <x:v>神力增量</x:v>
      </x:c>
      <x:c r="U4" s="15" t="str">
        <x:v>伤害系数</x:v>
      </x:c>
      <x:c r="V4" s="15" t="str">
        <x:v>打怪伤害</x:v>
      </x:c>
      <x:c r="W4" s="15" t="str">
        <x:v>攻击伤害</x:v>
      </x:c>
      <x:c r="X4" s="15" t="str">
        <x:v>暴击几率</x:v>
      </x:c>
      <x:c r="Y4" s="15" t="str">
        <x:v>暴击伤害</x:v>
      </x:c>
      <x:c r="Z4" s="15" t="str">
        <x:v>致命几率</x:v>
      </x:c>
      <x:c r="AA4" s="15" t="str">
        <x:v>致命伤害</x:v>
      </x:c>
      <x:c r="AB4" s="15" t="str">
        <x:v>固定切割</x:v>
      </x:c>
      <x:c r="AC4" s="15" t="str">
        <x:v>每秒回血</x:v>
      </x:c>
      <x:c r="AD4" s="15" t="str">
        <x:v>攻击速度</x:v>
      </x:c>
      <x:c r="AE4" s="15" t="str">
        <x:v>攻速突破</x:v>
      </x:c>
      <x:c r="AF4" s="15" t="str">
        <x:v>准确</x:v>
      </x:c>
      <x:c r="AG4" s="15" t="str">
        <x:v>武器幸运</x:v>
      </x:c>
      <x:c r="AH4" s="15" t="str">
        <x:v>项链幸运</x:v>
      </x:c>
      <x:c r="AI4" s="15" t="str">
        <x:v>处决概率</x:v>
      </x:c>
      <x:c r="AJ4" s="15" t="str">
        <x:v>处决倍率</x:v>
      </x:c>
      <x:c r="AK4" s="15" t="str">
        <x:v>处决时间</x:v>
      </x:c>
      <x:c r="AL4" s="15" t="str">
        <x:v>韧性</x:v>
      </x:c>
      <x:c r="AM4" s="15" t="str">
        <x:v>对怪伤害吸收</x:v>
      </x:c>
      <x:c r="AN4" s="15" t="str">
        <x:v>伤害吸收上限</x:v>
      </x:c>
      <x:c r="AO4" s="15" t="str">
        <x:v>吸血</x:v>
      </x:c>
      <x:c r="AP4" s="15" t="str">
        <x:v>爆率</x:v>
      </x:c>
      <x:c r="AQ4" s="15" t="str">
        <x:v>最大爆率</x:v>
      </x:c>
      <x:c r="AR4" s="15" t="str">
        <x:v>人物爆率</x:v>
      </x:c>
      <x:c r="AS4" s="15" t="str">
        <x:v>鞭尸</x:v>
      </x:c>
      <x:c r="AT4" s="15" t="str">
        <x:v>首刀斩杀</x:v>
      </x:c>
      <x:c r="AU4" s="15" t="str">
        <x:v>尾刀斩杀</x:v>
      </x:c>
      <x:c r="AV4" s="15" t="str">
        <x:v>HP百分比</x:v>
      </x:c>
      <x:c r="AW4" s="15" t="str">
        <x:v>回收增加</x:v>
      </x:c>
    </x:row>
    <x:row r="5" ht="24" customHeight="1">
      <x:c r="A5" s="22" t="str">
        <x:v>P0001</x:v>
      </x:c>
      <x:c r="B5" s="22" t="n">
        <x:v>1</x:v>
      </x:c>
      <x:c r="C5" s="22" t="n">
        <x:v>1</x:v>
      </x:c>
      <x:c r="D5" s="22" t="str">
        <x:v>C01入场继承</x:v>
      </x:c>
      <x:c r="E5" s="22" t="n">
        <x:v>400</x:v>
      </x:c>
      <x:c r="F5" s="22" t="n">
        <x:v>449</x:v>
      </x:c>
      <x:c r="G5" s="22" t="n">
        <x:v>393</x:v>
      </x:c>
      <x:c r="H5" s="22" t="n">
        <x:v>436</x:v>
      </x:c>
      <x:c r="I5" s="22" t="n">
        <x:v>393</x:v>
      </x:c>
      <x:c r="J5" s="22" t="n">
        <x:v>436</x:v>
      </x:c>
      <x:c r="K5" s="22" t="n">
        <x:v>34501</x:v>
      </x:c>
      <x:c r="L5" s="22" t="n">
        <x:v>10200</x:v>
      </x:c>
      <x:c r="M5" s="22" t="n">
        <x:v>9</x:v>
      </x:c>
      <x:c r="N5" s="22" t="n">
        <x:v>16</x:v>
      </x:c>
      <x:c r="O5" s="22" t="n">
        <x:v>9</x:v>
      </x:c>
      <x:c r="P5" s="22" t="n">
        <x:v>15</x:v>
      </x:c>
      <x:c r="Q5" s="22" t="n">
        <x:v>19</x:v>
      </x:c>
      <x:c r="R5" s="22" t="n">
        <x:v>19</x:v>
      </x:c>
      <x:c r="S5" s="22" t="n">
        <x:v>19</x:v>
      </x:c>
      <x:c r="T5" s="22" t="n">
        <x:v>0</x:v>
      </x:c>
      <x:c r="U5" s="22" t="n">
        <x:v>10</x:v>
      </x:c>
      <x:c r="V5" s="22" t="n">
        <x:v>11</x:v>
      </x:c>
      <x:c r="W5" s="22" t="n">
        <x:v>6</x:v>
      </x:c>
      <x:c r="X5" s="22" t="n">
        <x:v>20</x:v>
      </x:c>
      <x:c r="Y5" s="22" t="n">
        <x:v>6</x:v>
      </x:c>
      <x:c r="Z5" s="22" t="n">
        <x:v>0</x:v>
      </x:c>
      <x:c r="AA5" s="22" t="n">
        <x:v>0</x:v>
      </x:c>
      <x:c r="AB5" s="22" t="n">
        <x:v>5000</x:v>
      </x:c>
      <x:c r="AC5" s="22" t="n">
        <x:v>2000</x:v>
      </x:c>
      <x:c r="AD5" s="22" t="n">
        <x:v>15</x:v>
      </x:c>
      <x:c r="AE5" s="22" t="n">
        <x:v>5</x:v>
      </x:c>
      <x:c r="AF5" s="22" t="n">
        <x:v>75</x:v>
      </x:c>
      <x:c r="AG5" s="22" t="n">
        <x:v>7</x:v>
      </x:c>
      <x:c r="AH5" s="22" t="n">
        <x:v>0</x:v>
      </x:c>
      <x:c r="AI5" s="22" t="n">
        <x:v>10</x:v>
      </x:c>
      <x:c r="AJ5" s="22" t="n">
        <x:v>0</x:v>
      </x:c>
      <x:c r="AK5" s="22" t="n">
        <x:v>0</x:v>
      </x:c>
      <x:c r="AL5" s="22" t="n">
        <x:v>50</x:v>
      </x:c>
      <x:c r="AM5" s="22" t="n">
        <x:v>8</x:v>
      </x:c>
      <x:c r="AN5" s="22" t="n">
        <x:v>0</x:v>
      </x:c>
      <x:c r="AO5" s="22" t="n">
        <x:v>1</x:v>
      </x:c>
      <x:c r="AP5" s="22" t="n">
        <x:v>900</x:v>
      </x:c>
      <x:c r="AQ5" s="22" t="n">
        <x:v>15</x:v>
      </x:c>
      <x:c r="AR5" s="22" t="n">
        <x:v>0</x:v>
      </x:c>
      <x:c r="AS5" s="22" t="n">
        <x:v>0</x:v>
      </x:c>
      <x:c r="AT5" s="22" t="n">
        <x:v>0</x:v>
      </x:c>
      <x:c r="AU5" s="22" t="n">
        <x:v>0</x:v>
      </x:c>
      <x:c r="AV5" s="22" t="n">
        <x:v>1</x:v>
      </x:c>
      <x:c r="AW5" s="22" t="n">
        <x:v>0</x:v>
      </x:c>
    </x:row>
    <x:row r="6" ht="24" customHeight="1">
      <x:c r="A6" s="22" t="str">
        <x:v>P0002</x:v>
      </x:c>
      <x:c r="B6" s="22" t="n">
        <x:v>1</x:v>
      </x:c>
      <x:c r="C6" s="22" t="n">
        <x:v>1</x:v>
      </x:c>
      <x:c r="D6" s="22" t="str">
        <x:v>C01本阶段既有付费/长期成长</x:v>
      </x:c>
      <x:c r="E6" s="22" t="n">
        <x:v>400</x:v>
      </x:c>
      <x:c r="F6" s="22" t="n">
        <x:v>449</x:v>
      </x:c>
      <x:c r="G6" s="22" t="n">
        <x:v>393</x:v>
      </x:c>
      <x:c r="H6" s="22" t="n">
        <x:v>436</x:v>
      </x:c>
      <x:c r="I6" s="22" t="n">
        <x:v>393</x:v>
      </x:c>
      <x:c r="J6" s="22" t="n">
        <x:v>436</x:v>
      </x:c>
      <x:c r="K6" s="22" t="n">
        <x:v>34501</x:v>
      </x:c>
      <x:c r="L6" s="22" t="n">
        <x:v>10200</x:v>
      </x:c>
      <x:c r="M6" s="22" t="n">
        <x:v>9</x:v>
      </x:c>
      <x:c r="N6" s="22" t="n">
        <x:v>16</x:v>
      </x:c>
      <x:c r="O6" s="22" t="n">
        <x:v>9</x:v>
      </x:c>
      <x:c r="P6" s="22" t="n">
        <x:v>15</x:v>
      </x:c>
      <x:c r="Q6" s="22" t="n">
        <x:v>19</x:v>
      </x:c>
      <x:c r="R6" s="22" t="n">
        <x:v>19</x:v>
      </x:c>
      <x:c r="S6" s="22" t="n">
        <x:v>19</x:v>
      </x:c>
      <x:c r="T6" s="22" t="n">
        <x:v>0</x:v>
      </x:c>
      <x:c r="U6" s="22" t="n">
        <x:v>10</x:v>
      </x:c>
      <x:c r="V6" s="22" t="n">
        <x:v>11</x:v>
      </x:c>
      <x:c r="W6" s="22" t="n">
        <x:v>6</x:v>
      </x:c>
      <x:c r="X6" s="22" t="n">
        <x:v>20</x:v>
      </x:c>
      <x:c r="Y6" s="22" t="n">
        <x:v>6</x:v>
      </x:c>
      <x:c r="Z6" s="22" t="n">
        <x:v>0</x:v>
      </x:c>
      <x:c r="AA6" s="22" t="n">
        <x:v>0</x:v>
      </x:c>
      <x:c r="AB6" s="22" t="n">
        <x:v>5000</x:v>
      </x:c>
      <x:c r="AC6" s="22" t="n">
        <x:v>2000</x:v>
      </x:c>
      <x:c r="AD6" s="22" t="n">
        <x:v>15</x:v>
      </x:c>
      <x:c r="AE6" s="22" t="n">
        <x:v>5</x:v>
      </x:c>
      <x:c r="AF6" s="22" t="n">
        <x:v>75</x:v>
      </x:c>
      <x:c r="AG6" s="22" t="n">
        <x:v>7</x:v>
      </x:c>
      <x:c r="AH6" s="22" t="n">
        <x:v>0</x:v>
      </x:c>
      <x:c r="AI6" s="22" t="n">
        <x:v>10</x:v>
      </x:c>
      <x:c r="AJ6" s="22" t="n">
        <x:v>0</x:v>
      </x:c>
      <x:c r="AK6" s="22" t="n">
        <x:v>0</x:v>
      </x:c>
      <x:c r="AL6" s="22" t="n">
        <x:v>50</x:v>
      </x:c>
      <x:c r="AM6" s="22" t="n">
        <x:v>8</x:v>
      </x:c>
      <x:c r="AN6" s="22" t="n">
        <x:v>0</x:v>
      </x:c>
      <x:c r="AO6" s="22" t="n">
        <x:v>1</x:v>
      </x:c>
      <x:c r="AP6" s="22" t="n">
        <x:v>900</x:v>
      </x:c>
      <x:c r="AQ6" s="22" t="n">
        <x:v>15</x:v>
      </x:c>
      <x:c r="AR6" s="22" t="n">
        <x:v>0</x:v>
      </x:c>
      <x:c r="AS6" s="22" t="n">
        <x:v>0</x:v>
      </x:c>
      <x:c r="AT6" s="22" t="n">
        <x:v>0</x:v>
      </x:c>
      <x:c r="AU6" s="22" t="n">
        <x:v>0</x:v>
      </x:c>
      <x:c r="AV6" s="22" t="n">
        <x:v>1</x:v>
      </x:c>
      <x:c r="AW6" s="22" t="n">
        <x:v>0</x:v>
      </x:c>
    </x:row>
    <x:row r="7" ht="24" customHeight="1">
      <x:c r="A7" s="22" t="str">
        <x:v>P0003</x:v>
      </x:c>
      <x:c r="B7" s="22" t="n">
        <x:v>1</x:v>
      </x:c>
      <x:c r="C7" s="22" t="n">
        <x:v>1</x:v>
      </x:c>
      <x:c r="D7" s="22" t="str">
        <x:v>C01G01入场</x:v>
      </x:c>
      <x:c r="E7" s="22" t="n">
        <x:v>400</x:v>
      </x:c>
      <x:c r="F7" s="22" t="n">
        <x:v>449</x:v>
      </x:c>
      <x:c r="G7" s="22" t="n">
        <x:v>393</x:v>
      </x:c>
      <x:c r="H7" s="22" t="n">
        <x:v>436</x:v>
      </x:c>
      <x:c r="I7" s="22" t="n">
        <x:v>393</x:v>
      </x:c>
      <x:c r="J7" s="22" t="n">
        <x:v>436</x:v>
      </x:c>
      <x:c r="K7" s="22" t="n">
        <x:v>34501</x:v>
      </x:c>
      <x:c r="L7" s="22" t="n">
        <x:v>10200</x:v>
      </x:c>
      <x:c r="M7" s="22" t="n">
        <x:v>9</x:v>
      </x:c>
      <x:c r="N7" s="22" t="n">
        <x:v>16</x:v>
      </x:c>
      <x:c r="O7" s="22" t="n">
        <x:v>9</x:v>
      </x:c>
      <x:c r="P7" s="22" t="n">
        <x:v>15</x:v>
      </x:c>
      <x:c r="Q7" s="22" t="n">
        <x:v>19</x:v>
      </x:c>
      <x:c r="R7" s="22" t="n">
        <x:v>19</x:v>
      </x:c>
      <x:c r="S7" s="22" t="n">
        <x:v>19</x:v>
      </x:c>
      <x:c r="T7" s="22" t="n">
        <x:v>0</x:v>
      </x:c>
      <x:c r="U7" s="22" t="n">
        <x:v>10</x:v>
      </x:c>
      <x:c r="V7" s="22" t="n">
        <x:v>11</x:v>
      </x:c>
      <x:c r="W7" s="22" t="n">
        <x:v>6</x:v>
      </x:c>
      <x:c r="X7" s="22" t="n">
        <x:v>20</x:v>
      </x:c>
      <x:c r="Y7" s="22" t="n">
        <x:v>6</x:v>
      </x:c>
      <x:c r="Z7" s="22" t="n">
        <x:v>0</x:v>
      </x:c>
      <x:c r="AA7" s="22" t="n">
        <x:v>0</x:v>
      </x:c>
      <x:c r="AB7" s="22" t="n">
        <x:v>5000</x:v>
      </x:c>
      <x:c r="AC7" s="22" t="n">
        <x:v>2000</x:v>
      </x:c>
      <x:c r="AD7" s="22" t="n">
        <x:v>15</x:v>
      </x:c>
      <x:c r="AE7" s="22" t="n">
        <x:v>5</x:v>
      </x:c>
      <x:c r="AF7" s="22" t="n">
        <x:v>75</x:v>
      </x:c>
      <x:c r="AG7" s="22" t="n">
        <x:v>7</x:v>
      </x:c>
      <x:c r="AH7" s="22" t="n">
        <x:v>0</x:v>
      </x:c>
      <x:c r="AI7" s="22" t="n">
        <x:v>10</x:v>
      </x:c>
      <x:c r="AJ7" s="22" t="n">
        <x:v>0</x:v>
      </x:c>
      <x:c r="AK7" s="22" t="n">
        <x:v>0</x:v>
      </x:c>
      <x:c r="AL7" s="22" t="n">
        <x:v>50</x:v>
      </x:c>
      <x:c r="AM7" s="22" t="n">
        <x:v>8</x:v>
      </x:c>
      <x:c r="AN7" s="22" t="n">
        <x:v>0</x:v>
      </x:c>
      <x:c r="AO7" s="22" t="n">
        <x:v>1</x:v>
      </x:c>
      <x:c r="AP7" s="22" t="n">
        <x:v>900</x:v>
      </x:c>
      <x:c r="AQ7" s="22" t="n">
        <x:v>15</x:v>
      </x:c>
      <x:c r="AR7" s="22" t="n">
        <x:v>0</x:v>
      </x:c>
      <x:c r="AS7" s="22" t="n">
        <x:v>0</x:v>
      </x:c>
      <x:c r="AT7" s="22" t="n">
        <x:v>0</x:v>
      </x:c>
      <x:c r="AU7" s="22" t="n">
        <x:v>0</x:v>
      </x:c>
      <x:c r="AV7" s="22" t="n">
        <x:v>1</x:v>
      </x:c>
      <x:c r="AW7" s="22" t="n">
        <x:v>0</x:v>
      </x:c>
    </x:row>
    <x:row r="8" ht="24" customHeight="1">
      <x:c r="A8" s="22" t="str">
        <x:v>P0004</x:v>
      </x:c>
      <x:c r="B8" s="22" t="n">
        <x:v>1</x:v>
      </x:c>
      <x:c r="C8" s="22" t="n">
        <x:v>1</x:v>
      </x:c>
      <x:c r="D8" s="22" t="str">
        <x:v>C01G01普通专属3/5</x:v>
      </x:c>
      <x:c r="E8" s="22" t="n">
        <x:v>417</x:v>
      </x:c>
      <x:c r="F8" s="22" t="n">
        <x:v>482</x:v>
      </x:c>
      <x:c r="G8" s="22" t="n">
        <x:v>410</x:v>
      </x:c>
      <x:c r="H8" s="22" t="n">
        <x:v>469</x:v>
      </x:c>
      <x:c r="I8" s="22" t="n">
        <x:v>410</x:v>
      </x:c>
      <x:c r="J8" s="22" t="n">
        <x:v>469</x:v>
      </x:c>
      <x:c r="K8" s="22" t="n">
        <x:v>48651</x:v>
      </x:c>
      <x:c r="L8" s="22" t="n">
        <x:v>10200</x:v>
      </x:c>
      <x:c r="M8" s="22" t="n">
        <x:v>41</x:v>
      </x:c>
      <x:c r="N8" s="22" t="n">
        <x:v>75</x:v>
      </x:c>
      <x:c r="O8" s="22" t="n">
        <x:v>34</x:v>
      </x:c>
      <x:c r="P8" s="22" t="n">
        <x:v>63</x:v>
      </x:c>
      <x:c r="Q8" s="22" t="n">
        <x:v>37</x:v>
      </x:c>
      <x:c r="R8" s="22" t="n">
        <x:v>37</x:v>
      </x:c>
      <x:c r="S8" s="22" t="n">
        <x:v>37</x:v>
      </x:c>
      <x:c r="T8" s="22" t="n">
        <x:v>0</x:v>
      </x:c>
      <x:c r="U8" s="22" t="n">
        <x:v>10</x:v>
      </x:c>
      <x:c r="V8" s="22" t="n">
        <x:v>20</x:v>
      </x:c>
      <x:c r="W8" s="22" t="n">
        <x:v>9</x:v>
      </x:c>
      <x:c r="X8" s="22" t="n">
        <x:v>20</x:v>
      </x:c>
      <x:c r="Y8" s="22" t="n">
        <x:v>15</x:v>
      </x:c>
      <x:c r="Z8" s="22" t="n">
        <x:v>0</x:v>
      </x:c>
      <x:c r="AA8" s="22" t="n">
        <x:v>0</x:v>
      </x:c>
      <x:c r="AB8" s="22" t="n">
        <x:v>5000</x:v>
      </x:c>
      <x:c r="AC8" s="22" t="n">
        <x:v>2000</x:v>
      </x:c>
      <x:c r="AD8" s="22" t="n">
        <x:v>15</x:v>
      </x:c>
      <x:c r="AE8" s="22" t="n">
        <x:v>5</x:v>
      </x:c>
      <x:c r="AF8" s="22" t="n">
        <x:v>75</x:v>
      </x:c>
      <x:c r="AG8" s="22" t="n">
        <x:v>7</x:v>
      </x:c>
      <x:c r="AH8" s="22" t="n">
        <x:v>0</x:v>
      </x:c>
      <x:c r="AI8" s="22" t="n">
        <x:v>10</x:v>
      </x:c>
      <x:c r="AJ8" s="22" t="n">
        <x:v>0</x:v>
      </x:c>
      <x:c r="AK8" s="22" t="n">
        <x:v>0</x:v>
      </x:c>
      <x:c r="AL8" s="22" t="n">
        <x:v>50</x:v>
      </x:c>
      <x:c r="AM8" s="22" t="n">
        <x:v>17</x:v>
      </x:c>
      <x:c r="AN8" s="22" t="n">
        <x:v>0</x:v>
      </x:c>
      <x:c r="AO8" s="22" t="n">
        <x:v>1</x:v>
      </x:c>
      <x:c r="AP8" s="22" t="n">
        <x:v>900</x:v>
      </x:c>
      <x:c r="AQ8" s="22" t="n">
        <x:v>15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1</x:v>
      </x:c>
      <x:c r="AW8" s="22" t="n">
        <x:v>0</x:v>
      </x:c>
    </x:row>
    <x:row r="9" ht="24" customHeight="1">
      <x:c r="A9" s="22" t="str">
        <x:v>P0005</x:v>
      </x:c>
      <x:c r="B9" s="22" t="n">
        <x:v>1</x:v>
      </x:c>
      <x:c r="C9" s="22" t="n">
        <x:v>1</x:v>
      </x:c>
      <x:c r="D9" s="22" t="str">
        <x:v>断桅船长·赫恩挑战前</x:v>
      </x:c>
      <x:c r="E9" s="22" t="n">
        <x:v>417</x:v>
      </x:c>
      <x:c r="F9" s="22" t="n">
        <x:v>482</x:v>
      </x:c>
      <x:c r="G9" s="22" t="n">
        <x:v>410</x:v>
      </x:c>
      <x:c r="H9" s="22" t="n">
        <x:v>469</x:v>
      </x:c>
      <x:c r="I9" s="22" t="n">
        <x:v>410</x:v>
      </x:c>
      <x:c r="J9" s="22" t="n">
        <x:v>469</x:v>
      </x:c>
      <x:c r="K9" s="22" t="n">
        <x:v>48651</x:v>
      </x:c>
      <x:c r="L9" s="22" t="n">
        <x:v>10200</x:v>
      </x:c>
      <x:c r="M9" s="22" t="n">
        <x:v>41</x:v>
      </x:c>
      <x:c r="N9" s="22" t="n">
        <x:v>75</x:v>
      </x:c>
      <x:c r="O9" s="22" t="n">
        <x:v>34</x:v>
      </x:c>
      <x:c r="P9" s="22" t="n">
        <x:v>63</x:v>
      </x:c>
      <x:c r="Q9" s="22" t="n">
        <x:v>37</x:v>
      </x:c>
      <x:c r="R9" s="22" t="n">
        <x:v>37</x:v>
      </x:c>
      <x:c r="S9" s="22" t="n">
        <x:v>37</x:v>
      </x:c>
      <x:c r="T9" s="22" t="n">
        <x:v>0</x:v>
      </x:c>
      <x:c r="U9" s="22" t="n">
        <x:v>10</x:v>
      </x:c>
      <x:c r="V9" s="22" t="n">
        <x:v>20</x:v>
      </x:c>
      <x:c r="W9" s="22" t="n">
        <x:v>9</x:v>
      </x:c>
      <x:c r="X9" s="22" t="n">
        <x:v>20</x:v>
      </x:c>
      <x:c r="Y9" s="22" t="n">
        <x:v>15</x:v>
      </x:c>
      <x:c r="Z9" s="22" t="n">
        <x:v>0</x:v>
      </x:c>
      <x:c r="AA9" s="22" t="n">
        <x:v>0</x:v>
      </x:c>
      <x:c r="AB9" s="22" t="n">
        <x:v>5000</x:v>
      </x:c>
      <x:c r="AC9" s="22" t="n">
        <x:v>2000</x:v>
      </x:c>
      <x:c r="AD9" s="22" t="n">
        <x:v>15</x:v>
      </x:c>
      <x:c r="AE9" s="22" t="n">
        <x:v>5</x:v>
      </x:c>
      <x:c r="AF9" s="22" t="n">
        <x:v>75</x:v>
      </x:c>
      <x:c r="AG9" s="22" t="n">
        <x:v>7</x:v>
      </x:c>
      <x:c r="AH9" s="22" t="n">
        <x:v>0</x:v>
      </x:c>
      <x:c r="AI9" s="22" t="n">
        <x:v>10</x:v>
      </x:c>
      <x:c r="AJ9" s="22" t="n">
        <x:v>0</x:v>
      </x:c>
      <x:c r="AK9" s="22" t="n">
        <x:v>0</x:v>
      </x:c>
      <x:c r="AL9" s="22" t="n">
        <x:v>50</x:v>
      </x:c>
      <x:c r="AM9" s="22" t="n">
        <x:v>17</x:v>
      </x:c>
      <x:c r="AN9" s="22" t="n">
        <x:v>0</x:v>
      </x:c>
      <x:c r="AO9" s="22" t="n">
        <x:v>1</x:v>
      </x:c>
      <x:c r="AP9" s="22" t="n">
        <x:v>900</x:v>
      </x:c>
      <x:c r="AQ9" s="22" t="n">
        <x:v>15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1</x:v>
      </x:c>
      <x:c r="AW9" s="22" t="n">
        <x:v>0</x:v>
      </x:c>
    </x:row>
    <x:row r="10" ht="24" customHeight="1">
      <x:c r="A10" s="22" t="str">
        <x:v>P0006</x:v>
      </x:c>
      <x:c r="B10" s="22" t="n">
        <x:v>1</x:v>
      </x:c>
      <x:c r="C10" s="22" t="n">
        <x:v>1</x:v>
      </x:c>
      <x:c r="D10" s="22" t="str">
        <x:v>吞岸巨兽·格拉姆挑战前</x:v>
      </x:c>
      <x:c r="E10" s="22" t="n">
        <x:v>417</x:v>
      </x:c>
      <x:c r="F10" s="22" t="n">
        <x:v>482</x:v>
      </x:c>
      <x:c r="G10" s="22" t="n">
        <x:v>410</x:v>
      </x:c>
      <x:c r="H10" s="22" t="n">
        <x:v>469</x:v>
      </x:c>
      <x:c r="I10" s="22" t="n">
        <x:v>410</x:v>
      </x:c>
      <x:c r="J10" s="22" t="n">
        <x:v>469</x:v>
      </x:c>
      <x:c r="K10" s="22" t="n">
        <x:v>48651</x:v>
      </x:c>
      <x:c r="L10" s="22" t="n">
        <x:v>10200</x:v>
      </x:c>
      <x:c r="M10" s="22" t="n">
        <x:v>41</x:v>
      </x:c>
      <x:c r="N10" s="22" t="n">
        <x:v>75</x:v>
      </x:c>
      <x:c r="O10" s="22" t="n">
        <x:v>34</x:v>
      </x:c>
      <x:c r="P10" s="22" t="n">
        <x:v>63</x:v>
      </x:c>
      <x:c r="Q10" s="22" t="n">
        <x:v>37</x:v>
      </x:c>
      <x:c r="R10" s="22" t="n">
        <x:v>37</x:v>
      </x:c>
      <x:c r="S10" s="22" t="n">
        <x:v>37</x:v>
      </x:c>
      <x:c r="T10" s="22" t="n">
        <x:v>0</x:v>
      </x:c>
      <x:c r="U10" s="22" t="n">
        <x:v>10</x:v>
      </x:c>
      <x:c r="V10" s="22" t="n">
        <x:v>20</x:v>
      </x:c>
      <x:c r="W10" s="22" t="n">
        <x:v>9</x:v>
      </x:c>
      <x:c r="X10" s="22" t="n">
        <x:v>20</x:v>
      </x:c>
      <x:c r="Y10" s="22" t="n">
        <x:v>15</x:v>
      </x:c>
      <x:c r="Z10" s="22" t="n">
        <x:v>0</x:v>
      </x:c>
      <x:c r="AA10" s="22" t="n">
        <x:v>0</x:v>
      </x:c>
      <x:c r="AB10" s="22" t="n">
        <x:v>5000</x:v>
      </x:c>
      <x:c r="AC10" s="22" t="n">
        <x:v>2000</x:v>
      </x:c>
      <x:c r="AD10" s="22" t="n">
        <x:v>15</x:v>
      </x:c>
      <x:c r="AE10" s="22" t="n">
        <x:v>5</x:v>
      </x:c>
      <x:c r="AF10" s="22" t="n">
        <x:v>75</x:v>
      </x:c>
      <x:c r="AG10" s="22" t="n">
        <x:v>7</x:v>
      </x:c>
      <x:c r="AH10" s="22" t="n">
        <x:v>0</x:v>
      </x:c>
      <x:c r="AI10" s="22" t="n">
        <x:v>10</x:v>
      </x:c>
      <x:c r="AJ10" s="22" t="n">
        <x:v>0</x:v>
      </x:c>
      <x:c r="AK10" s="22" t="n">
        <x:v>0</x:v>
      </x:c>
      <x:c r="AL10" s="22" t="n">
        <x:v>50</x:v>
      </x:c>
      <x:c r="AM10" s="22" t="n">
        <x:v>17</x:v>
      </x:c>
      <x:c r="AN10" s="22" t="n">
        <x:v>0</x:v>
      </x:c>
      <x:c r="AO10" s="22" t="n">
        <x:v>1</x:v>
      </x:c>
      <x:c r="AP10" s="22" t="n">
        <x:v>900</x:v>
      </x:c>
      <x:c r="AQ10" s="22" t="n">
        <x:v>15</x:v>
      </x:c>
      <x:c r="AR10" s="22" t="n">
        <x:v>0</x:v>
      </x:c>
      <x:c r="AS10" s="22" t="n">
        <x:v>0</x:v>
      </x:c>
      <x:c r="AT10" s="22" t="n">
        <x:v>0</x:v>
      </x:c>
      <x:c r="AU10" s="22" t="n">
        <x:v>0</x:v>
      </x:c>
      <x:c r="AV10" s="22" t="n">
        <x:v>1</x:v>
      </x:c>
      <x:c r="AW10" s="22" t="n">
        <x:v>0</x:v>
      </x:c>
    </x:row>
    <x:row r="11" ht="24" customHeight="1">
      <x:c r="A11" s="22" t="str">
        <x:v>P0007</x:v>
      </x:c>
      <x:c r="B11" s="22" t="n">
        <x:v>1</x:v>
      </x:c>
      <x:c r="C11" s="22" t="n">
        <x:v>1</x:v>
      </x:c>
      <x:c r="D11" s="22" t="str">
        <x:v>失乡者海岸BOSS装备快线</x:v>
      </x:c>
      <x:c r="E11" s="22" t="n">
        <x:v>566</x:v>
      </x:c>
      <x:c r="F11" s="22" t="n">
        <x:v>780</x:v>
      </x:c>
      <x:c r="G11" s="22" t="n">
        <x:v>559</x:v>
      </x:c>
      <x:c r="H11" s="22" t="n">
        <x:v>767</x:v>
      </x:c>
      <x:c r="I11" s="22" t="n">
        <x:v>559</x:v>
      </x:c>
      <x:c r="J11" s="22" t="n">
        <x:v>767</x:v>
      </x:c>
      <x:c r="K11" s="22" t="n">
        <x:v>84280</x:v>
      </x:c>
      <x:c r="L11" s="22" t="n">
        <x:v>10200</x:v>
      </x:c>
      <x:c r="M11" s="22" t="n">
        <x:v>47</x:v>
      </x:c>
      <x:c r="N11" s="22" t="n">
        <x:v>85</x:v>
      </x:c>
      <x:c r="O11" s="22" t="n">
        <x:v>38</x:v>
      </x:c>
      <x:c r="P11" s="22" t="n">
        <x:v>71</x:v>
      </x:c>
      <x:c r="Q11" s="22" t="n">
        <x:v>78</x:v>
      </x:c>
      <x:c r="R11" s="22" t="n">
        <x:v>78</x:v>
      </x:c>
      <x:c r="S11" s="22" t="n">
        <x:v>78</x:v>
      </x:c>
      <x:c r="T11" s="22" t="n">
        <x:v>0</x:v>
      </x:c>
      <x:c r="U11" s="22" t="n">
        <x:v>10</x:v>
      </x:c>
      <x:c r="V11" s="22" t="n">
        <x:v>36</x:v>
      </x:c>
      <x:c r="W11" s="22" t="n">
        <x:v>18</x:v>
      </x:c>
      <x:c r="X11" s="22" t="n">
        <x:v>20</x:v>
      </x:c>
      <x:c r="Y11" s="22" t="n">
        <x:v>36</x:v>
      </x:c>
      <x:c r="Z11" s="22" t="n">
        <x:v>0</x:v>
      </x:c>
      <x:c r="AA11" s="22" t="n">
        <x:v>0</x:v>
      </x:c>
      <x:c r="AB11" s="22" t="n">
        <x:v>5000</x:v>
      </x:c>
      <x:c r="AC11" s="22" t="n">
        <x:v>2000</x:v>
      </x:c>
      <x:c r="AD11" s="22" t="n">
        <x:v>18</x:v>
      </x:c>
      <x:c r="AE11" s="22" t="n">
        <x:v>5</x:v>
      </x:c>
      <x:c r="AF11" s="22" t="n">
        <x:v>78</x:v>
      </x:c>
      <x:c r="AG11" s="22" t="n">
        <x:v>7</x:v>
      </x:c>
      <x:c r="AH11" s="22" t="n">
        <x:v>0</x:v>
      </x:c>
      <x:c r="AI11" s="22" t="n">
        <x:v>11</x:v>
      </x:c>
      <x:c r="AJ11" s="22" t="n">
        <x:v>1</x:v>
      </x:c>
      <x:c r="AK11" s="22" t="n">
        <x:v>1</x:v>
      </x:c>
      <x:c r="AL11" s="22" t="n">
        <x:v>55</x:v>
      </x:c>
      <x:c r="AM11" s="22" t="n">
        <x:v>24</x:v>
      </x:c>
      <x:c r="AN11" s="22" t="n">
        <x:v>1</x:v>
      </x:c>
      <x:c r="AO11" s="22" t="n">
        <x:v>5</x:v>
      </x:c>
      <x:c r="AP11" s="22" t="n">
        <x:v>950</x:v>
      </x:c>
      <x:c r="AQ11" s="22" t="n">
        <x:v>16</x:v>
      </x:c>
      <x:c r="AR11" s="22" t="n">
        <x:v>0</x:v>
      </x:c>
      <x:c r="AS11" s="22" t="n">
        <x:v>0</x:v>
      </x:c>
      <x:c r="AT11" s="22" t="n">
        <x:v>0</x:v>
      </x:c>
      <x:c r="AU11" s="22" t="n">
        <x:v>0</x:v>
      </x:c>
      <x:c r="AV11" s="22" t="n">
        <x:v>6</x:v>
      </x:c>
      <x:c r="AW11" s="22" t="n">
        <x:v>0</x:v>
      </x:c>
    </x:row>
    <x:row r="12" ht="24" customHeight="1">
      <x:c r="A12" s="22" t="str">
        <x:v>P0008</x:v>
      </x:c>
      <x:c r="B12" s="22" t="n">
        <x:v>1</x:v>
      </x:c>
      <x:c r="C12" s="22" t="n">
        <x:v>1</x:v>
      </x:c>
      <x:c r="D12" s="22" t="str">
        <x:v>失乡者海岸阶段积累后</x:v>
      </x:c>
      <x:c r="E12" s="22" t="n">
        <x:v>450</x:v>
      </x:c>
      <x:c r="F12" s="22" t="n">
        <x:v>515</x:v>
      </x:c>
      <x:c r="G12" s="22" t="n">
        <x:v>443</x:v>
      </x:c>
      <x:c r="H12" s="22" t="n">
        <x:v>502</x:v>
      </x:c>
      <x:c r="I12" s="22" t="n">
        <x:v>443</x:v>
      </x:c>
      <x:c r="J12" s="22" t="n">
        <x:v>502</x:v>
      </x:c>
      <x:c r="K12" s="22" t="n">
        <x:v>48951</x:v>
      </x:c>
      <x:c r="L12" s="22" t="n">
        <x:v>10200</x:v>
      </x:c>
      <x:c r="M12" s="22" t="n">
        <x:v>41</x:v>
      </x:c>
      <x:c r="N12" s="22" t="n">
        <x:v>75</x:v>
      </x:c>
      <x:c r="O12" s="22" t="n">
        <x:v>34</x:v>
      </x:c>
      <x:c r="P12" s="22" t="n">
        <x:v>63</x:v>
      </x:c>
      <x:c r="Q12" s="22" t="n">
        <x:v>37</x:v>
      </x:c>
      <x:c r="R12" s="22" t="n">
        <x:v>37</x:v>
      </x:c>
      <x:c r="S12" s="22" t="n">
        <x:v>37</x:v>
      </x:c>
      <x:c r="T12" s="22" t="n">
        <x:v>0</x:v>
      </x:c>
      <x:c r="U12" s="22" t="n">
        <x:v>10</x:v>
      </x:c>
      <x:c r="V12" s="22" t="n">
        <x:v>20</x:v>
      </x:c>
      <x:c r="W12" s="22" t="n">
        <x:v>9</x:v>
      </x:c>
      <x:c r="X12" s="22" t="n">
        <x:v>20</x:v>
      </x:c>
      <x:c r="Y12" s="22" t="n">
        <x:v>15</x:v>
      </x:c>
      <x:c r="Z12" s="22" t="n">
        <x:v>0</x:v>
      </x:c>
      <x:c r="AA12" s="22" t="n">
        <x:v>0</x:v>
      </x:c>
      <x:c r="AB12" s="22" t="n">
        <x:v>5000</x:v>
      </x:c>
      <x:c r="AC12" s="22" t="n">
        <x:v>2000</x:v>
      </x:c>
      <x:c r="AD12" s="22" t="n">
        <x:v>15</x:v>
      </x:c>
      <x:c r="AE12" s="22" t="n">
        <x:v>5</x:v>
      </x:c>
      <x:c r="AF12" s="22" t="n">
        <x:v>75</x:v>
      </x:c>
      <x:c r="AG12" s="22" t="n">
        <x:v>7</x:v>
      </x:c>
      <x:c r="AH12" s="22" t="n">
        <x:v>0</x:v>
      </x:c>
      <x:c r="AI12" s="22" t="n">
        <x:v>10</x:v>
      </x:c>
      <x:c r="AJ12" s="22" t="n">
        <x:v>0</x:v>
      </x:c>
      <x:c r="AK12" s="22" t="n">
        <x:v>0</x:v>
      </x:c>
      <x:c r="AL12" s="22" t="n">
        <x:v>70</x:v>
      </x:c>
      <x:c r="AM12" s="22" t="n">
        <x:v>17</x:v>
      </x:c>
      <x:c r="AN12" s="22" t="n">
        <x:v>0</x:v>
      </x:c>
      <x:c r="AO12" s="22" t="n">
        <x:v>1</x:v>
      </x:c>
      <x:c r="AP12" s="22" t="n">
        <x:v>900</x:v>
      </x:c>
      <x:c r="AQ12" s="22" t="n">
        <x:v>15</x:v>
      </x:c>
      <x:c r="AR12" s="22" t="n">
        <x:v>0</x:v>
      </x:c>
      <x:c r="AS12" s="22" t="n">
        <x:v>0</x:v>
      </x:c>
      <x:c r="AT12" s="22" t="n">
        <x:v>0</x:v>
      </x:c>
      <x:c r="AU12" s="22" t="n">
        <x:v>0</x:v>
      </x:c>
      <x:c r="AV12" s="22" t="n">
        <x:v>1</x:v>
      </x:c>
      <x:c r="AW12" s="22" t="n">
        <x:v>0</x:v>
      </x:c>
    </x:row>
    <x:row r="13" ht="24" customHeight="1">
      <x:c r="A13" s="22" t="str">
        <x:v>P0009</x:v>
      </x:c>
      <x:c r="B13" s="22" t="n">
        <x:v>1</x:v>
      </x:c>
      <x:c r="C13" s="22" t="n">
        <x:v>2</x:v>
      </x:c>
      <x:c r="D13" s="22" t="str">
        <x:v>C01G02入场</x:v>
      </x:c>
      <x:c r="E13" s="22" t="n">
        <x:v>450</x:v>
      </x:c>
      <x:c r="F13" s="22" t="n">
        <x:v>515</x:v>
      </x:c>
      <x:c r="G13" s="22" t="n">
        <x:v>443</x:v>
      </x:c>
      <x:c r="H13" s="22" t="n">
        <x:v>502</x:v>
      </x:c>
      <x:c r="I13" s="22" t="n">
        <x:v>443</x:v>
      </x:c>
      <x:c r="J13" s="22" t="n">
        <x:v>502</x:v>
      </x:c>
      <x:c r="K13" s="22" t="n">
        <x:v>48951</x:v>
      </x:c>
      <x:c r="L13" s="22" t="n">
        <x:v>10200</x:v>
      </x:c>
      <x:c r="M13" s="22" t="n">
        <x:v>41</x:v>
      </x:c>
      <x:c r="N13" s="22" t="n">
        <x:v>75</x:v>
      </x:c>
      <x:c r="O13" s="22" t="n">
        <x:v>34</x:v>
      </x:c>
      <x:c r="P13" s="22" t="n">
        <x:v>63</x:v>
      </x:c>
      <x:c r="Q13" s="22" t="n">
        <x:v>37</x:v>
      </x:c>
      <x:c r="R13" s="22" t="n">
        <x:v>37</x:v>
      </x:c>
      <x:c r="S13" s="22" t="n">
        <x:v>37</x:v>
      </x:c>
      <x:c r="T13" s="22" t="n">
        <x:v>0</x:v>
      </x:c>
      <x:c r="U13" s="22" t="n">
        <x:v>10</x:v>
      </x:c>
      <x:c r="V13" s="22" t="n">
        <x:v>20</x:v>
      </x:c>
      <x:c r="W13" s="22" t="n">
        <x:v>9</x:v>
      </x:c>
      <x:c r="X13" s="22" t="n">
        <x:v>20</x:v>
      </x:c>
      <x:c r="Y13" s="22" t="n">
        <x:v>15</x:v>
      </x:c>
      <x:c r="Z13" s="22" t="n">
        <x:v>0</x:v>
      </x:c>
      <x:c r="AA13" s="22" t="n">
        <x:v>0</x:v>
      </x:c>
      <x:c r="AB13" s="22" t="n">
        <x:v>5000</x:v>
      </x:c>
      <x:c r="AC13" s="22" t="n">
        <x:v>2000</x:v>
      </x:c>
      <x:c r="AD13" s="22" t="n">
        <x:v>15</x:v>
      </x:c>
      <x:c r="AE13" s="22" t="n">
        <x:v>5</x:v>
      </x:c>
      <x:c r="AF13" s="22" t="n">
        <x:v>75</x:v>
      </x:c>
      <x:c r="AG13" s="22" t="n">
        <x:v>7</x:v>
      </x:c>
      <x:c r="AH13" s="22" t="n">
        <x:v>0</x:v>
      </x:c>
      <x:c r="AI13" s="22" t="n">
        <x:v>10</x:v>
      </x:c>
      <x:c r="AJ13" s="22" t="n">
        <x:v>0</x:v>
      </x:c>
      <x:c r="AK13" s="22" t="n">
        <x:v>0</x:v>
      </x:c>
      <x:c r="AL13" s="22" t="n">
        <x:v>70</x:v>
      </x:c>
      <x:c r="AM13" s="22" t="n">
        <x:v>17</x:v>
      </x:c>
      <x:c r="AN13" s="22" t="n">
        <x:v>0</x:v>
      </x:c>
      <x:c r="AO13" s="22" t="n">
        <x:v>1</x:v>
      </x:c>
      <x:c r="AP13" s="22" t="n">
        <x:v>900</x:v>
      </x:c>
      <x:c r="AQ13" s="22" t="n">
        <x:v>15</x:v>
      </x:c>
      <x:c r="AR13" s="22" t="n">
        <x:v>0</x:v>
      </x:c>
      <x:c r="AS13" s="22" t="n">
        <x:v>0</x:v>
      </x:c>
      <x:c r="AT13" s="22" t="n">
        <x:v>0</x:v>
      </x:c>
      <x:c r="AU13" s="22" t="n">
        <x:v>0</x:v>
      </x:c>
      <x:c r="AV13" s="22" t="n">
        <x:v>1</x:v>
      </x:c>
      <x:c r="AW13" s="22" t="n">
        <x:v>0</x:v>
      </x:c>
    </x:row>
    <x:row r="14" ht="24" customHeight="1">
      <x:c r="A14" s="22" t="str">
        <x:v>P0010</x:v>
      </x:c>
      <x:c r="B14" s="22" t="n">
        <x:v>1</x:v>
      </x:c>
      <x:c r="C14" s="22" t="n">
        <x:v>2</x:v>
      </x:c>
      <x:c r="D14" s="22" t="str">
        <x:v>C01G02普通专属4/6</x:v>
      </x:c>
      <x:c r="E14" s="22" t="n">
        <x:v>514</x:v>
      </x:c>
      <x:c r="F14" s="22" t="n">
        <x:v>639</x:v>
      </x:c>
      <x:c r="G14" s="22" t="n">
        <x:v>507</x:v>
      </x:c>
      <x:c r="H14" s="22" t="n">
        <x:v>626</x:v>
      </x:c>
      <x:c r="I14" s="22" t="n">
        <x:v>507</x:v>
      </x:c>
      <x:c r="J14" s="22" t="n">
        <x:v>626</x:v>
      </x:c>
      <x:c r="K14" s="22" t="n">
        <x:v>80231</x:v>
      </x:c>
      <x:c r="L14" s="22" t="n">
        <x:v>10200</x:v>
      </x:c>
      <x:c r="M14" s="22" t="n">
        <x:v>102</x:v>
      </x:c>
      <x:c r="N14" s="22" t="n">
        <x:v>185</x:v>
      </x:c>
      <x:c r="O14" s="22" t="n">
        <x:v>83</x:v>
      </x:c>
      <x:c r="P14" s="22" t="n">
        <x:v>153</x:v>
      </x:c>
      <x:c r="Q14" s="22" t="n">
        <x:v>62</x:v>
      </x:c>
      <x:c r="R14" s="22" t="n">
        <x:v>62</x:v>
      </x:c>
      <x:c r="S14" s="22" t="n">
        <x:v>62</x:v>
      </x:c>
      <x:c r="T14" s="22" t="n">
        <x:v>0</x:v>
      </x:c>
      <x:c r="U14" s="22" t="n">
        <x:v>10</x:v>
      </x:c>
      <x:c r="V14" s="22" t="n">
        <x:v>26</x:v>
      </x:c>
      <x:c r="W14" s="22" t="n">
        <x:v>8</x:v>
      </x:c>
      <x:c r="X14" s="22" t="n">
        <x:v>20</x:v>
      </x:c>
      <x:c r="Y14" s="22" t="n">
        <x:v>21</x:v>
      </x:c>
      <x:c r="Z14" s="22" t="n">
        <x:v>0</x:v>
      </x:c>
      <x:c r="AA14" s="22" t="n">
        <x:v>0</x:v>
      </x:c>
      <x:c r="AB14" s="22" t="n">
        <x:v>5000</x:v>
      </x:c>
      <x:c r="AC14" s="22" t="n">
        <x:v>2000</x:v>
      </x:c>
      <x:c r="AD14" s="22" t="n">
        <x:v>15</x:v>
      </x:c>
      <x:c r="AE14" s="22" t="n">
        <x:v>5</x:v>
      </x:c>
      <x:c r="AF14" s="22" t="n">
        <x:v>75</x:v>
      </x:c>
      <x:c r="AG14" s="22" t="n">
        <x:v>7</x:v>
      </x:c>
      <x:c r="AH14" s="22" t="n">
        <x:v>0</x:v>
      </x:c>
      <x:c r="AI14" s="22" t="n">
        <x:v>10</x:v>
      </x:c>
      <x:c r="AJ14" s="22" t="n">
        <x:v>0</x:v>
      </x:c>
      <x:c r="AK14" s="22" t="n">
        <x:v>0</x:v>
      </x:c>
      <x:c r="AL14" s="22" t="n">
        <x:v>70</x:v>
      </x:c>
      <x:c r="AM14" s="22" t="n">
        <x:v>30</x:v>
      </x:c>
      <x:c r="AN14" s="22" t="n">
        <x:v>0</x:v>
      </x:c>
      <x:c r="AO14" s="22" t="n">
        <x:v>1</x:v>
      </x:c>
      <x:c r="AP14" s="22" t="n">
        <x:v>900</x:v>
      </x:c>
      <x:c r="AQ14" s="22" t="n">
        <x:v>15</x:v>
      </x:c>
      <x:c r="AR14" s="22" t="n">
        <x:v>0</x:v>
      </x:c>
      <x:c r="AS14" s="22" t="n">
        <x:v>0</x:v>
      </x:c>
      <x:c r="AT14" s="22" t="n">
        <x:v>0</x:v>
      </x:c>
      <x:c r="AU14" s="22" t="n">
        <x:v>0</x:v>
      </x:c>
      <x:c r="AV14" s="22" t="n">
        <x:v>1</x:v>
      </x:c>
      <x:c r="AW14" s="22" t="n">
        <x:v>0</x:v>
      </x:c>
    </x:row>
    <x:row r="15" ht="24" customHeight="1">
      <x:c r="A15" s="22" t="str">
        <x:v>P0011</x:v>
      </x:c>
      <x:c r="B15" s="22" t="n">
        <x:v>1</x:v>
      </x:c>
      <x:c r="C15" s="22" t="n">
        <x:v>2</x:v>
      </x:c>
      <x:c r="D15" s="22" t="str">
        <x:v>风暴执刑官·巴鲁克挑战前</x:v>
      </x:c>
      <x:c r="E15" s="22" t="n">
        <x:v>514</x:v>
      </x:c>
      <x:c r="F15" s="22" t="n">
        <x:v>639</x:v>
      </x:c>
      <x:c r="G15" s="22" t="n">
        <x:v>507</x:v>
      </x:c>
      <x:c r="H15" s="22" t="n">
        <x:v>626</x:v>
      </x:c>
      <x:c r="I15" s="22" t="n">
        <x:v>507</x:v>
      </x:c>
      <x:c r="J15" s="22" t="n">
        <x:v>626</x:v>
      </x:c>
      <x:c r="K15" s="22" t="n">
        <x:v>80231</x:v>
      </x:c>
      <x:c r="L15" s="22" t="n">
        <x:v>10200</x:v>
      </x:c>
      <x:c r="M15" s="22" t="n">
        <x:v>102</x:v>
      </x:c>
      <x:c r="N15" s="22" t="n">
        <x:v>185</x:v>
      </x:c>
      <x:c r="O15" s="22" t="n">
        <x:v>83</x:v>
      </x:c>
      <x:c r="P15" s="22" t="n">
        <x:v>153</x:v>
      </x:c>
      <x:c r="Q15" s="22" t="n">
        <x:v>62</x:v>
      </x:c>
      <x:c r="R15" s="22" t="n">
        <x:v>62</x:v>
      </x:c>
      <x:c r="S15" s="22" t="n">
        <x:v>62</x:v>
      </x:c>
      <x:c r="T15" s="22" t="n">
        <x:v>0</x:v>
      </x:c>
      <x:c r="U15" s="22" t="n">
        <x:v>10</x:v>
      </x:c>
      <x:c r="V15" s="22" t="n">
        <x:v>26</x:v>
      </x:c>
      <x:c r="W15" s="22" t="n">
        <x:v>8</x:v>
      </x:c>
      <x:c r="X15" s="22" t="n">
        <x:v>20</x:v>
      </x:c>
      <x:c r="Y15" s="22" t="n">
        <x:v>21</x:v>
      </x:c>
      <x:c r="Z15" s="22" t="n">
        <x:v>0</x:v>
      </x:c>
      <x:c r="AA15" s="22" t="n">
        <x:v>0</x:v>
      </x:c>
      <x:c r="AB15" s="22" t="n">
        <x:v>5000</x:v>
      </x:c>
      <x:c r="AC15" s="22" t="n">
        <x:v>2000</x:v>
      </x:c>
      <x:c r="AD15" s="22" t="n">
        <x:v>15</x:v>
      </x:c>
      <x:c r="AE15" s="22" t="n">
        <x:v>5</x:v>
      </x:c>
      <x:c r="AF15" s="22" t="n">
        <x:v>75</x:v>
      </x:c>
      <x:c r="AG15" s="22" t="n">
        <x:v>7</x:v>
      </x:c>
      <x:c r="AH15" s="22" t="n">
        <x:v>0</x:v>
      </x:c>
      <x:c r="AI15" s="22" t="n">
        <x:v>10</x:v>
      </x:c>
      <x:c r="AJ15" s="22" t="n">
        <x:v>0</x:v>
      </x:c>
      <x:c r="AK15" s="22" t="n">
        <x:v>0</x:v>
      </x:c>
      <x:c r="AL15" s="22" t="n">
        <x:v>70</x:v>
      </x:c>
      <x:c r="AM15" s="22" t="n">
        <x:v>36</x:v>
      </x:c>
      <x:c r="AN15" s="22" t="n">
        <x:v>3</x:v>
      </x:c>
      <x:c r="AO15" s="22" t="n">
        <x:v>1</x:v>
      </x:c>
      <x:c r="AP15" s="22" t="n">
        <x:v>900</x:v>
      </x:c>
      <x:c r="AQ15" s="22" t="n">
        <x:v>15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1</x:v>
      </x:c>
      <x:c r="AW15" s="22" t="n">
        <x:v>0</x:v>
      </x:c>
    </x:row>
    <x:row r="16" ht="24" customHeight="1">
      <x:c r="A16" s="22" t="str">
        <x:v>P0012</x:v>
      </x:c>
      <x:c r="B16" s="22" t="n">
        <x:v>1</x:v>
      </x:c>
      <x:c r="C16" s="22" t="n">
        <x:v>2</x:v>
      </x:c>
      <x:c r="D16" s="22" t="str">
        <x:v>断崖古龙·赛尔挑战前</x:v>
      </x:c>
      <x:c r="E16" s="22" t="n">
        <x:v>514</x:v>
      </x:c>
      <x:c r="F16" s="22" t="n">
        <x:v>639</x:v>
      </x:c>
      <x:c r="G16" s="22" t="n">
        <x:v>507</x:v>
      </x:c>
      <x:c r="H16" s="22" t="n">
        <x:v>626</x:v>
      </x:c>
      <x:c r="I16" s="22" t="n">
        <x:v>507</x:v>
      </x:c>
      <x:c r="J16" s="22" t="n">
        <x:v>626</x:v>
      </x:c>
      <x:c r="K16" s="22" t="n">
        <x:v>80231</x:v>
      </x:c>
      <x:c r="L16" s="22" t="n">
        <x:v>10200</x:v>
      </x:c>
      <x:c r="M16" s="22" t="n">
        <x:v>102</x:v>
      </x:c>
      <x:c r="N16" s="22" t="n">
        <x:v>185</x:v>
      </x:c>
      <x:c r="O16" s="22" t="n">
        <x:v>83</x:v>
      </x:c>
      <x:c r="P16" s="22" t="n">
        <x:v>153</x:v>
      </x:c>
      <x:c r="Q16" s="22" t="n">
        <x:v>62</x:v>
      </x:c>
      <x:c r="R16" s="22" t="n">
        <x:v>62</x:v>
      </x:c>
      <x:c r="S16" s="22" t="n">
        <x:v>62</x:v>
      </x:c>
      <x:c r="T16" s="22" t="n">
        <x:v>0</x:v>
      </x:c>
      <x:c r="U16" s="22" t="n">
        <x:v>10</x:v>
      </x:c>
      <x:c r="V16" s="22" t="n">
        <x:v>26</x:v>
      </x:c>
      <x:c r="W16" s="22" t="n">
        <x:v>8</x:v>
      </x:c>
      <x:c r="X16" s="22" t="n">
        <x:v>20</x:v>
      </x:c>
      <x:c r="Y16" s="22" t="n">
        <x:v>21</x:v>
      </x:c>
      <x:c r="Z16" s="22" t="n">
        <x:v>0</x:v>
      </x:c>
      <x:c r="AA16" s="22" t="n">
        <x:v>0</x:v>
      </x:c>
      <x:c r="AB16" s="22" t="n">
        <x:v>5000</x:v>
      </x:c>
      <x:c r="AC16" s="22" t="n">
        <x:v>2000</x:v>
      </x:c>
      <x:c r="AD16" s="22" t="n">
        <x:v>15</x:v>
      </x:c>
      <x:c r="AE16" s="22" t="n">
        <x:v>5</x:v>
      </x:c>
      <x:c r="AF16" s="22" t="n">
        <x:v>75</x:v>
      </x:c>
      <x:c r="AG16" s="22" t="n">
        <x:v>7</x:v>
      </x:c>
      <x:c r="AH16" s="22" t="n">
        <x:v>0</x:v>
      </x:c>
      <x:c r="AI16" s="22" t="n">
        <x:v>10</x:v>
      </x:c>
      <x:c r="AJ16" s="22" t="n">
        <x:v>0</x:v>
      </x:c>
      <x:c r="AK16" s="22" t="n">
        <x:v>0</x:v>
      </x:c>
      <x:c r="AL16" s="22" t="n">
        <x:v>70</x:v>
      </x:c>
      <x:c r="AM16" s="22" t="n">
        <x:v>36</x:v>
      </x:c>
      <x:c r="AN16" s="22" t="n">
        <x:v>3</x:v>
      </x:c>
      <x:c r="AO16" s="22" t="n">
        <x:v>1</x:v>
      </x:c>
      <x:c r="AP16" s="22" t="n">
        <x:v>900</x:v>
      </x:c>
      <x:c r="AQ16" s="22" t="n">
        <x:v>15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1</x:v>
      </x:c>
      <x:c r="AW16" s="22" t="n">
        <x:v>0</x:v>
      </x:c>
    </x:row>
    <x:row r="17" ht="24" customHeight="1">
      <x:c r="A17" s="22" t="str">
        <x:v>P0013</x:v>
      </x:c>
      <x:c r="B17" s="22" t="n">
        <x:v>1</x:v>
      </x:c>
      <x:c r="C17" s="22" t="n">
        <x:v>2</x:v>
      </x:c>
      <x:c r="D17" s="22" t="str">
        <x:v>风暴断崖BOSS装备快线</x:v>
      </x:c>
      <x:c r="E17" s="22" t="n">
        <x:v>748</x:v>
      </x:c>
      <x:c r="F17" s="22" t="n">
        <x:v>1107</x:v>
      </x:c>
      <x:c r="G17" s="22" t="n">
        <x:v>741</x:v>
      </x:c>
      <x:c r="H17" s="22" t="n">
        <x:v>1094</x:v>
      </x:c>
      <x:c r="I17" s="22" t="n">
        <x:v>741</x:v>
      </x:c>
      <x:c r="J17" s="22" t="n">
        <x:v>1094</x:v>
      </x:c>
      <x:c r="K17" s="22" t="n">
        <x:v>154690</x:v>
      </x:c>
      <x:c r="L17" s="22" t="n">
        <x:v>10200</x:v>
      </x:c>
      <x:c r="M17" s="22" t="n">
        <x:v>118</x:v>
      </x:c>
      <x:c r="N17" s="22" t="n">
        <x:v>215</x:v>
      </x:c>
      <x:c r="O17" s="22" t="n">
        <x:v>96</x:v>
      </x:c>
      <x:c r="P17" s="22" t="n">
        <x:v>177</x:v>
      </x:c>
      <x:c r="Q17" s="22" t="n">
        <x:v>109</x:v>
      </x:c>
      <x:c r="R17" s="22" t="n">
        <x:v>109</x:v>
      </x:c>
      <x:c r="S17" s="22" t="n">
        <x:v>109</x:v>
      </x:c>
      <x:c r="T17" s="22" t="n">
        <x:v>0</x:v>
      </x:c>
      <x:c r="U17" s="22" t="n">
        <x:v>10</x:v>
      </x:c>
      <x:c r="V17" s="22" t="n">
        <x:v>48</x:v>
      </x:c>
      <x:c r="W17" s="22" t="n">
        <x:v>21</x:v>
      </x:c>
      <x:c r="X17" s="22" t="n">
        <x:v>20</x:v>
      </x:c>
      <x:c r="Y17" s="22" t="n">
        <x:v>50</x:v>
      </x:c>
      <x:c r="Z17" s="22" t="n">
        <x:v>0</x:v>
      </x:c>
      <x:c r="AA17" s="22" t="n">
        <x:v>0</x:v>
      </x:c>
      <x:c r="AB17" s="22" t="n">
        <x:v>5000</x:v>
      </x:c>
      <x:c r="AC17" s="22" t="n">
        <x:v>2000</x:v>
      </x:c>
      <x:c r="AD17" s="22" t="n">
        <x:v>18</x:v>
      </x:c>
      <x:c r="AE17" s="22" t="n">
        <x:v>5</x:v>
      </x:c>
      <x:c r="AF17" s="22" t="n">
        <x:v>81</x:v>
      </x:c>
      <x:c r="AG17" s="22" t="n">
        <x:v>7</x:v>
      </x:c>
      <x:c r="AH17" s="22" t="n">
        <x:v>0</x:v>
      </x:c>
      <x:c r="AI17" s="22" t="n">
        <x:v>12</x:v>
      </x:c>
      <x:c r="AJ17" s="22" t="n">
        <x:v>1</x:v>
      </x:c>
      <x:c r="AK17" s="22" t="n">
        <x:v>1</x:v>
      </x:c>
      <x:c r="AL17" s="22" t="n">
        <x:v>78</x:v>
      </x:c>
      <x:c r="AM17" s="22" t="n">
        <x:v>46</x:v>
      </x:c>
      <x:c r="AN17" s="22" t="n">
        <x:v>4</x:v>
      </x:c>
      <x:c r="AO17" s="22" t="n">
        <x:v>5</x:v>
      </x:c>
      <x:c r="AP17" s="22" t="n">
        <x:v>988</x:v>
      </x:c>
      <x:c r="AQ17" s="22" t="n">
        <x:v>17</x:v>
      </x:c>
      <x:c r="AR17" s="22" t="n">
        <x:v>0</x:v>
      </x:c>
      <x:c r="AS17" s="22" t="n">
        <x:v>0</x:v>
      </x:c>
      <x:c r="AT17" s="22" t="n">
        <x:v>0</x:v>
      </x:c>
      <x:c r="AU17" s="22" t="n">
        <x:v>0</x:v>
      </x:c>
      <x:c r="AV17" s="22" t="n">
        <x:v>8</x:v>
      </x:c>
      <x:c r="AW17" s="22" t="n">
        <x:v>0</x:v>
      </x:c>
    </x:row>
    <x:row r="18" ht="24" customHeight="1">
      <x:c r="A18" s="22" t="str">
        <x:v>P0014</x:v>
      </x:c>
      <x:c r="B18" s="22" t="n">
        <x:v>1</x:v>
      </x:c>
      <x:c r="C18" s="22" t="n">
        <x:v>2</x:v>
      </x:c>
      <x:c r="D18" s="22" t="str">
        <x:v>风暴断崖阶段积累后</x:v>
      </x:c>
      <x:c r="E18" s="22" t="n">
        <x:v>579</x:v>
      </x:c>
      <x:c r="F18" s="22" t="n">
        <x:v>704</x:v>
      </x:c>
      <x:c r="G18" s="22" t="n">
        <x:v>572</x:v>
      </x:c>
      <x:c r="H18" s="22" t="n">
        <x:v>691</x:v>
      </x:c>
      <x:c r="I18" s="22" t="n">
        <x:v>572</x:v>
      </x:c>
      <x:c r="J18" s="22" t="n">
        <x:v>691</x:v>
      </x:c>
      <x:c r="K18" s="22" t="n">
        <x:v>83731</x:v>
      </x:c>
      <x:c r="L18" s="22" t="n">
        <x:v>10200</x:v>
      </x:c>
      <x:c r="M18" s="22" t="n">
        <x:v>102</x:v>
      </x:c>
      <x:c r="N18" s="22" t="n">
        <x:v>185</x:v>
      </x:c>
      <x:c r="O18" s="22" t="n">
        <x:v>83</x:v>
      </x:c>
      <x:c r="P18" s="22" t="n">
        <x:v>153</x:v>
      </x:c>
      <x:c r="Q18" s="22" t="n">
        <x:v>62</x:v>
      </x:c>
      <x:c r="R18" s="22" t="n">
        <x:v>62</x:v>
      </x:c>
      <x:c r="S18" s="22" t="n">
        <x:v>62</x:v>
      </x:c>
      <x:c r="T18" s="22" t="n">
        <x:v>0</x:v>
      </x:c>
      <x:c r="U18" s="22" t="n">
        <x:v>10</x:v>
      </x:c>
      <x:c r="V18" s="22" t="n">
        <x:v>26</x:v>
      </x:c>
      <x:c r="W18" s="22" t="n">
        <x:v>8</x:v>
      </x:c>
      <x:c r="X18" s="22" t="n">
        <x:v>20</x:v>
      </x:c>
      <x:c r="Y18" s="22" t="n">
        <x:v>21</x:v>
      </x:c>
      <x:c r="Z18" s="22" t="n">
        <x:v>0</x:v>
      </x:c>
      <x:c r="AA18" s="22" t="n">
        <x:v>0</x:v>
      </x:c>
      <x:c r="AB18" s="22" t="n">
        <x:v>5000</x:v>
      </x:c>
      <x:c r="AC18" s="22" t="n">
        <x:v>2000</x:v>
      </x:c>
      <x:c r="AD18" s="22" t="n">
        <x:v>15</x:v>
      </x:c>
      <x:c r="AE18" s="22" t="n">
        <x:v>5</x:v>
      </x:c>
      <x:c r="AF18" s="22" t="n">
        <x:v>75</x:v>
      </x:c>
      <x:c r="AG18" s="22" t="n">
        <x:v>7</x:v>
      </x:c>
      <x:c r="AH18" s="22" t="n">
        <x:v>0</x:v>
      </x:c>
      <x:c r="AI18" s="22" t="n">
        <x:v>10</x:v>
      </x:c>
      <x:c r="AJ18" s="22" t="n">
        <x:v>0</x:v>
      </x:c>
      <x:c r="AK18" s="22" t="n">
        <x:v>0</x:v>
      </x:c>
      <x:c r="AL18" s="22" t="n">
        <x:v>90</x:v>
      </x:c>
      <x:c r="AM18" s="22" t="n">
        <x:v>36</x:v>
      </x:c>
      <x:c r="AN18" s="22" t="n">
        <x:v>3</x:v>
      </x:c>
      <x:c r="AO18" s="22" t="n">
        <x:v>1</x:v>
      </x:c>
      <x:c r="AP18" s="22" t="n">
        <x:v>900</x:v>
      </x:c>
      <x:c r="AQ18" s="22" t="n">
        <x:v>15</x:v>
      </x:c>
      <x:c r="AR18" s="22" t="n">
        <x:v>0</x:v>
      </x:c>
      <x:c r="AS18" s="22" t="n">
        <x:v>0</x:v>
      </x:c>
      <x:c r="AT18" s="22" t="n">
        <x:v>0</x:v>
      </x:c>
      <x:c r="AU18" s="22" t="n">
        <x:v>0</x:v>
      </x:c>
      <x:c r="AV18" s="22" t="n">
        <x:v>1</x:v>
      </x:c>
      <x:c r="AW18" s="22" t="n">
        <x:v>0</x:v>
      </x:c>
    </x:row>
    <x:row r="19" ht="24" customHeight="1">
      <x:c r="A19" s="22" t="str">
        <x:v>P0015</x:v>
      </x:c>
      <x:c r="B19" s="22" t="n">
        <x:v>1</x:v>
      </x:c>
      <x:c r="C19" s="22" t="n">
        <x:v>3</x:v>
      </x:c>
      <x:c r="D19" s="22" t="str">
        <x:v>C01G03入场</x:v>
      </x:c>
      <x:c r="E19" s="22" t="n">
        <x:v>579</x:v>
      </x:c>
      <x:c r="F19" s="22" t="n">
        <x:v>704</x:v>
      </x:c>
      <x:c r="G19" s="22" t="n">
        <x:v>572</x:v>
      </x:c>
      <x:c r="H19" s="22" t="n">
        <x:v>691</x:v>
      </x:c>
      <x:c r="I19" s="22" t="n">
        <x:v>572</x:v>
      </x:c>
      <x:c r="J19" s="22" t="n">
        <x:v>691</x:v>
      </x:c>
      <x:c r="K19" s="22" t="n">
        <x:v>83731</x:v>
      </x:c>
      <x:c r="L19" s="22" t="n">
        <x:v>10200</x:v>
      </x:c>
      <x:c r="M19" s="22" t="n">
        <x:v>102</x:v>
      </x:c>
      <x:c r="N19" s="22" t="n">
        <x:v>185</x:v>
      </x:c>
      <x:c r="O19" s="22" t="n">
        <x:v>83</x:v>
      </x:c>
      <x:c r="P19" s="22" t="n">
        <x:v>153</x:v>
      </x:c>
      <x:c r="Q19" s="22" t="n">
        <x:v>62</x:v>
      </x:c>
      <x:c r="R19" s="22" t="n">
        <x:v>62</x:v>
      </x:c>
      <x:c r="S19" s="22" t="n">
        <x:v>62</x:v>
      </x:c>
      <x:c r="T19" s="22" t="n">
        <x:v>0</x:v>
      </x:c>
      <x:c r="U19" s="22" t="n">
        <x:v>10</x:v>
      </x:c>
      <x:c r="V19" s="22" t="n">
        <x:v>26</x:v>
      </x:c>
      <x:c r="W19" s="22" t="n">
        <x:v>8</x:v>
      </x:c>
      <x:c r="X19" s="22" t="n">
        <x:v>20</x:v>
      </x:c>
      <x:c r="Y19" s="22" t="n">
        <x:v>21</x:v>
      </x:c>
      <x:c r="Z19" s="22" t="n">
        <x:v>0</x:v>
      </x:c>
      <x:c r="AA19" s="22" t="n">
        <x:v>0</x:v>
      </x:c>
      <x:c r="AB19" s="22" t="n">
        <x:v>5000</x:v>
      </x:c>
      <x:c r="AC19" s="22" t="n">
        <x:v>2000</x:v>
      </x:c>
      <x:c r="AD19" s="22" t="n">
        <x:v>15</x:v>
      </x:c>
      <x:c r="AE19" s="22" t="n">
        <x:v>5</x:v>
      </x:c>
      <x:c r="AF19" s="22" t="n">
        <x:v>75</x:v>
      </x:c>
      <x:c r="AG19" s="22" t="n">
        <x:v>7</x:v>
      </x:c>
      <x:c r="AH19" s="22" t="n">
        <x:v>0</x:v>
      </x:c>
      <x:c r="AI19" s="22" t="n">
        <x:v>10</x:v>
      </x:c>
      <x:c r="AJ19" s="22" t="n">
        <x:v>0</x:v>
      </x:c>
      <x:c r="AK19" s="22" t="n">
        <x:v>0</x:v>
      </x:c>
      <x:c r="AL19" s="22" t="n">
        <x:v>90</x:v>
      </x:c>
      <x:c r="AM19" s="22" t="n">
        <x:v>36</x:v>
      </x:c>
      <x:c r="AN19" s="22" t="n">
        <x:v>3</x:v>
      </x:c>
      <x:c r="AO19" s="22" t="n">
        <x:v>1</x:v>
      </x:c>
      <x:c r="AP19" s="22" t="n">
        <x:v>900</x:v>
      </x:c>
      <x:c r="AQ19" s="22" t="n">
        <x:v>15</x:v>
      </x:c>
      <x:c r="AR19" s="22" t="n">
        <x:v>0</x:v>
      </x:c>
      <x:c r="AS19" s="22" t="n">
        <x:v>0</x:v>
      </x:c>
      <x:c r="AT19" s="22" t="n">
        <x:v>0</x:v>
      </x:c>
      <x:c r="AU19" s="22" t="n">
        <x:v>0</x:v>
      </x:c>
      <x:c r="AV19" s="22" t="n">
        <x:v>1</x:v>
      </x:c>
      <x:c r="AW19" s="22" t="n">
        <x:v>0</x:v>
      </x:c>
    </x:row>
    <x:row r="20" ht="24" customHeight="1">
      <x:c r="A20" s="22" t="str">
        <x:v>P0016</x:v>
      </x:c>
      <x:c r="B20" s="22" t="n">
        <x:v>1</x:v>
      </x:c>
      <x:c r="C20" s="22" t="n">
        <x:v>3</x:v>
      </x:c>
      <x:c r="D20" s="22" t="str">
        <x:v>C01G03普通专属4/6</x:v>
      </x:c>
      <x:c r="E20" s="22" t="n">
        <x:v>657</x:v>
      </x:c>
      <x:c r="F20" s="22" t="n">
        <x:v>853</x:v>
      </x:c>
      <x:c r="G20" s="22" t="n">
        <x:v>650</x:v>
      </x:c>
      <x:c r="H20" s="22" t="n">
        <x:v>840</x:v>
      </x:c>
      <x:c r="I20" s="22" t="n">
        <x:v>650</x:v>
      </x:c>
      <x:c r="J20" s="22" t="n">
        <x:v>840</x:v>
      </x:c>
      <x:c r="K20" s="22" t="n">
        <x:v>131171</x:v>
      </x:c>
      <x:c r="L20" s="22" t="n">
        <x:v>10200</x:v>
      </x:c>
      <x:c r="M20" s="22" t="n">
        <x:v>148</x:v>
      </x:c>
      <x:c r="N20" s="22" t="n">
        <x:v>268</x:v>
      </x:c>
      <x:c r="O20" s="22" t="n">
        <x:v>122</x:v>
      </x:c>
      <x:c r="P20" s="22" t="n">
        <x:v>222</x:v>
      </x:c>
      <x:c r="Q20" s="22" t="n">
        <x:v>82</x:v>
      </x:c>
      <x:c r="R20" s="22" t="n">
        <x:v>82</x:v>
      </x:c>
      <x:c r="S20" s="22" t="n">
        <x:v>82</x:v>
      </x:c>
      <x:c r="T20" s="22" t="n">
        <x:v>0</x:v>
      </x:c>
      <x:c r="U20" s="22" t="n">
        <x:v>10</x:v>
      </x:c>
      <x:c r="V20" s="22" t="n">
        <x:v>32</x:v>
      </x:c>
      <x:c r="W20" s="22" t="n">
        <x:v>12</x:v>
      </x:c>
      <x:c r="X20" s="22" t="n">
        <x:v>20</x:v>
      </x:c>
      <x:c r="Y20" s="22" t="n">
        <x:v>27</x:v>
      </x:c>
      <x:c r="Z20" s="22" t="n">
        <x:v>0</x:v>
      </x:c>
      <x:c r="AA20" s="22" t="n">
        <x:v>0</x:v>
      </x:c>
      <x:c r="AB20" s="22" t="n">
        <x:v>5000</x:v>
      </x:c>
      <x:c r="AC20" s="22" t="n">
        <x:v>2000</x:v>
      </x:c>
      <x:c r="AD20" s="22" t="n">
        <x:v>15</x:v>
      </x:c>
      <x:c r="AE20" s="22" t="n">
        <x:v>5</x:v>
      </x:c>
      <x:c r="AF20" s="22" t="n">
        <x:v>75</x:v>
      </x:c>
      <x:c r="AG20" s="22" t="n">
        <x:v>7</x:v>
      </x:c>
      <x:c r="AH20" s="22" t="n">
        <x:v>0</x:v>
      </x:c>
      <x:c r="AI20" s="22" t="n">
        <x:v>10</x:v>
      </x:c>
      <x:c r="AJ20" s="22" t="n">
        <x:v>0</x:v>
      </x:c>
      <x:c r="AK20" s="22" t="n">
        <x:v>0</x:v>
      </x:c>
      <x:c r="AL20" s="22" t="n">
        <x:v>90</x:v>
      </x:c>
      <x:c r="AM20" s="22" t="n">
        <x:v>42</x:v>
      </x:c>
      <x:c r="AN20" s="22" t="n">
        <x:v>3</x:v>
      </x:c>
      <x:c r="AO20" s="22" t="n">
        <x:v>1</x:v>
      </x:c>
      <x:c r="AP20" s="22" t="n">
        <x:v>900</x:v>
      </x:c>
      <x:c r="AQ20" s="22" t="n">
        <x:v>15</x:v>
      </x:c>
      <x:c r="AR20" s="22" t="n">
        <x:v>0</x:v>
      </x:c>
      <x:c r="AS20" s="22" t="n">
        <x:v>0</x:v>
      </x:c>
      <x:c r="AT20" s="22" t="n">
        <x:v>0</x:v>
      </x:c>
      <x:c r="AU20" s="22" t="n">
        <x:v>0</x:v>
      </x:c>
      <x:c r="AV20" s="22" t="n">
        <x:v>1</x:v>
      </x:c>
      <x:c r="AW20" s="22" t="n">
        <x:v>0</x:v>
      </x:c>
    </x:row>
    <x:row r="21" ht="24" customHeight="1">
      <x:c r="A21" s="22" t="str">
        <x:v>P0017</x:v>
      </x:c>
      <x:c r="B21" s="22" t="n">
        <x:v>1</x:v>
      </x:c>
      <x:c r="C21" s="22" t="n">
        <x:v>3</x:v>
      </x:c>
      <x:c r="D21" s="22" t="str">
        <x:v>溺王亲卫长·萨恩挑战前</x:v>
      </x:c>
      <x:c r="E21" s="22" t="n">
        <x:v>657</x:v>
      </x:c>
      <x:c r="F21" s="22" t="n">
        <x:v>853</x:v>
      </x:c>
      <x:c r="G21" s="22" t="n">
        <x:v>650</x:v>
      </x:c>
      <x:c r="H21" s="22" t="n">
        <x:v>840</x:v>
      </x:c>
      <x:c r="I21" s="22" t="n">
        <x:v>650</x:v>
      </x:c>
      <x:c r="J21" s="22" t="n">
        <x:v>840</x:v>
      </x:c>
      <x:c r="K21" s="22" t="n">
        <x:v>131171</x:v>
      </x:c>
      <x:c r="L21" s="22" t="n">
        <x:v>10200</x:v>
      </x:c>
      <x:c r="M21" s="22" t="n">
        <x:v>148</x:v>
      </x:c>
      <x:c r="N21" s="22" t="n">
        <x:v>268</x:v>
      </x:c>
      <x:c r="O21" s="22" t="n">
        <x:v>122</x:v>
      </x:c>
      <x:c r="P21" s="22" t="n">
        <x:v>222</x:v>
      </x:c>
      <x:c r="Q21" s="22" t="n">
        <x:v>82</x:v>
      </x:c>
      <x:c r="R21" s="22" t="n">
        <x:v>82</x:v>
      </x:c>
      <x:c r="S21" s="22" t="n">
        <x:v>82</x:v>
      </x:c>
      <x:c r="T21" s="22" t="n">
        <x:v>0</x:v>
      </x:c>
      <x:c r="U21" s="22" t="n">
        <x:v>10</x:v>
      </x:c>
      <x:c r="V21" s="22" t="n">
        <x:v>32</x:v>
      </x:c>
      <x:c r="W21" s="22" t="n">
        <x:v>12</x:v>
      </x:c>
      <x:c r="X21" s="22" t="n">
        <x:v>20</x:v>
      </x:c>
      <x:c r="Y21" s="22" t="n">
        <x:v>27</x:v>
      </x:c>
      <x:c r="Z21" s="22" t="n">
        <x:v>0</x:v>
      </x:c>
      <x:c r="AA21" s="22" t="n">
        <x:v>0</x:v>
      </x:c>
      <x:c r="AB21" s="22" t="n">
        <x:v>5000</x:v>
      </x:c>
      <x:c r="AC21" s="22" t="n">
        <x:v>2000</x:v>
      </x:c>
      <x:c r="AD21" s="22" t="n">
        <x:v>15</x:v>
      </x:c>
      <x:c r="AE21" s="22" t="n">
        <x:v>5</x:v>
      </x:c>
      <x:c r="AF21" s="22" t="n">
        <x:v>75</x:v>
      </x:c>
      <x:c r="AG21" s="22" t="n">
        <x:v>7</x:v>
      </x:c>
      <x:c r="AH21" s="22" t="n">
        <x:v>0</x:v>
      </x:c>
      <x:c r="AI21" s="22" t="n">
        <x:v>10</x:v>
      </x:c>
      <x:c r="AJ21" s="22" t="n">
        <x:v>0</x:v>
      </x:c>
      <x:c r="AK21" s="22" t="n">
        <x:v>0</x:v>
      </x:c>
      <x:c r="AL21" s="22" t="n">
        <x:v>90</x:v>
      </x:c>
      <x:c r="AM21" s="22" t="n">
        <x:v>42</x:v>
      </x:c>
      <x:c r="AN21" s="22" t="n">
        <x:v>3</x:v>
      </x:c>
      <x:c r="AO21" s="22" t="n">
        <x:v>1</x:v>
      </x:c>
      <x:c r="AP21" s="22" t="n">
        <x:v>900</x:v>
      </x:c>
      <x:c r="AQ21" s="22" t="n">
        <x:v>15</x:v>
      </x:c>
      <x:c r="AR21" s="22" t="n">
        <x:v>0</x:v>
      </x:c>
      <x:c r="AS21" s="22" t="n">
        <x:v>0</x:v>
      </x:c>
      <x:c r="AT21" s="22" t="n">
        <x:v>0</x:v>
      </x:c>
      <x:c r="AU21" s="22" t="n">
        <x:v>0</x:v>
      </x:c>
      <x:c r="AV21" s="22" t="n">
        <x:v>1</x:v>
      </x:c>
      <x:c r="AW21" s="22" t="n">
        <x:v>0</x:v>
      </x:c>
    </x:row>
    <x:row r="22" ht="24" customHeight="1">
      <x:c r="A22" s="22" t="str">
        <x:v>P0018</x:v>
      </x:c>
      <x:c r="B22" s="22" t="n">
        <x:v>1</x:v>
      </x:c>
      <x:c r="C22" s="22" t="n">
        <x:v>3</x:v>
      </x:c>
      <x:c r="D22" s="22" t="str">
        <x:v>深潮大祭司·伊莱娜挑战前</x:v>
      </x:c>
      <x:c r="E22" s="22" t="n">
        <x:v>657</x:v>
      </x:c>
      <x:c r="F22" s="22" t="n">
        <x:v>853</x:v>
      </x:c>
      <x:c r="G22" s="22" t="n">
        <x:v>650</x:v>
      </x:c>
      <x:c r="H22" s="22" t="n">
        <x:v>840</x:v>
      </x:c>
      <x:c r="I22" s="22" t="n">
        <x:v>650</x:v>
      </x:c>
      <x:c r="J22" s="22" t="n">
        <x:v>840</x:v>
      </x:c>
      <x:c r="K22" s="22" t="n">
        <x:v>131171</x:v>
      </x:c>
      <x:c r="L22" s="22" t="n">
        <x:v>10200</x:v>
      </x:c>
      <x:c r="M22" s="22" t="n">
        <x:v>148</x:v>
      </x:c>
      <x:c r="N22" s="22" t="n">
        <x:v>268</x:v>
      </x:c>
      <x:c r="O22" s="22" t="n">
        <x:v>122</x:v>
      </x:c>
      <x:c r="P22" s="22" t="n">
        <x:v>222</x:v>
      </x:c>
      <x:c r="Q22" s="22" t="n">
        <x:v>82</x:v>
      </x:c>
      <x:c r="R22" s="22" t="n">
        <x:v>82</x:v>
      </x:c>
      <x:c r="S22" s="22" t="n">
        <x:v>82</x:v>
      </x:c>
      <x:c r="T22" s="22" t="n">
        <x:v>0</x:v>
      </x:c>
      <x:c r="U22" s="22" t="n">
        <x:v>10</x:v>
      </x:c>
      <x:c r="V22" s="22" t="n">
        <x:v>32</x:v>
      </x:c>
      <x:c r="W22" s="22" t="n">
        <x:v>12</x:v>
      </x:c>
      <x:c r="X22" s="22" t="n">
        <x:v>20</x:v>
      </x:c>
      <x:c r="Y22" s="22" t="n">
        <x:v>27</x:v>
      </x:c>
      <x:c r="Z22" s="22" t="n">
        <x:v>0</x:v>
      </x:c>
      <x:c r="AA22" s="22" t="n">
        <x:v>0</x:v>
      </x:c>
      <x:c r="AB22" s="22" t="n">
        <x:v>5000</x:v>
      </x:c>
      <x:c r="AC22" s="22" t="n">
        <x:v>2000</x:v>
      </x:c>
      <x:c r="AD22" s="22" t="n">
        <x:v>15</x:v>
      </x:c>
      <x:c r="AE22" s="22" t="n">
        <x:v>5</x:v>
      </x:c>
      <x:c r="AF22" s="22" t="n">
        <x:v>75</x:v>
      </x:c>
      <x:c r="AG22" s="22" t="n">
        <x:v>7</x:v>
      </x:c>
      <x:c r="AH22" s="22" t="n">
        <x:v>0</x:v>
      </x:c>
      <x:c r="AI22" s="22" t="n">
        <x:v>10</x:v>
      </x:c>
      <x:c r="AJ22" s="22" t="n">
        <x:v>0</x:v>
      </x:c>
      <x:c r="AK22" s="22" t="n">
        <x:v>0</x:v>
      </x:c>
      <x:c r="AL22" s="22" t="n">
        <x:v>90</x:v>
      </x:c>
      <x:c r="AM22" s="22" t="n">
        <x:v>42</x:v>
      </x:c>
      <x:c r="AN22" s="22" t="n">
        <x:v>3</x:v>
      </x:c>
      <x:c r="AO22" s="22" t="n">
        <x:v>1</x:v>
      </x:c>
      <x:c r="AP22" s="22" t="n">
        <x:v>900</x:v>
      </x:c>
      <x:c r="AQ22" s="22" t="n">
        <x:v>15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1</x:v>
      </x:c>
      <x:c r="AW22" s="22" t="n">
        <x:v>0</x:v>
      </x:c>
    </x:row>
    <x:row r="23" ht="24" customHeight="1">
      <x:c r="A23" s="22" t="str">
        <x:v>P0019</x:v>
      </x:c>
      <x:c r="B23" s="22" t="n">
        <x:v>1</x:v>
      </x:c>
      <x:c r="C23" s="22" t="n">
        <x:v>3</x:v>
      </x:c>
      <x:c r="D23" s="22" t="str">
        <x:v>沉没王庭BOSS装备快线</x:v>
      </x:c>
      <x:c r="E23" s="22" t="n">
        <x:v>946</x:v>
      </x:c>
      <x:c r="F23" s="22" t="n">
        <x:v>1431</x:v>
      </x:c>
      <x:c r="G23" s="22" t="n">
        <x:v>939</x:v>
      </x:c>
      <x:c r="H23" s="22" t="n">
        <x:v>1418</x:v>
      </x:c>
      <x:c r="I23" s="22" t="n">
        <x:v>939</x:v>
      </x:c>
      <x:c r="J23" s="22" t="n">
        <x:v>1418</x:v>
      </x:c>
      <x:c r="K23" s="22" t="n">
        <x:v>252370</x:v>
      </x:c>
      <x:c r="L23" s="22" t="n">
        <x:v>10200</x:v>
      </x:c>
      <x:c r="M23" s="22" t="n">
        <x:v>175</x:v>
      </x:c>
      <x:c r="N23" s="22" t="n">
        <x:v>317</x:v>
      </x:c>
      <x:c r="O23" s="22" t="n">
        <x:v>144</x:v>
      </x:c>
      <x:c r="P23" s="22" t="n">
        <x:v>262</x:v>
      </x:c>
      <x:c r="Q23" s="22" t="n">
        <x:v>143</x:v>
      </x:c>
      <x:c r="R23" s="22" t="n">
        <x:v>143</x:v>
      </x:c>
      <x:c r="S23" s="22" t="n">
        <x:v>143</x:v>
      </x:c>
      <x:c r="T23" s="22" t="n">
        <x:v>0</x:v>
      </x:c>
      <x:c r="U23" s="22" t="n">
        <x:v>10</x:v>
      </x:c>
      <x:c r="V23" s="22" t="n">
        <x:v>60</x:v>
      </x:c>
      <x:c r="W23" s="22" t="n">
        <x:v>27</x:v>
      </x:c>
      <x:c r="X23" s="22" t="n">
        <x:v>20</x:v>
      </x:c>
      <x:c r="Y23" s="22" t="n">
        <x:v>62</x:v>
      </x:c>
      <x:c r="Z23" s="22" t="n">
        <x:v>0</x:v>
      </x:c>
      <x:c r="AA23" s="22" t="n">
        <x:v>0</x:v>
      </x:c>
      <x:c r="AB23" s="22" t="n">
        <x:v>5000</x:v>
      </x:c>
      <x:c r="AC23" s="22" t="n">
        <x:v>2000</x:v>
      </x:c>
      <x:c r="AD23" s="22" t="n">
        <x:v>20</x:v>
      </x:c>
      <x:c r="AE23" s="22" t="n">
        <x:v>6</x:v>
      </x:c>
      <x:c r="AF23" s="22" t="n">
        <x:v>84</x:v>
      </x:c>
      <x:c r="AG23" s="22" t="n">
        <x:v>7</x:v>
      </x:c>
      <x:c r="AH23" s="22" t="n">
        <x:v>0</x:v>
      </x:c>
      <x:c r="AI23" s="22" t="n">
        <x:v>13</x:v>
      </x:c>
      <x:c r="AJ23" s="22" t="n">
        <x:v>2</x:v>
      </x:c>
      <x:c r="AK23" s="22" t="n">
        <x:v>1</x:v>
      </x:c>
      <x:c r="AL23" s="22" t="n">
        <x:v>102</x:v>
      </x:c>
      <x:c r="AM23" s="22" t="n">
        <x:v>56</x:v>
      </x:c>
      <x:c r="AN23" s="22" t="n">
        <x:v>5</x:v>
      </x:c>
      <x:c r="AO23" s="22" t="n">
        <x:v>5</x:v>
      </x:c>
      <x:c r="AP23" s="22" t="n">
        <x:v>1011</x:v>
      </x:c>
      <x:c r="AQ23" s="22" t="n">
        <x:v>17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12</x:v>
      </x:c>
      <x:c r="AW23" s="22" t="n">
        <x:v>0</x:v>
      </x:c>
    </x:row>
    <x:row r="24" ht="24" customHeight="1">
      <x:c r="A24" s="22" t="str">
        <x:v>P0020</x:v>
      </x:c>
      <x:c r="B24" s="22" t="n">
        <x:v>1</x:v>
      </x:c>
      <x:c r="C24" s="22" t="n">
        <x:v>3</x:v>
      </x:c>
      <x:c r="D24" s="22" t="str">
        <x:v>沉没王庭阶段积累后</x:v>
      </x:c>
      <x:c r="E24" s="22" t="n">
        <x:v>690</x:v>
      </x:c>
      <x:c r="F24" s="22" t="n">
        <x:v>920</x:v>
      </x:c>
      <x:c r="G24" s="22" t="n">
        <x:v>683</x:v>
      </x:c>
      <x:c r="H24" s="22" t="n">
        <x:v>907</x:v>
      </x:c>
      <x:c r="I24" s="22" t="n">
        <x:v>683</x:v>
      </x:c>
      <x:c r="J24" s="22" t="n">
        <x:v>907</x:v>
      </x:c>
      <x:c r="K24" s="22" t="n">
        <x:v>138871</x:v>
      </x:c>
      <x:c r="L24" s="22" t="n">
        <x:v>10200</x:v>
      </x:c>
      <x:c r="M24" s="22" t="n">
        <x:v>164</x:v>
      </x:c>
      <x:c r="N24" s="22" t="n">
        <x:v>300</x:v>
      </x:c>
      <x:c r="O24" s="22" t="n">
        <x:v>134</x:v>
      </x:c>
      <x:c r="P24" s="22" t="n">
        <x:v>246</x:v>
      </x:c>
      <x:c r="Q24" s="22" t="n">
        <x:v>144</x:v>
      </x:c>
      <x:c r="R24" s="22" t="n">
        <x:v>144</x:v>
      </x:c>
      <x:c r="S24" s="22" t="n">
        <x:v>144</x:v>
      </x:c>
      <x:c r="T24" s="22" t="n">
        <x:v>0</x:v>
      </x:c>
      <x:c r="U24" s="22" t="n">
        <x:v>10</x:v>
      </x:c>
      <x:c r="V24" s="22" t="n">
        <x:v>24</x:v>
      </x:c>
      <x:c r="W24" s="22" t="n">
        <x:v>24</x:v>
      </x:c>
      <x:c r="X24" s="22" t="n">
        <x:v>20</x:v>
      </x:c>
      <x:c r="Y24" s="22" t="n">
        <x:v>41</x:v>
      </x:c>
      <x:c r="Z24" s="22" t="n">
        <x:v>0</x:v>
      </x:c>
      <x:c r="AA24" s="22" t="n">
        <x:v>0</x:v>
      </x:c>
      <x:c r="AB24" s="22" t="n">
        <x:v>5000</x:v>
      </x:c>
      <x:c r="AC24" s="22" t="n">
        <x:v>2000</x:v>
      </x:c>
      <x:c r="AD24" s="22" t="n">
        <x:v>15</x:v>
      </x:c>
      <x:c r="AE24" s="22" t="n">
        <x:v>5</x:v>
      </x:c>
      <x:c r="AF24" s="22" t="n">
        <x:v>75</x:v>
      </x:c>
      <x:c r="AG24" s="22" t="n">
        <x:v>7</x:v>
      </x:c>
      <x:c r="AH24" s="22" t="n">
        <x:v>0</x:v>
      </x:c>
      <x:c r="AI24" s="22" t="n">
        <x:v>10</x:v>
      </x:c>
      <x:c r="AJ24" s="22" t="n">
        <x:v>0</x:v>
      </x:c>
      <x:c r="AK24" s="22" t="n">
        <x:v>0</x:v>
      </x:c>
      <x:c r="AL24" s="22" t="n">
        <x:v>90</x:v>
      </x:c>
      <x:c r="AM24" s="22" t="n">
        <x:v>38</x:v>
      </x:c>
      <x:c r="AN24" s="22" t="n">
        <x:v>3</x:v>
      </x:c>
      <x:c r="AO24" s="22" t="n">
        <x:v>1</x:v>
      </x:c>
      <x:c r="AP24" s="22" t="n">
        <x:v>900</x:v>
      </x:c>
      <x:c r="AQ24" s="22" t="n">
        <x:v>15</x:v>
      </x:c>
      <x:c r="AR24" s="22" t="n">
        <x:v>0</x:v>
      </x:c>
      <x:c r="AS24" s="22" t="n">
        <x:v>0</x:v>
      </x:c>
      <x:c r="AT24" s="22" t="n">
        <x:v>0</x:v>
      </x:c>
      <x:c r="AU24" s="22" t="n">
        <x:v>0</x:v>
      </x:c>
      <x:c r="AV24" s="22" t="n">
        <x:v>1</x:v>
      </x:c>
      <x:c r="AW24" s="22" t="n">
        <x:v>0</x:v>
      </x:c>
    </x:row>
    <x:row r="25" ht="24" customHeight="1">
      <x:c r="A25" s="22" t="str">
        <x:v>P0021</x:v>
      </x:c>
      <x:c r="B25" s="22" t="n">
        <x:v>1</x:v>
      </x:c>
      <x:c r="C25" s="22" t="n">
        <x:v>3</x:v>
      </x:c>
      <x:c r="D25" s="22" t="str">
        <x:v>C01守关前必做制作完成</x:v>
      </x:c>
      <x:c r="E25" s="22" t="n">
        <x:v>690</x:v>
      </x:c>
      <x:c r="F25" s="22" t="n">
        <x:v>920</x:v>
      </x:c>
      <x:c r="G25" s="22" t="n">
        <x:v>683</x:v>
      </x:c>
      <x:c r="H25" s="22" t="n">
        <x:v>907</x:v>
      </x:c>
      <x:c r="I25" s="22" t="n">
        <x:v>683</x:v>
      </x:c>
      <x:c r="J25" s="22" t="n">
        <x:v>907</x:v>
      </x:c>
      <x:c r="K25" s="22" t="n">
        <x:v>138871</x:v>
      </x:c>
      <x:c r="L25" s="22" t="n">
        <x:v>10200</x:v>
      </x:c>
      <x:c r="M25" s="22" t="n">
        <x:v>164</x:v>
      </x:c>
      <x:c r="N25" s="22" t="n">
        <x:v>300</x:v>
      </x:c>
      <x:c r="O25" s="22" t="n">
        <x:v>134</x:v>
      </x:c>
      <x:c r="P25" s="22" t="n">
        <x:v>246</x:v>
      </x:c>
      <x:c r="Q25" s="22" t="n">
        <x:v>144</x:v>
      </x:c>
      <x:c r="R25" s="22" t="n">
        <x:v>144</x:v>
      </x:c>
      <x:c r="S25" s="22" t="n">
        <x:v>144</x:v>
      </x:c>
      <x:c r="T25" s="22" t="n">
        <x:v>0</x:v>
      </x:c>
      <x:c r="U25" s="22" t="n">
        <x:v>10</x:v>
      </x:c>
      <x:c r="V25" s="22" t="n">
        <x:v>24</x:v>
      </x:c>
      <x:c r="W25" s="22" t="n">
        <x:v>24</x:v>
      </x:c>
      <x:c r="X25" s="22" t="n">
        <x:v>20</x:v>
      </x:c>
      <x:c r="Y25" s="22" t="n">
        <x:v>41</x:v>
      </x:c>
      <x:c r="Z25" s="22" t="n">
        <x:v>0</x:v>
      </x:c>
      <x:c r="AA25" s="22" t="n">
        <x:v>0</x:v>
      </x:c>
      <x:c r="AB25" s="22" t="n">
        <x:v>5000</x:v>
      </x:c>
      <x:c r="AC25" s="22" t="n">
        <x:v>2000</x:v>
      </x:c>
      <x:c r="AD25" s="22" t="n">
        <x:v>15</x:v>
      </x:c>
      <x:c r="AE25" s="22" t="n">
        <x:v>5</x:v>
      </x:c>
      <x:c r="AF25" s="22" t="n">
        <x:v>75</x:v>
      </x:c>
      <x:c r="AG25" s="22" t="n">
        <x:v>7</x:v>
      </x:c>
      <x:c r="AH25" s="22" t="n">
        <x:v>0</x:v>
      </x:c>
      <x:c r="AI25" s="22" t="n">
        <x:v>10</x:v>
      </x:c>
      <x:c r="AJ25" s="22" t="n">
        <x:v>0</x:v>
      </x:c>
      <x:c r="AK25" s="22" t="n">
        <x:v>0</x:v>
      </x:c>
      <x:c r="AL25" s="22" t="n">
        <x:v>90</x:v>
      </x:c>
      <x:c r="AM25" s="22" t="n">
        <x:v>38</x:v>
      </x:c>
      <x:c r="AN25" s="22" t="n">
        <x:v>3</x:v>
      </x:c>
      <x:c r="AO25" s="22" t="n">
        <x:v>1</x:v>
      </x:c>
      <x:c r="AP25" s="22" t="n">
        <x:v>900</x:v>
      </x:c>
      <x:c r="AQ25" s="22" t="n">
        <x:v>15</x:v>
      </x:c>
      <x:c r="AR25" s="22" t="n">
        <x:v>0</x:v>
      </x:c>
      <x:c r="AS25" s="22" t="n">
        <x:v>0</x:v>
      </x:c>
      <x:c r="AT25" s="22" t="n">
        <x:v>0</x:v>
      </x:c>
      <x:c r="AU25" s="22" t="n">
        <x:v>0</x:v>
      </x:c>
      <x:c r="AV25" s="22" t="n">
        <x:v>1</x:v>
      </x:c>
      <x:c r="AW25" s="22" t="n">
        <x:v>0</x:v>
      </x:c>
    </x:row>
    <x:row r="26" ht="24" customHeight="1">
      <x:c r="A26" s="22" t="str">
        <x:v>P0022</x:v>
      </x:c>
      <x:c r="B26" s="22" t="n">
        <x:v>1</x:v>
      </x:c>
      <x:c r="C26" s="22" t="n">
        <x:v>3</x:v>
      </x:c>
      <x:c r="D26" s="22" t="str">
        <x:v>C01约70%守关参考</x:v>
      </x:c>
      <x:c r="E26" s="22" t="n">
        <x:v>720</x:v>
      </x:c>
      <x:c r="F26" s="22" t="n">
        <x:v>950</x:v>
      </x:c>
      <x:c r="G26" s="22" t="n">
        <x:v>713</x:v>
      </x:c>
      <x:c r="H26" s="22" t="n">
        <x:v>937</x:v>
      </x:c>
      <x:c r="I26" s="22" t="n">
        <x:v>713</x:v>
      </x:c>
      <x:c r="J26" s="22" t="n">
        <x:v>937</x:v>
      </x:c>
      <x:c r="K26" s="22" t="n">
        <x:v>141871</x:v>
      </x:c>
      <x:c r="L26" s="22" t="n">
        <x:v>10200</x:v>
      </x:c>
      <x:c r="M26" s="22" t="n">
        <x:v>164</x:v>
      </x:c>
      <x:c r="N26" s="22" t="n">
        <x:v>300</x:v>
      </x:c>
      <x:c r="O26" s="22" t="n">
        <x:v>134</x:v>
      </x:c>
      <x:c r="P26" s="22" t="n">
        <x:v>246</x:v>
      </x:c>
      <x:c r="Q26" s="22" t="n">
        <x:v>144</x:v>
      </x:c>
      <x:c r="R26" s="22" t="n">
        <x:v>144</x:v>
      </x:c>
      <x:c r="S26" s="22" t="n">
        <x:v>144</x:v>
      </x:c>
      <x:c r="T26" s="22" t="n">
        <x:v>0.02</x:v>
      </x:c>
      <x:c r="U26" s="22" t="n">
        <x:v>10</x:v>
      </x:c>
      <x:c r="V26" s="22" t="n">
        <x:v>24</x:v>
      </x:c>
      <x:c r="W26" s="22" t="n">
        <x:v>24</x:v>
      </x:c>
      <x:c r="X26" s="22" t="n">
        <x:v>20</x:v>
      </x:c>
      <x:c r="Y26" s="22" t="n">
        <x:v>41</x:v>
      </x:c>
      <x:c r="Z26" s="22" t="n">
        <x:v>0</x:v>
      </x:c>
      <x:c r="AA26" s="22" t="n">
        <x:v>0</x:v>
      </x:c>
      <x:c r="AB26" s="22" t="n">
        <x:v>5000</x:v>
      </x:c>
      <x:c r="AC26" s="22" t="n">
        <x:v>2000</x:v>
      </x:c>
      <x:c r="AD26" s="22" t="n">
        <x:v>15</x:v>
      </x:c>
      <x:c r="AE26" s="22" t="n">
        <x:v>5</x:v>
      </x:c>
      <x:c r="AF26" s="22" t="n">
        <x:v>75</x:v>
      </x:c>
      <x:c r="AG26" s="22" t="n">
        <x:v>7</x:v>
      </x:c>
      <x:c r="AH26" s="22" t="n">
        <x:v>0</x:v>
      </x:c>
      <x:c r="AI26" s="22" t="n">
        <x:v>11</x:v>
      </x:c>
      <x:c r="AJ26" s="22" t="n">
        <x:v>0</x:v>
      </x:c>
      <x:c r="AK26" s="22" t="n">
        <x:v>0</x:v>
      </x:c>
      <x:c r="AL26" s="22" t="n">
        <x:v>130</x:v>
      </x:c>
      <x:c r="AM26" s="22" t="n">
        <x:v>38</x:v>
      </x:c>
      <x:c r="AN26" s="22" t="n">
        <x:v>3</x:v>
      </x:c>
      <x:c r="AO26" s="22" t="n">
        <x:v>1</x:v>
      </x:c>
      <x:c r="AP26" s="22" t="n">
        <x:v>900</x:v>
      </x:c>
      <x:c r="AQ26" s="22" t="n">
        <x:v>15</x:v>
      </x:c>
      <x:c r="AR26" s="22" t="n">
        <x:v>0</x:v>
      </x:c>
      <x:c r="AS26" s="22" t="n">
        <x:v>0</x:v>
      </x:c>
      <x:c r="AT26" s="22" t="n">
        <x:v>0</x:v>
      </x:c>
      <x:c r="AU26" s="22" t="n">
        <x:v>0</x:v>
      </x:c>
      <x:c r="AV26" s="22" t="n">
        <x:v>1</x:v>
      </x:c>
      <x:c r="AW26" s="22" t="n">
        <x:v>0</x:v>
      </x:c>
    </x:row>
    <x:row r="27" ht="24" customHeight="1">
      <x:c r="A27" s="22" t="str">
        <x:v>P0023</x:v>
      </x:c>
      <x:c r="B27" s="22" t="n">
        <x:v>1</x:v>
      </x:c>
      <x:c r="C27" s="22" t="n">
        <x:v>3</x:v>
      </x:c>
      <x:c r="D27" s="22" t="str">
        <x:v>C01高完成度参考</x:v>
      </x:c>
      <x:c r="E27" s="22" t="n">
        <x:v>1123</x:v>
      </x:c>
      <x:c r="F27" s="22" t="n">
        <x:v>1731</x:v>
      </x:c>
      <x:c r="G27" s="22" t="n">
        <x:v>1116</x:v>
      </x:c>
      <x:c r="H27" s="22" t="n">
        <x:v>1718</x:v>
      </x:c>
      <x:c r="I27" s="22" t="n">
        <x:v>1116</x:v>
      </x:c>
      <x:c r="J27" s="22" t="n">
        <x:v>1718</x:v>
      </x:c>
      <x:c r="K27" s="22" t="n">
        <x:v>347500</x:v>
      </x:c>
      <x:c r="L27" s="22" t="n">
        <x:v>10200</x:v>
      </x:c>
      <x:c r="M27" s="22" t="n">
        <x:v>295</x:v>
      </x:c>
      <x:c r="N27" s="22" t="n">
        <x:v>538</x:v>
      </x:c>
      <x:c r="O27" s="22" t="n">
        <x:v>242</x:v>
      </x:c>
      <x:c r="P27" s="22" t="n">
        <x:v>441</x:v>
      </x:c>
      <x:c r="Q27" s="22" t="n">
        <x:v>244</x:v>
      </x:c>
      <x:c r="R27" s="22" t="n">
        <x:v>244</x:v>
      </x:c>
      <x:c r="S27" s="22" t="n">
        <x:v>244</x:v>
      </x:c>
      <x:c r="T27" s="22" t="n">
        <x:v>0.02</x:v>
      </x:c>
      <x:c r="U27" s="22" t="n">
        <x:v>10</x:v>
      </x:c>
      <x:c r="V27" s="22" t="n">
        <x:v>64</x:v>
      </x:c>
      <x:c r="W27" s="22" t="n">
        <x:v>47</x:v>
      </x:c>
      <x:c r="X27" s="22" t="n">
        <x:v>20</x:v>
      </x:c>
      <x:c r="Y27" s="22" t="n">
        <x:v>88</x:v>
      </x:c>
      <x:c r="Z27" s="22" t="n">
        <x:v>0</x:v>
      </x:c>
      <x:c r="AA27" s="22" t="n">
        <x:v>0</x:v>
      </x:c>
      <x:c r="AB27" s="22" t="n">
        <x:v>5000</x:v>
      </x:c>
      <x:c r="AC27" s="22" t="n">
        <x:v>2000</x:v>
      </x:c>
      <x:c r="AD27" s="22" t="n">
        <x:v>20</x:v>
      </x:c>
      <x:c r="AE27" s="22" t="n">
        <x:v>6</x:v>
      </x:c>
      <x:c r="AF27" s="22" t="n">
        <x:v>84</x:v>
      </x:c>
      <x:c r="AG27" s="22" t="n">
        <x:v>7</x:v>
      </x:c>
      <x:c r="AH27" s="22" t="n">
        <x:v>0</x:v>
      </x:c>
      <x:c r="AI27" s="22" t="n">
        <x:v>14</x:v>
      </x:c>
      <x:c r="AJ27" s="22" t="n">
        <x:v>2</x:v>
      </x:c>
      <x:c r="AK27" s="22" t="n">
        <x:v>1</x:v>
      </x:c>
      <x:c r="AL27" s="22" t="n">
        <x:v>142</x:v>
      </x:c>
      <x:c r="AM27" s="22" t="n">
        <x:v>71</x:v>
      </x:c>
      <x:c r="AN27" s="22" t="n">
        <x:v>5</x:v>
      </x:c>
      <x:c r="AO27" s="22" t="n">
        <x:v>5</x:v>
      </x:c>
      <x:c r="AP27" s="22" t="n">
        <x:v>1011</x:v>
      </x:c>
      <x:c r="AQ27" s="22" t="n">
        <x:v>17</x:v>
      </x:c>
      <x:c r="AR27" s="22" t="n">
        <x:v>0</x:v>
      </x:c>
      <x:c r="AS27" s="22" t="n">
        <x:v>0</x:v>
      </x:c>
      <x:c r="AT27" s="22" t="n">
        <x:v>0</x:v>
      </x:c>
      <x:c r="AU27" s="22" t="n">
        <x:v>0</x:v>
      </x:c>
      <x:c r="AV27" s="22" t="n">
        <x:v>12</x:v>
      </x:c>
      <x:c r="AW27" s="22" t="n">
        <x:v>0</x:v>
      </x:c>
    </x:row>
    <x:row r="28" ht="24" customHeight="1">
      <x:c r="A28" s="22" t="str">
        <x:v>P0024</x:v>
      </x:c>
      <x:c r="B28" s="22" t="n">
        <x:v>1</x:v>
      </x:c>
      <x:c r="C28" s="22" t="n">
        <x:v>3</x:v>
      </x:c>
      <x:c r="D28" s="22" t="str">
        <x:v>C01守关后继承</x:v>
      </x:c>
      <x:c r="E28" s="22" t="n">
        <x:v>750</x:v>
      </x:c>
      <x:c r="F28" s="22" t="n">
        <x:v>980</x:v>
      </x:c>
      <x:c r="G28" s="22" t="n">
        <x:v>743</x:v>
      </x:c>
      <x:c r="H28" s="22" t="n">
        <x:v>967</x:v>
      </x:c>
      <x:c r="I28" s="22" t="n">
        <x:v>743</x:v>
      </x:c>
      <x:c r="J28" s="22" t="n">
        <x:v>967</x:v>
      </x:c>
      <x:c r="K28" s="22" t="n">
        <x:v>141871</x:v>
      </x:c>
      <x:c r="L28" s="22" t="n">
        <x:v>10200</x:v>
      </x:c>
      <x:c r="M28" s="22" t="n">
        <x:v>164</x:v>
      </x:c>
      <x:c r="N28" s="22" t="n">
        <x:v>300</x:v>
      </x:c>
      <x:c r="O28" s="22" t="n">
        <x:v>134</x:v>
      </x:c>
      <x:c r="P28" s="22" t="n">
        <x:v>246</x:v>
      </x:c>
      <x:c r="Q28" s="22" t="n">
        <x:v>144</x:v>
      </x:c>
      <x:c r="R28" s="22" t="n">
        <x:v>144</x:v>
      </x:c>
      <x:c r="S28" s="22" t="n">
        <x:v>144</x:v>
      </x:c>
      <x:c r="T28" s="22" t="n">
        <x:v>0.02</x:v>
      </x:c>
      <x:c r="U28" s="22" t="n">
        <x:v>10</x:v>
      </x:c>
      <x:c r="V28" s="22" t="n">
        <x:v>24</x:v>
      </x:c>
      <x:c r="W28" s="22" t="n">
        <x:v>24</x:v>
      </x:c>
      <x:c r="X28" s="22" t="n">
        <x:v>20</x:v>
      </x:c>
      <x:c r="Y28" s="22" t="n">
        <x:v>41</x:v>
      </x:c>
      <x:c r="Z28" s="22" t="n">
        <x:v>0</x:v>
      </x:c>
      <x:c r="AA28" s="22" t="n">
        <x:v>0</x:v>
      </x:c>
      <x:c r="AB28" s="22" t="n">
        <x:v>5000</x:v>
      </x:c>
      <x:c r="AC28" s="22" t="n">
        <x:v>2000</x:v>
      </x:c>
      <x:c r="AD28" s="22" t="n">
        <x:v>15</x:v>
      </x:c>
      <x:c r="AE28" s="22" t="n">
        <x:v>5</x:v>
      </x:c>
      <x:c r="AF28" s="22" t="n">
        <x:v>75</x:v>
      </x:c>
      <x:c r="AG28" s="22" t="n">
        <x:v>7</x:v>
      </x:c>
      <x:c r="AH28" s="22" t="n">
        <x:v>0</x:v>
      </x:c>
      <x:c r="AI28" s="22" t="n">
        <x:v>11</x:v>
      </x:c>
      <x:c r="AJ28" s="22" t="n">
        <x:v>0</x:v>
      </x:c>
      <x:c r="AK28" s="22" t="n">
        <x:v>0</x:v>
      </x:c>
      <x:c r="AL28" s="22" t="n">
        <x:v>150</x:v>
      </x:c>
      <x:c r="AM28" s="22" t="n">
        <x:v>38</x:v>
      </x:c>
      <x:c r="AN28" s="22" t="n">
        <x:v>3</x:v>
      </x:c>
      <x:c r="AO28" s="22" t="n">
        <x:v>1</x:v>
      </x:c>
      <x:c r="AP28" s="22" t="n">
        <x:v>900</x:v>
      </x:c>
      <x:c r="AQ28" s="22" t="n">
        <x:v>15</x:v>
      </x:c>
      <x:c r="AR28" s="22" t="n">
        <x:v>0</x:v>
      </x:c>
      <x:c r="AS28" s="22" t="n">
        <x:v>0</x:v>
      </x:c>
      <x:c r="AT28" s="22" t="n">
        <x:v>0</x:v>
      </x:c>
      <x:c r="AU28" s="22" t="n">
        <x:v>0</x:v>
      </x:c>
      <x:c r="AV28" s="22" t="n">
        <x:v>1</x:v>
      </x:c>
      <x:c r="AW28" s="22" t="n">
        <x:v>0</x:v>
      </x:c>
    </x:row>
    <x:row r="29" ht="24" customHeight="1">
      <x:c r="A29" s="22" t="str">
        <x:v>P0025</x:v>
      </x:c>
      <x:c r="B29" s="22" t="n">
        <x:v>2</x:v>
      </x:c>
      <x:c r="C29" s="22" t="n">
        <x:v>1</x:v>
      </x:c>
      <x:c r="D29" s="22" t="str">
        <x:v>C02入场继承</x:v>
      </x:c>
      <x:c r="E29" s="22" t="n">
        <x:v>750</x:v>
      </x:c>
      <x:c r="F29" s="22" t="n">
        <x:v>980</x:v>
      </x:c>
      <x:c r="G29" s="22" t="n">
        <x:v>743</x:v>
      </x:c>
      <x:c r="H29" s="22" t="n">
        <x:v>967</x:v>
      </x:c>
      <x:c r="I29" s="22" t="n">
        <x:v>743</x:v>
      </x:c>
      <x:c r="J29" s="22" t="n">
        <x:v>967</x:v>
      </x:c>
      <x:c r="K29" s="22" t="n">
        <x:v>141871</x:v>
      </x:c>
      <x:c r="L29" s="22" t="n">
        <x:v>10200</x:v>
      </x:c>
      <x:c r="M29" s="22" t="n">
        <x:v>164</x:v>
      </x:c>
      <x:c r="N29" s="22" t="n">
        <x:v>300</x:v>
      </x:c>
      <x:c r="O29" s="22" t="n">
        <x:v>134</x:v>
      </x:c>
      <x:c r="P29" s="22" t="n">
        <x:v>246</x:v>
      </x:c>
      <x:c r="Q29" s="22" t="n">
        <x:v>144</x:v>
      </x:c>
      <x:c r="R29" s="22" t="n">
        <x:v>144</x:v>
      </x:c>
      <x:c r="S29" s="22" t="n">
        <x:v>144</x:v>
      </x:c>
      <x:c r="T29" s="22" t="n">
        <x:v>0.02</x:v>
      </x:c>
      <x:c r="U29" s="22" t="n">
        <x:v>10</x:v>
      </x:c>
      <x:c r="V29" s="22" t="n">
        <x:v>24</x:v>
      </x:c>
      <x:c r="W29" s="22" t="n">
        <x:v>24</x:v>
      </x:c>
      <x:c r="X29" s="22" t="n">
        <x:v>20</x:v>
      </x:c>
      <x:c r="Y29" s="22" t="n">
        <x:v>41</x:v>
      </x:c>
      <x:c r="Z29" s="22" t="n">
        <x:v>0</x:v>
      </x:c>
      <x:c r="AA29" s="22" t="n">
        <x:v>0</x:v>
      </x:c>
      <x:c r="AB29" s="22" t="n">
        <x:v>5000</x:v>
      </x:c>
      <x:c r="AC29" s="22" t="n">
        <x:v>2000</x:v>
      </x:c>
      <x:c r="AD29" s="22" t="n">
        <x:v>15</x:v>
      </x:c>
      <x:c r="AE29" s="22" t="n">
        <x:v>5</x:v>
      </x:c>
      <x:c r="AF29" s="22" t="n">
        <x:v>75</x:v>
      </x:c>
      <x:c r="AG29" s="22" t="n">
        <x:v>7</x:v>
      </x:c>
      <x:c r="AH29" s="22" t="n">
        <x:v>0</x:v>
      </x:c>
      <x:c r="AI29" s="22" t="n">
        <x:v>11</x:v>
      </x:c>
      <x:c r="AJ29" s="22" t="n">
        <x:v>0</x:v>
      </x:c>
      <x:c r="AK29" s="22" t="n">
        <x:v>0</x:v>
      </x:c>
      <x:c r="AL29" s="22" t="n">
        <x:v>150</x:v>
      </x:c>
      <x:c r="AM29" s="22" t="n">
        <x:v>38</x:v>
      </x:c>
      <x:c r="AN29" s="22" t="n">
        <x:v>3</x:v>
      </x:c>
      <x:c r="AO29" s="22" t="n">
        <x:v>1</x:v>
      </x:c>
      <x:c r="AP29" s="22" t="n">
        <x:v>900</x:v>
      </x:c>
      <x:c r="AQ29" s="22" t="n">
        <x:v>15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1</x:v>
      </x:c>
      <x:c r="AW29" s="22" t="n">
        <x:v>0</x:v>
      </x:c>
    </x:row>
    <x:row r="30" ht="24" customHeight="1">
      <x:c r="A30" s="22" t="str">
        <x:v>P0026</x:v>
      </x:c>
      <x:c r="B30" s="22" t="n">
        <x:v>2</x:v>
      </x:c>
      <x:c r="C30" s="22" t="n">
        <x:v>1</x:v>
      </x:c>
      <x:c r="D30" s="22" t="str">
        <x:v>C02本阶段既有付费/长期成长</x:v>
      </x:c>
      <x:c r="E30" s="22" t="n">
        <x:v>1448</x:v>
      </x:c>
      <x:c r="F30" s="22" t="n">
        <x:v>1678</x:v>
      </x:c>
      <x:c r="G30" s="22" t="n">
        <x:v>1430</x:v>
      </x:c>
      <x:c r="H30" s="22" t="n">
        <x:v>1654</x:v>
      </x:c>
      <x:c r="I30" s="22" t="n">
        <x:v>1403</x:v>
      </x:c>
      <x:c r="J30" s="22" t="n">
        <x:v>1627</x:v>
      </x:c>
      <x:c r="K30" s="22" t="n">
        <x:v>161871</x:v>
      </x:c>
      <x:c r="L30" s="22" t="n">
        <x:v>30200</x:v>
      </x:c>
      <x:c r="M30" s="22" t="n">
        <x:v>164</x:v>
      </x:c>
      <x:c r="N30" s="22" t="n">
        <x:v>300</x:v>
      </x:c>
      <x:c r="O30" s="22" t="n">
        <x:v>134</x:v>
      </x:c>
      <x:c r="P30" s="22" t="n">
        <x:v>246</x:v>
      </x:c>
      <x:c r="Q30" s="22" t="n">
        <x:v>144</x:v>
      </x:c>
      <x:c r="R30" s="22" t="n">
        <x:v>144</x:v>
      </x:c>
      <x:c r="S30" s="22" t="n">
        <x:v>144</x:v>
      </x:c>
      <x:c r="T30" s="22" t="n">
        <x:v>0.02</x:v>
      </x:c>
      <x:c r="U30" s="22" t="n">
        <x:v>11</x:v>
      </x:c>
      <x:c r="V30" s="22" t="n">
        <x:v>24</x:v>
      </x:c>
      <x:c r="W30" s="22" t="n">
        <x:v>24</x:v>
      </x:c>
      <x:c r="X30" s="22" t="n">
        <x:v>20</x:v>
      </x:c>
      <x:c r="Y30" s="22" t="n">
        <x:v>41</x:v>
      </x:c>
      <x:c r="Z30" s="22" t="n">
        <x:v>0</x:v>
      </x:c>
      <x:c r="AA30" s="22" t="n">
        <x:v>0</x:v>
      </x:c>
      <x:c r="AB30" s="22" t="n">
        <x:v>0</x:v>
      </x:c>
      <x:c r="AC30" s="22" t="n">
        <x:v>0</x:v>
      </x:c>
      <x:c r="AD30" s="22" t="n">
        <x:v>17</x:v>
      </x:c>
      <x:c r="AE30" s="22" t="n">
        <x:v>5</x:v>
      </x:c>
      <x:c r="AF30" s="22" t="n">
        <x:v>75</x:v>
      </x:c>
      <x:c r="AG30" s="22" t="n">
        <x:v>7</x:v>
      </x:c>
      <x:c r="AH30" s="22" t="n">
        <x:v>0</x:v>
      </x:c>
      <x:c r="AI30" s="22" t="n">
        <x:v>11</x:v>
      </x:c>
      <x:c r="AJ30" s="22" t="n">
        <x:v>0</x:v>
      </x:c>
      <x:c r="AK30" s="22" t="n">
        <x:v>0</x:v>
      </x:c>
      <x:c r="AL30" s="22" t="n">
        <x:v>180</x:v>
      </x:c>
      <x:c r="AM30" s="22" t="n">
        <x:v>38</x:v>
      </x:c>
      <x:c r="AN30" s="22" t="n">
        <x:v>3</x:v>
      </x:c>
      <x:c r="AO30" s="22" t="n">
        <x:v>1</x:v>
      </x:c>
      <x:c r="AP30" s="22" t="n">
        <x:v>1100</x:v>
      </x:c>
      <x:c r="AQ30" s="22" t="n">
        <x:v>15</x:v>
      </x:c>
      <x:c r="AR30" s="22" t="n">
        <x:v>0</x:v>
      </x:c>
      <x:c r="AS30" s="22" t="n">
        <x:v>10</x:v>
      </x:c>
      <x:c r="AT30" s="22" t="n">
        <x:v>10</x:v>
      </x:c>
      <x:c r="AU30" s="22" t="n">
        <x:v>0</x:v>
      </x:c>
      <x:c r="AV30" s="22" t="n">
        <x:v>1</x:v>
      </x:c>
      <x:c r="AW30" s="22" t="n">
        <x:v>0</x:v>
      </x:c>
    </x:row>
    <x:row r="31" ht="24" customHeight="1">
      <x:c r="A31" s="22" t="str">
        <x:v>P0027</x:v>
      </x:c>
      <x:c r="B31" s="22" t="n">
        <x:v>2</x:v>
      </x:c>
      <x:c r="C31" s="22" t="n">
        <x:v>1</x:v>
      </x:c>
      <x:c r="D31" s="22" t="str">
        <x:v>C02G01入场</x:v>
      </x:c>
      <x:c r="E31" s="22" t="n">
        <x:v>1448</x:v>
      </x:c>
      <x:c r="F31" s="22" t="n">
        <x:v>1678</x:v>
      </x:c>
      <x:c r="G31" s="22" t="n">
        <x:v>1430</x:v>
      </x:c>
      <x:c r="H31" s="22" t="n">
        <x:v>1654</x:v>
      </x:c>
      <x:c r="I31" s="22" t="n">
        <x:v>1403</x:v>
      </x:c>
      <x:c r="J31" s="22" t="n">
        <x:v>1627</x:v>
      </x:c>
      <x:c r="K31" s="22" t="n">
        <x:v>161871</x:v>
      </x:c>
      <x:c r="L31" s="22" t="n">
        <x:v>30200</x:v>
      </x:c>
      <x:c r="M31" s="22" t="n">
        <x:v>164</x:v>
      </x:c>
      <x:c r="N31" s="22" t="n">
        <x:v>300</x:v>
      </x:c>
      <x:c r="O31" s="22" t="n">
        <x:v>134</x:v>
      </x:c>
      <x:c r="P31" s="22" t="n">
        <x:v>246</x:v>
      </x:c>
      <x:c r="Q31" s="22" t="n">
        <x:v>144</x:v>
      </x:c>
      <x:c r="R31" s="22" t="n">
        <x:v>144</x:v>
      </x:c>
      <x:c r="S31" s="22" t="n">
        <x:v>144</x:v>
      </x:c>
      <x:c r="T31" s="22" t="n">
        <x:v>0.02</x:v>
      </x:c>
      <x:c r="U31" s="22" t="n">
        <x:v>11</x:v>
      </x:c>
      <x:c r="V31" s="22" t="n">
        <x:v>24</x:v>
      </x:c>
      <x:c r="W31" s="22" t="n">
        <x:v>24</x:v>
      </x:c>
      <x:c r="X31" s="22" t="n">
        <x:v>20</x:v>
      </x:c>
      <x:c r="Y31" s="22" t="n">
        <x:v>41</x:v>
      </x:c>
      <x:c r="Z31" s="22" t="n">
        <x:v>0</x:v>
      </x:c>
      <x:c r="AA31" s="22" t="n">
        <x:v>0</x:v>
      </x:c>
      <x:c r="AB31" s="22" t="n">
        <x:v>0</x:v>
      </x:c>
      <x:c r="AC31" s="22" t="n">
        <x:v>0</x:v>
      </x:c>
      <x:c r="AD31" s="22" t="n">
        <x:v>17</x:v>
      </x:c>
      <x:c r="AE31" s="22" t="n">
        <x:v>5</x:v>
      </x:c>
      <x:c r="AF31" s="22" t="n">
        <x:v>75</x:v>
      </x:c>
      <x:c r="AG31" s="22" t="n">
        <x:v>7</x:v>
      </x:c>
      <x:c r="AH31" s="22" t="n">
        <x:v>0</x:v>
      </x:c>
      <x:c r="AI31" s="22" t="n">
        <x:v>11</x:v>
      </x:c>
      <x:c r="AJ31" s="22" t="n">
        <x:v>0</x:v>
      </x:c>
      <x:c r="AK31" s="22" t="n">
        <x:v>0</x:v>
      </x:c>
      <x:c r="AL31" s="22" t="n">
        <x:v>180</x:v>
      </x:c>
      <x:c r="AM31" s="22" t="n">
        <x:v>38</x:v>
      </x:c>
      <x:c r="AN31" s="22" t="n">
        <x:v>3</x:v>
      </x:c>
      <x:c r="AO31" s="22" t="n">
        <x:v>1</x:v>
      </x:c>
      <x:c r="AP31" s="22" t="n">
        <x:v>1100</x:v>
      </x:c>
      <x:c r="AQ31" s="22" t="n">
        <x:v>15</x:v>
      </x:c>
      <x:c r="AR31" s="22" t="n">
        <x:v>0</x:v>
      </x:c>
      <x:c r="AS31" s="22" t="n">
        <x:v>10</x:v>
      </x:c>
      <x:c r="AT31" s="22" t="n">
        <x:v>10</x:v>
      </x:c>
      <x:c r="AU31" s="22" t="n">
        <x:v>0</x:v>
      </x:c>
      <x:c r="AV31" s="22" t="n">
        <x:v>1</x:v>
      </x:c>
      <x:c r="AW31" s="22" t="n">
        <x:v>0</x:v>
      </x:c>
    </x:row>
    <x:row r="32" ht="24" customHeight="1">
      <x:c r="A32" s="22" t="str">
        <x:v>P0028</x:v>
      </x:c>
      <x:c r="B32" s="22" t="n">
        <x:v>2</x:v>
      </x:c>
      <x:c r="C32" s="22" t="n">
        <x:v>1</x:v>
      </x:c>
      <x:c r="D32" s="22" t="str">
        <x:v>C02G01普通专属4/6</x:v>
      </x:c>
      <x:c r="E32" s="22" t="n">
        <x:v>1647</x:v>
      </x:c>
      <x:c r="F32" s="22" t="n">
        <x:v>2079</x:v>
      </x:c>
      <x:c r="G32" s="22" t="n">
        <x:v>1629</x:v>
      </x:c>
      <x:c r="H32" s="22" t="n">
        <x:v>2055</x:v>
      </x:c>
      <x:c r="I32" s="22" t="n">
        <x:v>1602</x:v>
      </x:c>
      <x:c r="J32" s="22" t="n">
        <x:v>2028</x:v>
      </x:c>
      <x:c r="K32" s="22" t="n">
        <x:v>230770</x:v>
      </x:c>
      <x:c r="L32" s="22" t="n">
        <x:v>30200</x:v>
      </x:c>
      <x:c r="M32" s="22" t="n">
        <x:v>186</x:v>
      </x:c>
      <x:c r="N32" s="22" t="n">
        <x:v>335</x:v>
      </x:c>
      <x:c r="O32" s="22" t="n">
        <x:v>151</x:v>
      </x:c>
      <x:c r="P32" s="22" t="n">
        <x:v>275</x:v>
      </x:c>
      <x:c r="Q32" s="22" t="n">
        <x:v>186</x:v>
      </x:c>
      <x:c r="R32" s="22" t="n">
        <x:v>186</x:v>
      </x:c>
      <x:c r="S32" s="22" t="n">
        <x:v>186</x:v>
      </x:c>
      <x:c r="T32" s="22" t="n">
        <x:v>0.02</x:v>
      </x:c>
      <x:c r="U32" s="22" t="n">
        <x:v>11</x:v>
      </x:c>
      <x:c r="V32" s="22" t="n">
        <x:v>44</x:v>
      </x:c>
      <x:c r="W32" s="22" t="n">
        <x:v>34</x:v>
      </x:c>
      <x:c r="X32" s="22" t="n">
        <x:v>20</x:v>
      </x:c>
      <x:c r="Y32" s="22" t="n">
        <x:v>58</x:v>
      </x:c>
      <x:c r="Z32" s="22" t="n">
        <x:v>0</x:v>
      </x:c>
      <x:c r="AA32" s="22" t="n">
        <x:v>0</x:v>
      </x:c>
      <x:c r="AB32" s="22" t="n">
        <x:v>0</x:v>
      </x:c>
      <x:c r="AC32" s="22" t="n">
        <x:v>0</x:v>
      </x:c>
      <x:c r="AD32" s="22" t="n">
        <x:v>25</x:v>
      </x:c>
      <x:c r="AE32" s="22" t="n">
        <x:v>5</x:v>
      </x:c>
      <x:c r="AF32" s="22" t="n">
        <x:v>77</x:v>
      </x:c>
      <x:c r="AG32" s="22" t="n">
        <x:v>7</x:v>
      </x:c>
      <x:c r="AH32" s="22" t="n">
        <x:v>0</x:v>
      </x:c>
      <x:c r="AI32" s="22" t="n">
        <x:v>11</x:v>
      </x:c>
      <x:c r="AJ32" s="22" t="n">
        <x:v>0</x:v>
      </x:c>
      <x:c r="AK32" s="22" t="n">
        <x:v>0</x:v>
      </x:c>
      <x:c r="AL32" s="22" t="n">
        <x:v>180</x:v>
      </x:c>
      <x:c r="AM32" s="22" t="n">
        <x:v>44</x:v>
      </x:c>
      <x:c r="AN32" s="22" t="n">
        <x:v>3</x:v>
      </x:c>
      <x:c r="AO32" s="22" t="n">
        <x:v>3</x:v>
      </x:c>
      <x:c r="AP32" s="22" t="n">
        <x:v>1100</x:v>
      </x:c>
      <x:c r="AQ32" s="22" t="n">
        <x:v>15</x:v>
      </x:c>
      <x:c r="AR32" s="22" t="n">
        <x:v>0</x:v>
      </x:c>
      <x:c r="AS32" s="22" t="n">
        <x:v>10</x:v>
      </x:c>
      <x:c r="AT32" s="22" t="n">
        <x:v>10</x:v>
      </x:c>
      <x:c r="AU32" s="22" t="n">
        <x:v>0</x:v>
      </x:c>
      <x:c r="AV32" s="22" t="n">
        <x:v>3</x:v>
      </x:c>
      <x:c r="AW32" s="22" t="n">
        <x:v>0</x:v>
      </x:c>
    </x:row>
    <x:row r="33" ht="24" customHeight="1">
      <x:c r="A33" s="22" t="str">
        <x:v>P0029</x:v>
      </x:c>
      <x:c r="B33" s="22" t="n">
        <x:v>2</x:v>
      </x:c>
      <x:c r="C33" s="22" t="n">
        <x:v>1</x:v>
      </x:c>
      <x:c r="D33" s="22" t="str">
        <x:v>溃烂树灵·乌尔德挑战前</x:v>
      </x:c>
      <x:c r="E33" s="22" t="n">
        <x:v>1662</x:v>
      </x:c>
      <x:c r="F33" s="22" t="n">
        <x:v>2094</x:v>
      </x:c>
      <x:c r="G33" s="22" t="n">
        <x:v>1644</x:v>
      </x:c>
      <x:c r="H33" s="22" t="n">
        <x:v>2070</x:v>
      </x:c>
      <x:c r="I33" s="22" t="n">
        <x:v>1617</x:v>
      </x:c>
      <x:c r="J33" s="22" t="n">
        <x:v>2043</x:v>
      </x:c>
      <x:c r="K33" s="22" t="n">
        <x:v>232270</x:v>
      </x:c>
      <x:c r="L33" s="22" t="n">
        <x:v>30200</x:v>
      </x:c>
      <x:c r="M33" s="22" t="n">
        <x:v>186</x:v>
      </x:c>
      <x:c r="N33" s="22" t="n">
        <x:v>335</x:v>
      </x:c>
      <x:c r="O33" s="22" t="n">
        <x:v>151</x:v>
      </x:c>
      <x:c r="P33" s="22" t="n">
        <x:v>275</x:v>
      </x:c>
      <x:c r="Q33" s="22" t="n">
        <x:v>202</x:v>
      </x:c>
      <x:c r="R33" s="22" t="n">
        <x:v>186</x:v>
      </x:c>
      <x:c r="S33" s="22" t="n">
        <x:v>186</x:v>
      </x:c>
      <x:c r="T33" s="22" t="n">
        <x:v>0.02</x:v>
      </x:c>
      <x:c r="U33" s="22" t="n">
        <x:v>11</x:v>
      </x:c>
      <x:c r="V33" s="22" t="n">
        <x:v>44</x:v>
      </x:c>
      <x:c r="W33" s="22" t="n">
        <x:v>34</x:v>
      </x:c>
      <x:c r="X33" s="22" t="n">
        <x:v>20</x:v>
      </x:c>
      <x:c r="Y33" s="22" t="n">
        <x:v>58</x:v>
      </x:c>
      <x:c r="Z33" s="22" t="n">
        <x:v>0</x:v>
      </x:c>
      <x:c r="AA33" s="22" t="n">
        <x:v>0</x:v>
      </x:c>
      <x:c r="AB33" s="22" t="n">
        <x:v>0</x:v>
      </x:c>
      <x:c r="AC33" s="22" t="n">
        <x:v>0</x:v>
      </x:c>
      <x:c r="AD33" s="22" t="n">
        <x:v>25</x:v>
      </x:c>
      <x:c r="AE33" s="22" t="n">
        <x:v>5</x:v>
      </x:c>
      <x:c r="AF33" s="22" t="n">
        <x:v>77</x:v>
      </x:c>
      <x:c r="AG33" s="22" t="n">
        <x:v>7</x:v>
      </x:c>
      <x:c r="AH33" s="22" t="n">
        <x:v>5</x:v>
      </x:c>
      <x:c r="AI33" s="22" t="n">
        <x:v>11</x:v>
      </x:c>
      <x:c r="AJ33" s="22" t="n">
        <x:v>0</x:v>
      </x:c>
      <x:c r="AK33" s="22" t="n">
        <x:v>0</x:v>
      </x:c>
      <x:c r="AL33" s="22" t="n">
        <x:v>210</x:v>
      </x:c>
      <x:c r="AM33" s="22" t="n">
        <x:v>44</x:v>
      </x:c>
      <x:c r="AN33" s="22" t="n">
        <x:v>3</x:v>
      </x:c>
      <x:c r="AO33" s="22" t="n">
        <x:v>4</x:v>
      </x:c>
      <x:c r="AP33" s="22" t="n">
        <x:v>1100</x:v>
      </x:c>
      <x:c r="AQ33" s="22" t="n">
        <x:v>15</x:v>
      </x:c>
      <x:c r="AR33" s="22" t="n">
        <x:v>0</x:v>
      </x:c>
      <x:c r="AS33" s="22" t="n">
        <x:v>10</x:v>
      </x:c>
      <x:c r="AT33" s="22" t="n">
        <x:v>10</x:v>
      </x:c>
      <x:c r="AU33" s="22" t="n">
        <x:v>0</x:v>
      </x:c>
      <x:c r="AV33" s="22" t="n">
        <x:v>3</x:v>
      </x:c>
      <x:c r="AW33" s="22" t="n">
        <x:v>0</x:v>
      </x:c>
    </x:row>
    <x:row r="34" ht="24" customHeight="1">
      <x:c r="A34" s="22" t="str">
        <x:v>P0030</x:v>
      </x:c>
      <x:c r="B34" s="22" t="n">
        <x:v>2</x:v>
      </x:c>
      <x:c r="C34" s="22" t="n">
        <x:v>1</x:v>
      </x:c>
      <x:c r="D34" s="22" t="str">
        <x:v>接肢贵胄·格雷姆挑战前</x:v>
      </x:c>
      <x:c r="E34" s="22" t="n">
        <x:v>1662</x:v>
      </x:c>
      <x:c r="F34" s="22" t="n">
        <x:v>2094</x:v>
      </x:c>
      <x:c r="G34" s="22" t="n">
        <x:v>1644</x:v>
      </x:c>
      <x:c r="H34" s="22" t="n">
        <x:v>2070</x:v>
      </x:c>
      <x:c r="I34" s="22" t="n">
        <x:v>1617</x:v>
      </x:c>
      <x:c r="J34" s="22" t="n">
        <x:v>2043</x:v>
      </x:c>
      <x:c r="K34" s="22" t="n">
        <x:v>232270</x:v>
      </x:c>
      <x:c r="L34" s="22" t="n">
        <x:v>30200</x:v>
      </x:c>
      <x:c r="M34" s="22" t="n">
        <x:v>186</x:v>
      </x:c>
      <x:c r="N34" s="22" t="n">
        <x:v>335</x:v>
      </x:c>
      <x:c r="O34" s="22" t="n">
        <x:v>151</x:v>
      </x:c>
      <x:c r="P34" s="22" t="n">
        <x:v>275</x:v>
      </x:c>
      <x:c r="Q34" s="22" t="n">
        <x:v>202</x:v>
      </x:c>
      <x:c r="R34" s="22" t="n">
        <x:v>186</x:v>
      </x:c>
      <x:c r="S34" s="22" t="n">
        <x:v>186</x:v>
      </x:c>
      <x:c r="T34" s="22" t="n">
        <x:v>0.02</x:v>
      </x:c>
      <x:c r="U34" s="22" t="n">
        <x:v>11</x:v>
      </x:c>
      <x:c r="V34" s="22" t="n">
        <x:v>44</x:v>
      </x:c>
      <x:c r="W34" s="22" t="n">
        <x:v>34</x:v>
      </x:c>
      <x:c r="X34" s="22" t="n">
        <x:v>20</x:v>
      </x:c>
      <x:c r="Y34" s="22" t="n">
        <x:v>58</x:v>
      </x:c>
      <x:c r="Z34" s="22" t="n">
        <x:v>0</x:v>
      </x:c>
      <x:c r="AA34" s="22" t="n">
        <x:v>0</x:v>
      </x:c>
      <x:c r="AB34" s="22" t="n">
        <x:v>0</x:v>
      </x:c>
      <x:c r="AC34" s="22" t="n">
        <x:v>0</x:v>
      </x:c>
      <x:c r="AD34" s="22" t="n">
        <x:v>25</x:v>
      </x:c>
      <x:c r="AE34" s="22" t="n">
        <x:v>5</x:v>
      </x:c>
      <x:c r="AF34" s="22" t="n">
        <x:v>77</x:v>
      </x:c>
      <x:c r="AG34" s="22" t="n">
        <x:v>7</x:v>
      </x:c>
      <x:c r="AH34" s="22" t="n">
        <x:v>5</x:v>
      </x:c>
      <x:c r="AI34" s="22" t="n">
        <x:v>11</x:v>
      </x:c>
      <x:c r="AJ34" s="22" t="n">
        <x:v>0</x:v>
      </x:c>
      <x:c r="AK34" s="22" t="n">
        <x:v>0</x:v>
      </x:c>
      <x:c r="AL34" s="22" t="n">
        <x:v>210</x:v>
      </x:c>
      <x:c r="AM34" s="22" t="n">
        <x:v>44</x:v>
      </x:c>
      <x:c r="AN34" s="22" t="n">
        <x:v>3</x:v>
      </x:c>
      <x:c r="AO34" s="22" t="n">
        <x:v>4</x:v>
      </x:c>
      <x:c r="AP34" s="22" t="n">
        <x:v>1100</x:v>
      </x:c>
      <x:c r="AQ34" s="22" t="n">
        <x:v>15</x:v>
      </x:c>
      <x:c r="AR34" s="22" t="n">
        <x:v>0</x:v>
      </x:c>
      <x:c r="AS34" s="22" t="n">
        <x:v>10</x:v>
      </x:c>
      <x:c r="AT34" s="22" t="n">
        <x:v>10</x:v>
      </x:c>
      <x:c r="AU34" s="22" t="n">
        <x:v>0</x:v>
      </x:c>
      <x:c r="AV34" s="22" t="n">
        <x:v>3</x:v>
      </x:c>
      <x:c r="AW34" s="22" t="n">
        <x:v>0</x:v>
      </x:c>
    </x:row>
    <x:row r="35" ht="24" customHeight="1">
      <x:c r="A35" s="22" t="str">
        <x:v>P0031</x:v>
      </x:c>
      <x:c r="B35" s="22" t="n">
        <x:v>2</x:v>
      </x:c>
      <x:c r="C35" s="22" t="n">
        <x:v>1</x:v>
      </x:c>
      <x:c r="D35" s="22" t="str">
        <x:v>漂流墓地BOSS装备快线</x:v>
      </x:c>
      <x:c r="E35" s="22" t="n">
        <x:v>1697</x:v>
      </x:c>
      <x:c r="F35" s="22" t="n">
        <x:v>2164</x:v>
      </x:c>
      <x:c r="G35" s="22" t="n">
        <x:v>1679</x:v>
      </x:c>
      <x:c r="H35" s="22" t="n">
        <x:v>2140</x:v>
      </x:c>
      <x:c r="I35" s="22" t="n">
        <x:v>1652</x:v>
      </x:c>
      <x:c r="J35" s="22" t="n">
        <x:v>2113</x:v>
      </x:c>
      <x:c r="K35" s="22" t="n">
        <x:v>247270</x:v>
      </x:c>
      <x:c r="L35" s="22" t="n">
        <x:v>30200</x:v>
      </x:c>
      <x:c r="M35" s="22" t="n">
        <x:v>198</x:v>
      </x:c>
      <x:c r="N35" s="22" t="n">
        <x:v>357</x:v>
      </x:c>
      <x:c r="O35" s="22" t="n">
        <x:v>160</x:v>
      </x:c>
      <x:c r="P35" s="22" t="n">
        <x:v>292</x:v>
      </x:c>
      <x:c r="Q35" s="22" t="n">
        <x:v>208</x:v>
      </x:c>
      <x:c r="R35" s="22" t="n">
        <x:v>192</x:v>
      </x:c>
      <x:c r="S35" s="22" t="n">
        <x:v>192</x:v>
      </x:c>
      <x:c r="T35" s="22" t="n">
        <x:v>0.02</x:v>
      </x:c>
      <x:c r="U35" s="22" t="n">
        <x:v>11</x:v>
      </x:c>
      <x:c r="V35" s="22" t="n">
        <x:v>45</x:v>
      </x:c>
      <x:c r="W35" s="22" t="n">
        <x:v>36</x:v>
      </x:c>
      <x:c r="X35" s="22" t="n">
        <x:v>20</x:v>
      </x:c>
      <x:c r="Y35" s="22" t="n">
        <x:v>58</x:v>
      </x:c>
      <x:c r="Z35" s="22" t="n">
        <x:v>0</x:v>
      </x:c>
      <x:c r="AA35" s="22" t="n">
        <x:v>0</x:v>
      </x:c>
      <x:c r="AB35" s="22" t="n">
        <x:v>0</x:v>
      </x:c>
      <x:c r="AC35" s="22" t="n">
        <x:v>0</x:v>
      </x:c>
      <x:c r="AD35" s="22" t="n">
        <x:v>25</x:v>
      </x:c>
      <x:c r="AE35" s="22" t="n">
        <x:v>5</x:v>
      </x:c>
      <x:c r="AF35" s="22" t="n">
        <x:v>77</x:v>
      </x:c>
      <x:c r="AG35" s="22" t="n">
        <x:v>7</x:v>
      </x:c>
      <x:c r="AH35" s="22" t="n">
        <x:v>5</x:v>
      </x:c>
      <x:c r="AI35" s="22" t="n">
        <x:v>11</x:v>
      </x:c>
      <x:c r="AJ35" s="22" t="n">
        <x:v>0</x:v>
      </x:c>
      <x:c r="AK35" s="22" t="n">
        <x:v>0</x:v>
      </x:c>
      <x:c r="AL35" s="22" t="n">
        <x:v>214</x:v>
      </x:c>
      <x:c r="AM35" s="22" t="n">
        <x:v>45</x:v>
      </x:c>
      <x:c r="AN35" s="22" t="n">
        <x:v>3</x:v>
      </x:c>
      <x:c r="AO35" s="22" t="n">
        <x:v>4</x:v>
      </x:c>
      <x:c r="AP35" s="22" t="n">
        <x:v>1130</x:v>
      </x:c>
      <x:c r="AQ35" s="22" t="n">
        <x:v>15</x:v>
      </x:c>
      <x:c r="AR35" s="22" t="n">
        <x:v>0</x:v>
      </x:c>
      <x:c r="AS35" s="22" t="n">
        <x:v>10</x:v>
      </x:c>
      <x:c r="AT35" s="22" t="n">
        <x:v>10</x:v>
      </x:c>
      <x:c r="AU35" s="22" t="n">
        <x:v>0</x:v>
      </x:c>
      <x:c r="AV35" s="22" t="n">
        <x:v>4</x:v>
      </x:c>
      <x:c r="AW35" s="22" t="n">
        <x:v>0</x:v>
      </x:c>
    </x:row>
    <x:row r="36" ht="24" customHeight="1">
      <x:c r="A36" s="22" t="str">
        <x:v>P0032</x:v>
      </x:c>
      <x:c r="B36" s="22" t="n">
        <x:v>2</x:v>
      </x:c>
      <x:c r="C36" s="22" t="n">
        <x:v>1</x:v>
      </x:c>
      <x:c r="D36" s="22" t="str">
        <x:v>漂流墓地阶段积累后</x:v>
      </x:c>
      <x:c r="E36" s="22" t="n">
        <x:v>1690</x:v>
      </x:c>
      <x:c r="F36" s="22" t="n">
        <x:v>2143</x:v>
      </x:c>
      <x:c r="G36" s="22" t="n">
        <x:v>1672</x:v>
      </x:c>
      <x:c r="H36" s="22" t="n">
        <x:v>2119</x:v>
      </x:c>
      <x:c r="I36" s="22" t="n">
        <x:v>1645</x:v>
      </x:c>
      <x:c r="J36" s="22" t="n">
        <x:v>2092</x:v>
      </x:c>
      <x:c r="K36" s="22" t="n">
        <x:v>238370</x:v>
      </x:c>
      <x:c r="L36" s="22" t="n">
        <x:v>30200</x:v>
      </x:c>
      <x:c r="M36" s="22" t="n">
        <x:v>191</x:v>
      </x:c>
      <x:c r="N36" s="22" t="n">
        <x:v>342</x:v>
      </x:c>
      <x:c r="O36" s="22" t="n">
        <x:v>155</x:v>
      </x:c>
      <x:c r="P36" s="22" t="n">
        <x:v>281</x:v>
      </x:c>
      <x:c r="Q36" s="22" t="n">
        <x:v>209</x:v>
      </x:c>
      <x:c r="R36" s="22" t="n">
        <x:v>193</x:v>
      </x:c>
      <x:c r="S36" s="22" t="n">
        <x:v>193</x:v>
      </x:c>
      <x:c r="T36" s="22" t="n">
        <x:v>0.02</x:v>
      </x:c>
      <x:c r="U36" s="22" t="n">
        <x:v>11</x:v>
      </x:c>
      <x:c r="V36" s="22" t="n">
        <x:v>49</x:v>
      </x:c>
      <x:c r="W36" s="22" t="n">
        <x:v>34</x:v>
      </x:c>
      <x:c r="X36" s="22" t="n">
        <x:v>20</x:v>
      </x:c>
      <x:c r="Y36" s="22" t="n">
        <x:v>65</x:v>
      </x:c>
      <x:c r="Z36" s="22" t="n">
        <x:v>0</x:v>
      </x:c>
      <x:c r="AA36" s="22" t="n">
        <x:v>0</x:v>
      </x:c>
      <x:c r="AB36" s="22" t="n">
        <x:v>0</x:v>
      </x:c>
      <x:c r="AC36" s="22" t="n">
        <x:v>0</x:v>
      </x:c>
      <x:c r="AD36" s="22" t="n">
        <x:v>25</x:v>
      </x:c>
      <x:c r="AE36" s="22" t="n">
        <x:v>5</x:v>
      </x:c>
      <x:c r="AF36" s="22" t="n">
        <x:v>77</x:v>
      </x:c>
      <x:c r="AG36" s="22" t="n">
        <x:v>7</x:v>
      </x:c>
      <x:c r="AH36" s="22" t="n">
        <x:v>5</x:v>
      </x:c>
      <x:c r="AI36" s="22" t="n">
        <x:v>11</x:v>
      </x:c>
      <x:c r="AJ36" s="22" t="n">
        <x:v>0</x:v>
      </x:c>
      <x:c r="AK36" s="22" t="n">
        <x:v>0</x:v>
      </x:c>
      <x:c r="AL36" s="22" t="n">
        <x:v>230</x:v>
      </x:c>
      <x:c r="AM36" s="22" t="n">
        <x:v>44</x:v>
      </x:c>
      <x:c r="AN36" s="22" t="n">
        <x:v>3</x:v>
      </x:c>
      <x:c r="AO36" s="22" t="n">
        <x:v>4</x:v>
      </x:c>
      <x:c r="AP36" s="22" t="n">
        <x:v>1100</x:v>
      </x:c>
      <x:c r="AQ36" s="22" t="n">
        <x:v>15</x:v>
      </x:c>
      <x:c r="AR36" s="22" t="n">
        <x:v>0</x:v>
      </x:c>
      <x:c r="AS36" s="22" t="n">
        <x:v>10</x:v>
      </x:c>
      <x:c r="AT36" s="22" t="n">
        <x:v>10</x:v>
      </x:c>
      <x:c r="AU36" s="22" t="n">
        <x:v>0</x:v>
      </x:c>
      <x:c r="AV36" s="22" t="n">
        <x:v>3</x:v>
      </x:c>
      <x:c r="AW36" s="22" t="n">
        <x:v>0</x:v>
      </x:c>
    </x:row>
    <x:row r="37" ht="24" customHeight="1">
      <x:c r="A37" s="22" t="str">
        <x:v>P0033</x:v>
      </x:c>
      <x:c r="B37" s="22" t="n">
        <x:v>2</x:v>
      </x:c>
      <x:c r="C37" s="22" t="n">
        <x:v>2</x:v>
      </x:c>
      <x:c r="D37" s="22" t="str">
        <x:v>C02G02入场</x:v>
      </x:c>
      <x:c r="E37" s="22" t="n">
        <x:v>1690</x:v>
      </x:c>
      <x:c r="F37" s="22" t="n">
        <x:v>2143</x:v>
      </x:c>
      <x:c r="G37" s="22" t="n">
        <x:v>1672</x:v>
      </x:c>
      <x:c r="H37" s="22" t="n">
        <x:v>2119</x:v>
      </x:c>
      <x:c r="I37" s="22" t="n">
        <x:v>1645</x:v>
      </x:c>
      <x:c r="J37" s="22" t="n">
        <x:v>2092</x:v>
      </x:c>
      <x:c r="K37" s="22" t="n">
        <x:v>238370</x:v>
      </x:c>
      <x:c r="L37" s="22" t="n">
        <x:v>30200</x:v>
      </x:c>
      <x:c r="M37" s="22" t="n">
        <x:v>191</x:v>
      </x:c>
      <x:c r="N37" s="22" t="n">
        <x:v>342</x:v>
      </x:c>
      <x:c r="O37" s="22" t="n">
        <x:v>155</x:v>
      </x:c>
      <x:c r="P37" s="22" t="n">
        <x:v>281</x:v>
      </x:c>
      <x:c r="Q37" s="22" t="n">
        <x:v>209</x:v>
      </x:c>
      <x:c r="R37" s="22" t="n">
        <x:v>193</x:v>
      </x:c>
      <x:c r="S37" s="22" t="n">
        <x:v>193</x:v>
      </x:c>
      <x:c r="T37" s="22" t="n">
        <x:v>0.02</x:v>
      </x:c>
      <x:c r="U37" s="22" t="n">
        <x:v>11</x:v>
      </x:c>
      <x:c r="V37" s="22" t="n">
        <x:v>49</x:v>
      </x:c>
      <x:c r="W37" s="22" t="n">
        <x:v>34</x:v>
      </x:c>
      <x:c r="X37" s="22" t="n">
        <x:v>20</x:v>
      </x:c>
      <x:c r="Y37" s="22" t="n">
        <x:v>65</x:v>
      </x:c>
      <x:c r="Z37" s="22" t="n">
        <x:v>0</x:v>
      </x:c>
      <x:c r="AA37" s="22" t="n">
        <x:v>0</x:v>
      </x:c>
      <x:c r="AB37" s="22" t="n">
        <x:v>0</x:v>
      </x:c>
      <x:c r="AC37" s="22" t="n">
        <x:v>0</x:v>
      </x:c>
      <x:c r="AD37" s="22" t="n">
        <x:v>25</x:v>
      </x:c>
      <x:c r="AE37" s="22" t="n">
        <x:v>5</x:v>
      </x:c>
      <x:c r="AF37" s="22" t="n">
        <x:v>77</x:v>
      </x:c>
      <x:c r="AG37" s="22" t="n">
        <x:v>7</x:v>
      </x:c>
      <x:c r="AH37" s="22" t="n">
        <x:v>5</x:v>
      </x:c>
      <x:c r="AI37" s="22" t="n">
        <x:v>11</x:v>
      </x:c>
      <x:c r="AJ37" s="22" t="n">
        <x:v>0</x:v>
      </x:c>
      <x:c r="AK37" s="22" t="n">
        <x:v>0</x:v>
      </x:c>
      <x:c r="AL37" s="22" t="n">
        <x:v>230</x:v>
      </x:c>
      <x:c r="AM37" s="22" t="n">
        <x:v>44</x:v>
      </x:c>
      <x:c r="AN37" s="22" t="n">
        <x:v>3</x:v>
      </x:c>
      <x:c r="AO37" s="22" t="n">
        <x:v>4</x:v>
      </x:c>
      <x:c r="AP37" s="22" t="n">
        <x:v>1100</x:v>
      </x:c>
      <x:c r="AQ37" s="22" t="n">
        <x:v>15</x:v>
      </x:c>
      <x:c r="AR37" s="22" t="n">
        <x:v>0</x:v>
      </x:c>
      <x:c r="AS37" s="22" t="n">
        <x:v>10</x:v>
      </x:c>
      <x:c r="AT37" s="22" t="n">
        <x:v>10</x:v>
      </x:c>
      <x:c r="AU37" s="22" t="n">
        <x:v>0</x:v>
      </x:c>
      <x:c r="AV37" s="22" t="n">
        <x:v>3</x:v>
      </x:c>
      <x:c r="AW37" s="22" t="n">
        <x:v>0</x:v>
      </x:c>
    </x:row>
    <x:row r="38" ht="24" customHeight="1">
      <x:c r="A38" s="22" t="str">
        <x:v>P0034</x:v>
      </x:c>
      <x:c r="B38" s="22" t="n">
        <x:v>2</x:v>
      </x:c>
      <x:c r="C38" s="22" t="n">
        <x:v>2</x:v>
      </x:c>
      <x:c r="D38" s="22" t="str">
        <x:v>C02G02普通专属4/6</x:v>
      </x:c>
      <x:c r="E38" s="22" t="n">
        <x:v>1715</x:v>
      </x:c>
      <x:c r="F38" s="22" t="n">
        <x:v>2195</x:v>
      </x:c>
      <x:c r="G38" s="22" t="n">
        <x:v>1697</x:v>
      </x:c>
      <x:c r="H38" s="22" t="n">
        <x:v>2171</x:v>
      </x:c>
      <x:c r="I38" s="22" t="n">
        <x:v>1670</x:v>
      </x:c>
      <x:c r="J38" s="22" t="n">
        <x:v>2144</x:v>
      </x:c>
      <x:c r="K38" s="22" t="n">
        <x:v>272750</x:v>
      </x:c>
      <x:c r="L38" s="22" t="n">
        <x:v>30200</x:v>
      </x:c>
      <x:c r="M38" s="22" t="n">
        <x:v>203</x:v>
      </x:c>
      <x:c r="N38" s="22" t="n">
        <x:v>362</x:v>
      </x:c>
      <x:c r="O38" s="22" t="n">
        <x:v>166</x:v>
      </x:c>
      <x:c r="P38" s="22" t="n">
        <x:v>297</x:v>
      </x:c>
      <x:c r="Q38" s="22" t="n">
        <x:v>227</x:v>
      </x:c>
      <x:c r="R38" s="22" t="n">
        <x:v>211</x:v>
      </x:c>
      <x:c r="S38" s="22" t="n">
        <x:v>211</x:v>
      </x:c>
      <x:c r="T38" s="22" t="n">
        <x:v>0.02</x:v>
      </x:c>
      <x:c r="U38" s="22" t="n">
        <x:v>11</x:v>
      </x:c>
      <x:c r="V38" s="22" t="n">
        <x:v>58</x:v>
      </x:c>
      <x:c r="W38" s="22" t="n">
        <x:v>41</x:v>
      </x:c>
      <x:c r="X38" s="22" t="n">
        <x:v>20</x:v>
      </x:c>
      <x:c r="Y38" s="22" t="n">
        <x:v>83</x:v>
      </x:c>
      <x:c r="Z38" s="22" t="n">
        <x:v>0</x:v>
      </x:c>
      <x:c r="AA38" s="22" t="n">
        <x:v>0</x:v>
      </x:c>
      <x:c r="AB38" s="22" t="n">
        <x:v>0</x:v>
      </x:c>
      <x:c r="AC38" s="22" t="n">
        <x:v>0</x:v>
      </x:c>
      <x:c r="AD38" s="22" t="n">
        <x:v>25</x:v>
      </x:c>
      <x:c r="AE38" s="22" t="n">
        <x:v>5</x:v>
      </x:c>
      <x:c r="AF38" s="22" t="n">
        <x:v>77</x:v>
      </x:c>
      <x:c r="AG38" s="22" t="n">
        <x:v>7</x:v>
      </x:c>
      <x:c r="AH38" s="22" t="n">
        <x:v>5</x:v>
      </x:c>
      <x:c r="AI38" s="22" t="n">
        <x:v>11</x:v>
      </x:c>
      <x:c r="AJ38" s="22" t="n">
        <x:v>0</x:v>
      </x:c>
      <x:c r="AK38" s="22" t="n">
        <x:v>0</x:v>
      </x:c>
      <x:c r="AL38" s="22" t="n">
        <x:v>220</x:v>
      </x:c>
      <x:c r="AM38" s="22" t="n">
        <x:v>42</x:v>
      </x:c>
      <x:c r="AN38" s="22" t="n">
        <x:v>3</x:v>
      </x:c>
      <x:c r="AO38" s="22" t="n">
        <x:v>4</x:v>
      </x:c>
      <x:c r="AP38" s="22" t="n">
        <x:v>1100</x:v>
      </x:c>
      <x:c r="AQ38" s="22" t="n">
        <x:v>15</x:v>
      </x:c>
      <x:c r="AR38" s="22" t="n">
        <x:v>0</x:v>
      </x:c>
      <x:c r="AS38" s="22" t="n">
        <x:v>10</x:v>
      </x:c>
      <x:c r="AT38" s="22" t="n">
        <x:v>10</x:v>
      </x:c>
      <x:c r="AU38" s="22" t="n">
        <x:v>0</x:v>
      </x:c>
      <x:c r="AV38" s="22" t="n">
        <x:v>4</x:v>
      </x:c>
      <x:c r="AW38" s="22" t="n">
        <x:v>0</x:v>
      </x:c>
    </x:row>
    <x:row r="39" ht="24" customHeight="1">
      <x:c r="A39" s="22" t="str">
        <x:v>P0035</x:v>
      </x:c>
      <x:c r="B39" s="22" t="n">
        <x:v>2</x:v>
      </x:c>
      <x:c r="C39" s="22" t="n">
        <x:v>2</x:v>
      </x:c>
      <x:c r="D39" s="22" t="str">
        <x:v>大树守卫·罗兰挑战前</x:v>
      </x:c>
      <x:c r="E39" s="22" t="n">
        <x:v>1854</x:v>
      </x:c>
      <x:c r="F39" s="22" t="n">
        <x:v>2334</x:v>
      </x:c>
      <x:c r="G39" s="22" t="n">
        <x:v>1802</x:v>
      </x:c>
      <x:c r="H39" s="22" t="n">
        <x:v>2276</x:v>
      </x:c>
      <x:c r="I39" s="22" t="n">
        <x:v>1777</x:v>
      </x:c>
      <x:c r="J39" s="22" t="n">
        <x:v>2251</x:v>
      </x:c>
      <x:c r="K39" s="22" t="n">
        <x:v>283250</x:v>
      </x:c>
      <x:c r="L39" s="22" t="n">
        <x:v>30200</x:v>
      </x:c>
      <x:c r="M39" s="22" t="n">
        <x:v>203</x:v>
      </x:c>
      <x:c r="N39" s="22" t="n">
        <x:v>362</x:v>
      </x:c>
      <x:c r="O39" s="22" t="n">
        <x:v>166</x:v>
      </x:c>
      <x:c r="P39" s="22" t="n">
        <x:v>297</x:v>
      </x:c>
      <x:c r="Q39" s="22" t="n">
        <x:v>227</x:v>
      </x:c>
      <x:c r="R39" s="22" t="n">
        <x:v>211</x:v>
      </x:c>
      <x:c r="S39" s="22" t="n">
        <x:v>211</x:v>
      </x:c>
      <x:c r="T39" s="22" t="n">
        <x:v>0.02</x:v>
      </x:c>
      <x:c r="U39" s="22" t="n">
        <x:v>11</x:v>
      </x:c>
      <x:c r="V39" s="22" t="n">
        <x:v>58</x:v>
      </x:c>
      <x:c r="W39" s="22" t="n">
        <x:v>41</x:v>
      </x:c>
      <x:c r="X39" s="22" t="n">
        <x:v>20</x:v>
      </x:c>
      <x:c r="Y39" s="22" t="n">
        <x:v>83</x:v>
      </x:c>
      <x:c r="Z39" s="22" t="n">
        <x:v>0</x:v>
      </x:c>
      <x:c r="AA39" s="22" t="n">
        <x:v>0</x:v>
      </x:c>
      <x:c r="AB39" s="22" t="n">
        <x:v>0</x:v>
      </x:c>
      <x:c r="AC39" s="22" t="n">
        <x:v>0</x:v>
      </x:c>
      <x:c r="AD39" s="22" t="n">
        <x:v>25</x:v>
      </x:c>
      <x:c r="AE39" s="22" t="n">
        <x:v>5</x:v>
      </x:c>
      <x:c r="AF39" s="22" t="n">
        <x:v>77</x:v>
      </x:c>
      <x:c r="AG39" s="22" t="n">
        <x:v>7</x:v>
      </x:c>
      <x:c r="AH39" s="22" t="n">
        <x:v>5</x:v>
      </x:c>
      <x:c r="AI39" s="22" t="n">
        <x:v>11</x:v>
      </x:c>
      <x:c r="AJ39" s="22" t="n">
        <x:v>0</x:v>
      </x:c>
      <x:c r="AK39" s="22" t="n">
        <x:v>0</x:v>
      </x:c>
      <x:c r="AL39" s="22" t="n">
        <x:v>230</x:v>
      </x:c>
      <x:c r="AM39" s="22" t="n">
        <x:v>42</x:v>
      </x:c>
      <x:c r="AN39" s="22" t="n">
        <x:v>3</x:v>
      </x:c>
      <x:c r="AO39" s="22" t="n">
        <x:v>4</x:v>
      </x:c>
      <x:c r="AP39" s="22" t="n">
        <x:v>1100</x:v>
      </x:c>
      <x:c r="AQ39" s="22" t="n">
        <x:v>16</x:v>
      </x:c>
      <x:c r="AR39" s="22" t="n">
        <x:v>0</x:v>
      </x:c>
      <x:c r="AS39" s="22" t="n">
        <x:v>10</x:v>
      </x:c>
      <x:c r="AT39" s="22" t="n">
        <x:v>10</x:v>
      </x:c>
      <x:c r="AU39" s="22" t="n">
        <x:v>0</x:v>
      </x:c>
      <x:c r="AV39" s="22" t="n">
        <x:v>4</x:v>
      </x:c>
      <x:c r="AW39" s="22" t="n">
        <x:v>0</x:v>
      </x:c>
    </x:row>
    <x:row r="40" ht="24" customHeight="1">
      <x:c r="A40" s="22" t="str">
        <x:v>P0036</x:v>
      </x:c>
      <x:c r="B40" s="22" t="n">
        <x:v>2</x:v>
      </x:c>
      <x:c r="C40" s="22" t="n">
        <x:v>2</x:v>
      </x:c>
      <x:c r="D40" s="22" t="str">
        <x:v>黑夜骑兵·莫尔挑战前</x:v>
      </x:c>
      <x:c r="E40" s="22" t="n">
        <x:v>1854</x:v>
      </x:c>
      <x:c r="F40" s="22" t="n">
        <x:v>2334</x:v>
      </x:c>
      <x:c r="G40" s="22" t="n">
        <x:v>1802</x:v>
      </x:c>
      <x:c r="H40" s="22" t="n">
        <x:v>2276</x:v>
      </x:c>
      <x:c r="I40" s="22" t="n">
        <x:v>1777</x:v>
      </x:c>
      <x:c r="J40" s="22" t="n">
        <x:v>2251</x:v>
      </x:c>
      <x:c r="K40" s="22" t="n">
        <x:v>283250</x:v>
      </x:c>
      <x:c r="L40" s="22" t="n">
        <x:v>30200</x:v>
      </x:c>
      <x:c r="M40" s="22" t="n">
        <x:v>203</x:v>
      </x:c>
      <x:c r="N40" s="22" t="n">
        <x:v>362</x:v>
      </x:c>
      <x:c r="O40" s="22" t="n">
        <x:v>166</x:v>
      </x:c>
      <x:c r="P40" s="22" t="n">
        <x:v>297</x:v>
      </x:c>
      <x:c r="Q40" s="22" t="n">
        <x:v>227</x:v>
      </x:c>
      <x:c r="R40" s="22" t="n">
        <x:v>211</x:v>
      </x:c>
      <x:c r="S40" s="22" t="n">
        <x:v>211</x:v>
      </x:c>
      <x:c r="T40" s="22" t="n">
        <x:v>0.02</x:v>
      </x:c>
      <x:c r="U40" s="22" t="n">
        <x:v>11</x:v>
      </x:c>
      <x:c r="V40" s="22" t="n">
        <x:v>58</x:v>
      </x:c>
      <x:c r="W40" s="22" t="n">
        <x:v>41</x:v>
      </x:c>
      <x:c r="X40" s="22" t="n">
        <x:v>20</x:v>
      </x:c>
      <x:c r="Y40" s="22" t="n">
        <x:v>83</x:v>
      </x:c>
      <x:c r="Z40" s="22" t="n">
        <x:v>0</x:v>
      </x:c>
      <x:c r="AA40" s="22" t="n">
        <x:v>0</x:v>
      </x:c>
      <x:c r="AB40" s="22" t="n">
        <x:v>0</x:v>
      </x:c>
      <x:c r="AC40" s="22" t="n">
        <x:v>0</x:v>
      </x:c>
      <x:c r="AD40" s="22" t="n">
        <x:v>25</x:v>
      </x:c>
      <x:c r="AE40" s="22" t="n">
        <x:v>5</x:v>
      </x:c>
      <x:c r="AF40" s="22" t="n">
        <x:v>77</x:v>
      </x:c>
      <x:c r="AG40" s="22" t="n">
        <x:v>7</x:v>
      </x:c>
      <x:c r="AH40" s="22" t="n">
        <x:v>5</x:v>
      </x:c>
      <x:c r="AI40" s="22" t="n">
        <x:v>11</x:v>
      </x:c>
      <x:c r="AJ40" s="22" t="n">
        <x:v>0</x:v>
      </x:c>
      <x:c r="AK40" s="22" t="n">
        <x:v>0</x:v>
      </x:c>
      <x:c r="AL40" s="22" t="n">
        <x:v>230</x:v>
      </x:c>
      <x:c r="AM40" s="22" t="n">
        <x:v>42</x:v>
      </x:c>
      <x:c r="AN40" s="22" t="n">
        <x:v>3</x:v>
      </x:c>
      <x:c r="AO40" s="22" t="n">
        <x:v>4</x:v>
      </x:c>
      <x:c r="AP40" s="22" t="n">
        <x:v>1100</x:v>
      </x:c>
      <x:c r="AQ40" s="22" t="n">
        <x:v>16</x:v>
      </x:c>
      <x:c r="AR40" s="22" t="n">
        <x:v>0</x:v>
      </x:c>
      <x:c r="AS40" s="22" t="n">
        <x:v>10</x:v>
      </x:c>
      <x:c r="AT40" s="22" t="n">
        <x:v>10</x:v>
      </x:c>
      <x:c r="AU40" s="22" t="n">
        <x:v>0</x:v>
      </x:c>
      <x:c r="AV40" s="22" t="n">
        <x:v>4</x:v>
      </x:c>
      <x:c r="AW40" s="22" t="n">
        <x:v>0</x:v>
      </x:c>
    </x:row>
    <x:row r="41" ht="24" customHeight="1">
      <x:c r="A41" s="22" t="str">
        <x:v>P0037</x:v>
      </x:c>
      <x:c r="B41" s="22" t="n">
        <x:v>2</x:v>
      </x:c>
      <x:c r="C41" s="22" t="n">
        <x:v>2</x:v>
      </x:c>
      <x:c r="D41" s="22" t="str">
        <x:v>关卡前废墟BOSS装备快线</x:v>
      </x:c>
      <x:c r="E41" s="22" t="n">
        <x:v>1891</x:v>
      </x:c>
      <x:c r="F41" s="22" t="n">
        <x:v>2408</x:v>
      </x:c>
      <x:c r="G41" s="22" t="n">
        <x:v>1839</x:v>
      </x:c>
      <x:c r="H41" s="22" t="n">
        <x:v>2350</x:v>
      </x:c>
      <x:c r="I41" s="22" t="n">
        <x:v>1814</x:v>
      </x:c>
      <x:c r="J41" s="22" t="n">
        <x:v>2325</x:v>
      </x:c>
      <x:c r="K41" s="22" t="n">
        <x:v>298750</x:v>
      </x:c>
      <x:c r="L41" s="22" t="n">
        <x:v>33200</x:v>
      </x:c>
      <x:c r="M41" s="22" t="n">
        <x:v>217</x:v>
      </x:c>
      <x:c r="N41" s="22" t="n">
        <x:v>386</x:v>
      </x:c>
      <x:c r="O41" s="22" t="n">
        <x:v>178</x:v>
      </x:c>
      <x:c r="P41" s="22" t="n">
        <x:v>317</x:v>
      </x:c>
      <x:c r="Q41" s="22" t="n">
        <x:v>233</x:v>
      </x:c>
      <x:c r="R41" s="22" t="n">
        <x:v>217</x:v>
      </x:c>
      <x:c r="S41" s="22" t="n">
        <x:v>217</x:v>
      </x:c>
      <x:c r="T41" s="22" t="n">
        <x:v>0.02</x:v>
      </x:c>
      <x:c r="U41" s="22" t="n">
        <x:v>11</x:v>
      </x:c>
      <x:c r="V41" s="22" t="n">
        <x:v>61</x:v>
      </x:c>
      <x:c r="W41" s="22" t="n">
        <x:v>42</x:v>
      </x:c>
      <x:c r="X41" s="22" t="n">
        <x:v>20</x:v>
      </x:c>
      <x:c r="Y41" s="22" t="n">
        <x:v>83</x:v>
      </x:c>
      <x:c r="Z41" s="22" t="n">
        <x:v>0</x:v>
      </x:c>
      <x:c r="AA41" s="22" t="n">
        <x:v>0</x:v>
      </x:c>
      <x:c r="AB41" s="22" t="n">
        <x:v>0</x:v>
      </x:c>
      <x:c r="AC41" s="22" t="n">
        <x:v>0</x:v>
      </x:c>
      <x:c r="AD41" s="22" t="n">
        <x:v>25</x:v>
      </x:c>
      <x:c r="AE41" s="22" t="n">
        <x:v>5</x:v>
      </x:c>
      <x:c r="AF41" s="22" t="n">
        <x:v>77</x:v>
      </x:c>
      <x:c r="AG41" s="22" t="n">
        <x:v>7</x:v>
      </x:c>
      <x:c r="AH41" s="22" t="n">
        <x:v>5</x:v>
      </x:c>
      <x:c r="AI41" s="22" t="n">
        <x:v>11</x:v>
      </x:c>
      <x:c r="AJ41" s="22" t="n">
        <x:v>0</x:v>
      </x:c>
      <x:c r="AK41" s="22" t="n">
        <x:v>0</x:v>
      </x:c>
      <x:c r="AL41" s="22" t="n">
        <x:v>230</x:v>
      </x:c>
      <x:c r="AM41" s="22" t="n">
        <x:v>42</x:v>
      </x:c>
      <x:c r="AN41" s="22" t="n">
        <x:v>3</x:v>
      </x:c>
      <x:c r="AO41" s="22" t="n">
        <x:v>4</x:v>
      </x:c>
      <x:c r="AP41" s="22" t="n">
        <x:v>1100</x:v>
      </x:c>
      <x:c r="AQ41" s="22" t="n">
        <x:v>16</x:v>
      </x:c>
      <x:c r="AR41" s="22" t="n">
        <x:v>0</x:v>
      </x:c>
      <x:c r="AS41" s="22" t="n">
        <x:v>10</x:v>
      </x:c>
      <x:c r="AT41" s="22" t="n">
        <x:v>10</x:v>
      </x:c>
      <x:c r="AU41" s="22" t="n">
        <x:v>0</x:v>
      </x:c>
      <x:c r="AV41" s="22" t="n">
        <x:v>4</x:v>
      </x:c>
      <x:c r="AW41" s="22" t="n">
        <x:v>0</x:v>
      </x:c>
    </x:row>
    <x:row r="42" ht="24" customHeight="1">
      <x:c r="A42" s="22" t="str">
        <x:v>P0038</x:v>
      </x:c>
      <x:c r="B42" s="22" t="n">
        <x:v>2</x:v>
      </x:c>
      <x:c r="C42" s="22" t="n">
        <x:v>2</x:v>
      </x:c>
      <x:c r="D42" s="22" t="str">
        <x:v>关卡前废墟阶段积累后</x:v>
      </x:c>
      <x:c r="E42" s="22" t="n">
        <x:v>1888</x:v>
      </x:c>
      <x:c r="F42" s="22" t="n">
        <x:v>2396</x:v>
      </x:c>
      <x:c r="G42" s="22" t="n">
        <x:v>1836</x:v>
      </x:c>
      <x:c r="H42" s="22" t="n">
        <x:v>2338</x:v>
      </x:c>
      <x:c r="I42" s="22" t="n">
        <x:v>1811</x:v>
      </x:c>
      <x:c r="J42" s="22" t="n">
        <x:v>2313</x:v>
      </x:c>
      <x:c r="K42" s="22" t="n">
        <x:v>291250</x:v>
      </x:c>
      <x:c r="L42" s="22" t="n">
        <x:v>30200</x:v>
      </x:c>
      <x:c r="M42" s="22" t="n">
        <x:v>208</x:v>
      </x:c>
      <x:c r="N42" s="22" t="n">
        <x:v>372</x:v>
      </x:c>
      <x:c r="O42" s="22" t="n">
        <x:v>170</x:v>
      </x:c>
      <x:c r="P42" s="22" t="n">
        <x:v>304</x:v>
      </x:c>
      <x:c r="Q42" s="22" t="n">
        <x:v>234</x:v>
      </x:c>
      <x:c r="R42" s="22" t="n">
        <x:v>218</x:v>
      </x:c>
      <x:c r="S42" s="22" t="n">
        <x:v>218</x:v>
      </x:c>
      <x:c r="T42" s="22" t="n">
        <x:v>0.02</x:v>
      </x:c>
      <x:c r="U42" s="22" t="n">
        <x:v>11</x:v>
      </x:c>
      <x:c r="V42" s="22" t="n">
        <x:v>63</x:v>
      </x:c>
      <x:c r="W42" s="22" t="n">
        <x:v>41</x:v>
      </x:c>
      <x:c r="X42" s="22" t="n">
        <x:v>20</x:v>
      </x:c>
      <x:c r="Y42" s="22" t="n">
        <x:v>90</x:v>
      </x:c>
      <x:c r="Z42" s="22" t="n">
        <x:v>0</x:v>
      </x:c>
      <x:c r="AA42" s="22" t="n">
        <x:v>0</x:v>
      </x:c>
      <x:c r="AB42" s="22" t="n">
        <x:v>0</x:v>
      </x:c>
      <x:c r="AC42" s="22" t="n">
        <x:v>0</x:v>
      </x:c>
      <x:c r="AD42" s="22" t="n">
        <x:v>25</x:v>
      </x:c>
      <x:c r="AE42" s="22" t="n">
        <x:v>5</x:v>
      </x:c>
      <x:c r="AF42" s="22" t="n">
        <x:v>77</x:v>
      </x:c>
      <x:c r="AG42" s="22" t="n">
        <x:v>7</x:v>
      </x:c>
      <x:c r="AH42" s="22" t="n">
        <x:v>5</x:v>
      </x:c>
      <x:c r="AI42" s="22" t="n">
        <x:v>11</x:v>
      </x:c>
      <x:c r="AJ42" s="22" t="n">
        <x:v>0</x:v>
      </x:c>
      <x:c r="AK42" s="22" t="n">
        <x:v>0</x:v>
      </x:c>
      <x:c r="AL42" s="22" t="n">
        <x:v>250</x:v>
      </x:c>
      <x:c r="AM42" s="22" t="n">
        <x:v>42</x:v>
      </x:c>
      <x:c r="AN42" s="22" t="n">
        <x:v>3</x:v>
      </x:c>
      <x:c r="AO42" s="22" t="n">
        <x:v>4</x:v>
      </x:c>
      <x:c r="AP42" s="22" t="n">
        <x:v>1100</x:v>
      </x:c>
      <x:c r="AQ42" s="22" t="n">
        <x:v>16</x:v>
      </x:c>
      <x:c r="AR42" s="22" t="n">
        <x:v>0</x:v>
      </x:c>
      <x:c r="AS42" s="22" t="n">
        <x:v>10</x:v>
      </x:c>
      <x:c r="AT42" s="22" t="n">
        <x:v>10</x:v>
      </x:c>
      <x:c r="AU42" s="22" t="n">
        <x:v>0</x:v>
      </x:c>
      <x:c r="AV42" s="22" t="n">
        <x:v>4</x:v>
      </x:c>
      <x:c r="AW42" s="22" t="n">
        <x:v>0</x:v>
      </x:c>
    </x:row>
    <x:row r="43" ht="24" customHeight="1">
      <x:c r="A43" s="22" t="str">
        <x:v>P0039</x:v>
      </x:c>
      <x:c r="B43" s="22" t="n">
        <x:v>2</x:v>
      </x:c>
      <x:c r="C43" s="22" t="n">
        <x:v>3</x:v>
      </x:c>
      <x:c r="D43" s="22" t="str">
        <x:v>C02G03入场</x:v>
      </x:c>
      <x:c r="E43" s="22" t="n">
        <x:v>1888</x:v>
      </x:c>
      <x:c r="F43" s="22" t="n">
        <x:v>2396</x:v>
      </x:c>
      <x:c r="G43" s="22" t="n">
        <x:v>1836</x:v>
      </x:c>
      <x:c r="H43" s="22" t="n">
        <x:v>2338</x:v>
      </x:c>
      <x:c r="I43" s="22" t="n">
        <x:v>1811</x:v>
      </x:c>
      <x:c r="J43" s="22" t="n">
        <x:v>2313</x:v>
      </x:c>
      <x:c r="K43" s="22" t="n">
        <x:v>291250</x:v>
      </x:c>
      <x:c r="L43" s="22" t="n">
        <x:v>30200</x:v>
      </x:c>
      <x:c r="M43" s="22" t="n">
        <x:v>208</x:v>
      </x:c>
      <x:c r="N43" s="22" t="n">
        <x:v>372</x:v>
      </x:c>
      <x:c r="O43" s="22" t="n">
        <x:v>170</x:v>
      </x:c>
      <x:c r="P43" s="22" t="n">
        <x:v>304</x:v>
      </x:c>
      <x:c r="Q43" s="22" t="n">
        <x:v>234</x:v>
      </x:c>
      <x:c r="R43" s="22" t="n">
        <x:v>218</x:v>
      </x:c>
      <x:c r="S43" s="22" t="n">
        <x:v>218</x:v>
      </x:c>
      <x:c r="T43" s="22" t="n">
        <x:v>0.02</x:v>
      </x:c>
      <x:c r="U43" s="22" t="n">
        <x:v>11</x:v>
      </x:c>
      <x:c r="V43" s="22" t="n">
        <x:v>63</x:v>
      </x:c>
      <x:c r="W43" s="22" t="n">
        <x:v>41</x:v>
      </x:c>
      <x:c r="X43" s="22" t="n">
        <x:v>20</x:v>
      </x:c>
      <x:c r="Y43" s="22" t="n">
        <x:v>90</x:v>
      </x:c>
      <x:c r="Z43" s="22" t="n">
        <x:v>0</x:v>
      </x:c>
      <x:c r="AA43" s="22" t="n">
        <x:v>0</x:v>
      </x:c>
      <x:c r="AB43" s="22" t="n">
        <x:v>0</x:v>
      </x:c>
      <x:c r="AC43" s="22" t="n">
        <x:v>0</x:v>
      </x:c>
      <x:c r="AD43" s="22" t="n">
        <x:v>25</x:v>
      </x:c>
      <x:c r="AE43" s="22" t="n">
        <x:v>5</x:v>
      </x:c>
      <x:c r="AF43" s="22" t="n">
        <x:v>77</x:v>
      </x:c>
      <x:c r="AG43" s="22" t="n">
        <x:v>7</x:v>
      </x:c>
      <x:c r="AH43" s="22" t="n">
        <x:v>5</x:v>
      </x:c>
      <x:c r="AI43" s="22" t="n">
        <x:v>11</x:v>
      </x:c>
      <x:c r="AJ43" s="22" t="n">
        <x:v>0</x:v>
      </x:c>
      <x:c r="AK43" s="22" t="n">
        <x:v>0</x:v>
      </x:c>
      <x:c r="AL43" s="22" t="n">
        <x:v>250</x:v>
      </x:c>
      <x:c r="AM43" s="22" t="n">
        <x:v>42</x:v>
      </x:c>
      <x:c r="AN43" s="22" t="n">
        <x:v>3</x:v>
      </x:c>
      <x:c r="AO43" s="22" t="n">
        <x:v>4</x:v>
      </x:c>
      <x:c r="AP43" s="22" t="n">
        <x:v>1100</x:v>
      </x:c>
      <x:c r="AQ43" s="22" t="n">
        <x:v>16</x:v>
      </x:c>
      <x:c r="AR43" s="22" t="n">
        <x:v>0</x:v>
      </x:c>
      <x:c r="AS43" s="22" t="n">
        <x:v>10</x:v>
      </x:c>
      <x:c r="AT43" s="22" t="n">
        <x:v>10</x:v>
      </x:c>
      <x:c r="AU43" s="22" t="n">
        <x:v>0</x:v>
      </x:c>
      <x:c r="AV43" s="22" t="n">
        <x:v>4</x:v>
      </x:c>
      <x:c r="AW43" s="22" t="n">
        <x:v>0</x:v>
      </x:c>
    </x:row>
    <x:row r="44" ht="24" customHeight="1">
      <x:c r="A44" s="22" t="str">
        <x:v>P0040</x:v>
      </x:c>
      <x:c r="B44" s="22" t="n">
        <x:v>2</x:v>
      </x:c>
      <x:c r="C44" s="22" t="n">
        <x:v>3</x:v>
      </x:c>
      <x:c r="D44" s="22" t="str">
        <x:v>C02G03普通专属4/6</x:v>
      </x:c>
      <x:c r="E44" s="22" t="n">
        <x:v>1974</x:v>
      </x:c>
      <x:c r="F44" s="22" t="n">
        <x:v>2567</x:v>
      </x:c>
      <x:c r="G44" s="22" t="n">
        <x:v>1922</x:v>
      </x:c>
      <x:c r="H44" s="22" t="n">
        <x:v>2509</x:v>
      </x:c>
      <x:c r="I44" s="22" t="n">
        <x:v>1897</x:v>
      </x:c>
      <x:c r="J44" s="22" t="n">
        <x:v>2484</x:v>
      </x:c>
      <x:c r="K44" s="22" t="n">
        <x:v>372000</x:v>
      </x:c>
      <x:c r="L44" s="22" t="n">
        <x:v>30200</x:v>
      </x:c>
      <x:c r="M44" s="22" t="n">
        <x:v>297</x:v>
      </x:c>
      <x:c r="N44" s="22" t="n">
        <x:v>526</x:v>
      </x:c>
      <x:c r="O44" s="22" t="n">
        <x:v>243</x:v>
      </x:c>
      <x:c r="P44" s="22" t="n">
        <x:v>429</x:v>
      </x:c>
      <x:c r="Q44" s="22" t="n">
        <x:v>273</x:v>
      </x:c>
      <x:c r="R44" s="22" t="n">
        <x:v>257</x:v>
      </x:c>
      <x:c r="S44" s="22" t="n">
        <x:v>257</x:v>
      </x:c>
      <x:c r="T44" s="22" t="n">
        <x:v>0.02</x:v>
      </x:c>
      <x:c r="U44" s="22" t="n">
        <x:v>11</x:v>
      </x:c>
      <x:c r="V44" s="22" t="n">
        <x:v>71</x:v>
      </x:c>
      <x:c r="W44" s="22" t="n">
        <x:v>46</x:v>
      </x:c>
      <x:c r="X44" s="22" t="n">
        <x:v>20</x:v>
      </x:c>
      <x:c r="Y44" s="22" t="n">
        <x:v>107</x:v>
      </x:c>
      <x:c r="Z44" s="22" t="n">
        <x:v>0</x:v>
      </x:c>
      <x:c r="AA44" s="22" t="n">
        <x:v>0</x:v>
      </x:c>
      <x:c r="AB44" s="22" t="n">
        <x:v>0</x:v>
      </x:c>
      <x:c r="AC44" s="22" t="n">
        <x:v>0</x:v>
      </x:c>
      <x:c r="AD44" s="22" t="n">
        <x:v>25</x:v>
      </x:c>
      <x:c r="AE44" s="22" t="n">
        <x:v>5</x:v>
      </x:c>
      <x:c r="AF44" s="22" t="n">
        <x:v>77</x:v>
      </x:c>
      <x:c r="AG44" s="22" t="n">
        <x:v>7</x:v>
      </x:c>
      <x:c r="AH44" s="22" t="n">
        <x:v>5</x:v>
      </x:c>
      <x:c r="AI44" s="22" t="n">
        <x:v>11</x:v>
      </x:c>
      <x:c r="AJ44" s="22" t="n">
        <x:v>0</x:v>
      </x:c>
      <x:c r="AK44" s="22" t="n">
        <x:v>0</x:v>
      </x:c>
      <x:c r="AL44" s="22" t="n">
        <x:v>270</x:v>
      </x:c>
      <x:c r="AM44" s="22" t="n">
        <x:v>57</x:v>
      </x:c>
      <x:c r="AN44" s="22" t="n">
        <x:v>3</x:v>
      </x:c>
      <x:c r="AO44" s="22" t="n">
        <x:v>4</x:v>
      </x:c>
      <x:c r="AP44" s="22" t="n">
        <x:v>1100</x:v>
      </x:c>
      <x:c r="AQ44" s="22" t="n">
        <x:v>16</x:v>
      </x:c>
      <x:c r="AR44" s="22" t="n">
        <x:v>0</x:v>
      </x:c>
      <x:c r="AS44" s="22" t="n">
        <x:v>10</x:v>
      </x:c>
      <x:c r="AT44" s="22" t="n">
        <x:v>10</x:v>
      </x:c>
      <x:c r="AU44" s="22" t="n">
        <x:v>0</x:v>
      </x:c>
      <x:c r="AV44" s="22" t="n">
        <x:v>4</x:v>
      </x:c>
      <x:c r="AW44" s="22" t="n">
        <x:v>0</x:v>
      </x:c>
    </x:row>
    <x:row r="45" ht="24" customHeight="1">
      <x:c r="A45" s="22" t="str">
        <x:v>P0041</x:v>
      </x:c>
      <x:c r="B45" s="22" t="n">
        <x:v>2</x:v>
      </x:c>
      <x:c r="C45" s="22" t="n">
        <x:v>3</x:v>
      </x:c>
      <x:c r="D45" s="22" t="str">
        <x:v>提比亚唤船人·赫洛挑战前</x:v>
      </x:c>
      <x:c r="E45" s="22" t="n">
        <x:v>2181</x:v>
      </x:c>
      <x:c r="F45" s="22" t="n">
        <x:v>2777</x:v>
      </x:c>
      <x:c r="G45" s="22" t="n">
        <x:v>2127</x:v>
      </x:c>
      <x:c r="H45" s="22" t="n">
        <x:v>2714</x:v>
      </x:c>
      <x:c r="I45" s="22" t="n">
        <x:v>2102</x:v>
      </x:c>
      <x:c r="J45" s="22" t="n">
        <x:v>2689</x:v>
      </x:c>
      <x:c r="K45" s="22" t="n">
        <x:v>392900</x:v>
      </x:c>
      <x:c r="L45" s="22" t="n">
        <x:v>30300</x:v>
      </x:c>
      <x:c r="M45" s="22" t="n">
        <x:v>297</x:v>
      </x:c>
      <x:c r="N45" s="22" t="n">
        <x:v>526</x:v>
      </x:c>
      <x:c r="O45" s="22" t="n">
        <x:v>243</x:v>
      </x:c>
      <x:c r="P45" s="22" t="n">
        <x:v>429</x:v>
      </x:c>
      <x:c r="Q45" s="22" t="n">
        <x:v>273</x:v>
      </x:c>
      <x:c r="R45" s="22" t="n">
        <x:v>257</x:v>
      </x:c>
      <x:c r="S45" s="22" t="n">
        <x:v>257</x:v>
      </x:c>
      <x:c r="T45" s="22" t="n">
        <x:v>0.02</x:v>
      </x:c>
      <x:c r="U45" s="22" t="n">
        <x:v>11</x:v>
      </x:c>
      <x:c r="V45" s="22" t="n">
        <x:v>71</x:v>
      </x:c>
      <x:c r="W45" s="22" t="n">
        <x:v>46</x:v>
      </x:c>
      <x:c r="X45" s="22" t="n">
        <x:v>20</x:v>
      </x:c>
      <x:c r="Y45" s="22" t="n">
        <x:v>107</x:v>
      </x:c>
      <x:c r="Z45" s="22" t="n">
        <x:v>0</x:v>
      </x:c>
      <x:c r="AA45" s="22" t="n">
        <x:v>0</x:v>
      </x:c>
      <x:c r="AB45" s="22" t="n">
        <x:v>0</x:v>
      </x:c>
      <x:c r="AC45" s="22" t="n">
        <x:v>0</x:v>
      </x:c>
      <x:c r="AD45" s="22" t="n">
        <x:v>25</x:v>
      </x:c>
      <x:c r="AE45" s="22" t="n">
        <x:v>5</x:v>
      </x:c>
      <x:c r="AF45" s="22" t="n">
        <x:v>77</x:v>
      </x:c>
      <x:c r="AG45" s="22" t="n">
        <x:v>7</x:v>
      </x:c>
      <x:c r="AH45" s="22" t="n">
        <x:v>8</x:v>
      </x:c>
      <x:c r="AI45" s="22" t="n">
        <x:v>11</x:v>
      </x:c>
      <x:c r="AJ45" s="22" t="n">
        <x:v>0</x:v>
      </x:c>
      <x:c r="AK45" s="22" t="n">
        <x:v>0</x:v>
      </x:c>
      <x:c r="AL45" s="22" t="n">
        <x:v>270</x:v>
      </x:c>
      <x:c r="AM45" s="22" t="n">
        <x:v>57</x:v>
      </x:c>
      <x:c r="AN45" s="22" t="n">
        <x:v>3</x:v>
      </x:c>
      <x:c r="AO45" s="22" t="n">
        <x:v>4</x:v>
      </x:c>
      <x:c r="AP45" s="22" t="n">
        <x:v>1100</x:v>
      </x:c>
      <x:c r="AQ45" s="22" t="n">
        <x:v>16</x:v>
      </x:c>
      <x:c r="AR45" s="22" t="n">
        <x:v>0</x:v>
      </x:c>
      <x:c r="AS45" s="22" t="n">
        <x:v>10</x:v>
      </x:c>
      <x:c r="AT45" s="22" t="n">
        <x:v>10</x:v>
      </x:c>
      <x:c r="AU45" s="22" t="n">
        <x:v>0</x:v>
      </x:c>
      <x:c r="AV45" s="22" t="n">
        <x:v>4</x:v>
      </x:c>
      <x:c r="AW45" s="22" t="n">
        <x:v>0</x:v>
      </x:c>
    </x:row>
    <x:row r="46" ht="24" customHeight="1">
      <x:c r="A46" s="22" t="str">
        <x:v>P0042</x:v>
      </x:c>
      <x:c r="B46" s="22" t="n">
        <x:v>2</x:v>
      </x:c>
      <x:c r="C46" s="22" t="n">
        <x:v>3</x:v>
      </x:c>
      <x:c r="D46" s="22" t="str">
        <x:v>雾林熔炉骑士·奥德挑战前</x:v>
      </x:c>
      <x:c r="E46" s="22" t="n">
        <x:v>2181</x:v>
      </x:c>
      <x:c r="F46" s="22" t="n">
        <x:v>2777</x:v>
      </x:c>
      <x:c r="G46" s="22" t="n">
        <x:v>2127</x:v>
      </x:c>
      <x:c r="H46" s="22" t="n">
        <x:v>2714</x:v>
      </x:c>
      <x:c r="I46" s="22" t="n">
        <x:v>2102</x:v>
      </x:c>
      <x:c r="J46" s="22" t="n">
        <x:v>2689</x:v>
      </x:c>
      <x:c r="K46" s="22" t="n">
        <x:v>392900</x:v>
      </x:c>
      <x:c r="L46" s="22" t="n">
        <x:v>30300</x:v>
      </x:c>
      <x:c r="M46" s="22" t="n">
        <x:v>297</x:v>
      </x:c>
      <x:c r="N46" s="22" t="n">
        <x:v>526</x:v>
      </x:c>
      <x:c r="O46" s="22" t="n">
        <x:v>243</x:v>
      </x:c>
      <x:c r="P46" s="22" t="n">
        <x:v>429</x:v>
      </x:c>
      <x:c r="Q46" s="22" t="n">
        <x:v>273</x:v>
      </x:c>
      <x:c r="R46" s="22" t="n">
        <x:v>257</x:v>
      </x:c>
      <x:c r="S46" s="22" t="n">
        <x:v>257</x:v>
      </x:c>
      <x:c r="T46" s="22" t="n">
        <x:v>0.02</x:v>
      </x:c>
      <x:c r="U46" s="22" t="n">
        <x:v>11</x:v>
      </x:c>
      <x:c r="V46" s="22" t="n">
        <x:v>71</x:v>
      </x:c>
      <x:c r="W46" s="22" t="n">
        <x:v>46</x:v>
      </x:c>
      <x:c r="X46" s="22" t="n">
        <x:v>20</x:v>
      </x:c>
      <x:c r="Y46" s="22" t="n">
        <x:v>107</x:v>
      </x:c>
      <x:c r="Z46" s="22" t="n">
        <x:v>0</x:v>
      </x:c>
      <x:c r="AA46" s="22" t="n">
        <x:v>0</x:v>
      </x:c>
      <x:c r="AB46" s="22" t="n">
        <x:v>0</x:v>
      </x:c>
      <x:c r="AC46" s="22" t="n">
        <x:v>0</x:v>
      </x:c>
      <x:c r="AD46" s="22" t="n">
        <x:v>25</x:v>
      </x:c>
      <x:c r="AE46" s="22" t="n">
        <x:v>5</x:v>
      </x:c>
      <x:c r="AF46" s="22" t="n">
        <x:v>77</x:v>
      </x:c>
      <x:c r="AG46" s="22" t="n">
        <x:v>7</x:v>
      </x:c>
      <x:c r="AH46" s="22" t="n">
        <x:v>8</x:v>
      </x:c>
      <x:c r="AI46" s="22" t="n">
        <x:v>11</x:v>
      </x:c>
      <x:c r="AJ46" s="22" t="n">
        <x:v>0</x:v>
      </x:c>
      <x:c r="AK46" s="22" t="n">
        <x:v>0</x:v>
      </x:c>
      <x:c r="AL46" s="22" t="n">
        <x:v>270</x:v>
      </x:c>
      <x:c r="AM46" s="22" t="n">
        <x:v>57</x:v>
      </x:c>
      <x:c r="AN46" s="22" t="n">
        <x:v>3</x:v>
      </x:c>
      <x:c r="AO46" s="22" t="n">
        <x:v>4</x:v>
      </x:c>
      <x:c r="AP46" s="22" t="n">
        <x:v>1100</x:v>
      </x:c>
      <x:c r="AQ46" s="22" t="n">
        <x:v>16</x:v>
      </x:c>
      <x:c r="AR46" s="22" t="n">
        <x:v>0</x:v>
      </x:c>
      <x:c r="AS46" s="22" t="n">
        <x:v>10</x:v>
      </x:c>
      <x:c r="AT46" s="22" t="n">
        <x:v>10</x:v>
      </x:c>
      <x:c r="AU46" s="22" t="n">
        <x:v>0</x:v>
      </x:c>
      <x:c r="AV46" s="22" t="n">
        <x:v>4</x:v>
      </x:c>
      <x:c r="AW46" s="22" t="n">
        <x:v>0</x:v>
      </x:c>
    </x:row>
    <x:row r="47" ht="24" customHeight="1">
      <x:c r="A47" s="22" t="str">
        <x:v>P0043</x:v>
      </x:c>
      <x:c r="B47" s="22" t="n">
        <x:v>2</x:v>
      </x:c>
      <x:c r="C47" s="22" t="n">
        <x:v>3</x:v>
      </x:c>
      <x:c r="D47" s="22" t="str">
        <x:v>迷雾丛林BOSS装备快线</x:v>
      </x:c>
      <x:c r="E47" s="22" t="n">
        <x:v>2204</x:v>
      </x:c>
      <x:c r="F47" s="22" t="n">
        <x:v>2822</x:v>
      </x:c>
      <x:c r="G47" s="22" t="n">
        <x:v>2150</x:v>
      </x:c>
      <x:c r="H47" s="22" t="n">
        <x:v>2759</x:v>
      </x:c>
      <x:c r="I47" s="22" t="n">
        <x:v>2125</x:v>
      </x:c>
      <x:c r="J47" s="22" t="n">
        <x:v>2734</x:v>
      </x:c>
      <x:c r="K47" s="22" t="n">
        <x:v>403900</x:v>
      </x:c>
      <x:c r="L47" s="22" t="n">
        <x:v>30300</x:v>
      </x:c>
      <x:c r="M47" s="22" t="n">
        <x:v>307</x:v>
      </x:c>
      <x:c r="N47" s="22" t="n">
        <x:v>542</x:v>
      </x:c>
      <x:c r="O47" s="22" t="n">
        <x:v>251</x:v>
      </x:c>
      <x:c r="P47" s="22" t="n">
        <x:v>442</x:v>
      </x:c>
      <x:c r="Q47" s="22" t="n">
        <x:v>276</x:v>
      </x:c>
      <x:c r="R47" s="22" t="n">
        <x:v>260</x:v>
      </x:c>
      <x:c r="S47" s="22" t="n">
        <x:v>260</x:v>
      </x:c>
      <x:c r="T47" s="22" t="n">
        <x:v>0.02</x:v>
      </x:c>
      <x:c r="U47" s="22" t="n">
        <x:v>11</x:v>
      </x:c>
      <x:c r="V47" s="22" t="n">
        <x:v>73</x:v>
      </x:c>
      <x:c r="W47" s="22" t="n">
        <x:v>46</x:v>
      </x:c>
      <x:c r="X47" s="22" t="n">
        <x:v>20</x:v>
      </x:c>
      <x:c r="Y47" s="22" t="n">
        <x:v>107</x:v>
      </x:c>
      <x:c r="Z47" s="22" t="n">
        <x:v>0</x:v>
      </x:c>
      <x:c r="AA47" s="22" t="n">
        <x:v>0</x:v>
      </x:c>
      <x:c r="AB47" s="22" t="n">
        <x:v>0</x:v>
      </x:c>
      <x:c r="AC47" s="22" t="n">
        <x:v>0</x:v>
      </x:c>
      <x:c r="AD47" s="22" t="n">
        <x:v>25</x:v>
      </x:c>
      <x:c r="AE47" s="22" t="n">
        <x:v>5</x:v>
      </x:c>
      <x:c r="AF47" s="22" t="n">
        <x:v>77</x:v>
      </x:c>
      <x:c r="AG47" s="22" t="n">
        <x:v>7</x:v>
      </x:c>
      <x:c r="AH47" s="22" t="n">
        <x:v>8</x:v>
      </x:c>
      <x:c r="AI47" s="22" t="n">
        <x:v>11</x:v>
      </x:c>
      <x:c r="AJ47" s="22" t="n">
        <x:v>0</x:v>
      </x:c>
      <x:c r="AK47" s="22" t="n">
        <x:v>0</x:v>
      </x:c>
      <x:c r="AL47" s="22" t="n">
        <x:v>277</x:v>
      </x:c>
      <x:c r="AM47" s="22" t="n">
        <x:v>57</x:v>
      </x:c>
      <x:c r="AN47" s="22" t="n">
        <x:v>3</x:v>
      </x:c>
      <x:c r="AO47" s="22" t="n">
        <x:v>4</x:v>
      </x:c>
      <x:c r="AP47" s="22" t="n">
        <x:v>1100</x:v>
      </x:c>
      <x:c r="AQ47" s="22" t="n">
        <x:v>16</x:v>
      </x:c>
      <x:c r="AR47" s="22" t="n">
        <x:v>0</x:v>
      </x:c>
      <x:c r="AS47" s="22" t="n">
        <x:v>10</x:v>
      </x:c>
      <x:c r="AT47" s="22" t="n">
        <x:v>10</x:v>
      </x:c>
      <x:c r="AU47" s="22" t="n">
        <x:v>0</x:v>
      </x:c>
      <x:c r="AV47" s="22" t="n">
        <x:v>5</x:v>
      </x:c>
      <x:c r="AW47" s="22" t="n">
        <x:v>0</x:v>
      </x:c>
    </x:row>
    <x:row r="48" ht="24" customHeight="1">
      <x:c r="A48" s="22" t="str">
        <x:v>P0044</x:v>
      </x:c>
      <x:c r="B48" s="22" t="n">
        <x:v>2</x:v>
      </x:c>
      <x:c r="C48" s="22" t="n">
        <x:v>3</x:v>
      </x:c>
      <x:c r="D48" s="22" t="str">
        <x:v>迷雾丛林阶段积累后</x:v>
      </x:c>
      <x:c r="E48" s="22" t="n">
        <x:v>2218</x:v>
      </x:c>
      <x:c r="F48" s="22" t="n">
        <x:v>2848</x:v>
      </x:c>
      <x:c r="G48" s="22" t="n">
        <x:v>2164</x:v>
      </x:c>
      <x:c r="H48" s="22" t="n">
        <x:v>2785</x:v>
      </x:c>
      <x:c r="I48" s="22" t="n">
        <x:v>2139</x:v>
      </x:c>
      <x:c r="J48" s="22" t="n">
        <x:v>2760</x:v>
      </x:c>
      <x:c r="K48" s="22" t="n">
        <x:v>400000</x:v>
      </x:c>
      <x:c r="L48" s="22" t="n">
        <x:v>30300</x:v>
      </x:c>
      <x:c r="M48" s="22" t="n">
        <x:v>297</x:v>
      </x:c>
      <x:c r="N48" s="22" t="n">
        <x:v>526</x:v>
      </x:c>
      <x:c r="O48" s="22" t="n">
        <x:v>243</x:v>
      </x:c>
      <x:c r="P48" s="22" t="n">
        <x:v>429</x:v>
      </x:c>
      <x:c r="Q48" s="22" t="n">
        <x:v>295</x:v>
      </x:c>
      <x:c r="R48" s="22" t="n">
        <x:v>279</x:v>
      </x:c>
      <x:c r="S48" s="22" t="n">
        <x:v>279</x:v>
      </x:c>
      <x:c r="T48" s="22" t="n">
        <x:v>0.02</x:v>
      </x:c>
      <x:c r="U48" s="22" t="n">
        <x:v>11</x:v>
      </x:c>
      <x:c r="V48" s="22" t="n">
        <x:v>97</x:v>
      </x:c>
      <x:c r="W48" s="22" t="n">
        <x:v>50</x:v>
      </x:c>
      <x:c r="X48" s="22" t="n">
        <x:v>20</x:v>
      </x:c>
      <x:c r="Y48" s="22" t="n">
        <x:v>94</x:v>
      </x:c>
      <x:c r="Z48" s="22" t="n">
        <x:v>0</x:v>
      </x:c>
      <x:c r="AA48" s="22" t="n">
        <x:v>0</x:v>
      </x:c>
      <x:c r="AB48" s="22" t="n">
        <x:v>0</x:v>
      </x:c>
      <x:c r="AC48" s="22" t="n">
        <x:v>0</x:v>
      </x:c>
      <x:c r="AD48" s="22" t="n">
        <x:v>25</x:v>
      </x:c>
      <x:c r="AE48" s="22" t="n">
        <x:v>5</x:v>
      </x:c>
      <x:c r="AF48" s="22" t="n">
        <x:v>77</x:v>
      </x:c>
      <x:c r="AG48" s="22" t="n">
        <x:v>7</x:v>
      </x:c>
      <x:c r="AH48" s="22" t="n">
        <x:v>8</x:v>
      </x:c>
      <x:c r="AI48" s="22" t="n">
        <x:v>11</x:v>
      </x:c>
      <x:c r="AJ48" s="22" t="n">
        <x:v>0</x:v>
      </x:c>
      <x:c r="AK48" s="22" t="n">
        <x:v>0</x:v>
      </x:c>
      <x:c r="AL48" s="22" t="n">
        <x:v>290</x:v>
      </x:c>
      <x:c r="AM48" s="22" t="n">
        <x:v>57</x:v>
      </x:c>
      <x:c r="AN48" s="22" t="n">
        <x:v>3</x:v>
      </x:c>
      <x:c r="AO48" s="22" t="n">
        <x:v>4</x:v>
      </x:c>
      <x:c r="AP48" s="22" t="n">
        <x:v>1100</x:v>
      </x:c>
      <x:c r="AQ48" s="22" t="n">
        <x:v>16</x:v>
      </x:c>
      <x:c r="AR48" s="22" t="n">
        <x:v>0</x:v>
      </x:c>
      <x:c r="AS48" s="22" t="n">
        <x:v>10</x:v>
      </x:c>
      <x:c r="AT48" s="22" t="n">
        <x:v>10</x:v>
      </x:c>
      <x:c r="AU48" s="22" t="n">
        <x:v>0</x:v>
      </x:c>
      <x:c r="AV48" s="22" t="n">
        <x:v>4</x:v>
      </x:c>
      <x:c r="AW48" s="22" t="n">
        <x:v>0</x:v>
      </x:c>
    </x:row>
    <x:row r="49" ht="24" customHeight="1">
      <x:c r="A49" s="22" t="str">
        <x:v>P0045</x:v>
      </x:c>
      <x:c r="B49" s="22" t="n">
        <x:v>2</x:v>
      </x:c>
      <x:c r="C49" s="22" t="n">
        <x:v>4</x:v>
      </x:c>
      <x:c r="D49" s="22" t="str">
        <x:v>C02G04入场</x:v>
      </x:c>
      <x:c r="E49" s="22" t="n">
        <x:v>2218</x:v>
      </x:c>
      <x:c r="F49" s="22" t="n">
        <x:v>2848</x:v>
      </x:c>
      <x:c r="G49" s="22" t="n">
        <x:v>2164</x:v>
      </x:c>
      <x:c r="H49" s="22" t="n">
        <x:v>2785</x:v>
      </x:c>
      <x:c r="I49" s="22" t="n">
        <x:v>2139</x:v>
      </x:c>
      <x:c r="J49" s="22" t="n">
        <x:v>2760</x:v>
      </x:c>
      <x:c r="K49" s="22" t="n">
        <x:v>400000</x:v>
      </x:c>
      <x:c r="L49" s="22" t="n">
        <x:v>30300</x:v>
      </x:c>
      <x:c r="M49" s="22" t="n">
        <x:v>297</x:v>
      </x:c>
      <x:c r="N49" s="22" t="n">
        <x:v>526</x:v>
      </x:c>
      <x:c r="O49" s="22" t="n">
        <x:v>243</x:v>
      </x:c>
      <x:c r="P49" s="22" t="n">
        <x:v>429</x:v>
      </x:c>
      <x:c r="Q49" s="22" t="n">
        <x:v>295</x:v>
      </x:c>
      <x:c r="R49" s="22" t="n">
        <x:v>279</x:v>
      </x:c>
      <x:c r="S49" s="22" t="n">
        <x:v>279</x:v>
      </x:c>
      <x:c r="T49" s="22" t="n">
        <x:v>0.02</x:v>
      </x:c>
      <x:c r="U49" s="22" t="n">
        <x:v>11</x:v>
      </x:c>
      <x:c r="V49" s="22" t="n">
        <x:v>97</x:v>
      </x:c>
      <x:c r="W49" s="22" t="n">
        <x:v>50</x:v>
      </x:c>
      <x:c r="X49" s="22" t="n">
        <x:v>20</x:v>
      </x:c>
      <x:c r="Y49" s="22" t="n">
        <x:v>94</x:v>
      </x:c>
      <x:c r="Z49" s="22" t="n">
        <x:v>0</x:v>
      </x:c>
      <x:c r="AA49" s="22" t="n">
        <x:v>0</x:v>
      </x:c>
      <x:c r="AB49" s="22" t="n">
        <x:v>0</x:v>
      </x:c>
      <x:c r="AC49" s="22" t="n">
        <x:v>0</x:v>
      </x:c>
      <x:c r="AD49" s="22" t="n">
        <x:v>25</x:v>
      </x:c>
      <x:c r="AE49" s="22" t="n">
        <x:v>5</x:v>
      </x:c>
      <x:c r="AF49" s="22" t="n">
        <x:v>77</x:v>
      </x:c>
      <x:c r="AG49" s="22" t="n">
        <x:v>7</x:v>
      </x:c>
      <x:c r="AH49" s="22" t="n">
        <x:v>8</x:v>
      </x:c>
      <x:c r="AI49" s="22" t="n">
        <x:v>11</x:v>
      </x:c>
      <x:c r="AJ49" s="22" t="n">
        <x:v>0</x:v>
      </x:c>
      <x:c r="AK49" s="22" t="n">
        <x:v>0</x:v>
      </x:c>
      <x:c r="AL49" s="22" t="n">
        <x:v>290</x:v>
      </x:c>
      <x:c r="AM49" s="22" t="n">
        <x:v>57</x:v>
      </x:c>
      <x:c r="AN49" s="22" t="n">
        <x:v>3</x:v>
      </x:c>
      <x:c r="AO49" s="22" t="n">
        <x:v>4</x:v>
      </x:c>
      <x:c r="AP49" s="22" t="n">
        <x:v>1100</x:v>
      </x:c>
      <x:c r="AQ49" s="22" t="n">
        <x:v>16</x:v>
      </x:c>
      <x:c r="AR49" s="22" t="n">
        <x:v>0</x:v>
      </x:c>
      <x:c r="AS49" s="22" t="n">
        <x:v>10</x:v>
      </x:c>
      <x:c r="AT49" s="22" t="n">
        <x:v>10</x:v>
      </x:c>
      <x:c r="AU49" s="22" t="n">
        <x:v>0</x:v>
      </x:c>
      <x:c r="AV49" s="22" t="n">
        <x:v>4</x:v>
      </x:c>
      <x:c r="AW49" s="22" t="n">
        <x:v>0</x:v>
      </x:c>
    </x:row>
    <x:row r="50" ht="24" customHeight="1">
      <x:c r="A50" s="22" t="str">
        <x:v>P0046</x:v>
      </x:c>
      <x:c r="B50" s="22" t="n">
        <x:v>2</x:v>
      </x:c>
      <x:c r="C50" s="22" t="n">
        <x:v>4</x:v>
      </x:c>
      <x:c r="D50" s="22" t="str">
        <x:v>C02G04普通专属4/6</x:v>
      </x:c>
      <x:c r="E50" s="22" t="n">
        <x:v>2236</x:v>
      </x:c>
      <x:c r="F50" s="22" t="n">
        <x:v>2920</x:v>
      </x:c>
      <x:c r="G50" s="22" t="n">
        <x:v>2216</x:v>
      </x:c>
      <x:c r="H50" s="22" t="n">
        <x:v>2891</x:v>
      </x:c>
      <x:c r="I50" s="22" t="n">
        <x:v>2189</x:v>
      </x:c>
      <x:c r="J50" s="22" t="n">
        <x:v>2864</x:v>
      </x:c>
      <x:c r="K50" s="22" t="n">
        <x:v>443700</x:v>
      </x:c>
      <x:c r="L50" s="22" t="n">
        <x:v>30300</x:v>
      </x:c>
      <x:c r="M50" s="22" t="n">
        <x:v>311</x:v>
      </x:c>
      <x:c r="N50" s="22" t="n">
        <x:v>548</x:v>
      </x:c>
      <x:c r="O50" s="22" t="n">
        <x:v>254</x:v>
      </x:c>
      <x:c r="P50" s="22" t="n">
        <x:v>446</x:v>
      </x:c>
      <x:c r="Q50" s="22" t="n">
        <x:v>325</x:v>
      </x:c>
      <x:c r="R50" s="22" t="n">
        <x:v>325</x:v>
      </x:c>
      <x:c r="S50" s="22" t="n">
        <x:v>325</x:v>
      </x:c>
      <x:c r="T50" s="22" t="n">
        <x:v>0.02</x:v>
      </x:c>
      <x:c r="U50" s="22" t="n">
        <x:v>11</x:v>
      </x:c>
      <x:c r="V50" s="22" t="n">
        <x:v>115</x:v>
      </x:c>
      <x:c r="W50" s="22" t="n">
        <x:v>61</x:v>
      </x:c>
      <x:c r="X50" s="22" t="n">
        <x:v>20</x:v>
      </x:c>
      <x:c r="Y50" s="22" t="n">
        <x:v>110</x:v>
      </x:c>
      <x:c r="Z50" s="22" t="n">
        <x:v>0</x:v>
      </x:c>
      <x:c r="AA50" s="22" t="n">
        <x:v>0</x:v>
      </x:c>
      <x:c r="AB50" s="22" t="n">
        <x:v>0</x:v>
      </x:c>
      <x:c r="AC50" s="22" t="n">
        <x:v>0</x:v>
      </x:c>
      <x:c r="AD50" s="22" t="n">
        <x:v>30</x:v>
      </x:c>
      <x:c r="AE50" s="22" t="n">
        <x:v>5</x:v>
      </x:c>
      <x:c r="AF50" s="22" t="n">
        <x:v>83</x:v>
      </x:c>
      <x:c r="AG50" s="22" t="n">
        <x:v>7</x:v>
      </x:c>
      <x:c r="AH50" s="22" t="n">
        <x:v>8</x:v>
      </x:c>
      <x:c r="AI50" s="22" t="n">
        <x:v>11</x:v>
      </x:c>
      <x:c r="AJ50" s="22" t="n">
        <x:v>0</x:v>
      </x:c>
      <x:c r="AK50" s="22" t="n">
        <x:v>0</x:v>
      </x:c>
      <x:c r="AL50" s="22" t="n">
        <x:v>272</x:v>
      </x:c>
      <x:c r="AM50" s="22" t="n">
        <x:v>60</x:v>
      </x:c>
      <x:c r="AN50" s="22" t="n">
        <x:v>3</x:v>
      </x:c>
      <x:c r="AO50" s="22" t="n">
        <x:v>3</x:v>
      </x:c>
      <x:c r="AP50" s="22" t="n">
        <x:v>1100</x:v>
      </x:c>
      <x:c r="AQ50" s="22" t="n">
        <x:v>15</x:v>
      </x:c>
      <x:c r="AR50" s="22" t="n">
        <x:v>0</x:v>
      </x:c>
      <x:c r="AS50" s="22" t="n">
        <x:v>10</x:v>
      </x:c>
      <x:c r="AT50" s="22" t="n">
        <x:v>10</x:v>
      </x:c>
      <x:c r="AU50" s="22" t="n">
        <x:v>0</x:v>
      </x:c>
      <x:c r="AV50" s="22" t="n">
        <x:v>6</x:v>
      </x:c>
      <x:c r="AW50" s="22" t="n">
        <x:v>0</x:v>
      </x:c>
    </x:row>
    <x:row r="51" ht="24" customHeight="1">
      <x:c r="A51" s="22" t="str">
        <x:v>P0047</x:v>
      </x:c>
      <x:c r="B51" s="22" t="n">
        <x:v>2</x:v>
      </x:c>
      <x:c r="C51" s="22" t="n">
        <x:v>4</x:v>
      </x:c>
      <x:c r="D51" s="22" t="str">
        <x:v>风暴君王·奥雷格挑战前</x:v>
      </x:c>
      <x:c r="E51" s="22" t="n">
        <x:v>2579</x:v>
      </x:c>
      <x:c r="F51" s="22" t="n">
        <x:v>3263</x:v>
      </x:c>
      <x:c r="G51" s="22" t="n">
        <x:v>2521</x:v>
      </x:c>
      <x:c r="H51" s="22" t="n">
        <x:v>3196</x:v>
      </x:c>
      <x:c r="I51" s="22" t="n">
        <x:v>2494</x:v>
      </x:c>
      <x:c r="J51" s="22" t="n">
        <x:v>3169</x:v>
      </x:c>
      <x:c r="K51" s="22" t="n">
        <x:v>474200</x:v>
      </x:c>
      <x:c r="L51" s="22" t="n">
        <x:v>30300</x:v>
      </x:c>
      <x:c r="M51" s="22" t="n">
        <x:v>311</x:v>
      </x:c>
      <x:c r="N51" s="22" t="n">
        <x:v>548</x:v>
      </x:c>
      <x:c r="O51" s="22" t="n">
        <x:v>254</x:v>
      </x:c>
      <x:c r="P51" s="22" t="n">
        <x:v>446</x:v>
      </x:c>
      <x:c r="Q51" s="22" t="n">
        <x:v>344</x:v>
      </x:c>
      <x:c r="R51" s="22" t="n">
        <x:v>325</x:v>
      </x:c>
      <x:c r="S51" s="22" t="n">
        <x:v>325</x:v>
      </x:c>
      <x:c r="T51" s="22" t="n">
        <x:v>0.02</x:v>
      </x:c>
      <x:c r="U51" s="22" t="n">
        <x:v>11</x:v>
      </x:c>
      <x:c r="V51" s="22" t="n">
        <x:v>115</x:v>
      </x:c>
      <x:c r="W51" s="22" t="n">
        <x:v>61</x:v>
      </x:c>
      <x:c r="X51" s="22" t="n">
        <x:v>20</x:v>
      </x:c>
      <x:c r="Y51" s="22" t="n">
        <x:v>110</x:v>
      </x:c>
      <x:c r="Z51" s="22" t="n">
        <x:v>0</x:v>
      </x:c>
      <x:c r="AA51" s="22" t="n">
        <x:v>0</x:v>
      </x:c>
      <x:c r="AB51" s="22" t="n">
        <x:v>0</x:v>
      </x:c>
      <x:c r="AC51" s="22" t="n">
        <x:v>0</x:v>
      </x:c>
      <x:c r="AD51" s="22" t="n">
        <x:v>30</x:v>
      </x:c>
      <x:c r="AE51" s="22" t="n">
        <x:v>5</x:v>
      </x:c>
      <x:c r="AF51" s="22" t="n">
        <x:v>83</x:v>
      </x:c>
      <x:c r="AG51" s="22" t="n">
        <x:v>7</x:v>
      </x:c>
      <x:c r="AH51" s="22" t="n">
        <x:v>8</x:v>
      </x:c>
      <x:c r="AI51" s="22" t="n">
        <x:v>13</x:v>
      </x:c>
      <x:c r="AJ51" s="22" t="n">
        <x:v>0</x:v>
      </x:c>
      <x:c r="AK51" s="22" t="n">
        <x:v>0</x:v>
      </x:c>
      <x:c r="AL51" s="22" t="n">
        <x:v>272</x:v>
      </x:c>
      <x:c r="AM51" s="22" t="n">
        <x:v>60</x:v>
      </x:c>
      <x:c r="AN51" s="22" t="n">
        <x:v>3</x:v>
      </x:c>
      <x:c r="AO51" s="22" t="n">
        <x:v>3</x:v>
      </x:c>
      <x:c r="AP51" s="22" t="n">
        <x:v>1100</x:v>
      </x:c>
      <x:c r="AQ51" s="22" t="n">
        <x:v>15</x:v>
      </x:c>
      <x:c r="AR51" s="22" t="n">
        <x:v>0</x:v>
      </x:c>
      <x:c r="AS51" s="22" t="n">
        <x:v>10</x:v>
      </x:c>
      <x:c r="AT51" s="22" t="n">
        <x:v>10</x:v>
      </x:c>
      <x:c r="AU51" s="22" t="n">
        <x:v>0</x:v>
      </x:c>
      <x:c r="AV51" s="22" t="n">
        <x:v>6</x:v>
      </x:c>
      <x:c r="AW51" s="22" t="n">
        <x:v>0</x:v>
      </x:c>
    </x:row>
    <x:row r="52" ht="24" customHeight="1">
      <x:c r="A52" s="22" t="str">
        <x:v>P0048</x:v>
      </x:c>
      <x:c r="B52" s="22" t="n">
        <x:v>2</x:v>
      </x:c>
      <x:c r="C52" s="22" t="n">
        <x:v>4</x:v>
      </x:c>
      <x:c r="D52" s="22" t="str">
        <x:v>恶兆妖鬼·玛尔基特挑战前</x:v>
      </x:c>
      <x:c r="E52" s="22" t="n">
        <x:v>2579</x:v>
      </x:c>
      <x:c r="F52" s="22" t="n">
        <x:v>3263</x:v>
      </x:c>
      <x:c r="G52" s="22" t="n">
        <x:v>2521</x:v>
      </x:c>
      <x:c r="H52" s="22" t="n">
        <x:v>3196</x:v>
      </x:c>
      <x:c r="I52" s="22" t="n">
        <x:v>2494</x:v>
      </x:c>
      <x:c r="J52" s="22" t="n">
        <x:v>3169</x:v>
      </x:c>
      <x:c r="K52" s="22" t="n">
        <x:v>474200</x:v>
      </x:c>
      <x:c r="L52" s="22" t="n">
        <x:v>30300</x:v>
      </x:c>
      <x:c r="M52" s="22" t="n">
        <x:v>311</x:v>
      </x:c>
      <x:c r="N52" s="22" t="n">
        <x:v>548</x:v>
      </x:c>
      <x:c r="O52" s="22" t="n">
        <x:v>254</x:v>
      </x:c>
      <x:c r="P52" s="22" t="n">
        <x:v>446</x:v>
      </x:c>
      <x:c r="Q52" s="22" t="n">
        <x:v>344</x:v>
      </x:c>
      <x:c r="R52" s="22" t="n">
        <x:v>325</x:v>
      </x:c>
      <x:c r="S52" s="22" t="n">
        <x:v>325</x:v>
      </x:c>
      <x:c r="T52" s="22" t="n">
        <x:v>0.02</x:v>
      </x:c>
      <x:c r="U52" s="22" t="n">
        <x:v>11</x:v>
      </x:c>
      <x:c r="V52" s="22" t="n">
        <x:v>115</x:v>
      </x:c>
      <x:c r="W52" s="22" t="n">
        <x:v>61</x:v>
      </x:c>
      <x:c r="X52" s="22" t="n">
        <x:v>20</x:v>
      </x:c>
      <x:c r="Y52" s="22" t="n">
        <x:v>110</x:v>
      </x:c>
      <x:c r="Z52" s="22" t="n">
        <x:v>0</x:v>
      </x:c>
      <x:c r="AA52" s="22" t="n">
        <x:v>0</x:v>
      </x:c>
      <x:c r="AB52" s="22" t="n">
        <x:v>0</x:v>
      </x:c>
      <x:c r="AC52" s="22" t="n">
        <x:v>0</x:v>
      </x:c>
      <x:c r="AD52" s="22" t="n">
        <x:v>30</x:v>
      </x:c>
      <x:c r="AE52" s="22" t="n">
        <x:v>5</x:v>
      </x:c>
      <x:c r="AF52" s="22" t="n">
        <x:v>83</x:v>
      </x:c>
      <x:c r="AG52" s="22" t="n">
        <x:v>7</x:v>
      </x:c>
      <x:c r="AH52" s="22" t="n">
        <x:v>8</x:v>
      </x:c>
      <x:c r="AI52" s="22" t="n">
        <x:v>13</x:v>
      </x:c>
      <x:c r="AJ52" s="22" t="n">
        <x:v>0</x:v>
      </x:c>
      <x:c r="AK52" s="22" t="n">
        <x:v>0</x:v>
      </x:c>
      <x:c r="AL52" s="22" t="n">
        <x:v>272</x:v>
      </x:c>
      <x:c r="AM52" s="22" t="n">
        <x:v>60</x:v>
      </x:c>
      <x:c r="AN52" s="22" t="n">
        <x:v>3</x:v>
      </x:c>
      <x:c r="AO52" s="22" t="n">
        <x:v>3</x:v>
      </x:c>
      <x:c r="AP52" s="22" t="n">
        <x:v>1100</x:v>
      </x:c>
      <x:c r="AQ52" s="22" t="n">
        <x:v>15</x:v>
      </x:c>
      <x:c r="AR52" s="22" t="n">
        <x:v>0</x:v>
      </x:c>
      <x:c r="AS52" s="22" t="n">
        <x:v>10</x:v>
      </x:c>
      <x:c r="AT52" s="22" t="n">
        <x:v>10</x:v>
      </x:c>
      <x:c r="AU52" s="22" t="n">
        <x:v>0</x:v>
      </x:c>
      <x:c r="AV52" s="22" t="n">
        <x:v>6</x:v>
      </x:c>
      <x:c r="AW52" s="22" t="n">
        <x:v>0</x:v>
      </x:c>
    </x:row>
    <x:row r="53" ht="24" customHeight="1">
      <x:c r="A53" s="22" t="str">
        <x:v>P0049</x:v>
      </x:c>
      <x:c r="B53" s="22" t="n">
        <x:v>2</x:v>
      </x:c>
      <x:c r="C53" s="22" t="n">
        <x:v>4</x:v>
      </x:c>
      <x:c r="D53" s="22" t="str">
        <x:v>风暴山谷BOSS装备快线</x:v>
      </x:c>
      <x:c r="E53" s="22" t="n">
        <x:v>2632</x:v>
      </x:c>
      <x:c r="F53" s="22" t="n">
        <x:v>3368</x:v>
      </x:c>
      <x:c r="G53" s="22" t="n">
        <x:v>2574</x:v>
      </x:c>
      <x:c r="H53" s="22" t="n">
        <x:v>3301</x:v>
      </x:c>
      <x:c r="I53" s="22" t="n">
        <x:v>2547</x:v>
      </x:c>
      <x:c r="J53" s="22" t="n">
        <x:v>3274</x:v>
      </x:c>
      <x:c r="K53" s="22" t="n">
        <x:v>492200</x:v>
      </x:c>
      <x:c r="L53" s="22" t="n">
        <x:v>30300</x:v>
      </x:c>
      <x:c r="M53" s="22" t="n">
        <x:v>331</x:v>
      </x:c>
      <x:c r="N53" s="22" t="n">
        <x:v>581</x:v>
      </x:c>
      <x:c r="O53" s="22" t="n">
        <x:v>270</x:v>
      </x:c>
      <x:c r="P53" s="22" t="n">
        <x:v>473</x:v>
      </x:c>
      <x:c r="Q53" s="22" t="n">
        <x:v>351</x:v>
      </x:c>
      <x:c r="R53" s="22" t="n">
        <x:v>332</x:v>
      </x:c>
      <x:c r="S53" s="22" t="n">
        <x:v>332</x:v>
      </x:c>
      <x:c r="T53" s="22" t="n">
        <x:v>0.02</x:v>
      </x:c>
      <x:c r="U53" s="22" t="n">
        <x:v>11</x:v>
      </x:c>
      <x:c r="V53" s="22" t="n">
        <x:v>118</x:v>
      </x:c>
      <x:c r="W53" s="22" t="n">
        <x:v>63</x:v>
      </x:c>
      <x:c r="X53" s="22" t="n">
        <x:v>20</x:v>
      </x:c>
      <x:c r="Y53" s="22" t="n">
        <x:v>110</x:v>
      </x:c>
      <x:c r="Z53" s="22" t="n">
        <x:v>0</x:v>
      </x:c>
      <x:c r="AA53" s="22" t="n">
        <x:v>0</x:v>
      </x:c>
      <x:c r="AB53" s="22" t="n">
        <x:v>0</x:v>
      </x:c>
      <x:c r="AC53" s="22" t="n">
        <x:v>0</x:v>
      </x:c>
      <x:c r="AD53" s="22" t="n">
        <x:v>30</x:v>
      </x:c>
      <x:c r="AE53" s="22" t="n">
        <x:v>5</x:v>
      </x:c>
      <x:c r="AF53" s="22" t="n">
        <x:v>83</x:v>
      </x:c>
      <x:c r="AG53" s="22" t="n">
        <x:v>7</x:v>
      </x:c>
      <x:c r="AH53" s="22" t="n">
        <x:v>8</x:v>
      </x:c>
      <x:c r="AI53" s="22" t="n">
        <x:v>13</x:v>
      </x:c>
      <x:c r="AJ53" s="22" t="n">
        <x:v>0</x:v>
      </x:c>
      <x:c r="AK53" s="22" t="n">
        <x:v>0</x:v>
      </x:c>
      <x:c r="AL53" s="22" t="n">
        <x:v>272</x:v>
      </x:c>
      <x:c r="AM53" s="22" t="n">
        <x:v>60</x:v>
      </x:c>
      <x:c r="AN53" s="22" t="n">
        <x:v>3</x:v>
      </x:c>
      <x:c r="AO53" s="22" t="n">
        <x:v>3</x:v>
      </x:c>
      <x:c r="AP53" s="22" t="n">
        <x:v>1160</x:v>
      </x:c>
      <x:c r="AQ53" s="22" t="n">
        <x:v>16</x:v>
      </x:c>
      <x:c r="AR53" s="22" t="n">
        <x:v>0</x:v>
      </x:c>
      <x:c r="AS53" s="22" t="n">
        <x:v>10</x:v>
      </x:c>
      <x:c r="AT53" s="22" t="n">
        <x:v>10</x:v>
      </x:c>
      <x:c r="AU53" s="22" t="n">
        <x:v>0</x:v>
      </x:c>
      <x:c r="AV53" s="22" t="n">
        <x:v>6</x:v>
      </x:c>
      <x:c r="AW53" s="22" t="n">
        <x:v>0</x:v>
      </x:c>
    </x:row>
    <x:row r="54" ht="24" customHeight="1">
      <x:c r="A54" s="22" t="str">
        <x:v>P0050</x:v>
      </x:c>
      <x:c r="B54" s="22" t="n">
        <x:v>2</x:v>
      </x:c>
      <x:c r="C54" s="22" t="n">
        <x:v>4</x:v>
      </x:c>
      <x:c r="D54" s="22" t="str">
        <x:v>风暴山谷阶段积累后</x:v>
      </x:c>
      <x:c r="E54" s="22" t="n">
        <x:v>2581</x:v>
      </x:c>
      <x:c r="F54" s="22" t="n">
        <x:v>3265</x:v>
      </x:c>
      <x:c r="G54" s="22" t="n">
        <x:v>2523</x:v>
      </x:c>
      <x:c r="H54" s="22" t="n">
        <x:v>3198</x:v>
      </x:c>
      <x:c r="I54" s="22" t="n">
        <x:v>2496</x:v>
      </x:c>
      <x:c r="J54" s="22" t="n">
        <x:v>3171</x:v>
      </x:c>
      <x:c r="K54" s="22" t="n">
        <x:v>474400</x:v>
      </x:c>
      <x:c r="L54" s="22" t="n">
        <x:v>30300</x:v>
      </x:c>
      <x:c r="M54" s="22" t="n">
        <x:v>311</x:v>
      </x:c>
      <x:c r="N54" s="22" t="n">
        <x:v>548</x:v>
      </x:c>
      <x:c r="O54" s="22" t="n">
        <x:v>254</x:v>
      </x:c>
      <x:c r="P54" s="22" t="n">
        <x:v>446</x:v>
      </x:c>
      <x:c r="Q54" s="22" t="n">
        <x:v>344</x:v>
      </x:c>
      <x:c r="R54" s="22" t="n">
        <x:v>325</x:v>
      </x:c>
      <x:c r="S54" s="22" t="n">
        <x:v>325</x:v>
      </x:c>
      <x:c r="T54" s="22" t="n">
        <x:v>0.02</x:v>
      </x:c>
      <x:c r="U54" s="22" t="n">
        <x:v>11</x:v>
      </x:c>
      <x:c r="V54" s="22" t="n">
        <x:v>115</x:v>
      </x:c>
      <x:c r="W54" s="22" t="n">
        <x:v>61</x:v>
      </x:c>
      <x:c r="X54" s="22" t="n">
        <x:v>20</x:v>
      </x:c>
      <x:c r="Y54" s="22" t="n">
        <x:v>110</x:v>
      </x:c>
      <x:c r="Z54" s="22" t="n">
        <x:v>0</x:v>
      </x:c>
      <x:c r="AA54" s="22" t="n">
        <x:v>0</x:v>
      </x:c>
      <x:c r="AB54" s="22" t="n">
        <x:v>0</x:v>
      </x:c>
      <x:c r="AC54" s="22" t="n">
        <x:v>0</x:v>
      </x:c>
      <x:c r="AD54" s="22" t="n">
        <x:v>30</x:v>
      </x:c>
      <x:c r="AE54" s="22" t="n">
        <x:v>5</x:v>
      </x:c>
      <x:c r="AF54" s="22" t="n">
        <x:v>83</x:v>
      </x:c>
      <x:c r="AG54" s="22" t="n">
        <x:v>7</x:v>
      </x:c>
      <x:c r="AH54" s="22" t="n">
        <x:v>8</x:v>
      </x:c>
      <x:c r="AI54" s="22" t="n">
        <x:v>13</x:v>
      </x:c>
      <x:c r="AJ54" s="22" t="n">
        <x:v>0</x:v>
      </x:c>
      <x:c r="AK54" s="22" t="n">
        <x:v>0</x:v>
      </x:c>
      <x:c r="AL54" s="22" t="n">
        <x:v>292</x:v>
      </x:c>
      <x:c r="AM54" s="22" t="n">
        <x:v>60</x:v>
      </x:c>
      <x:c r="AN54" s="22" t="n">
        <x:v>3</x:v>
      </x:c>
      <x:c r="AO54" s="22" t="n">
        <x:v>3</x:v>
      </x:c>
      <x:c r="AP54" s="22" t="n">
        <x:v>1100</x:v>
      </x:c>
      <x:c r="AQ54" s="22" t="n">
        <x:v>15</x:v>
      </x:c>
      <x:c r="AR54" s="22" t="n">
        <x:v>0</x:v>
      </x:c>
      <x:c r="AS54" s="22" t="n">
        <x:v>10</x:v>
      </x:c>
      <x:c r="AT54" s="22" t="n">
        <x:v>10</x:v>
      </x:c>
      <x:c r="AU54" s="22" t="n">
        <x:v>0</x:v>
      </x:c>
      <x:c r="AV54" s="22" t="n">
        <x:v>6</x:v>
      </x:c>
      <x:c r="AW54" s="22" t="n">
        <x:v>0</x:v>
      </x:c>
    </x:row>
    <x:row r="55" ht="24" customHeight="1">
      <x:c r="A55" s="22" t="str">
        <x:v>P0051</x:v>
      </x:c>
      <x:c r="B55" s="22" t="n">
        <x:v>2</x:v>
      </x:c>
      <x:c r="C55" s="22" t="n">
        <x:v>5</x:v>
      </x:c>
      <x:c r="D55" s="22" t="str">
        <x:v>C02G05入场</x:v>
      </x:c>
      <x:c r="E55" s="22" t="n">
        <x:v>2581</x:v>
      </x:c>
      <x:c r="F55" s="22" t="n">
        <x:v>3265</x:v>
      </x:c>
      <x:c r="G55" s="22" t="n">
        <x:v>2523</x:v>
      </x:c>
      <x:c r="H55" s="22" t="n">
        <x:v>3198</x:v>
      </x:c>
      <x:c r="I55" s="22" t="n">
        <x:v>2496</x:v>
      </x:c>
      <x:c r="J55" s="22" t="n">
        <x:v>3171</x:v>
      </x:c>
      <x:c r="K55" s="22" t="n">
        <x:v>474400</x:v>
      </x:c>
      <x:c r="L55" s="22" t="n">
        <x:v>30300</x:v>
      </x:c>
      <x:c r="M55" s="22" t="n">
        <x:v>311</x:v>
      </x:c>
      <x:c r="N55" s="22" t="n">
        <x:v>548</x:v>
      </x:c>
      <x:c r="O55" s="22" t="n">
        <x:v>254</x:v>
      </x:c>
      <x:c r="P55" s="22" t="n">
        <x:v>446</x:v>
      </x:c>
      <x:c r="Q55" s="22" t="n">
        <x:v>344</x:v>
      </x:c>
      <x:c r="R55" s="22" t="n">
        <x:v>325</x:v>
      </x:c>
      <x:c r="S55" s="22" t="n">
        <x:v>325</x:v>
      </x:c>
      <x:c r="T55" s="22" t="n">
        <x:v>0.02</x:v>
      </x:c>
      <x:c r="U55" s="22" t="n">
        <x:v>11</x:v>
      </x:c>
      <x:c r="V55" s="22" t="n">
        <x:v>115</x:v>
      </x:c>
      <x:c r="W55" s="22" t="n">
        <x:v>61</x:v>
      </x:c>
      <x:c r="X55" s="22" t="n">
        <x:v>20</x:v>
      </x:c>
      <x:c r="Y55" s="22" t="n">
        <x:v>110</x:v>
      </x:c>
      <x:c r="Z55" s="22" t="n">
        <x:v>0</x:v>
      </x:c>
      <x:c r="AA55" s="22" t="n">
        <x:v>0</x:v>
      </x:c>
      <x:c r="AB55" s="22" t="n">
        <x:v>0</x:v>
      </x:c>
      <x:c r="AC55" s="22" t="n">
        <x:v>0</x:v>
      </x:c>
      <x:c r="AD55" s="22" t="n">
        <x:v>30</x:v>
      </x:c>
      <x:c r="AE55" s="22" t="n">
        <x:v>5</x:v>
      </x:c>
      <x:c r="AF55" s="22" t="n">
        <x:v>83</x:v>
      </x:c>
      <x:c r="AG55" s="22" t="n">
        <x:v>7</x:v>
      </x:c>
      <x:c r="AH55" s="22" t="n">
        <x:v>8</x:v>
      </x:c>
      <x:c r="AI55" s="22" t="n">
        <x:v>13</x:v>
      </x:c>
      <x:c r="AJ55" s="22" t="n">
        <x:v>0</x:v>
      </x:c>
      <x:c r="AK55" s="22" t="n">
        <x:v>0</x:v>
      </x:c>
      <x:c r="AL55" s="22" t="n">
        <x:v>292</x:v>
      </x:c>
      <x:c r="AM55" s="22" t="n">
        <x:v>60</x:v>
      </x:c>
      <x:c r="AN55" s="22" t="n">
        <x:v>3</x:v>
      </x:c>
      <x:c r="AO55" s="22" t="n">
        <x:v>3</x:v>
      </x:c>
      <x:c r="AP55" s="22" t="n">
        <x:v>1100</x:v>
      </x:c>
      <x:c r="AQ55" s="22" t="n">
        <x:v>15</x:v>
      </x:c>
      <x:c r="AR55" s="22" t="n">
        <x:v>0</x:v>
      </x:c>
      <x:c r="AS55" s="22" t="n">
        <x:v>10</x:v>
      </x:c>
      <x:c r="AT55" s="22" t="n">
        <x:v>10</x:v>
      </x:c>
      <x:c r="AU55" s="22" t="n">
        <x:v>0</x:v>
      </x:c>
      <x:c r="AV55" s="22" t="n">
        <x:v>6</x:v>
      </x:c>
      <x:c r="AW55" s="22" t="n">
        <x:v>0</x:v>
      </x:c>
    </x:row>
    <x:row r="56" ht="24" customHeight="1">
      <x:c r="A56" s="22" t="str">
        <x:v>P0052</x:v>
      </x:c>
      <x:c r="B56" s="22" t="n">
        <x:v>2</x:v>
      </x:c>
      <x:c r="C56" s="22" t="n">
        <x:v>5</x:v>
      </x:c>
      <x:c r="D56" s="22" t="str">
        <x:v>C02G05普通专属4/6</x:v>
      </x:c>
      <x:c r="E56" s="22" t="n">
        <x:v>2593</x:v>
      </x:c>
      <x:c r="F56" s="22" t="n">
        <x:v>3289</x:v>
      </x:c>
      <x:c r="G56" s="22" t="n">
        <x:v>2535</x:v>
      </x:c>
      <x:c r="H56" s="22" t="n">
        <x:v>3222</x:v>
      </x:c>
      <x:c r="I56" s="22" t="n">
        <x:v>2508</x:v>
      </x:c>
      <x:c r="J56" s="22" t="n">
        <x:v>3195</x:v>
      </x:c>
      <x:c r="K56" s="22" t="n">
        <x:v>477400</x:v>
      </x:c>
      <x:c r="L56" s="22" t="n">
        <x:v>30300</x:v>
      </x:c>
      <x:c r="M56" s="22" t="n">
        <x:v>317</x:v>
      </x:c>
      <x:c r="N56" s="22" t="n">
        <x:v>556</x:v>
      </x:c>
      <x:c r="O56" s="22" t="n">
        <x:v>260</x:v>
      </x:c>
      <x:c r="P56" s="22" t="n">
        <x:v>452</x:v>
      </x:c>
      <x:c r="Q56" s="22" t="n">
        <x:v>350</x:v>
      </x:c>
      <x:c r="R56" s="22" t="n">
        <x:v>331</x:v>
      </x:c>
      <x:c r="S56" s="22" t="n">
        <x:v>331</x:v>
      </x:c>
      <x:c r="T56" s="22" t="n">
        <x:v>0.02</x:v>
      </x:c>
      <x:c r="U56" s="22" t="n">
        <x:v>11</x:v>
      </x:c>
      <x:c r="V56" s="22" t="n">
        <x:v>113</x:v>
      </x:c>
      <x:c r="W56" s="22" t="n">
        <x:v>61</x:v>
      </x:c>
      <x:c r="X56" s="22" t="n">
        <x:v>20</x:v>
      </x:c>
      <x:c r="Y56" s="22" t="n">
        <x:v>114</x:v>
      </x:c>
      <x:c r="Z56" s="22" t="n">
        <x:v>0</x:v>
      </x:c>
      <x:c r="AA56" s="22" t="n">
        <x:v>0</x:v>
      </x:c>
      <x:c r="AB56" s="22" t="n">
        <x:v>0</x:v>
      </x:c>
      <x:c r="AC56" s="22" t="n">
        <x:v>0</x:v>
      </x:c>
      <x:c r="AD56" s="22" t="n">
        <x:v>30</x:v>
      </x:c>
      <x:c r="AE56" s="22" t="n">
        <x:v>5</x:v>
      </x:c>
      <x:c r="AF56" s="22" t="n">
        <x:v>83</x:v>
      </x:c>
      <x:c r="AG56" s="22" t="n">
        <x:v>7</x:v>
      </x:c>
      <x:c r="AH56" s="22" t="n">
        <x:v>8</x:v>
      </x:c>
      <x:c r="AI56" s="22" t="n">
        <x:v>13</x:v>
      </x:c>
      <x:c r="AJ56" s="22" t="n">
        <x:v>0</x:v>
      </x:c>
      <x:c r="AK56" s="22" t="n">
        <x:v>0</x:v>
      </x:c>
      <x:c r="AL56" s="22" t="n">
        <x:v>292</x:v>
      </x:c>
      <x:c r="AM56" s="22" t="n">
        <x:v>60</x:v>
      </x:c>
      <x:c r="AN56" s="22" t="n">
        <x:v>3</x:v>
      </x:c>
      <x:c r="AO56" s="22" t="n">
        <x:v>3</x:v>
      </x:c>
      <x:c r="AP56" s="22" t="n">
        <x:v>1100</x:v>
      </x:c>
      <x:c r="AQ56" s="22" t="n">
        <x:v>15</x:v>
      </x:c>
      <x:c r="AR56" s="22" t="n">
        <x:v>0</x:v>
      </x:c>
      <x:c r="AS56" s="22" t="n">
        <x:v>10</x:v>
      </x:c>
      <x:c r="AT56" s="22" t="n">
        <x:v>10</x:v>
      </x:c>
      <x:c r="AU56" s="22" t="n">
        <x:v>0</x:v>
      </x:c>
      <x:c r="AV56" s="22" t="n">
        <x:v>6</x:v>
      </x:c>
      <x:c r="AW56" s="22" t="n">
        <x:v>0</x:v>
      </x:c>
    </x:row>
    <x:row r="57" ht="24" customHeight="1">
      <x:c r="A57" s="22" t="str">
        <x:v>P0053</x:v>
      </x:c>
      <x:c r="B57" s="22" t="n">
        <x:v>2</x:v>
      </x:c>
      <x:c r="C57" s="22" t="n">
        <x:v>5</x:v>
      </x:c>
      <x:c r="D57" s="22" t="str">
        <x:v>接肢兽将·戈德温挑战前</x:v>
      </x:c>
      <x:c r="E57" s="22" t="n">
        <x:v>2998</x:v>
      </x:c>
      <x:c r="F57" s="22" t="n">
        <x:v>3694</x:v>
      </x:c>
      <x:c r="G57" s="22" t="n">
        <x:v>2940</x:v>
      </x:c>
      <x:c r="H57" s="22" t="n">
        <x:v>3627</x:v>
      </x:c>
      <x:c r="I57" s="22" t="n">
        <x:v>2913</x:v>
      </x:c>
      <x:c r="J57" s="22" t="n">
        <x:v>3600</x:v>
      </x:c>
      <x:c r="K57" s="22" t="n">
        <x:v>517900</x:v>
      </x:c>
      <x:c r="L57" s="22" t="n">
        <x:v>30300</x:v>
      </x:c>
      <x:c r="M57" s="22" t="n">
        <x:v>317</x:v>
      </x:c>
      <x:c r="N57" s="22" t="n">
        <x:v>556</x:v>
      </x:c>
      <x:c r="O57" s="22" t="n">
        <x:v>260</x:v>
      </x:c>
      <x:c r="P57" s="22" t="n">
        <x:v>452</x:v>
      </x:c>
      <x:c r="Q57" s="22" t="n">
        <x:v>350</x:v>
      </x:c>
      <x:c r="R57" s="22" t="n">
        <x:v>331</x:v>
      </x:c>
      <x:c r="S57" s="22" t="n">
        <x:v>331</x:v>
      </x:c>
      <x:c r="T57" s="22" t="n">
        <x:v>0.02</x:v>
      </x:c>
      <x:c r="U57" s="22" t="n">
        <x:v>11</x:v>
      </x:c>
      <x:c r="V57" s="22" t="n">
        <x:v>113</x:v>
      </x:c>
      <x:c r="W57" s="22" t="n">
        <x:v>61</x:v>
      </x:c>
      <x:c r="X57" s="22" t="n">
        <x:v>20</x:v>
      </x:c>
      <x:c r="Y57" s="22" t="n">
        <x:v>114</x:v>
      </x:c>
      <x:c r="Z57" s="22" t="n">
        <x:v>0</x:v>
      </x:c>
      <x:c r="AA57" s="22" t="n">
        <x:v>0</x:v>
      </x:c>
      <x:c r="AB57" s="22" t="n">
        <x:v>0</x:v>
      </x:c>
      <x:c r="AC57" s="22" t="n">
        <x:v>0</x:v>
      </x:c>
      <x:c r="AD57" s="22" t="n">
        <x:v>30</x:v>
      </x:c>
      <x:c r="AE57" s="22" t="n">
        <x:v>5</x:v>
      </x:c>
      <x:c r="AF57" s="22" t="n">
        <x:v>83</x:v>
      </x:c>
      <x:c r="AG57" s="22" t="n">
        <x:v>7</x:v>
      </x:c>
      <x:c r="AH57" s="22" t="n">
        <x:v>8</x:v>
      </x:c>
      <x:c r="AI57" s="22" t="n">
        <x:v>13</x:v>
      </x:c>
      <x:c r="AJ57" s="22" t="n">
        <x:v>0</x:v>
      </x:c>
      <x:c r="AK57" s="22" t="n">
        <x:v>0</x:v>
      </x:c>
      <x:c r="AL57" s="22" t="n">
        <x:v>292</x:v>
      </x:c>
      <x:c r="AM57" s="22" t="n">
        <x:v>60</x:v>
      </x:c>
      <x:c r="AN57" s="22" t="n">
        <x:v>3</x:v>
      </x:c>
      <x:c r="AO57" s="22" t="n">
        <x:v>3</x:v>
      </x:c>
      <x:c r="AP57" s="22" t="n">
        <x:v>1100</x:v>
      </x:c>
      <x:c r="AQ57" s="22" t="n">
        <x:v>15</x:v>
      </x:c>
      <x:c r="AR57" s="22" t="n">
        <x:v>0</x:v>
      </x:c>
      <x:c r="AS57" s="22" t="n">
        <x:v>10</x:v>
      </x:c>
      <x:c r="AT57" s="22" t="n">
        <x:v>10</x:v>
      </x:c>
      <x:c r="AU57" s="22" t="n">
        <x:v>0</x:v>
      </x:c>
      <x:c r="AV57" s="22" t="n">
        <x:v>6</x:v>
      </x:c>
      <x:c r="AW57" s="22" t="n">
        <x:v>0</x:v>
      </x:c>
    </x:row>
    <x:row r="58" ht="24" customHeight="1">
      <x:c r="A58" s="22" t="str">
        <x:v>P0054</x:v>
      </x:c>
      <x:c r="B58" s="22" t="n">
        <x:v>2</x:v>
      </x:c>
      <x:c r="C58" s="22" t="n">
        <x:v>5</x:v>
      </x:c>
      <x:c r="D58" s="22" t="str">
        <x:v>失乡统帅·欧尼尔挑战前</x:v>
      </x:c>
      <x:c r="E58" s="22" t="n">
        <x:v>2998</x:v>
      </x:c>
      <x:c r="F58" s="22" t="n">
        <x:v>3694</x:v>
      </x:c>
      <x:c r="G58" s="22" t="n">
        <x:v>2940</x:v>
      </x:c>
      <x:c r="H58" s="22" t="n">
        <x:v>3627</x:v>
      </x:c>
      <x:c r="I58" s="22" t="n">
        <x:v>2913</x:v>
      </x:c>
      <x:c r="J58" s="22" t="n">
        <x:v>3600</x:v>
      </x:c>
      <x:c r="K58" s="22" t="n">
        <x:v>517900</x:v>
      </x:c>
      <x:c r="L58" s="22" t="n">
        <x:v>30300</x:v>
      </x:c>
      <x:c r="M58" s="22" t="n">
        <x:v>317</x:v>
      </x:c>
      <x:c r="N58" s="22" t="n">
        <x:v>556</x:v>
      </x:c>
      <x:c r="O58" s="22" t="n">
        <x:v>260</x:v>
      </x:c>
      <x:c r="P58" s="22" t="n">
        <x:v>452</x:v>
      </x:c>
      <x:c r="Q58" s="22" t="n">
        <x:v>350</x:v>
      </x:c>
      <x:c r="R58" s="22" t="n">
        <x:v>331</x:v>
      </x:c>
      <x:c r="S58" s="22" t="n">
        <x:v>331</x:v>
      </x:c>
      <x:c r="T58" s="22" t="n">
        <x:v>0.02</x:v>
      </x:c>
      <x:c r="U58" s="22" t="n">
        <x:v>11</x:v>
      </x:c>
      <x:c r="V58" s="22" t="n">
        <x:v>113</x:v>
      </x:c>
      <x:c r="W58" s="22" t="n">
        <x:v>61</x:v>
      </x:c>
      <x:c r="X58" s="22" t="n">
        <x:v>20</x:v>
      </x:c>
      <x:c r="Y58" s="22" t="n">
        <x:v>114</x:v>
      </x:c>
      <x:c r="Z58" s="22" t="n">
        <x:v>0</x:v>
      </x:c>
      <x:c r="AA58" s="22" t="n">
        <x:v>0</x:v>
      </x:c>
      <x:c r="AB58" s="22" t="n">
        <x:v>0</x:v>
      </x:c>
      <x:c r="AC58" s="22" t="n">
        <x:v>0</x:v>
      </x:c>
      <x:c r="AD58" s="22" t="n">
        <x:v>30</x:v>
      </x:c>
      <x:c r="AE58" s="22" t="n">
        <x:v>5</x:v>
      </x:c>
      <x:c r="AF58" s="22" t="n">
        <x:v>83</x:v>
      </x:c>
      <x:c r="AG58" s="22" t="n">
        <x:v>7</x:v>
      </x:c>
      <x:c r="AH58" s="22" t="n">
        <x:v>8</x:v>
      </x:c>
      <x:c r="AI58" s="22" t="n">
        <x:v>13</x:v>
      </x:c>
      <x:c r="AJ58" s="22" t="n">
        <x:v>0</x:v>
      </x:c>
      <x:c r="AK58" s="22" t="n">
        <x:v>0</x:v>
      </x:c>
      <x:c r="AL58" s="22" t="n">
        <x:v>292</x:v>
      </x:c>
      <x:c r="AM58" s="22" t="n">
        <x:v>60</x:v>
      </x:c>
      <x:c r="AN58" s="22" t="n">
        <x:v>3</x:v>
      </x:c>
      <x:c r="AO58" s="22" t="n">
        <x:v>3</x:v>
      </x:c>
      <x:c r="AP58" s="22" t="n">
        <x:v>1100</x:v>
      </x:c>
      <x:c r="AQ58" s="22" t="n">
        <x:v>15</x:v>
      </x:c>
      <x:c r="AR58" s="22" t="n">
        <x:v>0</x:v>
      </x:c>
      <x:c r="AS58" s="22" t="n">
        <x:v>10</x:v>
      </x:c>
      <x:c r="AT58" s="22" t="n">
        <x:v>10</x:v>
      </x:c>
      <x:c r="AU58" s="22" t="n">
        <x:v>0</x:v>
      </x:c>
      <x:c r="AV58" s="22" t="n">
        <x:v>6</x:v>
      </x:c>
      <x:c r="AW58" s="22" t="n">
        <x:v>0</x:v>
      </x:c>
    </x:row>
    <x:row r="59" ht="24" customHeight="1">
      <x:c r="A59" s="22" t="str">
        <x:v>P0055</x:v>
      </x:c>
      <x:c r="B59" s="22" t="n">
        <x:v>2</x:v>
      </x:c>
      <x:c r="C59" s="22" t="n">
        <x:v>5</x:v>
      </x:c>
      <x:c r="D59" s="22" t="str">
        <x:v>史东薇尔王城BOSS装备快线</x:v>
      </x:c>
      <x:c r="E59" s="22" t="n">
        <x:v>3116</x:v>
      </x:c>
      <x:c r="F59" s="22" t="n">
        <x:v>3929</x:v>
      </x:c>
      <x:c r="G59" s="22" t="n">
        <x:v>3058</x:v>
      </x:c>
      <x:c r="H59" s="22" t="n">
        <x:v>3862</x:v>
      </x:c>
      <x:c r="I59" s="22" t="n">
        <x:v>3031</x:v>
      </x:c>
      <x:c r="J59" s="22" t="n">
        <x:v>3835</x:v>
      </x:c>
      <x:c r="K59" s="22" t="n">
        <x:v>742400</x:v>
      </x:c>
      <x:c r="L59" s="22" t="n">
        <x:v>30300</x:v>
      </x:c>
      <x:c r="M59" s="22" t="n">
        <x:v>403</x:v>
      </x:c>
      <x:c r="N59" s="22" t="n">
        <x:v>707</x:v>
      </x:c>
      <x:c r="O59" s="22" t="n">
        <x:v>330</x:v>
      </x:c>
      <x:c r="P59" s="22" t="n">
        <x:v>575</x:v>
      </x:c>
      <x:c r="Q59" s="22" t="n">
        <x:v>384</x:v>
      </x:c>
      <x:c r="R59" s="22" t="n">
        <x:v>365</x:v>
      </x:c>
      <x:c r="S59" s="22" t="n">
        <x:v>365</x:v>
      </x:c>
      <x:c r="T59" s="22" t="n">
        <x:v>0.02</x:v>
      </x:c>
      <x:c r="U59" s="22" t="n">
        <x:v>11</x:v>
      </x:c>
      <x:c r="V59" s="22" t="n">
        <x:v>113</x:v>
      </x:c>
      <x:c r="W59" s="22" t="n">
        <x:v>61</x:v>
      </x:c>
      <x:c r="X59" s="22" t="n">
        <x:v>20</x:v>
      </x:c>
      <x:c r="Y59" s="22" t="n">
        <x:v>114</x:v>
      </x:c>
      <x:c r="Z59" s="22" t="n">
        <x:v>0</x:v>
      </x:c>
      <x:c r="AA59" s="22" t="n">
        <x:v>0</x:v>
      </x:c>
      <x:c r="AB59" s="22" t="n">
        <x:v>0</x:v>
      </x:c>
      <x:c r="AC59" s="22" t="n">
        <x:v>0</x:v>
      </x:c>
      <x:c r="AD59" s="22" t="n">
        <x:v>30</x:v>
      </x:c>
      <x:c r="AE59" s="22" t="n">
        <x:v>5</x:v>
      </x:c>
      <x:c r="AF59" s="22" t="n">
        <x:v>83</x:v>
      </x:c>
      <x:c r="AG59" s="22" t="n">
        <x:v>7</x:v>
      </x:c>
      <x:c r="AH59" s="22" t="n">
        <x:v>8</x:v>
      </x:c>
      <x:c r="AI59" s="22" t="n">
        <x:v>13</x:v>
      </x:c>
      <x:c r="AJ59" s="22" t="n">
        <x:v>0</x:v>
      </x:c>
      <x:c r="AK59" s="22" t="n">
        <x:v>0</x:v>
      </x:c>
      <x:c r="AL59" s="22" t="n">
        <x:v>364</x:v>
      </x:c>
      <x:c r="AM59" s="22" t="n">
        <x:v>87</x:v>
      </x:c>
      <x:c r="AN59" s="22" t="n">
        <x:v>5</x:v>
      </x:c>
      <x:c r="AO59" s="22" t="n">
        <x:v>3</x:v>
      </x:c>
      <x:c r="AP59" s="22" t="n">
        <x:v>1100</x:v>
      </x:c>
      <x:c r="AQ59" s="22" t="n">
        <x:v>15</x:v>
      </x:c>
      <x:c r="AR59" s="22" t="n">
        <x:v>0</x:v>
      </x:c>
      <x:c r="AS59" s="22" t="n">
        <x:v>10</x:v>
      </x:c>
      <x:c r="AT59" s="22" t="n">
        <x:v>10</x:v>
      </x:c>
      <x:c r="AU59" s="22" t="n">
        <x:v>0</x:v>
      </x:c>
      <x:c r="AV59" s="22" t="n">
        <x:v>21</x:v>
      </x:c>
      <x:c r="AW59" s="22" t="n">
        <x:v>0</x:v>
      </x:c>
    </x:row>
    <x:row r="60" ht="24" customHeight="1">
      <x:c r="A60" s="22" t="str">
        <x:v>P0056</x:v>
      </x:c>
      <x:c r="B60" s="22" t="n">
        <x:v>2</x:v>
      </x:c>
      <x:c r="C60" s="22" t="n">
        <x:v>5</x:v>
      </x:c>
      <x:c r="D60" s="22" t="str">
        <x:v>史东薇尔王城阶段积累后</x:v>
      </x:c>
      <x:c r="E60" s="22" t="n">
        <x:v>3056</x:v>
      </x:c>
      <x:c r="F60" s="22" t="n">
        <x:v>3804</x:v>
      </x:c>
      <x:c r="G60" s="22" t="n">
        <x:v>2998</x:v>
      </x:c>
      <x:c r="H60" s="22" t="n">
        <x:v>3737</x:v>
      </x:c>
      <x:c r="I60" s="22" t="n">
        <x:v>2971</x:v>
      </x:c>
      <x:c r="J60" s="22" t="n">
        <x:v>3710</x:v>
      </x:c>
      <x:c r="K60" s="22" t="n">
        <x:v>530900</x:v>
      </x:c>
      <x:c r="L60" s="22" t="n">
        <x:v>30300</x:v>
      </x:c>
      <x:c r="M60" s="22" t="n">
        <x:v>341</x:v>
      </x:c>
      <x:c r="N60" s="22" t="n">
        <x:v>602</x:v>
      </x:c>
      <x:c r="O60" s="22" t="n">
        <x:v>278</x:v>
      </x:c>
      <x:c r="P60" s="22" t="n">
        <x:v>492</x:v>
      </x:c>
      <x:c r="Q60" s="22" t="n">
        <x:v>398</x:v>
      </x:c>
      <x:c r="R60" s="22" t="n">
        <x:v>379</x:v>
      </x:c>
      <x:c r="S60" s="22" t="n">
        <x:v>379</x:v>
      </x:c>
      <x:c r="T60" s="22" t="n">
        <x:v>0.02</x:v>
      </x:c>
      <x:c r="U60" s="22" t="n">
        <x:v>11</x:v>
      </x:c>
      <x:c r="V60" s="22" t="n">
        <x:v>103</x:v>
      </x:c>
      <x:c r="W60" s="22" t="n">
        <x:v>75</x:v>
      </x:c>
      <x:c r="X60" s="22" t="n">
        <x:v>20</x:v>
      </x:c>
      <x:c r="Y60" s="22" t="n">
        <x:v>174</x:v>
      </x:c>
      <x:c r="Z60" s="22" t="n">
        <x:v>0</x:v>
      </x:c>
      <x:c r="AA60" s="22" t="n">
        <x:v>0</x:v>
      </x:c>
      <x:c r="AB60" s="22" t="n">
        <x:v>0</x:v>
      </x:c>
      <x:c r="AC60" s="22" t="n">
        <x:v>0</x:v>
      </x:c>
      <x:c r="AD60" s="22" t="n">
        <x:v>30</x:v>
      </x:c>
      <x:c r="AE60" s="22" t="n">
        <x:v>5</x:v>
      </x:c>
      <x:c r="AF60" s="22" t="n">
        <x:v>83</x:v>
      </x:c>
      <x:c r="AG60" s="22" t="n">
        <x:v>7</x:v>
      </x:c>
      <x:c r="AH60" s="22" t="n">
        <x:v>8</x:v>
      </x:c>
      <x:c r="AI60" s="22" t="n">
        <x:v>13</x:v>
      </x:c>
      <x:c r="AJ60" s="22" t="n">
        <x:v>0</x:v>
      </x:c>
      <x:c r="AK60" s="22" t="n">
        <x:v>0</x:v>
      </x:c>
      <x:c r="AL60" s="22" t="n">
        <x:v>292</x:v>
      </x:c>
      <x:c r="AM60" s="22" t="n">
        <x:v>62</x:v>
      </x:c>
      <x:c r="AN60" s="22" t="n">
        <x:v>3</x:v>
      </x:c>
      <x:c r="AO60" s="22" t="n">
        <x:v>3</x:v>
      </x:c>
      <x:c r="AP60" s="22" t="n">
        <x:v>1100</x:v>
      </x:c>
      <x:c r="AQ60" s="22" t="n">
        <x:v>15</x:v>
      </x:c>
      <x:c r="AR60" s="22" t="n">
        <x:v>0</x:v>
      </x:c>
      <x:c r="AS60" s="22" t="n">
        <x:v>10</x:v>
      </x:c>
      <x:c r="AT60" s="22" t="n">
        <x:v>10</x:v>
      </x:c>
      <x:c r="AU60" s="22" t="n">
        <x:v>0</x:v>
      </x:c>
      <x:c r="AV60" s="22" t="n">
        <x:v>6</x:v>
      </x:c>
      <x:c r="AW60" s="22" t="n">
        <x:v>0</x:v>
      </x:c>
    </x:row>
    <x:row r="61" ht="24" customHeight="1">
      <x:c r="A61" s="22" t="str">
        <x:v>P0057</x:v>
      </x:c>
      <x:c r="B61" s="22" t="n">
        <x:v>2</x:v>
      </x:c>
      <x:c r="C61" s="22" t="n">
        <x:v>5</x:v>
      </x:c>
      <x:c r="D61" s="22" t="str">
        <x:v>C02守关前必做制作完成</x:v>
      </x:c>
      <x:c r="E61" s="22" t="n">
        <x:v>3056</x:v>
      </x:c>
      <x:c r="F61" s="22" t="n">
        <x:v>3804</x:v>
      </x:c>
      <x:c r="G61" s="22" t="n">
        <x:v>2998</x:v>
      </x:c>
      <x:c r="H61" s="22" t="n">
        <x:v>3737</x:v>
      </x:c>
      <x:c r="I61" s="22" t="n">
        <x:v>2971</x:v>
      </x:c>
      <x:c r="J61" s="22" t="n">
        <x:v>3710</x:v>
      </x:c>
      <x:c r="K61" s="22" t="n">
        <x:v>530900</x:v>
      </x:c>
      <x:c r="L61" s="22" t="n">
        <x:v>30300</x:v>
      </x:c>
      <x:c r="M61" s="22" t="n">
        <x:v>341</x:v>
      </x:c>
      <x:c r="N61" s="22" t="n">
        <x:v>602</x:v>
      </x:c>
      <x:c r="O61" s="22" t="n">
        <x:v>278</x:v>
      </x:c>
      <x:c r="P61" s="22" t="n">
        <x:v>492</x:v>
      </x:c>
      <x:c r="Q61" s="22" t="n">
        <x:v>398</x:v>
      </x:c>
      <x:c r="R61" s="22" t="n">
        <x:v>379</x:v>
      </x:c>
      <x:c r="S61" s="22" t="n">
        <x:v>379</x:v>
      </x:c>
      <x:c r="T61" s="22" t="n">
        <x:v>0.02</x:v>
      </x:c>
      <x:c r="U61" s="22" t="n">
        <x:v>11</x:v>
      </x:c>
      <x:c r="V61" s="22" t="n">
        <x:v>103</x:v>
      </x:c>
      <x:c r="W61" s="22" t="n">
        <x:v>75</x:v>
      </x:c>
      <x:c r="X61" s="22" t="n">
        <x:v>20</x:v>
      </x:c>
      <x:c r="Y61" s="22" t="n">
        <x:v>174</x:v>
      </x:c>
      <x:c r="Z61" s="22" t="n">
        <x:v>0</x:v>
      </x:c>
      <x:c r="AA61" s="22" t="n">
        <x:v>0</x:v>
      </x:c>
      <x:c r="AB61" s="22" t="n">
        <x:v>0</x:v>
      </x:c>
      <x:c r="AC61" s="22" t="n">
        <x:v>0</x:v>
      </x:c>
      <x:c r="AD61" s="22" t="n">
        <x:v>30</x:v>
      </x:c>
      <x:c r="AE61" s="22" t="n">
        <x:v>5</x:v>
      </x:c>
      <x:c r="AF61" s="22" t="n">
        <x:v>83</x:v>
      </x:c>
      <x:c r="AG61" s="22" t="n">
        <x:v>7</x:v>
      </x:c>
      <x:c r="AH61" s="22" t="n">
        <x:v>8</x:v>
      </x:c>
      <x:c r="AI61" s="22" t="n">
        <x:v>13</x:v>
      </x:c>
      <x:c r="AJ61" s="22" t="n">
        <x:v>0</x:v>
      </x:c>
      <x:c r="AK61" s="22" t="n">
        <x:v>0</x:v>
      </x:c>
      <x:c r="AL61" s="22" t="n">
        <x:v>292</x:v>
      </x:c>
      <x:c r="AM61" s="22" t="n">
        <x:v>62</x:v>
      </x:c>
      <x:c r="AN61" s="22" t="n">
        <x:v>3</x:v>
      </x:c>
      <x:c r="AO61" s="22" t="n">
        <x:v>3</x:v>
      </x:c>
      <x:c r="AP61" s="22" t="n">
        <x:v>1100</x:v>
      </x:c>
      <x:c r="AQ61" s="22" t="n">
        <x:v>15</x:v>
      </x:c>
      <x:c r="AR61" s="22" t="n">
        <x:v>0</x:v>
      </x:c>
      <x:c r="AS61" s="22" t="n">
        <x:v>10</x:v>
      </x:c>
      <x:c r="AT61" s="22" t="n">
        <x:v>10</x:v>
      </x:c>
      <x:c r="AU61" s="22" t="n">
        <x:v>0</x:v>
      </x:c>
      <x:c r="AV61" s="22" t="n">
        <x:v>6</x:v>
      </x:c>
      <x:c r="AW61" s="22" t="n">
        <x:v>0</x:v>
      </x:c>
    </x:row>
    <x:row r="62" ht="24" customHeight="1">
      <x:c r="A62" s="22" t="str">
        <x:v>P0058</x:v>
      </x:c>
      <x:c r="B62" s="22" t="n">
        <x:v>2</x:v>
      </x:c>
      <x:c r="C62" s="22" t="n">
        <x:v>5</x:v>
      </x:c>
      <x:c r="D62" s="22" t="str">
        <x:v>C02约70%守关参考</x:v>
      </x:c>
      <x:c r="E62" s="22" t="n">
        <x:v>3176</x:v>
      </x:c>
      <x:c r="F62" s="22" t="n">
        <x:v>3924</x:v>
      </x:c>
      <x:c r="G62" s="22" t="n">
        <x:v>3118</x:v>
      </x:c>
      <x:c r="H62" s="22" t="n">
        <x:v>3857</x:v>
      </x:c>
      <x:c r="I62" s="22" t="n">
        <x:v>3091</x:v>
      </x:c>
      <x:c r="J62" s="22" t="n">
        <x:v>3830</x:v>
      </x:c>
      <x:c r="K62" s="22" t="n">
        <x:v>542900</x:v>
      </x:c>
      <x:c r="L62" s="22" t="n">
        <x:v>30300</x:v>
      </x:c>
      <x:c r="M62" s="22" t="n">
        <x:v>341</x:v>
      </x:c>
      <x:c r="N62" s="22" t="n">
        <x:v>602</x:v>
      </x:c>
      <x:c r="O62" s="22" t="n">
        <x:v>278</x:v>
      </x:c>
      <x:c r="P62" s="22" t="n">
        <x:v>492</x:v>
      </x:c>
      <x:c r="Q62" s="22" t="n">
        <x:v>398</x:v>
      </x:c>
      <x:c r="R62" s="22" t="n">
        <x:v>379</x:v>
      </x:c>
      <x:c r="S62" s="22" t="n">
        <x:v>379</x:v>
      </x:c>
      <x:c r="T62" s="22" t="n">
        <x:v>0.05</x:v>
      </x:c>
      <x:c r="U62" s="22" t="n">
        <x:v>11</x:v>
      </x:c>
      <x:c r="V62" s="22" t="n">
        <x:v>103</x:v>
      </x:c>
      <x:c r="W62" s="22" t="n">
        <x:v>75</x:v>
      </x:c>
      <x:c r="X62" s="22" t="n">
        <x:v>20</x:v>
      </x:c>
      <x:c r="Y62" s="22" t="n">
        <x:v>174</x:v>
      </x:c>
      <x:c r="Z62" s="22" t="n">
        <x:v>0</x:v>
      </x:c>
      <x:c r="AA62" s="22" t="n">
        <x:v>0</x:v>
      </x:c>
      <x:c r="AB62" s="22" t="n">
        <x:v>0</x:v>
      </x:c>
      <x:c r="AC62" s="22" t="n">
        <x:v>0</x:v>
      </x:c>
      <x:c r="AD62" s="22" t="n">
        <x:v>30</x:v>
      </x:c>
      <x:c r="AE62" s="22" t="n">
        <x:v>5</x:v>
      </x:c>
      <x:c r="AF62" s="22" t="n">
        <x:v>83</x:v>
      </x:c>
      <x:c r="AG62" s="22" t="n">
        <x:v>7</x:v>
      </x:c>
      <x:c r="AH62" s="22" t="n">
        <x:v>8</x:v>
      </x:c>
      <x:c r="AI62" s="22" t="n">
        <x:v>14.5</x:v>
      </x:c>
      <x:c r="AJ62" s="22" t="n">
        <x:v>0</x:v>
      </x:c>
      <x:c r="AK62" s="22" t="n">
        <x:v>0</x:v>
      </x:c>
      <x:c r="AL62" s="22" t="n">
        <x:v>352</x:v>
      </x:c>
      <x:c r="AM62" s="22" t="n">
        <x:v>62</x:v>
      </x:c>
      <x:c r="AN62" s="22" t="n">
        <x:v>3</x:v>
      </x:c>
      <x:c r="AO62" s="22" t="n">
        <x:v>3</x:v>
      </x:c>
      <x:c r="AP62" s="22" t="n">
        <x:v>1100</x:v>
      </x:c>
      <x:c r="AQ62" s="22" t="n">
        <x:v>15</x:v>
      </x:c>
      <x:c r="AR62" s="22" t="n">
        <x:v>0</x:v>
      </x:c>
      <x:c r="AS62" s="22" t="n">
        <x:v>10</x:v>
      </x:c>
      <x:c r="AT62" s="22" t="n">
        <x:v>10</x:v>
      </x:c>
      <x:c r="AU62" s="22" t="n">
        <x:v>0</x:v>
      </x:c>
      <x:c r="AV62" s="22" t="n">
        <x:v>6</x:v>
      </x:c>
      <x:c r="AW62" s="22" t="n">
        <x:v>0</x:v>
      </x:c>
    </x:row>
    <x:row r="63" ht="24" customHeight="1">
      <x:c r="A63" s="22" t="str">
        <x:v>P0059</x:v>
      </x:c>
      <x:c r="B63" s="22" t="n">
        <x:v>2</x:v>
      </x:c>
      <x:c r="C63" s="22" t="n">
        <x:v>5</x:v>
      </x:c>
      <x:c r="D63" s="22" t="str">
        <x:v>C02高完成度参考</x:v>
      </x:c>
      <x:c r="E63" s="22" t="n">
        <x:v>4005</x:v>
      </x:c>
      <x:c r="F63" s="22" t="n">
        <x:v>5515</x:v>
      </x:c>
      <x:c r="G63" s="22" t="n">
        <x:v>3947</x:v>
      </x:c>
      <x:c r="H63" s="22" t="n">
        <x:v>5448</x:v>
      </x:c>
      <x:c r="I63" s="22" t="n">
        <x:v>3920</x:v>
      </x:c>
      <x:c r="J63" s="22" t="n">
        <x:v>5421</x:v>
      </x:c>
      <x:c r="K63" s="22" t="n">
        <x:v>1076600</x:v>
      </x:c>
      <x:c r="L63" s="22" t="n">
        <x:v>33300</x:v>
      </x:c>
      <x:c r="M63" s="22" t="n">
        <x:v>662</x:v>
      </x:c>
      <x:c r="N63" s="22" t="n">
        <x:v>1147</x:v>
      </x:c>
      <x:c r="O63" s="22" t="n">
        <x:v>538</x:v>
      </x:c>
      <x:c r="P63" s="22" t="n">
        <x:v>936</x:v>
      </x:c>
      <x:c r="Q63" s="22" t="n">
        <x:v>634</x:v>
      </x:c>
      <x:c r="R63" s="22" t="n">
        <x:v>615</x:v>
      </x:c>
      <x:c r="S63" s="22" t="n">
        <x:v>615</x:v>
      </x:c>
      <x:c r="T63" s="22" t="n">
        <x:v>0.060000000000000005</x:v>
      </x:c>
      <x:c r="U63" s="22" t="n">
        <x:v>11</x:v>
      </x:c>
      <x:c r="V63" s="22" t="n">
        <x:v>200</x:v>
      </x:c>
      <x:c r="W63" s="22" t="n">
        <x:v>126</x:v>
      </x:c>
      <x:c r="X63" s="22" t="n">
        <x:v>20</x:v>
      </x:c>
      <x:c r="Y63" s="22" t="n">
        <x:v>293</x:v>
      </x:c>
      <x:c r="Z63" s="22" t="n">
        <x:v>0</x:v>
      </x:c>
      <x:c r="AA63" s="22" t="n">
        <x:v>0</x:v>
      </x:c>
      <x:c r="AB63" s="22" t="n">
        <x:v>0</x:v>
      </x:c>
      <x:c r="AC63" s="22" t="n">
        <x:v>0</x:v>
      </x:c>
      <x:c r="AD63" s="22" t="n">
        <x:v>30</x:v>
      </x:c>
      <x:c r="AE63" s="22" t="n">
        <x:v>6</x:v>
      </x:c>
      <x:c r="AF63" s="22" t="n">
        <x:v>89</x:v>
      </x:c>
      <x:c r="AG63" s="22" t="n">
        <x:v>7</x:v>
      </x:c>
      <x:c r="AH63" s="22" t="n">
        <x:v>8</x:v>
      </x:c>
      <x:c r="AI63" s="22" t="n">
        <x:v>15</x:v>
      </x:c>
      <x:c r="AJ63" s="22" t="n">
        <x:v>1</x:v>
      </x:c>
      <x:c r="AK63" s="22" t="n">
        <x:v>1</x:v>
      </x:c>
      <x:c r="AL63" s="22" t="n">
        <x:v>499</x:v>
      </x:c>
      <x:c r="AM63" s="22" t="n">
        <x:v>107</x:v>
      </x:c>
      <x:c r="AN63" s="22" t="n">
        <x:v>5</x:v>
      </x:c>
      <x:c r="AO63" s="22" t="n">
        <x:v>5</x:v>
      </x:c>
      <x:c r="AP63" s="22" t="n">
        <x:v>1348</x:v>
      </x:c>
      <x:c r="AQ63" s="22" t="n">
        <x:v>16</x:v>
      </x:c>
      <x:c r="AR63" s="22" t="n">
        <x:v>0</x:v>
      </x:c>
      <x:c r="AS63" s="22" t="n">
        <x:v>10</x:v>
      </x:c>
      <x:c r="AT63" s="22" t="n">
        <x:v>10</x:v>
      </x:c>
      <x:c r="AU63" s="22" t="n">
        <x:v>0</x:v>
      </x:c>
      <x:c r="AV63" s="22" t="n">
        <x:v>25</x:v>
      </x:c>
      <x:c r="AW63" s="22" t="n">
        <x:v>0</x:v>
      </x:c>
    </x:row>
    <x:row r="64" ht="24" customHeight="1">
      <x:c r="A64" s="22" t="str">
        <x:v>P0060</x:v>
      </x:c>
      <x:c r="B64" s="22" t="n">
        <x:v>2</x:v>
      </x:c>
      <x:c r="C64" s="22" t="n">
        <x:v>5</x:v>
      </x:c>
      <x:c r="D64" s="22" t="str">
        <x:v>C02守关后继承</x:v>
      </x:c>
      <x:c r="E64" s="22" t="n">
        <x:v>3176</x:v>
      </x:c>
      <x:c r="F64" s="22" t="n">
        <x:v>3924</x:v>
      </x:c>
      <x:c r="G64" s="22" t="n">
        <x:v>3118</x:v>
      </x:c>
      <x:c r="H64" s="22" t="n">
        <x:v>3857</x:v>
      </x:c>
      <x:c r="I64" s="22" t="n">
        <x:v>3091</x:v>
      </x:c>
      <x:c r="J64" s="22" t="n">
        <x:v>3830</x:v>
      </x:c>
      <x:c r="K64" s="22" t="n">
        <x:v>542900</x:v>
      </x:c>
      <x:c r="L64" s="22" t="n">
        <x:v>30300</x:v>
      </x:c>
      <x:c r="M64" s="22" t="n">
        <x:v>341</x:v>
      </x:c>
      <x:c r="N64" s="22" t="n">
        <x:v>602</x:v>
      </x:c>
      <x:c r="O64" s="22" t="n">
        <x:v>278</x:v>
      </x:c>
      <x:c r="P64" s="22" t="n">
        <x:v>492</x:v>
      </x:c>
      <x:c r="Q64" s="22" t="n">
        <x:v>398</x:v>
      </x:c>
      <x:c r="R64" s="22" t="n">
        <x:v>379</x:v>
      </x:c>
      <x:c r="S64" s="22" t="n">
        <x:v>379</x:v>
      </x:c>
      <x:c r="T64" s="22" t="n">
        <x:v>0.05</x:v>
      </x:c>
      <x:c r="U64" s="22" t="n">
        <x:v>17</x:v>
      </x:c>
      <x:c r="V64" s="22" t="n">
        <x:v>103</x:v>
      </x:c>
      <x:c r="W64" s="22" t="n">
        <x:v>75</x:v>
      </x:c>
      <x:c r="X64" s="22" t="n">
        <x:v>20</x:v>
      </x:c>
      <x:c r="Y64" s="22" t="n">
        <x:v>174</x:v>
      </x:c>
      <x:c r="Z64" s="22" t="n">
        <x:v>0</x:v>
      </x:c>
      <x:c r="AA64" s="22" t="n">
        <x:v>0</x:v>
      </x:c>
      <x:c r="AB64" s="22" t="n">
        <x:v>0</x:v>
      </x:c>
      <x:c r="AC64" s="22" t="n">
        <x:v>0</x:v>
      </x:c>
      <x:c r="AD64" s="22" t="n">
        <x:v>30</x:v>
      </x:c>
      <x:c r="AE64" s="22" t="n">
        <x:v>5</x:v>
      </x:c>
      <x:c r="AF64" s="22" t="n">
        <x:v>83</x:v>
      </x:c>
      <x:c r="AG64" s="22" t="n">
        <x:v>7</x:v>
      </x:c>
      <x:c r="AH64" s="22" t="n">
        <x:v>8</x:v>
      </x:c>
      <x:c r="AI64" s="22" t="n">
        <x:v>16.5</x:v>
      </x:c>
      <x:c r="AJ64" s="22" t="n">
        <x:v>0</x:v>
      </x:c>
      <x:c r="AK64" s="22" t="n">
        <x:v>0</x:v>
      </x:c>
      <x:c r="AL64" s="22" t="n">
        <x:v>352</x:v>
      </x:c>
      <x:c r="AM64" s="22" t="n">
        <x:v>62</x:v>
      </x:c>
      <x:c r="AN64" s="22" t="n">
        <x:v>3</x:v>
      </x:c>
      <x:c r="AO64" s="22" t="n">
        <x:v>3</x:v>
      </x:c>
      <x:c r="AP64" s="22" t="n">
        <x:v>1100</x:v>
      </x:c>
      <x:c r="AQ64" s="22" t="n">
        <x:v>15</x:v>
      </x:c>
      <x:c r="AR64" s="22" t="n">
        <x:v>0</x:v>
      </x:c>
      <x:c r="AS64" s="22" t="n">
        <x:v>10</x:v>
      </x:c>
      <x:c r="AT64" s="22" t="n">
        <x:v>10</x:v>
      </x:c>
      <x:c r="AU64" s="22" t="n">
        <x:v>0</x:v>
      </x:c>
      <x:c r="AV64" s="22" t="n">
        <x:v>6</x:v>
      </x:c>
      <x:c r="AW64" s="22" t="n">
        <x:v>0</x:v>
      </x:c>
    </x:row>
    <x:row r="65" ht="24" customHeight="1">
      <x:c r="A65" s="22" t="str">
        <x:v>P0061</x:v>
      </x:c>
      <x:c r="B65" s="22" t="n">
        <x:v>3</x:v>
      </x:c>
      <x:c r="C65" s="22" t="n">
        <x:v>1</x:v>
      </x:c>
      <x:c r="D65" s="22" t="str">
        <x:v>C03入场继承</x:v>
      </x:c>
      <x:c r="E65" s="22" t="n">
        <x:v>3176</x:v>
      </x:c>
      <x:c r="F65" s="22" t="n">
        <x:v>3924</x:v>
      </x:c>
      <x:c r="G65" s="22" t="n">
        <x:v>3118</x:v>
      </x:c>
      <x:c r="H65" s="22" t="n">
        <x:v>3857</x:v>
      </x:c>
      <x:c r="I65" s="22" t="n">
        <x:v>3091</x:v>
      </x:c>
      <x:c r="J65" s="22" t="n">
        <x:v>3830</x:v>
      </x:c>
      <x:c r="K65" s="22" t="n">
        <x:v>542900</x:v>
      </x:c>
      <x:c r="L65" s="22" t="n">
        <x:v>30300</x:v>
      </x:c>
      <x:c r="M65" s="22" t="n">
        <x:v>341</x:v>
      </x:c>
      <x:c r="N65" s="22" t="n">
        <x:v>602</x:v>
      </x:c>
      <x:c r="O65" s="22" t="n">
        <x:v>278</x:v>
      </x:c>
      <x:c r="P65" s="22" t="n">
        <x:v>492</x:v>
      </x:c>
      <x:c r="Q65" s="22" t="n">
        <x:v>398</x:v>
      </x:c>
      <x:c r="R65" s="22" t="n">
        <x:v>379</x:v>
      </x:c>
      <x:c r="S65" s="22" t="n">
        <x:v>379</x:v>
      </x:c>
      <x:c r="T65" s="22" t="n">
        <x:v>0.05</x:v>
      </x:c>
      <x:c r="U65" s="22" t="n">
        <x:v>17</x:v>
      </x:c>
      <x:c r="V65" s="22" t="n">
        <x:v>103</x:v>
      </x:c>
      <x:c r="W65" s="22" t="n">
        <x:v>75</x:v>
      </x:c>
      <x:c r="X65" s="22" t="n">
        <x:v>20</x:v>
      </x:c>
      <x:c r="Y65" s="22" t="n">
        <x:v>174</x:v>
      </x:c>
      <x:c r="Z65" s="22" t="n">
        <x:v>0</x:v>
      </x:c>
      <x:c r="AA65" s="22" t="n">
        <x:v>0</x:v>
      </x:c>
      <x:c r="AB65" s="22" t="n">
        <x:v>0</x:v>
      </x:c>
      <x:c r="AC65" s="22" t="n">
        <x:v>0</x:v>
      </x:c>
      <x:c r="AD65" s="22" t="n">
        <x:v>30</x:v>
      </x:c>
      <x:c r="AE65" s="22" t="n">
        <x:v>5</x:v>
      </x:c>
      <x:c r="AF65" s="22" t="n">
        <x:v>83</x:v>
      </x:c>
      <x:c r="AG65" s="22" t="n">
        <x:v>7</x:v>
      </x:c>
      <x:c r="AH65" s="22" t="n">
        <x:v>8</x:v>
      </x:c>
      <x:c r="AI65" s="22" t="n">
        <x:v>16.5</x:v>
      </x:c>
      <x:c r="AJ65" s="22" t="n">
        <x:v>0</x:v>
      </x:c>
      <x:c r="AK65" s="22" t="n">
        <x:v>0</x:v>
      </x:c>
      <x:c r="AL65" s="22" t="n">
        <x:v>352</x:v>
      </x:c>
      <x:c r="AM65" s="22" t="n">
        <x:v>62</x:v>
      </x:c>
      <x:c r="AN65" s="22" t="n">
        <x:v>3</x:v>
      </x:c>
      <x:c r="AO65" s="22" t="n">
        <x:v>3</x:v>
      </x:c>
      <x:c r="AP65" s="22" t="n">
        <x:v>1100</x:v>
      </x:c>
      <x:c r="AQ65" s="22" t="n">
        <x:v>15</x:v>
      </x:c>
      <x:c r="AR65" s="22" t="n">
        <x:v>0</x:v>
      </x:c>
      <x:c r="AS65" s="22" t="n">
        <x:v>10</x:v>
      </x:c>
      <x:c r="AT65" s="22" t="n">
        <x:v>10</x:v>
      </x:c>
      <x:c r="AU65" s="22" t="n">
        <x:v>0</x:v>
      </x:c>
      <x:c r="AV65" s="22" t="n">
        <x:v>6</x:v>
      </x:c>
      <x:c r="AW65" s="22" t="n">
        <x:v>0</x:v>
      </x:c>
    </x:row>
    <x:row r="66" ht="24" customHeight="1">
      <x:c r="A66" s="22" t="str">
        <x:v>P0062</x:v>
      </x:c>
      <x:c r="B66" s="22" t="n">
        <x:v>3</x:v>
      </x:c>
      <x:c r="C66" s="22" t="n">
        <x:v>1</x:v>
      </x:c>
      <x:c r="D66" s="22" t="str">
        <x:v>C03本阶段既有付费/长期成长</x:v>
      </x:c>
      <x:c r="E66" s="22" t="n">
        <x:v>3418</x:v>
      </x:c>
      <x:c r="F66" s="22" t="n">
        <x:v>4169</x:v>
      </x:c>
      <x:c r="G66" s="22" t="n">
        <x:v>3358</x:v>
      </x:c>
      <x:c r="H66" s="22" t="n">
        <x:v>4097</x:v>
      </x:c>
      <x:c r="I66" s="22" t="n">
        <x:v>3331</x:v>
      </x:c>
      <x:c r="J66" s="22" t="n">
        <x:v>4070</x:v>
      </x:c>
      <x:c r="K66" s="22" t="n">
        <x:v>567300</x:v>
      </x:c>
      <x:c r="L66" s="22" t="n">
        <x:v>30400</x:v>
      </x:c>
      <x:c r="M66" s="22" t="n">
        <x:v>341</x:v>
      </x:c>
      <x:c r="N66" s="22" t="n">
        <x:v>602</x:v>
      </x:c>
      <x:c r="O66" s="22" t="n">
        <x:v>278</x:v>
      </x:c>
      <x:c r="P66" s="22" t="n">
        <x:v>492</x:v>
      </x:c>
      <x:c r="Q66" s="22" t="n">
        <x:v>398</x:v>
      </x:c>
      <x:c r="R66" s="22" t="n">
        <x:v>379</x:v>
      </x:c>
      <x:c r="S66" s="22" t="n">
        <x:v>379</x:v>
      </x:c>
      <x:c r="T66" s="22" t="n">
        <x:v>0.05</x:v>
      </x:c>
      <x:c r="U66" s="22" t="n">
        <x:v>17</x:v>
      </x:c>
      <x:c r="V66" s="22" t="n">
        <x:v>103</x:v>
      </x:c>
      <x:c r="W66" s="22" t="n">
        <x:v>75</x:v>
      </x:c>
      <x:c r="X66" s="22" t="n">
        <x:v>20</x:v>
      </x:c>
      <x:c r="Y66" s="22" t="n">
        <x:v>174</x:v>
      </x:c>
      <x:c r="Z66" s="22" t="n">
        <x:v>0</x:v>
      </x:c>
      <x:c r="AA66" s="22" t="n">
        <x:v>0</x:v>
      </x:c>
      <x:c r="AB66" s="22" t="n">
        <x:v>0</x:v>
      </x:c>
      <x:c r="AC66" s="22" t="n">
        <x:v>0</x:v>
      </x:c>
      <x:c r="AD66" s="22" t="n">
        <x:v>30</x:v>
      </x:c>
      <x:c r="AE66" s="22" t="n">
        <x:v>5</x:v>
      </x:c>
      <x:c r="AF66" s="22" t="n">
        <x:v>83</x:v>
      </x:c>
      <x:c r="AG66" s="22" t="n">
        <x:v>7</x:v>
      </x:c>
      <x:c r="AH66" s="22" t="n">
        <x:v>8</x:v>
      </x:c>
      <x:c r="AI66" s="22" t="n">
        <x:v>16.5</x:v>
      </x:c>
      <x:c r="AJ66" s="22" t="n">
        <x:v>0</x:v>
      </x:c>
      <x:c r="AK66" s="22" t="n">
        <x:v>0</x:v>
      </x:c>
      <x:c r="AL66" s="22" t="n">
        <x:v>352</x:v>
      </x:c>
      <x:c r="AM66" s="22" t="n">
        <x:v>62</x:v>
      </x:c>
      <x:c r="AN66" s="22" t="n">
        <x:v>3</x:v>
      </x:c>
      <x:c r="AO66" s="22" t="n">
        <x:v>3</x:v>
      </x:c>
      <x:c r="AP66" s="22" t="n">
        <x:v>1100</x:v>
      </x:c>
      <x:c r="AQ66" s="22" t="n">
        <x:v>15</x:v>
      </x:c>
      <x:c r="AR66" s="22" t="n">
        <x:v>0</x:v>
      </x:c>
      <x:c r="AS66" s="22" t="n">
        <x:v>10</x:v>
      </x:c>
      <x:c r="AT66" s="22" t="n">
        <x:v>10</x:v>
      </x:c>
      <x:c r="AU66" s="22" t="n">
        <x:v>0</x:v>
      </x:c>
      <x:c r="AV66" s="22" t="n">
        <x:v>6</x:v>
      </x:c>
      <x:c r="AW66" s="22" t="n">
        <x:v>0</x:v>
      </x:c>
    </x:row>
    <x:row r="67" ht="24" customHeight="1">
      <x:c r="A67" s="22" t="str">
        <x:v>P0063</x:v>
      </x:c>
      <x:c r="B67" s="22" t="n">
        <x:v>3</x:v>
      </x:c>
      <x:c r="C67" s="22" t="n">
        <x:v>1</x:v>
      </x:c>
      <x:c r="D67" s="22" t="str">
        <x:v>C03G01入场</x:v>
      </x:c>
      <x:c r="E67" s="22" t="n">
        <x:v>3418</x:v>
      </x:c>
      <x:c r="F67" s="22" t="n">
        <x:v>4169</x:v>
      </x:c>
      <x:c r="G67" s="22" t="n">
        <x:v>3358</x:v>
      </x:c>
      <x:c r="H67" s="22" t="n">
        <x:v>4097</x:v>
      </x:c>
      <x:c r="I67" s="22" t="n">
        <x:v>3331</x:v>
      </x:c>
      <x:c r="J67" s="22" t="n">
        <x:v>4070</x:v>
      </x:c>
      <x:c r="K67" s="22" t="n">
        <x:v>567300</x:v>
      </x:c>
      <x:c r="L67" s="22" t="n">
        <x:v>30400</x:v>
      </x:c>
      <x:c r="M67" s="22" t="n">
        <x:v>341</x:v>
      </x:c>
      <x:c r="N67" s="22" t="n">
        <x:v>602</x:v>
      </x:c>
      <x:c r="O67" s="22" t="n">
        <x:v>278</x:v>
      </x:c>
      <x:c r="P67" s="22" t="n">
        <x:v>492</x:v>
      </x:c>
      <x:c r="Q67" s="22" t="n">
        <x:v>398</x:v>
      </x:c>
      <x:c r="R67" s="22" t="n">
        <x:v>379</x:v>
      </x:c>
      <x:c r="S67" s="22" t="n">
        <x:v>379</x:v>
      </x:c>
      <x:c r="T67" s="22" t="n">
        <x:v>0.05</x:v>
      </x:c>
      <x:c r="U67" s="22" t="n">
        <x:v>17</x:v>
      </x:c>
      <x:c r="V67" s="22" t="n">
        <x:v>103</x:v>
      </x:c>
      <x:c r="W67" s="22" t="n">
        <x:v>75</x:v>
      </x:c>
      <x:c r="X67" s="22" t="n">
        <x:v>20</x:v>
      </x:c>
      <x:c r="Y67" s="22" t="n">
        <x:v>174</x:v>
      </x:c>
      <x:c r="Z67" s="22" t="n">
        <x:v>0</x:v>
      </x:c>
      <x:c r="AA67" s="22" t="n">
        <x:v>0</x:v>
      </x:c>
      <x:c r="AB67" s="22" t="n">
        <x:v>0</x:v>
      </x:c>
      <x:c r="AC67" s="22" t="n">
        <x:v>0</x:v>
      </x:c>
      <x:c r="AD67" s="22" t="n">
        <x:v>30</x:v>
      </x:c>
      <x:c r="AE67" s="22" t="n">
        <x:v>5</x:v>
      </x:c>
      <x:c r="AF67" s="22" t="n">
        <x:v>83</x:v>
      </x:c>
      <x:c r="AG67" s="22" t="n">
        <x:v>7</x:v>
      </x:c>
      <x:c r="AH67" s="22" t="n">
        <x:v>8</x:v>
      </x:c>
      <x:c r="AI67" s="22" t="n">
        <x:v>16.5</x:v>
      </x:c>
      <x:c r="AJ67" s="22" t="n">
        <x:v>0</x:v>
      </x:c>
      <x:c r="AK67" s="22" t="n">
        <x:v>0</x:v>
      </x:c>
      <x:c r="AL67" s="22" t="n">
        <x:v>352</x:v>
      </x:c>
      <x:c r="AM67" s="22" t="n">
        <x:v>62</x:v>
      </x:c>
      <x:c r="AN67" s="22" t="n">
        <x:v>3</x:v>
      </x:c>
      <x:c r="AO67" s="22" t="n">
        <x:v>3</x:v>
      </x:c>
      <x:c r="AP67" s="22" t="n">
        <x:v>1100</x:v>
      </x:c>
      <x:c r="AQ67" s="22" t="n">
        <x:v>15</x:v>
      </x:c>
      <x:c r="AR67" s="22" t="n">
        <x:v>0</x:v>
      </x:c>
      <x:c r="AS67" s="22" t="n">
        <x:v>10</x:v>
      </x:c>
      <x:c r="AT67" s="22" t="n">
        <x:v>10</x:v>
      </x:c>
      <x:c r="AU67" s="22" t="n">
        <x:v>0</x:v>
      </x:c>
      <x:c r="AV67" s="22" t="n">
        <x:v>6</x:v>
      </x:c>
      <x:c r="AW67" s="22" t="n">
        <x:v>0</x:v>
      </x:c>
    </x:row>
    <x:row r="68" ht="24" customHeight="1">
      <x:c r="A68" s="22" t="str">
        <x:v>P0064</x:v>
      </x:c>
      <x:c r="B68" s="22" t="n">
        <x:v>3</x:v>
      </x:c>
      <x:c r="C68" s="22" t="n">
        <x:v>1</x:v>
      </x:c>
      <x:c r="D68" s="22" t="str">
        <x:v>C03G01普通专属4/6</x:v>
      </x:c>
      <x:c r="E68" s="22" t="n">
        <x:v>3428</x:v>
      </x:c>
      <x:c r="F68" s="22" t="n">
        <x:v>4190</x:v>
      </x:c>
      <x:c r="G68" s="22" t="n">
        <x:v>3368</x:v>
      </x:c>
      <x:c r="H68" s="22" t="n">
        <x:v>4118</x:v>
      </x:c>
      <x:c r="I68" s="22" t="n">
        <x:v>3341</x:v>
      </x:c>
      <x:c r="J68" s="22" t="n">
        <x:v>4091</x:v>
      </x:c>
      <x:c r="K68" s="22" t="n">
        <x:v>580600</x:v>
      </x:c>
      <x:c r="L68" s="22" t="n">
        <x:v>30400</x:v>
      </x:c>
      <x:c r="M68" s="22" t="n">
        <x:v>337</x:v>
      </x:c>
      <x:c r="N68" s="22" t="n">
        <x:v>594</x:v>
      </x:c>
      <x:c r="O68" s="22" t="n">
        <x:v>274</x:v>
      </x:c>
      <x:c r="P68" s="22" t="n">
        <x:v>485</x:v>
      </x:c>
      <x:c r="Q68" s="22" t="n">
        <x:v>400</x:v>
      </x:c>
      <x:c r="R68" s="22" t="n">
        <x:v>381</x:v>
      </x:c>
      <x:c r="S68" s="22" t="n">
        <x:v>381</x:v>
      </x:c>
      <x:c r="T68" s="22" t="n">
        <x:v>0.05</x:v>
      </x:c>
      <x:c r="U68" s="22" t="n">
        <x:v>17</x:v>
      </x:c>
      <x:c r="V68" s="22" t="n">
        <x:v>103</x:v>
      </x:c>
      <x:c r="W68" s="22" t="n">
        <x:v>75</x:v>
      </x:c>
      <x:c r="X68" s="22" t="n">
        <x:v>20</x:v>
      </x:c>
      <x:c r="Y68" s="22" t="n">
        <x:v>174</x:v>
      </x:c>
      <x:c r="Z68" s="22" t="n">
        <x:v>0</x:v>
      </x:c>
      <x:c r="AA68" s="22" t="n">
        <x:v>0</x:v>
      </x:c>
      <x:c r="AB68" s="22" t="n">
        <x:v>0</x:v>
      </x:c>
      <x:c r="AC68" s="22" t="n">
        <x:v>0</x:v>
      </x:c>
      <x:c r="AD68" s="22" t="n">
        <x:v>30</x:v>
      </x:c>
      <x:c r="AE68" s="22" t="n">
        <x:v>5</x:v>
      </x:c>
      <x:c r="AF68" s="22" t="n">
        <x:v>83</x:v>
      </x:c>
      <x:c r="AG68" s="22" t="n">
        <x:v>7</x:v>
      </x:c>
      <x:c r="AH68" s="22" t="n">
        <x:v>8</x:v>
      </x:c>
      <x:c r="AI68" s="22" t="n">
        <x:v>16.5</x:v>
      </x:c>
      <x:c r="AJ68" s="22" t="n">
        <x:v>0</x:v>
      </x:c>
      <x:c r="AK68" s="22" t="n">
        <x:v>0</x:v>
      </x:c>
      <x:c r="AL68" s="22" t="n">
        <x:v>352</x:v>
      </x:c>
      <x:c r="AM68" s="22" t="n">
        <x:v>59</x:v>
      </x:c>
      <x:c r="AN68" s="22" t="n">
        <x:v>3</x:v>
      </x:c>
      <x:c r="AO68" s="22" t="n">
        <x:v>3</x:v>
      </x:c>
      <x:c r="AP68" s="22" t="n">
        <x:v>1100</x:v>
      </x:c>
      <x:c r="AQ68" s="22" t="n">
        <x:v>15</x:v>
      </x:c>
      <x:c r="AR68" s="22" t="n">
        <x:v>0</x:v>
      </x:c>
      <x:c r="AS68" s="22" t="n">
        <x:v>10</x:v>
      </x:c>
      <x:c r="AT68" s="22" t="n">
        <x:v>10</x:v>
      </x:c>
      <x:c r="AU68" s="22" t="n">
        <x:v>0</x:v>
      </x:c>
      <x:c r="AV68" s="22" t="n">
        <x:v>6</x:v>
      </x:c>
      <x:c r="AW68" s="22" t="n">
        <x:v>0</x:v>
      </x:c>
    </x:row>
    <x:row r="69" ht="24" customHeight="1">
      <x:c r="A69" s="22" t="str">
        <x:v>P0065</x:v>
      </x:c>
      <x:c r="B69" s="22" t="n">
        <x:v>3</x:v>
      </x:c>
      <x:c r="C69" s="22" t="n">
        <x:v>1</x:v>
      </x:c>
      <x:c r="D69" s="22" t="str">
        <x:v>断旗统领·瓦伦挑战前</x:v>
      </x:c>
      <x:c r="E69" s="22" t="n">
        <x:v>3531</x:v>
      </x:c>
      <x:c r="F69" s="22" t="n">
        <x:v>4293</x:v>
      </x:c>
      <x:c r="G69" s="22" t="n">
        <x:v>3471</x:v>
      </x:c>
      <x:c r="H69" s="22" t="n">
        <x:v>4221</x:v>
      </x:c>
      <x:c r="I69" s="22" t="n">
        <x:v>3444</x:v>
      </x:c>
      <x:c r="J69" s="22" t="n">
        <x:v>4194</x:v>
      </x:c>
      <x:c r="K69" s="22" t="n">
        <x:v>590900</x:v>
      </x:c>
      <x:c r="L69" s="22" t="n">
        <x:v>30400</x:v>
      </x:c>
      <x:c r="M69" s="22" t="n">
        <x:v>337</x:v>
      </x:c>
      <x:c r="N69" s="22" t="n">
        <x:v>594</x:v>
      </x:c>
      <x:c r="O69" s="22" t="n">
        <x:v>274</x:v>
      </x:c>
      <x:c r="P69" s="22" t="n">
        <x:v>485</x:v>
      </x:c>
      <x:c r="Q69" s="22" t="n">
        <x:v>400</x:v>
      </x:c>
      <x:c r="R69" s="22" t="n">
        <x:v>381</x:v>
      </x:c>
      <x:c r="S69" s="22" t="n">
        <x:v>381</x:v>
      </x:c>
      <x:c r="T69" s="22" t="n">
        <x:v>0.05</x:v>
      </x:c>
      <x:c r="U69" s="22" t="n">
        <x:v>17</x:v>
      </x:c>
      <x:c r="V69" s="22" t="n">
        <x:v>103</x:v>
      </x:c>
      <x:c r="W69" s="22" t="n">
        <x:v>75</x:v>
      </x:c>
      <x:c r="X69" s="22" t="n">
        <x:v>20</x:v>
      </x:c>
      <x:c r="Y69" s="22" t="n">
        <x:v>174</x:v>
      </x:c>
      <x:c r="Z69" s="22" t="n">
        <x:v>0</x:v>
      </x:c>
      <x:c r="AA69" s="22" t="n">
        <x:v>0</x:v>
      </x:c>
      <x:c r="AB69" s="22" t="n">
        <x:v>0</x:v>
      </x:c>
      <x:c r="AC69" s="22" t="n">
        <x:v>0</x:v>
      </x:c>
      <x:c r="AD69" s="22" t="n">
        <x:v>30</x:v>
      </x:c>
      <x:c r="AE69" s="22" t="n">
        <x:v>5</x:v>
      </x:c>
      <x:c r="AF69" s="22" t="n">
        <x:v>83</x:v>
      </x:c>
      <x:c r="AG69" s="22" t="n">
        <x:v>7</x:v>
      </x:c>
      <x:c r="AH69" s="22" t="n">
        <x:v>8</x:v>
      </x:c>
      <x:c r="AI69" s="22" t="n">
        <x:v>16.5</x:v>
      </x:c>
      <x:c r="AJ69" s="22" t="n">
        <x:v>0</x:v>
      </x:c>
      <x:c r="AK69" s="22" t="n">
        <x:v>0</x:v>
      </x:c>
      <x:c r="AL69" s="22" t="n">
        <x:v>352</x:v>
      </x:c>
      <x:c r="AM69" s="22" t="n">
        <x:v>59</x:v>
      </x:c>
      <x:c r="AN69" s="22" t="n">
        <x:v>3</x:v>
      </x:c>
      <x:c r="AO69" s="22" t="n">
        <x:v>3</x:v>
      </x:c>
      <x:c r="AP69" s="22" t="n">
        <x:v>1100</x:v>
      </x:c>
      <x:c r="AQ69" s="22" t="n">
        <x:v>15</x:v>
      </x:c>
      <x:c r="AR69" s="22" t="n">
        <x:v>0</x:v>
      </x:c>
      <x:c r="AS69" s="22" t="n">
        <x:v>10</x:v>
      </x:c>
      <x:c r="AT69" s="22" t="n">
        <x:v>10</x:v>
      </x:c>
      <x:c r="AU69" s="22" t="n">
        <x:v>0</x:v>
      </x:c>
      <x:c r="AV69" s="22" t="n">
        <x:v>6</x:v>
      </x:c>
      <x:c r="AW69" s="22" t="n">
        <x:v>0</x:v>
      </x:c>
    </x:row>
    <x:row r="70" ht="24" customHeight="1">
      <x:c r="A70" s="22" t="str">
        <x:v>P0066</x:v>
      </x:c>
      <x:c r="B70" s="22" t="n">
        <x:v>3</x:v>
      </x:c>
      <x:c r="C70" s="22" t="n">
        <x:v>1</x:v>
      </x:c>
      <x:c r="D70" s="22" t="str">
        <x:v>荒原巨犀·莫赫挑战前</x:v>
      </x:c>
      <x:c r="E70" s="22" t="n">
        <x:v>3531</x:v>
      </x:c>
      <x:c r="F70" s="22" t="n">
        <x:v>4293</x:v>
      </x:c>
      <x:c r="G70" s="22" t="n">
        <x:v>3471</x:v>
      </x:c>
      <x:c r="H70" s="22" t="n">
        <x:v>4221</x:v>
      </x:c>
      <x:c r="I70" s="22" t="n">
        <x:v>3444</x:v>
      </x:c>
      <x:c r="J70" s="22" t="n">
        <x:v>4194</x:v>
      </x:c>
      <x:c r="K70" s="22" t="n">
        <x:v>590900</x:v>
      </x:c>
      <x:c r="L70" s="22" t="n">
        <x:v>30400</x:v>
      </x:c>
      <x:c r="M70" s="22" t="n">
        <x:v>337</x:v>
      </x:c>
      <x:c r="N70" s="22" t="n">
        <x:v>594</x:v>
      </x:c>
      <x:c r="O70" s="22" t="n">
        <x:v>274</x:v>
      </x:c>
      <x:c r="P70" s="22" t="n">
        <x:v>485</x:v>
      </x:c>
      <x:c r="Q70" s="22" t="n">
        <x:v>400</x:v>
      </x:c>
      <x:c r="R70" s="22" t="n">
        <x:v>381</x:v>
      </x:c>
      <x:c r="S70" s="22" t="n">
        <x:v>381</x:v>
      </x:c>
      <x:c r="T70" s="22" t="n">
        <x:v>0.05</x:v>
      </x:c>
      <x:c r="U70" s="22" t="n">
        <x:v>17</x:v>
      </x:c>
      <x:c r="V70" s="22" t="n">
        <x:v>103</x:v>
      </x:c>
      <x:c r="W70" s="22" t="n">
        <x:v>75</x:v>
      </x:c>
      <x:c r="X70" s="22" t="n">
        <x:v>20</x:v>
      </x:c>
      <x:c r="Y70" s="22" t="n">
        <x:v>174</x:v>
      </x:c>
      <x:c r="Z70" s="22" t="n">
        <x:v>0</x:v>
      </x:c>
      <x:c r="AA70" s="22" t="n">
        <x:v>0</x:v>
      </x:c>
      <x:c r="AB70" s="22" t="n">
        <x:v>0</x:v>
      </x:c>
      <x:c r="AC70" s="22" t="n">
        <x:v>0</x:v>
      </x:c>
      <x:c r="AD70" s="22" t="n">
        <x:v>30</x:v>
      </x:c>
      <x:c r="AE70" s="22" t="n">
        <x:v>5</x:v>
      </x:c>
      <x:c r="AF70" s="22" t="n">
        <x:v>83</x:v>
      </x:c>
      <x:c r="AG70" s="22" t="n">
        <x:v>7</x:v>
      </x:c>
      <x:c r="AH70" s="22" t="n">
        <x:v>8</x:v>
      </x:c>
      <x:c r="AI70" s="22" t="n">
        <x:v>16.5</x:v>
      </x:c>
      <x:c r="AJ70" s="22" t="n">
        <x:v>0</x:v>
      </x:c>
      <x:c r="AK70" s="22" t="n">
        <x:v>0</x:v>
      </x:c>
      <x:c r="AL70" s="22" t="n">
        <x:v>352</x:v>
      </x:c>
      <x:c r="AM70" s="22" t="n">
        <x:v>59</x:v>
      </x:c>
      <x:c r="AN70" s="22" t="n">
        <x:v>3</x:v>
      </x:c>
      <x:c r="AO70" s="22" t="n">
        <x:v>3</x:v>
      </x:c>
      <x:c r="AP70" s="22" t="n">
        <x:v>1100</x:v>
      </x:c>
      <x:c r="AQ70" s="22" t="n">
        <x:v>15</x:v>
      </x:c>
      <x:c r="AR70" s="22" t="n">
        <x:v>0</x:v>
      </x:c>
      <x:c r="AS70" s="22" t="n">
        <x:v>10</x:v>
      </x:c>
      <x:c r="AT70" s="22" t="n">
        <x:v>10</x:v>
      </x:c>
      <x:c r="AU70" s="22" t="n">
        <x:v>0</x:v>
      </x:c>
      <x:c r="AV70" s="22" t="n">
        <x:v>6</x:v>
      </x:c>
      <x:c r="AW70" s="22" t="n">
        <x:v>0</x:v>
      </x:c>
    </x:row>
    <x:row r="71" ht="24" customHeight="1">
      <x:c r="A71" s="22" t="str">
        <x:v>P0067</x:v>
      </x:c>
      <x:c r="B71" s="22" t="n">
        <x:v>3</x:v>
      </x:c>
      <x:c r="C71" s="22" t="n">
        <x:v>1</x:v>
      </x:c>
      <x:c r="D71" s="22" t="str">
        <x:v>西境荒原BOSS装备快线</x:v>
      </x:c>
      <x:c r="E71" s="22" t="n">
        <x:v>3836</x:v>
      </x:c>
      <x:c r="F71" s="22" t="n">
        <x:v>4933</x:v>
      </x:c>
      <x:c r="G71" s="22" t="n">
        <x:v>3814</x:v>
      </x:c>
      <x:c r="H71" s="22" t="n">
        <x:v>4899</x:v>
      </x:c>
      <x:c r="I71" s="22" t="n">
        <x:v>3787</x:v>
      </x:c>
      <x:c r="J71" s="22" t="n">
        <x:v>4872</x:v>
      </x:c>
      <x:c r="K71" s="22" t="n">
        <x:v>701000</x:v>
      </x:c>
      <x:c r="L71" s="22" t="n">
        <x:v>30400</x:v>
      </x:c>
      <x:c r="M71" s="22" t="n">
        <x:v>365</x:v>
      </x:c>
      <x:c r="N71" s="22" t="n">
        <x:v>651</x:v>
      </x:c>
      <x:c r="O71" s="22" t="n">
        <x:v>297</x:v>
      </x:c>
      <x:c r="P71" s="22" t="n">
        <x:v>532</x:v>
      </x:c>
      <x:c r="Q71" s="22" t="n">
        <x:v>388</x:v>
      </x:c>
      <x:c r="R71" s="22" t="n">
        <x:v>388</x:v>
      </x:c>
      <x:c r="S71" s="22" t="n">
        <x:v>388</x:v>
      </x:c>
      <x:c r="T71" s="22" t="n">
        <x:v>0.05</x:v>
      </x:c>
      <x:c r="U71" s="22" t="n">
        <x:v>17</x:v>
      </x:c>
      <x:c r="V71" s="22" t="n">
        <x:v>132</x:v>
      </x:c>
      <x:c r="W71" s="22" t="n">
        <x:v>79</x:v>
      </x:c>
      <x:c r="X71" s="22" t="n">
        <x:v>20</x:v>
      </x:c>
      <x:c r="Y71" s="22" t="n">
        <x:v>197</x:v>
      </x:c>
      <x:c r="Z71" s="22" t="n">
        <x:v>0</x:v>
      </x:c>
      <x:c r="AA71" s="22" t="n">
        <x:v>18</x:v>
      </x:c>
      <x:c r="AB71" s="22" t="n">
        <x:v>0</x:v>
      </x:c>
      <x:c r="AC71" s="22" t="n">
        <x:v>0</x:v>
      </x:c>
      <x:c r="AD71" s="22" t="n">
        <x:v>32</x:v>
      </x:c>
      <x:c r="AE71" s="22" t="n">
        <x:v>6</x:v>
      </x:c>
      <x:c r="AF71" s="22" t="n">
        <x:v>87</x:v>
      </x:c>
      <x:c r="AG71" s="22" t="n">
        <x:v>7</x:v>
      </x:c>
      <x:c r="AH71" s="22" t="n">
        <x:v>8</x:v>
      </x:c>
      <x:c r="AI71" s="22" t="n">
        <x:v>16.5</x:v>
      </x:c>
      <x:c r="AJ71" s="22" t="n">
        <x:v>2</x:v>
      </x:c>
      <x:c r="AK71" s="22" t="n">
        <x:v>1</x:v>
      </x:c>
      <x:c r="AL71" s="22" t="n">
        <x:v>363</x:v>
      </x:c>
      <x:c r="AM71" s="22" t="n">
        <x:v>61</x:v>
      </x:c>
      <x:c r="AN71" s="22" t="n">
        <x:v>4</x:v>
      </x:c>
      <x:c r="AO71" s="22" t="n">
        <x:v>5</x:v>
      </x:c>
      <x:c r="AP71" s="22" t="n">
        <x:v>1355</x:v>
      </x:c>
      <x:c r="AQ71" s="22" t="n">
        <x:v>16</x:v>
      </x:c>
      <x:c r="AR71" s="22" t="n">
        <x:v>0</x:v>
      </x:c>
      <x:c r="AS71" s="22" t="n">
        <x:v>10</x:v>
      </x:c>
      <x:c r="AT71" s="22" t="n">
        <x:v>10</x:v>
      </x:c>
      <x:c r="AU71" s="22" t="n">
        <x:v>0</x:v>
      </x:c>
      <x:c r="AV71" s="22" t="n">
        <x:v>9</x:v>
      </x:c>
      <x:c r="AW71" s="22" t="n">
        <x:v>0</x:v>
      </x:c>
    </x:row>
    <x:row r="72" ht="24" customHeight="1">
      <x:c r="A72" s="22" t="str">
        <x:v>P0068</x:v>
      </x:c>
      <x:c r="B72" s="22" t="n">
        <x:v>3</x:v>
      </x:c>
      <x:c r="C72" s="22" t="n">
        <x:v>1</x:v>
      </x:c>
      <x:c r="D72" s="22" t="str">
        <x:v>西境荒原阶段积累后</x:v>
      </x:c>
      <x:c r="E72" s="22" t="n">
        <x:v>3720</x:v>
      </x:c>
      <x:c r="F72" s="22" t="n">
        <x:v>4482</x:v>
      </x:c>
      <x:c r="G72" s="22" t="n">
        <x:v>3660</x:v>
      </x:c>
      <x:c r="H72" s="22" t="n">
        <x:v>4410</x:v>
      </x:c>
      <x:c r="I72" s="22" t="n">
        <x:v>3633</x:v>
      </x:c>
      <x:c r="J72" s="22" t="n">
        <x:v>4383</x:v>
      </x:c>
      <x:c r="K72" s="22" t="n">
        <x:v>609800</x:v>
      </x:c>
      <x:c r="L72" s="22" t="n">
        <x:v>30400</x:v>
      </x:c>
      <x:c r="M72" s="22" t="n">
        <x:v>337</x:v>
      </x:c>
      <x:c r="N72" s="22" t="n">
        <x:v>594</x:v>
      </x:c>
      <x:c r="O72" s="22" t="n">
        <x:v>274</x:v>
      </x:c>
      <x:c r="P72" s="22" t="n">
        <x:v>485</x:v>
      </x:c>
      <x:c r="Q72" s="22" t="n">
        <x:v>400</x:v>
      </x:c>
      <x:c r="R72" s="22" t="n">
        <x:v>381</x:v>
      </x:c>
      <x:c r="S72" s="22" t="n">
        <x:v>381</x:v>
      </x:c>
      <x:c r="T72" s="22" t="n">
        <x:v>0.05</x:v>
      </x:c>
      <x:c r="U72" s="22" t="n">
        <x:v>17</x:v>
      </x:c>
      <x:c r="V72" s="22" t="n">
        <x:v>103</x:v>
      </x:c>
      <x:c r="W72" s="22" t="n">
        <x:v>75</x:v>
      </x:c>
      <x:c r="X72" s="22" t="n">
        <x:v>20</x:v>
      </x:c>
      <x:c r="Y72" s="22" t="n">
        <x:v>174</x:v>
      </x:c>
      <x:c r="Z72" s="22" t="n">
        <x:v>0</x:v>
      </x:c>
      <x:c r="AA72" s="22" t="n">
        <x:v>0</x:v>
      </x:c>
      <x:c r="AB72" s="22" t="n">
        <x:v>0</x:v>
      </x:c>
      <x:c r="AC72" s="22" t="n">
        <x:v>0</x:v>
      </x:c>
      <x:c r="AD72" s="22" t="n">
        <x:v>30</x:v>
      </x:c>
      <x:c r="AE72" s="22" t="n">
        <x:v>6</x:v>
      </x:c>
      <x:c r="AF72" s="22" t="n">
        <x:v>83</x:v>
      </x:c>
      <x:c r="AG72" s="22" t="n">
        <x:v>7</x:v>
      </x:c>
      <x:c r="AH72" s="22" t="n">
        <x:v>8</x:v>
      </x:c>
      <x:c r="AI72" s="22" t="n">
        <x:v>16.5</x:v>
      </x:c>
      <x:c r="AJ72" s="22" t="n">
        <x:v>0</x:v>
      </x:c>
      <x:c r="AK72" s="22" t="n">
        <x:v>0</x:v>
      </x:c>
      <x:c r="AL72" s="22" t="n">
        <x:v>352</x:v>
      </x:c>
      <x:c r="AM72" s="22" t="n">
        <x:v>59</x:v>
      </x:c>
      <x:c r="AN72" s="22" t="n">
        <x:v>4</x:v>
      </x:c>
      <x:c r="AO72" s="22" t="n">
        <x:v>3</x:v>
      </x:c>
      <x:c r="AP72" s="22" t="n">
        <x:v>1100</x:v>
      </x:c>
      <x:c r="AQ72" s="22" t="n">
        <x:v>15</x:v>
      </x:c>
      <x:c r="AR72" s="22" t="n">
        <x:v>0</x:v>
      </x:c>
      <x:c r="AS72" s="22" t="n">
        <x:v>10</x:v>
      </x:c>
      <x:c r="AT72" s="22" t="n">
        <x:v>10</x:v>
      </x:c>
      <x:c r="AU72" s="22" t="n">
        <x:v>0</x:v>
      </x:c>
      <x:c r="AV72" s="22" t="n">
        <x:v>6</x:v>
      </x:c>
      <x:c r="AW72" s="22" t="n">
        <x:v>0</x:v>
      </x:c>
    </x:row>
    <x:row r="73" ht="24" customHeight="1">
      <x:c r="A73" s="22" t="str">
        <x:v>P0069</x:v>
      </x:c>
      <x:c r="B73" s="22" t="n">
        <x:v>3</x:v>
      </x:c>
      <x:c r="C73" s="22" t="n">
        <x:v>2</x:v>
      </x:c>
      <x:c r="D73" s="22" t="str">
        <x:v>C03G02入场</x:v>
      </x:c>
      <x:c r="E73" s="22" t="n">
        <x:v>3720</x:v>
      </x:c>
      <x:c r="F73" s="22" t="n">
        <x:v>4482</x:v>
      </x:c>
      <x:c r="G73" s="22" t="n">
        <x:v>3660</x:v>
      </x:c>
      <x:c r="H73" s="22" t="n">
        <x:v>4410</x:v>
      </x:c>
      <x:c r="I73" s="22" t="n">
        <x:v>3633</x:v>
      </x:c>
      <x:c r="J73" s="22" t="n">
        <x:v>4383</x:v>
      </x:c>
      <x:c r="K73" s="22" t="n">
        <x:v>609800</x:v>
      </x:c>
      <x:c r="L73" s="22" t="n">
        <x:v>30400</x:v>
      </x:c>
      <x:c r="M73" s="22" t="n">
        <x:v>337</x:v>
      </x:c>
      <x:c r="N73" s="22" t="n">
        <x:v>594</x:v>
      </x:c>
      <x:c r="O73" s="22" t="n">
        <x:v>274</x:v>
      </x:c>
      <x:c r="P73" s="22" t="n">
        <x:v>485</x:v>
      </x:c>
      <x:c r="Q73" s="22" t="n">
        <x:v>400</x:v>
      </x:c>
      <x:c r="R73" s="22" t="n">
        <x:v>381</x:v>
      </x:c>
      <x:c r="S73" s="22" t="n">
        <x:v>381</x:v>
      </x:c>
      <x:c r="T73" s="22" t="n">
        <x:v>0.05</x:v>
      </x:c>
      <x:c r="U73" s="22" t="n">
        <x:v>17</x:v>
      </x:c>
      <x:c r="V73" s="22" t="n">
        <x:v>103</x:v>
      </x:c>
      <x:c r="W73" s="22" t="n">
        <x:v>75</x:v>
      </x:c>
      <x:c r="X73" s="22" t="n">
        <x:v>20</x:v>
      </x:c>
      <x:c r="Y73" s="22" t="n">
        <x:v>174</x:v>
      </x:c>
      <x:c r="Z73" s="22" t="n">
        <x:v>0</x:v>
      </x:c>
      <x:c r="AA73" s="22" t="n">
        <x:v>0</x:v>
      </x:c>
      <x:c r="AB73" s="22" t="n">
        <x:v>0</x:v>
      </x:c>
      <x:c r="AC73" s="22" t="n">
        <x:v>0</x:v>
      </x:c>
      <x:c r="AD73" s="22" t="n">
        <x:v>30</x:v>
      </x:c>
      <x:c r="AE73" s="22" t="n">
        <x:v>6</x:v>
      </x:c>
      <x:c r="AF73" s="22" t="n">
        <x:v>83</x:v>
      </x:c>
      <x:c r="AG73" s="22" t="n">
        <x:v>7</x:v>
      </x:c>
      <x:c r="AH73" s="22" t="n">
        <x:v>8</x:v>
      </x:c>
      <x:c r="AI73" s="22" t="n">
        <x:v>16.5</x:v>
      </x:c>
      <x:c r="AJ73" s="22" t="n">
        <x:v>0</x:v>
      </x:c>
      <x:c r="AK73" s="22" t="n">
        <x:v>0</x:v>
      </x:c>
      <x:c r="AL73" s="22" t="n">
        <x:v>352</x:v>
      </x:c>
      <x:c r="AM73" s="22" t="n">
        <x:v>59</x:v>
      </x:c>
      <x:c r="AN73" s="22" t="n">
        <x:v>4</x:v>
      </x:c>
      <x:c r="AO73" s="22" t="n">
        <x:v>3</x:v>
      </x:c>
      <x:c r="AP73" s="22" t="n">
        <x:v>1100</x:v>
      </x:c>
      <x:c r="AQ73" s="22" t="n">
        <x:v>15</x:v>
      </x:c>
      <x:c r="AR73" s="22" t="n">
        <x:v>0</x:v>
      </x:c>
      <x:c r="AS73" s="22" t="n">
        <x:v>10</x:v>
      </x:c>
      <x:c r="AT73" s="22" t="n">
        <x:v>10</x:v>
      </x:c>
      <x:c r="AU73" s="22" t="n">
        <x:v>0</x:v>
      </x:c>
      <x:c r="AV73" s="22" t="n">
        <x:v>6</x:v>
      </x:c>
      <x:c r="AW73" s="22" t="n">
        <x:v>0</x:v>
      </x:c>
    </x:row>
    <x:row r="74" ht="24" customHeight="1">
      <x:c r="A74" s="22" t="str">
        <x:v>P0070</x:v>
      </x:c>
      <x:c r="B74" s="22" t="n">
        <x:v>3</x:v>
      </x:c>
      <x:c r="C74" s="22" t="n">
        <x:v>2</x:v>
      </x:c>
      <x:c r="D74" s="22" t="str">
        <x:v>C03G02普通专属4/6</x:v>
      </x:c>
      <x:c r="E74" s="22" t="n">
        <x:v>3734</x:v>
      </x:c>
      <x:c r="F74" s="22" t="n">
        <x:v>4506</x:v>
      </x:c>
      <x:c r="G74" s="22" t="n">
        <x:v>3674</x:v>
      </x:c>
      <x:c r="H74" s="22" t="n">
        <x:v>4434</x:v>
      </x:c>
      <x:c r="I74" s="22" t="n">
        <x:v>3647</x:v>
      </x:c>
      <x:c r="J74" s="22" t="n">
        <x:v>4407</x:v>
      </x:c>
      <x:c r="K74" s="22" t="n">
        <x:v>619300</x:v>
      </x:c>
      <x:c r="L74" s="22" t="n">
        <x:v>30400</x:v>
      </x:c>
      <x:c r="M74" s="22" t="n">
        <x:v>326</x:v>
      </x:c>
      <x:c r="N74" s="22" t="n">
        <x:v>577</x:v>
      </x:c>
      <x:c r="O74" s="22" t="n">
        <x:v>265</x:v>
      </x:c>
      <x:c r="P74" s="22" t="n">
        <x:v>472</x:v>
      </x:c>
      <x:c r="Q74" s="22" t="n">
        <x:v>397</x:v>
      </x:c>
      <x:c r="R74" s="22" t="n">
        <x:v>378</x:v>
      </x:c>
      <x:c r="S74" s="22" t="n">
        <x:v>378</x:v>
      </x:c>
      <x:c r="T74" s="22" t="n">
        <x:v>0.05</x:v>
      </x:c>
      <x:c r="U74" s="22" t="n">
        <x:v>17</x:v>
      </x:c>
      <x:c r="V74" s="22" t="n">
        <x:v>107</x:v>
      </x:c>
      <x:c r="W74" s="22" t="n">
        <x:v>75</x:v>
      </x:c>
      <x:c r="X74" s="22" t="n">
        <x:v>20</x:v>
      </x:c>
      <x:c r="Y74" s="22" t="n">
        <x:v>174</x:v>
      </x:c>
      <x:c r="Z74" s="22" t="n">
        <x:v>0</x:v>
      </x:c>
      <x:c r="AA74" s="22" t="n">
        <x:v>0</x:v>
      </x:c>
      <x:c r="AB74" s="22" t="n">
        <x:v>0</x:v>
      </x:c>
      <x:c r="AC74" s="22" t="n">
        <x:v>0</x:v>
      </x:c>
      <x:c r="AD74" s="22" t="n">
        <x:v>30</x:v>
      </x:c>
      <x:c r="AE74" s="22" t="n">
        <x:v>6</x:v>
      </x:c>
      <x:c r="AF74" s="22" t="n">
        <x:v>83</x:v>
      </x:c>
      <x:c r="AG74" s="22" t="n">
        <x:v>7</x:v>
      </x:c>
      <x:c r="AH74" s="22" t="n">
        <x:v>8</x:v>
      </x:c>
      <x:c r="AI74" s="22" t="n">
        <x:v>16.5</x:v>
      </x:c>
      <x:c r="AJ74" s="22" t="n">
        <x:v>0</x:v>
      </x:c>
      <x:c r="AK74" s="22" t="n">
        <x:v>0</x:v>
      </x:c>
      <x:c r="AL74" s="22" t="n">
        <x:v>344</x:v>
      </x:c>
      <x:c r="AM74" s="22" t="n">
        <x:v>53</x:v>
      </x:c>
      <x:c r="AN74" s="22" t="n">
        <x:v>4</x:v>
      </x:c>
      <x:c r="AO74" s="22" t="n">
        <x:v>3</x:v>
      </x:c>
      <x:c r="AP74" s="22" t="n">
        <x:v>1100</x:v>
      </x:c>
      <x:c r="AQ74" s="22" t="n">
        <x:v>15</x:v>
      </x:c>
      <x:c r="AR74" s="22" t="n">
        <x:v>0</x:v>
      </x:c>
      <x:c r="AS74" s="22" t="n">
        <x:v>10</x:v>
      </x:c>
      <x:c r="AT74" s="22" t="n">
        <x:v>10</x:v>
      </x:c>
      <x:c r="AU74" s="22" t="n">
        <x:v>0</x:v>
      </x:c>
      <x:c r="AV74" s="22" t="n">
        <x:v>6</x:v>
      </x:c>
      <x:c r="AW74" s="22" t="n">
        <x:v>0</x:v>
      </x:c>
    </x:row>
    <x:row r="75" ht="24" customHeight="1">
      <x:c r="A75" s="22" t="str">
        <x:v>P0071</x:v>
      </x:c>
      <x:c r="B75" s="22" t="n">
        <x:v>3</x:v>
      </x:c>
      <x:c r="C75" s="22" t="n">
        <x:v>2</x:v>
      </x:c>
      <x:c r="D75" s="22" t="str">
        <x:v>裂风执旗官·卡恩挑战前</x:v>
      </x:c>
      <x:c r="E75" s="22" t="n">
        <x:v>4009</x:v>
      </x:c>
      <x:c r="F75" s="22" t="n">
        <x:v>4781</x:v>
      </x:c>
      <x:c r="G75" s="22" t="n">
        <x:v>3949</x:v>
      </x:c>
      <x:c r="H75" s="22" t="n">
        <x:v>4709</x:v>
      </x:c>
      <x:c r="I75" s="22" t="n">
        <x:v>3922</x:v>
      </x:c>
      <x:c r="J75" s="22" t="n">
        <x:v>4682</x:v>
      </x:c>
      <x:c r="K75" s="22" t="n">
        <x:v>646800</x:v>
      </x:c>
      <x:c r="L75" s="22" t="n">
        <x:v>30400</x:v>
      </x:c>
      <x:c r="M75" s="22" t="n">
        <x:v>326</x:v>
      </x:c>
      <x:c r="N75" s="22" t="n">
        <x:v>577</x:v>
      </x:c>
      <x:c r="O75" s="22" t="n">
        <x:v>265</x:v>
      </x:c>
      <x:c r="P75" s="22" t="n">
        <x:v>472</x:v>
      </x:c>
      <x:c r="Q75" s="22" t="n">
        <x:v>397</x:v>
      </x:c>
      <x:c r="R75" s="22" t="n">
        <x:v>378</x:v>
      </x:c>
      <x:c r="S75" s="22" t="n">
        <x:v>378</x:v>
      </x:c>
      <x:c r="T75" s="22" t="n">
        <x:v>0.05</x:v>
      </x:c>
      <x:c r="U75" s="22" t="n">
        <x:v>17</x:v>
      </x:c>
      <x:c r="V75" s="22" t="n">
        <x:v>107</x:v>
      </x:c>
      <x:c r="W75" s="22" t="n">
        <x:v>75</x:v>
      </x:c>
      <x:c r="X75" s="22" t="n">
        <x:v>20</x:v>
      </x:c>
      <x:c r="Y75" s="22" t="n">
        <x:v>174</x:v>
      </x:c>
      <x:c r="Z75" s="22" t="n">
        <x:v>0</x:v>
      </x:c>
      <x:c r="AA75" s="22" t="n">
        <x:v>0</x:v>
      </x:c>
      <x:c r="AB75" s="22" t="n">
        <x:v>0</x:v>
      </x:c>
      <x:c r="AC75" s="22" t="n">
        <x:v>0</x:v>
      </x:c>
      <x:c r="AD75" s="22" t="n">
        <x:v>30</x:v>
      </x:c>
      <x:c r="AE75" s="22" t="n">
        <x:v>6</x:v>
      </x:c>
      <x:c r="AF75" s="22" t="n">
        <x:v>83</x:v>
      </x:c>
      <x:c r="AG75" s="22" t="n">
        <x:v>7</x:v>
      </x:c>
      <x:c r="AH75" s="22" t="n">
        <x:v>8</x:v>
      </x:c>
      <x:c r="AI75" s="22" t="n">
        <x:v>16.5</x:v>
      </x:c>
      <x:c r="AJ75" s="22" t="n">
        <x:v>0</x:v>
      </x:c>
      <x:c r="AK75" s="22" t="n">
        <x:v>0</x:v>
      </x:c>
      <x:c r="AL75" s="22" t="n">
        <x:v>344</x:v>
      </x:c>
      <x:c r="AM75" s="22" t="n">
        <x:v>53</x:v>
      </x:c>
      <x:c r="AN75" s="22" t="n">
        <x:v>4</x:v>
      </x:c>
      <x:c r="AO75" s="22" t="n">
        <x:v>3</x:v>
      </x:c>
      <x:c r="AP75" s="22" t="n">
        <x:v>1100</x:v>
      </x:c>
      <x:c r="AQ75" s="22" t="n">
        <x:v>15</x:v>
      </x:c>
      <x:c r="AR75" s="22" t="n">
        <x:v>0</x:v>
      </x:c>
      <x:c r="AS75" s="22" t="n">
        <x:v>10</x:v>
      </x:c>
      <x:c r="AT75" s="22" t="n">
        <x:v>10</x:v>
      </x:c>
      <x:c r="AU75" s="22" t="n">
        <x:v>0</x:v>
      </x:c>
      <x:c r="AV75" s="22" t="n">
        <x:v>6</x:v>
      </x:c>
      <x:c r="AW75" s="22" t="n">
        <x:v>0</x:v>
      </x:c>
    </x:row>
    <x:row r="76" ht="24" customHeight="1">
      <x:c r="A76" s="22" t="str">
        <x:v>P0072</x:v>
      </x:c>
      <x:c r="B76" s="22" t="n">
        <x:v>3</x:v>
      </x:c>
      <x:c r="C76" s="22" t="n">
        <x:v>2</x:v>
      </x:c>
      <x:c r="D76" s="22" t="str">
        <x:v>啸海古翼·塞洛挑战前</x:v>
      </x:c>
      <x:c r="E76" s="22" t="n">
        <x:v>4009</x:v>
      </x:c>
      <x:c r="F76" s="22" t="n">
        <x:v>4781</x:v>
      </x:c>
      <x:c r="G76" s="22" t="n">
        <x:v>3949</x:v>
      </x:c>
      <x:c r="H76" s="22" t="n">
        <x:v>4709</x:v>
      </x:c>
      <x:c r="I76" s="22" t="n">
        <x:v>3922</x:v>
      </x:c>
      <x:c r="J76" s="22" t="n">
        <x:v>4682</x:v>
      </x:c>
      <x:c r="K76" s="22" t="n">
        <x:v>646800</x:v>
      </x:c>
      <x:c r="L76" s="22" t="n">
        <x:v>30400</x:v>
      </x:c>
      <x:c r="M76" s="22" t="n">
        <x:v>326</x:v>
      </x:c>
      <x:c r="N76" s="22" t="n">
        <x:v>577</x:v>
      </x:c>
      <x:c r="O76" s="22" t="n">
        <x:v>265</x:v>
      </x:c>
      <x:c r="P76" s="22" t="n">
        <x:v>472</x:v>
      </x:c>
      <x:c r="Q76" s="22" t="n">
        <x:v>397</x:v>
      </x:c>
      <x:c r="R76" s="22" t="n">
        <x:v>378</x:v>
      </x:c>
      <x:c r="S76" s="22" t="n">
        <x:v>378</x:v>
      </x:c>
      <x:c r="T76" s="22" t="n">
        <x:v>0.05</x:v>
      </x:c>
      <x:c r="U76" s="22" t="n">
        <x:v>17</x:v>
      </x:c>
      <x:c r="V76" s="22" t="n">
        <x:v>107</x:v>
      </x:c>
      <x:c r="W76" s="22" t="n">
        <x:v>75</x:v>
      </x:c>
      <x:c r="X76" s="22" t="n">
        <x:v>20</x:v>
      </x:c>
      <x:c r="Y76" s="22" t="n">
        <x:v>174</x:v>
      </x:c>
      <x:c r="Z76" s="22" t="n">
        <x:v>0</x:v>
      </x:c>
      <x:c r="AA76" s="22" t="n">
        <x:v>0</x:v>
      </x:c>
      <x:c r="AB76" s="22" t="n">
        <x:v>0</x:v>
      </x:c>
      <x:c r="AC76" s="22" t="n">
        <x:v>0</x:v>
      </x:c>
      <x:c r="AD76" s="22" t="n">
        <x:v>30</x:v>
      </x:c>
      <x:c r="AE76" s="22" t="n">
        <x:v>6</x:v>
      </x:c>
      <x:c r="AF76" s="22" t="n">
        <x:v>83</x:v>
      </x:c>
      <x:c r="AG76" s="22" t="n">
        <x:v>7</x:v>
      </x:c>
      <x:c r="AH76" s="22" t="n">
        <x:v>8</x:v>
      </x:c>
      <x:c r="AI76" s="22" t="n">
        <x:v>16.5</x:v>
      </x:c>
      <x:c r="AJ76" s="22" t="n">
        <x:v>0</x:v>
      </x:c>
      <x:c r="AK76" s="22" t="n">
        <x:v>0</x:v>
      </x:c>
      <x:c r="AL76" s="22" t="n">
        <x:v>344</x:v>
      </x:c>
      <x:c r="AM76" s="22" t="n">
        <x:v>53</x:v>
      </x:c>
      <x:c r="AN76" s="22" t="n">
        <x:v>4</x:v>
      </x:c>
      <x:c r="AO76" s="22" t="n">
        <x:v>3</x:v>
      </x:c>
      <x:c r="AP76" s="22" t="n">
        <x:v>1100</x:v>
      </x:c>
      <x:c r="AQ76" s="22" t="n">
        <x:v>15</x:v>
      </x:c>
      <x:c r="AR76" s="22" t="n">
        <x:v>0</x:v>
      </x:c>
      <x:c r="AS76" s="22" t="n">
        <x:v>10</x:v>
      </x:c>
      <x:c r="AT76" s="22" t="n">
        <x:v>10</x:v>
      </x:c>
      <x:c r="AU76" s="22" t="n">
        <x:v>0</x:v>
      </x:c>
      <x:c r="AV76" s="22" t="n">
        <x:v>6</x:v>
      </x:c>
      <x:c r="AW76" s="22" t="n">
        <x:v>0</x:v>
      </x:c>
    </x:row>
    <x:row r="77" ht="24" customHeight="1">
      <x:c r="A77" s="22" t="str">
        <x:v>P0073</x:v>
      </x:c>
      <x:c r="B77" s="22" t="n">
        <x:v>3</x:v>
      </x:c>
      <x:c r="C77" s="22" t="n">
        <x:v>2</x:v>
      </x:c>
      <x:c r="D77" s="22" t="str">
        <x:v>海风断崖BOSS装备快线</x:v>
      </x:c>
      <x:c r="E77" s="22" t="n">
        <x:v>4284</x:v>
      </x:c>
      <x:c r="F77" s="22" t="n">
        <x:v>5352</x:v>
      </x:c>
      <x:c r="G77" s="22" t="n">
        <x:v>4262</x:v>
      </x:c>
      <x:c r="H77" s="22" t="n">
        <x:v>5318</x:v>
      </x:c>
      <x:c r="I77" s="22" t="n">
        <x:v>4235</x:v>
      </x:c>
      <x:c r="J77" s="22" t="n">
        <x:v>5291</x:v>
      </x:c>
      <x:c r="K77" s="22" t="n">
        <x:v>751500</x:v>
      </x:c>
      <x:c r="L77" s="22" t="n">
        <x:v>30400</x:v>
      </x:c>
      <x:c r="M77" s="22" t="n">
        <x:v>328</x:v>
      </x:c>
      <x:c r="N77" s="22" t="n">
        <x:v>590</x:v>
      </x:c>
      <x:c r="O77" s="22" t="n">
        <x:v>268</x:v>
      </x:c>
      <x:c r="P77" s="22" t="n">
        <x:v>481</x:v>
      </x:c>
      <x:c r="Q77" s="22" t="n">
        <x:v>424</x:v>
      </x:c>
      <x:c r="R77" s="22" t="n">
        <x:v>424</x:v>
      </x:c>
      <x:c r="S77" s="22" t="n">
        <x:v>424</x:v>
      </x:c>
      <x:c r="T77" s="22" t="n">
        <x:v>0.05</x:v>
      </x:c>
      <x:c r="U77" s="22" t="n">
        <x:v>17</x:v>
      </x:c>
      <x:c r="V77" s="22" t="n">
        <x:v>134</x:v>
      </x:c>
      <x:c r="W77" s="22" t="n">
        <x:v>87</x:v>
      </x:c>
      <x:c r="X77" s="22" t="n">
        <x:v>20</x:v>
      </x:c>
      <x:c r="Y77" s="22" t="n">
        <x:v>191</x:v>
      </x:c>
      <x:c r="Z77" s="22" t="n">
        <x:v>0</x:v>
      </x:c>
      <x:c r="AA77" s="22" t="n">
        <x:v>36</x:v>
      </x:c>
      <x:c r="AB77" s="22" t="n">
        <x:v>0</x:v>
      </x:c>
      <x:c r="AC77" s="22" t="n">
        <x:v>0</x:v>
      </x:c>
      <x:c r="AD77" s="22" t="n">
        <x:v>32</x:v>
      </x:c>
      <x:c r="AE77" s="22" t="n">
        <x:v>7</x:v>
      </x:c>
      <x:c r="AF77" s="22" t="n">
        <x:v>87</x:v>
      </x:c>
      <x:c r="AG77" s="22" t="n">
        <x:v>7</x:v>
      </x:c>
      <x:c r="AH77" s="22" t="n">
        <x:v>8</x:v>
      </x:c>
      <x:c r="AI77" s="22" t="n">
        <x:v>16.5</x:v>
      </x:c>
      <x:c r="AJ77" s="22" t="n">
        <x:v>2</x:v>
      </x:c>
      <x:c r="AK77" s="22" t="n">
        <x:v>1</x:v>
      </x:c>
      <x:c r="AL77" s="22" t="n">
        <x:v>355</x:v>
      </x:c>
      <x:c r="AM77" s="22" t="n">
        <x:v>54</x:v>
      </x:c>
      <x:c r="AN77" s="22" t="n">
        <x:v>5</x:v>
      </x:c>
      <x:c r="AO77" s="22" t="n">
        <x:v>5</x:v>
      </x:c>
      <x:c r="AP77" s="22" t="n">
        <x:v>1355</x:v>
      </x:c>
      <x:c r="AQ77" s="22" t="n">
        <x:v>16</x:v>
      </x:c>
      <x:c r="AR77" s="22" t="n">
        <x:v>0</x:v>
      </x:c>
      <x:c r="AS77" s="22" t="n">
        <x:v>10</x:v>
      </x:c>
      <x:c r="AT77" s="22" t="n">
        <x:v>10</x:v>
      </x:c>
      <x:c r="AU77" s="22" t="n">
        <x:v>0</x:v>
      </x:c>
      <x:c r="AV77" s="22" t="n">
        <x:v>9</x:v>
      </x:c>
      <x:c r="AW77" s="22" t="n">
        <x:v>0</x:v>
      </x:c>
    </x:row>
    <x:row r="78" ht="24" customHeight="1">
      <x:c r="A78" s="22" t="str">
        <x:v>P0074</x:v>
      </x:c>
      <x:c r="B78" s="22" t="n">
        <x:v>3</x:v>
      </x:c>
      <x:c r="C78" s="22" t="n">
        <x:v>2</x:v>
      </x:c>
      <x:c r="D78" s="22" t="str">
        <x:v>海风断崖阶段积累后</x:v>
      </x:c>
      <x:c r="E78" s="22" t="n">
        <x:v>4059</x:v>
      </x:c>
      <x:c r="F78" s="22" t="n">
        <x:v>4870</x:v>
      </x:c>
      <x:c r="G78" s="22" t="n">
        <x:v>3999</x:v>
      </x:c>
      <x:c r="H78" s="22" t="n">
        <x:v>4798</x:v>
      </x:c>
      <x:c r="I78" s="22" t="n">
        <x:v>3972</x:v>
      </x:c>
      <x:c r="J78" s="22" t="n">
        <x:v>4771</x:v>
      </x:c>
      <x:c r="K78" s="22" t="n">
        <x:v>658500</x:v>
      </x:c>
      <x:c r="L78" s="22" t="n">
        <x:v>30400</x:v>
      </x:c>
      <x:c r="M78" s="22" t="n">
        <x:v>332</x:v>
      </x:c>
      <x:c r="N78" s="22" t="n">
        <x:v>588</x:v>
      </x:c>
      <x:c r="O78" s="22" t="n">
        <x:v>270</x:v>
      </x:c>
      <x:c r="P78" s="22" t="n">
        <x:v>480</x:v>
      </x:c>
      <x:c r="Q78" s="22" t="n">
        <x:v>406</x:v>
      </x:c>
      <x:c r="R78" s="22" t="n">
        <x:v>387</x:v>
      </x:c>
      <x:c r="S78" s="22" t="n">
        <x:v>387</x:v>
      </x:c>
      <x:c r="T78" s="22" t="n">
        <x:v>0.05</x:v>
      </x:c>
      <x:c r="U78" s="22" t="n">
        <x:v>17</x:v>
      </x:c>
      <x:c r="V78" s="22" t="n">
        <x:v>112</x:v>
      </x:c>
      <x:c r="W78" s="22" t="n">
        <x:v>75</x:v>
      </x:c>
      <x:c r="X78" s="22" t="n">
        <x:v>20</x:v>
      </x:c>
      <x:c r="Y78" s="22" t="n">
        <x:v>183</x:v>
      </x:c>
      <x:c r="Z78" s="22" t="n">
        <x:v>0</x:v>
      </x:c>
      <x:c r="AA78" s="22" t="n">
        <x:v>0</x:v>
      </x:c>
      <x:c r="AB78" s="22" t="n">
        <x:v>0</x:v>
      </x:c>
      <x:c r="AC78" s="22" t="n">
        <x:v>0</x:v>
      </x:c>
      <x:c r="AD78" s="22" t="n">
        <x:v>30</x:v>
      </x:c>
      <x:c r="AE78" s="22" t="n">
        <x:v>6</x:v>
      </x:c>
      <x:c r="AF78" s="22" t="n">
        <x:v>83</x:v>
      </x:c>
      <x:c r="AG78" s="22" t="n">
        <x:v>7</x:v>
      </x:c>
      <x:c r="AH78" s="22" t="n">
        <x:v>8</x:v>
      </x:c>
      <x:c r="AI78" s="22" t="n">
        <x:v>16.5</x:v>
      </x:c>
      <x:c r="AJ78" s="22" t="n">
        <x:v>0</x:v>
      </x:c>
      <x:c r="AK78" s="22" t="n">
        <x:v>0</x:v>
      </x:c>
      <x:c r="AL78" s="22" t="n">
        <x:v>344</x:v>
      </x:c>
      <x:c r="AM78" s="22" t="n">
        <x:v>53</x:v>
      </x:c>
      <x:c r="AN78" s="22" t="n">
        <x:v>4</x:v>
      </x:c>
      <x:c r="AO78" s="22" t="n">
        <x:v>3</x:v>
      </x:c>
      <x:c r="AP78" s="22" t="n">
        <x:v>1100</x:v>
      </x:c>
      <x:c r="AQ78" s="22" t="n">
        <x:v>15</x:v>
      </x:c>
      <x:c r="AR78" s="22" t="n">
        <x:v>0</x:v>
      </x:c>
      <x:c r="AS78" s="22" t="n">
        <x:v>10</x:v>
      </x:c>
      <x:c r="AT78" s="22" t="n">
        <x:v>10</x:v>
      </x:c>
      <x:c r="AU78" s="22" t="n">
        <x:v>0</x:v>
      </x:c>
      <x:c r="AV78" s="22" t="n">
        <x:v>6</x:v>
      </x:c>
      <x:c r="AW78" s="22" t="n">
        <x:v>0</x:v>
      </x:c>
    </x:row>
    <x:row r="79" ht="24" customHeight="1">
      <x:c r="A79" s="22" t="str">
        <x:v>P0075</x:v>
      </x:c>
      <x:c r="B79" s="22" t="n">
        <x:v>3</x:v>
      </x:c>
      <x:c r="C79" s="22" t="n">
        <x:v>3</x:v>
      </x:c>
      <x:c r="D79" s="22" t="str">
        <x:v>C03G03入场</x:v>
      </x:c>
      <x:c r="E79" s="22" t="n">
        <x:v>4059</x:v>
      </x:c>
      <x:c r="F79" s="22" t="n">
        <x:v>4870</x:v>
      </x:c>
      <x:c r="G79" s="22" t="n">
        <x:v>3999</x:v>
      </x:c>
      <x:c r="H79" s="22" t="n">
        <x:v>4798</x:v>
      </x:c>
      <x:c r="I79" s="22" t="n">
        <x:v>3972</x:v>
      </x:c>
      <x:c r="J79" s="22" t="n">
        <x:v>4771</x:v>
      </x:c>
      <x:c r="K79" s="22" t="n">
        <x:v>658500</x:v>
      </x:c>
      <x:c r="L79" s="22" t="n">
        <x:v>30400</x:v>
      </x:c>
      <x:c r="M79" s="22" t="n">
        <x:v>332</x:v>
      </x:c>
      <x:c r="N79" s="22" t="n">
        <x:v>588</x:v>
      </x:c>
      <x:c r="O79" s="22" t="n">
        <x:v>270</x:v>
      </x:c>
      <x:c r="P79" s="22" t="n">
        <x:v>480</x:v>
      </x:c>
      <x:c r="Q79" s="22" t="n">
        <x:v>406</x:v>
      </x:c>
      <x:c r="R79" s="22" t="n">
        <x:v>387</x:v>
      </x:c>
      <x:c r="S79" s="22" t="n">
        <x:v>387</x:v>
      </x:c>
      <x:c r="T79" s="22" t="n">
        <x:v>0.05</x:v>
      </x:c>
      <x:c r="U79" s="22" t="n">
        <x:v>17</x:v>
      </x:c>
      <x:c r="V79" s="22" t="n">
        <x:v>112</x:v>
      </x:c>
      <x:c r="W79" s="22" t="n">
        <x:v>75</x:v>
      </x:c>
      <x:c r="X79" s="22" t="n">
        <x:v>20</x:v>
      </x:c>
      <x:c r="Y79" s="22" t="n">
        <x:v>183</x:v>
      </x:c>
      <x:c r="Z79" s="22" t="n">
        <x:v>0</x:v>
      </x:c>
      <x:c r="AA79" s="22" t="n">
        <x:v>0</x:v>
      </x:c>
      <x:c r="AB79" s="22" t="n">
        <x:v>0</x:v>
      </x:c>
      <x:c r="AC79" s="22" t="n">
        <x:v>0</x:v>
      </x:c>
      <x:c r="AD79" s="22" t="n">
        <x:v>30</x:v>
      </x:c>
      <x:c r="AE79" s="22" t="n">
        <x:v>6</x:v>
      </x:c>
      <x:c r="AF79" s="22" t="n">
        <x:v>83</x:v>
      </x:c>
      <x:c r="AG79" s="22" t="n">
        <x:v>7</x:v>
      </x:c>
      <x:c r="AH79" s="22" t="n">
        <x:v>8</x:v>
      </x:c>
      <x:c r="AI79" s="22" t="n">
        <x:v>16.5</x:v>
      </x:c>
      <x:c r="AJ79" s="22" t="n">
        <x:v>0</x:v>
      </x:c>
      <x:c r="AK79" s="22" t="n">
        <x:v>0</x:v>
      </x:c>
      <x:c r="AL79" s="22" t="n">
        <x:v>344</x:v>
      </x:c>
      <x:c r="AM79" s="22" t="n">
        <x:v>53</x:v>
      </x:c>
      <x:c r="AN79" s="22" t="n">
        <x:v>4</x:v>
      </x:c>
      <x:c r="AO79" s="22" t="n">
        <x:v>3</x:v>
      </x:c>
      <x:c r="AP79" s="22" t="n">
        <x:v>1100</x:v>
      </x:c>
      <x:c r="AQ79" s="22" t="n">
        <x:v>15</x:v>
      </x:c>
      <x:c r="AR79" s="22" t="n">
        <x:v>0</x:v>
      </x:c>
      <x:c r="AS79" s="22" t="n">
        <x:v>10</x:v>
      </x:c>
      <x:c r="AT79" s="22" t="n">
        <x:v>10</x:v>
      </x:c>
      <x:c r="AU79" s="22" t="n">
        <x:v>0</x:v>
      </x:c>
      <x:c r="AV79" s="22" t="n">
        <x:v>6</x:v>
      </x:c>
      <x:c r="AW79" s="22" t="n">
        <x:v>0</x:v>
      </x:c>
    </x:row>
    <x:row r="80" ht="24" customHeight="1">
      <x:c r="A80" s="22" t="str">
        <x:v>P0076</x:v>
      </x:c>
      <x:c r="B80" s="22" t="n">
        <x:v>3</x:v>
      </x:c>
      <x:c r="C80" s="22" t="n">
        <x:v>3</x:v>
      </x:c>
      <x:c r="D80" s="22" t="str">
        <x:v>C03G03普通专属4/6</x:v>
      </x:c>
      <x:c r="E80" s="22" t="n">
        <x:v>4032</x:v>
      </x:c>
      <x:c r="F80" s="22" t="n">
        <x:v>4849</x:v>
      </x:c>
      <x:c r="G80" s="22" t="n">
        <x:v>4010</x:v>
      </x:c>
      <x:c r="H80" s="22" t="n">
        <x:v>4815</x:v>
      </x:c>
      <x:c r="I80" s="22" t="n">
        <x:v>3983</x:v>
      </x:c>
      <x:c r="J80" s="22" t="n">
        <x:v>4788</x:v>
      </x:c>
      <x:c r="K80" s="22" t="n">
        <x:v>666700</x:v>
      </x:c>
      <x:c r="L80" s="22" t="n">
        <x:v>30400</x:v>
      </x:c>
      <x:c r="M80" s="22" t="n">
        <x:v>308</x:v>
      </x:c>
      <x:c r="N80" s="22" t="n">
        <x:v>552</x:v>
      </x:c>
      <x:c r="O80" s="22" t="n">
        <x:v>251</x:v>
      </x:c>
      <x:c r="P80" s="22" t="n">
        <x:v>451</x:v>
      </x:c>
      <x:c r="Q80" s="22" t="n">
        <x:v>401</x:v>
      </x:c>
      <x:c r="R80" s="22" t="n">
        <x:v>382</x:v>
      </x:c>
      <x:c r="S80" s="22" t="n">
        <x:v>382</x:v>
      </x:c>
      <x:c r="T80" s="22" t="n">
        <x:v>0.05</x:v>
      </x:c>
      <x:c r="U80" s="22" t="n">
        <x:v>17</x:v>
      </x:c>
      <x:c r="V80" s="22" t="n">
        <x:v>116</x:v>
      </x:c>
      <x:c r="W80" s="22" t="n">
        <x:v>75</x:v>
      </x:c>
      <x:c r="X80" s="22" t="n">
        <x:v>20</x:v>
      </x:c>
      <x:c r="Y80" s="22" t="n">
        <x:v>183</x:v>
      </x:c>
      <x:c r="Z80" s="22" t="n">
        <x:v>0</x:v>
      </x:c>
      <x:c r="AA80" s="22" t="n">
        <x:v>12</x:v>
      </x:c>
      <x:c r="AB80" s="22" t="n">
        <x:v>0</x:v>
      </x:c>
      <x:c r="AC80" s="22" t="n">
        <x:v>0</x:v>
      </x:c>
      <x:c r="AD80" s="22" t="n">
        <x:v>30</x:v>
      </x:c>
      <x:c r="AE80" s="22" t="n">
        <x:v>6</x:v>
      </x:c>
      <x:c r="AF80" s="22" t="n">
        <x:v>83</x:v>
      </x:c>
      <x:c r="AG80" s="22" t="n">
        <x:v>7</x:v>
      </x:c>
      <x:c r="AH80" s="22" t="n">
        <x:v>8</x:v>
      </x:c>
      <x:c r="AI80" s="22" t="n">
        <x:v>16.5</x:v>
      </x:c>
      <x:c r="AJ80" s="22" t="n">
        <x:v>0</x:v>
      </x:c>
      <x:c r="AK80" s="22" t="n">
        <x:v>0</x:v>
      </x:c>
      <x:c r="AL80" s="22" t="n">
        <x:v>338</x:v>
      </x:c>
      <x:c r="AM80" s="22" t="n">
        <x:v>45</x:v>
      </x:c>
      <x:c r="AN80" s="22" t="n">
        <x:v>4</x:v>
      </x:c>
      <x:c r="AO80" s="22" t="n">
        <x:v>3</x:v>
      </x:c>
      <x:c r="AP80" s="22" t="n">
        <x:v>1100</x:v>
      </x:c>
      <x:c r="AQ80" s="22" t="n">
        <x:v>15</x:v>
      </x:c>
      <x:c r="AR80" s="22" t="n">
        <x:v>0</x:v>
      </x:c>
      <x:c r="AS80" s="22" t="n">
        <x:v>10</x:v>
      </x:c>
      <x:c r="AT80" s="22" t="n">
        <x:v>10</x:v>
      </x:c>
      <x:c r="AU80" s="22" t="n">
        <x:v>0</x:v>
      </x:c>
      <x:c r="AV80" s="22" t="n">
        <x:v>0</x:v>
      </x:c>
      <x:c r="AW80" s="22" t="n">
        <x:v>0</x:v>
      </x:c>
    </x:row>
    <x:row r="81" ht="24" customHeight="1">
      <x:c r="A81" s="22" t="str">
        <x:v>P0077</x:v>
      </x:c>
      <x:c r="B81" s="22" t="n">
        <x:v>3</x:v>
      </x:c>
      <x:c r="C81" s="22" t="n">
        <x:v>3</x:v>
      </x:c>
      <x:c r="D81" s="22" t="str">
        <x:v>无路佣兵王·赫托挑战前</x:v>
      </x:c>
      <x:c r="E81" s="22" t="n">
        <x:v>4832</x:v>
      </x:c>
      <x:c r="F81" s="22" t="n">
        <x:v>5649</x:v>
      </x:c>
      <x:c r="G81" s="22" t="n">
        <x:v>4810</x:v>
      </x:c>
      <x:c r="H81" s="22" t="n">
        <x:v>5615</x:v>
      </x:c>
      <x:c r="I81" s="22" t="n">
        <x:v>4783</x:v>
      </x:c>
      <x:c r="J81" s="22" t="n">
        <x:v>5588</x:v>
      </x:c>
      <x:c r="K81" s="22" t="n">
        <x:v>746700</x:v>
      </x:c>
      <x:c r="L81" s="22" t="n">
        <x:v>80400</x:v>
      </x:c>
      <x:c r="M81" s="22" t="n">
        <x:v>308</x:v>
      </x:c>
      <x:c r="N81" s="22" t="n">
        <x:v>552</x:v>
      </x:c>
      <x:c r="O81" s="22" t="n">
        <x:v>251</x:v>
      </x:c>
      <x:c r="P81" s="22" t="n">
        <x:v>451</x:v>
      </x:c>
      <x:c r="Q81" s="22" t="n">
        <x:v>401</x:v>
      </x:c>
      <x:c r="R81" s="22" t="n">
        <x:v>382</x:v>
      </x:c>
      <x:c r="S81" s="22" t="n">
        <x:v>382</x:v>
      </x:c>
      <x:c r="T81" s="22" t="n">
        <x:v>0.05</x:v>
      </x:c>
      <x:c r="U81" s="22" t="n">
        <x:v>17</x:v>
      </x:c>
      <x:c r="V81" s="22" t="n">
        <x:v>116</x:v>
      </x:c>
      <x:c r="W81" s="22" t="n">
        <x:v>75</x:v>
      </x:c>
      <x:c r="X81" s="22" t="n">
        <x:v>20</x:v>
      </x:c>
      <x:c r="Y81" s="22" t="n">
        <x:v>183</x:v>
      </x:c>
      <x:c r="Z81" s="22" t="n">
        <x:v>0</x:v>
      </x:c>
      <x:c r="AA81" s="22" t="n">
        <x:v>12</x:v>
      </x:c>
      <x:c r="AB81" s="22" t="n">
        <x:v>0</x:v>
      </x:c>
      <x:c r="AC81" s="22" t="n">
        <x:v>0</x:v>
      </x:c>
      <x:c r="AD81" s="22" t="n">
        <x:v>32</x:v>
      </x:c>
      <x:c r="AE81" s="22" t="n">
        <x:v>6</x:v>
      </x:c>
      <x:c r="AF81" s="22" t="n">
        <x:v>83</x:v>
      </x:c>
      <x:c r="AG81" s="22" t="n">
        <x:v>7</x:v>
      </x:c>
      <x:c r="AH81" s="22" t="n">
        <x:v>8</x:v>
      </x:c>
      <x:c r="AI81" s="22" t="n">
        <x:v>16.5</x:v>
      </x:c>
      <x:c r="AJ81" s="22" t="n">
        <x:v>2</x:v>
      </x:c>
      <x:c r="AK81" s="22" t="n">
        <x:v>0</x:v>
      </x:c>
      <x:c r="AL81" s="22" t="n">
        <x:v>338</x:v>
      </x:c>
      <x:c r="AM81" s="22" t="n">
        <x:v>45</x:v>
      </x:c>
      <x:c r="AN81" s="22" t="n">
        <x:v>4</x:v>
      </x:c>
      <x:c r="AO81" s="22" t="n">
        <x:v>3</x:v>
      </x:c>
      <x:c r="AP81" s="22" t="n">
        <x:v>1400</x:v>
      </x:c>
      <x:c r="AQ81" s="22" t="n">
        <x:v>16</x:v>
      </x:c>
      <x:c r="AR81" s="22" t="n">
        <x:v>0</x:v>
      </x:c>
      <x:c r="AS81" s="22" t="n">
        <x:v>10</x:v>
      </x:c>
      <x:c r="AT81" s="22" t="n">
        <x:v>10</x:v>
      </x:c>
      <x:c r="AU81" s="22" t="n">
        <x:v>0</x:v>
      </x:c>
      <x:c r="AV81" s="22" t="n">
        <x:v>0</x:v>
      </x:c>
      <x:c r="AW81" s="22" t="n">
        <x:v>0</x:v>
      </x:c>
    </x:row>
    <x:row r="82" ht="24" customHeight="1">
      <x:c r="A82" s="22" t="str">
        <x:v>P0078</x:v>
      </x:c>
      <x:c r="B82" s="22" t="n">
        <x:v>3</x:v>
      </x:c>
      <x:c r="C82" s="22" t="n">
        <x:v>3</x:v>
      </x:c>
      <x:c r="D82" s="22" t="str">
        <x:v>赤篷巨像·马尔挑战前</x:v>
      </x:c>
      <x:c r="E82" s="22" t="n">
        <x:v>4832</x:v>
      </x:c>
      <x:c r="F82" s="22" t="n">
        <x:v>5649</x:v>
      </x:c>
      <x:c r="G82" s="22" t="n">
        <x:v>4810</x:v>
      </x:c>
      <x:c r="H82" s="22" t="n">
        <x:v>5615</x:v>
      </x:c>
      <x:c r="I82" s="22" t="n">
        <x:v>4783</x:v>
      </x:c>
      <x:c r="J82" s="22" t="n">
        <x:v>5588</x:v>
      </x:c>
      <x:c r="K82" s="22" t="n">
        <x:v>746700</x:v>
      </x:c>
      <x:c r="L82" s="22" t="n">
        <x:v>80400</x:v>
      </x:c>
      <x:c r="M82" s="22" t="n">
        <x:v>308</x:v>
      </x:c>
      <x:c r="N82" s="22" t="n">
        <x:v>552</x:v>
      </x:c>
      <x:c r="O82" s="22" t="n">
        <x:v>251</x:v>
      </x:c>
      <x:c r="P82" s="22" t="n">
        <x:v>451</x:v>
      </x:c>
      <x:c r="Q82" s="22" t="n">
        <x:v>401</x:v>
      </x:c>
      <x:c r="R82" s="22" t="n">
        <x:v>382</x:v>
      </x:c>
      <x:c r="S82" s="22" t="n">
        <x:v>382</x:v>
      </x:c>
      <x:c r="T82" s="22" t="n">
        <x:v>0.05</x:v>
      </x:c>
      <x:c r="U82" s="22" t="n">
        <x:v>17</x:v>
      </x:c>
      <x:c r="V82" s="22" t="n">
        <x:v>116</x:v>
      </x:c>
      <x:c r="W82" s="22" t="n">
        <x:v>75</x:v>
      </x:c>
      <x:c r="X82" s="22" t="n">
        <x:v>20</x:v>
      </x:c>
      <x:c r="Y82" s="22" t="n">
        <x:v>183</x:v>
      </x:c>
      <x:c r="Z82" s="22" t="n">
        <x:v>0</x:v>
      </x:c>
      <x:c r="AA82" s="22" t="n">
        <x:v>12</x:v>
      </x:c>
      <x:c r="AB82" s="22" t="n">
        <x:v>0</x:v>
      </x:c>
      <x:c r="AC82" s="22" t="n">
        <x:v>0</x:v>
      </x:c>
      <x:c r="AD82" s="22" t="n">
        <x:v>32</x:v>
      </x:c>
      <x:c r="AE82" s="22" t="n">
        <x:v>6</x:v>
      </x:c>
      <x:c r="AF82" s="22" t="n">
        <x:v>83</x:v>
      </x:c>
      <x:c r="AG82" s="22" t="n">
        <x:v>7</x:v>
      </x:c>
      <x:c r="AH82" s="22" t="n">
        <x:v>8</x:v>
      </x:c>
      <x:c r="AI82" s="22" t="n">
        <x:v>16.5</x:v>
      </x:c>
      <x:c r="AJ82" s="22" t="n">
        <x:v>2</x:v>
      </x:c>
      <x:c r="AK82" s="22" t="n">
        <x:v>0</x:v>
      </x:c>
      <x:c r="AL82" s="22" t="n">
        <x:v>338</x:v>
      </x:c>
      <x:c r="AM82" s="22" t="n">
        <x:v>45</x:v>
      </x:c>
      <x:c r="AN82" s="22" t="n">
        <x:v>4</x:v>
      </x:c>
      <x:c r="AO82" s="22" t="n">
        <x:v>3</x:v>
      </x:c>
      <x:c r="AP82" s="22" t="n">
        <x:v>1400</x:v>
      </x:c>
      <x:c r="AQ82" s="22" t="n">
        <x:v>16</x:v>
      </x:c>
      <x:c r="AR82" s="22" t="n">
        <x:v>0</x:v>
      </x:c>
      <x:c r="AS82" s="22" t="n">
        <x:v>10</x:v>
      </x:c>
      <x:c r="AT82" s="22" t="n">
        <x:v>10</x:v>
      </x:c>
      <x:c r="AU82" s="22" t="n">
        <x:v>0</x:v>
      </x:c>
      <x:c r="AV82" s="22" t="n">
        <x:v>0</x:v>
      </x:c>
      <x:c r="AW82" s="22" t="n">
        <x:v>0</x:v>
      </x:c>
    </x:row>
    <x:row r="83" ht="24" customHeight="1">
      <x:c r="A83" s="22" t="str">
        <x:v>P0079</x:v>
      </x:c>
      <x:c r="B83" s="22" t="n">
        <x:v>3</x:v>
      </x:c>
      <x:c r="C83" s="22" t="n">
        <x:v>3</x:v>
      </x:c>
      <x:c r="D83" s="22" t="str">
        <x:v>失落驿道BOSS装备快线</x:v>
      </x:c>
      <x:c r="E83" s="22" t="n">
        <x:v>5182</x:v>
      </x:c>
      <x:c r="F83" s="22" t="n">
        <x:v>6334</x:v>
      </x:c>
      <x:c r="G83" s="22" t="n">
        <x:v>5160</x:v>
      </x:c>
      <x:c r="H83" s="22" t="n">
        <x:v>6300</x:v>
      </x:c>
      <x:c r="I83" s="22" t="n">
        <x:v>5133</x:v>
      </x:c>
      <x:c r="J83" s="22" t="n">
        <x:v>6273</x:v>
      </x:c>
      <x:c r="K83" s="22" t="n">
        <x:v>859900</x:v>
      </x:c>
      <x:c r="L83" s="22" t="n">
        <x:v>80400</x:v>
      </x:c>
      <x:c r="M83" s="22" t="n">
        <x:v>392</x:v>
      </x:c>
      <x:c r="N83" s="22" t="n">
        <x:v>703</x:v>
      </x:c>
      <x:c r="O83" s="22" t="n">
        <x:v>320</x:v>
      </x:c>
      <x:c r="P83" s="22" t="n">
        <x:v>575</x:v>
      </x:c>
      <x:c r="Q83" s="22" t="n">
        <x:v>452</x:v>
      </x:c>
      <x:c r="R83" s="22" t="n">
        <x:v>452</x:v>
      </x:c>
      <x:c r="S83" s="22" t="n">
        <x:v>452</x:v>
      </x:c>
      <x:c r="T83" s="22" t="n">
        <x:v>0.05</x:v>
      </x:c>
      <x:c r="U83" s="22" t="n">
        <x:v>17</x:v>
      </x:c>
      <x:c r="V83" s="22" t="n">
        <x:v>148</x:v>
      </x:c>
      <x:c r="W83" s="22" t="n">
        <x:v>92</x:v>
      </x:c>
      <x:c r="X83" s="22" t="n">
        <x:v>20</x:v>
      </x:c>
      <x:c r="Y83" s="22" t="n">
        <x:v>200</x:v>
      </x:c>
      <x:c r="Z83" s="22" t="n">
        <x:v>0</x:v>
      </x:c>
      <x:c r="AA83" s="22" t="n">
        <x:v>54</x:v>
      </x:c>
      <x:c r="AB83" s="22" t="n">
        <x:v>0</x:v>
      </x:c>
      <x:c r="AC83" s="22" t="n">
        <x:v>0</x:v>
      </x:c>
      <x:c r="AD83" s="22" t="n">
        <x:v>34</x:v>
      </x:c>
      <x:c r="AE83" s="22" t="n">
        <x:v>7</x:v>
      </x:c>
      <x:c r="AF83" s="22" t="n">
        <x:v>87</x:v>
      </x:c>
      <x:c r="AG83" s="22" t="n">
        <x:v>7</x:v>
      </x:c>
      <x:c r="AH83" s="22" t="n">
        <x:v>8</x:v>
      </x:c>
      <x:c r="AI83" s="22" t="n">
        <x:v>16.5</x:v>
      </x:c>
      <x:c r="AJ83" s="22" t="n">
        <x:v>4</x:v>
      </x:c>
      <x:c r="AK83" s="22" t="n">
        <x:v>1</x:v>
      </x:c>
      <x:c r="AL83" s="22" t="n">
        <x:v>355</x:v>
      </x:c>
      <x:c r="AM83" s="22" t="n">
        <x:v>56</x:v>
      </x:c>
      <x:c r="AN83" s="22" t="n">
        <x:v>5</x:v>
      </x:c>
      <x:c r="AO83" s="22" t="n">
        <x:v>5</x:v>
      </x:c>
      <x:c r="AP83" s="22" t="n">
        <x:v>1660</x:v>
      </x:c>
      <x:c r="AQ83" s="22" t="n">
        <x:v>17</x:v>
      </x:c>
      <x:c r="AR83" s="22" t="n">
        <x:v>0</x:v>
      </x:c>
      <x:c r="AS83" s="22" t="n">
        <x:v>10</x:v>
      </x:c>
      <x:c r="AT83" s="22" t="n">
        <x:v>10</x:v>
      </x:c>
      <x:c r="AU83" s="22" t="n">
        <x:v>0</x:v>
      </x:c>
      <x:c r="AV83" s="22" t="n">
        <x:v>9</x:v>
      </x:c>
      <x:c r="AW83" s="22" t="n">
        <x:v>0</x:v>
      </x:c>
    </x:row>
    <x:row r="84" ht="24" customHeight="1">
      <x:c r="A84" s="22" t="str">
        <x:v>P0080</x:v>
      </x:c>
      <x:c r="B84" s="22" t="n">
        <x:v>3</x:v>
      </x:c>
      <x:c r="C84" s="22" t="n">
        <x:v>3</x:v>
      </x:c>
      <x:c r="D84" s="22" t="str">
        <x:v>失落驿道阶段积累后</x:v>
      </x:c>
      <x:c r="E84" s="22" t="n">
        <x:v>4838</x:v>
      </x:c>
      <x:c r="F84" s="22" t="n">
        <x:v>5655</x:v>
      </x:c>
      <x:c r="G84" s="22" t="n">
        <x:v>4816</x:v>
      </x:c>
      <x:c r="H84" s="22" t="n">
        <x:v>5621</x:v>
      </x:c>
      <x:c r="I84" s="22" t="n">
        <x:v>4789</x:v>
      </x:c>
      <x:c r="J84" s="22" t="n">
        <x:v>5594</x:v>
      </x:c>
      <x:c r="K84" s="22" t="n">
        <x:v>747300</x:v>
      </x:c>
      <x:c r="L84" s="22" t="n">
        <x:v>80400</x:v>
      </x:c>
      <x:c r="M84" s="22" t="n">
        <x:v>308</x:v>
      </x:c>
      <x:c r="N84" s="22" t="n">
        <x:v>552</x:v>
      </x:c>
      <x:c r="O84" s="22" t="n">
        <x:v>251</x:v>
      </x:c>
      <x:c r="P84" s="22" t="n">
        <x:v>451</x:v>
      </x:c>
      <x:c r="Q84" s="22" t="n">
        <x:v>401</x:v>
      </x:c>
      <x:c r="R84" s="22" t="n">
        <x:v>382</x:v>
      </x:c>
      <x:c r="S84" s="22" t="n">
        <x:v>382</x:v>
      </x:c>
      <x:c r="T84" s="22" t="n">
        <x:v>0.05</x:v>
      </x:c>
      <x:c r="U84" s="22" t="n">
        <x:v>17</x:v>
      </x:c>
      <x:c r="V84" s="22" t="n">
        <x:v>116</x:v>
      </x:c>
      <x:c r="W84" s="22" t="n">
        <x:v>75</x:v>
      </x:c>
      <x:c r="X84" s="22" t="n">
        <x:v>20</x:v>
      </x:c>
      <x:c r="Y84" s="22" t="n">
        <x:v>183</x:v>
      </x:c>
      <x:c r="Z84" s="22" t="n">
        <x:v>0</x:v>
      </x:c>
      <x:c r="AA84" s="22" t="n">
        <x:v>12</x:v>
      </x:c>
      <x:c r="AB84" s="22" t="n">
        <x:v>0</x:v>
      </x:c>
      <x:c r="AC84" s="22" t="n">
        <x:v>0</x:v>
      </x:c>
      <x:c r="AD84" s="22" t="n">
        <x:v>32</x:v>
      </x:c>
      <x:c r="AE84" s="22" t="n">
        <x:v>6</x:v>
      </x:c>
      <x:c r="AF84" s="22" t="n">
        <x:v>83</x:v>
      </x:c>
      <x:c r="AG84" s="22" t="n">
        <x:v>7</x:v>
      </x:c>
      <x:c r="AH84" s="22" t="n">
        <x:v>8</x:v>
      </x:c>
      <x:c r="AI84" s="22" t="n">
        <x:v>16.5</x:v>
      </x:c>
      <x:c r="AJ84" s="22" t="n">
        <x:v>2</x:v>
      </x:c>
      <x:c r="AK84" s="22" t="n">
        <x:v>0</x:v>
      </x:c>
      <x:c r="AL84" s="22" t="n">
        <x:v>338</x:v>
      </x:c>
      <x:c r="AM84" s="22" t="n">
        <x:v>45</x:v>
      </x:c>
      <x:c r="AN84" s="22" t="n">
        <x:v>4</x:v>
      </x:c>
      <x:c r="AO84" s="22" t="n">
        <x:v>3</x:v>
      </x:c>
      <x:c r="AP84" s="22" t="n">
        <x:v>1400</x:v>
      </x:c>
      <x:c r="AQ84" s="22" t="n">
        <x:v>16</x:v>
      </x:c>
      <x:c r="AR84" s="22" t="n">
        <x:v>0</x:v>
      </x:c>
      <x:c r="AS84" s="22" t="n">
        <x:v>10</x:v>
      </x:c>
      <x:c r="AT84" s="22" t="n">
        <x:v>10</x:v>
      </x:c>
      <x:c r="AU84" s="22" t="n">
        <x:v>0</x:v>
      </x:c>
      <x:c r="AV84" s="22" t="n">
        <x:v>0</x:v>
      </x:c>
      <x:c r="AW84" s="22" t="n">
        <x:v>0</x:v>
      </x:c>
    </x:row>
    <x:row r="85" ht="24" customHeight="1">
      <x:c r="A85" s="22" t="str">
        <x:v>P0081</x:v>
      </x:c>
      <x:c r="B85" s="22" t="n">
        <x:v>3</x:v>
      </x:c>
      <x:c r="C85" s="22" t="n">
        <x:v>4</x:v>
      </x:c>
      <x:c r="D85" s="22" t="str">
        <x:v>C03G04入场</x:v>
      </x:c>
      <x:c r="E85" s="22" t="n">
        <x:v>4838</x:v>
      </x:c>
      <x:c r="F85" s="22" t="n">
        <x:v>5655</x:v>
      </x:c>
      <x:c r="G85" s="22" t="n">
        <x:v>4816</x:v>
      </x:c>
      <x:c r="H85" s="22" t="n">
        <x:v>5621</x:v>
      </x:c>
      <x:c r="I85" s="22" t="n">
        <x:v>4789</x:v>
      </x:c>
      <x:c r="J85" s="22" t="n">
        <x:v>5594</x:v>
      </x:c>
      <x:c r="K85" s="22" t="n">
        <x:v>747300</x:v>
      </x:c>
      <x:c r="L85" s="22" t="n">
        <x:v>80400</x:v>
      </x:c>
      <x:c r="M85" s="22" t="n">
        <x:v>308</x:v>
      </x:c>
      <x:c r="N85" s="22" t="n">
        <x:v>552</x:v>
      </x:c>
      <x:c r="O85" s="22" t="n">
        <x:v>251</x:v>
      </x:c>
      <x:c r="P85" s="22" t="n">
        <x:v>451</x:v>
      </x:c>
      <x:c r="Q85" s="22" t="n">
        <x:v>401</x:v>
      </x:c>
      <x:c r="R85" s="22" t="n">
        <x:v>382</x:v>
      </x:c>
      <x:c r="S85" s="22" t="n">
        <x:v>382</x:v>
      </x:c>
      <x:c r="T85" s="22" t="n">
        <x:v>0.05</x:v>
      </x:c>
      <x:c r="U85" s="22" t="n">
        <x:v>17</x:v>
      </x:c>
      <x:c r="V85" s="22" t="n">
        <x:v>116</x:v>
      </x:c>
      <x:c r="W85" s="22" t="n">
        <x:v>75</x:v>
      </x:c>
      <x:c r="X85" s="22" t="n">
        <x:v>20</x:v>
      </x:c>
      <x:c r="Y85" s="22" t="n">
        <x:v>183</x:v>
      </x:c>
      <x:c r="Z85" s="22" t="n">
        <x:v>0</x:v>
      </x:c>
      <x:c r="AA85" s="22" t="n">
        <x:v>12</x:v>
      </x:c>
      <x:c r="AB85" s="22" t="n">
        <x:v>0</x:v>
      </x:c>
      <x:c r="AC85" s="22" t="n">
        <x:v>0</x:v>
      </x:c>
      <x:c r="AD85" s="22" t="n">
        <x:v>32</x:v>
      </x:c>
      <x:c r="AE85" s="22" t="n">
        <x:v>6</x:v>
      </x:c>
      <x:c r="AF85" s="22" t="n">
        <x:v>83</x:v>
      </x:c>
      <x:c r="AG85" s="22" t="n">
        <x:v>7</x:v>
      </x:c>
      <x:c r="AH85" s="22" t="n">
        <x:v>8</x:v>
      </x:c>
      <x:c r="AI85" s="22" t="n">
        <x:v>16.5</x:v>
      </x:c>
      <x:c r="AJ85" s="22" t="n">
        <x:v>2</x:v>
      </x:c>
      <x:c r="AK85" s="22" t="n">
        <x:v>0</x:v>
      </x:c>
      <x:c r="AL85" s="22" t="n">
        <x:v>338</x:v>
      </x:c>
      <x:c r="AM85" s="22" t="n">
        <x:v>45</x:v>
      </x:c>
      <x:c r="AN85" s="22" t="n">
        <x:v>4</x:v>
      </x:c>
      <x:c r="AO85" s="22" t="n">
        <x:v>3</x:v>
      </x:c>
      <x:c r="AP85" s="22" t="n">
        <x:v>1400</x:v>
      </x:c>
      <x:c r="AQ85" s="22" t="n">
        <x:v>16</x:v>
      </x:c>
      <x:c r="AR85" s="22" t="n">
        <x:v>0</x:v>
      </x:c>
      <x:c r="AS85" s="22" t="n">
        <x:v>10</x:v>
      </x:c>
      <x:c r="AT85" s="22" t="n">
        <x:v>10</x:v>
      </x:c>
      <x:c r="AU85" s="22" t="n">
        <x:v>0</x:v>
      </x:c>
      <x:c r="AV85" s="22" t="n">
        <x:v>0</x:v>
      </x:c>
      <x:c r="AW85" s="22" t="n">
        <x:v>0</x:v>
      </x:c>
    </x:row>
    <x:row r="86" ht="24" customHeight="1">
      <x:c r="A86" s="22" t="str">
        <x:v>P0082</x:v>
      </x:c>
      <x:c r="B86" s="22" t="n">
        <x:v>3</x:v>
      </x:c>
      <x:c r="C86" s="22" t="n">
        <x:v>4</x:v>
      </x:c>
      <x:c r="D86" s="22" t="str">
        <x:v>C03G04普通专属4/6</x:v>
      </x:c>
      <x:c r="E86" s="22" t="n">
        <x:v>4838</x:v>
      </x:c>
      <x:c r="F86" s="22" t="n">
        <x:v>5655</x:v>
      </x:c>
      <x:c r="G86" s="22" t="n">
        <x:v>4816</x:v>
      </x:c>
      <x:c r="H86" s="22" t="n">
        <x:v>5621</x:v>
      </x:c>
      <x:c r="I86" s="22" t="n">
        <x:v>4789</x:v>
      </x:c>
      <x:c r="J86" s="22" t="n">
        <x:v>5594</x:v>
      </x:c>
      <x:c r="K86" s="22" t="n">
        <x:v>747300</x:v>
      </x:c>
      <x:c r="L86" s="22" t="n">
        <x:v>80400</x:v>
      </x:c>
      <x:c r="M86" s="22" t="n">
        <x:v>308</x:v>
      </x:c>
      <x:c r="N86" s="22" t="n">
        <x:v>552</x:v>
      </x:c>
      <x:c r="O86" s="22" t="n">
        <x:v>251</x:v>
      </x:c>
      <x:c r="P86" s="22" t="n">
        <x:v>451</x:v>
      </x:c>
      <x:c r="Q86" s="22" t="n">
        <x:v>401</x:v>
      </x:c>
      <x:c r="R86" s="22" t="n">
        <x:v>382</x:v>
      </x:c>
      <x:c r="S86" s="22" t="n">
        <x:v>382</x:v>
      </x:c>
      <x:c r="T86" s="22" t="n">
        <x:v>0.05</x:v>
      </x:c>
      <x:c r="U86" s="22" t="n">
        <x:v>17</x:v>
      </x:c>
      <x:c r="V86" s="22" t="n">
        <x:v>116</x:v>
      </x:c>
      <x:c r="W86" s="22" t="n">
        <x:v>75</x:v>
      </x:c>
      <x:c r="X86" s="22" t="n">
        <x:v>20</x:v>
      </x:c>
      <x:c r="Y86" s="22" t="n">
        <x:v>183</x:v>
      </x:c>
      <x:c r="Z86" s="22" t="n">
        <x:v>0</x:v>
      </x:c>
      <x:c r="AA86" s="22" t="n">
        <x:v>12</x:v>
      </x:c>
      <x:c r="AB86" s="22" t="n">
        <x:v>0</x:v>
      </x:c>
      <x:c r="AC86" s="22" t="n">
        <x:v>0</x:v>
      </x:c>
      <x:c r="AD86" s="22" t="n">
        <x:v>32</x:v>
      </x:c>
      <x:c r="AE86" s="22" t="n">
        <x:v>6</x:v>
      </x:c>
      <x:c r="AF86" s="22" t="n">
        <x:v>83</x:v>
      </x:c>
      <x:c r="AG86" s="22" t="n">
        <x:v>7</x:v>
      </x:c>
      <x:c r="AH86" s="22" t="n">
        <x:v>8</x:v>
      </x:c>
      <x:c r="AI86" s="22" t="n">
        <x:v>16.5</x:v>
      </x:c>
      <x:c r="AJ86" s="22" t="n">
        <x:v>2</x:v>
      </x:c>
      <x:c r="AK86" s="22" t="n">
        <x:v>0</x:v>
      </x:c>
      <x:c r="AL86" s="22" t="n">
        <x:v>338</x:v>
      </x:c>
      <x:c r="AM86" s="22" t="n">
        <x:v>45</x:v>
      </x:c>
      <x:c r="AN86" s="22" t="n">
        <x:v>4</x:v>
      </x:c>
      <x:c r="AO86" s="22" t="n">
        <x:v>3</x:v>
      </x:c>
      <x:c r="AP86" s="22" t="n">
        <x:v>1400</x:v>
      </x:c>
      <x:c r="AQ86" s="22" t="n">
        <x:v>16</x:v>
      </x:c>
      <x:c r="AR86" s="22" t="n">
        <x:v>0</x:v>
      </x:c>
      <x:c r="AS86" s="22" t="n">
        <x:v>10</x:v>
      </x:c>
      <x:c r="AT86" s="22" t="n">
        <x:v>10</x:v>
      </x:c>
      <x:c r="AU86" s="22" t="n">
        <x:v>0</x:v>
      </x:c>
      <x:c r="AV86" s="22" t="n">
        <x:v>0</x:v>
      </x:c>
      <x:c r="AW86" s="22" t="n">
        <x:v>0</x:v>
      </x:c>
    </x:row>
    <x:row r="87" ht="24" customHeight="1">
      <x:c r="A87" s="22" t="str">
        <x:v>P0083</x:v>
      </x:c>
      <x:c r="B87" s="22" t="n">
        <x:v>3</x:v>
      </x:c>
      <x:c r="C87" s="22" t="n">
        <x:v>4</x:v>
      </x:c>
      <x:c r="D87" s="22" t="str">
        <x:v>古战将·雷戈挑战前</x:v>
      </x:c>
      <x:c r="E87" s="22" t="n">
        <x:v>5163</x:v>
      </x:c>
      <x:c r="F87" s="22" t="n">
        <x:v>5980</x:v>
      </x:c>
      <x:c r="G87" s="22" t="n">
        <x:v>5141</x:v>
      </x:c>
      <x:c r="H87" s="22" t="n">
        <x:v>5946</x:v>
      </x:c>
      <x:c r="I87" s="22" t="n">
        <x:v>5114</x:v>
      </x:c>
      <x:c r="J87" s="22" t="n">
        <x:v>5919</x:v>
      </x:c>
      <x:c r="K87" s="22" t="n">
        <x:v>779800</x:v>
      </x:c>
      <x:c r="L87" s="22" t="n">
        <x:v>80400</x:v>
      </x:c>
      <x:c r="M87" s="22" t="n">
        <x:v>308</x:v>
      </x:c>
      <x:c r="N87" s="22" t="n">
        <x:v>552</x:v>
      </x:c>
      <x:c r="O87" s="22" t="n">
        <x:v>251</x:v>
      </x:c>
      <x:c r="P87" s="22" t="n">
        <x:v>451</x:v>
      </x:c>
      <x:c r="Q87" s="22" t="n">
        <x:v>401</x:v>
      </x:c>
      <x:c r="R87" s="22" t="n">
        <x:v>382</x:v>
      </x:c>
      <x:c r="S87" s="22" t="n">
        <x:v>382</x:v>
      </x:c>
      <x:c r="T87" s="22" t="n">
        <x:v>0.05</x:v>
      </x:c>
      <x:c r="U87" s="22" t="n">
        <x:v>17</x:v>
      </x:c>
      <x:c r="V87" s="22" t="n">
        <x:v>116</x:v>
      </x:c>
      <x:c r="W87" s="22" t="n">
        <x:v>75</x:v>
      </x:c>
      <x:c r="X87" s="22" t="n">
        <x:v>20</x:v>
      </x:c>
      <x:c r="Y87" s="22" t="n">
        <x:v>183</x:v>
      </x:c>
      <x:c r="Z87" s="22" t="n">
        <x:v>0</x:v>
      </x:c>
      <x:c r="AA87" s="22" t="n">
        <x:v>12</x:v>
      </x:c>
      <x:c r="AB87" s="22" t="n">
        <x:v>0</x:v>
      </x:c>
      <x:c r="AC87" s="22" t="n">
        <x:v>0</x:v>
      </x:c>
      <x:c r="AD87" s="22" t="n">
        <x:v>32</x:v>
      </x:c>
      <x:c r="AE87" s="22" t="n">
        <x:v>6</x:v>
      </x:c>
      <x:c r="AF87" s="22" t="n">
        <x:v>83</x:v>
      </x:c>
      <x:c r="AG87" s="22" t="n">
        <x:v>7</x:v>
      </x:c>
      <x:c r="AH87" s="22" t="n">
        <x:v>8</x:v>
      </x:c>
      <x:c r="AI87" s="22" t="n">
        <x:v>16.5</x:v>
      </x:c>
      <x:c r="AJ87" s="22" t="n">
        <x:v>2</x:v>
      </x:c>
      <x:c r="AK87" s="22" t="n">
        <x:v>0</x:v>
      </x:c>
      <x:c r="AL87" s="22" t="n">
        <x:v>338</x:v>
      </x:c>
      <x:c r="AM87" s="22" t="n">
        <x:v>45</x:v>
      </x:c>
      <x:c r="AN87" s="22" t="n">
        <x:v>4</x:v>
      </x:c>
      <x:c r="AO87" s="22" t="n">
        <x:v>3</x:v>
      </x:c>
      <x:c r="AP87" s="22" t="n">
        <x:v>1400</x:v>
      </x:c>
      <x:c r="AQ87" s="22" t="n">
        <x:v>16</x:v>
      </x:c>
      <x:c r="AR87" s="22" t="n">
        <x:v>0</x:v>
      </x:c>
      <x:c r="AS87" s="22" t="n">
        <x:v>10</x:v>
      </x:c>
      <x:c r="AT87" s="22" t="n">
        <x:v>10</x:v>
      </x:c>
      <x:c r="AU87" s="22" t="n">
        <x:v>0</x:v>
      </x:c>
      <x:c r="AV87" s="22" t="n">
        <x:v>0</x:v>
      </x:c>
      <x:c r="AW87" s="22" t="n">
        <x:v>0</x:v>
      </x:c>
    </x:row>
    <x:row r="88" ht="24" customHeight="1">
      <x:c r="A88" s="22" t="str">
        <x:v>P0084</x:v>
      </x:c>
      <x:c r="B88" s="22" t="n">
        <x:v>3</x:v>
      </x:c>
      <x:c r="C88" s="22" t="n">
        <x:v>4</x:v>
      </x:c>
      <x:c r="D88" s="22" t="str">
        <x:v>千军怨灵·阿萨挑战前</x:v>
      </x:c>
      <x:c r="E88" s="22" t="n">
        <x:v>5163</x:v>
      </x:c>
      <x:c r="F88" s="22" t="n">
        <x:v>5980</x:v>
      </x:c>
      <x:c r="G88" s="22" t="n">
        <x:v>5141</x:v>
      </x:c>
      <x:c r="H88" s="22" t="n">
        <x:v>5946</x:v>
      </x:c>
      <x:c r="I88" s="22" t="n">
        <x:v>5114</x:v>
      </x:c>
      <x:c r="J88" s="22" t="n">
        <x:v>5919</x:v>
      </x:c>
      <x:c r="K88" s="22" t="n">
        <x:v>779800</x:v>
      </x:c>
      <x:c r="L88" s="22" t="n">
        <x:v>80400</x:v>
      </x:c>
      <x:c r="M88" s="22" t="n">
        <x:v>308</x:v>
      </x:c>
      <x:c r="N88" s="22" t="n">
        <x:v>552</x:v>
      </x:c>
      <x:c r="O88" s="22" t="n">
        <x:v>251</x:v>
      </x:c>
      <x:c r="P88" s="22" t="n">
        <x:v>451</x:v>
      </x:c>
      <x:c r="Q88" s="22" t="n">
        <x:v>401</x:v>
      </x:c>
      <x:c r="R88" s="22" t="n">
        <x:v>382</x:v>
      </x:c>
      <x:c r="S88" s="22" t="n">
        <x:v>382</x:v>
      </x:c>
      <x:c r="T88" s="22" t="n">
        <x:v>0.05</x:v>
      </x:c>
      <x:c r="U88" s="22" t="n">
        <x:v>17</x:v>
      </x:c>
      <x:c r="V88" s="22" t="n">
        <x:v>116</x:v>
      </x:c>
      <x:c r="W88" s="22" t="n">
        <x:v>75</x:v>
      </x:c>
      <x:c r="X88" s="22" t="n">
        <x:v>20</x:v>
      </x:c>
      <x:c r="Y88" s="22" t="n">
        <x:v>183</x:v>
      </x:c>
      <x:c r="Z88" s="22" t="n">
        <x:v>0</x:v>
      </x:c>
      <x:c r="AA88" s="22" t="n">
        <x:v>12</x:v>
      </x:c>
      <x:c r="AB88" s="22" t="n">
        <x:v>0</x:v>
      </x:c>
      <x:c r="AC88" s="22" t="n">
        <x:v>0</x:v>
      </x:c>
      <x:c r="AD88" s="22" t="n">
        <x:v>32</x:v>
      </x:c>
      <x:c r="AE88" s="22" t="n">
        <x:v>6</x:v>
      </x:c>
      <x:c r="AF88" s="22" t="n">
        <x:v>83</x:v>
      </x:c>
      <x:c r="AG88" s="22" t="n">
        <x:v>7</x:v>
      </x:c>
      <x:c r="AH88" s="22" t="n">
        <x:v>8</x:v>
      </x:c>
      <x:c r="AI88" s="22" t="n">
        <x:v>16.5</x:v>
      </x:c>
      <x:c r="AJ88" s="22" t="n">
        <x:v>2</x:v>
      </x:c>
      <x:c r="AK88" s="22" t="n">
        <x:v>0</x:v>
      </x:c>
      <x:c r="AL88" s="22" t="n">
        <x:v>338</x:v>
      </x:c>
      <x:c r="AM88" s="22" t="n">
        <x:v>45</x:v>
      </x:c>
      <x:c r="AN88" s="22" t="n">
        <x:v>4</x:v>
      </x:c>
      <x:c r="AO88" s="22" t="n">
        <x:v>3</x:v>
      </x:c>
      <x:c r="AP88" s="22" t="n">
        <x:v>1400</x:v>
      </x:c>
      <x:c r="AQ88" s="22" t="n">
        <x:v>16</x:v>
      </x:c>
      <x:c r="AR88" s="22" t="n">
        <x:v>0</x:v>
      </x:c>
      <x:c r="AS88" s="22" t="n">
        <x:v>10</x:v>
      </x:c>
      <x:c r="AT88" s="22" t="n">
        <x:v>10</x:v>
      </x:c>
      <x:c r="AU88" s="22" t="n">
        <x:v>0</x:v>
      </x:c>
      <x:c r="AV88" s="22" t="n">
        <x:v>0</x:v>
      </x:c>
      <x:c r="AW88" s="22" t="n">
        <x:v>0</x:v>
      </x:c>
    </x:row>
    <x:row r="89" ht="24" customHeight="1">
      <x:c r="A89" s="22" t="str">
        <x:v>P0085</x:v>
      </x:c>
      <x:c r="B89" s="22" t="n">
        <x:v>3</x:v>
      </x:c>
      <x:c r="C89" s="22" t="n">
        <x:v>4</x:v>
      </x:c>
      <x:c r="D89" s="22" t="str">
        <x:v>古战场遗迹BOSS装备快线</x:v>
      </x:c>
      <x:c r="E89" s="22" t="n">
        <x:v>5449</x:v>
      </x:c>
      <x:c r="F89" s="22" t="n">
        <x:v>6550</x:v>
      </x:c>
      <x:c r="G89" s="22" t="n">
        <x:v>5427</x:v>
      </x:c>
      <x:c r="H89" s="22" t="n">
        <x:v>6516</x:v>
      </x:c>
      <x:c r="I89" s="22" t="n">
        <x:v>5400</x:v>
      </x:c>
      <x:c r="J89" s="22" t="n">
        <x:v>6489</x:v>
      </x:c>
      <x:c r="K89" s="22" t="n">
        <x:v>869000</x:v>
      </x:c>
      <x:c r="L89" s="22" t="n">
        <x:v>80400</x:v>
      </x:c>
      <x:c r="M89" s="22" t="n">
        <x:v>337</x:v>
      </x:c>
      <x:c r="N89" s="22" t="n">
        <x:v>606</x:v>
      </x:c>
      <x:c r="O89" s="22" t="n">
        <x:v>275</x:v>
      </x:c>
      <x:c r="P89" s="22" t="n">
        <x:v>494</x:v>
      </x:c>
      <x:c r="Q89" s="22" t="n">
        <x:v>417</x:v>
      </x:c>
      <x:c r="R89" s="22" t="n">
        <x:v>417</x:v>
      </x:c>
      <x:c r="S89" s="22" t="n">
        <x:v>417</x:v>
      </x:c>
      <x:c r="T89" s="22" t="n">
        <x:v>0.05</x:v>
      </x:c>
      <x:c r="U89" s="22" t="n">
        <x:v>17</x:v>
      </x:c>
      <x:c r="V89" s="22" t="n">
        <x:v>132</x:v>
      </x:c>
      <x:c r="W89" s="22" t="n">
        <x:v>83</x:v>
      </x:c>
      <x:c r="X89" s="22" t="n">
        <x:v>20</x:v>
      </x:c>
      <x:c r="Y89" s="22" t="n">
        <x:v>201</x:v>
      </x:c>
      <x:c r="Z89" s="22" t="n">
        <x:v>0</x:v>
      </x:c>
      <x:c r="AA89" s="22" t="n">
        <x:v>18</x:v>
      </x:c>
      <x:c r="AB89" s="22" t="n">
        <x:v>0</x:v>
      </x:c>
      <x:c r="AC89" s="22" t="n">
        <x:v>0</x:v>
      </x:c>
      <x:c r="AD89" s="22" t="n">
        <x:v>34</x:v>
      </x:c>
      <x:c r="AE89" s="22" t="n">
        <x:v>7</x:v>
      </x:c>
      <x:c r="AF89" s="22" t="n">
        <x:v>87</x:v>
      </x:c>
      <x:c r="AG89" s="22" t="n">
        <x:v>7</x:v>
      </x:c>
      <x:c r="AH89" s="22" t="n">
        <x:v>8</x:v>
      </x:c>
      <x:c r="AI89" s="22" t="n">
        <x:v>16.5</x:v>
      </x:c>
      <x:c r="AJ89" s="22" t="n">
        <x:v>4</x:v>
      </x:c>
      <x:c r="AK89" s="22" t="n">
        <x:v>1</x:v>
      </x:c>
      <x:c r="AL89" s="22" t="n">
        <x:v>355</x:v>
      </x:c>
      <x:c r="AM89" s="22" t="n">
        <x:v>54</x:v>
      </x:c>
      <x:c r="AN89" s="22" t="n">
        <x:v>5</x:v>
      </x:c>
      <x:c r="AO89" s="22" t="n">
        <x:v>5</x:v>
      </x:c>
      <x:c r="AP89" s="22" t="n">
        <x:v>1660</x:v>
      </x:c>
      <x:c r="AQ89" s="22" t="n">
        <x:v>17</x:v>
      </x:c>
      <x:c r="AR89" s="22" t="n">
        <x:v>0</x:v>
      </x:c>
      <x:c r="AS89" s="22" t="n">
        <x:v>10</x:v>
      </x:c>
      <x:c r="AT89" s="22" t="n">
        <x:v>10</x:v>
      </x:c>
      <x:c r="AU89" s="22" t="n">
        <x:v>0</x:v>
      </x:c>
      <x:c r="AV89" s="22" t="n">
        <x:v>9</x:v>
      </x:c>
      <x:c r="AW89" s="22" t="n">
        <x:v>0</x:v>
      </x:c>
    </x:row>
    <x:row r="90" ht="24" customHeight="1">
      <x:c r="A90" s="22" t="str">
        <x:v>P0086</x:v>
      </x:c>
      <x:c r="B90" s="22" t="n">
        <x:v>3</x:v>
      </x:c>
      <x:c r="C90" s="22" t="n">
        <x:v>4</x:v>
      </x:c>
      <x:c r="D90" s="22" t="str">
        <x:v>古战场遗迹阶段积累后</x:v>
      </x:c>
      <x:c r="E90" s="22" t="n">
        <x:v>5169</x:v>
      </x:c>
      <x:c r="F90" s="22" t="n">
        <x:v>5986</x:v>
      </x:c>
      <x:c r="G90" s="22" t="n">
        <x:v>5147</x:v>
      </x:c>
      <x:c r="H90" s="22" t="n">
        <x:v>5952</x:v>
      </x:c>
      <x:c r="I90" s="22" t="n">
        <x:v>5120</x:v>
      </x:c>
      <x:c r="J90" s="22" t="n">
        <x:v>5925</x:v>
      </x:c>
      <x:c r="K90" s="22" t="n">
        <x:v>780400</x:v>
      </x:c>
      <x:c r="L90" s="22" t="n">
        <x:v>80400</x:v>
      </x:c>
      <x:c r="M90" s="22" t="n">
        <x:v>308</x:v>
      </x:c>
      <x:c r="N90" s="22" t="n">
        <x:v>552</x:v>
      </x:c>
      <x:c r="O90" s="22" t="n">
        <x:v>251</x:v>
      </x:c>
      <x:c r="P90" s="22" t="n">
        <x:v>451</x:v>
      </x:c>
      <x:c r="Q90" s="22" t="n">
        <x:v>401</x:v>
      </x:c>
      <x:c r="R90" s="22" t="n">
        <x:v>382</x:v>
      </x:c>
      <x:c r="S90" s="22" t="n">
        <x:v>382</x:v>
      </x:c>
      <x:c r="T90" s="22" t="n">
        <x:v>0.05</x:v>
      </x:c>
      <x:c r="U90" s="22" t="n">
        <x:v>17</x:v>
      </x:c>
      <x:c r="V90" s="22" t="n">
        <x:v>116</x:v>
      </x:c>
      <x:c r="W90" s="22" t="n">
        <x:v>75</x:v>
      </x:c>
      <x:c r="X90" s="22" t="n">
        <x:v>20</x:v>
      </x:c>
      <x:c r="Y90" s="22" t="n">
        <x:v>183</x:v>
      </x:c>
      <x:c r="Z90" s="22" t="n">
        <x:v>0</x:v>
      </x:c>
      <x:c r="AA90" s="22" t="n">
        <x:v>12</x:v>
      </x:c>
      <x:c r="AB90" s="22" t="n">
        <x:v>0</x:v>
      </x:c>
      <x:c r="AC90" s="22" t="n">
        <x:v>0</x:v>
      </x:c>
      <x:c r="AD90" s="22" t="n">
        <x:v>32</x:v>
      </x:c>
      <x:c r="AE90" s="22" t="n">
        <x:v>6</x:v>
      </x:c>
      <x:c r="AF90" s="22" t="n">
        <x:v>83</x:v>
      </x:c>
      <x:c r="AG90" s="22" t="n">
        <x:v>7</x:v>
      </x:c>
      <x:c r="AH90" s="22" t="n">
        <x:v>8</x:v>
      </x:c>
      <x:c r="AI90" s="22" t="n">
        <x:v>16.5</x:v>
      </x:c>
      <x:c r="AJ90" s="22" t="n">
        <x:v>2</x:v>
      </x:c>
      <x:c r="AK90" s="22" t="n">
        <x:v>0</x:v>
      </x:c>
      <x:c r="AL90" s="22" t="n">
        <x:v>338</x:v>
      </x:c>
      <x:c r="AM90" s="22" t="n">
        <x:v>45</x:v>
      </x:c>
      <x:c r="AN90" s="22" t="n">
        <x:v>4</x:v>
      </x:c>
      <x:c r="AO90" s="22" t="n">
        <x:v>3</x:v>
      </x:c>
      <x:c r="AP90" s="22" t="n">
        <x:v>1400</x:v>
      </x:c>
      <x:c r="AQ90" s="22" t="n">
        <x:v>16</x:v>
      </x:c>
      <x:c r="AR90" s="22" t="n">
        <x:v>0</x:v>
      </x:c>
      <x:c r="AS90" s="22" t="n">
        <x:v>10</x:v>
      </x:c>
      <x:c r="AT90" s="22" t="n">
        <x:v>10</x:v>
      </x:c>
      <x:c r="AU90" s="22" t="n">
        <x:v>0</x:v>
      </x:c>
      <x:c r="AV90" s="22" t="n">
        <x:v>0</x:v>
      </x:c>
      <x:c r="AW90" s="22" t="n">
        <x:v>0</x:v>
      </x:c>
    </x:row>
    <x:row r="91" ht="24" customHeight="1">
      <x:c r="A91" s="22" t="str">
        <x:v>P0087</x:v>
      </x:c>
      <x:c r="B91" s="22" t="n">
        <x:v>3</x:v>
      </x:c>
      <x:c r="C91" s="22" t="n">
        <x:v>5</x:v>
      </x:c>
      <x:c r="D91" s="22" t="str">
        <x:v>C03G05入场</x:v>
      </x:c>
      <x:c r="E91" s="22" t="n">
        <x:v>5169</x:v>
      </x:c>
      <x:c r="F91" s="22" t="n">
        <x:v>5986</x:v>
      </x:c>
      <x:c r="G91" s="22" t="n">
        <x:v>5147</x:v>
      </x:c>
      <x:c r="H91" s="22" t="n">
        <x:v>5952</x:v>
      </x:c>
      <x:c r="I91" s="22" t="n">
        <x:v>5120</x:v>
      </x:c>
      <x:c r="J91" s="22" t="n">
        <x:v>5925</x:v>
      </x:c>
      <x:c r="K91" s="22" t="n">
        <x:v>780400</x:v>
      </x:c>
      <x:c r="L91" s="22" t="n">
        <x:v>80400</x:v>
      </x:c>
      <x:c r="M91" s="22" t="n">
        <x:v>308</x:v>
      </x:c>
      <x:c r="N91" s="22" t="n">
        <x:v>552</x:v>
      </x:c>
      <x:c r="O91" s="22" t="n">
        <x:v>251</x:v>
      </x:c>
      <x:c r="P91" s="22" t="n">
        <x:v>451</x:v>
      </x:c>
      <x:c r="Q91" s="22" t="n">
        <x:v>401</x:v>
      </x:c>
      <x:c r="R91" s="22" t="n">
        <x:v>382</x:v>
      </x:c>
      <x:c r="S91" s="22" t="n">
        <x:v>382</x:v>
      </x:c>
      <x:c r="T91" s="22" t="n">
        <x:v>0.05</x:v>
      </x:c>
      <x:c r="U91" s="22" t="n">
        <x:v>17</x:v>
      </x:c>
      <x:c r="V91" s="22" t="n">
        <x:v>116</x:v>
      </x:c>
      <x:c r="W91" s="22" t="n">
        <x:v>75</x:v>
      </x:c>
      <x:c r="X91" s="22" t="n">
        <x:v>20</x:v>
      </x:c>
      <x:c r="Y91" s="22" t="n">
        <x:v>183</x:v>
      </x:c>
      <x:c r="Z91" s="22" t="n">
        <x:v>0</x:v>
      </x:c>
      <x:c r="AA91" s="22" t="n">
        <x:v>12</x:v>
      </x:c>
      <x:c r="AB91" s="22" t="n">
        <x:v>0</x:v>
      </x:c>
      <x:c r="AC91" s="22" t="n">
        <x:v>0</x:v>
      </x:c>
      <x:c r="AD91" s="22" t="n">
        <x:v>32</x:v>
      </x:c>
      <x:c r="AE91" s="22" t="n">
        <x:v>6</x:v>
      </x:c>
      <x:c r="AF91" s="22" t="n">
        <x:v>83</x:v>
      </x:c>
      <x:c r="AG91" s="22" t="n">
        <x:v>7</x:v>
      </x:c>
      <x:c r="AH91" s="22" t="n">
        <x:v>8</x:v>
      </x:c>
      <x:c r="AI91" s="22" t="n">
        <x:v>16.5</x:v>
      </x:c>
      <x:c r="AJ91" s="22" t="n">
        <x:v>2</x:v>
      </x:c>
      <x:c r="AK91" s="22" t="n">
        <x:v>0</x:v>
      </x:c>
      <x:c r="AL91" s="22" t="n">
        <x:v>338</x:v>
      </x:c>
      <x:c r="AM91" s="22" t="n">
        <x:v>45</x:v>
      </x:c>
      <x:c r="AN91" s="22" t="n">
        <x:v>4</x:v>
      </x:c>
      <x:c r="AO91" s="22" t="n">
        <x:v>3</x:v>
      </x:c>
      <x:c r="AP91" s="22" t="n">
        <x:v>1400</x:v>
      </x:c>
      <x:c r="AQ91" s="22" t="n">
        <x:v>16</x:v>
      </x:c>
      <x:c r="AR91" s="22" t="n">
        <x:v>0</x:v>
      </x:c>
      <x:c r="AS91" s="22" t="n">
        <x:v>10</x:v>
      </x:c>
      <x:c r="AT91" s="22" t="n">
        <x:v>10</x:v>
      </x:c>
      <x:c r="AU91" s="22" t="n">
        <x:v>0</x:v>
      </x:c>
      <x:c r="AV91" s="22" t="n">
        <x:v>0</x:v>
      </x:c>
      <x:c r="AW91" s="22" t="n">
        <x:v>0</x:v>
      </x:c>
    </x:row>
    <x:row r="92" ht="24" customHeight="1">
      <x:c r="A92" s="22" t="str">
        <x:v>P0088</x:v>
      </x:c>
      <x:c r="B92" s="22" t="n">
        <x:v>3</x:v>
      </x:c>
      <x:c r="C92" s="22" t="n">
        <x:v>5</x:v>
      </x:c>
      <x:c r="D92" s="22" t="str">
        <x:v>C03G05普通专属4/6</x:v>
      </x:c>
      <x:c r="E92" s="22" t="n">
        <x:v>5172</x:v>
      </x:c>
      <x:c r="F92" s="22" t="n">
        <x:v>5991</x:v>
      </x:c>
      <x:c r="G92" s="22" t="n">
        <x:v>5150</x:v>
      </x:c>
      <x:c r="H92" s="22" t="n">
        <x:v>5957</x:v>
      </x:c>
      <x:c r="I92" s="22" t="n">
        <x:v>5123</x:v>
      </x:c>
      <x:c r="J92" s="22" t="n">
        <x:v>5930</x:v>
      </x:c>
      <x:c r="K92" s="22" t="n">
        <x:v>782100</x:v>
      </x:c>
      <x:c r="L92" s="22" t="n">
        <x:v>80400</x:v>
      </x:c>
      <x:c r="M92" s="22" t="n">
        <x:v>309</x:v>
      </x:c>
      <x:c r="N92" s="22" t="n">
        <x:v>554</x:v>
      </x:c>
      <x:c r="O92" s="22" t="n">
        <x:v>252</x:v>
      </x:c>
      <x:c r="P92" s="22" t="n">
        <x:v>453</x:v>
      </x:c>
      <x:c r="Q92" s="22" t="n">
        <x:v>402</x:v>
      </x:c>
      <x:c r="R92" s="22" t="n">
        <x:v>383</x:v>
      </x:c>
      <x:c r="S92" s="22" t="n">
        <x:v>383</x:v>
      </x:c>
      <x:c r="T92" s="22" t="n">
        <x:v>0.05</x:v>
      </x:c>
      <x:c r="U92" s="22" t="n">
        <x:v>17</x:v>
      </x:c>
      <x:c r="V92" s="22" t="n">
        <x:v>116</x:v>
      </x:c>
      <x:c r="W92" s="22" t="n">
        <x:v>75</x:v>
      </x:c>
      <x:c r="X92" s="22" t="n">
        <x:v>20</x:v>
      </x:c>
      <x:c r="Y92" s="22" t="n">
        <x:v>183</x:v>
      </x:c>
      <x:c r="Z92" s="22" t="n">
        <x:v>0</x:v>
      </x:c>
      <x:c r="AA92" s="22" t="n">
        <x:v>12</x:v>
      </x:c>
      <x:c r="AB92" s="22" t="n">
        <x:v>0</x:v>
      </x:c>
      <x:c r="AC92" s="22" t="n">
        <x:v>0</x:v>
      </x:c>
      <x:c r="AD92" s="22" t="n">
        <x:v>32</x:v>
      </x:c>
      <x:c r="AE92" s="22" t="n">
        <x:v>6</x:v>
      </x:c>
      <x:c r="AF92" s="22" t="n">
        <x:v>83</x:v>
      </x:c>
      <x:c r="AG92" s="22" t="n">
        <x:v>7</x:v>
      </x:c>
      <x:c r="AH92" s="22" t="n">
        <x:v>8</x:v>
      </x:c>
      <x:c r="AI92" s="22" t="n">
        <x:v>16.5</x:v>
      </x:c>
      <x:c r="AJ92" s="22" t="n">
        <x:v>2</x:v>
      </x:c>
      <x:c r="AK92" s="22" t="n">
        <x:v>0</x:v>
      </x:c>
      <x:c r="AL92" s="22" t="n">
        <x:v>338</x:v>
      </x:c>
      <x:c r="AM92" s="22" t="n">
        <x:v>45</x:v>
      </x:c>
      <x:c r="AN92" s="22" t="n">
        <x:v>4</x:v>
      </x:c>
      <x:c r="AO92" s="22" t="n">
        <x:v>3</x:v>
      </x:c>
      <x:c r="AP92" s="22" t="n">
        <x:v>1400</x:v>
      </x:c>
      <x:c r="AQ92" s="22" t="n">
        <x:v>16</x:v>
      </x:c>
      <x:c r="AR92" s="22" t="n">
        <x:v>0</x:v>
      </x:c>
      <x:c r="AS92" s="22" t="n">
        <x:v>10</x:v>
      </x:c>
      <x:c r="AT92" s="22" t="n">
        <x:v>10</x:v>
      </x:c>
      <x:c r="AU92" s="22" t="n">
        <x:v>0</x:v>
      </x:c>
      <x:c r="AV92" s="22" t="n">
        <x:v>0</x:v>
      </x:c>
      <x:c r="AW92" s="22" t="n">
        <x:v>0</x:v>
      </x:c>
    </x:row>
    <x:row r="93" ht="24" customHeight="1">
      <x:c r="A93" s="22" t="str">
        <x:v>P0089</x:v>
      </x:c>
      <x:c r="B93" s="22" t="n">
        <x:v>3</x:v>
      </x:c>
      <x:c r="C93" s="22" t="n">
        <x:v>5</x:v>
      </x:c>
      <x:c r="D93" s="22" t="str">
        <x:v>无归守将·布兰挑战前</x:v>
      </x:c>
      <x:c r="E93" s="22" t="n">
        <x:v>5522</x:v>
      </x:c>
      <x:c r="F93" s="22" t="n">
        <x:v>6341</x:v>
      </x:c>
      <x:c r="G93" s="22" t="n">
        <x:v>5500</x:v>
      </x:c>
      <x:c r="H93" s="22" t="n">
        <x:v>6307</x:v>
      </x:c>
      <x:c r="I93" s="22" t="n">
        <x:v>5473</x:v>
      </x:c>
      <x:c r="J93" s="22" t="n">
        <x:v>6280</x:v>
      </x:c>
      <x:c r="K93" s="22" t="n">
        <x:v>817100</x:v>
      </x:c>
      <x:c r="L93" s="22" t="n">
        <x:v>80400</x:v>
      </x:c>
      <x:c r="M93" s="22" t="n">
        <x:v>309</x:v>
      </x:c>
      <x:c r="N93" s="22" t="n">
        <x:v>554</x:v>
      </x:c>
      <x:c r="O93" s="22" t="n">
        <x:v>252</x:v>
      </x:c>
      <x:c r="P93" s="22" t="n">
        <x:v>453</x:v>
      </x:c>
      <x:c r="Q93" s="22" t="n">
        <x:v>402</x:v>
      </x:c>
      <x:c r="R93" s="22" t="n">
        <x:v>383</x:v>
      </x:c>
      <x:c r="S93" s="22" t="n">
        <x:v>383</x:v>
      </x:c>
      <x:c r="T93" s="22" t="n">
        <x:v>0.05</x:v>
      </x:c>
      <x:c r="U93" s="22" t="n">
        <x:v>17</x:v>
      </x:c>
      <x:c r="V93" s="22" t="n">
        <x:v>116</x:v>
      </x:c>
      <x:c r="W93" s="22" t="n">
        <x:v>75</x:v>
      </x:c>
      <x:c r="X93" s="22" t="n">
        <x:v>20</x:v>
      </x:c>
      <x:c r="Y93" s="22" t="n">
        <x:v>183</x:v>
      </x:c>
      <x:c r="Z93" s="22" t="n">
        <x:v>0</x:v>
      </x:c>
      <x:c r="AA93" s="22" t="n">
        <x:v>12</x:v>
      </x:c>
      <x:c r="AB93" s="22" t="n">
        <x:v>0</x:v>
      </x:c>
      <x:c r="AC93" s="22" t="n">
        <x:v>0</x:v>
      </x:c>
      <x:c r="AD93" s="22" t="n">
        <x:v>32</x:v>
      </x:c>
      <x:c r="AE93" s="22" t="n">
        <x:v>6</x:v>
      </x:c>
      <x:c r="AF93" s="22" t="n">
        <x:v>83</x:v>
      </x:c>
      <x:c r="AG93" s="22" t="n">
        <x:v>7</x:v>
      </x:c>
      <x:c r="AH93" s="22" t="n">
        <x:v>8</x:v>
      </x:c>
      <x:c r="AI93" s="22" t="n">
        <x:v>16.5</x:v>
      </x:c>
      <x:c r="AJ93" s="22" t="n">
        <x:v>2</x:v>
      </x:c>
      <x:c r="AK93" s="22" t="n">
        <x:v>0</x:v>
      </x:c>
      <x:c r="AL93" s="22" t="n">
        <x:v>338</x:v>
      </x:c>
      <x:c r="AM93" s="22" t="n">
        <x:v>45</x:v>
      </x:c>
      <x:c r="AN93" s="22" t="n">
        <x:v>4</x:v>
      </x:c>
      <x:c r="AO93" s="22" t="n">
        <x:v>3</x:v>
      </x:c>
      <x:c r="AP93" s="22" t="n">
        <x:v>1400</x:v>
      </x:c>
      <x:c r="AQ93" s="22" t="n">
        <x:v>16</x:v>
      </x:c>
      <x:c r="AR93" s="22" t="n">
        <x:v>0</x:v>
      </x:c>
      <x:c r="AS93" s="22" t="n">
        <x:v>10</x:v>
      </x:c>
      <x:c r="AT93" s="22" t="n">
        <x:v>10</x:v>
      </x:c>
      <x:c r="AU93" s="22" t="n">
        <x:v>0</x:v>
      </x:c>
      <x:c r="AV93" s="22" t="n">
        <x:v>0</x:v>
      </x:c>
      <x:c r="AW93" s="22" t="n">
        <x:v>0</x:v>
      </x:c>
    </x:row>
    <x:row r="94" ht="24" customHeight="1">
      <x:c r="A94" s="22" t="str">
        <x:v>P0090</x:v>
      </x:c>
      <x:c r="B94" s="22" t="n">
        <x:v>3</x:v>
      </x:c>
      <x:c r="C94" s="22" t="n">
        <x:v>5</x:v>
      </x:c>
      <x:c r="D94" s="22" t="str">
        <x:v>古垒石王·迦姆挑战前</x:v>
      </x:c>
      <x:c r="E94" s="22" t="n">
        <x:v>5522</x:v>
      </x:c>
      <x:c r="F94" s="22" t="n">
        <x:v>6341</x:v>
      </x:c>
      <x:c r="G94" s="22" t="n">
        <x:v>5500</x:v>
      </x:c>
      <x:c r="H94" s="22" t="n">
        <x:v>6307</x:v>
      </x:c>
      <x:c r="I94" s="22" t="n">
        <x:v>5473</x:v>
      </x:c>
      <x:c r="J94" s="22" t="n">
        <x:v>6280</x:v>
      </x:c>
      <x:c r="K94" s="22" t="n">
        <x:v>817100</x:v>
      </x:c>
      <x:c r="L94" s="22" t="n">
        <x:v>80400</x:v>
      </x:c>
      <x:c r="M94" s="22" t="n">
        <x:v>309</x:v>
      </x:c>
      <x:c r="N94" s="22" t="n">
        <x:v>554</x:v>
      </x:c>
      <x:c r="O94" s="22" t="n">
        <x:v>252</x:v>
      </x:c>
      <x:c r="P94" s="22" t="n">
        <x:v>453</x:v>
      </x:c>
      <x:c r="Q94" s="22" t="n">
        <x:v>402</x:v>
      </x:c>
      <x:c r="R94" s="22" t="n">
        <x:v>383</x:v>
      </x:c>
      <x:c r="S94" s="22" t="n">
        <x:v>383</x:v>
      </x:c>
      <x:c r="T94" s="22" t="n">
        <x:v>0.05</x:v>
      </x:c>
      <x:c r="U94" s="22" t="n">
        <x:v>17</x:v>
      </x:c>
      <x:c r="V94" s="22" t="n">
        <x:v>116</x:v>
      </x:c>
      <x:c r="W94" s="22" t="n">
        <x:v>75</x:v>
      </x:c>
      <x:c r="X94" s="22" t="n">
        <x:v>20</x:v>
      </x:c>
      <x:c r="Y94" s="22" t="n">
        <x:v>183</x:v>
      </x:c>
      <x:c r="Z94" s="22" t="n">
        <x:v>0</x:v>
      </x:c>
      <x:c r="AA94" s="22" t="n">
        <x:v>12</x:v>
      </x:c>
      <x:c r="AB94" s="22" t="n">
        <x:v>0</x:v>
      </x:c>
      <x:c r="AC94" s="22" t="n">
        <x:v>0</x:v>
      </x:c>
      <x:c r="AD94" s="22" t="n">
        <x:v>32</x:v>
      </x:c>
      <x:c r="AE94" s="22" t="n">
        <x:v>6</x:v>
      </x:c>
      <x:c r="AF94" s="22" t="n">
        <x:v>83</x:v>
      </x:c>
      <x:c r="AG94" s="22" t="n">
        <x:v>7</x:v>
      </x:c>
      <x:c r="AH94" s="22" t="n">
        <x:v>8</x:v>
      </x:c>
      <x:c r="AI94" s="22" t="n">
        <x:v>16.5</x:v>
      </x:c>
      <x:c r="AJ94" s="22" t="n">
        <x:v>2</x:v>
      </x:c>
      <x:c r="AK94" s="22" t="n">
        <x:v>0</x:v>
      </x:c>
      <x:c r="AL94" s="22" t="n">
        <x:v>338</x:v>
      </x:c>
      <x:c r="AM94" s="22" t="n">
        <x:v>45</x:v>
      </x:c>
      <x:c r="AN94" s="22" t="n">
        <x:v>4</x:v>
      </x:c>
      <x:c r="AO94" s="22" t="n">
        <x:v>3</x:v>
      </x:c>
      <x:c r="AP94" s="22" t="n">
        <x:v>1400</x:v>
      </x:c>
      <x:c r="AQ94" s="22" t="n">
        <x:v>16</x:v>
      </x:c>
      <x:c r="AR94" s="22" t="n">
        <x:v>0</x:v>
      </x:c>
      <x:c r="AS94" s="22" t="n">
        <x:v>10</x:v>
      </x:c>
      <x:c r="AT94" s="22" t="n">
        <x:v>10</x:v>
      </x:c>
      <x:c r="AU94" s="22" t="n">
        <x:v>0</x:v>
      </x:c>
      <x:c r="AV94" s="22" t="n">
        <x:v>0</x:v>
      </x:c>
      <x:c r="AW94" s="22" t="n">
        <x:v>0</x:v>
      </x:c>
    </x:row>
    <x:row r="95" ht="24" customHeight="1">
      <x:c r="A95" s="22" t="str">
        <x:v>P0091</x:v>
      </x:c>
      <x:c r="B95" s="22" t="n">
        <x:v>3</x:v>
      </x:c>
      <x:c r="C95" s="22" t="n">
        <x:v>5</x:v>
      </x:c>
      <x:c r="D95" s="22" t="str">
        <x:v>风蚀古垒BOSS装备快线</x:v>
      </x:c>
      <x:c r="E95" s="22" t="n">
        <x:v>5891</x:v>
      </x:c>
      <x:c r="F95" s="22" t="n">
        <x:v>7066</x:v>
      </x:c>
      <x:c r="G95" s="22" t="n">
        <x:v>5869</x:v>
      </x:c>
      <x:c r="H95" s="22" t="n">
        <x:v>7032</x:v>
      </x:c>
      <x:c r="I95" s="22" t="n">
        <x:v>5842</x:v>
      </x:c>
      <x:c r="J95" s="22" t="n">
        <x:v>7005</x:v>
      </x:c>
      <x:c r="K95" s="22" t="n">
        <x:v>910200</x:v>
      </x:c>
      <x:c r="L95" s="22" t="n">
        <x:v>80400</x:v>
      </x:c>
      <x:c r="M95" s="22" t="n">
        <x:v>339</x:v>
      </x:c>
      <x:c r="N95" s="22" t="n">
        <x:v>608</x:v>
      </x:c>
      <x:c r="O95" s="22" t="n">
        <x:v>277</x:v>
      </x:c>
      <x:c r="P95" s="22" t="n">
        <x:v>498</x:v>
      </x:c>
      <x:c r="Q95" s="22" t="n">
        <x:v>388</x:v>
      </x:c>
      <x:c r="R95" s="22" t="n">
        <x:v>388</x:v>
      </x:c>
      <x:c r="S95" s="22" t="n">
        <x:v>388</x:v>
      </x:c>
      <x:c r="T95" s="22" t="n">
        <x:v>0.05</x:v>
      </x:c>
      <x:c r="U95" s="22" t="n">
        <x:v>17</x:v>
      </x:c>
      <x:c r="V95" s="22" t="n">
        <x:v>143</x:v>
      </x:c>
      <x:c r="W95" s="22" t="n">
        <x:v>80</x:v>
      </x:c>
      <x:c r="X95" s="22" t="n">
        <x:v>20</x:v>
      </x:c>
      <x:c r="Y95" s="22" t="n">
        <x:v>208</x:v>
      </x:c>
      <x:c r="Z95" s="22" t="n">
        <x:v>0</x:v>
      </x:c>
      <x:c r="AA95" s="22" t="n">
        <x:v>18</x:v>
      </x:c>
      <x:c r="AB95" s="22" t="n">
        <x:v>0</x:v>
      </x:c>
      <x:c r="AC95" s="22" t="n">
        <x:v>0</x:v>
      </x:c>
      <x:c r="AD95" s="22" t="n">
        <x:v>34</x:v>
      </x:c>
      <x:c r="AE95" s="22" t="n">
        <x:v>7</x:v>
      </x:c>
      <x:c r="AF95" s="22" t="n">
        <x:v>87</x:v>
      </x:c>
      <x:c r="AG95" s="22" t="n">
        <x:v>7</x:v>
      </x:c>
      <x:c r="AH95" s="22" t="n">
        <x:v>8</x:v>
      </x:c>
      <x:c r="AI95" s="22" t="n">
        <x:v>16.5</x:v>
      </x:c>
      <x:c r="AJ95" s="22" t="n">
        <x:v>4</x:v>
      </x:c>
      <x:c r="AK95" s="22" t="n">
        <x:v>1</x:v>
      </x:c>
      <x:c r="AL95" s="22" t="n">
        <x:v>355</x:v>
      </x:c>
      <x:c r="AM95" s="22" t="n">
        <x:v>54</x:v>
      </x:c>
      <x:c r="AN95" s="22" t="n">
        <x:v>5</x:v>
      </x:c>
      <x:c r="AO95" s="22" t="n">
        <x:v>5</x:v>
      </x:c>
      <x:c r="AP95" s="22" t="n">
        <x:v>1660</x:v>
      </x:c>
      <x:c r="AQ95" s="22" t="n">
        <x:v>17</x:v>
      </x:c>
      <x:c r="AR95" s="22" t="n">
        <x:v>0</x:v>
      </x:c>
      <x:c r="AS95" s="22" t="n">
        <x:v>10</x:v>
      </x:c>
      <x:c r="AT95" s="22" t="n">
        <x:v>10</x:v>
      </x:c>
      <x:c r="AU95" s="22" t="n">
        <x:v>0</x:v>
      </x:c>
      <x:c r="AV95" s="22" t="n">
        <x:v>9</x:v>
      </x:c>
      <x:c r="AW95" s="22" t="n">
        <x:v>0</x:v>
      </x:c>
    </x:row>
    <x:row r="96" ht="24" customHeight="1">
      <x:c r="A96" s="22" t="str">
        <x:v>P0092</x:v>
      </x:c>
      <x:c r="B96" s="22" t="n">
        <x:v>3</x:v>
      </x:c>
      <x:c r="C96" s="22" t="n">
        <x:v>5</x:v>
      </x:c>
      <x:c r="D96" s="22" t="str">
        <x:v>风蚀古垒阶段积累后</x:v>
      </x:c>
      <x:c r="E96" s="22" t="n">
        <x:v>5537</x:v>
      </x:c>
      <x:c r="F96" s="22" t="n">
        <x:v>6356</x:v>
      </x:c>
      <x:c r="G96" s="22" t="n">
        <x:v>5515</x:v>
      </x:c>
      <x:c r="H96" s="22" t="n">
        <x:v>6322</x:v>
      </x:c>
      <x:c r="I96" s="22" t="n">
        <x:v>5488</x:v>
      </x:c>
      <x:c r="J96" s="22" t="n">
        <x:v>6295</x:v>
      </x:c>
      <x:c r="K96" s="22" t="n">
        <x:v>818600</x:v>
      </x:c>
      <x:c r="L96" s="22" t="n">
        <x:v>80400</x:v>
      </x:c>
      <x:c r="M96" s="22" t="n">
        <x:v>309</x:v>
      </x:c>
      <x:c r="N96" s="22" t="n">
        <x:v>554</x:v>
      </x:c>
      <x:c r="O96" s="22" t="n">
        <x:v>252</x:v>
      </x:c>
      <x:c r="P96" s="22" t="n">
        <x:v>453</x:v>
      </x:c>
      <x:c r="Q96" s="22" t="n">
        <x:v>402</x:v>
      </x:c>
      <x:c r="R96" s="22" t="n">
        <x:v>383</x:v>
      </x:c>
      <x:c r="S96" s="22" t="n">
        <x:v>383</x:v>
      </x:c>
      <x:c r="T96" s="22" t="n">
        <x:v>0.05</x:v>
      </x:c>
      <x:c r="U96" s="22" t="n">
        <x:v>17</x:v>
      </x:c>
      <x:c r="V96" s="22" t="n">
        <x:v>116</x:v>
      </x:c>
      <x:c r="W96" s="22" t="n">
        <x:v>75</x:v>
      </x:c>
      <x:c r="X96" s="22" t="n">
        <x:v>20</x:v>
      </x:c>
      <x:c r="Y96" s="22" t="n">
        <x:v>183</x:v>
      </x:c>
      <x:c r="Z96" s="22" t="n">
        <x:v>0</x:v>
      </x:c>
      <x:c r="AA96" s="22" t="n">
        <x:v>12</x:v>
      </x:c>
      <x:c r="AB96" s="22" t="n">
        <x:v>0</x:v>
      </x:c>
      <x:c r="AC96" s="22" t="n">
        <x:v>0</x:v>
      </x:c>
      <x:c r="AD96" s="22" t="n">
        <x:v>32</x:v>
      </x:c>
      <x:c r="AE96" s="22" t="n">
        <x:v>6</x:v>
      </x:c>
      <x:c r="AF96" s="22" t="n">
        <x:v>83</x:v>
      </x:c>
      <x:c r="AG96" s="22" t="n">
        <x:v>7</x:v>
      </x:c>
      <x:c r="AH96" s="22" t="n">
        <x:v>8</x:v>
      </x:c>
      <x:c r="AI96" s="22" t="n">
        <x:v>16.5</x:v>
      </x:c>
      <x:c r="AJ96" s="22" t="n">
        <x:v>2</x:v>
      </x:c>
      <x:c r="AK96" s="22" t="n">
        <x:v>0</x:v>
      </x:c>
      <x:c r="AL96" s="22" t="n">
        <x:v>338</x:v>
      </x:c>
      <x:c r="AM96" s="22" t="n">
        <x:v>45</x:v>
      </x:c>
      <x:c r="AN96" s="22" t="n">
        <x:v>4</x:v>
      </x:c>
      <x:c r="AO96" s="22" t="n">
        <x:v>3</x:v>
      </x:c>
      <x:c r="AP96" s="22" t="n">
        <x:v>1400</x:v>
      </x:c>
      <x:c r="AQ96" s="22" t="n">
        <x:v>16</x:v>
      </x:c>
      <x:c r="AR96" s="22" t="n">
        <x:v>0</x:v>
      </x:c>
      <x:c r="AS96" s="22" t="n">
        <x:v>10</x:v>
      </x:c>
      <x:c r="AT96" s="22" t="n">
        <x:v>10</x:v>
      </x:c>
      <x:c r="AU96" s="22" t="n">
        <x:v>0</x:v>
      </x:c>
      <x:c r="AV96" s="22" t="n">
        <x:v>0</x:v>
      </x:c>
      <x:c r="AW96" s="22" t="n">
        <x:v>0</x:v>
      </x:c>
    </x:row>
    <x:row r="97" ht="24" customHeight="1">
      <x:c r="A97" s="22" t="str">
        <x:v>P0093</x:v>
      </x:c>
      <x:c r="B97" s="22" t="n">
        <x:v>3</x:v>
      </x:c>
      <x:c r="C97" s="22" t="n">
        <x:v>6</x:v>
      </x:c>
      <x:c r="D97" s="22" t="str">
        <x:v>C03G06入场</x:v>
      </x:c>
      <x:c r="E97" s="22" t="n">
        <x:v>5537</x:v>
      </x:c>
      <x:c r="F97" s="22" t="n">
        <x:v>6356</x:v>
      </x:c>
      <x:c r="G97" s="22" t="n">
        <x:v>5515</x:v>
      </x:c>
      <x:c r="H97" s="22" t="n">
        <x:v>6322</x:v>
      </x:c>
      <x:c r="I97" s="22" t="n">
        <x:v>5488</x:v>
      </x:c>
      <x:c r="J97" s="22" t="n">
        <x:v>6295</x:v>
      </x:c>
      <x:c r="K97" s="22" t="n">
        <x:v>818600</x:v>
      </x:c>
      <x:c r="L97" s="22" t="n">
        <x:v>80400</x:v>
      </x:c>
      <x:c r="M97" s="22" t="n">
        <x:v>309</x:v>
      </x:c>
      <x:c r="N97" s="22" t="n">
        <x:v>554</x:v>
      </x:c>
      <x:c r="O97" s="22" t="n">
        <x:v>252</x:v>
      </x:c>
      <x:c r="P97" s="22" t="n">
        <x:v>453</x:v>
      </x:c>
      <x:c r="Q97" s="22" t="n">
        <x:v>402</x:v>
      </x:c>
      <x:c r="R97" s="22" t="n">
        <x:v>383</x:v>
      </x:c>
      <x:c r="S97" s="22" t="n">
        <x:v>383</x:v>
      </x:c>
      <x:c r="T97" s="22" t="n">
        <x:v>0.05</x:v>
      </x:c>
      <x:c r="U97" s="22" t="n">
        <x:v>17</x:v>
      </x:c>
      <x:c r="V97" s="22" t="n">
        <x:v>116</x:v>
      </x:c>
      <x:c r="W97" s="22" t="n">
        <x:v>75</x:v>
      </x:c>
      <x:c r="X97" s="22" t="n">
        <x:v>20</x:v>
      </x:c>
      <x:c r="Y97" s="22" t="n">
        <x:v>183</x:v>
      </x:c>
      <x:c r="Z97" s="22" t="n">
        <x:v>0</x:v>
      </x:c>
      <x:c r="AA97" s="22" t="n">
        <x:v>12</x:v>
      </x:c>
      <x:c r="AB97" s="22" t="n">
        <x:v>0</x:v>
      </x:c>
      <x:c r="AC97" s="22" t="n">
        <x:v>0</x:v>
      </x:c>
      <x:c r="AD97" s="22" t="n">
        <x:v>32</x:v>
      </x:c>
      <x:c r="AE97" s="22" t="n">
        <x:v>6</x:v>
      </x:c>
      <x:c r="AF97" s="22" t="n">
        <x:v>83</x:v>
      </x:c>
      <x:c r="AG97" s="22" t="n">
        <x:v>7</x:v>
      </x:c>
      <x:c r="AH97" s="22" t="n">
        <x:v>8</x:v>
      </x:c>
      <x:c r="AI97" s="22" t="n">
        <x:v>16.5</x:v>
      </x:c>
      <x:c r="AJ97" s="22" t="n">
        <x:v>2</x:v>
      </x:c>
      <x:c r="AK97" s="22" t="n">
        <x:v>0</x:v>
      </x:c>
      <x:c r="AL97" s="22" t="n">
        <x:v>338</x:v>
      </x:c>
      <x:c r="AM97" s="22" t="n">
        <x:v>45</x:v>
      </x:c>
      <x:c r="AN97" s="22" t="n">
        <x:v>4</x:v>
      </x:c>
      <x:c r="AO97" s="22" t="n">
        <x:v>3</x:v>
      </x:c>
      <x:c r="AP97" s="22" t="n">
        <x:v>1400</x:v>
      </x:c>
      <x:c r="AQ97" s="22" t="n">
        <x:v>16</x:v>
      </x:c>
      <x:c r="AR97" s="22" t="n">
        <x:v>0</x:v>
      </x:c>
      <x:c r="AS97" s="22" t="n">
        <x:v>10</x:v>
      </x:c>
      <x:c r="AT97" s="22" t="n">
        <x:v>10</x:v>
      </x:c>
      <x:c r="AU97" s="22" t="n">
        <x:v>0</x:v>
      </x:c>
      <x:c r="AV97" s="22" t="n">
        <x:v>0</x:v>
      </x:c>
      <x:c r="AW97" s="22" t="n">
        <x:v>0</x:v>
      </x:c>
    </x:row>
    <x:row r="98" ht="24" customHeight="1">
      <x:c r="A98" s="22" t="str">
        <x:v>P0094</x:v>
      </x:c>
      <x:c r="B98" s="22" t="n">
        <x:v>3</x:v>
      </x:c>
      <x:c r="C98" s="22" t="n">
        <x:v>6</x:v>
      </x:c>
      <x:c r="D98" s="22" t="str">
        <x:v>C03G06普通专属4/6</x:v>
      </x:c>
      <x:c r="E98" s="22" t="n">
        <x:v>5537</x:v>
      </x:c>
      <x:c r="F98" s="22" t="n">
        <x:v>6356</x:v>
      </x:c>
      <x:c r="G98" s="22" t="n">
        <x:v>5515</x:v>
      </x:c>
      <x:c r="H98" s="22" t="n">
        <x:v>6322</x:v>
      </x:c>
      <x:c r="I98" s="22" t="n">
        <x:v>5488</x:v>
      </x:c>
      <x:c r="J98" s="22" t="n">
        <x:v>6295</x:v>
      </x:c>
      <x:c r="K98" s="22" t="n">
        <x:v>818600</x:v>
      </x:c>
      <x:c r="L98" s="22" t="n">
        <x:v>80400</x:v>
      </x:c>
      <x:c r="M98" s="22" t="n">
        <x:v>309</x:v>
      </x:c>
      <x:c r="N98" s="22" t="n">
        <x:v>554</x:v>
      </x:c>
      <x:c r="O98" s="22" t="n">
        <x:v>252</x:v>
      </x:c>
      <x:c r="P98" s="22" t="n">
        <x:v>453</x:v>
      </x:c>
      <x:c r="Q98" s="22" t="n">
        <x:v>402</x:v>
      </x:c>
      <x:c r="R98" s="22" t="n">
        <x:v>383</x:v>
      </x:c>
      <x:c r="S98" s="22" t="n">
        <x:v>383</x:v>
      </x:c>
      <x:c r="T98" s="22" t="n">
        <x:v>0.05</x:v>
      </x:c>
      <x:c r="U98" s="22" t="n">
        <x:v>17</x:v>
      </x:c>
      <x:c r="V98" s="22" t="n">
        <x:v>116</x:v>
      </x:c>
      <x:c r="W98" s="22" t="n">
        <x:v>75</x:v>
      </x:c>
      <x:c r="X98" s="22" t="n">
        <x:v>20</x:v>
      </x:c>
      <x:c r="Y98" s="22" t="n">
        <x:v>183</x:v>
      </x:c>
      <x:c r="Z98" s="22" t="n">
        <x:v>0</x:v>
      </x:c>
      <x:c r="AA98" s="22" t="n">
        <x:v>12</x:v>
      </x:c>
      <x:c r="AB98" s="22" t="n">
        <x:v>0</x:v>
      </x:c>
      <x:c r="AC98" s="22" t="n">
        <x:v>0</x:v>
      </x:c>
      <x:c r="AD98" s="22" t="n">
        <x:v>32</x:v>
      </x:c>
      <x:c r="AE98" s="22" t="n">
        <x:v>6</x:v>
      </x:c>
      <x:c r="AF98" s="22" t="n">
        <x:v>83</x:v>
      </x:c>
      <x:c r="AG98" s="22" t="n">
        <x:v>7</x:v>
      </x:c>
      <x:c r="AH98" s="22" t="n">
        <x:v>8</x:v>
      </x:c>
      <x:c r="AI98" s="22" t="n">
        <x:v>16.5</x:v>
      </x:c>
      <x:c r="AJ98" s="22" t="n">
        <x:v>2</x:v>
      </x:c>
      <x:c r="AK98" s="22" t="n">
        <x:v>0</x:v>
      </x:c>
      <x:c r="AL98" s="22" t="n">
        <x:v>338</x:v>
      </x:c>
      <x:c r="AM98" s="22" t="n">
        <x:v>45</x:v>
      </x:c>
      <x:c r="AN98" s="22" t="n">
        <x:v>4</x:v>
      </x:c>
      <x:c r="AO98" s="22" t="n">
        <x:v>3</x:v>
      </x:c>
      <x:c r="AP98" s="22" t="n">
        <x:v>1400</x:v>
      </x:c>
      <x:c r="AQ98" s="22" t="n">
        <x:v>16</x:v>
      </x:c>
      <x:c r="AR98" s="22" t="n">
        <x:v>0</x:v>
      </x:c>
      <x:c r="AS98" s="22" t="n">
        <x:v>10</x:v>
      </x:c>
      <x:c r="AT98" s="22" t="n">
        <x:v>10</x:v>
      </x:c>
      <x:c r="AU98" s="22" t="n">
        <x:v>0</x:v>
      </x:c>
      <x:c r="AV98" s="22" t="n">
        <x:v>0</x:v>
      </x:c>
      <x:c r="AW98" s="22" t="n">
        <x:v>0</x:v>
      </x:c>
    </x:row>
    <x:row r="99" ht="24" customHeight="1">
      <x:c r="A99" s="22" t="str">
        <x:v>P0095</x:v>
      </x:c>
      <x:c r="B99" s="22" t="n">
        <x:v>3</x:v>
      </x:c>
      <x:c r="C99" s="22" t="n">
        <x:v>6</x:v>
      </x:c>
      <x:c r="D99" s="22" t="str">
        <x:v>金叶统帅·艾德挑战前</x:v>
      </x:c>
      <x:c r="E99" s="22" t="n">
        <x:v>5914</x:v>
      </x:c>
      <x:c r="F99" s="22" t="n">
        <x:v>6736</x:v>
      </x:c>
      <x:c r="G99" s="22" t="n">
        <x:v>5890</x:v>
      </x:c>
      <x:c r="H99" s="22" t="n">
        <x:v>6697</x:v>
      </x:c>
      <x:c r="I99" s="22" t="n">
        <x:v>5863</x:v>
      </x:c>
      <x:c r="J99" s="22" t="n">
        <x:v>6670</x:v>
      </x:c>
      <x:c r="K99" s="22" t="n">
        <x:v>856500</x:v>
      </x:c>
      <x:c r="L99" s="22" t="n">
        <x:v>80500</x:v>
      </x:c>
      <x:c r="M99" s="22" t="n">
        <x:v>309</x:v>
      </x:c>
      <x:c r="N99" s="22" t="n">
        <x:v>554</x:v>
      </x:c>
      <x:c r="O99" s="22" t="n">
        <x:v>252</x:v>
      </x:c>
      <x:c r="P99" s="22" t="n">
        <x:v>453</x:v>
      </x:c>
      <x:c r="Q99" s="22" t="n">
        <x:v>402</x:v>
      </x:c>
      <x:c r="R99" s="22" t="n">
        <x:v>383</x:v>
      </x:c>
      <x:c r="S99" s="22" t="n">
        <x:v>383</x:v>
      </x:c>
      <x:c r="T99" s="22" t="n">
        <x:v>0.05</x:v>
      </x:c>
      <x:c r="U99" s="22" t="n">
        <x:v>17</x:v>
      </x:c>
      <x:c r="V99" s="22" t="n">
        <x:v>116</x:v>
      </x:c>
      <x:c r="W99" s="22" t="n">
        <x:v>75</x:v>
      </x:c>
      <x:c r="X99" s="22" t="n">
        <x:v>20</x:v>
      </x:c>
      <x:c r="Y99" s="22" t="n">
        <x:v>183</x:v>
      </x:c>
      <x:c r="Z99" s="22" t="n">
        <x:v>0</x:v>
      </x:c>
      <x:c r="AA99" s="22" t="n">
        <x:v>12</x:v>
      </x:c>
      <x:c r="AB99" s="22" t="n">
        <x:v>0</x:v>
      </x:c>
      <x:c r="AC99" s="22" t="n">
        <x:v>0</x:v>
      </x:c>
      <x:c r="AD99" s="22" t="n">
        <x:v>32</x:v>
      </x:c>
      <x:c r="AE99" s="22" t="n">
        <x:v>6</x:v>
      </x:c>
      <x:c r="AF99" s="22" t="n">
        <x:v>83</x:v>
      </x:c>
      <x:c r="AG99" s="22" t="n">
        <x:v>7</x:v>
      </x:c>
      <x:c r="AH99" s="22" t="n">
        <x:v>8</x:v>
      </x:c>
      <x:c r="AI99" s="22" t="n">
        <x:v>16.5</x:v>
      </x:c>
      <x:c r="AJ99" s="22" t="n">
        <x:v>2</x:v>
      </x:c>
      <x:c r="AK99" s="22" t="n">
        <x:v>0</x:v>
      </x:c>
      <x:c r="AL99" s="22" t="n">
        <x:v>338</x:v>
      </x:c>
      <x:c r="AM99" s="22" t="n">
        <x:v>45</x:v>
      </x:c>
      <x:c r="AN99" s="22" t="n">
        <x:v>4</x:v>
      </x:c>
      <x:c r="AO99" s="22" t="n">
        <x:v>3</x:v>
      </x:c>
      <x:c r="AP99" s="22" t="n">
        <x:v>1400</x:v>
      </x:c>
      <x:c r="AQ99" s="22" t="n">
        <x:v>16</x:v>
      </x:c>
      <x:c r="AR99" s="22" t="n">
        <x:v>0</x:v>
      </x:c>
      <x:c r="AS99" s="22" t="n">
        <x:v>10</x:v>
      </x:c>
      <x:c r="AT99" s="22" t="n">
        <x:v>10</x:v>
      </x:c>
      <x:c r="AU99" s="22" t="n">
        <x:v>0</x:v>
      </x:c>
      <x:c r="AV99" s="22" t="n">
        <x:v>0</x:v>
      </x:c>
      <x:c r="AW99" s="22" t="n">
        <x:v>0</x:v>
      </x:c>
    </x:row>
    <x:row r="100" ht="24" customHeight="1">
      <x:c r="A100" s="22" t="str">
        <x:v>P0096</x:v>
      </x:c>
      <x:c r="B100" s="22" t="n">
        <x:v>3</x:v>
      </x:c>
      <x:c r="C100" s="22" t="n">
        <x:v>6</x:v>
      </x:c>
      <x:c r="D100" s="22" t="str">
        <x:v>黄金树化身·洛恩挑战前</x:v>
      </x:c>
      <x:c r="E100" s="22" t="n">
        <x:v>5914</x:v>
      </x:c>
      <x:c r="F100" s="22" t="n">
        <x:v>6736</x:v>
      </x:c>
      <x:c r="G100" s="22" t="n">
        <x:v>5890</x:v>
      </x:c>
      <x:c r="H100" s="22" t="n">
        <x:v>6697</x:v>
      </x:c>
      <x:c r="I100" s="22" t="n">
        <x:v>5863</x:v>
      </x:c>
      <x:c r="J100" s="22" t="n">
        <x:v>6670</x:v>
      </x:c>
      <x:c r="K100" s="22" t="n">
        <x:v>856500</x:v>
      </x:c>
      <x:c r="L100" s="22" t="n">
        <x:v>80500</x:v>
      </x:c>
      <x:c r="M100" s="22" t="n">
        <x:v>309</x:v>
      </x:c>
      <x:c r="N100" s="22" t="n">
        <x:v>554</x:v>
      </x:c>
      <x:c r="O100" s="22" t="n">
        <x:v>252</x:v>
      </x:c>
      <x:c r="P100" s="22" t="n">
        <x:v>453</x:v>
      </x:c>
      <x:c r="Q100" s="22" t="n">
        <x:v>402</x:v>
      </x:c>
      <x:c r="R100" s="22" t="n">
        <x:v>383</x:v>
      </x:c>
      <x:c r="S100" s="22" t="n">
        <x:v>383</x:v>
      </x:c>
      <x:c r="T100" s="22" t="n">
        <x:v>0.05</x:v>
      </x:c>
      <x:c r="U100" s="22" t="n">
        <x:v>17</x:v>
      </x:c>
      <x:c r="V100" s="22" t="n">
        <x:v>116</x:v>
      </x:c>
      <x:c r="W100" s="22" t="n">
        <x:v>75</x:v>
      </x:c>
      <x:c r="X100" s="22" t="n">
        <x:v>20</x:v>
      </x:c>
      <x:c r="Y100" s="22" t="n">
        <x:v>183</x:v>
      </x:c>
      <x:c r="Z100" s="22" t="n">
        <x:v>0</x:v>
      </x:c>
      <x:c r="AA100" s="22" t="n">
        <x:v>12</x:v>
      </x:c>
      <x:c r="AB100" s="22" t="n">
        <x:v>0</x:v>
      </x:c>
      <x:c r="AC100" s="22" t="n">
        <x:v>0</x:v>
      </x:c>
      <x:c r="AD100" s="22" t="n">
        <x:v>32</x:v>
      </x:c>
      <x:c r="AE100" s="22" t="n">
        <x:v>6</x:v>
      </x:c>
      <x:c r="AF100" s="22" t="n">
        <x:v>83</x:v>
      </x:c>
      <x:c r="AG100" s="22" t="n">
        <x:v>7</x:v>
      </x:c>
      <x:c r="AH100" s="22" t="n">
        <x:v>8</x:v>
      </x:c>
      <x:c r="AI100" s="22" t="n">
        <x:v>16.5</x:v>
      </x:c>
      <x:c r="AJ100" s="22" t="n">
        <x:v>2</x:v>
      </x:c>
      <x:c r="AK100" s="22" t="n">
        <x:v>0</x:v>
      </x:c>
      <x:c r="AL100" s="22" t="n">
        <x:v>338</x:v>
      </x:c>
      <x:c r="AM100" s="22" t="n">
        <x:v>45</x:v>
      </x:c>
      <x:c r="AN100" s="22" t="n">
        <x:v>4</x:v>
      </x:c>
      <x:c r="AO100" s="22" t="n">
        <x:v>3</x:v>
      </x:c>
      <x:c r="AP100" s="22" t="n">
        <x:v>1400</x:v>
      </x:c>
      <x:c r="AQ100" s="22" t="n">
        <x:v>16</x:v>
      </x:c>
      <x:c r="AR100" s="22" t="n">
        <x:v>0</x:v>
      </x:c>
      <x:c r="AS100" s="22" t="n">
        <x:v>10</x:v>
      </x:c>
      <x:c r="AT100" s="22" t="n">
        <x:v>10</x:v>
      </x:c>
      <x:c r="AU100" s="22" t="n">
        <x:v>0</x:v>
      </x:c>
      <x:c r="AV100" s="22" t="n">
        <x:v>0</x:v>
      </x:c>
      <x:c r="AW100" s="22" t="n">
        <x:v>0</x:v>
      </x:c>
    </x:row>
    <x:row r="101" ht="24" customHeight="1">
      <x:c r="A101" s="22" t="str">
        <x:v>P0097</x:v>
      </x:c>
      <x:c r="B101" s="22" t="n">
        <x:v>3</x:v>
      </x:c>
      <x:c r="C101" s="22" t="n">
        <x:v>6</x:v>
      </x:c>
      <x:c r="D101" s="22" t="str">
        <x:v>黄金树哨垒BOSS装备快线</x:v>
      </x:c>
      <x:c r="E101" s="22" t="n">
        <x:v>6392</x:v>
      </x:c>
      <x:c r="F101" s="22" t="n">
        <x:v>7678</x:v>
      </x:c>
      <x:c r="G101" s="22" t="n">
        <x:v>6368</x:v>
      </x:c>
      <x:c r="H101" s="22" t="n">
        <x:v>7639</x:v>
      </x:c>
      <x:c r="I101" s="22" t="n">
        <x:v>6341</x:v>
      </x:c>
      <x:c r="J101" s="22" t="n">
        <x:v>7612</x:v>
      </x:c>
      <x:c r="K101" s="22" t="n">
        <x:v>989900</x:v>
      </x:c>
      <x:c r="L101" s="22" t="n">
        <x:v>80500</x:v>
      </x:c>
      <x:c r="M101" s="22" t="n">
        <x:v>406</x:v>
      </x:c>
      <x:c r="N101" s="22" t="n">
        <x:v>730</x:v>
      </x:c>
      <x:c r="O101" s="22" t="n">
        <x:v>330</x:v>
      </x:c>
      <x:c r="P101" s="22" t="n">
        <x:v>597</x:v>
      </x:c>
      <x:c r="Q101" s="22" t="n">
        <x:v>449</x:v>
      </x:c>
      <x:c r="R101" s="22" t="n">
        <x:v>449</x:v>
      </x:c>
      <x:c r="S101" s="22" t="n">
        <x:v>449</x:v>
      </x:c>
      <x:c r="T101" s="22" t="n">
        <x:v>0.05</x:v>
      </x:c>
      <x:c r="U101" s="22" t="n">
        <x:v>17</x:v>
      </x:c>
      <x:c r="V101" s="22" t="n">
        <x:v>146</x:v>
      </x:c>
      <x:c r="W101" s="22" t="n">
        <x:v>90</x:v>
      </x:c>
      <x:c r="X101" s="22" t="n">
        <x:v>20</x:v>
      </x:c>
      <x:c r="Y101" s="22" t="n">
        <x:v>230</x:v>
      </x:c>
      <x:c r="Z101" s="22" t="n">
        <x:v>0</x:v>
      </x:c>
      <x:c r="AA101" s="22" t="n">
        <x:v>54</x:v>
      </x:c>
      <x:c r="AB101" s="22" t="n">
        <x:v>0</x:v>
      </x:c>
      <x:c r="AC101" s="22" t="n">
        <x:v>0</x:v>
      </x:c>
      <x:c r="AD101" s="22" t="n">
        <x:v>34</x:v>
      </x:c>
      <x:c r="AE101" s="22" t="n">
        <x:v>7</x:v>
      </x:c>
      <x:c r="AF101" s="22" t="n">
        <x:v>87</x:v>
      </x:c>
      <x:c r="AG101" s="22" t="n">
        <x:v>7</x:v>
      </x:c>
      <x:c r="AH101" s="22" t="n">
        <x:v>8</x:v>
      </x:c>
      <x:c r="AI101" s="22" t="n">
        <x:v>16.5</x:v>
      </x:c>
      <x:c r="AJ101" s="22" t="n">
        <x:v>4</x:v>
      </x:c>
      <x:c r="AK101" s="22" t="n">
        <x:v>1</x:v>
      </x:c>
      <x:c r="AL101" s="22" t="n">
        <x:v>355</x:v>
      </x:c>
      <x:c r="AM101" s="22" t="n">
        <x:v>54</x:v>
      </x:c>
      <x:c r="AN101" s="22" t="n">
        <x:v>5</x:v>
      </x:c>
      <x:c r="AO101" s="22" t="n">
        <x:v>5</x:v>
      </x:c>
      <x:c r="AP101" s="22" t="n">
        <x:v>1665</x:v>
      </x:c>
      <x:c r="AQ101" s="22" t="n">
        <x:v>17</x:v>
      </x:c>
      <x:c r="AR101" s="22" t="n">
        <x:v>0</x:v>
      </x:c>
      <x:c r="AS101" s="22" t="n">
        <x:v>10</x:v>
      </x:c>
      <x:c r="AT101" s="22" t="n">
        <x:v>10</x:v>
      </x:c>
      <x:c r="AU101" s="22" t="n">
        <x:v>0</x:v>
      </x:c>
      <x:c r="AV101" s="22" t="n">
        <x:v>9</x:v>
      </x:c>
      <x:c r="AW101" s="22" t="n">
        <x:v>0</x:v>
      </x:c>
    </x:row>
    <x:row r="102" ht="24" customHeight="1">
      <x:c r="A102" s="22" t="str">
        <x:v>P0098</x:v>
      </x:c>
      <x:c r="B102" s="22" t="n">
        <x:v>3</x:v>
      </x:c>
      <x:c r="C102" s="22" t="n">
        <x:v>6</x:v>
      </x:c>
      <x:c r="D102" s="22" t="str">
        <x:v>黄金树哨垒阶段积累后</x:v>
      </x:c>
      <x:c r="E102" s="22" t="n">
        <x:v>6019</x:v>
      </x:c>
      <x:c r="F102" s="22" t="n">
        <x:v>6927</x:v>
      </x:c>
      <x:c r="G102" s="22" t="n">
        <x:v>5995</x:v>
      </x:c>
      <x:c r="H102" s="22" t="n">
        <x:v>6888</x:v>
      </x:c>
      <x:c r="I102" s="22" t="n">
        <x:v>5968</x:v>
      </x:c>
      <x:c r="J102" s="22" t="n">
        <x:v>6861</x:v>
      </x:c>
      <x:c r="K102" s="22" t="n">
        <x:v>924600</x:v>
      </x:c>
      <x:c r="L102" s="22" t="n">
        <x:v>80500</x:v>
      </x:c>
      <x:c r="M102" s="22" t="n">
        <x:v>329</x:v>
      </x:c>
      <x:c r="N102" s="22" t="n">
        <x:v>593</x:v>
      </x:c>
      <x:c r="O102" s="22" t="n">
        <x:v>267</x:v>
      </x:c>
      <x:c r="P102" s="22" t="n">
        <x:v>487</x:v>
      </x:c>
      <x:c r="Q102" s="22" t="n">
        <x:v>433</x:v>
      </x:c>
      <x:c r="R102" s="22" t="n">
        <x:v>414</x:v>
      </x:c>
      <x:c r="S102" s="22" t="n">
        <x:v>414</x:v>
      </x:c>
      <x:c r="T102" s="22" t="n">
        <x:v>0.05</x:v>
      </x:c>
      <x:c r="U102" s="22" t="n">
        <x:v>17</x:v>
      </x:c>
      <x:c r="V102" s="22" t="n">
        <x:v>120</x:v>
      </x:c>
      <x:c r="W102" s="22" t="n">
        <x:v>75</x:v>
      </x:c>
      <x:c r="X102" s="22" t="n">
        <x:v>20</x:v>
      </x:c>
      <x:c r="Y102" s="22" t="n">
        <x:v>183</x:v>
      </x:c>
      <x:c r="Z102" s="22" t="n">
        <x:v>0</x:v>
      </x:c>
      <x:c r="AA102" s="22" t="n">
        <x:v>12</x:v>
      </x:c>
      <x:c r="AB102" s="22" t="n">
        <x:v>0</x:v>
      </x:c>
      <x:c r="AC102" s="22" t="n">
        <x:v>0</x:v>
      </x:c>
      <x:c r="AD102" s="22" t="n">
        <x:v>32</x:v>
      </x:c>
      <x:c r="AE102" s="22" t="n">
        <x:v>6</x:v>
      </x:c>
      <x:c r="AF102" s="22" t="n">
        <x:v>83</x:v>
      </x:c>
      <x:c r="AG102" s="22" t="n">
        <x:v>7</x:v>
      </x:c>
      <x:c r="AH102" s="22" t="n">
        <x:v>8</x:v>
      </x:c>
      <x:c r="AI102" s="22" t="n">
        <x:v>16.5</x:v>
      </x:c>
      <x:c r="AJ102" s="22" t="n">
        <x:v>2</x:v>
      </x:c>
      <x:c r="AK102" s="22" t="n">
        <x:v>0</x:v>
      </x:c>
      <x:c r="AL102" s="22" t="n">
        <x:v>327</x:v>
      </x:c>
      <x:c r="AM102" s="22" t="n">
        <x:v>43</x:v>
      </x:c>
      <x:c r="AN102" s="22" t="n">
        <x:v>4</x:v>
      </x:c>
      <x:c r="AO102" s="22" t="n">
        <x:v>3</x:v>
      </x:c>
      <x:c r="AP102" s="22" t="n">
        <x:v>1400</x:v>
      </x:c>
      <x:c r="AQ102" s="22" t="n">
        <x:v>16</x:v>
      </x:c>
      <x:c r="AR102" s="22" t="n">
        <x:v>0</x:v>
      </x:c>
      <x:c r="AS102" s="22" t="n">
        <x:v>10</x:v>
      </x:c>
      <x:c r="AT102" s="22" t="n">
        <x:v>10</x:v>
      </x:c>
      <x:c r="AU102" s="22" t="n">
        <x:v>0</x:v>
      </x:c>
      <x:c r="AV102" s="22" t="n">
        <x:v>0</x:v>
      </x:c>
      <x:c r="AW102" s="22" t="n">
        <x:v>0</x:v>
      </x:c>
    </x:row>
    <x:row r="103" ht="24" customHeight="1">
      <x:c r="A103" s="22" t="str">
        <x:v>P0099</x:v>
      </x:c>
      <x:c r="B103" s="22" t="n">
        <x:v>3</x:v>
      </x:c>
      <x:c r="C103" s="22" t="n">
        <x:v>6</x:v>
      </x:c>
      <x:c r="D103" s="22" t="str">
        <x:v>C03守关前必做制作完成</x:v>
      </x:c>
      <x:c r="E103" s="22" t="n">
        <x:v>6019</x:v>
      </x:c>
      <x:c r="F103" s="22" t="n">
        <x:v>6927</x:v>
      </x:c>
      <x:c r="G103" s="22" t="n">
        <x:v>5995</x:v>
      </x:c>
      <x:c r="H103" s="22" t="n">
        <x:v>6888</x:v>
      </x:c>
      <x:c r="I103" s="22" t="n">
        <x:v>5968</x:v>
      </x:c>
      <x:c r="J103" s="22" t="n">
        <x:v>6861</x:v>
      </x:c>
      <x:c r="K103" s="22" t="n">
        <x:v>924600</x:v>
      </x:c>
      <x:c r="L103" s="22" t="n">
        <x:v>80500</x:v>
      </x:c>
      <x:c r="M103" s="22" t="n">
        <x:v>329</x:v>
      </x:c>
      <x:c r="N103" s="22" t="n">
        <x:v>593</x:v>
      </x:c>
      <x:c r="O103" s="22" t="n">
        <x:v>267</x:v>
      </x:c>
      <x:c r="P103" s="22" t="n">
        <x:v>487</x:v>
      </x:c>
      <x:c r="Q103" s="22" t="n">
        <x:v>433</x:v>
      </x:c>
      <x:c r="R103" s="22" t="n">
        <x:v>414</x:v>
      </x:c>
      <x:c r="S103" s="22" t="n">
        <x:v>414</x:v>
      </x:c>
      <x:c r="T103" s="22" t="n">
        <x:v>0.05</x:v>
      </x:c>
      <x:c r="U103" s="22" t="n">
        <x:v>17</x:v>
      </x:c>
      <x:c r="V103" s="22" t="n">
        <x:v>120</x:v>
      </x:c>
      <x:c r="W103" s="22" t="n">
        <x:v>75</x:v>
      </x:c>
      <x:c r="X103" s="22" t="n">
        <x:v>20</x:v>
      </x:c>
      <x:c r="Y103" s="22" t="n">
        <x:v>183</x:v>
      </x:c>
      <x:c r="Z103" s="22" t="n">
        <x:v>0</x:v>
      </x:c>
      <x:c r="AA103" s="22" t="n">
        <x:v>12</x:v>
      </x:c>
      <x:c r="AB103" s="22" t="n">
        <x:v>0</x:v>
      </x:c>
      <x:c r="AC103" s="22" t="n">
        <x:v>0</x:v>
      </x:c>
      <x:c r="AD103" s="22" t="n">
        <x:v>32</x:v>
      </x:c>
      <x:c r="AE103" s="22" t="n">
        <x:v>6</x:v>
      </x:c>
      <x:c r="AF103" s="22" t="n">
        <x:v>83</x:v>
      </x:c>
      <x:c r="AG103" s="22" t="n">
        <x:v>7</x:v>
      </x:c>
      <x:c r="AH103" s="22" t="n">
        <x:v>8</x:v>
      </x:c>
      <x:c r="AI103" s="22" t="n">
        <x:v>16.5</x:v>
      </x:c>
      <x:c r="AJ103" s="22" t="n">
        <x:v>2</x:v>
      </x:c>
      <x:c r="AK103" s="22" t="n">
        <x:v>0</x:v>
      </x:c>
      <x:c r="AL103" s="22" t="n">
        <x:v>327</x:v>
      </x:c>
      <x:c r="AM103" s="22" t="n">
        <x:v>43</x:v>
      </x:c>
      <x:c r="AN103" s="22" t="n">
        <x:v>4</x:v>
      </x:c>
      <x:c r="AO103" s="22" t="n">
        <x:v>3</x:v>
      </x:c>
      <x:c r="AP103" s="22" t="n">
        <x:v>1400</x:v>
      </x:c>
      <x:c r="AQ103" s="22" t="n">
        <x:v>16</x:v>
      </x:c>
      <x:c r="AR103" s="22" t="n">
        <x:v>0</x:v>
      </x:c>
      <x:c r="AS103" s="22" t="n">
        <x:v>10</x:v>
      </x:c>
      <x:c r="AT103" s="22" t="n">
        <x:v>10</x:v>
      </x:c>
      <x:c r="AU103" s="22" t="n">
        <x:v>0</x:v>
      </x:c>
      <x:c r="AV103" s="22" t="n">
        <x:v>0</x:v>
      </x:c>
      <x:c r="AW103" s="22" t="n">
        <x:v>0</x:v>
      </x:c>
    </x:row>
    <x:row r="104" ht="24" customHeight="1">
      <x:c r="A104" s="22" t="str">
        <x:v>P0100</x:v>
      </x:c>
      <x:c r="B104" s="22" t="n">
        <x:v>3</x:v>
      </x:c>
      <x:c r="C104" s="22" t="n">
        <x:v>6</x:v>
      </x:c>
      <x:c r="D104" s="22" t="str">
        <x:v>C03约70%守关参考</x:v>
      </x:c>
      <x:c r="E104" s="22" t="n">
        <x:v>6220</x:v>
      </x:c>
      <x:c r="F104" s="22" t="n">
        <x:v>7128</x:v>
      </x:c>
      <x:c r="G104" s="22" t="n">
        <x:v>6196</x:v>
      </x:c>
      <x:c r="H104" s="22" t="n">
        <x:v>7089</x:v>
      </x:c>
      <x:c r="I104" s="22" t="n">
        <x:v>6169</x:v>
      </x:c>
      <x:c r="J104" s="22" t="n">
        <x:v>7062</x:v>
      </x:c>
      <x:c r="K104" s="22" t="n">
        <x:v>944700</x:v>
      </x:c>
      <x:c r="L104" s="22" t="n">
        <x:v>80500</x:v>
      </x:c>
      <x:c r="M104" s="22" t="n">
        <x:v>329</x:v>
      </x:c>
      <x:c r="N104" s="22" t="n">
        <x:v>593</x:v>
      </x:c>
      <x:c r="O104" s="22" t="n">
        <x:v>267</x:v>
      </x:c>
      <x:c r="P104" s="22" t="n">
        <x:v>487</x:v>
      </x:c>
      <x:c r="Q104" s="22" t="n">
        <x:v>433</x:v>
      </x:c>
      <x:c r="R104" s="22" t="n">
        <x:v>414</x:v>
      </x:c>
      <x:c r="S104" s="22" t="n">
        <x:v>414</x:v>
      </x:c>
      <x:c r="T104" s="22" t="n">
        <x:v>0.11000000000000001</x:v>
      </x:c>
      <x:c r="U104" s="22" t="n">
        <x:v>17</x:v>
      </x:c>
      <x:c r="V104" s="22" t="n">
        <x:v>120</x:v>
      </x:c>
      <x:c r="W104" s="22" t="n">
        <x:v>75</x:v>
      </x:c>
      <x:c r="X104" s="22" t="n">
        <x:v>20</x:v>
      </x:c>
      <x:c r="Y104" s="22" t="n">
        <x:v>183</x:v>
      </x:c>
      <x:c r="Z104" s="22" t="n">
        <x:v>0</x:v>
      </x:c>
      <x:c r="AA104" s="22" t="n">
        <x:v>12</x:v>
      </x:c>
      <x:c r="AB104" s="22" t="n">
        <x:v>0</x:v>
      </x:c>
      <x:c r="AC104" s="22" t="n">
        <x:v>0</x:v>
      </x:c>
      <x:c r="AD104" s="22" t="n">
        <x:v>32</x:v>
      </x:c>
      <x:c r="AE104" s="22" t="n">
        <x:v>6</x:v>
      </x:c>
      <x:c r="AF104" s="22" t="n">
        <x:v>83</x:v>
      </x:c>
      <x:c r="AG104" s="22" t="n">
        <x:v>7</x:v>
      </x:c>
      <x:c r="AH104" s="22" t="n">
        <x:v>8</x:v>
      </x:c>
      <x:c r="AI104" s="22" t="n">
        <x:v>18</x:v>
      </x:c>
      <x:c r="AJ104" s="22" t="n">
        <x:v>2</x:v>
      </x:c>
      <x:c r="AK104" s="22" t="n">
        <x:v>0</x:v>
      </x:c>
      <x:c r="AL104" s="22" t="n">
        <x:v>402</x:v>
      </x:c>
      <x:c r="AM104" s="22" t="n">
        <x:v>43</x:v>
      </x:c>
      <x:c r="AN104" s="22" t="n">
        <x:v>4</x:v>
      </x:c>
      <x:c r="AO104" s="22" t="n">
        <x:v>3</x:v>
      </x:c>
      <x:c r="AP104" s="22" t="n">
        <x:v>1400</x:v>
      </x:c>
      <x:c r="AQ104" s="22" t="n">
        <x:v>16</x:v>
      </x:c>
      <x:c r="AR104" s="22" t="n">
        <x:v>0</x:v>
      </x:c>
      <x:c r="AS104" s="22" t="n">
        <x:v>10</x:v>
      </x:c>
      <x:c r="AT104" s="22" t="n">
        <x:v>10</x:v>
      </x:c>
      <x:c r="AU104" s="22" t="n">
        <x:v>0</x:v>
      </x:c>
      <x:c r="AV104" s="22" t="n">
        <x:v>0</x:v>
      </x:c>
      <x:c r="AW104" s="22" t="n">
        <x:v>0</x:v>
      </x:c>
    </x:row>
    <x:row r="105" ht="24" customHeight="1">
      <x:c r="A105" s="22" t="str">
        <x:v>P0101</x:v>
      </x:c>
      <x:c r="B105" s="22" t="n">
        <x:v>3</x:v>
      </x:c>
      <x:c r="C105" s="22" t="n">
        <x:v>6</x:v>
      </x:c>
      <x:c r="D105" s="22" t="str">
        <x:v>C03高完成度参考</x:v>
      </x:c>
      <x:c r="E105" s="22" t="n">
        <x:v>7040</x:v>
      </x:c>
      <x:c r="F105" s="22" t="n">
        <x:v>8598</x:v>
      </x:c>
      <x:c r="G105" s="22" t="n">
        <x:v>7060</x:v>
      </x:c>
      <x:c r="H105" s="22" t="n">
        <x:v>8603</x:v>
      </x:c>
      <x:c r="I105" s="22" t="n">
        <x:v>6989</x:v>
      </x:c>
      <x:c r="J105" s="22" t="n">
        <x:v>8532</x:v>
      </x:c>
      <x:c r="K105" s="22" t="n">
        <x:v>1172900</x:v>
      </x:c>
      <x:c r="L105" s="22" t="n">
        <x:v>80500</x:v>
      </x:c>
      <x:c r="M105" s="22" t="n">
        <x:v>521</x:v>
      </x:c>
      <x:c r="N105" s="22" t="n">
        <x:v>945</x:v>
      </x:c>
      <x:c r="O105" s="22" t="n">
        <x:v>423</x:v>
      </x:c>
      <x:c r="P105" s="22" t="n">
        <x:v>775</x:v>
      </x:c>
      <x:c r="Q105" s="22" t="n">
        <x:v>546</x:v>
      </x:c>
      <x:c r="R105" s="22" t="n">
        <x:v>546</x:v>
      </x:c>
      <x:c r="S105" s="22" t="n">
        <x:v>546</x:v>
      </x:c>
      <x:c r="T105" s="22" t="n">
        <x:v>0.15</x:v>
      </x:c>
      <x:c r="U105" s="22" t="n">
        <x:v>20</x:v>
      </x:c>
      <x:c r="V105" s="22" t="n">
        <x:v>181</x:v>
      </x:c>
      <x:c r="W105" s="22" t="n">
        <x:v>105</x:v>
      </x:c>
      <x:c r="X105" s="22" t="n">
        <x:v>21</x:v>
      </x:c>
      <x:c r="Y105" s="22" t="n">
        <x:v>220</x:v>
      </x:c>
      <x:c r="Z105" s="22" t="n">
        <x:v>0</x:v>
      </x:c>
      <x:c r="AA105" s="22" t="n">
        <x:v>108</x:v>
      </x:c>
      <x:c r="AB105" s="22" t="n">
        <x:v>0</x:v>
      </x:c>
      <x:c r="AC105" s="22" t="n">
        <x:v>0</x:v>
      </x:c>
      <x:c r="AD105" s="22" t="n">
        <x:v>34</x:v>
      </x:c>
      <x:c r="AE105" s="22" t="n">
        <x:v>7</x:v>
      </x:c>
      <x:c r="AF105" s="22" t="n">
        <x:v>87</x:v>
      </x:c>
      <x:c r="AG105" s="22" t="n">
        <x:v>7</x:v>
      </x:c>
      <x:c r="AH105" s="22" t="n">
        <x:v>8</x:v>
      </x:c>
      <x:c r="AI105" s="22" t="n">
        <x:v>19</x:v>
      </x:c>
      <x:c r="AJ105" s="22" t="n">
        <x:v>6</x:v>
      </x:c>
      <x:c r="AK105" s="22" t="n">
        <x:v>1</x:v>
      </x:c>
      <x:c r="AL105" s="22" t="n">
        <x:v>477</x:v>
      </x:c>
      <x:c r="AM105" s="22" t="n">
        <x:v>58</x:v>
      </x:c>
      <x:c r="AN105" s="22" t="n">
        <x:v>5</x:v>
      </x:c>
      <x:c r="AO105" s="22" t="n">
        <x:v>5</x:v>
      </x:c>
      <x:c r="AP105" s="22" t="n">
        <x:v>1690</x:v>
      </x:c>
      <x:c r="AQ105" s="22" t="n">
        <x:v>18</x:v>
      </x:c>
      <x:c r="AR105" s="22" t="n">
        <x:v>0</x:v>
      </x:c>
      <x:c r="AS105" s="22" t="n">
        <x:v>10</x:v>
      </x:c>
      <x:c r="AT105" s="22" t="n">
        <x:v>10</x:v>
      </x:c>
      <x:c r="AU105" s="22" t="n">
        <x:v>0</x:v>
      </x:c>
      <x:c r="AV105" s="22" t="n">
        <x:v>9</x:v>
      </x:c>
      <x:c r="AW105" s="22" t="n">
        <x:v>0</x:v>
      </x:c>
    </x:row>
    <x:row r="106" ht="24" customHeight="1">
      <x:c r="A106" s="22" t="str">
        <x:v>P0102</x:v>
      </x:c>
      <x:c r="B106" s="22" t="n">
        <x:v>3</x:v>
      </x:c>
      <x:c r="C106" s="22" t="n">
        <x:v>6</x:v>
      </x:c>
      <x:c r="D106" s="22" t="str">
        <x:v>C03守关后继承</x:v>
      </x:c>
      <x:c r="E106" s="22" t="n">
        <x:v>6220</x:v>
      </x:c>
      <x:c r="F106" s="22" t="n">
        <x:v>7128</x:v>
      </x:c>
      <x:c r="G106" s="22" t="n">
        <x:v>6196</x:v>
      </x:c>
      <x:c r="H106" s="22" t="n">
        <x:v>7089</x:v>
      </x:c>
      <x:c r="I106" s="22" t="n">
        <x:v>6169</x:v>
      </x:c>
      <x:c r="J106" s="22" t="n">
        <x:v>7062</x:v>
      </x:c>
      <x:c r="K106" s="22" t="n">
        <x:v>944700</x:v>
      </x:c>
      <x:c r="L106" s="22" t="n">
        <x:v>80500</x:v>
      </x:c>
      <x:c r="M106" s="22" t="n">
        <x:v>329</x:v>
      </x:c>
      <x:c r="N106" s="22" t="n">
        <x:v>593</x:v>
      </x:c>
      <x:c r="O106" s="22" t="n">
        <x:v>267</x:v>
      </x:c>
      <x:c r="P106" s="22" t="n">
        <x:v>487</x:v>
      </x:c>
      <x:c r="Q106" s="22" t="n">
        <x:v>433</x:v>
      </x:c>
      <x:c r="R106" s="22" t="n">
        <x:v>414</x:v>
      </x:c>
      <x:c r="S106" s="22" t="n">
        <x:v>414</x:v>
      </x:c>
      <x:c r="T106" s="22" t="n">
        <x:v>0.11000000000000001</x:v>
      </x:c>
      <x:c r="U106" s="22" t="n">
        <x:v>17</x:v>
      </x:c>
      <x:c r="V106" s="22" t="n">
        <x:v>120</x:v>
      </x:c>
      <x:c r="W106" s="22" t="n">
        <x:v>75</x:v>
      </x:c>
      <x:c r="X106" s="22" t="n">
        <x:v>20</x:v>
      </x:c>
      <x:c r="Y106" s="22" t="n">
        <x:v>183</x:v>
      </x:c>
      <x:c r="Z106" s="22" t="n">
        <x:v>0</x:v>
      </x:c>
      <x:c r="AA106" s="22" t="n">
        <x:v>12</x:v>
      </x:c>
      <x:c r="AB106" s="22" t="n">
        <x:v>0</x:v>
      </x:c>
      <x:c r="AC106" s="22" t="n">
        <x:v>0</x:v>
      </x:c>
      <x:c r="AD106" s="22" t="n">
        <x:v>32</x:v>
      </x:c>
      <x:c r="AE106" s="22" t="n">
        <x:v>6</x:v>
      </x:c>
      <x:c r="AF106" s="22" t="n">
        <x:v>83</x:v>
      </x:c>
      <x:c r="AG106" s="22" t="n">
        <x:v>7</x:v>
      </x:c>
      <x:c r="AH106" s="22" t="n">
        <x:v>8</x:v>
      </x:c>
      <x:c r="AI106" s="22" t="n">
        <x:v>24</x:v>
      </x:c>
      <x:c r="AJ106" s="22" t="n">
        <x:v>2</x:v>
      </x:c>
      <x:c r="AK106" s="22" t="n">
        <x:v>0</x:v>
      </x:c>
      <x:c r="AL106" s="22" t="n">
        <x:v>402</x:v>
      </x:c>
      <x:c r="AM106" s="22" t="n">
        <x:v>43</x:v>
      </x:c>
      <x:c r="AN106" s="22" t="n">
        <x:v>4</x:v>
      </x:c>
      <x:c r="AO106" s="22" t="n">
        <x:v>3</x:v>
      </x:c>
      <x:c r="AP106" s="22" t="n">
        <x:v>1400</x:v>
      </x:c>
      <x:c r="AQ106" s="22" t="n">
        <x:v>16</x:v>
      </x:c>
      <x:c r="AR106" s="22" t="n">
        <x:v>0</x:v>
      </x:c>
      <x:c r="AS106" s="22" t="n">
        <x:v>10</x:v>
      </x:c>
      <x:c r="AT106" s="22" t="n">
        <x:v>10</x:v>
      </x:c>
      <x:c r="AU106" s="22" t="n">
        <x:v>0</x:v>
      </x:c>
      <x:c r="AV106" s="22" t="n">
        <x:v>0</x:v>
      </x:c>
      <x:c r="AW106" s="22" t="n">
        <x:v>0</x:v>
      </x:c>
    </x:row>
    <x:row r="107" ht="24" customHeight="1">
      <x:c r="A107" s="22" t="str">
        <x:v>P0103</x:v>
      </x:c>
      <x:c r="B107" s="22" t="n">
        <x:v>4</x:v>
      </x:c>
      <x:c r="C107" s="22" t="n">
        <x:v>1</x:v>
      </x:c>
      <x:c r="D107" s="22" t="str">
        <x:v>C04入场继承</x:v>
      </x:c>
      <x:c r="E107" s="22" t="n">
        <x:v>6220</x:v>
      </x:c>
      <x:c r="F107" s="22" t="n">
        <x:v>7128</x:v>
      </x:c>
      <x:c r="G107" s="22" t="n">
        <x:v>6196</x:v>
      </x:c>
      <x:c r="H107" s="22" t="n">
        <x:v>7089</x:v>
      </x:c>
      <x:c r="I107" s="22" t="n">
        <x:v>6169</x:v>
      </x:c>
      <x:c r="J107" s="22" t="n">
        <x:v>7062</x:v>
      </x:c>
      <x:c r="K107" s="22" t="n">
        <x:v>944700</x:v>
      </x:c>
      <x:c r="L107" s="22" t="n">
        <x:v>80500</x:v>
      </x:c>
      <x:c r="M107" s="22" t="n">
        <x:v>329</x:v>
      </x:c>
      <x:c r="N107" s="22" t="n">
        <x:v>593</x:v>
      </x:c>
      <x:c r="O107" s="22" t="n">
        <x:v>267</x:v>
      </x:c>
      <x:c r="P107" s="22" t="n">
        <x:v>487</x:v>
      </x:c>
      <x:c r="Q107" s="22" t="n">
        <x:v>433</x:v>
      </x:c>
      <x:c r="R107" s="22" t="n">
        <x:v>414</x:v>
      </x:c>
      <x:c r="S107" s="22" t="n">
        <x:v>414</x:v>
      </x:c>
      <x:c r="T107" s="22" t="n">
        <x:v>0.11000000000000001</x:v>
      </x:c>
      <x:c r="U107" s="22" t="n">
        <x:v>17</x:v>
      </x:c>
      <x:c r="V107" s="22" t="n">
        <x:v>120</x:v>
      </x:c>
      <x:c r="W107" s="22" t="n">
        <x:v>75</x:v>
      </x:c>
      <x:c r="X107" s="22" t="n">
        <x:v>20</x:v>
      </x:c>
      <x:c r="Y107" s="22" t="n">
        <x:v>183</x:v>
      </x:c>
      <x:c r="Z107" s="22" t="n">
        <x:v>0</x:v>
      </x:c>
      <x:c r="AA107" s="22" t="n">
        <x:v>12</x:v>
      </x:c>
      <x:c r="AB107" s="22" t="n">
        <x:v>0</x:v>
      </x:c>
      <x:c r="AC107" s="22" t="n">
        <x:v>0</x:v>
      </x:c>
      <x:c r="AD107" s="22" t="n">
        <x:v>32</x:v>
      </x:c>
      <x:c r="AE107" s="22" t="n">
        <x:v>6</x:v>
      </x:c>
      <x:c r="AF107" s="22" t="n">
        <x:v>83</x:v>
      </x:c>
      <x:c r="AG107" s="22" t="n">
        <x:v>7</x:v>
      </x:c>
      <x:c r="AH107" s="22" t="n">
        <x:v>8</x:v>
      </x:c>
      <x:c r="AI107" s="22" t="n">
        <x:v>24</x:v>
      </x:c>
      <x:c r="AJ107" s="22" t="n">
        <x:v>2</x:v>
      </x:c>
      <x:c r="AK107" s="22" t="n">
        <x:v>0</x:v>
      </x:c>
      <x:c r="AL107" s="22" t="n">
        <x:v>402</x:v>
      </x:c>
      <x:c r="AM107" s="22" t="n">
        <x:v>43</x:v>
      </x:c>
      <x:c r="AN107" s="22" t="n">
        <x:v>4</x:v>
      </x:c>
      <x:c r="AO107" s="22" t="n">
        <x:v>3</x:v>
      </x:c>
      <x:c r="AP107" s="22" t="n">
        <x:v>1400</x:v>
      </x:c>
      <x:c r="AQ107" s="22" t="n">
        <x:v>16</x:v>
      </x:c>
      <x:c r="AR107" s="22" t="n">
        <x:v>0</x:v>
      </x:c>
      <x:c r="AS107" s="22" t="n">
        <x:v>10</x:v>
      </x:c>
      <x:c r="AT107" s="22" t="n">
        <x:v>10</x:v>
      </x:c>
      <x:c r="AU107" s="22" t="n">
        <x:v>0</x:v>
      </x:c>
      <x:c r="AV107" s="22" t="n">
        <x:v>0</x:v>
      </x:c>
      <x:c r="AW107" s="22" t="n">
        <x:v>0</x:v>
      </x:c>
    </x:row>
    <x:row r="108" ht="24" customHeight="1">
      <x:c r="A108" s="22" t="str">
        <x:v>P0104</x:v>
      </x:c>
      <x:c r="B108" s="22" t="n">
        <x:v>4</x:v>
      </x:c>
      <x:c r="C108" s="22" t="n">
        <x:v>1</x:v>
      </x:c>
      <x:c r="D108" s="22" t="str">
        <x:v>C04本阶段既有付费/长期成长</x:v>
      </x:c>
      <x:c r="E108" s="22" t="n">
        <x:v>6459</x:v>
      </x:c>
      <x:c r="F108" s="22" t="n">
        <x:v>7367</x:v>
      </x:c>
      <x:c r="G108" s="22" t="n">
        <x:v>6433</x:v>
      </x:c>
      <x:c r="H108" s="22" t="n">
        <x:v>7326</x:v>
      </x:c>
      <x:c r="I108" s="22" t="n">
        <x:v>6442</x:v>
      </x:c>
      <x:c r="J108" s="22" t="n">
        <x:v>7335</x:v>
      </x:c>
      <x:c r="K108" s="22" t="n">
        <x:v>968400</x:v>
      </x:c>
      <x:c r="L108" s="22" t="n">
        <x:v>80500</x:v>
      </x:c>
      <x:c r="M108" s="22" t="n">
        <x:v>329</x:v>
      </x:c>
      <x:c r="N108" s="22" t="n">
        <x:v>593</x:v>
      </x:c>
      <x:c r="O108" s="22" t="n">
        <x:v>267</x:v>
      </x:c>
      <x:c r="P108" s="22" t="n">
        <x:v>487</x:v>
      </x:c>
      <x:c r="Q108" s="22" t="n">
        <x:v>480</x:v>
      </x:c>
      <x:c r="R108" s="22" t="n">
        <x:v>414</x:v>
      </x:c>
      <x:c r="S108" s="22" t="n">
        <x:v>414</x:v>
      </x:c>
      <x:c r="T108" s="22" t="n">
        <x:v>0.11000000000000001</x:v>
      </x:c>
      <x:c r="U108" s="22" t="n">
        <x:v>22</x:v>
      </x:c>
      <x:c r="V108" s="22" t="n">
        <x:v>120</x:v>
      </x:c>
      <x:c r="W108" s="22" t="n">
        <x:v>75</x:v>
      </x:c>
      <x:c r="X108" s="22" t="n">
        <x:v>22</x:v>
      </x:c>
      <x:c r="Y108" s="22" t="n">
        <x:v>183</x:v>
      </x:c>
      <x:c r="Z108" s="22" t="n">
        <x:v>0</x:v>
      </x:c>
      <x:c r="AA108" s="22" t="n">
        <x:v>12</x:v>
      </x:c>
      <x:c r="AB108" s="22" t="n">
        <x:v>0</x:v>
      </x:c>
      <x:c r="AC108" s="22" t="n">
        <x:v>0</x:v>
      </x:c>
      <x:c r="AD108" s="22" t="n">
        <x:v>35</x:v>
      </x:c>
      <x:c r="AE108" s="22" t="n">
        <x:v>6</x:v>
      </x:c>
      <x:c r="AF108" s="22" t="n">
        <x:v>83</x:v>
      </x:c>
      <x:c r="AG108" s="22" t="n">
        <x:v>7</x:v>
      </x:c>
      <x:c r="AH108" s="22" t="n">
        <x:v>8</x:v>
      </x:c>
      <x:c r="AI108" s="22" t="n">
        <x:v>26</x:v>
      </x:c>
      <x:c r="AJ108" s="22" t="n">
        <x:v>0</x:v>
      </x:c>
      <x:c r="AK108" s="22" t="n">
        <x:v>1</x:v>
      </x:c>
      <x:c r="AL108" s="22" t="n">
        <x:v>402</x:v>
      </x:c>
      <x:c r="AM108" s="22" t="n">
        <x:v>43</x:v>
      </x:c>
      <x:c r="AN108" s="22" t="n">
        <x:v>4</x:v>
      </x:c>
      <x:c r="AO108" s="22" t="n">
        <x:v>4</x:v>
      </x:c>
      <x:c r="AP108" s="22" t="n">
        <x:v>1400</x:v>
      </x:c>
      <x:c r="AQ108" s="22" t="n">
        <x:v>15</x:v>
      </x:c>
      <x:c r="AR108" s="22" t="n">
        <x:v>0</x:v>
      </x:c>
      <x:c r="AS108" s="22" t="n">
        <x:v>10</x:v>
      </x:c>
      <x:c r="AT108" s="22" t="n">
        <x:v>10</x:v>
      </x:c>
      <x:c r="AU108" s="22" t="n">
        <x:v>0</x:v>
      </x:c>
      <x:c r="AV108" s="22" t="n">
        <x:v>0</x:v>
      </x:c>
      <x:c r="AW108" s="22" t="n">
        <x:v>0</x:v>
      </x:c>
    </x:row>
    <x:row r="109" ht="24" customHeight="1">
      <x:c r="A109" s="22" t="str">
        <x:v>P0105</x:v>
      </x:c>
      <x:c r="B109" s="22" t="n">
        <x:v>4</x:v>
      </x:c>
      <x:c r="C109" s="22" t="n">
        <x:v>1</x:v>
      </x:c>
      <x:c r="D109" s="22" t="str">
        <x:v>C04G01入场</x:v>
      </x:c>
      <x:c r="E109" s="22" t="n">
        <x:v>6459</x:v>
      </x:c>
      <x:c r="F109" s="22" t="n">
        <x:v>7367</x:v>
      </x:c>
      <x:c r="G109" s="22" t="n">
        <x:v>6433</x:v>
      </x:c>
      <x:c r="H109" s="22" t="n">
        <x:v>7326</x:v>
      </x:c>
      <x:c r="I109" s="22" t="n">
        <x:v>6442</x:v>
      </x:c>
      <x:c r="J109" s="22" t="n">
        <x:v>7335</x:v>
      </x:c>
      <x:c r="K109" s="22" t="n">
        <x:v>968400</x:v>
      </x:c>
      <x:c r="L109" s="22" t="n">
        <x:v>80500</x:v>
      </x:c>
      <x:c r="M109" s="22" t="n">
        <x:v>329</x:v>
      </x:c>
      <x:c r="N109" s="22" t="n">
        <x:v>593</x:v>
      </x:c>
      <x:c r="O109" s="22" t="n">
        <x:v>267</x:v>
      </x:c>
      <x:c r="P109" s="22" t="n">
        <x:v>487</x:v>
      </x:c>
      <x:c r="Q109" s="22" t="n">
        <x:v>480</x:v>
      </x:c>
      <x:c r="R109" s="22" t="n">
        <x:v>414</x:v>
      </x:c>
      <x:c r="S109" s="22" t="n">
        <x:v>414</x:v>
      </x:c>
      <x:c r="T109" s="22" t="n">
        <x:v>0.11000000000000001</x:v>
      </x:c>
      <x:c r="U109" s="22" t="n">
        <x:v>22</x:v>
      </x:c>
      <x:c r="V109" s="22" t="n">
        <x:v>120</x:v>
      </x:c>
      <x:c r="W109" s="22" t="n">
        <x:v>75</x:v>
      </x:c>
      <x:c r="X109" s="22" t="n">
        <x:v>22</x:v>
      </x:c>
      <x:c r="Y109" s="22" t="n">
        <x:v>183</x:v>
      </x:c>
      <x:c r="Z109" s="22" t="n">
        <x:v>0</x:v>
      </x:c>
      <x:c r="AA109" s="22" t="n">
        <x:v>12</x:v>
      </x:c>
      <x:c r="AB109" s="22" t="n">
        <x:v>0</x:v>
      </x:c>
      <x:c r="AC109" s="22" t="n">
        <x:v>0</x:v>
      </x:c>
      <x:c r="AD109" s="22" t="n">
        <x:v>35</x:v>
      </x:c>
      <x:c r="AE109" s="22" t="n">
        <x:v>6</x:v>
      </x:c>
      <x:c r="AF109" s="22" t="n">
        <x:v>83</x:v>
      </x:c>
      <x:c r="AG109" s="22" t="n">
        <x:v>7</x:v>
      </x:c>
      <x:c r="AH109" s="22" t="n">
        <x:v>8</x:v>
      </x:c>
      <x:c r="AI109" s="22" t="n">
        <x:v>26</x:v>
      </x:c>
      <x:c r="AJ109" s="22" t="n">
        <x:v>0</x:v>
      </x:c>
      <x:c r="AK109" s="22" t="n">
        <x:v>1</x:v>
      </x:c>
      <x:c r="AL109" s="22" t="n">
        <x:v>402</x:v>
      </x:c>
      <x:c r="AM109" s="22" t="n">
        <x:v>43</x:v>
      </x:c>
      <x:c r="AN109" s="22" t="n">
        <x:v>4</x:v>
      </x:c>
      <x:c r="AO109" s="22" t="n">
        <x:v>4</x:v>
      </x:c>
      <x:c r="AP109" s="22" t="n">
        <x:v>1400</x:v>
      </x:c>
      <x:c r="AQ109" s="22" t="n">
        <x:v>15</x:v>
      </x:c>
      <x:c r="AR109" s="22" t="n">
        <x:v>0</x:v>
      </x:c>
      <x:c r="AS109" s="22" t="n">
        <x:v>10</x:v>
      </x:c>
      <x:c r="AT109" s="22" t="n">
        <x:v>10</x:v>
      </x:c>
      <x:c r="AU109" s="22" t="n">
        <x:v>0</x:v>
      </x:c>
      <x:c r="AV109" s="22" t="n">
        <x:v>0</x:v>
      </x:c>
      <x:c r="AW109" s="22" t="n">
        <x:v>0</x:v>
      </x:c>
    </x:row>
    <x:row r="110" ht="24" customHeight="1">
      <x:c r="A110" s="22" t="str">
        <x:v>P0106</x:v>
      </x:c>
      <x:c r="B110" s="22" t="n">
        <x:v>4</x:v>
      </x:c>
      <x:c r="C110" s="22" t="n">
        <x:v>1</x:v>
      </x:c>
      <x:c r="D110" s="22" t="str">
        <x:v>C04G01普通专属4/6</x:v>
      </x:c>
      <x:c r="E110" s="22" t="n">
        <x:v>6609</x:v>
      </x:c>
      <x:c r="F110" s="22" t="n">
        <x:v>7657</x:v>
      </x:c>
      <x:c r="G110" s="22" t="n">
        <x:v>6583</x:v>
      </x:c>
      <x:c r="H110" s="22" t="n">
        <x:v>7616</x:v>
      </x:c>
      <x:c r="I110" s="22" t="n">
        <x:v>6592</x:v>
      </x:c>
      <x:c r="J110" s="22" t="n">
        <x:v>7625</x:v>
      </x:c>
      <x:c r="K110" s="22" t="n">
        <x:v>972500</x:v>
      </x:c>
      <x:c r="L110" s="22" t="n">
        <x:v>80500</x:v>
      </x:c>
      <x:c r="M110" s="22" t="n">
        <x:v>329</x:v>
      </x:c>
      <x:c r="N110" s="22" t="n">
        <x:v>593</x:v>
      </x:c>
      <x:c r="O110" s="22" t="n">
        <x:v>267</x:v>
      </x:c>
      <x:c r="P110" s="22" t="n">
        <x:v>487</x:v>
      </x:c>
      <x:c r="Q110" s="22" t="n">
        <x:v>464</x:v>
      </x:c>
      <x:c r="R110" s="22" t="n">
        <x:v>427</x:v>
      </x:c>
      <x:c r="S110" s="22" t="n">
        <x:v>427</x:v>
      </x:c>
      <x:c r="T110" s="22" t="n">
        <x:v>0.11000000000000001</x:v>
      </x:c>
      <x:c r="U110" s="22" t="n">
        <x:v>20</x:v>
      </x:c>
      <x:c r="V110" s="22" t="n">
        <x:v>127</x:v>
      </x:c>
      <x:c r="W110" s="22" t="n">
        <x:v>79</x:v>
      </x:c>
      <x:c r="X110" s="22" t="n">
        <x:v>22</x:v>
      </x:c>
      <x:c r="Y110" s="22" t="n">
        <x:v>193</x:v>
      </x:c>
      <x:c r="Z110" s="22" t="n">
        <x:v>0</x:v>
      </x:c>
      <x:c r="AA110" s="22" t="n">
        <x:v>12</x:v>
      </x:c>
      <x:c r="AB110" s="22" t="n">
        <x:v>0</x:v>
      </x:c>
      <x:c r="AC110" s="22" t="n">
        <x:v>0</x:v>
      </x:c>
      <x:c r="AD110" s="22" t="n">
        <x:v>28</x:v>
      </x:c>
      <x:c r="AE110" s="22" t="n">
        <x:v>6</x:v>
      </x:c>
      <x:c r="AF110" s="22" t="n">
        <x:v>83</x:v>
      </x:c>
      <x:c r="AG110" s="22" t="n">
        <x:v>7</x:v>
      </x:c>
      <x:c r="AH110" s="22" t="n">
        <x:v>8</x:v>
      </x:c>
      <x:c r="AI110" s="22" t="n">
        <x:v>25</x:v>
      </x:c>
      <x:c r="AJ110" s="22" t="n">
        <x:v>0</x:v>
      </x:c>
      <x:c r="AK110" s="22" t="n">
        <x:v>1</x:v>
      </x:c>
      <x:c r="AL110" s="22" t="n">
        <x:v>402</x:v>
      </x:c>
      <x:c r="AM110" s="22" t="n">
        <x:v>43</x:v>
      </x:c>
      <x:c r="AN110" s="22" t="n">
        <x:v>4</x:v>
      </x:c>
      <x:c r="AO110" s="22" t="n">
        <x:v>4</x:v>
      </x:c>
      <x:c r="AP110" s="22" t="n">
        <x:v>1400</x:v>
      </x:c>
      <x:c r="AQ110" s="22" t="n">
        <x:v>15</x:v>
      </x:c>
      <x:c r="AR110" s="22" t="n">
        <x:v>0</x:v>
      </x:c>
      <x:c r="AS110" s="22" t="n">
        <x:v>10</x:v>
      </x:c>
      <x:c r="AT110" s="22" t="n">
        <x:v>10</x:v>
      </x:c>
      <x:c r="AU110" s="22" t="n">
        <x:v>0</x:v>
      </x:c>
      <x:c r="AV110" s="22" t="n">
        <x:v>0</x:v>
      </x:c>
      <x:c r="AW110" s="22" t="n">
        <x:v>0</x:v>
      </x:c>
    </x:row>
    <x:row r="111" ht="24" customHeight="1">
      <x:c r="A111" s="22" t="str">
        <x:v>P0107</x:v>
      </x:c>
      <x:c r="B111" s="22" t="n">
        <x:v>4</x:v>
      </x:c>
      <x:c r="C111" s="22" t="n">
        <x:v>1</x:v>
      </x:c>
      <x:c r="D111" s="22" t="str">
        <x:v>潮痕猎首·葛弥挑战前</x:v>
      </x:c>
      <x:c r="E111" s="22" t="n">
        <x:v>6772</x:v>
      </x:c>
      <x:c r="F111" s="22" t="n">
        <x:v>7820</x:v>
      </x:c>
      <x:c r="G111" s="22" t="n">
        <x:v>6961</x:v>
      </x:c>
      <x:c r="H111" s="22" t="n">
        <x:v>7994</x:v>
      </x:c>
      <x:c r="I111" s="22" t="n">
        <x:v>6755</x:v>
      </x:c>
      <x:c r="J111" s="22" t="n">
        <x:v>7788</x:v>
      </x:c>
      <x:c r="K111" s="22" t="n">
        <x:v>988800</x:v>
      </x:c>
      <x:c r="L111" s="22" t="n">
        <x:v>80500</x:v>
      </x:c>
      <x:c r="M111" s="22" t="n">
        <x:v>329</x:v>
      </x:c>
      <x:c r="N111" s="22" t="n">
        <x:v>593</x:v>
      </x:c>
      <x:c r="O111" s="22" t="n">
        <x:v>267</x:v>
      </x:c>
      <x:c r="P111" s="22" t="n">
        <x:v>487</x:v>
      </x:c>
      <x:c r="Q111" s="22" t="n">
        <x:v>508</x:v>
      </x:c>
      <x:c r="R111" s="22" t="n">
        <x:v>427</x:v>
      </x:c>
      <x:c r="S111" s="22" t="n">
        <x:v>427</x:v>
      </x:c>
      <x:c r="T111" s="22" t="n">
        <x:v>0.11000000000000001</x:v>
      </x:c>
      <x:c r="U111" s="22" t="n">
        <x:v>20</x:v>
      </x:c>
      <x:c r="V111" s="22" t="n">
        <x:v>127</x:v>
      </x:c>
      <x:c r="W111" s="22" t="n">
        <x:v>79</x:v>
      </x:c>
      <x:c r="X111" s="22" t="n">
        <x:v>22</x:v>
      </x:c>
      <x:c r="Y111" s="22" t="n">
        <x:v>193</x:v>
      </x:c>
      <x:c r="Z111" s="22" t="n">
        <x:v>1</x:v>
      </x:c>
      <x:c r="AA111" s="22" t="n">
        <x:v>12</x:v>
      </x:c>
      <x:c r="AB111" s="22" t="n">
        <x:v>0</x:v>
      </x:c>
      <x:c r="AC111" s="22" t="n">
        <x:v>0</x:v>
      </x:c>
      <x:c r="AD111" s="22" t="n">
        <x:v>28</x:v>
      </x:c>
      <x:c r="AE111" s="22" t="n">
        <x:v>6</x:v>
      </x:c>
      <x:c r="AF111" s="22" t="n">
        <x:v>83</x:v>
      </x:c>
      <x:c r="AG111" s="22" t="n">
        <x:v>7</x:v>
      </x:c>
      <x:c r="AH111" s="22" t="n">
        <x:v>8</x:v>
      </x:c>
      <x:c r="AI111" s="22" t="n">
        <x:v>25</x:v>
      </x:c>
      <x:c r="AJ111" s="22" t="n">
        <x:v>0</x:v>
      </x:c>
      <x:c r="AK111" s="22" t="n">
        <x:v>2</x:v>
      </x:c>
      <x:c r="AL111" s="22" t="n">
        <x:v>402</x:v>
      </x:c>
      <x:c r="AM111" s="22" t="n">
        <x:v>43</x:v>
      </x:c>
      <x:c r="AN111" s="22" t="n">
        <x:v>4</x:v>
      </x:c>
      <x:c r="AO111" s="22" t="n">
        <x:v>4</x:v>
      </x:c>
      <x:c r="AP111" s="22" t="n">
        <x:v>1400</x:v>
      </x:c>
      <x:c r="AQ111" s="22" t="n">
        <x:v>15</x:v>
      </x:c>
      <x:c r="AR111" s="22" t="n">
        <x:v>0</x:v>
      </x:c>
      <x:c r="AS111" s="22" t="n">
        <x:v>10</x:v>
      </x:c>
      <x:c r="AT111" s="22" t="n">
        <x:v>10</x:v>
      </x:c>
      <x:c r="AU111" s="22" t="n">
        <x:v>0</x:v>
      </x:c>
      <x:c r="AV111" s="22" t="n">
        <x:v>0</x:v>
      </x:c>
      <x:c r="AW111" s="22" t="n">
        <x:v>0</x:v>
      </x:c>
    </x:row>
    <x:row r="112" ht="24" customHeight="1">
      <x:c r="A112" s="22" t="str">
        <x:v>P0108</x:v>
      </x:c>
      <x:c r="B112" s="22" t="n">
        <x:v>4</x:v>
      </x:c>
      <x:c r="C112" s="22" t="n">
        <x:v>1</x:v>
      </x:c>
      <x:c r="D112" s="22" t="str">
        <x:v>沼冠腐龙·弥瑟挑战前</x:v>
      </x:c>
      <x:c r="E112" s="22" t="n">
        <x:v>6772</x:v>
      </x:c>
      <x:c r="F112" s="22" t="n">
        <x:v>7820</x:v>
      </x:c>
      <x:c r="G112" s="22" t="n">
        <x:v>6961</x:v>
      </x:c>
      <x:c r="H112" s="22" t="n">
        <x:v>7994</x:v>
      </x:c>
      <x:c r="I112" s="22" t="n">
        <x:v>6755</x:v>
      </x:c>
      <x:c r="J112" s="22" t="n">
        <x:v>7788</x:v>
      </x:c>
      <x:c r="K112" s="22" t="n">
        <x:v>988800</x:v>
      </x:c>
      <x:c r="L112" s="22" t="n">
        <x:v>80500</x:v>
      </x:c>
      <x:c r="M112" s="22" t="n">
        <x:v>329</x:v>
      </x:c>
      <x:c r="N112" s="22" t="n">
        <x:v>593</x:v>
      </x:c>
      <x:c r="O112" s="22" t="n">
        <x:v>267</x:v>
      </x:c>
      <x:c r="P112" s="22" t="n">
        <x:v>487</x:v>
      </x:c>
      <x:c r="Q112" s="22" t="n">
        <x:v>508</x:v>
      </x:c>
      <x:c r="R112" s="22" t="n">
        <x:v>427</x:v>
      </x:c>
      <x:c r="S112" s="22" t="n">
        <x:v>427</x:v>
      </x:c>
      <x:c r="T112" s="22" t="n">
        <x:v>0.11000000000000001</x:v>
      </x:c>
      <x:c r="U112" s="22" t="n">
        <x:v>20</x:v>
      </x:c>
      <x:c r="V112" s="22" t="n">
        <x:v>127</x:v>
      </x:c>
      <x:c r="W112" s="22" t="n">
        <x:v>79</x:v>
      </x:c>
      <x:c r="X112" s="22" t="n">
        <x:v>22</x:v>
      </x:c>
      <x:c r="Y112" s="22" t="n">
        <x:v>193</x:v>
      </x:c>
      <x:c r="Z112" s="22" t="n">
        <x:v>1</x:v>
      </x:c>
      <x:c r="AA112" s="22" t="n">
        <x:v>12</x:v>
      </x:c>
      <x:c r="AB112" s="22" t="n">
        <x:v>0</x:v>
      </x:c>
      <x:c r="AC112" s="22" t="n">
        <x:v>0</x:v>
      </x:c>
      <x:c r="AD112" s="22" t="n">
        <x:v>28</x:v>
      </x:c>
      <x:c r="AE112" s="22" t="n">
        <x:v>6</x:v>
      </x:c>
      <x:c r="AF112" s="22" t="n">
        <x:v>83</x:v>
      </x:c>
      <x:c r="AG112" s="22" t="n">
        <x:v>7</x:v>
      </x:c>
      <x:c r="AH112" s="22" t="n">
        <x:v>8</x:v>
      </x:c>
      <x:c r="AI112" s="22" t="n">
        <x:v>25</x:v>
      </x:c>
      <x:c r="AJ112" s="22" t="n">
        <x:v>0</x:v>
      </x:c>
      <x:c r="AK112" s="22" t="n">
        <x:v>2</x:v>
      </x:c>
      <x:c r="AL112" s="22" t="n">
        <x:v>402</x:v>
      </x:c>
      <x:c r="AM112" s="22" t="n">
        <x:v>43</x:v>
      </x:c>
      <x:c r="AN112" s="22" t="n">
        <x:v>4</x:v>
      </x:c>
      <x:c r="AO112" s="22" t="n">
        <x:v>4</x:v>
      </x:c>
      <x:c r="AP112" s="22" t="n">
        <x:v>1400</x:v>
      </x:c>
      <x:c r="AQ112" s="22" t="n">
        <x:v>15</x:v>
      </x:c>
      <x:c r="AR112" s="22" t="n">
        <x:v>0</x:v>
      </x:c>
      <x:c r="AS112" s="22" t="n">
        <x:v>10</x:v>
      </x:c>
      <x:c r="AT112" s="22" t="n">
        <x:v>10</x:v>
      </x:c>
      <x:c r="AU112" s="22" t="n">
        <x:v>0</x:v>
      </x:c>
      <x:c r="AV112" s="22" t="n">
        <x:v>0</x:v>
      </x:c>
      <x:c r="AW112" s="22" t="n">
        <x:v>0</x:v>
      </x:c>
    </x:row>
    <x:row r="113" ht="24" customHeight="1">
      <x:c r="A113" s="22" t="str">
        <x:v>P0109</x:v>
      </x:c>
      <x:c r="B113" s="22" t="n">
        <x:v>4</x:v>
      </x:c>
      <x:c r="C113" s="22" t="n">
        <x:v>1</x:v>
      </x:c>
      <x:c r="D113" s="22" t="str">
        <x:v>雾潮湿地BOSS装备快线</x:v>
      </x:c>
      <x:c r="E113" s="22" t="n">
        <x:v>7097</x:v>
      </x:c>
      <x:c r="F113" s="22" t="n">
        <x:v>8477</x:v>
      </x:c>
      <x:c r="G113" s="22" t="n">
        <x:v>7071</x:v>
      </x:c>
      <x:c r="H113" s="22" t="n">
        <x:v>8436</x:v>
      </x:c>
      <x:c r="I113" s="22" t="n">
        <x:v>7080</x:v>
      </x:c>
      <x:c r="J113" s="22" t="n">
        <x:v>8445</x:v>
      </x:c>
      <x:c r="K113" s="22" t="n">
        <x:v>1035400</x:v>
      </x:c>
      <x:c r="L113" s="22" t="n">
        <x:v>80500</x:v>
      </x:c>
      <x:c r="M113" s="22" t="n">
        <x:v>360</x:v>
      </x:c>
      <x:c r="N113" s="22" t="n">
        <x:v>649</x:v>
      </x:c>
      <x:c r="O113" s="22" t="n">
        <x:v>292</x:v>
      </x:c>
      <x:c r="P113" s="22" t="n">
        <x:v>533</x:v>
      </x:c>
      <x:c r="Q113" s="22" t="n">
        <x:v>472</x:v>
      </x:c>
      <x:c r="R113" s="22" t="n">
        <x:v>435</x:v>
      </x:c>
      <x:c r="S113" s="22" t="n">
        <x:v>435</x:v>
      </x:c>
      <x:c r="T113" s="22" t="n">
        <x:v>0.11000000000000001</x:v>
      </x:c>
      <x:c r="U113" s="22" t="n">
        <x:v>20</x:v>
      </x:c>
      <x:c r="V113" s="22" t="n">
        <x:v>155</x:v>
      </x:c>
      <x:c r="W113" s="22" t="n">
        <x:v>83</x:v>
      </x:c>
      <x:c r="X113" s="22" t="n">
        <x:v>22</x:v>
      </x:c>
      <x:c r="Y113" s="22" t="n">
        <x:v>216</x:v>
      </x:c>
      <x:c r="Z113" s="22" t="n">
        <x:v>0</x:v>
      </x:c>
      <x:c r="AA113" s="22" t="n">
        <x:v>32</x:v>
      </x:c>
      <x:c r="AB113" s="22" t="n">
        <x:v>0</x:v>
      </x:c>
      <x:c r="AC113" s="22" t="n">
        <x:v>0</x:v>
      </x:c>
      <x:c r="AD113" s="22" t="n">
        <x:v>38</x:v>
      </x:c>
      <x:c r="AE113" s="22" t="n">
        <x:v>7</x:v>
      </x:c>
      <x:c r="AF113" s="22" t="n">
        <x:v>89</x:v>
      </x:c>
      <x:c r="AG113" s="22" t="n">
        <x:v>7</x:v>
      </x:c>
      <x:c r="AH113" s="22" t="n">
        <x:v>8</x:v>
      </x:c>
      <x:c r="AI113" s="22" t="n">
        <x:v>27</x:v>
      </x:c>
      <x:c r="AJ113" s="22" t="n">
        <x:v>2</x:v>
      </x:c>
      <x:c r="AK113" s="22" t="n">
        <x:v>2</x:v>
      </x:c>
      <x:c r="AL113" s="22" t="n">
        <x:v>402</x:v>
      </x:c>
      <x:c r="AM113" s="22" t="n">
        <x:v>44</x:v>
      </x:c>
      <x:c r="AN113" s="22" t="n">
        <x:v>4</x:v>
      </x:c>
      <x:c r="AO113" s="22" t="n">
        <x:v>6</x:v>
      </x:c>
      <x:c r="AP113" s="22" t="n">
        <x:v>1695</x:v>
      </x:c>
      <x:c r="AQ113" s="22" t="n">
        <x:v>16</x:v>
      </x:c>
      <x:c r="AR113" s="22" t="n">
        <x:v>0</x:v>
      </x:c>
      <x:c r="AS113" s="22" t="n">
        <x:v>10</x:v>
      </x:c>
      <x:c r="AT113" s="22" t="n">
        <x:v>10</x:v>
      </x:c>
      <x:c r="AU113" s="22" t="n">
        <x:v>0</x:v>
      </x:c>
      <x:c r="AV113" s="22" t="n">
        <x:v>0</x:v>
      </x:c>
      <x:c r="AW113" s="22" t="n">
        <x:v>0</x:v>
      </x:c>
    </x:row>
    <x:row r="114" ht="24" customHeight="1">
      <x:c r="A114" s="22" t="str">
        <x:v>P0110</x:v>
      </x:c>
      <x:c r="B114" s="22" t="n">
        <x:v>4</x:v>
      </x:c>
      <x:c r="C114" s="22" t="n">
        <x:v>1</x:v>
      </x:c>
      <x:c r="D114" s="22" t="str">
        <x:v>雾潮湿地阶段积累后</x:v>
      </x:c>
      <x:c r="E114" s="22" t="n">
        <x:v>6777</x:v>
      </x:c>
      <x:c r="F114" s="22" t="n">
        <x:v>7825</x:v>
      </x:c>
      <x:c r="G114" s="22" t="n">
        <x:v>6966</x:v>
      </x:c>
      <x:c r="H114" s="22" t="n">
        <x:v>7999</x:v>
      </x:c>
      <x:c r="I114" s="22" t="n">
        <x:v>6760</x:v>
      </x:c>
      <x:c r="J114" s="22" t="n">
        <x:v>7793</x:v>
      </x:c>
      <x:c r="K114" s="22" t="n">
        <x:v>989300</x:v>
      </x:c>
      <x:c r="L114" s="22" t="n">
        <x:v>80500</x:v>
      </x:c>
      <x:c r="M114" s="22" t="n">
        <x:v>329</x:v>
      </x:c>
      <x:c r="N114" s="22" t="n">
        <x:v>593</x:v>
      </x:c>
      <x:c r="O114" s="22" t="n">
        <x:v>267</x:v>
      </x:c>
      <x:c r="P114" s="22" t="n">
        <x:v>487</x:v>
      </x:c>
      <x:c r="Q114" s="22" t="n">
        <x:v>508</x:v>
      </x:c>
      <x:c r="R114" s="22" t="n">
        <x:v>427</x:v>
      </x:c>
      <x:c r="S114" s="22" t="n">
        <x:v>427</x:v>
      </x:c>
      <x:c r="T114" s="22" t="n">
        <x:v>0.3100000000000001</x:v>
      </x:c>
      <x:c r="U114" s="22" t="n">
        <x:v>20</x:v>
      </x:c>
      <x:c r="V114" s="22" t="n">
        <x:v>127</x:v>
      </x:c>
      <x:c r="W114" s="22" t="n">
        <x:v>79</x:v>
      </x:c>
      <x:c r="X114" s="22" t="n">
        <x:v>22</x:v>
      </x:c>
      <x:c r="Y114" s="22" t="n">
        <x:v>193</x:v>
      </x:c>
      <x:c r="Z114" s="22" t="n">
        <x:v>1</x:v>
      </x:c>
      <x:c r="AA114" s="22" t="n">
        <x:v>12</x:v>
      </x:c>
      <x:c r="AB114" s="22" t="n">
        <x:v>0</x:v>
      </x:c>
      <x:c r="AC114" s="22" t="n">
        <x:v>0</x:v>
      </x:c>
      <x:c r="AD114" s="22" t="n">
        <x:v>28</x:v>
      </x:c>
      <x:c r="AE114" s="22" t="n">
        <x:v>6</x:v>
      </x:c>
      <x:c r="AF114" s="22" t="n">
        <x:v>83</x:v>
      </x:c>
      <x:c r="AG114" s="22" t="n">
        <x:v>7</x:v>
      </x:c>
      <x:c r="AH114" s="22" t="n">
        <x:v>8</x:v>
      </x:c>
      <x:c r="AI114" s="22" t="n">
        <x:v>25</x:v>
      </x:c>
      <x:c r="AJ114" s="22" t="n">
        <x:v>0</x:v>
      </x:c>
      <x:c r="AK114" s="22" t="n">
        <x:v>2</x:v>
      </x:c>
      <x:c r="AL114" s="22" t="n">
        <x:v>402</x:v>
      </x:c>
      <x:c r="AM114" s="22" t="n">
        <x:v>43</x:v>
      </x:c>
      <x:c r="AN114" s="22" t="n">
        <x:v>4</x:v>
      </x:c>
      <x:c r="AO114" s="22" t="n">
        <x:v>4</x:v>
      </x:c>
      <x:c r="AP114" s="22" t="n">
        <x:v>1400</x:v>
      </x:c>
      <x:c r="AQ114" s="22" t="n">
        <x:v>15</x:v>
      </x:c>
      <x:c r="AR114" s="22" t="n">
        <x:v>0</x:v>
      </x:c>
      <x:c r="AS114" s="22" t="n">
        <x:v>10</x:v>
      </x:c>
      <x:c r="AT114" s="22" t="n">
        <x:v>10</x:v>
      </x:c>
      <x:c r="AU114" s="22" t="n">
        <x:v>0</x:v>
      </x:c>
      <x:c r="AV114" s="22" t="n">
        <x:v>0</x:v>
      </x:c>
      <x:c r="AW114" s="22" t="n">
        <x:v>0</x:v>
      </x:c>
    </x:row>
    <x:row r="115" ht="24" customHeight="1">
      <x:c r="A115" s="22" t="str">
        <x:v>P0111</x:v>
      </x:c>
      <x:c r="B115" s="22" t="n">
        <x:v>4</x:v>
      </x:c>
      <x:c r="C115" s="22" t="n">
        <x:v>2</x:v>
      </x:c>
      <x:c r="D115" s="22" t="str">
        <x:v>C04G02入场</x:v>
      </x:c>
      <x:c r="E115" s="22" t="n">
        <x:v>6777</x:v>
      </x:c>
      <x:c r="F115" s="22" t="n">
        <x:v>7825</x:v>
      </x:c>
      <x:c r="G115" s="22" t="n">
        <x:v>6966</x:v>
      </x:c>
      <x:c r="H115" s="22" t="n">
        <x:v>7999</x:v>
      </x:c>
      <x:c r="I115" s="22" t="n">
        <x:v>6760</x:v>
      </x:c>
      <x:c r="J115" s="22" t="n">
        <x:v>7793</x:v>
      </x:c>
      <x:c r="K115" s="22" t="n">
        <x:v>989300</x:v>
      </x:c>
      <x:c r="L115" s="22" t="n">
        <x:v>80500</x:v>
      </x:c>
      <x:c r="M115" s="22" t="n">
        <x:v>329</x:v>
      </x:c>
      <x:c r="N115" s="22" t="n">
        <x:v>593</x:v>
      </x:c>
      <x:c r="O115" s="22" t="n">
        <x:v>267</x:v>
      </x:c>
      <x:c r="P115" s="22" t="n">
        <x:v>487</x:v>
      </x:c>
      <x:c r="Q115" s="22" t="n">
        <x:v>508</x:v>
      </x:c>
      <x:c r="R115" s="22" t="n">
        <x:v>427</x:v>
      </x:c>
      <x:c r="S115" s="22" t="n">
        <x:v>427</x:v>
      </x:c>
      <x:c r="T115" s="22" t="n">
        <x:v>0.3100000000000001</x:v>
      </x:c>
      <x:c r="U115" s="22" t="n">
        <x:v>20</x:v>
      </x:c>
      <x:c r="V115" s="22" t="n">
        <x:v>127</x:v>
      </x:c>
      <x:c r="W115" s="22" t="n">
        <x:v>79</x:v>
      </x:c>
      <x:c r="X115" s="22" t="n">
        <x:v>22</x:v>
      </x:c>
      <x:c r="Y115" s="22" t="n">
        <x:v>193</x:v>
      </x:c>
      <x:c r="Z115" s="22" t="n">
        <x:v>1</x:v>
      </x:c>
      <x:c r="AA115" s="22" t="n">
        <x:v>12</x:v>
      </x:c>
      <x:c r="AB115" s="22" t="n">
        <x:v>0</x:v>
      </x:c>
      <x:c r="AC115" s="22" t="n">
        <x:v>0</x:v>
      </x:c>
      <x:c r="AD115" s="22" t="n">
        <x:v>28</x:v>
      </x:c>
      <x:c r="AE115" s="22" t="n">
        <x:v>6</x:v>
      </x:c>
      <x:c r="AF115" s="22" t="n">
        <x:v>83</x:v>
      </x:c>
      <x:c r="AG115" s="22" t="n">
        <x:v>7</x:v>
      </x:c>
      <x:c r="AH115" s="22" t="n">
        <x:v>8</x:v>
      </x:c>
      <x:c r="AI115" s="22" t="n">
        <x:v>25</x:v>
      </x:c>
      <x:c r="AJ115" s="22" t="n">
        <x:v>0</x:v>
      </x:c>
      <x:c r="AK115" s="22" t="n">
        <x:v>2</x:v>
      </x:c>
      <x:c r="AL115" s="22" t="n">
        <x:v>402</x:v>
      </x:c>
      <x:c r="AM115" s="22" t="n">
        <x:v>43</x:v>
      </x:c>
      <x:c r="AN115" s="22" t="n">
        <x:v>4</x:v>
      </x:c>
      <x:c r="AO115" s="22" t="n">
        <x:v>4</x:v>
      </x:c>
      <x:c r="AP115" s="22" t="n">
        <x:v>1400</x:v>
      </x:c>
      <x:c r="AQ115" s="22" t="n">
        <x:v>15</x:v>
      </x:c>
      <x:c r="AR115" s="22" t="n">
        <x:v>0</x:v>
      </x:c>
      <x:c r="AS115" s="22" t="n">
        <x:v>10</x:v>
      </x:c>
      <x:c r="AT115" s="22" t="n">
        <x:v>10</x:v>
      </x:c>
      <x:c r="AU115" s="22" t="n">
        <x:v>0</x:v>
      </x:c>
      <x:c r="AV115" s="22" t="n">
        <x:v>0</x:v>
      </x:c>
      <x:c r="AW115" s="22" t="n">
        <x:v>0</x:v>
      </x:c>
    </x:row>
    <x:row r="116" ht="24" customHeight="1">
      <x:c r="A116" s="22" t="str">
        <x:v>P0112</x:v>
      </x:c>
      <x:c r="B116" s="22" t="n">
        <x:v>4</x:v>
      </x:c>
      <x:c r="C116" s="22" t="n">
        <x:v>2</x:v>
      </x:c>
      <x:c r="D116" s="22" t="str">
        <x:v>C04G02普通专属4/6</x:v>
      </x:c>
      <x:c r="E116" s="22" t="n">
        <x:v>6777</x:v>
      </x:c>
      <x:c r="F116" s="22" t="n">
        <x:v>7825</x:v>
      </x:c>
      <x:c r="G116" s="22" t="n">
        <x:v>6966</x:v>
      </x:c>
      <x:c r="H116" s="22" t="n">
        <x:v>7999</x:v>
      </x:c>
      <x:c r="I116" s="22" t="n">
        <x:v>6760</x:v>
      </x:c>
      <x:c r="J116" s="22" t="n">
        <x:v>7793</x:v>
      </x:c>
      <x:c r="K116" s="22" t="n">
        <x:v>989300</x:v>
      </x:c>
      <x:c r="L116" s="22" t="n">
        <x:v>80500</x:v>
      </x:c>
      <x:c r="M116" s="22" t="n">
        <x:v>329</x:v>
      </x:c>
      <x:c r="N116" s="22" t="n">
        <x:v>593</x:v>
      </x:c>
      <x:c r="O116" s="22" t="n">
        <x:v>267</x:v>
      </x:c>
      <x:c r="P116" s="22" t="n">
        <x:v>487</x:v>
      </x:c>
      <x:c r="Q116" s="22" t="n">
        <x:v>508</x:v>
      </x:c>
      <x:c r="R116" s="22" t="n">
        <x:v>427</x:v>
      </x:c>
      <x:c r="S116" s="22" t="n">
        <x:v>427</x:v>
      </x:c>
      <x:c r="T116" s="22" t="n">
        <x:v>0.3100000000000001</x:v>
      </x:c>
      <x:c r="U116" s="22" t="n">
        <x:v>20</x:v>
      </x:c>
      <x:c r="V116" s="22" t="n">
        <x:v>127</x:v>
      </x:c>
      <x:c r="W116" s="22" t="n">
        <x:v>79</x:v>
      </x:c>
      <x:c r="X116" s="22" t="n">
        <x:v>22</x:v>
      </x:c>
      <x:c r="Y116" s="22" t="n">
        <x:v>193</x:v>
      </x:c>
      <x:c r="Z116" s="22" t="n">
        <x:v>1</x:v>
      </x:c>
      <x:c r="AA116" s="22" t="n">
        <x:v>12</x:v>
      </x:c>
      <x:c r="AB116" s="22" t="n">
        <x:v>0</x:v>
      </x:c>
      <x:c r="AC116" s="22" t="n">
        <x:v>0</x:v>
      </x:c>
      <x:c r="AD116" s="22" t="n">
        <x:v>28</x:v>
      </x:c>
      <x:c r="AE116" s="22" t="n">
        <x:v>6</x:v>
      </x:c>
      <x:c r="AF116" s="22" t="n">
        <x:v>83</x:v>
      </x:c>
      <x:c r="AG116" s="22" t="n">
        <x:v>7</x:v>
      </x:c>
      <x:c r="AH116" s="22" t="n">
        <x:v>8</x:v>
      </x:c>
      <x:c r="AI116" s="22" t="n">
        <x:v>25</x:v>
      </x:c>
      <x:c r="AJ116" s="22" t="n">
        <x:v>0</x:v>
      </x:c>
      <x:c r="AK116" s="22" t="n">
        <x:v>2</x:v>
      </x:c>
      <x:c r="AL116" s="22" t="n">
        <x:v>402</x:v>
      </x:c>
      <x:c r="AM116" s="22" t="n">
        <x:v>43</x:v>
      </x:c>
      <x:c r="AN116" s="22" t="n">
        <x:v>4</x:v>
      </x:c>
      <x:c r="AO116" s="22" t="n">
        <x:v>4</x:v>
      </x:c>
      <x:c r="AP116" s="22" t="n">
        <x:v>1400</x:v>
      </x:c>
      <x:c r="AQ116" s="22" t="n">
        <x:v>15</x:v>
      </x:c>
      <x:c r="AR116" s="22" t="n">
        <x:v>0</x:v>
      </x:c>
      <x:c r="AS116" s="22" t="n">
        <x:v>10</x:v>
      </x:c>
      <x:c r="AT116" s="22" t="n">
        <x:v>10</x:v>
      </x:c>
      <x:c r="AU116" s="22" t="n">
        <x:v>0</x:v>
      </x:c>
      <x:c r="AV116" s="22" t="n">
        <x:v>0</x:v>
      </x:c>
      <x:c r="AW116" s="22" t="n">
        <x:v>0</x:v>
      </x:c>
    </x:row>
    <x:row r="117" ht="24" customHeight="1">
      <x:c r="A117" s="22" t="str">
        <x:v>P0113</x:v>
      </x:c>
      <x:c r="B117" s="22" t="n">
        <x:v>4</x:v>
      </x:c>
      <x:c r="C117" s="22" t="n">
        <x:v>2</x:v>
      </x:c>
      <x:c r="D117" s="22" t="str">
        <x:v>淹廊判官·摩汶挑战前</x:v>
      </x:c>
      <x:c r="E117" s="22" t="n">
        <x:v>7202</x:v>
      </x:c>
      <x:c r="F117" s="22" t="n">
        <x:v>8250</x:v>
      </x:c>
      <x:c r="G117" s="22" t="n">
        <x:v>7391</x:v>
      </x:c>
      <x:c r="H117" s="22" t="n">
        <x:v>8424</x:v>
      </x:c>
      <x:c r="I117" s="22" t="n">
        <x:v>7185</x:v>
      </x:c>
      <x:c r="J117" s="22" t="n">
        <x:v>8218</x:v>
      </x:c>
      <x:c r="K117" s="22" t="n">
        <x:v>1031800</x:v>
      </x:c>
      <x:c r="L117" s="22" t="n">
        <x:v>80500</x:v>
      </x:c>
      <x:c r="M117" s="22" t="n">
        <x:v>329</x:v>
      </x:c>
      <x:c r="N117" s="22" t="n">
        <x:v>593</x:v>
      </x:c>
      <x:c r="O117" s="22" t="n">
        <x:v>267</x:v>
      </x:c>
      <x:c r="P117" s="22" t="n">
        <x:v>487</x:v>
      </x:c>
      <x:c r="Q117" s="22" t="n">
        <x:v>508</x:v>
      </x:c>
      <x:c r="R117" s="22" t="n">
        <x:v>427</x:v>
      </x:c>
      <x:c r="S117" s="22" t="n">
        <x:v>427</x:v>
      </x:c>
      <x:c r="T117" s="22" t="n">
        <x:v>0.3100000000000001</x:v>
      </x:c>
      <x:c r="U117" s="22" t="n">
        <x:v>20</x:v>
      </x:c>
      <x:c r="V117" s="22" t="n">
        <x:v>127</x:v>
      </x:c>
      <x:c r="W117" s="22" t="n">
        <x:v>79</x:v>
      </x:c>
      <x:c r="X117" s="22" t="n">
        <x:v>22</x:v>
      </x:c>
      <x:c r="Y117" s="22" t="n">
        <x:v>193</x:v>
      </x:c>
      <x:c r="Z117" s="22" t="n">
        <x:v>1</x:v>
      </x:c>
      <x:c r="AA117" s="22" t="n">
        <x:v>12</x:v>
      </x:c>
      <x:c r="AB117" s="22" t="n">
        <x:v>0</x:v>
      </x:c>
      <x:c r="AC117" s="22" t="n">
        <x:v>0</x:v>
      </x:c>
      <x:c r="AD117" s="22" t="n">
        <x:v>28</x:v>
      </x:c>
      <x:c r="AE117" s="22" t="n">
        <x:v>6</x:v>
      </x:c>
      <x:c r="AF117" s="22" t="n">
        <x:v>83</x:v>
      </x:c>
      <x:c r="AG117" s="22" t="n">
        <x:v>7</x:v>
      </x:c>
      <x:c r="AH117" s="22" t="n">
        <x:v>8</x:v>
      </x:c>
      <x:c r="AI117" s="22" t="n">
        <x:v>25</x:v>
      </x:c>
      <x:c r="AJ117" s="22" t="n">
        <x:v>0</x:v>
      </x:c>
      <x:c r="AK117" s="22" t="n">
        <x:v>2</x:v>
      </x:c>
      <x:c r="AL117" s="22" t="n">
        <x:v>402</x:v>
      </x:c>
      <x:c r="AM117" s="22" t="n">
        <x:v>43</x:v>
      </x:c>
      <x:c r="AN117" s="22" t="n">
        <x:v>4</x:v>
      </x:c>
      <x:c r="AO117" s="22" t="n">
        <x:v>4</x:v>
      </x:c>
      <x:c r="AP117" s="22" t="n">
        <x:v>1400</x:v>
      </x:c>
      <x:c r="AQ117" s="22" t="n">
        <x:v>15</x:v>
      </x:c>
      <x:c r="AR117" s="22" t="n">
        <x:v>0</x:v>
      </x:c>
      <x:c r="AS117" s="22" t="n">
        <x:v>10</x:v>
      </x:c>
      <x:c r="AT117" s="22" t="n">
        <x:v>10</x:v>
      </x:c>
      <x:c r="AU117" s="22" t="n">
        <x:v>0</x:v>
      </x:c>
      <x:c r="AV117" s="22" t="n">
        <x:v>0</x:v>
      </x:c>
      <x:c r="AW117" s="22" t="n">
        <x:v>0</x:v>
      </x:c>
    </x:row>
    <x:row r="118" ht="24" customHeight="1">
      <x:c r="A118" s="22" t="str">
        <x:v>P0114</x:v>
      </x:c>
      <x:c r="B118" s="22" t="n">
        <x:v>4</x:v>
      </x:c>
      <x:c r="C118" s="22" t="n">
        <x:v>2</x:v>
      </x:c>
      <x:c r="D118" s="22" t="str">
        <x:v>无声湖后·塞芙拉挑战前</x:v>
      </x:c>
      <x:c r="E118" s="22" t="n">
        <x:v>7202</x:v>
      </x:c>
      <x:c r="F118" s="22" t="n">
        <x:v>8250</x:v>
      </x:c>
      <x:c r="G118" s="22" t="n">
        <x:v>7391</x:v>
      </x:c>
      <x:c r="H118" s="22" t="n">
        <x:v>8424</x:v>
      </x:c>
      <x:c r="I118" s="22" t="n">
        <x:v>7185</x:v>
      </x:c>
      <x:c r="J118" s="22" t="n">
        <x:v>8218</x:v>
      </x:c>
      <x:c r="K118" s="22" t="n">
        <x:v>1031800</x:v>
      </x:c>
      <x:c r="L118" s="22" t="n">
        <x:v>80500</x:v>
      </x:c>
      <x:c r="M118" s="22" t="n">
        <x:v>329</x:v>
      </x:c>
      <x:c r="N118" s="22" t="n">
        <x:v>593</x:v>
      </x:c>
      <x:c r="O118" s="22" t="n">
        <x:v>267</x:v>
      </x:c>
      <x:c r="P118" s="22" t="n">
        <x:v>487</x:v>
      </x:c>
      <x:c r="Q118" s="22" t="n">
        <x:v>508</x:v>
      </x:c>
      <x:c r="R118" s="22" t="n">
        <x:v>427</x:v>
      </x:c>
      <x:c r="S118" s="22" t="n">
        <x:v>427</x:v>
      </x:c>
      <x:c r="T118" s="22" t="n">
        <x:v>0.3100000000000001</x:v>
      </x:c>
      <x:c r="U118" s="22" t="n">
        <x:v>20</x:v>
      </x:c>
      <x:c r="V118" s="22" t="n">
        <x:v>127</x:v>
      </x:c>
      <x:c r="W118" s="22" t="n">
        <x:v>79</x:v>
      </x:c>
      <x:c r="X118" s="22" t="n">
        <x:v>22</x:v>
      </x:c>
      <x:c r="Y118" s="22" t="n">
        <x:v>193</x:v>
      </x:c>
      <x:c r="Z118" s="22" t="n">
        <x:v>1</x:v>
      </x:c>
      <x:c r="AA118" s="22" t="n">
        <x:v>12</x:v>
      </x:c>
      <x:c r="AB118" s="22" t="n">
        <x:v>0</x:v>
      </x:c>
      <x:c r="AC118" s="22" t="n">
        <x:v>0</x:v>
      </x:c>
      <x:c r="AD118" s="22" t="n">
        <x:v>28</x:v>
      </x:c>
      <x:c r="AE118" s="22" t="n">
        <x:v>6</x:v>
      </x:c>
      <x:c r="AF118" s="22" t="n">
        <x:v>83</x:v>
      </x:c>
      <x:c r="AG118" s="22" t="n">
        <x:v>7</x:v>
      </x:c>
      <x:c r="AH118" s="22" t="n">
        <x:v>8</x:v>
      </x:c>
      <x:c r="AI118" s="22" t="n">
        <x:v>25</x:v>
      </x:c>
      <x:c r="AJ118" s="22" t="n">
        <x:v>0</x:v>
      </x:c>
      <x:c r="AK118" s="22" t="n">
        <x:v>2</x:v>
      </x:c>
      <x:c r="AL118" s="22" t="n">
        <x:v>402</x:v>
      </x:c>
      <x:c r="AM118" s="22" t="n">
        <x:v>43</x:v>
      </x:c>
      <x:c r="AN118" s="22" t="n">
        <x:v>4</x:v>
      </x:c>
      <x:c r="AO118" s="22" t="n">
        <x:v>4</x:v>
      </x:c>
      <x:c r="AP118" s="22" t="n">
        <x:v>1400</x:v>
      </x:c>
      <x:c r="AQ118" s="22" t="n">
        <x:v>15</x:v>
      </x:c>
      <x:c r="AR118" s="22" t="n">
        <x:v>0</x:v>
      </x:c>
      <x:c r="AS118" s="22" t="n">
        <x:v>10</x:v>
      </x:c>
      <x:c r="AT118" s="22" t="n">
        <x:v>10</x:v>
      </x:c>
      <x:c r="AU118" s="22" t="n">
        <x:v>0</x:v>
      </x:c>
      <x:c r="AV118" s="22" t="n">
        <x:v>0</x:v>
      </x:c>
      <x:c r="AW118" s="22" t="n">
        <x:v>0</x:v>
      </x:c>
    </x:row>
    <x:row r="119" ht="24" customHeight="1">
      <x:c r="A119" s="22" t="str">
        <x:v>P0115</x:v>
      </x:c>
      <x:c r="B119" s="22" t="n">
        <x:v>4</x:v>
      </x:c>
      <x:c r="C119" s="22" t="n">
        <x:v>2</x:v>
      </x:c>
      <x:c r="D119" s="22" t="str">
        <x:v>沉湖遗迹BOSS装备快线</x:v>
      </x:c>
      <x:c r="E119" s="22" t="n">
        <x:v>7477</x:v>
      </x:c>
      <x:c r="F119" s="22" t="n">
        <x:v>8810</x:v>
      </x:c>
      <x:c r="G119" s="22" t="n">
        <x:v>7451</x:v>
      </x:c>
      <x:c r="H119" s="22" t="n">
        <x:v>8769</x:v>
      </x:c>
      <x:c r="I119" s="22" t="n">
        <x:v>7460</x:v>
      </x:c>
      <x:c r="J119" s="22" t="n">
        <x:v>8778</x:v>
      </x:c>
      <x:c r="K119" s="22" t="n">
        <x:v>1066700</x:v>
      </x:c>
      <x:c r="L119" s="22" t="n">
        <x:v>80500</x:v>
      </x:c>
      <x:c r="M119" s="22" t="n">
        <x:v>329</x:v>
      </x:c>
      <x:c r="N119" s="22" t="n">
        <x:v>593</x:v>
      </x:c>
      <x:c r="O119" s="22" t="n">
        <x:v>267</x:v>
      </x:c>
      <x:c r="P119" s="22" t="n">
        <x:v>487</x:v>
      </x:c>
      <x:c r="Q119" s="22" t="n">
        <x:v>515</x:v>
      </x:c>
      <x:c r="R119" s="22" t="n">
        <x:v>478</x:v>
      </x:c>
      <x:c r="S119" s="22" t="n">
        <x:v>478</x:v>
      </x:c>
      <x:c r="T119" s="22" t="n">
        <x:v>0.3100000000000001</x:v>
      </x:c>
      <x:c r="U119" s="22" t="n">
        <x:v>20</x:v>
      </x:c>
      <x:c r="V119" s="22" t="n">
        <x:v>152</x:v>
      </x:c>
      <x:c r="W119" s="22" t="n">
        <x:v>91</x:v>
      </x:c>
      <x:c r="X119" s="22" t="n">
        <x:v>22</x:v>
      </x:c>
      <x:c r="Y119" s="22" t="n">
        <x:v>209</x:v>
      </x:c>
      <x:c r="Z119" s="22" t="n">
        <x:v>0</x:v>
      </x:c>
      <x:c r="AA119" s="22" t="n">
        <x:v>52</x:v>
      </x:c>
      <x:c r="AB119" s="22" t="n">
        <x:v>0</x:v>
      </x:c>
      <x:c r="AC119" s="22" t="n">
        <x:v>0</x:v>
      </x:c>
      <x:c r="AD119" s="22" t="n">
        <x:v>38</x:v>
      </x:c>
      <x:c r="AE119" s="22" t="n">
        <x:v>7</x:v>
      </x:c>
      <x:c r="AF119" s="22" t="n">
        <x:v>89</x:v>
      </x:c>
      <x:c r="AG119" s="22" t="n">
        <x:v>7</x:v>
      </x:c>
      <x:c r="AH119" s="22" t="n">
        <x:v>8</x:v>
      </x:c>
      <x:c r="AI119" s="22" t="n">
        <x:v>27</x:v>
      </x:c>
      <x:c r="AJ119" s="22" t="n">
        <x:v>2</x:v>
      </x:c>
      <x:c r="AK119" s="22" t="n">
        <x:v>2</x:v>
      </x:c>
      <x:c r="AL119" s="22" t="n">
        <x:v>402</x:v>
      </x:c>
      <x:c r="AM119" s="22" t="n">
        <x:v>43</x:v>
      </x:c>
      <x:c r="AN119" s="22" t="n">
        <x:v>4</x:v>
      </x:c>
      <x:c r="AO119" s="22" t="n">
        <x:v>6</x:v>
      </x:c>
      <x:c r="AP119" s="22" t="n">
        <x:v>1695</x:v>
      </x:c>
      <x:c r="AQ119" s="22" t="n">
        <x:v>16</x:v>
      </x:c>
      <x:c r="AR119" s="22" t="n">
        <x:v>0</x:v>
      </x:c>
      <x:c r="AS119" s="22" t="n">
        <x:v>10</x:v>
      </x:c>
      <x:c r="AT119" s="22" t="n">
        <x:v>10</x:v>
      </x:c>
      <x:c r="AU119" s="22" t="n">
        <x:v>0</x:v>
      </x:c>
      <x:c r="AV119" s="22" t="n">
        <x:v>0</x:v>
      </x:c>
      <x:c r="AW119" s="22" t="n">
        <x:v>0</x:v>
      </x:c>
    </x:row>
    <x:row r="120" ht="24" customHeight="1">
      <x:c r="A120" s="22" t="str">
        <x:v>P0116</x:v>
      </x:c>
      <x:c r="B120" s="22" t="n">
        <x:v>4</x:v>
      </x:c>
      <x:c r="C120" s="22" t="n">
        <x:v>2</x:v>
      </x:c>
      <x:c r="D120" s="22" t="str">
        <x:v>沉湖遗迹阶段积累后</x:v>
      </x:c>
      <x:c r="E120" s="22" t="n">
        <x:v>7227</x:v>
      </x:c>
      <x:c r="F120" s="22" t="n">
        <x:v>8275</x:v>
      </x:c>
      <x:c r="G120" s="22" t="n">
        <x:v>7416</x:v>
      </x:c>
      <x:c r="H120" s="22" t="n">
        <x:v>8449</x:v>
      </x:c>
      <x:c r="I120" s="22" t="n">
        <x:v>7210</x:v>
      </x:c>
      <x:c r="J120" s="22" t="n">
        <x:v>8243</x:v>
      </x:c>
      <x:c r="K120" s="22" t="n">
        <x:v>1034300</x:v>
      </x:c>
      <x:c r="L120" s="22" t="n">
        <x:v>80500</x:v>
      </x:c>
      <x:c r="M120" s="22" t="n">
        <x:v>329</x:v>
      </x:c>
      <x:c r="N120" s="22" t="n">
        <x:v>593</x:v>
      </x:c>
      <x:c r="O120" s="22" t="n">
        <x:v>267</x:v>
      </x:c>
      <x:c r="P120" s="22" t="n">
        <x:v>487</x:v>
      </x:c>
      <x:c r="Q120" s="22" t="n">
        <x:v>508</x:v>
      </x:c>
      <x:c r="R120" s="22" t="n">
        <x:v>427</x:v>
      </x:c>
      <x:c r="S120" s="22" t="n">
        <x:v>427</x:v>
      </x:c>
      <x:c r="T120" s="22" t="n">
        <x:v>0.3100000000000001</x:v>
      </x:c>
      <x:c r="U120" s="22" t="n">
        <x:v>20</x:v>
      </x:c>
      <x:c r="V120" s="22" t="n">
        <x:v>127</x:v>
      </x:c>
      <x:c r="W120" s="22" t="n">
        <x:v>79</x:v>
      </x:c>
      <x:c r="X120" s="22" t="n">
        <x:v>22</x:v>
      </x:c>
      <x:c r="Y120" s="22" t="n">
        <x:v>193</x:v>
      </x:c>
      <x:c r="Z120" s="22" t="n">
        <x:v>1</x:v>
      </x:c>
      <x:c r="AA120" s="22" t="n">
        <x:v>12</x:v>
      </x:c>
      <x:c r="AB120" s="22" t="n">
        <x:v>0</x:v>
      </x:c>
      <x:c r="AC120" s="22" t="n">
        <x:v>0</x:v>
      </x:c>
      <x:c r="AD120" s="22" t="n">
        <x:v>28</x:v>
      </x:c>
      <x:c r="AE120" s="22" t="n">
        <x:v>6</x:v>
      </x:c>
      <x:c r="AF120" s="22" t="n">
        <x:v>83</x:v>
      </x:c>
      <x:c r="AG120" s="22" t="n">
        <x:v>7</x:v>
      </x:c>
      <x:c r="AH120" s="22" t="n">
        <x:v>8</x:v>
      </x:c>
      <x:c r="AI120" s="22" t="n">
        <x:v>25</x:v>
      </x:c>
      <x:c r="AJ120" s="22" t="n">
        <x:v>0</x:v>
      </x:c>
      <x:c r="AK120" s="22" t="n">
        <x:v>2</x:v>
      </x:c>
      <x:c r="AL120" s="22" t="n">
        <x:v>402</x:v>
      </x:c>
      <x:c r="AM120" s="22" t="n">
        <x:v>43</x:v>
      </x:c>
      <x:c r="AN120" s="22" t="n">
        <x:v>4</x:v>
      </x:c>
      <x:c r="AO120" s="22" t="n">
        <x:v>4</x:v>
      </x:c>
      <x:c r="AP120" s="22" t="n">
        <x:v>1400</x:v>
      </x:c>
      <x:c r="AQ120" s="22" t="n">
        <x:v>15</x:v>
      </x:c>
      <x:c r="AR120" s="22" t="n">
        <x:v>0</x:v>
      </x:c>
      <x:c r="AS120" s="22" t="n">
        <x:v>10</x:v>
      </x:c>
      <x:c r="AT120" s="22" t="n">
        <x:v>10</x:v>
      </x:c>
      <x:c r="AU120" s="22" t="n">
        <x:v>0</x:v>
      </x:c>
      <x:c r="AV120" s="22" t="n">
        <x:v>0</x:v>
      </x:c>
      <x:c r="AW120" s="22" t="n">
        <x:v>0</x:v>
      </x:c>
    </x:row>
    <x:row r="121" ht="24" customHeight="1">
      <x:c r="A121" s="22" t="str">
        <x:v>P0117</x:v>
      </x:c>
      <x:c r="B121" s="22" t="n">
        <x:v>4</x:v>
      </x:c>
      <x:c r="C121" s="22" t="n">
        <x:v>3</x:v>
      </x:c>
      <x:c r="D121" s="22" t="str">
        <x:v>C04G03入场</x:v>
      </x:c>
      <x:c r="E121" s="22" t="n">
        <x:v>7227</x:v>
      </x:c>
      <x:c r="F121" s="22" t="n">
        <x:v>8275</x:v>
      </x:c>
      <x:c r="G121" s="22" t="n">
        <x:v>7416</x:v>
      </x:c>
      <x:c r="H121" s="22" t="n">
        <x:v>8449</x:v>
      </x:c>
      <x:c r="I121" s="22" t="n">
        <x:v>7210</x:v>
      </x:c>
      <x:c r="J121" s="22" t="n">
        <x:v>8243</x:v>
      </x:c>
      <x:c r="K121" s="22" t="n">
        <x:v>1034300</x:v>
      </x:c>
      <x:c r="L121" s="22" t="n">
        <x:v>80500</x:v>
      </x:c>
      <x:c r="M121" s="22" t="n">
        <x:v>329</x:v>
      </x:c>
      <x:c r="N121" s="22" t="n">
        <x:v>593</x:v>
      </x:c>
      <x:c r="O121" s="22" t="n">
        <x:v>267</x:v>
      </x:c>
      <x:c r="P121" s="22" t="n">
        <x:v>487</x:v>
      </x:c>
      <x:c r="Q121" s="22" t="n">
        <x:v>508</x:v>
      </x:c>
      <x:c r="R121" s="22" t="n">
        <x:v>427</x:v>
      </x:c>
      <x:c r="S121" s="22" t="n">
        <x:v>427</x:v>
      </x:c>
      <x:c r="T121" s="22" t="n">
        <x:v>0.3100000000000001</x:v>
      </x:c>
      <x:c r="U121" s="22" t="n">
        <x:v>20</x:v>
      </x:c>
      <x:c r="V121" s="22" t="n">
        <x:v>127</x:v>
      </x:c>
      <x:c r="W121" s="22" t="n">
        <x:v>79</x:v>
      </x:c>
      <x:c r="X121" s="22" t="n">
        <x:v>22</x:v>
      </x:c>
      <x:c r="Y121" s="22" t="n">
        <x:v>193</x:v>
      </x:c>
      <x:c r="Z121" s="22" t="n">
        <x:v>1</x:v>
      </x:c>
      <x:c r="AA121" s="22" t="n">
        <x:v>12</x:v>
      </x:c>
      <x:c r="AB121" s="22" t="n">
        <x:v>0</x:v>
      </x:c>
      <x:c r="AC121" s="22" t="n">
        <x:v>0</x:v>
      </x:c>
      <x:c r="AD121" s="22" t="n">
        <x:v>28</x:v>
      </x:c>
      <x:c r="AE121" s="22" t="n">
        <x:v>6</x:v>
      </x:c>
      <x:c r="AF121" s="22" t="n">
        <x:v>83</x:v>
      </x:c>
      <x:c r="AG121" s="22" t="n">
        <x:v>7</x:v>
      </x:c>
      <x:c r="AH121" s="22" t="n">
        <x:v>8</x:v>
      </x:c>
      <x:c r="AI121" s="22" t="n">
        <x:v>25</x:v>
      </x:c>
      <x:c r="AJ121" s="22" t="n">
        <x:v>0</x:v>
      </x:c>
      <x:c r="AK121" s="22" t="n">
        <x:v>2</x:v>
      </x:c>
      <x:c r="AL121" s="22" t="n">
        <x:v>402</x:v>
      </x:c>
      <x:c r="AM121" s="22" t="n">
        <x:v>43</x:v>
      </x:c>
      <x:c r="AN121" s="22" t="n">
        <x:v>4</x:v>
      </x:c>
      <x:c r="AO121" s="22" t="n">
        <x:v>4</x:v>
      </x:c>
      <x:c r="AP121" s="22" t="n">
        <x:v>1400</x:v>
      </x:c>
      <x:c r="AQ121" s="22" t="n">
        <x:v>15</x:v>
      </x:c>
      <x:c r="AR121" s="22" t="n">
        <x:v>0</x:v>
      </x:c>
      <x:c r="AS121" s="22" t="n">
        <x:v>10</x:v>
      </x:c>
      <x:c r="AT121" s="22" t="n">
        <x:v>10</x:v>
      </x:c>
      <x:c r="AU121" s="22" t="n">
        <x:v>0</x:v>
      </x:c>
      <x:c r="AV121" s="22" t="n">
        <x:v>0</x:v>
      </x:c>
      <x:c r="AW121" s="22" t="n">
        <x:v>0</x:v>
      </x:c>
    </x:row>
    <x:row r="122" ht="24" customHeight="1">
      <x:c r="A122" s="22" t="str">
        <x:v>P0118</x:v>
      </x:c>
      <x:c r="B122" s="22" t="n">
        <x:v>4</x:v>
      </x:c>
      <x:c r="C122" s="22" t="n">
        <x:v>3</x:v>
      </x:c>
      <x:c r="D122" s="22" t="str">
        <x:v>C04G03普通专属4/6</x:v>
      </x:c>
      <x:c r="E122" s="22" t="n">
        <x:v>7242</x:v>
      </x:c>
      <x:c r="F122" s="22" t="n">
        <x:v>8305</x:v>
      </x:c>
      <x:c r="G122" s="22" t="n">
        <x:v>7431</x:v>
      </x:c>
      <x:c r="H122" s="22" t="n">
        <x:v>8479</x:v>
      </x:c>
      <x:c r="I122" s="22" t="n">
        <x:v>7225</x:v>
      </x:c>
      <x:c r="J122" s="22" t="n">
        <x:v>8273</x:v>
      </x:c>
      <x:c r="K122" s="22" t="n">
        <x:v>1052200</x:v>
      </x:c>
      <x:c r="L122" s="22" t="n">
        <x:v>80500</x:v>
      </x:c>
      <x:c r="M122" s="22" t="n">
        <x:v>334</x:v>
      </x:c>
      <x:c r="N122" s="22" t="n">
        <x:v>604</x:v>
      </x:c>
      <x:c r="O122" s="22" t="n">
        <x:v>271</x:v>
      </x:c>
      <x:c r="P122" s="22" t="n">
        <x:v>495</x:v>
      </x:c>
      <x:c r="Q122" s="22" t="n">
        <x:v>510</x:v>
      </x:c>
      <x:c r="R122" s="22" t="n">
        <x:v>429</x:v>
      </x:c>
      <x:c r="S122" s="22" t="n">
        <x:v>429</x:v>
      </x:c>
      <x:c r="T122" s="22" t="n">
        <x:v>0.3100000000000001</x:v>
      </x:c>
      <x:c r="U122" s="22" t="n">
        <x:v>20</x:v>
      </x:c>
      <x:c r="V122" s="22" t="n">
        <x:v>128</x:v>
      </x:c>
      <x:c r="W122" s="22" t="n">
        <x:v>79</x:v>
      </x:c>
      <x:c r="X122" s="22" t="n">
        <x:v>22</x:v>
      </x:c>
      <x:c r="Y122" s="22" t="n">
        <x:v>193</x:v>
      </x:c>
      <x:c r="Z122" s="22" t="n">
        <x:v>1</x:v>
      </x:c>
      <x:c r="AA122" s="22" t="n">
        <x:v>12</x:v>
      </x:c>
      <x:c r="AB122" s="22" t="n">
        <x:v>0</x:v>
      </x:c>
      <x:c r="AC122" s="22" t="n">
        <x:v>0</x:v>
      </x:c>
      <x:c r="AD122" s="22" t="n">
        <x:v>28</x:v>
      </x:c>
      <x:c r="AE122" s="22" t="n">
        <x:v>6</x:v>
      </x:c>
      <x:c r="AF122" s="22" t="n">
        <x:v>83</x:v>
      </x:c>
      <x:c r="AG122" s="22" t="n">
        <x:v>7</x:v>
      </x:c>
      <x:c r="AH122" s="22" t="n">
        <x:v>8</x:v>
      </x:c>
      <x:c r="AI122" s="22" t="n">
        <x:v>25</x:v>
      </x:c>
      <x:c r="AJ122" s="22" t="n">
        <x:v>0</x:v>
      </x:c>
      <x:c r="AK122" s="22" t="n">
        <x:v>2</x:v>
      </x:c>
      <x:c r="AL122" s="22" t="n">
        <x:v>402</x:v>
      </x:c>
      <x:c r="AM122" s="22" t="n">
        <x:v>43</x:v>
      </x:c>
      <x:c r="AN122" s="22" t="n">
        <x:v>4</x:v>
      </x:c>
      <x:c r="AO122" s="22" t="n">
        <x:v>4</x:v>
      </x:c>
      <x:c r="AP122" s="22" t="n">
        <x:v>1400</x:v>
      </x:c>
      <x:c r="AQ122" s="22" t="n">
        <x:v>15</x:v>
      </x:c>
      <x:c r="AR122" s="22" t="n">
        <x:v>0</x:v>
      </x:c>
      <x:c r="AS122" s="22" t="n">
        <x:v>10</x:v>
      </x:c>
      <x:c r="AT122" s="22" t="n">
        <x:v>10</x:v>
      </x:c>
      <x:c r="AU122" s="22" t="n">
        <x:v>0</x:v>
      </x:c>
      <x:c r="AV122" s="22" t="n">
        <x:v>0</x:v>
      </x:c>
      <x:c r="AW122" s="22" t="n">
        <x:v>0</x:v>
      </x:c>
    </x:row>
    <x:row r="123" ht="24" customHeight="1">
      <x:c r="A123" s="22" t="str">
        <x:v>P0119</x:v>
      </x:c>
      <x:c r="B123" s="22" t="n">
        <x:v>4</x:v>
      </x:c>
      <x:c r="C123" s="22" t="n">
        <x:v>3</x:v>
      </x:c>
      <x:c r="D123" s="22" t="str">
        <x:v>锁舱船长·奥杜挑战前</x:v>
      </x:c>
      <x:c r="E123" s="22" t="n">
        <x:v>8692</x:v>
      </x:c>
      <x:c r="F123" s="22" t="n">
        <x:v>9755</x:v>
      </x:c>
      <x:c r="G123" s="22" t="n">
        <x:v>8881</x:v>
      </x:c>
      <x:c r="H123" s="22" t="n">
        <x:v>9929</x:v>
      </x:c>
      <x:c r="I123" s="22" t="n">
        <x:v>8675</x:v>
      </x:c>
      <x:c r="J123" s="22" t="n">
        <x:v>9723</x:v>
      </x:c>
      <x:c r="K123" s="22" t="n">
        <x:v>1197200</x:v>
      </x:c>
      <x:c r="L123" s="22" t="n">
        <x:v>180500</x:v>
      </x:c>
      <x:c r="M123" s="22" t="n">
        <x:v>334</x:v>
      </x:c>
      <x:c r="N123" s="22" t="n">
        <x:v>604</x:v>
      </x:c>
      <x:c r="O123" s="22" t="n">
        <x:v>271</x:v>
      </x:c>
      <x:c r="P123" s="22" t="n">
        <x:v>495</x:v>
      </x:c>
      <x:c r="Q123" s="22" t="n">
        <x:v>510</x:v>
      </x:c>
      <x:c r="R123" s="22" t="n">
        <x:v>429</x:v>
      </x:c>
      <x:c r="S123" s="22" t="n">
        <x:v>429</x:v>
      </x:c>
      <x:c r="T123" s="22" t="n">
        <x:v>0.3100000000000001</x:v>
      </x:c>
      <x:c r="U123" s="22" t="n">
        <x:v>20</x:v>
      </x:c>
      <x:c r="V123" s="22" t="n">
        <x:v>128</x:v>
      </x:c>
      <x:c r="W123" s="22" t="n">
        <x:v>79</x:v>
      </x:c>
      <x:c r="X123" s="22" t="n">
        <x:v>22</x:v>
      </x:c>
      <x:c r="Y123" s="22" t="n">
        <x:v>193</x:v>
      </x:c>
      <x:c r="Z123" s="22" t="n">
        <x:v>1</x:v>
      </x:c>
      <x:c r="AA123" s="22" t="n">
        <x:v>12</x:v>
      </x:c>
      <x:c r="AB123" s="22" t="n">
        <x:v>0</x:v>
      </x:c>
      <x:c r="AC123" s="22" t="n">
        <x:v>0</x:v>
      </x:c>
      <x:c r="AD123" s="22" t="n">
        <x:v>28</x:v>
      </x:c>
      <x:c r="AE123" s="22" t="n">
        <x:v>6</x:v>
      </x:c>
      <x:c r="AF123" s="22" t="n">
        <x:v>83</x:v>
      </x:c>
      <x:c r="AG123" s="22" t="n">
        <x:v>7</x:v>
      </x:c>
      <x:c r="AH123" s="22" t="n">
        <x:v>8</x:v>
      </x:c>
      <x:c r="AI123" s="22" t="n">
        <x:v>25</x:v>
      </x:c>
      <x:c r="AJ123" s="22" t="n">
        <x:v>0</x:v>
      </x:c>
      <x:c r="AK123" s="22" t="n">
        <x:v>2</x:v>
      </x:c>
      <x:c r="AL123" s="22" t="n">
        <x:v>402</x:v>
      </x:c>
      <x:c r="AM123" s="22" t="n">
        <x:v>43</x:v>
      </x:c>
      <x:c r="AN123" s="22" t="n">
        <x:v>4</x:v>
      </x:c>
      <x:c r="AO123" s="22" t="n">
        <x:v>4</x:v>
      </x:c>
      <x:c r="AP123" s="22" t="n">
        <x:v>1800</x:v>
      </x:c>
      <x:c r="AQ123" s="22" t="n">
        <x:v>15</x:v>
      </x:c>
      <x:c r="AR123" s="22" t="n">
        <x:v>0</x:v>
      </x:c>
      <x:c r="AS123" s="22" t="n">
        <x:v>10</x:v>
      </x:c>
      <x:c r="AT123" s="22" t="n">
        <x:v>10</x:v>
      </x:c>
      <x:c r="AU123" s="22" t="n">
        <x:v>0</x:v>
      </x:c>
      <x:c r="AV123" s="22" t="n">
        <x:v>0</x:v>
      </x:c>
      <x:c r="AW123" s="22" t="n">
        <x:v>0</x:v>
      </x:c>
    </x:row>
    <x:row r="124" ht="24" customHeight="1">
      <x:c r="A124" s="22" t="str">
        <x:v>P0120</x:v>
      </x:c>
      <x:c r="B124" s="22" t="n">
        <x:v>4</x:v>
      </x:c>
      <x:c r="C124" s="22" t="n">
        <x:v>3</x:v>
      </x:c>
      <x:c r="D124" s="22" t="str">
        <x:v>亡舟新娘·伊蕾莎挑战前</x:v>
      </x:c>
      <x:c r="E124" s="22" t="n">
        <x:v>8692</x:v>
      </x:c>
      <x:c r="F124" s="22" t="n">
        <x:v>9755</x:v>
      </x:c>
      <x:c r="G124" s="22" t="n">
        <x:v>8881</x:v>
      </x:c>
      <x:c r="H124" s="22" t="n">
        <x:v>9929</x:v>
      </x:c>
      <x:c r="I124" s="22" t="n">
        <x:v>8675</x:v>
      </x:c>
      <x:c r="J124" s="22" t="n">
        <x:v>9723</x:v>
      </x:c>
      <x:c r="K124" s="22" t="n">
        <x:v>1197200</x:v>
      </x:c>
      <x:c r="L124" s="22" t="n">
        <x:v>180500</x:v>
      </x:c>
      <x:c r="M124" s="22" t="n">
        <x:v>334</x:v>
      </x:c>
      <x:c r="N124" s="22" t="n">
        <x:v>604</x:v>
      </x:c>
      <x:c r="O124" s="22" t="n">
        <x:v>271</x:v>
      </x:c>
      <x:c r="P124" s="22" t="n">
        <x:v>495</x:v>
      </x:c>
      <x:c r="Q124" s="22" t="n">
        <x:v>510</x:v>
      </x:c>
      <x:c r="R124" s="22" t="n">
        <x:v>429</x:v>
      </x:c>
      <x:c r="S124" s="22" t="n">
        <x:v>429</x:v>
      </x:c>
      <x:c r="T124" s="22" t="n">
        <x:v>0.3100000000000001</x:v>
      </x:c>
      <x:c r="U124" s="22" t="n">
        <x:v>20</x:v>
      </x:c>
      <x:c r="V124" s="22" t="n">
        <x:v>128</x:v>
      </x:c>
      <x:c r="W124" s="22" t="n">
        <x:v>79</x:v>
      </x:c>
      <x:c r="X124" s="22" t="n">
        <x:v>22</x:v>
      </x:c>
      <x:c r="Y124" s="22" t="n">
        <x:v>193</x:v>
      </x:c>
      <x:c r="Z124" s="22" t="n">
        <x:v>1</x:v>
      </x:c>
      <x:c r="AA124" s="22" t="n">
        <x:v>12</x:v>
      </x:c>
      <x:c r="AB124" s="22" t="n">
        <x:v>0</x:v>
      </x:c>
      <x:c r="AC124" s="22" t="n">
        <x:v>0</x:v>
      </x:c>
      <x:c r="AD124" s="22" t="n">
        <x:v>28</x:v>
      </x:c>
      <x:c r="AE124" s="22" t="n">
        <x:v>6</x:v>
      </x:c>
      <x:c r="AF124" s="22" t="n">
        <x:v>83</x:v>
      </x:c>
      <x:c r="AG124" s="22" t="n">
        <x:v>7</x:v>
      </x:c>
      <x:c r="AH124" s="22" t="n">
        <x:v>8</x:v>
      </x:c>
      <x:c r="AI124" s="22" t="n">
        <x:v>25</x:v>
      </x:c>
      <x:c r="AJ124" s="22" t="n">
        <x:v>0</x:v>
      </x:c>
      <x:c r="AK124" s="22" t="n">
        <x:v>2</x:v>
      </x:c>
      <x:c r="AL124" s="22" t="n">
        <x:v>402</x:v>
      </x:c>
      <x:c r="AM124" s="22" t="n">
        <x:v>43</x:v>
      </x:c>
      <x:c r="AN124" s="22" t="n">
        <x:v>4</x:v>
      </x:c>
      <x:c r="AO124" s="22" t="n">
        <x:v>4</x:v>
      </x:c>
      <x:c r="AP124" s="22" t="n">
        <x:v>1800</x:v>
      </x:c>
      <x:c r="AQ124" s="22" t="n">
        <x:v>15</x:v>
      </x:c>
      <x:c r="AR124" s="22" t="n">
        <x:v>0</x:v>
      </x:c>
      <x:c r="AS124" s="22" t="n">
        <x:v>10</x:v>
      </x:c>
      <x:c r="AT124" s="22" t="n">
        <x:v>10</x:v>
      </x:c>
      <x:c r="AU124" s="22" t="n">
        <x:v>0</x:v>
      </x:c>
      <x:c r="AV124" s="22" t="n">
        <x:v>0</x:v>
      </x:c>
      <x:c r="AW124" s="22" t="n">
        <x:v>0</x:v>
      </x:c>
    </x:row>
    <x:row r="125" ht="24" customHeight="1">
      <x:c r="A125" s="22" t="str">
        <x:v>P0121</x:v>
      </x:c>
      <x:c r="B125" s="22" t="n">
        <x:v>4</x:v>
      </x:c>
      <x:c r="C125" s="22" t="n">
        <x:v>3</x:v>
      </x:c>
      <x:c r="D125" s="22" t="str">
        <x:v>湖心沉船BOSS装备快线</x:v>
      </x:c>
      <x:c r="E125" s="22" t="n">
        <x:v>9030</x:v>
      </x:c>
      <x:c r="F125" s="22" t="n">
        <x:v>10431</x:v>
      </x:c>
      <x:c r="G125" s="22" t="n">
        <x:v>9004</x:v>
      </x:c>
      <x:c r="H125" s="22" t="n">
        <x:v>10390</x:v>
      </x:c>
      <x:c r="I125" s="22" t="n">
        <x:v>9013</x:v>
      </x:c>
      <x:c r="J125" s="22" t="n">
        <x:v>10399</x:v>
      </x:c>
      <x:c r="K125" s="22" t="n">
        <x:v>1249900</x:v>
      </x:c>
      <x:c r="L125" s="22" t="n">
        <x:v>180500</x:v>
      </x:c>
      <x:c r="M125" s="22" t="n">
        <x:v>398</x:v>
      </x:c>
      <x:c r="N125" s="22" t="n">
        <x:v>720</x:v>
      </x:c>
      <x:c r="O125" s="22" t="n">
        <x:v>323</x:v>
      </x:c>
      <x:c r="P125" s="22" t="n">
        <x:v>591</x:v>
      </x:c>
      <x:c r="Q125" s="22" t="n">
        <x:v>539</x:v>
      </x:c>
      <x:c r="R125" s="22" t="n">
        <x:v>502</x:v>
      </x:c>
      <x:c r="S125" s="22" t="n">
        <x:v>502</x:v>
      </x:c>
      <x:c r="T125" s="22" t="n">
        <x:v>0.3100000000000001</x:v>
      </x:c>
      <x:c r="U125" s="22" t="n">
        <x:v>20</x:v>
      </x:c>
      <x:c r="V125" s="22" t="n">
        <x:v>163</x:v>
      </x:c>
      <x:c r="W125" s="22" t="n">
        <x:v>96</x:v>
      </x:c>
      <x:c r="X125" s="22" t="n">
        <x:v>22</x:v>
      </x:c>
      <x:c r="Y125" s="22" t="n">
        <x:v>209</x:v>
      </x:c>
      <x:c r="Z125" s="22" t="n">
        <x:v>0</x:v>
      </x:c>
      <x:c r="AA125" s="22" t="n">
        <x:v>72</x:v>
      </x:c>
      <x:c r="AB125" s="22" t="n">
        <x:v>0</x:v>
      </x:c>
      <x:c r="AC125" s="22" t="n">
        <x:v>0</x:v>
      </x:c>
      <x:c r="AD125" s="22" t="n">
        <x:v>38</x:v>
      </x:c>
      <x:c r="AE125" s="22" t="n">
        <x:v>7</x:v>
      </x:c>
      <x:c r="AF125" s="22" t="n">
        <x:v>89</x:v>
      </x:c>
      <x:c r="AG125" s="22" t="n">
        <x:v>7</x:v>
      </x:c>
      <x:c r="AH125" s="22" t="n">
        <x:v>8</x:v>
      </x:c>
      <x:c r="AI125" s="22" t="n">
        <x:v>27</x:v>
      </x:c>
      <x:c r="AJ125" s="22" t="n">
        <x:v>2</x:v>
      </x:c>
      <x:c r="AK125" s="22" t="n">
        <x:v>2</x:v>
      </x:c>
      <x:c r="AL125" s="22" t="n">
        <x:v>402</x:v>
      </x:c>
      <x:c r="AM125" s="22" t="n">
        <x:v>45</x:v>
      </x:c>
      <x:c r="AN125" s="22" t="n">
        <x:v>4</x:v>
      </x:c>
      <x:c r="AO125" s="22" t="n">
        <x:v>6</x:v>
      </x:c>
      <x:c r="AP125" s="22" t="n">
        <x:v>2095</x:v>
      </x:c>
      <x:c r="AQ125" s="22" t="n">
        <x:v>16</x:v>
      </x:c>
      <x:c r="AR125" s="22" t="n">
        <x:v>0</x:v>
      </x:c>
      <x:c r="AS125" s="22" t="n">
        <x:v>10</x:v>
      </x:c>
      <x:c r="AT125" s="22" t="n">
        <x:v>10</x:v>
      </x:c>
      <x:c r="AU125" s="22" t="n">
        <x:v>0</x:v>
      </x:c>
      <x:c r="AV125" s="22" t="n">
        <x:v>0</x:v>
      </x:c>
      <x:c r="AW125" s="22" t="n">
        <x:v>0</x:v>
      </x:c>
    </x:row>
    <x:row r="126" ht="24" customHeight="1">
      <x:c r="A126" s="22" t="str">
        <x:v>P0122</x:v>
      </x:c>
      <x:c r="B126" s="22" t="n">
        <x:v>4</x:v>
      </x:c>
      <x:c r="C126" s="22" t="n">
        <x:v>3</x:v>
      </x:c>
      <x:c r="D126" s="22" t="str">
        <x:v>湖心沉船阶段积累后</x:v>
      </x:c>
      <x:c r="E126" s="22" t="n">
        <x:v>8707</x:v>
      </x:c>
      <x:c r="F126" s="22" t="n">
        <x:v>9770</x:v>
      </x:c>
      <x:c r="G126" s="22" t="n">
        <x:v>8896</x:v>
      </x:c>
      <x:c r="H126" s="22" t="n">
        <x:v>9944</x:v>
      </x:c>
      <x:c r="I126" s="22" t="n">
        <x:v>8690</x:v>
      </x:c>
      <x:c r="J126" s="22" t="n">
        <x:v>9738</x:v>
      </x:c>
      <x:c r="K126" s="22" t="n">
        <x:v>1198700</x:v>
      </x:c>
      <x:c r="L126" s="22" t="n">
        <x:v>180500</x:v>
      </x:c>
      <x:c r="M126" s="22" t="n">
        <x:v>334</x:v>
      </x:c>
      <x:c r="N126" s="22" t="n">
        <x:v>604</x:v>
      </x:c>
      <x:c r="O126" s="22" t="n">
        <x:v>271</x:v>
      </x:c>
      <x:c r="P126" s="22" t="n">
        <x:v>495</x:v>
      </x:c>
      <x:c r="Q126" s="22" t="n">
        <x:v>510</x:v>
      </x:c>
      <x:c r="R126" s="22" t="n">
        <x:v>429</x:v>
      </x:c>
      <x:c r="S126" s="22" t="n">
        <x:v>429</x:v>
      </x:c>
      <x:c r="T126" s="22" t="n">
        <x:v>0.3100000000000001</x:v>
      </x:c>
      <x:c r="U126" s="22" t="n">
        <x:v>20</x:v>
      </x:c>
      <x:c r="V126" s="22" t="n">
        <x:v>128</x:v>
      </x:c>
      <x:c r="W126" s="22" t="n">
        <x:v>79</x:v>
      </x:c>
      <x:c r="X126" s="22" t="n">
        <x:v>22</x:v>
      </x:c>
      <x:c r="Y126" s="22" t="n">
        <x:v>193</x:v>
      </x:c>
      <x:c r="Z126" s="22" t="n">
        <x:v>1</x:v>
      </x:c>
      <x:c r="AA126" s="22" t="n">
        <x:v>12</x:v>
      </x:c>
      <x:c r="AB126" s="22" t="n">
        <x:v>0</x:v>
      </x:c>
      <x:c r="AC126" s="22" t="n">
        <x:v>0</x:v>
      </x:c>
      <x:c r="AD126" s="22" t="n">
        <x:v>28</x:v>
      </x:c>
      <x:c r="AE126" s="22" t="n">
        <x:v>6</x:v>
      </x:c>
      <x:c r="AF126" s="22" t="n">
        <x:v>83</x:v>
      </x:c>
      <x:c r="AG126" s="22" t="n">
        <x:v>7</x:v>
      </x:c>
      <x:c r="AH126" s="22" t="n">
        <x:v>8</x:v>
      </x:c>
      <x:c r="AI126" s="22" t="n">
        <x:v>25</x:v>
      </x:c>
      <x:c r="AJ126" s="22" t="n">
        <x:v>0</x:v>
      </x:c>
      <x:c r="AK126" s="22" t="n">
        <x:v>2</x:v>
      </x:c>
      <x:c r="AL126" s="22" t="n">
        <x:v>402</x:v>
      </x:c>
      <x:c r="AM126" s="22" t="n">
        <x:v>43</x:v>
      </x:c>
      <x:c r="AN126" s="22" t="n">
        <x:v>4</x:v>
      </x:c>
      <x:c r="AO126" s="22" t="n">
        <x:v>4</x:v>
      </x:c>
      <x:c r="AP126" s="22" t="n">
        <x:v>1800</x:v>
      </x:c>
      <x:c r="AQ126" s="22" t="n">
        <x:v>15</x:v>
      </x:c>
      <x:c r="AR126" s="22" t="n">
        <x:v>0</x:v>
      </x:c>
      <x:c r="AS126" s="22" t="n">
        <x:v>10</x:v>
      </x:c>
      <x:c r="AT126" s="22" t="n">
        <x:v>10</x:v>
      </x:c>
      <x:c r="AU126" s="22" t="n">
        <x:v>0</x:v>
      </x:c>
      <x:c r="AV126" s="22" t="n">
        <x:v>0</x:v>
      </x:c>
      <x:c r="AW126" s="22" t="n">
        <x:v>0</x:v>
      </x:c>
    </x:row>
    <x:row r="127" ht="24" customHeight="1">
      <x:c r="A127" s="22" t="str">
        <x:v>P0123</x:v>
      </x:c>
      <x:c r="B127" s="22" t="n">
        <x:v>4</x:v>
      </x:c>
      <x:c r="C127" s="22" t="n">
        <x:v>4</x:v>
      </x:c>
      <x:c r="D127" s="22" t="str">
        <x:v>C04G04入场</x:v>
      </x:c>
      <x:c r="E127" s="22" t="n">
        <x:v>8707</x:v>
      </x:c>
      <x:c r="F127" s="22" t="n">
        <x:v>9770</x:v>
      </x:c>
      <x:c r="G127" s="22" t="n">
        <x:v>8896</x:v>
      </x:c>
      <x:c r="H127" s="22" t="n">
        <x:v>9944</x:v>
      </x:c>
      <x:c r="I127" s="22" t="n">
        <x:v>8690</x:v>
      </x:c>
      <x:c r="J127" s="22" t="n">
        <x:v>9738</x:v>
      </x:c>
      <x:c r="K127" s="22" t="n">
        <x:v>1198700</x:v>
      </x:c>
      <x:c r="L127" s="22" t="n">
        <x:v>180500</x:v>
      </x:c>
      <x:c r="M127" s="22" t="n">
        <x:v>334</x:v>
      </x:c>
      <x:c r="N127" s="22" t="n">
        <x:v>604</x:v>
      </x:c>
      <x:c r="O127" s="22" t="n">
        <x:v>271</x:v>
      </x:c>
      <x:c r="P127" s="22" t="n">
        <x:v>495</x:v>
      </x:c>
      <x:c r="Q127" s="22" t="n">
        <x:v>510</x:v>
      </x:c>
      <x:c r="R127" s="22" t="n">
        <x:v>429</x:v>
      </x:c>
      <x:c r="S127" s="22" t="n">
        <x:v>429</x:v>
      </x:c>
      <x:c r="T127" s="22" t="n">
        <x:v>0.3100000000000001</x:v>
      </x:c>
      <x:c r="U127" s="22" t="n">
        <x:v>20</x:v>
      </x:c>
      <x:c r="V127" s="22" t="n">
        <x:v>128</x:v>
      </x:c>
      <x:c r="W127" s="22" t="n">
        <x:v>79</x:v>
      </x:c>
      <x:c r="X127" s="22" t="n">
        <x:v>22</x:v>
      </x:c>
      <x:c r="Y127" s="22" t="n">
        <x:v>193</x:v>
      </x:c>
      <x:c r="Z127" s="22" t="n">
        <x:v>1</x:v>
      </x:c>
      <x:c r="AA127" s="22" t="n">
        <x:v>12</x:v>
      </x:c>
      <x:c r="AB127" s="22" t="n">
        <x:v>0</x:v>
      </x:c>
      <x:c r="AC127" s="22" t="n">
        <x:v>0</x:v>
      </x:c>
      <x:c r="AD127" s="22" t="n">
        <x:v>28</x:v>
      </x:c>
      <x:c r="AE127" s="22" t="n">
        <x:v>6</x:v>
      </x:c>
      <x:c r="AF127" s="22" t="n">
        <x:v>83</x:v>
      </x:c>
      <x:c r="AG127" s="22" t="n">
        <x:v>7</x:v>
      </x:c>
      <x:c r="AH127" s="22" t="n">
        <x:v>8</x:v>
      </x:c>
      <x:c r="AI127" s="22" t="n">
        <x:v>25</x:v>
      </x:c>
      <x:c r="AJ127" s="22" t="n">
        <x:v>0</x:v>
      </x:c>
      <x:c r="AK127" s="22" t="n">
        <x:v>2</x:v>
      </x:c>
      <x:c r="AL127" s="22" t="n">
        <x:v>402</x:v>
      </x:c>
      <x:c r="AM127" s="22" t="n">
        <x:v>43</x:v>
      </x:c>
      <x:c r="AN127" s="22" t="n">
        <x:v>4</x:v>
      </x:c>
      <x:c r="AO127" s="22" t="n">
        <x:v>4</x:v>
      </x:c>
      <x:c r="AP127" s="22" t="n">
        <x:v>1800</x:v>
      </x:c>
      <x:c r="AQ127" s="22" t="n">
        <x:v>15</x:v>
      </x:c>
      <x:c r="AR127" s="22" t="n">
        <x:v>0</x:v>
      </x:c>
      <x:c r="AS127" s="22" t="n">
        <x:v>10</x:v>
      </x:c>
      <x:c r="AT127" s="22" t="n">
        <x:v>10</x:v>
      </x:c>
      <x:c r="AU127" s="22" t="n">
        <x:v>0</x:v>
      </x:c>
      <x:c r="AV127" s="22" t="n">
        <x:v>0</x:v>
      </x:c>
      <x:c r="AW127" s="22" t="n">
        <x:v>0</x:v>
      </x:c>
    </x:row>
    <x:row r="128" ht="24" customHeight="1">
      <x:c r="A128" s="22" t="str">
        <x:v>P0124</x:v>
      </x:c>
      <x:c r="B128" s="22" t="n">
        <x:v>4</x:v>
      </x:c>
      <x:c r="C128" s="22" t="n">
        <x:v>4</x:v>
      </x:c>
      <x:c r="D128" s="22" t="str">
        <x:v>C04G04普通专属4/6</x:v>
      </x:c>
      <x:c r="E128" s="22" t="n">
        <x:v>8707</x:v>
      </x:c>
      <x:c r="F128" s="22" t="n">
        <x:v>9770</x:v>
      </x:c>
      <x:c r="G128" s="22" t="n">
        <x:v>8896</x:v>
      </x:c>
      <x:c r="H128" s="22" t="n">
        <x:v>9944</x:v>
      </x:c>
      <x:c r="I128" s="22" t="n">
        <x:v>8690</x:v>
      </x:c>
      <x:c r="J128" s="22" t="n">
        <x:v>9738</x:v>
      </x:c>
      <x:c r="K128" s="22" t="n">
        <x:v>1198700</x:v>
      </x:c>
      <x:c r="L128" s="22" t="n">
        <x:v>180500</x:v>
      </x:c>
      <x:c r="M128" s="22" t="n">
        <x:v>334</x:v>
      </x:c>
      <x:c r="N128" s="22" t="n">
        <x:v>604</x:v>
      </x:c>
      <x:c r="O128" s="22" t="n">
        <x:v>271</x:v>
      </x:c>
      <x:c r="P128" s="22" t="n">
        <x:v>495</x:v>
      </x:c>
      <x:c r="Q128" s="22" t="n">
        <x:v>510</x:v>
      </x:c>
      <x:c r="R128" s="22" t="n">
        <x:v>429</x:v>
      </x:c>
      <x:c r="S128" s="22" t="n">
        <x:v>429</x:v>
      </x:c>
      <x:c r="T128" s="22" t="n">
        <x:v>0.3100000000000001</x:v>
      </x:c>
      <x:c r="U128" s="22" t="n">
        <x:v>20</x:v>
      </x:c>
      <x:c r="V128" s="22" t="n">
        <x:v>128</x:v>
      </x:c>
      <x:c r="W128" s="22" t="n">
        <x:v>79</x:v>
      </x:c>
      <x:c r="X128" s="22" t="n">
        <x:v>22</x:v>
      </x:c>
      <x:c r="Y128" s="22" t="n">
        <x:v>193</x:v>
      </x:c>
      <x:c r="Z128" s="22" t="n">
        <x:v>1</x:v>
      </x:c>
      <x:c r="AA128" s="22" t="n">
        <x:v>12</x:v>
      </x:c>
      <x:c r="AB128" s="22" t="n">
        <x:v>0</x:v>
      </x:c>
      <x:c r="AC128" s="22" t="n">
        <x:v>0</x:v>
      </x:c>
      <x:c r="AD128" s="22" t="n">
        <x:v>28</x:v>
      </x:c>
      <x:c r="AE128" s="22" t="n">
        <x:v>6</x:v>
      </x:c>
      <x:c r="AF128" s="22" t="n">
        <x:v>83</x:v>
      </x:c>
      <x:c r="AG128" s="22" t="n">
        <x:v>7</x:v>
      </x:c>
      <x:c r="AH128" s="22" t="n">
        <x:v>8</x:v>
      </x:c>
      <x:c r="AI128" s="22" t="n">
        <x:v>25</x:v>
      </x:c>
      <x:c r="AJ128" s="22" t="n">
        <x:v>0</x:v>
      </x:c>
      <x:c r="AK128" s="22" t="n">
        <x:v>2</x:v>
      </x:c>
      <x:c r="AL128" s="22" t="n">
        <x:v>402</x:v>
      </x:c>
      <x:c r="AM128" s="22" t="n">
        <x:v>43</x:v>
      </x:c>
      <x:c r="AN128" s="22" t="n">
        <x:v>4</x:v>
      </x:c>
      <x:c r="AO128" s="22" t="n">
        <x:v>4</x:v>
      </x:c>
      <x:c r="AP128" s="22" t="n">
        <x:v>1800</x:v>
      </x:c>
      <x:c r="AQ128" s="22" t="n">
        <x:v>15</x:v>
      </x:c>
      <x:c r="AR128" s="22" t="n">
        <x:v>0</x:v>
      </x:c>
      <x:c r="AS128" s="22" t="n">
        <x:v>10</x:v>
      </x:c>
      <x:c r="AT128" s="22" t="n">
        <x:v>10</x:v>
      </x:c>
      <x:c r="AU128" s="22" t="n">
        <x:v>0</x:v>
      </x:c>
      <x:c r="AV128" s="22" t="n">
        <x:v>0</x:v>
      </x:c>
      <x:c r="AW128" s="22" t="n">
        <x:v>0</x:v>
      </x:c>
    </x:row>
    <x:row r="129" ht="24" customHeight="1">
      <x:c r="A129" s="22" t="str">
        <x:v>P0125</x:v>
      </x:c>
      <x:c r="B129" s="22" t="n">
        <x:v>4</x:v>
      </x:c>
      <x:c r="C129" s="22" t="n">
        <x:v>4</x:v>
      </x:c>
      <x:c r="D129" s="22" t="str">
        <x:v>幽舵大副·赫岚挑战前</x:v>
      </x:c>
      <x:c r="E129" s="22" t="n">
        <x:v>9182</x:v>
      </x:c>
      <x:c r="F129" s="22" t="n">
        <x:v>10245</x:v>
      </x:c>
      <x:c r="G129" s="22" t="n">
        <x:v>9371</x:v>
      </x:c>
      <x:c r="H129" s="22" t="n">
        <x:v>10419</x:v>
      </x:c>
      <x:c r="I129" s="22" t="n">
        <x:v>9165</x:v>
      </x:c>
      <x:c r="J129" s="22" t="n">
        <x:v>10213</x:v>
      </x:c>
      <x:c r="K129" s="22" t="n">
        <x:v>1246200</x:v>
      </x:c>
      <x:c r="L129" s="22" t="n">
        <x:v>180500</x:v>
      </x:c>
      <x:c r="M129" s="22" t="n">
        <x:v>334</x:v>
      </x:c>
      <x:c r="N129" s="22" t="n">
        <x:v>604</x:v>
      </x:c>
      <x:c r="O129" s="22" t="n">
        <x:v>271</x:v>
      </x:c>
      <x:c r="P129" s="22" t="n">
        <x:v>495</x:v>
      </x:c>
      <x:c r="Q129" s="22" t="n">
        <x:v>510</x:v>
      </x:c>
      <x:c r="R129" s="22" t="n">
        <x:v>429</x:v>
      </x:c>
      <x:c r="S129" s="22" t="n">
        <x:v>429</x:v>
      </x:c>
      <x:c r="T129" s="22" t="n">
        <x:v>0.3100000000000001</x:v>
      </x:c>
      <x:c r="U129" s="22" t="n">
        <x:v>20</x:v>
      </x:c>
      <x:c r="V129" s="22" t="n">
        <x:v>128</x:v>
      </x:c>
      <x:c r="W129" s="22" t="n">
        <x:v>79</x:v>
      </x:c>
      <x:c r="X129" s="22" t="n">
        <x:v>22</x:v>
      </x:c>
      <x:c r="Y129" s="22" t="n">
        <x:v>193</x:v>
      </x:c>
      <x:c r="Z129" s="22" t="n">
        <x:v>1</x:v>
      </x:c>
      <x:c r="AA129" s="22" t="n">
        <x:v>12</x:v>
      </x:c>
      <x:c r="AB129" s="22" t="n">
        <x:v>0</x:v>
      </x:c>
      <x:c r="AC129" s="22" t="n">
        <x:v>0</x:v>
      </x:c>
      <x:c r="AD129" s="22" t="n">
        <x:v>28</x:v>
      </x:c>
      <x:c r="AE129" s="22" t="n">
        <x:v>6</x:v>
      </x:c>
      <x:c r="AF129" s="22" t="n">
        <x:v>83</x:v>
      </x:c>
      <x:c r="AG129" s="22" t="n">
        <x:v>7</x:v>
      </x:c>
      <x:c r="AH129" s="22" t="n">
        <x:v>8</x:v>
      </x:c>
      <x:c r="AI129" s="22" t="n">
        <x:v>25</x:v>
      </x:c>
      <x:c r="AJ129" s="22" t="n">
        <x:v>0</x:v>
      </x:c>
      <x:c r="AK129" s="22" t="n">
        <x:v>2</x:v>
      </x:c>
      <x:c r="AL129" s="22" t="n">
        <x:v>402</x:v>
      </x:c>
      <x:c r="AM129" s="22" t="n">
        <x:v>43</x:v>
      </x:c>
      <x:c r="AN129" s="22" t="n">
        <x:v>4</x:v>
      </x:c>
      <x:c r="AO129" s="22" t="n">
        <x:v>4</x:v>
      </x:c>
      <x:c r="AP129" s="22" t="n">
        <x:v>1800</x:v>
      </x:c>
      <x:c r="AQ129" s="22" t="n">
        <x:v>15</x:v>
      </x:c>
      <x:c r="AR129" s="22" t="n">
        <x:v>0</x:v>
      </x:c>
      <x:c r="AS129" s="22" t="n">
        <x:v>10</x:v>
      </x:c>
      <x:c r="AT129" s="22" t="n">
        <x:v>10</x:v>
      </x:c>
      <x:c r="AU129" s="22" t="n">
        <x:v>0</x:v>
      </x:c>
      <x:c r="AV129" s="22" t="n">
        <x:v>0</x:v>
      </x:c>
      <x:c r="AW129" s="22" t="n">
        <x:v>0</x:v>
      </x:c>
    </x:row>
    <x:row r="130" ht="24" customHeight="1">
      <x:c r="A130" s="22" t="str">
        <x:v>P0126</x:v>
      </x:c>
      <x:c r="B130" s="22" t="n">
        <x:v>4</x:v>
      </x:c>
      <x:c r="C130" s="22" t="n">
        <x:v>4</x:v>
      </x:c>
      <x:c r="D130" s="22" t="str">
        <x:v>百舱吞魂者·沃姆挑战前</x:v>
      </x:c>
      <x:c r="E130" s="22" t="n">
        <x:v>9182</x:v>
      </x:c>
      <x:c r="F130" s="22" t="n">
        <x:v>10245</x:v>
      </x:c>
      <x:c r="G130" s="22" t="n">
        <x:v>9371</x:v>
      </x:c>
      <x:c r="H130" s="22" t="n">
        <x:v>10419</x:v>
      </x:c>
      <x:c r="I130" s="22" t="n">
        <x:v>9165</x:v>
      </x:c>
      <x:c r="J130" s="22" t="n">
        <x:v>10213</x:v>
      </x:c>
      <x:c r="K130" s="22" t="n">
        <x:v>1246200</x:v>
      </x:c>
      <x:c r="L130" s="22" t="n">
        <x:v>180500</x:v>
      </x:c>
      <x:c r="M130" s="22" t="n">
        <x:v>334</x:v>
      </x:c>
      <x:c r="N130" s="22" t="n">
        <x:v>604</x:v>
      </x:c>
      <x:c r="O130" s="22" t="n">
        <x:v>271</x:v>
      </x:c>
      <x:c r="P130" s="22" t="n">
        <x:v>495</x:v>
      </x:c>
      <x:c r="Q130" s="22" t="n">
        <x:v>510</x:v>
      </x:c>
      <x:c r="R130" s="22" t="n">
        <x:v>429</x:v>
      </x:c>
      <x:c r="S130" s="22" t="n">
        <x:v>429</x:v>
      </x:c>
      <x:c r="T130" s="22" t="n">
        <x:v>0.3100000000000001</x:v>
      </x:c>
      <x:c r="U130" s="22" t="n">
        <x:v>20</x:v>
      </x:c>
      <x:c r="V130" s="22" t="n">
        <x:v>128</x:v>
      </x:c>
      <x:c r="W130" s="22" t="n">
        <x:v>79</x:v>
      </x:c>
      <x:c r="X130" s="22" t="n">
        <x:v>22</x:v>
      </x:c>
      <x:c r="Y130" s="22" t="n">
        <x:v>193</x:v>
      </x:c>
      <x:c r="Z130" s="22" t="n">
        <x:v>1</x:v>
      </x:c>
      <x:c r="AA130" s="22" t="n">
        <x:v>12</x:v>
      </x:c>
      <x:c r="AB130" s="22" t="n">
        <x:v>0</x:v>
      </x:c>
      <x:c r="AC130" s="22" t="n">
        <x:v>0</x:v>
      </x:c>
      <x:c r="AD130" s="22" t="n">
        <x:v>28</x:v>
      </x:c>
      <x:c r="AE130" s="22" t="n">
        <x:v>6</x:v>
      </x:c>
      <x:c r="AF130" s="22" t="n">
        <x:v>83</x:v>
      </x:c>
      <x:c r="AG130" s="22" t="n">
        <x:v>7</x:v>
      </x:c>
      <x:c r="AH130" s="22" t="n">
        <x:v>8</x:v>
      </x:c>
      <x:c r="AI130" s="22" t="n">
        <x:v>25</x:v>
      </x:c>
      <x:c r="AJ130" s="22" t="n">
        <x:v>0</x:v>
      </x:c>
      <x:c r="AK130" s="22" t="n">
        <x:v>2</x:v>
      </x:c>
      <x:c r="AL130" s="22" t="n">
        <x:v>402</x:v>
      </x:c>
      <x:c r="AM130" s="22" t="n">
        <x:v>43</x:v>
      </x:c>
      <x:c r="AN130" s="22" t="n">
        <x:v>4</x:v>
      </x:c>
      <x:c r="AO130" s="22" t="n">
        <x:v>4</x:v>
      </x:c>
      <x:c r="AP130" s="22" t="n">
        <x:v>1800</x:v>
      </x:c>
      <x:c r="AQ130" s="22" t="n">
        <x:v>15</x:v>
      </x:c>
      <x:c r="AR130" s="22" t="n">
        <x:v>0</x:v>
      </x:c>
      <x:c r="AS130" s="22" t="n">
        <x:v>10</x:v>
      </x:c>
      <x:c r="AT130" s="22" t="n">
        <x:v>10</x:v>
      </x:c>
      <x:c r="AU130" s="22" t="n">
        <x:v>0</x:v>
      </x:c>
      <x:c r="AV130" s="22" t="n">
        <x:v>0</x:v>
      </x:c>
      <x:c r="AW130" s="22" t="n">
        <x:v>0</x:v>
      </x:c>
    </x:row>
    <x:row r="131" ht="24" customHeight="1">
      <x:c r="A131" s="22" t="str">
        <x:v>P0127</x:v>
      </x:c>
      <x:c r="B131" s="22" t="n">
        <x:v>4</x:v>
      </x:c>
      <x:c r="C131" s="22" t="n">
        <x:v>4</x:v>
      </x:c>
      <x:c r="D131" s="22" t="str">
        <x:v>幽灵船骸BOSS装备快线</x:v>
      </x:c>
      <x:c r="E131" s="22" t="n">
        <x:v>9432</x:v>
      </x:c>
      <x:c r="F131" s="22" t="n">
        <x:v>10755</x:v>
      </x:c>
      <x:c r="G131" s="22" t="n">
        <x:v>9406</x:v>
      </x:c>
      <x:c r="H131" s="22" t="n">
        <x:v>10714</x:v>
      </x:c>
      <x:c r="I131" s="22" t="n">
        <x:v>9415</x:v>
      </x:c>
      <x:c r="J131" s="22" t="n">
        <x:v>10723</x:v>
      </x:c>
      <x:c r="K131" s="22" t="n">
        <x:v>1261900</x:v>
      </x:c>
      <x:c r="L131" s="22" t="n">
        <x:v>180500</x:v>
      </x:c>
      <x:c r="M131" s="22" t="n">
        <x:v>334</x:v>
      </x:c>
      <x:c r="N131" s="22" t="n">
        <x:v>604</x:v>
      </x:c>
      <x:c r="O131" s="22" t="n">
        <x:v>271</x:v>
      </x:c>
      <x:c r="P131" s="22" t="n">
        <x:v>495</x:v>
      </x:c>
      <x:c r="Q131" s="22" t="n">
        <x:v>497</x:v>
      </x:c>
      <x:c r="R131" s="22" t="n">
        <x:v>460</x:v>
      </x:c>
      <x:c r="S131" s="22" t="n">
        <x:v>460</x:v>
      </x:c>
      <x:c r="T131" s="22" t="n">
        <x:v>0.3100000000000001</x:v>
      </x:c>
      <x:c r="U131" s="22" t="n">
        <x:v>20</x:v>
      </x:c>
      <x:c r="V131" s="22" t="n">
        <x:v>145</x:v>
      </x:c>
      <x:c r="W131" s="22" t="n">
        <x:v>87</x:v>
      </x:c>
      <x:c r="X131" s="22" t="n">
        <x:v>22</x:v>
      </x:c>
      <x:c r="Y131" s="22" t="n">
        <x:v>210</x:v>
      </x:c>
      <x:c r="Z131" s="22" t="n">
        <x:v>0</x:v>
      </x:c>
      <x:c r="AA131" s="22" t="n">
        <x:v>32</x:v>
      </x:c>
      <x:c r="AB131" s="22" t="n">
        <x:v>0</x:v>
      </x:c>
      <x:c r="AC131" s="22" t="n">
        <x:v>0</x:v>
      </x:c>
      <x:c r="AD131" s="22" t="n">
        <x:v>38</x:v>
      </x:c>
      <x:c r="AE131" s="22" t="n">
        <x:v>7</x:v>
      </x:c>
      <x:c r="AF131" s="22" t="n">
        <x:v>89</x:v>
      </x:c>
      <x:c r="AG131" s="22" t="n">
        <x:v>7</x:v>
      </x:c>
      <x:c r="AH131" s="22" t="n">
        <x:v>8</x:v>
      </x:c>
      <x:c r="AI131" s="22" t="n">
        <x:v>27</x:v>
      </x:c>
      <x:c r="AJ131" s="22" t="n">
        <x:v>2</x:v>
      </x:c>
      <x:c r="AK131" s="22" t="n">
        <x:v>2</x:v>
      </x:c>
      <x:c r="AL131" s="22" t="n">
        <x:v>402</x:v>
      </x:c>
      <x:c r="AM131" s="22" t="n">
        <x:v>43</x:v>
      </x:c>
      <x:c r="AN131" s="22" t="n">
        <x:v>4</x:v>
      </x:c>
      <x:c r="AO131" s="22" t="n">
        <x:v>6</x:v>
      </x:c>
      <x:c r="AP131" s="22" t="n">
        <x:v>2100</x:v>
      </x:c>
      <x:c r="AQ131" s="22" t="n">
        <x:v>16</x:v>
      </x:c>
      <x:c r="AR131" s="22" t="n">
        <x:v>0</x:v>
      </x:c>
      <x:c r="AS131" s="22" t="n">
        <x:v>10</x:v>
      </x:c>
      <x:c r="AT131" s="22" t="n">
        <x:v>10</x:v>
      </x:c>
      <x:c r="AU131" s="22" t="n">
        <x:v>0</x:v>
      </x:c>
      <x:c r="AV131" s="22" t="n">
        <x:v>0</x:v>
      </x:c>
      <x:c r="AW131" s="22" t="n">
        <x:v>0</x:v>
      </x:c>
    </x:row>
    <x:row r="132" ht="24" customHeight="1">
      <x:c r="A132" s="22" t="str">
        <x:v>P0128</x:v>
      </x:c>
      <x:c r="B132" s="22" t="n">
        <x:v>4</x:v>
      </x:c>
      <x:c r="C132" s="22" t="n">
        <x:v>4</x:v>
      </x:c>
      <x:c r="D132" s="22" t="str">
        <x:v>幽灵船骸阶段积累后</x:v>
      </x:c>
      <x:c r="E132" s="22" t="n">
        <x:v>9257</x:v>
      </x:c>
      <x:c r="F132" s="22" t="n">
        <x:v>10375</x:v>
      </x:c>
      <x:c r="G132" s="22" t="n">
        <x:v>9446</x:v>
      </x:c>
      <x:c r="H132" s="22" t="n">
        <x:v>10549</x:v>
      </x:c>
      <x:c r="I132" s="22" t="n">
        <x:v>9240</x:v>
      </x:c>
      <x:c r="J132" s="22" t="n">
        <x:v>10343</x:v>
      </x:c>
      <x:c r="K132" s="22" t="n">
        <x:v>1306500</x:v>
      </x:c>
      <x:c r="L132" s="22" t="n">
        <x:v>180500</x:v>
      </x:c>
      <x:c r="M132" s="22" t="n">
        <x:v>359</x:v>
      </x:c>
      <x:c r="N132" s="22" t="n">
        <x:v>649</x:v>
      </x:c>
      <x:c r="O132" s="22" t="n">
        <x:v>292</x:v>
      </x:c>
      <x:c r="P132" s="22" t="n">
        <x:v>532</x:v>
      </x:c>
      <x:c r="Q132" s="22" t="n">
        <x:v>531</x:v>
      </x:c>
      <x:c r="R132" s="22" t="n">
        <x:v>450</x:v>
      </x:c>
      <x:c r="S132" s="22" t="n">
        <x:v>450</x:v>
      </x:c>
      <x:c r="T132" s="22" t="n">
        <x:v>0.3100000000000001</x:v>
      </x:c>
      <x:c r="U132" s="22" t="n">
        <x:v>20</x:v>
      </x:c>
      <x:c r="V132" s="22" t="n">
        <x:v>130</x:v>
      </x:c>
      <x:c r="W132" s="22" t="n">
        <x:v>79</x:v>
      </x:c>
      <x:c r="X132" s="22" t="n">
        <x:v>22</x:v>
      </x:c>
      <x:c r="Y132" s="22" t="n">
        <x:v>193</x:v>
      </x:c>
      <x:c r="Z132" s="22" t="n">
        <x:v>1</x:v>
      </x:c>
      <x:c r="AA132" s="22" t="n">
        <x:v>12</x:v>
      </x:c>
      <x:c r="AB132" s="22" t="n">
        <x:v>0</x:v>
      </x:c>
      <x:c r="AC132" s="22" t="n">
        <x:v>0</x:v>
      </x:c>
      <x:c r="AD132" s="22" t="n">
        <x:v>28</x:v>
      </x:c>
      <x:c r="AE132" s="22" t="n">
        <x:v>6</x:v>
      </x:c>
      <x:c r="AF132" s="22" t="n">
        <x:v>83</x:v>
      </x:c>
      <x:c r="AG132" s="22" t="n">
        <x:v>7</x:v>
      </x:c>
      <x:c r="AH132" s="22" t="n">
        <x:v>8</x:v>
      </x:c>
      <x:c r="AI132" s="22" t="n">
        <x:v>25</x:v>
      </x:c>
      <x:c r="AJ132" s="22" t="n">
        <x:v>0</x:v>
      </x:c>
      <x:c r="AK132" s="22" t="n">
        <x:v>2</x:v>
      </x:c>
      <x:c r="AL132" s="22" t="n">
        <x:v>402</x:v>
      </x:c>
      <x:c r="AM132" s="22" t="n">
        <x:v>44</x:v>
      </x:c>
      <x:c r="AN132" s="22" t="n">
        <x:v>4</x:v>
      </x:c>
      <x:c r="AO132" s="22" t="n">
        <x:v>4</x:v>
      </x:c>
      <x:c r="AP132" s="22" t="n">
        <x:v>1800</x:v>
      </x:c>
      <x:c r="AQ132" s="22" t="n">
        <x:v>15</x:v>
      </x:c>
      <x:c r="AR132" s="22" t="n">
        <x:v>0</x:v>
      </x:c>
      <x:c r="AS132" s="22" t="n">
        <x:v>10</x:v>
      </x:c>
      <x:c r="AT132" s="22" t="n">
        <x:v>10</x:v>
      </x:c>
      <x:c r="AU132" s="22" t="n">
        <x:v>0</x:v>
      </x:c>
      <x:c r="AV132" s="22" t="n">
        <x:v>0</x:v>
      </x:c>
      <x:c r="AW132" s="22" t="n">
        <x:v>0</x:v>
      </x:c>
    </x:row>
    <x:row r="133" ht="24" customHeight="1">
      <x:c r="A133" s="22" t="str">
        <x:v>P0129</x:v>
      </x:c>
      <x:c r="B133" s="22" t="n">
        <x:v>4</x:v>
      </x:c>
      <x:c r="C133" s="22" t="n">
        <x:v>5</x:v>
      </x:c>
      <x:c r="D133" s="22" t="str">
        <x:v>C04G05入场</x:v>
      </x:c>
      <x:c r="E133" s="22" t="n">
        <x:v>9257</x:v>
      </x:c>
      <x:c r="F133" s="22" t="n">
        <x:v>10375</x:v>
      </x:c>
      <x:c r="G133" s="22" t="n">
        <x:v>9446</x:v>
      </x:c>
      <x:c r="H133" s="22" t="n">
        <x:v>10549</x:v>
      </x:c>
      <x:c r="I133" s="22" t="n">
        <x:v>9240</x:v>
      </x:c>
      <x:c r="J133" s="22" t="n">
        <x:v>10343</x:v>
      </x:c>
      <x:c r="K133" s="22" t="n">
        <x:v>1306500</x:v>
      </x:c>
      <x:c r="L133" s="22" t="n">
        <x:v>180500</x:v>
      </x:c>
      <x:c r="M133" s="22" t="n">
        <x:v>359</x:v>
      </x:c>
      <x:c r="N133" s="22" t="n">
        <x:v>649</x:v>
      </x:c>
      <x:c r="O133" s="22" t="n">
        <x:v>292</x:v>
      </x:c>
      <x:c r="P133" s="22" t="n">
        <x:v>532</x:v>
      </x:c>
      <x:c r="Q133" s="22" t="n">
        <x:v>531</x:v>
      </x:c>
      <x:c r="R133" s="22" t="n">
        <x:v>450</x:v>
      </x:c>
      <x:c r="S133" s="22" t="n">
        <x:v>450</x:v>
      </x:c>
      <x:c r="T133" s="22" t="n">
        <x:v>0.3100000000000001</x:v>
      </x:c>
      <x:c r="U133" s="22" t="n">
        <x:v>20</x:v>
      </x:c>
      <x:c r="V133" s="22" t="n">
        <x:v>130</x:v>
      </x:c>
      <x:c r="W133" s="22" t="n">
        <x:v>79</x:v>
      </x:c>
      <x:c r="X133" s="22" t="n">
        <x:v>22</x:v>
      </x:c>
      <x:c r="Y133" s="22" t="n">
        <x:v>193</x:v>
      </x:c>
      <x:c r="Z133" s="22" t="n">
        <x:v>1</x:v>
      </x:c>
      <x:c r="AA133" s="22" t="n">
        <x:v>12</x:v>
      </x:c>
      <x:c r="AB133" s="22" t="n">
        <x:v>0</x:v>
      </x:c>
      <x:c r="AC133" s="22" t="n">
        <x:v>0</x:v>
      </x:c>
      <x:c r="AD133" s="22" t="n">
        <x:v>28</x:v>
      </x:c>
      <x:c r="AE133" s="22" t="n">
        <x:v>6</x:v>
      </x:c>
      <x:c r="AF133" s="22" t="n">
        <x:v>83</x:v>
      </x:c>
      <x:c r="AG133" s="22" t="n">
        <x:v>7</x:v>
      </x:c>
      <x:c r="AH133" s="22" t="n">
        <x:v>8</x:v>
      </x:c>
      <x:c r="AI133" s="22" t="n">
        <x:v>25</x:v>
      </x:c>
      <x:c r="AJ133" s="22" t="n">
        <x:v>0</x:v>
      </x:c>
      <x:c r="AK133" s="22" t="n">
        <x:v>2</x:v>
      </x:c>
      <x:c r="AL133" s="22" t="n">
        <x:v>402</x:v>
      </x:c>
      <x:c r="AM133" s="22" t="n">
        <x:v>44</x:v>
      </x:c>
      <x:c r="AN133" s="22" t="n">
        <x:v>4</x:v>
      </x:c>
      <x:c r="AO133" s="22" t="n">
        <x:v>4</x:v>
      </x:c>
      <x:c r="AP133" s="22" t="n">
        <x:v>1800</x:v>
      </x:c>
      <x:c r="AQ133" s="22" t="n">
        <x:v>15</x:v>
      </x:c>
      <x:c r="AR133" s="22" t="n">
        <x:v>0</x:v>
      </x:c>
      <x:c r="AS133" s="22" t="n">
        <x:v>10</x:v>
      </x:c>
      <x:c r="AT133" s="22" t="n">
        <x:v>10</x:v>
      </x:c>
      <x:c r="AU133" s="22" t="n">
        <x:v>0</x:v>
      </x:c>
      <x:c r="AV133" s="22" t="n">
        <x:v>0</x:v>
      </x:c>
      <x:c r="AW133" s="22" t="n">
        <x:v>0</x:v>
      </x:c>
    </x:row>
    <x:row r="134" ht="24" customHeight="1">
      <x:c r="A134" s="22" t="str">
        <x:v>P0130</x:v>
      </x:c>
      <x:c r="B134" s="22" t="n">
        <x:v>4</x:v>
      </x:c>
      <x:c r="C134" s="22" t="n">
        <x:v>5</x:v>
      </x:c>
      <x:c r="D134" s="22" t="str">
        <x:v>C04G05普通专属4/6</x:v>
      </x:c>
      <x:c r="E134" s="22" t="n">
        <x:v>9279</x:v>
      </x:c>
      <x:c r="F134" s="22" t="n">
        <x:v>10417</x:v>
      </x:c>
      <x:c r="G134" s="22" t="n">
        <x:v>9468</x:v>
      </x:c>
      <x:c r="H134" s="22" t="n">
        <x:v>10591</x:v>
      </x:c>
      <x:c r="I134" s="22" t="n">
        <x:v>9262</x:v>
      </x:c>
      <x:c r="J134" s="22" t="n">
        <x:v>10385</x:v>
      </x:c>
      <x:c r="K134" s="22" t="n">
        <x:v>1316700</x:v>
      </x:c>
      <x:c r="L134" s="22" t="n">
        <x:v>180500</x:v>
      </x:c>
      <x:c r="M134" s="22" t="n">
        <x:v>352</x:v>
      </x:c>
      <x:c r="N134" s="22" t="n">
        <x:v>637</x:v>
      </x:c>
      <x:c r="O134" s="22" t="n">
        <x:v>286</x:v>
      </x:c>
      <x:c r="P134" s="22" t="n">
        <x:v>522</x:v>
      </x:c>
      <x:c r="Q134" s="22" t="n">
        <x:v>533</x:v>
      </x:c>
      <x:c r="R134" s="22" t="n">
        <x:v>452</x:v>
      </x:c>
      <x:c r="S134" s="22" t="n">
        <x:v>452</x:v>
      </x:c>
      <x:c r="T134" s="22" t="n">
        <x:v>0.3100000000000001</x:v>
      </x:c>
      <x:c r="U134" s="22" t="n">
        <x:v>20</x:v>
      </x:c>
      <x:c r="V134" s="22" t="n">
        <x:v>130</x:v>
      </x:c>
      <x:c r="W134" s="22" t="n">
        <x:v>79</x:v>
      </x:c>
      <x:c r="X134" s="22" t="n">
        <x:v>22</x:v>
      </x:c>
      <x:c r="Y134" s="22" t="n">
        <x:v>193</x:v>
      </x:c>
      <x:c r="Z134" s="22" t="n">
        <x:v>1</x:v>
      </x:c>
      <x:c r="AA134" s="22" t="n">
        <x:v>12</x:v>
      </x:c>
      <x:c r="AB134" s="22" t="n">
        <x:v>0</x:v>
      </x:c>
      <x:c r="AC134" s="22" t="n">
        <x:v>0</x:v>
      </x:c>
      <x:c r="AD134" s="22" t="n">
        <x:v>28</x:v>
      </x:c>
      <x:c r="AE134" s="22" t="n">
        <x:v>6</x:v>
      </x:c>
      <x:c r="AF134" s="22" t="n">
        <x:v>83</x:v>
      </x:c>
      <x:c r="AG134" s="22" t="n">
        <x:v>7</x:v>
      </x:c>
      <x:c r="AH134" s="22" t="n">
        <x:v>8</x:v>
      </x:c>
      <x:c r="AI134" s="22" t="n">
        <x:v>25</x:v>
      </x:c>
      <x:c r="AJ134" s="22" t="n">
        <x:v>0</x:v>
      </x:c>
      <x:c r="AK134" s="22" t="n">
        <x:v>2</x:v>
      </x:c>
      <x:c r="AL134" s="22" t="n">
        <x:v>402</x:v>
      </x:c>
      <x:c r="AM134" s="22" t="n">
        <x:v>40</x:v>
      </x:c>
      <x:c r="AN134" s="22" t="n">
        <x:v>4</x:v>
      </x:c>
      <x:c r="AO134" s="22" t="n">
        <x:v>4</x:v>
      </x:c>
      <x:c r="AP134" s="22" t="n">
        <x:v>1800</x:v>
      </x:c>
      <x:c r="AQ134" s="22" t="n">
        <x:v>15</x:v>
      </x:c>
      <x:c r="AR134" s="22" t="n">
        <x:v>0</x:v>
      </x:c>
      <x:c r="AS134" s="22" t="n">
        <x:v>10</x:v>
      </x:c>
      <x:c r="AT134" s="22" t="n">
        <x:v>10</x:v>
      </x:c>
      <x:c r="AU134" s="22" t="n">
        <x:v>0</x:v>
      </x:c>
      <x:c r="AV134" s="22" t="n">
        <x:v>0</x:v>
      </x:c>
      <x:c r="AW134" s="22" t="n">
        <x:v>0</x:v>
      </x:c>
    </x:row>
    <x:row r="135" ht="24" customHeight="1">
      <x:c r="A135" s="22" t="str">
        <x:v>P0131</x:v>
      </x:c>
      <x:c r="B135" s="22" t="n">
        <x:v>4</x:v>
      </x:c>
      <x:c r="C135" s="22" t="n">
        <x:v>5</x:v>
      </x:c>
      <x:c r="D135" s="22" t="str">
        <x:v>暗河剑师·罗缇挑战前</x:v>
      </x:c>
      <x:c r="E135" s="22" t="n">
        <x:v>9781</x:v>
      </x:c>
      <x:c r="F135" s="22" t="n">
        <x:v>10922</x:v>
      </x:c>
      <x:c r="G135" s="22" t="n">
        <x:v>9968</x:v>
      </x:c>
      <x:c r="H135" s="22" t="n">
        <x:v>11091</x:v>
      </x:c>
      <x:c r="I135" s="22" t="n">
        <x:v>9762</x:v>
      </x:c>
      <x:c r="J135" s="22" t="n">
        <x:v>10885</x:v>
      </x:c>
      <x:c r="K135" s="22" t="n">
        <x:v>1367100</x:v>
      </x:c>
      <x:c r="L135" s="22" t="n">
        <x:v>180600</x:v>
      </x:c>
      <x:c r="M135" s="22" t="n">
        <x:v>352</x:v>
      </x:c>
      <x:c r="N135" s="22" t="n">
        <x:v>637</x:v>
      </x:c>
      <x:c r="O135" s="22" t="n">
        <x:v>286</x:v>
      </x:c>
      <x:c r="P135" s="22" t="n">
        <x:v>522</x:v>
      </x:c>
      <x:c r="Q135" s="22" t="n">
        <x:v>533</x:v>
      </x:c>
      <x:c r="R135" s="22" t="n">
        <x:v>452</x:v>
      </x:c>
      <x:c r="S135" s="22" t="n">
        <x:v>452</x:v>
      </x:c>
      <x:c r="T135" s="22" t="n">
        <x:v>0.3100000000000001</x:v>
      </x:c>
      <x:c r="U135" s="22" t="n">
        <x:v>20</x:v>
      </x:c>
      <x:c r="V135" s="22" t="n">
        <x:v>130</x:v>
      </x:c>
      <x:c r="W135" s="22" t="n">
        <x:v>79</x:v>
      </x:c>
      <x:c r="X135" s="22" t="n">
        <x:v>22</x:v>
      </x:c>
      <x:c r="Y135" s="22" t="n">
        <x:v>193</x:v>
      </x:c>
      <x:c r="Z135" s="22" t="n">
        <x:v>1</x:v>
      </x:c>
      <x:c r="AA135" s="22" t="n">
        <x:v>12</x:v>
      </x:c>
      <x:c r="AB135" s="22" t="n">
        <x:v>0</x:v>
      </x:c>
      <x:c r="AC135" s="22" t="n">
        <x:v>0</x:v>
      </x:c>
      <x:c r="AD135" s="22" t="n">
        <x:v>28</x:v>
      </x:c>
      <x:c r="AE135" s="22" t="n">
        <x:v>6</x:v>
      </x:c>
      <x:c r="AF135" s="22" t="n">
        <x:v>83</x:v>
      </x:c>
      <x:c r="AG135" s="22" t="n">
        <x:v>7</x:v>
      </x:c>
      <x:c r="AH135" s="22" t="n">
        <x:v>8</x:v>
      </x:c>
      <x:c r="AI135" s="22" t="n">
        <x:v>25</x:v>
      </x:c>
      <x:c r="AJ135" s="22" t="n">
        <x:v>0</x:v>
      </x:c>
      <x:c r="AK135" s="22" t="n">
        <x:v>2</x:v>
      </x:c>
      <x:c r="AL135" s="22" t="n">
        <x:v>402</x:v>
      </x:c>
      <x:c r="AM135" s="22" t="n">
        <x:v>40</x:v>
      </x:c>
      <x:c r="AN135" s="22" t="n">
        <x:v>4</x:v>
      </x:c>
      <x:c r="AO135" s="22" t="n">
        <x:v>4</x:v>
      </x:c>
      <x:c r="AP135" s="22" t="n">
        <x:v>1800</x:v>
      </x:c>
      <x:c r="AQ135" s="22" t="n">
        <x:v>15</x:v>
      </x:c>
      <x:c r="AR135" s="22" t="n">
        <x:v>0</x:v>
      </x:c>
      <x:c r="AS135" s="22" t="n">
        <x:v>10</x:v>
      </x:c>
      <x:c r="AT135" s="22" t="n">
        <x:v>10</x:v>
      </x:c>
      <x:c r="AU135" s="22" t="n">
        <x:v>0</x:v>
      </x:c>
      <x:c r="AV135" s="22" t="n">
        <x:v>0</x:v>
      </x:c>
      <x:c r="AW135" s="22" t="n">
        <x:v>0</x:v>
      </x:c>
    </x:row>
    <x:row r="136" ht="24" customHeight="1">
      <x:c r="A136" s="22" t="str">
        <x:v>P0132</x:v>
      </x:c>
      <x:c r="B136" s="22" t="n">
        <x:v>4</x:v>
      </x:c>
      <x:c r="C136" s="22" t="n">
        <x:v>5</x:v>
      </x:c>
      <x:c r="D136" s="22" t="str">
        <x:v>渊口老蛟·涅珈挑战前</x:v>
      </x:c>
      <x:c r="E136" s="22" t="n">
        <x:v>9781</x:v>
      </x:c>
      <x:c r="F136" s="22" t="n">
        <x:v>10922</x:v>
      </x:c>
      <x:c r="G136" s="22" t="n">
        <x:v>9968</x:v>
      </x:c>
      <x:c r="H136" s="22" t="n">
        <x:v>11091</x:v>
      </x:c>
      <x:c r="I136" s="22" t="n">
        <x:v>9762</x:v>
      </x:c>
      <x:c r="J136" s="22" t="n">
        <x:v>10885</x:v>
      </x:c>
      <x:c r="K136" s="22" t="n">
        <x:v>1367100</x:v>
      </x:c>
      <x:c r="L136" s="22" t="n">
        <x:v>180600</x:v>
      </x:c>
      <x:c r="M136" s="22" t="n">
        <x:v>352</x:v>
      </x:c>
      <x:c r="N136" s="22" t="n">
        <x:v>637</x:v>
      </x:c>
      <x:c r="O136" s="22" t="n">
        <x:v>286</x:v>
      </x:c>
      <x:c r="P136" s="22" t="n">
        <x:v>522</x:v>
      </x:c>
      <x:c r="Q136" s="22" t="n">
        <x:v>533</x:v>
      </x:c>
      <x:c r="R136" s="22" t="n">
        <x:v>452</x:v>
      </x:c>
      <x:c r="S136" s="22" t="n">
        <x:v>452</x:v>
      </x:c>
      <x:c r="T136" s="22" t="n">
        <x:v>0.3100000000000001</x:v>
      </x:c>
      <x:c r="U136" s="22" t="n">
        <x:v>20</x:v>
      </x:c>
      <x:c r="V136" s="22" t="n">
        <x:v>130</x:v>
      </x:c>
      <x:c r="W136" s="22" t="n">
        <x:v>79</x:v>
      </x:c>
      <x:c r="X136" s="22" t="n">
        <x:v>22</x:v>
      </x:c>
      <x:c r="Y136" s="22" t="n">
        <x:v>193</x:v>
      </x:c>
      <x:c r="Z136" s="22" t="n">
        <x:v>1</x:v>
      </x:c>
      <x:c r="AA136" s="22" t="n">
        <x:v>12</x:v>
      </x:c>
      <x:c r="AB136" s="22" t="n">
        <x:v>0</x:v>
      </x:c>
      <x:c r="AC136" s="22" t="n">
        <x:v>0</x:v>
      </x:c>
      <x:c r="AD136" s="22" t="n">
        <x:v>28</x:v>
      </x:c>
      <x:c r="AE136" s="22" t="n">
        <x:v>6</x:v>
      </x:c>
      <x:c r="AF136" s="22" t="n">
        <x:v>83</x:v>
      </x:c>
      <x:c r="AG136" s="22" t="n">
        <x:v>7</x:v>
      </x:c>
      <x:c r="AH136" s="22" t="n">
        <x:v>8</x:v>
      </x:c>
      <x:c r="AI136" s="22" t="n">
        <x:v>25</x:v>
      </x:c>
      <x:c r="AJ136" s="22" t="n">
        <x:v>0</x:v>
      </x:c>
      <x:c r="AK136" s="22" t="n">
        <x:v>2</x:v>
      </x:c>
      <x:c r="AL136" s="22" t="n">
        <x:v>402</x:v>
      </x:c>
      <x:c r="AM136" s="22" t="n">
        <x:v>40</x:v>
      </x:c>
      <x:c r="AN136" s="22" t="n">
        <x:v>4</x:v>
      </x:c>
      <x:c r="AO136" s="22" t="n">
        <x:v>4</x:v>
      </x:c>
      <x:c r="AP136" s="22" t="n">
        <x:v>1800</x:v>
      </x:c>
      <x:c r="AQ136" s="22" t="n">
        <x:v>15</x:v>
      </x:c>
      <x:c r="AR136" s="22" t="n">
        <x:v>0</x:v>
      </x:c>
      <x:c r="AS136" s="22" t="n">
        <x:v>10</x:v>
      </x:c>
      <x:c r="AT136" s="22" t="n">
        <x:v>10</x:v>
      </x:c>
      <x:c r="AU136" s="22" t="n">
        <x:v>0</x:v>
      </x:c>
      <x:c r="AV136" s="22" t="n">
        <x:v>0</x:v>
      </x:c>
      <x:c r="AW136" s="22" t="n">
        <x:v>0</x:v>
      </x:c>
    </x:row>
    <x:row r="137" ht="24" customHeight="1">
      <x:c r="A137" s="22" t="str">
        <x:v>P0133</x:v>
      </x:c>
      <x:c r="B137" s="22" t="n">
        <x:v>4</x:v>
      </x:c>
      <x:c r="C137" s="22" t="n">
        <x:v>5</x:v>
      </x:c>
      <x:c r="D137" s="22" t="str">
        <x:v>深湖水道BOSS装备快线</x:v>
      </x:c>
      <x:c r="E137" s="22" t="n">
        <x:v>10051</x:v>
      </x:c>
      <x:c r="F137" s="22" t="n">
        <x:v>11462</x:v>
      </x:c>
      <x:c r="G137" s="22" t="n">
        <x:v>10023</x:v>
      </x:c>
      <x:c r="H137" s="22" t="n">
        <x:v>11416</x:v>
      </x:c>
      <x:c r="I137" s="22" t="n">
        <x:v>10032</x:v>
      </x:c>
      <x:c r="J137" s="22" t="n">
        <x:v>11425</x:v>
      </x:c>
      <x:c r="K137" s="22" t="n">
        <x:v>1383500</x:v>
      </x:c>
      <x:c r="L137" s="22" t="n">
        <x:v>180600</x:v>
      </x:c>
      <x:c r="M137" s="22" t="n">
        <x:v>352</x:v>
      </x:c>
      <x:c r="N137" s="22" t="n">
        <x:v>637</x:v>
      </x:c>
      <x:c r="O137" s="22" t="n">
        <x:v>286</x:v>
      </x:c>
      <x:c r="P137" s="22" t="n">
        <x:v>522</x:v>
      </x:c>
      <x:c r="Q137" s="22" t="n">
        <x:v>525</x:v>
      </x:c>
      <x:c r="R137" s="22" t="n">
        <x:v>488</x:v>
      </x:c>
      <x:c r="S137" s="22" t="n">
        <x:v>488</x:v>
      </x:c>
      <x:c r="T137" s="22" t="n">
        <x:v>0.3100000000000001</x:v>
      </x:c>
      <x:c r="U137" s="22" t="n">
        <x:v>20</x:v>
      </x:c>
      <x:c r="V137" s="22" t="n">
        <x:v>148</x:v>
      </x:c>
      <x:c r="W137" s="22" t="n">
        <x:v>87</x:v>
      </x:c>
      <x:c r="X137" s="22" t="n">
        <x:v>22</x:v>
      </x:c>
      <x:c r="Y137" s="22" t="n">
        <x:v>210</x:v>
      </x:c>
      <x:c r="Z137" s="22" t="n">
        <x:v>0</x:v>
      </x:c>
      <x:c r="AA137" s="22" t="n">
        <x:v>32</x:v>
      </x:c>
      <x:c r="AB137" s="22" t="n">
        <x:v>0</x:v>
      </x:c>
      <x:c r="AC137" s="22" t="n">
        <x:v>0</x:v>
      </x:c>
      <x:c r="AD137" s="22" t="n">
        <x:v>38</x:v>
      </x:c>
      <x:c r="AE137" s="22" t="n">
        <x:v>7</x:v>
      </x:c>
      <x:c r="AF137" s="22" t="n">
        <x:v>89</x:v>
      </x:c>
      <x:c r="AG137" s="22" t="n">
        <x:v>7</x:v>
      </x:c>
      <x:c r="AH137" s="22" t="n">
        <x:v>8</x:v>
      </x:c>
      <x:c r="AI137" s="22" t="n">
        <x:v>27</x:v>
      </x:c>
      <x:c r="AJ137" s="22" t="n">
        <x:v>2</x:v>
      </x:c>
      <x:c r="AK137" s="22" t="n">
        <x:v>2</x:v>
      </x:c>
      <x:c r="AL137" s="22" t="n">
        <x:v>402</x:v>
      </x:c>
      <x:c r="AM137" s="22" t="n">
        <x:v>40</x:v>
      </x:c>
      <x:c r="AN137" s="22" t="n">
        <x:v>4</x:v>
      </x:c>
      <x:c r="AO137" s="22" t="n">
        <x:v>6</x:v>
      </x:c>
      <x:c r="AP137" s="22" t="n">
        <x:v>2100</x:v>
      </x:c>
      <x:c r="AQ137" s="22" t="n">
        <x:v>16</x:v>
      </x:c>
      <x:c r="AR137" s="22" t="n">
        <x:v>0</x:v>
      </x:c>
      <x:c r="AS137" s="22" t="n">
        <x:v>10</x:v>
      </x:c>
      <x:c r="AT137" s="22" t="n">
        <x:v>10</x:v>
      </x:c>
      <x:c r="AU137" s="22" t="n">
        <x:v>0</x:v>
      </x:c>
      <x:c r="AV137" s="22" t="n">
        <x:v>0</x:v>
      </x:c>
      <x:c r="AW137" s="22" t="n">
        <x:v>0</x:v>
      </x:c>
    </x:row>
    <x:row r="138" ht="24" customHeight="1">
      <x:c r="A138" s="22" t="str">
        <x:v>P0134</x:v>
      </x:c>
      <x:c r="B138" s="22" t="n">
        <x:v>4</x:v>
      </x:c>
      <x:c r="C138" s="22" t="n">
        <x:v>5</x:v>
      </x:c>
      <x:c r="D138" s="22" t="str">
        <x:v>深湖水道阶段积累后</x:v>
      </x:c>
      <x:c r="E138" s="22" t="n">
        <x:v>9853</x:v>
      </x:c>
      <x:c r="F138" s="22" t="n">
        <x:v>11047</x:v>
      </x:c>
      <x:c r="G138" s="22" t="n">
        <x:v>10040</x:v>
      </x:c>
      <x:c r="H138" s="22" t="n">
        <x:v>11216</x:v>
      </x:c>
      <x:c r="I138" s="22" t="n">
        <x:v>9834</x:v>
      </x:c>
      <x:c r="J138" s="22" t="n">
        <x:v>11010</x:v>
      </x:c>
      <x:c r="K138" s="22" t="n">
        <x:v>1383600</x:v>
      </x:c>
      <x:c r="L138" s="22" t="n">
        <x:v>180600</x:v>
      </x:c>
      <x:c r="M138" s="22" t="n">
        <x:v>359</x:v>
      </x:c>
      <x:c r="N138" s="22" t="n">
        <x:v>649</x:v>
      </x:c>
      <x:c r="O138" s="22" t="n">
        <x:v>292</x:v>
      </x:c>
      <x:c r="P138" s="22" t="n">
        <x:v>533</x:v>
      </x:c>
      <x:c r="Q138" s="22" t="n">
        <x:v>545</x:v>
      </x:c>
      <x:c r="R138" s="22" t="n">
        <x:v>464</x:v>
      </x:c>
      <x:c r="S138" s="22" t="n">
        <x:v>464</x:v>
      </x:c>
      <x:c r="T138" s="22" t="n">
        <x:v>0.3100000000000001</x:v>
      </x:c>
      <x:c r="U138" s="22" t="n">
        <x:v>20</x:v>
      </x:c>
      <x:c r="V138" s="22" t="n">
        <x:v>137</x:v>
      </x:c>
      <x:c r="W138" s="22" t="n">
        <x:v>79</x:v>
      </x:c>
      <x:c r="X138" s="22" t="n">
        <x:v>22</x:v>
      </x:c>
      <x:c r="Y138" s="22" t="n">
        <x:v>205</x:v>
      </x:c>
      <x:c r="Z138" s="22" t="n">
        <x:v>1</x:v>
      </x:c>
      <x:c r="AA138" s="22" t="n">
        <x:v>12</x:v>
      </x:c>
      <x:c r="AB138" s="22" t="n">
        <x:v>0</x:v>
      </x:c>
      <x:c r="AC138" s="22" t="n">
        <x:v>0</x:v>
      </x:c>
      <x:c r="AD138" s="22" t="n">
        <x:v>28</x:v>
      </x:c>
      <x:c r="AE138" s="22" t="n">
        <x:v>6</x:v>
      </x:c>
      <x:c r="AF138" s="22" t="n">
        <x:v>83</x:v>
      </x:c>
      <x:c r="AG138" s="22" t="n">
        <x:v>7</x:v>
      </x:c>
      <x:c r="AH138" s="22" t="n">
        <x:v>8</x:v>
      </x:c>
      <x:c r="AI138" s="22" t="n">
        <x:v>25</x:v>
      </x:c>
      <x:c r="AJ138" s="22" t="n">
        <x:v>0</x:v>
      </x:c>
      <x:c r="AK138" s="22" t="n">
        <x:v>2</x:v>
      </x:c>
      <x:c r="AL138" s="22" t="n">
        <x:v>402</x:v>
      </x:c>
      <x:c r="AM138" s="22" t="n">
        <x:v>40</x:v>
      </x:c>
      <x:c r="AN138" s="22" t="n">
        <x:v>4</x:v>
      </x:c>
      <x:c r="AO138" s="22" t="n">
        <x:v>4</x:v>
      </x:c>
      <x:c r="AP138" s="22" t="n">
        <x:v>1800</x:v>
      </x:c>
      <x:c r="AQ138" s="22" t="n">
        <x:v>15</x:v>
      </x:c>
      <x:c r="AR138" s="22" t="n">
        <x:v>0</x:v>
      </x:c>
      <x:c r="AS138" s="22" t="n">
        <x:v>10</x:v>
      </x:c>
      <x:c r="AT138" s="22" t="n">
        <x:v>10</x:v>
      </x:c>
      <x:c r="AU138" s="22" t="n">
        <x:v>0</x:v>
      </x:c>
      <x:c r="AV138" s="22" t="n">
        <x:v>0</x:v>
      </x:c>
      <x:c r="AW138" s="22" t="n">
        <x:v>0</x:v>
      </x:c>
    </x:row>
    <x:row r="139" ht="24" customHeight="1">
      <x:c r="A139" s="22" t="str">
        <x:v>P0135</x:v>
      </x:c>
      <x:c r="B139" s="22" t="n">
        <x:v>4</x:v>
      </x:c>
      <x:c r="C139" s="22" t="n">
        <x:v>6</x:v>
      </x:c>
      <x:c r="D139" s="22" t="str">
        <x:v>C04G06入场</x:v>
      </x:c>
      <x:c r="E139" s="22" t="n">
        <x:v>9853</x:v>
      </x:c>
      <x:c r="F139" s="22" t="n">
        <x:v>11047</x:v>
      </x:c>
      <x:c r="G139" s="22" t="n">
        <x:v>10040</x:v>
      </x:c>
      <x:c r="H139" s="22" t="n">
        <x:v>11216</x:v>
      </x:c>
      <x:c r="I139" s="22" t="n">
        <x:v>9834</x:v>
      </x:c>
      <x:c r="J139" s="22" t="n">
        <x:v>11010</x:v>
      </x:c>
      <x:c r="K139" s="22" t="n">
        <x:v>1383600</x:v>
      </x:c>
      <x:c r="L139" s="22" t="n">
        <x:v>180600</x:v>
      </x:c>
      <x:c r="M139" s="22" t="n">
        <x:v>359</x:v>
      </x:c>
      <x:c r="N139" s="22" t="n">
        <x:v>649</x:v>
      </x:c>
      <x:c r="O139" s="22" t="n">
        <x:v>292</x:v>
      </x:c>
      <x:c r="P139" s="22" t="n">
        <x:v>533</x:v>
      </x:c>
      <x:c r="Q139" s="22" t="n">
        <x:v>545</x:v>
      </x:c>
      <x:c r="R139" s="22" t="n">
        <x:v>464</x:v>
      </x:c>
      <x:c r="S139" s="22" t="n">
        <x:v>464</x:v>
      </x:c>
      <x:c r="T139" s="22" t="n">
        <x:v>0.3100000000000001</x:v>
      </x:c>
      <x:c r="U139" s="22" t="n">
        <x:v>20</x:v>
      </x:c>
      <x:c r="V139" s="22" t="n">
        <x:v>137</x:v>
      </x:c>
      <x:c r="W139" s="22" t="n">
        <x:v>79</x:v>
      </x:c>
      <x:c r="X139" s="22" t="n">
        <x:v>22</x:v>
      </x:c>
      <x:c r="Y139" s="22" t="n">
        <x:v>205</x:v>
      </x:c>
      <x:c r="Z139" s="22" t="n">
        <x:v>1</x:v>
      </x:c>
      <x:c r="AA139" s="22" t="n">
        <x:v>12</x:v>
      </x:c>
      <x:c r="AB139" s="22" t="n">
        <x:v>0</x:v>
      </x:c>
      <x:c r="AC139" s="22" t="n">
        <x:v>0</x:v>
      </x:c>
      <x:c r="AD139" s="22" t="n">
        <x:v>28</x:v>
      </x:c>
      <x:c r="AE139" s="22" t="n">
        <x:v>6</x:v>
      </x:c>
      <x:c r="AF139" s="22" t="n">
        <x:v>83</x:v>
      </x:c>
      <x:c r="AG139" s="22" t="n">
        <x:v>7</x:v>
      </x:c>
      <x:c r="AH139" s="22" t="n">
        <x:v>8</x:v>
      </x:c>
      <x:c r="AI139" s="22" t="n">
        <x:v>25</x:v>
      </x:c>
      <x:c r="AJ139" s="22" t="n">
        <x:v>0</x:v>
      </x:c>
      <x:c r="AK139" s="22" t="n">
        <x:v>2</x:v>
      </x:c>
      <x:c r="AL139" s="22" t="n">
        <x:v>402</x:v>
      </x:c>
      <x:c r="AM139" s="22" t="n">
        <x:v>40</x:v>
      </x:c>
      <x:c r="AN139" s="22" t="n">
        <x:v>4</x:v>
      </x:c>
      <x:c r="AO139" s="22" t="n">
        <x:v>4</x:v>
      </x:c>
      <x:c r="AP139" s="22" t="n">
        <x:v>1800</x:v>
      </x:c>
      <x:c r="AQ139" s="22" t="n">
        <x:v>15</x:v>
      </x:c>
      <x:c r="AR139" s="22" t="n">
        <x:v>0</x:v>
      </x:c>
      <x:c r="AS139" s="22" t="n">
        <x:v>10</x:v>
      </x:c>
      <x:c r="AT139" s="22" t="n">
        <x:v>10</x:v>
      </x:c>
      <x:c r="AU139" s="22" t="n">
        <x:v>0</x:v>
      </x:c>
      <x:c r="AV139" s="22" t="n">
        <x:v>0</x:v>
      </x:c>
      <x:c r="AW139" s="22" t="n">
        <x:v>0</x:v>
      </x:c>
    </x:row>
    <x:row r="140" ht="24" customHeight="1">
      <x:c r="A140" s="22" t="str">
        <x:v>P0136</x:v>
      </x:c>
      <x:c r="B140" s="22" t="n">
        <x:v>4</x:v>
      </x:c>
      <x:c r="C140" s="22" t="n">
        <x:v>6</x:v>
      </x:c>
      <x:c r="D140" s="22" t="str">
        <x:v>C04G06普通专属4/6</x:v>
      </x:c>
      <x:c r="E140" s="22" t="n">
        <x:v>9853</x:v>
      </x:c>
      <x:c r="F140" s="22" t="n">
        <x:v>11047</x:v>
      </x:c>
      <x:c r="G140" s="22" t="n">
        <x:v>10040</x:v>
      </x:c>
      <x:c r="H140" s="22" t="n">
        <x:v>11216</x:v>
      </x:c>
      <x:c r="I140" s="22" t="n">
        <x:v>9834</x:v>
      </x:c>
      <x:c r="J140" s="22" t="n">
        <x:v>11010</x:v>
      </x:c>
      <x:c r="K140" s="22" t="n">
        <x:v>1383600</x:v>
      </x:c>
      <x:c r="L140" s="22" t="n">
        <x:v>180600</x:v>
      </x:c>
      <x:c r="M140" s="22" t="n">
        <x:v>359</x:v>
      </x:c>
      <x:c r="N140" s="22" t="n">
        <x:v>649</x:v>
      </x:c>
      <x:c r="O140" s="22" t="n">
        <x:v>292</x:v>
      </x:c>
      <x:c r="P140" s="22" t="n">
        <x:v>533</x:v>
      </x:c>
      <x:c r="Q140" s="22" t="n">
        <x:v>545</x:v>
      </x:c>
      <x:c r="R140" s="22" t="n">
        <x:v>464</x:v>
      </x:c>
      <x:c r="S140" s="22" t="n">
        <x:v>464</x:v>
      </x:c>
      <x:c r="T140" s="22" t="n">
        <x:v>0.3100000000000001</x:v>
      </x:c>
      <x:c r="U140" s="22" t="n">
        <x:v>20</x:v>
      </x:c>
      <x:c r="V140" s="22" t="n">
        <x:v>137</x:v>
      </x:c>
      <x:c r="W140" s="22" t="n">
        <x:v>79</x:v>
      </x:c>
      <x:c r="X140" s="22" t="n">
        <x:v>22</x:v>
      </x:c>
      <x:c r="Y140" s="22" t="n">
        <x:v>205</x:v>
      </x:c>
      <x:c r="Z140" s="22" t="n">
        <x:v>1</x:v>
      </x:c>
      <x:c r="AA140" s="22" t="n">
        <x:v>12</x:v>
      </x:c>
      <x:c r="AB140" s="22" t="n">
        <x:v>0</x:v>
      </x:c>
      <x:c r="AC140" s="22" t="n">
        <x:v>0</x:v>
      </x:c>
      <x:c r="AD140" s="22" t="n">
        <x:v>28</x:v>
      </x:c>
      <x:c r="AE140" s="22" t="n">
        <x:v>6</x:v>
      </x:c>
      <x:c r="AF140" s="22" t="n">
        <x:v>83</x:v>
      </x:c>
      <x:c r="AG140" s="22" t="n">
        <x:v>7</x:v>
      </x:c>
      <x:c r="AH140" s="22" t="n">
        <x:v>8</x:v>
      </x:c>
      <x:c r="AI140" s="22" t="n">
        <x:v>25</x:v>
      </x:c>
      <x:c r="AJ140" s="22" t="n">
        <x:v>0</x:v>
      </x:c>
      <x:c r="AK140" s="22" t="n">
        <x:v>2</x:v>
      </x:c>
      <x:c r="AL140" s="22" t="n">
        <x:v>402</x:v>
      </x:c>
      <x:c r="AM140" s="22" t="n">
        <x:v>40</x:v>
      </x:c>
      <x:c r="AN140" s="22" t="n">
        <x:v>4</x:v>
      </x:c>
      <x:c r="AO140" s="22" t="n">
        <x:v>4</x:v>
      </x:c>
      <x:c r="AP140" s="22" t="n">
        <x:v>1800</x:v>
      </x:c>
      <x:c r="AQ140" s="22" t="n">
        <x:v>15</x:v>
      </x:c>
      <x:c r="AR140" s="22" t="n">
        <x:v>0</x:v>
      </x:c>
      <x:c r="AS140" s="22" t="n">
        <x:v>10</x:v>
      </x:c>
      <x:c r="AT140" s="22" t="n">
        <x:v>10</x:v>
      </x:c>
      <x:c r="AU140" s="22" t="n">
        <x:v>0</x:v>
      </x:c>
      <x:c r="AV140" s="22" t="n">
        <x:v>0</x:v>
      </x:c>
      <x:c r="AW140" s="22" t="n">
        <x:v>0</x:v>
      </x:c>
    </x:row>
    <x:row r="141" ht="24" customHeight="1">
      <x:c r="A141" s="22" t="str">
        <x:v>P0137</x:v>
      </x:c>
      <x:c r="B141" s="22" t="n">
        <x:v>4</x:v>
      </x:c>
      <x:c r="C141" s="22" t="n">
        <x:v>6</x:v>
      </x:c>
      <x:c r="D141" s="22" t="str">
        <x:v>沉渠守誓者·阿涅挑战前</x:v>
      </x:c>
      <x:c r="E141" s="22" t="n">
        <x:v>10378</x:v>
      </x:c>
      <x:c r="F141" s="22" t="n">
        <x:v>11572</x:v>
      </x:c>
      <x:c r="G141" s="22" t="n">
        <x:v>10565</x:v>
      </x:c>
      <x:c r="H141" s="22" t="n">
        <x:v>11741</x:v>
      </x:c>
      <x:c r="I141" s="22" t="n">
        <x:v>10359</x:v>
      </x:c>
      <x:c r="J141" s="22" t="n">
        <x:v>11535</x:v>
      </x:c>
      <x:c r="K141" s="22" t="n">
        <x:v>1436100</x:v>
      </x:c>
      <x:c r="L141" s="22" t="n">
        <x:v>180600</x:v>
      </x:c>
      <x:c r="M141" s="22" t="n">
        <x:v>359</x:v>
      </x:c>
      <x:c r="N141" s="22" t="n">
        <x:v>649</x:v>
      </x:c>
      <x:c r="O141" s="22" t="n">
        <x:v>292</x:v>
      </x:c>
      <x:c r="P141" s="22" t="n">
        <x:v>533</x:v>
      </x:c>
      <x:c r="Q141" s="22" t="n">
        <x:v>545</x:v>
      </x:c>
      <x:c r="R141" s="22" t="n">
        <x:v>464</x:v>
      </x:c>
      <x:c r="S141" s="22" t="n">
        <x:v>464</x:v>
      </x:c>
      <x:c r="T141" s="22" t="n">
        <x:v>0.3100000000000001</x:v>
      </x:c>
      <x:c r="U141" s="22" t="n">
        <x:v>20</x:v>
      </x:c>
      <x:c r="V141" s="22" t="n">
        <x:v>137</x:v>
      </x:c>
      <x:c r="W141" s="22" t="n">
        <x:v>79</x:v>
      </x:c>
      <x:c r="X141" s="22" t="n">
        <x:v>22</x:v>
      </x:c>
      <x:c r="Y141" s="22" t="n">
        <x:v>205</x:v>
      </x:c>
      <x:c r="Z141" s="22" t="n">
        <x:v>1</x:v>
      </x:c>
      <x:c r="AA141" s="22" t="n">
        <x:v>12</x:v>
      </x:c>
      <x:c r="AB141" s="22" t="n">
        <x:v>0</x:v>
      </x:c>
      <x:c r="AC141" s="22" t="n">
        <x:v>0</x:v>
      </x:c>
      <x:c r="AD141" s="22" t="n">
        <x:v>28</x:v>
      </x:c>
      <x:c r="AE141" s="22" t="n">
        <x:v>6</x:v>
      </x:c>
      <x:c r="AF141" s="22" t="n">
        <x:v>83</x:v>
      </x:c>
      <x:c r="AG141" s="22" t="n">
        <x:v>7</x:v>
      </x:c>
      <x:c r="AH141" s="22" t="n">
        <x:v>8</x:v>
      </x:c>
      <x:c r="AI141" s="22" t="n">
        <x:v>25</x:v>
      </x:c>
      <x:c r="AJ141" s="22" t="n">
        <x:v>0</x:v>
      </x:c>
      <x:c r="AK141" s="22" t="n">
        <x:v>2</x:v>
      </x:c>
      <x:c r="AL141" s="22" t="n">
        <x:v>402</x:v>
      </x:c>
      <x:c r="AM141" s="22" t="n">
        <x:v>40</x:v>
      </x:c>
      <x:c r="AN141" s="22" t="n">
        <x:v>4</x:v>
      </x:c>
      <x:c r="AO141" s="22" t="n">
        <x:v>4</x:v>
      </x:c>
      <x:c r="AP141" s="22" t="n">
        <x:v>1800</x:v>
      </x:c>
      <x:c r="AQ141" s="22" t="n">
        <x:v>15</x:v>
      </x:c>
      <x:c r="AR141" s="22" t="n">
        <x:v>0</x:v>
      </x:c>
      <x:c r="AS141" s="22" t="n">
        <x:v>10</x:v>
      </x:c>
      <x:c r="AT141" s="22" t="n">
        <x:v>10</x:v>
      </x:c>
      <x:c r="AU141" s="22" t="n">
        <x:v>0</x:v>
      </x:c>
      <x:c r="AV141" s="22" t="n">
        <x:v>0</x:v>
      </x:c>
      <x:c r="AW141" s="22" t="n">
        <x:v>0</x:v>
      </x:c>
    </x:row>
    <x:row r="142" ht="24" customHeight="1">
      <x:c r="A142" s="22" t="str">
        <x:v>P0138</x:v>
      </x:c>
      <x:c r="B142" s="22" t="n">
        <x:v>4</x:v>
      </x:c>
      <x:c r="C142" s="22" t="n">
        <x:v>6</x:v>
      </x:c>
      <x:c r="D142" s="22" t="str">
        <x:v>封室水镜姬·弥洛挑战前</x:v>
      </x:c>
      <x:c r="E142" s="22" t="n">
        <x:v>10378</x:v>
      </x:c>
      <x:c r="F142" s="22" t="n">
        <x:v>11572</x:v>
      </x:c>
      <x:c r="G142" s="22" t="n">
        <x:v>10565</x:v>
      </x:c>
      <x:c r="H142" s="22" t="n">
        <x:v>11741</x:v>
      </x:c>
      <x:c r="I142" s="22" t="n">
        <x:v>10359</x:v>
      </x:c>
      <x:c r="J142" s="22" t="n">
        <x:v>11535</x:v>
      </x:c>
      <x:c r="K142" s="22" t="n">
        <x:v>1436100</x:v>
      </x:c>
      <x:c r="L142" s="22" t="n">
        <x:v>180600</x:v>
      </x:c>
      <x:c r="M142" s="22" t="n">
        <x:v>359</x:v>
      </x:c>
      <x:c r="N142" s="22" t="n">
        <x:v>649</x:v>
      </x:c>
      <x:c r="O142" s="22" t="n">
        <x:v>292</x:v>
      </x:c>
      <x:c r="P142" s="22" t="n">
        <x:v>533</x:v>
      </x:c>
      <x:c r="Q142" s="22" t="n">
        <x:v>545</x:v>
      </x:c>
      <x:c r="R142" s="22" t="n">
        <x:v>464</x:v>
      </x:c>
      <x:c r="S142" s="22" t="n">
        <x:v>464</x:v>
      </x:c>
      <x:c r="T142" s="22" t="n">
        <x:v>0.3100000000000001</x:v>
      </x:c>
      <x:c r="U142" s="22" t="n">
        <x:v>20</x:v>
      </x:c>
      <x:c r="V142" s="22" t="n">
        <x:v>137</x:v>
      </x:c>
      <x:c r="W142" s="22" t="n">
        <x:v>79</x:v>
      </x:c>
      <x:c r="X142" s="22" t="n">
        <x:v>22</x:v>
      </x:c>
      <x:c r="Y142" s="22" t="n">
        <x:v>205</x:v>
      </x:c>
      <x:c r="Z142" s="22" t="n">
        <x:v>1</x:v>
      </x:c>
      <x:c r="AA142" s="22" t="n">
        <x:v>12</x:v>
      </x:c>
      <x:c r="AB142" s="22" t="n">
        <x:v>0</x:v>
      </x:c>
      <x:c r="AC142" s="22" t="n">
        <x:v>0</x:v>
      </x:c>
      <x:c r="AD142" s="22" t="n">
        <x:v>28</x:v>
      </x:c>
      <x:c r="AE142" s="22" t="n">
        <x:v>6</x:v>
      </x:c>
      <x:c r="AF142" s="22" t="n">
        <x:v>83</x:v>
      </x:c>
      <x:c r="AG142" s="22" t="n">
        <x:v>7</x:v>
      </x:c>
      <x:c r="AH142" s="22" t="n">
        <x:v>8</x:v>
      </x:c>
      <x:c r="AI142" s="22" t="n">
        <x:v>25</x:v>
      </x:c>
      <x:c r="AJ142" s="22" t="n">
        <x:v>0</x:v>
      </x:c>
      <x:c r="AK142" s="22" t="n">
        <x:v>2</x:v>
      </x:c>
      <x:c r="AL142" s="22" t="n">
        <x:v>402</x:v>
      </x:c>
      <x:c r="AM142" s="22" t="n">
        <x:v>40</x:v>
      </x:c>
      <x:c r="AN142" s="22" t="n">
        <x:v>4</x:v>
      </x:c>
      <x:c r="AO142" s="22" t="n">
        <x:v>4</x:v>
      </x:c>
      <x:c r="AP142" s="22" t="n">
        <x:v>1800</x:v>
      </x:c>
      <x:c r="AQ142" s="22" t="n">
        <x:v>15</x:v>
      </x:c>
      <x:c r="AR142" s="22" t="n">
        <x:v>0</x:v>
      </x:c>
      <x:c r="AS142" s="22" t="n">
        <x:v>10</x:v>
      </x:c>
      <x:c r="AT142" s="22" t="n">
        <x:v>10</x:v>
      </x:c>
      <x:c r="AU142" s="22" t="n">
        <x:v>0</x:v>
      </x:c>
      <x:c r="AV142" s="22" t="n">
        <x:v>0</x:v>
      </x:c>
      <x:c r="AW142" s="22" t="n">
        <x:v>0</x:v>
      </x:c>
    </x:row>
    <x:row r="143" ht="24" customHeight="1">
      <x:c r="A143" s="22" t="str">
        <x:v>P0139</x:v>
      </x:c>
      <x:c r="B143" s="22" t="n">
        <x:v>4</x:v>
      </x:c>
      <x:c r="C143" s="22" t="n">
        <x:v>6</x:v>
      </x:c>
      <x:c r="D143" s="22" t="str">
        <x:v>湖底密道BOSS装备快线</x:v>
      </x:c>
      <x:c r="E143" s="22" t="n">
        <x:v>10789</x:v>
      </x:c>
      <x:c r="F143" s="22" t="n">
        <x:v>12401</x:v>
      </x:c>
      <x:c r="G143" s="22" t="n">
        <x:v>10761</x:v>
      </x:c>
      <x:c r="H143" s="22" t="n">
        <x:v>12355</x:v>
      </x:c>
      <x:c r="I143" s="22" t="n">
        <x:v>10770</x:v>
      </x:c>
      <x:c r="J143" s="22" t="n">
        <x:v>12364</x:v>
      </x:c>
      <x:c r="K143" s="22" t="n">
        <x:v>1502600</x:v>
      </x:c>
      <x:c r="L143" s="22" t="n">
        <x:v>180600</x:v>
      </x:c>
      <x:c r="M143" s="22" t="n">
        <x:v>433</x:v>
      </x:c>
      <x:c r="N143" s="22" t="n">
        <x:v>783</x:v>
      </x:c>
      <x:c r="O143" s="22" t="n">
        <x:v>353</x:v>
      </x:c>
      <x:c r="P143" s="22" t="n">
        <x:v>644</x:v>
      </x:c>
      <x:c r="Q143" s="22" t="n">
        <x:v>608</x:v>
      </x:c>
      <x:c r="R143" s="22" t="n">
        <x:v>571</x:v>
      </x:c>
      <x:c r="S143" s="22" t="n">
        <x:v>571</x:v>
      </x:c>
      <x:c r="T143" s="22" t="n">
        <x:v>0.3100000000000001</x:v>
      </x:c>
      <x:c r="U143" s="22" t="n">
        <x:v>20</x:v>
      </x:c>
      <x:c r="V143" s="22" t="n">
        <x:v>158</x:v>
      </x:c>
      <x:c r="W143" s="22" t="n">
        <x:v>97</x:v>
      </x:c>
      <x:c r="X143" s="22" t="n">
        <x:v>22</x:v>
      </x:c>
      <x:c r="Y143" s="22" t="n">
        <x:v>250</x:v>
      </x:c>
      <x:c r="Z143" s="22" t="n">
        <x:v>0</x:v>
      </x:c>
      <x:c r="AA143" s="22" t="n">
        <x:v>72</x:v>
      </x:c>
      <x:c r="AB143" s="22" t="n">
        <x:v>0</x:v>
      </x:c>
      <x:c r="AC143" s="22" t="n">
        <x:v>0</x:v>
      </x:c>
      <x:c r="AD143" s="22" t="n">
        <x:v>38</x:v>
      </x:c>
      <x:c r="AE143" s="22" t="n">
        <x:v>7</x:v>
      </x:c>
      <x:c r="AF143" s="22" t="n">
        <x:v>89</x:v>
      </x:c>
      <x:c r="AG143" s="22" t="n">
        <x:v>7</x:v>
      </x:c>
      <x:c r="AH143" s="22" t="n">
        <x:v>8</x:v>
      </x:c>
      <x:c r="AI143" s="22" t="n">
        <x:v>27</x:v>
      </x:c>
      <x:c r="AJ143" s="22" t="n">
        <x:v>2</x:v>
      </x:c>
      <x:c r="AK143" s="22" t="n">
        <x:v>2</x:v>
      </x:c>
      <x:c r="AL143" s="22" t="n">
        <x:v>402</x:v>
      </x:c>
      <x:c r="AM143" s="22" t="n">
        <x:v>40</x:v>
      </x:c>
      <x:c r="AN143" s="22" t="n">
        <x:v>4</x:v>
      </x:c>
      <x:c r="AO143" s="22" t="n">
        <x:v>6</x:v>
      </x:c>
      <x:c r="AP143" s="22" t="n">
        <x:v>2100</x:v>
      </x:c>
      <x:c r="AQ143" s="22" t="n">
        <x:v>16</x:v>
      </x:c>
      <x:c r="AR143" s="22" t="n">
        <x:v>0</x:v>
      </x:c>
      <x:c r="AS143" s="22" t="n">
        <x:v>10</x:v>
      </x:c>
      <x:c r="AT143" s="22" t="n">
        <x:v>10</x:v>
      </x:c>
      <x:c r="AU143" s="22" t="n">
        <x:v>0</x:v>
      </x:c>
      <x:c r="AV143" s="22" t="n">
        <x:v>0</x:v>
      </x:c>
      <x:c r="AW143" s="22" t="n">
        <x:v>0</x:v>
      </x:c>
    </x:row>
    <x:row r="144" ht="24" customHeight="1">
      <x:c r="A144" s="22" t="str">
        <x:v>P0140</x:v>
      </x:c>
      <x:c r="B144" s="22" t="n">
        <x:v>4</x:v>
      </x:c>
      <x:c r="C144" s="22" t="n">
        <x:v>6</x:v>
      </x:c>
      <x:c r="D144" s="22" t="str">
        <x:v>湖底密道阶段积累后</x:v>
      </x:c>
      <x:c r="E144" s="22" t="n">
        <x:v>10562</x:v>
      </x:c>
      <x:c r="F144" s="22" t="n">
        <x:v>11968</x:v>
      </x:c>
      <x:c r="G144" s="22" t="n">
        <x:v>10760</x:v>
      </x:c>
      <x:c r="H144" s="22" t="n">
        <x:v>12148</x:v>
      </x:c>
      <x:c r="I144" s="22" t="n">
        <x:v>10581</x:v>
      </x:c>
      <x:c r="J144" s="22" t="n">
        <x:v>11969</x:v>
      </x:c>
      <x:c r="K144" s="22" t="n">
        <x:v>1520900</x:v>
      </x:c>
      <x:c r="L144" s="22" t="n">
        <x:v>180600</x:v>
      </x:c>
      <x:c r="M144" s="22" t="n">
        <x:v>432</x:v>
      </x:c>
      <x:c r="N144" s="22" t="n">
        <x:v>779</x:v>
      </x:c>
      <x:c r="O144" s="22" t="n">
        <x:v>354</x:v>
      </x:c>
      <x:c r="P144" s="22" t="n">
        <x:v>642</x:v>
      </x:c>
      <x:c r="Q144" s="22" t="n">
        <x:v>630</x:v>
      </x:c>
      <x:c r="R144" s="22" t="n">
        <x:v>549</x:v>
      </x:c>
      <x:c r="S144" s="22" t="n">
        <x:v>549</x:v>
      </x:c>
      <x:c r="T144" s="22" t="n">
        <x:v>0.3100000000000001</x:v>
      </x:c>
      <x:c r="U144" s="22" t="n">
        <x:v>19</x:v>
      </x:c>
      <x:c r="V144" s="22" t="n">
        <x:v>227</x:v>
      </x:c>
      <x:c r="W144" s="22" t="n">
        <x:v>98</x:v>
      </x:c>
      <x:c r="X144" s="22" t="n">
        <x:v>22</x:v>
      </x:c>
      <x:c r="Y144" s="22" t="n">
        <x:v>234</x:v>
      </x:c>
      <x:c r="Z144" s="22" t="n">
        <x:v>1</x:v>
      </x:c>
      <x:c r="AA144" s="22" t="n">
        <x:v>143</x:v>
      </x:c>
      <x:c r="AB144" s="22" t="n">
        <x:v>0</x:v>
      </x:c>
      <x:c r="AC144" s="22" t="n">
        <x:v>0</x:v>
      </x:c>
      <x:c r="AD144" s="22" t="n">
        <x:v>26</x:v>
      </x:c>
      <x:c r="AE144" s="22" t="n">
        <x:v>6</x:v>
      </x:c>
      <x:c r="AF144" s="22" t="n">
        <x:v>83</x:v>
      </x:c>
      <x:c r="AG144" s="22" t="n">
        <x:v>7</x:v>
      </x:c>
      <x:c r="AH144" s="22" t="n">
        <x:v>8</x:v>
      </x:c>
      <x:c r="AI144" s="22" t="n">
        <x:v>25</x:v>
      </x:c>
      <x:c r="AJ144" s="22" t="n">
        <x:v>0</x:v>
      </x:c>
      <x:c r="AK144" s="22" t="n">
        <x:v>2</x:v>
      </x:c>
      <x:c r="AL144" s="22" t="n">
        <x:v>372</x:v>
      </x:c>
      <x:c r="AM144" s="22" t="n">
        <x:v>40</x:v>
      </x:c>
      <x:c r="AN144" s="22" t="n">
        <x:v>4</x:v>
      </x:c>
      <x:c r="AO144" s="22" t="n">
        <x:v>4</x:v>
      </x:c>
      <x:c r="AP144" s="22" t="n">
        <x:v>1800</x:v>
      </x:c>
      <x:c r="AQ144" s="22" t="n">
        <x:v>15</x:v>
      </x:c>
      <x:c r="AR144" s="22" t="n">
        <x:v>0</x:v>
      </x:c>
      <x:c r="AS144" s="22" t="n">
        <x:v>10</x:v>
      </x:c>
      <x:c r="AT144" s="22" t="n">
        <x:v>10</x:v>
      </x:c>
      <x:c r="AU144" s="22" t="n">
        <x:v>0</x:v>
      </x:c>
      <x:c r="AV144" s="22" t="n">
        <x:v>0</x:v>
      </x:c>
      <x:c r="AW144" s="22" t="n">
        <x:v>0</x:v>
      </x:c>
    </x:row>
    <x:row r="145" ht="24" customHeight="1">
      <x:c r="A145" s="22" t="str">
        <x:v>P0141</x:v>
      </x:c>
      <x:c r="B145" s="22" t="n">
        <x:v>4</x:v>
      </x:c>
      <x:c r="C145" s="22" t="n">
        <x:v>6</x:v>
      </x:c>
      <x:c r="D145" s="22" t="str">
        <x:v>C04守关前必做制作完成</x:v>
      </x:c>
      <x:c r="E145" s="22" t="n">
        <x:v>10765</x:v>
      </x:c>
      <x:c r="F145" s="22" t="n">
        <x:v>12171</x:v>
      </x:c>
      <x:c r="G145" s="22" t="n">
        <x:v>10760</x:v>
      </x:c>
      <x:c r="H145" s="22" t="n">
        <x:v>12148</x:v>
      </x:c>
      <x:c r="I145" s="22" t="n">
        <x:v>10581</x:v>
      </x:c>
      <x:c r="J145" s="22" t="n">
        <x:v>11969</x:v>
      </x:c>
      <x:c r="K145" s="22" t="n">
        <x:v>1520900</x:v>
      </x:c>
      <x:c r="L145" s="22" t="n">
        <x:v>180600</x:v>
      </x:c>
      <x:c r="M145" s="22" t="n">
        <x:v>432</x:v>
      </x:c>
      <x:c r="N145" s="22" t="n">
        <x:v>779</x:v>
      </x:c>
      <x:c r="O145" s="22" t="n">
        <x:v>354</x:v>
      </x:c>
      <x:c r="P145" s="22" t="n">
        <x:v>642</x:v>
      </x:c>
      <x:c r="Q145" s="22" t="n">
        <x:v>630</x:v>
      </x:c>
      <x:c r="R145" s="22" t="n">
        <x:v>549</x:v>
      </x:c>
      <x:c r="S145" s="22" t="n">
        <x:v>549</x:v>
      </x:c>
      <x:c r="T145" s="22" t="n">
        <x:v>0.3100000000000001</x:v>
      </x:c>
      <x:c r="U145" s="22" t="n">
        <x:v>19</x:v>
      </x:c>
      <x:c r="V145" s="22" t="n">
        <x:v>227</x:v>
      </x:c>
      <x:c r="W145" s="22" t="n">
        <x:v>98</x:v>
      </x:c>
      <x:c r="X145" s="22" t="n">
        <x:v>22</x:v>
      </x:c>
      <x:c r="Y145" s="22" t="n">
        <x:v>234</x:v>
      </x:c>
      <x:c r="Z145" s="22" t="n">
        <x:v>1</x:v>
      </x:c>
      <x:c r="AA145" s="22" t="n">
        <x:v>143</x:v>
      </x:c>
      <x:c r="AB145" s="22" t="n">
        <x:v>0</x:v>
      </x:c>
      <x:c r="AC145" s="22" t="n">
        <x:v>0</x:v>
      </x:c>
      <x:c r="AD145" s="22" t="n">
        <x:v>28</x:v>
      </x:c>
      <x:c r="AE145" s="22" t="n">
        <x:v>6</x:v>
      </x:c>
      <x:c r="AF145" s="22" t="n">
        <x:v>83</x:v>
      </x:c>
      <x:c r="AG145" s="22" t="n">
        <x:v>7</x:v>
      </x:c>
      <x:c r="AH145" s="22" t="n">
        <x:v>8</x:v>
      </x:c>
      <x:c r="AI145" s="22" t="n">
        <x:v>25</x:v>
      </x:c>
      <x:c r="AJ145" s="22" t="n">
        <x:v>0</x:v>
      </x:c>
      <x:c r="AK145" s="22" t="n">
        <x:v>2</x:v>
      </x:c>
      <x:c r="AL145" s="22" t="n">
        <x:v>372</x:v>
      </x:c>
      <x:c r="AM145" s="22" t="n">
        <x:v>40</x:v>
      </x:c>
      <x:c r="AN145" s="22" t="n">
        <x:v>4</x:v>
      </x:c>
      <x:c r="AO145" s="22" t="n">
        <x:v>5</x:v>
      </x:c>
      <x:c r="AP145" s="22" t="n">
        <x:v>1800</x:v>
      </x:c>
      <x:c r="AQ145" s="22" t="n">
        <x:v>16</x:v>
      </x:c>
      <x:c r="AR145" s="22" t="n">
        <x:v>0</x:v>
      </x:c>
      <x:c r="AS145" s="22" t="n">
        <x:v>10</x:v>
      </x:c>
      <x:c r="AT145" s="22" t="n">
        <x:v>10</x:v>
      </x:c>
      <x:c r="AU145" s="22" t="n">
        <x:v>0</x:v>
      </x:c>
      <x:c r="AV145" s="22" t="n">
        <x:v>0</x:v>
      </x:c>
      <x:c r="AW145" s="22" t="n">
        <x:v>0</x:v>
      </x:c>
    </x:row>
    <x:row r="146" ht="24" customHeight="1">
      <x:c r="A146" s="22" t="str">
        <x:v>P0142</x:v>
      </x:c>
      <x:c r="B146" s="22" t="n">
        <x:v>4</x:v>
      </x:c>
      <x:c r="C146" s="22" t="n">
        <x:v>6</x:v>
      </x:c>
      <x:c r="D146" s="22" t="str">
        <x:v>C04约70%守关参考</x:v>
      </x:c>
      <x:c r="E146" s="22" t="n">
        <x:v>11120</x:v>
      </x:c>
      <x:c r="F146" s="22" t="n">
        <x:v>12526</x:v>
      </x:c>
      <x:c r="G146" s="22" t="n">
        <x:v>11115</x:v>
      </x:c>
      <x:c r="H146" s="22" t="n">
        <x:v>12503</x:v>
      </x:c>
      <x:c r="I146" s="22" t="n">
        <x:v>10936</x:v>
      </x:c>
      <x:c r="J146" s="22" t="n">
        <x:v>12324</x:v>
      </x:c>
      <x:c r="K146" s="22" t="n">
        <x:v>1556400</x:v>
      </x:c>
      <x:c r="L146" s="22" t="n">
        <x:v>180600</x:v>
      </x:c>
      <x:c r="M146" s="22" t="n">
        <x:v>432</x:v>
      </x:c>
      <x:c r="N146" s="22" t="n">
        <x:v>779</x:v>
      </x:c>
      <x:c r="O146" s="22" t="n">
        <x:v>354</x:v>
      </x:c>
      <x:c r="P146" s="22" t="n">
        <x:v>642</x:v>
      </x:c>
      <x:c r="Q146" s="22" t="n">
        <x:v>630</x:v>
      </x:c>
      <x:c r="R146" s="22" t="n">
        <x:v>549</x:v>
      </x:c>
      <x:c r="S146" s="22" t="n">
        <x:v>549</x:v>
      </x:c>
      <x:c r="T146" s="22" t="n">
        <x:v>0.37000000000000016</x:v>
      </x:c>
      <x:c r="U146" s="22" t="n">
        <x:v>19</x:v>
      </x:c>
      <x:c r="V146" s="22" t="n">
        <x:v>227</x:v>
      </x:c>
      <x:c r="W146" s="22" t="n">
        <x:v>98</x:v>
      </x:c>
      <x:c r="X146" s="22" t="n">
        <x:v>22</x:v>
      </x:c>
      <x:c r="Y146" s="22" t="n">
        <x:v>234</x:v>
      </x:c>
      <x:c r="Z146" s="22" t="n">
        <x:v>1</x:v>
      </x:c>
      <x:c r="AA146" s="22" t="n">
        <x:v>143</x:v>
      </x:c>
      <x:c r="AB146" s="22" t="n">
        <x:v>0</x:v>
      </x:c>
      <x:c r="AC146" s="22" t="n">
        <x:v>0</x:v>
      </x:c>
      <x:c r="AD146" s="22" t="n">
        <x:v>28</x:v>
      </x:c>
      <x:c r="AE146" s="22" t="n">
        <x:v>6</x:v>
      </x:c>
      <x:c r="AF146" s="22" t="n">
        <x:v>83</x:v>
      </x:c>
      <x:c r="AG146" s="22" t="n">
        <x:v>7</x:v>
      </x:c>
      <x:c r="AH146" s="22" t="n">
        <x:v>8</x:v>
      </x:c>
      <x:c r="AI146" s="22" t="n">
        <x:v>26.5</x:v>
      </x:c>
      <x:c r="AJ146" s="22" t="n">
        <x:v>0</x:v>
      </x:c>
      <x:c r="AK146" s="22" t="n">
        <x:v>2</x:v>
      </x:c>
      <x:c r="AL146" s="22" t="n">
        <x:v>462</x:v>
      </x:c>
      <x:c r="AM146" s="22" t="n">
        <x:v>40</x:v>
      </x:c>
      <x:c r="AN146" s="22" t="n">
        <x:v>4</x:v>
      </x:c>
      <x:c r="AO146" s="22" t="n">
        <x:v>5</x:v>
      </x:c>
      <x:c r="AP146" s="22" t="n">
        <x:v>1800</x:v>
      </x:c>
      <x:c r="AQ146" s="22" t="n">
        <x:v>16</x:v>
      </x:c>
      <x:c r="AR146" s="22" t="n">
        <x:v>0</x:v>
      </x:c>
      <x:c r="AS146" s="22" t="n">
        <x:v>10</x:v>
      </x:c>
      <x:c r="AT146" s="22" t="n">
        <x:v>10</x:v>
      </x:c>
      <x:c r="AU146" s="22" t="n">
        <x:v>0</x:v>
      </x:c>
      <x:c r="AV146" s="22" t="n">
        <x:v>0</x:v>
      </x:c>
      <x:c r="AW146" s="22" t="n">
        <x:v>0</x:v>
      </x:c>
    </x:row>
    <x:row r="147" ht="24" customHeight="1">
      <x:c r="A147" s="22" t="str">
        <x:v>P0143</x:v>
      </x:c>
      <x:c r="B147" s="22" t="n">
        <x:v>4</x:v>
      </x:c>
      <x:c r="C147" s="22" t="n">
        <x:v>6</x:v>
      </x:c>
      <x:c r="D147" s="22" t="str">
        <x:v>C04高完成度参考</x:v>
      </x:c>
      <x:c r="E147" s="22" t="n">
        <x:v>12397</x:v>
      </x:c>
      <x:c r="F147" s="22" t="n">
        <x:v>14440</x:v>
      </x:c>
      <x:c r="G147" s="22" t="n">
        <x:v>11774</x:v>
      </x:c>
      <x:c r="H147" s="22" t="n">
        <x:v>13799</x:v>
      </x:c>
      <x:c r="I147" s="22" t="n">
        <x:v>11810</x:v>
      </x:c>
      <x:c r="J147" s="22" t="n">
        <x:v>13835</x:v>
      </x:c>
      <x:c r="K147" s="22" t="n">
        <x:v>1763100</x:v>
      </x:c>
      <x:c r="L147" s="22" t="n">
        <x:v>180600</x:v>
      </x:c>
      <x:c r="M147" s="22" t="n">
        <x:v>621</x:v>
      </x:c>
      <x:c r="N147" s="22" t="n">
        <x:v>1119</x:v>
      </x:c>
      <x:c r="O147" s="22" t="n">
        <x:v>508</x:v>
      </x:c>
      <x:c r="P147" s="22" t="n">
        <x:v>923</x:v>
      </x:c>
      <x:c r="Q147" s="22" t="n">
        <x:v>770</x:v>
      </x:c>
      <x:c r="R147" s="22" t="n">
        <x:v>733</x:v>
      </x:c>
      <x:c r="S147" s="22" t="n">
        <x:v>733</x:v>
      </x:c>
      <x:c r="T147" s="22" t="n">
        <x:v>0.4100000000000002</x:v>
      </x:c>
      <x:c r="U147" s="22" t="n">
        <x:v>19</x:v>
      </x:c>
      <x:c r="V147" s="22" t="n">
        <x:v>275</x:v>
      </x:c>
      <x:c r="W147" s="22" t="n">
        <x:v>131</x:v>
      </x:c>
      <x:c r="X147" s="22" t="n">
        <x:v>22</x:v>
      </x:c>
      <x:c r="Y147" s="22" t="n">
        <x:v>279</x:v>
      </x:c>
      <x:c r="Z147" s="22" t="n">
        <x:v>0</x:v>
      </x:c>
      <x:c r="AA147" s="22" t="n">
        <x:v>279</x:v>
      </x:c>
      <x:c r="AB147" s="22" t="n">
        <x:v>0</x:v>
      </x:c>
      <x:c r="AC147" s="22" t="n">
        <x:v>0</x:v>
      </x:c>
      <x:c r="AD147" s="22" t="n">
        <x:v>40</x:v>
      </x:c>
      <x:c r="AE147" s="22" t="n">
        <x:v>7</x:v>
      </x:c>
      <x:c r="AF147" s="22" t="n">
        <x:v>89</x:v>
      </x:c>
      <x:c r="AG147" s="22" t="n">
        <x:v>7</x:v>
      </x:c>
      <x:c r="AH147" s="22" t="n">
        <x:v>8</x:v>
      </x:c>
      <x:c r="AI147" s="22" t="n">
        <x:v>29.5</x:v>
      </x:c>
      <x:c r="AJ147" s="22" t="n">
        <x:v>2</x:v>
      </x:c>
      <x:c r="AK147" s="22" t="n">
        <x:v>4</x:v>
      </x:c>
      <x:c r="AL147" s="22" t="n">
        <x:v>528</x:v>
      </x:c>
      <x:c r="AM147" s="22" t="n">
        <x:v>47</x:v>
      </x:c>
      <x:c r="AN147" s="22" t="n">
        <x:v>4</x:v>
      </x:c>
      <x:c r="AO147" s="22" t="n">
        <x:v>7</x:v>
      </x:c>
      <x:c r="AP147" s="22" t="n">
        <x:v>2100</x:v>
      </x:c>
      <x:c r="AQ147" s="22" t="n">
        <x:v>17</x:v>
      </x:c>
      <x:c r="AR147" s="22" t="n">
        <x:v>0</x:v>
      </x:c>
      <x:c r="AS147" s="22" t="n">
        <x:v>10</x:v>
      </x:c>
      <x:c r="AT147" s="22" t="n">
        <x:v>10</x:v>
      </x:c>
      <x:c r="AU147" s="22" t="n">
        <x:v>0</x:v>
      </x:c>
      <x:c r="AV147" s="22" t="n">
        <x:v>0</x:v>
      </x:c>
      <x:c r="AW147" s="22" t="n">
        <x:v>0</x:v>
      </x:c>
    </x:row>
    <x:row r="148" ht="24" customHeight="1">
      <x:c r="A148" s="22" t="str">
        <x:v>P0144</x:v>
      </x:c>
      <x:c r="B148" s="22" t="n">
        <x:v>4</x:v>
      </x:c>
      <x:c r="C148" s="22" t="n">
        <x:v>6</x:v>
      </x:c>
      <x:c r="D148" s="22" t="str">
        <x:v>C04守关后继承</x:v>
      </x:c>
      <x:c r="E148" s="22" t="n">
        <x:v>11120</x:v>
      </x:c>
      <x:c r="F148" s="22" t="n">
        <x:v>12526</x:v>
      </x:c>
      <x:c r="G148" s="22" t="n">
        <x:v>11115</x:v>
      </x:c>
      <x:c r="H148" s="22" t="n">
        <x:v>12503</x:v>
      </x:c>
      <x:c r="I148" s="22" t="n">
        <x:v>10936</x:v>
      </x:c>
      <x:c r="J148" s="22" t="n">
        <x:v>12324</x:v>
      </x:c>
      <x:c r="K148" s="22" t="n">
        <x:v>1556400</x:v>
      </x:c>
      <x:c r="L148" s="22" t="n">
        <x:v>180600</x:v>
      </x:c>
      <x:c r="M148" s="22" t="n">
        <x:v>432</x:v>
      </x:c>
      <x:c r="N148" s="22" t="n">
        <x:v>779</x:v>
      </x:c>
      <x:c r="O148" s="22" t="n">
        <x:v>354</x:v>
      </x:c>
      <x:c r="P148" s="22" t="n">
        <x:v>642</x:v>
      </x:c>
      <x:c r="Q148" s="22" t="n">
        <x:v>630</x:v>
      </x:c>
      <x:c r="R148" s="22" t="n">
        <x:v>549</x:v>
      </x:c>
      <x:c r="S148" s="22" t="n">
        <x:v>549</x:v>
      </x:c>
      <x:c r="T148" s="22" t="n">
        <x:v>0.37000000000000016</x:v>
      </x:c>
      <x:c r="U148" s="22" t="n">
        <x:v>19</x:v>
      </x:c>
      <x:c r="V148" s="22" t="n">
        <x:v>227</x:v>
      </x:c>
      <x:c r="W148" s="22" t="n">
        <x:v>98</x:v>
      </x:c>
      <x:c r="X148" s="22" t="n">
        <x:v>22</x:v>
      </x:c>
      <x:c r="Y148" s="22" t="n">
        <x:v>234</x:v>
      </x:c>
      <x:c r="Z148" s="22" t="n">
        <x:v>1</x:v>
      </x:c>
      <x:c r="AA148" s="22" t="n">
        <x:v>143</x:v>
      </x:c>
      <x:c r="AB148" s="22" t="n">
        <x:v>0</x:v>
      </x:c>
      <x:c r="AC148" s="22" t="n">
        <x:v>0</x:v>
      </x:c>
      <x:c r="AD148" s="22" t="n">
        <x:v>28</x:v>
      </x:c>
      <x:c r="AE148" s="22" t="n">
        <x:v>6</x:v>
      </x:c>
      <x:c r="AF148" s="22" t="n">
        <x:v>83</x:v>
      </x:c>
      <x:c r="AG148" s="22" t="n">
        <x:v>7</x:v>
      </x:c>
      <x:c r="AH148" s="22" t="n">
        <x:v>8</x:v>
      </x:c>
      <x:c r="AI148" s="22" t="n">
        <x:v>26.5</x:v>
      </x:c>
      <x:c r="AJ148" s="22" t="n">
        <x:v>0</x:v>
      </x:c>
      <x:c r="AK148" s="22" t="n">
        <x:v>2</x:v>
      </x:c>
      <x:c r="AL148" s="22" t="n">
        <x:v>462</x:v>
      </x:c>
      <x:c r="AM148" s="22" t="n">
        <x:v>40</x:v>
      </x:c>
      <x:c r="AN148" s="22" t="n">
        <x:v>4</x:v>
      </x:c>
      <x:c r="AO148" s="22" t="n">
        <x:v>5</x:v>
      </x:c>
      <x:c r="AP148" s="22" t="n">
        <x:v>1800</x:v>
      </x:c>
      <x:c r="AQ148" s="22" t="n">
        <x:v>16</x:v>
      </x:c>
      <x:c r="AR148" s="22" t="n">
        <x:v>0</x:v>
      </x:c>
      <x:c r="AS148" s="22" t="n">
        <x:v>10</x:v>
      </x:c>
      <x:c r="AT148" s="22" t="n">
        <x:v>10</x:v>
      </x:c>
      <x:c r="AU148" s="22" t="n">
        <x:v>0</x:v>
      </x:c>
      <x:c r="AV148" s="22" t="n">
        <x:v>0</x:v>
      </x:c>
      <x:c r="AW148" s="22" t="n">
        <x:v>0</x:v>
      </x:c>
    </x:row>
    <x:row r="149" ht="24" customHeight="1">
      <x:c r="A149" s="22" t="str">
        <x:v>P0145</x:v>
      </x:c>
      <x:c r="B149" s="22" t="n">
        <x:v>5</x:v>
      </x:c>
      <x:c r="C149" s="22" t="n">
        <x:v>1</x:v>
      </x:c>
      <x:c r="D149" s="22" t="str">
        <x:v>C05入场继承</x:v>
      </x:c>
      <x:c r="E149" s="22" t="n">
        <x:v>11120</x:v>
      </x:c>
      <x:c r="F149" s="22" t="n">
        <x:v>12526</x:v>
      </x:c>
      <x:c r="G149" s="22" t="n">
        <x:v>11115</x:v>
      </x:c>
      <x:c r="H149" s="22" t="n">
        <x:v>12503</x:v>
      </x:c>
      <x:c r="I149" s="22" t="n">
        <x:v>10936</x:v>
      </x:c>
      <x:c r="J149" s="22" t="n">
        <x:v>12324</x:v>
      </x:c>
      <x:c r="K149" s="22" t="n">
        <x:v>1556400</x:v>
      </x:c>
      <x:c r="L149" s="22" t="n">
        <x:v>180600</x:v>
      </x:c>
      <x:c r="M149" s="22" t="n">
        <x:v>432</x:v>
      </x:c>
      <x:c r="N149" s="22" t="n">
        <x:v>779</x:v>
      </x:c>
      <x:c r="O149" s="22" t="n">
        <x:v>354</x:v>
      </x:c>
      <x:c r="P149" s="22" t="n">
        <x:v>642</x:v>
      </x:c>
      <x:c r="Q149" s="22" t="n">
        <x:v>630</x:v>
      </x:c>
      <x:c r="R149" s="22" t="n">
        <x:v>549</x:v>
      </x:c>
      <x:c r="S149" s="22" t="n">
        <x:v>549</x:v>
      </x:c>
      <x:c r="T149" s="22" t="n">
        <x:v>0.37000000000000016</x:v>
      </x:c>
      <x:c r="U149" s="22" t="n">
        <x:v>19</x:v>
      </x:c>
      <x:c r="V149" s="22" t="n">
        <x:v>227</x:v>
      </x:c>
      <x:c r="W149" s="22" t="n">
        <x:v>98</x:v>
      </x:c>
      <x:c r="X149" s="22" t="n">
        <x:v>22</x:v>
      </x:c>
      <x:c r="Y149" s="22" t="n">
        <x:v>234</x:v>
      </x:c>
      <x:c r="Z149" s="22" t="n">
        <x:v>1</x:v>
      </x:c>
      <x:c r="AA149" s="22" t="n">
        <x:v>143</x:v>
      </x:c>
      <x:c r="AB149" s="22" t="n">
        <x:v>0</x:v>
      </x:c>
      <x:c r="AC149" s="22" t="n">
        <x:v>0</x:v>
      </x:c>
      <x:c r="AD149" s="22" t="n">
        <x:v>28</x:v>
      </x:c>
      <x:c r="AE149" s="22" t="n">
        <x:v>6</x:v>
      </x:c>
      <x:c r="AF149" s="22" t="n">
        <x:v>83</x:v>
      </x:c>
      <x:c r="AG149" s="22" t="n">
        <x:v>7</x:v>
      </x:c>
      <x:c r="AH149" s="22" t="n">
        <x:v>8</x:v>
      </x:c>
      <x:c r="AI149" s="22" t="n">
        <x:v>26.5</x:v>
      </x:c>
      <x:c r="AJ149" s="22" t="n">
        <x:v>0</x:v>
      </x:c>
      <x:c r="AK149" s="22" t="n">
        <x:v>2</x:v>
      </x:c>
      <x:c r="AL149" s="22" t="n">
        <x:v>462</x:v>
      </x:c>
      <x:c r="AM149" s="22" t="n">
        <x:v>40</x:v>
      </x:c>
      <x:c r="AN149" s="22" t="n">
        <x:v>4</x:v>
      </x:c>
      <x:c r="AO149" s="22" t="n">
        <x:v>5</x:v>
      </x:c>
      <x:c r="AP149" s="22" t="n">
        <x:v>1800</x:v>
      </x:c>
      <x:c r="AQ149" s="22" t="n">
        <x:v>16</x:v>
      </x:c>
      <x:c r="AR149" s="22" t="n">
        <x:v>0</x:v>
      </x:c>
      <x:c r="AS149" s="22" t="n">
        <x:v>10</x:v>
      </x:c>
      <x:c r="AT149" s="22" t="n">
        <x:v>10</x:v>
      </x:c>
      <x:c r="AU149" s="22" t="n">
        <x:v>0</x:v>
      </x:c>
      <x:c r="AV149" s="22" t="n">
        <x:v>0</x:v>
      </x:c>
      <x:c r="AW149" s="22" t="n">
        <x:v>0</x:v>
      </x:c>
    </x:row>
    <x:row r="150" ht="24" customHeight="1">
      <x:c r="A150" s="22" t="str">
        <x:v>P0146</x:v>
      </x:c>
      <x:c r="B150" s="22" t="n">
        <x:v>5</x:v>
      </x:c>
      <x:c r="C150" s="22" t="n">
        <x:v>1</x:v>
      </x:c>
      <x:c r="D150" s="22" t="str">
        <x:v>C05本阶段既有付费/长期成长</x:v>
      </x:c>
      <x:c r="E150" s="22" t="n">
        <x:v>11447</x:v>
      </x:c>
      <x:c r="F150" s="22" t="n">
        <x:v>12853</x:v>
      </x:c>
      <x:c r="G150" s="22" t="n">
        <x:v>11442</x:v>
      </x:c>
      <x:c r="H150" s="22" t="n">
        <x:v>12830</x:v>
      </x:c>
      <x:c r="I150" s="22" t="n">
        <x:v>11263</x:v>
      </x:c>
      <x:c r="J150" s="22" t="n">
        <x:v>12651</x:v>
      </x:c>
      <x:c r="K150" s="22" t="n">
        <x:v>1589100</x:v>
      </x:c>
      <x:c r="L150" s="22" t="n">
        <x:v>180600</x:v>
      </x:c>
      <x:c r="M150" s="22" t="n">
        <x:v>432</x:v>
      </x:c>
      <x:c r="N150" s="22" t="n">
        <x:v>779</x:v>
      </x:c>
      <x:c r="O150" s="22" t="n">
        <x:v>354</x:v>
      </x:c>
      <x:c r="P150" s="22" t="n">
        <x:v>642</x:v>
      </x:c>
      <x:c r="Q150" s="22" t="n">
        <x:v>630</x:v>
      </x:c>
      <x:c r="R150" s="22" t="n">
        <x:v>549</x:v>
      </x:c>
      <x:c r="S150" s="22" t="n">
        <x:v>549</x:v>
      </x:c>
      <x:c r="T150" s="22" t="n">
        <x:v>0.37000000000000016</x:v>
      </x:c>
      <x:c r="U150" s="22" t="n">
        <x:v>19</x:v>
      </x:c>
      <x:c r="V150" s="22" t="n">
        <x:v>227</x:v>
      </x:c>
      <x:c r="W150" s="22" t="n">
        <x:v>98</x:v>
      </x:c>
      <x:c r="X150" s="22" t="n">
        <x:v>22</x:v>
      </x:c>
      <x:c r="Y150" s="22" t="n">
        <x:v>234</x:v>
      </x:c>
      <x:c r="Z150" s="22" t="n">
        <x:v>1</x:v>
      </x:c>
      <x:c r="AA150" s="22" t="n">
        <x:v>143</x:v>
      </x:c>
      <x:c r="AB150" s="22" t="n">
        <x:v>0</x:v>
      </x:c>
      <x:c r="AC150" s="22" t="n">
        <x:v>0</x:v>
      </x:c>
      <x:c r="AD150" s="22" t="n">
        <x:v>28</x:v>
      </x:c>
      <x:c r="AE150" s="22" t="n">
        <x:v>6</x:v>
      </x:c>
      <x:c r="AF150" s="22" t="n">
        <x:v>83</x:v>
      </x:c>
      <x:c r="AG150" s="22" t="n">
        <x:v>7</x:v>
      </x:c>
      <x:c r="AH150" s="22" t="n">
        <x:v>8</x:v>
      </x:c>
      <x:c r="AI150" s="22" t="n">
        <x:v>26.5</x:v>
      </x:c>
      <x:c r="AJ150" s="22" t="n">
        <x:v>0</x:v>
      </x:c>
      <x:c r="AK150" s="22" t="n">
        <x:v>2</x:v>
      </x:c>
      <x:c r="AL150" s="22" t="n">
        <x:v>462</x:v>
      </x:c>
      <x:c r="AM150" s="22" t="n">
        <x:v>40</x:v>
      </x:c>
      <x:c r="AN150" s="22" t="n">
        <x:v>4</x:v>
      </x:c>
      <x:c r="AO150" s="22" t="n">
        <x:v>5</x:v>
      </x:c>
      <x:c r="AP150" s="22" t="n">
        <x:v>1800</x:v>
      </x:c>
      <x:c r="AQ150" s="22" t="n">
        <x:v>16</x:v>
      </x:c>
      <x:c r="AR150" s="22" t="n">
        <x:v>0</x:v>
      </x:c>
      <x:c r="AS150" s="22" t="n">
        <x:v>10</x:v>
      </x:c>
      <x:c r="AT150" s="22" t="n">
        <x:v>10</x:v>
      </x:c>
      <x:c r="AU150" s="22" t="n">
        <x:v>0</x:v>
      </x:c>
      <x:c r="AV150" s="22" t="n">
        <x:v>0</x:v>
      </x:c>
      <x:c r="AW150" s="22" t="n">
        <x:v>0</x:v>
      </x:c>
    </x:row>
    <x:row r="151" ht="24" customHeight="1">
      <x:c r="A151" s="22" t="str">
        <x:v>P0147</x:v>
      </x:c>
      <x:c r="B151" s="22" t="n">
        <x:v>5</x:v>
      </x:c>
      <x:c r="C151" s="22" t="n">
        <x:v>1</x:v>
      </x:c>
      <x:c r="D151" s="22" t="str">
        <x:v>C05G01入场</x:v>
      </x:c>
      <x:c r="E151" s="22" t="n">
        <x:v>11447</x:v>
      </x:c>
      <x:c r="F151" s="22" t="n">
        <x:v>12853</x:v>
      </x:c>
      <x:c r="G151" s="22" t="n">
        <x:v>11442</x:v>
      </x:c>
      <x:c r="H151" s="22" t="n">
        <x:v>12830</x:v>
      </x:c>
      <x:c r="I151" s="22" t="n">
        <x:v>11263</x:v>
      </x:c>
      <x:c r="J151" s="22" t="n">
        <x:v>12651</x:v>
      </x:c>
      <x:c r="K151" s="22" t="n">
        <x:v>1589100</x:v>
      </x:c>
      <x:c r="L151" s="22" t="n">
        <x:v>180600</x:v>
      </x:c>
      <x:c r="M151" s="22" t="n">
        <x:v>432</x:v>
      </x:c>
      <x:c r="N151" s="22" t="n">
        <x:v>779</x:v>
      </x:c>
      <x:c r="O151" s="22" t="n">
        <x:v>354</x:v>
      </x:c>
      <x:c r="P151" s="22" t="n">
        <x:v>642</x:v>
      </x:c>
      <x:c r="Q151" s="22" t="n">
        <x:v>630</x:v>
      </x:c>
      <x:c r="R151" s="22" t="n">
        <x:v>549</x:v>
      </x:c>
      <x:c r="S151" s="22" t="n">
        <x:v>549</x:v>
      </x:c>
      <x:c r="T151" s="22" t="n">
        <x:v>0.37000000000000016</x:v>
      </x:c>
      <x:c r="U151" s="22" t="n">
        <x:v>19</x:v>
      </x:c>
      <x:c r="V151" s="22" t="n">
        <x:v>227</x:v>
      </x:c>
      <x:c r="W151" s="22" t="n">
        <x:v>98</x:v>
      </x:c>
      <x:c r="X151" s="22" t="n">
        <x:v>22</x:v>
      </x:c>
      <x:c r="Y151" s="22" t="n">
        <x:v>234</x:v>
      </x:c>
      <x:c r="Z151" s="22" t="n">
        <x:v>1</x:v>
      </x:c>
      <x:c r="AA151" s="22" t="n">
        <x:v>143</x:v>
      </x:c>
      <x:c r="AB151" s="22" t="n">
        <x:v>0</x:v>
      </x:c>
      <x:c r="AC151" s="22" t="n">
        <x:v>0</x:v>
      </x:c>
      <x:c r="AD151" s="22" t="n">
        <x:v>28</x:v>
      </x:c>
      <x:c r="AE151" s="22" t="n">
        <x:v>6</x:v>
      </x:c>
      <x:c r="AF151" s="22" t="n">
        <x:v>83</x:v>
      </x:c>
      <x:c r="AG151" s="22" t="n">
        <x:v>7</x:v>
      </x:c>
      <x:c r="AH151" s="22" t="n">
        <x:v>8</x:v>
      </x:c>
      <x:c r="AI151" s="22" t="n">
        <x:v>26.5</x:v>
      </x:c>
      <x:c r="AJ151" s="22" t="n">
        <x:v>0</x:v>
      </x:c>
      <x:c r="AK151" s="22" t="n">
        <x:v>2</x:v>
      </x:c>
      <x:c r="AL151" s="22" t="n">
        <x:v>462</x:v>
      </x:c>
      <x:c r="AM151" s="22" t="n">
        <x:v>40</x:v>
      </x:c>
      <x:c r="AN151" s="22" t="n">
        <x:v>4</x:v>
      </x:c>
      <x:c r="AO151" s="22" t="n">
        <x:v>5</x:v>
      </x:c>
      <x:c r="AP151" s="22" t="n">
        <x:v>1800</x:v>
      </x:c>
      <x:c r="AQ151" s="22" t="n">
        <x:v>16</x:v>
      </x:c>
      <x:c r="AR151" s="22" t="n">
        <x:v>0</x:v>
      </x:c>
      <x:c r="AS151" s="22" t="n">
        <x:v>10</x:v>
      </x:c>
      <x:c r="AT151" s="22" t="n">
        <x:v>10</x:v>
      </x:c>
      <x:c r="AU151" s="22" t="n">
        <x:v>0</x:v>
      </x:c>
      <x:c r="AV151" s="22" t="n">
        <x:v>0</x:v>
      </x:c>
      <x:c r="AW151" s="22" t="n">
        <x:v>0</x:v>
      </x:c>
    </x:row>
    <x:row r="152" ht="24" customHeight="1">
      <x:c r="A152" s="22" t="str">
        <x:v>P0148</x:v>
      </x:c>
      <x:c r="B152" s="22" t="n">
        <x:v>5</x:v>
      </x:c>
      <x:c r="C152" s="22" t="n">
        <x:v>1</x:v>
      </x:c>
      <x:c r="D152" s="22" t="str">
        <x:v>C05G01普通专属4/6</x:v>
      </x:c>
      <x:c r="E152" s="22" t="n">
        <x:v>11465</x:v>
      </x:c>
      <x:c r="F152" s="22" t="n">
        <x:v>12888</x:v>
      </x:c>
      <x:c r="G152" s="22" t="n">
        <x:v>11460</x:v>
      </x:c>
      <x:c r="H152" s="22" t="n">
        <x:v>12865</x:v>
      </x:c>
      <x:c r="I152" s="22" t="n">
        <x:v>11281</x:v>
      </x:c>
      <x:c r="J152" s="22" t="n">
        <x:v>12686</x:v>
      </x:c>
      <x:c r="K152" s="22" t="n">
        <x:v>1608800</x:v>
      </x:c>
      <x:c r="L152" s="22" t="n">
        <x:v>180600</x:v>
      </x:c>
      <x:c r="M152" s="22" t="n">
        <x:v>435</x:v>
      </x:c>
      <x:c r="N152" s="22" t="n">
        <x:v>784</x:v>
      </x:c>
      <x:c r="O152" s="22" t="n">
        <x:v>357</x:v>
      </x:c>
      <x:c r="P152" s="22" t="n">
        <x:v>647</x:v>
      </x:c>
      <x:c r="Q152" s="22" t="n">
        <x:v>632</x:v>
      </x:c>
      <x:c r="R152" s="22" t="n">
        <x:v>551</x:v>
      </x:c>
      <x:c r="S152" s="22" t="n">
        <x:v>551</x:v>
      </x:c>
      <x:c r="T152" s="22" t="n">
        <x:v>0.37000000000000016</x:v>
      </x:c>
      <x:c r="U152" s="22" t="n">
        <x:v>19</x:v>
      </x:c>
      <x:c r="V152" s="22" t="n">
        <x:v>227</x:v>
      </x:c>
      <x:c r="W152" s="22" t="n">
        <x:v>98</x:v>
      </x:c>
      <x:c r="X152" s="22" t="n">
        <x:v>22</x:v>
      </x:c>
      <x:c r="Y152" s="22" t="n">
        <x:v>234</x:v>
      </x:c>
      <x:c r="Z152" s="22" t="n">
        <x:v>1</x:v>
      </x:c>
      <x:c r="AA152" s="22" t="n">
        <x:v>143</x:v>
      </x:c>
      <x:c r="AB152" s="22" t="n">
        <x:v>0</x:v>
      </x:c>
      <x:c r="AC152" s="22" t="n">
        <x:v>0</x:v>
      </x:c>
      <x:c r="AD152" s="22" t="n">
        <x:v>28</x:v>
      </x:c>
      <x:c r="AE152" s="22" t="n">
        <x:v>6</x:v>
      </x:c>
      <x:c r="AF152" s="22" t="n">
        <x:v>83</x:v>
      </x:c>
      <x:c r="AG152" s="22" t="n">
        <x:v>7</x:v>
      </x:c>
      <x:c r="AH152" s="22" t="n">
        <x:v>8</x:v>
      </x:c>
      <x:c r="AI152" s="22" t="n">
        <x:v>26.5</x:v>
      </x:c>
      <x:c r="AJ152" s="22" t="n">
        <x:v>0</x:v>
      </x:c>
      <x:c r="AK152" s="22" t="n">
        <x:v>2</x:v>
      </x:c>
      <x:c r="AL152" s="22" t="n">
        <x:v>462</x:v>
      </x:c>
      <x:c r="AM152" s="22" t="n">
        <x:v>40</x:v>
      </x:c>
      <x:c r="AN152" s="22" t="n">
        <x:v>4</x:v>
      </x:c>
      <x:c r="AO152" s="22" t="n">
        <x:v>5</x:v>
      </x:c>
      <x:c r="AP152" s="22" t="n">
        <x:v>1800</x:v>
      </x:c>
      <x:c r="AQ152" s="22" t="n">
        <x:v>16</x:v>
      </x:c>
      <x:c r="AR152" s="22" t="n">
        <x:v>0</x:v>
      </x:c>
      <x:c r="AS152" s="22" t="n">
        <x:v>10</x:v>
      </x:c>
      <x:c r="AT152" s="22" t="n">
        <x:v>10</x:v>
      </x:c>
      <x:c r="AU152" s="22" t="n">
        <x:v>0</x:v>
      </x:c>
      <x:c r="AV152" s="22" t="n">
        <x:v>0</x:v>
      </x:c>
      <x:c r="AW152" s="22" t="n">
        <x:v>0</x:v>
      </x:c>
    </x:row>
    <x:row r="153" ht="24" customHeight="1">
      <x:c r="A153" s="22" t="str">
        <x:v>P0149</x:v>
      </x:c>
      <x:c r="B153" s="22" t="n">
        <x:v>5</x:v>
      </x:c>
      <x:c r="C153" s="22" t="n">
        <x:v>1</x:v>
      </x:c>
      <x:c r="D153" s="22" t="str">
        <x:v>雾冠巡庭侯挑战前</x:v>
      </x:c>
      <x:c r="E153" s="22" t="n">
        <x:v>11688</x:v>
      </x:c>
      <x:c r="F153" s="22" t="n">
        <x:v>13111</x:v>
      </x:c>
      <x:c r="G153" s="22" t="n">
        <x:v>11683</x:v>
      </x:c>
      <x:c r="H153" s="22" t="n">
        <x:v>13088</x:v>
      </x:c>
      <x:c r="I153" s="22" t="n">
        <x:v>11504</x:v>
      </x:c>
      <x:c r="J153" s="22" t="n">
        <x:v>12909</x:v>
      </x:c>
      <x:c r="K153" s="22" t="n">
        <x:v>1631100</x:v>
      </x:c>
      <x:c r="L153" s="22" t="n">
        <x:v>180600</x:v>
      </x:c>
      <x:c r="M153" s="22" t="n">
        <x:v>435</x:v>
      </x:c>
      <x:c r="N153" s="22" t="n">
        <x:v>784</x:v>
      </x:c>
      <x:c r="O153" s="22" t="n">
        <x:v>357</x:v>
      </x:c>
      <x:c r="P153" s="22" t="n">
        <x:v>647</x:v>
      </x:c>
      <x:c r="Q153" s="22" t="n">
        <x:v>632</x:v>
      </x:c>
      <x:c r="R153" s="22" t="n">
        <x:v>551</x:v>
      </x:c>
      <x:c r="S153" s="22" t="n">
        <x:v>551</x:v>
      </x:c>
      <x:c r="T153" s="22" t="n">
        <x:v>0.37000000000000016</x:v>
      </x:c>
      <x:c r="U153" s="22" t="n">
        <x:v>19</x:v>
      </x:c>
      <x:c r="V153" s="22" t="n">
        <x:v>227</x:v>
      </x:c>
      <x:c r="W153" s="22" t="n">
        <x:v>98</x:v>
      </x:c>
      <x:c r="X153" s="22" t="n">
        <x:v>22</x:v>
      </x:c>
      <x:c r="Y153" s="22" t="n">
        <x:v>234</x:v>
      </x:c>
      <x:c r="Z153" s="22" t="n">
        <x:v>1</x:v>
      </x:c>
      <x:c r="AA153" s="22" t="n">
        <x:v>143</x:v>
      </x:c>
      <x:c r="AB153" s="22" t="n">
        <x:v>0</x:v>
      </x:c>
      <x:c r="AC153" s="22" t="n">
        <x:v>0</x:v>
      </x:c>
      <x:c r="AD153" s="22" t="n">
        <x:v>28</x:v>
      </x:c>
      <x:c r="AE153" s="22" t="n">
        <x:v>6</x:v>
      </x:c>
      <x:c r="AF153" s="22" t="n">
        <x:v>83</x:v>
      </x:c>
      <x:c r="AG153" s="22" t="n">
        <x:v>7</x:v>
      </x:c>
      <x:c r="AH153" s="22" t="n">
        <x:v>8</x:v>
      </x:c>
      <x:c r="AI153" s="22" t="n">
        <x:v>26.5</x:v>
      </x:c>
      <x:c r="AJ153" s="22" t="n">
        <x:v>0</x:v>
      </x:c>
      <x:c r="AK153" s="22" t="n">
        <x:v>2</x:v>
      </x:c>
      <x:c r="AL153" s="22" t="n">
        <x:v>462</x:v>
      </x:c>
      <x:c r="AM153" s="22" t="n">
        <x:v>40</x:v>
      </x:c>
      <x:c r="AN153" s="22" t="n">
        <x:v>4</x:v>
      </x:c>
      <x:c r="AO153" s="22" t="n">
        <x:v>5</x:v>
      </x:c>
      <x:c r="AP153" s="22" t="n">
        <x:v>1800</x:v>
      </x:c>
      <x:c r="AQ153" s="22" t="n">
        <x:v>16</x:v>
      </x:c>
      <x:c r="AR153" s="22" t="n">
        <x:v>0</x:v>
      </x:c>
      <x:c r="AS153" s="22" t="n">
        <x:v>10</x:v>
      </x:c>
      <x:c r="AT153" s="22" t="n">
        <x:v>10</x:v>
      </x:c>
      <x:c r="AU153" s="22" t="n">
        <x:v>0</x:v>
      </x:c>
      <x:c r="AV153" s="22" t="n">
        <x:v>0</x:v>
      </x:c>
      <x:c r="AW153" s="22" t="n">
        <x:v>0</x:v>
      </x:c>
    </x:row>
    <x:row r="154" ht="24" customHeight="1">
      <x:c r="A154" s="22" t="str">
        <x:v>P0150</x:v>
      </x:c>
      <x:c r="B154" s="22" t="n">
        <x:v>5</x:v>
      </x:c>
      <x:c r="C154" s="22" t="n">
        <x:v>1</x:v>
      </x:c>
      <x:c r="D154" s="22" t="str">
        <x:v>沉月镜池圣母挑战前</x:v>
      </x:c>
      <x:c r="E154" s="22" t="n">
        <x:v>11688</x:v>
      </x:c>
      <x:c r="F154" s="22" t="n">
        <x:v>13111</x:v>
      </x:c>
      <x:c r="G154" s="22" t="n">
        <x:v>11683</x:v>
      </x:c>
      <x:c r="H154" s="22" t="n">
        <x:v>13088</x:v>
      </x:c>
      <x:c r="I154" s="22" t="n">
        <x:v>11504</x:v>
      </x:c>
      <x:c r="J154" s="22" t="n">
        <x:v>12909</x:v>
      </x:c>
      <x:c r="K154" s="22" t="n">
        <x:v>1631100</x:v>
      </x:c>
      <x:c r="L154" s="22" t="n">
        <x:v>180600</x:v>
      </x:c>
      <x:c r="M154" s="22" t="n">
        <x:v>435</x:v>
      </x:c>
      <x:c r="N154" s="22" t="n">
        <x:v>784</x:v>
      </x:c>
      <x:c r="O154" s="22" t="n">
        <x:v>357</x:v>
      </x:c>
      <x:c r="P154" s="22" t="n">
        <x:v>647</x:v>
      </x:c>
      <x:c r="Q154" s="22" t="n">
        <x:v>632</x:v>
      </x:c>
      <x:c r="R154" s="22" t="n">
        <x:v>551</x:v>
      </x:c>
      <x:c r="S154" s="22" t="n">
        <x:v>551</x:v>
      </x:c>
      <x:c r="T154" s="22" t="n">
        <x:v>0.37000000000000016</x:v>
      </x:c>
      <x:c r="U154" s="22" t="n">
        <x:v>19</x:v>
      </x:c>
      <x:c r="V154" s="22" t="n">
        <x:v>227</x:v>
      </x:c>
      <x:c r="W154" s="22" t="n">
        <x:v>98</x:v>
      </x:c>
      <x:c r="X154" s="22" t="n">
        <x:v>22</x:v>
      </x:c>
      <x:c r="Y154" s="22" t="n">
        <x:v>234</x:v>
      </x:c>
      <x:c r="Z154" s="22" t="n">
        <x:v>1</x:v>
      </x:c>
      <x:c r="AA154" s="22" t="n">
        <x:v>143</x:v>
      </x:c>
      <x:c r="AB154" s="22" t="n">
        <x:v>0</x:v>
      </x:c>
      <x:c r="AC154" s="22" t="n">
        <x:v>0</x:v>
      </x:c>
      <x:c r="AD154" s="22" t="n">
        <x:v>28</x:v>
      </x:c>
      <x:c r="AE154" s="22" t="n">
        <x:v>6</x:v>
      </x:c>
      <x:c r="AF154" s="22" t="n">
        <x:v>83</x:v>
      </x:c>
      <x:c r="AG154" s="22" t="n">
        <x:v>7</x:v>
      </x:c>
      <x:c r="AH154" s="22" t="n">
        <x:v>8</x:v>
      </x:c>
      <x:c r="AI154" s="22" t="n">
        <x:v>26.5</x:v>
      </x:c>
      <x:c r="AJ154" s="22" t="n">
        <x:v>0</x:v>
      </x:c>
      <x:c r="AK154" s="22" t="n">
        <x:v>2</x:v>
      </x:c>
      <x:c r="AL154" s="22" t="n">
        <x:v>462</x:v>
      </x:c>
      <x:c r="AM154" s="22" t="n">
        <x:v>40</x:v>
      </x:c>
      <x:c r="AN154" s="22" t="n">
        <x:v>4</x:v>
      </x:c>
      <x:c r="AO154" s="22" t="n">
        <x:v>5</x:v>
      </x:c>
      <x:c r="AP154" s="22" t="n">
        <x:v>1800</x:v>
      </x:c>
      <x:c r="AQ154" s="22" t="n">
        <x:v>16</x:v>
      </x:c>
      <x:c r="AR154" s="22" t="n">
        <x:v>0</x:v>
      </x:c>
      <x:c r="AS154" s="22" t="n">
        <x:v>10</x:v>
      </x:c>
      <x:c r="AT154" s="22" t="n">
        <x:v>10</x:v>
      </x:c>
      <x:c r="AU154" s="22" t="n">
        <x:v>0</x:v>
      </x:c>
      <x:c r="AV154" s="22" t="n">
        <x:v>0</x:v>
      </x:c>
      <x:c r="AW154" s="22" t="n">
        <x:v>0</x:v>
      </x:c>
    </x:row>
    <x:row r="155" ht="24" customHeight="1">
      <x:c r="A155" s="22" t="str">
        <x:v>P0151</x:v>
      </x:c>
      <x:c r="B155" s="22" t="n">
        <x:v>5</x:v>
      </x:c>
      <x:c r="C155" s="22" t="n">
        <x:v>1</x:v>
      </x:c>
      <x:c r="D155" s="22" t="str">
        <x:v>雾月水庭BOSS装备快线</x:v>
      </x:c>
      <x:c r="E155" s="22" t="n">
        <x:v>12148</x:v>
      </x:c>
      <x:c r="F155" s="22" t="n">
        <x:v>14026</x:v>
      </x:c>
      <x:c r="G155" s="22" t="n">
        <x:v>11928</x:v>
      </x:c>
      <x:c r="H155" s="22" t="n">
        <x:v>13788</x:v>
      </x:c>
      <x:c r="I155" s="22" t="n">
        <x:v>11964</x:v>
      </x:c>
      <x:c r="J155" s="22" t="n">
        <x:v>13824</x:v>
      </x:c>
      <x:c r="K155" s="22" t="n">
        <x:v>1701600</x:v>
      </x:c>
      <x:c r="L155" s="22" t="n">
        <x:v>180600</x:v>
      </x:c>
      <x:c r="M155" s="22" t="n">
        <x:v>470</x:v>
      </x:c>
      <x:c r="N155" s="22" t="n">
        <x:v>847</x:v>
      </x:c>
      <x:c r="O155" s="22" t="n">
        <x:v>385</x:v>
      </x:c>
      <x:c r="P155" s="22" t="n">
        <x:v>699</x:v>
      </x:c>
      <x:c r="Q155" s="22" t="n">
        <x:v>653</x:v>
      </x:c>
      <x:c r="R155" s="22" t="n">
        <x:v>616</x:v>
      </x:c>
      <x:c r="S155" s="22" t="n">
        <x:v>616</x:v>
      </x:c>
      <x:c r="T155" s="22" t="n">
        <x:v>0.37000000000000016</x:v>
      </x:c>
      <x:c r="U155" s="22" t="n">
        <x:v>19</x:v>
      </x:c>
      <x:c r="V155" s="22" t="n">
        <x:v>252</x:v>
      </x:c>
      <x:c r="W155" s="22" t="n">
        <x:v>109</x:v>
      </x:c>
      <x:c r="X155" s="22" t="n">
        <x:v>22</x:v>
      </x:c>
      <x:c r="Y155" s="22" t="n">
        <x:v>259</x:v>
      </x:c>
      <x:c r="Z155" s="22" t="n">
        <x:v>1</x:v>
      </x:c>
      <x:c r="AA155" s="22" t="n">
        <x:v>165</x:v>
      </x:c>
      <x:c r="AB155" s="22" t="n">
        <x:v>0</x:v>
      </x:c>
      <x:c r="AC155" s="22" t="n">
        <x:v>0</x:v>
      </x:c>
      <x:c r="AD155" s="22" t="n">
        <x:v>39</x:v>
      </x:c>
      <x:c r="AE155" s="22" t="n">
        <x:v>7</x:v>
      </x:c>
      <x:c r="AF155" s="22" t="n">
        <x:v>91</x:v>
      </x:c>
      <x:c r="AG155" s="22" t="n">
        <x:v>7</x:v>
      </x:c>
      <x:c r="AH155" s="22" t="n">
        <x:v>8</x:v>
      </x:c>
      <x:c r="AI155" s="22" t="n">
        <x:v>29.5</x:v>
      </x:c>
      <x:c r="AJ155" s="22" t="n">
        <x:v>2</x:v>
      </x:c>
      <x:c r="AK155" s="22" t="n">
        <x:v>2</x:v>
      </x:c>
      <x:c r="AL155" s="22" t="n">
        <x:v>462</x:v>
      </x:c>
      <x:c r="AM155" s="22" t="n">
        <x:v>41</x:v>
      </x:c>
      <x:c r="AN155" s="22" t="n">
        <x:v>4</x:v>
      </x:c>
      <x:c r="AO155" s="22" t="n">
        <x:v>7</x:v>
      </x:c>
      <x:c r="AP155" s="22" t="n">
        <x:v>2130</x:v>
      </x:c>
      <x:c r="AQ155" s="22" t="n">
        <x:v>18</x:v>
      </x:c>
      <x:c r="AR155" s="22" t="n">
        <x:v>0</x:v>
      </x:c>
      <x:c r="AS155" s="22" t="n">
        <x:v>10</x:v>
      </x:c>
      <x:c r="AT155" s="22" t="n">
        <x:v>10</x:v>
      </x:c>
      <x:c r="AU155" s="22" t="n">
        <x:v>0</x:v>
      </x:c>
      <x:c r="AV155" s="22" t="n">
        <x:v>0</x:v>
      </x:c>
      <x:c r="AW155" s="22" t="n">
        <x:v>0</x:v>
      </x:c>
    </x:row>
    <x:row r="156" ht="24" customHeight="1">
      <x:c r="A156" s="22" t="str">
        <x:v>P0152</x:v>
      </x:c>
      <x:c r="B156" s="22" t="n">
        <x:v>5</x:v>
      </x:c>
      <x:c r="C156" s="22" t="n">
        <x:v>1</x:v>
      </x:c>
      <x:c r="D156" s="22" t="str">
        <x:v>雾月水庭阶段积累后</x:v>
      </x:c>
      <x:c r="E156" s="22" t="n">
        <x:v>12496</x:v>
      </x:c>
      <x:c r="F156" s="22" t="n">
        <x:v>13919</x:v>
      </x:c>
      <x:c r="G156" s="22" t="n">
        <x:v>12491</x:v>
      </x:c>
      <x:c r="H156" s="22" t="n">
        <x:v>13896</x:v>
      </x:c>
      <x:c r="I156" s="22" t="n">
        <x:v>12312</x:v>
      </x:c>
      <x:c r="J156" s="22" t="n">
        <x:v>13717</x:v>
      </x:c>
      <x:c r="K156" s="22" t="n">
        <x:v>1711900</x:v>
      </x:c>
      <x:c r="L156" s="22" t="n">
        <x:v>180600</x:v>
      </x:c>
      <x:c r="M156" s="22" t="n">
        <x:v>435</x:v>
      </x:c>
      <x:c r="N156" s="22" t="n">
        <x:v>784</x:v>
      </x:c>
      <x:c r="O156" s="22" t="n">
        <x:v>357</x:v>
      </x:c>
      <x:c r="P156" s="22" t="n">
        <x:v>647</x:v>
      </x:c>
      <x:c r="Q156" s="22" t="n">
        <x:v>632</x:v>
      </x:c>
      <x:c r="R156" s="22" t="n">
        <x:v>551</x:v>
      </x:c>
      <x:c r="S156" s="22" t="n">
        <x:v>551</x:v>
      </x:c>
      <x:c r="T156" s="22" t="n">
        <x:v>0.37000000000000016</x:v>
      </x:c>
      <x:c r="U156" s="22" t="n">
        <x:v>19</x:v>
      </x:c>
      <x:c r="V156" s="22" t="n">
        <x:v>227</x:v>
      </x:c>
      <x:c r="W156" s="22" t="n">
        <x:v>98</x:v>
      </x:c>
      <x:c r="X156" s="22" t="n">
        <x:v>22</x:v>
      </x:c>
      <x:c r="Y156" s="22" t="n">
        <x:v>234</x:v>
      </x:c>
      <x:c r="Z156" s="22" t="n">
        <x:v>1</x:v>
      </x:c>
      <x:c r="AA156" s="22" t="n">
        <x:v>143</x:v>
      </x:c>
      <x:c r="AB156" s="22" t="n">
        <x:v>0</x:v>
      </x:c>
      <x:c r="AC156" s="22" t="n">
        <x:v>0</x:v>
      </x:c>
      <x:c r="AD156" s="22" t="n">
        <x:v>28</x:v>
      </x:c>
      <x:c r="AE156" s="22" t="n">
        <x:v>7</x:v>
      </x:c>
      <x:c r="AF156" s="22" t="n">
        <x:v>83</x:v>
      </x:c>
      <x:c r="AG156" s="22" t="n">
        <x:v>7</x:v>
      </x:c>
      <x:c r="AH156" s="22" t="n">
        <x:v>8</x:v>
      </x:c>
      <x:c r="AI156" s="22" t="n">
        <x:v>26.5</x:v>
      </x:c>
      <x:c r="AJ156" s="22" t="n">
        <x:v>0</x:v>
      </x:c>
      <x:c r="AK156" s="22" t="n">
        <x:v>2</x:v>
      </x:c>
      <x:c r="AL156" s="22" t="n">
        <x:v>462</x:v>
      </x:c>
      <x:c r="AM156" s="22" t="n">
        <x:v>40</x:v>
      </x:c>
      <x:c r="AN156" s="22" t="n">
        <x:v>6</x:v>
      </x:c>
      <x:c r="AO156" s="22" t="n">
        <x:v>5</x:v>
      </x:c>
      <x:c r="AP156" s="22" t="n">
        <x:v>1800</x:v>
      </x:c>
      <x:c r="AQ156" s="22" t="n">
        <x:v>16</x:v>
      </x:c>
      <x:c r="AR156" s="22" t="n">
        <x:v>0</x:v>
      </x:c>
      <x:c r="AS156" s="22" t="n">
        <x:v>10</x:v>
      </x:c>
      <x:c r="AT156" s="22" t="n">
        <x:v>10</x:v>
      </x:c>
      <x:c r="AU156" s="22" t="n">
        <x:v>0</x:v>
      </x:c>
      <x:c r="AV156" s="22" t="n">
        <x:v>0</x:v>
      </x:c>
      <x:c r="AW156" s="22" t="n">
        <x:v>0</x:v>
      </x:c>
    </x:row>
    <x:row r="157" ht="24" customHeight="1">
      <x:c r="A157" s="22" t="str">
        <x:v>P0153</x:v>
      </x:c>
      <x:c r="B157" s="22" t="n">
        <x:v>5</x:v>
      </x:c>
      <x:c r="C157" s="22" t="n">
        <x:v>2</x:v>
      </x:c>
      <x:c r="D157" s="22" t="str">
        <x:v>C05G02入场</x:v>
      </x:c>
      <x:c r="E157" s="22" t="n">
        <x:v>12496</x:v>
      </x:c>
      <x:c r="F157" s="22" t="n">
        <x:v>13919</x:v>
      </x:c>
      <x:c r="G157" s="22" t="n">
        <x:v>12491</x:v>
      </x:c>
      <x:c r="H157" s="22" t="n">
        <x:v>13896</x:v>
      </x:c>
      <x:c r="I157" s="22" t="n">
        <x:v>12312</x:v>
      </x:c>
      <x:c r="J157" s="22" t="n">
        <x:v>13717</x:v>
      </x:c>
      <x:c r="K157" s="22" t="n">
        <x:v>1711900</x:v>
      </x:c>
      <x:c r="L157" s="22" t="n">
        <x:v>180600</x:v>
      </x:c>
      <x:c r="M157" s="22" t="n">
        <x:v>435</x:v>
      </x:c>
      <x:c r="N157" s="22" t="n">
        <x:v>784</x:v>
      </x:c>
      <x:c r="O157" s="22" t="n">
        <x:v>357</x:v>
      </x:c>
      <x:c r="P157" s="22" t="n">
        <x:v>647</x:v>
      </x:c>
      <x:c r="Q157" s="22" t="n">
        <x:v>632</x:v>
      </x:c>
      <x:c r="R157" s="22" t="n">
        <x:v>551</x:v>
      </x:c>
      <x:c r="S157" s="22" t="n">
        <x:v>551</x:v>
      </x:c>
      <x:c r="T157" s="22" t="n">
        <x:v>0.37000000000000016</x:v>
      </x:c>
      <x:c r="U157" s="22" t="n">
        <x:v>19</x:v>
      </x:c>
      <x:c r="V157" s="22" t="n">
        <x:v>227</x:v>
      </x:c>
      <x:c r="W157" s="22" t="n">
        <x:v>98</x:v>
      </x:c>
      <x:c r="X157" s="22" t="n">
        <x:v>22</x:v>
      </x:c>
      <x:c r="Y157" s="22" t="n">
        <x:v>234</x:v>
      </x:c>
      <x:c r="Z157" s="22" t="n">
        <x:v>1</x:v>
      </x:c>
      <x:c r="AA157" s="22" t="n">
        <x:v>143</x:v>
      </x:c>
      <x:c r="AB157" s="22" t="n">
        <x:v>0</x:v>
      </x:c>
      <x:c r="AC157" s="22" t="n">
        <x:v>0</x:v>
      </x:c>
      <x:c r="AD157" s="22" t="n">
        <x:v>28</x:v>
      </x:c>
      <x:c r="AE157" s="22" t="n">
        <x:v>7</x:v>
      </x:c>
      <x:c r="AF157" s="22" t="n">
        <x:v>83</x:v>
      </x:c>
      <x:c r="AG157" s="22" t="n">
        <x:v>7</x:v>
      </x:c>
      <x:c r="AH157" s="22" t="n">
        <x:v>8</x:v>
      </x:c>
      <x:c r="AI157" s="22" t="n">
        <x:v>26.5</x:v>
      </x:c>
      <x:c r="AJ157" s="22" t="n">
        <x:v>0</x:v>
      </x:c>
      <x:c r="AK157" s="22" t="n">
        <x:v>2</x:v>
      </x:c>
      <x:c r="AL157" s="22" t="n">
        <x:v>462</x:v>
      </x:c>
      <x:c r="AM157" s="22" t="n">
        <x:v>40</x:v>
      </x:c>
      <x:c r="AN157" s="22" t="n">
        <x:v>6</x:v>
      </x:c>
      <x:c r="AO157" s="22" t="n">
        <x:v>5</x:v>
      </x:c>
      <x:c r="AP157" s="22" t="n">
        <x:v>1800</x:v>
      </x:c>
      <x:c r="AQ157" s="22" t="n">
        <x:v>16</x:v>
      </x:c>
      <x:c r="AR157" s="22" t="n">
        <x:v>0</x:v>
      </x:c>
      <x:c r="AS157" s="22" t="n">
        <x:v>10</x:v>
      </x:c>
      <x:c r="AT157" s="22" t="n">
        <x:v>10</x:v>
      </x:c>
      <x:c r="AU157" s="22" t="n">
        <x:v>0</x:v>
      </x:c>
      <x:c r="AV157" s="22" t="n">
        <x:v>0</x:v>
      </x:c>
      <x:c r="AW157" s="22" t="n">
        <x:v>0</x:v>
      </x:c>
    </x:row>
    <x:row r="158" ht="24" customHeight="1">
      <x:c r="A158" s="22" t="str">
        <x:v>P0154</x:v>
      </x:c>
      <x:c r="B158" s="22" t="n">
        <x:v>5</x:v>
      </x:c>
      <x:c r="C158" s="22" t="n">
        <x:v>2</x:v>
      </x:c>
      <x:c r="D158" s="22" t="str">
        <x:v>C05G02普通专属4/6</x:v>
      </x:c>
      <x:c r="E158" s="22" t="n">
        <x:v>12506</x:v>
      </x:c>
      <x:c r="F158" s="22" t="n">
        <x:v>13939</x:v>
      </x:c>
      <x:c r="G158" s="22" t="n">
        <x:v>12501</x:v>
      </x:c>
      <x:c r="H158" s="22" t="n">
        <x:v>13916</x:v>
      </x:c>
      <x:c r="I158" s="22" t="n">
        <x:v>12322</x:v>
      </x:c>
      <x:c r="J158" s="22" t="n">
        <x:v>13737</x:v>
      </x:c>
      <x:c r="K158" s="22" t="n">
        <x:v>1720000</x:v>
      </x:c>
      <x:c r="L158" s="22" t="n">
        <x:v>180600</x:v>
      </x:c>
      <x:c r="M158" s="22" t="n">
        <x:v>437</x:v>
      </x:c>
      <x:c r="N158" s="22" t="n">
        <x:v>785</x:v>
      </x:c>
      <x:c r="O158" s="22" t="n">
        <x:v>358</x:v>
      </x:c>
      <x:c r="P158" s="22" t="n">
        <x:v>648</x:v>
      </x:c>
      <x:c r="Q158" s="22" t="n">
        <x:v>633</x:v>
      </x:c>
      <x:c r="R158" s="22" t="n">
        <x:v>552</x:v>
      </x:c>
      <x:c r="S158" s="22" t="n">
        <x:v>552</x:v>
      </x:c>
      <x:c r="T158" s="22" t="n">
        <x:v>0.37000000000000016</x:v>
      </x:c>
      <x:c r="U158" s="22" t="n">
        <x:v>19</x:v>
      </x:c>
      <x:c r="V158" s="22" t="n">
        <x:v>227</x:v>
      </x:c>
      <x:c r="W158" s="22" t="n">
        <x:v>98</x:v>
      </x:c>
      <x:c r="X158" s="22" t="n">
        <x:v>22</x:v>
      </x:c>
      <x:c r="Y158" s="22" t="n">
        <x:v>234</x:v>
      </x:c>
      <x:c r="Z158" s="22" t="n">
        <x:v>1</x:v>
      </x:c>
      <x:c r="AA158" s="22" t="n">
        <x:v>143</x:v>
      </x:c>
      <x:c r="AB158" s="22" t="n">
        <x:v>0</x:v>
      </x:c>
      <x:c r="AC158" s="22" t="n">
        <x:v>0</x:v>
      </x:c>
      <x:c r="AD158" s="22" t="n">
        <x:v>28</x:v>
      </x:c>
      <x:c r="AE158" s="22" t="n">
        <x:v>7</x:v>
      </x:c>
      <x:c r="AF158" s="22" t="n">
        <x:v>83</x:v>
      </x:c>
      <x:c r="AG158" s="22" t="n">
        <x:v>7</x:v>
      </x:c>
      <x:c r="AH158" s="22" t="n">
        <x:v>8</x:v>
      </x:c>
      <x:c r="AI158" s="22" t="n">
        <x:v>26.5</x:v>
      </x:c>
      <x:c r="AJ158" s="22" t="n">
        <x:v>0</x:v>
      </x:c>
      <x:c r="AK158" s="22" t="n">
        <x:v>2</x:v>
      </x:c>
      <x:c r="AL158" s="22" t="n">
        <x:v>462</x:v>
      </x:c>
      <x:c r="AM158" s="22" t="n">
        <x:v>40</x:v>
      </x:c>
      <x:c r="AN158" s="22" t="n">
        <x:v>6</x:v>
      </x:c>
      <x:c r="AO158" s="22" t="n">
        <x:v>5</x:v>
      </x:c>
      <x:c r="AP158" s="22" t="n">
        <x:v>1800</x:v>
      </x:c>
      <x:c r="AQ158" s="22" t="n">
        <x:v>16</x:v>
      </x:c>
      <x:c r="AR158" s="22" t="n">
        <x:v>0</x:v>
      </x:c>
      <x:c r="AS158" s="22" t="n">
        <x:v>10</x:v>
      </x:c>
      <x:c r="AT158" s="22" t="n">
        <x:v>10</x:v>
      </x:c>
      <x:c r="AU158" s="22" t="n">
        <x:v>0</x:v>
      </x:c>
      <x:c r="AV158" s="22" t="n">
        <x:v>0</x:v>
      </x:c>
      <x:c r="AW158" s="22" t="n">
        <x:v>0</x:v>
      </x:c>
    </x:row>
    <x:row r="159" ht="24" customHeight="1">
      <x:c r="A159" s="22" t="str">
        <x:v>P0155</x:v>
      </x:c>
      <x:c r="B159" s="22" t="n">
        <x:v>5</x:v>
      </x:c>
      <x:c r="C159" s="22" t="n">
        <x:v>2</x:v>
      </x:c>
      <x:c r="D159" s="22" t="str">
        <x:v>裂辉古院监挑战前</x:v>
      </x:c>
      <x:c r="E159" s="22" t="n">
        <x:v>13081</x:v>
      </x:c>
      <x:c r="F159" s="22" t="n">
        <x:v>14514</x:v>
      </x:c>
      <x:c r="G159" s="22" t="n">
        <x:v>13076</x:v>
      </x:c>
      <x:c r="H159" s="22" t="n">
        <x:v>14491</x:v>
      </x:c>
      <x:c r="I159" s="22" t="n">
        <x:v>12897</x:v>
      </x:c>
      <x:c r="J159" s="22" t="n">
        <x:v>14312</x:v>
      </x:c>
      <x:c r="K159" s="22" t="n">
        <x:v>1777500</x:v>
      </x:c>
      <x:c r="L159" s="22" t="n">
        <x:v>180600</x:v>
      </x:c>
      <x:c r="M159" s="22" t="n">
        <x:v>437</x:v>
      </x:c>
      <x:c r="N159" s="22" t="n">
        <x:v>785</x:v>
      </x:c>
      <x:c r="O159" s="22" t="n">
        <x:v>358</x:v>
      </x:c>
      <x:c r="P159" s="22" t="n">
        <x:v>648</x:v>
      </x:c>
      <x:c r="Q159" s="22" t="n">
        <x:v>633</x:v>
      </x:c>
      <x:c r="R159" s="22" t="n">
        <x:v>552</x:v>
      </x:c>
      <x:c r="S159" s="22" t="n">
        <x:v>552</x:v>
      </x:c>
      <x:c r="T159" s="22" t="n">
        <x:v>0.37000000000000016</x:v>
      </x:c>
      <x:c r="U159" s="22" t="n">
        <x:v>19</x:v>
      </x:c>
      <x:c r="V159" s="22" t="n">
        <x:v>227</x:v>
      </x:c>
      <x:c r="W159" s="22" t="n">
        <x:v>98</x:v>
      </x:c>
      <x:c r="X159" s="22" t="n">
        <x:v>22</x:v>
      </x:c>
      <x:c r="Y159" s="22" t="n">
        <x:v>234</x:v>
      </x:c>
      <x:c r="Z159" s="22" t="n">
        <x:v>1</x:v>
      </x:c>
      <x:c r="AA159" s="22" t="n">
        <x:v>143</x:v>
      </x:c>
      <x:c r="AB159" s="22" t="n">
        <x:v>0</x:v>
      </x:c>
      <x:c r="AC159" s="22" t="n">
        <x:v>0</x:v>
      </x:c>
      <x:c r="AD159" s="22" t="n">
        <x:v>28</x:v>
      </x:c>
      <x:c r="AE159" s="22" t="n">
        <x:v>7</x:v>
      </x:c>
      <x:c r="AF159" s="22" t="n">
        <x:v>83</x:v>
      </x:c>
      <x:c r="AG159" s="22" t="n">
        <x:v>7</x:v>
      </x:c>
      <x:c r="AH159" s="22" t="n">
        <x:v>8</x:v>
      </x:c>
      <x:c r="AI159" s="22" t="n">
        <x:v>26.5</x:v>
      </x:c>
      <x:c r="AJ159" s="22" t="n">
        <x:v>0</x:v>
      </x:c>
      <x:c r="AK159" s="22" t="n">
        <x:v>2</x:v>
      </x:c>
      <x:c r="AL159" s="22" t="n">
        <x:v>462</x:v>
      </x:c>
      <x:c r="AM159" s="22" t="n">
        <x:v>40</x:v>
      </x:c>
      <x:c r="AN159" s="22" t="n">
        <x:v>6</x:v>
      </x:c>
      <x:c r="AO159" s="22" t="n">
        <x:v>5</x:v>
      </x:c>
      <x:c r="AP159" s="22" t="n">
        <x:v>1800</x:v>
      </x:c>
      <x:c r="AQ159" s="22" t="n">
        <x:v>16</x:v>
      </x:c>
      <x:c r="AR159" s="22" t="n">
        <x:v>0</x:v>
      </x:c>
      <x:c r="AS159" s="22" t="n">
        <x:v>10</x:v>
      </x:c>
      <x:c r="AT159" s="22" t="n">
        <x:v>10</x:v>
      </x:c>
      <x:c r="AU159" s="22" t="n">
        <x:v>0</x:v>
      </x:c>
      <x:c r="AV159" s="22" t="n">
        <x:v>0</x:v>
      </x:c>
      <x:c r="AW159" s="22" t="n">
        <x:v>0</x:v>
      </x:c>
    </x:row>
    <x:row r="160" ht="24" customHeight="1">
      <x:c r="A160" s="22" t="str">
        <x:v>P0156</x:v>
      </x:c>
      <x:c r="B160" s="22" t="n">
        <x:v>5</x:v>
      </x:c>
      <x:c r="C160" s="22" t="n">
        <x:v>2</x:v>
      </x:c>
      <x:c r="D160" s="22" t="str">
        <x:v>万棱圣坛龙蜥挑战前</x:v>
      </x:c>
      <x:c r="E160" s="22" t="n">
        <x:v>13081</x:v>
      </x:c>
      <x:c r="F160" s="22" t="n">
        <x:v>14514</x:v>
      </x:c>
      <x:c r="G160" s="22" t="n">
        <x:v>13076</x:v>
      </x:c>
      <x:c r="H160" s="22" t="n">
        <x:v>14491</x:v>
      </x:c>
      <x:c r="I160" s="22" t="n">
        <x:v>12897</x:v>
      </x:c>
      <x:c r="J160" s="22" t="n">
        <x:v>14312</x:v>
      </x:c>
      <x:c r="K160" s="22" t="n">
        <x:v>1777500</x:v>
      </x:c>
      <x:c r="L160" s="22" t="n">
        <x:v>180600</x:v>
      </x:c>
      <x:c r="M160" s="22" t="n">
        <x:v>437</x:v>
      </x:c>
      <x:c r="N160" s="22" t="n">
        <x:v>785</x:v>
      </x:c>
      <x:c r="O160" s="22" t="n">
        <x:v>358</x:v>
      </x:c>
      <x:c r="P160" s="22" t="n">
        <x:v>648</x:v>
      </x:c>
      <x:c r="Q160" s="22" t="n">
        <x:v>633</x:v>
      </x:c>
      <x:c r="R160" s="22" t="n">
        <x:v>552</x:v>
      </x:c>
      <x:c r="S160" s="22" t="n">
        <x:v>552</x:v>
      </x:c>
      <x:c r="T160" s="22" t="n">
        <x:v>0.37000000000000016</x:v>
      </x:c>
      <x:c r="U160" s="22" t="n">
        <x:v>19</x:v>
      </x:c>
      <x:c r="V160" s="22" t="n">
        <x:v>227</x:v>
      </x:c>
      <x:c r="W160" s="22" t="n">
        <x:v>98</x:v>
      </x:c>
      <x:c r="X160" s="22" t="n">
        <x:v>22</x:v>
      </x:c>
      <x:c r="Y160" s="22" t="n">
        <x:v>234</x:v>
      </x:c>
      <x:c r="Z160" s="22" t="n">
        <x:v>1</x:v>
      </x:c>
      <x:c r="AA160" s="22" t="n">
        <x:v>143</x:v>
      </x:c>
      <x:c r="AB160" s="22" t="n">
        <x:v>0</x:v>
      </x:c>
      <x:c r="AC160" s="22" t="n">
        <x:v>0</x:v>
      </x:c>
      <x:c r="AD160" s="22" t="n">
        <x:v>28</x:v>
      </x:c>
      <x:c r="AE160" s="22" t="n">
        <x:v>7</x:v>
      </x:c>
      <x:c r="AF160" s="22" t="n">
        <x:v>83</x:v>
      </x:c>
      <x:c r="AG160" s="22" t="n">
        <x:v>7</x:v>
      </x:c>
      <x:c r="AH160" s="22" t="n">
        <x:v>8</x:v>
      </x:c>
      <x:c r="AI160" s="22" t="n">
        <x:v>26.5</x:v>
      </x:c>
      <x:c r="AJ160" s="22" t="n">
        <x:v>0</x:v>
      </x:c>
      <x:c r="AK160" s="22" t="n">
        <x:v>2</x:v>
      </x:c>
      <x:c r="AL160" s="22" t="n">
        <x:v>462</x:v>
      </x:c>
      <x:c r="AM160" s="22" t="n">
        <x:v>40</x:v>
      </x:c>
      <x:c r="AN160" s="22" t="n">
        <x:v>6</x:v>
      </x:c>
      <x:c r="AO160" s="22" t="n">
        <x:v>5</x:v>
      </x:c>
      <x:c r="AP160" s="22" t="n">
        <x:v>1800</x:v>
      </x:c>
      <x:c r="AQ160" s="22" t="n">
        <x:v>16</x:v>
      </x:c>
      <x:c r="AR160" s="22" t="n">
        <x:v>0</x:v>
      </x:c>
      <x:c r="AS160" s="22" t="n">
        <x:v>10</x:v>
      </x:c>
      <x:c r="AT160" s="22" t="n">
        <x:v>10</x:v>
      </x:c>
      <x:c r="AU160" s="22" t="n">
        <x:v>0</x:v>
      </x:c>
      <x:c r="AV160" s="22" t="n">
        <x:v>0</x:v>
      </x:c>
      <x:c r="AW160" s="22" t="n">
        <x:v>0</x:v>
      </x:c>
    </x:row>
    <x:row r="161" ht="24" customHeight="1">
      <x:c r="A161" s="22" t="str">
        <x:v>P0157</x:v>
      </x:c>
      <x:c r="B161" s="22" t="n">
        <x:v>5</x:v>
      </x:c>
      <x:c r="C161" s="22" t="n">
        <x:v>2</x:v>
      </x:c>
      <x:c r="D161" s="22" t="str">
        <x:v>辉石遗迹BOSS装备快线</x:v>
      </x:c>
      <x:c r="E161" s="22" t="n">
        <x:v>13671</x:v>
      </x:c>
      <x:c r="F161" s="22" t="n">
        <x:v>15704</x:v>
      </x:c>
      <x:c r="G161" s="22" t="n">
        <x:v>13451</x:v>
      </x:c>
      <x:c r="H161" s="22" t="n">
        <x:v>15466</x:v>
      </x:c>
      <x:c r="I161" s="22" t="n">
        <x:v>13487</x:v>
      </x:c>
      <x:c r="J161" s="22" t="n">
        <x:v>15502</x:v>
      </x:c>
      <x:c r="K161" s="22" t="n">
        <x:v>1832200</x:v>
      </x:c>
      <x:c r="L161" s="22" t="n">
        <x:v>180600</x:v>
      </x:c>
      <x:c r="M161" s="22" t="n">
        <x:v>437</x:v>
      </x:c>
      <x:c r="N161" s="22" t="n">
        <x:v>785</x:v>
      </x:c>
      <x:c r="O161" s="22" t="n">
        <x:v>358</x:v>
      </x:c>
      <x:c r="P161" s="22" t="n">
        <x:v>648</x:v>
      </x:c>
      <x:c r="Q161" s="22" t="n">
        <x:v>622</x:v>
      </x:c>
      <x:c r="R161" s="22" t="n">
        <x:v>585</x:v>
      </x:c>
      <x:c r="S161" s="22" t="n">
        <x:v>585</x:v>
      </x:c>
      <x:c r="T161" s="22" t="n">
        <x:v>0.37000000000000016</x:v>
      </x:c>
      <x:c r="U161" s="22" t="n">
        <x:v>19</x:v>
      </x:c>
      <x:c r="V161" s="22" t="n">
        <x:v>276</x:v>
      </x:c>
      <x:c r="W161" s="22" t="n">
        <x:v>112</x:v>
      </x:c>
      <x:c r="X161" s="22" t="n">
        <x:v>22</x:v>
      </x:c>
      <x:c r="Y161" s="22" t="n">
        <x:v>267</x:v>
      </x:c>
      <x:c r="Z161" s="22" t="n">
        <x:v>1</x:v>
      </x:c>
      <x:c r="AA161" s="22" t="n">
        <x:v>187</x:v>
      </x:c>
      <x:c r="AB161" s="22" t="n">
        <x:v>0</x:v>
      </x:c>
      <x:c r="AC161" s="22" t="n">
        <x:v>0</x:v>
      </x:c>
      <x:c r="AD161" s="22" t="n">
        <x:v>39</x:v>
      </x:c>
      <x:c r="AE161" s="22" t="n">
        <x:v>8</x:v>
      </x:c>
      <x:c r="AF161" s="22" t="n">
        <x:v>91</x:v>
      </x:c>
      <x:c r="AG161" s="22" t="n">
        <x:v>7</x:v>
      </x:c>
      <x:c r="AH161" s="22" t="n">
        <x:v>8</x:v>
      </x:c>
      <x:c r="AI161" s="22" t="n">
        <x:v>29.5</x:v>
      </x:c>
      <x:c r="AJ161" s="22" t="n">
        <x:v>2</x:v>
      </x:c>
      <x:c r="AK161" s="22" t="n">
        <x:v>2</x:v>
      </x:c>
      <x:c r="AL161" s="22" t="n">
        <x:v>462</x:v>
      </x:c>
      <x:c r="AM161" s="22" t="n">
        <x:v>40</x:v>
      </x:c>
      <x:c r="AN161" s="22" t="n">
        <x:v>6</x:v>
      </x:c>
      <x:c r="AO161" s="22" t="n">
        <x:v>7</x:v>
      </x:c>
      <x:c r="AP161" s="22" t="n">
        <x:v>2130</x:v>
      </x:c>
      <x:c r="AQ161" s="22" t="n">
        <x:v>18</x:v>
      </x:c>
      <x:c r="AR161" s="22" t="n">
        <x:v>0</x:v>
      </x:c>
      <x:c r="AS161" s="22" t="n">
        <x:v>10</x:v>
      </x:c>
      <x:c r="AT161" s="22" t="n">
        <x:v>10</x:v>
      </x:c>
      <x:c r="AU161" s="22" t="n">
        <x:v>0</x:v>
      </x:c>
      <x:c r="AV161" s="22" t="n">
        <x:v>0</x:v>
      </x:c>
      <x:c r="AW161" s="22" t="n">
        <x:v>0</x:v>
      </x:c>
    </x:row>
    <x:row r="162" ht="24" customHeight="1">
      <x:c r="A162" s="22" t="str">
        <x:v>P0158</x:v>
      </x:c>
      <x:c r="B162" s="22" t="n">
        <x:v>5</x:v>
      </x:c>
      <x:c r="C162" s="22" t="n">
        <x:v>2</x:v>
      </x:c>
      <x:c r="D162" s="22" t="str">
        <x:v>辉石遗迹阶段积累后</x:v>
      </x:c>
      <x:c r="E162" s="22" t="n">
        <x:v>13315</x:v>
      </x:c>
      <x:c r="F162" s="22" t="n">
        <x:v>14958</x:v>
      </x:c>
      <x:c r="G162" s="22" t="n">
        <x:v>13310</x:v>
      </x:c>
      <x:c r="H162" s="22" t="n">
        <x:v>14935</x:v>
      </x:c>
      <x:c r="I162" s="22" t="n">
        <x:v>13131</x:v>
      </x:c>
      <x:c r="J162" s="22" t="n">
        <x:v>14756</x:v>
      </x:c>
      <x:c r="K162" s="22" t="n">
        <x:v>1851900</x:v>
      </x:c>
      <x:c r="L162" s="22" t="n">
        <x:v>180600</x:v>
      </x:c>
      <x:c r="M162" s="22" t="n">
        <x:v>531</x:v>
      </x:c>
      <x:c r="N162" s="22" t="n">
        <x:v>955</x:v>
      </x:c>
      <x:c r="O162" s="22" t="n">
        <x:v>434</x:v>
      </x:c>
      <x:c r="P162" s="22" t="n">
        <x:v>788</x:v>
      </x:c>
      <x:c r="Q162" s="22" t="n">
        <x:v>797</x:v>
      </x:c>
      <x:c r="R162" s="22" t="n">
        <x:v>716</x:v>
      </x:c>
      <x:c r="S162" s="22" t="n">
        <x:v>716</x:v>
      </x:c>
      <x:c r="T162" s="22" t="n">
        <x:v>0.37000000000000016</x:v>
      </x:c>
      <x:c r="U162" s="22" t="n">
        <x:v>19</x:v>
      </x:c>
      <x:c r="V162" s="22" t="n">
        <x:v>231</x:v>
      </x:c>
      <x:c r="W162" s="22" t="n">
        <x:v>124</x:v>
      </x:c>
      <x:c r="X162" s="22" t="n">
        <x:v>22</x:v>
      </x:c>
      <x:c r="Y162" s="22" t="n">
        <x:v>286</x:v>
      </x:c>
      <x:c r="Z162" s="22" t="n">
        <x:v>1</x:v>
      </x:c>
      <x:c r="AA162" s="22" t="n">
        <x:v>237</x:v>
      </x:c>
      <x:c r="AB162" s="22" t="n">
        <x:v>0</x:v>
      </x:c>
      <x:c r="AC162" s="22" t="n">
        <x:v>0</x:v>
      </x:c>
      <x:c r="AD162" s="22" t="n">
        <x:v>28</x:v>
      </x:c>
      <x:c r="AE162" s="22" t="n">
        <x:v>7</x:v>
      </x:c>
      <x:c r="AF162" s="22" t="n">
        <x:v>83</x:v>
      </x:c>
      <x:c r="AG162" s="22" t="n">
        <x:v>7</x:v>
      </x:c>
      <x:c r="AH162" s="22" t="n">
        <x:v>8</x:v>
      </x:c>
      <x:c r="AI162" s="22" t="n">
        <x:v>26.5</x:v>
      </x:c>
      <x:c r="AJ162" s="22" t="n">
        <x:v>0</x:v>
      </x:c>
      <x:c r="AK162" s="22" t="n">
        <x:v>2</x:v>
      </x:c>
      <x:c r="AL162" s="22" t="n">
        <x:v>462</x:v>
      </x:c>
      <x:c r="AM162" s="22" t="n">
        <x:v>40</x:v>
      </x:c>
      <x:c r="AN162" s="22" t="n">
        <x:v>6</x:v>
      </x:c>
      <x:c r="AO162" s="22" t="n">
        <x:v>5</x:v>
      </x:c>
      <x:c r="AP162" s="22" t="n">
        <x:v>1800</x:v>
      </x:c>
      <x:c r="AQ162" s="22" t="n">
        <x:v>16</x:v>
      </x:c>
      <x:c r="AR162" s="22" t="n">
        <x:v>0</x:v>
      </x:c>
      <x:c r="AS162" s="22" t="n">
        <x:v>10</x:v>
      </x:c>
      <x:c r="AT162" s="22" t="n">
        <x:v>10</x:v>
      </x:c>
      <x:c r="AU162" s="22" t="n">
        <x:v>0</x:v>
      </x:c>
      <x:c r="AV162" s="22" t="n">
        <x:v>0</x:v>
      </x:c>
      <x:c r="AW162" s="22" t="n">
        <x:v>0</x:v>
      </x:c>
    </x:row>
    <x:row r="163" ht="24" customHeight="1">
      <x:c r="A163" s="22" t="str">
        <x:v>P0159</x:v>
      </x:c>
      <x:c r="B163" s="22" t="n">
        <x:v>5</x:v>
      </x:c>
      <x:c r="C163" s="22" t="n">
        <x:v>3</x:v>
      </x:c>
      <x:c r="D163" s="22" t="str">
        <x:v>C05G03入场</x:v>
      </x:c>
      <x:c r="E163" s="22" t="n">
        <x:v>13315</x:v>
      </x:c>
      <x:c r="F163" s="22" t="n">
        <x:v>14958</x:v>
      </x:c>
      <x:c r="G163" s="22" t="n">
        <x:v>13310</x:v>
      </x:c>
      <x:c r="H163" s="22" t="n">
        <x:v>14935</x:v>
      </x:c>
      <x:c r="I163" s="22" t="n">
        <x:v>13131</x:v>
      </x:c>
      <x:c r="J163" s="22" t="n">
        <x:v>14756</x:v>
      </x:c>
      <x:c r="K163" s="22" t="n">
        <x:v>1851900</x:v>
      </x:c>
      <x:c r="L163" s="22" t="n">
        <x:v>180600</x:v>
      </x:c>
      <x:c r="M163" s="22" t="n">
        <x:v>531</x:v>
      </x:c>
      <x:c r="N163" s="22" t="n">
        <x:v>955</x:v>
      </x:c>
      <x:c r="O163" s="22" t="n">
        <x:v>434</x:v>
      </x:c>
      <x:c r="P163" s="22" t="n">
        <x:v>788</x:v>
      </x:c>
      <x:c r="Q163" s="22" t="n">
        <x:v>797</x:v>
      </x:c>
      <x:c r="R163" s="22" t="n">
        <x:v>716</x:v>
      </x:c>
      <x:c r="S163" s="22" t="n">
        <x:v>716</x:v>
      </x:c>
      <x:c r="T163" s="22" t="n">
        <x:v>0.37000000000000016</x:v>
      </x:c>
      <x:c r="U163" s="22" t="n">
        <x:v>19</x:v>
      </x:c>
      <x:c r="V163" s="22" t="n">
        <x:v>231</x:v>
      </x:c>
      <x:c r="W163" s="22" t="n">
        <x:v>124</x:v>
      </x:c>
      <x:c r="X163" s="22" t="n">
        <x:v>22</x:v>
      </x:c>
      <x:c r="Y163" s="22" t="n">
        <x:v>286</x:v>
      </x:c>
      <x:c r="Z163" s="22" t="n">
        <x:v>1</x:v>
      </x:c>
      <x:c r="AA163" s="22" t="n">
        <x:v>237</x:v>
      </x:c>
      <x:c r="AB163" s="22" t="n">
        <x:v>0</x:v>
      </x:c>
      <x:c r="AC163" s="22" t="n">
        <x:v>0</x:v>
      </x:c>
      <x:c r="AD163" s="22" t="n">
        <x:v>28</x:v>
      </x:c>
      <x:c r="AE163" s="22" t="n">
        <x:v>7</x:v>
      </x:c>
      <x:c r="AF163" s="22" t="n">
        <x:v>83</x:v>
      </x:c>
      <x:c r="AG163" s="22" t="n">
        <x:v>7</x:v>
      </x:c>
      <x:c r="AH163" s="22" t="n">
        <x:v>8</x:v>
      </x:c>
      <x:c r="AI163" s="22" t="n">
        <x:v>26.5</x:v>
      </x:c>
      <x:c r="AJ163" s="22" t="n">
        <x:v>0</x:v>
      </x:c>
      <x:c r="AK163" s="22" t="n">
        <x:v>2</x:v>
      </x:c>
      <x:c r="AL163" s="22" t="n">
        <x:v>462</x:v>
      </x:c>
      <x:c r="AM163" s="22" t="n">
        <x:v>40</x:v>
      </x:c>
      <x:c r="AN163" s="22" t="n">
        <x:v>6</x:v>
      </x:c>
      <x:c r="AO163" s="22" t="n">
        <x:v>5</x:v>
      </x:c>
      <x:c r="AP163" s="22" t="n">
        <x:v>1800</x:v>
      </x:c>
      <x:c r="AQ163" s="22" t="n">
        <x:v>16</x:v>
      </x:c>
      <x:c r="AR163" s="22" t="n">
        <x:v>0</x:v>
      </x:c>
      <x:c r="AS163" s="22" t="n">
        <x:v>10</x:v>
      </x:c>
      <x:c r="AT163" s="22" t="n">
        <x:v>10</x:v>
      </x:c>
      <x:c r="AU163" s="22" t="n">
        <x:v>0</x:v>
      </x:c>
      <x:c r="AV163" s="22" t="n">
        <x:v>0</x:v>
      </x:c>
      <x:c r="AW163" s="22" t="n">
        <x:v>0</x:v>
      </x:c>
    </x:row>
    <x:row r="164" ht="24" customHeight="1">
      <x:c r="A164" s="22" t="str">
        <x:v>P0160</x:v>
      </x:c>
      <x:c r="B164" s="22" t="n">
        <x:v>5</x:v>
      </x:c>
      <x:c r="C164" s="22" t="n">
        <x:v>3</x:v>
      </x:c>
      <x:c r="D164" s="22" t="str">
        <x:v>C05G03普通专属4/6</x:v>
      </x:c>
      <x:c r="E164" s="22" t="n">
        <x:v>13318</x:v>
      </x:c>
      <x:c r="F164" s="22" t="n">
        <x:v>14963</x:v>
      </x:c>
      <x:c r="G164" s="22" t="n">
        <x:v>13313</x:v>
      </x:c>
      <x:c r="H164" s="22" t="n">
        <x:v>14940</x:v>
      </x:c>
      <x:c r="I164" s="22" t="n">
        <x:v>13134</x:v>
      </x:c>
      <x:c r="J164" s="22" t="n">
        <x:v>14761</x:v>
      </x:c>
      <x:c r="K164" s="22" t="n">
        <x:v>1854900</x:v>
      </x:c>
      <x:c r="L164" s="22" t="n">
        <x:v>180600</x:v>
      </x:c>
      <x:c r="M164" s="22" t="n">
        <x:v>533</x:v>
      </x:c>
      <x:c r="N164" s="22" t="n">
        <x:v>959</x:v>
      </x:c>
      <x:c r="O164" s="22" t="n">
        <x:v>435</x:v>
      </x:c>
      <x:c r="P164" s="22" t="n">
        <x:v>791</x:v>
      </x:c>
      <x:c r="Q164" s="22" t="n">
        <x:v>797</x:v>
      </x:c>
      <x:c r="R164" s="22" t="n">
        <x:v>716</x:v>
      </x:c>
      <x:c r="S164" s="22" t="n">
        <x:v>716</x:v>
      </x:c>
      <x:c r="T164" s="22" t="n">
        <x:v>0.37000000000000016</x:v>
      </x:c>
      <x:c r="U164" s="22" t="n">
        <x:v>19</x:v>
      </x:c>
      <x:c r="V164" s="22" t="n">
        <x:v>232</x:v>
      </x:c>
      <x:c r="W164" s="22" t="n">
        <x:v>124</x:v>
      </x:c>
      <x:c r="X164" s="22" t="n">
        <x:v>22</x:v>
      </x:c>
      <x:c r="Y164" s="22" t="n">
        <x:v>286</x:v>
      </x:c>
      <x:c r="Z164" s="22" t="n">
        <x:v>1</x:v>
      </x:c>
      <x:c r="AA164" s="22" t="n">
        <x:v>237</x:v>
      </x:c>
      <x:c r="AB164" s="22" t="n">
        <x:v>0</x:v>
      </x:c>
      <x:c r="AC164" s="22" t="n">
        <x:v>0</x:v>
      </x:c>
      <x:c r="AD164" s="22" t="n">
        <x:v>28</x:v>
      </x:c>
      <x:c r="AE164" s="22" t="n">
        <x:v>7</x:v>
      </x:c>
      <x:c r="AF164" s="22" t="n">
        <x:v>83</x:v>
      </x:c>
      <x:c r="AG164" s="22" t="n">
        <x:v>7</x:v>
      </x:c>
      <x:c r="AH164" s="22" t="n">
        <x:v>8</x:v>
      </x:c>
      <x:c r="AI164" s="22" t="n">
        <x:v>26.5</x:v>
      </x:c>
      <x:c r="AJ164" s="22" t="n">
        <x:v>0</x:v>
      </x:c>
      <x:c r="AK164" s="22" t="n">
        <x:v>2</x:v>
      </x:c>
      <x:c r="AL164" s="22" t="n">
        <x:v>462</x:v>
      </x:c>
      <x:c r="AM164" s="22" t="n">
        <x:v>40</x:v>
      </x:c>
      <x:c r="AN164" s="22" t="n">
        <x:v>6</x:v>
      </x:c>
      <x:c r="AO164" s="22" t="n">
        <x:v>5</x:v>
      </x:c>
      <x:c r="AP164" s="22" t="n">
        <x:v>1800</x:v>
      </x:c>
      <x:c r="AQ164" s="22" t="n">
        <x:v>16</x:v>
      </x:c>
      <x:c r="AR164" s="22" t="n">
        <x:v>0</x:v>
      </x:c>
      <x:c r="AS164" s="22" t="n">
        <x:v>10</x:v>
      </x:c>
      <x:c r="AT164" s="22" t="n">
        <x:v>10</x:v>
      </x:c>
      <x:c r="AU164" s="22" t="n">
        <x:v>0</x:v>
      </x:c>
      <x:c r="AV164" s="22" t="n">
        <x:v>0</x:v>
      </x:c>
      <x:c r="AW164" s="22" t="n">
        <x:v>0</x:v>
      </x:c>
    </x:row>
    <x:row r="165" ht="24" customHeight="1">
      <x:c r="A165" s="22" t="str">
        <x:v>P0161</x:v>
      </x:c>
      <x:c r="B165" s="22" t="n">
        <x:v>5</x:v>
      </x:c>
      <x:c r="C165" s="22" t="n">
        <x:v>3</x:v>
      </x:c>
      <x:c r="D165" s="22" t="str">
        <x:v>七印讲堂监挑战前</x:v>
      </x:c>
      <x:c r="E165" s="22" t="n">
        <x:v>15918</x:v>
      </x:c>
      <x:c r="F165" s="22" t="n">
        <x:v>17563</x:v>
      </x:c>
      <x:c r="G165" s="22" t="n">
        <x:v>15913</x:v>
      </x:c>
      <x:c r="H165" s="22" t="n">
        <x:v>17540</x:v>
      </x:c>
      <x:c r="I165" s="22" t="n">
        <x:v>15736</x:v>
      </x:c>
      <x:c r="J165" s="22" t="n">
        <x:v>17363</x:v>
      </x:c>
      <x:c r="K165" s="22" t="n">
        <x:v>2114900</x:v>
      </x:c>
      <x:c r="L165" s="22" t="n">
        <x:v>380600</x:v>
      </x:c>
      <x:c r="M165" s="22" t="n">
        <x:v>533</x:v>
      </x:c>
      <x:c r="N165" s="22" t="n">
        <x:v>959</x:v>
      </x:c>
      <x:c r="O165" s="22" t="n">
        <x:v>435</x:v>
      </x:c>
      <x:c r="P165" s="22" t="n">
        <x:v>791</x:v>
      </x:c>
      <x:c r="Q165" s="22" t="n">
        <x:v>797</x:v>
      </x:c>
      <x:c r="R165" s="22" t="n">
        <x:v>716</x:v>
      </x:c>
      <x:c r="S165" s="22" t="n">
        <x:v>716</x:v>
      </x:c>
      <x:c r="T165" s="22" t="n">
        <x:v>0.37000000000000016</x:v>
      </x:c>
      <x:c r="U165" s="22" t="n">
        <x:v>19</x:v>
      </x:c>
      <x:c r="V165" s="22" t="n">
        <x:v>232</x:v>
      </x:c>
      <x:c r="W165" s="22" t="n">
        <x:v>124</x:v>
      </x:c>
      <x:c r="X165" s="22" t="n">
        <x:v>22</x:v>
      </x:c>
      <x:c r="Y165" s="22" t="n">
        <x:v>286</x:v>
      </x:c>
      <x:c r="Z165" s="22" t="n">
        <x:v>2</x:v>
      </x:c>
      <x:c r="AA165" s="22" t="n">
        <x:v>237</x:v>
      </x:c>
      <x:c r="AB165" s="22" t="n">
        <x:v>0</x:v>
      </x:c>
      <x:c r="AC165" s="22" t="n">
        <x:v>0</x:v>
      </x:c>
      <x:c r="AD165" s="22" t="n">
        <x:v>29</x:v>
      </x:c>
      <x:c r="AE165" s="22" t="n">
        <x:v>7</x:v>
      </x:c>
      <x:c r="AF165" s="22" t="n">
        <x:v>83</x:v>
      </x:c>
      <x:c r="AG165" s="22" t="n">
        <x:v>7</x:v>
      </x:c>
      <x:c r="AH165" s="22" t="n">
        <x:v>8</x:v>
      </x:c>
      <x:c r="AI165" s="22" t="n">
        <x:v>26.5</x:v>
      </x:c>
      <x:c r="AJ165" s="22" t="n">
        <x:v>2</x:v>
      </x:c>
      <x:c r="AK165" s="22" t="n">
        <x:v>3</x:v>
      </x:c>
      <x:c r="AL165" s="22" t="n">
        <x:v>482</x:v>
      </x:c>
      <x:c r="AM165" s="22" t="n">
        <x:v>40</x:v>
      </x:c>
      <x:c r="AN165" s="22" t="n">
        <x:v>6</x:v>
      </x:c>
      <x:c r="AO165" s="22" t="n">
        <x:v>5</x:v>
      </x:c>
      <x:c r="AP165" s="22" t="n">
        <x:v>2300</x:v>
      </x:c>
      <x:c r="AQ165" s="22" t="n">
        <x:v>16</x:v>
      </x:c>
      <x:c r="AR165" s="22" t="n">
        <x:v>0</x:v>
      </x:c>
      <x:c r="AS165" s="22" t="n">
        <x:v>10</x:v>
      </x:c>
      <x:c r="AT165" s="22" t="n">
        <x:v>10</x:v>
      </x:c>
      <x:c r="AU165" s="22" t="n">
        <x:v>0</x:v>
      </x:c>
      <x:c r="AV165" s="22" t="n">
        <x:v>0</x:v>
      </x:c>
      <x:c r="AW165" s="22" t="n">
        <x:v>0</x:v>
      </x:c>
    </x:row>
    <x:row r="166" ht="24" customHeight="1">
      <x:c r="A166" s="22" t="str">
        <x:v>P0162</x:v>
      </x:c>
      <x:c r="B166" s="22" t="n">
        <x:v>5</x:v>
      </x:c>
      <x:c r="C166" s="22" t="n">
        <x:v>3</x:v>
      </x:c>
      <x:c r="D166" s="22" t="str">
        <x:v>逆页密室导师挑战前</x:v>
      </x:c>
      <x:c r="E166" s="22" t="n">
        <x:v>15918</x:v>
      </x:c>
      <x:c r="F166" s="22" t="n">
        <x:v>17563</x:v>
      </x:c>
      <x:c r="G166" s="22" t="n">
        <x:v>15913</x:v>
      </x:c>
      <x:c r="H166" s="22" t="n">
        <x:v>17540</x:v>
      </x:c>
      <x:c r="I166" s="22" t="n">
        <x:v>15736</x:v>
      </x:c>
      <x:c r="J166" s="22" t="n">
        <x:v>17363</x:v>
      </x:c>
      <x:c r="K166" s="22" t="n">
        <x:v>2114900</x:v>
      </x:c>
      <x:c r="L166" s="22" t="n">
        <x:v>380600</x:v>
      </x:c>
      <x:c r="M166" s="22" t="n">
        <x:v>533</x:v>
      </x:c>
      <x:c r="N166" s="22" t="n">
        <x:v>959</x:v>
      </x:c>
      <x:c r="O166" s="22" t="n">
        <x:v>435</x:v>
      </x:c>
      <x:c r="P166" s="22" t="n">
        <x:v>791</x:v>
      </x:c>
      <x:c r="Q166" s="22" t="n">
        <x:v>797</x:v>
      </x:c>
      <x:c r="R166" s="22" t="n">
        <x:v>716</x:v>
      </x:c>
      <x:c r="S166" s="22" t="n">
        <x:v>716</x:v>
      </x:c>
      <x:c r="T166" s="22" t="n">
        <x:v>0.37000000000000016</x:v>
      </x:c>
      <x:c r="U166" s="22" t="n">
        <x:v>19</x:v>
      </x:c>
      <x:c r="V166" s="22" t="n">
        <x:v>232</x:v>
      </x:c>
      <x:c r="W166" s="22" t="n">
        <x:v>124</x:v>
      </x:c>
      <x:c r="X166" s="22" t="n">
        <x:v>22</x:v>
      </x:c>
      <x:c r="Y166" s="22" t="n">
        <x:v>286</x:v>
      </x:c>
      <x:c r="Z166" s="22" t="n">
        <x:v>2</x:v>
      </x:c>
      <x:c r="AA166" s="22" t="n">
        <x:v>237</x:v>
      </x:c>
      <x:c r="AB166" s="22" t="n">
        <x:v>0</x:v>
      </x:c>
      <x:c r="AC166" s="22" t="n">
        <x:v>0</x:v>
      </x:c>
      <x:c r="AD166" s="22" t="n">
        <x:v>29</x:v>
      </x:c>
      <x:c r="AE166" s="22" t="n">
        <x:v>7</x:v>
      </x:c>
      <x:c r="AF166" s="22" t="n">
        <x:v>83</x:v>
      </x:c>
      <x:c r="AG166" s="22" t="n">
        <x:v>7</x:v>
      </x:c>
      <x:c r="AH166" s="22" t="n">
        <x:v>8</x:v>
      </x:c>
      <x:c r="AI166" s="22" t="n">
        <x:v>26.5</x:v>
      </x:c>
      <x:c r="AJ166" s="22" t="n">
        <x:v>2</x:v>
      </x:c>
      <x:c r="AK166" s="22" t="n">
        <x:v>3</x:v>
      </x:c>
      <x:c r="AL166" s="22" t="n">
        <x:v>482</x:v>
      </x:c>
      <x:c r="AM166" s="22" t="n">
        <x:v>40</x:v>
      </x:c>
      <x:c r="AN166" s="22" t="n">
        <x:v>6</x:v>
      </x:c>
      <x:c r="AO166" s="22" t="n">
        <x:v>5</x:v>
      </x:c>
      <x:c r="AP166" s="22" t="n">
        <x:v>2300</x:v>
      </x:c>
      <x:c r="AQ166" s="22" t="n">
        <x:v>16</x:v>
      </x:c>
      <x:c r="AR166" s="22" t="n">
        <x:v>0</x:v>
      </x:c>
      <x:c r="AS166" s="22" t="n">
        <x:v>10</x:v>
      </x:c>
      <x:c r="AT166" s="22" t="n">
        <x:v>10</x:v>
      </x:c>
      <x:c r="AU166" s="22" t="n">
        <x:v>0</x:v>
      </x:c>
      <x:c r="AV166" s="22" t="n">
        <x:v>0</x:v>
      </x:c>
      <x:c r="AW166" s="22" t="n">
        <x:v>0</x:v>
      </x:c>
    </x:row>
    <x:row r="167" ht="24" customHeight="1">
      <x:c r="A167" s="22" t="str">
        <x:v>P0163</x:v>
      </x:c>
      <x:c r="B167" s="22" t="n">
        <x:v>5</x:v>
      </x:c>
      <x:c r="C167" s="22" t="n">
        <x:v>3</x:v>
      </x:c>
      <x:c r="D167" s="22" t="str">
        <x:v>学院回廊BOSS装备快线</x:v>
      </x:c>
      <x:c r="E167" s="22" t="n">
        <x:v>16468</x:v>
      </x:c>
      <x:c r="F167" s="22" t="n">
        <x:v>18673</x:v>
      </x:c>
      <x:c r="G167" s="22" t="n">
        <x:v>16248</x:v>
      </x:c>
      <x:c r="H167" s="22" t="n">
        <x:v>18435</x:v>
      </x:c>
      <x:c r="I167" s="22" t="n">
        <x:v>16286</x:v>
      </x:c>
      <x:c r="J167" s="22" t="n">
        <x:v>18473</x:v>
      </x:c>
      <x:c r="K167" s="22" t="n">
        <x:v>2193800</x:v>
      </x:c>
      <x:c r="L167" s="22" t="n">
        <x:v>380600</x:v>
      </x:c>
      <x:c r="M167" s="22" t="n">
        <x:v>605</x:v>
      </x:c>
      <x:c r="N167" s="22" t="n">
        <x:v>1091</x:v>
      </x:c>
      <x:c r="O167" s="22" t="n">
        <x:v>495</x:v>
      </x:c>
      <x:c r="P167" s="22" t="n">
        <x:v>899</x:v>
      </x:c>
      <x:c r="Q167" s="22" t="n">
        <x:v>852</x:v>
      </x:c>
      <x:c r="R167" s="22" t="n">
        <x:v>815</x:v>
      </x:c>
      <x:c r="S167" s="22" t="n">
        <x:v>815</x:v>
      </x:c>
      <x:c r="T167" s="22" t="n">
        <x:v>0.37000000000000016</x:v>
      </x:c>
      <x:c r="U167" s="22" t="n">
        <x:v>19</x:v>
      </x:c>
      <x:c r="V167" s="22" t="n">
        <x:v>278</x:v>
      </x:c>
      <x:c r="W167" s="22" t="n">
        <x:v>147</x:v>
      </x:c>
      <x:c r="X167" s="22" t="n">
        <x:v>22</x:v>
      </x:c>
      <x:c r="Y167" s="22" t="n">
        <x:v>311</x:v>
      </x:c>
      <x:c r="Z167" s="22" t="n">
        <x:v>2</x:v>
      </x:c>
      <x:c r="AA167" s="22" t="n">
        <x:v>303</x:v>
      </x:c>
      <x:c r="AB167" s="22" t="n">
        <x:v>0</x:v>
      </x:c>
      <x:c r="AC167" s="22" t="n">
        <x:v>0</x:v>
      </x:c>
      <x:c r="AD167" s="22" t="n">
        <x:v>40</x:v>
      </x:c>
      <x:c r="AE167" s="22" t="n">
        <x:v>8</x:v>
      </x:c>
      <x:c r="AF167" s="22" t="n">
        <x:v>91</x:v>
      </x:c>
      <x:c r="AG167" s="22" t="n">
        <x:v>7</x:v>
      </x:c>
      <x:c r="AH167" s="22" t="n">
        <x:v>8</x:v>
      </x:c>
      <x:c r="AI167" s="22" t="n">
        <x:v>29.5</x:v>
      </x:c>
      <x:c r="AJ167" s="22" t="n">
        <x:v>4</x:v>
      </x:c>
      <x:c r="AK167" s="22" t="n">
        <x:v>3</x:v>
      </x:c>
      <x:c r="AL167" s="22" t="n">
        <x:v>482</x:v>
      </x:c>
      <x:c r="AM167" s="22" t="n">
        <x:v>42</x:v>
      </x:c>
      <x:c r="AN167" s="22" t="n">
        <x:v>6</x:v>
      </x:c>
      <x:c r="AO167" s="22" t="n">
        <x:v>7</x:v>
      </x:c>
      <x:c r="AP167" s="22" t="n">
        <x:v>2630</x:v>
      </x:c>
      <x:c r="AQ167" s="22" t="n">
        <x:v>18</x:v>
      </x:c>
      <x:c r="AR167" s="22" t="n">
        <x:v>0</x:v>
      </x:c>
      <x:c r="AS167" s="22" t="n">
        <x:v>10</x:v>
      </x:c>
      <x:c r="AT167" s="22" t="n">
        <x:v>10</x:v>
      </x:c>
      <x:c r="AU167" s="22" t="n">
        <x:v>0</x:v>
      </x:c>
      <x:c r="AV167" s="22" t="n">
        <x:v>0</x:v>
      </x:c>
      <x:c r="AW167" s="22" t="n">
        <x:v>0</x:v>
      </x:c>
    </x:row>
    <x:row r="168" ht="24" customHeight="1">
      <x:c r="A168" s="22" t="str">
        <x:v>P0164</x:v>
      </x:c>
      <x:c r="B168" s="22" t="n">
        <x:v>5</x:v>
      </x:c>
      <x:c r="C168" s="22" t="n">
        <x:v>3</x:v>
      </x:c>
      <x:c r="D168" s="22" t="str">
        <x:v>学院回廊阶段积累后</x:v>
      </x:c>
      <x:c r="E168" s="22" t="n">
        <x:v>15934</x:v>
      </x:c>
      <x:c r="F168" s="22" t="n">
        <x:v>17579</x:v>
      </x:c>
      <x:c r="G168" s="22" t="n">
        <x:v>15929</x:v>
      </x:c>
      <x:c r="H168" s="22" t="n">
        <x:v>17556</x:v>
      </x:c>
      <x:c r="I168" s="22" t="n">
        <x:v>15752</x:v>
      </x:c>
      <x:c r="J168" s="22" t="n">
        <x:v>17379</x:v>
      </x:c>
      <x:c r="K168" s="22" t="n">
        <x:v>2116500</x:v>
      </x:c>
      <x:c r="L168" s="22" t="n">
        <x:v>380600</x:v>
      </x:c>
      <x:c r="M168" s="22" t="n">
        <x:v>533</x:v>
      </x:c>
      <x:c r="N168" s="22" t="n">
        <x:v>959</x:v>
      </x:c>
      <x:c r="O168" s="22" t="n">
        <x:v>435</x:v>
      </x:c>
      <x:c r="P168" s="22" t="n">
        <x:v>791</x:v>
      </x:c>
      <x:c r="Q168" s="22" t="n">
        <x:v>797</x:v>
      </x:c>
      <x:c r="R168" s="22" t="n">
        <x:v>716</x:v>
      </x:c>
      <x:c r="S168" s="22" t="n">
        <x:v>716</x:v>
      </x:c>
      <x:c r="T168" s="22" t="n">
        <x:v>0.37000000000000016</x:v>
      </x:c>
      <x:c r="U168" s="22" t="n">
        <x:v>19</x:v>
      </x:c>
      <x:c r="V168" s="22" t="n">
        <x:v>232</x:v>
      </x:c>
      <x:c r="W168" s="22" t="n">
        <x:v>124</x:v>
      </x:c>
      <x:c r="X168" s="22" t="n">
        <x:v>22</x:v>
      </x:c>
      <x:c r="Y168" s="22" t="n">
        <x:v>286</x:v>
      </x:c>
      <x:c r="Z168" s="22" t="n">
        <x:v>2</x:v>
      </x:c>
      <x:c r="AA168" s="22" t="n">
        <x:v>237</x:v>
      </x:c>
      <x:c r="AB168" s="22" t="n">
        <x:v>0</x:v>
      </x:c>
      <x:c r="AC168" s="22" t="n">
        <x:v>0</x:v>
      </x:c>
      <x:c r="AD168" s="22" t="n">
        <x:v>29</x:v>
      </x:c>
      <x:c r="AE168" s="22" t="n">
        <x:v>7</x:v>
      </x:c>
      <x:c r="AF168" s="22" t="n">
        <x:v>83</x:v>
      </x:c>
      <x:c r="AG168" s="22" t="n">
        <x:v>7</x:v>
      </x:c>
      <x:c r="AH168" s="22" t="n">
        <x:v>8</x:v>
      </x:c>
      <x:c r="AI168" s="22" t="n">
        <x:v>26.5</x:v>
      </x:c>
      <x:c r="AJ168" s="22" t="n">
        <x:v>2</x:v>
      </x:c>
      <x:c r="AK168" s="22" t="n">
        <x:v>3</x:v>
      </x:c>
      <x:c r="AL168" s="22" t="n">
        <x:v>482</x:v>
      </x:c>
      <x:c r="AM168" s="22" t="n">
        <x:v>40</x:v>
      </x:c>
      <x:c r="AN168" s="22" t="n">
        <x:v>6</x:v>
      </x:c>
      <x:c r="AO168" s="22" t="n">
        <x:v>5</x:v>
      </x:c>
      <x:c r="AP168" s="22" t="n">
        <x:v>2300</x:v>
      </x:c>
      <x:c r="AQ168" s="22" t="n">
        <x:v>16</x:v>
      </x:c>
      <x:c r="AR168" s="22" t="n">
        <x:v>0</x:v>
      </x:c>
      <x:c r="AS168" s="22" t="n">
        <x:v>10</x:v>
      </x:c>
      <x:c r="AT168" s="22" t="n">
        <x:v>10</x:v>
      </x:c>
      <x:c r="AU168" s="22" t="n">
        <x:v>0</x:v>
      </x:c>
      <x:c r="AV168" s="22" t="n">
        <x:v>0</x:v>
      </x:c>
      <x:c r="AW168" s="22" t="n">
        <x:v>0</x:v>
      </x:c>
    </x:row>
    <x:row r="169" ht="24" customHeight="1">
      <x:c r="A169" s="22" t="str">
        <x:v>P0165</x:v>
      </x:c>
      <x:c r="B169" s="22" t="n">
        <x:v>5</x:v>
      </x:c>
      <x:c r="C169" s="22" t="n">
        <x:v>4</x:v>
      </x:c>
      <x:c r="D169" s="22" t="str">
        <x:v>C05G04入场</x:v>
      </x:c>
      <x:c r="E169" s="22" t="n">
        <x:v>15934</x:v>
      </x:c>
      <x:c r="F169" s="22" t="n">
        <x:v>17579</x:v>
      </x:c>
      <x:c r="G169" s="22" t="n">
        <x:v>15929</x:v>
      </x:c>
      <x:c r="H169" s="22" t="n">
        <x:v>17556</x:v>
      </x:c>
      <x:c r="I169" s="22" t="n">
        <x:v>15752</x:v>
      </x:c>
      <x:c r="J169" s="22" t="n">
        <x:v>17379</x:v>
      </x:c>
      <x:c r="K169" s="22" t="n">
        <x:v>2116500</x:v>
      </x:c>
      <x:c r="L169" s="22" t="n">
        <x:v>380600</x:v>
      </x:c>
      <x:c r="M169" s="22" t="n">
        <x:v>533</x:v>
      </x:c>
      <x:c r="N169" s="22" t="n">
        <x:v>959</x:v>
      </x:c>
      <x:c r="O169" s="22" t="n">
        <x:v>435</x:v>
      </x:c>
      <x:c r="P169" s="22" t="n">
        <x:v>791</x:v>
      </x:c>
      <x:c r="Q169" s="22" t="n">
        <x:v>797</x:v>
      </x:c>
      <x:c r="R169" s="22" t="n">
        <x:v>716</x:v>
      </x:c>
      <x:c r="S169" s="22" t="n">
        <x:v>716</x:v>
      </x:c>
      <x:c r="T169" s="22" t="n">
        <x:v>0.37000000000000016</x:v>
      </x:c>
      <x:c r="U169" s="22" t="n">
        <x:v>19</x:v>
      </x:c>
      <x:c r="V169" s="22" t="n">
        <x:v>232</x:v>
      </x:c>
      <x:c r="W169" s="22" t="n">
        <x:v>124</x:v>
      </x:c>
      <x:c r="X169" s="22" t="n">
        <x:v>22</x:v>
      </x:c>
      <x:c r="Y169" s="22" t="n">
        <x:v>286</x:v>
      </x:c>
      <x:c r="Z169" s="22" t="n">
        <x:v>2</x:v>
      </x:c>
      <x:c r="AA169" s="22" t="n">
        <x:v>237</x:v>
      </x:c>
      <x:c r="AB169" s="22" t="n">
        <x:v>0</x:v>
      </x:c>
      <x:c r="AC169" s="22" t="n">
        <x:v>0</x:v>
      </x:c>
      <x:c r="AD169" s="22" t="n">
        <x:v>29</x:v>
      </x:c>
      <x:c r="AE169" s="22" t="n">
        <x:v>7</x:v>
      </x:c>
      <x:c r="AF169" s="22" t="n">
        <x:v>83</x:v>
      </x:c>
      <x:c r="AG169" s="22" t="n">
        <x:v>7</x:v>
      </x:c>
      <x:c r="AH169" s="22" t="n">
        <x:v>8</x:v>
      </x:c>
      <x:c r="AI169" s="22" t="n">
        <x:v>26.5</x:v>
      </x:c>
      <x:c r="AJ169" s="22" t="n">
        <x:v>2</x:v>
      </x:c>
      <x:c r="AK169" s="22" t="n">
        <x:v>3</x:v>
      </x:c>
      <x:c r="AL169" s="22" t="n">
        <x:v>482</x:v>
      </x:c>
      <x:c r="AM169" s="22" t="n">
        <x:v>40</x:v>
      </x:c>
      <x:c r="AN169" s="22" t="n">
        <x:v>6</x:v>
      </x:c>
      <x:c r="AO169" s="22" t="n">
        <x:v>5</x:v>
      </x:c>
      <x:c r="AP169" s="22" t="n">
        <x:v>2300</x:v>
      </x:c>
      <x:c r="AQ169" s="22" t="n">
        <x:v>16</x:v>
      </x:c>
      <x:c r="AR169" s="22" t="n">
        <x:v>0</x:v>
      </x:c>
      <x:c r="AS169" s="22" t="n">
        <x:v>10</x:v>
      </x:c>
      <x:c r="AT169" s="22" t="n">
        <x:v>10</x:v>
      </x:c>
      <x:c r="AU169" s="22" t="n">
        <x:v>0</x:v>
      </x:c>
      <x:c r="AV169" s="22" t="n">
        <x:v>0</x:v>
      </x:c>
      <x:c r="AW169" s="22" t="n">
        <x:v>0</x:v>
      </x:c>
    </x:row>
    <x:row r="170" ht="24" customHeight="1">
      <x:c r="A170" s="22" t="str">
        <x:v>P0166</x:v>
      </x:c>
      <x:c r="B170" s="22" t="n">
        <x:v>5</x:v>
      </x:c>
      <x:c r="C170" s="22" t="n">
        <x:v>4</x:v>
      </x:c>
      <x:c r="D170" s="22" t="str">
        <x:v>C05G04普通专属4/6</x:v>
      </x:c>
      <x:c r="E170" s="22" t="n">
        <x:v>15934</x:v>
      </x:c>
      <x:c r="F170" s="22" t="n">
        <x:v>17579</x:v>
      </x:c>
      <x:c r="G170" s="22" t="n">
        <x:v>15929</x:v>
      </x:c>
      <x:c r="H170" s="22" t="n">
        <x:v>17556</x:v>
      </x:c>
      <x:c r="I170" s="22" t="n">
        <x:v>15752</x:v>
      </x:c>
      <x:c r="J170" s="22" t="n">
        <x:v>17379</x:v>
      </x:c>
      <x:c r="K170" s="22" t="n">
        <x:v>2116500</x:v>
      </x:c>
      <x:c r="L170" s="22" t="n">
        <x:v>380600</x:v>
      </x:c>
      <x:c r="M170" s="22" t="n">
        <x:v>533</x:v>
      </x:c>
      <x:c r="N170" s="22" t="n">
        <x:v>959</x:v>
      </x:c>
      <x:c r="O170" s="22" t="n">
        <x:v>435</x:v>
      </x:c>
      <x:c r="P170" s="22" t="n">
        <x:v>791</x:v>
      </x:c>
      <x:c r="Q170" s="22" t="n">
        <x:v>797</x:v>
      </x:c>
      <x:c r="R170" s="22" t="n">
        <x:v>716</x:v>
      </x:c>
      <x:c r="S170" s="22" t="n">
        <x:v>716</x:v>
      </x:c>
      <x:c r="T170" s="22" t="n">
        <x:v>0.37000000000000016</x:v>
      </x:c>
      <x:c r="U170" s="22" t="n">
        <x:v>19</x:v>
      </x:c>
      <x:c r="V170" s="22" t="n">
        <x:v>232</x:v>
      </x:c>
      <x:c r="W170" s="22" t="n">
        <x:v>124</x:v>
      </x:c>
      <x:c r="X170" s="22" t="n">
        <x:v>22</x:v>
      </x:c>
      <x:c r="Y170" s="22" t="n">
        <x:v>286</x:v>
      </x:c>
      <x:c r="Z170" s="22" t="n">
        <x:v>2</x:v>
      </x:c>
      <x:c r="AA170" s="22" t="n">
        <x:v>237</x:v>
      </x:c>
      <x:c r="AB170" s="22" t="n">
        <x:v>0</x:v>
      </x:c>
      <x:c r="AC170" s="22" t="n">
        <x:v>0</x:v>
      </x:c>
      <x:c r="AD170" s="22" t="n">
        <x:v>29</x:v>
      </x:c>
      <x:c r="AE170" s="22" t="n">
        <x:v>7</x:v>
      </x:c>
      <x:c r="AF170" s="22" t="n">
        <x:v>83</x:v>
      </x:c>
      <x:c r="AG170" s="22" t="n">
        <x:v>7</x:v>
      </x:c>
      <x:c r="AH170" s="22" t="n">
        <x:v>8</x:v>
      </x:c>
      <x:c r="AI170" s="22" t="n">
        <x:v>26.5</x:v>
      </x:c>
      <x:c r="AJ170" s="22" t="n">
        <x:v>2</x:v>
      </x:c>
      <x:c r="AK170" s="22" t="n">
        <x:v>3</x:v>
      </x:c>
      <x:c r="AL170" s="22" t="n">
        <x:v>482</x:v>
      </x:c>
      <x:c r="AM170" s="22" t="n">
        <x:v>40</x:v>
      </x:c>
      <x:c r="AN170" s="22" t="n">
        <x:v>6</x:v>
      </x:c>
      <x:c r="AO170" s="22" t="n">
        <x:v>5</x:v>
      </x:c>
      <x:c r="AP170" s="22" t="n">
        <x:v>2300</x:v>
      </x:c>
      <x:c r="AQ170" s="22" t="n">
        <x:v>16</x:v>
      </x:c>
      <x:c r="AR170" s="22" t="n">
        <x:v>0</x:v>
      </x:c>
      <x:c r="AS170" s="22" t="n">
        <x:v>10</x:v>
      </x:c>
      <x:c r="AT170" s="22" t="n">
        <x:v>10</x:v>
      </x:c>
      <x:c r="AU170" s="22" t="n">
        <x:v>0</x:v>
      </x:c>
      <x:c r="AV170" s="22" t="n">
        <x:v>0</x:v>
      </x:c>
      <x:c r="AW170" s="22" t="n">
        <x:v>0</x:v>
      </x:c>
    </x:row>
    <x:row r="171" ht="24" customHeight="1">
      <x:c r="A171" s="22" t="str">
        <x:v>P0167</x:v>
      </x:c>
      <x:c r="B171" s="22" t="n">
        <x:v>5</x:v>
      </x:c>
      <x:c r="C171" s="22" t="n">
        <x:v>4</x:v>
      </x:c>
      <x:c r="D171" s="22" t="str">
        <x:v>无声禁典司挑战前</x:v>
      </x:c>
      <x:c r="E171" s="22" t="n">
        <x:v>16561</x:v>
      </x:c>
      <x:c r="F171" s="22" t="n">
        <x:v>18209</x:v>
      </x:c>
      <x:c r="G171" s="22" t="n">
        <x:v>16554</x:v>
      </x:c>
      <x:c r="H171" s="22" t="n">
        <x:v>18181</x:v>
      </x:c>
      <x:c r="I171" s="22" t="n">
        <x:v>16377</x:v>
      </x:c>
      <x:c r="J171" s="22" t="n">
        <x:v>18004</x:v>
      </x:c>
      <x:c r="K171" s="22" t="n">
        <x:v>2179400</x:v>
      </x:c>
      <x:c r="L171" s="22" t="n">
        <x:v>380700</x:v>
      </x:c>
      <x:c r="M171" s="22" t="n">
        <x:v>533</x:v>
      </x:c>
      <x:c r="N171" s="22" t="n">
        <x:v>959</x:v>
      </x:c>
      <x:c r="O171" s="22" t="n">
        <x:v>435</x:v>
      </x:c>
      <x:c r="P171" s="22" t="n">
        <x:v>791</x:v>
      </x:c>
      <x:c r="Q171" s="22" t="n">
        <x:v>797</x:v>
      </x:c>
      <x:c r="R171" s="22" t="n">
        <x:v>716</x:v>
      </x:c>
      <x:c r="S171" s="22" t="n">
        <x:v>716</x:v>
      </x:c>
      <x:c r="T171" s="22" t="n">
        <x:v>0.37000000000000016</x:v>
      </x:c>
      <x:c r="U171" s="22" t="n">
        <x:v>19</x:v>
      </x:c>
      <x:c r="V171" s="22" t="n">
        <x:v>232</x:v>
      </x:c>
      <x:c r="W171" s="22" t="n">
        <x:v>124</x:v>
      </x:c>
      <x:c r="X171" s="22" t="n">
        <x:v>22</x:v>
      </x:c>
      <x:c r="Y171" s="22" t="n">
        <x:v>286</x:v>
      </x:c>
      <x:c r="Z171" s="22" t="n">
        <x:v>2</x:v>
      </x:c>
      <x:c r="AA171" s="22" t="n">
        <x:v>237</x:v>
      </x:c>
      <x:c r="AB171" s="22" t="n">
        <x:v>0</x:v>
      </x:c>
      <x:c r="AC171" s="22" t="n">
        <x:v>0</x:v>
      </x:c>
      <x:c r="AD171" s="22" t="n">
        <x:v>29</x:v>
      </x:c>
      <x:c r="AE171" s="22" t="n">
        <x:v>7</x:v>
      </x:c>
      <x:c r="AF171" s="22" t="n">
        <x:v>83</x:v>
      </x:c>
      <x:c r="AG171" s="22" t="n">
        <x:v>7</x:v>
      </x:c>
      <x:c r="AH171" s="22" t="n">
        <x:v>8</x:v>
      </x:c>
      <x:c r="AI171" s="22" t="n">
        <x:v>26.5</x:v>
      </x:c>
      <x:c r="AJ171" s="22" t="n">
        <x:v>2</x:v>
      </x:c>
      <x:c r="AK171" s="22" t="n">
        <x:v>3</x:v>
      </x:c>
      <x:c r="AL171" s="22" t="n">
        <x:v>482</x:v>
      </x:c>
      <x:c r="AM171" s="22" t="n">
        <x:v>40</x:v>
      </x:c>
      <x:c r="AN171" s="22" t="n">
        <x:v>6</x:v>
      </x:c>
      <x:c r="AO171" s="22" t="n">
        <x:v>5</x:v>
      </x:c>
      <x:c r="AP171" s="22" t="n">
        <x:v>2300</x:v>
      </x:c>
      <x:c r="AQ171" s="22" t="n">
        <x:v>16</x:v>
      </x:c>
      <x:c r="AR171" s="22" t="n">
        <x:v>0</x:v>
      </x:c>
      <x:c r="AS171" s="22" t="n">
        <x:v>10</x:v>
      </x:c>
      <x:c r="AT171" s="22" t="n">
        <x:v>10</x:v>
      </x:c>
      <x:c r="AU171" s="22" t="n">
        <x:v>0</x:v>
      </x:c>
      <x:c r="AV171" s="22" t="n">
        <x:v>0</x:v>
      </x:c>
      <x:c r="AW171" s="22" t="n">
        <x:v>0</x:v>
      </x:c>
    </x:row>
    <x:row r="172" ht="24" customHeight="1">
      <x:c r="A172" s="22" t="str">
        <x:v>P0168</x:v>
      </x:c>
      <x:c r="B172" s="22" t="n">
        <x:v>5</x:v>
      </x:c>
      <x:c r="C172" s="22" t="n">
        <x:v>4</x:v>
      </x:c>
      <x:c r="D172" s="22" t="str">
        <x:v>满月万卷君挑战前</x:v>
      </x:c>
      <x:c r="E172" s="22" t="n">
        <x:v>16561</x:v>
      </x:c>
      <x:c r="F172" s="22" t="n">
        <x:v>18209</x:v>
      </x:c>
      <x:c r="G172" s="22" t="n">
        <x:v>16554</x:v>
      </x:c>
      <x:c r="H172" s="22" t="n">
        <x:v>18181</x:v>
      </x:c>
      <x:c r="I172" s="22" t="n">
        <x:v>16377</x:v>
      </x:c>
      <x:c r="J172" s="22" t="n">
        <x:v>18004</x:v>
      </x:c>
      <x:c r="K172" s="22" t="n">
        <x:v>2179400</x:v>
      </x:c>
      <x:c r="L172" s="22" t="n">
        <x:v>380700</x:v>
      </x:c>
      <x:c r="M172" s="22" t="n">
        <x:v>533</x:v>
      </x:c>
      <x:c r="N172" s="22" t="n">
        <x:v>959</x:v>
      </x:c>
      <x:c r="O172" s="22" t="n">
        <x:v>435</x:v>
      </x:c>
      <x:c r="P172" s="22" t="n">
        <x:v>791</x:v>
      </x:c>
      <x:c r="Q172" s="22" t="n">
        <x:v>797</x:v>
      </x:c>
      <x:c r="R172" s="22" t="n">
        <x:v>716</x:v>
      </x:c>
      <x:c r="S172" s="22" t="n">
        <x:v>716</x:v>
      </x:c>
      <x:c r="T172" s="22" t="n">
        <x:v>0.37000000000000016</x:v>
      </x:c>
      <x:c r="U172" s="22" t="n">
        <x:v>19</x:v>
      </x:c>
      <x:c r="V172" s="22" t="n">
        <x:v>232</x:v>
      </x:c>
      <x:c r="W172" s="22" t="n">
        <x:v>124</x:v>
      </x:c>
      <x:c r="X172" s="22" t="n">
        <x:v>22</x:v>
      </x:c>
      <x:c r="Y172" s="22" t="n">
        <x:v>286</x:v>
      </x:c>
      <x:c r="Z172" s="22" t="n">
        <x:v>2</x:v>
      </x:c>
      <x:c r="AA172" s="22" t="n">
        <x:v>237</x:v>
      </x:c>
      <x:c r="AB172" s="22" t="n">
        <x:v>0</x:v>
      </x:c>
      <x:c r="AC172" s="22" t="n">
        <x:v>0</x:v>
      </x:c>
      <x:c r="AD172" s="22" t="n">
        <x:v>29</x:v>
      </x:c>
      <x:c r="AE172" s="22" t="n">
        <x:v>7</x:v>
      </x:c>
      <x:c r="AF172" s="22" t="n">
        <x:v>83</x:v>
      </x:c>
      <x:c r="AG172" s="22" t="n">
        <x:v>7</x:v>
      </x:c>
      <x:c r="AH172" s="22" t="n">
        <x:v>8</x:v>
      </x:c>
      <x:c r="AI172" s="22" t="n">
        <x:v>26.5</x:v>
      </x:c>
      <x:c r="AJ172" s="22" t="n">
        <x:v>2</x:v>
      </x:c>
      <x:c r="AK172" s="22" t="n">
        <x:v>3</x:v>
      </x:c>
      <x:c r="AL172" s="22" t="n">
        <x:v>482</x:v>
      </x:c>
      <x:c r="AM172" s="22" t="n">
        <x:v>40</x:v>
      </x:c>
      <x:c r="AN172" s="22" t="n">
        <x:v>6</x:v>
      </x:c>
      <x:c r="AO172" s="22" t="n">
        <x:v>5</x:v>
      </x:c>
      <x:c r="AP172" s="22" t="n">
        <x:v>2300</x:v>
      </x:c>
      <x:c r="AQ172" s="22" t="n">
        <x:v>16</x:v>
      </x:c>
      <x:c r="AR172" s="22" t="n">
        <x:v>0</x:v>
      </x:c>
      <x:c r="AS172" s="22" t="n">
        <x:v>10</x:v>
      </x:c>
      <x:c r="AT172" s="22" t="n">
        <x:v>10</x:v>
      </x:c>
      <x:c r="AU172" s="22" t="n">
        <x:v>0</x:v>
      </x:c>
      <x:c r="AV172" s="22" t="n">
        <x:v>0</x:v>
      </x:c>
      <x:c r="AW172" s="22" t="n">
        <x:v>0</x:v>
      </x:c>
    </x:row>
    <x:row r="173" ht="24" customHeight="1">
      <x:c r="A173" s="22" t="str">
        <x:v>P0169</x:v>
      </x:c>
      <x:c r="B173" s="22" t="n">
        <x:v>5</x:v>
      </x:c>
      <x:c r="C173" s="22" t="n">
        <x:v>4</x:v>
      </x:c>
      <x:c r="D173" s="22" t="str">
        <x:v>满月书库BOSS装备快线</x:v>
      </x:c>
      <x:c r="E173" s="22" t="n">
        <x:v>17111</x:v>
      </x:c>
      <x:c r="F173" s="22" t="n">
        <x:v>19309</x:v>
      </x:c>
      <x:c r="G173" s="22" t="n">
        <x:v>16889</x:v>
      </x:c>
      <x:c r="H173" s="22" t="n">
        <x:v>19066</x:v>
      </x:c>
      <x:c r="I173" s="22" t="n">
        <x:v>16927</x:v>
      </x:c>
      <x:c r="J173" s="22" t="n">
        <x:v>19104</x:v>
      </x:c>
      <x:c r="K173" s="22" t="n">
        <x:v>2208400</x:v>
      </x:c>
      <x:c r="L173" s="22" t="n">
        <x:v>380700</x:v>
      </x:c>
      <x:c r="M173" s="22" t="n">
        <x:v>533</x:v>
      </x:c>
      <x:c r="N173" s="22" t="n">
        <x:v>959</x:v>
      </x:c>
      <x:c r="O173" s="22" t="n">
        <x:v>435</x:v>
      </x:c>
      <x:c r="P173" s="22" t="n">
        <x:v>791</x:v>
      </x:c>
      <x:c r="Q173" s="22" t="n">
        <x:v>764</x:v>
      </x:c>
      <x:c r="R173" s="22" t="n">
        <x:v>727</x:v>
      </x:c>
      <x:c r="S173" s="22" t="n">
        <x:v>727</x:v>
      </x:c>
      <x:c r="T173" s="22" t="n">
        <x:v>0.37000000000000016</x:v>
      </x:c>
      <x:c r="U173" s="22" t="n">
        <x:v>19</x:v>
      </x:c>
      <x:c r="V173" s="22" t="n">
        <x:v>272</x:v>
      </x:c>
      <x:c r="W173" s="22" t="n">
        <x:v>132</x:v>
      </x:c>
      <x:c r="X173" s="22" t="n">
        <x:v>22</x:v>
      </x:c>
      <x:c r="Y173" s="22" t="n">
        <x:v>320</x:v>
      </x:c>
      <x:c r="Z173" s="22" t="n">
        <x:v>2</x:v>
      </x:c>
      <x:c r="AA173" s="22" t="n">
        <x:v>259</x:v>
      </x:c>
      <x:c r="AB173" s="22" t="n">
        <x:v>0</x:v>
      </x:c>
      <x:c r="AC173" s="22" t="n">
        <x:v>0</x:v>
      </x:c>
      <x:c r="AD173" s="22" t="n">
        <x:v>40</x:v>
      </x:c>
      <x:c r="AE173" s="22" t="n">
        <x:v>8</x:v>
      </x:c>
      <x:c r="AF173" s="22" t="n">
        <x:v>91</x:v>
      </x:c>
      <x:c r="AG173" s="22" t="n">
        <x:v>7</x:v>
      </x:c>
      <x:c r="AH173" s="22" t="n">
        <x:v>8</x:v>
      </x:c>
      <x:c r="AI173" s="22" t="n">
        <x:v>29.5</x:v>
      </x:c>
      <x:c r="AJ173" s="22" t="n">
        <x:v>4</x:v>
      </x:c>
      <x:c r="AK173" s="22" t="n">
        <x:v>3</x:v>
      </x:c>
      <x:c r="AL173" s="22" t="n">
        <x:v>482</x:v>
      </x:c>
      <x:c r="AM173" s="22" t="n">
        <x:v>40</x:v>
      </x:c>
      <x:c r="AN173" s="22" t="n">
        <x:v>6</x:v>
      </x:c>
      <x:c r="AO173" s="22" t="n">
        <x:v>7</x:v>
      </x:c>
      <x:c r="AP173" s="22" t="n">
        <x:v>2640</x:v>
      </x:c>
      <x:c r="AQ173" s="22" t="n">
        <x:v>18</x:v>
      </x:c>
      <x:c r="AR173" s="22" t="n">
        <x:v>0</x:v>
      </x:c>
      <x:c r="AS173" s="22" t="n">
        <x:v>10</x:v>
      </x:c>
      <x:c r="AT173" s="22" t="n">
        <x:v>10</x:v>
      </x:c>
      <x:c r="AU173" s="22" t="n">
        <x:v>0</x:v>
      </x:c>
      <x:c r="AV173" s="22" t="n">
        <x:v>0</x:v>
      </x:c>
      <x:c r="AW173" s="22" t="n">
        <x:v>0</x:v>
      </x:c>
    </x:row>
    <x:row r="174" ht="24" customHeight="1">
      <x:c r="A174" s="22" t="str">
        <x:v>P0170</x:v>
      </x:c>
      <x:c r="B174" s="22" t="n">
        <x:v>5</x:v>
      </x:c>
      <x:c r="C174" s="22" t="n">
        <x:v>4</x:v>
      </x:c>
      <x:c r="D174" s="22" t="str">
        <x:v>满月书库阶段积累后</x:v>
      </x:c>
      <x:c r="E174" s="22" t="n">
        <x:v>16593</x:v>
      </x:c>
      <x:c r="F174" s="22" t="n">
        <x:v>18241</x:v>
      </x:c>
      <x:c r="G174" s="22" t="n">
        <x:v>16586</x:v>
      </x:c>
      <x:c r="H174" s="22" t="n">
        <x:v>18213</x:v>
      </x:c>
      <x:c r="I174" s="22" t="n">
        <x:v>16409</x:v>
      </x:c>
      <x:c r="J174" s="22" t="n">
        <x:v>18036</x:v>
      </x:c>
      <x:c r="K174" s="22" t="n">
        <x:v>2182600</x:v>
      </x:c>
      <x:c r="L174" s="22" t="n">
        <x:v>380700</x:v>
      </x:c>
      <x:c r="M174" s="22" t="n">
        <x:v>533</x:v>
      </x:c>
      <x:c r="N174" s="22" t="n">
        <x:v>959</x:v>
      </x:c>
      <x:c r="O174" s="22" t="n">
        <x:v>435</x:v>
      </x:c>
      <x:c r="P174" s="22" t="n">
        <x:v>791</x:v>
      </x:c>
      <x:c r="Q174" s="22" t="n">
        <x:v>797</x:v>
      </x:c>
      <x:c r="R174" s="22" t="n">
        <x:v>716</x:v>
      </x:c>
      <x:c r="S174" s="22" t="n">
        <x:v>716</x:v>
      </x:c>
      <x:c r="T174" s="22" t="n">
        <x:v>0.37000000000000016</x:v>
      </x:c>
      <x:c r="U174" s="22" t="n">
        <x:v>19</x:v>
      </x:c>
      <x:c r="V174" s="22" t="n">
        <x:v>232</x:v>
      </x:c>
      <x:c r="W174" s="22" t="n">
        <x:v>124</x:v>
      </x:c>
      <x:c r="X174" s="22" t="n">
        <x:v>22</x:v>
      </x:c>
      <x:c r="Y174" s="22" t="n">
        <x:v>286</x:v>
      </x:c>
      <x:c r="Z174" s="22" t="n">
        <x:v>2</x:v>
      </x:c>
      <x:c r="AA174" s="22" t="n">
        <x:v>237</x:v>
      </x:c>
      <x:c r="AB174" s="22" t="n">
        <x:v>0</x:v>
      </x:c>
      <x:c r="AC174" s="22" t="n">
        <x:v>0</x:v>
      </x:c>
      <x:c r="AD174" s="22" t="n">
        <x:v>29</x:v>
      </x:c>
      <x:c r="AE174" s="22" t="n">
        <x:v>7</x:v>
      </x:c>
      <x:c r="AF174" s="22" t="n">
        <x:v>83</x:v>
      </x:c>
      <x:c r="AG174" s="22" t="n">
        <x:v>7</x:v>
      </x:c>
      <x:c r="AH174" s="22" t="n">
        <x:v>8</x:v>
      </x:c>
      <x:c r="AI174" s="22" t="n">
        <x:v>26.5</x:v>
      </x:c>
      <x:c r="AJ174" s="22" t="n">
        <x:v>2</x:v>
      </x:c>
      <x:c r="AK174" s="22" t="n">
        <x:v>3</x:v>
      </x:c>
      <x:c r="AL174" s="22" t="n">
        <x:v>482</x:v>
      </x:c>
      <x:c r="AM174" s="22" t="n">
        <x:v>40</x:v>
      </x:c>
      <x:c r="AN174" s="22" t="n">
        <x:v>6</x:v>
      </x:c>
      <x:c r="AO174" s="22" t="n">
        <x:v>5</x:v>
      </x:c>
      <x:c r="AP174" s="22" t="n">
        <x:v>2300</x:v>
      </x:c>
      <x:c r="AQ174" s="22" t="n">
        <x:v>16</x:v>
      </x:c>
      <x:c r="AR174" s="22" t="n">
        <x:v>0</x:v>
      </x:c>
      <x:c r="AS174" s="22" t="n">
        <x:v>10</x:v>
      </x:c>
      <x:c r="AT174" s="22" t="n">
        <x:v>10</x:v>
      </x:c>
      <x:c r="AU174" s="22" t="n">
        <x:v>0</x:v>
      </x:c>
      <x:c r="AV174" s="22" t="n">
        <x:v>0</x:v>
      </x:c>
      <x:c r="AW174" s="22" t="n">
        <x:v>0</x:v>
      </x:c>
    </x:row>
    <x:row r="175" ht="24" customHeight="1">
      <x:c r="A175" s="22" t="str">
        <x:v>P0171</x:v>
      </x:c>
      <x:c r="B175" s="22" t="n">
        <x:v>5</x:v>
      </x:c>
      <x:c r="C175" s="22" t="n">
        <x:v>5</x:v>
      </x:c>
      <x:c r="D175" s="22" t="str">
        <x:v>C05G05入场</x:v>
      </x:c>
      <x:c r="E175" s="22" t="n">
        <x:v>16593</x:v>
      </x:c>
      <x:c r="F175" s="22" t="n">
        <x:v>18241</x:v>
      </x:c>
      <x:c r="G175" s="22" t="n">
        <x:v>16586</x:v>
      </x:c>
      <x:c r="H175" s="22" t="n">
        <x:v>18213</x:v>
      </x:c>
      <x:c r="I175" s="22" t="n">
        <x:v>16409</x:v>
      </x:c>
      <x:c r="J175" s="22" t="n">
        <x:v>18036</x:v>
      </x:c>
      <x:c r="K175" s="22" t="n">
        <x:v>2182600</x:v>
      </x:c>
      <x:c r="L175" s="22" t="n">
        <x:v>380700</x:v>
      </x:c>
      <x:c r="M175" s="22" t="n">
        <x:v>533</x:v>
      </x:c>
      <x:c r="N175" s="22" t="n">
        <x:v>959</x:v>
      </x:c>
      <x:c r="O175" s="22" t="n">
        <x:v>435</x:v>
      </x:c>
      <x:c r="P175" s="22" t="n">
        <x:v>791</x:v>
      </x:c>
      <x:c r="Q175" s="22" t="n">
        <x:v>797</x:v>
      </x:c>
      <x:c r="R175" s="22" t="n">
        <x:v>716</x:v>
      </x:c>
      <x:c r="S175" s="22" t="n">
        <x:v>716</x:v>
      </x:c>
      <x:c r="T175" s="22" t="n">
        <x:v>0.37000000000000016</x:v>
      </x:c>
      <x:c r="U175" s="22" t="n">
        <x:v>19</x:v>
      </x:c>
      <x:c r="V175" s="22" t="n">
        <x:v>232</x:v>
      </x:c>
      <x:c r="W175" s="22" t="n">
        <x:v>124</x:v>
      </x:c>
      <x:c r="X175" s="22" t="n">
        <x:v>22</x:v>
      </x:c>
      <x:c r="Y175" s="22" t="n">
        <x:v>286</x:v>
      </x:c>
      <x:c r="Z175" s="22" t="n">
        <x:v>2</x:v>
      </x:c>
      <x:c r="AA175" s="22" t="n">
        <x:v>237</x:v>
      </x:c>
      <x:c r="AB175" s="22" t="n">
        <x:v>0</x:v>
      </x:c>
      <x:c r="AC175" s="22" t="n">
        <x:v>0</x:v>
      </x:c>
      <x:c r="AD175" s="22" t="n">
        <x:v>29</x:v>
      </x:c>
      <x:c r="AE175" s="22" t="n">
        <x:v>7</x:v>
      </x:c>
      <x:c r="AF175" s="22" t="n">
        <x:v>83</x:v>
      </x:c>
      <x:c r="AG175" s="22" t="n">
        <x:v>7</x:v>
      </x:c>
      <x:c r="AH175" s="22" t="n">
        <x:v>8</x:v>
      </x:c>
      <x:c r="AI175" s="22" t="n">
        <x:v>26.5</x:v>
      </x:c>
      <x:c r="AJ175" s="22" t="n">
        <x:v>2</x:v>
      </x:c>
      <x:c r="AK175" s="22" t="n">
        <x:v>3</x:v>
      </x:c>
      <x:c r="AL175" s="22" t="n">
        <x:v>482</x:v>
      </x:c>
      <x:c r="AM175" s="22" t="n">
        <x:v>40</x:v>
      </x:c>
      <x:c r="AN175" s="22" t="n">
        <x:v>6</x:v>
      </x:c>
      <x:c r="AO175" s="22" t="n">
        <x:v>5</x:v>
      </x:c>
      <x:c r="AP175" s="22" t="n">
        <x:v>2300</x:v>
      </x:c>
      <x:c r="AQ175" s="22" t="n">
        <x:v>16</x:v>
      </x:c>
      <x:c r="AR175" s="22" t="n">
        <x:v>0</x:v>
      </x:c>
      <x:c r="AS175" s="22" t="n">
        <x:v>10</x:v>
      </x:c>
      <x:c r="AT175" s="22" t="n">
        <x:v>10</x:v>
      </x:c>
      <x:c r="AU175" s="22" t="n">
        <x:v>0</x:v>
      </x:c>
      <x:c r="AV175" s="22" t="n">
        <x:v>0</x:v>
      </x:c>
      <x:c r="AW175" s="22" t="n">
        <x:v>0</x:v>
      </x:c>
    </x:row>
    <x:row r="176" ht="24" customHeight="1">
      <x:c r="A176" s="22" t="str">
        <x:v>P0172</x:v>
      </x:c>
      <x:c r="B176" s="22" t="n">
        <x:v>5</x:v>
      </x:c>
      <x:c r="C176" s="22" t="n">
        <x:v>5</x:v>
      </x:c>
      <x:c r="D176" s="22" t="str">
        <x:v>C05G05普通专属4/6</x:v>
      </x:c>
      <x:c r="E176" s="22" t="n">
        <x:v>16793</x:v>
      </x:c>
      <x:c r="F176" s="22" t="n">
        <x:v>18651</x:v>
      </x:c>
      <x:c r="G176" s="22" t="n">
        <x:v>16571</x:v>
      </x:c>
      <x:c r="H176" s="22" t="n">
        <x:v>18408</x:v>
      </x:c>
      <x:c r="I176" s="22" t="n">
        <x:v>16609</x:v>
      </x:c>
      <x:c r="J176" s="22" t="n">
        <x:v>18446</x:v>
      </x:c>
      <x:c r="K176" s="22" t="n">
        <x:v>2192500</x:v>
      </x:c>
      <x:c r="L176" s="22" t="n">
        <x:v>380700</x:v>
      </x:c>
      <x:c r="M176" s="22" t="n">
        <x:v>533</x:v>
      </x:c>
      <x:c r="N176" s="22" t="n">
        <x:v>959</x:v>
      </x:c>
      <x:c r="O176" s="22" t="n">
        <x:v>435</x:v>
      </x:c>
      <x:c r="P176" s="22" t="n">
        <x:v>791</x:v>
      </x:c>
      <x:c r="Q176" s="22" t="n">
        <x:v>774</x:v>
      </x:c>
      <x:c r="R176" s="22" t="n">
        <x:v>737</x:v>
      </x:c>
      <x:c r="S176" s="22" t="n">
        <x:v>737</x:v>
      </x:c>
      <x:c r="T176" s="22" t="n">
        <x:v>0.37000000000000016</x:v>
      </x:c>
      <x:c r="U176" s="22" t="n">
        <x:v>19</x:v>
      </x:c>
      <x:c r="V176" s="22" t="n">
        <x:v>244</x:v>
      </x:c>
      <x:c r="W176" s="22" t="n">
        <x:v>129</x:v>
      </x:c>
      <x:c r="X176" s="22" t="n">
        <x:v>22</x:v>
      </x:c>
      <x:c r="Y176" s="22" t="n">
        <x:v>297</x:v>
      </x:c>
      <x:c r="Z176" s="22" t="n">
        <x:v>1</x:v>
      </x:c>
      <x:c r="AA176" s="22" t="n">
        <x:v>237</x:v>
      </x:c>
      <x:c r="AB176" s="22" t="n">
        <x:v>0</x:v>
      </x:c>
      <x:c r="AC176" s="22" t="n">
        <x:v>0</x:v>
      </x:c>
      <x:c r="AD176" s="22" t="n">
        <x:v>30</x:v>
      </x:c>
      <x:c r="AE176" s="22" t="n">
        <x:v>7</x:v>
      </x:c>
      <x:c r="AF176" s="22" t="n">
        <x:v>85</x:v>
      </x:c>
      <x:c r="AG176" s="22" t="n">
        <x:v>7</x:v>
      </x:c>
      <x:c r="AH176" s="22" t="n">
        <x:v>8</x:v>
      </x:c>
      <x:c r="AI176" s="22" t="n">
        <x:v>26.5</x:v>
      </x:c>
      <x:c r="AJ176" s="22" t="n">
        <x:v>2</x:v>
      </x:c>
      <x:c r="AK176" s="22" t="n">
        <x:v>2</x:v>
      </x:c>
      <x:c r="AL176" s="22" t="n">
        <x:v>482</x:v>
      </x:c>
      <x:c r="AM176" s="22" t="n">
        <x:v>40</x:v>
      </x:c>
      <x:c r="AN176" s="22" t="n">
        <x:v>6</x:v>
      </x:c>
      <x:c r="AO176" s="22" t="n">
        <x:v>5</x:v>
      </x:c>
      <x:c r="AP176" s="22" t="n">
        <x:v>2300</x:v>
      </x:c>
      <x:c r="AQ176" s="22" t="n">
        <x:v>16</x:v>
      </x:c>
      <x:c r="AR176" s="22" t="n">
        <x:v>0</x:v>
      </x:c>
      <x:c r="AS176" s="22" t="n">
        <x:v>10</x:v>
      </x:c>
      <x:c r="AT176" s="22" t="n">
        <x:v>10</x:v>
      </x:c>
      <x:c r="AU176" s="22" t="n">
        <x:v>0</x:v>
      </x:c>
      <x:c r="AV176" s="22" t="n">
        <x:v>0</x:v>
      </x:c>
      <x:c r="AW176" s="22" t="n">
        <x:v>0</x:v>
      </x:c>
    </x:row>
    <x:row r="177" ht="24" customHeight="1">
      <x:c r="A177" s="22" t="str">
        <x:v>P0173</x:v>
      </x:c>
      <x:c r="B177" s="22" t="n">
        <x:v>5</x:v>
      </x:c>
      <x:c r="C177" s="22" t="n">
        <x:v>5</x:v>
      </x:c>
      <x:c r="D177" s="22" t="str">
        <x:v>月华内殿掌灯君挑战前</x:v>
      </x:c>
      <x:c r="E177" s="22" t="n">
        <x:v>17443</x:v>
      </x:c>
      <x:c r="F177" s="22" t="n">
        <x:v>19301</x:v>
      </x:c>
      <x:c r="G177" s="22" t="n">
        <x:v>17221</x:v>
      </x:c>
      <x:c r="H177" s="22" t="n">
        <x:v>19058</x:v>
      </x:c>
      <x:c r="I177" s="22" t="n">
        <x:v>17259</x:v>
      </x:c>
      <x:c r="J177" s="22" t="n">
        <x:v>19096</x:v>
      </x:c>
      <x:c r="K177" s="22" t="n">
        <x:v>2257500</x:v>
      </x:c>
      <x:c r="L177" s="22" t="n">
        <x:v>380700</x:v>
      </x:c>
      <x:c r="M177" s="22" t="n">
        <x:v>533</x:v>
      </x:c>
      <x:c r="N177" s="22" t="n">
        <x:v>959</x:v>
      </x:c>
      <x:c r="O177" s="22" t="n">
        <x:v>435</x:v>
      </x:c>
      <x:c r="P177" s="22" t="n">
        <x:v>791</x:v>
      </x:c>
      <x:c r="Q177" s="22" t="n">
        <x:v>817</x:v>
      </x:c>
      <x:c r="R177" s="22" t="n">
        <x:v>737</x:v>
      </x:c>
      <x:c r="S177" s="22" t="n">
        <x:v>737</x:v>
      </x:c>
      <x:c r="T177" s="22" t="n">
        <x:v>0.37000000000000016</x:v>
      </x:c>
      <x:c r="U177" s="22" t="n">
        <x:v>19</x:v>
      </x:c>
      <x:c r="V177" s="22" t="n">
        <x:v>244</x:v>
      </x:c>
      <x:c r="W177" s="22" t="n">
        <x:v>129</x:v>
      </x:c>
      <x:c r="X177" s="22" t="n">
        <x:v>22</x:v>
      </x:c>
      <x:c r="Y177" s="22" t="n">
        <x:v>297</x:v>
      </x:c>
      <x:c r="Z177" s="22" t="n">
        <x:v>1</x:v>
      </x:c>
      <x:c r="AA177" s="22" t="n">
        <x:v>237</x:v>
      </x:c>
      <x:c r="AB177" s="22" t="n">
        <x:v>0</x:v>
      </x:c>
      <x:c r="AC177" s="22" t="n">
        <x:v>0</x:v>
      </x:c>
      <x:c r="AD177" s="22" t="n">
        <x:v>31</x:v>
      </x:c>
      <x:c r="AE177" s="22" t="n">
        <x:v>7</x:v>
      </x:c>
      <x:c r="AF177" s="22" t="n">
        <x:v>85</x:v>
      </x:c>
      <x:c r="AG177" s="22" t="n">
        <x:v>7</x:v>
      </x:c>
      <x:c r="AH177" s="22" t="n">
        <x:v>8</x:v>
      </x:c>
      <x:c r="AI177" s="22" t="n">
        <x:v>26.5</x:v>
      </x:c>
      <x:c r="AJ177" s="22" t="n">
        <x:v>2</x:v>
      </x:c>
      <x:c r="AK177" s="22" t="n">
        <x:v>2</x:v>
      </x:c>
      <x:c r="AL177" s="22" t="n">
        <x:v>482</x:v>
      </x:c>
      <x:c r="AM177" s="22" t="n">
        <x:v>40</x:v>
      </x:c>
      <x:c r="AN177" s="22" t="n">
        <x:v>6</x:v>
      </x:c>
      <x:c r="AO177" s="22" t="n">
        <x:v>5</x:v>
      </x:c>
      <x:c r="AP177" s="22" t="n">
        <x:v>2300</x:v>
      </x:c>
      <x:c r="AQ177" s="22" t="n">
        <x:v>16</x:v>
      </x:c>
      <x:c r="AR177" s="22" t="n">
        <x:v>0</x:v>
      </x:c>
      <x:c r="AS177" s="22" t="n">
        <x:v>10</x:v>
      </x:c>
      <x:c r="AT177" s="22" t="n">
        <x:v>10</x:v>
      </x:c>
      <x:c r="AU177" s="22" t="n">
        <x:v>0</x:v>
      </x:c>
      <x:c r="AV177" s="22" t="n">
        <x:v>0</x:v>
      </x:c>
      <x:c r="AW177" s="22" t="n">
        <x:v>0</x:v>
      </x:c>
    </x:row>
    <x:row r="178" ht="24" customHeight="1">
      <x:c r="A178" s="22" t="str">
        <x:v>P0174</x:v>
      </x:c>
      <x:c r="B178" s="22" t="n">
        <x:v>5</x:v>
      </x:c>
      <x:c r="C178" s="22" t="n">
        <x:v>5</x:v>
      </x:c>
      <x:c r="D178" s="22" t="str">
        <x:v>影宫深潮王女挑战前</x:v>
      </x:c>
      <x:c r="E178" s="22" t="n">
        <x:v>17443</x:v>
      </x:c>
      <x:c r="F178" s="22" t="n">
        <x:v>19301</x:v>
      </x:c>
      <x:c r="G178" s="22" t="n">
        <x:v>17221</x:v>
      </x:c>
      <x:c r="H178" s="22" t="n">
        <x:v>19058</x:v>
      </x:c>
      <x:c r="I178" s="22" t="n">
        <x:v>17259</x:v>
      </x:c>
      <x:c r="J178" s="22" t="n">
        <x:v>19096</x:v>
      </x:c>
      <x:c r="K178" s="22" t="n">
        <x:v>2257500</x:v>
      </x:c>
      <x:c r="L178" s="22" t="n">
        <x:v>380700</x:v>
      </x:c>
      <x:c r="M178" s="22" t="n">
        <x:v>533</x:v>
      </x:c>
      <x:c r="N178" s="22" t="n">
        <x:v>959</x:v>
      </x:c>
      <x:c r="O178" s="22" t="n">
        <x:v>435</x:v>
      </x:c>
      <x:c r="P178" s="22" t="n">
        <x:v>791</x:v>
      </x:c>
      <x:c r="Q178" s="22" t="n">
        <x:v>817</x:v>
      </x:c>
      <x:c r="R178" s="22" t="n">
        <x:v>737</x:v>
      </x:c>
      <x:c r="S178" s="22" t="n">
        <x:v>737</x:v>
      </x:c>
      <x:c r="T178" s="22" t="n">
        <x:v>0.37000000000000016</x:v>
      </x:c>
      <x:c r="U178" s="22" t="n">
        <x:v>19</x:v>
      </x:c>
      <x:c r="V178" s="22" t="n">
        <x:v>244</x:v>
      </x:c>
      <x:c r="W178" s="22" t="n">
        <x:v>129</x:v>
      </x:c>
      <x:c r="X178" s="22" t="n">
        <x:v>22</x:v>
      </x:c>
      <x:c r="Y178" s="22" t="n">
        <x:v>297</x:v>
      </x:c>
      <x:c r="Z178" s="22" t="n">
        <x:v>1</x:v>
      </x:c>
      <x:c r="AA178" s="22" t="n">
        <x:v>237</x:v>
      </x:c>
      <x:c r="AB178" s="22" t="n">
        <x:v>0</x:v>
      </x:c>
      <x:c r="AC178" s="22" t="n">
        <x:v>0</x:v>
      </x:c>
      <x:c r="AD178" s="22" t="n">
        <x:v>31</x:v>
      </x:c>
      <x:c r="AE178" s="22" t="n">
        <x:v>7</x:v>
      </x:c>
      <x:c r="AF178" s="22" t="n">
        <x:v>85</x:v>
      </x:c>
      <x:c r="AG178" s="22" t="n">
        <x:v>7</x:v>
      </x:c>
      <x:c r="AH178" s="22" t="n">
        <x:v>8</x:v>
      </x:c>
      <x:c r="AI178" s="22" t="n">
        <x:v>26.5</x:v>
      </x:c>
      <x:c r="AJ178" s="22" t="n">
        <x:v>2</x:v>
      </x:c>
      <x:c r="AK178" s="22" t="n">
        <x:v>2</x:v>
      </x:c>
      <x:c r="AL178" s="22" t="n">
        <x:v>482</x:v>
      </x:c>
      <x:c r="AM178" s="22" t="n">
        <x:v>40</x:v>
      </x:c>
      <x:c r="AN178" s="22" t="n">
        <x:v>6</x:v>
      </x:c>
      <x:c r="AO178" s="22" t="n">
        <x:v>5</x:v>
      </x:c>
      <x:c r="AP178" s="22" t="n">
        <x:v>2300</x:v>
      </x:c>
      <x:c r="AQ178" s="22" t="n">
        <x:v>16</x:v>
      </x:c>
      <x:c r="AR178" s="22" t="n">
        <x:v>0</x:v>
      </x:c>
      <x:c r="AS178" s="22" t="n">
        <x:v>10</x:v>
      </x:c>
      <x:c r="AT178" s="22" t="n">
        <x:v>10</x:v>
      </x:c>
      <x:c r="AU178" s="22" t="n">
        <x:v>0</x:v>
      </x:c>
      <x:c r="AV178" s="22" t="n">
        <x:v>0</x:v>
      </x:c>
      <x:c r="AW178" s="22" t="n">
        <x:v>0</x:v>
      </x:c>
    </x:row>
    <x:row r="179" ht="24" customHeight="1">
      <x:c r="A179" s="22" t="str">
        <x:v>P0175</x:v>
      </x:c>
      <x:c r="B179" s="22" t="n">
        <x:v>5</x:v>
      </x:c>
      <x:c r="C179" s="22" t="n">
        <x:v>5</x:v>
      </x:c>
      <x:c r="D179" s="22" t="str">
        <x:v>月影水宫BOSS装备快线</x:v>
      </x:c>
      <x:c r="E179" s="22" t="n">
        <x:v>17813</x:v>
      </x:c>
      <x:c r="F179" s="22" t="n">
        <x:v>20041</x:v>
      </x:c>
      <x:c r="G179" s="22" t="n">
        <x:v>17591</x:v>
      </x:c>
      <x:c r="H179" s="22" t="n">
        <x:v>19798</x:v>
      </x:c>
      <x:c r="I179" s="22" t="n">
        <x:v>17629</x:v>
      </x:c>
      <x:c r="J179" s="22" t="n">
        <x:v>19836</x:v>
      </x:c>
      <x:c r="K179" s="22" t="n">
        <x:v>2277500</x:v>
      </x:c>
      <x:c r="L179" s="22" t="n">
        <x:v>380700</x:v>
      </x:c>
      <x:c r="M179" s="22" t="n">
        <x:v>533</x:v>
      </x:c>
      <x:c r="N179" s="22" t="n">
        <x:v>959</x:v>
      </x:c>
      <x:c r="O179" s="22" t="n">
        <x:v>435</x:v>
      </x:c>
      <x:c r="P179" s="22" t="n">
        <x:v>791</x:v>
      </x:c>
      <x:c r="Q179" s="22" t="n">
        <x:v>764</x:v>
      </x:c>
      <x:c r="R179" s="22" t="n">
        <x:v>727</x:v>
      </x:c>
      <x:c r="S179" s="22" t="n">
        <x:v>727</x:v>
      </x:c>
      <x:c r="T179" s="22" t="n">
        <x:v>0.37000000000000016</x:v>
      </x:c>
      <x:c r="U179" s="22" t="n">
        <x:v>19</x:v>
      </x:c>
      <x:c r="V179" s="22" t="n">
        <x:v>273</x:v>
      </x:c>
      <x:c r="W179" s="22" t="n">
        <x:v>132</x:v>
      </x:c>
      <x:c r="X179" s="22" t="n">
        <x:v>22</x:v>
      </x:c>
      <x:c r="Y179" s="22" t="n">
        <x:v>321</x:v>
      </x:c>
      <x:c r="Z179" s="22" t="n">
        <x:v>1</x:v>
      </x:c>
      <x:c r="AA179" s="22" t="n">
        <x:v>259</x:v>
      </x:c>
      <x:c r="AB179" s="22" t="n">
        <x:v>0</x:v>
      </x:c>
      <x:c r="AC179" s="22" t="n">
        <x:v>0</x:v>
      </x:c>
      <x:c r="AD179" s="22" t="n">
        <x:v>40</x:v>
      </x:c>
      <x:c r="AE179" s="22" t="n">
        <x:v>8</x:v>
      </x:c>
      <x:c r="AF179" s="22" t="n">
        <x:v>91</x:v>
      </x:c>
      <x:c r="AG179" s="22" t="n">
        <x:v>7</x:v>
      </x:c>
      <x:c r="AH179" s="22" t="n">
        <x:v>8</x:v>
      </x:c>
      <x:c r="AI179" s="22" t="n">
        <x:v>29.5</x:v>
      </x:c>
      <x:c r="AJ179" s="22" t="n">
        <x:v>4</x:v>
      </x:c>
      <x:c r="AK179" s="22" t="n">
        <x:v>3</x:v>
      </x:c>
      <x:c r="AL179" s="22" t="n">
        <x:v>482</x:v>
      </x:c>
      <x:c r="AM179" s="22" t="n">
        <x:v>40</x:v>
      </x:c>
      <x:c r="AN179" s="22" t="n">
        <x:v>6</x:v>
      </x:c>
      <x:c r="AO179" s="22" t="n">
        <x:v>7</x:v>
      </x:c>
      <x:c r="AP179" s="22" t="n">
        <x:v>2640</x:v>
      </x:c>
      <x:c r="AQ179" s="22" t="n">
        <x:v>18</x:v>
      </x:c>
      <x:c r="AR179" s="22" t="n">
        <x:v>0</x:v>
      </x:c>
      <x:c r="AS179" s="22" t="n">
        <x:v>10</x:v>
      </x:c>
      <x:c r="AT179" s="22" t="n">
        <x:v>10</x:v>
      </x:c>
      <x:c r="AU179" s="22" t="n">
        <x:v>0</x:v>
      </x:c>
      <x:c r="AV179" s="22" t="n">
        <x:v>0</x:v>
      </x:c>
      <x:c r="AW179" s="22" t="n">
        <x:v>0</x:v>
      </x:c>
    </x:row>
    <x:row r="180" ht="24" customHeight="1">
      <x:c r="A180" s="22" t="str">
        <x:v>P0176</x:v>
      </x:c>
      <x:c r="B180" s="22" t="n">
        <x:v>5</x:v>
      </x:c>
      <x:c r="C180" s="22" t="n">
        <x:v>5</x:v>
      </x:c>
      <x:c r="D180" s="22" t="str">
        <x:v>月影水宫阶段积累后</x:v>
      </x:c>
      <x:c r="E180" s="22" t="n">
        <x:v>17475</x:v>
      </x:c>
      <x:c r="F180" s="22" t="n">
        <x:v>19333</x:v>
      </x:c>
      <x:c r="G180" s="22" t="n">
        <x:v>17253</x:v>
      </x:c>
      <x:c r="H180" s="22" t="n">
        <x:v>19090</x:v>
      </x:c>
      <x:c r="I180" s="22" t="n">
        <x:v>17291</x:v>
      </x:c>
      <x:c r="J180" s="22" t="n">
        <x:v>19128</x:v>
      </x:c>
      <x:c r="K180" s="22" t="n">
        <x:v>2260700</x:v>
      </x:c>
      <x:c r="L180" s="22" t="n">
        <x:v>380700</x:v>
      </x:c>
      <x:c r="M180" s="22" t="n">
        <x:v>533</x:v>
      </x:c>
      <x:c r="N180" s="22" t="n">
        <x:v>959</x:v>
      </x:c>
      <x:c r="O180" s="22" t="n">
        <x:v>435</x:v>
      </x:c>
      <x:c r="P180" s="22" t="n">
        <x:v>791</x:v>
      </x:c>
      <x:c r="Q180" s="22" t="n">
        <x:v>817</x:v>
      </x:c>
      <x:c r="R180" s="22" t="n">
        <x:v>737</x:v>
      </x:c>
      <x:c r="S180" s="22" t="n">
        <x:v>737</x:v>
      </x:c>
      <x:c r="T180" s="22" t="n">
        <x:v>0.37000000000000016</x:v>
      </x:c>
      <x:c r="U180" s="22" t="n">
        <x:v>19</x:v>
      </x:c>
      <x:c r="V180" s="22" t="n">
        <x:v>244</x:v>
      </x:c>
      <x:c r="W180" s="22" t="n">
        <x:v>129</x:v>
      </x:c>
      <x:c r="X180" s="22" t="n">
        <x:v>22</x:v>
      </x:c>
      <x:c r="Y180" s="22" t="n">
        <x:v>297</x:v>
      </x:c>
      <x:c r="Z180" s="22" t="n">
        <x:v>1</x:v>
      </x:c>
      <x:c r="AA180" s="22" t="n">
        <x:v>237</x:v>
      </x:c>
      <x:c r="AB180" s="22" t="n">
        <x:v>0</x:v>
      </x:c>
      <x:c r="AC180" s="22" t="n">
        <x:v>0</x:v>
      </x:c>
      <x:c r="AD180" s="22" t="n">
        <x:v>31</x:v>
      </x:c>
      <x:c r="AE180" s="22" t="n">
        <x:v>7</x:v>
      </x:c>
      <x:c r="AF180" s="22" t="n">
        <x:v>85</x:v>
      </x:c>
      <x:c r="AG180" s="22" t="n">
        <x:v>7</x:v>
      </x:c>
      <x:c r="AH180" s="22" t="n">
        <x:v>8</x:v>
      </x:c>
      <x:c r="AI180" s="22" t="n">
        <x:v>26.5</x:v>
      </x:c>
      <x:c r="AJ180" s="22" t="n">
        <x:v>2</x:v>
      </x:c>
      <x:c r="AK180" s="22" t="n">
        <x:v>2</x:v>
      </x:c>
      <x:c r="AL180" s="22" t="n">
        <x:v>482</x:v>
      </x:c>
      <x:c r="AM180" s="22" t="n">
        <x:v>40</x:v>
      </x:c>
      <x:c r="AN180" s="22" t="n">
        <x:v>6</x:v>
      </x:c>
      <x:c r="AO180" s="22" t="n">
        <x:v>5</x:v>
      </x:c>
      <x:c r="AP180" s="22" t="n">
        <x:v>2300</x:v>
      </x:c>
      <x:c r="AQ180" s="22" t="n">
        <x:v>16</x:v>
      </x:c>
      <x:c r="AR180" s="22" t="n">
        <x:v>0</x:v>
      </x:c>
      <x:c r="AS180" s="22" t="n">
        <x:v>10</x:v>
      </x:c>
      <x:c r="AT180" s="22" t="n">
        <x:v>10</x:v>
      </x:c>
      <x:c r="AU180" s="22" t="n">
        <x:v>0</x:v>
      </x:c>
      <x:c r="AV180" s="22" t="n">
        <x:v>0</x:v>
      </x:c>
      <x:c r="AW180" s="22" t="n">
        <x:v>0</x:v>
      </x:c>
    </x:row>
    <x:row r="181" ht="24" customHeight="1">
      <x:c r="A181" s="22" t="str">
        <x:v>P0177</x:v>
      </x:c>
      <x:c r="B181" s="22" t="n">
        <x:v>5</x:v>
      </x:c>
      <x:c r="C181" s="22" t="n">
        <x:v>6</x:v>
      </x:c>
      <x:c r="D181" s="22" t="str">
        <x:v>C05G06入场</x:v>
      </x:c>
      <x:c r="E181" s="22" t="n">
        <x:v>17475</x:v>
      </x:c>
      <x:c r="F181" s="22" t="n">
        <x:v>19333</x:v>
      </x:c>
      <x:c r="G181" s="22" t="n">
        <x:v>17253</x:v>
      </x:c>
      <x:c r="H181" s="22" t="n">
        <x:v>19090</x:v>
      </x:c>
      <x:c r="I181" s="22" t="n">
        <x:v>17291</x:v>
      </x:c>
      <x:c r="J181" s="22" t="n">
        <x:v>19128</x:v>
      </x:c>
      <x:c r="K181" s="22" t="n">
        <x:v>2260700</x:v>
      </x:c>
      <x:c r="L181" s="22" t="n">
        <x:v>380700</x:v>
      </x:c>
      <x:c r="M181" s="22" t="n">
        <x:v>533</x:v>
      </x:c>
      <x:c r="N181" s="22" t="n">
        <x:v>959</x:v>
      </x:c>
      <x:c r="O181" s="22" t="n">
        <x:v>435</x:v>
      </x:c>
      <x:c r="P181" s="22" t="n">
        <x:v>791</x:v>
      </x:c>
      <x:c r="Q181" s="22" t="n">
        <x:v>817</x:v>
      </x:c>
      <x:c r="R181" s="22" t="n">
        <x:v>737</x:v>
      </x:c>
      <x:c r="S181" s="22" t="n">
        <x:v>737</x:v>
      </x:c>
      <x:c r="T181" s="22" t="n">
        <x:v>0.37000000000000016</x:v>
      </x:c>
      <x:c r="U181" s="22" t="n">
        <x:v>19</x:v>
      </x:c>
      <x:c r="V181" s="22" t="n">
        <x:v>244</x:v>
      </x:c>
      <x:c r="W181" s="22" t="n">
        <x:v>129</x:v>
      </x:c>
      <x:c r="X181" s="22" t="n">
        <x:v>22</x:v>
      </x:c>
      <x:c r="Y181" s="22" t="n">
        <x:v>297</x:v>
      </x:c>
      <x:c r="Z181" s="22" t="n">
        <x:v>1</x:v>
      </x:c>
      <x:c r="AA181" s="22" t="n">
        <x:v>237</x:v>
      </x:c>
      <x:c r="AB181" s="22" t="n">
        <x:v>0</x:v>
      </x:c>
      <x:c r="AC181" s="22" t="n">
        <x:v>0</x:v>
      </x:c>
      <x:c r="AD181" s="22" t="n">
        <x:v>31</x:v>
      </x:c>
      <x:c r="AE181" s="22" t="n">
        <x:v>7</x:v>
      </x:c>
      <x:c r="AF181" s="22" t="n">
        <x:v>85</x:v>
      </x:c>
      <x:c r="AG181" s="22" t="n">
        <x:v>7</x:v>
      </x:c>
      <x:c r="AH181" s="22" t="n">
        <x:v>8</x:v>
      </x:c>
      <x:c r="AI181" s="22" t="n">
        <x:v>26.5</x:v>
      </x:c>
      <x:c r="AJ181" s="22" t="n">
        <x:v>2</x:v>
      </x:c>
      <x:c r="AK181" s="22" t="n">
        <x:v>2</x:v>
      </x:c>
      <x:c r="AL181" s="22" t="n">
        <x:v>482</x:v>
      </x:c>
      <x:c r="AM181" s="22" t="n">
        <x:v>40</x:v>
      </x:c>
      <x:c r="AN181" s="22" t="n">
        <x:v>6</x:v>
      </x:c>
      <x:c r="AO181" s="22" t="n">
        <x:v>5</x:v>
      </x:c>
      <x:c r="AP181" s="22" t="n">
        <x:v>2300</x:v>
      </x:c>
      <x:c r="AQ181" s="22" t="n">
        <x:v>16</x:v>
      </x:c>
      <x:c r="AR181" s="22" t="n">
        <x:v>0</x:v>
      </x:c>
      <x:c r="AS181" s="22" t="n">
        <x:v>10</x:v>
      </x:c>
      <x:c r="AT181" s="22" t="n">
        <x:v>10</x:v>
      </x:c>
      <x:c r="AU181" s="22" t="n">
        <x:v>0</x:v>
      </x:c>
      <x:c r="AV181" s="22" t="n">
        <x:v>0</x:v>
      </x:c>
      <x:c r="AW181" s="22" t="n">
        <x:v>0</x:v>
      </x:c>
    </x:row>
    <x:row r="182" ht="24" customHeight="1">
      <x:c r="A182" s="22" t="str">
        <x:v>P0178</x:v>
      </x:c>
      <x:c r="B182" s="22" t="n">
        <x:v>5</x:v>
      </x:c>
      <x:c r="C182" s="22" t="n">
        <x:v>6</x:v>
      </x:c>
      <x:c r="D182" s="22" t="str">
        <x:v>C05G06普通专属4/6</x:v>
      </x:c>
      <x:c r="E182" s="22" t="n">
        <x:v>17475</x:v>
      </x:c>
      <x:c r="F182" s="22" t="n">
        <x:v>19333</x:v>
      </x:c>
      <x:c r="G182" s="22" t="n">
        <x:v>17253</x:v>
      </x:c>
      <x:c r="H182" s="22" t="n">
        <x:v>19090</x:v>
      </x:c>
      <x:c r="I182" s="22" t="n">
        <x:v>17291</x:v>
      </x:c>
      <x:c r="J182" s="22" t="n">
        <x:v>19128</x:v>
      </x:c>
      <x:c r="K182" s="22" t="n">
        <x:v>2260700</x:v>
      </x:c>
      <x:c r="L182" s="22" t="n">
        <x:v>380700</x:v>
      </x:c>
      <x:c r="M182" s="22" t="n">
        <x:v>533</x:v>
      </x:c>
      <x:c r="N182" s="22" t="n">
        <x:v>959</x:v>
      </x:c>
      <x:c r="O182" s="22" t="n">
        <x:v>435</x:v>
      </x:c>
      <x:c r="P182" s="22" t="n">
        <x:v>791</x:v>
      </x:c>
      <x:c r="Q182" s="22" t="n">
        <x:v>817</x:v>
      </x:c>
      <x:c r="R182" s="22" t="n">
        <x:v>737</x:v>
      </x:c>
      <x:c r="S182" s="22" t="n">
        <x:v>737</x:v>
      </x:c>
      <x:c r="T182" s="22" t="n">
        <x:v>0.37000000000000016</x:v>
      </x:c>
      <x:c r="U182" s="22" t="n">
        <x:v>19</x:v>
      </x:c>
      <x:c r="V182" s="22" t="n">
        <x:v>244</x:v>
      </x:c>
      <x:c r="W182" s="22" t="n">
        <x:v>129</x:v>
      </x:c>
      <x:c r="X182" s="22" t="n">
        <x:v>22</x:v>
      </x:c>
      <x:c r="Y182" s="22" t="n">
        <x:v>297</x:v>
      </x:c>
      <x:c r="Z182" s="22" t="n">
        <x:v>1</x:v>
      </x:c>
      <x:c r="AA182" s="22" t="n">
        <x:v>237</x:v>
      </x:c>
      <x:c r="AB182" s="22" t="n">
        <x:v>0</x:v>
      </x:c>
      <x:c r="AC182" s="22" t="n">
        <x:v>0</x:v>
      </x:c>
      <x:c r="AD182" s="22" t="n">
        <x:v>31</x:v>
      </x:c>
      <x:c r="AE182" s="22" t="n">
        <x:v>7</x:v>
      </x:c>
      <x:c r="AF182" s="22" t="n">
        <x:v>85</x:v>
      </x:c>
      <x:c r="AG182" s="22" t="n">
        <x:v>7</x:v>
      </x:c>
      <x:c r="AH182" s="22" t="n">
        <x:v>8</x:v>
      </x:c>
      <x:c r="AI182" s="22" t="n">
        <x:v>26.5</x:v>
      </x:c>
      <x:c r="AJ182" s="22" t="n">
        <x:v>2</x:v>
      </x:c>
      <x:c r="AK182" s="22" t="n">
        <x:v>2</x:v>
      </x:c>
      <x:c r="AL182" s="22" t="n">
        <x:v>482</x:v>
      </x:c>
      <x:c r="AM182" s="22" t="n">
        <x:v>40</x:v>
      </x:c>
      <x:c r="AN182" s="22" t="n">
        <x:v>6</x:v>
      </x:c>
      <x:c r="AO182" s="22" t="n">
        <x:v>5</x:v>
      </x:c>
      <x:c r="AP182" s="22" t="n">
        <x:v>2300</x:v>
      </x:c>
      <x:c r="AQ182" s="22" t="n">
        <x:v>16</x:v>
      </x:c>
      <x:c r="AR182" s="22" t="n">
        <x:v>0</x:v>
      </x:c>
      <x:c r="AS182" s="22" t="n">
        <x:v>10</x:v>
      </x:c>
      <x:c r="AT182" s="22" t="n">
        <x:v>10</x:v>
      </x:c>
      <x:c r="AU182" s="22" t="n">
        <x:v>0</x:v>
      </x:c>
      <x:c r="AV182" s="22" t="n">
        <x:v>0</x:v>
      </x:c>
      <x:c r="AW182" s="22" t="n">
        <x:v>0</x:v>
      </x:c>
    </x:row>
    <x:row r="183" ht="24" customHeight="1">
      <x:c r="A183" s="22" t="str">
        <x:v>P0179</x:v>
      </x:c>
      <x:c r="B183" s="22" t="n">
        <x:v>5</x:v>
      </x:c>
      <x:c r="C183" s="22" t="n">
        <x:v>6</x:v>
      </x:c>
      <x:c r="D183" s="22" t="str">
        <x:v>月蚀密殿司冕挑战前</x:v>
      </x:c>
      <x:c r="E183" s="22" t="n">
        <x:v>18150</x:v>
      </x:c>
      <x:c r="F183" s="22" t="n">
        <x:v>20008</x:v>
      </x:c>
      <x:c r="G183" s="22" t="n">
        <x:v>17928</x:v>
      </x:c>
      <x:c r="H183" s="22" t="n">
        <x:v>19765</x:v>
      </x:c>
      <x:c r="I183" s="22" t="n">
        <x:v>17966</x:v>
      </x:c>
      <x:c r="J183" s="22" t="n">
        <x:v>19803</x:v>
      </x:c>
      <x:c r="K183" s="22" t="n">
        <x:v>2328200</x:v>
      </x:c>
      <x:c r="L183" s="22" t="n">
        <x:v>380700</x:v>
      </x:c>
      <x:c r="M183" s="22" t="n">
        <x:v>533</x:v>
      </x:c>
      <x:c r="N183" s="22" t="n">
        <x:v>959</x:v>
      </x:c>
      <x:c r="O183" s="22" t="n">
        <x:v>435</x:v>
      </x:c>
      <x:c r="P183" s="22" t="n">
        <x:v>791</x:v>
      </x:c>
      <x:c r="Q183" s="22" t="n">
        <x:v>817</x:v>
      </x:c>
      <x:c r="R183" s="22" t="n">
        <x:v>737</x:v>
      </x:c>
      <x:c r="S183" s="22" t="n">
        <x:v>737</x:v>
      </x:c>
      <x:c r="T183" s="22" t="n">
        <x:v>0.37000000000000016</x:v>
      </x:c>
      <x:c r="U183" s="22" t="n">
        <x:v>19</x:v>
      </x:c>
      <x:c r="V183" s="22" t="n">
        <x:v>244</x:v>
      </x:c>
      <x:c r="W183" s="22" t="n">
        <x:v>129</x:v>
      </x:c>
      <x:c r="X183" s="22" t="n">
        <x:v>22</x:v>
      </x:c>
      <x:c r="Y183" s="22" t="n">
        <x:v>297</x:v>
      </x:c>
      <x:c r="Z183" s="22" t="n">
        <x:v>1</x:v>
      </x:c>
      <x:c r="AA183" s="22" t="n">
        <x:v>237</x:v>
      </x:c>
      <x:c r="AB183" s="22" t="n">
        <x:v>0</x:v>
      </x:c>
      <x:c r="AC183" s="22" t="n">
        <x:v>0</x:v>
      </x:c>
      <x:c r="AD183" s="22" t="n">
        <x:v>31</x:v>
      </x:c>
      <x:c r="AE183" s="22" t="n">
        <x:v>7</x:v>
      </x:c>
      <x:c r="AF183" s="22" t="n">
        <x:v>85</x:v>
      </x:c>
      <x:c r="AG183" s="22" t="n">
        <x:v>7</x:v>
      </x:c>
      <x:c r="AH183" s="22" t="n">
        <x:v>8</x:v>
      </x:c>
      <x:c r="AI183" s="22" t="n">
        <x:v>26.5</x:v>
      </x:c>
      <x:c r="AJ183" s="22" t="n">
        <x:v>2</x:v>
      </x:c>
      <x:c r="AK183" s="22" t="n">
        <x:v>2</x:v>
      </x:c>
      <x:c r="AL183" s="22" t="n">
        <x:v>482</x:v>
      </x:c>
      <x:c r="AM183" s="22" t="n">
        <x:v>40</x:v>
      </x:c>
      <x:c r="AN183" s="22" t="n">
        <x:v>6</x:v>
      </x:c>
      <x:c r="AO183" s="22" t="n">
        <x:v>5</x:v>
      </x:c>
      <x:c r="AP183" s="22" t="n">
        <x:v>2300</x:v>
      </x:c>
      <x:c r="AQ183" s="22" t="n">
        <x:v>16</x:v>
      </x:c>
      <x:c r="AR183" s="22" t="n">
        <x:v>0</x:v>
      </x:c>
      <x:c r="AS183" s="22" t="n">
        <x:v>10</x:v>
      </x:c>
      <x:c r="AT183" s="22" t="n">
        <x:v>10</x:v>
      </x:c>
      <x:c r="AU183" s="22" t="n">
        <x:v>0</x:v>
      </x:c>
      <x:c r="AV183" s="22" t="n">
        <x:v>0</x:v>
      </x:c>
      <x:c r="AW183" s="22" t="n">
        <x:v>0</x:v>
      </x:c>
    </x:row>
    <x:row r="184" ht="24" customHeight="1">
      <x:c r="A184" s="22" t="str">
        <x:v>P0180</x:v>
      </x:c>
      <x:c r="B184" s="22" t="n">
        <x:v>5</x:v>
      </x:c>
      <x:c r="C184" s="22" t="n">
        <x:v>6</x:v>
      </x:c>
      <x:c r="D184" s="22" t="str">
        <x:v>卡利亚圣所摄政灵挑战前</x:v>
      </x:c>
      <x:c r="E184" s="22" t="n">
        <x:v>18150</x:v>
      </x:c>
      <x:c r="F184" s="22" t="n">
        <x:v>20008</x:v>
      </x:c>
      <x:c r="G184" s="22" t="n">
        <x:v>17928</x:v>
      </x:c>
      <x:c r="H184" s="22" t="n">
        <x:v>19765</x:v>
      </x:c>
      <x:c r="I184" s="22" t="n">
        <x:v>17966</x:v>
      </x:c>
      <x:c r="J184" s="22" t="n">
        <x:v>19803</x:v>
      </x:c>
      <x:c r="K184" s="22" t="n">
        <x:v>2328200</x:v>
      </x:c>
      <x:c r="L184" s="22" t="n">
        <x:v>380700</x:v>
      </x:c>
      <x:c r="M184" s="22" t="n">
        <x:v>533</x:v>
      </x:c>
      <x:c r="N184" s="22" t="n">
        <x:v>959</x:v>
      </x:c>
      <x:c r="O184" s="22" t="n">
        <x:v>435</x:v>
      </x:c>
      <x:c r="P184" s="22" t="n">
        <x:v>791</x:v>
      </x:c>
      <x:c r="Q184" s="22" t="n">
        <x:v>817</x:v>
      </x:c>
      <x:c r="R184" s="22" t="n">
        <x:v>737</x:v>
      </x:c>
      <x:c r="S184" s="22" t="n">
        <x:v>737</x:v>
      </x:c>
      <x:c r="T184" s="22" t="n">
        <x:v>0.37000000000000016</x:v>
      </x:c>
      <x:c r="U184" s="22" t="n">
        <x:v>19</x:v>
      </x:c>
      <x:c r="V184" s="22" t="n">
        <x:v>244</x:v>
      </x:c>
      <x:c r="W184" s="22" t="n">
        <x:v>129</x:v>
      </x:c>
      <x:c r="X184" s="22" t="n">
        <x:v>22</x:v>
      </x:c>
      <x:c r="Y184" s="22" t="n">
        <x:v>297</x:v>
      </x:c>
      <x:c r="Z184" s="22" t="n">
        <x:v>1</x:v>
      </x:c>
      <x:c r="AA184" s="22" t="n">
        <x:v>237</x:v>
      </x:c>
      <x:c r="AB184" s="22" t="n">
        <x:v>0</x:v>
      </x:c>
      <x:c r="AC184" s="22" t="n">
        <x:v>0</x:v>
      </x:c>
      <x:c r="AD184" s="22" t="n">
        <x:v>31</x:v>
      </x:c>
      <x:c r="AE184" s="22" t="n">
        <x:v>7</x:v>
      </x:c>
      <x:c r="AF184" s="22" t="n">
        <x:v>85</x:v>
      </x:c>
      <x:c r="AG184" s="22" t="n">
        <x:v>7</x:v>
      </x:c>
      <x:c r="AH184" s="22" t="n">
        <x:v>8</x:v>
      </x:c>
      <x:c r="AI184" s="22" t="n">
        <x:v>26.5</x:v>
      </x:c>
      <x:c r="AJ184" s="22" t="n">
        <x:v>2</x:v>
      </x:c>
      <x:c r="AK184" s="22" t="n">
        <x:v>2</x:v>
      </x:c>
      <x:c r="AL184" s="22" t="n">
        <x:v>482</x:v>
      </x:c>
      <x:c r="AM184" s="22" t="n">
        <x:v>40</x:v>
      </x:c>
      <x:c r="AN184" s="22" t="n">
        <x:v>6</x:v>
      </x:c>
      <x:c r="AO184" s="22" t="n">
        <x:v>5</x:v>
      </x:c>
      <x:c r="AP184" s="22" t="n">
        <x:v>2300</x:v>
      </x:c>
      <x:c r="AQ184" s="22" t="n">
        <x:v>16</x:v>
      </x:c>
      <x:c r="AR184" s="22" t="n">
        <x:v>0</x:v>
      </x:c>
      <x:c r="AS184" s="22" t="n">
        <x:v>10</x:v>
      </x:c>
      <x:c r="AT184" s="22" t="n">
        <x:v>10</x:v>
      </x:c>
      <x:c r="AU184" s="22" t="n">
        <x:v>0</x:v>
      </x:c>
      <x:c r="AV184" s="22" t="n">
        <x:v>0</x:v>
      </x:c>
      <x:c r="AW184" s="22" t="n">
        <x:v>0</x:v>
      </x:c>
    </x:row>
    <x:row r="185" ht="24" customHeight="1">
      <x:c r="A185" s="22" t="str">
        <x:v>P0181</x:v>
      </x:c>
      <x:c r="B185" s="22" t="n">
        <x:v>5</x:v>
      </x:c>
      <x:c r="C185" s="22" t="n">
        <x:v>6</x:v>
      </x:c>
      <x:c r="D185" s="22" t="str">
        <x:v>卡利亚禁域BOSS装备快线</x:v>
      </x:c>
      <x:c r="E185" s="22" t="n">
        <x:v>18584</x:v>
      </x:c>
      <x:c r="F185" s="22" t="n">
        <x:v>20863</x:v>
      </x:c>
      <x:c r="G185" s="22" t="n">
        <x:v>18362</x:v>
      </x:c>
      <x:c r="H185" s="22" t="n">
        <x:v>20620</x:v>
      </x:c>
      <x:c r="I185" s="22" t="n">
        <x:v>18400</x:v>
      </x:c>
      <x:c r="J185" s="22" t="n">
        <x:v>20658</x:v>
      </x:c>
      <x:c r="K185" s="22" t="n">
        <x:v>2362300</x:v>
      </x:c>
      <x:c r="L185" s="22" t="n">
        <x:v>380700</x:v>
      </x:c>
      <x:c r="M185" s="22" t="n">
        <x:v>539</x:v>
      </x:c>
      <x:c r="N185" s="22" t="n">
        <x:v>971</x:v>
      </x:c>
      <x:c r="O185" s="22" t="n">
        <x:v>440</x:v>
      </x:c>
      <x:c r="P185" s="22" t="n">
        <x:v>801</x:v>
      </x:c>
      <x:c r="Q185" s="22" t="n">
        <x:v>769</x:v>
      </x:c>
      <x:c r="R185" s="22" t="n">
        <x:v>732</x:v>
      </x:c>
      <x:c r="S185" s="22" t="n">
        <x:v>732</x:v>
      </x:c>
      <x:c r="T185" s="22" t="n">
        <x:v>0.37000000000000016</x:v>
      </x:c>
      <x:c r="U185" s="22" t="n">
        <x:v>19</x:v>
      </x:c>
      <x:c r="V185" s="22" t="n">
        <x:v>276</x:v>
      </x:c>
      <x:c r="W185" s="22" t="n">
        <x:v>132</x:v>
      </x:c>
      <x:c r="X185" s="22" t="n">
        <x:v>22</x:v>
      </x:c>
      <x:c r="Y185" s="22" t="n">
        <x:v>326</x:v>
      </x:c>
      <x:c r="Z185" s="22" t="n">
        <x:v>1</x:v>
      </x:c>
      <x:c r="AA185" s="22" t="n">
        <x:v>259</x:v>
      </x:c>
      <x:c r="AB185" s="22" t="n">
        <x:v>0</x:v>
      </x:c>
      <x:c r="AC185" s="22" t="n">
        <x:v>0</x:v>
      </x:c>
      <x:c r="AD185" s="22" t="n">
        <x:v>40</x:v>
      </x:c>
      <x:c r="AE185" s="22" t="n">
        <x:v>8</x:v>
      </x:c>
      <x:c r="AF185" s="22" t="n">
        <x:v>91</x:v>
      </x:c>
      <x:c r="AG185" s="22" t="n">
        <x:v>7</x:v>
      </x:c>
      <x:c r="AH185" s="22" t="n">
        <x:v>8</x:v>
      </x:c>
      <x:c r="AI185" s="22" t="n">
        <x:v>29.5</x:v>
      </x:c>
      <x:c r="AJ185" s="22" t="n">
        <x:v>4</x:v>
      </x:c>
      <x:c r="AK185" s="22" t="n">
        <x:v>3</x:v>
      </x:c>
      <x:c r="AL185" s="22" t="n">
        <x:v>482</x:v>
      </x:c>
      <x:c r="AM185" s="22" t="n">
        <x:v>40</x:v>
      </x:c>
      <x:c r="AN185" s="22" t="n">
        <x:v>6</x:v>
      </x:c>
      <x:c r="AO185" s="22" t="n">
        <x:v>7</x:v>
      </x:c>
      <x:c r="AP185" s="22" t="n">
        <x:v>2640</x:v>
      </x:c>
      <x:c r="AQ185" s="22" t="n">
        <x:v>18</x:v>
      </x:c>
      <x:c r="AR185" s="22" t="n">
        <x:v>0</x:v>
      </x:c>
      <x:c r="AS185" s="22" t="n">
        <x:v>10</x:v>
      </x:c>
      <x:c r="AT185" s="22" t="n">
        <x:v>10</x:v>
      </x:c>
      <x:c r="AU185" s="22" t="n">
        <x:v>0</x:v>
      </x:c>
      <x:c r="AV185" s="22" t="n">
        <x:v>0</x:v>
      </x:c>
      <x:c r="AW185" s="22" t="n">
        <x:v>0</x:v>
      </x:c>
    </x:row>
    <x:row r="186" ht="24" customHeight="1">
      <x:c r="A186" s="22" t="str">
        <x:v>P0182</x:v>
      </x:c>
      <x:c r="B186" s="22" t="n">
        <x:v>5</x:v>
      </x:c>
      <x:c r="C186" s="22" t="n">
        <x:v>6</x:v>
      </x:c>
      <x:c r="D186" s="22" t="str">
        <x:v>卡利亚禁域阶段积累后</x:v>
      </x:c>
      <x:c r="E186" s="22" t="n">
        <x:v>19085</x:v>
      </x:c>
      <x:c r="F186" s="22" t="n">
        <x:v>21857</x:v>
      </x:c>
      <x:c r="G186" s="22" t="n">
        <x:v>18863</x:v>
      </x:c>
      <x:c r="H186" s="22" t="n">
        <x:v>21614</x:v>
      </x:c>
      <x:c r="I186" s="22" t="n">
        <x:v>18901</x:v>
      </x:c>
      <x:c r="J186" s="22" t="n">
        <x:v>21652</x:v>
      </x:c>
      <x:c r="K186" s="22" t="n">
        <x:v>2388300</x:v>
      </x:c>
      <x:c r="L186" s="22" t="n">
        <x:v>380700</x:v>
      </x:c>
      <x:c r="M186" s="22" t="n">
        <x:v>540</x:v>
      </x:c>
      <x:c r="N186" s="22" t="n">
        <x:v>973</x:v>
      </x:c>
      <x:c r="O186" s="22" t="n">
        <x:v>441</x:v>
      </x:c>
      <x:c r="P186" s="22" t="n">
        <x:v>803</x:v>
      </x:c>
      <x:c r="Q186" s="22" t="n">
        <x:v>857</x:v>
      </x:c>
      <x:c r="R186" s="22" t="n">
        <x:v>820</x:v>
      </x:c>
      <x:c r="S186" s="22" t="n">
        <x:v>820</x:v>
      </x:c>
      <x:c r="T186" s="22" t="n">
        <x:v>0.37000000000000016</x:v>
      </x:c>
      <x:c r="U186" s="22" t="n">
        <x:v>19</x:v>
      </x:c>
      <x:c r="V186" s="22" t="n">
        <x:v>349</x:v>
      </x:c>
      <x:c r="W186" s="22" t="n">
        <x:v>159</x:v>
      </x:c>
      <x:c r="X186" s="22" t="n">
        <x:v>22</x:v>
      </x:c>
      <x:c r="Y186" s="22" t="n">
        <x:v>401</x:v>
      </x:c>
      <x:c r="Z186" s="22" t="n">
        <x:v>1</x:v>
      </x:c>
      <x:c r="AA186" s="22" t="n">
        <x:v>277</x:v>
      </x:c>
      <x:c r="AB186" s="22" t="n">
        <x:v>0</x:v>
      </x:c>
      <x:c r="AC186" s="22" t="n">
        <x:v>0</x:v>
      </x:c>
      <x:c r="AD186" s="22" t="n">
        <x:v>41</x:v>
      </x:c>
      <x:c r="AE186" s="22" t="n">
        <x:v>9</x:v>
      </x:c>
      <x:c r="AF186" s="22" t="n">
        <x:v>91</x:v>
      </x:c>
      <x:c r="AG186" s="22" t="n">
        <x:v>7</x:v>
      </x:c>
      <x:c r="AH186" s="22" t="n">
        <x:v>8</x:v>
      </x:c>
      <x:c r="AI186" s="22" t="n">
        <x:v>29.5</x:v>
      </x:c>
      <x:c r="AJ186" s="22" t="n">
        <x:v>4</x:v>
      </x:c>
      <x:c r="AK186" s="22" t="n">
        <x:v>3</x:v>
      </x:c>
      <x:c r="AL186" s="22" t="n">
        <x:v>482</x:v>
      </x:c>
      <x:c r="AM186" s="22" t="n">
        <x:v>40</x:v>
      </x:c>
      <x:c r="AN186" s="22" t="n">
        <x:v>6</x:v>
      </x:c>
      <x:c r="AO186" s="22" t="n">
        <x:v>7</x:v>
      </x:c>
      <x:c r="AP186" s="22" t="n">
        <x:v>2640</x:v>
      </x:c>
      <x:c r="AQ186" s="22" t="n">
        <x:v>18</x:v>
      </x:c>
      <x:c r="AR186" s="22" t="n">
        <x:v>0</x:v>
      </x:c>
      <x:c r="AS186" s="22" t="n">
        <x:v>10</x:v>
      </x:c>
      <x:c r="AT186" s="22" t="n">
        <x:v>10</x:v>
      </x:c>
      <x:c r="AU186" s="22" t="n">
        <x:v>0</x:v>
      </x:c>
      <x:c r="AV186" s="22" t="n">
        <x:v>0</x:v>
      </x:c>
      <x:c r="AW186" s="22" t="n">
        <x:v>0</x:v>
      </x:c>
    </x:row>
    <x:row r="187" ht="24" customHeight="1">
      <x:c r="A187" s="22" t="str">
        <x:v>P0183</x:v>
      </x:c>
      <x:c r="B187" s="22" t="n">
        <x:v>5</x:v>
      </x:c>
      <x:c r="C187" s="22" t="n">
        <x:v>6</x:v>
      </x:c>
      <x:c r="D187" s="22" t="str">
        <x:v>C05守关前必做制作完成</x:v>
      </x:c>
      <x:c r="E187" s="22" t="n">
        <x:v>20196</x:v>
      </x:c>
      <x:c r="F187" s="22" t="n">
        <x:v>22968</x:v>
      </x:c>
      <x:c r="G187" s="22" t="n">
        <x:v>18863</x:v>
      </x:c>
      <x:c r="H187" s="22" t="n">
        <x:v>21614</x:v>
      </x:c>
      <x:c r="I187" s="22" t="n">
        <x:v>18901</x:v>
      </x:c>
      <x:c r="J187" s="22" t="n">
        <x:v>21652</x:v>
      </x:c>
      <x:c r="K187" s="22" t="n">
        <x:v>2388300</x:v>
      </x:c>
      <x:c r="L187" s="22" t="n">
        <x:v>380700</x:v>
      </x:c>
      <x:c r="M187" s="22" t="n">
        <x:v>540</x:v>
      </x:c>
      <x:c r="N187" s="22" t="n">
        <x:v>973</x:v>
      </x:c>
      <x:c r="O187" s="22" t="n">
        <x:v>441</x:v>
      </x:c>
      <x:c r="P187" s="22" t="n">
        <x:v>803</x:v>
      </x:c>
      <x:c r="Q187" s="22" t="n">
        <x:v>879</x:v>
      </x:c>
      <x:c r="R187" s="22" t="n">
        <x:v>820</x:v>
      </x:c>
      <x:c r="S187" s="22" t="n">
        <x:v>820</x:v>
      </x:c>
      <x:c r="T187" s="22" t="n">
        <x:v>0.37000000000000016</x:v>
      </x:c>
      <x:c r="U187" s="22" t="n">
        <x:v>19</x:v>
      </x:c>
      <x:c r="V187" s="22" t="n">
        <x:v>349</x:v>
      </x:c>
      <x:c r="W187" s="22" t="n">
        <x:v>159</x:v>
      </x:c>
      <x:c r="X187" s="22" t="n">
        <x:v>22</x:v>
      </x:c>
      <x:c r="Y187" s="22" t="n">
        <x:v>401</x:v>
      </x:c>
      <x:c r="Z187" s="22" t="n">
        <x:v>1</x:v>
      </x:c>
      <x:c r="AA187" s="22" t="n">
        <x:v>277</x:v>
      </x:c>
      <x:c r="AB187" s="22" t="n">
        <x:v>0</x:v>
      </x:c>
      <x:c r="AC187" s="22" t="n">
        <x:v>0</x:v>
      </x:c>
      <x:c r="AD187" s="22" t="n">
        <x:v>41</x:v>
      </x:c>
      <x:c r="AE187" s="22" t="n">
        <x:v>9</x:v>
      </x:c>
      <x:c r="AF187" s="22" t="n">
        <x:v>91</x:v>
      </x:c>
      <x:c r="AG187" s="22" t="n">
        <x:v>7</x:v>
      </x:c>
      <x:c r="AH187" s="22" t="n">
        <x:v>8</x:v>
      </x:c>
      <x:c r="AI187" s="22" t="n">
        <x:v>29.5</x:v>
      </x:c>
      <x:c r="AJ187" s="22" t="n">
        <x:v>4</x:v>
      </x:c>
      <x:c r="AK187" s="22" t="n">
        <x:v>3</x:v>
      </x:c>
      <x:c r="AL187" s="22" t="n">
        <x:v>482</x:v>
      </x:c>
      <x:c r="AM187" s="22" t="n">
        <x:v>40</x:v>
      </x:c>
      <x:c r="AN187" s="22" t="n">
        <x:v>6</x:v>
      </x:c>
      <x:c r="AO187" s="22" t="n">
        <x:v>7</x:v>
      </x:c>
      <x:c r="AP187" s="22" t="n">
        <x:v>2640</x:v>
      </x:c>
      <x:c r="AQ187" s="22" t="n">
        <x:v>18</x:v>
      </x:c>
      <x:c r="AR187" s="22" t="n">
        <x:v>0</x:v>
      </x:c>
      <x:c r="AS187" s="22" t="n">
        <x:v>10</x:v>
      </x:c>
      <x:c r="AT187" s="22" t="n">
        <x:v>10</x:v>
      </x:c>
      <x:c r="AU187" s="22" t="n">
        <x:v>0</x:v>
      </x:c>
      <x:c r="AV187" s="22" t="n">
        <x:v>0</x:v>
      </x:c>
      <x:c r="AW187" s="22" t="n">
        <x:v>0</x:v>
      </x:c>
    </x:row>
    <x:row r="188" ht="24" customHeight="1">
      <x:c r="A188" s="22" t="str">
        <x:v>P0184</x:v>
      </x:c>
      <x:c r="B188" s="22" t="n">
        <x:v>5</x:v>
      </x:c>
      <x:c r="C188" s="22" t="n">
        <x:v>6</x:v>
      </x:c>
      <x:c r="D188" s="22" t="str">
        <x:v>C05约70%守关参考</x:v>
      </x:c>
      <x:c r="E188" s="22" t="n">
        <x:v>20684</x:v>
      </x:c>
      <x:c r="F188" s="22" t="n">
        <x:v>23456</x:v>
      </x:c>
      <x:c r="G188" s="22" t="n">
        <x:v>19351</x:v>
      </x:c>
      <x:c r="H188" s="22" t="n">
        <x:v>22102</x:v>
      </x:c>
      <x:c r="I188" s="22" t="n">
        <x:v>19389</x:v>
      </x:c>
      <x:c r="J188" s="22" t="n">
        <x:v>22140</x:v>
      </x:c>
      <x:c r="K188" s="22" t="n">
        <x:v>2437100</x:v>
      </x:c>
      <x:c r="L188" s="22" t="n">
        <x:v>380700</x:v>
      </x:c>
      <x:c r="M188" s="22" t="n">
        <x:v>540</x:v>
      </x:c>
      <x:c r="N188" s="22" t="n">
        <x:v>973</x:v>
      </x:c>
      <x:c r="O188" s="22" t="n">
        <x:v>441</x:v>
      </x:c>
      <x:c r="P188" s="22" t="n">
        <x:v>803</x:v>
      </x:c>
      <x:c r="Q188" s="22" t="n">
        <x:v>879</x:v>
      </x:c>
      <x:c r="R188" s="22" t="n">
        <x:v>820</x:v>
      </x:c>
      <x:c r="S188" s="22" t="n">
        <x:v>820</x:v>
      </x:c>
      <x:c r="T188" s="22" t="n">
        <x:v>0.4600000000000002</x:v>
      </x:c>
      <x:c r="U188" s="22" t="n">
        <x:v>19</x:v>
      </x:c>
      <x:c r="V188" s="22" t="n">
        <x:v>349</x:v>
      </x:c>
      <x:c r="W188" s="22" t="n">
        <x:v>159</x:v>
      </x:c>
      <x:c r="X188" s="22" t="n">
        <x:v>22</x:v>
      </x:c>
      <x:c r="Y188" s="22" t="n">
        <x:v>401</x:v>
      </x:c>
      <x:c r="Z188" s="22" t="n">
        <x:v>1</x:v>
      </x:c>
      <x:c r="AA188" s="22" t="n">
        <x:v>277</x:v>
      </x:c>
      <x:c r="AB188" s="22" t="n">
        <x:v>0</x:v>
      </x:c>
      <x:c r="AC188" s="22" t="n">
        <x:v>0</x:v>
      </x:c>
      <x:c r="AD188" s="22" t="n">
        <x:v>41</x:v>
      </x:c>
      <x:c r="AE188" s="22" t="n">
        <x:v>9</x:v>
      </x:c>
      <x:c r="AF188" s="22" t="n">
        <x:v>91</x:v>
      </x:c>
      <x:c r="AG188" s="22" t="n">
        <x:v>7</x:v>
      </x:c>
      <x:c r="AH188" s="22" t="n">
        <x:v>8</x:v>
      </x:c>
      <x:c r="AI188" s="22" t="n">
        <x:v>31</x:v>
      </x:c>
      <x:c r="AJ188" s="22" t="n">
        <x:v>4</x:v>
      </x:c>
      <x:c r="AK188" s="22" t="n">
        <x:v>3</x:v>
      </x:c>
      <x:c r="AL188" s="22" t="n">
        <x:v>587</x:v>
      </x:c>
      <x:c r="AM188" s="22" t="n">
        <x:v>40</x:v>
      </x:c>
      <x:c r="AN188" s="22" t="n">
        <x:v>6</x:v>
      </x:c>
      <x:c r="AO188" s="22" t="n">
        <x:v>7</x:v>
      </x:c>
      <x:c r="AP188" s="22" t="n">
        <x:v>2640</x:v>
      </x:c>
      <x:c r="AQ188" s="22" t="n">
        <x:v>18</x:v>
      </x:c>
      <x:c r="AR188" s="22" t="n">
        <x:v>0</x:v>
      </x:c>
      <x:c r="AS188" s="22" t="n">
        <x:v>10</x:v>
      </x:c>
      <x:c r="AT188" s="22" t="n">
        <x:v>10</x:v>
      </x:c>
      <x:c r="AU188" s="22" t="n">
        <x:v>0</x:v>
      </x:c>
      <x:c r="AV188" s="22" t="n">
        <x:v>0</x:v>
      </x:c>
      <x:c r="AW188" s="22" t="n">
        <x:v>0</x:v>
      </x:c>
    </x:row>
    <x:row r="189" ht="24" customHeight="1">
      <x:c r="A189" s="22" t="str">
        <x:v>P0185</x:v>
      </x:c>
      <x:c r="B189" s="22" t="n">
        <x:v>5</x:v>
      </x:c>
      <x:c r="C189" s="22" t="n">
        <x:v>6</x:v>
      </x:c>
      <x:c r="D189" s="22" t="str">
        <x:v>C05高完成度参考</x:v>
      </x:c>
      <x:c r="E189" s="22" t="n">
        <x:v>21491</x:v>
      </x:c>
      <x:c r="F189" s="22" t="n">
        <x:v>24597</x:v>
      </x:c>
      <x:c r="G189" s="22" t="n">
        <x:v>20158</x:v>
      </x:c>
      <x:c r="H189" s="22" t="n">
        <x:v>23243</x:v>
      </x:c>
      <x:c r="I189" s="22" t="n">
        <x:v>20196</x:v>
      </x:c>
      <x:c r="J189" s="22" t="n">
        <x:v>23281</x:v>
      </x:c>
      <x:c r="K189" s="22" t="n">
        <x:v>2635000</x:v>
      </x:c>
      <x:c r="L189" s="22" t="n">
        <x:v>380700</x:v>
      </x:c>
      <x:c r="M189" s="22" t="n">
        <x:v>658</x:v>
      </x:c>
      <x:c r="N189" s="22" t="n">
        <x:v>1190</x:v>
      </x:c>
      <x:c r="O189" s="22" t="n">
        <x:v>538</x:v>
      </x:c>
      <x:c r="P189" s="22" t="n">
        <x:v>982</x:v>
      </x:c>
      <x:c r="Q189" s="22" t="n">
        <x:v>977</x:v>
      </x:c>
      <x:c r="R189" s="22" t="n">
        <x:v>918</x:v>
      </x:c>
      <x:c r="S189" s="22" t="n">
        <x:v>918</x:v>
      </x:c>
      <x:c r="T189" s="22" t="n">
        <x:v>0.5200000000000002</x:v>
      </x:c>
      <x:c r="U189" s="22" t="n">
        <x:v>19</x:v>
      </x:c>
      <x:c r="V189" s="22" t="n">
        <x:v>394</x:v>
      </x:c>
      <x:c r="W189" s="22" t="n">
        <x:v>178</x:v>
      </x:c>
      <x:c r="X189" s="22" t="n">
        <x:v>22</x:v>
      </x:c>
      <x:c r="Y189" s="22" t="n">
        <x:v>396</x:v>
      </x:c>
      <x:c r="Z189" s="22" t="n">
        <x:v>1</x:v>
      </x:c>
      <x:c r="AA189" s="22" t="n">
        <x:v>343</x:v>
      </x:c>
      <x:c r="AB189" s="22" t="n">
        <x:v>0</x:v>
      </x:c>
      <x:c r="AC189" s="22" t="n">
        <x:v>0</x:v>
      </x:c>
      <x:c r="AD189" s="22" t="n">
        <x:v>41</x:v>
      </x:c>
      <x:c r="AE189" s="22" t="n">
        <x:v>9</x:v>
      </x:c>
      <x:c r="AF189" s="22" t="n">
        <x:v>91</x:v>
      </x:c>
      <x:c r="AG189" s="22" t="n">
        <x:v>7</x:v>
      </x:c>
      <x:c r="AH189" s="22" t="n">
        <x:v>8</x:v>
      </x:c>
      <x:c r="AI189" s="22" t="n">
        <x:v>32</x:v>
      </x:c>
      <x:c r="AJ189" s="22" t="n">
        <x:v>4</x:v>
      </x:c>
      <x:c r="AK189" s="22" t="n">
        <x:v>3</x:v>
      </x:c>
      <x:c r="AL189" s="22" t="n">
        <x:v>650</x:v>
      </x:c>
      <x:c r="AM189" s="22" t="n">
        <x:v>43</x:v>
      </x:c>
      <x:c r="AN189" s="22" t="n">
        <x:v>6</x:v>
      </x:c>
      <x:c r="AO189" s="22" t="n">
        <x:v>7</x:v>
      </x:c>
      <x:c r="AP189" s="22" t="n">
        <x:v>2640</x:v>
      </x:c>
      <x:c r="AQ189" s="22" t="n">
        <x:v>18</x:v>
      </x:c>
      <x:c r="AR189" s="22" t="n">
        <x:v>0</x:v>
      </x:c>
      <x:c r="AS189" s="22" t="n">
        <x:v>10</x:v>
      </x:c>
      <x:c r="AT189" s="22" t="n">
        <x:v>10</x:v>
      </x:c>
      <x:c r="AU189" s="22" t="n">
        <x:v>0</x:v>
      </x:c>
      <x:c r="AV189" s="22" t="n">
        <x:v>0</x:v>
      </x:c>
      <x:c r="AW189" s="22" t="n">
        <x:v>0</x:v>
      </x:c>
    </x:row>
    <x:row r="190" ht="24" customHeight="1">
      <x:c r="A190" s="22" t="str">
        <x:v>P0186</x:v>
      </x:c>
      <x:c r="B190" s="22" t="n">
        <x:v>5</x:v>
      </x:c>
      <x:c r="C190" s="22" t="n">
        <x:v>6</x:v>
      </x:c>
      <x:c r="D190" s="22" t="str">
        <x:v>C05守关后继承</x:v>
      </x:c>
      <x:c r="E190" s="22" t="n">
        <x:v>20684</x:v>
      </x:c>
      <x:c r="F190" s="22" t="n">
        <x:v>23456</x:v>
      </x:c>
      <x:c r="G190" s="22" t="n">
        <x:v>19351</x:v>
      </x:c>
      <x:c r="H190" s="22" t="n">
        <x:v>22102</x:v>
      </x:c>
      <x:c r="I190" s="22" t="n">
        <x:v>19389</x:v>
      </x:c>
      <x:c r="J190" s="22" t="n">
        <x:v>22140</x:v>
      </x:c>
      <x:c r="K190" s="22" t="n">
        <x:v>2437100</x:v>
      </x:c>
      <x:c r="L190" s="22" t="n">
        <x:v>380700</x:v>
      </x:c>
      <x:c r="M190" s="22" t="n">
        <x:v>540</x:v>
      </x:c>
      <x:c r="N190" s="22" t="n">
        <x:v>973</x:v>
      </x:c>
      <x:c r="O190" s="22" t="n">
        <x:v>441</x:v>
      </x:c>
      <x:c r="P190" s="22" t="n">
        <x:v>803</x:v>
      </x:c>
      <x:c r="Q190" s="22" t="n">
        <x:v>879</x:v>
      </x:c>
      <x:c r="R190" s="22" t="n">
        <x:v>820</x:v>
      </x:c>
      <x:c r="S190" s="22" t="n">
        <x:v>820</x:v>
      </x:c>
      <x:c r="T190" s="22" t="n">
        <x:v>0.4600000000000002</x:v>
      </x:c>
      <x:c r="U190" s="22" t="n">
        <x:v>19</x:v>
      </x:c>
      <x:c r="V190" s="22" t="n">
        <x:v>349</x:v>
      </x:c>
      <x:c r="W190" s="22" t="n">
        <x:v>159</x:v>
      </x:c>
      <x:c r="X190" s="22" t="n">
        <x:v>25</x:v>
      </x:c>
      <x:c r="Y190" s="22" t="n">
        <x:v>401</x:v>
      </x:c>
      <x:c r="Z190" s="22" t="n">
        <x:v>3</x:v>
      </x:c>
      <x:c r="AA190" s="22" t="n">
        <x:v>285</x:v>
      </x:c>
      <x:c r="AB190" s="22" t="n">
        <x:v>0</x:v>
      </x:c>
      <x:c r="AC190" s="22" t="n">
        <x:v>0</x:v>
      </x:c>
      <x:c r="AD190" s="22" t="n">
        <x:v>41</x:v>
      </x:c>
      <x:c r="AE190" s="22" t="n">
        <x:v>9</x:v>
      </x:c>
      <x:c r="AF190" s="22" t="n">
        <x:v>91</x:v>
      </x:c>
      <x:c r="AG190" s="22" t="n">
        <x:v>7</x:v>
      </x:c>
      <x:c r="AH190" s="22" t="n">
        <x:v>8</x:v>
      </x:c>
      <x:c r="AI190" s="22" t="n">
        <x:v>31</x:v>
      </x:c>
      <x:c r="AJ190" s="22" t="n">
        <x:v>4</x:v>
      </x:c>
      <x:c r="AK190" s="22" t="n">
        <x:v>3</x:v>
      </x:c>
      <x:c r="AL190" s="22" t="n">
        <x:v>587</x:v>
      </x:c>
      <x:c r="AM190" s="22" t="n">
        <x:v>40</x:v>
      </x:c>
      <x:c r="AN190" s="22" t="n">
        <x:v>6</x:v>
      </x:c>
      <x:c r="AO190" s="22" t="n">
        <x:v>7</x:v>
      </x:c>
      <x:c r="AP190" s="22" t="n">
        <x:v>2640</x:v>
      </x:c>
      <x:c r="AQ190" s="22" t="n">
        <x:v>18</x:v>
      </x:c>
      <x:c r="AR190" s="22" t="n">
        <x:v>0</x:v>
      </x:c>
      <x:c r="AS190" s="22" t="n">
        <x:v>10</x:v>
      </x:c>
      <x:c r="AT190" s="22" t="n">
        <x:v>10</x:v>
      </x:c>
      <x:c r="AU190" s="22" t="n">
        <x:v>0</x:v>
      </x:c>
      <x:c r="AV190" s="22" t="n">
        <x:v>0</x:v>
      </x:c>
      <x:c r="AW190" s="22" t="n">
        <x:v>0</x:v>
      </x:c>
    </x:row>
    <x:row r="191" ht="24" customHeight="1">
      <x:c r="A191" s="22" t="str">
        <x:v>P0187</x:v>
      </x:c>
      <x:c r="B191" s="22" t="n">
        <x:v>6</x:v>
      </x:c>
      <x:c r="C191" s="22" t="n">
        <x:v>1</x:v>
      </x:c>
      <x:c r="D191" s="22" t="str">
        <x:v>C06入场继承</x:v>
      </x:c>
      <x:c r="E191" s="22" t="n">
        <x:v>20684</x:v>
      </x:c>
      <x:c r="F191" s="22" t="n">
        <x:v>23456</x:v>
      </x:c>
      <x:c r="G191" s="22" t="n">
        <x:v>19351</x:v>
      </x:c>
      <x:c r="H191" s="22" t="n">
        <x:v>22102</x:v>
      </x:c>
      <x:c r="I191" s="22" t="n">
        <x:v>19389</x:v>
      </x:c>
      <x:c r="J191" s="22" t="n">
        <x:v>22140</x:v>
      </x:c>
      <x:c r="K191" s="22" t="n">
        <x:v>2437100</x:v>
      </x:c>
      <x:c r="L191" s="22" t="n">
        <x:v>380700</x:v>
      </x:c>
      <x:c r="M191" s="22" t="n">
        <x:v>540</x:v>
      </x:c>
      <x:c r="N191" s="22" t="n">
        <x:v>973</x:v>
      </x:c>
      <x:c r="O191" s="22" t="n">
        <x:v>441</x:v>
      </x:c>
      <x:c r="P191" s="22" t="n">
        <x:v>803</x:v>
      </x:c>
      <x:c r="Q191" s="22" t="n">
        <x:v>879</x:v>
      </x:c>
      <x:c r="R191" s="22" t="n">
        <x:v>820</x:v>
      </x:c>
      <x:c r="S191" s="22" t="n">
        <x:v>820</x:v>
      </x:c>
      <x:c r="T191" s="22" t="n">
        <x:v>0.4600000000000002</x:v>
      </x:c>
      <x:c r="U191" s="22" t="n">
        <x:v>19</x:v>
      </x:c>
      <x:c r="V191" s="22" t="n">
        <x:v>349</x:v>
      </x:c>
      <x:c r="W191" s="22" t="n">
        <x:v>159</x:v>
      </x:c>
      <x:c r="X191" s="22" t="n">
        <x:v>25</x:v>
      </x:c>
      <x:c r="Y191" s="22" t="n">
        <x:v>401</x:v>
      </x:c>
      <x:c r="Z191" s="22" t="n">
        <x:v>3</x:v>
      </x:c>
      <x:c r="AA191" s="22" t="n">
        <x:v>285</x:v>
      </x:c>
      <x:c r="AB191" s="22" t="n">
        <x:v>0</x:v>
      </x:c>
      <x:c r="AC191" s="22" t="n">
        <x:v>0</x:v>
      </x:c>
      <x:c r="AD191" s="22" t="n">
        <x:v>41</x:v>
      </x:c>
      <x:c r="AE191" s="22" t="n">
        <x:v>9</x:v>
      </x:c>
      <x:c r="AF191" s="22" t="n">
        <x:v>91</x:v>
      </x:c>
      <x:c r="AG191" s="22" t="n">
        <x:v>7</x:v>
      </x:c>
      <x:c r="AH191" s="22" t="n">
        <x:v>8</x:v>
      </x:c>
      <x:c r="AI191" s="22" t="n">
        <x:v>31</x:v>
      </x:c>
      <x:c r="AJ191" s="22" t="n">
        <x:v>4</x:v>
      </x:c>
      <x:c r="AK191" s="22" t="n">
        <x:v>3</x:v>
      </x:c>
      <x:c r="AL191" s="22" t="n">
        <x:v>587</x:v>
      </x:c>
      <x:c r="AM191" s="22" t="n">
        <x:v>40</x:v>
      </x:c>
      <x:c r="AN191" s="22" t="n">
        <x:v>6</x:v>
      </x:c>
      <x:c r="AO191" s="22" t="n">
        <x:v>7</x:v>
      </x:c>
      <x:c r="AP191" s="22" t="n">
        <x:v>2640</x:v>
      </x:c>
      <x:c r="AQ191" s="22" t="n">
        <x:v>18</x:v>
      </x:c>
      <x:c r="AR191" s="22" t="n">
        <x:v>0</x:v>
      </x:c>
      <x:c r="AS191" s="22" t="n">
        <x:v>10</x:v>
      </x:c>
      <x:c r="AT191" s="22" t="n">
        <x:v>10</x:v>
      </x:c>
      <x:c r="AU191" s="22" t="n">
        <x:v>0</x:v>
      </x:c>
      <x:c r="AV191" s="22" t="n">
        <x:v>0</x:v>
      </x:c>
      <x:c r="AW191" s="22" t="n">
        <x:v>0</x:v>
      </x:c>
    </x:row>
    <x:row r="192" ht="24" customHeight="1">
      <x:c r="A192" s="22" t="str">
        <x:v>P0188</x:v>
      </x:c>
      <x:c r="B192" s="22" t="n">
        <x:v>6</x:v>
      </x:c>
      <x:c r="C192" s="22" t="n">
        <x:v>1</x:v>
      </x:c>
      <x:c r="D192" s="22" t="str">
        <x:v>C06本阶段既有付费/长期成长</x:v>
      </x:c>
      <x:c r="E192" s="22" t="n">
        <x:v>21161</x:v>
      </x:c>
      <x:c r="F192" s="22" t="n">
        <x:v>23933</x:v>
      </x:c>
      <x:c r="G192" s="22" t="n">
        <x:v>19768</x:v>
      </x:c>
      <x:c r="H192" s="22" t="n">
        <x:v>22519</x:v>
      </x:c>
      <x:c r="I192" s="22" t="n">
        <x:v>19806</x:v>
      </x:c>
      <x:c r="J192" s="22" t="n">
        <x:v>22557</x:v>
      </x:c>
      <x:c r="K192" s="22" t="n">
        <x:v>2478800</x:v>
      </x:c>
      <x:c r="L192" s="22" t="n">
        <x:v>380700</x:v>
      </x:c>
      <x:c r="M192" s="22" t="n">
        <x:v>540</x:v>
      </x:c>
      <x:c r="N192" s="22" t="n">
        <x:v>973</x:v>
      </x:c>
      <x:c r="O192" s="22" t="n">
        <x:v>441</x:v>
      </x:c>
      <x:c r="P192" s="22" t="n">
        <x:v>803</x:v>
      </x:c>
      <x:c r="Q192" s="22" t="n">
        <x:v>904</x:v>
      </x:c>
      <x:c r="R192" s="22" t="n">
        <x:v>820</x:v>
      </x:c>
      <x:c r="S192" s="22" t="n">
        <x:v>820</x:v>
      </x:c>
      <x:c r="T192" s="22" t="n">
        <x:v>0.4600000000000002</x:v>
      </x:c>
      <x:c r="U192" s="22" t="n">
        <x:v>19</x:v>
      </x:c>
      <x:c r="V192" s="22" t="n">
        <x:v>349</x:v>
      </x:c>
      <x:c r="W192" s="22" t="n">
        <x:v>159</x:v>
      </x:c>
      <x:c r="X192" s="22" t="n">
        <x:v>25</x:v>
      </x:c>
      <x:c r="Y192" s="22" t="n">
        <x:v>401</x:v>
      </x:c>
      <x:c r="Z192" s="22" t="n">
        <x:v>3</x:v>
      </x:c>
      <x:c r="AA192" s="22" t="n">
        <x:v>285</x:v>
      </x:c>
      <x:c r="AB192" s="22" t="n">
        <x:v>0</x:v>
      </x:c>
      <x:c r="AC192" s="22" t="n">
        <x:v>0</x:v>
      </x:c>
      <x:c r="AD192" s="22" t="n">
        <x:v>42</x:v>
      </x:c>
      <x:c r="AE192" s="22" t="n">
        <x:v>9</x:v>
      </x:c>
      <x:c r="AF192" s="22" t="n">
        <x:v>91</x:v>
      </x:c>
      <x:c r="AG192" s="22" t="n">
        <x:v>7</x:v>
      </x:c>
      <x:c r="AH192" s="22" t="n">
        <x:v>8</x:v>
      </x:c>
      <x:c r="AI192" s="22" t="n">
        <x:v>31</x:v>
      </x:c>
      <x:c r="AJ192" s="22" t="n">
        <x:v>4</x:v>
      </x:c>
      <x:c r="AK192" s="22" t="n">
        <x:v>5</x:v>
      </x:c>
      <x:c r="AL192" s="22" t="n">
        <x:v>587</x:v>
      </x:c>
      <x:c r="AM192" s="22" t="n">
        <x:v>40</x:v>
      </x:c>
      <x:c r="AN192" s="22" t="n">
        <x:v>6</x:v>
      </x:c>
      <x:c r="AO192" s="22" t="n">
        <x:v>7</x:v>
      </x:c>
      <x:c r="AP192" s="22" t="n">
        <x:v>2640</x:v>
      </x:c>
      <x:c r="AQ192" s="22" t="n">
        <x:v>18</x:v>
      </x:c>
      <x:c r="AR192" s="22" t="n">
        <x:v>0</x:v>
      </x:c>
      <x:c r="AS192" s="22" t="n">
        <x:v>10</x:v>
      </x:c>
      <x:c r="AT192" s="22" t="n">
        <x:v>10</x:v>
      </x:c>
      <x:c r="AU192" s="22" t="n">
        <x:v>0</x:v>
      </x:c>
      <x:c r="AV192" s="22" t="n">
        <x:v>0</x:v>
      </x:c>
      <x:c r="AW192" s="22" t="n">
        <x:v>0</x:v>
      </x:c>
    </x:row>
    <x:row r="193" ht="24" customHeight="1">
      <x:c r="A193" s="22" t="str">
        <x:v>P0189</x:v>
      </x:c>
      <x:c r="B193" s="22" t="n">
        <x:v>6</x:v>
      </x:c>
      <x:c r="C193" s="22" t="n">
        <x:v>1</x:v>
      </x:c>
      <x:c r="D193" s="22" t="str">
        <x:v>C06G01入场</x:v>
      </x:c>
      <x:c r="E193" s="22" t="n">
        <x:v>21161</x:v>
      </x:c>
      <x:c r="F193" s="22" t="n">
        <x:v>23933</x:v>
      </x:c>
      <x:c r="G193" s="22" t="n">
        <x:v>19768</x:v>
      </x:c>
      <x:c r="H193" s="22" t="n">
        <x:v>22519</x:v>
      </x:c>
      <x:c r="I193" s="22" t="n">
        <x:v>19806</x:v>
      </x:c>
      <x:c r="J193" s="22" t="n">
        <x:v>22557</x:v>
      </x:c>
      <x:c r="K193" s="22" t="n">
        <x:v>2478800</x:v>
      </x:c>
      <x:c r="L193" s="22" t="n">
        <x:v>380700</x:v>
      </x:c>
      <x:c r="M193" s="22" t="n">
        <x:v>540</x:v>
      </x:c>
      <x:c r="N193" s="22" t="n">
        <x:v>973</x:v>
      </x:c>
      <x:c r="O193" s="22" t="n">
        <x:v>441</x:v>
      </x:c>
      <x:c r="P193" s="22" t="n">
        <x:v>803</x:v>
      </x:c>
      <x:c r="Q193" s="22" t="n">
        <x:v>904</x:v>
      </x:c>
      <x:c r="R193" s="22" t="n">
        <x:v>820</x:v>
      </x:c>
      <x:c r="S193" s="22" t="n">
        <x:v>820</x:v>
      </x:c>
      <x:c r="T193" s="22" t="n">
        <x:v>0.4600000000000002</x:v>
      </x:c>
      <x:c r="U193" s="22" t="n">
        <x:v>19</x:v>
      </x:c>
      <x:c r="V193" s="22" t="n">
        <x:v>349</x:v>
      </x:c>
      <x:c r="W193" s="22" t="n">
        <x:v>159</x:v>
      </x:c>
      <x:c r="X193" s="22" t="n">
        <x:v>25</x:v>
      </x:c>
      <x:c r="Y193" s="22" t="n">
        <x:v>401</x:v>
      </x:c>
      <x:c r="Z193" s="22" t="n">
        <x:v>3</x:v>
      </x:c>
      <x:c r="AA193" s="22" t="n">
        <x:v>285</x:v>
      </x:c>
      <x:c r="AB193" s="22" t="n">
        <x:v>0</x:v>
      </x:c>
      <x:c r="AC193" s="22" t="n">
        <x:v>0</x:v>
      </x:c>
      <x:c r="AD193" s="22" t="n">
        <x:v>42</x:v>
      </x:c>
      <x:c r="AE193" s="22" t="n">
        <x:v>9</x:v>
      </x:c>
      <x:c r="AF193" s="22" t="n">
        <x:v>91</x:v>
      </x:c>
      <x:c r="AG193" s="22" t="n">
        <x:v>7</x:v>
      </x:c>
      <x:c r="AH193" s="22" t="n">
        <x:v>8</x:v>
      </x:c>
      <x:c r="AI193" s="22" t="n">
        <x:v>31</x:v>
      </x:c>
      <x:c r="AJ193" s="22" t="n">
        <x:v>4</x:v>
      </x:c>
      <x:c r="AK193" s="22" t="n">
        <x:v>5</x:v>
      </x:c>
      <x:c r="AL193" s="22" t="n">
        <x:v>587</x:v>
      </x:c>
      <x:c r="AM193" s="22" t="n">
        <x:v>40</x:v>
      </x:c>
      <x:c r="AN193" s="22" t="n">
        <x:v>6</x:v>
      </x:c>
      <x:c r="AO193" s="22" t="n">
        <x:v>7</x:v>
      </x:c>
      <x:c r="AP193" s="22" t="n">
        <x:v>2640</x:v>
      </x:c>
      <x:c r="AQ193" s="22" t="n">
        <x:v>18</x:v>
      </x:c>
      <x:c r="AR193" s="22" t="n">
        <x:v>0</x:v>
      </x:c>
      <x:c r="AS193" s="22" t="n">
        <x:v>10</x:v>
      </x:c>
      <x:c r="AT193" s="22" t="n">
        <x:v>10</x:v>
      </x:c>
      <x:c r="AU193" s="22" t="n">
        <x:v>0</x:v>
      </x:c>
      <x:c r="AV193" s="22" t="n">
        <x:v>0</x:v>
      </x:c>
      <x:c r="AW193" s="22" t="n">
        <x:v>0</x:v>
      </x:c>
    </x:row>
    <x:row r="194" ht="24" customHeight="1">
      <x:c r="A194" s="22" t="str">
        <x:v>P0190</x:v>
      </x:c>
      <x:c r="B194" s="22" t="n">
        <x:v>6</x:v>
      </x:c>
      <x:c r="C194" s="22" t="n">
        <x:v>1</x:v>
      </x:c>
      <x:c r="D194" s="22" t="str">
        <x:v>C06G01普通专属4/6</x:v>
      </x:c>
      <x:c r="E194" s="22" t="n">
        <x:v>21161</x:v>
      </x:c>
      <x:c r="F194" s="22" t="n">
        <x:v>23933</x:v>
      </x:c>
      <x:c r="G194" s="22" t="n">
        <x:v>19768</x:v>
      </x:c>
      <x:c r="H194" s="22" t="n">
        <x:v>22519</x:v>
      </x:c>
      <x:c r="I194" s="22" t="n">
        <x:v>19806</x:v>
      </x:c>
      <x:c r="J194" s="22" t="n">
        <x:v>22557</x:v>
      </x:c>
      <x:c r="K194" s="22" t="n">
        <x:v>2478800</x:v>
      </x:c>
      <x:c r="L194" s="22" t="n">
        <x:v>380700</x:v>
      </x:c>
      <x:c r="M194" s="22" t="n">
        <x:v>540</x:v>
      </x:c>
      <x:c r="N194" s="22" t="n">
        <x:v>973</x:v>
      </x:c>
      <x:c r="O194" s="22" t="n">
        <x:v>441</x:v>
      </x:c>
      <x:c r="P194" s="22" t="n">
        <x:v>803</x:v>
      </x:c>
      <x:c r="Q194" s="22" t="n">
        <x:v>904</x:v>
      </x:c>
      <x:c r="R194" s="22" t="n">
        <x:v>820</x:v>
      </x:c>
      <x:c r="S194" s="22" t="n">
        <x:v>820</x:v>
      </x:c>
      <x:c r="T194" s="22" t="n">
        <x:v>0.4600000000000002</x:v>
      </x:c>
      <x:c r="U194" s="22" t="n">
        <x:v>19</x:v>
      </x:c>
      <x:c r="V194" s="22" t="n">
        <x:v>349</x:v>
      </x:c>
      <x:c r="W194" s="22" t="n">
        <x:v>159</x:v>
      </x:c>
      <x:c r="X194" s="22" t="n">
        <x:v>25</x:v>
      </x:c>
      <x:c r="Y194" s="22" t="n">
        <x:v>401</x:v>
      </x:c>
      <x:c r="Z194" s="22" t="n">
        <x:v>3</x:v>
      </x:c>
      <x:c r="AA194" s="22" t="n">
        <x:v>285</x:v>
      </x:c>
      <x:c r="AB194" s="22" t="n">
        <x:v>0</x:v>
      </x:c>
      <x:c r="AC194" s="22" t="n">
        <x:v>0</x:v>
      </x:c>
      <x:c r="AD194" s="22" t="n">
        <x:v>42</x:v>
      </x:c>
      <x:c r="AE194" s="22" t="n">
        <x:v>9</x:v>
      </x:c>
      <x:c r="AF194" s="22" t="n">
        <x:v>91</x:v>
      </x:c>
      <x:c r="AG194" s="22" t="n">
        <x:v>7</x:v>
      </x:c>
      <x:c r="AH194" s="22" t="n">
        <x:v>8</x:v>
      </x:c>
      <x:c r="AI194" s="22" t="n">
        <x:v>31</x:v>
      </x:c>
      <x:c r="AJ194" s="22" t="n">
        <x:v>4</x:v>
      </x:c>
      <x:c r="AK194" s="22" t="n">
        <x:v>5</x:v>
      </x:c>
      <x:c r="AL194" s="22" t="n">
        <x:v>587</x:v>
      </x:c>
      <x:c r="AM194" s="22" t="n">
        <x:v>40</x:v>
      </x:c>
      <x:c r="AN194" s="22" t="n">
        <x:v>6</x:v>
      </x:c>
      <x:c r="AO194" s="22" t="n">
        <x:v>7</x:v>
      </x:c>
      <x:c r="AP194" s="22" t="n">
        <x:v>2640</x:v>
      </x:c>
      <x:c r="AQ194" s="22" t="n">
        <x:v>18</x:v>
      </x:c>
      <x:c r="AR194" s="22" t="n">
        <x:v>0</x:v>
      </x:c>
      <x:c r="AS194" s="22" t="n">
        <x:v>10</x:v>
      </x:c>
      <x:c r="AT194" s="22" t="n">
        <x:v>10</x:v>
      </x:c>
      <x:c r="AU194" s="22" t="n">
        <x:v>0</x:v>
      </x:c>
      <x:c r="AV194" s="22" t="n">
        <x:v>0</x:v>
      </x:c>
      <x:c r="AW194" s="22" t="n">
        <x:v>0</x:v>
      </x:c>
    </x:row>
    <x:row r="195" ht="24" customHeight="1">
      <x:c r="A195" s="22" t="str">
        <x:v>P0191</x:v>
      </x:c>
      <x:c r="B195" s="22" t="n">
        <x:v>6</x:v>
      </x:c>
      <x:c r="C195" s="22" t="n">
        <x:v>1</x:v>
      </x:c>
      <x:c r="D195" s="22" t="str">
        <x:v>火蚀巨像·巴洛挑战前</x:v>
      </x:c>
      <x:c r="E195" s="22" t="n">
        <x:v>21876</x:v>
      </x:c>
      <x:c r="F195" s="22" t="n">
        <x:v>24648</x:v>
      </x:c>
      <x:c r="G195" s="22" t="n">
        <x:v>20483</x:v>
      </x:c>
      <x:c r="H195" s="22" t="n">
        <x:v>23234</x:v>
      </x:c>
      <x:c r="I195" s="22" t="n">
        <x:v>20521</x:v>
      </x:c>
      <x:c r="J195" s="22" t="n">
        <x:v>23272</x:v>
      </x:c>
      <x:c r="K195" s="22" t="n">
        <x:v>2550300</x:v>
      </x:c>
      <x:c r="L195" s="22" t="n">
        <x:v>380700</x:v>
      </x:c>
      <x:c r="M195" s="22" t="n">
        <x:v>540</x:v>
      </x:c>
      <x:c r="N195" s="22" t="n">
        <x:v>973</x:v>
      </x:c>
      <x:c r="O195" s="22" t="n">
        <x:v>441</x:v>
      </x:c>
      <x:c r="P195" s="22" t="n">
        <x:v>803</x:v>
      </x:c>
      <x:c r="Q195" s="22" t="n">
        <x:v>904</x:v>
      </x:c>
      <x:c r="R195" s="22" t="n">
        <x:v>820</x:v>
      </x:c>
      <x:c r="S195" s="22" t="n">
        <x:v>820</x:v>
      </x:c>
      <x:c r="T195" s="22" t="n">
        <x:v>0.4600000000000002</x:v>
      </x:c>
      <x:c r="U195" s="22" t="n">
        <x:v>19</x:v>
      </x:c>
      <x:c r="V195" s="22" t="n">
        <x:v>349</x:v>
      </x:c>
      <x:c r="W195" s="22" t="n">
        <x:v>159</x:v>
      </x:c>
      <x:c r="X195" s="22" t="n">
        <x:v>25</x:v>
      </x:c>
      <x:c r="Y195" s="22" t="n">
        <x:v>401</x:v>
      </x:c>
      <x:c r="Z195" s="22" t="n">
        <x:v>3</x:v>
      </x:c>
      <x:c r="AA195" s="22" t="n">
        <x:v>285</x:v>
      </x:c>
      <x:c r="AB195" s="22" t="n">
        <x:v>0</x:v>
      </x:c>
      <x:c r="AC195" s="22" t="n">
        <x:v>0</x:v>
      </x:c>
      <x:c r="AD195" s="22" t="n">
        <x:v>42</x:v>
      </x:c>
      <x:c r="AE195" s="22" t="n">
        <x:v>9</x:v>
      </x:c>
      <x:c r="AF195" s="22" t="n">
        <x:v>91</x:v>
      </x:c>
      <x:c r="AG195" s="22" t="n">
        <x:v>7</x:v>
      </x:c>
      <x:c r="AH195" s="22" t="n">
        <x:v>8</x:v>
      </x:c>
      <x:c r="AI195" s="22" t="n">
        <x:v>31</x:v>
      </x:c>
      <x:c r="AJ195" s="22" t="n">
        <x:v>4</x:v>
      </x:c>
      <x:c r="AK195" s="22" t="n">
        <x:v>5</x:v>
      </x:c>
      <x:c r="AL195" s="22" t="n">
        <x:v>587</x:v>
      </x:c>
      <x:c r="AM195" s="22" t="n">
        <x:v>40</x:v>
      </x:c>
      <x:c r="AN195" s="22" t="n">
        <x:v>6</x:v>
      </x:c>
      <x:c r="AO195" s="22" t="n">
        <x:v>7</x:v>
      </x:c>
      <x:c r="AP195" s="22" t="n">
        <x:v>2640</x:v>
      </x:c>
      <x:c r="AQ195" s="22" t="n">
        <x:v>18</x:v>
      </x:c>
      <x:c r="AR195" s="22" t="n">
        <x:v>0</x:v>
      </x:c>
      <x:c r="AS195" s="22" t="n">
        <x:v>10</x:v>
      </x:c>
      <x:c r="AT195" s="22" t="n">
        <x:v>10</x:v>
      </x:c>
      <x:c r="AU195" s="22" t="n">
        <x:v>0</x:v>
      </x:c>
      <x:c r="AV195" s="22" t="n">
        <x:v>0</x:v>
      </x:c>
      <x:c r="AW195" s="22" t="n">
        <x:v>0</x:v>
      </x:c>
    </x:row>
    <x:row r="196" ht="24" customHeight="1">
      <x:c r="A196" s="22" t="str">
        <x:v>P0192</x:v>
      </x:c>
      <x:c r="B196" s="22" t="n">
        <x:v>6</x:v>
      </x:c>
      <x:c r="C196" s="22" t="n">
        <x:v>1</x:v>
      </x:c>
      <x:c r="D196" s="22" t="str">
        <x:v>猩红熔母·瑟芮挑战前</x:v>
      </x:c>
      <x:c r="E196" s="22" t="n">
        <x:v>21876</x:v>
      </x:c>
      <x:c r="F196" s="22" t="n">
        <x:v>24648</x:v>
      </x:c>
      <x:c r="G196" s="22" t="n">
        <x:v>20483</x:v>
      </x:c>
      <x:c r="H196" s="22" t="n">
        <x:v>23234</x:v>
      </x:c>
      <x:c r="I196" s="22" t="n">
        <x:v>20521</x:v>
      </x:c>
      <x:c r="J196" s="22" t="n">
        <x:v>23272</x:v>
      </x:c>
      <x:c r="K196" s="22" t="n">
        <x:v>2550300</x:v>
      </x:c>
      <x:c r="L196" s="22" t="n">
        <x:v>380700</x:v>
      </x:c>
      <x:c r="M196" s="22" t="n">
        <x:v>540</x:v>
      </x:c>
      <x:c r="N196" s="22" t="n">
        <x:v>973</x:v>
      </x:c>
      <x:c r="O196" s="22" t="n">
        <x:v>441</x:v>
      </x:c>
      <x:c r="P196" s="22" t="n">
        <x:v>803</x:v>
      </x:c>
      <x:c r="Q196" s="22" t="n">
        <x:v>904</x:v>
      </x:c>
      <x:c r="R196" s="22" t="n">
        <x:v>820</x:v>
      </x:c>
      <x:c r="S196" s="22" t="n">
        <x:v>820</x:v>
      </x:c>
      <x:c r="T196" s="22" t="n">
        <x:v>0.4600000000000002</x:v>
      </x:c>
      <x:c r="U196" s="22" t="n">
        <x:v>19</x:v>
      </x:c>
      <x:c r="V196" s="22" t="n">
        <x:v>349</x:v>
      </x:c>
      <x:c r="W196" s="22" t="n">
        <x:v>159</x:v>
      </x:c>
      <x:c r="X196" s="22" t="n">
        <x:v>25</x:v>
      </x:c>
      <x:c r="Y196" s="22" t="n">
        <x:v>401</x:v>
      </x:c>
      <x:c r="Z196" s="22" t="n">
        <x:v>3</x:v>
      </x:c>
      <x:c r="AA196" s="22" t="n">
        <x:v>285</x:v>
      </x:c>
      <x:c r="AB196" s="22" t="n">
        <x:v>0</x:v>
      </x:c>
      <x:c r="AC196" s="22" t="n">
        <x:v>0</x:v>
      </x:c>
      <x:c r="AD196" s="22" t="n">
        <x:v>42</x:v>
      </x:c>
      <x:c r="AE196" s="22" t="n">
        <x:v>9</x:v>
      </x:c>
      <x:c r="AF196" s="22" t="n">
        <x:v>91</x:v>
      </x:c>
      <x:c r="AG196" s="22" t="n">
        <x:v>7</x:v>
      </x:c>
      <x:c r="AH196" s="22" t="n">
        <x:v>8</x:v>
      </x:c>
      <x:c r="AI196" s="22" t="n">
        <x:v>31</x:v>
      </x:c>
      <x:c r="AJ196" s="22" t="n">
        <x:v>4</x:v>
      </x:c>
      <x:c r="AK196" s="22" t="n">
        <x:v>5</x:v>
      </x:c>
      <x:c r="AL196" s="22" t="n">
        <x:v>587</x:v>
      </x:c>
      <x:c r="AM196" s="22" t="n">
        <x:v>40</x:v>
      </x:c>
      <x:c r="AN196" s="22" t="n">
        <x:v>6</x:v>
      </x:c>
      <x:c r="AO196" s="22" t="n">
        <x:v>7</x:v>
      </x:c>
      <x:c r="AP196" s="22" t="n">
        <x:v>2640</x:v>
      </x:c>
      <x:c r="AQ196" s="22" t="n">
        <x:v>18</x:v>
      </x:c>
      <x:c r="AR196" s="22" t="n">
        <x:v>0</x:v>
      </x:c>
      <x:c r="AS196" s="22" t="n">
        <x:v>10</x:v>
      </x:c>
      <x:c r="AT196" s="22" t="n">
        <x:v>10</x:v>
      </x:c>
      <x:c r="AU196" s="22" t="n">
        <x:v>0</x:v>
      </x:c>
      <x:c r="AV196" s="22" t="n">
        <x:v>0</x:v>
      </x:c>
      <x:c r="AW196" s="22" t="n">
        <x:v>0</x:v>
      </x:c>
    </x:row>
    <x:row r="197" ht="24" customHeight="1">
      <x:c r="A197" s="22" t="str">
        <x:v>P0193</x:v>
      </x:c>
      <x:c r="B197" s="22" t="n">
        <x:v>6</x:v>
      </x:c>
      <x:c r="C197" s="22" t="n">
        <x:v>1</x:v>
      </x:c>
      <x:c r="D197" s="22" t="str">
        <x:v>猩红熔原BOSS装备快线</x:v>
      </x:c>
      <x:c r="E197" s="22" t="n">
        <x:v>21957</x:v>
      </x:c>
      <x:c r="F197" s="22" t="n">
        <x:v>24803</x:v>
      </x:c>
      <x:c r="G197" s="22" t="n">
        <x:v>20564</x:v>
      </x:c>
      <x:c r="H197" s="22" t="n">
        <x:v>23389</x:v>
      </x:c>
      <x:c r="I197" s="22" t="n">
        <x:v>20602</x:v>
      </x:c>
      <x:c r="J197" s="22" t="n">
        <x:v>23427</x:v>
      </x:c>
      <x:c r="K197" s="22" t="n">
        <x:v>2611300</x:v>
      </x:c>
      <x:c r="L197" s="22" t="n">
        <x:v>380700</x:v>
      </x:c>
      <x:c r="M197" s="22" t="n">
        <x:v>579</x:v>
      </x:c>
      <x:c r="N197" s="22" t="n">
        <x:v>1043</x:v>
      </x:c>
      <x:c r="O197" s="22" t="n">
        <x:v>473</x:v>
      </x:c>
      <x:c r="P197" s="22" t="n">
        <x:v>861</x:v>
      </x:c>
      <x:c r="Q197" s="22" t="n">
        <x:v>920</x:v>
      </x:c>
      <x:c r="R197" s="22" t="n">
        <x:v>836</x:v>
      </x:c>
      <x:c r="S197" s="22" t="n">
        <x:v>836</x:v>
      </x:c>
      <x:c r="T197" s="22" t="n">
        <x:v>0.4600000000000002</x:v>
      </x:c>
      <x:c r="U197" s="22" t="n">
        <x:v>19</x:v>
      </x:c>
      <x:c r="V197" s="22" t="n">
        <x:v>349</x:v>
      </x:c>
      <x:c r="W197" s="22" t="n">
        <x:v>159</x:v>
      </x:c>
      <x:c r="X197" s="22" t="n">
        <x:v>25</x:v>
      </x:c>
      <x:c r="Y197" s="22" t="n">
        <x:v>401</x:v>
      </x:c>
      <x:c r="Z197" s="22" t="n">
        <x:v>3</x:v>
      </x:c>
      <x:c r="AA197" s="22" t="n">
        <x:v>285</x:v>
      </x:c>
      <x:c r="AB197" s="22" t="n">
        <x:v>0</x:v>
      </x:c>
      <x:c r="AC197" s="22" t="n">
        <x:v>0</x:v>
      </x:c>
      <x:c r="AD197" s="22" t="n">
        <x:v>42</x:v>
      </x:c>
      <x:c r="AE197" s="22" t="n">
        <x:v>9</x:v>
      </x:c>
      <x:c r="AF197" s="22" t="n">
        <x:v>91</x:v>
      </x:c>
      <x:c r="AG197" s="22" t="n">
        <x:v>7</x:v>
      </x:c>
      <x:c r="AH197" s="22" t="n">
        <x:v>8</x:v>
      </x:c>
      <x:c r="AI197" s="22" t="n">
        <x:v>31</x:v>
      </x:c>
      <x:c r="AJ197" s="22" t="n">
        <x:v>4</x:v>
      </x:c>
      <x:c r="AK197" s="22" t="n">
        <x:v>5</x:v>
      </x:c>
      <x:c r="AL197" s="22" t="n">
        <x:v>587</x:v>
      </x:c>
      <x:c r="AM197" s="22" t="n">
        <x:v>41</x:v>
      </x:c>
      <x:c r="AN197" s="22" t="n">
        <x:v>6</x:v>
      </x:c>
      <x:c r="AO197" s="22" t="n">
        <x:v>7</x:v>
      </x:c>
      <x:c r="AP197" s="22" t="n">
        <x:v>2640</x:v>
      </x:c>
      <x:c r="AQ197" s="22" t="n">
        <x:v>18</x:v>
      </x:c>
      <x:c r="AR197" s="22" t="n">
        <x:v>0</x:v>
      </x:c>
      <x:c r="AS197" s="22" t="n">
        <x:v>10</x:v>
      </x:c>
      <x:c r="AT197" s="22" t="n">
        <x:v>10</x:v>
      </x:c>
      <x:c r="AU197" s="22" t="n">
        <x:v>0</x:v>
      </x:c>
      <x:c r="AV197" s="22" t="n">
        <x:v>0</x:v>
      </x:c>
      <x:c r="AW197" s="22" t="n">
        <x:v>0</x:v>
      </x:c>
    </x:row>
    <x:row r="198" ht="24" customHeight="1">
      <x:c r="A198" s="22" t="str">
        <x:v>P0194</x:v>
      </x:c>
      <x:c r="B198" s="22" t="n">
        <x:v>6</x:v>
      </x:c>
      <x:c r="C198" s="22" t="n">
        <x:v>1</x:v>
      </x:c>
      <x:c r="D198" s="22" t="str">
        <x:v>猩红熔原阶段积累后</x:v>
      </x:c>
      <x:c r="E198" s="22" t="n">
        <x:v>21888</x:v>
      </x:c>
      <x:c r="F198" s="22" t="n">
        <x:v>24660</x:v>
      </x:c>
      <x:c r="G198" s="22" t="n">
        <x:v>20495</x:v>
      </x:c>
      <x:c r="H198" s="22" t="n">
        <x:v>23246</x:v>
      </x:c>
      <x:c r="I198" s="22" t="n">
        <x:v>20533</x:v>
      </x:c>
      <x:c r="J198" s="22" t="n">
        <x:v>23284</x:v>
      </x:c>
      <x:c r="K198" s="22" t="n">
        <x:v>2551500</x:v>
      </x:c>
      <x:c r="L198" s="22" t="n">
        <x:v>380700</x:v>
      </x:c>
      <x:c r="M198" s="22" t="n">
        <x:v>540</x:v>
      </x:c>
      <x:c r="N198" s="22" t="n">
        <x:v>973</x:v>
      </x:c>
      <x:c r="O198" s="22" t="n">
        <x:v>441</x:v>
      </x:c>
      <x:c r="P198" s="22" t="n">
        <x:v>803</x:v>
      </x:c>
      <x:c r="Q198" s="22" t="n">
        <x:v>904</x:v>
      </x:c>
      <x:c r="R198" s="22" t="n">
        <x:v>820</x:v>
      </x:c>
      <x:c r="S198" s="22" t="n">
        <x:v>820</x:v>
      </x:c>
      <x:c r="T198" s="22" t="n">
        <x:v>0.7100000000000002</x:v>
      </x:c>
      <x:c r="U198" s="22" t="n">
        <x:v>19</x:v>
      </x:c>
      <x:c r="V198" s="22" t="n">
        <x:v>349</x:v>
      </x:c>
      <x:c r="W198" s="22" t="n">
        <x:v>159</x:v>
      </x:c>
      <x:c r="X198" s="22" t="n">
        <x:v>25</x:v>
      </x:c>
      <x:c r="Y198" s="22" t="n">
        <x:v>401</x:v>
      </x:c>
      <x:c r="Z198" s="22" t="n">
        <x:v>3</x:v>
      </x:c>
      <x:c r="AA198" s="22" t="n">
        <x:v>285</x:v>
      </x:c>
      <x:c r="AB198" s="22" t="n">
        <x:v>0</x:v>
      </x:c>
      <x:c r="AC198" s="22" t="n">
        <x:v>0</x:v>
      </x:c>
      <x:c r="AD198" s="22" t="n">
        <x:v>42</x:v>
      </x:c>
      <x:c r="AE198" s="22" t="n">
        <x:v>9</x:v>
      </x:c>
      <x:c r="AF198" s="22" t="n">
        <x:v>91</x:v>
      </x:c>
      <x:c r="AG198" s="22" t="n">
        <x:v>7</x:v>
      </x:c>
      <x:c r="AH198" s="22" t="n">
        <x:v>8</x:v>
      </x:c>
      <x:c r="AI198" s="22" t="n">
        <x:v>31</x:v>
      </x:c>
      <x:c r="AJ198" s="22" t="n">
        <x:v>4</x:v>
      </x:c>
      <x:c r="AK198" s="22" t="n">
        <x:v>5</x:v>
      </x:c>
      <x:c r="AL198" s="22" t="n">
        <x:v>587</x:v>
      </x:c>
      <x:c r="AM198" s="22" t="n">
        <x:v>40</x:v>
      </x:c>
      <x:c r="AN198" s="22" t="n">
        <x:v>6</x:v>
      </x:c>
      <x:c r="AO198" s="22" t="n">
        <x:v>7</x:v>
      </x:c>
      <x:c r="AP198" s="22" t="n">
        <x:v>2640</x:v>
      </x:c>
      <x:c r="AQ198" s="22" t="n">
        <x:v>18</x:v>
      </x:c>
      <x:c r="AR198" s="22" t="n">
        <x:v>0</x:v>
      </x:c>
      <x:c r="AS198" s="22" t="n">
        <x:v>10</x:v>
      </x:c>
      <x:c r="AT198" s="22" t="n">
        <x:v>10</x:v>
      </x:c>
      <x:c r="AU198" s="22" t="n">
        <x:v>0</x:v>
      </x:c>
      <x:c r="AV198" s="22" t="n">
        <x:v>0</x:v>
      </x:c>
      <x:c r="AW198" s="22" t="n">
        <x:v>0</x:v>
      </x:c>
    </x:row>
    <x:row r="199" ht="24" customHeight="1">
      <x:c r="A199" s="22" t="str">
        <x:v>P0195</x:v>
      </x:c>
      <x:c r="B199" s="22" t="n">
        <x:v>6</x:v>
      </x:c>
      <x:c r="C199" s="22" t="n">
        <x:v>2</x:v>
      </x:c>
      <x:c r="D199" s="22" t="str">
        <x:v>C06G02入场</x:v>
      </x:c>
      <x:c r="E199" s="22" t="n">
        <x:v>21888</x:v>
      </x:c>
      <x:c r="F199" s="22" t="n">
        <x:v>24660</x:v>
      </x:c>
      <x:c r="G199" s="22" t="n">
        <x:v>20495</x:v>
      </x:c>
      <x:c r="H199" s="22" t="n">
        <x:v>23246</x:v>
      </x:c>
      <x:c r="I199" s="22" t="n">
        <x:v>20533</x:v>
      </x:c>
      <x:c r="J199" s="22" t="n">
        <x:v>23284</x:v>
      </x:c>
      <x:c r="K199" s="22" t="n">
        <x:v>2551500</x:v>
      </x:c>
      <x:c r="L199" s="22" t="n">
        <x:v>380700</x:v>
      </x:c>
      <x:c r="M199" s="22" t="n">
        <x:v>540</x:v>
      </x:c>
      <x:c r="N199" s="22" t="n">
        <x:v>973</x:v>
      </x:c>
      <x:c r="O199" s="22" t="n">
        <x:v>441</x:v>
      </x:c>
      <x:c r="P199" s="22" t="n">
        <x:v>803</x:v>
      </x:c>
      <x:c r="Q199" s="22" t="n">
        <x:v>904</x:v>
      </x:c>
      <x:c r="R199" s="22" t="n">
        <x:v>820</x:v>
      </x:c>
      <x:c r="S199" s="22" t="n">
        <x:v>820</x:v>
      </x:c>
      <x:c r="T199" s="22" t="n">
        <x:v>0.7100000000000002</x:v>
      </x:c>
      <x:c r="U199" s="22" t="n">
        <x:v>19</x:v>
      </x:c>
      <x:c r="V199" s="22" t="n">
        <x:v>349</x:v>
      </x:c>
      <x:c r="W199" s="22" t="n">
        <x:v>159</x:v>
      </x:c>
      <x:c r="X199" s="22" t="n">
        <x:v>25</x:v>
      </x:c>
      <x:c r="Y199" s="22" t="n">
        <x:v>401</x:v>
      </x:c>
      <x:c r="Z199" s="22" t="n">
        <x:v>3</x:v>
      </x:c>
      <x:c r="AA199" s="22" t="n">
        <x:v>285</x:v>
      </x:c>
      <x:c r="AB199" s="22" t="n">
        <x:v>0</x:v>
      </x:c>
      <x:c r="AC199" s="22" t="n">
        <x:v>0</x:v>
      </x:c>
      <x:c r="AD199" s="22" t="n">
        <x:v>42</x:v>
      </x:c>
      <x:c r="AE199" s="22" t="n">
        <x:v>9</x:v>
      </x:c>
      <x:c r="AF199" s="22" t="n">
        <x:v>91</x:v>
      </x:c>
      <x:c r="AG199" s="22" t="n">
        <x:v>7</x:v>
      </x:c>
      <x:c r="AH199" s="22" t="n">
        <x:v>8</x:v>
      </x:c>
      <x:c r="AI199" s="22" t="n">
        <x:v>31</x:v>
      </x:c>
      <x:c r="AJ199" s="22" t="n">
        <x:v>4</x:v>
      </x:c>
      <x:c r="AK199" s="22" t="n">
        <x:v>5</x:v>
      </x:c>
      <x:c r="AL199" s="22" t="n">
        <x:v>587</x:v>
      </x:c>
      <x:c r="AM199" s="22" t="n">
        <x:v>40</x:v>
      </x:c>
      <x:c r="AN199" s="22" t="n">
        <x:v>6</x:v>
      </x:c>
      <x:c r="AO199" s="22" t="n">
        <x:v>7</x:v>
      </x:c>
      <x:c r="AP199" s="22" t="n">
        <x:v>2640</x:v>
      </x:c>
      <x:c r="AQ199" s="22" t="n">
        <x:v>18</x:v>
      </x:c>
      <x:c r="AR199" s="22" t="n">
        <x:v>0</x:v>
      </x:c>
      <x:c r="AS199" s="22" t="n">
        <x:v>10</x:v>
      </x:c>
      <x:c r="AT199" s="22" t="n">
        <x:v>10</x:v>
      </x:c>
      <x:c r="AU199" s="22" t="n">
        <x:v>0</x:v>
      </x:c>
      <x:c r="AV199" s="22" t="n">
        <x:v>0</x:v>
      </x:c>
      <x:c r="AW199" s="22" t="n">
        <x:v>0</x:v>
      </x:c>
    </x:row>
    <x:row r="200" ht="24" customHeight="1">
      <x:c r="A200" s="22" t="str">
        <x:v>P0196</x:v>
      </x:c>
      <x:c r="B200" s="22" t="n">
        <x:v>6</x:v>
      </x:c>
      <x:c r="C200" s="22" t="n">
        <x:v>2</x:v>
      </x:c>
      <x:c r="D200" s="22" t="str">
        <x:v>C06G02普通专属4/6</x:v>
      </x:c>
      <x:c r="E200" s="22" t="n">
        <x:v>21906</x:v>
      </x:c>
      <x:c r="F200" s="22" t="n">
        <x:v>24694</x:v>
      </x:c>
      <x:c r="G200" s="22" t="n">
        <x:v>20513</x:v>
      </x:c>
      <x:c r="H200" s="22" t="n">
        <x:v>23280</x:v>
      </x:c>
      <x:c r="I200" s="22" t="n">
        <x:v>20551</x:v>
      </x:c>
      <x:c r="J200" s="22" t="n">
        <x:v>23318</x:v>
      </x:c>
      <x:c r="K200" s="22" t="n">
        <x:v>2567000</x:v>
      </x:c>
      <x:c r="L200" s="22" t="n">
        <x:v>380700</x:v>
      </x:c>
      <x:c r="M200" s="22" t="n">
        <x:v>543</x:v>
      </x:c>
      <x:c r="N200" s="22" t="n">
        <x:v>979</x:v>
      </x:c>
      <x:c r="O200" s="22" t="n">
        <x:v>443</x:v>
      </x:c>
      <x:c r="P200" s="22" t="n">
        <x:v>808</x:v>
      </x:c>
      <x:c r="Q200" s="22" t="n">
        <x:v>906</x:v>
      </x:c>
      <x:c r="R200" s="22" t="n">
        <x:v>822</x:v>
      </x:c>
      <x:c r="S200" s="22" t="n">
        <x:v>822</x:v>
      </x:c>
      <x:c r="T200" s="22" t="n">
        <x:v>0.7100000000000002</x:v>
      </x:c>
      <x:c r="U200" s="22" t="n">
        <x:v>19</x:v>
      </x:c>
      <x:c r="V200" s="22" t="n">
        <x:v>349</x:v>
      </x:c>
      <x:c r="W200" s="22" t="n">
        <x:v>159</x:v>
      </x:c>
      <x:c r="X200" s="22" t="n">
        <x:v>25</x:v>
      </x:c>
      <x:c r="Y200" s="22" t="n">
        <x:v>401</x:v>
      </x:c>
      <x:c r="Z200" s="22" t="n">
        <x:v>3</x:v>
      </x:c>
      <x:c r="AA200" s="22" t="n">
        <x:v>285</x:v>
      </x:c>
      <x:c r="AB200" s="22" t="n">
        <x:v>0</x:v>
      </x:c>
      <x:c r="AC200" s="22" t="n">
        <x:v>0</x:v>
      </x:c>
      <x:c r="AD200" s="22" t="n">
        <x:v>42</x:v>
      </x:c>
      <x:c r="AE200" s="22" t="n">
        <x:v>9</x:v>
      </x:c>
      <x:c r="AF200" s="22" t="n">
        <x:v>91</x:v>
      </x:c>
      <x:c r="AG200" s="22" t="n">
        <x:v>7</x:v>
      </x:c>
      <x:c r="AH200" s="22" t="n">
        <x:v>8</x:v>
      </x:c>
      <x:c r="AI200" s="22" t="n">
        <x:v>31</x:v>
      </x:c>
      <x:c r="AJ200" s="22" t="n">
        <x:v>4</x:v>
      </x:c>
      <x:c r="AK200" s="22" t="n">
        <x:v>5</x:v>
      </x:c>
      <x:c r="AL200" s="22" t="n">
        <x:v>587</x:v>
      </x:c>
      <x:c r="AM200" s="22" t="n">
        <x:v>40</x:v>
      </x:c>
      <x:c r="AN200" s="22" t="n">
        <x:v>6</x:v>
      </x:c>
      <x:c r="AO200" s="22" t="n">
        <x:v>7</x:v>
      </x:c>
      <x:c r="AP200" s="22" t="n">
        <x:v>2640</x:v>
      </x:c>
      <x:c r="AQ200" s="22" t="n">
        <x:v>18</x:v>
      </x:c>
      <x:c r="AR200" s="22" t="n">
        <x:v>0</x:v>
      </x:c>
      <x:c r="AS200" s="22" t="n">
        <x:v>10</x:v>
      </x:c>
      <x:c r="AT200" s="22" t="n">
        <x:v>10</x:v>
      </x:c>
      <x:c r="AU200" s="22" t="n">
        <x:v>0</x:v>
      </x:c>
      <x:c r="AV200" s="22" t="n">
        <x:v>0</x:v>
      </x:c>
      <x:c r="AW200" s="22" t="n">
        <x:v>0</x:v>
      </x:c>
    </x:row>
    <x:row r="201" ht="24" customHeight="1">
      <x:c r="A201" s="22" t="str">
        <x:v>P0197</x:v>
      </x:c>
      <x:c r="B201" s="22" t="n">
        <x:v>6</x:v>
      </x:c>
      <x:c r="C201" s="22" t="n">
        <x:v>2</x:v>
      </x:c>
      <x:c r="D201" s="22" t="str">
        <x:v>腐败火侯·伊弗挑战前</x:v>
      </x:c>
      <x:c r="E201" s="22" t="n">
        <x:v>27613</x:v>
      </x:c>
      <x:c r="F201" s="22" t="n">
        <x:v>30404</x:v>
      </x:c>
      <x:c r="G201" s="22" t="n">
        <x:v>26218</x:v>
      </x:c>
      <x:c r="H201" s="22" t="n">
        <x:v>28985</x:v>
      </x:c>
      <x:c r="I201" s="22" t="n">
        <x:v>26256</x:v>
      </x:c>
      <x:c r="J201" s="22" t="n">
        <x:v>29023</x:v>
      </x:c>
      <x:c r="K201" s="22" t="n">
        <x:v>3137900</x:v>
      </x:c>
      <x:c r="L201" s="22" t="n">
        <x:v>800800</x:v>
      </x:c>
      <x:c r="M201" s="22" t="n">
        <x:v>543</x:v>
      </x:c>
      <x:c r="N201" s="22" t="n">
        <x:v>979</x:v>
      </x:c>
      <x:c r="O201" s="22" t="n">
        <x:v>443</x:v>
      </x:c>
      <x:c r="P201" s="22" t="n">
        <x:v>808</x:v>
      </x:c>
      <x:c r="Q201" s="22" t="n">
        <x:v>906</x:v>
      </x:c>
      <x:c r="R201" s="22" t="n">
        <x:v>822</x:v>
      </x:c>
      <x:c r="S201" s="22" t="n">
        <x:v>822</x:v>
      </x:c>
      <x:c r="T201" s="22" t="n">
        <x:v>0.7100000000000002</x:v>
      </x:c>
      <x:c r="U201" s="22" t="n">
        <x:v>19</x:v>
      </x:c>
      <x:c r="V201" s="22" t="n">
        <x:v>349</x:v>
      </x:c>
      <x:c r="W201" s="22" t="n">
        <x:v>159</x:v>
      </x:c>
      <x:c r="X201" s="22" t="n">
        <x:v>25</x:v>
      </x:c>
      <x:c r="Y201" s="22" t="n">
        <x:v>401</x:v>
      </x:c>
      <x:c r="Z201" s="22" t="n">
        <x:v>3</x:v>
      </x:c>
      <x:c r="AA201" s="22" t="n">
        <x:v>285</x:v>
      </x:c>
      <x:c r="AB201" s="22" t="n">
        <x:v>0</x:v>
      </x:c>
      <x:c r="AC201" s="22" t="n">
        <x:v>0</x:v>
      </x:c>
      <x:c r="AD201" s="22" t="n">
        <x:v>42</x:v>
      </x:c>
      <x:c r="AE201" s="22" t="n">
        <x:v>9</x:v>
      </x:c>
      <x:c r="AF201" s="22" t="n">
        <x:v>91</x:v>
      </x:c>
      <x:c r="AG201" s="22" t="n">
        <x:v>7</x:v>
      </x:c>
      <x:c r="AH201" s="22" t="n">
        <x:v>8</x:v>
      </x:c>
      <x:c r="AI201" s="22" t="n">
        <x:v>31</x:v>
      </x:c>
      <x:c r="AJ201" s="22" t="n">
        <x:v>4</x:v>
      </x:c>
      <x:c r="AK201" s="22" t="n">
        <x:v>5</x:v>
      </x:c>
      <x:c r="AL201" s="22" t="n">
        <x:v>587</x:v>
      </x:c>
      <x:c r="AM201" s="22" t="n">
        <x:v>40</x:v>
      </x:c>
      <x:c r="AN201" s="22" t="n">
        <x:v>6</x:v>
      </x:c>
      <x:c r="AO201" s="22" t="n">
        <x:v>7</x:v>
      </x:c>
      <x:c r="AP201" s="22" t="n">
        <x:v>3240</x:v>
      </x:c>
      <x:c r="AQ201" s="22" t="n">
        <x:v>18</x:v>
      </x:c>
      <x:c r="AR201" s="22" t="n">
        <x:v>0</x:v>
      </x:c>
      <x:c r="AS201" s="22" t="n">
        <x:v>10</x:v>
      </x:c>
      <x:c r="AT201" s="22" t="n">
        <x:v>10</x:v>
      </x:c>
      <x:c r="AU201" s="22" t="n">
        <x:v>0</x:v>
      </x:c>
      <x:c r="AV201" s="22" t="n">
        <x:v>0</x:v>
      </x:c>
      <x:c r="AW201" s="22" t="n">
        <x:v>0</x:v>
      </x:c>
    </x:row>
    <x:row r="202" ht="24" customHeight="1">
      <x:c r="A202" s="22" t="str">
        <x:v>P0198</x:v>
      </x:c>
      <x:c r="B202" s="22" t="n">
        <x:v>6</x:v>
      </x:c>
      <x:c r="C202" s="22" t="n">
        <x:v>2</x:v>
      </x:c>
      <x:c r="D202" s="22" t="str">
        <x:v>熔心狱主·塞维拉挑战前</x:v>
      </x:c>
      <x:c r="E202" s="22" t="n">
        <x:v>27613</x:v>
      </x:c>
      <x:c r="F202" s="22" t="n">
        <x:v>30404</x:v>
      </x:c>
      <x:c r="G202" s="22" t="n">
        <x:v>26218</x:v>
      </x:c>
      <x:c r="H202" s="22" t="n">
        <x:v>28985</x:v>
      </x:c>
      <x:c r="I202" s="22" t="n">
        <x:v>26256</x:v>
      </x:c>
      <x:c r="J202" s="22" t="n">
        <x:v>29023</x:v>
      </x:c>
      <x:c r="K202" s="22" t="n">
        <x:v>3137900</x:v>
      </x:c>
      <x:c r="L202" s="22" t="n">
        <x:v>800800</x:v>
      </x:c>
      <x:c r="M202" s="22" t="n">
        <x:v>543</x:v>
      </x:c>
      <x:c r="N202" s="22" t="n">
        <x:v>979</x:v>
      </x:c>
      <x:c r="O202" s="22" t="n">
        <x:v>443</x:v>
      </x:c>
      <x:c r="P202" s="22" t="n">
        <x:v>808</x:v>
      </x:c>
      <x:c r="Q202" s="22" t="n">
        <x:v>906</x:v>
      </x:c>
      <x:c r="R202" s="22" t="n">
        <x:v>822</x:v>
      </x:c>
      <x:c r="S202" s="22" t="n">
        <x:v>822</x:v>
      </x:c>
      <x:c r="T202" s="22" t="n">
        <x:v>0.7100000000000002</x:v>
      </x:c>
      <x:c r="U202" s="22" t="n">
        <x:v>19</x:v>
      </x:c>
      <x:c r="V202" s="22" t="n">
        <x:v>349</x:v>
      </x:c>
      <x:c r="W202" s="22" t="n">
        <x:v>159</x:v>
      </x:c>
      <x:c r="X202" s="22" t="n">
        <x:v>25</x:v>
      </x:c>
      <x:c r="Y202" s="22" t="n">
        <x:v>401</x:v>
      </x:c>
      <x:c r="Z202" s="22" t="n">
        <x:v>3</x:v>
      </x:c>
      <x:c r="AA202" s="22" t="n">
        <x:v>285</x:v>
      </x:c>
      <x:c r="AB202" s="22" t="n">
        <x:v>0</x:v>
      </x:c>
      <x:c r="AC202" s="22" t="n">
        <x:v>0</x:v>
      </x:c>
      <x:c r="AD202" s="22" t="n">
        <x:v>42</x:v>
      </x:c>
      <x:c r="AE202" s="22" t="n">
        <x:v>9</x:v>
      </x:c>
      <x:c r="AF202" s="22" t="n">
        <x:v>91</x:v>
      </x:c>
      <x:c r="AG202" s="22" t="n">
        <x:v>7</x:v>
      </x:c>
      <x:c r="AH202" s="22" t="n">
        <x:v>8</x:v>
      </x:c>
      <x:c r="AI202" s="22" t="n">
        <x:v>31</x:v>
      </x:c>
      <x:c r="AJ202" s="22" t="n">
        <x:v>4</x:v>
      </x:c>
      <x:c r="AK202" s="22" t="n">
        <x:v>5</x:v>
      </x:c>
      <x:c r="AL202" s="22" t="n">
        <x:v>587</x:v>
      </x:c>
      <x:c r="AM202" s="22" t="n">
        <x:v>40</x:v>
      </x:c>
      <x:c r="AN202" s="22" t="n">
        <x:v>6</x:v>
      </x:c>
      <x:c r="AO202" s="22" t="n">
        <x:v>7</x:v>
      </x:c>
      <x:c r="AP202" s="22" t="n">
        <x:v>3240</x:v>
      </x:c>
      <x:c r="AQ202" s="22" t="n">
        <x:v>18</x:v>
      </x:c>
      <x:c r="AR202" s="22" t="n">
        <x:v>0</x:v>
      </x:c>
      <x:c r="AS202" s="22" t="n">
        <x:v>10</x:v>
      </x:c>
      <x:c r="AT202" s="22" t="n">
        <x:v>10</x:v>
      </x:c>
      <x:c r="AU202" s="22" t="n">
        <x:v>0</x:v>
      </x:c>
      <x:c r="AV202" s="22" t="n">
        <x:v>0</x:v>
      </x:c>
      <x:c r="AW202" s="22" t="n">
        <x:v>0</x:v>
      </x:c>
    </x:row>
    <x:row r="203" ht="24" customHeight="1">
      <x:c r="A203" s="22" t="str">
        <x:v>P0199</x:v>
      </x:c>
      <x:c r="B203" s="22" t="n">
        <x:v>6</x:v>
      </x:c>
      <x:c r="C203" s="22" t="n">
        <x:v>2</x:v>
      </x:c>
      <x:c r="D203" s="22" t="str">
        <x:v>腐败火狱BOSS装备快线</x:v>
      </x:c>
      <x:c r="E203" s="22" t="n">
        <x:v>27713</x:v>
      </x:c>
      <x:c r="F203" s="22" t="n">
        <x:v>30604</x:v>
      </x:c>
      <x:c r="G203" s="22" t="n">
        <x:v>26318</x:v>
      </x:c>
      <x:c r="H203" s="22" t="n">
        <x:v>29185</x:v>
      </x:c>
      <x:c r="I203" s="22" t="n">
        <x:v>26356</x:v>
      </x:c>
      <x:c r="J203" s="22" t="n">
        <x:v>29223</x:v>
      </x:c>
      <x:c r="K203" s="22" t="n">
        <x:v>3176800</x:v>
      </x:c>
      <x:c r="L203" s="22" t="n">
        <x:v>800800</x:v>
      </x:c>
      <x:c r="M203" s="22" t="n">
        <x:v>543</x:v>
      </x:c>
      <x:c r="N203" s="22" t="n">
        <x:v>979</x:v>
      </x:c>
      <x:c r="O203" s="22" t="n">
        <x:v>443</x:v>
      </x:c>
      <x:c r="P203" s="22" t="n">
        <x:v>808</x:v>
      </x:c>
      <x:c r="Q203" s="22" t="n">
        <x:v>933</x:v>
      </x:c>
      <x:c r="R203" s="22" t="n">
        <x:v>849</x:v>
      </x:c>
      <x:c r="S203" s="22" t="n">
        <x:v>849</x:v>
      </x:c>
      <x:c r="T203" s="22" t="n">
        <x:v>0.7100000000000002</x:v>
      </x:c>
      <x:c r="U203" s="22" t="n">
        <x:v>19</x:v>
      </x:c>
      <x:c r="V203" s="22" t="n">
        <x:v>361</x:v>
      </x:c>
      <x:c r="W203" s="22" t="n">
        <x:v>166</x:v>
      </x:c>
      <x:c r="X203" s="22" t="n">
        <x:v>25</x:v>
      </x:c>
      <x:c r="Y203" s="22" t="n">
        <x:v>401</x:v>
      </x:c>
      <x:c r="Z203" s="22" t="n">
        <x:v>3</x:v>
      </x:c>
      <x:c r="AA203" s="22" t="n">
        <x:v>309</x:v>
      </x:c>
      <x:c r="AB203" s="22" t="n">
        <x:v>0</x:v>
      </x:c>
      <x:c r="AC203" s="22" t="n">
        <x:v>0</x:v>
      </x:c>
      <x:c r="AD203" s="22" t="n">
        <x:v>42</x:v>
      </x:c>
      <x:c r="AE203" s="22" t="n">
        <x:v>9</x:v>
      </x:c>
      <x:c r="AF203" s="22" t="n">
        <x:v>91</x:v>
      </x:c>
      <x:c r="AG203" s="22" t="n">
        <x:v>7</x:v>
      </x:c>
      <x:c r="AH203" s="22" t="n">
        <x:v>8</x:v>
      </x:c>
      <x:c r="AI203" s="22" t="n">
        <x:v>31</x:v>
      </x:c>
      <x:c r="AJ203" s="22" t="n">
        <x:v>4</x:v>
      </x:c>
      <x:c r="AK203" s="22" t="n">
        <x:v>5</x:v>
      </x:c>
      <x:c r="AL203" s="22" t="n">
        <x:v>587</x:v>
      </x:c>
      <x:c r="AM203" s="22" t="n">
        <x:v>40</x:v>
      </x:c>
      <x:c r="AN203" s="22" t="n">
        <x:v>6</x:v>
      </x:c>
      <x:c r="AO203" s="22" t="n">
        <x:v>7</x:v>
      </x:c>
      <x:c r="AP203" s="22" t="n">
        <x:v>3240</x:v>
      </x:c>
      <x:c r="AQ203" s="22" t="n">
        <x:v>18</x:v>
      </x:c>
      <x:c r="AR203" s="22" t="n">
        <x:v>0</x:v>
      </x:c>
      <x:c r="AS203" s="22" t="n">
        <x:v>10</x:v>
      </x:c>
      <x:c r="AT203" s="22" t="n">
        <x:v>10</x:v>
      </x:c>
      <x:c r="AU203" s="22" t="n">
        <x:v>0</x:v>
      </x:c>
      <x:c r="AV203" s="22" t="n">
        <x:v>0</x:v>
      </x:c>
      <x:c r="AW203" s="22" t="n">
        <x:v>0</x:v>
      </x:c>
    </x:row>
    <x:row r="204" ht="24" customHeight="1">
      <x:c r="A204" s="22" t="str">
        <x:v>P0200</x:v>
      </x:c>
      <x:c r="B204" s="22" t="n">
        <x:v>6</x:v>
      </x:c>
      <x:c r="C204" s="22" t="n">
        <x:v>2</x:v>
      </x:c>
      <x:c r="D204" s="22" t="str">
        <x:v>腐败火狱阶段积累后</x:v>
      </x:c>
      <x:c r="E204" s="22" t="n">
        <x:v>27661</x:v>
      </x:c>
      <x:c r="F204" s="22" t="n">
        <x:v>30452</x:v>
      </x:c>
      <x:c r="G204" s="22" t="n">
        <x:v>26266</x:v>
      </x:c>
      <x:c r="H204" s="22" t="n">
        <x:v>29033</x:v>
      </x:c>
      <x:c r="I204" s="22" t="n">
        <x:v>26304</x:v>
      </x:c>
      <x:c r="J204" s="22" t="n">
        <x:v>29071</x:v>
      </x:c>
      <x:c r="K204" s="22" t="n">
        <x:v>3142700</x:v>
      </x:c>
      <x:c r="L204" s="22" t="n">
        <x:v>800800</x:v>
      </x:c>
      <x:c r="M204" s="22" t="n">
        <x:v>543</x:v>
      </x:c>
      <x:c r="N204" s="22" t="n">
        <x:v>979</x:v>
      </x:c>
      <x:c r="O204" s="22" t="n">
        <x:v>443</x:v>
      </x:c>
      <x:c r="P204" s="22" t="n">
        <x:v>808</x:v>
      </x:c>
      <x:c r="Q204" s="22" t="n">
        <x:v>906</x:v>
      </x:c>
      <x:c r="R204" s="22" t="n">
        <x:v>822</x:v>
      </x:c>
      <x:c r="S204" s="22" t="n">
        <x:v>822</x:v>
      </x:c>
      <x:c r="T204" s="22" t="n">
        <x:v>0.7100000000000002</x:v>
      </x:c>
      <x:c r="U204" s="22" t="n">
        <x:v>19</x:v>
      </x:c>
      <x:c r="V204" s="22" t="n">
        <x:v>349</x:v>
      </x:c>
      <x:c r="W204" s="22" t="n">
        <x:v>159</x:v>
      </x:c>
      <x:c r="X204" s="22" t="n">
        <x:v>25</x:v>
      </x:c>
      <x:c r="Y204" s="22" t="n">
        <x:v>401</x:v>
      </x:c>
      <x:c r="Z204" s="22" t="n">
        <x:v>3</x:v>
      </x:c>
      <x:c r="AA204" s="22" t="n">
        <x:v>285</x:v>
      </x:c>
      <x:c r="AB204" s="22" t="n">
        <x:v>0</x:v>
      </x:c>
      <x:c r="AC204" s="22" t="n">
        <x:v>0</x:v>
      </x:c>
      <x:c r="AD204" s="22" t="n">
        <x:v>42</x:v>
      </x:c>
      <x:c r="AE204" s="22" t="n">
        <x:v>9</x:v>
      </x:c>
      <x:c r="AF204" s="22" t="n">
        <x:v>91</x:v>
      </x:c>
      <x:c r="AG204" s="22" t="n">
        <x:v>7</x:v>
      </x:c>
      <x:c r="AH204" s="22" t="n">
        <x:v>8</x:v>
      </x:c>
      <x:c r="AI204" s="22" t="n">
        <x:v>31</x:v>
      </x:c>
      <x:c r="AJ204" s="22" t="n">
        <x:v>4</x:v>
      </x:c>
      <x:c r="AK204" s="22" t="n">
        <x:v>5</x:v>
      </x:c>
      <x:c r="AL204" s="22" t="n">
        <x:v>587</x:v>
      </x:c>
      <x:c r="AM204" s="22" t="n">
        <x:v>40</x:v>
      </x:c>
      <x:c r="AN204" s="22" t="n">
        <x:v>6</x:v>
      </x:c>
      <x:c r="AO204" s="22" t="n">
        <x:v>7</x:v>
      </x:c>
      <x:c r="AP204" s="22" t="n">
        <x:v>3240</x:v>
      </x:c>
      <x:c r="AQ204" s="22" t="n">
        <x:v>18</x:v>
      </x:c>
      <x:c r="AR204" s="22" t="n">
        <x:v>0</x:v>
      </x:c>
      <x:c r="AS204" s="22" t="n">
        <x:v>10</x:v>
      </x:c>
      <x:c r="AT204" s="22" t="n">
        <x:v>10</x:v>
      </x:c>
      <x:c r="AU204" s="22" t="n">
        <x:v>0</x:v>
      </x:c>
      <x:c r="AV204" s="22" t="n">
        <x:v>0</x:v>
      </x:c>
      <x:c r="AW204" s="22" t="n">
        <x:v>0</x:v>
      </x:c>
    </x:row>
    <x:row r="205" ht="24" customHeight="1">
      <x:c r="A205" s="22" t="str">
        <x:v>P0201</x:v>
      </x:c>
      <x:c r="B205" s="22" t="n">
        <x:v>6</x:v>
      </x:c>
      <x:c r="C205" s="22" t="n">
        <x:v>3</x:v>
      </x:c>
      <x:c r="D205" s="22" t="str">
        <x:v>C06G03入场</x:v>
      </x:c>
      <x:c r="E205" s="22" t="n">
        <x:v>27661</x:v>
      </x:c>
      <x:c r="F205" s="22" t="n">
        <x:v>30452</x:v>
      </x:c>
      <x:c r="G205" s="22" t="n">
        <x:v>26266</x:v>
      </x:c>
      <x:c r="H205" s="22" t="n">
        <x:v>29033</x:v>
      </x:c>
      <x:c r="I205" s="22" t="n">
        <x:v>26304</x:v>
      </x:c>
      <x:c r="J205" s="22" t="n">
        <x:v>29071</x:v>
      </x:c>
      <x:c r="K205" s="22" t="n">
        <x:v>3142700</x:v>
      </x:c>
      <x:c r="L205" s="22" t="n">
        <x:v>800800</x:v>
      </x:c>
      <x:c r="M205" s="22" t="n">
        <x:v>543</x:v>
      </x:c>
      <x:c r="N205" s="22" t="n">
        <x:v>979</x:v>
      </x:c>
      <x:c r="O205" s="22" t="n">
        <x:v>443</x:v>
      </x:c>
      <x:c r="P205" s="22" t="n">
        <x:v>808</x:v>
      </x:c>
      <x:c r="Q205" s="22" t="n">
        <x:v>906</x:v>
      </x:c>
      <x:c r="R205" s="22" t="n">
        <x:v>822</x:v>
      </x:c>
      <x:c r="S205" s="22" t="n">
        <x:v>822</x:v>
      </x:c>
      <x:c r="T205" s="22" t="n">
        <x:v>0.7100000000000002</x:v>
      </x:c>
      <x:c r="U205" s="22" t="n">
        <x:v>19</x:v>
      </x:c>
      <x:c r="V205" s="22" t="n">
        <x:v>349</x:v>
      </x:c>
      <x:c r="W205" s="22" t="n">
        <x:v>159</x:v>
      </x:c>
      <x:c r="X205" s="22" t="n">
        <x:v>25</x:v>
      </x:c>
      <x:c r="Y205" s="22" t="n">
        <x:v>401</x:v>
      </x:c>
      <x:c r="Z205" s="22" t="n">
        <x:v>3</x:v>
      </x:c>
      <x:c r="AA205" s="22" t="n">
        <x:v>285</x:v>
      </x:c>
      <x:c r="AB205" s="22" t="n">
        <x:v>0</x:v>
      </x:c>
      <x:c r="AC205" s="22" t="n">
        <x:v>0</x:v>
      </x:c>
      <x:c r="AD205" s="22" t="n">
        <x:v>42</x:v>
      </x:c>
      <x:c r="AE205" s="22" t="n">
        <x:v>9</x:v>
      </x:c>
      <x:c r="AF205" s="22" t="n">
        <x:v>91</x:v>
      </x:c>
      <x:c r="AG205" s="22" t="n">
        <x:v>7</x:v>
      </x:c>
      <x:c r="AH205" s="22" t="n">
        <x:v>8</x:v>
      </x:c>
      <x:c r="AI205" s="22" t="n">
        <x:v>31</x:v>
      </x:c>
      <x:c r="AJ205" s="22" t="n">
        <x:v>4</x:v>
      </x:c>
      <x:c r="AK205" s="22" t="n">
        <x:v>5</x:v>
      </x:c>
      <x:c r="AL205" s="22" t="n">
        <x:v>587</x:v>
      </x:c>
      <x:c r="AM205" s="22" t="n">
        <x:v>40</x:v>
      </x:c>
      <x:c r="AN205" s="22" t="n">
        <x:v>6</x:v>
      </x:c>
      <x:c r="AO205" s="22" t="n">
        <x:v>7</x:v>
      </x:c>
      <x:c r="AP205" s="22" t="n">
        <x:v>3240</x:v>
      </x:c>
      <x:c r="AQ205" s="22" t="n">
        <x:v>18</x:v>
      </x:c>
      <x:c r="AR205" s="22" t="n">
        <x:v>0</x:v>
      </x:c>
      <x:c r="AS205" s="22" t="n">
        <x:v>10</x:v>
      </x:c>
      <x:c r="AT205" s="22" t="n">
        <x:v>10</x:v>
      </x:c>
      <x:c r="AU205" s="22" t="n">
        <x:v>0</x:v>
      </x:c>
      <x:c r="AV205" s="22" t="n">
        <x:v>0</x:v>
      </x:c>
      <x:c r="AW205" s="22" t="n">
        <x:v>0</x:v>
      </x:c>
    </x:row>
    <x:row r="206" ht="24" customHeight="1">
      <x:c r="A206" s="22" t="str">
        <x:v>P0202</x:v>
      </x:c>
      <x:c r="B206" s="22" t="n">
        <x:v>6</x:v>
      </x:c>
      <x:c r="C206" s="22" t="n">
        <x:v>3</x:v>
      </x:c>
      <x:c r="D206" s="22" t="str">
        <x:v>C06G03普通专属4/6</x:v>
      </x:c>
      <x:c r="E206" s="22" t="n">
        <x:v>27661</x:v>
      </x:c>
      <x:c r="F206" s="22" t="n">
        <x:v>30452</x:v>
      </x:c>
      <x:c r="G206" s="22" t="n">
        <x:v>26266</x:v>
      </x:c>
      <x:c r="H206" s="22" t="n">
        <x:v>29033</x:v>
      </x:c>
      <x:c r="I206" s="22" t="n">
        <x:v>26304</x:v>
      </x:c>
      <x:c r="J206" s="22" t="n">
        <x:v>29071</x:v>
      </x:c>
      <x:c r="K206" s="22" t="n">
        <x:v>3142700</x:v>
      </x:c>
      <x:c r="L206" s="22" t="n">
        <x:v>800800</x:v>
      </x:c>
      <x:c r="M206" s="22" t="n">
        <x:v>543</x:v>
      </x:c>
      <x:c r="N206" s="22" t="n">
        <x:v>979</x:v>
      </x:c>
      <x:c r="O206" s="22" t="n">
        <x:v>443</x:v>
      </x:c>
      <x:c r="P206" s="22" t="n">
        <x:v>808</x:v>
      </x:c>
      <x:c r="Q206" s="22" t="n">
        <x:v>906</x:v>
      </x:c>
      <x:c r="R206" s="22" t="n">
        <x:v>822</x:v>
      </x:c>
      <x:c r="S206" s="22" t="n">
        <x:v>822</x:v>
      </x:c>
      <x:c r="T206" s="22" t="n">
        <x:v>0.7100000000000002</x:v>
      </x:c>
      <x:c r="U206" s="22" t="n">
        <x:v>19</x:v>
      </x:c>
      <x:c r="V206" s="22" t="n">
        <x:v>349</x:v>
      </x:c>
      <x:c r="W206" s="22" t="n">
        <x:v>159</x:v>
      </x:c>
      <x:c r="X206" s="22" t="n">
        <x:v>25</x:v>
      </x:c>
      <x:c r="Y206" s="22" t="n">
        <x:v>401</x:v>
      </x:c>
      <x:c r="Z206" s="22" t="n">
        <x:v>3</x:v>
      </x:c>
      <x:c r="AA206" s="22" t="n">
        <x:v>285</x:v>
      </x:c>
      <x:c r="AB206" s="22" t="n">
        <x:v>0</x:v>
      </x:c>
      <x:c r="AC206" s="22" t="n">
        <x:v>0</x:v>
      </x:c>
      <x:c r="AD206" s="22" t="n">
        <x:v>42</x:v>
      </x:c>
      <x:c r="AE206" s="22" t="n">
        <x:v>9</x:v>
      </x:c>
      <x:c r="AF206" s="22" t="n">
        <x:v>91</x:v>
      </x:c>
      <x:c r="AG206" s="22" t="n">
        <x:v>7</x:v>
      </x:c>
      <x:c r="AH206" s="22" t="n">
        <x:v>8</x:v>
      </x:c>
      <x:c r="AI206" s="22" t="n">
        <x:v>31</x:v>
      </x:c>
      <x:c r="AJ206" s="22" t="n">
        <x:v>4</x:v>
      </x:c>
      <x:c r="AK206" s="22" t="n">
        <x:v>5</x:v>
      </x:c>
      <x:c r="AL206" s="22" t="n">
        <x:v>587</x:v>
      </x:c>
      <x:c r="AM206" s="22" t="n">
        <x:v>40</x:v>
      </x:c>
      <x:c r="AN206" s="22" t="n">
        <x:v>6</x:v>
      </x:c>
      <x:c r="AO206" s="22" t="n">
        <x:v>7</x:v>
      </x:c>
      <x:c r="AP206" s="22" t="n">
        <x:v>3240</x:v>
      </x:c>
      <x:c r="AQ206" s="22" t="n">
        <x:v>18</x:v>
      </x:c>
      <x:c r="AR206" s="22" t="n">
        <x:v>0</x:v>
      </x:c>
      <x:c r="AS206" s="22" t="n">
        <x:v>10</x:v>
      </x:c>
      <x:c r="AT206" s="22" t="n">
        <x:v>10</x:v>
      </x:c>
      <x:c r="AU206" s="22" t="n">
        <x:v>0</x:v>
      </x:c>
      <x:c r="AV206" s="22" t="n">
        <x:v>0</x:v>
      </x:c>
      <x:c r="AW206" s="22" t="n">
        <x:v>0</x:v>
      </x:c>
    </x:row>
    <x:row r="207" ht="24" customHeight="1">
      <x:c r="A207" s="22" t="str">
        <x:v>P0203</x:v>
      </x:c>
      <x:c r="B207" s="22" t="n">
        <x:v>6</x:v>
      </x:c>
      <x:c r="C207" s="22" t="n">
        <x:v>3</x:v>
      </x:c>
      <x:c r="D207" s="22" t="str">
        <x:v>焚翼古龙·阿格纳挑战前</x:v>
      </x:c>
      <x:c r="E207" s="22" t="n">
        <x:v>29266</x:v>
      </x:c>
      <x:c r="F207" s="22" t="n">
        <x:v>32057</x:v>
      </x:c>
      <x:c r="G207" s="22" t="n">
        <x:v>27871</x:v>
      </x:c>
      <x:c r="H207" s="22" t="n">
        <x:v>30638</x:v>
      </x:c>
      <x:c r="I207" s="22" t="n">
        <x:v>27909</x:v>
      </x:c>
      <x:c r="J207" s="22" t="n">
        <x:v>30676</x:v>
      </x:c>
      <x:c r="K207" s="22" t="n">
        <x:v>3303200</x:v>
      </x:c>
      <x:c r="L207" s="22" t="n">
        <x:v>800800</x:v>
      </x:c>
      <x:c r="M207" s="22" t="n">
        <x:v>543</x:v>
      </x:c>
      <x:c r="N207" s="22" t="n">
        <x:v>979</x:v>
      </x:c>
      <x:c r="O207" s="22" t="n">
        <x:v>443</x:v>
      </x:c>
      <x:c r="P207" s="22" t="n">
        <x:v>808</x:v>
      </x:c>
      <x:c r="Q207" s="22" t="n">
        <x:v>906</x:v>
      </x:c>
      <x:c r="R207" s="22" t="n">
        <x:v>822</x:v>
      </x:c>
      <x:c r="S207" s="22" t="n">
        <x:v>822</x:v>
      </x:c>
      <x:c r="T207" s="22" t="n">
        <x:v>0.7100000000000002</x:v>
      </x:c>
      <x:c r="U207" s="22" t="n">
        <x:v>19</x:v>
      </x:c>
      <x:c r="V207" s="22" t="n">
        <x:v>349</x:v>
      </x:c>
      <x:c r="W207" s="22" t="n">
        <x:v>159</x:v>
      </x:c>
      <x:c r="X207" s="22" t="n">
        <x:v>25</x:v>
      </x:c>
      <x:c r="Y207" s="22" t="n">
        <x:v>401</x:v>
      </x:c>
      <x:c r="Z207" s="22" t="n">
        <x:v>3</x:v>
      </x:c>
      <x:c r="AA207" s="22" t="n">
        <x:v>285</x:v>
      </x:c>
      <x:c r="AB207" s="22" t="n">
        <x:v>0</x:v>
      </x:c>
      <x:c r="AC207" s="22" t="n">
        <x:v>0</x:v>
      </x:c>
      <x:c r="AD207" s="22" t="n">
        <x:v>42</x:v>
      </x:c>
      <x:c r="AE207" s="22" t="n">
        <x:v>9</x:v>
      </x:c>
      <x:c r="AF207" s="22" t="n">
        <x:v>91</x:v>
      </x:c>
      <x:c r="AG207" s="22" t="n">
        <x:v>7</x:v>
      </x:c>
      <x:c r="AH207" s="22" t="n">
        <x:v>8</x:v>
      </x:c>
      <x:c r="AI207" s="22" t="n">
        <x:v>31</x:v>
      </x:c>
      <x:c r="AJ207" s="22" t="n">
        <x:v>4</x:v>
      </x:c>
      <x:c r="AK207" s="22" t="n">
        <x:v>5</x:v>
      </x:c>
      <x:c r="AL207" s="22" t="n">
        <x:v>587</x:v>
      </x:c>
      <x:c r="AM207" s="22" t="n">
        <x:v>40</x:v>
      </x:c>
      <x:c r="AN207" s="22" t="n">
        <x:v>6</x:v>
      </x:c>
      <x:c r="AO207" s="22" t="n">
        <x:v>7</x:v>
      </x:c>
      <x:c r="AP207" s="22" t="n">
        <x:v>3240</x:v>
      </x:c>
      <x:c r="AQ207" s="22" t="n">
        <x:v>18</x:v>
      </x:c>
      <x:c r="AR207" s="22" t="n">
        <x:v>0</x:v>
      </x:c>
      <x:c r="AS207" s="22" t="n">
        <x:v>10</x:v>
      </x:c>
      <x:c r="AT207" s="22" t="n">
        <x:v>10</x:v>
      </x:c>
      <x:c r="AU207" s="22" t="n">
        <x:v>0</x:v>
      </x:c>
      <x:c r="AV207" s="22" t="n">
        <x:v>0</x:v>
      </x:c>
      <x:c r="AW207" s="22" t="n">
        <x:v>0</x:v>
      </x:c>
    </x:row>
    <x:row r="208" ht="24" customHeight="1">
      <x:c r="A208" s="22" t="str">
        <x:v>P0204</x:v>
      </x:c>
      <x:c r="B208" s="22" t="n">
        <x:v>6</x:v>
      </x:c>
      <x:c r="C208" s="22" t="n">
        <x:v>3</x:v>
      </x:c>
      <x:c r="D208" s="22" t="str">
        <x:v>红狮圣兽·雷奥尼斯挑战前</x:v>
      </x:c>
      <x:c r="E208" s="22" t="n">
        <x:v>29266</x:v>
      </x:c>
      <x:c r="F208" s="22" t="n">
        <x:v>32057</x:v>
      </x:c>
      <x:c r="G208" s="22" t="n">
        <x:v>27871</x:v>
      </x:c>
      <x:c r="H208" s="22" t="n">
        <x:v>30638</x:v>
      </x:c>
      <x:c r="I208" s="22" t="n">
        <x:v>27909</x:v>
      </x:c>
      <x:c r="J208" s="22" t="n">
        <x:v>30676</x:v>
      </x:c>
      <x:c r="K208" s="22" t="n">
        <x:v>3303200</x:v>
      </x:c>
      <x:c r="L208" s="22" t="n">
        <x:v>800800</x:v>
      </x:c>
      <x:c r="M208" s="22" t="n">
        <x:v>543</x:v>
      </x:c>
      <x:c r="N208" s="22" t="n">
        <x:v>979</x:v>
      </x:c>
      <x:c r="O208" s="22" t="n">
        <x:v>443</x:v>
      </x:c>
      <x:c r="P208" s="22" t="n">
        <x:v>808</x:v>
      </x:c>
      <x:c r="Q208" s="22" t="n">
        <x:v>906</x:v>
      </x:c>
      <x:c r="R208" s="22" t="n">
        <x:v>822</x:v>
      </x:c>
      <x:c r="S208" s="22" t="n">
        <x:v>822</x:v>
      </x:c>
      <x:c r="T208" s="22" t="n">
        <x:v>0.7100000000000002</x:v>
      </x:c>
      <x:c r="U208" s="22" t="n">
        <x:v>19</x:v>
      </x:c>
      <x:c r="V208" s="22" t="n">
        <x:v>349</x:v>
      </x:c>
      <x:c r="W208" s="22" t="n">
        <x:v>159</x:v>
      </x:c>
      <x:c r="X208" s="22" t="n">
        <x:v>25</x:v>
      </x:c>
      <x:c r="Y208" s="22" t="n">
        <x:v>401</x:v>
      </x:c>
      <x:c r="Z208" s="22" t="n">
        <x:v>3</x:v>
      </x:c>
      <x:c r="AA208" s="22" t="n">
        <x:v>285</x:v>
      </x:c>
      <x:c r="AB208" s="22" t="n">
        <x:v>0</x:v>
      </x:c>
      <x:c r="AC208" s="22" t="n">
        <x:v>0</x:v>
      </x:c>
      <x:c r="AD208" s="22" t="n">
        <x:v>42</x:v>
      </x:c>
      <x:c r="AE208" s="22" t="n">
        <x:v>9</x:v>
      </x:c>
      <x:c r="AF208" s="22" t="n">
        <x:v>91</x:v>
      </x:c>
      <x:c r="AG208" s="22" t="n">
        <x:v>7</x:v>
      </x:c>
      <x:c r="AH208" s="22" t="n">
        <x:v>8</x:v>
      </x:c>
      <x:c r="AI208" s="22" t="n">
        <x:v>31</x:v>
      </x:c>
      <x:c r="AJ208" s="22" t="n">
        <x:v>4</x:v>
      </x:c>
      <x:c r="AK208" s="22" t="n">
        <x:v>5</x:v>
      </x:c>
      <x:c r="AL208" s="22" t="n">
        <x:v>587</x:v>
      </x:c>
      <x:c r="AM208" s="22" t="n">
        <x:v>40</x:v>
      </x:c>
      <x:c r="AN208" s="22" t="n">
        <x:v>6</x:v>
      </x:c>
      <x:c r="AO208" s="22" t="n">
        <x:v>7</x:v>
      </x:c>
      <x:c r="AP208" s="22" t="n">
        <x:v>3240</x:v>
      </x:c>
      <x:c r="AQ208" s="22" t="n">
        <x:v>18</x:v>
      </x:c>
      <x:c r="AR208" s="22" t="n">
        <x:v>0</x:v>
      </x:c>
      <x:c r="AS208" s="22" t="n">
        <x:v>10</x:v>
      </x:c>
      <x:c r="AT208" s="22" t="n">
        <x:v>10</x:v>
      </x:c>
      <x:c r="AU208" s="22" t="n">
        <x:v>0</x:v>
      </x:c>
      <x:c r="AV208" s="22" t="n">
        <x:v>0</x:v>
      </x:c>
      <x:c r="AW208" s="22" t="n">
        <x:v>0</x:v>
      </x:c>
    </x:row>
    <x:row r="209" ht="24" customHeight="1">
      <x:c r="A209" s="22" t="str">
        <x:v>P0205</x:v>
      </x:c>
      <x:c r="B209" s="22" t="n">
        <x:v>6</x:v>
      </x:c>
      <x:c r="C209" s="22" t="n">
        <x:v>3</x:v>
      </x:c>
      <x:c r="D209" s="22" t="str">
        <x:v>红狮龙窟BOSS装备快线</x:v>
      </x:c>
      <x:c r="E209" s="22" t="n">
        <x:v>29497</x:v>
      </x:c>
      <x:c r="F209" s="22" t="n">
        <x:v>32514</x:v>
      </x:c>
      <x:c r="G209" s="22" t="n">
        <x:v>28102</x:v>
      </x:c>
      <x:c r="H209" s="22" t="n">
        <x:v>31095</x:v>
      </x:c>
      <x:c r="I209" s="22" t="n">
        <x:v>28140</x:v>
      </x:c>
      <x:c r="J209" s="22" t="n">
        <x:v>31133</x:v>
      </x:c>
      <x:c r="K209" s="22" t="n">
        <x:v>3395200</x:v>
      </x:c>
      <x:c r="L209" s="22" t="n">
        <x:v>800800</x:v>
      </x:c>
      <x:c r="M209" s="22" t="n">
        <x:v>636</x:v>
      </x:c>
      <x:c r="N209" s="22" t="n">
        <x:v>1150</x:v>
      </x:c>
      <x:c r="O209" s="22" t="n">
        <x:v>519</x:v>
      </x:c>
      <x:c r="P209" s="22" t="n">
        <x:v>947</x:v>
      </x:c>
      <x:c r="Q209" s="22" t="n">
        <x:v>966</x:v>
      </x:c>
      <x:c r="R209" s="22" t="n">
        <x:v>882</x:v>
      </x:c>
      <x:c r="S209" s="22" t="n">
        <x:v>882</x:v>
      </x:c>
      <x:c r="T209" s="22" t="n">
        <x:v>0.7100000000000002</x:v>
      </x:c>
      <x:c r="U209" s="22" t="n">
        <x:v>19</x:v>
      </x:c>
      <x:c r="V209" s="22" t="n">
        <x:v>377</x:v>
      </x:c>
      <x:c r="W209" s="22" t="n">
        <x:v>173</x:v>
      </x:c>
      <x:c r="X209" s="22" t="n">
        <x:v>25</x:v>
      </x:c>
      <x:c r="Y209" s="22" t="n">
        <x:v>407</x:v>
      </x:c>
      <x:c r="Z209" s="22" t="n">
        <x:v>3</x:v>
      </x:c>
      <x:c r="AA209" s="22" t="n">
        <x:v>333</x:v>
      </x:c>
      <x:c r="AB209" s="22" t="n">
        <x:v>0</x:v>
      </x:c>
      <x:c r="AC209" s="22" t="n">
        <x:v>0</x:v>
      </x:c>
      <x:c r="AD209" s="22" t="n">
        <x:v>42</x:v>
      </x:c>
      <x:c r="AE209" s="22" t="n">
        <x:v>9</x:v>
      </x:c>
      <x:c r="AF209" s="22" t="n">
        <x:v>91</x:v>
      </x:c>
      <x:c r="AG209" s="22" t="n">
        <x:v>7</x:v>
      </x:c>
      <x:c r="AH209" s="22" t="n">
        <x:v>8</x:v>
      </x:c>
      <x:c r="AI209" s="22" t="n">
        <x:v>31</x:v>
      </x:c>
      <x:c r="AJ209" s="22" t="n">
        <x:v>4</x:v>
      </x:c>
      <x:c r="AK209" s="22" t="n">
        <x:v>5</x:v>
      </x:c>
      <x:c r="AL209" s="22" t="n">
        <x:v>587</x:v>
      </x:c>
      <x:c r="AM209" s="22" t="n">
        <x:v>42</x:v>
      </x:c>
      <x:c r="AN209" s="22" t="n">
        <x:v>6</x:v>
      </x:c>
      <x:c r="AO209" s="22" t="n">
        <x:v>7</x:v>
      </x:c>
      <x:c r="AP209" s="22" t="n">
        <x:v>3240</x:v>
      </x:c>
      <x:c r="AQ209" s="22" t="n">
        <x:v>18</x:v>
      </x:c>
      <x:c r="AR209" s="22" t="n">
        <x:v>0</x:v>
      </x:c>
      <x:c r="AS209" s="22" t="n">
        <x:v>10</x:v>
      </x:c>
      <x:c r="AT209" s="22" t="n">
        <x:v>10</x:v>
      </x:c>
      <x:c r="AU209" s="22" t="n">
        <x:v>0</x:v>
      </x:c>
      <x:c r="AV209" s="22" t="n">
        <x:v>0</x:v>
      </x:c>
      <x:c r="AW209" s="22" t="n">
        <x:v>0</x:v>
      </x:c>
    </x:row>
    <x:row r="210" ht="24" customHeight="1">
      <x:c r="A210" s="22" t="str">
        <x:v>P0206</x:v>
      </x:c>
      <x:c r="B210" s="22" t="n">
        <x:v>6</x:v>
      </x:c>
      <x:c r="C210" s="22" t="n">
        <x:v>3</x:v>
      </x:c>
      <x:c r="D210" s="22" t="str">
        <x:v>红狮龙窟阶段积累后</x:v>
      </x:c>
      <x:c r="E210" s="22" t="n">
        <x:v>30363</x:v>
      </x:c>
      <x:c r="F210" s="22" t="n">
        <x:v>34137</x:v>
      </x:c>
      <x:c r="G210" s="22" t="n">
        <x:v>28970</x:v>
      </x:c>
      <x:c r="H210" s="22" t="n">
        <x:v>32720</x:v>
      </x:c>
      <x:c r="I210" s="22" t="n">
        <x:v>28972</x:v>
      </x:c>
      <x:c r="J210" s="22" t="n">
        <x:v>32722</x:v>
      </x:c>
      <x:c r="K210" s="22" t="n">
        <x:v>4930300</x:v>
      </x:c>
      <x:c r="L210" s="22" t="n">
        <x:v>800800</x:v>
      </x:c>
      <x:c r="M210" s="22" t="n">
        <x:v>790</x:v>
      </x:c>
      <x:c r="N210" s="22" t="n">
        <x:v>1424</x:v>
      </x:c>
      <x:c r="O210" s="22" t="n">
        <x:v>641</x:v>
      </x:c>
      <x:c r="P210" s="22" t="n">
        <x:v>1173</x:v>
      </x:c>
      <x:c r="Q210" s="22" t="n">
        <x:v>1076</x:v>
      </x:c>
      <x:c r="R210" s="22" t="n">
        <x:v>1029</x:v>
      </x:c>
      <x:c r="S210" s="22" t="n">
        <x:v>1029</x:v>
      </x:c>
      <x:c r="T210" s="22" t="n">
        <x:v>0.7100000000000002</x:v>
      </x:c>
      <x:c r="U210" s="22" t="n">
        <x:v>19</x:v>
      </x:c>
      <x:c r="V210" s="22" t="n">
        <x:v>487</x:v>
      </x:c>
      <x:c r="W210" s="22" t="n">
        <x:v>167</x:v>
      </x:c>
      <x:c r="X210" s="22" t="n">
        <x:v>25</x:v>
      </x:c>
      <x:c r="Y210" s="22" t="n">
        <x:v>331</x:v>
      </x:c>
      <x:c r="Z210" s="22" t="n">
        <x:v>3</x:v>
      </x:c>
      <x:c r="AA210" s="22" t="n">
        <x:v>377</x:v>
      </x:c>
      <x:c r="AB210" s="22" t="n">
        <x:v>0</x:v>
      </x:c>
      <x:c r="AC210" s="22" t="n">
        <x:v>0</x:v>
      </x:c>
      <x:c r="AD210" s="22" t="n">
        <x:v>39</x:v>
      </x:c>
      <x:c r="AE210" s="22" t="n">
        <x:v>9</x:v>
      </x:c>
      <x:c r="AF210" s="22" t="n">
        <x:v>91</x:v>
      </x:c>
      <x:c r="AG210" s="22" t="n">
        <x:v>7</x:v>
      </x:c>
      <x:c r="AH210" s="22" t="n">
        <x:v>8</x:v>
      </x:c>
      <x:c r="AI210" s="22" t="n">
        <x:v>30</x:v>
      </x:c>
      <x:c r="AJ210" s="22" t="n">
        <x:v>4</x:v>
      </x:c>
      <x:c r="AK210" s="22" t="n">
        <x:v>4</x:v>
      </x:c>
      <x:c r="AL210" s="22" t="n">
        <x:v>643</x:v>
      </x:c>
      <x:c r="AM210" s="22" t="n">
        <x:v>63</x:v>
      </x:c>
      <x:c r="AN210" s="22" t="n">
        <x:v>10</x:v>
      </x:c>
      <x:c r="AO210" s="22" t="n">
        <x:v>7</x:v>
      </x:c>
      <x:c r="AP210" s="22" t="n">
        <x:v>3240</x:v>
      </x:c>
      <x:c r="AQ210" s="22" t="n">
        <x:v>18</x:v>
      </x:c>
      <x:c r="AR210" s="22" t="n">
        <x:v>0</x:v>
      </x:c>
      <x:c r="AS210" s="22" t="n">
        <x:v>10</x:v>
      </x:c>
      <x:c r="AT210" s="22" t="n">
        <x:v>10</x:v>
      </x:c>
      <x:c r="AU210" s="22" t="n">
        <x:v>0</x:v>
      </x:c>
      <x:c r="AV210" s="22" t="n">
        <x:v>24</x:v>
      </x:c>
      <x:c r="AW210" s="22" t="n">
        <x:v>0</x:v>
      </x:c>
    </x:row>
    <x:row r="211" ht="24" customHeight="1">
      <x:c r="A211" s="22" t="str">
        <x:v>P0207</x:v>
      </x:c>
      <x:c r="B211" s="22" t="n">
        <x:v>6</x:v>
      </x:c>
      <x:c r="C211" s="22" t="n">
        <x:v>3</x:v>
      </x:c>
      <x:c r="D211" s="22" t="str">
        <x:v>C06守关前必做制作完成</x:v>
      </x:c>
      <x:c r="E211" s="22" t="n">
        <x:v>31571</x:v>
      </x:c>
      <x:c r="F211" s="22" t="n">
        <x:v>35345</x:v>
      </x:c>
      <x:c r="G211" s="22" t="n">
        <x:v>29303</x:v>
      </x:c>
      <x:c r="H211" s="22" t="n">
        <x:v>33053</x:v>
      </x:c>
      <x:c r="I211" s="22" t="n">
        <x:v>29305</x:v>
      </x:c>
      <x:c r="J211" s="22" t="n">
        <x:v>33055</x:v>
      </x:c>
      <x:c r="K211" s="22" t="n">
        <x:v>4963600</x:v>
      </x:c>
      <x:c r="L211" s="22" t="n">
        <x:v>800800</x:v>
      </x:c>
      <x:c r="M211" s="22" t="n">
        <x:v>790</x:v>
      </x:c>
      <x:c r="N211" s="22" t="n">
        <x:v>1424</x:v>
      </x:c>
      <x:c r="O211" s="22" t="n">
        <x:v>641</x:v>
      </x:c>
      <x:c r="P211" s="22" t="n">
        <x:v>1173</x:v>
      </x:c>
      <x:c r="Q211" s="22" t="n">
        <x:v>1078</x:v>
      </x:c>
      <x:c r="R211" s="22" t="n">
        <x:v>1029</x:v>
      </x:c>
      <x:c r="S211" s="22" t="n">
        <x:v>1029</x:v>
      </x:c>
      <x:c r="T211" s="22" t="n">
        <x:v>0.7100000000000002</x:v>
      </x:c>
      <x:c r="U211" s="22" t="n">
        <x:v>19</x:v>
      </x:c>
      <x:c r="V211" s="22" t="n">
        <x:v>487</x:v>
      </x:c>
      <x:c r="W211" s="22" t="n">
        <x:v>167</x:v>
      </x:c>
      <x:c r="X211" s="22" t="n">
        <x:v>27</x:v>
      </x:c>
      <x:c r="Y211" s="22" t="n">
        <x:v>331</x:v>
      </x:c>
      <x:c r="Z211" s="22" t="n">
        <x:v>3</x:v>
      </x:c>
      <x:c r="AA211" s="22" t="n">
        <x:v>377</x:v>
      </x:c>
      <x:c r="AB211" s="22" t="n">
        <x:v>0</x:v>
      </x:c>
      <x:c r="AC211" s="22" t="n">
        <x:v>0</x:v>
      </x:c>
      <x:c r="AD211" s="22" t="n">
        <x:v>39</x:v>
      </x:c>
      <x:c r="AE211" s="22" t="n">
        <x:v>9</x:v>
      </x:c>
      <x:c r="AF211" s="22" t="n">
        <x:v>91</x:v>
      </x:c>
      <x:c r="AG211" s="22" t="n">
        <x:v>7</x:v>
      </x:c>
      <x:c r="AH211" s="22" t="n">
        <x:v>8</x:v>
      </x:c>
      <x:c r="AI211" s="22" t="n">
        <x:v>31</x:v>
      </x:c>
      <x:c r="AJ211" s="22" t="n">
        <x:v>7</x:v>
      </x:c>
      <x:c r="AK211" s="22" t="n">
        <x:v>4</x:v>
      </x:c>
      <x:c r="AL211" s="22" t="n">
        <x:v>683</x:v>
      </x:c>
      <x:c r="AM211" s="22" t="n">
        <x:v>63</x:v>
      </x:c>
      <x:c r="AN211" s="22" t="n">
        <x:v>10</x:v>
      </x:c>
      <x:c r="AO211" s="22" t="n">
        <x:v>7</x:v>
      </x:c>
      <x:c r="AP211" s="22" t="n">
        <x:v>3240</x:v>
      </x:c>
      <x:c r="AQ211" s="22" t="n">
        <x:v>18</x:v>
      </x:c>
      <x:c r="AR211" s="22" t="n">
        <x:v>0</x:v>
      </x:c>
      <x:c r="AS211" s="22" t="n">
        <x:v>10</x:v>
      </x:c>
      <x:c r="AT211" s="22" t="n">
        <x:v>10</x:v>
      </x:c>
      <x:c r="AU211" s="22" t="n">
        <x:v>0</x:v>
      </x:c>
      <x:c r="AV211" s="22" t="n">
        <x:v>24</x:v>
      </x:c>
      <x:c r="AW211" s="22" t="n">
        <x:v>0</x:v>
      </x:c>
    </x:row>
    <x:row r="212" ht="24" customHeight="1">
      <x:c r="A212" s="22" t="str">
        <x:v>P0208</x:v>
      </x:c>
      <x:c r="B212" s="22" t="n">
        <x:v>6</x:v>
      </x:c>
      <x:c r="C212" s="22" t="n">
        <x:v>3</x:v>
      </x:c>
      <x:c r="D212" s="22" t="str">
        <x:v>C06约70%守关参考</x:v>
      </x:c>
      <x:c r="E212" s="22" t="n">
        <x:v>32027</x:v>
      </x:c>
      <x:c r="F212" s="22" t="n">
        <x:v>35801</x:v>
      </x:c>
      <x:c r="G212" s="22" t="n">
        <x:v>29759</x:v>
      </x:c>
      <x:c r="H212" s="22" t="n">
        <x:v>33509</x:v>
      </x:c>
      <x:c r="I212" s="22" t="n">
        <x:v>29761</x:v>
      </x:c>
      <x:c r="J212" s="22" t="n">
        <x:v>33511</x:v>
      </x:c>
      <x:c r="K212" s="22" t="n">
        <x:v>5009200</x:v>
      </x:c>
      <x:c r="L212" s="22" t="n">
        <x:v>800800</x:v>
      </x:c>
      <x:c r="M212" s="22" t="n">
        <x:v>790</x:v>
      </x:c>
      <x:c r="N212" s="22" t="n">
        <x:v>1424</x:v>
      </x:c>
      <x:c r="O212" s="22" t="n">
        <x:v>641</x:v>
      </x:c>
      <x:c r="P212" s="22" t="n">
        <x:v>1173</x:v>
      </x:c>
      <x:c r="Q212" s="22" t="n">
        <x:v>1078</x:v>
      </x:c>
      <x:c r="R212" s="22" t="n">
        <x:v>1029</x:v>
      </x:c>
      <x:c r="S212" s="22" t="n">
        <x:v>1029</x:v>
      </x:c>
      <x:c r="T212" s="22" t="n">
        <x:v>0.7700000000000002</x:v>
      </x:c>
      <x:c r="U212" s="22" t="n">
        <x:v>19</x:v>
      </x:c>
      <x:c r="V212" s="22" t="n">
        <x:v>487</x:v>
      </x:c>
      <x:c r="W212" s="22" t="n">
        <x:v>167</x:v>
      </x:c>
      <x:c r="X212" s="22" t="n">
        <x:v>27</x:v>
      </x:c>
      <x:c r="Y212" s="22" t="n">
        <x:v>331</x:v>
      </x:c>
      <x:c r="Z212" s="22" t="n">
        <x:v>3</x:v>
      </x:c>
      <x:c r="AA212" s="22" t="n">
        <x:v>377</x:v>
      </x:c>
      <x:c r="AB212" s="22" t="n">
        <x:v>0</x:v>
      </x:c>
      <x:c r="AC212" s="22" t="n">
        <x:v>0</x:v>
      </x:c>
      <x:c r="AD212" s="22" t="n">
        <x:v>39</x:v>
      </x:c>
      <x:c r="AE212" s="22" t="n">
        <x:v>9</x:v>
      </x:c>
      <x:c r="AF212" s="22" t="n">
        <x:v>91</x:v>
      </x:c>
      <x:c r="AG212" s="22" t="n">
        <x:v>7</x:v>
      </x:c>
      <x:c r="AH212" s="22" t="n">
        <x:v>8</x:v>
      </x:c>
      <x:c r="AI212" s="22" t="n">
        <x:v>32</x:v>
      </x:c>
      <x:c r="AJ212" s="22" t="n">
        <x:v>7</x:v>
      </x:c>
      <x:c r="AK212" s="22" t="n">
        <x:v>4</x:v>
      </x:c>
      <x:c r="AL212" s="22" t="n">
        <x:v>763</x:v>
      </x:c>
      <x:c r="AM212" s="22" t="n">
        <x:v>63</x:v>
      </x:c>
      <x:c r="AN212" s="22" t="n">
        <x:v>10</x:v>
      </x:c>
      <x:c r="AO212" s="22" t="n">
        <x:v>7</x:v>
      </x:c>
      <x:c r="AP212" s="22" t="n">
        <x:v>3240</x:v>
      </x:c>
      <x:c r="AQ212" s="22" t="n">
        <x:v>18</x:v>
      </x:c>
      <x:c r="AR212" s="22" t="n">
        <x:v>0</x:v>
      </x:c>
      <x:c r="AS212" s="22" t="n">
        <x:v>10</x:v>
      </x:c>
      <x:c r="AT212" s="22" t="n">
        <x:v>10</x:v>
      </x:c>
      <x:c r="AU212" s="22" t="n">
        <x:v>0</x:v>
      </x:c>
      <x:c r="AV212" s="22" t="n">
        <x:v>24</x:v>
      </x:c>
      <x:c r="AW212" s="22" t="n">
        <x:v>0</x:v>
      </x:c>
    </x:row>
    <x:row r="213" ht="24" customHeight="1">
      <x:c r="A213" s="22" t="str">
        <x:v>P0209</x:v>
      </x:c>
      <x:c r="B213" s="22" t="n">
        <x:v>6</x:v>
      </x:c>
      <x:c r="C213" s="22" t="n">
        <x:v>3</x:v>
      </x:c>
      <x:c r="D213" s="22" t="str">
        <x:v>C06高完成度参考</x:v>
      </x:c>
      <x:c r="E213" s="22" t="n">
        <x:v>32970</x:v>
      </x:c>
      <x:c r="F213" s="22" t="n">
        <x:v>37313</x:v>
      </x:c>
      <x:c r="G213" s="22" t="n">
        <x:v>30702</x:v>
      </x:c>
      <x:c r="H213" s="22" t="n">
        <x:v>35021</x:v>
      </x:c>
      <x:c r="I213" s="22" t="n">
        <x:v>30704</x:v>
      </x:c>
      <x:c r="J213" s="22" t="n">
        <x:v>35023</x:v>
      </x:c>
      <x:c r="K213" s="22" t="n">
        <x:v>5344000</x:v>
      </x:c>
      <x:c r="L213" s="22" t="n">
        <x:v>800800</x:v>
      </x:c>
      <x:c r="M213" s="22" t="n">
        <x:v>959</x:v>
      </x:c>
      <x:c r="N213" s="22" t="n">
        <x:v>1737</x:v>
      </x:c>
      <x:c r="O213" s="22" t="n">
        <x:v>780</x:v>
      </x:c>
      <x:c r="P213" s="22" t="n">
        <x:v>1427</x:v>
      </x:c>
      <x:c r="Q213" s="22" t="n">
        <x:v>1198</x:v>
      </x:c>
      <x:c r="R213" s="22" t="n">
        <x:v>1149</x:v>
      </x:c>
      <x:c r="S213" s="22" t="n">
        <x:v>1149</x:v>
      </x:c>
      <x:c r="T213" s="22" t="n">
        <x:v>0.7700000000000002</x:v>
      </x:c>
      <x:c r="U213" s="22" t="n">
        <x:v>19</x:v>
      </x:c>
      <x:c r="V213" s="22" t="n">
        <x:v>519</x:v>
      </x:c>
      <x:c r="W213" s="22" t="n">
        <x:v>192</x:v>
      </x:c>
      <x:c r="X213" s="22" t="n">
        <x:v>27</x:v>
      </x:c>
      <x:c r="Y213" s="22" t="n">
        <x:v>358</x:v>
      </x:c>
      <x:c r="Z213" s="22" t="n">
        <x:v>3</x:v>
      </x:c>
      <x:c r="AA213" s="22" t="n">
        <x:v>449</x:v>
      </x:c>
      <x:c r="AB213" s="22" t="n">
        <x:v>0</x:v>
      </x:c>
      <x:c r="AC213" s="22" t="n">
        <x:v>0</x:v>
      </x:c>
      <x:c r="AD213" s="22" t="n">
        <x:v>39</x:v>
      </x:c>
      <x:c r="AE213" s="22" t="n">
        <x:v>9</x:v>
      </x:c>
      <x:c r="AF213" s="22" t="n">
        <x:v>91</x:v>
      </x:c>
      <x:c r="AG213" s="22" t="n">
        <x:v>7</x:v>
      </x:c>
      <x:c r="AH213" s="22" t="n">
        <x:v>8</x:v>
      </x:c>
      <x:c r="AI213" s="22" t="n">
        <x:v>32</x:v>
      </x:c>
      <x:c r="AJ213" s="22" t="n">
        <x:v>7</x:v>
      </x:c>
      <x:c r="AK213" s="22" t="n">
        <x:v>4</x:v>
      </x:c>
      <x:c r="AL213" s="22" t="n">
        <x:v>764</x:v>
      </x:c>
      <x:c r="AM213" s="22" t="n">
        <x:v>69</x:v>
      </x:c>
      <x:c r="AN213" s="22" t="n">
        <x:v>10</x:v>
      </x:c>
      <x:c r="AO213" s="22" t="n">
        <x:v>7</x:v>
      </x:c>
      <x:c r="AP213" s="22" t="n">
        <x:v>3280</x:v>
      </x:c>
      <x:c r="AQ213" s="22" t="n">
        <x:v>18</x:v>
      </x:c>
      <x:c r="AR213" s="22" t="n">
        <x:v>0</x:v>
      </x:c>
      <x:c r="AS213" s="22" t="n">
        <x:v>10</x:v>
      </x:c>
      <x:c r="AT213" s="22" t="n">
        <x:v>10</x:v>
      </x:c>
      <x:c r="AU213" s="22" t="n">
        <x:v>0</x:v>
      </x:c>
      <x:c r="AV213" s="22" t="n">
        <x:v>24</x:v>
      </x:c>
      <x:c r="AW213" s="22" t="n">
        <x:v>0</x:v>
      </x:c>
    </x:row>
    <x:row r="214" ht="24" customHeight="1">
      <x:c r="A214" s="22" t="str">
        <x:v>P0210</x:v>
      </x:c>
      <x:c r="B214" s="22" t="n">
        <x:v>6</x:v>
      </x:c>
      <x:c r="C214" s="22" t="n">
        <x:v>3</x:v>
      </x:c>
      <x:c r="D214" s="22" t="str">
        <x:v>C06守关后继承</x:v>
      </x:c>
      <x:c r="E214" s="22" t="n">
        <x:v>32027</x:v>
      </x:c>
      <x:c r="F214" s="22" t="n">
        <x:v>35801</x:v>
      </x:c>
      <x:c r="G214" s="22" t="n">
        <x:v>29759</x:v>
      </x:c>
      <x:c r="H214" s="22" t="n">
        <x:v>33509</x:v>
      </x:c>
      <x:c r="I214" s="22" t="n">
        <x:v>29761</x:v>
      </x:c>
      <x:c r="J214" s="22" t="n">
        <x:v>33511</x:v>
      </x:c>
      <x:c r="K214" s="22" t="n">
        <x:v>5009200</x:v>
      </x:c>
      <x:c r="L214" s="22" t="n">
        <x:v>800800</x:v>
      </x:c>
      <x:c r="M214" s="22" t="n">
        <x:v>790</x:v>
      </x:c>
      <x:c r="N214" s="22" t="n">
        <x:v>1424</x:v>
      </x:c>
      <x:c r="O214" s="22" t="n">
        <x:v>641</x:v>
      </x:c>
      <x:c r="P214" s="22" t="n">
        <x:v>1173</x:v>
      </x:c>
      <x:c r="Q214" s="22" t="n">
        <x:v>1078</x:v>
      </x:c>
      <x:c r="R214" s="22" t="n">
        <x:v>1029</x:v>
      </x:c>
      <x:c r="S214" s="22" t="n">
        <x:v>1029</x:v>
      </x:c>
      <x:c r="T214" s="22" t="n">
        <x:v>0.7700000000000002</x:v>
      </x:c>
      <x:c r="U214" s="22" t="n">
        <x:v>19</x:v>
      </x:c>
      <x:c r="V214" s="22" t="n">
        <x:v>487</x:v>
      </x:c>
      <x:c r="W214" s="22" t="n">
        <x:v>167</x:v>
      </x:c>
      <x:c r="X214" s="22" t="n">
        <x:v>27</x:v>
      </x:c>
      <x:c r="Y214" s="22" t="n">
        <x:v>331</x:v>
      </x:c>
      <x:c r="Z214" s="22" t="n">
        <x:v>3</x:v>
      </x:c>
      <x:c r="AA214" s="22" t="n">
        <x:v>377</x:v>
      </x:c>
      <x:c r="AB214" s="22" t="n">
        <x:v>0</x:v>
      </x:c>
      <x:c r="AC214" s="22" t="n">
        <x:v>0</x:v>
      </x:c>
      <x:c r="AD214" s="22" t="n">
        <x:v>39</x:v>
      </x:c>
      <x:c r="AE214" s="22" t="n">
        <x:v>9</x:v>
      </x:c>
      <x:c r="AF214" s="22" t="n">
        <x:v>91</x:v>
      </x:c>
      <x:c r="AG214" s="22" t="n">
        <x:v>7</x:v>
      </x:c>
      <x:c r="AH214" s="22" t="n">
        <x:v>8</x:v>
      </x:c>
      <x:c r="AI214" s="22" t="n">
        <x:v>32</x:v>
      </x:c>
      <x:c r="AJ214" s="22" t="n">
        <x:v>7</x:v>
      </x:c>
      <x:c r="AK214" s="22" t="n">
        <x:v>4</x:v>
      </x:c>
      <x:c r="AL214" s="22" t="n">
        <x:v>763</x:v>
      </x:c>
      <x:c r="AM214" s="22" t="n">
        <x:v>63</x:v>
      </x:c>
      <x:c r="AN214" s="22" t="n">
        <x:v>10</x:v>
      </x:c>
      <x:c r="AO214" s="22" t="n">
        <x:v>7</x:v>
      </x:c>
      <x:c r="AP214" s="22" t="n">
        <x:v>3240</x:v>
      </x:c>
      <x:c r="AQ214" s="22" t="n">
        <x:v>18</x:v>
      </x:c>
      <x:c r="AR214" s="22" t="n">
        <x:v>0</x:v>
      </x:c>
      <x:c r="AS214" s="22" t="n">
        <x:v>10</x:v>
      </x:c>
      <x:c r="AT214" s="22" t="n">
        <x:v>10</x:v>
      </x:c>
      <x:c r="AU214" s="22" t="n">
        <x:v>0</x:v>
      </x:c>
      <x:c r="AV214" s="22" t="n">
        <x:v>24</x:v>
      </x:c>
      <x:c r="AW214" s="22" t="n">
        <x:v>0</x:v>
      </x:c>
    </x:row>
    <x:row r="215" ht="24" customHeight="1">
      <x:c r="A215" s="22" t="str">
        <x:v>P0211</x:v>
      </x:c>
      <x:c r="B215" s="22" t="n">
        <x:v>7</x:v>
      </x:c>
      <x:c r="C215" s="22" t="n">
        <x:v>1</x:v>
      </x:c>
      <x:c r="D215" s="22" t="str">
        <x:v>C07入场继承</x:v>
      </x:c>
      <x:c r="E215" s="22" t="n">
        <x:v>32027</x:v>
      </x:c>
      <x:c r="F215" s="22" t="n">
        <x:v>35801</x:v>
      </x:c>
      <x:c r="G215" s="22" t="n">
        <x:v>29759</x:v>
      </x:c>
      <x:c r="H215" s="22" t="n">
        <x:v>33509</x:v>
      </x:c>
      <x:c r="I215" s="22" t="n">
        <x:v>29761</x:v>
      </x:c>
      <x:c r="J215" s="22" t="n">
        <x:v>33511</x:v>
      </x:c>
      <x:c r="K215" s="22" t="n">
        <x:v>5009200</x:v>
      </x:c>
      <x:c r="L215" s="22" t="n">
        <x:v>800800</x:v>
      </x:c>
      <x:c r="M215" s="22" t="n">
        <x:v>790</x:v>
      </x:c>
      <x:c r="N215" s="22" t="n">
        <x:v>1424</x:v>
      </x:c>
      <x:c r="O215" s="22" t="n">
        <x:v>641</x:v>
      </x:c>
      <x:c r="P215" s="22" t="n">
        <x:v>1173</x:v>
      </x:c>
      <x:c r="Q215" s="22" t="n">
        <x:v>1078</x:v>
      </x:c>
      <x:c r="R215" s="22" t="n">
        <x:v>1029</x:v>
      </x:c>
      <x:c r="S215" s="22" t="n">
        <x:v>1029</x:v>
      </x:c>
      <x:c r="T215" s="22" t="n">
        <x:v>0.7700000000000002</x:v>
      </x:c>
      <x:c r="U215" s="22" t="n">
        <x:v>19</x:v>
      </x:c>
      <x:c r="V215" s="22" t="n">
        <x:v>487</x:v>
      </x:c>
      <x:c r="W215" s="22" t="n">
        <x:v>167</x:v>
      </x:c>
      <x:c r="X215" s="22" t="n">
        <x:v>27</x:v>
      </x:c>
      <x:c r="Y215" s="22" t="n">
        <x:v>331</x:v>
      </x:c>
      <x:c r="Z215" s="22" t="n">
        <x:v>3</x:v>
      </x:c>
      <x:c r="AA215" s="22" t="n">
        <x:v>377</x:v>
      </x:c>
      <x:c r="AB215" s="22" t="n">
        <x:v>0</x:v>
      </x:c>
      <x:c r="AC215" s="22" t="n">
        <x:v>0</x:v>
      </x:c>
      <x:c r="AD215" s="22" t="n">
        <x:v>39</x:v>
      </x:c>
      <x:c r="AE215" s="22" t="n">
        <x:v>9</x:v>
      </x:c>
      <x:c r="AF215" s="22" t="n">
        <x:v>91</x:v>
      </x:c>
      <x:c r="AG215" s="22" t="n">
        <x:v>7</x:v>
      </x:c>
      <x:c r="AH215" s="22" t="n">
        <x:v>8</x:v>
      </x:c>
      <x:c r="AI215" s="22" t="n">
        <x:v>32</x:v>
      </x:c>
      <x:c r="AJ215" s="22" t="n">
        <x:v>7</x:v>
      </x:c>
      <x:c r="AK215" s="22" t="n">
        <x:v>4</x:v>
      </x:c>
      <x:c r="AL215" s="22" t="n">
        <x:v>763</x:v>
      </x:c>
      <x:c r="AM215" s="22" t="n">
        <x:v>63</x:v>
      </x:c>
      <x:c r="AN215" s="22" t="n">
        <x:v>10</x:v>
      </x:c>
      <x:c r="AO215" s="22" t="n">
        <x:v>7</x:v>
      </x:c>
      <x:c r="AP215" s="22" t="n">
        <x:v>3240</x:v>
      </x:c>
      <x:c r="AQ215" s="22" t="n">
        <x:v>18</x:v>
      </x:c>
      <x:c r="AR215" s="22" t="n">
        <x:v>0</x:v>
      </x:c>
      <x:c r="AS215" s="22" t="n">
        <x:v>10</x:v>
      </x:c>
      <x:c r="AT215" s="22" t="n">
        <x:v>10</x:v>
      </x:c>
      <x:c r="AU215" s="22" t="n">
        <x:v>0</x:v>
      </x:c>
      <x:c r="AV215" s="22" t="n">
        <x:v>24</x:v>
      </x:c>
      <x:c r="AW215" s="22" t="n">
        <x:v>0</x:v>
      </x:c>
    </x:row>
    <x:row r="216" ht="24" customHeight="1">
      <x:c r="A216" s="22" t="str">
        <x:v>P0212</x:v>
      </x:c>
      <x:c r="B216" s="22" t="n">
        <x:v>7</x:v>
      </x:c>
      <x:c r="C216" s="22" t="n">
        <x:v>1</x:v>
      </x:c>
      <x:c r="D216" s="22" t="str">
        <x:v>C07本阶段既有付费/长期成长</x:v>
      </x:c>
      <x:c r="E216" s="22" t="n">
        <x:v>32534</x:v>
      </x:c>
      <x:c r="F216" s="22" t="n">
        <x:v>36308</x:v>
      </x:c>
      <x:c r="G216" s="22" t="n">
        <x:v>30266</x:v>
      </x:c>
      <x:c r="H216" s="22" t="n">
        <x:v>34016</x:v>
      </x:c>
      <x:c r="I216" s="22" t="n">
        <x:v>30268</x:v>
      </x:c>
      <x:c r="J216" s="22" t="n">
        <x:v>34018</x:v>
      </x:c>
      <x:c r="K216" s="22" t="n">
        <x:v>5059900</x:v>
      </x:c>
      <x:c r="L216" s="22" t="n">
        <x:v>800800</x:v>
      </x:c>
      <x:c r="M216" s="22" t="n">
        <x:v>790</x:v>
      </x:c>
      <x:c r="N216" s="22" t="n">
        <x:v>1424</x:v>
      </x:c>
      <x:c r="O216" s="22" t="n">
        <x:v>641</x:v>
      </x:c>
      <x:c r="P216" s="22" t="n">
        <x:v>1173</x:v>
      </x:c>
      <x:c r="Q216" s="22" t="n">
        <x:v>1078</x:v>
      </x:c>
      <x:c r="R216" s="22" t="n">
        <x:v>1029</x:v>
      </x:c>
      <x:c r="S216" s="22" t="n">
        <x:v>1029</x:v>
      </x:c>
      <x:c r="T216" s="22" t="n">
        <x:v>0.7700000000000002</x:v>
      </x:c>
      <x:c r="U216" s="22" t="n">
        <x:v>19</x:v>
      </x:c>
      <x:c r="V216" s="22" t="n">
        <x:v>487</x:v>
      </x:c>
      <x:c r="W216" s="22" t="n">
        <x:v>167</x:v>
      </x:c>
      <x:c r="X216" s="22" t="n">
        <x:v>27</x:v>
      </x:c>
      <x:c r="Y216" s="22" t="n">
        <x:v>331</x:v>
      </x:c>
      <x:c r="Z216" s="22" t="n">
        <x:v>3</x:v>
      </x:c>
      <x:c r="AA216" s="22" t="n">
        <x:v>377</x:v>
      </x:c>
      <x:c r="AB216" s="22" t="n">
        <x:v>0</x:v>
      </x:c>
      <x:c r="AC216" s="22" t="n">
        <x:v>0</x:v>
      </x:c>
      <x:c r="AD216" s="22" t="n">
        <x:v>39</x:v>
      </x:c>
      <x:c r="AE216" s="22" t="n">
        <x:v>9</x:v>
      </x:c>
      <x:c r="AF216" s="22" t="n">
        <x:v>91</x:v>
      </x:c>
      <x:c r="AG216" s="22" t="n">
        <x:v>7</x:v>
      </x:c>
      <x:c r="AH216" s="22" t="n">
        <x:v>8</x:v>
      </x:c>
      <x:c r="AI216" s="22" t="n">
        <x:v>32</x:v>
      </x:c>
      <x:c r="AJ216" s="22" t="n">
        <x:v>7</x:v>
      </x:c>
      <x:c r="AK216" s="22" t="n">
        <x:v>4</x:v>
      </x:c>
      <x:c r="AL216" s="22" t="n">
        <x:v>763</x:v>
      </x:c>
      <x:c r="AM216" s="22" t="n">
        <x:v>63</x:v>
      </x:c>
      <x:c r="AN216" s="22" t="n">
        <x:v>10</x:v>
      </x:c>
      <x:c r="AO216" s="22" t="n">
        <x:v>7</x:v>
      </x:c>
      <x:c r="AP216" s="22" t="n">
        <x:v>3240</x:v>
      </x:c>
      <x:c r="AQ216" s="22" t="n">
        <x:v>18</x:v>
      </x:c>
      <x:c r="AR216" s="22" t="n">
        <x:v>0</x:v>
      </x:c>
      <x:c r="AS216" s="22" t="n">
        <x:v>10</x:v>
      </x:c>
      <x:c r="AT216" s="22" t="n">
        <x:v>10</x:v>
      </x:c>
      <x:c r="AU216" s="22" t="n">
        <x:v>0</x:v>
      </x:c>
      <x:c r="AV216" s="22" t="n">
        <x:v>24</x:v>
      </x:c>
      <x:c r="AW216" s="22" t="n">
        <x:v>0</x:v>
      </x:c>
    </x:row>
    <x:row r="217" ht="24" customHeight="1">
      <x:c r="A217" s="22" t="str">
        <x:v>P0213</x:v>
      </x:c>
      <x:c r="B217" s="22" t="n">
        <x:v>7</x:v>
      </x:c>
      <x:c r="C217" s="22" t="n">
        <x:v>1</x:v>
      </x:c>
      <x:c r="D217" s="22" t="str">
        <x:v>C07G01入场</x:v>
      </x:c>
      <x:c r="E217" s="22" t="n">
        <x:v>32534</x:v>
      </x:c>
      <x:c r="F217" s="22" t="n">
        <x:v>36308</x:v>
      </x:c>
      <x:c r="G217" s="22" t="n">
        <x:v>30266</x:v>
      </x:c>
      <x:c r="H217" s="22" t="n">
        <x:v>34016</x:v>
      </x:c>
      <x:c r="I217" s="22" t="n">
        <x:v>30268</x:v>
      </x:c>
      <x:c r="J217" s="22" t="n">
        <x:v>34018</x:v>
      </x:c>
      <x:c r="K217" s="22" t="n">
        <x:v>5059900</x:v>
      </x:c>
      <x:c r="L217" s="22" t="n">
        <x:v>800800</x:v>
      </x:c>
      <x:c r="M217" s="22" t="n">
        <x:v>790</x:v>
      </x:c>
      <x:c r="N217" s="22" t="n">
        <x:v>1424</x:v>
      </x:c>
      <x:c r="O217" s="22" t="n">
        <x:v>641</x:v>
      </x:c>
      <x:c r="P217" s="22" t="n">
        <x:v>1173</x:v>
      </x:c>
      <x:c r="Q217" s="22" t="n">
        <x:v>1078</x:v>
      </x:c>
      <x:c r="R217" s="22" t="n">
        <x:v>1029</x:v>
      </x:c>
      <x:c r="S217" s="22" t="n">
        <x:v>1029</x:v>
      </x:c>
      <x:c r="T217" s="22" t="n">
        <x:v>0.7700000000000002</x:v>
      </x:c>
      <x:c r="U217" s="22" t="n">
        <x:v>19</x:v>
      </x:c>
      <x:c r="V217" s="22" t="n">
        <x:v>487</x:v>
      </x:c>
      <x:c r="W217" s="22" t="n">
        <x:v>167</x:v>
      </x:c>
      <x:c r="X217" s="22" t="n">
        <x:v>27</x:v>
      </x:c>
      <x:c r="Y217" s="22" t="n">
        <x:v>331</x:v>
      </x:c>
      <x:c r="Z217" s="22" t="n">
        <x:v>3</x:v>
      </x:c>
      <x:c r="AA217" s="22" t="n">
        <x:v>377</x:v>
      </x:c>
      <x:c r="AB217" s="22" t="n">
        <x:v>0</x:v>
      </x:c>
      <x:c r="AC217" s="22" t="n">
        <x:v>0</x:v>
      </x:c>
      <x:c r="AD217" s="22" t="n">
        <x:v>39</x:v>
      </x:c>
      <x:c r="AE217" s="22" t="n">
        <x:v>9</x:v>
      </x:c>
      <x:c r="AF217" s="22" t="n">
        <x:v>91</x:v>
      </x:c>
      <x:c r="AG217" s="22" t="n">
        <x:v>7</x:v>
      </x:c>
      <x:c r="AH217" s="22" t="n">
        <x:v>8</x:v>
      </x:c>
      <x:c r="AI217" s="22" t="n">
        <x:v>32</x:v>
      </x:c>
      <x:c r="AJ217" s="22" t="n">
        <x:v>7</x:v>
      </x:c>
      <x:c r="AK217" s="22" t="n">
        <x:v>4</x:v>
      </x:c>
      <x:c r="AL217" s="22" t="n">
        <x:v>763</x:v>
      </x:c>
      <x:c r="AM217" s="22" t="n">
        <x:v>63</x:v>
      </x:c>
      <x:c r="AN217" s="22" t="n">
        <x:v>10</x:v>
      </x:c>
      <x:c r="AO217" s="22" t="n">
        <x:v>7</x:v>
      </x:c>
      <x:c r="AP217" s="22" t="n">
        <x:v>3240</x:v>
      </x:c>
      <x:c r="AQ217" s="22" t="n">
        <x:v>18</x:v>
      </x:c>
      <x:c r="AR217" s="22" t="n">
        <x:v>0</x:v>
      </x:c>
      <x:c r="AS217" s="22" t="n">
        <x:v>10</x:v>
      </x:c>
      <x:c r="AT217" s="22" t="n">
        <x:v>10</x:v>
      </x:c>
      <x:c r="AU217" s="22" t="n">
        <x:v>0</x:v>
      </x:c>
      <x:c r="AV217" s="22" t="n">
        <x:v>24</x:v>
      </x:c>
      <x:c r="AW217" s="22" t="n">
        <x:v>0</x:v>
      </x:c>
    </x:row>
    <x:row r="218" ht="24" customHeight="1">
      <x:c r="A218" s="22" t="str">
        <x:v>P0214</x:v>
      </x:c>
      <x:c r="B218" s="22" t="n">
        <x:v>7</x:v>
      </x:c>
      <x:c r="C218" s="22" t="n">
        <x:v>1</x:v>
      </x:c>
      <x:c r="D218" s="22" t="str">
        <x:v>C07G01普通专属4/6</x:v>
      </x:c>
      <x:c r="E218" s="22" t="n">
        <x:v>32534</x:v>
      </x:c>
      <x:c r="F218" s="22" t="n">
        <x:v>36308</x:v>
      </x:c>
      <x:c r="G218" s="22" t="n">
        <x:v>30266</x:v>
      </x:c>
      <x:c r="H218" s="22" t="n">
        <x:v>34016</x:v>
      </x:c>
      <x:c r="I218" s="22" t="n">
        <x:v>30268</x:v>
      </x:c>
      <x:c r="J218" s="22" t="n">
        <x:v>34018</x:v>
      </x:c>
      <x:c r="K218" s="22" t="n">
        <x:v>5059900</x:v>
      </x:c>
      <x:c r="L218" s="22" t="n">
        <x:v>800800</x:v>
      </x:c>
      <x:c r="M218" s="22" t="n">
        <x:v>790</x:v>
      </x:c>
      <x:c r="N218" s="22" t="n">
        <x:v>1424</x:v>
      </x:c>
      <x:c r="O218" s="22" t="n">
        <x:v>641</x:v>
      </x:c>
      <x:c r="P218" s="22" t="n">
        <x:v>1173</x:v>
      </x:c>
      <x:c r="Q218" s="22" t="n">
        <x:v>1078</x:v>
      </x:c>
      <x:c r="R218" s="22" t="n">
        <x:v>1029</x:v>
      </x:c>
      <x:c r="S218" s="22" t="n">
        <x:v>1029</x:v>
      </x:c>
      <x:c r="T218" s="22" t="n">
        <x:v>0.7700000000000002</x:v>
      </x:c>
      <x:c r="U218" s="22" t="n">
        <x:v>19</x:v>
      </x:c>
      <x:c r="V218" s="22" t="n">
        <x:v>487</x:v>
      </x:c>
      <x:c r="W218" s="22" t="n">
        <x:v>167</x:v>
      </x:c>
      <x:c r="X218" s="22" t="n">
        <x:v>27</x:v>
      </x:c>
      <x:c r="Y218" s="22" t="n">
        <x:v>331</x:v>
      </x:c>
      <x:c r="Z218" s="22" t="n">
        <x:v>3</x:v>
      </x:c>
      <x:c r="AA218" s="22" t="n">
        <x:v>377</x:v>
      </x:c>
      <x:c r="AB218" s="22" t="n">
        <x:v>0</x:v>
      </x:c>
      <x:c r="AC218" s="22" t="n">
        <x:v>0</x:v>
      </x:c>
      <x:c r="AD218" s="22" t="n">
        <x:v>39</x:v>
      </x:c>
      <x:c r="AE218" s="22" t="n">
        <x:v>9</x:v>
      </x:c>
      <x:c r="AF218" s="22" t="n">
        <x:v>91</x:v>
      </x:c>
      <x:c r="AG218" s="22" t="n">
        <x:v>7</x:v>
      </x:c>
      <x:c r="AH218" s="22" t="n">
        <x:v>8</x:v>
      </x:c>
      <x:c r="AI218" s="22" t="n">
        <x:v>32</x:v>
      </x:c>
      <x:c r="AJ218" s="22" t="n">
        <x:v>7</x:v>
      </x:c>
      <x:c r="AK218" s="22" t="n">
        <x:v>4</x:v>
      </x:c>
      <x:c r="AL218" s="22" t="n">
        <x:v>763</x:v>
      </x:c>
      <x:c r="AM218" s="22" t="n">
        <x:v>63</x:v>
      </x:c>
      <x:c r="AN218" s="22" t="n">
        <x:v>10</x:v>
      </x:c>
      <x:c r="AO218" s="22" t="n">
        <x:v>7</x:v>
      </x:c>
      <x:c r="AP218" s="22" t="n">
        <x:v>3240</x:v>
      </x:c>
      <x:c r="AQ218" s="22" t="n">
        <x:v>18</x:v>
      </x:c>
      <x:c r="AR218" s="22" t="n">
        <x:v>0</x:v>
      </x:c>
      <x:c r="AS218" s="22" t="n">
        <x:v>10</x:v>
      </x:c>
      <x:c r="AT218" s="22" t="n">
        <x:v>10</x:v>
      </x:c>
      <x:c r="AU218" s="22" t="n">
        <x:v>0</x:v>
      </x:c>
      <x:c r="AV218" s="22" t="n">
        <x:v>24</x:v>
      </x:c>
      <x:c r="AW218" s="22" t="n">
        <x:v>0</x:v>
      </x:c>
    </x:row>
    <x:row r="219" ht="24" customHeight="1">
      <x:c r="A219" s="22" t="str">
        <x:v>P0215</x:v>
      </x:c>
      <x:c r="B219" s="22" t="n">
        <x:v>7</x:v>
      </x:c>
      <x:c r="C219" s="22" t="n">
        <x:v>1</x:v>
      </x:c>
      <x:c r="D219" s="22" t="str">
        <x:v>雪墓巨人·赫洛挑战前</x:v>
      </x:c>
      <x:c r="E219" s="22" t="n">
        <x:v>33224</x:v>
      </x:c>
      <x:c r="F219" s="22" t="n">
        <x:v>36998</x:v>
      </x:c>
      <x:c r="G219" s="22" t="n">
        <x:v>30956</x:v>
      </x:c>
      <x:c r="H219" s="22" t="n">
        <x:v>34706</x:v>
      </x:c>
      <x:c r="I219" s="22" t="n">
        <x:v>30958</x:v>
      </x:c>
      <x:c r="J219" s="22" t="n">
        <x:v>34708</x:v>
      </x:c>
      <x:c r="K219" s="22" t="n">
        <x:v>5128900</x:v>
      </x:c>
      <x:c r="L219" s="22" t="n">
        <x:v>800800</x:v>
      </x:c>
      <x:c r="M219" s="22" t="n">
        <x:v>790</x:v>
      </x:c>
      <x:c r="N219" s="22" t="n">
        <x:v>1424</x:v>
      </x:c>
      <x:c r="O219" s="22" t="n">
        <x:v>641</x:v>
      </x:c>
      <x:c r="P219" s="22" t="n">
        <x:v>1173</x:v>
      </x:c>
      <x:c r="Q219" s="22" t="n">
        <x:v>1078</x:v>
      </x:c>
      <x:c r="R219" s="22" t="n">
        <x:v>1029</x:v>
      </x:c>
      <x:c r="S219" s="22" t="n">
        <x:v>1029</x:v>
      </x:c>
      <x:c r="T219" s="22" t="n">
        <x:v>0.7700000000000002</x:v>
      </x:c>
      <x:c r="U219" s="22" t="n">
        <x:v>19</x:v>
      </x:c>
      <x:c r="V219" s="22" t="n">
        <x:v>487</x:v>
      </x:c>
      <x:c r="W219" s="22" t="n">
        <x:v>167</x:v>
      </x:c>
      <x:c r="X219" s="22" t="n">
        <x:v>27</x:v>
      </x:c>
      <x:c r="Y219" s="22" t="n">
        <x:v>331</x:v>
      </x:c>
      <x:c r="Z219" s="22" t="n">
        <x:v>3</x:v>
      </x:c>
      <x:c r="AA219" s="22" t="n">
        <x:v>377</x:v>
      </x:c>
      <x:c r="AB219" s="22" t="n">
        <x:v>0</x:v>
      </x:c>
      <x:c r="AC219" s="22" t="n">
        <x:v>0</x:v>
      </x:c>
      <x:c r="AD219" s="22" t="n">
        <x:v>39</x:v>
      </x:c>
      <x:c r="AE219" s="22" t="n">
        <x:v>9</x:v>
      </x:c>
      <x:c r="AF219" s="22" t="n">
        <x:v>91</x:v>
      </x:c>
      <x:c r="AG219" s="22" t="n">
        <x:v>7</x:v>
      </x:c>
      <x:c r="AH219" s="22" t="n">
        <x:v>8</x:v>
      </x:c>
      <x:c r="AI219" s="22" t="n">
        <x:v>32</x:v>
      </x:c>
      <x:c r="AJ219" s="22" t="n">
        <x:v>7</x:v>
      </x:c>
      <x:c r="AK219" s="22" t="n">
        <x:v>4</x:v>
      </x:c>
      <x:c r="AL219" s="22" t="n">
        <x:v>763</x:v>
      </x:c>
      <x:c r="AM219" s="22" t="n">
        <x:v>63</x:v>
      </x:c>
      <x:c r="AN219" s="22" t="n">
        <x:v>10</x:v>
      </x:c>
      <x:c r="AO219" s="22" t="n">
        <x:v>7</x:v>
      </x:c>
      <x:c r="AP219" s="22" t="n">
        <x:v>3240</x:v>
      </x:c>
      <x:c r="AQ219" s="22" t="n">
        <x:v>18</x:v>
      </x:c>
      <x:c r="AR219" s="22" t="n">
        <x:v>0</x:v>
      </x:c>
      <x:c r="AS219" s="22" t="n">
        <x:v>10</x:v>
      </x:c>
      <x:c r="AT219" s="22" t="n">
        <x:v>10</x:v>
      </x:c>
      <x:c r="AU219" s="22" t="n">
        <x:v>0</x:v>
      </x:c>
      <x:c r="AV219" s="22" t="n">
        <x:v>24</x:v>
      </x:c>
      <x:c r="AW219" s="22" t="n">
        <x:v>0</x:v>
      </x:c>
    </x:row>
    <x:row r="220" ht="24" customHeight="1">
      <x:c r="A220" s="22" t="str">
        <x:v>P0216</x:v>
      </x:c>
      <x:c r="B220" s="22" t="n">
        <x:v>7</x:v>
      </x:c>
      <x:c r="C220" s="22" t="n">
        <x:v>1</x:v>
      </x:c>
      <x:c r="D220" s="22" t="str">
        <x:v>苍白鹿王·艾尔维挑战前</x:v>
      </x:c>
      <x:c r="E220" s="22" t="n">
        <x:v>33224</x:v>
      </x:c>
      <x:c r="F220" s="22" t="n">
        <x:v>36998</x:v>
      </x:c>
      <x:c r="G220" s="22" t="n">
        <x:v>30956</x:v>
      </x:c>
      <x:c r="H220" s="22" t="n">
        <x:v>34706</x:v>
      </x:c>
      <x:c r="I220" s="22" t="n">
        <x:v>30958</x:v>
      </x:c>
      <x:c r="J220" s="22" t="n">
        <x:v>34708</x:v>
      </x:c>
      <x:c r="K220" s="22" t="n">
        <x:v>5128900</x:v>
      </x:c>
      <x:c r="L220" s="22" t="n">
        <x:v>800800</x:v>
      </x:c>
      <x:c r="M220" s="22" t="n">
        <x:v>790</x:v>
      </x:c>
      <x:c r="N220" s="22" t="n">
        <x:v>1424</x:v>
      </x:c>
      <x:c r="O220" s="22" t="n">
        <x:v>641</x:v>
      </x:c>
      <x:c r="P220" s="22" t="n">
        <x:v>1173</x:v>
      </x:c>
      <x:c r="Q220" s="22" t="n">
        <x:v>1078</x:v>
      </x:c>
      <x:c r="R220" s="22" t="n">
        <x:v>1029</x:v>
      </x:c>
      <x:c r="S220" s="22" t="n">
        <x:v>1029</x:v>
      </x:c>
      <x:c r="T220" s="22" t="n">
        <x:v>0.7700000000000002</x:v>
      </x:c>
      <x:c r="U220" s="22" t="n">
        <x:v>19</x:v>
      </x:c>
      <x:c r="V220" s="22" t="n">
        <x:v>487</x:v>
      </x:c>
      <x:c r="W220" s="22" t="n">
        <x:v>167</x:v>
      </x:c>
      <x:c r="X220" s="22" t="n">
        <x:v>27</x:v>
      </x:c>
      <x:c r="Y220" s="22" t="n">
        <x:v>331</x:v>
      </x:c>
      <x:c r="Z220" s="22" t="n">
        <x:v>3</x:v>
      </x:c>
      <x:c r="AA220" s="22" t="n">
        <x:v>377</x:v>
      </x:c>
      <x:c r="AB220" s="22" t="n">
        <x:v>0</x:v>
      </x:c>
      <x:c r="AC220" s="22" t="n">
        <x:v>0</x:v>
      </x:c>
      <x:c r="AD220" s="22" t="n">
        <x:v>39</x:v>
      </x:c>
      <x:c r="AE220" s="22" t="n">
        <x:v>9</x:v>
      </x:c>
      <x:c r="AF220" s="22" t="n">
        <x:v>91</x:v>
      </x:c>
      <x:c r="AG220" s="22" t="n">
        <x:v>7</x:v>
      </x:c>
      <x:c r="AH220" s="22" t="n">
        <x:v>8</x:v>
      </x:c>
      <x:c r="AI220" s="22" t="n">
        <x:v>32</x:v>
      </x:c>
      <x:c r="AJ220" s="22" t="n">
        <x:v>7</x:v>
      </x:c>
      <x:c r="AK220" s="22" t="n">
        <x:v>4</x:v>
      </x:c>
      <x:c r="AL220" s="22" t="n">
        <x:v>763</x:v>
      </x:c>
      <x:c r="AM220" s="22" t="n">
        <x:v>63</x:v>
      </x:c>
      <x:c r="AN220" s="22" t="n">
        <x:v>10</x:v>
      </x:c>
      <x:c r="AO220" s="22" t="n">
        <x:v>7</x:v>
      </x:c>
      <x:c r="AP220" s="22" t="n">
        <x:v>3240</x:v>
      </x:c>
      <x:c r="AQ220" s="22" t="n">
        <x:v>18</x:v>
      </x:c>
      <x:c r="AR220" s="22" t="n">
        <x:v>0</x:v>
      </x:c>
      <x:c r="AS220" s="22" t="n">
        <x:v>10</x:v>
      </x:c>
      <x:c r="AT220" s="22" t="n">
        <x:v>10</x:v>
      </x:c>
      <x:c r="AU220" s="22" t="n">
        <x:v>0</x:v>
      </x:c>
      <x:c r="AV220" s="22" t="n">
        <x:v>24</x:v>
      </x:c>
      <x:c r="AW220" s="22" t="n">
        <x:v>0</x:v>
      </x:c>
    </x:row>
    <x:row r="221" ht="24" customHeight="1">
      <x:c r="A221" s="22" t="str">
        <x:v>P0217</x:v>
      </x:c>
      <x:c r="B221" s="22" t="n">
        <x:v>7</x:v>
      </x:c>
      <x:c r="C221" s="22" t="n">
        <x:v>1</x:v>
      </x:c>
      <x:c r="D221" s="22" t="str">
        <x:v>苍白雪原BOSS装备快线</x:v>
      </x:c>
      <x:c r="E221" s="22" t="n">
        <x:v>33329</x:v>
      </x:c>
      <x:c r="F221" s="22" t="n">
        <x:v>37203</x:v>
      </x:c>
      <x:c r="G221" s="22" t="n">
        <x:v>31061</x:v>
      </x:c>
      <x:c r="H221" s="22" t="n">
        <x:v>34911</x:v>
      </x:c>
      <x:c r="I221" s="22" t="n">
        <x:v>31063</x:v>
      </x:c>
      <x:c r="J221" s="22" t="n">
        <x:v>34913</x:v>
      </x:c>
      <x:c r="K221" s="22" t="n">
        <x:v>5212600</x:v>
      </x:c>
      <x:c r="L221" s="22" t="n">
        <x:v>800800</x:v>
      </x:c>
      <x:c r="M221" s="22" t="n">
        <x:v>833</x:v>
      </x:c>
      <x:c r="N221" s="22" t="n">
        <x:v>1501</x:v>
      </x:c>
      <x:c r="O221" s="22" t="n">
        <x:v>676</x:v>
      </x:c>
      <x:c r="P221" s="22" t="n">
        <x:v>1236</x:v>
      </x:c>
      <x:c r="Q221" s="22" t="n">
        <x:v>1096</x:v>
      </x:c>
      <x:c r="R221" s="22" t="n">
        <x:v>1047</x:v>
      </x:c>
      <x:c r="S221" s="22" t="n">
        <x:v>1047</x:v>
      </x:c>
      <x:c r="T221" s="22" t="n">
        <x:v>0.7700000000000002</x:v>
      </x:c>
      <x:c r="U221" s="22" t="n">
        <x:v>19</x:v>
      </x:c>
      <x:c r="V221" s="22" t="n">
        <x:v>487</x:v>
      </x:c>
      <x:c r="W221" s="22" t="n">
        <x:v>167</x:v>
      </x:c>
      <x:c r="X221" s="22" t="n">
        <x:v>27</x:v>
      </x:c>
      <x:c r="Y221" s="22" t="n">
        <x:v>331</x:v>
      </x:c>
      <x:c r="Z221" s="22" t="n">
        <x:v>3</x:v>
      </x:c>
      <x:c r="AA221" s="22" t="n">
        <x:v>377</x:v>
      </x:c>
      <x:c r="AB221" s="22" t="n">
        <x:v>0</x:v>
      </x:c>
      <x:c r="AC221" s="22" t="n">
        <x:v>0</x:v>
      </x:c>
      <x:c r="AD221" s="22" t="n">
        <x:v>39</x:v>
      </x:c>
      <x:c r="AE221" s="22" t="n">
        <x:v>9</x:v>
      </x:c>
      <x:c r="AF221" s="22" t="n">
        <x:v>91</x:v>
      </x:c>
      <x:c r="AG221" s="22" t="n">
        <x:v>7</x:v>
      </x:c>
      <x:c r="AH221" s="22" t="n">
        <x:v>8</x:v>
      </x:c>
      <x:c r="AI221" s="22" t="n">
        <x:v>32</x:v>
      </x:c>
      <x:c r="AJ221" s="22" t="n">
        <x:v>7</x:v>
      </x:c>
      <x:c r="AK221" s="22" t="n">
        <x:v>4</x:v>
      </x:c>
      <x:c r="AL221" s="22" t="n">
        <x:v>763</x:v>
      </x:c>
      <x:c r="AM221" s="22" t="n">
        <x:v>64</x:v>
      </x:c>
      <x:c r="AN221" s="22" t="n">
        <x:v>10</x:v>
      </x:c>
      <x:c r="AO221" s="22" t="n">
        <x:v>7</x:v>
      </x:c>
      <x:c r="AP221" s="22" t="n">
        <x:v>3240</x:v>
      </x:c>
      <x:c r="AQ221" s="22" t="n">
        <x:v>18</x:v>
      </x:c>
      <x:c r="AR221" s="22" t="n">
        <x:v>0</x:v>
      </x:c>
      <x:c r="AS221" s="22" t="n">
        <x:v>10</x:v>
      </x:c>
      <x:c r="AT221" s="22" t="n">
        <x:v>10</x:v>
      </x:c>
      <x:c r="AU221" s="22" t="n">
        <x:v>0</x:v>
      </x:c>
      <x:c r="AV221" s="22" t="n">
        <x:v>24</x:v>
      </x:c>
      <x:c r="AW221" s="22" t="n">
        <x:v>0</x:v>
      </x:c>
    </x:row>
    <x:row r="222" ht="24" customHeight="1">
      <x:c r="A222" s="22" t="str">
        <x:v>P0218</x:v>
      </x:c>
      <x:c r="B222" s="22" t="n">
        <x:v>7</x:v>
      </x:c>
      <x:c r="C222" s="22" t="n">
        <x:v>1</x:v>
      </x:c>
      <x:c r="D222" s="22" t="str">
        <x:v>苍白雪原阶段积累后</x:v>
      </x:c>
      <x:c r="E222" s="22" t="n">
        <x:v>36744</x:v>
      </x:c>
      <x:c r="F222" s="22" t="n">
        <x:v>40518</x:v>
      </x:c>
      <x:c r="G222" s="22" t="n">
        <x:v>34476</x:v>
      </x:c>
      <x:c r="H222" s="22" t="n">
        <x:v>38226</x:v>
      </x:c>
      <x:c r="I222" s="22" t="n">
        <x:v>34478</x:v>
      </x:c>
      <x:c r="J222" s="22" t="n">
        <x:v>38228</x:v>
      </x:c>
      <x:c r="K222" s="22" t="n">
        <x:v>5480900</x:v>
      </x:c>
      <x:c r="L222" s="22" t="n">
        <x:v>800800</x:v>
      </x:c>
      <x:c r="M222" s="22" t="n">
        <x:v>790</x:v>
      </x:c>
      <x:c r="N222" s="22" t="n">
        <x:v>1424</x:v>
      </x:c>
      <x:c r="O222" s="22" t="n">
        <x:v>641</x:v>
      </x:c>
      <x:c r="P222" s="22" t="n">
        <x:v>1173</x:v>
      </x:c>
      <x:c r="Q222" s="22" t="n">
        <x:v>1078</x:v>
      </x:c>
      <x:c r="R222" s="22" t="n">
        <x:v>1029</x:v>
      </x:c>
      <x:c r="S222" s="22" t="n">
        <x:v>1029</x:v>
      </x:c>
      <x:c r="T222" s="22" t="n">
        <x:v>0.7700000000000002</x:v>
      </x:c>
      <x:c r="U222" s="22" t="n">
        <x:v>19</x:v>
      </x:c>
      <x:c r="V222" s="22" t="n">
        <x:v>487</x:v>
      </x:c>
      <x:c r="W222" s="22" t="n">
        <x:v>167</x:v>
      </x:c>
      <x:c r="X222" s="22" t="n">
        <x:v>27</x:v>
      </x:c>
      <x:c r="Y222" s="22" t="n">
        <x:v>331</x:v>
      </x:c>
      <x:c r="Z222" s="22" t="n">
        <x:v>3</x:v>
      </x:c>
      <x:c r="AA222" s="22" t="n">
        <x:v>377</x:v>
      </x:c>
      <x:c r="AB222" s="22" t="n">
        <x:v>0</x:v>
      </x:c>
      <x:c r="AC222" s="22" t="n">
        <x:v>0</x:v>
      </x:c>
      <x:c r="AD222" s="22" t="n">
        <x:v>39</x:v>
      </x:c>
      <x:c r="AE222" s="22" t="n">
        <x:v>10</x:v>
      </x:c>
      <x:c r="AF222" s="22" t="n">
        <x:v>91</x:v>
      </x:c>
      <x:c r="AG222" s="22" t="n">
        <x:v>7</x:v>
      </x:c>
      <x:c r="AH222" s="22" t="n">
        <x:v>8</x:v>
      </x:c>
      <x:c r="AI222" s="22" t="n">
        <x:v>32</x:v>
      </x:c>
      <x:c r="AJ222" s="22" t="n">
        <x:v>7</x:v>
      </x:c>
      <x:c r="AK222" s="22" t="n">
        <x:v>4</x:v>
      </x:c>
      <x:c r="AL222" s="22" t="n">
        <x:v>763</x:v>
      </x:c>
      <x:c r="AM222" s="22" t="n">
        <x:v>63</x:v>
      </x:c>
      <x:c r="AN222" s="22" t="n">
        <x:v>10</x:v>
      </x:c>
      <x:c r="AO222" s="22" t="n">
        <x:v>7</x:v>
      </x:c>
      <x:c r="AP222" s="22" t="n">
        <x:v>3240</x:v>
      </x:c>
      <x:c r="AQ222" s="22" t="n">
        <x:v>18</x:v>
      </x:c>
      <x:c r="AR222" s="22" t="n">
        <x:v>0</x:v>
      </x:c>
      <x:c r="AS222" s="22" t="n">
        <x:v>10</x:v>
      </x:c>
      <x:c r="AT222" s="22" t="n">
        <x:v>10</x:v>
      </x:c>
      <x:c r="AU222" s="22" t="n">
        <x:v>0</x:v>
      </x:c>
      <x:c r="AV222" s="22" t="n">
        <x:v>24</x:v>
      </x:c>
      <x:c r="AW222" s="22" t="n">
        <x:v>0</x:v>
      </x:c>
    </x:row>
    <x:row r="223" ht="24" customHeight="1">
      <x:c r="A223" s="22" t="str">
        <x:v>P0219</x:v>
      </x:c>
      <x:c r="B223" s="22" t="n">
        <x:v>7</x:v>
      </x:c>
      <x:c r="C223" s="22" t="n">
        <x:v>2</x:v>
      </x:c>
      <x:c r="D223" s="22" t="str">
        <x:v>C07G02入场</x:v>
      </x:c>
      <x:c r="E223" s="22" t="n">
        <x:v>36744</x:v>
      </x:c>
      <x:c r="F223" s="22" t="n">
        <x:v>40518</x:v>
      </x:c>
      <x:c r="G223" s="22" t="n">
        <x:v>34476</x:v>
      </x:c>
      <x:c r="H223" s="22" t="n">
        <x:v>38226</x:v>
      </x:c>
      <x:c r="I223" s="22" t="n">
        <x:v>34478</x:v>
      </x:c>
      <x:c r="J223" s="22" t="n">
        <x:v>38228</x:v>
      </x:c>
      <x:c r="K223" s="22" t="n">
        <x:v>5480900</x:v>
      </x:c>
      <x:c r="L223" s="22" t="n">
        <x:v>800800</x:v>
      </x:c>
      <x:c r="M223" s="22" t="n">
        <x:v>790</x:v>
      </x:c>
      <x:c r="N223" s="22" t="n">
        <x:v>1424</x:v>
      </x:c>
      <x:c r="O223" s="22" t="n">
        <x:v>641</x:v>
      </x:c>
      <x:c r="P223" s="22" t="n">
        <x:v>1173</x:v>
      </x:c>
      <x:c r="Q223" s="22" t="n">
        <x:v>1078</x:v>
      </x:c>
      <x:c r="R223" s="22" t="n">
        <x:v>1029</x:v>
      </x:c>
      <x:c r="S223" s="22" t="n">
        <x:v>1029</x:v>
      </x:c>
      <x:c r="T223" s="22" t="n">
        <x:v>0.7700000000000002</x:v>
      </x:c>
      <x:c r="U223" s="22" t="n">
        <x:v>19</x:v>
      </x:c>
      <x:c r="V223" s="22" t="n">
        <x:v>487</x:v>
      </x:c>
      <x:c r="W223" s="22" t="n">
        <x:v>167</x:v>
      </x:c>
      <x:c r="X223" s="22" t="n">
        <x:v>27</x:v>
      </x:c>
      <x:c r="Y223" s="22" t="n">
        <x:v>331</x:v>
      </x:c>
      <x:c r="Z223" s="22" t="n">
        <x:v>3</x:v>
      </x:c>
      <x:c r="AA223" s="22" t="n">
        <x:v>377</x:v>
      </x:c>
      <x:c r="AB223" s="22" t="n">
        <x:v>0</x:v>
      </x:c>
      <x:c r="AC223" s="22" t="n">
        <x:v>0</x:v>
      </x:c>
      <x:c r="AD223" s="22" t="n">
        <x:v>39</x:v>
      </x:c>
      <x:c r="AE223" s="22" t="n">
        <x:v>10</x:v>
      </x:c>
      <x:c r="AF223" s="22" t="n">
        <x:v>91</x:v>
      </x:c>
      <x:c r="AG223" s="22" t="n">
        <x:v>7</x:v>
      </x:c>
      <x:c r="AH223" s="22" t="n">
        <x:v>8</x:v>
      </x:c>
      <x:c r="AI223" s="22" t="n">
        <x:v>32</x:v>
      </x:c>
      <x:c r="AJ223" s="22" t="n">
        <x:v>7</x:v>
      </x:c>
      <x:c r="AK223" s="22" t="n">
        <x:v>4</x:v>
      </x:c>
      <x:c r="AL223" s="22" t="n">
        <x:v>763</x:v>
      </x:c>
      <x:c r="AM223" s="22" t="n">
        <x:v>63</x:v>
      </x:c>
      <x:c r="AN223" s="22" t="n">
        <x:v>10</x:v>
      </x:c>
      <x:c r="AO223" s="22" t="n">
        <x:v>7</x:v>
      </x:c>
      <x:c r="AP223" s="22" t="n">
        <x:v>3240</x:v>
      </x:c>
      <x:c r="AQ223" s="22" t="n">
        <x:v>18</x:v>
      </x:c>
      <x:c r="AR223" s="22" t="n">
        <x:v>0</x:v>
      </x:c>
      <x:c r="AS223" s="22" t="n">
        <x:v>10</x:v>
      </x:c>
      <x:c r="AT223" s="22" t="n">
        <x:v>10</x:v>
      </x:c>
      <x:c r="AU223" s="22" t="n">
        <x:v>0</x:v>
      </x:c>
      <x:c r="AV223" s="22" t="n">
        <x:v>24</x:v>
      </x:c>
      <x:c r="AW223" s="22" t="n">
        <x:v>0</x:v>
      </x:c>
    </x:row>
    <x:row r="224" ht="24" customHeight="1">
      <x:c r="A224" s="22" t="str">
        <x:v>P0220</x:v>
      </x:c>
      <x:c r="B224" s="22" t="n">
        <x:v>7</x:v>
      </x:c>
      <x:c r="C224" s="22" t="n">
        <x:v>2</x:v>
      </x:c>
      <x:c r="D224" s="22" t="str">
        <x:v>C07G02普通专属4/6</x:v>
      </x:c>
      <x:c r="E224" s="22" t="n">
        <x:v>36767</x:v>
      </x:c>
      <x:c r="F224" s="22" t="n">
        <x:v>40563</x:v>
      </x:c>
      <x:c r="G224" s="22" t="n">
        <x:v>34499</x:v>
      </x:c>
      <x:c r="H224" s="22" t="n">
        <x:v>38271</x:v>
      </x:c>
      <x:c r="I224" s="22" t="n">
        <x:v>34501</x:v>
      </x:c>
      <x:c r="J224" s="22" t="n">
        <x:v>38273</x:v>
      </x:c>
      <x:c r="K224" s="22" t="n">
        <x:v>5500500</x:v>
      </x:c>
      <x:c r="L224" s="22" t="n">
        <x:v>800800</x:v>
      </x:c>
      <x:c r="M224" s="22" t="n">
        <x:v>792</x:v>
      </x:c>
      <x:c r="N224" s="22" t="n">
        <x:v>1428</x:v>
      </x:c>
      <x:c r="O224" s="22" t="n">
        <x:v>643</x:v>
      </x:c>
      <x:c r="P224" s="22" t="n">
        <x:v>1176</x:v>
      </x:c>
      <x:c r="Q224" s="22" t="n">
        <x:v>1080</x:v>
      </x:c>
      <x:c r="R224" s="22" t="n">
        <x:v>1031</x:v>
      </x:c>
      <x:c r="S224" s="22" t="n">
        <x:v>1031</x:v>
      </x:c>
      <x:c r="T224" s="22" t="n">
        <x:v>0.7700000000000002</x:v>
      </x:c>
      <x:c r="U224" s="22" t="n">
        <x:v>19</x:v>
      </x:c>
      <x:c r="V224" s="22" t="n">
        <x:v>487</x:v>
      </x:c>
      <x:c r="W224" s="22" t="n">
        <x:v>167</x:v>
      </x:c>
      <x:c r="X224" s="22" t="n">
        <x:v>27</x:v>
      </x:c>
      <x:c r="Y224" s="22" t="n">
        <x:v>331</x:v>
      </x:c>
      <x:c r="Z224" s="22" t="n">
        <x:v>3</x:v>
      </x:c>
      <x:c r="AA224" s="22" t="n">
        <x:v>377</x:v>
      </x:c>
      <x:c r="AB224" s="22" t="n">
        <x:v>0</x:v>
      </x:c>
      <x:c r="AC224" s="22" t="n">
        <x:v>0</x:v>
      </x:c>
      <x:c r="AD224" s="22" t="n">
        <x:v>39</x:v>
      </x:c>
      <x:c r="AE224" s="22" t="n">
        <x:v>10</x:v>
      </x:c>
      <x:c r="AF224" s="22" t="n">
        <x:v>91</x:v>
      </x:c>
      <x:c r="AG224" s="22" t="n">
        <x:v>7</x:v>
      </x:c>
      <x:c r="AH224" s="22" t="n">
        <x:v>8</x:v>
      </x:c>
      <x:c r="AI224" s="22" t="n">
        <x:v>32</x:v>
      </x:c>
      <x:c r="AJ224" s="22" t="n">
        <x:v>7</x:v>
      </x:c>
      <x:c r="AK224" s="22" t="n">
        <x:v>4</x:v>
      </x:c>
      <x:c r="AL224" s="22" t="n">
        <x:v>763</x:v>
      </x:c>
      <x:c r="AM224" s="22" t="n">
        <x:v>63</x:v>
      </x:c>
      <x:c r="AN224" s="22" t="n">
        <x:v>10</x:v>
      </x:c>
      <x:c r="AO224" s="22" t="n">
        <x:v>7</x:v>
      </x:c>
      <x:c r="AP224" s="22" t="n">
        <x:v>3240</x:v>
      </x:c>
      <x:c r="AQ224" s="22" t="n">
        <x:v>18</x:v>
      </x:c>
      <x:c r="AR224" s="22" t="n">
        <x:v>0</x:v>
      </x:c>
      <x:c r="AS224" s="22" t="n">
        <x:v>10</x:v>
      </x:c>
      <x:c r="AT224" s="22" t="n">
        <x:v>10</x:v>
      </x:c>
      <x:c r="AU224" s="22" t="n">
        <x:v>0</x:v>
      </x:c>
      <x:c r="AV224" s="22" t="n">
        <x:v>24</x:v>
      </x:c>
      <x:c r="AW224" s="22" t="n">
        <x:v>0</x:v>
      </x:c>
    </x:row>
    <x:row r="225" ht="24" customHeight="1">
      <x:c r="A225" s="22" t="str">
        <x:v>P0221</x:v>
      </x:c>
      <x:c r="B225" s="22" t="n">
        <x:v>7</x:v>
      </x:c>
      <x:c r="C225" s="22" t="n">
        <x:v>2</x:v>
      </x:c>
      <x:c r="D225" s="22" t="str">
        <x:v>极昼雪后·芙蕾挑战前</x:v>
      </x:c>
      <x:c r="E225" s="22" t="n">
        <x:v>46197</x:v>
      </x:c>
      <x:c r="F225" s="22" t="n">
        <x:v>49996</x:v>
      </x:c>
      <x:c r="G225" s="22" t="n">
        <x:v>43927</x:v>
      </x:c>
      <x:c r="H225" s="22" t="n">
        <x:v>47699</x:v>
      </x:c>
      <x:c r="I225" s="22" t="n">
        <x:v>43929</x:v>
      </x:c>
      <x:c r="J225" s="22" t="n">
        <x:v>47701</x:v>
      </x:c>
      <x:c r="K225" s="22" t="n">
        <x:v>6443700</x:v>
      </x:c>
      <x:c r="L225" s="22" t="n">
        <x:v>1600900</x:v>
      </x:c>
      <x:c r="M225" s="22" t="n">
        <x:v>792</x:v>
      </x:c>
      <x:c r="N225" s="22" t="n">
        <x:v>1428</x:v>
      </x:c>
      <x:c r="O225" s="22" t="n">
        <x:v>643</x:v>
      </x:c>
      <x:c r="P225" s="22" t="n">
        <x:v>1176</x:v>
      </x:c>
      <x:c r="Q225" s="22" t="n">
        <x:v>1080</x:v>
      </x:c>
      <x:c r="R225" s="22" t="n">
        <x:v>1031</x:v>
      </x:c>
      <x:c r="S225" s="22" t="n">
        <x:v>1031</x:v>
      </x:c>
      <x:c r="T225" s="22" t="n">
        <x:v>0.7700000000000002</x:v>
      </x:c>
      <x:c r="U225" s="22" t="n">
        <x:v>19</x:v>
      </x:c>
      <x:c r="V225" s="22" t="n">
        <x:v>487</x:v>
      </x:c>
      <x:c r="W225" s="22" t="n">
        <x:v>167</x:v>
      </x:c>
      <x:c r="X225" s="22" t="n">
        <x:v>27</x:v>
      </x:c>
      <x:c r="Y225" s="22" t="n">
        <x:v>331</x:v>
      </x:c>
      <x:c r="Z225" s="22" t="n">
        <x:v>3</x:v>
      </x:c>
      <x:c r="AA225" s="22" t="n">
        <x:v>377</x:v>
      </x:c>
      <x:c r="AB225" s="22" t="n">
        <x:v>0</x:v>
      </x:c>
      <x:c r="AC225" s="22" t="n">
        <x:v>0</x:v>
      </x:c>
      <x:c r="AD225" s="22" t="n">
        <x:v>39</x:v>
      </x:c>
      <x:c r="AE225" s="22" t="n">
        <x:v>10</x:v>
      </x:c>
      <x:c r="AF225" s="22" t="n">
        <x:v>91</x:v>
      </x:c>
      <x:c r="AG225" s="22" t="n">
        <x:v>7</x:v>
      </x:c>
      <x:c r="AH225" s="22" t="n">
        <x:v>8</x:v>
      </x:c>
      <x:c r="AI225" s="22" t="n">
        <x:v>32</x:v>
      </x:c>
      <x:c r="AJ225" s="22" t="n">
        <x:v>7</x:v>
      </x:c>
      <x:c r="AK225" s="22" t="n">
        <x:v>4</x:v>
      </x:c>
      <x:c r="AL225" s="22" t="n">
        <x:v>763</x:v>
      </x:c>
      <x:c r="AM225" s="22" t="n">
        <x:v>63</x:v>
      </x:c>
      <x:c r="AN225" s="22" t="n">
        <x:v>10</x:v>
      </x:c>
      <x:c r="AO225" s="22" t="n">
        <x:v>7</x:v>
      </x:c>
      <x:c r="AP225" s="22" t="n">
        <x:v>4040</x:v>
      </x:c>
      <x:c r="AQ225" s="22" t="n">
        <x:v>18</x:v>
      </x:c>
      <x:c r="AR225" s="22" t="n">
        <x:v>0</x:v>
      </x:c>
      <x:c r="AS225" s="22" t="n">
        <x:v>10</x:v>
      </x:c>
      <x:c r="AT225" s="22" t="n">
        <x:v>10</x:v>
      </x:c>
      <x:c r="AU225" s="22" t="n">
        <x:v>0</x:v>
      </x:c>
      <x:c r="AV225" s="22" t="n">
        <x:v>24</x:v>
      </x:c>
      <x:c r="AW225" s="22" t="n">
        <x:v>0</x:v>
      </x:c>
    </x:row>
    <x:row r="226" ht="24" customHeight="1">
      <x:c r="A226" s="22" t="str">
        <x:v>P0222</x:v>
      </x:c>
      <x:c r="B226" s="22" t="n">
        <x:v>7</x:v>
      </x:c>
      <x:c r="C226" s="22" t="n">
        <x:v>2</x:v>
      </x:c>
      <x:c r="D226" s="22" t="str">
        <x:v>永冻圣兽·乌尔挑战前</x:v>
      </x:c>
      <x:c r="E226" s="22" t="n">
        <x:v>46197</x:v>
      </x:c>
      <x:c r="F226" s="22" t="n">
        <x:v>49996</x:v>
      </x:c>
      <x:c r="G226" s="22" t="n">
        <x:v>43927</x:v>
      </x:c>
      <x:c r="H226" s="22" t="n">
        <x:v>47699</x:v>
      </x:c>
      <x:c r="I226" s="22" t="n">
        <x:v>43929</x:v>
      </x:c>
      <x:c r="J226" s="22" t="n">
        <x:v>47701</x:v>
      </x:c>
      <x:c r="K226" s="22" t="n">
        <x:v>6443700</x:v>
      </x:c>
      <x:c r="L226" s="22" t="n">
        <x:v>1600900</x:v>
      </x:c>
      <x:c r="M226" s="22" t="n">
        <x:v>792</x:v>
      </x:c>
      <x:c r="N226" s="22" t="n">
        <x:v>1428</x:v>
      </x:c>
      <x:c r="O226" s="22" t="n">
        <x:v>643</x:v>
      </x:c>
      <x:c r="P226" s="22" t="n">
        <x:v>1176</x:v>
      </x:c>
      <x:c r="Q226" s="22" t="n">
        <x:v>1080</x:v>
      </x:c>
      <x:c r="R226" s="22" t="n">
        <x:v>1031</x:v>
      </x:c>
      <x:c r="S226" s="22" t="n">
        <x:v>1031</x:v>
      </x:c>
      <x:c r="T226" s="22" t="n">
        <x:v>0.7700000000000002</x:v>
      </x:c>
      <x:c r="U226" s="22" t="n">
        <x:v>19</x:v>
      </x:c>
      <x:c r="V226" s="22" t="n">
        <x:v>487</x:v>
      </x:c>
      <x:c r="W226" s="22" t="n">
        <x:v>167</x:v>
      </x:c>
      <x:c r="X226" s="22" t="n">
        <x:v>27</x:v>
      </x:c>
      <x:c r="Y226" s="22" t="n">
        <x:v>331</x:v>
      </x:c>
      <x:c r="Z226" s="22" t="n">
        <x:v>3</x:v>
      </x:c>
      <x:c r="AA226" s="22" t="n">
        <x:v>377</x:v>
      </x:c>
      <x:c r="AB226" s="22" t="n">
        <x:v>0</x:v>
      </x:c>
      <x:c r="AC226" s="22" t="n">
        <x:v>0</x:v>
      </x:c>
      <x:c r="AD226" s="22" t="n">
        <x:v>39</x:v>
      </x:c>
      <x:c r="AE226" s="22" t="n">
        <x:v>10</x:v>
      </x:c>
      <x:c r="AF226" s="22" t="n">
        <x:v>91</x:v>
      </x:c>
      <x:c r="AG226" s="22" t="n">
        <x:v>7</x:v>
      </x:c>
      <x:c r="AH226" s="22" t="n">
        <x:v>8</x:v>
      </x:c>
      <x:c r="AI226" s="22" t="n">
        <x:v>32</x:v>
      </x:c>
      <x:c r="AJ226" s="22" t="n">
        <x:v>7</x:v>
      </x:c>
      <x:c r="AK226" s="22" t="n">
        <x:v>4</x:v>
      </x:c>
      <x:c r="AL226" s="22" t="n">
        <x:v>763</x:v>
      </x:c>
      <x:c r="AM226" s="22" t="n">
        <x:v>63</x:v>
      </x:c>
      <x:c r="AN226" s="22" t="n">
        <x:v>10</x:v>
      </x:c>
      <x:c r="AO226" s="22" t="n">
        <x:v>7</x:v>
      </x:c>
      <x:c r="AP226" s="22" t="n">
        <x:v>4040</x:v>
      </x:c>
      <x:c r="AQ226" s="22" t="n">
        <x:v>18</x:v>
      </x:c>
      <x:c r="AR226" s="22" t="n">
        <x:v>0</x:v>
      </x:c>
      <x:c r="AS226" s="22" t="n">
        <x:v>10</x:v>
      </x:c>
      <x:c r="AT226" s="22" t="n">
        <x:v>10</x:v>
      </x:c>
      <x:c r="AU226" s="22" t="n">
        <x:v>0</x:v>
      </x:c>
      <x:c r="AV226" s="22" t="n">
        <x:v>24</x:v>
      </x:c>
      <x:c r="AW226" s="22" t="n">
        <x:v>0</x:v>
      </x:c>
    </x:row>
    <x:row r="227" ht="24" customHeight="1">
      <x:c r="A227" s="22" t="str">
        <x:v>P0223</x:v>
      </x:c>
      <x:c r="B227" s="22" t="n">
        <x:v>7</x:v>
      </x:c>
      <x:c r="C227" s="22" t="n">
        <x:v>2</x:v>
      </x:c>
      <x:c r="D227" s="22" t="str">
        <x:v>永冻荒境BOSS装备快线</x:v>
      </x:c>
      <x:c r="E227" s="22" t="n">
        <x:v>46332</x:v>
      </x:c>
      <x:c r="F227" s="22" t="n">
        <x:v>50261</x:v>
      </x:c>
      <x:c r="G227" s="22" t="n">
        <x:v>44062</x:v>
      </x:c>
      <x:c r="H227" s="22" t="n">
        <x:v>47964</x:v>
      </x:c>
      <x:c r="I227" s="22" t="n">
        <x:v>44064</x:v>
      </x:c>
      <x:c r="J227" s="22" t="n">
        <x:v>47966</x:v>
      </x:c>
      <x:c r="K227" s="22" t="n">
        <x:v>6497100</x:v>
      </x:c>
      <x:c r="L227" s="22" t="n">
        <x:v>1600900</x:v>
      </x:c>
      <x:c r="M227" s="22" t="n">
        <x:v>792</x:v>
      </x:c>
      <x:c r="N227" s="22" t="n">
        <x:v>1428</x:v>
      </x:c>
      <x:c r="O227" s="22" t="n">
        <x:v>643</x:v>
      </x:c>
      <x:c r="P227" s="22" t="n">
        <x:v>1176</x:v>
      </x:c>
      <x:c r="Q227" s="22" t="n">
        <x:v>1110</x:v>
      </x:c>
      <x:c r="R227" s="22" t="n">
        <x:v>1061</x:v>
      </x:c>
      <x:c r="S227" s="22" t="n">
        <x:v>1061</x:v>
      </x:c>
      <x:c r="T227" s="22" t="n">
        <x:v>0.7700000000000002</x:v>
      </x:c>
      <x:c r="U227" s="22" t="n">
        <x:v>19</x:v>
      </x:c>
      <x:c r="V227" s="22" t="n">
        <x:v>500</x:v>
      </x:c>
      <x:c r="W227" s="22" t="n">
        <x:v>174</x:v>
      </x:c>
      <x:c r="X227" s="22" t="n">
        <x:v>27</x:v>
      </x:c>
      <x:c r="Y227" s="22" t="n">
        <x:v>331</x:v>
      </x:c>
      <x:c r="Z227" s="22" t="n">
        <x:v>3</x:v>
      </x:c>
      <x:c r="AA227" s="22" t="n">
        <x:v>403</x:v>
      </x:c>
      <x:c r="AB227" s="22" t="n">
        <x:v>0</x:v>
      </x:c>
      <x:c r="AC227" s="22" t="n">
        <x:v>0</x:v>
      </x:c>
      <x:c r="AD227" s="22" t="n">
        <x:v>39</x:v>
      </x:c>
      <x:c r="AE227" s="22" t="n">
        <x:v>10</x:v>
      </x:c>
      <x:c r="AF227" s="22" t="n">
        <x:v>91</x:v>
      </x:c>
      <x:c r="AG227" s="22" t="n">
        <x:v>7</x:v>
      </x:c>
      <x:c r="AH227" s="22" t="n">
        <x:v>8</x:v>
      </x:c>
      <x:c r="AI227" s="22" t="n">
        <x:v>32</x:v>
      </x:c>
      <x:c r="AJ227" s="22" t="n">
        <x:v>7</x:v>
      </x:c>
      <x:c r="AK227" s="22" t="n">
        <x:v>4</x:v>
      </x:c>
      <x:c r="AL227" s="22" t="n">
        <x:v>763</x:v>
      </x:c>
      <x:c r="AM227" s="22" t="n">
        <x:v>63</x:v>
      </x:c>
      <x:c r="AN227" s="22" t="n">
        <x:v>10</x:v>
      </x:c>
      <x:c r="AO227" s="22" t="n">
        <x:v>7</x:v>
      </x:c>
      <x:c r="AP227" s="22" t="n">
        <x:v>4040</x:v>
      </x:c>
      <x:c r="AQ227" s="22" t="n">
        <x:v>18</x:v>
      </x:c>
      <x:c r="AR227" s="22" t="n">
        <x:v>0</x:v>
      </x:c>
      <x:c r="AS227" s="22" t="n">
        <x:v>10</x:v>
      </x:c>
      <x:c r="AT227" s="22" t="n">
        <x:v>10</x:v>
      </x:c>
      <x:c r="AU227" s="22" t="n">
        <x:v>0</x:v>
      </x:c>
      <x:c r="AV227" s="22" t="n">
        <x:v>24</x:v>
      </x:c>
      <x:c r="AW227" s="22" t="n">
        <x:v>0</x:v>
      </x:c>
    </x:row>
    <x:row r="228" ht="24" customHeight="1">
      <x:c r="A228" s="22" t="str">
        <x:v>P0224</x:v>
      </x:c>
      <x:c r="B228" s="22" t="n">
        <x:v>7</x:v>
      </x:c>
      <x:c r="C228" s="22" t="n">
        <x:v>2</x:v>
      </x:c>
      <x:c r="D228" s="22" t="str">
        <x:v>永冻荒境阶段积累后</x:v>
      </x:c>
      <x:c r="E228" s="22" t="n">
        <x:v>46369</x:v>
      </x:c>
      <x:c r="F228" s="22" t="n">
        <x:v>50291</x:v>
      </x:c>
      <x:c r="G228" s="22" t="n">
        <x:v>44099</x:v>
      </x:c>
      <x:c r="H228" s="22" t="n">
        <x:v>47994</x:v>
      </x:c>
      <x:c r="I228" s="22" t="n">
        <x:v>44101</x:v>
      </x:c>
      <x:c r="J228" s="22" t="n">
        <x:v>47996</x:v>
      </x:c>
      <x:c r="K228" s="22" t="n">
        <x:v>6485900</x:v>
      </x:c>
      <x:c r="L228" s="22" t="n">
        <x:v>1600900</x:v>
      </x:c>
      <x:c r="M228" s="22" t="n">
        <x:v>802</x:v>
      </x:c>
      <x:c r="N228" s="22" t="n">
        <x:v>1445</x:v>
      </x:c>
      <x:c r="O228" s="22" t="n">
        <x:v>651</x:v>
      </x:c>
      <x:c r="P228" s="22" t="n">
        <x:v>1190</x:v>
      </x:c>
      <x:c r="Q228" s="22" t="n">
        <x:v>1097</x:v>
      </x:c>
      <x:c r="R228" s="22" t="n">
        <x:v>1048</x:v>
      </x:c>
      <x:c r="S228" s="22" t="n">
        <x:v>1048</x:v>
      </x:c>
      <x:c r="T228" s="22" t="n">
        <x:v>0.7700000000000002</x:v>
      </x:c>
      <x:c r="U228" s="22" t="n">
        <x:v>19</x:v>
      </x:c>
      <x:c r="V228" s="22" t="n">
        <x:v>496</x:v>
      </x:c>
      <x:c r="W228" s="22" t="n">
        <x:v>167</x:v>
      </x:c>
      <x:c r="X228" s="22" t="n">
        <x:v>27</x:v>
      </x:c>
      <x:c r="Y228" s="22" t="n">
        <x:v>345</x:v>
      </x:c>
      <x:c r="Z228" s="22" t="n">
        <x:v>3</x:v>
      </x:c>
      <x:c r="AA228" s="22" t="n">
        <x:v>377</x:v>
      </x:c>
      <x:c r="AB228" s="22" t="n">
        <x:v>0</x:v>
      </x:c>
      <x:c r="AC228" s="22" t="n">
        <x:v>0</x:v>
      </x:c>
      <x:c r="AD228" s="22" t="n">
        <x:v>39</x:v>
      </x:c>
      <x:c r="AE228" s="22" t="n">
        <x:v>10</x:v>
      </x:c>
      <x:c r="AF228" s="22" t="n">
        <x:v>91</x:v>
      </x:c>
      <x:c r="AG228" s="22" t="n">
        <x:v>7</x:v>
      </x:c>
      <x:c r="AH228" s="22" t="n">
        <x:v>8</x:v>
      </x:c>
      <x:c r="AI228" s="22" t="n">
        <x:v>32</x:v>
      </x:c>
      <x:c r="AJ228" s="22" t="n">
        <x:v>7</x:v>
      </x:c>
      <x:c r="AK228" s="22" t="n">
        <x:v>4</x:v>
      </x:c>
      <x:c r="AL228" s="22" t="n">
        <x:v>763</x:v>
      </x:c>
      <x:c r="AM228" s="22" t="n">
        <x:v>63</x:v>
      </x:c>
      <x:c r="AN228" s="22" t="n">
        <x:v>10</x:v>
      </x:c>
      <x:c r="AO228" s="22" t="n">
        <x:v>7</x:v>
      </x:c>
      <x:c r="AP228" s="22" t="n">
        <x:v>4040</x:v>
      </x:c>
      <x:c r="AQ228" s="22" t="n">
        <x:v>18</x:v>
      </x:c>
      <x:c r="AR228" s="22" t="n">
        <x:v>0</x:v>
      </x:c>
      <x:c r="AS228" s="22" t="n">
        <x:v>10</x:v>
      </x:c>
      <x:c r="AT228" s="22" t="n">
        <x:v>10</x:v>
      </x:c>
      <x:c r="AU228" s="22" t="n">
        <x:v>0</x:v>
      </x:c>
      <x:c r="AV228" s="22" t="n">
        <x:v>24</x:v>
      </x:c>
      <x:c r="AW228" s="22" t="n">
        <x:v>0</x:v>
      </x:c>
    </x:row>
    <x:row r="229" ht="24" customHeight="1">
      <x:c r="A229" s="22" t="str">
        <x:v>P0225</x:v>
      </x:c>
      <x:c r="B229" s="22" t="n">
        <x:v>7</x:v>
      </x:c>
      <x:c r="C229" s="22" t="n">
        <x:v>3</x:v>
      </x:c>
      <x:c r="D229" s="22" t="str">
        <x:v>C07G03入场</x:v>
      </x:c>
      <x:c r="E229" s="22" t="n">
        <x:v>46369</x:v>
      </x:c>
      <x:c r="F229" s="22" t="n">
        <x:v>50291</x:v>
      </x:c>
      <x:c r="G229" s="22" t="n">
        <x:v>44099</x:v>
      </x:c>
      <x:c r="H229" s="22" t="n">
        <x:v>47994</x:v>
      </x:c>
      <x:c r="I229" s="22" t="n">
        <x:v>44101</x:v>
      </x:c>
      <x:c r="J229" s="22" t="n">
        <x:v>47996</x:v>
      </x:c>
      <x:c r="K229" s="22" t="n">
        <x:v>6485900</x:v>
      </x:c>
      <x:c r="L229" s="22" t="n">
        <x:v>1600900</x:v>
      </x:c>
      <x:c r="M229" s="22" t="n">
        <x:v>802</x:v>
      </x:c>
      <x:c r="N229" s="22" t="n">
        <x:v>1445</x:v>
      </x:c>
      <x:c r="O229" s="22" t="n">
        <x:v>651</x:v>
      </x:c>
      <x:c r="P229" s="22" t="n">
        <x:v>1190</x:v>
      </x:c>
      <x:c r="Q229" s="22" t="n">
        <x:v>1097</x:v>
      </x:c>
      <x:c r="R229" s="22" t="n">
        <x:v>1048</x:v>
      </x:c>
      <x:c r="S229" s="22" t="n">
        <x:v>1048</x:v>
      </x:c>
      <x:c r="T229" s="22" t="n">
        <x:v>0.7700000000000002</x:v>
      </x:c>
      <x:c r="U229" s="22" t="n">
        <x:v>19</x:v>
      </x:c>
      <x:c r="V229" s="22" t="n">
        <x:v>496</x:v>
      </x:c>
      <x:c r="W229" s="22" t="n">
        <x:v>167</x:v>
      </x:c>
      <x:c r="X229" s="22" t="n">
        <x:v>27</x:v>
      </x:c>
      <x:c r="Y229" s="22" t="n">
        <x:v>345</x:v>
      </x:c>
      <x:c r="Z229" s="22" t="n">
        <x:v>3</x:v>
      </x:c>
      <x:c r="AA229" s="22" t="n">
        <x:v>377</x:v>
      </x:c>
      <x:c r="AB229" s="22" t="n">
        <x:v>0</x:v>
      </x:c>
      <x:c r="AC229" s="22" t="n">
        <x:v>0</x:v>
      </x:c>
      <x:c r="AD229" s="22" t="n">
        <x:v>39</x:v>
      </x:c>
      <x:c r="AE229" s="22" t="n">
        <x:v>10</x:v>
      </x:c>
      <x:c r="AF229" s="22" t="n">
        <x:v>91</x:v>
      </x:c>
      <x:c r="AG229" s="22" t="n">
        <x:v>7</x:v>
      </x:c>
      <x:c r="AH229" s="22" t="n">
        <x:v>8</x:v>
      </x:c>
      <x:c r="AI229" s="22" t="n">
        <x:v>32</x:v>
      </x:c>
      <x:c r="AJ229" s="22" t="n">
        <x:v>7</x:v>
      </x:c>
      <x:c r="AK229" s="22" t="n">
        <x:v>4</x:v>
      </x:c>
      <x:c r="AL229" s="22" t="n">
        <x:v>763</x:v>
      </x:c>
      <x:c r="AM229" s="22" t="n">
        <x:v>63</x:v>
      </x:c>
      <x:c r="AN229" s="22" t="n">
        <x:v>10</x:v>
      </x:c>
      <x:c r="AO229" s="22" t="n">
        <x:v>7</x:v>
      </x:c>
      <x:c r="AP229" s="22" t="n">
        <x:v>4040</x:v>
      </x:c>
      <x:c r="AQ229" s="22" t="n">
        <x:v>18</x:v>
      </x:c>
      <x:c r="AR229" s="22" t="n">
        <x:v>0</x:v>
      </x:c>
      <x:c r="AS229" s="22" t="n">
        <x:v>10</x:v>
      </x:c>
      <x:c r="AT229" s="22" t="n">
        <x:v>10</x:v>
      </x:c>
      <x:c r="AU229" s="22" t="n">
        <x:v>0</x:v>
      </x:c>
      <x:c r="AV229" s="22" t="n">
        <x:v>24</x:v>
      </x:c>
      <x:c r="AW229" s="22" t="n">
        <x:v>0</x:v>
      </x:c>
    </x:row>
    <x:row r="230" ht="24" customHeight="1">
      <x:c r="A230" s="22" t="str">
        <x:v>P0226</x:v>
      </x:c>
      <x:c r="B230" s="22" t="n">
        <x:v>7</x:v>
      </x:c>
      <x:c r="C230" s="22" t="n">
        <x:v>3</x:v>
      </x:c>
      <x:c r="D230" s="22" t="str">
        <x:v>C07G03普通专属4/6</x:v>
      </x:c>
      <x:c r="E230" s="22" t="n">
        <x:v>46369</x:v>
      </x:c>
      <x:c r="F230" s="22" t="n">
        <x:v>50291</x:v>
      </x:c>
      <x:c r="G230" s="22" t="n">
        <x:v>44099</x:v>
      </x:c>
      <x:c r="H230" s="22" t="n">
        <x:v>47994</x:v>
      </x:c>
      <x:c r="I230" s="22" t="n">
        <x:v>44101</x:v>
      </x:c>
      <x:c r="J230" s="22" t="n">
        <x:v>47996</x:v>
      </x:c>
      <x:c r="K230" s="22" t="n">
        <x:v>6485900</x:v>
      </x:c>
      <x:c r="L230" s="22" t="n">
        <x:v>1600900</x:v>
      </x:c>
      <x:c r="M230" s="22" t="n">
        <x:v>802</x:v>
      </x:c>
      <x:c r="N230" s="22" t="n">
        <x:v>1445</x:v>
      </x:c>
      <x:c r="O230" s="22" t="n">
        <x:v>651</x:v>
      </x:c>
      <x:c r="P230" s="22" t="n">
        <x:v>1190</x:v>
      </x:c>
      <x:c r="Q230" s="22" t="n">
        <x:v>1097</x:v>
      </x:c>
      <x:c r="R230" s="22" t="n">
        <x:v>1048</x:v>
      </x:c>
      <x:c r="S230" s="22" t="n">
        <x:v>1048</x:v>
      </x:c>
      <x:c r="T230" s="22" t="n">
        <x:v>0.7700000000000002</x:v>
      </x:c>
      <x:c r="U230" s="22" t="n">
        <x:v>19</x:v>
      </x:c>
      <x:c r="V230" s="22" t="n">
        <x:v>496</x:v>
      </x:c>
      <x:c r="W230" s="22" t="n">
        <x:v>167</x:v>
      </x:c>
      <x:c r="X230" s="22" t="n">
        <x:v>27</x:v>
      </x:c>
      <x:c r="Y230" s="22" t="n">
        <x:v>345</x:v>
      </x:c>
      <x:c r="Z230" s="22" t="n">
        <x:v>3</x:v>
      </x:c>
      <x:c r="AA230" s="22" t="n">
        <x:v>377</x:v>
      </x:c>
      <x:c r="AB230" s="22" t="n">
        <x:v>0</x:v>
      </x:c>
      <x:c r="AC230" s="22" t="n">
        <x:v>0</x:v>
      </x:c>
      <x:c r="AD230" s="22" t="n">
        <x:v>39</x:v>
      </x:c>
      <x:c r="AE230" s="22" t="n">
        <x:v>10</x:v>
      </x:c>
      <x:c r="AF230" s="22" t="n">
        <x:v>91</x:v>
      </x:c>
      <x:c r="AG230" s="22" t="n">
        <x:v>7</x:v>
      </x:c>
      <x:c r="AH230" s="22" t="n">
        <x:v>8</x:v>
      </x:c>
      <x:c r="AI230" s="22" t="n">
        <x:v>32</x:v>
      </x:c>
      <x:c r="AJ230" s="22" t="n">
        <x:v>7</x:v>
      </x:c>
      <x:c r="AK230" s="22" t="n">
        <x:v>4</x:v>
      </x:c>
      <x:c r="AL230" s="22" t="n">
        <x:v>763</x:v>
      </x:c>
      <x:c r="AM230" s="22" t="n">
        <x:v>63</x:v>
      </x:c>
      <x:c r="AN230" s="22" t="n">
        <x:v>10</x:v>
      </x:c>
      <x:c r="AO230" s="22" t="n">
        <x:v>7</x:v>
      </x:c>
      <x:c r="AP230" s="22" t="n">
        <x:v>4040</x:v>
      </x:c>
      <x:c r="AQ230" s="22" t="n">
        <x:v>18</x:v>
      </x:c>
      <x:c r="AR230" s="22" t="n">
        <x:v>0</x:v>
      </x:c>
      <x:c r="AS230" s="22" t="n">
        <x:v>10</x:v>
      </x:c>
      <x:c r="AT230" s="22" t="n">
        <x:v>10</x:v>
      </x:c>
      <x:c r="AU230" s="22" t="n">
        <x:v>0</x:v>
      </x:c>
      <x:c r="AV230" s="22" t="n">
        <x:v>24</x:v>
      </x:c>
      <x:c r="AW230" s="22" t="n">
        <x:v>0</x:v>
      </x:c>
    </x:row>
    <x:row r="231" ht="24" customHeight="1">
      <x:c r="A231" s="22" t="str">
        <x:v>P0227</x:v>
      </x:c>
      <x:c r="B231" s="22" t="n">
        <x:v>7</x:v>
      </x:c>
      <x:c r="C231" s="22" t="n">
        <x:v>3</x:v>
      </x:c>
      <x:c r="D231" s="22" t="str">
        <x:v>冰祭审判者·诺薇挑战前</x:v>
      </x:c>
      <x:c r="E231" s="22" t="n">
        <x:v>47861</x:v>
      </x:c>
      <x:c r="F231" s="22" t="n">
        <x:v>51783</x:v>
      </x:c>
      <x:c r="G231" s="22" t="n">
        <x:v>45591</x:v>
      </x:c>
      <x:c r="H231" s="22" t="n">
        <x:v>49486</x:v>
      </x:c>
      <x:c r="I231" s="22" t="n">
        <x:v>45593</x:v>
      </x:c>
      <x:c r="J231" s="22" t="n">
        <x:v>49488</x:v>
      </x:c>
      <x:c r="K231" s="22" t="n">
        <x:v>6635100</x:v>
      </x:c>
      <x:c r="L231" s="22" t="n">
        <x:v>1600900</x:v>
      </x:c>
      <x:c r="M231" s="22" t="n">
        <x:v>802</x:v>
      </x:c>
      <x:c r="N231" s="22" t="n">
        <x:v>1445</x:v>
      </x:c>
      <x:c r="O231" s="22" t="n">
        <x:v>651</x:v>
      </x:c>
      <x:c r="P231" s="22" t="n">
        <x:v>1190</x:v>
      </x:c>
      <x:c r="Q231" s="22" t="n">
        <x:v>1097</x:v>
      </x:c>
      <x:c r="R231" s="22" t="n">
        <x:v>1048</x:v>
      </x:c>
      <x:c r="S231" s="22" t="n">
        <x:v>1048</x:v>
      </x:c>
      <x:c r="T231" s="22" t="n">
        <x:v>0.7700000000000002</x:v>
      </x:c>
      <x:c r="U231" s="22" t="n">
        <x:v>19</x:v>
      </x:c>
      <x:c r="V231" s="22" t="n">
        <x:v>496</x:v>
      </x:c>
      <x:c r="W231" s="22" t="n">
        <x:v>167</x:v>
      </x:c>
      <x:c r="X231" s="22" t="n">
        <x:v>27</x:v>
      </x:c>
      <x:c r="Y231" s="22" t="n">
        <x:v>345</x:v>
      </x:c>
      <x:c r="Z231" s="22" t="n">
        <x:v>3</x:v>
      </x:c>
      <x:c r="AA231" s="22" t="n">
        <x:v>377</x:v>
      </x:c>
      <x:c r="AB231" s="22" t="n">
        <x:v>0</x:v>
      </x:c>
      <x:c r="AC231" s="22" t="n">
        <x:v>0</x:v>
      </x:c>
      <x:c r="AD231" s="22" t="n">
        <x:v>39</x:v>
      </x:c>
      <x:c r="AE231" s="22" t="n">
        <x:v>10</x:v>
      </x:c>
      <x:c r="AF231" s="22" t="n">
        <x:v>91</x:v>
      </x:c>
      <x:c r="AG231" s="22" t="n">
        <x:v>7</x:v>
      </x:c>
      <x:c r="AH231" s="22" t="n">
        <x:v>8</x:v>
      </x:c>
      <x:c r="AI231" s="22" t="n">
        <x:v>32</x:v>
      </x:c>
      <x:c r="AJ231" s="22" t="n">
        <x:v>7</x:v>
      </x:c>
      <x:c r="AK231" s="22" t="n">
        <x:v>4</x:v>
      </x:c>
      <x:c r="AL231" s="22" t="n">
        <x:v>763</x:v>
      </x:c>
      <x:c r="AM231" s="22" t="n">
        <x:v>63</x:v>
      </x:c>
      <x:c r="AN231" s="22" t="n">
        <x:v>10</x:v>
      </x:c>
      <x:c r="AO231" s="22" t="n">
        <x:v>7</x:v>
      </x:c>
      <x:c r="AP231" s="22" t="n">
        <x:v>4040</x:v>
      </x:c>
      <x:c r="AQ231" s="22" t="n">
        <x:v>18</x:v>
      </x:c>
      <x:c r="AR231" s="22" t="n">
        <x:v>0</x:v>
      </x:c>
      <x:c r="AS231" s="22" t="n">
        <x:v>10</x:v>
      </x:c>
      <x:c r="AT231" s="22" t="n">
        <x:v>10</x:v>
      </x:c>
      <x:c r="AU231" s="22" t="n">
        <x:v>0</x:v>
      </x:c>
      <x:c r="AV231" s="22" t="n">
        <x:v>24</x:v>
      </x:c>
      <x:c r="AW231" s="22" t="n">
        <x:v>0</x:v>
      </x:c>
    </x:row>
    <x:row r="232" ht="24" customHeight="1">
      <x:c r="A232" s="22" t="str">
        <x:v>P0228</x:v>
      </x:c>
      <x:c r="B232" s="22" t="n">
        <x:v>7</x:v>
      </x:c>
      <x:c r="C232" s="22" t="n">
        <x:v>3</x:v>
      </x:c>
      <x:c r="D232" s="22" t="str">
        <x:v>极寒圣女·希尔达挑战前</x:v>
      </x:c>
      <x:c r="E232" s="22" t="n">
        <x:v>47861</x:v>
      </x:c>
      <x:c r="F232" s="22" t="n">
        <x:v>51783</x:v>
      </x:c>
      <x:c r="G232" s="22" t="n">
        <x:v>45591</x:v>
      </x:c>
      <x:c r="H232" s="22" t="n">
        <x:v>49486</x:v>
      </x:c>
      <x:c r="I232" s="22" t="n">
        <x:v>45593</x:v>
      </x:c>
      <x:c r="J232" s="22" t="n">
        <x:v>49488</x:v>
      </x:c>
      <x:c r="K232" s="22" t="n">
        <x:v>6635100</x:v>
      </x:c>
      <x:c r="L232" s="22" t="n">
        <x:v>1600900</x:v>
      </x:c>
      <x:c r="M232" s="22" t="n">
        <x:v>802</x:v>
      </x:c>
      <x:c r="N232" s="22" t="n">
        <x:v>1445</x:v>
      </x:c>
      <x:c r="O232" s="22" t="n">
        <x:v>651</x:v>
      </x:c>
      <x:c r="P232" s="22" t="n">
        <x:v>1190</x:v>
      </x:c>
      <x:c r="Q232" s="22" t="n">
        <x:v>1097</x:v>
      </x:c>
      <x:c r="R232" s="22" t="n">
        <x:v>1048</x:v>
      </x:c>
      <x:c r="S232" s="22" t="n">
        <x:v>1048</x:v>
      </x:c>
      <x:c r="T232" s="22" t="n">
        <x:v>0.7700000000000002</x:v>
      </x:c>
      <x:c r="U232" s="22" t="n">
        <x:v>19</x:v>
      </x:c>
      <x:c r="V232" s="22" t="n">
        <x:v>496</x:v>
      </x:c>
      <x:c r="W232" s="22" t="n">
        <x:v>167</x:v>
      </x:c>
      <x:c r="X232" s="22" t="n">
        <x:v>27</x:v>
      </x:c>
      <x:c r="Y232" s="22" t="n">
        <x:v>345</x:v>
      </x:c>
      <x:c r="Z232" s="22" t="n">
        <x:v>3</x:v>
      </x:c>
      <x:c r="AA232" s="22" t="n">
        <x:v>377</x:v>
      </x:c>
      <x:c r="AB232" s="22" t="n">
        <x:v>0</x:v>
      </x:c>
      <x:c r="AC232" s="22" t="n">
        <x:v>0</x:v>
      </x:c>
      <x:c r="AD232" s="22" t="n">
        <x:v>39</x:v>
      </x:c>
      <x:c r="AE232" s="22" t="n">
        <x:v>10</x:v>
      </x:c>
      <x:c r="AF232" s="22" t="n">
        <x:v>91</x:v>
      </x:c>
      <x:c r="AG232" s="22" t="n">
        <x:v>7</x:v>
      </x:c>
      <x:c r="AH232" s="22" t="n">
        <x:v>8</x:v>
      </x:c>
      <x:c r="AI232" s="22" t="n">
        <x:v>32</x:v>
      </x:c>
      <x:c r="AJ232" s="22" t="n">
        <x:v>7</x:v>
      </x:c>
      <x:c r="AK232" s="22" t="n">
        <x:v>4</x:v>
      </x:c>
      <x:c r="AL232" s="22" t="n">
        <x:v>763</x:v>
      </x:c>
      <x:c r="AM232" s="22" t="n">
        <x:v>63</x:v>
      </x:c>
      <x:c r="AN232" s="22" t="n">
        <x:v>10</x:v>
      </x:c>
      <x:c r="AO232" s="22" t="n">
        <x:v>7</x:v>
      </x:c>
      <x:c r="AP232" s="22" t="n">
        <x:v>4040</x:v>
      </x:c>
      <x:c r="AQ232" s="22" t="n">
        <x:v>18</x:v>
      </x:c>
      <x:c r="AR232" s="22" t="n">
        <x:v>0</x:v>
      </x:c>
      <x:c r="AS232" s="22" t="n">
        <x:v>10</x:v>
      </x:c>
      <x:c r="AT232" s="22" t="n">
        <x:v>10</x:v>
      </x:c>
      <x:c r="AU232" s="22" t="n">
        <x:v>0</x:v>
      </x:c>
      <x:c r="AV232" s="22" t="n">
        <x:v>24</x:v>
      </x:c>
      <x:c r="AW232" s="22" t="n">
        <x:v>0</x:v>
      </x:c>
    </x:row>
    <x:row r="233" ht="24" customHeight="1">
      <x:c r="A233" s="22" t="str">
        <x:v>P0229</x:v>
      </x:c>
      <x:c r="B233" s="22" t="n">
        <x:v>7</x:v>
      </x:c>
      <x:c r="C233" s="22" t="n">
        <x:v>3</x:v>
      </x:c>
      <x:c r="D233" s="22" t="str">
        <x:v>极寒禁域BOSS装备快线</x:v>
      </x:c>
      <x:c r="E233" s="22" t="n">
        <x:v>48171</x:v>
      </x:c>
      <x:c r="F233" s="22" t="n">
        <x:v>52388</x:v>
      </x:c>
      <x:c r="G233" s="22" t="n">
        <x:v>45901</x:v>
      </x:c>
      <x:c r="H233" s="22" t="n">
        <x:v>50091</x:v>
      </x:c>
      <x:c r="I233" s="22" t="n">
        <x:v>45903</x:v>
      </x:c>
      <x:c r="J233" s="22" t="n">
        <x:v>50093</x:v>
      </x:c>
      <x:c r="K233" s="22" t="n">
        <x:v>6761600</x:v>
      </x:c>
      <x:c r="L233" s="22" t="n">
        <x:v>1600900</x:v>
      </x:c>
      <x:c r="M233" s="22" t="n">
        <x:v>906</x:v>
      </x:c>
      <x:c r="N233" s="22" t="n">
        <x:v>1633</x:v>
      </x:c>
      <x:c r="O233" s="22" t="n">
        <x:v>736</x:v>
      </x:c>
      <x:c r="P233" s="22" t="n">
        <x:v>1344</x:v>
      </x:c>
      <x:c r="Q233" s="22" t="n">
        <x:v>1164</x:v>
      </x:c>
      <x:c r="R233" s="22" t="n">
        <x:v>1115</x:v>
      </x:c>
      <x:c r="S233" s="22" t="n">
        <x:v>1115</x:v>
      </x:c>
      <x:c r="T233" s="22" t="n">
        <x:v>0.7700000000000002</x:v>
      </x:c>
      <x:c r="U233" s="22" t="n">
        <x:v>19</x:v>
      </x:c>
      <x:c r="V233" s="22" t="n">
        <x:v>526</x:v>
      </x:c>
      <x:c r="W233" s="22" t="n">
        <x:v>181</x:v>
      </x:c>
      <x:c r="X233" s="22" t="n">
        <x:v>27</x:v>
      </x:c>
      <x:c r="Y233" s="22" t="n">
        <x:v>351</x:v>
      </x:c>
      <x:c r="Z233" s="22" t="n">
        <x:v>3</x:v>
      </x:c>
      <x:c r="AA233" s="22" t="n">
        <x:v>429</x:v>
      </x:c>
      <x:c r="AB233" s="22" t="n">
        <x:v>0</x:v>
      </x:c>
      <x:c r="AC233" s="22" t="n">
        <x:v>0</x:v>
      </x:c>
      <x:c r="AD233" s="22" t="n">
        <x:v>39</x:v>
      </x:c>
      <x:c r="AE233" s="22" t="n">
        <x:v>10</x:v>
      </x:c>
      <x:c r="AF233" s="22" t="n">
        <x:v>91</x:v>
      </x:c>
      <x:c r="AG233" s="22" t="n">
        <x:v>7</x:v>
      </x:c>
      <x:c r="AH233" s="22" t="n">
        <x:v>8</x:v>
      </x:c>
      <x:c r="AI233" s="22" t="n">
        <x:v>32</x:v>
      </x:c>
      <x:c r="AJ233" s="22" t="n">
        <x:v>7</x:v>
      </x:c>
      <x:c r="AK233" s="22" t="n">
        <x:v>4</x:v>
      </x:c>
      <x:c r="AL233" s="22" t="n">
        <x:v>763</x:v>
      </x:c>
      <x:c r="AM233" s="22" t="n">
        <x:v>65</x:v>
      </x:c>
      <x:c r="AN233" s="22" t="n">
        <x:v>10</x:v>
      </x:c>
      <x:c r="AO233" s="22" t="n">
        <x:v>7</x:v>
      </x:c>
      <x:c r="AP233" s="22" t="n">
        <x:v>4040</x:v>
      </x:c>
      <x:c r="AQ233" s="22" t="n">
        <x:v>18</x:v>
      </x:c>
      <x:c r="AR233" s="22" t="n">
        <x:v>0</x:v>
      </x:c>
      <x:c r="AS233" s="22" t="n">
        <x:v>10</x:v>
      </x:c>
      <x:c r="AT233" s="22" t="n">
        <x:v>10</x:v>
      </x:c>
      <x:c r="AU233" s="22" t="n">
        <x:v>0</x:v>
      </x:c>
      <x:c r="AV233" s="22" t="n">
        <x:v>24</x:v>
      </x:c>
      <x:c r="AW233" s="22" t="n">
        <x:v>0</x:v>
      </x:c>
    </x:row>
    <x:row r="234" ht="24" customHeight="1">
      <x:c r="A234" s="22" t="str">
        <x:v>P0230</x:v>
      </x:c>
      <x:c r="B234" s="22" t="n">
        <x:v>7</x:v>
      </x:c>
      <x:c r="C234" s="22" t="n">
        <x:v>3</x:v>
      </x:c>
      <x:c r="D234" s="22" t="str">
        <x:v>极寒禁域阶段积累后</x:v>
      </x:c>
      <x:c r="E234" s="22" t="n">
        <x:v>49059</x:v>
      </x:c>
      <x:c r="F234" s="22" t="n">
        <x:v>54384</x:v>
      </x:c>
      <x:c r="G234" s="22" t="n">
        <x:v>47073</x:v>
      </x:c>
      <x:c r="H234" s="22" t="n">
        <x:v>52371</x:v>
      </x:c>
      <x:c r="I234" s="22" t="n">
        <x:v>47075</x:v>
      </x:c>
      <x:c r="J234" s="22" t="n">
        <x:v>52373</x:v>
      </x:c>
      <x:c r="K234" s="22" t="n">
        <x:v>7097300</x:v>
      </x:c>
      <x:c r="L234" s="22" t="n">
        <x:v>1600900</x:v>
      </x:c>
      <x:c r="M234" s="22" t="n">
        <x:v>812</x:v>
      </x:c>
      <x:c r="N234" s="22" t="n">
        <x:v>1470</x:v>
      </x:c>
      <x:c r="O234" s="22" t="n">
        <x:v>659</x:v>
      </x:c>
      <x:c r="P234" s="22" t="n">
        <x:v>1205</x:v>
      </x:c>
      <x:c r="Q234" s="22" t="n">
        <x:v>1286</x:v>
      </x:c>
      <x:c r="R234" s="22" t="n">
        <x:v>1237</x:v>
      </x:c>
      <x:c r="S234" s="22" t="n">
        <x:v>1237</x:v>
      </x:c>
      <x:c r="T234" s="22" t="n">
        <x:v>0.7700000000000002</x:v>
      </x:c>
      <x:c r="U234" s="22" t="n">
        <x:v>19</x:v>
      </x:c>
      <x:c r="V234" s="22" t="n">
        <x:v>629</x:v>
      </x:c>
      <x:c r="W234" s="22" t="n">
        <x:v>223</x:v>
      </x:c>
      <x:c r="X234" s="22" t="n">
        <x:v>27</x:v>
      </x:c>
      <x:c r="Y234" s="22" t="n">
        <x:v>492</x:v>
      </x:c>
      <x:c r="Z234" s="22" t="n">
        <x:v>4</x:v>
      </x:c>
      <x:c r="AA234" s="22" t="n">
        <x:v>425</x:v>
      </x:c>
      <x:c r="AB234" s="22" t="n">
        <x:v>0</x:v>
      </x:c>
      <x:c r="AC234" s="22" t="n">
        <x:v>0</x:v>
      </x:c>
      <x:c r="AD234" s="22" t="n">
        <x:v>39</x:v>
      </x:c>
      <x:c r="AE234" s="22" t="n">
        <x:v>12</x:v>
      </x:c>
      <x:c r="AF234" s="22" t="n">
        <x:v>91</x:v>
      </x:c>
      <x:c r="AG234" s="22" t="n">
        <x:v>7</x:v>
      </x:c>
      <x:c r="AH234" s="22" t="n">
        <x:v>8</x:v>
      </x:c>
      <x:c r="AI234" s="22" t="n">
        <x:v>35</x:v>
      </x:c>
      <x:c r="AJ234" s="22" t="n">
        <x:v>9</x:v>
      </x:c>
      <x:c r="AK234" s="22" t="n">
        <x:v>5</x:v>
      </x:c>
      <x:c r="AL234" s="22" t="n">
        <x:v>746</x:v>
      </x:c>
      <x:c r="AM234" s="22" t="n">
        <x:v>63</x:v>
      </x:c>
      <x:c r="AN234" s="22" t="n">
        <x:v>10</x:v>
      </x:c>
      <x:c r="AO234" s="22" t="n">
        <x:v>7</x:v>
      </x:c>
      <x:c r="AP234" s="22" t="n">
        <x:v>4250</x:v>
      </x:c>
      <x:c r="AQ234" s="22" t="n">
        <x:v>20</x:v>
      </x:c>
      <x:c r="AR234" s="22" t="n">
        <x:v>0</x:v>
      </x:c>
      <x:c r="AS234" s="22" t="n">
        <x:v>10</x:v>
      </x:c>
      <x:c r="AT234" s="22" t="n">
        <x:v>10</x:v>
      </x:c>
      <x:c r="AU234" s="22" t="n">
        <x:v>0</x:v>
      </x:c>
      <x:c r="AV234" s="22" t="n">
        <x:v>25</x:v>
      </x:c>
      <x:c r="AW234" s="22" t="n">
        <x:v>0</x:v>
      </x:c>
    </x:row>
    <x:row r="235" ht="24" customHeight="1">
      <x:c r="A235" s="22" t="str">
        <x:v>P0231</x:v>
      </x:c>
      <x:c r="B235" s="22" t="n">
        <x:v>7</x:v>
      </x:c>
      <x:c r="C235" s="22" t="n">
        <x:v>3</x:v>
      </x:c>
      <x:c r="D235" s="22" t="str">
        <x:v>C07守关前必做制作完成</x:v>
      </x:c>
      <x:c r="E235" s="22" t="n">
        <x:v>50316</x:v>
      </x:c>
      <x:c r="F235" s="22" t="n">
        <x:v>55641</x:v>
      </x:c>
      <x:c r="G235" s="22" t="n">
        <x:v>47456</x:v>
      </x:c>
      <x:c r="H235" s="22" t="n">
        <x:v>52754</x:v>
      </x:c>
      <x:c r="I235" s="22" t="n">
        <x:v>47458</x:v>
      </x:c>
      <x:c r="J235" s="22" t="n">
        <x:v>52756</x:v>
      </x:c>
      <x:c r="K235" s="22" t="n">
        <x:v>7135600</x:v>
      </x:c>
      <x:c r="L235" s="22" t="n">
        <x:v>1600900</x:v>
      </x:c>
      <x:c r="M235" s="22" t="n">
        <x:v>812</x:v>
      </x:c>
      <x:c r="N235" s="22" t="n">
        <x:v>1470</x:v>
      </x:c>
      <x:c r="O235" s="22" t="n">
        <x:v>659</x:v>
      </x:c>
      <x:c r="P235" s="22" t="n">
        <x:v>1205</x:v>
      </x:c>
      <x:c r="Q235" s="22" t="n">
        <x:v>1286</x:v>
      </x:c>
      <x:c r="R235" s="22" t="n">
        <x:v>1237</x:v>
      </x:c>
      <x:c r="S235" s="22" t="n">
        <x:v>1237</x:v>
      </x:c>
      <x:c r="T235" s="22" t="n">
        <x:v>0.7700000000000002</x:v>
      </x:c>
      <x:c r="U235" s="22" t="n">
        <x:v>19</x:v>
      </x:c>
      <x:c r="V235" s="22" t="n">
        <x:v>629</x:v>
      </x:c>
      <x:c r="W235" s="22" t="n">
        <x:v>223</x:v>
      </x:c>
      <x:c r="X235" s="22" t="n">
        <x:v>27</x:v>
      </x:c>
      <x:c r="Y235" s="22" t="n">
        <x:v>492</x:v>
      </x:c>
      <x:c r="Z235" s="22" t="n">
        <x:v>4</x:v>
      </x:c>
      <x:c r="AA235" s="22" t="n">
        <x:v>425</x:v>
      </x:c>
      <x:c r="AB235" s="22" t="n">
        <x:v>0</x:v>
      </x:c>
      <x:c r="AC235" s="22" t="n">
        <x:v>0</x:v>
      </x:c>
      <x:c r="AD235" s="22" t="n">
        <x:v>40</x:v>
      </x:c>
      <x:c r="AE235" s="22" t="n">
        <x:v>12</x:v>
      </x:c>
      <x:c r="AF235" s="22" t="n">
        <x:v>91</x:v>
      </x:c>
      <x:c r="AG235" s="22" t="n">
        <x:v>7</x:v>
      </x:c>
      <x:c r="AH235" s="22" t="n">
        <x:v>8</x:v>
      </x:c>
      <x:c r="AI235" s="22" t="n">
        <x:v>37</x:v>
      </x:c>
      <x:c r="AJ235" s="22" t="n">
        <x:v>10</x:v>
      </x:c>
      <x:c r="AK235" s="22" t="n">
        <x:v>7</x:v>
      </x:c>
      <x:c r="AL235" s="22" t="n">
        <x:v>746</x:v>
      </x:c>
      <x:c r="AM235" s="22" t="n">
        <x:v>63</x:v>
      </x:c>
      <x:c r="AN235" s="22" t="n">
        <x:v>10</x:v>
      </x:c>
      <x:c r="AO235" s="22" t="n">
        <x:v>7</x:v>
      </x:c>
      <x:c r="AP235" s="22" t="n">
        <x:v>4250</x:v>
      </x:c>
      <x:c r="AQ235" s="22" t="n">
        <x:v>20</x:v>
      </x:c>
      <x:c r="AR235" s="22" t="n">
        <x:v>0</x:v>
      </x:c>
      <x:c r="AS235" s="22" t="n">
        <x:v>10</x:v>
      </x:c>
      <x:c r="AT235" s="22" t="n">
        <x:v>10</x:v>
      </x:c>
      <x:c r="AU235" s="22" t="n">
        <x:v>0</x:v>
      </x:c>
      <x:c r="AV235" s="22" t="n">
        <x:v>25</x:v>
      </x:c>
      <x:c r="AW235" s="22" t="n">
        <x:v>0</x:v>
      </x:c>
    </x:row>
    <x:row r="236" ht="24" customHeight="1">
      <x:c r="A236" s="22" t="str">
        <x:v>P0232</x:v>
      </x:c>
      <x:c r="B236" s="22" t="n">
        <x:v>7</x:v>
      </x:c>
      <x:c r="C236" s="22" t="n">
        <x:v>3</x:v>
      </x:c>
      <x:c r="D236" s="22" t="str">
        <x:v>C07约70%守关参考</x:v>
      </x:c>
      <x:c r="E236" s="22" t="n">
        <x:v>51096</x:v>
      </x:c>
      <x:c r="F236" s="22" t="n">
        <x:v>56421</x:v>
      </x:c>
      <x:c r="G236" s="22" t="n">
        <x:v>48236</x:v>
      </x:c>
      <x:c r="H236" s="22" t="n">
        <x:v>53534</x:v>
      </x:c>
      <x:c r="I236" s="22" t="n">
        <x:v>48238</x:v>
      </x:c>
      <x:c r="J236" s="22" t="n">
        <x:v>53536</x:v>
      </x:c>
      <x:c r="K236" s="22" t="n">
        <x:v>7213600</x:v>
      </x:c>
      <x:c r="L236" s="22" t="n">
        <x:v>1600900</x:v>
      </x:c>
      <x:c r="M236" s="22" t="n">
        <x:v>812</x:v>
      </x:c>
      <x:c r="N236" s="22" t="n">
        <x:v>1470</x:v>
      </x:c>
      <x:c r="O236" s="22" t="n">
        <x:v>659</x:v>
      </x:c>
      <x:c r="P236" s="22" t="n">
        <x:v>1205</x:v>
      </x:c>
      <x:c r="Q236" s="22" t="n">
        <x:v>1286</x:v>
      </x:c>
      <x:c r="R236" s="22" t="n">
        <x:v>1237</x:v>
      </x:c>
      <x:c r="S236" s="22" t="n">
        <x:v>1237</x:v>
      </x:c>
      <x:c r="T236" s="22" t="n">
        <x:v>0.8500000000000003</x:v>
      </x:c>
      <x:c r="U236" s="22" t="n">
        <x:v>19</x:v>
      </x:c>
      <x:c r="V236" s="22" t="n">
        <x:v>629</x:v>
      </x:c>
      <x:c r="W236" s="22" t="n">
        <x:v>223</x:v>
      </x:c>
      <x:c r="X236" s="22" t="n">
        <x:v>27</x:v>
      </x:c>
      <x:c r="Y236" s="22" t="n">
        <x:v>492</x:v>
      </x:c>
      <x:c r="Z236" s="22" t="n">
        <x:v>4</x:v>
      </x:c>
      <x:c r="AA236" s="22" t="n">
        <x:v>425</x:v>
      </x:c>
      <x:c r="AB236" s="22" t="n">
        <x:v>0</x:v>
      </x:c>
      <x:c r="AC236" s="22" t="n">
        <x:v>0</x:v>
      </x:c>
      <x:c r="AD236" s="22" t="n">
        <x:v>40</x:v>
      </x:c>
      <x:c r="AE236" s="22" t="n">
        <x:v>12</x:v>
      </x:c>
      <x:c r="AF236" s="22" t="n">
        <x:v>91</x:v>
      </x:c>
      <x:c r="AG236" s="22" t="n">
        <x:v>7</x:v>
      </x:c>
      <x:c r="AH236" s="22" t="n">
        <x:v>8</x:v>
      </x:c>
      <x:c r="AI236" s="22" t="n">
        <x:v>38</x:v>
      </x:c>
      <x:c r="AJ236" s="22" t="n">
        <x:v>10</x:v>
      </x:c>
      <x:c r="AK236" s="22" t="n">
        <x:v>7</x:v>
      </x:c>
      <x:c r="AL236" s="22" t="n">
        <x:v>836</x:v>
      </x:c>
      <x:c r="AM236" s="22" t="n">
        <x:v>63</x:v>
      </x:c>
      <x:c r="AN236" s="22" t="n">
        <x:v>10</x:v>
      </x:c>
      <x:c r="AO236" s="22" t="n">
        <x:v>7</x:v>
      </x:c>
      <x:c r="AP236" s="22" t="n">
        <x:v>4250</x:v>
      </x:c>
      <x:c r="AQ236" s="22" t="n">
        <x:v>20</x:v>
      </x:c>
      <x:c r="AR236" s="22" t="n">
        <x:v>0</x:v>
      </x:c>
      <x:c r="AS236" s="22" t="n">
        <x:v>10</x:v>
      </x:c>
      <x:c r="AT236" s="22" t="n">
        <x:v>10</x:v>
      </x:c>
      <x:c r="AU236" s="22" t="n">
        <x:v>0</x:v>
      </x:c>
      <x:c r="AV236" s="22" t="n">
        <x:v>25</x:v>
      </x:c>
      <x:c r="AW236" s="22" t="n">
        <x:v>0</x:v>
      </x:c>
    </x:row>
    <x:row r="237" ht="24" customHeight="1">
      <x:c r="A237" s="22" t="str">
        <x:v>P0233</x:v>
      </x:c>
      <x:c r="B237" s="22" t="n">
        <x:v>7</x:v>
      </x:c>
      <x:c r="C237" s="22" t="n">
        <x:v>3</x:v>
      </x:c>
      <x:c r="D237" s="22" t="str">
        <x:v>C07高完成度参考</x:v>
      </x:c>
      <x:c r="E237" s="22" t="n">
        <x:v>52484</x:v>
      </x:c>
      <x:c r="F237" s="22" t="n">
        <x:v>58578</x:v>
      </x:c>
      <x:c r="G237" s="22" t="n">
        <x:v>49624</x:v>
      </x:c>
      <x:c r="H237" s="22" t="n">
        <x:v>55691</x:v>
      </x:c>
      <x:c r="I237" s="22" t="n">
        <x:v>49626</x:v>
      </x:c>
      <x:c r="J237" s="22" t="n">
        <x:v>55693</x:v>
      </x:c>
      <x:c r="K237" s="22" t="n">
        <x:v>7719700</x:v>
      </x:c>
      <x:c r="L237" s="22" t="n">
        <x:v>1600900</x:v>
      </x:c>
      <x:c r="M237" s="22" t="n">
        <x:v>1005</x:v>
      </x:c>
      <x:c r="N237" s="22" t="n">
        <x:v>1820</x:v>
      </x:c>
      <x:c r="O237" s="22" t="n">
        <x:v>817</x:v>
      </x:c>
      <x:c r="P237" s="22" t="n">
        <x:v>1491</x:v>
      </x:c>
      <x:c r="Q237" s="22" t="n">
        <x:v>1423</x:v>
      </x:c>
      <x:c r="R237" s="22" t="n">
        <x:v>1374</x:v>
      </x:c>
      <x:c r="S237" s="22" t="n">
        <x:v>1374</x:v>
      </x:c>
      <x:c r="T237" s="22" t="n">
        <x:v>0.8500000000000003</x:v>
      </x:c>
      <x:c r="U237" s="22" t="n">
        <x:v>19</x:v>
      </x:c>
      <x:c r="V237" s="22" t="n">
        <x:v>665</x:v>
      </x:c>
      <x:c r="W237" s="22" t="n">
        <x:v>248</x:v>
      </x:c>
      <x:c r="X237" s="22" t="n">
        <x:v>27</x:v>
      </x:c>
      <x:c r="Y237" s="22" t="n">
        <x:v>521</x:v>
      </x:c>
      <x:c r="Z237" s="22" t="n">
        <x:v>4</x:v>
      </x:c>
      <x:c r="AA237" s="22" t="n">
        <x:v>503</x:v>
      </x:c>
      <x:c r="AB237" s="22" t="n">
        <x:v>0</x:v>
      </x:c>
      <x:c r="AC237" s="22" t="n">
        <x:v>0</x:v>
      </x:c>
      <x:c r="AD237" s="22" t="n">
        <x:v>40</x:v>
      </x:c>
      <x:c r="AE237" s="22" t="n">
        <x:v>12</x:v>
      </x:c>
      <x:c r="AF237" s="22" t="n">
        <x:v>91</x:v>
      </x:c>
      <x:c r="AG237" s="22" t="n">
        <x:v>7</x:v>
      </x:c>
      <x:c r="AH237" s="22" t="n">
        <x:v>8</x:v>
      </x:c>
      <x:c r="AI237" s="22" t="n">
        <x:v>38</x:v>
      </x:c>
      <x:c r="AJ237" s="22" t="n">
        <x:v>10</x:v>
      </x:c>
      <x:c r="AK237" s="22" t="n">
        <x:v>7</x:v>
      </x:c>
      <x:c r="AL237" s="22" t="n">
        <x:v>838</x:v>
      </x:c>
      <x:c r="AM237" s="22" t="n">
        <x:v>69</x:v>
      </x:c>
      <x:c r="AN237" s="22" t="n">
        <x:v>10</x:v>
      </x:c>
      <x:c r="AO237" s="22" t="n">
        <x:v>7</x:v>
      </x:c>
      <x:c r="AP237" s="22" t="n">
        <x:v>4250</x:v>
      </x:c>
      <x:c r="AQ237" s="22" t="n">
        <x:v>20</x:v>
      </x:c>
      <x:c r="AR237" s="22" t="n">
        <x:v>0</x:v>
      </x:c>
      <x:c r="AS237" s="22" t="n">
        <x:v>10</x:v>
      </x:c>
      <x:c r="AT237" s="22" t="n">
        <x:v>10</x:v>
      </x:c>
      <x:c r="AU237" s="22" t="n">
        <x:v>0</x:v>
      </x:c>
      <x:c r="AV237" s="22" t="n">
        <x:v>25</x:v>
      </x:c>
      <x:c r="AW237" s="22" t="n">
        <x:v>0</x:v>
      </x:c>
    </x:row>
    <x:row r="238" ht="24" customHeight="1">
      <x:c r="A238" s="22" t="str">
        <x:v>P0234</x:v>
      </x:c>
      <x:c r="B238" s="22" t="n">
        <x:v>7</x:v>
      </x:c>
      <x:c r="C238" s="22" t="n">
        <x:v>3</x:v>
      </x:c>
      <x:c r="D238" s="22" t="str">
        <x:v>C07守关后继承</x:v>
      </x:c>
      <x:c r="E238" s="22" t="n">
        <x:v>51096</x:v>
      </x:c>
      <x:c r="F238" s="22" t="n">
        <x:v>56421</x:v>
      </x:c>
      <x:c r="G238" s="22" t="n">
        <x:v>48236</x:v>
      </x:c>
      <x:c r="H238" s="22" t="n">
        <x:v>53534</x:v>
      </x:c>
      <x:c r="I238" s="22" t="n">
        <x:v>48238</x:v>
      </x:c>
      <x:c r="J238" s="22" t="n">
        <x:v>53536</x:v>
      </x:c>
      <x:c r="K238" s="22" t="n">
        <x:v>7215600</x:v>
      </x:c>
      <x:c r="L238" s="22" t="n">
        <x:v>1600900</x:v>
      </x:c>
      <x:c r="M238" s="22" t="n">
        <x:v>812</x:v>
      </x:c>
      <x:c r="N238" s="22" t="n">
        <x:v>1470</x:v>
      </x:c>
      <x:c r="O238" s="22" t="n">
        <x:v>659</x:v>
      </x:c>
      <x:c r="P238" s="22" t="n">
        <x:v>1205</x:v>
      </x:c>
      <x:c r="Q238" s="22" t="n">
        <x:v>1286</x:v>
      </x:c>
      <x:c r="R238" s="22" t="n">
        <x:v>1237</x:v>
      </x:c>
      <x:c r="S238" s="22" t="n">
        <x:v>1237</x:v>
      </x:c>
      <x:c r="T238" s="22" t="n">
        <x:v>0.8500000000000003</x:v>
      </x:c>
      <x:c r="U238" s="22" t="n">
        <x:v>19</x:v>
      </x:c>
      <x:c r="V238" s="22" t="n">
        <x:v>629</x:v>
      </x:c>
      <x:c r="W238" s="22" t="n">
        <x:v>225</x:v>
      </x:c>
      <x:c r="X238" s="22" t="n">
        <x:v>27</x:v>
      </x:c>
      <x:c r="Y238" s="22" t="n">
        <x:v>492</x:v>
      </x:c>
      <x:c r="Z238" s="22" t="n">
        <x:v>4</x:v>
      </x:c>
      <x:c r="AA238" s="22" t="n">
        <x:v>425</x:v>
      </x:c>
      <x:c r="AB238" s="22" t="n">
        <x:v>0</x:v>
      </x:c>
      <x:c r="AC238" s="22" t="n">
        <x:v>0</x:v>
      </x:c>
      <x:c r="AD238" s="22" t="n">
        <x:v>40</x:v>
      </x:c>
      <x:c r="AE238" s="22" t="n">
        <x:v>12</x:v>
      </x:c>
      <x:c r="AF238" s="22" t="n">
        <x:v>91</x:v>
      </x:c>
      <x:c r="AG238" s="22" t="n">
        <x:v>7</x:v>
      </x:c>
      <x:c r="AH238" s="22" t="n">
        <x:v>8</x:v>
      </x:c>
      <x:c r="AI238" s="22" t="n">
        <x:v>38</x:v>
      </x:c>
      <x:c r="AJ238" s="22" t="n">
        <x:v>10</x:v>
      </x:c>
      <x:c r="AK238" s="22" t="n">
        <x:v>7</x:v>
      </x:c>
      <x:c r="AL238" s="22" t="n">
        <x:v>836</x:v>
      </x:c>
      <x:c r="AM238" s="22" t="n">
        <x:v>63</x:v>
      </x:c>
      <x:c r="AN238" s="22" t="n">
        <x:v>10</x:v>
      </x:c>
      <x:c r="AO238" s="22" t="n">
        <x:v>8</x:v>
      </x:c>
      <x:c r="AP238" s="22" t="n">
        <x:v>4250</x:v>
      </x:c>
      <x:c r="AQ238" s="22" t="n">
        <x:v>20</x:v>
      </x:c>
      <x:c r="AR238" s="22" t="n">
        <x:v>0</x:v>
      </x:c>
      <x:c r="AS238" s="22" t="n">
        <x:v>10</x:v>
      </x:c>
      <x:c r="AT238" s="22" t="n">
        <x:v>10</x:v>
      </x:c>
      <x:c r="AU238" s="22" t="n">
        <x:v>0</x:v>
      </x:c>
      <x:c r="AV238" s="22" t="n">
        <x:v>25</x:v>
      </x:c>
      <x:c r="AW238" s="22" t="n">
        <x:v>0</x:v>
      </x:c>
    </x:row>
    <x:row r="239" ht="24" customHeight="1">
      <x:c r="A239" s="22" t="str">
        <x:v>P0235</x:v>
      </x:c>
      <x:c r="B239" s="22" t="n">
        <x:v>8</x:v>
      </x:c>
      <x:c r="C239" s="22" t="n">
        <x:v>1</x:v>
      </x:c>
      <x:c r="D239" s="22" t="str">
        <x:v>C08入场继承</x:v>
      </x:c>
      <x:c r="E239" s="22" t="n">
        <x:v>51096</x:v>
      </x:c>
      <x:c r="F239" s="22" t="n">
        <x:v>56421</x:v>
      </x:c>
      <x:c r="G239" s="22" t="n">
        <x:v>48236</x:v>
      </x:c>
      <x:c r="H239" s="22" t="n">
        <x:v>53534</x:v>
      </x:c>
      <x:c r="I239" s="22" t="n">
        <x:v>48238</x:v>
      </x:c>
      <x:c r="J239" s="22" t="n">
        <x:v>53536</x:v>
      </x:c>
      <x:c r="K239" s="22" t="n">
        <x:v>7215600</x:v>
      </x:c>
      <x:c r="L239" s="22" t="n">
        <x:v>1600900</x:v>
      </x:c>
      <x:c r="M239" s="22" t="n">
        <x:v>812</x:v>
      </x:c>
      <x:c r="N239" s="22" t="n">
        <x:v>1470</x:v>
      </x:c>
      <x:c r="O239" s="22" t="n">
        <x:v>659</x:v>
      </x:c>
      <x:c r="P239" s="22" t="n">
        <x:v>1205</x:v>
      </x:c>
      <x:c r="Q239" s="22" t="n">
        <x:v>1286</x:v>
      </x:c>
      <x:c r="R239" s="22" t="n">
        <x:v>1237</x:v>
      </x:c>
      <x:c r="S239" s="22" t="n">
        <x:v>1237</x:v>
      </x:c>
      <x:c r="T239" s="22" t="n">
        <x:v>0.8500000000000003</x:v>
      </x:c>
      <x:c r="U239" s="22" t="n">
        <x:v>19</x:v>
      </x:c>
      <x:c r="V239" s="22" t="n">
        <x:v>629</x:v>
      </x:c>
      <x:c r="W239" s="22" t="n">
        <x:v>225</x:v>
      </x:c>
      <x:c r="X239" s="22" t="n">
        <x:v>27</x:v>
      </x:c>
      <x:c r="Y239" s="22" t="n">
        <x:v>492</x:v>
      </x:c>
      <x:c r="Z239" s="22" t="n">
        <x:v>4</x:v>
      </x:c>
      <x:c r="AA239" s="22" t="n">
        <x:v>425</x:v>
      </x:c>
      <x:c r="AB239" s="22" t="n">
        <x:v>0</x:v>
      </x:c>
      <x:c r="AC239" s="22" t="n">
        <x:v>0</x:v>
      </x:c>
      <x:c r="AD239" s="22" t="n">
        <x:v>40</x:v>
      </x:c>
      <x:c r="AE239" s="22" t="n">
        <x:v>12</x:v>
      </x:c>
      <x:c r="AF239" s="22" t="n">
        <x:v>91</x:v>
      </x:c>
      <x:c r="AG239" s="22" t="n">
        <x:v>7</x:v>
      </x:c>
      <x:c r="AH239" s="22" t="n">
        <x:v>8</x:v>
      </x:c>
      <x:c r="AI239" s="22" t="n">
        <x:v>38</x:v>
      </x:c>
      <x:c r="AJ239" s="22" t="n">
        <x:v>10</x:v>
      </x:c>
      <x:c r="AK239" s="22" t="n">
        <x:v>7</x:v>
      </x:c>
      <x:c r="AL239" s="22" t="n">
        <x:v>836</x:v>
      </x:c>
      <x:c r="AM239" s="22" t="n">
        <x:v>63</x:v>
      </x:c>
      <x:c r="AN239" s="22" t="n">
        <x:v>10</x:v>
      </x:c>
      <x:c r="AO239" s="22" t="n">
        <x:v>8</x:v>
      </x:c>
      <x:c r="AP239" s="22" t="n">
        <x:v>4250</x:v>
      </x:c>
      <x:c r="AQ239" s="22" t="n">
        <x:v>20</x:v>
      </x:c>
      <x:c r="AR239" s="22" t="n">
        <x:v>0</x:v>
      </x:c>
      <x:c r="AS239" s="22" t="n">
        <x:v>10</x:v>
      </x:c>
      <x:c r="AT239" s="22" t="n">
        <x:v>10</x:v>
      </x:c>
      <x:c r="AU239" s="22" t="n">
        <x:v>0</x:v>
      </x:c>
      <x:c r="AV239" s="22" t="n">
        <x:v>25</x:v>
      </x:c>
      <x:c r="AW239" s="22" t="n">
        <x:v>0</x:v>
      </x:c>
    </x:row>
    <x:row r="240" ht="24" customHeight="1">
      <x:c r="A240" s="22" t="str">
        <x:v>P0236</x:v>
      </x:c>
      <x:c r="B240" s="22" t="n">
        <x:v>8</x:v>
      </x:c>
      <x:c r="C240" s="22" t="n">
        <x:v>1</x:v>
      </x:c>
      <x:c r="D240" s="22" t="str">
        <x:v>C08本阶段既有付费/长期成长</x:v>
      </x:c>
      <x:c r="E240" s="22" t="n">
        <x:v>51678</x:v>
      </x:c>
      <x:c r="F240" s="22" t="n">
        <x:v>57003</x:v>
      </x:c>
      <x:c r="G240" s="22" t="n">
        <x:v>48818</x:v>
      </x:c>
      <x:c r="H240" s="22" t="n">
        <x:v>54116</x:v>
      </x:c>
      <x:c r="I240" s="22" t="n">
        <x:v>48820</x:v>
      </x:c>
      <x:c r="J240" s="22" t="n">
        <x:v>54118</x:v>
      </x:c>
      <x:c r="K240" s="22" t="n">
        <x:v>7273800</x:v>
      </x:c>
      <x:c r="L240" s="22" t="n">
        <x:v>1600900</x:v>
      </x:c>
      <x:c r="M240" s="22" t="n">
        <x:v>812</x:v>
      </x:c>
      <x:c r="N240" s="22" t="n">
        <x:v>1470</x:v>
      </x:c>
      <x:c r="O240" s="22" t="n">
        <x:v>659</x:v>
      </x:c>
      <x:c r="P240" s="22" t="n">
        <x:v>1205</x:v>
      </x:c>
      <x:c r="Q240" s="22" t="n">
        <x:v>1286</x:v>
      </x:c>
      <x:c r="R240" s="22" t="n">
        <x:v>1237</x:v>
      </x:c>
      <x:c r="S240" s="22" t="n">
        <x:v>1237</x:v>
      </x:c>
      <x:c r="T240" s="22" t="n">
        <x:v>0.8500000000000003</x:v>
      </x:c>
      <x:c r="U240" s="22" t="n">
        <x:v>19</x:v>
      </x:c>
      <x:c r="V240" s="22" t="n">
        <x:v>629</x:v>
      </x:c>
      <x:c r="W240" s="22" t="n">
        <x:v>225</x:v>
      </x:c>
      <x:c r="X240" s="22" t="n">
        <x:v>27</x:v>
      </x:c>
      <x:c r="Y240" s="22" t="n">
        <x:v>492</x:v>
      </x:c>
      <x:c r="Z240" s="22" t="n">
        <x:v>4</x:v>
      </x:c>
      <x:c r="AA240" s="22" t="n">
        <x:v>425</x:v>
      </x:c>
      <x:c r="AB240" s="22" t="n">
        <x:v>0</x:v>
      </x:c>
      <x:c r="AC240" s="22" t="n">
        <x:v>0</x:v>
      </x:c>
      <x:c r="AD240" s="22" t="n">
        <x:v>40</x:v>
      </x:c>
      <x:c r="AE240" s="22" t="n">
        <x:v>12</x:v>
      </x:c>
      <x:c r="AF240" s="22" t="n">
        <x:v>91</x:v>
      </x:c>
      <x:c r="AG240" s="22" t="n">
        <x:v>7</x:v>
      </x:c>
      <x:c r="AH240" s="22" t="n">
        <x:v>8</x:v>
      </x:c>
      <x:c r="AI240" s="22" t="n">
        <x:v>38</x:v>
      </x:c>
      <x:c r="AJ240" s="22" t="n">
        <x:v>10</x:v>
      </x:c>
      <x:c r="AK240" s="22" t="n">
        <x:v>7</x:v>
      </x:c>
      <x:c r="AL240" s="22" t="n">
        <x:v>836</x:v>
      </x:c>
      <x:c r="AM240" s="22" t="n">
        <x:v>63</x:v>
      </x:c>
      <x:c r="AN240" s="22" t="n">
        <x:v>10</x:v>
      </x:c>
      <x:c r="AO240" s="22" t="n">
        <x:v>8</x:v>
      </x:c>
      <x:c r="AP240" s="22" t="n">
        <x:v>4250</x:v>
      </x:c>
      <x:c r="AQ240" s="22" t="n">
        <x:v>20</x:v>
      </x:c>
      <x:c r="AR240" s="22" t="n">
        <x:v>0</x:v>
      </x:c>
      <x:c r="AS240" s="22" t="n">
        <x:v>10</x:v>
      </x:c>
      <x:c r="AT240" s="22" t="n">
        <x:v>10</x:v>
      </x:c>
      <x:c r="AU240" s="22" t="n">
        <x:v>0</x:v>
      </x:c>
      <x:c r="AV240" s="22" t="n">
        <x:v>25</x:v>
      </x:c>
      <x:c r="AW240" s="22" t="n">
        <x:v>0</x:v>
      </x:c>
    </x:row>
    <x:row r="241" ht="24" customHeight="1">
      <x:c r="A241" s="22" t="str">
        <x:v>P0237</x:v>
      </x:c>
      <x:c r="B241" s="22" t="n">
        <x:v>8</x:v>
      </x:c>
      <x:c r="C241" s="22" t="n">
        <x:v>1</x:v>
      </x:c>
      <x:c r="D241" s="22" t="str">
        <x:v>C08G01入场</x:v>
      </x:c>
      <x:c r="E241" s="22" t="n">
        <x:v>51678</x:v>
      </x:c>
      <x:c r="F241" s="22" t="n">
        <x:v>57003</x:v>
      </x:c>
      <x:c r="G241" s="22" t="n">
        <x:v>48818</x:v>
      </x:c>
      <x:c r="H241" s="22" t="n">
        <x:v>54116</x:v>
      </x:c>
      <x:c r="I241" s="22" t="n">
        <x:v>48820</x:v>
      </x:c>
      <x:c r="J241" s="22" t="n">
        <x:v>54118</x:v>
      </x:c>
      <x:c r="K241" s="22" t="n">
        <x:v>7273800</x:v>
      </x:c>
      <x:c r="L241" s="22" t="n">
        <x:v>1600900</x:v>
      </x:c>
      <x:c r="M241" s="22" t="n">
        <x:v>812</x:v>
      </x:c>
      <x:c r="N241" s="22" t="n">
        <x:v>1470</x:v>
      </x:c>
      <x:c r="O241" s="22" t="n">
        <x:v>659</x:v>
      </x:c>
      <x:c r="P241" s="22" t="n">
        <x:v>1205</x:v>
      </x:c>
      <x:c r="Q241" s="22" t="n">
        <x:v>1286</x:v>
      </x:c>
      <x:c r="R241" s="22" t="n">
        <x:v>1237</x:v>
      </x:c>
      <x:c r="S241" s="22" t="n">
        <x:v>1237</x:v>
      </x:c>
      <x:c r="T241" s="22" t="n">
        <x:v>0.8500000000000003</x:v>
      </x:c>
      <x:c r="U241" s="22" t="n">
        <x:v>19</x:v>
      </x:c>
      <x:c r="V241" s="22" t="n">
        <x:v>629</x:v>
      </x:c>
      <x:c r="W241" s="22" t="n">
        <x:v>225</x:v>
      </x:c>
      <x:c r="X241" s="22" t="n">
        <x:v>27</x:v>
      </x:c>
      <x:c r="Y241" s="22" t="n">
        <x:v>492</x:v>
      </x:c>
      <x:c r="Z241" s="22" t="n">
        <x:v>4</x:v>
      </x:c>
      <x:c r="AA241" s="22" t="n">
        <x:v>425</x:v>
      </x:c>
      <x:c r="AB241" s="22" t="n">
        <x:v>0</x:v>
      </x:c>
      <x:c r="AC241" s="22" t="n">
        <x:v>0</x:v>
      </x:c>
      <x:c r="AD241" s="22" t="n">
        <x:v>40</x:v>
      </x:c>
      <x:c r="AE241" s="22" t="n">
        <x:v>12</x:v>
      </x:c>
      <x:c r="AF241" s="22" t="n">
        <x:v>91</x:v>
      </x:c>
      <x:c r="AG241" s="22" t="n">
        <x:v>7</x:v>
      </x:c>
      <x:c r="AH241" s="22" t="n">
        <x:v>8</x:v>
      </x:c>
      <x:c r="AI241" s="22" t="n">
        <x:v>38</x:v>
      </x:c>
      <x:c r="AJ241" s="22" t="n">
        <x:v>10</x:v>
      </x:c>
      <x:c r="AK241" s="22" t="n">
        <x:v>7</x:v>
      </x:c>
      <x:c r="AL241" s="22" t="n">
        <x:v>836</x:v>
      </x:c>
      <x:c r="AM241" s="22" t="n">
        <x:v>63</x:v>
      </x:c>
      <x:c r="AN241" s="22" t="n">
        <x:v>10</x:v>
      </x:c>
      <x:c r="AO241" s="22" t="n">
        <x:v>8</x:v>
      </x:c>
      <x:c r="AP241" s="22" t="n">
        <x:v>4250</x:v>
      </x:c>
      <x:c r="AQ241" s="22" t="n">
        <x:v>20</x:v>
      </x:c>
      <x:c r="AR241" s="22" t="n">
        <x:v>0</x:v>
      </x:c>
      <x:c r="AS241" s="22" t="n">
        <x:v>10</x:v>
      </x:c>
      <x:c r="AT241" s="22" t="n">
        <x:v>10</x:v>
      </x:c>
      <x:c r="AU241" s="22" t="n">
        <x:v>0</x:v>
      </x:c>
      <x:c r="AV241" s="22" t="n">
        <x:v>25</x:v>
      </x:c>
      <x:c r="AW241" s="22" t="n">
        <x:v>0</x:v>
      </x:c>
    </x:row>
    <x:row r="242" ht="24" customHeight="1">
      <x:c r="A242" s="22" t="str">
        <x:v>P0238</x:v>
      </x:c>
      <x:c r="B242" s="22" t="n">
        <x:v>8</x:v>
      </x:c>
      <x:c r="C242" s="22" t="n">
        <x:v>1</x:v>
      </x:c>
      <x:c r="D242" s="22" t="str">
        <x:v>C08G01普通专属4/6</x:v>
      </x:c>
      <x:c r="E242" s="22" t="n">
        <x:v>51678</x:v>
      </x:c>
      <x:c r="F242" s="22" t="n">
        <x:v>57003</x:v>
      </x:c>
      <x:c r="G242" s="22" t="n">
        <x:v>48818</x:v>
      </x:c>
      <x:c r="H242" s="22" t="n">
        <x:v>54116</x:v>
      </x:c>
      <x:c r="I242" s="22" t="n">
        <x:v>48820</x:v>
      </x:c>
      <x:c r="J242" s="22" t="n">
        <x:v>54118</x:v>
      </x:c>
      <x:c r="K242" s="22" t="n">
        <x:v>7273800</x:v>
      </x:c>
      <x:c r="L242" s="22" t="n">
        <x:v>1600900</x:v>
      </x:c>
      <x:c r="M242" s="22" t="n">
        <x:v>812</x:v>
      </x:c>
      <x:c r="N242" s="22" t="n">
        <x:v>1470</x:v>
      </x:c>
      <x:c r="O242" s="22" t="n">
        <x:v>659</x:v>
      </x:c>
      <x:c r="P242" s="22" t="n">
        <x:v>1205</x:v>
      </x:c>
      <x:c r="Q242" s="22" t="n">
        <x:v>1286</x:v>
      </x:c>
      <x:c r="R242" s="22" t="n">
        <x:v>1237</x:v>
      </x:c>
      <x:c r="S242" s="22" t="n">
        <x:v>1237</x:v>
      </x:c>
      <x:c r="T242" s="22" t="n">
        <x:v>0.8500000000000003</x:v>
      </x:c>
      <x:c r="U242" s="22" t="n">
        <x:v>19</x:v>
      </x:c>
      <x:c r="V242" s="22" t="n">
        <x:v>629</x:v>
      </x:c>
      <x:c r="W242" s="22" t="n">
        <x:v>225</x:v>
      </x:c>
      <x:c r="X242" s="22" t="n">
        <x:v>27</x:v>
      </x:c>
      <x:c r="Y242" s="22" t="n">
        <x:v>492</x:v>
      </x:c>
      <x:c r="Z242" s="22" t="n">
        <x:v>4</x:v>
      </x:c>
      <x:c r="AA242" s="22" t="n">
        <x:v>425</x:v>
      </x:c>
      <x:c r="AB242" s="22" t="n">
        <x:v>0</x:v>
      </x:c>
      <x:c r="AC242" s="22" t="n">
        <x:v>0</x:v>
      </x:c>
      <x:c r="AD242" s="22" t="n">
        <x:v>40</x:v>
      </x:c>
      <x:c r="AE242" s="22" t="n">
        <x:v>12</x:v>
      </x:c>
      <x:c r="AF242" s="22" t="n">
        <x:v>91</x:v>
      </x:c>
      <x:c r="AG242" s="22" t="n">
        <x:v>7</x:v>
      </x:c>
      <x:c r="AH242" s="22" t="n">
        <x:v>8</x:v>
      </x:c>
      <x:c r="AI242" s="22" t="n">
        <x:v>38</x:v>
      </x:c>
      <x:c r="AJ242" s="22" t="n">
        <x:v>10</x:v>
      </x:c>
      <x:c r="AK242" s="22" t="n">
        <x:v>7</x:v>
      </x:c>
      <x:c r="AL242" s="22" t="n">
        <x:v>836</x:v>
      </x:c>
      <x:c r="AM242" s="22" t="n">
        <x:v>63</x:v>
      </x:c>
      <x:c r="AN242" s="22" t="n">
        <x:v>10</x:v>
      </x:c>
      <x:c r="AO242" s="22" t="n">
        <x:v>8</x:v>
      </x:c>
      <x:c r="AP242" s="22" t="n">
        <x:v>4250</x:v>
      </x:c>
      <x:c r="AQ242" s="22" t="n">
        <x:v>20</x:v>
      </x:c>
      <x:c r="AR242" s="22" t="n">
        <x:v>0</x:v>
      </x:c>
      <x:c r="AS242" s="22" t="n">
        <x:v>10</x:v>
      </x:c>
      <x:c r="AT242" s="22" t="n">
        <x:v>10</x:v>
      </x:c>
      <x:c r="AU242" s="22" t="n">
        <x:v>0</x:v>
      </x:c>
      <x:c r="AV242" s="22" t="n">
        <x:v>25</x:v>
      </x:c>
      <x:c r="AW242" s="22" t="n">
        <x:v>0</x:v>
      </x:c>
    </x:row>
    <x:row r="243" ht="24" customHeight="1">
      <x:c r="A243" s="22" t="str">
        <x:v>P0239</x:v>
      </x:c>
      <x:c r="B243" s="22" t="n">
        <x:v>8</x:v>
      </x:c>
      <x:c r="C243" s="22" t="n">
        <x:v>1</x:v>
      </x:c>
      <x:c r="D243" s="22" t="str">
        <x:v>雪崩号角·赫罗姆挑战前</x:v>
      </x:c>
      <x:c r="E243" s="22" t="n">
        <x:v>52269</x:v>
      </x:c>
      <x:c r="F243" s="22" t="n">
        <x:v>57594</x:v>
      </x:c>
      <x:c r="G243" s="22" t="n">
        <x:v>49409</x:v>
      </x:c>
      <x:c r="H243" s="22" t="n">
        <x:v>54707</x:v>
      </x:c>
      <x:c r="I243" s="22" t="n">
        <x:v>49411</x:v>
      </x:c>
      <x:c r="J243" s="22" t="n">
        <x:v>54709</x:v>
      </x:c>
      <x:c r="K243" s="22" t="n">
        <x:v>7332900</x:v>
      </x:c>
      <x:c r="L243" s="22" t="n">
        <x:v>1600900</x:v>
      </x:c>
      <x:c r="M243" s="22" t="n">
        <x:v>812</x:v>
      </x:c>
      <x:c r="N243" s="22" t="n">
        <x:v>1470</x:v>
      </x:c>
      <x:c r="O243" s="22" t="n">
        <x:v>659</x:v>
      </x:c>
      <x:c r="P243" s="22" t="n">
        <x:v>1205</x:v>
      </x:c>
      <x:c r="Q243" s="22" t="n">
        <x:v>1286</x:v>
      </x:c>
      <x:c r="R243" s="22" t="n">
        <x:v>1237</x:v>
      </x:c>
      <x:c r="S243" s="22" t="n">
        <x:v>1237</x:v>
      </x:c>
      <x:c r="T243" s="22" t="n">
        <x:v>0.8500000000000003</x:v>
      </x:c>
      <x:c r="U243" s="22" t="n">
        <x:v>19</x:v>
      </x:c>
      <x:c r="V243" s="22" t="n">
        <x:v>629</x:v>
      </x:c>
      <x:c r="W243" s="22" t="n">
        <x:v>225</x:v>
      </x:c>
      <x:c r="X243" s="22" t="n">
        <x:v>27</x:v>
      </x:c>
      <x:c r="Y243" s="22" t="n">
        <x:v>492</x:v>
      </x:c>
      <x:c r="Z243" s="22" t="n">
        <x:v>4</x:v>
      </x:c>
      <x:c r="AA243" s="22" t="n">
        <x:v>425</x:v>
      </x:c>
      <x:c r="AB243" s="22" t="n">
        <x:v>0</x:v>
      </x:c>
      <x:c r="AC243" s="22" t="n">
        <x:v>0</x:v>
      </x:c>
      <x:c r="AD243" s="22" t="n">
        <x:v>40</x:v>
      </x:c>
      <x:c r="AE243" s="22" t="n">
        <x:v>12</x:v>
      </x:c>
      <x:c r="AF243" s="22" t="n">
        <x:v>91</x:v>
      </x:c>
      <x:c r="AG243" s="22" t="n">
        <x:v>7</x:v>
      </x:c>
      <x:c r="AH243" s="22" t="n">
        <x:v>8</x:v>
      </x:c>
      <x:c r="AI243" s="22" t="n">
        <x:v>38</x:v>
      </x:c>
      <x:c r="AJ243" s="22" t="n">
        <x:v>10</x:v>
      </x:c>
      <x:c r="AK243" s="22" t="n">
        <x:v>7</x:v>
      </x:c>
      <x:c r="AL243" s="22" t="n">
        <x:v>836</x:v>
      </x:c>
      <x:c r="AM243" s="22" t="n">
        <x:v>63</x:v>
      </x:c>
      <x:c r="AN243" s="22" t="n">
        <x:v>10</x:v>
      </x:c>
      <x:c r="AO243" s="22" t="n">
        <x:v>8</x:v>
      </x:c>
      <x:c r="AP243" s="22" t="n">
        <x:v>4250</x:v>
      </x:c>
      <x:c r="AQ243" s="22" t="n">
        <x:v>20</x:v>
      </x:c>
      <x:c r="AR243" s="22" t="n">
        <x:v>0</x:v>
      </x:c>
      <x:c r="AS243" s="22" t="n">
        <x:v>10</x:v>
      </x:c>
      <x:c r="AT243" s="22" t="n">
        <x:v>10</x:v>
      </x:c>
      <x:c r="AU243" s="22" t="n">
        <x:v>0</x:v>
      </x:c>
      <x:c r="AV243" s="22" t="n">
        <x:v>25</x:v>
      </x:c>
      <x:c r="AW243" s="22" t="n">
        <x:v>0</x:v>
      </x:c>
    </x:row>
    <x:row r="244" ht="24" customHeight="1">
      <x:c r="A244" s="22" t="str">
        <x:v>P0240</x:v>
      </x:c>
      <x:c r="B244" s="22" t="n">
        <x:v>8</x:v>
      </x:c>
      <x:c r="C244" s="22" t="n">
        <x:v>1</x:v>
      </x:c>
      <x:c r="D244" s="22" t="str">
        <x:v>山巅霜祀·伊芙迦挑战前</x:v>
      </x:c>
      <x:c r="E244" s="22" t="n">
        <x:v>52269</x:v>
      </x:c>
      <x:c r="F244" s="22" t="n">
        <x:v>57594</x:v>
      </x:c>
      <x:c r="G244" s="22" t="n">
        <x:v>49409</x:v>
      </x:c>
      <x:c r="H244" s="22" t="n">
        <x:v>54707</x:v>
      </x:c>
      <x:c r="I244" s="22" t="n">
        <x:v>49411</x:v>
      </x:c>
      <x:c r="J244" s="22" t="n">
        <x:v>54709</x:v>
      </x:c>
      <x:c r="K244" s="22" t="n">
        <x:v>7332900</x:v>
      </x:c>
      <x:c r="L244" s="22" t="n">
        <x:v>1600900</x:v>
      </x:c>
      <x:c r="M244" s="22" t="n">
        <x:v>812</x:v>
      </x:c>
      <x:c r="N244" s="22" t="n">
        <x:v>1470</x:v>
      </x:c>
      <x:c r="O244" s="22" t="n">
        <x:v>659</x:v>
      </x:c>
      <x:c r="P244" s="22" t="n">
        <x:v>1205</x:v>
      </x:c>
      <x:c r="Q244" s="22" t="n">
        <x:v>1286</x:v>
      </x:c>
      <x:c r="R244" s="22" t="n">
        <x:v>1237</x:v>
      </x:c>
      <x:c r="S244" s="22" t="n">
        <x:v>1237</x:v>
      </x:c>
      <x:c r="T244" s="22" t="n">
        <x:v>0.8500000000000003</x:v>
      </x:c>
      <x:c r="U244" s="22" t="n">
        <x:v>19</x:v>
      </x:c>
      <x:c r="V244" s="22" t="n">
        <x:v>629</x:v>
      </x:c>
      <x:c r="W244" s="22" t="n">
        <x:v>225</x:v>
      </x:c>
      <x:c r="X244" s="22" t="n">
        <x:v>27</x:v>
      </x:c>
      <x:c r="Y244" s="22" t="n">
        <x:v>492</x:v>
      </x:c>
      <x:c r="Z244" s="22" t="n">
        <x:v>4</x:v>
      </x:c>
      <x:c r="AA244" s="22" t="n">
        <x:v>425</x:v>
      </x:c>
      <x:c r="AB244" s="22" t="n">
        <x:v>0</x:v>
      </x:c>
      <x:c r="AC244" s="22" t="n">
        <x:v>0</x:v>
      </x:c>
      <x:c r="AD244" s="22" t="n">
        <x:v>40</x:v>
      </x:c>
      <x:c r="AE244" s="22" t="n">
        <x:v>12</x:v>
      </x:c>
      <x:c r="AF244" s="22" t="n">
        <x:v>91</x:v>
      </x:c>
      <x:c r="AG244" s="22" t="n">
        <x:v>7</x:v>
      </x:c>
      <x:c r="AH244" s="22" t="n">
        <x:v>8</x:v>
      </x:c>
      <x:c r="AI244" s="22" t="n">
        <x:v>38</x:v>
      </x:c>
      <x:c r="AJ244" s="22" t="n">
        <x:v>10</x:v>
      </x:c>
      <x:c r="AK244" s="22" t="n">
        <x:v>7</x:v>
      </x:c>
      <x:c r="AL244" s="22" t="n">
        <x:v>836</x:v>
      </x:c>
      <x:c r="AM244" s="22" t="n">
        <x:v>63</x:v>
      </x:c>
      <x:c r="AN244" s="22" t="n">
        <x:v>10</x:v>
      </x:c>
      <x:c r="AO244" s="22" t="n">
        <x:v>8</x:v>
      </x:c>
      <x:c r="AP244" s="22" t="n">
        <x:v>4250</x:v>
      </x:c>
      <x:c r="AQ244" s="22" t="n">
        <x:v>20</x:v>
      </x:c>
      <x:c r="AR244" s="22" t="n">
        <x:v>0</x:v>
      </x:c>
      <x:c r="AS244" s="22" t="n">
        <x:v>10</x:v>
      </x:c>
      <x:c r="AT244" s="22" t="n">
        <x:v>10</x:v>
      </x:c>
      <x:c r="AU244" s="22" t="n">
        <x:v>0</x:v>
      </x:c>
      <x:c r="AV244" s="22" t="n">
        <x:v>25</x:v>
      </x:c>
      <x:c r="AW244" s="22" t="n">
        <x:v>0</x:v>
      </x:c>
    </x:row>
    <x:row r="245" ht="24" customHeight="1">
      <x:c r="A245" s="22" t="str">
        <x:v>P0241</x:v>
      </x:c>
      <x:c r="B245" s="22" t="n">
        <x:v>8</x:v>
      </x:c>
      <x:c r="C245" s="22" t="n">
        <x:v>1</x:v>
      </x:c>
      <x:c r="D245" s="22" t="str">
        <x:v>寒霜山径BOSS装备快线</x:v>
      </x:c>
      <x:c r="E245" s="22" t="n">
        <x:v>52409</x:v>
      </x:c>
      <x:c r="F245" s="22" t="n">
        <x:v>57864</x:v>
      </x:c>
      <x:c r="G245" s="22" t="n">
        <x:v>49549</x:v>
      </x:c>
      <x:c r="H245" s="22" t="n">
        <x:v>54977</x:v>
      </x:c>
      <x:c r="I245" s="22" t="n">
        <x:v>49551</x:v>
      </x:c>
      <x:c r="J245" s="22" t="n">
        <x:v>54979</x:v>
      </x:c>
      <x:c r="K245" s="22" t="n">
        <x:v>7446800</x:v>
      </x:c>
      <x:c r="L245" s="22" t="n">
        <x:v>1600900</x:v>
      </x:c>
      <x:c r="M245" s="22" t="n">
        <x:v>859</x:v>
      </x:c>
      <x:c r="N245" s="22" t="n">
        <x:v>1555</x:v>
      </x:c>
      <x:c r="O245" s="22" t="n">
        <x:v>697</x:v>
      </x:c>
      <x:c r="P245" s="22" t="n">
        <x:v>1274</x:v>
      </x:c>
      <x:c r="Q245" s="22" t="n">
        <x:v>1305</x:v>
      </x:c>
      <x:c r="R245" s="22" t="n">
        <x:v>1256</x:v>
      </x:c>
      <x:c r="S245" s="22" t="n">
        <x:v>1256</x:v>
      </x:c>
      <x:c r="T245" s="22" t="n">
        <x:v>0.8500000000000003</x:v>
      </x:c>
      <x:c r="U245" s="22" t="n">
        <x:v>19</x:v>
      </x:c>
      <x:c r="V245" s="22" t="n">
        <x:v>629</x:v>
      </x:c>
      <x:c r="W245" s="22" t="n">
        <x:v>225</x:v>
      </x:c>
      <x:c r="X245" s="22" t="n">
        <x:v>27</x:v>
      </x:c>
      <x:c r="Y245" s="22" t="n">
        <x:v>492</x:v>
      </x:c>
      <x:c r="Z245" s="22" t="n">
        <x:v>4</x:v>
      </x:c>
      <x:c r="AA245" s="22" t="n">
        <x:v>425</x:v>
      </x:c>
      <x:c r="AB245" s="22" t="n">
        <x:v>0</x:v>
      </x:c>
      <x:c r="AC245" s="22" t="n">
        <x:v>0</x:v>
      </x:c>
      <x:c r="AD245" s="22" t="n">
        <x:v>40</x:v>
      </x:c>
      <x:c r="AE245" s="22" t="n">
        <x:v>12</x:v>
      </x:c>
      <x:c r="AF245" s="22" t="n">
        <x:v>91</x:v>
      </x:c>
      <x:c r="AG245" s="22" t="n">
        <x:v>7</x:v>
      </x:c>
      <x:c r="AH245" s="22" t="n">
        <x:v>8</x:v>
      </x:c>
      <x:c r="AI245" s="22" t="n">
        <x:v>38</x:v>
      </x:c>
      <x:c r="AJ245" s="22" t="n">
        <x:v>10</x:v>
      </x:c>
      <x:c r="AK245" s="22" t="n">
        <x:v>7</x:v>
      </x:c>
      <x:c r="AL245" s="22" t="n">
        <x:v>836</x:v>
      </x:c>
      <x:c r="AM245" s="22" t="n">
        <x:v>64</x:v>
      </x:c>
      <x:c r="AN245" s="22" t="n">
        <x:v>10</x:v>
      </x:c>
      <x:c r="AO245" s="22" t="n">
        <x:v>8</x:v>
      </x:c>
      <x:c r="AP245" s="22" t="n">
        <x:v>4250</x:v>
      </x:c>
      <x:c r="AQ245" s="22" t="n">
        <x:v>20</x:v>
      </x:c>
      <x:c r="AR245" s="22" t="n">
        <x:v>0</x:v>
      </x:c>
      <x:c r="AS245" s="22" t="n">
        <x:v>10</x:v>
      </x:c>
      <x:c r="AT245" s="22" t="n">
        <x:v>10</x:v>
      </x:c>
      <x:c r="AU245" s="22" t="n">
        <x:v>0</x:v>
      </x:c>
      <x:c r="AV245" s="22" t="n">
        <x:v>25</x:v>
      </x:c>
      <x:c r="AW245" s="22" t="n">
        <x:v>0</x:v>
      </x:c>
    </x:row>
    <x:row r="246" ht="24" customHeight="1">
      <x:c r="A246" s="22" t="str">
        <x:v>P0242</x:v>
      </x:c>
      <x:c r="B246" s="22" t="n">
        <x:v>8</x:v>
      </x:c>
      <x:c r="C246" s="22" t="n">
        <x:v>1</x:v>
      </x:c>
      <x:c r="D246" s="22" t="str">
        <x:v>寒霜山径阶段积累后</x:v>
      </x:c>
      <x:c r="E246" s="22" t="n">
        <x:v>52532</x:v>
      </x:c>
      <x:c r="F246" s="22" t="n">
        <x:v>58022</x:v>
      </x:c>
      <x:c r="G246" s="22" t="n">
        <x:v>49672</x:v>
      </x:c>
      <x:c r="H246" s="22" t="n">
        <x:v>55135</x:v>
      </x:c>
      <x:c r="I246" s="22" t="n">
        <x:v>49674</x:v>
      </x:c>
      <x:c r="J246" s="22" t="n">
        <x:v>55137</x:v>
      </x:c>
      <x:c r="K246" s="22" t="n">
        <x:v>7393900</x:v>
      </x:c>
      <x:c r="L246" s="22" t="n">
        <x:v>1600900</x:v>
      </x:c>
      <x:c r="M246" s="22" t="n">
        <x:v>823</x:v>
      </x:c>
      <x:c r="N246" s="22" t="n">
        <x:v>1489</x:v>
      </x:c>
      <x:c r="O246" s="22" t="n">
        <x:v>667</x:v>
      </x:c>
      <x:c r="P246" s="22" t="n">
        <x:v>1221</x:v>
      </x:c>
      <x:c r="Q246" s="22" t="n">
        <x:v>1302</x:v>
      </x:c>
      <x:c r="R246" s="22" t="n">
        <x:v>1253</x:v>
      </x:c>
      <x:c r="S246" s="22" t="n">
        <x:v>1253</x:v>
      </x:c>
      <x:c r="T246" s="22" t="n">
        <x:v>1.1500000000000004</x:v>
      </x:c>
      <x:c r="U246" s="22" t="n">
        <x:v>19</x:v>
      </x:c>
      <x:c r="V246" s="22" t="n">
        <x:v>638</x:v>
      </x:c>
      <x:c r="W246" s="22" t="n">
        <x:v>225</x:v>
      </x:c>
      <x:c r="X246" s="22" t="n">
        <x:v>27</x:v>
      </x:c>
      <x:c r="Y246" s="22" t="n">
        <x:v>508</x:v>
      </x:c>
      <x:c r="Z246" s="22" t="n">
        <x:v>4</x:v>
      </x:c>
      <x:c r="AA246" s="22" t="n">
        <x:v>425</x:v>
      </x:c>
      <x:c r="AB246" s="22" t="n">
        <x:v>0</x:v>
      </x:c>
      <x:c r="AC246" s="22" t="n">
        <x:v>0</x:v>
      </x:c>
      <x:c r="AD246" s="22" t="n">
        <x:v>40</x:v>
      </x:c>
      <x:c r="AE246" s="22" t="n">
        <x:v>12</x:v>
      </x:c>
      <x:c r="AF246" s="22" t="n">
        <x:v>91</x:v>
      </x:c>
      <x:c r="AG246" s="22" t="n">
        <x:v>7</x:v>
      </x:c>
      <x:c r="AH246" s="22" t="n">
        <x:v>8</x:v>
      </x:c>
      <x:c r="AI246" s="22" t="n">
        <x:v>38</x:v>
      </x:c>
      <x:c r="AJ246" s="22" t="n">
        <x:v>10</x:v>
      </x:c>
      <x:c r="AK246" s="22" t="n">
        <x:v>7</x:v>
      </x:c>
      <x:c r="AL246" s="22" t="n">
        <x:v>836</x:v>
      </x:c>
      <x:c r="AM246" s="22" t="n">
        <x:v>63</x:v>
      </x:c>
      <x:c r="AN246" s="22" t="n">
        <x:v>10</x:v>
      </x:c>
      <x:c r="AO246" s="22" t="n">
        <x:v>8</x:v>
      </x:c>
      <x:c r="AP246" s="22" t="n">
        <x:v>4250</x:v>
      </x:c>
      <x:c r="AQ246" s="22" t="n">
        <x:v>20</x:v>
      </x:c>
      <x:c r="AR246" s="22" t="n">
        <x:v>0</x:v>
      </x:c>
      <x:c r="AS246" s="22" t="n">
        <x:v>10</x:v>
      </x:c>
      <x:c r="AT246" s="22" t="n">
        <x:v>10</x:v>
      </x:c>
      <x:c r="AU246" s="22" t="n">
        <x:v>0</x:v>
      </x:c>
      <x:c r="AV246" s="22" t="n">
        <x:v>25</x:v>
      </x:c>
      <x:c r="AW246" s="22" t="n">
        <x:v>0</x:v>
      </x:c>
    </x:row>
    <x:row r="247" ht="24" customHeight="1">
      <x:c r="A247" s="22" t="str">
        <x:v>P0243</x:v>
      </x:c>
      <x:c r="B247" s="22" t="n">
        <x:v>8</x:v>
      </x:c>
      <x:c r="C247" s="22" t="n">
        <x:v>2</x:v>
      </x:c>
      <x:c r="D247" s="22" t="str">
        <x:v>C08G02入场</x:v>
      </x:c>
      <x:c r="E247" s="22" t="n">
        <x:v>52532</x:v>
      </x:c>
      <x:c r="F247" s="22" t="n">
        <x:v>58022</x:v>
      </x:c>
      <x:c r="G247" s="22" t="n">
        <x:v>49672</x:v>
      </x:c>
      <x:c r="H247" s="22" t="n">
        <x:v>55135</x:v>
      </x:c>
      <x:c r="I247" s="22" t="n">
        <x:v>49674</x:v>
      </x:c>
      <x:c r="J247" s="22" t="n">
        <x:v>55137</x:v>
      </x:c>
      <x:c r="K247" s="22" t="n">
        <x:v>7393900</x:v>
      </x:c>
      <x:c r="L247" s="22" t="n">
        <x:v>1600900</x:v>
      </x:c>
      <x:c r="M247" s="22" t="n">
        <x:v>823</x:v>
      </x:c>
      <x:c r="N247" s="22" t="n">
        <x:v>1489</x:v>
      </x:c>
      <x:c r="O247" s="22" t="n">
        <x:v>667</x:v>
      </x:c>
      <x:c r="P247" s="22" t="n">
        <x:v>1221</x:v>
      </x:c>
      <x:c r="Q247" s="22" t="n">
        <x:v>1302</x:v>
      </x:c>
      <x:c r="R247" s="22" t="n">
        <x:v>1253</x:v>
      </x:c>
      <x:c r="S247" s="22" t="n">
        <x:v>1253</x:v>
      </x:c>
      <x:c r="T247" s="22" t="n">
        <x:v>1.1500000000000004</x:v>
      </x:c>
      <x:c r="U247" s="22" t="n">
        <x:v>19</x:v>
      </x:c>
      <x:c r="V247" s="22" t="n">
        <x:v>638</x:v>
      </x:c>
      <x:c r="W247" s="22" t="n">
        <x:v>225</x:v>
      </x:c>
      <x:c r="X247" s="22" t="n">
        <x:v>27</x:v>
      </x:c>
      <x:c r="Y247" s="22" t="n">
        <x:v>508</x:v>
      </x:c>
      <x:c r="Z247" s="22" t="n">
        <x:v>4</x:v>
      </x:c>
      <x:c r="AA247" s="22" t="n">
        <x:v>425</x:v>
      </x:c>
      <x:c r="AB247" s="22" t="n">
        <x:v>0</x:v>
      </x:c>
      <x:c r="AC247" s="22" t="n">
        <x:v>0</x:v>
      </x:c>
      <x:c r="AD247" s="22" t="n">
        <x:v>40</x:v>
      </x:c>
      <x:c r="AE247" s="22" t="n">
        <x:v>12</x:v>
      </x:c>
      <x:c r="AF247" s="22" t="n">
        <x:v>91</x:v>
      </x:c>
      <x:c r="AG247" s="22" t="n">
        <x:v>7</x:v>
      </x:c>
      <x:c r="AH247" s="22" t="n">
        <x:v>8</x:v>
      </x:c>
      <x:c r="AI247" s="22" t="n">
        <x:v>38</x:v>
      </x:c>
      <x:c r="AJ247" s="22" t="n">
        <x:v>10</x:v>
      </x:c>
      <x:c r="AK247" s="22" t="n">
        <x:v>7</x:v>
      </x:c>
      <x:c r="AL247" s="22" t="n">
        <x:v>836</x:v>
      </x:c>
      <x:c r="AM247" s="22" t="n">
        <x:v>63</x:v>
      </x:c>
      <x:c r="AN247" s="22" t="n">
        <x:v>10</x:v>
      </x:c>
      <x:c r="AO247" s="22" t="n">
        <x:v>8</x:v>
      </x:c>
      <x:c r="AP247" s="22" t="n">
        <x:v>4250</x:v>
      </x:c>
      <x:c r="AQ247" s="22" t="n">
        <x:v>20</x:v>
      </x:c>
      <x:c r="AR247" s="22" t="n">
        <x:v>0</x:v>
      </x:c>
      <x:c r="AS247" s="22" t="n">
        <x:v>10</x:v>
      </x:c>
      <x:c r="AT247" s="22" t="n">
        <x:v>10</x:v>
      </x:c>
      <x:c r="AU247" s="22" t="n">
        <x:v>0</x:v>
      </x:c>
      <x:c r="AV247" s="22" t="n">
        <x:v>25</x:v>
      </x:c>
      <x:c r="AW247" s="22" t="n">
        <x:v>0</x:v>
      </x:c>
    </x:row>
    <x:row r="248" ht="24" customHeight="1">
      <x:c r="A248" s="22" t="str">
        <x:v>P0244</x:v>
      </x:c>
      <x:c r="B248" s="22" t="n">
        <x:v>8</x:v>
      </x:c>
      <x:c r="C248" s="22" t="n">
        <x:v>2</x:v>
      </x:c>
      <x:c r="D248" s="22" t="str">
        <x:v>C08G02普通专属4/6</x:v>
      </x:c>
      <x:c r="E248" s="22" t="n">
        <x:v>52532</x:v>
      </x:c>
      <x:c r="F248" s="22" t="n">
        <x:v>58022</x:v>
      </x:c>
      <x:c r="G248" s="22" t="n">
        <x:v>49672</x:v>
      </x:c>
      <x:c r="H248" s="22" t="n">
        <x:v>55135</x:v>
      </x:c>
      <x:c r="I248" s="22" t="n">
        <x:v>49674</x:v>
      </x:c>
      <x:c r="J248" s="22" t="n">
        <x:v>55137</x:v>
      </x:c>
      <x:c r="K248" s="22" t="n">
        <x:v>7393900</x:v>
      </x:c>
      <x:c r="L248" s="22" t="n">
        <x:v>1600900</x:v>
      </x:c>
      <x:c r="M248" s="22" t="n">
        <x:v>823</x:v>
      </x:c>
      <x:c r="N248" s="22" t="n">
        <x:v>1489</x:v>
      </x:c>
      <x:c r="O248" s="22" t="n">
        <x:v>667</x:v>
      </x:c>
      <x:c r="P248" s="22" t="n">
        <x:v>1221</x:v>
      </x:c>
      <x:c r="Q248" s="22" t="n">
        <x:v>1302</x:v>
      </x:c>
      <x:c r="R248" s="22" t="n">
        <x:v>1253</x:v>
      </x:c>
      <x:c r="S248" s="22" t="n">
        <x:v>1253</x:v>
      </x:c>
      <x:c r="T248" s="22" t="n">
        <x:v>1.1500000000000004</x:v>
      </x:c>
      <x:c r="U248" s="22" t="n">
        <x:v>19</x:v>
      </x:c>
      <x:c r="V248" s="22" t="n">
        <x:v>638</x:v>
      </x:c>
      <x:c r="W248" s="22" t="n">
        <x:v>225</x:v>
      </x:c>
      <x:c r="X248" s="22" t="n">
        <x:v>27</x:v>
      </x:c>
      <x:c r="Y248" s="22" t="n">
        <x:v>508</x:v>
      </x:c>
      <x:c r="Z248" s="22" t="n">
        <x:v>4</x:v>
      </x:c>
      <x:c r="AA248" s="22" t="n">
        <x:v>425</x:v>
      </x:c>
      <x:c r="AB248" s="22" t="n">
        <x:v>0</x:v>
      </x:c>
      <x:c r="AC248" s="22" t="n">
        <x:v>0</x:v>
      </x:c>
      <x:c r="AD248" s="22" t="n">
        <x:v>40</x:v>
      </x:c>
      <x:c r="AE248" s="22" t="n">
        <x:v>12</x:v>
      </x:c>
      <x:c r="AF248" s="22" t="n">
        <x:v>91</x:v>
      </x:c>
      <x:c r="AG248" s="22" t="n">
        <x:v>7</x:v>
      </x:c>
      <x:c r="AH248" s="22" t="n">
        <x:v>8</x:v>
      </x:c>
      <x:c r="AI248" s="22" t="n">
        <x:v>38</x:v>
      </x:c>
      <x:c r="AJ248" s="22" t="n">
        <x:v>10</x:v>
      </x:c>
      <x:c r="AK248" s="22" t="n">
        <x:v>7</x:v>
      </x:c>
      <x:c r="AL248" s="22" t="n">
        <x:v>836</x:v>
      </x:c>
      <x:c r="AM248" s="22" t="n">
        <x:v>63</x:v>
      </x:c>
      <x:c r="AN248" s="22" t="n">
        <x:v>10</x:v>
      </x:c>
      <x:c r="AO248" s="22" t="n">
        <x:v>8</x:v>
      </x:c>
      <x:c r="AP248" s="22" t="n">
        <x:v>4250</x:v>
      </x:c>
      <x:c r="AQ248" s="22" t="n">
        <x:v>20</x:v>
      </x:c>
      <x:c r="AR248" s="22" t="n">
        <x:v>0</x:v>
      </x:c>
      <x:c r="AS248" s="22" t="n">
        <x:v>10</x:v>
      </x:c>
      <x:c r="AT248" s="22" t="n">
        <x:v>10</x:v>
      </x:c>
      <x:c r="AU248" s="22" t="n">
        <x:v>0</x:v>
      </x:c>
      <x:c r="AV248" s="22" t="n">
        <x:v>25</x:v>
      </x:c>
      <x:c r="AW248" s="22" t="n">
        <x:v>0</x:v>
      </x:c>
    </x:row>
    <x:row r="249" ht="24" customHeight="1">
      <x:c r="A249" s="22" t="str">
        <x:v>P0245</x:v>
      </x:c>
      <x:c r="B249" s="22" t="n">
        <x:v>8</x:v>
      </x:c>
      <x:c r="C249" s="22" t="n">
        <x:v>2</x:v>
      </x:c>
      <x:c r="D249" s="22" t="str">
        <x:v>裂谷锻峰侯·德鲁伽挑战前</x:v>
      </x:c>
      <x:c r="E249" s="22" t="n">
        <x:v>53743</x:v>
      </x:c>
      <x:c r="F249" s="22" t="n">
        <x:v>59236</x:v>
      </x:c>
      <x:c r="G249" s="22" t="n">
        <x:v>50881</x:v>
      </x:c>
      <x:c r="H249" s="22" t="n">
        <x:v>56344</x:v>
      </x:c>
      <x:c r="I249" s="22" t="n">
        <x:v>50883</x:v>
      </x:c>
      <x:c r="J249" s="22" t="n">
        <x:v>56346</x:v>
      </x:c>
      <x:c r="K249" s="22" t="n">
        <x:v>7515200</x:v>
      </x:c>
      <x:c r="L249" s="22" t="n">
        <x:v>1601000</x:v>
      </x:c>
      <x:c r="M249" s="22" t="n">
        <x:v>823</x:v>
      </x:c>
      <x:c r="N249" s="22" t="n">
        <x:v>1489</x:v>
      </x:c>
      <x:c r="O249" s="22" t="n">
        <x:v>667</x:v>
      </x:c>
      <x:c r="P249" s="22" t="n">
        <x:v>1221</x:v>
      </x:c>
      <x:c r="Q249" s="22" t="n">
        <x:v>1302</x:v>
      </x:c>
      <x:c r="R249" s="22" t="n">
        <x:v>1253</x:v>
      </x:c>
      <x:c r="S249" s="22" t="n">
        <x:v>1253</x:v>
      </x:c>
      <x:c r="T249" s="22" t="n">
        <x:v>1.1500000000000004</x:v>
      </x:c>
      <x:c r="U249" s="22" t="n">
        <x:v>19</x:v>
      </x:c>
      <x:c r="V249" s="22" t="n">
        <x:v>638</x:v>
      </x:c>
      <x:c r="W249" s="22" t="n">
        <x:v>225</x:v>
      </x:c>
      <x:c r="X249" s="22" t="n">
        <x:v>27</x:v>
      </x:c>
      <x:c r="Y249" s="22" t="n">
        <x:v>508</x:v>
      </x:c>
      <x:c r="Z249" s="22" t="n">
        <x:v>4</x:v>
      </x:c>
      <x:c r="AA249" s="22" t="n">
        <x:v>425</x:v>
      </x:c>
      <x:c r="AB249" s="22" t="n">
        <x:v>0</x:v>
      </x:c>
      <x:c r="AC249" s="22" t="n">
        <x:v>0</x:v>
      </x:c>
      <x:c r="AD249" s="22" t="n">
        <x:v>40</x:v>
      </x:c>
      <x:c r="AE249" s="22" t="n">
        <x:v>12</x:v>
      </x:c>
      <x:c r="AF249" s="22" t="n">
        <x:v>91</x:v>
      </x:c>
      <x:c r="AG249" s="22" t="n">
        <x:v>7</x:v>
      </x:c>
      <x:c r="AH249" s="22" t="n">
        <x:v>8</x:v>
      </x:c>
      <x:c r="AI249" s="22" t="n">
        <x:v>38</x:v>
      </x:c>
      <x:c r="AJ249" s="22" t="n">
        <x:v>10</x:v>
      </x:c>
      <x:c r="AK249" s="22" t="n">
        <x:v>7</x:v>
      </x:c>
      <x:c r="AL249" s="22" t="n">
        <x:v>836</x:v>
      </x:c>
      <x:c r="AM249" s="22" t="n">
        <x:v>63</x:v>
      </x:c>
      <x:c r="AN249" s="22" t="n">
        <x:v>10</x:v>
      </x:c>
      <x:c r="AO249" s="22" t="n">
        <x:v>8</x:v>
      </x:c>
      <x:c r="AP249" s="22" t="n">
        <x:v>4250</x:v>
      </x:c>
      <x:c r="AQ249" s="22" t="n">
        <x:v>20</x:v>
      </x:c>
      <x:c r="AR249" s="22" t="n">
        <x:v>0</x:v>
      </x:c>
      <x:c r="AS249" s="22" t="n">
        <x:v>10</x:v>
      </x:c>
      <x:c r="AT249" s="22" t="n">
        <x:v>10</x:v>
      </x:c>
      <x:c r="AU249" s="22" t="n">
        <x:v>0</x:v>
      </x:c>
      <x:c r="AV249" s="22" t="n">
        <x:v>25</x:v>
      </x:c>
      <x:c r="AW249" s="22" t="n">
        <x:v>0</x:v>
      </x:c>
    </x:row>
    <x:row r="250" ht="24" customHeight="1">
      <x:c r="A250" s="22" t="str">
        <x:v>P0246</x:v>
      </x:c>
      <x:c r="B250" s="22" t="n">
        <x:v>8</x:v>
      </x:c>
      <x:c r="C250" s="22" t="n">
        <x:v>2</x:v>
      </x:c>
      <x:c r="D250" s="22" t="str">
        <x:v>断峰献祭者·维瑟娅挑战前</x:v>
      </x:c>
      <x:c r="E250" s="22" t="n">
        <x:v>53743</x:v>
      </x:c>
      <x:c r="F250" s="22" t="n">
        <x:v>59236</x:v>
      </x:c>
      <x:c r="G250" s="22" t="n">
        <x:v>50881</x:v>
      </x:c>
      <x:c r="H250" s="22" t="n">
        <x:v>56344</x:v>
      </x:c>
      <x:c r="I250" s="22" t="n">
        <x:v>50883</x:v>
      </x:c>
      <x:c r="J250" s="22" t="n">
        <x:v>56346</x:v>
      </x:c>
      <x:c r="K250" s="22" t="n">
        <x:v>7515200</x:v>
      </x:c>
      <x:c r="L250" s="22" t="n">
        <x:v>1601000</x:v>
      </x:c>
      <x:c r="M250" s="22" t="n">
        <x:v>823</x:v>
      </x:c>
      <x:c r="N250" s="22" t="n">
        <x:v>1489</x:v>
      </x:c>
      <x:c r="O250" s="22" t="n">
        <x:v>667</x:v>
      </x:c>
      <x:c r="P250" s="22" t="n">
        <x:v>1221</x:v>
      </x:c>
      <x:c r="Q250" s="22" t="n">
        <x:v>1302</x:v>
      </x:c>
      <x:c r="R250" s="22" t="n">
        <x:v>1253</x:v>
      </x:c>
      <x:c r="S250" s="22" t="n">
        <x:v>1253</x:v>
      </x:c>
      <x:c r="T250" s="22" t="n">
        <x:v>1.1500000000000004</x:v>
      </x:c>
      <x:c r="U250" s="22" t="n">
        <x:v>19</x:v>
      </x:c>
      <x:c r="V250" s="22" t="n">
        <x:v>638</x:v>
      </x:c>
      <x:c r="W250" s="22" t="n">
        <x:v>225</x:v>
      </x:c>
      <x:c r="X250" s="22" t="n">
        <x:v>27</x:v>
      </x:c>
      <x:c r="Y250" s="22" t="n">
        <x:v>508</x:v>
      </x:c>
      <x:c r="Z250" s="22" t="n">
        <x:v>4</x:v>
      </x:c>
      <x:c r="AA250" s="22" t="n">
        <x:v>425</x:v>
      </x:c>
      <x:c r="AB250" s="22" t="n">
        <x:v>0</x:v>
      </x:c>
      <x:c r="AC250" s="22" t="n">
        <x:v>0</x:v>
      </x:c>
      <x:c r="AD250" s="22" t="n">
        <x:v>40</x:v>
      </x:c>
      <x:c r="AE250" s="22" t="n">
        <x:v>12</x:v>
      </x:c>
      <x:c r="AF250" s="22" t="n">
        <x:v>91</x:v>
      </x:c>
      <x:c r="AG250" s="22" t="n">
        <x:v>7</x:v>
      </x:c>
      <x:c r="AH250" s="22" t="n">
        <x:v>8</x:v>
      </x:c>
      <x:c r="AI250" s="22" t="n">
        <x:v>38</x:v>
      </x:c>
      <x:c r="AJ250" s="22" t="n">
        <x:v>10</x:v>
      </x:c>
      <x:c r="AK250" s="22" t="n">
        <x:v>7</x:v>
      </x:c>
      <x:c r="AL250" s="22" t="n">
        <x:v>836</x:v>
      </x:c>
      <x:c r="AM250" s="22" t="n">
        <x:v>63</x:v>
      </x:c>
      <x:c r="AN250" s="22" t="n">
        <x:v>10</x:v>
      </x:c>
      <x:c r="AO250" s="22" t="n">
        <x:v>8</x:v>
      </x:c>
      <x:c r="AP250" s="22" t="n">
        <x:v>4250</x:v>
      </x:c>
      <x:c r="AQ250" s="22" t="n">
        <x:v>20</x:v>
      </x:c>
      <x:c r="AR250" s="22" t="n">
        <x:v>0</x:v>
      </x:c>
      <x:c r="AS250" s="22" t="n">
        <x:v>10</x:v>
      </x:c>
      <x:c r="AT250" s="22" t="n">
        <x:v>10</x:v>
      </x:c>
      <x:c r="AU250" s="22" t="n">
        <x:v>0</x:v>
      </x:c>
      <x:c r="AV250" s="22" t="n">
        <x:v>25</x:v>
      </x:c>
      <x:c r="AW250" s="22" t="n">
        <x:v>0</x:v>
      </x:c>
    </x:row>
    <x:row r="251" ht="24" customHeight="1">
      <x:c r="A251" s="22" t="str">
        <x:v>P0247</x:v>
      </x:c>
      <x:c r="B251" s="22" t="n">
        <x:v>8</x:v>
      </x:c>
      <x:c r="C251" s="22" t="n">
        <x:v>2</x:v>
      </x:c>
      <x:c r="D251" s="22" t="str">
        <x:v>断冰峰群BOSS装备快线</x:v>
      </x:c>
      <x:c r="E251" s="22" t="n">
        <x:v>53913</x:v>
      </x:c>
      <x:c r="F251" s="22" t="n">
        <x:v>59576</x:v>
      </x:c>
      <x:c r="G251" s="22" t="n">
        <x:v>51051</x:v>
      </x:c>
      <x:c r="H251" s="22" t="n">
        <x:v>56684</x:v>
      </x:c>
      <x:c r="I251" s="22" t="n">
        <x:v>51053</x:v>
      </x:c>
      <x:c r="J251" s="22" t="n">
        <x:v>56686</x:v>
      </x:c>
      <x:c r="K251" s="22" t="n">
        <x:v>7586900</x:v>
      </x:c>
      <x:c r="L251" s="22" t="n">
        <x:v>1601000</x:v>
      </x:c>
      <x:c r="M251" s="22" t="n">
        <x:v>823</x:v>
      </x:c>
      <x:c r="N251" s="22" t="n">
        <x:v>1489</x:v>
      </x:c>
      <x:c r="O251" s="22" t="n">
        <x:v>667</x:v>
      </x:c>
      <x:c r="P251" s="22" t="n">
        <x:v>1221</x:v>
      </x:c>
      <x:c r="Q251" s="22" t="n">
        <x:v>1335</x:v>
      </x:c>
      <x:c r="R251" s="22" t="n">
        <x:v>1286</x:v>
      </x:c>
      <x:c r="S251" s="22" t="n">
        <x:v>1286</x:v>
      </x:c>
      <x:c r="T251" s="22" t="n">
        <x:v>1.1500000000000004</x:v>
      </x:c>
      <x:c r="U251" s="22" t="n">
        <x:v>19</x:v>
      </x:c>
      <x:c r="V251" s="22" t="n">
        <x:v>652</x:v>
      </x:c>
      <x:c r="W251" s="22" t="n">
        <x:v>233</x:v>
      </x:c>
      <x:c r="X251" s="22" t="n">
        <x:v>27</x:v>
      </x:c>
      <x:c r="Y251" s="22" t="n">
        <x:v>508</x:v>
      </x:c>
      <x:c r="Z251" s="22" t="n">
        <x:v>4</x:v>
      </x:c>
      <x:c r="AA251" s="22" t="n">
        <x:v>453</x:v>
      </x:c>
      <x:c r="AB251" s="22" t="n">
        <x:v>0</x:v>
      </x:c>
      <x:c r="AC251" s="22" t="n">
        <x:v>0</x:v>
      </x:c>
      <x:c r="AD251" s="22" t="n">
        <x:v>40</x:v>
      </x:c>
      <x:c r="AE251" s="22" t="n">
        <x:v>12</x:v>
      </x:c>
      <x:c r="AF251" s="22" t="n">
        <x:v>91</x:v>
      </x:c>
      <x:c r="AG251" s="22" t="n">
        <x:v>7</x:v>
      </x:c>
      <x:c r="AH251" s="22" t="n">
        <x:v>8</x:v>
      </x:c>
      <x:c r="AI251" s="22" t="n">
        <x:v>38</x:v>
      </x:c>
      <x:c r="AJ251" s="22" t="n">
        <x:v>10</x:v>
      </x:c>
      <x:c r="AK251" s="22" t="n">
        <x:v>7</x:v>
      </x:c>
      <x:c r="AL251" s="22" t="n">
        <x:v>836</x:v>
      </x:c>
      <x:c r="AM251" s="22" t="n">
        <x:v>63</x:v>
      </x:c>
      <x:c r="AN251" s="22" t="n">
        <x:v>10</x:v>
      </x:c>
      <x:c r="AO251" s="22" t="n">
        <x:v>8</x:v>
      </x:c>
      <x:c r="AP251" s="22" t="n">
        <x:v>4250</x:v>
      </x:c>
      <x:c r="AQ251" s="22" t="n">
        <x:v>20</x:v>
      </x:c>
      <x:c r="AR251" s="22" t="n">
        <x:v>0</x:v>
      </x:c>
      <x:c r="AS251" s="22" t="n">
        <x:v>10</x:v>
      </x:c>
      <x:c r="AT251" s="22" t="n">
        <x:v>10</x:v>
      </x:c>
      <x:c r="AU251" s="22" t="n">
        <x:v>0</x:v>
      </x:c>
      <x:c r="AV251" s="22" t="n">
        <x:v>25</x:v>
      </x:c>
      <x:c r="AW251" s="22" t="n">
        <x:v>0</x:v>
      </x:c>
    </x:row>
    <x:row r="252" ht="24" customHeight="1">
      <x:c r="A252" s="22" t="str">
        <x:v>P0248</x:v>
      </x:c>
      <x:c r="B252" s="22" t="n">
        <x:v>8</x:v>
      </x:c>
      <x:c r="C252" s="22" t="n">
        <x:v>2</x:v>
      </x:c>
      <x:c r="D252" s="22" t="str">
        <x:v>断冰峰群阶段积累后</x:v>
      </x:c>
      <x:c r="E252" s="22" t="n">
        <x:v>53833</x:v>
      </x:c>
      <x:c r="F252" s="22" t="n">
        <x:v>59326</x:v>
      </x:c>
      <x:c r="G252" s="22" t="n">
        <x:v>50971</x:v>
      </x:c>
      <x:c r="H252" s="22" t="n">
        <x:v>56434</x:v>
      </x:c>
      <x:c r="I252" s="22" t="n">
        <x:v>50973</x:v>
      </x:c>
      <x:c r="J252" s="22" t="n">
        <x:v>56436</x:v>
      </x:c>
      <x:c r="K252" s="22" t="n">
        <x:v>7524200</x:v>
      </x:c>
      <x:c r="L252" s="22" t="n">
        <x:v>1601000</x:v>
      </x:c>
      <x:c r="M252" s="22" t="n">
        <x:v>823</x:v>
      </x:c>
      <x:c r="N252" s="22" t="n">
        <x:v>1489</x:v>
      </x:c>
      <x:c r="O252" s="22" t="n">
        <x:v>667</x:v>
      </x:c>
      <x:c r="P252" s="22" t="n">
        <x:v>1221</x:v>
      </x:c>
      <x:c r="Q252" s="22" t="n">
        <x:v>1302</x:v>
      </x:c>
      <x:c r="R252" s="22" t="n">
        <x:v>1253</x:v>
      </x:c>
      <x:c r="S252" s="22" t="n">
        <x:v>1253</x:v>
      </x:c>
      <x:c r="T252" s="22" t="n">
        <x:v>1.1500000000000004</x:v>
      </x:c>
      <x:c r="U252" s="22" t="n">
        <x:v>19</x:v>
      </x:c>
      <x:c r="V252" s="22" t="n">
        <x:v>638</x:v>
      </x:c>
      <x:c r="W252" s="22" t="n">
        <x:v>225</x:v>
      </x:c>
      <x:c r="X252" s="22" t="n">
        <x:v>27</x:v>
      </x:c>
      <x:c r="Y252" s="22" t="n">
        <x:v>508</x:v>
      </x:c>
      <x:c r="Z252" s="22" t="n">
        <x:v>4</x:v>
      </x:c>
      <x:c r="AA252" s="22" t="n">
        <x:v>425</x:v>
      </x:c>
      <x:c r="AB252" s="22" t="n">
        <x:v>0</x:v>
      </x:c>
      <x:c r="AC252" s="22" t="n">
        <x:v>0</x:v>
      </x:c>
      <x:c r="AD252" s="22" t="n">
        <x:v>40</x:v>
      </x:c>
      <x:c r="AE252" s="22" t="n">
        <x:v>12</x:v>
      </x:c>
      <x:c r="AF252" s="22" t="n">
        <x:v>91</x:v>
      </x:c>
      <x:c r="AG252" s="22" t="n">
        <x:v>7</x:v>
      </x:c>
      <x:c r="AH252" s="22" t="n">
        <x:v>8</x:v>
      </x:c>
      <x:c r="AI252" s="22" t="n">
        <x:v>38</x:v>
      </x:c>
      <x:c r="AJ252" s="22" t="n">
        <x:v>10</x:v>
      </x:c>
      <x:c r="AK252" s="22" t="n">
        <x:v>7</x:v>
      </x:c>
      <x:c r="AL252" s="22" t="n">
        <x:v>836</x:v>
      </x:c>
      <x:c r="AM252" s="22" t="n">
        <x:v>63</x:v>
      </x:c>
      <x:c r="AN252" s="22" t="n">
        <x:v>10</x:v>
      </x:c>
      <x:c r="AO252" s="22" t="n">
        <x:v>8</x:v>
      </x:c>
      <x:c r="AP252" s="22" t="n">
        <x:v>4250</x:v>
      </x:c>
      <x:c r="AQ252" s="22" t="n">
        <x:v>20</x:v>
      </x:c>
      <x:c r="AR252" s="22" t="n">
        <x:v>0</x:v>
      </x:c>
      <x:c r="AS252" s="22" t="n">
        <x:v>10</x:v>
      </x:c>
      <x:c r="AT252" s="22" t="n">
        <x:v>10</x:v>
      </x:c>
      <x:c r="AU252" s="22" t="n">
        <x:v>0</x:v>
      </x:c>
      <x:c r="AV252" s="22" t="n">
        <x:v>25</x:v>
      </x:c>
      <x:c r="AW252" s="22" t="n">
        <x:v>0</x:v>
      </x:c>
    </x:row>
    <x:row r="253" ht="24" customHeight="1">
      <x:c r="A253" s="22" t="str">
        <x:v>P0249</x:v>
      </x:c>
      <x:c r="B253" s="22" t="n">
        <x:v>8</x:v>
      </x:c>
      <x:c r="C253" s="22" t="n">
        <x:v>3</x:v>
      </x:c>
      <x:c r="D253" s="22" t="str">
        <x:v>C08G03入场</x:v>
      </x:c>
      <x:c r="E253" s="22" t="n">
        <x:v>53833</x:v>
      </x:c>
      <x:c r="F253" s="22" t="n">
        <x:v>59326</x:v>
      </x:c>
      <x:c r="G253" s="22" t="n">
        <x:v>50971</x:v>
      </x:c>
      <x:c r="H253" s="22" t="n">
        <x:v>56434</x:v>
      </x:c>
      <x:c r="I253" s="22" t="n">
        <x:v>50973</x:v>
      </x:c>
      <x:c r="J253" s="22" t="n">
        <x:v>56436</x:v>
      </x:c>
      <x:c r="K253" s="22" t="n">
        <x:v>7524200</x:v>
      </x:c>
      <x:c r="L253" s="22" t="n">
        <x:v>1601000</x:v>
      </x:c>
      <x:c r="M253" s="22" t="n">
        <x:v>823</x:v>
      </x:c>
      <x:c r="N253" s="22" t="n">
        <x:v>1489</x:v>
      </x:c>
      <x:c r="O253" s="22" t="n">
        <x:v>667</x:v>
      </x:c>
      <x:c r="P253" s="22" t="n">
        <x:v>1221</x:v>
      </x:c>
      <x:c r="Q253" s="22" t="n">
        <x:v>1302</x:v>
      </x:c>
      <x:c r="R253" s="22" t="n">
        <x:v>1253</x:v>
      </x:c>
      <x:c r="S253" s="22" t="n">
        <x:v>1253</x:v>
      </x:c>
      <x:c r="T253" s="22" t="n">
        <x:v>1.1500000000000004</x:v>
      </x:c>
      <x:c r="U253" s="22" t="n">
        <x:v>19</x:v>
      </x:c>
      <x:c r="V253" s="22" t="n">
        <x:v>638</x:v>
      </x:c>
      <x:c r="W253" s="22" t="n">
        <x:v>225</x:v>
      </x:c>
      <x:c r="X253" s="22" t="n">
        <x:v>27</x:v>
      </x:c>
      <x:c r="Y253" s="22" t="n">
        <x:v>508</x:v>
      </x:c>
      <x:c r="Z253" s="22" t="n">
        <x:v>4</x:v>
      </x:c>
      <x:c r="AA253" s="22" t="n">
        <x:v>425</x:v>
      </x:c>
      <x:c r="AB253" s="22" t="n">
        <x:v>0</x:v>
      </x:c>
      <x:c r="AC253" s="22" t="n">
        <x:v>0</x:v>
      </x:c>
      <x:c r="AD253" s="22" t="n">
        <x:v>40</x:v>
      </x:c>
      <x:c r="AE253" s="22" t="n">
        <x:v>12</x:v>
      </x:c>
      <x:c r="AF253" s="22" t="n">
        <x:v>91</x:v>
      </x:c>
      <x:c r="AG253" s="22" t="n">
        <x:v>7</x:v>
      </x:c>
      <x:c r="AH253" s="22" t="n">
        <x:v>8</x:v>
      </x:c>
      <x:c r="AI253" s="22" t="n">
        <x:v>38</x:v>
      </x:c>
      <x:c r="AJ253" s="22" t="n">
        <x:v>10</x:v>
      </x:c>
      <x:c r="AK253" s="22" t="n">
        <x:v>7</x:v>
      </x:c>
      <x:c r="AL253" s="22" t="n">
        <x:v>836</x:v>
      </x:c>
      <x:c r="AM253" s="22" t="n">
        <x:v>63</x:v>
      </x:c>
      <x:c r="AN253" s="22" t="n">
        <x:v>10</x:v>
      </x:c>
      <x:c r="AO253" s="22" t="n">
        <x:v>8</x:v>
      </x:c>
      <x:c r="AP253" s="22" t="n">
        <x:v>4250</x:v>
      </x:c>
      <x:c r="AQ253" s="22" t="n">
        <x:v>20</x:v>
      </x:c>
      <x:c r="AR253" s="22" t="n">
        <x:v>0</x:v>
      </x:c>
      <x:c r="AS253" s="22" t="n">
        <x:v>10</x:v>
      </x:c>
      <x:c r="AT253" s="22" t="n">
        <x:v>10</x:v>
      </x:c>
      <x:c r="AU253" s="22" t="n">
        <x:v>0</x:v>
      </x:c>
      <x:c r="AV253" s="22" t="n">
        <x:v>25</x:v>
      </x:c>
      <x:c r="AW253" s="22" t="n">
        <x:v>0</x:v>
      </x:c>
    </x:row>
    <x:row r="254" ht="24" customHeight="1">
      <x:c r="A254" s="22" t="str">
        <x:v>P0250</x:v>
      </x:c>
      <x:c r="B254" s="22" t="n">
        <x:v>8</x:v>
      </x:c>
      <x:c r="C254" s="22" t="n">
        <x:v>3</x:v>
      </x:c>
      <x:c r="D254" s="22" t="str">
        <x:v>C08G03普通专属4/6</x:v>
      </x:c>
      <x:c r="E254" s="22" t="n">
        <x:v>53940</x:v>
      </x:c>
      <x:c r="F254" s="22" t="n">
        <x:v>59536</x:v>
      </x:c>
      <x:c r="G254" s="22" t="n">
        <x:v>51078</x:v>
      </x:c>
      <x:c r="H254" s="22" t="n">
        <x:v>56644</x:v>
      </x:c>
      <x:c r="I254" s="22" t="n">
        <x:v>51080</x:v>
      </x:c>
      <x:c r="J254" s="22" t="n">
        <x:v>56646</x:v>
      </x:c>
      <x:c r="K254" s="22" t="n">
        <x:v>7668600</x:v>
      </x:c>
      <x:c r="L254" s="22" t="n">
        <x:v>1601000</x:v>
      </x:c>
      <x:c r="M254" s="22" t="n">
        <x:v>840</x:v>
      </x:c>
      <x:c r="N254" s="22" t="n">
        <x:v>1520</x:v>
      </x:c>
      <x:c r="O254" s="22" t="n">
        <x:v>681</x:v>
      </x:c>
      <x:c r="P254" s="22" t="n">
        <x:v>1245</x:v>
      </x:c>
      <x:c r="Q254" s="22" t="n">
        <x:v>1308</x:v>
      </x:c>
      <x:c r="R254" s="22" t="n">
        <x:v>1259</x:v>
      </x:c>
      <x:c r="S254" s="22" t="n">
        <x:v>1259</x:v>
      </x:c>
      <x:c r="T254" s="22" t="n">
        <x:v>1.1500000000000004</x:v>
      </x:c>
      <x:c r="U254" s="22" t="n">
        <x:v>19</x:v>
      </x:c>
      <x:c r="V254" s="22" t="n">
        <x:v>640</x:v>
      </x:c>
      <x:c r="W254" s="22" t="n">
        <x:v>225</x:v>
      </x:c>
      <x:c r="X254" s="22" t="n">
        <x:v>27</x:v>
      </x:c>
      <x:c r="Y254" s="22" t="n">
        <x:v>508</x:v>
      </x:c>
      <x:c r="Z254" s="22" t="n">
        <x:v>4</x:v>
      </x:c>
      <x:c r="AA254" s="22" t="n">
        <x:v>425</x:v>
      </x:c>
      <x:c r="AB254" s="22" t="n">
        <x:v>0</x:v>
      </x:c>
      <x:c r="AC254" s="22" t="n">
        <x:v>0</x:v>
      </x:c>
      <x:c r="AD254" s="22" t="n">
        <x:v>40</x:v>
      </x:c>
      <x:c r="AE254" s="22" t="n">
        <x:v>12</x:v>
      </x:c>
      <x:c r="AF254" s="22" t="n">
        <x:v>91</x:v>
      </x:c>
      <x:c r="AG254" s="22" t="n">
        <x:v>7</x:v>
      </x:c>
      <x:c r="AH254" s="22" t="n">
        <x:v>8</x:v>
      </x:c>
      <x:c r="AI254" s="22" t="n">
        <x:v>38</x:v>
      </x:c>
      <x:c r="AJ254" s="22" t="n">
        <x:v>10</x:v>
      </x:c>
      <x:c r="AK254" s="22" t="n">
        <x:v>7</x:v>
      </x:c>
      <x:c r="AL254" s="22" t="n">
        <x:v>836</x:v>
      </x:c>
      <x:c r="AM254" s="22" t="n">
        <x:v>63</x:v>
      </x:c>
      <x:c r="AN254" s="22" t="n">
        <x:v>10</x:v>
      </x:c>
      <x:c r="AO254" s="22" t="n">
        <x:v>8</x:v>
      </x:c>
      <x:c r="AP254" s="22" t="n">
        <x:v>4250</x:v>
      </x:c>
      <x:c r="AQ254" s="22" t="n">
        <x:v>20</x:v>
      </x:c>
      <x:c r="AR254" s="22" t="n">
        <x:v>0</x:v>
      </x:c>
      <x:c r="AS254" s="22" t="n">
        <x:v>10</x:v>
      </x:c>
      <x:c r="AT254" s="22" t="n">
        <x:v>10</x:v>
      </x:c>
      <x:c r="AU254" s="22" t="n">
        <x:v>0</x:v>
      </x:c>
      <x:c r="AV254" s="22" t="n">
        <x:v>25</x:v>
      </x:c>
      <x:c r="AW254" s="22" t="n">
        <x:v>0</x:v>
      </x:c>
    </x:row>
    <x:row r="255" ht="24" customHeight="1">
      <x:c r="A255" s="22" t="str">
        <x:v>P0251</x:v>
      </x:c>
      <x:c r="B255" s="22" t="n">
        <x:v>8</x:v>
      </x:c>
      <x:c r="C255" s="22" t="n">
        <x:v>3</x:v>
      </x:c>
      <x:c r="D255" s="22" t="str">
        <x:v>议殿白髯公·沃尔格挑战前</x:v>
      </x:c>
      <x:c r="E255" s="22" t="n">
        <x:v>71185</x:v>
      </x:c>
      <x:c r="F255" s="22" t="n">
        <x:v>76781</x:v>
      </x:c>
      <x:c r="G255" s="22" t="n">
        <x:v>68323</x:v>
      </x:c>
      <x:c r="H255" s="22" t="n">
        <x:v>73889</x:v>
      </x:c>
      <x:c r="I255" s="22" t="n">
        <x:v>68325</x:v>
      </x:c>
      <x:c r="J255" s="22" t="n">
        <x:v>73891</x:v>
      </x:c>
      <x:c r="K255" s="22" t="n">
        <x:v>9393100</x:v>
      </x:c>
      <x:c r="L255" s="22" t="n">
        <x:v>3201000</x:v>
      </x:c>
      <x:c r="M255" s="22" t="n">
        <x:v>840</x:v>
      </x:c>
      <x:c r="N255" s="22" t="n">
        <x:v>1520</x:v>
      </x:c>
      <x:c r="O255" s="22" t="n">
        <x:v>681</x:v>
      </x:c>
      <x:c r="P255" s="22" t="n">
        <x:v>1245</x:v>
      </x:c>
      <x:c r="Q255" s="22" t="n">
        <x:v>1308</x:v>
      </x:c>
      <x:c r="R255" s="22" t="n">
        <x:v>1259</x:v>
      </x:c>
      <x:c r="S255" s="22" t="n">
        <x:v>1259</x:v>
      </x:c>
      <x:c r="T255" s="22" t="n">
        <x:v>1.1500000000000004</x:v>
      </x:c>
      <x:c r="U255" s="22" t="n">
        <x:v>19</x:v>
      </x:c>
      <x:c r="V255" s="22" t="n">
        <x:v>640</x:v>
      </x:c>
      <x:c r="W255" s="22" t="n">
        <x:v>225</x:v>
      </x:c>
      <x:c r="X255" s="22" t="n">
        <x:v>27</x:v>
      </x:c>
      <x:c r="Y255" s="22" t="n">
        <x:v>508</x:v>
      </x:c>
      <x:c r="Z255" s="22" t="n">
        <x:v>4</x:v>
      </x:c>
      <x:c r="AA255" s="22" t="n">
        <x:v>425</x:v>
      </x:c>
      <x:c r="AB255" s="22" t="n">
        <x:v>0</x:v>
      </x:c>
      <x:c r="AC255" s="22" t="n">
        <x:v>0</x:v>
      </x:c>
      <x:c r="AD255" s="22" t="n">
        <x:v>40</x:v>
      </x:c>
      <x:c r="AE255" s="22" t="n">
        <x:v>12</x:v>
      </x:c>
      <x:c r="AF255" s="22" t="n">
        <x:v>91</x:v>
      </x:c>
      <x:c r="AG255" s="22" t="n">
        <x:v>7</x:v>
      </x:c>
      <x:c r="AH255" s="22" t="n">
        <x:v>8</x:v>
      </x:c>
      <x:c r="AI255" s="22" t="n">
        <x:v>38</x:v>
      </x:c>
      <x:c r="AJ255" s="22" t="n">
        <x:v>10</x:v>
      </x:c>
      <x:c r="AK255" s="22" t="n">
        <x:v>7</x:v>
      </x:c>
      <x:c r="AL255" s="22" t="n">
        <x:v>836</x:v>
      </x:c>
      <x:c r="AM255" s="22" t="n">
        <x:v>63</x:v>
      </x:c>
      <x:c r="AN255" s="22" t="n">
        <x:v>10</x:v>
      </x:c>
      <x:c r="AO255" s="22" t="n">
        <x:v>8</x:v>
      </x:c>
      <x:c r="AP255" s="22" t="n">
        <x:v>5150</x:v>
      </x:c>
      <x:c r="AQ255" s="22" t="n">
        <x:v>20</x:v>
      </x:c>
      <x:c r="AR255" s="22" t="n">
        <x:v>0</x:v>
      </x:c>
      <x:c r="AS255" s="22" t="n">
        <x:v>10</x:v>
      </x:c>
      <x:c r="AT255" s="22" t="n">
        <x:v>10</x:v>
      </x:c>
      <x:c r="AU255" s="22" t="n">
        <x:v>0</x:v>
      </x:c>
      <x:c r="AV255" s="22" t="n">
        <x:v>25</x:v>
      </x:c>
      <x:c r="AW255" s="22" t="n">
        <x:v>0</x:v>
      </x:c>
    </x:row>
    <x:row r="256" ht="24" customHeight="1">
      <x:c r="A256" s="22" t="str">
        <x:v>P0252</x:v>
      </x:c>
      <x:c r="B256" s="22" t="n">
        <x:v>8</x:v>
      </x:c>
      <x:c r="C256" s="22" t="n">
        <x:v>3</x:v>
      </x:c>
      <x:c r="D256" s="22" t="str">
        <x:v>冰宫摄政后·伊瑟芮挑战前</x:v>
      </x:c>
      <x:c r="E256" s="22" t="n">
        <x:v>71185</x:v>
      </x:c>
      <x:c r="F256" s="22" t="n">
        <x:v>76781</x:v>
      </x:c>
      <x:c r="G256" s="22" t="n">
        <x:v>68323</x:v>
      </x:c>
      <x:c r="H256" s="22" t="n">
        <x:v>73889</x:v>
      </x:c>
      <x:c r="I256" s="22" t="n">
        <x:v>68325</x:v>
      </x:c>
      <x:c r="J256" s="22" t="n">
        <x:v>73891</x:v>
      </x:c>
      <x:c r="K256" s="22" t="n">
        <x:v>9393100</x:v>
      </x:c>
      <x:c r="L256" s="22" t="n">
        <x:v>3201000</x:v>
      </x:c>
      <x:c r="M256" s="22" t="n">
        <x:v>840</x:v>
      </x:c>
      <x:c r="N256" s="22" t="n">
        <x:v>1520</x:v>
      </x:c>
      <x:c r="O256" s="22" t="n">
        <x:v>681</x:v>
      </x:c>
      <x:c r="P256" s="22" t="n">
        <x:v>1245</x:v>
      </x:c>
      <x:c r="Q256" s="22" t="n">
        <x:v>1308</x:v>
      </x:c>
      <x:c r="R256" s="22" t="n">
        <x:v>1259</x:v>
      </x:c>
      <x:c r="S256" s="22" t="n">
        <x:v>1259</x:v>
      </x:c>
      <x:c r="T256" s="22" t="n">
        <x:v>1.1500000000000004</x:v>
      </x:c>
      <x:c r="U256" s="22" t="n">
        <x:v>19</x:v>
      </x:c>
      <x:c r="V256" s="22" t="n">
        <x:v>640</x:v>
      </x:c>
      <x:c r="W256" s="22" t="n">
        <x:v>225</x:v>
      </x:c>
      <x:c r="X256" s="22" t="n">
        <x:v>27</x:v>
      </x:c>
      <x:c r="Y256" s="22" t="n">
        <x:v>508</x:v>
      </x:c>
      <x:c r="Z256" s="22" t="n">
        <x:v>4</x:v>
      </x:c>
      <x:c r="AA256" s="22" t="n">
        <x:v>425</x:v>
      </x:c>
      <x:c r="AB256" s="22" t="n">
        <x:v>0</x:v>
      </x:c>
      <x:c r="AC256" s="22" t="n">
        <x:v>0</x:v>
      </x:c>
      <x:c r="AD256" s="22" t="n">
        <x:v>40</x:v>
      </x:c>
      <x:c r="AE256" s="22" t="n">
        <x:v>12</x:v>
      </x:c>
      <x:c r="AF256" s="22" t="n">
        <x:v>91</x:v>
      </x:c>
      <x:c r="AG256" s="22" t="n">
        <x:v>7</x:v>
      </x:c>
      <x:c r="AH256" s="22" t="n">
        <x:v>8</x:v>
      </x:c>
      <x:c r="AI256" s="22" t="n">
        <x:v>38</x:v>
      </x:c>
      <x:c r="AJ256" s="22" t="n">
        <x:v>10</x:v>
      </x:c>
      <x:c r="AK256" s="22" t="n">
        <x:v>7</x:v>
      </x:c>
      <x:c r="AL256" s="22" t="n">
        <x:v>836</x:v>
      </x:c>
      <x:c r="AM256" s="22" t="n">
        <x:v>63</x:v>
      </x:c>
      <x:c r="AN256" s="22" t="n">
        <x:v>10</x:v>
      </x:c>
      <x:c r="AO256" s="22" t="n">
        <x:v>8</x:v>
      </x:c>
      <x:c r="AP256" s="22" t="n">
        <x:v>5150</x:v>
      </x:c>
      <x:c r="AQ256" s="22" t="n">
        <x:v>20</x:v>
      </x:c>
      <x:c r="AR256" s="22" t="n">
        <x:v>0</x:v>
      </x:c>
      <x:c r="AS256" s="22" t="n">
        <x:v>10</x:v>
      </x:c>
      <x:c r="AT256" s="22" t="n">
        <x:v>10</x:v>
      </x:c>
      <x:c r="AU256" s="22" t="n">
        <x:v>0</x:v>
      </x:c>
      <x:c r="AV256" s="22" t="n">
        <x:v>25</x:v>
      </x:c>
      <x:c r="AW256" s="22" t="n">
        <x:v>0</x:v>
      </x:c>
    </x:row>
    <x:row r="257" ht="24" customHeight="1">
      <x:c r="A257" s="22" t="str">
        <x:v>P0253</x:v>
      </x:c>
      <x:c r="B257" s="22" t="n">
        <x:v>8</x:v>
      </x:c>
      <x:c r="C257" s="22" t="n">
        <x:v>3</x:v>
      </x:c>
      <x:c r="D257" s="22" t="str">
        <x:v>冰宫王庭BOSS装备快线</x:v>
      </x:c>
      <x:c r="E257" s="22" t="n">
        <x:v>71505</x:v>
      </x:c>
      <x:c r="F257" s="22" t="n">
        <x:v>77421</x:v>
      </x:c>
      <x:c r="G257" s="22" t="n">
        <x:v>68643</x:v>
      </x:c>
      <x:c r="H257" s="22" t="n">
        <x:v>74529</x:v>
      </x:c>
      <x:c r="I257" s="22" t="n">
        <x:v>68645</x:v>
      </x:c>
      <x:c r="J257" s="22" t="n">
        <x:v>74531</x:v>
      </x:c>
      <x:c r="K257" s="22" t="n">
        <x:v>9527100</x:v>
      </x:c>
      <x:c r="L257" s="22" t="n">
        <x:v>3201000</x:v>
      </x:c>
      <x:c r="M257" s="22" t="n">
        <x:v>940</x:v>
      </x:c>
      <x:c r="N257" s="22" t="n">
        <x:v>1702</x:v>
      </x:c>
      <x:c r="O257" s="22" t="n">
        <x:v>763</x:v>
      </x:c>
      <x:c r="P257" s="22" t="n">
        <x:v>1395</x:v>
      </x:c>
      <x:c r="Q257" s="22" t="n">
        <x:v>1374</x:v>
      </x:c>
      <x:c r="R257" s="22" t="n">
        <x:v>1325</x:v>
      </x:c>
      <x:c r="S257" s="22" t="n">
        <x:v>1325</x:v>
      </x:c>
      <x:c r="T257" s="22" t="n">
        <x:v>1.1500000000000004</x:v>
      </x:c>
      <x:c r="U257" s="22" t="n">
        <x:v>19</x:v>
      </x:c>
      <x:c r="V257" s="22" t="n">
        <x:v>668</x:v>
      </x:c>
      <x:c r="W257" s="22" t="n">
        <x:v>241</x:v>
      </x:c>
      <x:c r="X257" s="22" t="n">
        <x:v>27</x:v>
      </x:c>
      <x:c r="Y257" s="22" t="n">
        <x:v>508</x:v>
      </x:c>
      <x:c r="Z257" s="22" t="n">
        <x:v>4</x:v>
      </x:c>
      <x:c r="AA257" s="22" t="n">
        <x:v>481</x:v>
      </x:c>
      <x:c r="AB257" s="22" t="n">
        <x:v>0</x:v>
      </x:c>
      <x:c r="AC257" s="22" t="n">
        <x:v>0</x:v>
      </x:c>
      <x:c r="AD257" s="22" t="n">
        <x:v>40</x:v>
      </x:c>
      <x:c r="AE257" s="22" t="n">
        <x:v>12</x:v>
      </x:c>
      <x:c r="AF257" s="22" t="n">
        <x:v>91</x:v>
      </x:c>
      <x:c r="AG257" s="22" t="n">
        <x:v>7</x:v>
      </x:c>
      <x:c r="AH257" s="22" t="n">
        <x:v>8</x:v>
      </x:c>
      <x:c r="AI257" s="22" t="n">
        <x:v>38</x:v>
      </x:c>
      <x:c r="AJ257" s="22" t="n">
        <x:v>10</x:v>
      </x:c>
      <x:c r="AK257" s="22" t="n">
        <x:v>7</x:v>
      </x:c>
      <x:c r="AL257" s="22" t="n">
        <x:v>836</x:v>
      </x:c>
      <x:c r="AM257" s="22" t="n">
        <x:v>65</x:v>
      </x:c>
      <x:c r="AN257" s="22" t="n">
        <x:v>10</x:v>
      </x:c>
      <x:c r="AO257" s="22" t="n">
        <x:v>8</x:v>
      </x:c>
      <x:c r="AP257" s="22" t="n">
        <x:v>5150</x:v>
      </x:c>
      <x:c r="AQ257" s="22" t="n">
        <x:v>20</x:v>
      </x:c>
      <x:c r="AR257" s="22" t="n">
        <x:v>0</x:v>
      </x:c>
      <x:c r="AS257" s="22" t="n">
        <x:v>10</x:v>
      </x:c>
      <x:c r="AT257" s="22" t="n">
        <x:v>10</x:v>
      </x:c>
      <x:c r="AU257" s="22" t="n">
        <x:v>0</x:v>
      </x:c>
      <x:c r="AV257" s="22" t="n">
        <x:v>25</x:v>
      </x:c>
      <x:c r="AW257" s="22" t="n">
        <x:v>0</x:v>
      </x:c>
    </x:row>
    <x:row r="258" ht="24" customHeight="1">
      <x:c r="A258" s="22" t="str">
        <x:v>P0254</x:v>
      </x:c>
      <x:c r="B258" s="22" t="n">
        <x:v>8</x:v>
      </x:c>
      <x:c r="C258" s="22" t="n">
        <x:v>3</x:v>
      </x:c>
      <x:c r="D258" s="22" t="str">
        <x:v>冰宫王庭阶段积累后</x:v>
      </x:c>
      <x:c r="E258" s="22" t="n">
        <x:v>71584</x:v>
      </x:c>
      <x:c r="F258" s="22" t="n">
        <x:v>77489</x:v>
      </x:c>
      <x:c r="G258" s="22" t="n">
        <x:v>68722</x:v>
      </x:c>
      <x:c r="H258" s="22" t="n">
        <x:v>74597</x:v>
      </x:c>
      <x:c r="I258" s="22" t="n">
        <x:v>68724</x:v>
      </x:c>
      <x:c r="J258" s="22" t="n">
        <x:v>74599</x:v>
      </x:c>
      <x:c r="K258" s="22" t="n">
        <x:v>9526100</x:v>
      </x:c>
      <x:c r="L258" s="22" t="n">
        <x:v>3201000</x:v>
      </x:c>
      <x:c r="M258" s="22" t="n">
        <x:v>840</x:v>
      </x:c>
      <x:c r="N258" s="22" t="n">
        <x:v>1520</x:v>
      </x:c>
      <x:c r="O258" s="22" t="n">
        <x:v>681</x:v>
      </x:c>
      <x:c r="P258" s="22" t="n">
        <x:v>1245</x:v>
      </x:c>
      <x:c r="Q258" s="22" t="n">
        <x:v>1379</x:v>
      </x:c>
      <x:c r="R258" s="22" t="n">
        <x:v>1330</x:v>
      </x:c>
      <x:c r="S258" s="22" t="n">
        <x:v>1330</x:v>
      </x:c>
      <x:c r="T258" s="22" t="n">
        <x:v>1.1500000000000004</x:v>
      </x:c>
      <x:c r="U258" s="22" t="n">
        <x:v>16</x:v>
      </x:c>
      <x:c r="V258" s="22" t="n">
        <x:v>608</x:v>
      </x:c>
      <x:c r="W258" s="22" t="n">
        <x:v>233</x:v>
      </x:c>
      <x:c r="X258" s="22" t="n">
        <x:v>25</x:v>
      </x:c>
      <x:c r="Y258" s="22" t="n">
        <x:v>543</x:v>
      </x:c>
      <x:c r="Z258" s="22" t="n">
        <x:v>4</x:v>
      </x:c>
      <x:c r="AA258" s="22" t="n">
        <x:v>486</x:v>
      </x:c>
      <x:c r="AB258" s="22" t="n">
        <x:v>0</x:v>
      </x:c>
      <x:c r="AC258" s="22" t="n">
        <x:v>0</x:v>
      </x:c>
      <x:c r="AD258" s="22" t="n">
        <x:v>38</x:v>
      </x:c>
      <x:c r="AE258" s="22" t="n">
        <x:v>12</x:v>
      </x:c>
      <x:c r="AF258" s="22" t="n">
        <x:v>91</x:v>
      </x:c>
      <x:c r="AG258" s="22" t="n">
        <x:v>7</x:v>
      </x:c>
      <x:c r="AH258" s="22" t="n">
        <x:v>8</x:v>
      </x:c>
      <x:c r="AI258" s="22" t="n">
        <x:v>36</x:v>
      </x:c>
      <x:c r="AJ258" s="22" t="n">
        <x:v>10</x:v>
      </x:c>
      <x:c r="AK258" s="22" t="n">
        <x:v>7</x:v>
      </x:c>
      <x:c r="AL258" s="22" t="n">
        <x:v>836</x:v>
      </x:c>
      <x:c r="AM258" s="22" t="n">
        <x:v>63</x:v>
      </x:c>
      <x:c r="AN258" s="22" t="n">
        <x:v>10</x:v>
      </x:c>
      <x:c r="AO258" s="22" t="n">
        <x:v>7</x:v>
      </x:c>
      <x:c r="AP258" s="22" t="n">
        <x:v>5150</x:v>
      </x:c>
      <x:c r="AQ258" s="22" t="n">
        <x:v>20</x:v>
      </x:c>
      <x:c r="AR258" s="22" t="n">
        <x:v>0</x:v>
      </x:c>
      <x:c r="AS258" s="22" t="n">
        <x:v>10</x:v>
      </x:c>
      <x:c r="AT258" s="22" t="n">
        <x:v>10</x:v>
      </x:c>
      <x:c r="AU258" s="22" t="n">
        <x:v>0</x:v>
      </x:c>
      <x:c r="AV258" s="22" t="n">
        <x:v>25</x:v>
      </x:c>
      <x:c r="AW258" s="22" t="n">
        <x:v>0</x:v>
      </x:c>
    </x:row>
    <x:row r="259" ht="24" customHeight="1">
      <x:c r="A259" s="22" t="str">
        <x:v>P0255</x:v>
      </x:c>
      <x:c r="B259" s="22" t="n">
        <x:v>8</x:v>
      </x:c>
      <x:c r="C259" s="22" t="n">
        <x:v>4</x:v>
      </x:c>
      <x:c r="D259" s="22" t="str">
        <x:v>C08G04入场</x:v>
      </x:c>
      <x:c r="E259" s="22" t="n">
        <x:v>71584</x:v>
      </x:c>
      <x:c r="F259" s="22" t="n">
        <x:v>77489</x:v>
      </x:c>
      <x:c r="G259" s="22" t="n">
        <x:v>68722</x:v>
      </x:c>
      <x:c r="H259" s="22" t="n">
        <x:v>74597</x:v>
      </x:c>
      <x:c r="I259" s="22" t="n">
        <x:v>68724</x:v>
      </x:c>
      <x:c r="J259" s="22" t="n">
        <x:v>74599</x:v>
      </x:c>
      <x:c r="K259" s="22" t="n">
        <x:v>9526100</x:v>
      </x:c>
      <x:c r="L259" s="22" t="n">
        <x:v>3201000</x:v>
      </x:c>
      <x:c r="M259" s="22" t="n">
        <x:v>840</x:v>
      </x:c>
      <x:c r="N259" s="22" t="n">
        <x:v>1520</x:v>
      </x:c>
      <x:c r="O259" s="22" t="n">
        <x:v>681</x:v>
      </x:c>
      <x:c r="P259" s="22" t="n">
        <x:v>1245</x:v>
      </x:c>
      <x:c r="Q259" s="22" t="n">
        <x:v>1379</x:v>
      </x:c>
      <x:c r="R259" s="22" t="n">
        <x:v>1330</x:v>
      </x:c>
      <x:c r="S259" s="22" t="n">
        <x:v>1330</x:v>
      </x:c>
      <x:c r="T259" s="22" t="n">
        <x:v>1.1500000000000004</x:v>
      </x:c>
      <x:c r="U259" s="22" t="n">
        <x:v>16</x:v>
      </x:c>
      <x:c r="V259" s="22" t="n">
        <x:v>608</x:v>
      </x:c>
      <x:c r="W259" s="22" t="n">
        <x:v>233</x:v>
      </x:c>
      <x:c r="X259" s="22" t="n">
        <x:v>25</x:v>
      </x:c>
      <x:c r="Y259" s="22" t="n">
        <x:v>543</x:v>
      </x:c>
      <x:c r="Z259" s="22" t="n">
        <x:v>4</x:v>
      </x:c>
      <x:c r="AA259" s="22" t="n">
        <x:v>486</x:v>
      </x:c>
      <x:c r="AB259" s="22" t="n">
        <x:v>0</x:v>
      </x:c>
      <x:c r="AC259" s="22" t="n">
        <x:v>0</x:v>
      </x:c>
      <x:c r="AD259" s="22" t="n">
        <x:v>38</x:v>
      </x:c>
      <x:c r="AE259" s="22" t="n">
        <x:v>12</x:v>
      </x:c>
      <x:c r="AF259" s="22" t="n">
        <x:v>91</x:v>
      </x:c>
      <x:c r="AG259" s="22" t="n">
        <x:v>7</x:v>
      </x:c>
      <x:c r="AH259" s="22" t="n">
        <x:v>8</x:v>
      </x:c>
      <x:c r="AI259" s="22" t="n">
        <x:v>36</x:v>
      </x:c>
      <x:c r="AJ259" s="22" t="n">
        <x:v>10</x:v>
      </x:c>
      <x:c r="AK259" s="22" t="n">
        <x:v>7</x:v>
      </x:c>
      <x:c r="AL259" s="22" t="n">
        <x:v>836</x:v>
      </x:c>
      <x:c r="AM259" s="22" t="n">
        <x:v>63</x:v>
      </x:c>
      <x:c r="AN259" s="22" t="n">
        <x:v>10</x:v>
      </x:c>
      <x:c r="AO259" s="22" t="n">
        <x:v>7</x:v>
      </x:c>
      <x:c r="AP259" s="22" t="n">
        <x:v>5150</x:v>
      </x:c>
      <x:c r="AQ259" s="22" t="n">
        <x:v>20</x:v>
      </x:c>
      <x:c r="AR259" s="22" t="n">
        <x:v>0</x:v>
      </x:c>
      <x:c r="AS259" s="22" t="n">
        <x:v>10</x:v>
      </x:c>
      <x:c r="AT259" s="22" t="n">
        <x:v>10</x:v>
      </x:c>
      <x:c r="AU259" s="22" t="n">
        <x:v>0</x:v>
      </x:c>
      <x:c r="AV259" s="22" t="n">
        <x:v>25</x:v>
      </x:c>
      <x:c r="AW259" s="22" t="n">
        <x:v>0</x:v>
      </x:c>
    </x:row>
    <x:row r="260" ht="24" customHeight="1">
      <x:c r="A260" s="22" t="str">
        <x:v>P0256</x:v>
      </x:c>
      <x:c r="B260" s="22" t="n">
        <x:v>8</x:v>
      </x:c>
      <x:c r="C260" s="22" t="n">
        <x:v>4</x:v>
      </x:c>
      <x:c r="D260" s="22" t="str">
        <x:v>C08G04普通专属4/6</x:v>
      </x:c>
      <x:c r="E260" s="22" t="n">
        <x:v>71599</x:v>
      </x:c>
      <x:c r="F260" s="22" t="n">
        <x:v>77509</x:v>
      </x:c>
      <x:c r="G260" s="22" t="n">
        <x:v>68737</x:v>
      </x:c>
      <x:c r="H260" s="22" t="n">
        <x:v>74617</x:v>
      </x:c>
      <x:c r="I260" s="22" t="n">
        <x:v>68739</x:v>
      </x:c>
      <x:c r="J260" s="22" t="n">
        <x:v>74619</x:v>
      </x:c>
      <x:c r="K260" s="22" t="n">
        <x:v>9532500</x:v>
      </x:c>
      <x:c r="L260" s="22" t="n">
        <x:v>3201000</x:v>
      </x:c>
      <x:c r="M260" s="22" t="n">
        <x:v>842</x:v>
      </x:c>
      <x:c r="N260" s="22" t="n">
        <x:v>1525</x:v>
      </x:c>
      <x:c r="O260" s="22" t="n">
        <x:v>683</x:v>
      </x:c>
      <x:c r="P260" s="22" t="n">
        <x:v>1249</x:v>
      </x:c>
      <x:c r="Q260" s="22" t="n">
        <x:v>1379</x:v>
      </x:c>
      <x:c r="R260" s="22" t="n">
        <x:v>1330</x:v>
      </x:c>
      <x:c r="S260" s="22" t="n">
        <x:v>1330</x:v>
      </x:c>
      <x:c r="T260" s="22" t="n">
        <x:v>1.1500000000000004</x:v>
      </x:c>
      <x:c r="U260" s="22" t="n">
        <x:v>16</x:v>
      </x:c>
      <x:c r="V260" s="22" t="n">
        <x:v>608</x:v>
      </x:c>
      <x:c r="W260" s="22" t="n">
        <x:v>233</x:v>
      </x:c>
      <x:c r="X260" s="22" t="n">
        <x:v>25</x:v>
      </x:c>
      <x:c r="Y260" s="22" t="n">
        <x:v>543</x:v>
      </x:c>
      <x:c r="Z260" s="22" t="n">
        <x:v>4</x:v>
      </x:c>
      <x:c r="AA260" s="22" t="n">
        <x:v>509</x:v>
      </x:c>
      <x:c r="AB260" s="22" t="n">
        <x:v>0</x:v>
      </x:c>
      <x:c r="AC260" s="22" t="n">
        <x:v>0</x:v>
      </x:c>
      <x:c r="AD260" s="22" t="n">
        <x:v>38</x:v>
      </x:c>
      <x:c r="AE260" s="22" t="n">
        <x:v>12</x:v>
      </x:c>
      <x:c r="AF260" s="22" t="n">
        <x:v>91</x:v>
      </x:c>
      <x:c r="AG260" s="22" t="n">
        <x:v>7</x:v>
      </x:c>
      <x:c r="AH260" s="22" t="n">
        <x:v>8</x:v>
      </x:c>
      <x:c r="AI260" s="22" t="n">
        <x:v>36</x:v>
      </x:c>
      <x:c r="AJ260" s="22" t="n">
        <x:v>10</x:v>
      </x:c>
      <x:c r="AK260" s="22" t="n">
        <x:v>7</x:v>
      </x:c>
      <x:c r="AL260" s="22" t="n">
        <x:v>836</x:v>
      </x:c>
      <x:c r="AM260" s="22" t="n">
        <x:v>63</x:v>
      </x:c>
      <x:c r="AN260" s="22" t="n">
        <x:v>10</x:v>
      </x:c>
      <x:c r="AO260" s="22" t="n">
        <x:v>7</x:v>
      </x:c>
      <x:c r="AP260" s="22" t="n">
        <x:v>5150</x:v>
      </x:c>
      <x:c r="AQ260" s="22" t="n">
        <x:v>20</x:v>
      </x:c>
      <x:c r="AR260" s="22" t="n">
        <x:v>0</x:v>
      </x:c>
      <x:c r="AS260" s="22" t="n">
        <x:v>10</x:v>
      </x:c>
      <x:c r="AT260" s="22" t="n">
        <x:v>10</x:v>
      </x:c>
      <x:c r="AU260" s="22" t="n">
        <x:v>0</x:v>
      </x:c>
      <x:c r="AV260" s="22" t="n">
        <x:v>25</x:v>
      </x:c>
      <x:c r="AW260" s="22" t="n">
        <x:v>0</x:v>
      </x:c>
    </x:row>
    <x:row r="261" ht="24" customHeight="1">
      <x:c r="A261" s="22" t="str">
        <x:v>P0257</x:v>
      </x:c>
      <x:c r="B261" s="22" t="n">
        <x:v>8</x:v>
      </x:c>
      <x:c r="C261" s="22" t="n">
        <x:v>4</x:v>
      </x:c>
      <x:c r="D261" s="22" t="str">
        <x:v>内宫冬眠王·格罗尔挑战前</x:v>
      </x:c>
      <x:c r="E261" s="22" t="n">
        <x:v>72939</x:v>
      </x:c>
      <x:c r="F261" s="22" t="n">
        <x:v>78849</x:v>
      </x:c>
      <x:c r="G261" s="22" t="n">
        <x:v>70018</x:v>
      </x:c>
      <x:c r="H261" s="22" t="n">
        <x:v>75898</x:v>
      </x:c>
      <x:c r="I261" s="22" t="n">
        <x:v>70020</x:v>
      </x:c>
      <x:c r="J261" s="22" t="n">
        <x:v>75900</x:v>
      </x:c>
      <x:c r="K261" s="22" t="n">
        <x:v>9660600</x:v>
      </x:c>
      <x:c r="L261" s="22" t="n">
        <x:v>3201000</x:v>
      </x:c>
      <x:c r="M261" s="22" t="n">
        <x:v>842</x:v>
      </x:c>
      <x:c r="N261" s="22" t="n">
        <x:v>1525</x:v>
      </x:c>
      <x:c r="O261" s="22" t="n">
        <x:v>683</x:v>
      </x:c>
      <x:c r="P261" s="22" t="n">
        <x:v>1249</x:v>
      </x:c>
      <x:c r="Q261" s="22" t="n">
        <x:v>1379</x:v>
      </x:c>
      <x:c r="R261" s="22" t="n">
        <x:v>1330</x:v>
      </x:c>
      <x:c r="S261" s="22" t="n">
        <x:v>1330</x:v>
      </x:c>
      <x:c r="T261" s="22" t="n">
        <x:v>1.1500000000000004</x:v>
      </x:c>
      <x:c r="U261" s="22" t="n">
        <x:v>16</x:v>
      </x:c>
      <x:c r="V261" s="22" t="n">
        <x:v>608</x:v>
      </x:c>
      <x:c r="W261" s="22" t="n">
        <x:v>233</x:v>
      </x:c>
      <x:c r="X261" s="22" t="n">
        <x:v>25</x:v>
      </x:c>
      <x:c r="Y261" s="22" t="n">
        <x:v>543</x:v>
      </x:c>
      <x:c r="Z261" s="22" t="n">
        <x:v>4</x:v>
      </x:c>
      <x:c r="AA261" s="22" t="n">
        <x:v>509</x:v>
      </x:c>
      <x:c r="AB261" s="22" t="n">
        <x:v>0</x:v>
      </x:c>
      <x:c r="AC261" s="22" t="n">
        <x:v>0</x:v>
      </x:c>
      <x:c r="AD261" s="22" t="n">
        <x:v>38</x:v>
      </x:c>
      <x:c r="AE261" s="22" t="n">
        <x:v>12</x:v>
      </x:c>
      <x:c r="AF261" s="22" t="n">
        <x:v>91</x:v>
      </x:c>
      <x:c r="AG261" s="22" t="n">
        <x:v>7</x:v>
      </x:c>
      <x:c r="AH261" s="22" t="n">
        <x:v>8</x:v>
      </x:c>
      <x:c r="AI261" s="22" t="n">
        <x:v>36</x:v>
      </x:c>
      <x:c r="AJ261" s="22" t="n">
        <x:v>10</x:v>
      </x:c>
      <x:c r="AK261" s="22" t="n">
        <x:v>7</x:v>
      </x:c>
      <x:c r="AL261" s="22" t="n">
        <x:v>836</x:v>
      </x:c>
      <x:c r="AM261" s="22" t="n">
        <x:v>63</x:v>
      </x:c>
      <x:c r="AN261" s="22" t="n">
        <x:v>10</x:v>
      </x:c>
      <x:c r="AO261" s="22" t="n">
        <x:v>7</x:v>
      </x:c>
      <x:c r="AP261" s="22" t="n">
        <x:v>5150</x:v>
      </x:c>
      <x:c r="AQ261" s="22" t="n">
        <x:v>20</x:v>
      </x:c>
      <x:c r="AR261" s="22" t="n">
        <x:v>0</x:v>
      </x:c>
      <x:c r="AS261" s="22" t="n">
        <x:v>10</x:v>
      </x:c>
      <x:c r="AT261" s="22" t="n">
        <x:v>10</x:v>
      </x:c>
      <x:c r="AU261" s="22" t="n">
        <x:v>0</x:v>
      </x:c>
      <x:c r="AV261" s="22" t="n">
        <x:v>25</x:v>
      </x:c>
      <x:c r="AW261" s="22" t="n">
        <x:v>0</x:v>
      </x:c>
    </x:row>
    <x:row r="262" ht="24" customHeight="1">
      <x:c r="A262" s="22" t="str">
        <x:v>P0258</x:v>
      </x:c>
      <x:c r="B262" s="22" t="n">
        <x:v>8</x:v>
      </x:c>
      <x:c r="C262" s="22" t="n">
        <x:v>4</x:v>
      </x:c>
      <x:c r="D262" s="22" t="str">
        <x:v>巨人女王·赫芮迦挑战前</x:v>
      </x:c>
      <x:c r="E262" s="22" t="n">
        <x:v>72939</x:v>
      </x:c>
      <x:c r="F262" s="22" t="n">
        <x:v>78849</x:v>
      </x:c>
      <x:c r="G262" s="22" t="n">
        <x:v>70018</x:v>
      </x:c>
      <x:c r="H262" s="22" t="n">
        <x:v>75898</x:v>
      </x:c>
      <x:c r="I262" s="22" t="n">
        <x:v>70020</x:v>
      </x:c>
      <x:c r="J262" s="22" t="n">
        <x:v>75900</x:v>
      </x:c>
      <x:c r="K262" s="22" t="n">
        <x:v>9660600</x:v>
      </x:c>
      <x:c r="L262" s="22" t="n">
        <x:v>3201000</x:v>
      </x:c>
      <x:c r="M262" s="22" t="n">
        <x:v>842</x:v>
      </x:c>
      <x:c r="N262" s="22" t="n">
        <x:v>1525</x:v>
      </x:c>
      <x:c r="O262" s="22" t="n">
        <x:v>683</x:v>
      </x:c>
      <x:c r="P262" s="22" t="n">
        <x:v>1249</x:v>
      </x:c>
      <x:c r="Q262" s="22" t="n">
        <x:v>1379</x:v>
      </x:c>
      <x:c r="R262" s="22" t="n">
        <x:v>1330</x:v>
      </x:c>
      <x:c r="S262" s="22" t="n">
        <x:v>1330</x:v>
      </x:c>
      <x:c r="T262" s="22" t="n">
        <x:v>1.1500000000000004</x:v>
      </x:c>
      <x:c r="U262" s="22" t="n">
        <x:v>16</x:v>
      </x:c>
      <x:c r="V262" s="22" t="n">
        <x:v>608</x:v>
      </x:c>
      <x:c r="W262" s="22" t="n">
        <x:v>233</x:v>
      </x:c>
      <x:c r="X262" s="22" t="n">
        <x:v>25</x:v>
      </x:c>
      <x:c r="Y262" s="22" t="n">
        <x:v>543</x:v>
      </x:c>
      <x:c r="Z262" s="22" t="n">
        <x:v>4</x:v>
      </x:c>
      <x:c r="AA262" s="22" t="n">
        <x:v>509</x:v>
      </x:c>
      <x:c r="AB262" s="22" t="n">
        <x:v>0</x:v>
      </x:c>
      <x:c r="AC262" s="22" t="n">
        <x:v>0</x:v>
      </x:c>
      <x:c r="AD262" s="22" t="n">
        <x:v>38</x:v>
      </x:c>
      <x:c r="AE262" s="22" t="n">
        <x:v>12</x:v>
      </x:c>
      <x:c r="AF262" s="22" t="n">
        <x:v>91</x:v>
      </x:c>
      <x:c r="AG262" s="22" t="n">
        <x:v>7</x:v>
      </x:c>
      <x:c r="AH262" s="22" t="n">
        <x:v>8</x:v>
      </x:c>
      <x:c r="AI262" s="22" t="n">
        <x:v>36</x:v>
      </x:c>
      <x:c r="AJ262" s="22" t="n">
        <x:v>10</x:v>
      </x:c>
      <x:c r="AK262" s="22" t="n">
        <x:v>7</x:v>
      </x:c>
      <x:c r="AL262" s="22" t="n">
        <x:v>836</x:v>
      </x:c>
      <x:c r="AM262" s="22" t="n">
        <x:v>63</x:v>
      </x:c>
      <x:c r="AN262" s="22" t="n">
        <x:v>10</x:v>
      </x:c>
      <x:c r="AO262" s="22" t="n">
        <x:v>7</x:v>
      </x:c>
      <x:c r="AP262" s="22" t="n">
        <x:v>5150</x:v>
      </x:c>
      <x:c r="AQ262" s="22" t="n">
        <x:v>20</x:v>
      </x:c>
      <x:c r="AR262" s="22" t="n">
        <x:v>0</x:v>
      </x:c>
      <x:c r="AS262" s="22" t="n">
        <x:v>10</x:v>
      </x:c>
      <x:c r="AT262" s="22" t="n">
        <x:v>10</x:v>
      </x:c>
      <x:c r="AU262" s="22" t="n">
        <x:v>0</x:v>
      </x:c>
      <x:c r="AV262" s="22" t="n">
        <x:v>25</x:v>
      </x:c>
      <x:c r="AW262" s="22" t="n">
        <x:v>0</x:v>
      </x:c>
    </x:row>
    <x:row r="263" ht="24" customHeight="1">
      <x:c r="A263" s="22" t="str">
        <x:v>P0259</x:v>
      </x:c>
      <x:c r="B263" s="22" t="n">
        <x:v>8</x:v>
      </x:c>
      <x:c r="C263" s="22" t="n">
        <x:v>4</x:v>
      </x:c>
      <x:c r="D263" s="22" t="str">
        <x:v>巨人王庭BOSS装备快线</x:v>
      </x:c>
      <x:c r="E263" s="22" t="n">
        <x:v>73020</x:v>
      </x:c>
      <x:c r="F263" s="22" t="n">
        <x:v>79004</x:v>
      </x:c>
      <x:c r="G263" s="22" t="n">
        <x:v>70099</x:v>
      </x:c>
      <x:c r="H263" s="22" t="n">
        <x:v>76053</x:v>
      </x:c>
      <x:c r="I263" s="22" t="n">
        <x:v>70101</x:v>
      </x:c>
      <x:c r="J263" s="22" t="n">
        <x:v>76055</x:v>
      </x:c>
      <x:c r="K263" s="22" t="n">
        <x:v>9695000</x:v>
      </x:c>
      <x:c r="L263" s="22" t="n">
        <x:v>3201000</x:v>
      </x:c>
      <x:c r="M263" s="22" t="n">
        <x:v>851</x:v>
      </x:c>
      <x:c r="N263" s="22" t="n">
        <x:v>1541</x:v>
      </x:c>
      <x:c r="O263" s="22" t="n">
        <x:v>690</x:v>
      </x:c>
      <x:c r="P263" s="22" t="n">
        <x:v>1262</x:v>
      </x:c>
      <x:c r="Q263" s="22" t="n">
        <x:v>1386</x:v>
      </x:c>
      <x:c r="R263" s="22" t="n">
        <x:v>1337</x:v>
      </x:c>
      <x:c r="S263" s="22" t="n">
        <x:v>1337</x:v>
      </x:c>
      <x:c r="T263" s="22" t="n">
        <x:v>1.1500000000000004</x:v>
      </x:c>
      <x:c r="U263" s="22" t="n">
        <x:v>16</x:v>
      </x:c>
      <x:c r="V263" s="22" t="n">
        <x:v>612</x:v>
      </x:c>
      <x:c r="W263" s="22" t="n">
        <x:v>233</x:v>
      </x:c>
      <x:c r="X263" s="22" t="n">
        <x:v>25</x:v>
      </x:c>
      <x:c r="Y263" s="22" t="n">
        <x:v>550</x:v>
      </x:c>
      <x:c r="Z263" s="22" t="n">
        <x:v>4</x:v>
      </x:c>
      <x:c r="AA263" s="22" t="n">
        <x:v>509</x:v>
      </x:c>
      <x:c r="AB263" s="22" t="n">
        <x:v>0</x:v>
      </x:c>
      <x:c r="AC263" s="22" t="n">
        <x:v>0</x:v>
      </x:c>
      <x:c r="AD263" s="22" t="n">
        <x:v>38</x:v>
      </x:c>
      <x:c r="AE263" s="22" t="n">
        <x:v>12</x:v>
      </x:c>
      <x:c r="AF263" s="22" t="n">
        <x:v>91</x:v>
      </x:c>
      <x:c r="AG263" s="22" t="n">
        <x:v>7</x:v>
      </x:c>
      <x:c r="AH263" s="22" t="n">
        <x:v>8</x:v>
      </x:c>
      <x:c r="AI263" s="22" t="n">
        <x:v>36</x:v>
      </x:c>
      <x:c r="AJ263" s="22" t="n">
        <x:v>10</x:v>
      </x:c>
      <x:c r="AK263" s="22" t="n">
        <x:v>7</x:v>
      </x:c>
      <x:c r="AL263" s="22" t="n">
        <x:v>836</x:v>
      </x:c>
      <x:c r="AM263" s="22" t="n">
        <x:v>63</x:v>
      </x:c>
      <x:c r="AN263" s="22" t="n">
        <x:v>10</x:v>
      </x:c>
      <x:c r="AO263" s="22" t="n">
        <x:v>7</x:v>
      </x:c>
      <x:c r="AP263" s="22" t="n">
        <x:v>5150</x:v>
      </x:c>
      <x:c r="AQ263" s="22" t="n">
        <x:v>20</x:v>
      </x:c>
      <x:c r="AR263" s="22" t="n">
        <x:v>0</x:v>
      </x:c>
      <x:c r="AS263" s="22" t="n">
        <x:v>10</x:v>
      </x:c>
      <x:c r="AT263" s="22" t="n">
        <x:v>10</x:v>
      </x:c>
      <x:c r="AU263" s="22" t="n">
        <x:v>0</x:v>
      </x:c>
      <x:c r="AV263" s="22" t="n">
        <x:v>25</x:v>
      </x:c>
      <x:c r="AW263" s="22" t="n">
        <x:v>0</x:v>
      </x:c>
    </x:row>
    <x:row r="264" ht="24" customHeight="1">
      <x:c r="A264" s="22" t="str">
        <x:v>P0260</x:v>
      </x:c>
      <x:c r="B264" s="22" t="n">
        <x:v>8</x:v>
      </x:c>
      <x:c r="C264" s="22" t="n">
        <x:v>4</x:v>
      </x:c>
      <x:c r="D264" s="22" t="str">
        <x:v>巨人王庭阶段积累后</x:v>
      </x:c>
      <x:c r="E264" s="22" t="n">
        <x:v>73564</x:v>
      </x:c>
      <x:c r="F264" s="22" t="n">
        <x:v>79984</x:v>
      </x:c>
      <x:c r="G264" s="22" t="n">
        <x:v>70643</x:v>
      </x:c>
      <x:c r="H264" s="22" t="n">
        <x:v>77033</x:v>
      </x:c>
      <x:c r="I264" s="22" t="n">
        <x:v>70645</x:v>
      </x:c>
      <x:c r="J264" s="22" t="n">
        <x:v>77035</x:v>
      </x:c>
      <x:c r="K264" s="22" t="n">
        <x:v>10138300</x:v>
      </x:c>
      <x:c r="L264" s="22" t="n">
        <x:v>3201000</x:v>
      </x:c>
      <x:c r="M264" s="22" t="n">
        <x:v>982</x:v>
      </x:c>
      <x:c r="N264" s="22" t="n">
        <x:v>1770</x:v>
      </x:c>
      <x:c r="O264" s="22" t="n">
        <x:v>794</x:v>
      </x:c>
      <x:c r="P264" s="22" t="n">
        <x:v>1455</x:v>
      </x:c>
      <x:c r="Q264" s="22" t="n">
        <x:v>1496</x:v>
      </x:c>
      <x:c r="R264" s="22" t="n">
        <x:v>1447</x:v>
      </x:c>
      <x:c r="S264" s="22" t="n">
        <x:v>1447</x:v>
      </x:c>
      <x:c r="T264" s="22" t="n">
        <x:v>1.1500000000000004</x:v>
      </x:c>
      <x:c r="U264" s="22" t="n">
        <x:v>16</x:v>
      </x:c>
      <x:c r="V264" s="22" t="n">
        <x:v>604</x:v>
      </x:c>
      <x:c r="W264" s="22" t="n">
        <x:v>254</x:v>
      </x:c>
      <x:c r="X264" s="22" t="n">
        <x:v>25</x:v>
      </x:c>
      <x:c r="Y264" s="22" t="n">
        <x:v>628</x:v>
      </x:c>
      <x:c r="Z264" s="22" t="n">
        <x:v>4</x:v>
      </x:c>
      <x:c r="AA264" s="22" t="n">
        <x:v>545</x:v>
      </x:c>
      <x:c r="AB264" s="22" t="n">
        <x:v>0</x:v>
      </x:c>
      <x:c r="AC264" s="22" t="n">
        <x:v>0</x:v>
      </x:c>
      <x:c r="AD264" s="22" t="n">
        <x:v>38</x:v>
      </x:c>
      <x:c r="AE264" s="22" t="n">
        <x:v>12</x:v>
      </x:c>
      <x:c r="AF264" s="22" t="n">
        <x:v>91</x:v>
      </x:c>
      <x:c r="AG264" s="22" t="n">
        <x:v>7</x:v>
      </x:c>
      <x:c r="AH264" s="22" t="n">
        <x:v>8</x:v>
      </x:c>
      <x:c r="AI264" s="22" t="n">
        <x:v>36</x:v>
      </x:c>
      <x:c r="AJ264" s="22" t="n">
        <x:v>10</x:v>
      </x:c>
      <x:c r="AK264" s="22" t="n">
        <x:v>7</x:v>
      </x:c>
      <x:c r="AL264" s="22" t="n">
        <x:v>872</x:v>
      </x:c>
      <x:c r="AM264" s="22" t="n">
        <x:v>68</x:v>
      </x:c>
      <x:c r="AN264" s="22" t="n">
        <x:v>13</x:v>
      </x:c>
      <x:c r="AO264" s="22" t="n">
        <x:v>7</x:v>
      </x:c>
      <x:c r="AP264" s="22" t="n">
        <x:v>5150</x:v>
      </x:c>
      <x:c r="AQ264" s="22" t="n">
        <x:v>20</x:v>
      </x:c>
      <x:c r="AR264" s="22" t="n">
        <x:v>0</x:v>
      </x:c>
      <x:c r="AS264" s="22" t="n">
        <x:v>10</x:v>
      </x:c>
      <x:c r="AT264" s="22" t="n">
        <x:v>10</x:v>
      </x:c>
      <x:c r="AU264" s="22" t="n">
        <x:v>0</x:v>
      </x:c>
      <x:c r="AV264" s="22" t="n">
        <x:v>39</x:v>
      </x:c>
      <x:c r="AW264" s="22" t="n">
        <x:v>0</x:v>
      </x:c>
    </x:row>
    <x:row r="265" ht="24" customHeight="1">
      <x:c r="A265" s="22" t="str">
        <x:v>P0261</x:v>
      </x:c>
      <x:c r="B265" s="22" t="n">
        <x:v>8</x:v>
      </x:c>
      <x:c r="C265" s="22" t="n">
        <x:v>4</x:v>
      </x:c>
      <x:c r="D265" s="22" t="str">
        <x:v>C08守关前必做制作完成</x:v>
      </x:c>
      <x:c r="E265" s="22" t="n">
        <x:v>74207</x:v>
      </x:c>
      <x:c r="F265" s="22" t="n">
        <x:v>80627</x:v>
      </x:c>
      <x:c r="G265" s="22" t="n">
        <x:v>71191</x:v>
      </x:c>
      <x:c r="H265" s="22" t="n">
        <x:v>77581</x:v>
      </x:c>
      <x:c r="I265" s="22" t="n">
        <x:v>71246</x:v>
      </x:c>
      <x:c r="J265" s="22" t="n">
        <x:v>77636</x:v>
      </x:c>
      <x:c r="K265" s="22" t="n">
        <x:v>10160000</x:v>
      </x:c>
      <x:c r="L265" s="22" t="n">
        <x:v>3201000</x:v>
      </x:c>
      <x:c r="M265" s="22" t="n">
        <x:v>982</x:v>
      </x:c>
      <x:c r="N265" s="22" t="n">
        <x:v>1770</x:v>
      </x:c>
      <x:c r="O265" s="22" t="n">
        <x:v>794</x:v>
      </x:c>
      <x:c r="P265" s="22" t="n">
        <x:v>1455</x:v>
      </x:c>
      <x:c r="Q265" s="22" t="n">
        <x:v>1496</x:v>
      </x:c>
      <x:c r="R265" s="22" t="n">
        <x:v>1447</x:v>
      </x:c>
      <x:c r="S265" s="22" t="n">
        <x:v>1447</x:v>
      </x:c>
      <x:c r="T265" s="22" t="n">
        <x:v>1.1500000000000004</x:v>
      </x:c>
      <x:c r="U265" s="22" t="n">
        <x:v>16</x:v>
      </x:c>
      <x:c r="V265" s="22" t="n">
        <x:v>604</x:v>
      </x:c>
      <x:c r="W265" s="22" t="n">
        <x:v>254</x:v>
      </x:c>
      <x:c r="X265" s="22" t="n">
        <x:v>25</x:v>
      </x:c>
      <x:c r="Y265" s="22" t="n">
        <x:v>628</x:v>
      </x:c>
      <x:c r="Z265" s="22" t="n">
        <x:v>4</x:v>
      </x:c>
      <x:c r="AA265" s="22" t="n">
        <x:v>545</x:v>
      </x:c>
      <x:c r="AB265" s="22" t="n">
        <x:v>0</x:v>
      </x:c>
      <x:c r="AC265" s="22" t="n">
        <x:v>0</x:v>
      </x:c>
      <x:c r="AD265" s="22" t="n">
        <x:v>38</x:v>
      </x:c>
      <x:c r="AE265" s="22" t="n">
        <x:v>12</x:v>
      </x:c>
      <x:c r="AF265" s="22" t="n">
        <x:v>91</x:v>
      </x:c>
      <x:c r="AG265" s="22" t="n">
        <x:v>7</x:v>
      </x:c>
      <x:c r="AH265" s="22" t="n">
        <x:v>8</x:v>
      </x:c>
      <x:c r="AI265" s="22" t="n">
        <x:v>36</x:v>
      </x:c>
      <x:c r="AJ265" s="22" t="n">
        <x:v>10</x:v>
      </x:c>
      <x:c r="AK265" s="22" t="n">
        <x:v>8</x:v>
      </x:c>
      <x:c r="AL265" s="22" t="n">
        <x:v>882</x:v>
      </x:c>
      <x:c r="AM265" s="22" t="n">
        <x:v>68</x:v>
      </x:c>
      <x:c r="AN265" s="22" t="n">
        <x:v>13</x:v>
      </x:c>
      <x:c r="AO265" s="22" t="n">
        <x:v>7</x:v>
      </x:c>
      <x:c r="AP265" s="22" t="n">
        <x:v>5150</x:v>
      </x:c>
      <x:c r="AQ265" s="22" t="n">
        <x:v>20</x:v>
      </x:c>
      <x:c r="AR265" s="22" t="n">
        <x:v>0</x:v>
      </x:c>
      <x:c r="AS265" s="22" t="n">
        <x:v>10</x:v>
      </x:c>
      <x:c r="AT265" s="22" t="n">
        <x:v>10</x:v>
      </x:c>
      <x:c r="AU265" s="22" t="n">
        <x:v>0</x:v>
      </x:c>
      <x:c r="AV265" s="22" t="n">
        <x:v>39</x:v>
      </x:c>
      <x:c r="AW265" s="22" t="n">
        <x:v>0</x:v>
      </x:c>
    </x:row>
    <x:row r="266" ht="24" customHeight="1">
      <x:c r="A266" s="22" t="str">
        <x:v>P0262</x:v>
      </x:c>
      <x:c r="B266" s="22" t="n">
        <x:v>8</x:v>
      </x:c>
      <x:c r="C266" s="22" t="n">
        <x:v>4</x:v>
      </x:c>
      <x:c r="D266" s="22" t="str">
        <x:v>C08约70%守关参考</x:v>
      </x:c>
      <x:c r="E266" s="22" t="n">
        <x:v>75407</x:v>
      </x:c>
      <x:c r="F266" s="22" t="n">
        <x:v>81827</x:v>
      </x:c>
      <x:c r="G266" s="22" t="n">
        <x:v>72391</x:v>
      </x:c>
      <x:c r="H266" s="22" t="n">
        <x:v>78781</x:v>
      </x:c>
      <x:c r="I266" s="22" t="n">
        <x:v>72446</x:v>
      </x:c>
      <x:c r="J266" s="22" t="n">
        <x:v>78836</x:v>
      </x:c>
      <x:c r="K266" s="22" t="n">
        <x:v>10280000</x:v>
      </x:c>
      <x:c r="L266" s="22" t="n">
        <x:v>3201000</x:v>
      </x:c>
      <x:c r="M266" s="22" t="n">
        <x:v>982</x:v>
      </x:c>
      <x:c r="N266" s="22" t="n">
        <x:v>1770</x:v>
      </x:c>
      <x:c r="O266" s="22" t="n">
        <x:v>794</x:v>
      </x:c>
      <x:c r="P266" s="22" t="n">
        <x:v>1455</x:v>
      </x:c>
      <x:c r="Q266" s="22" t="n">
        <x:v>1496</x:v>
      </x:c>
      <x:c r="R266" s="22" t="n">
        <x:v>1447</x:v>
      </x:c>
      <x:c r="S266" s="22" t="n">
        <x:v>1447</x:v>
      </x:c>
      <x:c r="T266" s="22" t="n">
        <x:v>1.2300000000000004</x:v>
      </x:c>
      <x:c r="U266" s="22" t="n">
        <x:v>16</x:v>
      </x:c>
      <x:c r="V266" s="22" t="n">
        <x:v>604</x:v>
      </x:c>
      <x:c r="W266" s="22" t="n">
        <x:v>254</x:v>
      </x:c>
      <x:c r="X266" s="22" t="n">
        <x:v>25</x:v>
      </x:c>
      <x:c r="Y266" s="22" t="n">
        <x:v>628</x:v>
      </x:c>
      <x:c r="Z266" s="22" t="n">
        <x:v>4</x:v>
      </x:c>
      <x:c r="AA266" s="22" t="n">
        <x:v>545</x:v>
      </x:c>
      <x:c r="AB266" s="22" t="n">
        <x:v>0</x:v>
      </x:c>
      <x:c r="AC266" s="22" t="n">
        <x:v>0</x:v>
      </x:c>
      <x:c r="AD266" s="22" t="n">
        <x:v>38</x:v>
      </x:c>
      <x:c r="AE266" s="22" t="n">
        <x:v>12</x:v>
      </x:c>
      <x:c r="AF266" s="22" t="n">
        <x:v>91</x:v>
      </x:c>
      <x:c r="AG266" s="22" t="n">
        <x:v>7</x:v>
      </x:c>
      <x:c r="AH266" s="22" t="n">
        <x:v>8</x:v>
      </x:c>
      <x:c r="AI266" s="22" t="n">
        <x:v>37</x:v>
      </x:c>
      <x:c r="AJ266" s="22" t="n">
        <x:v>10</x:v>
      </x:c>
      <x:c r="AK266" s="22" t="n">
        <x:v>8</x:v>
      </x:c>
      <x:c r="AL266" s="22" t="n">
        <x:v>982</x:v>
      </x:c>
      <x:c r="AM266" s="22" t="n">
        <x:v>68</x:v>
      </x:c>
      <x:c r="AN266" s="22" t="n">
        <x:v>13</x:v>
      </x:c>
      <x:c r="AO266" s="22" t="n">
        <x:v>7</x:v>
      </x:c>
      <x:c r="AP266" s="22" t="n">
        <x:v>5150</x:v>
      </x:c>
      <x:c r="AQ266" s="22" t="n">
        <x:v>20</x:v>
      </x:c>
      <x:c r="AR266" s="22" t="n">
        <x:v>0</x:v>
      </x:c>
      <x:c r="AS266" s="22" t="n">
        <x:v>10</x:v>
      </x:c>
      <x:c r="AT266" s="22" t="n">
        <x:v>10</x:v>
      </x:c>
      <x:c r="AU266" s="22" t="n">
        <x:v>0</x:v>
      </x:c>
      <x:c r="AV266" s="22" t="n">
        <x:v>39</x:v>
      </x:c>
      <x:c r="AW266" s="22" t="n">
        <x:v>0</x:v>
      </x:c>
    </x:row>
    <x:row r="267" ht="24" customHeight="1">
      <x:c r="A267" s="22" t="str">
        <x:v>P0263</x:v>
      </x:c>
      <x:c r="B267" s="22" t="n">
        <x:v>8</x:v>
      </x:c>
      <x:c r="C267" s="22" t="n">
        <x:v>4</x:v>
      </x:c>
      <x:c r="D267" s="22" t="str">
        <x:v>C08高完成度参考</x:v>
      </x:c>
      <x:c r="E267" s="22" t="n">
        <x:v>77610</x:v>
      </x:c>
      <x:c r="F267" s="22" t="n">
        <x:v>84918</x:v>
      </x:c>
      <x:c r="G267" s="22" t="n">
        <x:v>74594</x:v>
      </x:c>
      <x:c r="H267" s="22" t="n">
        <x:v>81872</x:v>
      </x:c>
      <x:c r="I267" s="22" t="n">
        <x:v>74649</x:v>
      </x:c>
      <x:c r="J267" s="22" t="n">
        <x:v>81927</x:v>
      </x:c>
      <x:c r="K267" s="22" t="n">
        <x:v>10908600</x:v>
      </x:c>
      <x:c r="L267" s="22" t="n">
        <x:v>3201000</x:v>
      </x:c>
      <x:c r="M267" s="22" t="n">
        <x:v>1155</x:v>
      </x:c>
      <x:c r="N267" s="22" t="n">
        <x:v>2085</x:v>
      </x:c>
      <x:c r="O267" s="22" t="n">
        <x:v>936</x:v>
      </x:c>
      <x:c r="P267" s="22" t="n">
        <x:v>1712</x:v>
      </x:c>
      <x:c r="Q267" s="22" t="n">
        <x:v>1616</x:v>
      </x:c>
      <x:c r="R267" s="22" t="n">
        <x:v>1567</x:v>
      </x:c>
      <x:c r="S267" s="22" t="n">
        <x:v>1567</x:v>
      </x:c>
      <x:c r="T267" s="22" t="n">
        <x:v>1.2700000000000005</x:v>
      </x:c>
      <x:c r="U267" s="22" t="n">
        <x:v>16</x:v>
      </x:c>
      <x:c r="V267" s="22" t="n">
        <x:v>648</x:v>
      </x:c>
      <x:c r="W267" s="22" t="n">
        <x:v>278</x:v>
      </x:c>
      <x:c r="X267" s="22" t="n">
        <x:v>25</x:v>
      </x:c>
      <x:c r="Y267" s="22" t="n">
        <x:v>635</x:v>
      </x:c>
      <x:c r="Z267" s="22" t="n">
        <x:v>4</x:v>
      </x:c>
      <x:c r="AA267" s="22" t="n">
        <x:v>653</x:v>
      </x:c>
      <x:c r="AB267" s="22" t="n">
        <x:v>0</x:v>
      </x:c>
      <x:c r="AC267" s="22" t="n">
        <x:v>0</x:v>
      </x:c>
      <x:c r="AD267" s="22" t="n">
        <x:v>38</x:v>
      </x:c>
      <x:c r="AE267" s="22" t="n">
        <x:v>12</x:v>
      </x:c>
      <x:c r="AF267" s="22" t="n">
        <x:v>91</x:v>
      </x:c>
      <x:c r="AG267" s="22" t="n">
        <x:v>7</x:v>
      </x:c>
      <x:c r="AH267" s="22" t="n">
        <x:v>8</x:v>
      </x:c>
      <x:c r="AI267" s="22" t="n">
        <x:v>37.5</x:v>
      </x:c>
      <x:c r="AJ267" s="22" t="n">
        <x:v>10</x:v>
      </x:c>
      <x:c r="AK267" s="22" t="n">
        <x:v>8</x:v>
      </x:c>
      <x:c r="AL267" s="22" t="n">
        <x:v>1032</x:v>
      </x:c>
      <x:c r="AM267" s="22" t="n">
        <x:v>71</x:v>
      </x:c>
      <x:c r="AN267" s="22" t="n">
        <x:v>13</x:v>
      </x:c>
      <x:c r="AO267" s="22" t="n">
        <x:v>7</x:v>
      </x:c>
      <x:c r="AP267" s="22" t="n">
        <x:v>5150</x:v>
      </x:c>
      <x:c r="AQ267" s="22" t="n">
        <x:v>20</x:v>
      </x:c>
      <x:c r="AR267" s="22" t="n">
        <x:v>0</x:v>
      </x:c>
      <x:c r="AS267" s="22" t="n">
        <x:v>10</x:v>
      </x:c>
      <x:c r="AT267" s="22" t="n">
        <x:v>10</x:v>
      </x:c>
      <x:c r="AU267" s="22" t="n">
        <x:v>0</x:v>
      </x:c>
      <x:c r="AV267" s="22" t="n">
        <x:v>39</x:v>
      </x:c>
      <x:c r="AW267" s="22" t="n">
        <x:v>0</x:v>
      </x:c>
    </x:row>
    <x:row r="268" ht="24" customHeight="1">
      <x:c r="A268" s="22" t="str">
        <x:v>P0264</x:v>
      </x:c>
      <x:c r="B268" s="22" t="n">
        <x:v>8</x:v>
      </x:c>
      <x:c r="C268" s="22" t="n">
        <x:v>4</x:v>
      </x:c>
      <x:c r="D268" s="22" t="str">
        <x:v>C08守关后继承</x:v>
      </x:c>
      <x:c r="E268" s="22" t="n">
        <x:v>75407</x:v>
      </x:c>
      <x:c r="F268" s="22" t="n">
        <x:v>81827</x:v>
      </x:c>
      <x:c r="G268" s="22" t="n">
        <x:v>72391</x:v>
      </x:c>
      <x:c r="H268" s="22" t="n">
        <x:v>78781</x:v>
      </x:c>
      <x:c r="I268" s="22" t="n">
        <x:v>72446</x:v>
      </x:c>
      <x:c r="J268" s="22" t="n">
        <x:v>78836</x:v>
      </x:c>
      <x:c r="K268" s="22" t="n">
        <x:v>10280000</x:v>
      </x:c>
      <x:c r="L268" s="22" t="n">
        <x:v>3201000</x:v>
      </x:c>
      <x:c r="M268" s="22" t="n">
        <x:v>982</x:v>
      </x:c>
      <x:c r="N268" s="22" t="n">
        <x:v>1770</x:v>
      </x:c>
      <x:c r="O268" s="22" t="n">
        <x:v>794</x:v>
      </x:c>
      <x:c r="P268" s="22" t="n">
        <x:v>1455</x:v>
      </x:c>
      <x:c r="Q268" s="22" t="n">
        <x:v>1496</x:v>
      </x:c>
      <x:c r="R268" s="22" t="n">
        <x:v>1447</x:v>
      </x:c>
      <x:c r="S268" s="22" t="n">
        <x:v>1447</x:v>
      </x:c>
      <x:c r="T268" s="22" t="n">
        <x:v>1.2300000000000004</x:v>
      </x:c>
      <x:c r="U268" s="22" t="n">
        <x:v>16</x:v>
      </x:c>
      <x:c r="V268" s="22" t="n">
        <x:v>604</x:v>
      </x:c>
      <x:c r="W268" s="22" t="n">
        <x:v>254</x:v>
      </x:c>
      <x:c r="X268" s="22" t="n">
        <x:v>25</x:v>
      </x:c>
      <x:c r="Y268" s="22" t="n">
        <x:v>628</x:v>
      </x:c>
      <x:c r="Z268" s="22" t="n">
        <x:v>4</x:v>
      </x:c>
      <x:c r="AA268" s="22" t="n">
        <x:v>545</x:v>
      </x:c>
      <x:c r="AB268" s="22" t="n">
        <x:v>0</x:v>
      </x:c>
      <x:c r="AC268" s="22" t="n">
        <x:v>0</x:v>
      </x:c>
      <x:c r="AD268" s="22" t="n">
        <x:v>38</x:v>
      </x:c>
      <x:c r="AE268" s="22" t="n">
        <x:v>12</x:v>
      </x:c>
      <x:c r="AF268" s="22" t="n">
        <x:v>91</x:v>
      </x:c>
      <x:c r="AG268" s="22" t="n">
        <x:v>7</x:v>
      </x:c>
      <x:c r="AH268" s="22" t="n">
        <x:v>8</x:v>
      </x:c>
      <x:c r="AI268" s="22" t="n">
        <x:v>37</x:v>
      </x:c>
      <x:c r="AJ268" s="22" t="n">
        <x:v>10</x:v>
      </x:c>
      <x:c r="AK268" s="22" t="n">
        <x:v>8</x:v>
      </x:c>
      <x:c r="AL268" s="22" t="n">
        <x:v>982</x:v>
      </x:c>
      <x:c r="AM268" s="22" t="n">
        <x:v>68</x:v>
      </x:c>
      <x:c r="AN268" s="22" t="n">
        <x:v>13</x:v>
      </x:c>
      <x:c r="AO268" s="22" t="n">
        <x:v>7</x:v>
      </x:c>
      <x:c r="AP268" s="22" t="n">
        <x:v>5150</x:v>
      </x:c>
      <x:c r="AQ268" s="22" t="n">
        <x:v>20</x:v>
      </x:c>
      <x:c r="AR268" s="22" t="n">
        <x:v>0</x:v>
      </x:c>
      <x:c r="AS268" s="22" t="n">
        <x:v>10</x:v>
      </x:c>
      <x:c r="AT268" s="22" t="n">
        <x:v>10</x:v>
      </x:c>
      <x:c r="AU268" s="22" t="n">
        <x:v>0</x:v>
      </x:c>
      <x:c r="AV268" s="22" t="n">
        <x:v>39</x:v>
      </x:c>
      <x:c r="AW268" s="22" t="n">
        <x:v>0</x:v>
      </x:c>
    </x:row>
    <x:row r="269" ht="24" customHeight="1">
      <x:c r="A269" s="22" t="str">
        <x:v>P0265</x:v>
      </x:c>
      <x:c r="B269" s="22" t="n">
        <x:v>9</x:v>
      </x:c>
      <x:c r="C269" s="22" t="n">
        <x:v>1</x:v>
      </x:c>
      <x:c r="D269" s="22" t="str">
        <x:v>C09入场继承</x:v>
      </x:c>
      <x:c r="E269" s="22" t="n">
        <x:v>75407</x:v>
      </x:c>
      <x:c r="F269" s="22" t="n">
        <x:v>81827</x:v>
      </x:c>
      <x:c r="G269" s="22" t="n">
        <x:v>72391</x:v>
      </x:c>
      <x:c r="H269" s="22" t="n">
        <x:v>78781</x:v>
      </x:c>
      <x:c r="I269" s="22" t="n">
        <x:v>72446</x:v>
      </x:c>
      <x:c r="J269" s="22" t="n">
        <x:v>78836</x:v>
      </x:c>
      <x:c r="K269" s="22" t="n">
        <x:v>10280000</x:v>
      </x:c>
      <x:c r="L269" s="22" t="n">
        <x:v>3201000</x:v>
      </x:c>
      <x:c r="M269" s="22" t="n">
        <x:v>982</x:v>
      </x:c>
      <x:c r="N269" s="22" t="n">
        <x:v>1770</x:v>
      </x:c>
      <x:c r="O269" s="22" t="n">
        <x:v>794</x:v>
      </x:c>
      <x:c r="P269" s="22" t="n">
        <x:v>1455</x:v>
      </x:c>
      <x:c r="Q269" s="22" t="n">
        <x:v>1496</x:v>
      </x:c>
      <x:c r="R269" s="22" t="n">
        <x:v>1447</x:v>
      </x:c>
      <x:c r="S269" s="22" t="n">
        <x:v>1447</x:v>
      </x:c>
      <x:c r="T269" s="22" t="n">
        <x:v>1.2300000000000004</x:v>
      </x:c>
      <x:c r="U269" s="22" t="n">
        <x:v>16</x:v>
      </x:c>
      <x:c r="V269" s="22" t="n">
        <x:v>604</x:v>
      </x:c>
      <x:c r="W269" s="22" t="n">
        <x:v>254</x:v>
      </x:c>
      <x:c r="X269" s="22" t="n">
        <x:v>25</x:v>
      </x:c>
      <x:c r="Y269" s="22" t="n">
        <x:v>628</x:v>
      </x:c>
      <x:c r="Z269" s="22" t="n">
        <x:v>4</x:v>
      </x:c>
      <x:c r="AA269" s="22" t="n">
        <x:v>545</x:v>
      </x:c>
      <x:c r="AB269" s="22" t="n">
        <x:v>0</x:v>
      </x:c>
      <x:c r="AC269" s="22" t="n">
        <x:v>0</x:v>
      </x:c>
      <x:c r="AD269" s="22" t="n">
        <x:v>38</x:v>
      </x:c>
      <x:c r="AE269" s="22" t="n">
        <x:v>12</x:v>
      </x:c>
      <x:c r="AF269" s="22" t="n">
        <x:v>91</x:v>
      </x:c>
      <x:c r="AG269" s="22" t="n">
        <x:v>7</x:v>
      </x:c>
      <x:c r="AH269" s="22" t="n">
        <x:v>8</x:v>
      </x:c>
      <x:c r="AI269" s="22" t="n">
        <x:v>37</x:v>
      </x:c>
      <x:c r="AJ269" s="22" t="n">
        <x:v>10</x:v>
      </x:c>
      <x:c r="AK269" s="22" t="n">
        <x:v>8</x:v>
      </x:c>
      <x:c r="AL269" s="22" t="n">
        <x:v>982</x:v>
      </x:c>
      <x:c r="AM269" s="22" t="n">
        <x:v>68</x:v>
      </x:c>
      <x:c r="AN269" s="22" t="n">
        <x:v>13</x:v>
      </x:c>
      <x:c r="AO269" s="22" t="n">
        <x:v>7</x:v>
      </x:c>
      <x:c r="AP269" s="22" t="n">
        <x:v>5150</x:v>
      </x:c>
      <x:c r="AQ269" s="22" t="n">
        <x:v>20</x:v>
      </x:c>
      <x:c r="AR269" s="22" t="n">
        <x:v>0</x:v>
      </x:c>
      <x:c r="AS269" s="22" t="n">
        <x:v>10</x:v>
      </x:c>
      <x:c r="AT269" s="22" t="n">
        <x:v>10</x:v>
      </x:c>
      <x:c r="AU269" s="22" t="n">
        <x:v>0</x:v>
      </x:c>
      <x:c r="AV269" s="22" t="n">
        <x:v>39</x:v>
      </x:c>
      <x:c r="AW269" s="22" t="n">
        <x:v>0</x:v>
      </x:c>
    </x:row>
    <x:row r="270" ht="24" customHeight="1">
      <x:c r="A270" s="22" t="str">
        <x:v>P0266</x:v>
      </x:c>
      <x:c r="B270" s="22" t="n">
        <x:v>9</x:v>
      </x:c>
      <x:c r="C270" s="22" t="n">
        <x:v>1</x:v>
      </x:c>
      <x:c r="D270" s="22" t="str">
        <x:v>C09本阶段既有付费/长期成长</x:v>
      </x:c>
      <x:c r="E270" s="22" t="n">
        <x:v>76064</x:v>
      </x:c>
      <x:c r="F270" s="22" t="n">
        <x:v>82484</x:v>
      </x:c>
      <x:c r="G270" s="22" t="n">
        <x:v>73048</x:v>
      </x:c>
      <x:c r="H270" s="22" t="n">
        <x:v>79438</x:v>
      </x:c>
      <x:c r="I270" s="22" t="n">
        <x:v>73103</x:v>
      </x:c>
      <x:c r="J270" s="22" t="n">
        <x:v>79493</x:v>
      </x:c>
      <x:c r="K270" s="22" t="n">
        <x:v>10345700</x:v>
      </x:c>
      <x:c r="L270" s="22" t="n">
        <x:v>3201000</x:v>
      </x:c>
      <x:c r="M270" s="22" t="n">
        <x:v>982</x:v>
      </x:c>
      <x:c r="N270" s="22" t="n">
        <x:v>1770</x:v>
      </x:c>
      <x:c r="O270" s="22" t="n">
        <x:v>794</x:v>
      </x:c>
      <x:c r="P270" s="22" t="n">
        <x:v>1455</x:v>
      </x:c>
      <x:c r="Q270" s="22" t="n">
        <x:v>1496</x:v>
      </x:c>
      <x:c r="R270" s="22" t="n">
        <x:v>1447</x:v>
      </x:c>
      <x:c r="S270" s="22" t="n">
        <x:v>1447</x:v>
      </x:c>
      <x:c r="T270" s="22" t="n">
        <x:v>1.2300000000000004</x:v>
      </x:c>
      <x:c r="U270" s="22" t="n">
        <x:v>16</x:v>
      </x:c>
      <x:c r="V270" s="22" t="n">
        <x:v>604</x:v>
      </x:c>
      <x:c r="W270" s="22" t="n">
        <x:v>254</x:v>
      </x:c>
      <x:c r="X270" s="22" t="n">
        <x:v>25</x:v>
      </x:c>
      <x:c r="Y270" s="22" t="n">
        <x:v>628</x:v>
      </x:c>
      <x:c r="Z270" s="22" t="n">
        <x:v>4</x:v>
      </x:c>
      <x:c r="AA270" s="22" t="n">
        <x:v>545</x:v>
      </x:c>
      <x:c r="AB270" s="22" t="n">
        <x:v>0</x:v>
      </x:c>
      <x:c r="AC270" s="22" t="n">
        <x:v>0</x:v>
      </x:c>
      <x:c r="AD270" s="22" t="n">
        <x:v>38</x:v>
      </x:c>
      <x:c r="AE270" s="22" t="n">
        <x:v>12</x:v>
      </x:c>
      <x:c r="AF270" s="22" t="n">
        <x:v>91</x:v>
      </x:c>
      <x:c r="AG270" s="22" t="n">
        <x:v>7</x:v>
      </x:c>
      <x:c r="AH270" s="22" t="n">
        <x:v>8</x:v>
      </x:c>
      <x:c r="AI270" s="22" t="n">
        <x:v>37</x:v>
      </x:c>
      <x:c r="AJ270" s="22" t="n">
        <x:v>10</x:v>
      </x:c>
      <x:c r="AK270" s="22" t="n">
        <x:v>8</x:v>
      </x:c>
      <x:c r="AL270" s="22" t="n">
        <x:v>982</x:v>
      </x:c>
      <x:c r="AM270" s="22" t="n">
        <x:v>68</x:v>
      </x:c>
      <x:c r="AN270" s="22" t="n">
        <x:v>13</x:v>
      </x:c>
      <x:c r="AO270" s="22" t="n">
        <x:v>7</x:v>
      </x:c>
      <x:c r="AP270" s="22" t="n">
        <x:v>5150</x:v>
      </x:c>
      <x:c r="AQ270" s="22" t="n">
        <x:v>20</x:v>
      </x:c>
      <x:c r="AR270" s="22" t="n">
        <x:v>0</x:v>
      </x:c>
      <x:c r="AS270" s="22" t="n">
        <x:v>10</x:v>
      </x:c>
      <x:c r="AT270" s="22" t="n">
        <x:v>10</x:v>
      </x:c>
      <x:c r="AU270" s="22" t="n">
        <x:v>0</x:v>
      </x:c>
      <x:c r="AV270" s="22" t="n">
        <x:v>39</x:v>
      </x:c>
      <x:c r="AW270" s="22" t="n">
        <x:v>0</x:v>
      </x:c>
    </x:row>
    <x:row r="271" ht="24" customHeight="1">
      <x:c r="A271" s="22" t="str">
        <x:v>P0267</x:v>
      </x:c>
      <x:c r="B271" s="22" t="n">
        <x:v>9</x:v>
      </x:c>
      <x:c r="C271" s="22" t="n">
        <x:v>1</x:v>
      </x:c>
      <x:c r="D271" s="22" t="str">
        <x:v>C09G01入场</x:v>
      </x:c>
      <x:c r="E271" s="22" t="n">
        <x:v>76064</x:v>
      </x:c>
      <x:c r="F271" s="22" t="n">
        <x:v>82484</x:v>
      </x:c>
      <x:c r="G271" s="22" t="n">
        <x:v>73048</x:v>
      </x:c>
      <x:c r="H271" s="22" t="n">
        <x:v>79438</x:v>
      </x:c>
      <x:c r="I271" s="22" t="n">
        <x:v>73103</x:v>
      </x:c>
      <x:c r="J271" s="22" t="n">
        <x:v>79493</x:v>
      </x:c>
      <x:c r="K271" s="22" t="n">
        <x:v>10345700</x:v>
      </x:c>
      <x:c r="L271" s="22" t="n">
        <x:v>3201000</x:v>
      </x:c>
      <x:c r="M271" s="22" t="n">
        <x:v>982</x:v>
      </x:c>
      <x:c r="N271" s="22" t="n">
        <x:v>1770</x:v>
      </x:c>
      <x:c r="O271" s="22" t="n">
        <x:v>794</x:v>
      </x:c>
      <x:c r="P271" s="22" t="n">
        <x:v>1455</x:v>
      </x:c>
      <x:c r="Q271" s="22" t="n">
        <x:v>1496</x:v>
      </x:c>
      <x:c r="R271" s="22" t="n">
        <x:v>1447</x:v>
      </x:c>
      <x:c r="S271" s="22" t="n">
        <x:v>1447</x:v>
      </x:c>
      <x:c r="T271" s="22" t="n">
        <x:v>1.2300000000000004</x:v>
      </x:c>
      <x:c r="U271" s="22" t="n">
        <x:v>16</x:v>
      </x:c>
      <x:c r="V271" s="22" t="n">
        <x:v>604</x:v>
      </x:c>
      <x:c r="W271" s="22" t="n">
        <x:v>254</x:v>
      </x:c>
      <x:c r="X271" s="22" t="n">
        <x:v>25</x:v>
      </x:c>
      <x:c r="Y271" s="22" t="n">
        <x:v>628</x:v>
      </x:c>
      <x:c r="Z271" s="22" t="n">
        <x:v>4</x:v>
      </x:c>
      <x:c r="AA271" s="22" t="n">
        <x:v>545</x:v>
      </x:c>
      <x:c r="AB271" s="22" t="n">
        <x:v>0</x:v>
      </x:c>
      <x:c r="AC271" s="22" t="n">
        <x:v>0</x:v>
      </x:c>
      <x:c r="AD271" s="22" t="n">
        <x:v>38</x:v>
      </x:c>
      <x:c r="AE271" s="22" t="n">
        <x:v>12</x:v>
      </x:c>
      <x:c r="AF271" s="22" t="n">
        <x:v>91</x:v>
      </x:c>
      <x:c r="AG271" s="22" t="n">
        <x:v>7</x:v>
      </x:c>
      <x:c r="AH271" s="22" t="n">
        <x:v>8</x:v>
      </x:c>
      <x:c r="AI271" s="22" t="n">
        <x:v>37</x:v>
      </x:c>
      <x:c r="AJ271" s="22" t="n">
        <x:v>10</x:v>
      </x:c>
      <x:c r="AK271" s="22" t="n">
        <x:v>8</x:v>
      </x:c>
      <x:c r="AL271" s="22" t="n">
        <x:v>982</x:v>
      </x:c>
      <x:c r="AM271" s="22" t="n">
        <x:v>68</x:v>
      </x:c>
      <x:c r="AN271" s="22" t="n">
        <x:v>13</x:v>
      </x:c>
      <x:c r="AO271" s="22" t="n">
        <x:v>7</x:v>
      </x:c>
      <x:c r="AP271" s="22" t="n">
        <x:v>5150</x:v>
      </x:c>
      <x:c r="AQ271" s="22" t="n">
        <x:v>20</x:v>
      </x:c>
      <x:c r="AR271" s="22" t="n">
        <x:v>0</x:v>
      </x:c>
      <x:c r="AS271" s="22" t="n">
        <x:v>10</x:v>
      </x:c>
      <x:c r="AT271" s="22" t="n">
        <x:v>10</x:v>
      </x:c>
      <x:c r="AU271" s="22" t="n">
        <x:v>0</x:v>
      </x:c>
      <x:c r="AV271" s="22" t="n">
        <x:v>39</x:v>
      </x:c>
      <x:c r="AW271" s="22" t="n">
        <x:v>0</x:v>
      </x:c>
    </x:row>
    <x:row r="272" ht="24" customHeight="1">
      <x:c r="A272" s="22" t="str">
        <x:v>P0268</x:v>
      </x:c>
      <x:c r="B272" s="22" t="n">
        <x:v>9</x:v>
      </x:c>
      <x:c r="C272" s="22" t="n">
        <x:v>1</x:v>
      </x:c>
      <x:c r="D272" s="22" t="str">
        <x:v>C09G01普通专属4/6</x:v>
      </x:c>
      <x:c r="E272" s="22" t="n">
        <x:v>76134</x:v>
      </x:c>
      <x:c r="F272" s="22" t="n">
        <x:v>82614</x:v>
      </x:c>
      <x:c r="G272" s="22" t="n">
        <x:v>73118</x:v>
      </x:c>
      <x:c r="H272" s="22" t="n">
        <x:v>79568</x:v>
      </x:c>
      <x:c r="I272" s="22" t="n">
        <x:v>73173</x:v>
      </x:c>
      <x:c r="J272" s="22" t="n">
        <x:v>79623</x:v>
      </x:c>
      <x:c r="K272" s="22" t="n">
        <x:v>10434700</x:v>
      </x:c>
      <x:c r="L272" s="22" t="n">
        <x:v>3201000</x:v>
      </x:c>
      <x:c r="M272" s="22" t="n">
        <x:v>974</x:v>
      </x:c>
      <x:c r="N272" s="22" t="n">
        <x:v>1755</x:v>
      </x:c>
      <x:c r="O272" s="22" t="n">
        <x:v>788</x:v>
      </x:c>
      <x:c r="P272" s="22" t="n">
        <x:v>1442</x:v>
      </x:c>
      <x:c r="Q272" s="22" t="n">
        <x:v>1490</x:v>
      </x:c>
      <x:c r="R272" s="22" t="n">
        <x:v>1441</x:v>
      </x:c>
      <x:c r="S272" s="22" t="n">
        <x:v>1441</x:v>
      </x:c>
      <x:c r="T272" s="22" t="n">
        <x:v>1.2300000000000004</x:v>
      </x:c>
      <x:c r="U272" s="22" t="n">
        <x:v>16</x:v>
      </x:c>
      <x:c r="V272" s="22" t="n">
        <x:v>602</x:v>
      </x:c>
      <x:c r="W272" s="22" t="n">
        <x:v>254</x:v>
      </x:c>
      <x:c r="X272" s="22" t="n">
        <x:v>25</x:v>
      </x:c>
      <x:c r="Y272" s="22" t="n">
        <x:v>628</x:v>
      </x:c>
      <x:c r="Z272" s="22" t="n">
        <x:v>4</x:v>
      </x:c>
      <x:c r="AA272" s="22" t="n">
        <x:v>568</x:v>
      </x:c>
      <x:c r="AB272" s="22" t="n">
        <x:v>0</x:v>
      </x:c>
      <x:c r="AC272" s="22" t="n">
        <x:v>0</x:v>
      </x:c>
      <x:c r="AD272" s="22" t="n">
        <x:v>38</x:v>
      </x:c>
      <x:c r="AE272" s="22" t="n">
        <x:v>12</x:v>
      </x:c>
      <x:c r="AF272" s="22" t="n">
        <x:v>91</x:v>
      </x:c>
      <x:c r="AG272" s="22" t="n">
        <x:v>7</x:v>
      </x:c>
      <x:c r="AH272" s="22" t="n">
        <x:v>8</x:v>
      </x:c>
      <x:c r="AI272" s="22" t="n">
        <x:v>37</x:v>
      </x:c>
      <x:c r="AJ272" s="22" t="n">
        <x:v>10</x:v>
      </x:c>
      <x:c r="AK272" s="22" t="n">
        <x:v>8</x:v>
      </x:c>
      <x:c r="AL272" s="22" t="n">
        <x:v>982</x:v>
      </x:c>
      <x:c r="AM272" s="22" t="n">
        <x:v>67</x:v>
      </x:c>
      <x:c r="AN272" s="22" t="n">
        <x:v>13</x:v>
      </x:c>
      <x:c r="AO272" s="22" t="n">
        <x:v>7</x:v>
      </x:c>
      <x:c r="AP272" s="22" t="n">
        <x:v>5150</x:v>
      </x:c>
      <x:c r="AQ272" s="22" t="n">
        <x:v>20</x:v>
      </x:c>
      <x:c r="AR272" s="22" t="n">
        <x:v>0</x:v>
      </x:c>
      <x:c r="AS272" s="22" t="n">
        <x:v>10</x:v>
      </x:c>
      <x:c r="AT272" s="22" t="n">
        <x:v>10</x:v>
      </x:c>
      <x:c r="AU272" s="22" t="n">
        <x:v>0</x:v>
      </x:c>
      <x:c r="AV272" s="22" t="n">
        <x:v>39</x:v>
      </x:c>
      <x:c r="AW272" s="22" t="n">
        <x:v>0</x:v>
      </x:c>
    </x:row>
    <x:row r="273" ht="24" customHeight="1">
      <x:c r="A273" s="22" t="str">
        <x:v>P0269</x:v>
      </x:c>
      <x:c r="B273" s="22" t="n">
        <x:v>9</x:v>
      </x:c>
      <x:c r="C273" s="22" t="n">
        <x:v>1</x:v>
      </x:c>
      <x:c r="D273" s="22" t="str">
        <x:v>陵园摘冠侯·阿维恩挑战前</x:v>
      </x:c>
      <x:c r="E273" s="22" t="n">
        <x:v>76577</x:v>
      </x:c>
      <x:c r="F273" s="22" t="n">
        <x:v>83057</x:v>
      </x:c>
      <x:c r="G273" s="22" t="n">
        <x:v>73561</x:v>
      </x:c>
      <x:c r="H273" s="22" t="n">
        <x:v>80011</x:v>
      </x:c>
      <x:c r="I273" s="22" t="n">
        <x:v>73616</x:v>
      </x:c>
      <x:c r="J273" s="22" t="n">
        <x:v>80066</x:v>
      </x:c>
      <x:c r="K273" s="22" t="n">
        <x:v>10479000</x:v>
      </x:c>
      <x:c r="L273" s="22" t="n">
        <x:v>3201000</x:v>
      </x:c>
      <x:c r="M273" s="22" t="n">
        <x:v>974</x:v>
      </x:c>
      <x:c r="N273" s="22" t="n">
        <x:v>1755</x:v>
      </x:c>
      <x:c r="O273" s="22" t="n">
        <x:v>788</x:v>
      </x:c>
      <x:c r="P273" s="22" t="n">
        <x:v>1442</x:v>
      </x:c>
      <x:c r="Q273" s="22" t="n">
        <x:v>1490</x:v>
      </x:c>
      <x:c r="R273" s="22" t="n">
        <x:v>1441</x:v>
      </x:c>
      <x:c r="S273" s="22" t="n">
        <x:v>1441</x:v>
      </x:c>
      <x:c r="T273" s="22" t="n">
        <x:v>1.2300000000000004</x:v>
      </x:c>
      <x:c r="U273" s="22" t="n">
        <x:v>16</x:v>
      </x:c>
      <x:c r="V273" s="22" t="n">
        <x:v>602</x:v>
      </x:c>
      <x:c r="W273" s="22" t="n">
        <x:v>254</x:v>
      </x:c>
      <x:c r="X273" s="22" t="n">
        <x:v>25</x:v>
      </x:c>
      <x:c r="Y273" s="22" t="n">
        <x:v>628</x:v>
      </x:c>
      <x:c r="Z273" s="22" t="n">
        <x:v>4</x:v>
      </x:c>
      <x:c r="AA273" s="22" t="n">
        <x:v>568</x:v>
      </x:c>
      <x:c r="AB273" s="22" t="n">
        <x:v>0</x:v>
      </x:c>
      <x:c r="AC273" s="22" t="n">
        <x:v>0</x:v>
      </x:c>
      <x:c r="AD273" s="22" t="n">
        <x:v>38</x:v>
      </x:c>
      <x:c r="AE273" s="22" t="n">
        <x:v>12</x:v>
      </x:c>
      <x:c r="AF273" s="22" t="n">
        <x:v>91</x:v>
      </x:c>
      <x:c r="AG273" s="22" t="n">
        <x:v>7</x:v>
      </x:c>
      <x:c r="AH273" s="22" t="n">
        <x:v>8</x:v>
      </x:c>
      <x:c r="AI273" s="22" t="n">
        <x:v>37</x:v>
      </x:c>
      <x:c r="AJ273" s="22" t="n">
        <x:v>10</x:v>
      </x:c>
      <x:c r="AK273" s="22" t="n">
        <x:v>8</x:v>
      </x:c>
      <x:c r="AL273" s="22" t="n">
        <x:v>982</x:v>
      </x:c>
      <x:c r="AM273" s="22" t="n">
        <x:v>67</x:v>
      </x:c>
      <x:c r="AN273" s="22" t="n">
        <x:v>13</x:v>
      </x:c>
      <x:c r="AO273" s="22" t="n">
        <x:v>7</x:v>
      </x:c>
      <x:c r="AP273" s="22" t="n">
        <x:v>5150</x:v>
      </x:c>
      <x:c r="AQ273" s="22" t="n">
        <x:v>20</x:v>
      </x:c>
      <x:c r="AR273" s="22" t="n">
        <x:v>0</x:v>
      </x:c>
      <x:c r="AS273" s="22" t="n">
        <x:v>10</x:v>
      </x:c>
      <x:c r="AT273" s="22" t="n">
        <x:v>10</x:v>
      </x:c>
      <x:c r="AU273" s="22" t="n">
        <x:v>0</x:v>
      </x:c>
      <x:c r="AV273" s="22" t="n">
        <x:v>39</x:v>
      </x:c>
      <x:c r="AW273" s="22" t="n">
        <x:v>0</x:v>
      </x:c>
    </x:row>
    <x:row r="274" ht="24" customHeight="1">
      <x:c r="A274" s="22" t="str">
        <x:v>P0270</x:v>
      </x:c>
      <x:c r="B274" s="22" t="n">
        <x:v>9</x:v>
      </x:c>
      <x:c r="C274" s="22" t="n">
        <x:v>1</x:v>
      </x:c>
      <x:c r="D274" s="22" t="str">
        <x:v>金叶祭王·萨鲁恩挑战前</x:v>
      </x:c>
      <x:c r="E274" s="22" t="n">
        <x:v>76577</x:v>
      </x:c>
      <x:c r="F274" s="22" t="n">
        <x:v>83057</x:v>
      </x:c>
      <x:c r="G274" s="22" t="n">
        <x:v>73561</x:v>
      </x:c>
      <x:c r="H274" s="22" t="n">
        <x:v>80011</x:v>
      </x:c>
      <x:c r="I274" s="22" t="n">
        <x:v>73616</x:v>
      </x:c>
      <x:c r="J274" s="22" t="n">
        <x:v>80066</x:v>
      </x:c>
      <x:c r="K274" s="22" t="n">
        <x:v>10479000</x:v>
      </x:c>
      <x:c r="L274" s="22" t="n">
        <x:v>3201000</x:v>
      </x:c>
      <x:c r="M274" s="22" t="n">
        <x:v>974</x:v>
      </x:c>
      <x:c r="N274" s="22" t="n">
        <x:v>1755</x:v>
      </x:c>
      <x:c r="O274" s="22" t="n">
        <x:v>788</x:v>
      </x:c>
      <x:c r="P274" s="22" t="n">
        <x:v>1442</x:v>
      </x:c>
      <x:c r="Q274" s="22" t="n">
        <x:v>1490</x:v>
      </x:c>
      <x:c r="R274" s="22" t="n">
        <x:v>1441</x:v>
      </x:c>
      <x:c r="S274" s="22" t="n">
        <x:v>1441</x:v>
      </x:c>
      <x:c r="T274" s="22" t="n">
        <x:v>1.2300000000000004</x:v>
      </x:c>
      <x:c r="U274" s="22" t="n">
        <x:v>16</x:v>
      </x:c>
      <x:c r="V274" s="22" t="n">
        <x:v>602</x:v>
      </x:c>
      <x:c r="W274" s="22" t="n">
        <x:v>254</x:v>
      </x:c>
      <x:c r="X274" s="22" t="n">
        <x:v>25</x:v>
      </x:c>
      <x:c r="Y274" s="22" t="n">
        <x:v>628</x:v>
      </x:c>
      <x:c r="Z274" s="22" t="n">
        <x:v>4</x:v>
      </x:c>
      <x:c r="AA274" s="22" t="n">
        <x:v>568</x:v>
      </x:c>
      <x:c r="AB274" s="22" t="n">
        <x:v>0</x:v>
      </x:c>
      <x:c r="AC274" s="22" t="n">
        <x:v>0</x:v>
      </x:c>
      <x:c r="AD274" s="22" t="n">
        <x:v>38</x:v>
      </x:c>
      <x:c r="AE274" s="22" t="n">
        <x:v>12</x:v>
      </x:c>
      <x:c r="AF274" s="22" t="n">
        <x:v>91</x:v>
      </x:c>
      <x:c r="AG274" s="22" t="n">
        <x:v>7</x:v>
      </x:c>
      <x:c r="AH274" s="22" t="n">
        <x:v>8</x:v>
      </x:c>
      <x:c r="AI274" s="22" t="n">
        <x:v>37</x:v>
      </x:c>
      <x:c r="AJ274" s="22" t="n">
        <x:v>10</x:v>
      </x:c>
      <x:c r="AK274" s="22" t="n">
        <x:v>8</x:v>
      </x:c>
      <x:c r="AL274" s="22" t="n">
        <x:v>982</x:v>
      </x:c>
      <x:c r="AM274" s="22" t="n">
        <x:v>67</x:v>
      </x:c>
      <x:c r="AN274" s="22" t="n">
        <x:v>13</x:v>
      </x:c>
      <x:c r="AO274" s="22" t="n">
        <x:v>7</x:v>
      </x:c>
      <x:c r="AP274" s="22" t="n">
        <x:v>5150</x:v>
      </x:c>
      <x:c r="AQ274" s="22" t="n">
        <x:v>20</x:v>
      </x:c>
      <x:c r="AR274" s="22" t="n">
        <x:v>0</x:v>
      </x:c>
      <x:c r="AS274" s="22" t="n">
        <x:v>10</x:v>
      </x:c>
      <x:c r="AT274" s="22" t="n">
        <x:v>10</x:v>
      </x:c>
      <x:c r="AU274" s="22" t="n">
        <x:v>0</x:v>
      </x:c>
      <x:c r="AV274" s="22" t="n">
        <x:v>39</x:v>
      </x:c>
      <x:c r="AW274" s="22" t="n">
        <x:v>0</x:v>
      </x:c>
    </x:row>
    <x:row r="275" ht="24" customHeight="1">
      <x:c r="A275" s="22" t="str">
        <x:v>P0271</x:v>
      </x:c>
      <x:c r="B275" s="22" t="n">
        <x:v>9</x:v>
      </x:c>
      <x:c r="C275" s="22" t="n">
        <x:v>1</x:v>
      </x:c>
      <x:c r="D275" s="22" t="str">
        <x:v>金叶古道BOSS装备快线</x:v>
      </x:c>
      <x:c r="E275" s="22" t="n">
        <x:v>76762</x:v>
      </x:c>
      <x:c r="F275" s="22" t="n">
        <x:v>83417</x:v>
      </x:c>
      <x:c r="G275" s="22" t="n">
        <x:v>73746</x:v>
      </x:c>
      <x:c r="H275" s="22" t="n">
        <x:v>80371</x:v>
      </x:c>
      <x:c r="I275" s="22" t="n">
        <x:v>73801</x:v>
      </x:c>
      <x:c r="J275" s="22" t="n">
        <x:v>80426</x:v>
      </x:c>
      <x:c r="K275" s="22" t="n">
        <x:v>10635400</x:v>
      </x:c>
      <x:c r="L275" s="22" t="n">
        <x:v>3201000</x:v>
      </x:c>
      <x:c r="M275" s="22" t="n">
        <x:v>1024</x:v>
      </x:c>
      <x:c r="N275" s="22" t="n">
        <x:v>1847</x:v>
      </x:c>
      <x:c r="O275" s="22" t="n">
        <x:v>829</x:v>
      </x:c>
      <x:c r="P275" s="22" t="n">
        <x:v>1517</x:v>
      </x:c>
      <x:c r="Q275" s="22" t="n">
        <x:v>1511</x:v>
      </x:c>
      <x:c r="R275" s="22" t="n">
        <x:v>1462</x:v>
      </x:c>
      <x:c r="S275" s="22" t="n">
        <x:v>1462</x:v>
      </x:c>
      <x:c r="T275" s="22" t="n">
        <x:v>1.2300000000000004</x:v>
      </x:c>
      <x:c r="U275" s="22" t="n">
        <x:v>16</x:v>
      </x:c>
      <x:c r="V275" s="22" t="n">
        <x:v>602</x:v>
      </x:c>
      <x:c r="W275" s="22" t="n">
        <x:v>254</x:v>
      </x:c>
      <x:c r="X275" s="22" t="n">
        <x:v>25</x:v>
      </x:c>
      <x:c r="Y275" s="22" t="n">
        <x:v>628</x:v>
      </x:c>
      <x:c r="Z275" s="22" t="n">
        <x:v>4</x:v>
      </x:c>
      <x:c r="AA275" s="22" t="n">
        <x:v>568</x:v>
      </x:c>
      <x:c r="AB275" s="22" t="n">
        <x:v>0</x:v>
      </x:c>
      <x:c r="AC275" s="22" t="n">
        <x:v>0</x:v>
      </x:c>
      <x:c r="AD275" s="22" t="n">
        <x:v>38</x:v>
      </x:c>
      <x:c r="AE275" s="22" t="n">
        <x:v>12</x:v>
      </x:c>
      <x:c r="AF275" s="22" t="n">
        <x:v>91</x:v>
      </x:c>
      <x:c r="AG275" s="22" t="n">
        <x:v>7</x:v>
      </x:c>
      <x:c r="AH275" s="22" t="n">
        <x:v>8</x:v>
      </x:c>
      <x:c r="AI275" s="22" t="n">
        <x:v>37</x:v>
      </x:c>
      <x:c r="AJ275" s="22" t="n">
        <x:v>10</x:v>
      </x:c>
      <x:c r="AK275" s="22" t="n">
        <x:v>8</x:v>
      </x:c>
      <x:c r="AL275" s="22" t="n">
        <x:v>982</x:v>
      </x:c>
      <x:c r="AM275" s="22" t="n">
        <x:v>68</x:v>
      </x:c>
      <x:c r="AN275" s="22" t="n">
        <x:v>13</x:v>
      </x:c>
      <x:c r="AO275" s="22" t="n">
        <x:v>7</x:v>
      </x:c>
      <x:c r="AP275" s="22" t="n">
        <x:v>5150</x:v>
      </x:c>
      <x:c r="AQ275" s="22" t="n">
        <x:v>20</x:v>
      </x:c>
      <x:c r="AR275" s="22" t="n">
        <x:v>0</x:v>
      </x:c>
      <x:c r="AS275" s="22" t="n">
        <x:v>10</x:v>
      </x:c>
      <x:c r="AT275" s="22" t="n">
        <x:v>10</x:v>
      </x:c>
      <x:c r="AU275" s="22" t="n">
        <x:v>0</x:v>
      </x:c>
      <x:c r="AV275" s="22" t="n">
        <x:v>39</x:v>
      </x:c>
      <x:c r="AW275" s="22" t="n">
        <x:v>0</x:v>
      </x:c>
    </x:row>
    <x:row r="276" ht="24" customHeight="1">
      <x:c r="A276" s="22" t="str">
        <x:v>P0272</x:v>
      </x:c>
      <x:c r="B276" s="22" t="n">
        <x:v>9</x:v>
      </x:c>
      <x:c r="C276" s="22" t="n">
        <x:v>1</x:v>
      </x:c>
      <x:c r="D276" s="22" t="str">
        <x:v>金叶古道阶段积累后</x:v>
      </x:c>
      <x:c r="E276" s="22" t="n">
        <x:v>88677</x:v>
      </x:c>
      <x:c r="F276" s="22" t="n">
        <x:v>95157</x:v>
      </x:c>
      <x:c r="G276" s="22" t="n">
        <x:v>85661</x:v>
      </x:c>
      <x:c r="H276" s="22" t="n">
        <x:v>92111</x:v>
      </x:c>
      <x:c r="I276" s="22" t="n">
        <x:v>85716</x:v>
      </x:c>
      <x:c r="J276" s="22" t="n">
        <x:v>92166</x:v>
      </x:c>
      <x:c r="K276" s="22" t="n">
        <x:v>11689000</x:v>
      </x:c>
      <x:c r="L276" s="22" t="n">
        <x:v>3201000</x:v>
      </x:c>
      <x:c r="M276" s="22" t="n">
        <x:v>974</x:v>
      </x:c>
      <x:c r="N276" s="22" t="n">
        <x:v>1755</x:v>
      </x:c>
      <x:c r="O276" s="22" t="n">
        <x:v>788</x:v>
      </x:c>
      <x:c r="P276" s="22" t="n">
        <x:v>1442</x:v>
      </x:c>
      <x:c r="Q276" s="22" t="n">
        <x:v>1490</x:v>
      </x:c>
      <x:c r="R276" s="22" t="n">
        <x:v>1441</x:v>
      </x:c>
      <x:c r="S276" s="22" t="n">
        <x:v>1441</x:v>
      </x:c>
      <x:c r="T276" s="22" t="n">
        <x:v>1.2300000000000004</x:v>
      </x:c>
      <x:c r="U276" s="22" t="n">
        <x:v>16</x:v>
      </x:c>
      <x:c r="V276" s="22" t="n">
        <x:v>602</x:v>
      </x:c>
      <x:c r="W276" s="22" t="n">
        <x:v>254</x:v>
      </x:c>
      <x:c r="X276" s="22" t="n">
        <x:v>25</x:v>
      </x:c>
      <x:c r="Y276" s="22" t="n">
        <x:v>628</x:v>
      </x:c>
      <x:c r="Z276" s="22" t="n">
        <x:v>4</x:v>
      </x:c>
      <x:c r="AA276" s="22" t="n">
        <x:v>568</x:v>
      </x:c>
      <x:c r="AB276" s="22" t="n">
        <x:v>0</x:v>
      </x:c>
      <x:c r="AC276" s="22" t="n">
        <x:v>0</x:v>
      </x:c>
      <x:c r="AD276" s="22" t="n">
        <x:v>38</x:v>
      </x:c>
      <x:c r="AE276" s="22" t="n">
        <x:v>13</x:v>
      </x:c>
      <x:c r="AF276" s="22" t="n">
        <x:v>91</x:v>
      </x:c>
      <x:c r="AG276" s="22" t="n">
        <x:v>7</x:v>
      </x:c>
      <x:c r="AH276" s="22" t="n">
        <x:v>8</x:v>
      </x:c>
      <x:c r="AI276" s="22" t="n">
        <x:v>37</x:v>
      </x:c>
      <x:c r="AJ276" s="22" t="n">
        <x:v>10</x:v>
      </x:c>
      <x:c r="AK276" s="22" t="n">
        <x:v>8</x:v>
      </x:c>
      <x:c r="AL276" s="22" t="n">
        <x:v>982</x:v>
      </x:c>
      <x:c r="AM276" s="22" t="n">
        <x:v>67</x:v>
      </x:c>
      <x:c r="AN276" s="22" t="n">
        <x:v>13</x:v>
      </x:c>
      <x:c r="AO276" s="22" t="n">
        <x:v>7</x:v>
      </x:c>
      <x:c r="AP276" s="22" t="n">
        <x:v>5150</x:v>
      </x:c>
      <x:c r="AQ276" s="22" t="n">
        <x:v>20</x:v>
      </x:c>
      <x:c r="AR276" s="22" t="n">
        <x:v>0</x:v>
      </x:c>
      <x:c r="AS276" s="22" t="n">
        <x:v>10</x:v>
      </x:c>
      <x:c r="AT276" s="22" t="n">
        <x:v>10</x:v>
      </x:c>
      <x:c r="AU276" s="22" t="n">
        <x:v>0</x:v>
      </x:c>
      <x:c r="AV276" s="22" t="n">
        <x:v>39</x:v>
      </x:c>
      <x:c r="AW276" s="22" t="n">
        <x:v>0</x:v>
      </x:c>
    </x:row>
    <x:row r="277" ht="24" customHeight="1">
      <x:c r="A277" s="22" t="str">
        <x:v>P0273</x:v>
      </x:c>
      <x:c r="B277" s="22" t="n">
        <x:v>9</x:v>
      </x:c>
      <x:c r="C277" s="22" t="n">
        <x:v>2</x:v>
      </x:c>
      <x:c r="D277" s="22" t="str">
        <x:v>C09G02入场</x:v>
      </x:c>
      <x:c r="E277" s="22" t="n">
        <x:v>88677</x:v>
      </x:c>
      <x:c r="F277" s="22" t="n">
        <x:v>95157</x:v>
      </x:c>
      <x:c r="G277" s="22" t="n">
        <x:v>85661</x:v>
      </x:c>
      <x:c r="H277" s="22" t="n">
        <x:v>92111</x:v>
      </x:c>
      <x:c r="I277" s="22" t="n">
        <x:v>85716</x:v>
      </x:c>
      <x:c r="J277" s="22" t="n">
        <x:v>92166</x:v>
      </x:c>
      <x:c r="K277" s="22" t="n">
        <x:v>11689000</x:v>
      </x:c>
      <x:c r="L277" s="22" t="n">
        <x:v>3201000</x:v>
      </x:c>
      <x:c r="M277" s="22" t="n">
        <x:v>974</x:v>
      </x:c>
      <x:c r="N277" s="22" t="n">
        <x:v>1755</x:v>
      </x:c>
      <x:c r="O277" s="22" t="n">
        <x:v>788</x:v>
      </x:c>
      <x:c r="P277" s="22" t="n">
        <x:v>1442</x:v>
      </x:c>
      <x:c r="Q277" s="22" t="n">
        <x:v>1490</x:v>
      </x:c>
      <x:c r="R277" s="22" t="n">
        <x:v>1441</x:v>
      </x:c>
      <x:c r="S277" s="22" t="n">
        <x:v>1441</x:v>
      </x:c>
      <x:c r="T277" s="22" t="n">
        <x:v>1.2300000000000004</x:v>
      </x:c>
      <x:c r="U277" s="22" t="n">
        <x:v>16</x:v>
      </x:c>
      <x:c r="V277" s="22" t="n">
        <x:v>602</x:v>
      </x:c>
      <x:c r="W277" s="22" t="n">
        <x:v>254</x:v>
      </x:c>
      <x:c r="X277" s="22" t="n">
        <x:v>25</x:v>
      </x:c>
      <x:c r="Y277" s="22" t="n">
        <x:v>628</x:v>
      </x:c>
      <x:c r="Z277" s="22" t="n">
        <x:v>4</x:v>
      </x:c>
      <x:c r="AA277" s="22" t="n">
        <x:v>568</x:v>
      </x:c>
      <x:c r="AB277" s="22" t="n">
        <x:v>0</x:v>
      </x:c>
      <x:c r="AC277" s="22" t="n">
        <x:v>0</x:v>
      </x:c>
      <x:c r="AD277" s="22" t="n">
        <x:v>38</x:v>
      </x:c>
      <x:c r="AE277" s="22" t="n">
        <x:v>13</x:v>
      </x:c>
      <x:c r="AF277" s="22" t="n">
        <x:v>91</x:v>
      </x:c>
      <x:c r="AG277" s="22" t="n">
        <x:v>7</x:v>
      </x:c>
      <x:c r="AH277" s="22" t="n">
        <x:v>8</x:v>
      </x:c>
      <x:c r="AI277" s="22" t="n">
        <x:v>37</x:v>
      </x:c>
      <x:c r="AJ277" s="22" t="n">
        <x:v>10</x:v>
      </x:c>
      <x:c r="AK277" s="22" t="n">
        <x:v>8</x:v>
      </x:c>
      <x:c r="AL277" s="22" t="n">
        <x:v>982</x:v>
      </x:c>
      <x:c r="AM277" s="22" t="n">
        <x:v>67</x:v>
      </x:c>
      <x:c r="AN277" s="22" t="n">
        <x:v>13</x:v>
      </x:c>
      <x:c r="AO277" s="22" t="n">
        <x:v>7</x:v>
      </x:c>
      <x:c r="AP277" s="22" t="n">
        <x:v>5150</x:v>
      </x:c>
      <x:c r="AQ277" s="22" t="n">
        <x:v>20</x:v>
      </x:c>
      <x:c r="AR277" s="22" t="n">
        <x:v>0</x:v>
      </x:c>
      <x:c r="AS277" s="22" t="n">
        <x:v>10</x:v>
      </x:c>
      <x:c r="AT277" s="22" t="n">
        <x:v>10</x:v>
      </x:c>
      <x:c r="AU277" s="22" t="n">
        <x:v>0</x:v>
      </x:c>
      <x:c r="AV277" s="22" t="n">
        <x:v>39</x:v>
      </x:c>
      <x:c r="AW277" s="22" t="n">
        <x:v>0</x:v>
      </x:c>
    </x:row>
    <x:row r="278" ht="24" customHeight="1">
      <x:c r="A278" s="22" t="str">
        <x:v>P0274</x:v>
      </x:c>
      <x:c r="B278" s="22" t="n">
        <x:v>9</x:v>
      </x:c>
      <x:c r="C278" s="22" t="n">
        <x:v>2</x:v>
      </x:c>
      <x:c r="D278" s="22" t="str">
        <x:v>C09G02普通专属4/6</x:v>
      </x:c>
      <x:c r="E278" s="22" t="n">
        <x:v>88741</x:v>
      </x:c>
      <x:c r="F278" s="22" t="n">
        <x:v>95282</x:v>
      </x:c>
      <x:c r="G278" s="22" t="n">
        <x:v>85725</x:v>
      </x:c>
      <x:c r="H278" s="22" t="n">
        <x:v>92236</x:v>
      </x:c>
      <x:c r="I278" s="22" t="n">
        <x:v>85780</x:v>
      </x:c>
      <x:c r="J278" s="22" t="n">
        <x:v>92291</x:v>
      </x:c>
      <x:c r="K278" s="22" t="n">
        <x:v>11748900</x:v>
      </x:c>
      <x:c r="L278" s="22" t="n">
        <x:v>3201000</x:v>
      </x:c>
      <x:c r="M278" s="22" t="n">
        <x:v>978</x:v>
      </x:c>
      <x:c r="N278" s="22" t="n">
        <x:v>1762</x:v>
      </x:c>
      <x:c r="O278" s="22" t="n">
        <x:v>791</x:v>
      </x:c>
      <x:c r="P278" s="22" t="n">
        <x:v>1448</x:v>
      </x:c>
      <x:c r="Q278" s="22" t="n">
        <x:v>1493</x:v>
      </x:c>
      <x:c r="R278" s="22" t="n">
        <x:v>1444</x:v>
      </x:c>
      <x:c r="S278" s="22" t="n">
        <x:v>1444</x:v>
      </x:c>
      <x:c r="T278" s="22" t="n">
        <x:v>1.2300000000000004</x:v>
      </x:c>
      <x:c r="U278" s="22" t="n">
        <x:v>16</x:v>
      </x:c>
      <x:c r="V278" s="22" t="n">
        <x:v>602</x:v>
      </x:c>
      <x:c r="W278" s="22" t="n">
        <x:v>254</x:v>
      </x:c>
      <x:c r="X278" s="22" t="n">
        <x:v>25</x:v>
      </x:c>
      <x:c r="Y278" s="22" t="n">
        <x:v>628</x:v>
      </x:c>
      <x:c r="Z278" s="22" t="n">
        <x:v>4</x:v>
      </x:c>
      <x:c r="AA278" s="22" t="n">
        <x:v>568</x:v>
      </x:c>
      <x:c r="AB278" s="22" t="n">
        <x:v>0</x:v>
      </x:c>
      <x:c r="AC278" s="22" t="n">
        <x:v>0</x:v>
      </x:c>
      <x:c r="AD278" s="22" t="n">
        <x:v>38</x:v>
      </x:c>
      <x:c r="AE278" s="22" t="n">
        <x:v>13</x:v>
      </x:c>
      <x:c r="AF278" s="22" t="n">
        <x:v>91</x:v>
      </x:c>
      <x:c r="AG278" s="22" t="n">
        <x:v>7</x:v>
      </x:c>
      <x:c r="AH278" s="22" t="n">
        <x:v>8</x:v>
      </x:c>
      <x:c r="AI278" s="22" t="n">
        <x:v>37</x:v>
      </x:c>
      <x:c r="AJ278" s="22" t="n">
        <x:v>10</x:v>
      </x:c>
      <x:c r="AK278" s="22" t="n">
        <x:v>8</x:v>
      </x:c>
      <x:c r="AL278" s="22" t="n">
        <x:v>982</x:v>
      </x:c>
      <x:c r="AM278" s="22" t="n">
        <x:v>67</x:v>
      </x:c>
      <x:c r="AN278" s="22" t="n">
        <x:v>13</x:v>
      </x:c>
      <x:c r="AO278" s="22" t="n">
        <x:v>7</x:v>
      </x:c>
      <x:c r="AP278" s="22" t="n">
        <x:v>5150</x:v>
      </x:c>
      <x:c r="AQ278" s="22" t="n">
        <x:v>20</x:v>
      </x:c>
      <x:c r="AR278" s="22" t="n">
        <x:v>0</x:v>
      </x:c>
      <x:c r="AS278" s="22" t="n">
        <x:v>10</x:v>
      </x:c>
      <x:c r="AT278" s="22" t="n">
        <x:v>10</x:v>
      </x:c>
      <x:c r="AU278" s="22" t="n">
        <x:v>0</x:v>
      </x:c>
      <x:c r="AV278" s="22" t="n">
        <x:v>39</x:v>
      </x:c>
      <x:c r="AW278" s="22" t="n">
        <x:v>0</x:v>
      </x:c>
    </x:row>
    <x:row r="279" ht="24" customHeight="1">
      <x:c r="A279" s="22" t="str">
        <x:v>P0275</x:v>
      </x:c>
      <x:c r="B279" s="22" t="n">
        <x:v>9</x:v>
      </x:c>
      <x:c r="C279" s="22" t="n">
        <x:v>2</x:v>
      </x:c>
      <x:c r="D279" s="22" t="str">
        <x:v>深井断索王·布洛克挑战前</x:v>
      </x:c>
      <x:c r="E279" s="22" t="n">
        <x:v>89641</x:v>
      </x:c>
      <x:c r="F279" s="22" t="n">
        <x:v>96185</x:v>
      </x:c>
      <x:c r="G279" s="22" t="n">
        <x:v>86623</x:v>
      </x:c>
      <x:c r="H279" s="22" t="n">
        <x:v>93134</x:v>
      </x:c>
      <x:c r="I279" s="22" t="n">
        <x:v>86678</x:v>
      </x:c>
      <x:c r="J279" s="22" t="n">
        <x:v>93189</x:v>
      </x:c>
      <x:c r="K279" s="22" t="n">
        <x:v>11839100</x:v>
      </x:c>
      <x:c r="L279" s="22" t="n">
        <x:v>3201100</x:v>
      </x:c>
      <x:c r="M279" s="22" t="n">
        <x:v>978</x:v>
      </x:c>
      <x:c r="N279" s="22" t="n">
        <x:v>1762</x:v>
      </x:c>
      <x:c r="O279" s="22" t="n">
        <x:v>791</x:v>
      </x:c>
      <x:c r="P279" s="22" t="n">
        <x:v>1448</x:v>
      </x:c>
      <x:c r="Q279" s="22" t="n">
        <x:v>1493</x:v>
      </x:c>
      <x:c r="R279" s="22" t="n">
        <x:v>1444</x:v>
      </x:c>
      <x:c r="S279" s="22" t="n">
        <x:v>1444</x:v>
      </x:c>
      <x:c r="T279" s="22" t="n">
        <x:v>1.2300000000000004</x:v>
      </x:c>
      <x:c r="U279" s="22" t="n">
        <x:v>16</x:v>
      </x:c>
      <x:c r="V279" s="22" t="n">
        <x:v>602</x:v>
      </x:c>
      <x:c r="W279" s="22" t="n">
        <x:v>254</x:v>
      </x:c>
      <x:c r="X279" s="22" t="n">
        <x:v>25</x:v>
      </x:c>
      <x:c r="Y279" s="22" t="n">
        <x:v>628</x:v>
      </x:c>
      <x:c r="Z279" s="22" t="n">
        <x:v>4</x:v>
      </x:c>
      <x:c r="AA279" s="22" t="n">
        <x:v>568</x:v>
      </x:c>
      <x:c r="AB279" s="22" t="n">
        <x:v>0</x:v>
      </x:c>
      <x:c r="AC279" s="22" t="n">
        <x:v>0</x:v>
      </x:c>
      <x:c r="AD279" s="22" t="n">
        <x:v>38</x:v>
      </x:c>
      <x:c r="AE279" s="22" t="n">
        <x:v>13</x:v>
      </x:c>
      <x:c r="AF279" s="22" t="n">
        <x:v>91</x:v>
      </x:c>
      <x:c r="AG279" s="22" t="n">
        <x:v>7</x:v>
      </x:c>
      <x:c r="AH279" s="22" t="n">
        <x:v>8</x:v>
      </x:c>
      <x:c r="AI279" s="22" t="n">
        <x:v>37</x:v>
      </x:c>
      <x:c r="AJ279" s="22" t="n">
        <x:v>10</x:v>
      </x:c>
      <x:c r="AK279" s="22" t="n">
        <x:v>8</x:v>
      </x:c>
      <x:c r="AL279" s="22" t="n">
        <x:v>982</x:v>
      </x:c>
      <x:c r="AM279" s="22" t="n">
        <x:v>67</x:v>
      </x:c>
      <x:c r="AN279" s="22" t="n">
        <x:v>13</x:v>
      </x:c>
      <x:c r="AO279" s="22" t="n">
        <x:v>7</x:v>
      </x:c>
      <x:c r="AP279" s="22" t="n">
        <x:v>5150</x:v>
      </x:c>
      <x:c r="AQ279" s="22" t="n">
        <x:v>20</x:v>
      </x:c>
      <x:c r="AR279" s="22" t="n">
        <x:v>0</x:v>
      </x:c>
      <x:c r="AS279" s="22" t="n">
        <x:v>10</x:v>
      </x:c>
      <x:c r="AT279" s="22" t="n">
        <x:v>10</x:v>
      </x:c>
      <x:c r="AU279" s="22" t="n">
        <x:v>0</x:v>
      </x:c>
      <x:c r="AV279" s="22" t="n">
        <x:v>39</x:v>
      </x:c>
      <x:c r="AW279" s="22" t="n">
        <x:v>0</x:v>
      </x:c>
    </x:row>
    <x:row r="280" ht="24" customHeight="1">
      <x:c r="A280" s="22" t="str">
        <x:v>P0276</x:v>
      </x:c>
      <x:c r="B280" s="22" t="n">
        <x:v>9</x:v>
      </x:c>
      <x:c r="C280" s="22" t="n">
        <x:v>2</x:v>
      </x:c>
      <x:c r="D280" s="22" t="str">
        <x:v>矿心鎏金母·奥莉莎挑战前</x:v>
      </x:c>
      <x:c r="E280" s="22" t="n">
        <x:v>89641</x:v>
      </x:c>
      <x:c r="F280" s="22" t="n">
        <x:v>96185</x:v>
      </x:c>
      <x:c r="G280" s="22" t="n">
        <x:v>86623</x:v>
      </x:c>
      <x:c r="H280" s="22" t="n">
        <x:v>93134</x:v>
      </x:c>
      <x:c r="I280" s="22" t="n">
        <x:v>86678</x:v>
      </x:c>
      <x:c r="J280" s="22" t="n">
        <x:v>93189</x:v>
      </x:c>
      <x:c r="K280" s="22" t="n">
        <x:v>11839100</x:v>
      </x:c>
      <x:c r="L280" s="22" t="n">
        <x:v>3201100</x:v>
      </x:c>
      <x:c r="M280" s="22" t="n">
        <x:v>978</x:v>
      </x:c>
      <x:c r="N280" s="22" t="n">
        <x:v>1762</x:v>
      </x:c>
      <x:c r="O280" s="22" t="n">
        <x:v>791</x:v>
      </x:c>
      <x:c r="P280" s="22" t="n">
        <x:v>1448</x:v>
      </x:c>
      <x:c r="Q280" s="22" t="n">
        <x:v>1493</x:v>
      </x:c>
      <x:c r="R280" s="22" t="n">
        <x:v>1444</x:v>
      </x:c>
      <x:c r="S280" s="22" t="n">
        <x:v>1444</x:v>
      </x:c>
      <x:c r="T280" s="22" t="n">
        <x:v>1.2300000000000004</x:v>
      </x:c>
      <x:c r="U280" s="22" t="n">
        <x:v>16</x:v>
      </x:c>
      <x:c r="V280" s="22" t="n">
        <x:v>602</x:v>
      </x:c>
      <x:c r="W280" s="22" t="n">
        <x:v>254</x:v>
      </x:c>
      <x:c r="X280" s="22" t="n">
        <x:v>25</x:v>
      </x:c>
      <x:c r="Y280" s="22" t="n">
        <x:v>628</x:v>
      </x:c>
      <x:c r="Z280" s="22" t="n">
        <x:v>4</x:v>
      </x:c>
      <x:c r="AA280" s="22" t="n">
        <x:v>568</x:v>
      </x:c>
      <x:c r="AB280" s="22" t="n">
        <x:v>0</x:v>
      </x:c>
      <x:c r="AC280" s="22" t="n">
        <x:v>0</x:v>
      </x:c>
      <x:c r="AD280" s="22" t="n">
        <x:v>38</x:v>
      </x:c>
      <x:c r="AE280" s="22" t="n">
        <x:v>13</x:v>
      </x:c>
      <x:c r="AF280" s="22" t="n">
        <x:v>91</x:v>
      </x:c>
      <x:c r="AG280" s="22" t="n">
        <x:v>7</x:v>
      </x:c>
      <x:c r="AH280" s="22" t="n">
        <x:v>8</x:v>
      </x:c>
      <x:c r="AI280" s="22" t="n">
        <x:v>37</x:v>
      </x:c>
      <x:c r="AJ280" s="22" t="n">
        <x:v>10</x:v>
      </x:c>
      <x:c r="AK280" s="22" t="n">
        <x:v>8</x:v>
      </x:c>
      <x:c r="AL280" s="22" t="n">
        <x:v>982</x:v>
      </x:c>
      <x:c r="AM280" s="22" t="n">
        <x:v>67</x:v>
      </x:c>
      <x:c r="AN280" s="22" t="n">
        <x:v>13</x:v>
      </x:c>
      <x:c r="AO280" s="22" t="n">
        <x:v>7</x:v>
      </x:c>
      <x:c r="AP280" s="22" t="n">
        <x:v>5150</x:v>
      </x:c>
      <x:c r="AQ280" s="22" t="n">
        <x:v>20</x:v>
      </x:c>
      <x:c r="AR280" s="22" t="n">
        <x:v>0</x:v>
      </x:c>
      <x:c r="AS280" s="22" t="n">
        <x:v>10</x:v>
      </x:c>
      <x:c r="AT280" s="22" t="n">
        <x:v>10</x:v>
      </x:c>
      <x:c r="AU280" s="22" t="n">
        <x:v>0</x:v>
      </x:c>
      <x:c r="AV280" s="22" t="n">
        <x:v>39</x:v>
      </x:c>
      <x:c r="AW280" s="22" t="n">
        <x:v>0</x:v>
      </x:c>
    </x:row>
    <x:row r="281" ht="24" customHeight="1">
      <x:c r="A281" s="22" t="str">
        <x:v>P0277</x:v>
      </x:c>
      <x:c r="B281" s="22" t="n">
        <x:v>9</x:v>
      </x:c>
      <x:c r="C281" s="22" t="n">
        <x:v>2</x:v>
      </x:c>
      <x:c r="D281" s="22" t="str">
        <x:v>高原矿脉BOSS装备快线</x:v>
      </x:c>
      <x:c r="E281" s="22" t="n">
        <x:v>89866</x:v>
      </x:c>
      <x:c r="F281" s="22" t="n">
        <x:v>96635</x:v>
      </x:c>
      <x:c r="G281" s="22" t="n">
        <x:v>86848</x:v>
      </x:c>
      <x:c r="H281" s="22" t="n">
        <x:v>93584</x:v>
      </x:c>
      <x:c r="I281" s="22" t="n">
        <x:v>86903</x:v>
      </x:c>
      <x:c r="J281" s="22" t="n">
        <x:v>93639</x:v>
      </x:c>
      <x:c r="K281" s="22" t="n">
        <x:v>11936700</x:v>
      </x:c>
      <x:c r="L281" s="22" t="n">
        <x:v>3201100</x:v>
      </x:c>
      <x:c r="M281" s="22" t="n">
        <x:v>978</x:v>
      </x:c>
      <x:c r="N281" s="22" t="n">
        <x:v>1762</x:v>
      </x:c>
      <x:c r="O281" s="22" t="n">
        <x:v>791</x:v>
      </x:c>
      <x:c r="P281" s="22" t="n">
        <x:v>1448</x:v>
      </x:c>
      <x:c r="Q281" s="22" t="n">
        <x:v>1529</x:v>
      </x:c>
      <x:c r="R281" s="22" t="n">
        <x:v>1480</x:v>
      </x:c>
      <x:c r="S281" s="22" t="n">
        <x:v>1480</x:v>
      </x:c>
      <x:c r="T281" s="22" t="n">
        <x:v>1.2300000000000004</x:v>
      </x:c>
      <x:c r="U281" s="22" t="n">
        <x:v>16</x:v>
      </x:c>
      <x:c r="V281" s="22" t="n">
        <x:v>618</x:v>
      </x:c>
      <x:c r="W281" s="22" t="n">
        <x:v>263</x:v>
      </x:c>
      <x:c r="X281" s="22" t="n">
        <x:v>25</x:v>
      </x:c>
      <x:c r="Y281" s="22" t="n">
        <x:v>628</x:v>
      </x:c>
      <x:c r="Z281" s="22" t="n">
        <x:v>4</x:v>
      </x:c>
      <x:c r="AA281" s="22" t="n">
        <x:v>598</x:v>
      </x:c>
      <x:c r="AB281" s="22" t="n">
        <x:v>0</x:v>
      </x:c>
      <x:c r="AC281" s="22" t="n">
        <x:v>0</x:v>
      </x:c>
      <x:c r="AD281" s="22" t="n">
        <x:v>38</x:v>
      </x:c>
      <x:c r="AE281" s="22" t="n">
        <x:v>13</x:v>
      </x:c>
      <x:c r="AF281" s="22" t="n">
        <x:v>91</x:v>
      </x:c>
      <x:c r="AG281" s="22" t="n">
        <x:v>7</x:v>
      </x:c>
      <x:c r="AH281" s="22" t="n">
        <x:v>8</x:v>
      </x:c>
      <x:c r="AI281" s="22" t="n">
        <x:v>37</x:v>
      </x:c>
      <x:c r="AJ281" s="22" t="n">
        <x:v>10</x:v>
      </x:c>
      <x:c r="AK281" s="22" t="n">
        <x:v>8</x:v>
      </x:c>
      <x:c r="AL281" s="22" t="n">
        <x:v>982</x:v>
      </x:c>
      <x:c r="AM281" s="22" t="n">
        <x:v>67</x:v>
      </x:c>
      <x:c r="AN281" s="22" t="n">
        <x:v>13</x:v>
      </x:c>
      <x:c r="AO281" s="22" t="n">
        <x:v>7</x:v>
      </x:c>
      <x:c r="AP281" s="22" t="n">
        <x:v>5150</x:v>
      </x:c>
      <x:c r="AQ281" s="22" t="n">
        <x:v>20</x:v>
      </x:c>
      <x:c r="AR281" s="22" t="n">
        <x:v>0</x:v>
      </x:c>
      <x:c r="AS281" s="22" t="n">
        <x:v>10</x:v>
      </x:c>
      <x:c r="AT281" s="22" t="n">
        <x:v>10</x:v>
      </x:c>
      <x:c r="AU281" s="22" t="n">
        <x:v>0</x:v>
      </x:c>
      <x:c r="AV281" s="22" t="n">
        <x:v>39</x:v>
      </x:c>
      <x:c r="AW281" s="22" t="n">
        <x:v>0</x:v>
      </x:c>
    </x:row>
    <x:row r="282" ht="24" customHeight="1">
      <x:c r="A282" s="22" t="str">
        <x:v>P0278</x:v>
      </x:c>
      <x:c r="B282" s="22" t="n">
        <x:v>9</x:v>
      </x:c>
      <x:c r="C282" s="22" t="n">
        <x:v>2</x:v>
      </x:c>
      <x:c r="D282" s="22" t="str">
        <x:v>高原矿脉阶段积累后</x:v>
      </x:c>
      <x:c r="E282" s="22" t="n">
        <x:v>89791</x:v>
      </x:c>
      <x:c r="F282" s="22" t="n">
        <x:v>96335</x:v>
      </x:c>
      <x:c r="G282" s="22" t="n">
        <x:v>86773</x:v>
      </x:c>
      <x:c r="H282" s="22" t="n">
        <x:v>93284</x:v>
      </x:c>
      <x:c r="I282" s="22" t="n">
        <x:v>86828</x:v>
      </x:c>
      <x:c r="J282" s="22" t="n">
        <x:v>93339</x:v>
      </x:c>
      <x:c r="K282" s="22" t="n">
        <x:v>11854100</x:v>
      </x:c>
      <x:c r="L282" s="22" t="n">
        <x:v>3201100</x:v>
      </x:c>
      <x:c r="M282" s="22" t="n">
        <x:v>978</x:v>
      </x:c>
      <x:c r="N282" s="22" t="n">
        <x:v>1762</x:v>
      </x:c>
      <x:c r="O282" s="22" t="n">
        <x:v>791</x:v>
      </x:c>
      <x:c r="P282" s="22" t="n">
        <x:v>1448</x:v>
      </x:c>
      <x:c r="Q282" s="22" t="n">
        <x:v>1493</x:v>
      </x:c>
      <x:c r="R282" s="22" t="n">
        <x:v>1444</x:v>
      </x:c>
      <x:c r="S282" s="22" t="n">
        <x:v>1444</x:v>
      </x:c>
      <x:c r="T282" s="22" t="n">
        <x:v>1.2300000000000004</x:v>
      </x:c>
      <x:c r="U282" s="22" t="n">
        <x:v>16</x:v>
      </x:c>
      <x:c r="V282" s="22" t="n">
        <x:v>602</x:v>
      </x:c>
      <x:c r="W282" s="22" t="n">
        <x:v>254</x:v>
      </x:c>
      <x:c r="X282" s="22" t="n">
        <x:v>25</x:v>
      </x:c>
      <x:c r="Y282" s="22" t="n">
        <x:v>628</x:v>
      </x:c>
      <x:c r="Z282" s="22" t="n">
        <x:v>4</x:v>
      </x:c>
      <x:c r="AA282" s="22" t="n">
        <x:v>568</x:v>
      </x:c>
      <x:c r="AB282" s="22" t="n">
        <x:v>0</x:v>
      </x:c>
      <x:c r="AC282" s="22" t="n">
        <x:v>0</x:v>
      </x:c>
      <x:c r="AD282" s="22" t="n">
        <x:v>38</x:v>
      </x:c>
      <x:c r="AE282" s="22" t="n">
        <x:v>13</x:v>
      </x:c>
      <x:c r="AF282" s="22" t="n">
        <x:v>91</x:v>
      </x:c>
      <x:c r="AG282" s="22" t="n">
        <x:v>7</x:v>
      </x:c>
      <x:c r="AH282" s="22" t="n">
        <x:v>8</x:v>
      </x:c>
      <x:c r="AI282" s="22" t="n">
        <x:v>37</x:v>
      </x:c>
      <x:c r="AJ282" s="22" t="n">
        <x:v>10</x:v>
      </x:c>
      <x:c r="AK282" s="22" t="n">
        <x:v>8</x:v>
      </x:c>
      <x:c r="AL282" s="22" t="n">
        <x:v>982</x:v>
      </x:c>
      <x:c r="AM282" s="22" t="n">
        <x:v>67</x:v>
      </x:c>
      <x:c r="AN282" s="22" t="n">
        <x:v>13</x:v>
      </x:c>
      <x:c r="AO282" s="22" t="n">
        <x:v>7</x:v>
      </x:c>
      <x:c r="AP282" s="22" t="n">
        <x:v>5150</x:v>
      </x:c>
      <x:c r="AQ282" s="22" t="n">
        <x:v>20</x:v>
      </x:c>
      <x:c r="AR282" s="22" t="n">
        <x:v>0</x:v>
      </x:c>
      <x:c r="AS282" s="22" t="n">
        <x:v>10</x:v>
      </x:c>
      <x:c r="AT282" s="22" t="n">
        <x:v>10</x:v>
      </x:c>
      <x:c r="AU282" s="22" t="n">
        <x:v>0</x:v>
      </x:c>
      <x:c r="AV282" s="22" t="n">
        <x:v>39</x:v>
      </x:c>
      <x:c r="AW282" s="22" t="n">
        <x:v>0</x:v>
      </x:c>
    </x:row>
    <x:row r="283" ht="24" customHeight="1">
      <x:c r="A283" s="22" t="str">
        <x:v>P0279</x:v>
      </x:c>
      <x:c r="B283" s="22" t="n">
        <x:v>9</x:v>
      </x:c>
      <x:c r="C283" s="22" t="n">
        <x:v>3</x:v>
      </x:c>
      <x:c r="D283" s="22" t="str">
        <x:v>C09G03入场</x:v>
      </x:c>
      <x:c r="E283" s="22" t="n">
        <x:v>89791</x:v>
      </x:c>
      <x:c r="F283" s="22" t="n">
        <x:v>96335</x:v>
      </x:c>
      <x:c r="G283" s="22" t="n">
        <x:v>86773</x:v>
      </x:c>
      <x:c r="H283" s="22" t="n">
        <x:v>93284</x:v>
      </x:c>
      <x:c r="I283" s="22" t="n">
        <x:v>86828</x:v>
      </x:c>
      <x:c r="J283" s="22" t="n">
        <x:v>93339</x:v>
      </x:c>
      <x:c r="K283" s="22" t="n">
        <x:v>11854100</x:v>
      </x:c>
      <x:c r="L283" s="22" t="n">
        <x:v>3201100</x:v>
      </x:c>
      <x:c r="M283" s="22" t="n">
        <x:v>978</x:v>
      </x:c>
      <x:c r="N283" s="22" t="n">
        <x:v>1762</x:v>
      </x:c>
      <x:c r="O283" s="22" t="n">
        <x:v>791</x:v>
      </x:c>
      <x:c r="P283" s="22" t="n">
        <x:v>1448</x:v>
      </x:c>
      <x:c r="Q283" s="22" t="n">
        <x:v>1493</x:v>
      </x:c>
      <x:c r="R283" s="22" t="n">
        <x:v>1444</x:v>
      </x:c>
      <x:c r="S283" s="22" t="n">
        <x:v>1444</x:v>
      </x:c>
      <x:c r="T283" s="22" t="n">
        <x:v>1.2300000000000004</x:v>
      </x:c>
      <x:c r="U283" s="22" t="n">
        <x:v>16</x:v>
      </x:c>
      <x:c r="V283" s="22" t="n">
        <x:v>602</x:v>
      </x:c>
      <x:c r="W283" s="22" t="n">
        <x:v>254</x:v>
      </x:c>
      <x:c r="X283" s="22" t="n">
        <x:v>25</x:v>
      </x:c>
      <x:c r="Y283" s="22" t="n">
        <x:v>628</x:v>
      </x:c>
      <x:c r="Z283" s="22" t="n">
        <x:v>4</x:v>
      </x:c>
      <x:c r="AA283" s="22" t="n">
        <x:v>568</x:v>
      </x:c>
      <x:c r="AB283" s="22" t="n">
        <x:v>0</x:v>
      </x:c>
      <x:c r="AC283" s="22" t="n">
        <x:v>0</x:v>
      </x:c>
      <x:c r="AD283" s="22" t="n">
        <x:v>38</x:v>
      </x:c>
      <x:c r="AE283" s="22" t="n">
        <x:v>13</x:v>
      </x:c>
      <x:c r="AF283" s="22" t="n">
        <x:v>91</x:v>
      </x:c>
      <x:c r="AG283" s="22" t="n">
        <x:v>7</x:v>
      </x:c>
      <x:c r="AH283" s="22" t="n">
        <x:v>8</x:v>
      </x:c>
      <x:c r="AI283" s="22" t="n">
        <x:v>37</x:v>
      </x:c>
      <x:c r="AJ283" s="22" t="n">
        <x:v>10</x:v>
      </x:c>
      <x:c r="AK283" s="22" t="n">
        <x:v>8</x:v>
      </x:c>
      <x:c r="AL283" s="22" t="n">
        <x:v>982</x:v>
      </x:c>
      <x:c r="AM283" s="22" t="n">
        <x:v>67</x:v>
      </x:c>
      <x:c r="AN283" s="22" t="n">
        <x:v>13</x:v>
      </x:c>
      <x:c r="AO283" s="22" t="n">
        <x:v>7</x:v>
      </x:c>
      <x:c r="AP283" s="22" t="n">
        <x:v>5150</x:v>
      </x:c>
      <x:c r="AQ283" s="22" t="n">
        <x:v>20</x:v>
      </x:c>
      <x:c r="AR283" s="22" t="n">
        <x:v>0</x:v>
      </x:c>
      <x:c r="AS283" s="22" t="n">
        <x:v>10</x:v>
      </x:c>
      <x:c r="AT283" s="22" t="n">
        <x:v>10</x:v>
      </x:c>
      <x:c r="AU283" s="22" t="n">
        <x:v>0</x:v>
      </x:c>
      <x:c r="AV283" s="22" t="n">
        <x:v>39</x:v>
      </x:c>
      <x:c r="AW283" s="22" t="n">
        <x:v>0</x:v>
      </x:c>
    </x:row>
    <x:row r="284" ht="24" customHeight="1">
      <x:c r="A284" s="22" t="str">
        <x:v>P0280</x:v>
      </x:c>
      <x:c r="B284" s="22" t="n">
        <x:v>9</x:v>
      </x:c>
      <x:c r="C284" s="22" t="n">
        <x:v>3</x:v>
      </x:c>
      <x:c r="D284" s="22" t="str">
        <x:v>C09G03普通专属4/6</x:v>
      </x:c>
      <x:c r="E284" s="22" t="n">
        <x:v>89791</x:v>
      </x:c>
      <x:c r="F284" s="22" t="n">
        <x:v>96335</x:v>
      </x:c>
      <x:c r="G284" s="22" t="n">
        <x:v>86773</x:v>
      </x:c>
      <x:c r="H284" s="22" t="n">
        <x:v>93284</x:v>
      </x:c>
      <x:c r="I284" s="22" t="n">
        <x:v>86828</x:v>
      </x:c>
      <x:c r="J284" s="22" t="n">
        <x:v>93339</x:v>
      </x:c>
      <x:c r="K284" s="22" t="n">
        <x:v>11854100</x:v>
      </x:c>
      <x:c r="L284" s="22" t="n">
        <x:v>3201100</x:v>
      </x:c>
      <x:c r="M284" s="22" t="n">
        <x:v>978</x:v>
      </x:c>
      <x:c r="N284" s="22" t="n">
        <x:v>1762</x:v>
      </x:c>
      <x:c r="O284" s="22" t="n">
        <x:v>791</x:v>
      </x:c>
      <x:c r="P284" s="22" t="n">
        <x:v>1448</x:v>
      </x:c>
      <x:c r="Q284" s="22" t="n">
        <x:v>1493</x:v>
      </x:c>
      <x:c r="R284" s="22" t="n">
        <x:v>1444</x:v>
      </x:c>
      <x:c r="S284" s="22" t="n">
        <x:v>1444</x:v>
      </x:c>
      <x:c r="T284" s="22" t="n">
        <x:v>1.2300000000000004</x:v>
      </x:c>
      <x:c r="U284" s="22" t="n">
        <x:v>16</x:v>
      </x:c>
      <x:c r="V284" s="22" t="n">
        <x:v>602</x:v>
      </x:c>
      <x:c r="W284" s="22" t="n">
        <x:v>254</x:v>
      </x:c>
      <x:c r="X284" s="22" t="n">
        <x:v>25</x:v>
      </x:c>
      <x:c r="Y284" s="22" t="n">
        <x:v>628</x:v>
      </x:c>
      <x:c r="Z284" s="22" t="n">
        <x:v>4</x:v>
      </x:c>
      <x:c r="AA284" s="22" t="n">
        <x:v>568</x:v>
      </x:c>
      <x:c r="AB284" s="22" t="n">
        <x:v>0</x:v>
      </x:c>
      <x:c r="AC284" s="22" t="n">
        <x:v>0</x:v>
      </x:c>
      <x:c r="AD284" s="22" t="n">
        <x:v>38</x:v>
      </x:c>
      <x:c r="AE284" s="22" t="n">
        <x:v>13</x:v>
      </x:c>
      <x:c r="AF284" s="22" t="n">
        <x:v>91</x:v>
      </x:c>
      <x:c r="AG284" s="22" t="n">
        <x:v>7</x:v>
      </x:c>
      <x:c r="AH284" s="22" t="n">
        <x:v>8</x:v>
      </x:c>
      <x:c r="AI284" s="22" t="n">
        <x:v>37</x:v>
      </x:c>
      <x:c r="AJ284" s="22" t="n">
        <x:v>10</x:v>
      </x:c>
      <x:c r="AK284" s="22" t="n">
        <x:v>8</x:v>
      </x:c>
      <x:c r="AL284" s="22" t="n">
        <x:v>982</x:v>
      </x:c>
      <x:c r="AM284" s="22" t="n">
        <x:v>67</x:v>
      </x:c>
      <x:c r="AN284" s="22" t="n">
        <x:v>13</x:v>
      </x:c>
      <x:c r="AO284" s="22" t="n">
        <x:v>7</x:v>
      </x:c>
      <x:c r="AP284" s="22" t="n">
        <x:v>5150</x:v>
      </x:c>
      <x:c r="AQ284" s="22" t="n">
        <x:v>20</x:v>
      </x:c>
      <x:c r="AR284" s="22" t="n">
        <x:v>0</x:v>
      </x:c>
      <x:c r="AS284" s="22" t="n">
        <x:v>10</x:v>
      </x:c>
      <x:c r="AT284" s="22" t="n">
        <x:v>10</x:v>
      </x:c>
      <x:c r="AU284" s="22" t="n">
        <x:v>0</x:v>
      </x:c>
      <x:c r="AV284" s="22" t="n">
        <x:v>39</x:v>
      </x:c>
      <x:c r="AW284" s="22" t="n">
        <x:v>0</x:v>
      </x:c>
    </x:row>
    <x:row r="285" ht="24" customHeight="1">
      <x:c r="A285" s="22" t="str">
        <x:v>P0281</x:v>
      </x:c>
      <x:c r="B285" s="22" t="n">
        <x:v>9</x:v>
      </x:c>
      <x:c r="C285" s="22" t="n">
        <x:v>3</x:v>
      </x:c>
      <x:c r="D285" s="22" t="str">
        <x:v>封棺执政·梅尔顿挑战前</x:v>
      </x:c>
      <x:c r="E285" s="22" t="n">
        <x:v>118705</x:v>
      </x:c>
      <x:c r="F285" s="22" t="n">
        <x:v>125249</x:v>
      </x:c>
      <x:c r="G285" s="22" t="n">
        <x:v>115687</x:v>
      </x:c>
      <x:c r="H285" s="22" t="n">
        <x:v>122198</x:v>
      </x:c>
      <x:c r="I285" s="22" t="n">
        <x:v>115742</x:v>
      </x:c>
      <x:c r="J285" s="22" t="n">
        <x:v>122253</x:v>
      </x:c>
      <x:c r="K285" s="22" t="n">
        <x:v>14745500</x:v>
      </x:c>
      <x:c r="L285" s="22" t="n">
        <x:v>6001100</x:v>
      </x:c>
      <x:c r="M285" s="22" t="n">
        <x:v>978</x:v>
      </x:c>
      <x:c r="N285" s="22" t="n">
        <x:v>1762</x:v>
      </x:c>
      <x:c r="O285" s="22" t="n">
        <x:v>791</x:v>
      </x:c>
      <x:c r="P285" s="22" t="n">
        <x:v>1448</x:v>
      </x:c>
      <x:c r="Q285" s="22" t="n">
        <x:v>1493</x:v>
      </x:c>
      <x:c r="R285" s="22" t="n">
        <x:v>1444</x:v>
      </x:c>
      <x:c r="S285" s="22" t="n">
        <x:v>1444</x:v>
      </x:c>
      <x:c r="T285" s="22" t="n">
        <x:v>1.2300000000000004</x:v>
      </x:c>
      <x:c r="U285" s="22" t="n">
        <x:v>16</x:v>
      </x:c>
      <x:c r="V285" s="22" t="n">
        <x:v>602</x:v>
      </x:c>
      <x:c r="W285" s="22" t="n">
        <x:v>254</x:v>
      </x:c>
      <x:c r="X285" s="22" t="n">
        <x:v>25</x:v>
      </x:c>
      <x:c r="Y285" s="22" t="n">
        <x:v>628</x:v>
      </x:c>
      <x:c r="Z285" s="22" t="n">
        <x:v>4</x:v>
      </x:c>
      <x:c r="AA285" s="22" t="n">
        <x:v>568</x:v>
      </x:c>
      <x:c r="AB285" s="22" t="n">
        <x:v>0</x:v>
      </x:c>
      <x:c r="AC285" s="22" t="n">
        <x:v>0</x:v>
      </x:c>
      <x:c r="AD285" s="22" t="n">
        <x:v>38</x:v>
      </x:c>
      <x:c r="AE285" s="22" t="n">
        <x:v>13</x:v>
      </x:c>
      <x:c r="AF285" s="22" t="n">
        <x:v>91</x:v>
      </x:c>
      <x:c r="AG285" s="22" t="n">
        <x:v>7</x:v>
      </x:c>
      <x:c r="AH285" s="22" t="n">
        <x:v>8</x:v>
      </x:c>
      <x:c r="AI285" s="22" t="n">
        <x:v>37</x:v>
      </x:c>
      <x:c r="AJ285" s="22" t="n">
        <x:v>10</x:v>
      </x:c>
      <x:c r="AK285" s="22" t="n">
        <x:v>8</x:v>
      </x:c>
      <x:c r="AL285" s="22" t="n">
        <x:v>982</x:v>
      </x:c>
      <x:c r="AM285" s="22" t="n">
        <x:v>67</x:v>
      </x:c>
      <x:c r="AN285" s="22" t="n">
        <x:v>13</x:v>
      </x:c>
      <x:c r="AO285" s="22" t="n">
        <x:v>7</x:v>
      </x:c>
      <x:c r="AP285" s="22" t="n">
        <x:v>6350</x:v>
      </x:c>
      <x:c r="AQ285" s="22" t="n">
        <x:v>20</x:v>
      </x:c>
      <x:c r="AR285" s="22" t="n">
        <x:v>0</x:v>
      </x:c>
      <x:c r="AS285" s="22" t="n">
        <x:v>10</x:v>
      </x:c>
      <x:c r="AT285" s="22" t="n">
        <x:v>10</x:v>
      </x:c>
      <x:c r="AU285" s="22" t="n">
        <x:v>0</x:v>
      </x:c>
      <x:c r="AV285" s="22" t="n">
        <x:v>39</x:v>
      </x:c>
      <x:c r="AW285" s="22" t="n">
        <x:v>0</x:v>
      </x:c>
    </x:row>
    <x:row r="286" ht="24" customHeight="1">
      <x:c r="A286" s="22" t="str">
        <x:v>P0282</x:v>
      </x:c>
      <x:c r="B286" s="22" t="n">
        <x:v>9</x:v>
      </x:c>
      <x:c r="C286" s="22" t="n">
        <x:v>3</x:v>
      </x:c>
      <x:c r="D286" s="22" t="str">
        <x:v>不醒古王·奥瑞昂挑战前</x:v>
      </x:c>
      <x:c r="E286" s="22" t="n">
        <x:v>118705</x:v>
      </x:c>
      <x:c r="F286" s="22" t="n">
        <x:v>125249</x:v>
      </x:c>
      <x:c r="G286" s="22" t="n">
        <x:v>115687</x:v>
      </x:c>
      <x:c r="H286" s="22" t="n">
        <x:v>122198</x:v>
      </x:c>
      <x:c r="I286" s="22" t="n">
        <x:v>115742</x:v>
      </x:c>
      <x:c r="J286" s="22" t="n">
        <x:v>122253</x:v>
      </x:c>
      <x:c r="K286" s="22" t="n">
        <x:v>14745500</x:v>
      </x:c>
      <x:c r="L286" s="22" t="n">
        <x:v>6001100</x:v>
      </x:c>
      <x:c r="M286" s="22" t="n">
        <x:v>978</x:v>
      </x:c>
      <x:c r="N286" s="22" t="n">
        <x:v>1762</x:v>
      </x:c>
      <x:c r="O286" s="22" t="n">
        <x:v>791</x:v>
      </x:c>
      <x:c r="P286" s="22" t="n">
        <x:v>1448</x:v>
      </x:c>
      <x:c r="Q286" s="22" t="n">
        <x:v>1493</x:v>
      </x:c>
      <x:c r="R286" s="22" t="n">
        <x:v>1444</x:v>
      </x:c>
      <x:c r="S286" s="22" t="n">
        <x:v>1444</x:v>
      </x:c>
      <x:c r="T286" s="22" t="n">
        <x:v>1.2300000000000004</x:v>
      </x:c>
      <x:c r="U286" s="22" t="n">
        <x:v>16</x:v>
      </x:c>
      <x:c r="V286" s="22" t="n">
        <x:v>602</x:v>
      </x:c>
      <x:c r="W286" s="22" t="n">
        <x:v>254</x:v>
      </x:c>
      <x:c r="X286" s="22" t="n">
        <x:v>25</x:v>
      </x:c>
      <x:c r="Y286" s="22" t="n">
        <x:v>628</x:v>
      </x:c>
      <x:c r="Z286" s="22" t="n">
        <x:v>4</x:v>
      </x:c>
      <x:c r="AA286" s="22" t="n">
        <x:v>568</x:v>
      </x:c>
      <x:c r="AB286" s="22" t="n">
        <x:v>0</x:v>
      </x:c>
      <x:c r="AC286" s="22" t="n">
        <x:v>0</x:v>
      </x:c>
      <x:c r="AD286" s="22" t="n">
        <x:v>38</x:v>
      </x:c>
      <x:c r="AE286" s="22" t="n">
        <x:v>13</x:v>
      </x:c>
      <x:c r="AF286" s="22" t="n">
        <x:v>91</x:v>
      </x:c>
      <x:c r="AG286" s="22" t="n">
        <x:v>7</x:v>
      </x:c>
      <x:c r="AH286" s="22" t="n">
        <x:v>8</x:v>
      </x:c>
      <x:c r="AI286" s="22" t="n">
        <x:v>37</x:v>
      </x:c>
      <x:c r="AJ286" s="22" t="n">
        <x:v>10</x:v>
      </x:c>
      <x:c r="AK286" s="22" t="n">
        <x:v>8</x:v>
      </x:c>
      <x:c r="AL286" s="22" t="n">
        <x:v>982</x:v>
      </x:c>
      <x:c r="AM286" s="22" t="n">
        <x:v>67</x:v>
      </x:c>
      <x:c r="AN286" s="22" t="n">
        <x:v>13</x:v>
      </x:c>
      <x:c r="AO286" s="22" t="n">
        <x:v>7</x:v>
      </x:c>
      <x:c r="AP286" s="22" t="n">
        <x:v>6350</x:v>
      </x:c>
      <x:c r="AQ286" s="22" t="n">
        <x:v>20</x:v>
      </x:c>
      <x:c r="AR286" s="22" t="n">
        <x:v>0</x:v>
      </x:c>
      <x:c r="AS286" s="22" t="n">
        <x:v>10</x:v>
      </x:c>
      <x:c r="AT286" s="22" t="n">
        <x:v>10</x:v>
      </x:c>
      <x:c r="AU286" s="22" t="n">
        <x:v>0</x:v>
      </x:c>
      <x:c r="AV286" s="22" t="n">
        <x:v>39</x:v>
      </x:c>
      <x:c r="AW286" s="22" t="n">
        <x:v>0</x:v>
      </x:c>
    </x:row>
    <x:row r="287" ht="24" customHeight="1">
      <x:c r="A287" s="22" t="str">
        <x:v>P0283</x:v>
      </x:c>
      <x:c r="B287" s="22" t="n">
        <x:v>9</x:v>
      </x:c>
      <x:c r="C287" s="22" t="n">
        <x:v>3</x:v>
      </x:c>
      <x:c r="D287" s="22" t="str">
        <x:v>古王陵园BOSS装备快线</x:v>
      </x:c>
      <x:c r="E287" s="22" t="n">
        <x:v>119115</x:v>
      </x:c>
      <x:c r="F287" s="22" t="n">
        <x:v>126069</x:v>
      </x:c>
      <x:c r="G287" s="22" t="n">
        <x:v>116097</x:v>
      </x:c>
      <x:c r="H287" s="22" t="n">
        <x:v>123018</x:v>
      </x:c>
      <x:c r="I287" s="22" t="n">
        <x:v>116152</x:v>
      </x:c>
      <x:c r="J287" s="22" t="n">
        <x:v>123073</x:v>
      </x:c>
      <x:c r="K287" s="22" t="n">
        <x:v>14926700</x:v>
      </x:c>
      <x:c r="L287" s="22" t="n">
        <x:v>6001100</x:v>
      </x:c>
      <x:c r="M287" s="22" t="n">
        <x:v>1086</x:v>
      </x:c>
      <x:c r="N287" s="22" t="n">
        <x:v>1956</x:v>
      </x:c>
      <x:c r="O287" s="22" t="n">
        <x:v>879</x:v>
      </x:c>
      <x:c r="P287" s="22" t="n">
        <x:v>1608</x:v>
      </x:c>
      <x:c r="Q287" s="22" t="n">
        <x:v>1565</x:v>
      </x:c>
      <x:c r="R287" s="22" t="n">
        <x:v>1516</x:v>
      </x:c>
      <x:c r="S287" s="22" t="n">
        <x:v>1516</x:v>
      </x:c>
      <x:c r="T287" s="22" t="n">
        <x:v>1.2300000000000004</x:v>
      </x:c>
      <x:c r="U287" s="22" t="n">
        <x:v>16</x:v>
      </x:c>
      <x:c r="V287" s="22" t="n">
        <x:v>634</x:v>
      </x:c>
      <x:c r="W287" s="22" t="n">
        <x:v>272</x:v>
      </x:c>
      <x:c r="X287" s="22" t="n">
        <x:v>25</x:v>
      </x:c>
      <x:c r="Y287" s="22" t="n">
        <x:v>628</x:v>
      </x:c>
      <x:c r="Z287" s="22" t="n">
        <x:v>4</x:v>
      </x:c>
      <x:c r="AA287" s="22" t="n">
        <x:v>628</x:v>
      </x:c>
      <x:c r="AB287" s="22" t="n">
        <x:v>0</x:v>
      </x:c>
      <x:c r="AC287" s="22" t="n">
        <x:v>0</x:v>
      </x:c>
      <x:c r="AD287" s="22" t="n">
        <x:v>38</x:v>
      </x:c>
      <x:c r="AE287" s="22" t="n">
        <x:v>13</x:v>
      </x:c>
      <x:c r="AF287" s="22" t="n">
        <x:v>91</x:v>
      </x:c>
      <x:c r="AG287" s="22" t="n">
        <x:v>7</x:v>
      </x:c>
      <x:c r="AH287" s="22" t="n">
        <x:v>8</x:v>
      </x:c>
      <x:c r="AI287" s="22" t="n">
        <x:v>37</x:v>
      </x:c>
      <x:c r="AJ287" s="22" t="n">
        <x:v>10</x:v>
      </x:c>
      <x:c r="AK287" s="22" t="n">
        <x:v>8</x:v>
      </x:c>
      <x:c r="AL287" s="22" t="n">
        <x:v>982</x:v>
      </x:c>
      <x:c r="AM287" s="22" t="n">
        <x:v>69</x:v>
      </x:c>
      <x:c r="AN287" s="22" t="n">
        <x:v>13</x:v>
      </x:c>
      <x:c r="AO287" s="22" t="n">
        <x:v>7</x:v>
      </x:c>
      <x:c r="AP287" s="22" t="n">
        <x:v>6350</x:v>
      </x:c>
      <x:c r="AQ287" s="22" t="n">
        <x:v>20</x:v>
      </x:c>
      <x:c r="AR287" s="22" t="n">
        <x:v>0</x:v>
      </x:c>
      <x:c r="AS287" s="22" t="n">
        <x:v>10</x:v>
      </x:c>
      <x:c r="AT287" s="22" t="n">
        <x:v>10</x:v>
      </x:c>
      <x:c r="AU287" s="22" t="n">
        <x:v>0</x:v>
      </x:c>
      <x:c r="AV287" s="22" t="n">
        <x:v>39</x:v>
      </x:c>
      <x:c r="AW287" s="22" t="n">
        <x:v>0</x:v>
      </x:c>
    </x:row>
    <x:row r="288" ht="24" customHeight="1">
      <x:c r="A288" s="22" t="str">
        <x:v>P0284</x:v>
      </x:c>
      <x:c r="B288" s="22" t="n">
        <x:v>9</x:v>
      </x:c>
      <x:c r="C288" s="22" t="n">
        <x:v>3</x:v>
      </x:c>
      <x:c r="D288" s="22" t="str">
        <x:v>古王陵园阶段积累后</x:v>
      </x:c>
      <x:c r="E288" s="22" t="n">
        <x:v>118855</x:v>
      </x:c>
      <x:c r="F288" s="22" t="n">
        <x:v>125399</x:v>
      </x:c>
      <x:c r="G288" s="22" t="n">
        <x:v>115837</x:v>
      </x:c>
      <x:c r="H288" s="22" t="n">
        <x:v>122348</x:v>
      </x:c>
      <x:c r="I288" s="22" t="n">
        <x:v>115892</x:v>
      </x:c>
      <x:c r="J288" s="22" t="n">
        <x:v>122403</x:v>
      </x:c>
      <x:c r="K288" s="22" t="n">
        <x:v>14760500</x:v>
      </x:c>
      <x:c r="L288" s="22" t="n">
        <x:v>6001100</x:v>
      </x:c>
      <x:c r="M288" s="22" t="n">
        <x:v>978</x:v>
      </x:c>
      <x:c r="N288" s="22" t="n">
        <x:v>1762</x:v>
      </x:c>
      <x:c r="O288" s="22" t="n">
        <x:v>791</x:v>
      </x:c>
      <x:c r="P288" s="22" t="n">
        <x:v>1448</x:v>
      </x:c>
      <x:c r="Q288" s="22" t="n">
        <x:v>1493</x:v>
      </x:c>
      <x:c r="R288" s="22" t="n">
        <x:v>1444</x:v>
      </x:c>
      <x:c r="S288" s="22" t="n">
        <x:v>1444</x:v>
      </x:c>
      <x:c r="T288" s="22" t="n">
        <x:v>1.2300000000000004</x:v>
      </x:c>
      <x:c r="U288" s="22" t="n">
        <x:v>16</x:v>
      </x:c>
      <x:c r="V288" s="22" t="n">
        <x:v>602</x:v>
      </x:c>
      <x:c r="W288" s="22" t="n">
        <x:v>254</x:v>
      </x:c>
      <x:c r="X288" s="22" t="n">
        <x:v>25</x:v>
      </x:c>
      <x:c r="Y288" s="22" t="n">
        <x:v>628</x:v>
      </x:c>
      <x:c r="Z288" s="22" t="n">
        <x:v>4</x:v>
      </x:c>
      <x:c r="AA288" s="22" t="n">
        <x:v>568</x:v>
      </x:c>
      <x:c r="AB288" s="22" t="n">
        <x:v>0</x:v>
      </x:c>
      <x:c r="AC288" s="22" t="n">
        <x:v>0</x:v>
      </x:c>
      <x:c r="AD288" s="22" t="n">
        <x:v>38</x:v>
      </x:c>
      <x:c r="AE288" s="22" t="n">
        <x:v>13</x:v>
      </x:c>
      <x:c r="AF288" s="22" t="n">
        <x:v>91</x:v>
      </x:c>
      <x:c r="AG288" s="22" t="n">
        <x:v>7</x:v>
      </x:c>
      <x:c r="AH288" s="22" t="n">
        <x:v>8</x:v>
      </x:c>
      <x:c r="AI288" s="22" t="n">
        <x:v>37</x:v>
      </x:c>
      <x:c r="AJ288" s="22" t="n">
        <x:v>10</x:v>
      </x:c>
      <x:c r="AK288" s="22" t="n">
        <x:v>8</x:v>
      </x:c>
      <x:c r="AL288" s="22" t="n">
        <x:v>982</x:v>
      </x:c>
      <x:c r="AM288" s="22" t="n">
        <x:v>67</x:v>
      </x:c>
      <x:c r="AN288" s="22" t="n">
        <x:v>13</x:v>
      </x:c>
      <x:c r="AO288" s="22" t="n">
        <x:v>7</x:v>
      </x:c>
      <x:c r="AP288" s="22" t="n">
        <x:v>6350</x:v>
      </x:c>
      <x:c r="AQ288" s="22" t="n">
        <x:v>20</x:v>
      </x:c>
      <x:c r="AR288" s="22" t="n">
        <x:v>0</x:v>
      </x:c>
      <x:c r="AS288" s="22" t="n">
        <x:v>10</x:v>
      </x:c>
      <x:c r="AT288" s="22" t="n">
        <x:v>10</x:v>
      </x:c>
      <x:c r="AU288" s="22" t="n">
        <x:v>0</x:v>
      </x:c>
      <x:c r="AV288" s="22" t="n">
        <x:v>39</x:v>
      </x:c>
      <x:c r="AW288" s="22" t="n">
        <x:v>0</x:v>
      </x:c>
    </x:row>
    <x:row r="289" ht="24" customHeight="1">
      <x:c r="A289" s="22" t="str">
        <x:v>P0285</x:v>
      </x:c>
      <x:c r="B289" s="22" t="n">
        <x:v>9</x:v>
      </x:c>
      <x:c r="C289" s="22" t="n">
        <x:v>4</x:v>
      </x:c>
      <x:c r="D289" s="22" t="str">
        <x:v>C09G04入场</x:v>
      </x:c>
      <x:c r="E289" s="22" t="n">
        <x:v>118855</x:v>
      </x:c>
      <x:c r="F289" s="22" t="n">
        <x:v>125399</x:v>
      </x:c>
      <x:c r="G289" s="22" t="n">
        <x:v>115837</x:v>
      </x:c>
      <x:c r="H289" s="22" t="n">
        <x:v>122348</x:v>
      </x:c>
      <x:c r="I289" s="22" t="n">
        <x:v>115892</x:v>
      </x:c>
      <x:c r="J289" s="22" t="n">
        <x:v>122403</x:v>
      </x:c>
      <x:c r="K289" s="22" t="n">
        <x:v>14760500</x:v>
      </x:c>
      <x:c r="L289" s="22" t="n">
        <x:v>6001100</x:v>
      </x:c>
      <x:c r="M289" s="22" t="n">
        <x:v>978</x:v>
      </x:c>
      <x:c r="N289" s="22" t="n">
        <x:v>1762</x:v>
      </x:c>
      <x:c r="O289" s="22" t="n">
        <x:v>791</x:v>
      </x:c>
      <x:c r="P289" s="22" t="n">
        <x:v>1448</x:v>
      </x:c>
      <x:c r="Q289" s="22" t="n">
        <x:v>1493</x:v>
      </x:c>
      <x:c r="R289" s="22" t="n">
        <x:v>1444</x:v>
      </x:c>
      <x:c r="S289" s="22" t="n">
        <x:v>1444</x:v>
      </x:c>
      <x:c r="T289" s="22" t="n">
        <x:v>1.2300000000000004</x:v>
      </x:c>
      <x:c r="U289" s="22" t="n">
        <x:v>16</x:v>
      </x:c>
      <x:c r="V289" s="22" t="n">
        <x:v>602</x:v>
      </x:c>
      <x:c r="W289" s="22" t="n">
        <x:v>254</x:v>
      </x:c>
      <x:c r="X289" s="22" t="n">
        <x:v>25</x:v>
      </x:c>
      <x:c r="Y289" s="22" t="n">
        <x:v>628</x:v>
      </x:c>
      <x:c r="Z289" s="22" t="n">
        <x:v>4</x:v>
      </x:c>
      <x:c r="AA289" s="22" t="n">
        <x:v>568</x:v>
      </x:c>
      <x:c r="AB289" s="22" t="n">
        <x:v>0</x:v>
      </x:c>
      <x:c r="AC289" s="22" t="n">
        <x:v>0</x:v>
      </x:c>
      <x:c r="AD289" s="22" t="n">
        <x:v>38</x:v>
      </x:c>
      <x:c r="AE289" s="22" t="n">
        <x:v>13</x:v>
      </x:c>
      <x:c r="AF289" s="22" t="n">
        <x:v>91</x:v>
      </x:c>
      <x:c r="AG289" s="22" t="n">
        <x:v>7</x:v>
      </x:c>
      <x:c r="AH289" s="22" t="n">
        <x:v>8</x:v>
      </x:c>
      <x:c r="AI289" s="22" t="n">
        <x:v>37</x:v>
      </x:c>
      <x:c r="AJ289" s="22" t="n">
        <x:v>10</x:v>
      </x:c>
      <x:c r="AK289" s="22" t="n">
        <x:v>8</x:v>
      </x:c>
      <x:c r="AL289" s="22" t="n">
        <x:v>982</x:v>
      </x:c>
      <x:c r="AM289" s="22" t="n">
        <x:v>67</x:v>
      </x:c>
      <x:c r="AN289" s="22" t="n">
        <x:v>13</x:v>
      </x:c>
      <x:c r="AO289" s="22" t="n">
        <x:v>7</x:v>
      </x:c>
      <x:c r="AP289" s="22" t="n">
        <x:v>6350</x:v>
      </x:c>
      <x:c r="AQ289" s="22" t="n">
        <x:v>20</x:v>
      </x:c>
      <x:c r="AR289" s="22" t="n">
        <x:v>0</x:v>
      </x:c>
      <x:c r="AS289" s="22" t="n">
        <x:v>10</x:v>
      </x:c>
      <x:c r="AT289" s="22" t="n">
        <x:v>10</x:v>
      </x:c>
      <x:c r="AU289" s="22" t="n">
        <x:v>0</x:v>
      </x:c>
      <x:c r="AV289" s="22" t="n">
        <x:v>39</x:v>
      </x:c>
      <x:c r="AW289" s="22" t="n">
        <x:v>0</x:v>
      </x:c>
    </x:row>
    <x:row r="290" ht="24" customHeight="1">
      <x:c r="A290" s="22" t="str">
        <x:v>P0286</x:v>
      </x:c>
      <x:c r="B290" s="22" t="n">
        <x:v>9</x:v>
      </x:c>
      <x:c r="C290" s="22" t="n">
        <x:v>4</x:v>
      </x:c>
      <x:c r="D290" s="22" t="str">
        <x:v>C09G04普通专属4/6</x:v>
      </x:c>
      <x:c r="E290" s="22" t="n">
        <x:v>118855</x:v>
      </x:c>
      <x:c r="F290" s="22" t="n">
        <x:v>125399</x:v>
      </x:c>
      <x:c r="G290" s="22" t="n">
        <x:v>115837</x:v>
      </x:c>
      <x:c r="H290" s="22" t="n">
        <x:v>122348</x:v>
      </x:c>
      <x:c r="I290" s="22" t="n">
        <x:v>115892</x:v>
      </x:c>
      <x:c r="J290" s="22" t="n">
        <x:v>122403</x:v>
      </x:c>
      <x:c r="K290" s="22" t="n">
        <x:v>14760500</x:v>
      </x:c>
      <x:c r="L290" s="22" t="n">
        <x:v>6001100</x:v>
      </x:c>
      <x:c r="M290" s="22" t="n">
        <x:v>978</x:v>
      </x:c>
      <x:c r="N290" s="22" t="n">
        <x:v>1762</x:v>
      </x:c>
      <x:c r="O290" s="22" t="n">
        <x:v>791</x:v>
      </x:c>
      <x:c r="P290" s="22" t="n">
        <x:v>1448</x:v>
      </x:c>
      <x:c r="Q290" s="22" t="n">
        <x:v>1493</x:v>
      </x:c>
      <x:c r="R290" s="22" t="n">
        <x:v>1444</x:v>
      </x:c>
      <x:c r="S290" s="22" t="n">
        <x:v>1444</x:v>
      </x:c>
      <x:c r="T290" s="22" t="n">
        <x:v>1.2300000000000004</x:v>
      </x:c>
      <x:c r="U290" s="22" t="n">
        <x:v>16</x:v>
      </x:c>
      <x:c r="V290" s="22" t="n">
        <x:v>602</x:v>
      </x:c>
      <x:c r="W290" s="22" t="n">
        <x:v>254</x:v>
      </x:c>
      <x:c r="X290" s="22" t="n">
        <x:v>25</x:v>
      </x:c>
      <x:c r="Y290" s="22" t="n">
        <x:v>628</x:v>
      </x:c>
      <x:c r="Z290" s="22" t="n">
        <x:v>4</x:v>
      </x:c>
      <x:c r="AA290" s="22" t="n">
        <x:v>568</x:v>
      </x:c>
      <x:c r="AB290" s="22" t="n">
        <x:v>0</x:v>
      </x:c>
      <x:c r="AC290" s="22" t="n">
        <x:v>0</x:v>
      </x:c>
      <x:c r="AD290" s="22" t="n">
        <x:v>38</x:v>
      </x:c>
      <x:c r="AE290" s="22" t="n">
        <x:v>13</x:v>
      </x:c>
      <x:c r="AF290" s="22" t="n">
        <x:v>91</x:v>
      </x:c>
      <x:c r="AG290" s="22" t="n">
        <x:v>7</x:v>
      </x:c>
      <x:c r="AH290" s="22" t="n">
        <x:v>8</x:v>
      </x:c>
      <x:c r="AI290" s="22" t="n">
        <x:v>37</x:v>
      </x:c>
      <x:c r="AJ290" s="22" t="n">
        <x:v>10</x:v>
      </x:c>
      <x:c r="AK290" s="22" t="n">
        <x:v>8</x:v>
      </x:c>
      <x:c r="AL290" s="22" t="n">
        <x:v>982</x:v>
      </x:c>
      <x:c r="AM290" s="22" t="n">
        <x:v>67</x:v>
      </x:c>
      <x:c r="AN290" s="22" t="n">
        <x:v>13</x:v>
      </x:c>
      <x:c r="AO290" s="22" t="n">
        <x:v>7</x:v>
      </x:c>
      <x:c r="AP290" s="22" t="n">
        <x:v>6350</x:v>
      </x:c>
      <x:c r="AQ290" s="22" t="n">
        <x:v>20</x:v>
      </x:c>
      <x:c r="AR290" s="22" t="n">
        <x:v>0</x:v>
      </x:c>
      <x:c r="AS290" s="22" t="n">
        <x:v>10</x:v>
      </x:c>
      <x:c r="AT290" s="22" t="n">
        <x:v>10</x:v>
      </x:c>
      <x:c r="AU290" s="22" t="n">
        <x:v>0</x:v>
      </x:c>
      <x:c r="AV290" s="22" t="n">
        <x:v>39</x:v>
      </x:c>
      <x:c r="AW290" s="22" t="n">
        <x:v>0</x:v>
      </x:c>
    </x:row>
    <x:row r="291" ht="24" customHeight="1">
      <x:c r="A291" s="22" t="str">
        <x:v>P0287</x:v>
      </x:c>
      <x:c r="B291" s="22" t="n">
        <x:v>9</x:v>
      </x:c>
      <x:c r="C291" s="22" t="n">
        <x:v>4</x:v>
      </x:c>
      <x:c r="D291" s="22" t="str">
        <x:v>黄金枢机·赛维兰挑战前</x:v>
      </x:c>
      <x:c r="E291" s="22" t="n">
        <x:v>119785</x:v>
      </x:c>
      <x:c r="F291" s="22" t="n">
        <x:v>126329</x:v>
      </x:c>
      <x:c r="G291" s="22" t="n">
        <x:v>116767</x:v>
      </x:c>
      <x:c r="H291" s="22" t="n">
        <x:v>123278</x:v>
      </x:c>
      <x:c r="I291" s="22" t="n">
        <x:v>116822</x:v>
      </x:c>
      <x:c r="J291" s="22" t="n">
        <x:v>123333</x:v>
      </x:c>
      <x:c r="K291" s="22" t="n">
        <x:v>14853500</x:v>
      </x:c>
      <x:c r="L291" s="22" t="n">
        <x:v>6001100</x:v>
      </x:c>
      <x:c r="M291" s="22" t="n">
        <x:v>978</x:v>
      </x:c>
      <x:c r="N291" s="22" t="n">
        <x:v>1762</x:v>
      </x:c>
      <x:c r="O291" s="22" t="n">
        <x:v>791</x:v>
      </x:c>
      <x:c r="P291" s="22" t="n">
        <x:v>1448</x:v>
      </x:c>
      <x:c r="Q291" s="22" t="n">
        <x:v>1493</x:v>
      </x:c>
      <x:c r="R291" s="22" t="n">
        <x:v>1444</x:v>
      </x:c>
      <x:c r="S291" s="22" t="n">
        <x:v>1444</x:v>
      </x:c>
      <x:c r="T291" s="22" t="n">
        <x:v>1.2300000000000004</x:v>
      </x:c>
      <x:c r="U291" s="22" t="n">
        <x:v>16</x:v>
      </x:c>
      <x:c r="V291" s="22" t="n">
        <x:v>602</x:v>
      </x:c>
      <x:c r="W291" s="22" t="n">
        <x:v>254</x:v>
      </x:c>
      <x:c r="X291" s="22" t="n">
        <x:v>25</x:v>
      </x:c>
      <x:c r="Y291" s="22" t="n">
        <x:v>628</x:v>
      </x:c>
      <x:c r="Z291" s="22" t="n">
        <x:v>4</x:v>
      </x:c>
      <x:c r="AA291" s="22" t="n">
        <x:v>568</x:v>
      </x:c>
      <x:c r="AB291" s="22" t="n">
        <x:v>0</x:v>
      </x:c>
      <x:c r="AC291" s="22" t="n">
        <x:v>0</x:v>
      </x:c>
      <x:c r="AD291" s="22" t="n">
        <x:v>38</x:v>
      </x:c>
      <x:c r="AE291" s="22" t="n">
        <x:v>13</x:v>
      </x:c>
      <x:c r="AF291" s="22" t="n">
        <x:v>91</x:v>
      </x:c>
      <x:c r="AG291" s="22" t="n">
        <x:v>7</x:v>
      </x:c>
      <x:c r="AH291" s="22" t="n">
        <x:v>8</x:v>
      </x:c>
      <x:c r="AI291" s="22" t="n">
        <x:v>37</x:v>
      </x:c>
      <x:c r="AJ291" s="22" t="n">
        <x:v>10</x:v>
      </x:c>
      <x:c r="AK291" s="22" t="n">
        <x:v>8</x:v>
      </x:c>
      <x:c r="AL291" s="22" t="n">
        <x:v>982</x:v>
      </x:c>
      <x:c r="AM291" s="22" t="n">
        <x:v>67</x:v>
      </x:c>
      <x:c r="AN291" s="22" t="n">
        <x:v>13</x:v>
      </x:c>
      <x:c r="AO291" s="22" t="n">
        <x:v>7</x:v>
      </x:c>
      <x:c r="AP291" s="22" t="n">
        <x:v>6350</x:v>
      </x:c>
      <x:c r="AQ291" s="22" t="n">
        <x:v>20</x:v>
      </x:c>
      <x:c r="AR291" s="22" t="n">
        <x:v>0</x:v>
      </x:c>
      <x:c r="AS291" s="22" t="n">
        <x:v>10</x:v>
      </x:c>
      <x:c r="AT291" s="22" t="n">
        <x:v>10</x:v>
      </x:c>
      <x:c r="AU291" s="22" t="n">
        <x:v>0</x:v>
      </x:c>
      <x:c r="AV291" s="22" t="n">
        <x:v>39</x:v>
      </x:c>
      <x:c r="AW291" s="22" t="n">
        <x:v>0</x:v>
      </x:c>
    </x:row>
    <x:row r="292" ht="24" customHeight="1">
      <x:c r="A292" s="22" t="str">
        <x:v>P0288</x:v>
      </x:c>
      <x:c r="B292" s="22" t="n">
        <x:v>9</x:v>
      </x:c>
      <x:c r="C292" s="22" t="n">
        <x:v>4</x:v>
      </x:c>
      <x:c r="D292" s="22" t="str">
        <x:v>高原圣母·艾德莉雅挑战前</x:v>
      </x:c>
      <x:c r="E292" s="22" t="n">
        <x:v>119785</x:v>
      </x:c>
      <x:c r="F292" s="22" t="n">
        <x:v>126329</x:v>
      </x:c>
      <x:c r="G292" s="22" t="n">
        <x:v>116767</x:v>
      </x:c>
      <x:c r="H292" s="22" t="n">
        <x:v>123278</x:v>
      </x:c>
      <x:c r="I292" s="22" t="n">
        <x:v>116822</x:v>
      </x:c>
      <x:c r="J292" s="22" t="n">
        <x:v>123333</x:v>
      </x:c>
      <x:c r="K292" s="22" t="n">
        <x:v>14853500</x:v>
      </x:c>
      <x:c r="L292" s="22" t="n">
        <x:v>6001100</x:v>
      </x:c>
      <x:c r="M292" s="22" t="n">
        <x:v>978</x:v>
      </x:c>
      <x:c r="N292" s="22" t="n">
        <x:v>1762</x:v>
      </x:c>
      <x:c r="O292" s="22" t="n">
        <x:v>791</x:v>
      </x:c>
      <x:c r="P292" s="22" t="n">
        <x:v>1448</x:v>
      </x:c>
      <x:c r="Q292" s="22" t="n">
        <x:v>1493</x:v>
      </x:c>
      <x:c r="R292" s="22" t="n">
        <x:v>1444</x:v>
      </x:c>
      <x:c r="S292" s="22" t="n">
        <x:v>1444</x:v>
      </x:c>
      <x:c r="T292" s="22" t="n">
        <x:v>1.2300000000000004</x:v>
      </x:c>
      <x:c r="U292" s="22" t="n">
        <x:v>16</x:v>
      </x:c>
      <x:c r="V292" s="22" t="n">
        <x:v>602</x:v>
      </x:c>
      <x:c r="W292" s="22" t="n">
        <x:v>254</x:v>
      </x:c>
      <x:c r="X292" s="22" t="n">
        <x:v>25</x:v>
      </x:c>
      <x:c r="Y292" s="22" t="n">
        <x:v>628</x:v>
      </x:c>
      <x:c r="Z292" s="22" t="n">
        <x:v>4</x:v>
      </x:c>
      <x:c r="AA292" s="22" t="n">
        <x:v>568</x:v>
      </x:c>
      <x:c r="AB292" s="22" t="n">
        <x:v>0</x:v>
      </x:c>
      <x:c r="AC292" s="22" t="n">
        <x:v>0</x:v>
      </x:c>
      <x:c r="AD292" s="22" t="n">
        <x:v>38</x:v>
      </x:c>
      <x:c r="AE292" s="22" t="n">
        <x:v>13</x:v>
      </x:c>
      <x:c r="AF292" s="22" t="n">
        <x:v>91</x:v>
      </x:c>
      <x:c r="AG292" s="22" t="n">
        <x:v>7</x:v>
      </x:c>
      <x:c r="AH292" s="22" t="n">
        <x:v>8</x:v>
      </x:c>
      <x:c r="AI292" s="22" t="n">
        <x:v>37</x:v>
      </x:c>
      <x:c r="AJ292" s="22" t="n">
        <x:v>10</x:v>
      </x:c>
      <x:c r="AK292" s="22" t="n">
        <x:v>8</x:v>
      </x:c>
      <x:c r="AL292" s="22" t="n">
        <x:v>982</x:v>
      </x:c>
      <x:c r="AM292" s="22" t="n">
        <x:v>67</x:v>
      </x:c>
      <x:c r="AN292" s="22" t="n">
        <x:v>13</x:v>
      </x:c>
      <x:c r="AO292" s="22" t="n">
        <x:v>7</x:v>
      </x:c>
      <x:c r="AP292" s="22" t="n">
        <x:v>6350</x:v>
      </x:c>
      <x:c r="AQ292" s="22" t="n">
        <x:v>20</x:v>
      </x:c>
      <x:c r="AR292" s="22" t="n">
        <x:v>0</x:v>
      </x:c>
      <x:c r="AS292" s="22" t="n">
        <x:v>10</x:v>
      </x:c>
      <x:c r="AT292" s="22" t="n">
        <x:v>10</x:v>
      </x:c>
      <x:c r="AU292" s="22" t="n">
        <x:v>0</x:v>
      </x:c>
      <x:c r="AV292" s="22" t="n">
        <x:v>39</x:v>
      </x:c>
      <x:c r="AW292" s="22" t="n">
        <x:v>0</x:v>
      </x:c>
    </x:row>
    <x:row r="293" ht="24" customHeight="1">
      <x:c r="A293" s="22" t="str">
        <x:v>P0289</x:v>
      </x:c>
      <x:c r="B293" s="22" t="n">
        <x:v>9</x:v>
      </x:c>
      <x:c r="C293" s="22" t="n">
        <x:v>4</x:v>
      </x:c>
      <x:c r="D293" s="22" t="str">
        <x:v>黄金圣堂BOSS装备快线</x:v>
      </x:c>
      <x:c r="E293" s="22" t="n">
        <x:v>119785</x:v>
      </x:c>
      <x:c r="F293" s="22" t="n">
        <x:v>126329</x:v>
      </x:c>
      <x:c r="G293" s="22" t="n">
        <x:v>116767</x:v>
      </x:c>
      <x:c r="H293" s="22" t="n">
        <x:v>123278</x:v>
      </x:c>
      <x:c r="I293" s="22" t="n">
        <x:v>116822</x:v>
      </x:c>
      <x:c r="J293" s="22" t="n">
        <x:v>123333</x:v>
      </x:c>
      <x:c r="K293" s="22" t="n">
        <x:v>14853500</x:v>
      </x:c>
      <x:c r="L293" s="22" t="n">
        <x:v>6001100</x:v>
      </x:c>
      <x:c r="M293" s="22" t="n">
        <x:v>978</x:v>
      </x:c>
      <x:c r="N293" s="22" t="n">
        <x:v>1762</x:v>
      </x:c>
      <x:c r="O293" s="22" t="n">
        <x:v>791</x:v>
      </x:c>
      <x:c r="P293" s="22" t="n">
        <x:v>1448</x:v>
      </x:c>
      <x:c r="Q293" s="22" t="n">
        <x:v>1493</x:v>
      </x:c>
      <x:c r="R293" s="22" t="n">
        <x:v>1444</x:v>
      </x:c>
      <x:c r="S293" s="22" t="n">
        <x:v>1444</x:v>
      </x:c>
      <x:c r="T293" s="22" t="n">
        <x:v>1.2300000000000004</x:v>
      </x:c>
      <x:c r="U293" s="22" t="n">
        <x:v>16</x:v>
      </x:c>
      <x:c r="V293" s="22" t="n">
        <x:v>602</x:v>
      </x:c>
      <x:c r="W293" s="22" t="n">
        <x:v>254</x:v>
      </x:c>
      <x:c r="X293" s="22" t="n">
        <x:v>25</x:v>
      </x:c>
      <x:c r="Y293" s="22" t="n">
        <x:v>628</x:v>
      </x:c>
      <x:c r="Z293" s="22" t="n">
        <x:v>4</x:v>
      </x:c>
      <x:c r="AA293" s="22" t="n">
        <x:v>568</x:v>
      </x:c>
      <x:c r="AB293" s="22" t="n">
        <x:v>0</x:v>
      </x:c>
      <x:c r="AC293" s="22" t="n">
        <x:v>0</x:v>
      </x:c>
      <x:c r="AD293" s="22" t="n">
        <x:v>38</x:v>
      </x:c>
      <x:c r="AE293" s="22" t="n">
        <x:v>13</x:v>
      </x:c>
      <x:c r="AF293" s="22" t="n">
        <x:v>91</x:v>
      </x:c>
      <x:c r="AG293" s="22" t="n">
        <x:v>7</x:v>
      </x:c>
      <x:c r="AH293" s="22" t="n">
        <x:v>8</x:v>
      </x:c>
      <x:c r="AI293" s="22" t="n">
        <x:v>37</x:v>
      </x:c>
      <x:c r="AJ293" s="22" t="n">
        <x:v>10</x:v>
      </x:c>
      <x:c r="AK293" s="22" t="n">
        <x:v>8</x:v>
      </x:c>
      <x:c r="AL293" s="22" t="n">
        <x:v>982</x:v>
      </x:c>
      <x:c r="AM293" s="22" t="n">
        <x:v>67</x:v>
      </x:c>
      <x:c r="AN293" s="22" t="n">
        <x:v>13</x:v>
      </x:c>
      <x:c r="AO293" s="22" t="n">
        <x:v>7</x:v>
      </x:c>
      <x:c r="AP293" s="22" t="n">
        <x:v>6350</x:v>
      </x:c>
      <x:c r="AQ293" s="22" t="n">
        <x:v>20</x:v>
      </x:c>
      <x:c r="AR293" s="22" t="n">
        <x:v>0</x:v>
      </x:c>
      <x:c r="AS293" s="22" t="n">
        <x:v>10</x:v>
      </x:c>
      <x:c r="AT293" s="22" t="n">
        <x:v>10</x:v>
      </x:c>
      <x:c r="AU293" s="22" t="n">
        <x:v>0</x:v>
      </x:c>
      <x:c r="AV293" s="22" t="n">
        <x:v>39</x:v>
      </x:c>
      <x:c r="AW293" s="22" t="n">
        <x:v>0</x:v>
      </x:c>
    </x:row>
    <x:row r="294" ht="24" customHeight="1">
      <x:c r="A294" s="22" t="str">
        <x:v>P0290</x:v>
      </x:c>
      <x:c r="B294" s="22" t="n">
        <x:v>9</x:v>
      </x:c>
      <x:c r="C294" s="22" t="n">
        <x:v>4</x:v>
      </x:c>
      <x:c r="D294" s="22" t="str">
        <x:v>黄金圣堂阶段积累后</x:v>
      </x:c>
      <x:c r="E294" s="22" t="n">
        <x:v>120118</x:v>
      </x:c>
      <x:c r="F294" s="22" t="n">
        <x:v>126879</x:v>
      </x:c>
      <x:c r="G294" s="22" t="n">
        <x:v>117100</x:v>
      </x:c>
      <x:c r="H294" s="22" t="n">
        <x:v>123828</x:v>
      </x:c>
      <x:c r="I294" s="22" t="n">
        <x:v>117155</x:v>
      </x:c>
      <x:c r="J294" s="22" t="n">
        <x:v>123883</x:v>
      </x:c>
      <x:c r="K294" s="22" t="n">
        <x:v>14934900</x:v>
      </x:c>
      <x:c r="L294" s="22" t="n">
        <x:v>6001100</x:v>
      </x:c>
      <x:c r="M294" s="22" t="n">
        <x:v>989</x:v>
      </x:c>
      <x:c r="N294" s="22" t="n">
        <x:v>1782</x:v>
      </x:c>
      <x:c r="O294" s="22" t="n">
        <x:v>801</x:v>
      </x:c>
      <x:c r="P294" s="22" t="n">
        <x:v>1465</x:v>
      </x:c>
      <x:c r="Q294" s="22" t="n">
        <x:v>1511</x:v>
      </x:c>
      <x:c r="R294" s="22" t="n">
        <x:v>1462</x:v>
      </x:c>
      <x:c r="S294" s="22" t="n">
        <x:v>1462</x:v>
      </x:c>
      <x:c r="T294" s="22" t="n">
        <x:v>1.2300000000000004</x:v>
      </x:c>
      <x:c r="U294" s="22" t="n">
        <x:v>16</x:v>
      </x:c>
      <x:c r="V294" s="22" t="n">
        <x:v>614</x:v>
      </x:c>
      <x:c r="W294" s="22" t="n">
        <x:v>254</x:v>
      </x:c>
      <x:c r="X294" s="22" t="n">
        <x:v>25</x:v>
      </x:c>
      <x:c r="Y294" s="22" t="n">
        <x:v>646</x:v>
      </x:c>
      <x:c r="Z294" s="22" t="n">
        <x:v>4</x:v>
      </x:c>
      <x:c r="AA294" s="22" t="n">
        <x:v>568</x:v>
      </x:c>
      <x:c r="AB294" s="22" t="n">
        <x:v>0</x:v>
      </x:c>
      <x:c r="AC294" s="22" t="n">
        <x:v>0</x:v>
      </x:c>
      <x:c r="AD294" s="22" t="n">
        <x:v>38</x:v>
      </x:c>
      <x:c r="AE294" s="22" t="n">
        <x:v>13</x:v>
      </x:c>
      <x:c r="AF294" s="22" t="n">
        <x:v>91</x:v>
      </x:c>
      <x:c r="AG294" s="22" t="n">
        <x:v>7</x:v>
      </x:c>
      <x:c r="AH294" s="22" t="n">
        <x:v>8</x:v>
      </x:c>
      <x:c r="AI294" s="22" t="n">
        <x:v>37</x:v>
      </x:c>
      <x:c r="AJ294" s="22" t="n">
        <x:v>10</x:v>
      </x:c>
      <x:c r="AK294" s="22" t="n">
        <x:v>8</x:v>
      </x:c>
      <x:c r="AL294" s="22" t="n">
        <x:v>982</x:v>
      </x:c>
      <x:c r="AM294" s="22" t="n">
        <x:v>67</x:v>
      </x:c>
      <x:c r="AN294" s="22" t="n">
        <x:v>13</x:v>
      </x:c>
      <x:c r="AO294" s="22" t="n">
        <x:v>7</x:v>
      </x:c>
      <x:c r="AP294" s="22" t="n">
        <x:v>6350</x:v>
      </x:c>
      <x:c r="AQ294" s="22" t="n">
        <x:v>20</x:v>
      </x:c>
      <x:c r="AR294" s="22" t="n">
        <x:v>0</x:v>
      </x:c>
      <x:c r="AS294" s="22" t="n">
        <x:v>10</x:v>
      </x:c>
      <x:c r="AT294" s="22" t="n">
        <x:v>10</x:v>
      </x:c>
      <x:c r="AU294" s="22" t="n">
        <x:v>0</x:v>
      </x:c>
      <x:c r="AV294" s="22" t="n">
        <x:v>39</x:v>
      </x:c>
      <x:c r="AW294" s="22" t="n">
        <x:v>0</x:v>
      </x:c>
    </x:row>
    <x:row r="295" ht="24" customHeight="1">
      <x:c r="A295" s="22" t="str">
        <x:v>P0291</x:v>
      </x:c>
      <x:c r="B295" s="22" t="n">
        <x:v>9</x:v>
      </x:c>
      <x:c r="C295" s="22" t="n">
        <x:v>5</x:v>
      </x:c>
      <x:c r="D295" s="22" t="str">
        <x:v>C09G05入场</x:v>
      </x:c>
      <x:c r="E295" s="22" t="n">
        <x:v>120118</x:v>
      </x:c>
      <x:c r="F295" s="22" t="n">
        <x:v>126879</x:v>
      </x:c>
      <x:c r="G295" s="22" t="n">
        <x:v>117100</x:v>
      </x:c>
      <x:c r="H295" s="22" t="n">
        <x:v>123828</x:v>
      </x:c>
      <x:c r="I295" s="22" t="n">
        <x:v>117155</x:v>
      </x:c>
      <x:c r="J295" s="22" t="n">
        <x:v>123883</x:v>
      </x:c>
      <x:c r="K295" s="22" t="n">
        <x:v>14934900</x:v>
      </x:c>
      <x:c r="L295" s="22" t="n">
        <x:v>6001100</x:v>
      </x:c>
      <x:c r="M295" s="22" t="n">
        <x:v>989</x:v>
      </x:c>
      <x:c r="N295" s="22" t="n">
        <x:v>1782</x:v>
      </x:c>
      <x:c r="O295" s="22" t="n">
        <x:v>801</x:v>
      </x:c>
      <x:c r="P295" s="22" t="n">
        <x:v>1465</x:v>
      </x:c>
      <x:c r="Q295" s="22" t="n">
        <x:v>1511</x:v>
      </x:c>
      <x:c r="R295" s="22" t="n">
        <x:v>1462</x:v>
      </x:c>
      <x:c r="S295" s="22" t="n">
        <x:v>1462</x:v>
      </x:c>
      <x:c r="T295" s="22" t="n">
        <x:v>1.2300000000000004</x:v>
      </x:c>
      <x:c r="U295" s="22" t="n">
        <x:v>16</x:v>
      </x:c>
      <x:c r="V295" s="22" t="n">
        <x:v>614</x:v>
      </x:c>
      <x:c r="W295" s="22" t="n">
        <x:v>254</x:v>
      </x:c>
      <x:c r="X295" s="22" t="n">
        <x:v>25</x:v>
      </x:c>
      <x:c r="Y295" s="22" t="n">
        <x:v>646</x:v>
      </x:c>
      <x:c r="Z295" s="22" t="n">
        <x:v>4</x:v>
      </x:c>
      <x:c r="AA295" s="22" t="n">
        <x:v>568</x:v>
      </x:c>
      <x:c r="AB295" s="22" t="n">
        <x:v>0</x:v>
      </x:c>
      <x:c r="AC295" s="22" t="n">
        <x:v>0</x:v>
      </x:c>
      <x:c r="AD295" s="22" t="n">
        <x:v>38</x:v>
      </x:c>
      <x:c r="AE295" s="22" t="n">
        <x:v>13</x:v>
      </x:c>
      <x:c r="AF295" s="22" t="n">
        <x:v>91</x:v>
      </x:c>
      <x:c r="AG295" s="22" t="n">
        <x:v>7</x:v>
      </x:c>
      <x:c r="AH295" s="22" t="n">
        <x:v>8</x:v>
      </x:c>
      <x:c r="AI295" s="22" t="n">
        <x:v>37</x:v>
      </x:c>
      <x:c r="AJ295" s="22" t="n">
        <x:v>10</x:v>
      </x:c>
      <x:c r="AK295" s="22" t="n">
        <x:v>8</x:v>
      </x:c>
      <x:c r="AL295" s="22" t="n">
        <x:v>982</x:v>
      </x:c>
      <x:c r="AM295" s="22" t="n">
        <x:v>67</x:v>
      </x:c>
      <x:c r="AN295" s="22" t="n">
        <x:v>13</x:v>
      </x:c>
      <x:c r="AO295" s="22" t="n">
        <x:v>7</x:v>
      </x:c>
      <x:c r="AP295" s="22" t="n">
        <x:v>6350</x:v>
      </x:c>
      <x:c r="AQ295" s="22" t="n">
        <x:v>20</x:v>
      </x:c>
      <x:c r="AR295" s="22" t="n">
        <x:v>0</x:v>
      </x:c>
      <x:c r="AS295" s="22" t="n">
        <x:v>10</x:v>
      </x:c>
      <x:c r="AT295" s="22" t="n">
        <x:v>10</x:v>
      </x:c>
      <x:c r="AU295" s="22" t="n">
        <x:v>0</x:v>
      </x:c>
      <x:c r="AV295" s="22" t="n">
        <x:v>39</x:v>
      </x:c>
      <x:c r="AW295" s="22" t="n">
        <x:v>0</x:v>
      </x:c>
    </x:row>
    <x:row r="296" ht="24" customHeight="1">
      <x:c r="A296" s="22" t="str">
        <x:v>P0292</x:v>
      </x:c>
      <x:c r="B296" s="22" t="n">
        <x:v>9</x:v>
      </x:c>
      <x:c r="C296" s="22" t="n">
        <x:v>5</x:v>
      </x:c>
      <x:c r="D296" s="22" t="str">
        <x:v>C09G05普通专属4/6</x:v>
      </x:c>
      <x:c r="E296" s="22" t="n">
        <x:v>120118</x:v>
      </x:c>
      <x:c r="F296" s="22" t="n">
        <x:v>126879</x:v>
      </x:c>
      <x:c r="G296" s="22" t="n">
        <x:v>117100</x:v>
      </x:c>
      <x:c r="H296" s="22" t="n">
        <x:v>123828</x:v>
      </x:c>
      <x:c r="I296" s="22" t="n">
        <x:v>117155</x:v>
      </x:c>
      <x:c r="J296" s="22" t="n">
        <x:v>123883</x:v>
      </x:c>
      <x:c r="K296" s="22" t="n">
        <x:v>14934900</x:v>
      </x:c>
      <x:c r="L296" s="22" t="n">
        <x:v>6001100</x:v>
      </x:c>
      <x:c r="M296" s="22" t="n">
        <x:v>989</x:v>
      </x:c>
      <x:c r="N296" s="22" t="n">
        <x:v>1782</x:v>
      </x:c>
      <x:c r="O296" s="22" t="n">
        <x:v>801</x:v>
      </x:c>
      <x:c r="P296" s="22" t="n">
        <x:v>1465</x:v>
      </x:c>
      <x:c r="Q296" s="22" t="n">
        <x:v>1511</x:v>
      </x:c>
      <x:c r="R296" s="22" t="n">
        <x:v>1462</x:v>
      </x:c>
      <x:c r="S296" s="22" t="n">
        <x:v>1462</x:v>
      </x:c>
      <x:c r="T296" s="22" t="n">
        <x:v>1.2300000000000004</x:v>
      </x:c>
      <x:c r="U296" s="22" t="n">
        <x:v>16</x:v>
      </x:c>
      <x:c r="V296" s="22" t="n">
        <x:v>614</x:v>
      </x:c>
      <x:c r="W296" s="22" t="n">
        <x:v>254</x:v>
      </x:c>
      <x:c r="X296" s="22" t="n">
        <x:v>25</x:v>
      </x:c>
      <x:c r="Y296" s="22" t="n">
        <x:v>646</x:v>
      </x:c>
      <x:c r="Z296" s="22" t="n">
        <x:v>4</x:v>
      </x:c>
      <x:c r="AA296" s="22" t="n">
        <x:v>568</x:v>
      </x:c>
      <x:c r="AB296" s="22" t="n">
        <x:v>0</x:v>
      </x:c>
      <x:c r="AC296" s="22" t="n">
        <x:v>0</x:v>
      </x:c>
      <x:c r="AD296" s="22" t="n">
        <x:v>38</x:v>
      </x:c>
      <x:c r="AE296" s="22" t="n">
        <x:v>13</x:v>
      </x:c>
      <x:c r="AF296" s="22" t="n">
        <x:v>91</x:v>
      </x:c>
      <x:c r="AG296" s="22" t="n">
        <x:v>7</x:v>
      </x:c>
      <x:c r="AH296" s="22" t="n">
        <x:v>8</x:v>
      </x:c>
      <x:c r="AI296" s="22" t="n">
        <x:v>37</x:v>
      </x:c>
      <x:c r="AJ296" s="22" t="n">
        <x:v>10</x:v>
      </x:c>
      <x:c r="AK296" s="22" t="n">
        <x:v>8</x:v>
      </x:c>
      <x:c r="AL296" s="22" t="n">
        <x:v>982</x:v>
      </x:c>
      <x:c r="AM296" s="22" t="n">
        <x:v>67</x:v>
      </x:c>
      <x:c r="AN296" s="22" t="n">
        <x:v>13</x:v>
      </x:c>
      <x:c r="AO296" s="22" t="n">
        <x:v>7</x:v>
      </x:c>
      <x:c r="AP296" s="22" t="n">
        <x:v>6350</x:v>
      </x:c>
      <x:c r="AQ296" s="22" t="n">
        <x:v>20</x:v>
      </x:c>
      <x:c r="AR296" s="22" t="n">
        <x:v>0</x:v>
      </x:c>
      <x:c r="AS296" s="22" t="n">
        <x:v>10</x:v>
      </x:c>
      <x:c r="AT296" s="22" t="n">
        <x:v>10</x:v>
      </x:c>
      <x:c r="AU296" s="22" t="n">
        <x:v>0</x:v>
      </x:c>
      <x:c r="AV296" s="22" t="n">
        <x:v>39</x:v>
      </x:c>
      <x:c r="AW296" s="22" t="n">
        <x:v>0</x:v>
      </x:c>
    </x:row>
    <x:row r="297" ht="24" customHeight="1">
      <x:c r="A297" s="22" t="str">
        <x:v>P0293</x:v>
      </x:c>
      <x:c r="B297" s="22" t="n">
        <x:v>9</x:v>
      </x:c>
      <x:c r="C297" s="22" t="n">
        <x:v>5</x:v>
      </x:c>
      <x:c r="D297" s="22" t="str">
        <x:v>黄金壁垒统帅·罗梵迪挑战前</x:v>
      </x:c>
      <x:c r="E297" s="22" t="n">
        <x:v>121064</x:v>
      </x:c>
      <x:c r="F297" s="22" t="n">
        <x:v>127825</x:v>
      </x:c>
      <x:c r="G297" s="22" t="n">
        <x:v>118046</x:v>
      </x:c>
      <x:c r="H297" s="22" t="n">
        <x:v>124774</x:v>
      </x:c>
      <x:c r="I297" s="22" t="n">
        <x:v>118101</x:v>
      </x:c>
      <x:c r="J297" s="22" t="n">
        <x:v>124829</x:v>
      </x:c>
      <x:c r="K297" s="22" t="n">
        <x:v>15029500</x:v>
      </x:c>
      <x:c r="L297" s="22" t="n">
        <x:v>6001100</x:v>
      </x:c>
      <x:c r="M297" s="22" t="n">
        <x:v>989</x:v>
      </x:c>
      <x:c r="N297" s="22" t="n">
        <x:v>1782</x:v>
      </x:c>
      <x:c r="O297" s="22" t="n">
        <x:v>801</x:v>
      </x:c>
      <x:c r="P297" s="22" t="n">
        <x:v>1465</x:v>
      </x:c>
      <x:c r="Q297" s="22" t="n">
        <x:v>1511</x:v>
      </x:c>
      <x:c r="R297" s="22" t="n">
        <x:v>1462</x:v>
      </x:c>
      <x:c r="S297" s="22" t="n">
        <x:v>1462</x:v>
      </x:c>
      <x:c r="T297" s="22" t="n">
        <x:v>1.2300000000000004</x:v>
      </x:c>
      <x:c r="U297" s="22" t="n">
        <x:v>16</x:v>
      </x:c>
      <x:c r="V297" s="22" t="n">
        <x:v>614</x:v>
      </x:c>
      <x:c r="W297" s="22" t="n">
        <x:v>254</x:v>
      </x:c>
      <x:c r="X297" s="22" t="n">
        <x:v>25</x:v>
      </x:c>
      <x:c r="Y297" s="22" t="n">
        <x:v>646</x:v>
      </x:c>
      <x:c r="Z297" s="22" t="n">
        <x:v>4</x:v>
      </x:c>
      <x:c r="AA297" s="22" t="n">
        <x:v>568</x:v>
      </x:c>
      <x:c r="AB297" s="22" t="n">
        <x:v>0</x:v>
      </x:c>
      <x:c r="AC297" s="22" t="n">
        <x:v>0</x:v>
      </x:c>
      <x:c r="AD297" s="22" t="n">
        <x:v>38</x:v>
      </x:c>
      <x:c r="AE297" s="22" t="n">
        <x:v>13</x:v>
      </x:c>
      <x:c r="AF297" s="22" t="n">
        <x:v>91</x:v>
      </x:c>
      <x:c r="AG297" s="22" t="n">
        <x:v>7</x:v>
      </x:c>
      <x:c r="AH297" s="22" t="n">
        <x:v>8</x:v>
      </x:c>
      <x:c r="AI297" s="22" t="n">
        <x:v>37</x:v>
      </x:c>
      <x:c r="AJ297" s="22" t="n">
        <x:v>10</x:v>
      </x:c>
      <x:c r="AK297" s="22" t="n">
        <x:v>8</x:v>
      </x:c>
      <x:c r="AL297" s="22" t="n">
        <x:v>982</x:v>
      </x:c>
      <x:c r="AM297" s="22" t="n">
        <x:v>67</x:v>
      </x:c>
      <x:c r="AN297" s="22" t="n">
        <x:v>13</x:v>
      </x:c>
      <x:c r="AO297" s="22" t="n">
        <x:v>7</x:v>
      </x:c>
      <x:c r="AP297" s="22" t="n">
        <x:v>6350</x:v>
      </x:c>
      <x:c r="AQ297" s="22" t="n">
        <x:v>20</x:v>
      </x:c>
      <x:c r="AR297" s="22" t="n">
        <x:v>0</x:v>
      </x:c>
      <x:c r="AS297" s="22" t="n">
        <x:v>10</x:v>
      </x:c>
      <x:c r="AT297" s="22" t="n">
        <x:v>10</x:v>
      </x:c>
      <x:c r="AU297" s="22" t="n">
        <x:v>0</x:v>
      </x:c>
      <x:c r="AV297" s="22" t="n">
        <x:v>39</x:v>
      </x:c>
      <x:c r="AW297" s="22" t="n">
        <x:v>0</x:v>
      </x:c>
    </x:row>
    <x:row r="298" ht="24" customHeight="1">
      <x:c r="A298" s="22" t="str">
        <x:v>P0294</x:v>
      </x:c>
      <x:c r="B298" s="22" t="n">
        <x:v>9</x:v>
      </x:c>
      <x:c r="C298" s="22" t="n">
        <x:v>5</x:v>
      </x:c>
      <x:c r="D298" s="22" t="str">
        <x:v>王门执宪者·赫桑达挑战前</x:v>
      </x:c>
      <x:c r="E298" s="22" t="n">
        <x:v>121064</x:v>
      </x:c>
      <x:c r="F298" s="22" t="n">
        <x:v>127825</x:v>
      </x:c>
      <x:c r="G298" s="22" t="n">
        <x:v>118046</x:v>
      </x:c>
      <x:c r="H298" s="22" t="n">
        <x:v>124774</x:v>
      </x:c>
      <x:c r="I298" s="22" t="n">
        <x:v>118101</x:v>
      </x:c>
      <x:c r="J298" s="22" t="n">
        <x:v>124829</x:v>
      </x:c>
      <x:c r="K298" s="22" t="n">
        <x:v>15029500</x:v>
      </x:c>
      <x:c r="L298" s="22" t="n">
        <x:v>6001100</x:v>
      </x:c>
      <x:c r="M298" s="22" t="n">
        <x:v>989</x:v>
      </x:c>
      <x:c r="N298" s="22" t="n">
        <x:v>1782</x:v>
      </x:c>
      <x:c r="O298" s="22" t="n">
        <x:v>801</x:v>
      </x:c>
      <x:c r="P298" s="22" t="n">
        <x:v>1465</x:v>
      </x:c>
      <x:c r="Q298" s="22" t="n">
        <x:v>1511</x:v>
      </x:c>
      <x:c r="R298" s="22" t="n">
        <x:v>1462</x:v>
      </x:c>
      <x:c r="S298" s="22" t="n">
        <x:v>1462</x:v>
      </x:c>
      <x:c r="T298" s="22" t="n">
        <x:v>1.2300000000000004</x:v>
      </x:c>
      <x:c r="U298" s="22" t="n">
        <x:v>16</x:v>
      </x:c>
      <x:c r="V298" s="22" t="n">
        <x:v>614</x:v>
      </x:c>
      <x:c r="W298" s="22" t="n">
        <x:v>254</x:v>
      </x:c>
      <x:c r="X298" s="22" t="n">
        <x:v>25</x:v>
      </x:c>
      <x:c r="Y298" s="22" t="n">
        <x:v>646</x:v>
      </x:c>
      <x:c r="Z298" s="22" t="n">
        <x:v>4</x:v>
      </x:c>
      <x:c r="AA298" s="22" t="n">
        <x:v>568</x:v>
      </x:c>
      <x:c r="AB298" s="22" t="n">
        <x:v>0</x:v>
      </x:c>
      <x:c r="AC298" s="22" t="n">
        <x:v>0</x:v>
      </x:c>
      <x:c r="AD298" s="22" t="n">
        <x:v>38</x:v>
      </x:c>
      <x:c r="AE298" s="22" t="n">
        <x:v>13</x:v>
      </x:c>
      <x:c r="AF298" s="22" t="n">
        <x:v>91</x:v>
      </x:c>
      <x:c r="AG298" s="22" t="n">
        <x:v>7</x:v>
      </x:c>
      <x:c r="AH298" s="22" t="n">
        <x:v>8</x:v>
      </x:c>
      <x:c r="AI298" s="22" t="n">
        <x:v>37</x:v>
      </x:c>
      <x:c r="AJ298" s="22" t="n">
        <x:v>10</x:v>
      </x:c>
      <x:c r="AK298" s="22" t="n">
        <x:v>8</x:v>
      </x:c>
      <x:c r="AL298" s="22" t="n">
        <x:v>982</x:v>
      </x:c>
      <x:c r="AM298" s="22" t="n">
        <x:v>67</x:v>
      </x:c>
      <x:c r="AN298" s="22" t="n">
        <x:v>13</x:v>
      </x:c>
      <x:c r="AO298" s="22" t="n">
        <x:v>7</x:v>
      </x:c>
      <x:c r="AP298" s="22" t="n">
        <x:v>6350</x:v>
      </x:c>
      <x:c r="AQ298" s="22" t="n">
        <x:v>20</x:v>
      </x:c>
      <x:c r="AR298" s="22" t="n">
        <x:v>0</x:v>
      </x:c>
      <x:c r="AS298" s="22" t="n">
        <x:v>10</x:v>
      </x:c>
      <x:c r="AT298" s="22" t="n">
        <x:v>10</x:v>
      </x:c>
      <x:c r="AU298" s="22" t="n">
        <x:v>0</x:v>
      </x:c>
      <x:c r="AV298" s="22" t="n">
        <x:v>39</x:v>
      </x:c>
      <x:c r="AW298" s="22" t="n">
        <x:v>0</x:v>
      </x:c>
    </x:row>
    <x:row r="299" ht="24" customHeight="1">
      <x:c r="A299" s="22" t="str">
        <x:v>P0295</x:v>
      </x:c>
      <x:c r="B299" s="22" t="n">
        <x:v>9</x:v>
      </x:c>
      <x:c r="C299" s="22" t="n">
        <x:v>5</x:v>
      </x:c>
      <x:c r="D299" s="22" t="str">
        <x:v>王城前垒BOSS装备快线</x:v>
      </x:c>
      <x:c r="E299" s="22" t="n">
        <x:v>121169</x:v>
      </x:c>
      <x:c r="F299" s="22" t="n">
        <x:v>128030</x:v>
      </x:c>
      <x:c r="G299" s="22" t="n">
        <x:v>118151</x:v>
      </x:c>
      <x:c r="H299" s="22" t="n">
        <x:v>124979</x:v>
      </x:c>
      <x:c r="I299" s="22" t="n">
        <x:v>118206</x:v>
      </x:c>
      <x:c r="J299" s="22" t="n">
        <x:v>125034</x:v>
      </x:c>
      <x:c r="K299" s="22" t="n">
        <x:v>15076700</x:v>
      </x:c>
      <x:c r="L299" s="22" t="n">
        <x:v>6001100</x:v>
      </x:c>
      <x:c r="M299" s="22" t="n">
        <x:v>998</x:v>
      </x:c>
      <x:c r="N299" s="22" t="n">
        <x:v>1799</x:v>
      </x:c>
      <x:c r="O299" s="22" t="n">
        <x:v>809</x:v>
      </x:c>
      <x:c r="P299" s="22" t="n">
        <x:v>1479</x:v>
      </x:c>
      <x:c r="Q299" s="22" t="n">
        <x:v>1519</x:v>
      </x:c>
      <x:c r="R299" s="22" t="n">
        <x:v>1470</x:v>
      </x:c>
      <x:c r="S299" s="22" t="n">
        <x:v>1470</x:v>
      </x:c>
      <x:c r="T299" s="22" t="n">
        <x:v>1.2300000000000004</x:v>
      </x:c>
      <x:c r="U299" s="22" t="n">
        <x:v>16</x:v>
      </x:c>
      <x:c r="V299" s="22" t="n">
        <x:v>619</x:v>
      </x:c>
      <x:c r="W299" s="22" t="n">
        <x:v>254</x:v>
      </x:c>
      <x:c r="X299" s="22" t="n">
        <x:v>25</x:v>
      </x:c>
      <x:c r="Y299" s="22" t="n">
        <x:v>654</x:v>
      </x:c>
      <x:c r="Z299" s="22" t="n">
        <x:v>4</x:v>
      </x:c>
      <x:c r="AA299" s="22" t="n">
        <x:v>568</x:v>
      </x:c>
      <x:c r="AB299" s="22" t="n">
        <x:v>0</x:v>
      </x:c>
      <x:c r="AC299" s="22" t="n">
        <x:v>0</x:v>
      </x:c>
      <x:c r="AD299" s="22" t="n">
        <x:v>38</x:v>
      </x:c>
      <x:c r="AE299" s="22" t="n">
        <x:v>13</x:v>
      </x:c>
      <x:c r="AF299" s="22" t="n">
        <x:v>91</x:v>
      </x:c>
      <x:c r="AG299" s="22" t="n">
        <x:v>7</x:v>
      </x:c>
      <x:c r="AH299" s="22" t="n">
        <x:v>8</x:v>
      </x:c>
      <x:c r="AI299" s="22" t="n">
        <x:v>37</x:v>
      </x:c>
      <x:c r="AJ299" s="22" t="n">
        <x:v>10</x:v>
      </x:c>
      <x:c r="AK299" s="22" t="n">
        <x:v>8</x:v>
      </x:c>
      <x:c r="AL299" s="22" t="n">
        <x:v>982</x:v>
      </x:c>
      <x:c r="AM299" s="22" t="n">
        <x:v>67</x:v>
      </x:c>
      <x:c r="AN299" s="22" t="n">
        <x:v>13</x:v>
      </x:c>
      <x:c r="AO299" s="22" t="n">
        <x:v>7</x:v>
      </x:c>
      <x:c r="AP299" s="22" t="n">
        <x:v>6350</x:v>
      </x:c>
      <x:c r="AQ299" s="22" t="n">
        <x:v>20</x:v>
      </x:c>
      <x:c r="AR299" s="22" t="n">
        <x:v>0</x:v>
      </x:c>
      <x:c r="AS299" s="22" t="n">
        <x:v>10</x:v>
      </x:c>
      <x:c r="AT299" s="22" t="n">
        <x:v>10</x:v>
      </x:c>
      <x:c r="AU299" s="22" t="n">
        <x:v>0</x:v>
      </x:c>
      <x:c r="AV299" s="22" t="n">
        <x:v>39</x:v>
      </x:c>
      <x:c r="AW299" s="22" t="n">
        <x:v>0</x:v>
      </x:c>
    </x:row>
    <x:row r="300" ht="24" customHeight="1">
      <x:c r="A300" s="22" t="str">
        <x:v>P0296</x:v>
      </x:c>
      <x:c r="B300" s="22" t="n">
        <x:v>9</x:v>
      </x:c>
      <x:c r="C300" s="22" t="n">
        <x:v>5</x:v>
      </x:c>
      <x:c r="D300" s="22" t="str">
        <x:v>王城前垒阶段积累后</x:v>
      </x:c>
      <x:c r="E300" s="22" t="n">
        <x:v>123288</x:v>
      </x:c>
      <x:c r="F300" s="22" t="n">
        <x:v>133649</x:v>
      </x:c>
      <x:c r="G300" s="22" t="n">
        <x:v>121876</x:v>
      </x:c>
      <x:c r="H300" s="22" t="n">
        <x:v>132204</x:v>
      </x:c>
      <x:c r="I300" s="22" t="n">
        <x:v>121931</x:v>
      </x:c>
      <x:c r="J300" s="22" t="n">
        <x:v>132259</x:v>
      </x:c>
      <x:c r="K300" s="22" t="n">
        <x:v>16294700</x:v>
      </x:c>
      <x:c r="L300" s="22" t="n">
        <x:v>6001100</x:v>
      </x:c>
      <x:c r="M300" s="22" t="n">
        <x:v>1014</x:v>
      </x:c>
      <x:c r="N300" s="22" t="n">
        <x:v>1822</x:v>
      </x:c>
      <x:c r="O300" s="22" t="n">
        <x:v>821</x:v>
      </x:c>
      <x:c r="P300" s="22" t="n">
        <x:v>1500</x:v>
      </x:c>
      <x:c r="Q300" s="22" t="n">
        <x:v>1583</x:v>
      </x:c>
      <x:c r="R300" s="22" t="n">
        <x:v>1556</x:v>
      </x:c>
      <x:c r="S300" s="22" t="n">
        <x:v>1556</x:v>
      </x:c>
      <x:c r="T300" s="22" t="n">
        <x:v>1.2300000000000004</x:v>
      </x:c>
      <x:c r="U300" s="22" t="n">
        <x:v>16</x:v>
      </x:c>
      <x:c r="V300" s="22" t="n">
        <x:v>687</x:v>
      </x:c>
      <x:c r="W300" s="22" t="n">
        <x:v>278</x:v>
      </x:c>
      <x:c r="X300" s="22" t="n">
        <x:v>25</x:v>
      </x:c>
      <x:c r="Y300" s="22" t="n">
        <x:v>709</x:v>
      </x:c>
      <x:c r="Z300" s="22" t="n">
        <x:v>6</x:v>
      </x:c>
      <x:c r="AA300" s="22" t="n">
        <x:v>580</x:v>
      </x:c>
      <x:c r="AB300" s="22" t="n">
        <x:v>0</x:v>
      </x:c>
      <x:c r="AC300" s="22" t="n">
        <x:v>0</x:v>
      </x:c>
      <x:c r="AD300" s="22" t="n">
        <x:v>41</x:v>
      </x:c>
      <x:c r="AE300" s="22" t="n">
        <x:v>14</x:v>
      </x:c>
      <x:c r="AF300" s="22" t="n">
        <x:v>99</x:v>
      </x:c>
      <x:c r="AG300" s="22" t="n">
        <x:v>7</x:v>
      </x:c>
      <x:c r="AH300" s="22" t="n">
        <x:v>8</x:v>
      </x:c>
      <x:c r="AI300" s="22" t="n">
        <x:v>38</x:v>
      </x:c>
      <x:c r="AJ300" s="22" t="n">
        <x:v>11</x:v>
      </x:c>
      <x:c r="AK300" s="22" t="n">
        <x:v>7</x:v>
      </x:c>
      <x:c r="AL300" s="22" t="n">
        <x:v>988</x:v>
      </x:c>
      <x:c r="AM300" s="22" t="n">
        <x:v>67</x:v>
      </x:c>
      <x:c r="AN300" s="22" t="n">
        <x:v>14</x:v>
      </x:c>
      <x:c r="AO300" s="22" t="n">
        <x:v>7</x:v>
      </x:c>
      <x:c r="AP300" s="22" t="n">
        <x:v>6500</x:v>
      </x:c>
      <x:c r="AQ300" s="22" t="n">
        <x:v>21</x:v>
      </x:c>
      <x:c r="AR300" s="22" t="n">
        <x:v>0</x:v>
      </x:c>
      <x:c r="AS300" s="22" t="n">
        <x:v>10</x:v>
      </x:c>
      <x:c r="AT300" s="22" t="n">
        <x:v>10</x:v>
      </x:c>
      <x:c r="AU300" s="22" t="n">
        <x:v>0</x:v>
      </x:c>
      <x:c r="AV300" s="22" t="n">
        <x:v>41</x:v>
      </x:c>
      <x:c r="AW300" s="22" t="n">
        <x:v>0</x:v>
      </x:c>
    </x:row>
    <x:row r="301" ht="24" customHeight="1">
      <x:c r="A301" s="22" t="str">
        <x:v>P0297</x:v>
      </x:c>
      <x:c r="B301" s="22" t="n">
        <x:v>9</x:v>
      </x:c>
      <x:c r="C301" s="22" t="n">
        <x:v>5</x:v>
      </x:c>
      <x:c r="D301" s="22" t="str">
        <x:v>C09守关前必做制作完成</x:v>
      </x:c>
      <x:c r="E301" s="22" t="n">
        <x:v>127514</x:v>
      </x:c>
      <x:c r="F301" s="22" t="n">
        <x:v>137875</x:v>
      </x:c>
      <x:c r="G301" s="22" t="n">
        <x:v>121876</x:v>
      </x:c>
      <x:c r="H301" s="22" t="n">
        <x:v>132204</x:v>
      </x:c>
      <x:c r="I301" s="22" t="n">
        <x:v>121931</x:v>
      </x:c>
      <x:c r="J301" s="22" t="n">
        <x:v>132259</x:v>
      </x:c>
      <x:c r="K301" s="22" t="n">
        <x:v>16294700</x:v>
      </x:c>
      <x:c r="L301" s="22" t="n">
        <x:v>6001100</x:v>
      </x:c>
      <x:c r="M301" s="22" t="n">
        <x:v>1014</x:v>
      </x:c>
      <x:c r="N301" s="22" t="n">
        <x:v>1822</x:v>
      </x:c>
      <x:c r="O301" s="22" t="n">
        <x:v>821</x:v>
      </x:c>
      <x:c r="P301" s="22" t="n">
        <x:v>1500</x:v>
      </x:c>
      <x:c r="Q301" s="22" t="n">
        <x:v>1583</x:v>
      </x:c>
      <x:c r="R301" s="22" t="n">
        <x:v>1556</x:v>
      </x:c>
      <x:c r="S301" s="22" t="n">
        <x:v>1556</x:v>
      </x:c>
      <x:c r="T301" s="22" t="n">
        <x:v>1.2300000000000004</x:v>
      </x:c>
      <x:c r="U301" s="22" t="n">
        <x:v>16</x:v>
      </x:c>
      <x:c r="V301" s="22" t="n">
        <x:v>687</x:v>
      </x:c>
      <x:c r="W301" s="22" t="n">
        <x:v>278</x:v>
      </x:c>
      <x:c r="X301" s="22" t="n">
        <x:v>26</x:v>
      </x:c>
      <x:c r="Y301" s="22" t="n">
        <x:v>709</x:v>
      </x:c>
      <x:c r="Z301" s="22" t="n">
        <x:v>6</x:v>
      </x:c>
      <x:c r="AA301" s="22" t="n">
        <x:v>580</x:v>
      </x:c>
      <x:c r="AB301" s="22" t="n">
        <x:v>0</x:v>
      </x:c>
      <x:c r="AC301" s="22" t="n">
        <x:v>0</x:v>
      </x:c>
      <x:c r="AD301" s="22" t="n">
        <x:v>41</x:v>
      </x:c>
      <x:c r="AE301" s="22" t="n">
        <x:v>14</x:v>
      </x:c>
      <x:c r="AF301" s="22" t="n">
        <x:v>99</x:v>
      </x:c>
      <x:c r="AG301" s="22" t="n">
        <x:v>7</x:v>
      </x:c>
      <x:c r="AH301" s="22" t="n">
        <x:v>8</x:v>
      </x:c>
      <x:c r="AI301" s="22" t="n">
        <x:v>38</x:v>
      </x:c>
      <x:c r="AJ301" s="22" t="n">
        <x:v>11</x:v>
      </x:c>
      <x:c r="AK301" s="22" t="n">
        <x:v>7</x:v>
      </x:c>
      <x:c r="AL301" s="22" t="n">
        <x:v>988</x:v>
      </x:c>
      <x:c r="AM301" s="22" t="n">
        <x:v>67</x:v>
      </x:c>
      <x:c r="AN301" s="22" t="n">
        <x:v>14</x:v>
      </x:c>
      <x:c r="AO301" s="22" t="n">
        <x:v>7</x:v>
      </x:c>
      <x:c r="AP301" s="22" t="n">
        <x:v>6500</x:v>
      </x:c>
      <x:c r="AQ301" s="22" t="n">
        <x:v>22</x:v>
      </x:c>
      <x:c r="AR301" s="22" t="n">
        <x:v>0</x:v>
      </x:c>
      <x:c r="AS301" s="22" t="n">
        <x:v>10</x:v>
      </x:c>
      <x:c r="AT301" s="22" t="n">
        <x:v>10</x:v>
      </x:c>
      <x:c r="AU301" s="22" t="n">
        <x:v>0</x:v>
      </x:c>
      <x:c r="AV301" s="22" t="n">
        <x:v>41</x:v>
      </x:c>
      <x:c r="AW301" s="22" t="n">
        <x:v>0</x:v>
      </x:c>
    </x:row>
    <x:row r="302" ht="24" customHeight="1">
      <x:c r="A302" s="22" t="str">
        <x:v>P0298</x:v>
      </x:c>
      <x:c r="B302" s="22" t="n">
        <x:v>9</x:v>
      </x:c>
      <x:c r="C302" s="22" t="n">
        <x:v>5</x:v>
      </x:c>
      <x:c r="D302" s="22" t="str">
        <x:v>C09约70%守关参考</x:v>
      </x:c>
      <x:c r="E302" s="22" t="n">
        <x:v>130264</x:v>
      </x:c>
      <x:c r="F302" s="22" t="n">
        <x:v>140625</x:v>
      </x:c>
      <x:c r="G302" s="22" t="n">
        <x:v>124626</x:v>
      </x:c>
      <x:c r="H302" s="22" t="n">
        <x:v>134954</x:v>
      </x:c>
      <x:c r="I302" s="22" t="n">
        <x:v>124681</x:v>
      </x:c>
      <x:c r="J302" s="22" t="n">
        <x:v>135009</x:v>
      </x:c>
      <x:c r="K302" s="22" t="n">
        <x:v>16569700</x:v>
      </x:c>
      <x:c r="L302" s="22" t="n">
        <x:v>6001100</x:v>
      </x:c>
      <x:c r="M302" s="22" t="n">
        <x:v>1014</x:v>
      </x:c>
      <x:c r="N302" s="22" t="n">
        <x:v>1822</x:v>
      </x:c>
      <x:c r="O302" s="22" t="n">
        <x:v>821</x:v>
      </x:c>
      <x:c r="P302" s="22" t="n">
        <x:v>1500</x:v>
      </x:c>
      <x:c r="Q302" s="22" t="n">
        <x:v>1583</x:v>
      </x:c>
      <x:c r="R302" s="22" t="n">
        <x:v>1556</x:v>
      </x:c>
      <x:c r="S302" s="22" t="n">
        <x:v>1556</x:v>
      </x:c>
      <x:c r="T302" s="22" t="n">
        <x:v>1.3800000000000006</x:v>
      </x:c>
      <x:c r="U302" s="22" t="n">
        <x:v>16</x:v>
      </x:c>
      <x:c r="V302" s="22" t="n">
        <x:v>687</x:v>
      </x:c>
      <x:c r="W302" s="22" t="n">
        <x:v>278</x:v>
      </x:c>
      <x:c r="X302" s="22" t="n">
        <x:v>26</x:v>
      </x:c>
      <x:c r="Y302" s="22" t="n">
        <x:v>709</x:v>
      </x:c>
      <x:c r="Z302" s="22" t="n">
        <x:v>6</x:v>
      </x:c>
      <x:c r="AA302" s="22" t="n">
        <x:v>580</x:v>
      </x:c>
      <x:c r="AB302" s="22" t="n">
        <x:v>0</x:v>
      </x:c>
      <x:c r="AC302" s="22" t="n">
        <x:v>0</x:v>
      </x:c>
      <x:c r="AD302" s="22" t="n">
        <x:v>41</x:v>
      </x:c>
      <x:c r="AE302" s="22" t="n">
        <x:v>14</x:v>
      </x:c>
      <x:c r="AF302" s="22" t="n">
        <x:v>99</x:v>
      </x:c>
      <x:c r="AG302" s="22" t="n">
        <x:v>7</x:v>
      </x:c>
      <x:c r="AH302" s="22" t="n">
        <x:v>8</x:v>
      </x:c>
      <x:c r="AI302" s="22" t="n">
        <x:v>39.5</x:v>
      </x:c>
      <x:c r="AJ302" s="22" t="n">
        <x:v>11</x:v>
      </x:c>
      <x:c r="AK302" s="22" t="n">
        <x:v>7</x:v>
      </x:c>
      <x:c r="AL302" s="22" t="n">
        <x:v>1168</x:v>
      </x:c>
      <x:c r="AM302" s="22" t="n">
        <x:v>67</x:v>
      </x:c>
      <x:c r="AN302" s="22" t="n">
        <x:v>14</x:v>
      </x:c>
      <x:c r="AO302" s="22" t="n">
        <x:v>7</x:v>
      </x:c>
      <x:c r="AP302" s="22" t="n">
        <x:v>6500</x:v>
      </x:c>
      <x:c r="AQ302" s="22" t="n">
        <x:v>22</x:v>
      </x:c>
      <x:c r="AR302" s="22" t="n">
        <x:v>0</x:v>
      </x:c>
      <x:c r="AS302" s="22" t="n">
        <x:v>10</x:v>
      </x:c>
      <x:c r="AT302" s="22" t="n">
        <x:v>10</x:v>
      </x:c>
      <x:c r="AU302" s="22" t="n">
        <x:v>0</x:v>
      </x:c>
      <x:c r="AV302" s="22" t="n">
        <x:v>41</x:v>
      </x:c>
      <x:c r="AW302" s="22" t="n">
        <x:v>0</x:v>
      </x:c>
    </x:row>
    <x:row r="303" ht="24" customHeight="1">
      <x:c r="A303" s="22" t="str">
        <x:v>P0299</x:v>
      </x:c>
      <x:c r="B303" s="22" t="n">
        <x:v>9</x:v>
      </x:c>
      <x:c r="C303" s="22" t="n">
        <x:v>5</x:v>
      </x:c>
      <x:c r="D303" s="22" t="str">
        <x:v>C09高完成度参考</x:v>
      </x:c>
      <x:c r="E303" s="22" t="n">
        <x:v>133746</x:v>
      </x:c>
      <x:c r="F303" s="22" t="n">
        <x:v>145256</x:v>
      </x:c>
      <x:c r="G303" s="22" t="n">
        <x:v>128108</x:v>
      </x:c>
      <x:c r="H303" s="22" t="n">
        <x:v>139585</x:v>
      </x:c>
      <x:c r="I303" s="22" t="n">
        <x:v>128163</x:v>
      </x:c>
      <x:c r="J303" s="22" t="n">
        <x:v>139640</x:v>
      </x:c>
      <x:c r="K303" s="22" t="n">
        <x:v>17573000</x:v>
      </x:c>
      <x:c r="L303" s="22" t="n">
        <x:v>6001100</x:v>
      </x:c>
      <x:c r="M303" s="22" t="n">
        <x:v>1194</x:v>
      </x:c>
      <x:c r="N303" s="22" t="n">
        <x:v>2152</x:v>
      </x:c>
      <x:c r="O303" s="22" t="n">
        <x:v>970</x:v>
      </x:c>
      <x:c r="P303" s="22" t="n">
        <x:v>1769</x:v>
      </x:c>
      <x:c r="Q303" s="22" t="n">
        <x:v>1707</x:v>
      </x:c>
      <x:c r="R303" s="22" t="n">
        <x:v>1680</x:v>
      </x:c>
      <x:c r="S303" s="22" t="n">
        <x:v>1680</x:v>
      </x:c>
      <x:c r="T303" s="22" t="n">
        <x:v>1.4300000000000006</x:v>
      </x:c>
      <x:c r="U303" s="22" t="n">
        <x:v>16</x:v>
      </x:c>
      <x:c r="V303" s="22" t="n">
        <x:v>736</x:v>
      </x:c>
      <x:c r="W303" s="22" t="n">
        <x:v>305</x:v>
      </x:c>
      <x:c r="X303" s="22" t="n">
        <x:v>26</x:v>
      </x:c>
      <x:c r="Y303" s="22" t="n">
        <x:v>717</x:v>
      </x:c>
      <x:c r="Z303" s="22" t="n">
        <x:v>6</x:v>
      </x:c>
      <x:c r="AA303" s="22" t="n">
        <x:v>724</x:v>
      </x:c>
      <x:c r="AB303" s="22" t="n">
        <x:v>0</x:v>
      </x:c>
      <x:c r="AC303" s="22" t="n">
        <x:v>0</x:v>
      </x:c>
      <x:c r="AD303" s="22" t="n">
        <x:v>41</x:v>
      </x:c>
      <x:c r="AE303" s="22" t="n">
        <x:v>14</x:v>
      </x:c>
      <x:c r="AF303" s="22" t="n">
        <x:v>99</x:v>
      </x:c>
      <x:c r="AG303" s="22" t="n">
        <x:v>7</x:v>
      </x:c>
      <x:c r="AH303" s="22" t="n">
        <x:v>8</x:v>
      </x:c>
      <x:c r="AI303" s="22" t="n">
        <x:v>40</x:v>
      </x:c>
      <x:c r="AJ303" s="22" t="n">
        <x:v>11</x:v>
      </x:c>
      <x:c r="AK303" s="22" t="n">
        <x:v>7</x:v>
      </x:c>
      <x:c r="AL303" s="22" t="n">
        <x:v>1228</x:v>
      </x:c>
      <x:c r="AM303" s="22" t="n">
        <x:v>69</x:v>
      </x:c>
      <x:c r="AN303" s="22" t="n">
        <x:v>14</x:v>
      </x:c>
      <x:c r="AO303" s="22" t="n">
        <x:v>7</x:v>
      </x:c>
      <x:c r="AP303" s="22" t="n">
        <x:v>6500</x:v>
      </x:c>
      <x:c r="AQ303" s="22" t="n">
        <x:v>22</x:v>
      </x:c>
      <x:c r="AR303" s="22" t="n">
        <x:v>0</x:v>
      </x:c>
      <x:c r="AS303" s="22" t="n">
        <x:v>10</x:v>
      </x:c>
      <x:c r="AT303" s="22" t="n">
        <x:v>10</x:v>
      </x:c>
      <x:c r="AU303" s="22" t="n">
        <x:v>0</x:v>
      </x:c>
      <x:c r="AV303" s="22" t="n">
        <x:v>41</x:v>
      </x:c>
      <x:c r="AW303" s="22" t="n">
        <x:v>0</x:v>
      </x:c>
    </x:row>
    <x:row r="304" ht="24" customHeight="1">
      <x:c r="A304" s="22" t="str">
        <x:v>P0300</x:v>
      </x:c>
      <x:c r="B304" s="22" t="n">
        <x:v>9</x:v>
      </x:c>
      <x:c r="C304" s="22" t="n">
        <x:v>5</x:v>
      </x:c>
      <x:c r="D304" s="22" t="str">
        <x:v>C09守关后继承</x:v>
      </x:c>
      <x:c r="E304" s="22" t="n">
        <x:v>130264</x:v>
      </x:c>
      <x:c r="F304" s="22" t="n">
        <x:v>140625</x:v>
      </x:c>
      <x:c r="G304" s="22" t="n">
        <x:v>124626</x:v>
      </x:c>
      <x:c r="H304" s="22" t="n">
        <x:v>134954</x:v>
      </x:c>
      <x:c r="I304" s="22" t="n">
        <x:v>124681</x:v>
      </x:c>
      <x:c r="J304" s="22" t="n">
        <x:v>135009</x:v>
      </x:c>
      <x:c r="K304" s="22" t="n">
        <x:v>16569700</x:v>
      </x:c>
      <x:c r="L304" s="22" t="n">
        <x:v>6001100</x:v>
      </x:c>
      <x:c r="M304" s="22" t="n">
        <x:v>1014</x:v>
      </x:c>
      <x:c r="N304" s="22" t="n">
        <x:v>1822</x:v>
      </x:c>
      <x:c r="O304" s="22" t="n">
        <x:v>821</x:v>
      </x:c>
      <x:c r="P304" s="22" t="n">
        <x:v>1500</x:v>
      </x:c>
      <x:c r="Q304" s="22" t="n">
        <x:v>1583</x:v>
      </x:c>
      <x:c r="R304" s="22" t="n">
        <x:v>1556</x:v>
      </x:c>
      <x:c r="S304" s="22" t="n">
        <x:v>1556</x:v>
      </x:c>
      <x:c r="T304" s="22" t="n">
        <x:v>1.3800000000000006</x:v>
      </x:c>
      <x:c r="U304" s="22" t="n">
        <x:v>16</x:v>
      </x:c>
      <x:c r="V304" s="22" t="n">
        <x:v>687</x:v>
      </x:c>
      <x:c r="W304" s="22" t="n">
        <x:v>278</x:v>
      </x:c>
      <x:c r="X304" s="22" t="n">
        <x:v>26</x:v>
      </x:c>
      <x:c r="Y304" s="22" t="n">
        <x:v>709</x:v>
      </x:c>
      <x:c r="Z304" s="22" t="n">
        <x:v>6</x:v>
      </x:c>
      <x:c r="AA304" s="22" t="n">
        <x:v>580</x:v>
      </x:c>
      <x:c r="AB304" s="22" t="n">
        <x:v>0</x:v>
      </x:c>
      <x:c r="AC304" s="22" t="n">
        <x:v>0</x:v>
      </x:c>
      <x:c r="AD304" s="22" t="n">
        <x:v>41</x:v>
      </x:c>
      <x:c r="AE304" s="22" t="n">
        <x:v>14</x:v>
      </x:c>
      <x:c r="AF304" s="22" t="n">
        <x:v>99</x:v>
      </x:c>
      <x:c r="AG304" s="22" t="n">
        <x:v>7</x:v>
      </x:c>
      <x:c r="AH304" s="22" t="n">
        <x:v>8</x:v>
      </x:c>
      <x:c r="AI304" s="22" t="n">
        <x:v>39.5</x:v>
      </x:c>
      <x:c r="AJ304" s="22" t="n">
        <x:v>11</x:v>
      </x:c>
      <x:c r="AK304" s="22" t="n">
        <x:v>7</x:v>
      </x:c>
      <x:c r="AL304" s="22" t="n">
        <x:v>1168</x:v>
      </x:c>
      <x:c r="AM304" s="22" t="n">
        <x:v>67</x:v>
      </x:c>
      <x:c r="AN304" s="22" t="n">
        <x:v>14</x:v>
      </x:c>
      <x:c r="AO304" s="22" t="n">
        <x:v>7</x:v>
      </x:c>
      <x:c r="AP304" s="22" t="n">
        <x:v>6600</x:v>
      </x:c>
      <x:c r="AQ304" s="22" t="n">
        <x:v>25</x:v>
      </x:c>
      <x:c r="AR304" s="22" t="n">
        <x:v>3</x:v>
      </x:c>
      <x:c r="AS304" s="22" t="n">
        <x:v>10</x:v>
      </x:c>
      <x:c r="AT304" s="22" t="n">
        <x:v>10</x:v>
      </x:c>
      <x:c r="AU304" s="22" t="n">
        <x:v>0</x:v>
      </x:c>
      <x:c r="AV304" s="22" t="n">
        <x:v>41</x:v>
      </x:c>
      <x:c r="AW304" s="22" t="n">
        <x:v>0</x:v>
      </x:c>
    </x:row>
    <x:row r="305" ht="24" customHeight="1">
      <x:c r="A305" s="22" t="str">
        <x:v>P0301</x:v>
      </x:c>
      <x:c r="B305" s="22" t="n">
        <x:v>10</x:v>
      </x:c>
      <x:c r="C305" s="22" t="n">
        <x:v>1</x:v>
      </x:c>
      <x:c r="D305" s="22" t="str">
        <x:v>C10入场继承</x:v>
      </x:c>
      <x:c r="E305" s="22" t="n">
        <x:v>130264</x:v>
      </x:c>
      <x:c r="F305" s="22" t="n">
        <x:v>140625</x:v>
      </x:c>
      <x:c r="G305" s="22" t="n">
        <x:v>124626</x:v>
      </x:c>
      <x:c r="H305" s="22" t="n">
        <x:v>134954</x:v>
      </x:c>
      <x:c r="I305" s="22" t="n">
        <x:v>124681</x:v>
      </x:c>
      <x:c r="J305" s="22" t="n">
        <x:v>135009</x:v>
      </x:c>
      <x:c r="K305" s="22" t="n">
        <x:v>16569700</x:v>
      </x:c>
      <x:c r="L305" s="22" t="n">
        <x:v>6001100</x:v>
      </x:c>
      <x:c r="M305" s="22" t="n">
        <x:v>1014</x:v>
      </x:c>
      <x:c r="N305" s="22" t="n">
        <x:v>1822</x:v>
      </x:c>
      <x:c r="O305" s="22" t="n">
        <x:v>821</x:v>
      </x:c>
      <x:c r="P305" s="22" t="n">
        <x:v>1500</x:v>
      </x:c>
      <x:c r="Q305" s="22" t="n">
        <x:v>1583</x:v>
      </x:c>
      <x:c r="R305" s="22" t="n">
        <x:v>1556</x:v>
      </x:c>
      <x:c r="S305" s="22" t="n">
        <x:v>1556</x:v>
      </x:c>
      <x:c r="T305" s="22" t="n">
        <x:v>1.3800000000000006</x:v>
      </x:c>
      <x:c r="U305" s="22" t="n">
        <x:v>16</x:v>
      </x:c>
      <x:c r="V305" s="22" t="n">
        <x:v>687</x:v>
      </x:c>
      <x:c r="W305" s="22" t="n">
        <x:v>278</x:v>
      </x:c>
      <x:c r="X305" s="22" t="n">
        <x:v>26</x:v>
      </x:c>
      <x:c r="Y305" s="22" t="n">
        <x:v>709</x:v>
      </x:c>
      <x:c r="Z305" s="22" t="n">
        <x:v>6</x:v>
      </x:c>
      <x:c r="AA305" s="22" t="n">
        <x:v>580</x:v>
      </x:c>
      <x:c r="AB305" s="22" t="n">
        <x:v>0</x:v>
      </x:c>
      <x:c r="AC305" s="22" t="n">
        <x:v>0</x:v>
      </x:c>
      <x:c r="AD305" s="22" t="n">
        <x:v>41</x:v>
      </x:c>
      <x:c r="AE305" s="22" t="n">
        <x:v>14</x:v>
      </x:c>
      <x:c r="AF305" s="22" t="n">
        <x:v>99</x:v>
      </x:c>
      <x:c r="AG305" s="22" t="n">
        <x:v>7</x:v>
      </x:c>
      <x:c r="AH305" s="22" t="n">
        <x:v>8</x:v>
      </x:c>
      <x:c r="AI305" s="22" t="n">
        <x:v>39.5</x:v>
      </x:c>
      <x:c r="AJ305" s="22" t="n">
        <x:v>11</x:v>
      </x:c>
      <x:c r="AK305" s="22" t="n">
        <x:v>7</x:v>
      </x:c>
      <x:c r="AL305" s="22" t="n">
        <x:v>1168</x:v>
      </x:c>
      <x:c r="AM305" s="22" t="n">
        <x:v>67</x:v>
      </x:c>
      <x:c r="AN305" s="22" t="n">
        <x:v>14</x:v>
      </x:c>
      <x:c r="AO305" s="22" t="n">
        <x:v>7</x:v>
      </x:c>
      <x:c r="AP305" s="22" t="n">
        <x:v>6600</x:v>
      </x:c>
      <x:c r="AQ305" s="22" t="n">
        <x:v>25</x:v>
      </x:c>
      <x:c r="AR305" s="22" t="n">
        <x:v>3</x:v>
      </x:c>
      <x:c r="AS305" s="22" t="n">
        <x:v>10</x:v>
      </x:c>
      <x:c r="AT305" s="22" t="n">
        <x:v>10</x:v>
      </x:c>
      <x:c r="AU305" s="22" t="n">
        <x:v>0</x:v>
      </x:c>
      <x:c r="AV305" s="22" t="n">
        <x:v>41</x:v>
      </x:c>
      <x:c r="AW305" s="22" t="n">
        <x:v>0</x:v>
      </x:c>
    </x:row>
    <x:row r="306" ht="24" customHeight="1">
      <x:c r="A306" s="22" t="str">
        <x:v>P0302</x:v>
      </x:c>
      <x:c r="B306" s="22" t="n">
        <x:v>10</x:v>
      </x:c>
      <x:c r="C306" s="22" t="n">
        <x:v>1</x:v>
      </x:c>
      <x:c r="D306" s="22" t="str">
        <x:v>C10本阶段既有付费/长期成长</x:v>
      </x:c>
      <x:c r="E306" s="22" t="n">
        <x:v>130819</x:v>
      </x:c>
      <x:c r="F306" s="22" t="n">
        <x:v>141180</x:v>
      </x:c>
      <x:c r="G306" s="22" t="n">
        <x:v>125105</x:v>
      </x:c>
      <x:c r="H306" s="22" t="n">
        <x:v>135433</x:v>
      </x:c>
      <x:c r="I306" s="22" t="n">
        <x:v>125160</x:v>
      </x:c>
      <x:c r="J306" s="22" t="n">
        <x:v>135488</x:v>
      </x:c>
      <x:c r="K306" s="22" t="n">
        <x:v>16617600</x:v>
      </x:c>
      <x:c r="L306" s="22" t="n">
        <x:v>6001100</x:v>
      </x:c>
      <x:c r="M306" s="22" t="n">
        <x:v>1014</x:v>
      </x:c>
      <x:c r="N306" s="22" t="n">
        <x:v>1822</x:v>
      </x:c>
      <x:c r="O306" s="22" t="n">
        <x:v>821</x:v>
      </x:c>
      <x:c r="P306" s="22" t="n">
        <x:v>1500</x:v>
      </x:c>
      <x:c r="Q306" s="22" t="n">
        <x:v>1583</x:v>
      </x:c>
      <x:c r="R306" s="22" t="n">
        <x:v>1556</x:v>
      </x:c>
      <x:c r="S306" s="22" t="n">
        <x:v>1556</x:v>
      </x:c>
      <x:c r="T306" s="22" t="n">
        <x:v>1.3800000000000006</x:v>
      </x:c>
      <x:c r="U306" s="22" t="n">
        <x:v>16</x:v>
      </x:c>
      <x:c r="V306" s="22" t="n">
        <x:v>687</x:v>
      </x:c>
      <x:c r="W306" s="22" t="n">
        <x:v>278</x:v>
      </x:c>
      <x:c r="X306" s="22" t="n">
        <x:v>26</x:v>
      </x:c>
      <x:c r="Y306" s="22" t="n">
        <x:v>709</x:v>
      </x:c>
      <x:c r="Z306" s="22" t="n">
        <x:v>6</x:v>
      </x:c>
      <x:c r="AA306" s="22" t="n">
        <x:v>580</x:v>
      </x:c>
      <x:c r="AB306" s="22" t="n">
        <x:v>0</x:v>
      </x:c>
      <x:c r="AC306" s="22" t="n">
        <x:v>0</x:v>
      </x:c>
      <x:c r="AD306" s="22" t="n">
        <x:v>41</x:v>
      </x:c>
      <x:c r="AE306" s="22" t="n">
        <x:v>14</x:v>
      </x:c>
      <x:c r="AF306" s="22" t="n">
        <x:v>99</x:v>
      </x:c>
      <x:c r="AG306" s="22" t="n">
        <x:v>7</x:v>
      </x:c>
      <x:c r="AH306" s="22" t="n">
        <x:v>8</x:v>
      </x:c>
      <x:c r="AI306" s="22" t="n">
        <x:v>39.5</x:v>
      </x:c>
      <x:c r="AJ306" s="22" t="n">
        <x:v>11</x:v>
      </x:c>
      <x:c r="AK306" s="22" t="n">
        <x:v>7</x:v>
      </x:c>
      <x:c r="AL306" s="22" t="n">
        <x:v>1168</x:v>
      </x:c>
      <x:c r="AM306" s="22" t="n">
        <x:v>67</x:v>
      </x:c>
      <x:c r="AN306" s="22" t="n">
        <x:v>14</x:v>
      </x:c>
      <x:c r="AO306" s="22" t="n">
        <x:v>7</x:v>
      </x:c>
      <x:c r="AP306" s="22" t="n">
        <x:v>6600</x:v>
      </x:c>
      <x:c r="AQ306" s="22" t="n">
        <x:v>25</x:v>
      </x:c>
      <x:c r="AR306" s="22" t="n">
        <x:v>3</x:v>
      </x:c>
      <x:c r="AS306" s="22" t="n">
        <x:v>10</x:v>
      </x:c>
      <x:c r="AT306" s="22" t="n">
        <x:v>10</x:v>
      </x:c>
      <x:c r="AU306" s="22" t="n">
        <x:v>0</x:v>
      </x:c>
      <x:c r="AV306" s="22" t="n">
        <x:v>41</x:v>
      </x:c>
      <x:c r="AW306" s="22" t="n">
        <x:v>0</x:v>
      </x:c>
    </x:row>
    <x:row r="307" ht="24" customHeight="1">
      <x:c r="A307" s="22" t="str">
        <x:v>P0303</x:v>
      </x:c>
      <x:c r="B307" s="22" t="n">
        <x:v>10</x:v>
      </x:c>
      <x:c r="C307" s="22" t="n">
        <x:v>1</x:v>
      </x:c>
      <x:c r="D307" s="22" t="str">
        <x:v>C10G01入场</x:v>
      </x:c>
      <x:c r="E307" s="22" t="n">
        <x:v>130819</x:v>
      </x:c>
      <x:c r="F307" s="22" t="n">
        <x:v>141180</x:v>
      </x:c>
      <x:c r="G307" s="22" t="n">
        <x:v>125105</x:v>
      </x:c>
      <x:c r="H307" s="22" t="n">
        <x:v>135433</x:v>
      </x:c>
      <x:c r="I307" s="22" t="n">
        <x:v>125160</x:v>
      </x:c>
      <x:c r="J307" s="22" t="n">
        <x:v>135488</x:v>
      </x:c>
      <x:c r="K307" s="22" t="n">
        <x:v>16617600</x:v>
      </x:c>
      <x:c r="L307" s="22" t="n">
        <x:v>6001100</x:v>
      </x:c>
      <x:c r="M307" s="22" t="n">
        <x:v>1014</x:v>
      </x:c>
      <x:c r="N307" s="22" t="n">
        <x:v>1822</x:v>
      </x:c>
      <x:c r="O307" s="22" t="n">
        <x:v>821</x:v>
      </x:c>
      <x:c r="P307" s="22" t="n">
        <x:v>1500</x:v>
      </x:c>
      <x:c r="Q307" s="22" t="n">
        <x:v>1583</x:v>
      </x:c>
      <x:c r="R307" s="22" t="n">
        <x:v>1556</x:v>
      </x:c>
      <x:c r="S307" s="22" t="n">
        <x:v>1556</x:v>
      </x:c>
      <x:c r="T307" s="22" t="n">
        <x:v>1.3800000000000006</x:v>
      </x:c>
      <x:c r="U307" s="22" t="n">
        <x:v>16</x:v>
      </x:c>
      <x:c r="V307" s="22" t="n">
        <x:v>687</x:v>
      </x:c>
      <x:c r="W307" s="22" t="n">
        <x:v>278</x:v>
      </x:c>
      <x:c r="X307" s="22" t="n">
        <x:v>26</x:v>
      </x:c>
      <x:c r="Y307" s="22" t="n">
        <x:v>709</x:v>
      </x:c>
      <x:c r="Z307" s="22" t="n">
        <x:v>6</x:v>
      </x:c>
      <x:c r="AA307" s="22" t="n">
        <x:v>580</x:v>
      </x:c>
      <x:c r="AB307" s="22" t="n">
        <x:v>0</x:v>
      </x:c>
      <x:c r="AC307" s="22" t="n">
        <x:v>0</x:v>
      </x:c>
      <x:c r="AD307" s="22" t="n">
        <x:v>41</x:v>
      </x:c>
      <x:c r="AE307" s="22" t="n">
        <x:v>14</x:v>
      </x:c>
      <x:c r="AF307" s="22" t="n">
        <x:v>99</x:v>
      </x:c>
      <x:c r="AG307" s="22" t="n">
        <x:v>7</x:v>
      </x:c>
      <x:c r="AH307" s="22" t="n">
        <x:v>8</x:v>
      </x:c>
      <x:c r="AI307" s="22" t="n">
        <x:v>39.5</x:v>
      </x:c>
      <x:c r="AJ307" s="22" t="n">
        <x:v>11</x:v>
      </x:c>
      <x:c r="AK307" s="22" t="n">
        <x:v>7</x:v>
      </x:c>
      <x:c r="AL307" s="22" t="n">
        <x:v>1168</x:v>
      </x:c>
      <x:c r="AM307" s="22" t="n">
        <x:v>67</x:v>
      </x:c>
      <x:c r="AN307" s="22" t="n">
        <x:v>14</x:v>
      </x:c>
      <x:c r="AO307" s="22" t="n">
        <x:v>7</x:v>
      </x:c>
      <x:c r="AP307" s="22" t="n">
        <x:v>6600</x:v>
      </x:c>
      <x:c r="AQ307" s="22" t="n">
        <x:v>25</x:v>
      </x:c>
      <x:c r="AR307" s="22" t="n">
        <x:v>3</x:v>
      </x:c>
      <x:c r="AS307" s="22" t="n">
        <x:v>10</x:v>
      </x:c>
      <x:c r="AT307" s="22" t="n">
        <x:v>10</x:v>
      </x:c>
      <x:c r="AU307" s="22" t="n">
        <x:v>0</x:v>
      </x:c>
      <x:c r="AV307" s="22" t="n">
        <x:v>41</x:v>
      </x:c>
      <x:c r="AW307" s="22" t="n">
        <x:v>0</x:v>
      </x:c>
    </x:row>
    <x:row r="308" ht="24" customHeight="1">
      <x:c r="A308" s="22" t="str">
        <x:v>P0304</x:v>
      </x:c>
      <x:c r="B308" s="22" t="n">
        <x:v>10</x:v>
      </x:c>
      <x:c r="C308" s="22" t="n">
        <x:v>1</x:v>
      </x:c>
      <x:c r="D308" s="22" t="str">
        <x:v>C10G01普通专属4/6</x:v>
      </x:c>
      <x:c r="E308" s="22" t="n">
        <x:v>130859</x:v>
      </x:c>
      <x:c r="F308" s="22" t="n">
        <x:v>141265</x:v>
      </x:c>
      <x:c r="G308" s="22" t="n">
        <x:v>125145</x:v>
      </x:c>
      <x:c r="H308" s="22" t="n">
        <x:v>135518</x:v>
      </x:c>
      <x:c r="I308" s="22" t="n">
        <x:v>125200</x:v>
      </x:c>
      <x:c r="J308" s="22" t="n">
        <x:v>135573</x:v>
      </x:c>
      <x:c r="K308" s="22" t="n">
        <x:v>16673700</x:v>
      </x:c>
      <x:c r="L308" s="22" t="n">
        <x:v>6001100</x:v>
      </x:c>
      <x:c r="M308" s="22" t="n">
        <x:v>1016</x:v>
      </x:c>
      <x:c r="N308" s="22" t="n">
        <x:v>1826</x:v>
      </x:c>
      <x:c r="O308" s="22" t="n">
        <x:v>823</x:v>
      </x:c>
      <x:c r="P308" s="22" t="n">
        <x:v>1504</x:v>
      </x:c>
      <x:c r="Q308" s="22" t="n">
        <x:v>1585</x:v>
      </x:c>
      <x:c r="R308" s="22" t="n">
        <x:v>1558</x:v>
      </x:c>
      <x:c r="S308" s="22" t="n">
        <x:v>1558</x:v>
      </x:c>
      <x:c r="T308" s="22" t="n">
        <x:v>1.3800000000000006</x:v>
      </x:c>
      <x:c r="U308" s="22" t="n">
        <x:v>16</x:v>
      </x:c>
      <x:c r="V308" s="22" t="n">
        <x:v>687</x:v>
      </x:c>
      <x:c r="W308" s="22" t="n">
        <x:v>278</x:v>
      </x:c>
      <x:c r="X308" s="22" t="n">
        <x:v>26</x:v>
      </x:c>
      <x:c r="Y308" s="22" t="n">
        <x:v>709</x:v>
      </x:c>
      <x:c r="Z308" s="22" t="n">
        <x:v>6</x:v>
      </x:c>
      <x:c r="AA308" s="22" t="n">
        <x:v>582</x:v>
      </x:c>
      <x:c r="AB308" s="22" t="n">
        <x:v>0</x:v>
      </x:c>
      <x:c r="AC308" s="22" t="n">
        <x:v>0</x:v>
      </x:c>
      <x:c r="AD308" s="22" t="n">
        <x:v>41</x:v>
      </x:c>
      <x:c r="AE308" s="22" t="n">
        <x:v>14</x:v>
      </x:c>
      <x:c r="AF308" s="22" t="n">
        <x:v>99</x:v>
      </x:c>
      <x:c r="AG308" s="22" t="n">
        <x:v>7</x:v>
      </x:c>
      <x:c r="AH308" s="22" t="n">
        <x:v>8</x:v>
      </x:c>
      <x:c r="AI308" s="22" t="n">
        <x:v>39.5</x:v>
      </x:c>
      <x:c r="AJ308" s="22" t="n">
        <x:v>11</x:v>
      </x:c>
      <x:c r="AK308" s="22" t="n">
        <x:v>7</x:v>
      </x:c>
      <x:c r="AL308" s="22" t="n">
        <x:v>1168</x:v>
      </x:c>
      <x:c r="AM308" s="22" t="n">
        <x:v>67</x:v>
      </x:c>
      <x:c r="AN308" s="22" t="n">
        <x:v>14</x:v>
      </x:c>
      <x:c r="AO308" s="22" t="n">
        <x:v>7</x:v>
      </x:c>
      <x:c r="AP308" s="22" t="n">
        <x:v>6600</x:v>
      </x:c>
      <x:c r="AQ308" s="22" t="n">
        <x:v>25</x:v>
      </x:c>
      <x:c r="AR308" s="22" t="n">
        <x:v>3</x:v>
      </x:c>
      <x:c r="AS308" s="22" t="n">
        <x:v>10</x:v>
      </x:c>
      <x:c r="AT308" s="22" t="n">
        <x:v>10</x:v>
      </x:c>
      <x:c r="AU308" s="22" t="n">
        <x:v>0</x:v>
      </x:c>
      <x:c r="AV308" s="22" t="n">
        <x:v>41</x:v>
      </x:c>
      <x:c r="AW308" s="22" t="n">
        <x:v>0</x:v>
      </x:c>
    </x:row>
    <x:row r="309" ht="24" customHeight="1">
      <x:c r="A309" s="22" t="str">
        <x:v>P0305</x:v>
      </x:c>
      <x:c r="B309" s="22" t="n">
        <x:v>10</x:v>
      </x:c>
      <x:c r="C309" s="22" t="n">
        <x:v>1</x:v>
      </x:c>
      <x:c r="D309" s="22" t="str">
        <x:v>灰巷的无灯侯挑战前</x:v>
      </x:c>
      <x:c r="E309" s="22" t="n">
        <x:v>131100</x:v>
      </x:c>
      <x:c r="F309" s="22" t="n">
        <x:v>141506</x:v>
      </x:c>
      <x:c r="G309" s="22" t="n">
        <x:v>125386</x:v>
      </x:c>
      <x:c r="H309" s="22" t="n">
        <x:v>135759</x:v>
      </x:c>
      <x:c r="I309" s="22" t="n">
        <x:v>125441</x:v>
      </x:c>
      <x:c r="J309" s="22" t="n">
        <x:v>135814</x:v>
      </x:c>
      <x:c r="K309" s="22" t="n">
        <x:v>16697800</x:v>
      </x:c>
      <x:c r="L309" s="22" t="n">
        <x:v>6001100</x:v>
      </x:c>
      <x:c r="M309" s="22" t="n">
        <x:v>1016</x:v>
      </x:c>
      <x:c r="N309" s="22" t="n">
        <x:v>1826</x:v>
      </x:c>
      <x:c r="O309" s="22" t="n">
        <x:v>823</x:v>
      </x:c>
      <x:c r="P309" s="22" t="n">
        <x:v>1504</x:v>
      </x:c>
      <x:c r="Q309" s="22" t="n">
        <x:v>1585</x:v>
      </x:c>
      <x:c r="R309" s="22" t="n">
        <x:v>1558</x:v>
      </x:c>
      <x:c r="S309" s="22" t="n">
        <x:v>1558</x:v>
      </x:c>
      <x:c r="T309" s="22" t="n">
        <x:v>1.3800000000000006</x:v>
      </x:c>
      <x:c r="U309" s="22" t="n">
        <x:v>16</x:v>
      </x:c>
      <x:c r="V309" s="22" t="n">
        <x:v>687</x:v>
      </x:c>
      <x:c r="W309" s="22" t="n">
        <x:v>278</x:v>
      </x:c>
      <x:c r="X309" s="22" t="n">
        <x:v>26</x:v>
      </x:c>
      <x:c r="Y309" s="22" t="n">
        <x:v>709</x:v>
      </x:c>
      <x:c r="Z309" s="22" t="n">
        <x:v>6</x:v>
      </x:c>
      <x:c r="AA309" s="22" t="n">
        <x:v>582</x:v>
      </x:c>
      <x:c r="AB309" s="22" t="n">
        <x:v>0</x:v>
      </x:c>
      <x:c r="AC309" s="22" t="n">
        <x:v>0</x:v>
      </x:c>
      <x:c r="AD309" s="22" t="n">
        <x:v>41</x:v>
      </x:c>
      <x:c r="AE309" s="22" t="n">
        <x:v>14</x:v>
      </x:c>
      <x:c r="AF309" s="22" t="n">
        <x:v>99</x:v>
      </x:c>
      <x:c r="AG309" s="22" t="n">
        <x:v>7</x:v>
      </x:c>
      <x:c r="AH309" s="22" t="n">
        <x:v>8</x:v>
      </x:c>
      <x:c r="AI309" s="22" t="n">
        <x:v>39.5</x:v>
      </x:c>
      <x:c r="AJ309" s="22" t="n">
        <x:v>11</x:v>
      </x:c>
      <x:c r="AK309" s="22" t="n">
        <x:v>7</x:v>
      </x:c>
      <x:c r="AL309" s="22" t="n">
        <x:v>1168</x:v>
      </x:c>
      <x:c r="AM309" s="22" t="n">
        <x:v>67</x:v>
      </x:c>
      <x:c r="AN309" s="22" t="n">
        <x:v>14</x:v>
      </x:c>
      <x:c r="AO309" s="22" t="n">
        <x:v>7</x:v>
      </x:c>
      <x:c r="AP309" s="22" t="n">
        <x:v>6600</x:v>
      </x:c>
      <x:c r="AQ309" s="22" t="n">
        <x:v>25</x:v>
      </x:c>
      <x:c r="AR309" s="22" t="n">
        <x:v>3</x:v>
      </x:c>
      <x:c r="AS309" s="22" t="n">
        <x:v>10</x:v>
      </x:c>
      <x:c r="AT309" s="22" t="n">
        <x:v>10</x:v>
      </x:c>
      <x:c r="AU309" s="22" t="n">
        <x:v>0</x:v>
      </x:c>
      <x:c r="AV309" s="22" t="n">
        <x:v>41</x:v>
      </x:c>
      <x:c r="AW309" s="22" t="n">
        <x:v>0</x:v>
      </x:c>
    </x:row>
    <x:row r="310" ht="24" customHeight="1">
      <x:c r="A310" s="22" t="str">
        <x:v>P0306</x:v>
      </x:c>
      <x:c r="B310" s="22" t="n">
        <x:v>10</x:v>
      </x:c>
      <x:c r="C310" s="22" t="n">
        <x:v>1</x:v>
      </x:c>
      <x:c r="D310" s="22" t="str">
        <x:v>千锁闸门统领挑战前</x:v>
      </x:c>
      <x:c r="E310" s="22" t="n">
        <x:v>131100</x:v>
      </x:c>
      <x:c r="F310" s="22" t="n">
        <x:v>141506</x:v>
      </x:c>
      <x:c r="G310" s="22" t="n">
        <x:v>125386</x:v>
      </x:c>
      <x:c r="H310" s="22" t="n">
        <x:v>135759</x:v>
      </x:c>
      <x:c r="I310" s="22" t="n">
        <x:v>125441</x:v>
      </x:c>
      <x:c r="J310" s="22" t="n">
        <x:v>135814</x:v>
      </x:c>
      <x:c r="K310" s="22" t="n">
        <x:v>16697800</x:v>
      </x:c>
      <x:c r="L310" s="22" t="n">
        <x:v>6001100</x:v>
      </x:c>
      <x:c r="M310" s="22" t="n">
        <x:v>1016</x:v>
      </x:c>
      <x:c r="N310" s="22" t="n">
        <x:v>1826</x:v>
      </x:c>
      <x:c r="O310" s="22" t="n">
        <x:v>823</x:v>
      </x:c>
      <x:c r="P310" s="22" t="n">
        <x:v>1504</x:v>
      </x:c>
      <x:c r="Q310" s="22" t="n">
        <x:v>1585</x:v>
      </x:c>
      <x:c r="R310" s="22" t="n">
        <x:v>1558</x:v>
      </x:c>
      <x:c r="S310" s="22" t="n">
        <x:v>1558</x:v>
      </x:c>
      <x:c r="T310" s="22" t="n">
        <x:v>1.3800000000000006</x:v>
      </x:c>
      <x:c r="U310" s="22" t="n">
        <x:v>16</x:v>
      </x:c>
      <x:c r="V310" s="22" t="n">
        <x:v>687</x:v>
      </x:c>
      <x:c r="W310" s="22" t="n">
        <x:v>278</x:v>
      </x:c>
      <x:c r="X310" s="22" t="n">
        <x:v>26</x:v>
      </x:c>
      <x:c r="Y310" s="22" t="n">
        <x:v>709</x:v>
      </x:c>
      <x:c r="Z310" s="22" t="n">
        <x:v>6</x:v>
      </x:c>
      <x:c r="AA310" s="22" t="n">
        <x:v>582</x:v>
      </x:c>
      <x:c r="AB310" s="22" t="n">
        <x:v>0</x:v>
      </x:c>
      <x:c r="AC310" s="22" t="n">
        <x:v>0</x:v>
      </x:c>
      <x:c r="AD310" s="22" t="n">
        <x:v>41</x:v>
      </x:c>
      <x:c r="AE310" s="22" t="n">
        <x:v>14</x:v>
      </x:c>
      <x:c r="AF310" s="22" t="n">
        <x:v>99</x:v>
      </x:c>
      <x:c r="AG310" s="22" t="n">
        <x:v>7</x:v>
      </x:c>
      <x:c r="AH310" s="22" t="n">
        <x:v>8</x:v>
      </x:c>
      <x:c r="AI310" s="22" t="n">
        <x:v>39.5</x:v>
      </x:c>
      <x:c r="AJ310" s="22" t="n">
        <x:v>11</x:v>
      </x:c>
      <x:c r="AK310" s="22" t="n">
        <x:v>7</x:v>
      </x:c>
      <x:c r="AL310" s="22" t="n">
        <x:v>1168</x:v>
      </x:c>
      <x:c r="AM310" s="22" t="n">
        <x:v>67</x:v>
      </x:c>
      <x:c r="AN310" s="22" t="n">
        <x:v>14</x:v>
      </x:c>
      <x:c r="AO310" s="22" t="n">
        <x:v>7</x:v>
      </x:c>
      <x:c r="AP310" s="22" t="n">
        <x:v>6600</x:v>
      </x:c>
      <x:c r="AQ310" s="22" t="n">
        <x:v>25</x:v>
      </x:c>
      <x:c r="AR310" s="22" t="n">
        <x:v>3</x:v>
      </x:c>
      <x:c r="AS310" s="22" t="n">
        <x:v>10</x:v>
      </x:c>
      <x:c r="AT310" s="22" t="n">
        <x:v>10</x:v>
      </x:c>
      <x:c r="AU310" s="22" t="n">
        <x:v>0</x:v>
      </x:c>
      <x:c r="AV310" s="22" t="n">
        <x:v>41</x:v>
      </x:c>
      <x:c r="AW310" s="22" t="n">
        <x:v>0</x:v>
      </x:c>
    </x:row>
    <x:row r="311" ht="24" customHeight="1">
      <x:c r="A311" s="22" t="str">
        <x:v>P0307</x:v>
      </x:c>
      <x:c r="B311" s="22" t="n">
        <x:v>10</x:v>
      </x:c>
      <x:c r="C311" s="22" t="n">
        <x:v>1</x:v>
      </x:c>
      <x:c r="D311" s="22" t="str">
        <x:v>王城下城区BOSS装备快线</x:v>
      </x:c>
      <x:c r="E311" s="22" t="n">
        <x:v>131495</x:v>
      </x:c>
      <x:c r="F311" s="22" t="n">
        <x:v>142266</x:v>
      </x:c>
      <x:c r="G311" s="22" t="n">
        <x:v>125781</x:v>
      </x:c>
      <x:c r="H311" s="22" t="n">
        <x:v>136519</x:v>
      </x:c>
      <x:c r="I311" s="22" t="n">
        <x:v>125836</x:v>
      </x:c>
      <x:c r="J311" s="22" t="n">
        <x:v>136574</x:v>
      </x:c>
      <x:c r="K311" s="22" t="n">
        <x:v>17066400</x:v>
      </x:c>
      <x:c r="L311" s="22" t="n">
        <x:v>6001100</x:v>
      </x:c>
      <x:c r="M311" s="22" t="n">
        <x:v>1095</x:v>
      </x:c>
      <x:c r="N311" s="22" t="n">
        <x:v>1972</x:v>
      </x:c>
      <x:c r="O311" s="22" t="n">
        <x:v>890</x:v>
      </x:c>
      <x:c r="P311" s="22" t="n">
        <x:v>1623</x:v>
      </x:c>
      <x:c r="Q311" s="22" t="n">
        <x:v>1613</x:v>
      </x:c>
      <x:c r="R311" s="22" t="n">
        <x:v>1586</x:v>
      </x:c>
      <x:c r="S311" s="22" t="n">
        <x:v>1586</x:v>
      </x:c>
      <x:c r="T311" s="22" t="n">
        <x:v>1.3800000000000006</x:v>
      </x:c>
      <x:c r="U311" s="22" t="n">
        <x:v>16</x:v>
      </x:c>
      <x:c r="V311" s="22" t="n">
        <x:v>687</x:v>
      </x:c>
      <x:c r="W311" s="22" t="n">
        <x:v>278</x:v>
      </x:c>
      <x:c r="X311" s="22" t="n">
        <x:v>26</x:v>
      </x:c>
      <x:c r="Y311" s="22" t="n">
        <x:v>709</x:v>
      </x:c>
      <x:c r="Z311" s="22" t="n">
        <x:v>6</x:v>
      </x:c>
      <x:c r="AA311" s="22" t="n">
        <x:v>582</x:v>
      </x:c>
      <x:c r="AB311" s="22" t="n">
        <x:v>0</x:v>
      </x:c>
      <x:c r="AC311" s="22" t="n">
        <x:v>0</x:v>
      </x:c>
      <x:c r="AD311" s="22" t="n">
        <x:v>41</x:v>
      </x:c>
      <x:c r="AE311" s="22" t="n">
        <x:v>14</x:v>
      </x:c>
      <x:c r="AF311" s="22" t="n">
        <x:v>99</x:v>
      </x:c>
      <x:c r="AG311" s="22" t="n">
        <x:v>7</x:v>
      </x:c>
      <x:c r="AH311" s="22" t="n">
        <x:v>8</x:v>
      </x:c>
      <x:c r="AI311" s="22" t="n">
        <x:v>39.5</x:v>
      </x:c>
      <x:c r="AJ311" s="22" t="n">
        <x:v>11</x:v>
      </x:c>
      <x:c r="AK311" s="22" t="n">
        <x:v>7</x:v>
      </x:c>
      <x:c r="AL311" s="22" t="n">
        <x:v>1168</x:v>
      </x:c>
      <x:c r="AM311" s="22" t="n">
        <x:v>69</x:v>
      </x:c>
      <x:c r="AN311" s="22" t="n">
        <x:v>14</x:v>
      </x:c>
      <x:c r="AO311" s="22" t="n">
        <x:v>7</x:v>
      </x:c>
      <x:c r="AP311" s="22" t="n">
        <x:v>6600</x:v>
      </x:c>
      <x:c r="AQ311" s="22" t="n">
        <x:v>25</x:v>
      </x:c>
      <x:c r="AR311" s="22" t="n">
        <x:v>3</x:v>
      </x:c>
      <x:c r="AS311" s="22" t="n">
        <x:v>10</x:v>
      </x:c>
      <x:c r="AT311" s="22" t="n">
        <x:v>10</x:v>
      </x:c>
      <x:c r="AU311" s="22" t="n">
        <x:v>0</x:v>
      </x:c>
      <x:c r="AV311" s="22" t="n">
        <x:v>41</x:v>
      </x:c>
      <x:c r="AW311" s="22" t="n">
        <x:v>0</x:v>
      </x:c>
    </x:row>
    <x:row r="312" ht="24" customHeight="1">
      <x:c r="A312" s="22" t="str">
        <x:v>P0308</x:v>
      </x:c>
      <x:c r="B312" s="22" t="n">
        <x:v>10</x:v>
      </x:c>
      <x:c r="C312" s="22" t="n">
        <x:v>1</x:v>
      </x:c>
      <x:c r="D312" s="22" t="str">
        <x:v>王城下城区阶段积累后</x:v>
      </x:c>
      <x:c r="E312" s="22" t="n">
        <x:v>151340</x:v>
      </x:c>
      <x:c r="F312" s="22" t="n">
        <x:v>161746</x:v>
      </x:c>
      <x:c r="G312" s="22" t="n">
        <x:v>145626</x:v>
      </x:c>
      <x:c r="H312" s="22" t="n">
        <x:v>155999</x:v>
      </x:c>
      <x:c r="I312" s="22" t="n">
        <x:v>145681</x:v>
      </x:c>
      <x:c r="J312" s="22" t="n">
        <x:v>156054</x:v>
      </x:c>
      <x:c r="K312" s="22" t="n">
        <x:v>18721800</x:v>
      </x:c>
      <x:c r="L312" s="22" t="n">
        <x:v>6001100</x:v>
      </x:c>
      <x:c r="M312" s="22" t="n">
        <x:v>1016</x:v>
      </x:c>
      <x:c r="N312" s="22" t="n">
        <x:v>1826</x:v>
      </x:c>
      <x:c r="O312" s="22" t="n">
        <x:v>823</x:v>
      </x:c>
      <x:c r="P312" s="22" t="n">
        <x:v>1504</x:v>
      </x:c>
      <x:c r="Q312" s="22" t="n">
        <x:v>1585</x:v>
      </x:c>
      <x:c r="R312" s="22" t="n">
        <x:v>1558</x:v>
      </x:c>
      <x:c r="S312" s="22" t="n">
        <x:v>1558</x:v>
      </x:c>
      <x:c r="T312" s="22" t="n">
        <x:v>1.7300000000000006</x:v>
      </x:c>
      <x:c r="U312" s="22" t="n">
        <x:v>16</x:v>
      </x:c>
      <x:c r="V312" s="22" t="n">
        <x:v>687</x:v>
      </x:c>
      <x:c r="W312" s="22" t="n">
        <x:v>278</x:v>
      </x:c>
      <x:c r="X312" s="22" t="n">
        <x:v>26</x:v>
      </x:c>
      <x:c r="Y312" s="22" t="n">
        <x:v>709</x:v>
      </x:c>
      <x:c r="Z312" s="22" t="n">
        <x:v>6</x:v>
      </x:c>
      <x:c r="AA312" s="22" t="n">
        <x:v>582</x:v>
      </x:c>
      <x:c r="AB312" s="22" t="n">
        <x:v>0</x:v>
      </x:c>
      <x:c r="AC312" s="22" t="n">
        <x:v>0</x:v>
      </x:c>
      <x:c r="AD312" s="22" t="n">
        <x:v>41</x:v>
      </x:c>
      <x:c r="AE312" s="22" t="n">
        <x:v>15</x:v>
      </x:c>
      <x:c r="AF312" s="22" t="n">
        <x:v>99</x:v>
      </x:c>
      <x:c r="AG312" s="22" t="n">
        <x:v>7</x:v>
      </x:c>
      <x:c r="AH312" s="22" t="n">
        <x:v>8</x:v>
      </x:c>
      <x:c r="AI312" s="22" t="n">
        <x:v>39.5</x:v>
      </x:c>
      <x:c r="AJ312" s="22" t="n">
        <x:v>11</x:v>
      </x:c>
      <x:c r="AK312" s="22" t="n">
        <x:v>7</x:v>
      </x:c>
      <x:c r="AL312" s="22" t="n">
        <x:v>1168</x:v>
      </x:c>
      <x:c r="AM312" s="22" t="n">
        <x:v>67</x:v>
      </x:c>
      <x:c r="AN312" s="22" t="n">
        <x:v>14</x:v>
      </x:c>
      <x:c r="AO312" s="22" t="n">
        <x:v>7</x:v>
      </x:c>
      <x:c r="AP312" s="22" t="n">
        <x:v>6600</x:v>
      </x:c>
      <x:c r="AQ312" s="22" t="n">
        <x:v>25</x:v>
      </x:c>
      <x:c r="AR312" s="22" t="n">
        <x:v>3</x:v>
      </x:c>
      <x:c r="AS312" s="22" t="n">
        <x:v>10</x:v>
      </x:c>
      <x:c r="AT312" s="22" t="n">
        <x:v>10</x:v>
      </x:c>
      <x:c r="AU312" s="22" t="n">
        <x:v>0</x:v>
      </x:c>
      <x:c r="AV312" s="22" t="n">
        <x:v>41</x:v>
      </x:c>
      <x:c r="AW312" s="22" t="n">
        <x:v>0</x:v>
      </x:c>
    </x:row>
    <x:row r="313" ht="24" customHeight="1">
      <x:c r="A313" s="22" t="str">
        <x:v>P0309</x:v>
      </x:c>
      <x:c r="B313" s="22" t="n">
        <x:v>10</x:v>
      </x:c>
      <x:c r="C313" s="22" t="n">
        <x:v>2</x:v>
      </x:c>
      <x:c r="D313" s="22" t="str">
        <x:v>C10G02入场</x:v>
      </x:c>
      <x:c r="E313" s="22" t="n">
        <x:v>151340</x:v>
      </x:c>
      <x:c r="F313" s="22" t="n">
        <x:v>161746</x:v>
      </x:c>
      <x:c r="G313" s="22" t="n">
        <x:v>145626</x:v>
      </x:c>
      <x:c r="H313" s="22" t="n">
        <x:v>155999</x:v>
      </x:c>
      <x:c r="I313" s="22" t="n">
        <x:v>145681</x:v>
      </x:c>
      <x:c r="J313" s="22" t="n">
        <x:v>156054</x:v>
      </x:c>
      <x:c r="K313" s="22" t="n">
        <x:v>18721800</x:v>
      </x:c>
      <x:c r="L313" s="22" t="n">
        <x:v>6001100</x:v>
      </x:c>
      <x:c r="M313" s="22" t="n">
        <x:v>1016</x:v>
      </x:c>
      <x:c r="N313" s="22" t="n">
        <x:v>1826</x:v>
      </x:c>
      <x:c r="O313" s="22" t="n">
        <x:v>823</x:v>
      </x:c>
      <x:c r="P313" s="22" t="n">
        <x:v>1504</x:v>
      </x:c>
      <x:c r="Q313" s="22" t="n">
        <x:v>1585</x:v>
      </x:c>
      <x:c r="R313" s="22" t="n">
        <x:v>1558</x:v>
      </x:c>
      <x:c r="S313" s="22" t="n">
        <x:v>1558</x:v>
      </x:c>
      <x:c r="T313" s="22" t="n">
        <x:v>1.7300000000000006</x:v>
      </x:c>
      <x:c r="U313" s="22" t="n">
        <x:v>16</x:v>
      </x:c>
      <x:c r="V313" s="22" t="n">
        <x:v>687</x:v>
      </x:c>
      <x:c r="W313" s="22" t="n">
        <x:v>278</x:v>
      </x:c>
      <x:c r="X313" s="22" t="n">
        <x:v>26</x:v>
      </x:c>
      <x:c r="Y313" s="22" t="n">
        <x:v>709</x:v>
      </x:c>
      <x:c r="Z313" s="22" t="n">
        <x:v>6</x:v>
      </x:c>
      <x:c r="AA313" s="22" t="n">
        <x:v>582</x:v>
      </x:c>
      <x:c r="AB313" s="22" t="n">
        <x:v>0</x:v>
      </x:c>
      <x:c r="AC313" s="22" t="n">
        <x:v>0</x:v>
      </x:c>
      <x:c r="AD313" s="22" t="n">
        <x:v>41</x:v>
      </x:c>
      <x:c r="AE313" s="22" t="n">
        <x:v>15</x:v>
      </x:c>
      <x:c r="AF313" s="22" t="n">
        <x:v>99</x:v>
      </x:c>
      <x:c r="AG313" s="22" t="n">
        <x:v>7</x:v>
      </x:c>
      <x:c r="AH313" s="22" t="n">
        <x:v>8</x:v>
      </x:c>
      <x:c r="AI313" s="22" t="n">
        <x:v>39.5</x:v>
      </x:c>
      <x:c r="AJ313" s="22" t="n">
        <x:v>11</x:v>
      </x:c>
      <x:c r="AK313" s="22" t="n">
        <x:v>7</x:v>
      </x:c>
      <x:c r="AL313" s="22" t="n">
        <x:v>1168</x:v>
      </x:c>
      <x:c r="AM313" s="22" t="n">
        <x:v>67</x:v>
      </x:c>
      <x:c r="AN313" s="22" t="n">
        <x:v>14</x:v>
      </x:c>
      <x:c r="AO313" s="22" t="n">
        <x:v>7</x:v>
      </x:c>
      <x:c r="AP313" s="22" t="n">
        <x:v>6600</x:v>
      </x:c>
      <x:c r="AQ313" s="22" t="n">
        <x:v>25</x:v>
      </x:c>
      <x:c r="AR313" s="22" t="n">
        <x:v>3</x:v>
      </x:c>
      <x:c r="AS313" s="22" t="n">
        <x:v>10</x:v>
      </x:c>
      <x:c r="AT313" s="22" t="n">
        <x:v>10</x:v>
      </x:c>
      <x:c r="AU313" s="22" t="n">
        <x:v>0</x:v>
      </x:c>
      <x:c r="AV313" s="22" t="n">
        <x:v>41</x:v>
      </x:c>
      <x:c r="AW313" s="22" t="n">
        <x:v>0</x:v>
      </x:c>
    </x:row>
    <x:row r="314" ht="24" customHeight="1">
      <x:c r="A314" s="22" t="str">
        <x:v>P0310</x:v>
      </x:c>
      <x:c r="B314" s="22" t="n">
        <x:v>10</x:v>
      </x:c>
      <x:c r="C314" s="22" t="n">
        <x:v>2</x:v>
      </x:c>
      <x:c r="D314" s="22" t="str">
        <x:v>C10G02普通专属4/6</x:v>
      </x:c>
      <x:c r="E314" s="22" t="n">
        <x:v>151340</x:v>
      </x:c>
      <x:c r="F314" s="22" t="n">
        <x:v>161746</x:v>
      </x:c>
      <x:c r="G314" s="22" t="n">
        <x:v>145626</x:v>
      </x:c>
      <x:c r="H314" s="22" t="n">
        <x:v>155999</x:v>
      </x:c>
      <x:c r="I314" s="22" t="n">
        <x:v>145681</x:v>
      </x:c>
      <x:c r="J314" s="22" t="n">
        <x:v>156054</x:v>
      </x:c>
      <x:c r="K314" s="22" t="n">
        <x:v>18721800</x:v>
      </x:c>
      <x:c r="L314" s="22" t="n">
        <x:v>6001100</x:v>
      </x:c>
      <x:c r="M314" s="22" t="n">
        <x:v>1016</x:v>
      </x:c>
      <x:c r="N314" s="22" t="n">
        <x:v>1826</x:v>
      </x:c>
      <x:c r="O314" s="22" t="n">
        <x:v>823</x:v>
      </x:c>
      <x:c r="P314" s="22" t="n">
        <x:v>1504</x:v>
      </x:c>
      <x:c r="Q314" s="22" t="n">
        <x:v>1585</x:v>
      </x:c>
      <x:c r="R314" s="22" t="n">
        <x:v>1558</x:v>
      </x:c>
      <x:c r="S314" s="22" t="n">
        <x:v>1558</x:v>
      </x:c>
      <x:c r="T314" s="22" t="n">
        <x:v>1.7300000000000006</x:v>
      </x:c>
      <x:c r="U314" s="22" t="n">
        <x:v>16</x:v>
      </x:c>
      <x:c r="V314" s="22" t="n">
        <x:v>687</x:v>
      </x:c>
      <x:c r="W314" s="22" t="n">
        <x:v>278</x:v>
      </x:c>
      <x:c r="X314" s="22" t="n">
        <x:v>26</x:v>
      </x:c>
      <x:c r="Y314" s="22" t="n">
        <x:v>709</x:v>
      </x:c>
      <x:c r="Z314" s="22" t="n">
        <x:v>6</x:v>
      </x:c>
      <x:c r="AA314" s="22" t="n">
        <x:v>582</x:v>
      </x:c>
      <x:c r="AB314" s="22" t="n">
        <x:v>0</x:v>
      </x:c>
      <x:c r="AC314" s="22" t="n">
        <x:v>0</x:v>
      </x:c>
      <x:c r="AD314" s="22" t="n">
        <x:v>41</x:v>
      </x:c>
      <x:c r="AE314" s="22" t="n">
        <x:v>15</x:v>
      </x:c>
      <x:c r="AF314" s="22" t="n">
        <x:v>99</x:v>
      </x:c>
      <x:c r="AG314" s="22" t="n">
        <x:v>7</x:v>
      </x:c>
      <x:c r="AH314" s="22" t="n">
        <x:v>8</x:v>
      </x:c>
      <x:c r="AI314" s="22" t="n">
        <x:v>39.5</x:v>
      </x:c>
      <x:c r="AJ314" s="22" t="n">
        <x:v>11</x:v>
      </x:c>
      <x:c r="AK314" s="22" t="n">
        <x:v>7</x:v>
      </x:c>
      <x:c r="AL314" s="22" t="n">
        <x:v>1168</x:v>
      </x:c>
      <x:c r="AM314" s="22" t="n">
        <x:v>67</x:v>
      </x:c>
      <x:c r="AN314" s="22" t="n">
        <x:v>14</x:v>
      </x:c>
      <x:c r="AO314" s="22" t="n">
        <x:v>7</x:v>
      </x:c>
      <x:c r="AP314" s="22" t="n">
        <x:v>6600</x:v>
      </x:c>
      <x:c r="AQ314" s="22" t="n">
        <x:v>25</x:v>
      </x:c>
      <x:c r="AR314" s="22" t="n">
        <x:v>3</x:v>
      </x:c>
      <x:c r="AS314" s="22" t="n">
        <x:v>10</x:v>
      </x:c>
      <x:c r="AT314" s="22" t="n">
        <x:v>10</x:v>
      </x:c>
      <x:c r="AU314" s="22" t="n">
        <x:v>0</x:v>
      </x:c>
      <x:c r="AV314" s="22" t="n">
        <x:v>41</x:v>
      </x:c>
      <x:c r="AW314" s="22" t="n">
        <x:v>0</x:v>
      </x:c>
    </x:row>
    <x:row r="315" ht="24" customHeight="1">
      <x:c r="A315" s="22" t="str">
        <x:v>P0311</x:v>
      </x:c>
      <x:c r="B315" s="22" t="n">
        <x:v>10</x:v>
      </x:c>
      <x:c r="C315" s="22" t="n">
        <x:v>2</x:v>
      </x:c>
      <x:c r="D315" s="22" t="str">
        <x:v>百喉回廊吞声兽挑战前</x:v>
      </x:c>
      <x:c r="E315" s="22" t="n">
        <x:v>152069</x:v>
      </x:c>
      <x:c r="F315" s="22" t="n">
        <x:v>162475</x:v>
      </x:c>
      <x:c r="G315" s="22" t="n">
        <x:v>146355</x:v>
      </x:c>
      <x:c r="H315" s="22" t="n">
        <x:v>156728</x:v>
      </x:c>
      <x:c r="I315" s="22" t="n">
        <x:v>146410</x:v>
      </x:c>
      <x:c r="J315" s="22" t="n">
        <x:v>156783</x:v>
      </x:c>
      <x:c r="K315" s="22" t="n">
        <x:v>18794700</x:v>
      </x:c>
      <x:c r="L315" s="22" t="n">
        <x:v>6001100</x:v>
      </x:c>
      <x:c r="M315" s="22" t="n">
        <x:v>1016</x:v>
      </x:c>
      <x:c r="N315" s="22" t="n">
        <x:v>1826</x:v>
      </x:c>
      <x:c r="O315" s="22" t="n">
        <x:v>823</x:v>
      </x:c>
      <x:c r="P315" s="22" t="n">
        <x:v>1504</x:v>
      </x:c>
      <x:c r="Q315" s="22" t="n">
        <x:v>1585</x:v>
      </x:c>
      <x:c r="R315" s="22" t="n">
        <x:v>1558</x:v>
      </x:c>
      <x:c r="S315" s="22" t="n">
        <x:v>1558</x:v>
      </x:c>
      <x:c r="T315" s="22" t="n">
        <x:v>1.7300000000000006</x:v>
      </x:c>
      <x:c r="U315" s="22" t="n">
        <x:v>16</x:v>
      </x:c>
      <x:c r="V315" s="22" t="n">
        <x:v>687</x:v>
      </x:c>
      <x:c r="W315" s="22" t="n">
        <x:v>278</x:v>
      </x:c>
      <x:c r="X315" s="22" t="n">
        <x:v>26</x:v>
      </x:c>
      <x:c r="Y315" s="22" t="n">
        <x:v>709</x:v>
      </x:c>
      <x:c r="Z315" s="22" t="n">
        <x:v>6</x:v>
      </x:c>
      <x:c r="AA315" s="22" t="n">
        <x:v>582</x:v>
      </x:c>
      <x:c r="AB315" s="22" t="n">
        <x:v>0</x:v>
      </x:c>
      <x:c r="AC315" s="22" t="n">
        <x:v>0</x:v>
      </x:c>
      <x:c r="AD315" s="22" t="n">
        <x:v>41</x:v>
      </x:c>
      <x:c r="AE315" s="22" t="n">
        <x:v>15</x:v>
      </x:c>
      <x:c r="AF315" s="22" t="n">
        <x:v>99</x:v>
      </x:c>
      <x:c r="AG315" s="22" t="n">
        <x:v>7</x:v>
      </x:c>
      <x:c r="AH315" s="22" t="n">
        <x:v>8</x:v>
      </x:c>
      <x:c r="AI315" s="22" t="n">
        <x:v>39.5</x:v>
      </x:c>
      <x:c r="AJ315" s="22" t="n">
        <x:v>11</x:v>
      </x:c>
      <x:c r="AK315" s="22" t="n">
        <x:v>7</x:v>
      </x:c>
      <x:c r="AL315" s="22" t="n">
        <x:v>1168</x:v>
      </x:c>
      <x:c r="AM315" s="22" t="n">
        <x:v>67</x:v>
      </x:c>
      <x:c r="AN315" s="22" t="n">
        <x:v>14</x:v>
      </x:c>
      <x:c r="AO315" s="22" t="n">
        <x:v>7</x:v>
      </x:c>
      <x:c r="AP315" s="22" t="n">
        <x:v>6600</x:v>
      </x:c>
      <x:c r="AQ315" s="22" t="n">
        <x:v>25</x:v>
      </x:c>
      <x:c r="AR315" s="22" t="n">
        <x:v>3</x:v>
      </x:c>
      <x:c r="AS315" s="22" t="n">
        <x:v>10</x:v>
      </x:c>
      <x:c r="AT315" s="22" t="n">
        <x:v>10</x:v>
      </x:c>
      <x:c r="AU315" s="22" t="n">
        <x:v>0</x:v>
      </x:c>
      <x:c r="AV315" s="22" t="n">
        <x:v>41</x:v>
      </x:c>
      <x:c r="AW315" s="22" t="n">
        <x:v>0</x:v>
      </x:c>
    </x:row>
    <x:row r="316" ht="24" customHeight="1">
      <x:c r="A316" s="22" t="str">
        <x:v>P0312</x:v>
      </x:c>
      <x:c r="B316" s="22" t="n">
        <x:v>10</x:v>
      </x:c>
      <x:c r="C316" s="22" t="n">
        <x:v>2</x:v>
      </x:c>
      <x:c r="D316" s="22" t="str">
        <x:v>鎏污大司闸挑战前</x:v>
      </x:c>
      <x:c r="E316" s="22" t="n">
        <x:v>152069</x:v>
      </x:c>
      <x:c r="F316" s="22" t="n">
        <x:v>162475</x:v>
      </x:c>
      <x:c r="G316" s="22" t="n">
        <x:v>146355</x:v>
      </x:c>
      <x:c r="H316" s="22" t="n">
        <x:v>156728</x:v>
      </x:c>
      <x:c r="I316" s="22" t="n">
        <x:v>146410</x:v>
      </x:c>
      <x:c r="J316" s="22" t="n">
        <x:v>156783</x:v>
      </x:c>
      <x:c r="K316" s="22" t="n">
        <x:v>18794700</x:v>
      </x:c>
      <x:c r="L316" s="22" t="n">
        <x:v>6001100</x:v>
      </x:c>
      <x:c r="M316" s="22" t="n">
        <x:v>1016</x:v>
      </x:c>
      <x:c r="N316" s="22" t="n">
        <x:v>1826</x:v>
      </x:c>
      <x:c r="O316" s="22" t="n">
        <x:v>823</x:v>
      </x:c>
      <x:c r="P316" s="22" t="n">
        <x:v>1504</x:v>
      </x:c>
      <x:c r="Q316" s="22" t="n">
        <x:v>1585</x:v>
      </x:c>
      <x:c r="R316" s="22" t="n">
        <x:v>1558</x:v>
      </x:c>
      <x:c r="S316" s="22" t="n">
        <x:v>1558</x:v>
      </x:c>
      <x:c r="T316" s="22" t="n">
        <x:v>1.7300000000000006</x:v>
      </x:c>
      <x:c r="U316" s="22" t="n">
        <x:v>16</x:v>
      </x:c>
      <x:c r="V316" s="22" t="n">
        <x:v>687</x:v>
      </x:c>
      <x:c r="W316" s="22" t="n">
        <x:v>278</x:v>
      </x:c>
      <x:c r="X316" s="22" t="n">
        <x:v>26</x:v>
      </x:c>
      <x:c r="Y316" s="22" t="n">
        <x:v>709</x:v>
      </x:c>
      <x:c r="Z316" s="22" t="n">
        <x:v>6</x:v>
      </x:c>
      <x:c r="AA316" s="22" t="n">
        <x:v>582</x:v>
      </x:c>
      <x:c r="AB316" s="22" t="n">
        <x:v>0</x:v>
      </x:c>
      <x:c r="AC316" s="22" t="n">
        <x:v>0</x:v>
      </x:c>
      <x:c r="AD316" s="22" t="n">
        <x:v>41</x:v>
      </x:c>
      <x:c r="AE316" s="22" t="n">
        <x:v>15</x:v>
      </x:c>
      <x:c r="AF316" s="22" t="n">
        <x:v>99</x:v>
      </x:c>
      <x:c r="AG316" s="22" t="n">
        <x:v>7</x:v>
      </x:c>
      <x:c r="AH316" s="22" t="n">
        <x:v>8</x:v>
      </x:c>
      <x:c r="AI316" s="22" t="n">
        <x:v>39.5</x:v>
      </x:c>
      <x:c r="AJ316" s="22" t="n">
        <x:v>11</x:v>
      </x:c>
      <x:c r="AK316" s="22" t="n">
        <x:v>7</x:v>
      </x:c>
      <x:c r="AL316" s="22" t="n">
        <x:v>1168</x:v>
      </x:c>
      <x:c r="AM316" s="22" t="n">
        <x:v>67</x:v>
      </x:c>
      <x:c r="AN316" s="22" t="n">
        <x:v>14</x:v>
      </x:c>
      <x:c r="AO316" s="22" t="n">
        <x:v>7</x:v>
      </x:c>
      <x:c r="AP316" s="22" t="n">
        <x:v>6600</x:v>
      </x:c>
      <x:c r="AQ316" s="22" t="n">
        <x:v>25</x:v>
      </x:c>
      <x:c r="AR316" s="22" t="n">
        <x:v>3</x:v>
      </x:c>
      <x:c r="AS316" s="22" t="n">
        <x:v>10</x:v>
      </x:c>
      <x:c r="AT316" s="22" t="n">
        <x:v>10</x:v>
      </x:c>
      <x:c r="AU316" s="22" t="n">
        <x:v>0</x:v>
      </x:c>
      <x:c r="AV316" s="22" t="n">
        <x:v>41</x:v>
      </x:c>
      <x:c r="AW316" s="22" t="n">
        <x:v>0</x:v>
      </x:c>
    </x:row>
    <x:row r="317" ht="24" customHeight="1">
      <x:c r="A317" s="22" t="str">
        <x:v>P0313</x:v>
      </x:c>
      <x:c r="B317" s="22" t="n">
        <x:v>10</x:v>
      </x:c>
      <x:c r="C317" s="22" t="n">
        <x:v>2</x:v>
      </x:c>
      <x:c r="D317" s="22" t="str">
        <x:v>黄金排水道BOSS装备快线</x:v>
      </x:c>
      <x:c r="E317" s="22" t="n">
        <x:v>152524</x:v>
      </x:c>
      <x:c r="F317" s="22" t="n">
        <x:v>163375</x:v>
      </x:c>
      <x:c r="G317" s="22" t="n">
        <x:v>146810</x:v>
      </x:c>
      <x:c r="H317" s="22" t="n">
        <x:v>157628</x:v>
      </x:c>
      <x:c r="I317" s="22" t="n">
        <x:v>146865</x:v>
      </x:c>
      <x:c r="J317" s="22" t="n">
        <x:v>157683</x:v>
      </x:c>
      <x:c r="K317" s="22" t="n">
        <x:v>19088900</x:v>
      </x:c>
      <x:c r="L317" s="22" t="n">
        <x:v>6001100</x:v>
      </x:c>
      <x:c r="M317" s="22" t="n">
        <x:v>1043</x:v>
      </x:c>
      <x:c r="N317" s="22" t="n">
        <x:v>1874</x:v>
      </x:c>
      <x:c r="O317" s="22" t="n">
        <x:v>846</x:v>
      </x:c>
      <x:c r="P317" s="22" t="n">
        <x:v>1545</x:v>
      </x:c>
      <x:c r="Q317" s="22" t="n">
        <x:v>1629</x:v>
      </x:c>
      <x:c r="R317" s="22" t="n">
        <x:v>1602</x:v>
      </x:c>
      <x:c r="S317" s="22" t="n">
        <x:v>1602</x:v>
      </x:c>
      <x:c r="T317" s="22" t="n">
        <x:v>1.7300000000000006</x:v>
      </x:c>
      <x:c r="U317" s="22" t="n">
        <x:v>16</x:v>
      </x:c>
      <x:c r="V317" s="22" t="n">
        <x:v>704</x:v>
      </x:c>
      <x:c r="W317" s="22" t="n">
        <x:v>287</x:v>
      </x:c>
      <x:c r="X317" s="22" t="n">
        <x:v>26</x:v>
      </x:c>
      <x:c r="Y317" s="22" t="n">
        <x:v>709</x:v>
      </x:c>
      <x:c r="Z317" s="22" t="n">
        <x:v>6</x:v>
      </x:c>
      <x:c r="AA317" s="22" t="n">
        <x:v>614</x:v>
      </x:c>
      <x:c r="AB317" s="22" t="n">
        <x:v>0</x:v>
      </x:c>
      <x:c r="AC317" s="22" t="n">
        <x:v>0</x:v>
      </x:c>
      <x:c r="AD317" s="22" t="n">
        <x:v>41</x:v>
      </x:c>
      <x:c r="AE317" s="22" t="n">
        <x:v>15</x:v>
      </x:c>
      <x:c r="AF317" s="22" t="n">
        <x:v>99</x:v>
      </x:c>
      <x:c r="AG317" s="22" t="n">
        <x:v>7</x:v>
      </x:c>
      <x:c r="AH317" s="22" t="n">
        <x:v>8</x:v>
      </x:c>
      <x:c r="AI317" s="22" t="n">
        <x:v>39.5</x:v>
      </x:c>
      <x:c r="AJ317" s="22" t="n">
        <x:v>11</x:v>
      </x:c>
      <x:c r="AK317" s="22" t="n">
        <x:v>7</x:v>
      </x:c>
      <x:c r="AL317" s="22" t="n">
        <x:v>1168</x:v>
      </x:c>
      <x:c r="AM317" s="22" t="n">
        <x:v>68</x:v>
      </x:c>
      <x:c r="AN317" s="22" t="n">
        <x:v>14</x:v>
      </x:c>
      <x:c r="AO317" s="22" t="n">
        <x:v>7</x:v>
      </x:c>
      <x:c r="AP317" s="22" t="n">
        <x:v>6600</x:v>
      </x:c>
      <x:c r="AQ317" s="22" t="n">
        <x:v>25</x:v>
      </x:c>
      <x:c r="AR317" s="22" t="n">
        <x:v>3</x:v>
      </x:c>
      <x:c r="AS317" s="22" t="n">
        <x:v>10</x:v>
      </x:c>
      <x:c r="AT317" s="22" t="n">
        <x:v>10</x:v>
      </x:c>
      <x:c r="AU317" s="22" t="n">
        <x:v>0</x:v>
      </x:c>
      <x:c r="AV317" s="22" t="n">
        <x:v>41</x:v>
      </x:c>
      <x:c r="AW317" s="22" t="n">
        <x:v>0</x:v>
      </x:c>
    </x:row>
    <x:row r="318" ht="24" customHeight="1">
      <x:c r="A318" s="22" t="str">
        <x:v>P0314</x:v>
      </x:c>
      <x:c r="B318" s="22" t="n">
        <x:v>10</x:v>
      </x:c>
      <x:c r="C318" s="22" t="n">
        <x:v>2</x:v>
      </x:c>
      <x:c r="D318" s="22" t="str">
        <x:v>黄金排水道阶段积累后</x:v>
      </x:c>
      <x:c r="E318" s="22" t="n">
        <x:v>152309</x:v>
      </x:c>
      <x:c r="F318" s="22" t="n">
        <x:v>162715</x:v>
      </x:c>
      <x:c r="G318" s="22" t="n">
        <x:v>146595</x:v>
      </x:c>
      <x:c r="H318" s="22" t="n">
        <x:v>156968</x:v>
      </x:c>
      <x:c r="I318" s="22" t="n">
        <x:v>146650</x:v>
      </x:c>
      <x:c r="J318" s="22" t="n">
        <x:v>157023</x:v>
      </x:c>
      <x:c r="K318" s="22" t="n">
        <x:v>18818700</x:v>
      </x:c>
      <x:c r="L318" s="22" t="n">
        <x:v>6001100</x:v>
      </x:c>
      <x:c r="M318" s="22" t="n">
        <x:v>1016</x:v>
      </x:c>
      <x:c r="N318" s="22" t="n">
        <x:v>1826</x:v>
      </x:c>
      <x:c r="O318" s="22" t="n">
        <x:v>823</x:v>
      </x:c>
      <x:c r="P318" s="22" t="n">
        <x:v>1504</x:v>
      </x:c>
      <x:c r="Q318" s="22" t="n">
        <x:v>1585</x:v>
      </x:c>
      <x:c r="R318" s="22" t="n">
        <x:v>1558</x:v>
      </x:c>
      <x:c r="S318" s="22" t="n">
        <x:v>1558</x:v>
      </x:c>
      <x:c r="T318" s="22" t="n">
        <x:v>1.7300000000000006</x:v>
      </x:c>
      <x:c r="U318" s="22" t="n">
        <x:v>16</x:v>
      </x:c>
      <x:c r="V318" s="22" t="n">
        <x:v>687</x:v>
      </x:c>
      <x:c r="W318" s="22" t="n">
        <x:v>278</x:v>
      </x:c>
      <x:c r="X318" s="22" t="n">
        <x:v>26</x:v>
      </x:c>
      <x:c r="Y318" s="22" t="n">
        <x:v>709</x:v>
      </x:c>
      <x:c r="Z318" s="22" t="n">
        <x:v>6</x:v>
      </x:c>
      <x:c r="AA318" s="22" t="n">
        <x:v>582</x:v>
      </x:c>
      <x:c r="AB318" s="22" t="n">
        <x:v>0</x:v>
      </x:c>
      <x:c r="AC318" s="22" t="n">
        <x:v>0</x:v>
      </x:c>
      <x:c r="AD318" s="22" t="n">
        <x:v>41</x:v>
      </x:c>
      <x:c r="AE318" s="22" t="n">
        <x:v>15</x:v>
      </x:c>
      <x:c r="AF318" s="22" t="n">
        <x:v>99</x:v>
      </x:c>
      <x:c r="AG318" s="22" t="n">
        <x:v>7</x:v>
      </x:c>
      <x:c r="AH318" s="22" t="n">
        <x:v>8</x:v>
      </x:c>
      <x:c r="AI318" s="22" t="n">
        <x:v>39.5</x:v>
      </x:c>
      <x:c r="AJ318" s="22" t="n">
        <x:v>11</x:v>
      </x:c>
      <x:c r="AK318" s="22" t="n">
        <x:v>7</x:v>
      </x:c>
      <x:c r="AL318" s="22" t="n">
        <x:v>1168</x:v>
      </x:c>
      <x:c r="AM318" s="22" t="n">
        <x:v>67</x:v>
      </x:c>
      <x:c r="AN318" s="22" t="n">
        <x:v>14</x:v>
      </x:c>
      <x:c r="AO318" s="22" t="n">
        <x:v>7</x:v>
      </x:c>
      <x:c r="AP318" s="22" t="n">
        <x:v>6600</x:v>
      </x:c>
      <x:c r="AQ318" s="22" t="n">
        <x:v>25</x:v>
      </x:c>
      <x:c r="AR318" s="22" t="n">
        <x:v>3</x:v>
      </x:c>
      <x:c r="AS318" s="22" t="n">
        <x:v>10</x:v>
      </x:c>
      <x:c r="AT318" s="22" t="n">
        <x:v>10</x:v>
      </x:c>
      <x:c r="AU318" s="22" t="n">
        <x:v>0</x:v>
      </x:c>
      <x:c r="AV318" s="22" t="n">
        <x:v>41</x:v>
      </x:c>
      <x:c r="AW318" s="22" t="n">
        <x:v>0</x:v>
      </x:c>
    </x:row>
    <x:row r="319" ht="24" customHeight="1">
      <x:c r="A319" s="22" t="str">
        <x:v>P0315</x:v>
      </x:c>
      <x:c r="B319" s="22" t="n">
        <x:v>10</x:v>
      </x:c>
      <x:c r="C319" s="22" t="n">
        <x:v>3</x:v>
      </x:c>
      <x:c r="D319" s="22" t="str">
        <x:v>C10G03入场</x:v>
      </x:c>
      <x:c r="E319" s="22" t="n">
        <x:v>152309</x:v>
      </x:c>
      <x:c r="F319" s="22" t="n">
        <x:v>162715</x:v>
      </x:c>
      <x:c r="G319" s="22" t="n">
        <x:v>146595</x:v>
      </x:c>
      <x:c r="H319" s="22" t="n">
        <x:v>156968</x:v>
      </x:c>
      <x:c r="I319" s="22" t="n">
        <x:v>146650</x:v>
      </x:c>
      <x:c r="J319" s="22" t="n">
        <x:v>157023</x:v>
      </x:c>
      <x:c r="K319" s="22" t="n">
        <x:v>18818700</x:v>
      </x:c>
      <x:c r="L319" s="22" t="n">
        <x:v>6001100</x:v>
      </x:c>
      <x:c r="M319" s="22" t="n">
        <x:v>1016</x:v>
      </x:c>
      <x:c r="N319" s="22" t="n">
        <x:v>1826</x:v>
      </x:c>
      <x:c r="O319" s="22" t="n">
        <x:v>823</x:v>
      </x:c>
      <x:c r="P319" s="22" t="n">
        <x:v>1504</x:v>
      </x:c>
      <x:c r="Q319" s="22" t="n">
        <x:v>1585</x:v>
      </x:c>
      <x:c r="R319" s="22" t="n">
        <x:v>1558</x:v>
      </x:c>
      <x:c r="S319" s="22" t="n">
        <x:v>1558</x:v>
      </x:c>
      <x:c r="T319" s="22" t="n">
        <x:v>1.7300000000000006</x:v>
      </x:c>
      <x:c r="U319" s="22" t="n">
        <x:v>16</x:v>
      </x:c>
      <x:c r="V319" s="22" t="n">
        <x:v>687</x:v>
      </x:c>
      <x:c r="W319" s="22" t="n">
        <x:v>278</x:v>
      </x:c>
      <x:c r="X319" s="22" t="n">
        <x:v>26</x:v>
      </x:c>
      <x:c r="Y319" s="22" t="n">
        <x:v>709</x:v>
      </x:c>
      <x:c r="Z319" s="22" t="n">
        <x:v>6</x:v>
      </x:c>
      <x:c r="AA319" s="22" t="n">
        <x:v>582</x:v>
      </x:c>
      <x:c r="AB319" s="22" t="n">
        <x:v>0</x:v>
      </x:c>
      <x:c r="AC319" s="22" t="n">
        <x:v>0</x:v>
      </x:c>
      <x:c r="AD319" s="22" t="n">
        <x:v>41</x:v>
      </x:c>
      <x:c r="AE319" s="22" t="n">
        <x:v>15</x:v>
      </x:c>
      <x:c r="AF319" s="22" t="n">
        <x:v>99</x:v>
      </x:c>
      <x:c r="AG319" s="22" t="n">
        <x:v>7</x:v>
      </x:c>
      <x:c r="AH319" s="22" t="n">
        <x:v>8</x:v>
      </x:c>
      <x:c r="AI319" s="22" t="n">
        <x:v>39.5</x:v>
      </x:c>
      <x:c r="AJ319" s="22" t="n">
        <x:v>11</x:v>
      </x:c>
      <x:c r="AK319" s="22" t="n">
        <x:v>7</x:v>
      </x:c>
      <x:c r="AL319" s="22" t="n">
        <x:v>1168</x:v>
      </x:c>
      <x:c r="AM319" s="22" t="n">
        <x:v>67</x:v>
      </x:c>
      <x:c r="AN319" s="22" t="n">
        <x:v>14</x:v>
      </x:c>
      <x:c r="AO319" s="22" t="n">
        <x:v>7</x:v>
      </x:c>
      <x:c r="AP319" s="22" t="n">
        <x:v>6600</x:v>
      </x:c>
      <x:c r="AQ319" s="22" t="n">
        <x:v>25</x:v>
      </x:c>
      <x:c r="AR319" s="22" t="n">
        <x:v>3</x:v>
      </x:c>
      <x:c r="AS319" s="22" t="n">
        <x:v>10</x:v>
      </x:c>
      <x:c r="AT319" s="22" t="n">
        <x:v>10</x:v>
      </x:c>
      <x:c r="AU319" s="22" t="n">
        <x:v>0</x:v>
      </x:c>
      <x:c r="AV319" s="22" t="n">
        <x:v>41</x:v>
      </x:c>
      <x:c r="AW319" s="22" t="n">
        <x:v>0</x:v>
      </x:c>
    </x:row>
    <x:row r="320" ht="24" customHeight="1">
      <x:c r="A320" s="22" t="str">
        <x:v>P0316</x:v>
      </x:c>
      <x:c r="B320" s="22" t="n">
        <x:v>10</x:v>
      </x:c>
      <x:c r="C320" s="22" t="n">
        <x:v>3</x:v>
      </x:c>
      <x:c r="D320" s="22" t="str">
        <x:v>C10G03普通专属4/6</x:v>
      </x:c>
      <x:c r="E320" s="22" t="n">
        <x:v>152309</x:v>
      </x:c>
      <x:c r="F320" s="22" t="n">
        <x:v>162715</x:v>
      </x:c>
      <x:c r="G320" s="22" t="n">
        <x:v>146595</x:v>
      </x:c>
      <x:c r="H320" s="22" t="n">
        <x:v>156968</x:v>
      </x:c>
      <x:c r="I320" s="22" t="n">
        <x:v>146650</x:v>
      </x:c>
      <x:c r="J320" s="22" t="n">
        <x:v>157023</x:v>
      </x:c>
      <x:c r="K320" s="22" t="n">
        <x:v>18818700</x:v>
      </x:c>
      <x:c r="L320" s="22" t="n">
        <x:v>6001100</x:v>
      </x:c>
      <x:c r="M320" s="22" t="n">
        <x:v>1016</x:v>
      </x:c>
      <x:c r="N320" s="22" t="n">
        <x:v>1826</x:v>
      </x:c>
      <x:c r="O320" s="22" t="n">
        <x:v>823</x:v>
      </x:c>
      <x:c r="P320" s="22" t="n">
        <x:v>1504</x:v>
      </x:c>
      <x:c r="Q320" s="22" t="n">
        <x:v>1585</x:v>
      </x:c>
      <x:c r="R320" s="22" t="n">
        <x:v>1558</x:v>
      </x:c>
      <x:c r="S320" s="22" t="n">
        <x:v>1558</x:v>
      </x:c>
      <x:c r="T320" s="22" t="n">
        <x:v>1.7300000000000006</x:v>
      </x:c>
      <x:c r="U320" s="22" t="n">
        <x:v>16</x:v>
      </x:c>
      <x:c r="V320" s="22" t="n">
        <x:v>687</x:v>
      </x:c>
      <x:c r="W320" s="22" t="n">
        <x:v>278</x:v>
      </x:c>
      <x:c r="X320" s="22" t="n">
        <x:v>26</x:v>
      </x:c>
      <x:c r="Y320" s="22" t="n">
        <x:v>709</x:v>
      </x:c>
      <x:c r="Z320" s="22" t="n">
        <x:v>6</x:v>
      </x:c>
      <x:c r="AA320" s="22" t="n">
        <x:v>582</x:v>
      </x:c>
      <x:c r="AB320" s="22" t="n">
        <x:v>0</x:v>
      </x:c>
      <x:c r="AC320" s="22" t="n">
        <x:v>0</x:v>
      </x:c>
      <x:c r="AD320" s="22" t="n">
        <x:v>41</x:v>
      </x:c>
      <x:c r="AE320" s="22" t="n">
        <x:v>15</x:v>
      </x:c>
      <x:c r="AF320" s="22" t="n">
        <x:v>99</x:v>
      </x:c>
      <x:c r="AG320" s="22" t="n">
        <x:v>7</x:v>
      </x:c>
      <x:c r="AH320" s="22" t="n">
        <x:v>8</x:v>
      </x:c>
      <x:c r="AI320" s="22" t="n">
        <x:v>39.5</x:v>
      </x:c>
      <x:c r="AJ320" s="22" t="n">
        <x:v>11</x:v>
      </x:c>
      <x:c r="AK320" s="22" t="n">
        <x:v>7</x:v>
      </x:c>
      <x:c r="AL320" s="22" t="n">
        <x:v>1168</x:v>
      </x:c>
      <x:c r="AM320" s="22" t="n">
        <x:v>67</x:v>
      </x:c>
      <x:c r="AN320" s="22" t="n">
        <x:v>14</x:v>
      </x:c>
      <x:c r="AO320" s="22" t="n">
        <x:v>7</x:v>
      </x:c>
      <x:c r="AP320" s="22" t="n">
        <x:v>6600</x:v>
      </x:c>
      <x:c r="AQ320" s="22" t="n">
        <x:v>25</x:v>
      </x:c>
      <x:c r="AR320" s="22" t="n">
        <x:v>3</x:v>
      </x:c>
      <x:c r="AS320" s="22" t="n">
        <x:v>10</x:v>
      </x:c>
      <x:c r="AT320" s="22" t="n">
        <x:v>10</x:v>
      </x:c>
      <x:c r="AU320" s="22" t="n">
        <x:v>0</x:v>
      </x:c>
      <x:c r="AV320" s="22" t="n">
        <x:v>41</x:v>
      </x:c>
      <x:c r="AW320" s="22" t="n">
        <x:v>0</x:v>
      </x:c>
    </x:row>
    <x:row r="321" ht="24" customHeight="1">
      <x:c r="A321" s="22" t="str">
        <x:v>P0317</x:v>
      </x:c>
      <x:c r="B321" s="22" t="n">
        <x:v>10</x:v>
      </x:c>
      <x:c r="C321" s="22" t="n">
        <x:v>3</x:v>
      </x:c>
      <x:c r="D321" s="22" t="str">
        <x:v>深井百臂掘王挑战前</x:v>
      </x:c>
      <x:c r="E321" s="22" t="n">
        <x:v>193047</x:v>
      </x:c>
      <x:c r="F321" s="22" t="n">
        <x:v>203453</x:v>
      </x:c>
      <x:c r="G321" s="22" t="n">
        <x:v>187333</x:v>
      </x:c>
      <x:c r="H321" s="22" t="n">
        <x:v>197706</x:v>
      </x:c>
      <x:c r="I321" s="22" t="n">
        <x:v>187388</x:v>
      </x:c>
      <x:c r="J321" s="22" t="n">
        <x:v>197761</x:v>
      </x:c>
      <x:c r="K321" s="22" t="n">
        <x:v>22892500</x:v>
      </x:c>
      <x:c r="L321" s="22" t="n">
        <x:v>10001100</x:v>
      </x:c>
      <x:c r="M321" s="22" t="n">
        <x:v>1016</x:v>
      </x:c>
      <x:c r="N321" s="22" t="n">
        <x:v>1826</x:v>
      </x:c>
      <x:c r="O321" s="22" t="n">
        <x:v>823</x:v>
      </x:c>
      <x:c r="P321" s="22" t="n">
        <x:v>1504</x:v>
      </x:c>
      <x:c r="Q321" s="22" t="n">
        <x:v>1585</x:v>
      </x:c>
      <x:c r="R321" s="22" t="n">
        <x:v>1558</x:v>
      </x:c>
      <x:c r="S321" s="22" t="n">
        <x:v>1558</x:v>
      </x:c>
      <x:c r="T321" s="22" t="n">
        <x:v>1.7300000000000006</x:v>
      </x:c>
      <x:c r="U321" s="22" t="n">
        <x:v>16</x:v>
      </x:c>
      <x:c r="V321" s="22" t="n">
        <x:v>687</x:v>
      </x:c>
      <x:c r="W321" s="22" t="n">
        <x:v>278</x:v>
      </x:c>
      <x:c r="X321" s="22" t="n">
        <x:v>26</x:v>
      </x:c>
      <x:c r="Y321" s="22" t="n">
        <x:v>709</x:v>
      </x:c>
      <x:c r="Z321" s="22" t="n">
        <x:v>6</x:v>
      </x:c>
      <x:c r="AA321" s="22" t="n">
        <x:v>582</x:v>
      </x:c>
      <x:c r="AB321" s="22" t="n">
        <x:v>0</x:v>
      </x:c>
      <x:c r="AC321" s="22" t="n">
        <x:v>0</x:v>
      </x:c>
      <x:c r="AD321" s="22" t="n">
        <x:v>41</x:v>
      </x:c>
      <x:c r="AE321" s="22" t="n">
        <x:v>15</x:v>
      </x:c>
      <x:c r="AF321" s="22" t="n">
        <x:v>99</x:v>
      </x:c>
      <x:c r="AG321" s="22" t="n">
        <x:v>7</x:v>
      </x:c>
      <x:c r="AH321" s="22" t="n">
        <x:v>8</x:v>
      </x:c>
      <x:c r="AI321" s="22" t="n">
        <x:v>39.5</x:v>
      </x:c>
      <x:c r="AJ321" s="22" t="n">
        <x:v>11</x:v>
      </x:c>
      <x:c r="AK321" s="22" t="n">
        <x:v>7</x:v>
      </x:c>
      <x:c r="AL321" s="22" t="n">
        <x:v>1168</x:v>
      </x:c>
      <x:c r="AM321" s="22" t="n">
        <x:v>67</x:v>
      </x:c>
      <x:c r="AN321" s="22" t="n">
        <x:v>14</x:v>
      </x:c>
      <x:c r="AO321" s="22" t="n">
        <x:v>7</x:v>
      </x:c>
      <x:c r="AP321" s="22" t="n">
        <x:v>8100</x:v>
      </x:c>
      <x:c r="AQ321" s="22" t="n">
        <x:v>25</x:v>
      </x:c>
      <x:c r="AR321" s="22" t="n">
        <x:v>3</x:v>
      </x:c>
      <x:c r="AS321" s="22" t="n">
        <x:v>10</x:v>
      </x:c>
      <x:c r="AT321" s="22" t="n">
        <x:v>10</x:v>
      </x:c>
      <x:c r="AU321" s="22" t="n">
        <x:v>0</x:v>
      </x:c>
      <x:c r="AV321" s="22" t="n">
        <x:v>41</x:v>
      </x:c>
      <x:c r="AW321" s="22" t="n">
        <x:v>0</x:v>
      </x:c>
    </x:row>
    <x:row r="322" ht="24" customHeight="1">
      <x:c r="A322" s="22" t="str">
        <x:v>P0318</x:v>
      </x:c>
      <x:c r="B322" s="22" t="n">
        <x:v>10</x:v>
      </x:c>
      <x:c r="C322" s="22" t="n">
        <x:v>3</x:v>
      </x:c>
      <x:c r="D322" s="22" t="str">
        <x:v>地脉熔冠巨像挑战前</x:v>
      </x:c>
      <x:c r="E322" s="22" t="n">
        <x:v>193047</x:v>
      </x:c>
      <x:c r="F322" s="22" t="n">
        <x:v>203453</x:v>
      </x:c>
      <x:c r="G322" s="22" t="n">
        <x:v>187333</x:v>
      </x:c>
      <x:c r="H322" s="22" t="n">
        <x:v>197706</x:v>
      </x:c>
      <x:c r="I322" s="22" t="n">
        <x:v>187388</x:v>
      </x:c>
      <x:c r="J322" s="22" t="n">
        <x:v>197761</x:v>
      </x:c>
      <x:c r="K322" s="22" t="n">
        <x:v>22892500</x:v>
      </x:c>
      <x:c r="L322" s="22" t="n">
        <x:v>10001100</x:v>
      </x:c>
      <x:c r="M322" s="22" t="n">
        <x:v>1016</x:v>
      </x:c>
      <x:c r="N322" s="22" t="n">
        <x:v>1826</x:v>
      </x:c>
      <x:c r="O322" s="22" t="n">
        <x:v>823</x:v>
      </x:c>
      <x:c r="P322" s="22" t="n">
        <x:v>1504</x:v>
      </x:c>
      <x:c r="Q322" s="22" t="n">
        <x:v>1585</x:v>
      </x:c>
      <x:c r="R322" s="22" t="n">
        <x:v>1558</x:v>
      </x:c>
      <x:c r="S322" s="22" t="n">
        <x:v>1558</x:v>
      </x:c>
      <x:c r="T322" s="22" t="n">
        <x:v>1.7300000000000006</x:v>
      </x:c>
      <x:c r="U322" s="22" t="n">
        <x:v>16</x:v>
      </x:c>
      <x:c r="V322" s="22" t="n">
        <x:v>687</x:v>
      </x:c>
      <x:c r="W322" s="22" t="n">
        <x:v>278</x:v>
      </x:c>
      <x:c r="X322" s="22" t="n">
        <x:v>26</x:v>
      </x:c>
      <x:c r="Y322" s="22" t="n">
        <x:v>709</x:v>
      </x:c>
      <x:c r="Z322" s="22" t="n">
        <x:v>6</x:v>
      </x:c>
      <x:c r="AA322" s="22" t="n">
        <x:v>582</x:v>
      </x:c>
      <x:c r="AB322" s="22" t="n">
        <x:v>0</x:v>
      </x:c>
      <x:c r="AC322" s="22" t="n">
        <x:v>0</x:v>
      </x:c>
      <x:c r="AD322" s="22" t="n">
        <x:v>41</x:v>
      </x:c>
      <x:c r="AE322" s="22" t="n">
        <x:v>15</x:v>
      </x:c>
      <x:c r="AF322" s="22" t="n">
        <x:v>99</x:v>
      </x:c>
      <x:c r="AG322" s="22" t="n">
        <x:v>7</x:v>
      </x:c>
      <x:c r="AH322" s="22" t="n">
        <x:v>8</x:v>
      </x:c>
      <x:c r="AI322" s="22" t="n">
        <x:v>39.5</x:v>
      </x:c>
      <x:c r="AJ322" s="22" t="n">
        <x:v>11</x:v>
      </x:c>
      <x:c r="AK322" s="22" t="n">
        <x:v>7</x:v>
      </x:c>
      <x:c r="AL322" s="22" t="n">
        <x:v>1168</x:v>
      </x:c>
      <x:c r="AM322" s="22" t="n">
        <x:v>67</x:v>
      </x:c>
      <x:c r="AN322" s="22" t="n">
        <x:v>14</x:v>
      </x:c>
      <x:c r="AO322" s="22" t="n">
        <x:v>7</x:v>
      </x:c>
      <x:c r="AP322" s="22" t="n">
        <x:v>8100</x:v>
      </x:c>
      <x:c r="AQ322" s="22" t="n">
        <x:v>25</x:v>
      </x:c>
      <x:c r="AR322" s="22" t="n">
        <x:v>3</x:v>
      </x:c>
      <x:c r="AS322" s="22" t="n">
        <x:v>10</x:v>
      </x:c>
      <x:c r="AT322" s="22" t="n">
        <x:v>10</x:v>
      </x:c>
      <x:c r="AU322" s="22" t="n">
        <x:v>0</x:v>
      </x:c>
      <x:c r="AV322" s="22" t="n">
        <x:v>41</x:v>
      </x:c>
      <x:c r="AW322" s="22" t="n">
        <x:v>0</x:v>
      </x:c>
    </x:row>
    <x:row r="323" ht="24" customHeight="1">
      <x:c r="A323" s="22" t="str">
        <x:v>P0319</x:v>
      </x:c>
      <x:c r="B323" s="22" t="n">
        <x:v>10</x:v>
      </x:c>
      <x:c r="C323" s="22" t="n">
        <x:v>3</x:v>
      </x:c>
      <x:c r="D323" s="22" t="str">
        <x:v>王城矿井BOSS装备快线</x:v>
      </x:c>
      <x:c r="E323" s="22" t="n">
        <x:v>193762</x:v>
      </x:c>
      <x:c r="F323" s="22" t="n">
        <x:v>204873</x:v>
      </x:c>
      <x:c r="G323" s="22" t="n">
        <x:v>188048</x:v>
      </x:c>
      <x:c r="H323" s="22" t="n">
        <x:v>199126</x:v>
      </x:c>
      <x:c r="I323" s="22" t="n">
        <x:v>188103</x:v>
      </x:c>
      <x:c r="J323" s="22" t="n">
        <x:v>199181</x:v>
      </x:c>
      <x:c r="K323" s="22" t="n">
        <x:v>23307700</x:v>
      </x:c>
      <x:c r="L323" s="22" t="n">
        <x:v>10001100</x:v>
      </x:c>
      <x:c r="M323" s="22" t="n">
        <x:v>1161</x:v>
      </x:c>
      <x:c r="N323" s="22" t="n">
        <x:v>2089</x:v>
      </x:c>
      <x:c r="O323" s="22" t="n">
        <x:v>941</x:v>
      </x:c>
      <x:c r="P323" s="22" t="n">
        <x:v>1719</x:v>
      </x:c>
      <x:c r="Q323" s="22" t="n">
        <x:v>1668</x:v>
      </x:c>
      <x:c r="R323" s="22" t="n">
        <x:v>1641</x:v>
      </x:c>
      <x:c r="S323" s="22" t="n">
        <x:v>1641</x:v>
      </x:c>
      <x:c r="T323" s="22" t="n">
        <x:v>1.7300000000000006</x:v>
      </x:c>
      <x:c r="U323" s="22" t="n">
        <x:v>16</x:v>
      </x:c>
      <x:c r="V323" s="22" t="n">
        <x:v>721</x:v>
      </x:c>
      <x:c r="W323" s="22" t="n">
        <x:v>296</x:v>
      </x:c>
      <x:c r="X323" s="22" t="n">
        <x:v>26</x:v>
      </x:c>
      <x:c r="Y323" s="22" t="n">
        <x:v>709</x:v>
      </x:c>
      <x:c r="Z323" s="22" t="n">
        <x:v>6</x:v>
      </x:c>
      <x:c r="AA323" s="22" t="n">
        <x:v>646</x:v>
      </x:c>
      <x:c r="AB323" s="22" t="n">
        <x:v>0</x:v>
      </x:c>
      <x:c r="AC323" s="22" t="n">
        <x:v>0</x:v>
      </x:c>
      <x:c r="AD323" s="22" t="n">
        <x:v>41</x:v>
      </x:c>
      <x:c r="AE323" s="22" t="n">
        <x:v>15</x:v>
      </x:c>
      <x:c r="AF323" s="22" t="n">
        <x:v>99</x:v>
      </x:c>
      <x:c r="AG323" s="22" t="n">
        <x:v>7</x:v>
      </x:c>
      <x:c r="AH323" s="22" t="n">
        <x:v>8</x:v>
      </x:c>
      <x:c r="AI323" s="22" t="n">
        <x:v>39.5</x:v>
      </x:c>
      <x:c r="AJ323" s="22" t="n">
        <x:v>11</x:v>
      </x:c>
      <x:c r="AK323" s="22" t="n">
        <x:v>7</x:v>
      </x:c>
      <x:c r="AL323" s="22" t="n">
        <x:v>1168</x:v>
      </x:c>
      <x:c r="AM323" s="22" t="n">
        <x:v>70</x:v>
      </x:c>
      <x:c r="AN323" s="22" t="n">
        <x:v>14</x:v>
      </x:c>
      <x:c r="AO323" s="22" t="n">
        <x:v>7</x:v>
      </x:c>
      <x:c r="AP323" s="22" t="n">
        <x:v>8100</x:v>
      </x:c>
      <x:c r="AQ323" s="22" t="n">
        <x:v>25</x:v>
      </x:c>
      <x:c r="AR323" s="22" t="n">
        <x:v>3</x:v>
      </x:c>
      <x:c r="AS323" s="22" t="n">
        <x:v>10</x:v>
      </x:c>
      <x:c r="AT323" s="22" t="n">
        <x:v>10</x:v>
      </x:c>
      <x:c r="AU323" s="22" t="n">
        <x:v>0</x:v>
      </x:c>
      <x:c r="AV323" s="22" t="n">
        <x:v>41</x:v>
      </x:c>
      <x:c r="AW323" s="22" t="n">
        <x:v>0</x:v>
      </x:c>
    </x:row>
    <x:row r="324" ht="24" customHeight="1">
      <x:c r="A324" s="22" t="str">
        <x:v>P0320</x:v>
      </x:c>
      <x:c r="B324" s="22" t="n">
        <x:v>10</x:v>
      </x:c>
      <x:c r="C324" s="22" t="n">
        <x:v>3</x:v>
      </x:c>
      <x:c r="D324" s="22" t="str">
        <x:v>王城矿井阶段积累后</x:v>
      </x:c>
      <x:c r="E324" s="22" t="n">
        <x:v>190141</x:v>
      </x:c>
      <x:c r="F324" s="22" t="n">
        <x:v>201522</x:v>
      </x:c>
      <x:c r="G324" s="22" t="n">
        <x:v>188548</x:v>
      </x:c>
      <x:c r="H324" s="22" t="n">
        <x:v>199896</x:v>
      </x:c>
      <x:c r="I324" s="22" t="n">
        <x:v>188603</x:v>
      </x:c>
      <x:c r="J324" s="22" t="n">
        <x:v>199951</x:v>
      </x:c>
      <x:c r="K324" s="22" t="n">
        <x:v>23053400</x:v>
      </x:c>
      <x:c r="L324" s="22" t="n">
        <x:v>10001100</x:v>
      </x:c>
      <x:c r="M324" s="22" t="n">
        <x:v>1016</x:v>
      </x:c>
      <x:c r="N324" s="22" t="n">
        <x:v>1826</x:v>
      </x:c>
      <x:c r="O324" s="22" t="n">
        <x:v>823</x:v>
      </x:c>
      <x:c r="P324" s="22" t="n">
        <x:v>1504</x:v>
      </x:c>
      <x:c r="Q324" s="22" t="n">
        <x:v>1717</x:v>
      </x:c>
      <x:c r="R324" s="22" t="n">
        <x:v>1690</x:v>
      </x:c>
      <x:c r="S324" s="22" t="n">
        <x:v>1690</x:v>
      </x:c>
      <x:c r="T324" s="22" t="n">
        <x:v>1.7300000000000006</x:v>
      </x:c>
      <x:c r="U324" s="22" t="n">
        <x:v>16</x:v>
      </x:c>
      <x:c r="V324" s="22" t="n">
        <x:v>658</x:v>
      </x:c>
      <x:c r="W324" s="22" t="n">
        <x:v>292</x:v>
      </x:c>
      <x:c r="X324" s="22" t="n">
        <x:v>25</x:v>
      </x:c>
      <x:c r="Y324" s="22" t="n">
        <x:v>697</x:v>
      </x:c>
      <x:c r="Z324" s="22" t="n">
        <x:v>6</x:v>
      </x:c>
      <x:c r="AA324" s="22" t="n">
        <x:v>584</x:v>
      </x:c>
      <x:c r="AB324" s="22" t="n">
        <x:v>0</x:v>
      </x:c>
      <x:c r="AC324" s="22" t="n">
        <x:v>0</x:v>
      </x:c>
      <x:c r="AD324" s="22" t="n">
        <x:v>41</x:v>
      </x:c>
      <x:c r="AE324" s="22" t="n">
        <x:v>15</x:v>
      </x:c>
      <x:c r="AF324" s="22" t="n">
        <x:v>101</x:v>
      </x:c>
      <x:c r="AG324" s="22" t="n">
        <x:v>7</x:v>
      </x:c>
      <x:c r="AH324" s="22" t="n">
        <x:v>8</x:v>
      </x:c>
      <x:c r="AI324" s="22" t="n">
        <x:v>39.5</x:v>
      </x:c>
      <x:c r="AJ324" s="22" t="n">
        <x:v>11</x:v>
      </x:c>
      <x:c r="AK324" s="22" t="n">
        <x:v>8</x:v>
      </x:c>
      <x:c r="AL324" s="22" t="n">
        <x:v>1168</x:v>
      </x:c>
      <x:c r="AM324" s="22" t="n">
        <x:v>67</x:v>
      </x:c>
      <x:c r="AN324" s="22" t="n">
        <x:v>14</x:v>
      </x:c>
      <x:c r="AO324" s="22" t="n">
        <x:v>7</x:v>
      </x:c>
      <x:c r="AP324" s="22" t="n">
        <x:v>8140</x:v>
      </x:c>
      <x:c r="AQ324" s="22" t="n">
        <x:v>25</x:v>
      </x:c>
      <x:c r="AR324" s="22" t="n">
        <x:v>3</x:v>
      </x:c>
      <x:c r="AS324" s="22" t="n">
        <x:v>10</x:v>
      </x:c>
      <x:c r="AT324" s="22" t="n">
        <x:v>10</x:v>
      </x:c>
      <x:c r="AU324" s="22" t="n">
        <x:v>0</x:v>
      </x:c>
      <x:c r="AV324" s="22" t="n">
        <x:v>41</x:v>
      </x:c>
      <x:c r="AW324" s="22" t="n">
        <x:v>0</x:v>
      </x:c>
    </x:row>
    <x:row r="325" ht="24" customHeight="1">
      <x:c r="A325" s="22" t="str">
        <x:v>P0321</x:v>
      </x:c>
      <x:c r="B325" s="22" t="n">
        <x:v>10</x:v>
      </x:c>
      <x:c r="C325" s="22" t="n">
        <x:v>4</x:v>
      </x:c>
      <x:c r="D325" s="22" t="str">
        <x:v>C10G04入场</x:v>
      </x:c>
      <x:c r="E325" s="22" t="n">
        <x:v>190141</x:v>
      </x:c>
      <x:c r="F325" s="22" t="n">
        <x:v>201522</x:v>
      </x:c>
      <x:c r="G325" s="22" t="n">
        <x:v>188548</x:v>
      </x:c>
      <x:c r="H325" s="22" t="n">
        <x:v>199896</x:v>
      </x:c>
      <x:c r="I325" s="22" t="n">
        <x:v>188603</x:v>
      </x:c>
      <x:c r="J325" s="22" t="n">
        <x:v>199951</x:v>
      </x:c>
      <x:c r="K325" s="22" t="n">
        <x:v>23053400</x:v>
      </x:c>
      <x:c r="L325" s="22" t="n">
        <x:v>10001100</x:v>
      </x:c>
      <x:c r="M325" s="22" t="n">
        <x:v>1016</x:v>
      </x:c>
      <x:c r="N325" s="22" t="n">
        <x:v>1826</x:v>
      </x:c>
      <x:c r="O325" s="22" t="n">
        <x:v>823</x:v>
      </x:c>
      <x:c r="P325" s="22" t="n">
        <x:v>1504</x:v>
      </x:c>
      <x:c r="Q325" s="22" t="n">
        <x:v>1717</x:v>
      </x:c>
      <x:c r="R325" s="22" t="n">
        <x:v>1690</x:v>
      </x:c>
      <x:c r="S325" s="22" t="n">
        <x:v>1690</x:v>
      </x:c>
      <x:c r="T325" s="22" t="n">
        <x:v>1.7300000000000006</x:v>
      </x:c>
      <x:c r="U325" s="22" t="n">
        <x:v>16</x:v>
      </x:c>
      <x:c r="V325" s="22" t="n">
        <x:v>658</x:v>
      </x:c>
      <x:c r="W325" s="22" t="n">
        <x:v>292</x:v>
      </x:c>
      <x:c r="X325" s="22" t="n">
        <x:v>25</x:v>
      </x:c>
      <x:c r="Y325" s="22" t="n">
        <x:v>697</x:v>
      </x:c>
      <x:c r="Z325" s="22" t="n">
        <x:v>6</x:v>
      </x:c>
      <x:c r="AA325" s="22" t="n">
        <x:v>584</x:v>
      </x:c>
      <x:c r="AB325" s="22" t="n">
        <x:v>0</x:v>
      </x:c>
      <x:c r="AC325" s="22" t="n">
        <x:v>0</x:v>
      </x:c>
      <x:c r="AD325" s="22" t="n">
        <x:v>41</x:v>
      </x:c>
      <x:c r="AE325" s="22" t="n">
        <x:v>15</x:v>
      </x:c>
      <x:c r="AF325" s="22" t="n">
        <x:v>101</x:v>
      </x:c>
      <x:c r="AG325" s="22" t="n">
        <x:v>7</x:v>
      </x:c>
      <x:c r="AH325" s="22" t="n">
        <x:v>8</x:v>
      </x:c>
      <x:c r="AI325" s="22" t="n">
        <x:v>39.5</x:v>
      </x:c>
      <x:c r="AJ325" s="22" t="n">
        <x:v>11</x:v>
      </x:c>
      <x:c r="AK325" s="22" t="n">
        <x:v>8</x:v>
      </x:c>
      <x:c r="AL325" s="22" t="n">
        <x:v>1168</x:v>
      </x:c>
      <x:c r="AM325" s="22" t="n">
        <x:v>67</x:v>
      </x:c>
      <x:c r="AN325" s="22" t="n">
        <x:v>14</x:v>
      </x:c>
      <x:c r="AO325" s="22" t="n">
        <x:v>7</x:v>
      </x:c>
      <x:c r="AP325" s="22" t="n">
        <x:v>8140</x:v>
      </x:c>
      <x:c r="AQ325" s="22" t="n">
        <x:v>25</x:v>
      </x:c>
      <x:c r="AR325" s="22" t="n">
        <x:v>3</x:v>
      </x:c>
      <x:c r="AS325" s="22" t="n">
        <x:v>10</x:v>
      </x:c>
      <x:c r="AT325" s="22" t="n">
        <x:v>10</x:v>
      </x:c>
      <x:c r="AU325" s="22" t="n">
        <x:v>0</x:v>
      </x:c>
      <x:c r="AV325" s="22" t="n">
        <x:v>41</x:v>
      </x:c>
      <x:c r="AW325" s="22" t="n">
        <x:v>0</x:v>
      </x:c>
    </x:row>
    <x:row r="326" ht="24" customHeight="1">
      <x:c r="A326" s="22" t="str">
        <x:v>P0322</x:v>
      </x:c>
      <x:c r="B326" s="22" t="n">
        <x:v>10</x:v>
      </x:c>
      <x:c r="C326" s="22" t="n">
        <x:v>4</x:v>
      </x:c>
      <x:c r="D326" s="22" t="str">
        <x:v>C10G04普通专属4/6</x:v>
      </x:c>
      <x:c r="E326" s="22" t="n">
        <x:v>190299</x:v>
      </x:c>
      <x:c r="F326" s="22" t="n">
        <x:v>201823</x:v>
      </x:c>
      <x:c r="G326" s="22" t="n">
        <x:v>188706</x:v>
      </x:c>
      <x:c r="H326" s="22" t="n">
        <x:v>200197</x:v>
      </x:c>
      <x:c r="I326" s="22" t="n">
        <x:v>188761</x:v>
      </x:c>
      <x:c r="J326" s="22" t="n">
        <x:v>200252</x:v>
      </x:c>
      <x:c r="K326" s="22" t="n">
        <x:v>23200700</x:v>
      </x:c>
      <x:c r="L326" s="22" t="n">
        <x:v>10001100</x:v>
      </x:c>
      <x:c r="M326" s="22" t="n">
        <x:v>1013</x:v>
      </x:c>
      <x:c r="N326" s="22" t="n">
        <x:v>1820</x:v>
      </x:c>
      <x:c r="O326" s="22" t="n">
        <x:v>821</x:v>
      </x:c>
      <x:c r="P326" s="22" t="n">
        <x:v>1499</x:v>
      </x:c>
      <x:c r="Q326" s="22" t="n">
        <x:v>1711</x:v>
      </x:c>
      <x:c r="R326" s="22" t="n">
        <x:v>1684</x:v>
      </x:c>
      <x:c r="S326" s="22" t="n">
        <x:v>1684</x:v>
      </x:c>
      <x:c r="T326" s="22" t="n">
        <x:v>1.7300000000000006</x:v>
      </x:c>
      <x:c r="U326" s="22" t="n">
        <x:v>16</x:v>
      </x:c>
      <x:c r="V326" s="22" t="n">
        <x:v>656</x:v>
      </x:c>
      <x:c r="W326" s="22" t="n">
        <x:v>292</x:v>
      </x:c>
      <x:c r="X326" s="22" t="n">
        <x:v>25</x:v>
      </x:c>
      <x:c r="Y326" s="22" t="n">
        <x:v>697</x:v>
      </x:c>
      <x:c r="Z326" s="22" t="n">
        <x:v>6</x:v>
      </x:c>
      <x:c r="AA326" s="22" t="n">
        <x:v>611</x:v>
      </x:c>
      <x:c r="AB326" s="22" t="n">
        <x:v>0</x:v>
      </x:c>
      <x:c r="AC326" s="22" t="n">
        <x:v>0</x:v>
      </x:c>
      <x:c r="AD326" s="22" t="n">
        <x:v>41</x:v>
      </x:c>
      <x:c r="AE326" s="22" t="n">
        <x:v>15</x:v>
      </x:c>
      <x:c r="AF326" s="22" t="n">
        <x:v>101</x:v>
      </x:c>
      <x:c r="AG326" s="22" t="n">
        <x:v>7</x:v>
      </x:c>
      <x:c r="AH326" s="22" t="n">
        <x:v>8</x:v>
      </x:c>
      <x:c r="AI326" s="22" t="n">
        <x:v>39.5</x:v>
      </x:c>
      <x:c r="AJ326" s="22" t="n">
        <x:v>11</x:v>
      </x:c>
      <x:c r="AK326" s="22" t="n">
        <x:v>8</x:v>
      </x:c>
      <x:c r="AL326" s="22" t="n">
        <x:v>1168</x:v>
      </x:c>
      <x:c r="AM326" s="22" t="n">
        <x:v>65</x:v>
      </x:c>
      <x:c r="AN326" s="22" t="n">
        <x:v>14</x:v>
      </x:c>
      <x:c r="AO326" s="22" t="n">
        <x:v>7</x:v>
      </x:c>
      <x:c r="AP326" s="22" t="n">
        <x:v>8140</x:v>
      </x:c>
      <x:c r="AQ326" s="22" t="n">
        <x:v>25</x:v>
      </x:c>
      <x:c r="AR326" s="22" t="n">
        <x:v>3</x:v>
      </x:c>
      <x:c r="AS326" s="22" t="n">
        <x:v>10</x:v>
      </x:c>
      <x:c r="AT326" s="22" t="n">
        <x:v>10</x:v>
      </x:c>
      <x:c r="AU326" s="22" t="n">
        <x:v>0</x:v>
      </x:c>
      <x:c r="AV326" s="22" t="n">
        <x:v>41</x:v>
      </x:c>
      <x:c r="AW326" s="22" t="n">
        <x:v>0</x:v>
      </x:c>
    </x:row>
    <x:row r="327" ht="24" customHeight="1">
      <x:c r="A327" s="22" t="str">
        <x:v>P0323</x:v>
      </x:c>
      <x:c r="B327" s="22" t="n">
        <x:v>10</x:v>
      </x:c>
      <x:c r="C327" s="22" t="n">
        <x:v>4</x:v>
      </x:c>
      <x:c r="D327" s="22" t="str">
        <x:v>不葬的甬道王妃挑战前</x:v>
      </x:c>
      <x:c r="E327" s="22" t="n">
        <x:v>194369</x:v>
      </x:c>
      <x:c r="F327" s="22" t="n">
        <x:v>205896</x:v>
      </x:c>
      <x:c r="G327" s="22" t="n">
        <x:v>189453</x:v>
      </x:c>
      <x:c r="H327" s="22" t="n">
        <x:v>200944</x:v>
      </x:c>
      <x:c r="I327" s="22" t="n">
        <x:v>193575</x:v>
      </x:c>
      <x:c r="J327" s="22" t="n">
        <x:v>205066</x:v>
      </x:c>
      <x:c r="K327" s="22" t="n">
        <x:v>23275800</x:v>
      </x:c>
      <x:c r="L327" s="22" t="n">
        <x:v>10001200</x:v>
      </x:c>
      <x:c r="M327" s="22" t="n">
        <x:v>1013</x:v>
      </x:c>
      <x:c r="N327" s="22" t="n">
        <x:v>1820</x:v>
      </x:c>
      <x:c r="O327" s="22" t="n">
        <x:v>821</x:v>
      </x:c>
      <x:c r="P327" s="22" t="n">
        <x:v>1499</x:v>
      </x:c>
      <x:c r="Q327" s="22" t="n">
        <x:v>1711</x:v>
      </x:c>
      <x:c r="R327" s="22" t="n">
        <x:v>1684</x:v>
      </x:c>
      <x:c r="S327" s="22" t="n">
        <x:v>1684</x:v>
      </x:c>
      <x:c r="T327" s="22" t="n">
        <x:v>1.7300000000000006</x:v>
      </x:c>
      <x:c r="U327" s="22" t="n">
        <x:v>16</x:v>
      </x:c>
      <x:c r="V327" s="22" t="n">
        <x:v>656</x:v>
      </x:c>
      <x:c r="W327" s="22" t="n">
        <x:v>292</x:v>
      </x:c>
      <x:c r="X327" s="22" t="n">
        <x:v>25</x:v>
      </x:c>
      <x:c r="Y327" s="22" t="n">
        <x:v>697</x:v>
      </x:c>
      <x:c r="Z327" s="22" t="n">
        <x:v>6</x:v>
      </x:c>
      <x:c r="AA327" s="22" t="n">
        <x:v>611</x:v>
      </x:c>
      <x:c r="AB327" s="22" t="n">
        <x:v>0</x:v>
      </x:c>
      <x:c r="AC327" s="22" t="n">
        <x:v>0</x:v>
      </x:c>
      <x:c r="AD327" s="22" t="n">
        <x:v>44</x:v>
      </x:c>
      <x:c r="AE327" s="22" t="n">
        <x:v>15</x:v>
      </x:c>
      <x:c r="AF327" s="22" t="n">
        <x:v>101</x:v>
      </x:c>
      <x:c r="AG327" s="22" t="n">
        <x:v>7</x:v>
      </x:c>
      <x:c r="AH327" s="22" t="n">
        <x:v>8</x:v>
      </x:c>
      <x:c r="AI327" s="22" t="n">
        <x:v>40.5</x:v>
      </x:c>
      <x:c r="AJ327" s="22" t="n">
        <x:v>11</x:v>
      </x:c>
      <x:c r="AK327" s="22" t="n">
        <x:v>8</x:v>
      </x:c>
      <x:c r="AL327" s="22" t="n">
        <x:v>1168</x:v>
      </x:c>
      <x:c r="AM327" s="22" t="n">
        <x:v>65</x:v>
      </x:c>
      <x:c r="AN327" s="22" t="n">
        <x:v>14</x:v>
      </x:c>
      <x:c r="AO327" s="22" t="n">
        <x:v>7</x:v>
      </x:c>
      <x:c r="AP327" s="22" t="n">
        <x:v>8140</x:v>
      </x:c>
      <x:c r="AQ327" s="22" t="n">
        <x:v>25</x:v>
      </x:c>
      <x:c r="AR327" s="22" t="n">
        <x:v>3</x:v>
      </x:c>
      <x:c r="AS327" s="22" t="n">
        <x:v>10</x:v>
      </x:c>
      <x:c r="AT327" s="22" t="n">
        <x:v>10</x:v>
      </x:c>
      <x:c r="AU327" s="22" t="n">
        <x:v>0</x:v>
      </x:c>
      <x:c r="AV327" s="22" t="n">
        <x:v>41</x:v>
      </x:c>
      <x:c r="AW327" s="22" t="n">
        <x:v>0</x:v>
      </x:c>
    </x:row>
    <x:row r="328" ht="24" customHeight="1">
      <x:c r="A328" s="22" t="str">
        <x:v>P0324</x:v>
      </x:c>
      <x:c r="B328" s="22" t="n">
        <x:v>10</x:v>
      </x:c>
      <x:c r="C328" s="22" t="n">
        <x:v>4</x:v>
      </x:c>
      <x:c r="D328" s="22" t="str">
        <x:v>枯寝吞碑王挑战前</x:v>
      </x:c>
      <x:c r="E328" s="22" t="n">
        <x:v>194369</x:v>
      </x:c>
      <x:c r="F328" s="22" t="n">
        <x:v>205896</x:v>
      </x:c>
      <x:c r="G328" s="22" t="n">
        <x:v>189453</x:v>
      </x:c>
      <x:c r="H328" s="22" t="n">
        <x:v>200944</x:v>
      </x:c>
      <x:c r="I328" s="22" t="n">
        <x:v>193575</x:v>
      </x:c>
      <x:c r="J328" s="22" t="n">
        <x:v>205066</x:v>
      </x:c>
      <x:c r="K328" s="22" t="n">
        <x:v>23275800</x:v>
      </x:c>
      <x:c r="L328" s="22" t="n">
        <x:v>10001200</x:v>
      </x:c>
      <x:c r="M328" s="22" t="n">
        <x:v>1013</x:v>
      </x:c>
      <x:c r="N328" s="22" t="n">
        <x:v>1820</x:v>
      </x:c>
      <x:c r="O328" s="22" t="n">
        <x:v>821</x:v>
      </x:c>
      <x:c r="P328" s="22" t="n">
        <x:v>1499</x:v>
      </x:c>
      <x:c r="Q328" s="22" t="n">
        <x:v>1711</x:v>
      </x:c>
      <x:c r="R328" s="22" t="n">
        <x:v>1684</x:v>
      </x:c>
      <x:c r="S328" s="22" t="n">
        <x:v>1684</x:v>
      </x:c>
      <x:c r="T328" s="22" t="n">
        <x:v>1.7300000000000006</x:v>
      </x:c>
      <x:c r="U328" s="22" t="n">
        <x:v>16</x:v>
      </x:c>
      <x:c r="V328" s="22" t="n">
        <x:v>656</x:v>
      </x:c>
      <x:c r="W328" s="22" t="n">
        <x:v>292</x:v>
      </x:c>
      <x:c r="X328" s="22" t="n">
        <x:v>25</x:v>
      </x:c>
      <x:c r="Y328" s="22" t="n">
        <x:v>697</x:v>
      </x:c>
      <x:c r="Z328" s="22" t="n">
        <x:v>6</x:v>
      </x:c>
      <x:c r="AA328" s="22" t="n">
        <x:v>611</x:v>
      </x:c>
      <x:c r="AB328" s="22" t="n">
        <x:v>0</x:v>
      </x:c>
      <x:c r="AC328" s="22" t="n">
        <x:v>0</x:v>
      </x:c>
      <x:c r="AD328" s="22" t="n">
        <x:v>44</x:v>
      </x:c>
      <x:c r="AE328" s="22" t="n">
        <x:v>15</x:v>
      </x:c>
      <x:c r="AF328" s="22" t="n">
        <x:v>101</x:v>
      </x:c>
      <x:c r="AG328" s="22" t="n">
        <x:v>7</x:v>
      </x:c>
      <x:c r="AH328" s="22" t="n">
        <x:v>8</x:v>
      </x:c>
      <x:c r="AI328" s="22" t="n">
        <x:v>40.5</x:v>
      </x:c>
      <x:c r="AJ328" s="22" t="n">
        <x:v>11</x:v>
      </x:c>
      <x:c r="AK328" s="22" t="n">
        <x:v>8</x:v>
      </x:c>
      <x:c r="AL328" s="22" t="n">
        <x:v>1168</x:v>
      </x:c>
      <x:c r="AM328" s="22" t="n">
        <x:v>65</x:v>
      </x:c>
      <x:c r="AN328" s="22" t="n">
        <x:v>14</x:v>
      </x:c>
      <x:c r="AO328" s="22" t="n">
        <x:v>7</x:v>
      </x:c>
      <x:c r="AP328" s="22" t="n">
        <x:v>8140</x:v>
      </x:c>
      <x:c r="AQ328" s="22" t="n">
        <x:v>25</x:v>
      </x:c>
      <x:c r="AR328" s="22" t="n">
        <x:v>3</x:v>
      </x:c>
      <x:c r="AS328" s="22" t="n">
        <x:v>10</x:v>
      </x:c>
      <x:c r="AT328" s="22" t="n">
        <x:v>10</x:v>
      </x:c>
      <x:c r="AU328" s="22" t="n">
        <x:v>0</x:v>
      </x:c>
      <x:c r="AV328" s="22" t="n">
        <x:v>41</x:v>
      </x:c>
      <x:c r="AW328" s="22" t="n">
        <x:v>0</x:v>
      </x:c>
    </x:row>
    <x:row r="329" ht="24" customHeight="1">
      <x:c r="A329" s="22" t="str">
        <x:v>P0325</x:v>
      </x:c>
      <x:c r="B329" s="22" t="n">
        <x:v>10</x:v>
      </x:c>
      <x:c r="C329" s="22" t="n">
        <x:v>4</x:v>
      </x:c>
      <x:c r="D329" s="22" t="str">
        <x:v>王城地穴BOSS装备快线</x:v>
      </x:c>
      <x:c r="E329" s="22" t="n">
        <x:v>194544</x:v>
      </x:c>
      <x:c r="F329" s="22" t="n">
        <x:v>206236</x:v>
      </x:c>
      <x:c r="G329" s="22" t="n">
        <x:v>189628</x:v>
      </x:c>
      <x:c r="H329" s="22" t="n">
        <x:v>201284</x:v>
      </x:c>
      <x:c r="I329" s="22" t="n">
        <x:v>193750</x:v>
      </x:c>
      <x:c r="J329" s="22" t="n">
        <x:v>205406</x:v>
      </x:c>
      <x:c r="K329" s="22" t="n">
        <x:v>23448400</x:v>
      </x:c>
      <x:c r="L329" s="22" t="n">
        <x:v>10001200</x:v>
      </x:c>
      <x:c r="M329" s="22" t="n">
        <x:v>1043</x:v>
      </x:c>
      <x:c r="N329" s="22" t="n">
        <x:v>1878</x:v>
      </x:c>
      <x:c r="O329" s="22" t="n">
        <x:v>847</x:v>
      </x:c>
      <x:c r="P329" s="22" t="n">
        <x:v>1544</x:v>
      </x:c>
      <x:c r="Q329" s="22" t="n">
        <x:v>1716</x:v>
      </x:c>
      <x:c r="R329" s="22" t="n">
        <x:v>1689</x:v>
      </x:c>
      <x:c r="S329" s="22" t="n">
        <x:v>1689</x:v>
      </x:c>
      <x:c r="T329" s="22" t="n">
        <x:v>1.7300000000000006</x:v>
      </x:c>
      <x:c r="U329" s="22" t="n">
        <x:v>16</x:v>
      </x:c>
      <x:c r="V329" s="22" t="n">
        <x:v>656</x:v>
      </x:c>
      <x:c r="W329" s="22" t="n">
        <x:v>292</x:v>
      </x:c>
      <x:c r="X329" s="22" t="n">
        <x:v>25</x:v>
      </x:c>
      <x:c r="Y329" s="22" t="n">
        <x:v>697</x:v>
      </x:c>
      <x:c r="Z329" s="22" t="n">
        <x:v>6</x:v>
      </x:c>
      <x:c r="AA329" s="22" t="n">
        <x:v>611</x:v>
      </x:c>
      <x:c r="AB329" s="22" t="n">
        <x:v>0</x:v>
      </x:c>
      <x:c r="AC329" s="22" t="n">
        <x:v>0</x:v>
      </x:c>
      <x:c r="AD329" s="22" t="n">
        <x:v>44</x:v>
      </x:c>
      <x:c r="AE329" s="22" t="n">
        <x:v>15</x:v>
      </x:c>
      <x:c r="AF329" s="22" t="n">
        <x:v>101</x:v>
      </x:c>
      <x:c r="AG329" s="22" t="n">
        <x:v>7</x:v>
      </x:c>
      <x:c r="AH329" s="22" t="n">
        <x:v>8</x:v>
      </x:c>
      <x:c r="AI329" s="22" t="n">
        <x:v>40.5</x:v>
      </x:c>
      <x:c r="AJ329" s="22" t="n">
        <x:v>11</x:v>
      </x:c>
      <x:c r="AK329" s="22" t="n">
        <x:v>8</x:v>
      </x:c>
      <x:c r="AL329" s="22" t="n">
        <x:v>1168</x:v>
      </x:c>
      <x:c r="AM329" s="22" t="n">
        <x:v>66</x:v>
      </x:c>
      <x:c r="AN329" s="22" t="n">
        <x:v>14</x:v>
      </x:c>
      <x:c r="AO329" s="22" t="n">
        <x:v>7</x:v>
      </x:c>
      <x:c r="AP329" s="22" t="n">
        <x:v>8140</x:v>
      </x:c>
      <x:c r="AQ329" s="22" t="n">
        <x:v>25</x:v>
      </x:c>
      <x:c r="AR329" s="22" t="n">
        <x:v>3</x:v>
      </x:c>
      <x:c r="AS329" s="22" t="n">
        <x:v>10</x:v>
      </x:c>
      <x:c r="AT329" s="22" t="n">
        <x:v>10</x:v>
      </x:c>
      <x:c r="AU329" s="22" t="n">
        <x:v>0</x:v>
      </x:c>
      <x:c r="AV329" s="22" t="n">
        <x:v>41</x:v>
      </x:c>
      <x:c r="AW329" s="22" t="n">
        <x:v>0</x:v>
      </x:c>
    </x:row>
    <x:row r="330" ht="24" customHeight="1">
      <x:c r="A330" s="22" t="str">
        <x:v>P0326</x:v>
      </x:c>
      <x:c r="B330" s="22" t="n">
        <x:v>10</x:v>
      </x:c>
      <x:c r="C330" s="22" t="n">
        <x:v>4</x:v>
      </x:c>
      <x:c r="D330" s="22" t="str">
        <x:v>王城地穴阶段积累后</x:v>
      </x:c>
      <x:c r="E330" s="22" t="n">
        <x:v>194844</x:v>
      </x:c>
      <x:c r="F330" s="22" t="n">
        <x:v>206656</x:v>
      </x:c>
      <x:c r="G330" s="22" t="n">
        <x:v>189928</x:v>
      </x:c>
      <x:c r="H330" s="22" t="n">
        <x:v>201704</x:v>
      </x:c>
      <x:c r="I330" s="22" t="n">
        <x:v>194050</x:v>
      </x:c>
      <x:c r="J330" s="22" t="n">
        <x:v>205826</x:v>
      </x:c>
      <x:c r="K330" s="22" t="n">
        <x:v>23389800</x:v>
      </x:c>
      <x:c r="L330" s="22" t="n">
        <x:v>10001200</x:v>
      </x:c>
      <x:c r="M330" s="22" t="n">
        <x:v>1025</x:v>
      </x:c>
      <x:c r="N330" s="22" t="n">
        <x:v>1842</x:v>
      </x:c>
      <x:c r="O330" s="22" t="n">
        <x:v>831</x:v>
      </x:c>
      <x:c r="P330" s="22" t="n">
        <x:v>1517</x:v>
      </x:c>
      <x:c r="Q330" s="22" t="n">
        <x:v>1732</x:v>
      </x:c>
      <x:c r="R330" s="22" t="n">
        <x:v>1705</x:v>
      </x:c>
      <x:c r="S330" s="22" t="n">
        <x:v>1705</x:v>
      </x:c>
      <x:c r="T330" s="22" t="n">
        <x:v>1.7300000000000006</x:v>
      </x:c>
      <x:c r="U330" s="22" t="n">
        <x:v>16</x:v>
      </x:c>
      <x:c r="V330" s="22" t="n">
        <x:v>668</x:v>
      </x:c>
      <x:c r="W330" s="22" t="n">
        <x:v>292</x:v>
      </x:c>
      <x:c r="X330" s="22" t="n">
        <x:v>25</x:v>
      </x:c>
      <x:c r="Y330" s="22" t="n">
        <x:v>715</x:v>
      </x:c>
      <x:c r="Z330" s="22" t="n">
        <x:v>6</x:v>
      </x:c>
      <x:c r="AA330" s="22" t="n">
        <x:v>611</x:v>
      </x:c>
      <x:c r="AB330" s="22" t="n">
        <x:v>0</x:v>
      </x:c>
      <x:c r="AC330" s="22" t="n">
        <x:v>0</x:v>
      </x:c>
      <x:c r="AD330" s="22" t="n">
        <x:v>44</x:v>
      </x:c>
      <x:c r="AE330" s="22" t="n">
        <x:v>15</x:v>
      </x:c>
      <x:c r="AF330" s="22" t="n">
        <x:v>101</x:v>
      </x:c>
      <x:c r="AG330" s="22" t="n">
        <x:v>7</x:v>
      </x:c>
      <x:c r="AH330" s="22" t="n">
        <x:v>8</x:v>
      </x:c>
      <x:c r="AI330" s="22" t="n">
        <x:v>40.5</x:v>
      </x:c>
      <x:c r="AJ330" s="22" t="n">
        <x:v>11</x:v>
      </x:c>
      <x:c r="AK330" s="22" t="n">
        <x:v>8</x:v>
      </x:c>
      <x:c r="AL330" s="22" t="n">
        <x:v>1168</x:v>
      </x:c>
      <x:c r="AM330" s="22" t="n">
        <x:v>65</x:v>
      </x:c>
      <x:c r="AN330" s="22" t="n">
        <x:v>14</x:v>
      </x:c>
      <x:c r="AO330" s="22" t="n">
        <x:v>7</x:v>
      </x:c>
      <x:c r="AP330" s="22" t="n">
        <x:v>8140</x:v>
      </x:c>
      <x:c r="AQ330" s="22" t="n">
        <x:v>25</x:v>
      </x:c>
      <x:c r="AR330" s="22" t="n">
        <x:v>3</x:v>
      </x:c>
      <x:c r="AS330" s="22" t="n">
        <x:v>10</x:v>
      </x:c>
      <x:c r="AT330" s="22" t="n">
        <x:v>10</x:v>
      </x:c>
      <x:c r="AU330" s="22" t="n">
        <x:v>0</x:v>
      </x:c>
      <x:c r="AV330" s="22" t="n">
        <x:v>41</x:v>
      </x:c>
      <x:c r="AW330" s="22" t="n">
        <x:v>0</x:v>
      </x:c>
    </x:row>
    <x:row r="331" ht="24" customHeight="1">
      <x:c r="A331" s="22" t="str">
        <x:v>P0327</x:v>
      </x:c>
      <x:c r="B331" s="22" t="n">
        <x:v>10</x:v>
      </x:c>
      <x:c r="C331" s="22" t="n">
        <x:v>5</x:v>
      </x:c>
      <x:c r="D331" s="22" t="str">
        <x:v>C10G05入场</x:v>
      </x:c>
      <x:c r="E331" s="22" t="n">
        <x:v>194844</x:v>
      </x:c>
      <x:c r="F331" s="22" t="n">
        <x:v>206656</x:v>
      </x:c>
      <x:c r="G331" s="22" t="n">
        <x:v>189928</x:v>
      </x:c>
      <x:c r="H331" s="22" t="n">
        <x:v>201704</x:v>
      </x:c>
      <x:c r="I331" s="22" t="n">
        <x:v>194050</x:v>
      </x:c>
      <x:c r="J331" s="22" t="n">
        <x:v>205826</x:v>
      </x:c>
      <x:c r="K331" s="22" t="n">
        <x:v>23389800</x:v>
      </x:c>
      <x:c r="L331" s="22" t="n">
        <x:v>10001200</x:v>
      </x:c>
      <x:c r="M331" s="22" t="n">
        <x:v>1025</x:v>
      </x:c>
      <x:c r="N331" s="22" t="n">
        <x:v>1842</x:v>
      </x:c>
      <x:c r="O331" s="22" t="n">
        <x:v>831</x:v>
      </x:c>
      <x:c r="P331" s="22" t="n">
        <x:v>1517</x:v>
      </x:c>
      <x:c r="Q331" s="22" t="n">
        <x:v>1732</x:v>
      </x:c>
      <x:c r="R331" s="22" t="n">
        <x:v>1705</x:v>
      </x:c>
      <x:c r="S331" s="22" t="n">
        <x:v>1705</x:v>
      </x:c>
      <x:c r="T331" s="22" t="n">
        <x:v>1.7300000000000006</x:v>
      </x:c>
      <x:c r="U331" s="22" t="n">
        <x:v>16</x:v>
      </x:c>
      <x:c r="V331" s="22" t="n">
        <x:v>668</x:v>
      </x:c>
      <x:c r="W331" s="22" t="n">
        <x:v>292</x:v>
      </x:c>
      <x:c r="X331" s="22" t="n">
        <x:v>25</x:v>
      </x:c>
      <x:c r="Y331" s="22" t="n">
        <x:v>715</x:v>
      </x:c>
      <x:c r="Z331" s="22" t="n">
        <x:v>6</x:v>
      </x:c>
      <x:c r="AA331" s="22" t="n">
        <x:v>611</x:v>
      </x:c>
      <x:c r="AB331" s="22" t="n">
        <x:v>0</x:v>
      </x:c>
      <x:c r="AC331" s="22" t="n">
        <x:v>0</x:v>
      </x:c>
      <x:c r="AD331" s="22" t="n">
        <x:v>44</x:v>
      </x:c>
      <x:c r="AE331" s="22" t="n">
        <x:v>15</x:v>
      </x:c>
      <x:c r="AF331" s="22" t="n">
        <x:v>101</x:v>
      </x:c>
      <x:c r="AG331" s="22" t="n">
        <x:v>7</x:v>
      </x:c>
      <x:c r="AH331" s="22" t="n">
        <x:v>8</x:v>
      </x:c>
      <x:c r="AI331" s="22" t="n">
        <x:v>40.5</x:v>
      </x:c>
      <x:c r="AJ331" s="22" t="n">
        <x:v>11</x:v>
      </x:c>
      <x:c r="AK331" s="22" t="n">
        <x:v>8</x:v>
      </x:c>
      <x:c r="AL331" s="22" t="n">
        <x:v>1168</x:v>
      </x:c>
      <x:c r="AM331" s="22" t="n">
        <x:v>65</x:v>
      </x:c>
      <x:c r="AN331" s="22" t="n">
        <x:v>14</x:v>
      </x:c>
      <x:c r="AO331" s="22" t="n">
        <x:v>7</x:v>
      </x:c>
      <x:c r="AP331" s="22" t="n">
        <x:v>8140</x:v>
      </x:c>
      <x:c r="AQ331" s="22" t="n">
        <x:v>25</x:v>
      </x:c>
      <x:c r="AR331" s="22" t="n">
        <x:v>3</x:v>
      </x:c>
      <x:c r="AS331" s="22" t="n">
        <x:v>10</x:v>
      </x:c>
      <x:c r="AT331" s="22" t="n">
        <x:v>10</x:v>
      </x:c>
      <x:c r="AU331" s="22" t="n">
        <x:v>0</x:v>
      </x:c>
      <x:c r="AV331" s="22" t="n">
        <x:v>41</x:v>
      </x:c>
      <x:c r="AW331" s="22" t="n">
        <x:v>0</x:v>
      </x:c>
    </x:row>
    <x:row r="332" ht="24" customHeight="1">
      <x:c r="A332" s="22" t="str">
        <x:v>P0328</x:v>
      </x:c>
      <x:c r="B332" s="22" t="n">
        <x:v>10</x:v>
      </x:c>
      <x:c r="C332" s="22" t="n">
        <x:v>5</x:v>
      </x:c>
      <x:c r="D332" s="22" t="str">
        <x:v>C10G05普通专属4/6</x:v>
      </x:c>
      <x:c r="E332" s="22" t="n">
        <x:v>194844</x:v>
      </x:c>
      <x:c r="F332" s="22" t="n">
        <x:v>206656</x:v>
      </x:c>
      <x:c r="G332" s="22" t="n">
        <x:v>189928</x:v>
      </x:c>
      <x:c r="H332" s="22" t="n">
        <x:v>201704</x:v>
      </x:c>
      <x:c r="I332" s="22" t="n">
        <x:v>194050</x:v>
      </x:c>
      <x:c r="J332" s="22" t="n">
        <x:v>205826</x:v>
      </x:c>
      <x:c r="K332" s="22" t="n">
        <x:v>23389800</x:v>
      </x:c>
      <x:c r="L332" s="22" t="n">
        <x:v>10001200</x:v>
      </x:c>
      <x:c r="M332" s="22" t="n">
        <x:v>1025</x:v>
      </x:c>
      <x:c r="N332" s="22" t="n">
        <x:v>1842</x:v>
      </x:c>
      <x:c r="O332" s="22" t="n">
        <x:v>831</x:v>
      </x:c>
      <x:c r="P332" s="22" t="n">
        <x:v>1517</x:v>
      </x:c>
      <x:c r="Q332" s="22" t="n">
        <x:v>1732</x:v>
      </x:c>
      <x:c r="R332" s="22" t="n">
        <x:v>1705</x:v>
      </x:c>
      <x:c r="S332" s="22" t="n">
        <x:v>1705</x:v>
      </x:c>
      <x:c r="T332" s="22" t="n">
        <x:v>1.7300000000000006</x:v>
      </x:c>
      <x:c r="U332" s="22" t="n">
        <x:v>16</x:v>
      </x:c>
      <x:c r="V332" s="22" t="n">
        <x:v>668</x:v>
      </x:c>
      <x:c r="W332" s="22" t="n">
        <x:v>292</x:v>
      </x:c>
      <x:c r="X332" s="22" t="n">
        <x:v>25</x:v>
      </x:c>
      <x:c r="Y332" s="22" t="n">
        <x:v>715</x:v>
      </x:c>
      <x:c r="Z332" s="22" t="n">
        <x:v>6</x:v>
      </x:c>
      <x:c r="AA332" s="22" t="n">
        <x:v>611</x:v>
      </x:c>
      <x:c r="AB332" s="22" t="n">
        <x:v>0</x:v>
      </x:c>
      <x:c r="AC332" s="22" t="n">
        <x:v>0</x:v>
      </x:c>
      <x:c r="AD332" s="22" t="n">
        <x:v>44</x:v>
      </x:c>
      <x:c r="AE332" s="22" t="n">
        <x:v>15</x:v>
      </x:c>
      <x:c r="AF332" s="22" t="n">
        <x:v>101</x:v>
      </x:c>
      <x:c r="AG332" s="22" t="n">
        <x:v>7</x:v>
      </x:c>
      <x:c r="AH332" s="22" t="n">
        <x:v>8</x:v>
      </x:c>
      <x:c r="AI332" s="22" t="n">
        <x:v>40.5</x:v>
      </x:c>
      <x:c r="AJ332" s="22" t="n">
        <x:v>11</x:v>
      </x:c>
      <x:c r="AK332" s="22" t="n">
        <x:v>8</x:v>
      </x:c>
      <x:c r="AL332" s="22" t="n">
        <x:v>1168</x:v>
      </x:c>
      <x:c r="AM332" s="22" t="n">
        <x:v>65</x:v>
      </x:c>
      <x:c r="AN332" s="22" t="n">
        <x:v>14</x:v>
      </x:c>
      <x:c r="AO332" s="22" t="n">
        <x:v>7</x:v>
      </x:c>
      <x:c r="AP332" s="22" t="n">
        <x:v>8140</x:v>
      </x:c>
      <x:c r="AQ332" s="22" t="n">
        <x:v>25</x:v>
      </x:c>
      <x:c r="AR332" s="22" t="n">
        <x:v>3</x:v>
      </x:c>
      <x:c r="AS332" s="22" t="n">
        <x:v>10</x:v>
      </x:c>
      <x:c r="AT332" s="22" t="n">
        <x:v>10</x:v>
      </x:c>
      <x:c r="AU332" s="22" t="n">
        <x:v>0</x:v>
      </x:c>
      <x:c r="AV332" s="22" t="n">
        <x:v>41</x:v>
      </x:c>
      <x:c r="AW332" s="22" t="n">
        <x:v>0</x:v>
      </x:c>
    </x:row>
    <x:row r="333" ht="24" customHeight="1">
      <x:c r="A333" s="22" t="str">
        <x:v>P0329</x:v>
      </x:c>
      <x:c r="B333" s="22" t="n">
        <x:v>10</x:v>
      </x:c>
      <x:c r="C333" s="22" t="n">
        <x:v>5</x:v>
      </x:c>
      <x:c r="D333" s="22" t="str">
        <x:v>碎日门的黄金禁卫挑战前</x:v>
      </x:c>
      <x:c r="E333" s="22" t="n">
        <x:v>195600</x:v>
      </x:c>
      <x:c r="F333" s="22" t="n">
        <x:v>207412</x:v>
      </x:c>
      <x:c r="G333" s="22" t="n">
        <x:v>190684</x:v>
      </x:c>
      <x:c r="H333" s="22" t="n">
        <x:v>202460</x:v>
      </x:c>
      <x:c r="I333" s="22" t="n">
        <x:v>194806</x:v>
      </x:c>
      <x:c r="J333" s="22" t="n">
        <x:v>206582</x:v>
      </x:c>
      <x:c r="K333" s="22" t="n">
        <x:v>23465400</x:v>
      </x:c>
      <x:c r="L333" s="22" t="n">
        <x:v>10001200</x:v>
      </x:c>
      <x:c r="M333" s="22" t="n">
        <x:v>1025</x:v>
      </x:c>
      <x:c r="N333" s="22" t="n">
        <x:v>1842</x:v>
      </x:c>
      <x:c r="O333" s="22" t="n">
        <x:v>831</x:v>
      </x:c>
      <x:c r="P333" s="22" t="n">
        <x:v>1517</x:v>
      </x:c>
      <x:c r="Q333" s="22" t="n">
        <x:v>1732</x:v>
      </x:c>
      <x:c r="R333" s="22" t="n">
        <x:v>1705</x:v>
      </x:c>
      <x:c r="S333" s="22" t="n">
        <x:v>1705</x:v>
      </x:c>
      <x:c r="T333" s="22" t="n">
        <x:v>1.7300000000000006</x:v>
      </x:c>
      <x:c r="U333" s="22" t="n">
        <x:v>16</x:v>
      </x:c>
      <x:c r="V333" s="22" t="n">
        <x:v>668</x:v>
      </x:c>
      <x:c r="W333" s="22" t="n">
        <x:v>292</x:v>
      </x:c>
      <x:c r="X333" s="22" t="n">
        <x:v>25</x:v>
      </x:c>
      <x:c r="Y333" s="22" t="n">
        <x:v>715</x:v>
      </x:c>
      <x:c r="Z333" s="22" t="n">
        <x:v>6</x:v>
      </x:c>
      <x:c r="AA333" s="22" t="n">
        <x:v>611</x:v>
      </x:c>
      <x:c r="AB333" s="22" t="n">
        <x:v>0</x:v>
      </x:c>
      <x:c r="AC333" s="22" t="n">
        <x:v>0</x:v>
      </x:c>
      <x:c r="AD333" s="22" t="n">
        <x:v>44</x:v>
      </x:c>
      <x:c r="AE333" s="22" t="n">
        <x:v>15</x:v>
      </x:c>
      <x:c r="AF333" s="22" t="n">
        <x:v>101</x:v>
      </x:c>
      <x:c r="AG333" s="22" t="n">
        <x:v>7</x:v>
      </x:c>
      <x:c r="AH333" s="22" t="n">
        <x:v>8</x:v>
      </x:c>
      <x:c r="AI333" s="22" t="n">
        <x:v>40.5</x:v>
      </x:c>
      <x:c r="AJ333" s="22" t="n">
        <x:v>11</x:v>
      </x:c>
      <x:c r="AK333" s="22" t="n">
        <x:v>8</x:v>
      </x:c>
      <x:c r="AL333" s="22" t="n">
        <x:v>1168</x:v>
      </x:c>
      <x:c r="AM333" s="22" t="n">
        <x:v>65</x:v>
      </x:c>
      <x:c r="AN333" s="22" t="n">
        <x:v>14</x:v>
      </x:c>
      <x:c r="AO333" s="22" t="n">
        <x:v>7</x:v>
      </x:c>
      <x:c r="AP333" s="22" t="n">
        <x:v>8140</x:v>
      </x:c>
      <x:c r="AQ333" s="22" t="n">
        <x:v>25</x:v>
      </x:c>
      <x:c r="AR333" s="22" t="n">
        <x:v>3</x:v>
      </x:c>
      <x:c r="AS333" s="22" t="n">
        <x:v>10</x:v>
      </x:c>
      <x:c r="AT333" s="22" t="n">
        <x:v>10</x:v>
      </x:c>
      <x:c r="AU333" s="22" t="n">
        <x:v>0</x:v>
      </x:c>
      <x:c r="AV333" s="22" t="n">
        <x:v>41</x:v>
      </x:c>
      <x:c r="AW333" s="22" t="n">
        <x:v>0</x:v>
      </x:c>
    </x:row>
    <x:row r="334" ht="24" customHeight="1">
      <x:c r="A334" s="22" t="str">
        <x:v>P0330</x:v>
      </x:c>
      <x:c r="B334" s="22" t="n">
        <x:v>10</x:v>
      </x:c>
      <x:c r="C334" s="22" t="n">
        <x:v>5</x:v>
      </x:c>
      <x:c r="D334" s="22" t="str">
        <x:v>永辉帷后的空王挑战前</x:v>
      </x:c>
      <x:c r="E334" s="22" t="n">
        <x:v>195600</x:v>
      </x:c>
      <x:c r="F334" s="22" t="n">
        <x:v>207412</x:v>
      </x:c>
      <x:c r="G334" s="22" t="n">
        <x:v>190684</x:v>
      </x:c>
      <x:c r="H334" s="22" t="n">
        <x:v>202460</x:v>
      </x:c>
      <x:c r="I334" s="22" t="n">
        <x:v>194806</x:v>
      </x:c>
      <x:c r="J334" s="22" t="n">
        <x:v>206582</x:v>
      </x:c>
      <x:c r="K334" s="22" t="n">
        <x:v>23465400</x:v>
      </x:c>
      <x:c r="L334" s="22" t="n">
        <x:v>10001200</x:v>
      </x:c>
      <x:c r="M334" s="22" t="n">
        <x:v>1025</x:v>
      </x:c>
      <x:c r="N334" s="22" t="n">
        <x:v>1842</x:v>
      </x:c>
      <x:c r="O334" s="22" t="n">
        <x:v>831</x:v>
      </x:c>
      <x:c r="P334" s="22" t="n">
        <x:v>1517</x:v>
      </x:c>
      <x:c r="Q334" s="22" t="n">
        <x:v>1732</x:v>
      </x:c>
      <x:c r="R334" s="22" t="n">
        <x:v>1705</x:v>
      </x:c>
      <x:c r="S334" s="22" t="n">
        <x:v>1705</x:v>
      </x:c>
      <x:c r="T334" s="22" t="n">
        <x:v>1.7300000000000006</x:v>
      </x:c>
      <x:c r="U334" s="22" t="n">
        <x:v>16</x:v>
      </x:c>
      <x:c r="V334" s="22" t="n">
        <x:v>668</x:v>
      </x:c>
      <x:c r="W334" s="22" t="n">
        <x:v>292</x:v>
      </x:c>
      <x:c r="X334" s="22" t="n">
        <x:v>25</x:v>
      </x:c>
      <x:c r="Y334" s="22" t="n">
        <x:v>715</x:v>
      </x:c>
      <x:c r="Z334" s="22" t="n">
        <x:v>6</x:v>
      </x:c>
      <x:c r="AA334" s="22" t="n">
        <x:v>611</x:v>
      </x:c>
      <x:c r="AB334" s="22" t="n">
        <x:v>0</x:v>
      </x:c>
      <x:c r="AC334" s="22" t="n">
        <x:v>0</x:v>
      </x:c>
      <x:c r="AD334" s="22" t="n">
        <x:v>44</x:v>
      </x:c>
      <x:c r="AE334" s="22" t="n">
        <x:v>15</x:v>
      </x:c>
      <x:c r="AF334" s="22" t="n">
        <x:v>101</x:v>
      </x:c>
      <x:c r="AG334" s="22" t="n">
        <x:v>7</x:v>
      </x:c>
      <x:c r="AH334" s="22" t="n">
        <x:v>8</x:v>
      </x:c>
      <x:c r="AI334" s="22" t="n">
        <x:v>40.5</x:v>
      </x:c>
      <x:c r="AJ334" s="22" t="n">
        <x:v>11</x:v>
      </x:c>
      <x:c r="AK334" s="22" t="n">
        <x:v>8</x:v>
      </x:c>
      <x:c r="AL334" s="22" t="n">
        <x:v>1168</x:v>
      </x:c>
      <x:c r="AM334" s="22" t="n">
        <x:v>65</x:v>
      </x:c>
      <x:c r="AN334" s="22" t="n">
        <x:v>14</x:v>
      </x:c>
      <x:c r="AO334" s="22" t="n">
        <x:v>7</x:v>
      </x:c>
      <x:c r="AP334" s="22" t="n">
        <x:v>8140</x:v>
      </x:c>
      <x:c r="AQ334" s="22" t="n">
        <x:v>25</x:v>
      </x:c>
      <x:c r="AR334" s="22" t="n">
        <x:v>3</x:v>
      </x:c>
      <x:c r="AS334" s="22" t="n">
        <x:v>10</x:v>
      </x:c>
      <x:c r="AT334" s="22" t="n">
        <x:v>10</x:v>
      </x:c>
      <x:c r="AU334" s="22" t="n">
        <x:v>0</x:v>
      </x:c>
      <x:c r="AV334" s="22" t="n">
        <x:v>41</x:v>
      </x:c>
      <x:c r="AW334" s="22" t="n">
        <x:v>0</x:v>
      </x:c>
    </x:row>
    <x:row r="335" ht="24" customHeight="1">
      <x:c r="A335" s="22" t="str">
        <x:v>P0331</x:v>
      </x:c>
      <x:c r="B335" s="22" t="n">
        <x:v>10</x:v>
      </x:c>
      <x:c r="C335" s="22" t="n">
        <x:v>5</x:v>
      </x:c>
      <x:c r="D335" s="22" t="str">
        <x:v>黄金王宫BOSS装备快线</x:v>
      </x:c>
      <x:c r="E335" s="22" t="n">
        <x:v>195925</x:v>
      </x:c>
      <x:c r="F335" s="22" t="n">
        <x:v>208042</x:v>
      </x:c>
      <x:c r="G335" s="22" t="n">
        <x:v>191009</x:v>
      </x:c>
      <x:c r="H335" s="22" t="n">
        <x:v>203090</x:v>
      </x:c>
      <x:c r="I335" s="22" t="n">
        <x:v>195131</x:v>
      </x:c>
      <x:c r="J335" s="22" t="n">
        <x:v>207212</x:v>
      </x:c>
      <x:c r="K335" s="22" t="n">
        <x:v>23709100</x:v>
      </x:c>
      <x:c r="L335" s="22" t="n">
        <x:v>10001200</x:v>
      </x:c>
      <x:c r="M335" s="22" t="n">
        <x:v>1067</x:v>
      </x:c>
      <x:c r="N335" s="22" t="n">
        <x:v>1918</x:v>
      </x:c>
      <x:c r="O335" s="22" t="n">
        <x:v>866</x:v>
      </x:c>
      <x:c r="P335" s="22" t="n">
        <x:v>1580</x:v>
      </x:c>
      <x:c r="Q335" s="22" t="n">
        <x:v>1746</x:v>
      </x:c>
      <x:c r="R335" s="22" t="n">
        <x:v>1719</x:v>
      </x:c>
      <x:c r="S335" s="22" t="n">
        <x:v>1719</x:v>
      </x:c>
      <x:c r="T335" s="22" t="n">
        <x:v>1.7300000000000006</x:v>
      </x:c>
      <x:c r="U335" s="22" t="n">
        <x:v>16</x:v>
      </x:c>
      <x:c r="V335" s="22" t="n">
        <x:v>673</x:v>
      </x:c>
      <x:c r="W335" s="22" t="n">
        <x:v>292</x:v>
      </x:c>
      <x:c r="X335" s="22" t="n">
        <x:v>25</x:v>
      </x:c>
      <x:c r="Y335" s="22" t="n">
        <x:v>723</x:v>
      </x:c>
      <x:c r="Z335" s="22" t="n">
        <x:v>6</x:v>
      </x:c>
      <x:c r="AA335" s="22" t="n">
        <x:v>611</x:v>
      </x:c>
      <x:c r="AB335" s="22" t="n">
        <x:v>0</x:v>
      </x:c>
      <x:c r="AC335" s="22" t="n">
        <x:v>0</x:v>
      </x:c>
      <x:c r="AD335" s="22" t="n">
        <x:v>44</x:v>
      </x:c>
      <x:c r="AE335" s="22" t="n">
        <x:v>15</x:v>
      </x:c>
      <x:c r="AF335" s="22" t="n">
        <x:v>101</x:v>
      </x:c>
      <x:c r="AG335" s="22" t="n">
        <x:v>7</x:v>
      </x:c>
      <x:c r="AH335" s="22" t="n">
        <x:v>8</x:v>
      </x:c>
      <x:c r="AI335" s="22" t="n">
        <x:v>40.5</x:v>
      </x:c>
      <x:c r="AJ335" s="22" t="n">
        <x:v>11</x:v>
      </x:c>
      <x:c r="AK335" s="22" t="n">
        <x:v>8</x:v>
      </x:c>
      <x:c r="AL335" s="22" t="n">
        <x:v>1168</x:v>
      </x:c>
      <x:c r="AM335" s="22" t="n">
        <x:v>66</x:v>
      </x:c>
      <x:c r="AN335" s="22" t="n">
        <x:v>14</x:v>
      </x:c>
      <x:c r="AO335" s="22" t="n">
        <x:v>7</x:v>
      </x:c>
      <x:c r="AP335" s="22" t="n">
        <x:v>8140</x:v>
      </x:c>
      <x:c r="AQ335" s="22" t="n">
        <x:v>25</x:v>
      </x:c>
      <x:c r="AR335" s="22" t="n">
        <x:v>3</x:v>
      </x:c>
      <x:c r="AS335" s="22" t="n">
        <x:v>10</x:v>
      </x:c>
      <x:c r="AT335" s="22" t="n">
        <x:v>10</x:v>
      </x:c>
      <x:c r="AU335" s="22" t="n">
        <x:v>0</x:v>
      </x:c>
      <x:c r="AV335" s="22" t="n">
        <x:v>41</x:v>
      </x:c>
      <x:c r="AW335" s="22" t="n">
        <x:v>0</x:v>
      </x:c>
    </x:row>
    <x:row r="336" ht="24" customHeight="1">
      <x:c r="A336" s="22" t="str">
        <x:v>P0332</x:v>
      </x:c>
      <x:c r="B336" s="22" t="n">
        <x:v>10</x:v>
      </x:c>
      <x:c r="C336" s="22" t="n">
        <x:v>5</x:v>
      </x:c>
      <x:c r="D336" s="22" t="str">
        <x:v>黄金王宫阶段积累后</x:v>
      </x:c>
      <x:c r="E336" s="22" t="n">
        <x:v>196690</x:v>
      </x:c>
      <x:c r="F336" s="22" t="n">
        <x:v>209267</x:v>
      </x:c>
      <x:c r="G336" s="22" t="n">
        <x:v>191879</x:v>
      </x:c>
      <x:c r="H336" s="22" t="n">
        <x:v>204420</x:v>
      </x:c>
      <x:c r="I336" s="22" t="n">
        <x:v>196001</x:v>
      </x:c>
      <x:c r="J336" s="22" t="n">
        <x:v>208542</x:v>
      </x:c>
      <x:c r="K336" s="22" t="n">
        <x:v>24590600</x:v>
      </x:c>
      <x:c r="L336" s="22" t="n">
        <x:v>10001200</x:v>
      </x:c>
      <x:c r="M336" s="22" t="n">
        <x:v>1103</x:v>
      </x:c>
      <x:c r="N336" s="22" t="n">
        <x:v>1992</x:v>
      </x:c>
      <x:c r="O336" s="22" t="n">
        <x:v>901</x:v>
      </x:c>
      <x:c r="P336" s="22" t="n">
        <x:v>1642</x:v>
      </x:c>
      <x:c r="Q336" s="22" t="n">
        <x:v>1842</x:v>
      </x:c>
      <x:c r="R336" s="22" t="n">
        <x:v>1815</x:v>
      </x:c>
      <x:c r="S336" s="22" t="n">
        <x:v>1815</x:v>
      </x:c>
      <x:c r="T336" s="22" t="n">
        <x:v>1.7300000000000006</x:v>
      </x:c>
      <x:c r="U336" s="22" t="n">
        <x:v>16</x:v>
      </x:c>
      <x:c r="V336" s="22" t="n">
        <x:v>672</x:v>
      </x:c>
      <x:c r="W336" s="22" t="n">
        <x:v>317</x:v>
      </x:c>
      <x:c r="X336" s="22" t="n">
        <x:v>25</x:v>
      </x:c>
      <x:c r="Y336" s="22" t="n">
        <x:v>814</x:v>
      </x:c>
      <x:c r="Z336" s="22" t="n">
        <x:v>6</x:v>
      </x:c>
      <x:c r="AA336" s="22" t="n">
        <x:v>678</x:v>
      </x:c>
      <x:c r="AB336" s="22" t="n">
        <x:v>0</x:v>
      </x:c>
      <x:c r="AC336" s="22" t="n">
        <x:v>0</x:v>
      </x:c>
      <x:c r="AD336" s="22" t="n">
        <x:v>44</x:v>
      </x:c>
      <x:c r="AE336" s="22" t="n">
        <x:v>15</x:v>
      </x:c>
      <x:c r="AF336" s="22" t="n">
        <x:v>101</x:v>
      </x:c>
      <x:c r="AG336" s="22" t="n">
        <x:v>7</x:v>
      </x:c>
      <x:c r="AH336" s="22" t="n">
        <x:v>8</x:v>
      </x:c>
      <x:c r="AI336" s="22" t="n">
        <x:v>40.5</x:v>
      </x:c>
      <x:c r="AJ336" s="22" t="n">
        <x:v>11</x:v>
      </x:c>
      <x:c r="AK336" s="22" t="n">
        <x:v>8</x:v>
      </x:c>
      <x:c r="AL336" s="22" t="n">
        <x:v>1171</x:v>
      </x:c>
      <x:c r="AM336" s="22" t="n">
        <x:v>65</x:v>
      </x:c>
      <x:c r="AN336" s="22" t="n">
        <x:v>14</x:v>
      </x:c>
      <x:c r="AO336" s="22" t="n">
        <x:v>7</x:v>
      </x:c>
      <x:c r="AP336" s="22" t="n">
        <x:v>8140</x:v>
      </x:c>
      <x:c r="AQ336" s="22" t="n">
        <x:v>24</x:v>
      </x:c>
      <x:c r="AR336" s="22" t="n">
        <x:v>3</x:v>
      </x:c>
      <x:c r="AS336" s="22" t="n">
        <x:v>10</x:v>
      </x:c>
      <x:c r="AT336" s="22" t="n">
        <x:v>10</x:v>
      </x:c>
      <x:c r="AU336" s="22" t="n">
        <x:v>0</x:v>
      </x:c>
      <x:c r="AV336" s="22" t="n">
        <x:v>42</x:v>
      </x:c>
      <x:c r="AW336" s="22" t="n">
        <x:v>0</x:v>
      </x:c>
    </x:row>
    <x:row r="337" ht="24" customHeight="1">
      <x:c r="A337" s="22" t="str">
        <x:v>P0333</x:v>
      </x:c>
      <x:c r="B337" s="22" t="n">
        <x:v>10</x:v>
      </x:c>
      <x:c r="C337" s="22" t="n">
        <x:v>5</x:v>
      </x:c>
      <x:c r="D337" s="22" t="str">
        <x:v>C10守关前必做制作完成</x:v>
      </x:c>
      <x:c r="E337" s="22" t="n">
        <x:v>197008</x:v>
      </x:c>
      <x:c r="F337" s="22" t="n">
        <x:v>209585</x:v>
      </x:c>
      <x:c r="G337" s="22" t="n">
        <x:v>193051</x:v>
      </x:c>
      <x:c r="H337" s="22" t="n">
        <x:v>205592</x:v>
      </x:c>
      <x:c r="I337" s="22" t="n">
        <x:v>196483</x:v>
      </x:c>
      <x:c r="J337" s="22" t="n">
        <x:v>209024</x:v>
      </x:c>
      <x:c r="K337" s="22" t="n">
        <x:v>24590600</x:v>
      </x:c>
      <x:c r="L337" s="22" t="n">
        <x:v>10001200</x:v>
      </x:c>
      <x:c r="M337" s="22" t="n">
        <x:v>1103</x:v>
      </x:c>
      <x:c r="N337" s="22" t="n">
        <x:v>1992</x:v>
      </x:c>
      <x:c r="O337" s="22" t="n">
        <x:v>901</x:v>
      </x:c>
      <x:c r="P337" s="22" t="n">
        <x:v>1642</x:v>
      </x:c>
      <x:c r="Q337" s="22" t="n">
        <x:v>1889</x:v>
      </x:c>
      <x:c r="R337" s="22" t="n">
        <x:v>1815</x:v>
      </x:c>
      <x:c r="S337" s="22" t="n">
        <x:v>1815</x:v>
      </x:c>
      <x:c r="T337" s="22" t="n">
        <x:v>1.7300000000000006</x:v>
      </x:c>
      <x:c r="U337" s="22" t="n">
        <x:v>16</x:v>
      </x:c>
      <x:c r="V337" s="22" t="n">
        <x:v>672</x:v>
      </x:c>
      <x:c r="W337" s="22" t="n">
        <x:v>317</x:v>
      </x:c>
      <x:c r="X337" s="22" t="n">
        <x:v>26</x:v>
      </x:c>
      <x:c r="Y337" s="22" t="n">
        <x:v>814</x:v>
      </x:c>
      <x:c r="Z337" s="22" t="n">
        <x:v>7</x:v>
      </x:c>
      <x:c r="AA337" s="22" t="n">
        <x:v>678</x:v>
      </x:c>
      <x:c r="AB337" s="22" t="n">
        <x:v>0</x:v>
      </x:c>
      <x:c r="AC337" s="22" t="n">
        <x:v>0</x:v>
      </x:c>
      <x:c r="AD337" s="22" t="n">
        <x:v>44</x:v>
      </x:c>
      <x:c r="AE337" s="22" t="n">
        <x:v>15</x:v>
      </x:c>
      <x:c r="AF337" s="22" t="n">
        <x:v>101</x:v>
      </x:c>
      <x:c r="AG337" s="22" t="n">
        <x:v>7</x:v>
      </x:c>
      <x:c r="AH337" s="22" t="n">
        <x:v>8</x:v>
      </x:c>
      <x:c r="AI337" s="22" t="n">
        <x:v>40.5</x:v>
      </x:c>
      <x:c r="AJ337" s="22" t="n">
        <x:v>11</x:v>
      </x:c>
      <x:c r="AK337" s="22" t="n">
        <x:v>8</x:v>
      </x:c>
      <x:c r="AL337" s="22" t="n">
        <x:v>1191</x:v>
      </x:c>
      <x:c r="AM337" s="22" t="n">
        <x:v>65</x:v>
      </x:c>
      <x:c r="AN337" s="22" t="n">
        <x:v>14</x:v>
      </x:c>
      <x:c r="AO337" s="22" t="n">
        <x:v>8</x:v>
      </x:c>
      <x:c r="AP337" s="22" t="n">
        <x:v>8140</x:v>
      </x:c>
      <x:c r="AQ337" s="22" t="n">
        <x:v>24</x:v>
      </x:c>
      <x:c r="AR337" s="22" t="n">
        <x:v>3</x:v>
      </x:c>
      <x:c r="AS337" s="22" t="n">
        <x:v>10</x:v>
      </x:c>
      <x:c r="AT337" s="22" t="n">
        <x:v>10</x:v>
      </x:c>
      <x:c r="AU337" s="22" t="n">
        <x:v>0</x:v>
      </x:c>
      <x:c r="AV337" s="22" t="n">
        <x:v>42</x:v>
      </x:c>
      <x:c r="AW337" s="22" t="n">
        <x:v>0</x:v>
      </x:c>
    </x:row>
    <x:row r="338" ht="24" customHeight="1">
      <x:c r="A338" s="22" t="str">
        <x:v>P0334</x:v>
      </x:c>
      <x:c r="B338" s="22" t="n">
        <x:v>10</x:v>
      </x:c>
      <x:c r="C338" s="22" t="n">
        <x:v>5</x:v>
      </x:c>
      <x:c r="D338" s="22" t="str">
        <x:v>C10约70%守关参考</x:v>
      </x:c>
      <x:c r="E338" s="22" t="n">
        <x:v>201248</x:v>
      </x:c>
      <x:c r="F338" s="22" t="n">
        <x:v>213825</x:v>
      </x:c>
      <x:c r="G338" s="22" t="n">
        <x:v>197291</x:v>
      </x:c>
      <x:c r="H338" s="22" t="n">
        <x:v>209832</x:v>
      </x:c>
      <x:c r="I338" s="22" t="n">
        <x:v>200723</x:v>
      </x:c>
      <x:c r="J338" s="22" t="n">
        <x:v>213264</x:v>
      </x:c>
      <x:c r="K338" s="22" t="n">
        <x:v>25014600</x:v>
      </x:c>
      <x:c r="L338" s="22" t="n">
        <x:v>10001200</x:v>
      </x:c>
      <x:c r="M338" s="22" t="n">
        <x:v>1103</x:v>
      </x:c>
      <x:c r="N338" s="22" t="n">
        <x:v>1992</x:v>
      </x:c>
      <x:c r="O338" s="22" t="n">
        <x:v>901</x:v>
      </x:c>
      <x:c r="P338" s="22" t="n">
        <x:v>1642</x:v>
      </x:c>
      <x:c r="Q338" s="22" t="n">
        <x:v>1889</x:v>
      </x:c>
      <x:c r="R338" s="22" t="n">
        <x:v>1815</x:v>
      </x:c>
      <x:c r="S338" s="22" t="n">
        <x:v>1815</x:v>
      </x:c>
      <x:c r="T338" s="22" t="n">
        <x:v>1.8800000000000008</x:v>
      </x:c>
      <x:c r="U338" s="22" t="n">
        <x:v>16</x:v>
      </x:c>
      <x:c r="V338" s="22" t="n">
        <x:v>672</x:v>
      </x:c>
      <x:c r="W338" s="22" t="n">
        <x:v>317</x:v>
      </x:c>
      <x:c r="X338" s="22" t="n">
        <x:v>26</x:v>
      </x:c>
      <x:c r="Y338" s="22" t="n">
        <x:v>814</x:v>
      </x:c>
      <x:c r="Z338" s="22" t="n">
        <x:v>7</x:v>
      </x:c>
      <x:c r="AA338" s="22" t="n">
        <x:v>678</x:v>
      </x:c>
      <x:c r="AB338" s="22" t="n">
        <x:v>0</x:v>
      </x:c>
      <x:c r="AC338" s="22" t="n">
        <x:v>0</x:v>
      </x:c>
      <x:c r="AD338" s="22" t="n">
        <x:v>44</x:v>
      </x:c>
      <x:c r="AE338" s="22" t="n">
        <x:v>15</x:v>
      </x:c>
      <x:c r="AF338" s="22" t="n">
        <x:v>101</x:v>
      </x:c>
      <x:c r="AG338" s="22" t="n">
        <x:v>7</x:v>
      </x:c>
      <x:c r="AH338" s="22" t="n">
        <x:v>8</x:v>
      </x:c>
      <x:c r="AI338" s="22" t="n">
        <x:v>42</x:v>
      </x:c>
      <x:c r="AJ338" s="22" t="n">
        <x:v>11</x:v>
      </x:c>
      <x:c r="AK338" s="22" t="n">
        <x:v>8</x:v>
      </x:c>
      <x:c r="AL338" s="22" t="n">
        <x:v>1401</x:v>
      </x:c>
      <x:c r="AM338" s="22" t="n">
        <x:v>65</x:v>
      </x:c>
      <x:c r="AN338" s="22" t="n">
        <x:v>14</x:v>
      </x:c>
      <x:c r="AO338" s="22" t="n">
        <x:v>8</x:v>
      </x:c>
      <x:c r="AP338" s="22" t="n">
        <x:v>8140</x:v>
      </x:c>
      <x:c r="AQ338" s="22" t="n">
        <x:v>24</x:v>
      </x:c>
      <x:c r="AR338" s="22" t="n">
        <x:v>3</x:v>
      </x:c>
      <x:c r="AS338" s="22" t="n">
        <x:v>10</x:v>
      </x:c>
      <x:c r="AT338" s="22" t="n">
        <x:v>10</x:v>
      </x:c>
      <x:c r="AU338" s="22" t="n">
        <x:v>0</x:v>
      </x:c>
      <x:c r="AV338" s="22" t="n">
        <x:v>42</x:v>
      </x:c>
      <x:c r="AW338" s="22" t="n">
        <x:v>0</x:v>
      </x:c>
    </x:row>
    <x:row r="339" ht="24" customHeight="1">
      <x:c r="A339" s="22" t="str">
        <x:v>P0335</x:v>
      </x:c>
      <x:c r="B339" s="22" t="n">
        <x:v>10</x:v>
      </x:c>
      <x:c r="C339" s="22" t="n">
        <x:v>5</x:v>
      </x:c>
      <x:c r="D339" s="22" t="str">
        <x:v>C10高完成度参考</x:v>
      </x:c>
      <x:c r="E339" s="22" t="n">
        <x:v>207086</x:v>
      </x:c>
      <x:c r="F339" s="22" t="n">
        <x:v>221354</x:v>
      </x:c>
      <x:c r="G339" s="22" t="n">
        <x:v>202846</x:v>
      </x:c>
      <x:c r="H339" s="22" t="n">
        <x:v>217078</x:v>
      </x:c>
      <x:c r="I339" s="22" t="n">
        <x:v>206134</x:v>
      </x:c>
      <x:c r="J339" s="22" t="n">
        <x:v>220366</x:v>
      </x:c>
      <x:c r="K339" s="22" t="n">
        <x:v>26342000</x:v>
      </x:c>
      <x:c r="L339" s="22" t="n">
        <x:v>10001200</x:v>
      </x:c>
      <x:c r="M339" s="22" t="n">
        <x:v>1329</x:v>
      </x:c>
      <x:c r="N339" s="22" t="n">
        <x:v>2407</x:v>
      </x:c>
      <x:c r="O339" s="22" t="n">
        <x:v>1087</x:v>
      </x:c>
      <x:c r="P339" s="22" t="n">
        <x:v>1982</x:v>
      </x:c>
      <x:c r="Q339" s="22" t="n">
        <x:v>2070</x:v>
      </x:c>
      <x:c r="R339" s="22" t="n">
        <x:v>1996</x:v>
      </x:c>
      <x:c r="S339" s="22" t="n">
        <x:v>1996</x:v>
      </x:c>
      <x:c r="T339" s="22" t="n">
        <x:v>1.9300000000000008</x:v>
      </x:c>
      <x:c r="U339" s="22" t="n">
        <x:v>16</x:v>
      </x:c>
      <x:c r="V339" s="22" t="n">
        <x:v>755</x:v>
      </x:c>
      <x:c r="W339" s="22" t="n">
        <x:v>349</x:v>
      </x:c>
      <x:c r="X339" s="22" t="n">
        <x:v>26</x:v>
      </x:c>
      <x:c r="Y339" s="22" t="n">
        <x:v>812</x:v>
      </x:c>
      <x:c r="Z339" s="22" t="n">
        <x:v>9</x:v>
      </x:c>
      <x:c r="AA339" s="22" t="n">
        <x:v>774</x:v>
      </x:c>
      <x:c r="AB339" s="22" t="n">
        <x:v>0</x:v>
      </x:c>
      <x:c r="AC339" s="22" t="n">
        <x:v>0</x:v>
      </x:c>
      <x:c r="AD339" s="22" t="n">
        <x:v>44</x:v>
      </x:c>
      <x:c r="AE339" s="22" t="n">
        <x:v>15</x:v>
      </x:c>
      <x:c r="AF339" s="22" t="n">
        <x:v>101</x:v>
      </x:c>
      <x:c r="AG339" s="22" t="n">
        <x:v>7</x:v>
      </x:c>
      <x:c r="AH339" s="22" t="n">
        <x:v>8</x:v>
      </x:c>
      <x:c r="AI339" s="22" t="n">
        <x:v>42.5</x:v>
      </x:c>
      <x:c r="AJ339" s="22" t="n">
        <x:v>11</x:v>
      </x:c>
      <x:c r="AK339" s="22" t="n">
        <x:v>8</x:v>
      </x:c>
      <x:c r="AL339" s="22" t="n">
        <x:v>1484</x:v>
      </x:c>
      <x:c r="AM339" s="22" t="n">
        <x:v>69</x:v>
      </x:c>
      <x:c r="AN339" s="22" t="n">
        <x:v>14</x:v>
      </x:c>
      <x:c r="AO339" s="22" t="n">
        <x:v>8</x:v>
      </x:c>
      <x:c r="AP339" s="22" t="n">
        <x:v>8140</x:v>
      </x:c>
      <x:c r="AQ339" s="22" t="n">
        <x:v>24</x:v>
      </x:c>
      <x:c r="AR339" s="22" t="n">
        <x:v>3</x:v>
      </x:c>
      <x:c r="AS339" s="22" t="n">
        <x:v>10</x:v>
      </x:c>
      <x:c r="AT339" s="22" t="n">
        <x:v>10</x:v>
      </x:c>
      <x:c r="AU339" s="22" t="n">
        <x:v>0</x:v>
      </x:c>
      <x:c r="AV339" s="22" t="n">
        <x:v>42</x:v>
      </x:c>
      <x:c r="AW339" s="22" t="n">
        <x:v>0</x:v>
      </x:c>
    </x:row>
    <x:row r="340" ht="24" customHeight="1">
      <x:c r="A340" s="22" t="str">
        <x:v>P0336</x:v>
      </x:c>
      <x:c r="B340" s="22" t="n">
        <x:v>10</x:v>
      </x:c>
      <x:c r="C340" s="22" t="n">
        <x:v>5</x:v>
      </x:c>
      <x:c r="D340" s="22" t="str">
        <x:v>C10守关后继承</x:v>
      </x:c>
      <x:c r="E340" s="22" t="n">
        <x:v>201248</x:v>
      </x:c>
      <x:c r="F340" s="22" t="n">
        <x:v>213825</x:v>
      </x:c>
      <x:c r="G340" s="22" t="n">
        <x:v>197291</x:v>
      </x:c>
      <x:c r="H340" s="22" t="n">
        <x:v>209832</x:v>
      </x:c>
      <x:c r="I340" s="22" t="n">
        <x:v>200723</x:v>
      </x:c>
      <x:c r="J340" s="22" t="n">
        <x:v>213264</x:v>
      </x:c>
      <x:c r="K340" s="22" t="n">
        <x:v>25014600</x:v>
      </x:c>
      <x:c r="L340" s="22" t="n">
        <x:v>10001200</x:v>
      </x:c>
      <x:c r="M340" s="22" t="n">
        <x:v>1103</x:v>
      </x:c>
      <x:c r="N340" s="22" t="n">
        <x:v>1992</x:v>
      </x:c>
      <x:c r="O340" s="22" t="n">
        <x:v>901</x:v>
      </x:c>
      <x:c r="P340" s="22" t="n">
        <x:v>1642</x:v>
      </x:c>
      <x:c r="Q340" s="22" t="n">
        <x:v>1889</x:v>
      </x:c>
      <x:c r="R340" s="22" t="n">
        <x:v>1815</x:v>
      </x:c>
      <x:c r="S340" s="22" t="n">
        <x:v>1815</x:v>
      </x:c>
      <x:c r="T340" s="22" t="n">
        <x:v>1.8800000000000008</x:v>
      </x:c>
      <x:c r="U340" s="22" t="n">
        <x:v>16</x:v>
      </x:c>
      <x:c r="V340" s="22" t="n">
        <x:v>672</x:v>
      </x:c>
      <x:c r="W340" s="22" t="n">
        <x:v>317</x:v>
      </x:c>
      <x:c r="X340" s="22" t="n">
        <x:v>26</x:v>
      </x:c>
      <x:c r="Y340" s="22" t="n">
        <x:v>814</x:v>
      </x:c>
      <x:c r="Z340" s="22" t="n">
        <x:v>7</x:v>
      </x:c>
      <x:c r="AA340" s="22" t="n">
        <x:v>678</x:v>
      </x:c>
      <x:c r="AB340" s="22" t="n">
        <x:v>0</x:v>
      </x:c>
      <x:c r="AC340" s="22" t="n">
        <x:v>0</x:v>
      </x:c>
      <x:c r="AD340" s="22" t="n">
        <x:v>44</x:v>
      </x:c>
      <x:c r="AE340" s="22" t="n">
        <x:v>15</x:v>
      </x:c>
      <x:c r="AF340" s="22" t="n">
        <x:v>101</x:v>
      </x:c>
      <x:c r="AG340" s="22" t="n">
        <x:v>7</x:v>
      </x:c>
      <x:c r="AH340" s="22" t="n">
        <x:v>8</x:v>
      </x:c>
      <x:c r="AI340" s="22" t="n">
        <x:v>42</x:v>
      </x:c>
      <x:c r="AJ340" s="22" t="n">
        <x:v>11</x:v>
      </x:c>
      <x:c r="AK340" s="22" t="n">
        <x:v>8</x:v>
      </x:c>
      <x:c r="AL340" s="22" t="n">
        <x:v>1401</x:v>
      </x:c>
      <x:c r="AM340" s="22" t="n">
        <x:v>65</x:v>
      </x:c>
      <x:c r="AN340" s="22" t="n">
        <x:v>14</x:v>
      </x:c>
      <x:c r="AO340" s="22" t="n">
        <x:v>8</x:v>
      </x:c>
      <x:c r="AP340" s="22" t="n">
        <x:v>8140</x:v>
      </x:c>
      <x:c r="AQ340" s="22" t="n">
        <x:v>24</x:v>
      </x:c>
      <x:c r="AR340" s="22" t="n">
        <x:v>3</x:v>
      </x:c>
      <x:c r="AS340" s="22" t="n">
        <x:v>10</x:v>
      </x:c>
      <x:c r="AT340" s="22" t="n">
        <x:v>10</x:v>
      </x:c>
      <x:c r="AU340" s="22" t="n">
        <x:v>0</x:v>
      </x:c>
      <x:c r="AV340" s="22" t="n">
        <x:v>42</x:v>
      </x:c>
      <x:c r="AW340" s="22" t="n">
        <x:v>0</x:v>
      </x:c>
    </x:row>
  </x:sheetData>
  <x:mergeCells>
    <x:mergeCell ref="A1:AW1"/>
    <x:mergeCell ref="A2:AW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8" hidden="0" customWidth="1"/>
    <x:col min="4" max="4" width="32" hidden="0" customWidth="1"/>
    <x:col min="5" max="5" width="12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2" hidden="0" customWidth="1"/>
    <x:col min="11" max="11" width="18" hidden="0" customWidth="1"/>
    <x:col min="12" max="12" width="20" hidden="0" customWidth="1"/>
    <x:col min="13" max="13" width="12" hidden="0" customWidth="1"/>
    <x:col min="14" max="14" width="12" hidden="0" customWidth="1"/>
    <x:col min="15" max="15" width="12" hidden="0" customWidth="1"/>
    <x:col min="16" max="16" width="14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18" hidden="0" customWidth="1"/>
    <x:col min="22" max="22" width="22" hidden="0" customWidth="1"/>
    <x:col min="23" max="23" width="14" hidden="0" customWidth="1"/>
    <x:col min="24" max="24" width="14" hidden="0" customWidth="1"/>
    <x:col min="25" max="25" width="28" hidden="0" customWidth="1"/>
  </x:cols>
  <x:sheetData>
    <x:row r="1" ht="32" customHeight="1">
      <x:c r="A1" s="3" t="str">
        <x:v>336状态｜技能与吸血分账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2" ht="34" customHeight="1">
      <x:c r="A2" s="8" t="str">
        <x:v>技能DPS只按纯属性×2；回血只按常规可吸血伤害×1.3再加固定回血。完整引擎结算不是本轮声称的事实。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</x:row>
    <x:row r="4" ht="30" customHeight="1">
      <x:c r="A4" s="15" t="str">
        <x:v>人物ID</x:v>
      </x:c>
      <x:c r="B4" s="15" t="str">
        <x:v>大陆</x:v>
      </x:c>
      <x:c r="C4" s="15" t="str">
        <x:v>地图组序</x:v>
      </x:c>
      <x:c r="D4" s="15" t="str">
        <x:v>状态</x:v>
      </x:c>
      <x:c r="E4" s="15" t="str">
        <x:v>完成度</x:v>
      </x:c>
      <x:c r="F4" s="15" t="str">
        <x:v>称号阶段</x:v>
      </x:c>
      <x:c r="G4" s="15" t="str">
        <x:v>神印档</x:v>
      </x:c>
      <x:c r="H4" s="15" t="str">
        <x:v>转生</x:v>
      </x:c>
      <x:c r="I4" s="15" t="str">
        <x:v>彩槽</x:v>
      </x:c>
      <x:c r="J4" s="15" t="str">
        <x:v>幸运合计</x:v>
      </x:c>
      <x:c r="K4" s="15" t="str">
        <x:v>攻击上限</x:v>
      </x:c>
      <x:c r="L4" s="15" t="str">
        <x:v>人物HP</x:v>
      </x:c>
      <x:c r="M4" s="15" t="str">
        <x:v>有效攻速</x:v>
      </x:c>
      <x:c r="N4" s="15" t="str">
        <x:v>刀/秒</x:v>
      </x:c>
      <x:c r="O4" s="15" t="str">
        <x:v>韧性</x:v>
      </x:c>
      <x:c r="P4" s="15" t="str">
        <x:v>有效吸收</x:v>
      </x:c>
      <x:c r="Q4" s="15" t="str">
        <x:v>纯属性DPS</x:v>
      </x:c>
      <x:c r="R4" s="15" t="str">
        <x:v>技能2倍DPS</x:v>
      </x:c>
      <x:c r="S4" s="15" t="str">
        <x:v>普通吸血HPS</x:v>
      </x:c>
      <x:c r="T4" s="15" t="str">
        <x:v>技能吸血1.3倍</x:v>
      </x:c>
      <x:c r="U4" s="15" t="str">
        <x:v>固定回血HPS</x:v>
      </x:c>
      <x:c r="V4" s="15" t="str">
        <x:v>回复预算合计</x:v>
      </x:c>
      <x:c r="W4" s="15" t="str">
        <x:v>已制作品类</x:v>
      </x:c>
      <x:c r="X4" s="15" t="str">
        <x:v>已登记图鉴件</x:v>
      </x:c>
      <x:c r="Y4" s="15" t="str">
        <x:v>分支</x:v>
      </x:c>
    </x:row>
    <x:row r="5" ht="24" customHeight="1">
      <x:c r="A5" s="22" t="str">
        <x:v>P0001</x:v>
      </x:c>
      <x:c r="B5" s="22" t="n">
        <x:v>1</x:v>
      </x:c>
      <x:c r="C5" s="22" t="n">
        <x:v>1</x:v>
      </x:c>
      <x:c r="D5" s="22" t="str">
        <x:v>C01入场继承</x:v>
      </x:c>
      <x:c r="E5" s="26" t="n">
        <x:v>0.21970698621103732</x:v>
      </x:c>
      <x:c r="F5" s="22" t="n">
        <x:v>1</x:v>
      </x:c>
      <x:c r="G5" s="22" t="n">
        <x:v>0</x:v>
      </x:c>
      <x:c r="H5" s="22" t="n">
        <x:v>0</x:v>
      </x:c>
      <x:c r="I5" s="22" t="n">
        <x:v>2</x:v>
      </x:c>
      <x:c r="J5" s="22" t="n">
        <x:f>'02_人物原始合计'!AG5+'02_人物原始合计'!AH5</x:f>
        <x:v>7</x:v>
      </x:c>
      <x:c r="K5" s="28" t="n">
        <x:f>'02_人物原始合计'!F5*(1+'02_人物原始合计'!Q5/100)</x:f>
        <x:v>534.31</x:v>
      </x:c>
      <x:c r="L5" s="28" t="n">
        <x:f>'02_人物原始合计'!K5*(1+'02_人物原始合计'!AV5/100)</x:f>
        <x:v>34846.01</x:v>
      </x:c>
      <x:c r="M5" s="22" t="n">
        <x:f>MAX(0,MIN(50,'02_人物原始合计'!AD5,20+MIN(30,'02_人物原始合计'!AE5)))</x:f>
        <x:v>15</x:v>
      </x:c>
      <x:c r="N5" s="22" t="n">
        <x:f>IF(M5=0,1.75,IF(M5=10,2.2,IF(M5=20,2.9,IF(M5=30,4.3,IF(M5=40,8.5,IF(M5=50,14.3,IF(M5&lt;=40,1000/('01_参数'!$B$21-'01_参数'!$B$22*M5),1000/(1000/8.5+(M5-40)/10*(1000/14.3-1000/8.5)))))))))</x:f>
        <x:v>2.495764157874204</x:v>
      </x:c>
      <x:c r="O5" s="22" t="n">
        <x:v>50</x:v>
      </x:c>
      <x:c r="P5" s="26" t="n">
        <x:f>MAX(0,MIN('01_参数'!$B$20,'02_人物原始合计'!AM5/100,'01_参数'!$B$19+'02_人物原始合计'!AN5/100))</x:f>
        <x:v>0.08</x:v>
      </x:c>
      <x:c r="Q5" s="28" t="n">
        <x:f>((('02_人物原始合计'!E5+('02_人物原始合计'!F5-'02_人物原始合计'!E5)*IF(J5&gt;=12,1,0.5+0.5*MAX(0,J5)/12))*(1+'02_人物原始合计'!Q5/100))*(1+'02_人物原始合计'!U5/100+IF(J5&gt;=15,0.15,0))*(1+'02_人物原始合计'!V5/100)*(1+'02_人物原始合计'!T5)*(1+'02_人物原始合计'!W5*'01_参数'!$B$18)*(1+MAX(0,MIN(1,'02_人物原始合计'!X5/100))*('01_参数'!$B$16+'02_人物原始合计'!Y5/100-1))*(1+MAX(0,MIN(1,'02_人物原始合计'!Z5/100))*('01_参数'!$B$17+'02_人物原始合计'!AA5/100-1))+'02_人物原始合计'!AB5)*N5*'01_参数'!$B$7*'01_参数'!$B$8</x:f>
        <x:v>11037.530288761616</x:v>
      </x:c>
      <x:c r="R5" s="28" t="n">
        <x:f>Q5*'01_参数'!$B$5</x:f>
        <x:v>22075.060577523232</x:v>
      </x:c>
      <x:c r="S5" s="28" t="n">
        <x:f>(('02_人物原始合计'!E5+('02_人物原始合计'!F5-'02_人物原始合计'!E5)*IF(J5&gt;=12,1,0.5+0.5*MAX(0,J5)/12))*(1+'02_人物原始合计'!Q5/100))*(1+'02_人物原始合计'!U5/100+IF(J5&gt;=15,0.15,0))*(1+'02_人物原始合计'!V5/100)*(1+'02_人物原始合计'!T5)*(1+'02_人物原始合计'!W5*'01_参数'!$B$18)*(1+MAX(0,MIN(1,'02_人物原始合计'!X5/100))*('01_参数'!$B$16+'02_人物原始合计'!Y5/100-1))*(1+MAX(0,MIN(1,'02_人物原始合计'!Z5/100))*('01_参数'!$B$17+'02_人物原始合计'!AA5/100-1))*N5*'01_参数'!$B$7*'01_参数'!$B$8*MAX(0,'02_人物原始合计'!AO5/100)</x:f>
        <x:v>15.536264888396406</x:v>
      </x:c>
      <x:c r="T5" s="28" t="n">
        <x:f>S5*'01_参数'!$B$6</x:f>
        <x:v>20.197144354915327</x:v>
      </x:c>
      <x:c r="U5" s="28" t="n">
        <x:v>2000</x:v>
      </x:c>
      <x:c r="V5" s="28" t="n">
        <x:f>T5+U5</x:f>
        <x:v>2020.1971443549153</x:v>
      </x:c>
      <x:c r="W5" s="22" t="n">
        <x:v>0</x:v>
      </x:c>
      <x:c r="X5" s="22" t="n">
        <x:v>0</x:v>
      </x:c>
      <x:c r="Y5" s="22" t="str">
        <x:v>主线</x:v>
      </x:c>
    </x:row>
    <x:row r="6" ht="24" customHeight="1">
      <x:c r="A6" s="22" t="str">
        <x:v>P0002</x:v>
      </x:c>
      <x:c r="B6" s="22" t="n">
        <x:v>1</x:v>
      </x:c>
      <x:c r="C6" s="22" t="n">
        <x:v>1</x:v>
      </x:c>
      <x:c r="D6" s="22" t="str">
        <x:v>C01本阶段既有付费/长期成长</x:v>
      </x:c>
      <x:c r="E6" s="26" t="n">
        <x:v>0.21970698621103732</x:v>
      </x:c>
      <x:c r="F6" s="22" t="n">
        <x:v>1</x:v>
      </x:c>
      <x:c r="G6" s="22" t="n">
        <x:v>0</x:v>
      </x:c>
      <x:c r="H6" s="22" t="n">
        <x:v>0</x:v>
      </x:c>
      <x:c r="I6" s="22" t="n">
        <x:v>2</x:v>
      </x:c>
      <x:c r="J6" s="22" t="n">
        <x:f>'02_人物原始合计'!AG6+'02_人物原始合计'!AH6</x:f>
        <x:v>7</x:v>
      </x:c>
      <x:c r="K6" s="28" t="n">
        <x:f>'02_人物原始合计'!F6*(1+'02_人物原始合计'!Q6/100)</x:f>
        <x:v>534.31</x:v>
      </x:c>
      <x:c r="L6" s="28" t="n">
        <x:f>'02_人物原始合计'!K6*(1+'02_人物原始合计'!AV6/100)</x:f>
        <x:v>34846.01</x:v>
      </x:c>
      <x:c r="M6" s="22" t="n">
        <x:f>MAX(0,MIN(50,'02_人物原始合计'!AD6,20+MIN(30,'02_人物原始合计'!AE6)))</x:f>
        <x:v>15</x:v>
      </x:c>
      <x:c r="N6" s="22" t="n">
        <x:f>IF(M6=0,1.75,IF(M6=10,2.2,IF(M6=20,2.9,IF(M6=30,4.3,IF(M6=40,8.5,IF(M6=50,14.3,IF(M6&lt;=40,1000/('01_参数'!$B$21-'01_参数'!$B$22*M6),1000/(1000/8.5+(M6-40)/10*(1000/14.3-1000/8.5)))))))))</x:f>
        <x:v>2.495764157874204</x:v>
      </x:c>
      <x:c r="O6" s="22" t="n">
        <x:v>50</x:v>
      </x:c>
      <x:c r="P6" s="26" t="n">
        <x:f>MAX(0,MIN('01_参数'!$B$20,'02_人物原始合计'!AM6/100,'01_参数'!$B$19+'02_人物原始合计'!AN6/100))</x:f>
        <x:v>0.08</x:v>
      </x:c>
      <x:c r="Q6" s="28" t="n">
        <x:f>((('02_人物原始合计'!E6+('02_人物原始合计'!F6-'02_人物原始合计'!E6)*IF(J6&gt;=12,1,0.5+0.5*MAX(0,J6)/12))*(1+'02_人物原始合计'!Q6/100))*(1+'02_人物原始合计'!U6/100+IF(J6&gt;=15,0.15,0))*(1+'02_人物原始合计'!V6/100)*(1+'02_人物原始合计'!T6)*(1+'02_人物原始合计'!W6*'01_参数'!$B$18)*(1+MAX(0,MIN(1,'02_人物原始合计'!X6/100))*('01_参数'!$B$16+'02_人物原始合计'!Y6/100-1))*(1+MAX(0,MIN(1,'02_人物原始合计'!Z6/100))*('01_参数'!$B$17+'02_人物原始合计'!AA6/100-1))+'02_人物原始合计'!AB6)*N6*'01_参数'!$B$7*'01_参数'!$B$8</x:f>
        <x:v>11037.530288761616</x:v>
      </x:c>
      <x:c r="R6" s="28" t="n">
        <x:f>Q6*'01_参数'!$B$5</x:f>
        <x:v>22075.060577523232</x:v>
      </x:c>
      <x:c r="S6" s="28" t="n">
        <x:f>(('02_人物原始合计'!E6+('02_人物原始合计'!F6-'02_人物原始合计'!E6)*IF(J6&gt;=12,1,0.5+0.5*MAX(0,J6)/12))*(1+'02_人物原始合计'!Q6/100))*(1+'02_人物原始合计'!U6/100+IF(J6&gt;=15,0.15,0))*(1+'02_人物原始合计'!V6/100)*(1+'02_人物原始合计'!T6)*(1+'02_人物原始合计'!W6*'01_参数'!$B$18)*(1+MAX(0,MIN(1,'02_人物原始合计'!X6/100))*('01_参数'!$B$16+'02_人物原始合计'!Y6/100-1))*(1+MAX(0,MIN(1,'02_人物原始合计'!Z6/100))*('01_参数'!$B$17+'02_人物原始合计'!AA6/100-1))*N6*'01_参数'!$B$7*'01_参数'!$B$8*MAX(0,'02_人物原始合计'!AO6/100)</x:f>
        <x:v>15.536264888396406</x:v>
      </x:c>
      <x:c r="T6" s="28" t="n">
        <x:f>S6*'01_参数'!$B$6</x:f>
        <x:v>20.197144354915327</x:v>
      </x:c>
      <x:c r="U6" s="28" t="n">
        <x:v>2000</x:v>
      </x:c>
      <x:c r="V6" s="28" t="n">
        <x:f>T6+U6</x:f>
        <x:v>2020.1971443549153</x:v>
      </x:c>
      <x:c r="W6" s="22" t="n">
        <x:v>0</x:v>
      </x:c>
      <x:c r="X6" s="22" t="n">
        <x:v>0</x:v>
      </x:c>
      <x:c r="Y6" s="22" t="str">
        <x:v>主线</x:v>
      </x:c>
    </x:row>
    <x:row r="7" ht="24" customHeight="1">
      <x:c r="A7" s="22" t="str">
        <x:v>P0003</x:v>
      </x:c>
      <x:c r="B7" s="22" t="n">
        <x:v>1</x:v>
      </x:c>
      <x:c r="C7" s="22" t="n">
        <x:v>1</x:v>
      </x:c>
      <x:c r="D7" s="22" t="str">
        <x:v>C01G01入场</x:v>
      </x:c>
      <x:c r="E7" s="26" t="n">
        <x:v>0.21970698621103732</x:v>
      </x:c>
      <x:c r="F7" s="22" t="n">
        <x:v>1</x:v>
      </x:c>
      <x:c r="G7" s="22" t="n">
        <x:v>0</x:v>
      </x:c>
      <x:c r="H7" s="22" t="n">
        <x:v>0</x:v>
      </x:c>
      <x:c r="I7" s="22" t="n">
        <x:v>2</x:v>
      </x:c>
      <x:c r="J7" s="22" t="n">
        <x:f>'02_人物原始合计'!AG7+'02_人物原始合计'!AH7</x:f>
        <x:v>7</x:v>
      </x:c>
      <x:c r="K7" s="28" t="n">
        <x:f>'02_人物原始合计'!F7*(1+'02_人物原始合计'!Q7/100)</x:f>
        <x:v>534.31</x:v>
      </x:c>
      <x:c r="L7" s="28" t="n">
        <x:f>'02_人物原始合计'!K7*(1+'02_人物原始合计'!AV7/100)</x:f>
        <x:v>34846.01</x:v>
      </x:c>
      <x:c r="M7" s="22" t="n">
        <x:f>MAX(0,MIN(50,'02_人物原始合计'!AD7,20+MIN(30,'02_人物原始合计'!AE7)))</x:f>
        <x:v>15</x:v>
      </x:c>
      <x:c r="N7" s="22" t="n">
        <x:f>IF(M7=0,1.75,IF(M7=10,2.2,IF(M7=20,2.9,IF(M7=30,4.3,IF(M7=40,8.5,IF(M7=50,14.3,IF(M7&lt;=40,1000/('01_参数'!$B$21-'01_参数'!$B$22*M7),1000/(1000/8.5+(M7-40)/10*(1000/14.3-1000/8.5)))))))))</x:f>
        <x:v>2.495764157874204</x:v>
      </x:c>
      <x:c r="O7" s="22" t="n">
        <x:v>50</x:v>
      </x:c>
      <x:c r="P7" s="26" t="n">
        <x:f>MAX(0,MIN('01_参数'!$B$20,'02_人物原始合计'!AM7/100,'01_参数'!$B$19+'02_人物原始合计'!AN7/100))</x:f>
        <x:v>0.08</x:v>
      </x:c>
      <x:c r="Q7" s="28" t="n">
        <x:f>((('02_人物原始合计'!E7+('02_人物原始合计'!F7-'02_人物原始合计'!E7)*IF(J7&gt;=12,1,0.5+0.5*MAX(0,J7)/12))*(1+'02_人物原始合计'!Q7/100))*(1+'02_人物原始合计'!U7/100+IF(J7&gt;=15,0.15,0))*(1+'02_人物原始合计'!V7/100)*(1+'02_人物原始合计'!T7)*(1+'02_人物原始合计'!W7*'01_参数'!$B$18)*(1+MAX(0,MIN(1,'02_人物原始合计'!X7/100))*('01_参数'!$B$16+'02_人物原始合计'!Y7/100-1))*(1+MAX(0,MIN(1,'02_人物原始合计'!Z7/100))*('01_参数'!$B$17+'02_人物原始合计'!AA7/100-1))+'02_人物原始合计'!AB7)*N7*'01_参数'!$B$7*'01_参数'!$B$8</x:f>
        <x:v>11037.530288761616</x:v>
      </x:c>
      <x:c r="R7" s="28" t="n">
        <x:f>Q7*'01_参数'!$B$5</x:f>
        <x:v>22075.060577523232</x:v>
      </x:c>
      <x:c r="S7" s="28" t="n">
        <x:f>(('02_人物原始合计'!E7+('02_人物原始合计'!F7-'02_人物原始合计'!E7)*IF(J7&gt;=12,1,0.5+0.5*MAX(0,J7)/12))*(1+'02_人物原始合计'!Q7/100))*(1+'02_人物原始合计'!U7/100+IF(J7&gt;=15,0.15,0))*(1+'02_人物原始合计'!V7/100)*(1+'02_人物原始合计'!T7)*(1+'02_人物原始合计'!W7*'01_参数'!$B$18)*(1+MAX(0,MIN(1,'02_人物原始合计'!X7/100))*('01_参数'!$B$16+'02_人物原始合计'!Y7/100-1))*(1+MAX(0,MIN(1,'02_人物原始合计'!Z7/100))*('01_参数'!$B$17+'02_人物原始合计'!AA7/100-1))*N7*'01_参数'!$B$7*'01_参数'!$B$8*MAX(0,'02_人物原始合计'!AO7/100)</x:f>
        <x:v>15.536264888396406</x:v>
      </x:c>
      <x:c r="T7" s="28" t="n">
        <x:f>S7*'01_参数'!$B$6</x:f>
        <x:v>20.197144354915327</x:v>
      </x:c>
      <x:c r="U7" s="28" t="n">
        <x:v>2000</x:v>
      </x:c>
      <x:c r="V7" s="28" t="n">
        <x:f>T7+U7</x:f>
        <x:v>2020.1971443549153</x:v>
      </x:c>
      <x:c r="W7" s="22" t="n">
        <x:v>0</x:v>
      </x:c>
      <x:c r="X7" s="22" t="n">
        <x:v>0</x:v>
      </x:c>
      <x:c r="Y7" s="22" t="str">
        <x:v>主线</x:v>
      </x:c>
    </x:row>
    <x:row r="8" ht="24" customHeight="1">
      <x:c r="A8" s="22" t="str">
        <x:v>P0004</x:v>
      </x:c>
      <x:c r="B8" s="22" t="n">
        <x:v>1</x:v>
      </x:c>
      <x:c r="C8" s="22" t="n">
        <x:v>1</x:v>
      </x:c>
      <x:c r="D8" s="22" t="str">
        <x:v>C01G01普通专属3/5</x:v>
      </x:c>
      <x:c r="E8" s="26" t="n">
        <x:v>0.23293854409330259</x:v>
      </x:c>
      <x:c r="F8" s="22" t="n">
        <x:v>1</x:v>
      </x:c>
      <x:c r="G8" s="22" t="n">
        <x:v>0</x:v>
      </x:c>
      <x:c r="H8" s="22" t="n">
        <x:v>0</x:v>
      </x:c>
      <x:c r="I8" s="22" t="n">
        <x:v>2</x:v>
      </x:c>
      <x:c r="J8" s="22" t="n">
        <x:f>'02_人物原始合计'!AG8+'02_人物原始合计'!AH8</x:f>
        <x:v>7</x:v>
      </x:c>
      <x:c r="K8" s="28" t="n">
        <x:f>'02_人物原始合计'!F8*(1+'02_人物原始合计'!Q8/100)</x:f>
        <x:v>660.34</x:v>
      </x:c>
      <x:c r="L8" s="28" t="n">
        <x:f>'02_人物原始合计'!K8*(1+'02_人物原始合计'!AV8/100)</x:f>
        <x:v>49137.51</x:v>
      </x:c>
      <x:c r="M8" s="22" t="n">
        <x:f>MAX(0,MIN(50,'02_人物原始合计'!AD8,20+MIN(30,'02_人物原始合计'!AE8)))</x:f>
        <x:v>15</x:v>
      </x:c>
      <x:c r="N8" s="22" t="n">
        <x:f>IF(M8=0,1.75,IF(M8=10,2.2,IF(M8=20,2.9,IF(M8=30,4.3,IF(M8=40,8.5,IF(M8=50,14.3,IF(M8&lt;=40,1000/('01_参数'!$B$21-'01_参数'!$B$22*M8),1000/(1000/8.5+(M8-40)/10*(1000/14.3-1000/8.5)))))))))</x:f>
        <x:v>2.495764157874204</x:v>
      </x:c>
      <x:c r="O8" s="22" t="n">
        <x:v>50</x:v>
      </x:c>
      <x:c r="P8" s="26" t="n">
        <x:f>MAX(0,MIN('01_参数'!$B$20,'02_人物原始合计'!AM8/100,'01_参数'!$B$19+'02_人物原始合计'!AN8/100))</x:f>
        <x:v>0.17</x:v>
      </x:c>
      <x:c r="Q8" s="28" t="n">
        <x:f>((('02_人物原始合计'!E8+('02_人物原始合计'!F8-'02_人物原始合计'!E8)*IF(J8&gt;=12,1,0.5+0.5*MAX(0,J8)/12))*(1+'02_人物原始合计'!Q8/100))*(1+'02_人物原始合计'!U8/100+IF(J8&gt;=15,0.15,0))*(1+'02_人物原始合计'!V8/100)*(1+'02_人物原始合计'!T8)*(1+'02_人物原始合计'!W8*'01_参数'!$B$18)*(1+MAX(0,MIN(1,'02_人物原始合计'!X8/100))*('01_参数'!$B$16+'02_人物原始合计'!Y8/100-1))*(1+MAX(0,MIN(1,'02_人物原始合计'!Z8/100))*('01_参数'!$B$17+'02_人物原始合计'!AA8/100-1))+'02_人物原始合计'!AB8)*N8*'01_参数'!$B$7*'01_参数'!$B$8</x:f>
        <x:v>11638.24363758674</x:v>
      </x:c>
      <x:c r="R8" s="28" t="n">
        <x:f>Q8*'01_参数'!$B$5</x:f>
        <x:v>23276.48727517348</x:v>
      </x:c>
      <x:c r="S8" s="28" t="n">
        <x:f>(('02_人物原始合计'!E8+('02_人物原始合计'!F8-'02_人物原始合计'!E8)*IF(J8&gt;=12,1,0.5+0.5*MAX(0,J8)/12))*(1+'02_人物原始合计'!Q8/100))*(1+'02_人物原始合计'!U8/100+IF(J8&gt;=15,0.15,0))*(1+'02_人物原始合计'!V8/100)*(1+'02_人物原始合计'!T8)*(1+'02_人物原始合计'!W8*'01_参数'!$B$18)*(1+MAX(0,MIN(1,'02_人物原始合计'!X8/100))*('01_参数'!$B$16+'02_人物原始合计'!Y8/100-1))*(1+MAX(0,MIN(1,'02_人物原始合计'!Z8/100))*('01_参数'!$B$17+'02_人物原始合计'!AA8/100-1))*N8*'01_参数'!$B$7*'01_参数'!$B$8*MAX(0,'02_人物原始合计'!AO8/100)</x:f>
        <x:v>21.54339837664768</x:v>
      </x:c>
      <x:c r="T8" s="28" t="n">
        <x:f>S8*'01_参数'!$B$6</x:f>
        <x:v>28.006417889641984</x:v>
      </x:c>
      <x:c r="U8" s="28" t="n">
        <x:v>2000</x:v>
      </x:c>
      <x:c r="V8" s="28" t="n">
        <x:f>T8+U8</x:f>
        <x:v>2028.006417889642</x:v>
      </x:c>
      <x:c r="W8" s="22" t="n">
        <x:v>0</x:v>
      </x:c>
      <x:c r="X8" s="22" t="n">
        <x:v>0</x:v>
      </x:c>
      <x:c r="Y8" s="22" t="str">
        <x:v>主线</x:v>
      </x:c>
    </x:row>
    <x:row r="9" ht="24" customHeight="1">
      <x:c r="A9" s="22" t="str">
        <x:v>P0005</x:v>
      </x:c>
      <x:c r="B9" s="22" t="n">
        <x:v>1</x:v>
      </x:c>
      <x:c r="C9" s="22" t="n">
        <x:v>1</x:v>
      </x:c>
      <x:c r="D9" s="22" t="str">
        <x:v>断桅船长·赫恩挑战前</x:v>
      </x:c>
      <x:c r="E9" s="26" t="n">
        <x:v>0.23293854409330259</x:v>
      </x:c>
      <x:c r="F9" s="22" t="n">
        <x:v>1</x:v>
      </x:c>
      <x:c r="G9" s="22" t="n">
        <x:v>0</x:v>
      </x:c>
      <x:c r="H9" s="22" t="n">
        <x:v>0</x:v>
      </x:c>
      <x:c r="I9" s="22" t="n">
        <x:v>2</x:v>
      </x:c>
      <x:c r="J9" s="22" t="n">
        <x:f>'02_人物原始合计'!AG9+'02_人物原始合计'!AH9</x:f>
        <x:v>7</x:v>
      </x:c>
      <x:c r="K9" s="28" t="n">
        <x:f>'02_人物原始合计'!F9*(1+'02_人物原始合计'!Q9/100)</x:f>
        <x:v>660.34</x:v>
      </x:c>
      <x:c r="L9" s="28" t="n">
        <x:f>'02_人物原始合计'!K9*(1+'02_人物原始合计'!AV9/100)</x:f>
        <x:v>49137.51</x:v>
      </x:c>
      <x:c r="M9" s="22" t="n">
        <x:f>MAX(0,MIN(50,'02_人物原始合计'!AD9,20+MIN(30,'02_人物原始合计'!AE9)))</x:f>
        <x:v>15</x:v>
      </x:c>
      <x:c r="N9" s="22" t="n">
        <x:f>IF(M9=0,1.75,IF(M9=10,2.2,IF(M9=20,2.9,IF(M9=30,4.3,IF(M9=40,8.5,IF(M9=50,14.3,IF(M9&lt;=40,1000/('01_参数'!$B$21-'01_参数'!$B$22*M9),1000/(1000/8.5+(M9-40)/10*(1000/14.3-1000/8.5)))))))))</x:f>
        <x:v>2.495764157874204</x:v>
      </x:c>
      <x:c r="O9" s="22" t="n">
        <x:v>50</x:v>
      </x:c>
      <x:c r="P9" s="26" t="n">
        <x:f>MAX(0,MIN('01_参数'!$B$20,'02_人物原始合计'!AM9/100,'01_参数'!$B$19+'02_人物原始合计'!AN9/100))</x:f>
        <x:v>0.17</x:v>
      </x:c>
      <x:c r="Q9" s="28" t="n">
        <x:f>((('02_人物原始合计'!E9+('02_人物原始合计'!F9-'02_人物原始合计'!E9)*IF(J9&gt;=12,1,0.5+0.5*MAX(0,J9)/12))*(1+'02_人物原始合计'!Q9/100))*(1+'02_人物原始合计'!U9/100+IF(J9&gt;=15,0.15,0))*(1+'02_人物原始合计'!V9/100)*(1+'02_人物原始合计'!T9)*(1+'02_人物原始合计'!W9*'01_参数'!$B$18)*(1+MAX(0,MIN(1,'02_人物原始合计'!X9/100))*('01_参数'!$B$16+'02_人物原始合计'!Y9/100-1))*(1+MAX(0,MIN(1,'02_人物原始合计'!Z9/100))*('01_参数'!$B$17+'02_人物原始合计'!AA9/100-1))+'02_人物原始合计'!AB9)*N9*'01_参数'!$B$7*'01_参数'!$B$8</x:f>
        <x:v>11638.24363758674</x:v>
      </x:c>
      <x:c r="R9" s="28" t="n">
        <x:f>Q9*'01_参数'!$B$5</x:f>
        <x:v>23276.48727517348</x:v>
      </x:c>
      <x:c r="S9" s="28" t="n">
        <x:f>(('02_人物原始合计'!E9+('02_人物原始合计'!F9-'02_人物原始合计'!E9)*IF(J9&gt;=12,1,0.5+0.5*MAX(0,J9)/12))*(1+'02_人物原始合计'!Q9/100))*(1+'02_人物原始合计'!U9/100+IF(J9&gt;=15,0.15,0))*(1+'02_人物原始合计'!V9/100)*(1+'02_人物原始合计'!T9)*(1+'02_人物原始合计'!W9*'01_参数'!$B$18)*(1+MAX(0,MIN(1,'02_人物原始合计'!X9/100))*('01_参数'!$B$16+'02_人物原始合计'!Y9/100-1))*(1+MAX(0,MIN(1,'02_人物原始合计'!Z9/100))*('01_参数'!$B$17+'02_人物原始合计'!AA9/100-1))*N9*'01_参数'!$B$7*'01_参数'!$B$8*MAX(0,'02_人物原始合计'!AO9/100)</x:f>
        <x:v>21.54339837664768</x:v>
      </x:c>
      <x:c r="T9" s="28" t="n">
        <x:f>S9*'01_参数'!$B$6</x:f>
        <x:v>28.006417889641984</x:v>
      </x:c>
      <x:c r="U9" s="28" t="n">
        <x:v>2000</x:v>
      </x:c>
      <x:c r="V9" s="28" t="n">
        <x:f>T9+U9</x:f>
        <x:v>2028.006417889642</x:v>
      </x:c>
      <x:c r="W9" s="22" t="n">
        <x:v>0</x:v>
      </x:c>
      <x:c r="X9" s="22" t="n">
        <x:v>0</x:v>
      </x:c>
      <x:c r="Y9" s="22" t="str">
        <x:v>主线</x:v>
      </x:c>
    </x:row>
    <x:row r="10" ht="24" customHeight="1">
      <x:c r="A10" s="22" t="str">
        <x:v>P0006</x:v>
      </x:c>
      <x:c r="B10" s="22" t="n">
        <x:v>1</x:v>
      </x:c>
      <x:c r="C10" s="22" t="n">
        <x:v>1</x:v>
      </x:c>
      <x:c r="D10" s="22" t="str">
        <x:v>吞岸巨兽·格拉姆挑战前</x:v>
      </x:c>
      <x:c r="E10" s="26" t="n">
        <x:v>0.23293854409330259</x:v>
      </x:c>
      <x:c r="F10" s="22" t="n">
        <x:v>1</x:v>
      </x:c>
      <x:c r="G10" s="22" t="n">
        <x:v>0</x:v>
      </x:c>
      <x:c r="H10" s="22" t="n">
        <x:v>0</x:v>
      </x:c>
      <x:c r="I10" s="22" t="n">
        <x:v>2</x:v>
      </x:c>
      <x:c r="J10" s="22" t="n">
        <x:f>'02_人物原始合计'!AG10+'02_人物原始合计'!AH10</x:f>
        <x:v>7</x:v>
      </x:c>
      <x:c r="K10" s="28" t="n">
        <x:f>'02_人物原始合计'!F10*(1+'02_人物原始合计'!Q10/100)</x:f>
        <x:v>660.34</x:v>
      </x:c>
      <x:c r="L10" s="28" t="n">
        <x:f>'02_人物原始合计'!K10*(1+'02_人物原始合计'!AV10/100)</x:f>
        <x:v>49137.51</x:v>
      </x:c>
      <x:c r="M10" s="22" t="n">
        <x:f>MAX(0,MIN(50,'02_人物原始合计'!AD10,20+MIN(30,'02_人物原始合计'!AE10)))</x:f>
        <x:v>15</x:v>
      </x:c>
      <x:c r="N10" s="22" t="n">
        <x:f>IF(M10=0,1.75,IF(M10=10,2.2,IF(M10=20,2.9,IF(M10=30,4.3,IF(M10=40,8.5,IF(M10=50,14.3,IF(M10&lt;=40,1000/('01_参数'!$B$21-'01_参数'!$B$22*M10),1000/(1000/8.5+(M10-40)/10*(1000/14.3-1000/8.5)))))))))</x:f>
        <x:v>2.495764157874204</x:v>
      </x:c>
      <x:c r="O10" s="22" t="n">
        <x:v>50</x:v>
      </x:c>
      <x:c r="P10" s="26" t="n">
        <x:f>MAX(0,MIN('01_参数'!$B$20,'02_人物原始合计'!AM10/100,'01_参数'!$B$19+'02_人物原始合计'!AN10/100))</x:f>
        <x:v>0.17</x:v>
      </x:c>
      <x:c r="Q10" s="28" t="n">
        <x:f>((('02_人物原始合计'!E10+('02_人物原始合计'!F10-'02_人物原始合计'!E10)*IF(J10&gt;=12,1,0.5+0.5*MAX(0,J10)/12))*(1+'02_人物原始合计'!Q10/100))*(1+'02_人物原始合计'!U10/100+IF(J10&gt;=15,0.15,0))*(1+'02_人物原始合计'!V10/100)*(1+'02_人物原始合计'!T10)*(1+'02_人物原始合计'!W10*'01_参数'!$B$18)*(1+MAX(0,MIN(1,'02_人物原始合计'!X10/100))*('01_参数'!$B$16+'02_人物原始合计'!Y10/100-1))*(1+MAX(0,MIN(1,'02_人物原始合计'!Z10/100))*('01_参数'!$B$17+'02_人物原始合计'!AA10/100-1))+'02_人物原始合计'!AB10)*N10*'01_参数'!$B$7*'01_参数'!$B$8</x:f>
        <x:v>11638.24363758674</x:v>
      </x:c>
      <x:c r="R10" s="28" t="n">
        <x:f>Q10*'01_参数'!$B$5</x:f>
        <x:v>23276.48727517348</x:v>
      </x:c>
      <x:c r="S10" s="28" t="n">
        <x:f>(('02_人物原始合计'!E10+('02_人物原始合计'!F10-'02_人物原始合计'!E10)*IF(J10&gt;=12,1,0.5+0.5*MAX(0,J10)/12))*(1+'02_人物原始合计'!Q10/100))*(1+'02_人物原始合计'!U10/100+IF(J10&gt;=15,0.15,0))*(1+'02_人物原始合计'!V10/100)*(1+'02_人物原始合计'!T10)*(1+'02_人物原始合计'!W10*'01_参数'!$B$18)*(1+MAX(0,MIN(1,'02_人物原始合计'!X10/100))*('01_参数'!$B$16+'02_人物原始合计'!Y10/100-1))*(1+MAX(0,MIN(1,'02_人物原始合计'!Z10/100))*('01_参数'!$B$17+'02_人物原始合计'!AA10/100-1))*N10*'01_参数'!$B$7*'01_参数'!$B$8*MAX(0,'02_人物原始合计'!AO10/100)</x:f>
        <x:v>21.54339837664768</x:v>
      </x:c>
      <x:c r="T10" s="28" t="n">
        <x:f>S10*'01_参数'!$B$6</x:f>
        <x:v>28.006417889641984</x:v>
      </x:c>
      <x:c r="U10" s="28" t="n">
        <x:v>2000</x:v>
      </x:c>
      <x:c r="V10" s="28" t="n">
        <x:f>T10+U10</x:f>
        <x:v>2028.006417889642</x:v>
      </x:c>
      <x:c r="W10" s="22" t="n">
        <x:v>0</x:v>
      </x:c>
      <x:c r="X10" s="22" t="n">
        <x:v>0</x:v>
      </x:c>
      <x:c r="Y10" s="22" t="str">
        <x:v>主线</x:v>
      </x:c>
    </x:row>
    <x:row r="11" ht="24" customHeight="1">
      <x:c r="A11" s="22" t="str">
        <x:v>P0007</x:v>
      </x:c>
      <x:c r="B11" s="22" t="n">
        <x:v>1</x:v>
      </x:c>
      <x:c r="C11" s="22" t="n">
        <x:v>1</x:v>
      </x:c>
      <x:c r="D11" s="22" t="str">
        <x:v>失乡者海岸BOSS装备快线</x:v>
      </x:c>
      <x:c r="E11" s="26" t="n">
        <x:v>0.24345520873038914</x:v>
      </x:c>
      <x:c r="F11" s="22" t="n">
        <x:v>1</x:v>
      </x:c>
      <x:c r="G11" s="22" t="n">
        <x:v>0</x:v>
      </x:c>
      <x:c r="H11" s="22" t="n">
        <x:v>0</x:v>
      </x:c>
      <x:c r="I11" s="22" t="n">
        <x:v>2</x:v>
      </x:c>
      <x:c r="J11" s="22" t="n">
        <x:f>'02_人物原始合计'!AG11+'02_人物原始合计'!AH11</x:f>
        <x:v>7</x:v>
      </x:c>
      <x:c r="K11" s="28" t="n">
        <x:f>'02_人物原始合计'!F11*(1+'02_人物原始合计'!Q11/100)</x:f>
        <x:v>1388.4</x:v>
      </x:c>
      <x:c r="L11" s="28" t="n">
        <x:f>'02_人物原始合计'!K11*(1+'02_人物原始合计'!AV11/100)</x:f>
        <x:v>89336.8</x:v>
      </x:c>
      <x:c r="M11" s="22" t="n">
        <x:f>MAX(0,MIN(50,'02_人物原始合计'!AD11,20+MIN(30,'02_人物原始合计'!AE11)))</x:f>
        <x:v>18</x:v>
      </x:c>
      <x:c r="N11" s="22" t="n">
        <x:f>IF(M11=0,1.75,IF(M11=10,2.2,IF(M11=20,2.9,IF(M11=30,4.3,IF(M11=40,8.5,IF(M11=50,14.3,IF(M11&lt;=40,1000/('01_参数'!$B$21-'01_参数'!$B$22*M11),1000/(1000/8.5+(M11-40)/10*(1000/14.3-1000/8.5)))))))))</x:f>
        <x:v>2.7263380196321196</x:v>
      </x:c>
      <x:c r="O11" s="22" t="n">
        <x:v>55</x:v>
      </x:c>
      <x:c r="P11" s="26" t="n">
        <x:f>MAX(0,MIN('01_参数'!$B$20,'02_人物原始合计'!AM11/100,'01_参数'!$B$19+'02_人物原始合计'!AN11/100))</x:f>
        <x:v>0.24</x:v>
      </x:c>
      <x:c r="Q11" s="28" t="n">
        <x:f>((('02_人物原始合计'!E11+('02_人物原始合计'!F11-'02_人物原始合计'!E11)*IF(J11&gt;=12,1,0.5+0.5*MAX(0,J11)/12))*(1+'02_人物原始合计'!Q11/100))*(1+'02_人物原始合计'!U11/100+IF(J11&gt;=15,0.15,0))*(1+'02_人物原始合计'!V11/100)*(1+'02_人物原始合计'!T11)*(1+'02_人物原始合计'!W11*'01_参数'!$B$18)*(1+MAX(0,MIN(1,'02_人物原始合计'!X11/100))*('01_参数'!$B$16+'02_人物原始合计'!Y11/100-1))*(1+MAX(0,MIN(1,'02_人物原始合计'!Z11/100))*('01_参数'!$B$17+'02_人物原始合计'!AA11/100-1))+'02_人物原始合计'!AB11)*N11*'01_参数'!$B$7*'01_参数'!$B$8</x:f>
        <x:v>16450.50772509186</x:v>
      </x:c>
      <x:c r="R11" s="28" t="n">
        <x:f>Q11*'01_参数'!$B$5</x:f>
        <x:v>32901.01545018372</x:v>
      </x:c>
      <x:c r="S11" s="28" t="n">
        <x:f>(('02_人物原始合计'!E11+('02_人物原始合计'!F11-'02_人物原始合计'!E11)*IF(J11&gt;=12,1,0.5+0.5*MAX(0,J11)/12))*(1+'02_人物原始合计'!Q11/100))*(1+'02_人物原始合计'!U11/100+IF(J11&gt;=15,0.15,0))*(1+'02_人物原始合计'!V11/100)*(1+'02_人物原始合计'!T11)*(1+'02_人物原始合计'!W11*'01_参数'!$B$18)*(1+MAX(0,MIN(1,'02_人物原始合计'!X11/100))*('01_参数'!$B$16+'02_人物原始合计'!Y11/100-1))*(1+MAX(0,MIN(1,'02_人物原始合计'!Z11/100))*('01_参数'!$B$17+'02_人物原始合计'!AA11/100-1))*N11*'01_参数'!$B$7*'01_参数'!$B$8*MAX(0,'02_人物原始合计'!AO11/100)</x:f>
        <x:v>304.5211625244903</x:v>
      </x:c>
      <x:c r="T11" s="28" t="n">
        <x:f>S11*'01_参数'!$B$6</x:f>
        <x:v>395.8775112818374</x:v>
      </x:c>
      <x:c r="U11" s="28" t="n">
        <x:v>2000</x:v>
      </x:c>
      <x:c r="V11" s="28" t="n">
        <x:f>T11+U11</x:f>
        <x:v>2395.8775112818375</x:v>
      </x:c>
      <x:c r="W11" s="22" t="n">
        <x:v>0</x:v>
      </x:c>
      <x:c r="X11" s="22" t="n">
        <x:v>0</x:v>
      </x:c>
      <x:c r="Y11" s="22" t="str">
        <x:v>C01G01BOSS强装对照</x:v>
      </x:c>
    </x:row>
    <x:row r="12" ht="24" customHeight="1">
      <x:c r="A12" s="22" t="str">
        <x:v>P0008</x:v>
      </x:c>
      <x:c r="B12" s="22" t="n">
        <x:v>1</x:v>
      </x:c>
      <x:c r="C12" s="22" t="n">
        <x:v>1</x:v>
      </x:c>
      <x:c r="D12" s="22" t="str">
        <x:v>失乡者海岸阶段积累后</x:v>
      </x:c>
      <x:c r="E12" s="26" t="n">
        <x:v>0.24214907040909203</x:v>
      </x:c>
      <x:c r="F12" s="22" t="n">
        <x:v>1</x:v>
      </x:c>
      <x:c r="G12" s="22" t="n">
        <x:v>0</x:v>
      </x:c>
      <x:c r="H12" s="22" t="n">
        <x:v>0</x:v>
      </x:c>
      <x:c r="I12" s="22" t="n">
        <x:v>2</x:v>
      </x:c>
      <x:c r="J12" s="22" t="n">
        <x:f>'02_人物原始合计'!AG12+'02_人物原始合计'!AH12</x:f>
        <x:v>7</x:v>
      </x:c>
      <x:c r="K12" s="28" t="n">
        <x:f>'02_人物原始合计'!F12*(1+'02_人物原始合计'!Q12/100)</x:f>
        <x:v>705.5500000000001</x:v>
      </x:c>
      <x:c r="L12" s="28" t="n">
        <x:f>'02_人物原始合计'!K12*(1+'02_人物原始合计'!AV12/100)</x:f>
        <x:v>49440.51</x:v>
      </x:c>
      <x:c r="M12" s="22" t="n">
        <x:f>MAX(0,MIN(50,'02_人物原始合计'!AD12,20+MIN(30,'02_人物原始合计'!AE12)))</x:f>
        <x:v>15</x:v>
      </x:c>
      <x:c r="N12" s="22" t="n">
        <x:f>IF(M12=0,1.75,IF(M12=10,2.2,IF(M12=20,2.9,IF(M12=30,4.3,IF(M12=40,8.5,IF(M12=50,14.3,IF(M12&lt;=40,1000/('01_参数'!$B$21-'01_参数'!$B$22*M12),1000/(1000/8.5+(M12-40)/10*(1000/14.3-1000/8.5)))))))))</x:f>
        <x:v>2.495764157874204</x:v>
      </x:c>
      <x:c r="O12" s="22" t="n">
        <x:v>70</x:v>
      </x:c>
      <x:c r="P12" s="26" t="n">
        <x:f>MAX(0,MIN('01_参数'!$B$20,'02_人物原始合计'!AM12/100,'01_参数'!$B$19+'02_人物原始合计'!AN12/100))</x:f>
        <x:v>0.17</x:v>
      </x:c>
      <x:c r="Q12" s="28" t="n">
        <x:f>((('02_人物原始合计'!E12+('02_人物原始合计'!F12-'02_人物原始合计'!E12)*IF(J12&gt;=12,1,0.5+0.5*MAX(0,J12)/12))*(1+'02_人物原始合计'!Q12/100))*(1+'02_人物原始合计'!U12/100+IF(J12&gt;=15,0.15,0))*(1+'02_人物原始合计'!V12/100)*(1+'02_人物原始合计'!T12)*(1+'02_人物原始合计'!W12*'01_参数'!$B$18)*(1+MAX(0,MIN(1,'02_人物原始合计'!X12/100))*('01_参数'!$B$16+'02_人物原始合计'!Y12/100-1))*(1+MAX(0,MIN(1,'02_人物原始合计'!Z12/100))*('01_参数'!$B$17+'02_人物原始合计'!AA12/100-1))+'02_人物原始合计'!AB12)*N12*'01_参数'!$B$7*'01_参数'!$B$8</x:f>
        <x:v>11790.003590573533</x:v>
      </x:c>
      <x:c r="R12" s="28" t="n">
        <x:f>Q12*'01_参数'!$B$5</x:f>
        <x:v>23580.007181147066</x:v>
      </x:c>
      <x:c r="S12" s="28" t="n">
        <x:f>(('02_人物原始合计'!E12+('02_人物原始合计'!F12-'02_人物原始合计'!E12)*IF(J12&gt;=12,1,0.5+0.5*MAX(0,J12)/12))*(1+'02_人物原始合计'!Q12/100))*(1+'02_人物原始合计'!U12/100+IF(J12&gt;=15,0.15,0))*(1+'02_人物原始合计'!V12/100)*(1+'02_人物原始合计'!T12)*(1+'02_人物原始合计'!W12*'01_参数'!$B$18)*(1+MAX(0,MIN(1,'02_人物原始合计'!X12/100))*('01_参数'!$B$16+'02_人物原始合计'!Y12/100-1))*(1+MAX(0,MIN(1,'02_人物原始合计'!Z12/100))*('01_参数'!$B$17+'02_人物原始合计'!AA12/100-1))*N12*'01_参数'!$B$7*'01_参数'!$B$8*MAX(0,'02_人物原始合计'!AO12/100)</x:f>
        <x:v>23.060997906515592</x:v>
      </x:c>
      <x:c r="T12" s="28" t="n">
        <x:f>S12*'01_参数'!$B$6</x:f>
        <x:v>29.97929727847027</x:v>
      </x:c>
      <x:c r="U12" s="28" t="n">
        <x:v>2000</x:v>
      </x:c>
      <x:c r="V12" s="28" t="n">
        <x:f>T12+U12</x:f>
        <x:v>2029.9792972784703</x:v>
      </x:c>
      <x:c r="W12" s="22" t="n">
        <x:v>0</x:v>
      </x:c>
      <x:c r="X12" s="22" t="n">
        <x:v>1</x:v>
      </x:c>
      <x:c r="Y12" s="22" t="str">
        <x:v>主线</x:v>
      </x:c>
    </x:row>
    <x:row r="13" ht="24" customHeight="1">
      <x:c r="A13" s="22" t="str">
        <x:v>P0009</x:v>
      </x:c>
      <x:c r="B13" s="22" t="n">
        <x:v>1</x:v>
      </x:c>
      <x:c r="C13" s="22" t="n">
        <x:v>2</x:v>
      </x:c>
      <x:c r="D13" s="22" t="str">
        <x:v>C01G02入场</x:v>
      </x:c>
      <x:c r="E13" s="26" t="n">
        <x:v>0.24214907040909203</x:v>
      </x:c>
      <x:c r="F13" s="22" t="n">
        <x:v>1</x:v>
      </x:c>
      <x:c r="G13" s="22" t="n">
        <x:v>0</x:v>
      </x:c>
      <x:c r="H13" s="22" t="n">
        <x:v>0</x:v>
      </x:c>
      <x:c r="I13" s="22" t="n">
        <x:v>2</x:v>
      </x:c>
      <x:c r="J13" s="22" t="n">
        <x:f>'02_人物原始合计'!AG13+'02_人物原始合计'!AH13</x:f>
        <x:v>7</x:v>
      </x:c>
      <x:c r="K13" s="28" t="n">
        <x:f>'02_人物原始合计'!F13*(1+'02_人物原始合计'!Q13/100)</x:f>
        <x:v>705.5500000000001</x:v>
      </x:c>
      <x:c r="L13" s="28" t="n">
        <x:f>'02_人物原始合计'!K13*(1+'02_人物原始合计'!AV13/100)</x:f>
        <x:v>49440.51</x:v>
      </x:c>
      <x:c r="M13" s="22" t="n">
        <x:f>MAX(0,MIN(50,'02_人物原始合计'!AD13,20+MIN(30,'02_人物原始合计'!AE13)))</x:f>
        <x:v>15</x:v>
      </x:c>
      <x:c r="N13" s="22" t="n">
        <x:f>IF(M13=0,1.75,IF(M13=10,2.2,IF(M13=20,2.9,IF(M13=30,4.3,IF(M13=40,8.5,IF(M13=50,14.3,IF(M13&lt;=40,1000/('01_参数'!$B$21-'01_参数'!$B$22*M13),1000/(1000/8.5+(M13-40)/10*(1000/14.3-1000/8.5)))))))))</x:f>
        <x:v>2.495764157874204</x:v>
      </x:c>
      <x:c r="O13" s="22" t="n">
        <x:v>70</x:v>
      </x:c>
      <x:c r="P13" s="26" t="n">
        <x:f>MAX(0,MIN('01_参数'!$B$20,'02_人物原始合计'!AM13/100,'01_参数'!$B$19+'02_人物原始合计'!AN13/100))</x:f>
        <x:v>0.17</x:v>
      </x:c>
      <x:c r="Q13" s="28" t="n">
        <x:f>((('02_人物原始合计'!E13+('02_人物原始合计'!F13-'02_人物原始合计'!E13)*IF(J13&gt;=12,1,0.5+0.5*MAX(0,J13)/12))*(1+'02_人物原始合计'!Q13/100))*(1+'02_人物原始合计'!U13/100+IF(J13&gt;=15,0.15,0))*(1+'02_人物原始合计'!V13/100)*(1+'02_人物原始合计'!T13)*(1+'02_人物原始合计'!W13*'01_参数'!$B$18)*(1+MAX(0,MIN(1,'02_人物原始合计'!X13/100))*('01_参数'!$B$16+'02_人物原始合计'!Y13/100-1))*(1+MAX(0,MIN(1,'02_人物原始合计'!Z13/100))*('01_参数'!$B$17+'02_人物原始合计'!AA13/100-1))+'02_人物原始合计'!AB13)*N13*'01_参数'!$B$7*'01_参数'!$B$8</x:f>
        <x:v>11790.003590573533</x:v>
      </x:c>
      <x:c r="R13" s="28" t="n">
        <x:f>Q13*'01_参数'!$B$5</x:f>
        <x:v>23580.007181147066</x:v>
      </x:c>
      <x:c r="S13" s="28" t="n">
        <x:f>(('02_人物原始合计'!E13+('02_人物原始合计'!F13-'02_人物原始合计'!E13)*IF(J13&gt;=12,1,0.5+0.5*MAX(0,J13)/12))*(1+'02_人物原始合计'!Q13/100))*(1+'02_人物原始合计'!U13/100+IF(J13&gt;=15,0.15,0))*(1+'02_人物原始合计'!V13/100)*(1+'02_人物原始合计'!T13)*(1+'02_人物原始合计'!W13*'01_参数'!$B$18)*(1+MAX(0,MIN(1,'02_人物原始合计'!X13/100))*('01_参数'!$B$16+'02_人物原始合计'!Y13/100-1))*(1+MAX(0,MIN(1,'02_人物原始合计'!Z13/100))*('01_参数'!$B$17+'02_人物原始合计'!AA13/100-1))*N13*'01_参数'!$B$7*'01_参数'!$B$8*MAX(0,'02_人物原始合计'!AO13/100)</x:f>
        <x:v>23.060997906515592</x:v>
      </x:c>
      <x:c r="T13" s="28" t="n">
        <x:f>S13*'01_参数'!$B$6</x:f>
        <x:v>29.97929727847027</x:v>
      </x:c>
      <x:c r="U13" s="28" t="n">
        <x:v>2000</x:v>
      </x:c>
      <x:c r="V13" s="28" t="n">
        <x:f>T13+U13</x:f>
        <x:v>2029.9792972784703</x:v>
      </x:c>
      <x:c r="W13" s="22" t="n">
        <x:v>0</x:v>
      </x:c>
      <x:c r="X13" s="22" t="n">
        <x:v>1</x:v>
      </x:c>
      <x:c r="Y13" s="22" t="str">
        <x:v>主线</x:v>
      </x:c>
    </x:row>
    <x:row r="14" ht="24" customHeight="1">
      <x:c r="A14" s="22" t="str">
        <x:v>P0010</x:v>
      </x:c>
      <x:c r="B14" s="22" t="n">
        <x:v>1</x:v>
      </x:c>
      <x:c r="C14" s="22" t="n">
        <x:v>2</x:v>
      </x:c>
      <x:c r="D14" s="22" t="str">
        <x:v>C01G02普通专属4/6</x:v>
      </x:c>
      <x:c r="E14" s="26" t="n">
        <x:v>0.2802886171050345</x:v>
      </x:c>
      <x:c r="F14" s="22" t="n">
        <x:v>1</x:v>
      </x:c>
      <x:c r="G14" s="22" t="n">
        <x:v>0</x:v>
      </x:c>
      <x:c r="H14" s="22" t="n">
        <x:v>0</x:v>
      </x:c>
      <x:c r="I14" s="22" t="n">
        <x:v>2</x:v>
      </x:c>
      <x:c r="J14" s="22" t="n">
        <x:f>'02_人物原始合计'!AG14+'02_人物原始合计'!AH14</x:f>
        <x:v>7</x:v>
      </x:c>
      <x:c r="K14" s="28" t="n">
        <x:f>'02_人物原始合计'!F14*(1+'02_人物原始合计'!Q14/100)</x:f>
        <x:v>1035.18</x:v>
      </x:c>
      <x:c r="L14" s="28" t="n">
        <x:f>'02_人物原始合计'!K14*(1+'02_人物原始合计'!AV14/100)</x:f>
        <x:v>81033.31</x:v>
      </x:c>
      <x:c r="M14" s="22" t="n">
        <x:f>MAX(0,MIN(50,'02_人物原始合计'!AD14,20+MIN(30,'02_人物原始合计'!AE14)))</x:f>
        <x:v>15</x:v>
      </x:c>
      <x:c r="N14" s="22" t="n">
        <x:f>IF(M14=0,1.75,IF(M14=10,2.2,IF(M14=20,2.9,IF(M14=30,4.3,IF(M14=40,8.5,IF(M14=50,14.3,IF(M14&lt;=40,1000/('01_参数'!$B$21-'01_参数'!$B$22*M14),1000/(1000/8.5+(M14-40)/10*(1000/14.3-1000/8.5)))))))))</x:f>
        <x:v>2.495764157874204</x:v>
      </x:c>
      <x:c r="O14" s="22" t="n">
        <x:v>70</x:v>
      </x:c>
      <x:c r="P14" s="26" t="n">
        <x:f>MAX(0,MIN('01_参数'!$B$20,'02_人物原始合计'!AM14/100,'01_参数'!$B$19+'02_人物原始合计'!AN14/100))</x:f>
        <x:v>0.3</x:v>
      </x:c>
      <x:c r="Q14" s="28" t="n">
        <x:f>((('02_人物原始合计'!E14+('02_人物原始合计'!F14-'02_人物原始合计'!E14)*IF(J14&gt;=12,1,0.5+0.5*MAX(0,J14)/12))*(1+'02_人物原始合计'!Q14/100))*(1+'02_人物原始合计'!U14/100+IF(J14&gt;=15,0.15,0))*(1+'02_人物原始合计'!V14/100)*(1+'02_人物原始合计'!T14)*(1+'02_人物原始合计'!W14*'01_参数'!$B$18)*(1+MAX(0,MIN(1,'02_人物原始合计'!X14/100))*('01_参数'!$B$16+'02_人物原始合计'!Y14/100-1))*(1+MAX(0,MIN(1,'02_人物原始合计'!Z14/100))*('01_参数'!$B$17+'02_人物原始合计'!AA14/100-1))+'02_人物原始合计'!AB14)*N14*'01_参数'!$B$7*'01_参数'!$B$8</x:f>
        <x:v>12985.545339631579</x:v>
      </x:c>
      <x:c r="R14" s="28" t="n">
        <x:f>Q14*'01_参数'!$B$5</x:f>
        <x:v>25971.090679263158</x:v>
      </x:c>
      <x:c r="S14" s="28" t="n">
        <x:f>(('02_人物原始合计'!E14+('02_人物原始合计'!F14-'02_人物原始合计'!E14)*IF(J14&gt;=12,1,0.5+0.5*MAX(0,J14)/12))*(1+'02_人物原始合计'!Q14/100))*(1+'02_人物原始合计'!U14/100+IF(J14&gt;=15,0.15,0))*(1+'02_人物原始合计'!V14/100)*(1+'02_人物原始合计'!T14)*(1+'02_人物原始合计'!W14*'01_参数'!$B$18)*(1+MAX(0,MIN(1,'02_人物原始合计'!X14/100))*('01_参数'!$B$16+'02_人物原始合计'!Y14/100-1))*(1+MAX(0,MIN(1,'02_人物原始合计'!Z14/100))*('01_参数'!$B$17+'02_人物原始合计'!AA14/100-1))*N14*'01_参数'!$B$7*'01_参数'!$B$8*MAX(0,'02_人物原始合计'!AO14/100)</x:f>
        <x:v>35.01641539709607</x:v>
      </x:c>
      <x:c r="T14" s="28" t="n">
        <x:f>S14*'01_参数'!$B$6</x:f>
        <x:v>45.52134001622489</x:v>
      </x:c>
      <x:c r="U14" s="28" t="n">
        <x:v>2000</x:v>
      </x:c>
      <x:c r="V14" s="28" t="n">
        <x:f>T14+U14</x:f>
        <x:v>2045.521340016225</x:v>
      </x:c>
      <x:c r="W14" s="22" t="n">
        <x:v>0</x:v>
      </x:c>
      <x:c r="X14" s="22" t="n">
        <x:v>1</x:v>
      </x:c>
      <x:c r="Y14" s="22" t="str">
        <x:v>主线</x:v>
      </x:c>
    </x:row>
    <x:row r="15" ht="24" customHeight="1">
      <x:c r="A15" s="22" t="str">
        <x:v>P0011</x:v>
      </x:c>
      <x:c r="B15" s="22" t="n">
        <x:v>1</x:v>
      </x:c>
      <x:c r="C15" s="22" t="n">
        <x:v>2</x:v>
      </x:c>
      <x:c r="D15" s="22" t="str">
        <x:v>风暴执刑官·巴鲁克挑战前</x:v>
      </x:c>
      <x:c r="E15" s="26" t="n">
        <x:v>0.2802886171050345</x:v>
      </x:c>
      <x:c r="F15" s="22" t="n">
        <x:v>1</x:v>
      </x:c>
      <x:c r="G15" s="22" t="n">
        <x:v>0</x:v>
      </x:c>
      <x:c r="H15" s="22" t="n">
        <x:v>0</x:v>
      </x:c>
      <x:c r="I15" s="22" t="n">
        <x:v>3</x:v>
      </x:c>
      <x:c r="J15" s="22" t="n">
        <x:f>'02_人物原始合计'!AG15+'02_人物原始合计'!AH15</x:f>
        <x:v>7</x:v>
      </x:c>
      <x:c r="K15" s="28" t="n">
        <x:f>'02_人物原始合计'!F15*(1+'02_人物原始合计'!Q15/100)</x:f>
        <x:v>1035.18</x:v>
      </x:c>
      <x:c r="L15" s="28" t="n">
        <x:f>'02_人物原始合计'!K15*(1+'02_人物原始合计'!AV15/100)</x:f>
        <x:v>81033.31</x:v>
      </x:c>
      <x:c r="M15" s="22" t="n">
        <x:f>MAX(0,MIN(50,'02_人物原始合计'!AD15,20+MIN(30,'02_人物原始合计'!AE15)))</x:f>
        <x:v>15</x:v>
      </x:c>
      <x:c r="N15" s="22" t="n">
        <x:f>IF(M15=0,1.75,IF(M15=10,2.2,IF(M15=20,2.9,IF(M15=30,4.3,IF(M15=40,8.5,IF(M15=50,14.3,IF(M15&lt;=40,1000/('01_参数'!$B$21-'01_参数'!$B$22*M15),1000/(1000/8.5+(M15-40)/10*(1000/14.3-1000/8.5)))))))))</x:f>
        <x:v>2.495764157874204</x:v>
      </x:c>
      <x:c r="O15" s="22" t="n">
        <x:v>70</x:v>
      </x:c>
      <x:c r="P15" s="26" t="n">
        <x:f>MAX(0,MIN('01_参数'!$B$20,'02_人物原始合计'!AM15/100,'01_参数'!$B$19+'02_人物原始合计'!AN15/100))</x:f>
        <x:v>0.36</x:v>
      </x:c>
      <x:c r="Q15" s="28" t="n">
        <x:f>((('02_人物原始合计'!E15+('02_人物原始合计'!F15-'02_人物原始合计'!E15)*IF(J15&gt;=12,1,0.5+0.5*MAX(0,J15)/12))*(1+'02_人物原始合计'!Q15/100))*(1+'02_人物原始合计'!U15/100+IF(J15&gt;=15,0.15,0))*(1+'02_人物原始合计'!V15/100)*(1+'02_人物原始合计'!T15)*(1+'02_人物原始合计'!W15*'01_参数'!$B$18)*(1+MAX(0,MIN(1,'02_人物原始合计'!X15/100))*('01_参数'!$B$16+'02_人物原始合计'!Y15/100-1))*(1+MAX(0,MIN(1,'02_人物原始合计'!Z15/100))*('01_参数'!$B$17+'02_人物原始合计'!AA15/100-1))+'02_人物原始合计'!AB15)*N15*'01_参数'!$B$7*'01_参数'!$B$8</x:f>
        <x:v>12985.545339631579</x:v>
      </x:c>
      <x:c r="R15" s="28" t="n">
        <x:f>Q15*'01_参数'!$B$5</x:f>
        <x:v>25971.090679263158</x:v>
      </x:c>
      <x:c r="S15" s="28" t="n">
        <x:f>(('02_人物原始合计'!E15+('02_人物原始合计'!F15-'02_人物原始合计'!E15)*IF(J15&gt;=12,1,0.5+0.5*MAX(0,J15)/12))*(1+'02_人物原始合计'!Q15/100))*(1+'02_人物原始合计'!U15/100+IF(J15&gt;=15,0.15,0))*(1+'02_人物原始合计'!V15/100)*(1+'02_人物原始合计'!T15)*(1+'02_人物原始合计'!W15*'01_参数'!$B$18)*(1+MAX(0,MIN(1,'02_人物原始合计'!X15/100))*('01_参数'!$B$16+'02_人物原始合计'!Y15/100-1))*(1+MAX(0,MIN(1,'02_人物原始合计'!Z15/100))*('01_参数'!$B$17+'02_人物原始合计'!AA15/100-1))*N15*'01_参数'!$B$7*'01_参数'!$B$8*MAX(0,'02_人物原始合计'!AO15/100)</x:f>
        <x:v>35.01641539709607</x:v>
      </x:c>
      <x:c r="T15" s="28" t="n">
        <x:f>S15*'01_参数'!$B$6</x:f>
        <x:v>45.52134001622489</x:v>
      </x:c>
      <x:c r="U15" s="28" t="n">
        <x:v>2000</x:v>
      </x:c>
      <x:c r="V15" s="28" t="n">
        <x:f>T15+U15</x:f>
        <x:v>2045.521340016225</x:v>
      </x:c>
      <x:c r="W15" s="22" t="n">
        <x:v>0</x:v>
      </x:c>
      <x:c r="X15" s="22" t="n">
        <x:v>1</x:v>
      </x:c>
      <x:c r="Y15" s="22" t="str">
        <x:v>主线</x:v>
      </x:c>
    </x:row>
    <x:row r="16" ht="24" customHeight="1">
      <x:c r="A16" s="22" t="str">
        <x:v>P0012</x:v>
      </x:c>
      <x:c r="B16" s="22" t="n">
        <x:v>1</x:v>
      </x:c>
      <x:c r="C16" s="22" t="n">
        <x:v>2</x:v>
      </x:c>
      <x:c r="D16" s="22" t="str">
        <x:v>断崖古龙·赛尔挑战前</x:v>
      </x:c>
      <x:c r="E16" s="26" t="n">
        <x:v>0.2802886171050345</x:v>
      </x:c>
      <x:c r="F16" s="22" t="n">
        <x:v>1</x:v>
      </x:c>
      <x:c r="G16" s="22" t="n">
        <x:v>0</x:v>
      </x:c>
      <x:c r="H16" s="22" t="n">
        <x:v>0</x:v>
      </x:c>
      <x:c r="I16" s="22" t="n">
        <x:v>3</x:v>
      </x:c>
      <x:c r="J16" s="22" t="n">
        <x:f>'02_人物原始合计'!AG16+'02_人物原始合计'!AH16</x:f>
        <x:v>7</x:v>
      </x:c>
      <x:c r="K16" s="28" t="n">
        <x:f>'02_人物原始合计'!F16*(1+'02_人物原始合计'!Q16/100)</x:f>
        <x:v>1035.18</x:v>
      </x:c>
      <x:c r="L16" s="28" t="n">
        <x:f>'02_人物原始合计'!K16*(1+'02_人物原始合计'!AV16/100)</x:f>
        <x:v>81033.31</x:v>
      </x:c>
      <x:c r="M16" s="22" t="n">
        <x:f>MAX(0,MIN(50,'02_人物原始合计'!AD16,20+MIN(30,'02_人物原始合计'!AE16)))</x:f>
        <x:v>15</x:v>
      </x:c>
      <x:c r="N16" s="22" t="n">
        <x:f>IF(M16=0,1.75,IF(M16=10,2.2,IF(M16=20,2.9,IF(M16=30,4.3,IF(M16=40,8.5,IF(M16=50,14.3,IF(M16&lt;=40,1000/('01_参数'!$B$21-'01_参数'!$B$22*M16),1000/(1000/8.5+(M16-40)/10*(1000/14.3-1000/8.5)))))))))</x:f>
        <x:v>2.495764157874204</x:v>
      </x:c>
      <x:c r="O16" s="22" t="n">
        <x:v>70</x:v>
      </x:c>
      <x:c r="P16" s="26" t="n">
        <x:f>MAX(0,MIN('01_参数'!$B$20,'02_人物原始合计'!AM16/100,'01_参数'!$B$19+'02_人物原始合计'!AN16/100))</x:f>
        <x:v>0.36</x:v>
      </x:c>
      <x:c r="Q16" s="28" t="n">
        <x:f>((('02_人物原始合计'!E16+('02_人物原始合计'!F16-'02_人物原始合计'!E16)*IF(J16&gt;=12,1,0.5+0.5*MAX(0,J16)/12))*(1+'02_人物原始合计'!Q16/100))*(1+'02_人物原始合计'!U16/100+IF(J16&gt;=15,0.15,0))*(1+'02_人物原始合计'!V16/100)*(1+'02_人物原始合计'!T16)*(1+'02_人物原始合计'!W16*'01_参数'!$B$18)*(1+MAX(0,MIN(1,'02_人物原始合计'!X16/100))*('01_参数'!$B$16+'02_人物原始合计'!Y16/100-1))*(1+MAX(0,MIN(1,'02_人物原始合计'!Z16/100))*('01_参数'!$B$17+'02_人物原始合计'!AA16/100-1))+'02_人物原始合计'!AB16)*N16*'01_参数'!$B$7*'01_参数'!$B$8</x:f>
        <x:v>12985.545339631579</x:v>
      </x:c>
      <x:c r="R16" s="28" t="n">
        <x:f>Q16*'01_参数'!$B$5</x:f>
        <x:v>25971.090679263158</x:v>
      </x:c>
      <x:c r="S16" s="28" t="n">
        <x:f>(('02_人物原始合计'!E16+('02_人物原始合计'!F16-'02_人物原始合计'!E16)*IF(J16&gt;=12,1,0.5+0.5*MAX(0,J16)/12))*(1+'02_人物原始合计'!Q16/100))*(1+'02_人物原始合计'!U16/100+IF(J16&gt;=15,0.15,0))*(1+'02_人物原始合计'!V16/100)*(1+'02_人物原始合计'!T16)*(1+'02_人物原始合计'!W16*'01_参数'!$B$18)*(1+MAX(0,MIN(1,'02_人物原始合计'!X16/100))*('01_参数'!$B$16+'02_人物原始合计'!Y16/100-1))*(1+MAX(0,MIN(1,'02_人物原始合计'!Z16/100))*('01_参数'!$B$17+'02_人物原始合计'!AA16/100-1))*N16*'01_参数'!$B$7*'01_参数'!$B$8*MAX(0,'02_人物原始合计'!AO16/100)</x:f>
        <x:v>35.01641539709607</x:v>
      </x:c>
      <x:c r="T16" s="28" t="n">
        <x:f>S16*'01_参数'!$B$6</x:f>
        <x:v>45.52134001622489</x:v>
      </x:c>
      <x:c r="U16" s="28" t="n">
        <x:v>2000</x:v>
      </x:c>
      <x:c r="V16" s="28" t="n">
        <x:f>T16+U16</x:f>
        <x:v>2045.521340016225</x:v>
      </x:c>
      <x:c r="W16" s="22" t="n">
        <x:v>0</x:v>
      </x:c>
      <x:c r="X16" s="22" t="n">
        <x:v>1</x:v>
      </x:c>
      <x:c r="Y16" s="22" t="str">
        <x:v>主线</x:v>
      </x:c>
    </x:row>
    <x:row r="17" ht="24" customHeight="1">
      <x:c r="A17" s="22" t="str">
        <x:v>P0013</x:v>
      </x:c>
      <x:c r="B17" s="22" t="n">
        <x:v>1</x:v>
      </x:c>
      <x:c r="C17" s="22" t="n">
        <x:v>2</x:v>
      </x:c>
      <x:c r="D17" s="22" t="str">
        <x:v>风暴断崖BOSS装备快线</x:v>
      </x:c>
      <x:c r="E17" s="26" t="n">
        <x:v>0.29448189815162595</x:v>
      </x:c>
      <x:c r="F17" s="22" t="n">
        <x:v>1</x:v>
      </x:c>
      <x:c r="G17" s="22" t="n">
        <x:v>0</x:v>
      </x:c>
      <x:c r="H17" s="22" t="n">
        <x:v>0</x:v>
      </x:c>
      <x:c r="I17" s="22" t="n">
        <x:v>3</x:v>
      </x:c>
      <x:c r="J17" s="22" t="n">
        <x:f>'02_人物原始合计'!AG17+'02_人物原始合计'!AH17</x:f>
        <x:v>7</x:v>
      </x:c>
      <x:c r="K17" s="28" t="n">
        <x:f>'02_人物原始合计'!F17*(1+'02_人物原始合计'!Q17/100)</x:f>
        <x:v>2313.6299999999997</x:v>
      </x:c>
      <x:c r="L17" s="28" t="n">
        <x:f>'02_人物原始合计'!K17*(1+'02_人物原始合计'!AV17/100)</x:f>
        <x:v>167065.2</x:v>
      </x:c>
      <x:c r="M17" s="22" t="n">
        <x:f>MAX(0,MIN(50,'02_人物原始合计'!AD17,20+MIN(30,'02_人物原始合计'!AE17)))</x:f>
        <x:v>18</x:v>
      </x:c>
      <x:c r="N17" s="22" t="n">
        <x:f>IF(M17=0,1.75,IF(M17=10,2.2,IF(M17=20,2.9,IF(M17=30,4.3,IF(M17=40,8.5,IF(M17=50,14.3,IF(M17&lt;=40,1000/('01_参数'!$B$21-'01_参数'!$B$22*M17),1000/(1000/8.5+(M17-40)/10*(1000/14.3-1000/8.5)))))))))</x:f>
        <x:v>2.7263380196321196</x:v>
      </x:c>
      <x:c r="O17" s="22" t="n">
        <x:v>78</x:v>
      </x:c>
      <x:c r="P17" s="26" t="n">
        <x:f>MAX(0,MIN('01_参数'!$B$20,'02_人物原始合计'!AM17/100,'01_参数'!$B$19+'02_人物原始合计'!AN17/100))</x:f>
        <x:v>0.46</x:v>
      </x:c>
      <x:c r="Q17" s="28" t="n">
        <x:f>((('02_人物原始合计'!E17+('02_人物原始合计'!F17-'02_人物原始合计'!E17)*IF(J17&gt;=12,1,0.5+0.5*MAX(0,J17)/12))*(1+'02_人物原始合计'!Q17/100))*(1+'02_人物原始合计'!U17/100+IF(J17&gt;=15,0.15,0))*(1+'02_人物原始合计'!V17/100)*(1+'02_人物原始合计'!T17)*(1+'02_人物原始合计'!W17*'01_参数'!$B$18)*(1+MAX(0,MIN(1,'02_人物原始合计'!X17/100))*('01_参数'!$B$16+'02_人物原始合计'!Y17/100-1))*(1+MAX(0,MIN(1,'02_人物原始合计'!Z17/100))*('01_参数'!$B$17+'02_人物原始合计'!AA17/100-1))+'02_人物原始合计'!AB17)*N17*'01_参数'!$B$7*'01_参数'!$B$8</x:f>
        <x:v>21807.0417665048</x:v>
      </x:c>
      <x:c r="R17" s="28" t="n">
        <x:f>Q17*'01_参数'!$B$5</x:f>
        <x:v>43614.0835330096</x:v>
      </x:c>
      <x:c r="S17" s="28" t="n">
        <x:f>(('02_人物原始合计'!E17+('02_人物原始合计'!F17-'02_人物原始合计'!E17)*IF(J17&gt;=12,1,0.5+0.5*MAX(0,J17)/12))*(1+'02_人物原始合计'!Q17/100))*(1+'02_人物原始合计'!U17/100+IF(J17&gt;=15,0.15,0))*(1+'02_人物原始合计'!V17/100)*(1+'02_人物原始合计'!T17)*(1+'02_人物原始合计'!W17*'01_参数'!$B$18)*(1+MAX(0,MIN(1,'02_人物原始合计'!X17/100))*('01_参数'!$B$16+'02_人物原始合计'!Y17/100-1))*(1+MAX(0,MIN(1,'02_人物原始合计'!Z17/100))*('01_参数'!$B$17+'02_人物原始合计'!AA17/100-1))*N17*'01_参数'!$B$7*'01_参数'!$B$8*MAX(0,'02_人物原始合计'!AO17/100)</x:f>
        <x:v>572.3478645951373</x:v>
      </x:c>
      <x:c r="T17" s="28" t="n">
        <x:f>S17*'01_参数'!$B$6</x:f>
        <x:v>744.0522239736785</x:v>
      </x:c>
      <x:c r="U17" s="28" t="n">
        <x:v>2000</x:v>
      </x:c>
      <x:c r="V17" s="28" t="n">
        <x:f>T17+U17</x:f>
        <x:v>2744.0522239736783</x:v>
      </x:c>
      <x:c r="W17" s="22" t="n">
        <x:v>0</x:v>
      </x:c>
      <x:c r="X17" s="22" t="n">
        <x:v>1</x:v>
      </x:c>
      <x:c r="Y17" s="22" t="str">
        <x:v>C01G02BOSS强装对照</x:v>
      </x:c>
    </x:row>
    <x:row r="18" ht="24" customHeight="1">
      <x:c r="A18" s="22" t="str">
        <x:v>P0014</x:v>
      </x:c>
      <x:c r="B18" s="22" t="n">
        <x:v>1</x:v>
      </x:c>
      <x:c r="C18" s="22" t="n">
        <x:v>2</x:v>
      </x:c>
      <x:c r="D18" s="22" t="str">
        <x:v>风暴断崖阶段积累后</x:v>
      </x:c>
      <x:c r="E18" s="26" t="n">
        <x:v>0.29870966973661345</x:v>
      </x:c>
      <x:c r="F18" s="22" t="n">
        <x:v>1</x:v>
      </x:c>
      <x:c r="G18" s="22" t="n">
        <x:v>0</x:v>
      </x:c>
      <x:c r="H18" s="22" t="n">
        <x:v>0</x:v>
      </x:c>
      <x:c r="I18" s="22" t="n">
        <x:v>3</x:v>
      </x:c>
      <x:c r="J18" s="22" t="n">
        <x:f>'02_人物原始合计'!AG18+'02_人物原始合计'!AH18</x:f>
        <x:v>7</x:v>
      </x:c>
      <x:c r="K18" s="28" t="n">
        <x:f>'02_人物原始合计'!F18*(1+'02_人物原始合计'!Q18/100)</x:f>
        <x:v>1140.48</x:v>
      </x:c>
      <x:c r="L18" s="28" t="n">
        <x:f>'02_人物原始合计'!K18*(1+'02_人物原始合计'!AV18/100)</x:f>
        <x:v>84568.31</x:v>
      </x:c>
      <x:c r="M18" s="22" t="n">
        <x:f>MAX(0,MIN(50,'02_人物原始合计'!AD18,20+MIN(30,'02_人物原始合计'!AE18)))</x:f>
        <x:v>15</x:v>
      </x:c>
      <x:c r="N18" s="22" t="n">
        <x:f>IF(M18=0,1.75,IF(M18=10,2.2,IF(M18=20,2.9,IF(M18=30,4.3,IF(M18=40,8.5,IF(M18=50,14.3,IF(M18&lt;=40,1000/('01_参数'!$B$21-'01_参数'!$B$22*M18),1000/(1000/8.5+(M18-40)/10*(1000/14.3-1000/8.5)))))))))</x:f>
        <x:v>2.495764157874204</x:v>
      </x:c>
      <x:c r="O18" s="22" t="n">
        <x:v>90</x:v>
      </x:c>
      <x:c r="P18" s="26" t="n">
        <x:f>MAX(0,MIN('01_参数'!$B$20,'02_人物原始合计'!AM18/100,'01_参数'!$B$19+'02_人物原始合计'!AN18/100))</x:f>
        <x:v>0.36</x:v>
      </x:c>
      <x:c r="Q18" s="28" t="n">
        <x:f>((('02_人物原始合计'!E18+('02_人物原始合计'!F18-'02_人物原始合计'!E18)*IF(J18&gt;=12,1,0.5+0.5*MAX(0,J18)/12))*(1+'02_人物原始合计'!Q18/100))*(1+'02_人物原始合计'!U18/100+IF(J18&gt;=15,0.15,0))*(1+'02_人物原始合计'!V18/100)*(1+'02_人物原始合计'!T18)*(1+'02_人物原始合计'!W18*'01_参数'!$B$18)*(1+MAX(0,MIN(1,'02_人物原始合计'!X18/100))*('01_参数'!$B$16+'02_人物原始合计'!Y18/100-1))*(1+MAX(0,MIN(1,'02_人物原始合计'!Z18/100))*('01_参数'!$B$17+'02_人物原始合计'!AA18/100-1))+'02_人物原始合计'!AB18)*N18*'01_参数'!$B$7*'01_参数'!$B$8</x:f>
        <x:v>13356.870253094092</x:v>
      </x:c>
      <x:c r="R18" s="28" t="n">
        <x:f>Q18*'01_参数'!$B$5</x:f>
        <x:v>26713.740506188184</x:v>
      </x:c>
      <x:c r="S18" s="28" t="n">
        <x:f>(('02_人物原始合计'!E18+('02_人物原始合计'!F18-'02_人物原始合计'!E18)*IF(J18&gt;=12,1,0.5+0.5*MAX(0,J18)/12))*(1+'02_人物原始合计'!Q18/100))*(1+'02_人物原始合计'!U18/100+IF(J18&gt;=15,0.15,0))*(1+'02_人物原始合计'!V18/100)*(1+'02_人物原始合计'!T18)*(1+'02_人物原始合计'!W18*'01_参数'!$B$18)*(1+MAX(0,MIN(1,'02_人物原始合计'!X18/100))*('01_参数'!$B$16+'02_人物原始合计'!Y18/100-1))*(1+MAX(0,MIN(1,'02_人物原始合计'!Z18/100))*('01_参数'!$B$17+'02_人物原始合计'!AA18/100-1))*N18*'01_参数'!$B$7*'01_参数'!$B$8*MAX(0,'02_人物原始合计'!AO18/100)</x:f>
        <x:v>38.72966453172118</x:v>
      </x:c>
      <x:c r="T18" s="28" t="n">
        <x:f>S18*'01_参数'!$B$6</x:f>
        <x:v>50.34856389123753</x:v>
      </x:c>
      <x:c r="U18" s="28" t="n">
        <x:v>2000</x:v>
      </x:c>
      <x:c r="V18" s="28" t="n">
        <x:f>T18+U18</x:f>
        <x:v>2050.3485638912375</x:v>
      </x:c>
      <x:c r="W18" s="22" t="n">
        <x:v>0</x:v>
      </x:c>
      <x:c r="X18" s="22" t="n">
        <x:v>3</x:v>
      </x:c>
      <x:c r="Y18" s="22" t="str">
        <x:v>主线</x:v>
      </x:c>
    </x:row>
    <x:row r="19" ht="24" customHeight="1">
      <x:c r="A19" s="22" t="str">
        <x:v>P0015</x:v>
      </x:c>
      <x:c r="B19" s="22" t="n">
        <x:v>1</x:v>
      </x:c>
      <x:c r="C19" s="22" t="n">
        <x:v>3</x:v>
      </x:c>
      <x:c r="D19" s="22" t="str">
        <x:v>C01G03入场</x:v>
      </x:c>
      <x:c r="E19" s="26" t="n">
        <x:v>0.29870966973661345</x:v>
      </x:c>
      <x:c r="F19" s="22" t="n">
        <x:v>1</x:v>
      </x:c>
      <x:c r="G19" s="22" t="n">
        <x:v>0</x:v>
      </x:c>
      <x:c r="H19" s="22" t="n">
        <x:v>0</x:v>
      </x:c>
      <x:c r="I19" s="22" t="n">
        <x:v>3</x:v>
      </x:c>
      <x:c r="J19" s="22" t="n">
        <x:f>'02_人物原始合计'!AG19+'02_人物原始合计'!AH19</x:f>
        <x:v>7</x:v>
      </x:c>
      <x:c r="K19" s="28" t="n">
        <x:f>'02_人物原始合计'!F19*(1+'02_人物原始合计'!Q19/100)</x:f>
        <x:v>1140.48</x:v>
      </x:c>
      <x:c r="L19" s="28" t="n">
        <x:f>'02_人物原始合计'!K19*(1+'02_人物原始合计'!AV19/100)</x:f>
        <x:v>84568.31</x:v>
      </x:c>
      <x:c r="M19" s="22" t="n">
        <x:f>MAX(0,MIN(50,'02_人物原始合计'!AD19,20+MIN(30,'02_人物原始合计'!AE19)))</x:f>
        <x:v>15</x:v>
      </x:c>
      <x:c r="N19" s="22" t="n">
        <x:f>IF(M19=0,1.75,IF(M19=10,2.2,IF(M19=20,2.9,IF(M19=30,4.3,IF(M19=40,8.5,IF(M19=50,14.3,IF(M19&lt;=40,1000/('01_参数'!$B$21-'01_参数'!$B$22*M19),1000/(1000/8.5+(M19-40)/10*(1000/14.3-1000/8.5)))))))))</x:f>
        <x:v>2.495764157874204</x:v>
      </x:c>
      <x:c r="O19" s="22" t="n">
        <x:v>90</x:v>
      </x:c>
      <x:c r="P19" s="26" t="n">
        <x:f>MAX(0,MIN('01_参数'!$B$20,'02_人物原始合计'!AM19/100,'01_参数'!$B$19+'02_人物原始合计'!AN19/100))</x:f>
        <x:v>0.36</x:v>
      </x:c>
      <x:c r="Q19" s="28" t="n">
        <x:f>((('02_人物原始合计'!E19+('02_人物原始合计'!F19-'02_人物原始合计'!E19)*IF(J19&gt;=12,1,0.5+0.5*MAX(0,J19)/12))*(1+'02_人物原始合计'!Q19/100))*(1+'02_人物原始合计'!U19/100+IF(J19&gt;=15,0.15,0))*(1+'02_人物原始合计'!V19/100)*(1+'02_人物原始合计'!T19)*(1+'02_人物原始合计'!W19*'01_参数'!$B$18)*(1+MAX(0,MIN(1,'02_人物原始合计'!X19/100))*('01_参数'!$B$16+'02_人物原始合计'!Y19/100-1))*(1+MAX(0,MIN(1,'02_人物原始合计'!Z19/100))*('01_参数'!$B$17+'02_人物原始合计'!AA19/100-1))+'02_人物原始合计'!AB19)*N19*'01_参数'!$B$7*'01_参数'!$B$8</x:f>
        <x:v>13356.870253094092</x:v>
      </x:c>
      <x:c r="R19" s="28" t="n">
        <x:f>Q19*'01_参数'!$B$5</x:f>
        <x:v>26713.740506188184</x:v>
      </x:c>
      <x:c r="S19" s="28" t="n">
        <x:f>(('02_人物原始合计'!E19+('02_人物原始合计'!F19-'02_人物原始合计'!E19)*IF(J19&gt;=12,1,0.5+0.5*MAX(0,J19)/12))*(1+'02_人物原始合计'!Q19/100))*(1+'02_人物原始合计'!U19/100+IF(J19&gt;=15,0.15,0))*(1+'02_人物原始合计'!V19/100)*(1+'02_人物原始合计'!T19)*(1+'02_人物原始合计'!W19*'01_参数'!$B$18)*(1+MAX(0,MIN(1,'02_人物原始合计'!X19/100))*('01_参数'!$B$16+'02_人物原始合计'!Y19/100-1))*(1+MAX(0,MIN(1,'02_人物原始合计'!Z19/100))*('01_参数'!$B$17+'02_人物原始合计'!AA19/100-1))*N19*'01_参数'!$B$7*'01_参数'!$B$8*MAX(0,'02_人物原始合计'!AO19/100)</x:f>
        <x:v>38.72966453172118</x:v>
      </x:c>
      <x:c r="T19" s="28" t="n">
        <x:f>S19*'01_参数'!$B$6</x:f>
        <x:v>50.34856389123753</x:v>
      </x:c>
      <x:c r="U19" s="28" t="n">
        <x:v>2000</x:v>
      </x:c>
      <x:c r="V19" s="28" t="n">
        <x:f>T19+U19</x:f>
        <x:v>2050.3485638912375</x:v>
      </x:c>
      <x:c r="W19" s="22" t="n">
        <x:v>0</x:v>
      </x:c>
      <x:c r="X19" s="22" t="n">
        <x:v>3</x:v>
      </x:c>
      <x:c r="Y19" s="22" t="str">
        <x:v>主线</x:v>
      </x:c>
    </x:row>
    <x:row r="20" ht="24" customHeight="1">
      <x:c r="A20" s="22" t="str">
        <x:v>P0016</x:v>
      </x:c>
      <x:c r="B20" s="22" t="n">
        <x:v>1</x:v>
      </x:c>
      <x:c r="C20" s="22" t="n">
        <x:v>3</x:v>
      </x:c>
      <x:c r="D20" s="22" t="str">
        <x:v>C01G03普通专属4/6</x:v>
      </x:c>
      <x:c r="E20" s="26" t="n">
        <x:v>0.323964037083243</x:v>
      </x:c>
      <x:c r="F20" s="22" t="n">
        <x:v>1</x:v>
      </x:c>
      <x:c r="G20" s="22" t="n">
        <x:v>0</x:v>
      </x:c>
      <x:c r="H20" s="22" t="n">
        <x:v>0</x:v>
      </x:c>
      <x:c r="I20" s="22" t="n">
        <x:v>3</x:v>
      </x:c>
      <x:c r="J20" s="22" t="n">
        <x:f>'02_人物原始合计'!AG20+'02_人物原始合计'!AH20</x:f>
        <x:v>7</x:v>
      </x:c>
      <x:c r="K20" s="28" t="n">
        <x:f>'02_人物原始合计'!F20*(1+'02_人物原始合计'!Q20/100)</x:f>
        <x:v>1552.4599999999998</x:v>
      </x:c>
      <x:c r="L20" s="28" t="n">
        <x:f>'02_人物原始合计'!K20*(1+'02_人物原始合计'!AV20/100)</x:f>
        <x:v>132482.71</x:v>
      </x:c>
      <x:c r="M20" s="22" t="n">
        <x:f>MAX(0,MIN(50,'02_人物原始合计'!AD20,20+MIN(30,'02_人物原始合计'!AE20)))</x:f>
        <x:v>15</x:v>
      </x:c>
      <x:c r="N20" s="22" t="n">
        <x:f>IF(M20=0,1.75,IF(M20=10,2.2,IF(M20=20,2.9,IF(M20=30,4.3,IF(M20=40,8.5,IF(M20=50,14.3,IF(M20&lt;=40,1000/('01_参数'!$B$21-'01_参数'!$B$22*M20),1000/(1000/8.5+(M20-40)/10*(1000/14.3-1000/8.5)))))))))</x:f>
        <x:v>2.495764157874204</x:v>
      </x:c>
      <x:c r="O20" s="22" t="n">
        <x:v>90</x:v>
      </x:c>
      <x:c r="P20" s="26" t="n">
        <x:f>MAX(0,MIN('01_参数'!$B$20,'02_人物原始合计'!AM20/100,'01_参数'!$B$19+'02_人物原始合计'!AN20/100))</x:f>
        <x:v>0.42</x:v>
      </x:c>
      <x:c r="Q20" s="28" t="n">
        <x:f>((('02_人物原始合计'!E20+('02_人物原始合计'!F20-'02_人物原始合计'!E20)*IF(J20&gt;=12,1,0.5+0.5*MAX(0,J20)/12))*(1+'02_人物原始合计'!Q20/100))*(1+'02_人物原始合计'!U20/100+IF(J20&gt;=15,0.15,0))*(1+'02_人物原始合计'!V20/100)*(1+'02_人物原始合计'!T20)*(1+'02_人物原始合计'!W20*'01_参数'!$B$18)*(1+MAX(0,MIN(1,'02_人物原始合计'!X20/100))*('01_参数'!$B$16+'02_人物原始合计'!Y20/100-1))*(1+MAX(0,MIN(1,'02_人物原始合计'!Z20/100))*('01_参数'!$B$17+'02_人物原始合计'!AA20/100-1))+'02_人物原始合计'!AB20)*N20*'01_参数'!$B$7*'01_参数'!$B$8</x:f>
        <x:v>15201.531330396352</x:v>
      </x:c>
      <x:c r="R20" s="28" t="n">
        <x:f>Q20*'01_参数'!$B$5</x:f>
        <x:v>30403.062660792704</x:v>
      </x:c>
      <x:c r="S20" s="28" t="n">
        <x:f>(('02_人物原始合计'!E20+('02_人物原始合计'!F20-'02_人物原始合计'!E20)*IF(J20&gt;=12,1,0.5+0.5*MAX(0,J20)/12))*(1+'02_人物原始合计'!Q20/100))*(1+'02_人物原始合计'!U20/100+IF(J20&gt;=15,0.15,0))*(1+'02_人物原始合计'!V20/100)*(1+'02_人物原始合计'!T20)*(1+'02_人物原始合计'!W20*'01_参数'!$B$18)*(1+MAX(0,MIN(1,'02_人物原始合计'!X20/100))*('01_参数'!$B$16+'02_人物原始合计'!Y20/100-1))*(1+MAX(0,MIN(1,'02_人物原始合计'!Z20/100))*('01_参数'!$B$17+'02_人物原始合计'!AA20/100-1))*N20*'01_参数'!$B$7*'01_参数'!$B$8*MAX(0,'02_人物原始合计'!AO20/100)</x:f>
        <x:v>57.17627530474376</x:v>
      </x:c>
      <x:c r="T20" s="28" t="n">
        <x:f>S20*'01_参数'!$B$6</x:f>
        <x:v>74.32915789616689</x:v>
      </x:c>
      <x:c r="U20" s="28" t="n">
        <x:v>2000</x:v>
      </x:c>
      <x:c r="V20" s="28" t="n">
        <x:f>T20+U20</x:f>
        <x:v>2074.329157896167</x:v>
      </x:c>
      <x:c r="W20" s="22" t="n">
        <x:v>0</x:v>
      </x:c>
      <x:c r="X20" s="22" t="n">
        <x:v>3</x:v>
      </x:c>
      <x:c r="Y20" s="22" t="str">
        <x:v>主线</x:v>
      </x:c>
    </x:row>
    <x:row r="21" ht="24" customHeight="1">
      <x:c r="A21" s="22" t="str">
        <x:v>P0017</x:v>
      </x:c>
      <x:c r="B21" s="22" t="n">
        <x:v>1</x:v>
      </x:c>
      <x:c r="C21" s="22" t="n">
        <x:v>3</x:v>
      </x:c>
      <x:c r="D21" s="22" t="str">
        <x:v>溺王亲卫长·萨恩挑战前</x:v>
      </x:c>
      <x:c r="E21" s="26" t="n">
        <x:v>0.323964037083243</x:v>
      </x:c>
      <x:c r="F21" s="22" t="n">
        <x:v>1</x:v>
      </x:c>
      <x:c r="G21" s="22" t="n">
        <x:v>0</x:v>
      </x:c>
      <x:c r="H21" s="22" t="n">
        <x:v>0</x:v>
      </x:c>
      <x:c r="I21" s="22" t="n">
        <x:v>3</x:v>
      </x:c>
      <x:c r="J21" s="22" t="n">
        <x:f>'02_人物原始合计'!AG21+'02_人物原始合计'!AH21</x:f>
        <x:v>7</x:v>
      </x:c>
      <x:c r="K21" s="28" t="n">
        <x:f>'02_人物原始合计'!F21*(1+'02_人物原始合计'!Q21/100)</x:f>
        <x:v>1552.4599999999998</x:v>
      </x:c>
      <x:c r="L21" s="28" t="n">
        <x:f>'02_人物原始合计'!K21*(1+'02_人物原始合计'!AV21/100)</x:f>
        <x:v>132482.71</x:v>
      </x:c>
      <x:c r="M21" s="22" t="n">
        <x:f>MAX(0,MIN(50,'02_人物原始合计'!AD21,20+MIN(30,'02_人物原始合计'!AE21)))</x:f>
        <x:v>15</x:v>
      </x:c>
      <x:c r="N21" s="22" t="n">
        <x:f>IF(M21=0,1.75,IF(M21=10,2.2,IF(M21=20,2.9,IF(M21=30,4.3,IF(M21=40,8.5,IF(M21=50,14.3,IF(M21&lt;=40,1000/('01_参数'!$B$21-'01_参数'!$B$22*M21),1000/(1000/8.5+(M21-40)/10*(1000/14.3-1000/8.5)))))))))</x:f>
        <x:v>2.495764157874204</x:v>
      </x:c>
      <x:c r="O21" s="22" t="n">
        <x:v>90</x:v>
      </x:c>
      <x:c r="P21" s="26" t="n">
        <x:f>MAX(0,MIN('01_参数'!$B$20,'02_人物原始合计'!AM21/100,'01_参数'!$B$19+'02_人物原始合计'!AN21/100))</x:f>
        <x:v>0.42</x:v>
      </x:c>
      <x:c r="Q21" s="28" t="n">
        <x:f>((('02_人物原始合计'!E21+('02_人物原始合计'!F21-'02_人物原始合计'!E21)*IF(J21&gt;=12,1,0.5+0.5*MAX(0,J21)/12))*(1+'02_人物原始合计'!Q21/100))*(1+'02_人物原始合计'!U21/100+IF(J21&gt;=15,0.15,0))*(1+'02_人物原始合计'!V21/100)*(1+'02_人物原始合计'!T21)*(1+'02_人物原始合计'!W21*'01_参数'!$B$18)*(1+MAX(0,MIN(1,'02_人物原始合计'!X21/100))*('01_参数'!$B$16+'02_人物原始合计'!Y21/100-1))*(1+MAX(0,MIN(1,'02_人物原始合计'!Z21/100))*('01_参数'!$B$17+'02_人物原始合计'!AA21/100-1))+'02_人物原始合计'!AB21)*N21*'01_参数'!$B$7*'01_参数'!$B$8</x:f>
        <x:v>15201.531330396352</x:v>
      </x:c>
      <x:c r="R21" s="28" t="n">
        <x:f>Q21*'01_参数'!$B$5</x:f>
        <x:v>30403.062660792704</x:v>
      </x:c>
      <x:c r="S21" s="28" t="n">
        <x:f>(('02_人物原始合计'!E21+('02_人物原始合计'!F21-'02_人物原始合计'!E21)*IF(J21&gt;=12,1,0.5+0.5*MAX(0,J21)/12))*(1+'02_人物原始合计'!Q21/100))*(1+'02_人物原始合计'!U21/100+IF(J21&gt;=15,0.15,0))*(1+'02_人物原始合计'!V21/100)*(1+'02_人物原始合计'!T21)*(1+'02_人物原始合计'!W21*'01_参数'!$B$18)*(1+MAX(0,MIN(1,'02_人物原始合计'!X21/100))*('01_参数'!$B$16+'02_人物原始合计'!Y21/100-1))*(1+MAX(0,MIN(1,'02_人物原始合计'!Z21/100))*('01_参数'!$B$17+'02_人物原始合计'!AA21/100-1))*N21*'01_参数'!$B$7*'01_参数'!$B$8*MAX(0,'02_人物原始合计'!AO21/100)</x:f>
        <x:v>57.17627530474376</x:v>
      </x:c>
      <x:c r="T21" s="28" t="n">
        <x:f>S21*'01_参数'!$B$6</x:f>
        <x:v>74.32915789616689</x:v>
      </x:c>
      <x:c r="U21" s="28" t="n">
        <x:v>2000</x:v>
      </x:c>
      <x:c r="V21" s="28" t="n">
        <x:f>T21+U21</x:f>
        <x:v>2074.329157896167</x:v>
      </x:c>
      <x:c r="W21" s="22" t="n">
        <x:v>0</x:v>
      </x:c>
      <x:c r="X21" s="22" t="n">
        <x:v>3</x:v>
      </x:c>
      <x:c r="Y21" s="22" t="str">
        <x:v>主线</x:v>
      </x:c>
    </x:row>
    <x:row r="22" ht="24" customHeight="1">
      <x:c r="A22" s="22" t="str">
        <x:v>P0018</x:v>
      </x:c>
      <x:c r="B22" s="22" t="n">
        <x:v>1</x:v>
      </x:c>
      <x:c r="C22" s="22" t="n">
        <x:v>3</x:v>
      </x:c>
      <x:c r="D22" s="22" t="str">
        <x:v>深潮大祭司·伊莱娜挑战前</x:v>
      </x:c>
      <x:c r="E22" s="26" t="n">
        <x:v>0.323964037083243</x:v>
      </x:c>
      <x:c r="F22" s="22" t="n">
        <x:v>1</x:v>
      </x:c>
      <x:c r="G22" s="22" t="n">
        <x:v>0</x:v>
      </x:c>
      <x:c r="H22" s="22" t="n">
        <x:v>0</x:v>
      </x:c>
      <x:c r="I22" s="22" t="n">
        <x:v>3</x:v>
      </x:c>
      <x:c r="J22" s="22" t="n">
        <x:f>'02_人物原始合计'!AG22+'02_人物原始合计'!AH22</x:f>
        <x:v>7</x:v>
      </x:c>
      <x:c r="K22" s="28" t="n">
        <x:f>'02_人物原始合计'!F22*(1+'02_人物原始合计'!Q22/100)</x:f>
        <x:v>1552.4599999999998</x:v>
      </x:c>
      <x:c r="L22" s="28" t="n">
        <x:f>'02_人物原始合计'!K22*(1+'02_人物原始合计'!AV22/100)</x:f>
        <x:v>132482.71</x:v>
      </x:c>
      <x:c r="M22" s="22" t="n">
        <x:f>MAX(0,MIN(50,'02_人物原始合计'!AD22,20+MIN(30,'02_人物原始合计'!AE22)))</x:f>
        <x:v>15</x:v>
      </x:c>
      <x:c r="N22" s="22" t="n">
        <x:f>IF(M22=0,1.75,IF(M22=10,2.2,IF(M22=20,2.9,IF(M22=30,4.3,IF(M22=40,8.5,IF(M22=50,14.3,IF(M22&lt;=40,1000/('01_参数'!$B$21-'01_参数'!$B$22*M22),1000/(1000/8.5+(M22-40)/10*(1000/14.3-1000/8.5)))))))))</x:f>
        <x:v>2.495764157874204</x:v>
      </x:c>
      <x:c r="O22" s="22" t="n">
        <x:v>90</x:v>
      </x:c>
      <x:c r="P22" s="26" t="n">
        <x:f>MAX(0,MIN('01_参数'!$B$20,'02_人物原始合计'!AM22/100,'01_参数'!$B$19+'02_人物原始合计'!AN22/100))</x:f>
        <x:v>0.42</x:v>
      </x:c>
      <x:c r="Q22" s="28" t="n">
        <x:f>((('02_人物原始合计'!E22+('02_人物原始合计'!F22-'02_人物原始合计'!E22)*IF(J22&gt;=12,1,0.5+0.5*MAX(0,J22)/12))*(1+'02_人物原始合计'!Q22/100))*(1+'02_人物原始合计'!U22/100+IF(J22&gt;=15,0.15,0))*(1+'02_人物原始合计'!V22/100)*(1+'02_人物原始合计'!T22)*(1+'02_人物原始合计'!W22*'01_参数'!$B$18)*(1+MAX(0,MIN(1,'02_人物原始合计'!X22/100))*('01_参数'!$B$16+'02_人物原始合计'!Y22/100-1))*(1+MAX(0,MIN(1,'02_人物原始合计'!Z22/100))*('01_参数'!$B$17+'02_人物原始合计'!AA22/100-1))+'02_人物原始合计'!AB22)*N22*'01_参数'!$B$7*'01_参数'!$B$8</x:f>
        <x:v>15201.531330396352</x:v>
      </x:c>
      <x:c r="R22" s="28" t="n">
        <x:f>Q22*'01_参数'!$B$5</x:f>
        <x:v>30403.062660792704</x:v>
      </x:c>
      <x:c r="S22" s="28" t="n">
        <x:f>(('02_人物原始合计'!E22+('02_人物原始合计'!F22-'02_人物原始合计'!E22)*IF(J22&gt;=12,1,0.5+0.5*MAX(0,J22)/12))*(1+'02_人物原始合计'!Q22/100))*(1+'02_人物原始合计'!U22/100+IF(J22&gt;=15,0.15,0))*(1+'02_人物原始合计'!V22/100)*(1+'02_人物原始合计'!T22)*(1+'02_人物原始合计'!W22*'01_参数'!$B$18)*(1+MAX(0,MIN(1,'02_人物原始合计'!X22/100))*('01_参数'!$B$16+'02_人物原始合计'!Y22/100-1))*(1+MAX(0,MIN(1,'02_人物原始合计'!Z22/100))*('01_参数'!$B$17+'02_人物原始合计'!AA22/100-1))*N22*'01_参数'!$B$7*'01_参数'!$B$8*MAX(0,'02_人物原始合计'!AO22/100)</x:f>
        <x:v>57.17627530474376</x:v>
      </x:c>
      <x:c r="T22" s="28" t="n">
        <x:f>S22*'01_参数'!$B$6</x:f>
        <x:v>74.32915789616689</x:v>
      </x:c>
      <x:c r="U22" s="28" t="n">
        <x:v>2000</x:v>
      </x:c>
      <x:c r="V22" s="28" t="n">
        <x:f>T22+U22</x:f>
        <x:v>2074.329157896167</x:v>
      </x:c>
      <x:c r="W22" s="22" t="n">
        <x:v>0</x:v>
      </x:c>
      <x:c r="X22" s="22" t="n">
        <x:v>3</x:v>
      </x:c>
      <x:c r="Y22" s="22" t="str">
        <x:v>主线</x:v>
      </x:c>
    </x:row>
    <x:row r="23" ht="24" customHeight="1">
      <x:c r="A23" s="22" t="str">
        <x:v>P0019</x:v>
      </x:c>
      <x:c r="B23" s="22" t="n">
        <x:v>1</x:v>
      </x:c>
      <x:c r="C23" s="22" t="n">
        <x:v>3</x:v>
      </x:c>
      <x:c r="D23" s="22" t="str">
        <x:v>沉没王庭BOSS装备快线</x:v>
      </x:c>
      <x:c r="E23" s="26" t="n">
        <x:v>0.34365893215150434</x:v>
      </x:c>
      <x:c r="F23" s="22" t="n">
        <x:v>1</x:v>
      </x:c>
      <x:c r="G23" s="22" t="n">
        <x:v>0</x:v>
      </x:c>
      <x:c r="H23" s="22" t="n">
        <x:v>0</x:v>
      </x:c>
      <x:c r="I23" s="22" t="n">
        <x:v>3</x:v>
      </x:c>
      <x:c r="J23" s="22" t="n">
        <x:f>'02_人物原始合计'!AG23+'02_人物原始合计'!AH23</x:f>
        <x:v>7</x:v>
      </x:c>
      <x:c r="K23" s="28" t="n">
        <x:f>'02_人物原始合计'!F23*(1+'02_人物原始合计'!Q23/100)</x:f>
        <x:v>3477.3299999999995</x:v>
      </x:c>
      <x:c r="L23" s="28" t="n">
        <x:f>'02_人物原始合计'!K23*(1+'02_人物原始合计'!AV23/100)</x:f>
        <x:v>282654.4</x:v>
      </x:c>
      <x:c r="M23" s="22" t="n">
        <x:f>MAX(0,MIN(50,'02_人物原始合计'!AD23,20+MIN(30,'02_人物原始合计'!AE23)))</x:f>
        <x:v>20</x:v>
      </x:c>
      <x:c r="N23" s="22" t="n">
        <x:f>IF(M23=0,1.75,IF(M23=10,2.2,IF(M23=20,2.9,IF(M23=30,4.3,IF(M23=40,8.5,IF(M23=50,14.3,IF(M23&lt;=40,1000/('01_参数'!$B$21-'01_参数'!$B$22*M23),1000/(1000/8.5+(M23-40)/10*(1000/14.3-1000/8.5)))))))))</x:f>
        <x:v>2.9</x:v>
      </x:c>
      <x:c r="O23" s="22" t="n">
        <x:v>102</x:v>
      </x:c>
      <x:c r="P23" s="26" t="n">
        <x:f>MAX(0,MIN('01_参数'!$B$20,'02_人物原始合计'!AM23/100,'01_参数'!$B$19+'02_人物原始合计'!AN23/100))</x:f>
        <x:v>0.56</x:v>
      </x:c>
      <x:c r="Q23" s="28" t="n">
        <x:f>((('02_人物原始合计'!E23+('02_人物原始合计'!F23-'02_人物原始合计'!E23)*IF(J23&gt;=12,1,0.5+0.5*MAX(0,J23)/12))*(1+'02_人物原始合计'!Q23/100))*(1+'02_人物原始合计'!U23/100+IF(J23&gt;=15,0.15,0))*(1+'02_人物原始合计'!V23/100)*(1+'02_人物原始合计'!T23)*(1+'02_人物原始合计'!W23*'01_参数'!$B$18)*(1+MAX(0,MIN(1,'02_人物原始合计'!X23/100))*('01_参数'!$B$16+'02_人物原始合计'!Y23/100-1))*(1+MAX(0,MIN(1,'02_人物原始合计'!Z23/100))*('01_参数'!$B$17+'02_人物原始合计'!AA23/100-1))+'02_人物原始合计'!AB23)*N23*'01_参数'!$B$7*'01_参数'!$B$8</x:f>
        <x:v>32099.498416378337</x:v>
      </x:c>
      <x:c r="R23" s="28" t="n">
        <x:f>Q23*'01_参数'!$B$5</x:f>
        <x:v>64198.996832756675</x:v>
      </x:c>
      <x:c r="S23" s="28" t="n">
        <x:f>(('02_人物原始合计'!E23+('02_人物原始合计'!F23-'02_人物原始合计'!E23)*IF(J23&gt;=12,1,0.5+0.5*MAX(0,J23)/12))*(1+'02_人物原始合计'!Q23/100))*(1+'02_人物原始合计'!U23/100+IF(J23&gt;=15,0.15,0))*(1+'02_人物原始合计'!V23/100)*(1+'02_人物原始合计'!T23)*(1+'02_人物原始合计'!W23*'01_参数'!$B$18)*(1+MAX(0,MIN(1,'02_人物原始合计'!X23/100))*('01_参数'!$B$16+'02_人物原始合计'!Y23/100-1))*(1+MAX(0,MIN(1,'02_人物原始合计'!Z23/100))*('01_参数'!$B$17+'02_人物原始合计'!AA23/100-1))*N23*'01_参数'!$B$7*'01_参数'!$B$8*MAX(0,'02_人物原始合计'!AO23/100)</x:f>
        <x:v>1053.9749208189169</x:v>
      </x:c>
      <x:c r="T23" s="28" t="n">
        <x:f>S23*'01_参数'!$B$6</x:f>
        <x:v>1370.167397064592</x:v>
      </x:c>
      <x:c r="U23" s="28" t="n">
        <x:v>2000</x:v>
      </x:c>
      <x:c r="V23" s="28" t="n">
        <x:f>T23+U23</x:f>
        <x:v>3370.167397064592</x:v>
      </x:c>
      <x:c r="W23" s="22" t="n">
        <x:v>0</x:v>
      </x:c>
      <x:c r="X23" s="22" t="n">
        <x:v>3</x:v>
      </x:c>
      <x:c r="Y23" s="22" t="str">
        <x:v>C01G03BOSS强装对照</x:v>
      </x:c>
    </x:row>
    <x:row r="24" ht="24" customHeight="1">
      <x:c r="A24" s="22" t="str">
        <x:v>P0020</x:v>
      </x:c>
      <x:c r="B24" s="22" t="n">
        <x:v>1</x:v>
      </x:c>
      <x:c r="C24" s="22" t="n">
        <x:v>3</x:v>
      </x:c>
      <x:c r="D24" s="22" t="str">
        <x:v>沉没王庭阶段积累后</x:v>
      </x:c>
      <x:c r="E24" s="26" t="n">
        <x:v>0.4421051010100079</x:v>
      </x:c>
      <x:c r="F24" s="22" t="n">
        <x:v>1</x:v>
      </x:c>
      <x:c r="G24" s="22" t="n">
        <x:v>0</x:v>
      </x:c>
      <x:c r="H24" s="22" t="n">
        <x:v>0</x:v>
      </x:c>
      <x:c r="I24" s="22" t="n">
        <x:v>3</x:v>
      </x:c>
      <x:c r="J24" s="22" t="n">
        <x:f>'02_人物原始合计'!AG24+'02_人物原始合计'!AH24</x:f>
        <x:v>7</x:v>
      </x:c>
      <x:c r="K24" s="28" t="n">
        <x:f>'02_人物原始合计'!F24*(1+'02_人物原始合计'!Q24/100)</x:f>
        <x:v>2244.7999999999997</x:v>
      </x:c>
      <x:c r="L24" s="28" t="n">
        <x:f>'02_人物原始合计'!K24*(1+'02_人物原始合计'!AV24/100)</x:f>
        <x:v>140259.71</x:v>
      </x:c>
      <x:c r="M24" s="22" t="n">
        <x:f>MAX(0,MIN(50,'02_人物原始合计'!AD24,20+MIN(30,'02_人物原始合计'!AE24)))</x:f>
        <x:v>15</x:v>
      </x:c>
      <x:c r="N24" s="22" t="n">
        <x:f>IF(M24=0,1.75,IF(M24=10,2.2,IF(M24=20,2.9,IF(M24=30,4.3,IF(M24=40,8.5,IF(M24=50,14.3,IF(M24&lt;=40,1000/('01_参数'!$B$21-'01_参数'!$B$22*M24),1000/(1000/8.5+(M24-40)/10*(1000/14.3-1000/8.5)))))))))</x:f>
        <x:v>2.495764157874204</x:v>
      </x:c>
      <x:c r="O24" s="22" t="n">
        <x:v>90</x:v>
      </x:c>
      <x:c r="P24" s="26" t="n">
        <x:f>MAX(0,MIN('01_参数'!$B$20,'02_人物原始合计'!AM24/100,'01_参数'!$B$19+'02_人物原始合计'!AN24/100))</x:f>
        <x:v>0.38</x:v>
      </x:c>
      <x:c r="Q24" s="28" t="n">
        <x:f>((('02_人物原始合计'!E24+('02_人物原始合计'!F24-'02_人物原始合计'!E24)*IF(J24&gt;=12,1,0.5+0.5*MAX(0,J24)/12))*(1+'02_人物原始合计'!Q24/100))*(1+'02_人物原始合计'!U24/100+IF(J24&gt;=15,0.15,0))*(1+'02_人物原始合计'!V24/100)*(1+'02_人物原始合计'!T24)*(1+'02_人物原始合计'!W24*'01_参数'!$B$18)*(1+MAX(0,MIN(1,'02_人物原始合计'!X24/100))*('01_参数'!$B$16+'02_人物原始合计'!Y24/100-1))*(1+MAX(0,MIN(1,'02_人物原始合计'!Z24/100))*('01_参数'!$B$17+'02_人物原始合计'!AA24/100-1))+'02_人物原始合计'!AB24)*N24*'01_参数'!$B$7*'01_参数'!$B$8</x:f>
        <x:v>18235.53543233711</x:v>
      </x:c>
      <x:c r="R24" s="28" t="n">
        <x:f>Q24*'01_参数'!$B$5</x:f>
        <x:v>36471.07086467422</x:v>
      </x:c>
      <x:c r="S24" s="28" t="n">
        <x:f>(('02_人物原始合计'!E24+('02_人物原始合计'!F24-'02_人物原始合计'!E24)*IF(J24&gt;=12,1,0.5+0.5*MAX(0,J24)/12))*(1+'02_人物原始合计'!Q24/100))*(1+'02_人物原始合计'!U24/100+IF(J24&gt;=15,0.15,0))*(1+'02_人物原始合计'!V24/100)*(1+'02_人物原始合计'!T24)*(1+'02_人物原始合计'!W24*'01_参数'!$B$18)*(1+MAX(0,MIN(1,'02_人物原始合计'!X24/100))*('01_参数'!$B$16+'02_人物原始合计'!Y24/100-1))*(1+MAX(0,MIN(1,'02_人物原始合计'!Z24/100))*('01_参数'!$B$17+'02_人物原始合计'!AA24/100-1))*N24*'01_参数'!$B$7*'01_参数'!$B$8*MAX(0,'02_人物原始合计'!AO24/100)</x:f>
        <x:v>87.51631632415136</x:v>
      </x:c>
      <x:c r="T24" s="28" t="n">
        <x:f>S24*'01_参数'!$B$6</x:f>
        <x:v>113.77121122139677</x:v>
      </x:c>
      <x:c r="U24" s="28" t="n">
        <x:v>2000</x:v>
      </x:c>
      <x:c r="V24" s="28" t="n">
        <x:f>T24+U24</x:f>
        <x:v>2113.7712112213967</x:v>
      </x:c>
      <x:c r="W24" s="22" t="n">
        <x:v>1</x:v>
      </x:c>
      <x:c r="X24" s="22" t="n">
        <x:v>4</x:v>
      </x:c>
      <x:c r="Y24" s="22" t="str">
        <x:v>主线</x:v>
      </x:c>
    </x:row>
    <x:row r="25" ht="24" customHeight="1">
      <x:c r="A25" s="22" t="str">
        <x:v>P0021</x:v>
      </x:c>
      <x:c r="B25" s="22" t="n">
        <x:v>1</x:v>
      </x:c>
      <x:c r="C25" s="22" t="n">
        <x:v>3</x:v>
      </x:c>
      <x:c r="D25" s="22" t="str">
        <x:v>C01守关前必做制作完成</x:v>
      </x:c>
      <x:c r="E25" s="26" t="n">
        <x:v>0.4421051010100079</x:v>
      </x:c>
      <x:c r="F25" s="22" t="n">
        <x:v>1</x:v>
      </x:c>
      <x:c r="G25" s="22" t="n">
        <x:v>0</x:v>
      </x:c>
      <x:c r="H25" s="22" t="n">
        <x:v>0</x:v>
      </x:c>
      <x:c r="I25" s="22" t="n">
        <x:v>3</x:v>
      </x:c>
      <x:c r="J25" s="22" t="n">
        <x:f>'02_人物原始合计'!AG25+'02_人物原始合计'!AH25</x:f>
        <x:v>7</x:v>
      </x:c>
      <x:c r="K25" s="28" t="n">
        <x:f>'02_人物原始合计'!F25*(1+'02_人物原始合计'!Q25/100)</x:f>
        <x:v>2244.7999999999997</x:v>
      </x:c>
      <x:c r="L25" s="28" t="n">
        <x:f>'02_人物原始合计'!K25*(1+'02_人物原始合计'!AV25/100)</x:f>
        <x:v>140259.71</x:v>
      </x:c>
      <x:c r="M25" s="22" t="n">
        <x:f>MAX(0,MIN(50,'02_人物原始合计'!AD25,20+MIN(30,'02_人物原始合计'!AE25)))</x:f>
        <x:v>15</x:v>
      </x:c>
      <x:c r="N25" s="22" t="n">
        <x:f>IF(M25=0,1.75,IF(M25=10,2.2,IF(M25=20,2.9,IF(M25=30,4.3,IF(M25=40,8.5,IF(M25=50,14.3,IF(M25&lt;=40,1000/('01_参数'!$B$21-'01_参数'!$B$22*M25),1000/(1000/8.5+(M25-40)/10*(1000/14.3-1000/8.5)))))))))</x:f>
        <x:v>2.495764157874204</x:v>
      </x:c>
      <x:c r="O25" s="22" t="n">
        <x:v>90</x:v>
      </x:c>
      <x:c r="P25" s="26" t="n">
        <x:f>MAX(0,MIN('01_参数'!$B$20,'02_人物原始合计'!AM25/100,'01_参数'!$B$19+'02_人物原始合计'!AN25/100))</x:f>
        <x:v>0.38</x:v>
      </x:c>
      <x:c r="Q25" s="28" t="n">
        <x:f>((('02_人物原始合计'!E25+('02_人物原始合计'!F25-'02_人物原始合计'!E25)*IF(J25&gt;=12,1,0.5+0.5*MAX(0,J25)/12))*(1+'02_人物原始合计'!Q25/100))*(1+'02_人物原始合计'!U25/100+IF(J25&gt;=15,0.15,0))*(1+'02_人物原始合计'!V25/100)*(1+'02_人物原始合计'!T25)*(1+'02_人物原始合计'!W25*'01_参数'!$B$18)*(1+MAX(0,MIN(1,'02_人物原始合计'!X25/100))*('01_参数'!$B$16+'02_人物原始合计'!Y25/100-1))*(1+MAX(0,MIN(1,'02_人物原始合计'!Z25/100))*('01_参数'!$B$17+'02_人物原始合计'!AA25/100-1))+'02_人物原始合计'!AB25)*N25*'01_参数'!$B$7*'01_参数'!$B$8</x:f>
        <x:v>18235.53543233711</x:v>
      </x:c>
      <x:c r="R25" s="28" t="n">
        <x:f>Q25*'01_参数'!$B$5</x:f>
        <x:v>36471.07086467422</x:v>
      </x:c>
      <x:c r="S25" s="28" t="n">
        <x:f>(('02_人物原始合计'!E25+('02_人物原始合计'!F25-'02_人物原始合计'!E25)*IF(J25&gt;=12,1,0.5+0.5*MAX(0,J25)/12))*(1+'02_人物原始合计'!Q25/100))*(1+'02_人物原始合计'!U25/100+IF(J25&gt;=15,0.15,0))*(1+'02_人物原始合计'!V25/100)*(1+'02_人物原始合计'!T25)*(1+'02_人物原始合计'!W25*'01_参数'!$B$18)*(1+MAX(0,MIN(1,'02_人物原始合计'!X25/100))*('01_参数'!$B$16+'02_人物原始合计'!Y25/100-1))*(1+MAX(0,MIN(1,'02_人物原始合计'!Z25/100))*('01_参数'!$B$17+'02_人物原始合计'!AA25/100-1))*N25*'01_参数'!$B$7*'01_参数'!$B$8*MAX(0,'02_人物原始合计'!AO25/100)</x:f>
        <x:v>87.51631632415136</x:v>
      </x:c>
      <x:c r="T25" s="28" t="n">
        <x:f>S25*'01_参数'!$B$6</x:f>
        <x:v>113.77121122139677</x:v>
      </x:c>
      <x:c r="U25" s="28" t="n">
        <x:v>2000</x:v>
      </x:c>
      <x:c r="V25" s="28" t="n">
        <x:f>T25+U25</x:f>
        <x:v>2113.7712112213967</x:v>
      </x:c>
      <x:c r="W25" s="22" t="n">
        <x:v>1</x:v>
      </x:c>
      <x:c r="X25" s="22" t="n">
        <x:v>4</x:v>
      </x:c>
      <x:c r="Y25" s="22" t="str">
        <x:v>主线</x:v>
      </x:c>
    </x:row>
    <x:row r="26" ht="24" customHeight="1">
      <x:c r="A26" s="22" t="str">
        <x:v>P0022</x:v>
      </x:c>
      <x:c r="B26" s="22" t="n">
        <x:v>1</x:v>
      </x:c>
      <x:c r="C26" s="22" t="n">
        <x:v>3</x:v>
      </x:c>
      <x:c r="D26" s="22" t="str">
        <x:v>C01约70%守关参考</x:v>
      </x:c>
      <x:c r="E26" s="26" t="n">
        <x:v>0.7171051010100078</x:v>
      </x:c>
      <x:c r="F26" s="22" t="n">
        <x:v>1</x:v>
      </x:c>
      <x:c r="G26" s="22" t="n">
        <x:v>0</x:v>
      </x:c>
      <x:c r="H26" s="22" t="n">
        <x:v>0</x:v>
      </x:c>
      <x:c r="I26" s="22" t="n">
        <x:v>3</x:v>
      </x:c>
      <x:c r="J26" s="22" t="n">
        <x:f>'02_人物原始合计'!AG26+'02_人物原始合计'!AH26</x:f>
        <x:v>7</x:v>
      </x:c>
      <x:c r="K26" s="28" t="n">
        <x:f>'02_人物原始合计'!F26*(1+'02_人物原始合计'!Q26/100)</x:f>
        <x:v>2318</x:v>
      </x:c>
      <x:c r="L26" s="28" t="n">
        <x:f>'02_人物原始合计'!K26*(1+'02_人物原始合计'!AV26/100)</x:f>
        <x:v>143289.71</x:v>
      </x:c>
      <x:c r="M26" s="22" t="n">
        <x:f>MAX(0,MIN(50,'02_人物原始合计'!AD26,20+MIN(30,'02_人物原始合计'!AE26)))</x:f>
        <x:v>15</x:v>
      </x:c>
      <x:c r="N26" s="22" t="n">
        <x:f>IF(M26=0,1.75,IF(M26=10,2.2,IF(M26=20,2.9,IF(M26=30,4.3,IF(M26=40,8.5,IF(M26=50,14.3,IF(M26&lt;=40,1000/('01_参数'!$B$21-'01_参数'!$B$22*M26),1000/(1000/8.5+(M26-40)/10*(1000/14.3-1000/8.5)))))))))</x:f>
        <x:v>2.495764157874204</x:v>
      </x:c>
      <x:c r="O26" s="22" t="n">
        <x:v>130</x:v>
      </x:c>
      <x:c r="P26" s="26" t="n">
        <x:f>MAX(0,MIN('01_参数'!$B$20,'02_人物原始合计'!AM26/100,'01_参数'!$B$19+'02_人物原始合计'!AN26/100))</x:f>
        <x:v>0.38</x:v>
      </x:c>
      <x:c r="Q26" s="28" t="n">
        <x:f>((('02_人物原始合计'!E26+('02_人物原始合计'!F26-'02_人物原始合计'!E26)*IF(J26&gt;=12,1,0.5+0.5*MAX(0,J26)/12))*(1+'02_人物原始合计'!Q26/100))*(1+'02_人物原始合计'!U26/100+IF(J26&gt;=15,0.15,0))*(1+'02_人物原始合计'!V26/100)*(1+'02_人物原始合计'!T26)*(1+'02_人物原始合计'!W26*'01_参数'!$B$18)*(1+MAX(0,MIN(1,'02_人物原始合计'!X26/100))*('01_参数'!$B$16+'02_人物原始合计'!Y26/100-1))*(1+MAX(0,MIN(1,'02_人物原始合计'!Z26/100))*('01_参数'!$B$17+'02_人物原始合计'!AA26/100-1))+'02_人物原始合计'!AB26)*N26*'01_参数'!$B$7*'01_参数'!$B$8</x:f>
        <x:v>18717.64872771096</x:v>
      </x:c>
      <x:c r="R26" s="28" t="n">
        <x:f>Q26*'01_参数'!$B$5</x:f>
        <x:v>37435.29745542192</x:v>
      </x:c>
      <x:c r="S26" s="28" t="n">
        <x:f>(('02_人物原始合计'!E26+('02_人物原始合计'!F26-'02_人物原始合计'!E26)*IF(J26&gt;=12,1,0.5+0.5*MAX(0,J26)/12))*(1+'02_人物原始合计'!Q26/100))*(1+'02_人物原始合计'!U26/100+IF(J26&gt;=15,0.15,0))*(1+'02_人物原始合计'!V26/100)*(1+'02_人物原始合计'!T26)*(1+'02_人物原始合计'!W26*'01_参数'!$B$18)*(1+MAX(0,MIN(1,'02_人物原始合计'!X26/100))*('01_参数'!$B$16+'02_人物原始合计'!Y26/100-1))*(1+MAX(0,MIN(1,'02_人物原始合计'!Z26/100))*('01_参数'!$B$17+'02_人物原始合计'!AA26/100-1))*N26*'01_参数'!$B$7*'01_参数'!$B$8*MAX(0,'02_人物原始合计'!AO26/100)</x:f>
        <x:v>92.33744927788986</x:v>
      </x:c>
      <x:c r="T26" s="28" t="n">
        <x:f>S26*'01_参数'!$B$6</x:f>
        <x:v>120.03868406125682</x:v>
      </x:c>
      <x:c r="U26" s="28" t="n">
        <x:v>2000</x:v>
      </x:c>
      <x:c r="V26" s="28" t="n">
        <x:f>T26+U26</x:f>
        <x:v>2120.038684061257</x:v>
      </x:c>
      <x:c r="W26" s="22" t="n">
        <x:v>1</x:v>
      </x:c>
      <x:c r="X26" s="22" t="n">
        <x:v>23</x:v>
      </x:c>
      <x:c r="Y26" s="22" t="str">
        <x:v>主线</x:v>
      </x:c>
    </x:row>
    <x:row r="27" ht="24" customHeight="1">
      <x:c r="A27" s="22" t="str">
        <x:v>P0023</x:v>
      </x:c>
      <x:c r="B27" s="22" t="n">
        <x:v>1</x:v>
      </x:c>
      <x:c r="C27" s="22" t="n">
        <x:v>3</x:v>
      </x:c>
      <x:c r="D27" s="22" t="str">
        <x:v>C01高完成度参考</x:v>
      </x:c>
      <x:c r="E27" s="26" t="n">
        <x:v>0.8934519910727995</x:v>
      </x:c>
      <x:c r="F27" s="22" t="n">
        <x:v>1</x:v>
      </x:c>
      <x:c r="G27" s="22" t="n">
        <x:v>0</x:v>
      </x:c>
      <x:c r="H27" s="22" t="n">
        <x:v>0</x:v>
      </x:c>
      <x:c r="I27" s="22" t="n">
        <x:v>3</x:v>
      </x:c>
      <x:c r="J27" s="22" t="n">
        <x:f>'02_人物原始合计'!AG27+'02_人物原始合计'!AH27</x:f>
        <x:v>7</x:v>
      </x:c>
      <x:c r="K27" s="28" t="n">
        <x:f>'02_人物原始合计'!F27*(1+'02_人物原始合计'!Q27/100)</x:f>
        <x:v>5954.64</x:v>
      </x:c>
      <x:c r="L27" s="28" t="n">
        <x:f>'02_人物原始合计'!K27*(1+'02_人物原始合计'!AV27/100)</x:f>
        <x:v>389200.00000000006</x:v>
      </x:c>
      <x:c r="M27" s="22" t="n">
        <x:f>MAX(0,MIN(50,'02_人物原始合计'!AD27,20+MIN(30,'02_人物原始合计'!AE27)))</x:f>
        <x:v>20</x:v>
      </x:c>
      <x:c r="N27" s="22" t="n">
        <x:f>IF(M27=0,1.75,IF(M27=10,2.2,IF(M27=20,2.9,IF(M27=30,4.3,IF(M27=40,8.5,IF(M27=50,14.3,IF(M27&lt;=40,1000/('01_参数'!$B$21-'01_参数'!$B$22*M27),1000/(1000/8.5+(M27-40)/10*(1000/14.3-1000/8.5)))))))))</x:f>
        <x:v>2.9</x:v>
      </x:c>
      <x:c r="O27" s="22" t="n">
        <x:v>142</x:v>
      </x:c>
      <x:c r="P27" s="26" t="n">
        <x:f>MAX(0,MIN('01_参数'!$B$20,'02_人物原始合计'!AM27/100,'01_参数'!$B$19+'02_人物原始合计'!AN27/100))</x:f>
        <x:v>0.65</x:v>
      </x:c>
      <x:c r="Q27" s="28" t="n">
        <x:f>((('02_人物原始合计'!E27+('02_人物原始合计'!F27-'02_人物原始合计'!E27)*IF(J27&gt;=12,1,0.5+0.5*MAX(0,J27)/12))*(1+'02_人物原始合计'!Q27/100))*(1+'02_人物原始合计'!U27/100+IF(J27&gt;=15,0.15,0))*(1+'02_人物原始合计'!V27/100)*(1+'02_人物原始合计'!T27)*(1+'02_人物原始合计'!W27*'01_参数'!$B$18)*(1+MAX(0,MIN(1,'02_人物原始合计'!X27/100))*('01_参数'!$B$16+'02_人物原始合计'!Y27/100-1))*(1+MAX(0,MIN(1,'02_人物原始合计'!Z27/100))*('01_参数'!$B$17+'02_人物原始合计'!AA27/100-1))+'02_人物原始合计'!AB27)*N27*'01_参数'!$B$7*'01_参数'!$B$8</x:f>
        <x:v>56292.77477927946</x:v>
      </x:c>
      <x:c r="R27" s="28" t="n">
        <x:f>Q27*'01_参数'!$B$5</x:f>
        <x:v>112585.54955855892</x:v>
      </x:c>
      <x:c r="S27" s="28" t="n">
        <x:f>(('02_人物原始合计'!E27+('02_人物原始合计'!F27-'02_人物原始合计'!E27)*IF(J27&gt;=12,1,0.5+0.5*MAX(0,J27)/12))*(1+'02_人物原始合计'!Q27/100))*(1+'02_人物原始合计'!U27/100+IF(J27&gt;=15,0.15,0))*(1+'02_人物原始合计'!V27/100)*(1+'02_人物原始合计'!T27)*(1+'02_人物原始合计'!W27*'01_参数'!$B$18)*(1+MAX(0,MIN(1,'02_人物原始合计'!X27/100))*('01_参数'!$B$16+'02_人物原始合计'!Y27/100-1))*(1+MAX(0,MIN(1,'02_人物原始合计'!Z27/100))*('01_参数'!$B$17+'02_人物原始合计'!AA27/100-1))*N27*'01_参数'!$B$7*'01_参数'!$B$8*MAX(0,'02_人物原始合计'!AO27/100)</x:f>
        <x:v>2263.638738963973</x:v>
      </x:c>
      <x:c r="T27" s="28" t="n">
        <x:f>S27*'01_参数'!$B$6</x:f>
        <x:v>2942.730360653165</x:v>
      </x:c>
      <x:c r="U27" s="28" t="n">
        <x:v>2000</x:v>
      </x:c>
      <x:c r="V27" s="28" t="n">
        <x:f>T27+U27</x:f>
        <x:v>4942.730360653165</x:v>
      </x:c>
      <x:c r="W27" s="22" t="n">
        <x:v>1</x:v>
      </x:c>
      <x:c r="X27" s="22" t="n">
        <x:v>35</x:v>
      </x:c>
      <x:c r="Y27" s="22" t="str">
        <x:v>C01高完成度</x:v>
      </x:c>
    </x:row>
    <x:row r="28" ht="24" customHeight="1">
      <x:c r="A28" s="22" t="str">
        <x:v>P0024</x:v>
      </x:c>
      <x:c r="B28" s="22" t="n">
        <x:v>1</x:v>
      </x:c>
      <x:c r="C28" s="22" t="n">
        <x:v>3</x:v>
      </x:c>
      <x:c r="D28" s="22" t="str">
        <x:v>C01守关后继承</x:v>
      </x:c>
      <x:c r="E28" s="26" t="n">
        <x:v>0.7171051010100078</x:v>
      </x:c>
      <x:c r="F28" s="22" t="n">
        <x:v>1</x:v>
      </x:c>
      <x:c r="G28" s="22" t="n">
        <x:v>0</x:v>
      </x:c>
      <x:c r="H28" s="22" t="n">
        <x:v>0</x:v>
      </x:c>
      <x:c r="I28" s="22" t="n">
        <x:v>3</x:v>
      </x:c>
      <x:c r="J28" s="22" t="n">
        <x:f>'02_人物原始合计'!AG28+'02_人物原始合计'!AH28</x:f>
        <x:v>7</x:v>
      </x:c>
      <x:c r="K28" s="28" t="n">
        <x:f>'02_人物原始合计'!F28*(1+'02_人物原始合计'!Q28/100)</x:f>
        <x:v>2391.2</x:v>
      </x:c>
      <x:c r="L28" s="28" t="n">
        <x:f>'02_人物原始合计'!K28*(1+'02_人物原始合计'!AV28/100)</x:f>
        <x:v>143289.71</x:v>
      </x:c>
      <x:c r="M28" s="22" t="n">
        <x:f>MAX(0,MIN(50,'02_人物原始合计'!AD28,20+MIN(30,'02_人物原始合计'!AE28)))</x:f>
        <x:v>15</x:v>
      </x:c>
      <x:c r="N28" s="22" t="n">
        <x:f>IF(M28=0,1.75,IF(M28=10,2.2,IF(M28=20,2.9,IF(M28=30,4.3,IF(M28=40,8.5,IF(M28=50,14.3,IF(M28&lt;=40,1000/('01_参数'!$B$21-'01_参数'!$B$22*M28),1000/(1000/8.5+(M28-40)/10*(1000/14.3-1000/8.5)))))))))</x:f>
        <x:v>2.495764157874204</x:v>
      </x:c>
      <x:c r="O28" s="22" t="n">
        <x:v>150</x:v>
      </x:c>
      <x:c r="P28" s="26" t="n">
        <x:f>MAX(0,MIN('01_参数'!$B$20,'02_人物原始合计'!AM28/100,'01_参数'!$B$19+'02_人物原始合计'!AN28/100))</x:f>
        <x:v>0.38</x:v>
      </x:c>
      <x:c r="Q28" s="28" t="n">
        <x:f>((('02_人物原始合计'!E28+('02_人物原始合计'!F28-'02_人物原始合计'!E28)*IF(J28&gt;=12,1,0.5+0.5*MAX(0,J28)/12))*(1+'02_人物原始合计'!Q28/100))*(1+'02_人物原始合计'!U28/100+IF(J28&gt;=15,0.15,0))*(1+'02_人物原始合计'!V28/100)*(1+'02_人物原始合计'!T28)*(1+'02_人物原始合计'!W28*'01_参数'!$B$18)*(1+MAX(0,MIN(1,'02_人物原始合计'!X28/100))*('01_参数'!$B$16+'02_人物原始合计'!Y28/100-1))*(1+MAX(0,MIN(1,'02_人物原始合计'!Z28/100))*('01_参数'!$B$17+'02_人物原始合计'!AA28/100-1))+'02_人物原始合计'!AB28)*N28*'01_参数'!$B$7*'01_参数'!$B$8</x:f>
        <x:v>19024.729390436507</x:v>
      </x:c>
      <x:c r="R28" s="28" t="n">
        <x:f>Q28*'01_参数'!$B$5</x:f>
        <x:v>38049.458780873014</x:v>
      </x:c>
      <x:c r="S28" s="28" t="n">
        <x:f>(('02_人物原始合计'!E28+('02_人物原始合计'!F28-'02_人物原始合计'!E28)*IF(J28&gt;=12,1,0.5+0.5*MAX(0,J28)/12))*(1+'02_人物原始合计'!Q28/100))*(1+'02_人物原始合计'!U28/100+IF(J28&gt;=15,0.15,0))*(1+'02_人物原始合计'!V28/100)*(1+'02_人物原始合计'!T28)*(1+'02_人物原始合计'!W28*'01_参数'!$B$18)*(1+MAX(0,MIN(1,'02_人物原始合计'!X28/100))*('01_参数'!$B$16+'02_人物原始合计'!Y28/100-1))*(1+MAX(0,MIN(1,'02_人物原始合计'!Z28/100))*('01_参数'!$B$17+'02_人物原始合计'!AA28/100-1))*N28*'01_参数'!$B$7*'01_参数'!$B$8*MAX(0,'02_人物原始合计'!AO28/100)</x:f>
        <x:v>95.40825590514532</x:v>
      </x:c>
      <x:c r="T28" s="28" t="n">
        <x:f>S28*'01_参数'!$B$6</x:f>
        <x:v>124.03073267668893</x:v>
      </x:c>
      <x:c r="U28" s="28" t="n">
        <x:v>2000</x:v>
      </x:c>
      <x:c r="V28" s="28" t="n">
        <x:f>T28+U28</x:f>
        <x:v>2124.030732676689</x:v>
      </x:c>
      <x:c r="W28" s="22" t="n">
        <x:v>1</x:v>
      </x:c>
      <x:c r="X28" s="22" t="n">
        <x:v>23</x:v>
      </x:c>
      <x:c r="Y28" s="22" t="str">
        <x:v>主线</x:v>
      </x:c>
    </x:row>
    <x:row r="29" ht="24" customHeight="1">
      <x:c r="A29" s="22" t="str">
        <x:v>P0025</x:v>
      </x:c>
      <x:c r="B29" s="22" t="n">
        <x:v>2</x:v>
      </x:c>
      <x:c r="C29" s="22" t="n">
        <x:v>1</x:v>
      </x:c>
      <x:c r="D29" s="22" t="str">
        <x:v>C02入场继承</x:v>
      </x:c>
      <x:c r="E29" s="26" t="n">
        <x:v>0.03002873722433923</x:v>
      </x:c>
      <x:c r="F29" s="22" t="n">
        <x:v>1</x:v>
      </x:c>
      <x:c r="G29" s="22" t="n">
        <x:v>0</x:v>
      </x:c>
      <x:c r="H29" s="22" t="n">
        <x:v>0</x:v>
      </x:c>
      <x:c r="I29" s="22" t="n">
        <x:v>3</x:v>
      </x:c>
      <x:c r="J29" s="22" t="n">
        <x:f>'02_人物原始合计'!AG29+'02_人物原始合计'!AH29</x:f>
        <x:v>7</x:v>
      </x:c>
      <x:c r="K29" s="28" t="n">
        <x:f>'02_人物原始合计'!F29*(1+'02_人物原始合计'!Q29/100)</x:f>
        <x:v>2391.2</x:v>
      </x:c>
      <x:c r="L29" s="28" t="n">
        <x:f>'02_人物原始合计'!K29*(1+'02_人物原始合计'!AV29/100)</x:f>
        <x:v>143289.71</x:v>
      </x:c>
      <x:c r="M29" s="22" t="n">
        <x:f>MAX(0,MIN(50,'02_人物原始合计'!AD29,20+MIN(30,'02_人物原始合计'!AE29)))</x:f>
        <x:v>15</x:v>
      </x:c>
      <x:c r="N29" s="22" t="n">
        <x:f>IF(M29=0,1.75,IF(M29=10,2.2,IF(M29=20,2.9,IF(M29=30,4.3,IF(M29=40,8.5,IF(M29=50,14.3,IF(M29&lt;=40,1000/('01_参数'!$B$21-'01_参数'!$B$22*M29),1000/(1000/8.5+(M29-40)/10*(1000/14.3-1000/8.5)))))))))</x:f>
        <x:v>2.495764157874204</x:v>
      </x:c>
      <x:c r="O29" s="22" t="n">
        <x:v>150</x:v>
      </x:c>
      <x:c r="P29" s="26" t="n">
        <x:f>MAX(0,MIN('01_参数'!$B$20,'02_人物原始合计'!AM29/100,'01_参数'!$B$19+'02_人物原始合计'!AN29/100))</x:f>
        <x:v>0.38</x:v>
      </x:c>
      <x:c r="Q29" s="28" t="n">
        <x:f>((('02_人物原始合计'!E29+('02_人物原始合计'!F29-'02_人物原始合计'!E29)*IF(J29&gt;=12,1,0.5+0.5*MAX(0,J29)/12))*(1+'02_人物原始合计'!Q29/100))*(1+'02_人物原始合计'!U29/100+IF(J29&gt;=15,0.15,0))*(1+'02_人物原始合计'!V29/100)*(1+'02_人物原始合计'!T29)*(1+'02_人物原始合计'!W29*'01_参数'!$B$18)*(1+MAX(0,MIN(1,'02_人物原始合计'!X29/100))*('01_参数'!$B$16+'02_人物原始合计'!Y29/100-1))*(1+MAX(0,MIN(1,'02_人物原始合计'!Z29/100))*('01_参数'!$B$17+'02_人物原始合计'!AA29/100-1))+'02_人物原始合计'!AB29)*N29*'01_参数'!$B$7*'01_参数'!$B$8</x:f>
        <x:v>19024.729390436507</x:v>
      </x:c>
      <x:c r="R29" s="28" t="n">
        <x:f>Q29*'01_参数'!$B$5</x:f>
        <x:v>38049.458780873014</x:v>
      </x:c>
      <x:c r="S29" s="28" t="n">
        <x:f>(('02_人物原始合计'!E29+('02_人物原始合计'!F29-'02_人物原始合计'!E29)*IF(J29&gt;=12,1,0.5+0.5*MAX(0,J29)/12))*(1+'02_人物原始合计'!Q29/100))*(1+'02_人物原始合计'!U29/100+IF(J29&gt;=15,0.15,0))*(1+'02_人物原始合计'!V29/100)*(1+'02_人物原始合计'!T29)*(1+'02_人物原始合计'!W29*'01_参数'!$B$18)*(1+MAX(0,MIN(1,'02_人物原始合计'!X29/100))*('01_参数'!$B$16+'02_人物原始合计'!Y29/100-1))*(1+MAX(0,MIN(1,'02_人物原始合计'!Z29/100))*('01_参数'!$B$17+'02_人物原始合计'!AA29/100-1))*N29*'01_参数'!$B$7*'01_参数'!$B$8*MAX(0,'02_人物原始合计'!AO29/100)</x:f>
        <x:v>95.40825590514532</x:v>
      </x:c>
      <x:c r="T29" s="28" t="n">
        <x:f>S29*'01_参数'!$B$6</x:f>
        <x:v>124.03073267668893</x:v>
      </x:c>
      <x:c r="U29" s="28" t="n">
        <x:v>2000</x:v>
      </x:c>
      <x:c r="V29" s="28" t="n">
        <x:f>T29+U29</x:f>
        <x:v>2124.030732676689</x:v>
      </x:c>
      <x:c r="W29" s="22" t="n">
        <x:v>1</x:v>
      </x:c>
      <x:c r="X29" s="22" t="n">
        <x:v>23</x:v>
      </x:c>
      <x:c r="Y29" s="22" t="str">
        <x:v>主线</x:v>
      </x:c>
    </x:row>
    <x:row r="30" ht="24" customHeight="1">
      <x:c r="A30" s="22" t="str">
        <x:v>P0026</x:v>
      </x:c>
      <x:c r="B30" s="22" t="n">
        <x:v>2</x:v>
      </x:c>
      <x:c r="C30" s="22" t="n">
        <x:v>1</x:v>
      </x:c>
      <x:c r="D30" s="22" t="str">
        <x:v>C02本阶段既有付费/长期成长</x:v>
      </x:c>
      <x:c r="E30" s="26" t="n">
        <x:v>0.23002873722433922</x:v>
      </x:c>
      <x:c r="F30" s="22" t="n">
        <x:v>2</x:v>
      </x:c>
      <x:c r="G30" s="22" t="n">
        <x:v>0</x:v>
      </x:c>
      <x:c r="H30" s="22" t="n">
        <x:v>0</x:v>
      </x:c>
      <x:c r="I30" s="22" t="n">
        <x:v>3</x:v>
      </x:c>
      <x:c r="J30" s="22" t="n">
        <x:f>'02_人物原始合计'!AG30+'02_人物原始合计'!AH30</x:f>
        <x:v>7</x:v>
      </x:c>
      <x:c r="K30" s="28" t="n">
        <x:f>'02_人物原始合计'!F30*(1+'02_人物原始合计'!Q30/100)</x:f>
        <x:v>4094.3199999999997</x:v>
      </x:c>
      <x:c r="L30" s="28" t="n">
        <x:f>'02_人物原始合计'!K30*(1+'02_人物原始合计'!AV30/100)</x:f>
        <x:v>163489.71</x:v>
      </x:c>
      <x:c r="M30" s="22" t="n">
        <x:f>MAX(0,MIN(50,'02_人物原始合计'!AD30,20+MIN(30,'02_人物原始合计'!AE30)))</x:f>
        <x:v>17</x:v>
      </x:c>
      <x:c r="N30" s="22" t="n">
        <x:f>IF(M30=0,1.75,IF(M30=10,2.2,IF(M30=20,2.9,IF(M30=30,4.3,IF(M30=40,8.5,IF(M30=50,14.3,IF(M30&lt;=40,1000/('01_参数'!$B$21-'01_参数'!$B$22*M30),1000/(1000/8.5+(M30-40)/10*(1000/14.3-1000/8.5)))))))))</x:f>
        <x:v>2.6448877510828637</x:v>
      </x:c>
      <x:c r="O30" s="22" t="n">
        <x:v>180</x:v>
      </x:c>
      <x:c r="P30" s="26" t="n">
        <x:f>MAX(0,MIN('01_参数'!$B$20,'02_人物原始合计'!AM30/100,'01_参数'!$B$19+'02_人物原始合计'!AN30/100))</x:f>
        <x:v>0.38</x:v>
      </x:c>
      <x:c r="Q30" s="28" t="n">
        <x:f>((('02_人物原始合计'!E30+('02_人物原始合计'!F30-'02_人物原始合计'!E30)*IF(J30&gt;=12,1,0.5+0.5*MAX(0,J30)/12))*(1+'02_人物原始合计'!Q30/100))*(1+'02_人物原始合计'!U30/100+IF(J30&gt;=15,0.15,0))*(1+'02_人物原始合计'!V30/100)*(1+'02_人物原始合计'!T30)*(1+'02_人物原始合计'!W30*'01_参数'!$B$18)*(1+MAX(0,MIN(1,'02_人物原始合计'!X30/100))*('01_参数'!$B$16+'02_人物原始合计'!Y30/100-1))*(1+MAX(0,MIN(1,'02_人物原始合计'!Z30/100))*('01_参数'!$B$17+'02_人物原始合计'!AA30/100-1))+'02_人物原始合计'!AB30)*N30*'01_参数'!$B$7*'01_参数'!$B$8</x:f>
        <x:v>17843.293413041392</x:v>
      </x:c>
      <x:c r="R30" s="28" t="n">
        <x:f>Q30*'01_参数'!$B$5</x:f>
        <x:v>35686.586826082785</x:v>
      </x:c>
      <x:c r="S30" s="28" t="n">
        <x:f>(('02_人物原始合计'!E30+('02_人物原始合计'!F30-'02_人物原始合计'!E30)*IF(J30&gt;=12,1,0.5+0.5*MAX(0,J30)/12))*(1+'02_人物原始合计'!Q30/100))*(1+'02_人物原始合计'!U30/100+IF(J30&gt;=15,0.15,0))*(1+'02_人物原始合计'!V30/100)*(1+'02_人物原始合计'!T30)*(1+'02_人物原始合计'!W30*'01_参数'!$B$18)*(1+MAX(0,MIN(1,'02_人物原始合计'!X30/100))*('01_参数'!$B$16+'02_人物原始合计'!Y30/100-1))*(1+MAX(0,MIN(1,'02_人物原始合计'!Z30/100))*('01_参数'!$B$17+'02_人物原始合计'!AA30/100-1))*N30*'01_参数'!$B$7*'01_参数'!$B$8*MAX(0,'02_人物原始合计'!AO30/100)</x:f>
        <x:v>178.43293413041394</x:v>
      </x:c>
      <x:c r="T30" s="28" t="n">
        <x:f>S30*'01_参数'!$B$6</x:f>
        <x:v>231.96281436953814</x:v>
      </x:c>
      <x:c r="U30" s="28" t="n">
        <x:v>0</x:v>
      </x:c>
      <x:c r="V30" s="28" t="n">
        <x:f>T30+U30</x:f>
        <x:v>231.96281436953814</x:v>
      </x:c>
      <x:c r="W30" s="22" t="n">
        <x:v>1</x:v>
      </x:c>
      <x:c r="X30" s="22" t="n">
        <x:v>23</x:v>
      </x:c>
      <x:c r="Y30" s="22" t="str">
        <x:v>主线</x:v>
      </x:c>
    </x:row>
    <x:row r="31" ht="24" customHeight="1">
      <x:c r="A31" s="22" t="str">
        <x:v>P0027</x:v>
      </x:c>
      <x:c r="B31" s="22" t="n">
        <x:v>2</x:v>
      </x:c>
      <x:c r="C31" s="22" t="n">
        <x:v>1</x:v>
      </x:c>
      <x:c r="D31" s="22" t="str">
        <x:v>C02G01入场</x:v>
      </x:c>
      <x:c r="E31" s="26" t="n">
        <x:v>0.23002873722433922</x:v>
      </x:c>
      <x:c r="F31" s="22" t="n">
        <x:v>2</x:v>
      </x:c>
      <x:c r="G31" s="22" t="n">
        <x:v>0</x:v>
      </x:c>
      <x:c r="H31" s="22" t="n">
        <x:v>0</x:v>
      </x:c>
      <x:c r="I31" s="22" t="n">
        <x:v>3</x:v>
      </x:c>
      <x:c r="J31" s="22" t="n">
        <x:f>'02_人物原始合计'!AG31+'02_人物原始合计'!AH31</x:f>
        <x:v>7</x:v>
      </x:c>
      <x:c r="K31" s="28" t="n">
        <x:f>'02_人物原始合计'!F31*(1+'02_人物原始合计'!Q31/100)</x:f>
        <x:v>4094.3199999999997</x:v>
      </x:c>
      <x:c r="L31" s="28" t="n">
        <x:f>'02_人物原始合计'!K31*(1+'02_人物原始合计'!AV31/100)</x:f>
        <x:v>163489.71</x:v>
      </x:c>
      <x:c r="M31" s="22" t="n">
        <x:f>MAX(0,MIN(50,'02_人物原始合计'!AD31,20+MIN(30,'02_人物原始合计'!AE31)))</x:f>
        <x:v>17</x:v>
      </x:c>
      <x:c r="N31" s="22" t="n">
        <x:f>IF(M31=0,1.75,IF(M31=10,2.2,IF(M31=20,2.9,IF(M31=30,4.3,IF(M31=40,8.5,IF(M31=50,14.3,IF(M31&lt;=40,1000/('01_参数'!$B$21-'01_参数'!$B$22*M31),1000/(1000/8.5+(M31-40)/10*(1000/14.3-1000/8.5)))))))))</x:f>
        <x:v>2.6448877510828637</x:v>
      </x:c>
      <x:c r="O31" s="22" t="n">
        <x:v>180</x:v>
      </x:c>
      <x:c r="P31" s="26" t="n">
        <x:f>MAX(0,MIN('01_参数'!$B$20,'02_人物原始合计'!AM31/100,'01_参数'!$B$19+'02_人物原始合计'!AN31/100))</x:f>
        <x:v>0.38</x:v>
      </x:c>
      <x:c r="Q31" s="28" t="n">
        <x:f>((('02_人物原始合计'!E31+('02_人物原始合计'!F31-'02_人物原始合计'!E31)*IF(J31&gt;=12,1,0.5+0.5*MAX(0,J31)/12))*(1+'02_人物原始合计'!Q31/100))*(1+'02_人物原始合计'!U31/100+IF(J31&gt;=15,0.15,0))*(1+'02_人物原始合计'!V31/100)*(1+'02_人物原始合计'!T31)*(1+'02_人物原始合计'!W31*'01_参数'!$B$18)*(1+MAX(0,MIN(1,'02_人物原始合计'!X31/100))*('01_参数'!$B$16+'02_人物原始合计'!Y31/100-1))*(1+MAX(0,MIN(1,'02_人物原始合计'!Z31/100))*('01_参数'!$B$17+'02_人物原始合计'!AA31/100-1))+'02_人物原始合计'!AB31)*N31*'01_参数'!$B$7*'01_参数'!$B$8</x:f>
        <x:v>17843.293413041392</x:v>
      </x:c>
      <x:c r="R31" s="28" t="n">
        <x:f>Q31*'01_参数'!$B$5</x:f>
        <x:v>35686.586826082785</x:v>
      </x:c>
      <x:c r="S31" s="28" t="n">
        <x:f>(('02_人物原始合计'!E31+('02_人物原始合计'!F31-'02_人物原始合计'!E31)*IF(J31&gt;=12,1,0.5+0.5*MAX(0,J31)/12))*(1+'02_人物原始合计'!Q31/100))*(1+'02_人物原始合计'!U31/100+IF(J31&gt;=15,0.15,0))*(1+'02_人物原始合计'!V31/100)*(1+'02_人物原始合计'!T31)*(1+'02_人物原始合计'!W31*'01_参数'!$B$18)*(1+MAX(0,MIN(1,'02_人物原始合计'!X31/100))*('01_参数'!$B$16+'02_人物原始合计'!Y31/100-1))*(1+MAX(0,MIN(1,'02_人物原始合计'!Z31/100))*('01_参数'!$B$17+'02_人物原始合计'!AA31/100-1))*N31*'01_参数'!$B$7*'01_参数'!$B$8*MAX(0,'02_人物原始合计'!AO31/100)</x:f>
        <x:v>178.43293413041394</x:v>
      </x:c>
      <x:c r="T31" s="28" t="n">
        <x:f>S31*'01_参数'!$B$6</x:f>
        <x:v>231.96281436953814</x:v>
      </x:c>
      <x:c r="U31" s="28" t="n">
        <x:v>0</x:v>
      </x:c>
      <x:c r="V31" s="28" t="n">
        <x:f>T31+U31</x:f>
        <x:v>231.96281436953814</x:v>
      </x:c>
      <x:c r="W31" s="22" t="n">
        <x:v>1</x:v>
      </x:c>
      <x:c r="X31" s="22" t="n">
        <x:v>23</x:v>
      </x:c>
      <x:c r="Y31" s="22" t="str">
        <x:v>主线</x:v>
      </x:c>
    </x:row>
    <x:row r="32" ht="24" customHeight="1">
      <x:c r="A32" s="22" t="str">
        <x:v>P0028</x:v>
      </x:c>
      <x:c r="B32" s="22" t="n">
        <x:v>2</x:v>
      </x:c>
      <x:c r="C32" s="22" t="n">
        <x:v>1</x:v>
      </x:c>
      <x:c r="D32" s="22" t="str">
        <x:v>C02G01普通专属4/6</x:v>
      </x:c>
      <x:c r="E32" s="26" t="n">
        <x:v>0.23532765630222527</x:v>
      </x:c>
      <x:c r="F32" s="22" t="n">
        <x:v>2</x:v>
      </x:c>
      <x:c r="G32" s="22" t="n">
        <x:v>0</x:v>
      </x:c>
      <x:c r="H32" s="22" t="n">
        <x:v>0</x:v>
      </x:c>
      <x:c r="I32" s="22" t="n">
        <x:v>3</x:v>
      </x:c>
      <x:c r="J32" s="22" t="n">
        <x:f>'02_人物原始合计'!AG32+'02_人物原始合计'!AH32</x:f>
        <x:v>7</x:v>
      </x:c>
      <x:c r="K32" s="28" t="n">
        <x:f>'02_人物原始合计'!F32*(1+'02_人物原始合计'!Q32/100)</x:f>
        <x:v>5945.9400000000005</x:v>
      </x:c>
      <x:c r="L32" s="28" t="n">
        <x:f>'02_人物原始合计'!K32*(1+'02_人物原始合计'!AV32/100)</x:f>
        <x:v>237693.1</x:v>
      </x:c>
      <x:c r="M32" s="22" t="n">
        <x:f>MAX(0,MIN(50,'02_人物原始合计'!AD32,20+MIN(30,'02_人物原始合计'!AE32)))</x:f>
        <x:v>25</x:v>
      </x:c>
      <x:c r="N32" s="22" t="n">
        <x:f>IF(M32=0,1.75,IF(M32=10,2.2,IF(M32=20,2.9,IF(M32=30,4.3,IF(M32=40,8.5,IF(M32=50,14.3,IF(M32&lt;=40,1000/('01_参数'!$B$21-'01_参数'!$B$22*M32),1000/(1000/8.5+(M32-40)/10*(1000/14.3-1000/8.5)))))))))</x:f>
        <x:v>3.4755547119998096</x:v>
      </x:c>
      <x:c r="O32" s="22" t="n">
        <x:v>180</x:v>
      </x:c>
      <x:c r="P32" s="26" t="n">
        <x:f>MAX(0,MIN('01_参数'!$B$20,'02_人物原始合计'!AM32/100,'01_参数'!$B$19+'02_人物原始合计'!AN32/100))</x:f>
        <x:v>0.44</x:v>
      </x:c>
      <x:c r="Q32" s="28" t="n">
        <x:f>((('02_人物原始合计'!E32+('02_人物原始合计'!F32-'02_人物原始合计'!E32)*IF(J32&gt;=12,1,0.5+0.5*MAX(0,J32)/12))*(1+'02_人物原始合计'!Q32/100))*(1+'02_人物原始合计'!U32/100+IF(J32&gt;=15,0.15,0))*(1+'02_人物原始合计'!V32/100)*(1+'02_人物原始合计'!T32)*(1+'02_人物原始合计'!W32*'01_参数'!$B$18)*(1+MAX(0,MIN(1,'02_人物原始合计'!X32/100))*('01_参数'!$B$16+'02_人物原始合计'!Y32/100-1))*(1+MAX(0,MIN(1,'02_人物原始合计'!Z32/100))*('01_参数'!$B$17+'02_人物原始合计'!AA32/100-1))+'02_人物原始合计'!AB32)*N32*'01_参数'!$B$7*'01_参数'!$B$8</x:f>
        <x:v>43200.111562237114</x:v>
      </x:c>
      <x:c r="R32" s="28" t="n">
        <x:f>Q32*'01_参数'!$B$5</x:f>
        <x:v>86400.22312447423</x:v>
      </x:c>
      <x:c r="S32" s="28" t="n">
        <x:f>(('02_人物原始合计'!E32+('02_人物原始合计'!F32-'02_人物原始合计'!E32)*IF(J32&gt;=12,1,0.5+0.5*MAX(0,J32)/12))*(1+'02_人物原始合计'!Q32/100))*(1+'02_人物原始合计'!U32/100+IF(J32&gt;=15,0.15,0))*(1+'02_人物原始合计'!V32/100)*(1+'02_人物原始合计'!T32)*(1+'02_人物原始合计'!W32*'01_参数'!$B$18)*(1+MAX(0,MIN(1,'02_人物原始合计'!X32/100))*('01_参数'!$B$16+'02_人物原始合计'!Y32/100-1))*(1+MAX(0,MIN(1,'02_人物原始合计'!Z32/100))*('01_参数'!$B$17+'02_人物原始合计'!AA32/100-1))*N32*'01_参数'!$B$7*'01_参数'!$B$8*MAX(0,'02_人物原始合计'!AO32/100)</x:f>
        <x:v>1296.0033468671134</x:v>
      </x:c>
      <x:c r="T32" s="28" t="n">
        <x:f>S32*'01_参数'!$B$6</x:f>
        <x:v>1684.8043509272475</x:v>
      </x:c>
      <x:c r="U32" s="28" t="n">
        <x:v>0</x:v>
      </x:c>
      <x:c r="V32" s="28" t="n">
        <x:f>T32+U32</x:f>
        <x:v>1684.8043509272475</x:v>
      </x:c>
      <x:c r="W32" s="22" t="n">
        <x:v>1</x:v>
      </x:c>
      <x:c r="X32" s="22" t="n">
        <x:v>23</x:v>
      </x:c>
      <x:c r="Y32" s="22" t="str">
        <x:v>主线</x:v>
      </x:c>
    </x:row>
    <x:row r="33" ht="24" customHeight="1">
      <x:c r="A33" s="22" t="str">
        <x:v>P0029</x:v>
      </x:c>
      <x:c r="B33" s="22" t="n">
        <x:v>2</x:v>
      </x:c>
      <x:c r="C33" s="22" t="n">
        <x:v>1</x:v>
      </x:c>
      <x:c r="D33" s="22" t="str">
        <x:v>溃烂树灵·乌尔德挑战前</x:v>
      </x:c>
      <x:c r="E33" s="26" t="n">
        <x:v>0.23532765630222527</x:v>
      </x:c>
      <x:c r="F33" s="22" t="n">
        <x:v>2</x:v>
      </x:c>
      <x:c r="G33" s="22" t="n">
        <x:v>5</x:v>
      </x:c>
      <x:c r="H33" s="22" t="n">
        <x:v>0</x:v>
      </x:c>
      <x:c r="I33" s="22" t="n">
        <x:v>3</x:v>
      </x:c>
      <x:c r="J33" s="22" t="n">
        <x:f>'02_人物原始合计'!AG33+'02_人物原始合计'!AH33</x:f>
        <x:v>12</x:v>
      </x:c>
      <x:c r="K33" s="28" t="n">
        <x:f>'02_人物原始合计'!F33*(1+'02_人物原始合计'!Q33/100)</x:f>
        <x:v>6323.88</x:v>
      </x:c>
      <x:c r="L33" s="28" t="n">
        <x:f>'02_人物原始合计'!K33*(1+'02_人物原始合计'!AV33/100)</x:f>
        <x:v>239238.1</x:v>
      </x:c>
      <x:c r="M33" s="22" t="n">
        <x:f>MAX(0,MIN(50,'02_人物原始合计'!AD33,20+MIN(30,'02_人物原始合计'!AE33)))</x:f>
        <x:v>25</x:v>
      </x:c>
      <x:c r="N33" s="22" t="n">
        <x:f>IF(M33=0,1.75,IF(M33=10,2.2,IF(M33=20,2.9,IF(M33=30,4.3,IF(M33=40,8.5,IF(M33=50,14.3,IF(M33&lt;=40,1000/('01_参数'!$B$21-'01_参数'!$B$22*M33),1000/(1000/8.5+(M33-40)/10*(1000/14.3-1000/8.5)))))))))</x:f>
        <x:v>3.4755547119998096</x:v>
      </x:c>
      <x:c r="O33" s="22" t="n">
        <x:v>210</x:v>
      </x:c>
      <x:c r="P33" s="26" t="n">
        <x:f>MAX(0,MIN('01_参数'!$B$20,'02_人物原始合计'!AM33/100,'01_参数'!$B$19+'02_人物原始合计'!AN33/100))</x:f>
        <x:v>0.44</x:v>
      </x:c>
      <x:c r="Q33" s="28" t="n">
        <x:f>((('02_人物原始合计'!E33+('02_人物原始合计'!F33-'02_人物原始合计'!E33)*IF(J33&gt;=12,1,0.5+0.5*MAX(0,J33)/12))*(1+'02_人物原始合计'!Q33/100))*(1+'02_人物原始合计'!U33/100+IF(J33&gt;=15,0.15,0))*(1+'02_人物原始合计'!V33/100)*(1+'02_人物原始合计'!T33)*(1+'02_人物原始合计'!W33*'01_参数'!$B$18)*(1+MAX(0,MIN(1,'02_人物原始合计'!X33/100))*('01_参数'!$B$16+'02_人物原始合计'!Y33/100-1))*(1+MAX(0,MIN(1,'02_人物原始合计'!Z33/100))*('01_参数'!$B$17+'02_人物原始合计'!AA33/100-1))+'02_人物原始合计'!AB33)*N33*'01_参数'!$B$7*'01_参数'!$B$8</x:f>
        <x:v>48025.033049991755</x:v>
      </x:c>
      <x:c r="R33" s="28" t="n">
        <x:f>Q33*'01_参数'!$B$5</x:f>
        <x:v>96050.06609998351</x:v>
      </x:c>
      <x:c r="S33" s="28" t="n">
        <x:f>(('02_人物原始合计'!E33+('02_人物原始合计'!F33-'02_人物原始合计'!E33)*IF(J33&gt;=12,1,0.5+0.5*MAX(0,J33)/12))*(1+'02_人物原始合计'!Q33/100))*(1+'02_人物原始合计'!U33/100+IF(J33&gt;=15,0.15,0))*(1+'02_人物原始合计'!V33/100)*(1+'02_人物原始合计'!T33)*(1+'02_人物原始合计'!W33*'01_参数'!$B$18)*(1+MAX(0,MIN(1,'02_人物原始合计'!X33/100))*('01_参数'!$B$16+'02_人物原始合计'!Y33/100-1))*(1+MAX(0,MIN(1,'02_人物原始合计'!Z33/100))*('01_参数'!$B$17+'02_人物原始合计'!AA33/100-1))*N33*'01_参数'!$B$7*'01_参数'!$B$8*MAX(0,'02_人物原始合计'!AO33/100)</x:f>
        <x:v>1921.0013219996702</x:v>
      </x:c>
      <x:c r="T33" s="28" t="n">
        <x:f>S33*'01_参数'!$B$6</x:f>
        <x:v>2497.3017185995714</x:v>
      </x:c>
      <x:c r="U33" s="28" t="n">
        <x:v>0</x:v>
      </x:c>
      <x:c r="V33" s="28" t="n">
        <x:f>T33+U33</x:f>
        <x:v>2497.3017185995714</x:v>
      </x:c>
      <x:c r="W33" s="22" t="n">
        <x:v>1</x:v>
      </x:c>
      <x:c r="X33" s="22" t="n">
        <x:v>23</x:v>
      </x:c>
      <x:c r="Y33" s="22" t="str">
        <x:v>主线</x:v>
      </x:c>
    </x:row>
    <x:row r="34" ht="24" customHeight="1">
      <x:c r="A34" s="22" t="str">
        <x:v>P0030</x:v>
      </x:c>
      <x:c r="B34" s="22" t="n">
        <x:v>2</x:v>
      </x:c>
      <x:c r="C34" s="22" t="n">
        <x:v>1</x:v>
      </x:c>
      <x:c r="D34" s="22" t="str">
        <x:v>接肢贵胄·格雷姆挑战前</x:v>
      </x:c>
      <x:c r="E34" s="26" t="n">
        <x:v>0.23532765630222527</x:v>
      </x:c>
      <x:c r="F34" s="22" t="n">
        <x:v>2</x:v>
      </x:c>
      <x:c r="G34" s="22" t="n">
        <x:v>5</x:v>
      </x:c>
      <x:c r="H34" s="22" t="n">
        <x:v>0</x:v>
      </x:c>
      <x:c r="I34" s="22" t="n">
        <x:v>3</x:v>
      </x:c>
      <x:c r="J34" s="22" t="n">
        <x:f>'02_人物原始合计'!AG34+'02_人物原始合计'!AH34</x:f>
        <x:v>12</x:v>
      </x:c>
      <x:c r="K34" s="28" t="n">
        <x:f>'02_人物原始合计'!F34*(1+'02_人物原始合计'!Q34/100)</x:f>
        <x:v>6323.88</x:v>
      </x:c>
      <x:c r="L34" s="28" t="n">
        <x:f>'02_人物原始合计'!K34*(1+'02_人物原始合计'!AV34/100)</x:f>
        <x:v>239238.1</x:v>
      </x:c>
      <x:c r="M34" s="22" t="n">
        <x:f>MAX(0,MIN(50,'02_人物原始合计'!AD34,20+MIN(30,'02_人物原始合计'!AE34)))</x:f>
        <x:v>25</x:v>
      </x:c>
      <x:c r="N34" s="22" t="n">
        <x:f>IF(M34=0,1.75,IF(M34=10,2.2,IF(M34=20,2.9,IF(M34=30,4.3,IF(M34=40,8.5,IF(M34=50,14.3,IF(M34&lt;=40,1000/('01_参数'!$B$21-'01_参数'!$B$22*M34),1000/(1000/8.5+(M34-40)/10*(1000/14.3-1000/8.5)))))))))</x:f>
        <x:v>3.4755547119998096</x:v>
      </x:c>
      <x:c r="O34" s="22" t="n">
        <x:v>210</x:v>
      </x:c>
      <x:c r="P34" s="26" t="n">
        <x:f>MAX(0,MIN('01_参数'!$B$20,'02_人物原始合计'!AM34/100,'01_参数'!$B$19+'02_人物原始合计'!AN34/100))</x:f>
        <x:v>0.44</x:v>
      </x:c>
      <x:c r="Q34" s="28" t="n">
        <x:f>((('02_人物原始合计'!E34+('02_人物原始合计'!F34-'02_人物原始合计'!E34)*IF(J34&gt;=12,1,0.5+0.5*MAX(0,J34)/12))*(1+'02_人物原始合计'!Q34/100))*(1+'02_人物原始合计'!U34/100+IF(J34&gt;=15,0.15,0))*(1+'02_人物原始合计'!V34/100)*(1+'02_人物原始合计'!T34)*(1+'02_人物原始合计'!W34*'01_参数'!$B$18)*(1+MAX(0,MIN(1,'02_人物原始合计'!X34/100))*('01_参数'!$B$16+'02_人物原始合计'!Y34/100-1))*(1+MAX(0,MIN(1,'02_人物原始合计'!Z34/100))*('01_参数'!$B$17+'02_人物原始合计'!AA34/100-1))+'02_人物原始合计'!AB34)*N34*'01_参数'!$B$7*'01_参数'!$B$8</x:f>
        <x:v>48025.033049991755</x:v>
      </x:c>
      <x:c r="R34" s="28" t="n">
        <x:f>Q34*'01_参数'!$B$5</x:f>
        <x:v>96050.06609998351</x:v>
      </x:c>
      <x:c r="S34" s="28" t="n">
        <x:f>(('02_人物原始合计'!E34+('02_人物原始合计'!F34-'02_人物原始合计'!E34)*IF(J34&gt;=12,1,0.5+0.5*MAX(0,J34)/12))*(1+'02_人物原始合计'!Q34/100))*(1+'02_人物原始合计'!U34/100+IF(J34&gt;=15,0.15,0))*(1+'02_人物原始合计'!V34/100)*(1+'02_人物原始合计'!T34)*(1+'02_人物原始合计'!W34*'01_参数'!$B$18)*(1+MAX(0,MIN(1,'02_人物原始合计'!X34/100))*('01_参数'!$B$16+'02_人物原始合计'!Y34/100-1))*(1+MAX(0,MIN(1,'02_人物原始合计'!Z34/100))*('01_参数'!$B$17+'02_人物原始合计'!AA34/100-1))*N34*'01_参数'!$B$7*'01_参数'!$B$8*MAX(0,'02_人物原始合计'!AO34/100)</x:f>
        <x:v>1921.0013219996702</x:v>
      </x:c>
      <x:c r="T34" s="28" t="n">
        <x:f>S34*'01_参数'!$B$6</x:f>
        <x:v>2497.3017185995714</x:v>
      </x:c>
      <x:c r="U34" s="28" t="n">
        <x:v>0</x:v>
      </x:c>
      <x:c r="V34" s="28" t="n">
        <x:f>T34+U34</x:f>
        <x:v>2497.3017185995714</x:v>
      </x:c>
      <x:c r="W34" s="22" t="n">
        <x:v>1</x:v>
      </x:c>
      <x:c r="X34" s="22" t="n">
        <x:v>23</x:v>
      </x:c>
      <x:c r="Y34" s="22" t="str">
        <x:v>主线</x:v>
      </x:c>
    </x:row>
    <x:row r="35" ht="24" customHeight="1">
      <x:c r="A35" s="22" t="str">
        <x:v>P0031</x:v>
      </x:c>
      <x:c r="B35" s="22" t="n">
        <x:v>2</x:v>
      </x:c>
      <x:c r="C35" s="22" t="n">
        <x:v>1</x:v>
      </x:c>
      <x:c r="D35" s="22" t="str">
        <x:v>漂流墓地BOSS装备快线</x:v>
      </x:c>
      <x:c r="E35" s="26" t="n">
        <x:v>0.24448591402313846</x:v>
      </x:c>
      <x:c r="F35" s="22" t="n">
        <x:v>2</x:v>
      </x:c>
      <x:c r="G35" s="22" t="n">
        <x:v>5</x:v>
      </x:c>
      <x:c r="H35" s="22" t="n">
        <x:v>0</x:v>
      </x:c>
      <x:c r="I35" s="22" t="n">
        <x:v>3</x:v>
      </x:c>
      <x:c r="J35" s="22" t="n">
        <x:f>'02_人物原始合计'!AG35+'02_人物原始合计'!AH35</x:f>
        <x:v>12</x:v>
      </x:c>
      <x:c r="K35" s="28" t="n">
        <x:f>'02_人物原始合计'!F35*(1+'02_人物原始合计'!Q35/100)</x:f>
        <x:v>6665.12</x:v>
      </x:c>
      <x:c r="L35" s="28" t="n">
        <x:f>'02_人物原始合计'!K35*(1+'02_人物原始合计'!AV35/100)</x:f>
        <x:v>257160.80000000002</x:v>
      </x:c>
      <x:c r="M35" s="22" t="n">
        <x:f>MAX(0,MIN(50,'02_人物原始合计'!AD35,20+MIN(30,'02_人物原始合计'!AE35)))</x:f>
        <x:v>25</x:v>
      </x:c>
      <x:c r="N35" s="22" t="n">
        <x:f>IF(M35=0,1.75,IF(M35=10,2.2,IF(M35=20,2.9,IF(M35=30,4.3,IF(M35=40,8.5,IF(M35=50,14.3,IF(M35&lt;=40,1000/('01_参数'!$B$21-'01_参数'!$B$22*M35),1000/(1000/8.5+(M35-40)/10*(1000/14.3-1000/8.5)))))))))</x:f>
        <x:v>3.4755547119998096</x:v>
      </x:c>
      <x:c r="O35" s="22" t="n">
        <x:v>214</x:v>
      </x:c>
      <x:c r="P35" s="26" t="n">
        <x:f>MAX(0,MIN('01_参数'!$B$20,'02_人物原始合计'!AM35/100,'01_参数'!$B$19+'02_人物原始合计'!AN35/100))</x:f>
        <x:v>0.45</x:v>
      </x:c>
      <x:c r="Q35" s="28" t="n">
        <x:f>((('02_人物原始合计'!E35+('02_人物原始合计'!F35-'02_人物原始合计'!E35)*IF(J35&gt;=12,1,0.5+0.5*MAX(0,J35)/12))*(1+'02_人物原始合计'!Q35/100))*(1+'02_人物原始合计'!U35/100+IF(J35&gt;=15,0.15,0))*(1+'02_人物原始合计'!V35/100)*(1+'02_人物原始合计'!T35)*(1+'02_人物原始合计'!W35*'01_参数'!$B$18)*(1+MAX(0,MIN(1,'02_人物原始合计'!X35/100))*('01_参数'!$B$16+'02_人物原始合计'!Y35/100-1))*(1+MAX(0,MIN(1,'02_人物原始合计'!Z35/100))*('01_参数'!$B$17+'02_人物原始合计'!AA35/100-1))+'02_人物原始合计'!AB35)*N35*'01_参数'!$B$7*'01_参数'!$B$8</x:f>
        <x:v>51728.709641574795</x:v>
      </x:c>
      <x:c r="R35" s="28" t="n">
        <x:f>Q35*'01_参数'!$B$5</x:f>
        <x:v>103457.41928314959</x:v>
      </x:c>
      <x:c r="S35" s="28" t="n">
        <x:f>(('02_人物原始合计'!E35+('02_人物原始合计'!F35-'02_人物原始合计'!E35)*IF(J35&gt;=12,1,0.5+0.5*MAX(0,J35)/12))*(1+'02_人物原始合计'!Q35/100))*(1+'02_人物原始合计'!U35/100+IF(J35&gt;=15,0.15,0))*(1+'02_人物原始合计'!V35/100)*(1+'02_人物原始合计'!T35)*(1+'02_人物原始合计'!W35*'01_参数'!$B$18)*(1+MAX(0,MIN(1,'02_人物原始合计'!X35/100))*('01_参数'!$B$16+'02_人物原始合计'!Y35/100-1))*(1+MAX(0,MIN(1,'02_人物原始合计'!Z35/100))*('01_参数'!$B$17+'02_人物原始合计'!AA35/100-1))*N35*'01_参数'!$B$7*'01_参数'!$B$8*MAX(0,'02_人物原始合计'!AO35/100)</x:f>
        <x:v>2069.148385662992</x:v>
      </x:c>
      <x:c r="T35" s="28" t="n">
        <x:f>S35*'01_参数'!$B$6</x:f>
        <x:v>2689.89290136189</x:v>
      </x:c>
      <x:c r="U35" s="28" t="n">
        <x:v>0</x:v>
      </x:c>
      <x:c r="V35" s="28" t="n">
        <x:f>T35+U35</x:f>
        <x:v>2689.89290136189</x:v>
      </x:c>
      <x:c r="W35" s="22" t="n">
        <x:v>1</x:v>
      </x:c>
      <x:c r="X35" s="22" t="n">
        <x:v>23</x:v>
      </x:c>
      <x:c r="Y35" s="22" t="str">
        <x:v>C02G01BOSS强装对照</x:v>
      </x:c>
    </x:row>
    <x:row r="36" ht="24" customHeight="1">
      <x:c r="A36" s="22" t="str">
        <x:v>P0032</x:v>
      </x:c>
      <x:c r="B36" s="22" t="n">
        <x:v>2</x:v>
      </x:c>
      <x:c r="C36" s="22" t="n">
        <x:v>1</x:v>
      </x:c>
      <x:c r="D36" s="22" t="str">
        <x:v>漂流墓地阶段积累后</x:v>
      </x:c>
      <x:c r="E36" s="26" t="n">
        <x:v>0.26731536122025806</x:v>
      </x:c>
      <x:c r="F36" s="22" t="n">
        <x:v>2</x:v>
      </x:c>
      <x:c r="G36" s="22" t="n">
        <x:v>5</x:v>
      </x:c>
      <x:c r="H36" s="22" t="n">
        <x:v>0</x:v>
      </x:c>
      <x:c r="I36" s="22" t="n">
        <x:v>3</x:v>
      </x:c>
      <x:c r="J36" s="22" t="n">
        <x:f>'02_人物原始合计'!AG36+'02_人物原始合计'!AH36</x:f>
        <x:v>12</x:v>
      </x:c>
      <x:c r="K36" s="28" t="n">
        <x:f>'02_人物原始合计'!F36*(1+'02_人物原始合计'!Q36/100)</x:f>
        <x:v>6621.87</x:v>
      </x:c>
      <x:c r="L36" s="28" t="n">
        <x:f>'02_人物原始合计'!K36*(1+'02_人物原始合计'!AV36/100)</x:f>
        <x:v>245521.1</x:v>
      </x:c>
      <x:c r="M36" s="22" t="n">
        <x:f>MAX(0,MIN(50,'02_人物原始合计'!AD36,20+MIN(30,'02_人物原始合计'!AE36)))</x:f>
        <x:v>25</x:v>
      </x:c>
      <x:c r="N36" s="22" t="n">
        <x:f>IF(M36=0,1.75,IF(M36=10,2.2,IF(M36=20,2.9,IF(M36=30,4.3,IF(M36=40,8.5,IF(M36=50,14.3,IF(M36&lt;=40,1000/('01_参数'!$B$21-'01_参数'!$B$22*M36),1000/(1000/8.5+(M36-40)/10*(1000/14.3-1000/8.5)))))))))</x:f>
        <x:v>3.4755547119998096</x:v>
      </x:c>
      <x:c r="O36" s="22" t="n">
        <x:v>230</x:v>
      </x:c>
      <x:c r="P36" s="26" t="n">
        <x:f>MAX(0,MIN('01_参数'!$B$20,'02_人物原始合计'!AM36/100,'01_参数'!$B$19+'02_人物原始合计'!AN36/100))</x:f>
        <x:v>0.44</x:v>
      </x:c>
      <x:c r="Q36" s="28" t="n">
        <x:f>((('02_人物原始合计'!E36+('02_人物原始合计'!F36-'02_人物原始合计'!E36)*IF(J36&gt;=12,1,0.5+0.5*MAX(0,J36)/12))*(1+'02_人物原始合计'!Q36/100))*(1+'02_人物原始合计'!U36/100+IF(J36&gt;=15,0.15,0))*(1+'02_人物原始合计'!V36/100)*(1+'02_人物原始合计'!T36)*(1+'02_人物原始合计'!W36*'01_参数'!$B$18)*(1+MAX(0,MIN(1,'02_人物原始合计'!X36/100))*('01_参数'!$B$16+'02_人物原始合计'!Y36/100-1))*(1+MAX(0,MIN(1,'02_人物原始合计'!Z36/100))*('01_参数'!$B$17+'02_人物原始合计'!AA36/100-1))+'02_人物原始合计'!AB36)*N36*'01_参数'!$B$7*'01_参数'!$B$8</x:f>
        <x:v>52587.70652134014</x:v>
      </x:c>
      <x:c r="R36" s="28" t="n">
        <x:f>Q36*'01_参数'!$B$5</x:f>
        <x:v>105175.41304268027</x:v>
      </x:c>
      <x:c r="S36" s="28" t="n">
        <x:f>(('02_人物原始合计'!E36+('02_人物原始合计'!F36-'02_人物原始合计'!E36)*IF(J36&gt;=12,1,0.5+0.5*MAX(0,J36)/12))*(1+'02_人物原始合计'!Q36/100))*(1+'02_人物原始合计'!U36/100+IF(J36&gt;=15,0.15,0))*(1+'02_人物原始合计'!V36/100)*(1+'02_人物原始合计'!T36)*(1+'02_人物原始合计'!W36*'01_参数'!$B$18)*(1+MAX(0,MIN(1,'02_人物原始合计'!X36/100))*('01_参数'!$B$16+'02_人物原始合计'!Y36/100-1))*(1+MAX(0,MIN(1,'02_人物原始合计'!Z36/100))*('01_参数'!$B$17+'02_人物原始合计'!AA36/100-1))*N36*'01_参数'!$B$7*'01_参数'!$B$8*MAX(0,'02_人物原始合计'!AO36/100)</x:f>
        <x:v>2103.5082608536054</x:v>
      </x:c>
      <x:c r="T36" s="28" t="n">
        <x:f>S36*'01_参数'!$B$6</x:f>
        <x:v>2734.5607391096873</x:v>
      </x:c>
      <x:c r="U36" s="28" t="n">
        <x:v>0</x:v>
      </x:c>
      <x:c r="V36" s="28" t="n">
        <x:f>T36+U36</x:f>
        <x:v>2734.5607391096873</x:v>
      </x:c>
      <x:c r="W36" s="22" t="n">
        <x:v>2</x:v>
      </x:c>
      <x:c r="X36" s="22" t="n">
        <x:v>24</x:v>
      </x:c>
      <x:c r="Y36" s="22" t="str">
        <x:v>主线</x:v>
      </x:c>
    </x:row>
    <x:row r="37" ht="24" customHeight="1">
      <x:c r="A37" s="22" t="str">
        <x:v>P0033</x:v>
      </x:c>
      <x:c r="B37" s="22" t="n">
        <x:v>2</x:v>
      </x:c>
      <x:c r="C37" s="22" t="n">
        <x:v>2</x:v>
      </x:c>
      <x:c r="D37" s="22" t="str">
        <x:v>C02G02入场</x:v>
      </x:c>
      <x:c r="E37" s="26" t="n">
        <x:v>0.26731536122025806</x:v>
      </x:c>
      <x:c r="F37" s="22" t="n">
        <x:v>2</x:v>
      </x:c>
      <x:c r="G37" s="22" t="n">
        <x:v>5</x:v>
      </x:c>
      <x:c r="H37" s="22" t="n">
        <x:v>0</x:v>
      </x:c>
      <x:c r="I37" s="22" t="n">
        <x:v>3</x:v>
      </x:c>
      <x:c r="J37" s="22" t="n">
        <x:f>'02_人物原始合计'!AG37+'02_人物原始合计'!AH37</x:f>
        <x:v>12</x:v>
      </x:c>
      <x:c r="K37" s="28" t="n">
        <x:f>'02_人物原始合计'!F37*(1+'02_人物原始合计'!Q37/100)</x:f>
        <x:v>6621.87</x:v>
      </x:c>
      <x:c r="L37" s="28" t="n">
        <x:f>'02_人物原始合计'!K37*(1+'02_人物原始合计'!AV37/100)</x:f>
        <x:v>245521.1</x:v>
      </x:c>
      <x:c r="M37" s="22" t="n">
        <x:f>MAX(0,MIN(50,'02_人物原始合计'!AD37,20+MIN(30,'02_人物原始合计'!AE37)))</x:f>
        <x:v>25</x:v>
      </x:c>
      <x:c r="N37" s="22" t="n">
        <x:f>IF(M37=0,1.75,IF(M37=10,2.2,IF(M37=20,2.9,IF(M37=30,4.3,IF(M37=40,8.5,IF(M37=50,14.3,IF(M37&lt;=40,1000/('01_参数'!$B$21-'01_参数'!$B$22*M37),1000/(1000/8.5+(M37-40)/10*(1000/14.3-1000/8.5)))))))))</x:f>
        <x:v>3.4755547119998096</x:v>
      </x:c>
      <x:c r="O37" s="22" t="n">
        <x:v>230</x:v>
      </x:c>
      <x:c r="P37" s="26" t="n">
        <x:f>MAX(0,MIN('01_参数'!$B$20,'02_人物原始合计'!AM37/100,'01_参数'!$B$19+'02_人物原始合计'!AN37/100))</x:f>
        <x:v>0.44</x:v>
      </x:c>
      <x:c r="Q37" s="28" t="n">
        <x:f>((('02_人物原始合计'!E37+('02_人物原始合计'!F37-'02_人物原始合计'!E37)*IF(J37&gt;=12,1,0.5+0.5*MAX(0,J37)/12))*(1+'02_人物原始合计'!Q37/100))*(1+'02_人物原始合计'!U37/100+IF(J37&gt;=15,0.15,0))*(1+'02_人物原始合计'!V37/100)*(1+'02_人物原始合计'!T37)*(1+'02_人物原始合计'!W37*'01_参数'!$B$18)*(1+MAX(0,MIN(1,'02_人物原始合计'!X37/100))*('01_参数'!$B$16+'02_人物原始合计'!Y37/100-1))*(1+MAX(0,MIN(1,'02_人物原始合计'!Z37/100))*('01_参数'!$B$17+'02_人物原始合计'!AA37/100-1))+'02_人物原始合计'!AB37)*N37*'01_参数'!$B$7*'01_参数'!$B$8</x:f>
        <x:v>52587.70652134014</x:v>
      </x:c>
      <x:c r="R37" s="28" t="n">
        <x:f>Q37*'01_参数'!$B$5</x:f>
        <x:v>105175.41304268027</x:v>
      </x:c>
      <x:c r="S37" s="28" t="n">
        <x:f>(('02_人物原始合计'!E37+('02_人物原始合计'!F37-'02_人物原始合计'!E37)*IF(J37&gt;=12,1,0.5+0.5*MAX(0,J37)/12))*(1+'02_人物原始合计'!Q37/100))*(1+'02_人物原始合计'!U37/100+IF(J37&gt;=15,0.15,0))*(1+'02_人物原始合计'!V37/100)*(1+'02_人物原始合计'!T37)*(1+'02_人物原始合计'!W37*'01_参数'!$B$18)*(1+MAX(0,MIN(1,'02_人物原始合计'!X37/100))*('01_参数'!$B$16+'02_人物原始合计'!Y37/100-1))*(1+MAX(0,MIN(1,'02_人物原始合计'!Z37/100))*('01_参数'!$B$17+'02_人物原始合计'!AA37/100-1))*N37*'01_参数'!$B$7*'01_参数'!$B$8*MAX(0,'02_人物原始合计'!AO37/100)</x:f>
        <x:v>2103.5082608536054</x:v>
      </x:c>
      <x:c r="T37" s="28" t="n">
        <x:f>S37*'01_参数'!$B$6</x:f>
        <x:v>2734.5607391096873</x:v>
      </x:c>
      <x:c r="U37" s="28" t="n">
        <x:v>0</x:v>
      </x:c>
      <x:c r="V37" s="28" t="n">
        <x:f>T37+U37</x:f>
        <x:v>2734.5607391096873</x:v>
      </x:c>
      <x:c r="W37" s="22" t="n">
        <x:v>2</x:v>
      </x:c>
      <x:c r="X37" s="22" t="n">
        <x:v>24</x:v>
      </x:c>
      <x:c r="Y37" s="22" t="str">
        <x:v>主线</x:v>
      </x:c>
    </x:row>
    <x:row r="38" ht="24" customHeight="1">
      <x:c r="A38" s="22" t="str">
        <x:v>P0034</x:v>
      </x:c>
      <x:c r="B38" s="22" t="n">
        <x:v>2</x:v>
      </x:c>
      <x:c r="C38" s="22" t="n">
        <x:v>2</x:v>
      </x:c>
      <x:c r="D38" s="22" t="str">
        <x:v>C02G02普通专属4/6</x:v>
      </x:c>
      <x:c r="E38" s="26" t="n">
        <x:v>0.2693151521521892</x:v>
      </x:c>
      <x:c r="F38" s="22" t="n">
        <x:v>2</x:v>
      </x:c>
      <x:c r="G38" s="22" t="n">
        <x:v>5</x:v>
      </x:c>
      <x:c r="H38" s="22" t="n">
        <x:v>0</x:v>
      </x:c>
      <x:c r="I38" s="22" t="n">
        <x:v>3</x:v>
      </x:c>
      <x:c r="J38" s="22" t="n">
        <x:f>'02_人物原始合计'!AG38+'02_人物原始合计'!AH38</x:f>
        <x:v>12</x:v>
      </x:c>
      <x:c r="K38" s="28" t="n">
        <x:f>'02_人物原始合计'!F38*(1+'02_人物原始合计'!Q38/100)</x:f>
        <x:v>7177.65</x:v>
      </x:c>
      <x:c r="L38" s="28" t="n">
        <x:f>'02_人物原始合计'!K38*(1+'02_人物原始合计'!AV38/100)</x:f>
        <x:v>283660</x:v>
      </x:c>
      <x:c r="M38" s="22" t="n">
        <x:f>MAX(0,MIN(50,'02_人物原始合计'!AD38,20+MIN(30,'02_人物原始合计'!AE38)))</x:f>
        <x:v>25</x:v>
      </x:c>
      <x:c r="N38" s="22" t="n">
        <x:f>IF(M38=0,1.75,IF(M38=10,2.2,IF(M38=20,2.9,IF(M38=30,4.3,IF(M38=40,8.5,IF(M38=50,14.3,IF(M38&lt;=40,1000/('01_参数'!$B$21-'01_参数'!$B$22*M38),1000/(1000/8.5+(M38-40)/10*(1000/14.3-1000/8.5)))))))))</x:f>
        <x:v>3.4755547119998096</x:v>
      </x:c>
      <x:c r="O38" s="22" t="n">
        <x:v>220</x:v>
      </x:c>
      <x:c r="P38" s="26" t="n">
        <x:f>MAX(0,MIN('01_参数'!$B$20,'02_人物原始合计'!AM38/100,'01_参数'!$B$19+'02_人物原始合计'!AN38/100))</x:f>
        <x:v>0.42</x:v>
      </x:c>
      <x:c r="Q38" s="28" t="n">
        <x:f>((('02_人物原始合计'!E38+('02_人物原始合计'!F38-'02_人物原始合计'!E38)*IF(J38&gt;=12,1,0.5+0.5*MAX(0,J38)/12))*(1+'02_人物原始合计'!Q38/100))*(1+'02_人物原始合计'!U38/100+IF(J38&gt;=15,0.15,0))*(1+'02_人物原始合计'!V38/100)*(1+'02_人物原始合计'!T38)*(1+'02_人物原始合计'!W38*'01_参数'!$B$18)*(1+MAX(0,MIN(1,'02_人物原始合计'!X38/100))*('01_参数'!$B$16+'02_人物原始合计'!Y38/100-1))*(1+MAX(0,MIN(1,'02_人物原始合计'!Z38/100))*('01_参数'!$B$17+'02_人物原始合计'!AA38/100-1))+'02_人物原始合计'!AB38)*N38*'01_参数'!$B$7*'01_参数'!$B$8</x:f>
        <x:v>65323.5906384958</x:v>
      </x:c>
      <x:c r="R38" s="28" t="n">
        <x:f>Q38*'01_参数'!$B$5</x:f>
        <x:v>130647.1812769916</x:v>
      </x:c>
      <x:c r="S38" s="28" t="n">
        <x:f>(('02_人物原始合计'!E38+('02_人物原始合计'!F38-'02_人物原始合计'!E38)*IF(J38&gt;=12,1,0.5+0.5*MAX(0,J38)/12))*(1+'02_人物原始合计'!Q38/100))*(1+'02_人物原始合计'!U38/100+IF(J38&gt;=15,0.15,0))*(1+'02_人物原始合计'!V38/100)*(1+'02_人物原始合计'!T38)*(1+'02_人物原始合计'!W38*'01_参数'!$B$18)*(1+MAX(0,MIN(1,'02_人物原始合计'!X38/100))*('01_参数'!$B$16+'02_人物原始合计'!Y38/100-1))*(1+MAX(0,MIN(1,'02_人物原始合计'!Z38/100))*('01_参数'!$B$17+'02_人物原始合计'!AA38/100-1))*N38*'01_参数'!$B$7*'01_参数'!$B$8*MAX(0,'02_人物原始合计'!AO38/100)</x:f>
        <x:v>2612.943625539832</x:v>
      </x:c>
      <x:c r="T38" s="28" t="n">
        <x:f>S38*'01_参数'!$B$6</x:f>
        <x:v>3396.8267132017813</x:v>
      </x:c>
      <x:c r="U38" s="28" t="n">
        <x:v>0</x:v>
      </x:c>
      <x:c r="V38" s="28" t="n">
        <x:f>T38+U38</x:f>
        <x:v>3396.8267132017813</x:v>
      </x:c>
      <x:c r="W38" s="22" t="n">
        <x:v>2</x:v>
      </x:c>
      <x:c r="X38" s="22" t="n">
        <x:v>24</x:v>
      </x:c>
      <x:c r="Y38" s="22" t="str">
        <x:v>主线</x:v>
      </x:c>
    </x:row>
    <x:row r="39" ht="24" customHeight="1">
      <x:c r="A39" s="22" t="str">
        <x:v>P0035</x:v>
      </x:c>
      <x:c r="B39" s="22" t="n">
        <x:v>2</x:v>
      </x:c>
      <x:c r="C39" s="22" t="n">
        <x:v>2</x:v>
      </x:c>
      <x:c r="D39" s="22" t="str">
        <x:v>大树守卫·罗兰挑战前</x:v>
      </x:c>
      <x:c r="E39" s="26" t="n">
        <x:v>0.2693151521521892</x:v>
      </x:c>
      <x:c r="F39" s="22" t="n">
        <x:v>2</x:v>
      </x:c>
      <x:c r="G39" s="22" t="n">
        <x:v>15</x:v>
      </x:c>
      <x:c r="H39" s="22" t="n">
        <x:v>0</x:v>
      </x:c>
      <x:c r="I39" s="22" t="n">
        <x:v>3</x:v>
      </x:c>
      <x:c r="J39" s="22" t="n">
        <x:f>'02_人物原始合计'!AG39+'02_人物原始合计'!AH39</x:f>
        <x:v>12</x:v>
      </x:c>
      <x:c r="K39" s="28" t="n">
        <x:f>'02_人物原始合计'!F39*(1+'02_人物原始合计'!Q39/100)</x:f>
        <x:v>7632.18</x:v>
      </x:c>
      <x:c r="L39" s="28" t="n">
        <x:f>'02_人物原始合计'!K39*(1+'02_人物原始合计'!AV39/100)</x:f>
        <x:v>294580</x:v>
      </x:c>
      <x:c r="M39" s="22" t="n">
        <x:f>MAX(0,MIN(50,'02_人物原始合计'!AD39,20+MIN(30,'02_人物原始合计'!AE39)))</x:f>
        <x:v>25</x:v>
      </x:c>
      <x:c r="N39" s="22" t="n">
        <x:f>IF(M39=0,1.75,IF(M39=10,2.2,IF(M39=20,2.9,IF(M39=30,4.3,IF(M39=40,8.5,IF(M39=50,14.3,IF(M39&lt;=40,1000/('01_参数'!$B$21-'01_参数'!$B$22*M39),1000/(1000/8.5+(M39-40)/10*(1000/14.3-1000/8.5)))))))))</x:f>
        <x:v>3.4755547119998096</x:v>
      </x:c>
      <x:c r="O39" s="22" t="n">
        <x:v>230</x:v>
      </x:c>
      <x:c r="P39" s="26" t="n">
        <x:f>MAX(0,MIN('01_参数'!$B$20,'02_人物原始合计'!AM39/100,'01_参数'!$B$19+'02_人物原始合计'!AN39/100))</x:f>
        <x:v>0.42</x:v>
      </x:c>
      <x:c r="Q39" s="28" t="n">
        <x:f>((('02_人物原始合计'!E39+('02_人物原始合计'!F39-'02_人物原始合计'!E39)*IF(J39&gt;=12,1,0.5+0.5*MAX(0,J39)/12))*(1+'02_人物原始合计'!Q39/100))*(1+'02_人物原始合计'!U39/100+IF(J39&gt;=15,0.15,0))*(1+'02_人物原始合计'!V39/100)*(1+'02_人物原始合计'!T39)*(1+'02_人物原始合计'!W39*'01_参数'!$B$18)*(1+MAX(0,MIN(1,'02_人物原始合计'!X39/100))*('01_参数'!$B$16+'02_人物原始合计'!Y39/100-1))*(1+MAX(0,MIN(1,'02_人物原始合计'!Z39/100))*('01_参数'!$B$17+'02_人物原始合计'!AA39/100-1))+'02_人物原始合计'!AB39)*N39*'01_参数'!$B$7*'01_参数'!$B$8</x:f>
        <x:v>69460.25537596775</x:v>
      </x:c>
      <x:c r="R39" s="28" t="n">
        <x:f>Q39*'01_参数'!$B$5</x:f>
        <x:v>138920.5107519355</x:v>
      </x:c>
      <x:c r="S39" s="28" t="n">
        <x:f>(('02_人物原始合计'!E39+('02_人物原始合计'!F39-'02_人物原始合计'!E39)*IF(J39&gt;=12,1,0.5+0.5*MAX(0,J39)/12))*(1+'02_人物原始合计'!Q39/100))*(1+'02_人物原始合计'!U39/100+IF(J39&gt;=15,0.15,0))*(1+'02_人物原始合计'!V39/100)*(1+'02_人物原始合计'!T39)*(1+'02_人物原始合计'!W39*'01_参数'!$B$18)*(1+MAX(0,MIN(1,'02_人物原始合计'!X39/100))*('01_参数'!$B$16+'02_人物原始合计'!Y39/100-1))*(1+MAX(0,MIN(1,'02_人物原始合计'!Z39/100))*('01_参数'!$B$17+'02_人物原始合计'!AA39/100-1))*N39*'01_参数'!$B$7*'01_参数'!$B$8*MAX(0,'02_人物原始合计'!AO39/100)</x:f>
        <x:v>2778.4102150387102</x:v>
      </x:c>
      <x:c r="T39" s="28" t="n">
        <x:f>S39*'01_参数'!$B$6</x:f>
        <x:v>3611.9332795503233</x:v>
      </x:c>
      <x:c r="U39" s="28" t="n">
        <x:v>0</x:v>
      </x:c>
      <x:c r="V39" s="28" t="n">
        <x:f>T39+U39</x:f>
        <x:v>3611.9332795503233</x:v>
      </x:c>
      <x:c r="W39" s="22" t="n">
        <x:v>2</x:v>
      </x:c>
      <x:c r="X39" s="22" t="n">
        <x:v>24</x:v>
      </x:c>
      <x:c r="Y39" s="22" t="str">
        <x:v>主线</x:v>
      </x:c>
    </x:row>
    <x:row r="40" ht="24" customHeight="1">
      <x:c r="A40" s="22" t="str">
        <x:v>P0036</x:v>
      </x:c>
      <x:c r="B40" s="22" t="n">
        <x:v>2</x:v>
      </x:c>
      <x:c r="C40" s="22" t="n">
        <x:v>2</x:v>
      </x:c>
      <x:c r="D40" s="22" t="str">
        <x:v>黑夜骑兵·莫尔挑战前</x:v>
      </x:c>
      <x:c r="E40" s="26" t="n">
        <x:v>0.2693151521521892</x:v>
      </x:c>
      <x:c r="F40" s="22" t="n">
        <x:v>2</x:v>
      </x:c>
      <x:c r="G40" s="22" t="n">
        <x:v>15</x:v>
      </x:c>
      <x:c r="H40" s="22" t="n">
        <x:v>0</x:v>
      </x:c>
      <x:c r="I40" s="22" t="n">
        <x:v>3</x:v>
      </x:c>
      <x:c r="J40" s="22" t="n">
        <x:f>'02_人物原始合计'!AG40+'02_人物原始合计'!AH40</x:f>
        <x:v>12</x:v>
      </x:c>
      <x:c r="K40" s="28" t="n">
        <x:f>'02_人物原始合计'!F40*(1+'02_人物原始合计'!Q40/100)</x:f>
        <x:v>7632.18</x:v>
      </x:c>
      <x:c r="L40" s="28" t="n">
        <x:f>'02_人物原始合计'!K40*(1+'02_人物原始合计'!AV40/100)</x:f>
        <x:v>294580</x:v>
      </x:c>
      <x:c r="M40" s="22" t="n">
        <x:f>MAX(0,MIN(50,'02_人物原始合计'!AD40,20+MIN(30,'02_人物原始合计'!AE40)))</x:f>
        <x:v>25</x:v>
      </x:c>
      <x:c r="N40" s="22" t="n">
        <x:f>IF(M40=0,1.75,IF(M40=10,2.2,IF(M40=20,2.9,IF(M40=30,4.3,IF(M40=40,8.5,IF(M40=50,14.3,IF(M40&lt;=40,1000/('01_参数'!$B$21-'01_参数'!$B$22*M40),1000/(1000/8.5+(M40-40)/10*(1000/14.3-1000/8.5)))))))))</x:f>
        <x:v>3.4755547119998096</x:v>
      </x:c>
      <x:c r="O40" s="22" t="n">
        <x:v>230</x:v>
      </x:c>
      <x:c r="P40" s="26" t="n">
        <x:f>MAX(0,MIN('01_参数'!$B$20,'02_人物原始合计'!AM40/100,'01_参数'!$B$19+'02_人物原始合计'!AN40/100))</x:f>
        <x:v>0.42</x:v>
      </x:c>
      <x:c r="Q40" s="28" t="n">
        <x:f>((('02_人物原始合计'!E40+('02_人物原始合计'!F40-'02_人物原始合计'!E40)*IF(J40&gt;=12,1,0.5+0.5*MAX(0,J40)/12))*(1+'02_人物原始合计'!Q40/100))*(1+'02_人物原始合计'!U40/100+IF(J40&gt;=15,0.15,0))*(1+'02_人物原始合计'!V40/100)*(1+'02_人物原始合计'!T40)*(1+'02_人物原始合计'!W40*'01_参数'!$B$18)*(1+MAX(0,MIN(1,'02_人物原始合计'!X40/100))*('01_参数'!$B$16+'02_人物原始合计'!Y40/100-1))*(1+MAX(0,MIN(1,'02_人物原始合计'!Z40/100))*('01_参数'!$B$17+'02_人物原始合计'!AA40/100-1))+'02_人物原始合计'!AB40)*N40*'01_参数'!$B$7*'01_参数'!$B$8</x:f>
        <x:v>69460.25537596775</x:v>
      </x:c>
      <x:c r="R40" s="28" t="n">
        <x:f>Q40*'01_参数'!$B$5</x:f>
        <x:v>138920.5107519355</x:v>
      </x:c>
      <x:c r="S40" s="28" t="n">
        <x:f>(('02_人物原始合计'!E40+('02_人物原始合计'!F40-'02_人物原始合计'!E40)*IF(J40&gt;=12,1,0.5+0.5*MAX(0,J40)/12))*(1+'02_人物原始合计'!Q40/100))*(1+'02_人物原始合计'!U40/100+IF(J40&gt;=15,0.15,0))*(1+'02_人物原始合计'!V40/100)*(1+'02_人物原始合计'!T40)*(1+'02_人物原始合计'!W40*'01_参数'!$B$18)*(1+MAX(0,MIN(1,'02_人物原始合计'!X40/100))*('01_参数'!$B$16+'02_人物原始合计'!Y40/100-1))*(1+MAX(0,MIN(1,'02_人物原始合计'!Z40/100))*('01_参数'!$B$17+'02_人物原始合计'!AA40/100-1))*N40*'01_参数'!$B$7*'01_参数'!$B$8*MAX(0,'02_人物原始合计'!AO40/100)</x:f>
        <x:v>2778.4102150387102</x:v>
      </x:c>
      <x:c r="T40" s="28" t="n">
        <x:f>S40*'01_参数'!$B$6</x:f>
        <x:v>3611.9332795503233</x:v>
      </x:c>
      <x:c r="U40" s="28" t="n">
        <x:v>0</x:v>
      </x:c>
      <x:c r="V40" s="28" t="n">
        <x:f>T40+U40</x:f>
        <x:v>3611.9332795503233</x:v>
      </x:c>
      <x:c r="W40" s="22" t="n">
        <x:v>2</x:v>
      </x:c>
      <x:c r="X40" s="22" t="n">
        <x:v>24</x:v>
      </x:c>
      <x:c r="Y40" s="22" t="str">
        <x:v>主线</x:v>
      </x:c>
    </x:row>
    <x:row r="41" ht="24" customHeight="1">
      <x:c r="A41" s="22" t="str">
        <x:v>P0037</x:v>
      </x:c>
      <x:c r="B41" s="22" t="n">
        <x:v>2</x:v>
      </x:c>
      <x:c r="C41" s="22" t="n">
        <x:v>2</x:v>
      </x:c>
      <x:c r="D41" s="22" t="str">
        <x:v>关卡前废墟BOSS装备快线</x:v>
      </x:c>
      <x:c r="E41" s="26" t="n">
        <x:v>0.2818151521521892</x:v>
      </x:c>
      <x:c r="F41" s="22" t="n">
        <x:v>2</x:v>
      </x:c>
      <x:c r="G41" s="22" t="n">
        <x:v>15</x:v>
      </x:c>
      <x:c r="H41" s="22" t="n">
        <x:v>0</x:v>
      </x:c>
      <x:c r="I41" s="22" t="n">
        <x:v>3</x:v>
      </x:c>
      <x:c r="J41" s="22" t="n">
        <x:f>'02_人物原始合计'!AG41+'02_人物原始合计'!AH41</x:f>
        <x:v>12</x:v>
      </x:c>
      <x:c r="K41" s="28" t="n">
        <x:f>'02_人物原始合计'!F41*(1+'02_人物原始合计'!Q41/100)</x:f>
        <x:v>8018.64</x:v>
      </x:c>
      <x:c r="L41" s="28" t="n">
        <x:f>'02_人物原始合计'!K41*(1+'02_人物原始合计'!AV41/100)</x:f>
        <x:v>310700</x:v>
      </x:c>
      <x:c r="M41" s="22" t="n">
        <x:f>MAX(0,MIN(50,'02_人物原始合计'!AD41,20+MIN(30,'02_人物原始合计'!AE41)))</x:f>
        <x:v>25</x:v>
      </x:c>
      <x:c r="N41" s="22" t="n">
        <x:f>IF(M41=0,1.75,IF(M41=10,2.2,IF(M41=20,2.9,IF(M41=30,4.3,IF(M41=40,8.5,IF(M41=50,14.3,IF(M41&lt;=40,1000/('01_参数'!$B$21-'01_参数'!$B$22*M41),1000/(1000/8.5+(M41-40)/10*(1000/14.3-1000/8.5)))))))))</x:f>
        <x:v>3.4755547119998096</x:v>
      </x:c>
      <x:c r="O41" s="22" t="n">
        <x:v>230</x:v>
      </x:c>
      <x:c r="P41" s="26" t="n">
        <x:f>MAX(0,MIN('01_参数'!$B$20,'02_人物原始合计'!AM41/100,'01_参数'!$B$19+'02_人物原始合计'!AN41/100))</x:f>
        <x:v>0.42</x:v>
      </x:c>
      <x:c r="Q41" s="28" t="n">
        <x:f>((('02_人物原始合计'!E41+('02_人物原始合计'!F41-'02_人物原始合计'!E41)*IF(J41&gt;=12,1,0.5+0.5*MAX(0,J41)/12))*(1+'02_人物原始合计'!Q41/100))*(1+'02_人物原始合计'!U41/100+IF(J41&gt;=15,0.15,0))*(1+'02_人物原始合计'!V41/100)*(1+'02_人物原始合计'!T41)*(1+'02_人物原始合计'!W41*'01_参数'!$B$18)*(1+MAX(0,MIN(1,'02_人物原始合计'!X41/100))*('01_参数'!$B$16+'02_人物原始合计'!Y41/100-1))*(1+MAX(0,MIN(1,'02_人物原始合计'!Z41/100))*('01_参数'!$B$17+'02_人物原始合计'!AA41/100-1))+'02_人物原始合计'!AB41)*N41*'01_参数'!$B$7*'01_参数'!$B$8</x:f>
        <x:v>74890.46173453981</x:v>
      </x:c>
      <x:c r="R41" s="28" t="n">
        <x:f>Q41*'01_参数'!$B$5</x:f>
        <x:v>149780.92346907963</x:v>
      </x:c>
      <x:c r="S41" s="28" t="n">
        <x:f>(('02_人物原始合计'!E41+('02_人物原始合计'!F41-'02_人物原始合计'!E41)*IF(J41&gt;=12,1,0.5+0.5*MAX(0,J41)/12))*(1+'02_人物原始合计'!Q41/100))*(1+'02_人物原始合计'!U41/100+IF(J41&gt;=15,0.15,0))*(1+'02_人物原始合计'!V41/100)*(1+'02_人物原始合计'!T41)*(1+'02_人物原始合计'!W41*'01_参数'!$B$18)*(1+MAX(0,MIN(1,'02_人物原始合计'!X41/100))*('01_参数'!$B$16+'02_人物原始合计'!Y41/100-1))*(1+MAX(0,MIN(1,'02_人物原始合计'!Z41/100))*('01_参数'!$B$17+'02_人物原始合计'!AA41/100-1))*N41*'01_参数'!$B$7*'01_参数'!$B$8*MAX(0,'02_人物原始合计'!AO41/100)</x:f>
        <x:v>2995.6184693815926</x:v>
      </x:c>
      <x:c r="T41" s="28" t="n">
        <x:f>S41*'01_参数'!$B$6</x:f>
        <x:v>3894.3040101960705</x:v>
      </x:c>
      <x:c r="U41" s="28" t="n">
        <x:v>0</x:v>
      </x:c>
      <x:c r="V41" s="28" t="n">
        <x:f>T41+U41</x:f>
        <x:v>3894.3040101960705</x:v>
      </x:c>
      <x:c r="W41" s="22" t="n">
        <x:v>2</x:v>
      </x:c>
      <x:c r="X41" s="22" t="n">
        <x:v>24</x:v>
      </x:c>
      <x:c r="Y41" s="22" t="str">
        <x:v>C02G02BOSS强装对照</x:v>
      </x:c>
    </x:row>
    <x:row r="42" ht="24" customHeight="1">
      <x:c r="A42" s="22" t="str">
        <x:v>P0038</x:v>
      </x:c>
      <x:c r="B42" s="22" t="n">
        <x:v>2</x:v>
      </x:c>
      <x:c r="C42" s="22" t="n">
        <x:v>2</x:v>
      </x:c>
      <x:c r="D42" s="22" t="str">
        <x:v>关卡前废墟阶段积累后</x:v>
      </x:c>
      <x:c r="E42" s="26" t="n">
        <x:v>0.30130285707022203</x:v>
      </x:c>
      <x:c r="F42" s="22" t="n">
        <x:v>2</x:v>
      </x:c>
      <x:c r="G42" s="22" t="n">
        <x:v>15</x:v>
      </x:c>
      <x:c r="H42" s="22" t="n">
        <x:v>0</x:v>
      </x:c>
      <x:c r="I42" s="22" t="n">
        <x:v>3</x:v>
      </x:c>
      <x:c r="J42" s="22" t="n">
        <x:f>'02_人物原始合计'!AG42+'02_人物原始合计'!AH42</x:f>
        <x:v>12</x:v>
      </x:c>
      <x:c r="K42" s="28" t="n">
        <x:f>'02_人物原始合计'!F42*(1+'02_人物原始合计'!Q42/100)</x:f>
        <x:v>8002.639999999999</x:v>
      </x:c>
      <x:c r="L42" s="28" t="n">
        <x:f>'02_人物原始合计'!K42*(1+'02_人物原始合计'!AV42/100)</x:f>
        <x:v>302900</x:v>
      </x:c>
      <x:c r="M42" s="22" t="n">
        <x:f>MAX(0,MIN(50,'02_人物原始合计'!AD42,20+MIN(30,'02_人物原始合计'!AE42)))</x:f>
        <x:v>25</x:v>
      </x:c>
      <x:c r="N42" s="22" t="n">
        <x:f>IF(M42=0,1.75,IF(M42=10,2.2,IF(M42=20,2.9,IF(M42=30,4.3,IF(M42=40,8.5,IF(M42=50,14.3,IF(M42&lt;=40,1000/('01_参数'!$B$21-'01_参数'!$B$22*M42),1000/(1000/8.5+(M42-40)/10*(1000/14.3-1000/8.5)))))))))</x:f>
        <x:v>3.4755547119998096</x:v>
      </x:c>
      <x:c r="O42" s="22" t="n">
        <x:v>250</x:v>
      </x:c>
      <x:c r="P42" s="26" t="n">
        <x:f>MAX(0,MIN('01_参数'!$B$20,'02_人物原始合计'!AM42/100,'01_参数'!$B$19+'02_人物原始合计'!AN42/100))</x:f>
        <x:v>0.42</x:v>
      </x:c>
      <x:c r="Q42" s="28" t="n">
        <x:f>((('02_人物原始合计'!E42+('02_人物原始合计'!F42-'02_人物原始合计'!E42)*IF(J42&gt;=12,1,0.5+0.5*MAX(0,J42)/12))*(1+'02_人物原始合计'!Q42/100))*(1+'02_人物原始合计'!U42/100+IF(J42&gt;=15,0.15,0))*(1+'02_人物原始合计'!V42/100)*(1+'02_人物原始合计'!T42)*(1+'02_人物原始合计'!W42*'01_参数'!$B$18)*(1+MAX(0,MIN(1,'02_人物原始合计'!X42/100))*('01_参数'!$B$16+'02_人物原始合计'!Y42/100-1))*(1+MAX(0,MIN(1,'02_人物原始合计'!Z42/100))*('01_参数'!$B$17+'02_人物原始合计'!AA42/100-1))+'02_人物原始合计'!AB42)*N42*'01_参数'!$B$7*'01_参数'!$B$8</x:f>
        <x:v>75906.67294819963</x:v>
      </x:c>
      <x:c r="R42" s="28" t="n">
        <x:f>Q42*'01_参数'!$B$5</x:f>
        <x:v>151813.34589639926</x:v>
      </x:c>
      <x:c r="S42" s="28" t="n">
        <x:f>(('02_人物原始合计'!E42+('02_人物原始合计'!F42-'02_人物原始合计'!E42)*IF(J42&gt;=12,1,0.5+0.5*MAX(0,J42)/12))*(1+'02_人物原始合计'!Q42/100))*(1+'02_人物原始合计'!U42/100+IF(J42&gt;=15,0.15,0))*(1+'02_人物原始合计'!V42/100)*(1+'02_人物原始合计'!T42)*(1+'02_人物原始合计'!W42*'01_参数'!$B$18)*(1+MAX(0,MIN(1,'02_人物原始合计'!X42/100))*('01_参数'!$B$16+'02_人物原始合计'!Y42/100-1))*(1+MAX(0,MIN(1,'02_人物原始合计'!Z42/100))*('01_参数'!$B$17+'02_人物原始合计'!AA42/100-1))*N42*'01_参数'!$B$7*'01_参数'!$B$8*MAX(0,'02_人物原始合计'!AO42/100)</x:f>
        <x:v>3036.266917927985</x:v>
      </x:c>
      <x:c r="T42" s="28" t="n">
        <x:f>S42*'01_参数'!$B$6</x:f>
        <x:v>3947.146993306381</x:v>
      </x:c>
      <x:c r="U42" s="28" t="n">
        <x:v>0</x:v>
      </x:c>
      <x:c r="V42" s="28" t="n">
        <x:f>T42+U42</x:f>
        <x:v>3947.146993306381</x:v>
      </x:c>
      <x:c r="W42" s="22" t="n">
        <x:v>3</x:v>
      </x:c>
      <x:c r="X42" s="22" t="n">
        <x:v>25</x:v>
      </x:c>
      <x:c r="Y42" s="22" t="str">
        <x:v>主线</x:v>
      </x:c>
    </x:row>
    <x:row r="43" ht="24" customHeight="1">
      <x:c r="A43" s="22" t="str">
        <x:v>P0039</x:v>
      </x:c>
      <x:c r="B43" s="22" t="n">
        <x:v>2</x:v>
      </x:c>
      <x:c r="C43" s="22" t="n">
        <x:v>3</x:v>
      </x:c>
      <x:c r="D43" s="22" t="str">
        <x:v>C02G03入场</x:v>
      </x:c>
      <x:c r="E43" s="26" t="n">
        <x:v>0.30130285707022203</x:v>
      </x:c>
      <x:c r="F43" s="22" t="n">
        <x:v>2</x:v>
      </x:c>
      <x:c r="G43" s="22" t="n">
        <x:v>15</x:v>
      </x:c>
      <x:c r="H43" s="22" t="n">
        <x:v>0</x:v>
      </x:c>
      <x:c r="I43" s="22" t="n">
        <x:v>3</x:v>
      </x:c>
      <x:c r="J43" s="22" t="n">
        <x:f>'02_人物原始合计'!AG43+'02_人物原始合计'!AH43</x:f>
        <x:v>12</x:v>
      </x:c>
      <x:c r="K43" s="28" t="n">
        <x:f>'02_人物原始合计'!F43*(1+'02_人物原始合计'!Q43/100)</x:f>
        <x:v>8002.639999999999</x:v>
      </x:c>
      <x:c r="L43" s="28" t="n">
        <x:f>'02_人物原始合计'!K43*(1+'02_人物原始合计'!AV43/100)</x:f>
        <x:v>302900</x:v>
      </x:c>
      <x:c r="M43" s="22" t="n">
        <x:f>MAX(0,MIN(50,'02_人物原始合计'!AD43,20+MIN(30,'02_人物原始合计'!AE43)))</x:f>
        <x:v>25</x:v>
      </x:c>
      <x:c r="N43" s="22" t="n">
        <x:f>IF(M43=0,1.75,IF(M43=10,2.2,IF(M43=20,2.9,IF(M43=30,4.3,IF(M43=40,8.5,IF(M43=50,14.3,IF(M43&lt;=40,1000/('01_参数'!$B$21-'01_参数'!$B$22*M43),1000/(1000/8.5+(M43-40)/10*(1000/14.3-1000/8.5)))))))))</x:f>
        <x:v>3.4755547119998096</x:v>
      </x:c>
      <x:c r="O43" s="22" t="n">
        <x:v>250</x:v>
      </x:c>
      <x:c r="P43" s="26" t="n">
        <x:f>MAX(0,MIN('01_参数'!$B$20,'02_人物原始合计'!AM43/100,'01_参数'!$B$19+'02_人物原始合计'!AN43/100))</x:f>
        <x:v>0.42</x:v>
      </x:c>
      <x:c r="Q43" s="28" t="n">
        <x:f>((('02_人物原始合计'!E43+('02_人物原始合计'!F43-'02_人物原始合计'!E43)*IF(J43&gt;=12,1,0.5+0.5*MAX(0,J43)/12))*(1+'02_人物原始合计'!Q43/100))*(1+'02_人物原始合计'!U43/100+IF(J43&gt;=15,0.15,0))*(1+'02_人物原始合计'!V43/100)*(1+'02_人物原始合计'!T43)*(1+'02_人物原始合计'!W43*'01_参数'!$B$18)*(1+MAX(0,MIN(1,'02_人物原始合计'!X43/100))*('01_参数'!$B$16+'02_人物原始合计'!Y43/100-1))*(1+MAX(0,MIN(1,'02_人物原始合计'!Z43/100))*('01_参数'!$B$17+'02_人物原始合计'!AA43/100-1))+'02_人物原始合计'!AB43)*N43*'01_参数'!$B$7*'01_参数'!$B$8</x:f>
        <x:v>75906.67294819963</x:v>
      </x:c>
      <x:c r="R43" s="28" t="n">
        <x:f>Q43*'01_参数'!$B$5</x:f>
        <x:v>151813.34589639926</x:v>
      </x:c>
      <x:c r="S43" s="28" t="n">
        <x:f>(('02_人物原始合计'!E43+('02_人物原始合计'!F43-'02_人物原始合计'!E43)*IF(J43&gt;=12,1,0.5+0.5*MAX(0,J43)/12))*(1+'02_人物原始合计'!Q43/100))*(1+'02_人物原始合计'!U43/100+IF(J43&gt;=15,0.15,0))*(1+'02_人物原始合计'!V43/100)*(1+'02_人物原始合计'!T43)*(1+'02_人物原始合计'!W43*'01_参数'!$B$18)*(1+MAX(0,MIN(1,'02_人物原始合计'!X43/100))*('01_参数'!$B$16+'02_人物原始合计'!Y43/100-1))*(1+MAX(0,MIN(1,'02_人物原始合计'!Z43/100))*('01_参数'!$B$17+'02_人物原始合计'!AA43/100-1))*N43*'01_参数'!$B$7*'01_参数'!$B$8*MAX(0,'02_人物原始合计'!AO43/100)</x:f>
        <x:v>3036.266917927985</x:v>
      </x:c>
      <x:c r="T43" s="28" t="n">
        <x:f>S43*'01_参数'!$B$6</x:f>
        <x:v>3947.146993306381</x:v>
      </x:c>
      <x:c r="U43" s="28" t="n">
        <x:v>0</x:v>
      </x:c>
      <x:c r="V43" s="28" t="n">
        <x:f>T43+U43</x:f>
        <x:v>3947.146993306381</x:v>
      </x:c>
      <x:c r="W43" s="22" t="n">
        <x:v>3</x:v>
      </x:c>
      <x:c r="X43" s="22" t="n">
        <x:v>25</x:v>
      </x:c>
      <x:c r="Y43" s="22" t="str">
        <x:v>主线</x:v>
      </x:c>
    </x:row>
    <x:row r="44" ht="24" customHeight="1">
      <x:c r="A44" s="22" t="str">
        <x:v>P0040</x:v>
      </x:c>
      <x:c r="B44" s="22" t="n">
        <x:v>2</x:v>
      </x:c>
      <x:c r="C44" s="22" t="n">
        <x:v>3</x:v>
      </x:c>
      <x:c r="D44" s="22" t="str">
        <x:v>C02G03普通专属4/6</x:v>
      </x:c>
      <x:c r="E44" s="26" t="n">
        <x:v>0.31378356883595043</x:v>
      </x:c>
      <x:c r="F44" s="22" t="n">
        <x:v>2</x:v>
      </x:c>
      <x:c r="G44" s="22" t="n">
        <x:v>15</x:v>
      </x:c>
      <x:c r="H44" s="22" t="n">
        <x:v>0</x:v>
      </x:c>
      <x:c r="I44" s="22" t="n">
        <x:v>3</x:v>
      </x:c>
      <x:c r="J44" s="22" t="n">
        <x:f>'02_人物原始合计'!AG44+'02_人物原始合计'!AH44</x:f>
        <x:v>12</x:v>
      </x:c>
      <x:c r="K44" s="28" t="n">
        <x:f>'02_人物原始合计'!F44*(1+'02_人物原始合计'!Q44/100)</x:f>
        <x:v>9574.91</x:v>
      </x:c>
      <x:c r="L44" s="28" t="n">
        <x:f>'02_人物原始合计'!K44*(1+'02_人物原始合计'!AV44/100)</x:f>
        <x:v>386880</x:v>
      </x:c>
      <x:c r="M44" s="22" t="n">
        <x:f>MAX(0,MIN(50,'02_人物原始合计'!AD44,20+MIN(30,'02_人物原始合计'!AE44)))</x:f>
        <x:v>25</x:v>
      </x:c>
      <x:c r="N44" s="22" t="n">
        <x:f>IF(M44=0,1.75,IF(M44=10,2.2,IF(M44=20,2.9,IF(M44=30,4.3,IF(M44=40,8.5,IF(M44=50,14.3,IF(M44&lt;=40,1000/('01_参数'!$B$21-'01_参数'!$B$22*M44),1000/(1000/8.5+(M44-40)/10*(1000/14.3-1000/8.5)))))))))</x:f>
        <x:v>3.4755547119998096</x:v>
      </x:c>
      <x:c r="O44" s="22" t="n">
        <x:v>270</x:v>
      </x:c>
      <x:c r="P44" s="26" t="n">
        <x:f>MAX(0,MIN('01_参数'!$B$20,'02_人物原始合计'!AM44/100,'01_参数'!$B$19+'02_人物原始合计'!AN44/100))</x:f>
        <x:v>0.57</x:v>
      </x:c>
      <x:c r="Q44" s="28" t="n">
        <x:f>((('02_人物原始合计'!E44+('02_人物原始合计'!F44-'02_人物原始合计'!E44)*IF(J44&gt;=12,1,0.5+0.5*MAX(0,J44)/12))*(1+'02_人物原始合计'!Q44/100))*(1+'02_人物原始合计'!U44/100+IF(J44&gt;=15,0.15,0))*(1+'02_人物原始合计'!V44/100)*(1+'02_人物原始合计'!T44)*(1+'02_人物原始合计'!W44*'01_参数'!$B$18)*(1+MAX(0,MIN(1,'02_人物原始合计'!X44/100))*('01_参数'!$B$16+'02_人物原始合计'!Y44/100-1))*(1+MAX(0,MIN(1,'02_人物原始合计'!Z44/100))*('01_参数'!$B$17+'02_人物原始合计'!AA44/100-1))+'02_人物原始合计'!AB44)*N44*'01_参数'!$B$7*'01_参数'!$B$8</x:f>
        <x:v>101086.6835580186</x:v>
      </x:c>
      <x:c r="R44" s="28" t="n">
        <x:f>Q44*'01_参数'!$B$5</x:f>
        <x:v>202173.3671160372</x:v>
      </x:c>
      <x:c r="S44" s="28" t="n">
        <x:f>(('02_人物原始合计'!E44+('02_人物原始合计'!F44-'02_人物原始合计'!E44)*IF(J44&gt;=12,1,0.5+0.5*MAX(0,J44)/12))*(1+'02_人物原始合计'!Q44/100))*(1+'02_人物原始合计'!U44/100+IF(J44&gt;=15,0.15,0))*(1+'02_人物原始合计'!V44/100)*(1+'02_人物原始合计'!T44)*(1+'02_人物原始合计'!W44*'01_参数'!$B$18)*(1+MAX(0,MIN(1,'02_人物原始合计'!X44/100))*('01_参数'!$B$16+'02_人物原始合计'!Y44/100-1))*(1+MAX(0,MIN(1,'02_人物原始合计'!Z44/100))*('01_参数'!$B$17+'02_人物原始合计'!AA44/100-1))*N44*'01_参数'!$B$7*'01_参数'!$B$8*MAX(0,'02_人物原始合计'!AO44/100)</x:f>
        <x:v>4043.467342320744</x:v>
      </x:c>
      <x:c r="T44" s="28" t="n">
        <x:f>S44*'01_参数'!$B$6</x:f>
        <x:v>5256.507545016968</x:v>
      </x:c>
      <x:c r="U44" s="28" t="n">
        <x:v>0</x:v>
      </x:c>
      <x:c r="V44" s="28" t="n">
        <x:f>T44+U44</x:f>
        <x:v>5256.507545016968</x:v>
      </x:c>
      <x:c r="W44" s="22" t="n">
        <x:v>3</x:v>
      </x:c>
      <x:c r="X44" s="22" t="n">
        <x:v>25</x:v>
      </x:c>
      <x:c r="Y44" s="22" t="str">
        <x:v>主线</x:v>
      </x:c>
    </x:row>
    <x:row r="45" ht="24" customHeight="1">
      <x:c r="A45" s="22" t="str">
        <x:v>P0041</x:v>
      </x:c>
      <x:c r="B45" s="22" t="n">
        <x:v>2</x:v>
      </x:c>
      <x:c r="C45" s="22" t="n">
        <x:v>3</x:v>
      </x:c>
      <x:c r="D45" s="22" t="str">
        <x:v>提比亚唤船人·赫洛挑战前</x:v>
      </x:c>
      <x:c r="E45" s="26" t="n">
        <x:v>0.31378356883595043</x:v>
      </x:c>
      <x:c r="F45" s="22" t="n">
        <x:v>2</x:v>
      </x:c>
      <x:c r="G45" s="22" t="n">
        <x:v>25</x:v>
      </x:c>
      <x:c r="H45" s="22" t="n">
        <x:v>0</x:v>
      </x:c>
      <x:c r="I45" s="22" t="n">
        <x:v>3</x:v>
      </x:c>
      <x:c r="J45" s="22" t="n">
        <x:f>'02_人物原始合计'!AG45+'02_人物原始合计'!AH45</x:f>
        <x:v>15</x:v>
      </x:c>
      <x:c r="K45" s="28" t="n">
        <x:f>'02_人物原始合计'!F45*(1+'02_人物原始合计'!Q45/100)</x:f>
        <x:v>10358.21</x:v>
      </x:c>
      <x:c r="L45" s="28" t="n">
        <x:f>'02_人物原始合计'!K45*(1+'02_人物原始合计'!AV45/100)</x:f>
        <x:v>408616</x:v>
      </x:c>
      <x:c r="M45" s="22" t="n">
        <x:f>MAX(0,MIN(50,'02_人物原始合计'!AD45,20+MIN(30,'02_人物原始合计'!AE45)))</x:f>
        <x:v>25</x:v>
      </x:c>
      <x:c r="N45" s="22" t="n">
        <x:f>IF(M45=0,1.75,IF(M45=10,2.2,IF(M45=20,2.9,IF(M45=30,4.3,IF(M45=40,8.5,IF(M45=50,14.3,IF(M45&lt;=40,1000/('01_参数'!$B$21-'01_参数'!$B$22*M45),1000/(1000/8.5+(M45-40)/10*(1000/14.3-1000/8.5)))))))))</x:f>
        <x:v>3.4755547119998096</x:v>
      </x:c>
      <x:c r="O45" s="22" t="n">
        <x:v>270</x:v>
      </x:c>
      <x:c r="P45" s="26" t="n">
        <x:f>MAX(0,MIN('01_参数'!$B$20,'02_人物原始合计'!AM45/100,'01_参数'!$B$19+'02_人物原始合计'!AN45/100))</x:f>
        <x:v>0.57</x:v>
      </x:c>
      <x:c r="Q45" s="28" t="n">
        <x:f>((('02_人物原始合计'!E45+('02_人物原始合计'!F45-'02_人物原始合计'!E45)*IF(J45&gt;=12,1,0.5+0.5*MAX(0,J45)/12))*(1+'02_人物原始合计'!Q45/100))*(1+'02_人物原始合计'!U45/100+IF(J45&gt;=15,0.15,0))*(1+'02_人物原始合计'!V45/100)*(1+'02_人物原始合计'!T45)*(1+'02_人物原始合计'!W45*'01_参数'!$B$18)*(1+MAX(0,MIN(1,'02_人物原始合计'!X45/100))*('01_参数'!$B$16+'02_人物原始合计'!Y45/100-1))*(1+MAX(0,MIN(1,'02_人物原始合计'!Z45/100))*('01_参数'!$B$17+'02_人物原始合计'!AA45/100-1))+'02_人物原始合计'!AB45)*N45*'01_参数'!$B$7*'01_参数'!$B$8</x:f>
        <x:v>124134.22177645523</x:v>
      </x:c>
      <x:c r="R45" s="28" t="n">
        <x:f>Q45*'01_参数'!$B$5</x:f>
        <x:v>248268.44355291047</x:v>
      </x:c>
      <x:c r="S45" s="28" t="n">
        <x:f>(('02_人物原始合计'!E45+('02_人物原始合计'!F45-'02_人物原始合计'!E45)*IF(J45&gt;=12,1,0.5+0.5*MAX(0,J45)/12))*(1+'02_人物原始合计'!Q45/100))*(1+'02_人物原始合计'!U45/100+IF(J45&gt;=15,0.15,0))*(1+'02_人物原始合计'!V45/100)*(1+'02_人物原始合计'!T45)*(1+'02_人物原始合计'!W45*'01_参数'!$B$18)*(1+MAX(0,MIN(1,'02_人物原始合计'!X45/100))*('01_参数'!$B$16+'02_人物原始合计'!Y45/100-1))*(1+MAX(0,MIN(1,'02_人物原始合计'!Z45/100))*('01_参数'!$B$17+'02_人物原始合计'!AA45/100-1))*N45*'01_参数'!$B$7*'01_参数'!$B$8*MAX(0,'02_人物原始合计'!AO45/100)</x:f>
        <x:v>4965.368871058209</x:v>
      </x:c>
      <x:c r="T45" s="28" t="n">
        <x:f>S45*'01_参数'!$B$6</x:f>
        <x:v>6454.9795323756725</x:v>
      </x:c>
      <x:c r="U45" s="28" t="n">
        <x:v>0</x:v>
      </x:c>
      <x:c r="V45" s="28" t="n">
        <x:f>T45+U45</x:f>
        <x:v>6454.9795323756725</x:v>
      </x:c>
      <x:c r="W45" s="22" t="n">
        <x:v>3</x:v>
      </x:c>
      <x:c r="X45" s="22" t="n">
        <x:v>25</x:v>
      </x:c>
      <x:c r="Y45" s="22" t="str">
        <x:v>主线</x:v>
      </x:c>
    </x:row>
    <x:row r="46" ht="24" customHeight="1">
      <x:c r="A46" s="22" t="str">
        <x:v>P0042</x:v>
      </x:c>
      <x:c r="B46" s="22" t="n">
        <x:v>2</x:v>
      </x:c>
      <x:c r="C46" s="22" t="n">
        <x:v>3</x:v>
      </x:c>
      <x:c r="D46" s="22" t="str">
        <x:v>雾林熔炉骑士·奥德挑战前</x:v>
      </x:c>
      <x:c r="E46" s="26" t="n">
        <x:v>0.31378356883595043</x:v>
      </x:c>
      <x:c r="F46" s="22" t="n">
        <x:v>2</x:v>
      </x:c>
      <x:c r="G46" s="22" t="n">
        <x:v>25</x:v>
      </x:c>
      <x:c r="H46" s="22" t="n">
        <x:v>0</x:v>
      </x:c>
      <x:c r="I46" s="22" t="n">
        <x:v>3</x:v>
      </x:c>
      <x:c r="J46" s="22" t="n">
        <x:f>'02_人物原始合计'!AG46+'02_人物原始合计'!AH46</x:f>
        <x:v>15</x:v>
      </x:c>
      <x:c r="K46" s="28" t="n">
        <x:f>'02_人物原始合计'!F46*(1+'02_人物原始合计'!Q46/100)</x:f>
        <x:v>10358.21</x:v>
      </x:c>
      <x:c r="L46" s="28" t="n">
        <x:f>'02_人物原始合计'!K46*(1+'02_人物原始合计'!AV46/100)</x:f>
        <x:v>408616</x:v>
      </x:c>
      <x:c r="M46" s="22" t="n">
        <x:f>MAX(0,MIN(50,'02_人物原始合计'!AD46,20+MIN(30,'02_人物原始合计'!AE46)))</x:f>
        <x:v>25</x:v>
      </x:c>
      <x:c r="N46" s="22" t="n">
        <x:f>IF(M46=0,1.75,IF(M46=10,2.2,IF(M46=20,2.9,IF(M46=30,4.3,IF(M46=40,8.5,IF(M46=50,14.3,IF(M46&lt;=40,1000/('01_参数'!$B$21-'01_参数'!$B$22*M46),1000/(1000/8.5+(M46-40)/10*(1000/14.3-1000/8.5)))))))))</x:f>
        <x:v>3.4755547119998096</x:v>
      </x:c>
      <x:c r="O46" s="22" t="n">
        <x:v>270</x:v>
      </x:c>
      <x:c r="P46" s="26" t="n">
        <x:f>MAX(0,MIN('01_参数'!$B$20,'02_人物原始合计'!AM46/100,'01_参数'!$B$19+'02_人物原始合计'!AN46/100))</x:f>
        <x:v>0.57</x:v>
      </x:c>
      <x:c r="Q46" s="28" t="n">
        <x:f>((('02_人物原始合计'!E46+('02_人物原始合计'!F46-'02_人物原始合计'!E46)*IF(J46&gt;=12,1,0.5+0.5*MAX(0,J46)/12))*(1+'02_人物原始合计'!Q46/100))*(1+'02_人物原始合计'!U46/100+IF(J46&gt;=15,0.15,0))*(1+'02_人物原始合计'!V46/100)*(1+'02_人物原始合计'!T46)*(1+'02_人物原始合计'!W46*'01_参数'!$B$18)*(1+MAX(0,MIN(1,'02_人物原始合计'!X46/100))*('01_参数'!$B$16+'02_人物原始合计'!Y46/100-1))*(1+MAX(0,MIN(1,'02_人物原始合计'!Z46/100))*('01_参数'!$B$17+'02_人物原始合计'!AA46/100-1))+'02_人物原始合计'!AB46)*N46*'01_参数'!$B$7*'01_参数'!$B$8</x:f>
        <x:v>124134.22177645523</x:v>
      </x:c>
      <x:c r="R46" s="28" t="n">
        <x:f>Q46*'01_参数'!$B$5</x:f>
        <x:v>248268.44355291047</x:v>
      </x:c>
      <x:c r="S46" s="28" t="n">
        <x:f>(('02_人物原始合计'!E46+('02_人物原始合计'!F46-'02_人物原始合计'!E46)*IF(J46&gt;=12,1,0.5+0.5*MAX(0,J46)/12))*(1+'02_人物原始合计'!Q46/100))*(1+'02_人物原始合计'!U46/100+IF(J46&gt;=15,0.15,0))*(1+'02_人物原始合计'!V46/100)*(1+'02_人物原始合计'!T46)*(1+'02_人物原始合计'!W46*'01_参数'!$B$18)*(1+MAX(0,MIN(1,'02_人物原始合计'!X46/100))*('01_参数'!$B$16+'02_人物原始合计'!Y46/100-1))*(1+MAX(0,MIN(1,'02_人物原始合计'!Z46/100))*('01_参数'!$B$17+'02_人物原始合计'!AA46/100-1))*N46*'01_参数'!$B$7*'01_参数'!$B$8*MAX(0,'02_人物原始合计'!AO46/100)</x:f>
        <x:v>4965.368871058209</x:v>
      </x:c>
      <x:c r="T46" s="28" t="n">
        <x:f>S46*'01_参数'!$B$6</x:f>
        <x:v>6454.9795323756725</x:v>
      </x:c>
      <x:c r="U46" s="28" t="n">
        <x:v>0</x:v>
      </x:c>
      <x:c r="V46" s="28" t="n">
        <x:f>T46+U46</x:f>
        <x:v>6454.9795323756725</x:v>
      </x:c>
      <x:c r="W46" s="22" t="n">
        <x:v>3</x:v>
      </x:c>
      <x:c r="X46" s="22" t="n">
        <x:v>25</x:v>
      </x:c>
      <x:c r="Y46" s="22" t="str">
        <x:v>主线</x:v>
      </x:c>
    </x:row>
    <x:row r="47" ht="24" customHeight="1">
      <x:c r="A47" s="22" t="str">
        <x:v>P0043</x:v>
      </x:c>
      <x:c r="B47" s="22" t="n">
        <x:v>2</x:v>
      </x:c>
      <x:c r="C47" s="22" t="n">
        <x:v>3</x:v>
      </x:c>
      <x:c r="D47" s="22" t="str">
        <x:v>迷雾丛林BOSS装备快线</x:v>
      </x:c>
      <x:c r="E47" s="26" t="n">
        <x:v>0.32003356883595047</x:v>
      </x:c>
      <x:c r="F47" s="22" t="n">
        <x:v>2</x:v>
      </x:c>
      <x:c r="G47" s="22" t="n">
        <x:v>25</x:v>
      </x:c>
      <x:c r="H47" s="22" t="n">
        <x:v>0</x:v>
      </x:c>
      <x:c r="I47" s="22" t="n">
        <x:v>3</x:v>
      </x:c>
      <x:c r="J47" s="22" t="n">
        <x:f>'02_人物原始合计'!AG47+'02_人物原始合计'!AH47</x:f>
        <x:v>15</x:v>
      </x:c>
      <x:c r="K47" s="28" t="n">
        <x:f>'02_人物原始合计'!F47*(1+'02_人物原始合计'!Q47/100)</x:f>
        <x:v>10610.72</x:v>
      </x:c>
      <x:c r="L47" s="28" t="n">
        <x:f>'02_人物原始合计'!K47*(1+'02_人物原始合计'!AV47/100)</x:f>
        <x:v>424095</x:v>
      </x:c>
      <x:c r="M47" s="22" t="n">
        <x:f>MAX(0,MIN(50,'02_人物原始合计'!AD47,20+MIN(30,'02_人物原始合计'!AE47)))</x:f>
        <x:v>25</x:v>
      </x:c>
      <x:c r="N47" s="22" t="n">
        <x:f>IF(M47=0,1.75,IF(M47=10,2.2,IF(M47=20,2.9,IF(M47=30,4.3,IF(M47=40,8.5,IF(M47=50,14.3,IF(M47&lt;=40,1000/('01_参数'!$B$21-'01_参数'!$B$22*M47),1000/(1000/8.5+(M47-40)/10*(1000/14.3-1000/8.5)))))))))</x:f>
        <x:v>3.4755547119998096</x:v>
      </x:c>
      <x:c r="O47" s="22" t="n">
        <x:v>277</x:v>
      </x:c>
      <x:c r="P47" s="26" t="n">
        <x:f>MAX(0,MIN('01_参数'!$B$20,'02_人物原始合计'!AM47/100,'01_参数'!$B$19+'02_人物原始合计'!AN47/100))</x:f>
        <x:v>0.57</x:v>
      </x:c>
      <x:c r="Q47" s="28" t="n">
        <x:f>((('02_人物原始合计'!E47+('02_人物原始合计'!F47-'02_人物原始合计'!E47)*IF(J47&gt;=12,1,0.5+0.5*MAX(0,J47)/12))*(1+'02_人物原始合计'!Q47/100))*(1+'02_人物原始合计'!U47/100+IF(J47&gt;=15,0.15,0))*(1+'02_人物原始合计'!V47/100)*(1+'02_人物原始合计'!T47)*(1+'02_人物原始合计'!W47*'01_参数'!$B$18)*(1+MAX(0,MIN(1,'02_人物原始合计'!X47/100))*('01_参数'!$B$16+'02_人物原始合计'!Y47/100-1))*(1+MAX(0,MIN(1,'02_人物原始合计'!Z47/100))*('01_参数'!$B$17+'02_人物原始合计'!AA47/100-1))+'02_人物原始合计'!AB47)*N47*'01_参数'!$B$7*'01_参数'!$B$8</x:f>
        <x:v>128647.59195139977</x:v>
      </x:c>
      <x:c r="R47" s="28" t="n">
        <x:f>Q47*'01_参数'!$B$5</x:f>
        <x:v>257295.18390279953</x:v>
      </x:c>
      <x:c r="S47" s="28" t="n">
        <x:f>(('02_人物原始合计'!E47+('02_人物原始合计'!F47-'02_人物原始合计'!E47)*IF(J47&gt;=12,1,0.5+0.5*MAX(0,J47)/12))*(1+'02_人物原始合计'!Q47/100))*(1+'02_人物原始合计'!U47/100+IF(J47&gt;=15,0.15,0))*(1+'02_人物原始合计'!V47/100)*(1+'02_人物原始合计'!T47)*(1+'02_人物原始合计'!W47*'01_参数'!$B$18)*(1+MAX(0,MIN(1,'02_人物原始合计'!X47/100))*('01_参数'!$B$16+'02_人物原始合计'!Y47/100-1))*(1+MAX(0,MIN(1,'02_人物原始合计'!Z47/100))*('01_参数'!$B$17+'02_人物原始合计'!AA47/100-1))*N47*'01_参数'!$B$7*'01_参数'!$B$8*MAX(0,'02_人物原始合计'!AO47/100)</x:f>
        <x:v>5145.903678055991</x:v>
      </x:c>
      <x:c r="T47" s="28" t="n">
        <x:f>S47*'01_参数'!$B$6</x:f>
        <x:v>6689.674781472789</x:v>
      </x:c>
      <x:c r="U47" s="28" t="n">
        <x:v>0</x:v>
      </x:c>
      <x:c r="V47" s="28" t="n">
        <x:f>T47+U47</x:f>
        <x:v>6689.674781472789</x:v>
      </x:c>
      <x:c r="W47" s="22" t="n">
        <x:v>3</x:v>
      </x:c>
      <x:c r="X47" s="22" t="n">
        <x:v>25</x:v>
      </x:c>
      <x:c r="Y47" s="22" t="str">
        <x:v>C02G03BOSS强装对照</x:v>
      </x:c>
    </x:row>
    <x:row r="48" ht="24" customHeight="1">
      <x:c r="A48" s="22" t="str">
        <x:v>P0044</x:v>
      </x:c>
      <x:c r="B48" s="22" t="n">
        <x:v>2</x:v>
      </x:c>
      <x:c r="C48" s="22" t="n">
        <x:v>3</x:v>
      </x:c>
      <x:c r="D48" s="22" t="str">
        <x:v>迷雾丛林阶段积累后</x:v>
      </x:c>
      <x:c r="E48" s="26" t="n">
        <x:v>0.34904936200956077</x:v>
      </x:c>
      <x:c r="F48" s="22" t="n">
        <x:v>2</x:v>
      </x:c>
      <x:c r="G48" s="22" t="n">
        <x:v>25</x:v>
      </x:c>
      <x:c r="H48" s="22" t="n">
        <x:v>0</x:v>
      </x:c>
      <x:c r="I48" s="22" t="n">
        <x:v>3</x:v>
      </x:c>
      <x:c r="J48" s="22" t="n">
        <x:f>'02_人物原始合计'!AG48+'02_人物原始合计'!AH48</x:f>
        <x:v>15</x:v>
      </x:c>
      <x:c r="K48" s="28" t="n">
        <x:f>'02_人物原始合计'!F48*(1+'02_人物原始合计'!Q48/100)</x:f>
        <x:v>11249.6</x:v>
      </x:c>
      <x:c r="L48" s="28" t="n">
        <x:f>'02_人物原始合计'!K48*(1+'02_人物原始合计'!AV48/100)</x:f>
        <x:v>416000</x:v>
      </x:c>
      <x:c r="M48" s="22" t="n">
        <x:f>MAX(0,MIN(50,'02_人物原始合计'!AD48,20+MIN(30,'02_人物原始合计'!AE48)))</x:f>
        <x:v>25</x:v>
      </x:c>
      <x:c r="N48" s="22" t="n">
        <x:f>IF(M48=0,1.75,IF(M48=10,2.2,IF(M48=20,2.9,IF(M48=30,4.3,IF(M48=40,8.5,IF(M48=50,14.3,IF(M48&lt;=40,1000/('01_参数'!$B$21-'01_参数'!$B$22*M48),1000/(1000/8.5+(M48-40)/10*(1000/14.3-1000/8.5)))))))))</x:f>
        <x:v>3.4755547119998096</x:v>
      </x:c>
      <x:c r="O48" s="22" t="n">
        <x:v>290</x:v>
      </x:c>
      <x:c r="P48" s="26" t="n">
        <x:f>MAX(0,MIN('01_参数'!$B$20,'02_人物原始合计'!AM48/100,'01_参数'!$B$19+'02_人物原始合计'!AN48/100))</x:f>
        <x:v>0.57</x:v>
      </x:c>
      <x:c r="Q48" s="28" t="n">
        <x:f>((('02_人物原始合计'!E48+('02_人物原始合计'!F48-'02_人物原始合计'!E48)*IF(J48&gt;=12,1,0.5+0.5*MAX(0,J48)/12))*(1+'02_人物原始合计'!Q48/100))*(1+'02_人物原始合计'!U48/100+IF(J48&gt;=15,0.15,0))*(1+'02_人物原始合计'!V48/100)*(1+'02_人物原始合计'!T48)*(1+'02_人物原始合计'!W48*'01_参数'!$B$18)*(1+MAX(0,MIN(1,'02_人物原始合计'!X48/100))*('01_参数'!$B$16+'02_人物原始合计'!Y48/100-1))*(1+MAX(0,MIN(1,'02_人物原始合计'!Z48/100))*('01_参数'!$B$17+'02_人物原始合计'!AA48/100-1))+'02_人物原始合计'!AB48)*N48*'01_参数'!$B$7*'01_参数'!$B$8</x:f>
        <x:v>156636.31975680555</x:v>
      </x:c>
      <x:c r="R48" s="28" t="n">
        <x:f>Q48*'01_参数'!$B$5</x:f>
        <x:v>313272.6395136111</x:v>
      </x:c>
      <x:c r="S48" s="28" t="n">
        <x:f>(('02_人物原始合计'!E48+('02_人物原始合计'!F48-'02_人物原始合计'!E48)*IF(J48&gt;=12,1,0.5+0.5*MAX(0,J48)/12))*(1+'02_人物原始合计'!Q48/100))*(1+'02_人物原始合计'!U48/100+IF(J48&gt;=15,0.15,0))*(1+'02_人物原始合计'!V48/100)*(1+'02_人物原始合计'!T48)*(1+'02_人物原始合计'!W48*'01_参数'!$B$18)*(1+MAX(0,MIN(1,'02_人物原始合计'!X48/100))*('01_参数'!$B$16+'02_人物原始合计'!Y48/100-1))*(1+MAX(0,MIN(1,'02_人物原始合计'!Z48/100))*('01_参数'!$B$17+'02_人物原始合计'!AA48/100-1))*N48*'01_参数'!$B$7*'01_参数'!$B$8*MAX(0,'02_人物原始合计'!AO48/100)</x:f>
        <x:v>6265.452790272222</x:v>
      </x:c>
      <x:c r="T48" s="28" t="n">
        <x:f>S48*'01_参数'!$B$6</x:f>
        <x:v>8145.088627353889</x:v>
      </x:c>
      <x:c r="U48" s="28" t="n">
        <x:v>0</x:v>
      </x:c>
      <x:c r="V48" s="28" t="n">
        <x:f>T48+U48</x:f>
        <x:v>8145.088627353889</x:v>
      </x:c>
      <x:c r="W48" s="22" t="n">
        <x:v>4</x:v>
      </x:c>
      <x:c r="X48" s="22" t="n">
        <x:v>27</x:v>
      </x:c>
      <x:c r="Y48" s="22" t="str">
        <x:v>主线</x:v>
      </x:c>
    </x:row>
    <x:row r="49" ht="24" customHeight="1">
      <x:c r="A49" s="22" t="str">
        <x:v>P0045</x:v>
      </x:c>
      <x:c r="B49" s="22" t="n">
        <x:v>2</x:v>
      </x:c>
      <x:c r="C49" s="22" t="n">
        <x:v>4</x:v>
      </x:c>
      <x:c r="D49" s="22" t="str">
        <x:v>C02G04入场</x:v>
      </x:c>
      <x:c r="E49" s="26" t="n">
        <x:v>0.34904936200956077</x:v>
      </x:c>
      <x:c r="F49" s="22" t="n">
        <x:v>2</x:v>
      </x:c>
      <x:c r="G49" s="22" t="n">
        <x:v>25</x:v>
      </x:c>
      <x:c r="H49" s="22" t="n">
        <x:v>0</x:v>
      </x:c>
      <x:c r="I49" s="22" t="n">
        <x:v>3</x:v>
      </x:c>
      <x:c r="J49" s="22" t="n">
        <x:f>'02_人物原始合计'!AG49+'02_人物原始合计'!AH49</x:f>
        <x:v>15</x:v>
      </x:c>
      <x:c r="K49" s="28" t="n">
        <x:f>'02_人物原始合计'!F49*(1+'02_人物原始合计'!Q49/100)</x:f>
        <x:v>11249.6</x:v>
      </x:c>
      <x:c r="L49" s="28" t="n">
        <x:f>'02_人物原始合计'!K49*(1+'02_人物原始合计'!AV49/100)</x:f>
        <x:v>416000</x:v>
      </x:c>
      <x:c r="M49" s="22" t="n">
        <x:f>MAX(0,MIN(50,'02_人物原始合计'!AD49,20+MIN(30,'02_人物原始合计'!AE49)))</x:f>
        <x:v>25</x:v>
      </x:c>
      <x:c r="N49" s="22" t="n">
        <x:f>IF(M49=0,1.75,IF(M49=10,2.2,IF(M49=20,2.9,IF(M49=30,4.3,IF(M49=40,8.5,IF(M49=50,14.3,IF(M49&lt;=40,1000/('01_参数'!$B$21-'01_参数'!$B$22*M49),1000/(1000/8.5+(M49-40)/10*(1000/14.3-1000/8.5)))))))))</x:f>
        <x:v>3.4755547119998096</x:v>
      </x:c>
      <x:c r="O49" s="22" t="n">
        <x:v>290</x:v>
      </x:c>
      <x:c r="P49" s="26" t="n">
        <x:f>MAX(0,MIN('01_参数'!$B$20,'02_人物原始合计'!AM49/100,'01_参数'!$B$19+'02_人物原始合计'!AN49/100))</x:f>
        <x:v>0.57</x:v>
      </x:c>
      <x:c r="Q49" s="28" t="n">
        <x:f>((('02_人物原始合计'!E49+('02_人物原始合计'!F49-'02_人物原始合计'!E49)*IF(J49&gt;=12,1,0.5+0.5*MAX(0,J49)/12))*(1+'02_人物原始合计'!Q49/100))*(1+'02_人物原始合计'!U49/100+IF(J49&gt;=15,0.15,0))*(1+'02_人物原始合计'!V49/100)*(1+'02_人物原始合计'!T49)*(1+'02_人物原始合计'!W49*'01_参数'!$B$18)*(1+MAX(0,MIN(1,'02_人物原始合计'!X49/100))*('01_参数'!$B$16+'02_人物原始合计'!Y49/100-1))*(1+MAX(0,MIN(1,'02_人物原始合计'!Z49/100))*('01_参数'!$B$17+'02_人物原始合计'!AA49/100-1))+'02_人物原始合计'!AB49)*N49*'01_参数'!$B$7*'01_参数'!$B$8</x:f>
        <x:v>156636.31975680555</x:v>
      </x:c>
      <x:c r="R49" s="28" t="n">
        <x:f>Q49*'01_参数'!$B$5</x:f>
        <x:v>313272.6395136111</x:v>
      </x:c>
      <x:c r="S49" s="28" t="n">
        <x:f>(('02_人物原始合计'!E49+('02_人物原始合计'!F49-'02_人物原始合计'!E49)*IF(J49&gt;=12,1,0.5+0.5*MAX(0,J49)/12))*(1+'02_人物原始合计'!Q49/100))*(1+'02_人物原始合计'!U49/100+IF(J49&gt;=15,0.15,0))*(1+'02_人物原始合计'!V49/100)*(1+'02_人物原始合计'!T49)*(1+'02_人物原始合计'!W49*'01_参数'!$B$18)*(1+MAX(0,MIN(1,'02_人物原始合计'!X49/100))*('01_参数'!$B$16+'02_人物原始合计'!Y49/100-1))*(1+MAX(0,MIN(1,'02_人物原始合计'!Z49/100))*('01_参数'!$B$17+'02_人物原始合计'!AA49/100-1))*N49*'01_参数'!$B$7*'01_参数'!$B$8*MAX(0,'02_人物原始合计'!AO49/100)</x:f>
        <x:v>6265.452790272222</x:v>
      </x:c>
      <x:c r="T49" s="28" t="n">
        <x:f>S49*'01_参数'!$B$6</x:f>
        <x:v>8145.088627353889</x:v>
      </x:c>
      <x:c r="U49" s="28" t="n">
        <x:v>0</x:v>
      </x:c>
      <x:c r="V49" s="28" t="n">
        <x:f>T49+U49</x:f>
        <x:v>8145.088627353889</x:v>
      </x:c>
      <x:c r="W49" s="22" t="n">
        <x:v>4</x:v>
      </x:c>
      <x:c r="X49" s="22" t="n">
        <x:v>27</x:v>
      </x:c>
      <x:c r="Y49" s="22" t="str">
        <x:v>主线</x:v>
      </x:c>
    </x:row>
    <x:row r="50" ht="24" customHeight="1">
      <x:c r="A50" s="22" t="str">
        <x:v>P0046</x:v>
      </x:c>
      <x:c r="B50" s="22" t="n">
        <x:v>2</x:v>
      </x:c>
      <x:c r="C50" s="22" t="n">
        <x:v>4</x:v>
      </x:c>
      <x:c r="D50" s="22" t="str">
        <x:v>C02G04普通专属4/6</x:v>
      </x:c>
      <x:c r="E50" s="26" t="n">
        <x:v>0.3536651740474997</x:v>
      </x:c>
      <x:c r="F50" s="22" t="n">
        <x:v>2</x:v>
      </x:c>
      <x:c r="G50" s="22" t="n">
        <x:v>25</x:v>
      </x:c>
      <x:c r="H50" s="22" t="n">
        <x:v>0</x:v>
      </x:c>
      <x:c r="I50" s="22" t="n">
        <x:v>3</x:v>
      </x:c>
      <x:c r="J50" s="22" t="n">
        <x:f>'02_人物原始合计'!AG50+'02_人物原始合计'!AH50</x:f>
        <x:v>15</x:v>
      </x:c>
      <x:c r="K50" s="28" t="n">
        <x:f>'02_人物原始合计'!F50*(1+'02_人物原始合计'!Q50/100)</x:f>
        <x:v>12410</x:v>
      </x:c>
      <x:c r="L50" s="28" t="n">
        <x:f>'02_人物原始合计'!K50*(1+'02_人物原始合计'!AV50/100)</x:f>
        <x:v>470322</x:v>
      </x:c>
      <x:c r="M50" s="22" t="n">
        <x:f>MAX(0,MIN(50,'02_人物原始合计'!AD50,20+MIN(30,'02_人物原始合计'!AE50)))</x:f>
        <x:v>25</x:v>
      </x:c>
      <x:c r="N50" s="22" t="n">
        <x:f>IF(M50=0,1.75,IF(M50=10,2.2,IF(M50=20,2.9,IF(M50=30,4.3,IF(M50=40,8.5,IF(M50=50,14.3,IF(M50&lt;=40,1000/('01_参数'!$B$21-'01_参数'!$B$22*M50),1000/(1000/8.5+(M50-40)/10*(1000/14.3-1000/8.5)))))))))</x:f>
        <x:v>3.4755547119998096</x:v>
      </x:c>
      <x:c r="O50" s="22" t="n">
        <x:v>272</x:v>
      </x:c>
      <x:c r="P50" s="26" t="n">
        <x:f>MAX(0,MIN('01_参数'!$B$20,'02_人物原始合计'!AM50/100,'01_参数'!$B$19+'02_人物原始合计'!AN50/100))</x:f>
        <x:v>0.6</x:v>
      </x:c>
      <x:c r="Q50" s="28" t="n">
        <x:f>((('02_人物原始合计'!E50+('02_人物原始合计'!F50-'02_人物原始合计'!E50)*IF(J50&gt;=12,1,0.5+0.5*MAX(0,J50)/12))*(1+'02_人物原始合计'!Q50/100))*(1+'02_人物原始合计'!U50/100+IF(J50&gt;=15,0.15,0))*(1+'02_人物原始合计'!V50/100)*(1+'02_人物原始合计'!T50)*(1+'02_人物原始合计'!W50*'01_参数'!$B$18)*(1+MAX(0,MIN(1,'02_人物原始合计'!X50/100))*('01_参数'!$B$16+'02_人物原始合计'!Y50/100-1))*(1+MAX(0,MIN(1,'02_人物原始合计'!Z50/100))*('01_参数'!$B$17+'02_人物原始合计'!AA50/100-1))+'02_人物原始合计'!AB50)*N50*'01_参数'!$B$7*'01_参数'!$B$8</x:f>
        <x:v>207077.49395775888</x:v>
      </x:c>
      <x:c r="R50" s="28" t="n">
        <x:f>Q50*'01_参数'!$B$5</x:f>
        <x:v>414154.98791551776</x:v>
      </x:c>
      <x:c r="S50" s="28" t="n">
        <x:f>(('02_人物原始合计'!E50+('02_人物原始合计'!F50-'02_人物原始合计'!E50)*IF(J50&gt;=12,1,0.5+0.5*MAX(0,J50)/12))*(1+'02_人物原始合计'!Q50/100))*(1+'02_人物原始合计'!U50/100+IF(J50&gt;=15,0.15,0))*(1+'02_人物原始合计'!V50/100)*(1+'02_人物原始合计'!T50)*(1+'02_人物原始合计'!W50*'01_参数'!$B$18)*(1+MAX(0,MIN(1,'02_人物原始合计'!X50/100))*('01_参数'!$B$16+'02_人物原始合计'!Y50/100-1))*(1+MAX(0,MIN(1,'02_人物原始合计'!Z50/100))*('01_参数'!$B$17+'02_人物原始合计'!AA50/100-1))*N50*'01_参数'!$B$7*'01_参数'!$B$8*MAX(0,'02_人物原始合计'!AO50/100)</x:f>
        <x:v>6212.324818732766</x:v>
      </x:c>
      <x:c r="T50" s="28" t="n">
        <x:f>S50*'01_参数'!$B$6</x:f>
        <x:v>8076.022264352597</x:v>
      </x:c>
      <x:c r="U50" s="28" t="n">
        <x:v>0</x:v>
      </x:c>
      <x:c r="V50" s="28" t="n">
        <x:f>T50+U50</x:f>
        <x:v>8076.022264352597</x:v>
      </x:c>
      <x:c r="W50" s="22" t="n">
        <x:v>4</x:v>
      </x:c>
      <x:c r="X50" s="22" t="n">
        <x:v>27</x:v>
      </x:c>
      <x:c r="Y50" s="22" t="str">
        <x:v>主线</x:v>
      </x:c>
    </x:row>
    <x:row r="51" ht="24" customHeight="1">
      <x:c r="A51" s="22" t="str">
        <x:v>P0047</x:v>
      </x:c>
      <x:c r="B51" s="22" t="n">
        <x:v>2</x:v>
      </x:c>
      <x:c r="C51" s="22" t="n">
        <x:v>4</x:v>
      </x:c>
      <x:c r="D51" s="22" t="str">
        <x:v>风暴君王·奥雷格挑战前</x:v>
      </x:c>
      <x:c r="E51" s="26" t="n">
        <x:v>0.3536651740474997</x:v>
      </x:c>
      <x:c r="F51" s="22" t="n">
        <x:v>2</x:v>
      </x:c>
      <x:c r="G51" s="22" t="n">
        <x:v>35</x:v>
      </x:c>
      <x:c r="H51" s="22" t="n">
        <x:v>0</x:v>
      </x:c>
      <x:c r="I51" s="22" t="n">
        <x:v>3</x:v>
      </x:c>
      <x:c r="J51" s="22" t="n">
        <x:f>'02_人物原始合计'!AG51+'02_人物原始合计'!AH51</x:f>
        <x:v>15</x:v>
      </x:c>
      <x:c r="K51" s="28" t="n">
        <x:f>'02_人物原始合计'!F51*(1+'02_人物原始合计'!Q51/100)</x:f>
        <x:v>14487.719999999998</x:v>
      </x:c>
      <x:c r="L51" s="28" t="n">
        <x:f>'02_人物原始合计'!K51*(1+'02_人物原始合计'!AV51/100)</x:f>
        <x:v>502652</x:v>
      </x:c>
      <x:c r="M51" s="22" t="n">
        <x:f>MAX(0,MIN(50,'02_人物原始合计'!AD51,20+MIN(30,'02_人物原始合计'!AE51)))</x:f>
        <x:v>25</x:v>
      </x:c>
      <x:c r="N51" s="22" t="n">
        <x:f>IF(M51=0,1.75,IF(M51=10,2.2,IF(M51=20,2.9,IF(M51=30,4.3,IF(M51=40,8.5,IF(M51=50,14.3,IF(M51&lt;=40,1000/('01_参数'!$B$21-'01_参数'!$B$22*M51),1000/(1000/8.5+(M51-40)/10*(1000/14.3-1000/8.5)))))))))</x:f>
        <x:v>3.4755547119998096</x:v>
      </x:c>
      <x:c r="O51" s="22" t="n">
        <x:v>272</x:v>
      </x:c>
      <x:c r="P51" s="26" t="n">
        <x:f>MAX(0,MIN('01_参数'!$B$20,'02_人物原始合计'!AM51/100,'01_参数'!$B$19+'02_人物原始合计'!AN51/100))</x:f>
        <x:v>0.6</x:v>
      </x:c>
      <x:c r="Q51" s="28" t="n">
        <x:f>((('02_人物原始合计'!E51+('02_人物原始合计'!F51-'02_人物原始合计'!E51)*IF(J51&gt;=12,1,0.5+0.5*MAX(0,J51)/12))*(1+'02_人物原始合计'!Q51/100))*(1+'02_人物原始合计'!U51/100+IF(J51&gt;=15,0.15,0))*(1+'02_人物原始合计'!V51/100)*(1+'02_人物原始合计'!T51)*(1+'02_人物原始合计'!W51*'01_参数'!$B$18)*(1+MAX(0,MIN(1,'02_人物原始合计'!X51/100))*('01_参数'!$B$16+'02_人物原始合计'!Y51/100-1))*(1+MAX(0,MIN(1,'02_人物原始合计'!Z51/100))*('01_参数'!$B$17+'02_人物原始合计'!AA51/100-1))+'02_人物原始合计'!AB51)*N51*'01_参数'!$B$7*'01_参数'!$B$8</x:f>
        <x:v>241747.03873986314</x:v>
      </x:c>
      <x:c r="R51" s="28" t="n">
        <x:f>Q51*'01_参数'!$B$5</x:f>
        <x:v>483494.0774797263</x:v>
      </x:c>
      <x:c r="S51" s="28" t="n">
        <x:f>(('02_人物原始合计'!E51+('02_人物原始合计'!F51-'02_人物原始合计'!E51)*IF(J51&gt;=12,1,0.5+0.5*MAX(0,J51)/12))*(1+'02_人物原始合计'!Q51/100))*(1+'02_人物原始合计'!U51/100+IF(J51&gt;=15,0.15,0))*(1+'02_人物原始合计'!V51/100)*(1+'02_人物原始合计'!T51)*(1+'02_人物原始合计'!W51*'01_参数'!$B$18)*(1+MAX(0,MIN(1,'02_人物原始合计'!X51/100))*('01_参数'!$B$16+'02_人物原始合计'!Y51/100-1))*(1+MAX(0,MIN(1,'02_人物原始合计'!Z51/100))*('01_参数'!$B$17+'02_人物原始合计'!AA51/100-1))*N51*'01_参数'!$B$7*'01_参数'!$B$8*MAX(0,'02_人物原始合计'!AO51/100)</x:f>
        <x:v>7252.411162195894</x:v>
      </x:c>
      <x:c r="T51" s="28" t="n">
        <x:f>S51*'01_参数'!$B$6</x:f>
        <x:v>9428.134510854663</x:v>
      </x:c>
      <x:c r="U51" s="28" t="n">
        <x:v>0</x:v>
      </x:c>
      <x:c r="V51" s="28" t="n">
        <x:f>T51+U51</x:f>
        <x:v>9428.134510854663</x:v>
      </x:c>
      <x:c r="W51" s="22" t="n">
        <x:v>4</x:v>
      </x:c>
      <x:c r="X51" s="22" t="n">
        <x:v>27</x:v>
      </x:c>
      <x:c r="Y51" s="22" t="str">
        <x:v>主线</x:v>
      </x:c>
    </x:row>
    <x:row r="52" ht="24" customHeight="1">
      <x:c r="A52" s="22" t="str">
        <x:v>P0048</x:v>
      </x:c>
      <x:c r="B52" s="22" t="n">
        <x:v>2</x:v>
      </x:c>
      <x:c r="C52" s="22" t="n">
        <x:v>4</x:v>
      </x:c>
      <x:c r="D52" s="22" t="str">
        <x:v>恶兆妖鬼·玛尔基特挑战前</x:v>
      </x:c>
      <x:c r="E52" s="26" t="n">
        <x:v>0.3536651740474997</x:v>
      </x:c>
      <x:c r="F52" s="22" t="n">
        <x:v>2</x:v>
      </x:c>
      <x:c r="G52" s="22" t="n">
        <x:v>35</x:v>
      </x:c>
      <x:c r="H52" s="22" t="n">
        <x:v>0</x:v>
      </x:c>
      <x:c r="I52" s="22" t="n">
        <x:v>3</x:v>
      </x:c>
      <x:c r="J52" s="22" t="n">
        <x:f>'02_人物原始合计'!AG52+'02_人物原始合计'!AH52</x:f>
        <x:v>15</x:v>
      </x:c>
      <x:c r="K52" s="28" t="n">
        <x:f>'02_人物原始合计'!F52*(1+'02_人物原始合计'!Q52/100)</x:f>
        <x:v>14487.719999999998</x:v>
      </x:c>
      <x:c r="L52" s="28" t="n">
        <x:f>'02_人物原始合计'!K52*(1+'02_人物原始合计'!AV52/100)</x:f>
        <x:v>502652</x:v>
      </x:c>
      <x:c r="M52" s="22" t="n">
        <x:f>MAX(0,MIN(50,'02_人物原始合计'!AD52,20+MIN(30,'02_人物原始合计'!AE52)))</x:f>
        <x:v>25</x:v>
      </x:c>
      <x:c r="N52" s="22" t="n">
        <x:f>IF(M52=0,1.75,IF(M52=10,2.2,IF(M52=20,2.9,IF(M52=30,4.3,IF(M52=40,8.5,IF(M52=50,14.3,IF(M52&lt;=40,1000/('01_参数'!$B$21-'01_参数'!$B$22*M52),1000/(1000/8.5+(M52-40)/10*(1000/14.3-1000/8.5)))))))))</x:f>
        <x:v>3.4755547119998096</x:v>
      </x:c>
      <x:c r="O52" s="22" t="n">
        <x:v>272</x:v>
      </x:c>
      <x:c r="P52" s="26" t="n">
        <x:f>MAX(0,MIN('01_参数'!$B$20,'02_人物原始合计'!AM52/100,'01_参数'!$B$19+'02_人物原始合计'!AN52/100))</x:f>
        <x:v>0.6</x:v>
      </x:c>
      <x:c r="Q52" s="28" t="n">
        <x:f>((('02_人物原始合计'!E52+('02_人物原始合计'!F52-'02_人物原始合计'!E52)*IF(J52&gt;=12,1,0.5+0.5*MAX(0,J52)/12))*(1+'02_人物原始合计'!Q52/100))*(1+'02_人物原始合计'!U52/100+IF(J52&gt;=15,0.15,0))*(1+'02_人物原始合计'!V52/100)*(1+'02_人物原始合计'!T52)*(1+'02_人物原始合计'!W52*'01_参数'!$B$18)*(1+MAX(0,MIN(1,'02_人物原始合计'!X52/100))*('01_参数'!$B$16+'02_人物原始合计'!Y52/100-1))*(1+MAX(0,MIN(1,'02_人物原始合计'!Z52/100))*('01_参数'!$B$17+'02_人物原始合计'!AA52/100-1))+'02_人物原始合计'!AB52)*N52*'01_参数'!$B$7*'01_参数'!$B$8</x:f>
        <x:v>241747.03873986314</x:v>
      </x:c>
      <x:c r="R52" s="28" t="n">
        <x:f>Q52*'01_参数'!$B$5</x:f>
        <x:v>483494.0774797263</x:v>
      </x:c>
      <x:c r="S52" s="28" t="n">
        <x:f>(('02_人物原始合计'!E52+('02_人物原始合计'!F52-'02_人物原始合计'!E52)*IF(J52&gt;=12,1,0.5+0.5*MAX(0,J52)/12))*(1+'02_人物原始合计'!Q52/100))*(1+'02_人物原始合计'!U52/100+IF(J52&gt;=15,0.15,0))*(1+'02_人物原始合计'!V52/100)*(1+'02_人物原始合计'!T52)*(1+'02_人物原始合计'!W52*'01_参数'!$B$18)*(1+MAX(0,MIN(1,'02_人物原始合计'!X52/100))*('01_参数'!$B$16+'02_人物原始合计'!Y52/100-1))*(1+MAX(0,MIN(1,'02_人物原始合计'!Z52/100))*('01_参数'!$B$17+'02_人物原始合计'!AA52/100-1))*N52*'01_参数'!$B$7*'01_参数'!$B$8*MAX(0,'02_人物原始合计'!AO52/100)</x:f>
        <x:v>7252.411162195894</x:v>
      </x:c>
      <x:c r="T52" s="28" t="n">
        <x:f>S52*'01_参数'!$B$6</x:f>
        <x:v>9428.134510854663</x:v>
      </x:c>
      <x:c r="U52" s="28" t="n">
        <x:v>0</x:v>
      </x:c>
      <x:c r="V52" s="28" t="n">
        <x:f>T52+U52</x:f>
        <x:v>9428.134510854663</x:v>
      </x:c>
      <x:c r="W52" s="22" t="n">
        <x:v>4</x:v>
      </x:c>
      <x:c r="X52" s="22" t="n">
        <x:v>27</x:v>
      </x:c>
      <x:c r="Y52" s="22" t="str">
        <x:v>主线</x:v>
      </x:c>
    </x:row>
    <x:row r="53" ht="24" customHeight="1">
      <x:c r="A53" s="22" t="str">
        <x:v>P0049</x:v>
      </x:c>
      <x:c r="B53" s="22" t="n">
        <x:v>2</x:v>
      </x:c>
      <x:c r="C53" s="22" t="n">
        <x:v>4</x:v>
      </x:c>
      <x:c r="D53" s="22" t="str">
        <x:v>风暴山谷BOSS装备快线</x:v>
      </x:c>
      <x:c r="E53" s="26" t="n">
        <x:v>0.3661651740474997</x:v>
      </x:c>
      <x:c r="F53" s="22" t="n">
        <x:v>2</x:v>
      </x:c>
      <x:c r="G53" s="22" t="n">
        <x:v>35</x:v>
      </x:c>
      <x:c r="H53" s="22" t="n">
        <x:v>0</x:v>
      </x:c>
      <x:c r="I53" s="22" t="n">
        <x:v>3</x:v>
      </x:c>
      <x:c r="J53" s="22" t="n">
        <x:f>'02_人物原始合计'!AG53+'02_人物原始合计'!AH53</x:f>
        <x:v>15</x:v>
      </x:c>
      <x:c r="K53" s="28" t="n">
        <x:f>'02_人物原始合计'!F53*(1+'02_人物原始合计'!Q53/100)</x:f>
        <x:v>15189.679999999998</x:v>
      </x:c>
      <x:c r="L53" s="28" t="n">
        <x:f>'02_人物原始合计'!K53*(1+'02_人物原始合计'!AV53/100)</x:f>
        <x:v>521732</x:v>
      </x:c>
      <x:c r="M53" s="22" t="n">
        <x:f>MAX(0,MIN(50,'02_人物原始合计'!AD53,20+MIN(30,'02_人物原始合计'!AE53)))</x:f>
        <x:v>25</x:v>
      </x:c>
      <x:c r="N53" s="22" t="n">
        <x:f>IF(M53=0,1.75,IF(M53=10,2.2,IF(M53=20,2.9,IF(M53=30,4.3,IF(M53=40,8.5,IF(M53=50,14.3,IF(M53&lt;=40,1000/('01_参数'!$B$21-'01_参数'!$B$22*M53),1000/(1000/8.5+(M53-40)/10*(1000/14.3-1000/8.5)))))))))</x:f>
        <x:v>3.4755547119998096</x:v>
      </x:c>
      <x:c r="O53" s="22" t="n">
        <x:v>272</x:v>
      </x:c>
      <x:c r="P53" s="26" t="n">
        <x:f>MAX(0,MIN('01_参数'!$B$20,'02_人物原始合计'!AM53/100,'01_参数'!$B$19+'02_人物原始合计'!AN53/100))</x:f>
        <x:v>0.6</x:v>
      </x:c>
      <x:c r="Q53" s="28" t="n">
        <x:f>((('02_人物原始合计'!E53+('02_人物原始合计'!F53-'02_人物原始合计'!E53)*IF(J53&gt;=12,1,0.5+0.5*MAX(0,J53)/12))*(1+'02_人物原始合计'!Q53/100))*(1+'02_人物原始合计'!U53/100+IF(J53&gt;=15,0.15,0))*(1+'02_人物原始合计'!V53/100)*(1+'02_人物原始合计'!T53)*(1+'02_人物原始合计'!W53*'01_参数'!$B$18)*(1+MAX(0,MIN(1,'02_人物原始合计'!X53/100))*('01_参数'!$B$16+'02_人物原始合计'!Y53/100-1))*(1+MAX(0,MIN(1,'02_人物原始合计'!Z53/100))*('01_参数'!$B$17+'02_人物原始合计'!AA53/100-1))+'02_人物原始合计'!AB53)*N53*'01_参数'!$B$7*'01_参数'!$B$8</x:f>
        <x:v>260189.34378880612</x:v>
      </x:c>
      <x:c r="R53" s="28" t="n">
        <x:f>Q53*'01_参数'!$B$5</x:f>
        <x:v>520378.68757761223</x:v>
      </x:c>
      <x:c r="S53" s="28" t="n">
        <x:f>(('02_人物原始合计'!E53+('02_人物原始合计'!F53-'02_人物原始合计'!E53)*IF(J53&gt;=12,1,0.5+0.5*MAX(0,J53)/12))*(1+'02_人物原始合计'!Q53/100))*(1+'02_人物原始合计'!U53/100+IF(J53&gt;=15,0.15,0))*(1+'02_人物原始合计'!V53/100)*(1+'02_人物原始合计'!T53)*(1+'02_人物原始合计'!W53*'01_参数'!$B$18)*(1+MAX(0,MIN(1,'02_人物原始合计'!X53/100))*('01_参数'!$B$16+'02_人物原始合计'!Y53/100-1))*(1+MAX(0,MIN(1,'02_人物原始合计'!Z53/100))*('01_参数'!$B$17+'02_人物原始合计'!AA53/100-1))*N53*'01_参数'!$B$7*'01_参数'!$B$8*MAX(0,'02_人物原始合计'!AO53/100)</x:f>
        <x:v>7805.680313664183</x:v>
      </x:c>
      <x:c r="T53" s="28" t="n">
        <x:f>S53*'01_参数'!$B$6</x:f>
        <x:v>10147.384407763439</x:v>
      </x:c>
      <x:c r="U53" s="28" t="n">
        <x:v>0</x:v>
      </x:c>
      <x:c r="V53" s="28" t="n">
        <x:f>T53+U53</x:f>
        <x:v>10147.384407763439</x:v>
      </x:c>
      <x:c r="W53" s="22" t="n">
        <x:v>4</x:v>
      </x:c>
      <x:c r="X53" s="22" t="n">
        <x:v>27</x:v>
      </x:c>
      <x:c r="Y53" s="22" t="str">
        <x:v>C02G04BOSS强装对照</x:v>
      </x:c>
    </x:row>
    <x:row r="54" ht="24" customHeight="1">
      <x:c r="A54" s="22" t="str">
        <x:v>P0050</x:v>
      </x:c>
      <x:c r="B54" s="22" t="n">
        <x:v>2</x:v>
      </x:c>
      <x:c r="C54" s="22" t="n">
        <x:v>4</x:v>
      </x:c>
      <x:c r="D54" s="22" t="str">
        <x:v>风暴山谷阶段积累后</x:v>
      </x:c>
      <x:c r="E54" s="26" t="n">
        <x:v>0.37940287896553243</x:v>
      </x:c>
      <x:c r="F54" s="22" t="n">
        <x:v>2</x:v>
      </x:c>
      <x:c r="G54" s="22" t="n">
        <x:v>35</x:v>
      </x:c>
      <x:c r="H54" s="22" t="n">
        <x:v>0</x:v>
      </x:c>
      <x:c r="I54" s="22" t="n">
        <x:v>3</x:v>
      </x:c>
      <x:c r="J54" s="22" t="n">
        <x:f>'02_人物原始合计'!AG54+'02_人物原始合计'!AH54</x:f>
        <x:v>15</x:v>
      </x:c>
      <x:c r="K54" s="28" t="n">
        <x:f>'02_人物原始合计'!F54*(1+'02_人物原始合计'!Q54/100)</x:f>
        <x:v>14496.599999999999</x:v>
      </x:c>
      <x:c r="L54" s="28" t="n">
        <x:f>'02_人物原始合计'!K54*(1+'02_人物原始合计'!AV54/100)</x:f>
        <x:v>502864</x:v>
      </x:c>
      <x:c r="M54" s="22" t="n">
        <x:f>MAX(0,MIN(50,'02_人物原始合计'!AD54,20+MIN(30,'02_人物原始合计'!AE54)))</x:f>
        <x:v>25</x:v>
      </x:c>
      <x:c r="N54" s="22" t="n">
        <x:f>IF(M54=0,1.75,IF(M54=10,2.2,IF(M54=20,2.9,IF(M54=30,4.3,IF(M54=40,8.5,IF(M54=50,14.3,IF(M54&lt;=40,1000/('01_参数'!$B$21-'01_参数'!$B$22*M54),1000/(1000/8.5+(M54-40)/10*(1000/14.3-1000/8.5)))))))))</x:f>
        <x:v>3.4755547119998096</x:v>
      </x:c>
      <x:c r="O54" s="22" t="n">
        <x:v>292</x:v>
      </x:c>
      <x:c r="P54" s="26" t="n">
        <x:f>MAX(0,MIN('01_参数'!$B$20,'02_人物原始合计'!AM54/100,'01_参数'!$B$19+'02_人物原始合计'!AN54/100))</x:f>
        <x:v>0.6</x:v>
      </x:c>
      <x:c r="Q54" s="28" t="n">
        <x:f>((('02_人物原始合计'!E54+('02_人物原始合计'!F54-'02_人物原始合计'!E54)*IF(J54&gt;=12,1,0.5+0.5*MAX(0,J54)/12))*(1+'02_人物原始合计'!Q54/100))*(1+'02_人物原始合计'!U54/100+IF(J54&gt;=15,0.15,0))*(1+'02_人物原始合计'!V54/100)*(1+'02_人物原始合计'!T54)*(1+'02_人物原始合计'!W54*'01_参数'!$B$18)*(1+MAX(0,MIN(1,'02_人物原始合计'!X54/100))*('01_参数'!$B$16+'02_人物原始合计'!Y54/100-1))*(1+MAX(0,MIN(1,'02_人物原始合计'!Z54/100))*('01_参数'!$B$17+'02_人物原始合计'!AA54/100-1))+'02_人物原始合计'!AB54)*N54*'01_参数'!$B$7*'01_参数'!$B$8</x:f>
        <x:v>241895.21344948</x:v>
      </x:c>
      <x:c r="R54" s="28" t="n">
        <x:f>Q54*'01_参数'!$B$5</x:f>
        <x:v>483790.42689896</x:v>
      </x:c>
      <x:c r="S54" s="28" t="n">
        <x:f>(('02_人物原始合计'!E54+('02_人物原始合计'!F54-'02_人物原始合计'!E54)*IF(J54&gt;=12,1,0.5+0.5*MAX(0,J54)/12))*(1+'02_人物原始合计'!Q54/100))*(1+'02_人物原始合计'!U54/100+IF(J54&gt;=15,0.15,0))*(1+'02_人物原始合计'!V54/100)*(1+'02_人物原始合计'!T54)*(1+'02_人物原始合计'!W54*'01_参数'!$B$18)*(1+MAX(0,MIN(1,'02_人物原始合计'!X54/100))*('01_参数'!$B$16+'02_人物原始合计'!Y54/100-1))*(1+MAX(0,MIN(1,'02_人物原始合计'!Z54/100))*('01_参数'!$B$17+'02_人物原始合计'!AA54/100-1))*N54*'01_参数'!$B$7*'01_参数'!$B$8*MAX(0,'02_人物原始合计'!AO54/100)</x:f>
        <x:v>7256.8564034844</x:v>
      </x:c>
      <x:c r="T54" s="28" t="n">
        <x:f>S54*'01_参数'!$B$6</x:f>
        <x:v>9433.91332452972</x:v>
      </x:c>
      <x:c r="U54" s="28" t="n">
        <x:v>0</x:v>
      </x:c>
      <x:c r="V54" s="28" t="n">
        <x:f>T54+U54</x:f>
        <x:v>9433.91332452972</x:v>
      </x:c>
      <x:c r="W54" s="22" t="n">
        <x:v>5</x:v>
      </x:c>
      <x:c r="X54" s="22" t="n">
        <x:v>28</x:v>
      </x:c>
      <x:c r="Y54" s="22" t="str">
        <x:v>主线</x:v>
      </x:c>
    </x:row>
    <x:row r="55" ht="24" customHeight="1">
      <x:c r="A55" s="22" t="str">
        <x:v>P0051</x:v>
      </x:c>
      <x:c r="B55" s="22" t="n">
        <x:v>2</x:v>
      </x:c>
      <x:c r="C55" s="22" t="n">
        <x:v>5</x:v>
      </x:c>
      <x:c r="D55" s="22" t="str">
        <x:v>C02G05入场</x:v>
      </x:c>
      <x:c r="E55" s="26" t="n">
        <x:v>0.37940287896553243</x:v>
      </x:c>
      <x:c r="F55" s="22" t="n">
        <x:v>2</x:v>
      </x:c>
      <x:c r="G55" s="22" t="n">
        <x:v>35</x:v>
      </x:c>
      <x:c r="H55" s="22" t="n">
        <x:v>0</x:v>
      </x:c>
      <x:c r="I55" s="22" t="n">
        <x:v>3</x:v>
      </x:c>
      <x:c r="J55" s="22" t="n">
        <x:f>'02_人物原始合计'!AG55+'02_人物原始合计'!AH55</x:f>
        <x:v>15</x:v>
      </x:c>
      <x:c r="K55" s="28" t="n">
        <x:f>'02_人物原始合计'!F55*(1+'02_人物原始合计'!Q55/100)</x:f>
        <x:v>14496.599999999999</x:v>
      </x:c>
      <x:c r="L55" s="28" t="n">
        <x:f>'02_人物原始合计'!K55*(1+'02_人物原始合计'!AV55/100)</x:f>
        <x:v>502864</x:v>
      </x:c>
      <x:c r="M55" s="22" t="n">
        <x:f>MAX(0,MIN(50,'02_人物原始合计'!AD55,20+MIN(30,'02_人物原始合计'!AE55)))</x:f>
        <x:v>25</x:v>
      </x:c>
      <x:c r="N55" s="22" t="n">
        <x:f>IF(M55=0,1.75,IF(M55=10,2.2,IF(M55=20,2.9,IF(M55=30,4.3,IF(M55=40,8.5,IF(M55=50,14.3,IF(M55&lt;=40,1000/('01_参数'!$B$21-'01_参数'!$B$22*M55),1000/(1000/8.5+(M55-40)/10*(1000/14.3-1000/8.5)))))))))</x:f>
        <x:v>3.4755547119998096</x:v>
      </x:c>
      <x:c r="O55" s="22" t="n">
        <x:v>292</x:v>
      </x:c>
      <x:c r="P55" s="26" t="n">
        <x:f>MAX(0,MIN('01_参数'!$B$20,'02_人物原始合计'!AM55/100,'01_参数'!$B$19+'02_人物原始合计'!AN55/100))</x:f>
        <x:v>0.6</x:v>
      </x:c>
      <x:c r="Q55" s="28" t="n">
        <x:f>((('02_人物原始合计'!E55+('02_人物原始合计'!F55-'02_人物原始合计'!E55)*IF(J55&gt;=12,1,0.5+0.5*MAX(0,J55)/12))*(1+'02_人物原始合计'!Q55/100))*(1+'02_人物原始合计'!U55/100+IF(J55&gt;=15,0.15,0))*(1+'02_人物原始合计'!V55/100)*(1+'02_人物原始合计'!T55)*(1+'02_人物原始合计'!W55*'01_参数'!$B$18)*(1+MAX(0,MIN(1,'02_人物原始合计'!X55/100))*('01_参数'!$B$16+'02_人物原始合计'!Y55/100-1))*(1+MAX(0,MIN(1,'02_人物原始合计'!Z55/100))*('01_参数'!$B$17+'02_人物原始合计'!AA55/100-1))+'02_人物原始合计'!AB55)*N55*'01_参数'!$B$7*'01_参数'!$B$8</x:f>
        <x:v>241895.21344948</x:v>
      </x:c>
      <x:c r="R55" s="28" t="n">
        <x:f>Q55*'01_参数'!$B$5</x:f>
        <x:v>483790.42689896</x:v>
      </x:c>
      <x:c r="S55" s="28" t="n">
        <x:f>(('02_人物原始合计'!E55+('02_人物原始合计'!F55-'02_人物原始合计'!E55)*IF(J55&gt;=12,1,0.5+0.5*MAX(0,J55)/12))*(1+'02_人物原始合计'!Q55/100))*(1+'02_人物原始合计'!U55/100+IF(J55&gt;=15,0.15,0))*(1+'02_人物原始合计'!V55/100)*(1+'02_人物原始合计'!T55)*(1+'02_人物原始合计'!W55*'01_参数'!$B$18)*(1+MAX(0,MIN(1,'02_人物原始合计'!X55/100))*('01_参数'!$B$16+'02_人物原始合计'!Y55/100-1))*(1+MAX(0,MIN(1,'02_人物原始合计'!Z55/100))*('01_参数'!$B$17+'02_人物原始合计'!AA55/100-1))*N55*'01_参数'!$B$7*'01_参数'!$B$8*MAX(0,'02_人物原始合计'!AO55/100)</x:f>
        <x:v>7256.8564034844</x:v>
      </x:c>
      <x:c r="T55" s="28" t="n">
        <x:f>S55*'01_参数'!$B$6</x:f>
        <x:v>9433.91332452972</x:v>
      </x:c>
      <x:c r="U55" s="28" t="n">
        <x:v>0</x:v>
      </x:c>
      <x:c r="V55" s="28" t="n">
        <x:f>T55+U55</x:f>
        <x:v>9433.91332452972</x:v>
      </x:c>
      <x:c r="W55" s="22" t="n">
        <x:v>5</x:v>
      </x:c>
      <x:c r="X55" s="22" t="n">
        <x:v>28</x:v>
      </x:c>
      <x:c r="Y55" s="22" t="str">
        <x:v>主线</x:v>
      </x:c>
    </x:row>
    <x:row r="56" ht="24" customHeight="1">
      <x:c r="A56" s="22" t="str">
        <x:v>P0052</x:v>
      </x:c>
      <x:c r="B56" s="22" t="n">
        <x:v>2</x:v>
      </x:c>
      <x:c r="C56" s="22" t="n">
        <x:v>5</x:v>
      </x:c>
      <x:c r="D56" s="22" t="str">
        <x:v>C02G05普通专属4/6</x:v>
      </x:c>
      <x:c r="E56" s="26" t="n">
        <x:v>0.38000198351379616</x:v>
      </x:c>
      <x:c r="F56" s="22" t="n">
        <x:v>2</x:v>
      </x:c>
      <x:c r="G56" s="22" t="n">
        <x:v>35</x:v>
      </x:c>
      <x:c r="H56" s="22" t="n">
        <x:v>0</x:v>
      </x:c>
      <x:c r="I56" s="22" t="n">
        <x:v>3</x:v>
      </x:c>
      <x:c r="J56" s="22" t="n">
        <x:f>'02_人物原始合计'!AG56+'02_人物原始合计'!AH56</x:f>
        <x:v>15</x:v>
      </x:c>
      <x:c r="K56" s="28" t="n">
        <x:f>'02_人物原始合计'!F56*(1+'02_人物原始合计'!Q56/100)</x:f>
        <x:v>14800.5</x:v>
      </x:c>
      <x:c r="L56" s="28" t="n">
        <x:f>'02_人物原始合计'!K56*(1+'02_人物原始合计'!AV56/100)</x:f>
        <x:v>506044</x:v>
      </x:c>
      <x:c r="M56" s="22" t="n">
        <x:f>MAX(0,MIN(50,'02_人物原始合计'!AD56,20+MIN(30,'02_人物原始合计'!AE56)))</x:f>
        <x:v>25</x:v>
      </x:c>
      <x:c r="N56" s="22" t="n">
        <x:f>IF(M56=0,1.75,IF(M56=10,2.2,IF(M56=20,2.9,IF(M56=30,4.3,IF(M56=40,8.5,IF(M56=50,14.3,IF(M56&lt;=40,1000/('01_参数'!$B$21-'01_参数'!$B$22*M56),1000/(1000/8.5+(M56-40)/10*(1000/14.3-1000/8.5)))))))))</x:f>
        <x:v>3.4755547119998096</x:v>
      </x:c>
      <x:c r="O56" s="22" t="n">
        <x:v>292</x:v>
      </x:c>
      <x:c r="P56" s="26" t="n">
        <x:f>MAX(0,MIN('01_参数'!$B$20,'02_人物原始合计'!AM56/100,'01_参数'!$B$19+'02_人物原始合计'!AN56/100))</x:f>
        <x:v>0.6</x:v>
      </x:c>
      <x:c r="Q56" s="28" t="n">
        <x:f>((('02_人物原始合计'!E56+('02_人物原始合计'!F56-'02_人物原始合计'!E56)*IF(J56&gt;=12,1,0.5+0.5*MAX(0,J56)/12))*(1+'02_人物原始合计'!Q56/100))*(1+'02_人物原始合计'!U56/100+IF(J56&gt;=15,0.15,0))*(1+'02_人物原始合计'!V56/100)*(1+'02_人物原始合计'!T56)*(1+'02_人物原始合计'!W56*'01_参数'!$B$18)*(1+MAX(0,MIN(1,'02_人物原始合计'!X56/100))*('01_参数'!$B$16+'02_人物原始合计'!Y56/100-1))*(1+MAX(0,MIN(1,'02_人物原始合计'!Z56/100))*('01_参数'!$B$17+'02_人物原始合计'!AA56/100-1))+'02_人物原始合计'!AB56)*N56*'01_参数'!$B$7*'01_参数'!$B$8</x:f>
        <x:v>246047.24855976307</x:v>
      </x:c>
      <x:c r="R56" s="28" t="n">
        <x:f>Q56*'01_参数'!$B$5</x:f>
        <x:v>492094.49711952615</x:v>
      </x:c>
      <x:c r="S56" s="28" t="n">
        <x:f>(('02_人物原始合计'!E56+('02_人物原始合计'!F56-'02_人物原始合计'!E56)*IF(J56&gt;=12,1,0.5+0.5*MAX(0,J56)/12))*(1+'02_人物原始合计'!Q56/100))*(1+'02_人物原始合计'!U56/100+IF(J56&gt;=15,0.15,0))*(1+'02_人物原始合计'!V56/100)*(1+'02_人物原始合计'!T56)*(1+'02_人物原始合计'!W56*'01_参数'!$B$18)*(1+MAX(0,MIN(1,'02_人物原始合计'!X56/100))*('01_参数'!$B$16+'02_人物原始合计'!Y56/100-1))*(1+MAX(0,MIN(1,'02_人物原始合计'!Z56/100))*('01_参数'!$B$17+'02_人物原始合计'!AA56/100-1))*N56*'01_参数'!$B$7*'01_参数'!$B$8*MAX(0,'02_人物原始合计'!AO56/100)</x:f>
        <x:v>7381.417456792892</x:v>
      </x:c>
      <x:c r="T56" s="28" t="n">
        <x:f>S56*'01_参数'!$B$6</x:f>
        <x:v>9595.84269383076</x:v>
      </x:c>
      <x:c r="U56" s="28" t="n">
        <x:v>0</x:v>
      </x:c>
      <x:c r="V56" s="28" t="n">
        <x:f>T56+U56</x:f>
        <x:v>9595.84269383076</x:v>
      </x:c>
      <x:c r="W56" s="22" t="n">
        <x:v>5</x:v>
      </x:c>
      <x:c r="X56" s="22" t="n">
        <x:v>28</x:v>
      </x:c>
      <x:c r="Y56" s="22" t="str">
        <x:v>主线</x:v>
      </x:c>
    </x:row>
    <x:row r="57" ht="24" customHeight="1">
      <x:c r="A57" s="22" t="str">
        <x:v>P0053</x:v>
      </x:c>
      <x:c r="B57" s="22" t="n">
        <x:v>2</x:v>
      </x:c>
      <x:c r="C57" s="22" t="n">
        <x:v>5</x:v>
      </x:c>
      <x:c r="D57" s="22" t="str">
        <x:v>接肢兽将·戈德温挑战前</x:v>
      </x:c>
      <x:c r="E57" s="26" t="n">
        <x:v>0.38000198351379616</x:v>
      </x:c>
      <x:c r="F57" s="22" t="n">
        <x:v>2</x:v>
      </x:c>
      <x:c r="G57" s="22" t="n">
        <x:v>45</x:v>
      </x:c>
      <x:c r="H57" s="22" t="n">
        <x:v>0</x:v>
      </x:c>
      <x:c r="I57" s="22" t="n">
        <x:v>3</x:v>
      </x:c>
      <x:c r="J57" s="22" t="n">
        <x:f>'02_人物原始合计'!AG57+'02_人物原始合计'!AH57</x:f>
        <x:v>15</x:v>
      </x:c>
      <x:c r="K57" s="28" t="n">
        <x:f>'02_人物原始合计'!F57*(1+'02_人物原始合计'!Q57/100)</x:f>
        <x:v>16623</x:v>
      </x:c>
      <x:c r="L57" s="28" t="n">
        <x:f>'02_人物原始合计'!K57*(1+'02_人物原始合计'!AV57/100)</x:f>
        <x:v>548974</x:v>
      </x:c>
      <x:c r="M57" s="22" t="n">
        <x:f>MAX(0,MIN(50,'02_人物原始合计'!AD57,20+MIN(30,'02_人物原始合计'!AE57)))</x:f>
        <x:v>25</x:v>
      </x:c>
      <x:c r="N57" s="22" t="n">
        <x:f>IF(M57=0,1.75,IF(M57=10,2.2,IF(M57=20,2.9,IF(M57=30,4.3,IF(M57=40,8.5,IF(M57=50,14.3,IF(M57&lt;=40,1000/('01_参数'!$B$21-'01_参数'!$B$22*M57),1000/(1000/8.5+(M57-40)/10*(1000/14.3-1000/8.5)))))))))</x:f>
        <x:v>3.4755547119998096</x:v>
      </x:c>
      <x:c r="O57" s="22" t="n">
        <x:v>292</x:v>
      </x:c>
      <x:c r="P57" s="26" t="n">
        <x:f>MAX(0,MIN('01_参数'!$B$20,'02_人物原始合计'!AM57/100,'01_参数'!$B$19+'02_人物原始合计'!AN57/100))</x:f>
        <x:v>0.6</x:v>
      </x:c>
      <x:c r="Q57" s="28" t="n">
        <x:f>((('02_人物原始合计'!E57+('02_人物原始合计'!F57-'02_人物原始合计'!E57)*IF(J57&gt;=12,1,0.5+0.5*MAX(0,J57)/12))*(1+'02_人物原始合计'!Q57/100))*(1+'02_人物原始合计'!U57/100+IF(J57&gt;=15,0.15,0))*(1+'02_人物原始合计'!V57/100)*(1+'02_人物原始合计'!T57)*(1+'02_人物原始合计'!W57*'01_参数'!$B$18)*(1+MAX(0,MIN(1,'02_人物原始合计'!X57/100))*('01_参数'!$B$16+'02_人物原始合计'!Y57/100-1))*(1+MAX(0,MIN(1,'02_人物原始合计'!Z57/100))*('01_参数'!$B$17+'02_人物原始合计'!AA57/100-1))+'02_人物原始合计'!AB57)*N57*'01_参数'!$B$7*'01_参数'!$B$8</x:f>
        <x:v>276344.94867125707</x:v>
      </x:c>
      <x:c r="R57" s="28" t="n">
        <x:f>Q57*'01_参数'!$B$5</x:f>
        <x:v>552689.8973425141</x:v>
      </x:c>
      <x:c r="S57" s="28" t="n">
        <x:f>(('02_人物原始合计'!E57+('02_人物原始合计'!F57-'02_人物原始合计'!E57)*IF(J57&gt;=12,1,0.5+0.5*MAX(0,J57)/12))*(1+'02_人物原始合计'!Q57/100))*(1+'02_人物原始合计'!U57/100+IF(J57&gt;=15,0.15,0))*(1+'02_人物原始合计'!V57/100)*(1+'02_人物原始合计'!T57)*(1+'02_人物原始合计'!W57*'01_参数'!$B$18)*(1+MAX(0,MIN(1,'02_人物原始合计'!X57/100))*('01_参数'!$B$16+'02_人物原始合计'!Y57/100-1))*(1+MAX(0,MIN(1,'02_人物原始合计'!Z57/100))*('01_参数'!$B$17+'02_人物原始合计'!AA57/100-1))*N57*'01_参数'!$B$7*'01_参数'!$B$8*MAX(0,'02_人物原始合计'!AO57/100)</x:f>
        <x:v>8290.348460137711</x:v>
      </x:c>
      <x:c r="T57" s="28" t="n">
        <x:f>S57*'01_参数'!$B$6</x:f>
        <x:v>10777.452998179026</x:v>
      </x:c>
      <x:c r="U57" s="28" t="n">
        <x:v>0</x:v>
      </x:c>
      <x:c r="V57" s="28" t="n">
        <x:f>T57+U57</x:f>
        <x:v>10777.452998179026</x:v>
      </x:c>
      <x:c r="W57" s="22" t="n">
        <x:v>5</x:v>
      </x:c>
      <x:c r="X57" s="22" t="n">
        <x:v>28</x:v>
      </x:c>
      <x:c r="Y57" s="22" t="str">
        <x:v>主线</x:v>
      </x:c>
    </x:row>
    <x:row r="58" ht="24" customHeight="1">
      <x:c r="A58" s="22" t="str">
        <x:v>P0054</x:v>
      </x:c>
      <x:c r="B58" s="22" t="n">
        <x:v>2</x:v>
      </x:c>
      <x:c r="C58" s="22" t="n">
        <x:v>5</x:v>
      </x:c>
      <x:c r="D58" s="22" t="str">
        <x:v>失乡统帅·欧尼尔挑战前</x:v>
      </x:c>
      <x:c r="E58" s="26" t="n">
        <x:v>0.38000198351379616</x:v>
      </x:c>
      <x:c r="F58" s="22" t="n">
        <x:v>2</x:v>
      </x:c>
      <x:c r="G58" s="22" t="n">
        <x:v>45</x:v>
      </x:c>
      <x:c r="H58" s="22" t="n">
        <x:v>0</x:v>
      </x:c>
      <x:c r="I58" s="22" t="n">
        <x:v>3</x:v>
      </x:c>
      <x:c r="J58" s="22" t="n">
        <x:f>'02_人物原始合计'!AG58+'02_人物原始合计'!AH58</x:f>
        <x:v>15</x:v>
      </x:c>
      <x:c r="K58" s="28" t="n">
        <x:f>'02_人物原始合计'!F58*(1+'02_人物原始合计'!Q58/100)</x:f>
        <x:v>16623</x:v>
      </x:c>
      <x:c r="L58" s="28" t="n">
        <x:f>'02_人物原始合计'!K58*(1+'02_人物原始合计'!AV58/100)</x:f>
        <x:v>548974</x:v>
      </x:c>
      <x:c r="M58" s="22" t="n">
        <x:f>MAX(0,MIN(50,'02_人物原始合计'!AD58,20+MIN(30,'02_人物原始合计'!AE58)))</x:f>
        <x:v>25</x:v>
      </x:c>
      <x:c r="N58" s="22" t="n">
        <x:f>IF(M58=0,1.75,IF(M58=10,2.2,IF(M58=20,2.9,IF(M58=30,4.3,IF(M58=40,8.5,IF(M58=50,14.3,IF(M58&lt;=40,1000/('01_参数'!$B$21-'01_参数'!$B$22*M58),1000/(1000/8.5+(M58-40)/10*(1000/14.3-1000/8.5)))))))))</x:f>
        <x:v>3.4755547119998096</x:v>
      </x:c>
      <x:c r="O58" s="22" t="n">
        <x:v>292</x:v>
      </x:c>
      <x:c r="P58" s="26" t="n">
        <x:f>MAX(0,MIN('01_参数'!$B$20,'02_人物原始合计'!AM58/100,'01_参数'!$B$19+'02_人物原始合计'!AN58/100))</x:f>
        <x:v>0.6</x:v>
      </x:c>
      <x:c r="Q58" s="28" t="n">
        <x:f>((('02_人物原始合计'!E58+('02_人物原始合计'!F58-'02_人物原始合计'!E58)*IF(J58&gt;=12,1,0.5+0.5*MAX(0,J58)/12))*(1+'02_人物原始合计'!Q58/100))*(1+'02_人物原始合计'!U58/100+IF(J58&gt;=15,0.15,0))*(1+'02_人物原始合计'!V58/100)*(1+'02_人物原始合计'!T58)*(1+'02_人物原始合计'!W58*'01_参数'!$B$18)*(1+MAX(0,MIN(1,'02_人物原始合计'!X58/100))*('01_参数'!$B$16+'02_人物原始合计'!Y58/100-1))*(1+MAX(0,MIN(1,'02_人物原始合计'!Z58/100))*('01_参数'!$B$17+'02_人物原始合计'!AA58/100-1))+'02_人物原始合计'!AB58)*N58*'01_参数'!$B$7*'01_参数'!$B$8</x:f>
        <x:v>276344.94867125707</x:v>
      </x:c>
      <x:c r="R58" s="28" t="n">
        <x:f>Q58*'01_参数'!$B$5</x:f>
        <x:v>552689.8973425141</x:v>
      </x:c>
      <x:c r="S58" s="28" t="n">
        <x:f>(('02_人物原始合计'!E58+('02_人物原始合计'!F58-'02_人物原始合计'!E58)*IF(J58&gt;=12,1,0.5+0.5*MAX(0,J58)/12))*(1+'02_人物原始合计'!Q58/100))*(1+'02_人物原始合计'!U58/100+IF(J58&gt;=15,0.15,0))*(1+'02_人物原始合计'!V58/100)*(1+'02_人物原始合计'!T58)*(1+'02_人物原始合计'!W58*'01_参数'!$B$18)*(1+MAX(0,MIN(1,'02_人物原始合计'!X58/100))*('01_参数'!$B$16+'02_人物原始合计'!Y58/100-1))*(1+MAX(0,MIN(1,'02_人物原始合计'!Z58/100))*('01_参数'!$B$17+'02_人物原始合计'!AA58/100-1))*N58*'01_参数'!$B$7*'01_参数'!$B$8*MAX(0,'02_人物原始合计'!AO58/100)</x:f>
        <x:v>8290.348460137711</x:v>
      </x:c>
      <x:c r="T58" s="28" t="n">
        <x:f>S58*'01_参数'!$B$6</x:f>
        <x:v>10777.452998179026</x:v>
      </x:c>
      <x:c r="U58" s="28" t="n">
        <x:v>0</x:v>
      </x:c>
      <x:c r="V58" s="28" t="n">
        <x:f>T58+U58</x:f>
        <x:v>10777.452998179026</x:v>
      </x:c>
      <x:c r="W58" s="22" t="n">
        <x:v>5</x:v>
      </x:c>
      <x:c r="X58" s="22" t="n">
        <x:v>28</x:v>
      </x:c>
      <x:c r="Y58" s="22" t="str">
        <x:v>主线</x:v>
      </x:c>
    </x:row>
    <x:row r="59" ht="24" customHeight="1">
      <x:c r="A59" s="22" t="str">
        <x:v>P0055</x:v>
      </x:c>
      <x:c r="B59" s="22" t="n">
        <x:v>2</x:v>
      </x:c>
      <x:c r="C59" s="22" t="n">
        <x:v>5</x:v>
      </x:c>
      <x:c r="D59" s="22" t="str">
        <x:v>史东薇尔王城BOSS装备快线</x:v>
      </x:c>
      <x:c r="E59" s="26" t="n">
        <x:v>0.39250198351379617</x:v>
      </x:c>
      <x:c r="F59" s="22" t="n">
        <x:v>2</x:v>
      </x:c>
      <x:c r="G59" s="22" t="n">
        <x:v>45</x:v>
      </x:c>
      <x:c r="H59" s="22" t="n">
        <x:v>0</x:v>
      </x:c>
      <x:c r="I59" s="22" t="n">
        <x:v>3</x:v>
      </x:c>
      <x:c r="J59" s="22" t="n">
        <x:f>'02_人物原始合计'!AG59+'02_人物原始合计'!AH59</x:f>
        <x:v>15</x:v>
      </x:c>
      <x:c r="K59" s="28" t="n">
        <x:f>'02_人物原始合计'!F59*(1+'02_人物原始合计'!Q59/100)</x:f>
        <x:v>19016.36</x:v>
      </x:c>
      <x:c r="L59" s="28" t="n">
        <x:f>'02_人物原始合计'!K59*(1+'02_人物原始合计'!AV59/100)</x:f>
        <x:v>898304</x:v>
      </x:c>
      <x:c r="M59" s="22" t="n">
        <x:f>MAX(0,MIN(50,'02_人物原始合计'!AD59,20+MIN(30,'02_人物原始合计'!AE59)))</x:f>
        <x:v>25</x:v>
      </x:c>
      <x:c r="N59" s="22" t="n">
        <x:f>IF(M59=0,1.75,IF(M59=10,2.2,IF(M59=20,2.9,IF(M59=30,4.3,IF(M59=40,8.5,IF(M59=50,14.3,IF(M59&lt;=40,1000/('01_参数'!$B$21-'01_参数'!$B$22*M59),1000/(1000/8.5+(M59-40)/10*(1000/14.3-1000/8.5)))))))))</x:f>
        <x:v>3.4755547119998096</x:v>
      </x:c>
      <x:c r="O59" s="22" t="n">
        <x:v>364</x:v>
      </x:c>
      <x:c r="P59" s="26" t="n">
        <x:f>MAX(0,MIN('01_参数'!$B$20,'02_人物原始合计'!AM59/100,'01_参数'!$B$19+'02_人物原始合计'!AN59/100))</x:f>
        <x:v>0.65</x:v>
      </x:c>
      <x:c r="Q59" s="28" t="n">
        <x:f>((('02_人物原始合计'!E59+('02_人物原始合计'!F59-'02_人物原始合计'!E59)*IF(J59&gt;=12,1,0.5+0.5*MAX(0,J59)/12))*(1+'02_人物原始合计'!Q59/100))*(1+'02_人物原始合计'!U59/100+IF(J59&gt;=15,0.15,0))*(1+'02_人物原始合计'!V59/100)*(1+'02_人物原始合计'!T59)*(1+'02_人物原始合计'!W59*'01_参数'!$B$18)*(1+MAX(0,MIN(1,'02_人物原始合计'!X59/100))*('01_参数'!$B$16+'02_人物原始合计'!Y59/100-1))*(1+MAX(0,MIN(1,'02_人物原始合计'!Z59/100))*('01_参数'!$B$17+'02_人物原始合计'!AA59/100-1))+'02_人物原始合计'!AB59)*N59*'01_参数'!$B$7*'01_参数'!$B$8</x:f>
        <x:v>316132.7695430516</x:v>
      </x:c>
      <x:c r="R59" s="28" t="n">
        <x:f>Q59*'01_参数'!$B$5</x:f>
        <x:v>632265.5390861032</x:v>
      </x:c>
      <x:c r="S59" s="28" t="n">
        <x:f>(('02_人物原始合计'!E59+('02_人物原始合计'!F59-'02_人物原始合计'!E59)*IF(J59&gt;=12,1,0.5+0.5*MAX(0,J59)/12))*(1+'02_人物原始合计'!Q59/100))*(1+'02_人物原始合计'!U59/100+IF(J59&gt;=15,0.15,0))*(1+'02_人物原始合计'!V59/100)*(1+'02_人物原始合计'!T59)*(1+'02_人物原始合计'!W59*'01_参数'!$B$18)*(1+MAX(0,MIN(1,'02_人物原始合计'!X59/100))*('01_参数'!$B$16+'02_人物原始合计'!Y59/100-1))*(1+MAX(0,MIN(1,'02_人物原始合计'!Z59/100))*('01_参数'!$B$17+'02_人物原始合计'!AA59/100-1))*N59*'01_参数'!$B$7*'01_参数'!$B$8*MAX(0,'02_人物原始合计'!AO59/100)</x:f>
        <x:v>9483.983086291548</x:v>
      </x:c>
      <x:c r="T59" s="28" t="n">
        <x:f>S59*'01_参数'!$B$6</x:f>
        <x:v>12329.178012179013</x:v>
      </x:c>
      <x:c r="U59" s="28" t="n">
        <x:v>0</x:v>
      </x:c>
      <x:c r="V59" s="28" t="n">
        <x:f>T59+U59</x:f>
        <x:v>12329.178012179013</x:v>
      </x:c>
      <x:c r="W59" s="22" t="n">
        <x:v>5</x:v>
      </x:c>
      <x:c r="X59" s="22" t="n">
        <x:v>28</x:v>
      </x:c>
      <x:c r="Y59" s="22" t="str">
        <x:v>C02G05BOSS强装对照</x:v>
      </x:c>
    </x:row>
    <x:row r="60" ht="24" customHeight="1">
      <x:c r="A60" s="22" t="str">
        <x:v>P0056</x:v>
      </x:c>
      <x:c r="B60" s="22" t="n">
        <x:v>2</x:v>
      </x:c>
      <x:c r="C60" s="22" t="n">
        <x:v>5</x:v>
      </x:c>
      <x:c r="D60" s="22" t="str">
        <x:v>史东薇尔王城阶段积累后</x:v>
      </x:c>
      <x:c r="E60" s="26" t="n">
        <x:v>0.4168004660247772</x:v>
      </x:c>
      <x:c r="F60" s="22" t="n">
        <x:v>2</x:v>
      </x:c>
      <x:c r="G60" s="22" t="n">
        <x:v>45</x:v>
      </x:c>
      <x:c r="H60" s="22" t="n">
        <x:v>0</x:v>
      </x:c>
      <x:c r="I60" s="22" t="n">
        <x:v>3</x:v>
      </x:c>
      <x:c r="J60" s="22" t="n">
        <x:f>'02_人物原始合计'!AG60+'02_人物原始合计'!AH60</x:f>
        <x:v>15</x:v>
      </x:c>
      <x:c r="K60" s="28" t="n">
        <x:f>'02_人物原始合计'!F60*(1+'02_人物原始合计'!Q60/100)</x:f>
        <x:v>18943.920000000002</x:v>
      </x:c>
      <x:c r="L60" s="28" t="n">
        <x:f>'02_人物原始合计'!K60*(1+'02_人物原始合计'!AV60/100)</x:f>
        <x:v>562754</x:v>
      </x:c>
      <x:c r="M60" s="22" t="n">
        <x:f>MAX(0,MIN(50,'02_人物原始合计'!AD60,20+MIN(30,'02_人物原始合计'!AE60)))</x:f>
        <x:v>25</x:v>
      </x:c>
      <x:c r="N60" s="22" t="n">
        <x:f>IF(M60=0,1.75,IF(M60=10,2.2,IF(M60=20,2.9,IF(M60=30,4.3,IF(M60=40,8.5,IF(M60=50,14.3,IF(M60&lt;=40,1000/('01_参数'!$B$21-'01_参数'!$B$22*M60),1000/(1000/8.5+(M60-40)/10*(1000/14.3-1000/8.5)))))))))</x:f>
        <x:v>3.4755547119998096</x:v>
      </x:c>
      <x:c r="O60" s="22" t="n">
        <x:v>292</x:v>
      </x:c>
      <x:c r="P60" s="26" t="n">
        <x:f>MAX(0,MIN('01_参数'!$B$20,'02_人物原始合计'!AM60/100,'01_参数'!$B$19+'02_人物原始合计'!AN60/100))</x:f>
        <x:v>0.62</x:v>
      </x:c>
      <x:c r="Q60" s="28" t="n">
        <x:f>((('02_人物原始合计'!E60+('02_人物原始合计'!F60-'02_人物原始合计'!E60)*IF(J60&gt;=12,1,0.5+0.5*MAX(0,J60)/12))*(1+'02_人物原始合计'!Q60/100))*(1+'02_人物原始合计'!U60/100+IF(J60&gt;=15,0.15,0))*(1+'02_人物原始合计'!V60/100)*(1+'02_人物原始合计'!T60)*(1+'02_人物原始合计'!W60*'01_参数'!$B$18)*(1+MAX(0,MIN(1,'02_人物原始合计'!X60/100))*('01_参数'!$B$16+'02_人物原始合计'!Y60/100-1))*(1+MAX(0,MIN(1,'02_人物原始合计'!Z60/100))*('01_参数'!$B$17+'02_人物原始合计'!AA60/100-1))+'02_人物原始合计'!AB60)*N60*'01_参数'!$B$7*'01_参数'!$B$8</x:f>
        <x:v>353657.87466438644</x:v>
      </x:c>
      <x:c r="R60" s="28" t="n">
        <x:f>Q60*'01_参数'!$B$5</x:f>
        <x:v>707315.7493287729</x:v>
      </x:c>
      <x:c r="S60" s="28" t="n">
        <x:f>(('02_人物原始合计'!E60+('02_人物原始合计'!F60-'02_人物原始合计'!E60)*IF(J60&gt;=12,1,0.5+0.5*MAX(0,J60)/12))*(1+'02_人物原始合计'!Q60/100))*(1+'02_人物原始合计'!U60/100+IF(J60&gt;=15,0.15,0))*(1+'02_人物原始合计'!V60/100)*(1+'02_人物原始合计'!T60)*(1+'02_人物原始合计'!W60*'01_参数'!$B$18)*(1+MAX(0,MIN(1,'02_人物原始合计'!X60/100))*('01_参数'!$B$16+'02_人物原始合计'!Y60/100-1))*(1+MAX(0,MIN(1,'02_人物原始合计'!Z60/100))*('01_参数'!$B$17+'02_人物原始合计'!AA60/100-1))*N60*'01_参数'!$B$7*'01_参数'!$B$8*MAX(0,'02_人物原始合计'!AO60/100)</x:f>
        <x:v>10609.736239931593</x:v>
      </x:c>
      <x:c r="T60" s="28" t="n">
        <x:f>S60*'01_参数'!$B$6</x:f>
        <x:v>13792.657111911072</x:v>
      </x:c>
      <x:c r="U60" s="28" t="n">
        <x:v>0</x:v>
      </x:c>
      <x:c r="V60" s="28" t="n">
        <x:f>T60+U60</x:f>
        <x:v>13792.657111911072</x:v>
      </x:c>
      <x:c r="W60" s="22" t="n">
        <x:v>6</x:v>
      </x:c>
      <x:c r="X60" s="22" t="n">
        <x:v>30</x:v>
      </x:c>
      <x:c r="Y60" s="22" t="str">
        <x:v>主线</x:v>
      </x:c>
    </x:row>
    <x:row r="61" ht="24" customHeight="1">
      <x:c r="A61" s="22" t="str">
        <x:v>P0057</x:v>
      </x:c>
      <x:c r="B61" s="22" t="n">
        <x:v>2</x:v>
      </x:c>
      <x:c r="C61" s="22" t="n">
        <x:v>5</x:v>
      </x:c>
      <x:c r="D61" s="22" t="str">
        <x:v>C02守关前必做制作完成</x:v>
      </x:c>
      <x:c r="E61" s="26" t="n">
        <x:v>0.4168004660247772</x:v>
      </x:c>
      <x:c r="F61" s="22" t="n">
        <x:v>2</x:v>
      </x:c>
      <x:c r="G61" s="22" t="n">
        <x:v>45</x:v>
      </x:c>
      <x:c r="H61" s="22" t="n">
        <x:v>0</x:v>
      </x:c>
      <x:c r="I61" s="22" t="n">
        <x:v>3</x:v>
      </x:c>
      <x:c r="J61" s="22" t="n">
        <x:f>'02_人物原始合计'!AG61+'02_人物原始合计'!AH61</x:f>
        <x:v>15</x:v>
      </x:c>
      <x:c r="K61" s="28" t="n">
        <x:f>'02_人物原始合计'!F61*(1+'02_人物原始合计'!Q61/100)</x:f>
        <x:v>18943.920000000002</x:v>
      </x:c>
      <x:c r="L61" s="28" t="n">
        <x:f>'02_人物原始合计'!K61*(1+'02_人物原始合计'!AV61/100)</x:f>
        <x:v>562754</x:v>
      </x:c>
      <x:c r="M61" s="22" t="n">
        <x:f>MAX(0,MIN(50,'02_人物原始合计'!AD61,20+MIN(30,'02_人物原始合计'!AE61)))</x:f>
        <x:v>25</x:v>
      </x:c>
      <x:c r="N61" s="22" t="n">
        <x:f>IF(M61=0,1.75,IF(M61=10,2.2,IF(M61=20,2.9,IF(M61=30,4.3,IF(M61=40,8.5,IF(M61=50,14.3,IF(M61&lt;=40,1000/('01_参数'!$B$21-'01_参数'!$B$22*M61),1000/(1000/8.5+(M61-40)/10*(1000/14.3-1000/8.5)))))))))</x:f>
        <x:v>3.4755547119998096</x:v>
      </x:c>
      <x:c r="O61" s="22" t="n">
        <x:v>292</x:v>
      </x:c>
      <x:c r="P61" s="26" t="n">
        <x:f>MAX(0,MIN('01_参数'!$B$20,'02_人物原始合计'!AM61/100,'01_参数'!$B$19+'02_人物原始合计'!AN61/100))</x:f>
        <x:v>0.62</x:v>
      </x:c>
      <x:c r="Q61" s="28" t="n">
        <x:f>((('02_人物原始合计'!E61+('02_人物原始合计'!F61-'02_人物原始合计'!E61)*IF(J61&gt;=12,1,0.5+0.5*MAX(0,J61)/12))*(1+'02_人物原始合计'!Q61/100))*(1+'02_人物原始合计'!U61/100+IF(J61&gt;=15,0.15,0))*(1+'02_人物原始合计'!V61/100)*(1+'02_人物原始合计'!T61)*(1+'02_人物原始合计'!W61*'01_参数'!$B$18)*(1+MAX(0,MIN(1,'02_人物原始合计'!X61/100))*('01_参数'!$B$16+'02_人物原始合计'!Y61/100-1))*(1+MAX(0,MIN(1,'02_人物原始合计'!Z61/100))*('01_参数'!$B$17+'02_人物原始合计'!AA61/100-1))+'02_人物原始合计'!AB61)*N61*'01_参数'!$B$7*'01_参数'!$B$8</x:f>
        <x:v>353657.87466438644</x:v>
      </x:c>
      <x:c r="R61" s="28" t="n">
        <x:f>Q61*'01_参数'!$B$5</x:f>
        <x:v>707315.7493287729</x:v>
      </x:c>
      <x:c r="S61" s="28" t="n">
        <x:f>(('02_人物原始合计'!E61+('02_人物原始合计'!F61-'02_人物原始合计'!E61)*IF(J61&gt;=12,1,0.5+0.5*MAX(0,J61)/12))*(1+'02_人物原始合计'!Q61/100))*(1+'02_人物原始合计'!U61/100+IF(J61&gt;=15,0.15,0))*(1+'02_人物原始合计'!V61/100)*(1+'02_人物原始合计'!T61)*(1+'02_人物原始合计'!W61*'01_参数'!$B$18)*(1+MAX(0,MIN(1,'02_人物原始合计'!X61/100))*('01_参数'!$B$16+'02_人物原始合计'!Y61/100-1))*(1+MAX(0,MIN(1,'02_人物原始合计'!Z61/100))*('01_参数'!$B$17+'02_人物原始合计'!AA61/100-1))*N61*'01_参数'!$B$7*'01_参数'!$B$8*MAX(0,'02_人物原始合计'!AO61/100)</x:f>
        <x:v>10609.736239931593</x:v>
      </x:c>
      <x:c r="T61" s="28" t="n">
        <x:f>S61*'01_参数'!$B$6</x:f>
        <x:v>13792.657111911072</x:v>
      </x:c>
      <x:c r="U61" s="28" t="n">
        <x:v>0</x:v>
      </x:c>
      <x:c r="V61" s="28" t="n">
        <x:f>T61+U61</x:f>
        <x:v>13792.657111911072</x:v>
      </x:c>
      <x:c r="W61" s="22" t="n">
        <x:v>6</x:v>
      </x:c>
      <x:c r="X61" s="22" t="n">
        <x:v>30</x:v>
      </x:c>
      <x:c r="Y61" s="22" t="str">
        <x:v>主线</x:v>
      </x:c>
    </x:row>
    <x:row r="62" ht="24" customHeight="1">
      <x:c r="A62" s="22" t="str">
        <x:v>P0058</x:v>
      </x:c>
      <x:c r="B62" s="22" t="n">
        <x:v>2</x:v>
      </x:c>
      <x:c r="C62" s="22" t="n">
        <x:v>5</x:v>
      </x:c>
      <x:c r="D62" s="22" t="str">
        <x:v>C02约70%守关参考</x:v>
      </x:c>
      <x:c r="E62" s="26" t="n">
        <x:v>0.7018824332378919</x:v>
      </x:c>
      <x:c r="F62" s="22" t="n">
        <x:v>2</x:v>
      </x:c>
      <x:c r="G62" s="22" t="n">
        <x:v>45</x:v>
      </x:c>
      <x:c r="H62" s="22" t="n">
        <x:v>0</x:v>
      </x:c>
      <x:c r="I62" s="22" t="n">
        <x:v>3</x:v>
      </x:c>
      <x:c r="J62" s="22" t="n">
        <x:f>'02_人物原始合计'!AG62+'02_人物原始合计'!AH62</x:f>
        <x:v>15</x:v>
      </x:c>
      <x:c r="K62" s="28" t="n">
        <x:f>'02_人物原始合计'!F62*(1+'02_人物原始合计'!Q62/100)</x:f>
        <x:v>19541.52</x:v>
      </x:c>
      <x:c r="L62" s="28" t="n">
        <x:f>'02_人物原始合计'!K62*(1+'02_人物原始合计'!AV62/100)</x:f>
        <x:v>575474</x:v>
      </x:c>
      <x:c r="M62" s="22" t="n">
        <x:f>MAX(0,MIN(50,'02_人物原始合计'!AD62,20+MIN(30,'02_人物原始合计'!AE62)))</x:f>
        <x:v>25</x:v>
      </x:c>
      <x:c r="N62" s="22" t="n">
        <x:f>IF(M62=0,1.75,IF(M62=10,2.2,IF(M62=20,2.9,IF(M62=30,4.3,IF(M62=40,8.5,IF(M62=50,14.3,IF(M62&lt;=40,1000/('01_参数'!$B$21-'01_参数'!$B$22*M62),1000/(1000/8.5+(M62-40)/10*(1000/14.3-1000/8.5)))))))))</x:f>
        <x:v>3.4755547119998096</x:v>
      </x:c>
      <x:c r="O62" s="22" t="n">
        <x:v>352</x:v>
      </x:c>
      <x:c r="P62" s="26" t="n">
        <x:f>MAX(0,MIN('01_参数'!$B$20,'02_人物原始合计'!AM62/100,'01_参数'!$B$19+'02_人物原始合计'!AN62/100))</x:f>
        <x:v>0.62</x:v>
      </x:c>
      <x:c r="Q62" s="28" t="n">
        <x:f>((('02_人物原始合计'!E62+('02_人物原始合计'!F62-'02_人物原始合计'!E62)*IF(J62&gt;=12,1,0.5+0.5*MAX(0,J62)/12))*(1+'02_人物原始合计'!Q62/100))*(1+'02_人物原始合计'!U62/100+IF(J62&gt;=15,0.15,0))*(1+'02_人物原始合计'!V62/100)*(1+'02_人物原始合计'!T62)*(1+'02_人物原始合计'!W62*'01_参数'!$B$18)*(1+MAX(0,MIN(1,'02_人物原始合计'!X62/100))*('01_参数'!$B$16+'02_人物原始合计'!Y62/100-1))*(1+MAX(0,MIN(1,'02_人物原始合计'!Z62/100))*('01_参数'!$B$17+'02_人物原始合计'!AA62/100-1))+'02_人物原始合计'!AB62)*N62*'01_参数'!$B$7*'01_参数'!$B$8</x:f>
        <x:v>375544.1060988962</x:v>
      </x:c>
      <x:c r="R62" s="28" t="n">
        <x:f>Q62*'01_参数'!$B$5</x:f>
        <x:v>751088.2121977924</x:v>
      </x:c>
      <x:c r="S62" s="28" t="n">
        <x:f>(('02_人物原始合计'!E62+('02_人物原始合计'!F62-'02_人物原始合计'!E62)*IF(J62&gt;=12,1,0.5+0.5*MAX(0,J62)/12))*(1+'02_人物原始合计'!Q62/100))*(1+'02_人物原始合计'!U62/100+IF(J62&gt;=15,0.15,0))*(1+'02_人物原始合计'!V62/100)*(1+'02_人物原始合计'!T62)*(1+'02_人物原始合计'!W62*'01_参数'!$B$18)*(1+MAX(0,MIN(1,'02_人物原始合计'!X62/100))*('01_参数'!$B$16+'02_人物原始合计'!Y62/100-1))*(1+MAX(0,MIN(1,'02_人物原始合计'!Z62/100))*('01_参数'!$B$17+'02_人物原始合计'!AA62/100-1))*N62*'01_参数'!$B$7*'01_参数'!$B$8*MAX(0,'02_人物原始合计'!AO62/100)</x:f>
        <x:v>11266.323182966886</x:v>
      </x:c>
      <x:c r="T62" s="28" t="n">
        <x:f>S62*'01_参数'!$B$6</x:f>
        <x:v>14646.220137856952</x:v>
      </x:c>
      <x:c r="U62" s="28" t="n">
        <x:v>0</x:v>
      </x:c>
      <x:c r="V62" s="28" t="n">
        <x:f>T62+U62</x:f>
        <x:v>14646.220137856952</x:v>
      </x:c>
      <x:c r="W62" s="22" t="n">
        <x:v>6</x:v>
      </x:c>
      <x:c r="X62" s="22" t="n">
        <x:v>64</x:v>
      </x:c>
      <x:c r="Y62" s="22" t="str">
        <x:v>主线</x:v>
      </x:c>
    </x:row>
    <x:row r="63" ht="24" customHeight="1">
      <x:c r="A63" s="22" t="str">
        <x:v>P0059</x:v>
      </x:c>
      <x:c r="B63" s="22" t="n">
        <x:v>2</x:v>
      </x:c>
      <x:c r="C63" s="22" t="n">
        <x:v>5</x:v>
      </x:c>
      <x:c r="D63" s="22" t="str">
        <x:v>C02高完成度参考</x:v>
      </x:c>
      <x:c r="E63" s="26" t="n">
        <x:v>0.9568078969330063</x:v>
      </x:c>
      <x:c r="F63" s="22" t="n">
        <x:v>2</x:v>
      </x:c>
      <x:c r="G63" s="22" t="n">
        <x:v>45</x:v>
      </x:c>
      <x:c r="H63" s="22" t="n">
        <x:v>0</x:v>
      </x:c>
      <x:c r="I63" s="22" t="n">
        <x:v>3</x:v>
      </x:c>
      <x:c r="J63" s="22" t="n">
        <x:f>'02_人物原始合计'!AG63+'02_人物原始合计'!AH63</x:f>
        <x:v>15</x:v>
      </x:c>
      <x:c r="K63" s="28" t="n">
        <x:f>'02_人物原始合计'!F63*(1+'02_人物原始合计'!Q63/100)</x:f>
        <x:v>40480.1</x:v>
      </x:c>
      <x:c r="L63" s="28" t="n">
        <x:f>'02_人物原始合计'!K63*(1+'02_人物原始合计'!AV63/100)</x:f>
        <x:v>1345750</x:v>
      </x:c>
      <x:c r="M63" s="22" t="n">
        <x:f>MAX(0,MIN(50,'02_人物原始合计'!AD63,20+MIN(30,'02_人物原始合计'!AE63)))</x:f>
        <x:v>26</x:v>
      </x:c>
      <x:c r="N63" s="22" t="n">
        <x:f>IF(M63=0,1.75,IF(M63=10,2.2,IF(M63=20,2.9,IF(M63=30,4.3,IF(M63=40,8.5,IF(M63=50,14.3,IF(M63&lt;=40,1000/('01_参数'!$B$21-'01_参数'!$B$22*M63),1000/(1000/8.5+(M63-40)/10*(1000/14.3-1000/8.5)))))))))</x:f>
        <x:v>3.617573931056102</x:v>
      </x:c>
      <x:c r="O63" s="22" t="n">
        <x:v>499</x:v>
      </x:c>
      <x:c r="P63" s="26" t="n">
        <x:f>MAX(0,MIN('01_参数'!$B$20,'02_人物原始合计'!AM63/100,'01_参数'!$B$19+'02_人物原始合计'!AN63/100))</x:f>
        <x:v>0.65</x:v>
      </x:c>
      <x:c r="Q63" s="28" t="n">
        <x:f>((('02_人物原始合计'!E63+('02_人物原始合计'!F63-'02_人物原始合计'!E63)*IF(J63&gt;=12,1,0.5+0.5*MAX(0,J63)/12))*(1+'02_人物原始合计'!Q63/100))*(1+'02_人物原始合计'!U63/100+IF(J63&gt;=15,0.15,0))*(1+'02_人物原始合计'!V63/100)*(1+'02_人物原始合计'!T63)*(1+'02_人物原始合计'!W63*'01_参数'!$B$18)*(1+MAX(0,MIN(1,'02_人物原始合计'!X63/100))*('01_参数'!$B$16+'02_人物原始合计'!Y63/100-1))*(1+MAX(0,MIN(1,'02_人物原始合计'!Z63/100))*('01_参数'!$B$17+'02_人物原始合计'!AA63/100-1))+'02_人物原始合计'!AB63)*N63*'01_参数'!$B$7*'01_参数'!$B$8</x:f>
        <x:v>1799948.764831117</x:v>
      </x:c>
      <x:c r="R63" s="28" t="n">
        <x:f>Q63*'01_参数'!$B$5</x:f>
        <x:v>3599897.529662234</x:v>
      </x:c>
      <x:c r="S63" s="28" t="n">
        <x:f>(('02_人物原始合计'!E63+('02_人物原始合计'!F63-'02_人物原始合计'!E63)*IF(J63&gt;=12,1,0.5+0.5*MAX(0,J63)/12))*(1+'02_人物原始合计'!Q63/100))*(1+'02_人物原始合计'!U63/100+IF(J63&gt;=15,0.15,0))*(1+'02_人物原始合计'!V63/100)*(1+'02_人物原始合计'!T63)*(1+'02_人物原始合计'!W63*'01_参数'!$B$18)*(1+MAX(0,MIN(1,'02_人物原始合计'!X63/100))*('01_参数'!$B$16+'02_人物原始合计'!Y63/100-1))*(1+MAX(0,MIN(1,'02_人物原始合计'!Z63/100))*('01_参数'!$B$17+'02_人物原始合计'!AA63/100-1))*N63*'01_参数'!$B$7*'01_参数'!$B$8*MAX(0,'02_人物原始合计'!AO63/100)</x:f>
        <x:v>89997.43824155585</x:v>
      </x:c>
      <x:c r="T63" s="28" t="n">
        <x:f>S63*'01_参数'!$B$6</x:f>
        <x:v>116996.6697140226</x:v>
      </x:c>
      <x:c r="U63" s="28" t="n">
        <x:v>0</x:v>
      </x:c>
      <x:c r="V63" s="28" t="n">
        <x:f>T63+U63</x:f>
        <x:v>116996.6697140226</x:v>
      </x:c>
      <x:c r="W63" s="22" t="n">
        <x:v>6</x:v>
      </x:c>
      <x:c r="X63" s="22" t="n">
        <x:v>83</x:v>
      </x:c>
      <x:c r="Y63" s="22" t="str">
        <x:v>C02高完成度</x:v>
      </x:c>
    </x:row>
    <x:row r="64" ht="24" customHeight="1">
      <x:c r="A64" s="22" t="str">
        <x:v>P0060</x:v>
      </x:c>
      <x:c r="B64" s="22" t="n">
        <x:v>2</x:v>
      </x:c>
      <x:c r="C64" s="22" t="n">
        <x:v>5</x:v>
      </x:c>
      <x:c r="D64" s="22" t="str">
        <x:v>C02守关后继承</x:v>
      </x:c>
      <x:c r="E64" s="26" t="n">
        <x:v>0.7018824332378919</x:v>
      </x:c>
      <x:c r="F64" s="22" t="n">
        <x:v>2</x:v>
      </x:c>
      <x:c r="G64" s="22" t="n">
        <x:v>45</x:v>
      </x:c>
      <x:c r="H64" s="22" t="n">
        <x:v>0</x:v>
      </x:c>
      <x:c r="I64" s="22" t="n">
        <x:v>4</x:v>
      </x:c>
      <x:c r="J64" s="22" t="n">
        <x:f>'02_人物原始合计'!AG64+'02_人物原始合计'!AH64</x:f>
        <x:v>15</x:v>
      </x:c>
      <x:c r="K64" s="28" t="n">
        <x:f>'02_人物原始合计'!F64*(1+'02_人物原始合计'!Q64/100)</x:f>
        <x:v>19541.52</x:v>
      </x:c>
      <x:c r="L64" s="28" t="n">
        <x:f>'02_人物原始合计'!K64*(1+'02_人物原始合计'!AV64/100)</x:f>
        <x:v>575474</x:v>
      </x:c>
      <x:c r="M64" s="22" t="n">
        <x:f>MAX(0,MIN(50,'02_人物原始合计'!AD64,20+MIN(30,'02_人物原始合计'!AE64)))</x:f>
        <x:v>25</x:v>
      </x:c>
      <x:c r="N64" s="22" t="n">
        <x:f>IF(M64=0,1.75,IF(M64=10,2.2,IF(M64=20,2.9,IF(M64=30,4.3,IF(M64=40,8.5,IF(M64=50,14.3,IF(M64&lt;=40,1000/('01_参数'!$B$21-'01_参数'!$B$22*M64),1000/(1000/8.5+(M64-40)/10*(1000/14.3-1000/8.5)))))))))</x:f>
        <x:v>3.4755547119998096</x:v>
      </x:c>
      <x:c r="O64" s="22" t="n">
        <x:v>352</x:v>
      </x:c>
      <x:c r="P64" s="26" t="n">
        <x:f>MAX(0,MIN('01_参数'!$B$20,'02_人物原始合计'!AM64/100,'01_参数'!$B$19+'02_人物原始合计'!AN64/100))</x:f>
        <x:v>0.62</x:v>
      </x:c>
      <x:c r="Q64" s="28" t="n">
        <x:f>((('02_人物原始合计'!E64+('02_人物原始合计'!F64-'02_人物原始合计'!E64)*IF(J64&gt;=12,1,0.5+0.5*MAX(0,J64)/12))*(1+'02_人物原始合计'!Q64/100))*(1+'02_人物原始合计'!U64/100+IF(J64&gt;=15,0.15,0))*(1+'02_人物原始合计'!V64/100)*(1+'02_人物原始合计'!T64)*(1+'02_人物原始合计'!W64*'01_参数'!$B$18)*(1+MAX(0,MIN(1,'02_人物原始合计'!X64/100))*('01_参数'!$B$16+'02_人物原始合计'!Y64/100-1))*(1+MAX(0,MIN(1,'02_人物原始合计'!Z64/100))*('01_参数'!$B$17+'02_人物原始合计'!AA64/100-1))+'02_人物原始合计'!AB64)*N64*'01_参数'!$B$7*'01_参数'!$B$8</x:f>
        <x:v>393427.15877027204</x:v>
      </x:c>
      <x:c r="R64" s="28" t="n">
        <x:f>Q64*'01_参数'!$B$5</x:f>
        <x:v>786854.3175405441</x:v>
      </x:c>
      <x:c r="S64" s="28" t="n">
        <x:f>(('02_人物原始合计'!E64+('02_人物原始合计'!F64-'02_人物原始合计'!E64)*IF(J64&gt;=12,1,0.5+0.5*MAX(0,J64)/12))*(1+'02_人物原始合计'!Q64/100))*(1+'02_人物原始合计'!U64/100+IF(J64&gt;=15,0.15,0))*(1+'02_人物原始合计'!V64/100)*(1+'02_人物原始合计'!T64)*(1+'02_人物原始合计'!W64*'01_参数'!$B$18)*(1+MAX(0,MIN(1,'02_人物原始合计'!X64/100))*('01_参数'!$B$16+'02_人物原始合计'!Y64/100-1))*(1+MAX(0,MIN(1,'02_人物原始合计'!Z64/100))*('01_参数'!$B$17+'02_人物原始合计'!AA64/100-1))*N64*'01_参数'!$B$7*'01_参数'!$B$8*MAX(0,'02_人物原始合计'!AO64/100)</x:f>
        <x:v>11802.814763108161</x:v>
      </x:c>
      <x:c r="T64" s="28" t="n">
        <x:f>S64*'01_参数'!$B$6</x:f>
        <x:v>15343.65919204061</x:v>
      </x:c>
      <x:c r="U64" s="28" t="n">
        <x:v>0</x:v>
      </x:c>
      <x:c r="V64" s="28" t="n">
        <x:f>T64+U64</x:f>
        <x:v>15343.65919204061</x:v>
      </x:c>
      <x:c r="W64" s="22" t="n">
        <x:v>6</x:v>
      </x:c>
      <x:c r="X64" s="22" t="n">
        <x:v>64</x:v>
      </x:c>
      <x:c r="Y64" s="22" t="str">
        <x:v>主线</x:v>
      </x:c>
    </x:row>
    <x:row r="65" ht="24" customHeight="1">
      <x:c r="A65" s="22" t="str">
        <x:v>P0061</x:v>
      </x:c>
      <x:c r="B65" s="22" t="n">
        <x:v>3</x:v>
      </x:c>
      <x:c r="C65" s="22" t="n">
        <x:v>1</x:v>
      </x:c>
      <x:c r="D65" s="22" t="str">
        <x:v>C03入场继承</x:v>
      </x:c>
      <x:c r="E65" s="26" t="n">
        <x:v>0.10452456590302031</x:v>
      </x:c>
      <x:c r="F65" s="22" t="n">
        <x:v>2</x:v>
      </x:c>
      <x:c r="G65" s="22" t="n">
        <x:v>45</x:v>
      </x:c>
      <x:c r="H65" s="22" t="n">
        <x:v>0</x:v>
      </x:c>
      <x:c r="I65" s="22" t="n">
        <x:v>4</x:v>
      </x:c>
      <x:c r="J65" s="22" t="n">
        <x:f>'02_人物原始合计'!AG65+'02_人物原始合计'!AH65</x:f>
        <x:v>15</x:v>
      </x:c>
      <x:c r="K65" s="28" t="n">
        <x:f>'02_人物原始合计'!F65*(1+'02_人物原始合计'!Q65/100)</x:f>
        <x:v>19541.52</x:v>
      </x:c>
      <x:c r="L65" s="28" t="n">
        <x:f>'02_人物原始合计'!K65*(1+'02_人物原始合计'!AV65/100)</x:f>
        <x:v>575474</x:v>
      </x:c>
      <x:c r="M65" s="22" t="n">
        <x:f>MAX(0,MIN(50,'02_人物原始合计'!AD65,20+MIN(30,'02_人物原始合计'!AE65)))</x:f>
        <x:v>25</x:v>
      </x:c>
      <x:c r="N65" s="22" t="n">
        <x:f>IF(M65=0,1.75,IF(M65=10,2.2,IF(M65=20,2.9,IF(M65=30,4.3,IF(M65=40,8.5,IF(M65=50,14.3,IF(M65&lt;=40,1000/('01_参数'!$B$21-'01_参数'!$B$22*M65),1000/(1000/8.5+(M65-40)/10*(1000/14.3-1000/8.5)))))))))</x:f>
        <x:v>3.4755547119998096</x:v>
      </x:c>
      <x:c r="O65" s="22" t="n">
        <x:v>352</x:v>
      </x:c>
      <x:c r="P65" s="26" t="n">
        <x:f>MAX(0,MIN('01_参数'!$B$20,'02_人物原始合计'!AM65/100,'01_参数'!$B$19+'02_人物原始合计'!AN65/100))</x:f>
        <x:v>0.62</x:v>
      </x:c>
      <x:c r="Q65" s="28" t="n">
        <x:f>((('02_人物原始合计'!E65+('02_人物原始合计'!F65-'02_人物原始合计'!E65)*IF(J65&gt;=12,1,0.5+0.5*MAX(0,J65)/12))*(1+'02_人物原始合计'!Q65/100))*(1+'02_人物原始合计'!U65/100+IF(J65&gt;=15,0.15,0))*(1+'02_人物原始合计'!V65/100)*(1+'02_人物原始合计'!T65)*(1+'02_人物原始合计'!W65*'01_参数'!$B$18)*(1+MAX(0,MIN(1,'02_人物原始合计'!X65/100))*('01_参数'!$B$16+'02_人物原始合计'!Y65/100-1))*(1+MAX(0,MIN(1,'02_人物原始合计'!Z65/100))*('01_参数'!$B$17+'02_人物原始合计'!AA65/100-1))+'02_人物原始合计'!AB65)*N65*'01_参数'!$B$7*'01_参数'!$B$8</x:f>
        <x:v>393427.15877027204</x:v>
      </x:c>
      <x:c r="R65" s="28" t="n">
        <x:f>Q65*'01_参数'!$B$5</x:f>
        <x:v>786854.3175405441</x:v>
      </x:c>
      <x:c r="S65" s="28" t="n">
        <x:f>(('02_人物原始合计'!E65+('02_人物原始合计'!F65-'02_人物原始合计'!E65)*IF(J65&gt;=12,1,0.5+0.5*MAX(0,J65)/12))*(1+'02_人物原始合计'!Q65/100))*(1+'02_人物原始合计'!U65/100+IF(J65&gt;=15,0.15,0))*(1+'02_人物原始合计'!V65/100)*(1+'02_人物原始合计'!T65)*(1+'02_人物原始合计'!W65*'01_参数'!$B$18)*(1+MAX(0,MIN(1,'02_人物原始合计'!X65/100))*('01_参数'!$B$16+'02_人物原始合计'!Y65/100-1))*(1+MAX(0,MIN(1,'02_人物原始合计'!Z65/100))*('01_参数'!$B$17+'02_人物原始合计'!AA65/100-1))*N65*'01_参数'!$B$7*'01_参数'!$B$8*MAX(0,'02_人物原始合计'!AO65/100)</x:f>
        <x:v>11802.814763108161</x:v>
      </x:c>
      <x:c r="T65" s="28" t="n">
        <x:f>S65*'01_参数'!$B$6</x:f>
        <x:v>15343.65919204061</x:v>
      </x:c>
      <x:c r="U65" s="28" t="n">
        <x:v>0</x:v>
      </x:c>
      <x:c r="V65" s="28" t="n">
        <x:f>T65+U65</x:f>
        <x:v>15343.65919204061</x:v>
      </x:c>
      <x:c r="W65" s="22" t="n">
        <x:v>6</x:v>
      </x:c>
      <x:c r="X65" s="22" t="n">
        <x:v>64</x:v>
      </x:c>
      <x:c r="Y65" s="22" t="str">
        <x:v>主线</x:v>
      </x:c>
    </x:row>
    <x:row r="66" ht="24" customHeight="1">
      <x:c r="A66" s="22" t="str">
        <x:v>P0062</x:v>
      </x:c>
      <x:c r="B66" s="22" t="n">
        <x:v>3</x:v>
      </x:c>
      <x:c r="C66" s="22" t="n">
        <x:v>1</x:v>
      </x:c>
      <x:c r="D66" s="22" t="str">
        <x:v>C03本阶段既有付费/长期成长</x:v>
      </x:c>
      <x:c r="E66" s="26" t="n">
        <x:v>0.10452456590302031</x:v>
      </x:c>
      <x:c r="F66" s="22" t="n">
        <x:v>2</x:v>
      </x:c>
      <x:c r="G66" s="22" t="n">
        <x:v>50</x:v>
      </x:c>
      <x:c r="H66" s="22" t="n">
        <x:v>0</x:v>
      </x:c>
      <x:c r="I66" s="22" t="n">
        <x:v>4</x:v>
      </x:c>
      <x:c r="J66" s="22" t="n">
        <x:f>'02_人物原始合计'!AG66+'02_人物原始合计'!AH66</x:f>
        <x:v>15</x:v>
      </x:c>
      <x:c r="K66" s="28" t="n">
        <x:f>'02_人物原始合计'!F66*(1+'02_人物原始合计'!Q66/100)</x:f>
        <x:v>20761.620000000003</x:v>
      </x:c>
      <x:c r="L66" s="28" t="n">
        <x:f>'02_人物原始合计'!K66*(1+'02_人物原始合计'!AV66/100)</x:f>
        <x:v>601338</x:v>
      </x:c>
      <x:c r="M66" s="22" t="n">
        <x:f>MAX(0,MIN(50,'02_人物原始合计'!AD66,20+MIN(30,'02_人物原始合计'!AE66)))</x:f>
        <x:v>25</x:v>
      </x:c>
      <x:c r="N66" s="22" t="n">
        <x:f>IF(M66=0,1.75,IF(M66=10,2.2,IF(M66=20,2.9,IF(M66=30,4.3,IF(M66=40,8.5,IF(M66=50,14.3,IF(M66&lt;=40,1000/('01_参数'!$B$21-'01_参数'!$B$22*M66),1000/(1000/8.5+(M66-40)/10*(1000/14.3-1000/8.5)))))))))</x:f>
        <x:v>3.4755547119998096</x:v>
      </x:c>
      <x:c r="O66" s="22" t="n">
        <x:v>352</x:v>
      </x:c>
      <x:c r="P66" s="26" t="n">
        <x:f>MAX(0,MIN('01_参数'!$B$20,'02_人物原始合计'!AM66/100,'01_参数'!$B$19+'02_人物原始合计'!AN66/100))</x:f>
        <x:v>0.62</x:v>
      </x:c>
      <x:c r="Q66" s="28" t="n">
        <x:f>((('02_人物原始合计'!E66+('02_人物原始合计'!F66-'02_人物原始合计'!E66)*IF(J66&gt;=12,1,0.5+0.5*MAX(0,J66)/12))*(1+'02_人物原始合计'!Q66/100))*(1+'02_人物原始合计'!U66/100+IF(J66&gt;=15,0.15,0))*(1+'02_人物原始合计'!V66/100)*(1+'02_人物原始合计'!T66)*(1+'02_人物原始合计'!W66*'01_参数'!$B$18)*(1+MAX(0,MIN(1,'02_人物原始合计'!X66/100))*('01_参数'!$B$16+'02_人物原始合计'!Y66/100-1))*(1+MAX(0,MIN(1,'02_人物原始合计'!Z66/100))*('01_参数'!$B$17+'02_人物原始合计'!AA66/100-1))+'02_人物原始合计'!AB66)*N66*'01_参数'!$B$7*'01_参数'!$B$8</x:f>
        <x:v>417991.2907526158</x:v>
      </x:c>
      <x:c r="R66" s="28" t="n">
        <x:f>Q66*'01_参数'!$B$5</x:f>
        <x:v>835982.5815052316</x:v>
      </x:c>
      <x:c r="S66" s="28" t="n">
        <x:f>(('02_人物原始合计'!E66+('02_人物原始合计'!F66-'02_人物原始合计'!E66)*IF(J66&gt;=12,1,0.5+0.5*MAX(0,J66)/12))*(1+'02_人物原始合计'!Q66/100))*(1+'02_人物原始合计'!U66/100+IF(J66&gt;=15,0.15,0))*(1+'02_人物原始合计'!V66/100)*(1+'02_人物原始合计'!T66)*(1+'02_人物原始合计'!W66*'01_参数'!$B$18)*(1+MAX(0,MIN(1,'02_人物原始合计'!X66/100))*('01_参数'!$B$16+'02_人物原始合计'!Y66/100-1))*(1+MAX(0,MIN(1,'02_人物原始合计'!Z66/100))*('01_参数'!$B$17+'02_人物原始合计'!AA66/100-1))*N66*'01_参数'!$B$7*'01_参数'!$B$8*MAX(0,'02_人物原始合计'!AO66/100)</x:f>
        <x:v>12539.738722578473</x:v>
      </x:c>
      <x:c r="T66" s="28" t="n">
        <x:f>S66*'01_参数'!$B$6</x:f>
        <x:v>16301.660339352016</x:v>
      </x:c>
      <x:c r="U66" s="28" t="n">
        <x:v>0</x:v>
      </x:c>
      <x:c r="V66" s="28" t="n">
        <x:f>T66+U66</x:f>
        <x:v>16301.660339352016</x:v>
      </x:c>
      <x:c r="W66" s="22" t="n">
        <x:v>6</x:v>
      </x:c>
      <x:c r="X66" s="22" t="n">
        <x:v>64</x:v>
      </x:c>
      <x:c r="Y66" s="22" t="str">
        <x:v>主线</x:v>
      </x:c>
    </x:row>
    <x:row r="67" ht="24" customHeight="1">
      <x:c r="A67" s="22" t="str">
        <x:v>P0063</x:v>
      </x:c>
      <x:c r="B67" s="22" t="n">
        <x:v>3</x:v>
      </x:c>
      <x:c r="C67" s="22" t="n">
        <x:v>1</x:v>
      </x:c>
      <x:c r="D67" s="22" t="str">
        <x:v>C03G01入场</x:v>
      </x:c>
      <x:c r="E67" s="26" t="n">
        <x:v>0.10452456590302031</x:v>
      </x:c>
      <x:c r="F67" s="22" t="n">
        <x:v>2</x:v>
      </x:c>
      <x:c r="G67" s="22" t="n">
        <x:v>50</x:v>
      </x:c>
      <x:c r="H67" s="22" t="n">
        <x:v>0</x:v>
      </x:c>
      <x:c r="I67" s="22" t="n">
        <x:v>4</x:v>
      </x:c>
      <x:c r="J67" s="22" t="n">
        <x:f>'02_人物原始合计'!AG67+'02_人物原始合计'!AH67</x:f>
        <x:v>15</x:v>
      </x:c>
      <x:c r="K67" s="28" t="n">
        <x:f>'02_人物原始合计'!F67*(1+'02_人物原始合计'!Q67/100)</x:f>
        <x:v>20761.620000000003</x:v>
      </x:c>
      <x:c r="L67" s="28" t="n">
        <x:f>'02_人物原始合计'!K67*(1+'02_人物原始合计'!AV67/100)</x:f>
        <x:v>601338</x:v>
      </x:c>
      <x:c r="M67" s="22" t="n">
        <x:f>MAX(0,MIN(50,'02_人物原始合计'!AD67,20+MIN(30,'02_人物原始合计'!AE67)))</x:f>
        <x:v>25</x:v>
      </x:c>
      <x:c r="N67" s="22" t="n">
        <x:f>IF(M67=0,1.75,IF(M67=10,2.2,IF(M67=20,2.9,IF(M67=30,4.3,IF(M67=40,8.5,IF(M67=50,14.3,IF(M67&lt;=40,1000/('01_参数'!$B$21-'01_参数'!$B$22*M67),1000/(1000/8.5+(M67-40)/10*(1000/14.3-1000/8.5)))))))))</x:f>
        <x:v>3.4755547119998096</x:v>
      </x:c>
      <x:c r="O67" s="22" t="n">
        <x:v>352</x:v>
      </x:c>
      <x:c r="P67" s="26" t="n">
        <x:f>MAX(0,MIN('01_参数'!$B$20,'02_人物原始合计'!AM67/100,'01_参数'!$B$19+'02_人物原始合计'!AN67/100))</x:f>
        <x:v>0.62</x:v>
      </x:c>
      <x:c r="Q67" s="28" t="n">
        <x:f>((('02_人物原始合计'!E67+('02_人物原始合计'!F67-'02_人物原始合计'!E67)*IF(J67&gt;=12,1,0.5+0.5*MAX(0,J67)/12))*(1+'02_人物原始合计'!Q67/100))*(1+'02_人物原始合计'!U67/100+IF(J67&gt;=15,0.15,0))*(1+'02_人物原始合计'!V67/100)*(1+'02_人物原始合计'!T67)*(1+'02_人物原始合计'!W67*'01_参数'!$B$18)*(1+MAX(0,MIN(1,'02_人物原始合计'!X67/100))*('01_参数'!$B$16+'02_人物原始合计'!Y67/100-1))*(1+MAX(0,MIN(1,'02_人物原始合计'!Z67/100))*('01_参数'!$B$17+'02_人物原始合计'!AA67/100-1))+'02_人物原始合计'!AB67)*N67*'01_参数'!$B$7*'01_参数'!$B$8</x:f>
        <x:v>417991.2907526158</x:v>
      </x:c>
      <x:c r="R67" s="28" t="n">
        <x:f>Q67*'01_参数'!$B$5</x:f>
        <x:v>835982.5815052316</x:v>
      </x:c>
      <x:c r="S67" s="28" t="n">
        <x:f>(('02_人物原始合计'!E67+('02_人物原始合计'!F67-'02_人物原始合计'!E67)*IF(J67&gt;=12,1,0.5+0.5*MAX(0,J67)/12))*(1+'02_人物原始合计'!Q67/100))*(1+'02_人物原始合计'!U67/100+IF(J67&gt;=15,0.15,0))*(1+'02_人物原始合计'!V67/100)*(1+'02_人物原始合计'!T67)*(1+'02_人物原始合计'!W67*'01_参数'!$B$18)*(1+MAX(0,MIN(1,'02_人物原始合计'!X67/100))*('01_参数'!$B$16+'02_人物原始合计'!Y67/100-1))*(1+MAX(0,MIN(1,'02_人物原始合计'!Z67/100))*('01_参数'!$B$17+'02_人物原始合计'!AA67/100-1))*N67*'01_参数'!$B$7*'01_参数'!$B$8*MAX(0,'02_人物原始合计'!AO67/100)</x:f>
        <x:v>12539.738722578473</x:v>
      </x:c>
      <x:c r="T67" s="28" t="n">
        <x:f>S67*'01_参数'!$B$6</x:f>
        <x:v>16301.660339352016</x:v>
      </x:c>
      <x:c r="U67" s="28" t="n">
        <x:v>0</x:v>
      </x:c>
      <x:c r="V67" s="28" t="n">
        <x:f>T67+U67</x:f>
        <x:v>16301.660339352016</x:v>
      </x:c>
      <x:c r="W67" s="22" t="n">
        <x:v>6</x:v>
      </x:c>
      <x:c r="X67" s="22" t="n">
        <x:v>64</x:v>
      </x:c>
      <x:c r="Y67" s="22" t="str">
        <x:v>主线</x:v>
      </x:c>
    </x:row>
    <x:row r="68" ht="24" customHeight="1">
      <x:c r="A68" s="22" t="str">
        <x:v>P0064</x:v>
      </x:c>
      <x:c r="B68" s="22" t="n">
        <x:v>3</x:v>
      </x:c>
      <x:c r="C68" s="22" t="n">
        <x:v>1</x:v>
      </x:c>
      <x:c r="D68" s="22" t="str">
        <x:v>C03G01普通专属4/6</x:v>
      </x:c>
      <x:c r="E68" s="26" t="n">
        <x:v>0.10393015357161374</x:v>
      </x:c>
      <x:c r="F68" s="22" t="n">
        <x:v>2</x:v>
      </x:c>
      <x:c r="G68" s="22" t="n">
        <x:v>50</x:v>
      </x:c>
      <x:c r="H68" s="22" t="n">
        <x:v>0</x:v>
      </x:c>
      <x:c r="I68" s="22" t="n">
        <x:v>4</x:v>
      </x:c>
      <x:c r="J68" s="22" t="n">
        <x:f>'02_人物原始合计'!AG68+'02_人物原始合计'!AH68</x:f>
        <x:v>15</x:v>
      </x:c>
      <x:c r="K68" s="28" t="n">
        <x:f>'02_人物原始合计'!F68*(1+'02_人物原始合计'!Q68/100)</x:f>
        <x:v>20950</x:v>
      </x:c>
      <x:c r="L68" s="28" t="n">
        <x:f>'02_人物原始合计'!K68*(1+'02_人物原始合计'!AV68/100)</x:f>
        <x:v>615436</x:v>
      </x:c>
      <x:c r="M68" s="22" t="n">
        <x:f>MAX(0,MIN(50,'02_人物原始合计'!AD68,20+MIN(30,'02_人物原始合计'!AE68)))</x:f>
        <x:v>25</x:v>
      </x:c>
      <x:c r="N68" s="22" t="n">
        <x:f>IF(M68=0,1.75,IF(M68=10,2.2,IF(M68=20,2.9,IF(M68=30,4.3,IF(M68=40,8.5,IF(M68=50,14.3,IF(M68&lt;=40,1000/('01_参数'!$B$21-'01_参数'!$B$22*M68),1000/(1000/8.5+(M68-40)/10*(1000/14.3-1000/8.5)))))))))</x:f>
        <x:v>3.4755547119998096</x:v>
      </x:c>
      <x:c r="O68" s="22" t="n">
        <x:v>352</x:v>
      </x:c>
      <x:c r="P68" s="26" t="n">
        <x:f>MAX(0,MIN('01_参数'!$B$20,'02_人物原始合计'!AM68/100,'01_参数'!$B$19+'02_人物原始合计'!AN68/100))</x:f>
        <x:v>0.59</x:v>
      </x:c>
      <x:c r="Q68" s="28" t="n">
        <x:f>((('02_人物原始合计'!E68+('02_人物原始合计'!F68-'02_人物原始合计'!E68)*IF(J68&gt;=12,1,0.5+0.5*MAX(0,J68)/12))*(1+'02_人物原始合计'!Q68/100))*(1+'02_人物原始合计'!U68/100+IF(J68&gt;=15,0.15,0))*(1+'02_人物原始合计'!V68/100)*(1+'02_人物原始合计'!T68)*(1+'02_人物原始合计'!W68*'01_参数'!$B$18)*(1+MAX(0,MIN(1,'02_人物原始合计'!X68/100))*('01_参数'!$B$16+'02_人物原始合计'!Y68/100-1))*(1+MAX(0,MIN(1,'02_人物原始合计'!Z68/100))*('01_参数'!$B$17+'02_人物原始合计'!AA68/100-1))+'02_人物原始合计'!AB68)*N68*'01_参数'!$B$7*'01_参数'!$B$8</x:f>
        <x:v>421783.9234735681</x:v>
      </x:c>
      <x:c r="R68" s="28" t="n">
        <x:f>Q68*'01_参数'!$B$5</x:f>
        <x:v>843567.8469471362</x:v>
      </x:c>
      <x:c r="S68" s="28" t="n">
        <x:f>(('02_人物原始合计'!E68+('02_人物原始合计'!F68-'02_人物原始合计'!E68)*IF(J68&gt;=12,1,0.5+0.5*MAX(0,J68)/12))*(1+'02_人物原始合计'!Q68/100))*(1+'02_人物原始合计'!U68/100+IF(J68&gt;=15,0.15,0))*(1+'02_人物原始合计'!V68/100)*(1+'02_人物原始合计'!T68)*(1+'02_人物原始合计'!W68*'01_参数'!$B$18)*(1+MAX(0,MIN(1,'02_人物原始合计'!X68/100))*('01_参数'!$B$16+'02_人物原始合计'!Y68/100-1))*(1+MAX(0,MIN(1,'02_人物原始合计'!Z68/100))*('01_参数'!$B$17+'02_人物原始合计'!AA68/100-1))*N68*'01_参数'!$B$7*'01_参数'!$B$8*MAX(0,'02_人物原始合计'!AO68/100)</x:f>
        <x:v>12653.517704207043</x:v>
      </x:c>
      <x:c r="T68" s="28" t="n">
        <x:f>S68*'01_参数'!$B$6</x:f>
        <x:v>16449.573015469156</x:v>
      </x:c>
      <x:c r="U68" s="28" t="n">
        <x:v>0</x:v>
      </x:c>
      <x:c r="V68" s="28" t="n">
        <x:f>T68+U68</x:f>
        <x:v>16449.573015469156</x:v>
      </x:c>
      <x:c r="W68" s="22" t="n">
        <x:v>6</x:v>
      </x:c>
      <x:c r="X68" s="22" t="n">
        <x:v>64</x:v>
      </x:c>
      <x:c r="Y68" s="22" t="str">
        <x:v>主线</x:v>
      </x:c>
    </x:row>
    <x:row r="69" ht="24" customHeight="1">
      <x:c r="A69" s="22" t="str">
        <x:v>P0065</x:v>
      </x:c>
      <x:c r="B69" s="22" t="n">
        <x:v>3</x:v>
      </x:c>
      <x:c r="C69" s="22" t="n">
        <x:v>1</x:v>
      </x:c>
      <x:c r="D69" s="22" t="str">
        <x:v>断旗统领·瓦伦挑战前</x:v>
      </x:c>
      <x:c r="E69" s="26" t="n">
        <x:v>0.10393015357161374</x:v>
      </x:c>
      <x:c r="F69" s="22" t="n">
        <x:v>2</x:v>
      </x:c>
      <x:c r="G69" s="22" t="n">
        <x:v>52</x:v>
      </x:c>
      <x:c r="H69" s="22" t="n">
        <x:v>0</x:v>
      </x:c>
      <x:c r="I69" s="22" t="n">
        <x:v>4</x:v>
      </x:c>
      <x:c r="J69" s="22" t="n">
        <x:f>'02_人物原始合计'!AG69+'02_人物原始合计'!AH69</x:f>
        <x:v>15</x:v>
      </x:c>
      <x:c r="K69" s="28" t="n">
        <x:f>'02_人物原始合计'!F69*(1+'02_人物原始合计'!Q69/100)</x:f>
        <x:v>21465</x:v>
      </x:c>
      <x:c r="L69" s="28" t="n">
        <x:f>'02_人物原始合计'!K69*(1+'02_人物原始合计'!AV69/100)</x:f>
        <x:v>626354</x:v>
      </x:c>
      <x:c r="M69" s="22" t="n">
        <x:f>MAX(0,MIN(50,'02_人物原始合计'!AD69,20+MIN(30,'02_人物原始合计'!AE69)))</x:f>
        <x:v>25</x:v>
      </x:c>
      <x:c r="N69" s="22" t="n">
        <x:f>IF(M69=0,1.75,IF(M69=10,2.2,IF(M69=20,2.9,IF(M69=30,4.3,IF(M69=40,8.5,IF(M69=50,14.3,IF(M69&lt;=40,1000/('01_参数'!$B$21-'01_参数'!$B$22*M69),1000/(1000/8.5+(M69-40)/10*(1000/14.3-1000/8.5)))))))))</x:f>
        <x:v>3.4755547119998096</x:v>
      </x:c>
      <x:c r="O69" s="22" t="n">
        <x:v>352</x:v>
      </x:c>
      <x:c r="P69" s="26" t="n">
        <x:f>MAX(0,MIN('01_参数'!$B$20,'02_人物原始合计'!AM69/100,'01_参数'!$B$19+'02_人物原始合计'!AN69/100))</x:f>
        <x:v>0.59</x:v>
      </x:c>
      <x:c r="Q69" s="28" t="n">
        <x:f>((('02_人物原始合计'!E69+('02_人物原始合计'!F69-'02_人物原始合计'!E69)*IF(J69&gt;=12,1,0.5+0.5*MAX(0,J69)/12))*(1+'02_人物原始合计'!Q69/100))*(1+'02_人物原始合计'!U69/100+IF(J69&gt;=15,0.15,0))*(1+'02_人物原始合计'!V69/100)*(1+'02_人物原始合计'!T69)*(1+'02_人物原始合计'!W69*'01_参数'!$B$18)*(1+MAX(0,MIN(1,'02_人物原始合计'!X69/100))*('01_参数'!$B$16+'02_人物原始合计'!Y69/100-1))*(1+MAX(0,MIN(1,'02_人物原始合计'!Z69/100))*('01_参数'!$B$17+'02_人物原始合计'!AA69/100-1))+'02_人物原始合计'!AB69)*N69*'01_参数'!$B$7*'01_参数'!$B$8</x:f>
        <x:v>432152.35882387304</x:v>
      </x:c>
      <x:c r="R69" s="28" t="n">
        <x:f>Q69*'01_参数'!$B$5</x:f>
        <x:v>864304.7176477461</x:v>
      </x:c>
      <x:c r="S69" s="28" t="n">
        <x:f>(('02_人物原始合计'!E69+('02_人物原始合计'!F69-'02_人物原始合计'!E69)*IF(J69&gt;=12,1,0.5+0.5*MAX(0,J69)/12))*(1+'02_人物原始合计'!Q69/100))*(1+'02_人物原始合计'!U69/100+IF(J69&gt;=15,0.15,0))*(1+'02_人物原始合计'!V69/100)*(1+'02_人物原始合计'!T69)*(1+'02_人物原始合计'!W69*'01_参数'!$B$18)*(1+MAX(0,MIN(1,'02_人物原始合计'!X69/100))*('01_参数'!$B$16+'02_人物原始合计'!Y69/100-1))*(1+MAX(0,MIN(1,'02_人物原始合计'!Z69/100))*('01_参数'!$B$17+'02_人物原始合计'!AA69/100-1))*N69*'01_参数'!$B$7*'01_参数'!$B$8*MAX(0,'02_人物原始合计'!AO69/100)</x:f>
        <x:v>12964.57076471619</x:v>
      </x:c>
      <x:c r="T69" s="28" t="n">
        <x:f>S69*'01_参数'!$B$6</x:f>
        <x:v>16853.941994131048</x:v>
      </x:c>
      <x:c r="U69" s="28" t="n">
        <x:v>0</x:v>
      </x:c>
      <x:c r="V69" s="28" t="n">
        <x:f>T69+U69</x:f>
        <x:v>16853.941994131048</x:v>
      </x:c>
      <x:c r="W69" s="22" t="n">
        <x:v>6</x:v>
      </x:c>
      <x:c r="X69" s="22" t="n">
        <x:v>64</x:v>
      </x:c>
      <x:c r="Y69" s="22" t="str">
        <x:v>主线</x:v>
      </x:c>
    </x:row>
    <x:row r="70" ht="24" customHeight="1">
      <x:c r="A70" s="22" t="str">
        <x:v>P0066</x:v>
      </x:c>
      <x:c r="B70" s="22" t="n">
        <x:v>3</x:v>
      </x:c>
      <x:c r="C70" s="22" t="n">
        <x:v>1</x:v>
      </x:c>
      <x:c r="D70" s="22" t="str">
        <x:v>荒原巨犀·莫赫挑战前</x:v>
      </x:c>
      <x:c r="E70" s="26" t="n">
        <x:v>0.10393015357161374</x:v>
      </x:c>
      <x:c r="F70" s="22" t="n">
        <x:v>2</x:v>
      </x:c>
      <x:c r="G70" s="22" t="n">
        <x:v>52</x:v>
      </x:c>
      <x:c r="H70" s="22" t="n">
        <x:v>0</x:v>
      </x:c>
      <x:c r="I70" s="22" t="n">
        <x:v>4</x:v>
      </x:c>
      <x:c r="J70" s="22" t="n">
        <x:f>'02_人物原始合计'!AG70+'02_人物原始合计'!AH70</x:f>
        <x:v>15</x:v>
      </x:c>
      <x:c r="K70" s="28" t="n">
        <x:f>'02_人物原始合计'!F70*(1+'02_人物原始合计'!Q70/100)</x:f>
        <x:v>21465</x:v>
      </x:c>
      <x:c r="L70" s="28" t="n">
        <x:f>'02_人物原始合计'!K70*(1+'02_人物原始合计'!AV70/100)</x:f>
        <x:v>626354</x:v>
      </x:c>
      <x:c r="M70" s="22" t="n">
        <x:f>MAX(0,MIN(50,'02_人物原始合计'!AD70,20+MIN(30,'02_人物原始合计'!AE70)))</x:f>
        <x:v>25</x:v>
      </x:c>
      <x:c r="N70" s="22" t="n">
        <x:f>IF(M70=0,1.75,IF(M70=10,2.2,IF(M70=20,2.9,IF(M70=30,4.3,IF(M70=40,8.5,IF(M70=50,14.3,IF(M70&lt;=40,1000/('01_参数'!$B$21-'01_参数'!$B$22*M70),1000/(1000/8.5+(M70-40)/10*(1000/14.3-1000/8.5)))))))))</x:f>
        <x:v>3.4755547119998096</x:v>
      </x:c>
      <x:c r="O70" s="22" t="n">
        <x:v>352</x:v>
      </x:c>
      <x:c r="P70" s="26" t="n">
        <x:f>MAX(0,MIN('01_参数'!$B$20,'02_人物原始合计'!AM70/100,'01_参数'!$B$19+'02_人物原始合计'!AN70/100))</x:f>
        <x:v>0.59</x:v>
      </x:c>
      <x:c r="Q70" s="28" t="n">
        <x:f>((('02_人物原始合计'!E70+('02_人物原始合计'!F70-'02_人物原始合计'!E70)*IF(J70&gt;=12,1,0.5+0.5*MAX(0,J70)/12))*(1+'02_人物原始合计'!Q70/100))*(1+'02_人物原始合计'!U70/100+IF(J70&gt;=15,0.15,0))*(1+'02_人物原始合计'!V70/100)*(1+'02_人物原始合计'!T70)*(1+'02_人物原始合计'!W70*'01_参数'!$B$18)*(1+MAX(0,MIN(1,'02_人物原始合计'!X70/100))*('01_参数'!$B$16+'02_人物原始合计'!Y70/100-1))*(1+MAX(0,MIN(1,'02_人物原始合计'!Z70/100))*('01_参数'!$B$17+'02_人物原始合计'!AA70/100-1))+'02_人物原始合计'!AB70)*N70*'01_参数'!$B$7*'01_参数'!$B$8</x:f>
        <x:v>432152.35882387304</x:v>
      </x:c>
      <x:c r="R70" s="28" t="n">
        <x:f>Q70*'01_参数'!$B$5</x:f>
        <x:v>864304.7176477461</x:v>
      </x:c>
      <x:c r="S70" s="28" t="n">
        <x:f>(('02_人物原始合计'!E70+('02_人物原始合计'!F70-'02_人物原始合计'!E70)*IF(J70&gt;=12,1,0.5+0.5*MAX(0,J70)/12))*(1+'02_人物原始合计'!Q70/100))*(1+'02_人物原始合计'!U70/100+IF(J70&gt;=15,0.15,0))*(1+'02_人物原始合计'!V70/100)*(1+'02_人物原始合计'!T70)*(1+'02_人物原始合计'!W70*'01_参数'!$B$18)*(1+MAX(0,MIN(1,'02_人物原始合计'!X70/100))*('01_参数'!$B$16+'02_人物原始合计'!Y70/100-1))*(1+MAX(0,MIN(1,'02_人物原始合计'!Z70/100))*('01_参数'!$B$17+'02_人物原始合计'!AA70/100-1))*N70*'01_参数'!$B$7*'01_参数'!$B$8*MAX(0,'02_人物原始合计'!AO70/100)</x:f>
        <x:v>12964.57076471619</x:v>
      </x:c>
      <x:c r="T70" s="28" t="n">
        <x:f>S70*'01_参数'!$B$6</x:f>
        <x:v>16853.941994131048</x:v>
      </x:c>
      <x:c r="U70" s="28" t="n">
        <x:v>0</x:v>
      </x:c>
      <x:c r="V70" s="28" t="n">
        <x:f>T70+U70</x:f>
        <x:v>16853.941994131048</x:v>
      </x:c>
      <x:c r="W70" s="22" t="n">
        <x:v>6</x:v>
      </x:c>
      <x:c r="X70" s="22" t="n">
        <x:v>64</x:v>
      </x:c>
      <x:c r="Y70" s="22" t="str">
        <x:v>主线</x:v>
      </x:c>
    </x:row>
    <x:row r="71" ht="24" customHeight="1">
      <x:c r="A71" s="22" t="str">
        <x:v>P0067</x:v>
      </x:c>
      <x:c r="B71" s="22" t="n">
        <x:v>3</x:v>
      </x:c>
      <x:c r="C71" s="22" t="n">
        <x:v>1</x:v>
      </x:c>
      <x:c r="D71" s="22" t="str">
        <x:v>西境荒原BOSS装备快线</x:v>
      </x:c>
      <x:c r="E71" s="26" t="n">
        <x:v>0.11757867585041451</x:v>
      </x:c>
      <x:c r="F71" s="22" t="n">
        <x:v>2</x:v>
      </x:c>
      <x:c r="G71" s="22" t="n">
        <x:v>52</x:v>
      </x:c>
      <x:c r="H71" s="22" t="n">
        <x:v>0</x:v>
      </x:c>
      <x:c r="I71" s="22" t="n">
        <x:v>4</x:v>
      </x:c>
      <x:c r="J71" s="22" t="n">
        <x:f>'02_人物原始合计'!AG71+'02_人物原始合计'!AH71</x:f>
        <x:v>15</x:v>
      </x:c>
      <x:c r="K71" s="28" t="n">
        <x:f>'02_人物原始合计'!F71*(1+'02_人物原始合计'!Q71/100)</x:f>
        <x:v>24073.04</x:v>
      </x:c>
      <x:c r="L71" s="28" t="n">
        <x:f>'02_人物原始合计'!K71*(1+'02_人物原始合计'!AV71/100)</x:f>
        <x:v>764090</x:v>
      </x:c>
      <x:c r="M71" s="22" t="n">
        <x:f>MAX(0,MIN(50,'02_人物原始合计'!AD71,20+MIN(30,'02_人物原始合计'!AE71)))</x:f>
        <x:v>26</x:v>
      </x:c>
      <x:c r="N71" s="22" t="n">
        <x:f>IF(M71=0,1.75,IF(M71=10,2.2,IF(M71=20,2.9,IF(M71=30,4.3,IF(M71=40,8.5,IF(M71=50,14.3,IF(M71&lt;=40,1000/('01_参数'!$B$21-'01_参数'!$B$22*M71),1000/(1000/8.5+(M71-40)/10*(1000/14.3-1000/8.5)))))))))</x:f>
        <x:v>3.617573931056102</x:v>
      </x:c>
      <x:c r="O71" s="22" t="n">
        <x:v>363</x:v>
      </x:c>
      <x:c r="P71" s="26" t="n">
        <x:f>MAX(0,MIN('01_参数'!$B$20,'02_人物原始合计'!AM71/100,'01_参数'!$B$19+'02_人物原始合计'!AN71/100))</x:f>
        <x:v>0.61</x:v>
      </x:c>
      <x:c r="Q71" s="28" t="n">
        <x:f>((('02_人物原始合计'!E71+('02_人物原始合计'!F71-'02_人物原始合计'!E71)*IF(J71&gt;=12,1,0.5+0.5*MAX(0,J71)/12))*(1+'02_人物原始合计'!Q71/100))*(1+'02_人物原始合计'!U71/100+IF(J71&gt;=15,0.15,0))*(1+'02_人物原始合计'!V71/100)*(1+'02_人物原始合计'!T71)*(1+'02_人物原始合计'!W71*'01_参数'!$B$18)*(1+MAX(0,MIN(1,'02_人物原始合计'!X71/100))*('01_参数'!$B$16+'02_人物原始合计'!Y71/100-1))*(1+MAX(0,MIN(1,'02_人物原始合计'!Z71/100))*('01_参数'!$B$17+'02_人物原始合计'!AA71/100-1))+'02_人物原始合计'!AB71)*N71*'01_参数'!$B$7*'01_参数'!$B$8</x:f>
        <x:v>607231.8019445176</x:v>
      </x:c>
      <x:c r="R71" s="28" t="n">
        <x:f>Q71*'01_参数'!$B$5</x:f>
        <x:v>1214463.6038890353</x:v>
      </x:c>
      <x:c r="S71" s="28" t="n">
        <x:f>(('02_人物原始合计'!E71+('02_人物原始合计'!F71-'02_人物原始合计'!E71)*IF(J71&gt;=12,1,0.5+0.5*MAX(0,J71)/12))*(1+'02_人物原始合计'!Q71/100))*(1+'02_人物原始合计'!U71/100+IF(J71&gt;=15,0.15,0))*(1+'02_人物原始合计'!V71/100)*(1+'02_人物原始合计'!T71)*(1+'02_人物原始合计'!W71*'01_参数'!$B$18)*(1+MAX(0,MIN(1,'02_人物原始合计'!X71/100))*('01_参数'!$B$16+'02_人物原始合计'!Y71/100-1))*(1+MAX(0,MIN(1,'02_人物原始合计'!Z71/100))*('01_参数'!$B$17+'02_人物原始合计'!AA71/100-1))*N71*'01_参数'!$B$7*'01_参数'!$B$8*MAX(0,'02_人物原始合计'!AO71/100)</x:f>
        <x:v>30361.590097225882</x:v>
      </x:c>
      <x:c r="T71" s="28" t="n">
        <x:f>S71*'01_参数'!$B$6</x:f>
        <x:v>39470.067126393646</x:v>
      </x:c>
      <x:c r="U71" s="28" t="n">
        <x:v>0</x:v>
      </x:c>
      <x:c r="V71" s="28" t="n">
        <x:f>T71+U71</x:f>
        <x:v>39470.067126393646</x:v>
      </x:c>
      <x:c r="W71" s="22" t="n">
        <x:v>6</x:v>
      </x:c>
      <x:c r="X71" s="22" t="n">
        <x:v>64</x:v>
      </x:c>
      <x:c r="Y71" s="22" t="str">
        <x:v>C03G01BOSS强装对照</x:v>
      </x:c>
    </x:row>
    <x:row r="72" ht="24" customHeight="1">
      <x:c r="A72" s="22" t="str">
        <x:v>P0068</x:v>
      </x:c>
      <x:c r="B72" s="22" t="n">
        <x:v>3</x:v>
      </x:c>
      <x:c r="C72" s="22" t="n">
        <x:v>1</x:v>
      </x:c>
      <x:c r="D72" s="22" t="str">
        <x:v>西境荒原阶段积累后</x:v>
      </x:c>
      <x:c r="E72" s="26" t="n">
        <x:v>0.13330515357161374</x:v>
      </x:c>
      <x:c r="F72" s="22" t="n">
        <x:v>2</x:v>
      </x:c>
      <x:c r="G72" s="22" t="n">
        <x:v>52</x:v>
      </x:c>
      <x:c r="H72" s="22" t="n">
        <x:v>0</x:v>
      </x:c>
      <x:c r="I72" s="22" t="n">
        <x:v>4</x:v>
      </x:c>
      <x:c r="J72" s="22" t="n">
        <x:f>'02_人物原始合计'!AG72+'02_人物原始合计'!AH72</x:f>
        <x:v>15</x:v>
      </x:c>
      <x:c r="K72" s="28" t="n">
        <x:f>'02_人物原始合计'!F72*(1+'02_人物原始合计'!Q72/100)</x:f>
        <x:v>22410</x:v>
      </x:c>
      <x:c r="L72" s="28" t="n">
        <x:f>'02_人物原始合计'!K72*(1+'02_人物原始合计'!AV72/100)</x:f>
        <x:v>646388</x:v>
      </x:c>
      <x:c r="M72" s="22" t="n">
        <x:f>MAX(0,MIN(50,'02_人物原始合计'!AD72,20+MIN(30,'02_人物原始合计'!AE72)))</x:f>
        <x:v>26</x:v>
      </x:c>
      <x:c r="N72" s="22" t="n">
        <x:f>IF(M72=0,1.75,IF(M72=10,2.2,IF(M72=20,2.9,IF(M72=30,4.3,IF(M72=40,8.5,IF(M72=50,14.3,IF(M72&lt;=40,1000/('01_参数'!$B$21-'01_参数'!$B$22*M72),1000/(1000/8.5+(M72-40)/10*(1000/14.3-1000/8.5)))))))))</x:f>
        <x:v>3.617573931056102</x:v>
      </x:c>
      <x:c r="O72" s="22" t="n">
        <x:v>352</x:v>
      </x:c>
      <x:c r="P72" s="26" t="n">
        <x:f>MAX(0,MIN('01_参数'!$B$20,'02_人物原始合计'!AM72/100,'01_参数'!$B$19+'02_人物原始合计'!AN72/100))</x:f>
        <x:v>0.59</x:v>
      </x:c>
      <x:c r="Q72" s="28" t="n">
        <x:f>((('02_人物原始合计'!E72+('02_人物原始合计'!F72-'02_人物原始合计'!E72)*IF(J72&gt;=12,1,0.5+0.5*MAX(0,J72)/12))*(1+'02_人物原始合计'!Q72/100))*(1+'02_人物原始合计'!U72/100+IF(J72&gt;=15,0.15,0))*(1+'02_人物原始合计'!V72/100)*(1+'02_人物原始合计'!T72)*(1+'02_人物原始合计'!W72*'01_参数'!$B$18)*(1+MAX(0,MIN(1,'02_人物原始合计'!X72/100))*('01_参数'!$B$16+'02_人物原始合计'!Y72/100-1))*(1+MAX(0,MIN(1,'02_人物原始合计'!Z72/100))*('01_参数'!$B$17+'02_人物原始合计'!AA72/100-1))+'02_人物原始合计'!AB72)*N72*'01_参数'!$B$7*'01_参数'!$B$8</x:f>
        <x:v>469614.11023335264</x:v>
      </x:c>
      <x:c r="R72" s="28" t="n">
        <x:f>Q72*'01_参数'!$B$5</x:f>
        <x:v>939228.2204667053</x:v>
      </x:c>
      <x:c r="S72" s="28" t="n">
        <x:f>(('02_人物原始合计'!E72+('02_人物原始合计'!F72-'02_人物原始合计'!E72)*IF(J72&gt;=12,1,0.5+0.5*MAX(0,J72)/12))*(1+'02_人物原始合计'!Q72/100))*(1+'02_人物原始合计'!U72/100+IF(J72&gt;=15,0.15,0))*(1+'02_人物原始合计'!V72/100)*(1+'02_人物原始合计'!T72)*(1+'02_人物原始合计'!W72*'01_参数'!$B$18)*(1+MAX(0,MIN(1,'02_人物原始合计'!X72/100))*('01_参数'!$B$16+'02_人物原始合计'!Y72/100-1))*(1+MAX(0,MIN(1,'02_人物原始合计'!Z72/100))*('01_参数'!$B$17+'02_人物原始合计'!AA72/100-1))*N72*'01_参数'!$B$7*'01_参数'!$B$8*MAX(0,'02_人物原始合计'!AO72/100)</x:f>
        <x:v>14088.42330700058</x:v>
      </x:c>
      <x:c r="T72" s="28" t="n">
        <x:f>S72*'01_参数'!$B$6</x:f>
        <x:v>18314.950299100754</x:v>
      </x:c>
      <x:c r="U72" s="28" t="n">
        <x:v>0</x:v>
      </x:c>
      <x:c r="V72" s="28" t="n">
        <x:f>T72+U72</x:f>
        <x:v>18314.950299100754</x:v>
      </x:c>
      <x:c r="W72" s="22" t="n">
        <x:v>7</x:v>
      </x:c>
      <x:c r="X72" s="22" t="n">
        <x:v>65</x:v>
      </x:c>
      <x:c r="Y72" s="22" t="str">
        <x:v>主线</x:v>
      </x:c>
    </x:row>
    <x:row r="73" ht="24" customHeight="1">
      <x:c r="A73" s="22" t="str">
        <x:v>P0069</x:v>
      </x:c>
      <x:c r="B73" s="22" t="n">
        <x:v>3</x:v>
      </x:c>
      <x:c r="C73" s="22" t="n">
        <x:v>2</x:v>
      </x:c>
      <x:c r="D73" s="22" t="str">
        <x:v>C03G02入场</x:v>
      </x:c>
      <x:c r="E73" s="26" t="n">
        <x:v>0.13330515357161374</x:v>
      </x:c>
      <x:c r="F73" s="22" t="n">
        <x:v>2</x:v>
      </x:c>
      <x:c r="G73" s="22" t="n">
        <x:v>52</x:v>
      </x:c>
      <x:c r="H73" s="22" t="n">
        <x:v>0</x:v>
      </x:c>
      <x:c r="I73" s="22" t="n">
        <x:v>4</x:v>
      </x:c>
      <x:c r="J73" s="22" t="n">
        <x:f>'02_人物原始合计'!AG73+'02_人物原始合计'!AH73</x:f>
        <x:v>15</x:v>
      </x:c>
      <x:c r="K73" s="28" t="n">
        <x:f>'02_人物原始合计'!F73*(1+'02_人物原始合计'!Q73/100)</x:f>
        <x:v>22410</x:v>
      </x:c>
      <x:c r="L73" s="28" t="n">
        <x:f>'02_人物原始合计'!K73*(1+'02_人物原始合计'!AV73/100)</x:f>
        <x:v>646388</x:v>
      </x:c>
      <x:c r="M73" s="22" t="n">
        <x:f>MAX(0,MIN(50,'02_人物原始合计'!AD73,20+MIN(30,'02_人物原始合计'!AE73)))</x:f>
        <x:v>26</x:v>
      </x:c>
      <x:c r="N73" s="22" t="n">
        <x:f>IF(M73=0,1.75,IF(M73=10,2.2,IF(M73=20,2.9,IF(M73=30,4.3,IF(M73=40,8.5,IF(M73=50,14.3,IF(M73&lt;=40,1000/('01_参数'!$B$21-'01_参数'!$B$22*M73),1000/(1000/8.5+(M73-40)/10*(1000/14.3-1000/8.5)))))))))</x:f>
        <x:v>3.617573931056102</x:v>
      </x:c>
      <x:c r="O73" s="22" t="n">
        <x:v>352</x:v>
      </x:c>
      <x:c r="P73" s="26" t="n">
        <x:f>MAX(0,MIN('01_参数'!$B$20,'02_人物原始合计'!AM73/100,'01_参数'!$B$19+'02_人物原始合计'!AN73/100))</x:f>
        <x:v>0.59</x:v>
      </x:c>
      <x:c r="Q73" s="28" t="n">
        <x:f>((('02_人物原始合计'!E73+('02_人物原始合计'!F73-'02_人物原始合计'!E73)*IF(J73&gt;=12,1,0.5+0.5*MAX(0,J73)/12))*(1+'02_人物原始合计'!Q73/100))*(1+'02_人物原始合计'!U73/100+IF(J73&gt;=15,0.15,0))*(1+'02_人物原始合计'!V73/100)*(1+'02_人物原始合计'!T73)*(1+'02_人物原始合计'!W73*'01_参数'!$B$18)*(1+MAX(0,MIN(1,'02_人物原始合计'!X73/100))*('01_参数'!$B$16+'02_人物原始合计'!Y73/100-1))*(1+MAX(0,MIN(1,'02_人物原始合计'!Z73/100))*('01_参数'!$B$17+'02_人物原始合计'!AA73/100-1))+'02_人物原始合计'!AB73)*N73*'01_参数'!$B$7*'01_参数'!$B$8</x:f>
        <x:v>469614.11023335264</x:v>
      </x:c>
      <x:c r="R73" s="28" t="n">
        <x:f>Q73*'01_参数'!$B$5</x:f>
        <x:v>939228.2204667053</x:v>
      </x:c>
      <x:c r="S73" s="28" t="n">
        <x:f>(('02_人物原始合计'!E73+('02_人物原始合计'!F73-'02_人物原始合计'!E73)*IF(J73&gt;=12,1,0.5+0.5*MAX(0,J73)/12))*(1+'02_人物原始合计'!Q73/100))*(1+'02_人物原始合计'!U73/100+IF(J73&gt;=15,0.15,0))*(1+'02_人物原始合计'!V73/100)*(1+'02_人物原始合计'!T73)*(1+'02_人物原始合计'!W73*'01_参数'!$B$18)*(1+MAX(0,MIN(1,'02_人物原始合计'!X73/100))*('01_参数'!$B$16+'02_人物原始合计'!Y73/100-1))*(1+MAX(0,MIN(1,'02_人物原始合计'!Z73/100))*('01_参数'!$B$17+'02_人物原始合计'!AA73/100-1))*N73*'01_参数'!$B$7*'01_参数'!$B$8*MAX(0,'02_人物原始合计'!AO73/100)</x:f>
        <x:v>14088.42330700058</x:v>
      </x:c>
      <x:c r="T73" s="28" t="n">
        <x:f>S73*'01_参数'!$B$6</x:f>
        <x:v>18314.950299100754</x:v>
      </x:c>
      <x:c r="U73" s="28" t="n">
        <x:v>0</x:v>
      </x:c>
      <x:c r="V73" s="28" t="n">
        <x:f>T73+U73</x:f>
        <x:v>18314.950299100754</x:v>
      </x:c>
      <x:c r="W73" s="22" t="n">
        <x:v>7</x:v>
      </x:c>
      <x:c r="X73" s="22" t="n">
        <x:v>65</x:v>
      </x:c>
      <x:c r="Y73" s="22" t="str">
        <x:v>主线</x:v>
      </x:c>
    </x:row>
    <x:row r="74" ht="24" customHeight="1">
      <x:c r="A74" s="22" t="str">
        <x:v>P0070</x:v>
      </x:c>
      <x:c r="B74" s="22" t="n">
        <x:v>3</x:v>
      </x:c>
      <x:c r="C74" s="22" t="n">
        <x:v>2</x:v>
      </x:c>
      <x:c r="D74" s="22" t="str">
        <x:v>C03G02普通专属4/6</x:v>
      </x:c>
      <x:c r="E74" s="26" t="n">
        <x:v>0.1302579314775001</x:v>
      </x:c>
      <x:c r="F74" s="22" t="n">
        <x:v>2</x:v>
      </x:c>
      <x:c r="G74" s="22" t="n">
        <x:v>52</x:v>
      </x:c>
      <x:c r="H74" s="22" t="n">
        <x:v>0</x:v>
      </x:c>
      <x:c r="I74" s="22" t="n">
        <x:v>4</x:v>
      </x:c>
      <x:c r="J74" s="22" t="n">
        <x:f>'02_人物原始合计'!AG74+'02_人物原始合计'!AH74</x:f>
        <x:v>15</x:v>
      </x:c>
      <x:c r="K74" s="28" t="n">
        <x:f>'02_人物原始合计'!F74*(1+'02_人物原始合计'!Q74/100)</x:f>
        <x:v>22394.820000000003</x:v>
      </x:c>
      <x:c r="L74" s="28" t="n">
        <x:f>'02_人物原始合计'!K74*(1+'02_人物原始合计'!AV74/100)</x:f>
        <x:v>656458</x:v>
      </x:c>
      <x:c r="M74" s="22" t="n">
        <x:f>MAX(0,MIN(50,'02_人物原始合计'!AD74,20+MIN(30,'02_人物原始合计'!AE74)))</x:f>
        <x:v>26</x:v>
      </x:c>
      <x:c r="N74" s="22" t="n">
        <x:f>IF(M74=0,1.75,IF(M74=10,2.2,IF(M74=20,2.9,IF(M74=30,4.3,IF(M74=40,8.5,IF(M74=50,14.3,IF(M74&lt;=40,1000/('01_参数'!$B$21-'01_参数'!$B$22*M74),1000/(1000/8.5+(M74-40)/10*(1000/14.3-1000/8.5)))))))))</x:f>
        <x:v>3.617573931056102</x:v>
      </x:c>
      <x:c r="O74" s="22" t="n">
        <x:v>344</x:v>
      </x:c>
      <x:c r="P74" s="26" t="n">
        <x:f>MAX(0,MIN('01_参数'!$B$20,'02_人物原始合计'!AM74/100,'01_参数'!$B$19+'02_人物原始合计'!AN74/100))</x:f>
        <x:v>0.53</x:v>
      </x:c>
      <x:c r="Q74" s="28" t="n">
        <x:f>((('02_人物原始合计'!E74+('02_人物原始合计'!F74-'02_人物原始合计'!E74)*IF(J74&gt;=12,1,0.5+0.5*MAX(0,J74)/12))*(1+'02_人物原始合计'!Q74/100))*(1+'02_人物原始合计'!U74/100+IF(J74&gt;=15,0.15,0))*(1+'02_人物原始合计'!V74/100)*(1+'02_人物原始合计'!T74)*(1+'02_人物原始合计'!W74*'01_参数'!$B$18)*(1+MAX(0,MIN(1,'02_人物原始合计'!X74/100))*('01_参数'!$B$16+'02_人物原始合计'!Y74/100-1))*(1+MAX(0,MIN(1,'02_人物原始合计'!Z74/100))*('01_参数'!$B$17+'02_人物原始合计'!AA74/100-1))+'02_人物原始合计'!AB74)*N74*'01_参数'!$B$7*'01_参数'!$B$8</x:f>
        <x:v>478543.2167430908</x:v>
      </x:c>
      <x:c r="R74" s="28" t="n">
        <x:f>Q74*'01_参数'!$B$5</x:f>
        <x:v>957086.4334861815</x:v>
      </x:c>
      <x:c r="S74" s="28" t="n">
        <x:f>(('02_人物原始合计'!E74+('02_人物原始合计'!F74-'02_人物原始合计'!E74)*IF(J74&gt;=12,1,0.5+0.5*MAX(0,J74)/12))*(1+'02_人物原始合计'!Q74/100))*(1+'02_人物原始合计'!U74/100+IF(J74&gt;=15,0.15,0))*(1+'02_人物原始合计'!V74/100)*(1+'02_人物原始合计'!T74)*(1+'02_人物原始合计'!W74*'01_参数'!$B$18)*(1+MAX(0,MIN(1,'02_人物原始合计'!X74/100))*('01_参数'!$B$16+'02_人物原始合计'!Y74/100-1))*(1+MAX(0,MIN(1,'02_人物原始合计'!Z74/100))*('01_参数'!$B$17+'02_人物原始合计'!AA74/100-1))*N74*'01_参数'!$B$7*'01_参数'!$B$8*MAX(0,'02_人物原始合计'!AO74/100)</x:f>
        <x:v>14356.296502292722</x:v>
      </x:c>
      <x:c r="T74" s="28" t="n">
        <x:f>S74*'01_参数'!$B$6</x:f>
        <x:v>18663.18545298054</x:v>
      </x:c>
      <x:c r="U74" s="28" t="n">
        <x:v>0</x:v>
      </x:c>
      <x:c r="V74" s="28" t="n">
        <x:f>T74+U74</x:f>
        <x:v>18663.18545298054</x:v>
      </x:c>
      <x:c r="W74" s="22" t="n">
        <x:v>7</x:v>
      </x:c>
      <x:c r="X74" s="22" t="n">
        <x:v>65</x:v>
      </x:c>
      <x:c r="Y74" s="22" t="str">
        <x:v>主线</x:v>
      </x:c>
    </x:row>
    <x:row r="75" ht="24" customHeight="1">
      <x:c r="A75" s="22" t="str">
        <x:v>P0071</x:v>
      </x:c>
      <x:c r="B75" s="22" t="n">
        <x:v>3</x:v>
      </x:c>
      <x:c r="C75" s="22" t="n">
        <x:v>2</x:v>
      </x:c>
      <x:c r="D75" s="22" t="str">
        <x:v>裂风执旗官·卡恩挑战前</x:v>
      </x:c>
      <x:c r="E75" s="26" t="n">
        <x:v>0.1302579314775001</x:v>
      </x:c>
      <x:c r="F75" s="22" t="n">
        <x:v>2</x:v>
      </x:c>
      <x:c r="G75" s="22" t="n">
        <x:v>57</x:v>
      </x:c>
      <x:c r="H75" s="22" t="n">
        <x:v>0</x:v>
      </x:c>
      <x:c r="I75" s="22" t="n">
        <x:v>4</x:v>
      </x:c>
      <x:c r="J75" s="22" t="n">
        <x:f>'02_人物原始合计'!AG75+'02_人物原始合计'!AH75</x:f>
        <x:v>15</x:v>
      </x:c>
      <x:c r="K75" s="28" t="n">
        <x:f>'02_人物原始合计'!F75*(1+'02_人物原始合计'!Q75/100)</x:f>
        <x:v>23761.570000000003</x:v>
      </x:c>
      <x:c r="L75" s="28" t="n">
        <x:f>'02_人物原始合计'!K75*(1+'02_人物原始合计'!AV75/100)</x:f>
        <x:v>685608</x:v>
      </x:c>
      <x:c r="M75" s="22" t="n">
        <x:f>MAX(0,MIN(50,'02_人物原始合计'!AD75,20+MIN(30,'02_人物原始合计'!AE75)))</x:f>
        <x:v>26</x:v>
      </x:c>
      <x:c r="N75" s="22" t="n">
        <x:f>IF(M75=0,1.75,IF(M75=10,2.2,IF(M75=20,2.9,IF(M75=30,4.3,IF(M75=40,8.5,IF(M75=50,14.3,IF(M75&lt;=40,1000/('01_参数'!$B$21-'01_参数'!$B$22*M75),1000/(1000/8.5+(M75-40)/10*(1000/14.3-1000/8.5)))))))))</x:f>
        <x:v>3.617573931056102</x:v>
      </x:c>
      <x:c r="O75" s="22" t="n">
        <x:v>344</x:v>
      </x:c>
      <x:c r="P75" s="26" t="n">
        <x:f>MAX(0,MIN('01_参数'!$B$20,'02_人物原始合计'!AM75/100,'01_参数'!$B$19+'02_人物原始合计'!AN75/100))</x:f>
        <x:v>0.53</x:v>
      </x:c>
      <x:c r="Q75" s="28" t="n">
        <x:f>((('02_人物原始合计'!E75+('02_人物原始合计'!F75-'02_人物原始合计'!E75)*IF(J75&gt;=12,1,0.5+0.5*MAX(0,J75)/12))*(1+'02_人物原始合计'!Q75/100))*(1+'02_人物原始合计'!U75/100+IF(J75&gt;=15,0.15,0))*(1+'02_人物原始合计'!V75/100)*(1+'02_人物原始合计'!T75)*(1+'02_人物原始合计'!W75*'01_参数'!$B$18)*(1+MAX(0,MIN(1,'02_人物原始合计'!X75/100))*('01_参数'!$B$16+'02_人物原始合计'!Y75/100-1))*(1+MAX(0,MIN(1,'02_人物原始合计'!Z75/100))*('01_参数'!$B$17+'02_人物原始合计'!AA75/100-1))+'02_人物原始合计'!AB75)*N75*'01_参数'!$B$7*'01_参数'!$B$8</x:f>
        <x:v>507748.58394334605</x:v>
      </x:c>
      <x:c r="R75" s="28" t="n">
        <x:f>Q75*'01_参数'!$B$5</x:f>
        <x:v>1015497.1678866921</x:v>
      </x:c>
      <x:c r="S75" s="28" t="n">
        <x:f>(('02_人物原始合计'!E75+('02_人物原始合计'!F75-'02_人物原始合计'!E75)*IF(J75&gt;=12,1,0.5+0.5*MAX(0,J75)/12))*(1+'02_人物原始合计'!Q75/100))*(1+'02_人物原始合计'!U75/100+IF(J75&gt;=15,0.15,0))*(1+'02_人物原始合计'!V75/100)*(1+'02_人物原始合计'!T75)*(1+'02_人物原始合计'!W75*'01_参数'!$B$18)*(1+MAX(0,MIN(1,'02_人物原始合计'!X75/100))*('01_参数'!$B$16+'02_人物原始合计'!Y75/100-1))*(1+MAX(0,MIN(1,'02_人物原始合计'!Z75/100))*('01_参数'!$B$17+'02_人物原始合计'!AA75/100-1))*N75*'01_参数'!$B$7*'01_参数'!$B$8*MAX(0,'02_人物原始合计'!AO75/100)</x:f>
        <x:v>15232.457518300382</x:v>
      </x:c>
      <x:c r="T75" s="28" t="n">
        <x:f>S75*'01_参数'!$B$6</x:f>
        <x:v>19802.194773790496</x:v>
      </x:c>
      <x:c r="U75" s="28" t="n">
        <x:v>0</x:v>
      </x:c>
      <x:c r="V75" s="28" t="n">
        <x:f>T75+U75</x:f>
        <x:v>19802.194773790496</x:v>
      </x:c>
      <x:c r="W75" s="22" t="n">
        <x:v>7</x:v>
      </x:c>
      <x:c r="X75" s="22" t="n">
        <x:v>65</x:v>
      </x:c>
      <x:c r="Y75" s="22" t="str">
        <x:v>主线</x:v>
      </x:c>
    </x:row>
    <x:row r="76" ht="24" customHeight="1">
      <x:c r="A76" s="22" t="str">
        <x:v>P0072</x:v>
      </x:c>
      <x:c r="B76" s="22" t="n">
        <x:v>3</x:v>
      </x:c>
      <x:c r="C76" s="22" t="n">
        <x:v>2</x:v>
      </x:c>
      <x:c r="D76" s="22" t="str">
        <x:v>啸海古翼·塞洛挑战前</x:v>
      </x:c>
      <x:c r="E76" s="26" t="n">
        <x:v>0.1302579314775001</x:v>
      </x:c>
      <x:c r="F76" s="22" t="n">
        <x:v>2</x:v>
      </x:c>
      <x:c r="G76" s="22" t="n">
        <x:v>57</x:v>
      </x:c>
      <x:c r="H76" s="22" t="n">
        <x:v>0</x:v>
      </x:c>
      <x:c r="I76" s="22" t="n">
        <x:v>4</x:v>
      </x:c>
      <x:c r="J76" s="22" t="n">
        <x:f>'02_人物原始合计'!AG76+'02_人物原始合计'!AH76</x:f>
        <x:v>15</x:v>
      </x:c>
      <x:c r="K76" s="28" t="n">
        <x:f>'02_人物原始合计'!F76*(1+'02_人物原始合计'!Q76/100)</x:f>
        <x:v>23761.570000000003</x:v>
      </x:c>
      <x:c r="L76" s="28" t="n">
        <x:f>'02_人物原始合计'!K76*(1+'02_人物原始合计'!AV76/100)</x:f>
        <x:v>685608</x:v>
      </x:c>
      <x:c r="M76" s="22" t="n">
        <x:f>MAX(0,MIN(50,'02_人物原始合计'!AD76,20+MIN(30,'02_人物原始合计'!AE76)))</x:f>
        <x:v>26</x:v>
      </x:c>
      <x:c r="N76" s="22" t="n">
        <x:f>IF(M76=0,1.75,IF(M76=10,2.2,IF(M76=20,2.9,IF(M76=30,4.3,IF(M76=40,8.5,IF(M76=50,14.3,IF(M76&lt;=40,1000/('01_参数'!$B$21-'01_参数'!$B$22*M76),1000/(1000/8.5+(M76-40)/10*(1000/14.3-1000/8.5)))))))))</x:f>
        <x:v>3.617573931056102</x:v>
      </x:c>
      <x:c r="O76" s="22" t="n">
        <x:v>344</x:v>
      </x:c>
      <x:c r="P76" s="26" t="n">
        <x:f>MAX(0,MIN('01_参数'!$B$20,'02_人物原始合计'!AM76/100,'01_参数'!$B$19+'02_人物原始合计'!AN76/100))</x:f>
        <x:v>0.53</x:v>
      </x:c>
      <x:c r="Q76" s="28" t="n">
        <x:f>((('02_人物原始合计'!E76+('02_人物原始合计'!F76-'02_人物原始合计'!E76)*IF(J76&gt;=12,1,0.5+0.5*MAX(0,J76)/12))*(1+'02_人物原始合计'!Q76/100))*(1+'02_人物原始合计'!U76/100+IF(J76&gt;=15,0.15,0))*(1+'02_人物原始合计'!V76/100)*(1+'02_人物原始合计'!T76)*(1+'02_人物原始合计'!W76*'01_参数'!$B$18)*(1+MAX(0,MIN(1,'02_人物原始合计'!X76/100))*('01_参数'!$B$16+'02_人物原始合计'!Y76/100-1))*(1+MAX(0,MIN(1,'02_人物原始合计'!Z76/100))*('01_参数'!$B$17+'02_人物原始合计'!AA76/100-1))+'02_人物原始合计'!AB76)*N76*'01_参数'!$B$7*'01_参数'!$B$8</x:f>
        <x:v>507748.58394334605</x:v>
      </x:c>
      <x:c r="R76" s="28" t="n">
        <x:f>Q76*'01_参数'!$B$5</x:f>
        <x:v>1015497.1678866921</x:v>
      </x:c>
      <x:c r="S76" s="28" t="n">
        <x:f>(('02_人物原始合计'!E76+('02_人物原始合计'!F76-'02_人物原始合计'!E76)*IF(J76&gt;=12,1,0.5+0.5*MAX(0,J76)/12))*(1+'02_人物原始合计'!Q76/100))*(1+'02_人物原始合计'!U76/100+IF(J76&gt;=15,0.15,0))*(1+'02_人物原始合计'!V76/100)*(1+'02_人物原始合计'!T76)*(1+'02_人物原始合计'!W76*'01_参数'!$B$18)*(1+MAX(0,MIN(1,'02_人物原始合计'!X76/100))*('01_参数'!$B$16+'02_人物原始合计'!Y76/100-1))*(1+MAX(0,MIN(1,'02_人物原始合计'!Z76/100))*('01_参数'!$B$17+'02_人物原始合计'!AA76/100-1))*N76*'01_参数'!$B$7*'01_参数'!$B$8*MAX(0,'02_人物原始合计'!AO76/100)</x:f>
        <x:v>15232.457518300382</x:v>
      </x:c>
      <x:c r="T76" s="28" t="n">
        <x:f>S76*'01_参数'!$B$6</x:f>
        <x:v>19802.194773790496</x:v>
      </x:c>
      <x:c r="U76" s="28" t="n">
        <x:v>0</x:v>
      </x:c>
      <x:c r="V76" s="28" t="n">
        <x:f>T76+U76</x:f>
        <x:v>19802.194773790496</x:v>
      </x:c>
      <x:c r="W76" s="22" t="n">
        <x:v>7</x:v>
      </x:c>
      <x:c r="X76" s="22" t="n">
        <x:v>65</x:v>
      </x:c>
      <x:c r="Y76" s="22" t="str">
        <x:v>主线</x:v>
      </x:c>
    </x:row>
    <x:row r="77" ht="24" customHeight="1">
      <x:c r="A77" s="22" t="str">
        <x:v>P0073</x:v>
      </x:c>
      <x:c r="B77" s="22" t="n">
        <x:v>3</x:v>
      </x:c>
      <x:c r="C77" s="22" t="n">
        <x:v>2</x:v>
      </x:c>
      <x:c r="D77" s="22" t="str">
        <x:v>海风断崖BOSS装备快线</x:v>
      </x:c>
      <x:c r="E77" s="26" t="n">
        <x:v>0.14390881671540692</x:v>
      </x:c>
      <x:c r="F77" s="22" t="n">
        <x:v>2</x:v>
      </x:c>
      <x:c r="G77" s="22" t="n">
        <x:v>57</x:v>
      </x:c>
      <x:c r="H77" s="22" t="n">
        <x:v>0</x:v>
      </x:c>
      <x:c r="I77" s="22" t="n">
        <x:v>4</x:v>
      </x:c>
      <x:c r="J77" s="22" t="n">
        <x:f>'02_人物原始合计'!AG77+'02_人物原始合计'!AH77</x:f>
        <x:v>15</x:v>
      </x:c>
      <x:c r="K77" s="28" t="n">
        <x:f>'02_人物原始合计'!F77*(1+'02_人物原始合计'!Q77/100)</x:f>
        <x:v>28044.48</x:v>
      </x:c>
      <x:c r="L77" s="28" t="n">
        <x:f>'02_人物原始合计'!K77*(1+'02_人物原始合计'!AV77/100)</x:f>
        <x:v>819135.0000000001</x:v>
      </x:c>
      <x:c r="M77" s="22" t="n">
        <x:f>MAX(0,MIN(50,'02_人物原始合计'!AD77,20+MIN(30,'02_人物原始合计'!AE77)))</x:f>
        <x:v>27</x:v>
      </x:c>
      <x:c r="N77" s="22" t="n">
        <x:f>IF(M77=0,1.75,IF(M77=10,2.2,IF(M77=20,2.9,IF(M77=30,4.3,IF(M77=40,8.5,IF(M77=50,14.3,IF(M77&lt;=40,1000/('01_参数'!$B$21-'01_参数'!$B$22*M77),1000/(1000/8.5+(M77-40)/10*(1000/14.3-1000/8.5)))))))))</x:f>
        <x:v>3.7716940913647403</x:v>
      </x:c>
      <x:c r="O77" s="22" t="n">
        <x:v>355</x:v>
      </x:c>
      <x:c r="P77" s="26" t="n">
        <x:f>MAX(0,MIN('01_参数'!$B$20,'02_人物原始合计'!AM77/100,'01_参数'!$B$19+'02_人物原始合计'!AN77/100))</x:f>
        <x:v>0.54</x:v>
      </x:c>
      <x:c r="Q77" s="28" t="n">
        <x:f>((('02_人物原始合计'!E77+('02_人物原始合计'!F77-'02_人物原始合计'!E77)*IF(J77&gt;=12,1,0.5+0.5*MAX(0,J77)/12))*(1+'02_人物原始合计'!Q77/100))*(1+'02_人物原始合计'!U77/100+IF(J77&gt;=15,0.15,0))*(1+'02_人物原始合计'!V77/100)*(1+'02_人物原始合计'!T77)*(1+'02_人物原始合计'!W77*'01_参数'!$B$18)*(1+MAX(0,MIN(1,'02_人物原始合计'!X77/100))*('01_参数'!$B$16+'02_人物原始合计'!Y77/100-1))*(1+MAX(0,MIN(1,'02_人物原始合计'!Z77/100))*('01_参数'!$B$17+'02_人物原始合计'!AA77/100-1))+'02_人物原始合计'!AB77)*N77*'01_参数'!$B$7*'01_参数'!$B$8</x:f>
        <x:v>771302.2865211613</x:v>
      </x:c>
      <x:c r="R77" s="28" t="n">
        <x:f>Q77*'01_参数'!$B$5</x:f>
        <x:v>1542604.5730423226</x:v>
      </x:c>
      <x:c r="S77" s="28" t="n">
        <x:f>(('02_人物原始合计'!E77+('02_人物原始合计'!F77-'02_人物原始合计'!E77)*IF(J77&gt;=12,1,0.5+0.5*MAX(0,J77)/12))*(1+'02_人物原始合计'!Q77/100))*(1+'02_人物原始合计'!U77/100+IF(J77&gt;=15,0.15,0))*(1+'02_人物原始合计'!V77/100)*(1+'02_人物原始合计'!T77)*(1+'02_人物原始合计'!W77*'01_参数'!$B$18)*(1+MAX(0,MIN(1,'02_人物原始合计'!X77/100))*('01_参数'!$B$16+'02_人物原始合计'!Y77/100-1))*(1+MAX(0,MIN(1,'02_人物原始合计'!Z77/100))*('01_参数'!$B$17+'02_人物原始合计'!AA77/100-1))*N77*'01_参数'!$B$7*'01_参数'!$B$8*MAX(0,'02_人物原始合计'!AO77/100)</x:f>
        <x:v>38565.114326058065</x:v>
      </x:c>
      <x:c r="T77" s="28" t="n">
        <x:f>S77*'01_参数'!$B$6</x:f>
        <x:v>50134.64862387549</x:v>
      </x:c>
      <x:c r="U77" s="28" t="n">
        <x:v>0</x:v>
      </x:c>
      <x:c r="V77" s="28" t="n">
        <x:f>T77+U77</x:f>
        <x:v>50134.64862387549</x:v>
      </x:c>
      <x:c r="W77" s="22" t="n">
        <x:v>7</x:v>
      </x:c>
      <x:c r="X77" s="22" t="n">
        <x:v>65</x:v>
      </x:c>
      <x:c r="Y77" s="22" t="str">
        <x:v>C03G02BOSS强装对照</x:v>
      </x:c>
    </x:row>
    <x:row r="78" ht="24" customHeight="1">
      <x:c r="A78" s="22" t="str">
        <x:v>P0074</x:v>
      </x:c>
      <x:c r="B78" s="22" t="n">
        <x:v>3</x:v>
      </x:c>
      <x:c r="C78" s="22" t="n">
        <x:v>2</x:v>
      </x:c>
      <x:c r="D78" s="22" t="str">
        <x:v>海风断崖阶段积累后</x:v>
      </x:c>
      <x:c r="E78" s="26" t="n">
        <x:v>0.17234126481083345</x:v>
      </x:c>
      <x:c r="F78" s="22" t="n">
        <x:v>2</x:v>
      </x:c>
      <x:c r="G78" s="22" t="n">
        <x:v>57</x:v>
      </x:c>
      <x:c r="H78" s="22" t="n">
        <x:v>0</x:v>
      </x:c>
      <x:c r="I78" s="22" t="n">
        <x:v>4</x:v>
      </x:c>
      <x:c r="J78" s="22" t="n">
        <x:f>'02_人物原始合计'!AG78+'02_人物原始合计'!AH78</x:f>
        <x:v>15</x:v>
      </x:c>
      <x:c r="K78" s="28" t="n">
        <x:f>'02_人物原始合计'!F78*(1+'02_人物原始合计'!Q78/100)</x:f>
        <x:v>24642.199999999997</x:v>
      </x:c>
      <x:c r="L78" s="28" t="n">
        <x:f>'02_人物原始合计'!K78*(1+'02_人物原始合计'!AV78/100)</x:f>
        <x:v>698010</x:v>
      </x:c>
      <x:c r="M78" s="22" t="n">
        <x:f>MAX(0,MIN(50,'02_人物原始合计'!AD78,20+MIN(30,'02_人物原始合计'!AE78)))</x:f>
        <x:v>26</x:v>
      </x:c>
      <x:c r="N78" s="22" t="n">
        <x:f>IF(M78=0,1.75,IF(M78=10,2.2,IF(M78=20,2.9,IF(M78=30,4.3,IF(M78=40,8.5,IF(M78=50,14.3,IF(M78&lt;=40,1000/('01_参数'!$B$21-'01_参数'!$B$22*M78),1000/(1000/8.5+(M78-40)/10*(1000/14.3-1000/8.5)))))))))</x:f>
        <x:v>3.617573931056102</x:v>
      </x:c>
      <x:c r="O78" s="22" t="n">
        <x:v>344</x:v>
      </x:c>
      <x:c r="P78" s="26" t="n">
        <x:f>MAX(0,MIN('01_参数'!$B$20,'02_人物原始合计'!AM78/100,'01_参数'!$B$19+'02_人物原始合计'!AN78/100))</x:f>
        <x:v>0.53</x:v>
      </x:c>
      <x:c r="Q78" s="28" t="n">
        <x:f>((('02_人物原始合计'!E78+('02_人物原始合计'!F78-'02_人物原始合计'!E78)*IF(J78&gt;=12,1,0.5+0.5*MAX(0,J78)/12))*(1+'02_人物原始合计'!Q78/100))*(1+'02_人物原始合计'!U78/100+IF(J78&gt;=15,0.15,0))*(1+'02_人物原始合计'!V78/100)*(1+'02_人物原始合计'!T78)*(1+'02_人物原始合计'!W78*'01_参数'!$B$18)*(1+MAX(0,MIN(1,'02_人物原始合计'!X78/100))*('01_参数'!$B$16+'02_人物原始合计'!Y78/100-1))*(1+MAX(0,MIN(1,'02_人物原始合计'!Z78/100))*('01_参数'!$B$17+'02_人物原始合计'!AA78/100-1))+'02_人物原始合计'!AB78)*N78*'01_参数'!$B$7*'01_参数'!$B$8</x:f>
        <x:v>545556.0588677571</x:v>
      </x:c>
      <x:c r="R78" s="28" t="n">
        <x:f>Q78*'01_参数'!$B$5</x:f>
        <x:v>1091112.1177355142</x:v>
      </x:c>
      <x:c r="S78" s="28" t="n">
        <x:f>(('02_人物原始合计'!E78+('02_人物原始合计'!F78-'02_人物原始合计'!E78)*IF(J78&gt;=12,1,0.5+0.5*MAX(0,J78)/12))*(1+'02_人物原始合计'!Q78/100))*(1+'02_人物原始合计'!U78/100+IF(J78&gt;=15,0.15,0))*(1+'02_人物原始合计'!V78/100)*(1+'02_人物原始合计'!T78)*(1+'02_人物原始合计'!W78*'01_参数'!$B$18)*(1+MAX(0,MIN(1,'02_人物原始合计'!X78/100))*('01_参数'!$B$16+'02_人物原始合计'!Y78/100-1))*(1+MAX(0,MIN(1,'02_人物原始合计'!Z78/100))*('01_参数'!$B$17+'02_人物原始合计'!AA78/100-1))*N78*'01_参数'!$B$7*'01_参数'!$B$8*MAX(0,'02_人物原始合计'!AO78/100)</x:f>
        <x:v>16366.681766032712</x:v>
      </x:c>
      <x:c r="T78" s="28" t="n">
        <x:f>S78*'01_参数'!$B$6</x:f>
        <x:v>21276.686295842526</x:v>
      </x:c>
      <x:c r="U78" s="28" t="n">
        <x:v>0</x:v>
      </x:c>
      <x:c r="V78" s="28" t="n">
        <x:f>T78+U78</x:f>
        <x:v>21276.686295842526</x:v>
      </x:c>
      <x:c r="W78" s="22" t="n">
        <x:v>8</x:v>
      </x:c>
      <x:c r="X78" s="22" t="n">
        <x:v>67</x:v>
      </x:c>
      <x:c r="Y78" s="22" t="str">
        <x:v>主线</x:v>
      </x:c>
    </x:row>
    <x:row r="79" ht="24" customHeight="1">
      <x:c r="A79" s="22" t="str">
        <x:v>P0075</x:v>
      </x:c>
      <x:c r="B79" s="22" t="n">
        <x:v>3</x:v>
      </x:c>
      <x:c r="C79" s="22" t="n">
        <x:v>3</x:v>
      </x:c>
      <x:c r="D79" s="22" t="str">
        <x:v>C03G03入场</x:v>
      </x:c>
      <x:c r="E79" s="26" t="n">
        <x:v>0.17234126481083345</x:v>
      </x:c>
      <x:c r="F79" s="22" t="n">
        <x:v>2</x:v>
      </x:c>
      <x:c r="G79" s="22" t="n">
        <x:v>57</x:v>
      </x:c>
      <x:c r="H79" s="22" t="n">
        <x:v>0</x:v>
      </x:c>
      <x:c r="I79" s="22" t="n">
        <x:v>4</x:v>
      </x:c>
      <x:c r="J79" s="22" t="n">
        <x:f>'02_人物原始合计'!AG79+'02_人物原始合计'!AH79</x:f>
        <x:v>15</x:v>
      </x:c>
      <x:c r="K79" s="28" t="n">
        <x:f>'02_人物原始合计'!F79*(1+'02_人物原始合计'!Q79/100)</x:f>
        <x:v>24642.199999999997</x:v>
      </x:c>
      <x:c r="L79" s="28" t="n">
        <x:f>'02_人物原始合计'!K79*(1+'02_人物原始合计'!AV79/100)</x:f>
        <x:v>698010</x:v>
      </x:c>
      <x:c r="M79" s="22" t="n">
        <x:f>MAX(0,MIN(50,'02_人物原始合计'!AD79,20+MIN(30,'02_人物原始合计'!AE79)))</x:f>
        <x:v>26</x:v>
      </x:c>
      <x:c r="N79" s="22" t="n">
        <x:f>IF(M79=0,1.75,IF(M79=10,2.2,IF(M79=20,2.9,IF(M79=30,4.3,IF(M79=40,8.5,IF(M79=50,14.3,IF(M79&lt;=40,1000/('01_参数'!$B$21-'01_参数'!$B$22*M79),1000/(1000/8.5+(M79-40)/10*(1000/14.3-1000/8.5)))))))))</x:f>
        <x:v>3.617573931056102</x:v>
      </x:c>
      <x:c r="O79" s="22" t="n">
        <x:v>344</x:v>
      </x:c>
      <x:c r="P79" s="26" t="n">
        <x:f>MAX(0,MIN('01_参数'!$B$20,'02_人物原始合计'!AM79/100,'01_参数'!$B$19+'02_人物原始合计'!AN79/100))</x:f>
        <x:v>0.53</x:v>
      </x:c>
      <x:c r="Q79" s="28" t="n">
        <x:f>((('02_人物原始合计'!E79+('02_人物原始合计'!F79-'02_人物原始合计'!E79)*IF(J79&gt;=12,1,0.5+0.5*MAX(0,J79)/12))*(1+'02_人物原始合计'!Q79/100))*(1+'02_人物原始合计'!U79/100+IF(J79&gt;=15,0.15,0))*(1+'02_人物原始合计'!V79/100)*(1+'02_人物原始合计'!T79)*(1+'02_人物原始合计'!W79*'01_参数'!$B$18)*(1+MAX(0,MIN(1,'02_人物原始合计'!X79/100))*('01_参数'!$B$16+'02_人物原始合计'!Y79/100-1))*(1+MAX(0,MIN(1,'02_人物原始合计'!Z79/100))*('01_参数'!$B$17+'02_人物原始合计'!AA79/100-1))+'02_人物原始合计'!AB79)*N79*'01_参数'!$B$7*'01_参数'!$B$8</x:f>
        <x:v>545556.0588677571</x:v>
      </x:c>
      <x:c r="R79" s="28" t="n">
        <x:f>Q79*'01_参数'!$B$5</x:f>
        <x:v>1091112.1177355142</x:v>
      </x:c>
      <x:c r="S79" s="28" t="n">
        <x:f>(('02_人物原始合计'!E79+('02_人物原始合计'!F79-'02_人物原始合计'!E79)*IF(J79&gt;=12,1,0.5+0.5*MAX(0,J79)/12))*(1+'02_人物原始合计'!Q79/100))*(1+'02_人物原始合计'!U79/100+IF(J79&gt;=15,0.15,0))*(1+'02_人物原始合计'!V79/100)*(1+'02_人物原始合计'!T79)*(1+'02_人物原始合计'!W79*'01_参数'!$B$18)*(1+MAX(0,MIN(1,'02_人物原始合计'!X79/100))*('01_参数'!$B$16+'02_人物原始合计'!Y79/100-1))*(1+MAX(0,MIN(1,'02_人物原始合计'!Z79/100))*('01_参数'!$B$17+'02_人物原始合计'!AA79/100-1))*N79*'01_参数'!$B$7*'01_参数'!$B$8*MAX(0,'02_人物原始合计'!AO79/100)</x:f>
        <x:v>16366.681766032712</x:v>
      </x:c>
      <x:c r="T79" s="28" t="n">
        <x:f>S79*'01_参数'!$B$6</x:f>
        <x:v>21276.686295842526</x:v>
      </x:c>
      <x:c r="U79" s="28" t="n">
        <x:v>0</x:v>
      </x:c>
      <x:c r="V79" s="28" t="n">
        <x:f>T79+U79</x:f>
        <x:v>21276.686295842526</x:v>
      </x:c>
      <x:c r="W79" s="22" t="n">
        <x:v>8</x:v>
      </x:c>
      <x:c r="X79" s="22" t="n">
        <x:v>67</x:v>
      </x:c>
      <x:c r="Y79" s="22" t="str">
        <x:v>主线</x:v>
      </x:c>
    </x:row>
    <x:row r="80" ht="24" customHeight="1">
      <x:c r="A80" s="22" t="str">
        <x:v>P0076</x:v>
      </x:c>
      <x:c r="B80" s="22" t="n">
        <x:v>3</x:v>
      </x:c>
      <x:c r="C80" s="22" t="n">
        <x:v>3</x:v>
      </x:c>
      <x:c r="D80" s="22" t="str">
        <x:v>C03G03普通专属4/6</x:v>
      </x:c>
      <x:c r="E80" s="26" t="n">
        <x:v>0.17056679494436938</x:v>
      </x:c>
      <x:c r="F80" s="22" t="n">
        <x:v>2</x:v>
      </x:c>
      <x:c r="G80" s="22" t="n">
        <x:v>57</x:v>
      </x:c>
      <x:c r="H80" s="22" t="n">
        <x:v>0</x:v>
      </x:c>
      <x:c r="I80" s="22" t="n">
        <x:v>4</x:v>
      </x:c>
      <x:c r="J80" s="22" t="n">
        <x:f>'02_人物原始合计'!AG80+'02_人物原始合计'!AH80</x:f>
        <x:v>15</x:v>
      </x:c>
      <x:c r="K80" s="28" t="n">
        <x:f>'02_人物原始合计'!F80*(1+'02_人物原始合计'!Q80/100)</x:f>
        <x:v>24293.489999999998</x:v>
      </x:c>
      <x:c r="L80" s="28" t="n">
        <x:f>'02_人物原始合计'!K80*(1+'02_人物原始合计'!AV80/100)</x:f>
        <x:v>666700</x:v>
      </x:c>
      <x:c r="M80" s="22" t="n">
        <x:f>MAX(0,MIN(50,'02_人物原始合计'!AD80,20+MIN(30,'02_人物原始合计'!AE80)))</x:f>
        <x:v>26</x:v>
      </x:c>
      <x:c r="N80" s="22" t="n">
        <x:f>IF(M80=0,1.75,IF(M80=10,2.2,IF(M80=20,2.9,IF(M80=30,4.3,IF(M80=40,8.5,IF(M80=50,14.3,IF(M80&lt;=40,1000/('01_参数'!$B$21-'01_参数'!$B$22*M80),1000/(1000/8.5+(M80-40)/10*(1000/14.3-1000/8.5)))))))))</x:f>
        <x:v>3.617573931056102</x:v>
      </x:c>
      <x:c r="O80" s="22" t="n">
        <x:v>338</x:v>
      </x:c>
      <x:c r="P80" s="26" t="n">
        <x:f>MAX(0,MIN('01_参数'!$B$20,'02_人物原始合计'!AM80/100,'01_参数'!$B$19+'02_人物原始合计'!AN80/100))</x:f>
        <x:v>0.45</x:v>
      </x:c>
      <x:c r="Q80" s="28" t="n">
        <x:f>((('02_人物原始合计'!E80+('02_人物原始合计'!F80-'02_人物原始合计'!E80)*IF(J80&gt;=12,1,0.5+0.5*MAX(0,J80)/12))*(1+'02_人物原始合计'!Q80/100))*(1+'02_人物原始合计'!U80/100+IF(J80&gt;=15,0.15,0))*(1+'02_人物原始合计'!V80/100)*(1+'02_人物原始合计'!T80)*(1+'02_人物原始合计'!W80*'01_参数'!$B$18)*(1+MAX(0,MIN(1,'02_人物原始合计'!X80/100))*('01_参数'!$B$16+'02_人物原始合计'!Y80/100-1))*(1+MAX(0,MIN(1,'02_人物原始合计'!Z80/100))*('01_参数'!$B$17+'02_人物原始合计'!AA80/100-1))+'02_人物原始合计'!AB80)*N80*'01_参数'!$B$7*'01_参数'!$B$8</x:f>
        <x:v>547983.7821308657</x:v>
      </x:c>
      <x:c r="R80" s="28" t="n">
        <x:f>Q80*'01_参数'!$B$5</x:f>
        <x:v>1095967.5642617315</x:v>
      </x:c>
      <x:c r="S80" s="28" t="n">
        <x:f>(('02_人物原始合计'!E80+('02_人物原始合计'!F80-'02_人物原始合计'!E80)*IF(J80&gt;=12,1,0.5+0.5*MAX(0,J80)/12))*(1+'02_人物原始合计'!Q80/100))*(1+'02_人物原始合计'!U80/100+IF(J80&gt;=15,0.15,0))*(1+'02_人物原始合计'!V80/100)*(1+'02_人物原始合计'!T80)*(1+'02_人物原始合计'!W80*'01_参数'!$B$18)*(1+MAX(0,MIN(1,'02_人物原始合计'!X80/100))*('01_参数'!$B$16+'02_人物原始合计'!Y80/100-1))*(1+MAX(0,MIN(1,'02_人物原始合计'!Z80/100))*('01_参数'!$B$17+'02_人物原始合计'!AA80/100-1))*N80*'01_参数'!$B$7*'01_参数'!$B$8*MAX(0,'02_人物原始合计'!AO80/100)</x:f>
        <x:v>16439.51346392597</x:v>
      </x:c>
      <x:c r="T80" s="28" t="n">
        <x:f>S80*'01_参数'!$B$6</x:f>
        <x:v>21371.367503103764</x:v>
      </x:c>
      <x:c r="U80" s="28" t="n">
        <x:v>0</x:v>
      </x:c>
      <x:c r="V80" s="28" t="n">
        <x:f>T80+U80</x:f>
        <x:v>21371.367503103764</x:v>
      </x:c>
      <x:c r="W80" s="22" t="n">
        <x:v>8</x:v>
      </x:c>
      <x:c r="X80" s="22" t="n">
        <x:v>67</x:v>
      </x:c>
      <x:c r="Y80" s="22" t="str">
        <x:v>主线</x:v>
      </x:c>
    </x:row>
    <x:row r="81" ht="24" customHeight="1">
      <x:c r="A81" s="22" t="str">
        <x:v>P0077</x:v>
      </x:c>
      <x:c r="B81" s="22" t="n">
        <x:v>3</x:v>
      </x:c>
      <x:c r="C81" s="22" t="n">
        <x:v>3</x:v>
      </x:c>
      <x:c r="D81" s="22" t="str">
        <x:v>无路佣兵王·赫托挑战前</x:v>
      </x:c>
      <x:c r="E81" s="26" t="n">
        <x:v>0.37056679494436934</x:v>
      </x:c>
      <x:c r="F81" s="22" t="n">
        <x:v>3</x:v>
      </x:c>
      <x:c r="G81" s="22" t="n">
        <x:v>62</x:v>
      </x:c>
      <x:c r="H81" s="22" t="n">
        <x:v>0</x:v>
      </x:c>
      <x:c r="I81" s="22" t="n">
        <x:v>4</x:v>
      </x:c>
      <x:c r="J81" s="22" t="n">
        <x:f>'02_人物原始合计'!AG81+'02_人物原始合计'!AH81</x:f>
        <x:v>15</x:v>
      </x:c>
      <x:c r="K81" s="28" t="n">
        <x:f>'02_人物原始合计'!F81*(1+'02_人物原始合计'!Q81/100)</x:f>
        <x:v>28301.489999999998</x:v>
      </x:c>
      <x:c r="L81" s="28" t="n">
        <x:f>'02_人物原始合计'!K81*(1+'02_人物原始合计'!AV81/100)</x:f>
        <x:v>746700</x:v>
      </x:c>
      <x:c r="M81" s="22" t="n">
        <x:f>MAX(0,MIN(50,'02_人物原始合计'!AD81,20+MIN(30,'02_人物原始合计'!AE81)))</x:f>
        <x:v>26</x:v>
      </x:c>
      <x:c r="N81" s="22" t="n">
        <x:f>IF(M81=0,1.75,IF(M81=10,2.2,IF(M81=20,2.9,IF(M81=30,4.3,IF(M81=40,8.5,IF(M81=50,14.3,IF(M81&lt;=40,1000/('01_参数'!$B$21-'01_参数'!$B$22*M81),1000/(1000/8.5+(M81-40)/10*(1000/14.3-1000/8.5)))))))))</x:f>
        <x:v>3.617573931056102</x:v>
      </x:c>
      <x:c r="O81" s="22" t="n">
        <x:v>338</x:v>
      </x:c>
      <x:c r="P81" s="26" t="n">
        <x:f>MAX(0,MIN('01_参数'!$B$20,'02_人物原始合计'!AM81/100,'01_参数'!$B$19+'02_人物原始合计'!AN81/100))</x:f>
        <x:v>0.45</x:v>
      </x:c>
      <x:c r="Q81" s="28" t="n">
        <x:f>((('02_人物原始合计'!E81+('02_人物原始合计'!F81-'02_人物原始合计'!E81)*IF(J81&gt;=12,1,0.5+0.5*MAX(0,J81)/12))*(1+'02_人物原始合计'!Q81/100))*(1+'02_人物原始合计'!U81/100+IF(J81&gt;=15,0.15,0))*(1+'02_人物原始合计'!V81/100)*(1+'02_人物原始合计'!T81)*(1+'02_人物原始合计'!W81*'01_参数'!$B$18)*(1+MAX(0,MIN(1,'02_人物原始合计'!X81/100))*('01_参数'!$B$16+'02_人物原始合计'!Y81/100-1))*(1+MAX(0,MIN(1,'02_人物原始合计'!Z81/100))*('01_参数'!$B$17+'02_人物原始合计'!AA81/100-1))+'02_人物原始合计'!AB81)*N81*'01_参数'!$B$7*'01_参数'!$B$8</x:f>
        <x:v>638391.5003623965</x:v>
      </x:c>
      <x:c r="R81" s="28" t="n">
        <x:f>Q81*'01_参数'!$B$5</x:f>
        <x:v>1276783.000724793</x:v>
      </x:c>
      <x:c r="S81" s="28" t="n">
        <x:f>(('02_人物原始合计'!E81+('02_人物原始合计'!F81-'02_人物原始合计'!E81)*IF(J81&gt;=12,1,0.5+0.5*MAX(0,J81)/12))*(1+'02_人物原始合计'!Q81/100))*(1+'02_人物原始合计'!U81/100+IF(J81&gt;=15,0.15,0))*(1+'02_人物原始合计'!V81/100)*(1+'02_人物原始合计'!T81)*(1+'02_人物原始合计'!W81*'01_参数'!$B$18)*(1+MAX(0,MIN(1,'02_人物原始合计'!X81/100))*('01_参数'!$B$16+'02_人物原始合计'!Y81/100-1))*(1+MAX(0,MIN(1,'02_人物原始合计'!Z81/100))*('01_参数'!$B$17+'02_人物原始合计'!AA81/100-1))*N81*'01_参数'!$B$7*'01_参数'!$B$8*MAX(0,'02_人物原始合计'!AO81/100)</x:f>
        <x:v>19151.745010871895</x:v>
      </x:c>
      <x:c r="T81" s="28" t="n">
        <x:f>S81*'01_参数'!$B$6</x:f>
        <x:v>24897.268514133466</x:v>
      </x:c>
      <x:c r="U81" s="28" t="n">
        <x:v>0</x:v>
      </x:c>
      <x:c r="V81" s="28" t="n">
        <x:f>T81+U81</x:f>
        <x:v>24897.268514133466</x:v>
      </x:c>
      <x:c r="W81" s="22" t="n">
        <x:v>8</x:v>
      </x:c>
      <x:c r="X81" s="22" t="n">
        <x:v>67</x:v>
      </x:c>
      <x:c r="Y81" s="22" t="str">
        <x:v>主线</x:v>
      </x:c>
    </x:row>
    <x:row r="82" ht="24" customHeight="1">
      <x:c r="A82" s="22" t="str">
        <x:v>P0078</x:v>
      </x:c>
      <x:c r="B82" s="22" t="n">
        <x:v>3</x:v>
      </x:c>
      <x:c r="C82" s="22" t="n">
        <x:v>3</x:v>
      </x:c>
      <x:c r="D82" s="22" t="str">
        <x:v>赤篷巨像·马尔挑战前</x:v>
      </x:c>
      <x:c r="E82" s="26" t="n">
        <x:v>0.37056679494436934</x:v>
      </x:c>
      <x:c r="F82" s="22" t="n">
        <x:v>3</x:v>
      </x:c>
      <x:c r="G82" s="22" t="n">
        <x:v>62</x:v>
      </x:c>
      <x:c r="H82" s="22" t="n">
        <x:v>0</x:v>
      </x:c>
      <x:c r="I82" s="22" t="n">
        <x:v>4</x:v>
      </x:c>
      <x:c r="J82" s="22" t="n">
        <x:f>'02_人物原始合计'!AG82+'02_人物原始合计'!AH82</x:f>
        <x:v>15</x:v>
      </x:c>
      <x:c r="K82" s="28" t="n">
        <x:f>'02_人物原始合计'!F82*(1+'02_人物原始合计'!Q82/100)</x:f>
        <x:v>28301.489999999998</x:v>
      </x:c>
      <x:c r="L82" s="28" t="n">
        <x:f>'02_人物原始合计'!K82*(1+'02_人物原始合计'!AV82/100)</x:f>
        <x:v>746700</x:v>
      </x:c>
      <x:c r="M82" s="22" t="n">
        <x:f>MAX(0,MIN(50,'02_人物原始合计'!AD82,20+MIN(30,'02_人物原始合计'!AE82)))</x:f>
        <x:v>26</x:v>
      </x:c>
      <x:c r="N82" s="22" t="n">
        <x:f>IF(M82=0,1.75,IF(M82=10,2.2,IF(M82=20,2.9,IF(M82=30,4.3,IF(M82=40,8.5,IF(M82=50,14.3,IF(M82&lt;=40,1000/('01_参数'!$B$21-'01_参数'!$B$22*M82),1000/(1000/8.5+(M82-40)/10*(1000/14.3-1000/8.5)))))))))</x:f>
        <x:v>3.617573931056102</x:v>
      </x:c>
      <x:c r="O82" s="22" t="n">
        <x:v>338</x:v>
      </x:c>
      <x:c r="P82" s="26" t="n">
        <x:f>MAX(0,MIN('01_参数'!$B$20,'02_人物原始合计'!AM82/100,'01_参数'!$B$19+'02_人物原始合计'!AN82/100))</x:f>
        <x:v>0.45</x:v>
      </x:c>
      <x:c r="Q82" s="28" t="n">
        <x:f>((('02_人物原始合计'!E82+('02_人物原始合计'!F82-'02_人物原始合计'!E82)*IF(J82&gt;=12,1,0.5+0.5*MAX(0,J82)/12))*(1+'02_人物原始合计'!Q82/100))*(1+'02_人物原始合计'!U82/100+IF(J82&gt;=15,0.15,0))*(1+'02_人物原始合计'!V82/100)*(1+'02_人物原始合计'!T82)*(1+'02_人物原始合计'!W82*'01_参数'!$B$18)*(1+MAX(0,MIN(1,'02_人物原始合计'!X82/100))*('01_参数'!$B$16+'02_人物原始合计'!Y82/100-1))*(1+MAX(0,MIN(1,'02_人物原始合计'!Z82/100))*('01_参数'!$B$17+'02_人物原始合计'!AA82/100-1))+'02_人物原始合计'!AB82)*N82*'01_参数'!$B$7*'01_参数'!$B$8</x:f>
        <x:v>638391.5003623965</x:v>
      </x:c>
      <x:c r="R82" s="28" t="n">
        <x:f>Q82*'01_参数'!$B$5</x:f>
        <x:v>1276783.000724793</x:v>
      </x:c>
      <x:c r="S82" s="28" t="n">
        <x:f>(('02_人物原始合计'!E82+('02_人物原始合计'!F82-'02_人物原始合计'!E82)*IF(J82&gt;=12,1,0.5+0.5*MAX(0,J82)/12))*(1+'02_人物原始合计'!Q82/100))*(1+'02_人物原始合计'!U82/100+IF(J82&gt;=15,0.15,0))*(1+'02_人物原始合计'!V82/100)*(1+'02_人物原始合计'!T82)*(1+'02_人物原始合计'!W82*'01_参数'!$B$18)*(1+MAX(0,MIN(1,'02_人物原始合计'!X82/100))*('01_参数'!$B$16+'02_人物原始合计'!Y82/100-1))*(1+MAX(0,MIN(1,'02_人物原始合计'!Z82/100))*('01_参数'!$B$17+'02_人物原始合计'!AA82/100-1))*N82*'01_参数'!$B$7*'01_参数'!$B$8*MAX(0,'02_人物原始合计'!AO82/100)</x:f>
        <x:v>19151.745010871895</x:v>
      </x:c>
      <x:c r="T82" s="28" t="n">
        <x:f>S82*'01_参数'!$B$6</x:f>
        <x:v>24897.268514133466</x:v>
      </x:c>
      <x:c r="U82" s="28" t="n">
        <x:v>0</x:v>
      </x:c>
      <x:c r="V82" s="28" t="n">
        <x:f>T82+U82</x:f>
        <x:v>24897.268514133466</x:v>
      </x:c>
      <x:c r="W82" s="22" t="n">
        <x:v>8</x:v>
      </x:c>
      <x:c r="X82" s="22" t="n">
        <x:v>67</x:v>
      </x:c>
      <x:c r="Y82" s="22" t="str">
        <x:v>主线</x:v>
      </x:c>
    </x:row>
    <x:row r="83" ht="24" customHeight="1">
      <x:c r="A83" s="22" t="str">
        <x:v>P0079</x:v>
      </x:c>
      <x:c r="B83" s="22" t="n">
        <x:v>3</x:v>
      </x:c>
      <x:c r="C83" s="22" t="n">
        <x:v>3</x:v>
      </x:c>
      <x:c r="D83" s="22" t="str">
        <x:v>失落驿道BOSS装备快线</x:v>
      </x:c>
      <x:c r="E83" s="26" t="n">
        <x:v>0.3944668254724025</x:v>
      </x:c>
      <x:c r="F83" s="22" t="n">
        <x:v>3</x:v>
      </x:c>
      <x:c r="G83" s="22" t="n">
        <x:v>62</x:v>
      </x:c>
      <x:c r="H83" s="22" t="n">
        <x:v>0</x:v>
      </x:c>
      <x:c r="I83" s="22" t="n">
        <x:v>4</x:v>
      </x:c>
      <x:c r="J83" s="22" t="n">
        <x:f>'02_人物原始合计'!AG83+'02_人物原始合计'!AH83</x:f>
        <x:v>15</x:v>
      </x:c>
      <x:c r="K83" s="28" t="n">
        <x:f>'02_人物原始合计'!F83*(1+'02_人物原始合计'!Q83/100)</x:f>
        <x:v>34963.68</x:v>
      </x:c>
      <x:c r="L83" s="28" t="n">
        <x:f>'02_人物原始合计'!K83*(1+'02_人物原始合计'!AV83/100)</x:f>
        <x:v>937291.0000000001</x:v>
      </x:c>
      <x:c r="M83" s="22" t="n">
        <x:f>MAX(0,MIN(50,'02_人物原始合计'!AD83,20+MIN(30,'02_人物原始合计'!AE83)))</x:f>
        <x:v>27</x:v>
      </x:c>
      <x:c r="N83" s="22" t="n">
        <x:f>IF(M83=0,1.75,IF(M83=10,2.2,IF(M83=20,2.9,IF(M83=30,4.3,IF(M83=40,8.5,IF(M83=50,14.3,IF(M83&lt;=40,1000/('01_参数'!$B$21-'01_参数'!$B$22*M83),1000/(1000/8.5+(M83-40)/10*(1000/14.3-1000/8.5)))))))))</x:f>
        <x:v>3.7716940913647403</x:v>
      </x:c>
      <x:c r="O83" s="22" t="n">
        <x:v>355</x:v>
      </x:c>
      <x:c r="P83" s="26" t="n">
        <x:f>MAX(0,MIN('01_参数'!$B$20,'02_人物原始合计'!AM83/100,'01_参数'!$B$19+'02_人物原始合计'!AN83/100))</x:f>
        <x:v>0.56</x:v>
      </x:c>
      <x:c r="Q83" s="28" t="n">
        <x:f>((('02_人物原始合计'!E83+('02_人物原始合计'!F83-'02_人物原始合计'!E83)*IF(J83&gt;=12,1,0.5+0.5*MAX(0,J83)/12))*(1+'02_人物原始合计'!Q83/100))*(1+'02_人物原始合计'!U83/100+IF(J83&gt;=15,0.15,0))*(1+'02_人物原始合计'!V83/100)*(1+'02_人物原始合计'!T83)*(1+'02_人物原始合计'!W83*'01_参数'!$B$18)*(1+MAX(0,MIN(1,'02_人物原始合计'!X83/100))*('01_参数'!$B$16+'02_人物原始合计'!Y83/100-1))*(1+MAX(0,MIN(1,'02_人物原始合计'!Z83/100))*('01_参数'!$B$17+'02_人物原始合计'!AA83/100-1))+'02_人物原始合计'!AB83)*N83*'01_参数'!$B$7*'01_参数'!$B$8</x:f>
        <x:v>1058286.6384819283</x:v>
      </x:c>
      <x:c r="R83" s="28" t="n">
        <x:f>Q83*'01_参数'!$B$5</x:f>
        <x:v>2116573.2769638565</x:v>
      </x:c>
      <x:c r="S83" s="28" t="n">
        <x:f>(('02_人物原始合计'!E83+('02_人物原始合计'!F83-'02_人物原始合计'!E83)*IF(J83&gt;=12,1,0.5+0.5*MAX(0,J83)/12))*(1+'02_人物原始合计'!Q83/100))*(1+'02_人物原始合计'!U83/100+IF(J83&gt;=15,0.15,0))*(1+'02_人物原始合计'!V83/100)*(1+'02_人物原始合计'!T83)*(1+'02_人物原始合计'!W83*'01_参数'!$B$18)*(1+MAX(0,MIN(1,'02_人物原始合计'!X83/100))*('01_参数'!$B$16+'02_人物原始合计'!Y83/100-1))*(1+MAX(0,MIN(1,'02_人物原始合计'!Z83/100))*('01_参数'!$B$17+'02_人物原始合计'!AA83/100-1))*N83*'01_参数'!$B$7*'01_参数'!$B$8*MAX(0,'02_人物原始合计'!AO83/100)</x:f>
        <x:v>52914.33192409642</x:v>
      </x:c>
      <x:c r="T83" s="28" t="n">
        <x:f>S83*'01_参数'!$B$6</x:f>
        <x:v>68788.63150132535</x:v>
      </x:c>
      <x:c r="U83" s="28" t="n">
        <x:v>0</x:v>
      </x:c>
      <x:c r="V83" s="28" t="n">
        <x:f>T83+U83</x:f>
        <x:v>68788.63150132535</x:v>
      </x:c>
      <x:c r="W83" s="22" t="n">
        <x:v>8</x:v>
      </x:c>
      <x:c r="X83" s="22" t="n">
        <x:v>67</x:v>
      </x:c>
      <x:c r="Y83" s="22" t="str">
        <x:v>C03G03BOSS强装对照</x:v>
      </x:c>
    </x:row>
    <x:row r="84" ht="24" customHeight="1">
      <x:c r="A84" s="22" t="str">
        <x:v>P0080</x:v>
      </x:c>
      <x:c r="B84" s="22" t="n">
        <x:v>3</x:v>
      </x:c>
      <x:c r="C84" s="22" t="n">
        <x:v>3</x:v>
      </x:c>
      <x:c r="D84" s="22" t="str">
        <x:v>失落驿道阶段积累后</x:v>
      </x:c>
      <x:c r="E84" s="26" t="n">
        <x:v>0.37494179494436936</x:v>
      </x:c>
      <x:c r="F84" s="22" t="n">
        <x:v>3</x:v>
      </x:c>
      <x:c r="G84" s="22" t="n">
        <x:v>62</x:v>
      </x:c>
      <x:c r="H84" s="22" t="n">
        <x:v>0</x:v>
      </x:c>
      <x:c r="I84" s="22" t="n">
        <x:v>4</x:v>
      </x:c>
      <x:c r="J84" s="22" t="n">
        <x:f>'02_人物原始合计'!AG84+'02_人物原始合计'!AH84</x:f>
        <x:v>15</x:v>
      </x:c>
      <x:c r="K84" s="28" t="n">
        <x:f>'02_人物原始合计'!F84*(1+'02_人物原始合计'!Q84/100)</x:f>
        <x:v>28331.55</x:v>
      </x:c>
      <x:c r="L84" s="28" t="n">
        <x:f>'02_人物原始合计'!K84*(1+'02_人物原始合计'!AV84/100)</x:f>
        <x:v>747300</x:v>
      </x:c>
      <x:c r="M84" s="22" t="n">
        <x:f>MAX(0,MIN(50,'02_人物原始合计'!AD84,20+MIN(30,'02_人物原始合计'!AE84)))</x:f>
        <x:v>26</x:v>
      </x:c>
      <x:c r="N84" s="22" t="n">
        <x:f>IF(M84=0,1.75,IF(M84=10,2.2,IF(M84=20,2.9,IF(M84=30,4.3,IF(M84=40,8.5,IF(M84=50,14.3,IF(M84&lt;=40,1000/('01_参数'!$B$21-'01_参数'!$B$22*M84),1000/(1000/8.5+(M84-40)/10*(1000/14.3-1000/8.5)))))))))</x:f>
        <x:v>3.617573931056102</x:v>
      </x:c>
      <x:c r="O84" s="22" t="n">
        <x:v>338</x:v>
      </x:c>
      <x:c r="P84" s="26" t="n">
        <x:f>MAX(0,MIN('01_参数'!$B$20,'02_人物原始合计'!AM84/100,'01_参数'!$B$19+'02_人物原始合计'!AN84/100))</x:f>
        <x:v>0.45</x:v>
      </x:c>
      <x:c r="Q84" s="28" t="n">
        <x:f>((('02_人物原始合计'!E84+('02_人物原始合计'!F84-'02_人物原始合计'!E84)*IF(J84&gt;=12,1,0.5+0.5*MAX(0,J84)/12))*(1+'02_人物原始合计'!Q84/100))*(1+'02_人物原始合计'!U84/100+IF(J84&gt;=15,0.15,0))*(1+'02_人物原始合计'!V84/100)*(1+'02_人物原始合计'!T84)*(1+'02_人物原始合计'!W84*'01_参数'!$B$18)*(1+MAX(0,MIN(1,'02_人物原始合计'!X84/100))*('01_参数'!$B$16+'02_人物原始合计'!Y84/100-1))*(1+MAX(0,MIN(1,'02_人物原始合计'!Z84/100))*('01_参数'!$B$17+'02_人物原始合计'!AA84/100-1))+'02_人物原始合计'!AB84)*N84*'01_参数'!$B$7*'01_参数'!$B$8</x:f>
        <x:v>639069.5582491329</x:v>
      </x:c>
      <x:c r="R84" s="28" t="n">
        <x:f>Q84*'01_参数'!$B$5</x:f>
        <x:v>1278139.1164982659</x:v>
      </x:c>
      <x:c r="S84" s="28" t="n">
        <x:f>(('02_人物原始合计'!E84+('02_人物原始合计'!F84-'02_人物原始合计'!E84)*IF(J84&gt;=12,1,0.5+0.5*MAX(0,J84)/12))*(1+'02_人物原始合计'!Q84/100))*(1+'02_人物原始合计'!U84/100+IF(J84&gt;=15,0.15,0))*(1+'02_人物原始合计'!V84/100)*(1+'02_人物原始合计'!T84)*(1+'02_人物原始合计'!W84*'01_参数'!$B$18)*(1+MAX(0,MIN(1,'02_人物原始合计'!X84/100))*('01_参数'!$B$16+'02_人物原始合计'!Y84/100-1))*(1+MAX(0,MIN(1,'02_人物原始合计'!Z84/100))*('01_参数'!$B$17+'02_人物原始合计'!AA84/100-1))*N84*'01_参数'!$B$7*'01_参数'!$B$8*MAX(0,'02_人物原始合计'!AO84/100)</x:f>
        <x:v>19172.086747473986</x:v>
      </x:c>
      <x:c r="T84" s="28" t="n">
        <x:f>S84*'01_参数'!$B$6</x:f>
        <x:v>24923.712771716182</x:v>
      </x:c>
      <x:c r="U84" s="28" t="n">
        <x:v>0</x:v>
      </x:c>
      <x:c r="V84" s="28" t="n">
        <x:f>T84+U84</x:f>
        <x:v>24923.712771716182</x:v>
      </x:c>
      <x:c r="W84" s="22" t="n">
        <x:v>8</x:v>
      </x:c>
      <x:c r="X84" s="22" t="n">
        <x:v>68</x:v>
      </x:c>
      <x:c r="Y84" s="22" t="str">
        <x:v>主线</x:v>
      </x:c>
    </x:row>
    <x:row r="85" ht="24" customHeight="1">
      <x:c r="A85" s="22" t="str">
        <x:v>P0081</x:v>
      </x:c>
      <x:c r="B85" s="22" t="n">
        <x:v>3</x:v>
      </x:c>
      <x:c r="C85" s="22" t="n">
        <x:v>4</x:v>
      </x:c>
      <x:c r="D85" s="22" t="str">
        <x:v>C03G04入场</x:v>
      </x:c>
      <x:c r="E85" s="26" t="n">
        <x:v>0.37494179494436936</x:v>
      </x:c>
      <x:c r="F85" s="22" t="n">
        <x:v>3</x:v>
      </x:c>
      <x:c r="G85" s="22" t="n">
        <x:v>62</x:v>
      </x:c>
      <x:c r="H85" s="22" t="n">
        <x:v>0</x:v>
      </x:c>
      <x:c r="I85" s="22" t="n">
        <x:v>4</x:v>
      </x:c>
      <x:c r="J85" s="22" t="n">
        <x:f>'02_人物原始合计'!AG85+'02_人物原始合计'!AH85</x:f>
        <x:v>15</x:v>
      </x:c>
      <x:c r="K85" s="28" t="n">
        <x:f>'02_人物原始合计'!F85*(1+'02_人物原始合计'!Q85/100)</x:f>
        <x:v>28331.55</x:v>
      </x:c>
      <x:c r="L85" s="28" t="n">
        <x:f>'02_人物原始合计'!K85*(1+'02_人物原始合计'!AV85/100)</x:f>
        <x:v>747300</x:v>
      </x:c>
      <x:c r="M85" s="22" t="n">
        <x:f>MAX(0,MIN(50,'02_人物原始合计'!AD85,20+MIN(30,'02_人物原始合计'!AE85)))</x:f>
        <x:v>26</x:v>
      </x:c>
      <x:c r="N85" s="22" t="n">
        <x:f>IF(M85=0,1.75,IF(M85=10,2.2,IF(M85=20,2.9,IF(M85=30,4.3,IF(M85=40,8.5,IF(M85=50,14.3,IF(M85&lt;=40,1000/('01_参数'!$B$21-'01_参数'!$B$22*M85),1000/(1000/8.5+(M85-40)/10*(1000/14.3-1000/8.5)))))))))</x:f>
        <x:v>3.617573931056102</x:v>
      </x:c>
      <x:c r="O85" s="22" t="n">
        <x:v>338</x:v>
      </x:c>
      <x:c r="P85" s="26" t="n">
        <x:f>MAX(0,MIN('01_参数'!$B$20,'02_人物原始合计'!AM85/100,'01_参数'!$B$19+'02_人物原始合计'!AN85/100))</x:f>
        <x:v>0.45</x:v>
      </x:c>
      <x:c r="Q85" s="28" t="n">
        <x:f>((('02_人物原始合计'!E85+('02_人物原始合计'!F85-'02_人物原始合计'!E85)*IF(J85&gt;=12,1,0.5+0.5*MAX(0,J85)/12))*(1+'02_人物原始合计'!Q85/100))*(1+'02_人物原始合计'!U85/100+IF(J85&gt;=15,0.15,0))*(1+'02_人物原始合计'!V85/100)*(1+'02_人物原始合计'!T85)*(1+'02_人物原始合计'!W85*'01_参数'!$B$18)*(1+MAX(0,MIN(1,'02_人物原始合计'!X85/100))*('01_参数'!$B$16+'02_人物原始合计'!Y85/100-1))*(1+MAX(0,MIN(1,'02_人物原始合计'!Z85/100))*('01_参数'!$B$17+'02_人物原始合计'!AA85/100-1))+'02_人物原始合计'!AB85)*N85*'01_参数'!$B$7*'01_参数'!$B$8</x:f>
        <x:v>639069.5582491329</x:v>
      </x:c>
      <x:c r="R85" s="28" t="n">
        <x:f>Q85*'01_参数'!$B$5</x:f>
        <x:v>1278139.1164982659</x:v>
      </x:c>
      <x:c r="S85" s="28" t="n">
        <x:f>(('02_人物原始合计'!E85+('02_人物原始合计'!F85-'02_人物原始合计'!E85)*IF(J85&gt;=12,1,0.5+0.5*MAX(0,J85)/12))*(1+'02_人物原始合计'!Q85/100))*(1+'02_人物原始合计'!U85/100+IF(J85&gt;=15,0.15,0))*(1+'02_人物原始合计'!V85/100)*(1+'02_人物原始合计'!T85)*(1+'02_人物原始合计'!W85*'01_参数'!$B$18)*(1+MAX(0,MIN(1,'02_人物原始合计'!X85/100))*('01_参数'!$B$16+'02_人物原始合计'!Y85/100-1))*(1+MAX(0,MIN(1,'02_人物原始合计'!Z85/100))*('01_参数'!$B$17+'02_人物原始合计'!AA85/100-1))*N85*'01_参数'!$B$7*'01_参数'!$B$8*MAX(0,'02_人物原始合计'!AO85/100)</x:f>
        <x:v>19172.086747473986</x:v>
      </x:c>
      <x:c r="T85" s="28" t="n">
        <x:f>S85*'01_参数'!$B$6</x:f>
        <x:v>24923.712771716182</x:v>
      </x:c>
      <x:c r="U85" s="28" t="n">
        <x:v>0</x:v>
      </x:c>
      <x:c r="V85" s="28" t="n">
        <x:f>T85+U85</x:f>
        <x:v>24923.712771716182</x:v>
      </x:c>
      <x:c r="W85" s="22" t="n">
        <x:v>8</x:v>
      </x:c>
      <x:c r="X85" s="22" t="n">
        <x:v>68</x:v>
      </x:c>
      <x:c r="Y85" s="22" t="str">
        <x:v>主线</x:v>
      </x:c>
    </x:row>
    <x:row r="86" ht="24" customHeight="1">
      <x:c r="A86" s="22" t="str">
        <x:v>P0082</x:v>
      </x:c>
      <x:c r="B86" s="22" t="n">
        <x:v>3</x:v>
      </x:c>
      <x:c r="C86" s="22" t="n">
        <x:v>4</x:v>
      </x:c>
      <x:c r="D86" s="22" t="str">
        <x:v>C03G04普通专属4/6</x:v>
      </x:c>
      <x:c r="E86" s="26" t="n">
        <x:v>0.37494179494436936</x:v>
      </x:c>
      <x:c r="F86" s="22" t="n">
        <x:v>3</x:v>
      </x:c>
      <x:c r="G86" s="22" t="n">
        <x:v>62</x:v>
      </x:c>
      <x:c r="H86" s="22" t="n">
        <x:v>0</x:v>
      </x:c>
      <x:c r="I86" s="22" t="n">
        <x:v>4</x:v>
      </x:c>
      <x:c r="J86" s="22" t="n">
        <x:f>'02_人物原始合计'!AG86+'02_人物原始合计'!AH86</x:f>
        <x:v>15</x:v>
      </x:c>
      <x:c r="K86" s="28" t="n">
        <x:f>'02_人物原始合计'!F86*(1+'02_人物原始合计'!Q86/100)</x:f>
        <x:v>28331.55</x:v>
      </x:c>
      <x:c r="L86" s="28" t="n">
        <x:f>'02_人物原始合计'!K86*(1+'02_人物原始合计'!AV86/100)</x:f>
        <x:v>747300</x:v>
      </x:c>
      <x:c r="M86" s="22" t="n">
        <x:f>MAX(0,MIN(50,'02_人物原始合计'!AD86,20+MIN(30,'02_人物原始合计'!AE86)))</x:f>
        <x:v>26</x:v>
      </x:c>
      <x:c r="N86" s="22" t="n">
        <x:f>IF(M86=0,1.75,IF(M86=10,2.2,IF(M86=20,2.9,IF(M86=30,4.3,IF(M86=40,8.5,IF(M86=50,14.3,IF(M86&lt;=40,1000/('01_参数'!$B$21-'01_参数'!$B$22*M86),1000/(1000/8.5+(M86-40)/10*(1000/14.3-1000/8.5)))))))))</x:f>
        <x:v>3.617573931056102</x:v>
      </x:c>
      <x:c r="O86" s="22" t="n">
        <x:v>338</x:v>
      </x:c>
      <x:c r="P86" s="26" t="n">
        <x:f>MAX(0,MIN('01_参数'!$B$20,'02_人物原始合计'!AM86/100,'01_参数'!$B$19+'02_人物原始合计'!AN86/100))</x:f>
        <x:v>0.45</x:v>
      </x:c>
      <x:c r="Q86" s="28" t="n">
        <x:f>((('02_人物原始合计'!E86+('02_人物原始合计'!F86-'02_人物原始合计'!E86)*IF(J86&gt;=12,1,0.5+0.5*MAX(0,J86)/12))*(1+'02_人物原始合计'!Q86/100))*(1+'02_人物原始合计'!U86/100+IF(J86&gt;=15,0.15,0))*(1+'02_人物原始合计'!V86/100)*(1+'02_人物原始合计'!T86)*(1+'02_人物原始合计'!W86*'01_参数'!$B$18)*(1+MAX(0,MIN(1,'02_人物原始合计'!X86/100))*('01_参数'!$B$16+'02_人物原始合计'!Y86/100-1))*(1+MAX(0,MIN(1,'02_人物原始合计'!Z86/100))*('01_参数'!$B$17+'02_人物原始合计'!AA86/100-1))+'02_人物原始合计'!AB86)*N86*'01_参数'!$B$7*'01_参数'!$B$8</x:f>
        <x:v>639069.5582491329</x:v>
      </x:c>
      <x:c r="R86" s="28" t="n">
        <x:f>Q86*'01_参数'!$B$5</x:f>
        <x:v>1278139.1164982659</x:v>
      </x:c>
      <x:c r="S86" s="28" t="n">
        <x:f>(('02_人物原始合计'!E86+('02_人物原始合计'!F86-'02_人物原始合计'!E86)*IF(J86&gt;=12,1,0.5+0.5*MAX(0,J86)/12))*(1+'02_人物原始合计'!Q86/100))*(1+'02_人物原始合计'!U86/100+IF(J86&gt;=15,0.15,0))*(1+'02_人物原始合计'!V86/100)*(1+'02_人物原始合计'!T86)*(1+'02_人物原始合计'!W86*'01_参数'!$B$18)*(1+MAX(0,MIN(1,'02_人物原始合计'!X86/100))*('01_参数'!$B$16+'02_人物原始合计'!Y86/100-1))*(1+MAX(0,MIN(1,'02_人物原始合计'!Z86/100))*('01_参数'!$B$17+'02_人物原始合计'!AA86/100-1))*N86*'01_参数'!$B$7*'01_参数'!$B$8*MAX(0,'02_人物原始合计'!AO86/100)</x:f>
        <x:v>19172.086747473986</x:v>
      </x:c>
      <x:c r="T86" s="28" t="n">
        <x:f>S86*'01_参数'!$B$6</x:f>
        <x:v>24923.712771716182</x:v>
      </x:c>
      <x:c r="U86" s="28" t="n">
        <x:v>0</x:v>
      </x:c>
      <x:c r="V86" s="28" t="n">
        <x:f>T86+U86</x:f>
        <x:v>24923.712771716182</x:v>
      </x:c>
      <x:c r="W86" s="22" t="n">
        <x:v>8</x:v>
      </x:c>
      <x:c r="X86" s="22" t="n">
        <x:v>68</x:v>
      </x:c>
      <x:c r="Y86" s="22" t="str">
        <x:v>主线</x:v>
      </x:c>
    </x:row>
    <x:row r="87" ht="24" customHeight="1">
      <x:c r="A87" s="22" t="str">
        <x:v>P0083</x:v>
      </x:c>
      <x:c r="B87" s="22" t="n">
        <x:v>3</x:v>
      </x:c>
      <x:c r="C87" s="22" t="n">
        <x:v>4</x:v>
      </x:c>
      <x:c r="D87" s="22" t="str">
        <x:v>古战将·雷戈挑战前</x:v>
      </x:c>
      <x:c r="E87" s="26" t="n">
        <x:v>0.37494179494436936</x:v>
      </x:c>
      <x:c r="F87" s="22" t="n">
        <x:v>3</x:v>
      </x:c>
      <x:c r="G87" s="22" t="n">
        <x:v>67</x:v>
      </x:c>
      <x:c r="H87" s="22" t="n">
        <x:v>0</x:v>
      </x:c>
      <x:c r="I87" s="22" t="n">
        <x:v>4</x:v>
      </x:c>
      <x:c r="J87" s="22" t="n">
        <x:f>'02_人物原始合计'!AG87+'02_人物原始合计'!AH87</x:f>
        <x:v>15</x:v>
      </x:c>
      <x:c r="K87" s="28" t="n">
        <x:f>'02_人物原始合计'!F87*(1+'02_人物原始合计'!Q87/100)</x:f>
        <x:v>29959.8</x:v>
      </x:c>
      <x:c r="L87" s="28" t="n">
        <x:f>'02_人物原始合计'!K87*(1+'02_人物原始合计'!AV87/100)</x:f>
        <x:v>779800</x:v>
      </x:c>
      <x:c r="M87" s="22" t="n">
        <x:f>MAX(0,MIN(50,'02_人物原始合计'!AD87,20+MIN(30,'02_人物原始合计'!AE87)))</x:f>
        <x:v>26</x:v>
      </x:c>
      <x:c r="N87" s="22" t="n">
        <x:f>IF(M87=0,1.75,IF(M87=10,2.2,IF(M87=20,2.9,IF(M87=30,4.3,IF(M87=40,8.5,IF(M87=50,14.3,IF(M87&lt;=40,1000/('01_参数'!$B$21-'01_参数'!$B$22*M87),1000/(1000/8.5+(M87-40)/10*(1000/14.3-1000/8.5)))))))))</x:f>
        <x:v>3.617573931056102</x:v>
      </x:c>
      <x:c r="O87" s="22" t="n">
        <x:v>338</x:v>
      </x:c>
      <x:c r="P87" s="26" t="n">
        <x:f>MAX(0,MIN('01_参数'!$B$20,'02_人物原始合计'!AM87/100,'01_参数'!$B$19+'02_人物原始合计'!AN87/100))</x:f>
        <x:v>0.45</x:v>
      </x:c>
      <x:c r="Q87" s="28" t="n">
        <x:f>((('02_人物原始合计'!E87+('02_人物原始合计'!F87-'02_人物原始合计'!E87)*IF(J87&gt;=12,1,0.5+0.5*MAX(0,J87)/12))*(1+'02_人物原始合计'!Q87/100))*(1+'02_人物原始合计'!U87/100+IF(J87&gt;=15,0.15,0))*(1+'02_人物原始合计'!V87/100)*(1+'02_人物原始合计'!T87)*(1+'02_人物原始合计'!W87*'01_参数'!$B$18)*(1+MAX(0,MIN(1,'02_人物原始合计'!X87/100))*('01_参数'!$B$16+'02_人物原始合计'!Y87/100-1))*(1+MAX(0,MIN(1,'02_人物原始合计'!Z87/100))*('01_参数'!$B$17+'02_人物原始合计'!AA87/100-1))+'02_人物原始合计'!AB87)*N87*'01_参数'!$B$7*'01_参数'!$B$8</x:f>
        <x:v>675797.6937806923</x:v>
      </x:c>
      <x:c r="R87" s="28" t="n">
        <x:f>Q87*'01_参数'!$B$5</x:f>
        <x:v>1351595.3875613846</x:v>
      </x:c>
      <x:c r="S87" s="28" t="n">
        <x:f>(('02_人物原始合计'!E87+('02_人物原始合计'!F87-'02_人物原始合计'!E87)*IF(J87&gt;=12,1,0.5+0.5*MAX(0,J87)/12))*(1+'02_人物原始合计'!Q87/100))*(1+'02_人物原始合计'!U87/100+IF(J87&gt;=15,0.15,0))*(1+'02_人物原始合计'!V87/100)*(1+'02_人物原始合计'!T87)*(1+'02_人物原始合计'!W87*'01_参数'!$B$18)*(1+MAX(0,MIN(1,'02_人物原始合计'!X87/100))*('01_参数'!$B$16+'02_人物原始合计'!Y87/100-1))*(1+MAX(0,MIN(1,'02_人物原始合计'!Z87/100))*('01_参数'!$B$17+'02_人物原始合计'!AA87/100-1))*N87*'01_参数'!$B$7*'01_参数'!$B$8*MAX(0,'02_人物原始合计'!AO87/100)</x:f>
        <x:v>20273.930813420768</x:v>
      </x:c>
      <x:c r="T87" s="28" t="n">
        <x:f>S87*'01_参数'!$B$6</x:f>
        <x:v>26356.110057447</x:v>
      </x:c>
      <x:c r="U87" s="28" t="n">
        <x:v>0</x:v>
      </x:c>
      <x:c r="V87" s="28" t="n">
        <x:f>T87+U87</x:f>
        <x:v>26356.110057447</x:v>
      </x:c>
      <x:c r="W87" s="22" t="n">
        <x:v>8</x:v>
      </x:c>
      <x:c r="X87" s="22" t="n">
        <x:v>68</x:v>
      </x:c>
      <x:c r="Y87" s="22" t="str">
        <x:v>主线</x:v>
      </x:c>
    </x:row>
    <x:row r="88" ht="24" customHeight="1">
      <x:c r="A88" s="22" t="str">
        <x:v>P0084</x:v>
      </x:c>
      <x:c r="B88" s="22" t="n">
        <x:v>3</x:v>
      </x:c>
      <x:c r="C88" s="22" t="n">
        <x:v>4</x:v>
      </x:c>
      <x:c r="D88" s="22" t="str">
        <x:v>千军怨灵·阿萨挑战前</x:v>
      </x:c>
      <x:c r="E88" s="26" t="n">
        <x:v>0.37494179494436936</x:v>
      </x:c>
      <x:c r="F88" s="22" t="n">
        <x:v>3</x:v>
      </x:c>
      <x:c r="G88" s="22" t="n">
        <x:v>67</x:v>
      </x:c>
      <x:c r="H88" s="22" t="n">
        <x:v>0</x:v>
      </x:c>
      <x:c r="I88" s="22" t="n">
        <x:v>4</x:v>
      </x:c>
      <x:c r="J88" s="22" t="n">
        <x:f>'02_人物原始合计'!AG88+'02_人物原始合计'!AH88</x:f>
        <x:v>15</x:v>
      </x:c>
      <x:c r="K88" s="28" t="n">
        <x:f>'02_人物原始合计'!F88*(1+'02_人物原始合计'!Q88/100)</x:f>
        <x:v>29959.8</x:v>
      </x:c>
      <x:c r="L88" s="28" t="n">
        <x:f>'02_人物原始合计'!K88*(1+'02_人物原始合计'!AV88/100)</x:f>
        <x:v>779800</x:v>
      </x:c>
      <x:c r="M88" s="22" t="n">
        <x:f>MAX(0,MIN(50,'02_人物原始合计'!AD88,20+MIN(30,'02_人物原始合计'!AE88)))</x:f>
        <x:v>26</x:v>
      </x:c>
      <x:c r="N88" s="22" t="n">
        <x:f>IF(M88=0,1.75,IF(M88=10,2.2,IF(M88=20,2.9,IF(M88=30,4.3,IF(M88=40,8.5,IF(M88=50,14.3,IF(M88&lt;=40,1000/('01_参数'!$B$21-'01_参数'!$B$22*M88),1000/(1000/8.5+(M88-40)/10*(1000/14.3-1000/8.5)))))))))</x:f>
        <x:v>3.617573931056102</x:v>
      </x:c>
      <x:c r="O88" s="22" t="n">
        <x:v>338</x:v>
      </x:c>
      <x:c r="P88" s="26" t="n">
        <x:f>MAX(0,MIN('01_参数'!$B$20,'02_人物原始合计'!AM88/100,'01_参数'!$B$19+'02_人物原始合计'!AN88/100))</x:f>
        <x:v>0.45</x:v>
      </x:c>
      <x:c r="Q88" s="28" t="n">
        <x:f>((('02_人物原始合计'!E88+('02_人物原始合计'!F88-'02_人物原始合计'!E88)*IF(J88&gt;=12,1,0.5+0.5*MAX(0,J88)/12))*(1+'02_人物原始合计'!Q88/100))*(1+'02_人物原始合计'!U88/100+IF(J88&gt;=15,0.15,0))*(1+'02_人物原始合计'!V88/100)*(1+'02_人物原始合计'!T88)*(1+'02_人物原始合计'!W88*'01_参数'!$B$18)*(1+MAX(0,MIN(1,'02_人物原始合计'!X88/100))*('01_参数'!$B$16+'02_人物原始合计'!Y88/100-1))*(1+MAX(0,MIN(1,'02_人物原始合计'!Z88/100))*('01_参数'!$B$17+'02_人物原始合计'!AA88/100-1))+'02_人物原始合计'!AB88)*N88*'01_参数'!$B$7*'01_参数'!$B$8</x:f>
        <x:v>675797.6937806923</x:v>
      </x:c>
      <x:c r="R88" s="28" t="n">
        <x:f>Q88*'01_参数'!$B$5</x:f>
        <x:v>1351595.3875613846</x:v>
      </x:c>
      <x:c r="S88" s="28" t="n">
        <x:f>(('02_人物原始合计'!E88+('02_人物原始合计'!F88-'02_人物原始合计'!E88)*IF(J88&gt;=12,1,0.5+0.5*MAX(0,J88)/12))*(1+'02_人物原始合计'!Q88/100))*(1+'02_人物原始合计'!U88/100+IF(J88&gt;=15,0.15,0))*(1+'02_人物原始合计'!V88/100)*(1+'02_人物原始合计'!T88)*(1+'02_人物原始合计'!W88*'01_参数'!$B$18)*(1+MAX(0,MIN(1,'02_人物原始合计'!X88/100))*('01_参数'!$B$16+'02_人物原始合计'!Y88/100-1))*(1+MAX(0,MIN(1,'02_人物原始合计'!Z88/100))*('01_参数'!$B$17+'02_人物原始合计'!AA88/100-1))*N88*'01_参数'!$B$7*'01_参数'!$B$8*MAX(0,'02_人物原始合计'!AO88/100)</x:f>
        <x:v>20273.930813420768</x:v>
      </x:c>
      <x:c r="T88" s="28" t="n">
        <x:f>S88*'01_参数'!$B$6</x:f>
        <x:v>26356.110057447</x:v>
      </x:c>
      <x:c r="U88" s="28" t="n">
        <x:v>0</x:v>
      </x:c>
      <x:c r="V88" s="28" t="n">
        <x:f>T88+U88</x:f>
        <x:v>26356.110057447</x:v>
      </x:c>
      <x:c r="W88" s="22" t="n">
        <x:v>8</x:v>
      </x:c>
      <x:c r="X88" s="22" t="n">
        <x:v>68</x:v>
      </x:c>
      <x:c r="Y88" s="22" t="str">
        <x:v>主线</x:v>
      </x:c>
    </x:row>
    <x:row r="89" ht="24" customHeight="1">
      <x:c r="A89" s="22" t="str">
        <x:v>P0085</x:v>
      </x:c>
      <x:c r="B89" s="22" t="n">
        <x:v>3</x:v>
      </x:c>
      <x:c r="C89" s="22" t="n">
        <x:v>4</x:v>
      </x:c>
      <x:c r="D89" s="22" t="str">
        <x:v>古战场遗迹BOSS装备快线</x:v>
      </x:c>
      <x:c r="E89" s="26" t="n">
        <x:v>0.38237648243143374</x:v>
      </x:c>
      <x:c r="F89" s="22" t="n">
        <x:v>3</x:v>
      </x:c>
      <x:c r="G89" s="22" t="n">
        <x:v>67</x:v>
      </x:c>
      <x:c r="H89" s="22" t="n">
        <x:v>0</x:v>
      </x:c>
      <x:c r="I89" s="22" t="n">
        <x:v>4</x:v>
      </x:c>
      <x:c r="J89" s="22" t="n">
        <x:f>'02_人物原始合计'!AG89+'02_人物原始合计'!AH89</x:f>
        <x:v>15</x:v>
      </x:c>
      <x:c r="K89" s="28" t="n">
        <x:f>'02_人物原始合计'!F89*(1+'02_人物原始合计'!Q89/100)</x:f>
        <x:v>33863.5</x:v>
      </x:c>
      <x:c r="L89" s="28" t="n">
        <x:f>'02_人物原始合计'!K89*(1+'02_人物原始合计'!AV89/100)</x:f>
        <x:v>947210.0000000001</x:v>
      </x:c>
      <x:c r="M89" s="22" t="n">
        <x:f>MAX(0,MIN(50,'02_人物原始合计'!AD89,20+MIN(30,'02_人物原始合计'!AE89)))</x:f>
        <x:v>27</x:v>
      </x:c>
      <x:c r="N89" s="22" t="n">
        <x:f>IF(M89=0,1.75,IF(M89=10,2.2,IF(M89=20,2.9,IF(M89=30,4.3,IF(M89=40,8.5,IF(M89=50,14.3,IF(M89&lt;=40,1000/('01_参数'!$B$21-'01_参数'!$B$22*M89),1000/(1000/8.5+(M89-40)/10*(1000/14.3-1000/8.5)))))))))</x:f>
        <x:v>3.7716940913647403</x:v>
      </x:c>
      <x:c r="O89" s="22" t="n">
        <x:v>355</x:v>
      </x:c>
      <x:c r="P89" s="26" t="n">
        <x:f>MAX(0,MIN('01_参数'!$B$20,'02_人物原始合计'!AM89/100,'01_参数'!$B$19+'02_人物原始合计'!AN89/100))</x:f>
        <x:v>0.54</x:v>
      </x:c>
      <x:c r="Q89" s="28" t="n">
        <x:f>((('02_人物原始合计'!E89+('02_人物原始合计'!F89-'02_人物原始合计'!E89)*IF(J89&gt;=12,1,0.5+0.5*MAX(0,J89)/12))*(1+'02_人物原始合计'!Q89/100))*(1+'02_人物原始合计'!U89/100+IF(J89&gt;=15,0.15,0))*(1+'02_人物原始合计'!V89/100)*(1+'02_人物原始合计'!T89)*(1+'02_人物原始合计'!W89*'01_参数'!$B$18)*(1+MAX(0,MIN(1,'02_人物原始合计'!X89/100))*('01_参数'!$B$16+'02_人物原始合计'!Y89/100-1))*(1+MAX(0,MIN(1,'02_人物原始合计'!Z89/100))*('01_参数'!$B$17+'02_人物原始合计'!AA89/100-1))+'02_人物原始合计'!AB89)*N89*'01_参数'!$B$7*'01_参数'!$B$8</x:f>
        <x:v>915053.9781446304</x:v>
      </x:c>
      <x:c r="R89" s="28" t="n">
        <x:f>Q89*'01_参数'!$B$5</x:f>
        <x:v>1830107.9562892609</x:v>
      </x:c>
      <x:c r="S89" s="28" t="n">
        <x:f>(('02_人物原始合计'!E89+('02_人物原始合计'!F89-'02_人物原始合计'!E89)*IF(J89&gt;=12,1,0.5+0.5*MAX(0,J89)/12))*(1+'02_人物原始合计'!Q89/100))*(1+'02_人物原始合计'!U89/100+IF(J89&gt;=15,0.15,0))*(1+'02_人物原始合计'!V89/100)*(1+'02_人物原始合计'!T89)*(1+'02_人物原始合计'!W89*'01_参数'!$B$18)*(1+MAX(0,MIN(1,'02_人物原始合计'!X89/100))*('01_参数'!$B$16+'02_人物原始合计'!Y89/100-1))*(1+MAX(0,MIN(1,'02_人物原始合计'!Z89/100))*('01_参数'!$B$17+'02_人物原始合计'!AA89/100-1))*N89*'01_参数'!$B$7*'01_参数'!$B$8*MAX(0,'02_人物原始合计'!AO89/100)</x:f>
        <x:v>45752.69890723153</x:v>
      </x:c>
      <x:c r="T89" s="28" t="n">
        <x:f>S89*'01_参数'!$B$6</x:f>
        <x:v>59478.50857940099</x:v>
      </x:c>
      <x:c r="U89" s="28" t="n">
        <x:v>0</x:v>
      </x:c>
      <x:c r="V89" s="28" t="n">
        <x:f>T89+U89</x:f>
        <x:v>59478.50857940099</x:v>
      </x:c>
      <x:c r="W89" s="22" t="n">
        <x:v>8</x:v>
      </x:c>
      <x:c r="X89" s="22" t="n">
        <x:v>68</x:v>
      </x:c>
      <x:c r="Y89" s="22" t="str">
        <x:v>C03G04BOSS强装对照</x:v>
      </x:c>
    </x:row>
    <x:row r="90" ht="24" customHeight="1">
      <x:c r="A90" s="22" t="str">
        <x:v>P0086</x:v>
      </x:c>
      <x:c r="B90" s="22" t="n">
        <x:v>3</x:v>
      </x:c>
      <x:c r="C90" s="22" t="n">
        <x:v>4</x:v>
      </x:c>
      <x:c r="D90" s="22" t="str">
        <x:v>古战场遗迹阶段积累后</x:v>
      </x:c>
      <x:c r="E90" s="26" t="n">
        <x:v>0.38369179494436934</x:v>
      </x:c>
      <x:c r="F90" s="22" t="n">
        <x:v>3</x:v>
      </x:c>
      <x:c r="G90" s="22" t="n">
        <x:v>67</x:v>
      </x:c>
      <x:c r="H90" s="22" t="n">
        <x:v>0</x:v>
      </x:c>
      <x:c r="I90" s="22" t="n">
        <x:v>4</x:v>
      </x:c>
      <x:c r="J90" s="22" t="n">
        <x:f>'02_人物原始合计'!AG90+'02_人物原始合计'!AH90</x:f>
        <x:v>15</x:v>
      </x:c>
      <x:c r="K90" s="28" t="n">
        <x:f>'02_人物原始合计'!F90*(1+'02_人物原始合计'!Q90/100)</x:f>
        <x:v>29989.859999999997</x:v>
      </x:c>
      <x:c r="L90" s="28" t="n">
        <x:f>'02_人物原始合计'!K90*(1+'02_人物原始合计'!AV90/100)</x:f>
        <x:v>780400</x:v>
      </x:c>
      <x:c r="M90" s="22" t="n">
        <x:f>MAX(0,MIN(50,'02_人物原始合计'!AD90,20+MIN(30,'02_人物原始合计'!AE90)))</x:f>
        <x:v>26</x:v>
      </x:c>
      <x:c r="N90" s="22" t="n">
        <x:f>IF(M90=0,1.75,IF(M90=10,2.2,IF(M90=20,2.9,IF(M90=30,4.3,IF(M90=40,8.5,IF(M90=50,14.3,IF(M90&lt;=40,1000/('01_参数'!$B$21-'01_参数'!$B$22*M90),1000/(1000/8.5+(M90-40)/10*(1000/14.3-1000/8.5)))))))))</x:f>
        <x:v>3.617573931056102</x:v>
      </x:c>
      <x:c r="O90" s="22" t="n">
        <x:v>338</x:v>
      </x:c>
      <x:c r="P90" s="26" t="n">
        <x:f>MAX(0,MIN('01_参数'!$B$20,'02_人物原始合计'!AM90/100,'01_参数'!$B$19+'02_人物原始合计'!AN90/100))</x:f>
        <x:v>0.45</x:v>
      </x:c>
      <x:c r="Q90" s="28" t="n">
        <x:f>((('02_人物原始合计'!E90+('02_人物原始合计'!F90-'02_人物原始合计'!E90)*IF(J90&gt;=12,1,0.5+0.5*MAX(0,J90)/12))*(1+'02_人物原始合计'!Q90/100))*(1+'02_人物原始合计'!U90/100+IF(J90&gt;=15,0.15,0))*(1+'02_人物原始合计'!V90/100)*(1+'02_人物原始合计'!T90)*(1+'02_人物原始合计'!W90*'01_参数'!$B$18)*(1+MAX(0,MIN(1,'02_人物原始合计'!X90/100))*('01_参数'!$B$16+'02_人物原始合计'!Y90/100-1))*(1+MAX(0,MIN(1,'02_人物原始合计'!Z90/100))*('01_参数'!$B$17+'02_人物原始合计'!AA90/100-1))+'02_人物原始合计'!AB90)*N90*'01_参数'!$B$7*'01_参数'!$B$8</x:f>
        <x:v>676475.7516674289</x:v>
      </x:c>
      <x:c r="R90" s="28" t="n">
        <x:f>Q90*'01_参数'!$B$5</x:f>
        <x:v>1352951.5033348578</x:v>
      </x:c>
      <x:c r="S90" s="28" t="n">
        <x:f>(('02_人物原始合计'!E90+('02_人物原始合计'!F90-'02_人物原始合计'!E90)*IF(J90&gt;=12,1,0.5+0.5*MAX(0,J90)/12))*(1+'02_人物原始合计'!Q90/100))*(1+'02_人物原始合计'!U90/100+IF(J90&gt;=15,0.15,0))*(1+'02_人物原始合计'!V90/100)*(1+'02_人物原始合计'!T90)*(1+'02_人物原始合计'!W90*'01_参数'!$B$18)*(1+MAX(0,MIN(1,'02_人物原始合计'!X90/100))*('01_参数'!$B$16+'02_人物原始合计'!Y90/100-1))*(1+MAX(0,MIN(1,'02_人物原始合计'!Z90/100))*('01_参数'!$B$17+'02_人物原始合计'!AA90/100-1))*N90*'01_参数'!$B$7*'01_参数'!$B$8*MAX(0,'02_人物原始合计'!AO90/100)</x:f>
        <x:v>20294.272550022866</x:v>
      </x:c>
      <x:c r="T90" s="28" t="n">
        <x:f>S90*'01_参数'!$B$6</x:f>
        <x:v>26382.554315029727</x:v>
      </x:c>
      <x:c r="U90" s="28" t="n">
        <x:v>0</x:v>
      </x:c>
      <x:c r="V90" s="28" t="n">
        <x:f>T90+U90</x:f>
        <x:v>26382.554315029727</x:v>
      </x:c>
      <x:c r="W90" s="22" t="n">
        <x:v>8</x:v>
      </x:c>
      <x:c r="X90" s="22" t="n">
        <x:v>70</x:v>
      </x:c>
      <x:c r="Y90" s="22" t="str">
        <x:v>主线</x:v>
      </x:c>
    </x:row>
    <x:row r="91" ht="24" customHeight="1">
      <x:c r="A91" s="22" t="str">
        <x:v>P0087</x:v>
      </x:c>
      <x:c r="B91" s="22" t="n">
        <x:v>3</x:v>
      </x:c>
      <x:c r="C91" s="22" t="n">
        <x:v>5</x:v>
      </x:c>
      <x:c r="D91" s="22" t="str">
        <x:v>C03G05入场</x:v>
      </x:c>
      <x:c r="E91" s="26" t="n">
        <x:v>0.38369179494436934</x:v>
      </x:c>
      <x:c r="F91" s="22" t="n">
        <x:v>3</x:v>
      </x:c>
      <x:c r="G91" s="22" t="n">
        <x:v>67</x:v>
      </x:c>
      <x:c r="H91" s="22" t="n">
        <x:v>0</x:v>
      </x:c>
      <x:c r="I91" s="22" t="n">
        <x:v>4</x:v>
      </x:c>
      <x:c r="J91" s="22" t="n">
        <x:f>'02_人物原始合计'!AG91+'02_人物原始合计'!AH91</x:f>
        <x:v>15</x:v>
      </x:c>
      <x:c r="K91" s="28" t="n">
        <x:f>'02_人物原始合计'!F91*(1+'02_人物原始合计'!Q91/100)</x:f>
        <x:v>29989.859999999997</x:v>
      </x:c>
      <x:c r="L91" s="28" t="n">
        <x:f>'02_人物原始合计'!K91*(1+'02_人物原始合计'!AV91/100)</x:f>
        <x:v>780400</x:v>
      </x:c>
      <x:c r="M91" s="22" t="n">
        <x:f>MAX(0,MIN(50,'02_人物原始合计'!AD91,20+MIN(30,'02_人物原始合计'!AE91)))</x:f>
        <x:v>26</x:v>
      </x:c>
      <x:c r="N91" s="22" t="n">
        <x:f>IF(M91=0,1.75,IF(M91=10,2.2,IF(M91=20,2.9,IF(M91=30,4.3,IF(M91=40,8.5,IF(M91=50,14.3,IF(M91&lt;=40,1000/('01_参数'!$B$21-'01_参数'!$B$22*M91),1000/(1000/8.5+(M91-40)/10*(1000/14.3-1000/8.5)))))))))</x:f>
        <x:v>3.617573931056102</x:v>
      </x:c>
      <x:c r="O91" s="22" t="n">
        <x:v>338</x:v>
      </x:c>
      <x:c r="P91" s="26" t="n">
        <x:f>MAX(0,MIN('01_参数'!$B$20,'02_人物原始合计'!AM91/100,'01_参数'!$B$19+'02_人物原始合计'!AN91/100))</x:f>
        <x:v>0.45</x:v>
      </x:c>
      <x:c r="Q91" s="28" t="n">
        <x:f>((('02_人物原始合计'!E91+('02_人物原始合计'!F91-'02_人物原始合计'!E91)*IF(J91&gt;=12,1,0.5+0.5*MAX(0,J91)/12))*(1+'02_人物原始合计'!Q91/100))*(1+'02_人物原始合计'!U91/100+IF(J91&gt;=15,0.15,0))*(1+'02_人物原始合计'!V91/100)*(1+'02_人物原始合计'!T91)*(1+'02_人物原始合计'!W91*'01_参数'!$B$18)*(1+MAX(0,MIN(1,'02_人物原始合计'!X91/100))*('01_参数'!$B$16+'02_人物原始合计'!Y91/100-1))*(1+MAX(0,MIN(1,'02_人物原始合计'!Z91/100))*('01_参数'!$B$17+'02_人物原始合计'!AA91/100-1))+'02_人物原始合计'!AB91)*N91*'01_参数'!$B$7*'01_参数'!$B$8</x:f>
        <x:v>676475.7516674289</x:v>
      </x:c>
      <x:c r="R91" s="28" t="n">
        <x:f>Q91*'01_参数'!$B$5</x:f>
        <x:v>1352951.5033348578</x:v>
      </x:c>
      <x:c r="S91" s="28" t="n">
        <x:f>(('02_人物原始合计'!E91+('02_人物原始合计'!F91-'02_人物原始合计'!E91)*IF(J91&gt;=12,1,0.5+0.5*MAX(0,J91)/12))*(1+'02_人物原始合计'!Q91/100))*(1+'02_人物原始合计'!U91/100+IF(J91&gt;=15,0.15,0))*(1+'02_人物原始合计'!V91/100)*(1+'02_人物原始合计'!T91)*(1+'02_人物原始合计'!W91*'01_参数'!$B$18)*(1+MAX(0,MIN(1,'02_人物原始合计'!X91/100))*('01_参数'!$B$16+'02_人物原始合计'!Y91/100-1))*(1+MAX(0,MIN(1,'02_人物原始合计'!Z91/100))*('01_参数'!$B$17+'02_人物原始合计'!AA91/100-1))*N91*'01_参数'!$B$7*'01_参数'!$B$8*MAX(0,'02_人物原始合计'!AO91/100)</x:f>
        <x:v>20294.272550022866</x:v>
      </x:c>
      <x:c r="T91" s="28" t="n">
        <x:f>S91*'01_参数'!$B$6</x:f>
        <x:v>26382.554315029727</x:v>
      </x:c>
      <x:c r="U91" s="28" t="n">
        <x:v>0</x:v>
      </x:c>
      <x:c r="V91" s="28" t="n">
        <x:f>T91+U91</x:f>
        <x:v>26382.554315029727</x:v>
      </x:c>
      <x:c r="W91" s="22" t="n">
        <x:v>8</x:v>
      </x:c>
      <x:c r="X91" s="22" t="n">
        <x:v>70</x:v>
      </x:c>
      <x:c r="Y91" s="22" t="str">
        <x:v>主线</x:v>
      </x:c>
    </x:row>
    <x:row r="92" ht="24" customHeight="1">
      <x:c r="A92" s="22" t="str">
        <x:v>P0088</x:v>
      </x:c>
      <x:c r="B92" s="22" t="n">
        <x:v>3</x:v>
      </x:c>
      <x:c r="C92" s="22" t="n">
        <x:v>5</x:v>
      </x:c>
      <x:c r="D92" s="22" t="str">
        <x:v>C03G05普通专属4/6</x:v>
      </x:c>
      <x:c r="E92" s="26" t="n">
        <x:v>0.38428620727577595</x:v>
      </x:c>
      <x:c r="F92" s="22" t="n">
        <x:v>3</x:v>
      </x:c>
      <x:c r="G92" s="22" t="n">
        <x:v>67</x:v>
      </x:c>
      <x:c r="H92" s="22" t="n">
        <x:v>0</x:v>
      </x:c>
      <x:c r="I92" s="22" t="n">
        <x:v>4</x:v>
      </x:c>
      <x:c r="J92" s="22" t="n">
        <x:f>'02_人物原始合计'!AG92+'02_人物原始合计'!AH92</x:f>
        <x:v>15</x:v>
      </x:c>
      <x:c r="K92" s="28" t="n">
        <x:f>'02_人物原始合计'!F92*(1+'02_人物原始合计'!Q92/100)</x:f>
        <x:v>30074.819999999996</x:v>
      </x:c>
      <x:c r="L92" s="28" t="n">
        <x:f>'02_人物原始合计'!K92*(1+'02_人物原始合计'!AV92/100)</x:f>
        <x:v>782100</x:v>
      </x:c>
      <x:c r="M92" s="22" t="n">
        <x:f>MAX(0,MIN(50,'02_人物原始合计'!AD92,20+MIN(30,'02_人物原始合计'!AE92)))</x:f>
        <x:v>26</x:v>
      </x:c>
      <x:c r="N92" s="22" t="n">
        <x:f>IF(M92=0,1.75,IF(M92=10,2.2,IF(M92=20,2.9,IF(M92=30,4.3,IF(M92=40,8.5,IF(M92=50,14.3,IF(M92&lt;=40,1000/('01_参数'!$B$21-'01_参数'!$B$22*M92),1000/(1000/8.5+(M92-40)/10*(1000/14.3-1000/8.5)))))))))</x:f>
        <x:v>3.617573931056102</x:v>
      </x:c>
      <x:c r="O92" s="22" t="n">
        <x:v>338</x:v>
      </x:c>
      <x:c r="P92" s="26" t="n">
        <x:f>MAX(0,MIN('01_参数'!$B$20,'02_人物原始合计'!AM92/100,'01_参数'!$B$19+'02_人物原始合计'!AN92/100))</x:f>
        <x:v>0.45</x:v>
      </x:c>
      <x:c r="Q92" s="28" t="n">
        <x:f>((('02_人物原始合计'!E92+('02_人物原始合计'!F92-'02_人物原始合计'!E92)*IF(J92&gt;=12,1,0.5+0.5*MAX(0,J92)/12))*(1+'02_人物原始合计'!Q92/100))*(1+'02_人物原始合计'!U92/100+IF(J92&gt;=15,0.15,0))*(1+'02_人物原始合计'!V92/100)*(1+'02_人物原始合计'!T92)*(1+'02_人物原始合计'!W92*'01_参数'!$B$18)*(1+MAX(0,MIN(1,'02_人物原始合计'!X92/100))*('01_参数'!$B$16+'02_人物原始合计'!Y92/100-1))*(1+MAX(0,MIN(1,'02_人物原始合计'!Z92/100))*('01_参数'!$B$17+'02_人物原始合计'!AA92/100-1))+'02_人物原始合计'!AB92)*N92*'01_参数'!$B$7*'01_参数'!$B$8</x:f>
        <x:v>678392.1787485045</x:v>
      </x:c>
      <x:c r="R92" s="28" t="n">
        <x:f>Q92*'01_参数'!$B$5</x:f>
        <x:v>1356784.357497009</x:v>
      </x:c>
      <x:c r="S92" s="28" t="n">
        <x:f>(('02_人物原始合计'!E92+('02_人物原始合计'!F92-'02_人物原始合计'!E92)*IF(J92&gt;=12,1,0.5+0.5*MAX(0,J92)/12))*(1+'02_人物原始合计'!Q92/100))*(1+'02_人物原始合计'!U92/100+IF(J92&gt;=15,0.15,0))*(1+'02_人物原始合计'!V92/100)*(1+'02_人物原始合计'!T92)*(1+'02_人物原始合计'!W92*'01_参数'!$B$18)*(1+MAX(0,MIN(1,'02_人物原始合计'!X92/100))*('01_参数'!$B$16+'02_人物原始合计'!Y92/100-1))*(1+MAX(0,MIN(1,'02_人物原始合计'!Z92/100))*('01_参数'!$B$17+'02_人物原始合计'!AA92/100-1))*N92*'01_参数'!$B$7*'01_参数'!$B$8*MAX(0,'02_人物原始合计'!AO92/100)</x:f>
        <x:v>20351.765362455135</x:v>
      </x:c>
      <x:c r="T92" s="28" t="n">
        <x:f>S92*'01_参数'!$B$6</x:f>
        <x:v>26457.294971191677</x:v>
      </x:c>
      <x:c r="U92" s="28" t="n">
        <x:v>0</x:v>
      </x:c>
      <x:c r="V92" s="28" t="n">
        <x:f>T92+U92</x:f>
        <x:v>26457.294971191677</x:v>
      </x:c>
      <x:c r="W92" s="22" t="n">
        <x:v>8</x:v>
      </x:c>
      <x:c r="X92" s="22" t="n">
        <x:v>70</x:v>
      </x:c>
      <x:c r="Y92" s="22" t="str">
        <x:v>主线</x:v>
      </x:c>
    </x:row>
    <x:row r="93" ht="24" customHeight="1">
      <x:c r="A93" s="22" t="str">
        <x:v>P0089</x:v>
      </x:c>
      <x:c r="B93" s="22" t="n">
        <x:v>3</x:v>
      </x:c>
      <x:c r="C93" s="22" t="n">
        <x:v>5</x:v>
      </x:c>
      <x:c r="D93" s="22" t="str">
        <x:v>无归守将·布兰挑战前</x:v>
      </x:c>
      <x:c r="E93" s="26" t="n">
        <x:v>0.38428620727577595</x:v>
      </x:c>
      <x:c r="F93" s="22" t="n">
        <x:v>3</x:v>
      </x:c>
      <x:c r="G93" s="22" t="n">
        <x:v>72</x:v>
      </x:c>
      <x:c r="H93" s="22" t="n">
        <x:v>0</x:v>
      </x:c>
      <x:c r="I93" s="22" t="n">
        <x:v>4</x:v>
      </x:c>
      <x:c r="J93" s="22" t="n">
        <x:f>'02_人物原始合计'!AG93+'02_人物原始合计'!AH93</x:f>
        <x:v>15</x:v>
      </x:c>
      <x:c r="K93" s="28" t="n">
        <x:f>'02_人物原始合计'!F93*(1+'02_人物原始合计'!Q93/100)</x:f>
        <x:v>31831.819999999996</x:v>
      </x:c>
      <x:c r="L93" s="28" t="n">
        <x:f>'02_人物原始合计'!K93*(1+'02_人物原始合计'!AV93/100)</x:f>
        <x:v>817100</x:v>
      </x:c>
      <x:c r="M93" s="22" t="n">
        <x:f>MAX(0,MIN(50,'02_人物原始合计'!AD93,20+MIN(30,'02_人物原始合计'!AE93)))</x:f>
        <x:v>26</x:v>
      </x:c>
      <x:c r="N93" s="22" t="n">
        <x:f>IF(M93=0,1.75,IF(M93=10,2.2,IF(M93=20,2.9,IF(M93=30,4.3,IF(M93=40,8.5,IF(M93=50,14.3,IF(M93&lt;=40,1000/('01_参数'!$B$21-'01_参数'!$B$22*M93),1000/(1000/8.5+(M93-40)/10*(1000/14.3-1000/8.5)))))))))</x:f>
        <x:v>3.617573931056102</x:v>
      </x:c>
      <x:c r="O93" s="22" t="n">
        <x:v>338</x:v>
      </x:c>
      <x:c r="P93" s="26" t="n">
        <x:f>MAX(0,MIN('01_参数'!$B$20,'02_人物原始合计'!AM93/100,'01_参数'!$B$19+'02_人物原始合计'!AN93/100))</x:f>
        <x:v>0.45</x:v>
      </x:c>
      <x:c r="Q93" s="28" t="n">
        <x:f>((('02_人物原始合计'!E93+('02_人物原始合计'!F93-'02_人物原始合计'!E93)*IF(J93&gt;=12,1,0.5+0.5*MAX(0,J93)/12))*(1+'02_人物原始合计'!Q93/100))*(1+'02_人物原始合计'!U93/100+IF(J93&gt;=15,0.15,0))*(1+'02_人物原始合计'!V93/100)*(1+'02_人物原始合计'!T93)*(1+'02_人物原始合计'!W93*'01_参数'!$B$18)*(1+MAX(0,MIN(1,'02_人物原始合计'!X93/100))*('01_参数'!$B$16+'02_人物原始合计'!Y93/100-1))*(1+MAX(0,MIN(1,'02_人物原始合计'!Z93/100))*('01_参数'!$B$17+'02_人物原始合计'!AA93/100-1))+'02_人物原始合计'!AB93)*N93*'01_参数'!$B$7*'01_参数'!$B$8</x:f>
        <x:v>718024.5043305401</x:v>
      </x:c>
      <x:c r="R93" s="28" t="n">
        <x:f>Q93*'01_参数'!$B$5</x:f>
        <x:v>1436049.0086610802</x:v>
      </x:c>
      <x:c r="S93" s="28" t="n">
        <x:f>(('02_人物原始合计'!E93+('02_人物原始合计'!F93-'02_人物原始合计'!E93)*IF(J93&gt;=12,1,0.5+0.5*MAX(0,J93)/12))*(1+'02_人物原始合计'!Q93/100))*(1+'02_人物原始合计'!U93/100+IF(J93&gt;=15,0.15,0))*(1+'02_人物原始合计'!V93/100)*(1+'02_人物原始合计'!T93)*(1+'02_人物原始合计'!W93*'01_参数'!$B$18)*(1+MAX(0,MIN(1,'02_人物原始合计'!X93/100))*('01_参数'!$B$16+'02_人物原始合计'!Y93/100-1))*(1+MAX(0,MIN(1,'02_人物原始合计'!Z93/100))*('01_参数'!$B$17+'02_人物原始合计'!AA93/100-1))*N93*'01_参数'!$B$7*'01_参数'!$B$8*MAX(0,'02_人物原始合计'!AO93/100)</x:f>
        <x:v>21540.7351299162</x:v>
      </x:c>
      <x:c r="T93" s="28" t="n">
        <x:f>S93*'01_参数'!$B$6</x:f>
        <x:v>28002.95566889106</x:v>
      </x:c>
      <x:c r="U93" s="28" t="n">
        <x:v>0</x:v>
      </x:c>
      <x:c r="V93" s="28" t="n">
        <x:f>T93+U93</x:f>
        <x:v>28002.95566889106</x:v>
      </x:c>
      <x:c r="W93" s="22" t="n">
        <x:v>8</x:v>
      </x:c>
      <x:c r="X93" s="22" t="n">
        <x:v>70</x:v>
      </x:c>
      <x:c r="Y93" s="22" t="str">
        <x:v>主线</x:v>
      </x:c>
    </x:row>
    <x:row r="94" ht="24" customHeight="1">
      <x:c r="A94" s="22" t="str">
        <x:v>P0090</x:v>
      </x:c>
      <x:c r="B94" s="22" t="n">
        <x:v>3</x:v>
      </x:c>
      <x:c r="C94" s="22" t="n">
        <x:v>5</x:v>
      </x:c>
      <x:c r="D94" s="22" t="str">
        <x:v>古垒石王·迦姆挑战前</x:v>
      </x:c>
      <x:c r="E94" s="26" t="n">
        <x:v>0.38428620727577595</x:v>
      </x:c>
      <x:c r="F94" s="22" t="n">
        <x:v>3</x:v>
      </x:c>
      <x:c r="G94" s="22" t="n">
        <x:v>72</x:v>
      </x:c>
      <x:c r="H94" s="22" t="n">
        <x:v>0</x:v>
      </x:c>
      <x:c r="I94" s="22" t="n">
        <x:v>4</x:v>
      </x:c>
      <x:c r="J94" s="22" t="n">
        <x:f>'02_人物原始合计'!AG94+'02_人物原始合计'!AH94</x:f>
        <x:v>15</x:v>
      </x:c>
      <x:c r="K94" s="28" t="n">
        <x:f>'02_人物原始合计'!F94*(1+'02_人物原始合计'!Q94/100)</x:f>
        <x:v>31831.819999999996</x:v>
      </x:c>
      <x:c r="L94" s="28" t="n">
        <x:f>'02_人物原始合计'!K94*(1+'02_人物原始合计'!AV94/100)</x:f>
        <x:v>817100</x:v>
      </x:c>
      <x:c r="M94" s="22" t="n">
        <x:f>MAX(0,MIN(50,'02_人物原始合计'!AD94,20+MIN(30,'02_人物原始合计'!AE94)))</x:f>
        <x:v>26</x:v>
      </x:c>
      <x:c r="N94" s="22" t="n">
        <x:f>IF(M94=0,1.75,IF(M94=10,2.2,IF(M94=20,2.9,IF(M94=30,4.3,IF(M94=40,8.5,IF(M94=50,14.3,IF(M94&lt;=40,1000/('01_参数'!$B$21-'01_参数'!$B$22*M94),1000/(1000/8.5+(M94-40)/10*(1000/14.3-1000/8.5)))))))))</x:f>
        <x:v>3.617573931056102</x:v>
      </x:c>
      <x:c r="O94" s="22" t="n">
        <x:v>338</x:v>
      </x:c>
      <x:c r="P94" s="26" t="n">
        <x:f>MAX(0,MIN('01_参数'!$B$20,'02_人物原始合计'!AM94/100,'01_参数'!$B$19+'02_人物原始合计'!AN94/100))</x:f>
        <x:v>0.45</x:v>
      </x:c>
      <x:c r="Q94" s="28" t="n">
        <x:f>((('02_人物原始合计'!E94+('02_人物原始合计'!F94-'02_人物原始合计'!E94)*IF(J94&gt;=12,1,0.5+0.5*MAX(0,J94)/12))*(1+'02_人物原始合计'!Q94/100))*(1+'02_人物原始合计'!U94/100+IF(J94&gt;=15,0.15,0))*(1+'02_人物原始合计'!V94/100)*(1+'02_人物原始合计'!T94)*(1+'02_人物原始合计'!W94*'01_参数'!$B$18)*(1+MAX(0,MIN(1,'02_人物原始合计'!X94/100))*('01_参数'!$B$16+'02_人物原始合计'!Y94/100-1))*(1+MAX(0,MIN(1,'02_人物原始合计'!Z94/100))*('01_参数'!$B$17+'02_人物原始合计'!AA94/100-1))+'02_人物原始合计'!AB94)*N94*'01_参数'!$B$7*'01_参数'!$B$8</x:f>
        <x:v>718024.5043305401</x:v>
      </x:c>
      <x:c r="R94" s="28" t="n">
        <x:f>Q94*'01_参数'!$B$5</x:f>
        <x:v>1436049.0086610802</x:v>
      </x:c>
      <x:c r="S94" s="28" t="n">
        <x:f>(('02_人物原始合计'!E94+('02_人物原始合计'!F94-'02_人物原始合计'!E94)*IF(J94&gt;=12,1,0.5+0.5*MAX(0,J94)/12))*(1+'02_人物原始合计'!Q94/100))*(1+'02_人物原始合计'!U94/100+IF(J94&gt;=15,0.15,0))*(1+'02_人物原始合计'!V94/100)*(1+'02_人物原始合计'!T94)*(1+'02_人物原始合计'!W94*'01_参数'!$B$18)*(1+MAX(0,MIN(1,'02_人物原始合计'!X94/100))*('01_参数'!$B$16+'02_人物原始合计'!Y94/100-1))*(1+MAX(0,MIN(1,'02_人物原始合计'!Z94/100))*('01_参数'!$B$17+'02_人物原始合计'!AA94/100-1))*N94*'01_参数'!$B$7*'01_参数'!$B$8*MAX(0,'02_人物原始合计'!AO94/100)</x:f>
        <x:v>21540.7351299162</x:v>
      </x:c>
      <x:c r="T94" s="28" t="n">
        <x:f>S94*'01_参数'!$B$6</x:f>
        <x:v>28002.95566889106</x:v>
      </x:c>
      <x:c r="U94" s="28" t="n">
        <x:v>0</x:v>
      </x:c>
      <x:c r="V94" s="28" t="n">
        <x:f>T94+U94</x:f>
        <x:v>28002.95566889106</x:v>
      </x:c>
      <x:c r="W94" s="22" t="n">
        <x:v>8</x:v>
      </x:c>
      <x:c r="X94" s="22" t="n">
        <x:v>70</x:v>
      </x:c>
      <x:c r="Y94" s="22" t="str">
        <x:v>主线</x:v>
      </x:c>
    </x:row>
    <x:row r="95" ht="24" customHeight="1">
      <x:c r="A95" s="22" t="str">
        <x:v>P0091</x:v>
      </x:c>
      <x:c r="B95" s="22" t="n">
        <x:v>3</x:v>
      </x:c>
      <x:c r="C95" s="22" t="n">
        <x:v>5</x:v>
      </x:c>
      <x:c r="D95" s="22" t="str">
        <x:v>风蚀古垒BOSS装备快线</x:v>
      </x:c>
      <x:c r="E95" s="26" t="n">
        <x:v>0.3920795308940404</x:v>
      </x:c>
      <x:c r="F95" s="22" t="n">
        <x:v>3</x:v>
      </x:c>
      <x:c r="G95" s="22" t="n">
        <x:v>72</x:v>
      </x:c>
      <x:c r="H95" s="22" t="n">
        <x:v>0</x:v>
      </x:c>
      <x:c r="I95" s="22" t="n">
        <x:v>4</x:v>
      </x:c>
      <x:c r="J95" s="22" t="n">
        <x:f>'02_人物原始合计'!AG95+'02_人物原始合计'!AH95</x:f>
        <x:v>15</x:v>
      </x:c>
      <x:c r="K95" s="28" t="n">
        <x:f>'02_人物原始合计'!F95*(1+'02_人物原始合计'!Q95/100)</x:f>
        <x:v>34482.08</x:v>
      </x:c>
      <x:c r="L95" s="28" t="n">
        <x:f>'02_人物原始合计'!K95*(1+'02_人物原始合计'!AV95/100)</x:f>
        <x:v>992118.0000000001</x:v>
      </x:c>
      <x:c r="M95" s="22" t="n">
        <x:f>MAX(0,MIN(50,'02_人物原始合计'!AD95,20+MIN(30,'02_人物原始合计'!AE95)))</x:f>
        <x:v>27</x:v>
      </x:c>
      <x:c r="N95" s="22" t="n">
        <x:f>IF(M95=0,1.75,IF(M95=10,2.2,IF(M95=20,2.9,IF(M95=30,4.3,IF(M95=40,8.5,IF(M95=50,14.3,IF(M95&lt;=40,1000/('01_参数'!$B$21-'01_参数'!$B$22*M95),1000/(1000/8.5+(M95-40)/10*(1000/14.3-1000/8.5)))))))))</x:f>
        <x:v>3.7716940913647403</x:v>
      </x:c>
      <x:c r="O95" s="22" t="n">
        <x:v>355</x:v>
      </x:c>
      <x:c r="P95" s="26" t="n">
        <x:f>MAX(0,MIN('01_参数'!$B$20,'02_人物原始合计'!AM95/100,'01_参数'!$B$19+'02_人物原始合计'!AN95/100))</x:f>
        <x:v>0.54</x:v>
      </x:c>
      <x:c r="Q95" s="28" t="n">
        <x:f>((('02_人物原始合计'!E95+('02_人物原始合计'!F95-'02_人物原始合计'!E95)*IF(J95&gt;=12,1,0.5+0.5*MAX(0,J95)/12))*(1+'02_人物原始合计'!Q95/100))*(1+'02_人物原始合计'!U95/100+IF(J95&gt;=15,0.15,0))*(1+'02_人物原始合计'!V95/100)*(1+'02_人物原始合计'!T95)*(1+'02_人物原始合计'!W95*'01_参数'!$B$18)*(1+MAX(0,MIN(1,'02_人物原始合计'!X95/100))*('01_参数'!$B$16+'02_人物原始合计'!Y95/100-1))*(1+MAX(0,MIN(1,'02_人物原始合计'!Z95/100))*('01_参数'!$B$17+'02_人物原始合计'!AA95/100-1))+'02_人物原始合计'!AB95)*N95*'01_参数'!$B$7*'01_参数'!$B$8</x:f>
        <x:v>968337.7753167555</x:v>
      </x:c>
      <x:c r="R95" s="28" t="n">
        <x:f>Q95*'01_参数'!$B$5</x:f>
        <x:v>1936675.550633511</x:v>
      </x:c>
      <x:c r="S95" s="28" t="n">
        <x:f>(('02_人物原始合计'!E95+('02_人物原始合计'!F95-'02_人物原始合计'!E95)*IF(J95&gt;=12,1,0.5+0.5*MAX(0,J95)/12))*(1+'02_人物原始合计'!Q95/100))*(1+'02_人物原始合计'!U95/100+IF(J95&gt;=15,0.15,0))*(1+'02_人物原始合计'!V95/100)*(1+'02_人物原始合计'!T95)*(1+'02_人物原始合计'!W95*'01_参数'!$B$18)*(1+MAX(0,MIN(1,'02_人物原始合计'!X95/100))*('01_参数'!$B$16+'02_人物原始合计'!Y95/100-1))*(1+MAX(0,MIN(1,'02_人物原始合计'!Z95/100))*('01_参数'!$B$17+'02_人物原始合计'!AA95/100-1))*N95*'01_参数'!$B$7*'01_参数'!$B$8*MAX(0,'02_人物原始合计'!AO95/100)</x:f>
        <x:v>48416.88876583778</x:v>
      </x:c>
      <x:c r="T95" s="28" t="n">
        <x:f>S95*'01_参数'!$B$6</x:f>
        <x:v>62941.95539558912</x:v>
      </x:c>
      <x:c r="U95" s="28" t="n">
        <x:v>0</x:v>
      </x:c>
      <x:c r="V95" s="28" t="n">
        <x:f>T95+U95</x:f>
        <x:v>62941.95539558912</x:v>
      </x:c>
      <x:c r="W95" s="22" t="n">
        <x:v>8</x:v>
      </x:c>
      <x:c r="X95" s="22" t="n">
        <x:v>70</x:v>
      </x:c>
      <x:c r="Y95" s="22" t="str">
        <x:v>C03G05BOSS强装对照</x:v>
      </x:c>
    </x:row>
    <x:row r="96" ht="24" customHeight="1">
      <x:c r="A96" s="22" t="str">
        <x:v>P0092</x:v>
      </x:c>
      <x:c r="B96" s="22" t="n">
        <x:v>3</x:v>
      </x:c>
      <x:c r="C96" s="22" t="n">
        <x:v>5</x:v>
      </x:c>
      <x:c r="D96" s="22" t="str">
        <x:v>风蚀古垒阶段积累后</x:v>
      </x:c>
      <x:c r="E96" s="26" t="n">
        <x:v>0.3930362072757759</x:v>
      </x:c>
      <x:c r="F96" s="22" t="n">
        <x:v>3</x:v>
      </x:c>
      <x:c r="G96" s="22" t="n">
        <x:v>72</x:v>
      </x:c>
      <x:c r="H96" s="22" t="n">
        <x:v>0</x:v>
      </x:c>
      <x:c r="I96" s="22" t="n">
        <x:v>4</x:v>
      </x:c>
      <x:c r="J96" s="22" t="n">
        <x:f>'02_人物原始合计'!AG96+'02_人物原始合计'!AH96</x:f>
        <x:v>15</x:v>
      </x:c>
      <x:c r="K96" s="28" t="n">
        <x:f>'02_人物原始合计'!F96*(1+'02_人物原始合计'!Q96/100)</x:f>
        <x:v>31907.12</x:v>
      </x:c>
      <x:c r="L96" s="28" t="n">
        <x:f>'02_人物原始合计'!K96*(1+'02_人物原始合计'!AV96/100)</x:f>
        <x:v>818600</x:v>
      </x:c>
      <x:c r="M96" s="22" t="n">
        <x:f>MAX(0,MIN(50,'02_人物原始合计'!AD96,20+MIN(30,'02_人物原始合计'!AE96)))</x:f>
        <x:v>26</x:v>
      </x:c>
      <x:c r="N96" s="22" t="n">
        <x:f>IF(M96=0,1.75,IF(M96=10,2.2,IF(M96=20,2.9,IF(M96=30,4.3,IF(M96=40,8.5,IF(M96=50,14.3,IF(M96&lt;=40,1000/('01_参数'!$B$21-'01_参数'!$B$22*M96),1000/(1000/8.5+(M96-40)/10*(1000/14.3-1000/8.5)))))))))</x:f>
        <x:v>3.617573931056102</x:v>
      </x:c>
      <x:c r="O96" s="22" t="n">
        <x:v>338</x:v>
      </x:c>
      <x:c r="P96" s="26" t="n">
        <x:f>MAX(0,MIN('01_参数'!$B$20,'02_人物原始合计'!AM96/100,'01_参数'!$B$19+'02_人物原始合计'!AN96/100))</x:f>
        <x:v>0.45</x:v>
      </x:c>
      <x:c r="Q96" s="28" t="n">
        <x:f>((('02_人物原始合计'!E96+('02_人物原始合计'!F96-'02_人物原始合计'!E96)*IF(J96&gt;=12,1,0.5+0.5*MAX(0,J96)/12))*(1+'02_人物原始合计'!Q96/100))*(1+'02_人物原始合计'!U96/100+IF(J96&gt;=15,0.15,0))*(1+'02_人物原始合计'!V96/100)*(1+'02_人物原始合计'!T96)*(1+'02_人物原始合计'!W96*'01_参数'!$B$18)*(1+MAX(0,MIN(1,'02_人物原始合计'!X96/100))*('01_参数'!$B$16+'02_人物原始合计'!Y96/100-1))*(1+MAX(0,MIN(1,'02_人物原始合计'!Z96/100))*('01_参数'!$B$17+'02_人物原始合计'!AA96/100-1))+'02_人物原始合计'!AB96)*N96*'01_参数'!$B$7*'01_参数'!$B$8</x:f>
        <x:v>719723.0325697702</x:v>
      </x:c>
      <x:c r="R96" s="28" t="n">
        <x:f>Q96*'01_参数'!$B$5</x:f>
        <x:v>1439446.0651395405</x:v>
      </x:c>
      <x:c r="S96" s="28" t="n">
        <x:f>(('02_人物原始合计'!E96+('02_人物原始合计'!F96-'02_人物原始合计'!E96)*IF(J96&gt;=12,1,0.5+0.5*MAX(0,J96)/12))*(1+'02_人物原始合计'!Q96/100))*(1+'02_人物原始合计'!U96/100+IF(J96&gt;=15,0.15,0))*(1+'02_人物原始合计'!V96/100)*(1+'02_人物原始合计'!T96)*(1+'02_人物原始合计'!W96*'01_参数'!$B$18)*(1+MAX(0,MIN(1,'02_人物原始合计'!X96/100))*('01_参数'!$B$16+'02_人物原始合计'!Y96/100-1))*(1+MAX(0,MIN(1,'02_人物原始合计'!Z96/100))*('01_参数'!$B$17+'02_人物原始合计'!AA96/100-1))*N96*'01_参数'!$B$7*'01_参数'!$B$8*MAX(0,'02_人物原始合计'!AO96/100)</x:f>
        <x:v>21591.690977093105</x:v>
      </x:c>
      <x:c r="T96" s="28" t="n">
        <x:f>S96*'01_参数'!$B$6</x:f>
        <x:v>28069.198270221037</x:v>
      </x:c>
      <x:c r="U96" s="28" t="n">
        <x:v>0</x:v>
      </x:c>
      <x:c r="V96" s="28" t="n">
        <x:f>T96+U96</x:f>
        <x:v>28069.198270221037</x:v>
      </x:c>
      <x:c r="W96" s="22" t="n">
        <x:v>8</x:v>
      </x:c>
      <x:c r="X96" s="22" t="n">
        <x:v>72</x:v>
      </x:c>
      <x:c r="Y96" s="22" t="str">
        <x:v>主线</x:v>
      </x:c>
    </x:row>
    <x:row r="97" ht="24" customHeight="1">
      <x:c r="A97" s="22" t="str">
        <x:v>P0093</x:v>
      </x:c>
      <x:c r="B97" s="22" t="n">
        <x:v>3</x:v>
      </x:c>
      <x:c r="C97" s="22" t="n">
        <x:v>6</x:v>
      </x:c>
      <x:c r="D97" s="22" t="str">
        <x:v>C03G06入场</x:v>
      </x:c>
      <x:c r="E97" s="26" t="n">
        <x:v>0.3930362072757759</x:v>
      </x:c>
      <x:c r="F97" s="22" t="n">
        <x:v>3</x:v>
      </x:c>
      <x:c r="G97" s="22" t="n">
        <x:v>72</x:v>
      </x:c>
      <x:c r="H97" s="22" t="n">
        <x:v>0</x:v>
      </x:c>
      <x:c r="I97" s="22" t="n">
        <x:v>4</x:v>
      </x:c>
      <x:c r="J97" s="22" t="n">
        <x:f>'02_人物原始合计'!AG97+'02_人物原始合计'!AH97</x:f>
        <x:v>15</x:v>
      </x:c>
      <x:c r="K97" s="28" t="n">
        <x:f>'02_人物原始合计'!F97*(1+'02_人物原始合计'!Q97/100)</x:f>
        <x:v>31907.12</x:v>
      </x:c>
      <x:c r="L97" s="28" t="n">
        <x:f>'02_人物原始合计'!K97*(1+'02_人物原始合计'!AV97/100)</x:f>
        <x:v>818600</x:v>
      </x:c>
      <x:c r="M97" s="22" t="n">
        <x:f>MAX(0,MIN(50,'02_人物原始合计'!AD97,20+MIN(30,'02_人物原始合计'!AE97)))</x:f>
        <x:v>26</x:v>
      </x:c>
      <x:c r="N97" s="22" t="n">
        <x:f>IF(M97=0,1.75,IF(M97=10,2.2,IF(M97=20,2.9,IF(M97=30,4.3,IF(M97=40,8.5,IF(M97=50,14.3,IF(M97&lt;=40,1000/('01_参数'!$B$21-'01_参数'!$B$22*M97),1000/(1000/8.5+(M97-40)/10*(1000/14.3-1000/8.5)))))))))</x:f>
        <x:v>3.617573931056102</x:v>
      </x:c>
      <x:c r="O97" s="22" t="n">
        <x:v>338</x:v>
      </x:c>
      <x:c r="P97" s="26" t="n">
        <x:f>MAX(0,MIN('01_参数'!$B$20,'02_人物原始合计'!AM97/100,'01_参数'!$B$19+'02_人物原始合计'!AN97/100))</x:f>
        <x:v>0.45</x:v>
      </x:c>
      <x:c r="Q97" s="28" t="n">
        <x:f>((('02_人物原始合计'!E97+('02_人物原始合计'!F97-'02_人物原始合计'!E97)*IF(J97&gt;=12,1,0.5+0.5*MAX(0,J97)/12))*(1+'02_人物原始合计'!Q97/100))*(1+'02_人物原始合计'!U97/100+IF(J97&gt;=15,0.15,0))*(1+'02_人物原始合计'!V97/100)*(1+'02_人物原始合计'!T97)*(1+'02_人物原始合计'!W97*'01_参数'!$B$18)*(1+MAX(0,MIN(1,'02_人物原始合计'!X97/100))*('01_参数'!$B$16+'02_人物原始合计'!Y97/100-1))*(1+MAX(0,MIN(1,'02_人物原始合计'!Z97/100))*('01_参数'!$B$17+'02_人物原始合计'!AA97/100-1))+'02_人物原始合计'!AB97)*N97*'01_参数'!$B$7*'01_参数'!$B$8</x:f>
        <x:v>719723.0325697702</x:v>
      </x:c>
      <x:c r="R97" s="28" t="n">
        <x:f>Q97*'01_参数'!$B$5</x:f>
        <x:v>1439446.0651395405</x:v>
      </x:c>
      <x:c r="S97" s="28" t="n">
        <x:f>(('02_人物原始合计'!E97+('02_人物原始合计'!F97-'02_人物原始合计'!E97)*IF(J97&gt;=12,1,0.5+0.5*MAX(0,J97)/12))*(1+'02_人物原始合计'!Q97/100))*(1+'02_人物原始合计'!U97/100+IF(J97&gt;=15,0.15,0))*(1+'02_人物原始合计'!V97/100)*(1+'02_人物原始合计'!T97)*(1+'02_人物原始合计'!W97*'01_参数'!$B$18)*(1+MAX(0,MIN(1,'02_人物原始合计'!X97/100))*('01_参数'!$B$16+'02_人物原始合计'!Y97/100-1))*(1+MAX(0,MIN(1,'02_人物原始合计'!Z97/100))*('01_参数'!$B$17+'02_人物原始合计'!AA97/100-1))*N97*'01_参数'!$B$7*'01_参数'!$B$8*MAX(0,'02_人物原始合计'!AO97/100)</x:f>
        <x:v>21591.690977093105</x:v>
      </x:c>
      <x:c r="T97" s="28" t="n">
        <x:f>S97*'01_参数'!$B$6</x:f>
        <x:v>28069.198270221037</x:v>
      </x:c>
      <x:c r="U97" s="28" t="n">
        <x:v>0</x:v>
      </x:c>
      <x:c r="V97" s="28" t="n">
        <x:f>T97+U97</x:f>
        <x:v>28069.198270221037</x:v>
      </x:c>
      <x:c r="W97" s="22" t="n">
        <x:v>8</x:v>
      </x:c>
      <x:c r="X97" s="22" t="n">
        <x:v>72</x:v>
      </x:c>
      <x:c r="Y97" s="22" t="str">
        <x:v>主线</x:v>
      </x:c>
    </x:row>
    <x:row r="98" ht="24" customHeight="1">
      <x:c r="A98" s="22" t="str">
        <x:v>P0094</x:v>
      </x:c>
      <x:c r="B98" s="22" t="n">
        <x:v>3</x:v>
      </x:c>
      <x:c r="C98" s="22" t="n">
        <x:v>6</x:v>
      </x:c>
      <x:c r="D98" s="22" t="str">
        <x:v>C03G06普通专属4/6</x:v>
      </x:c>
      <x:c r="E98" s="26" t="n">
        <x:v>0.3930362072757759</x:v>
      </x:c>
      <x:c r="F98" s="22" t="n">
        <x:v>3</x:v>
      </x:c>
      <x:c r="G98" s="22" t="n">
        <x:v>72</x:v>
      </x:c>
      <x:c r="H98" s="22" t="n">
        <x:v>0</x:v>
      </x:c>
      <x:c r="I98" s="22" t="n">
        <x:v>4</x:v>
      </x:c>
      <x:c r="J98" s="22" t="n">
        <x:f>'02_人物原始合计'!AG98+'02_人物原始合计'!AH98</x:f>
        <x:v>15</x:v>
      </x:c>
      <x:c r="K98" s="28" t="n">
        <x:f>'02_人物原始合计'!F98*(1+'02_人物原始合计'!Q98/100)</x:f>
        <x:v>31907.12</x:v>
      </x:c>
      <x:c r="L98" s="28" t="n">
        <x:f>'02_人物原始合计'!K98*(1+'02_人物原始合计'!AV98/100)</x:f>
        <x:v>818600</x:v>
      </x:c>
      <x:c r="M98" s="22" t="n">
        <x:f>MAX(0,MIN(50,'02_人物原始合计'!AD98,20+MIN(30,'02_人物原始合计'!AE98)))</x:f>
        <x:v>26</x:v>
      </x:c>
      <x:c r="N98" s="22" t="n">
        <x:f>IF(M98=0,1.75,IF(M98=10,2.2,IF(M98=20,2.9,IF(M98=30,4.3,IF(M98=40,8.5,IF(M98=50,14.3,IF(M98&lt;=40,1000/('01_参数'!$B$21-'01_参数'!$B$22*M98),1000/(1000/8.5+(M98-40)/10*(1000/14.3-1000/8.5)))))))))</x:f>
        <x:v>3.617573931056102</x:v>
      </x:c>
      <x:c r="O98" s="22" t="n">
        <x:v>338</x:v>
      </x:c>
      <x:c r="P98" s="26" t="n">
        <x:f>MAX(0,MIN('01_参数'!$B$20,'02_人物原始合计'!AM98/100,'01_参数'!$B$19+'02_人物原始合计'!AN98/100))</x:f>
        <x:v>0.45</x:v>
      </x:c>
      <x:c r="Q98" s="28" t="n">
        <x:f>((('02_人物原始合计'!E98+('02_人物原始合计'!F98-'02_人物原始合计'!E98)*IF(J98&gt;=12,1,0.5+0.5*MAX(0,J98)/12))*(1+'02_人物原始合计'!Q98/100))*(1+'02_人物原始合计'!U98/100+IF(J98&gt;=15,0.15,0))*(1+'02_人物原始合计'!V98/100)*(1+'02_人物原始合计'!T98)*(1+'02_人物原始合计'!W98*'01_参数'!$B$18)*(1+MAX(0,MIN(1,'02_人物原始合计'!X98/100))*('01_参数'!$B$16+'02_人物原始合计'!Y98/100-1))*(1+MAX(0,MIN(1,'02_人物原始合计'!Z98/100))*('01_参数'!$B$17+'02_人物原始合计'!AA98/100-1))+'02_人物原始合计'!AB98)*N98*'01_参数'!$B$7*'01_参数'!$B$8</x:f>
        <x:v>719723.0325697702</x:v>
      </x:c>
      <x:c r="R98" s="28" t="n">
        <x:f>Q98*'01_参数'!$B$5</x:f>
        <x:v>1439446.0651395405</x:v>
      </x:c>
      <x:c r="S98" s="28" t="n">
        <x:f>(('02_人物原始合计'!E98+('02_人物原始合计'!F98-'02_人物原始合计'!E98)*IF(J98&gt;=12,1,0.5+0.5*MAX(0,J98)/12))*(1+'02_人物原始合计'!Q98/100))*(1+'02_人物原始合计'!U98/100+IF(J98&gt;=15,0.15,0))*(1+'02_人物原始合计'!V98/100)*(1+'02_人物原始合计'!T98)*(1+'02_人物原始合计'!W98*'01_参数'!$B$18)*(1+MAX(0,MIN(1,'02_人物原始合计'!X98/100))*('01_参数'!$B$16+'02_人物原始合计'!Y98/100-1))*(1+MAX(0,MIN(1,'02_人物原始合计'!Z98/100))*('01_参数'!$B$17+'02_人物原始合计'!AA98/100-1))*N98*'01_参数'!$B$7*'01_参数'!$B$8*MAX(0,'02_人物原始合计'!AO98/100)</x:f>
        <x:v>21591.690977093105</x:v>
      </x:c>
      <x:c r="T98" s="28" t="n">
        <x:f>S98*'01_参数'!$B$6</x:f>
        <x:v>28069.198270221037</x:v>
      </x:c>
      <x:c r="U98" s="28" t="n">
        <x:v>0</x:v>
      </x:c>
      <x:c r="V98" s="28" t="n">
        <x:f>T98+U98</x:f>
        <x:v>28069.198270221037</x:v>
      </x:c>
      <x:c r="W98" s="22" t="n">
        <x:v>8</x:v>
      </x:c>
      <x:c r="X98" s="22" t="n">
        <x:v>72</x:v>
      </x:c>
      <x:c r="Y98" s="22" t="str">
        <x:v>主线</x:v>
      </x:c>
    </x:row>
    <x:row r="99" ht="24" customHeight="1">
      <x:c r="A99" s="22" t="str">
        <x:v>P0095</x:v>
      </x:c>
      <x:c r="B99" s="22" t="n">
        <x:v>3</x:v>
      </x:c>
      <x:c r="C99" s="22" t="n">
        <x:v>6</x:v>
      </x:c>
      <x:c r="D99" s="22" t="str">
        <x:v>金叶统帅·艾德挑战前</x:v>
      </x:c>
      <x:c r="E99" s="26" t="n">
        <x:v>0.3930362072757759</x:v>
      </x:c>
      <x:c r="F99" s="22" t="n">
        <x:v>3</x:v>
      </x:c>
      <x:c r="G99" s="22" t="n">
        <x:v>77</x:v>
      </x:c>
      <x:c r="H99" s="22" t="n">
        <x:v>0</x:v>
      </x:c>
      <x:c r="I99" s="22" t="n">
        <x:v>4</x:v>
      </x:c>
      <x:c r="J99" s="22" t="n">
        <x:f>'02_人物原始合计'!AG99+'02_人物原始合计'!AH99</x:f>
        <x:v>15</x:v>
      </x:c>
      <x:c r="K99" s="28" t="n">
        <x:f>'02_人物原始合计'!F99*(1+'02_人物原始合计'!Q99/100)</x:f>
        <x:v>33814.719999999994</x:v>
      </x:c>
      <x:c r="L99" s="28" t="n">
        <x:f>'02_人物原始合计'!K99*(1+'02_人物原始合计'!AV99/100)</x:f>
        <x:v>856500</x:v>
      </x:c>
      <x:c r="M99" s="22" t="n">
        <x:f>MAX(0,MIN(50,'02_人物原始合计'!AD99,20+MIN(30,'02_人物原始合计'!AE99)))</x:f>
        <x:v>26</x:v>
      </x:c>
      <x:c r="N99" s="22" t="n">
        <x:f>IF(M99=0,1.75,IF(M99=10,2.2,IF(M99=20,2.9,IF(M99=30,4.3,IF(M99=40,8.5,IF(M99=50,14.3,IF(M99&lt;=40,1000/('01_参数'!$B$21-'01_参数'!$B$22*M99),1000/(1000/8.5+(M99-40)/10*(1000/14.3-1000/8.5)))))))))</x:f>
        <x:v>3.617573931056102</x:v>
      </x:c>
      <x:c r="O99" s="22" t="n">
        <x:v>338</x:v>
      </x:c>
      <x:c r="P99" s="26" t="n">
        <x:f>MAX(0,MIN('01_参数'!$B$20,'02_人物原始合计'!AM99/100,'01_参数'!$B$19+'02_人物原始合计'!AN99/100))</x:f>
        <x:v>0.45</x:v>
      </x:c>
      <x:c r="Q99" s="28" t="n">
        <x:f>((('02_人物原始合计'!E99+('02_人物原始合计'!F99-'02_人物原始合计'!E99)*IF(J99&gt;=12,1,0.5+0.5*MAX(0,J99)/12))*(1+'02_人物原始合计'!Q99/100))*(1+'02_人物原始合计'!U99/100+IF(J99&gt;=15,0.15,0))*(1+'02_人物原始合计'!V99/100)*(1+'02_人物原始合计'!T99)*(1+'02_人物原始合计'!W99*'01_参数'!$B$18)*(1+MAX(0,MIN(1,'02_人物原始合计'!X99/100))*('01_参数'!$B$16+'02_人物原始合计'!Y99/100-1))*(1+MAX(0,MIN(1,'02_人物原始合计'!Z99/100))*('01_参数'!$B$17+'02_人物原始合计'!AA99/100-1))+'02_人物原始合计'!AB99)*N99*'01_参数'!$B$7*'01_参数'!$B$8</x:f>
        <x:v>762752.4146302661</x:v>
      </x:c>
      <x:c r="R99" s="28" t="n">
        <x:f>Q99*'01_参数'!$B$5</x:f>
        <x:v>1525504.8292605323</x:v>
      </x:c>
      <x:c r="S99" s="28" t="n">
        <x:f>(('02_人物原始合计'!E99+('02_人物原始合计'!F99-'02_人物原始合计'!E99)*IF(J99&gt;=12,1,0.5+0.5*MAX(0,J99)/12))*(1+'02_人物原始合计'!Q99/100))*(1+'02_人物原始合计'!U99/100+IF(J99&gt;=15,0.15,0))*(1+'02_人物原始合计'!V99/100)*(1+'02_人物原始合计'!T99)*(1+'02_人物原始合计'!W99*'01_参数'!$B$18)*(1+MAX(0,MIN(1,'02_人物原始合计'!X99/100))*('01_参数'!$B$16+'02_人物原始合计'!Y99/100-1))*(1+MAX(0,MIN(1,'02_人物原始合计'!Z99/100))*('01_参数'!$B$17+'02_人物原始合计'!AA99/100-1))*N99*'01_参数'!$B$7*'01_参数'!$B$8*MAX(0,'02_人物原始合计'!AO99/100)</x:f>
        <x:v>22882.572438907984</x:v>
      </x:c>
      <x:c r="T99" s="28" t="n">
        <x:f>S99*'01_参数'!$B$6</x:f>
        <x:v>29747.34417058038</x:v>
      </x:c>
      <x:c r="U99" s="28" t="n">
        <x:v>0</x:v>
      </x:c>
      <x:c r="V99" s="28" t="n">
        <x:f>T99+U99</x:f>
        <x:v>29747.34417058038</x:v>
      </x:c>
      <x:c r="W99" s="22" t="n">
        <x:v>8</x:v>
      </x:c>
      <x:c r="X99" s="22" t="n">
        <x:v>72</x:v>
      </x:c>
      <x:c r="Y99" s="22" t="str">
        <x:v>主线</x:v>
      </x:c>
    </x:row>
    <x:row r="100" ht="24" customHeight="1">
      <x:c r="A100" s="22" t="str">
        <x:v>P0096</x:v>
      </x:c>
      <x:c r="B100" s="22" t="n">
        <x:v>3</x:v>
      </x:c>
      <x:c r="C100" s="22" t="n">
        <x:v>6</x:v>
      </x:c>
      <x:c r="D100" s="22" t="str">
        <x:v>黄金树化身·洛恩挑战前</x:v>
      </x:c>
      <x:c r="E100" s="26" t="n">
        <x:v>0.3930362072757759</x:v>
      </x:c>
      <x:c r="F100" s="22" t="n">
        <x:v>3</x:v>
      </x:c>
      <x:c r="G100" s="22" t="n">
        <x:v>77</x:v>
      </x:c>
      <x:c r="H100" s="22" t="n">
        <x:v>0</x:v>
      </x:c>
      <x:c r="I100" s="22" t="n">
        <x:v>4</x:v>
      </x:c>
      <x:c r="J100" s="22" t="n">
        <x:f>'02_人物原始合计'!AG100+'02_人物原始合计'!AH100</x:f>
        <x:v>15</x:v>
      </x:c>
      <x:c r="K100" s="28" t="n">
        <x:f>'02_人物原始合计'!F100*(1+'02_人物原始合计'!Q100/100)</x:f>
        <x:v>33814.719999999994</x:v>
      </x:c>
      <x:c r="L100" s="28" t="n">
        <x:f>'02_人物原始合计'!K100*(1+'02_人物原始合计'!AV100/100)</x:f>
        <x:v>856500</x:v>
      </x:c>
      <x:c r="M100" s="22" t="n">
        <x:f>MAX(0,MIN(50,'02_人物原始合计'!AD100,20+MIN(30,'02_人物原始合计'!AE100)))</x:f>
        <x:v>26</x:v>
      </x:c>
      <x:c r="N100" s="22" t="n">
        <x:f>IF(M100=0,1.75,IF(M100=10,2.2,IF(M100=20,2.9,IF(M100=30,4.3,IF(M100=40,8.5,IF(M100=50,14.3,IF(M100&lt;=40,1000/('01_参数'!$B$21-'01_参数'!$B$22*M100),1000/(1000/8.5+(M100-40)/10*(1000/14.3-1000/8.5)))))))))</x:f>
        <x:v>3.617573931056102</x:v>
      </x:c>
      <x:c r="O100" s="22" t="n">
        <x:v>338</x:v>
      </x:c>
      <x:c r="P100" s="26" t="n">
        <x:f>MAX(0,MIN('01_参数'!$B$20,'02_人物原始合计'!AM100/100,'01_参数'!$B$19+'02_人物原始合计'!AN100/100))</x:f>
        <x:v>0.45</x:v>
      </x:c>
      <x:c r="Q100" s="28" t="n">
        <x:f>((('02_人物原始合计'!E100+('02_人物原始合计'!F100-'02_人物原始合计'!E100)*IF(J100&gt;=12,1,0.5+0.5*MAX(0,J100)/12))*(1+'02_人物原始合计'!Q100/100))*(1+'02_人物原始合计'!U100/100+IF(J100&gt;=15,0.15,0))*(1+'02_人物原始合计'!V100/100)*(1+'02_人物原始合计'!T100)*(1+'02_人物原始合计'!W100*'01_参数'!$B$18)*(1+MAX(0,MIN(1,'02_人物原始合计'!X100/100))*('01_参数'!$B$16+'02_人物原始合计'!Y100/100-1))*(1+MAX(0,MIN(1,'02_人物原始合计'!Z100/100))*('01_参数'!$B$17+'02_人物原始合计'!AA100/100-1))+'02_人物原始合计'!AB100)*N100*'01_参数'!$B$7*'01_参数'!$B$8</x:f>
        <x:v>762752.4146302661</x:v>
      </x:c>
      <x:c r="R100" s="28" t="n">
        <x:f>Q100*'01_参数'!$B$5</x:f>
        <x:v>1525504.8292605323</x:v>
      </x:c>
      <x:c r="S100" s="28" t="n">
        <x:f>(('02_人物原始合计'!E100+('02_人物原始合计'!F100-'02_人物原始合计'!E100)*IF(J100&gt;=12,1,0.5+0.5*MAX(0,J100)/12))*(1+'02_人物原始合计'!Q100/100))*(1+'02_人物原始合计'!U100/100+IF(J100&gt;=15,0.15,0))*(1+'02_人物原始合计'!V100/100)*(1+'02_人物原始合计'!T100)*(1+'02_人物原始合计'!W100*'01_参数'!$B$18)*(1+MAX(0,MIN(1,'02_人物原始合计'!X100/100))*('01_参数'!$B$16+'02_人物原始合计'!Y100/100-1))*(1+MAX(0,MIN(1,'02_人物原始合计'!Z100/100))*('01_参数'!$B$17+'02_人物原始合计'!AA100/100-1))*N100*'01_参数'!$B$7*'01_参数'!$B$8*MAX(0,'02_人物原始合计'!AO100/100)</x:f>
        <x:v>22882.572438907984</x:v>
      </x:c>
      <x:c r="T100" s="28" t="n">
        <x:f>S100*'01_参数'!$B$6</x:f>
        <x:v>29747.34417058038</x:v>
      </x:c>
      <x:c r="U100" s="28" t="n">
        <x:v>0</x:v>
      </x:c>
      <x:c r="V100" s="28" t="n">
        <x:f>T100+U100</x:f>
        <x:v>29747.34417058038</x:v>
      </x:c>
      <x:c r="W100" s="22" t="n">
        <x:v>8</x:v>
      </x:c>
      <x:c r="X100" s="22" t="n">
        <x:v>72</x:v>
      </x:c>
      <x:c r="Y100" s="22" t="str">
        <x:v>主线</x:v>
      </x:c>
    </x:row>
    <x:row r="101" ht="24" customHeight="1">
      <x:c r="A101" s="22" t="str">
        <x:v>P0097</x:v>
      </x:c>
      <x:c r="B101" s="22" t="n">
        <x:v>3</x:v>
      </x:c>
      <x:c r="C101" s="22" t="n">
        <x:v>6</x:v>
      </x:c>
      <x:c r="D101" s="22" t="str">
        <x:v>黄金树哨垒BOSS装备快线</x:v>
      </x:c>
      <x:c r="E101" s="26" t="n">
        <x:v>0.425941095751727</x:v>
      </x:c>
      <x:c r="F101" s="22" t="n">
        <x:v>3</x:v>
      </x:c>
      <x:c r="G101" s="22" t="n">
        <x:v>77</x:v>
      </x:c>
      <x:c r="H101" s="22" t="n">
        <x:v>0</x:v>
      </x:c>
      <x:c r="I101" s="22" t="n">
        <x:v>4</x:v>
      </x:c>
      <x:c r="J101" s="22" t="n">
        <x:f>'02_人物原始合计'!AG101+'02_人物原始合计'!AH101</x:f>
        <x:v>15</x:v>
      </x:c>
      <x:c r="K101" s="28" t="n">
        <x:f>'02_人物原始合计'!F101*(1+'02_人物原始合计'!Q101/100)</x:f>
        <x:v>42152.22</x:v>
      </x:c>
      <x:c r="L101" s="28" t="n">
        <x:f>'02_人物原始合计'!K101*(1+'02_人物原始合计'!AV101/100)</x:f>
        <x:v>1078991</x:v>
      </x:c>
      <x:c r="M101" s="22" t="n">
        <x:f>MAX(0,MIN(50,'02_人物原始合计'!AD101,20+MIN(30,'02_人物原始合计'!AE101)))</x:f>
        <x:v>27</x:v>
      </x:c>
      <x:c r="N101" s="22" t="n">
        <x:f>IF(M101=0,1.75,IF(M101=10,2.2,IF(M101=20,2.9,IF(M101=30,4.3,IF(M101=40,8.5,IF(M101=50,14.3,IF(M101&lt;=40,1000/('01_参数'!$B$21-'01_参数'!$B$22*M101),1000/(1000/8.5+(M101-40)/10*(1000/14.3-1000/8.5)))))))))</x:f>
        <x:v>3.7716940913647403</x:v>
      </x:c>
      <x:c r="O101" s="22" t="n">
        <x:v>355</x:v>
      </x:c>
      <x:c r="P101" s="26" t="n">
        <x:f>MAX(0,MIN('01_参数'!$B$20,'02_人物原始合计'!AM101/100,'01_参数'!$B$19+'02_人物原始合计'!AN101/100))</x:f>
        <x:v>0.54</x:v>
      </x:c>
      <x:c r="Q101" s="28" t="n">
        <x:f>((('02_人物原始合计'!E101+('02_人物原始合计'!F101-'02_人物原始合计'!E101)*IF(J101&gt;=12,1,0.5+0.5*MAX(0,J101)/12))*(1+'02_人物原始合计'!Q101/100))*(1+'02_人物原始合计'!U101/100+IF(J101&gt;=15,0.15,0))*(1+'02_人物原始合计'!V101/100)*(1+'02_人物原始合计'!T101)*(1+'02_人物原始合计'!W101*'01_参数'!$B$18)*(1+MAX(0,MIN(1,'02_人物原始合计'!X101/100))*('01_参数'!$B$16+'02_人物原始合计'!Y101/100-1))*(1+MAX(0,MIN(1,'02_人物原始合计'!Z101/100))*('01_参数'!$B$17+'02_人物原始合计'!AA101/100-1))+'02_人物原始合计'!AB101)*N101*'01_参数'!$B$7*'01_参数'!$B$8</x:f>
        <x:v>1299363.1090462855</x:v>
      </x:c>
      <x:c r="R101" s="28" t="n">
        <x:f>Q101*'01_参数'!$B$5</x:f>
        <x:v>2598726.218092571</x:v>
      </x:c>
      <x:c r="S101" s="28" t="n">
        <x:f>(('02_人物原始合计'!E101+('02_人物原始合计'!F101-'02_人物原始合计'!E101)*IF(J101&gt;=12,1,0.5+0.5*MAX(0,J101)/12))*(1+'02_人物原始合计'!Q101/100))*(1+'02_人物原始合计'!U101/100+IF(J101&gt;=15,0.15,0))*(1+'02_人物原始合计'!V101/100)*(1+'02_人物原始合计'!T101)*(1+'02_人物原始合计'!W101*'01_参数'!$B$18)*(1+MAX(0,MIN(1,'02_人物原始合计'!X101/100))*('01_参数'!$B$16+'02_人物原始合计'!Y101/100-1))*(1+MAX(0,MIN(1,'02_人物原始合计'!Z101/100))*('01_参数'!$B$17+'02_人物原始合计'!AA101/100-1))*N101*'01_参数'!$B$7*'01_参数'!$B$8*MAX(0,'02_人物原始合计'!AO101/100)</x:f>
        <x:v>64968.15545231428</x:v>
      </x:c>
      <x:c r="T101" s="28" t="n">
        <x:f>S101*'01_参数'!$B$6</x:f>
        <x:v>84458.60208800856</x:v>
      </x:c>
      <x:c r="U101" s="28" t="n">
        <x:v>0</x:v>
      </x:c>
      <x:c r="V101" s="28" t="n">
        <x:f>T101+U101</x:f>
        <x:v>84458.60208800856</x:v>
      </x:c>
      <x:c r="W101" s="22" t="n">
        <x:v>8</x:v>
      </x:c>
      <x:c r="X101" s="22" t="n">
        <x:v>72</x:v>
      </x:c>
      <x:c r="Y101" s="22" t="str">
        <x:v>C03G06BOSS强装对照</x:v>
      </x:c>
    </x:row>
    <x:row r="102" ht="24" customHeight="1">
      <x:c r="A102" s="22" t="str">
        <x:v>P0098</x:v>
      </x:c>
      <x:c r="B102" s="22" t="n">
        <x:v>3</x:v>
      </x:c>
      <x:c r="C102" s="22" t="n">
        <x:v>6</x:v>
      </x:c>
      <x:c r="D102" s="22" t="str">
        <x:v>黄金树哨垒阶段积累后</x:v>
      </x:c>
      <x:c r="E102" s="26" t="n">
        <x:v>0.4525913015928344</x:v>
      </x:c>
      <x:c r="F102" s="22" t="n">
        <x:v>3</x:v>
      </x:c>
      <x:c r="G102" s="22" t="n">
        <x:v>77</x:v>
      </x:c>
      <x:c r="H102" s="22" t="n">
        <x:v>0</x:v>
      </x:c>
      <x:c r="I102" s="22" t="n">
        <x:v>4</x:v>
      </x:c>
      <x:c r="J102" s="22" t="n">
        <x:f>'02_人物原始合计'!AG102+'02_人物原始合计'!AH102</x:f>
        <x:v>15</x:v>
      </x:c>
      <x:c r="K102" s="28" t="n">
        <x:f>'02_人物原始合计'!F102*(1+'02_人物原始合计'!Q102/100)</x:f>
        <x:v>36920.91</x:v>
      </x:c>
      <x:c r="L102" s="28" t="n">
        <x:f>'02_人物原始合计'!K102*(1+'02_人物原始合计'!AV102/100)</x:f>
        <x:v>924600</x:v>
      </x:c>
      <x:c r="M102" s="22" t="n">
        <x:f>MAX(0,MIN(50,'02_人物原始合计'!AD102,20+MIN(30,'02_人物原始合计'!AE102)))</x:f>
        <x:v>26</x:v>
      </x:c>
      <x:c r="N102" s="22" t="n">
        <x:f>IF(M102=0,1.75,IF(M102=10,2.2,IF(M102=20,2.9,IF(M102=30,4.3,IF(M102=40,8.5,IF(M102=50,14.3,IF(M102&lt;=40,1000/('01_参数'!$B$21-'01_参数'!$B$22*M102),1000/(1000/8.5+(M102-40)/10*(1000/14.3-1000/8.5)))))))))</x:f>
        <x:v>3.617573931056102</x:v>
      </x:c>
      <x:c r="O102" s="22" t="n">
        <x:v>327</x:v>
      </x:c>
      <x:c r="P102" s="26" t="n">
        <x:f>MAX(0,MIN('01_参数'!$B$20,'02_人物原始合计'!AM102/100,'01_参数'!$B$19+'02_人物原始合计'!AN102/100))</x:f>
        <x:v>0.43</x:v>
      </x:c>
      <x:c r="Q102" s="28" t="n">
        <x:f>((('02_人物原始合计'!E102+('02_人物原始合计'!F102-'02_人物原始合计'!E102)*IF(J102&gt;=12,1,0.5+0.5*MAX(0,J102)/12))*(1+'02_人物原始合计'!Q102/100))*(1+'02_人物原始合计'!U102/100+IF(J102&gt;=15,0.15,0))*(1+'02_人物原始合计'!V102/100)*(1+'02_人物原始合计'!T102)*(1+'02_人物原始合计'!W102*'01_参数'!$B$18)*(1+MAX(0,MIN(1,'02_人物原始合计'!X102/100))*('01_参数'!$B$16+'02_人物原始合计'!Y102/100-1))*(1+MAX(0,MIN(1,'02_人物原始合计'!Z102/100))*('01_参数'!$B$17+'02_人物原始合计'!AA102/100-1))+'02_人物原始合计'!AB102)*N102*'01_参数'!$B$7*'01_参数'!$B$8</x:f>
        <x:v>848240.7294080536</x:v>
      </x:c>
      <x:c r="R102" s="28" t="n">
        <x:f>Q102*'01_参数'!$B$5</x:f>
        <x:v>1696481.4588161071</x:v>
      </x:c>
      <x:c r="S102" s="28" t="n">
        <x:f>(('02_人物原始合计'!E102+('02_人物原始合计'!F102-'02_人物原始合计'!E102)*IF(J102&gt;=12,1,0.5+0.5*MAX(0,J102)/12))*(1+'02_人物原始合计'!Q102/100))*(1+'02_人物原始合计'!U102/100+IF(J102&gt;=15,0.15,0))*(1+'02_人物原始合计'!V102/100)*(1+'02_人物原始合计'!T102)*(1+'02_人物原始合计'!W102*'01_参数'!$B$18)*(1+MAX(0,MIN(1,'02_人物原始合计'!X102/100))*('01_参数'!$B$16+'02_人物原始合计'!Y102/100-1))*(1+MAX(0,MIN(1,'02_人物原始合计'!Z102/100))*('01_参数'!$B$17+'02_人物原始合计'!AA102/100-1))*N102*'01_参数'!$B$7*'01_参数'!$B$8*MAX(0,'02_人物原始合计'!AO102/100)</x:f>
        <x:v>25447.221882241607</x:v>
      </x:c>
      <x:c r="T102" s="28" t="n">
        <x:f>S102*'01_参数'!$B$6</x:f>
        <x:v>33081.38844691409</x:v>
      </x:c>
      <x:c r="U102" s="28" t="n">
        <x:v>0</x:v>
      </x:c>
      <x:c r="V102" s="28" t="n">
        <x:f>T102+U102</x:f>
        <x:v>33081.38844691409</x:v>
      </x:c>
      <x:c r="W102" s="22" t="n">
        <x:v>10</x:v>
      </x:c>
      <x:c r="X102" s="22" t="n">
        <x:v>73</x:v>
      </x:c>
      <x:c r="Y102" s="22" t="str">
        <x:v>主线</x:v>
      </x:c>
    </x:row>
    <x:row r="103" ht="24" customHeight="1">
      <x:c r="A103" s="22" t="str">
        <x:v>P0099</x:v>
      </x:c>
      <x:c r="B103" s="22" t="n">
        <x:v>3</x:v>
      </x:c>
      <x:c r="C103" s="22" t="n">
        <x:v>6</x:v>
      </x:c>
      <x:c r="D103" s="22" t="str">
        <x:v>C03守关前必做制作完成</x:v>
      </x:c>
      <x:c r="E103" s="26" t="n">
        <x:v>0.4525913015928344</x:v>
      </x:c>
      <x:c r="F103" s="22" t="n">
        <x:v>3</x:v>
      </x:c>
      <x:c r="G103" s="22" t="n">
        <x:v>77</x:v>
      </x:c>
      <x:c r="H103" s="22" t="n">
        <x:v>0</x:v>
      </x:c>
      <x:c r="I103" s="22" t="n">
        <x:v>4</x:v>
      </x:c>
      <x:c r="J103" s="22" t="n">
        <x:f>'02_人物原始合计'!AG103+'02_人物原始合计'!AH103</x:f>
        <x:v>15</x:v>
      </x:c>
      <x:c r="K103" s="28" t="n">
        <x:f>'02_人物原始合计'!F103*(1+'02_人物原始合计'!Q103/100)</x:f>
        <x:v>36920.91</x:v>
      </x:c>
      <x:c r="L103" s="28" t="n">
        <x:f>'02_人物原始合计'!K103*(1+'02_人物原始合计'!AV103/100)</x:f>
        <x:v>924600</x:v>
      </x:c>
      <x:c r="M103" s="22" t="n">
        <x:f>MAX(0,MIN(50,'02_人物原始合计'!AD103,20+MIN(30,'02_人物原始合计'!AE103)))</x:f>
        <x:v>26</x:v>
      </x:c>
      <x:c r="N103" s="22" t="n">
        <x:f>IF(M103=0,1.75,IF(M103=10,2.2,IF(M103=20,2.9,IF(M103=30,4.3,IF(M103=40,8.5,IF(M103=50,14.3,IF(M103&lt;=40,1000/('01_参数'!$B$21-'01_参数'!$B$22*M103),1000/(1000/8.5+(M103-40)/10*(1000/14.3-1000/8.5)))))))))</x:f>
        <x:v>3.617573931056102</x:v>
      </x:c>
      <x:c r="O103" s="22" t="n">
        <x:v>327</x:v>
      </x:c>
      <x:c r="P103" s="26" t="n">
        <x:f>MAX(0,MIN('01_参数'!$B$20,'02_人物原始合计'!AM103/100,'01_参数'!$B$19+'02_人物原始合计'!AN103/100))</x:f>
        <x:v>0.43</x:v>
      </x:c>
      <x:c r="Q103" s="28" t="n">
        <x:f>((('02_人物原始合计'!E103+('02_人物原始合计'!F103-'02_人物原始合计'!E103)*IF(J103&gt;=12,1,0.5+0.5*MAX(0,J103)/12))*(1+'02_人物原始合计'!Q103/100))*(1+'02_人物原始合计'!U103/100+IF(J103&gt;=15,0.15,0))*(1+'02_人物原始合计'!V103/100)*(1+'02_人物原始合计'!T103)*(1+'02_人物原始合计'!W103*'01_参数'!$B$18)*(1+MAX(0,MIN(1,'02_人物原始合计'!X103/100))*('01_参数'!$B$16+'02_人物原始合计'!Y103/100-1))*(1+MAX(0,MIN(1,'02_人物原始合计'!Z103/100))*('01_参数'!$B$17+'02_人物原始合计'!AA103/100-1))+'02_人物原始合计'!AB103)*N103*'01_参数'!$B$7*'01_参数'!$B$8</x:f>
        <x:v>848240.7294080536</x:v>
      </x:c>
      <x:c r="R103" s="28" t="n">
        <x:f>Q103*'01_参数'!$B$5</x:f>
        <x:v>1696481.4588161071</x:v>
      </x:c>
      <x:c r="S103" s="28" t="n">
        <x:f>(('02_人物原始合计'!E103+('02_人物原始合计'!F103-'02_人物原始合计'!E103)*IF(J103&gt;=12,1,0.5+0.5*MAX(0,J103)/12))*(1+'02_人物原始合计'!Q103/100))*(1+'02_人物原始合计'!U103/100+IF(J103&gt;=15,0.15,0))*(1+'02_人物原始合计'!V103/100)*(1+'02_人物原始合计'!T103)*(1+'02_人物原始合计'!W103*'01_参数'!$B$18)*(1+MAX(0,MIN(1,'02_人物原始合计'!X103/100))*('01_参数'!$B$16+'02_人物原始合计'!Y103/100-1))*(1+MAX(0,MIN(1,'02_人物原始合计'!Z103/100))*('01_参数'!$B$17+'02_人物原始合计'!AA103/100-1))*N103*'01_参数'!$B$7*'01_参数'!$B$8*MAX(0,'02_人物原始合计'!AO103/100)</x:f>
        <x:v>25447.221882241607</x:v>
      </x:c>
      <x:c r="T103" s="28" t="n">
        <x:f>S103*'01_参数'!$B$6</x:f>
        <x:v>33081.38844691409</x:v>
      </x:c>
      <x:c r="U103" s="28" t="n">
        <x:v>0</x:v>
      </x:c>
      <x:c r="V103" s="28" t="n">
        <x:f>T103+U103</x:f>
        <x:v>33081.38844691409</x:v>
      </x:c>
      <x:c r="W103" s="22" t="n">
        <x:v>10</x:v>
      </x:c>
      <x:c r="X103" s="22" t="n">
        <x:v>73</x:v>
      </x:c>
      <x:c r="Y103" s="22" t="str">
        <x:v>主线</x:v>
      </x:c>
    </x:row>
    <x:row r="104" ht="24" customHeight="1">
      <x:c r="A104" s="22" t="str">
        <x:v>P0100</x:v>
      </x:c>
      <x:c r="B104" s="22" t="n">
        <x:v>3</x:v>
      </x:c>
      <x:c r="C104" s="22" t="n">
        <x:v>6</x:v>
      </x:c>
      <x:c r="D104" s="22" t="str">
        <x:v>C03约70%守关参考</x:v>
      </x:c>
      <x:c r="E104" s="26" t="n">
        <x:v>0.7025913015928343</x:v>
      </x:c>
      <x:c r="F104" s="22" t="n">
        <x:v>3</x:v>
      </x:c>
      <x:c r="G104" s="22" t="n">
        <x:v>77</x:v>
      </x:c>
      <x:c r="H104" s="22" t="n">
        <x:v>0</x:v>
      </x:c>
      <x:c r="I104" s="22" t="n">
        <x:v>4</x:v>
      </x:c>
      <x:c r="J104" s="22" t="n">
        <x:f>'02_人物原始合计'!AG104+'02_人物原始合计'!AH104</x:f>
        <x:v>15</x:v>
      </x:c>
      <x:c r="K104" s="28" t="n">
        <x:f>'02_人物原始合计'!F104*(1+'02_人物原始合计'!Q104/100)</x:f>
        <x:v>37992.24</x:v>
      </x:c>
      <x:c r="L104" s="28" t="n">
        <x:f>'02_人物原始合计'!K104*(1+'02_人物原始合计'!AV104/100)</x:f>
        <x:v>944700</x:v>
      </x:c>
      <x:c r="M104" s="22" t="n">
        <x:f>MAX(0,MIN(50,'02_人物原始合计'!AD104,20+MIN(30,'02_人物原始合计'!AE104)))</x:f>
        <x:v>26</x:v>
      </x:c>
      <x:c r="N104" s="22" t="n">
        <x:f>IF(M104=0,1.75,IF(M104=10,2.2,IF(M104=20,2.9,IF(M104=30,4.3,IF(M104=40,8.5,IF(M104=50,14.3,IF(M104&lt;=40,1000/('01_参数'!$B$21-'01_参数'!$B$22*M104),1000/(1000/8.5+(M104-40)/10*(1000/14.3-1000/8.5)))))))))</x:f>
        <x:v>3.617573931056102</x:v>
      </x:c>
      <x:c r="O104" s="22" t="n">
        <x:v>402</x:v>
      </x:c>
      <x:c r="P104" s="26" t="n">
        <x:f>MAX(0,MIN('01_参数'!$B$20,'02_人物原始合计'!AM104/100,'01_参数'!$B$19+'02_人物原始合计'!AN104/100))</x:f>
        <x:v>0.43</x:v>
      </x:c>
      <x:c r="Q104" s="28" t="n">
        <x:f>((('02_人物原始合计'!E104+('02_人物原始合计'!F104-'02_人物原始合计'!E104)*IF(J104&gt;=12,1,0.5+0.5*MAX(0,J104)/12))*(1+'02_人物原始合计'!Q104/100))*(1+'02_人物原始合计'!U104/100+IF(J104&gt;=15,0.15,0))*(1+'02_人物原始合计'!V104/100)*(1+'02_人物原始合计'!T104)*(1+'02_人物原始合计'!W104*'01_参数'!$B$18)*(1+MAX(0,MIN(1,'02_人物原始合计'!X104/100))*('01_参数'!$B$16+'02_人物原始合计'!Y104/100-1))*(1+MAX(0,MIN(1,'02_人物原始合计'!Z104/100))*('01_参数'!$B$17+'02_人物原始合计'!AA104/100-1))+'02_人物原始合计'!AB104)*N104*'01_参数'!$B$7*'01_参数'!$B$8</x:f>
        <x:v>922731.4112939527</x:v>
      </x:c>
      <x:c r="R104" s="28" t="n">
        <x:f>Q104*'01_参数'!$B$5</x:f>
        <x:v>1845462.8225879055</x:v>
      </x:c>
      <x:c r="S104" s="28" t="n">
        <x:f>(('02_人物原始合计'!E104+('02_人物原始合计'!F104-'02_人物原始合计'!E104)*IF(J104&gt;=12,1,0.5+0.5*MAX(0,J104)/12))*(1+'02_人物原始合计'!Q104/100))*(1+'02_人物原始合计'!U104/100+IF(J104&gt;=15,0.15,0))*(1+'02_人物原始合计'!V104/100)*(1+'02_人物原始合计'!T104)*(1+'02_人物原始合计'!W104*'01_参数'!$B$18)*(1+MAX(0,MIN(1,'02_人物原始合计'!X104/100))*('01_参数'!$B$16+'02_人物原始合计'!Y104/100-1))*(1+MAX(0,MIN(1,'02_人物原始合计'!Z104/100))*('01_参数'!$B$17+'02_人物原始合计'!AA104/100-1))*N104*'01_参数'!$B$7*'01_参数'!$B$8*MAX(0,'02_人物原始合计'!AO104/100)</x:f>
        <x:v>27681.942338818582</x:v>
      </x:c>
      <x:c r="T104" s="28" t="n">
        <x:f>S104*'01_参数'!$B$6</x:f>
        <x:v>35986.525040464156</x:v>
      </x:c>
      <x:c r="U104" s="28" t="n">
        <x:v>0</x:v>
      </x:c>
      <x:c r="V104" s="28" t="n">
        <x:f>T104+U104</x:f>
        <x:v>35986.525040464156</x:v>
      </x:c>
      <x:c r="W104" s="22" t="n">
        <x:v>10</x:v>
      </x:c>
      <x:c r="X104" s="22" t="n">
        <x:v>113</x:v>
      </x:c>
      <x:c r="Y104" s="22" t="str">
        <x:v>主线</x:v>
      </x:c>
    </x:row>
    <x:row r="105" ht="24" customHeight="1">
      <x:c r="A105" s="22" t="str">
        <x:v>P0101</x:v>
      </x:c>
      <x:c r="B105" s="22" t="n">
        <x:v>3</x:v>
      </x:c>
      <x:c r="C105" s="22" t="n">
        <x:v>6</x:v>
      </x:c>
      <x:c r="D105" s="22" t="str">
        <x:v>C03高完成度参考</x:v>
      </x:c>
      <x:c r="E105" s="26" t="n">
        <x:v>0.9451553903358803</x:v>
      </x:c>
      <x:c r="F105" s="22" t="n">
        <x:v>3</x:v>
      </x:c>
      <x:c r="G105" s="22" t="n">
        <x:v>77</x:v>
      </x:c>
      <x:c r="H105" s="22" t="n">
        <x:v>0</x:v>
      </x:c>
      <x:c r="I105" s="22" t="n">
        <x:v>4</x:v>
      </x:c>
      <x:c r="J105" s="22" t="n">
        <x:f>'02_人物原始合计'!AG105+'02_人物原始合计'!AH105</x:f>
        <x:v>15</x:v>
      </x:c>
      <x:c r="K105" s="28" t="n">
        <x:f>'02_人物原始合计'!F105*(1+'02_人物原始合计'!Q105/100)</x:f>
        <x:v>55543.08</x:v>
      </x:c>
      <x:c r="L105" s="28" t="n">
        <x:f>'02_人物原始合计'!K105*(1+'02_人物原始合计'!AV105/100)</x:f>
        <x:v>1278461</x:v>
      </x:c>
      <x:c r="M105" s="22" t="n">
        <x:f>MAX(0,MIN(50,'02_人物原始合计'!AD105,20+MIN(30,'02_人物原始合计'!AE105)))</x:f>
        <x:v>27</x:v>
      </x:c>
      <x:c r="N105" s="22" t="n">
        <x:f>IF(M105=0,1.75,IF(M105=10,2.2,IF(M105=20,2.9,IF(M105=30,4.3,IF(M105=40,8.5,IF(M105=50,14.3,IF(M105&lt;=40,1000/('01_参数'!$B$21-'01_参数'!$B$22*M105),1000/(1000/8.5+(M105-40)/10*(1000/14.3-1000/8.5)))))))))</x:f>
        <x:v>3.7716940913647403</x:v>
      </x:c>
      <x:c r="O105" s="22" t="n">
        <x:v>477</x:v>
      </x:c>
      <x:c r="P105" s="26" t="n">
        <x:f>MAX(0,MIN('01_参数'!$B$20,'02_人物原始合计'!AM105/100,'01_参数'!$B$19+'02_人物原始合计'!AN105/100))</x:f>
        <x:v>0.58</x:v>
      </x:c>
      <x:c r="Q105" s="28" t="n">
        <x:f>((('02_人物原始合计'!E105+('02_人物原始合计'!F105-'02_人物原始合计'!E105)*IF(J105&gt;=12,1,0.5+0.5*MAX(0,J105)/12))*(1+'02_人物原始合计'!Q105/100))*(1+'02_人物原始合计'!U105/100+IF(J105&gt;=15,0.15,0))*(1+'02_人物原始合计'!V105/100)*(1+'02_人物原始合计'!T105)*(1+'02_人物原始合计'!W105*'01_参数'!$B$18)*(1+MAX(0,MIN(1,'02_人物原始合计'!X105/100))*('01_参数'!$B$16+'02_人物原始合计'!Y105/100-1))*(1+MAX(0,MIN(1,'02_人物原始合计'!Z105/100))*('01_参数'!$B$17+'02_人物原始合计'!AA105/100-1))+'02_人物原始合计'!AB105)*N105*'01_参数'!$B$7*'01_参数'!$B$8</x:f>
        <x:v>2380718.6569393487</x:v>
      </x:c>
      <x:c r="R105" s="28" t="n">
        <x:f>Q105*'01_参数'!$B$5</x:f>
        <x:v>4761437.313878697</x:v>
      </x:c>
      <x:c r="S105" s="28" t="n">
        <x:f>(('02_人物原始合计'!E105+('02_人物原始合计'!F105-'02_人物原始合计'!E105)*IF(J105&gt;=12,1,0.5+0.5*MAX(0,J105)/12))*(1+'02_人物原始合计'!Q105/100))*(1+'02_人物原始合计'!U105/100+IF(J105&gt;=15,0.15,0))*(1+'02_人物原始合计'!V105/100)*(1+'02_人物原始合计'!T105)*(1+'02_人物原始合计'!W105*'01_参数'!$B$18)*(1+MAX(0,MIN(1,'02_人物原始合计'!X105/100))*('01_参数'!$B$16+'02_人物原始合计'!Y105/100-1))*(1+MAX(0,MIN(1,'02_人物原始合计'!Z105/100))*('01_参数'!$B$17+'02_人物原始合计'!AA105/100-1))*N105*'01_参数'!$B$7*'01_参数'!$B$8*MAX(0,'02_人物原始合计'!AO105/100)</x:f>
        <x:v>119035.93284696744</x:v>
      </x:c>
      <x:c r="T105" s="28" t="n">
        <x:f>S105*'01_参数'!$B$6</x:f>
        <x:v>154746.71270105767</x:v>
      </x:c>
      <x:c r="U105" s="28" t="n">
        <x:v>0</x:v>
      </x:c>
      <x:c r="V105" s="28" t="n">
        <x:f>T105+U105</x:f>
        <x:v>154746.71270105767</x:v>
      </x:c>
      <x:c r="W105" s="22" t="n">
        <x:v>10</x:v>
      </x:c>
      <x:c r="X105" s="22" t="n">
        <x:v>141</x:v>
      </x:c>
      <x:c r="Y105" s="22" t="str">
        <x:v>C03高完成度</x:v>
      </x:c>
    </x:row>
    <x:row r="106" ht="24" customHeight="1">
      <x:c r="A106" s="22" t="str">
        <x:v>P0102</x:v>
      </x:c>
      <x:c r="B106" s="22" t="n">
        <x:v>3</x:v>
      </x:c>
      <x:c r="C106" s="22" t="n">
        <x:v>6</x:v>
      </x:c>
      <x:c r="D106" s="22" t="str">
        <x:v>C03守关后继承</x:v>
      </x:c>
      <x:c r="E106" s="26" t="n">
        <x:v>0.7025913015928343</x:v>
      </x:c>
      <x:c r="F106" s="22" t="n">
        <x:v>3</x:v>
      </x:c>
      <x:c r="G106" s="22" t="n">
        <x:v>77</x:v>
      </x:c>
      <x:c r="H106" s="22" t="n">
        <x:v>0</x:v>
      </x:c>
      <x:c r="I106" s="22" t="n">
        <x:v>5</x:v>
      </x:c>
      <x:c r="J106" s="22" t="n">
        <x:f>'02_人物原始合计'!AG106+'02_人物原始合计'!AH106</x:f>
        <x:v>15</x:v>
      </x:c>
      <x:c r="K106" s="28" t="n">
        <x:f>'02_人物原始合计'!F106*(1+'02_人物原始合计'!Q106/100)</x:f>
        <x:v>37992.24</x:v>
      </x:c>
      <x:c r="L106" s="28" t="n">
        <x:f>'02_人物原始合计'!K106*(1+'02_人物原始合计'!AV106/100)</x:f>
        <x:v>944700</x:v>
      </x:c>
      <x:c r="M106" s="22" t="n">
        <x:f>MAX(0,MIN(50,'02_人物原始合计'!AD106,20+MIN(30,'02_人物原始合计'!AE106)))</x:f>
        <x:v>26</x:v>
      </x:c>
      <x:c r="N106" s="22" t="n">
        <x:f>IF(M106=0,1.75,IF(M106=10,2.2,IF(M106=20,2.9,IF(M106=30,4.3,IF(M106=40,8.5,IF(M106=50,14.3,IF(M106&lt;=40,1000/('01_参数'!$B$21-'01_参数'!$B$22*M106),1000/(1000/8.5+(M106-40)/10*(1000/14.3-1000/8.5)))))))))</x:f>
        <x:v>3.617573931056102</x:v>
      </x:c>
      <x:c r="O106" s="22" t="n">
        <x:v>402</x:v>
      </x:c>
      <x:c r="P106" s="26" t="n">
        <x:f>MAX(0,MIN('01_参数'!$B$20,'02_人物原始合计'!AM106/100,'01_参数'!$B$19+'02_人物原始合计'!AN106/100))</x:f>
        <x:v>0.43</x:v>
      </x:c>
      <x:c r="Q106" s="28" t="n">
        <x:f>((('02_人物原始合计'!E106+('02_人物原始合计'!F106-'02_人物原始合计'!E106)*IF(J106&gt;=12,1,0.5+0.5*MAX(0,J106)/12))*(1+'02_人物原始合计'!Q106/100))*(1+'02_人物原始合计'!U106/100+IF(J106&gt;=15,0.15,0))*(1+'02_人物原始合计'!V106/100)*(1+'02_人物原始合计'!T106)*(1+'02_人物原始合计'!W106*'01_参数'!$B$18)*(1+MAX(0,MIN(1,'02_人物原始合计'!X106/100))*('01_参数'!$B$16+'02_人物原始合计'!Y106/100-1))*(1+MAX(0,MIN(1,'02_人物原始合计'!Z106/100))*('01_参数'!$B$17+'02_人物原始合计'!AA106/100-1))+'02_人物原始合计'!AB106)*N106*'01_参数'!$B$7*'01_参数'!$B$8</x:f>
        <x:v>922731.4112939527</x:v>
      </x:c>
      <x:c r="R106" s="28" t="n">
        <x:f>Q106*'01_参数'!$B$5</x:f>
        <x:v>1845462.8225879055</x:v>
      </x:c>
      <x:c r="S106" s="28" t="n">
        <x:f>(('02_人物原始合计'!E106+('02_人物原始合计'!F106-'02_人物原始合计'!E106)*IF(J106&gt;=12,1,0.5+0.5*MAX(0,J106)/12))*(1+'02_人物原始合计'!Q106/100))*(1+'02_人物原始合计'!U106/100+IF(J106&gt;=15,0.15,0))*(1+'02_人物原始合计'!V106/100)*(1+'02_人物原始合计'!T106)*(1+'02_人物原始合计'!W106*'01_参数'!$B$18)*(1+MAX(0,MIN(1,'02_人物原始合计'!X106/100))*('01_参数'!$B$16+'02_人物原始合计'!Y106/100-1))*(1+MAX(0,MIN(1,'02_人物原始合计'!Z106/100))*('01_参数'!$B$17+'02_人物原始合计'!AA106/100-1))*N106*'01_参数'!$B$7*'01_参数'!$B$8*MAX(0,'02_人物原始合计'!AO106/100)</x:f>
        <x:v>27681.942338818582</x:v>
      </x:c>
      <x:c r="T106" s="28" t="n">
        <x:f>S106*'01_参数'!$B$6</x:f>
        <x:v>35986.525040464156</x:v>
      </x:c>
      <x:c r="U106" s="28" t="n">
        <x:v>0</x:v>
      </x:c>
      <x:c r="V106" s="28" t="n">
        <x:f>T106+U106</x:f>
        <x:v>35986.525040464156</x:v>
      </x:c>
      <x:c r="W106" s="22" t="n">
        <x:v>10</x:v>
      </x:c>
      <x:c r="X106" s="22" t="n">
        <x:v>113</x:v>
      </x:c>
      <x:c r="Y106" s="22" t="str">
        <x:v>主线</x:v>
      </x:c>
    </x:row>
    <x:row r="107" ht="24" customHeight="1">
      <x:c r="A107" s="22" t="str">
        <x:v>P0103</x:v>
      </x:c>
      <x:c r="B107" s="22" t="n">
        <x:v>4</x:v>
      </x:c>
      <x:c r="C107" s="22" t="n">
        <x:v>1</x:v>
      </x:c>
      <x:c r="D107" s="22" t="str">
        <x:v>C04入场继承</x:v>
      </x:c>
      <x:c r="E107" s="26" t="n">
        <x:v>0.07418349295538189</x:v>
      </x:c>
      <x:c r="F107" s="22" t="n">
        <x:v>3</x:v>
      </x:c>
      <x:c r="G107" s="22" t="n">
        <x:v>77</x:v>
      </x:c>
      <x:c r="H107" s="22" t="n">
        <x:v>0</x:v>
      </x:c>
      <x:c r="I107" s="22" t="n">
        <x:v>5</x:v>
      </x:c>
      <x:c r="J107" s="22" t="n">
        <x:f>'02_人物原始合计'!AG107+'02_人物原始合计'!AH107</x:f>
        <x:v>15</x:v>
      </x:c>
      <x:c r="K107" s="28" t="n">
        <x:f>'02_人物原始合计'!F107*(1+'02_人物原始合计'!Q107/100)</x:f>
        <x:v>37992.24</x:v>
      </x:c>
      <x:c r="L107" s="28" t="n">
        <x:f>'02_人物原始合计'!K107*(1+'02_人物原始合计'!AV107/100)</x:f>
        <x:v>944700</x:v>
      </x:c>
      <x:c r="M107" s="22" t="n">
        <x:f>MAX(0,MIN(50,'02_人物原始合计'!AD107,20+MIN(30,'02_人物原始合计'!AE107)))</x:f>
        <x:v>26</x:v>
      </x:c>
      <x:c r="N107" s="22" t="n">
        <x:f>IF(M107=0,1.75,IF(M107=10,2.2,IF(M107=20,2.9,IF(M107=30,4.3,IF(M107=40,8.5,IF(M107=50,14.3,IF(M107&lt;=40,1000/('01_参数'!$B$21-'01_参数'!$B$22*M107),1000/(1000/8.5+(M107-40)/10*(1000/14.3-1000/8.5)))))))))</x:f>
        <x:v>3.617573931056102</x:v>
      </x:c>
      <x:c r="O107" s="22" t="n">
        <x:v>402</x:v>
      </x:c>
      <x:c r="P107" s="26" t="n">
        <x:f>MAX(0,MIN('01_参数'!$B$20,'02_人物原始合计'!AM107/100,'01_参数'!$B$19+'02_人物原始合计'!AN107/100))</x:f>
        <x:v>0.43</x:v>
      </x:c>
      <x:c r="Q107" s="28" t="n">
        <x:f>((('02_人物原始合计'!E107+('02_人物原始合计'!F107-'02_人物原始合计'!E107)*IF(J107&gt;=12,1,0.5+0.5*MAX(0,J107)/12))*(1+'02_人物原始合计'!Q107/100))*(1+'02_人物原始合计'!U107/100+IF(J107&gt;=15,0.15,0))*(1+'02_人物原始合计'!V107/100)*(1+'02_人物原始合计'!T107)*(1+'02_人物原始合计'!W107*'01_参数'!$B$18)*(1+MAX(0,MIN(1,'02_人物原始合计'!X107/100))*('01_参数'!$B$16+'02_人物原始合计'!Y107/100-1))*(1+MAX(0,MIN(1,'02_人物原始合计'!Z107/100))*('01_参数'!$B$17+'02_人物原始合计'!AA107/100-1))+'02_人物原始合计'!AB107)*N107*'01_参数'!$B$7*'01_参数'!$B$8</x:f>
        <x:v>922731.4112939527</x:v>
      </x:c>
      <x:c r="R107" s="28" t="n">
        <x:f>Q107*'01_参数'!$B$5</x:f>
        <x:v>1845462.8225879055</x:v>
      </x:c>
      <x:c r="S107" s="28" t="n">
        <x:f>(('02_人物原始合计'!E107+('02_人物原始合计'!F107-'02_人物原始合计'!E107)*IF(J107&gt;=12,1,0.5+0.5*MAX(0,J107)/12))*(1+'02_人物原始合计'!Q107/100))*(1+'02_人物原始合计'!U107/100+IF(J107&gt;=15,0.15,0))*(1+'02_人物原始合计'!V107/100)*(1+'02_人物原始合计'!T107)*(1+'02_人物原始合计'!W107*'01_参数'!$B$18)*(1+MAX(0,MIN(1,'02_人物原始合计'!X107/100))*('01_参数'!$B$16+'02_人物原始合计'!Y107/100-1))*(1+MAX(0,MIN(1,'02_人物原始合计'!Z107/100))*('01_参数'!$B$17+'02_人物原始合计'!AA107/100-1))*N107*'01_参数'!$B$7*'01_参数'!$B$8*MAX(0,'02_人物原始合计'!AO107/100)</x:f>
        <x:v>27681.942338818582</x:v>
      </x:c>
      <x:c r="T107" s="28" t="n">
        <x:f>S107*'01_参数'!$B$6</x:f>
        <x:v>35986.525040464156</x:v>
      </x:c>
      <x:c r="U107" s="28" t="n">
        <x:v>0</x:v>
      </x:c>
      <x:c r="V107" s="28" t="n">
        <x:f>T107+U107</x:f>
        <x:v>35986.525040464156</x:v>
      </x:c>
      <x:c r="W107" s="22" t="n">
        <x:v>10</x:v>
      </x:c>
      <x:c r="X107" s="22" t="n">
        <x:v>113</x:v>
      </x:c>
      <x:c r="Y107" s="22" t="str">
        <x:v>主线</x:v>
      </x:c>
    </x:row>
    <x:row r="108" ht="24" customHeight="1">
      <x:c r="A108" s="22" t="str">
        <x:v>P0104</x:v>
      </x:c>
      <x:c r="B108" s="22" t="n">
        <x:v>4</x:v>
      </x:c>
      <x:c r="C108" s="22" t="n">
        <x:v>1</x:v>
      </x:c>
      <x:c r="D108" s="22" t="str">
        <x:v>C04本阶段既有付费/长期成长</x:v>
      </x:c>
      <x:c r="E108" s="26" t="n">
        <x:v>0.07418349295538189</x:v>
      </x:c>
      <x:c r="F108" s="22" t="n">
        <x:v>3</x:v>
      </x:c>
      <x:c r="G108" s="22" t="n">
        <x:v>80</x:v>
      </x:c>
      <x:c r="H108" s="22" t="n">
        <x:v>0</x:v>
      </x:c>
      <x:c r="I108" s="22" t="n">
        <x:v>5</x:v>
      </x:c>
      <x:c r="J108" s="22" t="n">
        <x:f>'02_人物原始合计'!AG108+'02_人物原始合计'!AH108</x:f>
        <x:v>15</x:v>
      </x:c>
      <x:c r="K108" s="28" t="n">
        <x:f>'02_人物原始合计'!F108*(1+'02_人物原始合计'!Q108/100)</x:f>
        <x:v>42728.6</x:v>
      </x:c>
      <x:c r="L108" s="28" t="n">
        <x:f>'02_人物原始合计'!K108*(1+'02_人物原始合计'!AV108/100)</x:f>
        <x:v>968400</x:v>
      </x:c>
      <x:c r="M108" s="22" t="n">
        <x:f>MAX(0,MIN(50,'02_人物原始合计'!AD108,20+MIN(30,'02_人物原始合计'!AE108)))</x:f>
        <x:v>26</x:v>
      </x:c>
      <x:c r="N108" s="22" t="n">
        <x:f>IF(M108=0,1.75,IF(M108=10,2.2,IF(M108=20,2.9,IF(M108=30,4.3,IF(M108=40,8.5,IF(M108=50,14.3,IF(M108&lt;=40,1000/('01_参数'!$B$21-'01_参数'!$B$22*M108),1000/(1000/8.5+(M108-40)/10*(1000/14.3-1000/8.5)))))))))</x:f>
        <x:v>3.617573931056102</x:v>
      </x:c>
      <x:c r="O108" s="22" t="n">
        <x:v>402</x:v>
      </x:c>
      <x:c r="P108" s="26" t="n">
        <x:f>MAX(0,MIN('01_参数'!$B$20,'02_人物原始合计'!AM108/100,'01_参数'!$B$19+'02_人物原始合计'!AN108/100))</x:f>
        <x:v>0.43</x:v>
      </x:c>
      <x:c r="Q108" s="28" t="n">
        <x:f>((('02_人物原始合计'!E108+('02_人物原始合计'!F108-'02_人物原始合计'!E108)*IF(J108&gt;=12,1,0.5+0.5*MAX(0,J108)/12))*(1+'02_人物原始合计'!Q108/100))*(1+'02_人物原始合计'!U108/100+IF(J108&gt;=15,0.15,0))*(1+'02_人物原始合计'!V108/100)*(1+'02_人物原始合计'!T108)*(1+'02_人物原始合计'!W108*'01_参数'!$B$18)*(1+MAX(0,MIN(1,'02_人物原始合计'!X108/100))*('01_参数'!$B$16+'02_人物原始合计'!Y108/100-1))*(1+MAX(0,MIN(1,'02_人物原始合计'!Z108/100))*('01_参数'!$B$17+'02_人物原始合计'!AA108/100-1))+'02_人物原始合计'!AB108)*N108*'01_参数'!$B$7*'01_参数'!$B$8</x:f>
        <x:v>1116003.1442509114</x:v>
      </x:c>
      <x:c r="R108" s="28" t="n">
        <x:f>Q108*'01_参数'!$B$5</x:f>
        <x:v>2232006.288501823</x:v>
      </x:c>
      <x:c r="S108" s="28" t="n">
        <x:f>(('02_人物原始合计'!E108+('02_人物原始合计'!F108-'02_人物原始合计'!E108)*IF(J108&gt;=12,1,0.5+0.5*MAX(0,J108)/12))*(1+'02_人物原始合计'!Q108/100))*(1+'02_人物原始合计'!U108/100+IF(J108&gt;=15,0.15,0))*(1+'02_人物原始合计'!V108/100)*(1+'02_人物原始合计'!T108)*(1+'02_人物原始合计'!W108*'01_参数'!$B$18)*(1+MAX(0,MIN(1,'02_人物原始合计'!X108/100))*('01_参数'!$B$16+'02_人物原始合计'!Y108/100-1))*(1+MAX(0,MIN(1,'02_人物原始合计'!Z108/100))*('01_参数'!$B$17+'02_人物原始合计'!AA108/100-1))*N108*'01_参数'!$B$7*'01_参数'!$B$8*MAX(0,'02_人物原始合计'!AO108/100)</x:f>
        <x:v>44640.12577003646</x:v>
      </x:c>
      <x:c r="T108" s="28" t="n">
        <x:f>S108*'01_参数'!$B$6</x:f>
        <x:v>58032.1635010474</x:v>
      </x:c>
      <x:c r="U108" s="28" t="n">
        <x:v>0</x:v>
      </x:c>
      <x:c r="V108" s="28" t="n">
        <x:f>T108+U108</x:f>
        <x:v>58032.1635010474</x:v>
      </x:c>
      <x:c r="W108" s="22" t="n">
        <x:v>10</x:v>
      </x:c>
      <x:c r="X108" s="22" t="n">
        <x:v>113</x:v>
      </x:c>
      <x:c r="Y108" s="22" t="str">
        <x:v>主线</x:v>
      </x:c>
    </x:row>
    <x:row r="109" ht="24" customHeight="1">
      <x:c r="A109" s="22" t="str">
        <x:v>P0105</x:v>
      </x:c>
      <x:c r="B109" s="22" t="n">
        <x:v>4</x:v>
      </x:c>
      <x:c r="C109" s="22" t="n">
        <x:v>1</x:v>
      </x:c>
      <x:c r="D109" s="22" t="str">
        <x:v>C04G01入场</x:v>
      </x:c>
      <x:c r="E109" s="26" t="n">
        <x:v>0.07418349295538189</x:v>
      </x:c>
      <x:c r="F109" s="22" t="n">
        <x:v>3</x:v>
      </x:c>
      <x:c r="G109" s="22" t="n">
        <x:v>80</x:v>
      </x:c>
      <x:c r="H109" s="22" t="n">
        <x:v>0</x:v>
      </x:c>
      <x:c r="I109" s="22" t="n">
        <x:v>5</x:v>
      </x:c>
      <x:c r="J109" s="22" t="n">
        <x:f>'02_人物原始合计'!AG109+'02_人物原始合计'!AH109</x:f>
        <x:v>15</x:v>
      </x:c>
      <x:c r="K109" s="28" t="n">
        <x:f>'02_人物原始合计'!F109*(1+'02_人物原始合计'!Q109/100)</x:f>
        <x:v>42728.6</x:v>
      </x:c>
      <x:c r="L109" s="28" t="n">
        <x:f>'02_人物原始合计'!K109*(1+'02_人物原始合计'!AV109/100)</x:f>
        <x:v>968400</x:v>
      </x:c>
      <x:c r="M109" s="22" t="n">
        <x:f>MAX(0,MIN(50,'02_人物原始合计'!AD109,20+MIN(30,'02_人物原始合计'!AE109)))</x:f>
        <x:v>26</x:v>
      </x:c>
      <x:c r="N109" s="22" t="n">
        <x:f>IF(M109=0,1.75,IF(M109=10,2.2,IF(M109=20,2.9,IF(M109=30,4.3,IF(M109=40,8.5,IF(M109=50,14.3,IF(M109&lt;=40,1000/('01_参数'!$B$21-'01_参数'!$B$22*M109),1000/(1000/8.5+(M109-40)/10*(1000/14.3-1000/8.5)))))))))</x:f>
        <x:v>3.617573931056102</x:v>
      </x:c>
      <x:c r="O109" s="22" t="n">
        <x:v>402</x:v>
      </x:c>
      <x:c r="P109" s="26" t="n">
        <x:f>MAX(0,MIN('01_参数'!$B$20,'02_人物原始合计'!AM109/100,'01_参数'!$B$19+'02_人物原始合计'!AN109/100))</x:f>
        <x:v>0.43</x:v>
      </x:c>
      <x:c r="Q109" s="28" t="n">
        <x:f>((('02_人物原始合计'!E109+('02_人物原始合计'!F109-'02_人物原始合计'!E109)*IF(J109&gt;=12,1,0.5+0.5*MAX(0,J109)/12))*(1+'02_人物原始合计'!Q109/100))*(1+'02_人物原始合计'!U109/100+IF(J109&gt;=15,0.15,0))*(1+'02_人物原始合计'!V109/100)*(1+'02_人物原始合计'!T109)*(1+'02_人物原始合计'!W109*'01_参数'!$B$18)*(1+MAX(0,MIN(1,'02_人物原始合计'!X109/100))*('01_参数'!$B$16+'02_人物原始合计'!Y109/100-1))*(1+MAX(0,MIN(1,'02_人物原始合计'!Z109/100))*('01_参数'!$B$17+'02_人物原始合计'!AA109/100-1))+'02_人物原始合计'!AB109)*N109*'01_参数'!$B$7*'01_参数'!$B$8</x:f>
        <x:v>1116003.1442509114</x:v>
      </x:c>
      <x:c r="R109" s="28" t="n">
        <x:f>Q109*'01_参数'!$B$5</x:f>
        <x:v>2232006.288501823</x:v>
      </x:c>
      <x:c r="S109" s="28" t="n">
        <x:f>(('02_人物原始合计'!E109+('02_人物原始合计'!F109-'02_人物原始合计'!E109)*IF(J109&gt;=12,1,0.5+0.5*MAX(0,J109)/12))*(1+'02_人物原始合计'!Q109/100))*(1+'02_人物原始合计'!U109/100+IF(J109&gt;=15,0.15,0))*(1+'02_人物原始合计'!V109/100)*(1+'02_人物原始合计'!T109)*(1+'02_人物原始合计'!W109*'01_参数'!$B$18)*(1+MAX(0,MIN(1,'02_人物原始合计'!X109/100))*('01_参数'!$B$16+'02_人物原始合计'!Y109/100-1))*(1+MAX(0,MIN(1,'02_人物原始合计'!Z109/100))*('01_参数'!$B$17+'02_人物原始合计'!AA109/100-1))*N109*'01_参数'!$B$7*'01_参数'!$B$8*MAX(0,'02_人物原始合计'!AO109/100)</x:f>
        <x:v>44640.12577003646</x:v>
      </x:c>
      <x:c r="T109" s="28" t="n">
        <x:f>S109*'01_参数'!$B$6</x:f>
        <x:v>58032.1635010474</x:v>
      </x:c>
      <x:c r="U109" s="28" t="n">
        <x:v>0</x:v>
      </x:c>
      <x:c r="V109" s="28" t="n">
        <x:f>T109+U109</x:f>
        <x:v>58032.1635010474</x:v>
      </x:c>
      <x:c r="W109" s="22" t="n">
        <x:v>10</x:v>
      </x:c>
      <x:c r="X109" s="22" t="n">
        <x:v>113</x:v>
      </x:c>
      <x:c r="Y109" s="22" t="str">
        <x:v>主线</x:v>
      </x:c>
    </x:row>
    <x:row r="110" ht="24" customHeight="1">
      <x:c r="A110" s="22" t="str">
        <x:v>P0106</x:v>
      </x:c>
      <x:c r="B110" s="22" t="n">
        <x:v>4</x:v>
      </x:c>
      <x:c r="C110" s="22" t="n">
        <x:v>1</x:v>
      </x:c>
      <x:c r="D110" s="22" t="str">
        <x:v>C04G01普通专属4/6</x:v>
      </x:c>
      <x:c r="E110" s="26" t="n">
        <x:v>0.07520636335738812</x:v>
      </x:c>
      <x:c r="F110" s="22" t="n">
        <x:v>3</x:v>
      </x:c>
      <x:c r="G110" s="22" t="n">
        <x:v>80</x:v>
      </x:c>
      <x:c r="H110" s="22" t="n">
        <x:v>0</x:v>
      </x:c>
      <x:c r="I110" s="22" t="n">
        <x:v>5</x:v>
      </x:c>
      <x:c r="J110" s="22" t="n">
        <x:f>'02_人物原始合计'!AG110+'02_人物原始合计'!AH110</x:f>
        <x:v>15</x:v>
      </x:c>
      <x:c r="K110" s="28" t="n">
        <x:f>'02_人物原始合计'!F110*(1+'02_人物原始合计'!Q110/100)</x:f>
        <x:v>43185.479999999996</x:v>
      </x:c>
      <x:c r="L110" s="28" t="n">
        <x:f>'02_人物原始合计'!K110*(1+'02_人物原始合计'!AV110/100)</x:f>
        <x:v>972500</x:v>
      </x:c>
      <x:c r="M110" s="22" t="n">
        <x:f>MAX(0,MIN(50,'02_人物原始合计'!AD110,20+MIN(30,'02_人物原始合计'!AE110)))</x:f>
        <x:v>26</x:v>
      </x:c>
      <x:c r="N110" s="22" t="n">
        <x:f>IF(M110=0,1.75,IF(M110=10,2.2,IF(M110=20,2.9,IF(M110=30,4.3,IF(M110=40,8.5,IF(M110=50,14.3,IF(M110&lt;=40,1000/('01_参数'!$B$21-'01_参数'!$B$22*M110),1000/(1000/8.5+(M110-40)/10*(1000/14.3-1000/8.5)))))))))</x:f>
        <x:v>3.617573931056102</x:v>
      </x:c>
      <x:c r="O110" s="22" t="n">
        <x:v>402</x:v>
      </x:c>
      <x:c r="P110" s="26" t="n">
        <x:f>MAX(0,MIN('01_参数'!$B$20,'02_人物原始合计'!AM110/100,'01_参数'!$B$19+'02_人物原始合计'!AN110/100))</x:f>
        <x:v>0.43</x:v>
      </x:c>
      <x:c r="Q110" s="28" t="n">
        <x:f>((('02_人物原始合计'!E110+('02_人物原始合计'!F110-'02_人物原始合计'!E110)*IF(J110&gt;=12,1,0.5+0.5*MAX(0,J110)/12))*(1+'02_人物原始合计'!Q110/100))*(1+'02_人物原始合计'!U110/100+IF(J110&gt;=15,0.15,0))*(1+'02_人物原始合计'!V110/100)*(1+'02_人物原始合计'!T110)*(1+'02_人物原始合计'!W110*'01_参数'!$B$18)*(1+MAX(0,MIN(1,'02_人物原始合计'!X110/100))*('01_参数'!$B$16+'02_人物原始合计'!Y110/100-1))*(1+MAX(0,MIN(1,'02_人物原始合计'!Z110/100))*('01_参数'!$B$17+'02_人物原始合计'!AA110/100-1))+'02_人物原始合计'!AB110)*N110*'01_参数'!$B$7*'01_参数'!$B$8</x:f>
        <x:v>1188952.9810875987</x:v>
      </x:c>
      <x:c r="R110" s="28" t="n">
        <x:f>Q110*'01_参数'!$B$5</x:f>
        <x:v>2377905.9621751974</x:v>
      </x:c>
      <x:c r="S110" s="28" t="n">
        <x:f>(('02_人物原始合计'!E110+('02_人物原始合计'!F110-'02_人物原始合计'!E110)*IF(J110&gt;=12,1,0.5+0.5*MAX(0,J110)/12))*(1+'02_人物原始合计'!Q110/100))*(1+'02_人物原始合计'!U110/100+IF(J110&gt;=15,0.15,0))*(1+'02_人物原始合计'!V110/100)*(1+'02_人物原始合计'!T110)*(1+'02_人物原始合计'!W110*'01_参数'!$B$18)*(1+MAX(0,MIN(1,'02_人物原始合计'!X110/100))*('01_参数'!$B$16+'02_人物原始合计'!Y110/100-1))*(1+MAX(0,MIN(1,'02_人物原始合计'!Z110/100))*('01_参数'!$B$17+'02_人物原始合计'!AA110/100-1))*N110*'01_参数'!$B$7*'01_参数'!$B$8*MAX(0,'02_人物原始合计'!AO110/100)</x:f>
        <x:v>47558.11924350395</x:v>
      </x:c>
      <x:c r="T110" s="28" t="n">
        <x:f>S110*'01_参数'!$B$6</x:f>
        <x:v>61825.55501655513</x:v>
      </x:c>
      <x:c r="U110" s="28" t="n">
        <x:v>0</x:v>
      </x:c>
      <x:c r="V110" s="28" t="n">
        <x:f>T110+U110</x:f>
        <x:v>61825.55501655513</x:v>
      </x:c>
      <x:c r="W110" s="22" t="n">
        <x:v>10</x:v>
      </x:c>
      <x:c r="X110" s="22" t="n">
        <x:v>113</x:v>
      </x:c>
      <x:c r="Y110" s="22" t="str">
        <x:v>主线</x:v>
      </x:c>
    </x:row>
    <x:row r="111" ht="24" customHeight="1">
      <x:c r="A111" s="22" t="str">
        <x:v>P0107</x:v>
      </x:c>
      <x:c r="B111" s="22" t="n">
        <x:v>4</x:v>
      </x:c>
      <x:c r="C111" s="22" t="n">
        <x:v>1</x:v>
      </x:c>
      <x:c r="D111" s="22" t="str">
        <x:v>潮痕猎首·葛弥挑战前</x:v>
      </x:c>
      <x:c r="E111" s="26" t="n">
        <x:v>0.07520636335738812</x:v>
      </x:c>
      <x:c r="F111" s="22" t="n">
        <x:v>3</x:v>
      </x:c>
      <x:c r="G111" s="22" t="n">
        <x:v>82</x:v>
      </x:c>
      <x:c r="H111" s="22" t="n">
        <x:v>0</x:v>
      </x:c>
      <x:c r="I111" s="22" t="n">
        <x:v>5</x:v>
      </x:c>
      <x:c r="J111" s="22" t="n">
        <x:f>'02_人物原始合计'!AG111+'02_人物原始合计'!AH111</x:f>
        <x:v>15</x:v>
      </x:c>
      <x:c r="K111" s="28" t="n">
        <x:f>'02_人物原始合计'!F111*(1+'02_人物原始合计'!Q111/100)</x:f>
        <x:v>47545.6</x:v>
      </x:c>
      <x:c r="L111" s="28" t="n">
        <x:f>'02_人物原始合计'!K111*(1+'02_人物原始合计'!AV111/100)</x:f>
        <x:v>988800</x:v>
      </x:c>
      <x:c r="M111" s="22" t="n">
        <x:f>MAX(0,MIN(50,'02_人物原始合计'!AD111,20+MIN(30,'02_人物原始合计'!AE111)))</x:f>
        <x:v>26</x:v>
      </x:c>
      <x:c r="N111" s="22" t="n">
        <x:f>IF(M111=0,1.75,IF(M111=10,2.2,IF(M111=20,2.9,IF(M111=30,4.3,IF(M111=40,8.5,IF(M111=50,14.3,IF(M111&lt;=40,1000/('01_参数'!$B$21-'01_参数'!$B$22*M111),1000/(1000/8.5+(M111-40)/10*(1000/14.3-1000/8.5)))))))))</x:f>
        <x:v>3.617573931056102</x:v>
      </x:c>
      <x:c r="O111" s="22" t="n">
        <x:v>402</x:v>
      </x:c>
      <x:c r="P111" s="26" t="n">
        <x:f>MAX(0,MIN('01_参数'!$B$20,'02_人物原始合计'!AM111/100,'01_参数'!$B$19+'02_人物原始合计'!AN111/100))</x:f>
        <x:v>0.43</x:v>
      </x:c>
      <x:c r="Q111" s="28" t="n">
        <x:f>((('02_人物原始合计'!E111+('02_人物原始合计'!F111-'02_人物原始合计'!E111)*IF(J111&gt;=12,1,0.5+0.5*MAX(0,J111)/12))*(1+'02_人物原始合计'!Q111/100))*(1+'02_人物原始合计'!U111/100+IF(J111&gt;=15,0.15,0))*(1+'02_人物原始合计'!V111/100)*(1+'02_人物原始合计'!T111)*(1+'02_人物原始合计'!W111*'01_参数'!$B$18)*(1+MAX(0,MIN(1,'02_人物原始合计'!X111/100))*('01_参数'!$B$16+'02_人物原始合计'!Y111/100-1))*(1+MAX(0,MIN(1,'02_人物原始合计'!Z111/100))*('01_参数'!$B$17+'02_人物原始合计'!AA111/100-1))+'02_人物原始合计'!AB111)*N111*'01_参数'!$B$7*'01_参数'!$B$8</x:f>
        <x:v>1323653.5304367032</x:v>
      </x:c>
      <x:c r="R111" s="28" t="n">
        <x:f>Q111*'01_参数'!$B$5</x:f>
        <x:v>2647307.0608734065</x:v>
      </x:c>
      <x:c r="S111" s="28" t="n">
        <x:f>(('02_人物原始合计'!E111+('02_人物原始合计'!F111-'02_人物原始合计'!E111)*IF(J111&gt;=12,1,0.5+0.5*MAX(0,J111)/12))*(1+'02_人物原始合计'!Q111/100))*(1+'02_人物原始合计'!U111/100+IF(J111&gt;=15,0.15,0))*(1+'02_人物原始合计'!V111/100)*(1+'02_人物原始合计'!T111)*(1+'02_人物原始合计'!W111*'01_参数'!$B$18)*(1+MAX(0,MIN(1,'02_人物原始合计'!X111/100))*('01_参数'!$B$16+'02_人物原始合计'!Y111/100-1))*(1+MAX(0,MIN(1,'02_人物原始合计'!Z111/100))*('01_参数'!$B$17+'02_人物原始合计'!AA111/100-1))*N111*'01_参数'!$B$7*'01_参数'!$B$8*MAX(0,'02_人物原始合计'!AO111/100)</x:f>
        <x:v>52946.14121746813</x:v>
      </x:c>
      <x:c r="T111" s="28" t="n">
        <x:f>S111*'01_参数'!$B$6</x:f>
        <x:v>68829.98358270858</x:v>
      </x:c>
      <x:c r="U111" s="28" t="n">
        <x:v>0</x:v>
      </x:c>
      <x:c r="V111" s="28" t="n">
        <x:f>T111+U111</x:f>
        <x:v>68829.98358270858</x:v>
      </x:c>
      <x:c r="W111" s="22" t="n">
        <x:v>10</x:v>
      </x:c>
      <x:c r="X111" s="22" t="n">
        <x:v>113</x:v>
      </x:c>
      <x:c r="Y111" s="22" t="str">
        <x:v>主线</x:v>
      </x:c>
    </x:row>
    <x:row r="112" ht="24" customHeight="1">
      <x:c r="A112" s="22" t="str">
        <x:v>P0108</x:v>
      </x:c>
      <x:c r="B112" s="22" t="n">
        <x:v>4</x:v>
      </x:c>
      <x:c r="C112" s="22" t="n">
        <x:v>1</x:v>
      </x:c>
      <x:c r="D112" s="22" t="str">
        <x:v>沼冠腐龙·弥瑟挑战前</x:v>
      </x:c>
      <x:c r="E112" s="26" t="n">
        <x:v>0.07520636335738812</x:v>
      </x:c>
      <x:c r="F112" s="22" t="n">
        <x:v>3</x:v>
      </x:c>
      <x:c r="G112" s="22" t="n">
        <x:v>82</x:v>
      </x:c>
      <x:c r="H112" s="22" t="n">
        <x:v>0</x:v>
      </x:c>
      <x:c r="I112" s="22" t="n">
        <x:v>5</x:v>
      </x:c>
      <x:c r="J112" s="22" t="n">
        <x:f>'02_人物原始合计'!AG112+'02_人物原始合计'!AH112</x:f>
        <x:v>15</x:v>
      </x:c>
      <x:c r="K112" s="28" t="n">
        <x:f>'02_人物原始合计'!F112*(1+'02_人物原始合计'!Q112/100)</x:f>
        <x:v>47545.6</x:v>
      </x:c>
      <x:c r="L112" s="28" t="n">
        <x:f>'02_人物原始合计'!K112*(1+'02_人物原始合计'!AV112/100)</x:f>
        <x:v>988800</x:v>
      </x:c>
      <x:c r="M112" s="22" t="n">
        <x:f>MAX(0,MIN(50,'02_人物原始合计'!AD112,20+MIN(30,'02_人物原始合计'!AE112)))</x:f>
        <x:v>26</x:v>
      </x:c>
      <x:c r="N112" s="22" t="n">
        <x:f>IF(M112=0,1.75,IF(M112=10,2.2,IF(M112=20,2.9,IF(M112=30,4.3,IF(M112=40,8.5,IF(M112=50,14.3,IF(M112&lt;=40,1000/('01_参数'!$B$21-'01_参数'!$B$22*M112),1000/(1000/8.5+(M112-40)/10*(1000/14.3-1000/8.5)))))))))</x:f>
        <x:v>3.617573931056102</x:v>
      </x:c>
      <x:c r="O112" s="22" t="n">
        <x:v>402</x:v>
      </x:c>
      <x:c r="P112" s="26" t="n">
        <x:f>MAX(0,MIN('01_参数'!$B$20,'02_人物原始合计'!AM112/100,'01_参数'!$B$19+'02_人物原始合计'!AN112/100))</x:f>
        <x:v>0.43</x:v>
      </x:c>
      <x:c r="Q112" s="28" t="n">
        <x:f>((('02_人物原始合计'!E112+('02_人物原始合计'!F112-'02_人物原始合计'!E112)*IF(J112&gt;=12,1,0.5+0.5*MAX(0,J112)/12))*(1+'02_人物原始合计'!Q112/100))*(1+'02_人物原始合计'!U112/100+IF(J112&gt;=15,0.15,0))*(1+'02_人物原始合计'!V112/100)*(1+'02_人物原始合计'!T112)*(1+'02_人物原始合计'!W112*'01_参数'!$B$18)*(1+MAX(0,MIN(1,'02_人物原始合计'!X112/100))*('01_参数'!$B$16+'02_人物原始合计'!Y112/100-1))*(1+MAX(0,MIN(1,'02_人物原始合计'!Z112/100))*('01_参数'!$B$17+'02_人物原始合计'!AA112/100-1))+'02_人物原始合计'!AB112)*N112*'01_参数'!$B$7*'01_参数'!$B$8</x:f>
        <x:v>1323653.5304367032</x:v>
      </x:c>
      <x:c r="R112" s="28" t="n">
        <x:f>Q112*'01_参数'!$B$5</x:f>
        <x:v>2647307.0608734065</x:v>
      </x:c>
      <x:c r="S112" s="28" t="n">
        <x:f>(('02_人物原始合计'!E112+('02_人物原始合计'!F112-'02_人物原始合计'!E112)*IF(J112&gt;=12,1,0.5+0.5*MAX(0,J112)/12))*(1+'02_人物原始合计'!Q112/100))*(1+'02_人物原始合计'!U112/100+IF(J112&gt;=15,0.15,0))*(1+'02_人物原始合计'!V112/100)*(1+'02_人物原始合计'!T112)*(1+'02_人物原始合计'!W112*'01_参数'!$B$18)*(1+MAX(0,MIN(1,'02_人物原始合计'!X112/100))*('01_参数'!$B$16+'02_人物原始合计'!Y112/100-1))*(1+MAX(0,MIN(1,'02_人物原始合计'!Z112/100))*('01_参数'!$B$17+'02_人物原始合计'!AA112/100-1))*N112*'01_参数'!$B$7*'01_参数'!$B$8*MAX(0,'02_人物原始合计'!AO112/100)</x:f>
        <x:v>52946.14121746813</x:v>
      </x:c>
      <x:c r="T112" s="28" t="n">
        <x:f>S112*'01_参数'!$B$6</x:f>
        <x:v>68829.98358270858</x:v>
      </x:c>
      <x:c r="U112" s="28" t="n">
        <x:v>0</x:v>
      </x:c>
      <x:c r="V112" s="28" t="n">
        <x:f>T112+U112</x:f>
        <x:v>68829.98358270858</x:v>
      </x:c>
      <x:c r="W112" s="22" t="n">
        <x:v>10</x:v>
      </x:c>
      <x:c r="X112" s="22" t="n">
        <x:v>113</x:v>
      </x:c>
      <x:c r="Y112" s="22" t="str">
        <x:v>主线</x:v>
      </x:c>
    </x:row>
    <x:row r="113" ht="24" customHeight="1">
      <x:c r="A113" s="22" t="str">
        <x:v>P0109</x:v>
      </x:c>
      <x:c r="B113" s="22" t="n">
        <x:v>4</x:v>
      </x:c>
      <x:c r="C113" s="22" t="n">
        <x:v>1</x:v>
      </x:c>
      <x:c r="D113" s="22" t="str">
        <x:v>雾潮湿地BOSS装备快线</x:v>
      </x:c>
      <x:c r="E113" s="26" t="n">
        <x:v>0.08677310372543859</x:v>
      </x:c>
      <x:c r="F113" s="22" t="n">
        <x:v>3</x:v>
      </x:c>
      <x:c r="G113" s="22" t="n">
        <x:v>82</x:v>
      </x:c>
      <x:c r="H113" s="22" t="n">
        <x:v>0</x:v>
      </x:c>
      <x:c r="I113" s="22" t="n">
        <x:v>5</x:v>
      </x:c>
      <x:c r="J113" s="22" t="n">
        <x:f>'02_人物原始合计'!AG113+'02_人物原始合计'!AH113</x:f>
        <x:v>15</x:v>
      </x:c>
      <x:c r="K113" s="28" t="n">
        <x:f>'02_人物原始合计'!F113*(1+'02_人物原始合计'!Q113/100)</x:f>
        <x:v>48488.439999999995</x:v>
      </x:c>
      <x:c r="L113" s="28" t="n">
        <x:f>'02_人物原始合计'!K113*(1+'02_人物原始合计'!AV113/100)</x:f>
        <x:v>1035400</x:v>
      </x:c>
      <x:c r="M113" s="22" t="n">
        <x:f>MAX(0,MIN(50,'02_人物原始合计'!AD113,20+MIN(30,'02_人物原始合计'!AE113)))</x:f>
        <x:v>27</x:v>
      </x:c>
      <x:c r="N113" s="22" t="n">
        <x:f>IF(M113=0,1.75,IF(M113=10,2.2,IF(M113=20,2.9,IF(M113=30,4.3,IF(M113=40,8.5,IF(M113=50,14.3,IF(M113&lt;=40,1000/('01_参数'!$B$21-'01_参数'!$B$22*M113),1000/(1000/8.5+(M113-40)/10*(1000/14.3-1000/8.5)))))))))</x:f>
        <x:v>3.7716940913647403</x:v>
      </x:c>
      <x:c r="O113" s="22" t="n">
        <x:v>402</x:v>
      </x:c>
      <x:c r="P113" s="26" t="n">
        <x:f>MAX(0,MIN('01_参数'!$B$20,'02_人物原始合计'!AM113/100,'01_参数'!$B$19+'02_人物原始合计'!AN113/100))</x:f>
        <x:v>0.44</x:v>
      </x:c>
      <x:c r="Q113" s="28" t="n">
        <x:f>((('02_人物原始合计'!E113+('02_人物原始合计'!F113-'02_人物原始合计'!E113)*IF(J113&gt;=12,1,0.5+0.5*MAX(0,J113)/12))*(1+'02_人物原始合计'!Q113/100))*(1+'02_人物原始合计'!U113/100+IF(J113&gt;=15,0.15,0))*(1+'02_人物原始合计'!V113/100)*(1+'02_人物原始合计'!T113)*(1+'02_人物原始合计'!W113*'01_参数'!$B$18)*(1+MAX(0,MIN(1,'02_人物原始合计'!X113/100))*('01_参数'!$B$16+'02_人物原始合计'!Y113/100-1))*(1+MAX(0,MIN(1,'02_人物原始合计'!Z113/100))*('01_参数'!$B$17+'02_人物原始合计'!AA113/100-1))+'02_人物原始合计'!AB113)*N113*'01_参数'!$B$7*'01_参数'!$B$8</x:f>
        <x:v>1647620.6514059128</x:v>
      </x:c>
      <x:c r="R113" s="28" t="n">
        <x:f>Q113*'01_参数'!$B$5</x:f>
        <x:v>3295241.3028118256</x:v>
      </x:c>
      <x:c r="S113" s="28" t="n">
        <x:f>(('02_人物原始合计'!E113+('02_人物原始合计'!F113-'02_人物原始合计'!E113)*IF(J113&gt;=12,1,0.5+0.5*MAX(0,J113)/12))*(1+'02_人物原始合计'!Q113/100))*(1+'02_人物原始合计'!U113/100+IF(J113&gt;=15,0.15,0))*(1+'02_人物原始合计'!V113/100)*(1+'02_人物原始合计'!T113)*(1+'02_人物原始合计'!W113*'01_参数'!$B$18)*(1+MAX(0,MIN(1,'02_人物原始合计'!X113/100))*('01_参数'!$B$16+'02_人物原始合计'!Y113/100-1))*(1+MAX(0,MIN(1,'02_人物原始合计'!Z113/100))*('01_参数'!$B$17+'02_人物原始合计'!AA113/100-1))*N113*'01_参数'!$B$7*'01_参数'!$B$8*MAX(0,'02_人物原始合计'!AO113/100)</x:f>
        <x:v>98857.23908435476</x:v>
      </x:c>
      <x:c r="T113" s="28" t="n">
        <x:f>S113*'01_参数'!$B$6</x:f>
        <x:v>128514.41080966119</x:v>
      </x:c>
      <x:c r="U113" s="28" t="n">
        <x:v>0</x:v>
      </x:c>
      <x:c r="V113" s="28" t="n">
        <x:f>T113+U113</x:f>
        <x:v>128514.41080966119</x:v>
      </x:c>
      <x:c r="W113" s="22" t="n">
        <x:v>10</x:v>
      </x:c>
      <x:c r="X113" s="22" t="n">
        <x:v>113</x:v>
      </x:c>
      <x:c r="Y113" s="22" t="str">
        <x:v>C04G01BOSS强装对照</x:v>
      </x:c>
    </x:row>
    <x:row r="114" ht="24" customHeight="1">
      <x:c r="A114" s="22" t="str">
        <x:v>P0110</x:v>
      </x:c>
      <x:c r="B114" s="22" t="n">
        <x:v>4</x:v>
      </x:c>
      <x:c r="C114" s="22" t="n">
        <x:v>1</x:v>
      </x:c>
      <x:c r="D114" s="22" t="str">
        <x:v>雾潮湿地阶段积累后</x:v>
      </x:c>
      <x:c r="E114" s="26" t="n">
        <x:v>0.07958136335738812</x:v>
      </x:c>
      <x:c r="F114" s="22" t="n">
        <x:v>3</x:v>
      </x:c>
      <x:c r="G114" s="22" t="n">
        <x:v>82</x:v>
      </x:c>
      <x:c r="H114" s="22" t="n">
        <x:v>5</x:v>
      </x:c>
      <x:c r="I114" s="22" t="n">
        <x:v>5</x:v>
      </x:c>
      <x:c r="J114" s="22" t="n">
        <x:f>'02_人物原始合计'!AG114+'02_人物原始合计'!AH114</x:f>
        <x:v>15</x:v>
      </x:c>
      <x:c r="K114" s="28" t="n">
        <x:f>'02_人物原始合计'!F114*(1+'02_人物原始合计'!Q114/100)</x:f>
        <x:v>47576</x:v>
      </x:c>
      <x:c r="L114" s="28" t="n">
        <x:f>'02_人物原始合计'!K114*(1+'02_人物原始合计'!AV114/100)</x:f>
        <x:v>989300</x:v>
      </x:c>
      <x:c r="M114" s="22" t="n">
        <x:f>MAX(0,MIN(50,'02_人物原始合计'!AD114,20+MIN(30,'02_人物原始合计'!AE114)))</x:f>
        <x:v>26</x:v>
      </x:c>
      <x:c r="N114" s="22" t="n">
        <x:f>IF(M114=0,1.75,IF(M114=10,2.2,IF(M114=20,2.9,IF(M114=30,4.3,IF(M114=40,8.5,IF(M114=50,14.3,IF(M114&lt;=40,1000/('01_参数'!$B$21-'01_参数'!$B$22*M114),1000/(1000/8.5+(M114-40)/10*(1000/14.3-1000/8.5)))))))))</x:f>
        <x:v>3.617573931056102</x:v>
      </x:c>
      <x:c r="O114" s="22" t="n">
        <x:v>402</x:v>
      </x:c>
      <x:c r="P114" s="26" t="n">
        <x:f>MAX(0,MIN('01_参数'!$B$20,'02_人物原始合计'!AM114/100,'01_参数'!$B$19+'02_人物原始合计'!AN114/100))</x:f>
        <x:v>0.43</x:v>
      </x:c>
      <x:c r="Q114" s="28" t="n">
        <x:f>((('02_人物原始合计'!E114+('02_人物原始合计'!F114-'02_人物原始合计'!E114)*IF(J114&gt;=12,1,0.5+0.5*MAX(0,J114)/12))*(1+'02_人物原始合计'!Q114/100))*(1+'02_人物原始合计'!U114/100+IF(J114&gt;=15,0.15,0))*(1+'02_人物原始合计'!V114/100)*(1+'02_人物原始合计'!T114)*(1+'02_人物原始合计'!W114*'01_参数'!$B$18)*(1+MAX(0,MIN(1,'02_人物原始合计'!X114/100))*('01_参数'!$B$16+'02_人物原始合计'!Y114/100-1))*(1+MAX(0,MIN(1,'02_人物原始合计'!Z114/100))*('01_参数'!$B$17+'02_人物原始合计'!AA114/100-1))+'02_人物原始合计'!AB114)*N114*'01_参数'!$B$7*'01_参数'!$B$8</x:f>
        <x:v>1563148.4789663877</x:v>
      </x:c>
      <x:c r="R114" s="28" t="n">
        <x:f>Q114*'01_参数'!$B$5</x:f>
        <x:v>3126296.9579327754</x:v>
      </x:c>
      <x:c r="S114" s="28" t="n">
        <x:f>(('02_人物原始合计'!E114+('02_人物原始合计'!F114-'02_人物原始合计'!E114)*IF(J114&gt;=12,1,0.5+0.5*MAX(0,J114)/12))*(1+'02_人物原始合计'!Q114/100))*(1+'02_人物原始合计'!U114/100+IF(J114&gt;=15,0.15,0))*(1+'02_人物原始合计'!V114/100)*(1+'02_人物原始合计'!T114)*(1+'02_人物原始合计'!W114*'01_参数'!$B$18)*(1+MAX(0,MIN(1,'02_人物原始合计'!X114/100))*('01_参数'!$B$16+'02_人物原始合计'!Y114/100-1))*(1+MAX(0,MIN(1,'02_人物原始合计'!Z114/100))*('01_参数'!$B$17+'02_人物原始合计'!AA114/100-1))*N114*'01_参数'!$B$7*'01_参数'!$B$8*MAX(0,'02_人物原始合计'!AO114/100)</x:f>
        <x:v>62525.93915865551</x:v>
      </x:c>
      <x:c r="T114" s="28" t="n">
        <x:f>S114*'01_参数'!$B$6</x:f>
        <x:v>81283.72090625216</x:v>
      </x:c>
      <x:c r="U114" s="28" t="n">
        <x:v>0</x:v>
      </x:c>
      <x:c r="V114" s="28" t="n">
        <x:f>T114+U114</x:f>
        <x:v>81283.72090625216</x:v>
      </x:c>
      <x:c r="W114" s="22" t="n">
        <x:v>10</x:v>
      </x:c>
      <x:c r="X114" s="22" t="n">
        <x:v>114</x:v>
      </x:c>
      <x:c r="Y114" s="22" t="str">
        <x:v>主线</x:v>
      </x:c>
    </x:row>
    <x:row r="115" ht="24" customHeight="1">
      <x:c r="A115" s="22" t="str">
        <x:v>P0111</x:v>
      </x:c>
      <x:c r="B115" s="22" t="n">
        <x:v>4</x:v>
      </x:c>
      <x:c r="C115" s="22" t="n">
        <x:v>2</x:v>
      </x:c>
      <x:c r="D115" s="22" t="str">
        <x:v>C04G02入场</x:v>
      </x:c>
      <x:c r="E115" s="26" t="n">
        <x:v>0.07958136335738812</x:v>
      </x:c>
      <x:c r="F115" s="22" t="n">
        <x:v>3</x:v>
      </x:c>
      <x:c r="G115" s="22" t="n">
        <x:v>82</x:v>
      </x:c>
      <x:c r="H115" s="22" t="n">
        <x:v>5</x:v>
      </x:c>
      <x:c r="I115" s="22" t="n">
        <x:v>5</x:v>
      </x:c>
      <x:c r="J115" s="22" t="n">
        <x:f>'02_人物原始合计'!AG115+'02_人物原始合计'!AH115</x:f>
        <x:v>15</x:v>
      </x:c>
      <x:c r="K115" s="28" t="n">
        <x:f>'02_人物原始合计'!F115*(1+'02_人物原始合计'!Q115/100)</x:f>
        <x:v>47576</x:v>
      </x:c>
      <x:c r="L115" s="28" t="n">
        <x:f>'02_人物原始合计'!K115*(1+'02_人物原始合计'!AV115/100)</x:f>
        <x:v>989300</x:v>
      </x:c>
      <x:c r="M115" s="22" t="n">
        <x:f>MAX(0,MIN(50,'02_人物原始合计'!AD115,20+MIN(30,'02_人物原始合计'!AE115)))</x:f>
        <x:v>26</x:v>
      </x:c>
      <x:c r="N115" s="22" t="n">
        <x:f>IF(M115=0,1.75,IF(M115=10,2.2,IF(M115=20,2.9,IF(M115=30,4.3,IF(M115=40,8.5,IF(M115=50,14.3,IF(M115&lt;=40,1000/('01_参数'!$B$21-'01_参数'!$B$22*M115),1000/(1000/8.5+(M115-40)/10*(1000/14.3-1000/8.5)))))))))</x:f>
        <x:v>3.617573931056102</x:v>
      </x:c>
      <x:c r="O115" s="22" t="n">
        <x:v>402</x:v>
      </x:c>
      <x:c r="P115" s="26" t="n">
        <x:f>MAX(0,MIN('01_参数'!$B$20,'02_人物原始合计'!AM115/100,'01_参数'!$B$19+'02_人物原始合计'!AN115/100))</x:f>
        <x:v>0.43</x:v>
      </x:c>
      <x:c r="Q115" s="28" t="n">
        <x:f>((('02_人物原始合计'!E115+('02_人物原始合计'!F115-'02_人物原始合计'!E115)*IF(J115&gt;=12,1,0.5+0.5*MAX(0,J115)/12))*(1+'02_人物原始合计'!Q115/100))*(1+'02_人物原始合计'!U115/100+IF(J115&gt;=15,0.15,0))*(1+'02_人物原始合计'!V115/100)*(1+'02_人物原始合计'!T115)*(1+'02_人物原始合计'!W115*'01_参数'!$B$18)*(1+MAX(0,MIN(1,'02_人物原始合计'!X115/100))*('01_参数'!$B$16+'02_人物原始合计'!Y115/100-1))*(1+MAX(0,MIN(1,'02_人物原始合计'!Z115/100))*('01_参数'!$B$17+'02_人物原始合计'!AA115/100-1))+'02_人物原始合计'!AB115)*N115*'01_参数'!$B$7*'01_参数'!$B$8</x:f>
        <x:v>1563148.4789663877</x:v>
      </x:c>
      <x:c r="R115" s="28" t="n">
        <x:f>Q115*'01_参数'!$B$5</x:f>
        <x:v>3126296.9579327754</x:v>
      </x:c>
      <x:c r="S115" s="28" t="n">
        <x:f>(('02_人物原始合计'!E115+('02_人物原始合计'!F115-'02_人物原始合计'!E115)*IF(J115&gt;=12,1,0.5+0.5*MAX(0,J115)/12))*(1+'02_人物原始合计'!Q115/100))*(1+'02_人物原始合计'!U115/100+IF(J115&gt;=15,0.15,0))*(1+'02_人物原始合计'!V115/100)*(1+'02_人物原始合计'!T115)*(1+'02_人物原始合计'!W115*'01_参数'!$B$18)*(1+MAX(0,MIN(1,'02_人物原始合计'!X115/100))*('01_参数'!$B$16+'02_人物原始合计'!Y115/100-1))*(1+MAX(0,MIN(1,'02_人物原始合计'!Z115/100))*('01_参数'!$B$17+'02_人物原始合计'!AA115/100-1))*N115*'01_参数'!$B$7*'01_参数'!$B$8*MAX(0,'02_人物原始合计'!AO115/100)</x:f>
        <x:v>62525.93915865551</x:v>
      </x:c>
      <x:c r="T115" s="28" t="n">
        <x:f>S115*'01_参数'!$B$6</x:f>
        <x:v>81283.72090625216</x:v>
      </x:c>
      <x:c r="U115" s="28" t="n">
        <x:v>0</x:v>
      </x:c>
      <x:c r="V115" s="28" t="n">
        <x:f>T115+U115</x:f>
        <x:v>81283.72090625216</x:v>
      </x:c>
      <x:c r="W115" s="22" t="n">
        <x:v>10</x:v>
      </x:c>
      <x:c r="X115" s="22" t="n">
        <x:v>114</x:v>
      </x:c>
      <x:c r="Y115" s="22" t="str">
        <x:v>主线</x:v>
      </x:c>
    </x:row>
    <x:row r="116" ht="24" customHeight="1">
      <x:c r="A116" s="22" t="str">
        <x:v>P0112</x:v>
      </x:c>
      <x:c r="B116" s="22" t="n">
        <x:v>4</x:v>
      </x:c>
      <x:c r="C116" s="22" t="n">
        <x:v>2</x:v>
      </x:c>
      <x:c r="D116" s="22" t="str">
        <x:v>C04G02普通专属4/6</x:v>
      </x:c>
      <x:c r="E116" s="26" t="n">
        <x:v>0.07958136335738812</x:v>
      </x:c>
      <x:c r="F116" s="22" t="n">
        <x:v>3</x:v>
      </x:c>
      <x:c r="G116" s="22" t="n">
        <x:v>82</x:v>
      </x:c>
      <x:c r="H116" s="22" t="n">
        <x:v>5</x:v>
      </x:c>
      <x:c r="I116" s="22" t="n">
        <x:v>5</x:v>
      </x:c>
      <x:c r="J116" s="22" t="n">
        <x:f>'02_人物原始合计'!AG116+'02_人物原始合计'!AH116</x:f>
        <x:v>15</x:v>
      </x:c>
      <x:c r="K116" s="28" t="n">
        <x:f>'02_人物原始合计'!F116*(1+'02_人物原始合计'!Q116/100)</x:f>
        <x:v>47576</x:v>
      </x:c>
      <x:c r="L116" s="28" t="n">
        <x:f>'02_人物原始合计'!K116*(1+'02_人物原始合计'!AV116/100)</x:f>
        <x:v>989300</x:v>
      </x:c>
      <x:c r="M116" s="22" t="n">
        <x:f>MAX(0,MIN(50,'02_人物原始合计'!AD116,20+MIN(30,'02_人物原始合计'!AE116)))</x:f>
        <x:v>26</x:v>
      </x:c>
      <x:c r="N116" s="22" t="n">
        <x:f>IF(M116=0,1.75,IF(M116=10,2.2,IF(M116=20,2.9,IF(M116=30,4.3,IF(M116=40,8.5,IF(M116=50,14.3,IF(M116&lt;=40,1000/('01_参数'!$B$21-'01_参数'!$B$22*M116),1000/(1000/8.5+(M116-40)/10*(1000/14.3-1000/8.5)))))))))</x:f>
        <x:v>3.617573931056102</x:v>
      </x:c>
      <x:c r="O116" s="22" t="n">
        <x:v>402</x:v>
      </x:c>
      <x:c r="P116" s="26" t="n">
        <x:f>MAX(0,MIN('01_参数'!$B$20,'02_人物原始合计'!AM116/100,'01_参数'!$B$19+'02_人物原始合计'!AN116/100))</x:f>
        <x:v>0.43</x:v>
      </x:c>
      <x:c r="Q116" s="28" t="n">
        <x:f>((('02_人物原始合计'!E116+('02_人物原始合计'!F116-'02_人物原始合计'!E116)*IF(J116&gt;=12,1,0.5+0.5*MAX(0,J116)/12))*(1+'02_人物原始合计'!Q116/100))*(1+'02_人物原始合计'!U116/100+IF(J116&gt;=15,0.15,0))*(1+'02_人物原始合计'!V116/100)*(1+'02_人物原始合计'!T116)*(1+'02_人物原始合计'!W116*'01_参数'!$B$18)*(1+MAX(0,MIN(1,'02_人物原始合计'!X116/100))*('01_参数'!$B$16+'02_人物原始合计'!Y116/100-1))*(1+MAX(0,MIN(1,'02_人物原始合计'!Z116/100))*('01_参数'!$B$17+'02_人物原始合计'!AA116/100-1))+'02_人物原始合计'!AB116)*N116*'01_参数'!$B$7*'01_参数'!$B$8</x:f>
        <x:v>1563148.4789663877</x:v>
      </x:c>
      <x:c r="R116" s="28" t="n">
        <x:f>Q116*'01_参数'!$B$5</x:f>
        <x:v>3126296.9579327754</x:v>
      </x:c>
      <x:c r="S116" s="28" t="n">
        <x:f>(('02_人物原始合计'!E116+('02_人物原始合计'!F116-'02_人物原始合计'!E116)*IF(J116&gt;=12,1,0.5+0.5*MAX(0,J116)/12))*(1+'02_人物原始合计'!Q116/100))*(1+'02_人物原始合计'!U116/100+IF(J116&gt;=15,0.15,0))*(1+'02_人物原始合计'!V116/100)*(1+'02_人物原始合计'!T116)*(1+'02_人物原始合计'!W116*'01_参数'!$B$18)*(1+MAX(0,MIN(1,'02_人物原始合计'!X116/100))*('01_参数'!$B$16+'02_人物原始合计'!Y116/100-1))*(1+MAX(0,MIN(1,'02_人物原始合计'!Z116/100))*('01_参数'!$B$17+'02_人物原始合计'!AA116/100-1))*N116*'01_参数'!$B$7*'01_参数'!$B$8*MAX(0,'02_人物原始合计'!AO116/100)</x:f>
        <x:v>62525.93915865551</x:v>
      </x:c>
      <x:c r="T116" s="28" t="n">
        <x:f>S116*'01_参数'!$B$6</x:f>
        <x:v>81283.72090625216</x:v>
      </x:c>
      <x:c r="U116" s="28" t="n">
        <x:v>0</x:v>
      </x:c>
      <x:c r="V116" s="28" t="n">
        <x:f>T116+U116</x:f>
        <x:v>81283.72090625216</x:v>
      </x:c>
      <x:c r="W116" s="22" t="n">
        <x:v>10</x:v>
      </x:c>
      <x:c r="X116" s="22" t="n">
        <x:v>114</x:v>
      </x:c>
      <x:c r="Y116" s="22" t="str">
        <x:v>主线</x:v>
      </x:c>
    </x:row>
    <x:row r="117" ht="24" customHeight="1">
      <x:c r="A117" s="22" t="str">
        <x:v>P0113</x:v>
      </x:c>
      <x:c r="B117" s="22" t="n">
        <x:v>4</x:v>
      </x:c>
      <x:c r="C117" s="22" t="n">
        <x:v>2</x:v>
      </x:c>
      <x:c r="D117" s="22" t="str">
        <x:v>淹廊判官·摩汶挑战前</x:v>
      </x:c>
      <x:c r="E117" s="26" t="n">
        <x:v>0.07958136335738812</x:v>
      </x:c>
      <x:c r="F117" s="22" t="n">
        <x:v>3</x:v>
      </x:c>
      <x:c r="G117" s="22" t="n">
        <x:v>87</x:v>
      </x:c>
      <x:c r="H117" s="22" t="n">
        <x:v>5</x:v>
      </x:c>
      <x:c r="I117" s="22" t="n">
        <x:v>5</x:v>
      </x:c>
      <x:c r="J117" s="22" t="n">
        <x:f>'02_人物原始合计'!AG117+'02_人物原始合计'!AH117</x:f>
        <x:v>15</x:v>
      </x:c>
      <x:c r="K117" s="28" t="n">
        <x:f>'02_人物原始合计'!F117*(1+'02_人物原始合计'!Q117/100)</x:f>
        <x:v>50160</x:v>
      </x:c>
      <x:c r="L117" s="28" t="n">
        <x:f>'02_人物原始合计'!K117*(1+'02_人物原始合计'!AV117/100)</x:f>
        <x:v>1031800</x:v>
      </x:c>
      <x:c r="M117" s="22" t="n">
        <x:f>MAX(0,MIN(50,'02_人物原始合计'!AD117,20+MIN(30,'02_人物原始合计'!AE117)))</x:f>
        <x:v>26</x:v>
      </x:c>
      <x:c r="N117" s="22" t="n">
        <x:f>IF(M117=0,1.75,IF(M117=10,2.2,IF(M117=20,2.9,IF(M117=30,4.3,IF(M117=40,8.5,IF(M117=50,14.3,IF(M117&lt;=40,1000/('01_参数'!$B$21-'01_参数'!$B$22*M117),1000/(1000/8.5+(M117-40)/10*(1000/14.3-1000/8.5)))))))))</x:f>
        <x:v>3.617573931056102</x:v>
      </x:c>
      <x:c r="O117" s="22" t="n">
        <x:v>402</x:v>
      </x:c>
      <x:c r="P117" s="26" t="n">
        <x:f>MAX(0,MIN('01_参数'!$B$20,'02_人物原始合计'!AM117/100,'01_参数'!$B$19+'02_人物原始合计'!AN117/100))</x:f>
        <x:v>0.43</x:v>
      </x:c>
      <x:c r="Q117" s="28" t="n">
        <x:f>((('02_人物原始合计'!E117+('02_人物原始合计'!F117-'02_人物原始合计'!E117)*IF(J117&gt;=12,1,0.5+0.5*MAX(0,J117)/12))*(1+'02_人物原始合计'!Q117/100))*(1+'02_人物原始合计'!U117/100+IF(J117&gt;=15,0.15,0))*(1+'02_人物原始合计'!V117/100)*(1+'02_人物原始合计'!T117)*(1+'02_人物原始合计'!W117*'01_参数'!$B$18)*(1+MAX(0,MIN(1,'02_人物原始合计'!X117/100))*('01_参数'!$B$16+'02_人物原始合计'!Y117/100-1))*(1+MAX(0,MIN(1,'02_人物原始合计'!Z117/100))*('01_参数'!$B$17+'02_人物原始合计'!AA117/100-1))+'02_人物原始合计'!AB117)*N117*'01_参数'!$B$7*'01_参数'!$B$8</x:f>
        <x:v>1648047.9171211116</x:v>
      </x:c>
      <x:c r="R117" s="28" t="n">
        <x:f>Q117*'01_参数'!$B$5</x:f>
        <x:v>3296095.8342422233</x:v>
      </x:c>
      <x:c r="S117" s="28" t="n">
        <x:f>(('02_人物原始合计'!E117+('02_人物原始合计'!F117-'02_人物原始合计'!E117)*IF(J117&gt;=12,1,0.5+0.5*MAX(0,J117)/12))*(1+'02_人物原始合计'!Q117/100))*(1+'02_人物原始合计'!U117/100+IF(J117&gt;=15,0.15,0))*(1+'02_人物原始合计'!V117/100)*(1+'02_人物原始合计'!T117)*(1+'02_人物原始合计'!W117*'01_参数'!$B$18)*(1+MAX(0,MIN(1,'02_人物原始合计'!X117/100))*('01_参数'!$B$16+'02_人物原始合计'!Y117/100-1))*(1+MAX(0,MIN(1,'02_人物原始合计'!Z117/100))*('01_参数'!$B$17+'02_人物原始合计'!AA117/100-1))*N117*'01_参数'!$B$7*'01_参数'!$B$8*MAX(0,'02_人物原始合计'!AO117/100)</x:f>
        <x:v>65921.91668484447</x:v>
      </x:c>
      <x:c r="T117" s="28" t="n">
        <x:f>S117*'01_参数'!$B$6</x:f>
        <x:v>85698.49169029781</x:v>
      </x:c>
      <x:c r="U117" s="28" t="n">
        <x:v>0</x:v>
      </x:c>
      <x:c r="V117" s="28" t="n">
        <x:f>T117+U117</x:f>
        <x:v>85698.49169029781</x:v>
      </x:c>
      <x:c r="W117" s="22" t="n">
        <x:v>10</x:v>
      </x:c>
      <x:c r="X117" s="22" t="n">
        <x:v>114</x:v>
      </x:c>
      <x:c r="Y117" s="22" t="str">
        <x:v>主线</x:v>
      </x:c>
    </x:row>
    <x:row r="118" ht="24" customHeight="1">
      <x:c r="A118" s="22" t="str">
        <x:v>P0114</x:v>
      </x:c>
      <x:c r="B118" s="22" t="n">
        <x:v>4</x:v>
      </x:c>
      <x:c r="C118" s="22" t="n">
        <x:v>2</x:v>
      </x:c>
      <x:c r="D118" s="22" t="str">
        <x:v>无声湖后·塞芙拉挑战前</x:v>
      </x:c>
      <x:c r="E118" s="26" t="n">
        <x:v>0.07958136335738812</x:v>
      </x:c>
      <x:c r="F118" s="22" t="n">
        <x:v>3</x:v>
      </x:c>
      <x:c r="G118" s="22" t="n">
        <x:v>87</x:v>
      </x:c>
      <x:c r="H118" s="22" t="n">
        <x:v>5</x:v>
      </x:c>
      <x:c r="I118" s="22" t="n">
        <x:v>5</x:v>
      </x:c>
      <x:c r="J118" s="22" t="n">
        <x:f>'02_人物原始合计'!AG118+'02_人物原始合计'!AH118</x:f>
        <x:v>15</x:v>
      </x:c>
      <x:c r="K118" s="28" t="n">
        <x:f>'02_人物原始合计'!F118*(1+'02_人物原始合计'!Q118/100)</x:f>
        <x:v>50160</x:v>
      </x:c>
      <x:c r="L118" s="28" t="n">
        <x:f>'02_人物原始合计'!K118*(1+'02_人物原始合计'!AV118/100)</x:f>
        <x:v>1031800</x:v>
      </x:c>
      <x:c r="M118" s="22" t="n">
        <x:f>MAX(0,MIN(50,'02_人物原始合计'!AD118,20+MIN(30,'02_人物原始合计'!AE118)))</x:f>
        <x:v>26</x:v>
      </x:c>
      <x:c r="N118" s="22" t="n">
        <x:f>IF(M118=0,1.75,IF(M118=10,2.2,IF(M118=20,2.9,IF(M118=30,4.3,IF(M118=40,8.5,IF(M118=50,14.3,IF(M118&lt;=40,1000/('01_参数'!$B$21-'01_参数'!$B$22*M118),1000/(1000/8.5+(M118-40)/10*(1000/14.3-1000/8.5)))))))))</x:f>
        <x:v>3.617573931056102</x:v>
      </x:c>
      <x:c r="O118" s="22" t="n">
        <x:v>402</x:v>
      </x:c>
      <x:c r="P118" s="26" t="n">
        <x:f>MAX(0,MIN('01_参数'!$B$20,'02_人物原始合计'!AM118/100,'01_参数'!$B$19+'02_人物原始合计'!AN118/100))</x:f>
        <x:v>0.43</x:v>
      </x:c>
      <x:c r="Q118" s="28" t="n">
        <x:f>((('02_人物原始合计'!E118+('02_人物原始合计'!F118-'02_人物原始合计'!E118)*IF(J118&gt;=12,1,0.5+0.5*MAX(0,J118)/12))*(1+'02_人物原始合计'!Q118/100))*(1+'02_人物原始合计'!U118/100+IF(J118&gt;=15,0.15,0))*(1+'02_人物原始合计'!V118/100)*(1+'02_人物原始合计'!T118)*(1+'02_人物原始合计'!W118*'01_参数'!$B$18)*(1+MAX(0,MIN(1,'02_人物原始合计'!X118/100))*('01_参数'!$B$16+'02_人物原始合计'!Y118/100-1))*(1+MAX(0,MIN(1,'02_人物原始合计'!Z118/100))*('01_参数'!$B$17+'02_人物原始合计'!AA118/100-1))+'02_人物原始合计'!AB118)*N118*'01_参数'!$B$7*'01_参数'!$B$8</x:f>
        <x:v>1648047.9171211116</x:v>
      </x:c>
      <x:c r="R118" s="28" t="n">
        <x:f>Q118*'01_参数'!$B$5</x:f>
        <x:v>3296095.8342422233</x:v>
      </x:c>
      <x:c r="S118" s="28" t="n">
        <x:f>(('02_人物原始合计'!E118+('02_人物原始合计'!F118-'02_人物原始合计'!E118)*IF(J118&gt;=12,1,0.5+0.5*MAX(0,J118)/12))*(1+'02_人物原始合计'!Q118/100))*(1+'02_人物原始合计'!U118/100+IF(J118&gt;=15,0.15,0))*(1+'02_人物原始合计'!V118/100)*(1+'02_人物原始合计'!T118)*(1+'02_人物原始合计'!W118*'01_参数'!$B$18)*(1+MAX(0,MIN(1,'02_人物原始合计'!X118/100))*('01_参数'!$B$16+'02_人物原始合计'!Y118/100-1))*(1+MAX(0,MIN(1,'02_人物原始合计'!Z118/100))*('01_参数'!$B$17+'02_人物原始合计'!AA118/100-1))*N118*'01_参数'!$B$7*'01_参数'!$B$8*MAX(0,'02_人物原始合计'!AO118/100)</x:f>
        <x:v>65921.91668484447</x:v>
      </x:c>
      <x:c r="T118" s="28" t="n">
        <x:f>S118*'01_参数'!$B$6</x:f>
        <x:v>85698.49169029781</x:v>
      </x:c>
      <x:c r="U118" s="28" t="n">
        <x:v>0</x:v>
      </x:c>
      <x:c r="V118" s="28" t="n">
        <x:f>T118+U118</x:f>
        <x:v>85698.49169029781</x:v>
      </x:c>
      <x:c r="W118" s="22" t="n">
        <x:v>10</x:v>
      </x:c>
      <x:c r="X118" s="22" t="n">
        <x:v>114</x:v>
      </x:c>
      <x:c r="Y118" s="22" t="str">
        <x:v>主线</x:v>
      </x:c>
    </x:row>
    <x:row r="119" ht="24" customHeight="1">
      <x:c r="A119" s="22" t="str">
        <x:v>P0115</x:v>
      </x:c>
      <x:c r="B119" s="22" t="n">
        <x:v>4</x:v>
      </x:c>
      <x:c r="C119" s="22" t="n">
        <x:v>2</x:v>
      </x:c>
      <x:c r="D119" s="22" t="str">
        <x:v>沉湖遗迹BOSS装备快线</x:v>
      </x:c>
      <x:c r="E119" s="26" t="n">
        <x:v>0.09101928959249067</x:v>
      </x:c>
      <x:c r="F119" s="22" t="n">
        <x:v>3</x:v>
      </x:c>
      <x:c r="G119" s="22" t="n">
        <x:v>87</x:v>
      </x:c>
      <x:c r="H119" s="22" t="n">
        <x:v>5</x:v>
      </x:c>
      <x:c r="I119" s="22" t="n">
        <x:v>5</x:v>
      </x:c>
      <x:c r="J119" s="22" t="n">
        <x:f>'02_人物原始合计'!AG119+'02_人物原始合计'!AH119</x:f>
        <x:v>15</x:v>
      </x:c>
      <x:c r="K119" s="28" t="n">
        <x:f>'02_人物原始合计'!F119*(1+'02_人物原始合计'!Q119/100)</x:f>
        <x:v>54181.5</x:v>
      </x:c>
      <x:c r="L119" s="28" t="n">
        <x:f>'02_人物原始合计'!K119*(1+'02_人物原始合计'!AV119/100)</x:f>
        <x:v>1066700</x:v>
      </x:c>
      <x:c r="M119" s="22" t="n">
        <x:f>MAX(0,MIN(50,'02_人物原始合计'!AD119,20+MIN(30,'02_人物原始合计'!AE119)))</x:f>
        <x:v>27</x:v>
      </x:c>
      <x:c r="N119" s="22" t="n">
        <x:f>IF(M119=0,1.75,IF(M119=10,2.2,IF(M119=20,2.9,IF(M119=30,4.3,IF(M119=40,8.5,IF(M119=50,14.3,IF(M119&lt;=40,1000/('01_参数'!$B$21-'01_参数'!$B$22*M119),1000/(1000/8.5+(M119-40)/10*(1000/14.3-1000/8.5)))))))))</x:f>
        <x:v>3.7716940913647403</x:v>
      </x:c>
      <x:c r="O119" s="22" t="n">
        <x:v>402</x:v>
      </x:c>
      <x:c r="P119" s="26" t="n">
        <x:f>MAX(0,MIN('01_参数'!$B$20,'02_人物原始合计'!AM119/100,'01_参数'!$B$19+'02_人物原始合计'!AN119/100))</x:f>
        <x:v>0.43</x:v>
      </x:c>
      <x:c r="Q119" s="28" t="n">
        <x:f>((('02_人物原始合计'!E119+('02_人物原始合计'!F119-'02_人物原始合计'!E119)*IF(J119&gt;=12,1,0.5+0.5*MAX(0,J119)/12))*(1+'02_人物原始合计'!Q119/100))*(1+'02_人物原始合计'!U119/100+IF(J119&gt;=15,0.15,0))*(1+'02_人物原始合计'!V119/100)*(1+'02_人物原始合计'!T119)*(1+'02_人物原始合计'!W119*'01_参数'!$B$18)*(1+MAX(0,MIN(1,'02_人物原始合计'!X119/100))*('01_参数'!$B$16+'02_人物原始合计'!Y119/100-1))*(1+MAX(0,MIN(1,'02_人物原始合计'!Z119/100))*('01_参数'!$B$17+'02_人物原始合计'!AA119/100-1))+'02_人物原始合计'!AB119)*N119*'01_参数'!$B$7*'01_参数'!$B$8</x:f>
        <x:v>2220739.5491790036</x:v>
      </x:c>
      <x:c r="R119" s="28" t="n">
        <x:f>Q119*'01_参数'!$B$5</x:f>
        <x:v>4441479.098358007</x:v>
      </x:c>
      <x:c r="S119" s="28" t="n">
        <x:f>(('02_人物原始合计'!E119+('02_人物原始合计'!F119-'02_人物原始合计'!E119)*IF(J119&gt;=12,1,0.5+0.5*MAX(0,J119)/12))*(1+'02_人物原始合计'!Q119/100))*(1+'02_人物原始合计'!U119/100+IF(J119&gt;=15,0.15,0))*(1+'02_人物原始合计'!V119/100)*(1+'02_人物原始合计'!T119)*(1+'02_人物原始合计'!W119*'01_参数'!$B$18)*(1+MAX(0,MIN(1,'02_人物原始合计'!X119/100))*('01_参数'!$B$16+'02_人物原始合计'!Y119/100-1))*(1+MAX(0,MIN(1,'02_人物原始合计'!Z119/100))*('01_参数'!$B$17+'02_人物原始合计'!AA119/100-1))*N119*'01_参数'!$B$7*'01_参数'!$B$8*MAX(0,'02_人物原始合计'!AO119/100)</x:f>
        <x:v>133244.37295074022</x:v>
      </x:c>
      <x:c r="T119" s="28" t="n">
        <x:f>S119*'01_参数'!$B$6</x:f>
        <x:v>173217.68483596228</x:v>
      </x:c>
      <x:c r="U119" s="28" t="n">
        <x:v>0</x:v>
      </x:c>
      <x:c r="V119" s="28" t="n">
        <x:f>T119+U119</x:f>
        <x:v>173217.68483596228</x:v>
      </x:c>
      <x:c r="W119" s="22" t="n">
        <x:v>10</x:v>
      </x:c>
      <x:c r="X119" s="22" t="n">
        <x:v>114</x:v>
      </x:c>
      <x:c r="Y119" s="22" t="str">
        <x:v>C04G02BOSS强装对照</x:v>
      </x:c>
    </x:row>
    <x:row r="120" ht="24" customHeight="1">
      <x:c r="A120" s="22" t="str">
        <x:v>P0116</x:v>
      </x:c>
      <x:c r="B120" s="22" t="n">
        <x:v>4</x:v>
      </x:c>
      <x:c r="C120" s="22" t="n">
        <x:v>2</x:v>
      </x:c>
      <x:c r="D120" s="22" t="str">
        <x:v>沉湖遗迹阶段积累后</x:v>
      </x:c>
      <x:c r="E120" s="26" t="n">
        <x:v>0.08833136335738813</x:v>
      </x:c>
      <x:c r="F120" s="22" t="n">
        <x:v>3</x:v>
      </x:c>
      <x:c r="G120" s="22" t="n">
        <x:v>87</x:v>
      </x:c>
      <x:c r="H120" s="22" t="n">
        <x:v>5</x:v>
      </x:c>
      <x:c r="I120" s="22" t="n">
        <x:v>5</x:v>
      </x:c>
      <x:c r="J120" s="22" t="n">
        <x:f>'02_人物原始合计'!AG120+'02_人物原始合计'!AH120</x:f>
        <x:v>15</x:v>
      </x:c>
      <x:c r="K120" s="28" t="n">
        <x:f>'02_人物原始合计'!F120*(1+'02_人物原始合计'!Q120/100)</x:f>
        <x:v>50312</x:v>
      </x:c>
      <x:c r="L120" s="28" t="n">
        <x:f>'02_人物原始合计'!K120*(1+'02_人物原始合计'!AV120/100)</x:f>
        <x:v>1034300</x:v>
      </x:c>
      <x:c r="M120" s="22" t="n">
        <x:f>MAX(0,MIN(50,'02_人物原始合计'!AD120,20+MIN(30,'02_人物原始合计'!AE120)))</x:f>
        <x:v>26</x:v>
      </x:c>
      <x:c r="N120" s="22" t="n">
        <x:f>IF(M120=0,1.75,IF(M120=10,2.2,IF(M120=20,2.9,IF(M120=30,4.3,IF(M120=40,8.5,IF(M120=50,14.3,IF(M120&lt;=40,1000/('01_参数'!$B$21-'01_参数'!$B$22*M120),1000/(1000/8.5+(M120-40)/10*(1000/14.3-1000/8.5)))))))))</x:f>
        <x:v>3.617573931056102</x:v>
      </x:c>
      <x:c r="O120" s="22" t="n">
        <x:v>402</x:v>
      </x:c>
      <x:c r="P120" s="26" t="n">
        <x:f>MAX(0,MIN('01_参数'!$B$20,'02_人物原始合计'!AM120/100,'01_参数'!$B$19+'02_人物原始合计'!AN120/100))</x:f>
        <x:v>0.43</x:v>
      </x:c>
      <x:c r="Q120" s="28" t="n">
        <x:f>((('02_人物原始合计'!E120+('02_人物原始合计'!F120-'02_人物原始合计'!E120)*IF(J120&gt;=12,1,0.5+0.5*MAX(0,J120)/12))*(1+'02_人物原始合计'!Q120/100))*(1+'02_人物原始合计'!U120/100+IF(J120&gt;=15,0.15,0))*(1+'02_人物原始合计'!V120/100)*(1+'02_人物原始合计'!T120)*(1+'02_人物原始合计'!W120*'01_参数'!$B$18)*(1+MAX(0,MIN(1,'02_人物原始合计'!X120/100))*('01_参数'!$B$16+'02_人物原始合计'!Y120/100-1))*(1+MAX(0,MIN(1,'02_人物原始合计'!Z120/100))*('01_参数'!$B$17+'02_人物原始合计'!AA120/100-1))+'02_人物原始合计'!AB120)*N120*'01_参数'!$B$7*'01_参数'!$B$8</x:f>
        <x:v>1653042.0017184475</x:v>
      </x:c>
      <x:c r="R120" s="28" t="n">
        <x:f>Q120*'01_参数'!$B$5</x:f>
        <x:v>3306084.003436895</x:v>
      </x:c>
      <x:c r="S120" s="28" t="n">
        <x:f>(('02_人物原始合计'!E120+('02_人物原始合计'!F120-'02_人物原始合计'!E120)*IF(J120&gt;=12,1,0.5+0.5*MAX(0,J120)/12))*(1+'02_人物原始合计'!Q120/100))*(1+'02_人物原始合计'!U120/100+IF(J120&gt;=15,0.15,0))*(1+'02_人物原始合计'!V120/100)*(1+'02_人物原始合计'!T120)*(1+'02_人物原始合计'!W120*'01_参数'!$B$18)*(1+MAX(0,MIN(1,'02_人物原始合计'!X120/100))*('01_参数'!$B$16+'02_人物原始合计'!Y120/100-1))*(1+MAX(0,MIN(1,'02_人物原始合计'!Z120/100))*('01_参数'!$B$17+'02_人物原始合计'!AA120/100-1))*N120*'01_参数'!$B$7*'01_参数'!$B$8*MAX(0,'02_人物原始合计'!AO120/100)</x:f>
        <x:v>66121.6800687379</x:v>
      </x:c>
      <x:c r="T120" s="28" t="n">
        <x:f>S120*'01_参数'!$B$6</x:f>
        <x:v>85958.18408935927</x:v>
      </x:c>
      <x:c r="U120" s="28" t="n">
        <x:v>0</x:v>
      </x:c>
      <x:c r="V120" s="28" t="n">
        <x:f>T120+U120</x:f>
        <x:v>85958.18408935927</x:v>
      </x:c>
      <x:c r="W120" s="22" t="n">
        <x:v>10</x:v>
      </x:c>
      <x:c r="X120" s="22" t="n">
        <x:v>116</x:v>
      </x:c>
      <x:c r="Y120" s="22" t="str">
        <x:v>主线</x:v>
      </x:c>
    </x:row>
    <x:row r="121" ht="24" customHeight="1">
      <x:c r="A121" s="22" t="str">
        <x:v>P0117</x:v>
      </x:c>
      <x:c r="B121" s="22" t="n">
        <x:v>4</x:v>
      </x:c>
      <x:c r="C121" s="22" t="n">
        <x:v>3</x:v>
      </x:c>
      <x:c r="D121" s="22" t="str">
        <x:v>C04G03入场</x:v>
      </x:c>
      <x:c r="E121" s="26" t="n">
        <x:v>0.08833136335738813</x:v>
      </x:c>
      <x:c r="F121" s="22" t="n">
        <x:v>3</x:v>
      </x:c>
      <x:c r="G121" s="22" t="n">
        <x:v>87</x:v>
      </x:c>
      <x:c r="H121" s="22" t="n">
        <x:v>5</x:v>
      </x:c>
      <x:c r="I121" s="22" t="n">
        <x:v>5</x:v>
      </x:c>
      <x:c r="J121" s="22" t="n">
        <x:f>'02_人物原始合计'!AG121+'02_人物原始合计'!AH121</x:f>
        <x:v>15</x:v>
      </x:c>
      <x:c r="K121" s="28" t="n">
        <x:f>'02_人物原始合计'!F121*(1+'02_人物原始合计'!Q121/100)</x:f>
        <x:v>50312</x:v>
      </x:c>
      <x:c r="L121" s="28" t="n">
        <x:f>'02_人物原始合计'!K121*(1+'02_人物原始合计'!AV121/100)</x:f>
        <x:v>1034300</x:v>
      </x:c>
      <x:c r="M121" s="22" t="n">
        <x:f>MAX(0,MIN(50,'02_人物原始合计'!AD121,20+MIN(30,'02_人物原始合计'!AE121)))</x:f>
        <x:v>26</x:v>
      </x:c>
      <x:c r="N121" s="22" t="n">
        <x:f>IF(M121=0,1.75,IF(M121=10,2.2,IF(M121=20,2.9,IF(M121=30,4.3,IF(M121=40,8.5,IF(M121=50,14.3,IF(M121&lt;=40,1000/('01_参数'!$B$21-'01_参数'!$B$22*M121),1000/(1000/8.5+(M121-40)/10*(1000/14.3-1000/8.5)))))))))</x:f>
        <x:v>3.617573931056102</x:v>
      </x:c>
      <x:c r="O121" s="22" t="n">
        <x:v>402</x:v>
      </x:c>
      <x:c r="P121" s="26" t="n">
        <x:f>MAX(0,MIN('01_参数'!$B$20,'02_人物原始合计'!AM121/100,'01_参数'!$B$19+'02_人物原始合计'!AN121/100))</x:f>
        <x:v>0.43</x:v>
      </x:c>
      <x:c r="Q121" s="28" t="n">
        <x:f>((('02_人物原始合计'!E121+('02_人物原始合计'!F121-'02_人物原始合计'!E121)*IF(J121&gt;=12,1,0.5+0.5*MAX(0,J121)/12))*(1+'02_人物原始合计'!Q121/100))*(1+'02_人物原始合计'!U121/100+IF(J121&gt;=15,0.15,0))*(1+'02_人物原始合计'!V121/100)*(1+'02_人物原始合计'!T121)*(1+'02_人物原始合计'!W121*'01_参数'!$B$18)*(1+MAX(0,MIN(1,'02_人物原始合计'!X121/100))*('01_参数'!$B$16+'02_人物原始合计'!Y121/100-1))*(1+MAX(0,MIN(1,'02_人物原始合计'!Z121/100))*('01_参数'!$B$17+'02_人物原始合计'!AA121/100-1))+'02_人物原始合计'!AB121)*N121*'01_参数'!$B$7*'01_参数'!$B$8</x:f>
        <x:v>1653042.0017184475</x:v>
      </x:c>
      <x:c r="R121" s="28" t="n">
        <x:f>Q121*'01_参数'!$B$5</x:f>
        <x:v>3306084.003436895</x:v>
      </x:c>
      <x:c r="S121" s="28" t="n">
        <x:f>(('02_人物原始合计'!E121+('02_人物原始合计'!F121-'02_人物原始合计'!E121)*IF(J121&gt;=12,1,0.5+0.5*MAX(0,J121)/12))*(1+'02_人物原始合计'!Q121/100))*(1+'02_人物原始合计'!U121/100+IF(J121&gt;=15,0.15,0))*(1+'02_人物原始合计'!V121/100)*(1+'02_人物原始合计'!T121)*(1+'02_人物原始合计'!W121*'01_参数'!$B$18)*(1+MAX(0,MIN(1,'02_人物原始合计'!X121/100))*('01_参数'!$B$16+'02_人物原始合计'!Y121/100-1))*(1+MAX(0,MIN(1,'02_人物原始合计'!Z121/100))*('01_参数'!$B$17+'02_人物原始合计'!AA121/100-1))*N121*'01_参数'!$B$7*'01_参数'!$B$8*MAX(0,'02_人物原始合计'!AO121/100)</x:f>
        <x:v>66121.6800687379</x:v>
      </x:c>
      <x:c r="T121" s="28" t="n">
        <x:f>S121*'01_参数'!$B$6</x:f>
        <x:v>85958.18408935927</x:v>
      </x:c>
      <x:c r="U121" s="28" t="n">
        <x:v>0</x:v>
      </x:c>
      <x:c r="V121" s="28" t="n">
        <x:f>T121+U121</x:f>
        <x:v>85958.18408935927</x:v>
      </x:c>
      <x:c r="W121" s="22" t="n">
        <x:v>10</x:v>
      </x:c>
      <x:c r="X121" s="22" t="n">
        <x:v>116</x:v>
      </x:c>
      <x:c r="Y121" s="22" t="str">
        <x:v>主线</x:v>
      </x:c>
    </x:row>
    <x:row r="122" ht="24" customHeight="1">
      <x:c r="A122" s="22" t="str">
        <x:v>P0118</x:v>
      </x:c>
      <x:c r="B122" s="22" t="n">
        <x:v>4</x:v>
      </x:c>
      <x:c r="C122" s="22" t="n">
        <x:v>3</x:v>
      </x:c>
      <x:c r="D122" s="22" t="str">
        <x:v>C04G03普通专属4/6</x:v>
      </x:c>
      <x:c r="E122" s="26" t="n">
        <x:v>0.08919981243587592</x:v>
      </x:c>
      <x:c r="F122" s="22" t="n">
        <x:v>3</x:v>
      </x:c>
      <x:c r="G122" s="22" t="n">
        <x:v>87</x:v>
      </x:c>
      <x:c r="H122" s="22" t="n">
        <x:v>5</x:v>
      </x:c>
      <x:c r="I122" s="22" t="n">
        <x:v>5</x:v>
      </x:c>
      <x:c r="J122" s="22" t="n">
        <x:f>'02_人物原始合计'!AG122+'02_人物原始合计'!AH122</x:f>
        <x:v>15</x:v>
      </x:c>
      <x:c r="K122" s="28" t="n">
        <x:f>'02_人物原始合计'!F122*(1+'02_人物原始合计'!Q122/100)</x:f>
        <x:v>50660.5</x:v>
      </x:c>
      <x:c r="L122" s="28" t="n">
        <x:f>'02_人物原始合计'!K122*(1+'02_人物原始合计'!AV122/100)</x:f>
        <x:v>1052200</x:v>
      </x:c>
      <x:c r="M122" s="22" t="n">
        <x:f>MAX(0,MIN(50,'02_人物原始合计'!AD122,20+MIN(30,'02_人物原始合计'!AE122)))</x:f>
        <x:v>26</x:v>
      </x:c>
      <x:c r="N122" s="22" t="n">
        <x:f>IF(M122=0,1.75,IF(M122=10,2.2,IF(M122=20,2.9,IF(M122=30,4.3,IF(M122=40,8.5,IF(M122=50,14.3,IF(M122&lt;=40,1000/('01_参数'!$B$21-'01_参数'!$B$22*M122),1000/(1000/8.5+(M122-40)/10*(1000/14.3-1000/8.5)))))))))</x:f>
        <x:v>3.617573931056102</x:v>
      </x:c>
      <x:c r="O122" s="22" t="n">
        <x:v>402</x:v>
      </x:c>
      <x:c r="P122" s="26" t="n">
        <x:f>MAX(0,MIN('01_参数'!$B$20,'02_人物原始合计'!AM122/100,'01_参数'!$B$19+'02_人物原始合计'!AN122/100))</x:f>
        <x:v>0.43</x:v>
      </x:c>
      <x:c r="Q122" s="28" t="n">
        <x:f>((('02_人物原始合计'!E122+('02_人物原始合计'!F122-'02_人物原始合计'!E122)*IF(J122&gt;=12,1,0.5+0.5*MAX(0,J122)/12))*(1+'02_人物原始合计'!Q122/100))*(1+'02_人物原始合计'!U122/100+IF(J122&gt;=15,0.15,0))*(1+'02_人物原始合计'!V122/100)*(1+'02_人物原始合计'!T122)*(1+'02_人物原始合计'!W122*'01_参数'!$B$18)*(1+MAX(0,MIN(1,'02_人物原始合计'!X122/100))*('01_参数'!$B$16+'02_人物原始合计'!Y122/100-1))*(1+MAX(0,MIN(1,'02_人物原始合计'!Z122/100))*('01_参数'!$B$17+'02_人物原始合计'!AA122/100-1))+'02_人物原始合计'!AB122)*N122*'01_参数'!$B$7*'01_参数'!$B$8</x:f>
        <x:v>1671824.8198901499</x:v>
      </x:c>
      <x:c r="R122" s="28" t="n">
        <x:f>Q122*'01_参数'!$B$5</x:f>
        <x:v>3343649.6397802997</x:v>
      </x:c>
      <x:c r="S122" s="28" t="n">
        <x:f>(('02_人物原始合计'!E122+('02_人物原始合计'!F122-'02_人物原始合计'!E122)*IF(J122&gt;=12,1,0.5+0.5*MAX(0,J122)/12))*(1+'02_人物原始合计'!Q122/100))*(1+'02_人物原始合计'!U122/100+IF(J122&gt;=15,0.15,0))*(1+'02_人物原始合计'!V122/100)*(1+'02_人物原始合计'!T122)*(1+'02_人物原始合计'!W122*'01_参数'!$B$18)*(1+MAX(0,MIN(1,'02_人物原始合计'!X122/100))*('01_参数'!$B$16+'02_人物原始合计'!Y122/100-1))*(1+MAX(0,MIN(1,'02_人物原始合计'!Z122/100))*('01_参数'!$B$17+'02_人物原始合计'!AA122/100-1))*N122*'01_参数'!$B$7*'01_参数'!$B$8*MAX(0,'02_人物原始合计'!AO122/100)</x:f>
        <x:v>66872.992795606</x:v>
      </x:c>
      <x:c r="T122" s="28" t="n">
        <x:f>S122*'01_参数'!$B$6</x:f>
        <x:v>86934.8906342878</x:v>
      </x:c>
      <x:c r="U122" s="28" t="n">
        <x:v>0</x:v>
      </x:c>
      <x:c r="V122" s="28" t="n">
        <x:f>T122+U122</x:f>
        <x:v>86934.8906342878</x:v>
      </x:c>
      <x:c r="W122" s="22" t="n">
        <x:v>10</x:v>
      </x:c>
      <x:c r="X122" s="22" t="n">
        <x:v>116</x:v>
      </x:c>
      <x:c r="Y122" s="22" t="str">
        <x:v>主线</x:v>
      </x:c>
    </x:row>
    <x:row r="123" ht="24" customHeight="1">
      <x:c r="A123" s="22" t="str">
        <x:v>P0119</x:v>
      </x:c>
      <x:c r="B123" s="22" t="n">
        <x:v>4</x:v>
      </x:c>
      <x:c r="C123" s="22" t="n">
        <x:v>3</x:v>
      </x:c>
      <x:c r="D123" s="22" t="str">
        <x:v>锁舱船长·奥杜挑战前</x:v>
      </x:c>
      <x:c r="E123" s="26" t="n">
        <x:v>0.28919981243587595</x:v>
      </x:c>
      <x:c r="F123" s="22" t="n">
        <x:v>4</x:v>
      </x:c>
      <x:c r="G123" s="22" t="n">
        <x:v>92</x:v>
      </x:c>
      <x:c r="H123" s="22" t="n">
        <x:v>5</x:v>
      </x:c>
      <x:c r="I123" s="22" t="n">
        <x:v>5</x:v>
      </x:c>
      <x:c r="J123" s="22" t="n">
        <x:f>'02_人物原始合计'!AG123+'02_人物原始合计'!AH123</x:f>
        <x:v>15</x:v>
      </x:c>
      <x:c r="K123" s="28" t="n">
        <x:f>'02_人物原始合计'!F123*(1+'02_人物原始合计'!Q123/100)</x:f>
        <x:v>59505.5</x:v>
      </x:c>
      <x:c r="L123" s="28" t="n">
        <x:f>'02_人物原始合计'!K123*(1+'02_人物原始合计'!AV123/100)</x:f>
        <x:v>1197200</x:v>
      </x:c>
      <x:c r="M123" s="22" t="n">
        <x:f>MAX(0,MIN(50,'02_人物原始合计'!AD123,20+MIN(30,'02_人物原始合计'!AE123)))</x:f>
        <x:v>26</x:v>
      </x:c>
      <x:c r="N123" s="22" t="n">
        <x:f>IF(M123=0,1.75,IF(M123=10,2.2,IF(M123=20,2.9,IF(M123=30,4.3,IF(M123=40,8.5,IF(M123=50,14.3,IF(M123&lt;=40,1000/('01_参数'!$B$21-'01_参数'!$B$22*M123),1000/(1000/8.5+(M123-40)/10*(1000/14.3-1000/8.5)))))))))</x:f>
        <x:v>3.617573931056102</x:v>
      </x:c>
      <x:c r="O123" s="22" t="n">
        <x:v>402</x:v>
      </x:c>
      <x:c r="P123" s="26" t="n">
        <x:f>MAX(0,MIN('01_参数'!$B$20,'02_人物原始合计'!AM123/100,'01_参数'!$B$19+'02_人物原始合计'!AN123/100))</x:f>
        <x:v>0.43</x:v>
      </x:c>
      <x:c r="Q123" s="28" t="n">
        <x:f>((('02_人物原始合计'!E123+('02_人物原始合计'!F123-'02_人物原始合计'!E123)*IF(J123&gt;=12,1,0.5+0.5*MAX(0,J123)/12))*(1+'02_人物原始合计'!Q123/100))*(1+'02_人物原始合计'!U123/100+IF(J123&gt;=15,0.15,0))*(1+'02_人物原始合计'!V123/100)*(1+'02_人物原始合计'!T123)*(1+'02_人物原始合计'!W123*'01_参数'!$B$18)*(1+MAX(0,MIN(1,'02_人物原始合计'!X123/100))*('01_参数'!$B$16+'02_人物原始合计'!Y123/100-1))*(1+MAX(0,MIN(1,'02_人物原始合计'!Z123/100))*('01_参数'!$B$17+'02_人物原始合计'!AA123/100-1))+'02_人物原始合计'!AB123)*N123*'01_参数'!$B$7*'01_参数'!$B$8</x:f>
        <x:v>1963714.7643622407</x:v>
      </x:c>
      <x:c r="R123" s="28" t="n">
        <x:f>Q123*'01_参数'!$B$5</x:f>
        <x:v>3927429.5287244814</x:v>
      </x:c>
      <x:c r="S123" s="28" t="n">
        <x:f>(('02_人物原始合计'!E123+('02_人物原始合计'!F123-'02_人物原始合计'!E123)*IF(J123&gt;=12,1,0.5+0.5*MAX(0,J123)/12))*(1+'02_人物原始合计'!Q123/100))*(1+'02_人物原始合计'!U123/100+IF(J123&gt;=15,0.15,0))*(1+'02_人物原始合计'!V123/100)*(1+'02_人物原始合计'!T123)*(1+'02_人物原始合计'!W123*'01_参数'!$B$18)*(1+MAX(0,MIN(1,'02_人物原始合计'!X123/100))*('01_参数'!$B$16+'02_人物原始合计'!Y123/100-1))*(1+MAX(0,MIN(1,'02_人物原始合计'!Z123/100))*('01_参数'!$B$17+'02_人物原始合计'!AA123/100-1))*N123*'01_参数'!$B$7*'01_参数'!$B$8*MAX(0,'02_人物原始合计'!AO123/100)</x:f>
        <x:v>78548.59057448963</x:v>
      </x:c>
      <x:c r="T123" s="28" t="n">
        <x:f>S123*'01_参数'!$B$6</x:f>
        <x:v>102113.16774683652</x:v>
      </x:c>
      <x:c r="U123" s="28" t="n">
        <x:v>0</x:v>
      </x:c>
      <x:c r="V123" s="28" t="n">
        <x:f>T123+U123</x:f>
        <x:v>102113.16774683652</x:v>
      </x:c>
      <x:c r="W123" s="22" t="n">
        <x:v>10</x:v>
      </x:c>
      <x:c r="X123" s="22" t="n">
        <x:v>116</x:v>
      </x:c>
      <x:c r="Y123" s="22" t="str">
        <x:v>主线</x:v>
      </x:c>
    </x:row>
    <x:row r="124" ht="24" customHeight="1">
      <x:c r="A124" s="22" t="str">
        <x:v>P0120</x:v>
      </x:c>
      <x:c r="B124" s="22" t="n">
        <x:v>4</x:v>
      </x:c>
      <x:c r="C124" s="22" t="n">
        <x:v>3</x:v>
      </x:c>
      <x:c r="D124" s="22" t="str">
        <x:v>亡舟新娘·伊蕾莎挑战前</x:v>
      </x:c>
      <x:c r="E124" s="26" t="n">
        <x:v>0.28919981243587595</x:v>
      </x:c>
      <x:c r="F124" s="22" t="n">
        <x:v>4</x:v>
      </x:c>
      <x:c r="G124" s="22" t="n">
        <x:v>92</x:v>
      </x:c>
      <x:c r="H124" s="22" t="n">
        <x:v>5</x:v>
      </x:c>
      <x:c r="I124" s="22" t="n">
        <x:v>5</x:v>
      </x:c>
      <x:c r="J124" s="22" t="n">
        <x:f>'02_人物原始合计'!AG124+'02_人物原始合计'!AH124</x:f>
        <x:v>15</x:v>
      </x:c>
      <x:c r="K124" s="28" t="n">
        <x:f>'02_人物原始合计'!F124*(1+'02_人物原始合计'!Q124/100)</x:f>
        <x:v>59505.5</x:v>
      </x:c>
      <x:c r="L124" s="28" t="n">
        <x:f>'02_人物原始合计'!K124*(1+'02_人物原始合计'!AV124/100)</x:f>
        <x:v>1197200</x:v>
      </x:c>
      <x:c r="M124" s="22" t="n">
        <x:f>MAX(0,MIN(50,'02_人物原始合计'!AD124,20+MIN(30,'02_人物原始合计'!AE124)))</x:f>
        <x:v>26</x:v>
      </x:c>
      <x:c r="N124" s="22" t="n">
        <x:f>IF(M124=0,1.75,IF(M124=10,2.2,IF(M124=20,2.9,IF(M124=30,4.3,IF(M124=40,8.5,IF(M124=50,14.3,IF(M124&lt;=40,1000/('01_参数'!$B$21-'01_参数'!$B$22*M124),1000/(1000/8.5+(M124-40)/10*(1000/14.3-1000/8.5)))))))))</x:f>
        <x:v>3.617573931056102</x:v>
      </x:c>
      <x:c r="O124" s="22" t="n">
        <x:v>402</x:v>
      </x:c>
      <x:c r="P124" s="26" t="n">
        <x:f>MAX(0,MIN('01_参数'!$B$20,'02_人物原始合计'!AM124/100,'01_参数'!$B$19+'02_人物原始合计'!AN124/100))</x:f>
        <x:v>0.43</x:v>
      </x:c>
      <x:c r="Q124" s="28" t="n">
        <x:f>((('02_人物原始合计'!E124+('02_人物原始合计'!F124-'02_人物原始合计'!E124)*IF(J124&gt;=12,1,0.5+0.5*MAX(0,J124)/12))*(1+'02_人物原始合计'!Q124/100))*(1+'02_人物原始合计'!U124/100+IF(J124&gt;=15,0.15,0))*(1+'02_人物原始合计'!V124/100)*(1+'02_人物原始合计'!T124)*(1+'02_人物原始合计'!W124*'01_参数'!$B$18)*(1+MAX(0,MIN(1,'02_人物原始合计'!X124/100))*('01_参数'!$B$16+'02_人物原始合计'!Y124/100-1))*(1+MAX(0,MIN(1,'02_人物原始合计'!Z124/100))*('01_参数'!$B$17+'02_人物原始合计'!AA124/100-1))+'02_人物原始合计'!AB124)*N124*'01_参数'!$B$7*'01_参数'!$B$8</x:f>
        <x:v>1963714.7643622407</x:v>
      </x:c>
      <x:c r="R124" s="28" t="n">
        <x:f>Q124*'01_参数'!$B$5</x:f>
        <x:v>3927429.5287244814</x:v>
      </x:c>
      <x:c r="S124" s="28" t="n">
        <x:f>(('02_人物原始合计'!E124+('02_人物原始合计'!F124-'02_人物原始合计'!E124)*IF(J124&gt;=12,1,0.5+0.5*MAX(0,J124)/12))*(1+'02_人物原始合计'!Q124/100))*(1+'02_人物原始合计'!U124/100+IF(J124&gt;=15,0.15,0))*(1+'02_人物原始合计'!V124/100)*(1+'02_人物原始合计'!T124)*(1+'02_人物原始合计'!W124*'01_参数'!$B$18)*(1+MAX(0,MIN(1,'02_人物原始合计'!X124/100))*('01_参数'!$B$16+'02_人物原始合计'!Y124/100-1))*(1+MAX(0,MIN(1,'02_人物原始合计'!Z124/100))*('01_参数'!$B$17+'02_人物原始合计'!AA124/100-1))*N124*'01_参数'!$B$7*'01_参数'!$B$8*MAX(0,'02_人物原始合计'!AO124/100)</x:f>
        <x:v>78548.59057448963</x:v>
      </x:c>
      <x:c r="T124" s="28" t="n">
        <x:f>S124*'01_参数'!$B$6</x:f>
        <x:v>102113.16774683652</x:v>
      </x:c>
      <x:c r="U124" s="28" t="n">
        <x:v>0</x:v>
      </x:c>
      <x:c r="V124" s="28" t="n">
        <x:f>T124+U124</x:f>
        <x:v>102113.16774683652</x:v>
      </x:c>
      <x:c r="W124" s="22" t="n">
        <x:v>10</x:v>
      </x:c>
      <x:c r="X124" s="22" t="n">
        <x:v>116</x:v>
      </x:c>
      <x:c r="Y124" s="22" t="str">
        <x:v>主线</x:v>
      </x:c>
    </x:row>
    <x:row r="125" ht="24" customHeight="1">
      <x:c r="A125" s="22" t="str">
        <x:v>P0121</x:v>
      </x:c>
      <x:c r="B125" s="22" t="n">
        <x:v>4</x:v>
      </x:c>
      <x:c r="C125" s="22" t="n">
        <x:v>3</x:v>
      </x:c>
      <x:c r="D125" s="22" t="str">
        <x:v>湖心沉船BOSS装备快线</x:v>
      </x:c>
      <x:c r="E125" s="26" t="n">
        <x:v>0.30944176949177554</x:v>
      </x:c>
      <x:c r="F125" s="22" t="n">
        <x:v>4</x:v>
      </x:c>
      <x:c r="G125" s="22" t="n">
        <x:v>92</x:v>
      </x:c>
      <x:c r="H125" s="22" t="n">
        <x:v>5</x:v>
      </x:c>
      <x:c r="I125" s="22" t="n">
        <x:v>5</x:v>
      </x:c>
      <x:c r="J125" s="22" t="n">
        <x:f>'02_人物原始合计'!AG125+'02_人物原始合计'!AH125</x:f>
        <x:v>15</x:v>
      </x:c>
      <x:c r="K125" s="28" t="n">
        <x:f>'02_人物原始合计'!F125*(1+'02_人物原始合计'!Q125/100)</x:f>
        <x:v>66654.09</x:v>
      </x:c>
      <x:c r="L125" s="28" t="n">
        <x:f>'02_人物原始合计'!K125*(1+'02_人物原始合计'!AV125/100)</x:f>
        <x:v>1249900</x:v>
      </x:c>
      <x:c r="M125" s="22" t="n">
        <x:f>MAX(0,MIN(50,'02_人物原始合计'!AD125,20+MIN(30,'02_人物原始合计'!AE125)))</x:f>
        <x:v>27</x:v>
      </x:c>
      <x:c r="N125" s="22" t="n">
        <x:f>IF(M125=0,1.75,IF(M125=10,2.2,IF(M125=20,2.9,IF(M125=30,4.3,IF(M125=40,8.5,IF(M125=50,14.3,IF(M125&lt;=40,1000/('01_参数'!$B$21-'01_参数'!$B$22*M125),1000/(1000/8.5+(M125-40)/10*(1000/14.3-1000/8.5)))))))))</x:f>
        <x:v>3.7716940913647403</x:v>
      </x:c>
      <x:c r="O125" s="22" t="n">
        <x:v>402</x:v>
      </x:c>
      <x:c r="P125" s="26" t="n">
        <x:f>MAX(0,MIN('01_参数'!$B$20,'02_人物原始合计'!AM125/100,'01_参数'!$B$19+'02_人物原始合计'!AN125/100))</x:f>
        <x:v>0.45</x:v>
      </x:c>
      <x:c r="Q125" s="28" t="n">
        <x:f>((('02_人物原始合计'!E125+('02_人物原始合计'!F125-'02_人物原始合计'!E125)*IF(J125&gt;=12,1,0.5+0.5*MAX(0,J125)/12))*(1+'02_人物原始合计'!Q125/100))*(1+'02_人物原始合计'!U125/100+IF(J125&gt;=15,0.15,0))*(1+'02_人物原始合计'!V125/100)*(1+'02_人物原始合计'!T125)*(1+'02_人物原始合计'!W125*'01_参数'!$B$18)*(1+MAX(0,MIN(1,'02_人物原始合计'!X125/100))*('01_参数'!$B$16+'02_人物原始合计'!Y125/100-1))*(1+MAX(0,MIN(1,'02_人物原始合计'!Z125/100))*('01_参数'!$B$17+'02_人物原始合计'!AA125/100-1))+'02_人物原始合计'!AB125)*N125*'01_参数'!$B$7*'01_参数'!$B$8</x:f>
        <x:v>2925845.0204343293</x:v>
      </x:c>
      <x:c r="R125" s="28" t="n">
        <x:f>Q125*'01_参数'!$B$5</x:f>
        <x:v>5851690.040868659</x:v>
      </x:c>
      <x:c r="S125" s="28" t="n">
        <x:f>(('02_人物原始合计'!E125+('02_人物原始合计'!F125-'02_人物原始合计'!E125)*IF(J125&gt;=12,1,0.5+0.5*MAX(0,J125)/12))*(1+'02_人物原始合计'!Q125/100))*(1+'02_人物原始合计'!U125/100+IF(J125&gt;=15,0.15,0))*(1+'02_人物原始合计'!V125/100)*(1+'02_人物原始合计'!T125)*(1+'02_人物原始合计'!W125*'01_参数'!$B$18)*(1+MAX(0,MIN(1,'02_人物原始合计'!X125/100))*('01_参数'!$B$16+'02_人物原始合计'!Y125/100-1))*(1+MAX(0,MIN(1,'02_人物原始合计'!Z125/100))*('01_参数'!$B$17+'02_人物原始合计'!AA125/100-1))*N125*'01_参数'!$B$7*'01_参数'!$B$8*MAX(0,'02_人物原始合计'!AO125/100)</x:f>
        <x:v>175550.70122605975</x:v>
      </x:c>
      <x:c r="T125" s="28" t="n">
        <x:f>S125*'01_参数'!$B$6</x:f>
        <x:v>228215.91159387768</x:v>
      </x:c>
      <x:c r="U125" s="28" t="n">
        <x:v>0</x:v>
      </x:c>
      <x:c r="V125" s="28" t="n">
        <x:f>T125+U125</x:f>
        <x:v>228215.91159387768</x:v>
      </x:c>
      <x:c r="W125" s="22" t="n">
        <x:v>10</x:v>
      </x:c>
      <x:c r="X125" s="22" t="n">
        <x:v>116</x:v>
      </x:c>
      <x:c r="Y125" s="22" t="str">
        <x:v>C04G03BOSS强装对照</x:v>
      </x:c>
    </x:row>
    <x:row r="126" ht="24" customHeight="1">
      <x:c r="A126" s="22" t="str">
        <x:v>P0122</x:v>
      </x:c>
      <x:c r="B126" s="22" t="n">
        <x:v>4</x:v>
      </x:c>
      <x:c r="C126" s="22" t="n">
        <x:v>3</x:v>
      </x:c>
      <x:c r="D126" s="22" t="str">
        <x:v>湖心沉船阶段积累后</x:v>
      </x:c>
      <x:c r="E126" s="26" t="n">
        <x:v>0.2935748124358759</x:v>
      </x:c>
      <x:c r="F126" s="22" t="n">
        <x:v>4</x:v>
      </x:c>
      <x:c r="G126" s="22" t="n">
        <x:v>92</x:v>
      </x:c>
      <x:c r="H126" s="22" t="n">
        <x:v>5</x:v>
      </x:c>
      <x:c r="I126" s="22" t="n">
        <x:v>5</x:v>
      </x:c>
      <x:c r="J126" s="22" t="n">
        <x:f>'02_人物原始合计'!AG126+'02_人物原始合计'!AH126</x:f>
        <x:v>15</x:v>
      </x:c>
      <x:c r="K126" s="28" t="n">
        <x:f>'02_人物原始合计'!F126*(1+'02_人物原始合计'!Q126/100)</x:f>
        <x:v>59597</x:v>
      </x:c>
      <x:c r="L126" s="28" t="n">
        <x:f>'02_人物原始合计'!K126*(1+'02_人物原始合计'!AV126/100)</x:f>
        <x:v>1198700</x:v>
      </x:c>
      <x:c r="M126" s="22" t="n">
        <x:f>MAX(0,MIN(50,'02_人物原始合计'!AD126,20+MIN(30,'02_人物原始合计'!AE126)))</x:f>
        <x:v>26</x:v>
      </x:c>
      <x:c r="N126" s="22" t="n">
        <x:f>IF(M126=0,1.75,IF(M126=10,2.2,IF(M126=20,2.9,IF(M126=30,4.3,IF(M126=40,8.5,IF(M126=50,14.3,IF(M126&lt;=40,1000/('01_参数'!$B$21-'01_参数'!$B$22*M126),1000/(1000/8.5+(M126-40)/10*(1000/14.3-1000/8.5)))))))))</x:f>
        <x:v>3.617573931056102</x:v>
      </x:c>
      <x:c r="O126" s="22" t="n">
        <x:v>402</x:v>
      </x:c>
      <x:c r="P126" s="26" t="n">
        <x:f>MAX(0,MIN('01_参数'!$B$20,'02_人物原始合计'!AM126/100,'01_参数'!$B$19+'02_人物原始合计'!AN126/100))</x:f>
        <x:v>0.43</x:v>
      </x:c>
      <x:c r="Q126" s="28" t="n">
        <x:f>((('02_人物原始合计'!E126+('02_人物原始合计'!F126-'02_人物原始合计'!E126)*IF(J126&gt;=12,1,0.5+0.5*MAX(0,J126)/12))*(1+'02_人物原始合计'!Q126/100))*(1+'02_人物原始合计'!U126/100+IF(J126&gt;=15,0.15,0))*(1+'02_人物原始合计'!V126/100)*(1+'02_人物原始合计'!T126)*(1+'02_人物原始合计'!W126*'01_参数'!$B$18)*(1+MAX(0,MIN(1,'02_人物原始合计'!X126/100))*('01_参数'!$B$16+'02_人物原始合计'!Y126/100-1))*(1+MAX(0,MIN(1,'02_人物原始合计'!Z126/100))*('01_参数'!$B$17+'02_人物原始合计'!AA126/100-1))+'02_人物原始合计'!AB126)*N126*'01_参数'!$B$7*'01_参数'!$B$8</x:f>
        <x:v>1966734.3155119524</x:v>
      </x:c>
      <x:c r="R126" s="28" t="n">
        <x:f>Q126*'01_参数'!$B$5</x:f>
        <x:v>3933468.631023905</x:v>
      </x:c>
      <x:c r="S126" s="28" t="n">
        <x:f>(('02_人物原始合计'!E126+('02_人物原始合计'!F126-'02_人物原始合计'!E126)*IF(J126&gt;=12,1,0.5+0.5*MAX(0,J126)/12))*(1+'02_人物原始合计'!Q126/100))*(1+'02_人物原始合计'!U126/100+IF(J126&gt;=15,0.15,0))*(1+'02_人物原始合计'!V126/100)*(1+'02_人物原始合计'!T126)*(1+'02_人物原始合计'!W126*'01_参数'!$B$18)*(1+MAX(0,MIN(1,'02_人物原始合计'!X126/100))*('01_参数'!$B$16+'02_人物原始合计'!Y126/100-1))*(1+MAX(0,MIN(1,'02_人物原始合计'!Z126/100))*('01_参数'!$B$17+'02_人物原始合计'!AA126/100-1))*N126*'01_参数'!$B$7*'01_参数'!$B$8*MAX(0,'02_人物原始合计'!AO126/100)</x:f>
        <x:v>78669.3726204781</x:v>
      </x:c>
      <x:c r="T126" s="28" t="n">
        <x:f>S126*'01_参数'!$B$6</x:f>
        <x:v>102270.18440662153</x:v>
      </x:c>
      <x:c r="U126" s="28" t="n">
        <x:v>0</x:v>
      </x:c>
      <x:c r="V126" s="28" t="n">
        <x:f>T126+U126</x:f>
        <x:v>102270.18440662153</x:v>
      </x:c>
      <x:c r="W126" s="22" t="n">
        <x:v>10</x:v>
      </x:c>
      <x:c r="X126" s="22" t="n">
        <x:v>117</x:v>
      </x:c>
      <x:c r="Y126" s="22" t="str">
        <x:v>主线</x:v>
      </x:c>
    </x:row>
    <x:row r="127" ht="24" customHeight="1">
      <x:c r="A127" s="22" t="str">
        <x:v>P0123</x:v>
      </x:c>
      <x:c r="B127" s="22" t="n">
        <x:v>4</x:v>
      </x:c>
      <x:c r="C127" s="22" t="n">
        <x:v>4</x:v>
      </x:c>
      <x:c r="D127" s="22" t="str">
        <x:v>C04G04入场</x:v>
      </x:c>
      <x:c r="E127" s="26" t="n">
        <x:v>0.2935748124358759</x:v>
      </x:c>
      <x:c r="F127" s="22" t="n">
        <x:v>4</x:v>
      </x:c>
      <x:c r="G127" s="22" t="n">
        <x:v>92</x:v>
      </x:c>
      <x:c r="H127" s="22" t="n">
        <x:v>5</x:v>
      </x:c>
      <x:c r="I127" s="22" t="n">
        <x:v>5</x:v>
      </x:c>
      <x:c r="J127" s="22" t="n">
        <x:f>'02_人物原始合计'!AG127+'02_人物原始合计'!AH127</x:f>
        <x:v>15</x:v>
      </x:c>
      <x:c r="K127" s="28" t="n">
        <x:f>'02_人物原始合计'!F127*(1+'02_人物原始合计'!Q127/100)</x:f>
        <x:v>59597</x:v>
      </x:c>
      <x:c r="L127" s="28" t="n">
        <x:f>'02_人物原始合计'!K127*(1+'02_人物原始合计'!AV127/100)</x:f>
        <x:v>1198700</x:v>
      </x:c>
      <x:c r="M127" s="22" t="n">
        <x:f>MAX(0,MIN(50,'02_人物原始合计'!AD127,20+MIN(30,'02_人物原始合计'!AE127)))</x:f>
        <x:v>26</x:v>
      </x:c>
      <x:c r="N127" s="22" t="n">
        <x:f>IF(M127=0,1.75,IF(M127=10,2.2,IF(M127=20,2.9,IF(M127=30,4.3,IF(M127=40,8.5,IF(M127=50,14.3,IF(M127&lt;=40,1000/('01_参数'!$B$21-'01_参数'!$B$22*M127),1000/(1000/8.5+(M127-40)/10*(1000/14.3-1000/8.5)))))))))</x:f>
        <x:v>3.617573931056102</x:v>
      </x:c>
      <x:c r="O127" s="22" t="n">
        <x:v>402</x:v>
      </x:c>
      <x:c r="P127" s="26" t="n">
        <x:f>MAX(0,MIN('01_参数'!$B$20,'02_人物原始合计'!AM127/100,'01_参数'!$B$19+'02_人物原始合计'!AN127/100))</x:f>
        <x:v>0.43</x:v>
      </x:c>
      <x:c r="Q127" s="28" t="n">
        <x:f>((('02_人物原始合计'!E127+('02_人物原始合计'!F127-'02_人物原始合计'!E127)*IF(J127&gt;=12,1,0.5+0.5*MAX(0,J127)/12))*(1+'02_人物原始合计'!Q127/100))*(1+'02_人物原始合计'!U127/100+IF(J127&gt;=15,0.15,0))*(1+'02_人物原始合计'!V127/100)*(1+'02_人物原始合计'!T127)*(1+'02_人物原始合计'!W127*'01_参数'!$B$18)*(1+MAX(0,MIN(1,'02_人物原始合计'!X127/100))*('01_参数'!$B$16+'02_人物原始合计'!Y127/100-1))*(1+MAX(0,MIN(1,'02_人物原始合计'!Z127/100))*('01_参数'!$B$17+'02_人物原始合计'!AA127/100-1))+'02_人物原始合计'!AB127)*N127*'01_参数'!$B$7*'01_参数'!$B$8</x:f>
        <x:v>1966734.3155119524</x:v>
      </x:c>
      <x:c r="R127" s="28" t="n">
        <x:f>Q127*'01_参数'!$B$5</x:f>
        <x:v>3933468.631023905</x:v>
      </x:c>
      <x:c r="S127" s="28" t="n">
        <x:f>(('02_人物原始合计'!E127+('02_人物原始合计'!F127-'02_人物原始合计'!E127)*IF(J127&gt;=12,1,0.5+0.5*MAX(0,J127)/12))*(1+'02_人物原始合计'!Q127/100))*(1+'02_人物原始合计'!U127/100+IF(J127&gt;=15,0.15,0))*(1+'02_人物原始合计'!V127/100)*(1+'02_人物原始合计'!T127)*(1+'02_人物原始合计'!W127*'01_参数'!$B$18)*(1+MAX(0,MIN(1,'02_人物原始合计'!X127/100))*('01_参数'!$B$16+'02_人物原始合计'!Y127/100-1))*(1+MAX(0,MIN(1,'02_人物原始合计'!Z127/100))*('01_参数'!$B$17+'02_人物原始合计'!AA127/100-1))*N127*'01_参数'!$B$7*'01_参数'!$B$8*MAX(0,'02_人物原始合计'!AO127/100)</x:f>
        <x:v>78669.3726204781</x:v>
      </x:c>
      <x:c r="T127" s="28" t="n">
        <x:f>S127*'01_参数'!$B$6</x:f>
        <x:v>102270.18440662153</x:v>
      </x:c>
      <x:c r="U127" s="28" t="n">
        <x:v>0</x:v>
      </x:c>
      <x:c r="V127" s="28" t="n">
        <x:f>T127+U127</x:f>
        <x:v>102270.18440662153</x:v>
      </x:c>
      <x:c r="W127" s="22" t="n">
        <x:v>10</x:v>
      </x:c>
      <x:c r="X127" s="22" t="n">
        <x:v>117</x:v>
      </x:c>
      <x:c r="Y127" s="22" t="str">
        <x:v>主线</x:v>
      </x:c>
    </x:row>
    <x:row r="128" ht="24" customHeight="1">
      <x:c r="A128" s="22" t="str">
        <x:v>P0124</x:v>
      </x:c>
      <x:c r="B128" s="22" t="n">
        <x:v>4</x:v>
      </x:c>
      <x:c r="C128" s="22" t="n">
        <x:v>4</x:v>
      </x:c>
      <x:c r="D128" s="22" t="str">
        <x:v>C04G04普通专属4/6</x:v>
      </x:c>
      <x:c r="E128" s="26" t="n">
        <x:v>0.2935748124358759</x:v>
      </x:c>
      <x:c r="F128" s="22" t="n">
        <x:v>4</x:v>
      </x:c>
      <x:c r="G128" s="22" t="n">
        <x:v>92</x:v>
      </x:c>
      <x:c r="H128" s="22" t="n">
        <x:v>5</x:v>
      </x:c>
      <x:c r="I128" s="22" t="n">
        <x:v>5</x:v>
      </x:c>
      <x:c r="J128" s="22" t="n">
        <x:f>'02_人物原始合计'!AG128+'02_人物原始合计'!AH128</x:f>
        <x:v>15</x:v>
      </x:c>
      <x:c r="K128" s="28" t="n">
        <x:f>'02_人物原始合计'!F128*(1+'02_人物原始合计'!Q128/100)</x:f>
        <x:v>59597</x:v>
      </x:c>
      <x:c r="L128" s="28" t="n">
        <x:f>'02_人物原始合计'!K128*(1+'02_人物原始合计'!AV128/100)</x:f>
        <x:v>1198700</x:v>
      </x:c>
      <x:c r="M128" s="22" t="n">
        <x:f>MAX(0,MIN(50,'02_人物原始合计'!AD128,20+MIN(30,'02_人物原始合计'!AE128)))</x:f>
        <x:v>26</x:v>
      </x:c>
      <x:c r="N128" s="22" t="n">
        <x:f>IF(M128=0,1.75,IF(M128=10,2.2,IF(M128=20,2.9,IF(M128=30,4.3,IF(M128=40,8.5,IF(M128=50,14.3,IF(M128&lt;=40,1000/('01_参数'!$B$21-'01_参数'!$B$22*M128),1000/(1000/8.5+(M128-40)/10*(1000/14.3-1000/8.5)))))))))</x:f>
        <x:v>3.617573931056102</x:v>
      </x:c>
      <x:c r="O128" s="22" t="n">
        <x:v>402</x:v>
      </x:c>
      <x:c r="P128" s="26" t="n">
        <x:f>MAX(0,MIN('01_参数'!$B$20,'02_人物原始合计'!AM128/100,'01_参数'!$B$19+'02_人物原始合计'!AN128/100))</x:f>
        <x:v>0.43</x:v>
      </x:c>
      <x:c r="Q128" s="28" t="n">
        <x:f>((('02_人物原始合计'!E128+('02_人物原始合计'!F128-'02_人物原始合计'!E128)*IF(J128&gt;=12,1,0.5+0.5*MAX(0,J128)/12))*(1+'02_人物原始合计'!Q128/100))*(1+'02_人物原始合计'!U128/100+IF(J128&gt;=15,0.15,0))*(1+'02_人物原始合计'!V128/100)*(1+'02_人物原始合计'!T128)*(1+'02_人物原始合计'!W128*'01_参数'!$B$18)*(1+MAX(0,MIN(1,'02_人物原始合计'!X128/100))*('01_参数'!$B$16+'02_人物原始合计'!Y128/100-1))*(1+MAX(0,MIN(1,'02_人物原始合计'!Z128/100))*('01_参数'!$B$17+'02_人物原始合计'!AA128/100-1))+'02_人物原始合计'!AB128)*N128*'01_参数'!$B$7*'01_参数'!$B$8</x:f>
        <x:v>1966734.3155119524</x:v>
      </x:c>
      <x:c r="R128" s="28" t="n">
        <x:f>Q128*'01_参数'!$B$5</x:f>
        <x:v>3933468.631023905</x:v>
      </x:c>
      <x:c r="S128" s="28" t="n">
        <x:f>(('02_人物原始合计'!E128+('02_人物原始合计'!F128-'02_人物原始合计'!E128)*IF(J128&gt;=12,1,0.5+0.5*MAX(0,J128)/12))*(1+'02_人物原始合计'!Q128/100))*(1+'02_人物原始合计'!U128/100+IF(J128&gt;=15,0.15,0))*(1+'02_人物原始合计'!V128/100)*(1+'02_人物原始合计'!T128)*(1+'02_人物原始合计'!W128*'01_参数'!$B$18)*(1+MAX(0,MIN(1,'02_人物原始合计'!X128/100))*('01_参数'!$B$16+'02_人物原始合计'!Y128/100-1))*(1+MAX(0,MIN(1,'02_人物原始合计'!Z128/100))*('01_参数'!$B$17+'02_人物原始合计'!AA128/100-1))*N128*'01_参数'!$B$7*'01_参数'!$B$8*MAX(0,'02_人物原始合计'!AO128/100)</x:f>
        <x:v>78669.3726204781</x:v>
      </x:c>
      <x:c r="T128" s="28" t="n">
        <x:f>S128*'01_参数'!$B$6</x:f>
        <x:v>102270.18440662153</x:v>
      </x:c>
      <x:c r="U128" s="28" t="n">
        <x:v>0</x:v>
      </x:c>
      <x:c r="V128" s="28" t="n">
        <x:f>T128+U128</x:f>
        <x:v>102270.18440662153</x:v>
      </x:c>
      <x:c r="W128" s="22" t="n">
        <x:v>10</x:v>
      </x:c>
      <x:c r="X128" s="22" t="n">
        <x:v>117</x:v>
      </x:c>
      <x:c r="Y128" s="22" t="str">
        <x:v>主线</x:v>
      </x:c>
    </x:row>
    <x:row r="129" ht="24" customHeight="1">
      <x:c r="A129" s="22" t="str">
        <x:v>P0125</x:v>
      </x:c>
      <x:c r="B129" s="22" t="n">
        <x:v>4</x:v>
      </x:c>
      <x:c r="C129" s="22" t="n">
        <x:v>4</x:v>
      </x:c>
      <x:c r="D129" s="22" t="str">
        <x:v>幽舵大副·赫岚挑战前</x:v>
      </x:c>
      <x:c r="E129" s="26" t="n">
        <x:v>0.2935748124358759</x:v>
      </x:c>
      <x:c r="F129" s="22" t="n">
        <x:v>4</x:v>
      </x:c>
      <x:c r="G129" s="22" t="n">
        <x:v>97</x:v>
      </x:c>
      <x:c r="H129" s="22" t="n">
        <x:v>5</x:v>
      </x:c>
      <x:c r="I129" s="22" t="n">
        <x:v>5</x:v>
      </x:c>
      <x:c r="J129" s="22" t="n">
        <x:f>'02_人物原始合计'!AG129+'02_人物原始合计'!AH129</x:f>
        <x:v>15</x:v>
      </x:c>
      <x:c r="K129" s="28" t="n">
        <x:f>'02_人物原始合计'!F129*(1+'02_人物原始合计'!Q129/100)</x:f>
        <x:v>62494.49999999999</x:v>
      </x:c>
      <x:c r="L129" s="28" t="n">
        <x:f>'02_人物原始合计'!K129*(1+'02_人物原始合计'!AV129/100)</x:f>
        <x:v>1246200</x:v>
      </x:c>
      <x:c r="M129" s="22" t="n">
        <x:f>MAX(0,MIN(50,'02_人物原始合计'!AD129,20+MIN(30,'02_人物原始合计'!AE129)))</x:f>
        <x:v>26</x:v>
      </x:c>
      <x:c r="N129" s="22" t="n">
        <x:f>IF(M129=0,1.75,IF(M129=10,2.2,IF(M129=20,2.9,IF(M129=30,4.3,IF(M129=40,8.5,IF(M129=50,14.3,IF(M129&lt;=40,1000/('01_参数'!$B$21-'01_参数'!$B$22*M129),1000/(1000/8.5+(M129-40)/10*(1000/14.3-1000/8.5)))))))))</x:f>
        <x:v>3.617573931056102</x:v>
      </x:c>
      <x:c r="O129" s="22" t="n">
        <x:v>402</x:v>
      </x:c>
      <x:c r="P129" s="26" t="n">
        <x:f>MAX(0,MIN('01_参数'!$B$20,'02_人物原始合计'!AM129/100,'01_参数'!$B$19+'02_人物原始合计'!AN129/100))</x:f>
        <x:v>0.43</x:v>
      </x:c>
      <x:c r="Q129" s="28" t="n">
        <x:f>((('02_人物原始合计'!E129+('02_人物原始合计'!F129-'02_人物原始合计'!E129)*IF(J129&gt;=12,1,0.5+0.5*MAX(0,J129)/12))*(1+'02_人物原始合计'!Q129/100))*(1+'02_人物原始合计'!U129/100+IF(J129&gt;=15,0.15,0))*(1+'02_人物原始合计'!V129/100)*(1+'02_人物原始合计'!T129)*(1+'02_人物原始合计'!W129*'01_参数'!$B$18)*(1+MAX(0,MIN(1,'02_人物原始合计'!X129/100))*('01_参数'!$B$16+'02_人物原始合计'!Y129/100-1))*(1+MAX(0,MIN(1,'02_人物原始合计'!Z129/100))*('01_参数'!$B$17+'02_人物原始合计'!AA129/100-1))+'02_人物原始合计'!AB129)*N129*'01_参数'!$B$7*'01_参数'!$B$8</x:f>
        <x:v>2062353.4352528092</x:v>
      </x:c>
      <x:c r="R129" s="28" t="n">
        <x:f>Q129*'01_参数'!$B$5</x:f>
        <x:v>4124706.8705056184</x:v>
      </x:c>
      <x:c r="S129" s="28" t="n">
        <x:f>(('02_人物原始合计'!E129+('02_人物原始合计'!F129-'02_人物原始合计'!E129)*IF(J129&gt;=12,1,0.5+0.5*MAX(0,J129)/12))*(1+'02_人物原始合计'!Q129/100))*(1+'02_人物原始合计'!U129/100+IF(J129&gt;=15,0.15,0))*(1+'02_人物原始合计'!V129/100)*(1+'02_人物原始合计'!T129)*(1+'02_人物原始合计'!W129*'01_参数'!$B$18)*(1+MAX(0,MIN(1,'02_人物原始合计'!X129/100))*('01_参数'!$B$16+'02_人物原始合计'!Y129/100-1))*(1+MAX(0,MIN(1,'02_人物原始合计'!Z129/100))*('01_参数'!$B$17+'02_人物原始合计'!AA129/100-1))*N129*'01_参数'!$B$7*'01_参数'!$B$8*MAX(0,'02_人物原始合计'!AO129/100)</x:f>
        <x:v>82494.13741011237</x:v>
      </x:c>
      <x:c r="T129" s="28" t="n">
        <x:f>S129*'01_参数'!$B$6</x:f>
        <x:v>107242.37863314607</x:v>
      </x:c>
      <x:c r="U129" s="28" t="n">
        <x:v>0</x:v>
      </x:c>
      <x:c r="V129" s="28" t="n">
        <x:f>T129+U129</x:f>
        <x:v>107242.37863314607</x:v>
      </x:c>
      <x:c r="W129" s="22" t="n">
        <x:v>10</x:v>
      </x:c>
      <x:c r="X129" s="22" t="n">
        <x:v>117</x:v>
      </x:c>
      <x:c r="Y129" s="22" t="str">
        <x:v>主线</x:v>
      </x:c>
    </x:row>
    <x:row r="130" ht="24" customHeight="1">
      <x:c r="A130" s="22" t="str">
        <x:v>P0126</x:v>
      </x:c>
      <x:c r="B130" s="22" t="n">
        <x:v>4</x:v>
      </x:c>
      <x:c r="C130" s="22" t="n">
        <x:v>4</x:v>
      </x:c>
      <x:c r="D130" s="22" t="str">
        <x:v>百舱吞魂者·沃姆挑战前</x:v>
      </x:c>
      <x:c r="E130" s="26" t="n">
        <x:v>0.2935748124358759</x:v>
      </x:c>
      <x:c r="F130" s="22" t="n">
        <x:v>4</x:v>
      </x:c>
      <x:c r="G130" s="22" t="n">
        <x:v>97</x:v>
      </x:c>
      <x:c r="H130" s="22" t="n">
        <x:v>5</x:v>
      </x:c>
      <x:c r="I130" s="22" t="n">
        <x:v>5</x:v>
      </x:c>
      <x:c r="J130" s="22" t="n">
        <x:f>'02_人物原始合计'!AG130+'02_人物原始合计'!AH130</x:f>
        <x:v>15</x:v>
      </x:c>
      <x:c r="K130" s="28" t="n">
        <x:f>'02_人物原始合计'!F130*(1+'02_人物原始合计'!Q130/100)</x:f>
        <x:v>62494.49999999999</x:v>
      </x:c>
      <x:c r="L130" s="28" t="n">
        <x:f>'02_人物原始合计'!K130*(1+'02_人物原始合计'!AV130/100)</x:f>
        <x:v>1246200</x:v>
      </x:c>
      <x:c r="M130" s="22" t="n">
        <x:f>MAX(0,MIN(50,'02_人物原始合计'!AD130,20+MIN(30,'02_人物原始合计'!AE130)))</x:f>
        <x:v>26</x:v>
      </x:c>
      <x:c r="N130" s="22" t="n">
        <x:f>IF(M130=0,1.75,IF(M130=10,2.2,IF(M130=20,2.9,IF(M130=30,4.3,IF(M130=40,8.5,IF(M130=50,14.3,IF(M130&lt;=40,1000/('01_参数'!$B$21-'01_参数'!$B$22*M130),1000/(1000/8.5+(M130-40)/10*(1000/14.3-1000/8.5)))))))))</x:f>
        <x:v>3.617573931056102</x:v>
      </x:c>
      <x:c r="O130" s="22" t="n">
        <x:v>402</x:v>
      </x:c>
      <x:c r="P130" s="26" t="n">
        <x:f>MAX(0,MIN('01_参数'!$B$20,'02_人物原始合计'!AM130/100,'01_参数'!$B$19+'02_人物原始合计'!AN130/100))</x:f>
        <x:v>0.43</x:v>
      </x:c>
      <x:c r="Q130" s="28" t="n">
        <x:f>((('02_人物原始合计'!E130+('02_人物原始合计'!F130-'02_人物原始合计'!E130)*IF(J130&gt;=12,1,0.5+0.5*MAX(0,J130)/12))*(1+'02_人物原始合计'!Q130/100))*(1+'02_人物原始合计'!U130/100+IF(J130&gt;=15,0.15,0))*(1+'02_人物原始合计'!V130/100)*(1+'02_人物原始合计'!T130)*(1+'02_人物原始合计'!W130*'01_参数'!$B$18)*(1+MAX(0,MIN(1,'02_人物原始合计'!X130/100))*('01_参数'!$B$16+'02_人物原始合计'!Y130/100-1))*(1+MAX(0,MIN(1,'02_人物原始合计'!Z130/100))*('01_参数'!$B$17+'02_人物原始合计'!AA130/100-1))+'02_人物原始合计'!AB130)*N130*'01_参数'!$B$7*'01_参数'!$B$8</x:f>
        <x:v>2062353.4352528092</x:v>
      </x:c>
      <x:c r="R130" s="28" t="n">
        <x:f>Q130*'01_参数'!$B$5</x:f>
        <x:v>4124706.8705056184</x:v>
      </x:c>
      <x:c r="S130" s="28" t="n">
        <x:f>(('02_人物原始合计'!E130+('02_人物原始合计'!F130-'02_人物原始合计'!E130)*IF(J130&gt;=12,1,0.5+0.5*MAX(0,J130)/12))*(1+'02_人物原始合计'!Q130/100))*(1+'02_人物原始合计'!U130/100+IF(J130&gt;=15,0.15,0))*(1+'02_人物原始合计'!V130/100)*(1+'02_人物原始合计'!T130)*(1+'02_人物原始合计'!W130*'01_参数'!$B$18)*(1+MAX(0,MIN(1,'02_人物原始合计'!X130/100))*('01_参数'!$B$16+'02_人物原始合计'!Y130/100-1))*(1+MAX(0,MIN(1,'02_人物原始合计'!Z130/100))*('01_参数'!$B$17+'02_人物原始合计'!AA130/100-1))*N130*'01_参数'!$B$7*'01_参数'!$B$8*MAX(0,'02_人物原始合计'!AO130/100)</x:f>
        <x:v>82494.13741011237</x:v>
      </x:c>
      <x:c r="T130" s="28" t="n">
        <x:f>S130*'01_参数'!$B$6</x:f>
        <x:v>107242.37863314607</x:v>
      </x:c>
      <x:c r="U130" s="28" t="n">
        <x:v>0</x:v>
      </x:c>
      <x:c r="V130" s="28" t="n">
        <x:f>T130+U130</x:f>
        <x:v>107242.37863314607</x:v>
      </x:c>
      <x:c r="W130" s="22" t="n">
        <x:v>10</x:v>
      </x:c>
      <x:c r="X130" s="22" t="n">
        <x:v>117</x:v>
      </x:c>
      <x:c r="Y130" s="22" t="str">
        <x:v>主线</x:v>
      </x:c>
    </x:row>
    <x:row r="131" ht="24" customHeight="1">
      <x:c r="A131" s="22" t="str">
        <x:v>P0127</x:v>
      </x:c>
      <x:c r="B131" s="22" t="n">
        <x:v>4</x:v>
      </x:c>
      <x:c r="C131" s="22" t="n">
        <x:v>4</x:v>
      </x:c>
      <x:c r="D131" s="22" t="str">
        <x:v>幽灵船骸BOSS装备快线</x:v>
      </x:c>
      <x:c r="E131" s="26" t="n">
        <x:v>0.2965248347595048</x:v>
      </x:c>
      <x:c r="F131" s="22" t="n">
        <x:v>4</x:v>
      </x:c>
      <x:c r="G131" s="22" t="n">
        <x:v>97</x:v>
      </x:c>
      <x:c r="H131" s="22" t="n">
        <x:v>5</x:v>
      </x:c>
      <x:c r="I131" s="22" t="n">
        <x:v>5</x:v>
      </x:c>
      <x:c r="J131" s="22" t="n">
        <x:f>'02_人物原始合计'!AG131+'02_人物原始合计'!AH131</x:f>
        <x:v>15</x:v>
      </x:c>
      <x:c r="K131" s="28" t="n">
        <x:f>'02_人物原始合计'!F131*(1+'02_人物原始合计'!Q131/100)</x:f>
        <x:v>64207.35</x:v>
      </x:c>
      <x:c r="L131" s="28" t="n">
        <x:f>'02_人物原始合计'!K131*(1+'02_人物原始合计'!AV131/100)</x:f>
        <x:v>1261900</x:v>
      </x:c>
      <x:c r="M131" s="22" t="n">
        <x:f>MAX(0,MIN(50,'02_人物原始合计'!AD131,20+MIN(30,'02_人物原始合计'!AE131)))</x:f>
        <x:v>27</x:v>
      </x:c>
      <x:c r="N131" s="22" t="n">
        <x:f>IF(M131=0,1.75,IF(M131=10,2.2,IF(M131=20,2.9,IF(M131=30,4.3,IF(M131=40,8.5,IF(M131=50,14.3,IF(M131&lt;=40,1000/('01_参数'!$B$21-'01_参数'!$B$22*M131),1000/(1000/8.5+(M131-40)/10*(1000/14.3-1000/8.5)))))))))</x:f>
        <x:v>3.7716940913647403</x:v>
      </x:c>
      <x:c r="O131" s="22" t="n">
        <x:v>402</x:v>
      </x:c>
      <x:c r="P131" s="26" t="n">
        <x:f>MAX(0,MIN('01_参数'!$B$20,'02_人物原始合计'!AM131/100,'01_参数'!$B$19+'02_人物原始合计'!AN131/100))</x:f>
        <x:v>0.43</x:v>
      </x:c>
      <x:c r="Q131" s="28" t="n">
        <x:f>((('02_人物原始合计'!E131+('02_人物原始合计'!F131-'02_人物原始合计'!E131)*IF(J131&gt;=12,1,0.5+0.5*MAX(0,J131)/12))*(1+'02_人物原始合计'!Q131/100))*(1+'02_人物原始合计'!U131/100+IF(J131&gt;=15,0.15,0))*(1+'02_人物原始合计'!V131/100)*(1+'02_人物原始合计'!T131)*(1+'02_人物原始合计'!W131*'01_参数'!$B$18)*(1+MAX(0,MIN(1,'02_人物原始合计'!X131/100))*('01_参数'!$B$16+'02_人物原始合计'!Y131/100-1))*(1+MAX(0,MIN(1,'02_人物原始合计'!Z131/100))*('01_参数'!$B$17+'02_人物原始合计'!AA131/100-1))+'02_人物原始合计'!AB131)*N131*'01_参数'!$B$7*'01_参数'!$B$8</x:f>
        <x:v>2508265.7390326075</x:v>
      </x:c>
      <x:c r="R131" s="28" t="n">
        <x:f>Q131*'01_参数'!$B$5</x:f>
        <x:v>5016531.478065215</x:v>
      </x:c>
      <x:c r="S131" s="28" t="n">
        <x:f>(('02_人物原始合计'!E131+('02_人物原始合计'!F131-'02_人物原始合计'!E131)*IF(J131&gt;=12,1,0.5+0.5*MAX(0,J131)/12))*(1+'02_人物原始合计'!Q131/100))*(1+'02_人物原始合计'!U131/100+IF(J131&gt;=15,0.15,0))*(1+'02_人物原始合计'!V131/100)*(1+'02_人物原始合计'!T131)*(1+'02_人物原始合计'!W131*'01_参数'!$B$18)*(1+MAX(0,MIN(1,'02_人物原始合计'!X131/100))*('01_参数'!$B$16+'02_人物原始合计'!Y131/100-1))*(1+MAX(0,MIN(1,'02_人物原始合计'!Z131/100))*('01_参数'!$B$17+'02_人物原始合计'!AA131/100-1))*N131*'01_参数'!$B$7*'01_参数'!$B$8*MAX(0,'02_人物原始合计'!AO131/100)</x:f>
        <x:v>150495.94434195643</x:v>
      </x:c>
      <x:c r="T131" s="28" t="n">
        <x:f>S131*'01_参数'!$B$6</x:f>
        <x:v>195644.72764454337</x:v>
      </x:c>
      <x:c r="U131" s="28" t="n">
        <x:v>0</x:v>
      </x:c>
      <x:c r="V131" s="28" t="n">
        <x:f>T131+U131</x:f>
        <x:v>195644.72764454337</x:v>
      </x:c>
      <x:c r="W131" s="22" t="n">
        <x:v>10</x:v>
      </x:c>
      <x:c r="X131" s="22" t="n">
        <x:v>117</x:v>
      </x:c>
      <x:c r="Y131" s="22" t="str">
        <x:v>C04G04BOSS强装对照</x:v>
      </x:c>
    </x:row>
    <x:row r="132" ht="24" customHeight="1">
      <x:c r="A132" s="22" t="str">
        <x:v>P0128</x:v>
      </x:c>
      <x:c r="B132" s="22" t="n">
        <x:v>4</x:v>
      </x:c>
      <x:c r="C132" s="22" t="n">
        <x:v>4</x:v>
      </x:c>
      <x:c r="D132" s="22" t="str">
        <x:v>幽灵船骸阶段积累后</x:v>
      </x:c>
      <x:c r="E132" s="26" t="n">
        <x:v>0.33298399538577944</x:v>
      </x:c>
      <x:c r="F132" s="22" t="n">
        <x:v>4</x:v>
      </x:c>
      <x:c r="G132" s="22" t="n">
        <x:v>97</x:v>
      </x:c>
      <x:c r="H132" s="22" t="n">
        <x:v>5</x:v>
      </x:c>
      <x:c r="I132" s="22" t="n">
        <x:v>5</x:v>
      </x:c>
      <x:c r="J132" s="22" t="n">
        <x:f>'02_人物原始合计'!AG132+'02_人物原始合计'!AH132</x:f>
        <x:v>15</x:v>
      </x:c>
      <x:c r="K132" s="28" t="n">
        <x:f>'02_人物原始合计'!F132*(1+'02_人物原始合计'!Q132/100)</x:f>
        <x:v>65466.24999999999</x:v>
      </x:c>
      <x:c r="L132" s="28" t="n">
        <x:f>'02_人物原始合计'!K132*(1+'02_人物原始合计'!AV132/100)</x:f>
        <x:v>1306500</x:v>
      </x:c>
      <x:c r="M132" s="22" t="n">
        <x:f>MAX(0,MIN(50,'02_人物原始合计'!AD132,20+MIN(30,'02_人物原始合计'!AE132)))</x:f>
        <x:v>26</x:v>
      </x:c>
      <x:c r="N132" s="22" t="n">
        <x:f>IF(M132=0,1.75,IF(M132=10,2.2,IF(M132=20,2.9,IF(M132=30,4.3,IF(M132=40,8.5,IF(M132=50,14.3,IF(M132&lt;=40,1000/('01_参数'!$B$21-'01_参数'!$B$22*M132),1000/(1000/8.5+(M132-40)/10*(1000/14.3-1000/8.5)))))))))</x:f>
        <x:v>3.617573931056102</x:v>
      </x:c>
      <x:c r="O132" s="22" t="n">
        <x:v>402</x:v>
      </x:c>
      <x:c r="P132" s="26" t="n">
        <x:f>MAX(0,MIN('01_参数'!$B$20,'02_人物原始合计'!AM132/100,'01_参数'!$B$19+'02_人物原始合计'!AN132/100))</x:f>
        <x:v>0.44</x:v>
      </x:c>
      <x:c r="Q132" s="28" t="n">
        <x:f>((('02_人物原始合计'!E132+('02_人物原始合计'!F132-'02_人物原始合计'!E132)*IF(J132&gt;=12,1,0.5+0.5*MAX(0,J132)/12))*(1+'02_人物原始合计'!Q132/100))*(1+'02_人物原始合计'!U132/100+IF(J132&gt;=15,0.15,0))*(1+'02_人物原始合计'!V132/100)*(1+'02_人物原始合计'!T132)*(1+'02_人物原始合计'!W132*'01_参数'!$B$18)*(1+MAX(0,MIN(1,'02_人物原始合计'!X132/100))*('01_参数'!$B$16+'02_人物原始合计'!Y132/100-1))*(1+MAX(0,MIN(1,'02_人物原始合计'!Z132/100))*('01_参数'!$B$17+'02_人物原始合计'!AA132/100-1))+'02_人物原始合计'!AB132)*N132*'01_参数'!$B$7*'01_参数'!$B$8</x:f>
        <x:v>2179373.92410128</x:v>
      </x:c>
      <x:c r="R132" s="28" t="n">
        <x:f>Q132*'01_参数'!$B$5</x:f>
        <x:v>4358747.84820256</x:v>
      </x:c>
      <x:c r="S132" s="28" t="n">
        <x:f>(('02_人物原始合计'!E132+('02_人物原始合计'!F132-'02_人物原始合计'!E132)*IF(J132&gt;=12,1,0.5+0.5*MAX(0,J132)/12))*(1+'02_人物原始合计'!Q132/100))*(1+'02_人物原始合计'!U132/100+IF(J132&gt;=15,0.15,0))*(1+'02_人物原始合计'!V132/100)*(1+'02_人物原始合计'!T132)*(1+'02_人物原始合计'!W132*'01_参数'!$B$18)*(1+MAX(0,MIN(1,'02_人物原始合计'!X132/100))*('01_参数'!$B$16+'02_人物原始合计'!Y132/100-1))*(1+MAX(0,MIN(1,'02_人物原始合计'!Z132/100))*('01_参数'!$B$17+'02_人物原始合计'!AA132/100-1))*N132*'01_参数'!$B$7*'01_参数'!$B$8*MAX(0,'02_人物原始合计'!AO132/100)</x:f>
        <x:v>87174.9569640512</x:v>
      </x:c>
      <x:c r="T132" s="28" t="n">
        <x:f>S132*'01_参数'!$B$6</x:f>
        <x:v>113327.44405326658</x:v>
      </x:c>
      <x:c r="U132" s="28" t="n">
        <x:v>0</x:v>
      </x:c>
      <x:c r="V132" s="28" t="n">
        <x:f>T132+U132</x:f>
        <x:v>113327.44405326658</x:v>
      </x:c>
      <x:c r="W132" s="22" t="n">
        <x:v>11</x:v>
      </x:c>
      <x:c r="X132" s="22" t="n">
        <x:v>119</x:v>
      </x:c>
      <x:c r="Y132" s="22" t="str">
        <x:v>主线</x:v>
      </x:c>
    </x:row>
    <x:row r="133" ht="24" customHeight="1">
      <x:c r="A133" s="22" t="str">
        <x:v>P0129</x:v>
      </x:c>
      <x:c r="B133" s="22" t="n">
        <x:v>4</x:v>
      </x:c>
      <x:c r="C133" s="22" t="n">
        <x:v>5</x:v>
      </x:c>
      <x:c r="D133" s="22" t="str">
        <x:v>C04G05入场</x:v>
      </x:c>
      <x:c r="E133" s="26" t="n">
        <x:v>0.33298399538577944</x:v>
      </x:c>
      <x:c r="F133" s="22" t="n">
        <x:v>4</x:v>
      </x:c>
      <x:c r="G133" s="22" t="n">
        <x:v>97</x:v>
      </x:c>
      <x:c r="H133" s="22" t="n">
        <x:v>5</x:v>
      </x:c>
      <x:c r="I133" s="22" t="n">
        <x:v>5</x:v>
      </x:c>
      <x:c r="J133" s="22" t="n">
        <x:f>'02_人物原始合计'!AG133+'02_人物原始合计'!AH133</x:f>
        <x:v>15</x:v>
      </x:c>
      <x:c r="K133" s="28" t="n">
        <x:f>'02_人物原始合计'!F133*(1+'02_人物原始合计'!Q133/100)</x:f>
        <x:v>65466.24999999999</x:v>
      </x:c>
      <x:c r="L133" s="28" t="n">
        <x:f>'02_人物原始合计'!K133*(1+'02_人物原始合计'!AV133/100)</x:f>
        <x:v>1306500</x:v>
      </x:c>
      <x:c r="M133" s="22" t="n">
        <x:f>MAX(0,MIN(50,'02_人物原始合计'!AD133,20+MIN(30,'02_人物原始合计'!AE133)))</x:f>
        <x:v>26</x:v>
      </x:c>
      <x:c r="N133" s="22" t="n">
        <x:f>IF(M133=0,1.75,IF(M133=10,2.2,IF(M133=20,2.9,IF(M133=30,4.3,IF(M133=40,8.5,IF(M133=50,14.3,IF(M133&lt;=40,1000/('01_参数'!$B$21-'01_参数'!$B$22*M133),1000/(1000/8.5+(M133-40)/10*(1000/14.3-1000/8.5)))))))))</x:f>
        <x:v>3.617573931056102</x:v>
      </x:c>
      <x:c r="O133" s="22" t="n">
        <x:v>402</x:v>
      </x:c>
      <x:c r="P133" s="26" t="n">
        <x:f>MAX(0,MIN('01_参数'!$B$20,'02_人物原始合计'!AM133/100,'01_参数'!$B$19+'02_人物原始合计'!AN133/100))</x:f>
        <x:v>0.44</x:v>
      </x:c>
      <x:c r="Q133" s="28" t="n">
        <x:f>((('02_人物原始合计'!E133+('02_人物原始合计'!F133-'02_人物原始合计'!E133)*IF(J133&gt;=12,1,0.5+0.5*MAX(0,J133)/12))*(1+'02_人物原始合计'!Q133/100))*(1+'02_人物原始合计'!U133/100+IF(J133&gt;=15,0.15,0))*(1+'02_人物原始合计'!V133/100)*(1+'02_人物原始合计'!T133)*(1+'02_人物原始合计'!W133*'01_参数'!$B$18)*(1+MAX(0,MIN(1,'02_人物原始合计'!X133/100))*('01_参数'!$B$16+'02_人物原始合计'!Y133/100-1))*(1+MAX(0,MIN(1,'02_人物原始合计'!Z133/100))*('01_参数'!$B$17+'02_人物原始合计'!AA133/100-1))+'02_人物原始合计'!AB133)*N133*'01_参数'!$B$7*'01_参数'!$B$8</x:f>
        <x:v>2179373.92410128</x:v>
      </x:c>
      <x:c r="R133" s="28" t="n">
        <x:f>Q133*'01_参数'!$B$5</x:f>
        <x:v>4358747.84820256</x:v>
      </x:c>
      <x:c r="S133" s="28" t="n">
        <x:f>(('02_人物原始合计'!E133+('02_人物原始合计'!F133-'02_人物原始合计'!E133)*IF(J133&gt;=12,1,0.5+0.5*MAX(0,J133)/12))*(1+'02_人物原始合计'!Q133/100))*(1+'02_人物原始合计'!U133/100+IF(J133&gt;=15,0.15,0))*(1+'02_人物原始合计'!V133/100)*(1+'02_人物原始合计'!T133)*(1+'02_人物原始合计'!W133*'01_参数'!$B$18)*(1+MAX(0,MIN(1,'02_人物原始合计'!X133/100))*('01_参数'!$B$16+'02_人物原始合计'!Y133/100-1))*(1+MAX(0,MIN(1,'02_人物原始合计'!Z133/100))*('01_参数'!$B$17+'02_人物原始合计'!AA133/100-1))*N133*'01_参数'!$B$7*'01_参数'!$B$8*MAX(0,'02_人物原始合计'!AO133/100)</x:f>
        <x:v>87174.9569640512</x:v>
      </x:c>
      <x:c r="T133" s="28" t="n">
        <x:f>S133*'01_参数'!$B$6</x:f>
        <x:v>113327.44405326658</x:v>
      </x:c>
      <x:c r="U133" s="28" t="n">
        <x:v>0</x:v>
      </x:c>
      <x:c r="V133" s="28" t="n">
        <x:f>T133+U133</x:f>
        <x:v>113327.44405326658</x:v>
      </x:c>
      <x:c r="W133" s="22" t="n">
        <x:v>11</x:v>
      </x:c>
      <x:c r="X133" s="22" t="n">
        <x:v>119</x:v>
      </x:c>
      <x:c r="Y133" s="22" t="str">
        <x:v>主线</x:v>
      </x:c>
    </x:row>
    <x:row r="134" ht="24" customHeight="1">
      <x:c r="A134" s="22" t="str">
        <x:v>P0130</x:v>
      </x:c>
      <x:c r="B134" s="22" t="n">
        <x:v>4</x:v>
      </x:c>
      <x:c r="C134" s="22" t="n">
        <x:v>5</x:v>
      </x:c>
      <x:c r="D134" s="22" t="str">
        <x:v>C04G05普通专属4/6</x:v>
      </x:c>
      <x:c r="E134" s="26" t="n">
        <x:v>0.33142714494502046</x:v>
      </x:c>
      <x:c r="F134" s="22" t="n">
        <x:v>4</x:v>
      </x:c>
      <x:c r="G134" s="22" t="n">
        <x:v>97</x:v>
      </x:c>
      <x:c r="H134" s="22" t="n">
        <x:v>5</x:v>
      </x:c>
      <x:c r="I134" s="22" t="n">
        <x:v>5</x:v>
      </x:c>
      <x:c r="J134" s="22" t="n">
        <x:f>'02_人物原始合计'!AG134+'02_人物原始合计'!AH134</x:f>
        <x:v>15</x:v>
      </x:c>
      <x:c r="K134" s="28" t="n">
        <x:f>'02_人物原始合计'!F134*(1+'02_人物原始合计'!Q134/100)</x:f>
        <x:v>65939.61</x:v>
      </x:c>
      <x:c r="L134" s="28" t="n">
        <x:f>'02_人物原始合计'!K134*(1+'02_人物原始合计'!AV134/100)</x:f>
        <x:v>1316700</x:v>
      </x:c>
      <x:c r="M134" s="22" t="n">
        <x:f>MAX(0,MIN(50,'02_人物原始合计'!AD134,20+MIN(30,'02_人物原始合计'!AE134)))</x:f>
        <x:v>26</x:v>
      </x:c>
      <x:c r="N134" s="22" t="n">
        <x:f>IF(M134=0,1.75,IF(M134=10,2.2,IF(M134=20,2.9,IF(M134=30,4.3,IF(M134=40,8.5,IF(M134=50,14.3,IF(M134&lt;=40,1000/('01_参数'!$B$21-'01_参数'!$B$22*M134),1000/(1000/8.5+(M134-40)/10*(1000/14.3-1000/8.5)))))))))</x:f>
        <x:v>3.617573931056102</x:v>
      </x:c>
      <x:c r="O134" s="22" t="n">
        <x:v>402</x:v>
      </x:c>
      <x:c r="P134" s="26" t="n">
        <x:f>MAX(0,MIN('01_参数'!$B$20,'02_人物原始合计'!AM134/100,'01_参数'!$B$19+'02_人物原始合计'!AN134/100))</x:f>
        <x:v>0.4</x:v>
      </x:c>
      <x:c r="Q134" s="28" t="n">
        <x:f>((('02_人物原始合计'!E134+('02_人物原始合计'!F134-'02_人物原始合计'!E134)*IF(J134&gt;=12,1,0.5+0.5*MAX(0,J134)/12))*(1+'02_人物原始合计'!Q134/100))*(1+'02_人物原始合计'!U134/100+IF(J134&gt;=15,0.15,0))*(1+'02_人物原始合计'!V134/100)*(1+'02_人物原始合计'!T134)*(1+'02_人物原始合计'!W134*'01_参数'!$B$18)*(1+MAX(0,MIN(1,'02_人物原始合计'!X134/100))*('01_参数'!$B$16+'02_人物原始合计'!Y134/100-1))*(1+MAX(0,MIN(1,'02_人物原始合计'!Z134/100))*('01_参数'!$B$17+'02_人物原始合计'!AA134/100-1))+'02_人物原始合计'!AB134)*N134*'01_参数'!$B$7*'01_参数'!$B$8</x:f>
        <x:v>2195132.096300124</x:v>
      </x:c>
      <x:c r="R134" s="28" t="n">
        <x:f>Q134*'01_参数'!$B$5</x:f>
        <x:v>4390264.192600248</x:v>
      </x:c>
      <x:c r="S134" s="28" t="n">
        <x:f>(('02_人物原始合计'!E134+('02_人物原始合计'!F134-'02_人物原始合计'!E134)*IF(J134&gt;=12,1,0.5+0.5*MAX(0,J134)/12))*(1+'02_人物原始合计'!Q134/100))*(1+'02_人物原始合计'!U134/100+IF(J134&gt;=15,0.15,0))*(1+'02_人物原始合计'!V134/100)*(1+'02_人物原始合计'!T134)*(1+'02_人物原始合计'!W134*'01_参数'!$B$18)*(1+MAX(0,MIN(1,'02_人物原始合计'!X134/100))*('01_参数'!$B$16+'02_人物原始合计'!Y134/100-1))*(1+MAX(0,MIN(1,'02_人物原始合计'!Z134/100))*('01_参数'!$B$17+'02_人物原始合计'!AA134/100-1))*N134*'01_参数'!$B$7*'01_参数'!$B$8*MAX(0,'02_人物原始合计'!AO134/100)</x:f>
        <x:v>87805.28385200497</x:v>
      </x:c>
      <x:c r="T134" s="28" t="n">
        <x:f>S134*'01_参数'!$B$6</x:f>
        <x:v>114146.86900760647</x:v>
      </x:c>
      <x:c r="U134" s="28" t="n">
        <x:v>0</x:v>
      </x:c>
      <x:c r="V134" s="28" t="n">
        <x:f>T134+U134</x:f>
        <x:v>114146.86900760647</x:v>
      </x:c>
      <x:c r="W134" s="22" t="n">
        <x:v>11</x:v>
      </x:c>
      <x:c r="X134" s="22" t="n">
        <x:v>119</x:v>
      </x:c>
      <x:c r="Y134" s="22" t="str">
        <x:v>主线</x:v>
      </x:c>
    </x:row>
    <x:row r="135" ht="24" customHeight="1">
      <x:c r="A135" s="22" t="str">
        <x:v>P0131</x:v>
      </x:c>
      <x:c r="B135" s="22" t="n">
        <x:v>4</x:v>
      </x:c>
      <x:c r="C135" s="22" t="n">
        <x:v>5</x:v>
      </x:c>
      <x:c r="D135" s="22" t="str">
        <x:v>暗河剑师·罗缇挑战前</x:v>
      </x:c>
      <x:c r="E135" s="26" t="n">
        <x:v>0.33142714494502046</x:v>
      </x:c>
      <x:c r="F135" s="22" t="n">
        <x:v>4</x:v>
      </x:c>
      <x:c r="G135" s="22" t="n">
        <x:v>102</x:v>
      </x:c>
      <x:c r="H135" s="22" t="n">
        <x:v>5</x:v>
      </x:c>
      <x:c r="I135" s="22" t="n">
        <x:v>5</x:v>
      </x:c>
      <x:c r="J135" s="22" t="n">
        <x:f>'02_人物原始合计'!AG135+'02_人物原始合计'!AH135</x:f>
        <x:v>15</x:v>
      </x:c>
      <x:c r="K135" s="28" t="n">
        <x:f>'02_人物原始合计'!F135*(1+'02_人物原始合计'!Q135/100)</x:f>
        <x:v>69136.26</x:v>
      </x:c>
      <x:c r="L135" s="28" t="n">
        <x:f>'02_人物原始合计'!K135*(1+'02_人物原始合计'!AV135/100)</x:f>
        <x:v>1367100</x:v>
      </x:c>
      <x:c r="M135" s="22" t="n">
        <x:f>MAX(0,MIN(50,'02_人物原始合计'!AD135,20+MIN(30,'02_人物原始合计'!AE135)))</x:f>
        <x:v>26</x:v>
      </x:c>
      <x:c r="N135" s="22" t="n">
        <x:f>IF(M135=0,1.75,IF(M135=10,2.2,IF(M135=20,2.9,IF(M135=30,4.3,IF(M135=40,8.5,IF(M135=50,14.3,IF(M135&lt;=40,1000/('01_参数'!$B$21-'01_参数'!$B$22*M135),1000/(1000/8.5+(M135-40)/10*(1000/14.3-1000/8.5)))))))))</x:f>
        <x:v>3.617573931056102</x:v>
      </x:c>
      <x:c r="O135" s="22" t="n">
        <x:v>402</x:v>
      </x:c>
      <x:c r="P135" s="26" t="n">
        <x:f>MAX(0,MIN('01_参数'!$B$20,'02_人物原始合计'!AM135/100,'01_参数'!$B$19+'02_人物原始合计'!AN135/100))</x:f>
        <x:v>0.4</x:v>
      </x:c>
      <x:c r="Q135" s="28" t="n">
        <x:f>((('02_人物原始合计'!E135+('02_人物原始合计'!F135-'02_人物原始合计'!E135)*IF(J135&gt;=12,1,0.5+0.5*MAX(0,J135)/12))*(1+'02_人物原始合计'!Q135/100))*(1+'02_人物原始合计'!U135/100+IF(J135&gt;=15,0.15,0))*(1+'02_人物原始合计'!V135/100)*(1+'02_人物原始合计'!T135)*(1+'02_人物原始合计'!W135*'01_参数'!$B$18)*(1+MAX(0,MIN(1,'02_人物原始合计'!X135/100))*('01_参数'!$B$16+'02_人物原始合计'!Y135/100-1))*(1+MAX(0,MIN(1,'02_人物原始合计'!Z135/100))*('01_参数'!$B$17+'02_人物原始合计'!AA135/100-1))+'02_人物原始合计'!AB135)*N135*'01_参数'!$B$7*'01_参数'!$B$8</x:f>
        <x:v>2301548.6949975956</x:v>
      </x:c>
      <x:c r="R135" s="28" t="n">
        <x:f>Q135*'01_参数'!$B$5</x:f>
        <x:v>4603097.389995191</x:v>
      </x:c>
      <x:c r="S135" s="28" t="n">
        <x:f>(('02_人物原始合计'!E135+('02_人物原始合计'!F135-'02_人物原始合计'!E135)*IF(J135&gt;=12,1,0.5+0.5*MAX(0,J135)/12))*(1+'02_人物原始合计'!Q135/100))*(1+'02_人物原始合计'!U135/100+IF(J135&gt;=15,0.15,0))*(1+'02_人物原始合计'!V135/100)*(1+'02_人物原始合计'!T135)*(1+'02_人物原始合计'!W135*'01_参数'!$B$18)*(1+MAX(0,MIN(1,'02_人物原始合计'!X135/100))*('01_参数'!$B$16+'02_人物原始合计'!Y135/100-1))*(1+MAX(0,MIN(1,'02_人物原始合计'!Z135/100))*('01_参数'!$B$17+'02_人物原始合计'!AA135/100-1))*N135*'01_参数'!$B$7*'01_参数'!$B$8*MAX(0,'02_人物原始合计'!AO135/100)</x:f>
        <x:v>92061.94779990382</x:v>
      </x:c>
      <x:c r="T135" s="28" t="n">
        <x:f>S135*'01_参数'!$B$6</x:f>
        <x:v>119680.53213987497</x:v>
      </x:c>
      <x:c r="U135" s="28" t="n">
        <x:v>0</x:v>
      </x:c>
      <x:c r="V135" s="28" t="n">
        <x:f>T135+U135</x:f>
        <x:v>119680.53213987497</x:v>
      </x:c>
      <x:c r="W135" s="22" t="n">
        <x:v>11</x:v>
      </x:c>
      <x:c r="X135" s="22" t="n">
        <x:v>119</x:v>
      </x:c>
      <x:c r="Y135" s="22" t="str">
        <x:v>主线</x:v>
      </x:c>
    </x:row>
    <x:row r="136" ht="24" customHeight="1">
      <x:c r="A136" s="22" t="str">
        <x:v>P0132</x:v>
      </x:c>
      <x:c r="B136" s="22" t="n">
        <x:v>4</x:v>
      </x:c>
      <x:c r="C136" s="22" t="n">
        <x:v>5</x:v>
      </x:c>
      <x:c r="D136" s="22" t="str">
        <x:v>渊口老蛟·涅珈挑战前</x:v>
      </x:c>
      <x:c r="E136" s="26" t="n">
        <x:v>0.33142714494502046</x:v>
      </x:c>
      <x:c r="F136" s="22" t="n">
        <x:v>4</x:v>
      </x:c>
      <x:c r="G136" s="22" t="n">
        <x:v>102</x:v>
      </x:c>
      <x:c r="H136" s="22" t="n">
        <x:v>5</x:v>
      </x:c>
      <x:c r="I136" s="22" t="n">
        <x:v>5</x:v>
      </x:c>
      <x:c r="J136" s="22" t="n">
        <x:f>'02_人物原始合计'!AG136+'02_人物原始合计'!AH136</x:f>
        <x:v>15</x:v>
      </x:c>
      <x:c r="K136" s="28" t="n">
        <x:f>'02_人物原始合计'!F136*(1+'02_人物原始合计'!Q136/100)</x:f>
        <x:v>69136.26</x:v>
      </x:c>
      <x:c r="L136" s="28" t="n">
        <x:f>'02_人物原始合计'!K136*(1+'02_人物原始合计'!AV136/100)</x:f>
        <x:v>1367100</x:v>
      </x:c>
      <x:c r="M136" s="22" t="n">
        <x:f>MAX(0,MIN(50,'02_人物原始合计'!AD136,20+MIN(30,'02_人物原始合计'!AE136)))</x:f>
        <x:v>26</x:v>
      </x:c>
      <x:c r="N136" s="22" t="n">
        <x:f>IF(M136=0,1.75,IF(M136=10,2.2,IF(M136=20,2.9,IF(M136=30,4.3,IF(M136=40,8.5,IF(M136=50,14.3,IF(M136&lt;=40,1000/('01_参数'!$B$21-'01_参数'!$B$22*M136),1000/(1000/8.5+(M136-40)/10*(1000/14.3-1000/8.5)))))))))</x:f>
        <x:v>3.617573931056102</x:v>
      </x:c>
      <x:c r="O136" s="22" t="n">
        <x:v>402</x:v>
      </x:c>
      <x:c r="P136" s="26" t="n">
        <x:f>MAX(0,MIN('01_参数'!$B$20,'02_人物原始合计'!AM136/100,'01_参数'!$B$19+'02_人物原始合计'!AN136/100))</x:f>
        <x:v>0.4</x:v>
      </x:c>
      <x:c r="Q136" s="28" t="n">
        <x:f>((('02_人物原始合计'!E136+('02_人物原始合计'!F136-'02_人物原始合计'!E136)*IF(J136&gt;=12,1,0.5+0.5*MAX(0,J136)/12))*(1+'02_人物原始合计'!Q136/100))*(1+'02_人物原始合计'!U136/100+IF(J136&gt;=15,0.15,0))*(1+'02_人物原始合计'!V136/100)*(1+'02_人物原始合计'!T136)*(1+'02_人物原始合计'!W136*'01_参数'!$B$18)*(1+MAX(0,MIN(1,'02_人物原始合计'!X136/100))*('01_参数'!$B$16+'02_人物原始合计'!Y136/100-1))*(1+MAX(0,MIN(1,'02_人物原始合计'!Z136/100))*('01_参数'!$B$17+'02_人物原始合计'!AA136/100-1))+'02_人物原始合计'!AB136)*N136*'01_参数'!$B$7*'01_参数'!$B$8</x:f>
        <x:v>2301548.6949975956</x:v>
      </x:c>
      <x:c r="R136" s="28" t="n">
        <x:f>Q136*'01_参数'!$B$5</x:f>
        <x:v>4603097.389995191</x:v>
      </x:c>
      <x:c r="S136" s="28" t="n">
        <x:f>(('02_人物原始合计'!E136+('02_人物原始合计'!F136-'02_人物原始合计'!E136)*IF(J136&gt;=12,1,0.5+0.5*MAX(0,J136)/12))*(1+'02_人物原始合计'!Q136/100))*(1+'02_人物原始合计'!U136/100+IF(J136&gt;=15,0.15,0))*(1+'02_人物原始合计'!V136/100)*(1+'02_人物原始合计'!T136)*(1+'02_人物原始合计'!W136*'01_参数'!$B$18)*(1+MAX(0,MIN(1,'02_人物原始合计'!X136/100))*('01_参数'!$B$16+'02_人物原始合计'!Y136/100-1))*(1+MAX(0,MIN(1,'02_人物原始合计'!Z136/100))*('01_参数'!$B$17+'02_人物原始合计'!AA136/100-1))*N136*'01_参数'!$B$7*'01_参数'!$B$8*MAX(0,'02_人物原始合计'!AO136/100)</x:f>
        <x:v>92061.94779990382</x:v>
      </x:c>
      <x:c r="T136" s="28" t="n">
        <x:f>S136*'01_参数'!$B$6</x:f>
        <x:v>119680.53213987497</x:v>
      </x:c>
      <x:c r="U136" s="28" t="n">
        <x:v>0</x:v>
      </x:c>
      <x:c r="V136" s="28" t="n">
        <x:f>T136+U136</x:f>
        <x:v>119680.53213987497</x:v>
      </x:c>
      <x:c r="W136" s="22" t="n">
        <x:v>11</x:v>
      </x:c>
      <x:c r="X136" s="22" t="n">
        <x:v>119</x:v>
      </x:c>
      <x:c r="Y136" s="22" t="str">
        <x:v>主线</x:v>
      </x:c>
    </x:row>
    <x:row r="137" ht="24" customHeight="1">
      <x:c r="A137" s="22" t="str">
        <x:v>P0133</x:v>
      </x:c>
      <x:c r="B137" s="22" t="n">
        <x:v>4</x:v>
      </x:c>
      <x:c r="C137" s="22" t="n">
        <x:v>5</x:v>
      </x:c>
      <x:c r="D137" s="22" t="str">
        <x:v>深湖水道BOSS装备快线</x:v>
      </x:c>
      <x:c r="E137" s="26" t="n">
        <x:v>0.3345456511695479</x:v>
      </x:c>
      <x:c r="F137" s="22" t="n">
        <x:v>4</x:v>
      </x:c>
      <x:c r="G137" s="22" t="n">
        <x:v>102</x:v>
      </x:c>
      <x:c r="H137" s="22" t="n">
        <x:v>5</x:v>
      </x:c>
      <x:c r="I137" s="22" t="n">
        <x:v>5</x:v>
      </x:c>
      <x:c r="J137" s="22" t="n">
        <x:f>'02_人物原始合计'!AG137+'02_人物原始合计'!AH137</x:f>
        <x:v>15</x:v>
      </x:c>
      <x:c r="K137" s="28" t="n">
        <x:f>'02_人物原始合计'!F137*(1+'02_人物原始合计'!Q137/100)</x:f>
        <x:v>71637.5</x:v>
      </x:c>
      <x:c r="L137" s="28" t="n">
        <x:f>'02_人物原始合计'!K137*(1+'02_人物原始合计'!AV137/100)</x:f>
        <x:v>1383500</x:v>
      </x:c>
      <x:c r="M137" s="22" t="n">
        <x:f>MAX(0,MIN(50,'02_人物原始合计'!AD137,20+MIN(30,'02_人物原始合计'!AE137)))</x:f>
        <x:v>27</x:v>
      </x:c>
      <x:c r="N137" s="22" t="n">
        <x:f>IF(M137=0,1.75,IF(M137=10,2.2,IF(M137=20,2.9,IF(M137=30,4.3,IF(M137=40,8.5,IF(M137=50,14.3,IF(M137&lt;=40,1000/('01_参数'!$B$21-'01_参数'!$B$22*M137),1000/(1000/8.5+(M137-40)/10*(1000/14.3-1000/8.5)))))))))</x:f>
        <x:v>3.7716940913647403</x:v>
      </x:c>
      <x:c r="O137" s="22" t="n">
        <x:v>402</x:v>
      </x:c>
      <x:c r="P137" s="26" t="n">
        <x:f>MAX(0,MIN('01_参数'!$B$20,'02_人物原始合计'!AM137/100,'01_参数'!$B$19+'02_人物原始合计'!AN137/100))</x:f>
        <x:v>0.4</x:v>
      </x:c>
      <x:c r="Q137" s="28" t="n">
        <x:f>((('02_人物原始合计'!E137+('02_人物原始合计'!F137-'02_人物原始合计'!E137)*IF(J137&gt;=12,1,0.5+0.5*MAX(0,J137)/12))*(1+'02_人物原始合计'!Q137/100))*(1+'02_人物原始合计'!U137/100+IF(J137&gt;=15,0.15,0))*(1+'02_人物原始合计'!V137/100)*(1+'02_人物原始合计'!T137)*(1+'02_人物原始合计'!W137*'01_参数'!$B$18)*(1+MAX(0,MIN(1,'02_人物原始合计'!X137/100))*('01_参数'!$B$16+'02_人物原始合计'!Y137/100-1))*(1+MAX(0,MIN(1,'02_人物原始合计'!Z137/100))*('01_参数'!$B$17+'02_人物原始合计'!AA137/100-1))+'02_人物原始合计'!AB137)*N137*'01_参数'!$B$7*'01_参数'!$B$8</x:f>
        <x:v>2832792.8536140923</x:v>
      </x:c>
      <x:c r="R137" s="28" t="n">
        <x:f>Q137*'01_参数'!$B$5</x:f>
        <x:v>5665585.707228185</x:v>
      </x:c>
      <x:c r="S137" s="28" t="n">
        <x:f>(('02_人物原始合计'!E137+('02_人物原始合计'!F137-'02_人物原始合计'!E137)*IF(J137&gt;=12,1,0.5+0.5*MAX(0,J137)/12))*(1+'02_人物原始合计'!Q137/100))*(1+'02_人物原始合计'!U137/100+IF(J137&gt;=15,0.15,0))*(1+'02_人物原始合计'!V137/100)*(1+'02_人物原始合计'!T137)*(1+'02_人物原始合计'!W137*'01_参数'!$B$18)*(1+MAX(0,MIN(1,'02_人物原始合计'!X137/100))*('01_参数'!$B$16+'02_人物原始合计'!Y137/100-1))*(1+MAX(0,MIN(1,'02_人物原始合计'!Z137/100))*('01_参数'!$B$17+'02_人物原始合计'!AA137/100-1))*N137*'01_参数'!$B$7*'01_参数'!$B$8*MAX(0,'02_人物原始合计'!AO137/100)</x:f>
        <x:v>169967.57121684554</x:v>
      </x:c>
      <x:c r="T137" s="28" t="n">
        <x:f>S137*'01_参数'!$B$6</x:f>
        <x:v>220957.8425818992</x:v>
      </x:c>
      <x:c r="U137" s="28" t="n">
        <x:v>0</x:v>
      </x:c>
      <x:c r="V137" s="28" t="n">
        <x:f>T137+U137</x:f>
        <x:v>220957.8425818992</x:v>
      </x:c>
      <x:c r="W137" s="22" t="n">
        <x:v>11</x:v>
      </x:c>
      <x:c r="X137" s="22" t="n">
        <x:v>119</x:v>
      </x:c>
      <x:c r="Y137" s="22" t="str">
        <x:v>C04G05BOSS强装对照</x:v>
      </x:c>
    </x:row>
    <x:row r="138" ht="24" customHeight="1">
      <x:c r="A138" s="22" t="str">
        <x:v>P0134</x:v>
      </x:c>
      <x:c r="B138" s="22" t="n">
        <x:v>4</x:v>
      </x:c>
      <x:c r="C138" s="22" t="n">
        <x:v>5</x:v>
      </x:c>
      <x:c r="D138" s="22" t="str">
        <x:v>深湖水道阶段积累后</x:v>
      </x:c>
      <x:c r="E138" s="26" t="n">
        <x:v>0.3738727971189335</x:v>
      </x:c>
      <x:c r="F138" s="22" t="n">
        <x:v>4</x:v>
      </x:c>
      <x:c r="G138" s="22" t="n">
        <x:v>102</x:v>
      </x:c>
      <x:c r="H138" s="22" t="n">
        <x:v>5</x:v>
      </x:c>
      <x:c r="I138" s="22" t="n">
        <x:v>5</x:v>
      </x:c>
      <x:c r="J138" s="22" t="n">
        <x:f>'02_人物原始合计'!AG138+'02_人物原始合计'!AH138</x:f>
        <x:v>15</x:v>
      </x:c>
      <x:c r="K138" s="28" t="n">
        <x:f>'02_人物原始合计'!F138*(1+'02_人物原始合计'!Q138/100)</x:f>
        <x:v>71253.15000000001</x:v>
      </x:c>
      <x:c r="L138" s="28" t="n">
        <x:f>'02_人物原始合计'!K138*(1+'02_人物原始合计'!AV138/100)</x:f>
        <x:v>1383600</x:v>
      </x:c>
      <x:c r="M138" s="22" t="n">
        <x:f>MAX(0,MIN(50,'02_人物原始合计'!AD138,20+MIN(30,'02_人物原始合计'!AE138)))</x:f>
        <x:v>26</x:v>
      </x:c>
      <x:c r="N138" s="22" t="n">
        <x:f>IF(M138=0,1.75,IF(M138=10,2.2,IF(M138=20,2.9,IF(M138=30,4.3,IF(M138=40,8.5,IF(M138=50,14.3,IF(M138&lt;=40,1000/('01_参数'!$B$21-'01_参数'!$B$22*M138),1000/(1000/8.5+(M138-40)/10*(1000/14.3-1000/8.5)))))))))</x:f>
        <x:v>3.617573931056102</x:v>
      </x:c>
      <x:c r="O138" s="22" t="n">
        <x:v>402</x:v>
      </x:c>
      <x:c r="P138" s="26" t="n">
        <x:f>MAX(0,MIN('01_参数'!$B$20,'02_人物原始合计'!AM138/100,'01_参数'!$B$19+'02_人物原始合计'!AN138/100))</x:f>
        <x:v>0.4</x:v>
      </x:c>
      <x:c r="Q138" s="28" t="n">
        <x:f>((('02_人物原始合计'!E138+('02_人物原始合计'!F138-'02_人物原始合计'!E138)*IF(J138&gt;=12,1,0.5+0.5*MAX(0,J138)/12))*(1+'02_人物原始合计'!Q138/100))*(1+'02_人物原始合计'!U138/100+IF(J138&gt;=15,0.15,0))*(1+'02_人物原始合计'!V138/100)*(1+'02_人物原始合计'!T138)*(1+'02_人物原始合计'!W138*'01_参数'!$B$18)*(1+MAX(0,MIN(1,'02_人物原始合计'!X138/100))*('01_参数'!$B$16+'02_人物原始合计'!Y138/100-1))*(1+MAX(0,MIN(1,'02_人物原始合计'!Z138/100))*('01_参数'!$B$17+'02_人物原始合计'!AA138/100-1))+'02_人物原始合计'!AB138)*N138*'01_参数'!$B$7*'01_参数'!$B$8</x:f>
        <x:v>2483447.756421136</x:v>
      </x:c>
      <x:c r="R138" s="28" t="n">
        <x:f>Q138*'01_参数'!$B$5</x:f>
        <x:v>4966895.512842272</x:v>
      </x:c>
      <x:c r="S138" s="28" t="n">
        <x:f>(('02_人物原始合计'!E138+('02_人物原始合计'!F138-'02_人物原始合计'!E138)*IF(J138&gt;=12,1,0.5+0.5*MAX(0,J138)/12))*(1+'02_人物原始合计'!Q138/100))*(1+'02_人物原始合计'!U138/100+IF(J138&gt;=15,0.15,0))*(1+'02_人物原始合计'!V138/100)*(1+'02_人物原始合计'!T138)*(1+'02_人物原始合计'!W138*'01_参数'!$B$18)*(1+MAX(0,MIN(1,'02_人物原始合计'!X138/100))*('01_参数'!$B$16+'02_人物原始合计'!Y138/100-1))*(1+MAX(0,MIN(1,'02_人物原始合计'!Z138/100))*('01_参数'!$B$17+'02_人物原始合计'!AA138/100-1))*N138*'01_参数'!$B$7*'01_参数'!$B$8*MAX(0,'02_人物原始合计'!AO138/100)</x:f>
        <x:v>99337.91025684545</x:v>
      </x:c>
      <x:c r="T138" s="28" t="n">
        <x:f>S138*'01_参数'!$B$6</x:f>
        <x:v>129139.28333389909</x:v>
      </x:c>
      <x:c r="U138" s="28" t="n">
        <x:v>0</x:v>
      </x:c>
      <x:c r="V138" s="28" t="n">
        <x:f>T138+U138</x:f>
        <x:v>129139.28333389909</x:v>
      </x:c>
      <x:c r="W138" s="22" t="n">
        <x:v>12</x:v>
      </x:c>
      <x:c r="X138" s="22" t="n">
        <x:v>121</x:v>
      </x:c>
      <x:c r="Y138" s="22" t="str">
        <x:v>主线</x:v>
      </x:c>
    </x:row>
    <x:row r="139" ht="24" customHeight="1">
      <x:c r="A139" s="22" t="str">
        <x:v>P0135</x:v>
      </x:c>
      <x:c r="B139" s="22" t="n">
        <x:v>4</x:v>
      </x:c>
      <x:c r="C139" s="22" t="n">
        <x:v>6</x:v>
      </x:c>
      <x:c r="D139" s="22" t="str">
        <x:v>C04G06入场</x:v>
      </x:c>
      <x:c r="E139" s="26" t="n">
        <x:v>0.3738727971189335</x:v>
      </x:c>
      <x:c r="F139" s="22" t="n">
        <x:v>4</x:v>
      </x:c>
      <x:c r="G139" s="22" t="n">
        <x:v>102</x:v>
      </x:c>
      <x:c r="H139" s="22" t="n">
        <x:v>5</x:v>
      </x:c>
      <x:c r="I139" s="22" t="n">
        <x:v>5</x:v>
      </x:c>
      <x:c r="J139" s="22" t="n">
        <x:f>'02_人物原始合计'!AG139+'02_人物原始合计'!AH139</x:f>
        <x:v>15</x:v>
      </x:c>
      <x:c r="K139" s="28" t="n">
        <x:f>'02_人物原始合计'!F139*(1+'02_人物原始合计'!Q139/100)</x:f>
        <x:v>71253.15000000001</x:v>
      </x:c>
      <x:c r="L139" s="28" t="n">
        <x:f>'02_人物原始合计'!K139*(1+'02_人物原始合计'!AV139/100)</x:f>
        <x:v>1383600</x:v>
      </x:c>
      <x:c r="M139" s="22" t="n">
        <x:f>MAX(0,MIN(50,'02_人物原始合计'!AD139,20+MIN(30,'02_人物原始合计'!AE139)))</x:f>
        <x:v>26</x:v>
      </x:c>
      <x:c r="N139" s="22" t="n">
        <x:f>IF(M139=0,1.75,IF(M139=10,2.2,IF(M139=20,2.9,IF(M139=30,4.3,IF(M139=40,8.5,IF(M139=50,14.3,IF(M139&lt;=40,1000/('01_参数'!$B$21-'01_参数'!$B$22*M139),1000/(1000/8.5+(M139-40)/10*(1000/14.3-1000/8.5)))))))))</x:f>
        <x:v>3.617573931056102</x:v>
      </x:c>
      <x:c r="O139" s="22" t="n">
        <x:v>402</x:v>
      </x:c>
      <x:c r="P139" s="26" t="n">
        <x:f>MAX(0,MIN('01_参数'!$B$20,'02_人物原始合计'!AM139/100,'01_参数'!$B$19+'02_人物原始合计'!AN139/100))</x:f>
        <x:v>0.4</x:v>
      </x:c>
      <x:c r="Q139" s="28" t="n">
        <x:f>((('02_人物原始合计'!E139+('02_人物原始合计'!F139-'02_人物原始合计'!E139)*IF(J139&gt;=12,1,0.5+0.5*MAX(0,J139)/12))*(1+'02_人物原始合计'!Q139/100))*(1+'02_人物原始合计'!U139/100+IF(J139&gt;=15,0.15,0))*(1+'02_人物原始合计'!V139/100)*(1+'02_人物原始合计'!T139)*(1+'02_人物原始合计'!W139*'01_参数'!$B$18)*(1+MAX(0,MIN(1,'02_人物原始合计'!X139/100))*('01_参数'!$B$16+'02_人物原始合计'!Y139/100-1))*(1+MAX(0,MIN(1,'02_人物原始合计'!Z139/100))*('01_参数'!$B$17+'02_人物原始合计'!AA139/100-1))+'02_人物原始合计'!AB139)*N139*'01_参数'!$B$7*'01_参数'!$B$8</x:f>
        <x:v>2483447.756421136</x:v>
      </x:c>
      <x:c r="R139" s="28" t="n">
        <x:f>Q139*'01_参数'!$B$5</x:f>
        <x:v>4966895.512842272</x:v>
      </x:c>
      <x:c r="S139" s="28" t="n">
        <x:f>(('02_人物原始合计'!E139+('02_人物原始合计'!F139-'02_人物原始合计'!E139)*IF(J139&gt;=12,1,0.5+0.5*MAX(0,J139)/12))*(1+'02_人物原始合计'!Q139/100))*(1+'02_人物原始合计'!U139/100+IF(J139&gt;=15,0.15,0))*(1+'02_人物原始合计'!V139/100)*(1+'02_人物原始合计'!T139)*(1+'02_人物原始合计'!W139*'01_参数'!$B$18)*(1+MAX(0,MIN(1,'02_人物原始合计'!X139/100))*('01_参数'!$B$16+'02_人物原始合计'!Y139/100-1))*(1+MAX(0,MIN(1,'02_人物原始合计'!Z139/100))*('01_参数'!$B$17+'02_人物原始合计'!AA139/100-1))*N139*'01_参数'!$B$7*'01_参数'!$B$8*MAX(0,'02_人物原始合计'!AO139/100)</x:f>
        <x:v>99337.91025684545</x:v>
      </x:c>
      <x:c r="T139" s="28" t="n">
        <x:f>S139*'01_参数'!$B$6</x:f>
        <x:v>129139.28333389909</x:v>
      </x:c>
      <x:c r="U139" s="28" t="n">
        <x:v>0</x:v>
      </x:c>
      <x:c r="V139" s="28" t="n">
        <x:f>T139+U139</x:f>
        <x:v>129139.28333389909</x:v>
      </x:c>
      <x:c r="W139" s="22" t="n">
        <x:v>12</x:v>
      </x:c>
      <x:c r="X139" s="22" t="n">
        <x:v>121</x:v>
      </x:c>
      <x:c r="Y139" s="22" t="str">
        <x:v>主线</x:v>
      </x:c>
    </x:row>
    <x:row r="140" ht="24" customHeight="1">
      <x:c r="A140" s="22" t="str">
        <x:v>P0136</x:v>
      </x:c>
      <x:c r="B140" s="22" t="n">
        <x:v>4</x:v>
      </x:c>
      <x:c r="C140" s="22" t="n">
        <x:v>6</x:v>
      </x:c>
      <x:c r="D140" s="22" t="str">
        <x:v>C04G06普通专属4/6</x:v>
      </x:c>
      <x:c r="E140" s="26" t="n">
        <x:v>0.3738727971189335</x:v>
      </x:c>
      <x:c r="F140" s="22" t="n">
        <x:v>4</x:v>
      </x:c>
      <x:c r="G140" s="22" t="n">
        <x:v>102</x:v>
      </x:c>
      <x:c r="H140" s="22" t="n">
        <x:v>5</x:v>
      </x:c>
      <x:c r="I140" s="22" t="n">
        <x:v>5</x:v>
      </x:c>
      <x:c r="J140" s="22" t="n">
        <x:f>'02_人物原始合计'!AG140+'02_人物原始合计'!AH140</x:f>
        <x:v>15</x:v>
      </x:c>
      <x:c r="K140" s="28" t="n">
        <x:f>'02_人物原始合计'!F140*(1+'02_人物原始合计'!Q140/100)</x:f>
        <x:v>71253.15000000001</x:v>
      </x:c>
      <x:c r="L140" s="28" t="n">
        <x:f>'02_人物原始合计'!K140*(1+'02_人物原始合计'!AV140/100)</x:f>
        <x:v>1383600</x:v>
      </x:c>
      <x:c r="M140" s="22" t="n">
        <x:f>MAX(0,MIN(50,'02_人物原始合计'!AD140,20+MIN(30,'02_人物原始合计'!AE140)))</x:f>
        <x:v>26</x:v>
      </x:c>
      <x:c r="N140" s="22" t="n">
        <x:f>IF(M140=0,1.75,IF(M140=10,2.2,IF(M140=20,2.9,IF(M140=30,4.3,IF(M140=40,8.5,IF(M140=50,14.3,IF(M140&lt;=40,1000/('01_参数'!$B$21-'01_参数'!$B$22*M140),1000/(1000/8.5+(M140-40)/10*(1000/14.3-1000/8.5)))))))))</x:f>
        <x:v>3.617573931056102</x:v>
      </x:c>
      <x:c r="O140" s="22" t="n">
        <x:v>402</x:v>
      </x:c>
      <x:c r="P140" s="26" t="n">
        <x:f>MAX(0,MIN('01_参数'!$B$20,'02_人物原始合计'!AM140/100,'01_参数'!$B$19+'02_人物原始合计'!AN140/100))</x:f>
        <x:v>0.4</x:v>
      </x:c>
      <x:c r="Q140" s="28" t="n">
        <x:f>((('02_人物原始合计'!E140+('02_人物原始合计'!F140-'02_人物原始合计'!E140)*IF(J140&gt;=12,1,0.5+0.5*MAX(0,J140)/12))*(1+'02_人物原始合计'!Q140/100))*(1+'02_人物原始合计'!U140/100+IF(J140&gt;=15,0.15,0))*(1+'02_人物原始合计'!V140/100)*(1+'02_人物原始合计'!T140)*(1+'02_人物原始合计'!W140*'01_参数'!$B$18)*(1+MAX(0,MIN(1,'02_人物原始合计'!X140/100))*('01_参数'!$B$16+'02_人物原始合计'!Y140/100-1))*(1+MAX(0,MIN(1,'02_人物原始合计'!Z140/100))*('01_参数'!$B$17+'02_人物原始合计'!AA140/100-1))+'02_人物原始合计'!AB140)*N140*'01_参数'!$B$7*'01_参数'!$B$8</x:f>
        <x:v>2483447.756421136</x:v>
      </x:c>
      <x:c r="R140" s="28" t="n">
        <x:f>Q140*'01_参数'!$B$5</x:f>
        <x:v>4966895.512842272</x:v>
      </x:c>
      <x:c r="S140" s="28" t="n">
        <x:f>(('02_人物原始合计'!E140+('02_人物原始合计'!F140-'02_人物原始合计'!E140)*IF(J140&gt;=12,1,0.5+0.5*MAX(0,J140)/12))*(1+'02_人物原始合计'!Q140/100))*(1+'02_人物原始合计'!U140/100+IF(J140&gt;=15,0.15,0))*(1+'02_人物原始合计'!V140/100)*(1+'02_人物原始合计'!T140)*(1+'02_人物原始合计'!W140*'01_参数'!$B$18)*(1+MAX(0,MIN(1,'02_人物原始合计'!X140/100))*('01_参数'!$B$16+'02_人物原始合计'!Y140/100-1))*(1+MAX(0,MIN(1,'02_人物原始合计'!Z140/100))*('01_参数'!$B$17+'02_人物原始合计'!AA140/100-1))*N140*'01_参数'!$B$7*'01_参数'!$B$8*MAX(0,'02_人物原始合计'!AO140/100)</x:f>
        <x:v>99337.91025684545</x:v>
      </x:c>
      <x:c r="T140" s="28" t="n">
        <x:f>S140*'01_参数'!$B$6</x:f>
        <x:v>129139.28333389909</x:v>
      </x:c>
      <x:c r="U140" s="28" t="n">
        <x:v>0</x:v>
      </x:c>
      <x:c r="V140" s="28" t="n">
        <x:f>T140+U140</x:f>
        <x:v>129139.28333389909</x:v>
      </x:c>
      <x:c r="W140" s="22" t="n">
        <x:v>12</x:v>
      </x:c>
      <x:c r="X140" s="22" t="n">
        <x:v>121</x:v>
      </x:c>
      <x:c r="Y140" s="22" t="str">
        <x:v>主线</x:v>
      </x:c>
    </x:row>
    <x:row r="141" ht="24" customHeight="1">
      <x:c r="A141" s="22" t="str">
        <x:v>P0137</x:v>
      </x:c>
      <x:c r="B141" s="22" t="n">
        <x:v>4</x:v>
      </x:c>
      <x:c r="C141" s="22" t="n">
        <x:v>6</x:v>
      </x:c>
      <x:c r="D141" s="22" t="str">
        <x:v>沉渠守誓者·阿涅挑战前</x:v>
      </x:c>
      <x:c r="E141" s="26" t="n">
        <x:v>0.3738727971189335</x:v>
      </x:c>
      <x:c r="F141" s="22" t="n">
        <x:v>4</x:v>
      </x:c>
      <x:c r="G141" s="22" t="n">
        <x:v>107</x:v>
      </x:c>
      <x:c r="H141" s="22" t="n">
        <x:v>5</x:v>
      </x:c>
      <x:c r="I141" s="22" t="n">
        <x:v>5</x:v>
      </x:c>
      <x:c r="J141" s="22" t="n">
        <x:f>'02_人物原始合计'!AG141+'02_人物原始合计'!AH141</x:f>
        <x:v>15</x:v>
      </x:c>
      <x:c r="K141" s="28" t="n">
        <x:f>'02_人物原始合计'!F141*(1+'02_人物原始合计'!Q141/100)</x:f>
        <x:v>74639.40000000001</x:v>
      </x:c>
      <x:c r="L141" s="28" t="n">
        <x:f>'02_人物原始合计'!K141*(1+'02_人物原始合计'!AV141/100)</x:f>
        <x:v>1436100</x:v>
      </x:c>
      <x:c r="M141" s="22" t="n">
        <x:f>MAX(0,MIN(50,'02_人物原始合计'!AD141,20+MIN(30,'02_人物原始合计'!AE141)))</x:f>
        <x:v>26</x:v>
      </x:c>
      <x:c r="N141" s="22" t="n">
        <x:f>IF(M141=0,1.75,IF(M141=10,2.2,IF(M141=20,2.9,IF(M141=30,4.3,IF(M141=40,8.5,IF(M141=50,14.3,IF(M141&lt;=40,1000/('01_参数'!$B$21-'01_参数'!$B$22*M141),1000/(1000/8.5+(M141-40)/10*(1000/14.3-1000/8.5)))))))))</x:f>
        <x:v>3.617573931056102</x:v>
      </x:c>
      <x:c r="O141" s="22" t="n">
        <x:v>402</x:v>
      </x:c>
      <x:c r="P141" s="26" t="n">
        <x:f>MAX(0,MIN('01_参数'!$B$20,'02_人物原始合计'!AM141/100,'01_参数'!$B$19+'02_人物原始合计'!AN141/100))</x:f>
        <x:v>0.4</x:v>
      </x:c>
      <x:c r="Q141" s="28" t="n">
        <x:f>((('02_人物原始合计'!E141+('02_人物原始合计'!F141-'02_人物原始合计'!E141)*IF(J141&gt;=12,1,0.5+0.5*MAX(0,J141)/12))*(1+'02_人物原始合计'!Q141/100))*(1+'02_人物原始合计'!U141/100+IF(J141&gt;=15,0.15,0))*(1+'02_人物原始合计'!V141/100)*(1+'02_人物原始合计'!T141)*(1+'02_人物原始合计'!W141*'01_参数'!$B$18)*(1+MAX(0,MIN(1,'02_人物原始合计'!X141/100))*('01_参数'!$B$16+'02_人物原始合计'!Y141/100-1))*(1+MAX(0,MIN(1,'02_人物原始合计'!Z141/100))*('01_参数'!$B$17+'02_人物原始合计'!AA141/100-1))+'02_人物原始合计'!AB141)*N141*'01_参数'!$B$7*'01_参数'!$B$8</x:f>
        <x:v>2601471.660840535</x:v>
      </x:c>
      <x:c r="R141" s="28" t="n">
        <x:f>Q141*'01_参数'!$B$5</x:f>
        <x:v>5202943.32168107</x:v>
      </x:c>
      <x:c r="S141" s="28" t="n">
        <x:f>(('02_人物原始合计'!E141+('02_人物原始合计'!F141-'02_人物原始合计'!E141)*IF(J141&gt;=12,1,0.5+0.5*MAX(0,J141)/12))*(1+'02_人物原始合计'!Q141/100))*(1+'02_人物原始合计'!U141/100+IF(J141&gt;=15,0.15,0))*(1+'02_人物原始合计'!V141/100)*(1+'02_人物原始合计'!T141)*(1+'02_人物原始合计'!W141*'01_参数'!$B$18)*(1+MAX(0,MIN(1,'02_人物原始合计'!X141/100))*('01_参数'!$B$16+'02_人物原始合计'!Y141/100-1))*(1+MAX(0,MIN(1,'02_人物原始合计'!Z141/100))*('01_参数'!$B$17+'02_人物原始合计'!AA141/100-1))*N141*'01_参数'!$B$7*'01_参数'!$B$8*MAX(0,'02_人物原始合计'!AO141/100)</x:f>
        <x:v>104058.8664336214</x:v>
      </x:c>
      <x:c r="T141" s="28" t="n">
        <x:f>S141*'01_参数'!$B$6</x:f>
        <x:v>135276.52636370782</x:v>
      </x:c>
      <x:c r="U141" s="28" t="n">
        <x:v>0</x:v>
      </x:c>
      <x:c r="V141" s="28" t="n">
        <x:f>T141+U141</x:f>
        <x:v>135276.52636370782</x:v>
      </x:c>
      <x:c r="W141" s="22" t="n">
        <x:v>12</x:v>
      </x:c>
      <x:c r="X141" s="22" t="n">
        <x:v>121</x:v>
      </x:c>
      <x:c r="Y141" s="22" t="str">
        <x:v>主线</x:v>
      </x:c>
    </x:row>
    <x:row r="142" ht="24" customHeight="1">
      <x:c r="A142" s="22" t="str">
        <x:v>P0138</x:v>
      </x:c>
      <x:c r="B142" s="22" t="n">
        <x:v>4</x:v>
      </x:c>
      <x:c r="C142" s="22" t="n">
        <x:v>6</x:v>
      </x:c>
      <x:c r="D142" s="22" t="str">
        <x:v>封室水镜姬·弥洛挑战前</x:v>
      </x:c>
      <x:c r="E142" s="26" t="n">
        <x:v>0.3738727971189335</x:v>
      </x:c>
      <x:c r="F142" s="22" t="n">
        <x:v>4</x:v>
      </x:c>
      <x:c r="G142" s="22" t="n">
        <x:v>107</x:v>
      </x:c>
      <x:c r="H142" s="22" t="n">
        <x:v>5</x:v>
      </x:c>
      <x:c r="I142" s="22" t="n">
        <x:v>5</x:v>
      </x:c>
      <x:c r="J142" s="22" t="n">
        <x:f>'02_人物原始合计'!AG142+'02_人物原始合计'!AH142</x:f>
        <x:v>15</x:v>
      </x:c>
      <x:c r="K142" s="28" t="n">
        <x:f>'02_人物原始合计'!F142*(1+'02_人物原始合计'!Q142/100)</x:f>
        <x:v>74639.40000000001</x:v>
      </x:c>
      <x:c r="L142" s="28" t="n">
        <x:f>'02_人物原始合计'!K142*(1+'02_人物原始合计'!AV142/100)</x:f>
        <x:v>1436100</x:v>
      </x:c>
      <x:c r="M142" s="22" t="n">
        <x:f>MAX(0,MIN(50,'02_人物原始合计'!AD142,20+MIN(30,'02_人物原始合计'!AE142)))</x:f>
        <x:v>26</x:v>
      </x:c>
      <x:c r="N142" s="22" t="n">
        <x:f>IF(M142=0,1.75,IF(M142=10,2.2,IF(M142=20,2.9,IF(M142=30,4.3,IF(M142=40,8.5,IF(M142=50,14.3,IF(M142&lt;=40,1000/('01_参数'!$B$21-'01_参数'!$B$22*M142),1000/(1000/8.5+(M142-40)/10*(1000/14.3-1000/8.5)))))))))</x:f>
        <x:v>3.617573931056102</x:v>
      </x:c>
      <x:c r="O142" s="22" t="n">
        <x:v>402</x:v>
      </x:c>
      <x:c r="P142" s="26" t="n">
        <x:f>MAX(0,MIN('01_参数'!$B$20,'02_人物原始合计'!AM142/100,'01_参数'!$B$19+'02_人物原始合计'!AN142/100))</x:f>
        <x:v>0.4</x:v>
      </x:c>
      <x:c r="Q142" s="28" t="n">
        <x:f>((('02_人物原始合计'!E142+('02_人物原始合计'!F142-'02_人物原始合计'!E142)*IF(J142&gt;=12,1,0.5+0.5*MAX(0,J142)/12))*(1+'02_人物原始合计'!Q142/100))*(1+'02_人物原始合计'!U142/100+IF(J142&gt;=15,0.15,0))*(1+'02_人物原始合计'!V142/100)*(1+'02_人物原始合计'!T142)*(1+'02_人物原始合计'!W142*'01_参数'!$B$18)*(1+MAX(0,MIN(1,'02_人物原始合计'!X142/100))*('01_参数'!$B$16+'02_人物原始合计'!Y142/100-1))*(1+MAX(0,MIN(1,'02_人物原始合计'!Z142/100))*('01_参数'!$B$17+'02_人物原始合计'!AA142/100-1))+'02_人物原始合计'!AB142)*N142*'01_参数'!$B$7*'01_参数'!$B$8</x:f>
        <x:v>2601471.660840535</x:v>
      </x:c>
      <x:c r="R142" s="28" t="n">
        <x:f>Q142*'01_参数'!$B$5</x:f>
        <x:v>5202943.32168107</x:v>
      </x:c>
      <x:c r="S142" s="28" t="n">
        <x:f>(('02_人物原始合计'!E142+('02_人物原始合计'!F142-'02_人物原始合计'!E142)*IF(J142&gt;=12,1,0.5+0.5*MAX(0,J142)/12))*(1+'02_人物原始合计'!Q142/100))*(1+'02_人物原始合计'!U142/100+IF(J142&gt;=15,0.15,0))*(1+'02_人物原始合计'!V142/100)*(1+'02_人物原始合计'!T142)*(1+'02_人物原始合计'!W142*'01_参数'!$B$18)*(1+MAX(0,MIN(1,'02_人物原始合计'!X142/100))*('01_参数'!$B$16+'02_人物原始合计'!Y142/100-1))*(1+MAX(0,MIN(1,'02_人物原始合计'!Z142/100))*('01_参数'!$B$17+'02_人物原始合计'!AA142/100-1))*N142*'01_参数'!$B$7*'01_参数'!$B$8*MAX(0,'02_人物原始合计'!AO142/100)</x:f>
        <x:v>104058.8664336214</x:v>
      </x:c>
      <x:c r="T142" s="28" t="n">
        <x:f>S142*'01_参数'!$B$6</x:f>
        <x:v>135276.52636370782</x:v>
      </x:c>
      <x:c r="U142" s="28" t="n">
        <x:v>0</x:v>
      </x:c>
      <x:c r="V142" s="28" t="n">
        <x:f>T142+U142</x:f>
        <x:v>135276.52636370782</x:v>
      </x:c>
      <x:c r="W142" s="22" t="n">
        <x:v>12</x:v>
      </x:c>
      <x:c r="X142" s="22" t="n">
        <x:v>121</x:v>
      </x:c>
      <x:c r="Y142" s="22" t="str">
        <x:v>主线</x:v>
      </x:c>
    </x:row>
    <x:row r="143" ht="24" customHeight="1">
      <x:c r="A143" s="22" t="str">
        <x:v>P0139</x:v>
      </x:c>
      <x:c r="B143" s="22" t="n">
        <x:v>4</x:v>
      </x:c>
      <x:c r="C143" s="22" t="n">
        <x:v>6</x:v>
      </x:c>
      <x:c r="D143" s="22" t="str">
        <x:v>湖底密道BOSS装备快线</x:v>
      </x:c>
      <x:c r="E143" s="26" t="n">
        <x:v>0.40316862044942675</x:v>
      </x:c>
      <x:c r="F143" s="22" t="n">
        <x:v>4</x:v>
      </x:c>
      <x:c r="G143" s="22" t="n">
        <x:v>107</x:v>
      </x:c>
      <x:c r="H143" s="22" t="n">
        <x:v>5</x:v>
      </x:c>
      <x:c r="I143" s="22" t="n">
        <x:v>5</x:v>
      </x:c>
      <x:c r="J143" s="22" t="n">
        <x:f>'02_人物原始合计'!AG143+'02_人物原始合计'!AH143</x:f>
        <x:v>15</x:v>
      </x:c>
      <x:c r="K143" s="28" t="n">
        <x:f>'02_人物原始合计'!F143*(1+'02_人物原始合计'!Q143/100)</x:f>
        <x:v>87799.08</x:v>
      </x:c>
      <x:c r="L143" s="28" t="n">
        <x:f>'02_人物原始合计'!K143*(1+'02_人物原始合计'!AV143/100)</x:f>
        <x:v>1502600</x:v>
      </x:c>
      <x:c r="M143" s="22" t="n">
        <x:f>MAX(0,MIN(50,'02_人物原始合计'!AD143,20+MIN(30,'02_人物原始合计'!AE143)))</x:f>
        <x:v>27</x:v>
      </x:c>
      <x:c r="N143" s="22" t="n">
        <x:f>IF(M143=0,1.75,IF(M143=10,2.2,IF(M143=20,2.9,IF(M143=30,4.3,IF(M143=40,8.5,IF(M143=50,14.3,IF(M143&lt;=40,1000/('01_参数'!$B$21-'01_参数'!$B$22*M143),1000/(1000/8.5+(M143-40)/10*(1000/14.3-1000/8.5)))))))))</x:f>
        <x:v>3.7716940913647403</x:v>
      </x:c>
      <x:c r="O143" s="22" t="n">
        <x:v>402</x:v>
      </x:c>
      <x:c r="P143" s="26" t="n">
        <x:f>MAX(0,MIN('01_参数'!$B$20,'02_人物原始合计'!AM143/100,'01_参数'!$B$19+'02_人物原始合计'!AN143/100))</x:f>
        <x:v>0.4</x:v>
      </x:c>
      <x:c r="Q143" s="28" t="n">
        <x:f>((('02_人物原始合计'!E143+('02_人物原始合计'!F143-'02_人物原始合计'!E143)*IF(J143&gt;=12,1,0.5+0.5*MAX(0,J143)/12))*(1+'02_人物原始合计'!Q143/100))*(1+'02_人物原始合计'!U143/100+IF(J143&gt;=15,0.15,0))*(1+'02_人物原始合计'!V143/100)*(1+'02_人物原始合计'!T143)*(1+'02_人物原始合计'!W143*'01_参数'!$B$18)*(1+MAX(0,MIN(1,'02_人物原始合计'!X143/100))*('01_参数'!$B$16+'02_人物原始合计'!Y143/100-1))*(1+MAX(0,MIN(1,'02_人物原始合计'!Z143/100))*('01_参数'!$B$17+'02_人物原始合计'!AA143/100-1))+'02_人物原始合计'!AB143)*N143*'01_参数'!$B$7*'01_参数'!$B$8</x:f>
        <x:v>4004094.1577861477</x:v>
      </x:c>
      <x:c r="R143" s="28" t="n">
        <x:f>Q143*'01_参数'!$B$5</x:f>
        <x:v>8008188.315572295</x:v>
      </x:c>
      <x:c r="S143" s="28" t="n">
        <x:f>(('02_人物原始合计'!E143+('02_人物原始合计'!F143-'02_人物原始合计'!E143)*IF(J143&gt;=12,1,0.5+0.5*MAX(0,J143)/12))*(1+'02_人物原始合计'!Q143/100))*(1+'02_人物原始合计'!U143/100+IF(J143&gt;=15,0.15,0))*(1+'02_人物原始合计'!V143/100)*(1+'02_人物原始合计'!T143)*(1+'02_人物原始合计'!W143*'01_参数'!$B$18)*(1+MAX(0,MIN(1,'02_人物原始合计'!X143/100))*('01_参数'!$B$16+'02_人物原始合计'!Y143/100-1))*(1+MAX(0,MIN(1,'02_人物原始合计'!Z143/100))*('01_参数'!$B$17+'02_人物原始合计'!AA143/100-1))*N143*'01_参数'!$B$7*'01_参数'!$B$8*MAX(0,'02_人物原始合计'!AO143/100)</x:f>
        <x:v>240245.64946716884</x:v>
      </x:c>
      <x:c r="T143" s="28" t="n">
        <x:f>S143*'01_参数'!$B$6</x:f>
        <x:v>312319.3443073195</x:v>
      </x:c>
      <x:c r="U143" s="28" t="n">
        <x:v>0</x:v>
      </x:c>
      <x:c r="V143" s="28" t="n">
        <x:f>T143+U143</x:f>
        <x:v>312319.3443073195</x:v>
      </x:c>
      <x:c r="W143" s="22" t="n">
        <x:v>12</x:v>
      </x:c>
      <x:c r="X143" s="22" t="n">
        <x:v>121</x:v>
      </x:c>
      <x:c r="Y143" s="22" t="str">
        <x:v>C04G06BOSS强装对照</x:v>
      </x:c>
    </x:row>
    <x:row r="144" ht="24" customHeight="1">
      <x:c r="A144" s="22" t="str">
        <x:v>P0140</x:v>
      </x:c>
      <x:c r="B144" s="22" t="n">
        <x:v>4</x:v>
      </x:c>
      <x:c r="C144" s="22" t="n">
        <x:v>6</x:v>
      </x:c>
      <x:c r="D144" s="22" t="str">
        <x:v>湖底密道阶段积累后</x:v>
      </x:c>
      <x:c r="E144" s="26" t="n">
        <x:v>0.4471989281946419</x:v>
      </x:c>
      <x:c r="F144" s="22" t="n">
        <x:v>4</x:v>
      </x:c>
      <x:c r="G144" s="22" t="n">
        <x:v>107</x:v>
      </x:c>
      <x:c r="H144" s="22" t="n">
        <x:v>5</x:v>
      </x:c>
      <x:c r="I144" s="22" t="n">
        <x:v>5</x:v>
      </x:c>
      <x:c r="J144" s="22" t="n">
        <x:f>'02_人物原始合计'!AG144+'02_人物原始合计'!AH144</x:f>
        <x:v>15</x:v>
      </x:c>
      <x:c r="K144" s="28" t="n">
        <x:f>'02_人物原始合计'!F144*(1+'02_人物原始合计'!Q144/100)</x:f>
        <x:v>87366.4</x:v>
      </x:c>
      <x:c r="L144" s="28" t="n">
        <x:f>'02_人物原始合计'!K144*(1+'02_人物原始合计'!AV144/100)</x:f>
        <x:v>1520900</x:v>
      </x:c>
      <x:c r="M144" s="22" t="n">
        <x:f>MAX(0,MIN(50,'02_人物原始合计'!AD144,20+MIN(30,'02_人物原始合计'!AE144)))</x:f>
        <x:v>26</x:v>
      </x:c>
      <x:c r="N144" s="22" t="n">
        <x:f>IF(M144=0,1.75,IF(M144=10,2.2,IF(M144=20,2.9,IF(M144=30,4.3,IF(M144=40,8.5,IF(M144=50,14.3,IF(M144&lt;=40,1000/('01_参数'!$B$21-'01_参数'!$B$22*M144),1000/(1000/8.5+(M144-40)/10*(1000/14.3-1000/8.5)))))))))</x:f>
        <x:v>3.617573931056102</x:v>
      </x:c>
      <x:c r="O144" s="22" t="n">
        <x:v>372</x:v>
      </x:c>
      <x:c r="P144" s="26" t="n">
        <x:f>MAX(0,MIN('01_参数'!$B$20,'02_人物原始合计'!AM144/100,'01_参数'!$B$19+'02_人物原始合计'!AN144/100))</x:f>
        <x:v>0.4</x:v>
      </x:c>
      <x:c r="Q144" s="28" t="n">
        <x:f>((('02_人物原始合计'!E144+('02_人物原始合计'!F144-'02_人物原始合计'!E144)*IF(J144&gt;=12,1,0.5+0.5*MAX(0,J144)/12))*(1+'02_人物原始合计'!Q144/100))*(1+'02_人物原始合计'!U144/100+IF(J144&gt;=15,0.15,0))*(1+'02_人物原始合计'!V144/100)*(1+'02_人物原始合计'!T144)*(1+'02_人物原始合计'!W144*'01_参数'!$B$18)*(1+MAX(0,MIN(1,'02_人物原始合计'!X144/100))*('01_参数'!$B$16+'02_人物原始合计'!Y144/100-1))*(1+MAX(0,MIN(1,'02_人物原始合计'!Z144/100))*('01_参数'!$B$17+'02_人物原始合计'!AA144/100-1))+'02_人物原始合计'!AB144)*N144*'01_参数'!$B$7*'01_参数'!$B$8</x:f>
        <x:v>4851109.430299568</x:v>
      </x:c>
      <x:c r="R144" s="28" t="n">
        <x:f>Q144*'01_参数'!$B$5</x:f>
        <x:v>9702218.860599136</x:v>
      </x:c>
      <x:c r="S144" s="28" t="n">
        <x:f>(('02_人物原始合计'!E144+('02_人物原始合计'!F144-'02_人物原始合计'!E144)*IF(J144&gt;=12,1,0.5+0.5*MAX(0,J144)/12))*(1+'02_人物原始合计'!Q144/100))*(1+'02_人物原始合计'!U144/100+IF(J144&gt;=15,0.15,0))*(1+'02_人物原始合计'!V144/100)*(1+'02_人物原始合计'!T144)*(1+'02_人物原始合计'!W144*'01_参数'!$B$18)*(1+MAX(0,MIN(1,'02_人物原始合计'!X144/100))*('01_参数'!$B$16+'02_人物原始合计'!Y144/100-1))*(1+MAX(0,MIN(1,'02_人物原始合计'!Z144/100))*('01_参数'!$B$17+'02_人物原始合计'!AA144/100-1))*N144*'01_参数'!$B$7*'01_参数'!$B$8*MAX(0,'02_人物原始合计'!AO144/100)</x:f>
        <x:v>194044.37721198273</x:v>
      </x:c>
      <x:c r="T144" s="28" t="n">
        <x:f>S144*'01_参数'!$B$6</x:f>
        <x:v>252257.69037557757</x:v>
      </x:c>
      <x:c r="U144" s="28" t="n">
        <x:v>0</x:v>
      </x:c>
      <x:c r="V144" s="28" t="n">
        <x:f>T144+U144</x:f>
        <x:v>252257.69037557757</x:v>
      </x:c>
      <x:c r="W144" s="22" t="n">
        <x:v>14</x:v>
      </x:c>
      <x:c r="X144" s="22" t="n">
        <x:v>122</x:v>
      </x:c>
      <x:c r="Y144" s="22" t="str">
        <x:v>主线</x:v>
      </x:c>
    </x:row>
    <x:row r="145" ht="24" customHeight="1">
      <x:c r="A145" s="22" t="str">
        <x:v>P0141</x:v>
      </x:c>
      <x:c r="B145" s="22" t="n">
        <x:v>4</x:v>
      </x:c>
      <x:c r="C145" s="22" t="n">
        <x:v>6</x:v>
      </x:c>
      <x:c r="D145" s="22" t="str">
        <x:v>C04守关前必做制作完成</x:v>
      </x:c>
      <x:c r="E145" s="26" t="n">
        <x:v>0.4471989281946419</x:v>
      </x:c>
      <x:c r="F145" s="22" t="n">
        <x:v>4</x:v>
      </x:c>
      <x:c r="G145" s="22" t="n">
        <x:v>107</x:v>
      </x:c>
      <x:c r="H145" s="22" t="n">
        <x:v>5</x:v>
      </x:c>
      <x:c r="I145" s="22" t="n">
        <x:v>5</x:v>
      </x:c>
      <x:c r="J145" s="22" t="n">
        <x:f>'02_人物原始合计'!AG145+'02_人物原始合计'!AH145</x:f>
        <x:v>15</x:v>
      </x:c>
      <x:c r="K145" s="28" t="n">
        <x:f>'02_人物原始合计'!F145*(1+'02_人物原始合计'!Q145/100)</x:f>
        <x:v>88848.3</x:v>
      </x:c>
      <x:c r="L145" s="28" t="n">
        <x:f>'02_人物原始合计'!K145*(1+'02_人物原始合计'!AV145/100)</x:f>
        <x:v>1520900</x:v>
      </x:c>
      <x:c r="M145" s="22" t="n">
        <x:f>MAX(0,MIN(50,'02_人物原始合计'!AD145,20+MIN(30,'02_人物原始合计'!AE145)))</x:f>
        <x:v>26</x:v>
      </x:c>
      <x:c r="N145" s="22" t="n">
        <x:f>IF(M145=0,1.75,IF(M145=10,2.2,IF(M145=20,2.9,IF(M145=30,4.3,IF(M145=40,8.5,IF(M145=50,14.3,IF(M145&lt;=40,1000/('01_参数'!$B$21-'01_参数'!$B$22*M145),1000/(1000/8.5+(M145-40)/10*(1000/14.3-1000/8.5)))))))))</x:f>
        <x:v>3.617573931056102</x:v>
      </x:c>
      <x:c r="O145" s="22" t="n">
        <x:v>372</x:v>
      </x:c>
      <x:c r="P145" s="26" t="n">
        <x:f>MAX(0,MIN('01_参数'!$B$20,'02_人物原始合计'!AM145/100,'01_参数'!$B$19+'02_人物原始合计'!AN145/100))</x:f>
        <x:v>0.4</x:v>
      </x:c>
      <x:c r="Q145" s="28" t="n">
        <x:f>((('02_人物原始合计'!E145+('02_人物原始合计'!F145-'02_人物原始合计'!E145)*IF(J145&gt;=12,1,0.5+0.5*MAX(0,J145)/12))*(1+'02_人物原始合计'!Q145/100))*(1+'02_人物原始合计'!U145/100+IF(J145&gt;=15,0.15,0))*(1+'02_人物原始合计'!V145/100)*(1+'02_人物原始合计'!T145)*(1+'02_人物原始合计'!W145*'01_参数'!$B$18)*(1+MAX(0,MIN(1,'02_人物原始合计'!X145/100))*('01_参数'!$B$16+'02_人物原始合计'!Y145/100-1))*(1+MAX(0,MIN(1,'02_人物原始合计'!Z145/100))*('01_参数'!$B$17+'02_人物原始合计'!AA145/100-1))+'02_人物原始合计'!AB145)*N145*'01_参数'!$B$7*'01_参数'!$B$8</x:f>
        <x:v>4933393.455562838</x:v>
      </x:c>
      <x:c r="R145" s="28" t="n">
        <x:f>Q145*'01_参数'!$B$5</x:f>
        <x:v>9866786.911125677</x:v>
      </x:c>
      <x:c r="S145" s="28" t="n">
        <x:f>(('02_人物原始合计'!E145+('02_人物原始合计'!F145-'02_人物原始合计'!E145)*IF(J145&gt;=12,1,0.5+0.5*MAX(0,J145)/12))*(1+'02_人物原始合计'!Q145/100))*(1+'02_人物原始合计'!U145/100+IF(J145&gt;=15,0.15,0))*(1+'02_人物原始合计'!V145/100)*(1+'02_人物原始合计'!T145)*(1+'02_人物原始合计'!W145*'01_参数'!$B$18)*(1+MAX(0,MIN(1,'02_人物原始合计'!X145/100))*('01_参数'!$B$16+'02_人物原始合计'!Y145/100-1))*(1+MAX(0,MIN(1,'02_人物原始合计'!Z145/100))*('01_参数'!$B$17+'02_人物原始合计'!AA145/100-1))*N145*'01_参数'!$B$7*'01_参数'!$B$8*MAX(0,'02_人物原始合计'!AO145/100)</x:f>
        <x:v>246669.67277814192</x:v>
      </x:c>
      <x:c r="T145" s="28" t="n">
        <x:f>S145*'01_参数'!$B$6</x:f>
        <x:v>320670.5746115845</x:v>
      </x:c>
      <x:c r="U145" s="28" t="n">
        <x:v>0</x:v>
      </x:c>
      <x:c r="V145" s="28" t="n">
        <x:f>T145+U145</x:f>
        <x:v>320670.5746115845</x:v>
      </x:c>
      <x:c r="W145" s="22" t="n">
        <x:v>14</x:v>
      </x:c>
      <x:c r="X145" s="22" t="n">
        <x:v>122</x:v>
      </x:c>
      <x:c r="Y145" s="22" t="str">
        <x:v>主线</x:v>
      </x:c>
    </x:row>
    <x:row r="146" ht="24" customHeight="1">
      <x:c r="A146" s="22" t="str">
        <x:v>P0142</x:v>
      </x:c>
      <x:c r="B146" s="22" t="n">
        <x:v>4</x:v>
      </x:c>
      <x:c r="C146" s="22" t="n">
        <x:v>6</x:v>
      </x:c>
      <x:c r="D146" s="22" t="str">
        <x:v>C04约70%守关参考</x:v>
      </x:c>
      <x:c r="E146" s="26" t="n">
        <x:v>0.7015739281946419</x:v>
      </x:c>
      <x:c r="F146" s="22" t="n">
        <x:v>4</x:v>
      </x:c>
      <x:c r="G146" s="22" t="n">
        <x:v>107</x:v>
      </x:c>
      <x:c r="H146" s="22" t="n">
        <x:v>5</x:v>
      </x:c>
      <x:c r="I146" s="22" t="n">
        <x:v>5</x:v>
      </x:c>
      <x:c r="J146" s="22" t="n">
        <x:f>'02_人物原始合计'!AG146+'02_人物原始合计'!AH146</x:f>
        <x:v>15</x:v>
      </x:c>
      <x:c r="K146" s="28" t="n">
        <x:f>'02_人物原始合计'!F146*(1+'02_人物原始合计'!Q146/100)</x:f>
        <x:v>91439.8</x:v>
      </x:c>
      <x:c r="L146" s="28" t="n">
        <x:f>'02_人物原始合计'!K146*(1+'02_人物原始合计'!AV146/100)</x:f>
        <x:v>1556400</x:v>
      </x:c>
      <x:c r="M146" s="22" t="n">
        <x:f>MAX(0,MIN(50,'02_人物原始合计'!AD146,20+MIN(30,'02_人物原始合计'!AE146)))</x:f>
        <x:v>26</x:v>
      </x:c>
      <x:c r="N146" s="22" t="n">
        <x:f>IF(M146=0,1.75,IF(M146=10,2.2,IF(M146=20,2.9,IF(M146=30,4.3,IF(M146=40,8.5,IF(M146=50,14.3,IF(M146&lt;=40,1000/('01_参数'!$B$21-'01_参数'!$B$22*M146),1000/(1000/8.5+(M146-40)/10*(1000/14.3-1000/8.5)))))))))</x:f>
        <x:v>3.617573931056102</x:v>
      </x:c>
      <x:c r="O146" s="22" t="n">
        <x:v>462</x:v>
      </x:c>
      <x:c r="P146" s="26" t="n">
        <x:f>MAX(0,MIN('01_参数'!$B$20,'02_人物原始合计'!AM146/100,'01_参数'!$B$19+'02_人物原始合计'!AN146/100))</x:f>
        <x:v>0.4</x:v>
      </x:c>
      <x:c r="Q146" s="28" t="n">
        <x:f>((('02_人物原始合计'!E146+('02_人物原始合计'!F146-'02_人物原始合计'!E146)*IF(J146&gt;=12,1,0.5+0.5*MAX(0,J146)/12))*(1+'02_人物原始合计'!Q146/100))*(1+'02_人物原始合计'!U146/100+IF(J146&gt;=15,0.15,0))*(1+'02_人物原始合计'!V146/100)*(1+'02_人物原始合计'!T146)*(1+'02_人物原始合计'!W146*'01_参数'!$B$18)*(1+MAX(0,MIN(1,'02_人物原始合计'!X146/100))*('01_参数'!$B$16+'02_人物原始合计'!Y146/100-1))*(1+MAX(0,MIN(1,'02_人物原始合计'!Z146/100))*('01_参数'!$B$17+'02_人物原始合计'!AA146/100-1))+'02_人物原始合计'!AB146)*N146*'01_参数'!$B$7*'01_参数'!$B$8</x:f>
        <x:v>5309836.760099921</x:v>
      </x:c>
      <x:c r="R146" s="28" t="n">
        <x:f>Q146*'01_参数'!$B$5</x:f>
        <x:v>10619673.520199843</x:v>
      </x:c>
      <x:c r="S146" s="28" t="n">
        <x:f>(('02_人物原始合计'!E146+('02_人物原始合计'!F146-'02_人物原始合计'!E146)*IF(J146&gt;=12,1,0.5+0.5*MAX(0,J146)/12))*(1+'02_人物原始合计'!Q146/100))*(1+'02_人物原始合计'!U146/100+IF(J146&gt;=15,0.15,0))*(1+'02_人物原始合计'!V146/100)*(1+'02_人物原始合计'!T146)*(1+'02_人物原始合计'!W146*'01_参数'!$B$18)*(1+MAX(0,MIN(1,'02_人物原始合计'!X146/100))*('01_参数'!$B$16+'02_人物原始合计'!Y146/100-1))*(1+MAX(0,MIN(1,'02_人物原始合计'!Z146/100))*('01_参数'!$B$17+'02_人物原始合计'!AA146/100-1))*N146*'01_参数'!$B$7*'01_参数'!$B$8*MAX(0,'02_人物原始合计'!AO146/100)</x:f>
        <x:v>265491.83800499607</x:v>
      </x:c>
      <x:c r="T146" s="28" t="n">
        <x:f>S146*'01_参数'!$B$6</x:f>
        <x:v>345139.3894064949</x:v>
      </x:c>
      <x:c r="U146" s="28" t="n">
        <x:v>0</x:v>
      </x:c>
      <x:c r="V146" s="28" t="n">
        <x:f>T146+U146</x:f>
        <x:v>345139.3894064949</x:v>
      </x:c>
      <x:c r="W146" s="22" t="n">
        <x:v>14</x:v>
      </x:c>
      <x:c r="X146" s="22" t="n">
        <x:v>163</x:v>
      </x:c>
      <x:c r="Y146" s="22" t="str">
        <x:v>主线</x:v>
      </x:c>
    </x:row>
    <x:row r="147" ht="24" customHeight="1">
      <x:c r="A147" s="22" t="str">
        <x:v>P0143</x:v>
      </x:c>
      <x:c r="B147" s="22" t="n">
        <x:v>4</x:v>
      </x:c>
      <x:c r="C147" s="22" t="n">
        <x:v>6</x:v>
      </x:c>
      <x:c r="D147" s="22" t="str">
        <x:v>C04高完成度参考</x:v>
      </x:c>
      <x:c r="E147" s="26" t="n">
        <x:v>0.9387453823777427</x:v>
      </x:c>
      <x:c r="F147" s="22" t="n">
        <x:v>4</x:v>
      </x:c>
      <x:c r="G147" s="22" t="n">
        <x:v>107</x:v>
      </x:c>
      <x:c r="H147" s="22" t="n">
        <x:v>5</x:v>
      </x:c>
      <x:c r="I147" s="22" t="n">
        <x:v>5</x:v>
      </x:c>
      <x:c r="J147" s="22" t="n">
        <x:f>'02_人物原始合计'!AG147+'02_人物原始合计'!AH147</x:f>
        <x:v>15</x:v>
      </x:c>
      <x:c r="K147" s="28" t="n">
        <x:f>'02_人物原始合计'!F147*(1+'02_人物原始合计'!Q147/100)</x:f>
        <x:v>125627.99999999999</x:v>
      </x:c>
      <x:c r="L147" s="28" t="n">
        <x:f>'02_人物原始合计'!K147*(1+'02_人物原始合计'!AV147/100)</x:f>
        <x:v>1763100</x:v>
      </x:c>
      <x:c r="M147" s="22" t="n">
        <x:f>MAX(0,MIN(50,'02_人物原始合计'!AD147,20+MIN(30,'02_人物原始合计'!AE147)))</x:f>
        <x:v>27</x:v>
      </x:c>
      <x:c r="N147" s="22" t="n">
        <x:f>IF(M147=0,1.75,IF(M147=10,2.2,IF(M147=20,2.9,IF(M147=30,4.3,IF(M147=40,8.5,IF(M147=50,14.3,IF(M147&lt;=40,1000/('01_参数'!$B$21-'01_参数'!$B$22*M147),1000/(1000/8.5+(M147-40)/10*(1000/14.3-1000/8.5)))))))))</x:f>
        <x:v>3.7716940913647403</x:v>
      </x:c>
      <x:c r="O147" s="22" t="n">
        <x:v>528</x:v>
      </x:c>
      <x:c r="P147" s="26" t="n">
        <x:f>MAX(0,MIN('01_参数'!$B$20,'02_人物原始合计'!AM147/100,'01_参数'!$B$19+'02_人物原始合计'!AN147/100))</x:f>
        <x:v>0.47</x:v>
      </x:c>
      <x:c r="Q147" s="28" t="n">
        <x:f>((('02_人物原始合计'!E147+('02_人物原始合计'!F147-'02_人物原始合计'!E147)*IF(J147&gt;=12,1,0.5+0.5*MAX(0,J147)/12))*(1+'02_人物原始合计'!Q147/100))*(1+'02_人物原始合计'!U147/100+IF(J147&gt;=15,0.15,0))*(1+'02_人物原始合计'!V147/100)*(1+'02_人物原始合计'!T147)*(1+'02_人物原始合计'!W147*'01_参数'!$B$18)*(1+MAX(0,MIN(1,'02_人物原始合计'!X147/100))*('01_参数'!$B$16+'02_人物原始合计'!Y147/100-1))*(1+MAX(0,MIN(1,'02_人物原始合计'!Z147/100))*('01_参数'!$B$17+'02_人物原始合计'!AA147/100-1))+'02_人物原始合计'!AB147)*N147*'01_参数'!$B$7*'01_参数'!$B$8</x:f>
        <x:v>10808256.097709617</x:v>
      </x:c>
      <x:c r="R147" s="28" t="n">
        <x:f>Q147*'01_参数'!$B$5</x:f>
        <x:v>21616512.195419233</x:v>
      </x:c>
      <x:c r="S147" s="28" t="n">
        <x:f>(('02_人物原始合计'!E147+('02_人物原始合计'!F147-'02_人物原始合计'!E147)*IF(J147&gt;=12,1,0.5+0.5*MAX(0,J147)/12))*(1+'02_人物原始合计'!Q147/100))*(1+'02_人物原始合计'!U147/100+IF(J147&gt;=15,0.15,0))*(1+'02_人物原始合计'!V147/100)*(1+'02_人物原始合计'!T147)*(1+'02_人物原始合计'!W147*'01_参数'!$B$18)*(1+MAX(0,MIN(1,'02_人物原始合计'!X147/100))*('01_参数'!$B$16+'02_人物原始合计'!Y147/100-1))*(1+MAX(0,MIN(1,'02_人物原始合计'!Z147/100))*('01_参数'!$B$17+'02_人物原始合计'!AA147/100-1))*N147*'01_参数'!$B$7*'01_参数'!$B$8*MAX(0,'02_人物原始合计'!AO147/100)</x:f>
        <x:v>756577.9268396732</x:v>
      </x:c>
      <x:c r="T147" s="28" t="n">
        <x:f>S147*'01_参数'!$B$6</x:f>
        <x:v>983551.3048915751</x:v>
      </x:c>
      <x:c r="U147" s="28" t="n">
        <x:v>0</x:v>
      </x:c>
      <x:c r="V147" s="28" t="n">
        <x:f>T147+U147</x:f>
        <x:v>983551.3048915751</x:v>
      </x:c>
      <x:c r="W147" s="22" t="n">
        <x:v>14</x:v>
      </x:c>
      <x:c r="X147" s="22" t="n">
        <x:v>190</x:v>
      </x:c>
      <x:c r="Y147" s="22" t="str">
        <x:v>C04高完成度</x:v>
      </x:c>
    </x:row>
    <x:row r="148" ht="24" customHeight="1">
      <x:c r="A148" s="22" t="str">
        <x:v>P0144</x:v>
      </x:c>
      <x:c r="B148" s="22" t="n">
        <x:v>4</x:v>
      </x:c>
      <x:c r="C148" s="22" t="n">
        <x:v>6</x:v>
      </x:c>
      <x:c r="D148" s="22" t="str">
        <x:v>C04守关后继承</x:v>
      </x:c>
      <x:c r="E148" s="26" t="n">
        <x:v>0.7015739281946419</x:v>
      </x:c>
      <x:c r="F148" s="22" t="n">
        <x:v>4</x:v>
      </x:c>
      <x:c r="G148" s="22" t="n">
        <x:v>107</x:v>
      </x:c>
      <x:c r="H148" s="22" t="n">
        <x:v>5</x:v>
      </x:c>
      <x:c r="I148" s="22" t="n">
        <x:v>5</x:v>
      </x:c>
      <x:c r="J148" s="22" t="n">
        <x:f>'02_人物原始合计'!AG148+'02_人物原始合计'!AH148</x:f>
        <x:v>15</x:v>
      </x:c>
      <x:c r="K148" s="28" t="n">
        <x:f>'02_人物原始合计'!F148*(1+'02_人物原始合计'!Q148/100)</x:f>
        <x:v>91439.8</x:v>
      </x:c>
      <x:c r="L148" s="28" t="n">
        <x:f>'02_人物原始合计'!K148*(1+'02_人物原始合计'!AV148/100)</x:f>
        <x:v>1556400</x:v>
      </x:c>
      <x:c r="M148" s="22" t="n">
        <x:f>MAX(0,MIN(50,'02_人物原始合计'!AD148,20+MIN(30,'02_人物原始合计'!AE148)))</x:f>
        <x:v>26</x:v>
      </x:c>
      <x:c r="N148" s="22" t="n">
        <x:f>IF(M148=0,1.75,IF(M148=10,2.2,IF(M148=20,2.9,IF(M148=30,4.3,IF(M148=40,8.5,IF(M148=50,14.3,IF(M148&lt;=40,1000/('01_参数'!$B$21-'01_参数'!$B$22*M148),1000/(1000/8.5+(M148-40)/10*(1000/14.3-1000/8.5)))))))))</x:f>
        <x:v>3.617573931056102</x:v>
      </x:c>
      <x:c r="O148" s="22" t="n">
        <x:v>462</x:v>
      </x:c>
      <x:c r="P148" s="26" t="n">
        <x:f>MAX(0,MIN('01_参数'!$B$20,'02_人物原始合计'!AM148/100,'01_参数'!$B$19+'02_人物原始合计'!AN148/100))</x:f>
        <x:v>0.4</x:v>
      </x:c>
      <x:c r="Q148" s="28" t="n">
        <x:f>((('02_人物原始合计'!E148+('02_人物原始合计'!F148-'02_人物原始合计'!E148)*IF(J148&gt;=12,1,0.5+0.5*MAX(0,J148)/12))*(1+'02_人物原始合计'!Q148/100))*(1+'02_人物原始合计'!U148/100+IF(J148&gt;=15,0.15,0))*(1+'02_人物原始合计'!V148/100)*(1+'02_人物原始合计'!T148)*(1+'02_人物原始合计'!W148*'01_参数'!$B$18)*(1+MAX(0,MIN(1,'02_人物原始合计'!X148/100))*('01_参数'!$B$16+'02_人物原始合计'!Y148/100-1))*(1+MAX(0,MIN(1,'02_人物原始合计'!Z148/100))*('01_参数'!$B$17+'02_人物原始合计'!AA148/100-1))+'02_人物原始合计'!AB148)*N148*'01_参数'!$B$7*'01_参数'!$B$8</x:f>
        <x:v>5309836.760099921</x:v>
      </x:c>
      <x:c r="R148" s="28" t="n">
        <x:f>Q148*'01_参数'!$B$5</x:f>
        <x:v>10619673.520199843</x:v>
      </x:c>
      <x:c r="S148" s="28" t="n">
        <x:f>(('02_人物原始合计'!E148+('02_人物原始合计'!F148-'02_人物原始合计'!E148)*IF(J148&gt;=12,1,0.5+0.5*MAX(0,J148)/12))*(1+'02_人物原始合计'!Q148/100))*(1+'02_人物原始合计'!U148/100+IF(J148&gt;=15,0.15,0))*(1+'02_人物原始合计'!V148/100)*(1+'02_人物原始合计'!T148)*(1+'02_人物原始合计'!W148*'01_参数'!$B$18)*(1+MAX(0,MIN(1,'02_人物原始合计'!X148/100))*('01_参数'!$B$16+'02_人物原始合计'!Y148/100-1))*(1+MAX(0,MIN(1,'02_人物原始合计'!Z148/100))*('01_参数'!$B$17+'02_人物原始合计'!AA148/100-1))*N148*'01_参数'!$B$7*'01_参数'!$B$8*MAX(0,'02_人物原始合计'!AO148/100)</x:f>
        <x:v>265491.83800499607</x:v>
      </x:c>
      <x:c r="T148" s="28" t="n">
        <x:f>S148*'01_参数'!$B$6</x:f>
        <x:v>345139.3894064949</x:v>
      </x:c>
      <x:c r="U148" s="28" t="n">
        <x:v>0</x:v>
      </x:c>
      <x:c r="V148" s="28" t="n">
        <x:f>T148+U148</x:f>
        <x:v>345139.3894064949</x:v>
      </x:c>
      <x:c r="W148" s="22" t="n">
        <x:v>14</x:v>
      </x:c>
      <x:c r="X148" s="22" t="n">
        <x:v>163</x:v>
      </x:c>
      <x:c r="Y148" s="22" t="str">
        <x:v>主线</x:v>
      </x:c>
    </x:row>
    <x:row r="149" ht="24" customHeight="1">
      <x:c r="A149" s="22" t="str">
        <x:v>P0145</x:v>
      </x:c>
      <x:c r="B149" s="22" t="n">
        <x:v>5</x:v>
      </x:c>
      <x:c r="C149" s="22" t="n">
        <x:v>1</x:v>
      </x:c>
      <x:c r="D149" s="22" t="str">
        <x:v>C05入场继承</x:v>
      </x:c>
      <x:c r="E149" s="26" t="n">
        <x:v>0.09935763113940638</x:v>
      </x:c>
      <x:c r="F149" s="22" t="n">
        <x:v>4</x:v>
      </x:c>
      <x:c r="G149" s="22" t="n">
        <x:v>107</x:v>
      </x:c>
      <x:c r="H149" s="22" t="n">
        <x:v>5</x:v>
      </x:c>
      <x:c r="I149" s="22" t="n">
        <x:v>5</x:v>
      </x:c>
      <x:c r="J149" s="22" t="n">
        <x:f>'02_人物原始合计'!AG149+'02_人物原始合计'!AH149</x:f>
        <x:v>15</x:v>
      </x:c>
      <x:c r="K149" s="28" t="n">
        <x:f>'02_人物原始合计'!F149*(1+'02_人物原始合计'!Q149/100)</x:f>
        <x:v>91439.8</x:v>
      </x:c>
      <x:c r="L149" s="28" t="n">
        <x:f>'02_人物原始合计'!K149*(1+'02_人物原始合计'!AV149/100)</x:f>
        <x:v>1556400</x:v>
      </x:c>
      <x:c r="M149" s="22" t="n">
        <x:f>MAX(0,MIN(50,'02_人物原始合计'!AD149,20+MIN(30,'02_人物原始合计'!AE149)))</x:f>
        <x:v>26</x:v>
      </x:c>
      <x:c r="N149" s="22" t="n">
        <x:f>IF(M149=0,1.75,IF(M149=10,2.2,IF(M149=20,2.9,IF(M149=30,4.3,IF(M149=40,8.5,IF(M149=50,14.3,IF(M149&lt;=40,1000/('01_参数'!$B$21-'01_参数'!$B$22*M149),1000/(1000/8.5+(M149-40)/10*(1000/14.3-1000/8.5)))))))))</x:f>
        <x:v>3.617573931056102</x:v>
      </x:c>
      <x:c r="O149" s="22" t="n">
        <x:v>462</x:v>
      </x:c>
      <x:c r="P149" s="26" t="n">
        <x:f>MAX(0,MIN('01_参数'!$B$20,'02_人物原始合计'!AM149/100,'01_参数'!$B$19+'02_人物原始合计'!AN149/100))</x:f>
        <x:v>0.4</x:v>
      </x:c>
      <x:c r="Q149" s="28" t="n">
        <x:f>((('02_人物原始合计'!E149+('02_人物原始合计'!F149-'02_人物原始合计'!E149)*IF(J149&gt;=12,1,0.5+0.5*MAX(0,J149)/12))*(1+'02_人物原始合计'!Q149/100))*(1+'02_人物原始合计'!U149/100+IF(J149&gt;=15,0.15,0))*(1+'02_人物原始合计'!V149/100)*(1+'02_人物原始合计'!T149)*(1+'02_人物原始合计'!W149*'01_参数'!$B$18)*(1+MAX(0,MIN(1,'02_人物原始合计'!X149/100))*('01_参数'!$B$16+'02_人物原始合计'!Y149/100-1))*(1+MAX(0,MIN(1,'02_人物原始合计'!Z149/100))*('01_参数'!$B$17+'02_人物原始合计'!AA149/100-1))+'02_人物原始合计'!AB149)*N149*'01_参数'!$B$7*'01_参数'!$B$8</x:f>
        <x:v>5309836.760099921</x:v>
      </x:c>
      <x:c r="R149" s="28" t="n">
        <x:f>Q149*'01_参数'!$B$5</x:f>
        <x:v>10619673.520199843</x:v>
      </x:c>
      <x:c r="S149" s="28" t="n">
        <x:f>(('02_人物原始合计'!E149+('02_人物原始合计'!F149-'02_人物原始合计'!E149)*IF(J149&gt;=12,1,0.5+0.5*MAX(0,J149)/12))*(1+'02_人物原始合计'!Q149/100))*(1+'02_人物原始合计'!U149/100+IF(J149&gt;=15,0.15,0))*(1+'02_人物原始合计'!V149/100)*(1+'02_人物原始合计'!T149)*(1+'02_人物原始合计'!W149*'01_参数'!$B$18)*(1+MAX(0,MIN(1,'02_人物原始合计'!X149/100))*('01_参数'!$B$16+'02_人物原始合计'!Y149/100-1))*(1+MAX(0,MIN(1,'02_人物原始合计'!Z149/100))*('01_参数'!$B$17+'02_人物原始合计'!AA149/100-1))*N149*'01_参数'!$B$7*'01_参数'!$B$8*MAX(0,'02_人物原始合计'!AO149/100)</x:f>
        <x:v>265491.83800499607</x:v>
      </x:c>
      <x:c r="T149" s="28" t="n">
        <x:f>S149*'01_参数'!$B$6</x:f>
        <x:v>345139.3894064949</x:v>
      </x:c>
      <x:c r="U149" s="28" t="n">
        <x:v>0</x:v>
      </x:c>
      <x:c r="V149" s="28" t="n">
        <x:f>T149+U149</x:f>
        <x:v>345139.3894064949</x:v>
      </x:c>
      <x:c r="W149" s="22" t="n">
        <x:v>14</x:v>
      </x:c>
      <x:c r="X149" s="22" t="n">
        <x:v>163</x:v>
      </x:c>
      <x:c r="Y149" s="22" t="str">
        <x:v>主线</x:v>
      </x:c>
    </x:row>
    <x:row r="150" ht="24" customHeight="1">
      <x:c r="A150" s="22" t="str">
        <x:v>P0146</x:v>
      </x:c>
      <x:c r="B150" s="22" t="n">
        <x:v>5</x:v>
      </x:c>
      <x:c r="C150" s="22" t="n">
        <x:v>1</x:v>
      </x:c>
      <x:c r="D150" s="22" t="str">
        <x:v>C05本阶段既有付费/长期成长</x:v>
      </x:c>
      <x:c r="E150" s="26" t="n">
        <x:v>0.09935763113940638</x:v>
      </x:c>
      <x:c r="F150" s="22" t="n">
        <x:v>4</x:v>
      </x:c>
      <x:c r="G150" s="22" t="n">
        <x:v>110</x:v>
      </x:c>
      <x:c r="H150" s="22" t="n">
        <x:v>5</x:v>
      </x:c>
      <x:c r="I150" s="22" t="n">
        <x:v>5</x:v>
      </x:c>
      <x:c r="J150" s="22" t="n">
        <x:f>'02_人物原始合计'!AG150+'02_人物原始合计'!AH150</x:f>
        <x:v>15</x:v>
      </x:c>
      <x:c r="K150" s="28" t="n">
        <x:f>'02_人物原始合计'!F150*(1+'02_人物原始合计'!Q150/100)</x:f>
        <x:v>93826.9</x:v>
      </x:c>
      <x:c r="L150" s="28" t="n">
        <x:f>'02_人物原始合计'!K150*(1+'02_人物原始合计'!AV150/100)</x:f>
        <x:v>1589100</x:v>
      </x:c>
      <x:c r="M150" s="22" t="n">
        <x:f>MAX(0,MIN(50,'02_人物原始合计'!AD150,20+MIN(30,'02_人物原始合计'!AE150)))</x:f>
        <x:v>26</x:v>
      </x:c>
      <x:c r="N150" s="22" t="n">
        <x:f>IF(M150=0,1.75,IF(M150=10,2.2,IF(M150=20,2.9,IF(M150=30,4.3,IF(M150=40,8.5,IF(M150=50,14.3,IF(M150&lt;=40,1000/('01_参数'!$B$21-'01_参数'!$B$22*M150),1000/(1000/8.5+(M150-40)/10*(1000/14.3-1000/8.5)))))))))</x:f>
        <x:v>3.617573931056102</x:v>
      </x:c>
      <x:c r="O150" s="22" t="n">
        <x:v>462</x:v>
      </x:c>
      <x:c r="P150" s="26" t="n">
        <x:f>MAX(0,MIN('01_参数'!$B$20,'02_人物原始合计'!AM150/100,'01_参数'!$B$19+'02_人物原始合计'!AN150/100))</x:f>
        <x:v>0.4</x:v>
      </x:c>
      <x:c r="Q150" s="28" t="n">
        <x:f>((('02_人物原始合计'!E150+('02_人物原始合计'!F150-'02_人物原始合计'!E150)*IF(J150&gt;=12,1,0.5+0.5*MAX(0,J150)/12))*(1+'02_人物原始合计'!Q150/100))*(1+'02_人物原始合计'!U150/100+IF(J150&gt;=15,0.15,0))*(1+'02_人物原始合计'!V150/100)*(1+'02_人物原始合计'!T150)*(1+'02_人物原始合计'!W150*'01_参数'!$B$18)*(1+MAX(0,MIN(1,'02_人物原始合计'!X150/100))*('01_参数'!$B$16+'02_人物原始合计'!Y150/100-1))*(1+MAX(0,MIN(1,'02_人物原始合计'!Z150/100))*('01_参数'!$B$17+'02_人物原始合计'!AA150/100-1))+'02_人物原始合计'!AB150)*N150*'01_参数'!$B$7*'01_参数'!$B$8</x:f>
        <x:v>5448453.766371091</x:v>
      </x:c>
      <x:c r="R150" s="28" t="n">
        <x:f>Q150*'01_参数'!$B$5</x:f>
        <x:v>10896907.532742182</x:v>
      </x:c>
      <x:c r="S150" s="28" t="n">
        <x:f>(('02_人物原始合计'!E150+('02_人物原始合计'!F150-'02_人物原始合计'!E150)*IF(J150&gt;=12,1,0.5+0.5*MAX(0,J150)/12))*(1+'02_人物原始合计'!Q150/100))*(1+'02_人物原始合计'!U150/100+IF(J150&gt;=15,0.15,0))*(1+'02_人物原始合计'!V150/100)*(1+'02_人物原始合计'!T150)*(1+'02_人物原始合计'!W150*'01_参数'!$B$18)*(1+MAX(0,MIN(1,'02_人物原始合计'!X150/100))*('01_参数'!$B$16+'02_人物原始合计'!Y150/100-1))*(1+MAX(0,MIN(1,'02_人物原始合计'!Z150/100))*('01_参数'!$B$17+'02_人物原始合计'!AA150/100-1))*N150*'01_参数'!$B$7*'01_参数'!$B$8*MAX(0,'02_人物原始合计'!AO150/100)</x:f>
        <x:v>272422.68831855454</x:v>
      </x:c>
      <x:c r="T150" s="28" t="n">
        <x:f>S150*'01_参数'!$B$6</x:f>
        <x:v>354149.49481412093</x:v>
      </x:c>
      <x:c r="U150" s="28" t="n">
        <x:v>0</x:v>
      </x:c>
      <x:c r="V150" s="28" t="n">
        <x:f>T150+U150</x:f>
        <x:v>354149.49481412093</x:v>
      </x:c>
      <x:c r="W150" s="22" t="n">
        <x:v>14</x:v>
      </x:c>
      <x:c r="X150" s="22" t="n">
        <x:v>163</x:v>
      </x:c>
      <x:c r="Y150" s="22" t="str">
        <x:v>主线</x:v>
      </x:c>
    </x:row>
    <x:row r="151" ht="24" customHeight="1">
      <x:c r="A151" s="22" t="str">
        <x:v>P0147</x:v>
      </x:c>
      <x:c r="B151" s="22" t="n">
        <x:v>5</x:v>
      </x:c>
      <x:c r="C151" s="22" t="n">
        <x:v>1</x:v>
      </x:c>
      <x:c r="D151" s="22" t="str">
        <x:v>C05G01入场</x:v>
      </x:c>
      <x:c r="E151" s="26" t="n">
        <x:v>0.09935763113940638</x:v>
      </x:c>
      <x:c r="F151" s="22" t="n">
        <x:v>4</x:v>
      </x:c>
      <x:c r="G151" s="22" t="n">
        <x:v>110</x:v>
      </x:c>
      <x:c r="H151" s="22" t="n">
        <x:v>5</x:v>
      </x:c>
      <x:c r="I151" s="22" t="n">
        <x:v>5</x:v>
      </x:c>
      <x:c r="J151" s="22" t="n">
        <x:f>'02_人物原始合计'!AG151+'02_人物原始合计'!AH151</x:f>
        <x:v>15</x:v>
      </x:c>
      <x:c r="K151" s="28" t="n">
        <x:f>'02_人物原始合计'!F151*(1+'02_人物原始合计'!Q151/100)</x:f>
        <x:v>93826.9</x:v>
      </x:c>
      <x:c r="L151" s="28" t="n">
        <x:f>'02_人物原始合计'!K151*(1+'02_人物原始合计'!AV151/100)</x:f>
        <x:v>1589100</x:v>
      </x:c>
      <x:c r="M151" s="22" t="n">
        <x:f>MAX(0,MIN(50,'02_人物原始合计'!AD151,20+MIN(30,'02_人物原始合计'!AE151)))</x:f>
        <x:v>26</x:v>
      </x:c>
      <x:c r="N151" s="22" t="n">
        <x:f>IF(M151=0,1.75,IF(M151=10,2.2,IF(M151=20,2.9,IF(M151=30,4.3,IF(M151=40,8.5,IF(M151=50,14.3,IF(M151&lt;=40,1000/('01_参数'!$B$21-'01_参数'!$B$22*M151),1000/(1000/8.5+(M151-40)/10*(1000/14.3-1000/8.5)))))))))</x:f>
        <x:v>3.617573931056102</x:v>
      </x:c>
      <x:c r="O151" s="22" t="n">
        <x:v>462</x:v>
      </x:c>
      <x:c r="P151" s="26" t="n">
        <x:f>MAX(0,MIN('01_参数'!$B$20,'02_人物原始合计'!AM151/100,'01_参数'!$B$19+'02_人物原始合计'!AN151/100))</x:f>
        <x:v>0.4</x:v>
      </x:c>
      <x:c r="Q151" s="28" t="n">
        <x:f>((('02_人物原始合计'!E151+('02_人物原始合计'!F151-'02_人物原始合计'!E151)*IF(J151&gt;=12,1,0.5+0.5*MAX(0,J151)/12))*(1+'02_人物原始合计'!Q151/100))*(1+'02_人物原始合计'!U151/100+IF(J151&gt;=15,0.15,0))*(1+'02_人物原始合计'!V151/100)*(1+'02_人物原始合计'!T151)*(1+'02_人物原始合计'!W151*'01_参数'!$B$18)*(1+MAX(0,MIN(1,'02_人物原始合计'!X151/100))*('01_参数'!$B$16+'02_人物原始合计'!Y151/100-1))*(1+MAX(0,MIN(1,'02_人物原始合计'!Z151/100))*('01_参数'!$B$17+'02_人物原始合计'!AA151/100-1))+'02_人物原始合计'!AB151)*N151*'01_参数'!$B$7*'01_参数'!$B$8</x:f>
        <x:v>5448453.766371091</x:v>
      </x:c>
      <x:c r="R151" s="28" t="n">
        <x:f>Q151*'01_参数'!$B$5</x:f>
        <x:v>10896907.532742182</x:v>
      </x:c>
      <x:c r="S151" s="28" t="n">
        <x:f>(('02_人物原始合计'!E151+('02_人物原始合计'!F151-'02_人物原始合计'!E151)*IF(J151&gt;=12,1,0.5+0.5*MAX(0,J151)/12))*(1+'02_人物原始合计'!Q151/100))*(1+'02_人物原始合计'!U151/100+IF(J151&gt;=15,0.15,0))*(1+'02_人物原始合计'!V151/100)*(1+'02_人物原始合计'!T151)*(1+'02_人物原始合计'!W151*'01_参数'!$B$18)*(1+MAX(0,MIN(1,'02_人物原始合计'!X151/100))*('01_参数'!$B$16+'02_人物原始合计'!Y151/100-1))*(1+MAX(0,MIN(1,'02_人物原始合计'!Z151/100))*('01_参数'!$B$17+'02_人物原始合计'!AA151/100-1))*N151*'01_参数'!$B$7*'01_参数'!$B$8*MAX(0,'02_人物原始合计'!AO151/100)</x:f>
        <x:v>272422.68831855454</x:v>
      </x:c>
      <x:c r="T151" s="28" t="n">
        <x:f>S151*'01_参数'!$B$6</x:f>
        <x:v>354149.49481412093</x:v>
      </x:c>
      <x:c r="U151" s="28" t="n">
        <x:v>0</x:v>
      </x:c>
      <x:c r="V151" s="28" t="n">
        <x:f>T151+U151</x:f>
        <x:v>354149.49481412093</x:v>
      </x:c>
      <x:c r="W151" s="22" t="n">
        <x:v>14</x:v>
      </x:c>
      <x:c r="X151" s="22" t="n">
        <x:v>163</x:v>
      </x:c>
      <x:c r="Y151" s="22" t="str">
        <x:v>主线</x:v>
      </x:c>
    </x:row>
    <x:row r="152" ht="24" customHeight="1">
      <x:c r="A152" s="22" t="str">
        <x:v>P0148</x:v>
      </x:c>
      <x:c r="B152" s="22" t="n">
        <x:v>5</x:v>
      </x:c>
      <x:c r="C152" s="22" t="n">
        <x:v>1</x:v>
      </x:c>
      <x:c r="D152" s="22" t="str">
        <x:v>C05G01普通专属4/6</x:v>
      </x:c>
      <x:c r="E152" s="26" t="n">
        <x:v>0.10035061295868822</x:v>
      </x:c>
      <x:c r="F152" s="22" t="n">
        <x:v>4</x:v>
      </x:c>
      <x:c r="G152" s="22" t="n">
        <x:v>110</x:v>
      </x:c>
      <x:c r="H152" s="22" t="n">
        <x:v>5</x:v>
      </x:c>
      <x:c r="I152" s="22" t="n">
        <x:v>5</x:v>
      </x:c>
      <x:c r="J152" s="22" t="n">
        <x:f>'02_人物原始合计'!AG152+'02_人物原始合计'!AH152</x:f>
        <x:v>15</x:v>
      </x:c>
      <x:c r="K152" s="28" t="n">
        <x:f>'02_人物原始合计'!F152*(1+'02_人物原始合计'!Q152/100)</x:f>
        <x:v>94340.16</x:v>
      </x:c>
      <x:c r="L152" s="28" t="n">
        <x:f>'02_人物原始合计'!K152*(1+'02_人物原始合计'!AV152/100)</x:f>
        <x:v>1608800</x:v>
      </x:c>
      <x:c r="M152" s="22" t="n">
        <x:f>MAX(0,MIN(50,'02_人物原始合计'!AD152,20+MIN(30,'02_人物原始合计'!AE152)))</x:f>
        <x:v>26</x:v>
      </x:c>
      <x:c r="N152" s="22" t="n">
        <x:f>IF(M152=0,1.75,IF(M152=10,2.2,IF(M152=20,2.9,IF(M152=30,4.3,IF(M152=40,8.5,IF(M152=50,14.3,IF(M152&lt;=40,1000/('01_参数'!$B$21-'01_参数'!$B$22*M152),1000/(1000/8.5+(M152-40)/10*(1000/14.3-1000/8.5)))))))))</x:f>
        <x:v>3.617573931056102</x:v>
      </x:c>
      <x:c r="O152" s="22" t="n">
        <x:v>462</x:v>
      </x:c>
      <x:c r="P152" s="26" t="n">
        <x:f>MAX(0,MIN('01_参数'!$B$20,'02_人物原始合计'!AM152/100,'01_参数'!$B$19+'02_人物原始合计'!AN152/100))</x:f>
        <x:v>0.4</x:v>
      </x:c>
      <x:c r="Q152" s="28" t="n">
        <x:f>((('02_人物原始合计'!E152+('02_人物原始合计'!F152-'02_人物原始合计'!E152)*IF(J152&gt;=12,1,0.5+0.5*MAX(0,J152)/12))*(1+'02_人物原始合计'!Q152/100))*(1+'02_人物原始合计'!U152/100+IF(J152&gt;=15,0.15,0))*(1+'02_人物原始合计'!V152/100)*(1+'02_人物原始合计'!T152)*(1+'02_人物原始合计'!W152*'01_参数'!$B$18)*(1+MAX(0,MIN(1,'02_人物原始合计'!X152/100))*('01_参数'!$B$16+'02_人物原始合计'!Y152/100-1))*(1+MAX(0,MIN(1,'02_人物原始合计'!Z152/100))*('01_参数'!$B$17+'02_人物原始合计'!AA152/100-1))+'02_人物原始合计'!AB152)*N152*'01_参数'!$B$7*'01_参数'!$B$8</x:f>
        <x:v>5478258.36803786</x:v>
      </x:c>
      <x:c r="R152" s="28" t="n">
        <x:f>Q152*'01_参数'!$B$5</x:f>
        <x:v>10956516.73607572</x:v>
      </x:c>
      <x:c r="S152" s="28" t="n">
        <x:f>(('02_人物原始合计'!E152+('02_人物原始合计'!F152-'02_人物原始合计'!E152)*IF(J152&gt;=12,1,0.5+0.5*MAX(0,J152)/12))*(1+'02_人物原始合计'!Q152/100))*(1+'02_人物原始合计'!U152/100+IF(J152&gt;=15,0.15,0))*(1+'02_人物原始合计'!V152/100)*(1+'02_人物原始合计'!T152)*(1+'02_人物原始合计'!W152*'01_参数'!$B$18)*(1+MAX(0,MIN(1,'02_人物原始合计'!X152/100))*('01_参数'!$B$16+'02_人物原始合计'!Y152/100-1))*(1+MAX(0,MIN(1,'02_人物原始合计'!Z152/100))*('01_参数'!$B$17+'02_人物原始合计'!AA152/100-1))*N152*'01_参数'!$B$7*'01_参数'!$B$8*MAX(0,'02_人物原始合计'!AO152/100)</x:f>
        <x:v>273912.918401893</x:v>
      </x:c>
      <x:c r="T152" s="28" t="n">
        <x:f>S152*'01_参数'!$B$6</x:f>
        <x:v>356086.7939224609</x:v>
      </x:c>
      <x:c r="U152" s="28" t="n">
        <x:v>0</x:v>
      </x:c>
      <x:c r="V152" s="28" t="n">
        <x:f>T152+U152</x:f>
        <x:v>356086.7939224609</x:v>
      </x:c>
      <x:c r="W152" s="22" t="n">
        <x:v>14</x:v>
      </x:c>
      <x:c r="X152" s="22" t="n">
        <x:v>163</x:v>
      </x:c>
      <x:c r="Y152" s="22" t="str">
        <x:v>主线</x:v>
      </x:c>
    </x:row>
    <x:row r="153" ht="24" customHeight="1">
      <x:c r="A153" s="22" t="str">
        <x:v>P0149</x:v>
      </x:c>
      <x:c r="B153" s="22" t="n">
        <x:v>5</x:v>
      </x:c>
      <x:c r="C153" s="22" t="n">
        <x:v>1</x:v>
      </x:c>
      <x:c r="D153" s="22" t="str">
        <x:v>雾冠巡庭侯挑战前</x:v>
      </x:c>
      <x:c r="E153" s="26" t="n">
        <x:v>0.10035061295868822</x:v>
      </x:c>
      <x:c r="F153" s="22" t="n">
        <x:v>4</x:v>
      </x:c>
      <x:c r="G153" s="22" t="n">
        <x:v>112</x:v>
      </x:c>
      <x:c r="H153" s="22" t="n">
        <x:v>5</x:v>
      </x:c>
      <x:c r="I153" s="22" t="n">
        <x:v>5</x:v>
      </x:c>
      <x:c r="J153" s="22" t="n">
        <x:f>'02_人物原始合计'!AG153+'02_人物原始合计'!AH153</x:f>
        <x:v>15</x:v>
      </x:c>
      <x:c r="K153" s="28" t="n">
        <x:f>'02_人物原始合计'!F153*(1+'02_人物原始合计'!Q153/100)</x:f>
        <x:v>95972.52</x:v>
      </x:c>
      <x:c r="L153" s="28" t="n">
        <x:f>'02_人物原始合计'!K153*(1+'02_人物原始合计'!AV153/100)</x:f>
        <x:v>1631100</x:v>
      </x:c>
      <x:c r="M153" s="22" t="n">
        <x:f>MAX(0,MIN(50,'02_人物原始合计'!AD153,20+MIN(30,'02_人物原始合计'!AE153)))</x:f>
        <x:v>26</x:v>
      </x:c>
      <x:c r="N153" s="22" t="n">
        <x:f>IF(M153=0,1.75,IF(M153=10,2.2,IF(M153=20,2.9,IF(M153=30,4.3,IF(M153=40,8.5,IF(M153=50,14.3,IF(M153&lt;=40,1000/('01_参数'!$B$21-'01_参数'!$B$22*M153),1000/(1000/8.5+(M153-40)/10*(1000/14.3-1000/8.5)))))))))</x:f>
        <x:v>3.617573931056102</x:v>
      </x:c>
      <x:c r="O153" s="22" t="n">
        <x:v>462</x:v>
      </x:c>
      <x:c r="P153" s="26" t="n">
        <x:f>MAX(0,MIN('01_参数'!$B$20,'02_人物原始合计'!AM153/100,'01_参数'!$B$19+'02_人物原始合计'!AN153/100))</x:f>
        <x:v>0.4</x:v>
      </x:c>
      <x:c r="Q153" s="28" t="n">
        <x:f>((('02_人物原始合计'!E153+('02_人物原始合计'!F153-'02_人物原始合计'!E153)*IF(J153&gt;=12,1,0.5+0.5*MAX(0,J153)/12))*(1+'02_人物原始合计'!Q153/100))*(1+'02_人物原始合计'!U153/100+IF(J153&gt;=15,0.15,0))*(1+'02_人物原始合计'!V153/100)*(1+'02_人物原始合计'!T153)*(1+'02_人物原始合计'!W153*'01_参数'!$B$18)*(1+MAX(0,MIN(1,'02_人物原始合计'!X153/100))*('01_参数'!$B$16+'02_人物原始合计'!Y153/100-1))*(1+MAX(0,MIN(1,'02_人物原始合计'!Z153/100))*('01_参数'!$B$17+'02_人物原始合计'!AA153/100-1))+'02_人物原始合计'!AB153)*N153*'01_参数'!$B$7*'01_参数'!$B$8</x:f>
        <x:v>5573048.220309155</x:v>
      </x:c>
      <x:c r="R153" s="28" t="n">
        <x:f>Q153*'01_参数'!$B$5</x:f>
        <x:v>11146096.44061831</x:v>
      </x:c>
      <x:c r="S153" s="28" t="n">
        <x:f>(('02_人物原始合计'!E153+('02_人物原始合计'!F153-'02_人物原始合计'!E153)*IF(J153&gt;=12,1,0.5+0.5*MAX(0,J153)/12))*(1+'02_人物原始合计'!Q153/100))*(1+'02_人物原始合计'!U153/100+IF(J153&gt;=15,0.15,0))*(1+'02_人物原始合计'!V153/100)*(1+'02_人物原始合计'!T153)*(1+'02_人物原始合计'!W153*'01_参数'!$B$18)*(1+MAX(0,MIN(1,'02_人物原始合计'!X153/100))*('01_参数'!$B$16+'02_人物原始合计'!Y153/100-1))*(1+MAX(0,MIN(1,'02_人物原始合计'!Z153/100))*('01_参数'!$B$17+'02_人物原始合计'!AA153/100-1))*N153*'01_参数'!$B$7*'01_参数'!$B$8*MAX(0,'02_人物原始合计'!AO153/100)</x:f>
        <x:v>278652.41101545776</x:v>
      </x:c>
      <x:c r="T153" s="28" t="n">
        <x:f>S153*'01_参数'!$B$6</x:f>
        <x:v>362248.1343200951</x:v>
      </x:c>
      <x:c r="U153" s="28" t="n">
        <x:v>0</x:v>
      </x:c>
      <x:c r="V153" s="28" t="n">
        <x:f>T153+U153</x:f>
        <x:v>362248.1343200951</x:v>
      </x:c>
      <x:c r="W153" s="22" t="n">
        <x:v>14</x:v>
      </x:c>
      <x:c r="X153" s="22" t="n">
        <x:v>163</x:v>
      </x:c>
      <x:c r="Y153" s="22" t="str">
        <x:v>主线</x:v>
      </x:c>
    </x:row>
    <x:row r="154" ht="24" customHeight="1">
      <x:c r="A154" s="22" t="str">
        <x:v>P0150</x:v>
      </x:c>
      <x:c r="B154" s="22" t="n">
        <x:v>5</x:v>
      </x:c>
      <x:c r="C154" s="22" t="n">
        <x:v>1</x:v>
      </x:c>
      <x:c r="D154" s="22" t="str">
        <x:v>沉月镜池圣母挑战前</x:v>
      </x:c>
      <x:c r="E154" s="26" t="n">
        <x:v>0.10035061295868822</x:v>
      </x:c>
      <x:c r="F154" s="22" t="n">
        <x:v>4</x:v>
      </x:c>
      <x:c r="G154" s="22" t="n">
        <x:v>112</x:v>
      </x:c>
      <x:c r="H154" s="22" t="n">
        <x:v>5</x:v>
      </x:c>
      <x:c r="I154" s="22" t="n">
        <x:v>5</x:v>
      </x:c>
      <x:c r="J154" s="22" t="n">
        <x:f>'02_人物原始合计'!AG154+'02_人物原始合计'!AH154</x:f>
        <x:v>15</x:v>
      </x:c>
      <x:c r="K154" s="28" t="n">
        <x:f>'02_人物原始合计'!F154*(1+'02_人物原始合计'!Q154/100)</x:f>
        <x:v>95972.52</x:v>
      </x:c>
      <x:c r="L154" s="28" t="n">
        <x:f>'02_人物原始合计'!K154*(1+'02_人物原始合计'!AV154/100)</x:f>
        <x:v>1631100</x:v>
      </x:c>
      <x:c r="M154" s="22" t="n">
        <x:f>MAX(0,MIN(50,'02_人物原始合计'!AD154,20+MIN(30,'02_人物原始合计'!AE154)))</x:f>
        <x:v>26</x:v>
      </x:c>
      <x:c r="N154" s="22" t="n">
        <x:f>IF(M154=0,1.75,IF(M154=10,2.2,IF(M154=20,2.9,IF(M154=30,4.3,IF(M154=40,8.5,IF(M154=50,14.3,IF(M154&lt;=40,1000/('01_参数'!$B$21-'01_参数'!$B$22*M154),1000/(1000/8.5+(M154-40)/10*(1000/14.3-1000/8.5)))))))))</x:f>
        <x:v>3.617573931056102</x:v>
      </x:c>
      <x:c r="O154" s="22" t="n">
        <x:v>462</x:v>
      </x:c>
      <x:c r="P154" s="26" t="n">
        <x:f>MAX(0,MIN('01_参数'!$B$20,'02_人物原始合计'!AM154/100,'01_参数'!$B$19+'02_人物原始合计'!AN154/100))</x:f>
        <x:v>0.4</x:v>
      </x:c>
      <x:c r="Q154" s="28" t="n">
        <x:f>((('02_人物原始合计'!E154+('02_人物原始合计'!F154-'02_人物原始合计'!E154)*IF(J154&gt;=12,1,0.5+0.5*MAX(0,J154)/12))*(1+'02_人物原始合计'!Q154/100))*(1+'02_人物原始合计'!U154/100+IF(J154&gt;=15,0.15,0))*(1+'02_人物原始合计'!V154/100)*(1+'02_人物原始合计'!T154)*(1+'02_人物原始合计'!W154*'01_参数'!$B$18)*(1+MAX(0,MIN(1,'02_人物原始合计'!X154/100))*('01_参数'!$B$16+'02_人物原始合计'!Y154/100-1))*(1+MAX(0,MIN(1,'02_人物原始合计'!Z154/100))*('01_参数'!$B$17+'02_人物原始合计'!AA154/100-1))+'02_人物原始合计'!AB154)*N154*'01_参数'!$B$7*'01_参数'!$B$8</x:f>
        <x:v>5573048.220309155</x:v>
      </x:c>
      <x:c r="R154" s="28" t="n">
        <x:f>Q154*'01_参数'!$B$5</x:f>
        <x:v>11146096.44061831</x:v>
      </x:c>
      <x:c r="S154" s="28" t="n">
        <x:f>(('02_人物原始合计'!E154+('02_人物原始合计'!F154-'02_人物原始合计'!E154)*IF(J154&gt;=12,1,0.5+0.5*MAX(0,J154)/12))*(1+'02_人物原始合计'!Q154/100))*(1+'02_人物原始合计'!U154/100+IF(J154&gt;=15,0.15,0))*(1+'02_人物原始合计'!V154/100)*(1+'02_人物原始合计'!T154)*(1+'02_人物原始合计'!W154*'01_参数'!$B$18)*(1+MAX(0,MIN(1,'02_人物原始合计'!X154/100))*('01_参数'!$B$16+'02_人物原始合计'!Y154/100-1))*(1+MAX(0,MIN(1,'02_人物原始合计'!Z154/100))*('01_参数'!$B$17+'02_人物原始合计'!AA154/100-1))*N154*'01_参数'!$B$7*'01_参数'!$B$8*MAX(0,'02_人物原始合计'!AO154/100)</x:f>
        <x:v>278652.41101545776</x:v>
      </x:c>
      <x:c r="T154" s="28" t="n">
        <x:f>S154*'01_参数'!$B$6</x:f>
        <x:v>362248.1343200951</x:v>
      </x:c>
      <x:c r="U154" s="28" t="n">
        <x:v>0</x:v>
      </x:c>
      <x:c r="V154" s="28" t="n">
        <x:f>T154+U154</x:f>
        <x:v>362248.1343200951</x:v>
      </x:c>
      <x:c r="W154" s="22" t="n">
        <x:v>14</x:v>
      </x:c>
      <x:c r="X154" s="22" t="n">
        <x:v>163</x:v>
      </x:c>
      <x:c r="Y154" s="22" t="str">
        <x:v>主线</x:v>
      </x:c>
    </x:row>
    <x:row r="155" ht="24" customHeight="1">
      <x:c r="A155" s="22" t="str">
        <x:v>P0151</x:v>
      </x:c>
      <x:c r="B155" s="22" t="n">
        <x:v>5</x:v>
      </x:c>
      <x:c r="C155" s="22" t="n">
        <x:v>1</x:v>
      </x:c>
      <x:c r="D155" s="22" t="str">
        <x:v>雾月水庭BOSS装备快线</x:v>
      </x:c>
      <x:c r="E155" s="26" t="n">
        <x:v>0.11094417023093676</x:v>
      </x:c>
      <x:c r="F155" s="22" t="n">
        <x:v>4</x:v>
      </x:c>
      <x:c r="G155" s="22" t="n">
        <x:v>112</x:v>
      </x:c>
      <x:c r="H155" s="22" t="n">
        <x:v>5</x:v>
      </x:c>
      <x:c r="I155" s="22" t="n">
        <x:v>5</x:v>
      </x:c>
      <x:c r="J155" s="22" t="n">
        <x:f>'02_人物原始合计'!AG155+'02_人物原始合计'!AH155</x:f>
        <x:v>15</x:v>
      </x:c>
      <x:c r="K155" s="28" t="n">
        <x:f>'02_人物原始合计'!F155*(1+'02_人物原始合计'!Q155/100)</x:f>
        <x:v>105615.78</x:v>
      </x:c>
      <x:c r="L155" s="28" t="n">
        <x:f>'02_人物原始合计'!K155*(1+'02_人物原始合计'!AV155/100)</x:f>
        <x:v>1701600</x:v>
      </x:c>
      <x:c r="M155" s="22" t="n">
        <x:f>MAX(0,MIN(50,'02_人物原始合计'!AD155,20+MIN(30,'02_人物原始合计'!AE155)))</x:f>
        <x:v>27</x:v>
      </x:c>
      <x:c r="N155" s="22" t="n">
        <x:f>IF(M155=0,1.75,IF(M155=10,2.2,IF(M155=20,2.9,IF(M155=30,4.3,IF(M155=40,8.5,IF(M155=50,14.3,IF(M155&lt;=40,1000/('01_参数'!$B$21-'01_参数'!$B$22*M155),1000/(1000/8.5+(M155-40)/10*(1000/14.3-1000/8.5)))))))))</x:f>
        <x:v>3.7716940913647403</x:v>
      </x:c>
      <x:c r="O155" s="22" t="n">
        <x:v>462</x:v>
      </x:c>
      <x:c r="P155" s="26" t="n">
        <x:f>MAX(0,MIN('01_参数'!$B$20,'02_人物原始合计'!AM155/100,'01_参数'!$B$19+'02_人物原始合计'!AN155/100))</x:f>
        <x:v>0.41</x:v>
      </x:c>
      <x:c r="Q155" s="28" t="n">
        <x:f>((('02_人物原始合计'!E155+('02_人物原始合计'!F155-'02_人物原始合计'!E155)*IF(J155&gt;=12,1,0.5+0.5*MAX(0,J155)/12))*(1+'02_人物原始合计'!Q155/100))*(1+'02_人物原始合计'!U155/100+IF(J155&gt;=15,0.15,0))*(1+'02_人物原始合计'!V155/100)*(1+'02_人物原始合计'!T155)*(1+'02_人物原始合计'!W155*'01_参数'!$B$18)*(1+MAX(0,MIN(1,'02_人物原始合计'!X155/100))*('01_参数'!$B$16+'02_人物原始合计'!Y155/100-1))*(1+MAX(0,MIN(1,'02_人物原始合计'!Z155/100))*('01_参数'!$B$17+'02_人物原始合计'!AA155/100-1))+'02_人物原始合计'!AB155)*N155*'01_参数'!$B$7*'01_参数'!$B$8</x:f>
        <x:v>7512018.296263543</x:v>
      </x:c>
      <x:c r="R155" s="28" t="n">
        <x:f>Q155*'01_参数'!$B$5</x:f>
        <x:v>15024036.592527086</x:v>
      </x:c>
      <x:c r="S155" s="28" t="n">
        <x:f>(('02_人物原始合计'!E155+('02_人物原始合计'!F155-'02_人物原始合计'!E155)*IF(J155&gt;=12,1,0.5+0.5*MAX(0,J155)/12))*(1+'02_人物原始合计'!Q155/100))*(1+'02_人物原始合计'!U155/100+IF(J155&gt;=15,0.15,0))*(1+'02_人物原始合计'!V155/100)*(1+'02_人物原始合计'!T155)*(1+'02_人物原始合计'!W155*'01_参数'!$B$18)*(1+MAX(0,MIN(1,'02_人物原始合计'!X155/100))*('01_参数'!$B$16+'02_人物原始合计'!Y155/100-1))*(1+MAX(0,MIN(1,'02_人物原始合计'!Z155/100))*('01_参数'!$B$17+'02_人物原始合计'!AA155/100-1))*N155*'01_参数'!$B$7*'01_参数'!$B$8*MAX(0,'02_人物原始合计'!AO155/100)</x:f>
        <x:v>525841.280738448</x:v>
      </x:c>
      <x:c r="T155" s="28" t="n">
        <x:f>S155*'01_参数'!$B$6</x:f>
        <x:v>683593.6649599825</x:v>
      </x:c>
      <x:c r="U155" s="28" t="n">
        <x:v>0</x:v>
      </x:c>
      <x:c r="V155" s="28" t="n">
        <x:f>T155+U155</x:f>
        <x:v>683593.6649599825</x:v>
      </x:c>
      <x:c r="W155" s="22" t="n">
        <x:v>14</x:v>
      </x:c>
      <x:c r="X155" s="22" t="n">
        <x:v>163</x:v>
      </x:c>
      <x:c r="Y155" s="22" t="str">
        <x:v>C05G01BOSS强装对照</x:v>
      </x:c>
    </x:row>
    <x:row r="156" ht="24" customHeight="1">
      <x:c r="A156" s="22" t="str">
        <x:v>P0152</x:v>
      </x:c>
      <x:c r="B156" s="22" t="n">
        <x:v>5</x:v>
      </x:c>
      <x:c r="C156" s="22" t="n">
        <x:v>1</x:v>
      </x:c>
      <x:c r="D156" s="22" t="str">
        <x:v>雾月水庭阶段积累后</x:v>
      </x:c>
      <x:c r="E156" s="26" t="n">
        <x:v>0.12972561295868823</x:v>
      </x:c>
      <x:c r="F156" s="22" t="n">
        <x:v>4</x:v>
      </x:c>
      <x:c r="G156" s="22" t="n">
        <x:v>112</x:v>
      </x:c>
      <x:c r="H156" s="22" t="n">
        <x:v>5</x:v>
      </x:c>
      <x:c r="I156" s="22" t="n">
        <x:v>5</x:v>
      </x:c>
      <x:c r="J156" s="22" t="n">
        <x:f>'02_人物原始合计'!AG156+'02_人物原始合计'!AH156</x:f>
        <x:v>15</x:v>
      </x:c>
      <x:c r="K156" s="28" t="n">
        <x:f>'02_人物原始合计'!F156*(1+'02_人物原始合计'!Q156/100)</x:f>
        <x:v>101887.08</x:v>
      </x:c>
      <x:c r="L156" s="28" t="n">
        <x:f>'02_人物原始合计'!K156*(1+'02_人物原始合计'!AV156/100)</x:f>
        <x:v>1711900</x:v>
      </x:c>
      <x:c r="M156" s="22" t="n">
        <x:f>MAX(0,MIN(50,'02_人物原始合计'!AD156,20+MIN(30,'02_人物原始合计'!AE156)))</x:f>
        <x:v>27</x:v>
      </x:c>
      <x:c r="N156" s="22" t="n">
        <x:f>IF(M156=0,1.75,IF(M156=10,2.2,IF(M156=20,2.9,IF(M156=30,4.3,IF(M156=40,8.5,IF(M156=50,14.3,IF(M156&lt;=40,1000/('01_参数'!$B$21-'01_参数'!$B$22*M156),1000/(1000/8.5+(M156-40)/10*(1000/14.3-1000/8.5)))))))))</x:f>
        <x:v>3.7716940913647403</x:v>
      </x:c>
      <x:c r="O156" s="22" t="n">
        <x:v>462</x:v>
      </x:c>
      <x:c r="P156" s="26" t="n">
        <x:f>MAX(0,MIN('01_参数'!$B$20,'02_人物原始合计'!AM156/100,'01_参数'!$B$19+'02_人物原始合计'!AN156/100))</x:f>
        <x:v>0.4</x:v>
      </x:c>
      <x:c r="Q156" s="28" t="n">
        <x:f>((('02_人物原始合计'!E156+('02_人物原始合计'!F156-'02_人物原始合计'!E156)*IF(J156&gt;=12,1,0.5+0.5*MAX(0,J156)/12))*(1+'02_人物原始合计'!Q156/100))*(1+'02_人物原始合计'!U156/100+IF(J156&gt;=15,0.15,0))*(1+'02_人物原始合计'!V156/100)*(1+'02_人物原始合计'!T156)*(1+'02_人物原始合计'!W156*'01_参数'!$B$18)*(1+MAX(0,MIN(1,'02_人物原始合计'!X156/100))*('01_参数'!$B$16+'02_人物原始合计'!Y156/100-1))*(1+MAX(0,MIN(1,'02_人物原始合计'!Z156/100))*('01_参数'!$B$17+'02_人物原始合计'!AA156/100-1))+'02_人物原始合计'!AB156)*N156*'01_参数'!$B$7*'01_参数'!$B$8</x:f>
        <x:v>6168563.847360369</x:v>
      </x:c>
      <x:c r="R156" s="28" t="n">
        <x:f>Q156*'01_参数'!$B$5</x:f>
        <x:v>12337127.694720738</x:v>
      </x:c>
      <x:c r="S156" s="28" t="n">
        <x:f>(('02_人物原始合计'!E156+('02_人物原始合计'!F156-'02_人物原始合计'!E156)*IF(J156&gt;=12,1,0.5+0.5*MAX(0,J156)/12))*(1+'02_人物原始合计'!Q156/100))*(1+'02_人物原始合计'!U156/100+IF(J156&gt;=15,0.15,0))*(1+'02_人物原始合计'!V156/100)*(1+'02_人物原始合计'!T156)*(1+'02_人物原始合计'!W156*'01_参数'!$B$18)*(1+MAX(0,MIN(1,'02_人物原始合计'!X156/100))*('01_参数'!$B$16+'02_人物原始合计'!Y156/100-1))*(1+MAX(0,MIN(1,'02_人物原始合计'!Z156/100))*('01_参数'!$B$17+'02_人物原始合计'!AA156/100-1))*N156*'01_参数'!$B$7*'01_参数'!$B$8*MAX(0,'02_人物原始合计'!AO156/100)</x:f>
        <x:v>308428.19236801844</x:v>
      </x:c>
      <x:c r="T156" s="28" t="n">
        <x:f>S156*'01_参数'!$B$6</x:f>
        <x:v>400956.65007842396</x:v>
      </x:c>
      <x:c r="U156" s="28" t="n">
        <x:v>0</x:v>
      </x:c>
      <x:c r="V156" s="28" t="n">
        <x:f>T156+U156</x:f>
        <x:v>400956.65007842396</x:v>
      </x:c>
      <x:c r="W156" s="22" t="n">
        <x:v>15</x:v>
      </x:c>
      <x:c r="X156" s="22" t="n">
        <x:v>164</x:v>
      </x:c>
      <x:c r="Y156" s="22" t="str">
        <x:v>主线</x:v>
      </x:c>
    </x:row>
    <x:row r="157" ht="24" customHeight="1">
      <x:c r="A157" s="22" t="str">
        <x:v>P0153</x:v>
      </x:c>
      <x:c r="B157" s="22" t="n">
        <x:v>5</x:v>
      </x:c>
      <x:c r="C157" s="22" t="n">
        <x:v>2</x:v>
      </x:c>
      <x:c r="D157" s="22" t="str">
        <x:v>C05G02入场</x:v>
      </x:c>
      <x:c r="E157" s="26" t="n">
        <x:v>0.12972561295868823</x:v>
      </x:c>
      <x:c r="F157" s="22" t="n">
        <x:v>4</x:v>
      </x:c>
      <x:c r="G157" s="22" t="n">
        <x:v>112</x:v>
      </x:c>
      <x:c r="H157" s="22" t="n">
        <x:v>5</x:v>
      </x:c>
      <x:c r="I157" s="22" t="n">
        <x:v>5</x:v>
      </x:c>
      <x:c r="J157" s="22" t="n">
        <x:f>'02_人物原始合计'!AG157+'02_人物原始合计'!AH157</x:f>
        <x:v>15</x:v>
      </x:c>
      <x:c r="K157" s="28" t="n">
        <x:f>'02_人物原始合计'!F157*(1+'02_人物原始合计'!Q157/100)</x:f>
        <x:v>101887.08</x:v>
      </x:c>
      <x:c r="L157" s="28" t="n">
        <x:f>'02_人物原始合计'!K157*(1+'02_人物原始合计'!AV157/100)</x:f>
        <x:v>1711900</x:v>
      </x:c>
      <x:c r="M157" s="22" t="n">
        <x:f>MAX(0,MIN(50,'02_人物原始合计'!AD157,20+MIN(30,'02_人物原始合计'!AE157)))</x:f>
        <x:v>27</x:v>
      </x:c>
      <x:c r="N157" s="22" t="n">
        <x:f>IF(M157=0,1.75,IF(M157=10,2.2,IF(M157=20,2.9,IF(M157=30,4.3,IF(M157=40,8.5,IF(M157=50,14.3,IF(M157&lt;=40,1000/('01_参数'!$B$21-'01_参数'!$B$22*M157),1000/(1000/8.5+(M157-40)/10*(1000/14.3-1000/8.5)))))))))</x:f>
        <x:v>3.7716940913647403</x:v>
      </x:c>
      <x:c r="O157" s="22" t="n">
        <x:v>462</x:v>
      </x:c>
      <x:c r="P157" s="26" t="n">
        <x:f>MAX(0,MIN('01_参数'!$B$20,'02_人物原始合计'!AM157/100,'01_参数'!$B$19+'02_人物原始合计'!AN157/100))</x:f>
        <x:v>0.4</x:v>
      </x:c>
      <x:c r="Q157" s="28" t="n">
        <x:f>((('02_人物原始合计'!E157+('02_人物原始合计'!F157-'02_人物原始合计'!E157)*IF(J157&gt;=12,1,0.5+0.5*MAX(0,J157)/12))*(1+'02_人物原始合计'!Q157/100))*(1+'02_人物原始合计'!U157/100+IF(J157&gt;=15,0.15,0))*(1+'02_人物原始合计'!V157/100)*(1+'02_人物原始合计'!T157)*(1+'02_人物原始合计'!W157*'01_参数'!$B$18)*(1+MAX(0,MIN(1,'02_人物原始合计'!X157/100))*('01_参数'!$B$16+'02_人物原始合计'!Y157/100-1))*(1+MAX(0,MIN(1,'02_人物原始合计'!Z157/100))*('01_参数'!$B$17+'02_人物原始合计'!AA157/100-1))+'02_人物原始合计'!AB157)*N157*'01_参数'!$B$7*'01_参数'!$B$8</x:f>
        <x:v>6168563.847360369</x:v>
      </x:c>
      <x:c r="R157" s="28" t="n">
        <x:f>Q157*'01_参数'!$B$5</x:f>
        <x:v>12337127.694720738</x:v>
      </x:c>
      <x:c r="S157" s="28" t="n">
        <x:f>(('02_人物原始合计'!E157+('02_人物原始合计'!F157-'02_人物原始合计'!E157)*IF(J157&gt;=12,1,0.5+0.5*MAX(0,J157)/12))*(1+'02_人物原始合计'!Q157/100))*(1+'02_人物原始合计'!U157/100+IF(J157&gt;=15,0.15,0))*(1+'02_人物原始合计'!V157/100)*(1+'02_人物原始合计'!T157)*(1+'02_人物原始合计'!W157*'01_参数'!$B$18)*(1+MAX(0,MIN(1,'02_人物原始合计'!X157/100))*('01_参数'!$B$16+'02_人物原始合计'!Y157/100-1))*(1+MAX(0,MIN(1,'02_人物原始合计'!Z157/100))*('01_参数'!$B$17+'02_人物原始合计'!AA157/100-1))*N157*'01_参数'!$B$7*'01_参数'!$B$8*MAX(0,'02_人物原始合计'!AO157/100)</x:f>
        <x:v>308428.19236801844</x:v>
      </x:c>
      <x:c r="T157" s="28" t="n">
        <x:f>S157*'01_参数'!$B$6</x:f>
        <x:v>400956.65007842396</x:v>
      </x:c>
      <x:c r="U157" s="28" t="n">
        <x:v>0</x:v>
      </x:c>
      <x:c r="V157" s="28" t="n">
        <x:f>T157+U157</x:f>
        <x:v>400956.65007842396</x:v>
      </x:c>
      <x:c r="W157" s="22" t="n">
        <x:v>15</x:v>
      </x:c>
      <x:c r="X157" s="22" t="n">
        <x:v>164</x:v>
      </x:c>
      <x:c r="Y157" s="22" t="str">
        <x:v>主线</x:v>
      </x:c>
    </x:row>
    <x:row r="158" ht="24" customHeight="1">
      <x:c r="A158" s="22" t="str">
        <x:v>P0154</x:v>
      </x:c>
      <x:c r="B158" s="22" t="n">
        <x:v>5</x:v>
      </x:c>
      <x:c r="C158" s="22" t="n">
        <x:v>2</x:v>
      </x:c>
      <x:c r="D158" s="22" t="str">
        <x:v>C05G02普通专属4/6</x:v>
      </x:c>
      <x:c r="E158" s="26" t="n">
        <x:v>0.13088043145776768</x:v>
      </x:c>
      <x:c r="F158" s="22" t="n">
        <x:v>4</x:v>
      </x:c>
      <x:c r="G158" s="22" t="n">
        <x:v>112</x:v>
      </x:c>
      <x:c r="H158" s="22" t="n">
        <x:v>5</x:v>
      </x:c>
      <x:c r="I158" s="22" t="n">
        <x:v>5</x:v>
      </x:c>
      <x:c r="J158" s="22" t="n">
        <x:f>'02_人物原始合计'!AG158+'02_人物原始合计'!AH158</x:f>
        <x:v>15</x:v>
      </x:c>
      <x:c r="K158" s="28" t="n">
        <x:f>'02_人物原始合计'!F158*(1+'02_人物原始合计'!Q158/100)</x:f>
        <x:v>102172.87</x:v>
      </x:c>
      <x:c r="L158" s="28" t="n">
        <x:f>'02_人物原始合计'!K158*(1+'02_人物原始合计'!AV158/100)</x:f>
        <x:v>1720000</x:v>
      </x:c>
      <x:c r="M158" s="22" t="n">
        <x:f>MAX(0,MIN(50,'02_人物原始合计'!AD158,20+MIN(30,'02_人物原始合计'!AE158)))</x:f>
        <x:v>27</x:v>
      </x:c>
      <x:c r="N158" s="22" t="n">
        <x:f>IF(M158=0,1.75,IF(M158=10,2.2,IF(M158=20,2.9,IF(M158=30,4.3,IF(M158=40,8.5,IF(M158=50,14.3,IF(M158&lt;=40,1000/('01_参数'!$B$21-'01_参数'!$B$22*M158),1000/(1000/8.5+(M158-40)/10*(1000/14.3-1000/8.5)))))))))</x:f>
        <x:v>3.7716940913647403</x:v>
      </x:c>
      <x:c r="O158" s="22" t="n">
        <x:v>462</x:v>
      </x:c>
      <x:c r="P158" s="26" t="n">
        <x:f>MAX(0,MIN('01_参数'!$B$20,'02_人物原始合计'!AM158/100,'01_参数'!$B$19+'02_人物原始合计'!AN158/100))</x:f>
        <x:v>0.4</x:v>
      </x:c>
      <x:c r="Q158" s="28" t="n">
        <x:f>((('02_人物原始合计'!E158+('02_人物原始合计'!F158-'02_人物原始合计'!E158)*IF(J158&gt;=12,1,0.5+0.5*MAX(0,J158)/12))*(1+'02_人物原始合计'!Q158/100))*(1+'02_人物原始合计'!U158/100+IF(J158&gt;=15,0.15,0))*(1+'02_人物原始合计'!V158/100)*(1+'02_人物原始合计'!T158)*(1+'02_人物原始合计'!W158*'01_参数'!$B$18)*(1+MAX(0,MIN(1,'02_人物原始合计'!X158/100))*('01_参数'!$B$16+'02_人物原始合计'!Y158/100-1))*(1+MAX(0,MIN(1,'02_人物原始合计'!Z158/100))*('01_参数'!$B$17+'02_人物原始合计'!AA158/100-1))+'02_人物原始合计'!AB158)*N158*'01_参数'!$B$7*'01_参数'!$B$8</x:f>
        <x:v>6185866.4716179</x:v>
      </x:c>
      <x:c r="R158" s="28" t="n">
        <x:f>Q158*'01_参数'!$B$5</x:f>
        <x:v>12371732.9432358</x:v>
      </x:c>
      <x:c r="S158" s="28" t="n">
        <x:f>(('02_人物原始合计'!E158+('02_人物原始合计'!F158-'02_人物原始合计'!E158)*IF(J158&gt;=12,1,0.5+0.5*MAX(0,J158)/12))*(1+'02_人物原始合计'!Q158/100))*(1+'02_人物原始合计'!U158/100+IF(J158&gt;=15,0.15,0))*(1+'02_人物原始合计'!V158/100)*(1+'02_人物原始合计'!T158)*(1+'02_人物原始合计'!W158*'01_参数'!$B$18)*(1+MAX(0,MIN(1,'02_人物原始合计'!X158/100))*('01_参数'!$B$16+'02_人物原始合计'!Y158/100-1))*(1+MAX(0,MIN(1,'02_人物原始合计'!Z158/100))*('01_参数'!$B$17+'02_人物原始合计'!AA158/100-1))*N158*'01_参数'!$B$7*'01_参数'!$B$8*MAX(0,'02_人物原始合计'!AO158/100)</x:f>
        <x:v>309293.323580895</x:v>
      </x:c>
      <x:c r="T158" s="28" t="n">
        <x:f>S158*'01_参数'!$B$6</x:f>
        <x:v>402081.32065516355</x:v>
      </x:c>
      <x:c r="U158" s="28" t="n">
        <x:v>0</x:v>
      </x:c>
      <x:c r="V158" s="28" t="n">
        <x:f>T158+U158</x:f>
        <x:v>402081.32065516355</x:v>
      </x:c>
      <x:c r="W158" s="22" t="n">
        <x:v>15</x:v>
      </x:c>
      <x:c r="X158" s="22" t="n">
        <x:v>164</x:v>
      </x:c>
      <x:c r="Y158" s="22" t="str">
        <x:v>主线</x:v>
      </x:c>
    </x:row>
    <x:row r="159" ht="24" customHeight="1">
      <x:c r="A159" s="22" t="str">
        <x:v>P0155</x:v>
      </x:c>
      <x:c r="B159" s="22" t="n">
        <x:v>5</x:v>
      </x:c>
      <x:c r="C159" s="22" t="n">
        <x:v>2</x:v>
      </x:c>
      <x:c r="D159" s="22" t="str">
        <x:v>裂辉古院监挑战前</x:v>
      </x:c>
      <x:c r="E159" s="26" t="n">
        <x:v>0.13088043145776768</x:v>
      </x:c>
      <x:c r="F159" s="22" t="n">
        <x:v>4</x:v>
      </x:c>
      <x:c r="G159" s="22" t="n">
        <x:v>117</x:v>
      </x:c>
      <x:c r="H159" s="22" t="n">
        <x:v>5</x:v>
      </x:c>
      <x:c r="I159" s="22" t="n">
        <x:v>5</x:v>
      </x:c>
      <x:c r="J159" s="22" t="n">
        <x:f>'02_人物原始合计'!AG159+'02_人物原始合计'!AH159</x:f>
        <x:v>15</x:v>
      </x:c>
      <x:c r="K159" s="28" t="n">
        <x:f>'02_人物原始合计'!F159*(1+'02_人物原始合计'!Q159/100)</x:f>
        <x:v>106387.62</x:v>
      </x:c>
      <x:c r="L159" s="28" t="n">
        <x:f>'02_人物原始合计'!K159*(1+'02_人物原始合计'!AV159/100)</x:f>
        <x:v>1777500</x:v>
      </x:c>
      <x:c r="M159" s="22" t="n">
        <x:f>MAX(0,MIN(50,'02_人物原始合计'!AD159,20+MIN(30,'02_人物原始合计'!AE159)))</x:f>
        <x:v>27</x:v>
      </x:c>
      <x:c r="N159" s="22" t="n">
        <x:f>IF(M159=0,1.75,IF(M159=10,2.2,IF(M159=20,2.9,IF(M159=30,4.3,IF(M159=40,8.5,IF(M159=50,14.3,IF(M159&lt;=40,1000/('01_参数'!$B$21-'01_参数'!$B$22*M159),1000/(1000/8.5+(M159-40)/10*(1000/14.3-1000/8.5)))))))))</x:f>
        <x:v>3.7716940913647403</x:v>
      </x:c>
      <x:c r="O159" s="22" t="n">
        <x:v>462</x:v>
      </x:c>
      <x:c r="P159" s="26" t="n">
        <x:f>MAX(0,MIN('01_参数'!$B$20,'02_人物原始合计'!AM159/100,'01_参数'!$B$19+'02_人物原始合计'!AN159/100))</x:f>
        <x:v>0.4</x:v>
      </x:c>
      <x:c r="Q159" s="28" t="n">
        <x:f>((('02_人物原始合计'!E159+('02_人物原始合计'!F159-'02_人物原始合计'!E159)*IF(J159&gt;=12,1,0.5+0.5*MAX(0,J159)/12))*(1+'02_人物原始合计'!Q159/100))*(1+'02_人物原始合计'!U159/100+IF(J159&gt;=15,0.15,0))*(1+'02_人物原始合计'!V159/100)*(1+'02_人物原始合计'!T159)*(1+'02_人物原始合计'!W159*'01_参数'!$B$18)*(1+MAX(0,MIN(1,'02_人物原始合计'!X159/100))*('01_参数'!$B$16+'02_人物原始合计'!Y159/100-1))*(1+MAX(0,MIN(1,'02_人物原始合计'!Z159/100))*('01_参数'!$B$17+'02_人物原始合计'!AA159/100-1))+'02_人物原始合计'!AB159)*N159*'01_参数'!$B$7*'01_参数'!$B$8</x:f>
        <x:v>6441040.675017018</x:v>
      </x:c>
      <x:c r="R159" s="28" t="n">
        <x:f>Q159*'01_参数'!$B$5</x:f>
        <x:v>12882081.350034036</x:v>
      </x:c>
      <x:c r="S159" s="28" t="n">
        <x:f>(('02_人物原始合计'!E159+('02_人物原始合计'!F159-'02_人物原始合计'!E159)*IF(J159&gt;=12,1,0.5+0.5*MAX(0,J159)/12))*(1+'02_人物原始合计'!Q159/100))*(1+'02_人物原始合计'!U159/100+IF(J159&gt;=15,0.15,0))*(1+'02_人物原始合计'!V159/100)*(1+'02_人物原始合计'!T159)*(1+'02_人物原始合计'!W159*'01_参数'!$B$18)*(1+MAX(0,MIN(1,'02_人物原始合计'!X159/100))*('01_参数'!$B$16+'02_人物原始合计'!Y159/100-1))*(1+MAX(0,MIN(1,'02_人物原始合计'!Z159/100))*('01_参数'!$B$17+'02_人物原始合计'!AA159/100-1))*N159*'01_参数'!$B$7*'01_参数'!$B$8*MAX(0,'02_人物原始合计'!AO159/100)</x:f>
        <x:v>322052.03375085094</x:v>
      </x:c>
      <x:c r="T159" s="28" t="n">
        <x:f>S159*'01_参数'!$B$6</x:f>
        <x:v>418667.64387610625</x:v>
      </x:c>
      <x:c r="U159" s="28" t="n">
        <x:v>0</x:v>
      </x:c>
      <x:c r="V159" s="28" t="n">
        <x:f>T159+U159</x:f>
        <x:v>418667.64387610625</x:v>
      </x:c>
      <x:c r="W159" s="22" t="n">
        <x:v>15</x:v>
      </x:c>
      <x:c r="X159" s="22" t="n">
        <x:v>164</x:v>
      </x:c>
      <x:c r="Y159" s="22" t="str">
        <x:v>主线</x:v>
      </x:c>
    </x:row>
    <x:row r="160" ht="24" customHeight="1">
      <x:c r="A160" s="22" t="str">
        <x:v>P0156</x:v>
      </x:c>
      <x:c r="B160" s="22" t="n">
        <x:v>5</x:v>
      </x:c>
      <x:c r="C160" s="22" t="n">
        <x:v>2</x:v>
      </x:c>
      <x:c r="D160" s="22" t="str">
        <x:v>万棱圣坛龙蜥挑战前</x:v>
      </x:c>
      <x:c r="E160" s="26" t="n">
        <x:v>0.13088043145776768</x:v>
      </x:c>
      <x:c r="F160" s="22" t="n">
        <x:v>4</x:v>
      </x:c>
      <x:c r="G160" s="22" t="n">
        <x:v>117</x:v>
      </x:c>
      <x:c r="H160" s="22" t="n">
        <x:v>5</x:v>
      </x:c>
      <x:c r="I160" s="22" t="n">
        <x:v>5</x:v>
      </x:c>
      <x:c r="J160" s="22" t="n">
        <x:f>'02_人物原始合计'!AG160+'02_人物原始合计'!AH160</x:f>
        <x:v>15</x:v>
      </x:c>
      <x:c r="K160" s="28" t="n">
        <x:f>'02_人物原始合计'!F160*(1+'02_人物原始合计'!Q160/100)</x:f>
        <x:v>106387.62</x:v>
      </x:c>
      <x:c r="L160" s="28" t="n">
        <x:f>'02_人物原始合计'!K160*(1+'02_人物原始合计'!AV160/100)</x:f>
        <x:v>1777500</x:v>
      </x:c>
      <x:c r="M160" s="22" t="n">
        <x:f>MAX(0,MIN(50,'02_人物原始合计'!AD160,20+MIN(30,'02_人物原始合计'!AE160)))</x:f>
        <x:v>27</x:v>
      </x:c>
      <x:c r="N160" s="22" t="n">
        <x:f>IF(M160=0,1.75,IF(M160=10,2.2,IF(M160=20,2.9,IF(M160=30,4.3,IF(M160=40,8.5,IF(M160=50,14.3,IF(M160&lt;=40,1000/('01_参数'!$B$21-'01_参数'!$B$22*M160),1000/(1000/8.5+(M160-40)/10*(1000/14.3-1000/8.5)))))))))</x:f>
        <x:v>3.7716940913647403</x:v>
      </x:c>
      <x:c r="O160" s="22" t="n">
        <x:v>462</x:v>
      </x:c>
      <x:c r="P160" s="26" t="n">
        <x:f>MAX(0,MIN('01_参数'!$B$20,'02_人物原始合计'!AM160/100,'01_参数'!$B$19+'02_人物原始合计'!AN160/100))</x:f>
        <x:v>0.4</x:v>
      </x:c>
      <x:c r="Q160" s="28" t="n">
        <x:f>((('02_人物原始合计'!E160+('02_人物原始合计'!F160-'02_人物原始合计'!E160)*IF(J160&gt;=12,1,0.5+0.5*MAX(0,J160)/12))*(1+'02_人物原始合计'!Q160/100))*(1+'02_人物原始合计'!U160/100+IF(J160&gt;=15,0.15,0))*(1+'02_人物原始合计'!V160/100)*(1+'02_人物原始合计'!T160)*(1+'02_人物原始合计'!W160*'01_参数'!$B$18)*(1+MAX(0,MIN(1,'02_人物原始合计'!X160/100))*('01_参数'!$B$16+'02_人物原始合计'!Y160/100-1))*(1+MAX(0,MIN(1,'02_人物原始合计'!Z160/100))*('01_参数'!$B$17+'02_人物原始合计'!AA160/100-1))+'02_人物原始合计'!AB160)*N160*'01_参数'!$B$7*'01_参数'!$B$8</x:f>
        <x:v>6441040.675017018</x:v>
      </x:c>
      <x:c r="R160" s="28" t="n">
        <x:f>Q160*'01_参数'!$B$5</x:f>
        <x:v>12882081.350034036</x:v>
      </x:c>
      <x:c r="S160" s="28" t="n">
        <x:f>(('02_人物原始合计'!E160+('02_人物原始合计'!F160-'02_人物原始合计'!E160)*IF(J160&gt;=12,1,0.5+0.5*MAX(0,J160)/12))*(1+'02_人物原始合计'!Q160/100))*(1+'02_人物原始合计'!U160/100+IF(J160&gt;=15,0.15,0))*(1+'02_人物原始合计'!V160/100)*(1+'02_人物原始合计'!T160)*(1+'02_人物原始合计'!W160*'01_参数'!$B$18)*(1+MAX(0,MIN(1,'02_人物原始合计'!X160/100))*('01_参数'!$B$16+'02_人物原始合计'!Y160/100-1))*(1+MAX(0,MIN(1,'02_人物原始合计'!Z160/100))*('01_参数'!$B$17+'02_人物原始合计'!AA160/100-1))*N160*'01_参数'!$B$7*'01_参数'!$B$8*MAX(0,'02_人物原始合计'!AO160/100)</x:f>
        <x:v>322052.03375085094</x:v>
      </x:c>
      <x:c r="T160" s="28" t="n">
        <x:f>S160*'01_参数'!$B$6</x:f>
        <x:v>418667.64387610625</x:v>
      </x:c>
      <x:c r="U160" s="28" t="n">
        <x:v>0</x:v>
      </x:c>
      <x:c r="V160" s="28" t="n">
        <x:f>T160+U160</x:f>
        <x:v>418667.64387610625</x:v>
      </x:c>
      <x:c r="W160" s="22" t="n">
        <x:v>15</x:v>
      </x:c>
      <x:c r="X160" s="22" t="n">
        <x:v>164</x:v>
      </x:c>
      <x:c r="Y160" s="22" t="str">
        <x:v>主线</x:v>
      </x:c>
    </x:row>
    <x:row r="161" ht="24" customHeight="1">
      <x:c r="A161" s="22" t="str">
        <x:v>P0157</x:v>
      </x:c>
      <x:c r="B161" s="22" t="n">
        <x:v>5</x:v>
      </x:c>
      <x:c r="C161" s="22" t="n">
        <x:v>2</x:v>
      </x:c>
      <x:c r="D161" s="22" t="str">
        <x:v>辉石遗迹BOSS装备快线</x:v>
      </x:c>
      <x:c r="E161" s="26" t="n">
        <x:v>0.1417306564193077</x:v>
      </x:c>
      <x:c r="F161" s="22" t="n">
        <x:v>4</x:v>
      </x:c>
      <x:c r="G161" s="22" t="n">
        <x:v>117</x:v>
      </x:c>
      <x:c r="H161" s="22" t="n">
        <x:v>5</x:v>
      </x:c>
      <x:c r="I161" s="22" t="n">
        <x:v>5</x:v>
      </x:c>
      <x:c r="J161" s="22" t="n">
        <x:f>'02_人物原始合计'!AG161+'02_人物原始合计'!AH161</x:f>
        <x:v>15</x:v>
      </x:c>
      <x:c r="K161" s="28" t="n">
        <x:f>'02_人物原始合计'!F161*(1+'02_人物原始合计'!Q161/100)</x:f>
        <x:v>113382.87999999999</x:v>
      </x:c>
      <x:c r="L161" s="28" t="n">
        <x:f>'02_人物原始合计'!K161*(1+'02_人物原始合计'!AV161/100)</x:f>
        <x:v>1832200</x:v>
      </x:c>
      <x:c r="M161" s="22" t="n">
        <x:f>MAX(0,MIN(50,'02_人物原始合计'!AD161,20+MIN(30,'02_人物原始合计'!AE161)))</x:f>
        <x:v>28</x:v>
      </x:c>
      <x:c r="N161" s="22" t="n">
        <x:f>IF(M161=0,1.75,IF(M161=10,2.2,IF(M161=20,2.9,IF(M161=30,4.3,IF(M161=40,8.5,IF(M161=50,14.3,IF(M161&lt;=40,1000/('01_参数'!$B$21-'01_参数'!$B$22*M161),1000/(1000/8.5+(M161-40)/10*(1000/14.3-1000/8.5)))))))))</x:f>
        <x:v>3.939530631556477</x:v>
      </x:c>
      <x:c r="O161" s="22" t="n">
        <x:v>462</x:v>
      </x:c>
      <x:c r="P161" s="26" t="n">
        <x:f>MAX(0,MIN('01_参数'!$B$20,'02_人物原始合计'!AM161/100,'01_参数'!$B$19+'02_人物原始合计'!AN161/100))</x:f>
        <x:v>0.4</x:v>
      </x:c>
      <x:c r="Q161" s="28" t="n">
        <x:f>((('02_人物原始合计'!E161+('02_人物原始合计'!F161-'02_人物原始合计'!E161)*IF(J161&gt;=12,1,0.5+0.5*MAX(0,J161)/12))*(1+'02_人物原始合计'!Q161/100))*(1+'02_人物原始合计'!U161/100+IF(J161&gt;=15,0.15,0))*(1+'02_人物原始合计'!V161/100)*(1+'02_人物原始合计'!T161)*(1+'02_人物原始合计'!W161*'01_参数'!$B$18)*(1+MAX(0,MIN(1,'02_人物原始合计'!X161/100))*('01_参数'!$B$16+'02_人物原始合计'!Y161/100-1))*(1+MAX(0,MIN(1,'02_人物原始合计'!Z161/100))*('01_参数'!$B$17+'02_人物原始合计'!AA161/100-1))+'02_人物原始合计'!AB161)*N161*'01_参数'!$B$7*'01_参数'!$B$8</x:f>
        <x:v>9236291.847421568</x:v>
      </x:c>
      <x:c r="R161" s="28" t="n">
        <x:f>Q161*'01_参数'!$B$5</x:f>
        <x:v>18472583.694843136</x:v>
      </x:c>
      <x:c r="S161" s="28" t="n">
        <x:f>(('02_人物原始合计'!E161+('02_人物原始合计'!F161-'02_人物原始合计'!E161)*IF(J161&gt;=12,1,0.5+0.5*MAX(0,J161)/12))*(1+'02_人物原始合计'!Q161/100))*(1+'02_人物原始合计'!U161/100+IF(J161&gt;=15,0.15,0))*(1+'02_人物原始合计'!V161/100)*(1+'02_人物原始合计'!T161)*(1+'02_人物原始合计'!W161*'01_参数'!$B$18)*(1+MAX(0,MIN(1,'02_人物原始合计'!X161/100))*('01_参数'!$B$16+'02_人物原始合计'!Y161/100-1))*(1+MAX(0,MIN(1,'02_人物原始合计'!Z161/100))*('01_参数'!$B$17+'02_人物原始合计'!AA161/100-1))*N161*'01_参数'!$B$7*'01_参数'!$B$8*MAX(0,'02_人物原始合计'!AO161/100)</x:f>
        <x:v>646540.4293195098</x:v>
      </x:c>
      <x:c r="T161" s="28" t="n">
        <x:f>S161*'01_参数'!$B$6</x:f>
        <x:v>840502.5581153628</x:v>
      </x:c>
      <x:c r="U161" s="28" t="n">
        <x:v>0</x:v>
      </x:c>
      <x:c r="V161" s="28" t="n">
        <x:f>T161+U161</x:f>
        <x:v>840502.5581153628</x:v>
      </x:c>
      <x:c r="W161" s="22" t="n">
        <x:v>15</x:v>
      </x:c>
      <x:c r="X161" s="22" t="n">
        <x:v>164</x:v>
      </x:c>
      <x:c r="Y161" s="22" t="str">
        <x:v>C05G02BOSS强装对照</x:v>
      </x:c>
    </x:row>
    <x:row r="162" ht="24" customHeight="1">
      <x:c r="A162" s="22" t="str">
        <x:v>P0158</x:v>
      </x:c>
      <x:c r="B162" s="22" t="n">
        <x:v>5</x:v>
      </x:c>
      <x:c r="C162" s="22" t="n">
        <x:v>2</x:v>
      </x:c>
      <x:c r="D162" s="22" t="str">
        <x:v>辉石遗迹阶段积累后</x:v>
      </x:c>
      <x:c r="E162" s="26" t="n">
        <x:v>0.18129709812443429</x:v>
      </x:c>
      <x:c r="F162" s="22" t="n">
        <x:v>4</x:v>
      </x:c>
      <x:c r="G162" s="22" t="n">
        <x:v>117</x:v>
      </x:c>
      <x:c r="H162" s="22" t="n">
        <x:v>5</x:v>
      </x:c>
      <x:c r="I162" s="22" t="n">
        <x:v>5</x:v>
      </x:c>
      <x:c r="J162" s="22" t="n">
        <x:f>'02_人物原始合计'!AG162+'02_人物原始合计'!AH162</x:f>
        <x:v>15</x:v>
      </x:c>
      <x:c r="K162" s="28" t="n">
        <x:f>'02_人物原始合计'!F162*(1+'02_人物原始合计'!Q162/100)</x:f>
        <x:v>134173.25999999998</x:v>
      </x:c>
      <x:c r="L162" s="28" t="n">
        <x:f>'02_人物原始合计'!K162*(1+'02_人物原始合计'!AV162/100)</x:f>
        <x:v>1851900</x:v>
      </x:c>
      <x:c r="M162" s="22" t="n">
        <x:f>MAX(0,MIN(50,'02_人物原始合计'!AD162,20+MIN(30,'02_人物原始合计'!AE162)))</x:f>
        <x:v>27</x:v>
      </x:c>
      <x:c r="N162" s="22" t="n">
        <x:f>IF(M162=0,1.75,IF(M162=10,2.2,IF(M162=20,2.9,IF(M162=30,4.3,IF(M162=40,8.5,IF(M162=50,14.3,IF(M162&lt;=40,1000/('01_参数'!$B$21-'01_参数'!$B$22*M162),1000/(1000/8.5+(M162-40)/10*(1000/14.3-1000/8.5)))))))))</x:f>
        <x:v>3.7716940913647403</x:v>
      </x:c>
      <x:c r="O162" s="22" t="n">
        <x:v>462</x:v>
      </x:c>
      <x:c r="P162" s="26" t="n">
        <x:f>MAX(0,MIN('01_参数'!$B$20,'02_人物原始合计'!AM162/100,'01_参数'!$B$19+'02_人物原始合计'!AN162/100))</x:f>
        <x:v>0.4</x:v>
      </x:c>
      <x:c r="Q162" s="28" t="n">
        <x:f>((('02_人物原始合计'!E162+('02_人物原始合计'!F162-'02_人物原始合计'!E162)*IF(J162&gt;=12,1,0.5+0.5*MAX(0,J162)/12))*(1+'02_人物原始合计'!Q162/100))*(1+'02_人物原始合计'!U162/100+IF(J162&gt;=15,0.15,0))*(1+'02_人物原始合计'!V162/100)*(1+'02_人物原始合计'!T162)*(1+'02_人物原始合计'!W162*'01_参数'!$B$18)*(1+MAX(0,MIN(1,'02_人物原始合计'!X162/100))*('01_参数'!$B$16+'02_人物原始合计'!Y162/100-1))*(1+MAX(0,MIN(1,'02_人物原始合计'!Z162/100))*('01_参数'!$B$17+'02_人物原始合计'!AA162/100-1))+'02_人物原始合计'!AB162)*N162*'01_参数'!$B$7*'01_参数'!$B$8</x:f>
        <x:v>10006813.465886122</x:v>
      </x:c>
      <x:c r="R162" s="28" t="n">
        <x:f>Q162*'01_参数'!$B$5</x:f>
        <x:v>20013626.931772243</x:v>
      </x:c>
      <x:c r="S162" s="28" t="n">
        <x:f>(('02_人物原始合计'!E162+('02_人物原始合计'!F162-'02_人物原始合计'!E162)*IF(J162&gt;=12,1,0.5+0.5*MAX(0,J162)/12))*(1+'02_人物原始合计'!Q162/100))*(1+'02_人物原始合计'!U162/100+IF(J162&gt;=15,0.15,0))*(1+'02_人物原始合计'!V162/100)*(1+'02_人物原始合计'!T162)*(1+'02_人物原始合计'!W162*'01_参数'!$B$18)*(1+MAX(0,MIN(1,'02_人物原始合计'!X162/100))*('01_参数'!$B$16+'02_人物原始合计'!Y162/100-1))*(1+MAX(0,MIN(1,'02_人物原始合计'!Z162/100))*('01_参数'!$B$17+'02_人物原始合计'!AA162/100-1))*N162*'01_参数'!$B$7*'01_参数'!$B$8*MAX(0,'02_人物原始合计'!AO162/100)</x:f>
        <x:v>500340.6732943061</x:v>
      </x:c>
      <x:c r="T162" s="28" t="n">
        <x:f>S162*'01_参数'!$B$6</x:f>
        <x:v>650442.875282598</x:v>
      </x:c>
      <x:c r="U162" s="28" t="n">
        <x:v>0</x:v>
      </x:c>
      <x:c r="V162" s="28" t="n">
        <x:f>T162+U162</x:f>
        <x:v>650442.875282598</x:v>
      </x:c>
      <x:c r="W162" s="22" t="n">
        <x:v>16</x:v>
      </x:c>
      <x:c r="X162" s="22" t="n">
        <x:v>166</x:v>
      </x:c>
      <x:c r="Y162" s="22" t="str">
        <x:v>主线</x:v>
      </x:c>
    </x:row>
    <x:row r="163" ht="24" customHeight="1">
      <x:c r="A163" s="22" t="str">
        <x:v>P0159</x:v>
      </x:c>
      <x:c r="B163" s="22" t="n">
        <x:v>5</x:v>
      </x:c>
      <x:c r="C163" s="22" t="n">
        <x:v>3</x:v>
      </x:c>
      <x:c r="D163" s="22" t="str">
        <x:v>C05G03入场</x:v>
      </x:c>
      <x:c r="E163" s="26" t="n">
        <x:v>0.18129709812443429</x:v>
      </x:c>
      <x:c r="F163" s="22" t="n">
        <x:v>4</x:v>
      </x:c>
      <x:c r="G163" s="22" t="n">
        <x:v>117</x:v>
      </x:c>
      <x:c r="H163" s="22" t="n">
        <x:v>5</x:v>
      </x:c>
      <x:c r="I163" s="22" t="n">
        <x:v>5</x:v>
      </x:c>
      <x:c r="J163" s="22" t="n">
        <x:f>'02_人物原始合计'!AG163+'02_人物原始合计'!AH163</x:f>
        <x:v>15</x:v>
      </x:c>
      <x:c r="K163" s="28" t="n">
        <x:f>'02_人物原始合计'!F163*(1+'02_人物原始合计'!Q163/100)</x:f>
        <x:v>134173.25999999998</x:v>
      </x:c>
      <x:c r="L163" s="28" t="n">
        <x:f>'02_人物原始合计'!K163*(1+'02_人物原始合计'!AV163/100)</x:f>
        <x:v>1851900</x:v>
      </x:c>
      <x:c r="M163" s="22" t="n">
        <x:f>MAX(0,MIN(50,'02_人物原始合计'!AD163,20+MIN(30,'02_人物原始合计'!AE163)))</x:f>
        <x:v>27</x:v>
      </x:c>
      <x:c r="N163" s="22" t="n">
        <x:f>IF(M163=0,1.75,IF(M163=10,2.2,IF(M163=20,2.9,IF(M163=30,4.3,IF(M163=40,8.5,IF(M163=50,14.3,IF(M163&lt;=40,1000/('01_参数'!$B$21-'01_参数'!$B$22*M163),1000/(1000/8.5+(M163-40)/10*(1000/14.3-1000/8.5)))))))))</x:f>
        <x:v>3.7716940913647403</x:v>
      </x:c>
      <x:c r="O163" s="22" t="n">
        <x:v>462</x:v>
      </x:c>
      <x:c r="P163" s="26" t="n">
        <x:f>MAX(0,MIN('01_参数'!$B$20,'02_人物原始合计'!AM163/100,'01_参数'!$B$19+'02_人物原始合计'!AN163/100))</x:f>
        <x:v>0.4</x:v>
      </x:c>
      <x:c r="Q163" s="28" t="n">
        <x:f>((('02_人物原始合计'!E163+('02_人物原始合计'!F163-'02_人物原始合计'!E163)*IF(J163&gt;=12,1,0.5+0.5*MAX(0,J163)/12))*(1+'02_人物原始合计'!Q163/100))*(1+'02_人物原始合计'!U163/100+IF(J163&gt;=15,0.15,0))*(1+'02_人物原始合计'!V163/100)*(1+'02_人物原始合计'!T163)*(1+'02_人物原始合计'!W163*'01_参数'!$B$18)*(1+MAX(0,MIN(1,'02_人物原始合计'!X163/100))*('01_参数'!$B$16+'02_人物原始合计'!Y163/100-1))*(1+MAX(0,MIN(1,'02_人物原始合计'!Z163/100))*('01_参数'!$B$17+'02_人物原始合计'!AA163/100-1))+'02_人物原始合计'!AB163)*N163*'01_参数'!$B$7*'01_参数'!$B$8</x:f>
        <x:v>10006813.465886122</x:v>
      </x:c>
      <x:c r="R163" s="28" t="n">
        <x:f>Q163*'01_参数'!$B$5</x:f>
        <x:v>20013626.931772243</x:v>
      </x:c>
      <x:c r="S163" s="28" t="n">
        <x:f>(('02_人物原始合计'!E163+('02_人物原始合计'!F163-'02_人物原始合计'!E163)*IF(J163&gt;=12,1,0.5+0.5*MAX(0,J163)/12))*(1+'02_人物原始合计'!Q163/100))*(1+'02_人物原始合计'!U163/100+IF(J163&gt;=15,0.15,0))*(1+'02_人物原始合计'!V163/100)*(1+'02_人物原始合计'!T163)*(1+'02_人物原始合计'!W163*'01_参数'!$B$18)*(1+MAX(0,MIN(1,'02_人物原始合计'!X163/100))*('01_参数'!$B$16+'02_人物原始合计'!Y163/100-1))*(1+MAX(0,MIN(1,'02_人物原始合计'!Z163/100))*('01_参数'!$B$17+'02_人物原始合计'!AA163/100-1))*N163*'01_参数'!$B$7*'01_参数'!$B$8*MAX(0,'02_人物原始合计'!AO163/100)</x:f>
        <x:v>500340.6732943061</x:v>
      </x:c>
      <x:c r="T163" s="28" t="n">
        <x:f>S163*'01_参数'!$B$6</x:f>
        <x:v>650442.875282598</x:v>
      </x:c>
      <x:c r="U163" s="28" t="n">
        <x:v>0</x:v>
      </x:c>
      <x:c r="V163" s="28" t="n">
        <x:f>T163+U163</x:f>
        <x:v>650442.875282598</x:v>
      </x:c>
      <x:c r="W163" s="22" t="n">
        <x:v>16</x:v>
      </x:c>
      <x:c r="X163" s="22" t="n">
        <x:v>166</x:v>
      </x:c>
      <x:c r="Y163" s="22" t="str">
        <x:v>主线</x:v>
      </x:c>
    </x:row>
    <x:row r="164" ht="24" customHeight="1">
      <x:c r="A164" s="22" t="str">
        <x:v>P0160</x:v>
      </x:c>
      <x:c r="B164" s="22" t="n">
        <x:v>5</x:v>
      </x:c>
      <x:c r="C164" s="22" t="n">
        <x:v>3</x:v>
      </x:c>
      <x:c r="D164" s="22" t="str">
        <x:v>C05G03普通专属4/6</x:v>
      </x:c>
      <x:c r="E164" s="26" t="n">
        <x:v>0.18154450628090862</x:v>
      </x:c>
      <x:c r="F164" s="22" t="n">
        <x:v>4</x:v>
      </x:c>
      <x:c r="G164" s="22" t="n">
        <x:v>117</x:v>
      </x:c>
      <x:c r="H164" s="22" t="n">
        <x:v>5</x:v>
      </x:c>
      <x:c r="I164" s="22" t="n">
        <x:v>5</x:v>
      </x:c>
      <x:c r="J164" s="22" t="n">
        <x:f>'02_人物原始合计'!AG164+'02_人物原始合计'!AH164</x:f>
        <x:v>15</x:v>
      </x:c>
      <x:c r="K164" s="28" t="n">
        <x:f>'02_人物原始合计'!F164*(1+'02_人物原始合计'!Q164/100)</x:f>
        <x:v>134218.11</x:v>
      </x:c>
      <x:c r="L164" s="28" t="n">
        <x:f>'02_人物原始合计'!K164*(1+'02_人物原始合计'!AV164/100)</x:f>
        <x:v>1854900</x:v>
      </x:c>
      <x:c r="M164" s="22" t="n">
        <x:f>MAX(0,MIN(50,'02_人物原始合计'!AD164,20+MIN(30,'02_人物原始合计'!AE164)))</x:f>
        <x:v>27</x:v>
      </x:c>
      <x:c r="N164" s="22" t="n">
        <x:f>IF(M164=0,1.75,IF(M164=10,2.2,IF(M164=20,2.9,IF(M164=30,4.3,IF(M164=40,8.5,IF(M164=50,14.3,IF(M164&lt;=40,1000/('01_参数'!$B$21-'01_参数'!$B$22*M164),1000/(1000/8.5+(M164-40)/10*(1000/14.3-1000/8.5)))))))))</x:f>
        <x:v>3.7716940913647403</x:v>
      </x:c>
      <x:c r="O164" s="22" t="n">
        <x:v>462</x:v>
      </x:c>
      <x:c r="P164" s="26" t="n">
        <x:f>MAX(0,MIN('01_参数'!$B$20,'02_人物原始合计'!AM164/100,'01_参数'!$B$19+'02_人物原始合计'!AN164/100))</x:f>
        <x:v>0.4</x:v>
      </x:c>
      <x:c r="Q164" s="28" t="n">
        <x:f>((('02_人物原始合计'!E164+('02_人物原始合计'!F164-'02_人物原始合计'!E164)*IF(J164&gt;=12,1,0.5+0.5*MAX(0,J164)/12))*(1+'02_人物原始合计'!Q164/100))*(1+'02_人物原始合计'!U164/100+IF(J164&gt;=15,0.15,0))*(1+'02_人物原始合计'!V164/100)*(1+'02_人物原始合计'!T164)*(1+'02_人物原始合计'!W164*'01_参数'!$B$18)*(1+MAX(0,MIN(1,'02_人物原始合计'!X164/100))*('01_参数'!$B$16+'02_人物原始合计'!Y164/100-1))*(1+MAX(0,MIN(1,'02_人物原始合计'!Z164/100))*('01_参数'!$B$17+'02_人物原始合计'!AA164/100-1))+'02_人物原始合计'!AB164)*N164*'01_参数'!$B$7*'01_参数'!$B$8</x:f>
        <x:v>10040400.606794273</x:v>
      </x:c>
      <x:c r="R164" s="28" t="n">
        <x:f>Q164*'01_参数'!$B$5</x:f>
        <x:v>20080801.213588547</x:v>
      </x:c>
      <x:c r="S164" s="28" t="n">
        <x:f>(('02_人物原始合计'!E164+('02_人物原始合计'!F164-'02_人物原始合计'!E164)*IF(J164&gt;=12,1,0.5+0.5*MAX(0,J164)/12))*(1+'02_人物原始合计'!Q164/100))*(1+'02_人物原始合计'!U164/100+IF(J164&gt;=15,0.15,0))*(1+'02_人物原始合计'!V164/100)*(1+'02_人物原始合计'!T164)*(1+'02_人物原始合计'!W164*'01_参数'!$B$18)*(1+MAX(0,MIN(1,'02_人物原始合计'!X164/100))*('01_参数'!$B$16+'02_人物原始合计'!Y164/100-1))*(1+MAX(0,MIN(1,'02_人物原始合计'!Z164/100))*('01_参数'!$B$17+'02_人物原始合计'!AA164/100-1))*N164*'01_参数'!$B$7*'01_参数'!$B$8*MAX(0,'02_人物原始合计'!AO164/100)</x:f>
        <x:v>502020.0303397137</x:v>
      </x:c>
      <x:c r="T164" s="28" t="n">
        <x:f>S164*'01_参数'!$B$6</x:f>
        <x:v>652626.0394416278</x:v>
      </x:c>
      <x:c r="U164" s="28" t="n">
        <x:v>0</x:v>
      </x:c>
      <x:c r="V164" s="28" t="n">
        <x:f>T164+U164</x:f>
        <x:v>652626.0394416278</x:v>
      </x:c>
      <x:c r="W164" s="22" t="n">
        <x:v>16</x:v>
      </x:c>
      <x:c r="X164" s="22" t="n">
        <x:v>166</x:v>
      </x:c>
      <x:c r="Y164" s="22" t="str">
        <x:v>主线</x:v>
      </x:c>
    </x:row>
    <x:row r="165" ht="24" customHeight="1">
      <x:c r="A165" s="22" t="str">
        <x:v>P0161</x:v>
      </x:c>
      <x:c r="B165" s="22" t="n">
        <x:v>5</x:v>
      </x:c>
      <x:c r="C165" s="22" t="n">
        <x:v>3</x:v>
      </x:c>
      <x:c r="D165" s="22" t="str">
        <x:v>七印讲堂监挑战前</x:v>
      </x:c>
      <x:c r="E165" s="26" t="n">
        <x:v>0.38154450628090864</x:v>
      </x:c>
      <x:c r="F165" s="22" t="n">
        <x:v>5</x:v>
      </x:c>
      <x:c r="G165" s="22" t="n">
        <x:v>122</x:v>
      </x:c>
      <x:c r="H165" s="22" t="n">
        <x:v>5</x:v>
      </x:c>
      <x:c r="I165" s="22" t="n">
        <x:v>5</x:v>
      </x:c>
      <x:c r="J165" s="22" t="n">
        <x:f>'02_人物原始合计'!AG165+'02_人物原始合计'!AH165</x:f>
        <x:v>15</x:v>
      </x:c>
      <x:c r="K165" s="28" t="n">
        <x:f>'02_人物原始合计'!F165*(1+'02_人物原始合计'!Q165/100)</x:f>
        <x:v>157540.11</x:v>
      </x:c>
      <x:c r="L165" s="28" t="n">
        <x:f>'02_人物原始合计'!K165*(1+'02_人物原始合计'!AV165/100)</x:f>
        <x:v>2114900</x:v>
      </x:c>
      <x:c r="M165" s="22" t="n">
        <x:f>MAX(0,MIN(50,'02_人物原始合计'!AD165,20+MIN(30,'02_人物原始合计'!AE165)))</x:f>
        <x:v>27</x:v>
      </x:c>
      <x:c r="N165" s="22" t="n">
        <x:f>IF(M165=0,1.75,IF(M165=10,2.2,IF(M165=20,2.9,IF(M165=30,4.3,IF(M165=40,8.5,IF(M165=50,14.3,IF(M165&lt;=40,1000/('01_参数'!$B$21-'01_参数'!$B$22*M165),1000/(1000/8.5+(M165-40)/10*(1000/14.3-1000/8.5)))))))))</x:f>
        <x:v>3.7716940913647403</x:v>
      </x:c>
      <x:c r="O165" s="22" t="n">
        <x:v>482</x:v>
      </x:c>
      <x:c r="P165" s="26" t="n">
        <x:f>MAX(0,MIN('01_参数'!$B$20,'02_人物原始合计'!AM165/100,'01_参数'!$B$19+'02_人物原始合计'!AN165/100))</x:f>
        <x:v>0.4</x:v>
      </x:c>
      <x:c r="Q165" s="28" t="n">
        <x:f>((('02_人物原始合计'!E165+('02_人物原始合计'!F165-'02_人物原始合计'!E165)*IF(J165&gt;=12,1,0.5+0.5*MAX(0,J165)/12))*(1+'02_人物原始合计'!Q165/100))*(1+'02_人物原始合计'!U165/100+IF(J165&gt;=15,0.15,0))*(1+'02_人物原始合计'!V165/100)*(1+'02_人物原始合计'!T165)*(1+'02_人物原始合计'!W165*'01_参数'!$B$18)*(1+MAX(0,MIN(1,'02_人物原始合计'!X165/100))*('01_参数'!$B$16+'02_人物原始合计'!Y165/100-1))*(1+MAX(0,MIN(1,'02_人物原始合计'!Z165/100))*('01_参数'!$B$17+'02_人物原始合计'!AA165/100-1))+'02_人物原始合计'!AB165)*N165*'01_参数'!$B$7*'01_参数'!$B$8</x:f>
        <x:v>12169248.19843404</x:v>
      </x:c>
      <x:c r="R165" s="28" t="n">
        <x:f>Q165*'01_参数'!$B$5</x:f>
        <x:v>24338496.39686808</x:v>
      </x:c>
      <x:c r="S165" s="28" t="n">
        <x:f>(('02_人物原始合计'!E165+('02_人物原始合计'!F165-'02_人物原始合计'!E165)*IF(J165&gt;=12,1,0.5+0.5*MAX(0,J165)/12))*(1+'02_人物原始合计'!Q165/100))*(1+'02_人物原始合计'!U165/100+IF(J165&gt;=15,0.15,0))*(1+'02_人物原始合计'!V165/100)*(1+'02_人物原始合计'!T165)*(1+'02_人物原始合计'!W165*'01_参数'!$B$18)*(1+MAX(0,MIN(1,'02_人物原始合计'!X165/100))*('01_参数'!$B$16+'02_人物原始合计'!Y165/100-1))*(1+MAX(0,MIN(1,'02_人物原始合计'!Z165/100))*('01_参数'!$B$17+'02_人物原始合计'!AA165/100-1))*N165*'01_参数'!$B$7*'01_参数'!$B$8*MAX(0,'02_人物原始合计'!AO165/100)</x:f>
        <x:v>608462.409921702</x:v>
      </x:c>
      <x:c r="T165" s="28" t="n">
        <x:f>S165*'01_参数'!$B$6</x:f>
        <x:v>791001.1328982126</x:v>
      </x:c>
      <x:c r="U165" s="28" t="n">
        <x:v>0</x:v>
      </x:c>
      <x:c r="V165" s="28" t="n">
        <x:f>T165+U165</x:f>
        <x:v>791001.1328982126</x:v>
      </x:c>
      <x:c r="W165" s="22" t="n">
        <x:v>16</x:v>
      </x:c>
      <x:c r="X165" s="22" t="n">
        <x:v>166</x:v>
      </x:c>
      <x:c r="Y165" s="22" t="str">
        <x:v>主线</x:v>
      </x:c>
    </x:row>
    <x:row r="166" ht="24" customHeight="1">
      <x:c r="A166" s="22" t="str">
        <x:v>P0162</x:v>
      </x:c>
      <x:c r="B166" s="22" t="n">
        <x:v>5</x:v>
      </x:c>
      <x:c r="C166" s="22" t="n">
        <x:v>3</x:v>
      </x:c>
      <x:c r="D166" s="22" t="str">
        <x:v>逆页密室导师挑战前</x:v>
      </x:c>
      <x:c r="E166" s="26" t="n">
        <x:v>0.38154450628090864</x:v>
      </x:c>
      <x:c r="F166" s="22" t="n">
        <x:v>5</x:v>
      </x:c>
      <x:c r="G166" s="22" t="n">
        <x:v>122</x:v>
      </x:c>
      <x:c r="H166" s="22" t="n">
        <x:v>5</x:v>
      </x:c>
      <x:c r="I166" s="22" t="n">
        <x:v>5</x:v>
      </x:c>
      <x:c r="J166" s="22" t="n">
        <x:f>'02_人物原始合计'!AG166+'02_人物原始合计'!AH166</x:f>
        <x:v>15</x:v>
      </x:c>
      <x:c r="K166" s="28" t="n">
        <x:f>'02_人物原始合计'!F166*(1+'02_人物原始合计'!Q166/100)</x:f>
        <x:v>157540.11</x:v>
      </x:c>
      <x:c r="L166" s="28" t="n">
        <x:f>'02_人物原始合计'!K166*(1+'02_人物原始合计'!AV166/100)</x:f>
        <x:v>2114900</x:v>
      </x:c>
      <x:c r="M166" s="22" t="n">
        <x:f>MAX(0,MIN(50,'02_人物原始合计'!AD166,20+MIN(30,'02_人物原始合计'!AE166)))</x:f>
        <x:v>27</x:v>
      </x:c>
      <x:c r="N166" s="22" t="n">
        <x:f>IF(M166=0,1.75,IF(M166=10,2.2,IF(M166=20,2.9,IF(M166=30,4.3,IF(M166=40,8.5,IF(M166=50,14.3,IF(M166&lt;=40,1000/('01_参数'!$B$21-'01_参数'!$B$22*M166),1000/(1000/8.5+(M166-40)/10*(1000/14.3-1000/8.5)))))))))</x:f>
        <x:v>3.7716940913647403</x:v>
      </x:c>
      <x:c r="O166" s="22" t="n">
        <x:v>482</x:v>
      </x:c>
      <x:c r="P166" s="26" t="n">
        <x:f>MAX(0,MIN('01_参数'!$B$20,'02_人物原始合计'!AM166/100,'01_参数'!$B$19+'02_人物原始合计'!AN166/100))</x:f>
        <x:v>0.4</x:v>
      </x:c>
      <x:c r="Q166" s="28" t="n">
        <x:f>((('02_人物原始合计'!E166+('02_人物原始合计'!F166-'02_人物原始合计'!E166)*IF(J166&gt;=12,1,0.5+0.5*MAX(0,J166)/12))*(1+'02_人物原始合计'!Q166/100))*(1+'02_人物原始合计'!U166/100+IF(J166&gt;=15,0.15,0))*(1+'02_人物原始合计'!V166/100)*(1+'02_人物原始合计'!T166)*(1+'02_人物原始合计'!W166*'01_参数'!$B$18)*(1+MAX(0,MIN(1,'02_人物原始合计'!X166/100))*('01_参数'!$B$16+'02_人物原始合计'!Y166/100-1))*(1+MAX(0,MIN(1,'02_人物原始合计'!Z166/100))*('01_参数'!$B$17+'02_人物原始合计'!AA166/100-1))+'02_人物原始合计'!AB166)*N166*'01_参数'!$B$7*'01_参数'!$B$8</x:f>
        <x:v>12169248.19843404</x:v>
      </x:c>
      <x:c r="R166" s="28" t="n">
        <x:f>Q166*'01_参数'!$B$5</x:f>
        <x:v>24338496.39686808</x:v>
      </x:c>
      <x:c r="S166" s="28" t="n">
        <x:f>(('02_人物原始合计'!E166+('02_人物原始合计'!F166-'02_人物原始合计'!E166)*IF(J166&gt;=12,1,0.5+0.5*MAX(0,J166)/12))*(1+'02_人物原始合计'!Q166/100))*(1+'02_人物原始合计'!U166/100+IF(J166&gt;=15,0.15,0))*(1+'02_人物原始合计'!V166/100)*(1+'02_人物原始合计'!T166)*(1+'02_人物原始合计'!W166*'01_参数'!$B$18)*(1+MAX(0,MIN(1,'02_人物原始合计'!X166/100))*('01_参数'!$B$16+'02_人物原始合计'!Y166/100-1))*(1+MAX(0,MIN(1,'02_人物原始合计'!Z166/100))*('01_参数'!$B$17+'02_人物原始合计'!AA166/100-1))*N166*'01_参数'!$B$7*'01_参数'!$B$8*MAX(0,'02_人物原始合计'!AO166/100)</x:f>
        <x:v>608462.409921702</x:v>
      </x:c>
      <x:c r="T166" s="28" t="n">
        <x:f>S166*'01_参数'!$B$6</x:f>
        <x:v>791001.1328982126</x:v>
      </x:c>
      <x:c r="U166" s="28" t="n">
        <x:v>0</x:v>
      </x:c>
      <x:c r="V166" s="28" t="n">
        <x:f>T166+U166</x:f>
        <x:v>791001.1328982126</x:v>
      </x:c>
      <x:c r="W166" s="22" t="n">
        <x:v>16</x:v>
      </x:c>
      <x:c r="X166" s="22" t="n">
        <x:v>166</x:v>
      </x:c>
      <x:c r="Y166" s="22" t="str">
        <x:v>主线</x:v>
      </x:c>
    </x:row>
    <x:row r="167" ht="24" customHeight="1">
      <x:c r="A167" s="22" t="str">
        <x:v>P0163</x:v>
      </x:c>
      <x:c r="B167" s="22" t="n">
        <x:v>5</x:v>
      </x:c>
      <x:c r="C167" s="22" t="n">
        <x:v>3</x:v>
      </x:c>
      <x:c r="D167" s="22" t="str">
        <x:v>学院回廊BOSS装备快线</x:v>
      </x:c>
      <x:c r="E167" s="26" t="n">
        <x:v>0.40056100399147143</x:v>
      </x:c>
      <x:c r="F167" s="22" t="n">
        <x:v>5</x:v>
      </x:c>
      <x:c r="G167" s="22" t="n">
        <x:v>122</x:v>
      </x:c>
      <x:c r="H167" s="22" t="n">
        <x:v>5</x:v>
      </x:c>
      <x:c r="I167" s="22" t="n">
        <x:v>5</x:v>
      </x:c>
      <x:c r="J167" s="22" t="n">
        <x:f>'02_人物原始合计'!AG167+'02_人物原始合计'!AH167</x:f>
        <x:v>15</x:v>
      </x:c>
      <x:c r="K167" s="28" t="n">
        <x:f>'02_人物原始合计'!F167*(1+'02_人物原始合计'!Q167/100)</x:f>
        <x:v>177766.96</x:v>
      </x:c>
      <x:c r="L167" s="28" t="n">
        <x:f>'02_人物原始合计'!K167*(1+'02_人物原始合计'!AV167/100)</x:f>
        <x:v>2193800</x:v>
      </x:c>
      <x:c r="M167" s="22" t="n">
        <x:f>MAX(0,MIN(50,'02_人物原始合计'!AD167,20+MIN(30,'02_人物原始合计'!AE167)))</x:f>
        <x:v>28</x:v>
      </x:c>
      <x:c r="N167" s="22" t="n">
        <x:f>IF(M167=0,1.75,IF(M167=10,2.2,IF(M167=20,2.9,IF(M167=30,4.3,IF(M167=40,8.5,IF(M167=50,14.3,IF(M167&lt;=40,1000/('01_参数'!$B$21-'01_参数'!$B$22*M167),1000/(1000/8.5+(M167-40)/10*(1000/14.3-1000/8.5)))))))))</x:f>
        <x:v>3.939530631556477</x:v>
      </x:c>
      <x:c r="O167" s="22" t="n">
        <x:v>482</x:v>
      </x:c>
      <x:c r="P167" s="26" t="n">
        <x:f>MAX(0,MIN('01_参数'!$B$20,'02_人物原始合计'!AM167/100,'01_参数'!$B$19+'02_人物原始合计'!AN167/100))</x:f>
        <x:v>0.42</x:v>
      </x:c>
      <x:c r="Q167" s="28" t="n">
        <x:f>((('02_人物原始合计'!E167+('02_人物原始合计'!F167-'02_人物原始合计'!E167)*IF(J167&gt;=12,1,0.5+0.5*MAX(0,J167)/12))*(1+'02_人物原始合计'!Q167/100))*(1+'02_人物原始合计'!U167/100+IF(J167&gt;=15,0.15,0))*(1+'02_人物原始合计'!V167/100)*(1+'02_人物原始合计'!T167)*(1+'02_人物原始合计'!W167*'01_参数'!$B$18)*(1+MAX(0,MIN(1,'02_人物原始合计'!X167/100))*('01_参数'!$B$16+'02_人物原始合计'!Y167/100-1))*(1+MAX(0,MIN(1,'02_人物原始合计'!Z167/100))*('01_参数'!$B$17+'02_人物原始合计'!AA167/100-1))+'02_人物原始合计'!AB167)*N167*'01_参数'!$B$7*'01_参数'!$B$8</x:f>
        <x:v>18771577.127215113</x:v>
      </x:c>
      <x:c r="R167" s="28" t="n">
        <x:f>Q167*'01_参数'!$B$5</x:f>
        <x:v>37543154.25443023</x:v>
      </x:c>
      <x:c r="S167" s="28" t="n">
        <x:f>(('02_人物原始合计'!E167+('02_人物原始合计'!F167-'02_人物原始合计'!E167)*IF(J167&gt;=12,1,0.5+0.5*MAX(0,J167)/12))*(1+'02_人物原始合计'!Q167/100))*(1+'02_人物原始合计'!U167/100+IF(J167&gt;=15,0.15,0))*(1+'02_人物原始合计'!V167/100)*(1+'02_人物原始合计'!T167)*(1+'02_人物原始合计'!W167*'01_参数'!$B$18)*(1+MAX(0,MIN(1,'02_人物原始合计'!X167/100))*('01_参数'!$B$16+'02_人物原始合计'!Y167/100-1))*(1+MAX(0,MIN(1,'02_人物原始合计'!Z167/100))*('01_参数'!$B$17+'02_人物原始合计'!AA167/100-1))*N167*'01_参数'!$B$7*'01_参数'!$B$8*MAX(0,'02_人物原始合计'!AO167/100)</x:f>
        <x:v>1314010.3989050582</x:v>
      </x:c>
      <x:c r="T167" s="28" t="n">
        <x:f>S167*'01_参数'!$B$6</x:f>
        <x:v>1708213.5185765757</x:v>
      </x:c>
      <x:c r="U167" s="28" t="n">
        <x:v>0</x:v>
      </x:c>
      <x:c r="V167" s="28" t="n">
        <x:f>T167+U167</x:f>
        <x:v>1708213.5185765757</x:v>
      </x:c>
      <x:c r="W167" s="22" t="n">
        <x:v>16</x:v>
      </x:c>
      <x:c r="X167" s="22" t="n">
        <x:v>166</x:v>
      </x:c>
      <x:c r="Y167" s="22" t="str">
        <x:v>C05G03BOSS强装对照</x:v>
      </x:c>
    </x:row>
    <x:row r="168" ht="24" customHeight="1">
      <x:c r="A168" s="22" t="str">
        <x:v>P0164</x:v>
      </x:c>
      <x:c r="B168" s="22" t="n">
        <x:v>5</x:v>
      </x:c>
      <x:c r="C168" s="22" t="n">
        <x:v>3</x:v>
      </x:c>
      <x:c r="D168" s="22" t="str">
        <x:v>学院回廊阶段积累后</x:v>
      </x:c>
      <x:c r="E168" s="26" t="n">
        <x:v>0.38591950628090865</x:v>
      </x:c>
      <x:c r="F168" s="22" t="n">
        <x:v>5</x:v>
      </x:c>
      <x:c r="G168" s="22" t="n">
        <x:v>122</x:v>
      </x:c>
      <x:c r="H168" s="22" t="n">
        <x:v>5</x:v>
      </x:c>
      <x:c r="I168" s="22" t="n">
        <x:v>5</x:v>
      </x:c>
      <x:c r="J168" s="22" t="n">
        <x:f>'02_人物原始合计'!AG168+'02_人物原始合计'!AH168</x:f>
        <x:v>15</x:v>
      </x:c>
      <x:c r="K168" s="28" t="n">
        <x:f>'02_人物原始合计'!F168*(1+'02_人物原始合计'!Q168/100)</x:f>
        <x:v>157683.62999999998</x:v>
      </x:c>
      <x:c r="L168" s="28" t="n">
        <x:f>'02_人物原始合计'!K168*(1+'02_人物原始合计'!AV168/100)</x:f>
        <x:v>2116500</x:v>
      </x:c>
      <x:c r="M168" s="22" t="n">
        <x:f>MAX(0,MIN(50,'02_人物原始合计'!AD168,20+MIN(30,'02_人物原始合计'!AE168)))</x:f>
        <x:v>27</x:v>
      </x:c>
      <x:c r="N168" s="22" t="n">
        <x:f>IF(M168=0,1.75,IF(M168=10,2.2,IF(M168=20,2.9,IF(M168=30,4.3,IF(M168=40,8.5,IF(M168=50,14.3,IF(M168&lt;=40,1000/('01_参数'!$B$21-'01_参数'!$B$22*M168),1000/(1000/8.5+(M168-40)/10*(1000/14.3-1000/8.5)))))))))</x:f>
        <x:v>3.7716940913647403</x:v>
      </x:c>
      <x:c r="O168" s="22" t="n">
        <x:v>482</x:v>
      </x:c>
      <x:c r="P168" s="26" t="n">
        <x:f>MAX(0,MIN('01_参数'!$B$20,'02_人物原始合计'!AM168/100,'01_参数'!$B$19+'02_人物原始合计'!AN168/100))</x:f>
        <x:v>0.4</x:v>
      </x:c>
      <x:c r="Q168" s="28" t="n">
        <x:f>((('02_人物原始合计'!E168+('02_人物原始合计'!F168-'02_人物原始合计'!E168)*IF(J168&gt;=12,1,0.5+0.5*MAX(0,J168)/12))*(1+'02_人物原始合计'!Q168/100))*(1+'02_人物原始合计'!U168/100+IF(J168&gt;=15,0.15,0))*(1+'02_人物原始合计'!V168/100)*(1+'02_人物原始合计'!T168)*(1+'02_人物原始合计'!W168*'01_参数'!$B$18)*(1+MAX(0,MIN(1,'02_人物原始合计'!X168/100))*('01_参数'!$B$16+'02_人物原始合计'!Y168/100-1))*(1+MAX(0,MIN(1,'02_人物原始合计'!Z168/100))*('01_参数'!$B$17+'02_人物原始合计'!AA168/100-1))+'02_人物原始合计'!AB168)*N168*'01_参数'!$B$7*'01_参数'!$B$8</x:f>
        <x:v>12180334.457682166</x:v>
      </x:c>
      <x:c r="R168" s="28" t="n">
        <x:f>Q168*'01_参数'!$B$5</x:f>
        <x:v>24360668.915364332</x:v>
      </x:c>
      <x:c r="S168" s="28" t="n">
        <x:f>(('02_人物原始合计'!E168+('02_人物原始合计'!F168-'02_人物原始合计'!E168)*IF(J168&gt;=12,1,0.5+0.5*MAX(0,J168)/12))*(1+'02_人物原始合计'!Q168/100))*(1+'02_人物原始合计'!U168/100+IF(J168&gt;=15,0.15,0))*(1+'02_人物原始合计'!V168/100)*(1+'02_人物原始合计'!T168)*(1+'02_人物原始合计'!W168*'01_参数'!$B$18)*(1+MAX(0,MIN(1,'02_人物原始合计'!X168/100))*('01_参数'!$B$16+'02_人物原始合计'!Y168/100-1))*(1+MAX(0,MIN(1,'02_人物原始合计'!Z168/100))*('01_参数'!$B$17+'02_人物原始合计'!AA168/100-1))*N168*'01_参数'!$B$7*'01_参数'!$B$8*MAX(0,'02_人物原始合计'!AO168/100)</x:f>
        <x:v>609016.7228841083</x:v>
      </x:c>
      <x:c r="T168" s="28" t="n">
        <x:f>S168*'01_参数'!$B$6</x:f>
        <x:v>791721.7397493408</x:v>
      </x:c>
      <x:c r="U168" s="28" t="n">
        <x:v>0</x:v>
      </x:c>
      <x:c r="V168" s="28" t="n">
        <x:f>T168+U168</x:f>
        <x:v>791721.7397493408</x:v>
      </x:c>
      <x:c r="W168" s="22" t="n">
        <x:v>16</x:v>
      </x:c>
      <x:c r="X168" s="22" t="n">
        <x:v>167</x:v>
      </x:c>
      <x:c r="Y168" s="22" t="str">
        <x:v>主线</x:v>
      </x:c>
    </x:row>
    <x:row r="169" ht="24" customHeight="1">
      <x:c r="A169" s="22" t="str">
        <x:v>P0165</x:v>
      </x:c>
      <x:c r="B169" s="22" t="n">
        <x:v>5</x:v>
      </x:c>
      <x:c r="C169" s="22" t="n">
        <x:v>4</x:v>
      </x:c>
      <x:c r="D169" s="22" t="str">
        <x:v>C05G04入场</x:v>
      </x:c>
      <x:c r="E169" s="26" t="n">
        <x:v>0.38591950628090865</x:v>
      </x:c>
      <x:c r="F169" s="22" t="n">
        <x:v>5</x:v>
      </x:c>
      <x:c r="G169" s="22" t="n">
        <x:v>122</x:v>
      </x:c>
      <x:c r="H169" s="22" t="n">
        <x:v>5</x:v>
      </x:c>
      <x:c r="I169" s="22" t="n">
        <x:v>5</x:v>
      </x:c>
      <x:c r="J169" s="22" t="n">
        <x:f>'02_人物原始合计'!AG169+'02_人物原始合计'!AH169</x:f>
        <x:v>15</x:v>
      </x:c>
      <x:c r="K169" s="28" t="n">
        <x:f>'02_人物原始合计'!F169*(1+'02_人物原始合计'!Q169/100)</x:f>
        <x:v>157683.62999999998</x:v>
      </x:c>
      <x:c r="L169" s="28" t="n">
        <x:f>'02_人物原始合计'!K169*(1+'02_人物原始合计'!AV169/100)</x:f>
        <x:v>2116500</x:v>
      </x:c>
      <x:c r="M169" s="22" t="n">
        <x:f>MAX(0,MIN(50,'02_人物原始合计'!AD169,20+MIN(30,'02_人物原始合计'!AE169)))</x:f>
        <x:v>27</x:v>
      </x:c>
      <x:c r="N169" s="22" t="n">
        <x:f>IF(M169=0,1.75,IF(M169=10,2.2,IF(M169=20,2.9,IF(M169=30,4.3,IF(M169=40,8.5,IF(M169=50,14.3,IF(M169&lt;=40,1000/('01_参数'!$B$21-'01_参数'!$B$22*M169),1000/(1000/8.5+(M169-40)/10*(1000/14.3-1000/8.5)))))))))</x:f>
        <x:v>3.7716940913647403</x:v>
      </x:c>
      <x:c r="O169" s="22" t="n">
        <x:v>482</x:v>
      </x:c>
      <x:c r="P169" s="26" t="n">
        <x:f>MAX(0,MIN('01_参数'!$B$20,'02_人物原始合计'!AM169/100,'01_参数'!$B$19+'02_人物原始合计'!AN169/100))</x:f>
        <x:v>0.4</x:v>
      </x:c>
      <x:c r="Q169" s="28" t="n">
        <x:f>((('02_人物原始合计'!E169+('02_人物原始合计'!F169-'02_人物原始合计'!E169)*IF(J169&gt;=12,1,0.5+0.5*MAX(0,J169)/12))*(1+'02_人物原始合计'!Q169/100))*(1+'02_人物原始合计'!U169/100+IF(J169&gt;=15,0.15,0))*(1+'02_人物原始合计'!V169/100)*(1+'02_人物原始合计'!T169)*(1+'02_人物原始合计'!W169*'01_参数'!$B$18)*(1+MAX(0,MIN(1,'02_人物原始合计'!X169/100))*('01_参数'!$B$16+'02_人物原始合计'!Y169/100-1))*(1+MAX(0,MIN(1,'02_人物原始合计'!Z169/100))*('01_参数'!$B$17+'02_人物原始合计'!AA169/100-1))+'02_人物原始合计'!AB169)*N169*'01_参数'!$B$7*'01_参数'!$B$8</x:f>
        <x:v>12180334.457682166</x:v>
      </x:c>
      <x:c r="R169" s="28" t="n">
        <x:f>Q169*'01_参数'!$B$5</x:f>
        <x:v>24360668.915364332</x:v>
      </x:c>
      <x:c r="S169" s="28" t="n">
        <x:f>(('02_人物原始合计'!E169+('02_人物原始合计'!F169-'02_人物原始合计'!E169)*IF(J169&gt;=12,1,0.5+0.5*MAX(0,J169)/12))*(1+'02_人物原始合计'!Q169/100))*(1+'02_人物原始合计'!U169/100+IF(J169&gt;=15,0.15,0))*(1+'02_人物原始合计'!V169/100)*(1+'02_人物原始合计'!T169)*(1+'02_人物原始合计'!W169*'01_参数'!$B$18)*(1+MAX(0,MIN(1,'02_人物原始合计'!X169/100))*('01_参数'!$B$16+'02_人物原始合计'!Y169/100-1))*(1+MAX(0,MIN(1,'02_人物原始合计'!Z169/100))*('01_参数'!$B$17+'02_人物原始合计'!AA169/100-1))*N169*'01_参数'!$B$7*'01_参数'!$B$8*MAX(0,'02_人物原始合计'!AO169/100)</x:f>
        <x:v>609016.7228841083</x:v>
      </x:c>
      <x:c r="T169" s="28" t="n">
        <x:f>S169*'01_参数'!$B$6</x:f>
        <x:v>791721.7397493408</x:v>
      </x:c>
      <x:c r="U169" s="28" t="n">
        <x:v>0</x:v>
      </x:c>
      <x:c r="V169" s="28" t="n">
        <x:f>T169+U169</x:f>
        <x:v>791721.7397493408</x:v>
      </x:c>
      <x:c r="W169" s="22" t="n">
        <x:v>16</x:v>
      </x:c>
      <x:c r="X169" s="22" t="n">
        <x:v>167</x:v>
      </x:c>
      <x:c r="Y169" s="22" t="str">
        <x:v>主线</x:v>
      </x:c>
    </x:row>
    <x:row r="170" ht="24" customHeight="1">
      <x:c r="A170" s="22" t="str">
        <x:v>P0166</x:v>
      </x:c>
      <x:c r="B170" s="22" t="n">
        <x:v>5</x:v>
      </x:c>
      <x:c r="C170" s="22" t="n">
        <x:v>4</x:v>
      </x:c>
      <x:c r="D170" s="22" t="str">
        <x:v>C05G04普通专属4/6</x:v>
      </x:c>
      <x:c r="E170" s="26" t="n">
        <x:v>0.38591950628090865</x:v>
      </x:c>
      <x:c r="F170" s="22" t="n">
        <x:v>5</x:v>
      </x:c>
      <x:c r="G170" s="22" t="n">
        <x:v>122</x:v>
      </x:c>
      <x:c r="H170" s="22" t="n">
        <x:v>5</x:v>
      </x:c>
      <x:c r="I170" s="22" t="n">
        <x:v>5</x:v>
      </x:c>
      <x:c r="J170" s="22" t="n">
        <x:f>'02_人物原始合计'!AG170+'02_人物原始合计'!AH170</x:f>
        <x:v>15</x:v>
      </x:c>
      <x:c r="K170" s="28" t="n">
        <x:f>'02_人物原始合计'!F170*(1+'02_人物原始合计'!Q170/100)</x:f>
        <x:v>157683.62999999998</x:v>
      </x:c>
      <x:c r="L170" s="28" t="n">
        <x:f>'02_人物原始合计'!K170*(1+'02_人物原始合计'!AV170/100)</x:f>
        <x:v>2116500</x:v>
      </x:c>
      <x:c r="M170" s="22" t="n">
        <x:f>MAX(0,MIN(50,'02_人物原始合计'!AD170,20+MIN(30,'02_人物原始合计'!AE170)))</x:f>
        <x:v>27</x:v>
      </x:c>
      <x:c r="N170" s="22" t="n">
        <x:f>IF(M170=0,1.75,IF(M170=10,2.2,IF(M170=20,2.9,IF(M170=30,4.3,IF(M170=40,8.5,IF(M170=50,14.3,IF(M170&lt;=40,1000/('01_参数'!$B$21-'01_参数'!$B$22*M170),1000/(1000/8.5+(M170-40)/10*(1000/14.3-1000/8.5)))))))))</x:f>
        <x:v>3.7716940913647403</x:v>
      </x:c>
      <x:c r="O170" s="22" t="n">
        <x:v>482</x:v>
      </x:c>
      <x:c r="P170" s="26" t="n">
        <x:f>MAX(0,MIN('01_参数'!$B$20,'02_人物原始合计'!AM170/100,'01_参数'!$B$19+'02_人物原始合计'!AN170/100))</x:f>
        <x:v>0.4</x:v>
      </x:c>
      <x:c r="Q170" s="28" t="n">
        <x:f>((('02_人物原始合计'!E170+('02_人物原始合计'!F170-'02_人物原始合计'!E170)*IF(J170&gt;=12,1,0.5+0.5*MAX(0,J170)/12))*(1+'02_人物原始合计'!Q170/100))*(1+'02_人物原始合计'!U170/100+IF(J170&gt;=15,0.15,0))*(1+'02_人物原始合计'!V170/100)*(1+'02_人物原始合计'!T170)*(1+'02_人物原始合计'!W170*'01_参数'!$B$18)*(1+MAX(0,MIN(1,'02_人物原始合计'!X170/100))*('01_参数'!$B$16+'02_人物原始合计'!Y170/100-1))*(1+MAX(0,MIN(1,'02_人物原始合计'!Z170/100))*('01_参数'!$B$17+'02_人物原始合计'!AA170/100-1))+'02_人物原始合计'!AB170)*N170*'01_参数'!$B$7*'01_参数'!$B$8</x:f>
        <x:v>12180334.457682166</x:v>
      </x:c>
      <x:c r="R170" s="28" t="n">
        <x:f>Q170*'01_参数'!$B$5</x:f>
        <x:v>24360668.915364332</x:v>
      </x:c>
      <x:c r="S170" s="28" t="n">
        <x:f>(('02_人物原始合计'!E170+('02_人物原始合计'!F170-'02_人物原始合计'!E170)*IF(J170&gt;=12,1,0.5+0.5*MAX(0,J170)/12))*(1+'02_人物原始合计'!Q170/100))*(1+'02_人物原始合计'!U170/100+IF(J170&gt;=15,0.15,0))*(1+'02_人物原始合计'!V170/100)*(1+'02_人物原始合计'!T170)*(1+'02_人物原始合计'!W170*'01_参数'!$B$18)*(1+MAX(0,MIN(1,'02_人物原始合计'!X170/100))*('01_参数'!$B$16+'02_人物原始合计'!Y170/100-1))*(1+MAX(0,MIN(1,'02_人物原始合计'!Z170/100))*('01_参数'!$B$17+'02_人物原始合计'!AA170/100-1))*N170*'01_参数'!$B$7*'01_参数'!$B$8*MAX(0,'02_人物原始合计'!AO170/100)</x:f>
        <x:v>609016.7228841083</x:v>
      </x:c>
      <x:c r="T170" s="28" t="n">
        <x:f>S170*'01_参数'!$B$6</x:f>
        <x:v>791721.7397493408</x:v>
      </x:c>
      <x:c r="U170" s="28" t="n">
        <x:v>0</x:v>
      </x:c>
      <x:c r="V170" s="28" t="n">
        <x:f>T170+U170</x:f>
        <x:v>791721.7397493408</x:v>
      </x:c>
      <x:c r="W170" s="22" t="n">
        <x:v>16</x:v>
      </x:c>
      <x:c r="X170" s="22" t="n">
        <x:v>167</x:v>
      </x:c>
      <x:c r="Y170" s="22" t="str">
        <x:v>主线</x:v>
      </x:c>
    </x:row>
    <x:row r="171" ht="24" customHeight="1">
      <x:c r="A171" s="22" t="str">
        <x:v>P0167</x:v>
      </x:c>
      <x:c r="B171" s="22" t="n">
        <x:v>5</x:v>
      </x:c>
      <x:c r="C171" s="22" t="n">
        <x:v>4</x:v>
      </x:c>
      <x:c r="D171" s="22" t="str">
        <x:v>无声禁典司挑战前</x:v>
      </x:c>
      <x:c r="E171" s="26" t="n">
        <x:v>0.38591950628090865</x:v>
      </x:c>
      <x:c r="F171" s="22" t="n">
        <x:v>5</x:v>
      </x:c>
      <x:c r="G171" s="22" t="n">
        <x:v>127</x:v>
      </x:c>
      <x:c r="H171" s="22" t="n">
        <x:v>5</x:v>
      </x:c>
      <x:c r="I171" s="22" t="n">
        <x:v>5</x:v>
      </x:c>
      <x:c r="J171" s="22" t="n">
        <x:f>'02_人物原始合计'!AG171+'02_人物原始合计'!AH171</x:f>
        <x:v>15</x:v>
      </x:c>
      <x:c r="K171" s="28" t="n">
        <x:f>'02_人物原始合计'!F171*(1+'02_人物原始合计'!Q171/100)</x:f>
        <x:v>163334.72999999998</x:v>
      </x:c>
      <x:c r="L171" s="28" t="n">
        <x:f>'02_人物原始合计'!K171*(1+'02_人物原始合计'!AV171/100)</x:f>
        <x:v>2179400</x:v>
      </x:c>
      <x:c r="M171" s="22" t="n">
        <x:f>MAX(0,MIN(50,'02_人物原始合计'!AD171,20+MIN(30,'02_人物原始合计'!AE171)))</x:f>
        <x:v>27</x:v>
      </x:c>
      <x:c r="N171" s="22" t="n">
        <x:f>IF(M171=0,1.75,IF(M171=10,2.2,IF(M171=20,2.9,IF(M171=30,4.3,IF(M171=40,8.5,IF(M171=50,14.3,IF(M171&lt;=40,1000/('01_参数'!$B$21-'01_参数'!$B$22*M171),1000/(1000/8.5+(M171-40)/10*(1000/14.3-1000/8.5)))))))))</x:f>
        <x:v>3.7716940913647403</x:v>
      </x:c>
      <x:c r="O171" s="22" t="n">
        <x:v>482</x:v>
      </x:c>
      <x:c r="P171" s="26" t="n">
        <x:f>MAX(0,MIN('01_参数'!$B$20,'02_人物原始合计'!AM171/100,'01_参数'!$B$19+'02_人物原始合计'!AN171/100))</x:f>
        <x:v>0.4</x:v>
      </x:c>
      <x:c r="Q171" s="28" t="n">
        <x:f>((('02_人物原始合计'!E171+('02_人物原始合计'!F171-'02_人物原始合计'!E171)*IF(J171&gt;=12,1,0.5+0.5*MAX(0,J171)/12))*(1+'02_人物原始合计'!Q171/100))*(1+'02_人物原始合计'!U171/100+IF(J171&gt;=15,0.15,0))*(1+'02_人物原始合计'!V171/100)*(1+'02_人物原始合计'!T171)*(1+'02_人物原始合计'!W171*'01_参数'!$B$18)*(1+MAX(0,MIN(1,'02_人物原始合计'!X171/100))*('01_参数'!$B$16+'02_人物原始合计'!Y171/100-1))*(1+MAX(0,MIN(1,'02_人物原始合计'!Z171/100))*('01_参数'!$B$17+'02_人物原始合计'!AA171/100-1))+'02_人物原始合计'!AB171)*N171*'01_参数'!$B$7*'01_参数'!$B$8</x:f>
        <x:v>12616855.915577373</x:v>
      </x:c>
      <x:c r="R171" s="28" t="n">
        <x:f>Q171*'01_参数'!$B$5</x:f>
        <x:v>25233711.831154745</x:v>
      </x:c>
      <x:c r="S171" s="28" t="n">
        <x:f>(('02_人物原始合计'!E171+('02_人物原始合计'!F171-'02_人物原始合计'!E171)*IF(J171&gt;=12,1,0.5+0.5*MAX(0,J171)/12))*(1+'02_人物原始合计'!Q171/100))*(1+'02_人物原始合计'!U171/100+IF(J171&gt;=15,0.15,0))*(1+'02_人物原始合计'!V171/100)*(1+'02_人物原始合计'!T171)*(1+'02_人物原始合计'!W171*'01_参数'!$B$18)*(1+MAX(0,MIN(1,'02_人物原始合计'!X171/100))*('01_参数'!$B$16+'02_人物原始合计'!Y171/100-1))*(1+MAX(0,MIN(1,'02_人物原始合计'!Z171/100))*('01_参数'!$B$17+'02_人物原始合计'!AA171/100-1))*N171*'01_参数'!$B$7*'01_参数'!$B$8*MAX(0,'02_人物原始合计'!AO171/100)</x:f>
        <x:v>630842.7957788687</x:v>
      </x:c>
      <x:c r="T171" s="28" t="n">
        <x:f>S171*'01_参数'!$B$6</x:f>
        <x:v>820095.6345125294</x:v>
      </x:c>
      <x:c r="U171" s="28" t="n">
        <x:v>0</x:v>
      </x:c>
      <x:c r="V171" s="28" t="n">
        <x:f>T171+U171</x:f>
        <x:v>820095.6345125294</x:v>
      </x:c>
      <x:c r="W171" s="22" t="n">
        <x:v>16</x:v>
      </x:c>
      <x:c r="X171" s="22" t="n">
        <x:v>167</x:v>
      </x:c>
      <x:c r="Y171" s="22" t="str">
        <x:v>主线</x:v>
      </x:c>
    </x:row>
    <x:row r="172" ht="24" customHeight="1">
      <x:c r="A172" s="22" t="str">
        <x:v>P0168</x:v>
      </x:c>
      <x:c r="B172" s="22" t="n">
        <x:v>5</x:v>
      </x:c>
      <x:c r="C172" s="22" t="n">
        <x:v>4</x:v>
      </x:c>
      <x:c r="D172" s="22" t="str">
        <x:v>满月万卷君挑战前</x:v>
      </x:c>
      <x:c r="E172" s="26" t="n">
        <x:v>0.38591950628090865</x:v>
      </x:c>
      <x:c r="F172" s="22" t="n">
        <x:v>5</x:v>
      </x:c>
      <x:c r="G172" s="22" t="n">
        <x:v>127</x:v>
      </x:c>
      <x:c r="H172" s="22" t="n">
        <x:v>5</x:v>
      </x:c>
      <x:c r="I172" s="22" t="n">
        <x:v>5</x:v>
      </x:c>
      <x:c r="J172" s="22" t="n">
        <x:f>'02_人物原始合计'!AG172+'02_人物原始合计'!AH172</x:f>
        <x:v>15</x:v>
      </x:c>
      <x:c r="K172" s="28" t="n">
        <x:f>'02_人物原始合计'!F172*(1+'02_人物原始合计'!Q172/100)</x:f>
        <x:v>163334.72999999998</x:v>
      </x:c>
      <x:c r="L172" s="28" t="n">
        <x:f>'02_人物原始合计'!K172*(1+'02_人物原始合计'!AV172/100)</x:f>
        <x:v>2179400</x:v>
      </x:c>
      <x:c r="M172" s="22" t="n">
        <x:f>MAX(0,MIN(50,'02_人物原始合计'!AD172,20+MIN(30,'02_人物原始合计'!AE172)))</x:f>
        <x:v>27</x:v>
      </x:c>
      <x:c r="N172" s="22" t="n">
        <x:f>IF(M172=0,1.75,IF(M172=10,2.2,IF(M172=20,2.9,IF(M172=30,4.3,IF(M172=40,8.5,IF(M172=50,14.3,IF(M172&lt;=40,1000/('01_参数'!$B$21-'01_参数'!$B$22*M172),1000/(1000/8.5+(M172-40)/10*(1000/14.3-1000/8.5)))))))))</x:f>
        <x:v>3.7716940913647403</x:v>
      </x:c>
      <x:c r="O172" s="22" t="n">
        <x:v>482</x:v>
      </x:c>
      <x:c r="P172" s="26" t="n">
        <x:f>MAX(0,MIN('01_参数'!$B$20,'02_人物原始合计'!AM172/100,'01_参数'!$B$19+'02_人物原始合计'!AN172/100))</x:f>
        <x:v>0.4</x:v>
      </x:c>
      <x:c r="Q172" s="28" t="n">
        <x:f>((('02_人物原始合计'!E172+('02_人物原始合计'!F172-'02_人物原始合计'!E172)*IF(J172&gt;=12,1,0.5+0.5*MAX(0,J172)/12))*(1+'02_人物原始合计'!Q172/100))*(1+'02_人物原始合计'!U172/100+IF(J172&gt;=15,0.15,0))*(1+'02_人物原始合计'!V172/100)*(1+'02_人物原始合计'!T172)*(1+'02_人物原始合计'!W172*'01_参数'!$B$18)*(1+MAX(0,MIN(1,'02_人物原始合计'!X172/100))*('01_参数'!$B$16+'02_人物原始合计'!Y172/100-1))*(1+MAX(0,MIN(1,'02_人物原始合计'!Z172/100))*('01_参数'!$B$17+'02_人物原始合计'!AA172/100-1))+'02_人物原始合计'!AB172)*N172*'01_参数'!$B$7*'01_参数'!$B$8</x:f>
        <x:v>12616855.915577373</x:v>
      </x:c>
      <x:c r="R172" s="28" t="n">
        <x:f>Q172*'01_参数'!$B$5</x:f>
        <x:v>25233711.831154745</x:v>
      </x:c>
      <x:c r="S172" s="28" t="n">
        <x:f>(('02_人物原始合计'!E172+('02_人物原始合计'!F172-'02_人物原始合计'!E172)*IF(J172&gt;=12,1,0.5+0.5*MAX(0,J172)/12))*(1+'02_人物原始合计'!Q172/100))*(1+'02_人物原始合计'!U172/100+IF(J172&gt;=15,0.15,0))*(1+'02_人物原始合计'!V172/100)*(1+'02_人物原始合计'!T172)*(1+'02_人物原始合计'!W172*'01_参数'!$B$18)*(1+MAX(0,MIN(1,'02_人物原始合计'!X172/100))*('01_参数'!$B$16+'02_人物原始合计'!Y172/100-1))*(1+MAX(0,MIN(1,'02_人物原始合计'!Z172/100))*('01_参数'!$B$17+'02_人物原始合计'!AA172/100-1))*N172*'01_参数'!$B$7*'01_参数'!$B$8*MAX(0,'02_人物原始合计'!AO172/100)</x:f>
        <x:v>630842.7957788687</x:v>
      </x:c>
      <x:c r="T172" s="28" t="n">
        <x:f>S172*'01_参数'!$B$6</x:f>
        <x:v>820095.6345125294</x:v>
      </x:c>
      <x:c r="U172" s="28" t="n">
        <x:v>0</x:v>
      </x:c>
      <x:c r="V172" s="28" t="n">
        <x:f>T172+U172</x:f>
        <x:v>820095.6345125294</x:v>
      </x:c>
      <x:c r="W172" s="22" t="n">
        <x:v>16</x:v>
      </x:c>
      <x:c r="X172" s="22" t="n">
        <x:v>167</x:v>
      </x:c>
      <x:c r="Y172" s="22" t="str">
        <x:v>主线</x:v>
      </x:c>
    </x:row>
    <x:row r="173" ht="24" customHeight="1">
      <x:c r="A173" s="22" t="str">
        <x:v>P0169</x:v>
      </x:c>
      <x:c r="B173" s="22" t="n">
        <x:v>5</x:v>
      </x:c>
      <x:c r="C173" s="22" t="n">
        <x:v>4</x:v>
      </x:c>
      <x:c r="D173" s="22" t="str">
        <x:v>满月书库BOSS装备快线</x:v>
      </x:c>
      <x:c r="E173" s="26" t="n">
        <x:v>0.38853237650853983</x:v>
      </x:c>
      <x:c r="F173" s="22" t="n">
        <x:v>5</x:v>
      </x:c>
      <x:c r="G173" s="22" t="n">
        <x:v>127</x:v>
      </x:c>
      <x:c r="H173" s="22" t="n">
        <x:v>5</x:v>
      </x:c>
      <x:c r="I173" s="22" t="n">
        <x:v>5</x:v>
      </x:c>
      <x:c r="J173" s="22" t="n">
        <x:f>'02_人物原始合计'!AG173+'02_人物原始合计'!AH173</x:f>
        <x:v>15</x:v>
      </x:c>
      <x:c r="K173" s="28" t="n">
        <x:f>'02_人物原始合计'!F173*(1+'02_人物原始合计'!Q173/100)</x:f>
        <x:v>166829.76</x:v>
      </x:c>
      <x:c r="L173" s="28" t="n">
        <x:f>'02_人物原始合计'!K173*(1+'02_人物原始合计'!AV173/100)</x:f>
        <x:v>2208400</x:v>
      </x:c>
      <x:c r="M173" s="22" t="n">
        <x:f>MAX(0,MIN(50,'02_人物原始合计'!AD173,20+MIN(30,'02_人物原始合计'!AE173)))</x:f>
        <x:v>28</x:v>
      </x:c>
      <x:c r="N173" s="22" t="n">
        <x:f>IF(M173=0,1.75,IF(M173=10,2.2,IF(M173=20,2.9,IF(M173=30,4.3,IF(M173=40,8.5,IF(M173=50,14.3,IF(M173&lt;=40,1000/('01_参数'!$B$21-'01_参数'!$B$22*M173),1000/(1000/8.5+(M173-40)/10*(1000/14.3-1000/8.5)))))))))</x:f>
        <x:v>3.939530631556477</x:v>
      </x:c>
      <x:c r="O173" s="22" t="n">
        <x:v>482</x:v>
      </x:c>
      <x:c r="P173" s="26" t="n">
        <x:f>MAX(0,MIN('01_参数'!$B$20,'02_人物原始合计'!AM173/100,'01_参数'!$B$19+'02_人物原始合计'!AN173/100))</x:f>
        <x:v>0.4</x:v>
      </x:c>
      <x:c r="Q173" s="28" t="n">
        <x:f>((('02_人物原始合计'!E173+('02_人物原始合计'!F173-'02_人物原始合计'!E173)*IF(J173&gt;=12,1,0.5+0.5*MAX(0,J173)/12))*(1+'02_人物原始合计'!Q173/100))*(1+'02_人物原始合计'!U173/100+IF(J173&gt;=15,0.15,0))*(1+'02_人物原始合计'!V173/100)*(1+'02_人物原始合计'!T173)*(1+'02_人物原始合计'!W173*'01_参数'!$B$18)*(1+MAX(0,MIN(1,'02_人物原始合计'!X173/100))*('01_参数'!$B$16+'02_人物原始合计'!Y173/100-1))*(1+MAX(0,MIN(1,'02_人物原始合计'!Z173/100))*('01_参数'!$B$17+'02_人物原始合计'!AA173/100-1))+'02_人物原始合计'!AB173)*N173*'01_参数'!$B$7*'01_参数'!$B$8</x:f>
        <x:v>16319494.778345559</x:v>
      </x:c>
      <x:c r="R173" s="28" t="n">
        <x:f>Q173*'01_参数'!$B$5</x:f>
        <x:v>32638989.556691118</x:v>
      </x:c>
      <x:c r="S173" s="28" t="n">
        <x:f>(('02_人物原始合计'!E173+('02_人物原始合计'!F173-'02_人物原始合计'!E173)*IF(J173&gt;=12,1,0.5+0.5*MAX(0,J173)/12))*(1+'02_人物原始合计'!Q173/100))*(1+'02_人物原始合计'!U173/100+IF(J173&gt;=15,0.15,0))*(1+'02_人物原始合计'!V173/100)*(1+'02_人物原始合计'!T173)*(1+'02_人物原始合计'!W173*'01_参数'!$B$18)*(1+MAX(0,MIN(1,'02_人物原始合计'!X173/100))*('01_参数'!$B$16+'02_人物原始合计'!Y173/100-1))*(1+MAX(0,MIN(1,'02_人物原始合计'!Z173/100))*('01_参数'!$B$17+'02_人物原始合计'!AA173/100-1))*N173*'01_参数'!$B$7*'01_参数'!$B$8*MAX(0,'02_人物原始合计'!AO173/100)</x:f>
        <x:v>1142364.6344841893</x:v>
      </x:c>
      <x:c r="T173" s="28" t="n">
        <x:f>S173*'01_参数'!$B$6</x:f>
        <x:v>1485074.024829446</x:v>
      </x:c>
      <x:c r="U173" s="28" t="n">
        <x:v>0</x:v>
      </x:c>
      <x:c r="V173" s="28" t="n">
        <x:f>T173+U173</x:f>
        <x:v>1485074.024829446</x:v>
      </x:c>
      <x:c r="W173" s="22" t="n">
        <x:v>16</x:v>
      </x:c>
      <x:c r="X173" s="22" t="n">
        <x:v>167</x:v>
      </x:c>
      <x:c r="Y173" s="22" t="str">
        <x:v>C05G04BOSS强装对照</x:v>
      </x:c>
    </x:row>
    <x:row r="174" ht="24" customHeight="1">
      <x:c r="A174" s="22" t="str">
        <x:v>P0170</x:v>
      </x:c>
      <x:c r="B174" s="22" t="n">
        <x:v>5</x:v>
      </x:c>
      <x:c r="C174" s="22" t="n">
        <x:v>4</x:v>
      </x:c>
      <x:c r="D174" s="22" t="str">
        <x:v>满月书库阶段积累后</x:v>
      </x:c>
      <x:c r="E174" s="26" t="n">
        <x:v>0.39466950628090863</x:v>
      </x:c>
      <x:c r="F174" s="22" t="n">
        <x:v>5</x:v>
      </x:c>
      <x:c r="G174" s="22" t="n">
        <x:v>127</x:v>
      </x:c>
      <x:c r="H174" s="22" t="n">
        <x:v>5</x:v>
      </x:c>
      <x:c r="I174" s="22" t="n">
        <x:v>5</x:v>
      </x:c>
      <x:c r="J174" s="22" t="n">
        <x:f>'02_人物原始合计'!AG174+'02_人物原始合计'!AH174</x:f>
        <x:v>15</x:v>
      </x:c>
      <x:c r="K174" s="28" t="n">
        <x:f>'02_人物原始合计'!F174*(1+'02_人物原始合计'!Q174/100)</x:f>
        <x:v>163621.77</x:v>
      </x:c>
      <x:c r="L174" s="28" t="n">
        <x:f>'02_人物原始合计'!K174*(1+'02_人物原始合计'!AV174/100)</x:f>
        <x:v>2182600</x:v>
      </x:c>
      <x:c r="M174" s="22" t="n">
        <x:f>MAX(0,MIN(50,'02_人物原始合计'!AD174,20+MIN(30,'02_人物原始合计'!AE174)))</x:f>
        <x:v>27</x:v>
      </x:c>
      <x:c r="N174" s="22" t="n">
        <x:f>IF(M174=0,1.75,IF(M174=10,2.2,IF(M174=20,2.9,IF(M174=30,4.3,IF(M174=40,8.5,IF(M174=50,14.3,IF(M174&lt;=40,1000/('01_参数'!$B$21-'01_参数'!$B$22*M174),1000/(1000/8.5+(M174-40)/10*(1000/14.3-1000/8.5)))))))))</x:f>
        <x:v>3.7716940913647403</x:v>
      </x:c>
      <x:c r="O174" s="22" t="n">
        <x:v>482</x:v>
      </x:c>
      <x:c r="P174" s="26" t="n">
        <x:f>MAX(0,MIN('01_参数'!$B$20,'02_人物原始合计'!AM174/100,'01_参数'!$B$19+'02_人物原始合计'!AN174/100))</x:f>
        <x:v>0.4</x:v>
      </x:c>
      <x:c r="Q174" s="28" t="n">
        <x:f>((('02_人物原始合计'!E174+('02_人物原始合计'!F174-'02_人物原始合计'!E174)*IF(J174&gt;=12,1,0.5+0.5*MAX(0,J174)/12))*(1+'02_人物原始合计'!Q174/100))*(1+'02_人物原始合计'!U174/100+IF(J174&gt;=15,0.15,0))*(1+'02_人物原始合计'!V174/100)*(1+'02_人物原始合计'!T174)*(1+'02_人物原始合计'!W174*'01_参数'!$B$18)*(1+MAX(0,MIN(1,'02_人物原始合计'!X174/100))*('01_参数'!$B$16+'02_人物原始合计'!Y174/100-1))*(1+MAX(0,MIN(1,'02_人物原始合计'!Z174/100))*('01_参数'!$B$17+'02_人物原始合计'!AA174/100-1))+'02_人物原始合计'!AB174)*N174*'01_参数'!$B$7*'01_参数'!$B$8</x:f>
        <x:v>12639028.434073638</x:v>
      </x:c>
      <x:c r="R174" s="28" t="n">
        <x:f>Q174*'01_参数'!$B$5</x:f>
        <x:v>25278056.868147276</x:v>
      </x:c>
      <x:c r="S174" s="28" t="n">
        <x:f>(('02_人物原始合计'!E174+('02_人物原始合计'!F174-'02_人物原始合计'!E174)*IF(J174&gt;=12,1,0.5+0.5*MAX(0,J174)/12))*(1+'02_人物原始合计'!Q174/100))*(1+'02_人物原始合计'!U174/100+IF(J174&gt;=15,0.15,0))*(1+'02_人物原始合计'!V174/100)*(1+'02_人物原始合计'!T174)*(1+'02_人物原始合计'!W174*'01_参数'!$B$18)*(1+MAX(0,MIN(1,'02_人物原始合计'!X174/100))*('01_参数'!$B$16+'02_人物原始合计'!Y174/100-1))*(1+MAX(0,MIN(1,'02_人物原始合计'!Z174/100))*('01_参数'!$B$17+'02_人物原始合计'!AA174/100-1))*N174*'01_参数'!$B$7*'01_参数'!$B$8*MAX(0,'02_人物原始合计'!AO174/100)</x:f>
        <x:v>631951.4217036819</x:v>
      </x:c>
      <x:c r="T174" s="28" t="n">
        <x:f>S174*'01_参数'!$B$6</x:f>
        <x:v>821536.8482147865</x:v>
      </x:c>
      <x:c r="U174" s="28" t="n">
        <x:v>0</x:v>
      </x:c>
      <x:c r="V174" s="28" t="n">
        <x:f>T174+U174</x:f>
        <x:v>821536.8482147865</x:v>
      </x:c>
      <x:c r="W174" s="22" t="n">
        <x:v>16</x:v>
      </x:c>
      <x:c r="X174" s="22" t="n">
        <x:v>169</x:v>
      </x:c>
      <x:c r="Y174" s="22" t="str">
        <x:v>主线</x:v>
      </x:c>
    </x:row>
    <x:row r="175" ht="24" customHeight="1">
      <x:c r="A175" s="22" t="str">
        <x:v>P0171</x:v>
      </x:c>
      <x:c r="B175" s="22" t="n">
        <x:v>5</x:v>
      </x:c>
      <x:c r="C175" s="22" t="n">
        <x:v>5</x:v>
      </x:c>
      <x:c r="D175" s="22" t="str">
        <x:v>C05G05入场</x:v>
      </x:c>
      <x:c r="E175" s="26" t="n">
        <x:v>0.39466950628090863</x:v>
      </x:c>
      <x:c r="F175" s="22" t="n">
        <x:v>5</x:v>
      </x:c>
      <x:c r="G175" s="22" t="n">
        <x:v>127</x:v>
      </x:c>
      <x:c r="H175" s="22" t="n">
        <x:v>5</x:v>
      </x:c>
      <x:c r="I175" s="22" t="n">
        <x:v>5</x:v>
      </x:c>
      <x:c r="J175" s="22" t="n">
        <x:f>'02_人物原始合计'!AG175+'02_人物原始合计'!AH175</x:f>
        <x:v>15</x:v>
      </x:c>
      <x:c r="K175" s="28" t="n">
        <x:f>'02_人物原始合计'!F175*(1+'02_人物原始合计'!Q175/100)</x:f>
        <x:v>163621.77</x:v>
      </x:c>
      <x:c r="L175" s="28" t="n">
        <x:f>'02_人物原始合计'!K175*(1+'02_人物原始合计'!AV175/100)</x:f>
        <x:v>2182600</x:v>
      </x:c>
      <x:c r="M175" s="22" t="n">
        <x:f>MAX(0,MIN(50,'02_人物原始合计'!AD175,20+MIN(30,'02_人物原始合计'!AE175)))</x:f>
        <x:v>27</x:v>
      </x:c>
      <x:c r="N175" s="22" t="n">
        <x:f>IF(M175=0,1.75,IF(M175=10,2.2,IF(M175=20,2.9,IF(M175=30,4.3,IF(M175=40,8.5,IF(M175=50,14.3,IF(M175&lt;=40,1000/('01_参数'!$B$21-'01_参数'!$B$22*M175),1000/(1000/8.5+(M175-40)/10*(1000/14.3-1000/8.5)))))))))</x:f>
        <x:v>3.7716940913647403</x:v>
      </x:c>
      <x:c r="O175" s="22" t="n">
        <x:v>482</x:v>
      </x:c>
      <x:c r="P175" s="26" t="n">
        <x:f>MAX(0,MIN('01_参数'!$B$20,'02_人物原始合计'!AM175/100,'01_参数'!$B$19+'02_人物原始合计'!AN175/100))</x:f>
        <x:v>0.4</x:v>
      </x:c>
      <x:c r="Q175" s="28" t="n">
        <x:f>((('02_人物原始合计'!E175+('02_人物原始合计'!F175-'02_人物原始合计'!E175)*IF(J175&gt;=12,1,0.5+0.5*MAX(0,J175)/12))*(1+'02_人物原始合计'!Q175/100))*(1+'02_人物原始合计'!U175/100+IF(J175&gt;=15,0.15,0))*(1+'02_人物原始合计'!V175/100)*(1+'02_人物原始合计'!T175)*(1+'02_人物原始合计'!W175*'01_参数'!$B$18)*(1+MAX(0,MIN(1,'02_人物原始合计'!X175/100))*('01_参数'!$B$16+'02_人物原始合计'!Y175/100-1))*(1+MAX(0,MIN(1,'02_人物原始合计'!Z175/100))*('01_参数'!$B$17+'02_人物原始合计'!AA175/100-1))+'02_人物原始合计'!AB175)*N175*'01_参数'!$B$7*'01_参数'!$B$8</x:f>
        <x:v>12639028.434073638</x:v>
      </x:c>
      <x:c r="R175" s="28" t="n">
        <x:f>Q175*'01_参数'!$B$5</x:f>
        <x:v>25278056.868147276</x:v>
      </x:c>
      <x:c r="S175" s="28" t="n">
        <x:f>(('02_人物原始合计'!E175+('02_人物原始合计'!F175-'02_人物原始合计'!E175)*IF(J175&gt;=12,1,0.5+0.5*MAX(0,J175)/12))*(1+'02_人物原始合计'!Q175/100))*(1+'02_人物原始合计'!U175/100+IF(J175&gt;=15,0.15,0))*(1+'02_人物原始合计'!V175/100)*(1+'02_人物原始合计'!T175)*(1+'02_人物原始合计'!W175*'01_参数'!$B$18)*(1+MAX(0,MIN(1,'02_人物原始合计'!X175/100))*('01_参数'!$B$16+'02_人物原始合计'!Y175/100-1))*(1+MAX(0,MIN(1,'02_人物原始合计'!Z175/100))*('01_参数'!$B$17+'02_人物原始合计'!AA175/100-1))*N175*'01_参数'!$B$7*'01_参数'!$B$8*MAX(0,'02_人物原始合计'!AO175/100)</x:f>
        <x:v>631951.4217036819</x:v>
      </x:c>
      <x:c r="T175" s="28" t="n">
        <x:f>S175*'01_参数'!$B$6</x:f>
        <x:v>821536.8482147865</x:v>
      </x:c>
      <x:c r="U175" s="28" t="n">
        <x:v>0</x:v>
      </x:c>
      <x:c r="V175" s="28" t="n">
        <x:f>T175+U175</x:f>
        <x:v>821536.8482147865</x:v>
      </x:c>
      <x:c r="W175" s="22" t="n">
        <x:v>16</x:v>
      </x:c>
      <x:c r="X175" s="22" t="n">
        <x:v>169</x:v>
      </x:c>
      <x:c r="Y175" s="22" t="str">
        <x:v>主线</x:v>
      </x:c>
    </x:row>
    <x:row r="176" ht="24" customHeight="1">
      <x:c r="A176" s="22" t="str">
        <x:v>P0172</x:v>
      </x:c>
      <x:c r="B176" s="22" t="n">
        <x:v>5</x:v>
      </x:c>
      <x:c r="C176" s="22" t="n">
        <x:v>5</x:v>
      </x:c>
      <x:c r="D176" s="22" t="str">
        <x:v>C05G05普通专属4/6</x:v>
      </x:c>
      <x:c r="E176" s="26" t="n">
        <x:v>0.3956100742550378</x:v>
      </x:c>
      <x:c r="F176" s="22" t="n">
        <x:v>5</x:v>
      </x:c>
      <x:c r="G176" s="22" t="n">
        <x:v>127</x:v>
      </x:c>
      <x:c r="H176" s="22" t="n">
        <x:v>5</x:v>
      </x:c>
      <x:c r="I176" s="22" t="n">
        <x:v>5</x:v>
      </x:c>
      <x:c r="J176" s="22" t="n">
        <x:f>'02_人物原始合计'!AG176+'02_人物原始合计'!AH176</x:f>
        <x:v>15</x:v>
      </x:c>
      <x:c r="K176" s="28" t="n">
        <x:f>'02_人物原始合计'!F176*(1+'02_人物原始合计'!Q176/100)</x:f>
        <x:v>163009.74</x:v>
      </x:c>
      <x:c r="L176" s="28" t="n">
        <x:f>'02_人物原始合计'!K176*(1+'02_人物原始合计'!AV176/100)</x:f>
        <x:v>2192500</x:v>
      </x:c>
      <x:c r="M176" s="22" t="n">
        <x:f>MAX(0,MIN(50,'02_人物原始合计'!AD176,20+MIN(30,'02_人物原始合计'!AE176)))</x:f>
        <x:v>27</x:v>
      </x:c>
      <x:c r="N176" s="22" t="n">
        <x:f>IF(M176=0,1.75,IF(M176=10,2.2,IF(M176=20,2.9,IF(M176=30,4.3,IF(M176=40,8.5,IF(M176=50,14.3,IF(M176&lt;=40,1000/('01_参数'!$B$21-'01_参数'!$B$22*M176),1000/(1000/8.5+(M176-40)/10*(1000/14.3-1000/8.5)))))))))</x:f>
        <x:v>3.7716940913647403</x:v>
      </x:c>
      <x:c r="O176" s="22" t="n">
        <x:v>482</x:v>
      </x:c>
      <x:c r="P176" s="26" t="n">
        <x:f>MAX(0,MIN('01_参数'!$B$20,'02_人物原始合计'!AM176/100,'01_参数'!$B$19+'02_人物原始合计'!AN176/100))</x:f>
        <x:v>0.4</x:v>
      </x:c>
      <x:c r="Q176" s="28" t="n">
        <x:f>((('02_人物原始合计'!E176+('02_人物原始合计'!F176-'02_人物原始合计'!E176)*IF(J176&gt;=12,1,0.5+0.5*MAX(0,J176)/12))*(1+'02_人物原始合计'!Q176/100))*(1+'02_人物原始合计'!U176/100+IF(J176&gt;=15,0.15,0))*(1+'02_人物原始合计'!V176/100)*(1+'02_人物原始合计'!T176)*(1+'02_人物原始合计'!W176*'01_参数'!$B$18)*(1+MAX(0,MIN(1,'02_人物原始合计'!X176/100))*('01_参数'!$B$16+'02_人物原始合计'!Y176/100-1))*(1+MAX(0,MIN(1,'02_人物原始合计'!Z176/100))*('01_参数'!$B$17+'02_人物原始合计'!AA176/100-1))+'02_人物原始合计'!AB176)*N176*'01_参数'!$B$7*'01_参数'!$B$8</x:f>
        <x:v>13086030.585459016</x:v>
      </x:c>
      <x:c r="R176" s="28" t="n">
        <x:f>Q176*'01_参数'!$B$5</x:f>
        <x:v>26172061.170918033</x:v>
      </x:c>
      <x:c r="S176" s="28" t="n">
        <x:f>(('02_人物原始合计'!E176+('02_人物原始合计'!F176-'02_人物原始合计'!E176)*IF(J176&gt;=12,1,0.5+0.5*MAX(0,J176)/12))*(1+'02_人物原始合计'!Q176/100))*(1+'02_人物原始合计'!U176/100+IF(J176&gt;=15,0.15,0))*(1+'02_人物原始合计'!V176/100)*(1+'02_人物原始合计'!T176)*(1+'02_人物原始合计'!W176*'01_参数'!$B$18)*(1+MAX(0,MIN(1,'02_人物原始合计'!X176/100))*('01_参数'!$B$16+'02_人物原始合计'!Y176/100-1))*(1+MAX(0,MIN(1,'02_人物原始合计'!Z176/100))*('01_参数'!$B$17+'02_人物原始合计'!AA176/100-1))*N176*'01_参数'!$B$7*'01_参数'!$B$8*MAX(0,'02_人物原始合计'!AO176/100)</x:f>
        <x:v>654301.5292729508</x:v>
      </x:c>
      <x:c r="T176" s="28" t="n">
        <x:f>S176*'01_参数'!$B$6</x:f>
        <x:v>850591.9880548362</x:v>
      </x:c>
      <x:c r="U176" s="28" t="n">
        <x:v>0</x:v>
      </x:c>
      <x:c r="V176" s="28" t="n">
        <x:f>T176+U176</x:f>
        <x:v>850591.9880548362</x:v>
      </x:c>
      <x:c r="W176" s="22" t="n">
        <x:v>16</x:v>
      </x:c>
      <x:c r="X176" s="22" t="n">
        <x:v>169</x:v>
      </x:c>
      <x:c r="Y176" s="22" t="str">
        <x:v>主线</x:v>
      </x:c>
    </x:row>
    <x:row r="177" ht="24" customHeight="1">
      <x:c r="A177" s="22" t="str">
        <x:v>P0173</x:v>
      </x:c>
      <x:c r="B177" s="22" t="n">
        <x:v>5</x:v>
      </x:c>
      <x:c r="C177" s="22" t="n">
        <x:v>5</x:v>
      </x:c>
      <x:c r="D177" s="22" t="str">
        <x:v>月华内殿掌灯君挑战前</x:v>
      </x:c>
      <x:c r="E177" s="26" t="n">
        <x:v>0.3956100742550378</x:v>
      </x:c>
      <x:c r="F177" s="22" t="n">
        <x:v>5</x:v>
      </x:c>
      <x:c r="G177" s="22" t="n">
        <x:v>132</x:v>
      </x:c>
      <x:c r="H177" s="22" t="n">
        <x:v>5</x:v>
      </x:c>
      <x:c r="I177" s="22" t="n">
        <x:v>5</x:v>
      </x:c>
      <x:c r="J177" s="22" t="n">
        <x:f>'02_人物原始合计'!AG177+'02_人物原始合计'!AH177</x:f>
        <x:v>15</x:v>
      </x:c>
      <x:c r="K177" s="28" t="n">
        <x:f>'02_人物原始合计'!F177*(1+'02_人物原始合计'!Q177/100)</x:f>
        <x:v>176990.17</x:v>
      </x:c>
      <x:c r="L177" s="28" t="n">
        <x:f>'02_人物原始合计'!K177*(1+'02_人物原始合计'!AV177/100)</x:f>
        <x:v>2257500</x:v>
      </x:c>
      <x:c r="M177" s="22" t="n">
        <x:f>MAX(0,MIN(50,'02_人物原始合计'!AD177,20+MIN(30,'02_人物原始合计'!AE177)))</x:f>
        <x:v>27</x:v>
      </x:c>
      <x:c r="N177" s="22" t="n">
        <x:f>IF(M177=0,1.75,IF(M177=10,2.2,IF(M177=20,2.9,IF(M177=30,4.3,IF(M177=40,8.5,IF(M177=50,14.3,IF(M177&lt;=40,1000/('01_参数'!$B$21-'01_参数'!$B$22*M177),1000/(1000/8.5+(M177-40)/10*(1000/14.3-1000/8.5)))))))))</x:f>
        <x:v>3.7716940913647403</x:v>
      </x:c>
      <x:c r="O177" s="22" t="n">
        <x:v>482</x:v>
      </x:c>
      <x:c r="P177" s="26" t="n">
        <x:f>MAX(0,MIN('01_参数'!$B$20,'02_人物原始合计'!AM177/100,'01_参数'!$B$19+'02_人物原始合计'!AN177/100))</x:f>
        <x:v>0.4</x:v>
      </x:c>
      <x:c r="Q177" s="28" t="n">
        <x:f>((('02_人物原始合计'!E177+('02_人物原始合计'!F177-'02_人物原始合计'!E177)*IF(J177&gt;=12,1,0.5+0.5*MAX(0,J177)/12))*(1+'02_人物原始合计'!Q177/100))*(1+'02_人物原始合计'!U177/100+IF(J177&gt;=15,0.15,0))*(1+'02_人物原始合计'!V177/100)*(1+'02_人物原始合计'!T177)*(1+'02_人物原始合计'!W177*'01_参数'!$B$18)*(1+MAX(0,MIN(1,'02_人物原始合计'!X177/100))*('01_参数'!$B$16+'02_人物原始合计'!Y177/100-1))*(1+MAX(0,MIN(1,'02_人物原始合计'!Z177/100))*('01_参数'!$B$17+'02_人物原始合计'!AA177/100-1))+'02_人物原始合计'!AB177)*N177*'01_参数'!$B$7*'01_参数'!$B$8</x:f>
        <x:v>14208345.942675514</x:v>
      </x:c>
      <x:c r="R177" s="28" t="n">
        <x:f>Q177*'01_参数'!$B$5</x:f>
        <x:v>28416691.88535103</x:v>
      </x:c>
      <x:c r="S177" s="28" t="n">
        <x:f>(('02_人物原始合计'!E177+('02_人物原始合计'!F177-'02_人物原始合计'!E177)*IF(J177&gt;=12,1,0.5+0.5*MAX(0,J177)/12))*(1+'02_人物原始合计'!Q177/100))*(1+'02_人物原始合计'!U177/100+IF(J177&gt;=15,0.15,0))*(1+'02_人物原始合计'!V177/100)*(1+'02_人物原始合计'!T177)*(1+'02_人物原始合计'!W177*'01_参数'!$B$18)*(1+MAX(0,MIN(1,'02_人物原始合计'!X177/100))*('01_参数'!$B$16+'02_人物原始合计'!Y177/100-1))*(1+MAX(0,MIN(1,'02_人物原始合计'!Z177/100))*('01_参数'!$B$17+'02_人物原始合计'!AA177/100-1))*N177*'01_参数'!$B$7*'01_参数'!$B$8*MAX(0,'02_人物原始合计'!AO177/100)</x:f>
        <x:v>710417.2971337758</x:v>
      </x:c>
      <x:c r="T177" s="28" t="n">
        <x:f>S177*'01_参数'!$B$6</x:f>
        <x:v>923542.4862739085</x:v>
      </x:c>
      <x:c r="U177" s="28" t="n">
        <x:v>0</x:v>
      </x:c>
      <x:c r="V177" s="28" t="n">
        <x:f>T177+U177</x:f>
        <x:v>923542.4862739085</x:v>
      </x:c>
      <x:c r="W177" s="22" t="n">
        <x:v>16</x:v>
      </x:c>
      <x:c r="X177" s="22" t="n">
        <x:v>169</x:v>
      </x:c>
      <x:c r="Y177" s="22" t="str">
        <x:v>主线</x:v>
      </x:c>
    </x:row>
    <x:row r="178" ht="24" customHeight="1">
      <x:c r="A178" s="22" t="str">
        <x:v>P0174</x:v>
      </x:c>
      <x:c r="B178" s="22" t="n">
        <x:v>5</x:v>
      </x:c>
      <x:c r="C178" s="22" t="n">
        <x:v>5</x:v>
      </x:c>
      <x:c r="D178" s="22" t="str">
        <x:v>影宫深潮王女挑战前</x:v>
      </x:c>
      <x:c r="E178" s="26" t="n">
        <x:v>0.3956100742550378</x:v>
      </x:c>
      <x:c r="F178" s="22" t="n">
        <x:v>5</x:v>
      </x:c>
      <x:c r="G178" s="22" t="n">
        <x:v>132</x:v>
      </x:c>
      <x:c r="H178" s="22" t="n">
        <x:v>5</x:v>
      </x:c>
      <x:c r="I178" s="22" t="n">
        <x:v>5</x:v>
      </x:c>
      <x:c r="J178" s="22" t="n">
        <x:f>'02_人物原始合计'!AG178+'02_人物原始合计'!AH178</x:f>
        <x:v>15</x:v>
      </x:c>
      <x:c r="K178" s="28" t="n">
        <x:f>'02_人物原始合计'!F178*(1+'02_人物原始合计'!Q178/100)</x:f>
        <x:v>176990.17</x:v>
      </x:c>
      <x:c r="L178" s="28" t="n">
        <x:f>'02_人物原始合计'!K178*(1+'02_人物原始合计'!AV178/100)</x:f>
        <x:v>2257500</x:v>
      </x:c>
      <x:c r="M178" s="22" t="n">
        <x:f>MAX(0,MIN(50,'02_人物原始合计'!AD178,20+MIN(30,'02_人物原始合计'!AE178)))</x:f>
        <x:v>27</x:v>
      </x:c>
      <x:c r="N178" s="22" t="n">
        <x:f>IF(M178=0,1.75,IF(M178=10,2.2,IF(M178=20,2.9,IF(M178=30,4.3,IF(M178=40,8.5,IF(M178=50,14.3,IF(M178&lt;=40,1000/('01_参数'!$B$21-'01_参数'!$B$22*M178),1000/(1000/8.5+(M178-40)/10*(1000/14.3-1000/8.5)))))))))</x:f>
        <x:v>3.7716940913647403</x:v>
      </x:c>
      <x:c r="O178" s="22" t="n">
        <x:v>482</x:v>
      </x:c>
      <x:c r="P178" s="26" t="n">
        <x:f>MAX(0,MIN('01_参数'!$B$20,'02_人物原始合计'!AM178/100,'01_参数'!$B$19+'02_人物原始合计'!AN178/100))</x:f>
        <x:v>0.4</x:v>
      </x:c>
      <x:c r="Q178" s="28" t="n">
        <x:f>((('02_人物原始合计'!E178+('02_人物原始合计'!F178-'02_人物原始合计'!E178)*IF(J178&gt;=12,1,0.5+0.5*MAX(0,J178)/12))*(1+'02_人物原始合计'!Q178/100))*(1+'02_人物原始合计'!U178/100+IF(J178&gt;=15,0.15,0))*(1+'02_人物原始合计'!V178/100)*(1+'02_人物原始合计'!T178)*(1+'02_人物原始合计'!W178*'01_参数'!$B$18)*(1+MAX(0,MIN(1,'02_人物原始合计'!X178/100))*('01_参数'!$B$16+'02_人物原始合计'!Y178/100-1))*(1+MAX(0,MIN(1,'02_人物原始合计'!Z178/100))*('01_参数'!$B$17+'02_人物原始合计'!AA178/100-1))+'02_人物原始合计'!AB178)*N178*'01_参数'!$B$7*'01_参数'!$B$8</x:f>
        <x:v>14208345.942675514</x:v>
      </x:c>
      <x:c r="R178" s="28" t="n">
        <x:f>Q178*'01_参数'!$B$5</x:f>
        <x:v>28416691.88535103</x:v>
      </x:c>
      <x:c r="S178" s="28" t="n">
        <x:f>(('02_人物原始合计'!E178+('02_人物原始合计'!F178-'02_人物原始合计'!E178)*IF(J178&gt;=12,1,0.5+0.5*MAX(0,J178)/12))*(1+'02_人物原始合计'!Q178/100))*(1+'02_人物原始合计'!U178/100+IF(J178&gt;=15,0.15,0))*(1+'02_人物原始合计'!V178/100)*(1+'02_人物原始合计'!T178)*(1+'02_人物原始合计'!W178*'01_参数'!$B$18)*(1+MAX(0,MIN(1,'02_人物原始合计'!X178/100))*('01_参数'!$B$16+'02_人物原始合计'!Y178/100-1))*(1+MAX(0,MIN(1,'02_人物原始合计'!Z178/100))*('01_参数'!$B$17+'02_人物原始合计'!AA178/100-1))*N178*'01_参数'!$B$7*'01_参数'!$B$8*MAX(0,'02_人物原始合计'!AO178/100)</x:f>
        <x:v>710417.2971337758</x:v>
      </x:c>
      <x:c r="T178" s="28" t="n">
        <x:f>S178*'01_参数'!$B$6</x:f>
        <x:v>923542.4862739085</x:v>
      </x:c>
      <x:c r="U178" s="28" t="n">
        <x:v>0</x:v>
      </x:c>
      <x:c r="V178" s="28" t="n">
        <x:f>T178+U178</x:f>
        <x:v>923542.4862739085</x:v>
      </x:c>
      <x:c r="W178" s="22" t="n">
        <x:v>16</x:v>
      </x:c>
      <x:c r="X178" s="22" t="n">
        <x:v>169</x:v>
      </x:c>
      <x:c r="Y178" s="22" t="str">
        <x:v>主线</x:v>
      </x:c>
    </x:row>
    <x:row r="179" ht="24" customHeight="1">
      <x:c r="A179" s="22" t="str">
        <x:v>P0175</x:v>
      </x:c>
      <x:c r="B179" s="22" t="n">
        <x:v>5</x:v>
      </x:c>
      <x:c r="C179" s="22" t="n">
        <x:v>5</x:v>
      </x:c>
      <x:c r="D179" s="22" t="str">
        <x:v>月影水宫BOSS装备快线</x:v>
      </x:c>
      <x:c r="E179" s="26" t="n">
        <x:v>0.3973717924686874</x:v>
      </x:c>
      <x:c r="F179" s="22" t="n">
        <x:v>5</x:v>
      </x:c>
      <x:c r="G179" s="22" t="n">
        <x:v>132</x:v>
      </x:c>
      <x:c r="H179" s="22" t="n">
        <x:v>5</x:v>
      </x:c>
      <x:c r="I179" s="22" t="n">
        <x:v>5</x:v>
      </x:c>
      <x:c r="J179" s="22" t="n">
        <x:f>'02_人物原始合计'!AG179+'02_人物原始合计'!AH179</x:f>
        <x:v>15</x:v>
      </x:c>
      <x:c r="K179" s="28" t="n">
        <x:f>'02_人物原始合计'!F179*(1+'02_人物原始合计'!Q179/100)</x:f>
        <x:v>173154.24000000002</x:v>
      </x:c>
      <x:c r="L179" s="28" t="n">
        <x:f>'02_人物原始合计'!K179*(1+'02_人物原始合计'!AV179/100)</x:f>
        <x:v>2277500</x:v>
      </x:c>
      <x:c r="M179" s="22" t="n">
        <x:f>MAX(0,MIN(50,'02_人物原始合计'!AD179,20+MIN(30,'02_人物原始合计'!AE179)))</x:f>
        <x:v>28</x:v>
      </x:c>
      <x:c r="N179" s="22" t="n">
        <x:f>IF(M179=0,1.75,IF(M179=10,2.2,IF(M179=20,2.9,IF(M179=30,4.3,IF(M179=40,8.5,IF(M179=50,14.3,IF(M179&lt;=40,1000/('01_参数'!$B$21-'01_参数'!$B$22*M179),1000/(1000/8.5+(M179-40)/10*(1000/14.3-1000/8.5)))))))))</x:f>
        <x:v>3.939530631556477</x:v>
      </x:c>
      <x:c r="O179" s="22" t="n">
        <x:v>482</x:v>
      </x:c>
      <x:c r="P179" s="26" t="n">
        <x:f>MAX(0,MIN('01_参数'!$B$20,'02_人物原始合计'!AM179/100,'01_参数'!$B$19+'02_人物原始合计'!AN179/100))</x:f>
        <x:v>0.4</x:v>
      </x:c>
      <x:c r="Q179" s="28" t="n">
        <x:f>((('02_人物原始合计'!E179+('02_人物原始合计'!F179-'02_人物原始合计'!E179)*IF(J179&gt;=12,1,0.5+0.5*MAX(0,J179)/12))*(1+'02_人物原始合计'!Q179/100))*(1+'02_人物原始合计'!U179/100+IF(J179&gt;=15,0.15,0))*(1+'02_人物原始合计'!V179/100)*(1+'02_人物原始合计'!T179)*(1+'02_人物原始合计'!W179*'01_参数'!$B$18)*(1+MAX(0,MIN(1,'02_人物原始合计'!X179/100))*('01_参数'!$B$16+'02_人物原始合计'!Y179/100-1))*(1+MAX(0,MIN(1,'02_人物原始合计'!Z179/100))*('01_参数'!$B$17+'02_人物原始合计'!AA179/100-1))+'02_人物原始合计'!AB179)*N179*'01_参数'!$B$7*'01_参数'!$B$8</x:f>
        <x:v>16433595.701038718</x:v>
      </x:c>
      <x:c r="R179" s="28" t="n">
        <x:f>Q179*'01_参数'!$B$5</x:f>
        <x:v>32867191.402077436</x:v>
      </x:c>
      <x:c r="S179" s="28" t="n">
        <x:f>(('02_人物原始合计'!E179+('02_人物原始合计'!F179-'02_人物原始合计'!E179)*IF(J179&gt;=12,1,0.5+0.5*MAX(0,J179)/12))*(1+'02_人物原始合计'!Q179/100))*(1+'02_人物原始合计'!U179/100+IF(J179&gt;=15,0.15,0))*(1+'02_人物原始合计'!V179/100)*(1+'02_人物原始合计'!T179)*(1+'02_人物原始合计'!W179*'01_参数'!$B$18)*(1+MAX(0,MIN(1,'02_人物原始合计'!X179/100))*('01_参数'!$B$16+'02_人物原始合计'!Y179/100-1))*(1+MAX(0,MIN(1,'02_人物原始合计'!Z179/100))*('01_参数'!$B$17+'02_人物原始合计'!AA179/100-1))*N179*'01_参数'!$B$7*'01_参数'!$B$8*MAX(0,'02_人物原始合计'!AO179/100)</x:f>
        <x:v>1150351.6990727105</x:v>
      </x:c>
      <x:c r="T179" s="28" t="n">
        <x:f>S179*'01_参数'!$B$6</x:f>
        <x:v>1495457.2087945237</x:v>
      </x:c>
      <x:c r="U179" s="28" t="n">
        <x:v>0</x:v>
      </x:c>
      <x:c r="V179" s="28" t="n">
        <x:f>T179+U179</x:f>
        <x:v>1495457.2087945237</x:v>
      </x:c>
      <x:c r="W179" s="22" t="n">
        <x:v>16</x:v>
      </x:c>
      <x:c r="X179" s="22" t="n">
        <x:v>169</x:v>
      </x:c>
      <x:c r="Y179" s="22" t="str">
        <x:v>C05G05BOSS强装对照</x:v>
      </x:c>
    </x:row>
    <x:row r="180" ht="24" customHeight="1">
      <x:c r="A180" s="22" t="str">
        <x:v>P0176</x:v>
      </x:c>
      <x:c r="B180" s="22" t="n">
        <x:v>5</x:v>
      </x:c>
      <x:c r="C180" s="22" t="n">
        <x:v>5</x:v>
      </x:c>
      <x:c r="D180" s="22" t="str">
        <x:v>月影水宫阶段积累后</x:v>
      </x:c>
      <x:c r="E180" s="26" t="n">
        <x:v>0.40436007425503784</x:v>
      </x:c>
      <x:c r="F180" s="22" t="n">
        <x:v>5</x:v>
      </x:c>
      <x:c r="G180" s="22" t="n">
        <x:v>132</x:v>
      </x:c>
      <x:c r="H180" s="22" t="n">
        <x:v>5</x:v>
      </x:c>
      <x:c r="I180" s="22" t="n">
        <x:v>5</x:v>
      </x:c>
      <x:c r="J180" s="22" t="n">
        <x:f>'02_人物原始合计'!AG180+'02_人物原始合计'!AH180</x:f>
        <x:v>15</x:v>
      </x:c>
      <x:c r="K180" s="28" t="n">
        <x:f>'02_人物原始合计'!F180*(1+'02_人物原始合计'!Q180/100)</x:f>
        <x:v>177283.61</x:v>
      </x:c>
      <x:c r="L180" s="28" t="n">
        <x:f>'02_人物原始合计'!K180*(1+'02_人物原始合计'!AV180/100)</x:f>
        <x:v>2260700</x:v>
      </x:c>
      <x:c r="M180" s="22" t="n">
        <x:f>MAX(0,MIN(50,'02_人物原始合计'!AD180,20+MIN(30,'02_人物原始合计'!AE180)))</x:f>
        <x:v>27</x:v>
      </x:c>
      <x:c r="N180" s="22" t="n">
        <x:f>IF(M180=0,1.75,IF(M180=10,2.2,IF(M180=20,2.9,IF(M180=30,4.3,IF(M180=40,8.5,IF(M180=50,14.3,IF(M180&lt;=40,1000/('01_参数'!$B$21-'01_参数'!$B$22*M180),1000/(1000/8.5+(M180-40)/10*(1000/14.3-1000/8.5)))))))))</x:f>
        <x:v>3.7716940913647403</x:v>
      </x:c>
      <x:c r="O180" s="22" t="n">
        <x:v>482</x:v>
      </x:c>
      <x:c r="P180" s="26" t="n">
        <x:f>MAX(0,MIN('01_参数'!$B$20,'02_人物原始合计'!AM180/100,'01_参数'!$B$19+'02_人物原始合计'!AN180/100))</x:f>
        <x:v>0.4</x:v>
      </x:c>
      <x:c r="Q180" s="28" t="n">
        <x:f>((('02_人物原始合计'!E180+('02_人物原始合计'!F180-'02_人物原始合计'!E180)*IF(J180&gt;=12,1,0.5+0.5*MAX(0,J180)/12))*(1+'02_人物原始合计'!Q180/100))*(1+'02_人物原始合计'!U180/100+IF(J180&gt;=15,0.15,0))*(1+'02_人物原始合计'!V180/100)*(1+'02_人物原始合计'!T180)*(1+'02_人物原始合计'!W180*'01_参数'!$B$18)*(1+MAX(0,MIN(1,'02_人物原始合计'!X180/100))*('01_参数'!$B$16+'02_人物原始合计'!Y180/100-1))*(1+MAX(0,MIN(1,'02_人物原始合计'!Z180/100))*('01_参数'!$B$17+'02_人物原始合计'!AA180/100-1))+'02_人物原始合计'!AB180)*N180*'01_参数'!$B$7*'01_参数'!$B$8</x:f>
        <x:v>14231902.60140644</x:v>
      </x:c>
      <x:c r="R180" s="28" t="n">
        <x:f>Q180*'01_参数'!$B$5</x:f>
        <x:v>28463805.20281288</x:v>
      </x:c>
      <x:c r="S180" s="28" t="n">
        <x:f>(('02_人物原始合计'!E180+('02_人物原始合计'!F180-'02_人物原始合计'!E180)*IF(J180&gt;=12,1,0.5+0.5*MAX(0,J180)/12))*(1+'02_人物原始合计'!Q180/100))*(1+'02_人物原始合计'!U180/100+IF(J180&gt;=15,0.15,0))*(1+'02_人物原始合计'!V180/100)*(1+'02_人物原始合计'!T180)*(1+'02_人物原始合计'!W180*'01_参数'!$B$18)*(1+MAX(0,MIN(1,'02_人物原始合计'!X180/100))*('01_参数'!$B$16+'02_人物原始合计'!Y180/100-1))*(1+MAX(0,MIN(1,'02_人物原始合计'!Z180/100))*('01_参数'!$B$17+'02_人物原始合计'!AA180/100-1))*N180*'01_参数'!$B$7*'01_参数'!$B$8*MAX(0,'02_人物原始合计'!AO180/100)</x:f>
        <x:v>711595.1300703221</x:v>
      </x:c>
      <x:c r="T180" s="28" t="n">
        <x:f>S180*'01_参数'!$B$6</x:f>
        <x:v>925073.6690914187</x:v>
      </x:c>
      <x:c r="U180" s="28" t="n">
        <x:v>0</x:v>
      </x:c>
      <x:c r="V180" s="28" t="n">
        <x:f>T180+U180</x:f>
        <x:v>925073.6690914187</x:v>
      </x:c>
      <x:c r="W180" s="22" t="n">
        <x:v>16</x:v>
      </x:c>
      <x:c r="X180" s="22" t="n">
        <x:v>171</x:v>
      </x:c>
      <x:c r="Y180" s="22" t="str">
        <x:v>主线</x:v>
      </x:c>
    </x:row>
    <x:row r="181" ht="24" customHeight="1">
      <x:c r="A181" s="22" t="str">
        <x:v>P0177</x:v>
      </x:c>
      <x:c r="B181" s="22" t="n">
        <x:v>5</x:v>
      </x:c>
      <x:c r="C181" s="22" t="n">
        <x:v>6</x:v>
      </x:c>
      <x:c r="D181" s="22" t="str">
        <x:v>C05G06入场</x:v>
      </x:c>
      <x:c r="E181" s="26" t="n">
        <x:v>0.40436007425503784</x:v>
      </x:c>
      <x:c r="F181" s="22" t="n">
        <x:v>5</x:v>
      </x:c>
      <x:c r="G181" s="22" t="n">
        <x:v>132</x:v>
      </x:c>
      <x:c r="H181" s="22" t="n">
        <x:v>5</x:v>
      </x:c>
      <x:c r="I181" s="22" t="n">
        <x:v>5</x:v>
      </x:c>
      <x:c r="J181" s="22" t="n">
        <x:f>'02_人物原始合计'!AG181+'02_人物原始合计'!AH181</x:f>
        <x:v>15</x:v>
      </x:c>
      <x:c r="K181" s="28" t="n">
        <x:f>'02_人物原始合计'!F181*(1+'02_人物原始合计'!Q181/100)</x:f>
        <x:v>177283.61</x:v>
      </x:c>
      <x:c r="L181" s="28" t="n">
        <x:f>'02_人物原始合计'!K181*(1+'02_人物原始合计'!AV181/100)</x:f>
        <x:v>2260700</x:v>
      </x:c>
      <x:c r="M181" s="22" t="n">
        <x:f>MAX(0,MIN(50,'02_人物原始合计'!AD181,20+MIN(30,'02_人物原始合计'!AE181)))</x:f>
        <x:v>27</x:v>
      </x:c>
      <x:c r="N181" s="22" t="n">
        <x:f>IF(M181=0,1.75,IF(M181=10,2.2,IF(M181=20,2.9,IF(M181=30,4.3,IF(M181=40,8.5,IF(M181=50,14.3,IF(M181&lt;=40,1000/('01_参数'!$B$21-'01_参数'!$B$22*M181),1000/(1000/8.5+(M181-40)/10*(1000/14.3-1000/8.5)))))))))</x:f>
        <x:v>3.7716940913647403</x:v>
      </x:c>
      <x:c r="O181" s="22" t="n">
        <x:v>482</x:v>
      </x:c>
      <x:c r="P181" s="26" t="n">
        <x:f>MAX(0,MIN('01_参数'!$B$20,'02_人物原始合计'!AM181/100,'01_参数'!$B$19+'02_人物原始合计'!AN181/100))</x:f>
        <x:v>0.4</x:v>
      </x:c>
      <x:c r="Q181" s="28" t="n">
        <x:f>((('02_人物原始合计'!E181+('02_人物原始合计'!F181-'02_人物原始合计'!E181)*IF(J181&gt;=12,1,0.5+0.5*MAX(0,J181)/12))*(1+'02_人物原始合计'!Q181/100))*(1+'02_人物原始合计'!U181/100+IF(J181&gt;=15,0.15,0))*(1+'02_人物原始合计'!V181/100)*(1+'02_人物原始合计'!T181)*(1+'02_人物原始合计'!W181*'01_参数'!$B$18)*(1+MAX(0,MIN(1,'02_人物原始合计'!X181/100))*('01_参数'!$B$16+'02_人物原始合计'!Y181/100-1))*(1+MAX(0,MIN(1,'02_人物原始合计'!Z181/100))*('01_参数'!$B$17+'02_人物原始合计'!AA181/100-1))+'02_人物原始合计'!AB181)*N181*'01_参数'!$B$7*'01_参数'!$B$8</x:f>
        <x:v>14231902.60140644</x:v>
      </x:c>
      <x:c r="R181" s="28" t="n">
        <x:f>Q181*'01_参数'!$B$5</x:f>
        <x:v>28463805.20281288</x:v>
      </x:c>
      <x:c r="S181" s="28" t="n">
        <x:f>(('02_人物原始合计'!E181+('02_人物原始合计'!F181-'02_人物原始合计'!E181)*IF(J181&gt;=12,1,0.5+0.5*MAX(0,J181)/12))*(1+'02_人物原始合计'!Q181/100))*(1+'02_人物原始合计'!U181/100+IF(J181&gt;=15,0.15,0))*(1+'02_人物原始合计'!V181/100)*(1+'02_人物原始合计'!T181)*(1+'02_人物原始合计'!W181*'01_参数'!$B$18)*(1+MAX(0,MIN(1,'02_人物原始合计'!X181/100))*('01_参数'!$B$16+'02_人物原始合计'!Y181/100-1))*(1+MAX(0,MIN(1,'02_人物原始合计'!Z181/100))*('01_参数'!$B$17+'02_人物原始合计'!AA181/100-1))*N181*'01_参数'!$B$7*'01_参数'!$B$8*MAX(0,'02_人物原始合计'!AO181/100)</x:f>
        <x:v>711595.1300703221</x:v>
      </x:c>
      <x:c r="T181" s="28" t="n">
        <x:f>S181*'01_参数'!$B$6</x:f>
        <x:v>925073.6690914187</x:v>
      </x:c>
      <x:c r="U181" s="28" t="n">
        <x:v>0</x:v>
      </x:c>
      <x:c r="V181" s="28" t="n">
        <x:f>T181+U181</x:f>
        <x:v>925073.6690914187</x:v>
      </x:c>
      <x:c r="W181" s="22" t="n">
        <x:v>16</x:v>
      </x:c>
      <x:c r="X181" s="22" t="n">
        <x:v>171</x:v>
      </x:c>
      <x:c r="Y181" s="22" t="str">
        <x:v>主线</x:v>
      </x:c>
    </x:row>
    <x:row r="182" ht="24" customHeight="1">
      <x:c r="A182" s="22" t="str">
        <x:v>P0178</x:v>
      </x:c>
      <x:c r="B182" s="22" t="n">
        <x:v>5</x:v>
      </x:c>
      <x:c r="C182" s="22" t="n">
        <x:v>6</x:v>
      </x:c>
      <x:c r="D182" s="22" t="str">
        <x:v>C05G06普通专属4/6</x:v>
      </x:c>
      <x:c r="E182" s="26" t="n">
        <x:v>0.40436007425503784</x:v>
      </x:c>
      <x:c r="F182" s="22" t="n">
        <x:v>5</x:v>
      </x:c>
      <x:c r="G182" s="22" t="n">
        <x:v>132</x:v>
      </x:c>
      <x:c r="H182" s="22" t="n">
        <x:v>5</x:v>
      </x:c>
      <x:c r="I182" s="22" t="n">
        <x:v>5</x:v>
      </x:c>
      <x:c r="J182" s="22" t="n">
        <x:f>'02_人物原始合计'!AG182+'02_人物原始合计'!AH182</x:f>
        <x:v>15</x:v>
      </x:c>
      <x:c r="K182" s="28" t="n">
        <x:f>'02_人物原始合计'!F182*(1+'02_人物原始合计'!Q182/100)</x:f>
        <x:v>177283.61</x:v>
      </x:c>
      <x:c r="L182" s="28" t="n">
        <x:f>'02_人物原始合计'!K182*(1+'02_人物原始合计'!AV182/100)</x:f>
        <x:v>2260700</x:v>
      </x:c>
      <x:c r="M182" s="22" t="n">
        <x:f>MAX(0,MIN(50,'02_人物原始合计'!AD182,20+MIN(30,'02_人物原始合计'!AE182)))</x:f>
        <x:v>27</x:v>
      </x:c>
      <x:c r="N182" s="22" t="n">
        <x:f>IF(M182=0,1.75,IF(M182=10,2.2,IF(M182=20,2.9,IF(M182=30,4.3,IF(M182=40,8.5,IF(M182=50,14.3,IF(M182&lt;=40,1000/('01_参数'!$B$21-'01_参数'!$B$22*M182),1000/(1000/8.5+(M182-40)/10*(1000/14.3-1000/8.5)))))))))</x:f>
        <x:v>3.7716940913647403</x:v>
      </x:c>
      <x:c r="O182" s="22" t="n">
        <x:v>482</x:v>
      </x:c>
      <x:c r="P182" s="26" t="n">
        <x:f>MAX(0,MIN('01_参数'!$B$20,'02_人物原始合计'!AM182/100,'01_参数'!$B$19+'02_人物原始合计'!AN182/100))</x:f>
        <x:v>0.4</x:v>
      </x:c>
      <x:c r="Q182" s="28" t="n">
        <x:f>((('02_人物原始合计'!E182+('02_人物原始合计'!F182-'02_人物原始合计'!E182)*IF(J182&gt;=12,1,0.5+0.5*MAX(0,J182)/12))*(1+'02_人物原始合计'!Q182/100))*(1+'02_人物原始合计'!U182/100+IF(J182&gt;=15,0.15,0))*(1+'02_人物原始合计'!V182/100)*(1+'02_人物原始合计'!T182)*(1+'02_人物原始合计'!W182*'01_参数'!$B$18)*(1+MAX(0,MIN(1,'02_人物原始合计'!X182/100))*('01_参数'!$B$16+'02_人物原始合计'!Y182/100-1))*(1+MAX(0,MIN(1,'02_人物原始合计'!Z182/100))*('01_参数'!$B$17+'02_人物原始合计'!AA182/100-1))+'02_人物原始合计'!AB182)*N182*'01_参数'!$B$7*'01_参数'!$B$8</x:f>
        <x:v>14231902.60140644</x:v>
      </x:c>
      <x:c r="R182" s="28" t="n">
        <x:f>Q182*'01_参数'!$B$5</x:f>
        <x:v>28463805.20281288</x:v>
      </x:c>
      <x:c r="S182" s="28" t="n">
        <x:f>(('02_人物原始合计'!E182+('02_人物原始合计'!F182-'02_人物原始合计'!E182)*IF(J182&gt;=12,1,0.5+0.5*MAX(0,J182)/12))*(1+'02_人物原始合计'!Q182/100))*(1+'02_人物原始合计'!U182/100+IF(J182&gt;=15,0.15,0))*(1+'02_人物原始合计'!V182/100)*(1+'02_人物原始合计'!T182)*(1+'02_人物原始合计'!W182*'01_参数'!$B$18)*(1+MAX(0,MIN(1,'02_人物原始合计'!X182/100))*('01_参数'!$B$16+'02_人物原始合计'!Y182/100-1))*(1+MAX(0,MIN(1,'02_人物原始合计'!Z182/100))*('01_参数'!$B$17+'02_人物原始合计'!AA182/100-1))*N182*'01_参数'!$B$7*'01_参数'!$B$8*MAX(0,'02_人物原始合计'!AO182/100)</x:f>
        <x:v>711595.1300703221</x:v>
      </x:c>
      <x:c r="T182" s="28" t="n">
        <x:f>S182*'01_参数'!$B$6</x:f>
        <x:v>925073.6690914187</x:v>
      </x:c>
      <x:c r="U182" s="28" t="n">
        <x:v>0</x:v>
      </x:c>
      <x:c r="V182" s="28" t="n">
        <x:f>T182+U182</x:f>
        <x:v>925073.6690914187</x:v>
      </x:c>
      <x:c r="W182" s="22" t="n">
        <x:v>16</x:v>
      </x:c>
      <x:c r="X182" s="22" t="n">
        <x:v>171</x:v>
      </x:c>
      <x:c r="Y182" s="22" t="str">
        <x:v>主线</x:v>
      </x:c>
    </x:row>
    <x:row r="183" ht="24" customHeight="1">
      <x:c r="A183" s="22" t="str">
        <x:v>P0179</x:v>
      </x:c>
      <x:c r="B183" s="22" t="n">
        <x:v>5</x:v>
      </x:c>
      <x:c r="C183" s="22" t="n">
        <x:v>6</x:v>
      </x:c>
      <x:c r="D183" s="22" t="str">
        <x:v>月蚀密殿司冕挑战前</x:v>
      </x:c>
      <x:c r="E183" s="26" t="n">
        <x:v>0.40436007425503784</x:v>
      </x:c>
      <x:c r="F183" s="22" t="n">
        <x:v>5</x:v>
      </x:c>
      <x:c r="G183" s="22" t="n">
        <x:v>137</x:v>
      </x:c>
      <x:c r="H183" s="22" t="n">
        <x:v>5</x:v>
      </x:c>
      <x:c r="I183" s="22" t="n">
        <x:v>5</x:v>
      </x:c>
      <x:c r="J183" s="22" t="n">
        <x:f>'02_人物原始合计'!AG183+'02_人物原始合计'!AH183</x:f>
        <x:v>15</x:v>
      </x:c>
      <x:c r="K183" s="28" t="n">
        <x:f>'02_人物原始合计'!F183*(1+'02_人物原始合计'!Q183/100)</x:f>
        <x:v>183473.36</x:v>
      </x:c>
      <x:c r="L183" s="28" t="n">
        <x:f>'02_人物原始合计'!K183*(1+'02_人物原始合计'!AV183/100)</x:f>
        <x:v>2328200</x:v>
      </x:c>
      <x:c r="M183" s="22" t="n">
        <x:f>MAX(0,MIN(50,'02_人物原始合计'!AD183,20+MIN(30,'02_人物原始合计'!AE183)))</x:f>
        <x:v>27</x:v>
      </x:c>
      <x:c r="N183" s="22" t="n">
        <x:f>IF(M183=0,1.75,IF(M183=10,2.2,IF(M183=20,2.9,IF(M183=30,4.3,IF(M183=40,8.5,IF(M183=50,14.3,IF(M183&lt;=40,1000/('01_参数'!$B$21-'01_参数'!$B$22*M183),1000/(1000/8.5+(M183-40)/10*(1000/14.3-1000/8.5)))))))))</x:f>
        <x:v>3.7716940913647403</x:v>
      </x:c>
      <x:c r="O183" s="22" t="n">
        <x:v>482</x:v>
      </x:c>
      <x:c r="P183" s="26" t="n">
        <x:f>MAX(0,MIN('01_参数'!$B$20,'02_人物原始合计'!AM183/100,'01_参数'!$B$19+'02_人物原始合计'!AN183/100))</x:f>
        <x:v>0.4</x:v>
      </x:c>
      <x:c r="Q183" s="28" t="n">
        <x:f>((('02_人物原始合计'!E183+('02_人物原始合计'!F183-'02_人物原始合计'!E183)*IF(J183&gt;=12,1,0.5+0.5*MAX(0,J183)/12))*(1+'02_人物原始合计'!Q183/100))*(1+'02_人物原始合计'!U183/100+IF(J183&gt;=15,0.15,0))*(1+'02_人物原始合计'!V183/100)*(1+'02_人物原始合计'!T183)*(1+'02_人物原始合计'!W183*'01_参数'!$B$18)*(1+MAX(0,MIN(1,'02_人物原始合计'!X183/100))*('01_参数'!$B$16+'02_人物原始合计'!Y183/100-1))*(1+MAX(0,MIN(1,'02_人物原始合计'!Z183/100))*('01_参数'!$B$17+'02_人物原始合计'!AA183/100-1))+'02_人物原始合计'!AB183)*N183*'01_参数'!$B$7*'01_参数'!$B$8</x:f>
        <x:v>14728800.871511925</x:v>
      </x:c>
      <x:c r="R183" s="28" t="n">
        <x:f>Q183*'01_参数'!$B$5</x:f>
        <x:v>29457601.74302385</x:v>
      </x:c>
      <x:c r="S183" s="28" t="n">
        <x:f>(('02_人物原始合计'!E183+('02_人物原始合计'!F183-'02_人物原始合计'!E183)*IF(J183&gt;=12,1,0.5+0.5*MAX(0,J183)/12))*(1+'02_人物原始合计'!Q183/100))*(1+'02_人物原始合计'!U183/100+IF(J183&gt;=15,0.15,0))*(1+'02_人物原始合计'!V183/100)*(1+'02_人物原始合计'!T183)*(1+'02_人物原始合计'!W183*'01_参数'!$B$18)*(1+MAX(0,MIN(1,'02_人物原始合计'!X183/100))*('01_参数'!$B$16+'02_人物原始合计'!Y183/100-1))*(1+MAX(0,MIN(1,'02_人物原始合计'!Z183/100))*('01_参数'!$B$17+'02_人物原始合计'!AA183/100-1))*N183*'01_参数'!$B$7*'01_参数'!$B$8*MAX(0,'02_人物原始合计'!AO183/100)</x:f>
        <x:v>736440.0435755963</x:v>
      </x:c>
      <x:c r="T183" s="28" t="n">
        <x:f>S183*'01_参数'!$B$6</x:f>
        <x:v>957372.0566482752</x:v>
      </x:c>
      <x:c r="U183" s="28" t="n">
        <x:v>0</x:v>
      </x:c>
      <x:c r="V183" s="28" t="n">
        <x:f>T183+U183</x:f>
        <x:v>957372.0566482752</x:v>
      </x:c>
      <x:c r="W183" s="22" t="n">
        <x:v>16</x:v>
      </x:c>
      <x:c r="X183" s="22" t="n">
        <x:v>171</x:v>
      </x:c>
      <x:c r="Y183" s="22" t="str">
        <x:v>主线</x:v>
      </x:c>
    </x:row>
    <x:row r="184" ht="24" customHeight="1">
      <x:c r="A184" s="22" t="str">
        <x:v>P0180</x:v>
      </x:c>
      <x:c r="B184" s="22" t="n">
        <x:v>5</x:v>
      </x:c>
      <x:c r="C184" s="22" t="n">
        <x:v>6</x:v>
      </x:c>
      <x:c r="D184" s="22" t="str">
        <x:v>卡利亚圣所摄政灵挑战前</x:v>
      </x:c>
      <x:c r="E184" s="26" t="n">
        <x:v>0.40436007425503784</x:v>
      </x:c>
      <x:c r="F184" s="22" t="n">
        <x:v>5</x:v>
      </x:c>
      <x:c r="G184" s="22" t="n">
        <x:v>137</x:v>
      </x:c>
      <x:c r="H184" s="22" t="n">
        <x:v>5</x:v>
      </x:c>
      <x:c r="I184" s="22" t="n">
        <x:v>5</x:v>
      </x:c>
      <x:c r="J184" s="22" t="n">
        <x:f>'02_人物原始合计'!AG184+'02_人物原始合计'!AH184</x:f>
        <x:v>15</x:v>
      </x:c>
      <x:c r="K184" s="28" t="n">
        <x:f>'02_人物原始合计'!F184*(1+'02_人物原始合计'!Q184/100)</x:f>
        <x:v>183473.36</x:v>
      </x:c>
      <x:c r="L184" s="28" t="n">
        <x:f>'02_人物原始合计'!K184*(1+'02_人物原始合计'!AV184/100)</x:f>
        <x:v>2328200</x:v>
      </x:c>
      <x:c r="M184" s="22" t="n">
        <x:f>MAX(0,MIN(50,'02_人物原始合计'!AD184,20+MIN(30,'02_人物原始合计'!AE184)))</x:f>
        <x:v>27</x:v>
      </x:c>
      <x:c r="N184" s="22" t="n">
        <x:f>IF(M184=0,1.75,IF(M184=10,2.2,IF(M184=20,2.9,IF(M184=30,4.3,IF(M184=40,8.5,IF(M184=50,14.3,IF(M184&lt;=40,1000/('01_参数'!$B$21-'01_参数'!$B$22*M184),1000/(1000/8.5+(M184-40)/10*(1000/14.3-1000/8.5)))))))))</x:f>
        <x:v>3.7716940913647403</x:v>
      </x:c>
      <x:c r="O184" s="22" t="n">
        <x:v>482</x:v>
      </x:c>
      <x:c r="P184" s="26" t="n">
        <x:f>MAX(0,MIN('01_参数'!$B$20,'02_人物原始合计'!AM184/100,'01_参数'!$B$19+'02_人物原始合计'!AN184/100))</x:f>
        <x:v>0.4</x:v>
      </x:c>
      <x:c r="Q184" s="28" t="n">
        <x:f>((('02_人物原始合计'!E184+('02_人物原始合计'!F184-'02_人物原始合计'!E184)*IF(J184&gt;=12,1,0.5+0.5*MAX(0,J184)/12))*(1+'02_人物原始合计'!Q184/100))*(1+'02_人物原始合计'!U184/100+IF(J184&gt;=15,0.15,0))*(1+'02_人物原始合计'!V184/100)*(1+'02_人物原始合计'!T184)*(1+'02_人物原始合计'!W184*'01_参数'!$B$18)*(1+MAX(0,MIN(1,'02_人物原始合计'!X184/100))*('01_参数'!$B$16+'02_人物原始合计'!Y184/100-1))*(1+MAX(0,MIN(1,'02_人物原始合计'!Z184/100))*('01_参数'!$B$17+'02_人物原始合计'!AA184/100-1))+'02_人物原始合计'!AB184)*N184*'01_参数'!$B$7*'01_参数'!$B$8</x:f>
        <x:v>14728800.871511925</x:v>
      </x:c>
      <x:c r="R184" s="28" t="n">
        <x:f>Q184*'01_参数'!$B$5</x:f>
        <x:v>29457601.74302385</x:v>
      </x:c>
      <x:c r="S184" s="28" t="n">
        <x:f>(('02_人物原始合计'!E184+('02_人物原始合计'!F184-'02_人物原始合计'!E184)*IF(J184&gt;=12,1,0.5+0.5*MAX(0,J184)/12))*(1+'02_人物原始合计'!Q184/100))*(1+'02_人物原始合计'!U184/100+IF(J184&gt;=15,0.15,0))*(1+'02_人物原始合计'!V184/100)*(1+'02_人物原始合计'!T184)*(1+'02_人物原始合计'!W184*'01_参数'!$B$18)*(1+MAX(0,MIN(1,'02_人物原始合计'!X184/100))*('01_参数'!$B$16+'02_人物原始合计'!Y184/100-1))*(1+MAX(0,MIN(1,'02_人物原始合计'!Z184/100))*('01_参数'!$B$17+'02_人物原始合计'!AA184/100-1))*N184*'01_参数'!$B$7*'01_参数'!$B$8*MAX(0,'02_人物原始合计'!AO184/100)</x:f>
        <x:v>736440.0435755963</x:v>
      </x:c>
      <x:c r="T184" s="28" t="n">
        <x:f>S184*'01_参数'!$B$6</x:f>
        <x:v>957372.0566482752</x:v>
      </x:c>
      <x:c r="U184" s="28" t="n">
        <x:v>0</x:v>
      </x:c>
      <x:c r="V184" s="28" t="n">
        <x:f>T184+U184</x:f>
        <x:v>957372.0566482752</x:v>
      </x:c>
      <x:c r="W184" s="22" t="n">
        <x:v>16</x:v>
      </x:c>
      <x:c r="X184" s="22" t="n">
        <x:v>171</x:v>
      </x:c>
      <x:c r="Y184" s="22" t="str">
        <x:v>主线</x:v>
      </x:c>
    </x:row>
    <x:row r="185" ht="24" customHeight="1">
      <x:c r="A185" s="22" t="str">
        <x:v>P0181</x:v>
      </x:c>
      <x:c r="B185" s="22" t="n">
        <x:v>5</x:v>
      </x:c>
      <x:c r="C185" s="22" t="n">
        <x:v>6</x:v>
      </x:c>
      <x:c r="D185" s="22" t="str">
        <x:v>卡利亚禁域BOSS装备快线</x:v>
      </x:c>
      <x:c r="E185" s="26" t="n">
        <x:v>0.4145349606273988</x:v>
      </x:c>
      <x:c r="F185" s="22" t="n">
        <x:v>5</x:v>
      </x:c>
      <x:c r="G185" s="22" t="n">
        <x:v>137</x:v>
      </x:c>
      <x:c r="H185" s="22" t="n">
        <x:v>5</x:v>
      </x:c>
      <x:c r="I185" s="22" t="n">
        <x:v>5</x:v>
      </x:c>
      <x:c r="J185" s="22" t="n">
        <x:f>'02_人物原始合计'!AG185+'02_人物原始合计'!AH185</x:f>
        <x:v>15</x:v>
      </x:c>
      <x:c r="K185" s="28" t="n">
        <x:f>'02_人物原始合计'!F185*(1+'02_人物原始合计'!Q185/100)</x:f>
        <x:v>181299.47000000003</x:v>
      </x:c>
      <x:c r="L185" s="28" t="n">
        <x:f>'02_人物原始合计'!K185*(1+'02_人物原始合计'!AV185/100)</x:f>
        <x:v>2362300</x:v>
      </x:c>
      <x:c r="M185" s="22" t="n">
        <x:f>MAX(0,MIN(50,'02_人物原始合计'!AD185,20+MIN(30,'02_人物原始合计'!AE185)))</x:f>
        <x:v>28</x:v>
      </x:c>
      <x:c r="N185" s="22" t="n">
        <x:f>IF(M185=0,1.75,IF(M185=10,2.2,IF(M185=20,2.9,IF(M185=30,4.3,IF(M185=40,8.5,IF(M185=50,14.3,IF(M185&lt;=40,1000/('01_参数'!$B$21-'01_参数'!$B$22*M185),1000/(1000/8.5+(M185-40)/10*(1000/14.3-1000/8.5)))))))))</x:f>
        <x:v>3.939530631556477</x:v>
      </x:c>
      <x:c r="O185" s="22" t="n">
        <x:v>482</x:v>
      </x:c>
      <x:c r="P185" s="26" t="n">
        <x:f>MAX(0,MIN('01_参数'!$B$20,'02_人物原始合计'!AM185/100,'01_参数'!$B$19+'02_人物原始合计'!AN185/100))</x:f>
        <x:v>0.4</x:v>
      </x:c>
      <x:c r="Q185" s="28" t="n">
        <x:f>((('02_人物原始合计'!E185+('02_人物原始合计'!F185-'02_人物原始合计'!E185)*IF(J185&gt;=12,1,0.5+0.5*MAX(0,J185)/12))*(1+'02_人物原始合计'!Q185/100))*(1+'02_人物原始合计'!U185/100+IF(J185&gt;=15,0.15,0))*(1+'02_人物原始合计'!V185/100)*(1+'02_人物原始合计'!T185)*(1+'02_人物原始合计'!W185*'01_参数'!$B$18)*(1+MAX(0,MIN(1,'02_人物原始合计'!X185/100))*('01_参数'!$B$16+'02_人物原始合计'!Y185/100-1))*(1+MAX(0,MIN(1,'02_人物原始合计'!Z185/100))*('01_参数'!$B$17+'02_人物原始合计'!AA185/100-1))+'02_人物原始合计'!AB185)*N185*'01_参数'!$B$7*'01_参数'!$B$8</x:f>
        <x:v>17444081.105005715</x:v>
      </x:c>
      <x:c r="R185" s="28" t="n">
        <x:f>Q185*'01_参数'!$B$5</x:f>
        <x:v>34888162.21001143</x:v>
      </x:c>
      <x:c r="S185" s="28" t="n">
        <x:f>(('02_人物原始合计'!E185+('02_人物原始合计'!F185-'02_人物原始合计'!E185)*IF(J185&gt;=12,1,0.5+0.5*MAX(0,J185)/12))*(1+'02_人物原始合计'!Q185/100))*(1+'02_人物原始合计'!U185/100+IF(J185&gt;=15,0.15,0))*(1+'02_人物原始合计'!V185/100)*(1+'02_人物原始合计'!T185)*(1+'02_人物原始合计'!W185*'01_参数'!$B$18)*(1+MAX(0,MIN(1,'02_人物原始合计'!X185/100))*('01_参数'!$B$16+'02_人物原始合计'!Y185/100-1))*(1+MAX(0,MIN(1,'02_人物原始合计'!Z185/100))*('01_参数'!$B$17+'02_人物原始合计'!AA185/100-1))*N185*'01_参数'!$B$7*'01_参数'!$B$8*MAX(0,'02_人物原始合计'!AO185/100)</x:f>
        <x:v>1221085.6773504002</x:v>
      </x:c>
      <x:c r="T185" s="28" t="n">
        <x:f>S185*'01_参数'!$B$6</x:f>
        <x:v>1587411.3805555203</x:v>
      </x:c>
      <x:c r="U185" s="28" t="n">
        <x:v>0</x:v>
      </x:c>
      <x:c r="V185" s="28" t="n">
        <x:f>T185+U185</x:f>
        <x:v>1587411.3805555203</x:v>
      </x:c>
      <x:c r="W185" s="22" t="n">
        <x:v>16</x:v>
      </x:c>
      <x:c r="X185" s="22" t="n">
        <x:v>171</x:v>
      </x:c>
      <x:c r="Y185" s="22" t="str">
        <x:v>C05G06BOSS强装对照</x:v>
      </x:c>
    </x:row>
    <x:row r="186" ht="24" customHeight="1">
      <x:c r="A186" s="22" t="str">
        <x:v>P0182</x:v>
      </x:c>
      <x:c r="B186" s="22" t="n">
        <x:v>5</x:v>
      </x:c>
      <x:c r="C186" s="22" t="n">
        <x:v>6</x:v>
      </x:c>
      <x:c r="D186" s="22" t="str">
        <x:v>卡利亚禁域阶段积累后</x:v>
      </x:c>
      <x:c r="E186" s="26" t="n">
        <x:v>0.4717924884286184</x:v>
      </x:c>
      <x:c r="F186" s="22" t="n">
        <x:v>5</x:v>
      </x:c>
      <x:c r="G186" s="22" t="n">
        <x:v>137</x:v>
      </x:c>
      <x:c r="H186" s="22" t="n">
        <x:v>5</x:v>
      </x:c>
      <x:c r="I186" s="22" t="n">
        <x:v>5</x:v>
      </x:c>
      <x:c r="J186" s="22" t="n">
        <x:f>'02_人物原始合计'!AG186+'02_人物原始合计'!AH186</x:f>
        <x:v>15</x:v>
      </x:c>
      <x:c r="K186" s="28" t="n">
        <x:f>'02_人物原始合计'!F186*(1+'02_人物原始合计'!Q186/100)</x:f>
        <x:v>209171.49000000002</x:v>
      </x:c>
      <x:c r="L186" s="28" t="n">
        <x:f>'02_人物原始合计'!K186*(1+'02_人物原始合计'!AV186/100)</x:f>
        <x:v>2388300</x:v>
      </x:c>
      <x:c r="M186" s="22" t="n">
        <x:f>MAX(0,MIN(50,'02_人物原始合计'!AD186,20+MIN(30,'02_人物原始合计'!AE186)))</x:f>
        <x:v>29</x:v>
      </x:c>
      <x:c r="N186" s="22" t="n">
        <x:f>IF(M186=0,1.75,IF(M186=10,2.2,IF(M186=20,2.9,IF(M186=30,4.3,IF(M186=40,8.5,IF(M186=50,14.3,IF(M186&lt;=40,1000/('01_参数'!$B$21-'01_参数'!$B$22*M186),1000/(1000/8.5+(M186-40)/10*(1000/14.3-1000/8.5)))))))))</x:f>
        <x:v>4.122999922945254</x:v>
      </x:c>
      <x:c r="O186" s="22" t="n">
        <x:v>482</x:v>
      </x:c>
      <x:c r="P186" s="26" t="n">
        <x:f>MAX(0,MIN('01_参数'!$B$20,'02_人物原始合计'!AM186/100,'01_参数'!$B$19+'02_人物原始合计'!AN186/100))</x:f>
        <x:v>0.4</x:v>
      </x:c>
      <x:c r="Q186" s="28" t="n">
        <x:f>((('02_人物原始合计'!E186+('02_人物原始合计'!F186-'02_人物原始合计'!E186)*IF(J186&gt;=12,1,0.5+0.5*MAX(0,J186)/12))*(1+'02_人物原始合计'!Q186/100))*(1+'02_人物原始合计'!U186/100+IF(J186&gt;=15,0.15,0))*(1+'02_人物原始合计'!V186/100)*(1+'02_人物原始合计'!T186)*(1+'02_人物原始合计'!W186*'01_参数'!$B$18)*(1+MAX(0,MIN(1,'02_人物原始合计'!X186/100))*('01_参数'!$B$16+'02_人物原始合计'!Y186/100-1))*(1+MAX(0,MIN(1,'02_人物原始合计'!Z186/100))*('01_参数'!$B$17+'02_人物原始合计'!AA186/100-1))+'02_人物原始合计'!AB186)*N186*'01_参数'!$B$7*'01_参数'!$B$8</x:f>
        <x:v>30524371.328613162</x:v>
      </x:c>
      <x:c r="R186" s="28" t="n">
        <x:f>Q186*'01_参数'!$B$5</x:f>
        <x:v>61048742.657226324</x:v>
      </x:c>
      <x:c r="S186" s="28" t="n">
        <x:f>(('02_人物原始合计'!E186+('02_人物原始合计'!F186-'02_人物原始合计'!E186)*IF(J186&gt;=12,1,0.5+0.5*MAX(0,J186)/12))*(1+'02_人物原始合计'!Q186/100))*(1+'02_人物原始合计'!U186/100+IF(J186&gt;=15,0.15,0))*(1+'02_人物原始合计'!V186/100)*(1+'02_人物原始合计'!T186)*(1+'02_人物原始合计'!W186*'01_参数'!$B$18)*(1+MAX(0,MIN(1,'02_人物原始合计'!X186/100))*('01_参数'!$B$16+'02_人物原始合计'!Y186/100-1))*(1+MAX(0,MIN(1,'02_人物原始合计'!Z186/100))*('01_参数'!$B$17+'02_人物原始合计'!AA186/100-1))*N186*'01_参数'!$B$7*'01_参数'!$B$8*MAX(0,'02_人物原始合计'!AO186/100)</x:f>
        <x:v>2136705.9930029213</x:v>
      </x:c>
      <x:c r="T186" s="28" t="n">
        <x:f>S186*'01_参数'!$B$6</x:f>
        <x:v>2777717.790903798</x:v>
      </x:c>
      <x:c r="U186" s="28" t="n">
        <x:v>0</x:v>
      </x:c>
      <x:c r="V186" s="28" t="n">
        <x:f>T186+U186</x:f>
        <x:v>2777717.790903798</x:v>
      </x:c>
      <x:c r="W186" s="22" t="n">
        <x:v>18</x:v>
      </x:c>
      <x:c r="X186" s="22" t="n">
        <x:v>172</x:v>
      </x:c>
      <x:c r="Y186" s="22" t="str">
        <x:v>主线</x:v>
      </x:c>
    </x:row>
    <x:row r="187" ht="24" customHeight="1">
      <x:c r="A187" s="22" t="str">
        <x:v>P0183</x:v>
      </x:c>
      <x:c r="B187" s="22" t="n">
        <x:v>5</x:v>
      </x:c>
      <x:c r="C187" s="22" t="n">
        <x:v>6</x:v>
      </x:c>
      <x:c r="D187" s="22" t="str">
        <x:v>C05守关前必做制作完成</x:v>
      </x:c>
      <x:c r="E187" s="26" t="n">
        <x:v>0.4717924884286184</x:v>
      </x:c>
      <x:c r="F187" s="22" t="n">
        <x:v>5</x:v>
      </x:c>
      <x:c r="G187" s="22" t="n">
        <x:v>137</x:v>
      </x:c>
      <x:c r="H187" s="22" t="n">
        <x:v>5</x:v>
      </x:c>
      <x:c r="I187" s="22" t="n">
        <x:v>5</x:v>
      </x:c>
      <x:c r="J187" s="22" t="n">
        <x:f>'02_人物原始合计'!AG187+'02_人物原始合计'!AH187</x:f>
        <x:v>15</x:v>
      </x:c>
      <x:c r="K187" s="28" t="n">
        <x:f>'02_人物原始合计'!F187*(1+'02_人物原始合计'!Q187/100)</x:f>
        <x:v>224856.71999999997</x:v>
      </x:c>
      <x:c r="L187" s="28" t="n">
        <x:f>'02_人物原始合计'!K187*(1+'02_人物原始合计'!AV187/100)</x:f>
        <x:v>2388300</x:v>
      </x:c>
      <x:c r="M187" s="22" t="n">
        <x:f>MAX(0,MIN(50,'02_人物原始合计'!AD187,20+MIN(30,'02_人物原始合计'!AE187)))</x:f>
        <x:v>29</x:v>
      </x:c>
      <x:c r="N187" s="22" t="n">
        <x:f>IF(M187=0,1.75,IF(M187=10,2.2,IF(M187=20,2.9,IF(M187=30,4.3,IF(M187=40,8.5,IF(M187=50,14.3,IF(M187&lt;=40,1000/('01_参数'!$B$21-'01_参数'!$B$22*M187),1000/(1000/8.5+(M187-40)/10*(1000/14.3-1000/8.5)))))))))</x:f>
        <x:v>4.122999922945254</x:v>
      </x:c>
      <x:c r="O187" s="22" t="n">
        <x:v>482</x:v>
      </x:c>
      <x:c r="P187" s="26" t="n">
        <x:f>MAX(0,MIN('01_参数'!$B$20,'02_人物原始合计'!AM187/100,'01_参数'!$B$19+'02_人物原始合计'!AN187/100))</x:f>
        <x:v>0.4</x:v>
      </x:c>
      <x:c r="Q187" s="28" t="n">
        <x:f>((('02_人物原始合计'!E187+('02_人物原始合计'!F187-'02_人物原始合计'!E187)*IF(J187&gt;=12,1,0.5+0.5*MAX(0,J187)/12))*(1+'02_人物原始合计'!Q187/100))*(1+'02_人物原始合计'!U187/100+IF(J187&gt;=15,0.15,0))*(1+'02_人物原始合计'!V187/100)*(1+'02_人物原始合计'!T187)*(1+'02_人物原始合计'!W187*'01_参数'!$B$18)*(1+MAX(0,MIN(1,'02_人物原始合计'!X187/100))*('01_参数'!$B$16+'02_人物原始合计'!Y187/100-1))*(1+MAX(0,MIN(1,'02_人物原始合计'!Z187/100))*('01_参数'!$B$17+'02_人物原始合计'!AA187/100-1))+'02_人物原始合计'!AB187)*N187*'01_参数'!$B$7*'01_参数'!$B$8</x:f>
        <x:v>32813315.127286214</x:v>
      </x:c>
      <x:c r="R187" s="28" t="n">
        <x:f>Q187*'01_参数'!$B$5</x:f>
        <x:v>65626630.25457243</x:v>
      </x:c>
      <x:c r="S187" s="28" t="n">
        <x:f>(('02_人物原始合计'!E187+('02_人物原始合计'!F187-'02_人物原始合计'!E187)*IF(J187&gt;=12,1,0.5+0.5*MAX(0,J187)/12))*(1+'02_人物原始合计'!Q187/100))*(1+'02_人物原始合计'!U187/100+IF(J187&gt;=15,0.15,0))*(1+'02_人物原始合计'!V187/100)*(1+'02_人物原始合计'!T187)*(1+'02_人物原始合计'!W187*'01_参数'!$B$18)*(1+MAX(0,MIN(1,'02_人物原始合计'!X187/100))*('01_参数'!$B$16+'02_人物原始合计'!Y187/100-1))*(1+MAX(0,MIN(1,'02_人物原始合计'!Z187/100))*('01_参数'!$B$17+'02_人物原始合计'!AA187/100-1))*N187*'01_参数'!$B$7*'01_参数'!$B$8*MAX(0,'02_人物原始合计'!AO187/100)</x:f>
        <x:v>2296932.058910035</x:v>
      </x:c>
      <x:c r="T187" s="28" t="n">
        <x:f>S187*'01_参数'!$B$6</x:f>
        <x:v>2986011.6765830456</x:v>
      </x:c>
      <x:c r="U187" s="28" t="n">
        <x:v>0</x:v>
      </x:c>
      <x:c r="V187" s="28" t="n">
        <x:f>T187+U187</x:f>
        <x:v>2986011.6765830456</x:v>
      </x:c>
      <x:c r="W187" s="22" t="n">
        <x:v>18</x:v>
      </x:c>
      <x:c r="X187" s="22" t="n">
        <x:v>172</x:v>
      </x:c>
      <x:c r="Y187" s="22" t="str">
        <x:v>主线</x:v>
      </x:c>
    </x:row>
    <x:row r="188" ht="24" customHeight="1">
      <x:c r="A188" s="22" t="str">
        <x:v>P0184</x:v>
      </x:c>
      <x:c r="B188" s="22" t="n">
        <x:v>5</x:v>
      </x:c>
      <x:c r="C188" s="22" t="n">
        <x:v>6</x:v>
      </x:c>
      <x:c r="D188" s="22" t="str">
        <x:v>C05约70%守关参考</x:v>
      </x:c>
      <x:c r="E188" s="26" t="n">
        <x:v>0.7042924884286182</x:v>
      </x:c>
      <x:c r="F188" s="22" t="n">
        <x:v>5</x:v>
      </x:c>
      <x:c r="G188" s="22" t="n">
        <x:v>137</x:v>
      </x:c>
      <x:c r="H188" s="22" t="n">
        <x:v>5</x:v>
      </x:c>
      <x:c r="I188" s="22" t="n">
        <x:v>5</x:v>
      </x:c>
      <x:c r="J188" s="22" t="n">
        <x:f>'02_人物原始合计'!AG188+'02_人物原始合计'!AH188</x:f>
        <x:v>15</x:v>
      </x:c>
      <x:c r="K188" s="28" t="n">
        <x:f>'02_人物原始合计'!F188*(1+'02_人物原始合计'!Q188/100)</x:f>
        <x:v>229634.24</x:v>
      </x:c>
      <x:c r="L188" s="28" t="n">
        <x:f>'02_人物原始合计'!K188*(1+'02_人物原始合计'!AV188/100)</x:f>
        <x:v>2437100</x:v>
      </x:c>
      <x:c r="M188" s="22" t="n">
        <x:f>MAX(0,MIN(50,'02_人物原始合计'!AD188,20+MIN(30,'02_人物原始合计'!AE188)))</x:f>
        <x:v>29</x:v>
      </x:c>
      <x:c r="N188" s="22" t="n">
        <x:f>IF(M188=0,1.75,IF(M188=10,2.2,IF(M188=20,2.9,IF(M188=30,4.3,IF(M188=40,8.5,IF(M188=50,14.3,IF(M188&lt;=40,1000/('01_参数'!$B$21-'01_参数'!$B$22*M188),1000/(1000/8.5+(M188-40)/10*(1000/14.3-1000/8.5)))))))))</x:f>
        <x:v>4.122999922945254</x:v>
      </x:c>
      <x:c r="O188" s="22" t="n">
        <x:v>587</x:v>
      </x:c>
      <x:c r="P188" s="26" t="n">
        <x:f>MAX(0,MIN('01_参数'!$B$20,'02_人物原始合计'!AM188/100,'01_参数'!$B$19+'02_人物原始合计'!AN188/100))</x:f>
        <x:v>0.4</x:v>
      </x:c>
      <x:c r="Q188" s="28" t="n">
        <x:f>((('02_人物原始合计'!E188+('02_人物原始合计'!F188-'02_人物原始合计'!E188)*IF(J188&gt;=12,1,0.5+0.5*MAX(0,J188)/12))*(1+'02_人物原始合计'!Q188/100))*(1+'02_人物原始合计'!U188/100+IF(J188&gt;=15,0.15,0))*(1+'02_人物原始合计'!V188/100)*(1+'02_人物原始合计'!T188)*(1+'02_人物原始合计'!W188*'01_参数'!$B$18)*(1+MAX(0,MIN(1,'02_人物原始合计'!X188/100))*('01_参数'!$B$16+'02_人物原始合计'!Y188/100-1))*(1+MAX(0,MIN(1,'02_人物原始合计'!Z188/100))*('01_参数'!$B$17+'02_人物原始合计'!AA188/100-1))+'02_人物原始合计'!AB188)*N188*'01_参数'!$B$7*'01_参数'!$B$8</x:f>
        <x:v>35711917.64910028</x:v>
      </x:c>
      <x:c r="R188" s="28" t="n">
        <x:f>Q188*'01_参数'!$B$5</x:f>
        <x:v>71423835.29820056</x:v>
      </x:c>
      <x:c r="S188" s="28" t="n">
        <x:f>(('02_人物原始合计'!E188+('02_人物原始合计'!F188-'02_人物原始合计'!E188)*IF(J188&gt;=12,1,0.5+0.5*MAX(0,J188)/12))*(1+'02_人物原始合计'!Q188/100))*(1+'02_人物原始合计'!U188/100+IF(J188&gt;=15,0.15,0))*(1+'02_人物原始合计'!V188/100)*(1+'02_人物原始合计'!T188)*(1+'02_人物原始合计'!W188*'01_参数'!$B$18)*(1+MAX(0,MIN(1,'02_人物原始合计'!X188/100))*('01_参数'!$B$16+'02_人物原始合计'!Y188/100-1))*(1+MAX(0,MIN(1,'02_人物原始合计'!Z188/100))*('01_参数'!$B$17+'02_人物原始合计'!AA188/100-1))*N188*'01_参数'!$B$7*'01_参数'!$B$8*MAX(0,'02_人物原始合计'!AO188/100)</x:f>
        <x:v>2499834.2354370197</x:v>
      </x:c>
      <x:c r="T188" s="28" t="n">
        <x:f>S188*'01_参数'!$B$6</x:f>
        <x:v>3249784.506068126</x:v>
      </x:c>
      <x:c r="U188" s="28" t="n">
        <x:v>0</x:v>
      </x:c>
      <x:c r="V188" s="28" t="n">
        <x:f>T188+U188</x:f>
        <x:v>3249784.506068126</x:v>
      </x:c>
      <x:c r="W188" s="22" t="n">
        <x:v>18</x:v>
      </x:c>
      <x:c r="X188" s="22" t="n">
        <x:v>208</x:v>
      </x:c>
      <x:c r="Y188" s="22" t="str">
        <x:v>主线</x:v>
      </x:c>
    </x:row>
    <x:row r="189" ht="24" customHeight="1">
      <x:c r="A189" s="22" t="str">
        <x:v>P0185</x:v>
      </x:c>
      <x:c r="B189" s="22" t="n">
        <x:v>5</x:v>
      </x:c>
      <x:c r="C189" s="22" t="n">
        <x:v>6</x:v>
      </x:c>
      <x:c r="D189" s="22" t="str">
        <x:v>C05高完成度参考</x:v>
      </x:c>
      <x:c r="E189" s="26" t="n">
        <x:v>0.9389804994865559</x:v>
      </x:c>
      <x:c r="F189" s="22" t="n">
        <x:v>5</x:v>
      </x:c>
      <x:c r="G189" s="22" t="n">
        <x:v>137</x:v>
      </x:c>
      <x:c r="H189" s="22" t="n">
        <x:v>5</x:v>
      </x:c>
      <x:c r="I189" s="22" t="n">
        <x:v>5</x:v>
      </x:c>
      <x:c r="J189" s="22" t="n">
        <x:f>'02_人物原始合计'!AG189+'02_人物原始合计'!AH189</x:f>
        <x:v>15</x:v>
      </x:c>
      <x:c r="K189" s="28" t="n">
        <x:f>'02_人物原始合计'!F189*(1+'02_人物原始合计'!Q189/100)</x:f>
        <x:v>264909.69</x:v>
      </x:c>
      <x:c r="L189" s="28" t="n">
        <x:f>'02_人物原始合计'!K189*(1+'02_人物原始合计'!AV189/100)</x:f>
        <x:v>2635000</x:v>
      </x:c>
      <x:c r="M189" s="22" t="n">
        <x:f>MAX(0,MIN(50,'02_人物原始合计'!AD189,20+MIN(30,'02_人物原始合计'!AE189)))</x:f>
        <x:v>29</x:v>
      </x:c>
      <x:c r="N189" s="22" t="n">
        <x:f>IF(M189=0,1.75,IF(M189=10,2.2,IF(M189=20,2.9,IF(M189=30,4.3,IF(M189=40,8.5,IF(M189=50,14.3,IF(M189&lt;=40,1000/('01_参数'!$B$21-'01_参数'!$B$22*M189),1000/(1000/8.5+(M189-40)/10*(1000/14.3-1000/8.5)))))))))</x:f>
        <x:v>4.122999922945254</x:v>
      </x:c>
      <x:c r="O189" s="22" t="n">
        <x:v>650</x:v>
      </x:c>
      <x:c r="P189" s="26" t="n">
        <x:f>MAX(0,MIN('01_参数'!$B$20,'02_人物原始合计'!AM189/100,'01_参数'!$B$19+'02_人物原始合计'!AN189/100))</x:f>
        <x:v>0.43</x:v>
      </x:c>
      <x:c r="Q189" s="28" t="n">
        <x:f>((('02_人物原始合计'!E189+('02_人物原始合计'!F189-'02_人物原始合计'!E189)*IF(J189&gt;=12,1,0.5+0.5*MAX(0,J189)/12))*(1+'02_人物原始合计'!Q189/100))*(1+'02_人物原始合计'!U189/100+IF(J189&gt;=15,0.15,0))*(1+'02_人物原始合计'!V189/100)*(1+'02_人物原始合计'!T189)*(1+'02_人物原始合计'!W189*'01_参数'!$B$18)*(1+MAX(0,MIN(1,'02_人物原始合计'!X189/100))*('01_参数'!$B$16+'02_人物原始合计'!Y189/100-1))*(1+MAX(0,MIN(1,'02_人物原始合计'!Z189/100))*('01_参数'!$B$17+'02_人物原始合计'!AA189/100-1))+'02_人物原始合计'!AB189)*N189*'01_参数'!$B$7*'01_参数'!$B$8</x:f>
        <x:v>50706746.15069318</x:v>
      </x:c>
      <x:c r="R189" s="28" t="n">
        <x:f>Q189*'01_参数'!$B$5</x:f>
        <x:v>101413492.30138636</x:v>
      </x:c>
      <x:c r="S189" s="28" t="n">
        <x:f>(('02_人物原始合计'!E189+('02_人物原始合计'!F189-'02_人物原始合计'!E189)*IF(J189&gt;=12,1,0.5+0.5*MAX(0,J189)/12))*(1+'02_人物原始合计'!Q189/100))*(1+'02_人物原始合计'!U189/100+IF(J189&gt;=15,0.15,0))*(1+'02_人物原始合计'!V189/100)*(1+'02_人物原始合计'!T189)*(1+'02_人物原始合计'!W189*'01_参数'!$B$18)*(1+MAX(0,MIN(1,'02_人物原始合计'!X189/100))*('01_参数'!$B$16+'02_人物原始合计'!Y189/100-1))*(1+MAX(0,MIN(1,'02_人物原始合计'!Z189/100))*('01_参数'!$B$17+'02_人物原始合计'!AA189/100-1))*N189*'01_参数'!$B$7*'01_参数'!$B$8*MAX(0,'02_人物原始合计'!AO189/100)</x:f>
        <x:v>3549472.230548523</x:v>
      </x:c>
      <x:c r="T189" s="28" t="n">
        <x:f>S189*'01_参数'!$B$6</x:f>
        <x:v>4614313.89971308</x:v>
      </x:c>
      <x:c r="U189" s="28" t="n">
        <x:v>0</x:v>
      </x:c>
      <x:c r="V189" s="28" t="n">
        <x:f>T189+U189</x:f>
        <x:v>4614313.89971308</x:v>
      </x:c>
      <x:c r="W189" s="22" t="n">
        <x:v>18</x:v>
      </x:c>
      <x:c r="X189" s="22" t="n">
        <x:v>240</x:v>
      </x:c>
      <x:c r="Y189" s="22" t="str">
        <x:v>C05高完成度</x:v>
      </x:c>
    </x:row>
    <x:row r="190" ht="24" customHeight="1">
      <x:c r="A190" s="22" t="str">
        <x:v>P0186</x:v>
      </x:c>
      <x:c r="B190" s="22" t="n">
        <x:v>5</x:v>
      </x:c>
      <x:c r="C190" s="22" t="n">
        <x:v>6</x:v>
      </x:c>
      <x:c r="D190" s="22" t="str">
        <x:v>C05守关后继承</x:v>
      </x:c>
      <x:c r="E190" s="26" t="n">
        <x:v>0.7042924884286182</x:v>
      </x:c>
      <x:c r="F190" s="22" t="n">
        <x:v>5</x:v>
      </x:c>
      <x:c r="G190" s="22" t="n">
        <x:v>137</x:v>
      </x:c>
      <x:c r="H190" s="22" t="n">
        <x:v>5</x:v>
      </x:c>
      <x:c r="I190" s="22" t="n">
        <x:v>6</x:v>
      </x:c>
      <x:c r="J190" s="22" t="n">
        <x:f>'02_人物原始合计'!AG190+'02_人物原始合计'!AH190</x:f>
        <x:v>15</x:v>
      </x:c>
      <x:c r="K190" s="28" t="n">
        <x:f>'02_人物原始合计'!F190*(1+'02_人物原始合计'!Q190/100)</x:f>
        <x:v>229634.24</x:v>
      </x:c>
      <x:c r="L190" s="28" t="n">
        <x:f>'02_人物原始合计'!K190*(1+'02_人物原始合计'!AV190/100)</x:f>
        <x:v>2437100</x:v>
      </x:c>
      <x:c r="M190" s="22" t="n">
        <x:f>MAX(0,MIN(50,'02_人物原始合计'!AD190,20+MIN(30,'02_人物原始合计'!AE190)))</x:f>
        <x:v>29</x:v>
      </x:c>
      <x:c r="N190" s="22" t="n">
        <x:f>IF(M190=0,1.75,IF(M190=10,2.2,IF(M190=20,2.9,IF(M190=30,4.3,IF(M190=40,8.5,IF(M190=50,14.3,IF(M190&lt;=40,1000/('01_参数'!$B$21-'01_参数'!$B$22*M190),1000/(1000/8.5+(M190-40)/10*(1000/14.3-1000/8.5)))))))))</x:f>
        <x:v>4.122999922945254</x:v>
      </x:c>
      <x:c r="O190" s="22" t="n">
        <x:v>587</x:v>
      </x:c>
      <x:c r="P190" s="26" t="n">
        <x:f>MAX(0,MIN('01_参数'!$B$20,'02_人物原始合计'!AM190/100,'01_参数'!$B$19+'02_人物原始合计'!AN190/100))</x:f>
        <x:v>0.4</x:v>
      </x:c>
      <x:c r="Q190" s="28" t="n">
        <x:f>((('02_人物原始合计'!E190+('02_人物原始合计'!F190-'02_人物原始合计'!E190)*IF(J190&gt;=12,1,0.5+0.5*MAX(0,J190)/12))*(1+'02_人物原始合计'!Q190/100))*(1+'02_人物原始合计'!U190/100+IF(J190&gt;=15,0.15,0))*(1+'02_人物原始合计'!V190/100)*(1+'02_人物原始合计'!T190)*(1+'02_人物原始合计'!W190*'01_参数'!$B$18)*(1+MAX(0,MIN(1,'02_人物原始合计'!X190/100))*('01_参数'!$B$16+'02_人物原始合计'!Y190/100-1))*(1+MAX(0,MIN(1,'02_人物原始合计'!Z190/100))*('01_参数'!$B$17+'02_人物原始合计'!AA190/100-1))+'02_人物原始合计'!AB190)*N190*'01_参数'!$B$7*'01_参数'!$B$8</x:f>
        <x:v>41134071.367993616</x:v>
      </x:c>
      <x:c r="R190" s="28" t="n">
        <x:f>Q190*'01_参数'!$B$5</x:f>
        <x:v>82268142.73598723</x:v>
      </x:c>
      <x:c r="S190" s="28" t="n">
        <x:f>(('02_人物原始合计'!E190+('02_人物原始合计'!F190-'02_人物原始合计'!E190)*IF(J190&gt;=12,1,0.5+0.5*MAX(0,J190)/12))*(1+'02_人物原始合计'!Q190/100))*(1+'02_人物原始合计'!U190/100+IF(J190&gt;=15,0.15,0))*(1+'02_人物原始合计'!V190/100)*(1+'02_人物原始合计'!T190)*(1+'02_人物原始合计'!W190*'01_参数'!$B$18)*(1+MAX(0,MIN(1,'02_人物原始合计'!X190/100))*('01_参数'!$B$16+'02_人物原始合计'!Y190/100-1))*(1+MAX(0,MIN(1,'02_人物原始合计'!Z190/100))*('01_参数'!$B$17+'02_人物原始合计'!AA190/100-1))*N190*'01_参数'!$B$7*'01_参数'!$B$8*MAX(0,'02_人物原始合计'!AO190/100)</x:f>
        <x:v>2879384.9957595533</x:v>
      </x:c>
      <x:c r="T190" s="28" t="n">
        <x:f>S190*'01_参数'!$B$6</x:f>
        <x:v>3743200.4944874193</x:v>
      </x:c>
      <x:c r="U190" s="28" t="n">
        <x:v>0</x:v>
      </x:c>
      <x:c r="V190" s="28" t="n">
        <x:f>T190+U190</x:f>
        <x:v>3743200.4944874193</x:v>
      </x:c>
      <x:c r="W190" s="22" t="n">
        <x:v>18</x:v>
      </x:c>
      <x:c r="X190" s="22" t="n">
        <x:v>208</x:v>
      </x:c>
      <x:c r="Y190" s="22" t="str">
        <x:v>主线</x:v>
      </x:c>
    </x:row>
    <x:row r="191" ht="24" customHeight="1">
      <x:c r="A191" s="22" t="str">
        <x:v>P0187</x:v>
      </x:c>
      <x:c r="B191" s="22" t="n">
        <x:v>6</x:v>
      </x:c>
      <x:c r="C191" s="22" t="n">
        <x:v>1</x:v>
      </x:c>
      <x:c r="D191" s="22" t="str">
        <x:v>C06入场继承</x:v>
      </x:c>
      <x:c r="E191" s="26" t="n">
        <x:v>0.10293251910165434</x:v>
      </x:c>
      <x:c r="F191" s="22" t="n">
        <x:v>5</x:v>
      </x:c>
      <x:c r="G191" s="22" t="n">
        <x:v>137</x:v>
      </x:c>
      <x:c r="H191" s="22" t="n">
        <x:v>5</x:v>
      </x:c>
      <x:c r="I191" s="22" t="n">
        <x:v>6</x:v>
      </x:c>
      <x:c r="J191" s="22" t="n">
        <x:f>'02_人物原始合计'!AG191+'02_人物原始合计'!AH191</x:f>
        <x:v>15</x:v>
      </x:c>
      <x:c r="K191" s="28" t="n">
        <x:f>'02_人物原始合计'!F191*(1+'02_人物原始合计'!Q191/100)</x:f>
        <x:v>229634.24</x:v>
      </x:c>
      <x:c r="L191" s="28" t="n">
        <x:f>'02_人物原始合计'!K191*(1+'02_人物原始合计'!AV191/100)</x:f>
        <x:v>2437100</x:v>
      </x:c>
      <x:c r="M191" s="22" t="n">
        <x:f>MAX(0,MIN(50,'02_人物原始合计'!AD191,20+MIN(30,'02_人物原始合计'!AE191)))</x:f>
        <x:v>29</x:v>
      </x:c>
      <x:c r="N191" s="22" t="n">
        <x:f>IF(M191=0,1.75,IF(M191=10,2.2,IF(M191=20,2.9,IF(M191=30,4.3,IF(M191=40,8.5,IF(M191=50,14.3,IF(M191&lt;=40,1000/('01_参数'!$B$21-'01_参数'!$B$22*M191),1000/(1000/8.5+(M191-40)/10*(1000/14.3-1000/8.5)))))))))</x:f>
        <x:v>4.122999922945254</x:v>
      </x:c>
      <x:c r="O191" s="22" t="n">
        <x:v>587</x:v>
      </x:c>
      <x:c r="P191" s="26" t="n">
        <x:f>MAX(0,MIN('01_参数'!$B$20,'02_人物原始合计'!AM191/100,'01_参数'!$B$19+'02_人物原始合计'!AN191/100))</x:f>
        <x:v>0.4</x:v>
      </x:c>
      <x:c r="Q191" s="28" t="n">
        <x:f>((('02_人物原始合计'!E191+('02_人物原始合计'!F191-'02_人物原始合计'!E191)*IF(J191&gt;=12,1,0.5+0.5*MAX(0,J191)/12))*(1+'02_人物原始合计'!Q191/100))*(1+'02_人物原始合计'!U191/100+IF(J191&gt;=15,0.15,0))*(1+'02_人物原始合计'!V191/100)*(1+'02_人物原始合计'!T191)*(1+'02_人物原始合计'!W191*'01_参数'!$B$18)*(1+MAX(0,MIN(1,'02_人物原始合计'!X191/100))*('01_参数'!$B$16+'02_人物原始合计'!Y191/100-1))*(1+MAX(0,MIN(1,'02_人物原始合计'!Z191/100))*('01_参数'!$B$17+'02_人物原始合计'!AA191/100-1))+'02_人物原始合计'!AB191)*N191*'01_参数'!$B$7*'01_参数'!$B$8</x:f>
        <x:v>41134071.367993616</x:v>
      </x:c>
      <x:c r="R191" s="28" t="n">
        <x:f>Q191*'01_参数'!$B$5</x:f>
        <x:v>82268142.73598723</x:v>
      </x:c>
      <x:c r="S191" s="28" t="n">
        <x:f>(('02_人物原始合计'!E191+('02_人物原始合计'!F191-'02_人物原始合计'!E191)*IF(J191&gt;=12,1,0.5+0.5*MAX(0,J191)/12))*(1+'02_人物原始合计'!Q191/100))*(1+'02_人物原始合计'!U191/100+IF(J191&gt;=15,0.15,0))*(1+'02_人物原始合计'!V191/100)*(1+'02_人物原始合计'!T191)*(1+'02_人物原始合计'!W191*'01_参数'!$B$18)*(1+MAX(0,MIN(1,'02_人物原始合计'!X191/100))*('01_参数'!$B$16+'02_人物原始合计'!Y191/100-1))*(1+MAX(0,MIN(1,'02_人物原始合计'!Z191/100))*('01_参数'!$B$17+'02_人物原始合计'!AA191/100-1))*N191*'01_参数'!$B$7*'01_参数'!$B$8*MAX(0,'02_人物原始合计'!AO191/100)</x:f>
        <x:v>2879384.9957595533</x:v>
      </x:c>
      <x:c r="T191" s="28" t="n">
        <x:f>S191*'01_参数'!$B$6</x:f>
        <x:v>3743200.4944874193</x:v>
      </x:c>
      <x:c r="U191" s="28" t="n">
        <x:v>0</x:v>
      </x:c>
      <x:c r="V191" s="28" t="n">
        <x:f>T191+U191</x:f>
        <x:v>3743200.4944874193</x:v>
      </x:c>
      <x:c r="W191" s="22" t="n">
        <x:v>18</x:v>
      </x:c>
      <x:c r="X191" s="22" t="n">
        <x:v>208</x:v>
      </x:c>
      <x:c r="Y191" s="22" t="str">
        <x:v>主线</x:v>
      </x:c>
    </x:row>
    <x:row r="192" ht="24" customHeight="1">
      <x:c r="A192" s="22" t="str">
        <x:v>P0188</x:v>
      </x:c>
      <x:c r="B192" s="22" t="n">
        <x:v>6</x:v>
      </x:c>
      <x:c r="C192" s="22" t="n">
        <x:v>1</x:v>
      </x:c>
      <x:c r="D192" s="22" t="str">
        <x:v>C06本阶段既有付费/长期成长</x:v>
      </x:c>
      <x:c r="E192" s="26" t="n">
        <x:v>0.10293251910165434</x:v>
      </x:c>
      <x:c r="F192" s="22" t="n">
        <x:v>5</x:v>
      </x:c>
      <x:c r="G192" s="22" t="n">
        <x:v>140</x:v>
      </x:c>
      <x:c r="H192" s="22" t="n">
        <x:v>5</x:v>
      </x:c>
      <x:c r="I192" s="22" t="n">
        <x:v>6</x:v>
      </x:c>
      <x:c r="J192" s="22" t="n">
        <x:f>'02_人物原始合计'!AG192+'02_人物原始合计'!AH192</x:f>
        <x:v>15</x:v>
      </x:c>
      <x:c r="K192" s="28" t="n">
        <x:f>'02_人物原始合计'!F192*(1+'02_人物原始合计'!Q192/100)</x:f>
        <x:v>240287.31999999998</x:v>
      </x:c>
      <x:c r="L192" s="28" t="n">
        <x:f>'02_人物原始合计'!K192*(1+'02_人物原始合计'!AV192/100)</x:f>
        <x:v>2478800</x:v>
      </x:c>
      <x:c r="M192" s="22" t="n">
        <x:f>MAX(0,MIN(50,'02_人物原始合计'!AD192,20+MIN(30,'02_人物原始合计'!AE192)))</x:f>
        <x:v>29</x:v>
      </x:c>
      <x:c r="N192" s="22" t="n">
        <x:f>IF(M192=0,1.75,IF(M192=10,2.2,IF(M192=20,2.9,IF(M192=30,4.3,IF(M192=40,8.5,IF(M192=50,14.3,IF(M192&lt;=40,1000/('01_参数'!$B$21-'01_参数'!$B$22*M192),1000/(1000/8.5+(M192-40)/10*(1000/14.3-1000/8.5)))))))))</x:f>
        <x:v>4.122999922945254</x:v>
      </x:c>
      <x:c r="O192" s="22" t="n">
        <x:v>587</x:v>
      </x:c>
      <x:c r="P192" s="26" t="n">
        <x:f>MAX(0,MIN('01_参数'!$B$20,'02_人物原始合计'!AM192/100,'01_参数'!$B$19+'02_人物原始合计'!AN192/100))</x:f>
        <x:v>0.4</x:v>
      </x:c>
      <x:c r="Q192" s="28" t="n">
        <x:f>((('02_人物原始合计'!E192+('02_人物原始合计'!F192-'02_人物原始合计'!E192)*IF(J192&gt;=12,1,0.5+0.5*MAX(0,J192)/12))*(1+'02_人物原始合计'!Q192/100))*(1+'02_人物原始合计'!U192/100+IF(J192&gt;=15,0.15,0))*(1+'02_人物原始合计'!V192/100)*(1+'02_人物原始合计'!T192)*(1+'02_人物原始合计'!W192*'01_参数'!$B$18)*(1+MAX(0,MIN(1,'02_人物原始合计'!X192/100))*('01_参数'!$B$16+'02_人物原始合计'!Y192/100-1))*(1+MAX(0,MIN(1,'02_人物原始合计'!Z192/100))*('01_参数'!$B$17+'02_人物原始合计'!AA192/100-1))+'02_人物原始合计'!AB192)*N192*'01_参数'!$B$7*'01_参数'!$B$8</x:f>
        <x:v>43042343.20501994</x:v>
      </x:c>
      <x:c r="R192" s="28" t="n">
        <x:f>Q192*'01_参数'!$B$5</x:f>
        <x:v>86084686.41003989</x:v>
      </x:c>
      <x:c r="S192" s="28" t="n">
        <x:f>(('02_人物原始合计'!E192+('02_人物原始合计'!F192-'02_人物原始合计'!E192)*IF(J192&gt;=12,1,0.5+0.5*MAX(0,J192)/12))*(1+'02_人物原始合计'!Q192/100))*(1+'02_人物原始合计'!U192/100+IF(J192&gt;=15,0.15,0))*(1+'02_人物原始合计'!V192/100)*(1+'02_人物原始合计'!T192)*(1+'02_人物原始合计'!W192*'01_参数'!$B$18)*(1+MAX(0,MIN(1,'02_人物原始合计'!X192/100))*('01_参数'!$B$16+'02_人物原始合计'!Y192/100-1))*(1+MAX(0,MIN(1,'02_人物原始合计'!Z192/100))*('01_参数'!$B$17+'02_人物原始合计'!AA192/100-1))*N192*'01_参数'!$B$7*'01_参数'!$B$8*MAX(0,'02_人物原始合计'!AO192/100)</x:f>
        <x:v>3012964.024351396</x:v>
      </x:c>
      <x:c r="T192" s="28" t="n">
        <x:f>S192*'01_参数'!$B$6</x:f>
        <x:v>3916853.231656815</x:v>
      </x:c>
      <x:c r="U192" s="28" t="n">
        <x:v>0</x:v>
      </x:c>
      <x:c r="V192" s="28" t="n">
        <x:f>T192+U192</x:f>
        <x:v>3916853.231656815</x:v>
      </x:c>
      <x:c r="W192" s="22" t="n">
        <x:v>18</x:v>
      </x:c>
      <x:c r="X192" s="22" t="n">
        <x:v>208</x:v>
      </x:c>
      <x:c r="Y192" s="22" t="str">
        <x:v>主线</x:v>
      </x:c>
    </x:row>
    <x:row r="193" ht="24" customHeight="1">
      <x:c r="A193" s="22" t="str">
        <x:v>P0189</x:v>
      </x:c>
      <x:c r="B193" s="22" t="n">
        <x:v>6</x:v>
      </x:c>
      <x:c r="C193" s="22" t="n">
        <x:v>1</x:v>
      </x:c>
      <x:c r="D193" s="22" t="str">
        <x:v>C06G01入场</x:v>
      </x:c>
      <x:c r="E193" s="26" t="n">
        <x:v>0.10293251910165434</x:v>
      </x:c>
      <x:c r="F193" s="22" t="n">
        <x:v>5</x:v>
      </x:c>
      <x:c r="G193" s="22" t="n">
        <x:v>140</x:v>
      </x:c>
      <x:c r="H193" s="22" t="n">
        <x:v>5</x:v>
      </x:c>
      <x:c r="I193" s="22" t="n">
        <x:v>6</x:v>
      </x:c>
      <x:c r="J193" s="22" t="n">
        <x:f>'02_人物原始合计'!AG193+'02_人物原始合计'!AH193</x:f>
        <x:v>15</x:v>
      </x:c>
      <x:c r="K193" s="28" t="n">
        <x:f>'02_人物原始合计'!F193*(1+'02_人物原始合计'!Q193/100)</x:f>
        <x:v>240287.31999999998</x:v>
      </x:c>
      <x:c r="L193" s="28" t="n">
        <x:f>'02_人物原始合计'!K193*(1+'02_人物原始合计'!AV193/100)</x:f>
        <x:v>2478800</x:v>
      </x:c>
      <x:c r="M193" s="22" t="n">
        <x:f>MAX(0,MIN(50,'02_人物原始合计'!AD193,20+MIN(30,'02_人物原始合计'!AE193)))</x:f>
        <x:v>29</x:v>
      </x:c>
      <x:c r="N193" s="22" t="n">
        <x:f>IF(M193=0,1.75,IF(M193=10,2.2,IF(M193=20,2.9,IF(M193=30,4.3,IF(M193=40,8.5,IF(M193=50,14.3,IF(M193&lt;=40,1000/('01_参数'!$B$21-'01_参数'!$B$22*M193),1000/(1000/8.5+(M193-40)/10*(1000/14.3-1000/8.5)))))))))</x:f>
        <x:v>4.122999922945254</x:v>
      </x:c>
      <x:c r="O193" s="22" t="n">
        <x:v>587</x:v>
      </x:c>
      <x:c r="P193" s="26" t="n">
        <x:f>MAX(0,MIN('01_参数'!$B$20,'02_人物原始合计'!AM193/100,'01_参数'!$B$19+'02_人物原始合计'!AN193/100))</x:f>
        <x:v>0.4</x:v>
      </x:c>
      <x:c r="Q193" s="28" t="n">
        <x:f>((('02_人物原始合计'!E193+('02_人物原始合计'!F193-'02_人物原始合计'!E193)*IF(J193&gt;=12,1,0.5+0.5*MAX(0,J193)/12))*(1+'02_人物原始合计'!Q193/100))*(1+'02_人物原始合计'!U193/100+IF(J193&gt;=15,0.15,0))*(1+'02_人物原始合计'!V193/100)*(1+'02_人物原始合计'!T193)*(1+'02_人物原始合计'!W193*'01_参数'!$B$18)*(1+MAX(0,MIN(1,'02_人物原始合计'!X193/100))*('01_参数'!$B$16+'02_人物原始合计'!Y193/100-1))*(1+MAX(0,MIN(1,'02_人物原始合计'!Z193/100))*('01_参数'!$B$17+'02_人物原始合计'!AA193/100-1))+'02_人物原始合计'!AB193)*N193*'01_参数'!$B$7*'01_参数'!$B$8</x:f>
        <x:v>43042343.20501994</x:v>
      </x:c>
      <x:c r="R193" s="28" t="n">
        <x:f>Q193*'01_参数'!$B$5</x:f>
        <x:v>86084686.41003989</x:v>
      </x:c>
      <x:c r="S193" s="28" t="n">
        <x:f>(('02_人物原始合计'!E193+('02_人物原始合计'!F193-'02_人物原始合计'!E193)*IF(J193&gt;=12,1,0.5+0.5*MAX(0,J193)/12))*(1+'02_人物原始合计'!Q193/100))*(1+'02_人物原始合计'!U193/100+IF(J193&gt;=15,0.15,0))*(1+'02_人物原始合计'!V193/100)*(1+'02_人物原始合计'!T193)*(1+'02_人物原始合计'!W193*'01_参数'!$B$18)*(1+MAX(0,MIN(1,'02_人物原始合计'!X193/100))*('01_参数'!$B$16+'02_人物原始合计'!Y193/100-1))*(1+MAX(0,MIN(1,'02_人物原始合计'!Z193/100))*('01_参数'!$B$17+'02_人物原始合计'!AA193/100-1))*N193*'01_参数'!$B$7*'01_参数'!$B$8*MAX(0,'02_人物原始合计'!AO193/100)</x:f>
        <x:v>3012964.024351396</x:v>
      </x:c>
      <x:c r="T193" s="28" t="n">
        <x:f>S193*'01_参数'!$B$6</x:f>
        <x:v>3916853.231656815</x:v>
      </x:c>
      <x:c r="U193" s="28" t="n">
        <x:v>0</x:v>
      </x:c>
      <x:c r="V193" s="28" t="n">
        <x:f>T193+U193</x:f>
        <x:v>3916853.231656815</x:v>
      </x:c>
      <x:c r="W193" s="22" t="n">
        <x:v>18</x:v>
      </x:c>
      <x:c r="X193" s="22" t="n">
        <x:v>208</x:v>
      </x:c>
      <x:c r="Y193" s="22" t="str">
        <x:v>主线</x:v>
      </x:c>
    </x:row>
    <x:row r="194" ht="24" customHeight="1">
      <x:c r="A194" s="22" t="str">
        <x:v>P0190</x:v>
      </x:c>
      <x:c r="B194" s="22" t="n">
        <x:v>6</x:v>
      </x:c>
      <x:c r="C194" s="22" t="n">
        <x:v>1</x:v>
      </x:c>
      <x:c r="D194" s="22" t="str">
        <x:v>C06G01普通专属4/6</x:v>
      </x:c>
      <x:c r="E194" s="26" t="n">
        <x:v>0.10293251910165434</x:v>
      </x:c>
      <x:c r="F194" s="22" t="n">
        <x:v>5</x:v>
      </x:c>
      <x:c r="G194" s="22" t="n">
        <x:v>140</x:v>
      </x:c>
      <x:c r="H194" s="22" t="n">
        <x:v>5</x:v>
      </x:c>
      <x:c r="I194" s="22" t="n">
        <x:v>6</x:v>
      </x:c>
      <x:c r="J194" s="22" t="n">
        <x:f>'02_人物原始合计'!AG194+'02_人物原始合计'!AH194</x:f>
        <x:v>15</x:v>
      </x:c>
      <x:c r="K194" s="28" t="n">
        <x:f>'02_人物原始合计'!F194*(1+'02_人物原始合计'!Q194/100)</x:f>
        <x:v>240287.31999999998</x:v>
      </x:c>
      <x:c r="L194" s="28" t="n">
        <x:f>'02_人物原始合计'!K194*(1+'02_人物原始合计'!AV194/100)</x:f>
        <x:v>2478800</x:v>
      </x:c>
      <x:c r="M194" s="22" t="n">
        <x:f>MAX(0,MIN(50,'02_人物原始合计'!AD194,20+MIN(30,'02_人物原始合计'!AE194)))</x:f>
        <x:v>29</x:v>
      </x:c>
      <x:c r="N194" s="22" t="n">
        <x:f>IF(M194=0,1.75,IF(M194=10,2.2,IF(M194=20,2.9,IF(M194=30,4.3,IF(M194=40,8.5,IF(M194=50,14.3,IF(M194&lt;=40,1000/('01_参数'!$B$21-'01_参数'!$B$22*M194),1000/(1000/8.5+(M194-40)/10*(1000/14.3-1000/8.5)))))))))</x:f>
        <x:v>4.122999922945254</x:v>
      </x:c>
      <x:c r="O194" s="22" t="n">
        <x:v>587</x:v>
      </x:c>
      <x:c r="P194" s="26" t="n">
        <x:f>MAX(0,MIN('01_参数'!$B$20,'02_人物原始合计'!AM194/100,'01_参数'!$B$19+'02_人物原始合计'!AN194/100))</x:f>
        <x:v>0.4</x:v>
      </x:c>
      <x:c r="Q194" s="28" t="n">
        <x:f>((('02_人物原始合计'!E194+('02_人物原始合计'!F194-'02_人物原始合计'!E194)*IF(J194&gt;=12,1,0.5+0.5*MAX(0,J194)/12))*(1+'02_人物原始合计'!Q194/100))*(1+'02_人物原始合计'!U194/100+IF(J194&gt;=15,0.15,0))*(1+'02_人物原始合计'!V194/100)*(1+'02_人物原始合计'!T194)*(1+'02_人物原始合计'!W194*'01_参数'!$B$18)*(1+MAX(0,MIN(1,'02_人物原始合计'!X194/100))*('01_参数'!$B$16+'02_人物原始合计'!Y194/100-1))*(1+MAX(0,MIN(1,'02_人物原始合计'!Z194/100))*('01_参数'!$B$17+'02_人物原始合计'!AA194/100-1))+'02_人物原始合计'!AB194)*N194*'01_参数'!$B$7*'01_参数'!$B$8</x:f>
        <x:v>43042343.20501994</x:v>
      </x:c>
      <x:c r="R194" s="28" t="n">
        <x:f>Q194*'01_参数'!$B$5</x:f>
        <x:v>86084686.41003989</x:v>
      </x:c>
      <x:c r="S194" s="28" t="n">
        <x:f>(('02_人物原始合计'!E194+('02_人物原始合计'!F194-'02_人物原始合计'!E194)*IF(J194&gt;=12,1,0.5+0.5*MAX(0,J194)/12))*(1+'02_人物原始合计'!Q194/100))*(1+'02_人物原始合计'!U194/100+IF(J194&gt;=15,0.15,0))*(1+'02_人物原始合计'!V194/100)*(1+'02_人物原始合计'!T194)*(1+'02_人物原始合计'!W194*'01_参数'!$B$18)*(1+MAX(0,MIN(1,'02_人物原始合计'!X194/100))*('01_参数'!$B$16+'02_人物原始合计'!Y194/100-1))*(1+MAX(0,MIN(1,'02_人物原始合计'!Z194/100))*('01_参数'!$B$17+'02_人物原始合计'!AA194/100-1))*N194*'01_参数'!$B$7*'01_参数'!$B$8*MAX(0,'02_人物原始合计'!AO194/100)</x:f>
        <x:v>3012964.024351396</x:v>
      </x:c>
      <x:c r="T194" s="28" t="n">
        <x:f>S194*'01_参数'!$B$6</x:f>
        <x:v>3916853.231656815</x:v>
      </x:c>
      <x:c r="U194" s="28" t="n">
        <x:v>0</x:v>
      </x:c>
      <x:c r="V194" s="28" t="n">
        <x:f>T194+U194</x:f>
        <x:v>3916853.231656815</x:v>
      </x:c>
      <x:c r="W194" s="22" t="n">
        <x:v>18</x:v>
      </x:c>
      <x:c r="X194" s="22" t="n">
        <x:v>208</x:v>
      </x:c>
      <x:c r="Y194" s="22" t="str">
        <x:v>主线</x:v>
      </x:c>
    </x:row>
    <x:row r="195" ht="24" customHeight="1">
      <x:c r="A195" s="22" t="str">
        <x:v>P0191</x:v>
      </x:c>
      <x:c r="B195" s="22" t="n">
        <x:v>6</x:v>
      </x:c>
      <x:c r="C195" s="22" t="n">
        <x:v>1</x:v>
      </x:c>
      <x:c r="D195" s="22" t="str">
        <x:v>火蚀巨像·巴洛挑战前</x:v>
      </x:c>
      <x:c r="E195" s="26" t="n">
        <x:v>0.10293251910165434</x:v>
      </x:c>
      <x:c r="F195" s="22" t="n">
        <x:v>5</x:v>
      </x:c>
      <x:c r="G195" s="22" t="n">
        <x:v>145</x:v>
      </x:c>
      <x:c r="H195" s="22" t="n">
        <x:v>5</x:v>
      </x:c>
      <x:c r="I195" s="22" t="n">
        <x:v>6</x:v>
      </x:c>
      <x:c r="J195" s="22" t="n">
        <x:f>'02_人物原始合计'!AG195+'02_人物原始合计'!AH195</x:f>
        <x:v>15</x:v>
      </x:c>
      <x:c r="K195" s="28" t="n">
        <x:f>'02_人物原始合计'!F195*(1+'02_人物原始合计'!Q195/100)</x:f>
        <x:v>247465.91999999998</x:v>
      </x:c>
      <x:c r="L195" s="28" t="n">
        <x:f>'02_人物原始合计'!K195*(1+'02_人物原始合计'!AV195/100)</x:f>
        <x:v>2550300</x:v>
      </x:c>
      <x:c r="M195" s="22" t="n">
        <x:f>MAX(0,MIN(50,'02_人物原始合计'!AD195,20+MIN(30,'02_人物原始合计'!AE195)))</x:f>
        <x:v>29</x:v>
      </x:c>
      <x:c r="N195" s="22" t="n">
        <x:f>IF(M195=0,1.75,IF(M195=10,2.2,IF(M195=20,2.9,IF(M195=30,4.3,IF(M195=40,8.5,IF(M195=50,14.3,IF(M195&lt;=40,1000/('01_参数'!$B$21-'01_参数'!$B$22*M195),1000/(1000/8.5+(M195-40)/10*(1000/14.3-1000/8.5)))))))))</x:f>
        <x:v>4.122999922945254</x:v>
      </x:c>
      <x:c r="O195" s="22" t="n">
        <x:v>587</x:v>
      </x:c>
      <x:c r="P195" s="26" t="n">
        <x:f>MAX(0,MIN('01_参数'!$B$20,'02_人物原始合计'!AM195/100,'01_参数'!$B$19+'02_人物原始合计'!AN195/100))</x:f>
        <x:v>0.4</x:v>
      </x:c>
      <x:c r="Q195" s="28" t="n">
        <x:f>((('02_人物原始合计'!E195+('02_人物原始合计'!F195-'02_人物原始合计'!E195)*IF(J195&gt;=12,1,0.5+0.5*MAX(0,J195)/12))*(1+'02_人物原始合计'!Q195/100))*(1+'02_人物原始合计'!U195/100+IF(J195&gt;=15,0.15,0))*(1+'02_人物原始合计'!V195/100)*(1+'02_人物原始合计'!T195)*(1+'02_人物原始合计'!W195*'01_参数'!$B$18)*(1+MAX(0,MIN(1,'02_人物原始合计'!X195/100))*('01_参数'!$B$16+'02_人物原始合计'!Y195/100-1))*(1+MAX(0,MIN(1,'02_人物原始合计'!Z195/100))*('01_参数'!$B$17+'02_人物原始合计'!AA195/100-1))+'02_人物原始合计'!AB195)*N195*'01_参数'!$B$7*'01_参数'!$B$8</x:f>
        <x:v>44328236.13075384</x:v>
      </x:c>
      <x:c r="R195" s="28" t="n">
        <x:f>Q195*'01_参数'!$B$5</x:f>
        <x:v>88656472.26150768</x:v>
      </x:c>
      <x:c r="S195" s="28" t="n">
        <x:f>(('02_人物原始合计'!E195+('02_人物原始合计'!F195-'02_人物原始合计'!E195)*IF(J195&gt;=12,1,0.5+0.5*MAX(0,J195)/12))*(1+'02_人物原始合计'!Q195/100))*(1+'02_人物原始合计'!U195/100+IF(J195&gt;=15,0.15,0))*(1+'02_人物原始合计'!V195/100)*(1+'02_人物原始合计'!T195)*(1+'02_人物原始合计'!W195*'01_参数'!$B$18)*(1+MAX(0,MIN(1,'02_人物原始合计'!X195/100))*('01_参数'!$B$16+'02_人物原始合计'!Y195/100-1))*(1+MAX(0,MIN(1,'02_人物原始合计'!Z195/100))*('01_参数'!$B$17+'02_人物原始合计'!AA195/100-1))*N195*'01_参数'!$B$7*'01_参数'!$B$8*MAX(0,'02_人物原始合计'!AO195/100)</x:f>
        <x:v>3102976.529152769</x:v>
      </x:c>
      <x:c r="T195" s="28" t="n">
        <x:f>S195*'01_参数'!$B$6</x:f>
        <x:v>4033869.4878986</x:v>
      </x:c>
      <x:c r="U195" s="28" t="n">
        <x:v>0</x:v>
      </x:c>
      <x:c r="V195" s="28" t="n">
        <x:f>T195+U195</x:f>
        <x:v>4033869.4878986</x:v>
      </x:c>
      <x:c r="W195" s="22" t="n">
        <x:v>18</x:v>
      </x:c>
      <x:c r="X195" s="22" t="n">
        <x:v>208</x:v>
      </x:c>
      <x:c r="Y195" s="22" t="str">
        <x:v>主线</x:v>
      </x:c>
    </x:row>
    <x:row r="196" ht="24" customHeight="1">
      <x:c r="A196" s="22" t="str">
        <x:v>P0192</x:v>
      </x:c>
      <x:c r="B196" s="22" t="n">
        <x:v>6</x:v>
      </x:c>
      <x:c r="C196" s="22" t="n">
        <x:v>1</x:v>
      </x:c>
      <x:c r="D196" s="22" t="str">
        <x:v>猩红熔母·瑟芮挑战前</x:v>
      </x:c>
      <x:c r="E196" s="26" t="n">
        <x:v>0.10293251910165434</x:v>
      </x:c>
      <x:c r="F196" s="22" t="n">
        <x:v>5</x:v>
      </x:c>
      <x:c r="G196" s="22" t="n">
        <x:v>145</x:v>
      </x:c>
      <x:c r="H196" s="22" t="n">
        <x:v>5</x:v>
      </x:c>
      <x:c r="I196" s="22" t="n">
        <x:v>6</x:v>
      </x:c>
      <x:c r="J196" s="22" t="n">
        <x:f>'02_人物原始合计'!AG196+'02_人物原始合计'!AH196</x:f>
        <x:v>15</x:v>
      </x:c>
      <x:c r="K196" s="28" t="n">
        <x:f>'02_人物原始合计'!F196*(1+'02_人物原始合计'!Q196/100)</x:f>
        <x:v>247465.91999999998</x:v>
      </x:c>
      <x:c r="L196" s="28" t="n">
        <x:f>'02_人物原始合计'!K196*(1+'02_人物原始合计'!AV196/100)</x:f>
        <x:v>2550300</x:v>
      </x:c>
      <x:c r="M196" s="22" t="n">
        <x:f>MAX(0,MIN(50,'02_人物原始合计'!AD196,20+MIN(30,'02_人物原始合计'!AE196)))</x:f>
        <x:v>29</x:v>
      </x:c>
      <x:c r="N196" s="22" t="n">
        <x:f>IF(M196=0,1.75,IF(M196=10,2.2,IF(M196=20,2.9,IF(M196=30,4.3,IF(M196=40,8.5,IF(M196=50,14.3,IF(M196&lt;=40,1000/('01_参数'!$B$21-'01_参数'!$B$22*M196),1000/(1000/8.5+(M196-40)/10*(1000/14.3-1000/8.5)))))))))</x:f>
        <x:v>4.122999922945254</x:v>
      </x:c>
      <x:c r="O196" s="22" t="n">
        <x:v>587</x:v>
      </x:c>
      <x:c r="P196" s="26" t="n">
        <x:f>MAX(0,MIN('01_参数'!$B$20,'02_人物原始合计'!AM196/100,'01_参数'!$B$19+'02_人物原始合计'!AN196/100))</x:f>
        <x:v>0.4</x:v>
      </x:c>
      <x:c r="Q196" s="28" t="n">
        <x:f>((('02_人物原始合计'!E196+('02_人物原始合计'!F196-'02_人物原始合计'!E196)*IF(J196&gt;=12,1,0.5+0.5*MAX(0,J196)/12))*(1+'02_人物原始合计'!Q196/100))*(1+'02_人物原始合计'!U196/100+IF(J196&gt;=15,0.15,0))*(1+'02_人物原始合计'!V196/100)*(1+'02_人物原始合计'!T196)*(1+'02_人物原始合计'!W196*'01_参数'!$B$18)*(1+MAX(0,MIN(1,'02_人物原始合计'!X196/100))*('01_参数'!$B$16+'02_人物原始合计'!Y196/100-1))*(1+MAX(0,MIN(1,'02_人物原始合计'!Z196/100))*('01_参数'!$B$17+'02_人物原始合计'!AA196/100-1))+'02_人物原始合计'!AB196)*N196*'01_参数'!$B$7*'01_参数'!$B$8</x:f>
        <x:v>44328236.13075384</x:v>
      </x:c>
      <x:c r="R196" s="28" t="n">
        <x:f>Q196*'01_参数'!$B$5</x:f>
        <x:v>88656472.26150768</x:v>
      </x:c>
      <x:c r="S196" s="28" t="n">
        <x:f>(('02_人物原始合计'!E196+('02_人物原始合计'!F196-'02_人物原始合计'!E196)*IF(J196&gt;=12,1,0.5+0.5*MAX(0,J196)/12))*(1+'02_人物原始合计'!Q196/100))*(1+'02_人物原始合计'!U196/100+IF(J196&gt;=15,0.15,0))*(1+'02_人物原始合计'!V196/100)*(1+'02_人物原始合计'!T196)*(1+'02_人物原始合计'!W196*'01_参数'!$B$18)*(1+MAX(0,MIN(1,'02_人物原始合计'!X196/100))*('01_参数'!$B$16+'02_人物原始合计'!Y196/100-1))*(1+MAX(0,MIN(1,'02_人物原始合计'!Z196/100))*('01_参数'!$B$17+'02_人物原始合计'!AA196/100-1))*N196*'01_参数'!$B$7*'01_参数'!$B$8*MAX(0,'02_人物原始合计'!AO196/100)</x:f>
        <x:v>3102976.529152769</x:v>
      </x:c>
      <x:c r="T196" s="28" t="n">
        <x:f>S196*'01_参数'!$B$6</x:f>
        <x:v>4033869.4878986</x:v>
      </x:c>
      <x:c r="U196" s="28" t="n">
        <x:v>0</x:v>
      </x:c>
      <x:c r="V196" s="28" t="n">
        <x:f>T196+U196</x:f>
        <x:v>4033869.4878986</x:v>
      </x:c>
      <x:c r="W196" s="22" t="n">
        <x:v>18</x:v>
      </x:c>
      <x:c r="X196" s="22" t="n">
        <x:v>208</x:v>
      </x:c>
      <x:c r="Y196" s="22" t="str">
        <x:v>主线</x:v>
      </x:c>
    </x:row>
    <x:row r="197" ht="24" customHeight="1">
      <x:c r="A197" s="22" t="str">
        <x:v>P0193</x:v>
      </x:c>
      <x:c r="B197" s="22" t="n">
        <x:v>6</x:v>
      </x:c>
      <x:c r="C197" s="22" t="n">
        <x:v>1</x:v>
      </x:c>
      <x:c r="D197" s="22" t="str">
        <x:v>猩红熔原BOSS装备快线</x:v>
      </x:c>
      <x:c r="E197" s="26" t="n">
        <x:v>0.11162817127556739</x:v>
      </x:c>
      <x:c r="F197" s="22" t="n">
        <x:v>5</x:v>
      </x:c>
      <x:c r="G197" s="22" t="n">
        <x:v>145</x:v>
      </x:c>
      <x:c r="H197" s="22" t="n">
        <x:v>5</x:v>
      </x:c>
      <x:c r="I197" s="22" t="n">
        <x:v>6</x:v>
      </x:c>
      <x:c r="J197" s="22" t="n">
        <x:f>'02_人物原始合计'!AG197+'02_人物原始合计'!AH197</x:f>
        <x:v>15</x:v>
      </x:c>
      <x:c r="K197" s="28" t="n">
        <x:f>'02_人物原始合计'!F197*(1+'02_人物原始合计'!Q197/100)</x:f>
        <x:v>252990.59999999998</x:v>
      </x:c>
      <x:c r="L197" s="28" t="n">
        <x:f>'02_人物原始合计'!K197*(1+'02_人物原始合计'!AV197/100)</x:f>
        <x:v>2611300</x:v>
      </x:c>
      <x:c r="M197" s="22" t="n">
        <x:f>MAX(0,MIN(50,'02_人物原始合计'!AD197,20+MIN(30,'02_人物原始合计'!AE197)))</x:f>
        <x:v>29</x:v>
      </x:c>
      <x:c r="N197" s="22" t="n">
        <x:f>IF(M197=0,1.75,IF(M197=10,2.2,IF(M197=20,2.9,IF(M197=30,4.3,IF(M197=40,8.5,IF(M197=50,14.3,IF(M197&lt;=40,1000/('01_参数'!$B$21-'01_参数'!$B$22*M197),1000/(1000/8.5+(M197-40)/10*(1000/14.3-1000/8.5)))))))))</x:f>
        <x:v>4.122999922945254</x:v>
      </x:c>
      <x:c r="O197" s="22" t="n">
        <x:v>587</x:v>
      </x:c>
      <x:c r="P197" s="26" t="n">
        <x:f>MAX(0,MIN('01_参数'!$B$20,'02_人物原始合计'!AM197/100,'01_参数'!$B$19+'02_人物原始合计'!AN197/100))</x:f>
        <x:v>0.41</x:v>
      </x:c>
      <x:c r="Q197" s="28" t="n">
        <x:f>((('02_人物原始合计'!E197+('02_人物原始合计'!F197-'02_人物原始合计'!E197)*IF(J197&gt;=12,1,0.5+0.5*MAX(0,J197)/12))*(1+'02_人物原始合计'!Q197/100))*(1+'02_人物原始合计'!U197/100+IF(J197&gt;=15,0.15,0))*(1+'02_人物原始合计'!V197/100)*(1+'02_人物原始合计'!T197)*(1+'02_人物原始合计'!W197*'01_参数'!$B$18)*(1+MAX(0,MIN(1,'02_人物原始合计'!X197/100))*('01_参数'!$B$16+'02_人物原始合计'!Y197/100-1))*(1+MAX(0,MIN(1,'02_人物原始合计'!Z197/100))*('01_参数'!$B$17+'02_人物原始合计'!AA197/100-1))+'02_人物原始合计'!AB197)*N197*'01_参数'!$B$7*'01_参数'!$B$8</x:f>
        <x:v>45317864.59994609</x:v>
      </x:c>
      <x:c r="R197" s="28" t="n">
        <x:f>Q197*'01_参数'!$B$5</x:f>
        <x:v>90635729.19989218</x:v>
      </x:c>
      <x:c r="S197" s="28" t="n">
        <x:f>(('02_人物原始合计'!E197+('02_人物原始合计'!F197-'02_人物原始合计'!E197)*IF(J197&gt;=12,1,0.5+0.5*MAX(0,J197)/12))*(1+'02_人物原始合计'!Q197/100))*(1+'02_人物原始合计'!U197/100+IF(J197&gt;=15,0.15,0))*(1+'02_人物原始合计'!V197/100)*(1+'02_人物原始合计'!T197)*(1+'02_人物原始合计'!W197*'01_参数'!$B$18)*(1+MAX(0,MIN(1,'02_人物原始合计'!X197/100))*('01_参数'!$B$16+'02_人物原始合计'!Y197/100-1))*(1+MAX(0,MIN(1,'02_人物原始合计'!Z197/100))*('01_参数'!$B$17+'02_人物原始合计'!AA197/100-1))*N197*'01_参数'!$B$7*'01_参数'!$B$8*MAX(0,'02_人物原始合计'!AO197/100)</x:f>
        <x:v>3172250.5219962266</x:v>
      </x:c>
      <x:c r="T197" s="28" t="n">
        <x:f>S197*'01_参数'!$B$6</x:f>
        <x:v>4123925.678595095</x:v>
      </x:c>
      <x:c r="U197" s="28" t="n">
        <x:v>0</x:v>
      </x:c>
      <x:c r="V197" s="28" t="n">
        <x:f>T197+U197</x:f>
        <x:v>4123925.678595095</x:v>
      </x:c>
      <x:c r="W197" s="22" t="n">
        <x:v>18</x:v>
      </x:c>
      <x:c r="X197" s="22" t="n">
        <x:v>208</x:v>
      </x:c>
      <x:c r="Y197" s="22" t="str">
        <x:v>C06G01BOSS强装对照</x:v>
      </x:c>
    </x:row>
    <x:row r="198" ht="24" customHeight="1">
      <x:c r="A198" s="22" t="str">
        <x:v>P0194</x:v>
      </x:c>
      <x:c r="B198" s="22" t="n">
        <x:v>6</x:v>
      </x:c>
      <x:c r="C198" s="22" t="n">
        <x:v>1</x:v>
      </x:c>
      <x:c r="D198" s="22" t="str">
        <x:v>猩红熔原阶段积累后</x:v>
      </x:c>
      <x:c r="E198" s="26" t="n">
        <x:v>0.11088706455619979</x:v>
      </x:c>
      <x:c r="F198" s="22" t="n">
        <x:v>5</x:v>
      </x:c>
      <x:c r="G198" s="22" t="n">
        <x:v>145</x:v>
      </x:c>
      <x:c r="H198" s="22" t="n">
        <x:v>10</x:v>
      </x:c>
      <x:c r="I198" s="22" t="n">
        <x:v>6</x:v>
      </x:c>
      <x:c r="J198" s="22" t="n">
        <x:f>'02_人物原始合计'!AG198+'02_人物原始合计'!AH198</x:f>
        <x:v>15</x:v>
      </x:c>
      <x:c r="K198" s="28" t="n">
        <x:f>'02_人物原始合计'!F198*(1+'02_人物原始合计'!Q198/100)</x:f>
        <x:v>247586.39999999997</x:v>
      </x:c>
      <x:c r="L198" s="28" t="n">
        <x:f>'02_人物原始合计'!K198*(1+'02_人物原始合计'!AV198/100)</x:f>
        <x:v>2551500</x:v>
      </x:c>
      <x:c r="M198" s="22" t="n">
        <x:f>MAX(0,MIN(50,'02_人物原始合计'!AD198,20+MIN(30,'02_人物原始合计'!AE198)))</x:f>
        <x:v>29</x:v>
      </x:c>
      <x:c r="N198" s="22" t="n">
        <x:f>IF(M198=0,1.75,IF(M198=10,2.2,IF(M198=20,2.9,IF(M198=30,4.3,IF(M198=40,8.5,IF(M198=50,14.3,IF(M198&lt;=40,1000/('01_参数'!$B$21-'01_参数'!$B$22*M198),1000/(1000/8.5+(M198-40)/10*(1000/14.3-1000/8.5)))))))))</x:f>
        <x:v>4.122999922945254</x:v>
      </x:c>
      <x:c r="O198" s="22" t="n">
        <x:v>587</x:v>
      </x:c>
      <x:c r="P198" s="26" t="n">
        <x:f>MAX(0,MIN('01_参数'!$B$20,'02_人物原始合计'!AM198/100,'01_参数'!$B$19+'02_人物原始合计'!AN198/100))</x:f>
        <x:v>0.4</x:v>
      </x:c>
      <x:c r="Q198" s="28" t="n">
        <x:f>((('02_人物原始合计'!E198+('02_人物原始合计'!F198-'02_人物原始合计'!E198)*IF(J198&gt;=12,1,0.5+0.5*MAX(0,J198)/12))*(1+'02_人物原始合计'!Q198/100))*(1+'02_人物原始合计'!U198/100+IF(J198&gt;=15,0.15,0))*(1+'02_人物原始合计'!V198/100)*(1+'02_人物原始合计'!T198)*(1+'02_人物原始合计'!W198*'01_参数'!$B$18)*(1+MAX(0,MIN(1,'02_人物原始合计'!X198/100))*('01_参数'!$B$16+'02_人物原始合计'!Y198/100-1))*(1+MAX(0,MIN(1,'02_人物原始合计'!Z198/100))*('01_参数'!$B$17+'02_人物原始合计'!AA198/100-1))+'02_人物原始合计'!AB198)*N198*'01_参数'!$B$7*'01_参数'!$B$8</x:f>
        <x:v>51943964.391323134</x:v>
      </x:c>
      <x:c r="R198" s="28" t="n">
        <x:f>Q198*'01_参数'!$B$5</x:f>
        <x:v>103887928.78264627</x:v>
      </x:c>
      <x:c r="S198" s="28" t="n">
        <x:f>(('02_人物原始合计'!E198+('02_人物原始合计'!F198-'02_人物原始合计'!E198)*IF(J198&gt;=12,1,0.5+0.5*MAX(0,J198)/12))*(1+'02_人物原始合计'!Q198/100))*(1+'02_人物原始合计'!U198/100+IF(J198&gt;=15,0.15,0))*(1+'02_人物原始合计'!V198/100)*(1+'02_人物原始合计'!T198)*(1+'02_人物原始合计'!W198*'01_参数'!$B$18)*(1+MAX(0,MIN(1,'02_人物原始合计'!X198/100))*('01_参数'!$B$16+'02_人物原始合计'!Y198/100-1))*(1+MAX(0,MIN(1,'02_人物原始合计'!Z198/100))*('01_参数'!$B$17+'02_人物原始合计'!AA198/100-1))*N198*'01_参数'!$B$7*'01_参数'!$B$8*MAX(0,'02_人物原始合计'!AO198/100)</x:f>
        <x:v>3636077.5073926197</x:v>
      </x:c>
      <x:c r="T198" s="28" t="n">
        <x:f>S198*'01_参数'!$B$6</x:f>
        <x:v>4726900.759610406</x:v>
      </x:c>
      <x:c r="U198" s="28" t="n">
        <x:v>0</x:v>
      </x:c>
      <x:c r="V198" s="28" t="n">
        <x:f>T198+U198</x:f>
        <x:v>4726900.759610406</x:v>
      </x:c>
      <x:c r="W198" s="22" t="n">
        <x:v>18</x:v>
      </x:c>
      <x:c r="X198" s="22" t="n">
        <x:v>209</x:v>
      </x:c>
      <x:c r="Y198" s="22" t="str">
        <x:v>主线</x:v>
      </x:c>
    </x:row>
    <x:row r="199" ht="24" customHeight="1">
      <x:c r="A199" s="22" t="str">
        <x:v>P0195</x:v>
      </x:c>
      <x:c r="B199" s="22" t="n">
        <x:v>6</x:v>
      </x:c>
      <x:c r="C199" s="22" t="n">
        <x:v>2</x:v>
      </x:c>
      <x:c r="D199" s="22" t="str">
        <x:v>C06G02入场</x:v>
      </x:c>
      <x:c r="E199" s="26" t="n">
        <x:v>0.11088706455619979</x:v>
      </x:c>
      <x:c r="F199" s="22" t="n">
        <x:v>5</x:v>
      </x:c>
      <x:c r="G199" s="22" t="n">
        <x:v>145</x:v>
      </x:c>
      <x:c r="H199" s="22" t="n">
        <x:v>10</x:v>
      </x:c>
      <x:c r="I199" s="22" t="n">
        <x:v>6</x:v>
      </x:c>
      <x:c r="J199" s="22" t="n">
        <x:f>'02_人物原始合计'!AG199+'02_人物原始合计'!AH199</x:f>
        <x:v>15</x:v>
      </x:c>
      <x:c r="K199" s="28" t="n">
        <x:f>'02_人物原始合计'!F199*(1+'02_人物原始合计'!Q199/100)</x:f>
        <x:v>247586.39999999997</x:v>
      </x:c>
      <x:c r="L199" s="28" t="n">
        <x:f>'02_人物原始合计'!K199*(1+'02_人物原始合计'!AV199/100)</x:f>
        <x:v>2551500</x:v>
      </x:c>
      <x:c r="M199" s="22" t="n">
        <x:f>MAX(0,MIN(50,'02_人物原始合计'!AD199,20+MIN(30,'02_人物原始合计'!AE199)))</x:f>
        <x:v>29</x:v>
      </x:c>
      <x:c r="N199" s="22" t="n">
        <x:f>IF(M199=0,1.75,IF(M199=10,2.2,IF(M199=20,2.9,IF(M199=30,4.3,IF(M199=40,8.5,IF(M199=50,14.3,IF(M199&lt;=40,1000/('01_参数'!$B$21-'01_参数'!$B$22*M199),1000/(1000/8.5+(M199-40)/10*(1000/14.3-1000/8.5)))))))))</x:f>
        <x:v>4.122999922945254</x:v>
      </x:c>
      <x:c r="O199" s="22" t="n">
        <x:v>587</x:v>
      </x:c>
      <x:c r="P199" s="26" t="n">
        <x:f>MAX(0,MIN('01_参数'!$B$20,'02_人物原始合计'!AM199/100,'01_参数'!$B$19+'02_人物原始合计'!AN199/100))</x:f>
        <x:v>0.4</x:v>
      </x:c>
      <x:c r="Q199" s="28" t="n">
        <x:f>((('02_人物原始合计'!E199+('02_人物原始合计'!F199-'02_人物原始合计'!E199)*IF(J199&gt;=12,1,0.5+0.5*MAX(0,J199)/12))*(1+'02_人物原始合计'!Q199/100))*(1+'02_人物原始合计'!U199/100+IF(J199&gt;=15,0.15,0))*(1+'02_人物原始合计'!V199/100)*(1+'02_人物原始合计'!T199)*(1+'02_人物原始合计'!W199*'01_参数'!$B$18)*(1+MAX(0,MIN(1,'02_人物原始合计'!X199/100))*('01_参数'!$B$16+'02_人物原始合计'!Y199/100-1))*(1+MAX(0,MIN(1,'02_人物原始合计'!Z199/100))*('01_参数'!$B$17+'02_人物原始合计'!AA199/100-1))+'02_人物原始合计'!AB199)*N199*'01_参数'!$B$7*'01_参数'!$B$8</x:f>
        <x:v>51943964.391323134</x:v>
      </x:c>
      <x:c r="R199" s="28" t="n">
        <x:f>Q199*'01_参数'!$B$5</x:f>
        <x:v>103887928.78264627</x:v>
      </x:c>
      <x:c r="S199" s="28" t="n">
        <x:f>(('02_人物原始合计'!E199+('02_人物原始合计'!F199-'02_人物原始合计'!E199)*IF(J199&gt;=12,1,0.5+0.5*MAX(0,J199)/12))*(1+'02_人物原始合计'!Q199/100))*(1+'02_人物原始合计'!U199/100+IF(J199&gt;=15,0.15,0))*(1+'02_人物原始合计'!V199/100)*(1+'02_人物原始合计'!T199)*(1+'02_人物原始合计'!W199*'01_参数'!$B$18)*(1+MAX(0,MIN(1,'02_人物原始合计'!X199/100))*('01_参数'!$B$16+'02_人物原始合计'!Y199/100-1))*(1+MAX(0,MIN(1,'02_人物原始合计'!Z199/100))*('01_参数'!$B$17+'02_人物原始合计'!AA199/100-1))*N199*'01_参数'!$B$7*'01_参数'!$B$8*MAX(0,'02_人物原始合计'!AO199/100)</x:f>
        <x:v>3636077.5073926197</x:v>
      </x:c>
      <x:c r="T199" s="28" t="n">
        <x:f>S199*'01_参数'!$B$6</x:f>
        <x:v>4726900.759610406</x:v>
      </x:c>
      <x:c r="U199" s="28" t="n">
        <x:v>0</x:v>
      </x:c>
      <x:c r="V199" s="28" t="n">
        <x:f>T199+U199</x:f>
        <x:v>4726900.759610406</x:v>
      </x:c>
      <x:c r="W199" s="22" t="n">
        <x:v>18</x:v>
      </x:c>
      <x:c r="X199" s="22" t="n">
        <x:v>209</x:v>
      </x:c>
      <x:c r="Y199" s="22" t="str">
        <x:v>主线</x:v>
      </x:c>
    </x:row>
    <x:row r="200" ht="24" customHeight="1">
      <x:c r="A200" s="22" t="str">
        <x:v>P0196</x:v>
      </x:c>
      <x:c r="B200" s="22" t="n">
        <x:v>6</x:v>
      </x:c>
      <x:c r="C200" s="22" t="n">
        <x:v>2</x:v>
      </x:c>
      <x:c r="D200" s="22" t="str">
        <x:v>C06G02普通专属4/6</x:v>
      </x:c>
      <x:c r="E200" s="26" t="n">
        <x:v>0.11270609699099474</x:v>
      </x:c>
      <x:c r="F200" s="22" t="n">
        <x:v>5</x:v>
      </x:c>
      <x:c r="G200" s="22" t="n">
        <x:v>145</x:v>
      </x:c>
      <x:c r="H200" s="22" t="n">
        <x:v>10</x:v>
      </x:c>
      <x:c r="I200" s="22" t="n">
        <x:v>6</x:v>
      </x:c>
      <x:c r="J200" s="22" t="n">
        <x:f>'02_人物原始合计'!AG200+'02_人物原始合计'!AH200</x:f>
        <x:v>15</x:v>
      </x:c>
      <x:c r="K200" s="28" t="n">
        <x:f>'02_人物原始合计'!F200*(1+'02_人物原始合计'!Q200/100)</x:f>
        <x:v>248421.64</x:v>
      </x:c>
      <x:c r="L200" s="28" t="n">
        <x:f>'02_人物原始合计'!K200*(1+'02_人物原始合计'!AV200/100)</x:f>
        <x:v>2567000</x:v>
      </x:c>
      <x:c r="M200" s="22" t="n">
        <x:f>MAX(0,MIN(50,'02_人物原始合计'!AD200,20+MIN(30,'02_人物原始合计'!AE200)))</x:f>
        <x:v>29</x:v>
      </x:c>
      <x:c r="N200" s="22" t="n">
        <x:f>IF(M200=0,1.75,IF(M200=10,2.2,IF(M200=20,2.9,IF(M200=30,4.3,IF(M200=40,8.5,IF(M200=50,14.3,IF(M200&lt;=40,1000/('01_参数'!$B$21-'01_参数'!$B$22*M200),1000/(1000/8.5+(M200-40)/10*(1000/14.3-1000/8.5)))))))))</x:f>
        <x:v>4.122999922945254</x:v>
      </x:c>
      <x:c r="O200" s="22" t="n">
        <x:v>587</x:v>
      </x:c>
      <x:c r="P200" s="26" t="n">
        <x:f>MAX(0,MIN('01_参数'!$B$20,'02_人物原始合计'!AM200/100,'01_参数'!$B$19+'02_人物原始合计'!AN200/100))</x:f>
        <x:v>0.4</x:v>
      </x:c>
      <x:c r="Q200" s="28" t="n">
        <x:f>((('02_人物原始合计'!E200+('02_人物原始合计'!F200-'02_人物原始合计'!E200)*IF(J200&gt;=12,1,0.5+0.5*MAX(0,J200)/12))*(1+'02_人物原始合计'!Q200/100))*(1+'02_人物原始合计'!U200/100+IF(J200&gt;=15,0.15,0))*(1+'02_人物原始合计'!V200/100)*(1+'02_人物原始合计'!T200)*(1+'02_人物原始合计'!W200*'01_参数'!$B$18)*(1+MAX(0,MIN(1,'02_人物原始合计'!X200/100))*('01_参数'!$B$16+'02_人物原始合计'!Y200/100-1))*(1+MAX(0,MIN(1,'02_人物原始合计'!Z200/100))*('01_参数'!$B$17+'02_人物原始合计'!AA200/100-1))+'02_人物原始合计'!AB200)*N200*'01_参数'!$B$7*'01_参数'!$B$8</x:f>
        <x:v>52119198.88246729</x:v>
      </x:c>
      <x:c r="R200" s="28" t="n">
        <x:f>Q200*'01_参数'!$B$5</x:f>
        <x:v>104238397.76493458</x:v>
      </x:c>
      <x:c r="S200" s="28" t="n">
        <x:f>(('02_人物原始合计'!E200+('02_人物原始合计'!F200-'02_人物原始合计'!E200)*IF(J200&gt;=12,1,0.5+0.5*MAX(0,J200)/12))*(1+'02_人物原始合计'!Q200/100))*(1+'02_人物原始合计'!U200/100+IF(J200&gt;=15,0.15,0))*(1+'02_人物原始合计'!V200/100)*(1+'02_人物原始合计'!T200)*(1+'02_人物原始合计'!W200*'01_参数'!$B$18)*(1+MAX(0,MIN(1,'02_人物原始合计'!X200/100))*('01_参数'!$B$16+'02_人物原始合计'!Y200/100-1))*(1+MAX(0,MIN(1,'02_人物原始合计'!Z200/100))*('01_参数'!$B$17+'02_人物原始合计'!AA200/100-1))*N200*'01_参数'!$B$7*'01_参数'!$B$8*MAX(0,'02_人物原始合计'!AO200/100)</x:f>
        <x:v>3648343.921772711</x:v>
      </x:c>
      <x:c r="T200" s="28" t="n">
        <x:f>S200*'01_参数'!$B$6</x:f>
        <x:v>4742847.098304524</x:v>
      </x:c>
      <x:c r="U200" s="28" t="n">
        <x:v>0</x:v>
      </x:c>
      <x:c r="V200" s="28" t="n">
        <x:f>T200+U200</x:f>
        <x:v>4742847.098304524</x:v>
      </x:c>
      <x:c r="W200" s="22" t="n">
        <x:v>18</x:v>
      </x:c>
      <x:c r="X200" s="22" t="n">
        <x:v>209</x:v>
      </x:c>
      <x:c r="Y200" s="22" t="str">
        <x:v>主线</x:v>
      </x:c>
    </x:row>
    <x:row r="201" ht="24" customHeight="1">
      <x:c r="A201" s="22" t="str">
        <x:v>P0197</x:v>
      </x:c>
      <x:c r="B201" s="22" t="n">
        <x:v>6</x:v>
      </x:c>
      <x:c r="C201" s="22" t="n">
        <x:v>2</x:v>
      </x:c>
      <x:c r="D201" s="22" t="str">
        <x:v>腐败火侯·伊弗挑战前</x:v>
      </x:c>
      <x:c r="E201" s="26" t="n">
        <x:v>0.3127060969909947</x:v>
      </x:c>
      <x:c r="F201" s="22" t="n">
        <x:v>6</x:v>
      </x:c>
      <x:c r="G201" s="22" t="n">
        <x:v>155</x:v>
      </x:c>
      <x:c r="H201" s="22" t="n">
        <x:v>10</x:v>
      </x:c>
      <x:c r="I201" s="22" t="n">
        <x:v>6</x:v>
      </x:c>
      <x:c r="J201" s="22" t="n">
        <x:f>'02_人物原始合计'!AG201+'02_人物原始合计'!AH201</x:f>
        <x:v>15</x:v>
      </x:c>
      <x:c r="K201" s="28" t="n">
        <x:f>'02_人物原始合计'!F201*(1+'02_人物原始合计'!Q201/100)</x:f>
        <x:v>305864.24</x:v>
      </x:c>
      <x:c r="L201" s="28" t="n">
        <x:f>'02_人物原始合计'!K201*(1+'02_人物原始合计'!AV201/100)</x:f>
        <x:v>3137900</x:v>
      </x:c>
      <x:c r="M201" s="22" t="n">
        <x:f>MAX(0,MIN(50,'02_人物原始合计'!AD201,20+MIN(30,'02_人物原始合计'!AE201)))</x:f>
        <x:v>29</x:v>
      </x:c>
      <x:c r="N201" s="22" t="n">
        <x:f>IF(M201=0,1.75,IF(M201=10,2.2,IF(M201=20,2.9,IF(M201=30,4.3,IF(M201=40,8.5,IF(M201=50,14.3,IF(M201&lt;=40,1000/('01_参数'!$B$21-'01_参数'!$B$22*M201),1000/(1000/8.5+(M201-40)/10*(1000/14.3-1000/8.5)))))))))</x:f>
        <x:v>4.122999922945254</x:v>
      </x:c>
      <x:c r="O201" s="22" t="n">
        <x:v>587</x:v>
      </x:c>
      <x:c r="P201" s="26" t="n">
        <x:f>MAX(0,MIN('01_参数'!$B$20,'02_人物原始合计'!AM201/100,'01_参数'!$B$19+'02_人物原始合计'!AN201/100))</x:f>
        <x:v>0.4</x:v>
      </x:c>
      <x:c r="Q201" s="28" t="n">
        <x:f>((('02_人物原始合计'!E201+('02_人物原始合计'!F201-'02_人物原始合计'!E201)*IF(J201&gt;=12,1,0.5+0.5*MAX(0,J201)/12))*(1+'02_人物原始合计'!Q201/100))*(1+'02_人物原始合计'!U201/100+IF(J201&gt;=15,0.15,0))*(1+'02_人物原始合计'!V201/100)*(1+'02_人物原始合计'!T201)*(1+'02_人物原始合计'!W201*'01_参数'!$B$18)*(1+MAX(0,MIN(1,'02_人物原始合计'!X201/100))*('01_参数'!$B$16+'02_人物原始合计'!Y201/100-1))*(1+MAX(0,MIN(1,'02_人物原始合计'!Z201/100))*('01_参数'!$B$17+'02_人物原始合计'!AA201/100-1))+'02_人物原始合计'!AB201)*N201*'01_参数'!$B$7*'01_参数'!$B$8</x:f>
        <x:v>64170734.70569916</x:v>
      </x:c>
      <x:c r="R201" s="28" t="n">
        <x:f>Q201*'01_参数'!$B$5</x:f>
        <x:v>128341469.41139832</x:v>
      </x:c>
      <x:c r="S201" s="28" t="n">
        <x:f>(('02_人物原始合计'!E201+('02_人物原始合计'!F201-'02_人物原始合计'!E201)*IF(J201&gt;=12,1,0.5+0.5*MAX(0,J201)/12))*(1+'02_人物原始合计'!Q201/100))*(1+'02_人物原始合计'!U201/100+IF(J201&gt;=15,0.15,0))*(1+'02_人物原始合计'!V201/100)*(1+'02_人物原始合计'!T201)*(1+'02_人物原始合计'!W201*'01_参数'!$B$18)*(1+MAX(0,MIN(1,'02_人物原始合计'!X201/100))*('01_参数'!$B$16+'02_人物原始合计'!Y201/100-1))*(1+MAX(0,MIN(1,'02_人物原始合计'!Z201/100))*('01_参数'!$B$17+'02_人物原始合计'!AA201/100-1))*N201*'01_参数'!$B$7*'01_参数'!$B$8*MAX(0,'02_人物原始合计'!AO201/100)</x:f>
        <x:v>4491951.429398942</x:v>
      </x:c>
      <x:c r="T201" s="28" t="n">
        <x:f>S201*'01_参数'!$B$6</x:f>
        <x:v>5839536.858218624</x:v>
      </x:c>
      <x:c r="U201" s="28" t="n">
        <x:v>0</x:v>
      </x:c>
      <x:c r="V201" s="28" t="n">
        <x:f>T201+U201</x:f>
        <x:v>5839536.858218624</x:v>
      </x:c>
      <x:c r="W201" s="22" t="n">
        <x:v>18</x:v>
      </x:c>
      <x:c r="X201" s="22" t="n">
        <x:v>209</x:v>
      </x:c>
      <x:c r="Y201" s="22" t="str">
        <x:v>主线</x:v>
      </x:c>
    </x:row>
    <x:row r="202" ht="24" customHeight="1">
      <x:c r="A202" s="22" t="str">
        <x:v>P0198</x:v>
      </x:c>
      <x:c r="B202" s="22" t="n">
        <x:v>6</x:v>
      </x:c>
      <x:c r="C202" s="22" t="n">
        <x:v>2</x:v>
      </x:c>
      <x:c r="D202" s="22" t="str">
        <x:v>熔心狱主·塞维拉挑战前</x:v>
      </x:c>
      <x:c r="E202" s="26" t="n">
        <x:v>0.3127060969909947</x:v>
      </x:c>
      <x:c r="F202" s="22" t="n">
        <x:v>6</x:v>
      </x:c>
      <x:c r="G202" s="22" t="n">
        <x:v>155</x:v>
      </x:c>
      <x:c r="H202" s="22" t="n">
        <x:v>10</x:v>
      </x:c>
      <x:c r="I202" s="22" t="n">
        <x:v>6</x:v>
      </x:c>
      <x:c r="J202" s="22" t="n">
        <x:f>'02_人物原始合计'!AG202+'02_人物原始合计'!AH202</x:f>
        <x:v>15</x:v>
      </x:c>
      <x:c r="K202" s="28" t="n">
        <x:f>'02_人物原始合计'!F202*(1+'02_人物原始合计'!Q202/100)</x:f>
        <x:v>305864.24</x:v>
      </x:c>
      <x:c r="L202" s="28" t="n">
        <x:f>'02_人物原始合计'!K202*(1+'02_人物原始合计'!AV202/100)</x:f>
        <x:v>3137900</x:v>
      </x:c>
      <x:c r="M202" s="22" t="n">
        <x:f>MAX(0,MIN(50,'02_人物原始合计'!AD202,20+MIN(30,'02_人物原始合计'!AE202)))</x:f>
        <x:v>29</x:v>
      </x:c>
      <x:c r="N202" s="22" t="n">
        <x:f>IF(M202=0,1.75,IF(M202=10,2.2,IF(M202=20,2.9,IF(M202=30,4.3,IF(M202=40,8.5,IF(M202=50,14.3,IF(M202&lt;=40,1000/('01_参数'!$B$21-'01_参数'!$B$22*M202),1000/(1000/8.5+(M202-40)/10*(1000/14.3-1000/8.5)))))))))</x:f>
        <x:v>4.122999922945254</x:v>
      </x:c>
      <x:c r="O202" s="22" t="n">
        <x:v>587</x:v>
      </x:c>
      <x:c r="P202" s="26" t="n">
        <x:f>MAX(0,MIN('01_参数'!$B$20,'02_人物原始合计'!AM202/100,'01_参数'!$B$19+'02_人物原始合计'!AN202/100))</x:f>
        <x:v>0.4</x:v>
      </x:c>
      <x:c r="Q202" s="28" t="n">
        <x:f>((('02_人物原始合计'!E202+('02_人物原始合计'!F202-'02_人物原始合计'!E202)*IF(J202&gt;=12,1,0.5+0.5*MAX(0,J202)/12))*(1+'02_人物原始合计'!Q202/100))*(1+'02_人物原始合计'!U202/100+IF(J202&gt;=15,0.15,0))*(1+'02_人物原始合计'!V202/100)*(1+'02_人物原始合计'!T202)*(1+'02_人物原始合计'!W202*'01_参数'!$B$18)*(1+MAX(0,MIN(1,'02_人物原始合计'!X202/100))*('01_参数'!$B$16+'02_人物原始合计'!Y202/100-1))*(1+MAX(0,MIN(1,'02_人物原始合计'!Z202/100))*('01_参数'!$B$17+'02_人物原始合计'!AA202/100-1))+'02_人物原始合计'!AB202)*N202*'01_参数'!$B$7*'01_参数'!$B$8</x:f>
        <x:v>64170734.70569916</x:v>
      </x:c>
      <x:c r="R202" s="28" t="n">
        <x:f>Q202*'01_参数'!$B$5</x:f>
        <x:v>128341469.41139832</x:v>
      </x:c>
      <x:c r="S202" s="28" t="n">
        <x:f>(('02_人物原始合计'!E202+('02_人物原始合计'!F202-'02_人物原始合计'!E202)*IF(J202&gt;=12,1,0.5+0.5*MAX(0,J202)/12))*(1+'02_人物原始合计'!Q202/100))*(1+'02_人物原始合计'!U202/100+IF(J202&gt;=15,0.15,0))*(1+'02_人物原始合计'!V202/100)*(1+'02_人物原始合计'!T202)*(1+'02_人物原始合计'!W202*'01_参数'!$B$18)*(1+MAX(0,MIN(1,'02_人物原始合计'!X202/100))*('01_参数'!$B$16+'02_人物原始合计'!Y202/100-1))*(1+MAX(0,MIN(1,'02_人物原始合计'!Z202/100))*('01_参数'!$B$17+'02_人物原始合计'!AA202/100-1))*N202*'01_参数'!$B$7*'01_参数'!$B$8*MAX(0,'02_人物原始合计'!AO202/100)</x:f>
        <x:v>4491951.429398942</x:v>
      </x:c>
      <x:c r="T202" s="28" t="n">
        <x:f>S202*'01_参数'!$B$6</x:f>
        <x:v>5839536.858218624</x:v>
      </x:c>
      <x:c r="U202" s="28" t="n">
        <x:v>0</x:v>
      </x:c>
      <x:c r="V202" s="28" t="n">
        <x:f>T202+U202</x:f>
        <x:v>5839536.858218624</x:v>
      </x:c>
      <x:c r="W202" s="22" t="n">
        <x:v>18</x:v>
      </x:c>
      <x:c r="X202" s="22" t="n">
        <x:v>209</x:v>
      </x:c>
      <x:c r="Y202" s="22" t="str">
        <x:v>主线</x:v>
      </x:c>
    </x:row>
    <x:row r="203" ht="24" customHeight="1">
      <x:c r="A203" s="22" t="str">
        <x:v>P0199</x:v>
      </x:c>
      <x:c r="B203" s="22" t="n">
        <x:v>6</x:v>
      </x:c>
      <x:c r="C203" s="22" t="n">
        <x:v>2</x:v>
      </x:c>
      <x:c r="D203" s="22" t="str">
        <x:v>腐败火狱BOSS装备快线</x:v>
      </x:c>
      <x:c r="E203" s="26" t="n">
        <x:v>0.32140174916490777</x:v>
      </x:c>
      <x:c r="F203" s="22" t="n">
        <x:v>6</x:v>
      </x:c>
      <x:c r="G203" s="22" t="n">
        <x:v>155</x:v>
      </x:c>
      <x:c r="H203" s="22" t="n">
        <x:v>10</x:v>
      </x:c>
      <x:c r="I203" s="22" t="n">
        <x:v>6</x:v>
      </x:c>
      <x:c r="J203" s="22" t="n">
        <x:f>'02_人物原始合计'!AG203+'02_人物原始合计'!AH203</x:f>
        <x:v>15</x:v>
      </x:c>
      <x:c r="K203" s="28" t="n">
        <x:f>'02_人物原始合计'!F203*(1+'02_人物原始合计'!Q203/100)</x:f>
        <x:v>316139.32</x:v>
      </x:c>
      <x:c r="L203" s="28" t="n">
        <x:f>'02_人物原始合计'!K203*(1+'02_人物原始合计'!AV203/100)</x:f>
        <x:v>3176800</x:v>
      </x:c>
      <x:c r="M203" s="22" t="n">
        <x:f>MAX(0,MIN(50,'02_人物原始合计'!AD203,20+MIN(30,'02_人物原始合计'!AE203)))</x:f>
        <x:v>29</x:v>
      </x:c>
      <x:c r="N203" s="22" t="n">
        <x:f>IF(M203=0,1.75,IF(M203=10,2.2,IF(M203=20,2.9,IF(M203=30,4.3,IF(M203=40,8.5,IF(M203=50,14.3,IF(M203&lt;=40,1000/('01_参数'!$B$21-'01_参数'!$B$22*M203),1000/(1000/8.5+(M203-40)/10*(1000/14.3-1000/8.5)))))))))</x:f>
        <x:v>4.122999922945254</x:v>
      </x:c>
      <x:c r="O203" s="22" t="n">
        <x:v>587</x:v>
      </x:c>
      <x:c r="P203" s="26" t="n">
        <x:f>MAX(0,MIN('01_参数'!$B$20,'02_人物原始合计'!AM203/100,'01_参数'!$B$19+'02_人物原始合计'!AN203/100))</x:f>
        <x:v>0.4</x:v>
      </x:c>
      <x:c r="Q203" s="28" t="n">
        <x:f>((('02_人物原始合计'!E203+('02_人物原始合计'!F203-'02_人物原始合计'!E203)*IF(J203&gt;=12,1,0.5+0.5*MAX(0,J203)/12))*(1+'02_人物原始合计'!Q203/100))*(1+'02_人物原始合计'!U203/100+IF(J203&gt;=15,0.15,0))*(1+'02_人物原始合计'!V203/100)*(1+'02_人物原始合计'!T203)*(1+'02_人物原始合计'!W203*'01_参数'!$B$18)*(1+MAX(0,MIN(1,'02_人物原始合计'!X203/100))*('01_参数'!$B$16+'02_人物原始合计'!Y203/100-1))*(1+MAX(0,MIN(1,'02_人物原始合计'!Z203/100))*('01_参数'!$B$17+'02_人物原始合计'!AA203/100-1))+'02_人物原始合计'!AB203)*N203*'01_参数'!$B$7*'01_参数'!$B$8</x:f>
        <x:v>70391047.30508827</x:v>
      </x:c>
      <x:c r="R203" s="28" t="n">
        <x:f>Q203*'01_参数'!$B$5</x:f>
        <x:v>140782094.61017653</x:v>
      </x:c>
      <x:c r="S203" s="28" t="n">
        <x:f>(('02_人物原始合计'!E203+('02_人物原始合计'!F203-'02_人物原始合计'!E203)*IF(J203&gt;=12,1,0.5+0.5*MAX(0,J203)/12))*(1+'02_人物原始合计'!Q203/100))*(1+'02_人物原始合计'!U203/100+IF(J203&gt;=15,0.15,0))*(1+'02_人物原始合计'!V203/100)*(1+'02_人物原始合计'!T203)*(1+'02_人物原始合计'!W203*'01_参数'!$B$18)*(1+MAX(0,MIN(1,'02_人物原始合计'!X203/100))*('01_参数'!$B$16+'02_人物原始合计'!Y203/100-1))*(1+MAX(0,MIN(1,'02_人物原始合计'!Z203/100))*('01_参数'!$B$17+'02_人物原始合计'!AA203/100-1))*N203*'01_参数'!$B$7*'01_参数'!$B$8*MAX(0,'02_人物原始合计'!AO203/100)</x:f>
        <x:v>4927373.311356179</x:v>
      </x:c>
      <x:c r="T203" s="28" t="n">
        <x:f>S203*'01_参数'!$B$6</x:f>
        <x:v>6405585.304763033</x:v>
      </x:c>
      <x:c r="U203" s="28" t="n">
        <x:v>0</x:v>
      </x:c>
      <x:c r="V203" s="28" t="n">
        <x:f>T203+U203</x:f>
        <x:v>6405585.304763033</x:v>
      </x:c>
      <x:c r="W203" s="22" t="n">
        <x:v>18</x:v>
      </x:c>
      <x:c r="X203" s="22" t="n">
        <x:v>209</x:v>
      </x:c>
      <x:c r="Y203" s="22" t="str">
        <x:v>C06G02BOSS强装对照</x:v>
      </x:c>
    </x:row>
    <x:row r="204" ht="24" customHeight="1">
      <x:c r="A204" s="22" t="str">
        <x:v>P0200</x:v>
      </x:c>
      <x:c r="B204" s="22" t="n">
        <x:v>6</x:v>
      </x:c>
      <x:c r="C204" s="22" t="n">
        <x:v>2</x:v>
      </x:c>
      <x:c r="D204" s="22" t="str">
        <x:v>腐败火狱阶段积累后</x:v>
      </x:c>
      <x:c r="E204" s="26" t="n">
        <x:v>0.32861518790008565</x:v>
      </x:c>
      <x:c r="F204" s="22" t="n">
        <x:v>6</x:v>
      </x:c>
      <x:c r="G204" s="22" t="n">
        <x:v>155</x:v>
      </x:c>
      <x:c r="H204" s="22" t="n">
        <x:v>10</x:v>
      </x:c>
      <x:c r="I204" s="22" t="n">
        <x:v>6</x:v>
      </x:c>
      <x:c r="J204" s="22" t="n">
        <x:f>'02_人物原始合计'!AG204+'02_人物原始合计'!AH204</x:f>
        <x:v>15</x:v>
      </x:c>
      <x:c r="K204" s="28" t="n">
        <x:f>'02_人物原始合计'!F204*(1+'02_人物原始合计'!Q204/100)</x:f>
        <x:v>306347.12</x:v>
      </x:c>
      <x:c r="L204" s="28" t="n">
        <x:f>'02_人物原始合计'!K204*(1+'02_人物原始合计'!AV204/100)</x:f>
        <x:v>3142700</x:v>
      </x:c>
      <x:c r="M204" s="22" t="n">
        <x:f>MAX(0,MIN(50,'02_人物原始合计'!AD204,20+MIN(30,'02_人物原始合计'!AE204)))</x:f>
        <x:v>29</x:v>
      </x:c>
      <x:c r="N204" s="22" t="n">
        <x:f>IF(M204=0,1.75,IF(M204=10,2.2,IF(M204=20,2.9,IF(M204=30,4.3,IF(M204=40,8.5,IF(M204=50,14.3,IF(M204&lt;=40,1000/('01_参数'!$B$21-'01_参数'!$B$22*M204),1000/(1000/8.5+(M204-40)/10*(1000/14.3-1000/8.5)))))))))</x:f>
        <x:v>4.122999922945254</x:v>
      </x:c>
      <x:c r="O204" s="22" t="n">
        <x:v>587</x:v>
      </x:c>
      <x:c r="P204" s="26" t="n">
        <x:f>MAX(0,MIN('01_参数'!$B$20,'02_人物原始合计'!AM204/100,'01_参数'!$B$19+'02_人物原始合计'!AN204/100))</x:f>
        <x:v>0.4</x:v>
      </x:c>
      <x:c r="Q204" s="28" t="n">
        <x:f>((('02_人物原始合计'!E204+('02_人物原始合计'!F204-'02_人物原始合计'!E204)*IF(J204&gt;=12,1,0.5+0.5*MAX(0,J204)/12))*(1+'02_人物原始合计'!Q204/100))*(1+'02_人物原始合计'!U204/100+IF(J204&gt;=15,0.15,0))*(1+'02_人物原始合计'!V204/100)*(1+'02_人物原始合计'!T204)*(1+'02_人物原始合计'!W204*'01_参数'!$B$18)*(1+MAX(0,MIN(1,'02_人物原始合计'!X204/100))*('01_参数'!$B$16+'02_人物原始合计'!Y204/100-1))*(1+MAX(0,MIN(1,'02_人物原始合计'!Z204/100))*('01_参数'!$B$17+'02_人物原始合计'!AA204/100-1))+'02_人物原始合计'!AB204)*N204*'01_参数'!$B$7*'01_参数'!$B$8</x:f>
        <x:v>64272043.588276245</x:v>
      </x:c>
      <x:c r="R204" s="28" t="n">
        <x:f>Q204*'01_参数'!$B$5</x:f>
        <x:v>128544087.17655249</x:v>
      </x:c>
      <x:c r="S204" s="28" t="n">
        <x:f>(('02_人物原始合计'!E204+('02_人物原始合计'!F204-'02_人物原始合计'!E204)*IF(J204&gt;=12,1,0.5+0.5*MAX(0,J204)/12))*(1+'02_人物原始合计'!Q204/100))*(1+'02_人物原始合计'!U204/100+IF(J204&gt;=15,0.15,0))*(1+'02_人物原始合计'!V204/100)*(1+'02_人物原始合计'!T204)*(1+'02_人物原始合计'!W204*'01_参数'!$B$18)*(1+MAX(0,MIN(1,'02_人物原始合计'!X204/100))*('01_参数'!$B$16+'02_人物原始合计'!Y204/100-1))*(1+MAX(0,MIN(1,'02_人物原始合计'!Z204/100))*('01_参数'!$B$17+'02_人物原始合计'!AA204/100-1))*N204*'01_参数'!$B$7*'01_参数'!$B$8*MAX(0,'02_人物原始合计'!AO204/100)</x:f>
        <x:v>4499043.051179337</x:v>
      </x:c>
      <x:c r="T204" s="28" t="n">
        <x:f>S204*'01_参数'!$B$6</x:f>
        <x:v>5848755.966533138</x:v>
      </x:c>
      <x:c r="U204" s="28" t="n">
        <x:v>0</x:v>
      </x:c>
      <x:c r="V204" s="28" t="n">
        <x:f>T204+U204</x:f>
        <x:v>5848755.966533138</x:v>
      </x:c>
      <x:c r="W204" s="22" t="n">
        <x:v>18</x:v>
      </x:c>
      <x:c r="X204" s="22" t="n">
        <x:v>211</x:v>
      </x:c>
      <x:c r="Y204" s="22" t="str">
        <x:v>主线</x:v>
      </x:c>
    </x:row>
    <x:row r="205" ht="24" customHeight="1">
      <x:c r="A205" s="22" t="str">
        <x:v>P0201</x:v>
      </x:c>
      <x:c r="B205" s="22" t="n">
        <x:v>6</x:v>
      </x:c>
      <x:c r="C205" s="22" t="n">
        <x:v>3</x:v>
      </x:c>
      <x:c r="D205" s="22" t="str">
        <x:v>C06G03入场</x:v>
      </x:c>
      <x:c r="E205" s="26" t="n">
        <x:v>0.32861518790008565</x:v>
      </x:c>
      <x:c r="F205" s="22" t="n">
        <x:v>6</x:v>
      </x:c>
      <x:c r="G205" s="22" t="n">
        <x:v>155</x:v>
      </x:c>
      <x:c r="H205" s="22" t="n">
        <x:v>10</x:v>
      </x:c>
      <x:c r="I205" s="22" t="n">
        <x:v>6</x:v>
      </x:c>
      <x:c r="J205" s="22" t="n">
        <x:f>'02_人物原始合计'!AG205+'02_人物原始合计'!AH205</x:f>
        <x:v>15</x:v>
      </x:c>
      <x:c r="K205" s="28" t="n">
        <x:f>'02_人物原始合计'!F205*(1+'02_人物原始合计'!Q205/100)</x:f>
        <x:v>306347.12</x:v>
      </x:c>
      <x:c r="L205" s="28" t="n">
        <x:f>'02_人物原始合计'!K205*(1+'02_人物原始合计'!AV205/100)</x:f>
        <x:v>3142700</x:v>
      </x:c>
      <x:c r="M205" s="22" t="n">
        <x:f>MAX(0,MIN(50,'02_人物原始合计'!AD205,20+MIN(30,'02_人物原始合计'!AE205)))</x:f>
        <x:v>29</x:v>
      </x:c>
      <x:c r="N205" s="22" t="n">
        <x:f>IF(M205=0,1.75,IF(M205=10,2.2,IF(M205=20,2.9,IF(M205=30,4.3,IF(M205=40,8.5,IF(M205=50,14.3,IF(M205&lt;=40,1000/('01_参数'!$B$21-'01_参数'!$B$22*M205),1000/(1000/8.5+(M205-40)/10*(1000/14.3-1000/8.5)))))))))</x:f>
        <x:v>4.122999922945254</x:v>
      </x:c>
      <x:c r="O205" s="22" t="n">
        <x:v>587</x:v>
      </x:c>
      <x:c r="P205" s="26" t="n">
        <x:f>MAX(0,MIN('01_参数'!$B$20,'02_人物原始合计'!AM205/100,'01_参数'!$B$19+'02_人物原始合计'!AN205/100))</x:f>
        <x:v>0.4</x:v>
      </x:c>
      <x:c r="Q205" s="28" t="n">
        <x:f>((('02_人物原始合计'!E205+('02_人物原始合计'!F205-'02_人物原始合计'!E205)*IF(J205&gt;=12,1,0.5+0.5*MAX(0,J205)/12))*(1+'02_人物原始合计'!Q205/100))*(1+'02_人物原始合计'!U205/100+IF(J205&gt;=15,0.15,0))*(1+'02_人物原始合计'!V205/100)*(1+'02_人物原始合计'!T205)*(1+'02_人物原始合计'!W205*'01_参数'!$B$18)*(1+MAX(0,MIN(1,'02_人物原始合计'!X205/100))*('01_参数'!$B$16+'02_人物原始合计'!Y205/100-1))*(1+MAX(0,MIN(1,'02_人物原始合计'!Z205/100))*('01_参数'!$B$17+'02_人物原始合计'!AA205/100-1))+'02_人物原始合计'!AB205)*N205*'01_参数'!$B$7*'01_参数'!$B$8</x:f>
        <x:v>64272043.588276245</x:v>
      </x:c>
      <x:c r="R205" s="28" t="n">
        <x:f>Q205*'01_参数'!$B$5</x:f>
        <x:v>128544087.17655249</x:v>
      </x:c>
      <x:c r="S205" s="28" t="n">
        <x:f>(('02_人物原始合计'!E205+('02_人物原始合计'!F205-'02_人物原始合计'!E205)*IF(J205&gt;=12,1,0.5+0.5*MAX(0,J205)/12))*(1+'02_人物原始合计'!Q205/100))*(1+'02_人物原始合计'!U205/100+IF(J205&gt;=15,0.15,0))*(1+'02_人物原始合计'!V205/100)*(1+'02_人物原始合计'!T205)*(1+'02_人物原始合计'!W205*'01_参数'!$B$18)*(1+MAX(0,MIN(1,'02_人物原始合计'!X205/100))*('01_参数'!$B$16+'02_人物原始合计'!Y205/100-1))*(1+MAX(0,MIN(1,'02_人物原始合计'!Z205/100))*('01_参数'!$B$17+'02_人物原始合计'!AA205/100-1))*N205*'01_参数'!$B$7*'01_参数'!$B$8*MAX(0,'02_人物原始合计'!AO205/100)</x:f>
        <x:v>4499043.051179337</x:v>
      </x:c>
      <x:c r="T205" s="28" t="n">
        <x:f>S205*'01_参数'!$B$6</x:f>
        <x:v>5848755.966533138</x:v>
      </x:c>
      <x:c r="U205" s="28" t="n">
        <x:v>0</x:v>
      </x:c>
      <x:c r="V205" s="28" t="n">
        <x:f>T205+U205</x:f>
        <x:v>5848755.966533138</x:v>
      </x:c>
      <x:c r="W205" s="22" t="n">
        <x:v>18</x:v>
      </x:c>
      <x:c r="X205" s="22" t="n">
        <x:v>211</x:v>
      </x:c>
      <x:c r="Y205" s="22" t="str">
        <x:v>主线</x:v>
      </x:c>
    </x:row>
    <x:row r="206" ht="24" customHeight="1">
      <x:c r="A206" s="22" t="str">
        <x:v>P0202</x:v>
      </x:c>
      <x:c r="B206" s="22" t="n">
        <x:v>6</x:v>
      </x:c>
      <x:c r="C206" s="22" t="n">
        <x:v>3</x:v>
      </x:c>
      <x:c r="D206" s="22" t="str">
        <x:v>C06G03普通专属4/6</x:v>
      </x:c>
      <x:c r="E206" s="26" t="n">
        <x:v>0.32861518790008565</x:v>
      </x:c>
      <x:c r="F206" s="22" t="n">
        <x:v>6</x:v>
      </x:c>
      <x:c r="G206" s="22" t="n">
        <x:v>155</x:v>
      </x:c>
      <x:c r="H206" s="22" t="n">
        <x:v>10</x:v>
      </x:c>
      <x:c r="I206" s="22" t="n">
        <x:v>6</x:v>
      </x:c>
      <x:c r="J206" s="22" t="n">
        <x:f>'02_人物原始合计'!AG206+'02_人物原始合计'!AH206</x:f>
        <x:v>15</x:v>
      </x:c>
      <x:c r="K206" s="28" t="n">
        <x:f>'02_人物原始合计'!F206*(1+'02_人物原始合计'!Q206/100)</x:f>
        <x:v>306347.12</x:v>
      </x:c>
      <x:c r="L206" s="28" t="n">
        <x:f>'02_人物原始合计'!K206*(1+'02_人物原始合计'!AV206/100)</x:f>
        <x:v>3142700</x:v>
      </x:c>
      <x:c r="M206" s="22" t="n">
        <x:f>MAX(0,MIN(50,'02_人物原始合计'!AD206,20+MIN(30,'02_人物原始合计'!AE206)))</x:f>
        <x:v>29</x:v>
      </x:c>
      <x:c r="N206" s="22" t="n">
        <x:f>IF(M206=0,1.75,IF(M206=10,2.2,IF(M206=20,2.9,IF(M206=30,4.3,IF(M206=40,8.5,IF(M206=50,14.3,IF(M206&lt;=40,1000/('01_参数'!$B$21-'01_参数'!$B$22*M206),1000/(1000/8.5+(M206-40)/10*(1000/14.3-1000/8.5)))))))))</x:f>
        <x:v>4.122999922945254</x:v>
      </x:c>
      <x:c r="O206" s="22" t="n">
        <x:v>587</x:v>
      </x:c>
      <x:c r="P206" s="26" t="n">
        <x:f>MAX(0,MIN('01_参数'!$B$20,'02_人物原始合计'!AM206/100,'01_参数'!$B$19+'02_人物原始合计'!AN206/100))</x:f>
        <x:v>0.4</x:v>
      </x:c>
      <x:c r="Q206" s="28" t="n">
        <x:f>((('02_人物原始合计'!E206+('02_人物原始合计'!F206-'02_人物原始合计'!E206)*IF(J206&gt;=12,1,0.5+0.5*MAX(0,J206)/12))*(1+'02_人物原始合计'!Q206/100))*(1+'02_人物原始合计'!U206/100+IF(J206&gt;=15,0.15,0))*(1+'02_人物原始合计'!V206/100)*(1+'02_人物原始合计'!T206)*(1+'02_人物原始合计'!W206*'01_参数'!$B$18)*(1+MAX(0,MIN(1,'02_人物原始合计'!X206/100))*('01_参数'!$B$16+'02_人物原始合计'!Y206/100-1))*(1+MAX(0,MIN(1,'02_人物原始合计'!Z206/100))*('01_参数'!$B$17+'02_人物原始合计'!AA206/100-1))+'02_人物原始合计'!AB206)*N206*'01_参数'!$B$7*'01_参数'!$B$8</x:f>
        <x:v>64272043.588276245</x:v>
      </x:c>
      <x:c r="R206" s="28" t="n">
        <x:f>Q206*'01_参数'!$B$5</x:f>
        <x:v>128544087.17655249</x:v>
      </x:c>
      <x:c r="S206" s="28" t="n">
        <x:f>(('02_人物原始合计'!E206+('02_人物原始合计'!F206-'02_人物原始合计'!E206)*IF(J206&gt;=12,1,0.5+0.5*MAX(0,J206)/12))*(1+'02_人物原始合计'!Q206/100))*(1+'02_人物原始合计'!U206/100+IF(J206&gt;=15,0.15,0))*(1+'02_人物原始合计'!V206/100)*(1+'02_人物原始合计'!T206)*(1+'02_人物原始合计'!W206*'01_参数'!$B$18)*(1+MAX(0,MIN(1,'02_人物原始合计'!X206/100))*('01_参数'!$B$16+'02_人物原始合计'!Y206/100-1))*(1+MAX(0,MIN(1,'02_人物原始合计'!Z206/100))*('01_参数'!$B$17+'02_人物原始合计'!AA206/100-1))*N206*'01_参数'!$B$7*'01_参数'!$B$8*MAX(0,'02_人物原始合计'!AO206/100)</x:f>
        <x:v>4499043.051179337</x:v>
      </x:c>
      <x:c r="T206" s="28" t="n">
        <x:f>S206*'01_参数'!$B$6</x:f>
        <x:v>5848755.966533138</x:v>
      </x:c>
      <x:c r="U206" s="28" t="n">
        <x:v>0</x:v>
      </x:c>
      <x:c r="V206" s="28" t="n">
        <x:f>T206+U206</x:f>
        <x:v>5848755.966533138</x:v>
      </x:c>
      <x:c r="W206" s="22" t="n">
        <x:v>18</x:v>
      </x:c>
      <x:c r="X206" s="22" t="n">
        <x:v>211</x:v>
      </x:c>
      <x:c r="Y206" s="22" t="str">
        <x:v>主线</x:v>
      </x:c>
    </x:row>
    <x:row r="207" ht="24" customHeight="1">
      <x:c r="A207" s="22" t="str">
        <x:v>P0203</x:v>
      </x:c>
      <x:c r="B207" s="22" t="n">
        <x:v>6</x:v>
      </x:c>
      <x:c r="C207" s="22" t="n">
        <x:v>3</x:v>
      </x:c>
      <x:c r="D207" s="22" t="str">
        <x:v>焚翼古龙·阿格纳挑战前</x:v>
      </x:c>
      <x:c r="E207" s="26" t="n">
        <x:v>0.32861518790008565</x:v>
      </x:c>
      <x:c r="F207" s="22" t="n">
        <x:v>6</x:v>
      </x:c>
      <x:c r="G207" s="22" t="n">
        <x:v>165</x:v>
      </x:c>
      <x:c r="H207" s="22" t="n">
        <x:v>10</x:v>
      </x:c>
      <x:c r="I207" s="22" t="n">
        <x:v>6</x:v>
      </x:c>
      <x:c r="J207" s="22" t="n">
        <x:f>'02_人物原始合计'!AG207+'02_人物原始合计'!AH207</x:f>
        <x:v>15</x:v>
      </x:c>
      <x:c r="K207" s="28" t="n">
        <x:f>'02_人物原始合计'!F207*(1+'02_人物原始合计'!Q207/100)</x:f>
        <x:v>322493.42000000004</x:v>
      </x:c>
      <x:c r="L207" s="28" t="n">
        <x:f>'02_人物原始合计'!K207*(1+'02_人物原始合计'!AV207/100)</x:f>
        <x:v>3303200</x:v>
      </x:c>
      <x:c r="M207" s="22" t="n">
        <x:f>MAX(0,MIN(50,'02_人物原始合计'!AD207,20+MIN(30,'02_人物原始合计'!AE207)))</x:f>
        <x:v>29</x:v>
      </x:c>
      <x:c r="N207" s="22" t="n">
        <x:f>IF(M207=0,1.75,IF(M207=10,2.2,IF(M207=20,2.9,IF(M207=30,4.3,IF(M207=40,8.5,IF(M207=50,14.3,IF(M207&lt;=40,1000/('01_参数'!$B$21-'01_参数'!$B$22*M207),1000/(1000/8.5+(M207-40)/10*(1000/14.3-1000/8.5)))))))))</x:f>
        <x:v>4.122999922945254</x:v>
      </x:c>
      <x:c r="O207" s="22" t="n">
        <x:v>587</x:v>
      </x:c>
      <x:c r="P207" s="26" t="n">
        <x:f>MAX(0,MIN('01_参数'!$B$20,'02_人物原始合计'!AM207/100,'01_参数'!$B$19+'02_人物原始合计'!AN207/100))</x:f>
        <x:v>0.4</x:v>
      </x:c>
      <x:c r="Q207" s="28" t="n">
        <x:f>((('02_人物原始合计'!E207+('02_人物原始合计'!F207-'02_人物原始合计'!E207)*IF(J207&gt;=12,1,0.5+0.5*MAX(0,J207)/12))*(1+'02_人物原始合计'!Q207/100))*(1+'02_人物原始合计'!U207/100+IF(J207&gt;=15,0.15,0))*(1+'02_人物原始合计'!V207/100)*(1+'02_人物原始合计'!T207)*(1+'02_人物原始合计'!W207*'01_参数'!$B$18)*(1+MAX(0,MIN(1,'02_人物原始合计'!X207/100))*('01_参数'!$B$16+'02_人物原始合计'!Y207/100-1))*(1+MAX(0,MIN(1,'02_人物原始合计'!Z207/100))*('01_参数'!$B$17+'02_人物原始合计'!AA207/100-1))+'02_人物原始合计'!AB207)*N207*'01_参数'!$B$7*'01_参数'!$B$8</x:f>
        <x:v>67659559.3494474</x:v>
      </x:c>
      <x:c r="R207" s="28" t="n">
        <x:f>Q207*'01_参数'!$B$5</x:f>
        <x:v>135319118.6988948</x:v>
      </x:c>
      <x:c r="S207" s="28" t="n">
        <x:f>(('02_人物原始合计'!E207+('02_人物原始合计'!F207-'02_人物原始合计'!E207)*IF(J207&gt;=12,1,0.5+0.5*MAX(0,J207)/12))*(1+'02_人物原始合计'!Q207/100))*(1+'02_人物原始合计'!U207/100+IF(J207&gt;=15,0.15,0))*(1+'02_人物原始合计'!V207/100)*(1+'02_人物原始合计'!T207)*(1+'02_人物原始合计'!W207*'01_参数'!$B$18)*(1+MAX(0,MIN(1,'02_人物原始合计'!X207/100))*('01_参数'!$B$16+'02_人物原始合计'!Y207/100-1))*(1+MAX(0,MIN(1,'02_人物原始合计'!Z207/100))*('01_参数'!$B$17+'02_人物原始合计'!AA207/100-1))*N207*'01_参数'!$B$7*'01_参数'!$B$8*MAX(0,'02_人物原始合计'!AO207/100)</x:f>
        <x:v>4736169.154461319</x:v>
      </x:c>
      <x:c r="T207" s="28" t="n">
        <x:f>S207*'01_参数'!$B$6</x:f>
        <x:v>6157019.900799714</x:v>
      </x:c>
      <x:c r="U207" s="28" t="n">
        <x:v>0</x:v>
      </x:c>
      <x:c r="V207" s="28" t="n">
        <x:f>T207+U207</x:f>
        <x:v>6157019.900799714</x:v>
      </x:c>
      <x:c r="W207" s="22" t="n">
        <x:v>18</x:v>
      </x:c>
      <x:c r="X207" s="22" t="n">
        <x:v>211</x:v>
      </x:c>
      <x:c r="Y207" s="22" t="str">
        <x:v>主线</x:v>
      </x:c>
    </x:row>
    <x:row r="208" ht="24" customHeight="1">
      <x:c r="A208" s="22" t="str">
        <x:v>P0204</x:v>
      </x:c>
      <x:c r="B208" s="22" t="n">
        <x:v>6</x:v>
      </x:c>
      <x:c r="C208" s="22" t="n">
        <x:v>3</x:v>
      </x:c>
      <x:c r="D208" s="22" t="str">
        <x:v>红狮圣兽·雷奥尼斯挑战前</x:v>
      </x:c>
      <x:c r="E208" s="26" t="n">
        <x:v>0.32861518790008565</x:v>
      </x:c>
      <x:c r="F208" s="22" t="n">
        <x:v>6</x:v>
      </x:c>
      <x:c r="G208" s="22" t="n">
        <x:v>165</x:v>
      </x:c>
      <x:c r="H208" s="22" t="n">
        <x:v>10</x:v>
      </x:c>
      <x:c r="I208" s="22" t="n">
        <x:v>6</x:v>
      </x:c>
      <x:c r="J208" s="22" t="n">
        <x:f>'02_人物原始合计'!AG208+'02_人物原始合计'!AH208</x:f>
        <x:v>15</x:v>
      </x:c>
      <x:c r="K208" s="28" t="n">
        <x:f>'02_人物原始合计'!F208*(1+'02_人物原始合计'!Q208/100)</x:f>
        <x:v>322493.42000000004</x:v>
      </x:c>
      <x:c r="L208" s="28" t="n">
        <x:f>'02_人物原始合计'!K208*(1+'02_人物原始合计'!AV208/100)</x:f>
        <x:v>3303200</x:v>
      </x:c>
      <x:c r="M208" s="22" t="n">
        <x:f>MAX(0,MIN(50,'02_人物原始合计'!AD208,20+MIN(30,'02_人物原始合计'!AE208)))</x:f>
        <x:v>29</x:v>
      </x:c>
      <x:c r="N208" s="22" t="n">
        <x:f>IF(M208=0,1.75,IF(M208=10,2.2,IF(M208=20,2.9,IF(M208=30,4.3,IF(M208=40,8.5,IF(M208=50,14.3,IF(M208&lt;=40,1000/('01_参数'!$B$21-'01_参数'!$B$22*M208),1000/(1000/8.5+(M208-40)/10*(1000/14.3-1000/8.5)))))))))</x:f>
        <x:v>4.122999922945254</x:v>
      </x:c>
      <x:c r="O208" s="22" t="n">
        <x:v>587</x:v>
      </x:c>
      <x:c r="P208" s="26" t="n">
        <x:f>MAX(0,MIN('01_参数'!$B$20,'02_人物原始合计'!AM208/100,'01_参数'!$B$19+'02_人物原始合计'!AN208/100))</x:f>
        <x:v>0.4</x:v>
      </x:c>
      <x:c r="Q208" s="28" t="n">
        <x:f>((('02_人物原始合计'!E208+('02_人物原始合计'!F208-'02_人物原始合计'!E208)*IF(J208&gt;=12,1,0.5+0.5*MAX(0,J208)/12))*(1+'02_人物原始合计'!Q208/100))*(1+'02_人物原始合计'!U208/100+IF(J208&gt;=15,0.15,0))*(1+'02_人物原始合计'!V208/100)*(1+'02_人物原始合计'!T208)*(1+'02_人物原始合计'!W208*'01_参数'!$B$18)*(1+MAX(0,MIN(1,'02_人物原始合计'!X208/100))*('01_参数'!$B$16+'02_人物原始合计'!Y208/100-1))*(1+MAX(0,MIN(1,'02_人物原始合计'!Z208/100))*('01_参数'!$B$17+'02_人物原始合计'!AA208/100-1))+'02_人物原始合计'!AB208)*N208*'01_参数'!$B$7*'01_参数'!$B$8</x:f>
        <x:v>67659559.3494474</x:v>
      </x:c>
      <x:c r="R208" s="28" t="n">
        <x:f>Q208*'01_参数'!$B$5</x:f>
        <x:v>135319118.6988948</x:v>
      </x:c>
      <x:c r="S208" s="28" t="n">
        <x:f>(('02_人物原始合计'!E208+('02_人物原始合计'!F208-'02_人物原始合计'!E208)*IF(J208&gt;=12,1,0.5+0.5*MAX(0,J208)/12))*(1+'02_人物原始合计'!Q208/100))*(1+'02_人物原始合计'!U208/100+IF(J208&gt;=15,0.15,0))*(1+'02_人物原始合计'!V208/100)*(1+'02_人物原始合计'!T208)*(1+'02_人物原始合计'!W208*'01_参数'!$B$18)*(1+MAX(0,MIN(1,'02_人物原始合计'!X208/100))*('01_参数'!$B$16+'02_人物原始合计'!Y208/100-1))*(1+MAX(0,MIN(1,'02_人物原始合计'!Z208/100))*('01_参数'!$B$17+'02_人物原始合计'!AA208/100-1))*N208*'01_参数'!$B$7*'01_参数'!$B$8*MAX(0,'02_人物原始合计'!AO208/100)</x:f>
        <x:v>4736169.154461319</x:v>
      </x:c>
      <x:c r="T208" s="28" t="n">
        <x:f>S208*'01_参数'!$B$6</x:f>
        <x:v>6157019.900799714</x:v>
      </x:c>
      <x:c r="U208" s="28" t="n">
        <x:v>0</x:v>
      </x:c>
      <x:c r="V208" s="28" t="n">
        <x:f>T208+U208</x:f>
        <x:v>6157019.900799714</x:v>
      </x:c>
      <x:c r="W208" s="22" t="n">
        <x:v>18</x:v>
      </x:c>
      <x:c r="X208" s="22" t="n">
        <x:v>211</x:v>
      </x:c>
      <x:c r="Y208" s="22" t="str">
        <x:v>主线</x:v>
      </x:c>
    </x:row>
    <x:row r="209" ht="24" customHeight="1">
      <x:c r="A209" s="22" t="str">
        <x:v>P0205</x:v>
      </x:c>
      <x:c r="B209" s="22" t="n">
        <x:v>6</x:v>
      </x:c>
      <x:c r="C209" s="22" t="n">
        <x:v>3</x:v>
      </x:c>
      <x:c r="D209" s="22" t="str">
        <x:v>红狮龙窟BOSS装备快线</x:v>
      </x:c>
      <x:c r="E209" s="26" t="n">
        <x:v>0.35470214442182474</x:v>
      </x:c>
      <x:c r="F209" s="22" t="n">
        <x:v>6</x:v>
      </x:c>
      <x:c r="G209" s="22" t="n">
        <x:v>165</x:v>
      </x:c>
      <x:c r="H209" s="22" t="n">
        <x:v>10</x:v>
      </x:c>
      <x:c r="I209" s="22" t="n">
        <x:v>6</x:v>
      </x:c>
      <x:c r="J209" s="22" t="n">
        <x:f>'02_人物原始合计'!AG209+'02_人物原始合计'!AH209</x:f>
        <x:v>15</x:v>
      </x:c>
      <x:c r="K209" s="28" t="n">
        <x:f>'02_人物原始合计'!F209*(1+'02_人物原始合计'!Q209/100)</x:f>
        <x:v>346599.24</x:v>
      </x:c>
      <x:c r="L209" s="28" t="n">
        <x:f>'02_人物原始合计'!K209*(1+'02_人物原始合计'!AV209/100)</x:f>
        <x:v>3395200</x:v>
      </x:c>
      <x:c r="M209" s="22" t="n">
        <x:f>MAX(0,MIN(50,'02_人物原始合计'!AD209,20+MIN(30,'02_人物原始合计'!AE209)))</x:f>
        <x:v>29</x:v>
      </x:c>
      <x:c r="N209" s="22" t="n">
        <x:f>IF(M209=0,1.75,IF(M209=10,2.2,IF(M209=20,2.9,IF(M209=30,4.3,IF(M209=40,8.5,IF(M209=50,14.3,IF(M209&lt;=40,1000/('01_参数'!$B$21-'01_参数'!$B$22*M209),1000/(1000/8.5+(M209-40)/10*(1000/14.3-1000/8.5)))))))))</x:f>
        <x:v>4.122999922945254</x:v>
      </x:c>
      <x:c r="O209" s="22" t="n">
        <x:v>587</x:v>
      </x:c>
      <x:c r="P209" s="26" t="n">
        <x:f>MAX(0,MIN('01_参数'!$B$20,'02_人物原始合计'!AM209/100,'01_参数'!$B$19+'02_人物原始合计'!AN209/100))</x:f>
        <x:v>0.42</x:v>
      </x:c>
      <x:c r="Q209" s="28" t="n">
        <x:f>((('02_人物原始合计'!E209+('02_人物原始合计'!F209-'02_人物原始合计'!E209)*IF(J209&gt;=12,1,0.5+0.5*MAX(0,J209)/12))*(1+'02_人物原始合计'!Q209/100))*(1+'02_人物原始合计'!U209/100+IF(J209&gt;=15,0.15,0))*(1+'02_人物原始合计'!V209/100)*(1+'02_人物原始合计'!T209)*(1+'02_人物原始合计'!W209*'01_参数'!$B$18)*(1+MAX(0,MIN(1,'02_人物原始合计'!X209/100))*('01_参数'!$B$16+'02_人物原始合计'!Y209/100-1))*(1+MAX(0,MIN(1,'02_人物原始合计'!Z209/100))*('01_参数'!$B$17+'02_人物原始合计'!AA209/100-1))+'02_人物原始合计'!AB209)*N209*'01_参数'!$B$7*'01_参数'!$B$8</x:f>
        <x:v>83027844.68893546</x:v>
      </x:c>
      <x:c r="R209" s="28" t="n">
        <x:f>Q209*'01_参数'!$B$5</x:f>
        <x:v>166055689.37787092</x:v>
      </x:c>
      <x:c r="S209" s="28" t="n">
        <x:f>(('02_人物原始合计'!E209+('02_人物原始合计'!F209-'02_人物原始合计'!E209)*IF(J209&gt;=12,1,0.5+0.5*MAX(0,J209)/12))*(1+'02_人物原始合计'!Q209/100))*(1+'02_人物原始合计'!U209/100+IF(J209&gt;=15,0.15,0))*(1+'02_人物原始合计'!V209/100)*(1+'02_人物原始合计'!T209)*(1+'02_人物原始合计'!W209*'01_参数'!$B$18)*(1+MAX(0,MIN(1,'02_人物原始合计'!X209/100))*('01_参数'!$B$16+'02_人物原始合计'!Y209/100-1))*(1+MAX(0,MIN(1,'02_人物原始合计'!Z209/100))*('01_参数'!$B$17+'02_人物原始合计'!AA209/100-1))*N209*'01_参数'!$B$7*'01_参数'!$B$8*MAX(0,'02_人物原始合计'!AO209/100)</x:f>
        <x:v>5811949.128225483</x:v>
      </x:c>
      <x:c r="T209" s="28" t="n">
        <x:f>S209*'01_参数'!$B$6</x:f>
        <x:v>7555533.866693128</x:v>
      </x:c>
      <x:c r="U209" s="28" t="n">
        <x:v>0</x:v>
      </x:c>
      <x:c r="V209" s="28" t="n">
        <x:f>T209+U209</x:f>
        <x:v>7555533.866693128</x:v>
      </x:c>
      <x:c r="W209" s="22" t="n">
        <x:v>18</x:v>
      </x:c>
      <x:c r="X209" s="22" t="n">
        <x:v>211</x:v>
      </x:c>
      <x:c r="Y209" s="22" t="str">
        <x:v>C06G03BOSS强装对照</x:v>
      </x:c>
    </x:row>
    <x:row r="210" ht="24" customHeight="1">
      <x:c r="A210" s="22" t="str">
        <x:v>P0206</x:v>
      </x:c>
      <x:c r="B210" s="22" t="n">
        <x:v>6</x:v>
      </x:c>
      <x:c r="C210" s="22" t="n">
        <x:v>3</x:v>
      </x:c>
      <x:c r="D210" s="22" t="str">
        <x:v>红狮龙窟阶段积累后</x:v>
      </x:c>
      <x:c r="E210" s="26" t="n">
        <x:v>0.4799971517929519</x:v>
      </x:c>
      <x:c r="F210" s="22" t="n">
        <x:v>6</x:v>
      </x:c>
      <x:c r="G210" s="22" t="n">
        <x:v>165</x:v>
      </x:c>
      <x:c r="H210" s="22" t="n">
        <x:v>10</x:v>
      </x:c>
      <x:c r="I210" s="22" t="n">
        <x:v>6</x:v>
      </x:c>
      <x:c r="J210" s="22" t="n">
        <x:f>'02_人物原始合计'!AG210+'02_人物原始合计'!AH210</x:f>
        <x:v>15</x:v>
      </x:c>
      <x:c r="K210" s="28" t="n">
        <x:f>'02_人物原始合计'!F210*(1+'02_人物原始合计'!Q210/100)</x:f>
        <x:v>401451.12</x:v>
      </x:c>
      <x:c r="L210" s="28" t="n">
        <x:f>'02_人物原始合计'!K210*(1+'02_人物原始合计'!AV210/100)</x:f>
        <x:v>6113572</x:v>
      </x:c>
      <x:c r="M210" s="22" t="n">
        <x:f>MAX(0,MIN(50,'02_人物原始合计'!AD210,20+MIN(30,'02_人物原始合计'!AE210)))</x:f>
        <x:v>29</x:v>
      </x:c>
      <x:c r="N210" s="22" t="n">
        <x:f>IF(M210=0,1.75,IF(M210=10,2.2,IF(M210=20,2.9,IF(M210=30,4.3,IF(M210=40,8.5,IF(M210=50,14.3,IF(M210&lt;=40,1000/('01_参数'!$B$21-'01_参数'!$B$22*M210),1000/(1000/8.5+(M210-40)/10*(1000/14.3-1000/8.5)))))))))</x:f>
        <x:v>4.122999922945254</x:v>
      </x:c>
      <x:c r="O210" s="22" t="n">
        <x:v>643</x:v>
      </x:c>
      <x:c r="P210" s="26" t="n">
        <x:f>MAX(0,MIN('01_参数'!$B$20,'02_人物原始合计'!AM210/100,'01_参数'!$B$19+'02_人物原始合计'!AN210/100))</x:f>
        <x:v>0.63</x:v>
      </x:c>
      <x:c r="Q210" s="28" t="n">
        <x:f>((('02_人物原始合计'!E210+('02_人物原始合计'!F210-'02_人物原始合计'!E210)*IF(J210&gt;=12,1,0.5+0.5*MAX(0,J210)/12))*(1+'02_人物原始合计'!Q210/100))*(1+'02_人物原始合计'!U210/100+IF(J210&gt;=15,0.15,0))*(1+'02_人物原始合计'!V210/100)*(1+'02_人物原始合计'!T210)*(1+'02_人物原始合计'!W210*'01_参数'!$B$18)*(1+MAX(0,MIN(1,'02_人物原始合计'!X210/100))*('01_参数'!$B$16+'02_人物原始合计'!Y210/100-1))*(1+MAX(0,MIN(1,'02_人物原始合计'!Z210/100))*('01_参数'!$B$17+'02_人物原始合计'!AA210/100-1))+'02_人物原始合计'!AB210)*N210*'01_参数'!$B$7*'01_参数'!$B$8</x:f>
        <x:v>107284040.50034566</x:v>
      </x:c>
      <x:c r="R210" s="28" t="n">
        <x:f>Q210*'01_参数'!$B$5</x:f>
        <x:v>214568081.00069132</x:v>
      </x:c>
      <x:c r="S210" s="28" t="n">
        <x:f>(('02_人物原始合计'!E210+('02_人物原始合计'!F210-'02_人物原始合计'!E210)*IF(J210&gt;=12,1,0.5+0.5*MAX(0,J210)/12))*(1+'02_人物原始合计'!Q210/100))*(1+'02_人物原始合计'!U210/100+IF(J210&gt;=15,0.15,0))*(1+'02_人物原始合计'!V210/100)*(1+'02_人物原始合计'!T210)*(1+'02_人物原始合计'!W210*'01_参数'!$B$18)*(1+MAX(0,MIN(1,'02_人物原始合计'!X210/100))*('01_参数'!$B$16+'02_人物原始合计'!Y210/100-1))*(1+MAX(0,MIN(1,'02_人物原始合计'!Z210/100))*('01_参数'!$B$17+'02_人物原始合计'!AA210/100-1))*N210*'01_参数'!$B$7*'01_参数'!$B$8*MAX(0,'02_人物原始合计'!AO210/100)</x:f>
        <x:v>7509882.835024197</x:v>
      </x:c>
      <x:c r="T210" s="28" t="n">
        <x:f>S210*'01_参数'!$B$6</x:f>
        <x:v>9762847.685531456</x:v>
      </x:c>
      <x:c r="U210" s="28" t="n">
        <x:v>0</x:v>
      </x:c>
      <x:c r="V210" s="28" t="n">
        <x:f>T210+U210</x:f>
        <x:v>9762847.685531456</x:v>
      </x:c>
      <x:c r="W210" s="22" t="n">
        <x:v>22</x:v>
      </x:c>
      <x:c r="X210" s="22" t="n">
        <x:v>213</x:v>
      </x:c>
      <x:c r="Y210" s="22" t="str">
        <x:v>主线</x:v>
      </x:c>
    </x:row>
    <x:row r="211" ht="24" customHeight="1">
      <x:c r="A211" s="22" t="str">
        <x:v>P0207</x:v>
      </x:c>
      <x:c r="B211" s="22" t="n">
        <x:v>6</x:v>
      </x:c>
      <x:c r="C211" s="22" t="n">
        <x:v>3</x:v>
      </x:c>
      <x:c r="D211" s="22" t="str">
        <x:v>C06守关前必做制作完成</x:v>
      </x:c>
      <x:c r="E211" s="26" t="n">
        <x:v>0.4799971517929519</x:v>
      </x:c>
      <x:c r="F211" s="22" t="n">
        <x:v>6</x:v>
      </x:c>
      <x:c r="G211" s="22" t="n">
        <x:v>167</x:v>
      </x:c>
      <x:c r="H211" s="22" t="n">
        <x:v>10</x:v>
      </x:c>
      <x:c r="I211" s="22" t="n">
        <x:v>6</x:v>
      </x:c>
      <x:c r="J211" s="22" t="n">
        <x:f>'02_人物原始合计'!AG211+'02_人物原始合计'!AH211</x:f>
        <x:v>15</x:v>
      </x:c>
      <x:c r="K211" s="28" t="n">
        <x:f>'02_人物原始合计'!F211*(1+'02_人物原始合计'!Q211/100)</x:f>
        <x:v>416364.1</x:v>
      </x:c>
      <x:c r="L211" s="28" t="n">
        <x:f>'02_人物原始合计'!K211*(1+'02_人物原始合计'!AV211/100)</x:f>
        <x:v>6154864</x:v>
      </x:c>
      <x:c r="M211" s="22" t="n">
        <x:f>MAX(0,MIN(50,'02_人物原始合计'!AD211,20+MIN(30,'02_人物原始合计'!AE211)))</x:f>
        <x:v>29</x:v>
      </x:c>
      <x:c r="N211" s="22" t="n">
        <x:f>IF(M211=0,1.75,IF(M211=10,2.2,IF(M211=20,2.9,IF(M211=30,4.3,IF(M211=40,8.5,IF(M211=50,14.3,IF(M211&lt;=40,1000/('01_参数'!$B$21-'01_参数'!$B$22*M211),1000/(1000/8.5+(M211-40)/10*(1000/14.3-1000/8.5)))))))))</x:f>
        <x:v>4.122999922945254</x:v>
      </x:c>
      <x:c r="O211" s="22" t="n">
        <x:v>683</x:v>
      </x:c>
      <x:c r="P211" s="26" t="n">
        <x:f>MAX(0,MIN('01_参数'!$B$20,'02_人物原始合计'!AM211/100,'01_参数'!$B$19+'02_人物原始合计'!AN211/100))</x:f>
        <x:v>0.63</x:v>
      </x:c>
      <x:c r="Q211" s="28" t="n">
        <x:f>((('02_人物原始合计'!E211+('02_人物原始合计'!F211-'02_人物原始合计'!E211)*IF(J211&gt;=12,1,0.5+0.5*MAX(0,J211)/12))*(1+'02_人物原始合计'!Q211/100))*(1+'02_人物原始合计'!U211/100+IF(J211&gt;=15,0.15,0))*(1+'02_人物原始合计'!V211/100)*(1+'02_人物原始合计'!T211)*(1+'02_人物原始合计'!W211*'01_参数'!$B$18)*(1+MAX(0,MIN(1,'02_人物原始合计'!X211/100))*('01_参数'!$B$16+'02_人物原始合计'!Y211/100-1))*(1+MAX(0,MIN(1,'02_人物原始合计'!Z211/100))*('01_参数'!$B$17+'02_人物原始合计'!AA211/100-1))+'02_人物原始合计'!AB211)*N211*'01_参数'!$B$7*'01_参数'!$B$8</x:f>
        <x:v>115886203.8351724</x:v>
      </x:c>
      <x:c r="R211" s="28" t="n">
        <x:f>Q211*'01_参数'!$B$5</x:f>
        <x:v>231772407.6703448</x:v>
      </x:c>
      <x:c r="S211" s="28" t="n">
        <x:f>(('02_人物原始合计'!E211+('02_人物原始合计'!F211-'02_人物原始合计'!E211)*IF(J211&gt;=12,1,0.5+0.5*MAX(0,J211)/12))*(1+'02_人物原始合计'!Q211/100))*(1+'02_人物原始合计'!U211/100+IF(J211&gt;=15,0.15,0))*(1+'02_人物原始合计'!V211/100)*(1+'02_人物原始合计'!T211)*(1+'02_人物原始合计'!W211*'01_参数'!$B$18)*(1+MAX(0,MIN(1,'02_人物原始合计'!X211/100))*('01_参数'!$B$16+'02_人物原始合计'!Y211/100-1))*(1+MAX(0,MIN(1,'02_人物原始合计'!Z211/100))*('01_参数'!$B$17+'02_人物原始合计'!AA211/100-1))*N211*'01_参数'!$B$7*'01_参数'!$B$8*MAX(0,'02_人物原始合计'!AO211/100)</x:f>
        <x:v>8112034.268462068</x:v>
      </x:c>
      <x:c r="T211" s="28" t="n">
        <x:f>S211*'01_参数'!$B$6</x:f>
        <x:v>10545644.54900069</x:v>
      </x:c>
      <x:c r="U211" s="28" t="n">
        <x:v>0</x:v>
      </x:c>
      <x:c r="V211" s="28" t="n">
        <x:f>T211+U211</x:f>
        <x:v>10545644.54900069</x:v>
      </x:c>
      <x:c r="W211" s="22" t="n">
        <x:v>22</x:v>
      </x:c>
      <x:c r="X211" s="22" t="n">
        <x:v>213</x:v>
      </x:c>
      <x:c r="Y211" s="22" t="str">
        <x:v>主线</x:v>
      </x:c>
    </x:row>
    <x:row r="212" ht="24" customHeight="1">
      <x:c r="A212" s="22" t="str">
        <x:v>P0208</x:v>
      </x:c>
      <x:c r="B212" s="22" t="n">
        <x:v>6</x:v>
      </x:c>
      <x:c r="C212" s="22" t="n">
        <x:v>3</x:v>
      </x:c>
      <x:c r="D212" s="22" t="str">
        <x:v>C06约70%守关参考</x:v>
      </x:c>
      <x:c r="E212" s="26" t="n">
        <x:v>0.7470426063384065</x:v>
      </x:c>
      <x:c r="F212" s="22" t="n">
        <x:v>6</x:v>
      </x:c>
      <x:c r="G212" s="22" t="n">
        <x:v>167</x:v>
      </x:c>
      <x:c r="H212" s="22" t="n">
        <x:v>10</x:v>
      </x:c>
      <x:c r="I212" s="22" t="n">
        <x:v>6</x:v>
      </x:c>
      <x:c r="J212" s="22" t="n">
        <x:f>'02_人物原始合计'!AG212+'02_人物原始合计'!AH212</x:f>
        <x:v>15</x:v>
      </x:c>
      <x:c r="K212" s="28" t="n">
        <x:f>'02_人物原始合计'!F212*(1+'02_人物原始合计'!Q212/100)</x:f>
        <x:v>421735.77999999997</x:v>
      </x:c>
      <x:c r="L212" s="28" t="n">
        <x:f>'02_人物原始合计'!K212*(1+'02_人物原始合计'!AV212/100)</x:f>
        <x:v>6211408</x:v>
      </x:c>
      <x:c r="M212" s="22" t="n">
        <x:f>MAX(0,MIN(50,'02_人物原始合计'!AD212,20+MIN(30,'02_人物原始合计'!AE212)))</x:f>
        <x:v>29</x:v>
      </x:c>
      <x:c r="N212" s="22" t="n">
        <x:f>IF(M212=0,1.75,IF(M212=10,2.2,IF(M212=20,2.9,IF(M212=30,4.3,IF(M212=40,8.5,IF(M212=50,14.3,IF(M212&lt;=40,1000/('01_参数'!$B$21-'01_参数'!$B$22*M212),1000/(1000/8.5+(M212-40)/10*(1000/14.3-1000/8.5)))))))))</x:f>
        <x:v>4.122999922945254</x:v>
      </x:c>
      <x:c r="O212" s="22" t="n">
        <x:v>763</x:v>
      </x:c>
      <x:c r="P212" s="26" t="n">
        <x:f>MAX(0,MIN('01_参数'!$B$20,'02_人物原始合计'!AM212/100,'01_参数'!$B$19+'02_人物原始合计'!AN212/100))</x:f>
        <x:v>0.63</x:v>
      </x:c>
      <x:c r="Q212" s="28" t="n">
        <x:f>((('02_人物原始合计'!E212+('02_人物原始合计'!F212-'02_人物原始合计'!E212)*IF(J212&gt;=12,1,0.5+0.5*MAX(0,J212)/12))*(1+'02_人物原始合计'!Q212/100))*(1+'02_人物原始合计'!U212/100+IF(J212&gt;=15,0.15,0))*(1+'02_人物原始合计'!V212/100)*(1+'02_人物原始合计'!T212)*(1+'02_人物原始合计'!W212*'01_参数'!$B$18)*(1+MAX(0,MIN(1,'02_人物原始合计'!X212/100))*('01_参数'!$B$16+'02_人物原始合计'!Y212/100-1))*(1+MAX(0,MIN(1,'02_人物原始合计'!Z212/100))*('01_参数'!$B$17+'02_人物原始合计'!AA212/100-1))+'02_人物原始合计'!AB212)*N212*'01_参数'!$B$7*'01_参数'!$B$8</x:f>
        <x:v>121499940.20180893</x:v>
      </x:c>
      <x:c r="R212" s="28" t="n">
        <x:f>Q212*'01_参数'!$B$5</x:f>
        <x:v>242999880.40361786</x:v>
      </x:c>
      <x:c r="S212" s="28" t="n">
        <x:f>(('02_人物原始合计'!E212+('02_人物原始合计'!F212-'02_人物原始合计'!E212)*IF(J212&gt;=12,1,0.5+0.5*MAX(0,J212)/12))*(1+'02_人物原始合计'!Q212/100))*(1+'02_人物原始合计'!U212/100+IF(J212&gt;=15,0.15,0))*(1+'02_人物原始合计'!V212/100)*(1+'02_人物原始合计'!T212)*(1+'02_人物原始合计'!W212*'01_参数'!$B$18)*(1+MAX(0,MIN(1,'02_人物原始合计'!X212/100))*('01_参数'!$B$16+'02_人物原始合计'!Y212/100-1))*(1+MAX(0,MIN(1,'02_人物原始合计'!Z212/100))*('01_参数'!$B$17+'02_人物原始合计'!AA212/100-1))*N212*'01_参数'!$B$7*'01_参数'!$B$8*MAX(0,'02_人物原始合计'!AO212/100)</x:f>
        <x:v>8504995.814126626</x:v>
      </x:c>
      <x:c r="T212" s="28" t="n">
        <x:f>S212*'01_参数'!$B$6</x:f>
        <x:v>11056494.558364613</x:v>
      </x:c>
      <x:c r="U212" s="28" t="n">
        <x:v>0</x:v>
      </x:c>
      <x:c r="V212" s="28" t="n">
        <x:f>T212+U212</x:f>
        <x:v>11056494.558364613</x:v>
      </x:c>
      <x:c r="W212" s="22" t="n">
        <x:v>22</x:v>
      </x:c>
      <x:c r="X212" s="22" t="n">
        <x:v>234</x:v>
      </x:c>
      <x:c r="Y212" s="22" t="str">
        <x:v>主线</x:v>
      </x:c>
    </x:row>
    <x:row r="213" ht="24" customHeight="1">
      <x:c r="A213" s="22" t="str">
        <x:v>P0209</x:v>
      </x:c>
      <x:c r="B213" s="22" t="n">
        <x:v>6</x:v>
      </x:c>
      <x:c r="C213" s="22" t="n">
        <x:v>3</x:v>
      </x:c>
      <x:c r="D213" s="22" t="str">
        <x:v>C06高完成度参考</x:v>
      </x:c>
      <x:c r="E213" s="26" t="n">
        <x:v>0.9171127024424918</x:v>
      </x:c>
      <x:c r="F213" s="22" t="n">
        <x:v>6</x:v>
      </x:c>
      <x:c r="G213" s="22" t="n">
        <x:v>167</x:v>
      </x:c>
      <x:c r="H213" s="22" t="n">
        <x:v>10</x:v>
      </x:c>
      <x:c r="I213" s="22" t="n">
        <x:v>6</x:v>
      </x:c>
      <x:c r="J213" s="22" t="n">
        <x:f>'02_人物原始合计'!AG213+'02_人物原始合计'!AH213</x:f>
        <x:v>15</x:v>
      </x:c>
      <x:c r="K213" s="28" t="n">
        <x:f>'02_人物原始合计'!F213*(1+'02_人物原始合计'!Q213/100)</x:f>
        <x:v>484322.74</x:v>
      </x:c>
      <x:c r="L213" s="28" t="n">
        <x:f>'02_人物原始合计'!K213*(1+'02_人物原始合计'!AV213/100)</x:f>
        <x:v>6626560</x:v>
      </x:c>
      <x:c r="M213" s="22" t="n">
        <x:f>MAX(0,MIN(50,'02_人物原始合计'!AD213,20+MIN(30,'02_人物原始合计'!AE213)))</x:f>
        <x:v>29</x:v>
      </x:c>
      <x:c r="N213" s="22" t="n">
        <x:f>IF(M213=0,1.75,IF(M213=10,2.2,IF(M213=20,2.9,IF(M213=30,4.3,IF(M213=40,8.5,IF(M213=50,14.3,IF(M213&lt;=40,1000/('01_参数'!$B$21-'01_参数'!$B$22*M213),1000/(1000/8.5+(M213-40)/10*(1000/14.3-1000/8.5)))))))))</x:f>
        <x:v>4.122999922945254</x:v>
      </x:c>
      <x:c r="O213" s="22" t="n">
        <x:v>764</x:v>
      </x:c>
      <x:c r="P213" s="26" t="n">
        <x:f>MAX(0,MIN('01_参数'!$B$20,'02_人物原始合计'!AM213/100,'01_参数'!$B$19+'02_人物原始合计'!AN213/100))</x:f>
        <x:v>0.69</x:v>
      </x:c>
      <x:c r="Q213" s="28" t="n">
        <x:f>((('02_人物原始合计'!E213+('02_人物原始合计'!F213-'02_人物原始合计'!E213)*IF(J213&gt;=12,1,0.5+0.5*MAX(0,J213)/12))*(1+'02_人物原始合计'!Q213/100))*(1+'02_人物原始合计'!U213/100+IF(J213&gt;=15,0.15,0))*(1+'02_人物原始合计'!V213/100)*(1+'02_人物原始合计'!T213)*(1+'02_人物原始合计'!W213*'01_参数'!$B$18)*(1+MAX(0,MIN(1,'02_人物原始合计'!X213/100))*('01_参数'!$B$16+'02_人物原始合计'!Y213/100-1))*(1+MAX(0,MIN(1,'02_人物原始合计'!Z213/100))*('01_参数'!$B$17+'02_人物原始合计'!AA213/100-1))+'02_人物原始合计'!AB213)*N213*'01_参数'!$B$7*'01_参数'!$B$8</x:f>
        <x:v>169478940.67385328</x:v>
      </x:c>
      <x:c r="R213" s="28" t="n">
        <x:f>Q213*'01_参数'!$B$5</x:f>
        <x:v>338957881.34770656</x:v>
      </x:c>
      <x:c r="S213" s="28" t="n">
        <x:f>(('02_人物原始合计'!E213+('02_人物原始合计'!F213-'02_人物原始合计'!E213)*IF(J213&gt;=12,1,0.5+0.5*MAX(0,J213)/12))*(1+'02_人物原始合计'!Q213/100))*(1+'02_人物原始合计'!U213/100+IF(J213&gt;=15,0.15,0))*(1+'02_人物原始合计'!V213/100)*(1+'02_人物原始合计'!T213)*(1+'02_人物原始合计'!W213*'01_参数'!$B$18)*(1+MAX(0,MIN(1,'02_人物原始合计'!X213/100))*('01_参数'!$B$16+'02_人物原始合计'!Y213/100-1))*(1+MAX(0,MIN(1,'02_人物原始合计'!Z213/100))*('01_参数'!$B$17+'02_人物原始合计'!AA213/100-1))*N213*'01_参数'!$B$7*'01_参数'!$B$8*MAX(0,'02_人物原始合计'!AO213/100)</x:f>
        <x:v>11863525.84716973</x:v>
      </x:c>
      <x:c r="T213" s="28" t="n">
        <x:f>S213*'01_参数'!$B$6</x:f>
        <x:v>15422583.60132065</x:v>
      </x:c>
      <x:c r="U213" s="28" t="n">
        <x:v>0</x:v>
      </x:c>
      <x:c r="V213" s="28" t="n">
        <x:f>T213+U213</x:f>
        <x:v>15422583.60132065</x:v>
      </x:c>
      <x:c r="W213" s="22" t="n">
        <x:v>22</x:v>
      </x:c>
      <x:c r="X213" s="22" t="n">
        <x:v>249</x:v>
      </x:c>
      <x:c r="Y213" s="22" t="str">
        <x:v>C06高完成度</x:v>
      </x:c>
    </x:row>
    <x:row r="214" ht="24" customHeight="1">
      <x:c r="A214" s="22" t="str">
        <x:v>P0210</x:v>
      </x:c>
      <x:c r="B214" s="22" t="n">
        <x:v>6</x:v>
      </x:c>
      <x:c r="C214" s="22" t="n">
        <x:v>3</x:v>
      </x:c>
      <x:c r="D214" s="22" t="str">
        <x:v>C06守关后继承</x:v>
      </x:c>
      <x:c r="E214" s="26" t="n">
        <x:v>0.7470426063384065</x:v>
      </x:c>
      <x:c r="F214" s="22" t="n">
        <x:v>6</x:v>
      </x:c>
      <x:c r="G214" s="22" t="n">
        <x:v>167</x:v>
      </x:c>
      <x:c r="H214" s="22" t="n">
        <x:v>10</x:v>
      </x:c>
      <x:c r="I214" s="22" t="n">
        <x:v>6</x:v>
      </x:c>
      <x:c r="J214" s="22" t="n">
        <x:f>'02_人物原始合计'!AG214+'02_人物原始合计'!AH214</x:f>
        <x:v>15</x:v>
      </x:c>
      <x:c r="K214" s="28" t="n">
        <x:f>'02_人物原始合计'!F214*(1+'02_人物原始合计'!Q214/100)</x:f>
        <x:v>421735.77999999997</x:v>
      </x:c>
      <x:c r="L214" s="28" t="n">
        <x:f>'02_人物原始合计'!K214*(1+'02_人物原始合计'!AV214/100)</x:f>
        <x:v>6211408</x:v>
      </x:c>
      <x:c r="M214" s="22" t="n">
        <x:f>MAX(0,MIN(50,'02_人物原始合计'!AD214,20+MIN(30,'02_人物原始合计'!AE214)))</x:f>
        <x:v>29</x:v>
      </x:c>
      <x:c r="N214" s="22" t="n">
        <x:f>IF(M214=0,1.75,IF(M214=10,2.2,IF(M214=20,2.9,IF(M214=30,4.3,IF(M214=40,8.5,IF(M214=50,14.3,IF(M214&lt;=40,1000/('01_参数'!$B$21-'01_参数'!$B$22*M214),1000/(1000/8.5+(M214-40)/10*(1000/14.3-1000/8.5)))))))))</x:f>
        <x:v>4.122999922945254</x:v>
      </x:c>
      <x:c r="O214" s="22" t="n">
        <x:v>763</x:v>
      </x:c>
      <x:c r="P214" s="26" t="n">
        <x:f>MAX(0,MIN('01_参数'!$B$20,'02_人物原始合计'!AM214/100,'01_参数'!$B$19+'02_人物原始合计'!AN214/100))</x:f>
        <x:v>0.63</x:v>
      </x:c>
      <x:c r="Q214" s="28" t="n">
        <x:f>((('02_人物原始合计'!E214+('02_人物原始合计'!F214-'02_人物原始合计'!E214)*IF(J214&gt;=12,1,0.5+0.5*MAX(0,J214)/12))*(1+'02_人物原始合计'!Q214/100))*(1+'02_人物原始合计'!U214/100+IF(J214&gt;=15,0.15,0))*(1+'02_人物原始合计'!V214/100)*(1+'02_人物原始合计'!T214)*(1+'02_人物原始合计'!W214*'01_参数'!$B$18)*(1+MAX(0,MIN(1,'02_人物原始合计'!X214/100))*('01_参数'!$B$16+'02_人物原始合计'!Y214/100-1))*(1+MAX(0,MIN(1,'02_人物原始合计'!Z214/100))*('01_参数'!$B$17+'02_人物原始合计'!AA214/100-1))+'02_人物原始合计'!AB214)*N214*'01_参数'!$B$7*'01_参数'!$B$8</x:f>
        <x:v>121499940.20180893</x:v>
      </x:c>
      <x:c r="R214" s="28" t="n">
        <x:f>Q214*'01_参数'!$B$5</x:f>
        <x:v>242999880.40361786</x:v>
      </x:c>
      <x:c r="S214" s="28" t="n">
        <x:f>(('02_人物原始合计'!E214+('02_人物原始合计'!F214-'02_人物原始合计'!E214)*IF(J214&gt;=12,1,0.5+0.5*MAX(0,J214)/12))*(1+'02_人物原始合计'!Q214/100))*(1+'02_人物原始合计'!U214/100+IF(J214&gt;=15,0.15,0))*(1+'02_人物原始合计'!V214/100)*(1+'02_人物原始合计'!T214)*(1+'02_人物原始合计'!W214*'01_参数'!$B$18)*(1+MAX(0,MIN(1,'02_人物原始合计'!X214/100))*('01_参数'!$B$16+'02_人物原始合计'!Y214/100-1))*(1+MAX(0,MIN(1,'02_人物原始合计'!Z214/100))*('01_参数'!$B$17+'02_人物原始合计'!AA214/100-1))*N214*'01_参数'!$B$7*'01_参数'!$B$8*MAX(0,'02_人物原始合计'!AO214/100)</x:f>
        <x:v>8504995.814126626</x:v>
      </x:c>
      <x:c r="T214" s="28" t="n">
        <x:f>S214*'01_参数'!$B$6</x:f>
        <x:v>11056494.558364613</x:v>
      </x:c>
      <x:c r="U214" s="28" t="n">
        <x:v>0</x:v>
      </x:c>
      <x:c r="V214" s="28" t="n">
        <x:f>T214+U214</x:f>
        <x:v>11056494.558364613</x:v>
      </x:c>
      <x:c r="W214" s="22" t="n">
        <x:v>22</x:v>
      </x:c>
      <x:c r="X214" s="22" t="n">
        <x:v>234</x:v>
      </x:c>
      <x:c r="Y214" s="22" t="str">
        <x:v>主线</x:v>
      </x:c>
    </x:row>
    <x:row r="215" ht="24" customHeight="1">
      <x:c r="A215" s="22" t="str">
        <x:v>P0211</x:v>
      </x:c>
      <x:c r="B215" s="22" t="n">
        <x:v>7</x:v>
      </x:c>
      <x:c r="C215" s="22" t="n">
        <x:v>1</x:v>
      </x:c>
      <x:c r="D215" s="22" t="str">
        <x:v>C07入场继承</x:v>
      </x:c>
      <x:c r="E215" s="26" t="n">
        <x:v>0.12487114888821133</x:v>
      </x:c>
      <x:c r="F215" s="22" t="n">
        <x:v>6</x:v>
      </x:c>
      <x:c r="G215" s="22" t="n">
        <x:v>167</x:v>
      </x:c>
      <x:c r="H215" s="22" t="n">
        <x:v>10</x:v>
      </x:c>
      <x:c r="I215" s="22" t="n">
        <x:v>6</x:v>
      </x:c>
      <x:c r="J215" s="22" t="n">
        <x:f>'02_人物原始合计'!AG215+'02_人物原始合计'!AH215</x:f>
        <x:v>15</x:v>
      </x:c>
      <x:c r="K215" s="28" t="n">
        <x:f>'02_人物原始合计'!F215*(1+'02_人物原始合计'!Q215/100)</x:f>
        <x:v>421735.77999999997</x:v>
      </x:c>
      <x:c r="L215" s="28" t="n">
        <x:f>'02_人物原始合计'!K215*(1+'02_人物原始合计'!AV215/100)</x:f>
        <x:v>6211408</x:v>
      </x:c>
      <x:c r="M215" s="22" t="n">
        <x:f>MAX(0,MIN(50,'02_人物原始合计'!AD215,20+MIN(30,'02_人物原始合计'!AE215)))</x:f>
        <x:v>29</x:v>
      </x:c>
      <x:c r="N215" s="22" t="n">
        <x:f>IF(M215=0,1.75,IF(M215=10,2.2,IF(M215=20,2.9,IF(M215=30,4.3,IF(M215=40,8.5,IF(M215=50,14.3,IF(M215&lt;=40,1000/('01_参数'!$B$21-'01_参数'!$B$22*M215),1000/(1000/8.5+(M215-40)/10*(1000/14.3-1000/8.5)))))))))</x:f>
        <x:v>4.122999922945254</x:v>
      </x:c>
      <x:c r="O215" s="22" t="n">
        <x:v>763</x:v>
      </x:c>
      <x:c r="P215" s="26" t="n">
        <x:f>MAX(0,MIN('01_参数'!$B$20,'02_人物原始合计'!AM215/100,'01_参数'!$B$19+'02_人物原始合计'!AN215/100))</x:f>
        <x:v>0.63</x:v>
      </x:c>
      <x:c r="Q215" s="28" t="n">
        <x:f>((('02_人物原始合计'!E215+('02_人物原始合计'!F215-'02_人物原始合计'!E215)*IF(J215&gt;=12,1,0.5+0.5*MAX(0,J215)/12))*(1+'02_人物原始合计'!Q215/100))*(1+'02_人物原始合计'!U215/100+IF(J215&gt;=15,0.15,0))*(1+'02_人物原始合计'!V215/100)*(1+'02_人物原始合计'!T215)*(1+'02_人物原始合计'!W215*'01_参数'!$B$18)*(1+MAX(0,MIN(1,'02_人物原始合计'!X215/100))*('01_参数'!$B$16+'02_人物原始合计'!Y215/100-1))*(1+MAX(0,MIN(1,'02_人物原始合计'!Z215/100))*('01_参数'!$B$17+'02_人物原始合计'!AA215/100-1))+'02_人物原始合计'!AB215)*N215*'01_参数'!$B$7*'01_参数'!$B$8</x:f>
        <x:v>121499940.20180893</x:v>
      </x:c>
      <x:c r="R215" s="28" t="n">
        <x:f>Q215*'01_参数'!$B$5</x:f>
        <x:v>242999880.40361786</x:v>
      </x:c>
      <x:c r="S215" s="28" t="n">
        <x:f>(('02_人物原始合计'!E215+('02_人物原始合计'!F215-'02_人物原始合计'!E215)*IF(J215&gt;=12,1,0.5+0.5*MAX(0,J215)/12))*(1+'02_人物原始合计'!Q215/100))*(1+'02_人物原始合计'!U215/100+IF(J215&gt;=15,0.15,0))*(1+'02_人物原始合计'!V215/100)*(1+'02_人物原始合计'!T215)*(1+'02_人物原始合计'!W215*'01_参数'!$B$18)*(1+MAX(0,MIN(1,'02_人物原始合计'!X215/100))*('01_参数'!$B$16+'02_人物原始合计'!Y215/100-1))*(1+MAX(0,MIN(1,'02_人物原始合计'!Z215/100))*('01_参数'!$B$17+'02_人物原始合计'!AA215/100-1))*N215*'01_参数'!$B$7*'01_参数'!$B$8*MAX(0,'02_人物原始合计'!AO215/100)</x:f>
        <x:v>8504995.814126626</x:v>
      </x:c>
      <x:c r="T215" s="28" t="n">
        <x:f>S215*'01_参数'!$B$6</x:f>
        <x:v>11056494.558364613</x:v>
      </x:c>
      <x:c r="U215" s="28" t="n">
        <x:v>0</x:v>
      </x:c>
      <x:c r="V215" s="28" t="n">
        <x:f>T215+U215</x:f>
        <x:v>11056494.558364613</x:v>
      </x:c>
      <x:c r="W215" s="22" t="n">
        <x:v>22</x:v>
      </x:c>
      <x:c r="X215" s="22" t="n">
        <x:v>234</x:v>
      </x:c>
      <x:c r="Y215" s="22" t="str">
        <x:v>主线</x:v>
      </x:c>
    </x:row>
    <x:row r="216" ht="24" customHeight="1">
      <x:c r="A216" s="22" t="str">
        <x:v>P0212</x:v>
      </x:c>
      <x:c r="B216" s="22" t="n">
        <x:v>7</x:v>
      </x:c>
      <x:c r="C216" s="22" t="n">
        <x:v>1</x:v>
      </x:c>
      <x:c r="D216" s="22" t="str">
        <x:v>C07本阶段既有付费/长期成长</x:v>
      </x:c>
      <x:c r="E216" s="26" t="n">
        <x:v>0.12487114888821133</x:v>
      </x:c>
      <x:c r="F216" s="22" t="n">
        <x:v>6</x:v>
      </x:c>
      <x:c r="G216" s="22" t="n">
        <x:v>170</x:v>
      </x:c>
      <x:c r="H216" s="22" t="n">
        <x:v>10</x:v>
      </x:c>
      <x:c r="I216" s="22" t="n">
        <x:v>6</x:v>
      </x:c>
      <x:c r="J216" s="22" t="n">
        <x:f>'02_人物原始合计'!AG216+'02_人物原始合计'!AH216</x:f>
        <x:v>15</x:v>
      </x:c>
      <x:c r="K216" s="28" t="n">
        <x:f>'02_人物原始合计'!F216*(1+'02_人物原始合计'!Q216/100)</x:f>
        <x:v>427708.24</x:v>
      </x:c>
      <x:c r="L216" s="28" t="n">
        <x:f>'02_人物原始合计'!K216*(1+'02_人物原始合计'!AV216/100)</x:f>
        <x:v>6274276</x:v>
      </x:c>
      <x:c r="M216" s="22" t="n">
        <x:f>MAX(0,MIN(50,'02_人物原始合计'!AD216,20+MIN(30,'02_人物原始合计'!AE216)))</x:f>
        <x:v>29</x:v>
      </x:c>
      <x:c r="N216" s="22" t="n">
        <x:f>IF(M216=0,1.75,IF(M216=10,2.2,IF(M216=20,2.9,IF(M216=30,4.3,IF(M216=40,8.5,IF(M216=50,14.3,IF(M216&lt;=40,1000/('01_参数'!$B$21-'01_参数'!$B$22*M216),1000/(1000/8.5+(M216-40)/10*(1000/14.3-1000/8.5)))))))))</x:f>
        <x:v>4.122999922945254</x:v>
      </x:c>
      <x:c r="O216" s="22" t="n">
        <x:v>763</x:v>
      </x:c>
      <x:c r="P216" s="26" t="n">
        <x:f>MAX(0,MIN('01_参数'!$B$20,'02_人物原始合计'!AM216/100,'01_参数'!$B$19+'02_人物原始合计'!AN216/100))</x:f>
        <x:v>0.63</x:v>
      </x:c>
      <x:c r="Q216" s="28" t="n">
        <x:f>((('02_人物原始合计'!E216+('02_人物原始合计'!F216-'02_人物原始合计'!E216)*IF(J216&gt;=12,1,0.5+0.5*MAX(0,J216)/12))*(1+'02_人物原始合计'!Q216/100))*(1+'02_人物原始合计'!U216/100+IF(J216&gt;=15,0.15,0))*(1+'02_人物原始合计'!V216/100)*(1+'02_人物原始合计'!T216)*(1+'02_人物原始合计'!W216*'01_参数'!$B$18)*(1+MAX(0,MIN(1,'02_人物原始合计'!X216/100))*('01_参数'!$B$16+'02_人物原始合计'!Y216/100-1))*(1+MAX(0,MIN(1,'02_人物原始合计'!Z216/100))*('01_参数'!$B$17+'02_人物原始合计'!AA216/100-1))+'02_人物原始合计'!AB216)*N216*'01_参数'!$B$7*'01_参数'!$B$8</x:f>
        <x:v>123220575.6500455</x:v>
      </x:c>
      <x:c r="R216" s="28" t="n">
        <x:f>Q216*'01_参数'!$B$5</x:f>
        <x:v>246441151.300091</x:v>
      </x:c>
      <x:c r="S216" s="28" t="n">
        <x:f>(('02_人物原始合计'!E216+('02_人物原始合计'!F216-'02_人物原始合计'!E216)*IF(J216&gt;=12,1,0.5+0.5*MAX(0,J216)/12))*(1+'02_人物原始合计'!Q216/100))*(1+'02_人物原始合计'!U216/100+IF(J216&gt;=15,0.15,0))*(1+'02_人物原始合计'!V216/100)*(1+'02_人物原始合计'!T216)*(1+'02_人物原始合计'!W216*'01_参数'!$B$18)*(1+MAX(0,MIN(1,'02_人物原始合计'!X216/100))*('01_参数'!$B$16+'02_人物原始合计'!Y216/100-1))*(1+MAX(0,MIN(1,'02_人物原始合计'!Z216/100))*('01_参数'!$B$17+'02_人物原始合计'!AA216/100-1))*N216*'01_参数'!$B$7*'01_参数'!$B$8*MAX(0,'02_人物原始合计'!AO216/100)</x:f>
        <x:v>8625440.295503186</x:v>
      </x:c>
      <x:c r="T216" s="28" t="n">
        <x:f>S216*'01_参数'!$B$6</x:f>
        <x:v>11213072.384154143</x:v>
      </x:c>
      <x:c r="U216" s="28" t="n">
        <x:v>0</x:v>
      </x:c>
      <x:c r="V216" s="28" t="n">
        <x:f>T216+U216</x:f>
        <x:v>11213072.384154143</x:v>
      </x:c>
      <x:c r="W216" s="22" t="n">
        <x:v>22</x:v>
      </x:c>
      <x:c r="X216" s="22" t="n">
        <x:v>234</x:v>
      </x:c>
      <x:c r="Y216" s="22" t="str">
        <x:v>主线</x:v>
      </x:c>
    </x:row>
    <x:row r="217" ht="24" customHeight="1">
      <x:c r="A217" s="22" t="str">
        <x:v>P0213</x:v>
      </x:c>
      <x:c r="B217" s="22" t="n">
        <x:v>7</x:v>
      </x:c>
      <x:c r="C217" s="22" t="n">
        <x:v>1</x:v>
      </x:c>
      <x:c r="D217" s="22" t="str">
        <x:v>C07G01入场</x:v>
      </x:c>
      <x:c r="E217" s="26" t="n">
        <x:v>0.12487114888821133</x:v>
      </x:c>
      <x:c r="F217" s="22" t="n">
        <x:v>6</x:v>
      </x:c>
      <x:c r="G217" s="22" t="n">
        <x:v>170</x:v>
      </x:c>
      <x:c r="H217" s="22" t="n">
        <x:v>10</x:v>
      </x:c>
      <x:c r="I217" s="22" t="n">
        <x:v>6</x:v>
      </x:c>
      <x:c r="J217" s="22" t="n">
        <x:f>'02_人物原始合计'!AG217+'02_人物原始合计'!AH217</x:f>
        <x:v>15</x:v>
      </x:c>
      <x:c r="K217" s="28" t="n">
        <x:f>'02_人物原始合计'!F217*(1+'02_人物原始合计'!Q217/100)</x:f>
        <x:v>427708.24</x:v>
      </x:c>
      <x:c r="L217" s="28" t="n">
        <x:f>'02_人物原始合计'!K217*(1+'02_人物原始合计'!AV217/100)</x:f>
        <x:v>6274276</x:v>
      </x:c>
      <x:c r="M217" s="22" t="n">
        <x:f>MAX(0,MIN(50,'02_人物原始合计'!AD217,20+MIN(30,'02_人物原始合计'!AE217)))</x:f>
        <x:v>29</x:v>
      </x:c>
      <x:c r="N217" s="22" t="n">
        <x:f>IF(M217=0,1.75,IF(M217=10,2.2,IF(M217=20,2.9,IF(M217=30,4.3,IF(M217=40,8.5,IF(M217=50,14.3,IF(M217&lt;=40,1000/('01_参数'!$B$21-'01_参数'!$B$22*M217),1000/(1000/8.5+(M217-40)/10*(1000/14.3-1000/8.5)))))))))</x:f>
        <x:v>4.122999922945254</x:v>
      </x:c>
      <x:c r="O217" s="22" t="n">
        <x:v>763</x:v>
      </x:c>
      <x:c r="P217" s="26" t="n">
        <x:f>MAX(0,MIN('01_参数'!$B$20,'02_人物原始合计'!AM217/100,'01_参数'!$B$19+'02_人物原始合计'!AN217/100))</x:f>
        <x:v>0.63</x:v>
      </x:c>
      <x:c r="Q217" s="28" t="n">
        <x:f>((('02_人物原始合计'!E217+('02_人物原始合计'!F217-'02_人物原始合计'!E217)*IF(J217&gt;=12,1,0.5+0.5*MAX(0,J217)/12))*(1+'02_人物原始合计'!Q217/100))*(1+'02_人物原始合计'!U217/100+IF(J217&gt;=15,0.15,0))*(1+'02_人物原始合计'!V217/100)*(1+'02_人物原始合计'!T217)*(1+'02_人物原始合计'!W217*'01_参数'!$B$18)*(1+MAX(0,MIN(1,'02_人物原始合计'!X217/100))*('01_参数'!$B$16+'02_人物原始合计'!Y217/100-1))*(1+MAX(0,MIN(1,'02_人物原始合计'!Z217/100))*('01_参数'!$B$17+'02_人物原始合计'!AA217/100-1))+'02_人物原始合计'!AB217)*N217*'01_参数'!$B$7*'01_参数'!$B$8</x:f>
        <x:v>123220575.6500455</x:v>
      </x:c>
      <x:c r="R217" s="28" t="n">
        <x:f>Q217*'01_参数'!$B$5</x:f>
        <x:v>246441151.300091</x:v>
      </x:c>
      <x:c r="S217" s="28" t="n">
        <x:f>(('02_人物原始合计'!E217+('02_人物原始合计'!F217-'02_人物原始合计'!E217)*IF(J217&gt;=12,1,0.5+0.5*MAX(0,J217)/12))*(1+'02_人物原始合计'!Q217/100))*(1+'02_人物原始合计'!U217/100+IF(J217&gt;=15,0.15,0))*(1+'02_人物原始合计'!V217/100)*(1+'02_人物原始合计'!T217)*(1+'02_人物原始合计'!W217*'01_参数'!$B$18)*(1+MAX(0,MIN(1,'02_人物原始合计'!X217/100))*('01_参数'!$B$16+'02_人物原始合计'!Y217/100-1))*(1+MAX(0,MIN(1,'02_人物原始合计'!Z217/100))*('01_参数'!$B$17+'02_人物原始合计'!AA217/100-1))*N217*'01_参数'!$B$7*'01_参数'!$B$8*MAX(0,'02_人物原始合计'!AO217/100)</x:f>
        <x:v>8625440.295503186</x:v>
      </x:c>
      <x:c r="T217" s="28" t="n">
        <x:f>S217*'01_参数'!$B$6</x:f>
        <x:v>11213072.384154143</x:v>
      </x:c>
      <x:c r="U217" s="28" t="n">
        <x:v>0</x:v>
      </x:c>
      <x:c r="V217" s="28" t="n">
        <x:f>T217+U217</x:f>
        <x:v>11213072.384154143</x:v>
      </x:c>
      <x:c r="W217" s="22" t="n">
        <x:v>22</x:v>
      </x:c>
      <x:c r="X217" s="22" t="n">
        <x:v>234</x:v>
      </x:c>
      <x:c r="Y217" s="22" t="str">
        <x:v>主线</x:v>
      </x:c>
    </x:row>
    <x:row r="218" ht="24" customHeight="1">
      <x:c r="A218" s="22" t="str">
        <x:v>P0214</x:v>
      </x:c>
      <x:c r="B218" s="22" t="n">
        <x:v>7</x:v>
      </x:c>
      <x:c r="C218" s="22" t="n">
        <x:v>1</x:v>
      </x:c>
      <x:c r="D218" s="22" t="str">
        <x:v>C07G01普通专属4/6</x:v>
      </x:c>
      <x:c r="E218" s="26" t="n">
        <x:v>0.12487114888821133</x:v>
      </x:c>
      <x:c r="F218" s="22" t="n">
        <x:v>6</x:v>
      </x:c>
      <x:c r="G218" s="22" t="n">
        <x:v>170</x:v>
      </x:c>
      <x:c r="H218" s="22" t="n">
        <x:v>10</x:v>
      </x:c>
      <x:c r="I218" s="22" t="n">
        <x:v>6</x:v>
      </x:c>
      <x:c r="J218" s="22" t="n">
        <x:f>'02_人物原始合计'!AG218+'02_人物原始合计'!AH218</x:f>
        <x:v>15</x:v>
      </x:c>
      <x:c r="K218" s="28" t="n">
        <x:f>'02_人物原始合计'!F218*(1+'02_人物原始合计'!Q218/100)</x:f>
        <x:v>427708.24</x:v>
      </x:c>
      <x:c r="L218" s="28" t="n">
        <x:f>'02_人物原始合计'!K218*(1+'02_人物原始合计'!AV218/100)</x:f>
        <x:v>6274276</x:v>
      </x:c>
      <x:c r="M218" s="22" t="n">
        <x:f>MAX(0,MIN(50,'02_人物原始合计'!AD218,20+MIN(30,'02_人物原始合计'!AE218)))</x:f>
        <x:v>29</x:v>
      </x:c>
      <x:c r="N218" s="22" t="n">
        <x:f>IF(M218=0,1.75,IF(M218=10,2.2,IF(M218=20,2.9,IF(M218=30,4.3,IF(M218=40,8.5,IF(M218=50,14.3,IF(M218&lt;=40,1000/('01_参数'!$B$21-'01_参数'!$B$22*M218),1000/(1000/8.5+(M218-40)/10*(1000/14.3-1000/8.5)))))))))</x:f>
        <x:v>4.122999922945254</x:v>
      </x:c>
      <x:c r="O218" s="22" t="n">
        <x:v>763</x:v>
      </x:c>
      <x:c r="P218" s="26" t="n">
        <x:f>MAX(0,MIN('01_参数'!$B$20,'02_人物原始合计'!AM218/100,'01_参数'!$B$19+'02_人物原始合计'!AN218/100))</x:f>
        <x:v>0.63</x:v>
      </x:c>
      <x:c r="Q218" s="28" t="n">
        <x:f>((('02_人物原始合计'!E218+('02_人物原始合计'!F218-'02_人物原始合计'!E218)*IF(J218&gt;=12,1,0.5+0.5*MAX(0,J218)/12))*(1+'02_人物原始合计'!Q218/100))*(1+'02_人物原始合计'!U218/100+IF(J218&gt;=15,0.15,0))*(1+'02_人物原始合计'!V218/100)*(1+'02_人物原始合计'!T218)*(1+'02_人物原始合计'!W218*'01_参数'!$B$18)*(1+MAX(0,MIN(1,'02_人物原始合计'!X218/100))*('01_参数'!$B$16+'02_人物原始合计'!Y218/100-1))*(1+MAX(0,MIN(1,'02_人物原始合计'!Z218/100))*('01_参数'!$B$17+'02_人物原始合计'!AA218/100-1))+'02_人物原始合计'!AB218)*N218*'01_参数'!$B$7*'01_参数'!$B$8</x:f>
        <x:v>123220575.6500455</x:v>
      </x:c>
      <x:c r="R218" s="28" t="n">
        <x:f>Q218*'01_参数'!$B$5</x:f>
        <x:v>246441151.300091</x:v>
      </x:c>
      <x:c r="S218" s="28" t="n">
        <x:f>(('02_人物原始合计'!E218+('02_人物原始合计'!F218-'02_人物原始合计'!E218)*IF(J218&gt;=12,1,0.5+0.5*MAX(0,J218)/12))*(1+'02_人物原始合计'!Q218/100))*(1+'02_人物原始合计'!U218/100+IF(J218&gt;=15,0.15,0))*(1+'02_人物原始合计'!V218/100)*(1+'02_人物原始合计'!T218)*(1+'02_人物原始合计'!W218*'01_参数'!$B$18)*(1+MAX(0,MIN(1,'02_人物原始合计'!X218/100))*('01_参数'!$B$16+'02_人物原始合计'!Y218/100-1))*(1+MAX(0,MIN(1,'02_人物原始合计'!Z218/100))*('01_参数'!$B$17+'02_人物原始合计'!AA218/100-1))*N218*'01_参数'!$B$7*'01_参数'!$B$8*MAX(0,'02_人物原始合计'!AO218/100)</x:f>
        <x:v>8625440.295503186</x:v>
      </x:c>
      <x:c r="T218" s="28" t="n">
        <x:f>S218*'01_参数'!$B$6</x:f>
        <x:v>11213072.384154143</x:v>
      </x:c>
      <x:c r="U218" s="28" t="n">
        <x:v>0</x:v>
      </x:c>
      <x:c r="V218" s="28" t="n">
        <x:f>T218+U218</x:f>
        <x:v>11213072.384154143</x:v>
      </x:c>
      <x:c r="W218" s="22" t="n">
        <x:v>22</x:v>
      </x:c>
      <x:c r="X218" s="22" t="n">
        <x:v>234</x:v>
      </x:c>
      <x:c r="Y218" s="22" t="str">
        <x:v>主线</x:v>
      </x:c>
    </x:row>
    <x:row r="219" ht="24" customHeight="1">
      <x:c r="A219" s="22" t="str">
        <x:v>P0215</x:v>
      </x:c>
      <x:c r="B219" s="22" t="n">
        <x:v>7</x:v>
      </x:c>
      <x:c r="C219" s="22" t="n">
        <x:v>1</x:v>
      </x:c>
      <x:c r="D219" s="22" t="str">
        <x:v>雪墓巨人·赫洛挑战前</x:v>
      </x:c>
      <x:c r="E219" s="26" t="n">
        <x:v>0.12487114888821133</x:v>
      </x:c>
      <x:c r="F219" s="22" t="n">
        <x:v>6</x:v>
      </x:c>
      <x:c r="G219" s="22" t="n">
        <x:v>174</x:v>
      </x:c>
      <x:c r="H219" s="22" t="n">
        <x:v>10</x:v>
      </x:c>
      <x:c r="I219" s="22" t="n">
        <x:v>6</x:v>
      </x:c>
      <x:c r="J219" s="22" t="n">
        <x:f>'02_人物原始合计'!AG219+'02_人物原始合计'!AH219</x:f>
        <x:v>15</x:v>
      </x:c>
      <x:c r="K219" s="28" t="n">
        <x:f>'02_人物原始合计'!F219*(1+'02_人物原始合计'!Q219/100)</x:f>
        <x:v>435836.44</x:v>
      </x:c>
      <x:c r="L219" s="28" t="n">
        <x:f>'02_人物原始合计'!K219*(1+'02_人物原始合计'!AV219/100)</x:f>
        <x:v>6359836</x:v>
      </x:c>
      <x:c r="M219" s="22" t="n">
        <x:f>MAX(0,MIN(50,'02_人物原始合计'!AD219,20+MIN(30,'02_人物原始合计'!AE219)))</x:f>
        <x:v>29</x:v>
      </x:c>
      <x:c r="N219" s="22" t="n">
        <x:f>IF(M219=0,1.75,IF(M219=10,2.2,IF(M219=20,2.9,IF(M219=30,4.3,IF(M219=40,8.5,IF(M219=50,14.3,IF(M219&lt;=40,1000/('01_参数'!$B$21-'01_参数'!$B$22*M219),1000/(1000/8.5+(M219-40)/10*(1000/14.3-1000/8.5)))))))))</x:f>
        <x:v>4.122999922945254</x:v>
      </x:c>
      <x:c r="O219" s="22" t="n">
        <x:v>763</x:v>
      </x:c>
      <x:c r="P219" s="26" t="n">
        <x:f>MAX(0,MIN('01_参数'!$B$20,'02_人物原始合计'!AM219/100,'01_参数'!$B$19+'02_人物原始合计'!AN219/100))</x:f>
        <x:v>0.63</x:v>
      </x:c>
      <x:c r="Q219" s="28" t="n">
        <x:f>((('02_人物原始合计'!E219+('02_人物原始合计'!F219-'02_人物原始合计'!E219)*IF(J219&gt;=12,1,0.5+0.5*MAX(0,J219)/12))*(1+'02_人物原始合计'!Q219/100))*(1+'02_人物原始合计'!U219/100+IF(J219&gt;=15,0.15,0))*(1+'02_人物原始合计'!V219/100)*(1+'02_人物原始合计'!T219)*(1+'02_人物原始合计'!W219*'01_参数'!$B$18)*(1+MAX(0,MIN(1,'02_人物原始合计'!X219/100))*('01_参数'!$B$16+'02_人物原始合计'!Y219/100-1))*(1+MAX(0,MIN(1,'02_人物原始合计'!Z219/100))*('01_参数'!$B$17+'02_人物原始合计'!AA219/100-1))+'02_人物原始合计'!AB219)*N219*'01_参数'!$B$7*'01_参数'!$B$8</x:f>
        <x:v>125562268.8636219</x:v>
      </x:c>
      <x:c r="R219" s="28" t="n">
        <x:f>Q219*'01_参数'!$B$5</x:f>
        <x:v>251124537.7272438</x:v>
      </x:c>
      <x:c r="S219" s="28" t="n">
        <x:f>(('02_人物原始合计'!E219+('02_人物原始合计'!F219-'02_人物原始合计'!E219)*IF(J219&gt;=12,1,0.5+0.5*MAX(0,J219)/12))*(1+'02_人物原始合计'!Q219/100))*(1+'02_人物原始合计'!U219/100+IF(J219&gt;=15,0.15,0))*(1+'02_人物原始合计'!V219/100)*(1+'02_人物原始合计'!T219)*(1+'02_人物原始合计'!W219*'01_参数'!$B$18)*(1+MAX(0,MIN(1,'02_人物原始合计'!X219/100))*('01_参数'!$B$16+'02_人物原始合计'!Y219/100-1))*(1+MAX(0,MIN(1,'02_人物原始合计'!Z219/100))*('01_参数'!$B$17+'02_人物原始合计'!AA219/100-1))*N219*'01_参数'!$B$7*'01_参数'!$B$8*MAX(0,'02_人物原始合计'!AO219/100)</x:f>
        <x:v>8789358.820453534</x:v>
      </x:c>
      <x:c r="T219" s="28" t="n">
        <x:f>S219*'01_参数'!$B$6</x:f>
        <x:v>11426166.466589594</x:v>
      </x:c>
      <x:c r="U219" s="28" t="n">
        <x:v>0</x:v>
      </x:c>
      <x:c r="V219" s="28" t="n">
        <x:f>T219+U219</x:f>
        <x:v>11426166.466589594</x:v>
      </x:c>
      <x:c r="W219" s="22" t="n">
        <x:v>22</x:v>
      </x:c>
      <x:c r="X219" s="22" t="n">
        <x:v>234</x:v>
      </x:c>
      <x:c r="Y219" s="22" t="str">
        <x:v>主线</x:v>
      </x:c>
    </x:row>
    <x:row r="220" ht="24" customHeight="1">
      <x:c r="A220" s="22" t="str">
        <x:v>P0216</x:v>
      </x:c>
      <x:c r="B220" s="22" t="n">
        <x:v>7</x:v>
      </x:c>
      <x:c r="C220" s="22" t="n">
        <x:v>1</x:v>
      </x:c>
      <x:c r="D220" s="22" t="str">
        <x:v>苍白鹿王·艾尔维挑战前</x:v>
      </x:c>
      <x:c r="E220" s="26" t="n">
        <x:v>0.12487114888821133</x:v>
      </x:c>
      <x:c r="F220" s="22" t="n">
        <x:v>6</x:v>
      </x:c>
      <x:c r="G220" s="22" t="n">
        <x:v>174</x:v>
      </x:c>
      <x:c r="H220" s="22" t="n">
        <x:v>10</x:v>
      </x:c>
      <x:c r="I220" s="22" t="n">
        <x:v>6</x:v>
      </x:c>
      <x:c r="J220" s="22" t="n">
        <x:f>'02_人物原始合计'!AG220+'02_人物原始合计'!AH220</x:f>
        <x:v>15</x:v>
      </x:c>
      <x:c r="K220" s="28" t="n">
        <x:f>'02_人物原始合计'!F220*(1+'02_人物原始合计'!Q220/100)</x:f>
        <x:v>435836.44</x:v>
      </x:c>
      <x:c r="L220" s="28" t="n">
        <x:f>'02_人物原始合计'!K220*(1+'02_人物原始合计'!AV220/100)</x:f>
        <x:v>6359836</x:v>
      </x:c>
      <x:c r="M220" s="22" t="n">
        <x:f>MAX(0,MIN(50,'02_人物原始合计'!AD220,20+MIN(30,'02_人物原始合计'!AE220)))</x:f>
        <x:v>29</x:v>
      </x:c>
      <x:c r="N220" s="22" t="n">
        <x:f>IF(M220=0,1.75,IF(M220=10,2.2,IF(M220=20,2.9,IF(M220=30,4.3,IF(M220=40,8.5,IF(M220=50,14.3,IF(M220&lt;=40,1000/('01_参数'!$B$21-'01_参数'!$B$22*M220),1000/(1000/8.5+(M220-40)/10*(1000/14.3-1000/8.5)))))))))</x:f>
        <x:v>4.122999922945254</x:v>
      </x:c>
      <x:c r="O220" s="22" t="n">
        <x:v>763</x:v>
      </x:c>
      <x:c r="P220" s="26" t="n">
        <x:f>MAX(0,MIN('01_参数'!$B$20,'02_人物原始合计'!AM220/100,'01_参数'!$B$19+'02_人物原始合计'!AN220/100))</x:f>
        <x:v>0.63</x:v>
      </x:c>
      <x:c r="Q220" s="28" t="n">
        <x:f>((('02_人物原始合计'!E220+('02_人物原始合计'!F220-'02_人物原始合计'!E220)*IF(J220&gt;=12,1,0.5+0.5*MAX(0,J220)/12))*(1+'02_人物原始合计'!Q220/100))*(1+'02_人物原始合计'!U220/100+IF(J220&gt;=15,0.15,0))*(1+'02_人物原始合计'!V220/100)*(1+'02_人物原始合计'!T220)*(1+'02_人物原始合计'!W220*'01_参数'!$B$18)*(1+MAX(0,MIN(1,'02_人物原始合计'!X220/100))*('01_参数'!$B$16+'02_人物原始合计'!Y220/100-1))*(1+MAX(0,MIN(1,'02_人物原始合计'!Z220/100))*('01_参数'!$B$17+'02_人物原始合计'!AA220/100-1))+'02_人物原始合计'!AB220)*N220*'01_参数'!$B$7*'01_参数'!$B$8</x:f>
        <x:v>125562268.8636219</x:v>
      </x:c>
      <x:c r="R220" s="28" t="n">
        <x:f>Q220*'01_参数'!$B$5</x:f>
        <x:v>251124537.7272438</x:v>
      </x:c>
      <x:c r="S220" s="28" t="n">
        <x:f>(('02_人物原始合计'!E220+('02_人物原始合计'!F220-'02_人物原始合计'!E220)*IF(J220&gt;=12,1,0.5+0.5*MAX(0,J220)/12))*(1+'02_人物原始合计'!Q220/100))*(1+'02_人物原始合计'!U220/100+IF(J220&gt;=15,0.15,0))*(1+'02_人物原始合计'!V220/100)*(1+'02_人物原始合计'!T220)*(1+'02_人物原始合计'!W220*'01_参数'!$B$18)*(1+MAX(0,MIN(1,'02_人物原始合计'!X220/100))*('01_参数'!$B$16+'02_人物原始合计'!Y220/100-1))*(1+MAX(0,MIN(1,'02_人物原始合计'!Z220/100))*('01_参数'!$B$17+'02_人物原始合计'!AA220/100-1))*N220*'01_参数'!$B$7*'01_参数'!$B$8*MAX(0,'02_人物原始合计'!AO220/100)</x:f>
        <x:v>8789358.820453534</x:v>
      </x:c>
      <x:c r="T220" s="28" t="n">
        <x:f>S220*'01_参数'!$B$6</x:f>
        <x:v>11426166.466589594</x:v>
      </x:c>
      <x:c r="U220" s="28" t="n">
        <x:v>0</x:v>
      </x:c>
      <x:c r="V220" s="28" t="n">
        <x:f>T220+U220</x:f>
        <x:v>11426166.466589594</x:v>
      </x:c>
      <x:c r="W220" s="22" t="n">
        <x:v>22</x:v>
      </x:c>
      <x:c r="X220" s="22" t="n">
        <x:v>234</x:v>
      </x:c>
      <x:c r="Y220" s="22" t="str">
        <x:v>主线</x:v>
      </x:c>
    </x:row>
    <x:row r="221" ht="24" customHeight="1">
      <x:c r="A221" s="22" t="str">
        <x:v>P0217</x:v>
      </x:c>
      <x:c r="B221" s="22" t="n">
        <x:v>7</x:v>
      </x:c>
      <x:c r="C221" s="22" t="n">
        <x:v>1</x:v>
      </x:c>
      <x:c r="D221" s="22" t="str">
        <x:v>苍白雪原BOSS装备快线</x:v>
      </x:c>
      <x:c r="E221" s="26" t="n">
        <x:v>0.13320448222154466</x:v>
      </x:c>
      <x:c r="F221" s="22" t="n">
        <x:v>6</x:v>
      </x:c>
      <x:c r="G221" s="22" t="n">
        <x:v>174</x:v>
      </x:c>
      <x:c r="H221" s="22" t="n">
        <x:v>10</x:v>
      </x:c>
      <x:c r="I221" s="22" t="n">
        <x:v>6</x:v>
      </x:c>
      <x:c r="J221" s="22" t="n">
        <x:f>'02_人物原始合计'!AG221+'02_人物原始合计'!AH221</x:f>
        <x:v>15</x:v>
      </x:c>
      <x:c r="K221" s="28" t="n">
        <x:f>'02_人物原始合计'!F221*(1+'02_人物原始合计'!Q221/100)</x:f>
        <x:v>444947.88</x:v>
      </x:c>
      <x:c r="L221" s="28" t="n">
        <x:f>'02_人物原始合计'!K221*(1+'02_人物原始合计'!AV221/100)</x:f>
        <x:v>6463624</x:v>
      </x:c>
      <x:c r="M221" s="22" t="n">
        <x:f>MAX(0,MIN(50,'02_人物原始合计'!AD221,20+MIN(30,'02_人物原始合计'!AE221)))</x:f>
        <x:v>29</x:v>
      </x:c>
      <x:c r="N221" s="22" t="n">
        <x:f>IF(M221=0,1.75,IF(M221=10,2.2,IF(M221=20,2.9,IF(M221=30,4.3,IF(M221=40,8.5,IF(M221=50,14.3,IF(M221&lt;=40,1000/('01_参数'!$B$21-'01_参数'!$B$22*M221),1000/(1000/8.5+(M221-40)/10*(1000/14.3-1000/8.5)))))))))</x:f>
        <x:v>4.122999922945254</x:v>
      </x:c>
      <x:c r="O221" s="22" t="n">
        <x:v>763</x:v>
      </x:c>
      <x:c r="P221" s="26" t="n">
        <x:f>MAX(0,MIN('01_参数'!$B$20,'02_人物原始合计'!AM221/100,'01_参数'!$B$19+'02_人物原始合计'!AN221/100))</x:f>
        <x:v>0.64</x:v>
      </x:c>
      <x:c r="Q221" s="28" t="n">
        <x:f>((('02_人物原始合计'!E221+('02_人物原始合计'!F221-'02_人物原始合计'!E221)*IF(J221&gt;=12,1,0.5+0.5*MAX(0,J221)/12))*(1+'02_人物原始合计'!Q221/100))*(1+'02_人物原始合计'!U221/100+IF(J221&gt;=15,0.15,0))*(1+'02_人物原始合计'!V221/100)*(1+'02_人物原始合计'!T221)*(1+'02_人物原始合计'!W221*'01_参数'!$B$18)*(1+MAX(0,MIN(1,'02_人物原始合计'!X221/100))*('01_参数'!$B$16+'02_人物原始合计'!Y221/100-1))*(1+MAX(0,MIN(1,'02_人物原始合计'!Z221/100))*('01_参数'!$B$17+'02_人物原始合计'!AA221/100-1))+'02_人物原始合计'!AB221)*N221*'01_参数'!$B$7*'01_参数'!$B$8</x:f>
        <x:v>128187228.536601</x:v>
      </x:c>
      <x:c r="R221" s="28" t="n">
        <x:f>Q221*'01_参数'!$B$5</x:f>
        <x:v>256374457.073202</x:v>
      </x:c>
      <x:c r="S221" s="28" t="n">
        <x:f>(('02_人物原始合计'!E221+('02_人物原始合计'!F221-'02_人物原始合计'!E221)*IF(J221&gt;=12,1,0.5+0.5*MAX(0,J221)/12))*(1+'02_人物原始合计'!Q221/100))*(1+'02_人物原始合计'!U221/100+IF(J221&gt;=15,0.15,0))*(1+'02_人物原始合计'!V221/100)*(1+'02_人物原始合计'!T221)*(1+'02_人物原始合计'!W221*'01_参数'!$B$18)*(1+MAX(0,MIN(1,'02_人物原始合计'!X221/100))*('01_参数'!$B$16+'02_人物原始合计'!Y221/100-1))*(1+MAX(0,MIN(1,'02_人物原始合计'!Z221/100))*('01_参数'!$B$17+'02_人物原始合计'!AA221/100-1))*N221*'01_参数'!$B$7*'01_参数'!$B$8*MAX(0,'02_人物原始合计'!AO221/100)</x:f>
        <x:v>8973105.997562071</x:v>
      </x:c>
      <x:c r="T221" s="28" t="n">
        <x:f>S221*'01_参数'!$B$6</x:f>
        <x:v>11665037.796830693</x:v>
      </x:c>
      <x:c r="U221" s="28" t="n">
        <x:v>0</x:v>
      </x:c>
      <x:c r="V221" s="28" t="n">
        <x:f>T221+U221</x:f>
        <x:v>11665037.796830693</x:v>
      </x:c>
      <x:c r="W221" s="22" t="n">
        <x:v>22</x:v>
      </x:c>
      <x:c r="X221" s="22" t="n">
        <x:v>234</x:v>
      </x:c>
      <x:c r="Y221" s="22" t="str">
        <x:v>C07G01BOSS强装对照</x:v>
      </x:c>
    </x:row>
    <x:row r="222" ht="24" customHeight="1">
      <x:c r="A222" s="22" t="str">
        <x:v>P0218</x:v>
      </x:c>
      <x:c r="B222" s="22" t="n">
        <x:v>7</x:v>
      </x:c>
      <x:c r="C222" s="22" t="n">
        <x:v>1</x:v>
      </x:c>
      <x:c r="D222" s="22" t="str">
        <x:v>苍白雪原阶段积累后</x:v>
      </x:c>
      <x:c r="E222" s="26" t="n">
        <x:v>0.15782569434275678</x:v>
      </x:c>
      <x:c r="F222" s="22" t="n">
        <x:v>6</x:v>
      </x:c>
      <x:c r="G222" s="22" t="n">
        <x:v>174</x:v>
      </x:c>
      <x:c r="H222" s="22" t="n">
        <x:v>10</x:v>
      </x:c>
      <x:c r="I222" s="22" t="n">
        <x:v>6</x:v>
      </x:c>
      <x:c r="J222" s="22" t="n">
        <x:f>'02_人物原始合计'!AG222+'02_人物原始合计'!AH222</x:f>
        <x:v>15</x:v>
      </x:c>
      <x:c r="K222" s="28" t="n">
        <x:f>'02_人物原始合计'!F222*(1+'02_人物原始合计'!Q222/100)</x:f>
        <x:v>477302.04</x:v>
      </x:c>
      <x:c r="L222" s="28" t="n">
        <x:f>'02_人物原始合计'!K222*(1+'02_人物原始合计'!AV222/100)</x:f>
        <x:v>6796316</x:v>
      </x:c>
      <x:c r="M222" s="22" t="n">
        <x:f>MAX(0,MIN(50,'02_人物原始合计'!AD222,20+MIN(30,'02_人物原始合计'!AE222)))</x:f>
        <x:v>30</x:v>
      </x:c>
      <x:c r="N222" s="22" t="n">
        <x:f>IF(M222=0,1.75,IF(M222=10,2.2,IF(M222=20,2.9,IF(M222=30,4.3,IF(M222=40,8.5,IF(M222=50,14.3,IF(M222&lt;=40,1000/('01_参数'!$B$21-'01_参数'!$B$22*M222),1000/(1000/8.5+(M222-40)/10*(1000/14.3-1000/8.5)))))))))</x:f>
        <x:v>4.3</x:v>
      </x:c>
      <x:c r="O222" s="22" t="n">
        <x:v>763</x:v>
      </x:c>
      <x:c r="P222" s="26" t="n">
        <x:f>MAX(0,MIN('01_参数'!$B$20,'02_人物原始合计'!AM222/100,'01_参数'!$B$19+'02_人物原始合计'!AN222/100))</x:f>
        <x:v>0.63</x:v>
      </x:c>
      <x:c r="Q222" s="28" t="n">
        <x:f>((('02_人物原始合计'!E222+('02_人物原始合计'!F222-'02_人物原始合计'!E222)*IF(J222&gt;=12,1,0.5+0.5*MAX(0,J222)/12))*(1+'02_人物原始合计'!Q222/100))*(1+'02_人物原始合计'!U222/100+IF(J222&gt;=15,0.15,0))*(1+'02_人物原始合计'!V222/100)*(1+'02_人物原始合计'!T222)*(1+'02_人物原始合计'!W222*'01_参数'!$B$18)*(1+MAX(0,MIN(1,'02_人物原始合计'!X222/100))*('01_参数'!$B$16+'02_人物原始合计'!Y222/100-1))*(1+MAX(0,MIN(1,'02_人物原始合计'!Z222/100))*('01_参数'!$B$17+'02_人物原始合计'!AA222/100-1))+'02_人物原始合计'!AB222)*N222*'01_参数'!$B$7*'01_参数'!$B$8</x:f>
        <x:v>143411518.91788718</x:v>
      </x:c>
      <x:c r="R222" s="28" t="n">
        <x:f>Q222*'01_参数'!$B$5</x:f>
        <x:v>286823037.83577436</x:v>
      </x:c>
      <x:c r="S222" s="28" t="n">
        <x:f>(('02_人物原始合计'!E222+('02_人物原始合计'!F222-'02_人物原始合计'!E222)*IF(J222&gt;=12,1,0.5+0.5*MAX(0,J222)/12))*(1+'02_人物原始合计'!Q222/100))*(1+'02_人物原始合计'!U222/100+IF(J222&gt;=15,0.15,0))*(1+'02_人物原始合计'!V222/100)*(1+'02_人物原始合计'!T222)*(1+'02_人物原始合计'!W222*'01_参数'!$B$18)*(1+MAX(0,MIN(1,'02_人物原始合计'!X222/100))*('01_参数'!$B$16+'02_人物原始合计'!Y222/100-1))*(1+MAX(0,MIN(1,'02_人物原始合计'!Z222/100))*('01_参数'!$B$17+'02_人物原始合计'!AA222/100-1))*N222*'01_参数'!$B$7*'01_参数'!$B$8*MAX(0,'02_人物原始合计'!AO222/100)</x:f>
        <x:v>10038806.324252104</x:v>
      </x:c>
      <x:c r="T222" s="28" t="n">
        <x:f>S222*'01_参数'!$B$6</x:f>
        <x:v>13050448.221527737</x:v>
      </x:c>
      <x:c r="U222" s="28" t="n">
        <x:v>0</x:v>
      </x:c>
      <x:c r="V222" s="28" t="n">
        <x:f>T222+U222</x:f>
        <x:v>13050448.221527737</x:v>
      </x:c>
      <x:c r="W222" s="22" t="n">
        <x:v>23</x:v>
      </x:c>
      <x:c r="X222" s="22" t="n">
        <x:v>235</x:v>
      </x:c>
      <x:c r="Y222" s="22" t="str">
        <x:v>主线</x:v>
      </x:c>
    </x:row>
    <x:row r="223" ht="24" customHeight="1">
      <x:c r="A223" s="22" t="str">
        <x:v>P0219</x:v>
      </x:c>
      <x:c r="B223" s="22" t="n">
        <x:v>7</x:v>
      </x:c>
      <x:c r="C223" s="22" t="n">
        <x:v>2</x:v>
      </x:c>
      <x:c r="D223" s="22" t="str">
        <x:v>C07G02入场</x:v>
      </x:c>
      <x:c r="E223" s="26" t="n">
        <x:v>0.15782569434275678</x:v>
      </x:c>
      <x:c r="F223" s="22" t="n">
        <x:v>6</x:v>
      </x:c>
      <x:c r="G223" s="22" t="n">
        <x:v>174</x:v>
      </x:c>
      <x:c r="H223" s="22" t="n">
        <x:v>10</x:v>
      </x:c>
      <x:c r="I223" s="22" t="n">
        <x:v>6</x:v>
      </x:c>
      <x:c r="J223" s="22" t="n">
        <x:f>'02_人物原始合计'!AG223+'02_人物原始合计'!AH223</x:f>
        <x:v>15</x:v>
      </x:c>
      <x:c r="K223" s="28" t="n">
        <x:f>'02_人物原始合计'!F223*(1+'02_人物原始合计'!Q223/100)</x:f>
        <x:v>477302.04</x:v>
      </x:c>
      <x:c r="L223" s="28" t="n">
        <x:f>'02_人物原始合计'!K223*(1+'02_人物原始合计'!AV223/100)</x:f>
        <x:v>6796316</x:v>
      </x:c>
      <x:c r="M223" s="22" t="n">
        <x:f>MAX(0,MIN(50,'02_人物原始合计'!AD223,20+MIN(30,'02_人物原始合计'!AE223)))</x:f>
        <x:v>30</x:v>
      </x:c>
      <x:c r="N223" s="22" t="n">
        <x:f>IF(M223=0,1.75,IF(M223=10,2.2,IF(M223=20,2.9,IF(M223=30,4.3,IF(M223=40,8.5,IF(M223=50,14.3,IF(M223&lt;=40,1000/('01_参数'!$B$21-'01_参数'!$B$22*M223),1000/(1000/8.5+(M223-40)/10*(1000/14.3-1000/8.5)))))))))</x:f>
        <x:v>4.3</x:v>
      </x:c>
      <x:c r="O223" s="22" t="n">
        <x:v>763</x:v>
      </x:c>
      <x:c r="P223" s="26" t="n">
        <x:f>MAX(0,MIN('01_参数'!$B$20,'02_人物原始合计'!AM223/100,'01_参数'!$B$19+'02_人物原始合计'!AN223/100))</x:f>
        <x:v>0.63</x:v>
      </x:c>
      <x:c r="Q223" s="28" t="n">
        <x:f>((('02_人物原始合计'!E223+('02_人物原始合计'!F223-'02_人物原始合计'!E223)*IF(J223&gt;=12,1,0.5+0.5*MAX(0,J223)/12))*(1+'02_人物原始合计'!Q223/100))*(1+'02_人物原始合计'!U223/100+IF(J223&gt;=15,0.15,0))*(1+'02_人物原始合计'!V223/100)*(1+'02_人物原始合计'!T223)*(1+'02_人物原始合计'!W223*'01_参数'!$B$18)*(1+MAX(0,MIN(1,'02_人物原始合计'!X223/100))*('01_参数'!$B$16+'02_人物原始合计'!Y223/100-1))*(1+MAX(0,MIN(1,'02_人物原始合计'!Z223/100))*('01_参数'!$B$17+'02_人物原始合计'!AA223/100-1))+'02_人物原始合计'!AB223)*N223*'01_参数'!$B$7*'01_参数'!$B$8</x:f>
        <x:v>143411518.91788718</x:v>
      </x:c>
      <x:c r="R223" s="28" t="n">
        <x:f>Q223*'01_参数'!$B$5</x:f>
        <x:v>286823037.83577436</x:v>
      </x:c>
      <x:c r="S223" s="28" t="n">
        <x:f>(('02_人物原始合计'!E223+('02_人物原始合计'!F223-'02_人物原始合计'!E223)*IF(J223&gt;=12,1,0.5+0.5*MAX(0,J223)/12))*(1+'02_人物原始合计'!Q223/100))*(1+'02_人物原始合计'!U223/100+IF(J223&gt;=15,0.15,0))*(1+'02_人物原始合计'!V223/100)*(1+'02_人物原始合计'!T223)*(1+'02_人物原始合计'!W223*'01_参数'!$B$18)*(1+MAX(0,MIN(1,'02_人物原始合计'!X223/100))*('01_参数'!$B$16+'02_人物原始合计'!Y223/100-1))*(1+MAX(0,MIN(1,'02_人物原始合计'!Z223/100))*('01_参数'!$B$17+'02_人物原始合计'!AA223/100-1))*N223*'01_参数'!$B$7*'01_参数'!$B$8*MAX(0,'02_人物原始合计'!AO223/100)</x:f>
        <x:v>10038806.324252104</x:v>
      </x:c>
      <x:c r="T223" s="28" t="n">
        <x:f>S223*'01_参数'!$B$6</x:f>
        <x:v>13050448.221527737</x:v>
      </x:c>
      <x:c r="U223" s="28" t="n">
        <x:v>0</x:v>
      </x:c>
      <x:c r="V223" s="28" t="n">
        <x:f>T223+U223</x:f>
        <x:v>13050448.221527737</x:v>
      </x:c>
      <x:c r="W223" s="22" t="n">
        <x:v>23</x:v>
      </x:c>
      <x:c r="X223" s="22" t="n">
        <x:v>235</x:v>
      </x:c>
      <x:c r="Y223" s="22" t="str">
        <x:v>主线</x:v>
      </x:c>
    </x:row>
    <x:row r="224" ht="24" customHeight="1">
      <x:c r="A224" s="22" t="str">
        <x:v>P0220</x:v>
      </x:c>
      <x:c r="B224" s="22" t="n">
        <x:v>7</x:v>
      </x:c>
      <x:c r="C224" s="22" t="n">
        <x:v>2</x:v>
      </x:c>
      <x:c r="D224" s="22" t="str">
        <x:v>C07G02普通专属4/6</x:v>
      </x:c>
      <x:c r="E224" s="26" t="n">
        <x:v>0.1595008656330639</x:v>
      </x:c>
      <x:c r="F224" s="22" t="n">
        <x:v>6</x:v>
      </x:c>
      <x:c r="G224" s="22" t="n">
        <x:v>174</x:v>
      </x:c>
      <x:c r="H224" s="22" t="n">
        <x:v>10</x:v>
      </x:c>
      <x:c r="I224" s="22" t="n">
        <x:v>6</x:v>
      </x:c>
      <x:c r="J224" s="22" t="n">
        <x:f>'02_人物原始合计'!AG224+'02_人物原始合计'!AH224</x:f>
        <x:v>15</x:v>
      </x:c>
      <x:c r="K224" s="28" t="n">
        <x:f>'02_人物原始合计'!F224*(1+'02_人物原始合计'!Q224/100)</x:f>
        <x:v>478643.4</x:v>
      </x:c>
      <x:c r="L224" s="28" t="n">
        <x:f>'02_人物原始合计'!K224*(1+'02_人物原始合计'!AV224/100)</x:f>
        <x:v>6820620</x:v>
      </x:c>
      <x:c r="M224" s="22" t="n">
        <x:f>MAX(0,MIN(50,'02_人物原始合计'!AD224,20+MIN(30,'02_人物原始合计'!AE224)))</x:f>
        <x:v>30</x:v>
      </x:c>
      <x:c r="N224" s="22" t="n">
        <x:f>IF(M224=0,1.75,IF(M224=10,2.2,IF(M224=20,2.9,IF(M224=30,4.3,IF(M224=40,8.5,IF(M224=50,14.3,IF(M224&lt;=40,1000/('01_参数'!$B$21-'01_参数'!$B$22*M224),1000/(1000/8.5+(M224-40)/10*(1000/14.3-1000/8.5)))))))))</x:f>
        <x:v>4.3</x:v>
      </x:c>
      <x:c r="O224" s="22" t="n">
        <x:v>763</x:v>
      </x:c>
      <x:c r="P224" s="26" t="n">
        <x:f>MAX(0,MIN('01_参数'!$B$20,'02_人物原始合计'!AM224/100,'01_参数'!$B$19+'02_人物原始合计'!AN224/100))</x:f>
        <x:v>0.63</x:v>
      </x:c>
      <x:c r="Q224" s="28" t="n">
        <x:f>((('02_人物原始合计'!E224+('02_人物原始合计'!F224-'02_人物原始合计'!E224)*IF(J224&gt;=12,1,0.5+0.5*MAX(0,J224)/12))*(1+'02_人物原始合计'!Q224/100))*(1+'02_人物原始合计'!U224/100+IF(J224&gt;=15,0.15,0))*(1+'02_人物原始合计'!V224/100)*(1+'02_人物原始合计'!T224)*(1+'02_人物原始合计'!W224*'01_参数'!$B$18)*(1+MAX(0,MIN(1,'02_人物原始合计'!X224/100))*('01_参数'!$B$16+'02_人物原始合计'!Y224/100-1))*(1+MAX(0,MIN(1,'02_人物原始合计'!Z224/100))*('01_参数'!$B$17+'02_人物原始合计'!AA224/100-1))+'02_人物原始合计'!AB224)*N224*'01_参数'!$B$7*'01_参数'!$B$8</x:f>
        <x:v>143814547.7317085</x:v>
      </x:c>
      <x:c r="R224" s="28" t="n">
        <x:f>Q224*'01_参数'!$B$5</x:f>
        <x:v>287629095.463417</x:v>
      </x:c>
      <x:c r="S224" s="28" t="n">
        <x:f>(('02_人物原始合计'!E224+('02_人物原始合计'!F224-'02_人物原始合计'!E224)*IF(J224&gt;=12,1,0.5+0.5*MAX(0,J224)/12))*(1+'02_人物原始合计'!Q224/100))*(1+'02_人物原始合计'!U224/100+IF(J224&gt;=15,0.15,0))*(1+'02_人物原始合计'!V224/100)*(1+'02_人物原始合计'!T224)*(1+'02_人物原始合计'!W224*'01_参数'!$B$18)*(1+MAX(0,MIN(1,'02_人物原始合计'!X224/100))*('01_参数'!$B$16+'02_人物原始合计'!Y224/100-1))*(1+MAX(0,MIN(1,'02_人物原始合计'!Z224/100))*('01_参数'!$B$17+'02_人物原始合计'!AA224/100-1))*N224*'01_参数'!$B$7*'01_参数'!$B$8*MAX(0,'02_人物原始合计'!AO224/100)</x:f>
        <x:v>10067018.341219597</x:v>
      </x:c>
      <x:c r="T224" s="28" t="n">
        <x:f>S224*'01_参数'!$B$6</x:f>
        <x:v>13087123.843585476</x:v>
      </x:c>
      <x:c r="U224" s="28" t="n">
        <x:v>0</x:v>
      </x:c>
      <x:c r="V224" s="28" t="n">
        <x:f>T224+U224</x:f>
        <x:v>13087123.843585476</x:v>
      </x:c>
      <x:c r="W224" s="22" t="n">
        <x:v>23</x:v>
      </x:c>
      <x:c r="X224" s="22" t="n">
        <x:v>235</x:v>
      </x:c>
      <x:c r="Y224" s="22" t="str">
        <x:v>主线</x:v>
      </x:c>
    </x:row>
    <x:row r="225" ht="24" customHeight="1">
      <x:c r="A225" s="22" t="str">
        <x:v>P0221</x:v>
      </x:c>
      <x:c r="B225" s="22" t="n">
        <x:v>7</x:v>
      </x:c>
      <x:c r="C225" s="22" t="n">
        <x:v>2</x:v>
      </x:c>
      <x:c r="D225" s="22" t="str">
        <x:v>极昼雪后·芙蕾挑战前</x:v>
      </x:c>
      <x:c r="E225" s="26" t="n">
        <x:v>0.35950086563306394</x:v>
      </x:c>
      <x:c r="F225" s="22" t="n">
        <x:v>7</x:v>
      </x:c>
      <x:c r="G225" s="22" t="n">
        <x:v>182</x:v>
      </x:c>
      <x:c r="H225" s="22" t="n">
        <x:v>10</x:v>
      </x:c>
      <x:c r="I225" s="22" t="n">
        <x:v>6</x:v>
      </x:c>
      <x:c r="J225" s="22" t="n">
        <x:f>'02_人物原始合计'!AG225+'02_人物原始合计'!AH225</x:f>
        <x:v>15</x:v>
      </x:c>
      <x:c r="K225" s="28" t="n">
        <x:f>'02_人物原始合计'!F225*(1+'02_人物原始合计'!Q225/100)</x:f>
        <x:v>589952.8</x:v>
      </x:c>
      <x:c r="L225" s="28" t="n">
        <x:f>'02_人物原始合计'!K225*(1+'02_人物原始合计'!AV225/100)</x:f>
        <x:v>7990188</x:v>
      </x:c>
      <x:c r="M225" s="22" t="n">
        <x:f>MAX(0,MIN(50,'02_人物原始合计'!AD225,20+MIN(30,'02_人物原始合计'!AE225)))</x:f>
        <x:v>30</x:v>
      </x:c>
      <x:c r="N225" s="22" t="n">
        <x:f>IF(M225=0,1.75,IF(M225=10,2.2,IF(M225=20,2.9,IF(M225=30,4.3,IF(M225=40,8.5,IF(M225=50,14.3,IF(M225&lt;=40,1000/('01_参数'!$B$21-'01_参数'!$B$22*M225),1000/(1000/8.5+(M225-40)/10*(1000/14.3-1000/8.5)))))))))</x:f>
        <x:v>4.3</x:v>
      </x:c>
      <x:c r="O225" s="22" t="n">
        <x:v>763</x:v>
      </x:c>
      <x:c r="P225" s="26" t="n">
        <x:f>MAX(0,MIN('01_参数'!$B$20,'02_人物原始合计'!AM225/100,'01_参数'!$B$19+'02_人物原始合计'!AN225/100))</x:f>
        <x:v>0.63</x:v>
      </x:c>
      <x:c r="Q225" s="28" t="n">
        <x:f>((('02_人物原始合计'!E225+('02_人物原始合计'!F225-'02_人物原始合计'!E225)*IF(J225&gt;=12,1,0.5+0.5*MAX(0,J225)/12))*(1+'02_人物原始合计'!Q225/100))*(1+'02_人物原始合计'!U225/100+IF(J225&gt;=15,0.15,0))*(1+'02_人物原始合计'!V225/100)*(1+'02_人物原始合计'!T225)*(1+'02_人物原始合计'!W225*'01_参数'!$B$18)*(1+MAX(0,MIN(1,'02_人物原始合计'!X225/100))*('01_参数'!$B$16+'02_人物原始合计'!Y225/100-1))*(1+MAX(0,MIN(1,'02_人物原始合计'!Z225/100))*('01_参数'!$B$17+'02_人物原始合计'!AA225/100-1))+'02_人物原始合计'!AB225)*N225*'01_参数'!$B$7*'01_参数'!$B$8</x:f>
        <x:v>177258884.4117669</x:v>
      </x:c>
      <x:c r="R225" s="28" t="n">
        <x:f>Q225*'01_参数'!$B$5</x:f>
        <x:v>354517768.8235338</x:v>
      </x:c>
      <x:c r="S225" s="28" t="n">
        <x:f>(('02_人物原始合计'!E225+('02_人物原始合计'!F225-'02_人物原始合计'!E225)*IF(J225&gt;=12,1,0.5+0.5*MAX(0,J225)/12))*(1+'02_人物原始合计'!Q225/100))*(1+'02_人物原始合计'!U225/100+IF(J225&gt;=15,0.15,0))*(1+'02_人物原始合计'!V225/100)*(1+'02_人物原始合计'!T225)*(1+'02_人物原始合计'!W225*'01_参数'!$B$18)*(1+MAX(0,MIN(1,'02_人物原始合计'!X225/100))*('01_参数'!$B$16+'02_人物原始合计'!Y225/100-1))*(1+MAX(0,MIN(1,'02_人物原始合计'!Z225/100))*('01_参数'!$B$17+'02_人物原始合计'!AA225/100-1))*N225*'01_参数'!$B$7*'01_参数'!$B$8*MAX(0,'02_人物原始合计'!AO225/100)</x:f>
        <x:v>12408121.908823684</x:v>
      </x:c>
      <x:c r="T225" s="28" t="n">
        <x:f>S225*'01_参数'!$B$6</x:f>
        <x:v>16130558.48147079</x:v>
      </x:c>
      <x:c r="U225" s="28" t="n">
        <x:v>0</x:v>
      </x:c>
      <x:c r="V225" s="28" t="n">
        <x:f>T225+U225</x:f>
        <x:v>16130558.48147079</x:v>
      </x:c>
      <x:c r="W225" s="22" t="n">
        <x:v>23</x:v>
      </x:c>
      <x:c r="X225" s="22" t="n">
        <x:v>235</x:v>
      </x:c>
      <x:c r="Y225" s="22" t="str">
        <x:v>主线</x:v>
      </x:c>
    </x:row>
    <x:row r="226" ht="24" customHeight="1">
      <x:c r="A226" s="22" t="str">
        <x:v>P0222</x:v>
      </x:c>
      <x:c r="B226" s="22" t="n">
        <x:v>7</x:v>
      </x:c>
      <x:c r="C226" s="22" t="n">
        <x:v>2</x:v>
      </x:c>
      <x:c r="D226" s="22" t="str">
        <x:v>永冻圣兽·乌尔挑战前</x:v>
      </x:c>
      <x:c r="E226" s="26" t="n">
        <x:v>0.35950086563306394</x:v>
      </x:c>
      <x:c r="F226" s="22" t="n">
        <x:v>7</x:v>
      </x:c>
      <x:c r="G226" s="22" t="n">
        <x:v>182</x:v>
      </x:c>
      <x:c r="H226" s="22" t="n">
        <x:v>10</x:v>
      </x:c>
      <x:c r="I226" s="22" t="n">
        <x:v>6</x:v>
      </x:c>
      <x:c r="J226" s="22" t="n">
        <x:f>'02_人物原始合计'!AG226+'02_人物原始合计'!AH226</x:f>
        <x:v>15</x:v>
      </x:c>
      <x:c r="K226" s="28" t="n">
        <x:f>'02_人物原始合计'!F226*(1+'02_人物原始合计'!Q226/100)</x:f>
        <x:v>589952.8</x:v>
      </x:c>
      <x:c r="L226" s="28" t="n">
        <x:f>'02_人物原始合计'!K226*(1+'02_人物原始合计'!AV226/100)</x:f>
        <x:v>7990188</x:v>
      </x:c>
      <x:c r="M226" s="22" t="n">
        <x:f>MAX(0,MIN(50,'02_人物原始合计'!AD226,20+MIN(30,'02_人物原始合计'!AE226)))</x:f>
        <x:v>30</x:v>
      </x:c>
      <x:c r="N226" s="22" t="n">
        <x:f>IF(M226=0,1.75,IF(M226=10,2.2,IF(M226=20,2.9,IF(M226=30,4.3,IF(M226=40,8.5,IF(M226=50,14.3,IF(M226&lt;=40,1000/('01_参数'!$B$21-'01_参数'!$B$22*M226),1000/(1000/8.5+(M226-40)/10*(1000/14.3-1000/8.5)))))))))</x:f>
        <x:v>4.3</x:v>
      </x:c>
      <x:c r="O226" s="22" t="n">
        <x:v>763</x:v>
      </x:c>
      <x:c r="P226" s="26" t="n">
        <x:f>MAX(0,MIN('01_参数'!$B$20,'02_人物原始合计'!AM226/100,'01_参数'!$B$19+'02_人物原始合计'!AN226/100))</x:f>
        <x:v>0.63</x:v>
      </x:c>
      <x:c r="Q226" s="28" t="n">
        <x:f>((('02_人物原始合计'!E226+('02_人物原始合计'!F226-'02_人物原始合计'!E226)*IF(J226&gt;=12,1,0.5+0.5*MAX(0,J226)/12))*(1+'02_人物原始合计'!Q226/100))*(1+'02_人物原始合计'!U226/100+IF(J226&gt;=15,0.15,0))*(1+'02_人物原始合计'!V226/100)*(1+'02_人物原始合计'!T226)*(1+'02_人物原始合计'!W226*'01_参数'!$B$18)*(1+MAX(0,MIN(1,'02_人物原始合计'!X226/100))*('01_参数'!$B$16+'02_人物原始合计'!Y226/100-1))*(1+MAX(0,MIN(1,'02_人物原始合计'!Z226/100))*('01_参数'!$B$17+'02_人物原始合计'!AA226/100-1))+'02_人物原始合计'!AB226)*N226*'01_参数'!$B$7*'01_参数'!$B$8</x:f>
        <x:v>177258884.4117669</x:v>
      </x:c>
      <x:c r="R226" s="28" t="n">
        <x:f>Q226*'01_参数'!$B$5</x:f>
        <x:v>354517768.8235338</x:v>
      </x:c>
      <x:c r="S226" s="28" t="n">
        <x:f>(('02_人物原始合计'!E226+('02_人物原始合计'!F226-'02_人物原始合计'!E226)*IF(J226&gt;=12,1,0.5+0.5*MAX(0,J226)/12))*(1+'02_人物原始合计'!Q226/100))*(1+'02_人物原始合计'!U226/100+IF(J226&gt;=15,0.15,0))*(1+'02_人物原始合计'!V226/100)*(1+'02_人物原始合计'!T226)*(1+'02_人物原始合计'!W226*'01_参数'!$B$18)*(1+MAX(0,MIN(1,'02_人物原始合计'!X226/100))*('01_参数'!$B$16+'02_人物原始合计'!Y226/100-1))*(1+MAX(0,MIN(1,'02_人物原始合计'!Z226/100))*('01_参数'!$B$17+'02_人物原始合计'!AA226/100-1))*N226*'01_参数'!$B$7*'01_参数'!$B$8*MAX(0,'02_人物原始合计'!AO226/100)</x:f>
        <x:v>12408121.908823684</x:v>
      </x:c>
      <x:c r="T226" s="28" t="n">
        <x:f>S226*'01_参数'!$B$6</x:f>
        <x:v>16130558.48147079</x:v>
      </x:c>
      <x:c r="U226" s="28" t="n">
        <x:v>0</x:v>
      </x:c>
      <x:c r="V226" s="28" t="n">
        <x:f>T226+U226</x:f>
        <x:v>16130558.48147079</x:v>
      </x:c>
      <x:c r="W226" s="22" t="n">
        <x:v>23</x:v>
      </x:c>
      <x:c r="X226" s="22" t="n">
        <x:v>235</x:v>
      </x:c>
      <x:c r="Y226" s="22" t="str">
        <x:v>主线</x:v>
      </x:c>
    </x:row>
    <x:row r="227" ht="24" customHeight="1">
      <x:c r="A227" s="22" t="str">
        <x:v>P0223</x:v>
      </x:c>
      <x:c r="B227" s="22" t="n">
        <x:v>7</x:v>
      </x:c>
      <x:c r="C227" s="22" t="n">
        <x:v>2</x:v>
      </x:c>
      <x:c r="D227" s="22" t="str">
        <x:v>永冻荒境BOSS装备快线</x:v>
      </x:c>
      <x:c r="E227" s="26" t="n">
        <x:v>0.3678341989663972</x:v>
      </x:c>
      <x:c r="F227" s="22" t="n">
        <x:v>7</x:v>
      </x:c>
      <x:c r="G227" s="22" t="n">
        <x:v>182</x:v>
      </x:c>
      <x:c r="H227" s="22" t="n">
        <x:v>10</x:v>
      </x:c>
      <x:c r="I227" s="22" t="n">
        <x:v>6</x:v>
      </x:c>
      <x:c r="J227" s="22" t="n">
        <x:f>'02_人物原始合计'!AG227+'02_人物原始合计'!AH227</x:f>
        <x:v>15</x:v>
      </x:c>
      <x:c r="K227" s="28" t="n">
        <x:f>'02_人物原始合计'!F227*(1+'02_人物原始合计'!Q227/100)</x:f>
        <x:v>608158.1</x:v>
      </x:c>
      <x:c r="L227" s="28" t="n">
        <x:f>'02_人物原始合计'!K227*(1+'02_人物原始合计'!AV227/100)</x:f>
        <x:v>8056404</x:v>
      </x:c>
      <x:c r="M227" s="22" t="n">
        <x:f>MAX(0,MIN(50,'02_人物原始合计'!AD227,20+MIN(30,'02_人物原始合计'!AE227)))</x:f>
        <x:v>30</x:v>
      </x:c>
      <x:c r="N227" s="22" t="n">
        <x:f>IF(M227=0,1.75,IF(M227=10,2.2,IF(M227=20,2.9,IF(M227=30,4.3,IF(M227=40,8.5,IF(M227=50,14.3,IF(M227&lt;=40,1000/('01_参数'!$B$21-'01_参数'!$B$22*M227),1000/(1000/8.5+(M227-40)/10*(1000/14.3-1000/8.5)))))))))</x:f>
        <x:v>4.3</x:v>
      </x:c>
      <x:c r="O227" s="22" t="n">
        <x:v>763</x:v>
      </x:c>
      <x:c r="P227" s="26" t="n">
        <x:f>MAX(0,MIN('01_参数'!$B$20,'02_人物原始合计'!AM227/100,'01_参数'!$B$19+'02_人物原始合计'!AN227/100))</x:f>
        <x:v>0.63</x:v>
      </x:c>
      <x:c r="Q227" s="28" t="n">
        <x:f>((('02_人物原始合计'!E227+('02_人物原始合计'!F227-'02_人物原始合计'!E227)*IF(J227&gt;=12,1,0.5+0.5*MAX(0,J227)/12))*(1+'02_人物原始合计'!Q227/100))*(1+'02_人物原始合计'!U227/100+IF(J227&gt;=15,0.15,0))*(1+'02_人物原始合计'!V227/100)*(1+'02_人物原始合计'!T227)*(1+'02_人物原始合计'!W227*'01_参数'!$B$18)*(1+MAX(0,MIN(1,'02_人物原始合计'!X227/100))*('01_参数'!$B$16+'02_人物原始合计'!Y227/100-1))*(1+MAX(0,MIN(1,'02_人物原始合计'!Z227/100))*('01_参数'!$B$17+'02_人物原始合计'!AA227/100-1))+'02_人物原始合计'!AB227)*N227*'01_参数'!$B$7*'01_参数'!$B$8</x:f>
        <x:v>192980335.17986953</x:v>
      </x:c>
      <x:c r="R227" s="28" t="n">
        <x:f>Q227*'01_参数'!$B$5</x:f>
        <x:v>385960670.35973907</x:v>
      </x:c>
      <x:c r="S227" s="28" t="n">
        <x:f>(('02_人物原始合计'!E227+('02_人物原始合计'!F227-'02_人物原始合计'!E227)*IF(J227&gt;=12,1,0.5+0.5*MAX(0,J227)/12))*(1+'02_人物原始合计'!Q227/100))*(1+'02_人物原始合计'!U227/100+IF(J227&gt;=15,0.15,0))*(1+'02_人物原始合计'!V227/100)*(1+'02_人物原始合计'!T227)*(1+'02_人物原始合计'!W227*'01_参数'!$B$18)*(1+MAX(0,MIN(1,'02_人物原始合计'!X227/100))*('01_参数'!$B$16+'02_人物原始合计'!Y227/100-1))*(1+MAX(0,MIN(1,'02_人物原始合计'!Z227/100))*('01_参数'!$B$17+'02_人物原始合计'!AA227/100-1))*N227*'01_参数'!$B$7*'01_参数'!$B$8*MAX(0,'02_人物原始合计'!AO227/100)</x:f>
        <x:v>13508623.462590868</x:v>
      </x:c>
      <x:c r="T227" s="28" t="n">
        <x:f>S227*'01_参数'!$B$6</x:f>
        <x:v>17561210.501368128</x:v>
      </x:c>
      <x:c r="U227" s="28" t="n">
        <x:v>0</x:v>
      </x:c>
      <x:c r="V227" s="28" t="n">
        <x:f>T227+U227</x:f>
        <x:v>17561210.501368128</x:v>
      </x:c>
      <x:c r="W227" s="22" t="n">
        <x:v>23</x:v>
      </x:c>
      <x:c r="X227" s="22" t="n">
        <x:v>235</x:v>
      </x:c>
      <x:c r="Y227" s="22" t="str">
        <x:v>C07G02BOSS强装对照</x:v>
      </x:c>
    </x:row>
    <x:row r="228" ht="24" customHeight="1">
      <x:c r="A228" s="22" t="str">
        <x:v>P0224</x:v>
      </x:c>
      <x:c r="B228" s="22" t="n">
        <x:v>7</x:v>
      </x:c>
      <x:c r="C228" s="22" t="n">
        <x:v>2</x:v>
      </x:c>
      <x:c r="D228" s="22" t="str">
        <x:v>永冻荒境阶段积累后</x:v>
      </x:c>
      <x:c r="E228" s="26" t="n">
        <x:v>0.40874328987548814</x:v>
      </x:c>
      <x:c r="F228" s="22" t="n">
        <x:v>7</x:v>
      </x:c>
      <x:c r="G228" s="22" t="n">
        <x:v>182</x:v>
      </x:c>
      <x:c r="H228" s="22" t="n">
        <x:v>10</x:v>
      </x:c>
      <x:c r="I228" s="22" t="n">
        <x:v>6</x:v>
      </x:c>
      <x:c r="J228" s="22" t="n">
        <x:f>'02_人物原始合计'!AG228+'02_人物原始合计'!AH228</x:f>
        <x:v>15</x:v>
      </x:c>
      <x:c r="K228" s="28" t="n">
        <x:f>'02_人物原始合计'!F228*(1+'02_人物原始合计'!Q228/100)</x:f>
        <x:v>601983.27</x:v>
      </x:c>
      <x:c r="L228" s="28" t="n">
        <x:f>'02_人物原始合计'!K228*(1+'02_人物原始合计'!AV228/100)</x:f>
        <x:v>8042516</x:v>
      </x:c>
      <x:c r="M228" s="22" t="n">
        <x:f>MAX(0,MIN(50,'02_人物原始合计'!AD228,20+MIN(30,'02_人物原始合计'!AE228)))</x:f>
        <x:v>30</x:v>
      </x:c>
      <x:c r="N228" s="22" t="n">
        <x:f>IF(M228=0,1.75,IF(M228=10,2.2,IF(M228=20,2.9,IF(M228=30,4.3,IF(M228=40,8.5,IF(M228=50,14.3,IF(M228&lt;=40,1000/('01_参数'!$B$21-'01_参数'!$B$22*M228),1000/(1000/8.5+(M228-40)/10*(1000/14.3-1000/8.5)))))))))</x:f>
        <x:v>4.3</x:v>
      </x:c>
      <x:c r="O228" s="22" t="n">
        <x:v>763</x:v>
      </x:c>
      <x:c r="P228" s="26" t="n">
        <x:f>MAX(0,MIN('01_参数'!$B$20,'02_人物原始合计'!AM228/100,'01_参数'!$B$19+'02_人物原始合计'!AN228/100))</x:f>
        <x:v>0.63</x:v>
      </x:c>
      <x:c r="Q228" s="28" t="n">
        <x:f>((('02_人物原始合计'!E228+('02_人物原始合计'!F228-'02_人物原始合计'!E228)*IF(J228&gt;=12,1,0.5+0.5*MAX(0,J228)/12))*(1+'02_人物原始合计'!Q228/100))*(1+'02_人物原始合计'!U228/100+IF(J228&gt;=15,0.15,0))*(1+'02_人物原始合计'!V228/100)*(1+'02_人物原始合计'!T228)*(1+'02_人物原始合计'!W228*'01_参数'!$B$18)*(1+MAX(0,MIN(1,'02_人物原始合计'!X228/100))*('01_参数'!$B$16+'02_人物原始合计'!Y228/100-1))*(1+MAX(0,MIN(1,'02_人物原始合计'!Z228/100))*('01_参数'!$B$17+'02_人物原始合计'!AA228/100-1))+'02_人物原始合计'!AB228)*N228*'01_参数'!$B$7*'01_参数'!$B$8</x:f>
        <x:v>186855106.04690832</x:v>
      </x:c>
      <x:c r="R228" s="28" t="n">
        <x:f>Q228*'01_参数'!$B$5</x:f>
        <x:v>373710212.09381664</x:v>
      </x:c>
      <x:c r="S228" s="28" t="n">
        <x:f>(('02_人物原始合计'!E228+('02_人物原始合计'!F228-'02_人物原始合计'!E228)*IF(J228&gt;=12,1,0.5+0.5*MAX(0,J228)/12))*(1+'02_人物原始合计'!Q228/100))*(1+'02_人物原始合计'!U228/100+IF(J228&gt;=15,0.15,0))*(1+'02_人物原始合计'!V228/100)*(1+'02_人物原始合计'!T228)*(1+'02_人物原始合计'!W228*'01_参数'!$B$18)*(1+MAX(0,MIN(1,'02_人物原始合计'!X228/100))*('01_参数'!$B$16+'02_人物原始合计'!Y228/100-1))*(1+MAX(0,MIN(1,'02_人物原始合计'!Z228/100))*('01_参数'!$B$17+'02_人物原始合计'!AA228/100-1))*N228*'01_参数'!$B$7*'01_参数'!$B$8*MAX(0,'02_人物原始合计'!AO228/100)</x:f>
        <x:v>13079857.423283584</x:v>
      </x:c>
      <x:c r="T228" s="28" t="n">
        <x:f>S228*'01_参数'!$B$6</x:f>
        <x:v>17003814.65026866</x:v>
      </x:c>
      <x:c r="U228" s="28" t="n">
        <x:v>0</x:v>
      </x:c>
      <x:c r="V228" s="28" t="n">
        <x:f>T228+U228</x:f>
        <x:v>17003814.65026866</x:v>
      </x:c>
      <x:c r="W228" s="22" t="n">
        <x:v>24</x:v>
      </x:c>
      <x:c r="X228" s="22" t="n">
        <x:v>237</x:v>
      </x:c>
      <x:c r="Y228" s="22" t="str">
        <x:v>主线</x:v>
      </x:c>
    </x:row>
    <x:row r="229" ht="24" customHeight="1">
      <x:c r="A229" s="22" t="str">
        <x:v>P0225</x:v>
      </x:c>
      <x:c r="B229" s="22" t="n">
        <x:v>7</x:v>
      </x:c>
      <x:c r="C229" s="22" t="n">
        <x:v>3</x:v>
      </x:c>
      <x:c r="D229" s="22" t="str">
        <x:v>C07G03入场</x:v>
      </x:c>
      <x:c r="E229" s="26" t="n">
        <x:v>0.40874328987548814</x:v>
      </x:c>
      <x:c r="F229" s="22" t="n">
        <x:v>7</x:v>
      </x:c>
      <x:c r="G229" s="22" t="n">
        <x:v>182</x:v>
      </x:c>
      <x:c r="H229" s="22" t="n">
        <x:v>10</x:v>
      </x:c>
      <x:c r="I229" s="22" t="n">
        <x:v>6</x:v>
      </x:c>
      <x:c r="J229" s="22" t="n">
        <x:f>'02_人物原始合计'!AG229+'02_人物原始合计'!AH229</x:f>
        <x:v>15</x:v>
      </x:c>
      <x:c r="K229" s="28" t="n">
        <x:f>'02_人物原始合计'!F229*(1+'02_人物原始合计'!Q229/100)</x:f>
        <x:v>601983.27</x:v>
      </x:c>
      <x:c r="L229" s="28" t="n">
        <x:f>'02_人物原始合计'!K229*(1+'02_人物原始合计'!AV229/100)</x:f>
        <x:v>8042516</x:v>
      </x:c>
      <x:c r="M229" s="22" t="n">
        <x:f>MAX(0,MIN(50,'02_人物原始合计'!AD229,20+MIN(30,'02_人物原始合计'!AE229)))</x:f>
        <x:v>30</x:v>
      </x:c>
      <x:c r="N229" s="22" t="n">
        <x:f>IF(M229=0,1.75,IF(M229=10,2.2,IF(M229=20,2.9,IF(M229=30,4.3,IF(M229=40,8.5,IF(M229=50,14.3,IF(M229&lt;=40,1000/('01_参数'!$B$21-'01_参数'!$B$22*M229),1000/(1000/8.5+(M229-40)/10*(1000/14.3-1000/8.5)))))))))</x:f>
        <x:v>4.3</x:v>
      </x:c>
      <x:c r="O229" s="22" t="n">
        <x:v>763</x:v>
      </x:c>
      <x:c r="P229" s="26" t="n">
        <x:f>MAX(0,MIN('01_参数'!$B$20,'02_人物原始合计'!AM229/100,'01_参数'!$B$19+'02_人物原始合计'!AN229/100))</x:f>
        <x:v>0.63</x:v>
      </x:c>
      <x:c r="Q229" s="28" t="n">
        <x:f>((('02_人物原始合计'!E229+('02_人物原始合计'!F229-'02_人物原始合计'!E229)*IF(J229&gt;=12,1,0.5+0.5*MAX(0,J229)/12))*(1+'02_人物原始合计'!Q229/100))*(1+'02_人物原始合计'!U229/100+IF(J229&gt;=15,0.15,0))*(1+'02_人物原始合计'!V229/100)*(1+'02_人物原始合计'!T229)*(1+'02_人物原始合计'!W229*'01_参数'!$B$18)*(1+MAX(0,MIN(1,'02_人物原始合计'!X229/100))*('01_参数'!$B$16+'02_人物原始合计'!Y229/100-1))*(1+MAX(0,MIN(1,'02_人物原始合计'!Z229/100))*('01_参数'!$B$17+'02_人物原始合计'!AA229/100-1))+'02_人物原始合计'!AB229)*N229*'01_参数'!$B$7*'01_参数'!$B$8</x:f>
        <x:v>186855106.04690832</x:v>
      </x:c>
      <x:c r="R229" s="28" t="n">
        <x:f>Q229*'01_参数'!$B$5</x:f>
        <x:v>373710212.09381664</x:v>
      </x:c>
      <x:c r="S229" s="28" t="n">
        <x:f>(('02_人物原始合计'!E229+('02_人物原始合计'!F229-'02_人物原始合计'!E229)*IF(J229&gt;=12,1,0.5+0.5*MAX(0,J229)/12))*(1+'02_人物原始合计'!Q229/100))*(1+'02_人物原始合计'!U229/100+IF(J229&gt;=15,0.15,0))*(1+'02_人物原始合计'!V229/100)*(1+'02_人物原始合计'!T229)*(1+'02_人物原始合计'!W229*'01_参数'!$B$18)*(1+MAX(0,MIN(1,'02_人物原始合计'!X229/100))*('01_参数'!$B$16+'02_人物原始合计'!Y229/100-1))*(1+MAX(0,MIN(1,'02_人物原始合计'!Z229/100))*('01_参数'!$B$17+'02_人物原始合计'!AA229/100-1))*N229*'01_参数'!$B$7*'01_参数'!$B$8*MAX(0,'02_人物原始合计'!AO229/100)</x:f>
        <x:v>13079857.423283584</x:v>
      </x:c>
      <x:c r="T229" s="28" t="n">
        <x:f>S229*'01_参数'!$B$6</x:f>
        <x:v>17003814.65026866</x:v>
      </x:c>
      <x:c r="U229" s="28" t="n">
        <x:v>0</x:v>
      </x:c>
      <x:c r="V229" s="28" t="n">
        <x:f>T229+U229</x:f>
        <x:v>17003814.65026866</x:v>
      </x:c>
      <x:c r="W229" s="22" t="n">
        <x:v>24</x:v>
      </x:c>
      <x:c r="X229" s="22" t="n">
        <x:v>237</x:v>
      </x:c>
      <x:c r="Y229" s="22" t="str">
        <x:v>主线</x:v>
      </x:c>
    </x:row>
    <x:row r="230" ht="24" customHeight="1">
      <x:c r="A230" s="22" t="str">
        <x:v>P0226</x:v>
      </x:c>
      <x:c r="B230" s="22" t="n">
        <x:v>7</x:v>
      </x:c>
      <x:c r="C230" s="22" t="n">
        <x:v>3</x:v>
      </x:c>
      <x:c r="D230" s="22" t="str">
        <x:v>C07G03普通专属4/6</x:v>
      </x:c>
      <x:c r="E230" s="26" t="n">
        <x:v>0.40874328987548814</x:v>
      </x:c>
      <x:c r="F230" s="22" t="n">
        <x:v>7</x:v>
      </x:c>
      <x:c r="G230" s="22" t="n">
        <x:v>182</x:v>
      </x:c>
      <x:c r="H230" s="22" t="n">
        <x:v>10</x:v>
      </x:c>
      <x:c r="I230" s="22" t="n">
        <x:v>6</x:v>
      </x:c>
      <x:c r="J230" s="22" t="n">
        <x:f>'02_人物原始合计'!AG230+'02_人物原始合计'!AH230</x:f>
        <x:v>15</x:v>
      </x:c>
      <x:c r="K230" s="28" t="n">
        <x:f>'02_人物原始合计'!F230*(1+'02_人物原始合计'!Q230/100)</x:f>
        <x:v>601983.27</x:v>
      </x:c>
      <x:c r="L230" s="28" t="n">
        <x:f>'02_人物原始合计'!K230*(1+'02_人物原始合计'!AV230/100)</x:f>
        <x:v>8042516</x:v>
      </x:c>
      <x:c r="M230" s="22" t="n">
        <x:f>MAX(0,MIN(50,'02_人物原始合计'!AD230,20+MIN(30,'02_人物原始合计'!AE230)))</x:f>
        <x:v>30</x:v>
      </x:c>
      <x:c r="N230" s="22" t="n">
        <x:f>IF(M230=0,1.75,IF(M230=10,2.2,IF(M230=20,2.9,IF(M230=30,4.3,IF(M230=40,8.5,IF(M230=50,14.3,IF(M230&lt;=40,1000/('01_参数'!$B$21-'01_参数'!$B$22*M230),1000/(1000/8.5+(M230-40)/10*(1000/14.3-1000/8.5)))))))))</x:f>
        <x:v>4.3</x:v>
      </x:c>
      <x:c r="O230" s="22" t="n">
        <x:v>763</x:v>
      </x:c>
      <x:c r="P230" s="26" t="n">
        <x:f>MAX(0,MIN('01_参数'!$B$20,'02_人物原始合计'!AM230/100,'01_参数'!$B$19+'02_人物原始合计'!AN230/100))</x:f>
        <x:v>0.63</x:v>
      </x:c>
      <x:c r="Q230" s="28" t="n">
        <x:f>((('02_人物原始合计'!E230+('02_人物原始合计'!F230-'02_人物原始合计'!E230)*IF(J230&gt;=12,1,0.5+0.5*MAX(0,J230)/12))*(1+'02_人物原始合计'!Q230/100))*(1+'02_人物原始合计'!U230/100+IF(J230&gt;=15,0.15,0))*(1+'02_人物原始合计'!V230/100)*(1+'02_人物原始合计'!T230)*(1+'02_人物原始合计'!W230*'01_参数'!$B$18)*(1+MAX(0,MIN(1,'02_人物原始合计'!X230/100))*('01_参数'!$B$16+'02_人物原始合计'!Y230/100-1))*(1+MAX(0,MIN(1,'02_人物原始合计'!Z230/100))*('01_参数'!$B$17+'02_人物原始合计'!AA230/100-1))+'02_人物原始合计'!AB230)*N230*'01_参数'!$B$7*'01_参数'!$B$8</x:f>
        <x:v>186855106.04690832</x:v>
      </x:c>
      <x:c r="R230" s="28" t="n">
        <x:f>Q230*'01_参数'!$B$5</x:f>
        <x:v>373710212.09381664</x:v>
      </x:c>
      <x:c r="S230" s="28" t="n">
        <x:f>(('02_人物原始合计'!E230+('02_人物原始合计'!F230-'02_人物原始合计'!E230)*IF(J230&gt;=12,1,0.5+0.5*MAX(0,J230)/12))*(1+'02_人物原始合计'!Q230/100))*(1+'02_人物原始合计'!U230/100+IF(J230&gt;=15,0.15,0))*(1+'02_人物原始合计'!V230/100)*(1+'02_人物原始合计'!T230)*(1+'02_人物原始合计'!W230*'01_参数'!$B$18)*(1+MAX(0,MIN(1,'02_人物原始合计'!X230/100))*('01_参数'!$B$16+'02_人物原始合计'!Y230/100-1))*(1+MAX(0,MIN(1,'02_人物原始合计'!Z230/100))*('01_参数'!$B$17+'02_人物原始合计'!AA230/100-1))*N230*'01_参数'!$B$7*'01_参数'!$B$8*MAX(0,'02_人物原始合计'!AO230/100)</x:f>
        <x:v>13079857.423283584</x:v>
      </x:c>
      <x:c r="T230" s="28" t="n">
        <x:f>S230*'01_参数'!$B$6</x:f>
        <x:v>17003814.65026866</x:v>
      </x:c>
      <x:c r="U230" s="28" t="n">
        <x:v>0</x:v>
      </x:c>
      <x:c r="V230" s="28" t="n">
        <x:f>T230+U230</x:f>
        <x:v>17003814.65026866</x:v>
      </x:c>
      <x:c r="W230" s="22" t="n">
        <x:v>24</x:v>
      </x:c>
      <x:c r="X230" s="22" t="n">
        <x:v>237</x:v>
      </x:c>
      <x:c r="Y230" s="22" t="str">
        <x:v>主线</x:v>
      </x:c>
    </x:row>
    <x:row r="231" ht="24" customHeight="1">
      <x:c r="A231" s="22" t="str">
        <x:v>P0227</x:v>
      </x:c>
      <x:c r="B231" s="22" t="n">
        <x:v>7</x:v>
      </x:c>
      <x:c r="C231" s="22" t="n">
        <x:v>3</x:v>
      </x:c>
      <x:c r="D231" s="22" t="str">
        <x:v>冰祭审判者·诺薇挑战前</x:v>
      </x:c>
      <x:c r="E231" s="26" t="n">
        <x:v>0.40874328987548814</x:v>
      </x:c>
      <x:c r="F231" s="22" t="n">
        <x:v>7</x:v>
      </x:c>
      <x:c r="G231" s="22" t="n">
        <x:v>190</x:v>
      </x:c>
      <x:c r="H231" s="22" t="n">
        <x:v>10</x:v>
      </x:c>
      <x:c r="I231" s="22" t="n">
        <x:v>6</x:v>
      </x:c>
      <x:c r="J231" s="22" t="n">
        <x:f>'02_人物原始合计'!AG231+'02_人物原始合计'!AH231</x:f>
        <x:v>15</x:v>
      </x:c>
      <x:c r="K231" s="28" t="n">
        <x:f>'02_人物原始合计'!F231*(1+'02_人物原始合计'!Q231/100)</x:f>
        <x:v>619842.51</x:v>
      </x:c>
      <x:c r="L231" s="28" t="n">
        <x:f>'02_人物原始合计'!K231*(1+'02_人物原始合计'!AV231/100)</x:f>
        <x:v>8227524</x:v>
      </x:c>
      <x:c r="M231" s="22" t="n">
        <x:f>MAX(0,MIN(50,'02_人物原始合计'!AD231,20+MIN(30,'02_人物原始合计'!AE231)))</x:f>
        <x:v>30</x:v>
      </x:c>
      <x:c r="N231" s="22" t="n">
        <x:f>IF(M231=0,1.75,IF(M231=10,2.2,IF(M231=20,2.9,IF(M231=30,4.3,IF(M231=40,8.5,IF(M231=50,14.3,IF(M231&lt;=40,1000/('01_参数'!$B$21-'01_参数'!$B$22*M231),1000/(1000/8.5+(M231-40)/10*(1000/14.3-1000/8.5)))))))))</x:f>
        <x:v>4.3</x:v>
      </x:c>
      <x:c r="O231" s="22" t="n">
        <x:v>763</x:v>
      </x:c>
      <x:c r="P231" s="26" t="n">
        <x:f>MAX(0,MIN('01_参数'!$B$20,'02_人物原始合计'!AM231/100,'01_参数'!$B$19+'02_人物原始合计'!AN231/100))</x:f>
        <x:v>0.63</x:v>
      </x:c>
      <x:c r="Q231" s="28" t="n">
        <x:f>((('02_人物原始合计'!E231+('02_人物原始合计'!F231-'02_人物原始合计'!E231)*IF(J231&gt;=12,1,0.5+0.5*MAX(0,J231)/12))*(1+'02_人物原始合计'!Q231/100))*(1+'02_人物原始合计'!U231/100+IF(J231&gt;=15,0.15,0))*(1+'02_人物原始合计'!V231/100)*(1+'02_人物原始合计'!T231)*(1+'02_人物原始合计'!W231*'01_参数'!$B$18)*(1+MAX(0,MIN(1,'02_人物原始合计'!X231/100))*('01_参数'!$B$16+'02_人物原始合计'!Y231/100-1))*(1+MAX(0,MIN(1,'02_人物原始合计'!Z231/100))*('01_参数'!$B$17+'02_人物原始合计'!AA231/100-1))+'02_人物原始合计'!AB231)*N231*'01_参数'!$B$7*'01_参数'!$B$8</x:f>
        <x:v>192398599.28072727</x:v>
      </x:c>
      <x:c r="R231" s="28" t="n">
        <x:f>Q231*'01_参数'!$B$5</x:f>
        <x:v>384797198.56145453</x:v>
      </x:c>
      <x:c r="S231" s="28" t="n">
        <x:f>(('02_人物原始合计'!E231+('02_人物原始合计'!F231-'02_人物原始合计'!E231)*IF(J231&gt;=12,1,0.5+0.5*MAX(0,J231)/12))*(1+'02_人物原始合计'!Q231/100))*(1+'02_人物原始合计'!U231/100+IF(J231&gt;=15,0.15,0))*(1+'02_人物原始合计'!V231/100)*(1+'02_人物原始合计'!T231)*(1+'02_人物原始合计'!W231*'01_参数'!$B$18)*(1+MAX(0,MIN(1,'02_人物原始合计'!X231/100))*('01_参数'!$B$16+'02_人物原始合计'!Y231/100-1))*(1+MAX(0,MIN(1,'02_人物原始合计'!Z231/100))*('01_参数'!$B$17+'02_人物原始合计'!AA231/100-1))*N231*'01_参数'!$B$7*'01_参数'!$B$8*MAX(0,'02_人物原始合计'!AO231/100)</x:f>
        <x:v>13467901.94965091</x:v>
      </x:c>
      <x:c r="T231" s="28" t="n">
        <x:f>S231*'01_参数'!$B$6</x:f>
        <x:v>17508272.53454618</x:v>
      </x:c>
      <x:c r="U231" s="28" t="n">
        <x:v>0</x:v>
      </x:c>
      <x:c r="V231" s="28" t="n">
        <x:f>T231+U231</x:f>
        <x:v>17508272.53454618</x:v>
      </x:c>
      <x:c r="W231" s="22" t="n">
        <x:v>24</x:v>
      </x:c>
      <x:c r="X231" s="22" t="n">
        <x:v>237</x:v>
      </x:c>
      <x:c r="Y231" s="22" t="str">
        <x:v>主线</x:v>
      </x:c>
    </x:row>
    <x:row r="232" ht="24" customHeight="1">
      <x:c r="A232" s="22" t="str">
        <x:v>P0228</x:v>
      </x:c>
      <x:c r="B232" s="22" t="n">
        <x:v>7</x:v>
      </x:c>
      <x:c r="C232" s="22" t="n">
        <x:v>3</x:v>
      </x:c>
      <x:c r="D232" s="22" t="str">
        <x:v>极寒圣女·希尔达挑战前</x:v>
      </x:c>
      <x:c r="E232" s="26" t="n">
        <x:v>0.40874328987548814</x:v>
      </x:c>
      <x:c r="F232" s="22" t="n">
        <x:v>7</x:v>
      </x:c>
      <x:c r="G232" s="22" t="n">
        <x:v>190</x:v>
      </x:c>
      <x:c r="H232" s="22" t="n">
        <x:v>10</x:v>
      </x:c>
      <x:c r="I232" s="22" t="n">
        <x:v>6</x:v>
      </x:c>
      <x:c r="J232" s="22" t="n">
        <x:f>'02_人物原始合计'!AG232+'02_人物原始合计'!AH232</x:f>
        <x:v>15</x:v>
      </x:c>
      <x:c r="K232" s="28" t="n">
        <x:f>'02_人物原始合计'!F232*(1+'02_人物原始合计'!Q232/100)</x:f>
        <x:v>619842.51</x:v>
      </x:c>
      <x:c r="L232" s="28" t="n">
        <x:f>'02_人物原始合计'!K232*(1+'02_人物原始合计'!AV232/100)</x:f>
        <x:v>8227524</x:v>
      </x:c>
      <x:c r="M232" s="22" t="n">
        <x:f>MAX(0,MIN(50,'02_人物原始合计'!AD232,20+MIN(30,'02_人物原始合计'!AE232)))</x:f>
        <x:v>30</x:v>
      </x:c>
      <x:c r="N232" s="22" t="n">
        <x:f>IF(M232=0,1.75,IF(M232=10,2.2,IF(M232=20,2.9,IF(M232=30,4.3,IF(M232=40,8.5,IF(M232=50,14.3,IF(M232&lt;=40,1000/('01_参数'!$B$21-'01_参数'!$B$22*M232),1000/(1000/8.5+(M232-40)/10*(1000/14.3-1000/8.5)))))))))</x:f>
        <x:v>4.3</x:v>
      </x:c>
      <x:c r="O232" s="22" t="n">
        <x:v>763</x:v>
      </x:c>
      <x:c r="P232" s="26" t="n">
        <x:f>MAX(0,MIN('01_参数'!$B$20,'02_人物原始合计'!AM232/100,'01_参数'!$B$19+'02_人物原始合计'!AN232/100))</x:f>
        <x:v>0.63</x:v>
      </x:c>
      <x:c r="Q232" s="28" t="n">
        <x:f>((('02_人物原始合计'!E232+('02_人物原始合计'!F232-'02_人物原始合计'!E232)*IF(J232&gt;=12,1,0.5+0.5*MAX(0,J232)/12))*(1+'02_人物原始合计'!Q232/100))*(1+'02_人物原始合计'!U232/100+IF(J232&gt;=15,0.15,0))*(1+'02_人物原始合计'!V232/100)*(1+'02_人物原始合计'!T232)*(1+'02_人物原始合计'!W232*'01_参数'!$B$18)*(1+MAX(0,MIN(1,'02_人物原始合计'!X232/100))*('01_参数'!$B$16+'02_人物原始合计'!Y232/100-1))*(1+MAX(0,MIN(1,'02_人物原始合计'!Z232/100))*('01_参数'!$B$17+'02_人物原始合计'!AA232/100-1))+'02_人物原始合计'!AB232)*N232*'01_参数'!$B$7*'01_参数'!$B$8</x:f>
        <x:v>192398599.28072727</x:v>
      </x:c>
      <x:c r="R232" s="28" t="n">
        <x:f>Q232*'01_参数'!$B$5</x:f>
        <x:v>384797198.56145453</x:v>
      </x:c>
      <x:c r="S232" s="28" t="n">
        <x:f>(('02_人物原始合计'!E232+('02_人物原始合计'!F232-'02_人物原始合计'!E232)*IF(J232&gt;=12,1,0.5+0.5*MAX(0,J232)/12))*(1+'02_人物原始合计'!Q232/100))*(1+'02_人物原始合计'!U232/100+IF(J232&gt;=15,0.15,0))*(1+'02_人物原始合计'!V232/100)*(1+'02_人物原始合计'!T232)*(1+'02_人物原始合计'!W232*'01_参数'!$B$18)*(1+MAX(0,MIN(1,'02_人物原始合计'!X232/100))*('01_参数'!$B$16+'02_人物原始合计'!Y232/100-1))*(1+MAX(0,MIN(1,'02_人物原始合计'!Z232/100))*('01_参数'!$B$17+'02_人物原始合计'!AA232/100-1))*N232*'01_参数'!$B$7*'01_参数'!$B$8*MAX(0,'02_人物原始合计'!AO232/100)</x:f>
        <x:v>13467901.94965091</x:v>
      </x:c>
      <x:c r="T232" s="28" t="n">
        <x:f>S232*'01_参数'!$B$6</x:f>
        <x:v>17508272.53454618</x:v>
      </x:c>
      <x:c r="U232" s="28" t="n">
        <x:v>0</x:v>
      </x:c>
      <x:c r="V232" s="28" t="n">
        <x:f>T232+U232</x:f>
        <x:v>17508272.53454618</x:v>
      </x:c>
      <x:c r="W232" s="22" t="n">
        <x:v>24</x:v>
      </x:c>
      <x:c r="X232" s="22" t="n">
        <x:v>237</x:v>
      </x:c>
      <x:c r="Y232" s="22" t="str">
        <x:v>主线</x:v>
      </x:c>
    </x:row>
    <x:row r="233" ht="24" customHeight="1">
      <x:c r="A233" s="22" t="str">
        <x:v>P0229</x:v>
      </x:c>
      <x:c r="B233" s="22" t="n">
        <x:v>7</x:v>
      </x:c>
      <x:c r="C233" s="22" t="n">
        <x:v>3</x:v>
      </x:c>
      <x:c r="D233" s="22" t="str">
        <x:v>极寒禁域BOSS装备快线</x:v>
      </x:c>
      <x:c r="E233" s="26" t="n">
        <x:v>0.43374328987548816</x:v>
      </x:c>
      <x:c r="F233" s="22" t="n">
        <x:v>7</x:v>
      </x:c>
      <x:c r="G233" s="22" t="n">
        <x:v>190</x:v>
      </x:c>
      <x:c r="H233" s="22" t="n">
        <x:v>10</x:v>
      </x:c>
      <x:c r="I233" s="22" t="n">
        <x:v>6</x:v>
      </x:c>
      <x:c r="J233" s="22" t="n">
        <x:f>'02_人物原始合计'!AG233+'02_人物原始合计'!AH233</x:f>
        <x:v>15</x:v>
      </x:c>
      <x:c r="K233" s="28" t="n">
        <x:f>'02_人物原始合计'!F233*(1+'02_人物原始合计'!Q233/100)</x:f>
        <x:v>662184.3200000001</x:v>
      </x:c>
      <x:c r="L233" s="28" t="n">
        <x:f>'02_人物原始合计'!K233*(1+'02_人物原始合计'!AV233/100)</x:f>
        <x:v>8384384</x:v>
      </x:c>
      <x:c r="M233" s="22" t="n">
        <x:f>MAX(0,MIN(50,'02_人物原始合计'!AD233,20+MIN(30,'02_人物原始合计'!AE233)))</x:f>
        <x:v>30</x:v>
      </x:c>
      <x:c r="N233" s="22" t="n">
        <x:f>IF(M233=0,1.75,IF(M233=10,2.2,IF(M233=20,2.9,IF(M233=30,4.3,IF(M233=40,8.5,IF(M233=50,14.3,IF(M233&lt;=40,1000/('01_参数'!$B$21-'01_参数'!$B$22*M233),1000/(1000/8.5+(M233-40)/10*(1000/14.3-1000/8.5)))))))))</x:f>
        <x:v>4.3</x:v>
      </x:c>
      <x:c r="O233" s="22" t="n">
        <x:v>763</x:v>
      </x:c>
      <x:c r="P233" s="26" t="n">
        <x:f>MAX(0,MIN('01_参数'!$B$20,'02_人物原始合计'!AM233/100,'01_参数'!$B$19+'02_人物原始合计'!AN233/100))</x:f>
        <x:v>0.65</x:v>
      </x:c>
      <x:c r="Q233" s="28" t="n">
        <x:f>((('02_人物原始合计'!E233+('02_人物原始合计'!F233-'02_人物原始合计'!E233)*IF(J233&gt;=12,1,0.5+0.5*MAX(0,J233)/12))*(1+'02_人物原始合计'!Q233/100))*(1+'02_人物原始合计'!U233/100+IF(J233&gt;=15,0.15,0))*(1+'02_人物原始合计'!V233/100)*(1+'02_人物原始合计'!T233)*(1+'02_人物原始合计'!W233*'01_参数'!$B$18)*(1+MAX(0,MIN(1,'02_人物原始合计'!X233/100))*('01_参数'!$B$16+'02_人物原始合计'!Y233/100-1))*(1+MAX(0,MIN(1,'02_人物原始合计'!Z233/100))*('01_参数'!$B$17+'02_人物原始合计'!AA233/100-1))+'02_人物原始合计'!AB233)*N233*'01_参数'!$B$7*'01_参数'!$B$8</x:f>
        <x:v>232002925.85260588</x:v>
      </x:c>
      <x:c r="R233" s="28" t="n">
        <x:f>Q233*'01_参数'!$B$5</x:f>
        <x:v>464005851.70521176</x:v>
      </x:c>
      <x:c r="S233" s="28" t="n">
        <x:f>(('02_人物原始合计'!E233+('02_人物原始合计'!F233-'02_人物原始合计'!E233)*IF(J233&gt;=12,1,0.5+0.5*MAX(0,J233)/12))*(1+'02_人物原始合计'!Q233/100))*(1+'02_人物原始合计'!U233/100+IF(J233&gt;=15,0.15,0))*(1+'02_人物原始合计'!V233/100)*(1+'02_人物原始合计'!T233)*(1+'02_人物原始合计'!W233*'01_参数'!$B$18)*(1+MAX(0,MIN(1,'02_人物原始合计'!X233/100))*('01_参数'!$B$16+'02_人物原始合计'!Y233/100-1))*(1+MAX(0,MIN(1,'02_人物原始合计'!Z233/100))*('01_参数'!$B$17+'02_人物原始合计'!AA233/100-1))*N233*'01_参数'!$B$7*'01_参数'!$B$8*MAX(0,'02_人物原始合计'!AO233/100)</x:f>
        <x:v>16240204.809682414</x:v>
      </x:c>
      <x:c r="T233" s="28" t="n">
        <x:f>S233*'01_参数'!$B$6</x:f>
        <x:v>21112266.25258714</x:v>
      </x:c>
      <x:c r="U233" s="28" t="n">
        <x:v>0</x:v>
      </x:c>
      <x:c r="V233" s="28" t="n">
        <x:f>T233+U233</x:f>
        <x:v>21112266.25258714</x:v>
      </x:c>
      <x:c r="W233" s="22" t="n">
        <x:v>24</x:v>
      </x:c>
      <x:c r="X233" s="22" t="n">
        <x:v>237</x:v>
      </x:c>
      <x:c r="Y233" s="22" t="str">
        <x:v>C07G03BOSS强装对照</x:v>
      </x:c>
    </x:row>
    <x:row r="234" ht="24" customHeight="1">
      <x:c r="A234" s="22" t="str">
        <x:v>P0230</x:v>
      </x:c>
      <x:c r="B234" s="22" t="n">
        <x:v>7</x:v>
      </x:c>
      <x:c r="C234" s="22" t="n">
        <x:v>3</x:v>
      </x:c>
      <x:c r="D234" s="22" t="str">
        <x:v>极寒禁域阶段积累后</x:v>
      </x:c>
      <x:c r="E234" s="26" t="n">
        <x:v>0.48436800110515854</x:v>
      </x:c>
      <x:c r="F234" s="22" t="n">
        <x:v>7</x:v>
      </x:c>
      <x:c r="G234" s="22" t="n">
        <x:v>190</x:v>
      </x:c>
      <x:c r="H234" s="22" t="n">
        <x:v>10</x:v>
      </x:c>
      <x:c r="I234" s="22" t="n">
        <x:v>6</x:v>
      </x:c>
      <x:c r="J234" s="22" t="n">
        <x:f>'02_人物原始合计'!AG234+'02_人物原始合计'!AH234</x:f>
        <x:v>15</x:v>
      </x:c>
      <x:c r="K234" s="28" t="n">
        <x:f>'02_人物原始合计'!F234*(1+'02_人物原始合计'!Q234/100)</x:f>
        <x:v>753762.24</x:v>
      </x:c>
      <x:c r="L234" s="28" t="n">
        <x:f>'02_人物原始合计'!K234*(1+'02_人物原始合计'!AV234/100)</x:f>
        <x:v>8871625</x:v>
      </x:c>
      <x:c r="M234" s="22" t="n">
        <x:f>MAX(0,MIN(50,'02_人物原始合计'!AD234,20+MIN(30,'02_人物原始合计'!AE234)))</x:f>
        <x:v>32</x:v>
      </x:c>
      <x:c r="N234" s="22" t="n">
        <x:f>IF(M234=0,1.75,IF(M234=10,2.2,IF(M234=20,2.9,IF(M234=30,4.3,IF(M234=40,8.5,IF(M234=50,14.3,IF(M234&lt;=40,1000/('01_参数'!$B$21-'01_参数'!$B$22*M234),1000/(1000/8.5+(M234-40)/10*(1000/14.3-1000/8.5)))))))))</x:f>
        <x:v>4.792592553612839</x:v>
      </x:c>
      <x:c r="O234" s="22" t="n">
        <x:v>746</x:v>
      </x:c>
      <x:c r="P234" s="26" t="n">
        <x:f>MAX(0,MIN('01_参数'!$B$20,'02_人物原始合计'!AM234/100,'01_参数'!$B$19+'02_人物原始合计'!AN234/100))</x:f>
        <x:v>0.63</x:v>
      </x:c>
      <x:c r="Q234" s="28" t="n">
        <x:f>((('02_人物原始合计'!E234+('02_人物原始合计'!F234-'02_人物原始合计'!E234)*IF(J234&gt;=12,1,0.5+0.5*MAX(0,J234)/12))*(1+'02_人物原始合计'!Q234/100))*(1+'02_人物原始合计'!U234/100+IF(J234&gt;=15,0.15,0))*(1+'02_人物原始合计'!V234/100)*(1+'02_人物原始合计'!T234)*(1+'02_人物原始合计'!W234*'01_参数'!$B$18)*(1+MAX(0,MIN(1,'02_人物原始合计'!X234/100))*('01_参数'!$B$16+'02_人物原始合计'!Y234/100-1))*(1+MAX(0,MIN(1,'02_人物原始合计'!Z234/100))*('01_参数'!$B$17+'02_人物原始合计'!AA234/100-1))+'02_人物原始合计'!AB234)*N234*'01_参数'!$B$7*'01_参数'!$B$8</x:f>
        <x:v>482078731.6377766</x:v>
      </x:c>
      <x:c r="R234" s="28" t="n">
        <x:f>Q234*'01_参数'!$B$5</x:f>
        <x:v>964157463.2755532</x:v>
      </x:c>
      <x:c r="S234" s="28" t="n">
        <x:f>(('02_人物原始合计'!E234+('02_人物原始合计'!F234-'02_人物原始合计'!E234)*IF(J234&gt;=12,1,0.5+0.5*MAX(0,J234)/12))*(1+'02_人物原始合计'!Q234/100))*(1+'02_人物原始合计'!U234/100+IF(J234&gt;=15,0.15,0))*(1+'02_人物原始合计'!V234/100)*(1+'02_人物原始合计'!T234)*(1+'02_人物原始合计'!W234*'01_参数'!$B$18)*(1+MAX(0,MIN(1,'02_人物原始合计'!X234/100))*('01_参数'!$B$16+'02_人物原始合计'!Y234/100-1))*(1+MAX(0,MIN(1,'02_人物原始合计'!Z234/100))*('01_参数'!$B$17+'02_人物原始合计'!AA234/100-1))*N234*'01_参数'!$B$7*'01_参数'!$B$8*MAX(0,'02_人物原始合计'!AO234/100)</x:f>
        <x:v>33745511.214644365</x:v>
      </x:c>
      <x:c r="T234" s="28" t="n">
        <x:f>S234*'01_参数'!$B$6</x:f>
        <x:v>43869164.579037674</x:v>
      </x:c>
      <x:c r="U234" s="28" t="n">
        <x:v>0</x:v>
      </x:c>
      <x:c r="V234" s="28" t="n">
        <x:f>T234+U234</x:f>
        <x:v>43869164.579037674</x:v>
      </x:c>
      <x:c r="W234" s="22" t="n">
        <x:v>26</x:v>
      </x:c>
      <x:c r="X234" s="22" t="n">
        <x:v>239</x:v>
      </x:c>
      <x:c r="Y234" s="22" t="str">
        <x:v>主线</x:v>
      </x:c>
    </x:row>
    <x:row r="235" ht="24" customHeight="1">
      <x:c r="A235" s="22" t="str">
        <x:v>P0231</x:v>
      </x:c>
      <x:c r="B235" s="22" t="n">
        <x:v>7</x:v>
      </x:c>
      <x:c r="C235" s="22" t="n">
        <x:v>3</x:v>
      </x:c>
      <x:c r="D235" s="22" t="str">
        <x:v>C07守关前必做制作完成</x:v>
      </x:c>
      <x:c r="E235" s="26" t="n">
        <x:v>0.48436800110515854</x:v>
      </x:c>
      <x:c r="F235" s="22" t="n">
        <x:v>7</x:v>
      </x:c>
      <x:c r="G235" s="22" t="n">
        <x:v>192</x:v>
      </x:c>
      <x:c r="H235" s="22" t="n">
        <x:v>10</x:v>
      </x:c>
      <x:c r="I235" s="22" t="n">
        <x:v>6</x:v>
      </x:c>
      <x:c r="J235" s="22" t="n">
        <x:f>'02_人物原始合计'!AG235+'02_人物原始合计'!AH235</x:f>
        <x:v>15</x:v>
      </x:c>
      <x:c r="K235" s="28" t="n">
        <x:f>'02_人物原始合计'!F235*(1+'02_人物原始合计'!Q235/100)</x:f>
        <x:v>771184.26</x:v>
      </x:c>
      <x:c r="L235" s="28" t="n">
        <x:f>'02_人物原始合计'!K235*(1+'02_人物原始合计'!AV235/100)</x:f>
        <x:v>8919500</x:v>
      </x:c>
      <x:c r="M235" s="22" t="n">
        <x:f>MAX(0,MIN(50,'02_人物原始合计'!AD235,20+MIN(30,'02_人物原始合计'!AE235)))</x:f>
        <x:v>32</x:v>
      </x:c>
      <x:c r="N235" s="22" t="n">
        <x:f>IF(M235=0,1.75,IF(M235=10,2.2,IF(M235=20,2.9,IF(M235=30,4.3,IF(M235=40,8.5,IF(M235=50,14.3,IF(M235&lt;=40,1000/('01_参数'!$B$21-'01_参数'!$B$22*M235),1000/(1000/8.5+(M235-40)/10*(1000/14.3-1000/8.5)))))))))</x:f>
        <x:v>4.792592553612839</x:v>
      </x:c>
      <x:c r="O235" s="22" t="n">
        <x:v>746</x:v>
      </x:c>
      <x:c r="P235" s="26" t="n">
        <x:f>MAX(0,MIN('01_参数'!$B$20,'02_人物原始合计'!AM235/100,'01_参数'!$B$19+'02_人物原始合计'!AN235/100))</x:f>
        <x:v>0.63</x:v>
      </x:c>
      <x:c r="Q235" s="28" t="n">
        <x:f>((('02_人物原始合计'!E235+('02_人物原始合计'!F235-'02_人物原始合计'!E235)*IF(J235&gt;=12,1,0.5+0.5*MAX(0,J235)/12))*(1+'02_人物原始合计'!Q235/100))*(1+'02_人物原始合计'!U235/100+IF(J235&gt;=15,0.15,0))*(1+'02_人物原始合计'!V235/100)*(1+'02_人物原始合计'!T235)*(1+'02_人物原始合计'!W235*'01_参数'!$B$18)*(1+MAX(0,MIN(1,'02_人物原始合计'!X235/100))*('01_参数'!$B$16+'02_人物原始合计'!Y235/100-1))*(1+MAX(0,MIN(1,'02_人物原始合计'!Z235/100))*('01_参数'!$B$17+'02_人物原始合计'!AA235/100-1))+'02_人物原始合计'!AB235)*N235*'01_参数'!$B$7*'01_参数'!$B$8</x:f>
        <x:v>493221217.76731265</x:v>
      </x:c>
      <x:c r="R235" s="28" t="n">
        <x:f>Q235*'01_参数'!$B$5</x:f>
        <x:v>986442435.5346253</x:v>
      </x:c>
      <x:c r="S235" s="28" t="n">
        <x:f>(('02_人物原始合计'!E235+('02_人物原始合计'!F235-'02_人物原始合计'!E235)*IF(J235&gt;=12,1,0.5+0.5*MAX(0,J235)/12))*(1+'02_人物原始合计'!Q235/100))*(1+'02_人物原始合计'!U235/100+IF(J235&gt;=15,0.15,0))*(1+'02_人物原始合计'!V235/100)*(1+'02_人物原始合计'!T235)*(1+'02_人物原始合计'!W235*'01_参数'!$B$18)*(1+MAX(0,MIN(1,'02_人物原始合计'!X235/100))*('01_参数'!$B$16+'02_人物原始合计'!Y235/100-1))*(1+MAX(0,MIN(1,'02_人物原始合计'!Z235/100))*('01_参数'!$B$17+'02_人物原始合计'!AA235/100-1))*N235*'01_参数'!$B$7*'01_参数'!$B$8*MAX(0,'02_人物原始合计'!AO235/100)</x:f>
        <x:v>34525485.24371189</x:v>
      </x:c>
      <x:c r="T235" s="28" t="n">
        <x:f>S235*'01_参数'!$B$6</x:f>
        <x:v>44883130.81682546</x:v>
      </x:c>
      <x:c r="U235" s="28" t="n">
        <x:v>0</x:v>
      </x:c>
      <x:c r="V235" s="28" t="n">
        <x:f>T235+U235</x:f>
        <x:v>44883130.81682546</x:v>
      </x:c>
      <x:c r="W235" s="22" t="n">
        <x:v>26</x:v>
      </x:c>
      <x:c r="X235" s="22" t="n">
        <x:v>239</x:v>
      </x:c>
      <x:c r="Y235" s="22" t="str">
        <x:v>主线</x:v>
      </x:c>
    </x:row>
    <x:row r="236" ht="24" customHeight="1">
      <x:c r="A236" s="22" t="str">
        <x:v>P0232</x:v>
      </x:c>
      <x:c r="B236" s="22" t="n">
        <x:v>7</x:v>
      </x:c>
      <x:c r="C236" s="22" t="n">
        <x:v>3</x:v>
      </x:c>
      <x:c r="D236" s="22" t="str">
        <x:v>C07约70%守关参考</x:v>
      </x:c>
      <x:c r="E236" s="26" t="n">
        <x:v>0.7514134556506131</x:v>
      </x:c>
      <x:c r="F236" s="22" t="n">
        <x:v>7</x:v>
      </x:c>
      <x:c r="G236" s="22" t="n">
        <x:v>192</x:v>
      </x:c>
      <x:c r="H236" s="22" t="n">
        <x:v>10</x:v>
      </x:c>
      <x:c r="I236" s="22" t="n">
        <x:v>6</x:v>
      </x:c>
      <x:c r="J236" s="22" t="n">
        <x:f>'02_人物原始合计'!AG236+'02_人物原始合计'!AH236</x:f>
        <x:v>15</x:v>
      </x:c>
      <x:c r="K236" s="28" t="n">
        <x:f>'02_人物原始合计'!F236*(1+'02_人物原始合计'!Q236/100)</x:f>
        <x:v>781995.0599999999</x:v>
      </x:c>
      <x:c r="L236" s="28" t="n">
        <x:f>'02_人物原始合计'!K236*(1+'02_人物原始合计'!AV236/100)</x:f>
        <x:v>9017000</x:v>
      </x:c>
      <x:c r="M236" s="22" t="n">
        <x:f>MAX(0,MIN(50,'02_人物原始合计'!AD236,20+MIN(30,'02_人物原始合计'!AE236)))</x:f>
        <x:v>32</x:v>
      </x:c>
      <x:c r="N236" s="22" t="n">
        <x:f>IF(M236=0,1.75,IF(M236=10,2.2,IF(M236=20,2.9,IF(M236=30,4.3,IF(M236=40,8.5,IF(M236=50,14.3,IF(M236&lt;=40,1000/('01_参数'!$B$21-'01_参数'!$B$22*M236),1000/(1000/8.5+(M236-40)/10*(1000/14.3-1000/8.5)))))))))</x:f>
        <x:v>4.792592553612839</x:v>
      </x:c>
      <x:c r="O236" s="22" t="n">
        <x:v>836</x:v>
      </x:c>
      <x:c r="P236" s="26" t="n">
        <x:f>MAX(0,MIN('01_参数'!$B$20,'02_人物原始合计'!AM236/100,'01_参数'!$B$19+'02_人物原始合计'!AN236/100))</x:f>
        <x:v>0.63</x:v>
      </x:c>
      <x:c r="Q236" s="28" t="n">
        <x:f>((('02_人物原始合计'!E236+('02_人物原始合计'!F236-'02_人物原始合计'!E236)*IF(J236&gt;=12,1,0.5+0.5*MAX(0,J236)/12))*(1+'02_人物原始合计'!Q236/100))*(1+'02_人物原始合计'!U236/100+IF(J236&gt;=15,0.15,0))*(1+'02_人物原始合计'!V236/100)*(1+'02_人物原始合计'!T236)*(1+'02_人物原始合计'!W236*'01_参数'!$B$18)*(1+MAX(0,MIN(1,'02_人物原始合计'!X236/100))*('01_参数'!$B$16+'02_人物原始合计'!Y236/100-1))*(1+MAX(0,MIN(1,'02_人物原始合计'!Z236/100))*('01_参数'!$B$17+'02_人物原始合计'!AA236/100-1))+'02_人物原始合计'!AB236)*N236*'01_参数'!$B$7*'01_参数'!$B$8</x:f>
        <x:v>522740399.9037783</x:v>
      </x:c>
      <x:c r="R236" s="28" t="n">
        <x:f>Q236*'01_参数'!$B$5</x:f>
        <x:v>1045480799.8075566</x:v>
      </x:c>
      <x:c r="S236" s="28" t="n">
        <x:f>(('02_人物原始合计'!E236+('02_人物原始合计'!F236-'02_人物原始合计'!E236)*IF(J236&gt;=12,1,0.5+0.5*MAX(0,J236)/12))*(1+'02_人物原始合计'!Q236/100))*(1+'02_人物原始合计'!U236/100+IF(J236&gt;=15,0.15,0))*(1+'02_人物原始合计'!V236/100)*(1+'02_人物原始合计'!T236)*(1+'02_人物原始合计'!W236*'01_参数'!$B$18)*(1+MAX(0,MIN(1,'02_人物原始合计'!X236/100))*('01_参数'!$B$16+'02_人物原始合计'!Y236/100-1))*(1+MAX(0,MIN(1,'02_人物原始合计'!Z236/100))*('01_参数'!$B$17+'02_人物原始合计'!AA236/100-1))*N236*'01_参数'!$B$7*'01_参数'!$B$8*MAX(0,'02_人物原始合计'!AO236/100)</x:f>
        <x:v>36591827.99326449</x:v>
      </x:c>
      <x:c r="T236" s="28" t="n">
        <x:f>S236*'01_参数'!$B$6</x:f>
        <x:v>47569376.39124384</x:v>
      </x:c>
      <x:c r="U236" s="28" t="n">
        <x:v>0</x:v>
      </x:c>
      <x:c r="V236" s="28" t="n">
        <x:f>T236+U236</x:f>
        <x:v>47569376.39124384</x:v>
      </x:c>
      <x:c r="W236" s="22" t="n">
        <x:v>26</x:v>
      </x:c>
      <x:c r="X236" s="22" t="n">
        <x:v>260</x:v>
      </x:c>
      <x:c r="Y236" s="22" t="str">
        <x:v>主线</x:v>
      </x:c>
    </x:row>
    <x:row r="237" ht="24" customHeight="1">
      <x:c r="A237" s="22" t="str">
        <x:v>P0233</x:v>
      </x:c>
      <x:c r="B237" s="22" t="n">
        <x:v>7</x:v>
      </x:c>
      <x:c r="C237" s="22" t="n">
        <x:v>3</x:v>
      </x:c>
      <x:c r="D237" s="22" t="str">
        <x:v>C07高完成度参考</x:v>
      </x:c>
      <x:c r="E237" s="26" t="n">
        <x:v>0.9201238944859516</x:v>
      </x:c>
      <x:c r="F237" s="22" t="n">
        <x:v>7</x:v>
      </x:c>
      <x:c r="G237" s="22" t="n">
        <x:v>192</x:v>
      </x:c>
      <x:c r="H237" s="22" t="n">
        <x:v>10</x:v>
      </x:c>
      <x:c r="I237" s="22" t="n">
        <x:v>6</x:v>
      </x:c>
      <x:c r="J237" s="22" t="n">
        <x:f>'02_人物原始合计'!AG237+'02_人物原始合计'!AH237</x:f>
        <x:v>15</x:v>
      </x:c>
      <x:c r="K237" s="28" t="n">
        <x:f>'02_人物原始合计'!F237*(1+'02_人物原始合计'!Q237/100)</x:f>
        <x:v>892142.9400000001</x:v>
      </x:c>
      <x:c r="L237" s="28" t="n">
        <x:f>'02_人物原始合计'!K237*(1+'02_人物原始合计'!AV237/100)</x:f>
        <x:v>9649625</x:v>
      </x:c>
      <x:c r="M237" s="22" t="n">
        <x:f>MAX(0,MIN(50,'02_人物原始合计'!AD237,20+MIN(30,'02_人物原始合计'!AE237)))</x:f>
        <x:v>32</x:v>
      </x:c>
      <x:c r="N237" s="22" t="n">
        <x:f>IF(M237=0,1.75,IF(M237=10,2.2,IF(M237=20,2.9,IF(M237=30,4.3,IF(M237=40,8.5,IF(M237=50,14.3,IF(M237&lt;=40,1000/('01_参数'!$B$21-'01_参数'!$B$22*M237),1000/(1000/8.5+(M237-40)/10*(1000/14.3-1000/8.5)))))))))</x:f>
        <x:v>4.792592553612839</x:v>
      </x:c>
      <x:c r="O237" s="22" t="n">
        <x:v>838</x:v>
      </x:c>
      <x:c r="P237" s="26" t="n">
        <x:f>MAX(0,MIN('01_参数'!$B$20,'02_人物原始合计'!AM237/100,'01_参数'!$B$19+'02_人物原始合计'!AN237/100))</x:f>
        <x:v>0.69</x:v>
      </x:c>
      <x:c r="Q237" s="28" t="n">
        <x:f>((('02_人物原始合计'!E237+('02_人物原始合计'!F237-'02_人物原始合计'!E237)*IF(J237&gt;=12,1,0.5+0.5*MAX(0,J237)/12))*(1+'02_人物原始合计'!Q237/100))*(1+'02_人物原始合计'!U237/100+IF(J237&gt;=15,0.15,0))*(1+'02_人物原始合计'!V237/100)*(1+'02_人物原始合计'!T237)*(1+'02_人物原始合计'!W237*'01_参数'!$B$18)*(1+MAX(0,MIN(1,'02_人物原始合计'!X237/100))*('01_参数'!$B$16+'02_人物原始合计'!Y237/100-1))*(1+MAX(0,MIN(1,'02_人物原始合计'!Z237/100))*('01_参数'!$B$17+'02_人物原始合计'!AA237/100-1))+'02_人物原始合计'!AB237)*N237*'01_参数'!$B$7*'01_参数'!$B$8</x:f>
        <x:v>712487444.6238718</x:v>
      </x:c>
      <x:c r="R237" s="28" t="n">
        <x:f>Q237*'01_参数'!$B$5</x:f>
        <x:v>1424974889.2477436</x:v>
      </x:c>
      <x:c r="S237" s="28" t="n">
        <x:f>(('02_人物原始合计'!E237+('02_人物原始合计'!F237-'02_人物原始合计'!E237)*IF(J237&gt;=12,1,0.5+0.5*MAX(0,J237)/12))*(1+'02_人物原始合计'!Q237/100))*(1+'02_人物原始合计'!U237/100+IF(J237&gt;=15,0.15,0))*(1+'02_人物原始合计'!V237/100)*(1+'02_人物原始合计'!T237)*(1+'02_人物原始合计'!W237*'01_参数'!$B$18)*(1+MAX(0,MIN(1,'02_人物原始合计'!X237/100))*('01_参数'!$B$16+'02_人物原始合计'!Y237/100-1))*(1+MAX(0,MIN(1,'02_人物原始合计'!Z237/100))*('01_参数'!$B$17+'02_人物原始合计'!AA237/100-1))*N237*'01_参数'!$B$7*'01_参数'!$B$8*MAX(0,'02_人物原始合计'!AO237/100)</x:f>
        <x:v>49874121.12367103</x:v>
      </x:c>
      <x:c r="T237" s="28" t="n">
        <x:f>S237*'01_参数'!$B$6</x:f>
        <x:v>64836357.46077234</x:v>
      </x:c>
      <x:c r="U237" s="28" t="n">
        <x:v>0</x:v>
      </x:c>
      <x:c r="V237" s="28" t="n">
        <x:f>T237+U237</x:f>
        <x:v>64836357.46077234</x:v>
      </x:c>
      <x:c r="W237" s="22" t="n">
        <x:v>26</x:v>
      </x:c>
      <x:c r="X237" s="22" t="n">
        <x:v>275</x:v>
      </x:c>
      <x:c r="Y237" s="22" t="str">
        <x:v>C07高完成度</x:v>
      </x:c>
    </x:row>
    <x:row r="238" ht="24" customHeight="1">
      <x:c r="A238" s="22" t="str">
        <x:v>P0234</x:v>
      </x:c>
      <x:c r="B238" s="22" t="n">
        <x:v>7</x:v>
      </x:c>
      <x:c r="C238" s="22" t="n">
        <x:v>3</x:v>
      </x:c>
      <x:c r="D238" s="22" t="str">
        <x:v>C07守关后继承</x:v>
      </x:c>
      <x:c r="E238" s="26" t="n">
        <x:v>0.7514134556506131</x:v>
      </x:c>
      <x:c r="F238" s="22" t="n">
        <x:v>7</x:v>
      </x:c>
      <x:c r="G238" s="22" t="n">
        <x:v>192</x:v>
      </x:c>
      <x:c r="H238" s="22" t="n">
        <x:v>10</x:v>
      </x:c>
      <x:c r="I238" s="22" t="n">
        <x:v>7</x:v>
      </x:c>
      <x:c r="J238" s="22" t="n">
        <x:f>'02_人物原始合计'!AG238+'02_人物原始合计'!AH238</x:f>
        <x:v>15</x:v>
      </x:c>
      <x:c r="K238" s="28" t="n">
        <x:f>'02_人物原始合计'!F238*(1+'02_人物原始合计'!Q238/100)</x:f>
        <x:v>781995.0599999999</x:v>
      </x:c>
      <x:c r="L238" s="28" t="n">
        <x:f>'02_人物原始合计'!K238*(1+'02_人物原始合计'!AV238/100)</x:f>
        <x:v>9019500</x:v>
      </x:c>
      <x:c r="M238" s="22" t="n">
        <x:f>MAX(0,MIN(50,'02_人物原始合计'!AD238,20+MIN(30,'02_人物原始合计'!AE238)))</x:f>
        <x:v>32</x:v>
      </x:c>
      <x:c r="N238" s="22" t="n">
        <x:f>IF(M238=0,1.75,IF(M238=10,2.2,IF(M238=20,2.9,IF(M238=30,4.3,IF(M238=40,8.5,IF(M238=50,14.3,IF(M238&lt;=40,1000/('01_参数'!$B$21-'01_参数'!$B$22*M238),1000/(1000/8.5+(M238-40)/10*(1000/14.3-1000/8.5)))))))))</x:f>
        <x:v>4.792592553612839</x:v>
      </x:c>
      <x:c r="O238" s="22" t="n">
        <x:v>836</x:v>
      </x:c>
      <x:c r="P238" s="26" t="n">
        <x:f>MAX(0,MIN('01_参数'!$B$20,'02_人物原始合计'!AM238/100,'01_参数'!$B$19+'02_人物原始合计'!AN238/100))</x:f>
        <x:v>0.63</x:v>
      </x:c>
      <x:c r="Q238" s="28" t="n">
        <x:f>((('02_人物原始合计'!E238+('02_人物原始合计'!F238-'02_人物原始合计'!E238)*IF(J238&gt;=12,1,0.5+0.5*MAX(0,J238)/12))*(1+'02_人物原始合计'!Q238/100))*(1+'02_人物原始合计'!U238/100+IF(J238&gt;=15,0.15,0))*(1+'02_人物原始合计'!V238/100)*(1+'02_人物原始合计'!T238)*(1+'02_人物原始合计'!W238*'01_参数'!$B$18)*(1+MAX(0,MIN(1,'02_人物原始合计'!X238/100))*('01_参数'!$B$16+'02_人物原始合计'!Y238/100-1))*(1+MAX(0,MIN(1,'02_人物原始合计'!Z238/100))*('01_参数'!$B$17+'02_人物原始合计'!AA238/100-1))+'02_人物原始合计'!AB238)*N238*'01_参数'!$B$7*'01_参数'!$B$8</x:f>
        <x:v>525977182.56572133</x:v>
      </x:c>
      <x:c r="R238" s="28" t="n">
        <x:f>Q238*'01_参数'!$B$5</x:f>
        <x:v>1051954365.1314427</x:v>
      </x:c>
      <x:c r="S238" s="28" t="n">
        <x:f>(('02_人物原始合计'!E238+('02_人物原始合计'!F238-'02_人物原始合计'!E238)*IF(J238&gt;=12,1,0.5+0.5*MAX(0,J238)/12))*(1+'02_人物原始合计'!Q238/100))*(1+'02_人物原始合计'!U238/100+IF(J238&gt;=15,0.15,0))*(1+'02_人物原始合计'!V238/100)*(1+'02_人物原始合计'!T238)*(1+'02_人物原始合计'!W238*'01_参数'!$B$18)*(1+MAX(0,MIN(1,'02_人物原始合计'!X238/100))*('01_参数'!$B$16+'02_人物原始合计'!Y238/100-1))*(1+MAX(0,MIN(1,'02_人物原始合计'!Z238/100))*('01_参数'!$B$17+'02_人物原始合计'!AA238/100-1))*N238*'01_参数'!$B$7*'01_参数'!$B$8*MAX(0,'02_人物原始合计'!AO238/100)</x:f>
        <x:v>42078174.605257705</x:v>
      </x:c>
      <x:c r="T238" s="28" t="n">
        <x:f>S238*'01_参数'!$B$6</x:f>
        <x:v>54701626.98683502</x:v>
      </x:c>
      <x:c r="U238" s="28" t="n">
        <x:v>0</x:v>
      </x:c>
      <x:c r="V238" s="28" t="n">
        <x:f>T238+U238</x:f>
        <x:v>54701626.98683502</x:v>
      </x:c>
      <x:c r="W238" s="22" t="n">
        <x:v>26</x:v>
      </x:c>
      <x:c r="X238" s="22" t="n">
        <x:v>260</x:v>
      </x:c>
      <x:c r="Y238" s="22" t="str">
        <x:v>主线</x:v>
      </x:c>
    </x:row>
    <x:row r="239" ht="24" customHeight="1">
      <x:c r="A239" s="22" t="str">
        <x:v>P0235</x:v>
      </x:c>
      <x:c r="B239" s="22" t="n">
        <x:v>8</x:v>
      </x:c>
      <x:c r="C239" s="22" t="n">
        <x:v>1</x:v>
      </x:c>
      <x:c r="D239" s="22" t="str">
        <x:v>C08入场继承</x:v>
      </x:c>
      <x:c r="E239" s="26" t="n">
        <x:v>0.1154953327806528</x:v>
      </x:c>
      <x:c r="F239" s="22" t="n">
        <x:v>7</x:v>
      </x:c>
      <x:c r="G239" s="22" t="n">
        <x:v>192</x:v>
      </x:c>
      <x:c r="H239" s="22" t="n">
        <x:v>10</x:v>
      </x:c>
      <x:c r="I239" s="22" t="n">
        <x:v>7</x:v>
      </x:c>
      <x:c r="J239" s="22" t="n">
        <x:f>'02_人物原始合计'!AG239+'02_人物原始合计'!AH239</x:f>
        <x:v>15</x:v>
      </x:c>
      <x:c r="K239" s="28" t="n">
        <x:f>'02_人物原始合计'!F239*(1+'02_人物原始合计'!Q239/100)</x:f>
        <x:v>781995.0599999999</x:v>
      </x:c>
      <x:c r="L239" s="28" t="n">
        <x:f>'02_人物原始合计'!K239*(1+'02_人物原始合计'!AV239/100)</x:f>
        <x:v>9019500</x:v>
      </x:c>
      <x:c r="M239" s="22" t="n">
        <x:f>MAX(0,MIN(50,'02_人物原始合计'!AD239,20+MIN(30,'02_人物原始合计'!AE239)))</x:f>
        <x:v>32</x:v>
      </x:c>
      <x:c r="N239" s="22" t="n">
        <x:f>IF(M239=0,1.75,IF(M239=10,2.2,IF(M239=20,2.9,IF(M239=30,4.3,IF(M239=40,8.5,IF(M239=50,14.3,IF(M239&lt;=40,1000/('01_参数'!$B$21-'01_参数'!$B$22*M239),1000/(1000/8.5+(M239-40)/10*(1000/14.3-1000/8.5)))))))))</x:f>
        <x:v>4.792592553612839</x:v>
      </x:c>
      <x:c r="O239" s="22" t="n">
        <x:v>836</x:v>
      </x:c>
      <x:c r="P239" s="26" t="n">
        <x:f>MAX(0,MIN('01_参数'!$B$20,'02_人物原始合计'!AM239/100,'01_参数'!$B$19+'02_人物原始合计'!AN239/100))</x:f>
        <x:v>0.63</x:v>
      </x:c>
      <x:c r="Q239" s="28" t="n">
        <x:f>((('02_人物原始合计'!E239+('02_人物原始合计'!F239-'02_人物原始合计'!E239)*IF(J239&gt;=12,1,0.5+0.5*MAX(0,J239)/12))*(1+'02_人物原始合计'!Q239/100))*(1+'02_人物原始合计'!U239/100+IF(J239&gt;=15,0.15,0))*(1+'02_人物原始合计'!V239/100)*(1+'02_人物原始合计'!T239)*(1+'02_人物原始合计'!W239*'01_参数'!$B$18)*(1+MAX(0,MIN(1,'02_人物原始合计'!X239/100))*('01_参数'!$B$16+'02_人物原始合计'!Y239/100-1))*(1+MAX(0,MIN(1,'02_人物原始合计'!Z239/100))*('01_参数'!$B$17+'02_人物原始合计'!AA239/100-1))+'02_人物原始合计'!AB239)*N239*'01_参数'!$B$7*'01_参数'!$B$8</x:f>
        <x:v>525977182.56572133</x:v>
      </x:c>
      <x:c r="R239" s="28" t="n">
        <x:f>Q239*'01_参数'!$B$5</x:f>
        <x:v>1051954365.1314427</x:v>
      </x:c>
      <x:c r="S239" s="28" t="n">
        <x:f>(('02_人物原始合计'!E239+('02_人物原始合计'!F239-'02_人物原始合计'!E239)*IF(J239&gt;=12,1,0.5+0.5*MAX(0,J239)/12))*(1+'02_人物原始合计'!Q239/100))*(1+'02_人物原始合计'!U239/100+IF(J239&gt;=15,0.15,0))*(1+'02_人物原始合计'!V239/100)*(1+'02_人物原始合计'!T239)*(1+'02_人物原始合计'!W239*'01_参数'!$B$18)*(1+MAX(0,MIN(1,'02_人物原始合计'!X239/100))*('01_参数'!$B$16+'02_人物原始合计'!Y239/100-1))*(1+MAX(0,MIN(1,'02_人物原始合计'!Z239/100))*('01_参数'!$B$17+'02_人物原始合计'!AA239/100-1))*N239*'01_参数'!$B$7*'01_参数'!$B$8*MAX(0,'02_人物原始合计'!AO239/100)</x:f>
        <x:v>42078174.605257705</x:v>
      </x:c>
      <x:c r="T239" s="28" t="n">
        <x:f>S239*'01_参数'!$B$6</x:f>
        <x:v>54701626.98683502</x:v>
      </x:c>
      <x:c r="U239" s="28" t="n">
        <x:v>0</x:v>
      </x:c>
      <x:c r="V239" s="28" t="n">
        <x:f>T239+U239</x:f>
        <x:v>54701626.98683502</x:v>
      </x:c>
      <x:c r="W239" s="22" t="n">
        <x:v>26</x:v>
      </x:c>
      <x:c r="X239" s="22" t="n">
        <x:v>260</x:v>
      </x:c>
      <x:c r="Y239" s="22" t="str">
        <x:v>主线</x:v>
      </x:c>
    </x:row>
    <x:row r="240" ht="24" customHeight="1">
      <x:c r="A240" s="22" t="str">
        <x:v>P0236</x:v>
      </x:c>
      <x:c r="B240" s="22" t="n">
        <x:v>8</x:v>
      </x:c>
      <x:c r="C240" s="22" t="n">
        <x:v>1</x:v>
      </x:c>
      <x:c r="D240" s="22" t="str">
        <x:v>C08本阶段既有付费/长期成长</x:v>
      </x:c>
      <x:c r="E240" s="26" t="n">
        <x:v>0.1154953327806528</x:v>
      </x:c>
      <x:c r="F240" s="22" t="n">
        <x:v>7</x:v>
      </x:c>
      <x:c r="G240" s="22" t="n">
        <x:v>195</x:v>
      </x:c>
      <x:c r="H240" s="22" t="n">
        <x:v>10</x:v>
      </x:c>
      <x:c r="I240" s="22" t="n">
        <x:v>7</x:v>
      </x:c>
      <x:c r="J240" s="22" t="n">
        <x:f>'02_人物原始合计'!AG240+'02_人物原始合计'!AH240</x:f>
        <x:v>15</x:v>
      </x:c>
      <x:c r="K240" s="28" t="n">
        <x:f>'02_人物原始合计'!F240*(1+'02_人物原始合计'!Q240/100)</x:f>
        <x:v>790061.58</x:v>
      </x:c>
      <x:c r="L240" s="28" t="n">
        <x:f>'02_人物原始合计'!K240*(1+'02_人物原始合计'!AV240/100)</x:f>
        <x:v>9092250</x:v>
      </x:c>
      <x:c r="M240" s="22" t="n">
        <x:f>MAX(0,MIN(50,'02_人物原始合计'!AD240,20+MIN(30,'02_人物原始合计'!AE240)))</x:f>
        <x:v>32</x:v>
      </x:c>
      <x:c r="N240" s="22" t="n">
        <x:f>IF(M240=0,1.75,IF(M240=10,2.2,IF(M240=20,2.9,IF(M240=30,4.3,IF(M240=40,8.5,IF(M240=50,14.3,IF(M240&lt;=40,1000/('01_参数'!$B$21-'01_参数'!$B$22*M240),1000/(1000/8.5+(M240-40)/10*(1000/14.3-1000/8.5)))))))))</x:f>
        <x:v>4.792592553612839</x:v>
      </x:c>
      <x:c r="O240" s="22" t="n">
        <x:v>836</x:v>
      </x:c>
      <x:c r="P240" s="26" t="n">
        <x:f>MAX(0,MIN('01_参数'!$B$20,'02_人物原始合计'!AM240/100,'01_参数'!$B$19+'02_人物原始合计'!AN240/100))</x:f>
        <x:v>0.63</x:v>
      </x:c>
      <x:c r="Q240" s="28" t="n">
        <x:f>((('02_人物原始合计'!E240+('02_人物原始合计'!F240-'02_人物原始合计'!E240)*IF(J240&gt;=12,1,0.5+0.5*MAX(0,J240)/12))*(1+'02_人物原始合计'!Q240/100))*(1+'02_人物原始合计'!U240/100+IF(J240&gt;=15,0.15,0))*(1+'02_人物原始合计'!V240/100)*(1+'02_人物原始合计'!T240)*(1+'02_人物原始合计'!W240*'01_参数'!$B$18)*(1+MAX(0,MIN(1,'02_人物原始合计'!X240/100))*('01_参数'!$B$16+'02_人物原始合计'!Y240/100-1))*(1+MAX(0,MIN(1,'02_人物原始合计'!Z240/100))*('01_参数'!$B$17+'02_人物原始合计'!AA240/100-1))+'02_人物原始合计'!AB240)*N240*'01_参数'!$B$7*'01_参数'!$B$8</x:f>
        <x:v>531402799.2732105</x:v>
      </x:c>
      <x:c r="R240" s="28" t="n">
        <x:f>Q240*'01_参数'!$B$5</x:f>
        <x:v>1062805598.546421</x:v>
      </x:c>
      <x:c r="S240" s="28" t="n">
        <x:f>(('02_人物原始合计'!E240+('02_人物原始合计'!F240-'02_人物原始合计'!E240)*IF(J240&gt;=12,1,0.5+0.5*MAX(0,J240)/12))*(1+'02_人物原始合计'!Q240/100))*(1+'02_人物原始合计'!U240/100+IF(J240&gt;=15,0.15,0))*(1+'02_人物原始合计'!V240/100)*(1+'02_人物原始合计'!T240)*(1+'02_人物原始合计'!W240*'01_参数'!$B$18)*(1+MAX(0,MIN(1,'02_人物原始合计'!X240/100))*('01_参数'!$B$16+'02_人物原始合计'!Y240/100-1))*(1+MAX(0,MIN(1,'02_人物原始合计'!Z240/100))*('01_参数'!$B$17+'02_人物原始合计'!AA240/100-1))*N240*'01_参数'!$B$7*'01_参数'!$B$8*MAX(0,'02_人物原始合计'!AO240/100)</x:f>
        <x:v>42512223.941856846</x:v>
      </x:c>
      <x:c r="T240" s="28" t="n">
        <x:f>S240*'01_参数'!$B$6</x:f>
        <x:v>55265891.1244139</x:v>
      </x:c>
      <x:c r="U240" s="28" t="n">
        <x:v>0</x:v>
      </x:c>
      <x:c r="V240" s="28" t="n">
        <x:f>T240+U240</x:f>
        <x:v>55265891.1244139</x:v>
      </x:c>
      <x:c r="W240" s="22" t="n">
        <x:v>26</x:v>
      </x:c>
      <x:c r="X240" s="22" t="n">
        <x:v>260</x:v>
      </x:c>
      <x:c r="Y240" s="22" t="str">
        <x:v>主线</x:v>
      </x:c>
    </x:row>
    <x:row r="241" ht="24" customHeight="1">
      <x:c r="A241" s="22" t="str">
        <x:v>P0237</x:v>
      </x:c>
      <x:c r="B241" s="22" t="n">
        <x:v>8</x:v>
      </x:c>
      <x:c r="C241" s="22" t="n">
        <x:v>1</x:v>
      </x:c>
      <x:c r="D241" s="22" t="str">
        <x:v>C08G01入场</x:v>
      </x:c>
      <x:c r="E241" s="26" t="n">
        <x:v>0.1154953327806528</x:v>
      </x:c>
      <x:c r="F241" s="22" t="n">
        <x:v>7</x:v>
      </x:c>
      <x:c r="G241" s="22" t="n">
        <x:v>195</x:v>
      </x:c>
      <x:c r="H241" s="22" t="n">
        <x:v>10</x:v>
      </x:c>
      <x:c r="I241" s="22" t="n">
        <x:v>7</x:v>
      </x:c>
      <x:c r="J241" s="22" t="n">
        <x:f>'02_人物原始合计'!AG241+'02_人物原始合计'!AH241</x:f>
        <x:v>15</x:v>
      </x:c>
      <x:c r="K241" s="28" t="n">
        <x:f>'02_人物原始合计'!F241*(1+'02_人物原始合计'!Q241/100)</x:f>
        <x:v>790061.58</x:v>
      </x:c>
      <x:c r="L241" s="28" t="n">
        <x:f>'02_人物原始合计'!K241*(1+'02_人物原始合计'!AV241/100)</x:f>
        <x:v>9092250</x:v>
      </x:c>
      <x:c r="M241" s="22" t="n">
        <x:f>MAX(0,MIN(50,'02_人物原始合计'!AD241,20+MIN(30,'02_人物原始合计'!AE241)))</x:f>
        <x:v>32</x:v>
      </x:c>
      <x:c r="N241" s="22" t="n">
        <x:f>IF(M241=0,1.75,IF(M241=10,2.2,IF(M241=20,2.9,IF(M241=30,4.3,IF(M241=40,8.5,IF(M241=50,14.3,IF(M241&lt;=40,1000/('01_参数'!$B$21-'01_参数'!$B$22*M241),1000/(1000/8.5+(M241-40)/10*(1000/14.3-1000/8.5)))))))))</x:f>
        <x:v>4.792592553612839</x:v>
      </x:c>
      <x:c r="O241" s="22" t="n">
        <x:v>836</x:v>
      </x:c>
      <x:c r="P241" s="26" t="n">
        <x:f>MAX(0,MIN('01_参数'!$B$20,'02_人物原始合计'!AM241/100,'01_参数'!$B$19+'02_人物原始合计'!AN241/100))</x:f>
        <x:v>0.63</x:v>
      </x:c>
      <x:c r="Q241" s="28" t="n">
        <x:f>((('02_人物原始合计'!E241+('02_人物原始合计'!F241-'02_人物原始合计'!E241)*IF(J241&gt;=12,1,0.5+0.5*MAX(0,J241)/12))*(1+'02_人物原始合计'!Q241/100))*(1+'02_人物原始合计'!U241/100+IF(J241&gt;=15,0.15,0))*(1+'02_人物原始合计'!V241/100)*(1+'02_人物原始合计'!T241)*(1+'02_人物原始合计'!W241*'01_参数'!$B$18)*(1+MAX(0,MIN(1,'02_人物原始合计'!X241/100))*('01_参数'!$B$16+'02_人物原始合计'!Y241/100-1))*(1+MAX(0,MIN(1,'02_人物原始合计'!Z241/100))*('01_参数'!$B$17+'02_人物原始合计'!AA241/100-1))+'02_人物原始合计'!AB241)*N241*'01_参数'!$B$7*'01_参数'!$B$8</x:f>
        <x:v>531402799.2732105</x:v>
      </x:c>
      <x:c r="R241" s="28" t="n">
        <x:f>Q241*'01_参数'!$B$5</x:f>
        <x:v>1062805598.546421</x:v>
      </x:c>
      <x:c r="S241" s="28" t="n">
        <x:f>(('02_人物原始合计'!E241+('02_人物原始合计'!F241-'02_人物原始合计'!E241)*IF(J241&gt;=12,1,0.5+0.5*MAX(0,J241)/12))*(1+'02_人物原始合计'!Q241/100))*(1+'02_人物原始合计'!U241/100+IF(J241&gt;=15,0.15,0))*(1+'02_人物原始合计'!V241/100)*(1+'02_人物原始合计'!T241)*(1+'02_人物原始合计'!W241*'01_参数'!$B$18)*(1+MAX(0,MIN(1,'02_人物原始合计'!X241/100))*('01_参数'!$B$16+'02_人物原始合计'!Y241/100-1))*(1+MAX(0,MIN(1,'02_人物原始合计'!Z241/100))*('01_参数'!$B$17+'02_人物原始合计'!AA241/100-1))*N241*'01_参数'!$B$7*'01_参数'!$B$8*MAX(0,'02_人物原始合计'!AO241/100)</x:f>
        <x:v>42512223.941856846</x:v>
      </x:c>
      <x:c r="T241" s="28" t="n">
        <x:f>S241*'01_参数'!$B$6</x:f>
        <x:v>55265891.1244139</x:v>
      </x:c>
      <x:c r="U241" s="28" t="n">
        <x:v>0</x:v>
      </x:c>
      <x:c r="V241" s="28" t="n">
        <x:f>T241+U241</x:f>
        <x:v>55265891.1244139</x:v>
      </x:c>
      <x:c r="W241" s="22" t="n">
        <x:v>26</x:v>
      </x:c>
      <x:c r="X241" s="22" t="n">
        <x:v>260</x:v>
      </x:c>
      <x:c r="Y241" s="22" t="str">
        <x:v>主线</x:v>
      </x:c>
    </x:row>
    <x:row r="242" ht="24" customHeight="1">
      <x:c r="A242" s="22" t="str">
        <x:v>P0238</x:v>
      </x:c>
      <x:c r="B242" s="22" t="n">
        <x:v>8</x:v>
      </x:c>
      <x:c r="C242" s="22" t="n">
        <x:v>1</x:v>
      </x:c>
      <x:c r="D242" s="22" t="str">
        <x:v>C08G01普通专属4/6</x:v>
      </x:c>
      <x:c r="E242" s="26" t="n">
        <x:v>0.1154953327806528</x:v>
      </x:c>
      <x:c r="F242" s="22" t="n">
        <x:v>7</x:v>
      </x:c>
      <x:c r="G242" s="22" t="n">
        <x:v>195</x:v>
      </x:c>
      <x:c r="H242" s="22" t="n">
        <x:v>10</x:v>
      </x:c>
      <x:c r="I242" s="22" t="n">
        <x:v>7</x:v>
      </x:c>
      <x:c r="J242" s="22" t="n">
        <x:f>'02_人物原始合计'!AG242+'02_人物原始合计'!AH242</x:f>
        <x:v>15</x:v>
      </x:c>
      <x:c r="K242" s="28" t="n">
        <x:f>'02_人物原始合计'!F242*(1+'02_人物原始合计'!Q242/100)</x:f>
        <x:v>790061.58</x:v>
      </x:c>
      <x:c r="L242" s="28" t="n">
        <x:f>'02_人物原始合计'!K242*(1+'02_人物原始合计'!AV242/100)</x:f>
        <x:v>9092250</x:v>
      </x:c>
      <x:c r="M242" s="22" t="n">
        <x:f>MAX(0,MIN(50,'02_人物原始合计'!AD242,20+MIN(30,'02_人物原始合计'!AE242)))</x:f>
        <x:v>32</x:v>
      </x:c>
      <x:c r="N242" s="22" t="n">
        <x:f>IF(M242=0,1.75,IF(M242=10,2.2,IF(M242=20,2.9,IF(M242=30,4.3,IF(M242=40,8.5,IF(M242=50,14.3,IF(M242&lt;=40,1000/('01_参数'!$B$21-'01_参数'!$B$22*M242),1000/(1000/8.5+(M242-40)/10*(1000/14.3-1000/8.5)))))))))</x:f>
        <x:v>4.792592553612839</x:v>
      </x:c>
      <x:c r="O242" s="22" t="n">
        <x:v>836</x:v>
      </x:c>
      <x:c r="P242" s="26" t="n">
        <x:f>MAX(0,MIN('01_参数'!$B$20,'02_人物原始合计'!AM242/100,'01_参数'!$B$19+'02_人物原始合计'!AN242/100))</x:f>
        <x:v>0.63</x:v>
      </x:c>
      <x:c r="Q242" s="28" t="n">
        <x:f>((('02_人物原始合计'!E242+('02_人物原始合计'!F242-'02_人物原始合计'!E242)*IF(J242&gt;=12,1,0.5+0.5*MAX(0,J242)/12))*(1+'02_人物原始合计'!Q242/100))*(1+'02_人物原始合计'!U242/100+IF(J242&gt;=15,0.15,0))*(1+'02_人物原始合计'!V242/100)*(1+'02_人物原始合计'!T242)*(1+'02_人物原始合计'!W242*'01_参数'!$B$18)*(1+MAX(0,MIN(1,'02_人物原始合计'!X242/100))*('01_参数'!$B$16+'02_人物原始合计'!Y242/100-1))*(1+MAX(0,MIN(1,'02_人物原始合计'!Z242/100))*('01_参数'!$B$17+'02_人物原始合计'!AA242/100-1))+'02_人物原始合计'!AB242)*N242*'01_参数'!$B$7*'01_参数'!$B$8</x:f>
        <x:v>531402799.2732105</x:v>
      </x:c>
      <x:c r="R242" s="28" t="n">
        <x:f>Q242*'01_参数'!$B$5</x:f>
        <x:v>1062805598.546421</x:v>
      </x:c>
      <x:c r="S242" s="28" t="n">
        <x:f>(('02_人物原始合计'!E242+('02_人物原始合计'!F242-'02_人物原始合计'!E242)*IF(J242&gt;=12,1,0.5+0.5*MAX(0,J242)/12))*(1+'02_人物原始合计'!Q242/100))*(1+'02_人物原始合计'!U242/100+IF(J242&gt;=15,0.15,0))*(1+'02_人物原始合计'!V242/100)*(1+'02_人物原始合计'!T242)*(1+'02_人物原始合计'!W242*'01_参数'!$B$18)*(1+MAX(0,MIN(1,'02_人物原始合计'!X242/100))*('01_参数'!$B$16+'02_人物原始合计'!Y242/100-1))*(1+MAX(0,MIN(1,'02_人物原始合计'!Z242/100))*('01_参数'!$B$17+'02_人物原始合计'!AA242/100-1))*N242*'01_参数'!$B$7*'01_参数'!$B$8*MAX(0,'02_人物原始合计'!AO242/100)</x:f>
        <x:v>42512223.941856846</x:v>
      </x:c>
      <x:c r="T242" s="28" t="n">
        <x:f>S242*'01_参数'!$B$6</x:f>
        <x:v>55265891.1244139</x:v>
      </x:c>
      <x:c r="U242" s="28" t="n">
        <x:v>0</x:v>
      </x:c>
      <x:c r="V242" s="28" t="n">
        <x:f>T242+U242</x:f>
        <x:v>55265891.1244139</x:v>
      </x:c>
      <x:c r="W242" s="22" t="n">
        <x:v>26</x:v>
      </x:c>
      <x:c r="X242" s="22" t="n">
        <x:v>260</x:v>
      </x:c>
      <x:c r="Y242" s="22" t="str">
        <x:v>主线</x:v>
      </x:c>
    </x:row>
    <x:row r="243" ht="24" customHeight="1">
      <x:c r="A243" s="22" t="str">
        <x:v>P0239</x:v>
      </x:c>
      <x:c r="B243" s="22" t="n">
        <x:v>8</x:v>
      </x:c>
      <x:c r="C243" s="22" t="n">
        <x:v>1</x:v>
      </x:c>
      <x:c r="D243" s="22" t="str">
        <x:v>雪崩号角·赫罗姆挑战前</x:v>
      </x:c>
      <x:c r="E243" s="26" t="n">
        <x:v>0.1154953327806528</x:v>
      </x:c>
      <x:c r="F243" s="22" t="n">
        <x:v>7</x:v>
      </x:c>
      <x:c r="G243" s="22" t="n">
        <x:v>198</x:v>
      </x:c>
      <x:c r="H243" s="22" t="n">
        <x:v>10</x:v>
      </x:c>
      <x:c r="I243" s="22" t="n">
        <x:v>7</x:v>
      </x:c>
      <x:c r="J243" s="22" t="n">
        <x:f>'02_人物原始合计'!AG243+'02_人物原始合计'!AH243</x:f>
        <x:v>15</x:v>
      </x:c>
      <x:c r="K243" s="28" t="n">
        <x:f>'02_人物原始合计'!F243*(1+'02_人物原始合计'!Q243/100)</x:f>
        <x:v>798252.84</x:v>
      </x:c>
      <x:c r="L243" s="28" t="n">
        <x:f>'02_人物原始合计'!K243*(1+'02_人物原始合计'!AV243/100)</x:f>
        <x:v>9166125</x:v>
      </x:c>
      <x:c r="M243" s="22" t="n">
        <x:f>MAX(0,MIN(50,'02_人物原始合计'!AD243,20+MIN(30,'02_人物原始合计'!AE243)))</x:f>
        <x:v>32</x:v>
      </x:c>
      <x:c r="N243" s="22" t="n">
        <x:f>IF(M243=0,1.75,IF(M243=10,2.2,IF(M243=20,2.9,IF(M243=30,4.3,IF(M243=40,8.5,IF(M243=50,14.3,IF(M243&lt;=40,1000/('01_参数'!$B$21-'01_参数'!$B$22*M243),1000/(1000/8.5+(M243-40)/10*(1000/14.3-1000/8.5)))))))))</x:f>
        <x:v>4.792592553612839</x:v>
      </x:c>
      <x:c r="O243" s="22" t="n">
        <x:v>836</x:v>
      </x:c>
      <x:c r="P243" s="26" t="n">
        <x:f>MAX(0,MIN('01_参数'!$B$20,'02_人物原始合计'!AM243/100,'01_参数'!$B$19+'02_人物原始合计'!AN243/100))</x:f>
        <x:v>0.63</x:v>
      </x:c>
      <x:c r="Q243" s="28" t="n">
        <x:f>((('02_人物原始合计'!E243+('02_人物原始合计'!F243-'02_人物原始合计'!E243)*IF(J243&gt;=12,1,0.5+0.5*MAX(0,J243)/12))*(1+'02_人物原始合计'!Q243/100))*(1+'02_人物原始合计'!U243/100+IF(J243&gt;=15,0.15,0))*(1+'02_人物原始合计'!V243/100)*(1+'02_人物原始合计'!T243)*(1+'02_人物原始合计'!W243*'01_参数'!$B$18)*(1+MAX(0,MIN(1,'02_人物原始合计'!X243/100))*('01_参数'!$B$16+'02_人物原始合计'!Y243/100-1))*(1+MAX(0,MIN(1,'02_人物原始合计'!Z243/100))*('01_参数'!$B$17+'02_人物原始合计'!AA243/100-1))+'02_人物原始合计'!AB243)*N243*'01_参数'!$B$7*'01_参数'!$B$8</x:f>
        <x:v>536912317.2699908</x:v>
      </x:c>
      <x:c r="R243" s="28" t="n">
        <x:f>Q243*'01_参数'!$B$5</x:f>
        <x:v>1073824634.5399816</x:v>
      </x:c>
      <x:c r="S243" s="28" t="n">
        <x:f>(('02_人物原始合计'!E243+('02_人物原始合计'!F243-'02_人物原始合计'!E243)*IF(J243&gt;=12,1,0.5+0.5*MAX(0,J243)/12))*(1+'02_人物原始合计'!Q243/100))*(1+'02_人物原始合计'!U243/100+IF(J243&gt;=15,0.15,0))*(1+'02_人物原始合计'!V243/100)*(1+'02_人物原始合计'!T243)*(1+'02_人物原始合计'!W243*'01_参数'!$B$18)*(1+MAX(0,MIN(1,'02_人物原始合计'!X243/100))*('01_参数'!$B$16+'02_人物原始合计'!Y243/100-1))*(1+MAX(0,MIN(1,'02_人物原始合计'!Z243/100))*('01_参数'!$B$17+'02_人物原始合计'!AA243/100-1))*N243*'01_参数'!$B$7*'01_参数'!$B$8*MAX(0,'02_人物原始合计'!AO243/100)</x:f>
        <x:v>42952985.38159926</x:v>
      </x:c>
      <x:c r="T243" s="28" t="n">
        <x:f>S243*'01_参数'!$B$6</x:f>
        <x:v>55838880.99607904</x:v>
      </x:c>
      <x:c r="U243" s="28" t="n">
        <x:v>0</x:v>
      </x:c>
      <x:c r="V243" s="28" t="n">
        <x:f>T243+U243</x:f>
        <x:v>55838880.99607904</x:v>
      </x:c>
      <x:c r="W243" s="22" t="n">
        <x:v>26</x:v>
      </x:c>
      <x:c r="X243" s="22" t="n">
        <x:v>260</x:v>
      </x:c>
      <x:c r="Y243" s="22" t="str">
        <x:v>主线</x:v>
      </x:c>
    </x:row>
    <x:row r="244" ht="24" customHeight="1">
      <x:c r="A244" s="22" t="str">
        <x:v>P0240</x:v>
      </x:c>
      <x:c r="B244" s="22" t="n">
        <x:v>8</x:v>
      </x:c>
      <x:c r="C244" s="22" t="n">
        <x:v>1</x:v>
      </x:c>
      <x:c r="D244" s="22" t="str">
        <x:v>山巅霜祀·伊芙迦挑战前</x:v>
      </x:c>
      <x:c r="E244" s="26" t="n">
        <x:v>0.1154953327806528</x:v>
      </x:c>
      <x:c r="F244" s="22" t="n">
        <x:v>7</x:v>
      </x:c>
      <x:c r="G244" s="22" t="n">
        <x:v>198</x:v>
      </x:c>
      <x:c r="H244" s="22" t="n">
        <x:v>10</x:v>
      </x:c>
      <x:c r="I244" s="22" t="n">
        <x:v>7</x:v>
      </x:c>
      <x:c r="J244" s="22" t="n">
        <x:f>'02_人物原始合计'!AG244+'02_人物原始合计'!AH244</x:f>
        <x:v>15</x:v>
      </x:c>
      <x:c r="K244" s="28" t="n">
        <x:f>'02_人物原始合计'!F244*(1+'02_人物原始合计'!Q244/100)</x:f>
        <x:v>798252.84</x:v>
      </x:c>
      <x:c r="L244" s="28" t="n">
        <x:f>'02_人物原始合计'!K244*(1+'02_人物原始合计'!AV244/100)</x:f>
        <x:v>9166125</x:v>
      </x:c>
      <x:c r="M244" s="22" t="n">
        <x:f>MAX(0,MIN(50,'02_人物原始合计'!AD244,20+MIN(30,'02_人物原始合计'!AE244)))</x:f>
        <x:v>32</x:v>
      </x:c>
      <x:c r="N244" s="22" t="n">
        <x:f>IF(M244=0,1.75,IF(M244=10,2.2,IF(M244=20,2.9,IF(M244=30,4.3,IF(M244=40,8.5,IF(M244=50,14.3,IF(M244&lt;=40,1000/('01_参数'!$B$21-'01_参数'!$B$22*M244),1000/(1000/8.5+(M244-40)/10*(1000/14.3-1000/8.5)))))))))</x:f>
        <x:v>4.792592553612839</x:v>
      </x:c>
      <x:c r="O244" s="22" t="n">
        <x:v>836</x:v>
      </x:c>
      <x:c r="P244" s="26" t="n">
        <x:f>MAX(0,MIN('01_参数'!$B$20,'02_人物原始合计'!AM244/100,'01_参数'!$B$19+'02_人物原始合计'!AN244/100))</x:f>
        <x:v>0.63</x:v>
      </x:c>
      <x:c r="Q244" s="28" t="n">
        <x:f>((('02_人物原始合计'!E244+('02_人物原始合计'!F244-'02_人物原始合计'!E244)*IF(J244&gt;=12,1,0.5+0.5*MAX(0,J244)/12))*(1+'02_人物原始合计'!Q244/100))*(1+'02_人物原始合计'!U244/100+IF(J244&gt;=15,0.15,0))*(1+'02_人物原始合计'!V244/100)*(1+'02_人物原始合计'!T244)*(1+'02_人物原始合计'!W244*'01_参数'!$B$18)*(1+MAX(0,MIN(1,'02_人物原始合计'!X244/100))*('01_参数'!$B$16+'02_人物原始合计'!Y244/100-1))*(1+MAX(0,MIN(1,'02_人物原始合计'!Z244/100))*('01_参数'!$B$17+'02_人物原始合计'!AA244/100-1))+'02_人物原始合计'!AB244)*N244*'01_参数'!$B$7*'01_参数'!$B$8</x:f>
        <x:v>536912317.2699908</x:v>
      </x:c>
      <x:c r="R244" s="28" t="n">
        <x:f>Q244*'01_参数'!$B$5</x:f>
        <x:v>1073824634.5399816</x:v>
      </x:c>
      <x:c r="S244" s="28" t="n">
        <x:f>(('02_人物原始合计'!E244+('02_人物原始合计'!F244-'02_人物原始合计'!E244)*IF(J244&gt;=12,1,0.5+0.5*MAX(0,J244)/12))*(1+'02_人物原始合计'!Q244/100))*(1+'02_人物原始合计'!U244/100+IF(J244&gt;=15,0.15,0))*(1+'02_人物原始合计'!V244/100)*(1+'02_人物原始合计'!T244)*(1+'02_人物原始合计'!W244*'01_参数'!$B$18)*(1+MAX(0,MIN(1,'02_人物原始合计'!X244/100))*('01_参数'!$B$16+'02_人物原始合计'!Y244/100-1))*(1+MAX(0,MIN(1,'02_人物原始合计'!Z244/100))*('01_参数'!$B$17+'02_人物原始合计'!AA244/100-1))*N244*'01_参数'!$B$7*'01_参数'!$B$8*MAX(0,'02_人物原始合计'!AO244/100)</x:f>
        <x:v>42952985.38159926</x:v>
      </x:c>
      <x:c r="T244" s="28" t="n">
        <x:f>S244*'01_参数'!$B$6</x:f>
        <x:v>55838880.99607904</x:v>
      </x:c>
      <x:c r="U244" s="28" t="n">
        <x:v>0</x:v>
      </x:c>
      <x:c r="V244" s="28" t="n">
        <x:f>T244+U244</x:f>
        <x:v>55838880.99607904</x:v>
      </x:c>
      <x:c r="W244" s="22" t="n">
        <x:v>26</x:v>
      </x:c>
      <x:c r="X244" s="22" t="n">
        <x:v>260</x:v>
      </x:c>
      <x:c r="Y244" s="22" t="str">
        <x:v>主线</x:v>
      </x:c>
    </x:row>
    <x:row r="245" ht="24" customHeight="1">
      <x:c r="A245" s="22" t="str">
        <x:v>P0241</x:v>
      </x:c>
      <x:c r="B245" s="22" t="n">
        <x:v>8</x:v>
      </x:c>
      <x:c r="C245" s="22" t="n">
        <x:v>1</x:v>
      </x:c>
      <x:c r="D245" s="22" t="str">
        <x:v>寒霜山径BOSS装备快线</x:v>
      </x:c>
      <x:c r="E245" s="26" t="n">
        <x:v>0.12419098495456585</x:v>
      </x:c>
      <x:c r="F245" s="22" t="n">
        <x:v>7</x:v>
      </x:c>
      <x:c r="G245" s="22" t="n">
        <x:v>198</x:v>
      </x:c>
      <x:c r="H245" s="22" t="n">
        <x:v>10</x:v>
      </x:c>
      <x:c r="I245" s="22" t="n">
        <x:v>7</x:v>
      </x:c>
      <x:c r="J245" s="22" t="n">
        <x:f>'02_人物原始合计'!AG245+'02_人物原始合计'!AH245</x:f>
        <x:v>15</x:v>
      </x:c>
      <x:c r="K245" s="28" t="n">
        <x:f>'02_人物原始合计'!F245*(1+'02_人物原始合计'!Q245/100)</x:f>
        <x:v>812989.2000000001</x:v>
      </x:c>
      <x:c r="L245" s="28" t="n">
        <x:f>'02_人物原始合计'!K245*(1+'02_人物原始合计'!AV245/100)</x:f>
        <x:v>9308500</x:v>
      </x:c>
      <x:c r="M245" s="22" t="n">
        <x:f>MAX(0,MIN(50,'02_人物原始合计'!AD245,20+MIN(30,'02_人物原始合计'!AE245)))</x:f>
        <x:v>32</x:v>
      </x:c>
      <x:c r="N245" s="22" t="n">
        <x:f>IF(M245=0,1.75,IF(M245=10,2.2,IF(M245=20,2.9,IF(M245=30,4.3,IF(M245=40,8.5,IF(M245=50,14.3,IF(M245&lt;=40,1000/('01_参数'!$B$21-'01_参数'!$B$22*M245),1000/(1000/8.5+(M245-40)/10*(1000/14.3-1000/8.5)))))))))</x:f>
        <x:v>4.792592553612839</x:v>
      </x:c>
      <x:c r="O245" s="22" t="n">
        <x:v>836</x:v>
      </x:c>
      <x:c r="P245" s="26" t="n">
        <x:f>MAX(0,MIN('01_参数'!$B$20,'02_人物原始合计'!AM245/100,'01_参数'!$B$19+'02_人物原始合计'!AN245/100))</x:f>
        <x:v>0.64</x:v>
      </x:c>
      <x:c r="Q245" s="28" t="n">
        <x:f>((('02_人物原始合计'!E245+('02_人物原始合计'!F245-'02_人物原始合计'!E245)*IF(J245&gt;=12,1,0.5+0.5*MAX(0,J245)/12))*(1+'02_人物原始合计'!Q245/100))*(1+'02_人物原始合计'!U245/100+IF(J245&gt;=15,0.15,0))*(1+'02_人物原始合计'!V245/100)*(1+'02_人物原始合计'!T245)*(1+'02_人物原始合计'!W245*'01_参数'!$B$18)*(1+MAX(0,MIN(1,'02_人物原始合计'!X245/100))*('01_参数'!$B$16+'02_人物原始合计'!Y245/100-1))*(1+MAX(0,MIN(1,'02_人物原始合计'!Z245/100))*('01_参数'!$B$17+'02_人物原始合计'!AA245/100-1))+'02_人物原始合计'!AB245)*N245*'01_参数'!$B$7*'01_参数'!$B$8</x:f>
        <x:v>546824130.6695207</x:v>
      </x:c>
      <x:c r="R245" s="28" t="n">
        <x:f>Q245*'01_参数'!$B$5</x:f>
        <x:v>1093648261.3390415</x:v>
      </x:c>
      <x:c r="S245" s="28" t="n">
        <x:f>(('02_人物原始合计'!E245+('02_人物原始合计'!F245-'02_人物原始合计'!E245)*IF(J245&gt;=12,1,0.5+0.5*MAX(0,J245)/12))*(1+'02_人物原始合计'!Q245/100))*(1+'02_人物原始合计'!U245/100+IF(J245&gt;=15,0.15,0))*(1+'02_人物原始合计'!V245/100)*(1+'02_人物原始合计'!T245)*(1+'02_人物原始合计'!W245*'01_参数'!$B$18)*(1+MAX(0,MIN(1,'02_人物原始合计'!X245/100))*('01_参数'!$B$16+'02_人物原始合计'!Y245/100-1))*(1+MAX(0,MIN(1,'02_人物原始合计'!Z245/100))*('01_参数'!$B$17+'02_人物原始合计'!AA245/100-1))*N245*'01_参数'!$B$7*'01_参数'!$B$8*MAX(0,'02_人物原始合计'!AO245/100)</x:f>
        <x:v>43745930.453561656</x:v>
      </x:c>
      <x:c r="T245" s="28" t="n">
        <x:f>S245*'01_参数'!$B$6</x:f>
        <x:v>56869709.58963016</x:v>
      </x:c>
      <x:c r="U245" s="28" t="n">
        <x:v>0</x:v>
      </x:c>
      <x:c r="V245" s="28" t="n">
        <x:f>T245+U245</x:f>
        <x:v>56869709.58963016</x:v>
      </x:c>
      <x:c r="W245" s="22" t="n">
        <x:v>26</x:v>
      </x:c>
      <x:c r="X245" s="22" t="n">
        <x:v>260</x:v>
      </x:c>
      <x:c r="Y245" s="22" t="str">
        <x:v>C08G01BOSS强装对照</x:v>
      </x:c>
    </x:row>
    <x:row r="246" ht="24" customHeight="1">
      <x:c r="A246" s="22" t="str">
        <x:v>P0242</x:v>
      </x:c>
      <x:c r="B246" s="22" t="n">
        <x:v>8</x:v>
      </x:c>
      <x:c r="C246" s="22" t="n">
        <x:v>1</x:v>
      </x:c>
      <x:c r="D246" s="22" t="str">
        <x:v>寒霜山径阶段积累后</x:v>
      </x:c>
      <x:c r="E246" s="26" t="n">
        <x:v>0.15544098495456585</x:v>
      </x:c>
      <x:c r="F246" s="22" t="n">
        <x:v>7</x:v>
      </x:c>
      <x:c r="G246" s="22" t="n">
        <x:v>198</x:v>
      </x:c>
      <x:c r="H246" s="22" t="n">
        <x:v>15</x:v>
      </x:c>
      <x:c r="I246" s="22" t="n">
        <x:v>7</x:v>
      </x:c>
      <x:c r="J246" s="22" t="n">
        <x:f>'02_人物原始合计'!AG246+'02_人物原始合计'!AH246</x:f>
        <x:v>15</x:v>
      </x:c>
      <x:c r="K246" s="28" t="n">
        <x:f>'02_人物原始合计'!F246*(1+'02_人物原始合计'!Q246/100)</x:f>
        <x:v>813468.44</x:v>
      </x:c>
      <x:c r="L246" s="28" t="n">
        <x:f>'02_人物原始合计'!K246*(1+'02_人物原始合计'!AV246/100)</x:f>
        <x:v>9242375</x:v>
      </x:c>
      <x:c r="M246" s="22" t="n">
        <x:f>MAX(0,MIN(50,'02_人物原始合计'!AD246,20+MIN(30,'02_人物原始合计'!AE246)))</x:f>
        <x:v>32</x:v>
      </x:c>
      <x:c r="N246" s="22" t="n">
        <x:f>IF(M246=0,1.75,IF(M246=10,2.2,IF(M246=20,2.9,IF(M246=30,4.3,IF(M246=40,8.5,IF(M246=50,14.3,IF(M246&lt;=40,1000/('01_参数'!$B$21-'01_参数'!$B$22*M246),1000/(1000/8.5+(M246-40)/10*(1000/14.3-1000/8.5)))))))))</x:f>
        <x:v>4.792592553612839</x:v>
      </x:c>
      <x:c r="O246" s="22" t="n">
        <x:v>836</x:v>
      </x:c>
      <x:c r="P246" s="26" t="n">
        <x:f>MAX(0,MIN('01_参数'!$B$20,'02_人物原始合计'!AM246/100,'01_参数'!$B$19+'02_人物原始合计'!AN246/100))</x:f>
        <x:v>0.63</x:v>
      </x:c>
      <x:c r="Q246" s="28" t="n">
        <x:f>((('02_人物原始合计'!E246+('02_人物原始合计'!F246-'02_人物原始合计'!E246)*IF(J246&gt;=12,1,0.5+0.5*MAX(0,J246)/12))*(1+'02_人物原始合计'!Q246/100))*(1+'02_人物原始合计'!U246/100+IF(J246&gt;=15,0.15,0))*(1+'02_人物原始合计'!V246/100)*(1+'02_人物原始合计'!T246)*(1+'02_人物原始合计'!W246*'01_参数'!$B$18)*(1+MAX(0,MIN(1,'02_人物原始合计'!X246/100))*('01_参数'!$B$16+'02_人物原始合计'!Y246/100-1))*(1+MAX(0,MIN(1,'02_人物原始合计'!Z246/100))*('01_参数'!$B$17+'02_人物原始合计'!AA246/100-1))+'02_人物原始合计'!AB246)*N246*'01_参数'!$B$7*'01_参数'!$B$8</x:f>
        <x:v>654425504.6789688</x:v>
      </x:c>
      <x:c r="R246" s="28" t="n">
        <x:f>Q246*'01_参数'!$B$5</x:f>
        <x:v>1308851009.3579376</x:v>
      </x:c>
      <x:c r="S246" s="28" t="n">
        <x:f>(('02_人物原始合计'!E246+('02_人物原始合计'!F246-'02_人物原始合计'!E246)*IF(J246&gt;=12,1,0.5+0.5*MAX(0,J246)/12))*(1+'02_人物原始合计'!Q246/100))*(1+'02_人物原始合计'!U246/100+IF(J246&gt;=15,0.15,0))*(1+'02_人物原始合计'!V246/100)*(1+'02_人物原始合计'!T246)*(1+'02_人物原始合计'!W246*'01_参数'!$B$18)*(1+MAX(0,MIN(1,'02_人物原始合计'!X246/100))*('01_参数'!$B$16+'02_人物原始合计'!Y246/100-1))*(1+MAX(0,MIN(1,'02_人物原始合计'!Z246/100))*('01_参数'!$B$17+'02_人物原始合计'!AA246/100-1))*N246*'01_参数'!$B$7*'01_参数'!$B$8*MAX(0,'02_人物原始合计'!AO246/100)</x:f>
        <x:v>52354040.374317504</x:v>
      </x:c>
      <x:c r="T246" s="28" t="n">
        <x:f>S246*'01_参数'!$B$6</x:f>
        <x:v>68060252.48661275</x:v>
      </x:c>
      <x:c r="U246" s="28" t="n">
        <x:v>0</x:v>
      </x:c>
      <x:c r="V246" s="28" t="n">
        <x:f>T246+U246</x:f>
        <x:v>68060252.48661275</x:v>
      </x:c>
      <x:c r="W246" s="22" t="n">
        <x:v>27</x:v>
      </x:c>
      <x:c r="X246" s="22" t="n">
        <x:v>261</x:v>
      </x:c>
      <x:c r="Y246" s="22" t="str">
        <x:v>主线</x:v>
      </x:c>
    </x:row>
    <x:row r="247" ht="24" customHeight="1">
      <x:c r="A247" s="22" t="str">
        <x:v>P0243</x:v>
      </x:c>
      <x:c r="B247" s="22" t="n">
        <x:v>8</x:v>
      </x:c>
      <x:c r="C247" s="22" t="n">
        <x:v>2</x:v>
      </x:c>
      <x:c r="D247" s="22" t="str">
        <x:v>C08G02入场</x:v>
      </x:c>
      <x:c r="E247" s="26" t="n">
        <x:v>0.15544098495456585</x:v>
      </x:c>
      <x:c r="F247" s="22" t="n">
        <x:v>7</x:v>
      </x:c>
      <x:c r="G247" s="22" t="n">
        <x:v>198</x:v>
      </x:c>
      <x:c r="H247" s="22" t="n">
        <x:v>15</x:v>
      </x:c>
      <x:c r="I247" s="22" t="n">
        <x:v>7</x:v>
      </x:c>
      <x:c r="J247" s="22" t="n">
        <x:f>'02_人物原始合计'!AG247+'02_人物原始合计'!AH247</x:f>
        <x:v>15</x:v>
      </x:c>
      <x:c r="K247" s="28" t="n">
        <x:f>'02_人物原始合计'!F247*(1+'02_人物原始合计'!Q247/100)</x:f>
        <x:v>813468.44</x:v>
      </x:c>
      <x:c r="L247" s="28" t="n">
        <x:f>'02_人物原始合计'!K247*(1+'02_人物原始合计'!AV247/100)</x:f>
        <x:v>9242375</x:v>
      </x:c>
      <x:c r="M247" s="22" t="n">
        <x:f>MAX(0,MIN(50,'02_人物原始合计'!AD247,20+MIN(30,'02_人物原始合计'!AE247)))</x:f>
        <x:v>32</x:v>
      </x:c>
      <x:c r="N247" s="22" t="n">
        <x:f>IF(M247=0,1.75,IF(M247=10,2.2,IF(M247=20,2.9,IF(M247=30,4.3,IF(M247=40,8.5,IF(M247=50,14.3,IF(M247&lt;=40,1000/('01_参数'!$B$21-'01_参数'!$B$22*M247),1000/(1000/8.5+(M247-40)/10*(1000/14.3-1000/8.5)))))))))</x:f>
        <x:v>4.792592553612839</x:v>
      </x:c>
      <x:c r="O247" s="22" t="n">
        <x:v>836</x:v>
      </x:c>
      <x:c r="P247" s="26" t="n">
        <x:f>MAX(0,MIN('01_参数'!$B$20,'02_人物原始合计'!AM247/100,'01_参数'!$B$19+'02_人物原始合计'!AN247/100))</x:f>
        <x:v>0.63</x:v>
      </x:c>
      <x:c r="Q247" s="28" t="n">
        <x:f>((('02_人物原始合计'!E247+('02_人物原始合计'!F247-'02_人物原始合计'!E247)*IF(J247&gt;=12,1,0.5+0.5*MAX(0,J247)/12))*(1+'02_人物原始合计'!Q247/100))*(1+'02_人物原始合计'!U247/100+IF(J247&gt;=15,0.15,0))*(1+'02_人物原始合计'!V247/100)*(1+'02_人物原始合计'!T247)*(1+'02_人物原始合计'!W247*'01_参数'!$B$18)*(1+MAX(0,MIN(1,'02_人物原始合计'!X247/100))*('01_参数'!$B$16+'02_人物原始合计'!Y247/100-1))*(1+MAX(0,MIN(1,'02_人物原始合计'!Z247/100))*('01_参数'!$B$17+'02_人物原始合计'!AA247/100-1))+'02_人物原始合计'!AB247)*N247*'01_参数'!$B$7*'01_参数'!$B$8</x:f>
        <x:v>654425504.6789688</x:v>
      </x:c>
      <x:c r="R247" s="28" t="n">
        <x:f>Q247*'01_参数'!$B$5</x:f>
        <x:v>1308851009.3579376</x:v>
      </x:c>
      <x:c r="S247" s="28" t="n">
        <x:f>(('02_人物原始合计'!E247+('02_人物原始合计'!F247-'02_人物原始合计'!E247)*IF(J247&gt;=12,1,0.5+0.5*MAX(0,J247)/12))*(1+'02_人物原始合计'!Q247/100))*(1+'02_人物原始合计'!U247/100+IF(J247&gt;=15,0.15,0))*(1+'02_人物原始合计'!V247/100)*(1+'02_人物原始合计'!T247)*(1+'02_人物原始合计'!W247*'01_参数'!$B$18)*(1+MAX(0,MIN(1,'02_人物原始合计'!X247/100))*('01_参数'!$B$16+'02_人物原始合计'!Y247/100-1))*(1+MAX(0,MIN(1,'02_人物原始合计'!Z247/100))*('01_参数'!$B$17+'02_人物原始合计'!AA247/100-1))*N247*'01_参数'!$B$7*'01_参数'!$B$8*MAX(0,'02_人物原始合计'!AO247/100)</x:f>
        <x:v>52354040.374317504</x:v>
      </x:c>
      <x:c r="T247" s="28" t="n">
        <x:f>S247*'01_参数'!$B$6</x:f>
        <x:v>68060252.48661275</x:v>
      </x:c>
      <x:c r="U247" s="28" t="n">
        <x:v>0</x:v>
      </x:c>
      <x:c r="V247" s="28" t="n">
        <x:f>T247+U247</x:f>
        <x:v>68060252.48661275</x:v>
      </x:c>
      <x:c r="W247" s="22" t="n">
        <x:v>27</x:v>
      </x:c>
      <x:c r="X247" s="22" t="n">
        <x:v>261</x:v>
      </x:c>
      <x:c r="Y247" s="22" t="str">
        <x:v>主线</x:v>
      </x:c>
    </x:row>
    <x:row r="248" ht="24" customHeight="1">
      <x:c r="A248" s="22" t="str">
        <x:v>P0244</x:v>
      </x:c>
      <x:c r="B248" s="22" t="n">
        <x:v>8</x:v>
      </x:c>
      <x:c r="C248" s="22" t="n">
        <x:v>2</x:v>
      </x:c>
      <x:c r="D248" s="22" t="str">
        <x:v>C08G02普通专属4/6</x:v>
      </x:c>
      <x:c r="E248" s="26" t="n">
        <x:v>0.15544098495456585</x:v>
      </x:c>
      <x:c r="F248" s="22" t="n">
        <x:v>7</x:v>
      </x:c>
      <x:c r="G248" s="22" t="n">
        <x:v>198</x:v>
      </x:c>
      <x:c r="H248" s="22" t="n">
        <x:v>15</x:v>
      </x:c>
      <x:c r="I248" s="22" t="n">
        <x:v>7</x:v>
      </x:c>
      <x:c r="J248" s="22" t="n">
        <x:f>'02_人物原始合计'!AG248+'02_人物原始合计'!AH248</x:f>
        <x:v>15</x:v>
      </x:c>
      <x:c r="K248" s="28" t="n">
        <x:f>'02_人物原始合计'!F248*(1+'02_人物原始合计'!Q248/100)</x:f>
        <x:v>813468.44</x:v>
      </x:c>
      <x:c r="L248" s="28" t="n">
        <x:f>'02_人物原始合计'!K248*(1+'02_人物原始合计'!AV248/100)</x:f>
        <x:v>9242375</x:v>
      </x:c>
      <x:c r="M248" s="22" t="n">
        <x:f>MAX(0,MIN(50,'02_人物原始合计'!AD248,20+MIN(30,'02_人物原始合计'!AE248)))</x:f>
        <x:v>32</x:v>
      </x:c>
      <x:c r="N248" s="22" t="n">
        <x:f>IF(M248=0,1.75,IF(M248=10,2.2,IF(M248=20,2.9,IF(M248=30,4.3,IF(M248=40,8.5,IF(M248=50,14.3,IF(M248&lt;=40,1000/('01_参数'!$B$21-'01_参数'!$B$22*M248),1000/(1000/8.5+(M248-40)/10*(1000/14.3-1000/8.5)))))))))</x:f>
        <x:v>4.792592553612839</x:v>
      </x:c>
      <x:c r="O248" s="22" t="n">
        <x:v>836</x:v>
      </x:c>
      <x:c r="P248" s="26" t="n">
        <x:f>MAX(0,MIN('01_参数'!$B$20,'02_人物原始合计'!AM248/100,'01_参数'!$B$19+'02_人物原始合计'!AN248/100))</x:f>
        <x:v>0.63</x:v>
      </x:c>
      <x:c r="Q248" s="28" t="n">
        <x:f>((('02_人物原始合计'!E248+('02_人物原始合计'!F248-'02_人物原始合计'!E248)*IF(J248&gt;=12,1,0.5+0.5*MAX(0,J248)/12))*(1+'02_人物原始合计'!Q248/100))*(1+'02_人物原始合计'!U248/100+IF(J248&gt;=15,0.15,0))*(1+'02_人物原始合计'!V248/100)*(1+'02_人物原始合计'!T248)*(1+'02_人物原始合计'!W248*'01_参数'!$B$18)*(1+MAX(0,MIN(1,'02_人物原始合计'!X248/100))*('01_参数'!$B$16+'02_人物原始合计'!Y248/100-1))*(1+MAX(0,MIN(1,'02_人物原始合计'!Z248/100))*('01_参数'!$B$17+'02_人物原始合计'!AA248/100-1))+'02_人物原始合计'!AB248)*N248*'01_参数'!$B$7*'01_参数'!$B$8</x:f>
        <x:v>654425504.6789688</x:v>
      </x:c>
      <x:c r="R248" s="28" t="n">
        <x:f>Q248*'01_参数'!$B$5</x:f>
        <x:v>1308851009.3579376</x:v>
      </x:c>
      <x:c r="S248" s="28" t="n">
        <x:f>(('02_人物原始合计'!E248+('02_人物原始合计'!F248-'02_人物原始合计'!E248)*IF(J248&gt;=12,1,0.5+0.5*MAX(0,J248)/12))*(1+'02_人物原始合计'!Q248/100))*(1+'02_人物原始合计'!U248/100+IF(J248&gt;=15,0.15,0))*(1+'02_人物原始合计'!V248/100)*(1+'02_人物原始合计'!T248)*(1+'02_人物原始合计'!W248*'01_参数'!$B$18)*(1+MAX(0,MIN(1,'02_人物原始合计'!X248/100))*('01_参数'!$B$16+'02_人物原始合计'!Y248/100-1))*(1+MAX(0,MIN(1,'02_人物原始合计'!Z248/100))*('01_参数'!$B$17+'02_人物原始合计'!AA248/100-1))*N248*'01_参数'!$B$7*'01_参数'!$B$8*MAX(0,'02_人物原始合计'!AO248/100)</x:f>
        <x:v>52354040.374317504</x:v>
      </x:c>
      <x:c r="T248" s="28" t="n">
        <x:f>S248*'01_参数'!$B$6</x:f>
        <x:v>68060252.48661275</x:v>
      </x:c>
      <x:c r="U248" s="28" t="n">
        <x:v>0</x:v>
      </x:c>
      <x:c r="V248" s="28" t="n">
        <x:f>T248+U248</x:f>
        <x:v>68060252.48661275</x:v>
      </x:c>
      <x:c r="W248" s="22" t="n">
        <x:v>27</x:v>
      </x:c>
      <x:c r="X248" s="22" t="n">
        <x:v>261</x:v>
      </x:c>
      <x:c r="Y248" s="22" t="str">
        <x:v>主线</x:v>
      </x:c>
    </x:row>
    <x:row r="249" ht="24" customHeight="1">
      <x:c r="A249" s="22" t="str">
        <x:v>P0245</x:v>
      </x:c>
      <x:c r="B249" s="22" t="n">
        <x:v>8</x:v>
      </x:c>
      <x:c r="C249" s="22" t="n">
        <x:v>2</x:v>
      </x:c>
      <x:c r="D249" s="22" t="str">
        <x:v>裂谷锻峰侯·德鲁伽挑战前</x:v>
      </x:c>
      <x:c r="E249" s="26" t="n">
        <x:v>0.15544098495456585</x:v>
      </x:c>
      <x:c r="F249" s="22" t="n">
        <x:v>7</x:v>
      </x:c>
      <x:c r="G249" s="22" t="n">
        <x:v>204</x:v>
      </x:c>
      <x:c r="H249" s="22" t="n">
        <x:v>15</x:v>
      </x:c>
      <x:c r="I249" s="22" t="n">
        <x:v>7</x:v>
      </x:c>
      <x:c r="J249" s="22" t="n">
        <x:f>'02_人物原始合计'!AG249+'02_人物原始合计'!AH249</x:f>
        <x:v>15</x:v>
      </x:c>
      <x:c r="K249" s="28" t="n">
        <x:f>'02_人物原始合计'!F249*(1+'02_人物原始合计'!Q249/100)</x:f>
        <x:v>830488.72</x:v>
      </x:c>
      <x:c r="L249" s="28" t="n">
        <x:f>'02_人物原始合计'!K249*(1+'02_人物原始合计'!AV249/100)</x:f>
        <x:v>9394000</x:v>
      </x:c>
      <x:c r="M249" s="22" t="n">
        <x:f>MAX(0,MIN(50,'02_人物原始合计'!AD249,20+MIN(30,'02_人物原始合计'!AE249)))</x:f>
        <x:v>32</x:v>
      </x:c>
      <x:c r="N249" s="22" t="n">
        <x:f>IF(M249=0,1.75,IF(M249=10,2.2,IF(M249=20,2.9,IF(M249=30,4.3,IF(M249=40,8.5,IF(M249=50,14.3,IF(M249&lt;=40,1000/('01_参数'!$B$21-'01_参数'!$B$22*M249),1000/(1000/8.5+(M249-40)/10*(1000/14.3-1000/8.5)))))))))</x:f>
        <x:v>4.792592553612839</x:v>
      </x:c>
      <x:c r="O249" s="22" t="n">
        <x:v>836</x:v>
      </x:c>
      <x:c r="P249" s="26" t="n">
        <x:f>MAX(0,MIN('01_参数'!$B$20,'02_人物原始合计'!AM249/100,'01_参数'!$B$19+'02_人物原始合计'!AN249/100))</x:f>
        <x:v>0.63</x:v>
      </x:c>
      <x:c r="Q249" s="28" t="n">
        <x:f>((('02_人物原始合计'!E249+('02_人物原始合计'!F249-'02_人物原始合计'!E249)*IF(J249&gt;=12,1,0.5+0.5*MAX(0,J249)/12))*(1+'02_人物原始合计'!Q249/100))*(1+'02_人物原始合计'!U249/100+IF(J249&gt;=15,0.15,0))*(1+'02_人物原始合计'!V249/100)*(1+'02_人物原始合计'!T249)*(1+'02_人物原始合计'!W249*'01_参数'!$B$18)*(1+MAX(0,MIN(1,'02_人物原始合计'!X249/100))*('01_参数'!$B$16+'02_人物原始合计'!Y249/100-1))*(1+MAX(0,MIN(1,'02_人物原始合计'!Z249/100))*('01_参数'!$B$17+'02_人物原始合计'!AA249/100-1))+'02_人物原始合计'!AB249)*N249*'01_参数'!$B$7*'01_参数'!$B$8</x:f>
        <x:v>668118113.7355384</x:v>
      </x:c>
      <x:c r="R249" s="28" t="n">
        <x:f>Q249*'01_参数'!$B$5</x:f>
        <x:v>1336236227.4710767</x:v>
      </x:c>
      <x:c r="S249" s="28" t="n">
        <x:f>(('02_人物原始合计'!E249+('02_人物原始合计'!F249-'02_人物原始合计'!E249)*IF(J249&gt;=12,1,0.5+0.5*MAX(0,J249)/12))*(1+'02_人物原始合计'!Q249/100))*(1+'02_人物原始合计'!U249/100+IF(J249&gt;=15,0.15,0))*(1+'02_人物原始合计'!V249/100)*(1+'02_人物原始合计'!T249)*(1+'02_人物原始合计'!W249*'01_参数'!$B$18)*(1+MAX(0,MIN(1,'02_人物原始合计'!X249/100))*('01_参数'!$B$16+'02_人物原始合计'!Y249/100-1))*(1+MAX(0,MIN(1,'02_人物原始合计'!Z249/100))*('01_参数'!$B$17+'02_人物原始合计'!AA249/100-1))*N249*'01_参数'!$B$7*'01_参数'!$B$8*MAX(0,'02_人物原始合计'!AO249/100)</x:f>
        <x:v>53449449.09884307</x:v>
      </x:c>
      <x:c r="T249" s="28" t="n">
        <x:f>S249*'01_参数'!$B$6</x:f>
        <x:v>69484283.828496</x:v>
      </x:c>
      <x:c r="U249" s="28" t="n">
        <x:v>0</x:v>
      </x:c>
      <x:c r="V249" s="28" t="n">
        <x:f>T249+U249</x:f>
        <x:v>69484283.828496</x:v>
      </x:c>
      <x:c r="W249" s="22" t="n">
        <x:v>27</x:v>
      </x:c>
      <x:c r="X249" s="22" t="n">
        <x:v>261</x:v>
      </x:c>
      <x:c r="Y249" s="22" t="str">
        <x:v>主线</x:v>
      </x:c>
    </x:row>
    <x:row r="250" ht="24" customHeight="1">
      <x:c r="A250" s="22" t="str">
        <x:v>P0246</x:v>
      </x:c>
      <x:c r="B250" s="22" t="n">
        <x:v>8</x:v>
      </x:c>
      <x:c r="C250" s="22" t="n">
        <x:v>2</x:v>
      </x:c>
      <x:c r="D250" s="22" t="str">
        <x:v>断峰献祭者·维瑟娅挑战前</x:v>
      </x:c>
      <x:c r="E250" s="26" t="n">
        <x:v>0.15544098495456585</x:v>
      </x:c>
      <x:c r="F250" s="22" t="n">
        <x:v>7</x:v>
      </x:c>
      <x:c r="G250" s="22" t="n">
        <x:v>204</x:v>
      </x:c>
      <x:c r="H250" s="22" t="n">
        <x:v>15</x:v>
      </x:c>
      <x:c r="I250" s="22" t="n">
        <x:v>7</x:v>
      </x:c>
      <x:c r="J250" s="22" t="n">
        <x:f>'02_人物原始合计'!AG250+'02_人物原始合计'!AH250</x:f>
        <x:v>15</x:v>
      </x:c>
      <x:c r="K250" s="28" t="n">
        <x:f>'02_人物原始合计'!F250*(1+'02_人物原始合计'!Q250/100)</x:f>
        <x:v>830488.72</x:v>
      </x:c>
      <x:c r="L250" s="28" t="n">
        <x:f>'02_人物原始合计'!K250*(1+'02_人物原始合计'!AV250/100)</x:f>
        <x:v>9394000</x:v>
      </x:c>
      <x:c r="M250" s="22" t="n">
        <x:f>MAX(0,MIN(50,'02_人物原始合计'!AD250,20+MIN(30,'02_人物原始合计'!AE250)))</x:f>
        <x:v>32</x:v>
      </x:c>
      <x:c r="N250" s="22" t="n">
        <x:f>IF(M250=0,1.75,IF(M250=10,2.2,IF(M250=20,2.9,IF(M250=30,4.3,IF(M250=40,8.5,IF(M250=50,14.3,IF(M250&lt;=40,1000/('01_参数'!$B$21-'01_参数'!$B$22*M250),1000/(1000/8.5+(M250-40)/10*(1000/14.3-1000/8.5)))))))))</x:f>
        <x:v>4.792592553612839</x:v>
      </x:c>
      <x:c r="O250" s="22" t="n">
        <x:v>836</x:v>
      </x:c>
      <x:c r="P250" s="26" t="n">
        <x:f>MAX(0,MIN('01_参数'!$B$20,'02_人物原始合计'!AM250/100,'01_参数'!$B$19+'02_人物原始合计'!AN250/100))</x:f>
        <x:v>0.63</x:v>
      </x:c>
      <x:c r="Q250" s="28" t="n">
        <x:f>((('02_人物原始合计'!E250+('02_人物原始合计'!F250-'02_人物原始合计'!E250)*IF(J250&gt;=12,1,0.5+0.5*MAX(0,J250)/12))*(1+'02_人物原始合计'!Q250/100))*(1+'02_人物原始合计'!U250/100+IF(J250&gt;=15,0.15,0))*(1+'02_人物原始合计'!V250/100)*(1+'02_人物原始合计'!T250)*(1+'02_人物原始合计'!W250*'01_参数'!$B$18)*(1+MAX(0,MIN(1,'02_人物原始合计'!X250/100))*('01_参数'!$B$16+'02_人物原始合计'!Y250/100-1))*(1+MAX(0,MIN(1,'02_人物原始合计'!Z250/100))*('01_参数'!$B$17+'02_人物原始合计'!AA250/100-1))+'02_人物原始合计'!AB250)*N250*'01_参数'!$B$7*'01_参数'!$B$8</x:f>
        <x:v>668118113.7355384</x:v>
      </x:c>
      <x:c r="R250" s="28" t="n">
        <x:f>Q250*'01_参数'!$B$5</x:f>
        <x:v>1336236227.4710767</x:v>
      </x:c>
      <x:c r="S250" s="28" t="n">
        <x:f>(('02_人物原始合计'!E250+('02_人物原始合计'!F250-'02_人物原始合计'!E250)*IF(J250&gt;=12,1,0.5+0.5*MAX(0,J250)/12))*(1+'02_人物原始合计'!Q250/100))*(1+'02_人物原始合计'!U250/100+IF(J250&gt;=15,0.15,0))*(1+'02_人物原始合计'!V250/100)*(1+'02_人物原始合计'!T250)*(1+'02_人物原始合计'!W250*'01_参数'!$B$18)*(1+MAX(0,MIN(1,'02_人物原始合计'!X250/100))*('01_参数'!$B$16+'02_人物原始合计'!Y250/100-1))*(1+MAX(0,MIN(1,'02_人物原始合计'!Z250/100))*('01_参数'!$B$17+'02_人物原始合计'!AA250/100-1))*N250*'01_参数'!$B$7*'01_参数'!$B$8*MAX(0,'02_人物原始合计'!AO250/100)</x:f>
        <x:v>53449449.09884307</x:v>
      </x:c>
      <x:c r="T250" s="28" t="n">
        <x:f>S250*'01_参数'!$B$6</x:f>
        <x:v>69484283.828496</x:v>
      </x:c>
      <x:c r="U250" s="28" t="n">
        <x:v>0</x:v>
      </x:c>
      <x:c r="V250" s="28" t="n">
        <x:f>T250+U250</x:f>
        <x:v>69484283.828496</x:v>
      </x:c>
      <x:c r="W250" s="22" t="n">
        <x:v>27</x:v>
      </x:c>
      <x:c r="X250" s="22" t="n">
        <x:v>261</x:v>
      </x:c>
      <x:c r="Y250" s="22" t="str">
        <x:v>主线</x:v>
      </x:c>
    </x:row>
    <x:row r="251" ht="24" customHeight="1">
      <x:c r="A251" s="22" t="str">
        <x:v>P0247</x:v>
      </x:c>
      <x:c r="B251" s="22" t="n">
        <x:v>8</x:v>
      </x:c>
      <x:c r="C251" s="22" t="n">
        <x:v>2</x:v>
      </x:c>
      <x:c r="D251" s="22" t="str">
        <x:v>断冰峰群BOSS装备快线</x:v>
      </x:c>
      <x:c r="E251" s="26" t="n">
        <x:v>0.16413663712847892</x:v>
      </x:c>
      <x:c r="F251" s="22" t="n">
        <x:v>7</x:v>
      </x:c>
      <x:c r="G251" s="22" t="n">
        <x:v>204</x:v>
      </x:c>
      <x:c r="H251" s="22" t="n">
        <x:v>15</x:v>
      </x:c>
      <x:c r="I251" s="22" t="n">
        <x:v>7</x:v>
      </x:c>
      <x:c r="J251" s="22" t="n">
        <x:f>'02_人物原始合计'!AG251+'02_人物原始合计'!AH251</x:f>
        <x:v>15</x:v>
      </x:c>
      <x:c r="K251" s="28" t="n">
        <x:f>'02_人物原始合计'!F251*(1+'02_人物原始合计'!Q251/100)</x:f>
        <x:v>854915.6</x:v>
      </x:c>
      <x:c r="L251" s="28" t="n">
        <x:f>'02_人物原始合计'!K251*(1+'02_人物原始合计'!AV251/100)</x:f>
        <x:v>9483625</x:v>
      </x:c>
      <x:c r="M251" s="22" t="n">
        <x:f>MAX(0,MIN(50,'02_人物原始合计'!AD251,20+MIN(30,'02_人物原始合计'!AE251)))</x:f>
        <x:v>32</x:v>
      </x:c>
      <x:c r="N251" s="22" t="n">
        <x:f>IF(M251=0,1.75,IF(M251=10,2.2,IF(M251=20,2.9,IF(M251=30,4.3,IF(M251=40,8.5,IF(M251=50,14.3,IF(M251&lt;=40,1000/('01_参数'!$B$21-'01_参数'!$B$22*M251),1000/(1000/8.5+(M251-40)/10*(1000/14.3-1000/8.5)))))))))</x:f>
        <x:v>4.792592553612839</x:v>
      </x:c>
      <x:c r="O251" s="22" t="n">
        <x:v>836</x:v>
      </x:c>
      <x:c r="P251" s="26" t="n">
        <x:f>MAX(0,MIN('01_参数'!$B$20,'02_人物原始合计'!AM251/100,'01_参数'!$B$19+'02_人物原始合计'!AN251/100))</x:f>
        <x:v>0.63</x:v>
      </x:c>
      <x:c r="Q251" s="28" t="n">
        <x:f>((('02_人物原始合计'!E251+('02_人物原始合计'!F251-'02_人物原始合计'!E251)*IF(J251&gt;=12,1,0.5+0.5*MAX(0,J251)/12))*(1+'02_人物原始合计'!Q251/100))*(1+'02_人物原始合计'!U251/100+IF(J251&gt;=15,0.15,0))*(1+'02_人物原始合计'!V251/100)*(1+'02_人物原始合计'!T251)*(1+'02_人物原始合计'!W251*'01_参数'!$B$18)*(1+MAX(0,MIN(1,'02_人物原始合计'!X251/100))*('01_参数'!$B$16+'02_人物原始合计'!Y251/100-1))*(1+MAX(0,MIN(1,'02_人物原始合计'!Z251/100))*('01_参数'!$B$17+'02_人物原始合计'!AA251/100-1))+'02_人物原始合计'!AB251)*N251*'01_参数'!$B$7*'01_参数'!$B$8</x:f>
        <x:v>724713792.5222076</x:v>
      </x:c>
      <x:c r="R251" s="28" t="n">
        <x:f>Q251*'01_参数'!$B$5</x:f>
        <x:v>1449427585.0444152</x:v>
      </x:c>
      <x:c r="S251" s="28" t="n">
        <x:f>(('02_人物原始合计'!E251+('02_人物原始合计'!F251-'02_人物原始合计'!E251)*IF(J251&gt;=12,1,0.5+0.5*MAX(0,J251)/12))*(1+'02_人物原始合计'!Q251/100))*(1+'02_人物原始合计'!U251/100+IF(J251&gt;=15,0.15,0))*(1+'02_人物原始合计'!V251/100)*(1+'02_人物原始合计'!T251)*(1+'02_人物原始合计'!W251*'01_参数'!$B$18)*(1+MAX(0,MIN(1,'02_人物原始合计'!X251/100))*('01_参数'!$B$16+'02_人物原始合计'!Y251/100-1))*(1+MAX(0,MIN(1,'02_人物原始合计'!Z251/100))*('01_参数'!$B$17+'02_人物原始合计'!AA251/100-1))*N251*'01_参数'!$B$7*'01_参数'!$B$8*MAX(0,'02_人物原始合计'!AO251/100)</x:f>
        <x:v>57977103.40177661</x:v>
      </x:c>
      <x:c r="T251" s="28" t="n">
        <x:f>S251*'01_参数'!$B$6</x:f>
        <x:v>75370234.42230959</x:v>
      </x:c>
      <x:c r="U251" s="28" t="n">
        <x:v>0</x:v>
      </x:c>
      <x:c r="V251" s="28" t="n">
        <x:f>T251+U251</x:f>
        <x:v>75370234.42230959</x:v>
      </x:c>
      <x:c r="W251" s="22" t="n">
        <x:v>27</x:v>
      </x:c>
      <x:c r="X251" s="22" t="n">
        <x:v>261</x:v>
      </x:c>
      <x:c r="Y251" s="22" t="str">
        <x:v>C08G02BOSS强装对照</x:v>
      </x:c>
    </x:row>
    <x:row r="252" ht="24" customHeight="1">
      <x:c r="A252" s="22" t="str">
        <x:v>P0248</x:v>
      </x:c>
      <x:c r="B252" s="22" t="n">
        <x:v>8</x:v>
      </x:c>
      <x:c r="C252" s="22" t="n">
        <x:v>2</x:v>
      </x:c>
      <x:c r="D252" s="22" t="str">
        <x:v>断冰峰群阶段积累后</x:v>
      </x:c>
      <x:c r="E252" s="26" t="n">
        <x:v>0.16794098495456583</x:v>
      </x:c>
      <x:c r="F252" s="22" t="n">
        <x:v>7</x:v>
      </x:c>
      <x:c r="G252" s="22" t="n">
        <x:v>204</x:v>
      </x:c>
      <x:c r="H252" s="22" t="n">
        <x:v>15</x:v>
      </x:c>
      <x:c r="I252" s="22" t="n">
        <x:v>7</x:v>
      </x:c>
      <x:c r="J252" s="22" t="n">
        <x:f>'02_人物原始合计'!AG252+'02_人物原始合计'!AH252</x:f>
        <x:v>15</x:v>
      </x:c>
      <x:c r="K252" s="28" t="n">
        <x:f>'02_人物原始合计'!F252*(1+'02_人物原始合计'!Q252/100)</x:f>
        <x:v>831750.52</x:v>
      </x:c>
      <x:c r="L252" s="28" t="n">
        <x:f>'02_人物原始合计'!K252*(1+'02_人物原始合计'!AV252/100)</x:f>
        <x:v>9405250</x:v>
      </x:c>
      <x:c r="M252" s="22" t="n">
        <x:f>MAX(0,MIN(50,'02_人物原始合计'!AD252,20+MIN(30,'02_人物原始合计'!AE252)))</x:f>
        <x:v>32</x:v>
      </x:c>
      <x:c r="N252" s="22" t="n">
        <x:f>IF(M252=0,1.75,IF(M252=10,2.2,IF(M252=20,2.9,IF(M252=30,4.3,IF(M252=40,8.5,IF(M252=50,14.3,IF(M252&lt;=40,1000/('01_参数'!$B$21-'01_参数'!$B$22*M252),1000/(1000/8.5+(M252-40)/10*(1000/14.3-1000/8.5)))))))))</x:f>
        <x:v>4.792592553612839</x:v>
      </x:c>
      <x:c r="O252" s="22" t="n">
        <x:v>836</x:v>
      </x:c>
      <x:c r="P252" s="26" t="n">
        <x:f>MAX(0,MIN('01_参数'!$B$20,'02_人物原始合计'!AM252/100,'01_参数'!$B$19+'02_人物原始合计'!AN252/100))</x:f>
        <x:v>0.63</x:v>
      </x:c>
      <x:c r="Q252" s="28" t="n">
        <x:f>((('02_人物原始合计'!E252+('02_人物原始合计'!F252-'02_人物原始合计'!E252)*IF(J252&gt;=12,1,0.5+0.5*MAX(0,J252)/12))*(1+'02_人物原始合计'!Q252/100))*(1+'02_人物原始合计'!U252/100+IF(J252&gt;=15,0.15,0))*(1+'02_人物原始合计'!V252/100)*(1+'02_人物原始合计'!T252)*(1+'02_人物原始合计'!W252*'01_参数'!$B$18)*(1+MAX(0,MIN(1,'02_人物原始合计'!X252/100))*('01_参数'!$B$16+'02_人物原始合计'!Y252/100-1))*(1+MAX(0,MIN(1,'02_人物原始合计'!Z252/100))*('01_参数'!$B$17+'02_人物原始合计'!AA252/100-1))+'02_人物原始合计'!AB252)*N252*'01_参数'!$B$7*'01_参数'!$B$8</x:f>
        <x:v>669133216.5486281</x:v>
      </x:c>
      <x:c r="R252" s="28" t="n">
        <x:f>Q252*'01_参数'!$B$5</x:f>
        <x:v>1338266433.0972562</x:v>
      </x:c>
      <x:c r="S252" s="28" t="n">
        <x:f>(('02_人物原始合计'!E252+('02_人物原始合计'!F252-'02_人物原始合计'!E252)*IF(J252&gt;=12,1,0.5+0.5*MAX(0,J252)/12))*(1+'02_人物原始合计'!Q252/100))*(1+'02_人物原始合计'!U252/100+IF(J252&gt;=15,0.15,0))*(1+'02_人物原始合计'!V252/100)*(1+'02_人物原始合计'!T252)*(1+'02_人物原始合计'!W252*'01_参数'!$B$18)*(1+MAX(0,MIN(1,'02_人物原始合计'!X252/100))*('01_参数'!$B$16+'02_人物原始合计'!Y252/100-1))*(1+MAX(0,MIN(1,'02_人物原始合计'!Z252/100))*('01_参数'!$B$17+'02_人物原始合计'!AA252/100-1))*N252*'01_参数'!$B$7*'01_参数'!$B$8*MAX(0,'02_人物原始合计'!AO252/100)</x:f>
        <x:v>53530657.32389025</x:v>
      </x:c>
      <x:c r="T252" s="28" t="n">
        <x:f>S252*'01_参数'!$B$6</x:f>
        <x:v>69589854.52105732</x:v>
      </x:c>
      <x:c r="U252" s="28" t="n">
        <x:v>0</x:v>
      </x:c>
      <x:c r="V252" s="28" t="n">
        <x:f>T252+U252</x:f>
        <x:v>69589854.52105732</x:v>
      </x:c>
      <x:c r="W252" s="22" t="n">
        <x:v>27</x:v>
      </x:c>
      <x:c r="X252" s="22" t="n">
        <x:v>263</x:v>
      </x:c>
      <x:c r="Y252" s="22" t="str">
        <x:v>主线</x:v>
      </x:c>
    </x:row>
    <x:row r="253" ht="24" customHeight="1">
      <x:c r="A253" s="22" t="str">
        <x:v>P0249</x:v>
      </x:c>
      <x:c r="B253" s="22" t="n">
        <x:v>8</x:v>
      </x:c>
      <x:c r="C253" s="22" t="n">
        <x:v>3</x:v>
      </x:c>
      <x:c r="D253" s="22" t="str">
        <x:v>C08G03入场</x:v>
      </x:c>
      <x:c r="E253" s="26" t="n">
        <x:v>0.16794098495456583</x:v>
      </x:c>
      <x:c r="F253" s="22" t="n">
        <x:v>7</x:v>
      </x:c>
      <x:c r="G253" s="22" t="n">
        <x:v>204</x:v>
      </x:c>
      <x:c r="H253" s="22" t="n">
        <x:v>15</x:v>
      </x:c>
      <x:c r="I253" s="22" t="n">
        <x:v>7</x:v>
      </x:c>
      <x:c r="J253" s="22" t="n">
        <x:f>'02_人物原始合计'!AG253+'02_人物原始合计'!AH253</x:f>
        <x:v>15</x:v>
      </x:c>
      <x:c r="K253" s="28" t="n">
        <x:f>'02_人物原始合计'!F253*(1+'02_人物原始合计'!Q253/100)</x:f>
        <x:v>831750.52</x:v>
      </x:c>
      <x:c r="L253" s="28" t="n">
        <x:f>'02_人物原始合计'!K253*(1+'02_人物原始合计'!AV253/100)</x:f>
        <x:v>9405250</x:v>
      </x:c>
      <x:c r="M253" s="22" t="n">
        <x:f>MAX(0,MIN(50,'02_人物原始合计'!AD253,20+MIN(30,'02_人物原始合计'!AE253)))</x:f>
        <x:v>32</x:v>
      </x:c>
      <x:c r="N253" s="22" t="n">
        <x:f>IF(M253=0,1.75,IF(M253=10,2.2,IF(M253=20,2.9,IF(M253=30,4.3,IF(M253=40,8.5,IF(M253=50,14.3,IF(M253&lt;=40,1000/('01_参数'!$B$21-'01_参数'!$B$22*M253),1000/(1000/8.5+(M253-40)/10*(1000/14.3-1000/8.5)))))))))</x:f>
        <x:v>4.792592553612839</x:v>
      </x:c>
      <x:c r="O253" s="22" t="n">
        <x:v>836</x:v>
      </x:c>
      <x:c r="P253" s="26" t="n">
        <x:f>MAX(0,MIN('01_参数'!$B$20,'02_人物原始合计'!AM253/100,'01_参数'!$B$19+'02_人物原始合计'!AN253/100))</x:f>
        <x:v>0.63</x:v>
      </x:c>
      <x:c r="Q253" s="28" t="n">
        <x:f>((('02_人物原始合计'!E253+('02_人物原始合计'!F253-'02_人物原始合计'!E253)*IF(J253&gt;=12,1,0.5+0.5*MAX(0,J253)/12))*(1+'02_人物原始合计'!Q253/100))*(1+'02_人物原始合计'!U253/100+IF(J253&gt;=15,0.15,0))*(1+'02_人物原始合计'!V253/100)*(1+'02_人物原始合计'!T253)*(1+'02_人物原始合计'!W253*'01_参数'!$B$18)*(1+MAX(0,MIN(1,'02_人物原始合计'!X253/100))*('01_参数'!$B$16+'02_人物原始合计'!Y253/100-1))*(1+MAX(0,MIN(1,'02_人物原始合计'!Z253/100))*('01_参数'!$B$17+'02_人物原始合计'!AA253/100-1))+'02_人物原始合计'!AB253)*N253*'01_参数'!$B$7*'01_参数'!$B$8</x:f>
        <x:v>669133216.5486281</x:v>
      </x:c>
      <x:c r="R253" s="28" t="n">
        <x:f>Q253*'01_参数'!$B$5</x:f>
        <x:v>1338266433.0972562</x:v>
      </x:c>
      <x:c r="S253" s="28" t="n">
        <x:f>(('02_人物原始合计'!E253+('02_人物原始合计'!F253-'02_人物原始合计'!E253)*IF(J253&gt;=12,1,0.5+0.5*MAX(0,J253)/12))*(1+'02_人物原始合计'!Q253/100))*(1+'02_人物原始合计'!U253/100+IF(J253&gt;=15,0.15,0))*(1+'02_人物原始合计'!V253/100)*(1+'02_人物原始合计'!T253)*(1+'02_人物原始合计'!W253*'01_参数'!$B$18)*(1+MAX(0,MIN(1,'02_人物原始合计'!X253/100))*('01_参数'!$B$16+'02_人物原始合计'!Y253/100-1))*(1+MAX(0,MIN(1,'02_人物原始合计'!Z253/100))*('01_参数'!$B$17+'02_人物原始合计'!AA253/100-1))*N253*'01_参数'!$B$7*'01_参数'!$B$8*MAX(0,'02_人物原始合计'!AO253/100)</x:f>
        <x:v>53530657.32389025</x:v>
      </x:c>
      <x:c r="T253" s="28" t="n">
        <x:f>S253*'01_参数'!$B$6</x:f>
        <x:v>69589854.52105732</x:v>
      </x:c>
      <x:c r="U253" s="28" t="n">
        <x:v>0</x:v>
      </x:c>
      <x:c r="V253" s="28" t="n">
        <x:f>T253+U253</x:f>
        <x:v>69589854.52105732</x:v>
      </x:c>
      <x:c r="W253" s="22" t="n">
        <x:v>27</x:v>
      </x:c>
      <x:c r="X253" s="22" t="n">
        <x:v>263</x:v>
      </x:c>
      <x:c r="Y253" s="22" t="str">
        <x:v>主线</x:v>
      </x:c>
    </x:row>
    <x:row r="254" ht="24" customHeight="1">
      <x:c r="A254" s="22" t="str">
        <x:v>P0250</x:v>
      </x:c>
      <x:c r="B254" s="22" t="n">
        <x:v>8</x:v>
      </x:c>
      <x:c r="C254" s="22" t="n">
        <x:v>3</x:v>
      </x:c>
      <x:c r="D254" s="22" t="str">
        <x:v>C08G03普通专属4/6</x:v>
      </x:c>
      <x:c r="E254" s="26" t="n">
        <x:v>0.16921813150589202</x:v>
      </x:c>
      <x:c r="F254" s="22" t="n">
        <x:v>7</x:v>
      </x:c>
      <x:c r="G254" s="22" t="n">
        <x:v>204</x:v>
      </x:c>
      <x:c r="H254" s="22" t="n">
        <x:v>15</x:v>
      </x:c>
      <x:c r="I254" s="22" t="n">
        <x:v>7</x:v>
      </x:c>
      <x:c r="J254" s="22" t="n">
        <x:f>'02_人物原始合计'!AG254+'02_人物原始合计'!AH254</x:f>
        <x:v>15</x:v>
      </x:c>
      <x:c r="K254" s="28" t="n">
        <x:f>'02_人物原始合计'!F254*(1+'02_人物原始合计'!Q254/100)</x:f>
        <x:v>838266.88</x:v>
      </x:c>
      <x:c r="L254" s="28" t="n">
        <x:f>'02_人物原始合计'!K254*(1+'02_人物原始合计'!AV254/100)</x:f>
        <x:v>9585750</x:v>
      </x:c>
      <x:c r="M254" s="22" t="n">
        <x:f>MAX(0,MIN(50,'02_人物原始合计'!AD254,20+MIN(30,'02_人物原始合计'!AE254)))</x:f>
        <x:v>32</x:v>
      </x:c>
      <x:c r="N254" s="22" t="n">
        <x:f>IF(M254=0,1.75,IF(M254=10,2.2,IF(M254=20,2.9,IF(M254=30,4.3,IF(M254=40,8.5,IF(M254=50,14.3,IF(M254&lt;=40,1000/('01_参数'!$B$21-'01_参数'!$B$22*M254),1000/(1000/8.5+(M254-40)/10*(1000/14.3-1000/8.5)))))))))</x:f>
        <x:v>4.792592553612839</x:v>
      </x:c>
      <x:c r="O254" s="22" t="n">
        <x:v>836</x:v>
      </x:c>
      <x:c r="P254" s="26" t="n">
        <x:f>MAX(0,MIN('01_参数'!$B$20,'02_人物原始合计'!AM254/100,'01_参数'!$B$19+'02_人物原始合计'!AN254/100))</x:f>
        <x:v>0.63</x:v>
      </x:c>
      <x:c r="Q254" s="28" t="n">
        <x:f>((('02_人物原始合计'!E254+('02_人物原始合计'!F254-'02_人物原始合计'!E254)*IF(J254&gt;=12,1,0.5+0.5*MAX(0,J254)/12))*(1+'02_人物原始合计'!Q254/100))*(1+'02_人物原始合计'!U254/100+IF(J254&gt;=15,0.15,0))*(1+'02_人物原始合计'!V254/100)*(1+'02_人物原始合计'!T254)*(1+'02_人物原始合计'!W254*'01_参数'!$B$18)*(1+MAX(0,MIN(1,'02_人物原始合计'!X254/100))*('01_参数'!$B$16+'02_人物原始合计'!Y254/100-1))*(1+MAX(0,MIN(1,'02_人物原始合计'!Z254/100))*('01_参数'!$B$17+'02_人物原始合计'!AA254/100-1))+'02_人物原始合计'!AB254)*N254*'01_参数'!$B$7*'01_参数'!$B$8</x:f>
        <x:v>676203125.2360299</x:v>
      </x:c>
      <x:c r="R254" s="28" t="n">
        <x:f>Q254*'01_参数'!$B$5</x:f>
        <x:v>1352406250.4720597</x:v>
      </x:c>
      <x:c r="S254" s="28" t="n">
        <x:f>(('02_人物原始合计'!E254+('02_人物原始合计'!F254-'02_人物原始合计'!E254)*IF(J254&gt;=12,1,0.5+0.5*MAX(0,J254)/12))*(1+'02_人物原始合计'!Q254/100))*(1+'02_人物原始合计'!U254/100+IF(J254&gt;=15,0.15,0))*(1+'02_人物原始合计'!V254/100)*(1+'02_人物原始合计'!T254)*(1+'02_人物原始合计'!W254*'01_参数'!$B$18)*(1+MAX(0,MIN(1,'02_人物原始合计'!X254/100))*('01_参数'!$B$16+'02_人物原始合计'!Y254/100-1))*(1+MAX(0,MIN(1,'02_人物原始合计'!Z254/100))*('01_参数'!$B$17+'02_人物原始合计'!AA254/100-1))*N254*'01_参数'!$B$7*'01_参数'!$B$8*MAX(0,'02_人物原始合计'!AO254/100)</x:f>
        <x:v>54096250.018882394</x:v>
      </x:c>
      <x:c r="T254" s="28" t="n">
        <x:f>S254*'01_参数'!$B$6</x:f>
        <x:v>70325125.02454711</x:v>
      </x:c>
      <x:c r="U254" s="28" t="n">
        <x:v>0</x:v>
      </x:c>
      <x:c r="V254" s="28" t="n">
        <x:f>T254+U254</x:f>
        <x:v>70325125.02454711</x:v>
      </x:c>
      <x:c r="W254" s="22" t="n">
        <x:v>27</x:v>
      </x:c>
      <x:c r="X254" s="22" t="n">
        <x:v>263</x:v>
      </x:c>
      <x:c r="Y254" s="22" t="str">
        <x:v>主线</x:v>
      </x:c>
    </x:row>
    <x:row r="255" ht="24" customHeight="1">
      <x:c r="A255" s="22" t="str">
        <x:v>P0251</x:v>
      </x:c>
      <x:c r="B255" s="22" t="n">
        <x:v>8</x:v>
      </x:c>
      <x:c r="C255" s="22" t="n">
        <x:v>3</x:v>
      </x:c>
      <x:c r="D255" s="22" t="str">
        <x:v>议殿白髯公·沃尔格挑战前</x:v>
      </x:c>
      <x:c r="E255" s="26" t="n">
        <x:v>0.369218131505892</x:v>
      </x:c>
      <x:c r="F255" s="22" t="n">
        <x:v>8</x:v>
      </x:c>
      <x:c r="G255" s="22" t="n">
        <x:v>210</x:v>
      </x:c>
      <x:c r="H255" s="22" t="n">
        <x:v>15</x:v>
      </x:c>
      <x:c r="I255" s="22" t="n">
        <x:v>7</x:v>
      </x:c>
      <x:c r="J255" s="22" t="n">
        <x:f>'02_人物原始合计'!AG255+'02_人物原始合计'!AH255</x:f>
        <x:v>15</x:v>
      </x:c>
      <x:c r="K255" s="28" t="n">
        <x:f>'02_人物原始合计'!F255*(1+'02_人物原始合计'!Q255/100)</x:f>
        <x:v>1081076.48</x:v>
      </x:c>
      <x:c r="L255" s="28" t="n">
        <x:f>'02_人物原始合计'!K255*(1+'02_人物原始合计'!AV255/100)</x:f>
        <x:v>11741375</x:v>
      </x:c>
      <x:c r="M255" s="22" t="n">
        <x:f>MAX(0,MIN(50,'02_人物原始合计'!AD255,20+MIN(30,'02_人物原始合计'!AE255)))</x:f>
        <x:v>32</x:v>
      </x:c>
      <x:c r="N255" s="22" t="n">
        <x:f>IF(M255=0,1.75,IF(M255=10,2.2,IF(M255=20,2.9,IF(M255=30,4.3,IF(M255=40,8.5,IF(M255=50,14.3,IF(M255&lt;=40,1000/('01_参数'!$B$21-'01_参数'!$B$22*M255),1000/(1000/8.5+(M255-40)/10*(1000/14.3-1000/8.5)))))))))</x:f>
        <x:v>4.792592553612839</x:v>
      </x:c>
      <x:c r="O255" s="22" t="n">
        <x:v>836</x:v>
      </x:c>
      <x:c r="P255" s="26" t="n">
        <x:f>MAX(0,MIN('01_参数'!$B$20,'02_人物原始合计'!AM255/100,'01_参数'!$B$19+'02_人物原始合计'!AN255/100))</x:f>
        <x:v>0.63</x:v>
      </x:c>
      <x:c r="Q255" s="28" t="n">
        <x:f>((('02_人物原始合计'!E255+('02_人物原始合计'!F255-'02_人物原始合计'!E255)*IF(J255&gt;=12,1,0.5+0.5*MAX(0,J255)/12))*(1+'02_人物原始合计'!Q255/100))*(1+'02_人物原始合计'!U255/100+IF(J255&gt;=15,0.15,0))*(1+'02_人物原始合计'!V255/100)*(1+'02_人物原始合计'!T255)*(1+'02_人物原始合计'!W255*'01_参数'!$B$18)*(1+MAX(0,MIN(1,'02_人物原始合计'!X255/100))*('01_参数'!$B$16+'02_人物原始合计'!Y255/100-1))*(1+MAX(0,MIN(1,'02_人物原始合计'!Z255/100))*('01_参数'!$B$17+'02_人物原始合计'!AA255/100-1))+'02_人物原始合计'!AB255)*N255*'01_参数'!$B$7*'01_参数'!$B$8</x:f>
        <x:v>872069876.3562819</x:v>
      </x:c>
      <x:c r="R255" s="28" t="n">
        <x:f>Q255*'01_参数'!$B$5</x:f>
        <x:v>1744139752.7125638</x:v>
      </x:c>
      <x:c r="S255" s="28" t="n">
        <x:f>(('02_人物原始合计'!E255+('02_人物原始合计'!F255-'02_人物原始合计'!E255)*IF(J255&gt;=12,1,0.5+0.5*MAX(0,J255)/12))*(1+'02_人物原始合计'!Q255/100))*(1+'02_人物原始合计'!U255/100+IF(J255&gt;=15,0.15,0))*(1+'02_人物原始合计'!V255/100)*(1+'02_人物原始合计'!T255)*(1+'02_人物原始合计'!W255*'01_参数'!$B$18)*(1+MAX(0,MIN(1,'02_人物原始合计'!X255/100))*('01_参数'!$B$16+'02_人物原始合计'!Y255/100-1))*(1+MAX(0,MIN(1,'02_人物原始合计'!Z255/100))*('01_参数'!$B$17+'02_人物原始合计'!AA255/100-1))*N255*'01_参数'!$B$7*'01_参数'!$B$8*MAX(0,'02_人物原始合计'!AO255/100)</x:f>
        <x:v>69765590.10850255</x:v>
      </x:c>
      <x:c r="T255" s="28" t="n">
        <x:f>S255*'01_参数'!$B$6</x:f>
        <x:v>90695267.14105332</x:v>
      </x:c>
      <x:c r="U255" s="28" t="n">
        <x:v>0</x:v>
      </x:c>
      <x:c r="V255" s="28" t="n">
        <x:f>T255+U255</x:f>
        <x:v>90695267.14105332</x:v>
      </x:c>
      <x:c r="W255" s="22" t="n">
        <x:v>27</x:v>
      </x:c>
      <x:c r="X255" s="22" t="n">
        <x:v>263</x:v>
      </x:c>
      <x:c r="Y255" s="22" t="str">
        <x:v>主线</x:v>
      </x:c>
    </x:row>
    <x:row r="256" ht="24" customHeight="1">
      <x:c r="A256" s="22" t="str">
        <x:v>P0252</x:v>
      </x:c>
      <x:c r="B256" s="22" t="n">
        <x:v>8</x:v>
      </x:c>
      <x:c r="C256" s="22" t="n">
        <x:v>3</x:v>
      </x:c>
      <x:c r="D256" s="22" t="str">
        <x:v>冰宫摄政后·伊瑟芮挑战前</x:v>
      </x:c>
      <x:c r="E256" s="26" t="n">
        <x:v>0.369218131505892</x:v>
      </x:c>
      <x:c r="F256" s="22" t="n">
        <x:v>8</x:v>
      </x:c>
      <x:c r="G256" s="22" t="n">
        <x:v>210</x:v>
      </x:c>
      <x:c r="H256" s="22" t="n">
        <x:v>15</x:v>
      </x:c>
      <x:c r="I256" s="22" t="n">
        <x:v>7</x:v>
      </x:c>
      <x:c r="J256" s="22" t="n">
        <x:f>'02_人物原始合计'!AG256+'02_人物原始合计'!AH256</x:f>
        <x:v>15</x:v>
      </x:c>
      <x:c r="K256" s="28" t="n">
        <x:f>'02_人物原始合计'!F256*(1+'02_人物原始合计'!Q256/100)</x:f>
        <x:v>1081076.48</x:v>
      </x:c>
      <x:c r="L256" s="28" t="n">
        <x:f>'02_人物原始合计'!K256*(1+'02_人物原始合计'!AV256/100)</x:f>
        <x:v>11741375</x:v>
      </x:c>
      <x:c r="M256" s="22" t="n">
        <x:f>MAX(0,MIN(50,'02_人物原始合计'!AD256,20+MIN(30,'02_人物原始合计'!AE256)))</x:f>
        <x:v>32</x:v>
      </x:c>
      <x:c r="N256" s="22" t="n">
        <x:f>IF(M256=0,1.75,IF(M256=10,2.2,IF(M256=20,2.9,IF(M256=30,4.3,IF(M256=40,8.5,IF(M256=50,14.3,IF(M256&lt;=40,1000/('01_参数'!$B$21-'01_参数'!$B$22*M256),1000/(1000/8.5+(M256-40)/10*(1000/14.3-1000/8.5)))))))))</x:f>
        <x:v>4.792592553612839</x:v>
      </x:c>
      <x:c r="O256" s="22" t="n">
        <x:v>836</x:v>
      </x:c>
      <x:c r="P256" s="26" t="n">
        <x:f>MAX(0,MIN('01_参数'!$B$20,'02_人物原始合计'!AM256/100,'01_参数'!$B$19+'02_人物原始合计'!AN256/100))</x:f>
        <x:v>0.63</x:v>
      </x:c>
      <x:c r="Q256" s="28" t="n">
        <x:f>((('02_人物原始合计'!E256+('02_人物原始合计'!F256-'02_人物原始合计'!E256)*IF(J256&gt;=12,1,0.5+0.5*MAX(0,J256)/12))*(1+'02_人物原始合计'!Q256/100))*(1+'02_人物原始合计'!U256/100+IF(J256&gt;=15,0.15,0))*(1+'02_人物原始合计'!V256/100)*(1+'02_人物原始合计'!T256)*(1+'02_人物原始合计'!W256*'01_参数'!$B$18)*(1+MAX(0,MIN(1,'02_人物原始合计'!X256/100))*('01_参数'!$B$16+'02_人物原始合计'!Y256/100-1))*(1+MAX(0,MIN(1,'02_人物原始合计'!Z256/100))*('01_参数'!$B$17+'02_人物原始合计'!AA256/100-1))+'02_人物原始合计'!AB256)*N256*'01_参数'!$B$7*'01_参数'!$B$8</x:f>
        <x:v>872069876.3562819</x:v>
      </x:c>
      <x:c r="R256" s="28" t="n">
        <x:f>Q256*'01_参数'!$B$5</x:f>
        <x:v>1744139752.7125638</x:v>
      </x:c>
      <x:c r="S256" s="28" t="n">
        <x:f>(('02_人物原始合计'!E256+('02_人物原始合计'!F256-'02_人物原始合计'!E256)*IF(J256&gt;=12,1,0.5+0.5*MAX(0,J256)/12))*(1+'02_人物原始合计'!Q256/100))*(1+'02_人物原始合计'!U256/100+IF(J256&gt;=15,0.15,0))*(1+'02_人物原始合计'!V256/100)*(1+'02_人物原始合计'!T256)*(1+'02_人物原始合计'!W256*'01_参数'!$B$18)*(1+MAX(0,MIN(1,'02_人物原始合计'!X256/100))*('01_参数'!$B$16+'02_人物原始合计'!Y256/100-1))*(1+MAX(0,MIN(1,'02_人物原始合计'!Z256/100))*('01_参数'!$B$17+'02_人物原始合计'!AA256/100-1))*N256*'01_参数'!$B$7*'01_参数'!$B$8*MAX(0,'02_人物原始合计'!AO256/100)</x:f>
        <x:v>69765590.10850255</x:v>
      </x:c>
      <x:c r="T256" s="28" t="n">
        <x:f>S256*'01_参数'!$B$6</x:f>
        <x:v>90695267.14105332</x:v>
      </x:c>
      <x:c r="U256" s="28" t="n">
        <x:v>0</x:v>
      </x:c>
      <x:c r="V256" s="28" t="n">
        <x:f>T256+U256</x:f>
        <x:v>90695267.14105332</x:v>
      </x:c>
      <x:c r="W256" s="22" t="n">
        <x:v>27</x:v>
      </x:c>
      <x:c r="X256" s="22" t="n">
        <x:v>263</x:v>
      </x:c>
      <x:c r="Y256" s="22" t="str">
        <x:v>主线</x:v>
      </x:c>
    </x:row>
    <x:row r="257" ht="24" customHeight="1">
      <x:c r="A257" s="22" t="str">
        <x:v>P0253</x:v>
      </x:c>
      <x:c r="B257" s="22" t="n">
        <x:v>8</x:v>
      </x:c>
      <x:c r="C257" s="22" t="n">
        <x:v>3</x:v>
      </x:c>
      <x:c r="D257" s="22" t="str">
        <x:v>冰宫王庭BOSS装备快线</x:v>
      </x:c>
      <x:c r="E257" s="26" t="n">
        <x:v>0.3866094358537181</x:v>
      </x:c>
      <x:c r="F257" s="22" t="n">
        <x:v>8</x:v>
      </x:c>
      <x:c r="G257" s="22" t="n">
        <x:v>210</x:v>
      </x:c>
      <x:c r="H257" s="22" t="n">
        <x:v>15</x:v>
      </x:c>
      <x:c r="I257" s="22" t="n">
        <x:v>7</x:v>
      </x:c>
      <x:c r="J257" s="22" t="n">
        <x:f>'02_人物原始合计'!AG257+'02_人物原始合计'!AH257</x:f>
        <x:v>15</x:v>
      </x:c>
      <x:c r="K257" s="28" t="n">
        <x:f>'02_人物原始合计'!F257*(1+'02_人物原始合计'!Q257/100)</x:f>
        <x:v>1141185.54</x:v>
      </x:c>
      <x:c r="L257" s="28" t="n">
        <x:f>'02_人物原始合计'!K257*(1+'02_人物原始合计'!AV257/100)</x:f>
        <x:v>11908875</x:v>
      </x:c>
      <x:c r="M257" s="22" t="n">
        <x:f>MAX(0,MIN(50,'02_人物原始合计'!AD257,20+MIN(30,'02_人物原始合计'!AE257)))</x:f>
        <x:v>32</x:v>
      </x:c>
      <x:c r="N257" s="22" t="n">
        <x:f>IF(M257=0,1.75,IF(M257=10,2.2,IF(M257=20,2.9,IF(M257=30,4.3,IF(M257=40,8.5,IF(M257=50,14.3,IF(M257&lt;=40,1000/('01_参数'!$B$21-'01_参数'!$B$22*M257),1000/(1000/8.5+(M257-40)/10*(1000/14.3-1000/8.5)))))))))</x:f>
        <x:v>4.792592553612839</x:v>
      </x:c>
      <x:c r="O257" s="22" t="n">
        <x:v>836</x:v>
      </x:c>
      <x:c r="P257" s="26" t="n">
        <x:f>MAX(0,MIN('01_参数'!$B$20,'02_人物原始合计'!AM257/100,'01_参数'!$B$19+'02_人物原始合计'!AN257/100))</x:f>
        <x:v>0.65</x:v>
      </x:c>
      <x:c r="Q257" s="28" t="n">
        <x:f>((('02_人物原始合计'!E257+('02_人物原始合计'!F257-'02_人物原始合计'!E257)*IF(J257&gt;=12,1,0.5+0.5*MAX(0,J257)/12))*(1+'02_人物原始合计'!Q257/100))*(1+'02_人物原始合计'!U257/100+IF(J257&gt;=15,0.15,0))*(1+'02_人物原始合计'!V257/100)*(1+'02_人物原始合计'!T257)*(1+'02_人物原始合计'!W257*'01_参数'!$B$18)*(1+MAX(0,MIN(1,'02_人物原始合计'!X257/100))*('01_参数'!$B$16+'02_人物原始合计'!Y257/100-1))*(1+MAX(0,MIN(1,'02_人物原始合计'!Z257/100))*('01_参数'!$B$17+'02_人物原始合计'!AA257/100-1))+'02_人物原始合计'!AB257)*N257*'01_参数'!$B$7*'01_参数'!$B$8</x:f>
        <x:v>1020981714.0010461</x:v>
      </x:c>
      <x:c r="R257" s="28" t="n">
        <x:f>Q257*'01_参数'!$B$5</x:f>
        <x:v>2041963428.0020921</x:v>
      </x:c>
      <x:c r="S257" s="28" t="n">
        <x:f>(('02_人物原始合计'!E257+('02_人物原始合计'!F257-'02_人物原始合计'!E257)*IF(J257&gt;=12,1,0.5+0.5*MAX(0,J257)/12))*(1+'02_人物原始合计'!Q257/100))*(1+'02_人物原始合计'!U257/100+IF(J257&gt;=15,0.15,0))*(1+'02_人物原始合计'!V257/100)*(1+'02_人物原始合计'!T257)*(1+'02_人物原始合计'!W257*'01_参数'!$B$18)*(1+MAX(0,MIN(1,'02_人物原始合计'!X257/100))*('01_参数'!$B$16+'02_人物原始合计'!Y257/100-1))*(1+MAX(0,MIN(1,'02_人物原始合计'!Z257/100))*('01_参数'!$B$17+'02_人物原始合计'!AA257/100-1))*N257*'01_参数'!$B$7*'01_参数'!$B$8*MAX(0,'02_人物原始合计'!AO257/100)</x:f>
        <x:v>81678537.12008369</x:v>
      </x:c>
      <x:c r="T257" s="28" t="n">
        <x:f>S257*'01_参数'!$B$6</x:f>
        <x:v>106182098.2561088</x:v>
      </x:c>
      <x:c r="U257" s="28" t="n">
        <x:v>0</x:v>
      </x:c>
      <x:c r="V257" s="28" t="n">
        <x:f>T257+U257</x:f>
        <x:v>106182098.2561088</x:v>
      </x:c>
      <x:c r="W257" s="22" t="n">
        <x:v>27</x:v>
      </x:c>
      <x:c r="X257" s="22" t="n">
        <x:v>263</x:v>
      </x:c>
      <x:c r="Y257" s="22" t="str">
        <x:v>C08G03BOSS强装对照</x:v>
      </x:c>
    </x:row>
    <x:row r="258" ht="24" customHeight="1">
      <x:c r="A258" s="22" t="str">
        <x:v>P0254</x:v>
      </x:c>
      <x:c r="B258" s="22" t="n">
        <x:v>8</x:v>
      </x:c>
      <x:c r="C258" s="22" t="n">
        <x:v>3</x:v>
      </x:c>
      <x:c r="D258" s="22" t="str">
        <x:v>冰宫王庭阶段积累后</x:v>
      </x:c>
      <x:c r="E258" s="26" t="n">
        <x:v>0.4118036678142461</x:v>
      </x:c>
      <x:c r="F258" s="22" t="n">
        <x:v>8</x:v>
      </x:c>
      <x:c r="G258" s="22" t="n">
        <x:v>210</x:v>
      </x:c>
      <x:c r="H258" s="22" t="n">
        <x:v>15</x:v>
      </x:c>
      <x:c r="I258" s="22" t="n">
        <x:v>7</x:v>
      </x:c>
      <x:c r="J258" s="22" t="n">
        <x:f>'02_人物原始合计'!AG258+'02_人物原始合计'!AH258</x:f>
        <x:v>15</x:v>
      </x:c>
      <x:c r="K258" s="28" t="n">
        <x:f>'02_人物原始合计'!F258*(1+'02_人物原始合计'!Q258/100)</x:f>
        <x:v>1146062.3099999998</x:v>
      </x:c>
      <x:c r="L258" s="28" t="n">
        <x:f>'02_人物原始合计'!K258*(1+'02_人物原始合计'!AV258/100)</x:f>
        <x:v>11907625</x:v>
      </x:c>
      <x:c r="M258" s="22" t="n">
        <x:f>MAX(0,MIN(50,'02_人物原始合计'!AD258,20+MIN(30,'02_人物原始合计'!AE258)))</x:f>
        <x:v>32</x:v>
      </x:c>
      <x:c r="N258" s="22" t="n">
        <x:f>IF(M258=0,1.75,IF(M258=10,2.2,IF(M258=20,2.9,IF(M258=30,4.3,IF(M258=40,8.5,IF(M258=50,14.3,IF(M258&lt;=40,1000/('01_参数'!$B$21-'01_参数'!$B$22*M258),1000/(1000/8.5+(M258-40)/10*(1000/14.3-1000/8.5)))))))))</x:f>
        <x:v>4.792592553612839</x:v>
      </x:c>
      <x:c r="O258" s="22" t="n">
        <x:v>836</x:v>
      </x:c>
      <x:c r="P258" s="26" t="n">
        <x:f>MAX(0,MIN('01_参数'!$B$20,'02_人物原始合计'!AM258/100,'01_参数'!$B$19+'02_人物原始合计'!AN258/100))</x:f>
        <x:v>0.63</x:v>
      </x:c>
      <x:c r="Q258" s="28" t="n">
        <x:f>((('02_人物原始合计'!E258+('02_人物原始合计'!F258-'02_人物原始合计'!E258)*IF(J258&gt;=12,1,0.5+0.5*MAX(0,J258)/12))*(1+'02_人物原始合计'!Q258/100))*(1+'02_人物原始合计'!U258/100+IF(J258&gt;=15,0.15,0))*(1+'02_人物原始合计'!V258/100)*(1+'02_人物原始合计'!T258)*(1+'02_人物原始合计'!W258*'01_参数'!$B$18)*(1+MAX(0,MIN(1,'02_人物原始合计'!X258/100))*('01_参数'!$B$16+'02_人物原始合计'!Y258/100-1))*(1+MAX(0,MIN(1,'02_人物原始合计'!Z258/100))*('01_参数'!$B$17+'02_人物原始合计'!AA258/100-1))+'02_人物原始合计'!AB258)*N258*'01_参数'!$B$7*'01_参数'!$B$8</x:f>
        <x:v>892195047.4879512</x:v>
      </x:c>
      <x:c r="R258" s="28" t="n">
        <x:f>Q258*'01_参数'!$B$5</x:f>
        <x:v>1784390094.9759023</x:v>
      </x:c>
      <x:c r="S258" s="28" t="n">
        <x:f>(('02_人物原始合计'!E258+('02_人物原始合计'!F258-'02_人物原始合计'!E258)*IF(J258&gt;=12,1,0.5+0.5*MAX(0,J258)/12))*(1+'02_人物原始合计'!Q258/100))*(1+'02_人物原始合计'!U258/100+IF(J258&gt;=15,0.15,0))*(1+'02_人物原始合计'!V258/100)*(1+'02_人物原始合计'!T258)*(1+'02_人物原始合计'!W258*'01_参数'!$B$18)*(1+MAX(0,MIN(1,'02_人物原始合计'!X258/100))*('01_参数'!$B$16+'02_人物原始合计'!Y258/100-1))*(1+MAX(0,MIN(1,'02_人物原始合计'!Z258/100))*('01_参数'!$B$17+'02_人物原始合计'!AA258/100-1))*N258*'01_参数'!$B$7*'01_参数'!$B$8*MAX(0,'02_人物原始合计'!AO258/100)</x:f>
        <x:v>62453653.32415659</x:v>
      </x:c>
      <x:c r="T258" s="28" t="n">
        <x:f>S258*'01_参数'!$B$6</x:f>
        <x:v>81189749.32140356</x:v>
      </x:c>
      <x:c r="U258" s="28" t="n">
        <x:v>0</x:v>
      </x:c>
      <x:c r="V258" s="28" t="n">
        <x:f>T258+U258</x:f>
        <x:v>81189749.32140356</x:v>
      </x:c>
      <x:c r="W258" s="22" t="n">
        <x:v>28</x:v>
      </x:c>
      <x:c r="X258" s="22" t="n">
        <x:v>265</x:v>
      </x:c>
      <x:c r="Y258" s="22" t="str">
        <x:v>主线</x:v>
      </x:c>
    </x:row>
    <x:row r="259" ht="24" customHeight="1">
      <x:c r="A259" s="22" t="str">
        <x:v>P0255</x:v>
      </x:c>
      <x:c r="B259" s="22" t="n">
        <x:v>8</x:v>
      </x:c>
      <x:c r="C259" s="22" t="n">
        <x:v>4</x:v>
      </x:c>
      <x:c r="D259" s="22" t="str">
        <x:v>C08G04入场</x:v>
      </x:c>
      <x:c r="E259" s="26" t="n">
        <x:v>0.4118036678142461</x:v>
      </x:c>
      <x:c r="F259" s="22" t="n">
        <x:v>8</x:v>
      </x:c>
      <x:c r="G259" s="22" t="n">
        <x:v>210</x:v>
      </x:c>
      <x:c r="H259" s="22" t="n">
        <x:v>15</x:v>
      </x:c>
      <x:c r="I259" s="22" t="n">
        <x:v>7</x:v>
      </x:c>
      <x:c r="J259" s="22" t="n">
        <x:f>'02_人物原始合计'!AG259+'02_人物原始合计'!AH259</x:f>
        <x:v>15</x:v>
      </x:c>
      <x:c r="K259" s="28" t="n">
        <x:f>'02_人物原始合计'!F259*(1+'02_人物原始合计'!Q259/100)</x:f>
        <x:v>1146062.3099999998</x:v>
      </x:c>
      <x:c r="L259" s="28" t="n">
        <x:f>'02_人物原始合计'!K259*(1+'02_人物原始合计'!AV259/100)</x:f>
        <x:v>11907625</x:v>
      </x:c>
      <x:c r="M259" s="22" t="n">
        <x:f>MAX(0,MIN(50,'02_人物原始合计'!AD259,20+MIN(30,'02_人物原始合计'!AE259)))</x:f>
        <x:v>32</x:v>
      </x:c>
      <x:c r="N259" s="22" t="n">
        <x:f>IF(M259=0,1.75,IF(M259=10,2.2,IF(M259=20,2.9,IF(M259=30,4.3,IF(M259=40,8.5,IF(M259=50,14.3,IF(M259&lt;=40,1000/('01_参数'!$B$21-'01_参数'!$B$22*M259),1000/(1000/8.5+(M259-40)/10*(1000/14.3-1000/8.5)))))))))</x:f>
        <x:v>4.792592553612839</x:v>
      </x:c>
      <x:c r="O259" s="22" t="n">
        <x:v>836</x:v>
      </x:c>
      <x:c r="P259" s="26" t="n">
        <x:f>MAX(0,MIN('01_参数'!$B$20,'02_人物原始合计'!AM259/100,'01_参数'!$B$19+'02_人物原始合计'!AN259/100))</x:f>
        <x:v>0.63</x:v>
      </x:c>
      <x:c r="Q259" s="28" t="n">
        <x:f>((('02_人物原始合计'!E259+('02_人物原始合计'!F259-'02_人物原始合计'!E259)*IF(J259&gt;=12,1,0.5+0.5*MAX(0,J259)/12))*(1+'02_人物原始合计'!Q259/100))*(1+'02_人物原始合计'!U259/100+IF(J259&gt;=15,0.15,0))*(1+'02_人物原始合计'!V259/100)*(1+'02_人物原始合计'!T259)*(1+'02_人物原始合计'!W259*'01_参数'!$B$18)*(1+MAX(0,MIN(1,'02_人物原始合计'!X259/100))*('01_参数'!$B$16+'02_人物原始合计'!Y259/100-1))*(1+MAX(0,MIN(1,'02_人物原始合计'!Z259/100))*('01_参数'!$B$17+'02_人物原始合计'!AA259/100-1))+'02_人物原始合计'!AB259)*N259*'01_参数'!$B$7*'01_参数'!$B$8</x:f>
        <x:v>892195047.4879512</x:v>
      </x:c>
      <x:c r="R259" s="28" t="n">
        <x:f>Q259*'01_参数'!$B$5</x:f>
        <x:v>1784390094.9759023</x:v>
      </x:c>
      <x:c r="S259" s="28" t="n">
        <x:f>(('02_人物原始合计'!E259+('02_人物原始合计'!F259-'02_人物原始合计'!E259)*IF(J259&gt;=12,1,0.5+0.5*MAX(0,J259)/12))*(1+'02_人物原始合计'!Q259/100))*(1+'02_人物原始合计'!U259/100+IF(J259&gt;=15,0.15,0))*(1+'02_人物原始合计'!V259/100)*(1+'02_人物原始合计'!T259)*(1+'02_人物原始合计'!W259*'01_参数'!$B$18)*(1+MAX(0,MIN(1,'02_人物原始合计'!X259/100))*('01_参数'!$B$16+'02_人物原始合计'!Y259/100-1))*(1+MAX(0,MIN(1,'02_人物原始合计'!Z259/100))*('01_参数'!$B$17+'02_人物原始合计'!AA259/100-1))*N259*'01_参数'!$B$7*'01_参数'!$B$8*MAX(0,'02_人物原始合计'!AO259/100)</x:f>
        <x:v>62453653.32415659</x:v>
      </x:c>
      <x:c r="T259" s="28" t="n">
        <x:f>S259*'01_参数'!$B$6</x:f>
        <x:v>81189749.32140356</x:v>
      </x:c>
      <x:c r="U259" s="28" t="n">
        <x:v>0</x:v>
      </x:c>
      <x:c r="V259" s="28" t="n">
        <x:f>T259+U259</x:f>
        <x:v>81189749.32140356</x:v>
      </x:c>
      <x:c r="W259" s="22" t="n">
        <x:v>28</x:v>
      </x:c>
      <x:c r="X259" s="22" t="n">
        <x:v>265</x:v>
      </x:c>
      <x:c r="Y259" s="22" t="str">
        <x:v>主线</x:v>
      </x:c>
    </x:row>
    <x:row r="260" ht="24" customHeight="1">
      <x:c r="A260" s="22" t="str">
        <x:v>P0256</x:v>
      </x:c>
      <x:c r="B260" s="22" t="n">
        <x:v>8</x:v>
      </x:c>
      <x:c r="C260" s="22" t="n">
        <x:v>4</x:v>
      </x:c>
      <x:c r="D260" s="22" t="str">
        <x:v>C08G04普通专属4/6</x:v>
      </x:c>
      <x:c r="E260" s="26" t="n">
        <x:v>0.4119036789915449</x:v>
      </x:c>
      <x:c r="F260" s="22" t="n">
        <x:v>8</x:v>
      </x:c>
      <x:c r="G260" s="22" t="n">
        <x:v>210</x:v>
      </x:c>
      <x:c r="H260" s="22" t="n">
        <x:v>15</x:v>
      </x:c>
      <x:c r="I260" s="22" t="n">
        <x:v>7</x:v>
      </x:c>
      <x:c r="J260" s="22" t="n">
        <x:f>'02_人物原始合计'!AG260+'02_人物原始合计'!AH260</x:f>
        <x:v>15</x:v>
      </x:c>
      <x:c r="K260" s="28" t="n">
        <x:f>'02_人物原始合计'!F260*(1+'02_人物原始合计'!Q260/100)</x:f>
        <x:v>1146358.1099999999</x:v>
      </x:c>
      <x:c r="L260" s="28" t="n">
        <x:f>'02_人物原始合计'!K260*(1+'02_人物原始合计'!AV260/100)</x:f>
        <x:v>11915625</x:v>
      </x:c>
      <x:c r="M260" s="22" t="n">
        <x:f>MAX(0,MIN(50,'02_人物原始合计'!AD260,20+MIN(30,'02_人物原始合计'!AE260)))</x:f>
        <x:v>32</x:v>
      </x:c>
      <x:c r="N260" s="22" t="n">
        <x:f>IF(M260=0,1.75,IF(M260=10,2.2,IF(M260=20,2.9,IF(M260=30,4.3,IF(M260=40,8.5,IF(M260=50,14.3,IF(M260&lt;=40,1000/('01_参数'!$B$21-'01_参数'!$B$22*M260),1000/(1000/8.5+(M260-40)/10*(1000/14.3-1000/8.5)))))))))</x:f>
        <x:v>4.792592553612839</x:v>
      </x:c>
      <x:c r="O260" s="22" t="n">
        <x:v>836</x:v>
      </x:c>
      <x:c r="P260" s="26" t="n">
        <x:f>MAX(0,MIN('01_参数'!$B$20,'02_人物原始合计'!AM260/100,'01_参数'!$B$19+'02_人物原始合计'!AN260/100))</x:f>
        <x:v>0.63</x:v>
      </x:c>
      <x:c r="Q260" s="28" t="n">
        <x:f>((('02_人物原始合计'!E260+('02_人物原始合计'!F260-'02_人物原始合计'!E260)*IF(J260&gt;=12,1,0.5+0.5*MAX(0,J260)/12))*(1+'02_人物原始合计'!Q260/100))*(1+'02_人物原始合计'!U260/100+IF(J260&gt;=15,0.15,0))*(1+'02_人物原始合计'!V260/100)*(1+'02_人物原始合计'!T260)*(1+'02_人物原始合计'!W260*'01_参数'!$B$18)*(1+MAX(0,MIN(1,'02_人物原始合计'!X260/100))*('01_参数'!$B$16+'02_人物原始合计'!Y260/100-1))*(1+MAX(0,MIN(1,'02_人物原始合计'!Z260/100))*('01_参数'!$B$17+'02_人物原始合计'!AA260/100-1))+'02_人物原始合计'!AB260)*N260*'01_参数'!$B$7*'01_参数'!$B$8</x:f>
        <x:v>899076582.141552</x:v>
      </x:c>
      <x:c r="R260" s="28" t="n">
        <x:f>Q260*'01_参数'!$B$5</x:f>
        <x:v>1798153164.283104</x:v>
      </x:c>
      <x:c r="S260" s="28" t="n">
        <x:f>(('02_人物原始合计'!E260+('02_人物原始合计'!F260-'02_人物原始合计'!E260)*IF(J260&gt;=12,1,0.5+0.5*MAX(0,J260)/12))*(1+'02_人物原始合计'!Q260/100))*(1+'02_人物原始合计'!U260/100+IF(J260&gt;=15,0.15,0))*(1+'02_人物原始合计'!V260/100)*(1+'02_人物原始合计'!T260)*(1+'02_人物原始合计'!W260*'01_参数'!$B$18)*(1+MAX(0,MIN(1,'02_人物原始合计'!X260/100))*('01_参数'!$B$16+'02_人物原始合计'!Y260/100-1))*(1+MAX(0,MIN(1,'02_人物原始合计'!Z260/100))*('01_参数'!$B$17+'02_人物原始合计'!AA260/100-1))*N260*'01_参数'!$B$7*'01_参数'!$B$8*MAX(0,'02_人物原始合计'!AO260/100)</x:f>
        <x:v>62935360.74990864</x:v>
      </x:c>
      <x:c r="T260" s="28" t="n">
        <x:f>S260*'01_参数'!$B$6</x:f>
        <x:v>81815968.97488123</x:v>
      </x:c>
      <x:c r="U260" s="28" t="n">
        <x:v>0</x:v>
      </x:c>
      <x:c r="V260" s="28" t="n">
        <x:f>T260+U260</x:f>
        <x:v>81815968.97488123</x:v>
      </x:c>
      <x:c r="W260" s="22" t="n">
        <x:v>28</x:v>
      </x:c>
      <x:c r="X260" s="22" t="n">
        <x:v>265</x:v>
      </x:c>
      <x:c r="Y260" s="22" t="str">
        <x:v>主线</x:v>
      </x:c>
    </x:row>
    <x:row r="261" ht="24" customHeight="1">
      <x:c r="A261" s="22" t="str">
        <x:v>P0257</x:v>
      </x:c>
      <x:c r="B261" s="22" t="n">
        <x:v>8</x:v>
      </x:c>
      <x:c r="C261" s="22" t="n">
        <x:v>4</x:v>
      </x:c>
      <x:c r="D261" s="22" t="str">
        <x:v>内宫冬眠王·格罗尔挑战前</x:v>
      </x:c>
      <x:c r="E261" s="26" t="n">
        <x:v>0.4119036789915449</x:v>
      </x:c>
      <x:c r="F261" s="22" t="n">
        <x:v>8</x:v>
      </x:c>
      <x:c r="G261" s="22" t="n">
        <x:v>216</x:v>
      </x:c>
      <x:c r="H261" s="22" t="n">
        <x:v>15</x:v>
      </x:c>
      <x:c r="I261" s="22" t="n">
        <x:v>7</x:v>
      </x:c>
      <x:c r="J261" s="22" t="n">
        <x:f>'02_人物原始合计'!AG261+'02_人物原始合计'!AH261</x:f>
        <x:v>15</x:v>
      </x:c>
      <x:c r="K261" s="28" t="n">
        <x:f>'02_人物原始合计'!F261*(1+'02_人物原始合计'!Q261/100)</x:f>
        <x:v>1166176.71</x:v>
      </x:c>
      <x:c r="L261" s="28" t="n">
        <x:f>'02_人物原始合计'!K261*(1+'02_人物原始合计'!AV261/100)</x:f>
        <x:v>12075750</x:v>
      </x:c>
      <x:c r="M261" s="22" t="n">
        <x:f>MAX(0,MIN(50,'02_人物原始合计'!AD261,20+MIN(30,'02_人物原始合计'!AE261)))</x:f>
        <x:v>32</x:v>
      </x:c>
      <x:c r="N261" s="22" t="n">
        <x:f>IF(M261=0,1.75,IF(M261=10,2.2,IF(M261=20,2.9,IF(M261=30,4.3,IF(M261=40,8.5,IF(M261=50,14.3,IF(M261&lt;=40,1000/('01_参数'!$B$21-'01_参数'!$B$22*M261),1000/(1000/8.5+(M261-40)/10*(1000/14.3-1000/8.5)))))))))</x:f>
        <x:v>4.792592553612839</x:v>
      </x:c>
      <x:c r="O261" s="22" t="n">
        <x:v>836</x:v>
      </x:c>
      <x:c r="P261" s="26" t="n">
        <x:f>MAX(0,MIN('01_参数'!$B$20,'02_人物原始合计'!AM261/100,'01_参数'!$B$19+'02_人物原始合计'!AN261/100))</x:f>
        <x:v>0.63</x:v>
      </x:c>
      <x:c r="Q261" s="28" t="n">
        <x:f>((('02_人物原始合计'!E261+('02_人物原始合计'!F261-'02_人物原始合计'!E261)*IF(J261&gt;=12,1,0.5+0.5*MAX(0,J261)/12))*(1+'02_人物原始合计'!Q261/100))*(1+'02_人物原始合计'!U261/100+IF(J261&gt;=15,0.15,0))*(1+'02_人物原始合计'!V261/100)*(1+'02_人物原始合计'!T261)*(1+'02_人物原始合计'!W261*'01_参数'!$B$18)*(1+MAX(0,MIN(1,'02_人物原始合计'!X261/100))*('01_参数'!$B$16+'02_人物原始合计'!Y261/100-1))*(1+MAX(0,MIN(1,'02_人物原始合计'!Z261/100))*('01_参数'!$B$17+'02_人物原始合计'!AA261/100-1))+'02_人物原始合计'!AB261)*N261*'01_参数'!$B$7*'01_参数'!$B$8</x:f>
        <x:v>914620101.2176552</x:v>
      </x:c>
      <x:c r="R261" s="28" t="n">
        <x:f>Q261*'01_参数'!$B$5</x:f>
        <x:v>1829240202.4353104</x:v>
      </x:c>
      <x:c r="S261" s="28" t="n">
        <x:f>(('02_人物原始合计'!E261+('02_人物原始合计'!F261-'02_人物原始合计'!E261)*IF(J261&gt;=12,1,0.5+0.5*MAX(0,J261)/12))*(1+'02_人物原始合计'!Q261/100))*(1+'02_人物原始合计'!U261/100+IF(J261&gt;=15,0.15,0))*(1+'02_人物原始合计'!V261/100)*(1+'02_人物原始合计'!T261)*(1+'02_人物原始合计'!W261*'01_参数'!$B$18)*(1+MAX(0,MIN(1,'02_人物原始合计'!X261/100))*('01_参数'!$B$16+'02_人物原始合计'!Y261/100-1))*(1+MAX(0,MIN(1,'02_人物原始合计'!Z261/100))*('01_参数'!$B$17+'02_人物原始合计'!AA261/100-1))*N261*'01_参数'!$B$7*'01_参数'!$B$8*MAX(0,'02_人物原始合计'!AO261/100)</x:f>
        <x:v>64023407.08523587</x:v>
      </x:c>
      <x:c r="T261" s="28" t="n">
        <x:f>S261*'01_参数'!$B$6</x:f>
        <x:v>83230429.21080664</x:v>
      </x:c>
      <x:c r="U261" s="28" t="n">
        <x:v>0</x:v>
      </x:c>
      <x:c r="V261" s="28" t="n">
        <x:f>T261+U261</x:f>
        <x:v>83230429.21080664</x:v>
      </x:c>
      <x:c r="W261" s="22" t="n">
        <x:v>28</x:v>
      </x:c>
      <x:c r="X261" s="22" t="n">
        <x:v>265</x:v>
      </x:c>
      <x:c r="Y261" s="22" t="str">
        <x:v>主线</x:v>
      </x:c>
    </x:row>
    <x:row r="262" ht="24" customHeight="1">
      <x:c r="A262" s="22" t="str">
        <x:v>P0258</x:v>
      </x:c>
      <x:c r="B262" s="22" t="n">
        <x:v>8</x:v>
      </x:c>
      <x:c r="C262" s="22" t="n">
        <x:v>4</x:v>
      </x:c>
      <x:c r="D262" s="22" t="str">
        <x:v>巨人女王·赫芮迦挑战前</x:v>
      </x:c>
      <x:c r="E262" s="26" t="n">
        <x:v>0.4119036789915449</x:v>
      </x:c>
      <x:c r="F262" s="22" t="n">
        <x:v>8</x:v>
      </x:c>
      <x:c r="G262" s="22" t="n">
        <x:v>216</x:v>
      </x:c>
      <x:c r="H262" s="22" t="n">
        <x:v>15</x:v>
      </x:c>
      <x:c r="I262" s="22" t="n">
        <x:v>7</x:v>
      </x:c>
      <x:c r="J262" s="22" t="n">
        <x:f>'02_人物原始合计'!AG262+'02_人物原始合计'!AH262</x:f>
        <x:v>15</x:v>
      </x:c>
      <x:c r="K262" s="28" t="n">
        <x:f>'02_人物原始合计'!F262*(1+'02_人物原始合计'!Q262/100)</x:f>
        <x:v>1166176.71</x:v>
      </x:c>
      <x:c r="L262" s="28" t="n">
        <x:f>'02_人物原始合计'!K262*(1+'02_人物原始合计'!AV262/100)</x:f>
        <x:v>12075750</x:v>
      </x:c>
      <x:c r="M262" s="22" t="n">
        <x:f>MAX(0,MIN(50,'02_人物原始合计'!AD262,20+MIN(30,'02_人物原始合计'!AE262)))</x:f>
        <x:v>32</x:v>
      </x:c>
      <x:c r="N262" s="22" t="n">
        <x:f>IF(M262=0,1.75,IF(M262=10,2.2,IF(M262=20,2.9,IF(M262=30,4.3,IF(M262=40,8.5,IF(M262=50,14.3,IF(M262&lt;=40,1000/('01_参数'!$B$21-'01_参数'!$B$22*M262),1000/(1000/8.5+(M262-40)/10*(1000/14.3-1000/8.5)))))))))</x:f>
        <x:v>4.792592553612839</x:v>
      </x:c>
      <x:c r="O262" s="22" t="n">
        <x:v>836</x:v>
      </x:c>
      <x:c r="P262" s="26" t="n">
        <x:f>MAX(0,MIN('01_参数'!$B$20,'02_人物原始合计'!AM262/100,'01_参数'!$B$19+'02_人物原始合计'!AN262/100))</x:f>
        <x:v>0.63</x:v>
      </x:c>
      <x:c r="Q262" s="28" t="n">
        <x:f>((('02_人物原始合计'!E262+('02_人物原始合计'!F262-'02_人物原始合计'!E262)*IF(J262&gt;=12,1,0.5+0.5*MAX(0,J262)/12))*(1+'02_人物原始合计'!Q262/100))*(1+'02_人物原始合计'!U262/100+IF(J262&gt;=15,0.15,0))*(1+'02_人物原始合计'!V262/100)*(1+'02_人物原始合计'!T262)*(1+'02_人物原始合计'!W262*'01_参数'!$B$18)*(1+MAX(0,MIN(1,'02_人物原始合计'!X262/100))*('01_参数'!$B$16+'02_人物原始合计'!Y262/100-1))*(1+MAX(0,MIN(1,'02_人物原始合计'!Z262/100))*('01_参数'!$B$17+'02_人物原始合计'!AA262/100-1))+'02_人物原始合计'!AB262)*N262*'01_参数'!$B$7*'01_参数'!$B$8</x:f>
        <x:v>914620101.2176552</x:v>
      </x:c>
      <x:c r="R262" s="28" t="n">
        <x:f>Q262*'01_参数'!$B$5</x:f>
        <x:v>1829240202.4353104</x:v>
      </x:c>
      <x:c r="S262" s="28" t="n">
        <x:f>(('02_人物原始合计'!E262+('02_人物原始合计'!F262-'02_人物原始合计'!E262)*IF(J262&gt;=12,1,0.5+0.5*MAX(0,J262)/12))*(1+'02_人物原始合计'!Q262/100))*(1+'02_人物原始合计'!U262/100+IF(J262&gt;=15,0.15,0))*(1+'02_人物原始合计'!V262/100)*(1+'02_人物原始合计'!T262)*(1+'02_人物原始合计'!W262*'01_参数'!$B$18)*(1+MAX(0,MIN(1,'02_人物原始合计'!X262/100))*('01_参数'!$B$16+'02_人物原始合计'!Y262/100-1))*(1+MAX(0,MIN(1,'02_人物原始合计'!Z262/100))*('01_参数'!$B$17+'02_人物原始合计'!AA262/100-1))*N262*'01_参数'!$B$7*'01_参数'!$B$8*MAX(0,'02_人物原始合计'!AO262/100)</x:f>
        <x:v>64023407.08523587</x:v>
      </x:c>
      <x:c r="T262" s="28" t="n">
        <x:f>S262*'01_参数'!$B$6</x:f>
        <x:v>83230429.21080664</x:v>
      </x:c>
      <x:c r="U262" s="28" t="n">
        <x:v>0</x:v>
      </x:c>
      <x:c r="V262" s="28" t="n">
        <x:f>T262+U262</x:f>
        <x:v>83230429.21080664</x:v>
      </x:c>
      <x:c r="W262" s="22" t="n">
        <x:v>28</x:v>
      </x:c>
      <x:c r="X262" s="22" t="n">
        <x:v>265</x:v>
      </x:c>
      <x:c r="Y262" s="22" t="str">
        <x:v>主线</x:v>
      </x:c>
    </x:row>
    <x:row r="263" ht="24" customHeight="1">
      <x:c r="A263" s="22" t="str">
        <x:v>P0259</x:v>
      </x:c>
      <x:c r="B263" s="22" t="n">
        <x:v>8</x:v>
      </x:c>
      <x:c r="C263" s="22" t="n">
        <x:v>4</x:v>
      </x:c>
      <x:c r="D263" s="22" t="str">
        <x:v>巨人王庭BOSS装备快线</x:v>
      </x:c>
      <x:c r="E263" s="26" t="n">
        <x:v>0.42059933116545795</x:v>
      </x:c>
      <x:c r="F263" s="22" t="n">
        <x:v>8</x:v>
      </x:c>
      <x:c r="G263" s="22" t="n">
        <x:v>216</x:v>
      </x:c>
      <x:c r="H263" s="22" t="n">
        <x:v>15</x:v>
      </x:c>
      <x:c r="I263" s="22" t="n">
        <x:v>7</x:v>
      </x:c>
      <x:c r="J263" s="22" t="n">
        <x:f>'02_人物原始合计'!AG263+'02_人物原始合计'!AH263</x:f>
        <x:v>15</x:v>
      </x:c>
      <x:c r="K263" s="28" t="n">
        <x:f>'02_人物原始合计'!F263*(1+'02_人物原始合计'!Q263/100)</x:f>
        <x:v>1173999.44</x:v>
      </x:c>
      <x:c r="L263" s="28" t="n">
        <x:f>'02_人物原始合计'!K263*(1+'02_人物原始合计'!AV263/100)</x:f>
        <x:v>12118750</x:v>
      </x:c>
      <x:c r="M263" s="22" t="n">
        <x:f>MAX(0,MIN(50,'02_人物原始合计'!AD263,20+MIN(30,'02_人物原始合计'!AE263)))</x:f>
        <x:v>32</x:v>
      </x:c>
      <x:c r="N263" s="22" t="n">
        <x:f>IF(M263=0,1.75,IF(M263=10,2.2,IF(M263=20,2.9,IF(M263=30,4.3,IF(M263=40,8.5,IF(M263=50,14.3,IF(M263&lt;=40,1000/('01_参数'!$B$21-'01_参数'!$B$22*M263),1000/(1000/8.5+(M263-40)/10*(1000/14.3-1000/8.5)))))))))</x:f>
        <x:v>4.792592553612839</x:v>
      </x:c>
      <x:c r="O263" s="22" t="n">
        <x:v>836</x:v>
      </x:c>
      <x:c r="P263" s="26" t="n">
        <x:f>MAX(0,MIN('01_参数'!$B$20,'02_人物原始合计'!AM263/100,'01_参数'!$B$19+'02_人物原始合计'!AN263/100))</x:f>
        <x:v>0.63</x:v>
      </x:c>
      <x:c r="Q263" s="28" t="n">
        <x:f>((('02_人物原始合计'!E263+('02_人物原始合计'!F263-'02_人物原始合计'!E263)*IF(J263&gt;=12,1,0.5+0.5*MAX(0,J263)/12))*(1+'02_人物原始合计'!Q263/100))*(1+'02_人物原始合计'!U263/100+IF(J263&gt;=15,0.15,0))*(1+'02_人物原始合计'!V263/100)*(1+'02_人物原始合计'!T263)*(1+'02_人物原始合计'!W263*'01_参数'!$B$18)*(1+MAX(0,MIN(1,'02_人物原始合计'!X263/100))*('01_参数'!$B$16+'02_人物原始合计'!Y263/100-1))*(1+MAX(0,MIN(1,'02_人物原始合计'!Z263/100))*('01_参数'!$B$17+'02_人物原始合计'!AA263/100-1))+'02_人物原始合计'!AB263)*N263*'01_参数'!$B$7*'01_参数'!$B$8</x:f>
        <x:v>932171872.8813027</x:v>
      </x:c>
      <x:c r="R263" s="28" t="n">
        <x:f>Q263*'01_参数'!$B$5</x:f>
        <x:v>1864343745.7626054</x:v>
      </x:c>
      <x:c r="S263" s="28" t="n">
        <x:f>(('02_人物原始合计'!E263+('02_人物原始合计'!F263-'02_人物原始合计'!E263)*IF(J263&gt;=12,1,0.5+0.5*MAX(0,J263)/12))*(1+'02_人物原始合计'!Q263/100))*(1+'02_人物原始合计'!U263/100+IF(J263&gt;=15,0.15,0))*(1+'02_人物原始合计'!V263/100)*(1+'02_人物原始合计'!T263)*(1+'02_人物原始合计'!W263*'01_参数'!$B$18)*(1+MAX(0,MIN(1,'02_人物原始合计'!X263/100))*('01_参数'!$B$16+'02_人物原始合计'!Y263/100-1))*(1+MAX(0,MIN(1,'02_人物原始合计'!Z263/100))*('01_参数'!$B$17+'02_人物原始合计'!AA263/100-1))*N263*'01_参数'!$B$7*'01_参数'!$B$8*MAX(0,'02_人物原始合计'!AO263/100)</x:f>
        <x:v>65252031.101691194</x:v>
      </x:c>
      <x:c r="T263" s="28" t="n">
        <x:f>S263*'01_参数'!$B$6</x:f>
        <x:v>84827640.43219855</x:v>
      </x:c>
      <x:c r="U263" s="28" t="n">
        <x:v>0</x:v>
      </x:c>
      <x:c r="V263" s="28" t="n">
        <x:f>T263+U263</x:f>
        <x:v>84827640.43219855</x:v>
      </x:c>
      <x:c r="W263" s="22" t="n">
        <x:v>28</x:v>
      </x:c>
      <x:c r="X263" s="22" t="n">
        <x:v>265</x:v>
      </x:c>
      <x:c r="Y263" s="22" t="str">
        <x:v>C08G04BOSS强装对照</x:v>
      </x:c>
    </x:row>
    <x:row r="264" ht="24" customHeight="1">
      <x:c r="A264" s="22" t="str">
        <x:v>P0260</x:v>
      </x:c>
      <x:c r="B264" s="22" t="n">
        <x:v>8</x:v>
      </x:c>
      <x:c r="C264" s="22" t="n">
        <x:v>4</x:v>
      </x:c>
      <x:c r="D264" s="22" t="str">
        <x:v>巨人王庭阶段积累后</x:v>
      </x:c>
      <x:c r="E264" s="26" t="n">
        <x:v>0.4823774776198028</x:v>
      </x:c>
      <x:c r="F264" s="22" t="n">
        <x:v>8</x:v>
      </x:c>
      <x:c r="G264" s="22" t="n">
        <x:v>216</x:v>
      </x:c>
      <x:c r="H264" s="22" t="n">
        <x:v>15</x:v>
      </x:c>
      <x:c r="I264" s="22" t="n">
        <x:v>7</x:v>
      </x:c>
      <x:c r="J264" s="22" t="n">
        <x:f>'02_人物原始合计'!AG264+'02_人物原始合计'!AH264</x:f>
        <x:v>15</x:v>
      </x:c>
      <x:c r="K264" s="28" t="n">
        <x:f>'02_人物原始合计'!F264*(1+'02_人物原始合计'!Q264/100)</x:f>
        <x:v>1276544.6400000001</x:v>
      </x:c>
      <x:c r="L264" s="28" t="n">
        <x:f>'02_人物原始合计'!K264*(1+'02_人物原始合计'!AV264/100)</x:f>
        <x:v>14092237.000000002</x:v>
      </x:c>
      <x:c r="M264" s="22" t="n">
        <x:f>MAX(0,MIN(50,'02_人物原始合计'!AD264,20+MIN(30,'02_人物原始合计'!AE264)))</x:f>
        <x:v>32</x:v>
      </x:c>
      <x:c r="N264" s="22" t="n">
        <x:f>IF(M264=0,1.75,IF(M264=10,2.2,IF(M264=20,2.9,IF(M264=30,4.3,IF(M264=40,8.5,IF(M264=50,14.3,IF(M264&lt;=40,1000/('01_参数'!$B$21-'01_参数'!$B$22*M264),1000/(1000/8.5+(M264-40)/10*(1000/14.3-1000/8.5)))))))))</x:f>
        <x:v>4.792592553612839</x:v>
      </x:c>
      <x:c r="O264" s="22" t="n">
        <x:v>872</x:v>
      </x:c>
      <x:c r="P264" s="26" t="n">
        <x:f>MAX(0,MIN('01_参数'!$B$20,'02_人物原始合计'!AM264/100,'01_参数'!$B$19+'02_人物原始合计'!AN264/100))</x:f>
        <x:v>0.68</x:v>
      </x:c>
      <x:c r="Q264" s="28" t="n">
        <x:f>((('02_人物原始合计'!E264+('02_人物原始合计'!F264-'02_人物原始合计'!E264)*IF(J264&gt;=12,1,0.5+0.5*MAX(0,J264)/12))*(1+'02_人物原始合计'!Q264/100))*(1+'02_人物原始合计'!U264/100+IF(J264&gt;=15,0.15,0))*(1+'02_人物原始合计'!V264/100)*(1+'02_人物原始合计'!T264)*(1+'02_人物原始合计'!W264*'01_参数'!$B$18)*(1+MAX(0,MIN(1,'02_人物原始合计'!X264/100))*('01_参数'!$B$16+'02_人物原始合计'!Y264/100-1))*(1+MAX(0,MIN(1,'02_人物原始合计'!Z264/100))*('01_参数'!$B$17+'02_人物原始合计'!AA264/100-1))+'02_人物原始合计'!AB264)*N264*'01_参数'!$B$7*'01_参数'!$B$8</x:f>
        <x:v>1157805300.6402266</x:v>
      </x:c>
      <x:c r="R264" s="28" t="n">
        <x:f>Q264*'01_参数'!$B$5</x:f>
        <x:v>2315610601.280453</x:v>
      </x:c>
      <x:c r="S264" s="28" t="n">
        <x:f>(('02_人物原始合计'!E264+('02_人物原始合计'!F264-'02_人物原始合计'!E264)*IF(J264&gt;=12,1,0.5+0.5*MAX(0,J264)/12))*(1+'02_人物原始合计'!Q264/100))*(1+'02_人物原始合计'!U264/100+IF(J264&gt;=15,0.15,0))*(1+'02_人物原始合计'!V264/100)*(1+'02_人物原始合计'!T264)*(1+'02_人物原始合计'!W264*'01_参数'!$B$18)*(1+MAX(0,MIN(1,'02_人物原始合计'!X264/100))*('01_参数'!$B$16+'02_人物原始合计'!Y264/100-1))*(1+MAX(0,MIN(1,'02_人物原始合计'!Z264/100))*('01_参数'!$B$17+'02_人物原始合计'!AA264/100-1))*N264*'01_参数'!$B$7*'01_参数'!$B$8*MAX(0,'02_人物原始合计'!AO264/100)</x:f>
        <x:v>81046371.04481587</x:v>
      </x:c>
      <x:c r="T264" s="28" t="n">
        <x:f>S264*'01_参数'!$B$6</x:f>
        <x:v>105360282.35826063</x:v>
      </x:c>
      <x:c r="U264" s="28" t="n">
        <x:v>0</x:v>
      </x:c>
      <x:c r="V264" s="28" t="n">
        <x:f>T264+U264</x:f>
        <x:v>105360282.35826063</x:v>
      </x:c>
      <x:c r="W264" s="22" t="n">
        <x:v>30</x:v>
      </x:c>
      <x:c r="X264" s="22" t="n">
        <x:v>266</x:v>
      </x:c>
      <x:c r="Y264" s="22" t="str">
        <x:v>主线</x:v>
      </x:c>
    </x:row>
    <x:row r="265" ht="24" customHeight="1">
      <x:c r="A265" s="22" t="str">
        <x:v>P0261</x:v>
      </x:c>
      <x:c r="B265" s="22" t="n">
        <x:v>8</x:v>
      </x:c>
      <x:c r="C265" s="22" t="n">
        <x:v>4</x:v>
      </x:c>
      <x:c r="D265" s="22" t="str">
        <x:v>C08守关前必做制作完成</x:v>
      </x:c>
      <x:c r="E265" s="26" t="n">
        <x:v>0.4823774776198028</x:v>
      </x:c>
      <x:c r="F265" s="22" t="n">
        <x:v>8</x:v>
      </x:c>
      <x:c r="G265" s="22" t="n">
        <x:v>217</x:v>
      </x:c>
      <x:c r="H265" s="22" t="n">
        <x:v>15</x:v>
      </x:c>
      <x:c r="I265" s="22" t="n">
        <x:v>7</x:v>
      </x:c>
      <x:c r="J265" s="22" t="n">
        <x:f>'02_人物原始合计'!AG265+'02_人物原始合计'!AH265</x:f>
        <x:v>15</x:v>
      </x:c>
      <x:c r="K265" s="28" t="n">
        <x:f>'02_人物原始合计'!F265*(1+'02_人物原始合计'!Q265/100)</x:f>
        <x:v>1286806.9200000002</x:v>
      </x:c>
      <x:c r="L265" s="28" t="n">
        <x:f>'02_人物原始合计'!K265*(1+'02_人物原始合计'!AV265/100)</x:f>
        <x:v>14122400.000000002</x:v>
      </x:c>
      <x:c r="M265" s="22" t="n">
        <x:f>MAX(0,MIN(50,'02_人物原始合计'!AD265,20+MIN(30,'02_人物原始合计'!AE265)))</x:f>
        <x:v>32</x:v>
      </x:c>
      <x:c r="N265" s="22" t="n">
        <x:f>IF(M265=0,1.75,IF(M265=10,2.2,IF(M265=20,2.9,IF(M265=30,4.3,IF(M265=40,8.5,IF(M265=50,14.3,IF(M265&lt;=40,1000/('01_参数'!$B$21-'01_参数'!$B$22*M265),1000/(1000/8.5+(M265-40)/10*(1000/14.3-1000/8.5)))))))))</x:f>
        <x:v>4.792592553612839</x:v>
      </x:c>
      <x:c r="O265" s="22" t="n">
        <x:v>882</x:v>
      </x:c>
      <x:c r="P265" s="26" t="n">
        <x:f>MAX(0,MIN('01_参数'!$B$20,'02_人物原始合计'!AM265/100,'01_参数'!$B$19+'02_人物原始合计'!AN265/100))</x:f>
        <x:v>0.68</x:v>
      </x:c>
      <x:c r="Q265" s="28" t="n">
        <x:f>((('02_人物原始合计'!E265+('02_人物原始合计'!F265-'02_人物原始合计'!E265)*IF(J265&gt;=12,1,0.5+0.5*MAX(0,J265)/12))*(1+'02_人物原始合计'!Q265/100))*(1+'02_人物原始合计'!U265/100+IF(J265&gt;=15,0.15,0))*(1+'02_人物原始合计'!V265/100)*(1+'02_人物原始合计'!T265)*(1+'02_人物原始合计'!W265*'01_参数'!$B$18)*(1+MAX(0,MIN(1,'02_人物原始合计'!X265/100))*('01_参数'!$B$16+'02_人物原始合计'!Y265/100-1))*(1+MAX(0,MIN(1,'02_人物原始合计'!Z265/100))*('01_参数'!$B$17+'02_人物原始合计'!AA265/100-1))+'02_人物原始合计'!AB265)*N265*'01_参数'!$B$7*'01_参数'!$B$8</x:f>
        <x:v>1167113022.2884521</x:v>
      </x:c>
      <x:c r="R265" s="28" t="n">
        <x:f>Q265*'01_参数'!$B$5</x:f>
        <x:v>2334226044.5769043</x:v>
      </x:c>
      <x:c r="S265" s="28" t="n">
        <x:f>(('02_人物原始合计'!E265+('02_人物原始合计'!F265-'02_人物原始合计'!E265)*IF(J265&gt;=12,1,0.5+0.5*MAX(0,J265)/12))*(1+'02_人物原始合计'!Q265/100))*(1+'02_人物原始合计'!U265/100+IF(J265&gt;=15,0.15,0))*(1+'02_人物原始合计'!V265/100)*(1+'02_人物原始合计'!T265)*(1+'02_人物原始合计'!W265*'01_参数'!$B$18)*(1+MAX(0,MIN(1,'02_人物原始合计'!X265/100))*('01_参数'!$B$16+'02_人物原始合计'!Y265/100-1))*(1+MAX(0,MIN(1,'02_人物原始合计'!Z265/100))*('01_参数'!$B$17+'02_人物原始合计'!AA265/100-1))*N265*'01_参数'!$B$7*'01_参数'!$B$8*MAX(0,'02_人物原始合计'!AO265/100)</x:f>
        <x:v>81697911.56019166</x:v>
      </x:c>
      <x:c r="T265" s="28" t="n">
        <x:f>S265*'01_参数'!$B$6</x:f>
        <x:v>106207285.02824916</x:v>
      </x:c>
      <x:c r="U265" s="28" t="n">
        <x:v>0</x:v>
      </x:c>
      <x:c r="V265" s="28" t="n">
        <x:f>T265+U265</x:f>
        <x:v>106207285.02824916</x:v>
      </x:c>
      <x:c r="W265" s="22" t="n">
        <x:v>30</x:v>
      </x:c>
      <x:c r="X265" s="22" t="n">
        <x:v>266</x:v>
      </x:c>
      <x:c r="Y265" s="22" t="str">
        <x:v>主线</x:v>
      </x:c>
    </x:row>
    <x:row r="266" ht="24" customHeight="1">
      <x:c r="A266" s="22" t="str">
        <x:v>P0262</x:v>
      </x:c>
      <x:c r="B266" s="22" t="n">
        <x:v>8</x:v>
      </x:c>
      <x:c r="C266" s="22" t="n">
        <x:v>4</x:v>
      </x:c>
      <x:c r="D266" s="22" t="str">
        <x:v>C08约70%守关参考</x:v>
      </x:c>
      <x:c r="E266" s="26" t="n">
        <x:v>0.7011274776198028</x:v>
      </x:c>
      <x:c r="F266" s="22" t="n">
        <x:v>8</x:v>
      </x:c>
      <x:c r="G266" s="22" t="n">
        <x:v>217</x:v>
      </x:c>
      <x:c r="H266" s="22" t="n">
        <x:v>15</x:v>
      </x:c>
      <x:c r="I266" s="22" t="n">
        <x:v>7</x:v>
      </x:c>
      <x:c r="J266" s="22" t="n">
        <x:f>'02_人物原始合计'!AG266+'02_人物原始合计'!AH266</x:f>
        <x:v>15</x:v>
      </x:c>
      <x:c r="K266" s="28" t="n">
        <x:f>'02_人物原始合计'!F266*(1+'02_人物原始合计'!Q266/100)</x:f>
        <x:v>1305958.9200000002</x:v>
      </x:c>
      <x:c r="L266" s="28" t="n">
        <x:f>'02_人物原始合计'!K266*(1+'02_人物原始合计'!AV266/100)</x:f>
        <x:v>14289200.000000002</x:v>
      </x:c>
      <x:c r="M266" s="22" t="n">
        <x:f>MAX(0,MIN(50,'02_人物原始合计'!AD266,20+MIN(30,'02_人物原始合计'!AE266)))</x:f>
        <x:v>32</x:v>
      </x:c>
      <x:c r="N266" s="22" t="n">
        <x:f>IF(M266=0,1.75,IF(M266=10,2.2,IF(M266=20,2.9,IF(M266=30,4.3,IF(M266=40,8.5,IF(M266=50,14.3,IF(M266&lt;=40,1000/('01_参数'!$B$21-'01_参数'!$B$22*M266),1000/(1000/8.5+(M266-40)/10*(1000/14.3-1000/8.5)))))))))</x:f>
        <x:v>4.792592553612839</x:v>
      </x:c>
      <x:c r="O266" s="22" t="n">
        <x:v>982</x:v>
      </x:c>
      <x:c r="P266" s="26" t="n">
        <x:f>MAX(0,MIN('01_参数'!$B$20,'02_人物原始合计'!AM266/100,'01_参数'!$B$19+'02_人物原始合计'!AN266/100))</x:f>
        <x:v>0.68</x:v>
      </x:c>
      <x:c r="Q266" s="28" t="n">
        <x:f>((('02_人物原始合计'!E266+('02_人物原始合计'!F266-'02_人物原始合计'!E266)*IF(J266&gt;=12,1,0.5+0.5*MAX(0,J266)/12))*(1+'02_人物原始合计'!Q266/100))*(1+'02_人物原始合计'!U266/100+IF(J266&gt;=15,0.15,0))*(1+'02_人物原始合计'!V266/100)*(1+'02_人物原始合计'!T266)*(1+'02_人物原始合计'!W266*'01_参数'!$B$18)*(1+MAX(0,MIN(1,'02_人物原始合计'!X266/100))*('01_参数'!$B$16+'02_人物原始合计'!Y266/100-1))*(1+MAX(0,MIN(1,'02_人物原始合计'!Z266/100))*('01_参数'!$B$17+'02_人物原始合计'!AA266/100-1))+'02_人物原始合计'!AB266)*N266*'01_参数'!$B$7*'01_参数'!$B$8</x:f>
        <x:v>1228557383.3844552</x:v>
      </x:c>
      <x:c r="R266" s="28" t="n">
        <x:f>Q266*'01_参数'!$B$5</x:f>
        <x:v>2457114766.7689104</x:v>
      </x:c>
      <x:c r="S266" s="28" t="n">
        <x:f>(('02_人物原始合计'!E266+('02_人物原始合计'!F266-'02_人物原始合计'!E266)*IF(J266&gt;=12,1,0.5+0.5*MAX(0,J266)/12))*(1+'02_人物原始合计'!Q266/100))*(1+'02_人物原始合计'!U266/100+IF(J266&gt;=15,0.15,0))*(1+'02_人物原始合计'!V266/100)*(1+'02_人物原始合计'!T266)*(1+'02_人物原始合计'!W266*'01_参数'!$B$18)*(1+MAX(0,MIN(1,'02_人物原始合计'!X266/100))*('01_参数'!$B$16+'02_人物原始合计'!Y266/100-1))*(1+MAX(0,MIN(1,'02_人物原始合计'!Z266/100))*('01_参数'!$B$17+'02_人物原始合计'!AA266/100-1))*N266*'01_参数'!$B$7*'01_参数'!$B$8*MAX(0,'02_人物原始合计'!AO266/100)</x:f>
        <x:v>85999016.83691187</x:v>
      </x:c>
      <x:c r="T266" s="28" t="n">
        <x:f>S266*'01_参数'!$B$6</x:f>
        <x:v>111798721.88798544</x:v>
      </x:c>
      <x:c r="U266" s="28" t="n">
        <x:v>0</x:v>
      </x:c>
      <x:c r="V266" s="28" t="n">
        <x:f>T266+U266</x:f>
        <x:v>111798721.88798544</x:v>
      </x:c>
      <x:c r="W266" s="22" t="n">
        <x:v>30</x:v>
      </x:c>
      <x:c r="X266" s="22" t="n">
        <x:v>289</x:v>
      </x:c>
      <x:c r="Y266" s="22" t="str">
        <x:v>主线</x:v>
      </x:c>
    </x:row>
    <x:row r="267" ht="24" customHeight="1">
      <x:c r="A267" s="22" t="str">
        <x:v>P0263</x:v>
      </x:c>
      <x:c r="B267" s="22" t="n">
        <x:v>8</x:v>
      </x:c>
      <x:c r="C267" s="22" t="n">
        <x:v>4</x:v>
      </x:c>
      <x:c r="D267" s="22" t="str">
        <x:v>C08高完成度参考</x:v>
      </x:c>
      <x:c r="E267" s="26" t="n">
        <x:v>0.9387642356496889</x:v>
      </x:c>
      <x:c r="F267" s="22" t="n">
        <x:v>8</x:v>
      </x:c>
      <x:c r="G267" s="22" t="n">
        <x:v>217</x:v>
      </x:c>
      <x:c r="H267" s="22" t="n">
        <x:v>15</x:v>
      </x:c>
      <x:c r="I267" s="22" t="n">
        <x:v>7</x:v>
      </x:c>
      <x:c r="J267" s="22" t="n">
        <x:f>'02_人物原始合计'!AG267+'02_人物原始合计'!AH267</x:f>
        <x:v>15</x:v>
      </x:c>
      <x:c r="K267" s="28" t="n">
        <x:f>'02_人物原始合计'!F267*(1+'02_人物原始合计'!Q267/100)</x:f>
        <x:v>1457192.8800000001</x:v>
      </x:c>
      <x:c r="L267" s="28" t="n">
        <x:f>'02_人物原始合计'!K267*(1+'02_人物原始合计'!AV267/100)</x:f>
        <x:v>15162954.000000002</x:v>
      </x:c>
      <x:c r="M267" s="22" t="n">
        <x:f>MAX(0,MIN(50,'02_人物原始合计'!AD267,20+MIN(30,'02_人物原始合计'!AE267)))</x:f>
        <x:v>32</x:v>
      </x:c>
      <x:c r="N267" s="22" t="n">
        <x:f>IF(M267=0,1.75,IF(M267=10,2.2,IF(M267=20,2.9,IF(M267=30,4.3,IF(M267=40,8.5,IF(M267=50,14.3,IF(M267&lt;=40,1000/('01_参数'!$B$21-'01_参数'!$B$22*M267),1000/(1000/8.5+(M267-40)/10*(1000/14.3-1000/8.5)))))))))</x:f>
        <x:v>4.792592553612839</x:v>
      </x:c>
      <x:c r="O267" s="22" t="n">
        <x:v>1032</x:v>
      </x:c>
      <x:c r="P267" s="26" t="n">
        <x:f>MAX(0,MIN('01_参数'!$B$20,'02_人物原始合计'!AM267/100,'01_参数'!$B$19+'02_人物原始合计'!AN267/100))</x:f>
        <x:v>0.71</x:v>
      </x:c>
      <x:c r="Q267" s="28" t="n">
        <x:f>((('02_人物原始合计'!E267+('02_人物原始合计'!F267-'02_人物原始合计'!E267)*IF(J267&gt;=12,1,0.5+0.5*MAX(0,J267)/12))*(1+'02_人物原始合计'!Q267/100))*(1+'02_人物原始合计'!U267/100+IF(J267&gt;=15,0.15,0))*(1+'02_人物原始合计'!V267/100)*(1+'02_人物原始合计'!T267)*(1+'02_人物原始合计'!W267*'01_参数'!$B$18)*(1+MAX(0,MIN(1,'02_人物原始合计'!X267/100))*('01_参数'!$B$16+'02_人物原始合计'!Y267/100-1))*(1+MAX(0,MIN(1,'02_人物原始合计'!Z267/100))*('01_参数'!$B$17+'02_人物原始合计'!AA267/100-1))+'02_人物原始合计'!AB267)*N267*'01_参数'!$B$7*'01_参数'!$B$8</x:f>
        <x:v>1647675245.0921605</x:v>
      </x:c>
      <x:c r="R267" s="28" t="n">
        <x:f>Q267*'01_参数'!$B$5</x:f>
        <x:v>3295350490.184321</x:v>
      </x:c>
      <x:c r="S267" s="28" t="n">
        <x:f>(('02_人物原始合计'!E267+('02_人物原始合计'!F267-'02_人物原始合计'!E267)*IF(J267&gt;=12,1,0.5+0.5*MAX(0,J267)/12))*(1+'02_人物原始合计'!Q267/100))*(1+'02_人物原始合计'!U267/100+IF(J267&gt;=15,0.15,0))*(1+'02_人物原始合计'!V267/100)*(1+'02_人物原始合计'!T267)*(1+'02_人物原始合计'!W267*'01_参数'!$B$18)*(1+MAX(0,MIN(1,'02_人物原始合计'!X267/100))*('01_参数'!$B$16+'02_人物原始合计'!Y267/100-1))*(1+MAX(0,MIN(1,'02_人物原始合计'!Z267/100))*('01_参数'!$B$17+'02_人物原始合计'!AA267/100-1))*N267*'01_参数'!$B$7*'01_参数'!$B$8*MAX(0,'02_人物原始合计'!AO267/100)</x:f>
        <x:v>115337267.15645124</x:v>
      </x:c>
      <x:c r="T267" s="28" t="n">
        <x:f>S267*'01_参数'!$B$6</x:f>
        <x:v>149938447.30338663</x:v>
      </x:c>
      <x:c r="U267" s="28" t="n">
        <x:v>0</x:v>
      </x:c>
      <x:c r="V267" s="28" t="n">
        <x:f>T267+U267</x:f>
        <x:v>149938447.30338663</x:v>
      </x:c>
      <x:c r="W267" s="22" t="n">
        <x:v>30</x:v>
      </x:c>
      <x:c r="X267" s="22" t="n">
        <x:v>313</x:v>
      </x:c>
      <x:c r="Y267" s="22" t="str">
        <x:v>C08高完成度</x:v>
      </x:c>
    </x:row>
    <x:row r="268" ht="24" customHeight="1">
      <x:c r="A268" s="22" t="str">
        <x:v>P0264</x:v>
      </x:c>
      <x:c r="B268" s="22" t="n">
        <x:v>8</x:v>
      </x:c>
      <x:c r="C268" s="22" t="n">
        <x:v>4</x:v>
      </x:c>
      <x:c r="D268" s="22" t="str">
        <x:v>C08守关后继承</x:v>
      </x:c>
      <x:c r="E268" s="26" t="n">
        <x:v>0.7011274776198028</x:v>
      </x:c>
      <x:c r="F268" s="22" t="n">
        <x:v>8</x:v>
      </x:c>
      <x:c r="G268" s="22" t="n">
        <x:v>217</x:v>
      </x:c>
      <x:c r="H268" s="22" t="n">
        <x:v>15</x:v>
      </x:c>
      <x:c r="I268" s="22" t="n">
        <x:v>7</x:v>
      </x:c>
      <x:c r="J268" s="22" t="n">
        <x:f>'02_人物原始合计'!AG268+'02_人物原始合计'!AH268</x:f>
        <x:v>15</x:v>
      </x:c>
      <x:c r="K268" s="28" t="n">
        <x:f>'02_人物原始合计'!F268*(1+'02_人物原始合计'!Q268/100)</x:f>
        <x:v>1305958.9200000002</x:v>
      </x:c>
      <x:c r="L268" s="28" t="n">
        <x:f>'02_人物原始合计'!K268*(1+'02_人物原始合计'!AV268/100)</x:f>
        <x:v>14289200.000000002</x:v>
      </x:c>
      <x:c r="M268" s="22" t="n">
        <x:f>MAX(0,MIN(50,'02_人物原始合计'!AD268,20+MIN(30,'02_人物原始合计'!AE268)))</x:f>
        <x:v>32</x:v>
      </x:c>
      <x:c r="N268" s="22" t="n">
        <x:f>IF(M268=0,1.75,IF(M268=10,2.2,IF(M268=20,2.9,IF(M268=30,4.3,IF(M268=40,8.5,IF(M268=50,14.3,IF(M268&lt;=40,1000/('01_参数'!$B$21-'01_参数'!$B$22*M268),1000/(1000/8.5+(M268-40)/10*(1000/14.3-1000/8.5)))))))))</x:f>
        <x:v>4.792592553612839</x:v>
      </x:c>
      <x:c r="O268" s="22" t="n">
        <x:v>982</x:v>
      </x:c>
      <x:c r="P268" s="26" t="n">
        <x:f>MAX(0,MIN('01_参数'!$B$20,'02_人物原始合计'!AM268/100,'01_参数'!$B$19+'02_人物原始合计'!AN268/100))</x:f>
        <x:v>0.68</x:v>
      </x:c>
      <x:c r="Q268" s="28" t="n">
        <x:f>((('02_人物原始合计'!E268+('02_人物原始合计'!F268-'02_人物原始合计'!E268)*IF(J268&gt;=12,1,0.5+0.5*MAX(0,J268)/12))*(1+'02_人物原始合计'!Q268/100))*(1+'02_人物原始合计'!U268/100+IF(J268&gt;=15,0.15,0))*(1+'02_人物原始合计'!V268/100)*(1+'02_人物原始合计'!T268)*(1+'02_人物原始合计'!W268*'01_参数'!$B$18)*(1+MAX(0,MIN(1,'02_人物原始合计'!X268/100))*('01_参数'!$B$16+'02_人物原始合计'!Y268/100-1))*(1+MAX(0,MIN(1,'02_人物原始合计'!Z268/100))*('01_参数'!$B$17+'02_人物原始合计'!AA268/100-1))+'02_人物原始合计'!AB268)*N268*'01_参数'!$B$7*'01_参数'!$B$8</x:f>
        <x:v>1228557383.3844552</x:v>
      </x:c>
      <x:c r="R268" s="28" t="n">
        <x:f>Q268*'01_参数'!$B$5</x:f>
        <x:v>2457114766.7689104</x:v>
      </x:c>
      <x:c r="S268" s="28" t="n">
        <x:f>(('02_人物原始合计'!E268+('02_人物原始合计'!F268-'02_人物原始合计'!E268)*IF(J268&gt;=12,1,0.5+0.5*MAX(0,J268)/12))*(1+'02_人物原始合计'!Q268/100))*(1+'02_人物原始合计'!U268/100+IF(J268&gt;=15,0.15,0))*(1+'02_人物原始合计'!V268/100)*(1+'02_人物原始合计'!T268)*(1+'02_人物原始合计'!W268*'01_参数'!$B$18)*(1+MAX(0,MIN(1,'02_人物原始合计'!X268/100))*('01_参数'!$B$16+'02_人物原始合计'!Y268/100-1))*(1+MAX(0,MIN(1,'02_人物原始合计'!Z268/100))*('01_参数'!$B$17+'02_人物原始合计'!AA268/100-1))*N268*'01_参数'!$B$7*'01_参数'!$B$8*MAX(0,'02_人物原始合计'!AO268/100)</x:f>
        <x:v>85999016.83691187</x:v>
      </x:c>
      <x:c r="T268" s="28" t="n">
        <x:f>S268*'01_参数'!$B$6</x:f>
        <x:v>111798721.88798544</x:v>
      </x:c>
      <x:c r="U268" s="28" t="n">
        <x:v>0</x:v>
      </x:c>
      <x:c r="V268" s="28" t="n">
        <x:f>T268+U268</x:f>
        <x:v>111798721.88798544</x:v>
      </x:c>
      <x:c r="W268" s="22" t="n">
        <x:v>30</x:v>
      </x:c>
      <x:c r="X268" s="22" t="n">
        <x:v>289</x:v>
      </x:c>
      <x:c r="Y268" s="22" t="str">
        <x:v>主线</x:v>
      </x:c>
    </x:row>
    <x:row r="269" ht="24" customHeight="1">
      <x:c r="A269" s="22" t="str">
        <x:v>P0265</x:v>
      </x:c>
      <x:c r="B269" s="22" t="n">
        <x:v>9</x:v>
      </x:c>
      <x:c r="C269" s="22" t="n">
        <x:v>1</x:v>
      </x:c>
      <x:c r="D269" s="22" t="str">
        <x:v>C09入场继承</x:v>
      </x:c>
      <x:c r="E269" s="26" t="n">
        <x:v>0.12029605524307241</x:v>
      </x:c>
      <x:c r="F269" s="22" t="n">
        <x:v>8</x:v>
      </x:c>
      <x:c r="G269" s="22" t="n">
        <x:v>217</x:v>
      </x:c>
      <x:c r="H269" s="22" t="n">
        <x:v>15</x:v>
      </x:c>
      <x:c r="I269" s="22" t="n">
        <x:v>7</x:v>
      </x:c>
      <x:c r="J269" s="22" t="n">
        <x:f>'02_人物原始合计'!AG269+'02_人物原始合计'!AH269</x:f>
        <x:v>15</x:v>
      </x:c>
      <x:c r="K269" s="28" t="n">
        <x:f>'02_人物原始合计'!F269*(1+'02_人物原始合计'!Q269/100)</x:f>
        <x:v>1305958.9200000002</x:v>
      </x:c>
      <x:c r="L269" s="28" t="n">
        <x:f>'02_人物原始合计'!K269*(1+'02_人物原始合计'!AV269/100)</x:f>
        <x:v>14289200.000000002</x:v>
      </x:c>
      <x:c r="M269" s="22" t="n">
        <x:f>MAX(0,MIN(50,'02_人物原始合计'!AD269,20+MIN(30,'02_人物原始合计'!AE269)))</x:f>
        <x:v>32</x:v>
      </x:c>
      <x:c r="N269" s="22" t="n">
        <x:f>IF(M269=0,1.75,IF(M269=10,2.2,IF(M269=20,2.9,IF(M269=30,4.3,IF(M269=40,8.5,IF(M269=50,14.3,IF(M269&lt;=40,1000/('01_参数'!$B$21-'01_参数'!$B$22*M269),1000/(1000/8.5+(M269-40)/10*(1000/14.3-1000/8.5)))))))))</x:f>
        <x:v>4.792592553612839</x:v>
      </x:c>
      <x:c r="O269" s="22" t="n">
        <x:v>982</x:v>
      </x:c>
      <x:c r="P269" s="26" t="n">
        <x:f>MAX(0,MIN('01_参数'!$B$20,'02_人物原始合计'!AM269/100,'01_参数'!$B$19+'02_人物原始合计'!AN269/100))</x:f>
        <x:v>0.68</x:v>
      </x:c>
      <x:c r="Q269" s="28" t="n">
        <x:f>((('02_人物原始合计'!E269+('02_人物原始合计'!F269-'02_人物原始合计'!E269)*IF(J269&gt;=12,1,0.5+0.5*MAX(0,J269)/12))*(1+'02_人物原始合计'!Q269/100))*(1+'02_人物原始合计'!U269/100+IF(J269&gt;=15,0.15,0))*(1+'02_人物原始合计'!V269/100)*(1+'02_人物原始合计'!T269)*(1+'02_人物原始合计'!W269*'01_参数'!$B$18)*(1+MAX(0,MIN(1,'02_人物原始合计'!X269/100))*('01_参数'!$B$16+'02_人物原始合计'!Y269/100-1))*(1+MAX(0,MIN(1,'02_人物原始合计'!Z269/100))*('01_参数'!$B$17+'02_人物原始合计'!AA269/100-1))+'02_人物原始合计'!AB269)*N269*'01_参数'!$B$7*'01_参数'!$B$8</x:f>
        <x:v>1228557383.3844552</x:v>
      </x:c>
      <x:c r="R269" s="28" t="n">
        <x:f>Q269*'01_参数'!$B$5</x:f>
        <x:v>2457114766.7689104</x:v>
      </x:c>
      <x:c r="S269" s="28" t="n">
        <x:f>(('02_人物原始合计'!E269+('02_人物原始合计'!F269-'02_人物原始合计'!E269)*IF(J269&gt;=12,1,0.5+0.5*MAX(0,J269)/12))*(1+'02_人物原始合计'!Q269/100))*(1+'02_人物原始合计'!U269/100+IF(J269&gt;=15,0.15,0))*(1+'02_人物原始合计'!V269/100)*(1+'02_人物原始合计'!T269)*(1+'02_人物原始合计'!W269*'01_参数'!$B$18)*(1+MAX(0,MIN(1,'02_人物原始合计'!X269/100))*('01_参数'!$B$16+'02_人物原始合计'!Y269/100-1))*(1+MAX(0,MIN(1,'02_人物原始合计'!Z269/100))*('01_参数'!$B$17+'02_人物原始合计'!AA269/100-1))*N269*'01_参数'!$B$7*'01_参数'!$B$8*MAX(0,'02_人物原始合计'!AO269/100)</x:f>
        <x:v>85999016.83691187</x:v>
      </x:c>
      <x:c r="T269" s="28" t="n">
        <x:f>S269*'01_参数'!$B$6</x:f>
        <x:v>111798721.88798544</x:v>
      </x:c>
      <x:c r="U269" s="28" t="n">
        <x:v>0</x:v>
      </x:c>
      <x:c r="V269" s="28" t="n">
        <x:f>T269+U269</x:f>
        <x:v>111798721.88798544</x:v>
      </x:c>
      <x:c r="W269" s="22" t="n">
        <x:v>30</x:v>
      </x:c>
      <x:c r="X269" s="22" t="n">
        <x:v>289</x:v>
      </x:c>
      <x:c r="Y269" s="22" t="str">
        <x:v>主线</x:v>
      </x:c>
    </x:row>
    <x:row r="270" ht="24" customHeight="1">
      <x:c r="A270" s="22" t="str">
        <x:v>P0266</x:v>
      </x:c>
      <x:c r="B270" s="22" t="n">
        <x:v>9</x:v>
      </x:c>
      <x:c r="C270" s="22" t="n">
        <x:v>1</x:v>
      </x:c>
      <x:c r="D270" s="22" t="str">
        <x:v>C09本阶段既有付费/长期成长</x:v>
      </x:c>
      <x:c r="E270" s="26" t="n">
        <x:v>0.12029605524307241</x:v>
      </x:c>
      <x:c r="F270" s="22" t="n">
        <x:v>8</x:v>
      </x:c>
      <x:c r="G270" s="22" t="n">
        <x:v>220</x:v>
      </x:c>
      <x:c r="H270" s="22" t="n">
        <x:v>15</x:v>
      </x:c>
      <x:c r="I270" s="22" t="n">
        <x:v>7</x:v>
      </x:c>
      <x:c r="J270" s="22" t="n">
        <x:f>'02_人物原始合计'!AG270+'02_人物原始合计'!AH270</x:f>
        <x:v>15</x:v>
      </x:c>
      <x:c r="K270" s="28" t="n">
        <x:f>'02_人物原始合计'!F270*(1+'02_人物原始合计'!Q270/100)</x:f>
        <x:v>1316444.6400000001</x:v>
      </x:c>
      <x:c r="L270" s="28" t="n">
        <x:f>'02_人物原始合计'!K270*(1+'02_人物原始合计'!AV270/100)</x:f>
        <x:v>14380523.000000002</x:v>
      </x:c>
      <x:c r="M270" s="22" t="n">
        <x:f>MAX(0,MIN(50,'02_人物原始合计'!AD270,20+MIN(30,'02_人物原始合计'!AE270)))</x:f>
        <x:v>32</x:v>
      </x:c>
      <x:c r="N270" s="22" t="n">
        <x:f>IF(M270=0,1.75,IF(M270=10,2.2,IF(M270=20,2.9,IF(M270=30,4.3,IF(M270=40,8.5,IF(M270=50,14.3,IF(M270&lt;=40,1000/('01_参数'!$B$21-'01_参数'!$B$22*M270),1000/(1000/8.5+(M270-40)/10*(1000/14.3-1000/8.5)))))))))</x:f>
        <x:v>4.792592553612839</x:v>
      </x:c>
      <x:c r="O270" s="22" t="n">
        <x:v>982</x:v>
      </x:c>
      <x:c r="P270" s="26" t="n">
        <x:f>MAX(0,MIN('01_参数'!$B$20,'02_人物原始合计'!AM270/100,'01_参数'!$B$19+'02_人物原始合计'!AN270/100))</x:f>
        <x:v>0.68</x:v>
      </x:c>
      <x:c r="Q270" s="28" t="n">
        <x:f>((('02_人物原始合计'!E270+('02_人物原始合计'!F270-'02_人物原始合计'!E270)*IF(J270&gt;=12,1,0.5+0.5*MAX(0,J270)/12))*(1+'02_人物原始合计'!Q270/100))*(1+'02_人物原始合计'!U270/100+IF(J270&gt;=15,0.15,0))*(1+'02_人物原始合计'!V270/100)*(1+'02_人物原始合计'!T270)*(1+'02_人物原始合计'!W270*'01_参数'!$B$18)*(1+MAX(0,MIN(1,'02_人物原始合计'!X270/100))*('01_参数'!$B$16+'02_人物原始合计'!Y270/100-1))*(1+MAX(0,MIN(1,'02_人物原始合计'!Z270/100))*('01_参数'!$B$17+'02_人物原始合计'!AA270/100-1))+'02_人物原始合计'!AB270)*N270*'01_参数'!$B$7*'01_参数'!$B$8</x:f>
        <x:v>1238421636.025803</x:v>
      </x:c>
      <x:c r="R270" s="28" t="n">
        <x:f>Q270*'01_参数'!$B$5</x:f>
        <x:v>2476843272.051606</x:v>
      </x:c>
      <x:c r="S270" s="28" t="n">
        <x:f>(('02_人物原始合计'!E270+('02_人物原始合计'!F270-'02_人物原始合计'!E270)*IF(J270&gt;=12,1,0.5+0.5*MAX(0,J270)/12))*(1+'02_人物原始合计'!Q270/100))*(1+'02_人物原始合计'!U270/100+IF(J270&gt;=15,0.15,0))*(1+'02_人物原始合计'!V270/100)*(1+'02_人物原始合计'!T270)*(1+'02_人物原始合计'!W270*'01_参数'!$B$18)*(1+MAX(0,MIN(1,'02_人物原始合计'!X270/100))*('01_参数'!$B$16+'02_人物原始合计'!Y270/100-1))*(1+MAX(0,MIN(1,'02_人物原始合计'!Z270/100))*('01_参数'!$B$17+'02_人物原始合计'!AA270/100-1))*N270*'01_参数'!$B$7*'01_参数'!$B$8*MAX(0,'02_人物原始合计'!AO270/100)</x:f>
        <x:v>86689514.52180623</x:v>
      </x:c>
      <x:c r="T270" s="28" t="n">
        <x:f>S270*'01_参数'!$B$6</x:f>
        <x:v>112696368.8783481</x:v>
      </x:c>
      <x:c r="U270" s="28" t="n">
        <x:v>0</x:v>
      </x:c>
      <x:c r="V270" s="28" t="n">
        <x:f>T270+U270</x:f>
        <x:v>112696368.8783481</x:v>
      </x:c>
      <x:c r="W270" s="22" t="n">
        <x:v>30</x:v>
      </x:c>
      <x:c r="X270" s="22" t="n">
        <x:v>289</x:v>
      </x:c>
      <x:c r="Y270" s="22" t="str">
        <x:v>主线</x:v>
      </x:c>
    </x:row>
    <x:row r="271" ht="24" customHeight="1">
      <x:c r="A271" s="22" t="str">
        <x:v>P0267</x:v>
      </x:c>
      <x:c r="B271" s="22" t="n">
        <x:v>9</x:v>
      </x:c>
      <x:c r="C271" s="22" t="n">
        <x:v>1</x:v>
      </x:c>
      <x:c r="D271" s="22" t="str">
        <x:v>C09G01入场</x:v>
      </x:c>
      <x:c r="E271" s="26" t="n">
        <x:v>0.12029605524307241</x:v>
      </x:c>
      <x:c r="F271" s="22" t="n">
        <x:v>8</x:v>
      </x:c>
      <x:c r="G271" s="22" t="n">
        <x:v>220</x:v>
      </x:c>
      <x:c r="H271" s="22" t="n">
        <x:v>15</x:v>
      </x:c>
      <x:c r="I271" s="22" t="n">
        <x:v>7</x:v>
      </x:c>
      <x:c r="J271" s="22" t="n">
        <x:f>'02_人物原始合计'!AG271+'02_人物原始合计'!AH271</x:f>
        <x:v>15</x:v>
      </x:c>
      <x:c r="K271" s="28" t="n">
        <x:f>'02_人物原始合计'!F271*(1+'02_人物原始合计'!Q271/100)</x:f>
        <x:v>1316444.6400000001</x:v>
      </x:c>
      <x:c r="L271" s="28" t="n">
        <x:f>'02_人物原始合计'!K271*(1+'02_人物原始合计'!AV271/100)</x:f>
        <x:v>14380523.000000002</x:v>
      </x:c>
      <x:c r="M271" s="22" t="n">
        <x:f>MAX(0,MIN(50,'02_人物原始合计'!AD271,20+MIN(30,'02_人物原始合计'!AE271)))</x:f>
        <x:v>32</x:v>
      </x:c>
      <x:c r="N271" s="22" t="n">
        <x:f>IF(M271=0,1.75,IF(M271=10,2.2,IF(M271=20,2.9,IF(M271=30,4.3,IF(M271=40,8.5,IF(M271=50,14.3,IF(M271&lt;=40,1000/('01_参数'!$B$21-'01_参数'!$B$22*M271),1000/(1000/8.5+(M271-40)/10*(1000/14.3-1000/8.5)))))))))</x:f>
        <x:v>4.792592553612839</x:v>
      </x:c>
      <x:c r="O271" s="22" t="n">
        <x:v>982</x:v>
      </x:c>
      <x:c r="P271" s="26" t="n">
        <x:f>MAX(0,MIN('01_参数'!$B$20,'02_人物原始合计'!AM271/100,'01_参数'!$B$19+'02_人物原始合计'!AN271/100))</x:f>
        <x:v>0.68</x:v>
      </x:c>
      <x:c r="Q271" s="28" t="n">
        <x:f>((('02_人物原始合计'!E271+('02_人物原始合计'!F271-'02_人物原始合计'!E271)*IF(J271&gt;=12,1,0.5+0.5*MAX(0,J271)/12))*(1+'02_人物原始合计'!Q271/100))*(1+'02_人物原始合计'!U271/100+IF(J271&gt;=15,0.15,0))*(1+'02_人物原始合计'!V271/100)*(1+'02_人物原始合计'!T271)*(1+'02_人物原始合计'!W271*'01_参数'!$B$18)*(1+MAX(0,MIN(1,'02_人物原始合计'!X271/100))*('01_参数'!$B$16+'02_人物原始合计'!Y271/100-1))*(1+MAX(0,MIN(1,'02_人物原始合计'!Z271/100))*('01_参数'!$B$17+'02_人物原始合计'!AA271/100-1))+'02_人物原始合计'!AB271)*N271*'01_参数'!$B$7*'01_参数'!$B$8</x:f>
        <x:v>1238421636.025803</x:v>
      </x:c>
      <x:c r="R271" s="28" t="n">
        <x:f>Q271*'01_参数'!$B$5</x:f>
        <x:v>2476843272.051606</x:v>
      </x:c>
      <x:c r="S271" s="28" t="n">
        <x:f>(('02_人物原始合计'!E271+('02_人物原始合计'!F271-'02_人物原始合计'!E271)*IF(J271&gt;=12,1,0.5+0.5*MAX(0,J271)/12))*(1+'02_人物原始合计'!Q271/100))*(1+'02_人物原始合计'!U271/100+IF(J271&gt;=15,0.15,0))*(1+'02_人物原始合计'!V271/100)*(1+'02_人物原始合计'!T271)*(1+'02_人物原始合计'!W271*'01_参数'!$B$18)*(1+MAX(0,MIN(1,'02_人物原始合计'!X271/100))*('01_参数'!$B$16+'02_人物原始合计'!Y271/100-1))*(1+MAX(0,MIN(1,'02_人物原始合计'!Z271/100))*('01_参数'!$B$17+'02_人物原始合计'!AA271/100-1))*N271*'01_参数'!$B$7*'01_参数'!$B$8*MAX(0,'02_人物原始合计'!AO271/100)</x:f>
        <x:v>86689514.52180623</x:v>
      </x:c>
      <x:c r="T271" s="28" t="n">
        <x:f>S271*'01_参数'!$B$6</x:f>
        <x:v>112696368.8783481</x:v>
      </x:c>
      <x:c r="U271" s="28" t="n">
        <x:v>0</x:v>
      </x:c>
      <x:c r="V271" s="28" t="n">
        <x:f>T271+U271</x:f>
        <x:v>112696368.8783481</x:v>
      </x:c>
      <x:c r="W271" s="22" t="n">
        <x:v>30</x:v>
      </x:c>
      <x:c r="X271" s="22" t="n">
        <x:v>289</x:v>
      </x:c>
      <x:c r="Y271" s="22" t="str">
        <x:v>主线</x:v>
      </x:c>
    </x:row>
    <x:row r="272" ht="24" customHeight="1">
      <x:c r="A272" s="22" t="str">
        <x:v>P0268</x:v>
      </x:c>
      <x:c r="B272" s="22" t="n">
        <x:v>9</x:v>
      </x:c>
      <x:c r="C272" s="22" t="n">
        <x:v>1</x:v>
      </x:c>
      <x:c r="D272" s="22" t="str">
        <x:v>C09G01普通专属4/6</x:v>
      </x:c>
      <x:c r="E272" s="26" t="n">
        <x:v>0.12198440655861659</x:v>
      </x:c>
      <x:c r="F272" s="22" t="n">
        <x:v>8</x:v>
      </x:c>
      <x:c r="G272" s="22" t="n">
        <x:v>220</x:v>
      </x:c>
      <x:c r="H272" s="22" t="n">
        <x:v>15</x:v>
      </x:c>
      <x:c r="I272" s="22" t="n">
        <x:v>7</x:v>
      </x:c>
      <x:c r="J272" s="22" t="n">
        <x:f>'02_人物原始合计'!AG272+'02_人物原始合计'!AH272</x:f>
        <x:v>15</x:v>
      </x:c>
      <x:c r="K272" s="28" t="n">
        <x:f>'02_人物原始合计'!F272*(1+'02_人物原始合计'!Q272/100)</x:f>
        <x:v>1313562.6</x:v>
      </x:c>
      <x:c r="L272" s="28" t="n">
        <x:f>'02_人物原始合计'!K272*(1+'02_人物原始合计'!AV272/100)</x:f>
        <x:v>14504233.000000002</x:v>
      </x:c>
      <x:c r="M272" s="22" t="n">
        <x:f>MAX(0,MIN(50,'02_人物原始合计'!AD272,20+MIN(30,'02_人物原始合计'!AE272)))</x:f>
        <x:v>32</x:v>
      </x:c>
      <x:c r="N272" s="22" t="n">
        <x:f>IF(M272=0,1.75,IF(M272=10,2.2,IF(M272=20,2.9,IF(M272=30,4.3,IF(M272=40,8.5,IF(M272=50,14.3,IF(M272&lt;=40,1000/('01_参数'!$B$21-'01_参数'!$B$22*M272),1000/(1000/8.5+(M272-40)/10*(1000/14.3-1000/8.5)))))))))</x:f>
        <x:v>4.792592553612839</x:v>
      </x:c>
      <x:c r="O272" s="22" t="n">
        <x:v>982</x:v>
      </x:c>
      <x:c r="P272" s="26" t="n">
        <x:f>MAX(0,MIN('01_参数'!$B$20,'02_人物原始合计'!AM272/100,'01_参数'!$B$19+'02_人物原始合计'!AN272/100))</x:f>
        <x:v>0.67</x:v>
      </x:c>
      <x:c r="Q272" s="28" t="n">
        <x:f>((('02_人物原始合计'!E272+('02_人物原始合计'!F272-'02_人物原始合计'!E272)*IF(J272&gt;=12,1,0.5+0.5*MAX(0,J272)/12))*(1+'02_人物原始合计'!Q272/100))*(1+'02_人物原始合计'!U272/100+IF(J272&gt;=15,0.15,0))*(1+'02_人物原始合计'!V272/100)*(1+'02_人物原始合计'!T272)*(1+'02_人物原始合计'!W272*'01_参数'!$B$18)*(1+MAX(0,MIN(1,'02_人物原始合计'!X272/100))*('01_参数'!$B$16+'02_人物原始合计'!Y272/100-1))*(1+MAX(0,MIN(1,'02_人物原始合计'!Z272/100))*('01_参数'!$B$17+'02_人物原始合计'!AA272/100-1))+'02_人物原始合计'!AB272)*N272*'01_参数'!$B$7*'01_参数'!$B$8</x:f>
        <x:v>1241211186.3455844</x:v>
      </x:c>
      <x:c r="R272" s="28" t="n">
        <x:f>Q272*'01_参数'!$B$5</x:f>
        <x:v>2482422372.691169</x:v>
      </x:c>
      <x:c r="S272" s="28" t="n">
        <x:f>(('02_人物原始合计'!E272+('02_人物原始合计'!F272-'02_人物原始合计'!E272)*IF(J272&gt;=12,1,0.5+0.5*MAX(0,J272)/12))*(1+'02_人物原始合计'!Q272/100))*(1+'02_人物原始合计'!U272/100+IF(J272&gt;=15,0.15,0))*(1+'02_人物原始合计'!V272/100)*(1+'02_人物原始合计'!T272)*(1+'02_人物原始合计'!W272*'01_参数'!$B$18)*(1+MAX(0,MIN(1,'02_人物原始合计'!X272/100))*('01_参数'!$B$16+'02_人物原始合计'!Y272/100-1))*(1+MAX(0,MIN(1,'02_人物原始合计'!Z272/100))*('01_参数'!$B$17+'02_人物原始合计'!AA272/100-1))*N272*'01_参数'!$B$7*'01_参数'!$B$8*MAX(0,'02_人物原始合计'!AO272/100)</x:f>
        <x:v>86884783.04419091</x:v>
      </x:c>
      <x:c r="T272" s="28" t="n">
        <x:f>S272*'01_参数'!$B$6</x:f>
        <x:v>112950217.95744818</x:v>
      </x:c>
      <x:c r="U272" s="28" t="n">
        <x:v>0</x:v>
      </x:c>
      <x:c r="V272" s="28" t="n">
        <x:f>T272+U272</x:f>
        <x:v>112950217.95744818</x:v>
      </x:c>
      <x:c r="W272" s="22" t="n">
        <x:v>30</x:v>
      </x:c>
      <x:c r="X272" s="22" t="n">
        <x:v>289</x:v>
      </x:c>
      <x:c r="Y272" s="22" t="str">
        <x:v>主线</x:v>
      </x:c>
    </x:row>
    <x:row r="273" ht="24" customHeight="1">
      <x:c r="A273" s="22" t="str">
        <x:v>P0269</x:v>
      </x:c>
      <x:c r="B273" s="22" t="n">
        <x:v>9</x:v>
      </x:c>
      <x:c r="C273" s="22" t="n">
        <x:v>1</x:v>
      </x:c>
      <x:c r="D273" s="22" t="str">
        <x:v>陵园摘冠侯·阿维恩挑战前</x:v>
      </x:c>
      <x:c r="E273" s="26" t="n">
        <x:v>0.12198440655861659</x:v>
      </x:c>
      <x:c r="F273" s="22" t="n">
        <x:v>8</x:v>
      </x:c>
      <x:c r="G273" s="22" t="n">
        <x:v>222</x:v>
      </x:c>
      <x:c r="H273" s="22" t="n">
        <x:v>15</x:v>
      </x:c>
      <x:c r="I273" s="22" t="n">
        <x:v>7</x:v>
      </x:c>
      <x:c r="J273" s="22" t="n">
        <x:f>'02_人物原始合计'!AG273+'02_人物原始合计'!AH273</x:f>
        <x:v>15</x:v>
      </x:c>
      <x:c r="K273" s="28" t="n">
        <x:f>'02_人物原始合计'!F273*(1+'02_人物原始合计'!Q273/100)</x:f>
        <x:v>1320606.3</x:v>
      </x:c>
      <x:c r="L273" s="28" t="n">
        <x:f>'02_人物原始合计'!K273*(1+'02_人物原始合计'!AV273/100)</x:f>
        <x:v>14565810.000000002</x:v>
      </x:c>
      <x:c r="M273" s="22" t="n">
        <x:f>MAX(0,MIN(50,'02_人物原始合计'!AD273,20+MIN(30,'02_人物原始合计'!AE273)))</x:f>
        <x:v>32</x:v>
      </x:c>
      <x:c r="N273" s="22" t="n">
        <x:f>IF(M273=0,1.75,IF(M273=10,2.2,IF(M273=20,2.9,IF(M273=30,4.3,IF(M273=40,8.5,IF(M273=50,14.3,IF(M273&lt;=40,1000/('01_参数'!$B$21-'01_参数'!$B$22*M273),1000/(1000/8.5+(M273-40)/10*(1000/14.3-1000/8.5)))))))))</x:f>
        <x:v>4.792592553612839</x:v>
      </x:c>
      <x:c r="O273" s="22" t="n">
        <x:v>982</x:v>
      </x:c>
      <x:c r="P273" s="26" t="n">
        <x:f>MAX(0,MIN('01_参数'!$B$20,'02_人物原始合计'!AM273/100,'01_参数'!$B$19+'02_人物原始合计'!AN273/100))</x:f>
        <x:v>0.67</x:v>
      </x:c>
      <x:c r="Q273" s="28" t="n">
        <x:f>((('02_人物原始合计'!E273+('02_人物原始合计'!F273-'02_人物原始合计'!E273)*IF(J273&gt;=12,1,0.5+0.5*MAX(0,J273)/12))*(1+'02_人物原始合计'!Q273/100))*(1+'02_人物原始合计'!U273/100+IF(J273&gt;=15,0.15,0))*(1+'02_人物原始合计'!V273/100)*(1+'02_人物原始合计'!T273)*(1+'02_人物原始合计'!W273*'01_参数'!$B$18)*(1+MAX(0,MIN(1,'02_人物原始合计'!X273/100))*('01_参数'!$B$16+'02_人物原始合计'!Y273/100-1))*(1+MAX(0,MIN(1,'02_人物原始合计'!Z273/100))*('01_参数'!$B$17+'02_人物原始合计'!AA273/100-1))+'02_人物原始合计'!AB273)*N273*'01_参数'!$B$7*'01_参数'!$B$8</x:f>
        <x:v>1247866917.2816372</x:v>
      </x:c>
      <x:c r="R273" s="28" t="n">
        <x:f>Q273*'01_参数'!$B$5</x:f>
        <x:v>2495733834.5632744</x:v>
      </x:c>
      <x:c r="S273" s="28" t="n">
        <x:f>(('02_人物原始合计'!E273+('02_人物原始合计'!F273-'02_人物原始合计'!E273)*IF(J273&gt;=12,1,0.5+0.5*MAX(0,J273)/12))*(1+'02_人物原始合计'!Q273/100))*(1+'02_人物原始合计'!U273/100+IF(J273&gt;=15,0.15,0))*(1+'02_人物原始合计'!V273/100)*(1+'02_人物原始合计'!T273)*(1+'02_人物原始合计'!W273*'01_参数'!$B$18)*(1+MAX(0,MIN(1,'02_人物原始合计'!X273/100))*('01_参数'!$B$16+'02_人物原始合计'!Y273/100-1))*(1+MAX(0,MIN(1,'02_人物原始合计'!Z273/100))*('01_参数'!$B$17+'02_人物原始合计'!AA273/100-1))*N273*'01_参数'!$B$7*'01_参数'!$B$8*MAX(0,'02_人物原始合计'!AO273/100)</x:f>
        <x:v>87350684.2097146</x:v>
      </x:c>
      <x:c r="T273" s="28" t="n">
        <x:f>S273*'01_参数'!$B$6</x:f>
        <x:v>113555889.472629</x:v>
      </x:c>
      <x:c r="U273" s="28" t="n">
        <x:v>0</x:v>
      </x:c>
      <x:c r="V273" s="28" t="n">
        <x:f>T273+U273</x:f>
        <x:v>113555889.472629</x:v>
      </x:c>
      <x:c r="W273" s="22" t="n">
        <x:v>30</x:v>
      </x:c>
      <x:c r="X273" s="22" t="n">
        <x:v>289</x:v>
      </x:c>
      <x:c r="Y273" s="22" t="str">
        <x:v>主线</x:v>
      </x:c>
    </x:row>
    <x:row r="274" ht="24" customHeight="1">
      <x:c r="A274" s="22" t="str">
        <x:v>P0270</x:v>
      </x:c>
      <x:c r="B274" s="22" t="n">
        <x:v>9</x:v>
      </x:c>
      <x:c r="C274" s="22" t="n">
        <x:v>1</x:v>
      </x:c>
      <x:c r="D274" s="22" t="str">
        <x:v>金叶祭王·萨鲁恩挑战前</x:v>
      </x:c>
      <x:c r="E274" s="26" t="n">
        <x:v>0.12198440655861659</x:v>
      </x:c>
      <x:c r="F274" s="22" t="n">
        <x:v>8</x:v>
      </x:c>
      <x:c r="G274" s="22" t="n">
        <x:v>222</x:v>
      </x:c>
      <x:c r="H274" s="22" t="n">
        <x:v>15</x:v>
      </x:c>
      <x:c r="I274" s="22" t="n">
        <x:v>7</x:v>
      </x:c>
      <x:c r="J274" s="22" t="n">
        <x:f>'02_人物原始合计'!AG274+'02_人物原始合计'!AH274</x:f>
        <x:v>15</x:v>
      </x:c>
      <x:c r="K274" s="28" t="n">
        <x:f>'02_人物原始合计'!F274*(1+'02_人物原始合计'!Q274/100)</x:f>
        <x:v>1320606.3</x:v>
      </x:c>
      <x:c r="L274" s="28" t="n">
        <x:f>'02_人物原始合计'!K274*(1+'02_人物原始合计'!AV274/100)</x:f>
        <x:v>14565810.000000002</x:v>
      </x:c>
      <x:c r="M274" s="22" t="n">
        <x:f>MAX(0,MIN(50,'02_人物原始合计'!AD274,20+MIN(30,'02_人物原始合计'!AE274)))</x:f>
        <x:v>32</x:v>
      </x:c>
      <x:c r="N274" s="22" t="n">
        <x:f>IF(M274=0,1.75,IF(M274=10,2.2,IF(M274=20,2.9,IF(M274=30,4.3,IF(M274=40,8.5,IF(M274=50,14.3,IF(M274&lt;=40,1000/('01_参数'!$B$21-'01_参数'!$B$22*M274),1000/(1000/8.5+(M274-40)/10*(1000/14.3-1000/8.5)))))))))</x:f>
        <x:v>4.792592553612839</x:v>
      </x:c>
      <x:c r="O274" s="22" t="n">
        <x:v>982</x:v>
      </x:c>
      <x:c r="P274" s="26" t="n">
        <x:f>MAX(0,MIN('01_参数'!$B$20,'02_人物原始合计'!AM274/100,'01_参数'!$B$19+'02_人物原始合计'!AN274/100))</x:f>
        <x:v>0.67</x:v>
      </x:c>
      <x:c r="Q274" s="28" t="n">
        <x:f>((('02_人物原始合计'!E274+('02_人物原始合计'!F274-'02_人物原始合计'!E274)*IF(J274&gt;=12,1,0.5+0.5*MAX(0,J274)/12))*(1+'02_人物原始合计'!Q274/100))*(1+'02_人物原始合计'!U274/100+IF(J274&gt;=15,0.15,0))*(1+'02_人物原始合计'!V274/100)*(1+'02_人物原始合计'!T274)*(1+'02_人物原始合计'!W274*'01_参数'!$B$18)*(1+MAX(0,MIN(1,'02_人物原始合计'!X274/100))*('01_参数'!$B$16+'02_人物原始合计'!Y274/100-1))*(1+MAX(0,MIN(1,'02_人物原始合计'!Z274/100))*('01_参数'!$B$17+'02_人物原始合计'!AA274/100-1))+'02_人物原始合计'!AB274)*N274*'01_参数'!$B$7*'01_参数'!$B$8</x:f>
        <x:v>1247866917.2816372</x:v>
      </x:c>
      <x:c r="R274" s="28" t="n">
        <x:f>Q274*'01_参数'!$B$5</x:f>
        <x:v>2495733834.5632744</x:v>
      </x:c>
      <x:c r="S274" s="28" t="n">
        <x:f>(('02_人物原始合计'!E274+('02_人物原始合计'!F274-'02_人物原始合计'!E274)*IF(J274&gt;=12,1,0.5+0.5*MAX(0,J274)/12))*(1+'02_人物原始合计'!Q274/100))*(1+'02_人物原始合计'!U274/100+IF(J274&gt;=15,0.15,0))*(1+'02_人物原始合计'!V274/100)*(1+'02_人物原始合计'!T274)*(1+'02_人物原始合计'!W274*'01_参数'!$B$18)*(1+MAX(0,MIN(1,'02_人物原始合计'!X274/100))*('01_参数'!$B$16+'02_人物原始合计'!Y274/100-1))*(1+MAX(0,MIN(1,'02_人物原始合计'!Z274/100))*('01_参数'!$B$17+'02_人物原始合计'!AA274/100-1))*N274*'01_参数'!$B$7*'01_参数'!$B$8*MAX(0,'02_人物原始合计'!AO274/100)</x:f>
        <x:v>87350684.2097146</x:v>
      </x:c>
      <x:c r="T274" s="28" t="n">
        <x:f>S274*'01_参数'!$B$6</x:f>
        <x:v>113555889.472629</x:v>
      </x:c>
      <x:c r="U274" s="28" t="n">
        <x:v>0</x:v>
      </x:c>
      <x:c r="V274" s="28" t="n">
        <x:f>T274+U274</x:f>
        <x:v>113555889.472629</x:v>
      </x:c>
      <x:c r="W274" s="22" t="n">
        <x:v>30</x:v>
      </x:c>
      <x:c r="X274" s="22" t="n">
        <x:v>289</x:v>
      </x:c>
      <x:c r="Y274" s="22" t="str">
        <x:v>主线</x:v>
      </x:c>
    </x:row>
    <x:row r="275" ht="24" customHeight="1">
      <x:c r="A275" s="22" t="str">
        <x:v>P0271</x:v>
      </x:c>
      <x:c r="B275" s="22" t="n">
        <x:v>9</x:v>
      </x:c>
      <x:c r="C275" s="22" t="n">
        <x:v>1</x:v>
      </x:c>
      <x:c r="D275" s="22" t="str">
        <x:v>金叶古道BOSS装备快线</x:v>
      </x:c>
      <x:c r="E275" s="26" t="n">
        <x:v>0.1306800587325296</x:v>
      </x:c>
      <x:c r="F275" s="22" t="n">
        <x:v>8</x:v>
      </x:c>
      <x:c r="G275" s="22" t="n">
        <x:v>222</x:v>
      </x:c>
      <x:c r="H275" s="22" t="n">
        <x:v>15</x:v>
      </x:c>
      <x:c r="I275" s="22" t="n">
        <x:v>7</x:v>
      </x:c>
      <x:c r="J275" s="22" t="n">
        <x:f>'02_人物原始合计'!AG275+'02_人物原始合计'!AH275</x:f>
        <x:v>15</x:v>
      </x:c>
      <x:c r="K275" s="28" t="n">
        <x:f>'02_人物原始合计'!F275*(1+'02_人物原始合计'!Q275/100)</x:f>
        <x:v>1343847.8699999999</x:v>
      </x:c>
      <x:c r="L275" s="28" t="n">
        <x:f>'02_人物原始合计'!K275*(1+'02_人物原始合计'!AV275/100)</x:f>
        <x:v>14783206.000000002</x:v>
      </x:c>
      <x:c r="M275" s="22" t="n">
        <x:f>MAX(0,MIN(50,'02_人物原始合计'!AD275,20+MIN(30,'02_人物原始合计'!AE275)))</x:f>
        <x:v>32</x:v>
      </x:c>
      <x:c r="N275" s="22" t="n">
        <x:f>IF(M275=0,1.75,IF(M275=10,2.2,IF(M275=20,2.9,IF(M275=30,4.3,IF(M275=40,8.5,IF(M275=50,14.3,IF(M275&lt;=40,1000/('01_参数'!$B$21-'01_参数'!$B$22*M275),1000/(1000/8.5+(M275-40)/10*(1000/14.3-1000/8.5)))))))))</x:f>
        <x:v>4.792592553612839</x:v>
      </x:c>
      <x:c r="O275" s="22" t="n">
        <x:v>982</x:v>
      </x:c>
      <x:c r="P275" s="26" t="n">
        <x:f>MAX(0,MIN('01_参数'!$B$20,'02_人物原始合计'!AM275/100,'01_参数'!$B$19+'02_人物原始合计'!AN275/100))</x:f>
        <x:v>0.68</x:v>
      </x:c>
      <x:c r="Q275" s="28" t="n">
        <x:f>((('02_人物原始合计'!E275+('02_人物原始合计'!F275-'02_人物原始合计'!E275)*IF(J275&gt;=12,1,0.5+0.5*MAX(0,J275)/12))*(1+'02_人物原始合计'!Q275/100))*(1+'02_人物原始合计'!U275/100+IF(J275&gt;=15,0.15,0))*(1+'02_人物原始合计'!V275/100)*(1+'02_人物原始合计'!T275)*(1+'02_人物原始合计'!W275*'01_参数'!$B$18)*(1+MAX(0,MIN(1,'02_人物原始合计'!X275/100))*('01_参数'!$B$16+'02_人物原始合计'!Y275/100-1))*(1+MAX(0,MIN(1,'02_人物原始合计'!Z275/100))*('01_参数'!$B$17+'02_人物原始合计'!AA275/100-1))+'02_人物原始合计'!AB275)*N275*'01_参数'!$B$7*'01_参数'!$B$8</x:f>
        <x:v>1269828334.7825878</x:v>
      </x:c>
      <x:c r="R275" s="28" t="n">
        <x:f>Q275*'01_参数'!$B$5</x:f>
        <x:v>2539656669.5651755</x:v>
      </x:c>
      <x:c r="S275" s="28" t="n">
        <x:f>(('02_人物原始合计'!E275+('02_人物原始合计'!F275-'02_人物原始合计'!E275)*IF(J275&gt;=12,1,0.5+0.5*MAX(0,J275)/12))*(1+'02_人物原始合计'!Q275/100))*(1+'02_人物原始合计'!U275/100+IF(J275&gt;=15,0.15,0))*(1+'02_人物原始合计'!V275/100)*(1+'02_人物原始合计'!T275)*(1+'02_人物原始合计'!W275*'01_参数'!$B$18)*(1+MAX(0,MIN(1,'02_人物原始合计'!X275/100))*('01_参数'!$B$16+'02_人物原始合计'!Y275/100-1))*(1+MAX(0,MIN(1,'02_人物原始合计'!Z275/100))*('01_参数'!$B$17+'02_人物原始合计'!AA275/100-1))*N275*'01_参数'!$B$7*'01_参数'!$B$8*MAX(0,'02_人物原始合计'!AO275/100)</x:f>
        <x:v>88887983.43478115</x:v>
      </x:c>
      <x:c r="T275" s="28" t="n">
        <x:f>S275*'01_参数'!$B$6</x:f>
        <x:v>115554378.4652155</x:v>
      </x:c>
      <x:c r="U275" s="28" t="n">
        <x:v>0</x:v>
      </x:c>
      <x:c r="V275" s="28" t="n">
        <x:f>T275+U275</x:f>
        <x:v>115554378.4652155</x:v>
      </x:c>
      <x:c r="W275" s="22" t="n">
        <x:v>30</x:v>
      </x:c>
      <x:c r="X275" s="22" t="n">
        <x:v>289</x:v>
      </x:c>
      <x:c r="Y275" s="22" t="str">
        <x:v>C09G01BOSS强装对照</x:v>
      </x:c>
    </x:row>
    <x:row r="276" ht="24" customHeight="1">
      <x:c r="A276" s="22" t="str">
        <x:v>P0272</x:v>
      </x:c>
      <x:c r="B276" s="22" t="n">
        <x:v>9</x:v>
      </x:c>
      <x:c r="C276" s="22" t="n">
        <x:v>1</x:v>
      </x:c>
      <x:c r="D276" s="22" t="str">
        <x:v>金叶古道阶段积累后</x:v>
      </x:c>
      <x:c r="E276" s="26" t="n">
        <x:v>0.15213146538214598</x:v>
      </x:c>
      <x:c r="F276" s="22" t="n">
        <x:v>8</x:v>
      </x:c>
      <x:c r="G276" s="22" t="n">
        <x:v>222</x:v>
      </x:c>
      <x:c r="H276" s="22" t="n">
        <x:v>15</x:v>
      </x:c>
      <x:c r="I276" s="22" t="n">
        <x:v>7</x:v>
      </x:c>
      <x:c r="J276" s="22" t="n">
        <x:f>'02_人物原始合计'!AG276+'02_人物原始合计'!AH276</x:f>
        <x:v>15</x:v>
      </x:c>
      <x:c r="K276" s="28" t="n">
        <x:f>'02_人物原始合计'!F276*(1+'02_人物原始合计'!Q276/100)</x:f>
        <x:v>1512996.3</x:v>
      </x:c>
      <x:c r="L276" s="28" t="n">
        <x:f>'02_人物原始合计'!K276*(1+'02_人物原始合计'!AV276/100)</x:f>
        <x:v>16247710.000000002</x:v>
      </x:c>
      <x:c r="M276" s="22" t="n">
        <x:f>MAX(0,MIN(50,'02_人物原始合计'!AD276,20+MIN(30,'02_人物原始合计'!AE276)))</x:f>
        <x:v>33</x:v>
      </x:c>
      <x:c r="N276" s="22" t="n">
        <x:f>IF(M276=0,1.75,IF(M276=10,2.2,IF(M276=20,2.9,IF(M276=30,4.3,IF(M276=40,8.5,IF(M276=50,14.3,IF(M276&lt;=40,1000/('01_参数'!$B$21-'01_参数'!$B$22*M276),1000/(1000/8.5+(M276-40)/10*(1000/14.3-1000/8.5)))))))))</x:f>
        <x:v>5.06688719246015</x:v>
      </x:c>
      <x:c r="O276" s="22" t="n">
        <x:v>982</x:v>
      </x:c>
      <x:c r="P276" s="26" t="n">
        <x:f>MAX(0,MIN('01_参数'!$B$20,'02_人物原始合计'!AM276/100,'01_参数'!$B$19+'02_人物原始合计'!AN276/100))</x:f>
        <x:v>0.67</x:v>
      </x:c>
      <x:c r="Q276" s="28" t="n">
        <x:f>((('02_人物原始合计'!E276+('02_人物原始合计'!F276-'02_人物原始合计'!E276)*IF(J276&gt;=12,1,0.5+0.5*MAX(0,J276)/12))*(1+'02_人物原始合计'!Q276/100))*(1+'02_人物原始合计'!U276/100+IF(J276&gt;=15,0.15,0))*(1+'02_人物原始合计'!V276/100)*(1+'02_人物原始合计'!T276)*(1+'02_人物原始合计'!W276*'01_参数'!$B$18)*(1+MAX(0,MIN(1,'02_人物原始合计'!X276/100))*('01_参数'!$B$16+'02_人物原始合计'!Y276/100-1))*(1+MAX(0,MIN(1,'02_人物原始合计'!Z276/100))*('01_参数'!$B$17+'02_人物原始合计'!AA276/100-1))+'02_人物原始合计'!AB276)*N276*'01_参数'!$B$7*'01_参数'!$B$8</x:f>
        <x:v>1511483807.94728</x:v>
      </x:c>
      <x:c r="R276" s="28" t="n">
        <x:f>Q276*'01_参数'!$B$5</x:f>
        <x:v>3022967615.89456</x:v>
      </x:c>
      <x:c r="S276" s="28" t="n">
        <x:f>(('02_人物原始合计'!E276+('02_人物原始合计'!F276-'02_人物原始合计'!E276)*IF(J276&gt;=12,1,0.5+0.5*MAX(0,J276)/12))*(1+'02_人物原始合计'!Q276/100))*(1+'02_人物原始合计'!U276/100+IF(J276&gt;=15,0.15,0))*(1+'02_人物原始合计'!V276/100)*(1+'02_人物原始合计'!T276)*(1+'02_人物原始合计'!W276*'01_参数'!$B$18)*(1+MAX(0,MIN(1,'02_人物原始合计'!X276/100))*('01_参数'!$B$16+'02_人物原始合计'!Y276/100-1))*(1+MAX(0,MIN(1,'02_人物原始合计'!Z276/100))*('01_参数'!$B$17+'02_人物原始合计'!AA276/100-1))*N276*'01_参数'!$B$7*'01_参数'!$B$8*MAX(0,'02_人物原始合计'!AO276/100)</x:f>
        <x:v>105803866.55630961</x:v>
      </x:c>
      <x:c r="T276" s="28" t="n">
        <x:f>S276*'01_参数'!$B$6</x:f>
        <x:v>137545026.5232025</x:v>
      </x:c>
      <x:c r="U276" s="28" t="n">
        <x:v>0</x:v>
      </x:c>
      <x:c r="V276" s="28" t="n">
        <x:f>T276+U276</x:f>
        <x:v>137545026.5232025</x:v>
      </x:c>
      <x:c r="W276" s="22" t="n">
        <x:v>31</x:v>
      </x:c>
      <x:c r="X276" s="22" t="n">
        <x:v>290</x:v>
      </x:c>
      <x:c r="Y276" s="22" t="str">
        <x:v>主线</x:v>
      </x:c>
    </x:row>
    <x:row r="277" ht="24" customHeight="1">
      <x:c r="A277" s="22" t="str">
        <x:v>P0273</x:v>
      </x:c>
      <x:c r="B277" s="22" t="n">
        <x:v>9</x:v>
      </x:c>
      <x:c r="C277" s="22" t="n">
        <x:v>2</x:v>
      </x:c>
      <x:c r="D277" s="22" t="str">
        <x:v>C09G02入场</x:v>
      </x:c>
      <x:c r="E277" s="26" t="n">
        <x:v>0.15213146538214598</x:v>
      </x:c>
      <x:c r="F277" s="22" t="n">
        <x:v>8</x:v>
      </x:c>
      <x:c r="G277" s="22" t="n">
        <x:v>222</x:v>
      </x:c>
      <x:c r="H277" s="22" t="n">
        <x:v>15</x:v>
      </x:c>
      <x:c r="I277" s="22" t="n">
        <x:v>7</x:v>
      </x:c>
      <x:c r="J277" s="22" t="n">
        <x:f>'02_人物原始合计'!AG277+'02_人物原始合计'!AH277</x:f>
        <x:v>15</x:v>
      </x:c>
      <x:c r="K277" s="28" t="n">
        <x:f>'02_人物原始合计'!F277*(1+'02_人物原始合计'!Q277/100)</x:f>
        <x:v>1512996.3</x:v>
      </x:c>
      <x:c r="L277" s="28" t="n">
        <x:f>'02_人物原始合计'!K277*(1+'02_人物原始合计'!AV277/100)</x:f>
        <x:v>16247710.000000002</x:v>
      </x:c>
      <x:c r="M277" s="22" t="n">
        <x:f>MAX(0,MIN(50,'02_人物原始合计'!AD277,20+MIN(30,'02_人物原始合计'!AE277)))</x:f>
        <x:v>33</x:v>
      </x:c>
      <x:c r="N277" s="22" t="n">
        <x:f>IF(M277=0,1.75,IF(M277=10,2.2,IF(M277=20,2.9,IF(M277=30,4.3,IF(M277=40,8.5,IF(M277=50,14.3,IF(M277&lt;=40,1000/('01_参数'!$B$21-'01_参数'!$B$22*M277),1000/(1000/8.5+(M277-40)/10*(1000/14.3-1000/8.5)))))))))</x:f>
        <x:v>5.06688719246015</x:v>
      </x:c>
      <x:c r="O277" s="22" t="n">
        <x:v>982</x:v>
      </x:c>
      <x:c r="P277" s="26" t="n">
        <x:f>MAX(0,MIN('01_参数'!$B$20,'02_人物原始合计'!AM277/100,'01_参数'!$B$19+'02_人物原始合计'!AN277/100))</x:f>
        <x:v>0.67</x:v>
      </x:c>
      <x:c r="Q277" s="28" t="n">
        <x:f>((('02_人物原始合计'!E277+('02_人物原始合计'!F277-'02_人物原始合计'!E277)*IF(J277&gt;=12,1,0.5+0.5*MAX(0,J277)/12))*(1+'02_人物原始合计'!Q277/100))*(1+'02_人物原始合计'!U277/100+IF(J277&gt;=15,0.15,0))*(1+'02_人物原始合计'!V277/100)*(1+'02_人物原始合计'!T277)*(1+'02_人物原始合计'!W277*'01_参数'!$B$18)*(1+MAX(0,MIN(1,'02_人物原始合计'!X277/100))*('01_参数'!$B$16+'02_人物原始合计'!Y277/100-1))*(1+MAX(0,MIN(1,'02_人物原始合计'!Z277/100))*('01_参数'!$B$17+'02_人物原始合计'!AA277/100-1))+'02_人物原始合计'!AB277)*N277*'01_参数'!$B$7*'01_参数'!$B$8</x:f>
        <x:v>1511483807.94728</x:v>
      </x:c>
      <x:c r="R277" s="28" t="n">
        <x:f>Q277*'01_参数'!$B$5</x:f>
        <x:v>3022967615.89456</x:v>
      </x:c>
      <x:c r="S277" s="28" t="n">
        <x:f>(('02_人物原始合计'!E277+('02_人物原始合计'!F277-'02_人物原始合计'!E277)*IF(J277&gt;=12,1,0.5+0.5*MAX(0,J277)/12))*(1+'02_人物原始合计'!Q277/100))*(1+'02_人物原始合计'!U277/100+IF(J277&gt;=15,0.15,0))*(1+'02_人物原始合计'!V277/100)*(1+'02_人物原始合计'!T277)*(1+'02_人物原始合计'!W277*'01_参数'!$B$18)*(1+MAX(0,MIN(1,'02_人物原始合计'!X277/100))*('01_参数'!$B$16+'02_人物原始合计'!Y277/100-1))*(1+MAX(0,MIN(1,'02_人物原始合计'!Z277/100))*('01_参数'!$B$17+'02_人物原始合计'!AA277/100-1))*N277*'01_参数'!$B$7*'01_参数'!$B$8*MAX(0,'02_人物原始合计'!AO277/100)</x:f>
        <x:v>105803866.55630961</x:v>
      </x:c>
      <x:c r="T277" s="28" t="n">
        <x:f>S277*'01_参数'!$B$6</x:f>
        <x:v>137545026.5232025</x:v>
      </x:c>
      <x:c r="U277" s="28" t="n">
        <x:v>0</x:v>
      </x:c>
      <x:c r="V277" s="28" t="n">
        <x:f>T277+U277</x:f>
        <x:v>137545026.5232025</x:v>
      </x:c>
      <x:c r="W277" s="22" t="n">
        <x:v>31</x:v>
      </x:c>
      <x:c r="X277" s="22" t="n">
        <x:v>290</x:v>
      </x:c>
      <x:c r="Y277" s="22" t="str">
        <x:v>主线</x:v>
      </x:c>
    </x:row>
    <x:row r="278" ht="24" customHeight="1">
      <x:c r="A278" s="22" t="str">
        <x:v>P0274</x:v>
      </x:c>
      <x:c r="B278" s="22" t="n">
        <x:v>9</x:v>
      </x:c>
      <x:c r="C278" s="22" t="n">
        <x:v>2</x:v>
      </x:c>
      <x:c r="D278" s="22" t="str">
        <x:v>C09G02普通专属4/6</x:v>
      </x:c>
      <x:c r="E278" s="26" t="n">
        <x:v>0.15420843718755783</x:v>
      </x:c>
      <x:c r="F278" s="22" t="n">
        <x:v>8</x:v>
      </x:c>
      <x:c r="G278" s="22" t="n">
        <x:v>222</x:v>
      </x:c>
      <x:c r="H278" s="22" t="n">
        <x:v>15</x:v>
      </x:c>
      <x:c r="I278" s="22" t="n">
        <x:v>7</x:v>
      </x:c>
      <x:c r="J278" s="22" t="n">
        <x:f>'02_人物原始合计'!AG278+'02_人物原始合计'!AH278</x:f>
        <x:v>15</x:v>
      </x:c>
      <x:c r="K278" s="28" t="n">
        <x:f>'02_人物原始合计'!F278*(1+'02_人物原始合计'!Q278/100)</x:f>
        <x:v>1517842.26</x:v>
      </x:c>
      <x:c r="L278" s="28" t="n">
        <x:f>'02_人物原始合计'!K278*(1+'02_人物原始合计'!AV278/100)</x:f>
        <x:v>16330971.000000002</x:v>
      </x:c>
      <x:c r="M278" s="22" t="n">
        <x:f>MAX(0,MIN(50,'02_人物原始合计'!AD278,20+MIN(30,'02_人物原始合计'!AE278)))</x:f>
        <x:v>33</x:v>
      </x:c>
      <x:c r="N278" s="22" t="n">
        <x:f>IF(M278=0,1.75,IF(M278=10,2.2,IF(M278=20,2.9,IF(M278=30,4.3,IF(M278=40,8.5,IF(M278=50,14.3,IF(M278&lt;=40,1000/('01_参数'!$B$21-'01_参数'!$B$22*M278),1000/(1000/8.5+(M278-40)/10*(1000/14.3-1000/8.5)))))))))</x:f>
        <x:v>5.06688719246015</x:v>
      </x:c>
      <x:c r="O278" s="22" t="n">
        <x:v>982</x:v>
      </x:c>
      <x:c r="P278" s="26" t="n">
        <x:f>MAX(0,MIN('01_参数'!$B$20,'02_人物原始合计'!AM278/100,'01_参数'!$B$19+'02_人物原始合计'!AN278/100))</x:f>
        <x:v>0.67</x:v>
      </x:c>
      <x:c r="Q278" s="28" t="n">
        <x:f>((('02_人物原始合计'!E278+('02_人物原始合计'!F278-'02_人物原始合计'!E278)*IF(J278&gt;=12,1,0.5+0.5*MAX(0,J278)/12))*(1+'02_人物原始合计'!Q278/100))*(1+'02_人物原始合计'!U278/100+IF(J278&gt;=15,0.15,0))*(1+'02_人物原始合计'!V278/100)*(1+'02_人物原始合计'!T278)*(1+'02_人物原始合计'!W278*'01_参数'!$B$18)*(1+MAX(0,MIN(1,'02_人物原始合计'!X278/100))*('01_参数'!$B$16+'02_人物原始合计'!Y278/100-1))*(1+MAX(0,MIN(1,'02_人物原始合计'!Z278/100))*('01_参数'!$B$17+'02_人物原始合计'!AA278/100-1))+'02_人物原始合计'!AB278)*N278*'01_参数'!$B$7*'01_参数'!$B$8</x:f>
        <x:v>1516324923.6023283</x:v>
      </x:c>
      <x:c r="R278" s="28" t="n">
        <x:f>Q278*'01_参数'!$B$5</x:f>
        <x:v>3032649847.2046566</x:v>
      </x:c>
      <x:c r="S278" s="28" t="n">
        <x:f>(('02_人物原始合计'!E278+('02_人物原始合计'!F278-'02_人物原始合计'!E278)*IF(J278&gt;=12,1,0.5+0.5*MAX(0,J278)/12))*(1+'02_人物原始合计'!Q278/100))*(1+'02_人物原始合计'!U278/100+IF(J278&gt;=15,0.15,0))*(1+'02_人物原始合计'!V278/100)*(1+'02_人物原始合计'!T278)*(1+'02_人物原始合计'!W278*'01_参数'!$B$18)*(1+MAX(0,MIN(1,'02_人物原始合计'!X278/100))*('01_参数'!$B$16+'02_人物原始合计'!Y278/100-1))*(1+MAX(0,MIN(1,'02_人物原始合计'!Z278/100))*('01_参数'!$B$17+'02_人物原始合计'!AA278/100-1))*N278*'01_参数'!$B$7*'01_参数'!$B$8*MAX(0,'02_人物原始合计'!AO278/100)</x:f>
        <x:v>106142744.65216298</x:v>
      </x:c>
      <x:c r="T278" s="28" t="n">
        <x:f>S278*'01_参数'!$B$6</x:f>
        <x:v>137985568.0478119</x:v>
      </x:c>
      <x:c r="U278" s="28" t="n">
        <x:v>0</x:v>
      </x:c>
      <x:c r="V278" s="28" t="n">
        <x:f>T278+U278</x:f>
        <x:v>137985568.0478119</x:v>
      </x:c>
      <x:c r="W278" s="22" t="n">
        <x:v>31</x:v>
      </x:c>
      <x:c r="X278" s="22" t="n">
        <x:v>290</x:v>
      </x:c>
      <x:c r="Y278" s="22" t="str">
        <x:v>主线</x:v>
      </x:c>
    </x:row>
    <x:row r="279" ht="24" customHeight="1">
      <x:c r="A279" s="22" t="str">
        <x:v>P0275</x:v>
      </x:c>
      <x:c r="B279" s="22" t="n">
        <x:v>9</x:v>
      </x:c>
      <x:c r="C279" s="22" t="n">
        <x:v>2</x:v>
      </x:c>
      <x:c r="D279" s="22" t="str">
        <x:v>深井断索王·布洛克挑战前</x:v>
      </x:c>
      <x:c r="E279" s="26" t="n">
        <x:v>0.15420843718755783</x:v>
      </x:c>
      <x:c r="F279" s="22" t="n">
        <x:v>8</x:v>
      </x:c>
      <x:c r="G279" s="22" t="n">
        <x:v>226</x:v>
      </x:c>
      <x:c r="H279" s="22" t="n">
        <x:v>15</x:v>
      </x:c>
      <x:c r="I279" s="22" t="n">
        <x:v>7</x:v>
      </x:c>
      <x:c r="J279" s="22" t="n">
        <x:f>'02_人物原始合计'!AG279+'02_人物原始合计'!AH279</x:f>
        <x:v>15</x:v>
      </x:c>
      <x:c r="K279" s="28" t="n">
        <x:f>'02_人物原始合计'!F279*(1+'02_人物原始合计'!Q279/100)</x:f>
        <x:v>1532227.05</x:v>
      </x:c>
      <x:c r="L279" s="28" t="n">
        <x:f>'02_人物原始合计'!K279*(1+'02_人物原始合计'!AV279/100)</x:f>
        <x:v>16456349.000000002</x:v>
      </x:c>
      <x:c r="M279" s="22" t="n">
        <x:f>MAX(0,MIN(50,'02_人物原始合计'!AD279,20+MIN(30,'02_人物原始合计'!AE279)))</x:f>
        <x:v>33</x:v>
      </x:c>
      <x:c r="N279" s="22" t="n">
        <x:f>IF(M279=0,1.75,IF(M279=10,2.2,IF(M279=20,2.9,IF(M279=30,4.3,IF(M279=40,8.5,IF(M279=50,14.3,IF(M279&lt;=40,1000/('01_参数'!$B$21-'01_参数'!$B$22*M279),1000/(1000/8.5+(M279-40)/10*(1000/14.3-1000/8.5)))))))))</x:f>
        <x:v>5.06688719246015</x:v>
      </x:c>
      <x:c r="O279" s="22" t="n">
        <x:v>982</x:v>
      </x:c>
      <x:c r="P279" s="26" t="n">
        <x:f>MAX(0,MIN('01_参数'!$B$20,'02_人物原始合计'!AM279/100,'01_参数'!$B$19+'02_人物原始合计'!AN279/100))</x:f>
        <x:v>0.67</x:v>
      </x:c>
      <x:c r="Q279" s="28" t="n">
        <x:f>((('02_人物原始合计'!E279+('02_人物原始合计'!F279-'02_人物原始合计'!E279)*IF(J279&gt;=12,1,0.5+0.5*MAX(0,J279)/12))*(1+'02_人物原始合计'!Q279/100))*(1+'02_人物原始合计'!U279/100+IF(J279&gt;=15,0.15,0))*(1+'02_人物原始合计'!V279/100)*(1+'02_人物原始合计'!T279)*(1+'02_人物原始合计'!W279*'01_参数'!$B$18)*(1+MAX(0,MIN(1,'02_人物原始合计'!X279/100))*('01_参数'!$B$16+'02_人物原始合计'!Y279/100-1))*(1+MAX(0,MIN(1,'02_人物原始合计'!Z279/100))*('01_参数'!$B$17+'02_人物原始合计'!AA279/100-1))+'02_人物原始合计'!AB279)*N279*'01_参数'!$B$7*'01_参数'!$B$8</x:f>
        <x:v>1530695333.606452</x:v>
      </x:c>
      <x:c r="R279" s="28" t="n">
        <x:f>Q279*'01_参数'!$B$5</x:f>
        <x:v>3061390667.212904</x:v>
      </x:c>
      <x:c r="S279" s="28" t="n">
        <x:f>(('02_人物原始合计'!E279+('02_人物原始合计'!F279-'02_人物原始合计'!E279)*IF(J279&gt;=12,1,0.5+0.5*MAX(0,J279)/12))*(1+'02_人物原始合计'!Q279/100))*(1+'02_人物原始合计'!U279/100+IF(J279&gt;=15,0.15,0))*(1+'02_人物原始合计'!V279/100)*(1+'02_人物原始合计'!T279)*(1+'02_人物原始合计'!W279*'01_参数'!$B$18)*(1+MAX(0,MIN(1,'02_人物原始合计'!X279/100))*('01_参数'!$B$16+'02_人物原始合计'!Y279/100-1))*(1+MAX(0,MIN(1,'02_人物原始合计'!Z279/100))*('01_参数'!$B$17+'02_人物原始合计'!AA279/100-1))*N279*'01_参数'!$B$7*'01_参数'!$B$8*MAX(0,'02_人物原始合计'!AO279/100)</x:f>
        <x:v>107148673.35245165</x:v>
      </x:c>
      <x:c r="T279" s="28" t="n">
        <x:f>S279*'01_参数'!$B$6</x:f>
        <x:v>139293275.35818714</x:v>
      </x:c>
      <x:c r="U279" s="28" t="n">
        <x:v>0</x:v>
      </x:c>
      <x:c r="V279" s="28" t="n">
        <x:f>T279+U279</x:f>
        <x:v>139293275.35818714</x:v>
      </x:c>
      <x:c r="W279" s="22" t="n">
        <x:v>31</x:v>
      </x:c>
      <x:c r="X279" s="22" t="n">
        <x:v>290</x:v>
      </x:c>
      <x:c r="Y279" s="22" t="str">
        <x:v>主线</x:v>
      </x:c>
    </x:row>
    <x:row r="280" ht="24" customHeight="1">
      <x:c r="A280" s="22" t="str">
        <x:v>P0276</x:v>
      </x:c>
      <x:c r="B280" s="22" t="n">
        <x:v>9</x:v>
      </x:c>
      <x:c r="C280" s="22" t="n">
        <x:v>2</x:v>
      </x:c>
      <x:c r="D280" s="22" t="str">
        <x:v>矿心鎏金母·奥莉莎挑战前</x:v>
      </x:c>
      <x:c r="E280" s="26" t="n">
        <x:v>0.15420843718755783</x:v>
      </x:c>
      <x:c r="F280" s="22" t="n">
        <x:v>8</x:v>
      </x:c>
      <x:c r="G280" s="22" t="n">
        <x:v>226</x:v>
      </x:c>
      <x:c r="H280" s="22" t="n">
        <x:v>15</x:v>
      </x:c>
      <x:c r="I280" s="22" t="n">
        <x:v>7</x:v>
      </x:c>
      <x:c r="J280" s="22" t="n">
        <x:f>'02_人物原始合计'!AG280+'02_人物原始合计'!AH280</x:f>
        <x:v>15</x:v>
      </x:c>
      <x:c r="K280" s="28" t="n">
        <x:f>'02_人物原始合计'!F280*(1+'02_人物原始合计'!Q280/100)</x:f>
        <x:v>1532227.05</x:v>
      </x:c>
      <x:c r="L280" s="28" t="n">
        <x:f>'02_人物原始合计'!K280*(1+'02_人物原始合计'!AV280/100)</x:f>
        <x:v>16456349.000000002</x:v>
      </x:c>
      <x:c r="M280" s="22" t="n">
        <x:f>MAX(0,MIN(50,'02_人物原始合计'!AD280,20+MIN(30,'02_人物原始合计'!AE280)))</x:f>
        <x:v>33</x:v>
      </x:c>
      <x:c r="N280" s="22" t="n">
        <x:f>IF(M280=0,1.75,IF(M280=10,2.2,IF(M280=20,2.9,IF(M280=30,4.3,IF(M280=40,8.5,IF(M280=50,14.3,IF(M280&lt;=40,1000/('01_参数'!$B$21-'01_参数'!$B$22*M280),1000/(1000/8.5+(M280-40)/10*(1000/14.3-1000/8.5)))))))))</x:f>
        <x:v>5.06688719246015</x:v>
      </x:c>
      <x:c r="O280" s="22" t="n">
        <x:v>982</x:v>
      </x:c>
      <x:c r="P280" s="26" t="n">
        <x:f>MAX(0,MIN('01_参数'!$B$20,'02_人物原始合计'!AM280/100,'01_参数'!$B$19+'02_人物原始合计'!AN280/100))</x:f>
        <x:v>0.67</x:v>
      </x:c>
      <x:c r="Q280" s="28" t="n">
        <x:f>((('02_人物原始合计'!E280+('02_人物原始合计'!F280-'02_人物原始合计'!E280)*IF(J280&gt;=12,1,0.5+0.5*MAX(0,J280)/12))*(1+'02_人物原始合计'!Q280/100))*(1+'02_人物原始合计'!U280/100+IF(J280&gt;=15,0.15,0))*(1+'02_人物原始合计'!V280/100)*(1+'02_人物原始合计'!T280)*(1+'02_人物原始合计'!W280*'01_参数'!$B$18)*(1+MAX(0,MIN(1,'02_人物原始合计'!X280/100))*('01_参数'!$B$16+'02_人物原始合计'!Y280/100-1))*(1+MAX(0,MIN(1,'02_人物原始合计'!Z280/100))*('01_参数'!$B$17+'02_人物原始合计'!AA280/100-1))+'02_人物原始合计'!AB280)*N280*'01_参数'!$B$7*'01_参数'!$B$8</x:f>
        <x:v>1530695333.606452</x:v>
      </x:c>
      <x:c r="R280" s="28" t="n">
        <x:f>Q280*'01_参数'!$B$5</x:f>
        <x:v>3061390667.212904</x:v>
      </x:c>
      <x:c r="S280" s="28" t="n">
        <x:f>(('02_人物原始合计'!E280+('02_人物原始合计'!F280-'02_人物原始合计'!E280)*IF(J280&gt;=12,1,0.5+0.5*MAX(0,J280)/12))*(1+'02_人物原始合计'!Q280/100))*(1+'02_人物原始合计'!U280/100+IF(J280&gt;=15,0.15,0))*(1+'02_人物原始合计'!V280/100)*(1+'02_人物原始合计'!T280)*(1+'02_人物原始合计'!W280*'01_参数'!$B$18)*(1+MAX(0,MIN(1,'02_人物原始合计'!X280/100))*('01_参数'!$B$16+'02_人物原始合计'!Y280/100-1))*(1+MAX(0,MIN(1,'02_人物原始合计'!Z280/100))*('01_参数'!$B$17+'02_人物原始合计'!AA280/100-1))*N280*'01_参数'!$B$7*'01_参数'!$B$8*MAX(0,'02_人物原始合计'!AO280/100)</x:f>
        <x:v>107148673.35245165</x:v>
      </x:c>
      <x:c r="T280" s="28" t="n">
        <x:f>S280*'01_参数'!$B$6</x:f>
        <x:v>139293275.35818714</x:v>
      </x:c>
      <x:c r="U280" s="28" t="n">
        <x:v>0</x:v>
      </x:c>
      <x:c r="V280" s="28" t="n">
        <x:f>T280+U280</x:f>
        <x:v>139293275.35818714</x:v>
      </x:c>
      <x:c r="W280" s="22" t="n">
        <x:v>31</x:v>
      </x:c>
      <x:c r="X280" s="22" t="n">
        <x:v>290</x:v>
      </x:c>
      <x:c r="Y280" s="22" t="str">
        <x:v>主线</x:v>
      </x:c>
    </x:row>
    <x:row r="281" ht="24" customHeight="1">
      <x:c r="A281" s="22" t="str">
        <x:v>P0277</x:v>
      </x:c>
      <x:c r="B281" s="22" t="n">
        <x:v>9</x:v>
      </x:c>
      <x:c r="C281" s="22" t="n">
        <x:v>2</x:v>
      </x:c>
      <x:c r="D281" s="22" t="str">
        <x:v>高原矿脉BOSS装备快线</x:v>
      </x:c>
      <x:c r="E281" s="26" t="n">
        <x:v>0.16290408936147088</x:v>
      </x:c>
      <x:c r="F281" s="22" t="n">
        <x:v>8</x:v>
      </x:c>
      <x:c r="G281" s="22" t="n">
        <x:v>226</x:v>
      </x:c>
      <x:c r="H281" s="22" t="n">
        <x:v>15</x:v>
      </x:c>
      <x:c r="I281" s="22" t="n">
        <x:v>7</x:v>
      </x:c>
      <x:c r="J281" s="22" t="n">
        <x:f>'02_人物原始合计'!AG281+'02_人物原始合计'!AH281</x:f>
        <x:v>15</x:v>
      </x:c>
      <x:c r="K281" s="28" t="n">
        <x:f>'02_人物原始合计'!F281*(1+'02_人物原始合计'!Q281/100)</x:f>
        <x:v>1574184.15</x:v>
      </x:c>
      <x:c r="L281" s="28" t="n">
        <x:f>'02_人物原始合计'!K281*(1+'02_人物原始合计'!AV281/100)</x:f>
        <x:v>16592013.000000002</x:v>
      </x:c>
      <x:c r="M281" s="22" t="n">
        <x:f>MAX(0,MIN(50,'02_人物原始合计'!AD281,20+MIN(30,'02_人物原始合计'!AE281)))</x:f>
        <x:v>33</x:v>
      </x:c>
      <x:c r="N281" s="22" t="n">
        <x:f>IF(M281=0,1.75,IF(M281=10,2.2,IF(M281=20,2.9,IF(M281=30,4.3,IF(M281=40,8.5,IF(M281=50,14.3,IF(M281&lt;=40,1000/('01_参数'!$B$21-'01_参数'!$B$22*M281),1000/(1000/8.5+(M281-40)/10*(1000/14.3-1000/8.5)))))))))</x:f>
        <x:v>5.06688719246015</x:v>
      </x:c>
      <x:c r="O281" s="22" t="n">
        <x:v>982</x:v>
      </x:c>
      <x:c r="P281" s="26" t="n">
        <x:f>MAX(0,MIN('01_参数'!$B$20,'02_人物原始合计'!AM281/100,'01_参数'!$B$19+'02_人物原始合计'!AN281/100))</x:f>
        <x:v>0.67</x:v>
      </x:c>
      <x:c r="Q281" s="28" t="n">
        <x:f>((('02_人物原始合计'!E281+('02_人物原始合计'!F281-'02_人物原始合计'!E281)*IF(J281&gt;=12,1,0.5+0.5*MAX(0,J281)/12))*(1+'02_人物原始合计'!Q281/100))*(1+'02_人物原始合计'!U281/100+IF(J281&gt;=15,0.15,0))*(1+'02_人物原始合计'!V281/100)*(1+'02_人物原始合计'!T281)*(1+'02_人物原始合计'!W281*'01_参数'!$B$18)*(1+MAX(0,MIN(1,'02_人物原始合计'!X281/100))*('01_参数'!$B$16+'02_人物原始合计'!Y281/100-1))*(1+MAX(0,MIN(1,'02_人物原始合计'!Z281/100))*('01_参数'!$B$17+'02_人物原始合计'!AA281/100-1))+'02_人物原始合计'!AB281)*N281*'01_参数'!$B$7*'01_参数'!$B$8</x:f>
        <x:v>1664965159.4522455</x:v>
      </x:c>
      <x:c r="R281" s="28" t="n">
        <x:f>Q281*'01_参数'!$B$5</x:f>
        <x:v>3329930318.904491</x:v>
      </x:c>
      <x:c r="S281" s="28" t="n">
        <x:f>(('02_人物原始合计'!E281+('02_人物原始合计'!F281-'02_人物原始合计'!E281)*IF(J281&gt;=12,1,0.5+0.5*MAX(0,J281)/12))*(1+'02_人物原始合计'!Q281/100))*(1+'02_人物原始合计'!U281/100+IF(J281&gt;=15,0.15,0))*(1+'02_人物原始合计'!V281/100)*(1+'02_人物原始合计'!T281)*(1+'02_人物原始合计'!W281*'01_参数'!$B$18)*(1+MAX(0,MIN(1,'02_人物原始合计'!X281/100))*('01_参数'!$B$16+'02_人物原始合计'!Y281/100-1))*(1+MAX(0,MIN(1,'02_人物原始合计'!Z281/100))*('01_参数'!$B$17+'02_人物原始合计'!AA281/100-1))*N281*'01_参数'!$B$7*'01_参数'!$B$8*MAX(0,'02_人物原始合计'!AO281/100)</x:f>
        <x:v>116547561.1616572</x:v>
      </x:c>
      <x:c r="T281" s="28" t="n">
        <x:f>S281*'01_参数'!$B$6</x:f>
        <x:v>151511829.51015437</x:v>
      </x:c>
      <x:c r="U281" s="28" t="n">
        <x:v>0</x:v>
      </x:c>
      <x:c r="V281" s="28" t="n">
        <x:f>T281+U281</x:f>
        <x:v>151511829.51015437</x:v>
      </x:c>
      <x:c r="W281" s="22" t="n">
        <x:v>31</x:v>
      </x:c>
      <x:c r="X281" s="22" t="n">
        <x:v>290</x:v>
      </x:c>
      <x:c r="Y281" s="22" t="str">
        <x:v>C09G02BOSS强装对照</x:v>
      </x:c>
    </x:row>
    <x:row r="282" ht="24" customHeight="1">
      <x:c r="A282" s="22" t="str">
        <x:v>P0278</x:v>
      </x:c>
      <x:c r="B282" s="22" t="n">
        <x:v>9</x:v>
      </x:c>
      <x:c r="C282" s="22" t="n">
        <x:v>2</x:v>
      </x:c>
      <x:c r="D282" s="22" t="str">
        <x:v>高原矿脉阶段积累后</x:v>
      </x:c>
      <x:c r="E282" s="26" t="n">
        <x:v>0.16450255483461665</x:v>
      </x:c>
      <x:c r="F282" s="22" t="n">
        <x:v>8</x:v>
      </x:c>
      <x:c r="G282" s="22" t="n">
        <x:v>226</x:v>
      </x:c>
      <x:c r="H282" s="22" t="n">
        <x:v>15</x:v>
      </x:c>
      <x:c r="I282" s="22" t="n">
        <x:v>7</x:v>
      </x:c>
      <x:c r="J282" s="22" t="n">
        <x:f>'02_人物原始合计'!AG282+'02_人物原始合计'!AH282</x:f>
        <x:v>15</x:v>
      </x:c>
      <x:c r="K282" s="28" t="n">
        <x:f>'02_人物原始合计'!F282*(1+'02_人物原始合计'!Q282/100)</x:f>
        <x:v>1534616.55</x:v>
      </x:c>
      <x:c r="L282" s="28" t="n">
        <x:f>'02_人物原始合计'!K282*(1+'02_人物原始合计'!AV282/100)</x:f>
        <x:v>16477199.000000002</x:v>
      </x:c>
      <x:c r="M282" s="22" t="n">
        <x:f>MAX(0,MIN(50,'02_人物原始合计'!AD282,20+MIN(30,'02_人物原始合计'!AE282)))</x:f>
        <x:v>33</x:v>
      </x:c>
      <x:c r="N282" s="22" t="n">
        <x:f>IF(M282=0,1.75,IF(M282=10,2.2,IF(M282=20,2.9,IF(M282=30,4.3,IF(M282=40,8.5,IF(M282=50,14.3,IF(M282&lt;=40,1000/('01_参数'!$B$21-'01_参数'!$B$22*M282),1000/(1000/8.5+(M282-40)/10*(1000/14.3-1000/8.5)))))))))</x:f>
        <x:v>5.06688719246015</x:v>
      </x:c>
      <x:c r="O282" s="22" t="n">
        <x:v>982</x:v>
      </x:c>
      <x:c r="P282" s="26" t="n">
        <x:f>MAX(0,MIN('01_参数'!$B$20,'02_人物原始合计'!AM282/100,'01_参数'!$B$19+'02_人物原始合计'!AN282/100))</x:f>
        <x:v>0.67</x:v>
      </x:c>
      <x:c r="Q282" s="28" t="n">
        <x:f>((('02_人物原始合计'!E282+('02_人物原始合计'!F282-'02_人物原始合计'!E282)*IF(J282&gt;=12,1,0.5+0.5*MAX(0,J282)/12))*(1+'02_人物原始合计'!Q282/100))*(1+'02_人物原始合计'!U282/100+IF(J282&gt;=15,0.15,0))*(1+'02_人物原始合计'!V282/100)*(1+'02_人物原始合计'!T282)*(1+'02_人物原始合计'!W282*'01_参数'!$B$18)*(1+MAX(0,MIN(1,'02_人物原始合计'!X282/100))*('01_参数'!$B$16+'02_人物原始合计'!Y282/100-1))*(1+MAX(0,MIN(1,'02_人物原始合计'!Z282/100))*('01_参数'!$B$17+'02_人物原始合计'!AA282/100-1))+'02_人物原始合计'!AB282)*N282*'01_参数'!$B$7*'01_参数'!$B$8</x:f>
        <x:v>1533082444.9028177</x:v>
      </x:c>
      <x:c r="R282" s="28" t="n">
        <x:f>Q282*'01_参数'!$B$5</x:f>
        <x:v>3066164889.8056355</x:v>
      </x:c>
      <x:c r="S282" s="28" t="n">
        <x:f>(('02_人物原始合计'!E282+('02_人物原始合计'!F282-'02_人物原始合计'!E282)*IF(J282&gt;=12,1,0.5+0.5*MAX(0,J282)/12))*(1+'02_人物原始合计'!Q282/100))*(1+'02_人物原始合计'!U282/100+IF(J282&gt;=15,0.15,0))*(1+'02_人物原始合计'!V282/100)*(1+'02_人物原始合计'!T282)*(1+'02_人物原始合计'!W282*'01_参数'!$B$18)*(1+MAX(0,MIN(1,'02_人物原始合计'!X282/100))*('01_参数'!$B$16+'02_人物原始合计'!Y282/100-1))*(1+MAX(0,MIN(1,'02_人物原始合计'!Z282/100))*('01_参数'!$B$17+'02_人物原始合计'!AA282/100-1))*N282*'01_参数'!$B$7*'01_参数'!$B$8*MAX(0,'02_人物原始合计'!AO282/100)</x:f>
        <x:v>107315771.14319725</x:v>
      </x:c>
      <x:c r="T282" s="28" t="n">
        <x:f>S282*'01_参数'!$B$6</x:f>
        <x:v>139510502.48615643</x:v>
      </x:c>
      <x:c r="U282" s="28" t="n">
        <x:v>0</x:v>
      </x:c>
      <x:c r="V282" s="28" t="n">
        <x:f>T282+U282</x:f>
        <x:v>139510502.48615643</x:v>
      </x:c>
      <x:c r="W282" s="22" t="n">
        <x:v>31</x:v>
      </x:c>
      <x:c r="X282" s="22" t="n">
        <x:v>292</x:v>
      </x:c>
      <x:c r="Y282" s="22" t="str">
        <x:v>主线</x:v>
      </x:c>
    </x:row>
    <x:row r="283" ht="24" customHeight="1">
      <x:c r="A283" s="22" t="str">
        <x:v>P0279</x:v>
      </x:c>
      <x:c r="B283" s="22" t="n">
        <x:v>9</x:v>
      </x:c>
      <x:c r="C283" s="22" t="n">
        <x:v>3</x:v>
      </x:c>
      <x:c r="D283" s="22" t="str">
        <x:v>C09G03入场</x:v>
      </x:c>
      <x:c r="E283" s="26" t="n">
        <x:v>0.16450255483461665</x:v>
      </x:c>
      <x:c r="F283" s="22" t="n">
        <x:v>8</x:v>
      </x:c>
      <x:c r="G283" s="22" t="n">
        <x:v>226</x:v>
      </x:c>
      <x:c r="H283" s="22" t="n">
        <x:v>15</x:v>
      </x:c>
      <x:c r="I283" s="22" t="n">
        <x:v>7</x:v>
      </x:c>
      <x:c r="J283" s="22" t="n">
        <x:f>'02_人物原始合计'!AG283+'02_人物原始合计'!AH283</x:f>
        <x:v>15</x:v>
      </x:c>
      <x:c r="K283" s="28" t="n">
        <x:f>'02_人物原始合计'!F283*(1+'02_人物原始合计'!Q283/100)</x:f>
        <x:v>1534616.55</x:v>
      </x:c>
      <x:c r="L283" s="28" t="n">
        <x:f>'02_人物原始合计'!K283*(1+'02_人物原始合计'!AV283/100)</x:f>
        <x:v>16477199.000000002</x:v>
      </x:c>
      <x:c r="M283" s="22" t="n">
        <x:f>MAX(0,MIN(50,'02_人物原始合计'!AD283,20+MIN(30,'02_人物原始合计'!AE283)))</x:f>
        <x:v>33</x:v>
      </x:c>
      <x:c r="N283" s="22" t="n">
        <x:f>IF(M283=0,1.75,IF(M283=10,2.2,IF(M283=20,2.9,IF(M283=30,4.3,IF(M283=40,8.5,IF(M283=50,14.3,IF(M283&lt;=40,1000/('01_参数'!$B$21-'01_参数'!$B$22*M283),1000/(1000/8.5+(M283-40)/10*(1000/14.3-1000/8.5)))))))))</x:f>
        <x:v>5.06688719246015</x:v>
      </x:c>
      <x:c r="O283" s="22" t="n">
        <x:v>982</x:v>
      </x:c>
      <x:c r="P283" s="26" t="n">
        <x:f>MAX(0,MIN('01_参数'!$B$20,'02_人物原始合计'!AM283/100,'01_参数'!$B$19+'02_人物原始合计'!AN283/100))</x:f>
        <x:v>0.67</x:v>
      </x:c>
      <x:c r="Q283" s="28" t="n">
        <x:f>((('02_人物原始合计'!E283+('02_人物原始合计'!F283-'02_人物原始合计'!E283)*IF(J283&gt;=12,1,0.5+0.5*MAX(0,J283)/12))*(1+'02_人物原始合计'!Q283/100))*(1+'02_人物原始合计'!U283/100+IF(J283&gt;=15,0.15,0))*(1+'02_人物原始合计'!V283/100)*(1+'02_人物原始合计'!T283)*(1+'02_人物原始合计'!W283*'01_参数'!$B$18)*(1+MAX(0,MIN(1,'02_人物原始合计'!X283/100))*('01_参数'!$B$16+'02_人物原始合计'!Y283/100-1))*(1+MAX(0,MIN(1,'02_人物原始合计'!Z283/100))*('01_参数'!$B$17+'02_人物原始合计'!AA283/100-1))+'02_人物原始合计'!AB283)*N283*'01_参数'!$B$7*'01_参数'!$B$8</x:f>
        <x:v>1533082444.9028177</x:v>
      </x:c>
      <x:c r="R283" s="28" t="n">
        <x:f>Q283*'01_参数'!$B$5</x:f>
        <x:v>3066164889.8056355</x:v>
      </x:c>
      <x:c r="S283" s="28" t="n">
        <x:f>(('02_人物原始合计'!E283+('02_人物原始合计'!F283-'02_人物原始合计'!E283)*IF(J283&gt;=12,1,0.5+0.5*MAX(0,J283)/12))*(1+'02_人物原始合计'!Q283/100))*(1+'02_人物原始合计'!U283/100+IF(J283&gt;=15,0.15,0))*(1+'02_人物原始合计'!V283/100)*(1+'02_人物原始合计'!T283)*(1+'02_人物原始合计'!W283*'01_参数'!$B$18)*(1+MAX(0,MIN(1,'02_人物原始合计'!X283/100))*('01_参数'!$B$16+'02_人物原始合计'!Y283/100-1))*(1+MAX(0,MIN(1,'02_人物原始合计'!Z283/100))*('01_参数'!$B$17+'02_人物原始合计'!AA283/100-1))*N283*'01_参数'!$B$7*'01_参数'!$B$8*MAX(0,'02_人物原始合计'!AO283/100)</x:f>
        <x:v>107315771.14319725</x:v>
      </x:c>
      <x:c r="T283" s="28" t="n">
        <x:f>S283*'01_参数'!$B$6</x:f>
        <x:v>139510502.48615643</x:v>
      </x:c>
      <x:c r="U283" s="28" t="n">
        <x:v>0</x:v>
      </x:c>
      <x:c r="V283" s="28" t="n">
        <x:f>T283+U283</x:f>
        <x:v>139510502.48615643</x:v>
      </x:c>
      <x:c r="W283" s="22" t="n">
        <x:v>31</x:v>
      </x:c>
      <x:c r="X283" s="22" t="n">
        <x:v>292</x:v>
      </x:c>
      <x:c r="Y283" s="22" t="str">
        <x:v>主线</x:v>
      </x:c>
    </x:row>
    <x:row r="284" ht="24" customHeight="1">
      <x:c r="A284" s="22" t="str">
        <x:v>P0280</x:v>
      </x:c>
      <x:c r="B284" s="22" t="n">
        <x:v>9</x:v>
      </x:c>
      <x:c r="C284" s="22" t="n">
        <x:v>3</x:v>
      </x:c>
      <x:c r="D284" s="22" t="str">
        <x:v>C09G03普通专属4/6</x:v>
      </x:c>
      <x:c r="E284" s="26" t="n">
        <x:v>0.16450255483461665</x:v>
      </x:c>
      <x:c r="F284" s="22" t="n">
        <x:v>8</x:v>
      </x:c>
      <x:c r="G284" s="22" t="n">
        <x:v>226</x:v>
      </x:c>
      <x:c r="H284" s="22" t="n">
        <x:v>15</x:v>
      </x:c>
      <x:c r="I284" s="22" t="n">
        <x:v>7</x:v>
      </x:c>
      <x:c r="J284" s="22" t="n">
        <x:f>'02_人物原始合计'!AG284+'02_人物原始合计'!AH284</x:f>
        <x:v>15</x:v>
      </x:c>
      <x:c r="K284" s="28" t="n">
        <x:f>'02_人物原始合计'!F284*(1+'02_人物原始合计'!Q284/100)</x:f>
        <x:v>1534616.55</x:v>
      </x:c>
      <x:c r="L284" s="28" t="n">
        <x:f>'02_人物原始合计'!K284*(1+'02_人物原始合计'!AV284/100)</x:f>
        <x:v>16477199.000000002</x:v>
      </x:c>
      <x:c r="M284" s="22" t="n">
        <x:f>MAX(0,MIN(50,'02_人物原始合计'!AD284,20+MIN(30,'02_人物原始合计'!AE284)))</x:f>
        <x:v>33</x:v>
      </x:c>
      <x:c r="N284" s="22" t="n">
        <x:f>IF(M284=0,1.75,IF(M284=10,2.2,IF(M284=20,2.9,IF(M284=30,4.3,IF(M284=40,8.5,IF(M284=50,14.3,IF(M284&lt;=40,1000/('01_参数'!$B$21-'01_参数'!$B$22*M284),1000/(1000/8.5+(M284-40)/10*(1000/14.3-1000/8.5)))))))))</x:f>
        <x:v>5.06688719246015</x:v>
      </x:c>
      <x:c r="O284" s="22" t="n">
        <x:v>982</x:v>
      </x:c>
      <x:c r="P284" s="26" t="n">
        <x:f>MAX(0,MIN('01_参数'!$B$20,'02_人物原始合计'!AM284/100,'01_参数'!$B$19+'02_人物原始合计'!AN284/100))</x:f>
        <x:v>0.67</x:v>
      </x:c>
      <x:c r="Q284" s="28" t="n">
        <x:f>((('02_人物原始合计'!E284+('02_人物原始合计'!F284-'02_人物原始合计'!E284)*IF(J284&gt;=12,1,0.5+0.5*MAX(0,J284)/12))*(1+'02_人物原始合计'!Q284/100))*(1+'02_人物原始合计'!U284/100+IF(J284&gt;=15,0.15,0))*(1+'02_人物原始合计'!V284/100)*(1+'02_人物原始合计'!T284)*(1+'02_人物原始合计'!W284*'01_参数'!$B$18)*(1+MAX(0,MIN(1,'02_人物原始合计'!X284/100))*('01_参数'!$B$16+'02_人物原始合计'!Y284/100-1))*(1+MAX(0,MIN(1,'02_人物原始合计'!Z284/100))*('01_参数'!$B$17+'02_人物原始合计'!AA284/100-1))+'02_人物原始合计'!AB284)*N284*'01_参数'!$B$7*'01_参数'!$B$8</x:f>
        <x:v>1533082444.9028177</x:v>
      </x:c>
      <x:c r="R284" s="28" t="n">
        <x:f>Q284*'01_参数'!$B$5</x:f>
        <x:v>3066164889.8056355</x:v>
      </x:c>
      <x:c r="S284" s="28" t="n">
        <x:f>(('02_人物原始合计'!E284+('02_人物原始合计'!F284-'02_人物原始合计'!E284)*IF(J284&gt;=12,1,0.5+0.5*MAX(0,J284)/12))*(1+'02_人物原始合计'!Q284/100))*(1+'02_人物原始合计'!U284/100+IF(J284&gt;=15,0.15,0))*(1+'02_人物原始合计'!V284/100)*(1+'02_人物原始合计'!T284)*(1+'02_人物原始合计'!W284*'01_参数'!$B$18)*(1+MAX(0,MIN(1,'02_人物原始合计'!X284/100))*('01_参数'!$B$16+'02_人物原始合计'!Y284/100-1))*(1+MAX(0,MIN(1,'02_人物原始合计'!Z284/100))*('01_参数'!$B$17+'02_人物原始合计'!AA284/100-1))*N284*'01_参数'!$B$7*'01_参数'!$B$8*MAX(0,'02_人物原始合计'!AO284/100)</x:f>
        <x:v>107315771.14319725</x:v>
      </x:c>
      <x:c r="T284" s="28" t="n">
        <x:f>S284*'01_参数'!$B$6</x:f>
        <x:v>139510502.48615643</x:v>
      </x:c>
      <x:c r="U284" s="28" t="n">
        <x:v>0</x:v>
      </x:c>
      <x:c r="V284" s="28" t="n">
        <x:f>T284+U284</x:f>
        <x:v>139510502.48615643</x:v>
      </x:c>
      <x:c r="W284" s="22" t="n">
        <x:v>31</x:v>
      </x:c>
      <x:c r="X284" s="22" t="n">
        <x:v>292</x:v>
      </x:c>
      <x:c r="Y284" s="22" t="str">
        <x:v>主线</x:v>
      </x:c>
    </x:row>
    <x:row r="285" ht="24" customHeight="1">
      <x:c r="A285" s="22" t="str">
        <x:v>P0281</x:v>
      </x:c>
      <x:c r="B285" s="22" t="n">
        <x:v>9</x:v>
      </x:c>
      <x:c r="C285" s="22" t="n">
        <x:v>3</x:v>
      </x:c>
      <x:c r="D285" s="22" t="str">
        <x:v>封棺执政·梅尔顿挑战前</x:v>
      </x:c>
      <x:c r="E285" s="26" t="n">
        <x:v>0.3645025548346167</x:v>
      </x:c>
      <x:c r="F285" s="22" t="n">
        <x:v>9</x:v>
      </x:c>
      <x:c r="G285" s="22" t="n">
        <x:v>230</x:v>
      </x:c>
      <x:c r="H285" s="22" t="n">
        <x:v>15</x:v>
      </x:c>
      <x:c r="I285" s="22" t="n">
        <x:v>7</x:v>
      </x:c>
      <x:c r="J285" s="22" t="n">
        <x:f>'02_人物原始合计'!AG285+'02_人物原始合计'!AH285</x:f>
        <x:v>15</x:v>
      </x:c>
      <x:c r="K285" s="28" t="n">
        <x:f>'02_人物原始合计'!F285*(1+'02_人物原始合计'!Q285/100)</x:f>
        <x:v>1995216.57</x:v>
      </x:c>
      <x:c r="L285" s="28" t="n">
        <x:f>'02_人物原始合计'!K285*(1+'02_人物原始合计'!AV285/100)</x:f>
        <x:v>20496245</x:v>
      </x:c>
      <x:c r="M285" s="22" t="n">
        <x:f>MAX(0,MIN(50,'02_人物原始合计'!AD285,20+MIN(30,'02_人物原始合计'!AE285)))</x:f>
        <x:v>33</x:v>
      </x:c>
      <x:c r="N285" s="22" t="n">
        <x:f>IF(M285=0,1.75,IF(M285=10,2.2,IF(M285=20,2.9,IF(M285=30,4.3,IF(M285=40,8.5,IF(M285=50,14.3,IF(M285&lt;=40,1000/('01_参数'!$B$21-'01_参数'!$B$22*M285),1000/(1000/8.5+(M285-40)/10*(1000/14.3-1000/8.5)))))))))</x:f>
        <x:v>5.06688719246015</x:v>
      </x:c>
      <x:c r="O285" s="22" t="n">
        <x:v>982</x:v>
      </x:c>
      <x:c r="P285" s="26" t="n">
        <x:f>MAX(0,MIN('01_参数'!$B$20,'02_人物原始合计'!AM285/100,'01_参数'!$B$19+'02_人物原始合计'!AN285/100))</x:f>
        <x:v>0.67</x:v>
      </x:c>
      <x:c r="Q285" s="28" t="n">
        <x:f>((('02_人物原始合计'!E285+('02_人物原始合计'!F285-'02_人物原始合计'!E285)*IF(J285&gt;=12,1,0.5+0.5*MAX(0,J285)/12))*(1+'02_人物原始合计'!Q285/100))*(1+'02_人物原始合计'!U285/100+IF(J285&gt;=15,0.15,0))*(1+'02_人物原始合计'!V285/100)*(1+'02_人物原始合计'!T285)*(1+'02_人物原始合计'!W285*'01_参数'!$B$18)*(1+MAX(0,MIN(1,'02_人物原始合计'!X285/100))*('01_参数'!$B$16+'02_人物原始合计'!Y285/100-1))*(1+MAX(0,MIN(1,'02_人物原始合计'!Z285/100))*('01_参数'!$B$17+'02_人物原始合计'!AA285/100-1))+'02_人物原始合计'!AB285)*N285*'01_参数'!$B$7*'01_参数'!$B$8</x:f>
        <x:v>1993222018.3903363</x:v>
      </x:c>
      <x:c r="R285" s="28" t="n">
        <x:f>Q285*'01_参数'!$B$5</x:f>
        <x:v>3986444036.7806726</x:v>
      </x:c>
      <x:c r="S285" s="28" t="n">
        <x:f>(('02_人物原始合计'!E285+('02_人物原始合计'!F285-'02_人物原始合计'!E285)*IF(J285&gt;=12,1,0.5+0.5*MAX(0,J285)/12))*(1+'02_人物原始合计'!Q285/100))*(1+'02_人物原始合计'!U285/100+IF(J285&gt;=15,0.15,0))*(1+'02_人物原始合计'!V285/100)*(1+'02_人物原始合计'!T285)*(1+'02_人物原始合计'!W285*'01_参数'!$B$18)*(1+MAX(0,MIN(1,'02_人物原始合计'!X285/100))*('01_参数'!$B$16+'02_人物原始合计'!Y285/100-1))*(1+MAX(0,MIN(1,'02_人物原始合计'!Z285/100))*('01_参数'!$B$17+'02_人物原始合计'!AA285/100-1))*N285*'01_参数'!$B$7*'01_参数'!$B$8*MAX(0,'02_人物原始合计'!AO285/100)</x:f>
        <x:v>139525541.28732356</x:v>
      </x:c>
      <x:c r="T285" s="28" t="n">
        <x:f>S285*'01_参数'!$B$6</x:f>
        <x:v>181383203.67352065</x:v>
      </x:c>
      <x:c r="U285" s="28" t="n">
        <x:v>0</x:v>
      </x:c>
      <x:c r="V285" s="28" t="n">
        <x:f>T285+U285</x:f>
        <x:v>181383203.67352065</x:v>
      </x:c>
      <x:c r="W285" s="22" t="n">
        <x:v>31</x:v>
      </x:c>
      <x:c r="X285" s="22" t="n">
        <x:v>292</x:v>
      </x:c>
      <x:c r="Y285" s="22" t="str">
        <x:v>主线</x:v>
      </x:c>
    </x:row>
    <x:row r="286" ht="24" customHeight="1">
      <x:c r="A286" s="22" t="str">
        <x:v>P0282</x:v>
      </x:c>
      <x:c r="B286" s="22" t="n">
        <x:v>9</x:v>
      </x:c>
      <x:c r="C286" s="22" t="n">
        <x:v>3</x:v>
      </x:c>
      <x:c r="D286" s="22" t="str">
        <x:v>不醒古王·奥瑞昂挑战前</x:v>
      </x:c>
      <x:c r="E286" s="26" t="n">
        <x:v>0.3645025548346167</x:v>
      </x:c>
      <x:c r="F286" s="22" t="n">
        <x:v>9</x:v>
      </x:c>
      <x:c r="G286" s="22" t="n">
        <x:v>230</x:v>
      </x:c>
      <x:c r="H286" s="22" t="n">
        <x:v>15</x:v>
      </x:c>
      <x:c r="I286" s="22" t="n">
        <x:v>7</x:v>
      </x:c>
      <x:c r="J286" s="22" t="n">
        <x:f>'02_人物原始合计'!AG286+'02_人物原始合计'!AH286</x:f>
        <x:v>15</x:v>
      </x:c>
      <x:c r="K286" s="28" t="n">
        <x:f>'02_人物原始合计'!F286*(1+'02_人物原始合计'!Q286/100)</x:f>
        <x:v>1995216.57</x:v>
      </x:c>
      <x:c r="L286" s="28" t="n">
        <x:f>'02_人物原始合计'!K286*(1+'02_人物原始合计'!AV286/100)</x:f>
        <x:v>20496245</x:v>
      </x:c>
      <x:c r="M286" s="22" t="n">
        <x:f>MAX(0,MIN(50,'02_人物原始合计'!AD286,20+MIN(30,'02_人物原始合计'!AE286)))</x:f>
        <x:v>33</x:v>
      </x:c>
      <x:c r="N286" s="22" t="n">
        <x:f>IF(M286=0,1.75,IF(M286=10,2.2,IF(M286=20,2.9,IF(M286=30,4.3,IF(M286=40,8.5,IF(M286=50,14.3,IF(M286&lt;=40,1000/('01_参数'!$B$21-'01_参数'!$B$22*M286),1000/(1000/8.5+(M286-40)/10*(1000/14.3-1000/8.5)))))))))</x:f>
        <x:v>5.06688719246015</x:v>
      </x:c>
      <x:c r="O286" s="22" t="n">
        <x:v>982</x:v>
      </x:c>
      <x:c r="P286" s="26" t="n">
        <x:f>MAX(0,MIN('01_参数'!$B$20,'02_人物原始合计'!AM286/100,'01_参数'!$B$19+'02_人物原始合计'!AN286/100))</x:f>
        <x:v>0.67</x:v>
      </x:c>
      <x:c r="Q286" s="28" t="n">
        <x:f>((('02_人物原始合计'!E286+('02_人物原始合计'!F286-'02_人物原始合计'!E286)*IF(J286&gt;=12,1,0.5+0.5*MAX(0,J286)/12))*(1+'02_人物原始合计'!Q286/100))*(1+'02_人物原始合计'!U286/100+IF(J286&gt;=15,0.15,0))*(1+'02_人物原始合计'!V286/100)*(1+'02_人物原始合计'!T286)*(1+'02_人物原始合计'!W286*'01_参数'!$B$18)*(1+MAX(0,MIN(1,'02_人物原始合计'!X286/100))*('01_参数'!$B$16+'02_人物原始合计'!Y286/100-1))*(1+MAX(0,MIN(1,'02_人物原始合计'!Z286/100))*('01_参数'!$B$17+'02_人物原始合计'!AA286/100-1))+'02_人物原始合计'!AB286)*N286*'01_参数'!$B$7*'01_参数'!$B$8</x:f>
        <x:v>1993222018.3903363</x:v>
      </x:c>
      <x:c r="R286" s="28" t="n">
        <x:f>Q286*'01_参数'!$B$5</x:f>
        <x:v>3986444036.7806726</x:v>
      </x:c>
      <x:c r="S286" s="28" t="n">
        <x:f>(('02_人物原始合计'!E286+('02_人物原始合计'!F286-'02_人物原始合计'!E286)*IF(J286&gt;=12,1,0.5+0.5*MAX(0,J286)/12))*(1+'02_人物原始合计'!Q286/100))*(1+'02_人物原始合计'!U286/100+IF(J286&gt;=15,0.15,0))*(1+'02_人物原始合计'!V286/100)*(1+'02_人物原始合计'!T286)*(1+'02_人物原始合计'!W286*'01_参数'!$B$18)*(1+MAX(0,MIN(1,'02_人物原始合计'!X286/100))*('01_参数'!$B$16+'02_人物原始合计'!Y286/100-1))*(1+MAX(0,MIN(1,'02_人物原始合计'!Z286/100))*('01_参数'!$B$17+'02_人物原始合计'!AA286/100-1))*N286*'01_参数'!$B$7*'01_参数'!$B$8*MAX(0,'02_人物原始合计'!AO286/100)</x:f>
        <x:v>139525541.28732356</x:v>
      </x:c>
      <x:c r="T286" s="28" t="n">
        <x:f>S286*'01_参数'!$B$6</x:f>
        <x:v>181383203.67352065</x:v>
      </x:c>
      <x:c r="U286" s="28" t="n">
        <x:v>0</x:v>
      </x:c>
      <x:c r="V286" s="28" t="n">
        <x:f>T286+U286</x:f>
        <x:v>181383203.67352065</x:v>
      </x:c>
      <x:c r="W286" s="22" t="n">
        <x:v>31</x:v>
      </x:c>
      <x:c r="X286" s="22" t="n">
        <x:v>292</x:v>
      </x:c>
      <x:c r="Y286" s="22" t="str">
        <x:v>主线</x:v>
      </x:c>
    </x:row>
    <x:row r="287" ht="24" customHeight="1">
      <x:c r="A287" s="22" t="str">
        <x:v>P0283</x:v>
      </x:c>
      <x:c r="B287" s="22" t="n">
        <x:v>9</x:v>
      </x:c>
      <x:c r="C287" s="22" t="n">
        <x:v>3</x:v>
      </x:c>
      <x:c r="D287" s="22" t="str">
        <x:v>古王陵园BOSS装备快线</x:v>
      </x:c>
      <x:c r="E287" s="26" t="n">
        <x:v>0.3818938591824428</x:v>
      </x:c>
      <x:c r="F287" s="22" t="n">
        <x:v>9</x:v>
      </x:c>
      <x:c r="G287" s="22" t="n">
        <x:v>230</x:v>
      </x:c>
      <x:c r="H287" s="22" t="n">
        <x:v>15</x:v>
      </x:c>
      <x:c r="I287" s="22" t="n">
        <x:v>7</x:v>
      </x:c>
      <x:c r="J287" s="22" t="n">
        <x:f>'02_人物原始合计'!AG287+'02_人物原始合计'!AH287</x:f>
        <x:v>15</x:v>
      </x:c>
      <x:c r="K287" s="28" t="n">
        <x:f>'02_人物原始合计'!F287*(1+'02_人物原始合计'!Q287/100)</x:f>
        <x:v>2099048.8499999996</x:v>
      </x:c>
      <x:c r="L287" s="28" t="n">
        <x:f>'02_人物原始合计'!K287*(1+'02_人物原始合计'!AV287/100)</x:f>
        <x:v>20748113</x:v>
      </x:c>
      <x:c r="M287" s="22" t="n">
        <x:f>MAX(0,MIN(50,'02_人物原始合计'!AD287,20+MIN(30,'02_人物原始合计'!AE287)))</x:f>
        <x:v>33</x:v>
      </x:c>
      <x:c r="N287" s="22" t="n">
        <x:f>IF(M287=0,1.75,IF(M287=10,2.2,IF(M287=20,2.9,IF(M287=30,4.3,IF(M287=40,8.5,IF(M287=50,14.3,IF(M287&lt;=40,1000/('01_参数'!$B$21-'01_参数'!$B$22*M287),1000/(1000/8.5+(M287-40)/10*(1000/14.3-1000/8.5)))))))))</x:f>
        <x:v>5.06688719246015</x:v>
      </x:c>
      <x:c r="O287" s="22" t="n">
        <x:v>982</x:v>
      </x:c>
      <x:c r="P287" s="26" t="n">
        <x:f>MAX(0,MIN('01_参数'!$B$20,'02_人物原始合计'!AM287/100,'01_参数'!$B$19+'02_人物原始合计'!AN287/100))</x:f>
        <x:v>0.69</x:v>
      </x:c>
      <x:c r="Q287" s="28" t="n">
        <x:f>((('02_人物原始合计'!E287+('02_人物原始合计'!F287-'02_人物原始合计'!E287)*IF(J287&gt;=12,1,0.5+0.5*MAX(0,J287)/12))*(1+'02_人物原始合计'!Q287/100))*(1+'02_人物原始合计'!U287/100+IF(J287&gt;=15,0.15,0))*(1+'02_人物原始合计'!V287/100)*(1+'02_人物原始合计'!T287)*(1+'02_人物原始合计'!W287*'01_参数'!$B$18)*(1+MAX(0,MIN(1,'02_人物原始合计'!X287/100))*('01_参数'!$B$16+'02_人物原始合计'!Y287/100-1))*(1+MAX(0,MIN(1,'02_人物原始合计'!Z287/100))*('01_参数'!$B$17+'02_人物原始合计'!AA287/100-1))+'02_人物原始合计'!AB287)*N287*'01_参数'!$B$7*'01_参数'!$B$8</x:f>
        <x:v>2347659769.0454955</x:v>
      </x:c>
      <x:c r="R287" s="28" t="n">
        <x:f>Q287*'01_参数'!$B$5</x:f>
        <x:v>4695319538.090991</x:v>
      </x:c>
      <x:c r="S287" s="28" t="n">
        <x:f>(('02_人物原始合计'!E287+('02_人物原始合计'!F287-'02_人物原始合计'!E287)*IF(J287&gt;=12,1,0.5+0.5*MAX(0,J287)/12))*(1+'02_人物原始合计'!Q287/100))*(1+'02_人物原始合计'!U287/100+IF(J287&gt;=15,0.15,0))*(1+'02_人物原始合计'!V287/100)*(1+'02_人物原始合计'!T287)*(1+'02_人物原始合计'!W287*'01_参数'!$B$18)*(1+MAX(0,MIN(1,'02_人物原始合计'!X287/100))*('01_参数'!$B$16+'02_人物原始合计'!Y287/100-1))*(1+MAX(0,MIN(1,'02_人物原始合计'!Z287/100))*('01_参数'!$B$17+'02_人物原始合计'!AA287/100-1))*N287*'01_参数'!$B$7*'01_参数'!$B$8*MAX(0,'02_人物原始合计'!AO287/100)</x:f>
        <x:v>164336183.8331847</x:v>
      </x:c>
      <x:c r="T287" s="28" t="n">
        <x:f>S287*'01_参数'!$B$6</x:f>
        <x:v>213637038.9831401</x:v>
      </x:c>
      <x:c r="U287" s="28" t="n">
        <x:v>0</x:v>
      </x:c>
      <x:c r="V287" s="28" t="n">
        <x:f>T287+U287</x:f>
        <x:v>213637038.9831401</x:v>
      </x:c>
      <x:c r="W287" s="22" t="n">
        <x:v>31</x:v>
      </x:c>
      <x:c r="X287" s="22" t="n">
        <x:v>292</x:v>
      </x:c>
      <x:c r="Y287" s="22" t="str">
        <x:v>C09G03BOSS强装对照</x:v>
      </x:c>
    </x:row>
    <x:row r="288" ht="24" customHeight="1">
      <x:c r="A288" s="22" t="str">
        <x:v>P0284</x:v>
      </x:c>
      <x:c r="B288" s="22" t="n">
        <x:v>9</x:v>
      </x:c>
      <x:c r="C288" s="22" t="n">
        <x:v>3</x:v>
      </x:c>
      <x:c r="D288" s="22" t="str">
        <x:v>古王陵园阶段积累后</x:v>
      </x:c>
      <x:c r="E288" s="26" t="n">
        <x:v>0.369649613658146</x:v>
      </x:c>
      <x:c r="F288" s="22" t="n">
        <x:v>9</x:v>
      </x:c>
      <x:c r="G288" s="22" t="n">
        <x:v>230</x:v>
      </x:c>
      <x:c r="H288" s="22" t="n">
        <x:v>15</x:v>
      </x:c>
      <x:c r="I288" s="22" t="n">
        <x:v>7</x:v>
      </x:c>
      <x:c r="J288" s="22" t="n">
        <x:f>'02_人物原始合计'!AG288+'02_人物原始合计'!AH288</x:f>
        <x:v>15</x:v>
      </x:c>
      <x:c r="K288" s="28" t="n">
        <x:f>'02_人物原始合计'!F288*(1+'02_人物原始合计'!Q288/100)</x:f>
        <x:v>1997606.07</x:v>
      </x:c>
      <x:c r="L288" s="28" t="n">
        <x:f>'02_人物原始合计'!K288*(1+'02_人物原始合计'!AV288/100)</x:f>
        <x:v>20517095</x:v>
      </x:c>
      <x:c r="M288" s="22" t="n">
        <x:f>MAX(0,MIN(50,'02_人物原始合计'!AD288,20+MIN(30,'02_人物原始合计'!AE288)))</x:f>
        <x:v>33</x:v>
      </x:c>
      <x:c r="N288" s="22" t="n">
        <x:f>IF(M288=0,1.75,IF(M288=10,2.2,IF(M288=20,2.9,IF(M288=30,4.3,IF(M288=40,8.5,IF(M288=50,14.3,IF(M288&lt;=40,1000/('01_参数'!$B$21-'01_参数'!$B$22*M288),1000/(1000/8.5+(M288-40)/10*(1000/14.3-1000/8.5)))))))))</x:f>
        <x:v>5.06688719246015</x:v>
      </x:c>
      <x:c r="O288" s="22" t="n">
        <x:v>982</x:v>
      </x:c>
      <x:c r="P288" s="26" t="n">
        <x:f>MAX(0,MIN('01_参数'!$B$20,'02_人物原始合计'!AM288/100,'01_参数'!$B$19+'02_人物原始合计'!AN288/100))</x:f>
        <x:v>0.67</x:v>
      </x:c>
      <x:c r="Q288" s="28" t="n">
        <x:f>((('02_人物原始合计'!E288+('02_人物原始合计'!F288-'02_人物原始合计'!E288)*IF(J288&gt;=12,1,0.5+0.5*MAX(0,J288)/12))*(1+'02_人物原始合计'!Q288/100))*(1+'02_人物原始合计'!U288/100+IF(J288&gt;=15,0.15,0))*(1+'02_人物原始合计'!V288/100)*(1+'02_人物原始合计'!T288)*(1+'02_人物原始合计'!W288*'01_参数'!$B$18)*(1+MAX(0,MIN(1,'02_人物原始合计'!X288/100))*('01_参数'!$B$16+'02_人物原始合计'!Y288/100-1))*(1+MAX(0,MIN(1,'02_人物原始合计'!Z288/100))*('01_参数'!$B$17+'02_人物原始合计'!AA288/100-1))+'02_人物原始合计'!AB288)*N288*'01_参数'!$B$7*'01_参数'!$B$8</x:f>
        <x:v>1995609129.6867025</x:v>
      </x:c>
      <x:c r="R288" s="28" t="n">
        <x:f>Q288*'01_参数'!$B$5</x:f>
        <x:v>3991218259.373405</x:v>
      </x:c>
      <x:c r="S288" s="28" t="n">
        <x:f>(('02_人物原始合计'!E288+('02_人物原始合计'!F288-'02_人物原始合计'!E288)*IF(J288&gt;=12,1,0.5+0.5*MAX(0,J288)/12))*(1+'02_人物原始合计'!Q288/100))*(1+'02_人物原始合计'!U288/100+IF(J288&gt;=15,0.15,0))*(1+'02_人物原始合计'!V288/100)*(1+'02_人物原始合计'!T288)*(1+'02_人物原始合计'!W288*'01_参数'!$B$18)*(1+MAX(0,MIN(1,'02_人物原始合计'!X288/100))*('01_参数'!$B$16+'02_人物原始合计'!Y288/100-1))*(1+MAX(0,MIN(1,'02_人物原始合计'!Z288/100))*('01_参数'!$B$17+'02_人物原始合计'!AA288/100-1))*N288*'01_参数'!$B$7*'01_参数'!$B$8*MAX(0,'02_人物原始合计'!AO288/100)</x:f>
        <x:v>139692639.07806918</x:v>
      </x:c>
      <x:c r="T288" s="28" t="n">
        <x:f>S288*'01_参数'!$B$6</x:f>
        <x:v>181600430.80148995</x:v>
      </x:c>
      <x:c r="U288" s="28" t="n">
        <x:v>0</x:v>
      </x:c>
      <x:c r="V288" s="28" t="n">
        <x:f>T288+U288</x:f>
        <x:v>181600430.80148995</x:v>
      </x:c>
      <x:c r="W288" s="22" t="n">
        <x:v>31</x:v>
      </x:c>
      <x:c r="X288" s="22" t="n">
        <x:v>293</x:v>
      </x:c>
      <x:c r="Y288" s="22" t="str">
        <x:v>主线</x:v>
      </x:c>
    </x:row>
    <x:row r="289" ht="24" customHeight="1">
      <x:c r="A289" s="22" t="str">
        <x:v>P0285</x:v>
      </x:c>
      <x:c r="B289" s="22" t="n">
        <x:v>9</x:v>
      </x:c>
      <x:c r="C289" s="22" t="n">
        <x:v>4</x:v>
      </x:c>
      <x:c r="D289" s="22" t="str">
        <x:v>C09G04入场</x:v>
      </x:c>
      <x:c r="E289" s="26" t="n">
        <x:v>0.369649613658146</x:v>
      </x:c>
      <x:c r="F289" s="22" t="n">
        <x:v>9</x:v>
      </x:c>
      <x:c r="G289" s="22" t="n">
        <x:v>230</x:v>
      </x:c>
      <x:c r="H289" s="22" t="n">
        <x:v>15</x:v>
      </x:c>
      <x:c r="I289" s="22" t="n">
        <x:v>7</x:v>
      </x:c>
      <x:c r="J289" s="22" t="n">
        <x:f>'02_人物原始合计'!AG289+'02_人物原始合计'!AH289</x:f>
        <x:v>15</x:v>
      </x:c>
      <x:c r="K289" s="28" t="n">
        <x:f>'02_人物原始合计'!F289*(1+'02_人物原始合计'!Q289/100)</x:f>
        <x:v>1997606.07</x:v>
      </x:c>
      <x:c r="L289" s="28" t="n">
        <x:f>'02_人物原始合计'!K289*(1+'02_人物原始合计'!AV289/100)</x:f>
        <x:v>20517095</x:v>
      </x:c>
      <x:c r="M289" s="22" t="n">
        <x:f>MAX(0,MIN(50,'02_人物原始合计'!AD289,20+MIN(30,'02_人物原始合计'!AE289)))</x:f>
        <x:v>33</x:v>
      </x:c>
      <x:c r="N289" s="22" t="n">
        <x:f>IF(M289=0,1.75,IF(M289=10,2.2,IF(M289=20,2.9,IF(M289=30,4.3,IF(M289=40,8.5,IF(M289=50,14.3,IF(M289&lt;=40,1000/('01_参数'!$B$21-'01_参数'!$B$22*M289),1000/(1000/8.5+(M289-40)/10*(1000/14.3-1000/8.5)))))))))</x:f>
        <x:v>5.06688719246015</x:v>
      </x:c>
      <x:c r="O289" s="22" t="n">
        <x:v>982</x:v>
      </x:c>
      <x:c r="P289" s="26" t="n">
        <x:f>MAX(0,MIN('01_参数'!$B$20,'02_人物原始合计'!AM289/100,'01_参数'!$B$19+'02_人物原始合计'!AN289/100))</x:f>
        <x:v>0.67</x:v>
      </x:c>
      <x:c r="Q289" s="28" t="n">
        <x:f>((('02_人物原始合计'!E289+('02_人物原始合计'!F289-'02_人物原始合计'!E289)*IF(J289&gt;=12,1,0.5+0.5*MAX(0,J289)/12))*(1+'02_人物原始合计'!Q289/100))*(1+'02_人物原始合计'!U289/100+IF(J289&gt;=15,0.15,0))*(1+'02_人物原始合计'!V289/100)*(1+'02_人物原始合计'!T289)*(1+'02_人物原始合计'!W289*'01_参数'!$B$18)*(1+MAX(0,MIN(1,'02_人物原始合计'!X289/100))*('01_参数'!$B$16+'02_人物原始合计'!Y289/100-1))*(1+MAX(0,MIN(1,'02_人物原始合计'!Z289/100))*('01_参数'!$B$17+'02_人物原始合计'!AA289/100-1))+'02_人物原始合计'!AB289)*N289*'01_参数'!$B$7*'01_参数'!$B$8</x:f>
        <x:v>1995609129.6867025</x:v>
      </x:c>
      <x:c r="R289" s="28" t="n">
        <x:f>Q289*'01_参数'!$B$5</x:f>
        <x:v>3991218259.373405</x:v>
      </x:c>
      <x:c r="S289" s="28" t="n">
        <x:f>(('02_人物原始合计'!E289+('02_人物原始合计'!F289-'02_人物原始合计'!E289)*IF(J289&gt;=12,1,0.5+0.5*MAX(0,J289)/12))*(1+'02_人物原始合计'!Q289/100))*(1+'02_人物原始合计'!U289/100+IF(J289&gt;=15,0.15,0))*(1+'02_人物原始合计'!V289/100)*(1+'02_人物原始合计'!T289)*(1+'02_人物原始合计'!W289*'01_参数'!$B$18)*(1+MAX(0,MIN(1,'02_人物原始合计'!X289/100))*('01_参数'!$B$16+'02_人物原始合计'!Y289/100-1))*(1+MAX(0,MIN(1,'02_人物原始合计'!Z289/100))*('01_参数'!$B$17+'02_人物原始合计'!AA289/100-1))*N289*'01_参数'!$B$7*'01_参数'!$B$8*MAX(0,'02_人物原始合计'!AO289/100)</x:f>
        <x:v>139692639.07806918</x:v>
      </x:c>
      <x:c r="T289" s="28" t="n">
        <x:f>S289*'01_参数'!$B$6</x:f>
        <x:v>181600430.80148995</x:v>
      </x:c>
      <x:c r="U289" s="28" t="n">
        <x:v>0</x:v>
      </x:c>
      <x:c r="V289" s="28" t="n">
        <x:f>T289+U289</x:f>
        <x:v>181600430.80148995</x:v>
      </x:c>
      <x:c r="W289" s="22" t="n">
        <x:v>31</x:v>
      </x:c>
      <x:c r="X289" s="22" t="n">
        <x:v>293</x:v>
      </x:c>
      <x:c r="Y289" s="22" t="str">
        <x:v>主线</x:v>
      </x:c>
    </x:row>
    <x:row r="290" ht="24" customHeight="1">
      <x:c r="A290" s="22" t="str">
        <x:v>P0286</x:v>
      </x:c>
      <x:c r="B290" s="22" t="n">
        <x:v>9</x:v>
      </x:c>
      <x:c r="C290" s="22" t="n">
        <x:v>4</x:v>
      </x:c>
      <x:c r="D290" s="22" t="str">
        <x:v>C09G04普通专属4/6</x:v>
      </x:c>
      <x:c r="E290" s="26" t="n">
        <x:v>0.369649613658146</x:v>
      </x:c>
      <x:c r="F290" s="22" t="n">
        <x:v>9</x:v>
      </x:c>
      <x:c r="G290" s="22" t="n">
        <x:v>230</x:v>
      </x:c>
      <x:c r="H290" s="22" t="n">
        <x:v>15</x:v>
      </x:c>
      <x:c r="I290" s="22" t="n">
        <x:v>7</x:v>
      </x:c>
      <x:c r="J290" s="22" t="n">
        <x:f>'02_人物原始合计'!AG290+'02_人物原始合计'!AH290</x:f>
        <x:v>15</x:v>
      </x:c>
      <x:c r="K290" s="28" t="n">
        <x:f>'02_人物原始合计'!F290*(1+'02_人物原始合计'!Q290/100)</x:f>
        <x:v>1997606.07</x:v>
      </x:c>
      <x:c r="L290" s="28" t="n">
        <x:f>'02_人物原始合计'!K290*(1+'02_人物原始合计'!AV290/100)</x:f>
        <x:v>20517095</x:v>
      </x:c>
      <x:c r="M290" s="22" t="n">
        <x:f>MAX(0,MIN(50,'02_人物原始合计'!AD290,20+MIN(30,'02_人物原始合计'!AE290)))</x:f>
        <x:v>33</x:v>
      </x:c>
      <x:c r="N290" s="22" t="n">
        <x:f>IF(M290=0,1.75,IF(M290=10,2.2,IF(M290=20,2.9,IF(M290=30,4.3,IF(M290=40,8.5,IF(M290=50,14.3,IF(M290&lt;=40,1000/('01_参数'!$B$21-'01_参数'!$B$22*M290),1000/(1000/8.5+(M290-40)/10*(1000/14.3-1000/8.5)))))))))</x:f>
        <x:v>5.06688719246015</x:v>
      </x:c>
      <x:c r="O290" s="22" t="n">
        <x:v>982</x:v>
      </x:c>
      <x:c r="P290" s="26" t="n">
        <x:f>MAX(0,MIN('01_参数'!$B$20,'02_人物原始合计'!AM290/100,'01_参数'!$B$19+'02_人物原始合计'!AN290/100))</x:f>
        <x:v>0.67</x:v>
      </x:c>
      <x:c r="Q290" s="28" t="n">
        <x:f>((('02_人物原始合计'!E290+('02_人物原始合计'!F290-'02_人物原始合计'!E290)*IF(J290&gt;=12,1,0.5+0.5*MAX(0,J290)/12))*(1+'02_人物原始合计'!Q290/100))*(1+'02_人物原始合计'!U290/100+IF(J290&gt;=15,0.15,0))*(1+'02_人物原始合计'!V290/100)*(1+'02_人物原始合计'!T290)*(1+'02_人物原始合计'!W290*'01_参数'!$B$18)*(1+MAX(0,MIN(1,'02_人物原始合计'!X290/100))*('01_参数'!$B$16+'02_人物原始合计'!Y290/100-1))*(1+MAX(0,MIN(1,'02_人物原始合计'!Z290/100))*('01_参数'!$B$17+'02_人物原始合计'!AA290/100-1))+'02_人物原始合计'!AB290)*N290*'01_参数'!$B$7*'01_参数'!$B$8</x:f>
        <x:v>1995609129.6867025</x:v>
      </x:c>
      <x:c r="R290" s="28" t="n">
        <x:f>Q290*'01_参数'!$B$5</x:f>
        <x:v>3991218259.373405</x:v>
      </x:c>
      <x:c r="S290" s="28" t="n">
        <x:f>(('02_人物原始合计'!E290+('02_人物原始合计'!F290-'02_人物原始合计'!E290)*IF(J290&gt;=12,1,0.5+0.5*MAX(0,J290)/12))*(1+'02_人物原始合计'!Q290/100))*(1+'02_人物原始合计'!U290/100+IF(J290&gt;=15,0.15,0))*(1+'02_人物原始合计'!V290/100)*(1+'02_人物原始合计'!T290)*(1+'02_人物原始合计'!W290*'01_参数'!$B$18)*(1+MAX(0,MIN(1,'02_人物原始合计'!X290/100))*('01_参数'!$B$16+'02_人物原始合计'!Y290/100-1))*(1+MAX(0,MIN(1,'02_人物原始合计'!Z290/100))*('01_参数'!$B$17+'02_人物原始合计'!AA290/100-1))*N290*'01_参数'!$B$7*'01_参数'!$B$8*MAX(0,'02_人物原始合计'!AO290/100)</x:f>
        <x:v>139692639.07806918</x:v>
      </x:c>
      <x:c r="T290" s="28" t="n">
        <x:f>S290*'01_参数'!$B$6</x:f>
        <x:v>181600430.80148995</x:v>
      </x:c>
      <x:c r="U290" s="28" t="n">
        <x:v>0</x:v>
      </x:c>
      <x:c r="V290" s="28" t="n">
        <x:f>T290+U290</x:f>
        <x:v>181600430.80148995</x:v>
      </x:c>
      <x:c r="W290" s="22" t="n">
        <x:v>31</x:v>
      </x:c>
      <x:c r="X290" s="22" t="n">
        <x:v>293</x:v>
      </x:c>
      <x:c r="Y290" s="22" t="str">
        <x:v>主线</x:v>
      </x:c>
    </x:row>
    <x:row r="291" ht="24" customHeight="1">
      <x:c r="A291" s="22" t="str">
        <x:v>P0287</x:v>
      </x:c>
      <x:c r="B291" s="22" t="n">
        <x:v>9</x:v>
      </x:c>
      <x:c r="C291" s="22" t="n">
        <x:v>4</x:v>
      </x:c>
      <x:c r="D291" s="22" t="str">
        <x:v>黄金枢机·赛维兰挑战前</x:v>
      </x:c>
      <x:c r="E291" s="26" t="n">
        <x:v>0.369649613658146</x:v>
      </x:c>
      <x:c r="F291" s="22" t="n">
        <x:v>9</x:v>
      </x:c>
      <x:c r="G291" s="22" t="n">
        <x:v>234</x:v>
      </x:c>
      <x:c r="H291" s="22" t="n">
        <x:v>15</x:v>
      </x:c>
      <x:c r="I291" s="22" t="n">
        <x:v>7</x:v>
      </x:c>
      <x:c r="J291" s="22" t="n">
        <x:f>'02_人物原始合计'!AG291+'02_人物原始合计'!AH291</x:f>
        <x:v>15</x:v>
      </x:c>
      <x:c r="K291" s="28" t="n">
        <x:f>'02_人物原始合计'!F291*(1+'02_人物原始合计'!Q291/100)</x:f>
        <x:v>2012420.97</x:v>
      </x:c>
      <x:c r="L291" s="28" t="n">
        <x:f>'02_人物原始合计'!K291*(1+'02_人物原始合计'!AV291/100)</x:f>
        <x:v>20646365</x:v>
      </x:c>
      <x:c r="M291" s="22" t="n">
        <x:f>MAX(0,MIN(50,'02_人物原始合计'!AD291,20+MIN(30,'02_人物原始合计'!AE291)))</x:f>
        <x:v>33</x:v>
      </x:c>
      <x:c r="N291" s="22" t="n">
        <x:f>IF(M291=0,1.75,IF(M291=10,2.2,IF(M291=20,2.9,IF(M291=30,4.3,IF(M291=40,8.5,IF(M291=50,14.3,IF(M291&lt;=40,1000/('01_参数'!$B$21-'01_参数'!$B$22*M291),1000/(1000/8.5+(M291-40)/10*(1000/14.3-1000/8.5)))))))))</x:f>
        <x:v>5.06688719246015</x:v>
      </x:c>
      <x:c r="O291" s="22" t="n">
        <x:v>982</x:v>
      </x:c>
      <x:c r="P291" s="26" t="n">
        <x:f>MAX(0,MIN('01_参数'!$B$20,'02_人物原始合计'!AM291/100,'01_参数'!$B$19+'02_人物原始合计'!AN291/100))</x:f>
        <x:v>0.67</x:v>
      </x:c>
      <x:c r="Q291" s="28" t="n">
        <x:f>((('02_人物原始合计'!E291+('02_人物原始合计'!F291-'02_人物原始合计'!E291)*IF(J291&gt;=12,1,0.5+0.5*MAX(0,J291)/12))*(1+'02_人物原始合计'!Q291/100))*(1+'02_人物原始合计'!U291/100+IF(J291&gt;=15,0.15,0))*(1+'02_人物原始合计'!V291/100)*(1+'02_人物原始合计'!T291)*(1+'02_人物原始合计'!W291*'01_参数'!$B$18)*(1+MAX(0,MIN(1,'02_人物原始合计'!X291/100))*('01_参数'!$B$16+'02_人物原始合计'!Y291/100-1))*(1+MAX(0,MIN(1,'02_人物原始合计'!Z291/100))*('01_参数'!$B$17+'02_人物原始合计'!AA291/100-1))+'02_人物原始合计'!AB291)*N291*'01_参数'!$B$7*'01_参数'!$B$8</x:f>
        <x:v>2010409219.7241716</x:v>
      </x:c>
      <x:c r="R291" s="28" t="n">
        <x:f>Q291*'01_参数'!$B$5</x:f>
        <x:v>4020818439.4483433</x:v>
      </x:c>
      <x:c r="S291" s="28" t="n">
        <x:f>(('02_人物原始合计'!E291+('02_人物原始合计'!F291-'02_人物原始合计'!E291)*IF(J291&gt;=12,1,0.5+0.5*MAX(0,J291)/12))*(1+'02_人物原始合计'!Q291/100))*(1+'02_人物原始合计'!U291/100+IF(J291&gt;=15,0.15,0))*(1+'02_人物原始合计'!V291/100)*(1+'02_人物原始合计'!T291)*(1+'02_人物原始合计'!W291*'01_参数'!$B$18)*(1+MAX(0,MIN(1,'02_人物原始合计'!X291/100))*('01_参数'!$B$16+'02_人物原始合计'!Y291/100-1))*(1+MAX(0,MIN(1,'02_人物原始合计'!Z291/100))*('01_参数'!$B$17+'02_人物原始合计'!AA291/100-1))*N291*'01_参数'!$B$7*'01_参数'!$B$8*MAX(0,'02_人物原始合计'!AO291/100)</x:f>
        <x:v>140728645.38069203</x:v>
      </x:c>
      <x:c r="T291" s="28" t="n">
        <x:f>S291*'01_参数'!$B$6</x:f>
        <x:v>182947238.99489966</x:v>
      </x:c>
      <x:c r="U291" s="28" t="n">
        <x:v>0</x:v>
      </x:c>
      <x:c r="V291" s="28" t="n">
        <x:f>T291+U291</x:f>
        <x:v>182947238.99489966</x:v>
      </x:c>
      <x:c r="W291" s="22" t="n">
        <x:v>31</x:v>
      </x:c>
      <x:c r="X291" s="22" t="n">
        <x:v>293</x:v>
      </x:c>
      <x:c r="Y291" s="22" t="str">
        <x:v>主线</x:v>
      </x:c>
    </x:row>
    <x:row r="292" ht="24" customHeight="1">
      <x:c r="A292" s="22" t="str">
        <x:v>P0288</x:v>
      </x:c>
      <x:c r="B292" s="22" t="n">
        <x:v>9</x:v>
      </x:c>
      <x:c r="C292" s="22" t="n">
        <x:v>4</x:v>
      </x:c>
      <x:c r="D292" s="22" t="str">
        <x:v>高原圣母·艾德莉雅挑战前</x:v>
      </x:c>
      <x:c r="E292" s="26" t="n">
        <x:v>0.369649613658146</x:v>
      </x:c>
      <x:c r="F292" s="22" t="n">
        <x:v>9</x:v>
      </x:c>
      <x:c r="G292" s="22" t="n">
        <x:v>234</x:v>
      </x:c>
      <x:c r="H292" s="22" t="n">
        <x:v>15</x:v>
      </x:c>
      <x:c r="I292" s="22" t="n">
        <x:v>7</x:v>
      </x:c>
      <x:c r="J292" s="22" t="n">
        <x:f>'02_人物原始合计'!AG292+'02_人物原始合计'!AH292</x:f>
        <x:v>15</x:v>
      </x:c>
      <x:c r="K292" s="28" t="n">
        <x:f>'02_人物原始合计'!F292*(1+'02_人物原始合计'!Q292/100)</x:f>
        <x:v>2012420.97</x:v>
      </x:c>
      <x:c r="L292" s="28" t="n">
        <x:f>'02_人物原始合计'!K292*(1+'02_人物原始合计'!AV292/100)</x:f>
        <x:v>20646365</x:v>
      </x:c>
      <x:c r="M292" s="22" t="n">
        <x:f>MAX(0,MIN(50,'02_人物原始合计'!AD292,20+MIN(30,'02_人物原始合计'!AE292)))</x:f>
        <x:v>33</x:v>
      </x:c>
      <x:c r="N292" s="22" t="n">
        <x:f>IF(M292=0,1.75,IF(M292=10,2.2,IF(M292=20,2.9,IF(M292=30,4.3,IF(M292=40,8.5,IF(M292=50,14.3,IF(M292&lt;=40,1000/('01_参数'!$B$21-'01_参数'!$B$22*M292),1000/(1000/8.5+(M292-40)/10*(1000/14.3-1000/8.5)))))))))</x:f>
        <x:v>5.06688719246015</x:v>
      </x:c>
      <x:c r="O292" s="22" t="n">
        <x:v>982</x:v>
      </x:c>
      <x:c r="P292" s="26" t="n">
        <x:f>MAX(0,MIN('01_参数'!$B$20,'02_人物原始合计'!AM292/100,'01_参数'!$B$19+'02_人物原始合计'!AN292/100))</x:f>
        <x:v>0.67</x:v>
      </x:c>
      <x:c r="Q292" s="28" t="n">
        <x:f>((('02_人物原始合计'!E292+('02_人物原始合计'!F292-'02_人物原始合计'!E292)*IF(J292&gt;=12,1,0.5+0.5*MAX(0,J292)/12))*(1+'02_人物原始合计'!Q292/100))*(1+'02_人物原始合计'!U292/100+IF(J292&gt;=15,0.15,0))*(1+'02_人物原始合计'!V292/100)*(1+'02_人物原始合计'!T292)*(1+'02_人物原始合计'!W292*'01_参数'!$B$18)*(1+MAX(0,MIN(1,'02_人物原始合计'!X292/100))*('01_参数'!$B$16+'02_人物原始合计'!Y292/100-1))*(1+MAX(0,MIN(1,'02_人物原始合计'!Z292/100))*('01_参数'!$B$17+'02_人物原始合计'!AA292/100-1))+'02_人物原始合计'!AB292)*N292*'01_参数'!$B$7*'01_参数'!$B$8</x:f>
        <x:v>2010409219.7241716</x:v>
      </x:c>
      <x:c r="R292" s="28" t="n">
        <x:f>Q292*'01_参数'!$B$5</x:f>
        <x:v>4020818439.4483433</x:v>
      </x:c>
      <x:c r="S292" s="28" t="n">
        <x:f>(('02_人物原始合计'!E292+('02_人物原始合计'!F292-'02_人物原始合计'!E292)*IF(J292&gt;=12,1,0.5+0.5*MAX(0,J292)/12))*(1+'02_人物原始合计'!Q292/100))*(1+'02_人物原始合计'!U292/100+IF(J292&gt;=15,0.15,0))*(1+'02_人物原始合计'!V292/100)*(1+'02_人物原始合计'!T292)*(1+'02_人物原始合计'!W292*'01_参数'!$B$18)*(1+MAX(0,MIN(1,'02_人物原始合计'!X292/100))*('01_参数'!$B$16+'02_人物原始合计'!Y292/100-1))*(1+MAX(0,MIN(1,'02_人物原始合计'!Z292/100))*('01_参数'!$B$17+'02_人物原始合计'!AA292/100-1))*N292*'01_参数'!$B$7*'01_参数'!$B$8*MAX(0,'02_人物原始合计'!AO292/100)</x:f>
        <x:v>140728645.38069203</x:v>
      </x:c>
      <x:c r="T292" s="28" t="n">
        <x:f>S292*'01_参数'!$B$6</x:f>
        <x:v>182947238.99489966</x:v>
      </x:c>
      <x:c r="U292" s="28" t="n">
        <x:v>0</x:v>
      </x:c>
      <x:c r="V292" s="28" t="n">
        <x:f>T292+U292</x:f>
        <x:v>182947238.99489966</x:v>
      </x:c>
      <x:c r="W292" s="22" t="n">
        <x:v>31</x:v>
      </x:c>
      <x:c r="X292" s="22" t="n">
        <x:v>293</x:v>
      </x:c>
      <x:c r="Y292" s="22" t="str">
        <x:v>主线</x:v>
      </x:c>
    </x:row>
    <x:row r="293" ht="24" customHeight="1">
      <x:c r="A293" s="22" t="str">
        <x:v>P0289</x:v>
      </x:c>
      <x:c r="B293" s="22" t="n">
        <x:v>9</x:v>
      </x:c>
      <x:c r="C293" s="22" t="n">
        <x:v>4</x:v>
      </x:c>
      <x:c r="D293" s="22" t="str">
        <x:v>黄金圣堂BOSS装备快线</x:v>
      </x:c>
      <x:c r="E293" s="26" t="n">
        <x:v>0.369649613658146</x:v>
      </x:c>
      <x:c r="F293" s="22" t="n">
        <x:v>9</x:v>
      </x:c>
      <x:c r="G293" s="22" t="n">
        <x:v>234</x:v>
      </x:c>
      <x:c r="H293" s="22" t="n">
        <x:v>15</x:v>
      </x:c>
      <x:c r="I293" s="22" t="n">
        <x:v>7</x:v>
      </x:c>
      <x:c r="J293" s="22" t="n">
        <x:f>'02_人物原始合计'!AG293+'02_人物原始合计'!AH293</x:f>
        <x:v>15</x:v>
      </x:c>
      <x:c r="K293" s="28" t="n">
        <x:f>'02_人物原始合计'!F293*(1+'02_人物原始合计'!Q293/100)</x:f>
        <x:v>2012420.97</x:v>
      </x:c>
      <x:c r="L293" s="28" t="n">
        <x:f>'02_人物原始合计'!K293*(1+'02_人物原始合计'!AV293/100)</x:f>
        <x:v>20646365</x:v>
      </x:c>
      <x:c r="M293" s="22" t="n">
        <x:f>MAX(0,MIN(50,'02_人物原始合计'!AD293,20+MIN(30,'02_人物原始合计'!AE293)))</x:f>
        <x:v>33</x:v>
      </x:c>
      <x:c r="N293" s="22" t="n">
        <x:f>IF(M293=0,1.75,IF(M293=10,2.2,IF(M293=20,2.9,IF(M293=30,4.3,IF(M293=40,8.5,IF(M293=50,14.3,IF(M293&lt;=40,1000/('01_参数'!$B$21-'01_参数'!$B$22*M293),1000/(1000/8.5+(M293-40)/10*(1000/14.3-1000/8.5)))))))))</x:f>
        <x:v>5.06688719246015</x:v>
      </x:c>
      <x:c r="O293" s="22" t="n">
        <x:v>982</x:v>
      </x:c>
      <x:c r="P293" s="26" t="n">
        <x:f>MAX(0,MIN('01_参数'!$B$20,'02_人物原始合计'!AM293/100,'01_参数'!$B$19+'02_人物原始合计'!AN293/100))</x:f>
        <x:v>0.67</x:v>
      </x:c>
      <x:c r="Q293" s="28" t="n">
        <x:f>((('02_人物原始合计'!E293+('02_人物原始合计'!F293-'02_人物原始合计'!E293)*IF(J293&gt;=12,1,0.5+0.5*MAX(0,J293)/12))*(1+'02_人物原始合计'!Q293/100))*(1+'02_人物原始合计'!U293/100+IF(J293&gt;=15,0.15,0))*(1+'02_人物原始合计'!V293/100)*(1+'02_人物原始合计'!T293)*(1+'02_人物原始合计'!W293*'01_参数'!$B$18)*(1+MAX(0,MIN(1,'02_人物原始合计'!X293/100))*('01_参数'!$B$16+'02_人物原始合计'!Y293/100-1))*(1+MAX(0,MIN(1,'02_人物原始合计'!Z293/100))*('01_参数'!$B$17+'02_人物原始合计'!AA293/100-1))+'02_人物原始合计'!AB293)*N293*'01_参数'!$B$7*'01_参数'!$B$8</x:f>
        <x:v>2010409219.7241716</x:v>
      </x:c>
      <x:c r="R293" s="28" t="n">
        <x:f>Q293*'01_参数'!$B$5</x:f>
        <x:v>4020818439.4483433</x:v>
      </x:c>
      <x:c r="S293" s="28" t="n">
        <x:f>(('02_人物原始合计'!E293+('02_人物原始合计'!F293-'02_人物原始合计'!E293)*IF(J293&gt;=12,1,0.5+0.5*MAX(0,J293)/12))*(1+'02_人物原始合计'!Q293/100))*(1+'02_人物原始合计'!U293/100+IF(J293&gt;=15,0.15,0))*(1+'02_人物原始合计'!V293/100)*(1+'02_人物原始合计'!T293)*(1+'02_人物原始合计'!W293*'01_参数'!$B$18)*(1+MAX(0,MIN(1,'02_人物原始合计'!X293/100))*('01_参数'!$B$16+'02_人物原始合计'!Y293/100-1))*(1+MAX(0,MIN(1,'02_人物原始合计'!Z293/100))*('01_参数'!$B$17+'02_人物原始合计'!AA293/100-1))*N293*'01_参数'!$B$7*'01_参数'!$B$8*MAX(0,'02_人物原始合计'!AO293/100)</x:f>
        <x:v>140728645.38069203</x:v>
      </x:c>
      <x:c r="T293" s="28" t="n">
        <x:f>S293*'01_参数'!$B$6</x:f>
        <x:v>182947238.99489966</x:v>
      </x:c>
      <x:c r="U293" s="28" t="n">
        <x:v>0</x:v>
      </x:c>
      <x:c r="V293" s="28" t="n">
        <x:f>T293+U293</x:f>
        <x:v>182947238.99489966</x:v>
      </x:c>
      <x:c r="W293" s="22" t="n">
        <x:v>31</x:v>
      </x:c>
      <x:c r="X293" s="22" t="n">
        <x:v>293</x:v>
      </x:c>
      <x:c r="Y293" s="22" t="str">
        <x:v>C09G04BOSS强装对照</x:v>
      </x:c>
    </x:row>
    <x:row r="294" ht="24" customHeight="1">
      <x:c r="A294" s="22" t="str">
        <x:v>P0290</x:v>
      </x:c>
      <x:c r="B294" s="22" t="n">
        <x:v>9</x:v>
      </x:c>
      <x:c r="C294" s="22" t="n">
        <x:v>4</x:v>
      </x:c>
      <x:c r="D294" s="22" t="str">
        <x:v>黄金圣堂阶段积累后</x:v>
      </x:c>
      <x:c r="E294" s="26" t="n">
        <x:v>0.4136393834791179</x:v>
      </x:c>
      <x:c r="F294" s="22" t="n">
        <x:v>9</x:v>
      </x:c>
      <x:c r="G294" s="22" t="n">
        <x:v>234</x:v>
      </x:c>
      <x:c r="H294" s="22" t="n">
        <x:v>15</x:v>
      </x:c>
      <x:c r="I294" s="22" t="n">
        <x:v>7</x:v>
      </x:c>
      <x:c r="J294" s="22" t="n">
        <x:f>'02_人物原始合计'!AG294+'02_人物原始合计'!AH294</x:f>
        <x:v>15</x:v>
      </x:c>
      <x:c r="K294" s="28" t="n">
        <x:f>'02_人物原始合计'!F294*(1+'02_人物原始合计'!Q294/100)</x:f>
        <x:v>2044020.69</x:v>
      </x:c>
      <x:c r="L294" s="28" t="n">
        <x:f>'02_人物原始合计'!K294*(1+'02_人物原始合计'!AV294/100)</x:f>
        <x:v>20759511</x:v>
      </x:c>
      <x:c r="M294" s="22" t="n">
        <x:f>MAX(0,MIN(50,'02_人物原始合计'!AD294,20+MIN(30,'02_人物原始合计'!AE294)))</x:f>
        <x:v>33</x:v>
      </x:c>
      <x:c r="N294" s="22" t="n">
        <x:f>IF(M294=0,1.75,IF(M294=10,2.2,IF(M294=20,2.9,IF(M294=30,4.3,IF(M294=40,8.5,IF(M294=50,14.3,IF(M294&lt;=40,1000/('01_参数'!$B$21-'01_参数'!$B$22*M294),1000/(1000/8.5+(M294-40)/10*(1000/14.3-1000/8.5)))))))))</x:f>
        <x:v>5.06688719246015</x:v>
      </x:c>
      <x:c r="O294" s="22" t="n">
        <x:v>982</x:v>
      </x:c>
      <x:c r="P294" s="26" t="n">
        <x:f>MAX(0,MIN('01_参数'!$B$20,'02_人物原始合计'!AM294/100,'01_参数'!$B$19+'02_人物原始合计'!AN294/100))</x:f>
        <x:v>0.67</x:v>
      </x:c>
      <x:c r="Q294" s="28" t="n">
        <x:f>((('02_人物原始合计'!E294+('02_人物原始合计'!F294-'02_人物原始合计'!E294)*IF(J294&gt;=12,1,0.5+0.5*MAX(0,J294)/12))*(1+'02_人物原始合计'!Q294/100))*(1+'02_人物原始合计'!U294/100+IF(J294&gt;=15,0.15,0))*(1+'02_人物原始合计'!V294/100)*(1+'02_人物原始合计'!T294)*(1+'02_人物原始合计'!W294*'01_参数'!$B$18)*(1+MAX(0,MIN(1,'02_人物原始合计'!X294/100))*('01_参数'!$B$16+'02_人物原始合计'!Y294/100-1))*(1+MAX(0,MIN(1,'02_人物原始合计'!Z294/100))*('01_参数'!$B$17+'02_人物原始合计'!AA294/100-1))+'02_人物原始合计'!AB294)*N294*'01_参数'!$B$7*'01_参数'!$B$8</x:f>
        <x:v>2110024695.4139187</x:v>
      </x:c>
      <x:c r="R294" s="28" t="n">
        <x:f>Q294*'01_参数'!$B$5</x:f>
        <x:v>4220049390.8278375</x:v>
      </x:c>
      <x:c r="S294" s="28" t="n">
        <x:f>(('02_人物原始合计'!E294+('02_人物原始合计'!F294-'02_人物原始合计'!E294)*IF(J294&gt;=12,1,0.5+0.5*MAX(0,J294)/12))*(1+'02_人物原始合计'!Q294/100))*(1+'02_人物原始合计'!U294/100+IF(J294&gt;=15,0.15,0))*(1+'02_人物原始合计'!V294/100)*(1+'02_人物原始合计'!T294)*(1+'02_人物原始合计'!W294*'01_参数'!$B$18)*(1+MAX(0,MIN(1,'02_人物原始合计'!X294/100))*('01_参数'!$B$16+'02_人物原始合计'!Y294/100-1))*(1+MAX(0,MIN(1,'02_人物原始合计'!Z294/100))*('01_参数'!$B$17+'02_人物原始合计'!AA294/100-1))*N294*'01_参数'!$B$7*'01_参数'!$B$8*MAX(0,'02_人物原始合计'!AO294/100)</x:f>
        <x:v>147701728.67897433</x:v>
      </x:c>
      <x:c r="T294" s="28" t="n">
        <x:f>S294*'01_参数'!$B$6</x:f>
        <x:v>192012247.28266662</x:v>
      </x:c>
      <x:c r="U294" s="28" t="n">
        <x:v>0</x:v>
      </x:c>
      <x:c r="V294" s="28" t="n">
        <x:f>T294+U294</x:f>
        <x:v>192012247.28266662</x:v>
      </x:c>
      <x:c r="W294" s="22" t="n">
        <x:v>32</x:v>
      </x:c>
      <x:c r="X294" s="22" t="n">
        <x:v>295</x:v>
      </x:c>
      <x:c r="Y294" s="22" t="str">
        <x:v>主线</x:v>
      </x:c>
    </x:row>
    <x:row r="295" ht="24" customHeight="1">
      <x:c r="A295" s="22" t="str">
        <x:v>P0291</x:v>
      </x:c>
      <x:c r="B295" s="22" t="n">
        <x:v>9</x:v>
      </x:c>
      <x:c r="C295" s="22" t="n">
        <x:v>5</x:v>
      </x:c>
      <x:c r="D295" s="22" t="str">
        <x:v>C09G05入场</x:v>
      </x:c>
      <x:c r="E295" s="26" t="n">
        <x:v>0.4136393834791179</x:v>
      </x:c>
      <x:c r="F295" s="22" t="n">
        <x:v>9</x:v>
      </x:c>
      <x:c r="G295" s="22" t="n">
        <x:v>234</x:v>
      </x:c>
      <x:c r="H295" s="22" t="n">
        <x:v>15</x:v>
      </x:c>
      <x:c r="I295" s="22" t="n">
        <x:v>7</x:v>
      </x:c>
      <x:c r="J295" s="22" t="n">
        <x:f>'02_人物原始合计'!AG295+'02_人物原始合计'!AH295</x:f>
        <x:v>15</x:v>
      </x:c>
      <x:c r="K295" s="28" t="n">
        <x:f>'02_人物原始合计'!F295*(1+'02_人物原始合计'!Q295/100)</x:f>
        <x:v>2044020.69</x:v>
      </x:c>
      <x:c r="L295" s="28" t="n">
        <x:f>'02_人物原始合计'!K295*(1+'02_人物原始合计'!AV295/100)</x:f>
        <x:v>20759511</x:v>
      </x:c>
      <x:c r="M295" s="22" t="n">
        <x:f>MAX(0,MIN(50,'02_人物原始合计'!AD295,20+MIN(30,'02_人物原始合计'!AE295)))</x:f>
        <x:v>33</x:v>
      </x:c>
      <x:c r="N295" s="22" t="n">
        <x:f>IF(M295=0,1.75,IF(M295=10,2.2,IF(M295=20,2.9,IF(M295=30,4.3,IF(M295=40,8.5,IF(M295=50,14.3,IF(M295&lt;=40,1000/('01_参数'!$B$21-'01_参数'!$B$22*M295),1000/(1000/8.5+(M295-40)/10*(1000/14.3-1000/8.5)))))))))</x:f>
        <x:v>5.06688719246015</x:v>
      </x:c>
      <x:c r="O295" s="22" t="n">
        <x:v>982</x:v>
      </x:c>
      <x:c r="P295" s="26" t="n">
        <x:f>MAX(0,MIN('01_参数'!$B$20,'02_人物原始合计'!AM295/100,'01_参数'!$B$19+'02_人物原始合计'!AN295/100))</x:f>
        <x:v>0.67</x:v>
      </x:c>
      <x:c r="Q295" s="28" t="n">
        <x:f>((('02_人物原始合计'!E295+('02_人物原始合计'!F295-'02_人物原始合计'!E295)*IF(J295&gt;=12,1,0.5+0.5*MAX(0,J295)/12))*(1+'02_人物原始合计'!Q295/100))*(1+'02_人物原始合计'!U295/100+IF(J295&gt;=15,0.15,0))*(1+'02_人物原始合计'!V295/100)*(1+'02_人物原始合计'!T295)*(1+'02_人物原始合计'!W295*'01_参数'!$B$18)*(1+MAX(0,MIN(1,'02_人物原始合计'!X295/100))*('01_参数'!$B$16+'02_人物原始合计'!Y295/100-1))*(1+MAX(0,MIN(1,'02_人物原始合计'!Z295/100))*('01_参数'!$B$17+'02_人物原始合计'!AA295/100-1))+'02_人物原始合计'!AB295)*N295*'01_参数'!$B$7*'01_参数'!$B$8</x:f>
        <x:v>2110024695.4139187</x:v>
      </x:c>
      <x:c r="R295" s="28" t="n">
        <x:f>Q295*'01_参数'!$B$5</x:f>
        <x:v>4220049390.8278375</x:v>
      </x:c>
      <x:c r="S295" s="28" t="n">
        <x:f>(('02_人物原始合计'!E295+('02_人物原始合计'!F295-'02_人物原始合计'!E295)*IF(J295&gt;=12,1,0.5+0.5*MAX(0,J295)/12))*(1+'02_人物原始合计'!Q295/100))*(1+'02_人物原始合计'!U295/100+IF(J295&gt;=15,0.15,0))*(1+'02_人物原始合计'!V295/100)*(1+'02_人物原始合计'!T295)*(1+'02_人物原始合计'!W295*'01_参数'!$B$18)*(1+MAX(0,MIN(1,'02_人物原始合计'!X295/100))*('01_参数'!$B$16+'02_人物原始合计'!Y295/100-1))*(1+MAX(0,MIN(1,'02_人物原始合计'!Z295/100))*('01_参数'!$B$17+'02_人物原始合计'!AA295/100-1))*N295*'01_参数'!$B$7*'01_参数'!$B$8*MAX(0,'02_人物原始合计'!AO295/100)</x:f>
        <x:v>147701728.67897433</x:v>
      </x:c>
      <x:c r="T295" s="28" t="n">
        <x:f>S295*'01_参数'!$B$6</x:f>
        <x:v>192012247.28266662</x:v>
      </x:c>
      <x:c r="U295" s="28" t="n">
        <x:v>0</x:v>
      </x:c>
      <x:c r="V295" s="28" t="n">
        <x:f>T295+U295</x:f>
        <x:v>192012247.28266662</x:v>
      </x:c>
      <x:c r="W295" s="22" t="n">
        <x:v>32</x:v>
      </x:c>
      <x:c r="X295" s="22" t="n">
        <x:v>295</x:v>
      </x:c>
      <x:c r="Y295" s="22" t="str">
        <x:v>主线</x:v>
      </x:c>
    </x:row>
    <x:row r="296" ht="24" customHeight="1">
      <x:c r="A296" s="22" t="str">
        <x:v>P0292</x:v>
      </x:c>
      <x:c r="B296" s="22" t="n">
        <x:v>9</x:v>
      </x:c>
      <x:c r="C296" s="22" t="n">
        <x:v>5</x:v>
      </x:c>
      <x:c r="D296" s="22" t="str">
        <x:v>C09G05普通专属4/6</x:v>
      </x:c>
      <x:c r="E296" s="26" t="n">
        <x:v>0.4136393834791179</x:v>
      </x:c>
      <x:c r="F296" s="22" t="n">
        <x:v>9</x:v>
      </x:c>
      <x:c r="G296" s="22" t="n">
        <x:v>234</x:v>
      </x:c>
      <x:c r="H296" s="22" t="n">
        <x:v>15</x:v>
      </x:c>
      <x:c r="I296" s="22" t="n">
        <x:v>7</x:v>
      </x:c>
      <x:c r="J296" s="22" t="n">
        <x:f>'02_人物原始合计'!AG296+'02_人物原始合计'!AH296</x:f>
        <x:v>15</x:v>
      </x:c>
      <x:c r="K296" s="28" t="n">
        <x:f>'02_人物原始合计'!F296*(1+'02_人物原始合计'!Q296/100)</x:f>
        <x:v>2044020.69</x:v>
      </x:c>
      <x:c r="L296" s="28" t="n">
        <x:f>'02_人物原始合计'!K296*(1+'02_人物原始合计'!AV296/100)</x:f>
        <x:v>20759511</x:v>
      </x:c>
      <x:c r="M296" s="22" t="n">
        <x:f>MAX(0,MIN(50,'02_人物原始合计'!AD296,20+MIN(30,'02_人物原始合计'!AE296)))</x:f>
        <x:v>33</x:v>
      </x:c>
      <x:c r="N296" s="22" t="n">
        <x:f>IF(M296=0,1.75,IF(M296=10,2.2,IF(M296=20,2.9,IF(M296=30,4.3,IF(M296=40,8.5,IF(M296=50,14.3,IF(M296&lt;=40,1000/('01_参数'!$B$21-'01_参数'!$B$22*M296),1000/(1000/8.5+(M296-40)/10*(1000/14.3-1000/8.5)))))))))</x:f>
        <x:v>5.06688719246015</x:v>
      </x:c>
      <x:c r="O296" s="22" t="n">
        <x:v>982</x:v>
      </x:c>
      <x:c r="P296" s="26" t="n">
        <x:f>MAX(0,MIN('01_参数'!$B$20,'02_人物原始合计'!AM296/100,'01_参数'!$B$19+'02_人物原始合计'!AN296/100))</x:f>
        <x:v>0.67</x:v>
      </x:c>
      <x:c r="Q296" s="28" t="n">
        <x:f>((('02_人物原始合计'!E296+('02_人物原始合计'!F296-'02_人物原始合计'!E296)*IF(J296&gt;=12,1,0.5+0.5*MAX(0,J296)/12))*(1+'02_人物原始合计'!Q296/100))*(1+'02_人物原始合计'!U296/100+IF(J296&gt;=15,0.15,0))*(1+'02_人物原始合计'!V296/100)*(1+'02_人物原始合计'!T296)*(1+'02_人物原始合计'!W296*'01_参数'!$B$18)*(1+MAX(0,MIN(1,'02_人物原始合计'!X296/100))*('01_参数'!$B$16+'02_人物原始合计'!Y296/100-1))*(1+MAX(0,MIN(1,'02_人物原始合计'!Z296/100))*('01_参数'!$B$17+'02_人物原始合计'!AA296/100-1))+'02_人物原始合计'!AB296)*N296*'01_参数'!$B$7*'01_参数'!$B$8</x:f>
        <x:v>2110024695.4139187</x:v>
      </x:c>
      <x:c r="R296" s="28" t="n">
        <x:f>Q296*'01_参数'!$B$5</x:f>
        <x:v>4220049390.8278375</x:v>
      </x:c>
      <x:c r="S296" s="28" t="n">
        <x:f>(('02_人物原始合计'!E296+('02_人物原始合计'!F296-'02_人物原始合计'!E296)*IF(J296&gt;=12,1,0.5+0.5*MAX(0,J296)/12))*(1+'02_人物原始合计'!Q296/100))*(1+'02_人物原始合计'!U296/100+IF(J296&gt;=15,0.15,0))*(1+'02_人物原始合计'!V296/100)*(1+'02_人物原始合计'!T296)*(1+'02_人物原始合计'!W296*'01_参数'!$B$18)*(1+MAX(0,MIN(1,'02_人物原始合计'!X296/100))*('01_参数'!$B$16+'02_人物原始合计'!Y296/100-1))*(1+MAX(0,MIN(1,'02_人物原始合计'!Z296/100))*('01_参数'!$B$17+'02_人物原始合计'!AA296/100-1))*N296*'01_参数'!$B$7*'01_参数'!$B$8*MAX(0,'02_人物原始合计'!AO296/100)</x:f>
        <x:v>147701728.67897433</x:v>
      </x:c>
      <x:c r="T296" s="28" t="n">
        <x:f>S296*'01_参数'!$B$6</x:f>
        <x:v>192012247.28266662</x:v>
      </x:c>
      <x:c r="U296" s="28" t="n">
        <x:v>0</x:v>
      </x:c>
      <x:c r="V296" s="28" t="n">
        <x:f>T296+U296</x:f>
        <x:v>192012247.28266662</x:v>
      </x:c>
      <x:c r="W296" s="22" t="n">
        <x:v>32</x:v>
      </x:c>
      <x:c r="X296" s="22" t="n">
        <x:v>295</x:v>
      </x:c>
      <x:c r="Y296" s="22" t="str">
        <x:v>主线</x:v>
      </x:c>
    </x:row>
    <x:row r="297" ht="24" customHeight="1">
      <x:c r="A297" s="22" t="str">
        <x:v>P0293</x:v>
      </x:c>
      <x:c r="B297" s="22" t="n">
        <x:v>9</x:v>
      </x:c>
      <x:c r="C297" s="22" t="n">
        <x:v>5</x:v>
      </x:c>
      <x:c r="D297" s="22" t="str">
        <x:v>黄金壁垒统帅·罗梵迪挑战前</x:v>
      </x:c>
      <x:c r="E297" s="26" t="n">
        <x:v>0.4136393834791179</x:v>
      </x:c>
      <x:c r="F297" s="22" t="n">
        <x:v>9</x:v>
      </x:c>
      <x:c r="G297" s="22" t="n">
        <x:v>238</x:v>
      </x:c>
      <x:c r="H297" s="22" t="n">
        <x:v>15</x:v>
      </x:c>
      <x:c r="I297" s="22" t="n">
        <x:v>7</x:v>
      </x:c>
      <x:c r="J297" s="22" t="n">
        <x:f>'02_人物原始合计'!AG297+'02_人物原始合计'!AH297</x:f>
        <x:v>15</x:v>
      </x:c>
      <x:c r="K297" s="28" t="n">
        <x:f>'02_人物原始合计'!F297*(1+'02_人物原始合计'!Q297/100)</x:f>
        <x:v>2059260.75</x:v>
      </x:c>
      <x:c r="L297" s="28" t="n">
        <x:f>'02_人物原始合计'!K297*(1+'02_人物原始合计'!AV297/100)</x:f>
        <x:v>20891005.000000004</x:v>
      </x:c>
      <x:c r="M297" s="22" t="n">
        <x:f>MAX(0,MIN(50,'02_人物原始合计'!AD297,20+MIN(30,'02_人物原始合计'!AE297)))</x:f>
        <x:v>33</x:v>
      </x:c>
      <x:c r="N297" s="22" t="n">
        <x:f>IF(M297=0,1.75,IF(M297=10,2.2,IF(M297=20,2.9,IF(M297=30,4.3,IF(M297=40,8.5,IF(M297=50,14.3,IF(M297&lt;=40,1000/('01_参数'!$B$21-'01_参数'!$B$22*M297),1000/(1000/8.5+(M297-40)/10*(1000/14.3-1000/8.5)))))))))</x:f>
        <x:v>5.06688719246015</x:v>
      </x:c>
      <x:c r="O297" s="22" t="n">
        <x:v>982</x:v>
      </x:c>
      <x:c r="P297" s="26" t="n">
        <x:f>MAX(0,MIN('01_参数'!$B$20,'02_人物原始合计'!AM297/100,'01_参数'!$B$19+'02_人物原始合计'!AN297/100))</x:f>
        <x:v>0.67</x:v>
      </x:c>
      <x:c r="Q297" s="28" t="n">
        <x:f>((('02_人物原始合计'!E297+('02_人物原始合计'!F297-'02_人物原始合计'!E297)*IF(J297&gt;=12,1,0.5+0.5*MAX(0,J297)/12))*(1+'02_人物原始合计'!Q297/100))*(1+'02_人物原始合计'!U297/100+IF(J297&gt;=15,0.15,0))*(1+'02_人物原始合计'!V297/100)*(1+'02_人物原始合计'!T297)*(1+'02_人物原始合计'!W297*'01_参数'!$B$18)*(1+MAX(0,MIN(1,'02_人物原始合计'!X297/100))*('01_参数'!$B$16+'02_人物原始合计'!Y297/100-1))*(1+MAX(0,MIN(1,'02_人物原始合计'!Z297/100))*('01_参数'!$B$17+'02_人物原始合计'!AA297/100-1))+'02_人物原始合计'!AB297)*N297*'01_参数'!$B$7*'01_参数'!$B$8</x:f>
        <x:v>2125756876.1677206</x:v>
      </x:c>
      <x:c r="R297" s="28" t="n">
        <x:f>Q297*'01_参数'!$B$5</x:f>
        <x:v>4251513752.335441</x:v>
      </x:c>
      <x:c r="S297" s="28" t="n">
        <x:f>(('02_人物原始合计'!E297+('02_人物原始合计'!F297-'02_人物原始合计'!E297)*IF(J297&gt;=12,1,0.5+0.5*MAX(0,J297)/12))*(1+'02_人物原始合计'!Q297/100))*(1+'02_人物原始合计'!U297/100+IF(J297&gt;=15,0.15,0))*(1+'02_人物原始合计'!V297/100)*(1+'02_人物原始合计'!T297)*(1+'02_人物原始合计'!W297*'01_参数'!$B$18)*(1+MAX(0,MIN(1,'02_人物原始合计'!X297/100))*('01_参数'!$B$16+'02_人物原始合计'!Y297/100-1))*(1+MAX(0,MIN(1,'02_人物原始合计'!Z297/100))*('01_参数'!$B$17+'02_人物原始合计'!AA297/100-1))*N297*'01_参数'!$B$7*'01_参数'!$B$8*MAX(0,'02_人物原始合计'!AO297/100)</x:f>
        <x:v>148802981.33174044</x:v>
      </x:c>
      <x:c r="T297" s="28" t="n">
        <x:f>S297*'01_参数'!$B$6</x:f>
        <x:v>193443875.73126256</x:v>
      </x:c>
      <x:c r="U297" s="28" t="n">
        <x:v>0</x:v>
      </x:c>
      <x:c r="V297" s="28" t="n">
        <x:f>T297+U297</x:f>
        <x:v>193443875.73126256</x:v>
      </x:c>
      <x:c r="W297" s="22" t="n">
        <x:v>32</x:v>
      </x:c>
      <x:c r="X297" s="22" t="n">
        <x:v>295</x:v>
      </x:c>
      <x:c r="Y297" s="22" t="str">
        <x:v>主线</x:v>
      </x:c>
    </x:row>
    <x:row r="298" ht="24" customHeight="1">
      <x:c r="A298" s="22" t="str">
        <x:v>P0294</x:v>
      </x:c>
      <x:c r="B298" s="22" t="n">
        <x:v>9</x:v>
      </x:c>
      <x:c r="C298" s="22" t="n">
        <x:v>5</x:v>
      </x:c>
      <x:c r="D298" s="22" t="str">
        <x:v>王门执宪者·赫桑达挑战前</x:v>
      </x:c>
      <x:c r="E298" s="26" t="n">
        <x:v>0.4136393834791179</x:v>
      </x:c>
      <x:c r="F298" s="22" t="n">
        <x:v>9</x:v>
      </x:c>
      <x:c r="G298" s="22" t="n">
        <x:v>238</x:v>
      </x:c>
      <x:c r="H298" s="22" t="n">
        <x:v>15</x:v>
      </x:c>
      <x:c r="I298" s="22" t="n">
        <x:v>7</x:v>
      </x:c>
      <x:c r="J298" s="22" t="n">
        <x:f>'02_人物原始合计'!AG298+'02_人物原始合计'!AH298</x:f>
        <x:v>15</x:v>
      </x:c>
      <x:c r="K298" s="28" t="n">
        <x:f>'02_人物原始合计'!F298*(1+'02_人物原始合计'!Q298/100)</x:f>
        <x:v>2059260.75</x:v>
      </x:c>
      <x:c r="L298" s="28" t="n">
        <x:f>'02_人物原始合计'!K298*(1+'02_人物原始合计'!AV298/100)</x:f>
        <x:v>20891005.000000004</x:v>
      </x:c>
      <x:c r="M298" s="22" t="n">
        <x:f>MAX(0,MIN(50,'02_人物原始合计'!AD298,20+MIN(30,'02_人物原始合计'!AE298)))</x:f>
        <x:v>33</x:v>
      </x:c>
      <x:c r="N298" s="22" t="n">
        <x:f>IF(M298=0,1.75,IF(M298=10,2.2,IF(M298=20,2.9,IF(M298=30,4.3,IF(M298=40,8.5,IF(M298=50,14.3,IF(M298&lt;=40,1000/('01_参数'!$B$21-'01_参数'!$B$22*M298),1000/(1000/8.5+(M298-40)/10*(1000/14.3-1000/8.5)))))))))</x:f>
        <x:v>5.06688719246015</x:v>
      </x:c>
      <x:c r="O298" s="22" t="n">
        <x:v>982</x:v>
      </x:c>
      <x:c r="P298" s="26" t="n">
        <x:f>MAX(0,MIN('01_参数'!$B$20,'02_人物原始合计'!AM298/100,'01_参数'!$B$19+'02_人物原始合计'!AN298/100))</x:f>
        <x:v>0.67</x:v>
      </x:c>
      <x:c r="Q298" s="28" t="n">
        <x:f>((('02_人物原始合计'!E298+('02_人物原始合计'!F298-'02_人物原始合计'!E298)*IF(J298&gt;=12,1,0.5+0.5*MAX(0,J298)/12))*(1+'02_人物原始合计'!Q298/100))*(1+'02_人物原始合计'!U298/100+IF(J298&gt;=15,0.15,0))*(1+'02_人物原始合计'!V298/100)*(1+'02_人物原始合计'!T298)*(1+'02_人物原始合计'!W298*'01_参数'!$B$18)*(1+MAX(0,MIN(1,'02_人物原始合计'!X298/100))*('01_参数'!$B$16+'02_人物原始合计'!Y298/100-1))*(1+MAX(0,MIN(1,'02_人物原始合计'!Z298/100))*('01_参数'!$B$17+'02_人物原始合计'!AA298/100-1))+'02_人物原始合计'!AB298)*N298*'01_参数'!$B$7*'01_参数'!$B$8</x:f>
        <x:v>2125756876.1677206</x:v>
      </x:c>
      <x:c r="R298" s="28" t="n">
        <x:f>Q298*'01_参数'!$B$5</x:f>
        <x:v>4251513752.335441</x:v>
      </x:c>
      <x:c r="S298" s="28" t="n">
        <x:f>(('02_人物原始合计'!E298+('02_人物原始合计'!F298-'02_人物原始合计'!E298)*IF(J298&gt;=12,1,0.5+0.5*MAX(0,J298)/12))*(1+'02_人物原始合计'!Q298/100))*(1+'02_人物原始合计'!U298/100+IF(J298&gt;=15,0.15,0))*(1+'02_人物原始合计'!V298/100)*(1+'02_人物原始合计'!T298)*(1+'02_人物原始合计'!W298*'01_参数'!$B$18)*(1+MAX(0,MIN(1,'02_人物原始合计'!X298/100))*('01_参数'!$B$16+'02_人物原始合计'!Y298/100-1))*(1+MAX(0,MIN(1,'02_人物原始合计'!Z298/100))*('01_参数'!$B$17+'02_人物原始合计'!AA298/100-1))*N298*'01_参数'!$B$7*'01_参数'!$B$8*MAX(0,'02_人物原始合计'!AO298/100)</x:f>
        <x:v>148802981.33174044</x:v>
      </x:c>
      <x:c r="T298" s="28" t="n">
        <x:f>S298*'01_参数'!$B$6</x:f>
        <x:v>193443875.73126256</x:v>
      </x:c>
      <x:c r="U298" s="28" t="n">
        <x:v>0</x:v>
      </x:c>
      <x:c r="V298" s="28" t="n">
        <x:f>T298+U298</x:f>
        <x:v>193443875.73126256</x:v>
      </x:c>
      <x:c r="W298" s="22" t="n">
        <x:v>32</x:v>
      </x:c>
      <x:c r="X298" s="22" t="n">
        <x:v>295</x:v>
      </x:c>
      <x:c r="Y298" s="22" t="str">
        <x:v>主线</x:v>
      </x:c>
    </x:row>
    <x:row r="299" ht="24" customHeight="1">
      <x:c r="A299" s="22" t="str">
        <x:v>P0295</x:v>
      </x:c>
      <x:c r="B299" s="22" t="n">
        <x:v>9</x:v>
      </x:c>
      <x:c r="C299" s="22" t="n">
        <x:v>5</x:v>
      </x:c>
      <x:c r="D299" s="22" t="str">
        <x:v>王城前垒BOSS装备快线</x:v>
      </x:c>
      <x:c r="E299" s="26" t="n">
        <x:v>0.42233503565303104</x:v>
      </x:c>
      <x:c r="F299" s="22" t="n">
        <x:v>9</x:v>
      </x:c>
      <x:c r="G299" s="22" t="n">
        <x:v>238</x:v>
      </x:c>
      <x:c r="H299" s="22" t="n">
        <x:v>15</x:v>
      </x:c>
      <x:c r="I299" s="22" t="n">
        <x:v>7</x:v>
      </x:c>
      <x:c r="J299" s="22" t="n">
        <x:f>'02_人物原始合计'!AG299+'02_人物原始合计'!AH299</x:f>
        <x:v>15</x:v>
      </x:c>
      <x:c r="K299" s="28" t="n">
        <x:f>'02_人物原始合计'!F299*(1+'02_人物原始合计'!Q299/100)</x:f>
        <x:v>2072805.6999999997</x:v>
      </x:c>
      <x:c r="L299" s="28" t="n">
        <x:f>'02_人物原始合计'!K299*(1+'02_人物原始合计'!AV299/100)</x:f>
        <x:v>20956613.000000004</x:v>
      </x:c>
      <x:c r="M299" s="22" t="n">
        <x:f>MAX(0,MIN(50,'02_人物原始合计'!AD299,20+MIN(30,'02_人物原始合计'!AE299)))</x:f>
        <x:v>33</x:v>
      </x:c>
      <x:c r="N299" s="22" t="n">
        <x:f>IF(M299=0,1.75,IF(M299=10,2.2,IF(M299=20,2.9,IF(M299=30,4.3,IF(M299=40,8.5,IF(M299=50,14.3,IF(M299&lt;=40,1000/('01_参数'!$B$21-'01_参数'!$B$22*M299),1000/(1000/8.5+(M299-40)/10*(1000/14.3-1000/8.5)))))))))</x:f>
        <x:v>5.06688719246015</x:v>
      </x:c>
      <x:c r="O299" s="22" t="n">
        <x:v>982</x:v>
      </x:c>
      <x:c r="P299" s="26" t="n">
        <x:f>MAX(0,MIN('01_参数'!$B$20,'02_人物原始合计'!AM299/100,'01_参数'!$B$19+'02_人物原始合计'!AN299/100))</x:f>
        <x:v>0.67</x:v>
      </x:c>
      <x:c r="Q299" s="28" t="n">
        <x:f>((('02_人物原始合计'!E299+('02_人物原始合计'!F299-'02_人物原始合计'!E299)*IF(J299&gt;=12,1,0.5+0.5*MAX(0,J299)/12))*(1+'02_人物原始合计'!Q299/100))*(1+'02_人物原始合计'!U299/100+IF(J299&gt;=15,0.15,0))*(1+'02_人物原始合计'!V299/100)*(1+'02_人物原始合计'!T299)*(1+'02_人物原始合计'!W299*'01_参数'!$B$18)*(1+MAX(0,MIN(1,'02_人物原始合计'!X299/100))*('01_参数'!$B$16+'02_人物原始合计'!Y299/100-1))*(1+MAX(0,MIN(1,'02_人物原始合计'!Z299/100))*('01_参数'!$B$17+'02_人物原始合计'!AA299/100-1))+'02_人物原始合计'!AB299)*N299*'01_参数'!$B$7*'01_参数'!$B$8</x:f>
        <x:v>2169765076.78981</x:v>
      </x:c>
      <x:c r="R299" s="28" t="n">
        <x:f>Q299*'01_参数'!$B$5</x:f>
        <x:v>4339530153.57962</x:v>
      </x:c>
      <x:c r="S299" s="28" t="n">
        <x:f>(('02_人物原始合计'!E299+('02_人物原始合计'!F299-'02_人物原始合计'!E299)*IF(J299&gt;=12,1,0.5+0.5*MAX(0,J299)/12))*(1+'02_人物原始合计'!Q299/100))*(1+'02_人物原始合计'!U299/100+IF(J299&gt;=15,0.15,0))*(1+'02_人物原始合计'!V299/100)*(1+'02_人物原始合计'!T299)*(1+'02_人物原始合计'!W299*'01_参数'!$B$18)*(1+MAX(0,MIN(1,'02_人物原始合计'!X299/100))*('01_参数'!$B$16+'02_人物原始合计'!Y299/100-1))*(1+MAX(0,MIN(1,'02_人物原始合计'!Z299/100))*('01_参数'!$B$17+'02_人物原始合计'!AA299/100-1))*N299*'01_参数'!$B$7*'01_参数'!$B$8*MAX(0,'02_人物原始合计'!AO299/100)</x:f>
        <x:v>151883555.37528673</x:v>
      </x:c>
      <x:c r="T299" s="28" t="n">
        <x:f>S299*'01_参数'!$B$6</x:f>
        <x:v>197448621.98787275</x:v>
      </x:c>
      <x:c r="U299" s="28" t="n">
        <x:v>0</x:v>
      </x:c>
      <x:c r="V299" s="28" t="n">
        <x:f>T299+U299</x:f>
        <x:v>197448621.98787275</x:v>
      </x:c>
      <x:c r="W299" s="22" t="n">
        <x:v>32</x:v>
      </x:c>
      <x:c r="X299" s="22" t="n">
        <x:v>295</x:v>
      </x:c>
      <x:c r="Y299" s="22" t="str">
        <x:v>C09G05BOSS强装对照</x:v>
      </x:c>
    </x:row>
    <x:row r="300" ht="24" customHeight="1">
      <x:c r="A300" s="22" t="str">
        <x:v>P0296</x:v>
      </x:c>
      <x:c r="B300" s="22" t="n">
        <x:v>9</x:v>
      </x:c>
      <x:c r="C300" s="22" t="n">
        <x:v>5</x:v>
      </x:c>
      <x:c r="D300" s="22" t="str">
        <x:v>王城前垒阶段积累后</x:v>
      </x:c>
      <x:c r="E300" s="26" t="n">
        <x:v>0.4818977071413358</x:v>
      </x:c>
      <x:c r="F300" s="22" t="n">
        <x:v>9</x:v>
      </x:c>
      <x:c r="G300" s="22" t="n">
        <x:v>238</x:v>
      </x:c>
      <x:c r="H300" s="22" t="n">
        <x:v>15</x:v>
      </x:c>
      <x:c r="I300" s="22" t="n">
        <x:v>7</x:v>
      </x:c>
      <x:c r="J300" s="22" t="n">
        <x:f>'02_人物原始合计'!AG300+'02_人物原始合计'!AH300</x:f>
        <x:v>15</x:v>
      </x:c>
      <x:c r="K300" s="28" t="n">
        <x:f>'02_人物原始合计'!F300*(1+'02_人物原始合计'!Q300/100)</x:f>
        <x:v>2249312.67</x:v>
      </x:c>
      <x:c r="L300" s="28" t="n">
        <x:f>'02_人物原始合计'!K300*(1+'02_人物原始合计'!AV300/100)</x:f>
        <x:v>22975527</x:v>
      </x:c>
      <x:c r="M300" s="22" t="n">
        <x:f>MAX(0,MIN(50,'02_人物原始合计'!AD300,20+MIN(30,'02_人物原始合计'!AE300)))</x:f>
        <x:v>34</x:v>
      </x:c>
      <x:c r="N300" s="22" t="n">
        <x:f>IF(M300=0,1.75,IF(M300=10,2.2,IF(M300=20,2.9,IF(M300=30,4.3,IF(M300=40,8.5,IF(M300=50,14.3,IF(M300&lt;=40,1000/('01_参数'!$B$21-'01_参数'!$B$22*M300),1000/(1000/8.5+(M300-40)/10*(1000/14.3-1000/8.5)))))))))</x:f>
        <x:v>5.374485323161997</x:v>
      </x:c>
      <x:c r="O300" s="22" t="n">
        <x:v>988</x:v>
      </x:c>
      <x:c r="P300" s="26" t="n">
        <x:f>MAX(0,MIN('01_参数'!$B$20,'02_人物原始合计'!AM300/100,'01_参数'!$B$19+'02_人物原始合计'!AN300/100))</x:f>
        <x:v>0.67</x:v>
      </x:c>
      <x:c r="Q300" s="28" t="n">
        <x:f>((('02_人物原始合计'!E300+('02_人物原始合计'!F300-'02_人物原始合计'!E300)*IF(J300&gt;=12,1,0.5+0.5*MAX(0,J300)/12))*(1+'02_人物原始合计'!Q300/100))*(1+'02_人物原始合计'!U300/100+IF(J300&gt;=15,0.15,0))*(1+'02_人物原始合计'!V300/100)*(1+'02_人物原始合计'!T300)*(1+'02_人物原始合计'!W300*'01_参数'!$B$18)*(1+MAX(0,MIN(1,'02_人物原始合计'!X300/100))*('01_参数'!$B$16+'02_人物原始合计'!Y300/100-1))*(1+MAX(0,MIN(1,'02_人物原始合计'!Z300/100))*('01_参数'!$B$17+'02_人物原始合计'!AA300/100-1))+'02_人物原始合计'!AB300)*N300*'01_参数'!$B$7*'01_参数'!$B$8</x:f>
        <x:v>3397910678.6324787</x:v>
      </x:c>
      <x:c r="R300" s="28" t="n">
        <x:f>Q300*'01_参数'!$B$5</x:f>
        <x:v>6795821357.264957</x:v>
      </x:c>
      <x:c r="S300" s="28" t="n">
        <x:f>(('02_人物原始合计'!E300+('02_人物原始合计'!F300-'02_人物原始合计'!E300)*IF(J300&gt;=12,1,0.5+0.5*MAX(0,J300)/12))*(1+'02_人物原始合计'!Q300/100))*(1+'02_人物原始合计'!U300/100+IF(J300&gt;=15,0.15,0))*(1+'02_人物原始合计'!V300/100)*(1+'02_人物原始合计'!T300)*(1+'02_人物原始合计'!W300*'01_参数'!$B$18)*(1+MAX(0,MIN(1,'02_人物原始合计'!X300/100))*('01_参数'!$B$16+'02_人物原始合计'!Y300/100-1))*(1+MAX(0,MIN(1,'02_人物原始合计'!Z300/100))*('01_参数'!$B$17+'02_人物原始合计'!AA300/100-1))*N300*'01_参数'!$B$7*'01_参数'!$B$8*MAX(0,'02_人物原始合计'!AO300/100)</x:f>
        <x:v>237853747.50427353</x:v>
      </x:c>
      <x:c r="T300" s="28" t="n">
        <x:f>S300*'01_参数'!$B$6</x:f>
        <x:v>309209871.7555556</x:v>
      </x:c>
      <x:c r="U300" s="28" t="n">
        <x:v>0</x:v>
      </x:c>
      <x:c r="V300" s="28" t="n">
        <x:f>T300+U300</x:f>
        <x:v>309209871.7555556</x:v>
      </x:c>
      <x:c r="W300" s="22" t="n">
        <x:v>34</x:v>
      </x:c>
      <x:c r="X300" s="22" t="n">
        <x:v>297</x:v>
      </x:c>
      <x:c r="Y300" s="22" t="str">
        <x:v>主线</x:v>
      </x:c>
    </x:row>
    <x:row r="301" ht="24" customHeight="1">
      <x:c r="A301" s="22" t="str">
        <x:v>P0297</x:v>
      </x:c>
      <x:c r="B301" s="22" t="n">
        <x:v>9</x:v>
      </x:c>
      <x:c r="C301" s="22" t="n">
        <x:v>5</x:v>
      </x:c>
      <x:c r="D301" s="22" t="str">
        <x:v>C09守关前必做制作完成</x:v>
      </x:c>
      <x:c r="E301" s="26" t="n">
        <x:v>0.4818977071413358</x:v>
      </x:c>
      <x:c r="F301" s="22" t="n">
        <x:v>9</x:v>
      </x:c>
      <x:c r="G301" s="22" t="n">
        <x:v>238</x:v>
      </x:c>
      <x:c r="H301" s="22" t="n">
        <x:v>15</x:v>
      </x:c>
      <x:c r="I301" s="22" t="n">
        <x:v>7</x:v>
      </x:c>
      <x:c r="J301" s="22" t="n">
        <x:f>'02_人物原始合计'!AG301+'02_人物原始合计'!AH301</x:f>
        <x:v>15</x:v>
      </x:c>
      <x:c r="K301" s="28" t="n">
        <x:f>'02_人物原始合计'!F301*(1+'02_人物原始合计'!Q301/100)</x:f>
        <x:v>2320436.2499999995</x:v>
      </x:c>
      <x:c r="L301" s="28" t="n">
        <x:f>'02_人物原始合计'!K301*(1+'02_人物原始合计'!AV301/100)</x:f>
        <x:v>22975527</x:v>
      </x:c>
      <x:c r="M301" s="22" t="n">
        <x:f>MAX(0,MIN(50,'02_人物原始合计'!AD301,20+MIN(30,'02_人物原始合计'!AE301)))</x:f>
        <x:v>34</x:v>
      </x:c>
      <x:c r="N301" s="22" t="n">
        <x:f>IF(M301=0,1.75,IF(M301=10,2.2,IF(M301=20,2.9,IF(M301=30,4.3,IF(M301=40,8.5,IF(M301=50,14.3,IF(M301&lt;=40,1000/('01_参数'!$B$21-'01_参数'!$B$22*M301),1000/(1000/8.5+(M301-40)/10*(1000/14.3-1000/8.5)))))))))</x:f>
        <x:v>5.374485323161997</x:v>
      </x:c>
      <x:c r="O301" s="22" t="n">
        <x:v>988</x:v>
      </x:c>
      <x:c r="P301" s="26" t="n">
        <x:f>MAX(0,MIN('01_参数'!$B$20,'02_人物原始合计'!AM301/100,'01_参数'!$B$19+'02_人物原始合计'!AN301/100))</x:f>
        <x:v>0.67</x:v>
      </x:c>
      <x:c r="Q301" s="28" t="n">
        <x:f>((('02_人物原始合计'!E301+('02_人物原始合计'!F301-'02_人物原始合计'!E301)*IF(J301&gt;=12,1,0.5+0.5*MAX(0,J301)/12))*(1+'02_人物原始合计'!Q301/100))*(1+'02_人物原始合计'!U301/100+IF(J301&gt;=15,0.15,0))*(1+'02_人物原始合计'!V301/100)*(1+'02_人物原始合计'!T301)*(1+'02_人物原始合计'!W301*'01_参数'!$B$18)*(1+MAX(0,MIN(1,'02_人物原始合计'!X301/100))*('01_参数'!$B$16+'02_人物原始合计'!Y301/100-1))*(1+MAX(0,MIN(1,'02_人物原始合计'!Z301/100))*('01_参数'!$B$17+'02_人物原始合计'!AA301/100-1))+'02_人物原始合计'!AB301)*N301*'01_参数'!$B$7*'01_参数'!$B$8</x:f>
        <x:v>3599177095.8914323</x:v>
      </x:c>
      <x:c r="R301" s="28" t="n">
        <x:f>Q301*'01_参数'!$B$5</x:f>
        <x:v>7198354191.782865</x:v>
      </x:c>
      <x:c r="S301" s="28" t="n">
        <x:f>(('02_人物原始合计'!E301+('02_人物原始合计'!F301-'02_人物原始合计'!E301)*IF(J301&gt;=12,1,0.5+0.5*MAX(0,J301)/12))*(1+'02_人物原始合计'!Q301/100))*(1+'02_人物原始合计'!U301/100+IF(J301&gt;=15,0.15,0))*(1+'02_人物原始合计'!V301/100)*(1+'02_人物原始合计'!T301)*(1+'02_人物原始合计'!W301*'01_参数'!$B$18)*(1+MAX(0,MIN(1,'02_人物原始合计'!X301/100))*('01_参数'!$B$16+'02_人物原始合计'!Y301/100-1))*(1+MAX(0,MIN(1,'02_人物原始合计'!Z301/100))*('01_参数'!$B$17+'02_人物原始合计'!AA301/100-1))*N301*'01_参数'!$B$7*'01_参数'!$B$8*MAX(0,'02_人物原始合计'!AO301/100)</x:f>
        <x:v>251942396.7124003</x:v>
      </x:c>
      <x:c r="T301" s="28" t="n">
        <x:f>S301*'01_参数'!$B$6</x:f>
        <x:v>327525115.7261204</x:v>
      </x:c>
      <x:c r="U301" s="28" t="n">
        <x:v>0</x:v>
      </x:c>
      <x:c r="V301" s="28" t="n">
        <x:f>T301+U301</x:f>
        <x:v>327525115.7261204</x:v>
      </x:c>
      <x:c r="W301" s="22" t="n">
        <x:v>34</x:v>
      </x:c>
      <x:c r="X301" s="22" t="n">
        <x:v>297</x:v>
      </x:c>
      <x:c r="Y301" s="22" t="str">
        <x:v>主线</x:v>
      </x:c>
    </x:row>
    <x:row r="302" ht="24" customHeight="1">
      <x:c r="A302" s="22" t="str">
        <x:v>P0298</x:v>
      </x:c>
      <x:c r="B302" s="22" t="n">
        <x:v>9</x:v>
      </x:c>
      <x:c r="C302" s="22" t="n">
        <x:v>5</x:v>
      </x:c>
      <x:c r="D302" s="22" t="str">
        <x:v>C09约70%守关参考</x:v>
      </x:c>
      <x:c r="E302" s="26" t="n">
        <x:v>0.7314565306707476</x:v>
      </x:c>
      <x:c r="F302" s="22" t="n">
        <x:v>9</x:v>
      </x:c>
      <x:c r="G302" s="22" t="n">
        <x:v>238</x:v>
      </x:c>
      <x:c r="H302" s="22" t="n">
        <x:v>15</x:v>
      </x:c>
      <x:c r="I302" s="22" t="n">
        <x:v>7</x:v>
      </x:c>
      <x:c r="J302" s="22" t="n">
        <x:f>'02_人物原始合计'!AG302+'02_人物原始合计'!AH302</x:f>
        <x:v>15</x:v>
      </x:c>
      <x:c r="K302" s="28" t="n">
        <x:f>'02_人物原始合计'!F302*(1+'02_人物原始合计'!Q302/100)</x:f>
        <x:v>2366718.7499999995</x:v>
      </x:c>
      <x:c r="L302" s="28" t="n">
        <x:f>'02_人物原始合计'!K302*(1+'02_人物原始合计'!AV302/100)</x:f>
        <x:v>23363277</x:v>
      </x:c>
      <x:c r="M302" s="22" t="n">
        <x:f>MAX(0,MIN(50,'02_人物原始合计'!AD302,20+MIN(30,'02_人物原始合计'!AE302)))</x:f>
        <x:v>34</x:v>
      </x:c>
      <x:c r="N302" s="22" t="n">
        <x:f>IF(M302=0,1.75,IF(M302=10,2.2,IF(M302=20,2.9,IF(M302=30,4.3,IF(M302=40,8.5,IF(M302=50,14.3,IF(M302&lt;=40,1000/('01_参数'!$B$21-'01_参数'!$B$22*M302),1000/(1000/8.5+(M302-40)/10*(1000/14.3-1000/8.5)))))))))</x:f>
        <x:v>5.374485323161997</x:v>
      </x:c>
      <x:c r="O302" s="22" t="n">
        <x:v>1168</x:v>
      </x:c>
      <x:c r="P302" s="26" t="n">
        <x:f>MAX(0,MIN('01_参数'!$B$20,'02_人物原始合计'!AM302/100,'01_参数'!$B$19+'02_人物原始合计'!AN302/100))</x:f>
        <x:v>0.67</x:v>
      </x:c>
      <x:c r="Q302" s="28" t="n">
        <x:f>((('02_人物原始合计'!E302+('02_人物原始合计'!F302-'02_人物原始合计'!E302)*IF(J302&gt;=12,1,0.5+0.5*MAX(0,J302)/12))*(1+'02_人物原始合计'!Q302/100))*(1+'02_人物原始合计'!U302/100+IF(J302&gt;=15,0.15,0))*(1+'02_人物原始合计'!V302/100)*(1+'02_人物原始合计'!T302)*(1+'02_人物原始合计'!W302*'01_参数'!$B$18)*(1+MAX(0,MIN(1,'02_人物原始合计'!X302/100))*('01_参数'!$B$16+'02_人物原始合计'!Y302/100-1))*(1+MAX(0,MIN(1,'02_人物原始合计'!Z302/100))*('01_参数'!$B$17+'02_人物原始合计'!AA302/100-1))+'02_人物原始合计'!AB302)*N302*'01_参数'!$B$7*'01_参数'!$B$8</x:f>
        <x:v>3917890739.9913454</x:v>
      </x:c>
      <x:c r="R302" s="28" t="n">
        <x:f>Q302*'01_参数'!$B$5</x:f>
        <x:v>7835781479.982691</x:v>
      </x:c>
      <x:c r="S302" s="28" t="n">
        <x:f>(('02_人物原始合计'!E302+('02_人物原始合计'!F302-'02_人物原始合计'!E302)*IF(J302&gt;=12,1,0.5+0.5*MAX(0,J302)/12))*(1+'02_人物原始合计'!Q302/100))*(1+'02_人物原始合计'!U302/100+IF(J302&gt;=15,0.15,0))*(1+'02_人物原始合计'!V302/100)*(1+'02_人物原始合计'!T302)*(1+'02_人物原始合计'!W302*'01_参数'!$B$18)*(1+MAX(0,MIN(1,'02_人物原始合计'!X302/100))*('01_参数'!$B$16+'02_人物原始合计'!Y302/100-1))*(1+MAX(0,MIN(1,'02_人物原始合计'!Z302/100))*('01_参数'!$B$17+'02_人物原始合计'!AA302/100-1))*N302*'01_参数'!$B$7*'01_参数'!$B$8*MAX(0,'02_人物原始合计'!AO302/100)</x:f>
        <x:v>274252351.7993942</x:v>
      </x:c>
      <x:c r="T302" s="28" t="n">
        <x:f>S302*'01_参数'!$B$6</x:f>
        <x:v>356528057.3392125</x:v>
      </x:c>
      <x:c r="U302" s="28" t="n">
        <x:v>0</x:v>
      </x:c>
      <x:c r="V302" s="28" t="n">
        <x:f>T302+U302</x:f>
        <x:v>356528057.3392125</x:v>
      </x:c>
      <x:c r="W302" s="22" t="n">
        <x:v>34</x:v>
      </x:c>
      <x:c r="X302" s="22" t="n">
        <x:v>328</x:v>
      </x:c>
      <x:c r="Y302" s="22" t="str">
        <x:v>主线</x:v>
      </x:c>
    </x:row>
    <x:row r="303" ht="24" customHeight="1">
      <x:c r="A303" s="22" t="str">
        <x:v>P0299</x:v>
      </x:c>
      <x:c r="B303" s="22" t="n">
        <x:v>9</x:v>
      </x:c>
      <x:c r="C303" s="22" t="n">
        <x:v>5</x:v>
      </x:c>
      <x:c r="D303" s="22" t="str">
        <x:v>C09高完成度参考</x:v>
      </x:c>
      <x:c r="E303" s="26" t="n">
        <x:v>0.9454012583742687</x:v>
      </x:c>
      <x:c r="F303" s="22" t="n">
        <x:v>9</x:v>
      </x:c>
      <x:c r="G303" s="22" t="n">
        <x:v>238</x:v>
      </x:c>
      <x:c r="H303" s="22" t="n">
        <x:v>15</x:v>
      </x:c>
      <x:c r="I303" s="22" t="n">
        <x:v>7</x:v>
      </x:c>
      <x:c r="J303" s="22" t="n">
        <x:f>'02_人物原始合计'!AG303+'02_人物原始合计'!AH303</x:f>
        <x:v>15</x:v>
      </x:c>
      <x:c r="K303" s="28" t="n">
        <x:f>'02_人物原始合计'!F303*(1+'02_人物原始合计'!Q303/100)</x:f>
        <x:v>2624775.92</x:v>
      </x:c>
      <x:c r="L303" s="28" t="n">
        <x:f>'02_人物原始合计'!K303*(1+'02_人物原始合计'!AV303/100)</x:f>
        <x:v>24777930</x:v>
      </x:c>
      <x:c r="M303" s="22" t="n">
        <x:f>MAX(0,MIN(50,'02_人物原始合计'!AD303,20+MIN(30,'02_人物原始合计'!AE303)))</x:f>
        <x:v>34</x:v>
      </x:c>
      <x:c r="N303" s="22" t="n">
        <x:f>IF(M303=0,1.75,IF(M303=10,2.2,IF(M303=20,2.9,IF(M303=30,4.3,IF(M303=40,8.5,IF(M303=50,14.3,IF(M303&lt;=40,1000/('01_参数'!$B$21-'01_参数'!$B$22*M303),1000/(1000/8.5+(M303-40)/10*(1000/14.3-1000/8.5)))))))))</x:f>
        <x:v>5.374485323161997</x:v>
      </x:c>
      <x:c r="O303" s="22" t="n">
        <x:v>1228</x:v>
      </x:c>
      <x:c r="P303" s="26" t="n">
        <x:f>MAX(0,MIN('01_参数'!$B$20,'02_人物原始合计'!AM303/100,'01_参数'!$B$19+'02_人物原始合计'!AN303/100))</x:f>
        <x:v>0.69</x:v>
      </x:c>
      <x:c r="Q303" s="28" t="n">
        <x:f>((('02_人物原始合计'!E303+('02_人物原始合计'!F303-'02_人物原始合计'!E303)*IF(J303&gt;=12,1,0.5+0.5*MAX(0,J303)/12))*(1+'02_人物原始合计'!Q303/100))*(1+'02_人物原始合计'!U303/100+IF(J303&gt;=15,0.15,0))*(1+'02_人物原始合计'!V303/100)*(1+'02_人物原始合计'!T303)*(1+'02_人物原始合计'!W303*'01_参数'!$B$18)*(1+MAX(0,MIN(1,'02_人物原始合计'!X303/100))*('01_参数'!$B$16+'02_人物原始合计'!Y303/100-1))*(1+MAX(0,MIN(1,'02_人物原始合计'!Z303/100))*('01_参数'!$B$17+'02_人物原始合计'!AA303/100-1))+'02_人物原始合计'!AB303)*N303*'01_参数'!$B$7*'01_参数'!$B$8</x:f>
        <x:v>5394948005.845622</x:v>
      </x:c>
      <x:c r="R303" s="28" t="n">
        <x:f>Q303*'01_参数'!$B$5</x:f>
        <x:v>10789896011.691244</x:v>
      </x:c>
      <x:c r="S303" s="28" t="n">
        <x:f>(('02_人物原始合计'!E303+('02_人物原始合计'!F303-'02_人物原始合计'!E303)*IF(J303&gt;=12,1,0.5+0.5*MAX(0,J303)/12))*(1+'02_人物原始合计'!Q303/100))*(1+'02_人物原始合计'!U303/100+IF(J303&gt;=15,0.15,0))*(1+'02_人物原始合计'!V303/100)*(1+'02_人物原始合计'!T303)*(1+'02_人物原始合计'!W303*'01_参数'!$B$18)*(1+MAX(0,MIN(1,'02_人物原始合计'!X303/100))*('01_参数'!$B$16+'02_人物原始合计'!Y303/100-1))*(1+MAX(0,MIN(1,'02_人物原始合计'!Z303/100))*('01_参数'!$B$17+'02_人物原始合计'!AA303/100-1))*N303*'01_参数'!$B$7*'01_参数'!$B$8*MAX(0,'02_人物原始合计'!AO303/100)</x:f>
        <x:v>377646360.4091936</x:v>
      </x:c>
      <x:c r="T303" s="28" t="n">
        <x:f>S303*'01_参数'!$B$6</x:f>
        <x:v>490940268.53195167</x:v>
      </x:c>
      <x:c r="U303" s="28" t="n">
        <x:v>0</x:v>
      </x:c>
      <x:c r="V303" s="28" t="n">
        <x:f>T303+U303</x:f>
        <x:v>490940268.53195167</x:v>
      </x:c>
      <x:c r="W303" s="22" t="n">
        <x:v>34</x:v>
      </x:c>
      <x:c r="X303" s="22" t="n">
        <x:v>354</x:v>
      </x:c>
      <x:c r="Y303" s="22" t="str">
        <x:v>C09高完成度</x:v>
      </x:c>
    </x:row>
    <x:row r="304" ht="24" customHeight="1">
      <x:c r="A304" s="22" t="str">
        <x:v>P0300</x:v>
      </x:c>
      <x:c r="B304" s="22" t="n">
        <x:v>9</x:v>
      </x:c>
      <x:c r="C304" s="22" t="n">
        <x:v>5</x:v>
      </x:c>
      <x:c r="D304" s="22" t="str">
        <x:v>C09守关后继承</x:v>
      </x:c>
      <x:c r="E304" s="26" t="n">
        <x:v>0.7314565306707476</x:v>
      </x:c>
      <x:c r="F304" s="22" t="n">
        <x:v>9</x:v>
      </x:c>
      <x:c r="G304" s="22" t="n">
        <x:v>238</x:v>
      </x:c>
      <x:c r="H304" s="22" t="n">
        <x:v>15</x:v>
      </x:c>
      <x:c r="I304" s="22" t="n">
        <x:v>8</x:v>
      </x:c>
      <x:c r="J304" s="22" t="n">
        <x:f>'02_人物原始合计'!AG304+'02_人物原始合计'!AH304</x:f>
        <x:v>15</x:v>
      </x:c>
      <x:c r="K304" s="28" t="n">
        <x:f>'02_人物原始合计'!F304*(1+'02_人物原始合计'!Q304/100)</x:f>
        <x:v>2366718.7499999995</x:v>
      </x:c>
      <x:c r="L304" s="28" t="n">
        <x:f>'02_人物原始合计'!K304*(1+'02_人物原始合计'!AV304/100)</x:f>
        <x:v>23363277</x:v>
      </x:c>
      <x:c r="M304" s="22" t="n">
        <x:f>MAX(0,MIN(50,'02_人物原始合计'!AD304,20+MIN(30,'02_人物原始合计'!AE304)))</x:f>
        <x:v>34</x:v>
      </x:c>
      <x:c r="N304" s="22" t="n">
        <x:f>IF(M304=0,1.75,IF(M304=10,2.2,IF(M304=20,2.9,IF(M304=30,4.3,IF(M304=40,8.5,IF(M304=50,14.3,IF(M304&lt;=40,1000/('01_参数'!$B$21-'01_参数'!$B$22*M304),1000/(1000/8.5+(M304-40)/10*(1000/14.3-1000/8.5)))))))))</x:f>
        <x:v>5.374485323161997</x:v>
      </x:c>
      <x:c r="O304" s="22" t="n">
        <x:v>1168</x:v>
      </x:c>
      <x:c r="P304" s="26" t="n">
        <x:f>MAX(0,MIN('01_参数'!$B$20,'02_人物原始合计'!AM304/100,'01_参数'!$B$19+'02_人物原始合计'!AN304/100))</x:f>
        <x:v>0.67</x:v>
      </x:c>
      <x:c r="Q304" s="28" t="n">
        <x:f>((('02_人物原始合计'!E304+('02_人物原始合计'!F304-'02_人物原始合计'!E304)*IF(J304&gt;=12,1,0.5+0.5*MAX(0,J304)/12))*(1+'02_人物原始合计'!Q304/100))*(1+'02_人物原始合计'!U304/100+IF(J304&gt;=15,0.15,0))*(1+'02_人物原始合计'!V304/100)*(1+'02_人物原始合计'!T304)*(1+'02_人物原始合计'!W304*'01_参数'!$B$18)*(1+MAX(0,MIN(1,'02_人物原始合计'!X304/100))*('01_参数'!$B$16+'02_人物原始合计'!Y304/100-1))*(1+MAX(0,MIN(1,'02_人物原始合计'!Z304/100))*('01_参数'!$B$17+'02_人物原始合计'!AA304/100-1))+'02_人物原始合计'!AB304)*N304*'01_参数'!$B$7*'01_参数'!$B$8</x:f>
        <x:v>3917890739.9913454</x:v>
      </x:c>
      <x:c r="R304" s="28" t="n">
        <x:f>Q304*'01_参数'!$B$5</x:f>
        <x:v>7835781479.982691</x:v>
      </x:c>
      <x:c r="S304" s="28" t="n">
        <x:f>(('02_人物原始合计'!E304+('02_人物原始合计'!F304-'02_人物原始合计'!E304)*IF(J304&gt;=12,1,0.5+0.5*MAX(0,J304)/12))*(1+'02_人物原始合计'!Q304/100))*(1+'02_人物原始合计'!U304/100+IF(J304&gt;=15,0.15,0))*(1+'02_人物原始合计'!V304/100)*(1+'02_人物原始合计'!T304)*(1+'02_人物原始合计'!W304*'01_参数'!$B$18)*(1+MAX(0,MIN(1,'02_人物原始合计'!X304/100))*('01_参数'!$B$16+'02_人物原始合计'!Y304/100-1))*(1+MAX(0,MIN(1,'02_人物原始合计'!Z304/100))*('01_参数'!$B$17+'02_人物原始合计'!AA304/100-1))*N304*'01_参数'!$B$7*'01_参数'!$B$8*MAX(0,'02_人物原始合计'!AO304/100)</x:f>
        <x:v>274252351.7993942</x:v>
      </x:c>
      <x:c r="T304" s="28" t="n">
        <x:f>S304*'01_参数'!$B$6</x:f>
        <x:v>356528057.3392125</x:v>
      </x:c>
      <x:c r="U304" s="28" t="n">
        <x:v>0</x:v>
      </x:c>
      <x:c r="V304" s="28" t="n">
        <x:f>T304+U304</x:f>
        <x:v>356528057.3392125</x:v>
      </x:c>
      <x:c r="W304" s="22" t="n">
        <x:v>34</x:v>
      </x:c>
      <x:c r="X304" s="22" t="n">
        <x:v>328</x:v>
      </x:c>
      <x:c r="Y304" s="22" t="str">
        <x:v>主线</x:v>
      </x:c>
    </x:row>
    <x:row r="305" ht="24" customHeight="1">
      <x:c r="A305" s="22" t="str">
        <x:v>P0301</x:v>
      </x:c>
      <x:c r="B305" s="22" t="n">
        <x:v>10</x:v>
      </x:c>
      <x:c r="C305" s="22" t="n">
        <x:v>1</x:v>
      </x:c>
      <x:c r="D305" s="22" t="str">
        <x:v>C10入场继承</x:v>
      </x:c>
      <x:c r="E305" s="26" t="n">
        <x:v>0.1046641242199005</x:v>
      </x:c>
      <x:c r="F305" s="22" t="n">
        <x:v>9</x:v>
      </x:c>
      <x:c r="G305" s="22" t="n">
        <x:v>238</x:v>
      </x:c>
      <x:c r="H305" s="22" t="n">
        <x:v>15</x:v>
      </x:c>
      <x:c r="I305" s="22" t="n">
        <x:v>8</x:v>
      </x:c>
      <x:c r="J305" s="22" t="n">
        <x:f>'02_人物原始合计'!AG305+'02_人物原始合计'!AH305</x:f>
        <x:v>15</x:v>
      </x:c>
      <x:c r="K305" s="28" t="n">
        <x:f>'02_人物原始合计'!F305*(1+'02_人物原始合计'!Q305/100)</x:f>
        <x:v>2366718.7499999995</x:v>
      </x:c>
      <x:c r="L305" s="28" t="n">
        <x:f>'02_人物原始合计'!K305*(1+'02_人物原始合计'!AV305/100)</x:f>
        <x:v>23363277</x:v>
      </x:c>
      <x:c r="M305" s="22" t="n">
        <x:f>MAX(0,MIN(50,'02_人物原始合计'!AD305,20+MIN(30,'02_人物原始合计'!AE305)))</x:f>
        <x:v>34</x:v>
      </x:c>
      <x:c r="N305" s="22" t="n">
        <x:f>IF(M305=0,1.75,IF(M305=10,2.2,IF(M305=20,2.9,IF(M305=30,4.3,IF(M305=40,8.5,IF(M305=50,14.3,IF(M305&lt;=40,1000/('01_参数'!$B$21-'01_参数'!$B$22*M305),1000/(1000/8.5+(M305-40)/10*(1000/14.3-1000/8.5)))))))))</x:f>
        <x:v>5.374485323161997</x:v>
      </x:c>
      <x:c r="O305" s="22" t="n">
        <x:v>1168</x:v>
      </x:c>
      <x:c r="P305" s="26" t="n">
        <x:f>MAX(0,MIN('01_参数'!$B$20,'02_人物原始合计'!AM305/100,'01_参数'!$B$19+'02_人物原始合计'!AN305/100))</x:f>
        <x:v>0.67</x:v>
      </x:c>
      <x:c r="Q305" s="28" t="n">
        <x:f>((('02_人物原始合计'!E305+('02_人物原始合计'!F305-'02_人物原始合计'!E305)*IF(J305&gt;=12,1,0.5+0.5*MAX(0,J305)/12))*(1+'02_人物原始合计'!Q305/100))*(1+'02_人物原始合计'!U305/100+IF(J305&gt;=15,0.15,0))*(1+'02_人物原始合计'!V305/100)*(1+'02_人物原始合计'!T305)*(1+'02_人物原始合计'!W305*'01_参数'!$B$18)*(1+MAX(0,MIN(1,'02_人物原始合计'!X305/100))*('01_参数'!$B$16+'02_人物原始合计'!Y305/100-1))*(1+MAX(0,MIN(1,'02_人物原始合计'!Z305/100))*('01_参数'!$B$17+'02_人物原始合计'!AA305/100-1))+'02_人物原始合计'!AB305)*N305*'01_参数'!$B$7*'01_参数'!$B$8</x:f>
        <x:v>3917890739.9913454</x:v>
      </x:c>
      <x:c r="R305" s="28" t="n">
        <x:f>Q305*'01_参数'!$B$5</x:f>
        <x:v>7835781479.982691</x:v>
      </x:c>
      <x:c r="S305" s="28" t="n">
        <x:f>(('02_人物原始合计'!E305+('02_人物原始合计'!F305-'02_人物原始合计'!E305)*IF(J305&gt;=12,1,0.5+0.5*MAX(0,J305)/12))*(1+'02_人物原始合计'!Q305/100))*(1+'02_人物原始合计'!U305/100+IF(J305&gt;=15,0.15,0))*(1+'02_人物原始合计'!V305/100)*(1+'02_人物原始合计'!T305)*(1+'02_人物原始合计'!W305*'01_参数'!$B$18)*(1+MAX(0,MIN(1,'02_人物原始合计'!X305/100))*('01_参数'!$B$16+'02_人物原始合计'!Y305/100-1))*(1+MAX(0,MIN(1,'02_人物原始合计'!Z305/100))*('01_参数'!$B$17+'02_人物原始合计'!AA305/100-1))*N305*'01_参数'!$B$7*'01_参数'!$B$8*MAX(0,'02_人物原始合计'!AO305/100)</x:f>
        <x:v>274252351.7993942</x:v>
      </x:c>
      <x:c r="T305" s="28" t="n">
        <x:f>S305*'01_参数'!$B$6</x:f>
        <x:v>356528057.3392125</x:v>
      </x:c>
      <x:c r="U305" s="28" t="n">
        <x:v>0</x:v>
      </x:c>
      <x:c r="V305" s="28" t="n">
        <x:f>T305+U305</x:f>
        <x:v>356528057.3392125</x:v>
      </x:c>
      <x:c r="W305" s="22" t="n">
        <x:v>34</x:v>
      </x:c>
      <x:c r="X305" s="22" t="n">
        <x:v>328</x:v>
      </x:c>
      <x:c r="Y305" s="22" t="str">
        <x:v>主线</x:v>
      </x:c>
    </x:row>
    <x:row r="306" ht="24" customHeight="1">
      <x:c r="A306" s="22" t="str">
        <x:v>P0302</x:v>
      </x:c>
      <x:c r="B306" s="22" t="n">
        <x:v>10</x:v>
      </x:c>
      <x:c r="C306" s="22" t="n">
        <x:v>1</x:v>
      </x:c>
      <x:c r="D306" s="22" t="str">
        <x:v>C10本阶段既有付费/长期成长</x:v>
      </x:c>
      <x:c r="E306" s="26" t="n">
        <x:v>0.1046641242199005</x:v>
      </x:c>
      <x:c r="F306" s="22" t="n">
        <x:v>9</x:v>
      </x:c>
      <x:c r="G306" s="22" t="n">
        <x:v>240</x:v>
      </x:c>
      <x:c r="H306" s="22" t="n">
        <x:v>15</x:v>
      </x:c>
      <x:c r="I306" s="22" t="n">
        <x:v>8</x:v>
      </x:c>
      <x:c r="J306" s="22" t="n">
        <x:f>'02_人物原始合计'!AG306+'02_人物原始合计'!AH306</x:f>
        <x:v>15</x:v>
      </x:c>
      <x:c r="K306" s="28" t="n">
        <x:f>'02_人物原始合计'!F306*(1+'02_人物原始合计'!Q306/100)</x:f>
        <x:v>2376059.4</x:v>
      </x:c>
      <x:c r="L306" s="28" t="n">
        <x:f>'02_人物原始合计'!K306*(1+'02_人物原始合计'!AV306/100)</x:f>
        <x:v>23430816</x:v>
      </x:c>
      <x:c r="M306" s="22" t="n">
        <x:f>MAX(0,MIN(50,'02_人物原始合计'!AD306,20+MIN(30,'02_人物原始合计'!AE306)))</x:f>
        <x:v>34</x:v>
      </x:c>
      <x:c r="N306" s="22" t="n">
        <x:f>IF(M306=0,1.75,IF(M306=10,2.2,IF(M306=20,2.9,IF(M306=30,4.3,IF(M306=40,8.5,IF(M306=50,14.3,IF(M306&lt;=40,1000/('01_参数'!$B$21-'01_参数'!$B$22*M306),1000/(1000/8.5+(M306-40)/10*(1000/14.3-1000/8.5)))))))))</x:f>
        <x:v>5.374485323161997</x:v>
      </x:c>
      <x:c r="O306" s="22" t="n">
        <x:v>1168</x:v>
      </x:c>
      <x:c r="P306" s="26" t="n">
        <x:f>MAX(0,MIN('01_参数'!$B$20,'02_人物原始合计'!AM306/100,'01_参数'!$B$19+'02_人物原始合计'!AN306/100))</x:f>
        <x:v>0.67</x:v>
      </x:c>
      <x:c r="Q306" s="28" t="n">
        <x:f>((('02_人物原始合计'!E306+('02_人物原始合计'!F306-'02_人物原始合计'!E306)*IF(J306&gt;=12,1,0.5+0.5*MAX(0,J306)/12))*(1+'02_人物原始合计'!Q306/100))*(1+'02_人物原始合计'!U306/100+IF(J306&gt;=15,0.15,0))*(1+'02_人物原始合计'!V306/100)*(1+'02_人物原始合计'!T306)*(1+'02_人物原始合计'!W306*'01_参数'!$B$18)*(1+MAX(0,MIN(1,'02_人物原始合计'!X306/100))*('01_参数'!$B$16+'02_人物原始合计'!Y306/100-1))*(1+MAX(0,MIN(1,'02_人物原始合计'!Z306/100))*('01_参数'!$B$17+'02_人物原始合计'!AA306/100-1))+'02_人物原始合计'!AB306)*N306*'01_参数'!$B$7*'01_参数'!$B$8</x:f>
        <x:v>3933353348.778513</x:v>
      </x:c>
      <x:c r="R306" s="28" t="n">
        <x:f>Q306*'01_参数'!$B$5</x:f>
        <x:v>7866706697.557026</x:v>
      </x:c>
      <x:c r="S306" s="28" t="n">
        <x:f>(('02_人物原始合计'!E306+('02_人物原始合计'!F306-'02_人物原始合计'!E306)*IF(J306&gt;=12,1,0.5+0.5*MAX(0,J306)/12))*(1+'02_人物原始合计'!Q306/100))*(1+'02_人物原始合计'!U306/100+IF(J306&gt;=15,0.15,0))*(1+'02_人物原始合计'!V306/100)*(1+'02_人物原始合计'!T306)*(1+'02_人物原始合计'!W306*'01_参数'!$B$18)*(1+MAX(0,MIN(1,'02_人物原始合计'!X306/100))*('01_参数'!$B$16+'02_人物原始合计'!Y306/100-1))*(1+MAX(0,MIN(1,'02_人物原始合计'!Z306/100))*('01_参数'!$B$17+'02_人物原始合计'!AA306/100-1))*N306*'01_参数'!$B$7*'01_参数'!$B$8*MAX(0,'02_人物原始合计'!AO306/100)</x:f>
        <x:v>275334734.41449594</x:v>
      </x:c>
      <x:c r="T306" s="28" t="n">
        <x:f>S306*'01_参数'!$B$6</x:f>
        <x:v>357935154.73884475</x:v>
      </x:c>
      <x:c r="U306" s="28" t="n">
        <x:v>0</x:v>
      </x:c>
      <x:c r="V306" s="28" t="n">
        <x:f>T306+U306</x:f>
        <x:v>357935154.73884475</x:v>
      </x:c>
      <x:c r="W306" s="22" t="n">
        <x:v>34</x:v>
      </x:c>
      <x:c r="X306" s="22" t="n">
        <x:v>328</x:v>
      </x:c>
      <x:c r="Y306" s="22" t="str">
        <x:v>主线</x:v>
      </x:c>
    </x:row>
    <x:row r="307" ht="24" customHeight="1">
      <x:c r="A307" s="22" t="str">
        <x:v>P0303</x:v>
      </x:c>
      <x:c r="B307" s="22" t="n">
        <x:v>10</x:v>
      </x:c>
      <x:c r="C307" s="22" t="n">
        <x:v>1</x:v>
      </x:c>
      <x:c r="D307" s="22" t="str">
        <x:v>C10G01入场</x:v>
      </x:c>
      <x:c r="E307" s="26" t="n">
        <x:v>0.1046641242199005</x:v>
      </x:c>
      <x:c r="F307" s="22" t="n">
        <x:v>9</x:v>
      </x:c>
      <x:c r="G307" s="22" t="n">
        <x:v>240</x:v>
      </x:c>
      <x:c r="H307" s="22" t="n">
        <x:v>15</x:v>
      </x:c>
      <x:c r="I307" s="22" t="n">
        <x:v>8</x:v>
      </x:c>
      <x:c r="J307" s="22" t="n">
        <x:f>'02_人物原始合计'!AG307+'02_人物原始合计'!AH307</x:f>
        <x:v>15</x:v>
      </x:c>
      <x:c r="K307" s="28" t="n">
        <x:f>'02_人物原始合计'!F307*(1+'02_人物原始合计'!Q307/100)</x:f>
        <x:v>2376059.4</x:v>
      </x:c>
      <x:c r="L307" s="28" t="n">
        <x:f>'02_人物原始合计'!K307*(1+'02_人物原始合计'!AV307/100)</x:f>
        <x:v>23430816</x:v>
      </x:c>
      <x:c r="M307" s="22" t="n">
        <x:f>MAX(0,MIN(50,'02_人物原始合计'!AD307,20+MIN(30,'02_人物原始合计'!AE307)))</x:f>
        <x:v>34</x:v>
      </x:c>
      <x:c r="N307" s="22" t="n">
        <x:f>IF(M307=0,1.75,IF(M307=10,2.2,IF(M307=20,2.9,IF(M307=30,4.3,IF(M307=40,8.5,IF(M307=50,14.3,IF(M307&lt;=40,1000/('01_参数'!$B$21-'01_参数'!$B$22*M307),1000/(1000/8.5+(M307-40)/10*(1000/14.3-1000/8.5)))))))))</x:f>
        <x:v>5.374485323161997</x:v>
      </x:c>
      <x:c r="O307" s="22" t="n">
        <x:v>1168</x:v>
      </x:c>
      <x:c r="P307" s="26" t="n">
        <x:f>MAX(0,MIN('01_参数'!$B$20,'02_人物原始合计'!AM307/100,'01_参数'!$B$19+'02_人物原始合计'!AN307/100))</x:f>
        <x:v>0.67</x:v>
      </x:c>
      <x:c r="Q307" s="28" t="n">
        <x:f>((('02_人物原始合计'!E307+('02_人物原始合计'!F307-'02_人物原始合计'!E307)*IF(J307&gt;=12,1,0.5+0.5*MAX(0,J307)/12))*(1+'02_人物原始合计'!Q307/100))*(1+'02_人物原始合计'!U307/100+IF(J307&gt;=15,0.15,0))*(1+'02_人物原始合计'!V307/100)*(1+'02_人物原始合计'!T307)*(1+'02_人物原始合计'!W307*'01_参数'!$B$18)*(1+MAX(0,MIN(1,'02_人物原始合计'!X307/100))*('01_参数'!$B$16+'02_人物原始合计'!Y307/100-1))*(1+MAX(0,MIN(1,'02_人物原始合计'!Z307/100))*('01_参数'!$B$17+'02_人物原始合计'!AA307/100-1))+'02_人物原始合计'!AB307)*N307*'01_参数'!$B$7*'01_参数'!$B$8</x:f>
        <x:v>3933353348.778513</x:v>
      </x:c>
      <x:c r="R307" s="28" t="n">
        <x:f>Q307*'01_参数'!$B$5</x:f>
        <x:v>7866706697.557026</x:v>
      </x:c>
      <x:c r="S307" s="28" t="n">
        <x:f>(('02_人物原始合计'!E307+('02_人物原始合计'!F307-'02_人物原始合计'!E307)*IF(J307&gt;=12,1,0.5+0.5*MAX(0,J307)/12))*(1+'02_人物原始合计'!Q307/100))*(1+'02_人物原始合计'!U307/100+IF(J307&gt;=15,0.15,0))*(1+'02_人物原始合计'!V307/100)*(1+'02_人物原始合计'!T307)*(1+'02_人物原始合计'!W307*'01_参数'!$B$18)*(1+MAX(0,MIN(1,'02_人物原始合计'!X307/100))*('01_参数'!$B$16+'02_人物原始合计'!Y307/100-1))*(1+MAX(0,MIN(1,'02_人物原始合计'!Z307/100))*('01_参数'!$B$17+'02_人物原始合计'!AA307/100-1))*N307*'01_参数'!$B$7*'01_参数'!$B$8*MAX(0,'02_人物原始合计'!AO307/100)</x:f>
        <x:v>275334734.41449594</x:v>
      </x:c>
      <x:c r="T307" s="28" t="n">
        <x:f>S307*'01_参数'!$B$6</x:f>
        <x:v>357935154.73884475</x:v>
      </x:c>
      <x:c r="U307" s="28" t="n">
        <x:v>0</x:v>
      </x:c>
      <x:c r="V307" s="28" t="n">
        <x:f>T307+U307</x:f>
        <x:v>357935154.73884475</x:v>
      </x:c>
      <x:c r="W307" s="22" t="n">
        <x:v>34</x:v>
      </x:c>
      <x:c r="X307" s="22" t="n">
        <x:v>328</x:v>
      </x:c>
      <x:c r="Y307" s="22" t="str">
        <x:v>主线</x:v>
      </x:c>
    </x:row>
    <x:row r="308" ht="24" customHeight="1">
      <x:c r="A308" s="22" t="str">
        <x:v>P0304</x:v>
      </x:c>
      <x:c r="B308" s="22" t="n">
        <x:v>10</x:v>
      </x:c>
      <x:c r="C308" s="22" t="n">
        <x:v>1</x:v>
      </x:c>
      <x:c r="D308" s="22" t="str">
        <x:v>C10G01普通专属4/6</x:v>
      </x:c>
      <x:c r="E308" s="26" t="n">
        <x:v>0.10620706925719042</x:v>
      </x:c>
      <x:c r="F308" s="22" t="n">
        <x:v>9</x:v>
      </x:c>
      <x:c r="G308" s="22" t="n">
        <x:v>240</x:v>
      </x:c>
      <x:c r="H308" s="22" t="n">
        <x:v>15</x:v>
      </x:c>
      <x:c r="I308" s="22" t="n">
        <x:v>8</x:v>
      </x:c>
      <x:c r="J308" s="22" t="n">
        <x:f>'02_人物原始合计'!AG308+'02_人物原始合计'!AH308</x:f>
        <x:v>15</x:v>
      </x:c>
      <x:c r="K308" s="28" t="n">
        <x:f>'02_人物原始合计'!F308*(1+'02_人物原始合计'!Q308/100)</x:f>
        <x:v>2380315.25</x:v>
      </x:c>
      <x:c r="L308" s="28" t="n">
        <x:f>'02_人物原始合计'!K308*(1+'02_人物原始合计'!AV308/100)</x:f>
        <x:v>23509917</x:v>
      </x:c>
      <x:c r="M308" s="22" t="n">
        <x:f>MAX(0,MIN(50,'02_人物原始合计'!AD308,20+MIN(30,'02_人物原始合计'!AE308)))</x:f>
        <x:v>34</x:v>
      </x:c>
      <x:c r="N308" s="22" t="n">
        <x:f>IF(M308=0,1.75,IF(M308=10,2.2,IF(M308=20,2.9,IF(M308=30,4.3,IF(M308=40,8.5,IF(M308=50,14.3,IF(M308&lt;=40,1000/('01_参数'!$B$21-'01_参数'!$B$22*M308),1000/(1000/8.5+(M308-40)/10*(1000/14.3-1000/8.5)))))))))</x:f>
        <x:v>5.374485323161997</x:v>
      </x:c>
      <x:c r="O308" s="22" t="n">
        <x:v>1168</x:v>
      </x:c>
      <x:c r="P308" s="26" t="n">
        <x:f>MAX(0,MIN('01_参数'!$B$20,'02_人物原始合计'!AM308/100,'01_参数'!$B$19+'02_人物原始合计'!AN308/100))</x:f>
        <x:v>0.67</x:v>
      </x:c>
      <x:c r="Q308" s="28" t="n">
        <x:f>((('02_人物原始合计'!E308+('02_人物原始合计'!F308-'02_人物原始合计'!E308)*IF(J308&gt;=12,1,0.5+0.5*MAX(0,J308)/12))*(1+'02_人物原始合计'!Q308/100))*(1+'02_人物原始合计'!U308/100+IF(J308&gt;=15,0.15,0))*(1+'02_人物原始合计'!V308/100)*(1+'02_人物原始合计'!T308)*(1+'02_人物原始合计'!W308*'01_参数'!$B$18)*(1+MAX(0,MIN(1,'02_人物原始合计'!X308/100))*('01_参数'!$B$16+'02_人物原始合计'!Y308/100-1))*(1+MAX(0,MIN(1,'02_人物原始合计'!Z308/100))*('01_参数'!$B$17+'02_人物原始合计'!AA308/100-1))+'02_人物原始合计'!AB308)*N308*'01_参数'!$B$7*'01_参数'!$B$8</x:f>
        <x:v>3943756821.161894</x:v>
      </x:c>
      <x:c r="R308" s="28" t="n">
        <x:f>Q308*'01_参数'!$B$5</x:f>
        <x:v>7887513642.323788</x:v>
      </x:c>
      <x:c r="S308" s="28" t="n">
        <x:f>(('02_人物原始合计'!E308+('02_人物原始合计'!F308-'02_人物原始合计'!E308)*IF(J308&gt;=12,1,0.5+0.5*MAX(0,J308)/12))*(1+'02_人物原始合计'!Q308/100))*(1+'02_人物原始合计'!U308/100+IF(J308&gt;=15,0.15,0))*(1+'02_人物原始合计'!V308/100)*(1+'02_人物原始合计'!T308)*(1+'02_人物原始合计'!W308*'01_参数'!$B$18)*(1+MAX(0,MIN(1,'02_人物原始合计'!X308/100))*('01_参数'!$B$16+'02_人物原始合计'!Y308/100-1))*(1+MAX(0,MIN(1,'02_人物原始合计'!Z308/100))*('01_参数'!$B$17+'02_人物原始合计'!AA308/100-1))*N308*'01_参数'!$B$7*'01_参数'!$B$8*MAX(0,'02_人物原始合计'!AO308/100)</x:f>
        <x:v>276062977.4813326</x:v>
      </x:c>
      <x:c r="T308" s="28" t="n">
        <x:f>S308*'01_参数'!$B$6</x:f>
        <x:v>358881870.7257324</x:v>
      </x:c>
      <x:c r="U308" s="28" t="n">
        <x:v>0</x:v>
      </x:c>
      <x:c r="V308" s="28" t="n">
        <x:f>T308+U308</x:f>
        <x:v>358881870.7257324</x:v>
      </x:c>
      <x:c r="W308" s="22" t="n">
        <x:v>34</x:v>
      </x:c>
      <x:c r="X308" s="22" t="n">
        <x:v>328</x:v>
      </x:c>
      <x:c r="Y308" s="22" t="str">
        <x:v>主线</x:v>
      </x:c>
    </x:row>
    <x:row r="309" ht="24" customHeight="1">
      <x:c r="A309" s="22" t="str">
        <x:v>P0305</x:v>
      </x:c>
      <x:c r="B309" s="22" t="n">
        <x:v>10</x:v>
      </x:c>
      <x:c r="C309" s="22" t="n">
        <x:v>1</x:v>
      </x:c>
      <x:c r="D309" s="22" t="str">
        <x:v>灰巷的无灯侯挑战前</x:v>
      </x:c>
      <x:c r="E309" s="26" t="n">
        <x:v>0.10620706925719042</x:v>
      </x:c>
      <x:c r="F309" s="22" t="n">
        <x:v>9</x:v>
      </x:c>
      <x:c r="G309" s="22" t="n">
        <x:v>241</x:v>
      </x:c>
      <x:c r="H309" s="22" t="n">
        <x:v>15</x:v>
      </x:c>
      <x:c r="I309" s="22" t="n">
        <x:v>8</x:v>
      </x:c>
      <x:c r="J309" s="22" t="n">
        <x:f>'02_人物原始合计'!AG309+'02_人物原始合计'!AH309</x:f>
        <x:v>15</x:v>
      </x:c>
      <x:c r="K309" s="28" t="n">
        <x:f>'02_人物原始合计'!F309*(1+'02_人物原始合计'!Q309/100)</x:f>
        <x:v>2384376.1</x:v>
      </x:c>
      <x:c r="L309" s="28" t="n">
        <x:f>'02_人物原始合计'!K309*(1+'02_人物原始合计'!AV309/100)</x:f>
        <x:v>23543898</x:v>
      </x:c>
      <x:c r="M309" s="22" t="n">
        <x:f>MAX(0,MIN(50,'02_人物原始合计'!AD309,20+MIN(30,'02_人物原始合计'!AE309)))</x:f>
        <x:v>34</x:v>
      </x:c>
      <x:c r="N309" s="22" t="n">
        <x:f>IF(M309=0,1.75,IF(M309=10,2.2,IF(M309=20,2.9,IF(M309=30,4.3,IF(M309=40,8.5,IF(M309=50,14.3,IF(M309&lt;=40,1000/('01_参数'!$B$21-'01_参数'!$B$22*M309),1000/(1000/8.5+(M309-40)/10*(1000/14.3-1000/8.5)))))))))</x:f>
        <x:v>5.374485323161997</x:v>
      </x:c>
      <x:c r="O309" s="22" t="n">
        <x:v>1168</x:v>
      </x:c>
      <x:c r="P309" s="26" t="n">
        <x:f>MAX(0,MIN('01_参数'!$B$20,'02_人物原始合计'!AM309/100,'01_参数'!$B$19+'02_人物原始合计'!AN309/100))</x:f>
        <x:v>0.67</x:v>
      </x:c>
      <x:c r="Q309" s="28" t="n">
        <x:f>((('02_人物原始合计'!E309+('02_人物原始合计'!F309-'02_人物原始合计'!E309)*IF(J309&gt;=12,1,0.5+0.5*MAX(0,J309)/12))*(1+'02_人物原始合计'!Q309/100))*(1+'02_人物原始合计'!U309/100+IF(J309&gt;=15,0.15,0))*(1+'02_人物原始合计'!V309/100)*(1+'02_人物原始合计'!T309)*(1+'02_人物原始合计'!W309*'01_参数'!$B$18)*(1+MAX(0,MIN(1,'02_人物原始合计'!X309/100))*('01_参数'!$B$16+'02_人物原始合计'!Y309/100-1))*(1+MAX(0,MIN(1,'02_人物原始合计'!Z309/100))*('01_参数'!$B$17+'02_人物原始合计'!AA309/100-1))+'02_人物原始合计'!AB309)*N309*'01_参数'!$B$7*'01_参数'!$B$8</x:f>
        <x:v>3950484923.6211014</x:v>
      </x:c>
      <x:c r="R309" s="28" t="n">
        <x:f>Q309*'01_参数'!$B$5</x:f>
        <x:v>7900969847.242203</x:v>
      </x:c>
      <x:c r="S309" s="28" t="n">
        <x:f>(('02_人物原始合计'!E309+('02_人物原始合计'!F309-'02_人物原始合计'!E309)*IF(J309&gt;=12,1,0.5+0.5*MAX(0,J309)/12))*(1+'02_人物原始合计'!Q309/100))*(1+'02_人物原始合计'!U309/100+IF(J309&gt;=15,0.15,0))*(1+'02_人物原始合计'!V309/100)*(1+'02_人物原始合计'!T309)*(1+'02_人物原始合计'!W309*'01_参数'!$B$18)*(1+MAX(0,MIN(1,'02_人物原始合计'!X309/100))*('01_参数'!$B$16+'02_人物原始合计'!Y309/100-1))*(1+MAX(0,MIN(1,'02_人物原始合计'!Z309/100))*('01_参数'!$B$17+'02_人物原始合计'!AA309/100-1))*N309*'01_参数'!$B$7*'01_参数'!$B$8*MAX(0,'02_人物原始合计'!AO309/100)</x:f>
        <x:v>276533944.65347713</x:v>
      </x:c>
      <x:c r="T309" s="28" t="n">
        <x:f>S309*'01_参数'!$B$6</x:f>
        <x:v>359494128.0495203</x:v>
      </x:c>
      <x:c r="U309" s="28" t="n">
        <x:v>0</x:v>
      </x:c>
      <x:c r="V309" s="28" t="n">
        <x:f>T309+U309</x:f>
        <x:v>359494128.0495203</x:v>
      </x:c>
      <x:c r="W309" s="22" t="n">
        <x:v>34</x:v>
      </x:c>
      <x:c r="X309" s="22" t="n">
        <x:v>328</x:v>
      </x:c>
      <x:c r="Y309" s="22" t="str">
        <x:v>主线</x:v>
      </x:c>
    </x:row>
    <x:row r="310" ht="24" customHeight="1">
      <x:c r="A310" s="22" t="str">
        <x:v>P0306</x:v>
      </x:c>
      <x:c r="B310" s="22" t="n">
        <x:v>10</x:v>
      </x:c>
      <x:c r="C310" s="22" t="n">
        <x:v>1</x:v>
      </x:c>
      <x:c r="D310" s="22" t="str">
        <x:v>千锁闸门统领挑战前</x:v>
      </x:c>
      <x:c r="E310" s="26" t="n">
        <x:v>0.10620706925719042</x:v>
      </x:c>
      <x:c r="F310" s="22" t="n">
        <x:v>9</x:v>
      </x:c>
      <x:c r="G310" s="22" t="n">
        <x:v>241</x:v>
      </x:c>
      <x:c r="H310" s="22" t="n">
        <x:v>15</x:v>
      </x:c>
      <x:c r="I310" s="22" t="n">
        <x:v>8</x:v>
      </x:c>
      <x:c r="J310" s="22" t="n">
        <x:f>'02_人物原始合计'!AG310+'02_人物原始合计'!AH310</x:f>
        <x:v>15</x:v>
      </x:c>
      <x:c r="K310" s="28" t="n">
        <x:f>'02_人物原始合计'!F310*(1+'02_人物原始合计'!Q310/100)</x:f>
        <x:v>2384376.1</x:v>
      </x:c>
      <x:c r="L310" s="28" t="n">
        <x:f>'02_人物原始合计'!K310*(1+'02_人物原始合计'!AV310/100)</x:f>
        <x:v>23543898</x:v>
      </x:c>
      <x:c r="M310" s="22" t="n">
        <x:f>MAX(0,MIN(50,'02_人物原始合计'!AD310,20+MIN(30,'02_人物原始合计'!AE310)))</x:f>
        <x:v>34</x:v>
      </x:c>
      <x:c r="N310" s="22" t="n">
        <x:f>IF(M310=0,1.75,IF(M310=10,2.2,IF(M310=20,2.9,IF(M310=30,4.3,IF(M310=40,8.5,IF(M310=50,14.3,IF(M310&lt;=40,1000/('01_参数'!$B$21-'01_参数'!$B$22*M310),1000/(1000/8.5+(M310-40)/10*(1000/14.3-1000/8.5)))))))))</x:f>
        <x:v>5.374485323161997</x:v>
      </x:c>
      <x:c r="O310" s="22" t="n">
        <x:v>1168</x:v>
      </x:c>
      <x:c r="P310" s="26" t="n">
        <x:f>MAX(0,MIN('01_参数'!$B$20,'02_人物原始合计'!AM310/100,'01_参数'!$B$19+'02_人物原始合计'!AN310/100))</x:f>
        <x:v>0.67</x:v>
      </x:c>
      <x:c r="Q310" s="28" t="n">
        <x:f>((('02_人物原始合计'!E310+('02_人物原始合计'!F310-'02_人物原始合计'!E310)*IF(J310&gt;=12,1,0.5+0.5*MAX(0,J310)/12))*(1+'02_人物原始合计'!Q310/100))*(1+'02_人物原始合计'!U310/100+IF(J310&gt;=15,0.15,0))*(1+'02_人物原始合计'!V310/100)*(1+'02_人物原始合计'!T310)*(1+'02_人物原始合计'!W310*'01_参数'!$B$18)*(1+MAX(0,MIN(1,'02_人物原始合计'!X310/100))*('01_参数'!$B$16+'02_人物原始合计'!Y310/100-1))*(1+MAX(0,MIN(1,'02_人物原始合计'!Z310/100))*('01_参数'!$B$17+'02_人物原始合计'!AA310/100-1))+'02_人物原始合计'!AB310)*N310*'01_参数'!$B$7*'01_参数'!$B$8</x:f>
        <x:v>3950484923.6211014</x:v>
      </x:c>
      <x:c r="R310" s="28" t="n">
        <x:f>Q310*'01_参数'!$B$5</x:f>
        <x:v>7900969847.242203</x:v>
      </x:c>
      <x:c r="S310" s="28" t="n">
        <x:f>(('02_人物原始合计'!E310+('02_人物原始合计'!F310-'02_人物原始合计'!E310)*IF(J310&gt;=12,1,0.5+0.5*MAX(0,J310)/12))*(1+'02_人物原始合计'!Q310/100))*(1+'02_人物原始合计'!U310/100+IF(J310&gt;=15,0.15,0))*(1+'02_人物原始合计'!V310/100)*(1+'02_人物原始合计'!T310)*(1+'02_人物原始合计'!W310*'01_参数'!$B$18)*(1+MAX(0,MIN(1,'02_人物原始合计'!X310/100))*('01_参数'!$B$16+'02_人物原始合计'!Y310/100-1))*(1+MAX(0,MIN(1,'02_人物原始合计'!Z310/100))*('01_参数'!$B$17+'02_人物原始合计'!AA310/100-1))*N310*'01_参数'!$B$7*'01_参数'!$B$8*MAX(0,'02_人物原始合计'!AO310/100)</x:f>
        <x:v>276533944.65347713</x:v>
      </x:c>
      <x:c r="T310" s="28" t="n">
        <x:f>S310*'01_参数'!$B$6</x:f>
        <x:v>359494128.0495203</x:v>
      </x:c>
      <x:c r="U310" s="28" t="n">
        <x:v>0</x:v>
      </x:c>
      <x:c r="V310" s="28" t="n">
        <x:f>T310+U310</x:f>
        <x:v>359494128.0495203</x:v>
      </x:c>
      <x:c r="W310" s="22" t="n">
        <x:v>34</x:v>
      </x:c>
      <x:c r="X310" s="22" t="n">
        <x:v>328</x:v>
      </x:c>
      <x:c r="Y310" s="22" t="str">
        <x:v>主线</x:v>
      </x:c>
    </x:row>
    <x:row r="311" ht="24" customHeight="1">
      <x:c r="A311" s="22" t="str">
        <x:v>P0307</x:v>
      </x:c>
      <x:c r="B311" s="22" t="n">
        <x:v>10</x:v>
      </x:c>
      <x:c r="C311" s="22" t="n">
        <x:v>1</x:v>
      </x:c>
      <x:c r="D311" s="22" t="str">
        <x:v>王城下城区BOSS装备快线</x:v>
      </x:c>
      <x:c r="E311" s="26" t="n">
        <x:v>0.11795324699013608</x:v>
      </x:c>
      <x:c r="F311" s="22" t="n">
        <x:v>9</x:v>
      </x:c>
      <x:c r="G311" s="22" t="n">
        <x:v>241</x:v>
      </x:c>
      <x:c r="H311" s="22" t="n">
        <x:v>15</x:v>
      </x:c>
      <x:c r="I311" s="22" t="n">
        <x:v>8</x:v>
      </x:c>
      <x:c r="J311" s="22" t="n">
        <x:f>'02_人物原始合计'!AG311+'02_人物原始合计'!AH311</x:f>
        <x:v>15</x:v>
      </x:c>
      <x:c r="K311" s="28" t="n">
        <x:f>'02_人物原始合计'!F311*(1+'02_人物原始合计'!Q311/100)</x:f>
        <x:v>2437016.58</x:v>
      </x:c>
      <x:c r="L311" s="28" t="n">
        <x:f>'02_人物原始合计'!K311*(1+'02_人物原始合计'!AV311/100)</x:f>
        <x:v>24063624</x:v>
      </x:c>
      <x:c r="M311" s="22" t="n">
        <x:f>MAX(0,MIN(50,'02_人物原始合计'!AD311,20+MIN(30,'02_人物原始合计'!AE311)))</x:f>
        <x:v>34</x:v>
      </x:c>
      <x:c r="N311" s="22" t="n">
        <x:f>IF(M311=0,1.75,IF(M311=10,2.2,IF(M311=20,2.9,IF(M311=30,4.3,IF(M311=40,8.5,IF(M311=50,14.3,IF(M311&lt;=40,1000/('01_参数'!$B$21-'01_参数'!$B$22*M311),1000/(1000/8.5+(M311-40)/10*(1000/14.3-1000/8.5)))))))))</x:f>
        <x:v>5.374485323161997</x:v>
      </x:c>
      <x:c r="O311" s="22" t="n">
        <x:v>1168</x:v>
      </x:c>
      <x:c r="P311" s="26" t="n">
        <x:f>MAX(0,MIN('01_参数'!$B$20,'02_人物原始合计'!AM311/100,'01_参数'!$B$19+'02_人物原始合计'!AN311/100))</x:f>
        <x:v>0.69</x:v>
      </x:c>
      <x:c r="Q311" s="28" t="n">
        <x:f>((('02_人物原始合计'!E311+('02_人物原始合计'!F311-'02_人物原始合计'!E311)*IF(J311&gt;=12,1,0.5+0.5*MAX(0,J311)/12))*(1+'02_人物原始合计'!Q311/100))*(1+'02_人物原始合计'!U311/100+IF(J311&gt;=15,0.15,0))*(1+'02_人物原始合计'!V311/100)*(1+'02_人物原始合计'!T311)*(1+'02_人物原始合计'!W311*'01_参数'!$B$18)*(1+MAX(0,MIN(1,'02_人物原始合计'!X311/100))*('01_参数'!$B$16+'02_人物原始合计'!Y311/100-1))*(1+MAX(0,MIN(1,'02_人物原始合计'!Z311/100))*('01_参数'!$B$17+'02_人物原始合计'!AA311/100-1))+'02_人物原始合计'!AB311)*N311*'01_参数'!$B$7*'01_参数'!$B$8</x:f>
        <x:v>4037700788.019415</x:v>
      </x:c>
      <x:c r="R311" s="28" t="n">
        <x:f>Q311*'01_参数'!$B$5</x:f>
        <x:v>8075401576.03883</x:v>
      </x:c>
      <x:c r="S311" s="28" t="n">
        <x:f>(('02_人物原始合计'!E311+('02_人物原始合计'!F311-'02_人物原始合计'!E311)*IF(J311&gt;=12,1,0.5+0.5*MAX(0,J311)/12))*(1+'02_人物原始合计'!Q311/100))*(1+'02_人物原始合计'!U311/100+IF(J311&gt;=15,0.15,0))*(1+'02_人物原始合计'!V311/100)*(1+'02_人物原始合计'!T311)*(1+'02_人物原始合计'!W311*'01_参数'!$B$18)*(1+MAX(0,MIN(1,'02_人物原始合计'!X311/100))*('01_参数'!$B$16+'02_人物原始合计'!Y311/100-1))*(1+MAX(0,MIN(1,'02_人物原始合计'!Z311/100))*('01_参数'!$B$17+'02_人物原始合计'!AA311/100-1))*N311*'01_参数'!$B$7*'01_参数'!$B$8*MAX(0,'02_人物原始合计'!AO311/100)</x:f>
        <x:v>282639055.1613591</x:v>
      </x:c>
      <x:c r="T311" s="28" t="n">
        <x:f>S311*'01_参数'!$B$6</x:f>
        <x:v>367430771.7097668</x:v>
      </x:c>
      <x:c r="U311" s="28" t="n">
        <x:v>0</x:v>
      </x:c>
      <x:c r="V311" s="28" t="n">
        <x:f>T311+U311</x:f>
        <x:v>367430771.7097668</x:v>
      </x:c>
      <x:c r="W311" s="22" t="n">
        <x:v>34</x:v>
      </x:c>
      <x:c r="X311" s="22" t="n">
        <x:v>328</x:v>
      </x:c>
      <x:c r="Y311" s="22" t="str">
        <x:v>C10G01BOSS强装对照</x:v>
      </x:c>
    </x:row>
    <x:row r="312" ht="24" customHeight="1">
      <x:c r="A312" s="22" t="str">
        <x:v>P0308</x:v>
      </x:c>
      <x:c r="B312" s="22" t="n">
        <x:v>10</x:v>
      </x:c>
      <x:c r="C312" s="22" t="n">
        <x:v>1</x:v>
      </x:c>
      <x:c r="D312" s="22" t="str">
        <x:v>王城下城区阶段积累后</x:v>
      </x:c>
      <x:c r="E312" s="26" t="n">
        <x:v>0.11135412808071983</x:v>
      </x:c>
      <x:c r="F312" s="22" t="n">
        <x:v>9</x:v>
      </x:c>
      <x:c r="G312" s="22" t="n">
        <x:v>241</x:v>
      </x:c>
      <x:c r="H312" s="22" t="n">
        <x:v>20</x:v>
      </x:c>
      <x:c r="I312" s="22" t="n">
        <x:v>8</x:v>
      </x:c>
      <x:c r="J312" s="22" t="n">
        <x:f>'02_人物原始合计'!AG312+'02_人物原始合计'!AH312</x:f>
        <x:v>15</x:v>
      </x:c>
      <x:c r="K312" s="28" t="n">
        <x:f>'02_人物原始合计'!F312*(1+'02_人物原始合计'!Q312/100)</x:f>
        <x:v>2725420.1</x:v>
      </x:c>
      <x:c r="L312" s="28" t="n">
        <x:f>'02_人物原始合计'!K312*(1+'02_人物原始合计'!AV312/100)</x:f>
        <x:v>26397738</x:v>
      </x:c>
      <x:c r="M312" s="22" t="n">
        <x:f>MAX(0,MIN(50,'02_人物原始合计'!AD312,20+MIN(30,'02_人物原始合计'!AE312)))</x:f>
        <x:v>35</x:v>
      </x:c>
      <x:c r="N312" s="22" t="n">
        <x:f>IF(M312=0,1.75,IF(M312=10,2.2,IF(M312=20,2.9,IF(M312=30,4.3,IF(M312=40,8.5,IF(M312=50,14.3,IF(M312&lt;=40,1000/('01_参数'!$B$21-'01_参数'!$B$22*M312),1000/(1000/8.5+(M312-40)/10*(1000/14.3-1000/8.5)))))))))</x:f>
        <x:v>5.721844270567132</x:v>
      </x:c>
      <x:c r="O312" s="22" t="n">
        <x:v>1168</x:v>
      </x:c>
      <x:c r="P312" s="26" t="n">
        <x:f>MAX(0,MIN('01_参数'!$B$20,'02_人物原始合计'!AM312/100,'01_参数'!$B$19+'02_人物原始合计'!AN312/100))</x:f>
        <x:v>0.67</x:v>
      </x:c>
      <x:c r="Q312" s="28" t="n">
        <x:f>((('02_人物原始合计'!E312+('02_人物原始合计'!F312-'02_人物原始合计'!E312)*IF(J312&gt;=12,1,0.5+0.5*MAX(0,J312)/12))*(1+'02_人物原始合计'!Q312/100))*(1+'02_人物原始合计'!U312/100+IF(J312&gt;=15,0.15,0))*(1+'02_人物原始合计'!V312/100)*(1+'02_人物原始合计'!T312)*(1+'02_人物原始合计'!W312*'01_参数'!$B$18)*(1+MAX(0,MIN(1,'02_人物原始合计'!X312/100))*('01_参数'!$B$16+'02_人物原始合计'!Y312/100-1))*(1+MAX(0,MIN(1,'02_人物原始合计'!Z312/100))*('01_参数'!$B$17+'02_人物原始合计'!AA312/100-1))+'02_人物原始合计'!AB312)*N312*'01_参数'!$B$7*'01_参数'!$B$8</x:f>
        <x:v>5514345148.914342</x:v>
      </x:c>
      <x:c r="R312" s="28" t="n">
        <x:f>Q312*'01_参数'!$B$5</x:f>
        <x:v>11028690297.828684</x:v>
      </x:c>
      <x:c r="S312" s="28" t="n">
        <x:f>(('02_人物原始合计'!E312+('02_人物原始合计'!F312-'02_人物原始合计'!E312)*IF(J312&gt;=12,1,0.5+0.5*MAX(0,J312)/12))*(1+'02_人物原始合计'!Q312/100))*(1+'02_人物原始合计'!U312/100+IF(J312&gt;=15,0.15,0))*(1+'02_人物原始合计'!V312/100)*(1+'02_人物原始合计'!T312)*(1+'02_人物原始合计'!W312*'01_参数'!$B$18)*(1+MAX(0,MIN(1,'02_人物原始合计'!X312/100))*('01_参数'!$B$16+'02_人物原始合计'!Y312/100-1))*(1+MAX(0,MIN(1,'02_人物原始合计'!Z312/100))*('01_参数'!$B$17+'02_人物原始合计'!AA312/100-1))*N312*'01_参数'!$B$7*'01_参数'!$B$8*MAX(0,'02_人物原始合计'!AO312/100)</x:f>
        <x:v>386004160.42400396</x:v>
      </x:c>
      <x:c r="T312" s="28" t="n">
        <x:f>S312*'01_参数'!$B$6</x:f>
        <x:v>501805408.55120516</x:v>
      </x:c>
      <x:c r="U312" s="28" t="n">
        <x:v>0</x:v>
      </x:c>
      <x:c r="V312" s="28" t="n">
        <x:f>T312+U312</x:f>
        <x:v>501805408.55120516</x:v>
      </x:c>
      <x:c r="W312" s="22" t="n">
        <x:v>34</x:v>
      </x:c>
      <x:c r="X312" s="22" t="n">
        <x:v>329</x:v>
      </x:c>
      <x:c r="Y312" s="22" t="str">
        <x:v>主线</x:v>
      </x:c>
    </x:row>
    <x:row r="313" ht="24" customHeight="1">
      <x:c r="A313" s="22" t="str">
        <x:v>P0309</x:v>
      </x:c>
      <x:c r="B313" s="22" t="n">
        <x:v>10</x:v>
      </x:c>
      <x:c r="C313" s="22" t="n">
        <x:v>2</x:v>
      </x:c>
      <x:c r="D313" s="22" t="str">
        <x:v>C10G02入场</x:v>
      </x:c>
      <x:c r="E313" s="26" t="n">
        <x:v>0.11135412808071983</x:v>
      </x:c>
      <x:c r="F313" s="22" t="n">
        <x:v>9</x:v>
      </x:c>
      <x:c r="G313" s="22" t="n">
        <x:v>241</x:v>
      </x:c>
      <x:c r="H313" s="22" t="n">
        <x:v>20</x:v>
      </x:c>
      <x:c r="I313" s="22" t="n">
        <x:v>8</x:v>
      </x:c>
      <x:c r="J313" s="22" t="n">
        <x:f>'02_人物原始合计'!AG313+'02_人物原始合计'!AH313</x:f>
        <x:v>15</x:v>
      </x:c>
      <x:c r="K313" s="28" t="n">
        <x:f>'02_人物原始合计'!F313*(1+'02_人物原始合计'!Q313/100)</x:f>
        <x:v>2725420.1</x:v>
      </x:c>
      <x:c r="L313" s="28" t="n">
        <x:f>'02_人物原始合计'!K313*(1+'02_人物原始合计'!AV313/100)</x:f>
        <x:v>26397738</x:v>
      </x:c>
      <x:c r="M313" s="22" t="n">
        <x:f>MAX(0,MIN(50,'02_人物原始合计'!AD313,20+MIN(30,'02_人物原始合计'!AE313)))</x:f>
        <x:v>35</x:v>
      </x:c>
      <x:c r="N313" s="22" t="n">
        <x:f>IF(M313=0,1.75,IF(M313=10,2.2,IF(M313=20,2.9,IF(M313=30,4.3,IF(M313=40,8.5,IF(M313=50,14.3,IF(M313&lt;=40,1000/('01_参数'!$B$21-'01_参数'!$B$22*M313),1000/(1000/8.5+(M313-40)/10*(1000/14.3-1000/8.5)))))))))</x:f>
        <x:v>5.721844270567132</x:v>
      </x:c>
      <x:c r="O313" s="22" t="n">
        <x:v>1168</x:v>
      </x:c>
      <x:c r="P313" s="26" t="n">
        <x:f>MAX(0,MIN('01_参数'!$B$20,'02_人物原始合计'!AM313/100,'01_参数'!$B$19+'02_人物原始合计'!AN313/100))</x:f>
        <x:v>0.67</x:v>
      </x:c>
      <x:c r="Q313" s="28" t="n">
        <x:f>((('02_人物原始合计'!E313+('02_人物原始合计'!F313-'02_人物原始合计'!E313)*IF(J313&gt;=12,1,0.5+0.5*MAX(0,J313)/12))*(1+'02_人物原始合计'!Q313/100))*(1+'02_人物原始合计'!U313/100+IF(J313&gt;=15,0.15,0))*(1+'02_人物原始合计'!V313/100)*(1+'02_人物原始合计'!T313)*(1+'02_人物原始合计'!W313*'01_参数'!$B$18)*(1+MAX(0,MIN(1,'02_人物原始合计'!X313/100))*('01_参数'!$B$16+'02_人物原始合计'!Y313/100-1))*(1+MAX(0,MIN(1,'02_人物原始合计'!Z313/100))*('01_参数'!$B$17+'02_人物原始合计'!AA313/100-1))+'02_人物原始合计'!AB313)*N313*'01_参数'!$B$7*'01_参数'!$B$8</x:f>
        <x:v>5514345148.914342</x:v>
      </x:c>
      <x:c r="R313" s="28" t="n">
        <x:f>Q313*'01_参数'!$B$5</x:f>
        <x:v>11028690297.828684</x:v>
      </x:c>
      <x:c r="S313" s="28" t="n">
        <x:f>(('02_人物原始合计'!E313+('02_人物原始合计'!F313-'02_人物原始合计'!E313)*IF(J313&gt;=12,1,0.5+0.5*MAX(0,J313)/12))*(1+'02_人物原始合计'!Q313/100))*(1+'02_人物原始合计'!U313/100+IF(J313&gt;=15,0.15,0))*(1+'02_人物原始合计'!V313/100)*(1+'02_人物原始合计'!T313)*(1+'02_人物原始合计'!W313*'01_参数'!$B$18)*(1+MAX(0,MIN(1,'02_人物原始合计'!X313/100))*('01_参数'!$B$16+'02_人物原始合计'!Y313/100-1))*(1+MAX(0,MIN(1,'02_人物原始合计'!Z313/100))*('01_参数'!$B$17+'02_人物原始合计'!AA313/100-1))*N313*'01_参数'!$B$7*'01_参数'!$B$8*MAX(0,'02_人物原始合计'!AO313/100)</x:f>
        <x:v>386004160.42400396</x:v>
      </x:c>
      <x:c r="T313" s="28" t="n">
        <x:f>S313*'01_参数'!$B$6</x:f>
        <x:v>501805408.55120516</x:v>
      </x:c>
      <x:c r="U313" s="28" t="n">
        <x:v>0</x:v>
      </x:c>
      <x:c r="V313" s="28" t="n">
        <x:f>T313+U313</x:f>
        <x:v>501805408.55120516</x:v>
      </x:c>
      <x:c r="W313" s="22" t="n">
        <x:v>34</x:v>
      </x:c>
      <x:c r="X313" s="22" t="n">
        <x:v>329</x:v>
      </x:c>
      <x:c r="Y313" s="22" t="str">
        <x:v>主线</x:v>
      </x:c>
    </x:row>
    <x:row r="314" ht="24" customHeight="1">
      <x:c r="A314" s="22" t="str">
        <x:v>P0310</x:v>
      </x:c>
      <x:c r="B314" s="22" t="n">
        <x:v>10</x:v>
      </x:c>
      <x:c r="C314" s="22" t="n">
        <x:v>2</x:v>
      </x:c>
      <x:c r="D314" s="22" t="str">
        <x:v>C10G02普通专属4/6</x:v>
      </x:c>
      <x:c r="E314" s="26" t="n">
        <x:v>0.11135412808071983</x:v>
      </x:c>
      <x:c r="F314" s="22" t="n">
        <x:v>9</x:v>
      </x:c>
      <x:c r="G314" s="22" t="n">
        <x:v>241</x:v>
      </x:c>
      <x:c r="H314" s="22" t="n">
        <x:v>20</x:v>
      </x:c>
      <x:c r="I314" s="22" t="n">
        <x:v>8</x:v>
      </x:c>
      <x:c r="J314" s="22" t="n">
        <x:f>'02_人物原始合计'!AG314+'02_人物原始合计'!AH314</x:f>
        <x:v>15</x:v>
      </x:c>
      <x:c r="K314" s="28" t="n">
        <x:f>'02_人物原始合计'!F314*(1+'02_人物原始合计'!Q314/100)</x:f>
        <x:v>2725420.1</x:v>
      </x:c>
      <x:c r="L314" s="28" t="n">
        <x:f>'02_人物原始合计'!K314*(1+'02_人物原始合计'!AV314/100)</x:f>
        <x:v>26397738</x:v>
      </x:c>
      <x:c r="M314" s="22" t="n">
        <x:f>MAX(0,MIN(50,'02_人物原始合计'!AD314,20+MIN(30,'02_人物原始合计'!AE314)))</x:f>
        <x:v>35</x:v>
      </x:c>
      <x:c r="N314" s="22" t="n">
        <x:f>IF(M314=0,1.75,IF(M314=10,2.2,IF(M314=20,2.9,IF(M314=30,4.3,IF(M314=40,8.5,IF(M314=50,14.3,IF(M314&lt;=40,1000/('01_参数'!$B$21-'01_参数'!$B$22*M314),1000/(1000/8.5+(M314-40)/10*(1000/14.3-1000/8.5)))))))))</x:f>
        <x:v>5.721844270567132</x:v>
      </x:c>
      <x:c r="O314" s="22" t="n">
        <x:v>1168</x:v>
      </x:c>
      <x:c r="P314" s="26" t="n">
        <x:f>MAX(0,MIN('01_参数'!$B$20,'02_人物原始合计'!AM314/100,'01_参数'!$B$19+'02_人物原始合计'!AN314/100))</x:f>
        <x:v>0.67</x:v>
      </x:c>
      <x:c r="Q314" s="28" t="n">
        <x:f>((('02_人物原始合计'!E314+('02_人物原始合计'!F314-'02_人物原始合计'!E314)*IF(J314&gt;=12,1,0.5+0.5*MAX(0,J314)/12))*(1+'02_人物原始合计'!Q314/100))*(1+'02_人物原始合计'!U314/100+IF(J314&gt;=15,0.15,0))*(1+'02_人物原始合计'!V314/100)*(1+'02_人物原始合计'!T314)*(1+'02_人物原始合计'!W314*'01_参数'!$B$18)*(1+MAX(0,MIN(1,'02_人物原始合计'!X314/100))*('01_参数'!$B$16+'02_人物原始合计'!Y314/100-1))*(1+MAX(0,MIN(1,'02_人物原始合计'!Z314/100))*('01_参数'!$B$17+'02_人物原始合计'!AA314/100-1))+'02_人物原始合计'!AB314)*N314*'01_参数'!$B$7*'01_参数'!$B$8</x:f>
        <x:v>5514345148.914342</x:v>
      </x:c>
      <x:c r="R314" s="28" t="n">
        <x:f>Q314*'01_参数'!$B$5</x:f>
        <x:v>11028690297.828684</x:v>
      </x:c>
      <x:c r="S314" s="28" t="n">
        <x:f>(('02_人物原始合计'!E314+('02_人物原始合计'!F314-'02_人物原始合计'!E314)*IF(J314&gt;=12,1,0.5+0.5*MAX(0,J314)/12))*(1+'02_人物原始合计'!Q314/100))*(1+'02_人物原始合计'!U314/100+IF(J314&gt;=15,0.15,0))*(1+'02_人物原始合计'!V314/100)*(1+'02_人物原始合计'!T314)*(1+'02_人物原始合计'!W314*'01_参数'!$B$18)*(1+MAX(0,MIN(1,'02_人物原始合计'!X314/100))*('01_参数'!$B$16+'02_人物原始合计'!Y314/100-1))*(1+MAX(0,MIN(1,'02_人物原始合计'!Z314/100))*('01_参数'!$B$17+'02_人物原始合计'!AA314/100-1))*N314*'01_参数'!$B$7*'01_参数'!$B$8*MAX(0,'02_人物原始合计'!AO314/100)</x:f>
        <x:v>386004160.42400396</x:v>
      </x:c>
      <x:c r="T314" s="28" t="n">
        <x:f>S314*'01_参数'!$B$6</x:f>
        <x:v>501805408.55120516</x:v>
      </x:c>
      <x:c r="U314" s="28" t="n">
        <x:v>0</x:v>
      </x:c>
      <x:c r="V314" s="28" t="n">
        <x:f>T314+U314</x:f>
        <x:v>501805408.55120516</x:v>
      </x:c>
      <x:c r="W314" s="22" t="n">
        <x:v>34</x:v>
      </x:c>
      <x:c r="X314" s="22" t="n">
        <x:v>329</x:v>
      </x:c>
      <x:c r="Y314" s="22" t="str">
        <x:v>主线</x:v>
      </x:c>
    </x:row>
    <x:row r="315" ht="24" customHeight="1">
      <x:c r="A315" s="22" t="str">
        <x:v>P0311</x:v>
      </x:c>
      <x:c r="B315" s="22" t="n">
        <x:v>10</x:v>
      </x:c>
      <x:c r="C315" s="22" t="n">
        <x:v>2</x:v>
      </x:c>
      <x:c r="D315" s="22" t="str">
        <x:v>百喉回廊吞声兽挑战前</x:v>
      </x:c>
      <x:c r="E315" s="26" t="n">
        <x:v>0.11135412808071983</x:v>
      </x:c>
      <x:c r="F315" s="22" t="n">
        <x:v>9</x:v>
      </x:c>
      <x:c r="G315" s="22" t="n">
        <x:v>244</x:v>
      </x:c>
      <x:c r="H315" s="22" t="n">
        <x:v>20</x:v>
      </x:c>
      <x:c r="I315" s="22" t="n">
        <x:v>8</x:v>
      </x:c>
      <x:c r="J315" s="22" t="n">
        <x:f>'02_人物原始合计'!AG315+'02_人物原始合计'!AH315</x:f>
        <x:v>15</x:v>
      </x:c>
      <x:c r="K315" s="28" t="n">
        <x:f>'02_人物原始合计'!F315*(1+'02_人物原始合计'!Q315/100)</x:f>
        <x:v>2737703.75</x:v>
      </x:c>
      <x:c r="L315" s="28" t="n">
        <x:f>'02_人物原始合计'!K315*(1+'02_人物原始合计'!AV315/100)</x:f>
        <x:v>26500527</x:v>
      </x:c>
      <x:c r="M315" s="22" t="n">
        <x:f>MAX(0,MIN(50,'02_人物原始合计'!AD315,20+MIN(30,'02_人物原始合计'!AE315)))</x:f>
        <x:v>35</x:v>
      </x:c>
      <x:c r="N315" s="22" t="n">
        <x:f>IF(M315=0,1.75,IF(M315=10,2.2,IF(M315=20,2.9,IF(M315=30,4.3,IF(M315=40,8.5,IF(M315=50,14.3,IF(M315&lt;=40,1000/('01_参数'!$B$21-'01_参数'!$B$22*M315),1000/(1000/8.5+(M315-40)/10*(1000/14.3-1000/8.5)))))))))</x:f>
        <x:v>5.721844270567132</x:v>
      </x:c>
      <x:c r="O315" s="22" t="n">
        <x:v>1168</x:v>
      </x:c>
      <x:c r="P315" s="26" t="n">
        <x:f>MAX(0,MIN('01_参数'!$B$20,'02_人物原始合计'!AM315/100,'01_参数'!$B$19+'02_人物原始合计'!AN315/100))</x:f>
        <x:v>0.67</x:v>
      </x:c>
      <x:c r="Q315" s="28" t="n">
        <x:f>((('02_人物原始合计'!E315+('02_人物原始合计'!F315-'02_人物原始合计'!E315)*IF(J315&gt;=12,1,0.5+0.5*MAX(0,J315)/12))*(1+'02_人物原始合计'!Q315/100))*(1+'02_人物原始合计'!U315/100+IF(J315&gt;=15,0.15,0))*(1+'02_人物原始合计'!V315/100)*(1+'02_人物原始合计'!T315)*(1+'02_人物原始合计'!W315*'01_参数'!$B$18)*(1+MAX(0,MIN(1,'02_人物原始合计'!X315/100))*('01_参数'!$B$16+'02_人物原始合计'!Y315/100-1))*(1+MAX(0,MIN(1,'02_人物原始合计'!Z315/100))*('01_参数'!$B$17+'02_人物原始合计'!AA315/100-1))+'02_人物原始合计'!AB315)*N315*'01_参数'!$B$7*'01_参数'!$B$8</x:f>
        <x:v>5539198669.950772</x:v>
      </x:c>
      <x:c r="R315" s="28" t="n">
        <x:f>Q315*'01_参数'!$B$5</x:f>
        <x:v>11078397339.901545</x:v>
      </x:c>
      <x:c r="S315" s="28" t="n">
        <x:f>(('02_人物原始合计'!E315+('02_人物原始合计'!F315-'02_人物原始合计'!E315)*IF(J315&gt;=12,1,0.5+0.5*MAX(0,J315)/12))*(1+'02_人物原始合计'!Q315/100))*(1+'02_人物原始合计'!U315/100+IF(J315&gt;=15,0.15,0))*(1+'02_人物原始合计'!V315/100)*(1+'02_人物原始合计'!T315)*(1+'02_人物原始合计'!W315*'01_参数'!$B$18)*(1+MAX(0,MIN(1,'02_人物原始合计'!X315/100))*('01_参数'!$B$16+'02_人物原始合计'!Y315/100-1))*(1+MAX(0,MIN(1,'02_人物原始合计'!Z315/100))*('01_参数'!$B$17+'02_人物原始合计'!AA315/100-1))*N315*'01_参数'!$B$7*'01_参数'!$B$8*MAX(0,'02_人物原始合计'!AO315/100)</x:f>
        <x:v>387743906.8965541</x:v>
      </x:c>
      <x:c r="T315" s="28" t="n">
        <x:f>S315*'01_参数'!$B$6</x:f>
        <x:v>504067078.9655204</x:v>
      </x:c>
      <x:c r="U315" s="28" t="n">
        <x:v>0</x:v>
      </x:c>
      <x:c r="V315" s="28" t="n">
        <x:f>T315+U315</x:f>
        <x:v>504067078.9655204</x:v>
      </x:c>
      <x:c r="W315" s="22" t="n">
        <x:v>34</x:v>
      </x:c>
      <x:c r="X315" s="22" t="n">
        <x:v>329</x:v>
      </x:c>
      <x:c r="Y315" s="22" t="str">
        <x:v>主线</x:v>
      </x:c>
    </x:row>
    <x:row r="316" ht="24" customHeight="1">
      <x:c r="A316" s="22" t="str">
        <x:v>P0312</x:v>
      </x:c>
      <x:c r="B316" s="22" t="n">
        <x:v>10</x:v>
      </x:c>
      <x:c r="C316" s="22" t="n">
        <x:v>2</x:v>
      </x:c>
      <x:c r="D316" s="22" t="str">
        <x:v>鎏污大司闸挑战前</x:v>
      </x:c>
      <x:c r="E316" s="26" t="n">
        <x:v>0.11135412808071983</x:v>
      </x:c>
      <x:c r="F316" s="22" t="n">
        <x:v>9</x:v>
      </x:c>
      <x:c r="G316" s="22" t="n">
        <x:v>244</x:v>
      </x:c>
      <x:c r="H316" s="22" t="n">
        <x:v>20</x:v>
      </x:c>
      <x:c r="I316" s="22" t="n">
        <x:v>8</x:v>
      </x:c>
      <x:c r="J316" s="22" t="n">
        <x:f>'02_人物原始合计'!AG316+'02_人物原始合计'!AH316</x:f>
        <x:v>15</x:v>
      </x:c>
      <x:c r="K316" s="28" t="n">
        <x:f>'02_人物原始合计'!F316*(1+'02_人物原始合计'!Q316/100)</x:f>
        <x:v>2737703.75</x:v>
      </x:c>
      <x:c r="L316" s="28" t="n">
        <x:f>'02_人物原始合计'!K316*(1+'02_人物原始合计'!AV316/100)</x:f>
        <x:v>26500527</x:v>
      </x:c>
      <x:c r="M316" s="22" t="n">
        <x:f>MAX(0,MIN(50,'02_人物原始合计'!AD316,20+MIN(30,'02_人物原始合计'!AE316)))</x:f>
        <x:v>35</x:v>
      </x:c>
      <x:c r="N316" s="22" t="n">
        <x:f>IF(M316=0,1.75,IF(M316=10,2.2,IF(M316=20,2.9,IF(M316=30,4.3,IF(M316=40,8.5,IF(M316=50,14.3,IF(M316&lt;=40,1000/('01_参数'!$B$21-'01_参数'!$B$22*M316),1000/(1000/8.5+(M316-40)/10*(1000/14.3-1000/8.5)))))))))</x:f>
        <x:v>5.721844270567132</x:v>
      </x:c>
      <x:c r="O316" s="22" t="n">
        <x:v>1168</x:v>
      </x:c>
      <x:c r="P316" s="26" t="n">
        <x:f>MAX(0,MIN('01_参数'!$B$20,'02_人物原始合计'!AM316/100,'01_参数'!$B$19+'02_人物原始合计'!AN316/100))</x:f>
        <x:v>0.67</x:v>
      </x:c>
      <x:c r="Q316" s="28" t="n">
        <x:f>((('02_人物原始合计'!E316+('02_人物原始合计'!F316-'02_人物原始合计'!E316)*IF(J316&gt;=12,1,0.5+0.5*MAX(0,J316)/12))*(1+'02_人物原始合计'!Q316/100))*(1+'02_人物原始合计'!U316/100+IF(J316&gt;=15,0.15,0))*(1+'02_人物原始合计'!V316/100)*(1+'02_人物原始合计'!T316)*(1+'02_人物原始合计'!W316*'01_参数'!$B$18)*(1+MAX(0,MIN(1,'02_人物原始合计'!X316/100))*('01_参数'!$B$16+'02_人物原始合计'!Y316/100-1))*(1+MAX(0,MIN(1,'02_人物原始合计'!Z316/100))*('01_参数'!$B$17+'02_人物原始合计'!AA316/100-1))+'02_人物原始合计'!AB316)*N316*'01_参数'!$B$7*'01_参数'!$B$8</x:f>
        <x:v>5539198669.950772</x:v>
      </x:c>
      <x:c r="R316" s="28" t="n">
        <x:f>Q316*'01_参数'!$B$5</x:f>
        <x:v>11078397339.901545</x:v>
      </x:c>
      <x:c r="S316" s="28" t="n">
        <x:f>(('02_人物原始合计'!E316+('02_人物原始合计'!F316-'02_人物原始合计'!E316)*IF(J316&gt;=12,1,0.5+0.5*MAX(0,J316)/12))*(1+'02_人物原始合计'!Q316/100))*(1+'02_人物原始合计'!U316/100+IF(J316&gt;=15,0.15,0))*(1+'02_人物原始合计'!V316/100)*(1+'02_人物原始合计'!T316)*(1+'02_人物原始合计'!W316*'01_参数'!$B$18)*(1+MAX(0,MIN(1,'02_人物原始合计'!X316/100))*('01_参数'!$B$16+'02_人物原始合计'!Y316/100-1))*(1+MAX(0,MIN(1,'02_人物原始合计'!Z316/100))*('01_参数'!$B$17+'02_人物原始合计'!AA316/100-1))*N316*'01_参数'!$B$7*'01_参数'!$B$8*MAX(0,'02_人物原始合计'!AO316/100)</x:f>
        <x:v>387743906.8965541</x:v>
      </x:c>
      <x:c r="T316" s="28" t="n">
        <x:f>S316*'01_参数'!$B$6</x:f>
        <x:v>504067078.9655204</x:v>
      </x:c>
      <x:c r="U316" s="28" t="n">
        <x:v>0</x:v>
      </x:c>
      <x:c r="V316" s="28" t="n">
        <x:f>T316+U316</x:f>
        <x:v>504067078.9655204</x:v>
      </x:c>
      <x:c r="W316" s="22" t="n">
        <x:v>34</x:v>
      </x:c>
      <x:c r="X316" s="22" t="n">
        <x:v>329</x:v>
      </x:c>
      <x:c r="Y316" s="22" t="str">
        <x:v>主线</x:v>
      </x:c>
    </x:row>
    <x:row r="317" ht="24" customHeight="1">
      <x:c r="A317" s="22" t="str">
        <x:v>P0313</x:v>
      </x:c>
      <x:c r="B317" s="22" t="n">
        <x:v>10</x:v>
      </x:c>
      <x:c r="C317" s="22" t="n">
        <x:v>2</x:v>
      </x:c>
      <x:c r="D317" s="22" t="str">
        <x:v>黄金排水道BOSS装备快线</x:v>
      </x:c>
      <x:c r="E317" s="26" t="n">
        <x:v>0.12330729171132962</x:v>
      </x:c>
      <x:c r="F317" s="22" t="n">
        <x:v>9</x:v>
      </x:c>
      <x:c r="G317" s="22" t="n">
        <x:v>244</x:v>
      </x:c>
      <x:c r="H317" s="22" t="n">
        <x:v>20</x:v>
      </x:c>
      <x:c r="I317" s="22" t="n">
        <x:v>8</x:v>
      </x:c>
      <x:c r="J317" s="22" t="n">
        <x:f>'02_人物原始合计'!AG317+'02_人物原始合计'!AH317</x:f>
        <x:v>15</x:v>
      </x:c>
      <x:c r="K317" s="28" t="n">
        <x:f>'02_人物原始合计'!F317*(1+'02_人物原始合计'!Q317/100)</x:f>
        <x:v>2824753.75</x:v>
      </x:c>
      <x:c r="L317" s="28" t="n">
        <x:f>'02_人物原始合计'!K317*(1+'02_人物原始合计'!AV317/100)</x:f>
        <x:v>26915349</x:v>
      </x:c>
      <x:c r="M317" s="22" t="n">
        <x:f>MAX(0,MIN(50,'02_人物原始合计'!AD317,20+MIN(30,'02_人物原始合计'!AE317)))</x:f>
        <x:v>35</x:v>
      </x:c>
      <x:c r="N317" s="22" t="n">
        <x:f>IF(M317=0,1.75,IF(M317=10,2.2,IF(M317=20,2.9,IF(M317=30,4.3,IF(M317=40,8.5,IF(M317=50,14.3,IF(M317&lt;=40,1000/('01_参数'!$B$21-'01_参数'!$B$22*M317),1000/(1000/8.5+(M317-40)/10*(1000/14.3-1000/8.5)))))))))</x:f>
        <x:v>5.721844270567132</x:v>
      </x:c>
      <x:c r="O317" s="22" t="n">
        <x:v>1168</x:v>
      </x:c>
      <x:c r="P317" s="26" t="n">
        <x:f>MAX(0,MIN('01_参数'!$B$20,'02_人物原始合计'!AM317/100,'01_参数'!$B$19+'02_人物原始合计'!AN317/100))</x:f>
        <x:v>0.68</x:v>
      </x:c>
      <x:c r="Q317" s="28" t="n">
        <x:f>((('02_人物原始合计'!E317+('02_人物原始合计'!F317-'02_人物原始合计'!E317)*IF(J317&gt;=12,1,0.5+0.5*MAX(0,J317)/12))*(1+'02_人物原始合计'!Q317/100))*(1+'02_人物原始合计'!U317/100+IF(J317&gt;=15,0.15,0))*(1+'02_人物原始合计'!V317/100)*(1+'02_人物原始合计'!T317)*(1+'02_人物原始合计'!W317*'01_参数'!$B$18)*(1+MAX(0,MIN(1,'02_人物原始合计'!X317/100))*('01_参数'!$B$16+'02_人物原始合计'!Y317/100-1))*(1+MAX(0,MIN(1,'02_人物原始合计'!Z317/100))*('01_参数'!$B$17+'02_人物原始合计'!AA317/100-1))+'02_人物原始合计'!AB317)*N317*'01_参数'!$B$7*'01_参数'!$B$8</x:f>
        <x:v>6059248632.572497</x:v>
      </x:c>
      <x:c r="R317" s="28" t="n">
        <x:f>Q317*'01_参数'!$B$5</x:f>
        <x:v>12118497265.144995</x:v>
      </x:c>
      <x:c r="S317" s="28" t="n">
        <x:f>(('02_人物原始合计'!E317+('02_人物原始合计'!F317-'02_人物原始合计'!E317)*IF(J317&gt;=12,1,0.5+0.5*MAX(0,J317)/12))*(1+'02_人物原始合计'!Q317/100))*(1+'02_人物原始合计'!U317/100+IF(J317&gt;=15,0.15,0))*(1+'02_人物原始合计'!V317/100)*(1+'02_人物原始合计'!T317)*(1+'02_人物原始合计'!W317*'01_参数'!$B$18)*(1+MAX(0,MIN(1,'02_人物原始合计'!X317/100))*('01_参数'!$B$16+'02_人物原始合计'!Y317/100-1))*(1+MAX(0,MIN(1,'02_人物原始合计'!Z317/100))*('01_参数'!$B$17+'02_人物原始合计'!AA317/100-1))*N317*'01_参数'!$B$7*'01_参数'!$B$8*MAX(0,'02_人物原始合计'!AO317/100)</x:f>
        <x:v>424147404.28007483</x:v>
      </x:c>
      <x:c r="T317" s="28" t="n">
        <x:f>S317*'01_参数'!$B$6</x:f>
        <x:v>551391625.5640973</x:v>
      </x:c>
      <x:c r="U317" s="28" t="n">
        <x:v>0</x:v>
      </x:c>
      <x:c r="V317" s="28" t="n">
        <x:f>T317+U317</x:f>
        <x:v>551391625.5640973</x:v>
      </x:c>
      <x:c r="W317" s="22" t="n">
        <x:v>34</x:v>
      </x:c>
      <x:c r="X317" s="22" t="n">
        <x:v>329</x:v>
      </x:c>
      <x:c r="Y317" s="22" t="str">
        <x:v>C10G02BOSS强装对照</x:v>
      </x:c>
    </x:row>
    <x:row r="318" ht="24" customHeight="1">
      <x:c r="A318" s="22" t="str">
        <x:v>P0314</x:v>
      </x:c>
      <x:c r="B318" s="22" t="n">
        <x:v>10</x:v>
      </x:c>
      <x:c r="C318" s="22" t="n">
        <x:v>2</x:v>
      </x:c>
      <x:c r="D318" s="22" t="str">
        <x:v>黄金排水道阶段积累后</x:v>
      </x:c>
      <x:c r="E318" s="26" t="n">
        <x:v>0.12164824572777867</x:v>
      </x:c>
      <x:c r="F318" s="22" t="n">
        <x:v>9</x:v>
      </x:c>
      <x:c r="G318" s="22" t="n">
        <x:v>244</x:v>
      </x:c>
      <x:c r="H318" s="22" t="n">
        <x:v>20</x:v>
      </x:c>
      <x:c r="I318" s="22" t="n">
        <x:v>8</x:v>
      </x:c>
      <x:c r="J318" s="22" t="n">
        <x:f>'02_人物原始合计'!AG318+'02_人物原始合计'!AH318</x:f>
        <x:v>15</x:v>
      </x:c>
      <x:c r="K318" s="28" t="n">
        <x:f>'02_人物原始合计'!F318*(1+'02_人物原始合计'!Q318/100)</x:f>
        <x:v>2741747.75</x:v>
      </x:c>
      <x:c r="L318" s="28" t="n">
        <x:f>'02_人物原始合计'!K318*(1+'02_人物原始合计'!AV318/100)</x:f>
        <x:v>26534367</x:v>
      </x:c>
      <x:c r="M318" s="22" t="n">
        <x:f>MAX(0,MIN(50,'02_人物原始合计'!AD318,20+MIN(30,'02_人物原始合计'!AE318)))</x:f>
        <x:v>35</x:v>
      </x:c>
      <x:c r="N318" s="22" t="n">
        <x:f>IF(M318=0,1.75,IF(M318=10,2.2,IF(M318=20,2.9,IF(M318=30,4.3,IF(M318=40,8.5,IF(M318=50,14.3,IF(M318&lt;=40,1000/('01_参数'!$B$21-'01_参数'!$B$22*M318),1000/(1000/8.5+(M318-40)/10*(1000/14.3-1000/8.5)))))))))</x:f>
        <x:v>5.721844270567132</x:v>
      </x:c>
      <x:c r="O318" s="22" t="n">
        <x:v>1168</x:v>
      </x:c>
      <x:c r="P318" s="26" t="n">
        <x:f>MAX(0,MIN('01_参数'!$B$20,'02_人物原始合计'!AM318/100,'01_参数'!$B$19+'02_人物原始合计'!AN318/100))</x:f>
        <x:v>0.67</x:v>
      </x:c>
      <x:c r="Q318" s="28" t="n">
        <x:f>((('02_人物原始合计'!E318+('02_人物原始合计'!F318-'02_人物原始合计'!E318)*IF(J318&gt;=12,1,0.5+0.5*MAX(0,J318)/12))*(1+'02_人物原始合计'!Q318/100))*(1+'02_人物原始合计'!U318/100+IF(J318&gt;=15,0.15,0))*(1+'02_人物原始合计'!V318/100)*(1+'02_人物原始合计'!T318)*(1+'02_人物原始合计'!W318*'01_参数'!$B$18)*(1+MAX(0,MIN(1,'02_人物原始合计'!X318/100))*('01_参数'!$B$16+'02_人物原始合计'!Y318/100-1))*(1+MAX(0,MIN(1,'02_人物原始合计'!Z318/100))*('01_参数'!$B$17+'02_人物原始合计'!AA318/100-1))+'02_人物原始合计'!AB318)*N318*'01_参数'!$B$7*'01_参数'!$B$8</x:f>
        <x:v>5547380899.09857</x:v>
      </x:c>
      <x:c r="R318" s="28" t="n">
        <x:f>Q318*'01_参数'!$B$5</x:f>
        <x:v>11094761798.19714</x:v>
      </x:c>
      <x:c r="S318" s="28" t="n">
        <x:f>(('02_人物原始合计'!E318+('02_人物原始合计'!F318-'02_人物原始合计'!E318)*IF(J318&gt;=12,1,0.5+0.5*MAX(0,J318)/12))*(1+'02_人物原始合计'!Q318/100))*(1+'02_人物原始合计'!U318/100+IF(J318&gt;=15,0.15,0))*(1+'02_人物原始合计'!V318/100)*(1+'02_人物原始合计'!T318)*(1+'02_人物原始合计'!W318*'01_参数'!$B$18)*(1+MAX(0,MIN(1,'02_人物原始合计'!X318/100))*('01_参数'!$B$16+'02_人物原始合计'!Y318/100-1))*(1+MAX(0,MIN(1,'02_人物原始合计'!Z318/100))*('01_参数'!$B$17+'02_人物原始合计'!AA318/100-1))*N318*'01_参数'!$B$7*'01_参数'!$B$8*MAX(0,'02_人物原始合计'!AO318/100)</x:f>
        <x:v>388316662.9368999</x:v>
      </x:c>
      <x:c r="T318" s="28" t="n">
        <x:f>S318*'01_参数'!$B$6</x:f>
        <x:v>504811661.81796986</x:v>
      </x:c>
      <x:c r="U318" s="28" t="n">
        <x:v>0</x:v>
      </x:c>
      <x:c r="V318" s="28" t="n">
        <x:f>T318+U318</x:f>
        <x:v>504811661.81796986</x:v>
      </x:c>
      <x:c r="W318" s="22" t="n">
        <x:v>34</x:v>
      </x:c>
      <x:c r="X318" s="22" t="n">
        <x:v>331</x:v>
      </x:c>
      <x:c r="Y318" s="22" t="str">
        <x:v>主线</x:v>
      </x:c>
    </x:row>
    <x:row r="319" ht="24" customHeight="1">
      <x:c r="A319" s="22" t="str">
        <x:v>P0315</x:v>
      </x:c>
      <x:c r="B319" s="22" t="n">
        <x:v>10</x:v>
      </x:c>
      <x:c r="C319" s="22" t="n">
        <x:v>3</x:v>
      </x:c>
      <x:c r="D319" s="22" t="str">
        <x:v>C10G03入场</x:v>
      </x:c>
      <x:c r="E319" s="26" t="n">
        <x:v>0.12164824572777867</x:v>
      </x:c>
      <x:c r="F319" s="22" t="n">
        <x:v>9</x:v>
      </x:c>
      <x:c r="G319" s="22" t="n">
        <x:v>244</x:v>
      </x:c>
      <x:c r="H319" s="22" t="n">
        <x:v>20</x:v>
      </x:c>
      <x:c r="I319" s="22" t="n">
        <x:v>8</x:v>
      </x:c>
      <x:c r="J319" s="22" t="n">
        <x:f>'02_人物原始合计'!AG319+'02_人物原始合计'!AH319</x:f>
        <x:v>15</x:v>
      </x:c>
      <x:c r="K319" s="28" t="n">
        <x:f>'02_人物原始合计'!F319*(1+'02_人物原始合计'!Q319/100)</x:f>
        <x:v>2741747.75</x:v>
      </x:c>
      <x:c r="L319" s="28" t="n">
        <x:f>'02_人物原始合计'!K319*(1+'02_人物原始合计'!AV319/100)</x:f>
        <x:v>26534367</x:v>
      </x:c>
      <x:c r="M319" s="22" t="n">
        <x:f>MAX(0,MIN(50,'02_人物原始合计'!AD319,20+MIN(30,'02_人物原始合计'!AE319)))</x:f>
        <x:v>35</x:v>
      </x:c>
      <x:c r="N319" s="22" t="n">
        <x:f>IF(M319=0,1.75,IF(M319=10,2.2,IF(M319=20,2.9,IF(M319=30,4.3,IF(M319=40,8.5,IF(M319=50,14.3,IF(M319&lt;=40,1000/('01_参数'!$B$21-'01_参数'!$B$22*M319),1000/(1000/8.5+(M319-40)/10*(1000/14.3-1000/8.5)))))))))</x:f>
        <x:v>5.721844270567132</x:v>
      </x:c>
      <x:c r="O319" s="22" t="n">
        <x:v>1168</x:v>
      </x:c>
      <x:c r="P319" s="26" t="n">
        <x:f>MAX(0,MIN('01_参数'!$B$20,'02_人物原始合计'!AM319/100,'01_参数'!$B$19+'02_人物原始合计'!AN319/100))</x:f>
        <x:v>0.67</x:v>
      </x:c>
      <x:c r="Q319" s="28" t="n">
        <x:f>((('02_人物原始合计'!E319+('02_人物原始合计'!F319-'02_人物原始合计'!E319)*IF(J319&gt;=12,1,0.5+0.5*MAX(0,J319)/12))*(1+'02_人物原始合计'!Q319/100))*(1+'02_人物原始合计'!U319/100+IF(J319&gt;=15,0.15,0))*(1+'02_人物原始合计'!V319/100)*(1+'02_人物原始合计'!T319)*(1+'02_人物原始合计'!W319*'01_参数'!$B$18)*(1+MAX(0,MIN(1,'02_人物原始合计'!X319/100))*('01_参数'!$B$16+'02_人物原始合计'!Y319/100-1))*(1+MAX(0,MIN(1,'02_人物原始合计'!Z319/100))*('01_参数'!$B$17+'02_人物原始合计'!AA319/100-1))+'02_人物原始合计'!AB319)*N319*'01_参数'!$B$7*'01_参数'!$B$8</x:f>
        <x:v>5547380899.09857</x:v>
      </x:c>
      <x:c r="R319" s="28" t="n">
        <x:f>Q319*'01_参数'!$B$5</x:f>
        <x:v>11094761798.19714</x:v>
      </x:c>
      <x:c r="S319" s="28" t="n">
        <x:f>(('02_人物原始合计'!E319+('02_人物原始合计'!F319-'02_人物原始合计'!E319)*IF(J319&gt;=12,1,0.5+0.5*MAX(0,J319)/12))*(1+'02_人物原始合计'!Q319/100))*(1+'02_人物原始合计'!U319/100+IF(J319&gt;=15,0.15,0))*(1+'02_人物原始合计'!V319/100)*(1+'02_人物原始合计'!T319)*(1+'02_人物原始合计'!W319*'01_参数'!$B$18)*(1+MAX(0,MIN(1,'02_人物原始合计'!X319/100))*('01_参数'!$B$16+'02_人物原始合计'!Y319/100-1))*(1+MAX(0,MIN(1,'02_人物原始合计'!Z319/100))*('01_参数'!$B$17+'02_人物原始合计'!AA319/100-1))*N319*'01_参数'!$B$7*'01_参数'!$B$8*MAX(0,'02_人物原始合计'!AO319/100)</x:f>
        <x:v>388316662.9368999</x:v>
      </x:c>
      <x:c r="T319" s="28" t="n">
        <x:f>S319*'01_参数'!$B$6</x:f>
        <x:v>504811661.81796986</x:v>
      </x:c>
      <x:c r="U319" s="28" t="n">
        <x:v>0</x:v>
      </x:c>
      <x:c r="V319" s="28" t="n">
        <x:f>T319+U319</x:f>
        <x:v>504811661.81796986</x:v>
      </x:c>
      <x:c r="W319" s="22" t="n">
        <x:v>34</x:v>
      </x:c>
      <x:c r="X319" s="22" t="n">
        <x:v>331</x:v>
      </x:c>
      <x:c r="Y319" s="22" t="str">
        <x:v>主线</x:v>
      </x:c>
    </x:row>
    <x:row r="320" ht="24" customHeight="1">
      <x:c r="A320" s="22" t="str">
        <x:v>P0316</x:v>
      </x:c>
      <x:c r="B320" s="22" t="n">
        <x:v>10</x:v>
      </x:c>
      <x:c r="C320" s="22" t="n">
        <x:v>3</x:v>
      </x:c>
      <x:c r="D320" s="22" t="str">
        <x:v>C10G03普通专属4/6</x:v>
      </x:c>
      <x:c r="E320" s="26" t="n">
        <x:v>0.12164824572777867</x:v>
      </x:c>
      <x:c r="F320" s="22" t="n">
        <x:v>9</x:v>
      </x:c>
      <x:c r="G320" s="22" t="n">
        <x:v>244</x:v>
      </x:c>
      <x:c r="H320" s="22" t="n">
        <x:v>20</x:v>
      </x:c>
      <x:c r="I320" s="22" t="n">
        <x:v>8</x:v>
      </x:c>
      <x:c r="J320" s="22" t="n">
        <x:f>'02_人物原始合计'!AG320+'02_人物原始合计'!AH320</x:f>
        <x:v>15</x:v>
      </x:c>
      <x:c r="K320" s="28" t="n">
        <x:f>'02_人物原始合计'!F320*(1+'02_人物原始合计'!Q320/100)</x:f>
        <x:v>2741747.75</x:v>
      </x:c>
      <x:c r="L320" s="28" t="n">
        <x:f>'02_人物原始合计'!K320*(1+'02_人物原始合计'!AV320/100)</x:f>
        <x:v>26534367</x:v>
      </x:c>
      <x:c r="M320" s="22" t="n">
        <x:f>MAX(0,MIN(50,'02_人物原始合计'!AD320,20+MIN(30,'02_人物原始合计'!AE320)))</x:f>
        <x:v>35</x:v>
      </x:c>
      <x:c r="N320" s="22" t="n">
        <x:f>IF(M320=0,1.75,IF(M320=10,2.2,IF(M320=20,2.9,IF(M320=30,4.3,IF(M320=40,8.5,IF(M320=50,14.3,IF(M320&lt;=40,1000/('01_参数'!$B$21-'01_参数'!$B$22*M320),1000/(1000/8.5+(M320-40)/10*(1000/14.3-1000/8.5)))))))))</x:f>
        <x:v>5.721844270567132</x:v>
      </x:c>
      <x:c r="O320" s="22" t="n">
        <x:v>1168</x:v>
      </x:c>
      <x:c r="P320" s="26" t="n">
        <x:f>MAX(0,MIN('01_参数'!$B$20,'02_人物原始合计'!AM320/100,'01_参数'!$B$19+'02_人物原始合计'!AN320/100))</x:f>
        <x:v>0.67</x:v>
      </x:c>
      <x:c r="Q320" s="28" t="n">
        <x:f>((('02_人物原始合计'!E320+('02_人物原始合计'!F320-'02_人物原始合计'!E320)*IF(J320&gt;=12,1,0.5+0.5*MAX(0,J320)/12))*(1+'02_人物原始合计'!Q320/100))*(1+'02_人物原始合计'!U320/100+IF(J320&gt;=15,0.15,0))*(1+'02_人物原始合计'!V320/100)*(1+'02_人物原始合计'!T320)*(1+'02_人物原始合计'!W320*'01_参数'!$B$18)*(1+MAX(0,MIN(1,'02_人物原始合计'!X320/100))*('01_参数'!$B$16+'02_人物原始合计'!Y320/100-1))*(1+MAX(0,MIN(1,'02_人物原始合计'!Z320/100))*('01_参数'!$B$17+'02_人物原始合计'!AA320/100-1))+'02_人物原始合计'!AB320)*N320*'01_参数'!$B$7*'01_参数'!$B$8</x:f>
        <x:v>5547380899.09857</x:v>
      </x:c>
      <x:c r="R320" s="28" t="n">
        <x:f>Q320*'01_参数'!$B$5</x:f>
        <x:v>11094761798.19714</x:v>
      </x:c>
      <x:c r="S320" s="28" t="n">
        <x:f>(('02_人物原始合计'!E320+('02_人物原始合计'!F320-'02_人物原始合计'!E320)*IF(J320&gt;=12,1,0.5+0.5*MAX(0,J320)/12))*(1+'02_人物原始合计'!Q320/100))*(1+'02_人物原始合计'!U320/100+IF(J320&gt;=15,0.15,0))*(1+'02_人物原始合计'!V320/100)*(1+'02_人物原始合计'!T320)*(1+'02_人物原始合计'!W320*'01_参数'!$B$18)*(1+MAX(0,MIN(1,'02_人物原始合计'!X320/100))*('01_参数'!$B$16+'02_人物原始合计'!Y320/100-1))*(1+MAX(0,MIN(1,'02_人物原始合计'!Z320/100))*('01_参数'!$B$17+'02_人物原始合计'!AA320/100-1))*N320*'01_参数'!$B$7*'01_参数'!$B$8*MAX(0,'02_人物原始合计'!AO320/100)</x:f>
        <x:v>388316662.9368999</x:v>
      </x:c>
      <x:c r="T320" s="28" t="n">
        <x:f>S320*'01_参数'!$B$6</x:f>
        <x:v>504811661.81796986</x:v>
      </x:c>
      <x:c r="U320" s="28" t="n">
        <x:v>0</x:v>
      </x:c>
      <x:c r="V320" s="28" t="n">
        <x:f>T320+U320</x:f>
        <x:v>504811661.81796986</x:v>
      </x:c>
      <x:c r="W320" s="22" t="n">
        <x:v>34</x:v>
      </x:c>
      <x:c r="X320" s="22" t="n">
        <x:v>331</x:v>
      </x:c>
      <x:c r="Y320" s="22" t="str">
        <x:v>主线</x:v>
      </x:c>
    </x:row>
    <x:row r="321" ht="24" customHeight="1">
      <x:c r="A321" s="22" t="str">
        <x:v>P0317</x:v>
      </x:c>
      <x:c r="B321" s="22" t="n">
        <x:v>10</x:v>
      </x:c>
      <x:c r="C321" s="22" t="n">
        <x:v>3</x:v>
      </x:c>
      <x:c r="D321" s="22" t="str">
        <x:v>深井百臂掘王挑战前</x:v>
      </x:c>
      <x:c r="E321" s="26" t="n">
        <x:v>0.32164824572777867</x:v>
      </x:c>
      <x:c r="F321" s="22" t="n">
        <x:v>10</x:v>
      </x:c>
      <x:c r="G321" s="22" t="n">
        <x:v>247</x:v>
      </x:c>
      <x:c r="H321" s="22" t="n">
        <x:v>20</x:v>
      </x:c>
      <x:c r="I321" s="22" t="n">
        <x:v>8</x:v>
      </x:c>
      <x:c r="J321" s="22" t="n">
        <x:f>'02_人物原始合计'!AG321+'02_人物原始合计'!AH321</x:f>
        <x:v>15</x:v>
      </x:c>
      <x:c r="K321" s="28" t="n">
        <x:f>'02_人物原始合计'!F321*(1+'02_人物原始合计'!Q321/100)</x:f>
        <x:v>3428183.0500000003</x:v>
      </x:c>
      <x:c r="L321" s="28" t="n">
        <x:f>'02_人物原始合计'!K321*(1+'02_人物原始合计'!AV321/100)</x:f>
        <x:v>32278425</x:v>
      </x:c>
      <x:c r="M321" s="22" t="n">
        <x:f>MAX(0,MIN(50,'02_人物原始合计'!AD321,20+MIN(30,'02_人物原始合计'!AE321)))</x:f>
        <x:v>35</x:v>
      </x:c>
      <x:c r="N321" s="22" t="n">
        <x:f>IF(M321=0,1.75,IF(M321=10,2.2,IF(M321=20,2.9,IF(M321=30,4.3,IF(M321=40,8.5,IF(M321=50,14.3,IF(M321&lt;=40,1000/('01_参数'!$B$21-'01_参数'!$B$22*M321),1000/(1000/8.5+(M321-40)/10*(1000/14.3-1000/8.5)))))))))</x:f>
        <x:v>5.721844270567132</x:v>
      </x:c>
      <x:c r="O321" s="22" t="n">
        <x:v>1168</x:v>
      </x:c>
      <x:c r="P321" s="26" t="n">
        <x:f>MAX(0,MIN('01_参数'!$B$20,'02_人物原始合计'!AM321/100,'01_参数'!$B$19+'02_人物原始合计'!AN321/100))</x:f>
        <x:v>0.67</x:v>
      </x:c>
      <x:c r="Q321" s="28" t="n">
        <x:f>((('02_人物原始合计'!E321+('02_人物原始合计'!F321-'02_人物原始合计'!E321)*IF(J321&gt;=12,1,0.5+0.5*MAX(0,J321)/12))*(1+'02_人物原始合计'!Q321/100))*(1+'02_人物原始合计'!U321/100+IF(J321&gt;=15,0.15,0))*(1+'02_人物原始合计'!V321/100)*(1+'02_人物原始合计'!T321)*(1+'02_人物原始合计'!W321*'01_参数'!$B$18)*(1+MAX(0,MIN(1,'02_人物原始合计'!X321/100))*('01_参数'!$B$16+'02_人物原始合计'!Y321/100-1))*(1+MAX(0,MIN(1,'02_人物原始合计'!Z321/100))*('01_参数'!$B$17+'02_人物原始合计'!AA321/100-1))+'02_人物原始合计'!AB321)*N321*'01_参数'!$B$7*'01_参数'!$B$8</x:f>
        <x:v>6936246111.694076</x:v>
      </x:c>
      <x:c r="R321" s="28" t="n">
        <x:f>Q321*'01_参数'!$B$5</x:f>
        <x:v>13872492223.388151</x:v>
      </x:c>
      <x:c r="S321" s="28" t="n">
        <x:f>(('02_人物原始合计'!E321+('02_人物原始合计'!F321-'02_人物原始合计'!E321)*IF(J321&gt;=12,1,0.5+0.5*MAX(0,J321)/12))*(1+'02_人物原始合计'!Q321/100))*(1+'02_人物原始合计'!U321/100+IF(J321&gt;=15,0.15,0))*(1+'02_人物原始合计'!V321/100)*(1+'02_人物原始合计'!T321)*(1+'02_人物原始合计'!W321*'01_参数'!$B$18)*(1+MAX(0,MIN(1,'02_人物原始合计'!X321/100))*('01_参数'!$B$16+'02_人物原始合计'!Y321/100-1))*(1+MAX(0,MIN(1,'02_人物原始合计'!Z321/100))*('01_参数'!$B$17+'02_人物原始合计'!AA321/100-1))*N321*'01_参数'!$B$7*'01_参数'!$B$8*MAX(0,'02_人物原始合计'!AO321/100)</x:f>
        <x:v>485537227.81858534</x:v>
      </x:c>
      <x:c r="T321" s="28" t="n">
        <x:f>S321*'01_参数'!$B$6</x:f>
        <x:v>631198396.164161</x:v>
      </x:c>
      <x:c r="U321" s="28" t="n">
        <x:v>0</x:v>
      </x:c>
      <x:c r="V321" s="28" t="n">
        <x:f>T321+U321</x:f>
        <x:v>631198396.164161</x:v>
      </x:c>
      <x:c r="W321" s="22" t="n">
        <x:v>34</x:v>
      </x:c>
      <x:c r="X321" s="22" t="n">
        <x:v>331</x:v>
      </x:c>
      <x:c r="Y321" s="22" t="str">
        <x:v>主线</x:v>
      </x:c>
    </x:row>
    <x:row r="322" ht="24" customHeight="1">
      <x:c r="A322" s="22" t="str">
        <x:v>P0318</x:v>
      </x:c>
      <x:c r="B322" s="22" t="n">
        <x:v>10</x:v>
      </x:c>
      <x:c r="C322" s="22" t="n">
        <x:v>3</x:v>
      </x:c>
      <x:c r="D322" s="22" t="str">
        <x:v>地脉熔冠巨像挑战前</x:v>
      </x:c>
      <x:c r="E322" s="26" t="n">
        <x:v>0.32164824572777867</x:v>
      </x:c>
      <x:c r="F322" s="22" t="n">
        <x:v>10</x:v>
      </x:c>
      <x:c r="G322" s="22" t="n">
        <x:v>247</x:v>
      </x:c>
      <x:c r="H322" s="22" t="n">
        <x:v>20</x:v>
      </x:c>
      <x:c r="I322" s="22" t="n">
        <x:v>8</x:v>
      </x:c>
      <x:c r="J322" s="22" t="n">
        <x:f>'02_人物原始合计'!AG322+'02_人物原始合计'!AH322</x:f>
        <x:v>15</x:v>
      </x:c>
      <x:c r="K322" s="28" t="n">
        <x:f>'02_人物原始合计'!F322*(1+'02_人物原始合计'!Q322/100)</x:f>
        <x:v>3428183.0500000003</x:v>
      </x:c>
      <x:c r="L322" s="28" t="n">
        <x:f>'02_人物原始合计'!K322*(1+'02_人物原始合计'!AV322/100)</x:f>
        <x:v>32278425</x:v>
      </x:c>
      <x:c r="M322" s="22" t="n">
        <x:f>MAX(0,MIN(50,'02_人物原始合计'!AD322,20+MIN(30,'02_人物原始合计'!AE322)))</x:f>
        <x:v>35</x:v>
      </x:c>
      <x:c r="N322" s="22" t="n">
        <x:f>IF(M322=0,1.75,IF(M322=10,2.2,IF(M322=20,2.9,IF(M322=30,4.3,IF(M322=40,8.5,IF(M322=50,14.3,IF(M322&lt;=40,1000/('01_参数'!$B$21-'01_参数'!$B$22*M322),1000/(1000/8.5+(M322-40)/10*(1000/14.3-1000/8.5)))))))))</x:f>
        <x:v>5.721844270567132</x:v>
      </x:c>
      <x:c r="O322" s="22" t="n">
        <x:v>1168</x:v>
      </x:c>
      <x:c r="P322" s="26" t="n">
        <x:f>MAX(0,MIN('01_参数'!$B$20,'02_人物原始合计'!AM322/100,'01_参数'!$B$19+'02_人物原始合计'!AN322/100))</x:f>
        <x:v>0.67</x:v>
      </x:c>
      <x:c r="Q322" s="28" t="n">
        <x:f>((('02_人物原始合计'!E322+('02_人物原始合计'!F322-'02_人物原始合计'!E322)*IF(J322&gt;=12,1,0.5+0.5*MAX(0,J322)/12))*(1+'02_人物原始合计'!Q322/100))*(1+'02_人物原始合计'!U322/100+IF(J322&gt;=15,0.15,0))*(1+'02_人物原始合计'!V322/100)*(1+'02_人物原始合计'!T322)*(1+'02_人物原始合计'!W322*'01_参数'!$B$18)*(1+MAX(0,MIN(1,'02_人物原始合计'!X322/100))*('01_参数'!$B$16+'02_人物原始合计'!Y322/100-1))*(1+MAX(0,MIN(1,'02_人物原始合计'!Z322/100))*('01_参数'!$B$17+'02_人物原始合计'!AA322/100-1))+'02_人物原始合计'!AB322)*N322*'01_参数'!$B$7*'01_参数'!$B$8</x:f>
        <x:v>6936246111.694076</x:v>
      </x:c>
      <x:c r="R322" s="28" t="n">
        <x:f>Q322*'01_参数'!$B$5</x:f>
        <x:v>13872492223.388151</x:v>
      </x:c>
      <x:c r="S322" s="28" t="n">
        <x:f>(('02_人物原始合计'!E322+('02_人物原始合计'!F322-'02_人物原始合计'!E322)*IF(J322&gt;=12,1,0.5+0.5*MAX(0,J322)/12))*(1+'02_人物原始合计'!Q322/100))*(1+'02_人物原始合计'!U322/100+IF(J322&gt;=15,0.15,0))*(1+'02_人物原始合计'!V322/100)*(1+'02_人物原始合计'!T322)*(1+'02_人物原始合计'!W322*'01_参数'!$B$18)*(1+MAX(0,MIN(1,'02_人物原始合计'!X322/100))*('01_参数'!$B$16+'02_人物原始合计'!Y322/100-1))*(1+MAX(0,MIN(1,'02_人物原始合计'!Z322/100))*('01_参数'!$B$17+'02_人物原始合计'!AA322/100-1))*N322*'01_参数'!$B$7*'01_参数'!$B$8*MAX(0,'02_人物原始合计'!AO322/100)</x:f>
        <x:v>485537227.81858534</x:v>
      </x:c>
      <x:c r="T322" s="28" t="n">
        <x:f>S322*'01_参数'!$B$6</x:f>
        <x:v>631198396.164161</x:v>
      </x:c>
      <x:c r="U322" s="28" t="n">
        <x:v>0</x:v>
      </x:c>
      <x:c r="V322" s="28" t="n">
        <x:f>T322+U322</x:f>
        <x:v>631198396.164161</x:v>
      </x:c>
      <x:c r="W322" s="22" t="n">
        <x:v>34</x:v>
      </x:c>
      <x:c r="X322" s="22" t="n">
        <x:v>331</x:v>
      </x:c>
      <x:c r="Y322" s="22" t="str">
        <x:v>主线</x:v>
      </x:c>
    </x:row>
    <x:row r="323" ht="24" customHeight="1">
      <x:c r="A323" s="22" t="str">
        <x:v>P0319</x:v>
      </x:c>
      <x:c r="B323" s="22" t="n">
        <x:v>10</x:v>
      </x:c>
      <x:c r="C323" s="22" t="n">
        <x:v>3</x:v>
      </x:c>
      <x:c r="D323" s="22" t="str">
        <x:v>王城矿井BOSS装备快线</x:v>
      </x:c>
      <x:c r="E323" s="26" t="n">
        <x:v>0.3421417285893859</x:v>
      </x:c>
      <x:c r="F323" s="22" t="n">
        <x:v>10</x:v>
      </x:c>
      <x:c r="G323" s="22" t="n">
        <x:v>247</x:v>
      </x:c>
      <x:c r="H323" s="22" t="n">
        <x:v>20</x:v>
      </x:c>
      <x:c r="I323" s="22" t="n">
        <x:v>8</x:v>
      </x:c>
      <x:c r="J323" s="22" t="n">
        <x:f>'02_人物原始合计'!AG323+'02_人物原始合计'!AH323</x:f>
        <x:v>15</x:v>
      </x:c>
      <x:c r="K323" s="28" t="n">
        <x:f>'02_人物原始合计'!F323*(1+'02_人物原始合计'!Q323/100)</x:f>
        <x:v>3622154.64</x:v>
      </x:c>
      <x:c r="L323" s="28" t="n">
        <x:f>'02_人物原始合计'!K323*(1+'02_人物原始合计'!AV323/100)</x:f>
        <x:v>32863856.999999996</x:v>
      </x:c>
      <x:c r="M323" s="22" t="n">
        <x:f>MAX(0,MIN(50,'02_人物原始合计'!AD323,20+MIN(30,'02_人物原始合计'!AE323)))</x:f>
        <x:v>35</x:v>
      </x:c>
      <x:c r="N323" s="22" t="n">
        <x:f>IF(M323=0,1.75,IF(M323=10,2.2,IF(M323=20,2.9,IF(M323=30,4.3,IF(M323=40,8.5,IF(M323=50,14.3,IF(M323&lt;=40,1000/('01_参数'!$B$21-'01_参数'!$B$22*M323),1000/(1000/8.5+(M323-40)/10*(1000/14.3-1000/8.5)))))))))</x:f>
        <x:v>5.721844270567132</x:v>
      </x:c>
      <x:c r="O323" s="22" t="n">
        <x:v>1168</x:v>
      </x:c>
      <x:c r="P323" s="26" t="n">
        <x:f>MAX(0,MIN('01_参数'!$B$20,'02_人物原始合计'!AM323/100,'01_参数'!$B$19+'02_人物原始合计'!AN323/100))</x:f>
        <x:v>0.7</x:v>
      </x:c>
      <x:c r="Q323" s="28" t="n">
        <x:f>((('02_人物原始合计'!E323+('02_人物原始合计'!F323-'02_人物原始合计'!E323)*IF(J323&gt;=12,1,0.5+0.5*MAX(0,J323)/12))*(1+'02_人物原始合计'!Q323/100))*(1+'02_人物原始合计'!U323/100+IF(J323&gt;=15,0.15,0))*(1+'02_人物原始合计'!V323/100)*(1+'02_人物原始合计'!T323)*(1+'02_人物原始合计'!W323*'01_参数'!$B$18)*(1+MAX(0,MIN(1,'02_人物原始合计'!X323/100))*('01_参数'!$B$16+'02_人物原始合计'!Y323/100-1))*(1+MAX(0,MIN(1,'02_人物原始合计'!Z323/100))*('01_参数'!$B$17+'02_人物原始合计'!AA323/100-1))+'02_人物原始合计'!AB323)*N323*'01_参数'!$B$7*'01_参数'!$B$8</x:f>
        <x:v>8227639025.668944</x:v>
      </x:c>
      <x:c r="R323" s="28" t="n">
        <x:f>Q323*'01_参数'!$B$5</x:f>
        <x:v>16455278051.337889</x:v>
      </x:c>
      <x:c r="S323" s="28" t="n">
        <x:f>(('02_人物原始合计'!E323+('02_人物原始合计'!F323-'02_人物原始合计'!E323)*IF(J323&gt;=12,1,0.5+0.5*MAX(0,J323)/12))*(1+'02_人物原始合计'!Q323/100))*(1+'02_人物原始合计'!U323/100+IF(J323&gt;=15,0.15,0))*(1+'02_人物原始合计'!V323/100)*(1+'02_人物原始合计'!T323)*(1+'02_人物原始合计'!W323*'01_参数'!$B$18)*(1+MAX(0,MIN(1,'02_人物原始合计'!X323/100))*('01_参数'!$B$16+'02_人物原始合计'!Y323/100-1))*(1+MAX(0,MIN(1,'02_人物原始合计'!Z323/100))*('01_参数'!$B$17+'02_人物原始合计'!AA323/100-1))*N323*'01_参数'!$B$7*'01_参数'!$B$8*MAX(0,'02_人物原始合计'!AO323/100)</x:f>
        <x:v>575934731.7968261</x:v>
      </x:c>
      <x:c r="T323" s="28" t="n">
        <x:f>S323*'01_参数'!$B$6</x:f>
        <x:v>748715151.335874</x:v>
      </x:c>
      <x:c r="U323" s="28" t="n">
        <x:v>0</x:v>
      </x:c>
      <x:c r="V323" s="28" t="n">
        <x:f>T323+U323</x:f>
        <x:v>748715151.335874</x:v>
      </x:c>
      <x:c r="W323" s="22" t="n">
        <x:v>34</x:v>
      </x:c>
      <x:c r="X323" s="22" t="n">
        <x:v>331</x:v>
      </x:c>
      <x:c r="Y323" s="22" t="str">
        <x:v>C10G03BOSS强装对照</x:v>
      </x:c>
    </x:row>
    <x:row r="324" ht="24" customHeight="1">
      <x:c r="A324" s="22" t="str">
        <x:v>P0320</x:v>
      </x:c>
      <x:c r="B324" s="22" t="n">
        <x:v>10</x:v>
      </x:c>
      <x:c r="C324" s="22" t="n">
        <x:v>3</x:v>
      </x:c>
      <x:c r="D324" s="22" t="str">
        <x:v>王城矿井阶段积累后</x:v>
      </x:c>
      <x:c r="E324" s="26" t="n">
        <x:v>0.3531112946539187</x:v>
      </x:c>
      <x:c r="F324" s="22" t="n">
        <x:v>10</x:v>
      </x:c>
      <x:c r="G324" s="22" t="n">
        <x:v>247</x:v>
      </x:c>
      <x:c r="H324" s="22" t="n">
        <x:v>20</x:v>
      </x:c>
      <x:c r="I324" s="22" t="n">
        <x:v>8</x:v>
      </x:c>
      <x:c r="J324" s="22" t="n">
        <x:f>'02_人物原始合计'!AG324+'02_人物原始合计'!AH324</x:f>
        <x:v>15</x:v>
      </x:c>
      <x:c r="K324" s="28" t="n">
        <x:f>'02_人物原始合计'!F324*(1+'02_人物原始合计'!Q324/100)</x:f>
        <x:v>3661654.74</x:v>
      </x:c>
      <x:c r="L324" s="28" t="n">
        <x:f>'02_人物原始合计'!K324*(1+'02_人物原始合计'!AV324/100)</x:f>
        <x:v>32505294</x:v>
      </x:c>
      <x:c r="M324" s="22" t="n">
        <x:f>MAX(0,MIN(50,'02_人物原始合计'!AD324,20+MIN(30,'02_人物原始合计'!AE324)))</x:f>
        <x:v>35</x:v>
      </x:c>
      <x:c r="N324" s="22" t="n">
        <x:f>IF(M324=0,1.75,IF(M324=10,2.2,IF(M324=20,2.9,IF(M324=30,4.3,IF(M324=40,8.5,IF(M324=50,14.3,IF(M324&lt;=40,1000/('01_参数'!$B$21-'01_参数'!$B$22*M324),1000/(1000/8.5+(M324-40)/10*(1000/14.3-1000/8.5)))))))))</x:f>
        <x:v>5.721844270567132</x:v>
      </x:c>
      <x:c r="O324" s="22" t="n">
        <x:v>1168</x:v>
      </x:c>
      <x:c r="P324" s="26" t="n">
        <x:f>MAX(0,MIN('01_参数'!$B$20,'02_人物原始合计'!AM324/100,'01_参数'!$B$19+'02_人物原始合计'!AN324/100))</x:f>
        <x:v>0.67</x:v>
      </x:c>
      <x:c r="Q324" s="28" t="n">
        <x:f>((('02_人物原始合计'!E324+('02_人物原始合计'!F324-'02_人物原始合计'!E324)*IF(J324&gt;=12,1,0.5+0.5*MAX(0,J324)/12))*(1+'02_人物原始合计'!Q324/100))*(1+'02_人物原始合计'!U324/100+IF(J324&gt;=15,0.15,0))*(1+'02_人物原始合计'!V324/100)*(1+'02_人物原始合计'!T324)*(1+'02_人物原始合计'!W324*'01_参数'!$B$18)*(1+MAX(0,MIN(1,'02_人物原始合计'!X324/100))*('01_参数'!$B$16+'02_人物原始合计'!Y324/100-1))*(1+MAX(0,MIN(1,'02_人物原始合计'!Z324/100))*('01_参数'!$B$17+'02_人物原始合计'!AA324/100-1))+'02_人物原始合计'!AB324)*N324*'01_参数'!$B$7*'01_参数'!$B$8</x:f>
        <x:v>7141553459.728199</x:v>
      </x:c>
      <x:c r="R324" s="28" t="n">
        <x:f>Q324*'01_参数'!$B$5</x:f>
        <x:v>14283106919.456398</x:v>
      </x:c>
      <x:c r="S324" s="28" t="n">
        <x:f>(('02_人物原始合计'!E324+('02_人物原始合计'!F324-'02_人物原始合计'!E324)*IF(J324&gt;=12,1,0.5+0.5*MAX(0,J324)/12))*(1+'02_人物原始合计'!Q324/100))*(1+'02_人物原始合计'!U324/100+IF(J324&gt;=15,0.15,0))*(1+'02_人物原始合计'!V324/100)*(1+'02_人物原始合计'!T324)*(1+'02_人物原始合计'!W324*'01_参数'!$B$18)*(1+MAX(0,MIN(1,'02_人物原始合计'!X324/100))*('01_参数'!$B$16+'02_人物原始合计'!Y324/100-1))*(1+MAX(0,MIN(1,'02_人物原始合计'!Z324/100))*('01_参数'!$B$17+'02_人物原始合计'!AA324/100-1))*N324*'01_参数'!$B$7*'01_参数'!$B$8*MAX(0,'02_人物原始合计'!AO324/100)</x:f>
        <x:v>499908742.180974</x:v>
      </x:c>
      <x:c r="T324" s="28" t="n">
        <x:f>S324*'01_参数'!$B$6</x:f>
        <x:v>649881364.8352662</x:v>
      </x:c>
      <x:c r="U324" s="28" t="n">
        <x:v>0</x:v>
      </x:c>
      <x:c r="V324" s="28" t="n">
        <x:f>T324+U324</x:f>
        <x:v>649881364.8352662</x:v>
      </x:c>
      <x:c r="W324" s="22" t="n">
        <x:v>35</x:v>
      </x:c>
      <x:c r="X324" s="22" t="n">
        <x:v>332</x:v>
      </x:c>
      <x:c r="Y324" s="22" t="str">
        <x:v>主线</x:v>
      </x:c>
    </x:row>
    <x:row r="325" ht="24" customHeight="1">
      <x:c r="A325" s="22" t="str">
        <x:v>P0321</x:v>
      </x:c>
      <x:c r="B325" s="22" t="n">
        <x:v>10</x:v>
      </x:c>
      <x:c r="C325" s="22" t="n">
        <x:v>4</x:v>
      </x:c>
      <x:c r="D325" s="22" t="str">
        <x:v>C10G04入场</x:v>
      </x:c>
      <x:c r="E325" s="26" t="n">
        <x:v>0.3531112946539187</x:v>
      </x:c>
      <x:c r="F325" s="22" t="n">
        <x:v>10</x:v>
      </x:c>
      <x:c r="G325" s="22" t="n">
        <x:v>247</x:v>
      </x:c>
      <x:c r="H325" s="22" t="n">
        <x:v>20</x:v>
      </x:c>
      <x:c r="I325" s="22" t="n">
        <x:v>8</x:v>
      </x:c>
      <x:c r="J325" s="22" t="n">
        <x:f>'02_人物原始合计'!AG325+'02_人物原始合计'!AH325</x:f>
        <x:v>15</x:v>
      </x:c>
      <x:c r="K325" s="28" t="n">
        <x:f>'02_人物原始合计'!F325*(1+'02_人物原始合计'!Q325/100)</x:f>
        <x:v>3661654.74</x:v>
      </x:c>
      <x:c r="L325" s="28" t="n">
        <x:f>'02_人物原始合计'!K325*(1+'02_人物原始合计'!AV325/100)</x:f>
        <x:v>32505294</x:v>
      </x:c>
      <x:c r="M325" s="22" t="n">
        <x:f>MAX(0,MIN(50,'02_人物原始合计'!AD325,20+MIN(30,'02_人物原始合计'!AE325)))</x:f>
        <x:v>35</x:v>
      </x:c>
      <x:c r="N325" s="22" t="n">
        <x:f>IF(M325=0,1.75,IF(M325=10,2.2,IF(M325=20,2.9,IF(M325=30,4.3,IF(M325=40,8.5,IF(M325=50,14.3,IF(M325&lt;=40,1000/('01_参数'!$B$21-'01_参数'!$B$22*M325),1000/(1000/8.5+(M325-40)/10*(1000/14.3-1000/8.5)))))))))</x:f>
        <x:v>5.721844270567132</x:v>
      </x:c>
      <x:c r="O325" s="22" t="n">
        <x:v>1168</x:v>
      </x:c>
      <x:c r="P325" s="26" t="n">
        <x:f>MAX(0,MIN('01_参数'!$B$20,'02_人物原始合计'!AM325/100,'01_参数'!$B$19+'02_人物原始合计'!AN325/100))</x:f>
        <x:v>0.67</x:v>
      </x:c>
      <x:c r="Q325" s="28" t="n">
        <x:f>((('02_人物原始合计'!E325+('02_人物原始合计'!F325-'02_人物原始合计'!E325)*IF(J325&gt;=12,1,0.5+0.5*MAX(0,J325)/12))*(1+'02_人物原始合计'!Q325/100))*(1+'02_人物原始合计'!U325/100+IF(J325&gt;=15,0.15,0))*(1+'02_人物原始合计'!V325/100)*(1+'02_人物原始合计'!T325)*(1+'02_人物原始合计'!W325*'01_参数'!$B$18)*(1+MAX(0,MIN(1,'02_人物原始合计'!X325/100))*('01_参数'!$B$16+'02_人物原始合计'!Y325/100-1))*(1+MAX(0,MIN(1,'02_人物原始合计'!Z325/100))*('01_参数'!$B$17+'02_人物原始合计'!AA325/100-1))+'02_人物原始合计'!AB325)*N325*'01_参数'!$B$7*'01_参数'!$B$8</x:f>
        <x:v>7141553459.728199</x:v>
      </x:c>
      <x:c r="R325" s="28" t="n">
        <x:f>Q325*'01_参数'!$B$5</x:f>
        <x:v>14283106919.456398</x:v>
      </x:c>
      <x:c r="S325" s="28" t="n">
        <x:f>(('02_人物原始合计'!E325+('02_人物原始合计'!F325-'02_人物原始合计'!E325)*IF(J325&gt;=12,1,0.5+0.5*MAX(0,J325)/12))*(1+'02_人物原始合计'!Q325/100))*(1+'02_人物原始合计'!U325/100+IF(J325&gt;=15,0.15,0))*(1+'02_人物原始合计'!V325/100)*(1+'02_人物原始合计'!T325)*(1+'02_人物原始合计'!W325*'01_参数'!$B$18)*(1+MAX(0,MIN(1,'02_人物原始合计'!X325/100))*('01_参数'!$B$16+'02_人物原始合计'!Y325/100-1))*(1+MAX(0,MIN(1,'02_人物原始合计'!Z325/100))*('01_参数'!$B$17+'02_人物原始合计'!AA325/100-1))*N325*'01_参数'!$B$7*'01_参数'!$B$8*MAX(0,'02_人物原始合计'!AO325/100)</x:f>
        <x:v>499908742.180974</x:v>
      </x:c>
      <x:c r="T325" s="28" t="n">
        <x:f>S325*'01_参数'!$B$6</x:f>
        <x:v>649881364.8352662</x:v>
      </x:c>
      <x:c r="U325" s="28" t="n">
        <x:v>0</x:v>
      </x:c>
      <x:c r="V325" s="28" t="n">
        <x:f>T325+U325</x:f>
        <x:v>649881364.8352662</x:v>
      </x:c>
      <x:c r="W325" s="22" t="n">
        <x:v>35</x:v>
      </x:c>
      <x:c r="X325" s="22" t="n">
        <x:v>332</x:v>
      </x:c>
      <x:c r="Y325" s="22" t="str">
        <x:v>主线</x:v>
      </x:c>
    </x:row>
    <x:row r="326" ht="24" customHeight="1">
      <x:c r="A326" s="22" t="str">
        <x:v>P0322</x:v>
      </x:c>
      <x:c r="B326" s="22" t="n">
        <x:v>10</x:v>
      </x:c>
      <x:c r="C326" s="22" t="n">
        <x:v>4</x:v>
      </x:c>
      <x:c r="D326" s="22" t="str">
        <x:v>C10G04普通专属4/6</x:v>
      </x:c>
      <x:c r="E326" s="26" t="n">
        <x:v>0.35635082493235615</x:v>
      </x:c>
      <x:c r="F326" s="22" t="n">
        <x:v>10</x:v>
      </x:c>
      <x:c r="G326" s="22" t="n">
        <x:v>247</x:v>
      </x:c>
      <x:c r="H326" s="22" t="n">
        <x:v>20</x:v>
      </x:c>
      <x:c r="I326" s="22" t="n">
        <x:v>8</x:v>
      </x:c>
      <x:c r="J326" s="22" t="n">
        <x:f>'02_人物原始合计'!AG326+'02_人物原始合计'!AH326</x:f>
        <x:v>15</x:v>
      </x:c>
      <x:c r="K326" s="28" t="n">
        <x:f>'02_人物原始合计'!F326*(1+'02_人物原始合计'!Q326/100)</x:f>
        <x:v>3655014.53</x:v>
      </x:c>
      <x:c r="L326" s="28" t="n">
        <x:f>'02_人物原始合计'!K326*(1+'02_人物原始合计'!AV326/100)</x:f>
        <x:v>32712987</x:v>
      </x:c>
      <x:c r="M326" s="22" t="n">
        <x:f>MAX(0,MIN(50,'02_人物原始合计'!AD326,20+MIN(30,'02_人物原始合计'!AE326)))</x:f>
        <x:v>35</x:v>
      </x:c>
      <x:c r="N326" s="22" t="n">
        <x:f>IF(M326=0,1.75,IF(M326=10,2.2,IF(M326=20,2.9,IF(M326=30,4.3,IF(M326=40,8.5,IF(M326=50,14.3,IF(M326&lt;=40,1000/('01_参数'!$B$21-'01_参数'!$B$22*M326),1000/(1000/8.5+(M326-40)/10*(1000/14.3-1000/8.5)))))))))</x:f>
        <x:v>5.721844270567132</x:v>
      </x:c>
      <x:c r="O326" s="22" t="n">
        <x:v>1168</x:v>
      </x:c>
      <x:c r="P326" s="26" t="n">
        <x:f>MAX(0,MIN('01_参数'!$B$20,'02_人物原始合计'!AM326/100,'01_参数'!$B$19+'02_人物原始合计'!AN326/100))</x:f>
        <x:v>0.65</x:v>
      </x:c>
      <x:c r="Q326" s="28" t="n">
        <x:f>((('02_人物原始合计'!E326+('02_人物原始合计'!F326-'02_人物原始合计'!E326)*IF(J326&gt;=12,1,0.5+0.5*MAX(0,J326)/12))*(1+'02_人物原始合计'!Q326/100))*(1+'02_人物原始合计'!U326/100+IF(J326&gt;=15,0.15,0))*(1+'02_人物原始合计'!V326/100)*(1+'02_人物原始合计'!T326)*(1+'02_人物原始合计'!W326*'01_参数'!$B$18)*(1+MAX(0,MIN(1,'02_人物原始合计'!X326/100))*('01_参数'!$B$16+'02_人物原始合计'!Y326/100-1))*(1+MAX(0,MIN(1,'02_人物原始合计'!Z326/100))*('01_参数'!$B$17+'02_人物原始合计'!AA326/100-1))+'02_人物原始合计'!AB326)*N326*'01_参数'!$B$7*'01_参数'!$B$8</x:f>
        <x:v>7191457490.364774</x:v>
      </x:c>
      <x:c r="R326" s="28" t="n">
        <x:f>Q326*'01_参数'!$B$5</x:f>
        <x:v>14382914980.729548</x:v>
      </x:c>
      <x:c r="S326" s="28" t="n">
        <x:f>(('02_人物原始合计'!E326+('02_人物原始合计'!F326-'02_人物原始合计'!E326)*IF(J326&gt;=12,1,0.5+0.5*MAX(0,J326)/12))*(1+'02_人物原始合计'!Q326/100))*(1+'02_人物原始合计'!U326/100+IF(J326&gt;=15,0.15,0))*(1+'02_人物原始合计'!V326/100)*(1+'02_人物原始合计'!T326)*(1+'02_人物原始合计'!W326*'01_参数'!$B$18)*(1+MAX(0,MIN(1,'02_人物原始合计'!X326/100))*('01_参数'!$B$16+'02_人物原始合计'!Y326/100-1))*(1+MAX(0,MIN(1,'02_人物原始合计'!Z326/100))*('01_参数'!$B$17+'02_人物原始合计'!AA326/100-1))*N326*'01_参数'!$B$7*'01_参数'!$B$8*MAX(0,'02_人物原始合计'!AO326/100)</x:f>
        <x:v>503402024.3255342</x:v>
      </x:c>
      <x:c r="T326" s="28" t="n">
        <x:f>S326*'01_参数'!$B$6</x:f>
        <x:v>654422631.6231945</x:v>
      </x:c>
      <x:c r="U326" s="28" t="n">
        <x:v>0</x:v>
      </x:c>
      <x:c r="V326" s="28" t="n">
        <x:f>T326+U326</x:f>
        <x:v>654422631.6231945</x:v>
      </x:c>
      <x:c r="W326" s="22" t="n">
        <x:v>35</x:v>
      </x:c>
      <x:c r="X326" s="22" t="n">
        <x:v>332</x:v>
      </x:c>
      <x:c r="Y326" s="22" t="str">
        <x:v>主线</x:v>
      </x:c>
    </x:row>
    <x:row r="327" ht="24" customHeight="1">
      <x:c r="A327" s="22" t="str">
        <x:v>P0323</x:v>
      </x:c>
      <x:c r="B327" s="22" t="n">
        <x:v>10</x:v>
      </x:c>
      <x:c r="C327" s="22" t="n">
        <x:v>4</x:v>
      </x:c>
      <x:c r="D327" s="22" t="str">
        <x:v>不葬的甬道王妃挑战前</x:v>
      </x:c>
      <x:c r="E327" s="26" t="n">
        <x:v>0.35635082493235615</x:v>
      </x:c>
      <x:c r="F327" s="22" t="n">
        <x:v>10</x:v>
      </x:c>
      <x:c r="G327" s="22" t="n">
        <x:v>250</x:v>
      </x:c>
      <x:c r="H327" s="22" t="n">
        <x:v>20</x:v>
      </x:c>
      <x:c r="I327" s="22" t="n">
        <x:v>8</x:v>
      </x:c>
      <x:c r="J327" s="22" t="n">
        <x:f>'02_人物原始合计'!AG327+'02_人物原始合计'!AH327</x:f>
        <x:v>15</x:v>
      </x:c>
      <x:c r="K327" s="28" t="n">
        <x:f>'02_人物原始合计'!F327*(1+'02_人物原始合计'!Q327/100)</x:f>
        <x:v>3728776.56</x:v>
      </x:c>
      <x:c r="L327" s="28" t="n">
        <x:f>'02_人物原始合计'!K327*(1+'02_人物原始合计'!AV327/100)</x:f>
        <x:v>32818878</x:v>
      </x:c>
      <x:c r="M327" s="22" t="n">
        <x:f>MAX(0,MIN(50,'02_人物原始合计'!AD327,20+MIN(30,'02_人物原始合计'!AE327)))</x:f>
        <x:v>35</x:v>
      </x:c>
      <x:c r="N327" s="22" t="n">
        <x:f>IF(M327=0,1.75,IF(M327=10,2.2,IF(M327=20,2.9,IF(M327=30,4.3,IF(M327=40,8.5,IF(M327=50,14.3,IF(M327&lt;=40,1000/('01_参数'!$B$21-'01_参数'!$B$22*M327),1000/(1000/8.5+(M327-40)/10*(1000/14.3-1000/8.5)))))))))</x:f>
        <x:v>5.721844270567132</x:v>
      </x:c>
      <x:c r="O327" s="22" t="n">
        <x:v>1168</x:v>
      </x:c>
      <x:c r="P327" s="26" t="n">
        <x:f>MAX(0,MIN('01_参数'!$B$20,'02_人物原始合计'!AM327/100,'01_参数'!$B$19+'02_人物原始合计'!AN327/100))</x:f>
        <x:v>0.65</x:v>
      </x:c>
      <x:c r="Q327" s="28" t="n">
        <x:f>((('02_人物原始合计'!E327+('02_人物原始合计'!F327-'02_人物原始合计'!E327)*IF(J327&gt;=12,1,0.5+0.5*MAX(0,J327)/12))*(1+'02_人物原始合计'!Q327/100))*(1+'02_人物原始合计'!U327/100+IF(J327&gt;=15,0.15,0))*(1+'02_人物原始合计'!V327/100)*(1+'02_人物原始合计'!T327)*(1+'02_人物原始合计'!W327*'01_参数'!$B$18)*(1+MAX(0,MIN(1,'02_人物原始合计'!X327/100))*('01_参数'!$B$16+'02_人物原始合计'!Y327/100-1))*(1+MAX(0,MIN(1,'02_人物原始合计'!Z327/100))*('01_参数'!$B$17+'02_人物原始合计'!AA327/100-1))+'02_人物原始合计'!AB327)*N327*'01_参数'!$B$7*'01_参数'!$B$8</x:f>
        <x:v>7336588651.6212</x:v>
      </x:c>
      <x:c r="R327" s="28" t="n">
        <x:f>Q327*'01_参数'!$B$5</x:f>
        <x:v>14673177303.2424</x:v>
      </x:c>
      <x:c r="S327" s="28" t="n">
        <x:f>(('02_人物原始合计'!E327+('02_人物原始合计'!F327-'02_人物原始合计'!E327)*IF(J327&gt;=12,1,0.5+0.5*MAX(0,J327)/12))*(1+'02_人物原始合计'!Q327/100))*(1+'02_人物原始合计'!U327/100+IF(J327&gt;=15,0.15,0))*(1+'02_人物原始合计'!V327/100)*(1+'02_人物原始合计'!T327)*(1+'02_人物原始合计'!W327*'01_参数'!$B$18)*(1+MAX(0,MIN(1,'02_人物原始合计'!X327/100))*('01_参数'!$B$16+'02_人物原始合计'!Y327/100-1))*(1+MAX(0,MIN(1,'02_人物原始合计'!Z327/100))*('01_参数'!$B$17+'02_人物原始合计'!AA327/100-1))*N327*'01_参数'!$B$7*'01_参数'!$B$8*MAX(0,'02_人物原始合计'!AO327/100)</x:f>
        <x:v>513561205.613484</x:v>
      </x:c>
      <x:c r="T327" s="28" t="n">
        <x:f>S327*'01_参数'!$B$6</x:f>
        <x:v>667629567.2975292</x:v>
      </x:c>
      <x:c r="U327" s="28" t="n">
        <x:v>0</x:v>
      </x:c>
      <x:c r="V327" s="28" t="n">
        <x:f>T327+U327</x:f>
        <x:v>667629567.2975292</x:v>
      </x:c>
      <x:c r="W327" s="22" t="n">
        <x:v>35</x:v>
      </x:c>
      <x:c r="X327" s="22" t="n">
        <x:v>332</x:v>
      </x:c>
      <x:c r="Y327" s="22" t="str">
        <x:v>主线</x:v>
      </x:c>
    </x:row>
    <x:row r="328" ht="24" customHeight="1">
      <x:c r="A328" s="22" t="str">
        <x:v>P0324</x:v>
      </x:c>
      <x:c r="B328" s="22" t="n">
        <x:v>10</x:v>
      </x:c>
      <x:c r="C328" s="22" t="n">
        <x:v>4</x:v>
      </x:c>
      <x:c r="D328" s="22" t="str">
        <x:v>枯寝吞碑王挑战前</x:v>
      </x:c>
      <x:c r="E328" s="26" t="n">
        <x:v>0.35635082493235615</x:v>
      </x:c>
      <x:c r="F328" s="22" t="n">
        <x:v>10</x:v>
      </x:c>
      <x:c r="G328" s="22" t="n">
        <x:v>250</x:v>
      </x:c>
      <x:c r="H328" s="22" t="n">
        <x:v>20</x:v>
      </x:c>
      <x:c r="I328" s="22" t="n">
        <x:v>8</x:v>
      </x:c>
      <x:c r="J328" s="22" t="n">
        <x:f>'02_人物原始合计'!AG328+'02_人物原始合计'!AH328</x:f>
        <x:v>15</x:v>
      </x:c>
      <x:c r="K328" s="28" t="n">
        <x:f>'02_人物原始合计'!F328*(1+'02_人物原始合计'!Q328/100)</x:f>
        <x:v>3728776.56</x:v>
      </x:c>
      <x:c r="L328" s="28" t="n">
        <x:f>'02_人物原始合计'!K328*(1+'02_人物原始合计'!AV328/100)</x:f>
        <x:v>32818878</x:v>
      </x:c>
      <x:c r="M328" s="22" t="n">
        <x:f>MAX(0,MIN(50,'02_人物原始合计'!AD328,20+MIN(30,'02_人物原始合计'!AE328)))</x:f>
        <x:v>35</x:v>
      </x:c>
      <x:c r="N328" s="22" t="n">
        <x:f>IF(M328=0,1.75,IF(M328=10,2.2,IF(M328=20,2.9,IF(M328=30,4.3,IF(M328=40,8.5,IF(M328=50,14.3,IF(M328&lt;=40,1000/('01_参数'!$B$21-'01_参数'!$B$22*M328),1000/(1000/8.5+(M328-40)/10*(1000/14.3-1000/8.5)))))))))</x:f>
        <x:v>5.721844270567132</x:v>
      </x:c>
      <x:c r="O328" s="22" t="n">
        <x:v>1168</x:v>
      </x:c>
      <x:c r="P328" s="26" t="n">
        <x:f>MAX(0,MIN('01_参数'!$B$20,'02_人物原始合计'!AM328/100,'01_参数'!$B$19+'02_人物原始合计'!AN328/100))</x:f>
        <x:v>0.65</x:v>
      </x:c>
      <x:c r="Q328" s="28" t="n">
        <x:f>((('02_人物原始合计'!E328+('02_人物原始合计'!F328-'02_人物原始合计'!E328)*IF(J328&gt;=12,1,0.5+0.5*MAX(0,J328)/12))*(1+'02_人物原始合计'!Q328/100))*(1+'02_人物原始合计'!U328/100+IF(J328&gt;=15,0.15,0))*(1+'02_人物原始合计'!V328/100)*(1+'02_人物原始合计'!T328)*(1+'02_人物原始合计'!W328*'01_参数'!$B$18)*(1+MAX(0,MIN(1,'02_人物原始合计'!X328/100))*('01_参数'!$B$16+'02_人物原始合计'!Y328/100-1))*(1+MAX(0,MIN(1,'02_人物原始合计'!Z328/100))*('01_参数'!$B$17+'02_人物原始合计'!AA328/100-1))+'02_人物原始合计'!AB328)*N328*'01_参数'!$B$7*'01_参数'!$B$8</x:f>
        <x:v>7336588651.6212</x:v>
      </x:c>
      <x:c r="R328" s="28" t="n">
        <x:f>Q328*'01_参数'!$B$5</x:f>
        <x:v>14673177303.2424</x:v>
      </x:c>
      <x:c r="S328" s="28" t="n">
        <x:f>(('02_人物原始合计'!E328+('02_人物原始合计'!F328-'02_人物原始合计'!E328)*IF(J328&gt;=12,1,0.5+0.5*MAX(0,J328)/12))*(1+'02_人物原始合计'!Q328/100))*(1+'02_人物原始合计'!U328/100+IF(J328&gt;=15,0.15,0))*(1+'02_人物原始合计'!V328/100)*(1+'02_人物原始合计'!T328)*(1+'02_人物原始合计'!W328*'01_参数'!$B$18)*(1+MAX(0,MIN(1,'02_人物原始合计'!X328/100))*('01_参数'!$B$16+'02_人物原始合计'!Y328/100-1))*(1+MAX(0,MIN(1,'02_人物原始合计'!Z328/100))*('01_参数'!$B$17+'02_人物原始合计'!AA328/100-1))*N328*'01_参数'!$B$7*'01_参数'!$B$8*MAX(0,'02_人物原始合计'!AO328/100)</x:f>
        <x:v>513561205.613484</x:v>
      </x:c>
      <x:c r="T328" s="28" t="n">
        <x:f>S328*'01_参数'!$B$6</x:f>
        <x:v>667629567.2975292</x:v>
      </x:c>
      <x:c r="U328" s="28" t="n">
        <x:v>0</x:v>
      </x:c>
      <x:c r="V328" s="28" t="n">
        <x:f>T328+U328</x:f>
        <x:v>667629567.2975292</x:v>
      </x:c>
      <x:c r="W328" s="22" t="n">
        <x:v>35</x:v>
      </x:c>
      <x:c r="X328" s="22" t="n">
        <x:v>332</x:v>
      </x:c>
      <x:c r="Y328" s="22" t="str">
        <x:v>主线</x:v>
      </x:c>
    </x:row>
    <x:row r="329" ht="24" customHeight="1">
      <x:c r="A329" s="22" t="str">
        <x:v>P0325</x:v>
      </x:c>
      <x:c r="B329" s="22" t="n">
        <x:v>10</x:v>
      </x:c>
      <x:c r="C329" s="22" t="n">
        <x:v>4</x:v>
      </x:c>
      <x:c r="D329" s="22" t="str">
        <x:v>王城地穴BOSS装备快线</x:v>
      </x:c>
      <x:c r="E329" s="26" t="n">
        <x:v>0.3603846270249609</x:v>
      </x:c>
      <x:c r="F329" s="22" t="n">
        <x:v>10</x:v>
      </x:c>
      <x:c r="G329" s="22" t="n">
        <x:v>250</x:v>
      </x:c>
      <x:c r="H329" s="22" t="n">
        <x:v>20</x:v>
      </x:c>
      <x:c r="I329" s="22" t="n">
        <x:v>8</x:v>
      </x:c>
      <x:c r="J329" s="22" t="n">
        <x:f>'02_人物原始合计'!AG329+'02_人物原始合计'!AH329</x:f>
        <x:v>15</x:v>
      </x:c>
      <x:c r="K329" s="28" t="n">
        <x:f>'02_人物原始合计'!F329*(1+'02_人物原始合计'!Q329/100)</x:f>
        <x:v>3745245.7600000002</x:v>
      </x:c>
      <x:c r="L329" s="28" t="n">
        <x:f>'02_人物原始合计'!K329*(1+'02_人物原始合计'!AV329/100)</x:f>
        <x:v>33062243.999999996</x:v>
      </x:c>
      <x:c r="M329" s="22" t="n">
        <x:f>MAX(0,MIN(50,'02_人物原始合计'!AD329,20+MIN(30,'02_人物原始合计'!AE329)))</x:f>
        <x:v>35</x:v>
      </x:c>
      <x:c r="N329" s="22" t="n">
        <x:f>IF(M329=0,1.75,IF(M329=10,2.2,IF(M329=20,2.9,IF(M329=30,4.3,IF(M329=40,8.5,IF(M329=50,14.3,IF(M329&lt;=40,1000/('01_参数'!$B$21-'01_参数'!$B$22*M329),1000/(1000/8.5+(M329-40)/10*(1000/14.3-1000/8.5)))))))))</x:f>
        <x:v>5.721844270567132</x:v>
      </x:c>
      <x:c r="O329" s="22" t="n">
        <x:v>1168</x:v>
      </x:c>
      <x:c r="P329" s="26" t="n">
        <x:f>MAX(0,MIN('01_参数'!$B$20,'02_人物原始合计'!AM329/100,'01_参数'!$B$19+'02_人物原始合计'!AN329/100))</x:f>
        <x:v>0.66</x:v>
      </x:c>
      <x:c r="Q329" s="28" t="n">
        <x:f>((('02_人物原始合计'!E329+('02_人物原始合计'!F329-'02_人物原始合计'!E329)*IF(J329&gt;=12,1,0.5+0.5*MAX(0,J329)/12))*(1+'02_人物原始合计'!Q329/100))*(1+'02_人物原始合计'!U329/100+IF(J329&gt;=15,0.15,0))*(1+'02_人物原始合计'!V329/100)*(1+'02_人物原始合计'!T329)*(1+'02_人物原始合计'!W329*'01_参数'!$B$18)*(1+MAX(0,MIN(1,'02_人物原始合计'!X329/100))*('01_参数'!$B$16+'02_人物原始合计'!Y329/100-1))*(1+MAX(0,MIN(1,'02_人物原始合计'!Z329/100))*('01_参数'!$B$17+'02_人物原始合计'!AA329/100-1))+'02_人物原始合计'!AB329)*N329*'01_参数'!$B$7*'01_参数'!$B$8</x:f>
        <x:v>7368992777.713776</x:v>
      </x:c>
      <x:c r="R329" s="28" t="n">
        <x:f>Q329*'01_参数'!$B$5</x:f>
        <x:v>14737985555.427551</x:v>
      </x:c>
      <x:c r="S329" s="28" t="n">
        <x:f>(('02_人物原始合计'!E329+('02_人物原始合计'!F329-'02_人物原始合计'!E329)*IF(J329&gt;=12,1,0.5+0.5*MAX(0,J329)/12))*(1+'02_人物原始合计'!Q329/100))*(1+'02_人物原始合计'!U329/100+IF(J329&gt;=15,0.15,0))*(1+'02_人物原始合计'!V329/100)*(1+'02_人物原始合计'!T329)*(1+'02_人物原始合计'!W329*'01_参数'!$B$18)*(1+MAX(0,MIN(1,'02_人物原始合计'!X329/100))*('01_参数'!$B$16+'02_人物原始合计'!Y329/100-1))*(1+MAX(0,MIN(1,'02_人物原始合计'!Z329/100))*('01_参数'!$B$17+'02_人物原始合计'!AA329/100-1))*N329*'01_参数'!$B$7*'01_参数'!$B$8*MAX(0,'02_人物原始合计'!AO329/100)</x:f>
        <x:v>515829494.43996435</x:v>
      </x:c>
      <x:c r="T329" s="28" t="n">
        <x:f>S329*'01_参数'!$B$6</x:f>
        <x:v>670578342.7719537</x:v>
      </x:c>
      <x:c r="U329" s="28" t="n">
        <x:v>0</x:v>
      </x:c>
      <x:c r="V329" s="28" t="n">
        <x:f>T329+U329</x:f>
        <x:v>670578342.7719537</x:v>
      </x:c>
      <x:c r="W329" s="22" t="n">
        <x:v>35</x:v>
      </x:c>
      <x:c r="X329" s="22" t="n">
        <x:v>332</x:v>
      </x:c>
      <x:c r="Y329" s="22" t="str">
        <x:v>C10G04BOSS强装对照</x:v>
      </x:c>
    </x:row>
    <x:row r="330" ht="24" customHeight="1">
      <x:c r="A330" s="22" t="str">
        <x:v>P0326</x:v>
      </x:c>
      <x:c r="B330" s="22" t="n">
        <x:v>10</x:v>
      </x:c>
      <x:c r="C330" s="22" t="n">
        <x:v>4</x:v>
      </x:c>
      <x:c r="D330" s="22" t="str">
        <x:v>王城地穴阶段积累后</x:v>
      </x:c>
      <x:c r="E330" s="26" t="n">
        <x:v>0.39997827591274837</x:v>
      </x:c>
      <x:c r="F330" s="22" t="n">
        <x:v>10</x:v>
      </x:c>
      <x:c r="G330" s="22" t="n">
        <x:v>250</x:v>
      </x:c>
      <x:c r="H330" s="22" t="n">
        <x:v>20</x:v>
      </x:c>
      <x:c r="I330" s="22" t="n">
        <x:v>8</x:v>
      </x:c>
      <x:c r="J330" s="22" t="n">
        <x:f>'02_人物原始合计'!AG330+'02_人物原始合计'!AH330</x:f>
        <x:v>15</x:v>
      </x:c>
      <x:c r="K330" s="28" t="n">
        <x:f>'02_人物原始合计'!F330*(1+'02_人物原始合计'!Q330/100)</x:f>
        <x:v>3785937.92</x:v>
      </x:c>
      <x:c r="L330" s="28" t="n">
        <x:f>'02_人物原始合计'!K330*(1+'02_人物原始合计'!AV330/100)</x:f>
        <x:v>32979617.999999996</x:v>
      </x:c>
      <x:c r="M330" s="22" t="n">
        <x:f>MAX(0,MIN(50,'02_人物原始合计'!AD330,20+MIN(30,'02_人物原始合计'!AE330)))</x:f>
        <x:v>35</x:v>
      </x:c>
      <x:c r="N330" s="22" t="n">
        <x:f>IF(M330=0,1.75,IF(M330=10,2.2,IF(M330=20,2.9,IF(M330=30,4.3,IF(M330=40,8.5,IF(M330=50,14.3,IF(M330&lt;=40,1000/('01_参数'!$B$21-'01_参数'!$B$22*M330),1000/(1000/8.5+(M330-40)/10*(1000/14.3-1000/8.5)))))))))</x:f>
        <x:v>5.721844270567132</x:v>
      </x:c>
      <x:c r="O330" s="22" t="n">
        <x:v>1168</x:v>
      </x:c>
      <x:c r="P330" s="26" t="n">
        <x:f>MAX(0,MIN('01_参数'!$B$20,'02_人物原始合计'!AM330/100,'01_参数'!$B$19+'02_人物原始合计'!AN330/100))</x:f>
        <x:v>0.65</x:v>
      </x:c>
      <x:c r="Q330" s="28" t="n">
        <x:f>((('02_人物原始合计'!E330+('02_人物原始合计'!F330-'02_人物原始合计'!E330)*IF(J330&gt;=12,1,0.5+0.5*MAX(0,J330)/12))*(1+'02_人物原始合计'!Q330/100))*(1+'02_人物原始合计'!U330/100+IF(J330&gt;=15,0.15,0))*(1+'02_人物原始合计'!V330/100)*(1+'02_人物原始合计'!T330)*(1+'02_人物原始合计'!W330*'01_参数'!$B$18)*(1+MAX(0,MIN(1,'02_人物原始合计'!X330/100))*('01_参数'!$B$16+'02_人物原始合计'!Y330/100-1))*(1+MAX(0,MIN(1,'02_人物原始合计'!Z330/100))*('01_参数'!$B$17+'02_人物原始合计'!AA330/100-1))+'02_人物原始合计'!AB330)*N330*'01_参数'!$B$7*'01_参数'!$B$8</x:f>
        <x:v>7681089936.954948</x:v>
      </x:c>
      <x:c r="R330" s="28" t="n">
        <x:f>Q330*'01_参数'!$B$5</x:f>
        <x:v>15362179873.909897</x:v>
      </x:c>
      <x:c r="S330" s="28" t="n">
        <x:f>(('02_人物原始合计'!E330+('02_人物原始合计'!F330-'02_人物原始合计'!E330)*IF(J330&gt;=12,1,0.5+0.5*MAX(0,J330)/12))*(1+'02_人物原始合计'!Q330/100))*(1+'02_人物原始合计'!U330/100+IF(J330&gt;=15,0.15,0))*(1+'02_人物原始合计'!V330/100)*(1+'02_人物原始合计'!T330)*(1+'02_人物原始合计'!W330*'01_参数'!$B$18)*(1+MAX(0,MIN(1,'02_人物原始合计'!X330/100))*('01_参数'!$B$16+'02_人物原始合计'!Y330/100-1))*(1+MAX(0,MIN(1,'02_人物原始合计'!Z330/100))*('01_参数'!$B$17+'02_人物原始合计'!AA330/100-1))*N330*'01_参数'!$B$7*'01_参数'!$B$8*MAX(0,'02_人物原始合计'!AO330/100)</x:f>
        <x:v>537676295.5868465</x:v>
      </x:c>
      <x:c r="T330" s="28" t="n">
        <x:f>S330*'01_参数'!$B$6</x:f>
        <x:v>698979184.2629005</x:v>
      </x:c>
      <x:c r="U330" s="28" t="n">
        <x:v>0</x:v>
      </x:c>
      <x:c r="V330" s="28" t="n">
        <x:f>T330+U330</x:f>
        <x:v>698979184.2629005</x:v>
      </x:c>
      <x:c r="W330" s="22" t="n">
        <x:v>36</x:v>
      </x:c>
      <x:c r="X330" s="22" t="n">
        <x:v>334</x:v>
      </x:c>
      <x:c r="Y330" s="22" t="str">
        <x:v>主线</x:v>
      </x:c>
    </x:row>
    <x:row r="331" ht="24" customHeight="1">
      <x:c r="A331" s="22" t="str">
        <x:v>P0327</x:v>
      </x:c>
      <x:c r="B331" s="22" t="n">
        <x:v>10</x:v>
      </x:c>
      <x:c r="C331" s="22" t="n">
        <x:v>5</x:v>
      </x:c>
      <x:c r="D331" s="22" t="str">
        <x:v>C10G05入场</x:v>
      </x:c>
      <x:c r="E331" s="26" t="n">
        <x:v>0.39997827591274837</x:v>
      </x:c>
      <x:c r="F331" s="22" t="n">
        <x:v>10</x:v>
      </x:c>
      <x:c r="G331" s="22" t="n">
        <x:v>250</x:v>
      </x:c>
      <x:c r="H331" s="22" t="n">
        <x:v>20</x:v>
      </x:c>
      <x:c r="I331" s="22" t="n">
        <x:v>8</x:v>
      </x:c>
      <x:c r="J331" s="22" t="n">
        <x:f>'02_人物原始合计'!AG331+'02_人物原始合计'!AH331</x:f>
        <x:v>15</x:v>
      </x:c>
      <x:c r="K331" s="28" t="n">
        <x:f>'02_人物原始合计'!F331*(1+'02_人物原始合计'!Q331/100)</x:f>
        <x:v>3785937.92</x:v>
      </x:c>
      <x:c r="L331" s="28" t="n">
        <x:f>'02_人物原始合计'!K331*(1+'02_人物原始合计'!AV331/100)</x:f>
        <x:v>32979617.999999996</x:v>
      </x:c>
      <x:c r="M331" s="22" t="n">
        <x:f>MAX(0,MIN(50,'02_人物原始合计'!AD331,20+MIN(30,'02_人物原始合计'!AE331)))</x:f>
        <x:v>35</x:v>
      </x:c>
      <x:c r="N331" s="22" t="n">
        <x:f>IF(M331=0,1.75,IF(M331=10,2.2,IF(M331=20,2.9,IF(M331=30,4.3,IF(M331=40,8.5,IF(M331=50,14.3,IF(M331&lt;=40,1000/('01_参数'!$B$21-'01_参数'!$B$22*M331),1000/(1000/8.5+(M331-40)/10*(1000/14.3-1000/8.5)))))))))</x:f>
        <x:v>5.721844270567132</x:v>
      </x:c>
      <x:c r="O331" s="22" t="n">
        <x:v>1168</x:v>
      </x:c>
      <x:c r="P331" s="26" t="n">
        <x:f>MAX(0,MIN('01_参数'!$B$20,'02_人物原始合计'!AM331/100,'01_参数'!$B$19+'02_人物原始合计'!AN331/100))</x:f>
        <x:v>0.65</x:v>
      </x:c>
      <x:c r="Q331" s="28" t="n">
        <x:f>((('02_人物原始合计'!E331+('02_人物原始合计'!F331-'02_人物原始合计'!E331)*IF(J331&gt;=12,1,0.5+0.5*MAX(0,J331)/12))*(1+'02_人物原始合计'!Q331/100))*(1+'02_人物原始合计'!U331/100+IF(J331&gt;=15,0.15,0))*(1+'02_人物原始合计'!V331/100)*(1+'02_人物原始合计'!T331)*(1+'02_人物原始合计'!W331*'01_参数'!$B$18)*(1+MAX(0,MIN(1,'02_人物原始合计'!X331/100))*('01_参数'!$B$16+'02_人物原始合计'!Y331/100-1))*(1+MAX(0,MIN(1,'02_人物原始合计'!Z331/100))*('01_参数'!$B$17+'02_人物原始合计'!AA331/100-1))+'02_人物原始合计'!AB331)*N331*'01_参数'!$B$7*'01_参数'!$B$8</x:f>
        <x:v>7681089936.954948</x:v>
      </x:c>
      <x:c r="R331" s="28" t="n">
        <x:f>Q331*'01_参数'!$B$5</x:f>
        <x:v>15362179873.909897</x:v>
      </x:c>
      <x:c r="S331" s="28" t="n">
        <x:f>(('02_人物原始合计'!E331+('02_人物原始合计'!F331-'02_人物原始合计'!E331)*IF(J331&gt;=12,1,0.5+0.5*MAX(0,J331)/12))*(1+'02_人物原始合计'!Q331/100))*(1+'02_人物原始合计'!U331/100+IF(J331&gt;=15,0.15,0))*(1+'02_人物原始合计'!V331/100)*(1+'02_人物原始合计'!T331)*(1+'02_人物原始合计'!W331*'01_参数'!$B$18)*(1+MAX(0,MIN(1,'02_人物原始合计'!X331/100))*('01_参数'!$B$16+'02_人物原始合计'!Y331/100-1))*(1+MAX(0,MIN(1,'02_人物原始合计'!Z331/100))*('01_参数'!$B$17+'02_人物原始合计'!AA331/100-1))*N331*'01_参数'!$B$7*'01_参数'!$B$8*MAX(0,'02_人物原始合计'!AO331/100)</x:f>
        <x:v>537676295.5868465</x:v>
      </x:c>
      <x:c r="T331" s="28" t="n">
        <x:f>S331*'01_参数'!$B$6</x:f>
        <x:v>698979184.2629005</x:v>
      </x:c>
      <x:c r="U331" s="28" t="n">
        <x:v>0</x:v>
      </x:c>
      <x:c r="V331" s="28" t="n">
        <x:f>T331+U331</x:f>
        <x:v>698979184.2629005</x:v>
      </x:c>
      <x:c r="W331" s="22" t="n">
        <x:v>36</x:v>
      </x:c>
      <x:c r="X331" s="22" t="n">
        <x:v>334</x:v>
      </x:c>
      <x:c r="Y331" s="22" t="str">
        <x:v>主线</x:v>
      </x:c>
    </x:row>
    <x:row r="332" ht="24" customHeight="1">
      <x:c r="A332" s="22" t="str">
        <x:v>P0328</x:v>
      </x:c>
      <x:c r="B332" s="22" t="n">
        <x:v>10</x:v>
      </x:c>
      <x:c r="C332" s="22" t="n">
        <x:v>5</x:v>
      </x:c>
      <x:c r="D332" s="22" t="str">
        <x:v>C10G05普通专属4/6</x:v>
      </x:c>
      <x:c r="E332" s="26" t="n">
        <x:v>0.39997827591274837</x:v>
      </x:c>
      <x:c r="F332" s="22" t="n">
        <x:v>10</x:v>
      </x:c>
      <x:c r="G332" s="22" t="n">
        <x:v>250</x:v>
      </x:c>
      <x:c r="H332" s="22" t="n">
        <x:v>20</x:v>
      </x:c>
      <x:c r="I332" s="22" t="n">
        <x:v>8</x:v>
      </x:c>
      <x:c r="J332" s="22" t="n">
        <x:f>'02_人物原始合计'!AG332+'02_人物原始合计'!AH332</x:f>
        <x:v>15</x:v>
      </x:c>
      <x:c r="K332" s="28" t="n">
        <x:f>'02_人物原始合计'!F332*(1+'02_人物原始合计'!Q332/100)</x:f>
        <x:v>3785937.92</x:v>
      </x:c>
      <x:c r="L332" s="28" t="n">
        <x:f>'02_人物原始合计'!K332*(1+'02_人物原始合计'!AV332/100)</x:f>
        <x:v>32979617.999999996</x:v>
      </x:c>
      <x:c r="M332" s="22" t="n">
        <x:f>MAX(0,MIN(50,'02_人物原始合计'!AD332,20+MIN(30,'02_人物原始合计'!AE332)))</x:f>
        <x:v>35</x:v>
      </x:c>
      <x:c r="N332" s="22" t="n">
        <x:f>IF(M332=0,1.75,IF(M332=10,2.2,IF(M332=20,2.9,IF(M332=30,4.3,IF(M332=40,8.5,IF(M332=50,14.3,IF(M332&lt;=40,1000/('01_参数'!$B$21-'01_参数'!$B$22*M332),1000/(1000/8.5+(M332-40)/10*(1000/14.3-1000/8.5)))))))))</x:f>
        <x:v>5.721844270567132</x:v>
      </x:c>
      <x:c r="O332" s="22" t="n">
        <x:v>1168</x:v>
      </x:c>
      <x:c r="P332" s="26" t="n">
        <x:f>MAX(0,MIN('01_参数'!$B$20,'02_人物原始合计'!AM332/100,'01_参数'!$B$19+'02_人物原始合计'!AN332/100))</x:f>
        <x:v>0.65</x:v>
      </x:c>
      <x:c r="Q332" s="28" t="n">
        <x:f>((('02_人物原始合计'!E332+('02_人物原始合计'!F332-'02_人物原始合计'!E332)*IF(J332&gt;=12,1,0.5+0.5*MAX(0,J332)/12))*(1+'02_人物原始合计'!Q332/100))*(1+'02_人物原始合计'!U332/100+IF(J332&gt;=15,0.15,0))*(1+'02_人物原始合计'!V332/100)*(1+'02_人物原始合计'!T332)*(1+'02_人物原始合计'!W332*'01_参数'!$B$18)*(1+MAX(0,MIN(1,'02_人物原始合计'!X332/100))*('01_参数'!$B$16+'02_人物原始合计'!Y332/100-1))*(1+MAX(0,MIN(1,'02_人物原始合计'!Z332/100))*('01_参数'!$B$17+'02_人物原始合计'!AA332/100-1))+'02_人物原始合计'!AB332)*N332*'01_参数'!$B$7*'01_参数'!$B$8</x:f>
        <x:v>7681089936.954948</x:v>
      </x:c>
      <x:c r="R332" s="28" t="n">
        <x:f>Q332*'01_参数'!$B$5</x:f>
        <x:v>15362179873.909897</x:v>
      </x:c>
      <x:c r="S332" s="28" t="n">
        <x:f>(('02_人物原始合计'!E332+('02_人物原始合计'!F332-'02_人物原始合计'!E332)*IF(J332&gt;=12,1,0.5+0.5*MAX(0,J332)/12))*(1+'02_人物原始合计'!Q332/100))*(1+'02_人物原始合计'!U332/100+IF(J332&gt;=15,0.15,0))*(1+'02_人物原始合计'!V332/100)*(1+'02_人物原始合计'!T332)*(1+'02_人物原始合计'!W332*'01_参数'!$B$18)*(1+MAX(0,MIN(1,'02_人物原始合计'!X332/100))*('01_参数'!$B$16+'02_人物原始合计'!Y332/100-1))*(1+MAX(0,MIN(1,'02_人物原始合计'!Z332/100))*('01_参数'!$B$17+'02_人物原始合计'!AA332/100-1))*N332*'01_参数'!$B$7*'01_参数'!$B$8*MAX(0,'02_人物原始合计'!AO332/100)</x:f>
        <x:v>537676295.5868465</x:v>
      </x:c>
      <x:c r="T332" s="28" t="n">
        <x:f>S332*'01_参数'!$B$6</x:f>
        <x:v>698979184.2629005</x:v>
      </x:c>
      <x:c r="U332" s="28" t="n">
        <x:v>0</x:v>
      </x:c>
      <x:c r="V332" s="28" t="n">
        <x:f>T332+U332</x:f>
        <x:v>698979184.2629005</x:v>
      </x:c>
      <x:c r="W332" s="22" t="n">
        <x:v>36</x:v>
      </x:c>
      <x:c r="X332" s="22" t="n">
        <x:v>334</x:v>
      </x:c>
      <x:c r="Y332" s="22" t="str">
        <x:v>主线</x:v>
      </x:c>
    </x:row>
    <x:row r="333" ht="24" customHeight="1">
      <x:c r="A333" s="22" t="str">
        <x:v>P0329</x:v>
      </x:c>
      <x:c r="B333" s="22" t="n">
        <x:v>10</x:v>
      </x:c>
      <x:c r="C333" s="22" t="n">
        <x:v>5</x:v>
      </x:c>
      <x:c r="D333" s="22" t="str">
        <x:v>碎日门的黄金禁卫挑战前</x:v>
      </x:c>
      <x:c r="E333" s="26" t="n">
        <x:v>0.39997827591274837</x:v>
      </x:c>
      <x:c r="F333" s="22" t="n">
        <x:v>10</x:v>
      </x:c>
      <x:c r="G333" s="22" t="n">
        <x:v>253</x:v>
      </x:c>
      <x:c r="H333" s="22" t="n">
        <x:v>20</x:v>
      </x:c>
      <x:c r="I333" s="22" t="n">
        <x:v>8</x:v>
      </x:c>
      <x:c r="J333" s="22" t="n">
        <x:f>'02_人物原始合计'!AG333+'02_人物原始合计'!AH333</x:f>
        <x:v>15</x:v>
      </x:c>
      <x:c r="K333" s="28" t="n">
        <x:f>'02_人物原始合计'!F333*(1+'02_人物原始合计'!Q333/100)</x:f>
        <x:v>3799787.84</x:v>
      </x:c>
      <x:c r="L333" s="28" t="n">
        <x:f>'02_人物原始合计'!K333*(1+'02_人物原始合计'!AV333/100)</x:f>
        <x:v>33086213.999999996</x:v>
      </x:c>
      <x:c r="M333" s="22" t="n">
        <x:f>MAX(0,MIN(50,'02_人物原始合计'!AD333,20+MIN(30,'02_人物原始合计'!AE333)))</x:f>
        <x:v>35</x:v>
      </x:c>
      <x:c r="N333" s="22" t="n">
        <x:f>IF(M333=0,1.75,IF(M333=10,2.2,IF(M333=20,2.9,IF(M333=30,4.3,IF(M333=40,8.5,IF(M333=50,14.3,IF(M333&lt;=40,1000/('01_参数'!$B$21-'01_参数'!$B$22*M333),1000/(1000/8.5+(M333-40)/10*(1000/14.3-1000/8.5)))))))))</x:f>
        <x:v>5.721844270567132</x:v>
      </x:c>
      <x:c r="O333" s="22" t="n">
        <x:v>1168</x:v>
      </x:c>
      <x:c r="P333" s="26" t="n">
        <x:f>MAX(0,MIN('01_参数'!$B$20,'02_人物原始合计'!AM333/100,'01_参数'!$B$19+'02_人物原始合计'!AN333/100))</x:f>
        <x:v>0.65</x:v>
      </x:c>
      <x:c r="Q333" s="28" t="n">
        <x:f>((('02_人物原始合计'!E333+('02_人物原始合计'!F333-'02_人物原始合计'!E333)*IF(J333&gt;=12,1,0.5+0.5*MAX(0,J333)/12))*(1+'02_人物原始合计'!Q333/100))*(1+'02_人物原始合计'!U333/100+IF(J333&gt;=15,0.15,0))*(1+'02_人物原始合计'!V333/100)*(1+'02_人物原始合计'!T333)*(1+'02_人物原始合计'!W333*'01_参数'!$B$18)*(1+MAX(0,MIN(1,'02_人物原始合计'!X333/100))*('01_参数'!$B$16+'02_人物原始合计'!Y333/100-1))*(1+MAX(0,MIN(1,'02_人物原始合计'!Z333/100))*('01_参数'!$B$17+'02_人物原始合计'!AA333/100-1))+'02_人物原始合计'!AB333)*N333*'01_参数'!$B$7*'01_参数'!$B$8</x:f>
        <x:v>7709189309.788732</x:v>
      </x:c>
      <x:c r="R333" s="28" t="n">
        <x:f>Q333*'01_参数'!$B$5</x:f>
        <x:v>15418378619.577463</x:v>
      </x:c>
      <x:c r="S333" s="28" t="n">
        <x:f>(('02_人物原始合计'!E333+('02_人物原始合计'!F333-'02_人物原始合计'!E333)*IF(J333&gt;=12,1,0.5+0.5*MAX(0,J333)/12))*(1+'02_人物原始合计'!Q333/100))*(1+'02_人物原始合计'!U333/100+IF(J333&gt;=15,0.15,0))*(1+'02_人物原始合计'!V333/100)*(1+'02_人物原始合计'!T333)*(1+'02_人物原始合计'!W333*'01_参数'!$B$18)*(1+MAX(0,MIN(1,'02_人物原始合计'!X333/100))*('01_参数'!$B$16+'02_人物原始合计'!Y333/100-1))*(1+MAX(0,MIN(1,'02_人物原始合计'!Z333/100))*('01_参数'!$B$17+'02_人物原始合计'!AA333/100-1))*N333*'01_参数'!$B$7*'01_参数'!$B$8*MAX(0,'02_人物原始合计'!AO333/100)</x:f>
        <x:v>539643251.6852113</x:v>
      </x:c>
      <x:c r="T333" s="28" t="n">
        <x:f>S333*'01_参数'!$B$6</x:f>
        <x:v>701536227.1907747</x:v>
      </x:c>
      <x:c r="U333" s="28" t="n">
        <x:v>0</x:v>
      </x:c>
      <x:c r="V333" s="28" t="n">
        <x:f>T333+U333</x:f>
        <x:v>701536227.1907747</x:v>
      </x:c>
      <x:c r="W333" s="22" t="n">
        <x:v>36</x:v>
      </x:c>
      <x:c r="X333" s="22" t="n">
        <x:v>334</x:v>
      </x:c>
      <x:c r="Y333" s="22" t="str">
        <x:v>主线</x:v>
      </x:c>
    </x:row>
    <x:row r="334" ht="24" customHeight="1">
      <x:c r="A334" s="22" t="str">
        <x:v>P0330</x:v>
      </x:c>
      <x:c r="B334" s="22" t="n">
        <x:v>10</x:v>
      </x:c>
      <x:c r="C334" s="22" t="n">
        <x:v>5</x:v>
      </x:c>
      <x:c r="D334" s="22" t="str">
        <x:v>永辉帷后的空王挑战前</x:v>
      </x:c>
      <x:c r="E334" s="26" t="n">
        <x:v>0.39997827591274837</x:v>
      </x:c>
      <x:c r="F334" s="22" t="n">
        <x:v>10</x:v>
      </x:c>
      <x:c r="G334" s="22" t="n">
        <x:v>253</x:v>
      </x:c>
      <x:c r="H334" s="22" t="n">
        <x:v>20</x:v>
      </x:c>
      <x:c r="I334" s="22" t="n">
        <x:v>8</x:v>
      </x:c>
      <x:c r="J334" s="22" t="n">
        <x:f>'02_人物原始合计'!AG334+'02_人物原始合计'!AH334</x:f>
        <x:v>15</x:v>
      </x:c>
      <x:c r="K334" s="28" t="n">
        <x:f>'02_人物原始合计'!F334*(1+'02_人物原始合计'!Q334/100)</x:f>
        <x:v>3799787.84</x:v>
      </x:c>
      <x:c r="L334" s="28" t="n">
        <x:f>'02_人物原始合计'!K334*(1+'02_人物原始合计'!AV334/100)</x:f>
        <x:v>33086213.999999996</x:v>
      </x:c>
      <x:c r="M334" s="22" t="n">
        <x:f>MAX(0,MIN(50,'02_人物原始合计'!AD334,20+MIN(30,'02_人物原始合计'!AE334)))</x:f>
        <x:v>35</x:v>
      </x:c>
      <x:c r="N334" s="22" t="n">
        <x:f>IF(M334=0,1.75,IF(M334=10,2.2,IF(M334=20,2.9,IF(M334=30,4.3,IF(M334=40,8.5,IF(M334=50,14.3,IF(M334&lt;=40,1000/('01_参数'!$B$21-'01_参数'!$B$22*M334),1000/(1000/8.5+(M334-40)/10*(1000/14.3-1000/8.5)))))))))</x:f>
        <x:v>5.721844270567132</x:v>
      </x:c>
      <x:c r="O334" s="22" t="n">
        <x:v>1168</x:v>
      </x:c>
      <x:c r="P334" s="26" t="n">
        <x:f>MAX(0,MIN('01_参数'!$B$20,'02_人物原始合计'!AM334/100,'01_参数'!$B$19+'02_人物原始合计'!AN334/100))</x:f>
        <x:v>0.65</x:v>
      </x:c>
      <x:c r="Q334" s="28" t="n">
        <x:f>((('02_人物原始合计'!E334+('02_人物原始合计'!F334-'02_人物原始合计'!E334)*IF(J334&gt;=12,1,0.5+0.5*MAX(0,J334)/12))*(1+'02_人物原始合计'!Q334/100))*(1+'02_人物原始合计'!U334/100+IF(J334&gt;=15,0.15,0))*(1+'02_人物原始合计'!V334/100)*(1+'02_人物原始合计'!T334)*(1+'02_人物原始合计'!W334*'01_参数'!$B$18)*(1+MAX(0,MIN(1,'02_人物原始合计'!X334/100))*('01_参数'!$B$16+'02_人物原始合计'!Y334/100-1))*(1+MAX(0,MIN(1,'02_人物原始合计'!Z334/100))*('01_参数'!$B$17+'02_人物原始合计'!AA334/100-1))+'02_人物原始合计'!AB334)*N334*'01_参数'!$B$7*'01_参数'!$B$8</x:f>
        <x:v>7709189309.788732</x:v>
      </x:c>
      <x:c r="R334" s="28" t="n">
        <x:f>Q334*'01_参数'!$B$5</x:f>
        <x:v>15418378619.577463</x:v>
      </x:c>
      <x:c r="S334" s="28" t="n">
        <x:f>(('02_人物原始合计'!E334+('02_人物原始合计'!F334-'02_人物原始合计'!E334)*IF(J334&gt;=12,1,0.5+0.5*MAX(0,J334)/12))*(1+'02_人物原始合计'!Q334/100))*(1+'02_人物原始合计'!U334/100+IF(J334&gt;=15,0.15,0))*(1+'02_人物原始合计'!V334/100)*(1+'02_人物原始合计'!T334)*(1+'02_人物原始合计'!W334*'01_参数'!$B$18)*(1+MAX(0,MIN(1,'02_人物原始合计'!X334/100))*('01_参数'!$B$16+'02_人物原始合计'!Y334/100-1))*(1+MAX(0,MIN(1,'02_人物原始合计'!Z334/100))*('01_参数'!$B$17+'02_人物原始合计'!AA334/100-1))*N334*'01_参数'!$B$7*'01_参数'!$B$8*MAX(0,'02_人物原始合计'!AO334/100)</x:f>
        <x:v>539643251.6852113</x:v>
      </x:c>
      <x:c r="T334" s="28" t="n">
        <x:f>S334*'01_参数'!$B$6</x:f>
        <x:v>701536227.1907747</x:v>
      </x:c>
      <x:c r="U334" s="28" t="n">
        <x:v>0</x:v>
      </x:c>
      <x:c r="V334" s="28" t="n">
        <x:f>T334+U334</x:f>
        <x:v>701536227.1907747</x:v>
      </x:c>
      <x:c r="W334" s="22" t="n">
        <x:v>36</x:v>
      </x:c>
      <x:c r="X334" s="22" t="n">
        <x:v>334</x:v>
      </x:c>
      <x:c r="Y334" s="22" t="str">
        <x:v>主线</x:v>
      </x:c>
    </x:row>
    <x:row r="335" ht="24" customHeight="1">
      <x:c r="A335" s="22" t="str">
        <x:v>P0331</x:v>
      </x:c>
      <x:c r="B335" s="22" t="n">
        <x:v>10</x:v>
      </x:c>
      <x:c r="C335" s="22" t="n">
        <x:v>5</x:v>
      </x:c>
      <x:c r="D335" s="22" t="str">
        <x:v>黄金王宫BOSS装备快线</x:v>
      </x:c>
      <x:c r="E335" s="26" t="n">
        <x:v>0.412552545577892</x:v>
      </x:c>
      <x:c r="F335" s="22" t="n">
        <x:v>10</x:v>
      </x:c>
      <x:c r="G335" s="22" t="n">
        <x:v>253</x:v>
      </x:c>
      <x:c r="H335" s="22" t="n">
        <x:v>20</x:v>
      </x:c>
      <x:c r="I335" s="22" t="n">
        <x:v>8</x:v>
      </x:c>
      <x:c r="J335" s="22" t="n">
        <x:f>'02_人物原始合计'!AG335+'02_人物原始合计'!AH335</x:f>
        <x:v>15</x:v>
      </x:c>
      <x:c r="K335" s="28" t="n">
        <x:f>'02_人物原始合计'!F335*(1+'02_人物原始合计'!Q335/100)</x:f>
        <x:v>3840455.3200000003</x:v>
      </x:c>
      <x:c r="L335" s="28" t="n">
        <x:f>'02_人物原始合计'!K335*(1+'02_人物原始合计'!AV335/100)</x:f>
        <x:v>33429830.999999996</x:v>
      </x:c>
      <x:c r="M335" s="22" t="n">
        <x:f>MAX(0,MIN(50,'02_人物原始合计'!AD335,20+MIN(30,'02_人物原始合计'!AE335)))</x:f>
        <x:v>35</x:v>
      </x:c>
      <x:c r="N335" s="22" t="n">
        <x:f>IF(M335=0,1.75,IF(M335=10,2.2,IF(M335=20,2.9,IF(M335=30,4.3,IF(M335=40,8.5,IF(M335=50,14.3,IF(M335&lt;=40,1000/('01_参数'!$B$21-'01_参数'!$B$22*M335),1000/(1000/8.5+(M335-40)/10*(1000/14.3-1000/8.5)))))))))</x:f>
        <x:v>5.721844270567132</x:v>
      </x:c>
      <x:c r="O335" s="22" t="n">
        <x:v>1168</x:v>
      </x:c>
      <x:c r="P335" s="26" t="n">
        <x:f>MAX(0,MIN('01_参数'!$B$20,'02_人物原始合计'!AM335/100,'01_参数'!$B$19+'02_人物原始合计'!AN335/100))</x:f>
        <x:v>0.66</x:v>
      </x:c>
      <x:c r="Q335" s="28" t="n">
        <x:f>((('02_人物原始合计'!E335+('02_人物原始合计'!F335-'02_人物原始合计'!E335)*IF(J335&gt;=12,1,0.5+0.5*MAX(0,J335)/12))*(1+'02_人物原始合计'!Q335/100))*(1+'02_人物原始合计'!U335/100+IF(J335&gt;=15,0.15,0))*(1+'02_人物原始合计'!V335/100)*(1+'02_人物原始合计'!T335)*(1+'02_人物原始合计'!W335*'01_参数'!$B$18)*(1+MAX(0,MIN(1,'02_人物原始合计'!X335/100))*('01_参数'!$B$16+'02_人物原始合计'!Y335/100-1))*(1+MAX(0,MIN(1,'02_人物原始合计'!Z335/100))*('01_参数'!$B$17+'02_人物原始合计'!AA335/100-1))+'02_人物原始合计'!AB335)*N335*'01_参数'!$B$7*'01_参数'!$B$8</x:f>
        <x:v>7894061977.327515</x:v>
      </x:c>
      <x:c r="R335" s="28" t="n">
        <x:f>Q335*'01_参数'!$B$5</x:f>
        <x:v>15788123954.65503</x:v>
      </x:c>
      <x:c r="S335" s="28" t="n">
        <x:f>(('02_人物原始合计'!E335+('02_人物原始合计'!F335-'02_人物原始合计'!E335)*IF(J335&gt;=12,1,0.5+0.5*MAX(0,J335)/12))*(1+'02_人物原始合计'!Q335/100))*(1+'02_人物原始合计'!U335/100+IF(J335&gt;=15,0.15,0))*(1+'02_人物原始合计'!V335/100)*(1+'02_人物原始合计'!T335)*(1+'02_人物原始合计'!W335*'01_参数'!$B$18)*(1+MAX(0,MIN(1,'02_人物原始合计'!X335/100))*('01_参数'!$B$16+'02_人物原始合计'!Y335/100-1))*(1+MAX(0,MIN(1,'02_人物原始合计'!Z335/100))*('01_参数'!$B$17+'02_人物原始合计'!AA335/100-1))*N335*'01_参数'!$B$7*'01_参数'!$B$8*MAX(0,'02_人物原始合计'!AO335/100)</x:f>
        <x:v>552584338.4129261</x:v>
      </x:c>
      <x:c r="T335" s="28" t="n">
        <x:f>S335*'01_参数'!$B$6</x:f>
        <x:v>718359639.9368039</x:v>
      </x:c>
      <x:c r="U335" s="28" t="n">
        <x:v>0</x:v>
      </x:c>
      <x:c r="V335" s="28" t="n">
        <x:f>T335+U335</x:f>
        <x:v>718359639.9368039</x:v>
      </x:c>
      <x:c r="W335" s="22" t="n">
        <x:v>36</x:v>
      </x:c>
      <x:c r="X335" s="22" t="n">
        <x:v>334</x:v>
      </x:c>
      <x:c r="Y335" s="22" t="str">
        <x:v>C10G05BOSS强装对照</x:v>
      </x:c>
    </x:row>
    <x:row r="336" ht="24" customHeight="1">
      <x:c r="A336" s="22" t="str">
        <x:v>P0332</x:v>
      </x:c>
      <x:c r="B336" s="22" t="n">
        <x:v>10</x:v>
      </x:c>
      <x:c r="C336" s="22" t="n">
        <x:v>5</x:v>
      </x:c>
      <x:c r="D336" s="22" t="str">
        <x:v>黄金王宫阶段积累后</x:v>
      </x:c>
      <x:c r="E336" s="26" t="n">
        <x:v>0.47018897941664733</x:v>
      </x:c>
      <x:c r="F336" s="22" t="n">
        <x:v>10</x:v>
      </x:c>
      <x:c r="G336" s="22" t="n">
        <x:v>253</x:v>
      </x:c>
      <x:c r="H336" s="22" t="n">
        <x:v>20</x:v>
      </x:c>
      <x:c r="I336" s="22" t="n">
        <x:v>8</x:v>
      </x:c>
      <x:c r="J336" s="22" t="n">
        <x:f>'02_人物原始合计'!AG336+'02_人物原始合计'!AH336</x:f>
        <x:v>15</x:v>
      </x:c>
      <x:c r="K336" s="28" t="n">
        <x:f>'02_人物原始合计'!F336*(1+'02_人物原始合计'!Q336/100)</x:f>
        <x:v>4063965.14</x:v>
      </x:c>
      <x:c r="L336" s="28" t="n">
        <x:f>'02_人物原始合计'!K336*(1+'02_人物原始合计'!AV336/100)</x:f>
        <x:v>34918652</x:v>
      </x:c>
      <x:c r="M336" s="22" t="n">
        <x:f>MAX(0,MIN(50,'02_人物原始合计'!AD336,20+MIN(30,'02_人物原始合计'!AE336)))</x:f>
        <x:v>35</x:v>
      </x:c>
      <x:c r="N336" s="22" t="n">
        <x:f>IF(M336=0,1.75,IF(M336=10,2.2,IF(M336=20,2.9,IF(M336=30,4.3,IF(M336=40,8.5,IF(M336=50,14.3,IF(M336&lt;=40,1000/('01_参数'!$B$21-'01_参数'!$B$22*M336),1000/(1000/8.5+(M336-40)/10*(1000/14.3-1000/8.5)))))))))</x:f>
        <x:v>5.721844270567132</x:v>
      </x:c>
      <x:c r="O336" s="22" t="n">
        <x:v>1171</x:v>
      </x:c>
      <x:c r="P336" s="26" t="n">
        <x:f>MAX(0,MIN('01_参数'!$B$20,'02_人物原始合计'!AM336/100,'01_参数'!$B$19+'02_人物原始合计'!AN336/100))</x:f>
        <x:v>0.65</x:v>
      </x:c>
      <x:c r="Q336" s="28" t="n">
        <x:f>((('02_人物原始合计'!E336+('02_人物原始合计'!F336-'02_人物原始合计'!E336)*IF(J336&gt;=12,1,0.5+0.5*MAX(0,J336)/12))*(1+'02_人物原始合计'!Q336/100))*(1+'02_人物原始合计'!U336/100+IF(J336&gt;=15,0.15,0))*(1+'02_人物原始合计'!V336/100)*(1+'02_人物原始合计'!T336)*(1+'02_人物原始合计'!W336*'01_参数'!$B$18)*(1+MAX(0,MIN(1,'02_人物原始合计'!X336/100))*('01_参数'!$B$16+'02_人物原始合计'!Y336/100-1))*(1+MAX(0,MIN(1,'02_人物原始合计'!Z336/100))*('01_参数'!$B$17+'02_人物原始合计'!AA336/100-1))+'02_人物原始合计'!AB336)*N336*'01_参数'!$B$7*'01_参数'!$B$8</x:f>
        <x:v>9803771333.1015</x:v>
      </x:c>
      <x:c r="R336" s="28" t="n">
        <x:f>Q336*'01_参数'!$B$5</x:f>
        <x:v>19607542666.203</x:v>
      </x:c>
      <x:c r="S336" s="28" t="n">
        <x:f>(('02_人物原始合计'!E336+('02_人物原始合计'!F336-'02_人物原始合计'!E336)*IF(J336&gt;=12,1,0.5+0.5*MAX(0,J336)/12))*(1+'02_人物原始合计'!Q336/100))*(1+'02_人物原始合计'!U336/100+IF(J336&gt;=15,0.15,0))*(1+'02_人物原始合计'!V336/100)*(1+'02_人物原始合计'!T336)*(1+'02_人物原始合计'!W336*'01_参数'!$B$18)*(1+MAX(0,MIN(1,'02_人物原始合计'!X336/100))*('01_参数'!$B$16+'02_人物原始合计'!Y336/100-1))*(1+MAX(0,MIN(1,'02_人物原始合计'!Z336/100))*('01_参数'!$B$17+'02_人物原始合计'!AA336/100-1))*N336*'01_参数'!$B$7*'01_参数'!$B$8*MAX(0,'02_人物原始合计'!AO336/100)</x:f>
        <x:v>686263993.317105</x:v>
      </x:c>
      <x:c r="T336" s="28" t="n">
        <x:f>S336*'01_参数'!$B$6</x:f>
        <x:v>892143191.3122365</x:v>
      </x:c>
      <x:c r="U336" s="28" t="n">
        <x:v>0</x:v>
      </x:c>
      <x:c r="V336" s="28" t="n">
        <x:f>T336+U336</x:f>
        <x:v>892143191.3122365</x:v>
      </x:c>
      <x:c r="W336" s="22" t="n">
        <x:v>38</x:v>
      </x:c>
      <x:c r="X336" s="22" t="n">
        <x:v>336</x:v>
      </x:c>
      <x:c r="Y336" s="22" t="str">
        <x:v>主线</x:v>
      </x:c>
    </x:row>
    <x:row r="337" ht="24" customHeight="1">
      <x:c r="A337" s="22" t="str">
        <x:v>P0333</x:v>
      </x:c>
      <x:c r="B337" s="22" t="n">
        <x:v>10</x:v>
      </x:c>
      <x:c r="C337" s="22" t="n">
        <x:v>5</x:v>
      </x:c>
      <x:c r="D337" s="22" t="str">
        <x:v>C10守关前必做制作完成</x:v>
      </x:c>
      <x:c r="E337" s="26" t="n">
        <x:v>0.47018897941664733</x:v>
      </x:c>
      <x:c r="F337" s="22" t="n">
        <x:v>10</x:v>
      </x:c>
      <x:c r="G337" s="22" t="n">
        <x:v>253</x:v>
      </x:c>
      <x:c r="H337" s="22" t="n">
        <x:v>20</x:v>
      </x:c>
      <x:c r="I337" s="22" t="n">
        <x:v>8</x:v>
      </x:c>
      <x:c r="J337" s="22" t="n">
        <x:f>'02_人物原始合计'!AG337+'02_人物原始合计'!AH337</x:f>
        <x:v>15</x:v>
      </x:c>
      <x:c r="K337" s="28" t="n">
        <x:f>'02_人物原始合计'!F337*(1+'02_人物原始合计'!Q337/100)</x:f>
        <x:v>4168645.65</x:v>
      </x:c>
      <x:c r="L337" s="28" t="n">
        <x:f>'02_人物原始合计'!K337*(1+'02_人物原始合计'!AV337/100)</x:f>
        <x:v>34918652</x:v>
      </x:c>
      <x:c r="M337" s="22" t="n">
        <x:f>MAX(0,MIN(50,'02_人物原始合计'!AD337,20+MIN(30,'02_人物原始合计'!AE337)))</x:f>
        <x:v>35</x:v>
      </x:c>
      <x:c r="N337" s="22" t="n">
        <x:f>IF(M337=0,1.75,IF(M337=10,2.2,IF(M337=20,2.9,IF(M337=30,4.3,IF(M337=40,8.5,IF(M337=50,14.3,IF(M337&lt;=40,1000/('01_参数'!$B$21-'01_参数'!$B$22*M337),1000/(1000/8.5+(M337-40)/10*(1000/14.3-1000/8.5)))))))))</x:f>
        <x:v>5.721844270567132</x:v>
      </x:c>
      <x:c r="O337" s="22" t="n">
        <x:v>1191</x:v>
      </x:c>
      <x:c r="P337" s="26" t="n">
        <x:f>MAX(0,MIN('01_参数'!$B$20,'02_人物原始合计'!AM337/100,'01_参数'!$B$19+'02_人物原始合计'!AN337/100))</x:f>
        <x:v>0.65</x:v>
      </x:c>
      <x:c r="Q337" s="28" t="n">
        <x:f>((('02_人物原始合计'!E337+('02_人物原始合计'!F337-'02_人物原始合计'!E337)*IF(J337&gt;=12,1,0.5+0.5*MAX(0,J337)/12))*(1+'02_人物原始合计'!Q337/100))*(1+'02_人物原始合计'!U337/100+IF(J337&gt;=15,0.15,0))*(1+'02_人物原始合计'!V337/100)*(1+'02_人物原始合计'!T337)*(1+'02_人物原始合计'!W337*'01_参数'!$B$18)*(1+MAX(0,MIN(1,'02_人物原始合计'!X337/100))*('01_参数'!$B$16+'02_人物原始合计'!Y337/100-1))*(1+MAX(0,MIN(1,'02_人物原始合计'!Z337/100))*('01_参数'!$B$17+'02_人物原始合计'!AA337/100-1))+'02_人物原始合计'!AB337)*N337*'01_参数'!$B$7*'01_参数'!$B$8</x:f>
        <x:v>10884333144.370777</x:v>
      </x:c>
      <x:c r="R337" s="28" t="n">
        <x:f>Q337*'01_参数'!$B$5</x:f>
        <x:v>21768666288.741554</x:v>
      </x:c>
      <x:c r="S337" s="28" t="n">
        <x:f>(('02_人物原始合计'!E337+('02_人物原始合计'!F337-'02_人物原始合计'!E337)*IF(J337&gt;=12,1,0.5+0.5*MAX(0,J337)/12))*(1+'02_人物原始合计'!Q337/100))*(1+'02_人物原始合计'!U337/100+IF(J337&gt;=15,0.15,0))*(1+'02_人物原始合计'!V337/100)*(1+'02_人物原始合计'!T337)*(1+'02_人物原始合计'!W337*'01_参数'!$B$18)*(1+MAX(0,MIN(1,'02_人物原始合计'!X337/100))*('01_参数'!$B$16+'02_人物原始合计'!Y337/100-1))*(1+MAX(0,MIN(1,'02_人物原始合计'!Z337/100))*('01_参数'!$B$17+'02_人物原始合计'!AA337/100-1))*N337*'01_参数'!$B$7*'01_参数'!$B$8*MAX(0,'02_人物原始合计'!AO337/100)</x:f>
        <x:v>870746651.5496622</x:v>
      </x:c>
      <x:c r="T337" s="28" t="n">
        <x:f>S337*'01_参数'!$B$6</x:f>
        <x:v>1131970647.014561</x:v>
      </x:c>
      <x:c r="U337" s="28" t="n">
        <x:v>0</x:v>
      </x:c>
      <x:c r="V337" s="28" t="n">
        <x:f>T337+U337</x:f>
        <x:v>1131970647.014561</x:v>
      </x:c>
      <x:c r="W337" s="22" t="n">
        <x:v>38</x:v>
      </x:c>
      <x:c r="X337" s="22" t="n">
        <x:v>336</x:v>
      </x:c>
      <x:c r="Y337" s="22" t="str">
        <x:v>主线</x:v>
      </x:c>
    </x:row>
    <x:row r="338" ht="24" customHeight="1">
      <x:c r="A338" s="22" t="str">
        <x:v>P0334</x:v>
      </x:c>
      <x:c r="B338" s="22" t="n">
        <x:v>10</x:v>
      </x:c>
      <x:c r="C338" s="22" t="n">
        <x:v>5</x:v>
      </x:c>
      <x:c r="D338" s="22" t="str">
        <x:v>C10约70%守关参考</x:v>
      </x:c>
      <x:c r="E338" s="26" t="n">
        <x:v>0.7197478029460591</x:v>
      </x:c>
      <x:c r="F338" s="22" t="n">
        <x:v>10</x:v>
      </x:c>
      <x:c r="G338" s="22" t="n">
        <x:v>253</x:v>
      </x:c>
      <x:c r="H338" s="22" t="n">
        <x:v>20</x:v>
      </x:c>
      <x:c r="I338" s="22" t="n">
        <x:v>8</x:v>
      </x:c>
      <x:c r="J338" s="22" t="n">
        <x:f>'02_人物原始合计'!AG338+'02_人物原始合计'!AH338</x:f>
        <x:v>15</x:v>
      </x:c>
      <x:c r="K338" s="28" t="n">
        <x:f>'02_人物原始合计'!F338*(1+'02_人物原始合计'!Q338/100)</x:f>
        <x:v>4252979.25</x:v>
      </x:c>
      <x:c r="L338" s="28" t="n">
        <x:f>'02_人物原始合计'!K338*(1+'02_人物原始合计'!AV338/100)</x:f>
        <x:v>35520732</x:v>
      </x:c>
      <x:c r="M338" s="22" t="n">
        <x:f>MAX(0,MIN(50,'02_人物原始合计'!AD338,20+MIN(30,'02_人物原始合计'!AE338)))</x:f>
        <x:v>35</x:v>
      </x:c>
      <x:c r="N338" s="22" t="n">
        <x:f>IF(M338=0,1.75,IF(M338=10,2.2,IF(M338=20,2.9,IF(M338=30,4.3,IF(M338=40,8.5,IF(M338=50,14.3,IF(M338&lt;=40,1000/('01_参数'!$B$21-'01_参数'!$B$22*M338),1000/(1000/8.5+(M338-40)/10*(1000/14.3-1000/8.5)))))))))</x:f>
        <x:v>5.721844270567132</x:v>
      </x:c>
      <x:c r="O338" s="22" t="n">
        <x:v>1401</x:v>
      </x:c>
      <x:c r="P338" s="26" t="n">
        <x:f>MAX(0,MIN('01_参数'!$B$20,'02_人物原始合计'!AM338/100,'01_参数'!$B$19+'02_人物原始合计'!AN338/100))</x:f>
        <x:v>0.65</x:v>
      </x:c>
      <x:c r="Q338" s="28" t="n">
        <x:f>((('02_人物原始合计'!E338+('02_人物原始合计'!F338-'02_人物原始合计'!E338)*IF(J338&gt;=12,1,0.5+0.5*MAX(0,J338)/12))*(1+'02_人物原始合计'!Q338/100))*(1+'02_人物原始合计'!U338/100+IF(J338&gt;=15,0.15,0))*(1+'02_人物原始合计'!V338/100)*(1+'02_人物原始合计'!T338)*(1+'02_人物原始合计'!W338*'01_参数'!$B$18)*(1+MAX(0,MIN(1,'02_人物原始合计'!X338/100))*('01_参数'!$B$16+'02_人物原始合计'!Y338/100-1))*(1+MAX(0,MIN(1,'02_人物原始合计'!Z338/100))*('01_参数'!$B$17+'02_人物原始合计'!AA338/100-1))+'02_人物原始合计'!AB338)*N338*'01_参数'!$B$7*'01_参数'!$B$8</x:f>
        <x:v>11714667070.803596</x:v>
      </x:c>
      <x:c r="R338" s="28" t="n">
        <x:f>Q338*'01_参数'!$B$5</x:f>
        <x:v>23429334141.607193</x:v>
      </x:c>
      <x:c r="S338" s="28" t="n">
        <x:f>(('02_人物原始合计'!E338+('02_人物原始合计'!F338-'02_人物原始合计'!E338)*IF(J338&gt;=12,1,0.5+0.5*MAX(0,J338)/12))*(1+'02_人物原始合计'!Q338/100))*(1+'02_人物原始合计'!U338/100+IF(J338&gt;=15,0.15,0))*(1+'02_人物原始合计'!V338/100)*(1+'02_人物原始合计'!T338)*(1+'02_人物原始合计'!W338*'01_参数'!$B$18)*(1+MAX(0,MIN(1,'02_人物原始合计'!X338/100))*('01_参数'!$B$16+'02_人物原始合计'!Y338/100-1))*(1+MAX(0,MIN(1,'02_人物原始合计'!Z338/100))*('01_参数'!$B$17+'02_人物原始合计'!AA338/100-1))*N338*'01_参数'!$B$7*'01_参数'!$B$8*MAX(0,'02_人物原始合计'!AO338/100)</x:f>
        <x:v>937173365.6642877</x:v>
      </x:c>
      <x:c r="T338" s="28" t="n">
        <x:f>S338*'01_参数'!$B$6</x:f>
        <x:v>1218325375.363574</x:v>
      </x:c>
      <x:c r="U338" s="28" t="n">
        <x:v>0</x:v>
      </x:c>
      <x:c r="V338" s="28" t="n">
        <x:f>T338+U338</x:f>
        <x:v>1218325375.363574</x:v>
      </x:c>
      <x:c r="W338" s="22" t="n">
        <x:v>38</x:v>
      </x:c>
      <x:c r="X338" s="22" t="n">
        <x:v>367</x:v>
      </x:c>
      <x:c r="Y338" s="22" t="str">
        <x:v>主线</x:v>
      </x:c>
    </x:row>
    <x:row r="339" ht="24" customHeight="1">
      <x:c r="A339" s="22" t="str">
        <x:v>P0335</x:v>
      </x:c>
      <x:c r="B339" s="22" t="n">
        <x:v>10</x:v>
      </x:c>
      <x:c r="C339" s="22" t="n">
        <x:v>5</x:v>
      </x:c>
      <x:c r="D339" s="22" t="str">
        <x:v>C10高完成度参考</x:v>
      </x:c>
      <x:c r="E339" s="26" t="n">
        <x:v>0.9351585326724126</x:v>
      </x:c>
      <x:c r="F339" s="22" t="n">
        <x:v>10</x:v>
      </x:c>
      <x:c r="G339" s="22" t="n">
        <x:v>253</x:v>
      </x:c>
      <x:c r="H339" s="22" t="n">
        <x:v>20</x:v>
      </x:c>
      <x:c r="I339" s="22" t="n">
        <x:v>8</x:v>
      </x:c>
      <x:c r="J339" s="22" t="n">
        <x:f>'02_人物原始合计'!AG339+'02_人物原始合计'!AH339</x:f>
        <x:v>15</x:v>
      </x:c>
      <x:c r="K339" s="28" t="n">
        <x:f>'02_人物原始合计'!F339*(1+'02_人物原始合计'!Q339/100)</x:f>
        <x:v>4803381.8</x:v>
      </x:c>
      <x:c r="L339" s="28" t="n">
        <x:f>'02_人物原始合计'!K339*(1+'02_人物原始合计'!AV339/100)</x:f>
        <x:v>37405640</x:v>
      </x:c>
      <x:c r="M339" s="22" t="n">
        <x:f>MAX(0,MIN(50,'02_人物原始合计'!AD339,20+MIN(30,'02_人物原始合计'!AE339)))</x:f>
        <x:v>35</x:v>
      </x:c>
      <x:c r="N339" s="22" t="n">
        <x:f>IF(M339=0,1.75,IF(M339=10,2.2,IF(M339=20,2.9,IF(M339=30,4.3,IF(M339=40,8.5,IF(M339=50,14.3,IF(M339&lt;=40,1000/('01_参数'!$B$21-'01_参数'!$B$22*M339),1000/(1000/8.5+(M339-40)/10*(1000/14.3-1000/8.5)))))))))</x:f>
        <x:v>5.721844270567132</x:v>
      </x:c>
      <x:c r="O339" s="22" t="n">
        <x:v>1484</x:v>
      </x:c>
      <x:c r="P339" s="26" t="n">
        <x:f>MAX(0,MIN('01_参数'!$B$20,'02_人物原始合计'!AM339/100,'01_参数'!$B$19+'02_人物原始合计'!AN339/100))</x:f>
        <x:v>0.69</x:v>
      </x:c>
      <x:c r="Q339" s="28" t="n">
        <x:f>((('02_人物原始合计'!E339+('02_人物原始合计'!F339-'02_人物原始合计'!E339)*IF(J339&gt;=12,1,0.5+0.5*MAX(0,J339)/12))*(1+'02_人物原始合计'!Q339/100))*(1+'02_人物原始合计'!U339/100+IF(J339&gt;=15,0.15,0))*(1+'02_人物原始合计'!V339/100)*(1+'02_人物原始合计'!T339)*(1+'02_人物原始合计'!W339*'01_参数'!$B$18)*(1+MAX(0,MIN(1,'02_人物原始合计'!X339/100))*('01_参数'!$B$16+'02_人物原始合计'!Y339/100-1))*(1+MAX(0,MIN(1,'02_人物原始合计'!Z339/100))*('01_参数'!$B$17+'02_人物原始合计'!AA339/100-1))+'02_人物原始合计'!AB339)*N339*'01_参数'!$B$7*'01_参数'!$B$8</x:f>
        <x:v>18537875184.372936</x:v>
      </x:c>
      <x:c r="R339" s="28" t="n">
        <x:f>Q339*'01_参数'!$B$5</x:f>
        <x:v>37075750368.74587</x:v>
      </x:c>
      <x:c r="S339" s="28" t="n">
        <x:f>(('02_人物原始合计'!E339+('02_人物原始合计'!F339-'02_人物原始合计'!E339)*IF(J339&gt;=12,1,0.5+0.5*MAX(0,J339)/12))*(1+'02_人物原始合计'!Q339/100))*(1+'02_人物原始合计'!U339/100+IF(J339&gt;=15,0.15,0))*(1+'02_人物原始合计'!V339/100)*(1+'02_人物原始合计'!T339)*(1+'02_人物原始合计'!W339*'01_参数'!$B$18)*(1+MAX(0,MIN(1,'02_人物原始合计'!X339/100))*('01_参数'!$B$16+'02_人物原始合计'!Y339/100-1))*(1+MAX(0,MIN(1,'02_人物原始合计'!Z339/100))*('01_参数'!$B$17+'02_人物原始合计'!AA339/100-1))*N339*'01_参数'!$B$7*'01_参数'!$B$8*MAX(0,'02_人物原始合计'!AO339/100)</x:f>
        <x:v>1483030014.749835</x:v>
      </x:c>
      <x:c r="T339" s="28" t="n">
        <x:f>S339*'01_参数'!$B$6</x:f>
        <x:v>1927939019.1747856</x:v>
      </x:c>
      <x:c r="U339" s="28" t="n">
        <x:v>0</x:v>
      </x:c>
      <x:c r="V339" s="28" t="n">
        <x:f>T339+U339</x:f>
        <x:v>1927939019.1747856</x:v>
      </x:c>
      <x:c r="W339" s="22" t="n">
        <x:v>38</x:v>
      </x:c>
      <x:c r="X339" s="22" t="n">
        <x:v>393</x:v>
      </x:c>
      <x:c r="Y339" s="22" t="str">
        <x:v>C10高完成度</x:v>
      </x:c>
    </x:row>
    <x:row r="340" ht="24" customHeight="1">
      <x:c r="A340" s="22" t="str">
        <x:v>P0336</x:v>
      </x:c>
      <x:c r="B340" s="22" t="n">
        <x:v>10</x:v>
      </x:c>
      <x:c r="C340" s="22" t="n">
        <x:v>5</x:v>
      </x:c>
      <x:c r="D340" s="22" t="str">
        <x:v>C10守关后继承</x:v>
      </x:c>
      <x:c r="E340" s="26" t="n">
        <x:v>0.7197478029460591</x:v>
      </x:c>
      <x:c r="F340" s="22" t="n">
        <x:v>10</x:v>
      </x:c>
      <x:c r="G340" s="22" t="n">
        <x:v>253</x:v>
      </x:c>
      <x:c r="H340" s="22" t="n">
        <x:v>20</x:v>
      </x:c>
      <x:c r="I340" s="22" t="n">
        <x:v>8</x:v>
      </x:c>
      <x:c r="J340" s="22" t="n">
        <x:f>'02_人物原始合计'!AG340+'02_人物原始合计'!AH340</x:f>
        <x:v>15</x:v>
      </x:c>
      <x:c r="K340" s="28" t="n">
        <x:f>'02_人物原始合计'!F340*(1+'02_人物原始合计'!Q340/100)</x:f>
        <x:v>4252979.25</x:v>
      </x:c>
      <x:c r="L340" s="28" t="n">
        <x:f>'02_人物原始合计'!K340*(1+'02_人物原始合计'!AV340/100)</x:f>
        <x:v>35520732</x:v>
      </x:c>
      <x:c r="M340" s="22" t="n">
        <x:f>MAX(0,MIN(50,'02_人物原始合计'!AD340,20+MIN(30,'02_人物原始合计'!AE340)))</x:f>
        <x:v>35</x:v>
      </x:c>
      <x:c r="N340" s="22" t="n">
        <x:f>IF(M340=0,1.75,IF(M340=10,2.2,IF(M340=20,2.9,IF(M340=30,4.3,IF(M340=40,8.5,IF(M340=50,14.3,IF(M340&lt;=40,1000/('01_参数'!$B$21-'01_参数'!$B$22*M340),1000/(1000/8.5+(M340-40)/10*(1000/14.3-1000/8.5)))))))))</x:f>
        <x:v>5.721844270567132</x:v>
      </x:c>
      <x:c r="O340" s="22" t="n">
        <x:v>1401</x:v>
      </x:c>
      <x:c r="P340" s="26" t="n">
        <x:f>MAX(0,MIN('01_参数'!$B$20,'02_人物原始合计'!AM340/100,'01_参数'!$B$19+'02_人物原始合计'!AN340/100))</x:f>
        <x:v>0.65</x:v>
      </x:c>
      <x:c r="Q340" s="28" t="n">
        <x:f>((('02_人物原始合计'!E340+('02_人物原始合计'!F340-'02_人物原始合计'!E340)*IF(J340&gt;=12,1,0.5+0.5*MAX(0,J340)/12))*(1+'02_人物原始合计'!Q340/100))*(1+'02_人物原始合计'!U340/100+IF(J340&gt;=15,0.15,0))*(1+'02_人物原始合计'!V340/100)*(1+'02_人物原始合计'!T340)*(1+'02_人物原始合计'!W340*'01_参数'!$B$18)*(1+MAX(0,MIN(1,'02_人物原始合计'!X340/100))*('01_参数'!$B$16+'02_人物原始合计'!Y340/100-1))*(1+MAX(0,MIN(1,'02_人物原始合计'!Z340/100))*('01_参数'!$B$17+'02_人物原始合计'!AA340/100-1))+'02_人物原始合计'!AB340)*N340*'01_参数'!$B$7*'01_参数'!$B$8</x:f>
        <x:v>11714667070.803596</x:v>
      </x:c>
      <x:c r="R340" s="28" t="n">
        <x:f>Q340*'01_参数'!$B$5</x:f>
        <x:v>23429334141.607193</x:v>
      </x:c>
      <x:c r="S340" s="28" t="n">
        <x:f>(('02_人物原始合计'!E340+('02_人物原始合计'!F340-'02_人物原始合计'!E340)*IF(J340&gt;=12,1,0.5+0.5*MAX(0,J340)/12))*(1+'02_人物原始合计'!Q340/100))*(1+'02_人物原始合计'!U340/100+IF(J340&gt;=15,0.15,0))*(1+'02_人物原始合计'!V340/100)*(1+'02_人物原始合计'!T340)*(1+'02_人物原始合计'!W340*'01_参数'!$B$18)*(1+MAX(0,MIN(1,'02_人物原始合计'!X340/100))*('01_参数'!$B$16+'02_人物原始合计'!Y340/100-1))*(1+MAX(0,MIN(1,'02_人物原始合计'!Z340/100))*('01_参数'!$B$17+'02_人物原始合计'!AA340/100-1))*N340*'01_参数'!$B$7*'01_参数'!$B$8*MAX(0,'02_人物原始合计'!AO340/100)</x:f>
        <x:v>937173365.6642877</x:v>
      </x:c>
      <x:c r="T340" s="28" t="n">
        <x:f>S340*'01_参数'!$B$6</x:f>
        <x:v>1218325375.363574</x:v>
      </x:c>
      <x:c r="U340" s="28" t="n">
        <x:v>0</x:v>
      </x:c>
      <x:c r="V340" s="28" t="n">
        <x:f>T340+U340</x:f>
        <x:v>1218325375.363574</x:v>
      </x:c>
      <x:c r="W340" s="22" t="n">
        <x:v>38</x:v>
      </x:c>
      <x:c r="X340" s="22" t="n">
        <x:v>367</x:v>
      </x:c>
      <x:c r="Y340" s="22" t="str">
        <x:v>主线</x:v>
      </x:c>
    </x:row>
  </x:sheetData>
  <x:mergeCells>
    <x:mergeCell ref="A1:Y1"/>
    <x:mergeCell ref="A2:Y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4" hidden="0" customWidth="1"/>
    <x:col min="4" max="4" width="12" hidden="0" customWidth="1"/>
    <x:col min="5" max="5" width="12" hidden="0" customWidth="1"/>
    <x:col min="6" max="6" width="54" hidden="0" customWidth="1"/>
    <x:col min="7" max="7" width="21" hidden="0" customWidth="1"/>
    <x:col min="8" max="8" width="21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44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32" customHeight="1">
      <x:c r="A1" s="3" t="str">
        <x:v>46地图组｜普通50%-70%与BOSS快线分开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4" customHeight="1">
      <x:c r="A2" s="8" t="str">
        <x:v>换装对照不新增图鉴、称号、神印、转生或洗练。部分普通件被既有合成装压住；不能把取得种数等同提升幅度。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4" ht="30" customHeight="1">
      <x:c r="A4" s="15" t="str">
        <x:v>大陆</x:v>
      </x:c>
      <x:c r="B4" s="15" t="str">
        <x:v>组序</x:v>
      </x:c>
      <x:c r="C4" s="15" t="str">
        <x:v>地图组</x:v>
      </x:c>
      <x:c r="D4" s="15" t="str">
        <x:v>普通池种数</x:v>
      </x:c>
      <x:c r="E4" s="15" t="str">
        <x:v>取得种数</x:v>
      </x:c>
      <x:c r="F4" s="15" t="str">
        <x:v>普通取得清单</x:v>
      </x:c>
      <x:c r="G4" s="15" t="str">
        <x:v>入场纯DPS</x:v>
      </x:c>
      <x:c r="H4" s="15" t="str">
        <x:v>换装后纯DPS</x:v>
      </x:c>
      <x:c r="I4" s="15" t="str">
        <x:v>输出比</x:v>
      </x:c>
      <x:c r="J4" s="15" t="str">
        <x:v>本组入场秒</x:v>
      </x:c>
      <x:c r="K4" s="15" t="str">
        <x:v>裸跳下组秒</x:v>
      </x:c>
      <x:c r="L4" s="15" t="str">
        <x:v>换装后下组秒</x:v>
      </x:c>
      <x:c r="M4" s="15" t="str">
        <x:v>裸跳相对压力</x:v>
      </x:c>
      <x:c r="N4" s="15" t="str">
        <x:v>等效血量比</x:v>
      </x:c>
      <x:c r="O4" s="15" t="str">
        <x:v>评估</x:v>
      </x:c>
      <x:c r="P4" s="15" t="str">
        <x:v>下组标尺来源</x:v>
      </x:c>
      <x:c r="Q4" s="15" t="str">
        <x:v>本组入场ID</x:v>
      </x:c>
      <x:c r="R4" s="15" t="str">
        <x:v>普通换装ID</x:v>
      </x:c>
    </x:row>
    <x:row r="5" ht="24" customHeight="1">
      <x:c r="A5" s="22" t="n">
        <x:v>1</x:v>
      </x:c>
      <x:c r="B5" s="22" t="n">
        <x:v>1</x:v>
      </x:c>
      <x:c r="C5" s="22" t="str">
        <x:v>失乡者海岸</x:v>
      </x:c>
      <x:c r="D5" s="22" t="n">
        <x:v>5</x:v>
      </x:c>
      <x:c r="E5" s="22" t="n">
        <x:v>3</x:v>
      </x:c>
      <x:c r="F5" s="22" t="str">
        <x:v>断桨骨链、漂流尸甲、猎犬骨戒</x:v>
      </x:c>
      <x:c r="G5" s="28" t="n">
        <x:v>11037.530288761616</x:v>
      </x:c>
      <x:c r="H5" s="28" t="n">
        <x:v>11638.24363758674</x:v>
      </x:c>
      <x:c r="I5" s="30" t="n">
        <x:f>H5/G5</x:f>
        <x:v>1.0544246161151438</x:v>
      </x:c>
      <x:c r="J5" s="32" t="n">
        <x:v>7.765894813831545</x:v>
      </x:c>
      <x:c r="K5" s="32" t="n">
        <x:v>7.7828202883102255</x:v>
      </x:c>
      <x:c r="L5" s="32" t="n">
        <x:v>7.386596658664583</x:v>
      </x:c>
      <x:c r="M5" s="30" t="n">
        <x:f>IF(L5&gt;0,K5/L5,"")</x:f>
        <x:v>1.0536408914626287</x:v>
      </x:c>
      <x:c r="N5" s="22" t="n">
        <x:v>1.563039031870213</x:v>
      </x:c>
      <x:c r="O5" s="22" t="str">
        <x:v>已持强装/普通提升有限；不强造额外门槛</x:v>
      </x:c>
      <x:c r="P5" s="22" t="str">
        <x:v>P0003</x:v>
      </x:c>
      <x:c r="Q5" s="22" t="str">
        <x:v>P0003</x:v>
      </x:c>
      <x:c r="R5" s="22" t="str">
        <x:v>P0004</x:v>
      </x:c>
    </x:row>
    <x:row r="6" ht="24" customHeight="1">
      <x:c r="A6" s="22" t="n">
        <x:v>1</x:v>
      </x:c>
      <x:c r="B6" s="22" t="n">
        <x:v>2</x:v>
      </x:c>
      <x:c r="C6" s="22" t="str">
        <x:v>风暴断崖</x:v>
      </x:c>
      <x:c r="D6" s="22" t="n">
        <x:v>6</x:v>
      </x:c>
      <x:c r="E6" s="22" t="n">
        <x:v>4</x:v>
      </x:c>
      <x:c r="F6" s="22" t="str">
        <x:v>鹰眼链、雷羽护腕、断崖束带、石蜥面巾</x:v>
      </x:c>
      <x:c r="G6" s="28" t="n">
        <x:v>11790.003590573533</x:v>
      </x:c>
      <x:c r="H6" s="28" t="n">
        <x:v>12985.545339631579</x:v>
      </x:c>
      <x:c r="I6" s="30" t="n">
        <x:f>H6/G6</x:f>
        <x:v>1.101403001269136</x:v>
      </x:c>
      <x:c r="J6" s="32" t="n">
        <x:v>7.29044939198038</x:v>
      </x:c>
      <x:c r="K6" s="32" t="n">
        <x:v>9.060630984581353</x:v>
      </x:c>
      <x:c r="L6" s="32" t="n">
        <x:v>8.219844554034664</x:v>
      </x:c>
      <x:c r="M6" s="30" t="n">
        <x:f>IF(L6&gt;0,K6/L6,"")</x:f>
        <x:v>1.1022873881640491</x:v>
      </x:c>
      <x:c r="N6" s="22" t="n">
        <x:v>1.94339324747488</x:v>
      </x:c>
      <x:c r="O6" s="22" t="str">
        <x:v>已持强装/普通提升有限；不强造额外门槛</x:v>
      </x:c>
      <x:c r="P6" s="22" t="str">
        <x:v>P0004</x:v>
      </x:c>
      <x:c r="Q6" s="22" t="str">
        <x:v>P0009</x:v>
      </x:c>
      <x:c r="R6" s="22" t="str">
        <x:v>P0010</x:v>
      </x:c>
    </x:row>
    <x:row r="7" ht="24" customHeight="1">
      <x:c r="A7" s="22" t="n">
        <x:v>1</x:v>
      </x:c>
      <x:c r="B7" s="22" t="n">
        <x:v>3</x:v>
      </x:c>
      <x:c r="C7" s="22" t="str">
        <x:v>沉没王庭</x:v>
      </x:c>
      <x:c r="D7" s="22" t="n">
        <x:v>6</x:v>
      </x:c>
      <x:c r="E7" s="22" t="n">
        <x:v>4</x:v>
      </x:c>
      <x:c r="F7" s="22" t="str">
        <x:v>溺亡王盔、沉宫项链、王庭秘戒、幽灯面巾</x:v>
      </x:c>
      <x:c r="G7" s="28" t="n">
        <x:v>13356.870253094088</x:v>
      </x:c>
      <x:c r="H7" s="28" t="n">
        <x:v>15201.531330396352</x:v>
      </x:c>
      <x:c r="I7" s="30" t="n">
        <x:f>H7/G7</x:f>
        <x:v>1.1381057869357496</x:v>
      </x:c>
      <x:c r="J7" s="32" t="n">
        <x:v>7.9876523943087605</x:v>
      </x:c>
      <x:c r="K7" s="32"/>
      <x:c r="L7" s="32"/>
      <x:c r="M7" s="30" t="str">
        <x:f>IF(L7&gt;0,K7/L7,"")</x:f>
      </x:c>
      <x:c r="N7" s="22" t="n">
        <x:v>1.7286359149311894</x:v>
      </x:c>
      <x:c r="O7" s="22" t="str">
        <x:v>末组，转入守关70%基准</x:v>
      </x:c>
      <x:c r="P7" s="22" t="str">
        <x:v>P0010</x:v>
      </x:c>
      <x:c r="Q7" s="22" t="str">
        <x:v>P0015</x:v>
      </x:c>
      <x:c r="R7" s="22" t="str">
        <x:v>P0016</x:v>
      </x:c>
    </x:row>
    <x:row r="8" ht="24" customHeight="1">
      <x:c r="A8" s="22" t="n">
        <x:v>2</x:v>
      </x:c>
      <x:c r="B8" s="22" t="n">
        <x:v>1</x:v>
      </x:c>
      <x:c r="C8" s="22" t="str">
        <x:v>漂流墓地</x:v>
      </x:c>
      <x:c r="D8" s="22" t="n">
        <x:v>6</x:v>
      </x:c>
      <x:c r="E8" s="22" t="n">
        <x:v>4</x:v>
      </x:c>
      <x:c r="F8" s="22" t="str">
        <x:v>褪色墓刃、漂腐寿衣、尖牙骨链、归乡弩戒</x:v>
      </x:c>
      <x:c r="G8" s="28" t="n">
        <x:v>17843.293413041392</x:v>
      </x:c>
      <x:c r="H8" s="28" t="n">
        <x:v>43200.111562237136</x:v>
      </x:c>
      <x:c r="I8" s="30" t="n">
        <x:f>H8/G8</x:f>
        <x:v>2.4210839648392954</x:v>
      </x:c>
      <x:c r="J8" s="32" t="n">
        <x:v>8.05171541001063</x:v>
      </x:c>
      <x:c r="K8" s="32" t="n">
        <x:v>19.457045097891804</x:v>
      </x:c>
      <x:c r="L8" s="32" t="n">
        <x:v>7.8167177302856174</x:v>
      </x:c>
      <x:c r="M8" s="30" t="n">
        <x:f>IF(L8&gt;0,K8/L8,"")</x:f>
        <x:v>2.489157952129462</x:v>
      </x:c>
      <x:c r="N8" s="22" t="n">
        <x:v>1.6096439210586577</x:v>
      </x:c>
      <x:c r="O8" s="22" t="str">
        <x:v>跳图压力明确</x:v>
      </x:c>
      <x:c r="P8" s="22" t="str">
        <x:v>P0027</x:v>
      </x:c>
      <x:c r="Q8" s="22" t="str">
        <x:v>P0027</x:v>
      </x:c>
      <x:c r="R8" s="22" t="str">
        <x:v>P0028</x:v>
      </x:c>
    </x:row>
    <x:row r="9" ht="24" customHeight="1">
      <x:c r="A9" s="22" t="n">
        <x:v>2</x:v>
      </x:c>
      <x:c r="B9" s="22" t="n">
        <x:v>2</x:v>
      </x:c>
      <x:c r="C9" s="22" t="str">
        <x:v>关卡前废墟</x:v>
      </x:c>
      <x:c r="D9" s="22" t="n">
        <x:v>6</x:v>
      </x:c>
      <x:c r="E9" s="22" t="n">
        <x:v>4</x:v>
      </x:c>
      <x:c r="F9" s="22" t="str">
        <x:v>关隘铁甲、破垒鹰链、流放腕铠、断旗马戒</x:v>
      </x:c>
      <x:c r="G9" s="28" t="n">
        <x:v>52587.70652134014</x:v>
      </x:c>
      <x:c r="H9" s="28" t="n">
        <x:v>65323.5906384958</x:v>
      </x:c>
      <x:c r="I9" s="30" t="n">
        <x:f>H9/G9</x:f>
        <x:v>1.242183676749383</x:v>
      </x:c>
      <x:c r="J9" s="32" t="n">
        <x:v>6.364308230615164</x:v>
      </x:c>
      <x:c r="K9" s="32" t="n">
        <x:v>10.57494053383124</x:v>
      </x:c>
      <x:c r="L9" s="32" t="n">
        <x:v>8.467652455500824</x:v>
      </x:c>
      <x:c r="M9" s="30" t="n">
        <x:f>IF(L9&gt;0,K9/L9,"")</x:f>
        <x:v>1.2488633171241532</x:v>
      </x:c>
      <x:c r="N9" s="22" t="n">
        <x:v>1.115499322419357</x:v>
      </x:c>
      <x:c r="O9" s="22" t="str">
        <x:v>跳图压力明确</x:v>
      </x:c>
      <x:c r="P9" s="22" t="str">
        <x:v>P0028</x:v>
      </x:c>
      <x:c r="Q9" s="22" t="str">
        <x:v>P0033</x:v>
      </x:c>
      <x:c r="R9" s="22" t="str">
        <x:v>P0034</x:v>
      </x:c>
    </x:row>
    <x:row r="10" ht="24" customHeight="1">
      <x:c r="A10" s="22" t="n">
        <x:v>2</x:v>
      </x:c>
      <x:c r="B10" s="22" t="n">
        <x:v>3</x:v>
      </x:c>
      <x:c r="C10" s="22" t="str">
        <x:v>迷雾丛林</x:v>
      </x:c>
      <x:c r="D10" s="22" t="n">
        <x:v>6</x:v>
      </x:c>
      <x:c r="E10" s="22" t="n">
        <x:v>4</x:v>
      </x:c>
      <x:c r="F10" s="22" t="str">
        <x:v>熊王战靴、古树祷链、半兽战勋、毒花巨盾</x:v>
      </x:c>
      <x:c r="G10" s="28" t="n">
        <x:v>75906.67294819966</x:v>
      </x:c>
      <x:c r="H10" s="28" t="n">
        <x:v>101086.6835580186</x:v>
      </x:c>
      <x:c r="I10" s="30" t="n">
        <x:f>H10/G10</x:f>
        <x:v>1.3317232811271063</x:v>
      </x:c>
      <x:c r="J10" s="32" t="n">
        <x:v>7.2395130724611265</x:v>
      </x:c>
      <x:c r="K10" s="32" t="n">
        <x:v>12.056719346662861</x:v>
      </x:c>
      <x:c r="L10" s="32" t="n">
        <x:v>8.94088072198201</x:v>
      </x:c>
      <x:c r="M10" s="30" t="n">
        <x:f>IF(L10&gt;0,K10/L10,"")</x:f>
        <x:v>1.348493478614502</x:v>
      </x:c>
      <x:c r="N10" s="22" t="n">
        <x:v>1.7228066673320692</x:v>
      </x:c>
      <x:c r="O10" s="22" t="str">
        <x:v>跳图压力明确</x:v>
      </x:c>
      <x:c r="P10" s="22" t="str">
        <x:v>P0034</x:v>
      </x:c>
      <x:c r="Q10" s="22" t="str">
        <x:v>P0039</x:v>
      </x:c>
      <x:c r="R10" s="22" t="str">
        <x:v>P0040</x:v>
      </x:c>
    </x:row>
    <x:row r="11" ht="24" customHeight="1">
      <x:c r="A11" s="22" t="n">
        <x:v>2</x:v>
      </x:c>
      <x:c r="B11" s="22" t="n">
        <x:v>4</x:v>
      </x:c>
      <x:c r="C11" s="22" t="str">
        <x:v>风暴山谷</x:v>
      </x:c>
      <x:c r="D11" s="22" t="n">
        <x:v>6</x:v>
      </x:c>
      <x:c r="E11" s="22" t="n">
        <x:v>4</x:v>
      </x:c>
      <x:c r="F11" s="22" t="str">
        <x:v>风羽战刃、雷羽战衣、巨人铁盔、风角骨戒</x:v>
      </x:c>
      <x:c r="G11" s="28" t="n">
        <x:v>156636.31975680563</x:v>
      </x:c>
      <x:c r="H11" s="28" t="n">
        <x:v>207077.49395775888</x:v>
      </x:c>
      <x:c r="I11" s="30" t="n">
        <x:f>H11/G11</x:f>
        <x:v>1.3220273195850647</x:v>
      </x:c>
      <x:c r="J11" s="32" t="n">
        <x:v>5.716214917862586</x:v>
      </x:c>
      <x:c r="K11" s="32" t="n">
        <x:v>10.93398328686472</x:v>
      </x:c>
      <x:c r="L11" s="32" t="n">
        <x:v>8.216521719142515</x:v>
      </x:c>
      <x:c r="M11" s="30" t="n">
        <x:f>IF(L11&gt;0,K11/L11,"")</x:f>
        <x:v>1.3307313800913074</x:v>
      </x:c>
      <x:c r="N11" s="22" t="n">
        <x:v>1.215375360576923</x:v>
      </x:c>
      <x:c r="O11" s="22" t="str">
        <x:v>跳图压力明确</x:v>
      </x:c>
      <x:c r="P11" s="22" t="str">
        <x:v>P0040</x:v>
      </x:c>
      <x:c r="Q11" s="22" t="str">
        <x:v>P0045</x:v>
      </x:c>
      <x:c r="R11" s="22" t="str">
        <x:v>P0046</x:v>
      </x:c>
    </x:row>
    <x:row r="12" ht="24" customHeight="1">
      <x:c r="A12" s="22" t="n">
        <x:v>2</x:v>
      </x:c>
      <x:c r="B12" s="22" t="n">
        <x:v>5</x:v>
      </x:c>
      <x:c r="C12" s="22" t="str">
        <x:v>史东薇尔王城</x:v>
      </x:c>
      <x:c r="D12" s="22" t="n">
        <x:v>6</x:v>
      </x:c>
      <x:c r="E12" s="22" t="n">
        <x:v>4</x:v>
      </x:c>
      <x:c r="F12" s="22" t="str">
        <x:v>流刑王刃、失乡斧铠、百指腕甲、禁卫誓戒</x:v>
      </x:c>
      <x:c r="G12" s="28" t="n">
        <x:v>241895.21344948007</x:v>
      </x:c>
      <x:c r="H12" s="28" t="n">
        <x:v>246047.24855976296</x:v>
      </x:c>
      <x:c r="I12" s="30" t="n">
        <x:f>H12/G12</x:f>
        <x:v>1.0171646021889973</x:v>
      </x:c>
      <x:c r="J12" s="32" t="n">
        <x:v>6.9702403546220095</x:v>
      </x:c>
      <x:c r="K12" s="32"/>
      <x:c r="L12" s="32"/>
      <x:c r="M12" s="30" t="str">
        <x:f>IF(L12&gt;0,K12/L12,"")</x:f>
      </x:c>
      <x:c r="N12" s="22" t="n">
        <x:v>1.0063237774030354</x:v>
      </x:c>
      <x:c r="O12" s="22" t="str">
        <x:v>末组，转入守关70%基准</x:v>
      </x:c>
      <x:c r="P12" s="22" t="str">
        <x:v>P0046</x:v>
      </x:c>
      <x:c r="Q12" s="22" t="str">
        <x:v>P0051</x:v>
      </x:c>
      <x:c r="R12" s="22" t="str">
        <x:v>P0052</x:v>
      </x:c>
    </x:row>
    <x:row r="13" ht="24" customHeight="1">
      <x:c r="A13" s="22" t="n">
        <x:v>3</x:v>
      </x:c>
      <x:c r="B13" s="22" t="n">
        <x:v>1</x:v>
      </x:c>
      <x:c r="C13" s="22" t="str">
        <x:v>西境荒原</x:v>
      </x:c>
      <x:c r="D13" s="22" t="n">
        <x:v>6</x:v>
      </x:c>
      <x:c r="E13" s="22" t="n">
        <x:v>4</x:v>
      </x:c>
      <x:c r="F13" s="22" t="str">
        <x:v>拾骨弯刀、断旗战链、掠风护腕、锈甲腰封</x:v>
      </x:c>
      <x:c r="G13" s="28" t="n">
        <x:v>417991.2907526159</x:v>
      </x:c>
      <x:c r="H13" s="28" t="n">
        <x:v>421783.9234735681</x:v>
      </x:c>
      <x:c r="I13" s="30" t="n">
        <x:f>H13/G13</x:f>
        <x:v>1.009073473071947</x:v>
      </x:c>
      <x:c r="J13" s="32" t="n">
        <x:v>7.617464545625496</x:v>
      </x:c>
      <x:c r="K13" s="32" t="n">
        <x:v>8.486071100052657</x:v>
      </x:c>
      <x:c r="L13" s="32" t="n">
        <x:v>8.40471710138457</x:v>
      </x:c>
      <x:c r="M13" s="30" t="n">
        <x:f>IF(L13&gt;0,K13/L13,"")</x:f>
        <x:v>1.0096795641883871</x:v>
      </x:c>
      <x:c r="N13" s="22" t="n">
        <x:v>0.9485582111241525</x:v>
      </x:c>
      <x:c r="O13" s="22" t="str">
        <x:v>已持强装/普通提升有限；不强造额外门槛</x:v>
      </x:c>
      <x:c r="P13" s="22" t="str">
        <x:v>P0063</x:v>
      </x:c>
      <x:c r="Q13" s="22" t="str">
        <x:v>P0063</x:v>
      </x:c>
      <x:c r="R13" s="22" t="str">
        <x:v>P0064</x:v>
      </x:c>
    </x:row>
    <x:row r="14" ht="24" customHeight="1">
      <x:c r="A14" s="22" t="n">
        <x:v>3</x:v>
      </x:c>
      <x:c r="B14" s="22" t="n">
        <x:v>2</x:v>
      </x:c>
      <x:c r="C14" s="22" t="str">
        <x:v>海风断崖</x:v>
      </x:c>
      <x:c r="D14" s="22" t="n">
        <x:v>6</x:v>
      </x:c>
      <x:c r="E14" s="22" t="n">
        <x:v>4</x:v>
      </x:c>
      <x:c r="F14" s="22" t="str">
        <x:v>盐晶短刃、裂羽护腕、潮穴石盾、海崖祷链</x:v>
      </x:c>
      <x:c r="G14" s="28" t="n">
        <x:v>469614.11023335264</x:v>
      </x:c>
      <x:c r="H14" s="28" t="n">
        <x:v>478543.2167430909</x:v>
      </x:c>
      <x:c r="I14" s="30" t="n">
        <x:f>H14/G14</x:f>
        <x:v>1.0190137100124639</x:v>
      </x:c>
      <x:c r="J14" s="32" t="n">
        <x:v>7.516300511347595</x:v>
      </x:c>
      <x:c r="K14" s="32" t="n">
        <x:v>8.137949425819953</x:v>
      </x:c>
      <x:c r="L14" s="32" t="n">
        <x:v>7.98643733549611</x:v>
      </x:c>
      <x:c r="M14" s="30" t="n">
        <x:f>IF(L14&gt;0,K14/L14,"")</x:f>
        <x:v>1.01897117374858</x:v>
      </x:c>
      <x:c r="N14" s="22" t="n">
        <x:v>0.8859305108755575</x:v>
      </x:c>
      <x:c r="O14" s="22" t="str">
        <x:v>已持强装/普通提升有限；不强造额外门槛</x:v>
      </x:c>
      <x:c r="P14" s="22" t="str">
        <x:v>P0064</x:v>
      </x:c>
      <x:c r="Q14" s="22" t="str">
        <x:v>P0069</x:v>
      </x:c>
      <x:c r="R14" s="22" t="str">
        <x:v>P0070</x:v>
      </x:c>
    </x:row>
    <x:row r="15" ht="24" customHeight="1">
      <x:c r="A15" s="22" t="n">
        <x:v>3</x:v>
      </x:c>
      <x:c r="B15" s="22" t="n">
        <x:v>3</x:v>
      </x:c>
      <x:c r="C15" s="22" t="str">
        <x:v>失落驿道</x:v>
      </x:c>
      <x:c r="D15" s="22" t="n">
        <x:v>6</x:v>
      </x:c>
      <x:c r="E15" s="22" t="n">
        <x:v>4</x:v>
      </x:c>
      <x:c r="F15" s="22" t="str">
        <x:v>驿骨短剑、荒商护符、驮货重甲、营火牙戒</x:v>
      </x:c>
      <x:c r="G15" s="28" t="n">
        <x:v>545556.0588677571</x:v>
      </x:c>
      <x:c r="H15" s="28" t="n">
        <x:v>547983.7821308656</x:v>
      </x:c>
      <x:c r="I15" s="30" t="n">
        <x:f>H15/G15</x:f>
        <x:v>1.0044499978025119</x:v>
      </x:c>
      <x:c r="J15" s="32" t="n">
        <x:v>6.966278127801574</x:v>
      </x:c>
      <x:c r="K15" s="32" t="n">
        <x:v>8.00238255210727</x:v>
      </x:c>
      <x:c r="L15" s="32" t="n">
        <x:v>7.974348919737018</x:v>
      </x:c>
      <x:c r="M15" s="30" t="n">
        <x:f>IF(L15&gt;0,K15/L15,"")</x:f>
        <x:v>1.0035154760159624</x:v>
      </x:c>
      <x:c r="N15" s="22" t="n">
        <x:v>0.8162138859693335</x:v>
      </x:c>
      <x:c r="O15" s="22" t="str">
        <x:v>已持强装/普通提升有限；不强造额外门槛</x:v>
      </x:c>
      <x:c r="P15" s="22" t="str">
        <x:v>P0070</x:v>
      </x:c>
      <x:c r="Q15" s="22" t="str">
        <x:v>P0075</x:v>
      </x:c>
      <x:c r="R15" s="22" t="str">
        <x:v>P0076</x:v>
      </x:c>
    </x:row>
    <x:row r="16" ht="24" customHeight="1">
      <x:c r="A16" s="22" t="n">
        <x:v>3</x:v>
      </x:c>
      <x:c r="B16" s="22" t="n">
        <x:v>4</x:v>
      </x:c>
      <x:c r="C16" s="22" t="str">
        <x:v>古战场遗迹</x:v>
      </x:c>
      <x:c r="D16" s="22" t="n">
        <x:v>6</x:v>
      </x:c>
      <x:c r="E16" s="22" t="n">
        <x:v>4</x:v>
      </x:c>
      <x:c r="F16" s="22" t="str">
        <x:v>残阵战刀、战壕骨甲、无首号角、英灵马靴</x:v>
      </x:c>
      <x:c r="G16" s="28" t="n">
        <x:v>639069.5582491329</x:v>
      </x:c>
      <x:c r="H16" s="28" t="n">
        <x:v>639069.5582491329</x:v>
      </x:c>
      <x:c r="I16" s="30" t="n">
        <x:f>H16/G16</x:f>
        <x:v>1</x:v>
      </x:c>
      <x:c r="J16" s="32" t="n">
        <x:v>6.77423564268693</x:v>
      </x:c>
      <x:c r="K16" s="32" t="n">
        <x:v>7.615823298803298</x:v>
      </x:c>
      <x:c r="L16" s="32" t="n">
        <x:v>7.615823298803298</x:v>
      </x:c>
      <x:c r="M16" s="30" t="n">
        <x:f>IF(L16&gt;0,K16/L16,"")</x:f>
        <x:v>1</x:v>
      </x:c>
      <x:c r="N16" s="22" t="n">
        <x:v>1</x:v>
      </x:c>
      <x:c r="O16" s="22" t="str">
        <x:v>已持强装/普通提升有限；不强造额外门槛</x:v>
      </x:c>
      <x:c r="P16" s="22" t="str">
        <x:v>P0076</x:v>
      </x:c>
      <x:c r="Q16" s="22" t="str">
        <x:v>P0081</x:v>
      </x:c>
      <x:c r="R16" s="22" t="str">
        <x:v>P0082</x:v>
      </x:c>
    </x:row>
    <x:row r="17" ht="24" customHeight="1">
      <x:c r="A17" s="22" t="n">
        <x:v>3</x:v>
      </x:c>
      <x:c r="B17" s="22" t="n">
        <x:v>5</x:v>
      </x:c>
      <x:c r="C17" s="22" t="str">
        <x:v>风蚀古垒</x:v>
      </x:c>
      <x:c r="D17" s="22" t="n">
        <x:v>6</x:v>
      </x:c>
      <x:c r="E17" s="22" t="n">
        <x:v>4</x:v>
      </x:c>
      <x:c r="F17" s="22" t="str">
        <x:v>古垒军刀、掘墓铁镯、边墙牙戒、铜门束带</x:v>
      </x:c>
      <x:c r="G17" s="28" t="n">
        <x:v>676475.7516674286</x:v>
      </x:c>
      <x:c r="H17" s="28" t="n">
        <x:v>678392.1787485043</x:v>
      </x:c>
      <x:c r="I17" s="30" t="n">
        <x:f>H17/G17</x:f>
        <x:v>1.0028329575396484</x:v>
      </x:c>
      <x:c r="J17" s="32" t="n">
        <x:v>7.16939493420063</x:v>
      </x:c>
      <x:c r="K17" s="32" t="n">
        <x:v>7.863199415716933</x:v>
      </x:c>
      <x:c r="L17" s="32" t="n">
        <x:v>7.83957212393013</x:v>
      </x:c>
      <x:c r="M17" s="30" t="n">
        <x:f>IF(L17&gt;0,K17/L17,"")</x:f>
        <x:v>1.0030138496608356</x:v>
      </x:c>
      <x:c r="N17" s="22" t="n">
        <x:v>1.0021783700666325</x:v>
      </x:c>
      <x:c r="O17" s="22" t="str">
        <x:v>已持强装/普通提升有限；不强造额外门槛</x:v>
      </x:c>
      <x:c r="P17" s="22" t="str">
        <x:v>P0082</x:v>
      </x:c>
      <x:c r="Q17" s="22" t="str">
        <x:v>P0087</x:v>
      </x:c>
      <x:c r="R17" s="22" t="str">
        <x:v>P0088</x:v>
      </x:c>
    </x:row>
    <x:row r="18" ht="24" customHeight="1">
      <x:c r="A18" s="22" t="n">
        <x:v>3</x:v>
      </x:c>
      <x:c r="B18" s="22" t="n">
        <x:v>6</x:v>
      </x:c>
      <x:c r="C18" s="22" t="str">
        <x:v>黄金树哨垒</x:v>
      </x:c>
      <x:c r="D18" s="22" t="n">
        <x:v>6</x:v>
      </x:c>
      <x:c r="E18" s="22" t="n">
        <x:v>4</x:v>
      </x:c>
      <x:c r="F18" s="22" t="str">
        <x:v>金叶军刃、圣露护腕、镀金羽冠、赐福战靴</x:v>
      </x:c>
      <x:c r="G18" s="28" t="n">
        <x:v>719723.0325697702</x:v>
      </x:c>
      <x:c r="H18" s="28" t="n">
        <x:v>719723.0325697702</x:v>
      </x:c>
      <x:c r="I18" s="30" t="n">
        <x:f>H18/G18</x:f>
        <x:v>1</x:v>
      </x:c>
      <x:c r="J18" s="32" t="n">
        <x:v>7.362460796022404</x:v>
      </x:c>
      <x:c r="K18" s="32"/>
      <x:c r="L18" s="32"/>
      <x:c r="M18" s="30" t="str">
        <x:f>IF(L18&gt;0,K18/L18,"")</x:f>
      </x:c>
      <x:c r="N18" s="22" t="n">
        <x:v>1</x:v>
      </x:c>
      <x:c r="O18" s="22" t="str">
        <x:v>末组，转入守关70%基准</x:v>
      </x:c>
      <x:c r="P18" s="22" t="str">
        <x:v>P0088</x:v>
      </x:c>
      <x:c r="Q18" s="22" t="str">
        <x:v>P0093</x:v>
      </x:c>
      <x:c r="R18" s="22" t="str">
        <x:v>P0094</x:v>
      </x:c>
    </x:row>
    <x:row r="19" ht="24" customHeight="1">
      <x:c r="A19" s="22" t="n">
        <x:v>4</x:v>
      </x:c>
      <x:c r="B19" s="22" t="n">
        <x:v>1</x:v>
      </x:c>
      <x:c r="C19" s="22" t="str">
        <x:v>雾潮湿地</x:v>
      </x:c>
      <x:c r="D19" s="22" t="n">
        <x:v>6</x:v>
      </x:c>
      <x:c r="E19" s="22" t="n">
        <x:v>4</x:v>
      </x:c>
      <x:c r="F19" s="22" t="str">
        <x:v>沼鹿苔冠、青壳沼盾、吸潮血戒、盲采藕刀</x:v>
      </x:c>
      <x:c r="G19" s="28" t="n">
        <x:v>1116003.1442509114</x:v>
      </x:c>
      <x:c r="H19" s="28" t="n">
        <x:v>1188952.9810875987</x:v>
      </x:c>
      <x:c r="I19" s="30" t="n">
        <x:f>H19/G19</x:f>
        <x:v>1.0653670531418198</x:v>
      </x:c>
      <x:c r="J19" s="32" t="n">
        <x:v>7.632893869067</x:v>
      </x:c>
      <x:c r="K19" s="32" t="n">
        <x:v>7.632893869067</x:v>
      </x:c>
      <x:c r="L19" s="32" t="n">
        <x:v>7.1596595441570505</x:v>
      </x:c>
      <x:c r="M19" s="30" t="n">
        <x:f>IF(L19&gt;0,K19/L19,"")</x:f>
        <x:v>1.0660973223644625</x:v>
      </x:c>
      <x:c r="N19" s="22" t="n">
        <x:v>1.0042337876910368</x:v>
      </x:c>
      <x:c r="O19" s="22" t="str">
        <x:v>已持强装/普通提升有限；不强造额外门槛</x:v>
      </x:c>
      <x:c r="P19" s="22" t="str">
        <x:v>P0105</x:v>
      </x:c>
      <x:c r="Q19" s="22" t="str">
        <x:v>P0105</x:v>
      </x:c>
      <x:c r="R19" s="22" t="str">
        <x:v>P0106</x:v>
      </x:c>
    </x:row>
    <x:row r="20" ht="24" customHeight="1">
      <x:c r="A20" s="22" t="n">
        <x:v>4</x:v>
      </x:c>
      <x:c r="B20" s="22" t="n">
        <x:v>2</x:v>
      </x:c>
      <x:c r="C20" s="22" t="str">
        <x:v>沉湖遗迹</x:v>
      </x:c>
      <x:c r="D20" s="22" t="n">
        <x:v>6</x:v>
      </x:c>
      <x:c r="E20" s="22" t="n">
        <x:v>4</x:v>
      </x:c>
      <x:c r="F20" s="22" t="str">
        <x:v>拾碑短刃、藻纹石盔、浸廊手弩、沉钟祭袍</x:v>
      </x:c>
      <x:c r="G20" s="28" t="n">
        <x:v>1563148.4789663877</x:v>
      </x:c>
      <x:c r="H20" s="28" t="n">
        <x:v>1563148.4789663877</x:v>
      </x:c>
      <x:c r="I20" s="30" t="n">
        <x:f>H20/G20</x:f>
        <x:v>1</x:v>
      </x:c>
      <x:c r="J20" s="32" t="n">
        <x:v>5.413733235299019</x:v>
      </x:c>
      <x:c r="K20" s="32" t="n">
        <x:v>7.834499392555006</x:v>
      </x:c>
      <x:c r="L20" s="32" t="n">
        <x:v>7.834499392555006</x:v>
      </x:c>
      <x:c r="M20" s="30" t="n">
        <x:f>IF(L20&gt;0,K20/L20,"")</x:f>
        <x:v>1</x:v>
      </x:c>
      <x:c r="N20" s="22" t="n">
        <x:v>1</x:v>
      </x:c>
      <x:c r="O20" s="22" t="str">
        <x:v>已持强装/普通提升有限；不强造额外门槛</x:v>
      </x:c>
      <x:c r="P20" s="22" t="str">
        <x:v>P0106</x:v>
      </x:c>
      <x:c r="Q20" s="22" t="str">
        <x:v>P0111</x:v>
      </x:c>
      <x:c r="R20" s="22" t="str">
        <x:v>P0112</x:v>
      </x:c>
    </x:row>
    <x:row r="21" ht="24" customHeight="1">
      <x:c r="A21" s="22" t="n">
        <x:v>4</x:v>
      </x:c>
      <x:c r="B21" s="22" t="n">
        <x:v>3</x:v>
      </x:c>
      <x:c r="C21" s="22" t="str">
        <x:v>湖心沉船</x:v>
      </x:c>
      <x:c r="D21" s="22" t="n">
        <x:v>6</x:v>
      </x:c>
      <x:c r="E21" s="22" t="n">
        <x:v>4</x:v>
      </x:c>
      <x:c r="F21" s="22" t="str">
        <x:v>桅猴跳靴、凿舱铁锤、怨灯项链、墓舱壳盾</x:v>
      </x:c>
      <x:c r="G21" s="28" t="n">
        <x:v>1653042.001718448</x:v>
      </x:c>
      <x:c r="H21" s="28" t="n">
        <x:v>1671824.8198901499</x:v>
      </x:c>
      <x:c r="I21" s="30" t="n">
        <x:f>H21/G21</x:f>
        <x:v>1.0113625776914172</x:v>
      </x:c>
      <x:c r="J21" s="32" t="n">
        <x:v>7.382394644009692</x:v>
      </x:c>
      <x:c r="K21" s="32" t="n">
        <x:v>9.327910881136726</x:v>
      </x:c>
      <x:c r="L21" s="32" t="n">
        <x:v>9.219091202919087</x:v>
      </x:c>
      <x:c r="M21" s="30" t="n">
        <x:f>IF(L21&gt;0,K21/L21,"")</x:f>
        <x:v>1.0118037316067752</x:v>
      </x:c>
      <x:c r="N21" s="22" t="n">
        <x:v>1.0173063907957072</x:v>
      </x:c>
      <x:c r="O21" s="22" t="str">
        <x:v>已持强装/普通提升有限；不强造额外门槛</x:v>
      </x:c>
      <x:c r="P21" s="22" t="str">
        <x:v>P0112</x:v>
      </x:c>
      <x:c r="Q21" s="22" t="str">
        <x:v>P0117</x:v>
      </x:c>
      <x:c r="R21" s="22" t="str">
        <x:v>P0118</x:v>
      </x:c>
    </x:row>
    <x:row r="22" ht="24" customHeight="1">
      <x:c r="A22" s="22" t="n">
        <x:v>4</x:v>
      </x:c>
      <x:c r="B22" s="22" t="n">
        <x:v>4</x:v>
      </x:c>
      <x:c r="C22" s="22" t="str">
        <x:v>幽灵船骸</x:v>
      </x:c>
      <x:c r="D22" s="22" t="n">
        <x:v>6</x:v>
      </x:c>
      <x:c r="E22" s="22" t="n">
        <x:v>4</x:v>
      </x:c>
      <x:c r="F22" s="22" t="str">
        <x:v>磷火腕铠、骨鸥喙盔、舀魂铜瓢、梦蛾踏水靴</x:v>
      </x:c>
      <x:c r="G22" s="28" t="n">
        <x:v>1966734.3155119522</x:v>
      </x:c>
      <x:c r="H22" s="28" t="n">
        <x:v>1966734.3155119522</x:v>
      </x:c>
      <x:c r="I22" s="30" t="n">
        <x:f>H22/G22</x:f>
        <x:v>1</x:v>
      </x:c>
      <x:c r="J22" s="32" t="n">
        <x:v>7.7634237906024195</x:v>
      </x:c>
      <x:c r="K22" s="32" t="n">
        <x:v>9.064184857975947</x:v>
      </x:c>
      <x:c r="L22" s="32" t="n">
        <x:v>9.064184857975947</x:v>
      </x:c>
      <x:c r="M22" s="30" t="n">
        <x:f>IF(L22&gt;0,K22/L22,"")</x:f>
        <x:v>1</x:v>
      </x:c>
      <x:c r="N22" s="22" t="n">
        <x:v>1</x:v>
      </x:c>
      <x:c r="O22" s="22" t="str">
        <x:v>已持强装/普通提升有限；不强造额外门槛</x:v>
      </x:c>
      <x:c r="P22" s="22" t="str">
        <x:v>P0118</x:v>
      </x:c>
      <x:c r="Q22" s="22" t="str">
        <x:v>P0123</x:v>
      </x:c>
      <x:c r="R22" s="22" t="str">
        <x:v>P0124</x:v>
      </x:c>
    </x:row>
    <x:row r="23" ht="24" customHeight="1">
      <x:c r="A23" s="22" t="n">
        <x:v>4</x:v>
      </x:c>
      <x:c r="B23" s="22" t="n">
        <x:v>5</x:v>
      </x:c>
      <x:c r="C23" s="22" t="str">
        <x:v>深湖水道</x:v>
      </x:c>
      <x:c r="D23" s="22" t="n">
        <x:v>6</x:v>
      </x:c>
      <x:c r="E23" s="22" t="n">
        <x:v>4</x:v>
      </x:c>
      <x:c r="F23" s="22" t="str">
        <x:v>鳗皮束腰、月蛙刺弩、拾珠客斗笠、伏流鳞靴</x:v>
      </x:c>
      <x:c r="G23" s="28" t="n">
        <x:v>2179373.92410128</x:v>
      </x:c>
      <x:c r="H23" s="28" t="n">
        <x:v>2195132.0963001247</x:v>
      </x:c>
      <x:c r="I23" s="30" t="n">
        <x:f>H23/G23</x:f>
        <x:v>1.007230595917744</x:v>
      </x:c>
      <x:c r="J23" s="32" t="n">
        <x:v>8.132924365356475</x:v>
      </x:c>
      <x:c r="K23" s="32" t="n">
        <x:v>7.45278924227313</x:v>
      </x:c>
      <x:c r="L23" s="32" t="n">
        <x:v>7.395832921177106</x:v>
      </x:c>
      <x:c r="M23" s="30" t="n">
        <x:f>IF(L23&gt;0,K23/L23,"")</x:f>
        <x:v>1.0077011368027171</x:v>
      </x:c>
      <x:c r="N23" s="22" t="n">
        <x:v>0.9406199770378876</x:v>
      </x:c>
      <x:c r="O23" s="22" t="str">
        <x:v>已持强装/普通提升有限；不强造额外门槛</x:v>
      </x:c>
      <x:c r="P23" s="22" t="str">
        <x:v>P0124</x:v>
      </x:c>
      <x:c r="Q23" s="22" t="str">
        <x:v>P0129</x:v>
      </x:c>
      <x:c r="R23" s="22" t="str">
        <x:v>P0130</x:v>
      </x:c>
    </x:row>
    <x:row r="24" ht="24" customHeight="1">
      <x:c r="A24" s="22" t="n">
        <x:v>4</x:v>
      </x:c>
      <x:c r="B24" s="22" t="n">
        <x:v>6</x:v>
      </x:c>
      <x:c r="C24" s="22" t="str">
        <x:v>湖底密道</x:v>
      </x:c>
      <x:c r="D24" s="22" t="n">
        <x:v>6</x:v>
      </x:c>
      <x:c r="E24" s="22" t="n">
        <x:v>4</x:v>
      </x:c>
      <x:c r="F24" s="22" t="str">
        <x:v>潜壁短钩、穴龟石盾、幽灯鱼坠、封门泥履</x:v>
      </x:c>
      <x:c r="G24" s="28" t="n">
        <x:v>2483447.756421136</x:v>
      </x:c>
      <x:c r="H24" s="28" t="n">
        <x:v>2483447.756421136</x:v>
      </x:c>
      <x:c r="I24" s="30" t="n">
        <x:f>H24/G24</x:f>
        <x:v>1</x:v>
      </x:c>
      <x:c r="J24" s="32" t="n">
        <x:v>6.505883069319995</x:v>
      </x:c>
      <x:c r="K24" s="32"/>
      <x:c r="L24" s="32"/>
      <x:c r="M24" s="30" t="str">
        <x:f>IF(L24&gt;0,K24/L24,"")</x:f>
      </x:c>
      <x:c r="N24" s="22" t="n">
        <x:v>1</x:v>
      </x:c>
      <x:c r="O24" s="22" t="str">
        <x:v>末组，转入守关70%基准</x:v>
      </x:c>
      <x:c r="P24" s="22" t="str">
        <x:v>P0130</x:v>
      </x:c>
      <x:c r="Q24" s="22" t="str">
        <x:v>P0135</x:v>
      </x:c>
      <x:c r="R24" s="22" t="str">
        <x:v>P0136</x:v>
      </x:c>
    </x:row>
    <x:row r="25" ht="24" customHeight="1">
      <x:c r="A25" s="22" t="n">
        <x:v>5</x:v>
      </x:c>
      <x:c r="B25" s="22" t="n">
        <x:v>1</x:v>
      </x:c>
      <x:c r="C25" s="22" t="str">
        <x:v>雾月水庭</x:v>
      </x:c>
      <x:c r="D25" s="22" t="n">
        <x:v>6</x:v>
      </x:c>
      <x:c r="E25" s="22" t="n">
        <x:v>4</x:v>
      </x:c>
      <x:c r="F25" s="22" t="str">
        <x:v>雾汐踏波履、苔纹潮壳盾、凝露蛾月坠、静盏银纹镯</x:v>
      </x:c>
      <x:c r="G25" s="28" t="n">
        <x:v>5448453.766371092</x:v>
      </x:c>
      <x:c r="H25" s="28" t="n">
        <x:v>5478258.36803786</x:v>
      </x:c>
      <x:c r="I25" s="30" t="n">
        <x:f>H25/G25</x:f>
        <x:v>1.0054702862398737</x:v>
      </x:c>
      <x:c r="J25" s="32" t="n">
        <x:v>8.002707332422618</x:v>
      </x:c>
      <x:c r="K25" s="32" t="n">
        <x:v>7.6209692852648185</x:v>
      </x:c>
      <x:c r="L25" s="32" t="n">
        <x:v>7.576840995160704</x:v>
      </x:c>
      <x:c r="M25" s="30" t="n">
        <x:f>IF(L25&gt;0,K25/L25,"")</x:f>
        <x:v>1.0058241013810767</x:v>
      </x:c>
      <x:c r="N25" s="22" t="n">
        <x:v>1.0123969542508338</x:v>
      </x:c>
      <x:c r="O25" s="22" t="str">
        <x:v>已持强装/普通提升有限；不强造额外门槛</x:v>
      </x:c>
      <x:c r="P25" s="22" t="str">
        <x:v>P0147</x:v>
      </x:c>
      <x:c r="Q25" s="22" t="str">
        <x:v>P0147</x:v>
      </x:c>
      <x:c r="R25" s="22" t="str">
        <x:v>P0148</x:v>
      </x:c>
    </x:row>
    <x:row r="26" ht="24" customHeight="1">
      <x:c r="A26" s="22" t="n">
        <x:v>5</x:v>
      </x:c>
      <x:c r="B26" s="22" t="n">
        <x:v>2</x:v>
      </x:c>
      <x:c r="C26" s="22" t="str">
        <x:v>辉石遗迹</x:v>
      </x:c>
      <x:c r="D26" s="22" t="n">
        <x:v>6</x:v>
      </x:c>
      <x:c r="E26" s="22" t="n">
        <x:v>4</x:v>
      </x:c>
      <x:c r="F26" s="22" t="str">
        <x:v>碎辉鳞踏靴、折光翅晶链、辉壳束腰、悬晶祭辉笠</x:v>
      </x:c>
      <x:c r="G26" s="28" t="n">
        <x:v>6168563.847360368</x:v>
      </x:c>
      <x:c r="H26" s="28" t="n">
        <x:v>6185866.4716179</x:v>
      </x:c>
      <x:c r="I26" s="30" t="n">
        <x:f>H26/G26</x:f>
        <x:v>1.0028049680096829</x:v>
      </x:c>
      <x:c r="J26" s="32" t="n">
        <x:v>6.6970403848918965</x:v>
      </x:c>
      <x:c r="K26" s="32" t="n">
        <x:v>8.320040398395127</x:v>
      </x:c>
      <x:c r="L26" s="32" t="n">
        <x:v>8.295290598108563</x:v>
      </x:c>
      <x:c r="M26" s="30" t="n">
        <x:f>IF(L26&gt;0,K26/L26,"")</x:f>
        <x:v>1.0029835965351481</x:v>
      </x:c>
      <x:c r="N26" s="22" t="n">
        <x:v>1.0047315847888312</x:v>
      </x:c>
      <x:c r="O26" s="22" t="str">
        <x:v>已持强装/普通提升有限；不强造额外门槛</x:v>
      </x:c>
      <x:c r="P26" s="22" t="str">
        <x:v>P0148</x:v>
      </x:c>
      <x:c r="Q26" s="22" t="str">
        <x:v>P0153</x:v>
      </x:c>
      <x:c r="R26" s="22" t="str">
        <x:v>P0154</x:v>
      </x:c>
    </x:row>
    <x:row r="27" ht="24" customHeight="1">
      <x:c r="A27" s="22" t="n">
        <x:v>5</x:v>
      </x:c>
      <x:c r="B27" s="22" t="n">
        <x:v>3</x:v>
      </x:c>
      <x:c r="C27" s="22" t="str">
        <x:v>学院回廊</x:v>
      </x:c>
      <x:c r="D27" s="22" t="n">
        <x:v>6</x:v>
      </x:c>
      <x:c r="E27" s="22" t="n">
        <x:v>4</x:v>
      </x:c>
      <x:c r="F27" s="22" t="str">
        <x:v>墨羽校录笠、缄咒讲台盾、卷蠹轻步履、锁页秘文链</x:v>
      </x:c>
      <x:c r="G27" s="28" t="n">
        <x:v>10006813.465886122</x:v>
      </x:c>
      <x:c r="H27" s="28" t="n">
        <x:v>10040400.606794277</x:v>
      </x:c>
      <x:c r="I27" s="30" t="n">
        <x:f>H27/G27</x:f>
        <x:v>1.0033564272005926</x:v>
      </x:c>
      <x:c r="J27" s="32" t="n">
        <x:v>5.051368143551349</x:v>
      </x:c>
      <x:c r="K27" s="32" t="n">
        <x:v>8.508189841511754</x:v>
      </x:c>
      <x:c r="L27" s="32" t="n">
        <x:v>8.479546202930152</x:v>
      </x:c>
      <x:c r="M27" s="30" t="n">
        <x:f>IF(L27&gt;0,K27/L27,"")</x:f>
        <x:v>1.0033779683365254</x:v>
      </x:c>
      <x:c r="N27" s="22" t="n">
        <x:v>1.0016199578810951</x:v>
      </x:c>
      <x:c r="O27" s="22" t="str">
        <x:v>已持强装/普通提升有限；不强造额外门槛</x:v>
      </x:c>
      <x:c r="P27" s="22" t="str">
        <x:v>P0154</x:v>
      </x:c>
      <x:c r="Q27" s="22" t="str">
        <x:v>P0159</x:v>
      </x:c>
      <x:c r="R27" s="22" t="str">
        <x:v>P0160</x:v>
      </x:c>
    </x:row>
    <x:row r="28" ht="24" customHeight="1">
      <x:c r="A28" s="22" t="n">
        <x:v>5</x:v>
      </x:c>
      <x:c r="B28" s="22" t="n">
        <x:v>4</x:v>
      </x:c>
      <x:c r="C28" s="22" t="str">
        <x:v>满月书库</x:v>
      </x:c>
      <x:c r="D28" s="22" t="n">
        <x:v>6</x:v>
      </x:c>
      <x:c r="E28" s="22" t="n">
        <x:v>4</x:v>
      </x:c>
      <x:c r="F28" s="22" t="str">
        <x:v>月尘理卷履、银页书鸦笠、噤语灯芯坠、巡卷傀书盾</x:v>
      </x:c>
      <x:c r="G28" s="28" t="n">
        <x:v>12180334.45768217</x:v>
      </x:c>
      <x:c r="H28" s="28" t="n">
        <x:v>12180334.45768217</x:v>
      </x:c>
      <x:c r="I28" s="30" t="n">
        <x:f>H28/G28</x:f>
        <x:v>1</x:v>
      </x:c>
      <x:c r="J28" s="32" t="n">
        <x:v>6.923621443034126</x:v>
      </x:c>
      <x:c r="K28" s="32" t="n">
        <x:v>8.299477874050076</x:v>
      </x:c>
      <x:c r="L28" s="32" t="n">
        <x:v>8.299477874050076</x:v>
      </x:c>
      <x:c r="M28" s="30" t="n">
        <x:f>IF(L28&gt;0,K28/L28,"")</x:f>
        <x:v>1</x:v>
      </x:c>
      <x:c r="N28" s="22" t="n">
        <x:v>1</x:v>
      </x:c>
      <x:c r="O28" s="22" t="str">
        <x:v>已持强装/普通提升有限；不强造额外门槛</x:v>
      </x:c>
      <x:c r="P28" s="22" t="str">
        <x:v>P0160</x:v>
      </x:c>
      <x:c r="Q28" s="22" t="str">
        <x:v>P0165</x:v>
      </x:c>
      <x:c r="R28" s="22" t="str">
        <x:v>P0166</x:v>
      </x:c>
    </x:row>
    <x:row r="29" ht="24" customHeight="1">
      <x:c r="A29" s="22" t="n">
        <x:v>5</x:v>
      </x:c>
      <x:c r="B29" s="22" t="n">
        <x:v>5</x:v>
      </x:c>
      <x:c r="C29" s="22" t="str">
        <x:v>月影水宫</x:v>
      </x:c>
      <x:c r="D29" s="22" t="n">
        <x:v>6</x:v>
      </x:c>
      <x:c r="E29" s="22" t="n">
        <x:v>4</x:v>
      </x:c>
      <x:c r="F29" s="22" t="str">
        <x:v>月影鳞侍叉、月华流扇笠、澄潮祭步履、月镜游鱼戒</x:v>
      </x:c>
      <x:c r="G29" s="28" t="n">
        <x:v>12639028.434073638</x:v>
      </x:c>
      <x:c r="H29" s="28" t="n">
        <x:v>13086030.585459014</x:v>
      </x:c>
      <x:c r="I29" s="30" t="n">
        <x:f>H29/G29</x:f>
        <x:v>1.0353668127037599</x:v>
      </x:c>
      <x:c r="J29" s="32" t="n">
        <x:v>7.979708242913529</x:v>
      </x:c>
      <x:c r="K29" s="32" t="n">
        <x:v>8.205673012750491</x:v>
      </x:c>
      <x:c r="L29" s="32" t="n">
        <x:v>7.927273896469562</x:v>
      </x:c>
      <x:c r="M29" s="30" t="n">
        <x:f>IF(L29&gt;0,K29/L29,"")</x:f>
        <x:v>1.0351191493969845</x:v>
      </x:c>
      <x:c r="N29" s="22" t="n">
        <x:v>1.004535874644919</x:v>
      </x:c>
      <x:c r="O29" s="22" t="str">
        <x:v>已持强装/普通提升有限；不强造额外门槛</x:v>
      </x:c>
      <x:c r="P29" s="22" t="str">
        <x:v>P0166</x:v>
      </x:c>
      <x:c r="Q29" s="22" t="str">
        <x:v>P0171</x:v>
      </x:c>
      <x:c r="R29" s="22" t="str">
        <x:v>P0172</x:v>
      </x:c>
    </x:row>
    <x:row r="30" ht="24" customHeight="1">
      <x:c r="A30" s="22" t="n">
        <x:v>5</x:v>
      </x:c>
      <x:c r="B30" s="22" t="n">
        <x:v>6</x:v>
      </x:c>
      <x:c r="C30" s="22" t="str">
        <x:v>卡利亚禁域</x:v>
      </x:c>
      <x:c r="D30" s="22" t="n">
        <x:v>6</x:v>
      </x:c>
      <x:c r="E30" s="22" t="n">
        <x:v>4</x:v>
      </x:c>
      <x:c r="F30" s="22" t="str">
        <x:v>蓝焰逐影履、折月傀镜盾、银纹封庭镯、守星残灵戒</x:v>
      </x:c>
      <x:c r="G30" s="28" t="n">
        <x:v>14231902.60140644</x:v>
      </x:c>
      <x:c r="H30" s="28" t="n">
        <x:v>14231902.60140644</x:v>
      </x:c>
      <x:c r="I30" s="30" t="n">
        <x:f>H30/G30</x:f>
        <x:v>1</x:v>
      </x:c>
      <x:c r="J30" s="32" t="n">
        <x:v>7.25166822345714</x:v>
      </x:c>
      <x:c r="K30" s="32"/>
      <x:c r="L30" s="32"/>
      <x:c r="M30" s="30" t="str">
        <x:f>IF(L30&gt;0,K30/L30,"")</x:f>
      </x:c>
      <x:c r="N30" s="22" t="n">
        <x:v>1</x:v>
      </x:c>
      <x:c r="O30" s="22" t="str">
        <x:v>末组，转入守关70%基准</x:v>
      </x:c>
      <x:c r="P30" s="22" t="str">
        <x:v>P0172</x:v>
      </x:c>
      <x:c r="Q30" s="22" t="str">
        <x:v>P0177</x:v>
      </x:c>
      <x:c r="R30" s="22" t="str">
        <x:v>P0178</x:v>
      </x:c>
    </x:row>
    <x:row r="31" ht="24" customHeight="1">
      <x:c r="A31" s="22" t="n">
        <x:v>6</x:v>
      </x:c>
      <x:c r="B31" s="22" t="n">
        <x:v>1</x:v>
      </x:c>
      <x:c r="C31" s="22" t="str">
        <x:v>猩红熔原</x:v>
      </x:c>
      <x:c r="D31" s="22" t="n">
        <x:v>6</x:v>
      </x:c>
      <x:c r="E31" s="22" t="n">
        <x:v>4</x:v>
      </x:c>
      <x:c r="F31" s="22" t="str">
        <x:v>灰背灼牙、岩河鳞衣、赤螯腕甲、血尘猎靴</x:v>
      </x:c>
      <x:c r="G31" s="28" t="n">
        <x:v>43042343.205019936</x:v>
      </x:c>
      <x:c r="H31" s="28" t="n">
        <x:v>43042343.205019936</x:v>
      </x:c>
      <x:c r="I31" s="30" t="n">
        <x:f>H31/G31</x:f>
        <x:v>1</x:v>
      </x:c>
      <x:c r="J31" s="32" t="n">
        <x:v>8.387907752854106</x:v>
      </x:c>
      <x:c r="K31" s="32" t="n">
        <x:v>8.017852999051719</x:v>
      </x:c>
      <x:c r="L31" s="32" t="n">
        <x:v>8.017852999051719</x:v>
      </x:c>
      <x:c r="M31" s="30" t="n">
        <x:f>IF(L31&gt;0,K31/L31,"")</x:f>
        <x:v>1</x:v>
      </x:c>
      <x:c r="N31" s="22" t="n">
        <x:v>1</x:v>
      </x:c>
      <x:c r="O31" s="22" t="str">
        <x:v>已持强装/普通提升有限；不强造额外门槛</x:v>
      </x:c>
      <x:c r="P31" s="22" t="str">
        <x:v>P0189</x:v>
      </x:c>
      <x:c r="Q31" s="22" t="str">
        <x:v>P0189</x:v>
      </x:c>
      <x:c r="R31" s="22" t="str">
        <x:v>P0190</x:v>
      </x:c>
    </x:row>
    <x:row r="32" ht="24" customHeight="1">
      <x:c r="A32" s="22" t="n">
        <x:v>6</x:v>
      </x:c>
      <x:c r="B32" s="22" t="n">
        <x:v>2</x:v>
      </x:c>
      <x:c r="C32" s="22" t="str">
        <x:v>腐败火狱</x:v>
      </x:c>
      <x:c r="D32" s="22" t="n">
        <x:v>6</x:v>
      </x:c>
      <x:c r="E32" s="22" t="n">
        <x:v>4</x:v>
      </x:c>
      <x:c r="F32" s="22" t="str">
        <x:v>灼刑断刃、血菌腕轮、烙印斗笠、锁门重盾</x:v>
      </x:c>
      <x:c r="G32" s="28" t="n">
        <x:v>51943964.39132315</x:v>
      </x:c>
      <x:c r="H32" s="28" t="n">
        <x:v>52119198.88246729</x:v>
      </x:c>
      <x:c r="I32" s="30" t="n">
        <x:f>H32/G32</x:f>
        <x:v>1.0033735294022612</x:v>
      </x:c>
      <x:c r="J32" s="32" t="n">
        <x:v>6.631740141643692</x:v>
      </x:c>
      <x:c r="K32" s="32" t="n">
        <x:v>7.992303791221018</x:v>
      </x:c>
      <x:c r="L32" s="32" t="n">
        <x:v>7.963705363849075</x:v>
      </x:c>
      <x:c r="M32" s="30" t="n">
        <x:f>IF(L32&gt;0,K32/L32,"")</x:f>
        <x:v>1.0035910956100615</x:v>
      </x:c>
      <x:c r="N32" s="22" t="n">
        <x:v>1.00607485792671</x:v>
      </x:c>
      <x:c r="O32" s="22" t="str">
        <x:v>已持强装/普通提升有限；不强造额外门槛</x:v>
      </x:c>
      <x:c r="P32" s="22" t="str">
        <x:v>P0190</x:v>
      </x:c>
      <x:c r="Q32" s="22" t="str">
        <x:v>P0195</x:v>
      </x:c>
      <x:c r="R32" s="22" t="str">
        <x:v>P0196</x:v>
      </x:c>
    </x:row>
    <x:row r="33" ht="24" customHeight="1">
      <x:c r="A33" s="22" t="n">
        <x:v>6</x:v>
      </x:c>
      <x:c r="B33" s="22" t="n">
        <x:v>3</x:v>
      </x:c>
      <x:c r="C33" s="22" t="str">
        <x:v>红狮龙窟</x:v>
      </x:c>
      <x:c r="D33" s="22" t="n">
        <x:v>6</x:v>
      </x:c>
      <x:c r="E33" s="22" t="n">
        <x:v>4</x:v>
      </x:c>
      <x:c r="F33" s="22" t="str">
        <x:v>烬鳞护腕、崎路狮盔、火弩指环、护卵鳞衣</x:v>
      </x:c>
      <x:c r="G33" s="28" t="n">
        <x:v>64272043.588276245</x:v>
      </x:c>
      <x:c r="H33" s="28" t="n">
        <x:v>64272043.588276245</x:v>
      </x:c>
      <x:c r="I33" s="30" t="n">
        <x:f>H33/G33</x:f>
        <x:v>1</x:v>
      </x:c>
      <x:c r="J33" s="32" t="n">
        <x:v>6.380365683746756</x:v>
      </x:c>
      <x:c r="K33" s="32"/>
      <x:c r="L33" s="32"/>
      <x:c r="M33" s="30" t="str">
        <x:f>IF(L33&gt;0,K33/L33,"")</x:f>
      </x:c>
      <x:c r="N33" s="22" t="n">
        <x:v>1</x:v>
      </x:c>
      <x:c r="O33" s="22" t="str">
        <x:v>末组，转入守关70%基准</x:v>
      </x:c>
      <x:c r="P33" s="22" t="str">
        <x:v>P0196</x:v>
      </x:c>
      <x:c r="Q33" s="22" t="str">
        <x:v>P0201</x:v>
      </x:c>
      <x:c r="R33" s="22" t="str">
        <x:v>P0202</x:v>
      </x:c>
    </x:row>
    <x:row r="34" ht="24" customHeight="1">
      <x:c r="A34" s="22" t="n">
        <x:v>7</x:v>
      </x:c>
      <x:c r="B34" s="22" t="n">
        <x:v>1</x:v>
      </x:c>
      <x:c r="C34" s="22" t="str">
        <x:v>苍白雪原</x:v>
      </x:c>
      <x:c r="D34" s="22" t="n">
        <x:v>6</x:v>
      </x:c>
      <x:c r="E34" s="22" t="n">
        <x:v>4</x:v>
      </x:c>
      <x:c r="F34" s="22" t="str">
        <x:v>冻角护腕、放逐雪刃、白烛礼冠、苍鬃牙戒</x:v>
      </x:c>
      <x:c r="G34" s="28" t="n">
        <x:v>123220575.6500455</x:v>
      </x:c>
      <x:c r="H34" s="28" t="n">
        <x:v>123220575.6500455</x:v>
      </x:c>
      <x:c r="I34" s="30" t="n">
        <x:f>H34/G34</x:f>
        <x:v>1</x:v>
      </x:c>
      <x:c r="J34" s="32" t="n">
        <x:v>8.640793843183477</x:v>
      </x:c>
      <x:c r="K34" s="32" t="n">
        <x:v>7.77671445886513</x:v>
      </x:c>
      <x:c r="L34" s="32" t="n">
        <x:v>7.77671445886513</x:v>
      </x:c>
      <x:c r="M34" s="30" t="n">
        <x:f>IF(L34&gt;0,K34/L34,"")</x:f>
        <x:v>1</x:v>
      </x:c>
      <x:c r="N34" s="22" t="n">
        <x:v>1</x:v>
      </x:c>
      <x:c r="O34" s="22" t="str">
        <x:v>已持强装/普通提升有限；不强造额外门槛</x:v>
      </x:c>
      <x:c r="P34" s="22" t="str">
        <x:v>P0213</x:v>
      </x:c>
      <x:c r="Q34" s="22" t="str">
        <x:v>P0213</x:v>
      </x:c>
      <x:c r="R34" s="22" t="str">
        <x:v>P0214</x:v>
      </x:c>
    </x:row>
    <x:row r="35" ht="24" customHeight="1">
      <x:c r="A35" s="22" t="n">
        <x:v>7</x:v>
      </x:c>
      <x:c r="B35" s="22" t="n">
        <x:v>2</x:v>
      </x:c>
      <x:c r="C35" s="22" t="str">
        <x:v>永冻荒境</x:v>
      </x:c>
      <x:c r="D35" s="22" t="n">
        <x:v>6</x:v>
      </x:c>
      <x:c r="E35" s="22" t="n">
        <x:v>4</x:v>
      </x:c>
      <x:c r="F35" s="22" t="str">
        <x:v>流亡冰刀、逐光雪衣、守碑斗笠、霜牙指环</x:v>
      </x:c>
      <x:c r="G35" s="28" t="n">
        <x:v>143411518.91788718</x:v>
      </x:c>
      <x:c r="H35" s="28" t="n">
        <x:v>143814547.7317085</x:v>
      </x:c>
      <x:c r="I35" s="30" t="n">
        <x:f>H35/G35</x:f>
        <x:v>1.0028102959710794</x:v>
      </x:c>
      <x:c r="J35" s="32" t="n">
        <x:v>6.637193325257587</x:v>
      </x:c>
      <x:c r="K35" s="32" t="n">
        <x:v>7.795210350051023</x:v>
      </x:c>
      <x:c r="L35" s="32" t="n">
        <x:v>7.771955959226774</x:v>
      </x:c>
      <x:c r="M35" s="30" t="n">
        <x:f>IF(L35&gt;0,K35/L35,"")</x:f>
        <x:v>1.0029920898865416</x:v>
      </x:c>
      <x:c r="N35" s="22" t="n">
        <x:v>1.0035760550274588</x:v>
      </x:c>
      <x:c r="O35" s="22" t="str">
        <x:v>已持强装/普通提升有限；不强造额外门槛</x:v>
      </x:c>
      <x:c r="P35" s="22" t="str">
        <x:v>P0214</x:v>
      </x:c>
      <x:c r="Q35" s="22" t="str">
        <x:v>P0219</x:v>
      </x:c>
      <x:c r="R35" s="22" t="str">
        <x:v>P0220</x:v>
      </x:c>
    </x:row>
    <x:row r="36" ht="24" customHeight="1">
      <x:c r="A36" s="22" t="n">
        <x:v>7</x:v>
      </x:c>
      <x:c r="B36" s="22" t="n">
        <x:v>3</x:v>
      </x:c>
      <x:c r="C36" s="22" t="str">
        <x:v>极寒禁域</x:v>
      </x:c>
      <x:c r="D36" s="22" t="n">
        <x:v>6</x:v>
      </x:c>
      <x:c r="E36" s="22" t="n">
        <x:v>4</x:v>
      </x:c>
      <x:c r="F36" s="22" t="str">
        <x:v>冻喉牙刃、雾界斗笠、寒狱铁镯、巡界牙戒</x:v>
      </x:c>
      <x:c r="G36" s="28" t="n">
        <x:v>186855106.04690838</x:v>
      </x:c>
      <x:c r="H36" s="28" t="n">
        <x:v>186855106.04690838</x:v>
      </x:c>
      <x:c r="I36" s="30" t="n">
        <x:f>H36/G36</x:f>
        <x:v>1</x:v>
      </x:c>
      <x:c r="J36" s="32" t="n">
        <x:v>5.90373437589805</x:v>
      </x:c>
      <x:c r="K36" s="32"/>
      <x:c r="L36" s="32"/>
      <x:c r="M36" s="30" t="str">
        <x:f>IF(L36&gt;0,K36/L36,"")</x:f>
      </x:c>
      <x:c r="N36" s="22" t="n">
        <x:v>1</x:v>
      </x:c>
      <x:c r="O36" s="22" t="str">
        <x:v>末组，转入守关70%基准</x:v>
      </x:c>
      <x:c r="P36" s="22" t="str">
        <x:v>P0220</x:v>
      </x:c>
      <x:c r="Q36" s="22" t="str">
        <x:v>P0225</x:v>
      </x:c>
      <x:c r="R36" s="22" t="str">
        <x:v>P0226</x:v>
      </x:c>
    </x:row>
    <x:row r="37" ht="24" customHeight="1">
      <x:c r="A37" s="22" t="n">
        <x:v>8</x:v>
      </x:c>
      <x:c r="B37" s="22" t="n">
        <x:v>1</x:v>
      </x:c>
      <x:c r="C37" s="22" t="str">
        <x:v>寒霜山径</x:v>
      </x:c>
      <x:c r="D37" s="22" t="n">
        <x:v>6</x:v>
      </x:c>
      <x:c r="E37" s="22" t="n">
        <x:v>4</x:v>
      </x:c>
      <x:c r="F37" s="22" t="str">
        <x:v>霜蹄踏雪靴、拾荒冰镐、冻骨圆盾、青隼翎盔</x:v>
      </x:c>
      <x:c r="G37" s="28" t="n">
        <x:v>531402799.2732105</x:v>
      </x:c>
      <x:c r="H37" s="28" t="n">
        <x:v>531402799.2732105</x:v>
      </x:c>
      <x:c r="I37" s="30" t="n">
        <x:f>H37/G37</x:f>
        <x:v>1</x:v>
      </x:c>
      <x:c r="J37" s="32" t="n">
        <x:v>8.403526788584452</x:v>
      </x:c>
      <x:c r="K37" s="32" t="n">
        <x:v>8.003358846270908</x:v>
      </x:c>
      <x:c r="L37" s="32" t="n">
        <x:v>8.003358846270908</x:v>
      </x:c>
      <x:c r="M37" s="30" t="n">
        <x:f>IF(L37&gt;0,K37/L37,"")</x:f>
        <x:v>1</x:v>
      </x:c>
      <x:c r="N37" s="22" t="n">
        <x:v>1</x:v>
      </x:c>
      <x:c r="O37" s="22" t="str">
        <x:v>已持强装/普通提升有限；不强造额外门槛</x:v>
      </x:c>
      <x:c r="P37" s="22" t="str">
        <x:v>P0237</x:v>
      </x:c>
      <x:c r="Q37" s="22" t="str">
        <x:v>P0237</x:v>
      </x:c>
      <x:c r="R37" s="22" t="str">
        <x:v>P0238</x:v>
      </x:c>
    </x:row>
    <x:row r="38" ht="24" customHeight="1">
      <x:c r="A38" s="22" t="n">
        <x:v>8</x:v>
      </x:c>
      <x:c r="B38" s="22" t="n">
        <x:v>2</x:v>
      </x:c>
      <x:c r="C38" s="22" t="str">
        <x:v>断冰峰群</x:v>
      </x:c>
      <x:c r="D38" s="22" t="n">
        <x:v>6</x:v>
      </x:c>
      <x:c r="E38" s="22" t="n">
        <x:v>4</x:v>
      </x:c>
      <x:c r="F38" s="22" t="str">
        <x:v>岩獾碎石履、负霜钉腰带、桥卒破冰弩、冰甲棱盾</x:v>
      </x:c>
      <x:c r="G38" s="28" t="n">
        <x:v>654425504.6789688</x:v>
      </x:c>
      <x:c r="H38" s="28" t="n">
        <x:v>654425504.6789688</x:v>
      </x:c>
      <x:c r="I38" s="30" t="n">
        <x:f>H38/G38</x:f>
        <x:v>1</x:v>
      </x:c>
      <x:c r="J38" s="32" t="n">
        <x:v>6.487034475131036</x:v>
      </x:c>
      <x:c r="K38" s="32" t="n">
        <x:v>7.764156965447796</x:v>
      </x:c>
      <x:c r="L38" s="32" t="n">
        <x:v>7.764156965447796</x:v>
      </x:c>
      <x:c r="M38" s="30" t="n">
        <x:f>IF(L38&gt;0,K38/L38,"")</x:f>
        <x:v>1</x:v>
      </x:c>
      <x:c r="N38" s="22" t="n">
        <x:v>1</x:v>
      </x:c>
      <x:c r="O38" s="22" t="str">
        <x:v>已持强装/普通提升有限；不强造额外门槛</x:v>
      </x:c>
      <x:c r="P38" s="22" t="str">
        <x:v>P0238</x:v>
      </x:c>
      <x:c r="Q38" s="22" t="str">
        <x:v>P0243</x:v>
      </x:c>
      <x:c r="R38" s="22" t="str">
        <x:v>P0244</x:v>
      </x:c>
    </x:row>
    <x:row r="39" ht="24" customHeight="1">
      <x:c r="A39" s="22" t="n">
        <x:v>8</x:v>
      </x:c>
      <x:c r="B39" s="22" t="n">
        <x:v>3</x:v>
      </x:c>
      <x:c r="C39" s="22" t="str">
        <x:v>冰宫王庭</x:v>
      </x:c>
      <x:c r="D39" s="22" t="n">
        <x:v>6</x:v>
      </x:c>
      <x:c r="E39" s="22" t="n">
        <x:v>4</x:v>
      </x:c>
      <x:c r="F39" s="22" t="str">
        <x:v>御阶雪铲、外廊纹冰盾、霜纱侍衣、寒灯侍履</x:v>
      </x:c>
      <x:c r="G39" s="28" t="n">
        <x:v>669133216.5486281</x:v>
      </x:c>
      <x:c r="H39" s="28" t="n">
        <x:v>676203125.2360297</x:v>
      </x:c>
      <x:c r="I39" s="30" t="n">
        <x:f>H39/G39</x:f>
        <x:v>1.0105657715273322</x:v>
      </x:c>
      <x:c r="J39" s="32" t="n">
        <x:v>7.582815739670171</x:v>
      </x:c>
      <x:c r="K39" s="32" t="n">
        <x:v>7.632266919702062</x:v>
      </x:c>
      <x:c r="L39" s="32" t="n">
        <x:v>7.54871608990223</x:v>
      </x:c>
      <x:c r="M39" s="30" t="n">
        <x:f>IF(L39&gt;0,K39/L39,"")</x:f>
        <x:v>1.0110682172709602</x:v>
      </x:c>
      <x:c r="N39" s="22" t="n">
        <x:v>1.0191914090534542</x:v>
      </x:c>
      <x:c r="O39" s="22" t="str">
        <x:v>已持强装/普通提升有限；不强造额外门槛</x:v>
      </x:c>
      <x:c r="P39" s="22" t="str">
        <x:v>P0244</x:v>
      </x:c>
      <x:c r="Q39" s="22" t="str">
        <x:v>P0249</x:v>
      </x:c>
      <x:c r="R39" s="22" t="str">
        <x:v>P0250</x:v>
      </x:c>
    </x:row>
    <x:row r="40" ht="24" customHeight="1">
      <x:c r="A40" s="22" t="n">
        <x:v>8</x:v>
      </x:c>
      <x:c r="B40" s="22" t="n">
        <x:v>4</x:v>
      </x:c>
      <x:c r="C40" s="22" t="str">
        <x:v>巨人王庭</x:v>
      </x:c>
      <x:c r="D40" s="22" t="n">
        <x:v>6</x:v>
      </x:c>
      <x:c r="E40" s="22" t="n">
        <x:v>4</x:v>
      </x:c>
      <x:c r="F40" s="22" t="str">
        <x:v>铸霜庭卫戟、白毡宫衣、巡烛官灯坠、负碑王座盾</x:v>
      </x:c>
      <x:c r="G40" s="28" t="n">
        <x:v>892195047.4879512</x:v>
      </x:c>
      <x:c r="H40" s="28" t="n">
        <x:v>899076582.141552</x:v>
      </x:c>
      <x:c r="I40" s="30" t="n">
        <x:f>H40/G40</x:f>
        <x:v>1.0077130383910742</x:v>
      </x:c>
      <x:c r="J40" s="32" t="n">
        <x:v>5.625413039048136</x:v>
      </x:c>
      <x:c r="K40" s="32"/>
      <x:c r="L40" s="32"/>
      <x:c r="M40" s="30" t="str">
        <x:f>IF(L40&gt;0,K40/L40,"")</x:f>
      </x:c>
      <x:c r="N40" s="22" t="n">
        <x:v>1.0006718384228594</x:v>
      </x:c>
      <x:c r="O40" s="22" t="str">
        <x:v>末组，转入守关70%基准</x:v>
      </x:c>
      <x:c r="P40" s="22" t="str">
        <x:v>P0250</x:v>
      </x:c>
      <x:c r="Q40" s="22" t="str">
        <x:v>P0255</x:v>
      </x:c>
      <x:c r="R40" s="22" t="str">
        <x:v>P0256</x:v>
      </x:c>
    </x:row>
    <x:row r="41" ht="24" customHeight="1">
      <x:c r="A41" s="22" t="n">
        <x:v>9</x:v>
      </x:c>
      <x:c r="B41" s="22" t="n">
        <x:v>1</x:v>
      </x:c>
      <x:c r="C41" s="22" t="str">
        <x:v>金叶古道</x:v>
      </x:c>
      <x:c r="D41" s="22" t="n">
        <x:v>6</x:v>
      </x:c>
      <x:c r="E41" s="22" t="n">
        <x:v>4</x:v>
      </x:c>
      <x:c r="F41" s="22" t="str">
        <x:v>角鹿逐叶履、拾穗弯刃、驮甲叶纹盾、鎏苔守陵衣</x:v>
      </x:c>
      <x:c r="G41" s="28" t="n">
        <x:v>1238421636.0258029</x:v>
      </x:c>
      <x:c r="H41" s="28" t="n">
        <x:v>1241211186.3455844</x:v>
      </x:c>
      <x:c r="I41" s="30" t="n">
        <x:f>H41/G41</x:f>
        <x:v>1.0022525045094766</x:v>
      </x:c>
      <x:c r="J41" s="32" t="n">
        <x:v>8.375541726906931</x:v>
      </x:c>
      <x:c r="K41" s="32" t="n">
        <x:v>9.019814167438234</x:v>
      </x:c>
      <x:c r="L41" s="32" t="n">
        <x:v>9.000803415269077</x:v>
      </x:c>
      <x:c r="M41" s="30" t="n">
        <x:f>IF(L41&gt;0,K41/L41,"")</x:f>
        <x:v>1.002112117251323</x:v>
      </x:c>
      <x:c r="N41" s="22" t="n">
        <x:v>0.9780388924574431</x:v>
      </x:c>
      <x:c r="O41" s="22" t="str">
        <x:v>已持强装/普通提升有限；不强造额外门槛</x:v>
      </x:c>
      <x:c r="P41" s="22" t="str">
        <x:v>P0267</x:v>
      </x:c>
      <x:c r="Q41" s="22" t="str">
        <x:v>P0267</x:v>
      </x:c>
      <x:c r="R41" s="22" t="str">
        <x:v>P0268</x:v>
      </x:c>
    </x:row>
    <x:row r="42" ht="24" customHeight="1">
      <x:c r="A42" s="22" t="n">
        <x:v>9</x:v>
      </x:c>
      <x:c r="B42" s="22" t="n">
        <x:v>2</x:v>
      </x:c>
      <x:c r="C42" s="22" t="str">
        <x:v>高原矿脉</x:v>
      </x:c>
      <x:c r="D42" s="22" t="n">
        <x:v>6</x:v>
      </x:c>
      <x:c r="E42" s="22" t="n">
        <x:v>4</x:v>
      </x:c>
      <x:c r="F42" s="22" t="str">
        <x:v>啮岩鼠爪靴、凿工尖喙镐、提灯旧毡笠、负筐矿奴衣</x:v>
      </x:c>
      <x:c r="G42" s="28" t="n">
        <x:v>1511483807.94728</x:v>
      </x:c>
      <x:c r="H42" s="28" t="n">
        <x:v>1516324923.6023283</x:v>
      </x:c>
      <x:c r="I42" s="30" t="n">
        <x:f>H42/G42</x:f>
        <x:v>1.0032028895245813</x:v>
      </x:c>
      <x:c r="J42" s="32" t="n">
        <x:v>7.329521703850273</x:v>
      </x:c>
      <x:c r="K42" s="32" t="n">
        <x:v>8.799255200736848</x:v>
      </x:c>
      <x:c r="L42" s="32" t="n">
        <x:v>8.769370440572425</x:v>
      </x:c>
      <x:c r="M42" s="30" t="n">
        <x:f>IF(L42&gt;0,K42/L42,"")</x:f>
        <x:v>1.0034078569684042</x:v>
      </x:c>
      <x:c r="N42" s="22" t="n">
        <x:v>1.0051244760030797</x:v>
      </x:c>
      <x:c r="O42" s="22" t="str">
        <x:v>已持强装/普通提升有限；不强造额外门槛</x:v>
      </x:c>
      <x:c r="P42" s="22" t="str">
        <x:v>P0268</x:v>
      </x:c>
      <x:c r="Q42" s="22" t="str">
        <x:v>P0273</x:v>
      </x:c>
      <x:c r="R42" s="22" t="str">
        <x:v>P0274</x:v>
      </x:c>
    </x:row>
    <x:row r="43" ht="24" customHeight="1">
      <x:c r="A43" s="22" t="n">
        <x:v>9</x:v>
      </x:c>
      <x:c r="B43" s="22" t="n">
        <x:v>3</x:v>
      </x:c>
      <x:c r="C43" s="22" t="str">
        <x:v>古王陵园</x:v>
      </x:c>
      <x:c r="D43" s="22" t="n">
        <x:v>6</x:v>
      </x:c>
      <x:c r="E43" s="22" t="n">
        <x:v>4</x:v>
      </x:c>
      <x:c r="F43" s="22" t="str">
        <x:v>剪枝傀镰、金翅碑尘履、扶棺铜纹盾、敛袍侍素衣</x:v>
      </x:c>
      <x:c r="G43" s="28" t="n">
        <x:v>1533082444.9028177</x:v>
      </x:c>
      <x:c r="H43" s="28" t="n">
        <x:v>1533082444.9028177</x:v>
      </x:c>
      <x:c r="I43" s="30" t="n">
        <x:f>H43/G43</x:f>
        <x:v>1</x:v>
      </x:c>
      <x:c r="J43" s="32" t="n">
        <x:v>8.66747360177019</x:v>
      </x:c>
      <x:c r="K43" s="32" t="n">
        <x:v>8.500012128267546</x:v>
      </x:c>
      <x:c r="L43" s="32" t="n">
        <x:v>8.500012128267546</x:v>
      </x:c>
      <x:c r="M43" s="30" t="n">
        <x:f>IF(L43&gt;0,K43/L43,"")</x:f>
        <x:v>1</x:v>
      </x:c>
      <x:c r="N43" s="22" t="n">
        <x:v>1</x:v>
      </x:c>
      <x:c r="O43" s="22" t="str">
        <x:v>已持强装/普通提升有限；不强造额外门槛</x:v>
      </x:c>
      <x:c r="P43" s="22" t="str">
        <x:v>P0274</x:v>
      </x:c>
      <x:c r="Q43" s="22" t="str">
        <x:v>P0279</x:v>
      </x:c>
      <x:c r="R43" s="22" t="str">
        <x:v>P0280</x:v>
      </x:c>
    </x:row>
    <x:row r="44" ht="24" customHeight="1">
      <x:c r="A44" s="22" t="n">
        <x:v>9</x:v>
      </x:c>
      <x:c r="B44" s="22" t="n">
        <x:v>4</x:v>
      </x:c>
      <x:c r="C44" s="22" t="str">
        <x:v>黄金圣堂</x:v>
      </x:c>
      <x:c r="D44" s="22" t="n">
        <x:v>6</x:v>
      </x:c>
      <x:c r="E44" s="22" t="n">
        <x:v>4</x:v>
      </x:c>
      <x:c r="F44" s="22" t="str">
        <x:v>扫金仆软履、鎏檐拱门盾、白袍唱诗衣、祷弓手日轮弓</x:v>
      </x:c>
      <x:c r="G44" s="28" t="n">
        <x:v>1995609129.6867025</x:v>
      </x:c>
      <x:c r="H44" s="28" t="n">
        <x:v>1995609129.6867025</x:v>
      </x:c>
      <x:c r="I44" s="30" t="n">
        <x:f>H44/G44</x:f>
        <x:v>1</x:v>
      </x:c>
      <x:c r="J44" s="32" t="n">
        <x:v>6.434833706968346</x:v>
      </x:c>
      <x:c r="K44" s="32" t="n">
        <x:v>7.863608919351327</x:v>
      </x:c>
      <x:c r="L44" s="32" t="n">
        <x:v>7.863608919351327</x:v>
      </x:c>
      <x:c r="M44" s="30" t="n">
        <x:f>IF(L44&gt;0,K44/L44,"")</x:f>
        <x:v>1</x:v>
      </x:c>
      <x:c r="N44" s="22" t="n">
        <x:v>1</x:v>
      </x:c>
      <x:c r="O44" s="22" t="str">
        <x:v>已持强装/普通提升有限；不强造额外门槛</x:v>
      </x:c>
      <x:c r="P44" s="22" t="str">
        <x:v>P0280</x:v>
      </x:c>
      <x:c r="Q44" s="22" t="str">
        <x:v>P0285</x:v>
      </x:c>
      <x:c r="R44" s="22" t="str">
        <x:v>P0286</x:v>
      </x:c>
    </x:row>
    <x:row r="45" ht="24" customHeight="1">
      <x:c r="A45" s="22" t="n">
        <x:v>9</x:v>
      </x:c>
      <x:c r="B45" s="22" t="n">
        <x:v>5</x:v>
      </x:c>
      <x:c r="C45" s="22" t="str">
        <x:v>王城前垒</x:v>
      </x:c>
      <x:c r="D45" s="22" t="n">
        <x:v>6</x:v>
      </x:c>
      <x:c r="E45" s="22" t="n">
        <x:v>4</x:v>
      </x:c>
      <x:c r="F45" s="22" t="str">
        <x:v>铆甲兵垒盾、拾箭童疾履、持炬枪卒矛、炊兵铁勺镯</x:v>
      </x:c>
      <x:c r="G45" s="28" t="n">
        <x:v>2110024695.4139194</x:v>
      </x:c>
      <x:c r="H45" s="28" t="n">
        <x:v>2110024695.4139194</x:v>
      </x:c>
      <x:c r="I45" s="30" t="n">
        <x:f>H45/G45</x:f>
        <x:v>1</x:v>
      </x:c>
      <x:c r="J45" s="32" t="n">
        <x:v>7.426428970818659</x:v>
      </x:c>
      <x:c r="K45" s="32"/>
      <x:c r="L45" s="32"/>
      <x:c r="M45" s="30" t="str">
        <x:f>IF(L45&gt;0,K45/L45,"")</x:f>
      </x:c>
      <x:c r="N45" s="22" t="n">
        <x:v>1</x:v>
      </x:c>
      <x:c r="O45" s="22" t="str">
        <x:v>末组，转入守关70%基准</x:v>
      </x:c>
      <x:c r="P45" s="22" t="str">
        <x:v>P0286</x:v>
      </x:c>
      <x:c r="Q45" s="22" t="str">
        <x:v>P0291</x:v>
      </x:c>
      <x:c r="R45" s="22" t="str">
        <x:v>P0292</x:v>
      </x:c>
    </x:row>
    <x:row r="46" ht="24" customHeight="1">
      <x:c r="A46" s="22" t="n">
        <x:v>10</x:v>
      </x:c>
      <x:c r="B46" s="22" t="n">
        <x:v>1</x:v>
      </x:c>
      <x:c r="C46" s="22" t="str">
        <x:v>王城下城区</x:v>
      </x:c>
      <x:c r="D46" s="22" t="n">
        <x:v>6</x:v>
      </x:c>
      <x:c r="E46" s="22" t="n">
        <x:v>4</x:v>
      </x:c>
      <x:c r="F46" s="22" t="str">
        <x:v>拾烬钩刃、伏砖旧革靴、缚铃窄项圈、淤甲闸工衣</x:v>
      </x:c>
      <x:c r="G46" s="28" t="n">
        <x:v>3933353348.778512</x:v>
      </x:c>
      <x:c r="H46" s="28" t="n">
        <x:v>3943756821.161894</x:v>
      </x:c>
      <x:c r="I46" s="30" t="n">
        <x:f>H46/G46</x:f>
        <x:v>1.0026449371467256</x:v>
      </x:c>
      <x:c r="J46" s="32" t="n">
        <x:v>7.969535522200547</x:v>
      </x:c>
      <x:c r="K46" s="32" t="n">
        <x:v>7.969535522200547</x:v>
      </x:c>
      <x:c r="L46" s="32" t="n">
        <x:v>7.947622527131357</x:v>
      </x:c>
      <x:c r="M46" s="30" t="n">
        <x:f>IF(L46&gt;0,K46/L46,"")</x:f>
        <x:v>1.002757176123348</x:v>
      </x:c>
      <x:c r="N46" s="22" t="n">
        <x:v>1.0033759387637204</x:v>
      </x:c>
      <x:c r="O46" s="22" t="str">
        <x:v>已持强装/普通提升有限；不强造额外门槛</x:v>
      </x:c>
      <x:c r="P46" s="22" t="str">
        <x:v>P0303</x:v>
      </x:c>
      <x:c r="Q46" s="22" t="str">
        <x:v>P0303</x:v>
      </x:c>
      <x:c r="R46" s="22" t="str">
        <x:v>P0304</x:v>
      </x:c>
    </x:row>
    <x:row r="47" ht="24" customHeight="1">
      <x:c r="A47" s="22" t="n">
        <x:v>10</x:v>
      </x:c>
      <x:c r="B47" s="22" t="n">
        <x:v>2</x:v>
      </x:c>
      <x:c r="C47" s="22" t="str">
        <x:v>黄金排水道</x:v>
      </x:c>
      <x:c r="D47" s="22" t="n">
        <x:v>6</x:v>
      </x:c>
      <x:c r="E47" s="22" t="n">
        <x:v>4</x:v>
      </x:c>
      <x:c r="F47" s="22" t="str">
        <x:v>金垢噬骨爪、捞骨防污衣、鸣管鳞盔、盘阀锁流带</x:v>
      </x:c>
      <x:c r="G47" s="28" t="n">
        <x:v>5514345148.914342</x:v>
      </x:c>
      <x:c r="H47" s="28" t="n">
        <x:v>5514345148.914342</x:v>
      </x:c>
      <x:c r="I47" s="30" t="n">
        <x:f>H47/G47</x:f>
        <x:v>1</x:v>
      </x:c>
      <x:c r="J47" s="32" t="n">
        <x:v>5.639367590028078</x:v>
      </x:c>
      <x:c r="K47" s="32" t="n">
        <x:v>8.236015113415812</x:v>
      </x:c>
      <x:c r="L47" s="32" t="n">
        <x:v>8.236015113415812</x:v>
      </x:c>
      <x:c r="M47" s="30" t="n">
        <x:f>IF(L47&gt;0,K47/L47,"")</x:f>
        <x:v>1</x:v>
      </x:c>
      <x:c r="N47" s="22" t="n">
        <x:v>1</x:v>
      </x:c>
      <x:c r="O47" s="22" t="str">
        <x:v>已持强装/普通提升有限；不强造额外门槛</x:v>
      </x:c>
      <x:c r="P47" s="22" t="str">
        <x:v>P0304</x:v>
      </x:c>
      <x:c r="Q47" s="22" t="str">
        <x:v>P0309</x:v>
      </x:c>
      <x:c r="R47" s="22" t="str">
        <x:v>P0310</x:v>
      </x:c>
    </x:row>
    <x:row r="48" ht="24" customHeight="1">
      <x:c r="A48" s="22" t="n">
        <x:v>10</x:v>
      </x:c>
      <x:c r="B48" s="22" t="n">
        <x:v>3</x:v>
      </x:c>
      <x:c r="C48" s="22" t="str">
        <x:v>王城矿井</x:v>
      </x:c>
      <x:c r="D48" s="22" t="n">
        <x:v>6</x:v>
      </x:c>
      <x:c r="E48" s="22" t="n">
        <x:v>4</x:v>
      </x:c>
      <x:c r="F48" s="22" t="str">
        <x:v>铲痕护矿盔、崩轨拖链盾、冷砧铆甲衣、裂晶钻颚刃</x:v>
      </x:c>
      <x:c r="G48" s="28" t="n">
        <x:v>5547380899.09857</x:v>
      </x:c>
      <x:c r="H48" s="28" t="n">
        <x:v>5547380899.09857</x:v>
      </x:c>
      <x:c r="I48" s="30" t="n">
        <x:f>H48/G48</x:f>
        <x:v>1</x:v>
      </x:c>
      <x:c r="J48" s="32" t="n">
        <x:v>8.183928393415158</x:v>
      </x:c>
      <x:c r="K48" s="32" t="n">
        <x:v>8.040350702302613</x:v>
      </x:c>
      <x:c r="L48" s="32" t="n">
        <x:v>8.040350702302613</x:v>
      </x:c>
      <x:c r="M48" s="30" t="n">
        <x:f>IF(L48&gt;0,K48/L48,"")</x:f>
        <x:v>1</x:v>
      </x:c>
      <x:c r="N48" s="22" t="n">
        <x:v>1</x:v>
      </x:c>
      <x:c r="O48" s="22" t="str">
        <x:v>已持强装/普通提升有限；不强造额外门槛</x:v>
      </x:c>
      <x:c r="P48" s="22" t="str">
        <x:v>P0310</x:v>
      </x:c>
      <x:c r="Q48" s="22" t="str">
        <x:v>P0315</x:v>
      </x:c>
      <x:c r="R48" s="22" t="str">
        <x:v>P0316</x:v>
      </x:c>
    </x:row>
    <x:row r="49" ht="24" customHeight="1">
      <x:c r="A49" s="22" t="n">
        <x:v>10</x:v>
      </x:c>
      <x:c r="B49" s="22" t="n">
        <x:v>4</x:v>
      </x:c>
      <x:c r="C49" s="22" t="str">
        <x:v>王城地穴</x:v>
      </x:c>
      <x:c r="D49" s="22" t="n">
        <x:v>6</x:v>
      </x:c>
      <x:c r="E49" s="22" t="n">
        <x:v>4</x:v>
      </x:c>
      <x:c r="F49" s="22" t="str">
        <x:v>刮蜡墓烛匕、执幡骨纹盔、抱瓮缚灵镯、枕陵掘痕靴</x:v>
      </x:c>
      <x:c r="G49" s="28" t="n">
        <x:v>7141553459.728199</x:v>
      </x:c>
      <x:c r="H49" s="28" t="n">
        <x:v>7191457490.364774</x:v>
      </x:c>
      <x:c r="I49" s="30" t="n">
        <x:f>H49/G49</x:f>
        <x:v>1.006987839679138</x:v>
      </x:c>
      <x:c r="J49" s="32" t="n">
        <x:v>6.149795409855878</x:v>
      </x:c>
      <x:c r="K49" s="32" t="n">
        <x:v>7.448818703631056</x:v>
      </x:c>
      <x:c r="L49" s="32" t="n">
        <x:v>7.397987889388872</x:v>
      </x:c>
      <x:c r="M49" s="30" t="n">
        <x:f>IF(L49&gt;0,K49/L49,"")</x:f>
        <x:v>1.0068708971955862</x:v>
      </x:c>
      <x:c r="N49" s="22" t="n">
        <x:v>0.9488815408697074</x:v>
      </x:c>
      <x:c r="O49" s="22" t="str">
        <x:v>已持强装/普通提升有限；不强造额外门槛</x:v>
      </x:c>
      <x:c r="P49" s="22" t="str">
        <x:v>P0316</x:v>
      </x:c>
      <x:c r="Q49" s="22" t="str">
        <x:v>P0321</x:v>
      </x:c>
      <x:c r="R49" s="22" t="str">
        <x:v>P0322</x:v>
      </x:c>
    </x:row>
    <x:row r="50" ht="24" customHeight="1">
      <x:c r="A50" s="22" t="n">
        <x:v>10</x:v>
      </x:c>
      <x:c r="B50" s="22" t="n">
        <x:v>5</x:v>
      </x:c>
      <x:c r="C50" s="22" t="str">
        <x:v>黄金王宫</x:v>
      </x:c>
      <x:c r="D50" s="22" t="n">
        <x:v>6</x:v>
      </x:c>
      <x:c r="E50" s="22" t="n">
        <x:v>4</x:v>
      </x:c>
      <x:c r="F50" s="22" t="str">
        <x:v>扫阶日轮刃、金桂驯狮腕、垂纱持香衣、捧剑护座盾</x:v>
      </x:c>
      <x:c r="G50" s="28" t="n">
        <x:v>7681089936.954948</x:v>
      </x:c>
      <x:c r="H50" s="28" t="n">
        <x:v>7681089936.954948</x:v>
      </x:c>
      <x:c r="I50" s="30" t="n">
        <x:f>H50/G50</x:f>
        <x:v>1</x:v>
      </x:c>
      <x:c r="J50" s="32" t="n">
        <x:v>6.911095022246685</x:v>
      </x:c>
      <x:c r="K50" s="32"/>
      <x:c r="L50" s="32"/>
      <x:c r="M50" s="30" t="str">
        <x:f>IF(L50&gt;0,K50/L50,"")</x:f>
      </x:c>
      <x:c r="N50" s="22" t="n">
        <x:v>1</x:v>
      </x:c>
      <x:c r="O50" s="22" t="str">
        <x:v>末组，转入守关70%基准</x:v>
      </x:c>
      <x:c r="P50" s="22" t="str">
        <x:v>P0322</x:v>
      </x:c>
      <x:c r="Q50" s="22" t="str">
        <x:v>P0327</x:v>
      </x:c>
      <x:c r="R50" s="22" t="str">
        <x:v>P0328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" hidden="0" customWidth="1"/>
    <x:col min="3" max="3" width="23" hidden="0" customWidth="1"/>
    <x:col min="4" max="4" width="14" hidden="0" customWidth="1"/>
    <x:col min="5" max="5" width="28" hidden="0" customWidth="1"/>
    <x:col min="6" max="6" width="45" hidden="0" customWidth="1"/>
    <x:col min="7" max="7" width="15" hidden="0" customWidth="1"/>
    <x:col min="8" max="8" width="12" hidden="0" customWidth="1"/>
    <x:col min="9" max="9" width="23" hidden="0" customWidth="1"/>
    <x:col min="10" max="10" width="25" hidden="0" customWidth="1"/>
    <x:col min="11" max="11" width="20" hidden="0" customWidth="1"/>
    <x:col min="12" max="12" width="20" hidden="0" customWidth="1"/>
    <x:col min="13" max="13" width="18" hidden="0" customWidth="1"/>
    <x:col min="14" max="14" width="18" hidden="0" customWidth="1"/>
    <x:col min="15" max="15" width="10" hidden="0" customWidth="1"/>
    <x:col min="16" max="16" width="16" hidden="0" customWidth="1"/>
    <x:col min="17" max="17" width="16" hidden="0" customWidth="1"/>
    <x:col min="18" max="18" width="12" hidden="0" customWidth="1"/>
    <x:col min="19" max="19" width="12" hidden="0" customWidth="1"/>
    <x:col min="20" max="20" width="22" hidden="0" customWidth="1"/>
  </x:cols>
  <x:sheetData>
    <x:row r="1" ht="32" customHeight="1">
      <x:c r="A1" s="3" t="str">
        <x:v>561怪｜大体属性设计值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4" customHeight="1">
      <x:c r="A2" s="8" t="str">
        <x:v>HP按反算DPS×目标时间再保留约2位有效数字；C1使用同一HP计算口径。SPEED非毫秒，不直接混写。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</x:row>
    <x:row r="4" ht="30" customHeight="1">
      <x:c r="A4" s="15" t="str">
        <x:v>怪物ID</x:v>
      </x:c>
      <x:c r="B4" s="15" t="str">
        <x:v>大陆</x:v>
      </x:c>
      <x:c r="C4" s="15" t="str">
        <x:v>地图组</x:v>
      </x:c>
      <x:c r="D4" s="15" t="str">
        <x:v>分类</x:v>
      </x:c>
      <x:c r="E4" s="15" t="str">
        <x:v>名称</x:v>
      </x:c>
      <x:c r="F4" s="15" t="str">
        <x:v>真实落点/原层名</x:v>
      </x:c>
      <x:c r="G4" s="15" t="str">
        <x:v>基准人物</x:v>
      </x:c>
      <x:c r="H4" s="15" t="str">
        <x:v>目标秒</x:v>
      </x:c>
      <x:c r="I4" s="15" t="str">
        <x:v>反算有效DPS</x:v>
      </x:c>
      <x:c r="J4" s="15" t="str">
        <x:v>HP设计</x:v>
      </x:c>
      <x:c r="K4" s="15" t="str">
        <x:v>攻击下限</x:v>
      </x:c>
      <x:c r="L4" s="15" t="str">
        <x:v>攻击上限</x:v>
      </x:c>
      <x:c r="M4" s="15" t="str">
        <x:v>防御</x:v>
      </x:c>
      <x:c r="N4" s="15" t="str">
        <x:v>魔御</x:v>
      </x:c>
      <x:c r="O4" s="15" t="str">
        <x:v>等级</x:v>
      </x:c>
      <x:c r="P4" s="15" t="str">
        <x:v>经验</x:v>
      </x:c>
      <x:c r="Q4" s="15" t="str">
        <x:v>攻击间隔ms</x:v>
      </x:c>
      <x:c r="R4" s="15" t="str">
        <x:v>旧模型号</x:v>
      </x:c>
      <x:c r="S4" s="15" t="str">
        <x:v>物品爆率</x:v>
      </x:c>
      <x:c r="T4" s="15" t="str">
        <x:v>字段范围提醒</x:v>
      </x:c>
    </x:row>
    <x:row r="5" ht="24" customHeight="1">
      <x:c r="A5" s="22" t="str">
        <x:v>EL-MON-SEA-001</x:v>
      </x:c>
      <x:c r="B5" s="22" t="n">
        <x:v>1</x:v>
      </x:c>
      <x:c r="C5" s="22" t="str">
        <x:v>失乡者海岸</x:v>
      </x:c>
      <x:c r="D5" s="22" t="str">
        <x:v>普通</x:v>
      </x:c>
      <x:c r="E5" s="22" t="str">
        <x:v>盐蚀流民</x:v>
      </x:c>
      <x:c r="F5" s="22" t="str">
        <x:v>C01:失乡者海岸:1层</x:v>
      </x:c>
      <x:c r="G5" s="22" t="str">
        <x:v>P0003</x:v>
      </x:c>
      <x:c r="H5" s="22" t="n">
        <x:v>7.6</x:v>
      </x:c>
      <x:c r="I5" s="28" t="n">
        <x:v>21890.587507986762</x:v>
      </x:c>
      <x:c r="J5" s="28" t="n">
        <x:f>ROUND(H5*I5,-MAX(0,INT(LOG10(H5*I5))-1))</x:f>
        <x:v>170000</x:v>
      </x:c>
      <x:c r="K5" s="28" t="n">
        <x:v>210</x:v>
      </x:c>
      <x:c r="L5" s="28" t="n">
        <x:v>280</x:v>
      </x:c>
      <x:c r="M5" s="28" t="n">
        <x:v>31</x:v>
      </x:c>
      <x:c r="N5" s="28" t="n">
        <x:v>26</x:v>
      </x:c>
      <x:c r="O5" s="28" t="n">
        <x:v>20</x:v>
      </x:c>
      <x:c r="P5" s="28" t="n">
        <x:v>100</x:v>
      </x:c>
      <x:c r="Q5" s="28" t="n">
        <x:v>1600</x:v>
      </x:c>
      <x:c r="R5" s="22"/>
      <x:c r="S5" s="22"/>
      <x:c r="T5" s="22" t="str">
        <x:v>32位有符号内</x:v>
      </x:c>
    </x:row>
    <x:row r="6" ht="24" customHeight="1">
      <x:c r="A6" s="22" t="str">
        <x:v>EL-MON-SEA-002</x:v>
      </x:c>
      <x:c r="B6" s="22" t="n">
        <x:v>1</x:v>
      </x:c>
      <x:c r="C6" s="22" t="str">
        <x:v>失乡者海岸</x:v>
      </x:c>
      <x:c r="D6" s="22" t="str">
        <x:v>普通</x:v>
      </x:c>
      <x:c r="E6" s="22" t="str">
        <x:v>断桨弩手</x:v>
      </x:c>
      <x:c r="F6" s="22" t="str">
        <x:v>C01:失乡者海岸:1层</x:v>
      </x:c>
      <x:c r="G6" s="22" t="str">
        <x:v>P0003</x:v>
      </x:c>
      <x:c r="H6" s="22" t="n">
        <x:v>7.2</x:v>
      </x:c>
      <x:c r="I6" s="28" t="n">
        <x:v>21890.587507986762</x:v>
      </x:c>
      <x:c r="J6" s="28" t="n">
        <x:f>ROUND(H6*I6,-MAX(0,INT(LOG10(H6*I6))-1))</x:f>
        <x:v>160000</x:v>
      </x:c>
      <x:c r="K6" s="28" t="n">
        <x:v>210</x:v>
      </x:c>
      <x:c r="L6" s="28" t="n">
        <x:v>280</x:v>
      </x:c>
      <x:c r="M6" s="28" t="n">
        <x:v>31</x:v>
      </x:c>
      <x:c r="N6" s="28" t="n">
        <x:v>26</x:v>
      </x:c>
      <x:c r="O6" s="28" t="n">
        <x:v>20</x:v>
      </x:c>
      <x:c r="P6" s="28" t="n">
        <x:v>100</x:v>
      </x:c>
      <x:c r="Q6" s="28" t="n">
        <x:v>1600</x:v>
      </x:c>
      <x:c r="R6" s="22"/>
      <x:c r="S6" s="22"/>
      <x:c r="T6" s="22" t="str">
        <x:v>32位有符号内</x:v>
      </x:c>
    </x:row>
    <x:row r="7" ht="24" customHeight="1">
      <x:c r="A7" s="22" t="str">
        <x:v>EL-MON-SEA-003</x:v>
      </x:c>
      <x:c r="B7" s="22" t="n">
        <x:v>1</x:v>
      </x:c>
      <x:c r="C7" s="22" t="str">
        <x:v>失乡者海岸</x:v>
      </x:c>
      <x:c r="D7" s="22" t="str">
        <x:v>普通</x:v>
      </x:c>
      <x:c r="E7" s="22" t="str">
        <x:v>漂流尸兵</x:v>
      </x:c>
      <x:c r="F7" s="22" t="str">
        <x:v>C01:失乡者海岸:1层、C01:失乡者海岸:2层</x:v>
      </x:c>
      <x:c r="G7" s="22" t="str">
        <x:v>P0003</x:v>
      </x:c>
      <x:c r="H7" s="22" t="n">
        <x:v>9.2</x:v>
      </x:c>
      <x:c r="I7" s="28" t="n">
        <x:v>21890.587507986762</x:v>
      </x:c>
      <x:c r="J7" s="28" t="n">
        <x:f>ROUND(H7*I7,-MAX(0,INT(LOG10(H7*I7))-1))</x:f>
        <x:v>200000</x:v>
      </x:c>
      <x:c r="K7" s="28" t="n">
        <x:v>210</x:v>
      </x:c>
      <x:c r="L7" s="28" t="n">
        <x:v>280</x:v>
      </x:c>
      <x:c r="M7" s="28" t="n">
        <x:v>31</x:v>
      </x:c>
      <x:c r="N7" s="28" t="n">
        <x:v>26</x:v>
      </x:c>
      <x:c r="O7" s="28" t="n">
        <x:v>20</x:v>
      </x:c>
      <x:c r="P7" s="28" t="n">
        <x:v>100</x:v>
      </x:c>
      <x:c r="Q7" s="28" t="n">
        <x:v>1600</x:v>
      </x:c>
      <x:c r="R7" s="22"/>
      <x:c r="S7" s="22"/>
      <x:c r="T7" s="22" t="str">
        <x:v>32位有符号内</x:v>
      </x:c>
    </x:row>
    <x:row r="8" ht="24" customHeight="1">
      <x:c r="A8" s="22" t="str">
        <x:v>EL-MON-SEA-004</x:v>
      </x:c>
      <x:c r="B8" s="22" t="n">
        <x:v>1</x:v>
      </x:c>
      <x:c r="C8" s="22" t="str">
        <x:v>失乡者海岸</x:v>
      </x:c>
      <x:c r="D8" s="22" t="str">
        <x:v>普通</x:v>
      </x:c>
      <x:c r="E8" s="22" t="str">
        <x:v>失乡猎犬</x:v>
      </x:c>
      <x:c r="F8" s="22" t="str">
        <x:v>C01:失乡者海岸:2层</x:v>
      </x:c>
      <x:c r="G8" s="22" t="str">
        <x:v>P0003</x:v>
      </x:c>
      <x:c r="H8" s="22" t="n">
        <x:v>7.6</x:v>
      </x:c>
      <x:c r="I8" s="28" t="n">
        <x:v>21890.587507986762</x:v>
      </x:c>
      <x:c r="J8" s="28" t="n">
        <x:f>ROUND(H8*I8,-MAX(0,INT(LOG10(H8*I8))-1))</x:f>
        <x:v>170000</x:v>
      </x:c>
      <x:c r="K8" s="28" t="n">
        <x:v>210</x:v>
      </x:c>
      <x:c r="L8" s="28" t="n">
        <x:v>280</x:v>
      </x:c>
      <x:c r="M8" s="28" t="n">
        <x:v>31</x:v>
      </x:c>
      <x:c r="N8" s="28" t="n">
        <x:v>26</x:v>
      </x:c>
      <x:c r="O8" s="28" t="n">
        <x:v>20</x:v>
      </x:c>
      <x:c r="P8" s="28" t="n">
        <x:v>100</x:v>
      </x:c>
      <x:c r="Q8" s="28" t="n">
        <x:v>1600</x:v>
      </x:c>
      <x:c r="R8" s="22"/>
      <x:c r="S8" s="22"/>
      <x:c r="T8" s="22" t="str">
        <x:v>32位有符号内</x:v>
      </x:c>
    </x:row>
    <x:row r="9" ht="24" customHeight="1">
      <x:c r="A9" s="22" t="str">
        <x:v>EL-MON-SEA-005</x:v>
      </x:c>
      <x:c r="B9" s="22" t="n">
        <x:v>1</x:v>
      </x:c>
      <x:c r="C9" s="22" t="str">
        <x:v>失乡者海岸</x:v>
      </x:c>
      <x:c r="D9" s="22" t="str">
        <x:v>普通</x:v>
      </x:c>
      <x:c r="E9" s="22" t="str">
        <x:v>腐潮巨蟹</x:v>
      </x:c>
      <x:c r="F9" s="22" t="str">
        <x:v>C01:失乡者海岸:2层、C01:失乡者海岸:3层</x:v>
      </x:c>
      <x:c r="G9" s="22" t="str">
        <x:v>P0003</x:v>
      </x:c>
      <x:c r="H9" s="22" t="n">
        <x:v>9.2</x:v>
      </x:c>
      <x:c r="I9" s="28" t="n">
        <x:v>21890.587507986762</x:v>
      </x:c>
      <x:c r="J9" s="28" t="n">
        <x:f>ROUND(H9*I9,-MAX(0,INT(LOG10(H9*I9))-1))</x:f>
        <x:v>200000</x:v>
      </x:c>
      <x:c r="K9" s="28" t="n">
        <x:v>210</x:v>
      </x:c>
      <x:c r="L9" s="28" t="n">
        <x:v>280</x:v>
      </x:c>
      <x:c r="M9" s="28" t="n">
        <x:v>31</x:v>
      </x:c>
      <x:c r="N9" s="28" t="n">
        <x:v>26</x:v>
      </x:c>
      <x:c r="O9" s="28" t="n">
        <x:v>20</x:v>
      </x:c>
      <x:c r="P9" s="28" t="n">
        <x:v>100</x:v>
      </x:c>
      <x:c r="Q9" s="28" t="n">
        <x:v>1600</x:v>
      </x:c>
      <x:c r="R9" s="22"/>
      <x:c r="S9" s="22"/>
      <x:c r="T9" s="22" t="str">
        <x:v>32位有符号内</x:v>
      </x:c>
    </x:row>
    <x:row r="10" ht="24" customHeight="1">
      <x:c r="A10" s="22" t="str">
        <x:v>EL-MON-SEA-006</x:v>
      </x:c>
      <x:c r="B10" s="22" t="n">
        <x:v>1</x:v>
      </x:c>
      <x:c r="C10" s="22" t="str">
        <x:v>失乡者海岸</x:v>
      </x:c>
      <x:c r="D10" s="22" t="str">
        <x:v>稀有</x:v>
      </x:c>
      <x:c r="E10" s="22" t="str">
        <x:v>铁锚行刑者</x:v>
      </x:c>
      <x:c r="F10" s="22" t="str">
        <x:v>C01:失乡者海岸:1层、C01:失乡者海岸:2层</x:v>
      </x:c>
      <x:c r="G10" s="22" t="str">
        <x:v>P0003</x:v>
      </x:c>
      <x:c r="H10" s="22" t="n">
        <x:v>26.400000000000002</x:v>
      </x:c>
      <x:c r="I10" s="28" t="n">
        <x:v>21700.163694271694</x:v>
      </x:c>
      <x:c r="J10" s="28" t="n">
        <x:f>ROUND(H10*I10,-MAX(0,INT(LOG10(H10*I10))-1))</x:f>
        <x:v>570000</x:v>
      </x:c>
      <x:c r="K10" s="28" t="n">
        <x:v>170</x:v>
      </x:c>
      <x:c r="L10" s="28" t="n">
        <x:v>230</x:v>
      </x:c>
      <x:c r="M10" s="28" t="n">
        <x:v>63</x:v>
      </x:c>
      <x:c r="N10" s="28" t="n">
        <x:v>54</x:v>
      </x:c>
      <x:c r="O10" s="28" t="n">
        <x:v>20</x:v>
      </x:c>
      <x:c r="P10" s="28" t="n">
        <x:v>300</x:v>
      </x:c>
      <x:c r="Q10" s="28" t="n">
        <x:v>1700</x:v>
      </x:c>
      <x:c r="R10" s="22"/>
      <x:c r="S10" s="22"/>
      <x:c r="T10" s="22" t="str">
        <x:v>32位有符号内</x:v>
      </x:c>
    </x:row>
    <x:row r="11" ht="24" customHeight="1">
      <x:c r="A11" s="22" t="str">
        <x:v>EL-MON-SEA-007</x:v>
      </x:c>
      <x:c r="B11" s="22" t="n">
        <x:v>1</x:v>
      </x:c>
      <x:c r="C11" s="22" t="str">
        <x:v>失乡者海岸</x:v>
      </x:c>
      <x:c r="D11" s="22" t="str">
        <x:v>稀有</x:v>
      </x:c>
      <x:c r="E11" s="22" t="str">
        <x:v>唤潮祷师</x:v>
      </x:c>
      <x:c r="F11" s="22" t="str">
        <x:v>C01:失乡者海岸:2层</x:v>
      </x:c>
      <x:c r="G11" s="22" t="str">
        <x:v>P0003</x:v>
      </x:c>
      <x:c r="H11" s="22" t="n">
        <x:v>21.6</x:v>
      </x:c>
      <x:c r="I11" s="28" t="n">
        <x:v>21700.163694271694</x:v>
      </x:c>
      <x:c r="J11" s="28" t="n">
        <x:f>ROUND(H11*I11,-MAX(0,INT(LOG10(H11*I11))-1))</x:f>
        <x:v>470000</x:v>
      </x:c>
      <x:c r="K11" s="28" t="n">
        <x:v>180</x:v>
      </x:c>
      <x:c r="L11" s="28" t="n">
        <x:v>240</x:v>
      </x:c>
      <x:c r="M11" s="28" t="n">
        <x:v>63</x:v>
      </x:c>
      <x:c r="N11" s="28" t="n">
        <x:v>54</x:v>
      </x:c>
      <x:c r="O11" s="28" t="n">
        <x:v>20</x:v>
      </x:c>
      <x:c r="P11" s="28" t="n">
        <x:v>300</x:v>
      </x:c>
      <x:c r="Q11" s="28" t="n">
        <x:v>1700</x:v>
      </x:c>
      <x:c r="R11" s="22"/>
      <x:c r="S11" s="22"/>
      <x:c r="T11" s="22" t="str">
        <x:v>32位有符号内</x:v>
      </x:c>
    </x:row>
    <x:row r="12" ht="24" customHeight="1">
      <x:c r="A12" s="22" t="str">
        <x:v>EL-MON-SEA-008</x:v>
      </x:c>
      <x:c r="B12" s="22" t="n">
        <x:v>1</x:v>
      </x:c>
      <x:c r="C12" s="22" t="str">
        <x:v>失乡者海岸</x:v>
      </x:c>
      <x:c r="D12" s="22" t="str">
        <x:v>稀有</x:v>
      </x:c>
      <x:c r="E12" s="22" t="str">
        <x:v>沉船守财者</x:v>
      </x:c>
      <x:c r="F12" s="22" t="str">
        <x:v>C01:失乡者海岸:2层、C01:失乡者海岸:3层</x:v>
      </x:c>
      <x:c r="G12" s="22" t="str">
        <x:v>P0003</x:v>
      </x:c>
      <x:c r="H12" s="22" t="n">
        <x:v>24</x:v>
      </x:c>
      <x:c r="I12" s="28" t="n">
        <x:v>21700.163694271694</x:v>
      </x:c>
      <x:c r="J12" s="28" t="n">
        <x:f>ROUND(H12*I12,-MAX(0,INT(LOG10(H12*I12))-1))</x:f>
        <x:v>520000</x:v>
      </x:c>
      <x:c r="K12" s="28" t="n">
        <x:v>170</x:v>
      </x:c>
      <x:c r="L12" s="28" t="n">
        <x:v>230</x:v>
      </x:c>
      <x:c r="M12" s="28" t="n">
        <x:v>63</x:v>
      </x:c>
      <x:c r="N12" s="28" t="n">
        <x:v>54</x:v>
      </x:c>
      <x:c r="O12" s="28" t="n">
        <x:v>20</x:v>
      </x:c>
      <x:c r="P12" s="28" t="n">
        <x:v>300</x:v>
      </x:c>
      <x:c r="Q12" s="28" t="n">
        <x:v>1700</x:v>
      </x:c>
      <x:c r="R12" s="22"/>
      <x:c r="S12" s="22"/>
      <x:c r="T12" s="22" t="str">
        <x:v>32位有符号内</x:v>
      </x:c>
    </x:row>
    <x:row r="13" ht="24" customHeight="1">
      <x:c r="A13" s="22" t="str">
        <x:v>EL-MON-SEA-009</x:v>
      </x:c>
      <x:c r="B13" s="22" t="n">
        <x:v>1</x:v>
      </x:c>
      <x:c r="C13" s="22" t="str">
        <x:v>失乡者海岸</x:v>
      </x:c>
      <x:c r="D13" s="22" t="str">
        <x:v>稀有</x:v>
      </x:c>
      <x:c r="E13" s="22" t="str">
        <x:v>海雾骑士</x:v>
      </x:c>
      <x:c r="F13" s="22" t="str">
        <x:v>C01:失乡者海岸:3层</x:v>
      </x:c>
      <x:c r="G13" s="22" t="str">
        <x:v>P0003</x:v>
      </x:c>
      <x:c r="H13" s="22" t="n">
        <x:v>27.599999999999998</x:v>
      </x:c>
      <x:c r="I13" s="28" t="n">
        <x:v>21700.163694271694</x:v>
      </x:c>
      <x:c r="J13" s="28" t="n">
        <x:f>ROUND(H13*I13,-MAX(0,INT(LOG10(H13*I13))-1))</x:f>
        <x:v>600000</x:v>
      </x:c>
      <x:c r="K13" s="28" t="n">
        <x:v>170</x:v>
      </x:c>
      <x:c r="L13" s="28" t="n">
        <x:v>230</x:v>
      </x:c>
      <x:c r="M13" s="28" t="n">
        <x:v>63</x:v>
      </x:c>
      <x:c r="N13" s="28" t="n">
        <x:v>54</x:v>
      </x:c>
      <x:c r="O13" s="28" t="n">
        <x:v>20</x:v>
      </x:c>
      <x:c r="P13" s="28" t="n">
        <x:v>300</x:v>
      </x:c>
      <x:c r="Q13" s="28" t="n">
        <x:v>1700</x:v>
      </x:c>
      <x:c r="R13" s="22"/>
      <x:c r="S13" s="22"/>
      <x:c r="T13" s="22" t="str">
        <x:v>32位有符号内</x:v>
      </x:c>
    </x:row>
    <x:row r="14" ht="24" customHeight="1">
      <x:c r="A14" s="22" t="str">
        <x:v>EL-MON-SEA-010</x:v>
      </x:c>
      <x:c r="B14" s="22" t="n">
        <x:v>1</x:v>
      </x:c>
      <x:c r="C14" s="22" t="str">
        <x:v>失乡者海岸</x:v>
      </x:c>
      <x:c r="D14" s="22" t="str">
        <x:v>地图BOSS</x:v>
      </x:c>
      <x:c r="E14" s="22" t="str">
        <x:v>断桅船长·赫恩</x:v>
      </x:c>
      <x:c r="F14" s="22" t="str">
        <x:v>C01:失乡者海岸:2层</x:v>
      </x:c>
      <x:c r="G14" s="22" t="str">
        <x:v>P0005</x:v>
      </x:c>
      <x:c r="H14" s="22" t="n">
        <x:v>82.5</x:v>
      </x:c>
      <x:c r="I14" s="28" t="n">
        <x:v>24430.55359703844</x:v>
      </x:c>
      <x:c r="J14" s="28" t="n">
        <x:f>ROUND(H14*I14,-MAX(0,INT(LOG10(H14*I14))-1))</x:f>
        <x:v>2000000</x:v>
      </x:c>
      <x:c r="K14" s="28" t="n">
        <x:v>210</x:v>
      </x:c>
      <x:c r="L14" s="28" t="n">
        <x:v>290</x:v>
      </x:c>
      <x:c r="M14" s="28" t="n">
        <x:v>120</x:v>
      </x:c>
      <x:c r="N14" s="28" t="n">
        <x:v>100</x:v>
      </x:c>
      <x:c r="O14" s="28" t="n">
        <x:v>20</x:v>
      </x:c>
      <x:c r="P14" s="28" t="n">
        <x:v>1200</x:v>
      </x:c>
      <x:c r="Q14" s="28" t="n">
        <x:v>1800</x:v>
      </x:c>
      <x:c r="R14" s="22"/>
      <x:c r="S14" s="22"/>
      <x:c r="T14" s="22" t="str">
        <x:v>32位有符号内</x:v>
      </x:c>
    </x:row>
    <x:row r="15" ht="24" customHeight="1">
      <x:c r="A15" s="22" t="str">
        <x:v>EL-MON-SEA-011</x:v>
      </x:c>
      <x:c r="B15" s="22" t="n">
        <x:v>1</x:v>
      </x:c>
      <x:c r="C15" s="22" t="str">
        <x:v>失乡者海岸</x:v>
      </x:c>
      <x:c r="D15" s="22" t="str">
        <x:v>地图BOSS</x:v>
      </x:c>
      <x:c r="E15" s="22" t="str">
        <x:v>吞岸巨兽·格拉姆</x:v>
      </x:c>
      <x:c r="F15" s="22" t="str">
        <x:v>C01:失乡者海岸:3层</x:v>
      </x:c>
      <x:c r="G15" s="22" t="str">
        <x:v>P0006</x:v>
      </x:c>
      <x:c r="H15" s="22" t="n">
        <x:v>75</x:v>
      </x:c>
      <x:c r="I15" s="28" t="n">
        <x:v>24430.55359703844</x:v>
      </x:c>
      <x:c r="J15" s="28" t="n">
        <x:f>ROUND(H15*I15,-MAX(0,INT(LOG10(H15*I15))-1))</x:f>
        <x:v>1800000</x:v>
      </x:c>
      <x:c r="K15" s="28" t="n">
        <x:v>220</x:v>
      </x:c>
      <x:c r="L15" s="28" t="n">
        <x:v>290</x:v>
      </x:c>
      <x:c r="M15" s="28" t="n">
        <x:v>120</x:v>
      </x:c>
      <x:c r="N15" s="28" t="n">
        <x:v>100</x:v>
      </x:c>
      <x:c r="O15" s="28" t="n">
        <x:v>20</x:v>
      </x:c>
      <x:c r="P15" s="28" t="n">
        <x:v>1200</x:v>
      </x:c>
      <x:c r="Q15" s="28" t="n">
        <x:v>1800</x:v>
      </x:c>
      <x:c r="R15" s="22"/>
      <x:c r="S15" s="22"/>
      <x:c r="T15" s="22" t="str">
        <x:v>32位有符号内</x:v>
      </x:c>
    </x:row>
    <x:row r="16" ht="24" customHeight="1">
      <x:c r="A16" s="22" t="str">
        <x:v>EL-MON-CLIFF-001</x:v>
      </x:c>
      <x:c r="B16" s="22" t="n">
        <x:v>1</x:v>
      </x:c>
      <x:c r="C16" s="22" t="str">
        <x:v>风暴断崖</x:v>
      </x:c>
      <x:c r="D16" s="22" t="str">
        <x:v>普通</x:v>
      </x:c>
      <x:c r="E16" s="22" t="str">
        <x:v>风蚀守卫</x:v>
      </x:c>
      <x:c r="F16" s="22" t="str">
        <x:v>C01:风暴断崖:1层、C01:风暴断崖:2层、C01:风暴断崖:3层、C01:风暴断崖:4层</x:v>
      </x:c>
      <x:c r="G16" s="22" t="str">
        <x:v>P0004</x:v>
      </x:c>
      <x:c r="H16" s="22" t="n">
        <x:v>7.2</x:v>
      </x:c>
      <x:c r="I16" s="28" t="n">
        <x:v>23014.65855734624</x:v>
      </x:c>
      <x:c r="J16" s="28" t="n">
        <x:f>ROUND(H16*I16,-MAX(0,INT(LOG10(H16*I16))-1))</x:f>
        <x:v>170000</x:v>
      </x:c>
      <x:c r="K16" s="28" t="n">
        <x:v>160</x:v>
      </x:c>
      <x:c r="L16" s="28" t="n">
        <x:v>220</x:v>
      </x:c>
      <x:c r="M16" s="28" t="n">
        <x:v>39</x:v>
      </x:c>
      <x:c r="N16" s="28" t="n">
        <x:v>33</x:v>
      </x:c>
      <x:c r="O16" s="28" t="n">
        <x:v>23</x:v>
      </x:c>
      <x:c r="P16" s="28" t="n">
        <x:v>120</x:v>
      </x:c>
      <x:c r="Q16" s="28" t="n">
        <x:v>1600</x:v>
      </x:c>
      <x:c r="R16" s="22"/>
      <x:c r="S16" s="22"/>
      <x:c r="T16" s="22" t="str">
        <x:v>32位有符号内</x:v>
      </x:c>
    </x:row>
    <x:row r="17" ht="24" customHeight="1">
      <x:c r="A17" s="22" t="str">
        <x:v>EL-MON-CLIFF-002</x:v>
      </x:c>
      <x:c r="B17" s="22" t="n">
        <x:v>1</x:v>
      </x:c>
      <x:c r="C17" s="22" t="str">
        <x:v>风暴断崖</x:v>
      </x:c>
      <x:c r="D17" s="22" t="str">
        <x:v>普通</x:v>
      </x:c>
      <x:c r="E17" s="22" t="str">
        <x:v>断崖弩手</x:v>
      </x:c>
      <x:c r="F17" s="22" t="str">
        <x:v>C01:风暴断崖:1层、C01:风暴断崖:2层、C01:风暴断崖:3层、C01:风暴断崖:4层</x:v>
      </x:c>
      <x:c r="G17" s="22" t="str">
        <x:v>P0004</x:v>
      </x:c>
      <x:c r="H17" s="22" t="n">
        <x:v>7.2</x:v>
      </x:c>
      <x:c r="I17" s="28" t="n">
        <x:v>23014.65855734624</x:v>
      </x:c>
      <x:c r="J17" s="28" t="n">
        <x:f>ROUND(H17*I17,-MAX(0,INT(LOG10(H17*I17))-1))</x:f>
        <x:v>170000</x:v>
      </x:c>
      <x:c r="K17" s="28" t="n">
        <x:v>160</x:v>
      </x:c>
      <x:c r="L17" s="28" t="n">
        <x:v>220</x:v>
      </x:c>
      <x:c r="M17" s="28" t="n">
        <x:v>39</x:v>
      </x:c>
      <x:c r="N17" s="28" t="n">
        <x:v>33</x:v>
      </x:c>
      <x:c r="O17" s="28" t="n">
        <x:v>23</x:v>
      </x:c>
      <x:c r="P17" s="28" t="n">
        <x:v>120</x:v>
      </x:c>
      <x:c r="Q17" s="28" t="n">
        <x:v>1600</x:v>
      </x:c>
      <x:c r="R17" s="22"/>
      <x:c r="S17" s="22"/>
      <x:c r="T17" s="22" t="str">
        <x:v>32位有符号内</x:v>
      </x:c>
    </x:row>
    <x:row r="18" ht="24" customHeight="1">
      <x:c r="A18" s="22" t="str">
        <x:v>EL-MON-CLIFF-003</x:v>
      </x:c>
      <x:c r="B18" s="22" t="n">
        <x:v>1</x:v>
      </x:c>
      <x:c r="C18" s="22" t="str">
        <x:v>风暴断崖</x:v>
      </x:c>
      <x:c r="D18" s="22" t="str">
        <x:v>普通</x:v>
      </x:c>
      <x:c r="E18" s="22" t="str">
        <x:v>雷羽鹰</x:v>
      </x:c>
      <x:c r="F18" s="22" t="str">
        <x:v>C01:风暴断崖:1层、C01:风暴断崖:2层、C01:风暴断崖:3层、C01:风暴断崖:4层</x:v>
      </x:c>
      <x:c r="G18" s="22" t="str">
        <x:v>P0004</x:v>
      </x:c>
      <x:c r="H18" s="22" t="n">
        <x:v>8.8</x:v>
      </x:c>
      <x:c r="I18" s="28" t="n">
        <x:v>23014.65855734624</x:v>
      </x:c>
      <x:c r="J18" s="28" t="n">
        <x:f>ROUND(H18*I18,-MAX(0,INT(LOG10(H18*I18))-1))</x:f>
        <x:v>200000</x:v>
      </x:c>
      <x:c r="K18" s="28" t="n">
        <x:v>160</x:v>
      </x:c>
      <x:c r="L18" s="28" t="n">
        <x:v>220</x:v>
      </x:c>
      <x:c r="M18" s="28" t="n">
        <x:v>39</x:v>
      </x:c>
      <x:c r="N18" s="28" t="n">
        <x:v>33</x:v>
      </x:c>
      <x:c r="O18" s="28" t="n">
        <x:v>23</x:v>
      </x:c>
      <x:c r="P18" s="28" t="n">
        <x:v>120</x:v>
      </x:c>
      <x:c r="Q18" s="28" t="n">
        <x:v>1600</x:v>
      </x:c>
      <x:c r="R18" s="22"/>
      <x:c r="S18" s="22"/>
      <x:c r="T18" s="22" t="str">
        <x:v>32位有符号内</x:v>
      </x:c>
    </x:row>
    <x:row r="19" ht="24" customHeight="1">
      <x:c r="A19" s="22" t="str">
        <x:v>EL-MON-CLIFF-004</x:v>
      </x:c>
      <x:c r="B19" s="22" t="n">
        <x:v>1</x:v>
      </x:c>
      <x:c r="C19" s="22" t="str">
        <x:v>风暴断崖</x:v>
      </x:c>
      <x:c r="D19" s="22" t="str">
        <x:v>普通</x:v>
      </x:c>
      <x:c r="E19" s="22" t="str">
        <x:v>狂风战奴</x:v>
      </x:c>
      <x:c r="F19" s="22" t="str">
        <x:v>C01:风暴断崖:2层、C01:风暴断崖:3层、C01:风暴断崖:4层</x:v>
      </x:c>
      <x:c r="G19" s="22" t="str">
        <x:v>P0004</x:v>
      </x:c>
      <x:c r="H19" s="22" t="n">
        <x:v>7.2</x:v>
      </x:c>
      <x:c r="I19" s="28" t="n">
        <x:v>23014.65855734624</x:v>
      </x:c>
      <x:c r="J19" s="28" t="n">
        <x:f>ROUND(H19*I19,-MAX(0,INT(LOG10(H19*I19))-1))</x:f>
        <x:v>170000</x:v>
      </x:c>
      <x:c r="K19" s="28" t="n">
        <x:v>160</x:v>
      </x:c>
      <x:c r="L19" s="28" t="n">
        <x:v>220</x:v>
      </x:c>
      <x:c r="M19" s="28" t="n">
        <x:v>39</x:v>
      </x:c>
      <x:c r="N19" s="28" t="n">
        <x:v>33</x:v>
      </x:c>
      <x:c r="O19" s="28" t="n">
        <x:v>23</x:v>
      </x:c>
      <x:c r="P19" s="28" t="n">
        <x:v>120</x:v>
      </x:c>
      <x:c r="Q19" s="28" t="n">
        <x:v>1600</x:v>
      </x:c>
      <x:c r="R19" s="22"/>
      <x:c r="S19" s="22"/>
      <x:c r="T19" s="22" t="str">
        <x:v>32位有符号内</x:v>
      </x:c>
    </x:row>
    <x:row r="20" ht="24" customHeight="1">
      <x:c r="A20" s="22" t="str">
        <x:v>EL-MON-CLIFF-005</x:v>
      </x:c>
      <x:c r="B20" s="22" t="n">
        <x:v>1</x:v>
      </x:c>
      <x:c r="C20" s="22" t="str">
        <x:v>风暴断崖</x:v>
      </x:c>
      <x:c r="D20" s="22" t="str">
        <x:v>普通</x:v>
      </x:c>
      <x:c r="E20" s="22" t="str">
        <x:v>坠崖亡兵</x:v>
      </x:c>
      <x:c r="F20" s="22" t="str">
        <x:v>C01:风暴断崖:2层、C01:风暴断崖:3层、C01:风暴断崖:4层</x:v>
      </x:c>
      <x:c r="G20" s="22" t="str">
        <x:v>P0004</x:v>
      </x:c>
      <x:c r="H20" s="22" t="n">
        <x:v>8.8</x:v>
      </x:c>
      <x:c r="I20" s="28" t="n">
        <x:v>23014.65855734624</x:v>
      </x:c>
      <x:c r="J20" s="28" t="n">
        <x:f>ROUND(H20*I20,-MAX(0,INT(LOG10(H20*I20))-1))</x:f>
        <x:v>200000</x:v>
      </x:c>
      <x:c r="K20" s="28" t="n">
        <x:v>160</x:v>
      </x:c>
      <x:c r="L20" s="28" t="n">
        <x:v>220</x:v>
      </x:c>
      <x:c r="M20" s="28" t="n">
        <x:v>39</x:v>
      </x:c>
      <x:c r="N20" s="28" t="n">
        <x:v>33</x:v>
      </x:c>
      <x:c r="O20" s="28" t="n">
        <x:v>23</x:v>
      </x:c>
      <x:c r="P20" s="28" t="n">
        <x:v>120</x:v>
      </x:c>
      <x:c r="Q20" s="28" t="n">
        <x:v>1600</x:v>
      </x:c>
      <x:c r="R20" s="22"/>
      <x:c r="S20" s="22"/>
      <x:c r="T20" s="22" t="str">
        <x:v>32位有符号内</x:v>
      </x:c>
    </x:row>
    <x:row r="21" ht="24" customHeight="1">
      <x:c r="A21" s="22" t="str">
        <x:v>EL-MON-CLIFF-006</x:v>
      </x:c>
      <x:c r="B21" s="22" t="n">
        <x:v>1</x:v>
      </x:c>
      <x:c r="C21" s="22" t="str">
        <x:v>风暴断崖</x:v>
      </x:c>
      <x:c r="D21" s="22" t="str">
        <x:v>普通</x:v>
      </x:c>
      <x:c r="E21" s="22" t="str">
        <x:v>崖穴石蜥</x:v>
      </x:c>
      <x:c r="F21" s="22" t="str">
        <x:v>C01:风暴断崖:3层、C01:风暴断崖:4层</x:v>
      </x:c>
      <x:c r="G21" s="22" t="str">
        <x:v>P0004</x:v>
      </x:c>
      <x:c r="H21" s="22" t="n">
        <x:v>7.2</x:v>
      </x:c>
      <x:c r="I21" s="28" t="n">
        <x:v>23014.65855734624</x:v>
      </x:c>
      <x:c r="J21" s="28" t="n">
        <x:f>ROUND(H21*I21,-MAX(0,INT(LOG10(H21*I21))-1))</x:f>
        <x:v>170000</x:v>
      </x:c>
      <x:c r="K21" s="28" t="n">
        <x:v>160</x:v>
      </x:c>
      <x:c r="L21" s="28" t="n">
        <x:v>220</x:v>
      </x:c>
      <x:c r="M21" s="28" t="n">
        <x:v>39</x:v>
      </x:c>
      <x:c r="N21" s="28" t="n">
        <x:v>33</x:v>
      </x:c>
      <x:c r="O21" s="28" t="n">
        <x:v>23</x:v>
      </x:c>
      <x:c r="P21" s="28" t="n">
        <x:v>120</x:v>
      </x:c>
      <x:c r="Q21" s="28" t="n">
        <x:v>1600</x:v>
      </x:c>
      <x:c r="R21" s="22"/>
      <x:c r="S21" s="22"/>
      <x:c r="T21" s="22" t="str">
        <x:v>32位有符号内</x:v>
      </x:c>
    </x:row>
    <x:row r="22" ht="24" customHeight="1">
      <x:c r="A22" s="22" t="str">
        <x:v>EL-MON-CLIFF-007</x:v>
      </x:c>
      <x:c r="B22" s="22" t="n">
        <x:v>1</x:v>
      </x:c>
      <x:c r="C22" s="22" t="str">
        <x:v>风暴断崖</x:v>
      </x:c>
      <x:c r="D22" s="22" t="str">
        <x:v>稀有</x:v>
      </x:c>
      <x:c r="E22" s="22" t="str">
        <x:v>逐雷骑士</x:v>
      </x:c>
      <x:c r="F22" s="22" t="str">
        <x:v>C01:风暴断崖:1层、C01:风暴断崖:2层</x:v>
      </x:c>
      <x:c r="G22" s="22" t="str">
        <x:v>P0004</x:v>
      </x:c>
      <x:c r="H22" s="22" t="n">
        <x:v>24</x:v>
      </x:c>
      <x:c r="I22" s="28" t="n">
        <x:v>22759.543396386358</x:v>
      </x:c>
      <x:c r="J22" s="28" t="n">
        <x:f>ROUND(H22*I22,-MAX(0,INT(LOG10(H22*I22))-1))</x:f>
        <x:v>550000</x:v>
      </x:c>
      <x:c r="K22" s="28" t="n">
        <x:v>140</x:v>
      </x:c>
      <x:c r="L22" s="28" t="n">
        <x:v>190</x:v>
      </x:c>
      <x:c r="M22" s="28" t="n">
        <x:v>77</x:v>
      </x:c>
      <x:c r="N22" s="28" t="n">
        <x:v>65</x:v>
      </x:c>
      <x:c r="O22" s="28" t="n">
        <x:v>23</x:v>
      </x:c>
      <x:c r="P22" s="28" t="n">
        <x:v>340</x:v>
      </x:c>
      <x:c r="Q22" s="28" t="n">
        <x:v>1700</x:v>
      </x:c>
      <x:c r="R22" s="22"/>
      <x:c r="S22" s="22"/>
      <x:c r="T22" s="22" t="str">
        <x:v>32位有符号内</x:v>
      </x:c>
    </x:row>
    <x:row r="23" ht="24" customHeight="1">
      <x:c r="A23" s="22" t="str">
        <x:v>EL-MON-CLIFF-008</x:v>
      </x:c>
      <x:c r="B23" s="22" t="n">
        <x:v>1</x:v>
      </x:c>
      <x:c r="C23" s="22" t="str">
        <x:v>风暴断崖</x:v>
      </x:c>
      <x:c r="D23" s="22" t="str">
        <x:v>稀有</x:v>
      </x:c>
      <x:c r="E23" s="22" t="str">
        <x:v>风暴祭司</x:v>
      </x:c>
      <x:c r="F23" s="22" t="str">
        <x:v>C01:风暴断崖:2层、C01:风暴断崖:3层</x:v>
      </x:c>
      <x:c r="G23" s="22" t="str">
        <x:v>P0004</x:v>
      </x:c>
      <x:c r="H23" s="22" t="n">
        <x:v>27.599999999999998</x:v>
      </x:c>
      <x:c r="I23" s="28" t="n">
        <x:v>22759.543396386358</x:v>
      </x:c>
      <x:c r="J23" s="28" t="n">
        <x:f>ROUND(H23*I23,-MAX(0,INT(LOG10(H23*I23))-1))</x:f>
        <x:v>630000</x:v>
      </x:c>
      <x:c r="K23" s="28" t="n">
        <x:v>140</x:v>
      </x:c>
      <x:c r="L23" s="28" t="n">
        <x:v>180</x:v>
      </x:c>
      <x:c r="M23" s="28" t="n">
        <x:v>77</x:v>
      </x:c>
      <x:c r="N23" s="28" t="n">
        <x:v>65</x:v>
      </x:c>
      <x:c r="O23" s="28" t="n">
        <x:v>23</x:v>
      </x:c>
      <x:c r="P23" s="28" t="n">
        <x:v>340</x:v>
      </x:c>
      <x:c r="Q23" s="28" t="n">
        <x:v>1700</x:v>
      </x:c>
      <x:c r="R23" s="22"/>
      <x:c r="S23" s="22"/>
      <x:c r="T23" s="22" t="str">
        <x:v>32位有符号内</x:v>
      </x:c>
    </x:row>
    <x:row r="24" ht="24" customHeight="1">
      <x:c r="A24" s="22" t="str">
        <x:v>EL-MON-CLIFF-009</x:v>
      </x:c>
      <x:c r="B24" s="22" t="n">
        <x:v>1</x:v>
      </x:c>
      <x:c r="C24" s="22" t="str">
        <x:v>风暴断崖</x:v>
      </x:c>
      <x:c r="D24" s="22" t="str">
        <x:v>稀有</x:v>
      </x:c>
      <x:c r="E24" s="22" t="str">
        <x:v>裂岩巨人</x:v>
      </x:c>
      <x:c r="F24" s="22" t="str">
        <x:v>C01:风暴断崖:3层、C01:风暴断崖:4层</x:v>
      </x:c>
      <x:c r="G24" s="22" t="str">
        <x:v>P0004</x:v>
      </x:c>
      <x:c r="H24" s="22" t="n">
        <x:v>24</x:v>
      </x:c>
      <x:c r="I24" s="28" t="n">
        <x:v>22759.543396386358</x:v>
      </x:c>
      <x:c r="J24" s="28" t="n">
        <x:f>ROUND(H24*I24,-MAX(0,INT(LOG10(H24*I24))-1))</x:f>
        <x:v>550000</x:v>
      </x:c>
      <x:c r="K24" s="28" t="n">
        <x:v>140</x:v>
      </x:c>
      <x:c r="L24" s="28" t="n">
        <x:v>190</x:v>
      </x:c>
      <x:c r="M24" s="28" t="n">
        <x:v>77</x:v>
      </x:c>
      <x:c r="N24" s="28" t="n">
        <x:v>65</x:v>
      </x:c>
      <x:c r="O24" s="28" t="n">
        <x:v>23</x:v>
      </x:c>
      <x:c r="P24" s="28" t="n">
        <x:v>340</x:v>
      </x:c>
      <x:c r="Q24" s="28" t="n">
        <x:v>1700</x:v>
      </x:c>
      <x:c r="R24" s="22"/>
      <x:c r="S24" s="22"/>
      <x:c r="T24" s="22" t="str">
        <x:v>32位有符号内</x:v>
      </x:c>
    </x:row>
    <x:row r="25" ht="24" customHeight="1">
      <x:c r="A25" s="22" t="str">
        <x:v>EL-MON-CLIFF-010</x:v>
      </x:c>
      <x:c r="B25" s="22" t="n">
        <x:v>1</x:v>
      </x:c>
      <x:c r="C25" s="22" t="str">
        <x:v>风暴断崖</x:v>
      </x:c>
      <x:c r="D25" s="22" t="str">
        <x:v>稀有</x:v>
      </x:c>
      <x:c r="E25" s="22" t="str">
        <x:v>黑翼猎杀者</x:v>
      </x:c>
      <x:c r="F25" s="22" t="str">
        <x:v>C01:风暴断崖:4层</x:v>
      </x:c>
      <x:c r="G25" s="22" t="str">
        <x:v>P0004</x:v>
      </x:c>
      <x:c r="H25" s="22" t="n">
        <x:v>21.6</x:v>
      </x:c>
      <x:c r="I25" s="28" t="n">
        <x:v>22759.543396386358</x:v>
      </x:c>
      <x:c r="J25" s="28" t="n">
        <x:f>ROUND(H25*I25,-MAX(0,INT(LOG10(H25*I25))-1))</x:f>
        <x:v>490000</x:v>
      </x:c>
      <x:c r="K25" s="28" t="n">
        <x:v>140</x:v>
      </x:c>
      <x:c r="L25" s="28" t="n">
        <x:v>190</x:v>
      </x:c>
      <x:c r="M25" s="28" t="n">
        <x:v>77</x:v>
      </x:c>
      <x:c r="N25" s="28" t="n">
        <x:v>65</x:v>
      </x:c>
      <x:c r="O25" s="28" t="n">
        <x:v>23</x:v>
      </x:c>
      <x:c r="P25" s="28" t="n">
        <x:v>340</x:v>
      </x:c>
      <x:c r="Q25" s="28" t="n">
        <x:v>1700</x:v>
      </x:c>
      <x:c r="R25" s="22"/>
      <x:c r="S25" s="22"/>
      <x:c r="T25" s="22" t="str">
        <x:v>32位有符号内</x:v>
      </x:c>
    </x:row>
    <x:row r="26" ht="24" customHeight="1">
      <x:c r="A26" s="22" t="str">
        <x:v>EL-MON-CLIFF-011</x:v>
      </x:c>
      <x:c r="B26" s="22" t="n">
        <x:v>1</x:v>
      </x:c>
      <x:c r="C26" s="22" t="str">
        <x:v>风暴断崖</x:v>
      </x:c>
      <x:c r="D26" s="22" t="str">
        <x:v>地图BOSS</x:v>
      </x:c>
      <x:c r="E26" s="22" t="str">
        <x:v>风暴执刑官·巴鲁克</x:v>
      </x:c>
      <x:c r="F26" s="22" t="str">
        <x:v>C01:风暴断崖:3层</x:v>
      </x:c>
      <x:c r="G26" s="22" t="str">
        <x:v>P0011</x:v>
      </x:c>
      <x:c r="H26" s="22" t="n">
        <x:v>86.25</x:v>
      </x:c>
      <x:c r="I26" s="28" t="n">
        <x:v>27909.2291390949</x:v>
      </x:c>
      <x:c r="J26" s="28" t="n">
        <x:f>ROUND(H26*I26,-MAX(0,INT(LOG10(H26*I26))-1))</x:f>
        <x:v>2400000</x:v>
      </x:c>
      <x:c r="K26" s="28" t="n">
        <x:v>350</x:v>
      </x:c>
      <x:c r="L26" s="28" t="n">
        <x:v>470</x:v>
      </x:c>
      <x:c r="M26" s="28" t="n">
        <x:v>180</x:v>
      </x:c>
      <x:c r="N26" s="28" t="n">
        <x:v>150</x:v>
      </x:c>
      <x:c r="O26" s="28" t="n">
        <x:v>23</x:v>
      </x:c>
      <x:c r="P26" s="28" t="n">
        <x:v>1400</x:v>
      </x:c>
      <x:c r="Q26" s="28" t="n">
        <x:v>1800</x:v>
      </x:c>
      <x:c r="R26" s="22"/>
      <x:c r="S26" s="22"/>
      <x:c r="T26" s="22" t="str">
        <x:v>32位有符号内</x:v>
      </x:c>
    </x:row>
    <x:row r="27" ht="24" customHeight="1">
      <x:c r="A27" s="22" t="str">
        <x:v>EL-MON-CLIFF-012</x:v>
      </x:c>
      <x:c r="B27" s="22" t="n">
        <x:v>1</x:v>
      </x:c>
      <x:c r="C27" s="22" t="str">
        <x:v>风暴断崖</x:v>
      </x:c>
      <x:c r="D27" s="22" t="str">
        <x:v>地图BOSS</x:v>
      </x:c>
      <x:c r="E27" s="22" t="str">
        <x:v>断崖古龙·赛尔</x:v>
      </x:c>
      <x:c r="F27" s="22" t="str">
        <x:v>C01:风暴断崖:4层</x:v>
      </x:c>
      <x:c r="G27" s="22" t="str">
        <x:v>P0012</x:v>
      </x:c>
      <x:c r="H27" s="22" t="n">
        <x:v>67.5</x:v>
      </x:c>
      <x:c r="I27" s="28" t="n">
        <x:v>27909.2291390949</x:v>
      </x:c>
      <x:c r="J27" s="28" t="n">
        <x:f>ROUND(H27*I27,-MAX(0,INT(LOG10(H27*I27))-1))</x:f>
        <x:v>1900000</x:v>
      </x:c>
      <x:c r="K27" s="28" t="n">
        <x:v>360</x:v>
      </x:c>
      <x:c r="L27" s="28" t="n">
        <x:v>480</x:v>
      </x:c>
      <x:c r="M27" s="28" t="n">
        <x:v>180</x:v>
      </x:c>
      <x:c r="N27" s="28" t="n">
        <x:v>150</x:v>
      </x:c>
      <x:c r="O27" s="28" t="n">
        <x:v>23</x:v>
      </x:c>
      <x:c r="P27" s="28" t="n">
        <x:v>1400</x:v>
      </x:c>
      <x:c r="Q27" s="28" t="n">
        <x:v>1800</x:v>
      </x:c>
      <x:c r="R27" s="22"/>
      <x:c r="S27" s="22"/>
      <x:c r="T27" s="22" t="str">
        <x:v>32位有符号内</x:v>
      </x:c>
    </x:row>
    <x:row r="28" ht="24" customHeight="1">
      <x:c r="A28" s="22" t="str">
        <x:v>EL-MON-COURT-001</x:v>
      </x:c>
      <x:c r="B28" s="22" t="n">
        <x:v>1</x:v>
      </x:c>
      <x:c r="C28" s="22" t="str">
        <x:v>沉没王庭</x:v>
      </x:c>
      <x:c r="D28" s="22" t="str">
        <x:v>普通</x:v>
      </x:c>
      <x:c r="E28" s="22" t="str">
        <x:v>溺亡禁卫</x:v>
      </x:c>
      <x:c r="F28" s="22" t="str">
        <x:v>C01:沉没王庭:1层、C01:沉没王庭:2层、C01:沉没王庭:3层</x:v>
      </x:c>
      <x:c r="G28" s="22" t="str">
        <x:v>P0010</x:v>
      </x:c>
      <x:c r="H28" s="22" t="n">
        <x:v>9.2</x:v>
      </x:c>
      <x:c r="I28" s="28" t="n">
        <x:v>25547.92838471899</x:v>
      </x:c>
      <x:c r="J28" s="28" t="n">
        <x:f>ROUND(H28*I28,-MAX(0,INT(LOG10(H28*I28))-1))</x:f>
        <x:v>240000</x:v>
      </x:c>
      <x:c r="K28" s="28" t="n">
        <x:v>240</x:v>
      </x:c>
      <x:c r="L28" s="28" t="n">
        <x:v>320</x:v>
      </x:c>
      <x:c r="M28" s="28" t="n">
        <x:v>60</x:v>
      </x:c>
      <x:c r="N28" s="28" t="n">
        <x:v>51</x:v>
      </x:c>
      <x:c r="O28" s="28" t="n">
        <x:v>26</x:v>
      </x:c>
      <x:c r="P28" s="28" t="n">
        <x:v>130</x:v>
      </x:c>
      <x:c r="Q28" s="28" t="n">
        <x:v>1600</x:v>
      </x:c>
      <x:c r="R28" s="22"/>
      <x:c r="S28" s="22"/>
      <x:c r="T28" s="22" t="str">
        <x:v>32位有符号内</x:v>
      </x:c>
    </x:row>
    <x:row r="29" ht="24" customHeight="1">
      <x:c r="A29" s="22" t="str">
        <x:v>EL-MON-COURT-002</x:v>
      </x:c>
      <x:c r="B29" s="22" t="n">
        <x:v>1</x:v>
      </x:c>
      <x:c r="C29" s="22" t="str">
        <x:v>沉没王庭</x:v>
      </x:c>
      <x:c r="D29" s="22" t="str">
        <x:v>普通</x:v>
      </x:c>
      <x:c r="E29" s="22" t="str">
        <x:v>沉宫侍从</x:v>
      </x:c>
      <x:c r="F29" s="22" t="str">
        <x:v>C01:沉没王庭:1层、C01:沉没王庭:2层、C01:沉没王庭:3层</x:v>
      </x:c>
      <x:c r="G29" s="22" t="str">
        <x:v>P0010</x:v>
      </x:c>
      <x:c r="H29" s="22" t="n">
        <x:v>8</x:v>
      </x:c>
      <x:c r="I29" s="28" t="n">
        <x:v>25547.92838471899</x:v>
      </x:c>
      <x:c r="J29" s="28" t="n">
        <x:f>ROUND(H29*I29,-MAX(0,INT(LOG10(H29*I29))-1))</x:f>
        <x:v>200000</x:v>
      </x:c>
      <x:c r="K29" s="28" t="n">
        <x:v>240</x:v>
      </x:c>
      <x:c r="L29" s="28" t="n">
        <x:v>320</x:v>
      </x:c>
      <x:c r="M29" s="28" t="n">
        <x:v>60</x:v>
      </x:c>
      <x:c r="N29" s="28" t="n">
        <x:v>51</x:v>
      </x:c>
      <x:c r="O29" s="28" t="n">
        <x:v>26</x:v>
      </x:c>
      <x:c r="P29" s="28" t="n">
        <x:v>130</x:v>
      </x:c>
      <x:c r="Q29" s="28" t="n">
        <x:v>1600</x:v>
      </x:c>
      <x:c r="R29" s="22"/>
      <x:c r="S29" s="22"/>
      <x:c r="T29" s="22" t="str">
        <x:v>32位有符号内</x:v>
      </x:c>
    </x:row>
    <x:row r="30" ht="24" customHeight="1">
      <x:c r="A30" s="22" t="str">
        <x:v>EL-MON-COURT-003</x:v>
      </x:c>
      <x:c r="B30" s="22" t="n">
        <x:v>1</x:v>
      </x:c>
      <x:c r="C30" s="22" t="str">
        <x:v>沉没王庭</x:v>
      </x:c>
      <x:c r="D30" s="22" t="str">
        <x:v>普通</x:v>
      </x:c>
      <x:c r="E30" s="22" t="str">
        <x:v>苔甲骑兵</x:v>
      </x:c>
      <x:c r="F30" s="22" t="str">
        <x:v>C01:沉没王庭:1层、C01:沉没王庭:2层、C01:沉没王庭:3层</x:v>
      </x:c>
      <x:c r="G30" s="22" t="str">
        <x:v>P0010</x:v>
      </x:c>
      <x:c r="H30" s="22" t="n">
        <x:v>9.2</x:v>
      </x:c>
      <x:c r="I30" s="28" t="n">
        <x:v>25547.92838471899</x:v>
      </x:c>
      <x:c r="J30" s="28" t="n">
        <x:f>ROUND(H30*I30,-MAX(0,INT(LOG10(H30*I30))-1))</x:f>
        <x:v>240000</x:v>
      </x:c>
      <x:c r="K30" s="28" t="n">
        <x:v>240</x:v>
      </x:c>
      <x:c r="L30" s="28" t="n">
        <x:v>320</x:v>
      </x:c>
      <x:c r="M30" s="28" t="n">
        <x:v>60</x:v>
      </x:c>
      <x:c r="N30" s="28" t="n">
        <x:v>51</x:v>
      </x:c>
      <x:c r="O30" s="28" t="n">
        <x:v>26</x:v>
      </x:c>
      <x:c r="P30" s="28" t="n">
        <x:v>130</x:v>
      </x:c>
      <x:c r="Q30" s="28" t="n">
        <x:v>1600</x:v>
      </x:c>
      <x:c r="R30" s="22"/>
      <x:c r="S30" s="22"/>
      <x:c r="T30" s="22" t="str">
        <x:v>32位有符号内</x:v>
      </x:c>
    </x:row>
    <x:row r="31" ht="24" customHeight="1">
      <x:c r="A31" s="22" t="str">
        <x:v>EL-MON-COURT-004</x:v>
      </x:c>
      <x:c r="B31" s="22" t="n">
        <x:v>1</x:v>
      </x:c>
      <x:c r="C31" s="22" t="str">
        <x:v>沉没王庭</x:v>
      </x:c>
      <x:c r="D31" s="22" t="str">
        <x:v>普通</x:v>
      </x:c>
      <x:c r="E31" s="22" t="str">
        <x:v>王庭咒师</x:v>
      </x:c>
      <x:c r="F31" s="22" t="str">
        <x:v>C01:沉没王庭:2层、C01:沉没王庭:3层</x:v>
      </x:c>
      <x:c r="G31" s="22" t="str">
        <x:v>P0010</x:v>
      </x:c>
      <x:c r="H31" s="22" t="n">
        <x:v>8.8</x:v>
      </x:c>
      <x:c r="I31" s="28" t="n">
        <x:v>25547.92838471899</x:v>
      </x:c>
      <x:c r="J31" s="28" t="n">
        <x:f>ROUND(H31*I31,-MAX(0,INT(LOG10(H31*I31))-1))</x:f>
        <x:v>220000</x:v>
      </x:c>
      <x:c r="K31" s="28" t="n">
        <x:v>240</x:v>
      </x:c>
      <x:c r="L31" s="28" t="n">
        <x:v>320</x:v>
      </x:c>
      <x:c r="M31" s="28" t="n">
        <x:v>60</x:v>
      </x:c>
      <x:c r="N31" s="28" t="n">
        <x:v>51</x:v>
      </x:c>
      <x:c r="O31" s="28" t="n">
        <x:v>26</x:v>
      </x:c>
      <x:c r="P31" s="28" t="n">
        <x:v>130</x:v>
      </x:c>
      <x:c r="Q31" s="28" t="n">
        <x:v>1600</x:v>
      </x:c>
      <x:c r="R31" s="22"/>
      <x:c r="S31" s="22"/>
      <x:c r="T31" s="22" t="str">
        <x:v>32位有符号内</x:v>
      </x:c>
    </x:row>
    <x:row r="32" ht="24" customHeight="1">
      <x:c r="A32" s="22" t="str">
        <x:v>EL-MON-COURT-005</x:v>
      </x:c>
      <x:c r="B32" s="22" t="n">
        <x:v>1</x:v>
      </x:c>
      <x:c r="C32" s="22" t="str">
        <x:v>沉没王庭</x:v>
      </x:c>
      <x:c r="D32" s="22" t="str">
        <x:v>普通</x:v>
      </x:c>
      <x:c r="E32" s="22" t="str">
        <x:v>深水石像</x:v>
      </x:c>
      <x:c r="F32" s="22" t="str">
        <x:v>C01:沉没王庭:2层、C01:沉没王庭:3层</x:v>
      </x:c>
      <x:c r="G32" s="22" t="str">
        <x:v>P0010</x:v>
      </x:c>
      <x:c r="H32" s="22" t="n">
        <x:v>8</x:v>
      </x:c>
      <x:c r="I32" s="28" t="n">
        <x:v>25547.92838471899</x:v>
      </x:c>
      <x:c r="J32" s="28" t="n">
        <x:f>ROUND(H32*I32,-MAX(0,INT(LOG10(H32*I32))-1))</x:f>
        <x:v>200000</x:v>
      </x:c>
      <x:c r="K32" s="28" t="n">
        <x:v>240</x:v>
      </x:c>
      <x:c r="L32" s="28" t="n">
        <x:v>320</x:v>
      </x:c>
      <x:c r="M32" s="28" t="n">
        <x:v>60</x:v>
      </x:c>
      <x:c r="N32" s="28" t="n">
        <x:v>51</x:v>
      </x:c>
      <x:c r="O32" s="28" t="n">
        <x:v>26</x:v>
      </x:c>
      <x:c r="P32" s="28" t="n">
        <x:v>130</x:v>
      </x:c>
      <x:c r="Q32" s="28" t="n">
        <x:v>1600</x:v>
      </x:c>
      <x:c r="R32" s="22"/>
      <x:c r="S32" s="22"/>
      <x:c r="T32" s="22" t="str">
        <x:v>32位有符号内</x:v>
      </x:c>
    </x:row>
    <x:row r="33" ht="24" customHeight="1">
      <x:c r="A33" s="22" t="str">
        <x:v>EL-MON-COURT-006</x:v>
      </x:c>
      <x:c r="B33" s="22" t="n">
        <x:v>1</x:v>
      </x:c>
      <x:c r="C33" s="22" t="str">
        <x:v>沉没王庭</x:v>
      </x:c>
      <x:c r="D33" s="22" t="str">
        <x:v>普通</x:v>
      </x:c>
      <x:c r="E33" s="22" t="str">
        <x:v>幽灯侍者</x:v>
      </x:c>
      <x:c r="F33" s="22" t="str">
        <x:v>C01:沉没王庭:3层</x:v>
      </x:c>
      <x:c r="G33" s="22" t="str">
        <x:v>P0010</x:v>
      </x:c>
      <x:c r="H33" s="22" t="n">
        <x:v>8</x:v>
      </x:c>
      <x:c r="I33" s="28" t="n">
        <x:v>25547.92838471899</x:v>
      </x:c>
      <x:c r="J33" s="28" t="n">
        <x:f>ROUND(H33*I33,-MAX(0,INT(LOG10(H33*I33))-1))</x:f>
        <x:v>200000</x:v>
      </x:c>
      <x:c r="K33" s="28" t="n">
        <x:v>240</x:v>
      </x:c>
      <x:c r="L33" s="28" t="n">
        <x:v>320</x:v>
      </x:c>
      <x:c r="M33" s="28" t="n">
        <x:v>60</x:v>
      </x:c>
      <x:c r="N33" s="28" t="n">
        <x:v>51</x:v>
      </x:c>
      <x:c r="O33" s="28" t="n">
        <x:v>26</x:v>
      </x:c>
      <x:c r="P33" s="28" t="n">
        <x:v>130</x:v>
      </x:c>
      <x:c r="Q33" s="28" t="n">
        <x:v>1600</x:v>
      </x:c>
      <x:c r="R33" s="22"/>
      <x:c r="S33" s="22"/>
      <x:c r="T33" s="22" t="str">
        <x:v>32位有符号内</x:v>
      </x:c>
    </x:row>
    <x:row r="34" ht="24" customHeight="1">
      <x:c r="A34" s="22" t="str">
        <x:v>EL-MON-COURT-007</x:v>
      </x:c>
      <x:c r="B34" s="22" t="n">
        <x:v>1</x:v>
      </x:c>
      <x:c r="C34" s="22" t="str">
        <x:v>沉没王庭</x:v>
      </x:c>
      <x:c r="D34" s="22" t="str">
        <x:v>稀有</x:v>
      </x:c>
      <x:c r="E34" s="22" t="str">
        <x:v>失冠王子</x:v>
      </x:c>
      <x:c r="F34" s="22" t="str">
        <x:v>C01:沉没王庭:1层、C01:沉没王庭:2层</x:v>
      </x:c>
      <x:c r="G34" s="22" t="str">
        <x:v>P0010</x:v>
      </x:c>
      <x:c r="H34" s="22" t="n">
        <x:v>26.400000000000002</x:v>
      </x:c>
      <x:c r="I34" s="28" t="n">
        <x:v>25124.766090174817</x:v>
      </x:c>
      <x:c r="J34" s="28" t="n">
        <x:f>ROUND(H34*I34,-MAX(0,INT(LOG10(H34*I34))-1))</x:f>
        <x:v>660000</x:v>
      </x:c>
      <x:c r="K34" s="28" t="n">
        <x:v>200</x:v>
      </x:c>
      <x:c r="L34" s="28" t="n">
        <x:v>280</x:v>
      </x:c>
      <x:c r="M34" s="28" t="n">
        <x:v>120</x:v>
      </x:c>
      <x:c r="N34" s="28" t="n">
        <x:v>100</x:v>
      </x:c>
      <x:c r="O34" s="28" t="n">
        <x:v>26</x:v>
      </x:c>
      <x:c r="P34" s="28" t="n">
        <x:v>390</x:v>
      </x:c>
      <x:c r="Q34" s="28" t="n">
        <x:v>1700</x:v>
      </x:c>
      <x:c r="R34" s="22"/>
      <x:c r="S34" s="22"/>
      <x:c r="T34" s="22" t="str">
        <x:v>32位有符号内</x:v>
      </x:c>
    </x:row>
    <x:row r="35" ht="24" customHeight="1">
      <x:c r="A35" s="22" t="str">
        <x:v>EL-MON-COURT-008</x:v>
      </x:c>
      <x:c r="B35" s="22" t="n">
        <x:v>1</x:v>
      </x:c>
      <x:c r="C35" s="22" t="str">
        <x:v>沉没王庭</x:v>
      </x:c>
      <x:c r="D35" s="22" t="str">
        <x:v>稀有</x:v>
      </x:c>
      <x:c r="E35" s="22" t="str">
        <x:v>深渊看守</x:v>
      </x:c>
      <x:c r="F35" s="22" t="str">
        <x:v>C01:沉没王庭:2层、C01:沉没王庭:3层</x:v>
      </x:c>
      <x:c r="G35" s="22" t="str">
        <x:v>P0010</x:v>
      </x:c>
      <x:c r="H35" s="22" t="n">
        <x:v>27.599999999999998</x:v>
      </x:c>
      <x:c r="I35" s="28" t="n">
        <x:v>25124.766090174817</x:v>
      </x:c>
      <x:c r="J35" s="28" t="n">
        <x:f>ROUND(H35*I35,-MAX(0,INT(LOG10(H35*I35))-1))</x:f>
        <x:v>690000</x:v>
      </x:c>
      <x:c r="K35" s="28" t="n">
        <x:v>200</x:v>
      </x:c>
      <x:c r="L35" s="28" t="n">
        <x:v>270</x:v>
      </x:c>
      <x:c r="M35" s="28" t="n">
        <x:v>120</x:v>
      </x:c>
      <x:c r="N35" s="28" t="n">
        <x:v>100</x:v>
      </x:c>
      <x:c r="O35" s="28" t="n">
        <x:v>26</x:v>
      </x:c>
      <x:c r="P35" s="28" t="n">
        <x:v>390</x:v>
      </x:c>
      <x:c r="Q35" s="28" t="n">
        <x:v>1700</x:v>
      </x:c>
      <x:c r="R35" s="22"/>
      <x:c r="S35" s="22"/>
      <x:c r="T35" s="22" t="str">
        <x:v>32位有符号内</x:v>
      </x:c>
    </x:row>
    <x:row r="36" ht="24" customHeight="1">
      <x:c r="A36" s="22" t="str">
        <x:v>EL-MON-COURT-009</x:v>
      </x:c>
      <x:c r="B36" s="22" t="n">
        <x:v>1</x:v>
      </x:c>
      <x:c r="C36" s="22" t="str">
        <x:v>沉没王庭</x:v>
      </x:c>
      <x:c r="D36" s="22" t="str">
        <x:v>稀有</x:v>
      </x:c>
      <x:c r="E36" s="22" t="str">
        <x:v>王庭裁决官</x:v>
      </x:c>
      <x:c r="F36" s="22" t="str">
        <x:v>C01:沉没王庭:3层</x:v>
      </x:c>
      <x:c r="G36" s="22" t="str">
        <x:v>P0010</x:v>
      </x:c>
      <x:c r="H36" s="22" t="n">
        <x:v>24</x:v>
      </x:c>
      <x:c r="I36" s="28" t="n">
        <x:v>25124.766090174817</x:v>
      </x:c>
      <x:c r="J36" s="28" t="n">
        <x:f>ROUND(H36*I36,-MAX(0,INT(LOG10(H36*I36))-1))</x:f>
        <x:v>600000</x:v>
      </x:c>
      <x:c r="K36" s="28" t="n">
        <x:v>210</x:v>
      </x:c>
      <x:c r="L36" s="28" t="n">
        <x:v>280</x:v>
      </x:c>
      <x:c r="M36" s="28" t="n">
        <x:v>120</x:v>
      </x:c>
      <x:c r="N36" s="28" t="n">
        <x:v>100</x:v>
      </x:c>
      <x:c r="O36" s="28" t="n">
        <x:v>26</x:v>
      </x:c>
      <x:c r="P36" s="28" t="n">
        <x:v>390</x:v>
      </x:c>
      <x:c r="Q36" s="28" t="n">
        <x:v>1700</x:v>
      </x:c>
      <x:c r="R36" s="22"/>
      <x:c r="S36" s="22"/>
      <x:c r="T36" s="22" t="str">
        <x:v>32位有符号内</x:v>
      </x:c>
    </x:row>
    <x:row r="37" ht="24" customHeight="1">
      <x:c r="A37" s="22" t="str">
        <x:v>EL-MON-COURT-010</x:v>
      </x:c>
      <x:c r="B37" s="22" t="n">
        <x:v>1</x:v>
      </x:c>
      <x:c r="C37" s="22" t="str">
        <x:v>沉没王庭</x:v>
      </x:c>
      <x:c r="D37" s="22" t="str">
        <x:v>稀有</x:v>
      </x:c>
      <x:c r="E37" s="22" t="str">
        <x:v>沉默女祭司</x:v>
      </x:c>
      <x:c r="F37" s="22" t="str">
        <x:v>C01:沉没王庭:3层</x:v>
      </x:c>
      <x:c r="G37" s="22" t="str">
        <x:v>P0010</x:v>
      </x:c>
      <x:c r="H37" s="22" t="n">
        <x:v>24</x:v>
      </x:c>
      <x:c r="I37" s="28" t="n">
        <x:v>25124.766090174817</x:v>
      </x:c>
      <x:c r="J37" s="28" t="n">
        <x:f>ROUND(H37*I37,-MAX(0,INT(LOG10(H37*I37))-1))</x:f>
        <x:v>600000</x:v>
      </x:c>
      <x:c r="K37" s="28" t="n">
        <x:v>210</x:v>
      </x:c>
      <x:c r="L37" s="28" t="n">
        <x:v>280</x:v>
      </x:c>
      <x:c r="M37" s="28" t="n">
        <x:v>120</x:v>
      </x:c>
      <x:c r="N37" s="28" t="n">
        <x:v>100</x:v>
      </x:c>
      <x:c r="O37" s="28" t="n">
        <x:v>26</x:v>
      </x:c>
      <x:c r="P37" s="28" t="n">
        <x:v>390</x:v>
      </x:c>
      <x:c r="Q37" s="28" t="n">
        <x:v>1700</x:v>
      </x:c>
      <x:c r="R37" s="22"/>
      <x:c r="S37" s="22"/>
      <x:c r="T37" s="22" t="str">
        <x:v>32位有符号内</x:v>
      </x:c>
    </x:row>
    <x:row r="38" ht="24" customHeight="1">
      <x:c r="A38" s="22" t="str">
        <x:v>EL-MON-COURT-011</x:v>
      </x:c>
      <x:c r="B38" s="22" t="n">
        <x:v>1</x:v>
      </x:c>
      <x:c r="C38" s="22" t="str">
        <x:v>沉没王庭</x:v>
      </x:c>
      <x:c r="D38" s="22" t="str">
        <x:v>地图BOSS</x:v>
      </x:c>
      <x:c r="E38" s="22" t="str">
        <x:v>溺王亲卫长·萨恩</x:v>
      </x:c>
      <x:c r="F38" s="22" t="str">
        <x:v>C01:沉没王庭:2层</x:v>
      </x:c>
      <x:c r="G38" s="22" t="str">
        <x:v>P0017</x:v>
      </x:c>
      <x:c r="H38" s="22" t="n">
        <x:v>82.5</x:v>
      </x:c>
      <x:c r="I38" s="28" t="n">
        <x:v>33542.92583480616</x:v>
      </x:c>
      <x:c r="J38" s="28" t="n">
        <x:f>ROUND(H38*I38,-MAX(0,INT(LOG10(H38*I38))-1))</x:f>
        <x:v>2800000</x:v>
      </x:c>
      <x:c r="K38" s="28" t="n">
        <x:v>460</x:v>
      </x:c>
      <x:c r="L38" s="28" t="n">
        <x:v>620</x:v>
      </x:c>
      <x:c r="M38" s="28" t="n">
        <x:v>270</x:v>
      </x:c>
      <x:c r="N38" s="28" t="n">
        <x:v>230</x:v>
      </x:c>
      <x:c r="O38" s="28" t="n">
        <x:v>26</x:v>
      </x:c>
      <x:c r="P38" s="28" t="n">
        <x:v>1600</x:v>
      </x:c>
      <x:c r="Q38" s="28" t="n">
        <x:v>1800</x:v>
      </x:c>
      <x:c r="R38" s="22"/>
      <x:c r="S38" s="22"/>
      <x:c r="T38" s="22" t="str">
        <x:v>32位有符号内</x:v>
      </x:c>
    </x:row>
    <x:row r="39" ht="24" customHeight="1">
      <x:c r="A39" s="22" t="str">
        <x:v>EL-MON-COURT-012</x:v>
      </x:c>
      <x:c r="B39" s="22" t="n">
        <x:v>1</x:v>
      </x:c>
      <x:c r="C39" s="22" t="str">
        <x:v>沉没王庭</x:v>
      </x:c>
      <x:c r="D39" s="22" t="str">
        <x:v>地图BOSS</x:v>
      </x:c>
      <x:c r="E39" s="22" t="str">
        <x:v>深潮大祭司·伊莱娜</x:v>
      </x:c>
      <x:c r="F39" s="22" t="str">
        <x:v>C01:沉没王庭:3层</x:v>
      </x:c>
      <x:c r="G39" s="22" t="str">
        <x:v>P0018</x:v>
      </x:c>
      <x:c r="H39" s="22" t="n">
        <x:v>71.25</x:v>
      </x:c>
      <x:c r="I39" s="28" t="n">
        <x:v>33542.92583480616</x:v>
      </x:c>
      <x:c r="J39" s="28" t="n">
        <x:f>ROUND(H39*I39,-MAX(0,INT(LOG10(H39*I39))-1))</x:f>
        <x:v>2400000</x:v>
      </x:c>
      <x:c r="K39" s="28" t="n">
        <x:v>470</x:v>
      </x:c>
      <x:c r="L39" s="28" t="n">
        <x:v>630</x:v>
      </x:c>
      <x:c r="M39" s="28" t="n">
        <x:v>270</x:v>
      </x:c>
      <x:c r="N39" s="28" t="n">
        <x:v>230</x:v>
      </x:c>
      <x:c r="O39" s="28" t="n">
        <x:v>26</x:v>
      </x:c>
      <x:c r="P39" s="28" t="n">
        <x:v>1600</x:v>
      </x:c>
      <x:c r="Q39" s="28" t="n">
        <x:v>1800</x:v>
      </x:c>
      <x:c r="R39" s="22"/>
      <x:c r="S39" s="22"/>
      <x:c r="T39" s="22" t="str">
        <x:v>32位有符号内</x:v>
      </x:c>
    </x:row>
    <x:row r="40" ht="24" customHeight="1">
      <x:c r="A40" s="22" t="str">
        <x:v>EL-MON-COURT-013</x:v>
      </x:c>
      <x:c r="B40" s="22" t="n">
        <x:v>1</x:v>
      </x:c>
      <x:c r="C40" s="22" t="str">
        <x:v>沉没王庭</x:v>
      </x:c>
      <x:c r="D40" s="22" t="str">
        <x:v>守关BOSS</x:v>
      </x:c>
      <x:c r="E40" s="22" t="str">
        <x:v>沉没之王·奥德里安</x:v>
      </x:c>
      <x:c r="F40" s="22" t="str">
        <x:v>C01:沉没王庭:4层</x:v>
      </x:c>
      <x:c r="G40" s="22" t="str">
        <x:v>P0022</x:v>
      </x:c>
      <x:c r="H40" s="22" t="n">
        <x:v>90</x:v>
      </x:c>
      <x:c r="I40" s="28" t="n">
        <x:v>39086.0077668988</x:v>
      </x:c>
      <x:c r="J40" s="28" t="n">
        <x:f>ROUND(H40*I40,-MAX(0,INT(LOG10(H40*I40))-1))</x:f>
        <x:v>3500000</x:v>
      </x:c>
      <x:c r="K40" s="28" t="n">
        <x:v>5800</x:v>
      </x:c>
      <x:c r="L40" s="28" t="n">
        <x:v>7900</x:v>
      </x:c>
      <x:c r="M40" s="28" t="n">
        <x:v>480</x:v>
      </x:c>
      <x:c r="N40" s="28" t="n">
        <x:v>410</x:v>
      </x:c>
      <x:c r="O40" s="28" t="n">
        <x:v>26</x:v>
      </x:c>
      <x:c r="P40" s="28" t="n">
        <x:v>3900</x:v>
      </x:c>
      <x:c r="Q40" s="28" t="n">
        <x:v>2000</x:v>
      </x:c>
      <x:c r="R40" s="22"/>
      <x:c r="S40" s="22"/>
      <x:c r="T40" s="22" t="str">
        <x:v>32位有符号内</x:v>
      </x:c>
    </x:row>
    <x:row r="41" ht="24" customHeight="1">
      <x:c r="A41" s="22" t="str">
        <x:v>EL-MON-LIM-GRAVE-001</x:v>
      </x:c>
      <x:c r="B41" s="22" t="n">
        <x:v>2</x:v>
      </x:c>
      <x:c r="C41" s="22" t="str">
        <x:v>漂流墓地</x:v>
      </x:c>
      <x:c r="D41" s="22" t="str">
        <x:v>普通</x:v>
      </x:c>
      <x:c r="E41" s="22" t="str">
        <x:v>褪色墓卒</x:v>
      </x:c>
      <x:c r="F41" s="22" t="str">
        <x:v>XX346</x:v>
      </x:c>
      <x:c r="G41" s="22" t="str">
        <x:v>P0027</x:v>
      </x:c>
      <x:c r="H41" s="22" t="n">
        <x:v>8</x:v>
      </x:c>
      <x:c r="I41" s="28" t="n">
        <x:v>33533.226927557735</x:v>
      </x:c>
      <x:c r="J41" s="28" t="n">
        <x:f>ROUND(H41*I41,-MAX(0,INT(LOG10(H41*I41))-1))</x:f>
        <x:v>270000</x:v>
      </x:c>
      <x:c r="K41" s="28" t="n">
        <x:v>3200</x:v>
      </x:c>
      <x:c r="L41" s="28" t="n">
        <x:v>4400</x:v>
      </x:c>
      <x:c r="M41" s="28" t="n">
        <x:v>240</x:v>
      </x:c>
      <x:c r="N41" s="28" t="n">
        <x:v>200</x:v>
      </x:c>
      <x:c r="O41" s="28" t="n">
        <x:v>50</x:v>
      </x:c>
      <x:c r="P41" s="28" t="n">
        <x:v>140</x:v>
      </x:c>
      <x:c r="Q41" s="28" t="n">
        <x:v>1600</x:v>
      </x:c>
      <x:c r="R41" s="22" t="n">
        <x:v>514</x:v>
      </x:c>
      <x:c r="S41" s="22"/>
      <x:c r="T41" s="22" t="str">
        <x:v>32位有符号内</x:v>
      </x:c>
    </x:row>
    <x:row r="42" ht="24" customHeight="1">
      <x:c r="A42" s="22" t="str">
        <x:v>EL-MON-LIM-GRAVE-002</x:v>
      </x:c>
      <x:c r="B42" s="22" t="n">
        <x:v>2</x:v>
      </x:c>
      <x:c r="C42" s="22" t="str">
        <x:v>漂流墓地</x:v>
      </x:c>
      <x:c r="D42" s="22" t="str">
        <x:v>普通</x:v>
      </x:c>
      <x:c r="E42" s="22" t="str">
        <x:v>漂泊腐尸</x:v>
      </x:c>
      <x:c r="F42" s="22" t="str">
        <x:v>XX346</x:v>
      </x:c>
      <x:c r="G42" s="22" t="str">
        <x:v>P0027</x:v>
      </x:c>
      <x:c r="H42" s="22" t="n">
        <x:v>8.8</x:v>
      </x:c>
      <x:c r="I42" s="28" t="n">
        <x:v>33533.226927557735</x:v>
      </x:c>
      <x:c r="J42" s="28" t="n">
        <x:f>ROUND(H42*I42,-MAX(0,INT(LOG10(H42*I42))-1))</x:f>
        <x:v>300000</x:v>
      </x:c>
      <x:c r="K42" s="28" t="n">
        <x:v>2900</x:v>
      </x:c>
      <x:c r="L42" s="28" t="n">
        <x:v>4000</x:v>
      </x:c>
      <x:c r="M42" s="28" t="n">
        <x:v>240</x:v>
      </x:c>
      <x:c r="N42" s="28" t="n">
        <x:v>200</x:v>
      </x:c>
      <x:c r="O42" s="28" t="n">
        <x:v>50</x:v>
      </x:c>
      <x:c r="P42" s="28" t="n">
        <x:v>140</x:v>
      </x:c>
      <x:c r="Q42" s="28" t="n">
        <x:v>1600</x:v>
      </x:c>
      <x:c r="R42" s="22" t="n">
        <x:v>516</x:v>
      </x:c>
      <x:c r="S42" s="22"/>
      <x:c r="T42" s="22" t="str">
        <x:v>32位有符号内</x:v>
      </x:c>
    </x:row>
    <x:row r="43" ht="24" customHeight="1">
      <x:c r="A43" s="22" t="str">
        <x:v>EL-MON-LIM-GRAVE-003</x:v>
      </x:c>
      <x:c r="B43" s="22" t="n">
        <x:v>2</x:v>
      </x:c>
      <x:c r="C43" s="22" t="str">
        <x:v>漂流墓地</x:v>
      </x:c>
      <x:c r="D43" s="22" t="str">
        <x:v>普通</x:v>
      </x:c>
      <x:c r="E43" s="22" t="str">
        <x:v>墓穴尖牙鬼</x:v>
      </x:c>
      <x:c r="F43" s="22" t="str">
        <x:v>XX346、XX347</x:v>
      </x:c>
      <x:c r="G43" s="22" t="str">
        <x:v>P0027</x:v>
      </x:c>
      <x:c r="H43" s="22" t="n">
        <x:v>8.8</x:v>
      </x:c>
      <x:c r="I43" s="28" t="n">
        <x:v>33533.226927557735</x:v>
      </x:c>
      <x:c r="J43" s="28" t="n">
        <x:f>ROUND(H43*I43,-MAX(0,INT(LOG10(H43*I43))-1))</x:f>
        <x:v>300000</x:v>
      </x:c>
      <x:c r="K43" s="28" t="n">
        <x:v>2900</x:v>
      </x:c>
      <x:c r="L43" s="28" t="n">
        <x:v>4000</x:v>
      </x:c>
      <x:c r="M43" s="28" t="n">
        <x:v>240</x:v>
      </x:c>
      <x:c r="N43" s="28" t="n">
        <x:v>200</x:v>
      </x:c>
      <x:c r="O43" s="28" t="n">
        <x:v>50</x:v>
      </x:c>
      <x:c r="P43" s="28" t="n">
        <x:v>140</x:v>
      </x:c>
      <x:c r="Q43" s="28" t="n">
        <x:v>1600</x:v>
      </x:c>
      <x:c r="R43" s="22" t="n">
        <x:v>85</x:v>
      </x:c>
      <x:c r="S43" s="22"/>
      <x:c r="T43" s="22" t="str">
        <x:v>32位有符号内</x:v>
      </x:c>
    </x:row>
    <x:row r="44" ht="24" customHeight="1">
      <x:c r="A44" s="22" t="str">
        <x:v>EL-MON-LIM-GRAVE-004</x:v>
      </x:c>
      <x:c r="B44" s="22" t="n">
        <x:v>2</x:v>
      </x:c>
      <x:c r="C44" s="22" t="str">
        <x:v>漂流墓地</x:v>
      </x:c>
      <x:c r="D44" s="22" t="str">
        <x:v>普通</x:v>
      </x:c>
      <x:c r="E44" s="22" t="str">
        <x:v>石肤守墓人</x:v>
      </x:c>
      <x:c r="F44" s="22" t="str">
        <x:v>XX346、XX347</x:v>
      </x:c>
      <x:c r="G44" s="22" t="str">
        <x:v>P0027</x:v>
      </x:c>
      <x:c r="H44" s="22" t="n">
        <x:v>7.6</x:v>
      </x:c>
      <x:c r="I44" s="28" t="n">
        <x:v>33533.226927557735</x:v>
      </x:c>
      <x:c r="J44" s="28" t="n">
        <x:f>ROUND(H44*I44,-MAX(0,INT(LOG10(H44*I44))-1))</x:f>
        <x:v>250000</x:v>
      </x:c>
      <x:c r="K44" s="28" t="n">
        <x:v>3300</x:v>
      </x:c>
      <x:c r="L44" s="28" t="n">
        <x:v>4400</x:v>
      </x:c>
      <x:c r="M44" s="28" t="n">
        <x:v>240</x:v>
      </x:c>
      <x:c r="N44" s="28" t="n">
        <x:v>200</x:v>
      </x:c>
      <x:c r="O44" s="28" t="n">
        <x:v>50</x:v>
      </x:c>
      <x:c r="P44" s="28" t="n">
        <x:v>140</x:v>
      </x:c>
      <x:c r="Q44" s="28" t="n">
        <x:v>1600</x:v>
      </x:c>
      <x:c r="R44" s="22" t="n">
        <x:v>82</x:v>
      </x:c>
      <x:c r="S44" s="22"/>
      <x:c r="T44" s="22" t="str">
        <x:v>32位有符号内</x:v>
      </x:c>
    </x:row>
    <x:row r="45" ht="24" customHeight="1">
      <x:c r="A45" s="22" t="str">
        <x:v>EL-MON-LIM-GRAVE-005</x:v>
      </x:c>
      <x:c r="B45" s="22" t="n">
        <x:v>2</x:v>
      </x:c>
      <x:c r="C45" s="22" t="str">
        <x:v>漂流墓地</x:v>
      </x:c>
      <x:c r="D45" s="22" t="str">
        <x:v>普通</x:v>
      </x:c>
      <x:c r="E45" s="22" t="str">
        <x:v>失乡弩尸</x:v>
      </x:c>
      <x:c r="F45" s="22" t="str">
        <x:v>XX347、XX348</x:v>
      </x:c>
      <x:c r="G45" s="22" t="str">
        <x:v>P0027</x:v>
      </x:c>
      <x:c r="H45" s="22" t="n">
        <x:v>8</x:v>
      </x:c>
      <x:c r="I45" s="28" t="n">
        <x:v>33533.226927557735</x:v>
      </x:c>
      <x:c r="J45" s="28" t="n">
        <x:f>ROUND(H45*I45,-MAX(0,INT(LOG10(H45*I45))-1))</x:f>
        <x:v>270000</x:v>
      </x:c>
      <x:c r="K45" s="28" t="n">
        <x:v>3200</x:v>
      </x:c>
      <x:c r="L45" s="28" t="n">
        <x:v>4400</x:v>
      </x:c>
      <x:c r="M45" s="28" t="n">
        <x:v>240</x:v>
      </x:c>
      <x:c r="N45" s="28" t="n">
        <x:v>200</x:v>
      </x:c>
      <x:c r="O45" s="28" t="n">
        <x:v>50</x:v>
      </x:c>
      <x:c r="P45" s="28" t="n">
        <x:v>140</x:v>
      </x:c>
      <x:c r="Q45" s="28" t="n">
        <x:v>1600</x:v>
      </x:c>
      <x:c r="R45" s="22" t="n">
        <x:v>7</x:v>
      </x:c>
      <x:c r="S45" s="22"/>
      <x:c r="T45" s="22" t="str">
        <x:v>32位有符号内</x:v>
      </x:c>
    </x:row>
    <x:row r="46" ht="24" customHeight="1">
      <x:c r="A46" s="22" t="str">
        <x:v>EL-MON-LIM-GRAVE-006</x:v>
      </x:c>
      <x:c r="B46" s="22" t="n">
        <x:v>2</x:v>
      </x:c>
      <x:c r="C46" s="22" t="str">
        <x:v>漂流墓地</x:v>
      </x:c>
      <x:c r="D46" s="22" t="str">
        <x:v>普通</x:v>
      </x:c>
      <x:c r="E46" s="22" t="str">
        <x:v>幽火墓蛾</x:v>
      </x:c>
      <x:c r="F46" s="22" t="str">
        <x:v>XX347、XX348</x:v>
      </x:c>
      <x:c r="G46" s="22" t="str">
        <x:v>P0027</x:v>
      </x:c>
      <x:c r="H46" s="22" t="n">
        <x:v>7.6</x:v>
      </x:c>
      <x:c r="I46" s="28" t="n">
        <x:v>33533.226927557735</x:v>
      </x:c>
      <x:c r="J46" s="28" t="n">
        <x:f>ROUND(H46*I46,-MAX(0,INT(LOG10(H46*I46))-1))</x:f>
        <x:v>250000</x:v>
      </x:c>
      <x:c r="K46" s="28" t="n">
        <x:v>3300</x:v>
      </x:c>
      <x:c r="L46" s="28" t="n">
        <x:v>4400</x:v>
      </x:c>
      <x:c r="M46" s="28" t="n">
        <x:v>240</x:v>
      </x:c>
      <x:c r="N46" s="28" t="n">
        <x:v>200</x:v>
      </x:c>
      <x:c r="O46" s="28" t="n">
        <x:v>50</x:v>
      </x:c>
      <x:c r="P46" s="28" t="n">
        <x:v>140</x:v>
      </x:c>
      <x:c r="Q46" s="28" t="n">
        <x:v>1600</x:v>
      </x:c>
      <x:c r="R46" s="22" t="n">
        <x:v>60</x:v>
      </x:c>
      <x:c r="S46" s="22"/>
      <x:c r="T46" s="22" t="str">
        <x:v>32位有符号内</x:v>
      </x:c>
    </x:row>
    <x:row r="47" ht="24" customHeight="1">
      <x:c r="A47" s="22" t="str">
        <x:v>EL-MON-LIM-GRAVE-007</x:v>
      </x:c>
      <x:c r="B47" s="22" t="n">
        <x:v>2</x:v>
      </x:c>
      <x:c r="C47" s="22" t="str">
        <x:v>漂流墓地</x:v>
      </x:c>
      <x:c r="D47" s="22" t="str">
        <x:v>稀有</x:v>
      </x:c>
      <x:c r="E47" s="22" t="str">
        <x:v>归树看门犬</x:v>
      </x:c>
      <x:c r="F47" s="22" t="str">
        <x:v>XX346、XX347</x:v>
      </x:c>
      <x:c r="G47" s="22" t="str">
        <x:v>P0027</x:v>
      </x:c>
      <x:c r="H47" s="22" t="n">
        <x:v>27.599999999999998</x:v>
      </x:c>
      <x:c r="I47" s="28" t="n">
        <x:v>31379.86702903268</x:v>
      </x:c>
      <x:c r="J47" s="28" t="n">
        <x:f>ROUND(H47*I47,-MAX(0,INT(LOG10(H47*I47))-1))</x:f>
        <x:v>870000</x:v>
      </x:c>
      <x:c r="K47" s="28" t="n">
        <x:v>4100</x:v>
      </x:c>
      <x:c r="L47" s="28" t="n">
        <x:v>5600</x:v>
      </x:c>
      <x:c r="M47" s="28" t="n">
        <x:v>480</x:v>
      </x:c>
      <x:c r="N47" s="28" t="n">
        <x:v>410</x:v>
      </x:c>
      <x:c r="O47" s="28" t="n">
        <x:v>50</x:v>
      </x:c>
      <x:c r="P47" s="28" t="n">
        <x:v>420</x:v>
      </x:c>
      <x:c r="Q47" s="28" t="n">
        <x:v>1700</x:v>
      </x:c>
      <x:c r="R47" s="22" t="n">
        <x:v>84</x:v>
      </x:c>
      <x:c r="S47" s="22"/>
      <x:c r="T47" s="22" t="str">
        <x:v>32位有符号内</x:v>
      </x:c>
    </x:row>
    <x:row r="48" ht="24" customHeight="1">
      <x:c r="A48" s="22" t="str">
        <x:v>EL-MON-LIM-GRAVE-008</x:v>
      </x:c>
      <x:c r="B48" s="22" t="n">
        <x:v>2</x:v>
      </x:c>
      <x:c r="C48" s="22" t="str">
        <x:v>漂流墓地</x:v>
      </x:c>
      <x:c r="D48" s="22" t="str">
        <x:v>稀有</x:v>
      </x:c>
      <x:c r="E48" s="22" t="str">
        <x:v>腐败树根兽</x:v>
      </x:c>
      <x:c r="F48" s="22" t="str">
        <x:v>XX347</x:v>
      </x:c>
      <x:c r="G48" s="22" t="str">
        <x:v>P0027</x:v>
      </x:c>
      <x:c r="H48" s="22" t="n">
        <x:v>24</x:v>
      </x:c>
      <x:c r="I48" s="28" t="n">
        <x:v>31379.86702903268</x:v>
      </x:c>
      <x:c r="J48" s="28" t="n">
        <x:f>ROUND(H48*I48,-MAX(0,INT(LOG10(H48*I48))-1))</x:f>
        <x:v>750000</x:v>
      </x:c>
      <x:c r="K48" s="28" t="n">
        <x:v>4700</x:v>
      </x:c>
      <x:c r="L48" s="28" t="n">
        <x:v>6300</x:v>
      </x:c>
      <x:c r="M48" s="28" t="n">
        <x:v>480</x:v>
      </x:c>
      <x:c r="N48" s="28" t="n">
        <x:v>410</x:v>
      </x:c>
      <x:c r="O48" s="28" t="n">
        <x:v>50</x:v>
      </x:c>
      <x:c r="P48" s="28" t="n">
        <x:v>420</x:v>
      </x:c>
      <x:c r="Q48" s="28" t="n">
        <x:v>1700</x:v>
      </x:c>
      <x:c r="R48" s="22" t="n">
        <x:v>61</x:v>
      </x:c>
      <x:c r="S48" s="22"/>
      <x:c r="T48" s="22" t="str">
        <x:v>32位有符号内</x:v>
      </x:c>
    </x:row>
    <x:row r="49" ht="24" customHeight="1">
      <x:c r="A49" s="22" t="str">
        <x:v>EL-MON-LIM-GRAVE-009</x:v>
      </x:c>
      <x:c r="B49" s="22" t="n">
        <x:v>2</x:v>
      </x:c>
      <x:c r="C49" s="22" t="str">
        <x:v>漂流墓地</x:v>
      </x:c>
      <x:c r="D49" s="22" t="str">
        <x:v>稀有</x:v>
      </x:c>
      <x:c r="E49" s="22" t="str">
        <x:v>失乡熔炉骑士</x:v>
      </x:c>
      <x:c r="F49" s="22" t="str">
        <x:v>XX347、XX348</x:v>
      </x:c>
      <x:c r="G49" s="22" t="str">
        <x:v>P0027</x:v>
      </x:c>
      <x:c r="H49" s="22" t="n">
        <x:v>21.6</x:v>
      </x:c>
      <x:c r="I49" s="28" t="n">
        <x:v>31379.86702903268</x:v>
      </x:c>
      <x:c r="J49" s="28" t="n">
        <x:f>ROUND(H49*I49,-MAX(0,INT(LOG10(H49*I49))-1))</x:f>
        <x:v>680000</x:v>
      </x:c>
      <x:c r="K49" s="28" t="n">
        <x:v>5100</x:v>
      </x:c>
      <x:c r="L49" s="28" t="n">
        <x:v>6900</x:v>
      </x:c>
      <x:c r="M49" s="28" t="n">
        <x:v>480</x:v>
      </x:c>
      <x:c r="N49" s="28" t="n">
        <x:v>410</x:v>
      </x:c>
      <x:c r="O49" s="28" t="n">
        <x:v>50</x:v>
      </x:c>
      <x:c r="P49" s="28" t="n">
        <x:v>420</x:v>
      </x:c>
      <x:c r="Q49" s="28" t="n">
        <x:v>1700</x:v>
      </x:c>
      <x:c r="R49" s="22" t="n">
        <x:v>261</x:v>
      </x:c>
      <x:c r="S49" s="22"/>
      <x:c r="T49" s="22" t="str">
        <x:v>32位有符号内</x:v>
      </x:c>
    </x:row>
    <x:row r="50" ht="24" customHeight="1">
      <x:c r="A50" s="22" t="str">
        <x:v>EL-MON-LIM-GRAVE-010</x:v>
      </x:c>
      <x:c r="B50" s="22" t="n">
        <x:v>2</x:v>
      </x:c>
      <x:c r="C50" s="22" t="str">
        <x:v>漂流墓地</x:v>
      </x:c>
      <x:c r="D50" s="22" t="str">
        <x:v>稀有</x:v>
      </x:c>
      <x:c r="E50" s="22" t="str">
        <x:v>英雄墓影</x:v>
      </x:c>
      <x:c r="F50" s="22" t="str">
        <x:v>XX348</x:v>
      </x:c>
      <x:c r="G50" s="22" t="str">
        <x:v>P0027</x:v>
      </x:c>
      <x:c r="H50" s="22" t="n">
        <x:v>27.599999999999998</x:v>
      </x:c>
      <x:c r="I50" s="28" t="n">
        <x:v>31379.86702903268</x:v>
      </x:c>
      <x:c r="J50" s="28" t="n">
        <x:f>ROUND(H50*I50,-MAX(0,INT(LOG10(H50*I50))-1))</x:f>
        <x:v>870000</x:v>
      </x:c>
      <x:c r="K50" s="28" t="n">
        <x:v>4100</x:v>
      </x:c>
      <x:c r="L50" s="28" t="n">
        <x:v>5600</x:v>
      </x:c>
      <x:c r="M50" s="28" t="n">
        <x:v>480</x:v>
      </x:c>
      <x:c r="N50" s="28" t="n">
        <x:v>410</x:v>
      </x:c>
      <x:c r="O50" s="28" t="n">
        <x:v>50</x:v>
      </x:c>
      <x:c r="P50" s="28" t="n">
        <x:v>420</x:v>
      </x:c>
      <x:c r="Q50" s="28" t="n">
        <x:v>1700</x:v>
      </x:c>
      <x:c r="R50" s="22" t="n">
        <x:v>405</x:v>
      </x:c>
      <x:c r="S50" s="22"/>
      <x:c r="T50" s="22" t="str">
        <x:v>32位有符号内</x:v>
      </x:c>
    </x:row>
    <x:row r="51" ht="24" customHeight="1">
      <x:c r="A51" s="22" t="str">
        <x:v>EL-MON-LIM-GRAVE-011</x:v>
      </x:c>
      <x:c r="B51" s="22" t="n">
        <x:v>2</x:v>
      </x:c>
      <x:c r="C51" s="22" t="str">
        <x:v>漂流墓地</x:v>
      </x:c>
      <x:c r="D51" s="22" t="str">
        <x:v>地图BOSS</x:v>
      </x:c>
      <x:c r="E51" s="22" t="str">
        <x:v>溃烂树灵·乌尔德</x:v>
      </x:c>
      <x:c r="F51" s="22" t="str">
        <x:v>XX348</x:v>
      </x:c>
      <x:c r="G51" s="22" t="str">
        <x:v>P0029</x:v>
      </x:c>
      <x:c r="H51" s="22" t="n">
        <x:v>82.5</x:v>
      </x:c>
      <x:c r="I51" s="28" t="n">
        <x:v>137891.3823328036</x:v>
      </x:c>
      <x:c r="J51" s="28" t="n">
        <x:f>ROUND(H51*I51,-MAX(0,INT(LOG10(H51*I51))-1))</x:f>
        <x:v>11000000</x:v>
      </x:c>
      <x:c r="K51" s="28" t="n">
        <x:v>9800</x:v>
      </x:c>
      <x:c r="L51" s="28" t="n">
        <x:v>13000</x:v>
      </x:c>
      <x:c r="M51" s="28" t="n">
        <x:v>1100</x:v>
      </x:c>
      <x:c r="N51" s="28" t="n">
        <x:v>940</x:v>
      </x:c>
      <x:c r="O51" s="28" t="n">
        <x:v>50</x:v>
      </x:c>
      <x:c r="P51" s="28" t="n">
        <x:v>1700</x:v>
      </x:c>
      <x:c r="Q51" s="28" t="n">
        <x:v>1800</x:v>
      </x:c>
      <x:c r="R51" s="22" t="n">
        <x:v>243</x:v>
      </x:c>
      <x:c r="S51" s="22"/>
      <x:c r="T51" s="22" t="str">
        <x:v>32位有符号内</x:v>
      </x:c>
    </x:row>
    <x:row r="52" ht="24" customHeight="1">
      <x:c r="A52" s="22" t="str">
        <x:v>EL-MON-LIM-GRAVE-012</x:v>
      </x:c>
      <x:c r="B52" s="22" t="n">
        <x:v>2</x:v>
      </x:c>
      <x:c r="C52" s="22" t="str">
        <x:v>漂流墓地</x:v>
      </x:c>
      <x:c r="D52" s="22" t="str">
        <x:v>地图BOSS</x:v>
      </x:c>
      <x:c r="E52" s="22" t="str">
        <x:v>接肢贵胄·格雷姆</x:v>
      </x:c>
      <x:c r="F52" s="22" t="str">
        <x:v>XX348</x:v>
      </x:c>
      <x:c r="G52" s="22" t="str">
        <x:v>P0030</x:v>
      </x:c>
      <x:c r="H52" s="22" t="n">
        <x:v>86.25</x:v>
      </x:c>
      <x:c r="I52" s="28" t="n">
        <x:v>137891.3823328036</x:v>
      </x:c>
      <x:c r="J52" s="28" t="n">
        <x:f>ROUND(H52*I52,-MAX(0,INT(LOG10(H52*I52))-1))</x:f>
        <x:v>12000000</x:v>
      </x:c>
      <x:c r="K52" s="28" t="n">
        <x:v>9400</x:v>
      </x:c>
      <x:c r="L52" s="28" t="n">
        <x:v>13000</x:v>
      </x:c>
      <x:c r="M52" s="28" t="n">
        <x:v>1100</x:v>
      </x:c>
      <x:c r="N52" s="28" t="n">
        <x:v>940</x:v>
      </x:c>
      <x:c r="O52" s="28" t="n">
        <x:v>50</x:v>
      </x:c>
      <x:c r="P52" s="28" t="n">
        <x:v>1700</x:v>
      </x:c>
      <x:c r="Q52" s="28" t="n">
        <x:v>1800</x:v>
      </x:c>
      <x:c r="R52" s="22" t="n">
        <x:v>45</x:v>
      </x:c>
      <x:c r="S52" s="22"/>
      <x:c r="T52" s="22" t="str">
        <x:v>32位有符号内</x:v>
      </x:c>
    </x:row>
    <x:row r="53" ht="24" customHeight="1">
      <x:c r="A53" s="22" t="str">
        <x:v>EL-MON-LIM-GATE-001</x:v>
      </x:c>
      <x:c r="B53" s="22" t="n">
        <x:v>2</x:v>
      </x:c>
      <x:c r="C53" s="22" t="str">
        <x:v>关卡前废墟</x:v>
      </x:c>
      <x:c r="D53" s="22" t="str">
        <x:v>普通</x:v>
      </x:c>
      <x:c r="E53" s="22" t="str">
        <x:v>葛瑞克步兵</x:v>
      </x:c>
      <x:c r="F53" s="22" t="str">
        <x:v>XX125</x:v>
      </x:c>
      <x:c r="G53" s="22" t="str">
        <x:v>P0028</x:v>
      </x:c>
      <x:c r="H53" s="22" t="n">
        <x:v>8</x:v>
      </x:c>
      <x:c r="I53" s="28" t="n">
        <x:v>81236.1430859545</x:v>
      </x:c>
      <x:c r="J53" s="28" t="n">
        <x:f>ROUND(H53*I53,-MAX(0,INT(LOG10(H53*I53))-1))</x:f>
        <x:v>650000</x:v>
      </x:c>
      <x:c r="K53" s="28" t="n">
        <x:v>670</x:v>
      </x:c>
      <x:c r="L53" s="28" t="n">
        <x:v>910</x:v>
      </x:c>
      <x:c r="M53" s="28" t="n">
        <x:v>340</x:v>
      </x:c>
      <x:c r="N53" s="28" t="n">
        <x:v>290</x:v>
      </x:c>
      <x:c r="O53" s="28" t="n">
        <x:v>53</x:v>
      </x:c>
      <x:c r="P53" s="28" t="n">
        <x:v>160</x:v>
      </x:c>
      <x:c r="Q53" s="28" t="n">
        <x:v>1600</x:v>
      </x:c>
      <x:c r="R53" s="22" t="n">
        <x:v>2</x:v>
      </x:c>
      <x:c r="S53" s="22"/>
      <x:c r="T53" s="22" t="str">
        <x:v>32位有符号内</x:v>
      </x:c>
    </x:row>
    <x:row r="54" ht="24" customHeight="1">
      <x:c r="A54" s="22" t="str">
        <x:v>EL-MON-LIM-GATE-002</x:v>
      </x:c>
      <x:c r="B54" s="22" t="n">
        <x:v>2</x:v>
      </x:c>
      <x:c r="C54" s="22" t="str">
        <x:v>关卡前废墟</x:v>
      </x:c>
      <x:c r="D54" s="22" t="str">
        <x:v>普通</x:v>
      </x:c>
      <x:c r="E54" s="22" t="str">
        <x:v>关卡长枪兵</x:v>
      </x:c>
      <x:c r="F54" s="22" t="str">
        <x:v>XX125</x:v>
      </x:c>
      <x:c r="G54" s="22" t="str">
        <x:v>P0028</x:v>
      </x:c>
      <x:c r="H54" s="22" t="n">
        <x:v>8.8</x:v>
      </x:c>
      <x:c r="I54" s="28" t="n">
        <x:v>81236.1430859545</x:v>
      </x:c>
      <x:c r="J54" s="28" t="n">
        <x:f>ROUND(H54*I54,-MAX(0,INT(LOG10(H54*I54))-1))</x:f>
        <x:v>710000</x:v>
      </x:c>
      <x:c r="K54" s="28" t="n">
        <x:v>670</x:v>
      </x:c>
      <x:c r="L54" s="28" t="n">
        <x:v>910</x:v>
      </x:c>
      <x:c r="M54" s="28" t="n">
        <x:v>340</x:v>
      </x:c>
      <x:c r="N54" s="28" t="n">
        <x:v>290</x:v>
      </x:c>
      <x:c r="O54" s="28" t="n">
        <x:v>53</x:v>
      </x:c>
      <x:c r="P54" s="28" t="n">
        <x:v>160</x:v>
      </x:c>
      <x:c r="Q54" s="28" t="n">
        <x:v>1600</x:v>
      </x:c>
      <x:c r="R54" s="22" t="n">
        <x:v>23</x:v>
      </x:c>
      <x:c r="S54" s="22"/>
      <x:c r="T54" s="22" t="str">
        <x:v>32位有符号内</x:v>
      </x:c>
    </x:row>
    <x:row r="55" ht="24" customHeight="1">
      <x:c r="A55" s="22" t="str">
        <x:v>EL-MON-LIM-GATE-003</x:v>
      </x:c>
      <x:c r="B55" s="22" t="n">
        <x:v>2</x:v>
      </x:c>
      <x:c r="C55" s="22" t="str">
        <x:v>关卡前废墟</x:v>
      </x:c>
      <x:c r="D55" s="22" t="str">
        <x:v>普通</x:v>
      </x:c>
      <x:c r="E55" s="22" t="str">
        <x:v>废墟弩手</x:v>
      </x:c>
      <x:c r="F55" s="22" t="str">
        <x:v>XX125、XX126</x:v>
      </x:c>
      <x:c r="G55" s="22" t="str">
        <x:v>P0028</x:v>
      </x:c>
      <x:c r="H55" s="22" t="n">
        <x:v>9.2</x:v>
      </x:c>
      <x:c r="I55" s="28" t="n">
        <x:v>81236.1430859545</x:v>
      </x:c>
      <x:c r="J55" s="28" t="n">
        <x:f>ROUND(H55*I55,-MAX(0,INT(LOG10(H55*I55))-1))</x:f>
        <x:v>750000</x:v>
      </x:c>
      <x:c r="K55" s="28" t="n">
        <x:v>650</x:v>
      </x:c>
      <x:c r="L55" s="28" t="n">
        <x:v>880</x:v>
      </x:c>
      <x:c r="M55" s="28" t="n">
        <x:v>340</x:v>
      </x:c>
      <x:c r="N55" s="28" t="n">
        <x:v>290</x:v>
      </x:c>
      <x:c r="O55" s="28" t="n">
        <x:v>53</x:v>
      </x:c>
      <x:c r="P55" s="28" t="n">
        <x:v>160</x:v>
      </x:c>
      <x:c r="Q55" s="28" t="n">
        <x:v>1600</x:v>
      </x:c>
      <x:c r="R55" s="22" t="n">
        <x:v>1</x:v>
      </x:c>
      <x:c r="S55" s="22"/>
      <x:c r="T55" s="22" t="str">
        <x:v>32位有符号内</x:v>
      </x:c>
    </x:row>
    <x:row r="56" ht="24" customHeight="1">
      <x:c r="A56" s="22" t="str">
        <x:v>EL-MON-LIM-GATE-004</x:v>
      </x:c>
      <x:c r="B56" s="22" t="n">
        <x:v>2</x:v>
      </x:c>
      <x:c r="C56" s="22" t="str">
        <x:v>关卡前废墟</x:v>
      </x:c>
      <x:c r="D56" s="22" t="str">
        <x:v>普通</x:v>
      </x:c>
      <x:c r="E56" s="22" t="str">
        <x:v>风暴战狼</x:v>
      </x:c>
      <x:c r="F56" s="22" t="str">
        <x:v>XX125、XX126</x:v>
      </x:c>
      <x:c r="G56" s="22" t="str">
        <x:v>P0028</x:v>
      </x:c>
      <x:c r="H56" s="22" t="n">
        <x:v>7.6</x:v>
      </x:c>
      <x:c r="I56" s="28" t="n">
        <x:v>81236.1430859545</x:v>
      </x:c>
      <x:c r="J56" s="28" t="n">
        <x:f>ROUND(H56*I56,-MAX(0,INT(LOG10(H56*I56))-1))</x:f>
        <x:v>620000</x:v>
      </x:c>
      <x:c r="K56" s="28" t="n">
        <x:v>670</x:v>
      </x:c>
      <x:c r="L56" s="28" t="n">
        <x:v>910</x:v>
      </x:c>
      <x:c r="M56" s="28" t="n">
        <x:v>340</x:v>
      </x:c>
      <x:c r="N56" s="28" t="n">
        <x:v>290</x:v>
      </x:c>
      <x:c r="O56" s="28" t="n">
        <x:v>53</x:v>
      </x:c>
      <x:c r="P56" s="28" t="n">
        <x:v>160</x:v>
      </x:c>
      <x:c r="Q56" s="28" t="n">
        <x:v>1600</x:v>
      </x:c>
      <x:c r="R56" s="22" t="n">
        <x:v>241</x:v>
      </x:c>
      <x:c r="S56" s="22"/>
      <x:c r="T56" s="22" t="str">
        <x:v>32位有符号内</x:v>
      </x:c>
    </x:row>
    <x:row r="57" ht="24" customHeight="1">
      <x:c r="A57" s="22" t="str">
        <x:v>EL-MON-LIM-GATE-005</x:v>
      </x:c>
      <x:c r="B57" s="22" t="n">
        <x:v>2</x:v>
      </x:c>
      <x:c r="C57" s="22" t="str">
        <x:v>关卡前废墟</x:v>
      </x:c>
      <x:c r="D57" s="22" t="str">
        <x:v>普通</x:v>
      </x:c>
      <x:c r="E57" s="22" t="str">
        <x:v>流放军士</x:v>
      </x:c>
      <x:c r="F57" s="22" t="str">
        <x:v>XX126、XX115</x:v>
      </x:c>
      <x:c r="G57" s="22" t="str">
        <x:v>P0028</x:v>
      </x:c>
      <x:c r="H57" s="22" t="n">
        <x:v>7.2</x:v>
      </x:c>
      <x:c r="I57" s="28" t="n">
        <x:v>81236.1430859545</x:v>
      </x:c>
      <x:c r="J57" s="28" t="n">
        <x:f>ROUND(H57*I57,-MAX(0,INT(LOG10(H57*I57))-1))</x:f>
        <x:v>580000</x:v>
      </x:c>
      <x:c r="K57" s="28" t="n">
        <x:v>670</x:v>
      </x:c>
      <x:c r="L57" s="28" t="n">
        <x:v>910</x:v>
      </x:c>
      <x:c r="M57" s="28" t="n">
        <x:v>340</x:v>
      </x:c>
      <x:c r="N57" s="28" t="n">
        <x:v>290</x:v>
      </x:c>
      <x:c r="O57" s="28" t="n">
        <x:v>53</x:v>
      </x:c>
      <x:c r="P57" s="28" t="n">
        <x:v>160</x:v>
      </x:c>
      <x:c r="Q57" s="28" t="n">
        <x:v>1600</x:v>
      </x:c>
      <x:c r="R57" s="22" t="n">
        <x:v>53</x:v>
      </x:c>
      <x:c r="S57" s="22"/>
      <x:c r="T57" s="22" t="str">
        <x:v>32位有符号内</x:v>
      </x:c>
    </x:row>
    <x:row r="58" ht="24" customHeight="1">
      <x:c r="A58" s="22" t="str">
        <x:v>EL-MON-LIM-GATE-006</x:v>
      </x:c>
      <x:c r="B58" s="22" t="n">
        <x:v>2</x:v>
      </x:c>
      <x:c r="C58" s="22" t="str">
        <x:v>关卡前废墟</x:v>
      </x:c>
      <x:c r="D58" s="22" t="str">
        <x:v>普通</x:v>
      </x:c>
      <x:c r="E58" s="22" t="str">
        <x:v>断旗骑兵</x:v>
      </x:c>
      <x:c r="F58" s="22" t="str">
        <x:v>XX126、XX115</x:v>
      </x:c>
      <x:c r="G58" s="22" t="str">
        <x:v>P0028</x:v>
      </x:c>
      <x:c r="H58" s="22" t="n">
        <x:v>7.6</x:v>
      </x:c>
      <x:c r="I58" s="28" t="n">
        <x:v>81236.1430859545</x:v>
      </x:c>
      <x:c r="J58" s="28" t="n">
        <x:f>ROUND(H58*I58,-MAX(0,INT(LOG10(H58*I58))-1))</x:f>
        <x:v>620000</x:v>
      </x:c>
      <x:c r="K58" s="28" t="n">
        <x:v>670</x:v>
      </x:c>
      <x:c r="L58" s="28" t="n">
        <x:v>910</x:v>
      </x:c>
      <x:c r="M58" s="28" t="n">
        <x:v>340</x:v>
      </x:c>
      <x:c r="N58" s="28" t="n">
        <x:v>290</x:v>
      </x:c>
      <x:c r="O58" s="28" t="n">
        <x:v>53</x:v>
      </x:c>
      <x:c r="P58" s="28" t="n">
        <x:v>160</x:v>
      </x:c>
      <x:c r="Q58" s="28" t="n">
        <x:v>1600</x:v>
      </x:c>
      <x:c r="R58" s="22" t="n">
        <x:v>445</x:v>
      </x:c>
      <x:c r="S58" s="22"/>
      <x:c r="T58" s="22" t="str">
        <x:v>32位有符号内</x:v>
      </x:c>
    </x:row>
    <x:row r="59" ht="24" customHeight="1">
      <x:c r="A59" s="22" t="str">
        <x:v>EL-MON-LIM-GATE-007</x:v>
      </x:c>
      <x:c r="B59" s="22" t="n">
        <x:v>2</x:v>
      </x:c>
      <x:c r="C59" s="22" t="str">
        <x:v>关卡前废墟</x:v>
      </x:c>
      <x:c r="D59" s="22" t="str">
        <x:v>稀有</x:v>
      </x:c>
      <x:c r="E59" s="22" t="str">
        <x:v>黄金重骑</x:v>
      </x:c>
      <x:c r="F59" s="22" t="str">
        <x:v>XX125、XX126</x:v>
      </x:c>
      <x:c r="G59" s="22" t="str">
        <x:v>P0028</x:v>
      </x:c>
      <x:c r="H59" s="22" t="n">
        <x:v>21.6</x:v>
      </x:c>
      <x:c r="I59" s="28" t="n">
        <x:v>76072.06304743473</x:v>
      </x:c>
      <x:c r="J59" s="28" t="n">
        <x:f>ROUND(H59*I59,-MAX(0,INT(LOG10(H59*I59))-1))</x:f>
        <x:v>1600000</x:v>
      </x:c>
      <x:c r="K59" s="28" t="n">
        <x:v>1100</x:v>
      </x:c>
      <x:c r="L59" s="28" t="n">
        <x:v>1500</x:v>
      </x:c>
      <x:c r="M59" s="28" t="n">
        <x:v>680</x:v>
      </x:c>
      <x:c r="N59" s="28" t="n">
        <x:v>580</x:v>
      </x:c>
      <x:c r="O59" s="28" t="n">
        <x:v>53</x:v>
      </x:c>
      <x:c r="P59" s="28" t="n">
        <x:v>460</x:v>
      </x:c>
      <x:c r="Q59" s="28" t="n">
        <x:v>1700</x:v>
      </x:c>
      <x:c r="R59" s="22" t="n">
        <x:v>448</x:v>
      </x:c>
      <x:c r="S59" s="22"/>
      <x:c r="T59" s="22" t="str">
        <x:v>32位有符号内</x:v>
      </x:c>
    </x:row>
    <x:row r="60" ht="24" customHeight="1">
      <x:c r="A60" s="22" t="str">
        <x:v>EL-MON-LIM-GATE-008</x:v>
      </x:c>
      <x:c r="B60" s="22" t="n">
        <x:v>2</x:v>
      </x:c>
      <x:c r="C60" s="22" t="str">
        <x:v>关卡前废墟</x:v>
      </x:c>
      <x:c r="D60" s="22" t="str">
        <x:v>稀有</x:v>
      </x:c>
      <x:c r="E60" s="22" t="str">
        <x:v>失乡骑士</x:v>
      </x:c>
      <x:c r="F60" s="22" t="str">
        <x:v>XX126</x:v>
      </x:c>
      <x:c r="G60" s="22" t="str">
        <x:v>P0028</x:v>
      </x:c>
      <x:c r="H60" s="22" t="n">
        <x:v>22.799999999999997</x:v>
      </x:c>
      <x:c r="I60" s="28" t="n">
        <x:v>76072.06304743473</x:v>
      </x:c>
      <x:c r="J60" s="28" t="n">
        <x:f>ROUND(H60*I60,-MAX(0,INT(LOG10(H60*I60))-1))</x:f>
        <x:v>1700000</x:v>
      </x:c>
      <x:c r="K60" s="28" t="n">
        <x:v>1100</x:v>
      </x:c>
      <x:c r="L60" s="28" t="n">
        <x:v>1500</x:v>
      </x:c>
      <x:c r="M60" s="28" t="n">
        <x:v>680</x:v>
      </x:c>
      <x:c r="N60" s="28" t="n">
        <x:v>580</x:v>
      </x:c>
      <x:c r="O60" s="28" t="n">
        <x:v>53</x:v>
      </x:c>
      <x:c r="P60" s="28" t="n">
        <x:v>460</x:v>
      </x:c>
      <x:c r="Q60" s="28" t="n">
        <x:v>1700</x:v>
      </x:c>
      <x:c r="R60" s="22" t="n">
        <x:v>590</x:v>
      </x:c>
      <x:c r="S60" s="22"/>
      <x:c r="T60" s="22" t="str">
        <x:v>32位有符号内</x:v>
      </x:c>
    </x:row>
    <x:row r="61" ht="24" customHeight="1">
      <x:c r="A61" s="22" t="str">
        <x:v>EL-MON-LIM-GATE-009</x:v>
      </x:c>
      <x:c r="B61" s="22" t="n">
        <x:v>2</x:v>
      </x:c>
      <x:c r="C61" s="22" t="str">
        <x:v>关卡前废墟</x:v>
      </x:c>
      <x:c r="D61" s="22" t="str">
        <x:v>稀有</x:v>
      </x:c>
      <x:c r="E61" s="22" t="str">
        <x:v>军营兽爪官</x:v>
      </x:c>
      <x:c r="F61" s="22" t="str">
        <x:v>XX126、XX115</x:v>
      </x:c>
      <x:c r="G61" s="22" t="str">
        <x:v>P0028</x:v>
      </x:c>
      <x:c r="H61" s="22" t="n">
        <x:v>24</x:v>
      </x:c>
      <x:c r="I61" s="28" t="n">
        <x:v>76072.06304743473</x:v>
      </x:c>
      <x:c r="J61" s="28" t="n">
        <x:f>ROUND(H61*I61,-MAX(0,INT(LOG10(H61*I61))-1))</x:f>
        <x:v>1800000</x:v>
      </x:c>
      <x:c r="K61" s="28" t="n">
        <x:v>1000</x:v>
      </x:c>
      <x:c r="L61" s="28" t="n">
        <x:v>1400</x:v>
      </x:c>
      <x:c r="M61" s="28" t="n">
        <x:v>680</x:v>
      </x:c>
      <x:c r="N61" s="28" t="n">
        <x:v>580</x:v>
      </x:c>
      <x:c r="O61" s="28" t="n">
        <x:v>53</x:v>
      </x:c>
      <x:c r="P61" s="28" t="n">
        <x:v>460</x:v>
      </x:c>
      <x:c r="Q61" s="28" t="n">
        <x:v>1700</x:v>
      </x:c>
      <x:c r="R61" s="22" t="n">
        <x:v>176</x:v>
      </x:c>
      <x:c r="S61" s="22"/>
      <x:c r="T61" s="22" t="str">
        <x:v>32位有符号内</x:v>
      </x:c>
    </x:row>
    <x:row r="62" ht="24" customHeight="1">
      <x:c r="A62" s="22" t="str">
        <x:v>EL-MON-LIM-GATE-010</x:v>
      </x:c>
      <x:c r="B62" s="22" t="n">
        <x:v>2</x:v>
      </x:c>
      <x:c r="C62" s="22" t="str">
        <x:v>关卡前废墟</x:v>
      </x:c>
      <x:c r="D62" s="22" t="str">
        <x:v>稀有</x:v>
      </x:c>
      <x:c r="E62" s="22" t="str">
        <x:v>关隘战车</x:v>
      </x:c>
      <x:c r="F62" s="22" t="str">
        <x:v>XX115</x:v>
      </x:c>
      <x:c r="G62" s="22" t="str">
        <x:v>P0028</x:v>
      </x:c>
      <x:c r="H62" s="22" t="n">
        <x:v>27.599999999999998</x:v>
      </x:c>
      <x:c r="I62" s="28" t="n">
        <x:v>76072.06304743473</x:v>
      </x:c>
      <x:c r="J62" s="28" t="n">
        <x:f>ROUND(H62*I62,-MAX(0,INT(LOG10(H62*I62))-1))</x:f>
        <x:v>2100000</x:v>
      </x:c>
      <x:c r="K62" s="28" t="n">
        <x:v>950</x:v>
      </x:c>
      <x:c r="L62" s="28" t="n">
        <x:v>1300</x:v>
      </x:c>
      <x:c r="M62" s="28" t="n">
        <x:v>680</x:v>
      </x:c>
      <x:c r="N62" s="28" t="n">
        <x:v>580</x:v>
      </x:c>
      <x:c r="O62" s="28" t="n">
        <x:v>53</x:v>
      </x:c>
      <x:c r="P62" s="28" t="n">
        <x:v>460</x:v>
      </x:c>
      <x:c r="Q62" s="28" t="n">
        <x:v>1700</x:v>
      </x:c>
      <x:c r="R62" s="22" t="n">
        <x:v>220</x:v>
      </x:c>
      <x:c r="S62" s="22"/>
      <x:c r="T62" s="22" t="str">
        <x:v>32位有符号内</x:v>
      </x:c>
    </x:row>
    <x:row r="63" ht="24" customHeight="1">
      <x:c r="A63" s="22" t="str">
        <x:v>EL-MON-LIM-GATE-011</x:v>
      </x:c>
      <x:c r="B63" s="22" t="n">
        <x:v>2</x:v>
      </x:c>
      <x:c r="C63" s="22" t="str">
        <x:v>关卡前废墟</x:v>
      </x:c>
      <x:c r="D63" s="22" t="str">
        <x:v>地图BOSS</x:v>
      </x:c>
      <x:c r="E63" s="22" t="str">
        <x:v>大树守卫·罗兰</x:v>
      </x:c>
      <x:c r="F63" s="22" t="str">
        <x:v>XX115</x:v>
      </x:c>
      <x:c r="G63" s="22" t="str">
        <x:v>P0035</x:v>
      </x:c>
      <x:c r="H63" s="22" t="n">
        <x:v>86.25</x:v>
      </x:c>
      <x:c r="I63" s="28" t="n">
        <x:v>197145.8506329046</x:v>
      </x:c>
      <x:c r="J63" s="28" t="n">
        <x:f>ROUND(H63*I63,-MAX(0,INT(LOG10(H63*I63))-1))</x:f>
        <x:v>17000000</x:v>
      </x:c>
      <x:c r="K63" s="28" t="n">
        <x:v>12000</x:v>
      </x:c>
      <x:c r="L63" s="28" t="n">
        <x:v>17000</x:v>
      </x:c>
      <x:c r="M63" s="28" t="n">
        <x:v>1400</x:v>
      </x:c>
      <x:c r="N63" s="28" t="n">
        <x:v>1200</x:v>
      </x:c>
      <x:c r="O63" s="28" t="n">
        <x:v>53</x:v>
      </x:c>
      <x:c r="P63" s="28" t="n">
        <x:v>1900</x:v>
      </x:c>
      <x:c r="Q63" s="28" t="n">
        <x:v>1800</x:v>
      </x:c>
      <x:c r="R63" s="22" t="n">
        <x:v>369</x:v>
      </x:c>
      <x:c r="S63" s="22"/>
      <x:c r="T63" s="22" t="str">
        <x:v>32位有符号内</x:v>
      </x:c>
    </x:row>
    <x:row r="64" ht="24" customHeight="1">
      <x:c r="A64" s="22" t="str">
        <x:v>EL-MON-LIM-GATE-012</x:v>
      </x:c>
      <x:c r="B64" s="22" t="n">
        <x:v>2</x:v>
      </x:c>
      <x:c r="C64" s="22" t="str">
        <x:v>关卡前废墟</x:v>
      </x:c>
      <x:c r="D64" s="22" t="str">
        <x:v>地图BOSS</x:v>
      </x:c>
      <x:c r="E64" s="22" t="str">
        <x:v>黑夜骑兵·莫尔</x:v>
      </x:c>
      <x:c r="F64" s="22" t="str">
        <x:v>XX115</x:v>
      </x:c>
      <x:c r="G64" s="22" t="str">
        <x:v>P0036</x:v>
      </x:c>
      <x:c r="H64" s="22" t="n">
        <x:v>82.5</x:v>
      </x:c>
      <x:c r="I64" s="28" t="n">
        <x:v>197145.8506329046</x:v>
      </x:c>
      <x:c r="J64" s="28" t="n">
        <x:f>ROUND(H64*I64,-MAX(0,INT(LOG10(H64*I64))-1))</x:f>
        <x:v>16000000</x:v>
      </x:c>
      <x:c r="K64" s="28" t="n">
        <x:v>13000</x:v>
      </x:c>
      <x:c r="L64" s="28" t="n">
        <x:v>17000</x:v>
      </x:c>
      <x:c r="M64" s="28" t="n">
        <x:v>1400</x:v>
      </x:c>
      <x:c r="N64" s="28" t="n">
        <x:v>1200</x:v>
      </x:c>
      <x:c r="O64" s="28" t="n">
        <x:v>53</x:v>
      </x:c>
      <x:c r="P64" s="28" t="n">
        <x:v>1900</x:v>
      </x:c>
      <x:c r="Q64" s="28" t="n">
        <x:v>1800</x:v>
      </x:c>
      <x:c r="R64" s="22" t="n">
        <x:v>254</x:v>
      </x:c>
      <x:c r="S64" s="22"/>
      <x:c r="T64" s="22" t="str">
        <x:v>32位有符号内</x:v>
      </x:c>
    </x:row>
    <x:row r="65" ht="24" customHeight="1">
      <x:c r="A65" s="22" t="str">
        <x:v>EL-MON-LIM-MIST-001</x:v>
      </x:c>
      <x:c r="B65" s="22" t="n">
        <x:v>2</x:v>
      </x:c>
      <x:c r="C65" s="22" t="str">
        <x:v>迷雾丛林</x:v>
      </x:c>
      <x:c r="D65" s="22" t="str">
        <x:v>普通</x:v>
      </x:c>
      <x:c r="E65" s="22" t="str">
        <x:v>雾林野狼</x:v>
      </x:c>
      <x:c r="F65" s="22" t="str">
        <x:v>XX171</x:v>
      </x:c>
      <x:c r="G65" s="22" t="str">
        <x:v>P0034</x:v>
      </x:c>
      <x:c r="H65" s="22" t="n">
        <x:v>9.2</x:v>
      </x:c>
      <x:c r="I65" s="28" t="n">
        <x:v>122820.34548127763</x:v>
      </x:c>
      <x:c r="J65" s="28" t="n">
        <x:f>ROUND(H65*I65,-MAX(0,INT(LOG10(H65*I65))-1))</x:f>
        <x:v>1100000</x:v>
      </x:c>
      <x:c r="K65" s="28" t="n">
        <x:v>930</x:v>
      </x:c>
      <x:c r="L65" s="28" t="n">
        <x:v>1300</x:v>
      </x:c>
      <x:c r="M65" s="28" t="n">
        <x:v>430</x:v>
      </x:c>
      <x:c r="N65" s="28" t="n">
        <x:v>370</x:v>
      </x:c>
      <x:c r="O65" s="28" t="n">
        <x:v>56</x:v>
      </x:c>
      <x:c r="P65" s="28" t="n">
        <x:v>170</x:v>
      </x:c>
      <x:c r="Q65" s="28" t="n">
        <x:v>1600</x:v>
      </x:c>
      <x:c r="R65" s="22" t="n">
        <x:v>94</x:v>
      </x:c>
      <x:c r="S65" s="22"/>
      <x:c r="T65" s="22" t="str">
        <x:v>32位有符号内</x:v>
      </x:c>
    </x:row>
    <x:row r="66" ht="24" customHeight="1">
      <x:c r="A66" s="22" t="str">
        <x:v>EL-MON-LIM-MIST-002</x:v>
      </x:c>
      <x:c r="B66" s="22" t="n">
        <x:v>2</x:v>
      </x:c>
      <x:c r="C66" s="22" t="str">
        <x:v>迷雾丛林</x:v>
      </x:c>
      <x:c r="D66" s="22" t="str">
        <x:v>普通</x:v>
      </x:c>
      <x:c r="E66" s="22" t="str">
        <x:v>卢恩巨熊</x:v>
      </x:c>
      <x:c r="F66" s="22" t="str">
        <x:v>XX171、XX170</x:v>
      </x:c>
      <x:c r="G66" s="22" t="str">
        <x:v>P0034</x:v>
      </x:c>
      <x:c r="H66" s="22" t="n">
        <x:v>8.8</x:v>
      </x:c>
      <x:c r="I66" s="28" t="n">
        <x:v>122820.34548127763</x:v>
      </x:c>
      <x:c r="J66" s="28" t="n">
        <x:f>ROUND(H66*I66,-MAX(0,INT(LOG10(H66*I66))-1))</x:f>
        <x:v>1100000</x:v>
      </x:c>
      <x:c r="K66" s="28" t="n">
        <x:v>930</x:v>
      </x:c>
      <x:c r="L66" s="28" t="n">
        <x:v>1300</x:v>
      </x:c>
      <x:c r="M66" s="28" t="n">
        <x:v>430</x:v>
      </x:c>
      <x:c r="N66" s="28" t="n">
        <x:v>370</x:v>
      </x:c>
      <x:c r="O66" s="28" t="n">
        <x:v>56</x:v>
      </x:c>
      <x:c r="P66" s="28" t="n">
        <x:v>170</x:v>
      </x:c>
      <x:c r="Q66" s="28" t="n">
        <x:v>1600</x:v>
      </x:c>
      <x:c r="R66" s="22" t="n">
        <x:v>608</x:v>
      </x:c>
      <x:c r="S66" s="22"/>
      <x:c r="T66" s="22" t="str">
        <x:v>32位有符号内</x:v>
      </x:c>
    </x:row>
    <x:row r="67" ht="24" customHeight="1">
      <x:c r="A67" s="22" t="str">
        <x:v>EL-MON-LIM-MIST-003</x:v>
      </x:c>
      <x:c r="B67" s="22" t="n">
        <x:v>2</x:v>
      </x:c>
      <x:c r="C67" s="22" t="str">
        <x:v>迷雾丛林</x:v>
      </x:c>
      <x:c r="D67" s="22" t="str">
        <x:v>普通</x:v>
      </x:c>
      <x:c r="E67" s="22" t="str">
        <x:v>祖灵鹿</x:v>
      </x:c>
      <x:c r="F67" s="22" t="str">
        <x:v>XX171</x:v>
      </x:c>
      <x:c r="G67" s="22" t="str">
        <x:v>P0034</x:v>
      </x:c>
      <x:c r="H67" s="22" t="n">
        <x:v>8</x:v>
      </x:c>
      <x:c r="I67" s="28" t="n">
        <x:v>122820.34548127763</x:v>
      </x:c>
      <x:c r="J67" s="28" t="n">
        <x:f>ROUND(H67*I67,-MAX(0,INT(LOG10(H67*I67))-1))</x:f>
        <x:v>980000</x:v>
      </x:c>
      <x:c r="K67" s="28" t="n">
        <x:v>940</x:v>
      </x:c>
      <x:c r="L67" s="28" t="n">
        <x:v>1300</x:v>
      </x:c>
      <x:c r="M67" s="28" t="n">
        <x:v>430</x:v>
      </x:c>
      <x:c r="N67" s="28" t="n">
        <x:v>370</x:v>
      </x:c>
      <x:c r="O67" s="28" t="n">
        <x:v>56</x:v>
      </x:c>
      <x:c r="P67" s="28" t="n">
        <x:v>170</x:v>
      </x:c>
      <x:c r="Q67" s="28" t="n">
        <x:v>1600</x:v>
      </x:c>
      <x:c r="R67" s="22" t="n">
        <x:v>419</x:v>
      </x:c>
      <x:c r="S67" s="22"/>
      <x:c r="T67" s="22" t="str">
        <x:v>32位有符号内</x:v>
      </x:c>
    </x:row>
    <x:row r="68" ht="24" customHeight="1">
      <x:c r="A68" s="22" t="str">
        <x:v>EL-MON-LIM-MIST-004</x:v>
      </x:c>
      <x:c r="B68" s="22" t="n">
        <x:v>2</x:v>
      </x:c>
      <x:c r="C68" s="22" t="str">
        <x:v>迷雾丛林</x:v>
      </x:c>
      <x:c r="D68" s="22" t="str">
        <x:v>普通</x:v>
      </x:c>
      <x:c r="E68" s="22" t="str">
        <x:v>腐根树妖</x:v>
      </x:c>
      <x:c r="F68" s="22" t="str">
        <x:v>XX171、XX170</x:v>
      </x:c>
      <x:c r="G68" s="22" t="str">
        <x:v>P0034</x:v>
      </x:c>
      <x:c r="H68" s="22" t="n">
        <x:v>8</x:v>
      </x:c>
      <x:c r="I68" s="28" t="n">
        <x:v>122820.34548127763</x:v>
      </x:c>
      <x:c r="J68" s="28" t="n">
        <x:f>ROUND(H68*I68,-MAX(0,INT(LOG10(H68*I68))-1))</x:f>
        <x:v>980000</x:v>
      </x:c>
      <x:c r="K68" s="28" t="n">
        <x:v>940</x:v>
      </x:c>
      <x:c r="L68" s="28" t="n">
        <x:v>1300</x:v>
      </x:c>
      <x:c r="M68" s="28" t="n">
        <x:v>430</x:v>
      </x:c>
      <x:c r="N68" s="28" t="n">
        <x:v>370</x:v>
      </x:c>
      <x:c r="O68" s="28" t="n">
        <x:v>56</x:v>
      </x:c>
      <x:c r="P68" s="28" t="n">
        <x:v>170</x:v>
      </x:c>
      <x:c r="Q68" s="28" t="n">
        <x:v>1600</x:v>
      </x:c>
      <x:c r="R68" s="22" t="n">
        <x:v>111</x:v>
      </x:c>
      <x:c r="S68" s="22"/>
      <x:c r="T68" s="22" t="str">
        <x:v>32位有符号内</x:v>
      </x:c>
    </x:row>
    <x:row r="69" ht="24" customHeight="1">
      <x:c r="A69" s="22" t="str">
        <x:v>EL-MON-LIM-MIST-005</x:v>
      </x:c>
      <x:c r="B69" s="22" t="n">
        <x:v>2</x:v>
      </x:c>
      <x:c r="C69" s="22" t="str">
        <x:v>迷雾丛林</x:v>
      </x:c>
      <x:c r="D69" s="22" t="str">
        <x:v>普通</x:v>
      </x:c>
      <x:c r="E69" s="22" t="str">
        <x:v>半兽哨兵</x:v>
      </x:c>
      <x:c r="F69" s="22" t="str">
        <x:v>XX170、XX167</x:v>
      </x:c>
      <x:c r="G69" s="22" t="str">
        <x:v>P0034</x:v>
      </x:c>
      <x:c r="H69" s="22" t="n">
        <x:v>7.6</x:v>
      </x:c>
      <x:c r="I69" s="28" t="n">
        <x:v>122820.34548127763</x:v>
      </x:c>
      <x:c r="J69" s="28" t="n">
        <x:f>ROUND(H69*I69,-MAX(0,INT(LOG10(H69*I69))-1))</x:f>
        <x:v>930000</x:v>
      </x:c>
      <x:c r="K69" s="28" t="n">
        <x:v>940</x:v>
      </x:c>
      <x:c r="L69" s="28" t="n">
        <x:v>1300</x:v>
      </x:c>
      <x:c r="M69" s="28" t="n">
        <x:v>430</x:v>
      </x:c>
      <x:c r="N69" s="28" t="n">
        <x:v>370</x:v>
      </x:c>
      <x:c r="O69" s="28" t="n">
        <x:v>56</x:v>
      </x:c>
      <x:c r="P69" s="28" t="n">
        <x:v>170</x:v>
      </x:c>
      <x:c r="Q69" s="28" t="n">
        <x:v>1600</x:v>
      </x:c>
      <x:c r="R69" s="22" t="n">
        <x:v>174</x:v>
      </x:c>
      <x:c r="S69" s="22"/>
      <x:c r="T69" s="22" t="str">
        <x:v>32位有符号内</x:v>
      </x:c>
    </x:row>
    <x:row r="70" ht="24" customHeight="1">
      <x:c r="A70" s="22" t="str">
        <x:v>EL-MON-LIM-MIST-006</x:v>
      </x:c>
      <x:c r="B70" s="22" t="n">
        <x:v>2</x:v>
      </x:c>
      <x:c r="C70" s="22" t="str">
        <x:v>迷雾丛林</x:v>
      </x:c>
      <x:c r="D70" s="22" t="str">
        <x:v>普通</x:v>
      </x:c>
      <x:c r="E70" s="22" t="str">
        <x:v>林地毒花</x:v>
      </x:c>
      <x:c r="F70" s="22" t="str">
        <x:v>XX170、XX167</x:v>
      </x:c>
      <x:c r="G70" s="22" t="str">
        <x:v>P0034</x:v>
      </x:c>
      <x:c r="H70" s="22" t="n">
        <x:v>9.2</x:v>
      </x:c>
      <x:c r="I70" s="28" t="n">
        <x:v>122820.34548127763</x:v>
      </x:c>
      <x:c r="J70" s="28" t="n">
        <x:f>ROUND(H70*I70,-MAX(0,INT(LOG10(H70*I70))-1))</x:f>
        <x:v>1100000</x:v>
      </x:c>
      <x:c r="K70" s="28" t="n">
        <x:v>930</x:v>
      </x:c>
      <x:c r="L70" s="28" t="n">
        <x:v>1300</x:v>
      </x:c>
      <x:c r="M70" s="28" t="n">
        <x:v>430</x:v>
      </x:c>
      <x:c r="N70" s="28" t="n">
        <x:v>370</x:v>
      </x:c>
      <x:c r="O70" s="28" t="n">
        <x:v>56</x:v>
      </x:c>
      <x:c r="P70" s="28" t="n">
        <x:v>170</x:v>
      </x:c>
      <x:c r="Q70" s="28" t="n">
        <x:v>1600</x:v>
      </x:c>
      <x:c r="R70" s="22" t="n">
        <x:v>39</x:v>
      </x:c>
      <x:c r="S70" s="22"/>
      <x:c r="T70" s="22" t="str">
        <x:v>32位有符号内</x:v>
      </x:c>
    </x:row>
    <x:row r="71" ht="24" customHeight="1">
      <x:c r="A71" s="22" t="str">
        <x:v>EL-MON-LIM-MIST-007</x:v>
      </x:c>
      <x:c r="B71" s="22" t="n">
        <x:v>2</x:v>
      </x:c>
      <x:c r="C71" s="22" t="str">
        <x:v>迷雾丛林</x:v>
      </x:c>
      <x:c r="D71" s="22" t="str">
        <x:v>稀有</x:v>
      </x:c>
      <x:c r="E71" s="22" t="str">
        <x:v>卢恩熊王</x:v>
      </x:c>
      <x:c r="F71" s="22" t="str">
        <x:v>XX171、XX170</x:v>
      </x:c>
      <x:c r="G71" s="22" t="str">
        <x:v>P0034</x:v>
      </x:c>
      <x:c r="H71" s="22" t="n">
        <x:v>24</x:v>
      </x:c>
      <x:c r="I71" s="28" t="n">
        <x:v>114993.50968556365</x:v>
      </x:c>
      <x:c r="J71" s="28" t="n">
        <x:f>ROUND(H71*I71,-MAX(0,INT(LOG10(H71*I71))-1))</x:f>
        <x:v>2800000</x:v>
      </x:c>
      <x:c r="K71" s="28" t="n">
        <x:v>1600</x:v>
      </x:c>
      <x:c r="L71" s="28" t="n">
        <x:v>2200</x:v>
      </x:c>
      <x:c r="M71" s="28" t="n">
        <x:v>860</x:v>
      </x:c>
      <x:c r="N71" s="28" t="n">
        <x:v>730</x:v>
      </x:c>
      <x:c r="O71" s="28" t="n">
        <x:v>56</x:v>
      </x:c>
      <x:c r="P71" s="28" t="n">
        <x:v>510</x:v>
      </x:c>
      <x:c r="Q71" s="28" t="n">
        <x:v>1700</x:v>
      </x:c>
      <x:c r="R71" s="22" t="n">
        <x:v>551</x:v>
      </x:c>
      <x:c r="S71" s="22"/>
      <x:c r="T71" s="22" t="str">
        <x:v>32位有符号内</x:v>
      </x:c>
    </x:row>
    <x:row r="72" ht="24" customHeight="1">
      <x:c r="A72" s="22" t="str">
        <x:v>EL-MON-LIM-MIST-008</x:v>
      </x:c>
      <x:c r="B72" s="22" t="n">
        <x:v>2</x:v>
      </x:c>
      <x:c r="C72" s="22" t="str">
        <x:v>迷雾丛林</x:v>
      </x:c>
      <x:c r="D72" s="22" t="str">
        <x:v>稀有</x:v>
      </x:c>
      <x:c r="E72" s="22" t="str">
        <x:v>小黄金树化身</x:v>
      </x:c>
      <x:c r="F72" s="22" t="str">
        <x:v>XX170</x:v>
      </x:c>
      <x:c r="G72" s="22" t="str">
        <x:v>P0034</x:v>
      </x:c>
      <x:c r="H72" s="22" t="n">
        <x:v>24</x:v>
      </x:c>
      <x:c r="I72" s="28" t="n">
        <x:v>114993.50968556365</x:v>
      </x:c>
      <x:c r="J72" s="28" t="n">
        <x:f>ROUND(H72*I72,-MAX(0,INT(LOG10(H72*I72))-1))</x:f>
        <x:v>2800000</x:v>
      </x:c>
      <x:c r="K72" s="28" t="n">
        <x:v>1600</x:v>
      </x:c>
      <x:c r="L72" s="28" t="n">
        <x:v>2200</x:v>
      </x:c>
      <x:c r="M72" s="28" t="n">
        <x:v>860</x:v>
      </x:c>
      <x:c r="N72" s="28" t="n">
        <x:v>730</x:v>
      </x:c>
      <x:c r="O72" s="28" t="n">
        <x:v>56</x:v>
      </x:c>
      <x:c r="P72" s="28" t="n">
        <x:v>510</x:v>
      </x:c>
      <x:c r="Q72" s="28" t="n">
        <x:v>1700</x:v>
      </x:c>
      <x:c r="R72" s="22" t="n">
        <x:v>114</x:v>
      </x:c>
      <x:c r="S72" s="22"/>
      <x:c r="T72" s="22" t="str">
        <x:v>32位有符号内</x:v>
      </x:c>
    </x:row>
    <x:row r="73" ht="24" customHeight="1">
      <x:c r="A73" s="22" t="str">
        <x:v>EL-MON-LIM-MIST-009</x:v>
      </x:c>
      <x:c r="B73" s="22" t="n">
        <x:v>2</x:v>
      </x:c>
      <x:c r="C73" s="22" t="str">
        <x:v>迷雾丛林</x:v>
      </x:c>
      <x:c r="D73" s="22" t="str">
        <x:v>稀有</x:v>
      </x:c>
      <x:c r="E73" s="22" t="str">
        <x:v>猎犬骑士·达瑞威尔</x:v>
      </x:c>
      <x:c r="F73" s="22" t="str">
        <x:v>XX170、XX167</x:v>
      </x:c>
      <x:c r="G73" s="22" t="str">
        <x:v>P0034</x:v>
      </x:c>
      <x:c r="H73" s="22" t="n">
        <x:v>26.400000000000002</x:v>
      </x:c>
      <x:c r="I73" s="28" t="n">
        <x:v>114993.50968556365</x:v>
      </x:c>
      <x:c r="J73" s="28" t="n">
        <x:f>ROUND(H73*I73,-MAX(0,INT(LOG10(H73*I73))-1))</x:f>
        <x:v>3000000</x:v>
      </x:c>
      <x:c r="K73" s="28" t="n">
        <x:v>1500</x:v>
      </x:c>
      <x:c r="L73" s="28" t="n">
        <x:v>2100</x:v>
      </x:c>
      <x:c r="M73" s="28" t="n">
        <x:v>860</x:v>
      </x:c>
      <x:c r="N73" s="28" t="n">
        <x:v>730</x:v>
      </x:c>
      <x:c r="O73" s="28" t="n">
        <x:v>56</x:v>
      </x:c>
      <x:c r="P73" s="28" t="n">
        <x:v>510</x:v>
      </x:c>
      <x:c r="Q73" s="28" t="n">
        <x:v>1700</x:v>
      </x:c>
      <x:c r="R73" s="22" t="n">
        <x:v>250</x:v>
      </x:c>
      <x:c r="S73" s="22"/>
      <x:c r="T73" s="22" t="str">
        <x:v>32位有符号内</x:v>
      </x:c>
    </x:row>
    <x:row r="74" ht="24" customHeight="1">
      <x:c r="A74" s="22" t="str">
        <x:v>EL-MON-LIM-MIST-010</x:v>
      </x:c>
      <x:c r="B74" s="22" t="n">
        <x:v>2</x:v>
      </x:c>
      <x:c r="C74" s="22" t="str">
        <x:v>迷雾丛林</x:v>
      </x:c>
      <x:c r="D74" s="22" t="str">
        <x:v>稀有</x:v>
      </x:c>
      <x:c r="E74" s="22" t="str">
        <x:v>永眠祖灵</x:v>
      </x:c>
      <x:c r="F74" s="22" t="str">
        <x:v>XX167</x:v>
      </x:c>
      <x:c r="G74" s="22" t="str">
        <x:v>P0034</x:v>
      </x:c>
      <x:c r="H74" s="22" t="n">
        <x:v>24</x:v>
      </x:c>
      <x:c r="I74" s="28" t="n">
        <x:v>114993.50968556365</x:v>
      </x:c>
      <x:c r="J74" s="28" t="n">
        <x:f>ROUND(H74*I74,-MAX(0,INT(LOG10(H74*I74))-1))</x:f>
        <x:v>2800000</x:v>
      </x:c>
      <x:c r="K74" s="28" t="n">
        <x:v>1600</x:v>
      </x:c>
      <x:c r="L74" s="28" t="n">
        <x:v>2200</x:v>
      </x:c>
      <x:c r="M74" s="28" t="n">
        <x:v>860</x:v>
      </x:c>
      <x:c r="N74" s="28" t="n">
        <x:v>730</x:v>
      </x:c>
      <x:c r="O74" s="28" t="n">
        <x:v>56</x:v>
      </x:c>
      <x:c r="P74" s="28" t="n">
        <x:v>510</x:v>
      </x:c>
      <x:c r="Q74" s="28" t="n">
        <x:v>1700</x:v>
      </x:c>
      <x:c r="R74" s="22" t="n">
        <x:v>134</x:v>
      </x:c>
      <x:c r="S74" s="22"/>
      <x:c r="T74" s="22" t="str">
        <x:v>32位有符号内</x:v>
      </x:c>
    </x:row>
    <x:row r="75" ht="24" customHeight="1">
      <x:c r="A75" s="22" t="str">
        <x:v>EL-MON-LIM-MIST-011</x:v>
      </x:c>
      <x:c r="B75" s="22" t="n">
        <x:v>2</x:v>
      </x:c>
      <x:c r="C75" s="22" t="str">
        <x:v>迷雾丛林</x:v>
      </x:c>
      <x:c r="D75" s="22" t="str">
        <x:v>地图BOSS</x:v>
      </x:c>
      <x:c r="E75" s="22" t="str">
        <x:v>提比亚唤船人·赫洛</x:v>
      </x:c>
      <x:c r="F75" s="22" t="str">
        <x:v>XX167</x:v>
      </x:c>
      <x:c r="G75" s="22" t="str">
        <x:v>P0041</x:v>
      </x:c>
      <x:c r="H75" s="22" t="n">
        <x:v>67.5</x:v>
      </x:c>
      <x:c r="I75" s="28" t="n">
        <x:v>646930.8497158927</x:v>
      </x:c>
      <x:c r="J75" s="28" t="n">
        <x:f>ROUND(H75*I75,-MAX(0,INT(LOG10(H75*I75))-1))</x:f>
        <x:v>44000000</x:v>
      </x:c>
      <x:c r="K75" s="28" t="n">
        <x:v>29000</x:v>
      </x:c>
      <x:c r="L75" s="28" t="n">
        <x:v>40000</x:v>
      </x:c>
      <x:c r="M75" s="28" t="n">
        <x:v>1900</x:v>
      </x:c>
      <x:c r="N75" s="28" t="n">
        <x:v>1600</x:v>
      </x:c>
      <x:c r="O75" s="28" t="n">
        <x:v>56</x:v>
      </x:c>
      <x:c r="P75" s="28" t="n">
        <x:v>2000</x:v>
      </x:c>
      <x:c r="Q75" s="28" t="n">
        <x:v>1800</x:v>
      </x:c>
      <x:c r="R75" s="22" t="n">
        <x:v>475</x:v>
      </x:c>
      <x:c r="S75" s="22"/>
      <x:c r="T75" s="22" t="str">
        <x:v>32位有符号内</x:v>
      </x:c>
    </x:row>
    <x:row r="76" ht="24" customHeight="1">
      <x:c r="A76" s="22" t="str">
        <x:v>EL-MON-LIM-MIST-012</x:v>
      </x:c>
      <x:c r="B76" s="22" t="n">
        <x:v>2</x:v>
      </x:c>
      <x:c r="C76" s="22" t="str">
        <x:v>迷雾丛林</x:v>
      </x:c>
      <x:c r="D76" s="22" t="str">
        <x:v>地图BOSS</x:v>
      </x:c>
      <x:c r="E76" s="22" t="str">
        <x:v>雾林熔炉骑士·奥德</x:v>
      </x:c>
      <x:c r="F76" s="22" t="str">
        <x:v>XX167</x:v>
      </x:c>
      <x:c r="G76" s="22" t="str">
        <x:v>P0042</x:v>
      </x:c>
      <x:c r="H76" s="22" t="n">
        <x:v>75</x:v>
      </x:c>
      <x:c r="I76" s="28" t="n">
        <x:v>646930.8497158927</x:v>
      </x:c>
      <x:c r="J76" s="28" t="n">
        <x:f>ROUND(H76*I76,-MAX(0,INT(LOG10(H76*I76))-1))</x:f>
        <x:v>49000000</x:v>
      </x:c>
      <x:c r="K76" s="28" t="n">
        <x:v>28000</x:v>
      </x:c>
      <x:c r="L76" s="28" t="n">
        <x:v>38000</x:v>
      </x:c>
      <x:c r="M76" s="28" t="n">
        <x:v>1900</x:v>
      </x:c>
      <x:c r="N76" s="28" t="n">
        <x:v>1600</x:v>
      </x:c>
      <x:c r="O76" s="28" t="n">
        <x:v>56</x:v>
      </x:c>
      <x:c r="P76" s="28" t="n">
        <x:v>2000</x:v>
      </x:c>
      <x:c r="Q76" s="28" t="n">
        <x:v>1800</x:v>
      </x:c>
      <x:c r="R76" s="22" t="n">
        <x:v>591</x:v>
      </x:c>
      <x:c r="S76" s="22"/>
      <x:c r="T76" s="22" t="str">
        <x:v>32位有符号内</x:v>
      </x:c>
    </x:row>
    <x:row r="77" ht="24" customHeight="1">
      <x:c r="A77" s="22" t="str">
        <x:v>EL-MON-LIM-STORM-001</x:v>
      </x:c>
      <x:c r="B77" s="22" t="n">
        <x:v>2</x:v>
      </x:c>
      <x:c r="C77" s="22" t="str">
        <x:v>风暴山谷</x:v>
      </x:c>
      <x:c r="D77" s="22" t="str">
        <x:v>普通</x:v>
      </x:c>
      <x:c r="E77" s="22" t="str">
        <x:v>风暴鹰</x:v>
      </x:c>
      <x:c r="F77" s="22" t="str">
        <x:v>XX248</x:v>
      </x:c>
      <x:c r="G77" s="22" t="str">
        <x:v>P0040</x:v>
      </x:c>
      <x:c r="H77" s="22" t="n">
        <x:v>9.2</x:v>
      </x:c>
      <x:c r="I77" s="28" t="n">
        <x:v>190137.86816553623</x:v>
      </x:c>
      <x:c r="J77" s="28" t="n">
        <x:f>ROUND(H77*I77,-MAX(0,INT(LOG10(H77*I77))-1))</x:f>
        <x:v>1700000</x:v>
      </x:c>
      <x:c r="K77" s="28" t="n">
        <x:v>1900</x:v>
      </x:c>
      <x:c r="L77" s="28" t="n">
        <x:v>2500</x:v>
      </x:c>
      <x:c r="M77" s="28" t="n">
        <x:v>570</x:v>
      </x:c>
      <x:c r="N77" s="28" t="n">
        <x:v>480</x:v>
      </x:c>
      <x:c r="O77" s="28" t="n">
        <x:v>59</x:v>
      </x:c>
      <x:c r="P77" s="28" t="n">
        <x:v>180</x:v>
      </x:c>
      <x:c r="Q77" s="28" t="n">
        <x:v>1600</x:v>
      </x:c>
      <x:c r="R77" s="22" t="n">
        <x:v>198</x:v>
      </x:c>
      <x:c r="S77" s="22"/>
      <x:c r="T77" s="22" t="str">
        <x:v>32位有符号内</x:v>
      </x:c>
    </x:row>
    <x:row r="78" ht="24" customHeight="1">
      <x:c r="A78" s="22" t="str">
        <x:v>EL-MON-LIM-STORM-002</x:v>
      </x:c>
      <x:c r="B78" s="22" t="n">
        <x:v>2</x:v>
      </x:c>
      <x:c r="C78" s="22" t="str">
        <x:v>风暴山谷</x:v>
      </x:c>
      <x:c r="D78" s="22" t="str">
        <x:v>普通</x:v>
      </x:c>
      <x:c r="E78" s="22" t="str">
        <x:v>雷羽战鹰</x:v>
      </x:c>
      <x:c r="F78" s="22" t="str">
        <x:v>XX248</x:v>
      </x:c>
      <x:c r="G78" s="22" t="str">
        <x:v>P0040</x:v>
      </x:c>
      <x:c r="H78" s="22" t="n">
        <x:v>8.8</x:v>
      </x:c>
      <x:c r="I78" s="28" t="n">
        <x:v>190137.86816553623</x:v>
      </x:c>
      <x:c r="J78" s="28" t="n">
        <x:f>ROUND(H78*I78,-MAX(0,INT(LOG10(H78*I78))-1))</x:f>
        <x:v>1700000</x:v>
      </x:c>
      <x:c r="K78" s="28" t="n">
        <x:v>1900</x:v>
      </x:c>
      <x:c r="L78" s="28" t="n">
        <x:v>2500</x:v>
      </x:c>
      <x:c r="M78" s="28" t="n">
        <x:v>570</x:v>
      </x:c>
      <x:c r="N78" s="28" t="n">
        <x:v>480</x:v>
      </x:c>
      <x:c r="O78" s="28" t="n">
        <x:v>59</x:v>
      </x:c>
      <x:c r="P78" s="28" t="n">
        <x:v>180</x:v>
      </x:c>
      <x:c r="Q78" s="28" t="n">
        <x:v>1600</x:v>
      </x:c>
      <x:c r="R78" s="22" t="n">
        <x:v>245</x:v>
      </x:c>
      <x:c r="S78" s="22"/>
      <x:c r="T78" s="22" t="str">
        <x:v>32位有符号内</x:v>
      </x:c>
    </x:row>
    <x:row r="79" ht="24" customHeight="1">
      <x:c r="A79" s="22" t="str">
        <x:v>EL-MON-LIM-STORM-003</x:v>
      </x:c>
      <x:c r="B79" s="22" t="n">
        <x:v>2</x:v>
      </x:c>
      <x:c r="C79" s="22" t="str">
        <x:v>风暴山谷</x:v>
      </x:c>
      <x:c r="D79" s="22" t="str">
        <x:v>普通</x:v>
      </x:c>
      <x:c r="E79" s="22" t="str">
        <x:v>山谷巨人</x:v>
      </x:c>
      <x:c r="F79" s="22" t="str">
        <x:v>XX248、XX246</x:v>
      </x:c>
      <x:c r="G79" s="22" t="str">
        <x:v>P0040</x:v>
      </x:c>
      <x:c r="H79" s="22" t="n">
        <x:v>9.2</x:v>
      </x:c>
      <x:c r="I79" s="28" t="n">
        <x:v>190137.86816553623</x:v>
      </x:c>
      <x:c r="J79" s="28" t="n">
        <x:f>ROUND(H79*I79,-MAX(0,INT(LOG10(H79*I79))-1))</x:f>
        <x:v>1700000</x:v>
      </x:c>
      <x:c r="K79" s="28" t="n">
        <x:v>1900</x:v>
      </x:c>
      <x:c r="L79" s="28" t="n">
        <x:v>2500</x:v>
      </x:c>
      <x:c r="M79" s="28" t="n">
        <x:v>570</x:v>
      </x:c>
      <x:c r="N79" s="28" t="n">
        <x:v>480</x:v>
      </x:c>
      <x:c r="O79" s="28" t="n">
        <x:v>59</x:v>
      </x:c>
      <x:c r="P79" s="28" t="n">
        <x:v>180</x:v>
      </x:c>
      <x:c r="Q79" s="28" t="n">
        <x:v>1600</x:v>
      </x:c>
      <x:c r="R79" s="22" t="n">
        <x:v>42</x:v>
      </x:c>
      <x:c r="S79" s="22"/>
      <x:c r="T79" s="22" t="str">
        <x:v>32位有符号内</x:v>
      </x:c>
    </x:row>
    <x:row r="80" ht="24" customHeight="1">
      <x:c r="A80" s="22" t="str">
        <x:v>EL-MON-LIM-STORM-004</x:v>
      </x:c>
      <x:c r="B80" s="22" t="n">
        <x:v>2</x:v>
      </x:c>
      <x:c r="C80" s="22" t="str">
        <x:v>风暴山谷</x:v>
      </x:c>
      <x:c r="D80" s="22" t="str">
        <x:v>普通</x:v>
      </x:c>
      <x:c r="E80" s="22" t="str">
        <x:v>风蚀山羊</x:v>
      </x:c>
      <x:c r="F80" s="22" t="str">
        <x:v>XX248、XX246</x:v>
      </x:c>
      <x:c r="G80" s="22" t="str">
        <x:v>P0040</x:v>
      </x:c>
      <x:c r="H80" s="22" t="n">
        <x:v>8.8</x:v>
      </x:c>
      <x:c r="I80" s="28" t="n">
        <x:v>190137.86816553623</x:v>
      </x:c>
      <x:c r="J80" s="28" t="n">
        <x:f>ROUND(H80*I80,-MAX(0,INT(LOG10(H80*I80))-1))</x:f>
        <x:v>1700000</x:v>
      </x:c>
      <x:c r="K80" s="28" t="n">
        <x:v>1900</x:v>
      </x:c>
      <x:c r="L80" s="28" t="n">
        <x:v>2500</x:v>
      </x:c>
      <x:c r="M80" s="28" t="n">
        <x:v>570</x:v>
      </x:c>
      <x:c r="N80" s="28" t="n">
        <x:v>480</x:v>
      </x:c>
      <x:c r="O80" s="28" t="n">
        <x:v>59</x:v>
      </x:c>
      <x:c r="P80" s="28" t="n">
        <x:v>180</x:v>
      </x:c>
      <x:c r="Q80" s="28" t="n">
        <x:v>1600</x:v>
      </x:c>
      <x:c r="R80" s="22" t="n">
        <x:v>90</x:v>
      </x:c>
      <x:c r="S80" s="22"/>
      <x:c r="T80" s="22" t="str">
        <x:v>32位有符号内</x:v>
      </x:c>
    </x:row>
    <x:row r="81" ht="24" customHeight="1">
      <x:c r="A81" s="22" t="str">
        <x:v>EL-MON-LIM-STORM-005</x:v>
      </x:c>
      <x:c r="B81" s="22" t="n">
        <x:v>2</x:v>
      </x:c>
      <x:c r="C81" s="22" t="str">
        <x:v>风暴山谷</x:v>
      </x:c>
      <x:c r="D81" s="22" t="str">
        <x:v>普通</x:v>
      </x:c>
      <x:c r="E81" s="22" t="str">
        <x:v>风暴流寇</x:v>
      </x:c>
      <x:c r="F81" s="22" t="str">
        <x:v>XX246、XX101</x:v>
      </x:c>
      <x:c r="G81" s="22" t="str">
        <x:v>P0040</x:v>
      </x:c>
      <x:c r="H81" s="22" t="n">
        <x:v>8</x:v>
      </x:c>
      <x:c r="I81" s="28" t="n">
        <x:v>190137.86816553623</x:v>
      </x:c>
      <x:c r="J81" s="28" t="n">
        <x:f>ROUND(H81*I81,-MAX(0,INT(LOG10(H81*I81))-1))</x:f>
        <x:v>1500000</x:v>
      </x:c>
      <x:c r="K81" s="28" t="n">
        <x:v>1900</x:v>
      </x:c>
      <x:c r="L81" s="28" t="n">
        <x:v>2600</x:v>
      </x:c>
      <x:c r="M81" s="28" t="n">
        <x:v>570</x:v>
      </x:c>
      <x:c r="N81" s="28" t="n">
        <x:v>480</x:v>
      </x:c>
      <x:c r="O81" s="28" t="n">
        <x:v>59</x:v>
      </x:c>
      <x:c r="P81" s="28" t="n">
        <x:v>180</x:v>
      </x:c>
      <x:c r="Q81" s="28" t="n">
        <x:v>1600</x:v>
      </x:c>
      <x:c r="R81" s="22" t="n">
        <x:v>175</x:v>
      </x:c>
      <x:c r="S81" s="22"/>
      <x:c r="T81" s="22" t="str">
        <x:v>32位有符号内</x:v>
      </x:c>
    </x:row>
    <x:row r="82" ht="24" customHeight="1">
      <x:c r="A82" s="22" t="str">
        <x:v>EL-MON-LIM-STORM-006</x:v>
      </x:c>
      <x:c r="B82" s="22" t="n">
        <x:v>2</x:v>
      </x:c>
      <x:c r="C82" s="22" t="str">
        <x:v>风暴山谷</x:v>
      </x:c>
      <x:c r="D82" s="22" t="str">
        <x:v>普通</x:v>
      </x:c>
      <x:c r="E82" s="22" t="str">
        <x:v>雷痕石蜥</x:v>
      </x:c>
      <x:c r="F82" s="22" t="str">
        <x:v>XX246、XX101</x:v>
      </x:c>
      <x:c r="G82" s="22" t="str">
        <x:v>P0040</x:v>
      </x:c>
      <x:c r="H82" s="22" t="n">
        <x:v>9.2</x:v>
      </x:c>
      <x:c r="I82" s="28" t="n">
        <x:v>190137.86816553623</x:v>
      </x:c>
      <x:c r="J82" s="28" t="n">
        <x:f>ROUND(H82*I82,-MAX(0,INT(LOG10(H82*I82))-1))</x:f>
        <x:v>1700000</x:v>
      </x:c>
      <x:c r="K82" s="28" t="n">
        <x:v>1900</x:v>
      </x:c>
      <x:c r="L82" s="28" t="n">
        <x:v>2500</x:v>
      </x:c>
      <x:c r="M82" s="28" t="n">
        <x:v>570</x:v>
      </x:c>
      <x:c r="N82" s="28" t="n">
        <x:v>480</x:v>
      </x:c>
      <x:c r="O82" s="28" t="n">
        <x:v>59</x:v>
      </x:c>
      <x:c r="P82" s="28" t="n">
        <x:v>180</x:v>
      </x:c>
      <x:c r="Q82" s="28" t="n">
        <x:v>1600</x:v>
      </x:c>
      <x:c r="R82" s="22" t="n">
        <x:v>75</x:v>
      </x:c>
      <x:c r="S82" s="22"/>
      <x:c r="T82" s="22" t="str">
        <x:v>32位有符号内</x:v>
      </x:c>
    </x:row>
    <x:row r="83" ht="24" customHeight="1">
      <x:c r="A83" s="22" t="str">
        <x:v>EL-MON-LIM-STORM-007</x:v>
      </x:c>
      <x:c r="B83" s="22" t="n">
        <x:v>2</x:v>
      </x:c>
      <x:c r="C83" s="22" t="str">
        <x:v>风暴山谷</x:v>
      </x:c>
      <x:c r="D83" s="22" t="str">
        <x:v>稀有</x:v>
      </x:c>
      <x:c r="E83" s="22" t="str">
        <x:v>山妖统领</x:v>
      </x:c>
      <x:c r="F83" s="22" t="str">
        <x:v>XX248、XX246</x:v>
      </x:c>
      <x:c r="G83" s="22" t="str">
        <x:v>P0040</x:v>
      </x:c>
      <x:c r="H83" s="22" t="n">
        <x:v>27.599999999999998</x:v>
      </x:c>
      <x:c r="I83" s="28" t="n">
        <x:v>178946.96563261427</x:v>
      </x:c>
      <x:c r="J83" s="28" t="n">
        <x:f>ROUND(H83*I83,-MAX(0,INT(LOG10(H83*I83))-1))</x:f>
        <x:v>4900000</x:v>
      </x:c>
      <x:c r="K83" s="28" t="n">
        <x:v>3200</x:v>
      </x:c>
      <x:c r="L83" s="28" t="n">
        <x:v>4300</x:v>
      </x:c>
      <x:c r="M83" s="28" t="n">
        <x:v>1100</x:v>
      </x:c>
      <x:c r="N83" s="28" t="n">
        <x:v>940</x:v>
      </x:c>
      <x:c r="O83" s="28" t="n">
        <x:v>59</x:v>
      </x:c>
      <x:c r="P83" s="28" t="n">
        <x:v>560</x:v>
      </x:c>
      <x:c r="Q83" s="28" t="n">
        <x:v>1700</x:v>
      </x:c>
      <x:c r="R83" s="22" t="n">
        <x:v>43</x:v>
      </x:c>
      <x:c r="S83" s="22"/>
      <x:c r="T83" s="22" t="str">
        <x:v>32位有符号内</x:v>
      </x:c>
    </x:row>
    <x:row r="84" ht="24" customHeight="1">
      <x:c r="A84" s="22" t="str">
        <x:v>EL-MON-LIM-STORM-008</x:v>
      </x:c>
      <x:c r="B84" s="22" t="n">
        <x:v>2</x:v>
      </x:c>
      <x:c r="C84" s="22" t="str">
        <x:v>风暴山谷</x:v>
      </x:c>
      <x:c r="D84" s="22" t="str">
        <x:v>稀有</x:v>
      </x:c>
      <x:c r="E84" s="22" t="str">
        <x:v>战鹰驯兽师</x:v>
      </x:c>
      <x:c r="F84" s="22" t="str">
        <x:v>XX246</x:v>
      </x:c>
      <x:c r="G84" s="22" t="str">
        <x:v>P0040</x:v>
      </x:c>
      <x:c r="H84" s="22" t="n">
        <x:v>22.799999999999997</x:v>
      </x:c>
      <x:c r="I84" s="28" t="n">
        <x:v>178946.96563261427</x:v>
      </x:c>
      <x:c r="J84" s="28" t="n">
        <x:f>ROUND(H84*I84,-MAX(0,INT(LOG10(H84*I84))-1))</x:f>
        <x:v>4100000</x:v>
      </x:c>
      <x:c r="K84" s="28" t="n">
        <x:v>3600</x:v>
      </x:c>
      <x:c r="L84" s="28" t="n">
        <x:v>4800</x:v>
      </x:c>
      <x:c r="M84" s="28" t="n">
        <x:v>1100</x:v>
      </x:c>
      <x:c r="N84" s="28" t="n">
        <x:v>940</x:v>
      </x:c>
      <x:c r="O84" s="28" t="n">
        <x:v>59</x:v>
      </x:c>
      <x:c r="P84" s="28" t="n">
        <x:v>560</x:v>
      </x:c>
      <x:c r="Q84" s="28" t="n">
        <x:v>1700</x:v>
      </x:c>
      <x:c r="R84" s="22" t="n">
        <x:v>154</x:v>
      </x:c>
      <x:c r="S84" s="22"/>
      <x:c r="T84" s="22" t="str">
        <x:v>32位有符号内</x:v>
      </x:c>
    </x:row>
    <x:row r="85" ht="24" customHeight="1">
      <x:c r="A85" s="22" t="str">
        <x:v>EL-MON-LIM-STORM-009</x:v>
      </x:c>
      <x:c r="B85" s="22" t="n">
        <x:v>2</x:v>
      </x:c>
      <x:c r="C85" s="22" t="str">
        <x:v>风暴山谷</x:v>
      </x:c>
      <x:c r="D85" s="22" t="str">
        <x:v>稀有</x:v>
      </x:c>
      <x:c r="E85" s="22" t="str">
        <x:v>熔炉百夫长</x:v>
      </x:c>
      <x:c r="F85" s="22" t="str">
        <x:v>XX246、XX101</x:v>
      </x:c>
      <x:c r="G85" s="22" t="str">
        <x:v>P0040</x:v>
      </x:c>
      <x:c r="H85" s="22" t="n">
        <x:v>27.599999999999998</x:v>
      </x:c>
      <x:c r="I85" s="28" t="n">
        <x:v>178946.96563261427</x:v>
      </x:c>
      <x:c r="J85" s="28" t="n">
        <x:f>ROUND(H85*I85,-MAX(0,INT(LOG10(H85*I85))-1))</x:f>
        <x:v>4900000</x:v>
      </x:c>
      <x:c r="K85" s="28" t="n">
        <x:v>3200</x:v>
      </x:c>
      <x:c r="L85" s="28" t="n">
        <x:v>4300</x:v>
      </x:c>
      <x:c r="M85" s="28" t="n">
        <x:v>1100</x:v>
      </x:c>
      <x:c r="N85" s="28" t="n">
        <x:v>940</x:v>
      </x:c>
      <x:c r="O85" s="28" t="n">
        <x:v>59</x:v>
      </x:c>
      <x:c r="P85" s="28" t="n">
        <x:v>560</x:v>
      </x:c>
      <x:c r="Q85" s="28" t="n">
        <x:v>1700</x:v>
      </x:c>
      <x:c r="R85" s="22" t="n">
        <x:v>592</x:v>
      </x:c>
      <x:c r="S85" s="22"/>
      <x:c r="T85" s="22" t="str">
        <x:v>32位有符号内</x:v>
      </x:c>
    </x:row>
    <x:row r="86" ht="24" customHeight="1">
      <x:c r="A86" s="22" t="str">
        <x:v>EL-MON-LIM-STORM-010</x:v>
      </x:c>
      <x:c r="B86" s="22" t="n">
        <x:v>2</x:v>
      </x:c>
      <x:c r="C86" s="22" t="str">
        <x:v>风暴山谷</x:v>
      </x:c>
      <x:c r="D86" s="22" t="str">
        <x:v>稀有</x:v>
      </x:c>
      <x:c r="E86" s="22" t="str">
        <x:v>死亡仪鸟</x:v>
      </x:c>
      <x:c r="F86" s="22" t="str">
        <x:v>XX101</x:v>
      </x:c>
      <x:c r="G86" s="22" t="str">
        <x:v>P0040</x:v>
      </x:c>
      <x:c r="H86" s="22" t="n">
        <x:v>22.799999999999997</x:v>
      </x:c>
      <x:c r="I86" s="28" t="n">
        <x:v>178946.96563261427</x:v>
      </x:c>
      <x:c r="J86" s="28" t="n">
        <x:f>ROUND(H86*I86,-MAX(0,INT(LOG10(H86*I86))-1))</x:f>
        <x:v>4100000</x:v>
      </x:c>
      <x:c r="K86" s="28" t="n">
        <x:v>3600</x:v>
      </x:c>
      <x:c r="L86" s="28" t="n">
        <x:v>4800</x:v>
      </x:c>
      <x:c r="M86" s="28" t="n">
        <x:v>1100</x:v>
      </x:c>
      <x:c r="N86" s="28" t="n">
        <x:v>940</x:v>
      </x:c>
      <x:c r="O86" s="28" t="n">
        <x:v>59</x:v>
      </x:c>
      <x:c r="P86" s="28" t="n">
        <x:v>560</x:v>
      </x:c>
      <x:c r="Q86" s="28" t="n">
        <x:v>1700</x:v>
      </x:c>
      <x:c r="R86" s="22" t="n">
        <x:v>769</x:v>
      </x:c>
      <x:c r="S86" s="22"/>
      <x:c r="T86" s="22" t="str">
        <x:v>32位有符号内</x:v>
      </x:c>
    </x:row>
    <x:row r="87" ht="24" customHeight="1">
      <x:c r="A87" s="22" t="str">
        <x:v>EL-MON-LIM-STORM-011</x:v>
      </x:c>
      <x:c r="B87" s="22" t="n">
        <x:v>2</x:v>
      </x:c>
      <x:c r="C87" s="22" t="str">
        <x:v>风暴山谷</x:v>
      </x:c>
      <x:c r="D87" s="22" t="str">
        <x:v>地图BOSS</x:v>
      </x:c>
      <x:c r="E87" s="22" t="str">
        <x:v>风暴君王·奥雷格</x:v>
      </x:c>
      <x:c r="F87" s="22" t="str">
        <x:v>XX101</x:v>
      </x:c>
      <x:c r="G87" s="22" t="str">
        <x:v>P0047</x:v>
      </x:c>
      <x:c r="H87" s="22" t="n">
        <x:v>67.5</x:v>
      </x:c>
      <x:c r="I87" s="28" t="n">
        <x:v>1525824.196873898</x:v>
      </x:c>
      <x:c r="J87" s="28" t="n">
        <x:f>ROUND(H87*I87,-MAX(0,INT(LOG10(H87*I87))-1))</x:f>
        <x:v>100000000</x:v>
      </x:c>
      <x:c r="K87" s="28" t="n">
        <x:v>6500</x:v>
      </x:c>
      <x:c r="L87" s="28" t="n">
        <x:v>8700</x:v>
      </x:c>
      <x:c r="M87" s="28" t="n">
        <x:v>2600</x:v>
      </x:c>
      <x:c r="N87" s="28" t="n">
        <x:v>2200</x:v>
      </x:c>
      <x:c r="O87" s="28" t="n">
        <x:v>59</x:v>
      </x:c>
      <x:c r="P87" s="28" t="n">
        <x:v>2200</x:v>
      </x:c>
      <x:c r="Q87" s="28" t="n">
        <x:v>1800</x:v>
      </x:c>
      <x:c r="R87" s="22" t="n">
        <x:v>478</x:v>
      </x:c>
      <x:c r="S87" s="22"/>
      <x:c r="T87" s="22" t="str">
        <x:v>32位有符号内</x:v>
      </x:c>
    </x:row>
    <x:row r="88" ht="24" customHeight="1">
      <x:c r="A88" s="22" t="str">
        <x:v>EL-MON-LIM-STORM-012</x:v>
      </x:c>
      <x:c r="B88" s="22" t="n">
        <x:v>2</x:v>
      </x:c>
      <x:c r="C88" s="22" t="str">
        <x:v>风暴山谷</x:v>
      </x:c>
      <x:c r="D88" s="22" t="str">
        <x:v>地图BOSS</x:v>
      </x:c>
      <x:c r="E88" s="22" t="str">
        <x:v>恶兆妖鬼·玛尔基特</x:v>
      </x:c>
      <x:c r="F88" s="22" t="str">
        <x:v>XX101</x:v>
      </x:c>
      <x:c r="G88" s="22" t="str">
        <x:v>P0048</x:v>
      </x:c>
      <x:c r="H88" s="22" t="n">
        <x:v>75</x:v>
      </x:c>
      <x:c r="I88" s="28" t="n">
        <x:v>1525824.196873898</x:v>
      </x:c>
      <x:c r="J88" s="28" t="n">
        <x:f>ROUND(H88*I88,-MAX(0,INT(LOG10(H88*I88))-1))</x:f>
        <x:v>110000000</x:v>
      </x:c>
      <x:c r="K88" s="28" t="n">
        <x:v>6300</x:v>
      </x:c>
      <x:c r="L88" s="28" t="n">
        <x:v>8500</x:v>
      </x:c>
      <x:c r="M88" s="28" t="n">
        <x:v>2600</x:v>
      </x:c>
      <x:c r="N88" s="28" t="n">
        <x:v>2200</x:v>
      </x:c>
      <x:c r="O88" s="28" t="n">
        <x:v>59</x:v>
      </x:c>
      <x:c r="P88" s="28" t="n">
        <x:v>2200</x:v>
      </x:c>
      <x:c r="Q88" s="28" t="n">
        <x:v>1800</x:v>
      </x:c>
      <x:c r="R88" s="22" t="n">
        <x:v>783</x:v>
      </x:c>
      <x:c r="S88" s="22"/>
      <x:c r="T88" s="22" t="str">
        <x:v>32位有符号内</x:v>
      </x:c>
    </x:row>
    <x:row r="89" ht="24" customHeight="1">
      <x:c r="A89" s="22" t="str">
        <x:v>EL-MON-LIM-CASTLE-001</x:v>
      </x:c>
      <x:c r="B89" s="22" t="n">
        <x:v>2</x:v>
      </x:c>
      <x:c r="C89" s="22" t="str">
        <x:v>史东薇尔王城</x:v>
      </x:c>
      <x:c r="D89" s="22" t="str">
        <x:v>普通</x:v>
      </x:c>
      <x:c r="E89" s="22" t="str">
        <x:v>王城流刑兵</x:v>
      </x:c>
      <x:c r="F89" s="22" t="str">
        <x:v>XX144</x:v>
      </x:c>
      <x:c r="G89" s="22" t="str">
        <x:v>P0046</x:v>
      </x:c>
      <x:c r="H89" s="22" t="n">
        <x:v>7.6</x:v>
      </x:c>
      <x:c r="I89" s="28" t="n">
        <x:v>389459.2029793789</x:v>
      </x:c>
      <x:c r="J89" s="28" t="n">
        <x:f>ROUND(H89*I89,-MAX(0,INT(LOG10(H89*I89))-1))</x:f>
        <x:v>3000000</x:v>
      </x:c>
      <x:c r="K89" s="28" t="n">
        <x:v>2000</x:v>
      </x:c>
      <x:c r="L89" s="28" t="n">
        <x:v>2800</x:v>
      </x:c>
      <x:c r="M89" s="28" t="n">
        <x:v>740</x:v>
      </x:c>
      <x:c r="N89" s="28" t="n">
        <x:v>630</x:v>
      </x:c>
      <x:c r="O89" s="28" t="n">
        <x:v>62</x:v>
      </x:c>
      <x:c r="P89" s="28" t="n">
        <x:v>200</x:v>
      </x:c>
      <x:c r="Q89" s="28" t="n">
        <x:v>1600</x:v>
      </x:c>
      <x:c r="R89" s="22" t="n">
        <x:v>626</x:v>
      </x:c>
      <x:c r="S89" s="22"/>
      <x:c r="T89" s="22" t="str">
        <x:v>32位有符号内</x:v>
      </x:c>
    </x:row>
    <x:row r="90" ht="24" customHeight="1">
      <x:c r="A90" s="22" t="str">
        <x:v>EL-MON-LIM-CASTLE-002</x:v>
      </x:c>
      <x:c r="B90" s="22" t="n">
        <x:v>2</x:v>
      </x:c>
      <x:c r="C90" s="22" t="str">
        <x:v>史东薇尔王城</x:v>
      </x:c>
      <x:c r="D90" s="22" t="str">
        <x:v>普通</x:v>
      </x:c>
      <x:c r="E90" s="22" t="str">
        <x:v>失乡斧卫</x:v>
      </x:c>
      <x:c r="F90" s="22" t="str">
        <x:v>XX144</x:v>
      </x:c>
      <x:c r="G90" s="22" t="str">
        <x:v>P0046</x:v>
      </x:c>
      <x:c r="H90" s="22" t="n">
        <x:v>8.8</x:v>
      </x:c>
      <x:c r="I90" s="28" t="n">
        <x:v>389459.2029793789</x:v>
      </x:c>
      <x:c r="J90" s="28" t="n">
        <x:f>ROUND(H90*I90,-MAX(0,INT(LOG10(H90*I90))-1))</x:f>
        <x:v>3400000</x:v>
      </x:c>
      <x:c r="K90" s="28" t="n">
        <x:v>2000</x:v>
      </x:c>
      <x:c r="L90" s="28" t="n">
        <x:v>2800</x:v>
      </x:c>
      <x:c r="M90" s="28" t="n">
        <x:v>740</x:v>
      </x:c>
      <x:c r="N90" s="28" t="n">
        <x:v>630</x:v>
      </x:c>
      <x:c r="O90" s="28" t="n">
        <x:v>62</x:v>
      </x:c>
      <x:c r="P90" s="28" t="n">
        <x:v>200</x:v>
      </x:c>
      <x:c r="Q90" s="28" t="n">
        <x:v>1600</x:v>
      </x:c>
      <x:c r="R90" s="22" t="n">
        <x:v>24</x:v>
      </x:c>
      <x:c r="S90" s="22"/>
      <x:c r="T90" s="22" t="str">
        <x:v>32位有符号内</x:v>
      </x:c>
    </x:row>
    <x:row r="91" ht="24" customHeight="1">
      <x:c r="A91" s="22" t="str">
        <x:v>EL-MON-LIM-CASTLE-003</x:v>
      </x:c>
      <x:c r="B91" s="22" t="n">
        <x:v>2</x:v>
      </x:c>
      <x:c r="C91" s="22" t="str">
        <x:v>史东薇尔王城</x:v>
      </x:c>
      <x:c r="D91" s="22" t="str">
        <x:v>普通</x:v>
      </x:c>
      <x:c r="E91" s="22" t="str">
        <x:v>火药弩兵</x:v>
      </x:c>
      <x:c r="F91" s="22" t="str">
        <x:v>XX144、XX143</x:v>
      </x:c>
      <x:c r="G91" s="22" t="str">
        <x:v>P0046</x:v>
      </x:c>
      <x:c r="H91" s="22" t="n">
        <x:v>9.2</x:v>
      </x:c>
      <x:c r="I91" s="28" t="n">
        <x:v>389459.2029793789</x:v>
      </x:c>
      <x:c r="J91" s="28" t="n">
        <x:f>ROUND(H91*I91,-MAX(0,INT(LOG10(H91*I91))-1))</x:f>
        <x:v>3600000</x:v>
      </x:c>
      <x:c r="K91" s="28" t="n">
        <x:v>2000</x:v>
      </x:c>
      <x:c r="L91" s="28" t="n">
        <x:v>2700</x:v>
      </x:c>
      <x:c r="M91" s="28" t="n">
        <x:v>740</x:v>
      </x:c>
      <x:c r="N91" s="28" t="n">
        <x:v>630</x:v>
      </x:c>
      <x:c r="O91" s="28" t="n">
        <x:v>62</x:v>
      </x:c>
      <x:c r="P91" s="28" t="n">
        <x:v>200</x:v>
      </x:c>
      <x:c r="Q91" s="28" t="n">
        <x:v>1600</x:v>
      </x:c>
      <x:c r="R91" s="22" t="n">
        <x:v>52</x:v>
      </x:c>
      <x:c r="S91" s="22"/>
      <x:c r="T91" s="22" t="str">
        <x:v>32位有符号内</x:v>
      </x:c>
    </x:row>
    <x:row r="92" ht="24" customHeight="1">
      <x:c r="A92" s="22" t="str">
        <x:v>EL-MON-LIM-CASTLE-004</x:v>
      </x:c>
      <x:c r="B92" s="22" t="n">
        <x:v>2</x:v>
      </x:c>
      <x:c r="C92" s="22" t="str">
        <x:v>史东薇尔王城</x:v>
      </x:c>
      <x:c r="D92" s="22" t="str">
        <x:v>普通</x:v>
      </x:c>
      <x:c r="E92" s="22" t="str">
        <x:v>刀翼战鹰</x:v>
      </x:c>
      <x:c r="F92" s="22" t="str">
        <x:v>XX144、XX143</x:v>
      </x:c>
      <x:c r="G92" s="22" t="str">
        <x:v>P0046</x:v>
      </x:c>
      <x:c r="H92" s="22" t="n">
        <x:v>8.8</x:v>
      </x:c>
      <x:c r="I92" s="28" t="n">
        <x:v>389459.2029793789</x:v>
      </x:c>
      <x:c r="J92" s="28" t="n">
        <x:f>ROUND(H92*I92,-MAX(0,INT(LOG10(H92*I92))-1))</x:f>
        <x:v>3400000</x:v>
      </x:c>
      <x:c r="K92" s="28" t="n">
        <x:v>2000</x:v>
      </x:c>
      <x:c r="L92" s="28" t="n">
        <x:v>2800</x:v>
      </x:c>
      <x:c r="M92" s="28" t="n">
        <x:v>740</x:v>
      </x:c>
      <x:c r="N92" s="28" t="n">
        <x:v>630</x:v>
      </x:c>
      <x:c r="O92" s="28" t="n">
        <x:v>62</x:v>
      </x:c>
      <x:c r="P92" s="28" t="n">
        <x:v>200</x:v>
      </x:c>
      <x:c r="Q92" s="28" t="n">
        <x:v>1600</x:v>
      </x:c>
      <x:c r="R92" s="22" t="n">
        <x:v>200</x:v>
      </x:c>
      <x:c r="S92" s="22"/>
      <x:c r="T92" s="22" t="str">
        <x:v>32位有符号内</x:v>
      </x:c>
    </x:row>
    <x:row r="93" ht="24" customHeight="1">
      <x:c r="A93" s="22" t="str">
        <x:v>EL-MON-LIM-CASTLE-005</x:v>
      </x:c>
      <x:c r="B93" s="22" t="n">
        <x:v>2</x:v>
      </x:c>
      <x:c r="C93" s="22" t="str">
        <x:v>史东薇尔王城</x:v>
      </x:c>
      <x:c r="D93" s="22" t="str">
        <x:v>普通</x:v>
      </x:c>
      <x:c r="E93" s="22" t="str">
        <x:v>接肢侍从</x:v>
      </x:c>
      <x:c r="F93" s="22" t="str">
        <x:v>XX143、XX145</x:v>
      </x:c>
      <x:c r="G93" s="22" t="str">
        <x:v>P0046</x:v>
      </x:c>
      <x:c r="H93" s="22" t="n">
        <x:v>7.6</x:v>
      </x:c>
      <x:c r="I93" s="28" t="n">
        <x:v>389459.2029793789</x:v>
      </x:c>
      <x:c r="J93" s="28" t="n">
        <x:f>ROUND(H93*I93,-MAX(0,INT(LOG10(H93*I93))-1))</x:f>
        <x:v>3000000</x:v>
      </x:c>
      <x:c r="K93" s="28" t="n">
        <x:v>2000</x:v>
      </x:c>
      <x:c r="L93" s="28" t="n">
        <x:v>2800</x:v>
      </x:c>
      <x:c r="M93" s="28" t="n">
        <x:v>740</x:v>
      </x:c>
      <x:c r="N93" s="28" t="n">
        <x:v>630</x:v>
      </x:c>
      <x:c r="O93" s="28" t="n">
        <x:v>62</x:v>
      </x:c>
      <x:c r="P93" s="28" t="n">
        <x:v>200</x:v>
      </x:c>
      <x:c r="Q93" s="28" t="n">
        <x:v>1600</x:v>
      </x:c>
      <x:c r="R93" s="22" t="n">
        <x:v>312</x:v>
      </x:c>
      <x:c r="S93" s="22"/>
      <x:c r="T93" s="22" t="str">
        <x:v>32位有符号内</x:v>
      </x:c>
    </x:row>
    <x:row r="94" ht="24" customHeight="1">
      <x:c r="A94" s="22" t="str">
        <x:v>EL-MON-LIM-CASTLE-006</x:v>
      </x:c>
      <x:c r="B94" s="22" t="n">
        <x:v>2</x:v>
      </x:c>
      <x:c r="C94" s="22" t="str">
        <x:v>史东薇尔王城</x:v>
      </x:c>
      <x:c r="D94" s="22" t="str">
        <x:v>普通</x:v>
      </x:c>
      <x:c r="E94" s="22" t="str">
        <x:v>王城禁卫</x:v>
      </x:c>
      <x:c r="F94" s="22" t="str">
        <x:v>XX143、XX145</x:v>
      </x:c>
      <x:c r="G94" s="22" t="str">
        <x:v>P0046</x:v>
      </x:c>
      <x:c r="H94" s="22" t="n">
        <x:v>7.6</x:v>
      </x:c>
      <x:c r="I94" s="28" t="n">
        <x:v>389459.2029793789</x:v>
      </x:c>
      <x:c r="J94" s="28" t="n">
        <x:f>ROUND(H94*I94,-MAX(0,INT(LOG10(H94*I94))-1))</x:f>
        <x:v>3000000</x:v>
      </x:c>
      <x:c r="K94" s="28" t="n">
        <x:v>2000</x:v>
      </x:c>
      <x:c r="L94" s="28" t="n">
        <x:v>2800</x:v>
      </x:c>
      <x:c r="M94" s="28" t="n">
        <x:v>740</x:v>
      </x:c>
      <x:c r="N94" s="28" t="n">
        <x:v>630</x:v>
      </x:c>
      <x:c r="O94" s="28" t="n">
        <x:v>62</x:v>
      </x:c>
      <x:c r="P94" s="28" t="n">
        <x:v>200</x:v>
      </x:c>
      <x:c r="Q94" s="28" t="n">
        <x:v>1600</x:v>
      </x:c>
      <x:c r="R94" s="22" t="n">
        <x:v>533</x:v>
      </x:c>
      <x:c r="S94" s="22"/>
      <x:c r="T94" s="22" t="str">
        <x:v>32位有符号内</x:v>
      </x:c>
    </x:row>
    <x:row r="95" ht="24" customHeight="1">
      <x:c r="A95" s="22" t="str">
        <x:v>EL-MON-LIM-CASTLE-007</x:v>
      </x:c>
      <x:c r="B95" s="22" t="n">
        <x:v>2</x:v>
      </x:c>
      <x:c r="C95" s="22" t="str">
        <x:v>史东薇尔王城</x:v>
      </x:c>
      <x:c r="D95" s="22" t="str">
        <x:v>稀有</x:v>
      </x:c>
      <x:c r="E95" s="22" t="str">
        <x:v>失乡骑士长</x:v>
      </x:c>
      <x:c r="F95" s="22" t="str">
        <x:v>XX144、XX143</x:v>
      </x:c>
      <x:c r="G95" s="22" t="str">
        <x:v>P0046</x:v>
      </x:c>
      <x:c r="H95" s="22" t="n">
        <x:v>27.599999999999998</x:v>
      </x:c>
      <x:c r="I95" s="28" t="n">
        <x:v>364095.9643963174</x:v>
      </x:c>
      <x:c r="J95" s="28" t="n">
        <x:f>ROUND(H95*I95,-MAX(0,INT(LOG10(H95*I95))-1))</x:f>
        <x:v>10000000</x:v>
      </x:c>
      <x:c r="K95" s="28" t="n">
        <x:v>3600</x:v>
      </x:c>
      <x:c r="L95" s="28" t="n">
        <x:v>4800</x:v>
      </x:c>
      <x:c r="M95" s="28" t="n">
        <x:v>1500</x:v>
      </x:c>
      <x:c r="N95" s="28" t="n">
        <x:v>1300</x:v>
      </x:c>
      <x:c r="O95" s="28" t="n">
        <x:v>62</x:v>
      </x:c>
      <x:c r="P95" s="28" t="n">
        <x:v>600</x:v>
      </x:c>
      <x:c r="Q95" s="28" t="n">
        <x:v>1700</x:v>
      </x:c>
      <x:c r="R95" s="22" t="n">
        <x:v>617</x:v>
      </x:c>
      <x:c r="S95" s="22"/>
      <x:c r="T95" s="22" t="str">
        <x:v>32位有符号内</x:v>
      </x:c>
    </x:row>
    <x:row r="96" ht="24" customHeight="1">
      <x:c r="A96" s="22" t="str">
        <x:v>EL-MON-LIM-CASTLE-008</x:v>
      </x:c>
      <x:c r="B96" s="22" t="n">
        <x:v>2</x:v>
      </x:c>
      <x:c r="C96" s="22" t="str">
        <x:v>史东薇尔王城</x:v>
      </x:c>
      <x:c r="D96" s="22" t="str">
        <x:v>稀有</x:v>
      </x:c>
      <x:c r="E96" s="22" t="str">
        <x:v>接肢狮卫</x:v>
      </x:c>
      <x:c r="F96" s="22" t="str">
        <x:v>XX143</x:v>
      </x:c>
      <x:c r="G96" s="22" t="str">
        <x:v>P0046</x:v>
      </x:c>
      <x:c r="H96" s="22" t="n">
        <x:v>27.599999999999998</x:v>
      </x:c>
      <x:c r="I96" s="28" t="n">
        <x:v>364095.9643963174</x:v>
      </x:c>
      <x:c r="J96" s="28" t="n">
        <x:f>ROUND(H96*I96,-MAX(0,INT(LOG10(H96*I96))-1))</x:f>
        <x:v>10000000</x:v>
      </x:c>
      <x:c r="K96" s="28" t="n">
        <x:v>3600</x:v>
      </x:c>
      <x:c r="L96" s="28" t="n">
        <x:v>4800</x:v>
      </x:c>
      <x:c r="M96" s="28" t="n">
        <x:v>1500</x:v>
      </x:c>
      <x:c r="N96" s="28" t="n">
        <x:v>1300</x:v>
      </x:c>
      <x:c r="O96" s="28" t="n">
        <x:v>62</x:v>
      </x:c>
      <x:c r="P96" s="28" t="n">
        <x:v>600</x:v>
      </x:c>
      <x:c r="Q96" s="28" t="n">
        <x:v>1700</x:v>
      </x:c>
      <x:c r="R96" s="22" t="n">
        <x:v>546</x:v>
      </x:c>
      <x:c r="S96" s="22"/>
      <x:c r="T96" s="22" t="str">
        <x:v>32位有符号内</x:v>
      </x:c>
    </x:row>
    <x:row r="97" ht="24" customHeight="1">
      <x:c r="A97" s="22" t="str">
        <x:v>EL-MON-LIM-CASTLE-009</x:v>
      </x:c>
      <x:c r="B97" s="22" t="n">
        <x:v>2</x:v>
      </x:c>
      <x:c r="C97" s="22" t="str">
        <x:v>史东薇尔王城</x:v>
      </x:c>
      <x:c r="D97" s="22" t="str">
        <x:v>稀有</x:v>
      </x:c>
      <x:c r="E97" s="22" t="str">
        <x:v>黑焰礼拜官</x:v>
      </x:c>
      <x:c r="F97" s="22" t="str">
        <x:v>XX143、XX145</x:v>
      </x:c>
      <x:c r="G97" s="22" t="str">
        <x:v>P0046</x:v>
      </x:c>
      <x:c r="H97" s="22" t="n">
        <x:v>27.599999999999998</x:v>
      </x:c>
      <x:c r="I97" s="28" t="n">
        <x:v>364095.9643963174</x:v>
      </x:c>
      <x:c r="J97" s="28" t="n">
        <x:f>ROUND(H97*I97,-MAX(0,INT(LOG10(H97*I97))-1))</x:f>
        <x:v>10000000</x:v>
      </x:c>
      <x:c r="K97" s="28" t="n">
        <x:v>3600</x:v>
      </x:c>
      <x:c r="L97" s="28" t="n">
        <x:v>4800</x:v>
      </x:c>
      <x:c r="M97" s="28" t="n">
        <x:v>1500</x:v>
      </x:c>
      <x:c r="N97" s="28" t="n">
        <x:v>1300</x:v>
      </x:c>
      <x:c r="O97" s="28" t="n">
        <x:v>62</x:v>
      </x:c>
      <x:c r="P97" s="28" t="n">
        <x:v>600</x:v>
      </x:c>
      <x:c r="Q97" s="28" t="n">
        <x:v>1700</x:v>
      </x:c>
      <x:c r="R97" s="22" t="n">
        <x:v>140</x:v>
      </x:c>
      <x:c r="S97" s="22"/>
      <x:c r="T97" s="22" t="str">
        <x:v>32位有符号内</x:v>
      </x:c>
    </x:row>
    <x:row r="98" ht="24" customHeight="1">
      <x:c r="A98" s="22" t="str">
        <x:v>EL-MON-LIM-CASTLE-010</x:v>
      </x:c>
      <x:c r="B98" s="22" t="n">
        <x:v>2</x:v>
      </x:c>
      <x:c r="C98" s="22" t="str">
        <x:v>史东薇尔王城</x:v>
      </x:c>
      <x:c r="D98" s="22" t="str">
        <x:v>稀有</x:v>
      </x:c>
      <x:c r="E98" s="22" t="str">
        <x:v>王城执刑官</x:v>
      </x:c>
      <x:c r="F98" s="22" t="str">
        <x:v>XX145</x:v>
      </x:c>
      <x:c r="G98" s="22" t="str">
        <x:v>P0046</x:v>
      </x:c>
      <x:c r="H98" s="22" t="n">
        <x:v>26.400000000000002</x:v>
      </x:c>
      <x:c r="I98" s="28" t="n">
        <x:v>364095.9643963174</x:v>
      </x:c>
      <x:c r="J98" s="28" t="n">
        <x:f>ROUND(H98*I98,-MAX(0,INT(LOG10(H98*I98))-1))</x:f>
        <x:v>9600000</x:v>
      </x:c>
      <x:c r="K98" s="28" t="n">
        <x:v>3600</x:v>
      </x:c>
      <x:c r="L98" s="28" t="n">
        <x:v>4900</x:v>
      </x:c>
      <x:c r="M98" s="28" t="n">
        <x:v>1500</x:v>
      </x:c>
      <x:c r="N98" s="28" t="n">
        <x:v>1300</x:v>
      </x:c>
      <x:c r="O98" s="28" t="n">
        <x:v>62</x:v>
      </x:c>
      <x:c r="P98" s="28" t="n">
        <x:v>600</x:v>
      </x:c>
      <x:c r="Q98" s="28" t="n">
        <x:v>1700</x:v>
      </x:c>
      <x:c r="R98" s="22" t="n">
        <x:v>508</x:v>
      </x:c>
      <x:c r="S98" s="22"/>
      <x:c r="T98" s="22" t="str">
        <x:v>32位有符号内</x:v>
      </x:c>
    </x:row>
    <x:row r="99" ht="24" customHeight="1">
      <x:c r="A99" s="22" t="str">
        <x:v>EL-MON-LIM-CASTLE-011</x:v>
      </x:c>
      <x:c r="B99" s="22" t="n">
        <x:v>2</x:v>
      </x:c>
      <x:c r="C99" s="22" t="str">
        <x:v>史东薇尔王城</x:v>
      </x:c>
      <x:c r="D99" s="22" t="str">
        <x:v>地图BOSS</x:v>
      </x:c>
      <x:c r="E99" s="22" t="str">
        <x:v>接肢兽将·戈德温</x:v>
      </x:c>
      <x:c r="F99" s="22" t="str">
        <x:v>XX145</x:v>
      </x:c>
      <x:c r="G99" s="22" t="str">
        <x:v>P0053</x:v>
      </x:c>
      <x:c r="H99" s="22" t="n">
        <x:v>67.5</x:v>
      </x:c>
      <x:c r="I99" s="28" t="n">
        <x:v>1022376.0156438478</x:v>
      </x:c>
      <x:c r="J99" s="28" t="n">
        <x:f>ROUND(H99*I99,-MAX(0,INT(LOG10(H99*I99))-1))</x:f>
        <x:v>69000000</x:v>
      </x:c>
      <x:c r="K99" s="28" t="n">
        <x:v>12000</x:v>
      </x:c>
      <x:c r="L99" s="28" t="n">
        <x:v>17000</x:v>
      </x:c>
      <x:c r="M99" s="28" t="n">
        <x:v>3000</x:v>
      </x:c>
      <x:c r="N99" s="28" t="n">
        <x:v>2600</x:v>
      </x:c>
      <x:c r="O99" s="28" t="n">
        <x:v>62</x:v>
      </x:c>
      <x:c r="P99" s="28" t="n">
        <x:v>2400</x:v>
      </x:c>
      <x:c r="Q99" s="28" t="n">
        <x:v>1800</x:v>
      </x:c>
      <x:c r="R99" s="22" t="n">
        <x:v>816</x:v>
      </x:c>
      <x:c r="S99" s="22"/>
      <x:c r="T99" s="22" t="str">
        <x:v>32位有符号内</x:v>
      </x:c>
    </x:row>
    <x:row r="100" ht="24" customHeight="1">
      <x:c r="A100" s="22" t="str">
        <x:v>EL-MON-LIM-CASTLE-012</x:v>
      </x:c>
      <x:c r="B100" s="22" t="n">
        <x:v>2</x:v>
      </x:c>
      <x:c r="C100" s="22" t="str">
        <x:v>史东薇尔王城</x:v>
      </x:c>
      <x:c r="D100" s="22" t="str">
        <x:v>地图BOSS</x:v>
      </x:c>
      <x:c r="E100" s="22" t="str">
        <x:v>失乡统帅·欧尼尔</x:v>
      </x:c>
      <x:c r="F100" s="22" t="str">
        <x:v>XX145</x:v>
      </x:c>
      <x:c r="G100" s="22" t="str">
        <x:v>P0054</x:v>
      </x:c>
      <x:c r="H100" s="22" t="n">
        <x:v>86.25</x:v>
      </x:c>
      <x:c r="I100" s="28" t="n">
        <x:v>1022376.0156438478</x:v>
      </x:c>
      <x:c r="J100" s="28" t="n">
        <x:f>ROUND(H100*I100,-MAX(0,INT(LOG10(H100*I100))-1))</x:f>
        <x:v>88000000</x:v>
      </x:c>
      <x:c r="K100" s="28" t="n">
        <x:v>12000</x:v>
      </x:c>
      <x:c r="L100" s="28" t="n">
        <x:v>16000</x:v>
      </x:c>
      <x:c r="M100" s="28" t="n">
        <x:v>3000</x:v>
      </x:c>
      <x:c r="N100" s="28" t="n">
        <x:v>2600</x:v>
      </x:c>
      <x:c r="O100" s="28" t="n">
        <x:v>62</x:v>
      </x:c>
      <x:c r="P100" s="28" t="n">
        <x:v>2400</x:v>
      </x:c>
      <x:c r="Q100" s="28" t="n">
        <x:v>1800</x:v>
      </x:c>
      <x:c r="R100" s="22" t="n">
        <x:v>621</x:v>
      </x:c>
      <x:c r="S100" s="22"/>
      <x:c r="T100" s="22" t="str">
        <x:v>32位有符号内</x:v>
      </x:c>
    </x:row>
    <x:row r="101" ht="24" customHeight="1">
      <x:c r="A101" s="22" t="str">
        <x:v>EL-MON-LIM-CASTLE-013</x:v>
      </x:c>
      <x:c r="B101" s="22" t="n">
        <x:v>2</x:v>
      </x:c>
      <x:c r="C101" s="22" t="str">
        <x:v>史东薇尔王城</x:v>
      </x:c>
      <x:c r="D101" s="22" t="str">
        <x:v>守关BOSS</x:v>
      </x:c>
      <x:c r="E101" s="22" t="str">
        <x:v>接肢君王·葛瑞克</x:v>
      </x:c>
      <x:c r="F101" s="22" t="str">
        <x:v>XX279</x:v>
      </x:c>
      <x:c r="G101" s="22" t="str">
        <x:v>P0058</x:v>
      </x:c>
      <x:c r="H101" s="22" t="n">
        <x:v>150</x:v>
      </x:c>
      <x:c r="I101" s="28" t="n">
        <x:v>893677.1494269536</x:v>
      </x:c>
      <x:c r="J101" s="28" t="n">
        <x:f>ROUND(H101*I101,-MAX(0,INT(LOG10(H101*I101))-1))</x:f>
        <x:v>130000000</x:v>
      </x:c>
      <x:c r="K101" s="28" t="n">
        <x:v>67000</x:v>
      </x:c>
      <x:c r="L101" s="28" t="n">
        <x:v>91000</x:v>
      </x:c>
      <x:c r="M101" s="28" t="n">
        <x:v>4300</x:v>
      </x:c>
      <x:c r="N101" s="28" t="n">
        <x:v>3700</x:v>
      </x:c>
      <x:c r="O101" s="28" t="n">
        <x:v>62</x:v>
      </x:c>
      <x:c r="P101" s="28" t="n">
        <x:v>6000</x:v>
      </x:c>
      <x:c r="Q101" s="28" t="n">
        <x:v>2000</x:v>
      </x:c>
      <x:c r="R101" s="22" t="n">
        <x:v>46</x:v>
      </x:c>
      <x:c r="S101" s="22"/>
      <x:c r="T101" s="22" t="str">
        <x:v>32位有符号内</x:v>
      </x:c>
    </x:row>
    <x:row r="102" ht="24" customHeight="1">
      <x:c r="A102" s="22" t="str">
        <x:v>C03-M001</x:v>
      </x:c>
      <x:c r="B102" s="22" t="n">
        <x:v>3</x:v>
      </x:c>
      <x:c r="C102" s="22" t="str">
        <x:v>西境荒原</x:v>
      </x:c>
      <x:c r="D102" s="22" t="str">
        <x:v>普通</x:v>
      </x:c>
      <x:c r="E102" s="22" t="str">
        <x:v>荒原拾骨者</x:v>
      </x:c>
      <x:c r="F102" s="22" t="str">
        <x:v>XX776</x:v>
      </x:c>
      <x:c r="G102" s="22" t="str">
        <x:v>P0063</x:v>
      </x:c>
      <x:c r="H102" s="22" t="n">
        <x:v>8.8</x:v>
      </x:c>
      <x:c r="I102" s="28" t="n">
        <x:v>787663.6594843934</x:v>
      </x:c>
      <x:c r="J102" s="28" t="n">
        <x:f>ROUND(H102*I102,-MAX(0,INT(LOG10(H102*I102))-1))</x:f>
        <x:v>6900000</x:v>
      </x:c>
      <x:c r="K102" s="28" t="n">
        <x:v>26000</x:v>
      </x:c>
      <x:c r="L102" s="28" t="n">
        <x:v>36000</x:v>
      </x:c>
      <x:c r="M102" s="28" t="n">
        <x:v>1200</x:v>
      </x:c>
      <x:c r="N102" s="28" t="n">
        <x:v>1000</x:v>
      </x:c>
      <x:c r="O102" s="28" t="n">
        <x:v>80</x:v>
      </x:c>
      <x:c r="P102" s="28" t="n">
        <x:v>180</x:v>
      </x:c>
      <x:c r="Q102" s="28" t="n">
        <x:v>1600</x:v>
      </x:c>
      <x:c r="R102" s="22"/>
      <x:c r="S102" s="22"/>
      <x:c r="T102" s="22" t="str">
        <x:v>32位有符号内</x:v>
      </x:c>
    </x:row>
    <x:row r="103" ht="24" customHeight="1">
      <x:c r="A103" s="22" t="str">
        <x:v>C03-M002</x:v>
      </x:c>
      <x:c r="B103" s="22" t="n">
        <x:v>3</x:v>
      </x:c>
      <x:c r="C103" s="22" t="str">
        <x:v>西境荒原</x:v>
      </x:c>
      <x:c r="D103" s="22" t="str">
        <x:v>普通</x:v>
      </x:c>
      <x:c r="E103" s="22" t="str">
        <x:v>断旗步兵</x:v>
      </x:c>
      <x:c r="F103" s="22" t="str">
        <x:v>XX775</x:v>
      </x:c>
      <x:c r="G103" s="22" t="str">
        <x:v>P0063</x:v>
      </x:c>
      <x:c r="H103" s="22" t="n">
        <x:v>7.2</x:v>
      </x:c>
      <x:c r="I103" s="28" t="n">
        <x:v>787663.6594843934</x:v>
      </x:c>
      <x:c r="J103" s="28" t="n">
        <x:f>ROUND(H103*I103,-MAX(0,INT(LOG10(H103*I103))-1))</x:f>
        <x:v>5700000</x:v>
      </x:c>
      <x:c r="K103" s="28" t="n">
        <x:v>27000</x:v>
      </x:c>
      <x:c r="L103" s="28" t="n">
        <x:v>36000</x:v>
      </x:c>
      <x:c r="M103" s="28" t="n">
        <x:v>1200</x:v>
      </x:c>
      <x:c r="N103" s="28" t="n">
        <x:v>1000</x:v>
      </x:c>
      <x:c r="O103" s="28" t="n">
        <x:v>80</x:v>
      </x:c>
      <x:c r="P103" s="28" t="n">
        <x:v>180</x:v>
      </x:c>
      <x:c r="Q103" s="28" t="n">
        <x:v>1600</x:v>
      </x:c>
      <x:c r="R103" s="22"/>
      <x:c r="S103" s="22"/>
      <x:c r="T103" s="22" t="str">
        <x:v>32位有符号内</x:v>
      </x:c>
    </x:row>
    <x:row r="104" ht="24" customHeight="1">
      <x:c r="A104" s="22" t="str">
        <x:v>C03-M003</x:v>
      </x:c>
      <x:c r="B104" s="22" t="n">
        <x:v>3</x:v>
      </x:c>
      <x:c r="C104" s="22" t="str">
        <x:v>西境荒原</x:v>
      </x:c>
      <x:c r="D104" s="22" t="str">
        <x:v>普通</x:v>
      </x:c>
      <x:c r="E104" s="22" t="str">
        <x:v>风沙掠夺者</x:v>
      </x:c>
      <x:c r="F104" s="22" t="str">
        <x:v>XX780</x:v>
      </x:c>
      <x:c r="G104" s="22" t="str">
        <x:v>P0063</x:v>
      </x:c>
      <x:c r="H104" s="22" t="n">
        <x:v>8</x:v>
      </x:c>
      <x:c r="I104" s="28" t="n">
        <x:v>787663.6594843934</x:v>
      </x:c>
      <x:c r="J104" s="28" t="n">
        <x:f>ROUND(H104*I104,-MAX(0,INT(LOG10(H104*I104))-1))</x:f>
        <x:v>6300000</x:v>
      </x:c>
      <x:c r="K104" s="28" t="n">
        <x:v>27000</x:v>
      </x:c>
      <x:c r="L104" s="28" t="n">
        <x:v>36000</x:v>
      </x:c>
      <x:c r="M104" s="28" t="n">
        <x:v>1200</x:v>
      </x:c>
      <x:c r="N104" s="28" t="n">
        <x:v>1000</x:v>
      </x:c>
      <x:c r="O104" s="28" t="n">
        <x:v>80</x:v>
      </x:c>
      <x:c r="P104" s="28" t="n">
        <x:v>180</x:v>
      </x:c>
      <x:c r="Q104" s="28" t="n">
        <x:v>1600</x:v>
      </x:c>
      <x:c r="R104" s="22"/>
      <x:c r="S104" s="22"/>
      <x:c r="T104" s="22" t="str">
        <x:v>32位有符号内</x:v>
      </x:c>
    </x:row>
    <x:row r="105" ht="24" customHeight="1">
      <x:c r="A105" s="22" t="str">
        <x:v>C03-M004</x:v>
      </x:c>
      <x:c r="B105" s="22" t="n">
        <x:v>3</x:v>
      </x:c>
      <x:c r="C105" s="22" t="str">
        <x:v>西境荒原</x:v>
      </x:c>
      <x:c r="D105" s="22" t="str">
        <x:v>普通</x:v>
      </x:c>
      <x:c r="E105" s="22" t="str">
        <x:v>铁蹄战马</x:v>
      </x:c>
      <x:c r="F105" s="22" t="str">
        <x:v>XX780</x:v>
      </x:c>
      <x:c r="G105" s="22" t="str">
        <x:v>P0063</x:v>
      </x:c>
      <x:c r="H105" s="22" t="n">
        <x:v>7.6</x:v>
      </x:c>
      <x:c r="I105" s="28" t="n">
        <x:v>787663.6594843934</x:v>
      </x:c>
      <x:c r="J105" s="28" t="n">
        <x:f>ROUND(H105*I105,-MAX(0,INT(LOG10(H105*I105))-1))</x:f>
        <x:v>6000000</x:v>
      </x:c>
      <x:c r="K105" s="28" t="n">
        <x:v>27000</x:v>
      </x:c>
      <x:c r="L105" s="28" t="n">
        <x:v>36000</x:v>
      </x:c>
      <x:c r="M105" s="28" t="n">
        <x:v>1200</x:v>
      </x:c>
      <x:c r="N105" s="28" t="n">
        <x:v>1000</x:v>
      </x:c>
      <x:c r="O105" s="28" t="n">
        <x:v>80</x:v>
      </x:c>
      <x:c r="P105" s="28" t="n">
        <x:v>180</x:v>
      </x:c>
      <x:c r="Q105" s="28" t="n">
        <x:v>1600</x:v>
      </x:c>
      <x:c r="R105" s="22"/>
      <x:c r="S105" s="22"/>
      <x:c r="T105" s="22" t="str">
        <x:v>32位有符号内</x:v>
      </x:c>
    </x:row>
    <x:row r="106" ht="24" customHeight="1">
      <x:c r="A106" s="22" t="str">
        <x:v>C03-M005</x:v>
      </x:c>
      <x:c r="B106" s="22" t="n">
        <x:v>3</x:v>
      </x:c>
      <x:c r="C106" s="22" t="str">
        <x:v>西境荒原</x:v>
      </x:c>
      <x:c r="D106" s="22" t="str">
        <x:v>普通</x:v>
      </x:c>
      <x:c r="E106" s="22" t="str">
        <x:v>枯草狼</x:v>
      </x:c>
      <x:c r="F106" s="22" t="str">
        <x:v>XX776</x:v>
      </x:c>
      <x:c r="G106" s="22" t="str">
        <x:v>P0063</x:v>
      </x:c>
      <x:c r="H106" s="22" t="n">
        <x:v>7.6</x:v>
      </x:c>
      <x:c r="I106" s="28" t="n">
        <x:v>787663.6594843934</x:v>
      </x:c>
      <x:c r="J106" s="28" t="n">
        <x:f>ROUND(H106*I106,-MAX(0,INT(LOG10(H106*I106))-1))</x:f>
        <x:v>6000000</x:v>
      </x:c>
      <x:c r="K106" s="28" t="n">
        <x:v>27000</x:v>
      </x:c>
      <x:c r="L106" s="28" t="n">
        <x:v>36000</x:v>
      </x:c>
      <x:c r="M106" s="28" t="n">
        <x:v>1200</x:v>
      </x:c>
      <x:c r="N106" s="28" t="n">
        <x:v>1000</x:v>
      </x:c>
      <x:c r="O106" s="28" t="n">
        <x:v>80</x:v>
      </x:c>
      <x:c r="P106" s="28" t="n">
        <x:v>180</x:v>
      </x:c>
      <x:c r="Q106" s="28" t="n">
        <x:v>1600</x:v>
      </x:c>
      <x:c r="R106" s="22"/>
      <x:c r="S106" s="22"/>
      <x:c r="T106" s="22" t="str">
        <x:v>32位有符号内</x:v>
      </x:c>
    </x:row>
    <x:row r="107" ht="24" customHeight="1">
      <x:c r="A107" s="22" t="str">
        <x:v>C03-M006</x:v>
      </x:c>
      <x:c r="B107" s="22" t="n">
        <x:v>3</x:v>
      </x:c>
      <x:c r="C107" s="22" t="str">
        <x:v>西境荒原</x:v>
      </x:c>
      <x:c r="D107" s="22" t="str">
        <x:v>普通</x:v>
      </x:c>
      <x:c r="E107" s="22" t="str">
        <x:v>锈甲逃兵</x:v>
      </x:c>
      <x:c r="F107" s="22" t="str">
        <x:v>XX778</x:v>
      </x:c>
      <x:c r="G107" s="22" t="str">
        <x:v>P0063</x:v>
      </x:c>
      <x:c r="H107" s="22" t="n">
        <x:v>7.6</x:v>
      </x:c>
      <x:c r="I107" s="28" t="n">
        <x:v>787663.6594843934</x:v>
      </x:c>
      <x:c r="J107" s="28" t="n">
        <x:f>ROUND(H107*I107,-MAX(0,INT(LOG10(H107*I107))-1))</x:f>
        <x:v>6000000</x:v>
      </x:c>
      <x:c r="K107" s="28" t="n">
        <x:v>27000</x:v>
      </x:c>
      <x:c r="L107" s="28" t="n">
        <x:v>36000</x:v>
      </x:c>
      <x:c r="M107" s="28" t="n">
        <x:v>1200</x:v>
      </x:c>
      <x:c r="N107" s="28" t="n">
        <x:v>1000</x:v>
      </x:c>
      <x:c r="O107" s="28" t="n">
        <x:v>80</x:v>
      </x:c>
      <x:c r="P107" s="28" t="n">
        <x:v>180</x:v>
      </x:c>
      <x:c r="Q107" s="28" t="n">
        <x:v>1600</x:v>
      </x:c>
      <x:c r="R107" s="22"/>
      <x:c r="S107" s="22"/>
      <x:c r="T107" s="22" t="str">
        <x:v>32位有符号内</x:v>
      </x:c>
    </x:row>
    <x:row r="108" ht="24" customHeight="1">
      <x:c r="A108" s="22" t="str">
        <x:v>C03-M007</x:v>
      </x:c>
      <x:c r="B108" s="22" t="n">
        <x:v>3</x:v>
      </x:c>
      <x:c r="C108" s="22" t="str">
        <x:v>西境荒原</x:v>
      </x:c>
      <x:c r="D108" s="22" t="str">
        <x:v>稀有</x:v>
      </x:c>
      <x:c r="E108" s="22" t="str">
        <x:v>西境旗卫</x:v>
      </x:c>
      <x:c r="F108" s="22" t="str">
        <x:v>XX776</x:v>
      </x:c>
      <x:c r="G108" s="22" t="str">
        <x:v>P0063</x:v>
      </x:c>
      <x:c r="H108" s="22" t="n">
        <x:v>27.599999999999998</x:v>
      </x:c>
      <x:c r="I108" s="28" t="n">
        <x:v>735318.1606284853</x:v>
      </x:c>
      <x:c r="J108" s="28" t="n">
        <x:f>ROUND(H108*I108,-MAX(0,INT(LOG10(H108*I108))-1))</x:f>
        <x:v>20000000</x:v>
      </x:c>
      <x:c r="K108" s="28" t="n">
        <x:v>56000</x:v>
      </x:c>
      <x:c r="L108" s="28" t="n">
        <x:v>75000</x:v>
      </x:c>
      <x:c r="M108" s="28" t="n">
        <x:v>2500</x:v>
      </x:c>
      <x:c r="N108" s="28" t="n">
        <x:v>2100</x:v>
      </x:c>
      <x:c r="O108" s="28" t="n">
        <x:v>80</x:v>
      </x:c>
      <x:c r="P108" s="28" t="n">
        <x:v>540</x:v>
      </x:c>
      <x:c r="Q108" s="28" t="n">
        <x:v>1700</x:v>
      </x:c>
      <x:c r="R108" s="22"/>
      <x:c r="S108" s="22"/>
      <x:c r="T108" s="22" t="str">
        <x:v>32位有符号内</x:v>
      </x:c>
    </x:row>
    <x:row r="109" ht="24" customHeight="1">
      <x:c r="A109" s="22" t="str">
        <x:v>C03-M008</x:v>
      </x:c>
      <x:c r="B109" s="22" t="n">
        <x:v>3</x:v>
      </x:c>
      <x:c r="C109" s="22" t="str">
        <x:v>西境荒原</x:v>
      </x:c>
      <x:c r="D109" s="22" t="str">
        <x:v>稀有</x:v>
      </x:c>
      <x:c r="E109" s="22" t="str">
        <x:v>独眼弩将</x:v>
      </x:c>
      <x:c r="F109" s="22" t="str">
        <x:v>XX775</x:v>
      </x:c>
      <x:c r="G109" s="22" t="str">
        <x:v>P0063</x:v>
      </x:c>
      <x:c r="H109" s="22" t="n">
        <x:v>24</x:v>
      </x:c>
      <x:c r="I109" s="28" t="n">
        <x:v>735318.1606284853</x:v>
      </x:c>
      <x:c r="J109" s="28" t="n">
        <x:f>ROUND(H109*I109,-MAX(0,INT(LOG10(H109*I109))-1))</x:f>
        <x:v>18000000</x:v>
      </x:c>
      <x:c r="K109" s="28" t="n">
        <x:v>58000</x:v>
      </x:c>
      <x:c r="L109" s="28" t="n">
        <x:v>79000</x:v>
      </x:c>
      <x:c r="M109" s="28" t="n">
        <x:v>2500</x:v>
      </x:c>
      <x:c r="N109" s="28" t="n">
        <x:v>2100</x:v>
      </x:c>
      <x:c r="O109" s="28" t="n">
        <x:v>80</x:v>
      </x:c>
      <x:c r="P109" s="28" t="n">
        <x:v>540</x:v>
      </x:c>
      <x:c r="Q109" s="28" t="n">
        <x:v>1700</x:v>
      </x:c>
      <x:c r="R109" s="22"/>
      <x:c r="S109" s="22"/>
      <x:c r="T109" s="22" t="str">
        <x:v>32位有符号内</x:v>
      </x:c>
    </x:row>
    <x:row r="110" ht="24" customHeight="1">
      <x:c r="A110" s="22" t="str">
        <x:v>C03-M009</x:v>
      </x:c>
      <x:c r="B110" s="22" t="n">
        <x:v>3</x:v>
      </x:c>
      <x:c r="C110" s="22" t="str">
        <x:v>西境荒原</x:v>
      </x:c>
      <x:c r="D110" s="22" t="str">
        <x:v>稀有</x:v>
      </x:c>
      <x:c r="E110" s="22" t="str">
        <x:v>荒风骑士</x:v>
      </x:c>
      <x:c r="F110" s="22" t="str">
        <x:v>XX780</x:v>
      </x:c>
      <x:c r="G110" s="22" t="str">
        <x:v>P0063</x:v>
      </x:c>
      <x:c r="H110" s="22" t="n">
        <x:v>21.6</x:v>
      </x:c>
      <x:c r="I110" s="28" t="n">
        <x:v>735318.1606284853</x:v>
      </x:c>
      <x:c r="J110" s="28" t="n">
        <x:f>ROUND(H110*I110,-MAX(0,INT(LOG10(H110*I110))-1))</x:f>
        <x:v>16000000</x:v>
      </x:c>
      <x:c r="K110" s="28" t="n">
        <x:v>62000</x:v>
      </x:c>
      <x:c r="L110" s="28" t="n">
        <x:v>84000</x:v>
      </x:c>
      <x:c r="M110" s="28" t="n">
        <x:v>2500</x:v>
      </x:c>
      <x:c r="N110" s="28" t="n">
        <x:v>2100</x:v>
      </x:c>
      <x:c r="O110" s="28" t="n">
        <x:v>80</x:v>
      </x:c>
      <x:c r="P110" s="28" t="n">
        <x:v>540</x:v>
      </x:c>
      <x:c r="Q110" s="28" t="n">
        <x:v>1700</x:v>
      </x:c>
      <x:c r="R110" s="22"/>
      <x:c r="S110" s="22"/>
      <x:c r="T110" s="22" t="str">
        <x:v>32位有符号内</x:v>
      </x:c>
    </x:row>
    <x:row r="111" ht="24" customHeight="1">
      <x:c r="A111" s="22" t="str">
        <x:v>C03-M010</x:v>
      </x:c>
      <x:c r="B111" s="22" t="n">
        <x:v>3</x:v>
      </x:c>
      <x:c r="C111" s="22" t="str">
        <x:v>西境荒原</x:v>
      </x:c>
      <x:c r="D111" s="22" t="str">
        <x:v>稀有</x:v>
      </x:c>
      <x:c r="E111" s="22" t="str">
        <x:v>战场收尸官</x:v>
      </x:c>
      <x:c r="F111" s="22" t="str">
        <x:v>XX778</x:v>
      </x:c>
      <x:c r="G111" s="22" t="str">
        <x:v>P0063</x:v>
      </x:c>
      <x:c r="H111" s="22" t="n">
        <x:v>21.6</x:v>
      </x:c>
      <x:c r="I111" s="28" t="n">
        <x:v>735318.1606284853</x:v>
      </x:c>
      <x:c r="J111" s="28" t="n">
        <x:f>ROUND(H111*I111,-MAX(0,INT(LOG10(H111*I111))-1))</x:f>
        <x:v>16000000</x:v>
      </x:c>
      <x:c r="K111" s="28" t="n">
        <x:v>62000</x:v>
      </x:c>
      <x:c r="L111" s="28" t="n">
        <x:v>84000</x:v>
      </x:c>
      <x:c r="M111" s="28" t="n">
        <x:v>2500</x:v>
      </x:c>
      <x:c r="N111" s="28" t="n">
        <x:v>2100</x:v>
      </x:c>
      <x:c r="O111" s="28" t="n">
        <x:v>80</x:v>
      </x:c>
      <x:c r="P111" s="28" t="n">
        <x:v>540</x:v>
      </x:c>
      <x:c r="Q111" s="28" t="n">
        <x:v>1700</x:v>
      </x:c>
      <x:c r="R111" s="22"/>
      <x:c r="S111" s="22"/>
      <x:c r="T111" s="22" t="str">
        <x:v>32位有符号内</x:v>
      </x:c>
    </x:row>
    <x:row r="112" ht="24" customHeight="1">
      <x:c r="A112" s="22" t="str">
        <x:v>C03-M011</x:v>
      </x:c>
      <x:c r="B112" s="22" t="n">
        <x:v>3</x:v>
      </x:c>
      <x:c r="C112" s="22" t="str">
        <x:v>西境荒原</x:v>
      </x:c>
      <x:c r="D112" s="22" t="str">
        <x:v>地图BOSS</x:v>
      </x:c>
      <x:c r="E112" s="22" t="str">
        <x:v>断旗统领·瓦伦</x:v>
      </x:c>
      <x:c r="F112" s="22" t="str">
        <x:v>XX775</x:v>
      </x:c>
      <x:c r="G112" s="22" t="str">
        <x:v>P0065</x:v>
      </x:c>
      <x:c r="H112" s="22" t="n">
        <x:v>86.25</x:v>
      </x:c>
      <x:c r="I112" s="28" t="n">
        <x:v>1229175.882353436</x:v>
      </x:c>
      <x:c r="J112" s="28" t="n">
        <x:f>ROUND(H112*I112,-MAX(0,INT(LOG10(H112*I112))-1))</x:f>
        <x:v>110000000</x:v>
      </x:c>
      <x:c r="K112" s="28" t="n">
        <x:v>64000</x:v>
      </x:c>
      <x:c r="L112" s="28" t="n">
        <x:v>86000</x:v>
      </x:c>
      <x:c r="M112" s="28" t="n">
        <x:v>3900</x:v>
      </x:c>
      <x:c r="N112" s="28" t="n">
        <x:v>3300</x:v>
      </x:c>
      <x:c r="O112" s="28" t="n">
        <x:v>80</x:v>
      </x:c>
      <x:c r="P112" s="28" t="n">
        <x:v>2200</x:v>
      </x:c>
      <x:c r="Q112" s="28" t="n">
        <x:v>1800</x:v>
      </x:c>
      <x:c r="R112" s="22"/>
      <x:c r="S112" s="22"/>
      <x:c r="T112" s="22" t="str">
        <x:v>32位有符号内</x:v>
      </x:c>
    </x:row>
    <x:row r="113" ht="24" customHeight="1">
      <x:c r="A113" s="22" t="str">
        <x:v>C03-M012</x:v>
      </x:c>
      <x:c r="B113" s="22" t="n">
        <x:v>3</x:v>
      </x:c>
      <x:c r="C113" s="22" t="str">
        <x:v>西境荒原</x:v>
      </x:c>
      <x:c r="D113" s="22" t="str">
        <x:v>地图BOSS</x:v>
      </x:c>
      <x:c r="E113" s="22" t="str">
        <x:v>荒原巨犀·莫赫</x:v>
      </x:c>
      <x:c r="F113" s="22" t="str">
        <x:v>XX778</x:v>
      </x:c>
      <x:c r="G113" s="22" t="str">
        <x:v>P0066</x:v>
      </x:c>
      <x:c r="H113" s="22" t="n">
        <x:v>71.25</x:v>
      </x:c>
      <x:c r="I113" s="28" t="n">
        <x:v>1229175.882353436</x:v>
      </x:c>
      <x:c r="J113" s="28" t="n">
        <x:f>ROUND(H113*I113,-MAX(0,INT(LOG10(H113*I113))-1))</x:f>
        <x:v>88000000</x:v>
      </x:c>
      <x:c r="K113" s="28" t="n">
        <x:v>67000</x:v>
      </x:c>
      <x:c r="L113" s="28" t="n">
        <x:v>91000</x:v>
      </x:c>
      <x:c r="M113" s="28" t="n">
        <x:v>3900</x:v>
      </x:c>
      <x:c r="N113" s="28" t="n">
        <x:v>3300</x:v>
      </x:c>
      <x:c r="O113" s="28" t="n">
        <x:v>80</x:v>
      </x:c>
      <x:c r="P113" s="28" t="n">
        <x:v>2200</x:v>
      </x:c>
      <x:c r="Q113" s="28" t="n">
        <x:v>1800</x:v>
      </x:c>
      <x:c r="R113" s="22"/>
      <x:c r="S113" s="22"/>
      <x:c r="T113" s="22" t="str">
        <x:v>32位有符号内</x:v>
      </x:c>
    </x:row>
    <x:row r="114" ht="24" customHeight="1">
      <x:c r="A114" s="22" t="str">
        <x:v>C03-M013</x:v>
      </x:c>
      <x:c r="B114" s="22" t="n">
        <x:v>3</x:v>
      </x:c>
      <x:c r="C114" s="22" t="str">
        <x:v>海风断崖</x:v>
      </x:c>
      <x:c r="D114" s="22" t="str">
        <x:v>普通</x:v>
      </x:c>
      <x:c r="E114" s="22" t="str">
        <x:v>海崖盐工</x:v>
      </x:c>
      <x:c r="F114" s="22" t="str">
        <x:v>XX332</x:v>
      </x:c>
      <x:c r="G114" s="22" t="str">
        <x:v>P0064</x:v>
      </x:c>
      <x:c r="H114" s="22" t="n">
        <x:v>7.6</x:v>
      </x:c>
      <x:c r="I114" s="28" t="n">
        <x:v>791222.348091228</x:v>
      </x:c>
      <x:c r="J114" s="28" t="n">
        <x:f>ROUND(H114*I114,-MAX(0,INT(LOG10(H114*I114))-1))</x:f>
        <x:v>6000000</x:v>
      </x:c>
      <x:c r="K114" s="28" t="n">
        <x:v>24000</x:v>
      </x:c>
      <x:c r="L114" s="28" t="n">
        <x:v>32000</x:v>
      </x:c>
      <x:c r="M114" s="28" t="n">
        <x:v>1300</x:v>
      </x:c>
      <x:c r="N114" s="28" t="n">
        <x:v>1100</x:v>
      </x:c>
      <x:c r="O114" s="28" t="n">
        <x:v>83</x:v>
      </x:c>
      <x:c r="P114" s="28" t="n">
        <x:v>200</x:v>
      </x:c>
      <x:c r="Q114" s="28" t="n">
        <x:v>1600</x:v>
      </x:c>
      <x:c r="R114" s="22"/>
      <x:c r="S114" s="22"/>
      <x:c r="T114" s="22" t="str">
        <x:v>32位有符号内</x:v>
      </x:c>
    </x:row>
    <x:row r="115" ht="24" customHeight="1">
      <x:c r="A115" s="22" t="str">
        <x:v>C03-M014</x:v>
      </x:c>
      <x:c r="B115" s="22" t="n">
        <x:v>3</x:v>
      </x:c>
      <x:c r="C115" s="22" t="str">
        <x:v>海风断崖</x:v>
      </x:c>
      <x:c r="D115" s="22" t="str">
        <x:v>普通</x:v>
      </x:c>
      <x:c r="E115" s="22" t="str">
        <x:v>逐风矛兵</x:v>
      </x:c>
      <x:c r="F115" s="22" t="str">
        <x:v>XX333</x:v>
      </x:c>
      <x:c r="G115" s="22" t="str">
        <x:v>P0064</x:v>
      </x:c>
      <x:c r="H115" s="22" t="n">
        <x:v>8</x:v>
      </x:c>
      <x:c r="I115" s="28" t="n">
        <x:v>791222.348091228</x:v>
      </x:c>
      <x:c r="J115" s="28" t="n">
        <x:f>ROUND(H115*I115,-MAX(0,INT(LOG10(H115*I115))-1))</x:f>
        <x:v>6300000</x:v>
      </x:c>
      <x:c r="K115" s="28" t="n">
        <x:v>24000</x:v>
      </x:c>
      <x:c r="L115" s="28" t="n">
        <x:v>32000</x:v>
      </x:c>
      <x:c r="M115" s="28" t="n">
        <x:v>1300</x:v>
      </x:c>
      <x:c r="N115" s="28" t="n">
        <x:v>1100</x:v>
      </x:c>
      <x:c r="O115" s="28" t="n">
        <x:v>83</x:v>
      </x:c>
      <x:c r="P115" s="28" t="n">
        <x:v>200</x:v>
      </x:c>
      <x:c r="Q115" s="28" t="n">
        <x:v>1600</x:v>
      </x:c>
      <x:c r="R115" s="22"/>
      <x:c r="S115" s="22"/>
      <x:c r="T115" s="22" t="str">
        <x:v>32位有符号内</x:v>
      </x:c>
    </x:row>
    <x:row r="116" ht="24" customHeight="1">
      <x:c r="A116" s="22" t="str">
        <x:v>C03-M015</x:v>
      </x:c>
      <x:c r="B116" s="22" t="n">
        <x:v>3</x:v>
      </x:c>
      <x:c r="C116" s="22" t="str">
        <x:v>海风断崖</x:v>
      </x:c>
      <x:c r="D116" s="22" t="str">
        <x:v>普通</x:v>
      </x:c>
      <x:c r="E116" s="22" t="str">
        <x:v>裂羽海鹰</x:v>
      </x:c>
      <x:c r="F116" s="22" t="str">
        <x:v>XX334</x:v>
      </x:c>
      <x:c r="G116" s="22" t="str">
        <x:v>P0064</x:v>
      </x:c>
      <x:c r="H116" s="22" t="n">
        <x:v>7.2</x:v>
      </x:c>
      <x:c r="I116" s="28" t="n">
        <x:v>791222.348091228</x:v>
      </x:c>
      <x:c r="J116" s="28" t="n">
        <x:f>ROUND(H116*I116,-MAX(0,INT(LOG10(H116*I116))-1))</x:f>
        <x:v>5700000</x:v>
      </x:c>
      <x:c r="K116" s="28" t="n">
        <x:v>24000</x:v>
      </x:c>
      <x:c r="L116" s="28" t="n">
        <x:v>32000</x:v>
      </x:c>
      <x:c r="M116" s="28" t="n">
        <x:v>1300</x:v>
      </x:c>
      <x:c r="N116" s="28" t="n">
        <x:v>1100</x:v>
      </x:c>
      <x:c r="O116" s="28" t="n">
        <x:v>83</x:v>
      </x:c>
      <x:c r="P116" s="28" t="n">
        <x:v>200</x:v>
      </x:c>
      <x:c r="Q116" s="28" t="n">
        <x:v>1600</x:v>
      </x:c>
      <x:c r="R116" s="22"/>
      <x:c r="S116" s="22"/>
      <x:c r="T116" s="22" t="str">
        <x:v>32位有符号内</x:v>
      </x:c>
    </x:row>
    <x:row r="117" ht="24" customHeight="1">
      <x:c r="A117" s="22" t="str">
        <x:v>C03-M016</x:v>
      </x:c>
      <x:c r="B117" s="22" t="n">
        <x:v>3</x:v>
      </x:c>
      <x:c r="C117" s="22" t="str">
        <x:v>海风断崖</x:v>
      </x:c>
      <x:c r="D117" s="22" t="str">
        <x:v>普通</x:v>
      </x:c>
      <x:c r="E117" s="22" t="str">
        <x:v>潮穴石蜥</x:v>
      </x:c>
      <x:c r="F117" s="22" t="str">
        <x:v>XX332</x:v>
      </x:c>
      <x:c r="G117" s="22" t="str">
        <x:v>P0064</x:v>
      </x:c>
      <x:c r="H117" s="22" t="n">
        <x:v>9.2</x:v>
      </x:c>
      <x:c r="I117" s="28" t="n">
        <x:v>791222.348091228</x:v>
      </x:c>
      <x:c r="J117" s="28" t="n">
        <x:f>ROUND(H117*I117,-MAX(0,INT(LOG10(H117*I117))-1))</x:f>
        <x:v>7300000</x:v>
      </x:c>
      <x:c r="K117" s="28" t="n">
        <x:v>23000</x:v>
      </x:c>
      <x:c r="L117" s="28" t="n">
        <x:v>31000</x:v>
      </x:c>
      <x:c r="M117" s="28" t="n">
        <x:v>1300</x:v>
      </x:c>
      <x:c r="N117" s="28" t="n">
        <x:v>1100</x:v>
      </x:c>
      <x:c r="O117" s="28" t="n">
        <x:v>83</x:v>
      </x:c>
      <x:c r="P117" s="28" t="n">
        <x:v>200</x:v>
      </x:c>
      <x:c r="Q117" s="28" t="n">
        <x:v>1600</x:v>
      </x:c>
      <x:c r="R117" s="22"/>
      <x:c r="S117" s="22"/>
      <x:c r="T117" s="22" t="str">
        <x:v>32位有符号内</x:v>
      </x:c>
    </x:row>
    <x:row r="118" ht="24" customHeight="1">
      <x:c r="A118" s="22" t="str">
        <x:v>C03-M017</x:v>
      </x:c>
      <x:c r="B118" s="22" t="n">
        <x:v>3</x:v>
      </x:c>
      <x:c r="C118" s="22" t="str">
        <x:v>海风断崖</x:v>
      </x:c>
      <x:c r="D118" s="22" t="str">
        <x:v>普通</x:v>
      </x:c>
      <x:c r="E118" s="22" t="str">
        <x:v>断索流徒</x:v>
      </x:c>
      <x:c r="F118" s="22" t="str">
        <x:v>XX333</x:v>
      </x:c>
      <x:c r="G118" s="22" t="str">
        <x:v>P0064</x:v>
      </x:c>
      <x:c r="H118" s="22" t="n">
        <x:v>9.2</x:v>
      </x:c>
      <x:c r="I118" s="28" t="n">
        <x:v>791222.348091228</x:v>
      </x:c>
      <x:c r="J118" s="28" t="n">
        <x:f>ROUND(H118*I118,-MAX(0,INT(LOG10(H118*I118))-1))</x:f>
        <x:v>7300000</x:v>
      </x:c>
      <x:c r="K118" s="28" t="n">
        <x:v>23000</x:v>
      </x:c>
      <x:c r="L118" s="28" t="n">
        <x:v>31000</x:v>
      </x:c>
      <x:c r="M118" s="28" t="n">
        <x:v>1300</x:v>
      </x:c>
      <x:c r="N118" s="28" t="n">
        <x:v>1100</x:v>
      </x:c>
      <x:c r="O118" s="28" t="n">
        <x:v>83</x:v>
      </x:c>
      <x:c r="P118" s="28" t="n">
        <x:v>200</x:v>
      </x:c>
      <x:c r="Q118" s="28" t="n">
        <x:v>1600</x:v>
      </x:c>
      <x:c r="R118" s="22"/>
      <x:c r="S118" s="22"/>
      <x:c r="T118" s="22" t="str">
        <x:v>32位有符号内</x:v>
      </x:c>
    </x:row>
    <x:row r="119" ht="24" customHeight="1">
      <x:c r="A119" s="22" t="str">
        <x:v>C03-M018</x:v>
      </x:c>
      <x:c r="B119" s="22" t="n">
        <x:v>3</x:v>
      </x:c>
      <x:c r="C119" s="22" t="str">
        <x:v>海风断崖</x:v>
      </x:c>
      <x:c r="D119" s="22" t="str">
        <x:v>普通</x:v>
      </x:c>
      <x:c r="E119" s="22" t="str">
        <x:v>崖边祷徒</x:v>
      </x:c>
      <x:c r="F119" s="22" t="str">
        <x:v>XX335</x:v>
      </x:c>
      <x:c r="G119" s="22" t="str">
        <x:v>P0064</x:v>
      </x:c>
      <x:c r="H119" s="22" t="n">
        <x:v>8.8</x:v>
      </x:c>
      <x:c r="I119" s="28" t="n">
        <x:v>791222.348091228</x:v>
      </x:c>
      <x:c r="J119" s="28" t="n">
        <x:f>ROUND(H119*I119,-MAX(0,INT(LOG10(H119*I119))-1))</x:f>
        <x:v>7000000</x:v>
      </x:c>
      <x:c r="K119" s="28" t="n">
        <x:v>24000</x:v>
      </x:c>
      <x:c r="L119" s="28" t="n">
        <x:v>32000</x:v>
      </x:c>
      <x:c r="M119" s="28" t="n">
        <x:v>1300</x:v>
      </x:c>
      <x:c r="N119" s="28" t="n">
        <x:v>1100</x:v>
      </x:c>
      <x:c r="O119" s="28" t="n">
        <x:v>83</x:v>
      </x:c>
      <x:c r="P119" s="28" t="n">
        <x:v>200</x:v>
      </x:c>
      <x:c r="Q119" s="28" t="n">
        <x:v>1600</x:v>
      </x:c>
      <x:c r="R119" s="22"/>
      <x:c r="S119" s="22"/>
      <x:c r="T119" s="22" t="str">
        <x:v>32位有符号内</x:v>
      </x:c>
    </x:row>
    <x:row r="120" ht="24" customHeight="1">
      <x:c r="A120" s="22" t="str">
        <x:v>C03-M019</x:v>
      </x:c>
      <x:c r="B120" s="22" t="n">
        <x:v>3</x:v>
      </x:c>
      <x:c r="C120" s="22" t="str">
        <x:v>海风断崖</x:v>
      </x:c>
      <x:c r="D120" s="22" t="str">
        <x:v>稀有</x:v>
      </x:c>
      <x:c r="E120" s="22" t="str">
        <x:v>风蚀守望者</x:v>
      </x:c>
      <x:c r="F120" s="22" t="str">
        <x:v>XX334</x:v>
      </x:c>
      <x:c r="G120" s="22" t="str">
        <x:v>P0064</x:v>
      </x:c>
      <x:c r="H120" s="22" t="n">
        <x:v>21.6</x:v>
      </x:c>
      <x:c r="I120" s="28" t="n">
        <x:v>742903.4260703896</x:v>
      </x:c>
      <x:c r="J120" s="28" t="n">
        <x:f>ROUND(H120*I120,-MAX(0,INT(LOG10(H120*I120))-1))</x:f>
        <x:v>16000000</x:v>
      </x:c>
      <x:c r="K120" s="28" t="n">
        <x:v>56000</x:v>
      </x:c>
      <x:c r="L120" s="28" t="n">
        <x:v>76000</x:v>
      </x:c>
      <x:c r="M120" s="28" t="n">
        <x:v>2500</x:v>
      </x:c>
      <x:c r="N120" s="28" t="n">
        <x:v>2100</x:v>
      </x:c>
      <x:c r="O120" s="28" t="n">
        <x:v>83</x:v>
      </x:c>
      <x:c r="P120" s="28" t="n">
        <x:v>580</x:v>
      </x:c>
      <x:c r="Q120" s="28" t="n">
        <x:v>1700</x:v>
      </x:c>
      <x:c r="R120" s="22"/>
      <x:c r="S120" s="22"/>
      <x:c r="T120" s="22" t="str">
        <x:v>32位有符号内</x:v>
      </x:c>
    </x:row>
    <x:row r="121" ht="24" customHeight="1">
      <x:c r="A121" s="22" t="str">
        <x:v>C03-M020</x:v>
      </x:c>
      <x:c r="B121" s="22" t="n">
        <x:v>3</x:v>
      </x:c>
      <x:c r="C121" s="22" t="str">
        <x:v>海风断崖</x:v>
      </x:c>
      <x:c r="D121" s="22" t="str">
        <x:v>稀有</x:v>
      </x:c>
      <x:c r="E121" s="22" t="str">
        <x:v>斩浪骑士</x:v>
      </x:c>
      <x:c r="F121" s="22" t="str">
        <x:v>XX332</x:v>
      </x:c>
      <x:c r="G121" s="22" t="str">
        <x:v>P0064</x:v>
      </x:c>
      <x:c r="H121" s="22" t="n">
        <x:v>24</x:v>
      </x:c>
      <x:c r="I121" s="28" t="n">
        <x:v>742903.4260703896</x:v>
      </x:c>
      <x:c r="J121" s="28" t="n">
        <x:f>ROUND(H121*I121,-MAX(0,INT(LOG10(H121*I121))-1))</x:f>
        <x:v>18000000</x:v>
      </x:c>
      <x:c r="K121" s="28" t="n">
        <x:v>53000</x:v>
      </x:c>
      <x:c r="L121" s="28" t="n">
        <x:v>71000</x:v>
      </x:c>
      <x:c r="M121" s="28" t="n">
        <x:v>2500</x:v>
      </x:c>
      <x:c r="N121" s="28" t="n">
        <x:v>2100</x:v>
      </x:c>
      <x:c r="O121" s="28" t="n">
        <x:v>83</x:v>
      </x:c>
      <x:c r="P121" s="28" t="n">
        <x:v>580</x:v>
      </x:c>
      <x:c r="Q121" s="28" t="n">
        <x:v>1700</x:v>
      </x:c>
      <x:c r="R121" s="22"/>
      <x:c r="S121" s="22"/>
      <x:c r="T121" s="22" t="str">
        <x:v>32位有符号内</x:v>
      </x:c>
    </x:row>
    <x:row r="122" ht="24" customHeight="1">
      <x:c r="A122" s="22" t="str">
        <x:v>C03-M021</x:v>
      </x:c>
      <x:c r="B122" s="22" t="n">
        <x:v>3</x:v>
      </x:c>
      <x:c r="C122" s="22" t="str">
        <x:v>海风断崖</x:v>
      </x:c>
      <x:c r="D122" s="22" t="str">
        <x:v>稀有</x:v>
      </x:c>
      <x:c r="E122" s="22" t="str">
        <x:v>海雾猎手</x:v>
      </x:c>
      <x:c r="F122" s="22" t="str">
        <x:v>XX333</x:v>
      </x:c>
      <x:c r="G122" s="22" t="str">
        <x:v>P0064</x:v>
      </x:c>
      <x:c r="H122" s="22" t="n">
        <x:v>27.599999999999998</x:v>
      </x:c>
      <x:c r="I122" s="28" t="n">
        <x:v>742903.4260703896</x:v>
      </x:c>
      <x:c r="J122" s="28" t="n">
        <x:f>ROUND(H122*I122,-MAX(0,INT(LOG10(H122*I122))-1))</x:f>
        <x:v>21000000</x:v>
      </x:c>
      <x:c r="K122" s="28" t="n">
        <x:v>49000</x:v>
      </x:c>
      <x:c r="L122" s="28" t="n">
        <x:v>67000</x:v>
      </x:c>
      <x:c r="M122" s="28" t="n">
        <x:v>2500</x:v>
      </x:c>
      <x:c r="N122" s="28" t="n">
        <x:v>2100</x:v>
      </x:c>
      <x:c r="O122" s="28" t="n">
        <x:v>83</x:v>
      </x:c>
      <x:c r="P122" s="28" t="n">
        <x:v>580</x:v>
      </x:c>
      <x:c r="Q122" s="28" t="n">
        <x:v>1700</x:v>
      </x:c>
      <x:c r="R122" s="22"/>
      <x:c r="S122" s="22"/>
      <x:c r="T122" s="22" t="str">
        <x:v>32位有符号内</x:v>
      </x:c>
    </x:row>
    <x:row r="123" ht="24" customHeight="1">
      <x:c r="A123" s="22" t="str">
        <x:v>C03-M022</x:v>
      </x:c>
      <x:c r="B123" s="22" t="n">
        <x:v>3</x:v>
      </x:c>
      <x:c r="C123" s="22" t="str">
        <x:v>海风断崖</x:v>
      </x:c>
      <x:c r="D123" s="22" t="str">
        <x:v>稀有</x:v>
      </x:c>
      <x:c r="E123" s="22" t="str">
        <x:v>雷崖祭司</x:v>
      </x:c>
      <x:c r="F123" s="22" t="str">
        <x:v>XX335</x:v>
      </x:c>
      <x:c r="G123" s="22" t="str">
        <x:v>P0064</x:v>
      </x:c>
      <x:c r="H123" s="22" t="n">
        <x:v>22.799999999999997</x:v>
      </x:c>
      <x:c r="I123" s="28" t="n">
        <x:v>742903.4260703896</x:v>
      </x:c>
      <x:c r="J123" s="28" t="n">
        <x:f>ROUND(H123*I123,-MAX(0,INT(LOG10(H123*I123))-1))</x:f>
        <x:v>17000000</x:v>
      </x:c>
      <x:c r="K123" s="28" t="n">
        <x:v>54000</x:v>
      </x:c>
      <x:c r="L123" s="28" t="n">
        <x:v>73000</x:v>
      </x:c>
      <x:c r="M123" s="28" t="n">
        <x:v>2500</x:v>
      </x:c>
      <x:c r="N123" s="28" t="n">
        <x:v>2100</x:v>
      </x:c>
      <x:c r="O123" s="28" t="n">
        <x:v>83</x:v>
      </x:c>
      <x:c r="P123" s="28" t="n">
        <x:v>580</x:v>
      </x:c>
      <x:c r="Q123" s="28" t="n">
        <x:v>1700</x:v>
      </x:c>
      <x:c r="R123" s="22"/>
      <x:c r="S123" s="22"/>
      <x:c r="T123" s="22" t="str">
        <x:v>32位有符号内</x:v>
      </x:c>
    </x:row>
    <x:row r="124" ht="24" customHeight="1">
      <x:c r="A124" s="22" t="str">
        <x:v>C03-M023</x:v>
      </x:c>
      <x:c r="B124" s="22" t="n">
        <x:v>3</x:v>
      </x:c>
      <x:c r="C124" s="22" t="str">
        <x:v>海风断崖</x:v>
      </x:c>
      <x:c r="D124" s="22" t="str">
        <x:v>地图BOSS</x:v>
      </x:c>
      <x:c r="E124" s="22" t="str">
        <x:v>裂风执旗官·卡恩</x:v>
      </x:c>
      <x:c r="F124" s="22" t="str">
        <x:v>XX334</x:v>
      </x:c>
      <x:c r="G124" s="22" t="str">
        <x:v>P0071</x:v>
      </x:c>
      <x:c r="H124" s="22" t="n">
        <x:v>71.25</x:v>
      </x:c>
      <x:c r="I124" s="28" t="n">
        <x:v>1465612.4797192134</x:v>
      </x:c>
      <x:c r="J124" s="28" t="n">
        <x:f>ROUND(H124*I124,-MAX(0,INT(LOG10(H124*I124))-1))</x:f>
        <x:v>100000000</x:v>
      </x:c>
      <x:c r="K124" s="28" t="n">
        <x:v>44000</x:v>
      </x:c>
      <x:c r="L124" s="28" t="n">
        <x:v>59000</x:v>
      </x:c>
      <x:c r="M124" s="28" t="n">
        <x:v>4300</x:v>
      </x:c>
      <x:c r="N124" s="28" t="n">
        <x:v>3700</x:v>
      </x:c>
      <x:c r="O124" s="28" t="n">
        <x:v>83</x:v>
      </x:c>
      <x:c r="P124" s="28" t="n">
        <x:v>2300</x:v>
      </x:c>
      <x:c r="Q124" s="28" t="n">
        <x:v>1800</x:v>
      </x:c>
      <x:c r="R124" s="22"/>
      <x:c r="S124" s="22"/>
      <x:c r="T124" s="22" t="str">
        <x:v>32位有符号内</x:v>
      </x:c>
    </x:row>
    <x:row r="125" ht="24" customHeight="1">
      <x:c r="A125" s="22" t="str">
        <x:v>C03-M024</x:v>
      </x:c>
      <x:c r="B125" s="22" t="n">
        <x:v>3</x:v>
      </x:c>
      <x:c r="C125" s="22" t="str">
        <x:v>海风断崖</x:v>
      </x:c>
      <x:c r="D125" s="22" t="str">
        <x:v>地图BOSS</x:v>
      </x:c>
      <x:c r="E125" s="22" t="str">
        <x:v>啸海古翼·塞洛</x:v>
      </x:c>
      <x:c r="F125" s="22" t="str">
        <x:v>XX335</x:v>
      </x:c>
      <x:c r="G125" s="22" t="str">
        <x:v>P0072</x:v>
      </x:c>
      <x:c r="H125" s="22" t="n">
        <x:v>67.5</x:v>
      </x:c>
      <x:c r="I125" s="28" t="n">
        <x:v>1465612.4797192134</x:v>
      </x:c>
      <x:c r="J125" s="28" t="n">
        <x:f>ROUND(H125*I125,-MAX(0,INT(LOG10(H125*I125))-1))</x:f>
        <x:v>99000000</x:v>
      </x:c>
      <x:c r="K125" s="28" t="n">
        <x:v>44000</x:v>
      </x:c>
      <x:c r="L125" s="28" t="n">
        <x:v>59000</x:v>
      </x:c>
      <x:c r="M125" s="28" t="n">
        <x:v>4300</x:v>
      </x:c>
      <x:c r="N125" s="28" t="n">
        <x:v>3700</x:v>
      </x:c>
      <x:c r="O125" s="28" t="n">
        <x:v>83</x:v>
      </x:c>
      <x:c r="P125" s="28" t="n">
        <x:v>2300</x:v>
      </x:c>
      <x:c r="Q125" s="28" t="n">
        <x:v>1800</x:v>
      </x:c>
      <x:c r="R125" s="22"/>
      <x:c r="S125" s="22"/>
      <x:c r="T125" s="22" t="str">
        <x:v>32位有符号内</x:v>
      </x:c>
    </x:row>
    <x:row r="126" ht="24" customHeight="1">
      <x:c r="A126" s="22" t="str">
        <x:v>C03-M025</x:v>
      </x:c>
      <x:c r="B126" s="22" t="n">
        <x:v>3</x:v>
      </x:c>
      <x:c r="C126" s="22" t="str">
        <x:v>失落驿道</x:v>
      </x:c>
      <x:c r="D126" s="22" t="str">
        <x:v>普通</x:v>
      </x:c>
      <x:c r="E126" s="22" t="str">
        <x:v>驿道苦役</x:v>
      </x:c>
      <x:c r="F126" s="22" t="str">
        <x:v>XX343</x:v>
      </x:c>
      <x:c r="G126" s="22" t="str">
        <x:v>P0070</x:v>
      </x:c>
      <x:c r="H126" s="22" t="n">
        <x:v>9.2</x:v>
      </x:c>
      <x:c r="I126" s="28" t="n">
        <x:v>901528.3908882937</x:v>
      </x:c>
      <x:c r="J126" s="28" t="n">
        <x:f>ROUND(H126*I126,-MAX(0,INT(LOG10(H126*I126))-1))</x:f>
        <x:v>8300000</x:v>
      </x:c>
      <x:c r="K126" s="28" t="n">
        <x:v>14000</x:v>
      </x:c>
      <x:c r="L126" s="28" t="n">
        <x:v>19000</x:v>
      </x:c>
      <x:c r="M126" s="28" t="n">
        <x:v>1300</x:v>
      </x:c>
      <x:c r="N126" s="28" t="n">
        <x:v>1100</x:v>
      </x:c>
      <x:c r="O126" s="28" t="n">
        <x:v>86</x:v>
      </x:c>
      <x:c r="P126" s="28" t="n">
        <x:v>210</x:v>
      </x:c>
      <x:c r="Q126" s="28" t="n">
        <x:v>1600</x:v>
      </x:c>
      <x:c r="R126" s="22"/>
      <x:c r="S126" s="22"/>
      <x:c r="T126" s="22" t="str">
        <x:v>32位有符号内</x:v>
      </x:c>
    </x:row>
    <x:row r="127" ht="24" customHeight="1">
      <x:c r="A127" s="22" t="str">
        <x:v>C03-M026</x:v>
      </x:c>
      <x:c r="B127" s="22" t="n">
        <x:v>3</x:v>
      </x:c>
      <x:c r="C127" s="22" t="str">
        <x:v>失落驿道</x:v>
      </x:c>
      <x:c r="D127" s="22" t="str">
        <x:v>普通</x:v>
      </x:c>
      <x:c r="E127" s="22" t="str">
        <x:v>荒商护卫</x:v>
      </x:c>
      <x:c r="F127" s="22" t="str">
        <x:v>XX344</x:v>
      </x:c>
      <x:c r="G127" s="22" t="str">
        <x:v>P0070</x:v>
      </x:c>
      <x:c r="H127" s="22" t="n">
        <x:v>8</x:v>
      </x:c>
      <x:c r="I127" s="28" t="n">
        <x:v>901528.3908882937</x:v>
      </x:c>
      <x:c r="J127" s="28" t="n">
        <x:f>ROUND(H127*I127,-MAX(0,INT(LOG10(H127*I127))-1))</x:f>
        <x:v>7200000</x:v>
      </x:c>
      <x:c r="K127" s="28" t="n">
        <x:v>15000</x:v>
      </x:c>
      <x:c r="L127" s="28" t="n">
        <x:v>20000</x:v>
      </x:c>
      <x:c r="M127" s="28" t="n">
        <x:v>1300</x:v>
      </x:c>
      <x:c r="N127" s="28" t="n">
        <x:v>1100</x:v>
      </x:c>
      <x:c r="O127" s="28" t="n">
        <x:v>86</x:v>
      </x:c>
      <x:c r="P127" s="28" t="n">
        <x:v>210</x:v>
      </x:c>
      <x:c r="Q127" s="28" t="n">
        <x:v>1600</x:v>
      </x:c>
      <x:c r="R127" s="22"/>
      <x:c r="S127" s="22"/>
      <x:c r="T127" s="22" t="str">
        <x:v>32位有符号内</x:v>
      </x:c>
    </x:row>
    <x:row r="128" ht="24" customHeight="1">
      <x:c r="A128" s="22" t="str">
        <x:v>C03-M027</x:v>
      </x:c>
      <x:c r="B128" s="22" t="n">
        <x:v>3</x:v>
      </x:c>
      <x:c r="C128" s="22" t="str">
        <x:v>失落驿道</x:v>
      </x:c>
      <x:c r="D128" s="22" t="str">
        <x:v>普通</x:v>
      </x:c>
      <x:c r="E128" s="22" t="str">
        <x:v>灰篷盗匪</x:v>
      </x:c>
      <x:c r="F128" s="22" t="str">
        <x:v>XX343</x:v>
      </x:c>
      <x:c r="G128" s="22" t="str">
        <x:v>P0070</x:v>
      </x:c>
      <x:c r="H128" s="22" t="n">
        <x:v>8</x:v>
      </x:c>
      <x:c r="I128" s="28" t="n">
        <x:v>901528.3908882937</x:v>
      </x:c>
      <x:c r="J128" s="28" t="n">
        <x:f>ROUND(H128*I128,-MAX(0,INT(LOG10(H128*I128))-1))</x:f>
        <x:v>7200000</x:v>
      </x:c>
      <x:c r="K128" s="28" t="n">
        <x:v>15000</x:v>
      </x:c>
      <x:c r="L128" s="28" t="n">
        <x:v>20000</x:v>
      </x:c>
      <x:c r="M128" s="28" t="n">
        <x:v>1300</x:v>
      </x:c>
      <x:c r="N128" s="28" t="n">
        <x:v>1100</x:v>
      </x:c>
      <x:c r="O128" s="28" t="n">
        <x:v>86</x:v>
      </x:c>
      <x:c r="P128" s="28" t="n">
        <x:v>210</x:v>
      </x:c>
      <x:c r="Q128" s="28" t="n">
        <x:v>1600</x:v>
      </x:c>
      <x:c r="R128" s="22"/>
      <x:c r="S128" s="22"/>
      <x:c r="T128" s="22" t="str">
        <x:v>32位有符号内</x:v>
      </x:c>
    </x:row>
    <x:row r="129" ht="24" customHeight="1">
      <x:c r="A129" s="22" t="str">
        <x:v>C03-M028</x:v>
      </x:c>
      <x:c r="B129" s="22" t="n">
        <x:v>3</x:v>
      </x:c>
      <x:c r="C129" s="22" t="str">
        <x:v>失落驿道</x:v>
      </x:c>
      <x:c r="D129" s="22" t="str">
        <x:v>普通</x:v>
      </x:c>
      <x:c r="E129" s="22" t="str">
        <x:v>驮货尸兵</x:v>
      </x:c>
      <x:c r="F129" s="22" t="str">
        <x:v>XX344</x:v>
      </x:c>
      <x:c r="G129" s="22" t="str">
        <x:v>P0070</x:v>
      </x:c>
      <x:c r="H129" s="22" t="n">
        <x:v>7.2</x:v>
      </x:c>
      <x:c r="I129" s="28" t="n">
        <x:v>901528.3908882937</x:v>
      </x:c>
      <x:c r="J129" s="28" t="n">
        <x:f>ROUND(H129*I129,-MAX(0,INT(LOG10(H129*I129))-1))</x:f>
        <x:v>6500000</x:v>
      </x:c>
      <x:c r="K129" s="28" t="n">
        <x:v>15000</x:v>
      </x:c>
      <x:c r="L129" s="28" t="n">
        <x:v>20000</x:v>
      </x:c>
      <x:c r="M129" s="28" t="n">
        <x:v>1300</x:v>
      </x:c>
      <x:c r="N129" s="28" t="n">
        <x:v>1100</x:v>
      </x:c>
      <x:c r="O129" s="28" t="n">
        <x:v>86</x:v>
      </x:c>
      <x:c r="P129" s="28" t="n">
        <x:v>210</x:v>
      </x:c>
      <x:c r="Q129" s="28" t="n">
        <x:v>1600</x:v>
      </x:c>
      <x:c r="R129" s="22"/>
      <x:c r="S129" s="22"/>
      <x:c r="T129" s="22" t="str">
        <x:v>32位有符号内</x:v>
      </x:c>
    </x:row>
    <x:row r="130" ht="24" customHeight="1">
      <x:c r="A130" s="22" t="str">
        <x:v>C03-M029</x:v>
      </x:c>
      <x:c r="B130" s="22" t="n">
        <x:v>3</x:v>
      </x:c>
      <x:c r="C130" s="22" t="str">
        <x:v>失落驿道</x:v>
      </x:c>
      <x:c r="D130" s="22" t="str">
        <x:v>普通</x:v>
      </x:c>
      <x:c r="E130" s="22" t="str">
        <x:v>营火猎犬</x:v>
      </x:c>
      <x:c r="F130" s="22" t="str">
        <x:v>XX345</x:v>
      </x:c>
      <x:c r="G130" s="22" t="str">
        <x:v>P0070</x:v>
      </x:c>
      <x:c r="H130" s="22" t="n">
        <x:v>8</x:v>
      </x:c>
      <x:c r="I130" s="28" t="n">
        <x:v>901528.3908882937</x:v>
      </x:c>
      <x:c r="J130" s="28" t="n">
        <x:f>ROUND(H130*I130,-MAX(0,INT(LOG10(H130*I130))-1))</x:f>
        <x:v>7200000</x:v>
      </x:c>
      <x:c r="K130" s="28" t="n">
        <x:v>15000</x:v>
      </x:c>
      <x:c r="L130" s="28" t="n">
        <x:v>20000</x:v>
      </x:c>
      <x:c r="M130" s="28" t="n">
        <x:v>1300</x:v>
      </x:c>
      <x:c r="N130" s="28" t="n">
        <x:v>1100</x:v>
      </x:c>
      <x:c r="O130" s="28" t="n">
        <x:v>86</x:v>
      </x:c>
      <x:c r="P130" s="28" t="n">
        <x:v>210</x:v>
      </x:c>
      <x:c r="Q130" s="28" t="n">
        <x:v>1600</x:v>
      </x:c>
      <x:c r="R130" s="22"/>
      <x:c r="S130" s="22"/>
      <x:c r="T130" s="22" t="str">
        <x:v>32位有符号内</x:v>
      </x:c>
    </x:row>
    <x:row r="131" ht="24" customHeight="1">
      <x:c r="A131" s="22" t="str">
        <x:v>C03-M030</x:v>
      </x:c>
      <x:c r="B131" s="22" t="n">
        <x:v>3</x:v>
      </x:c>
      <x:c r="C131" s="22" t="str">
        <x:v>失落驿道</x:v>
      </x:c>
      <x:c r="D131" s="22" t="str">
        <x:v>普通</x:v>
      </x:c>
      <x:c r="E131" s="22" t="str">
        <x:v>断轮弩手</x:v>
      </x:c>
      <x:c r="F131" s="22" t="str">
        <x:v>XX345</x:v>
      </x:c>
      <x:c r="G131" s="22" t="str">
        <x:v>P0070</x:v>
      </x:c>
      <x:c r="H131" s="22" t="n">
        <x:v>7.6</x:v>
      </x:c>
      <x:c r="I131" s="28" t="n">
        <x:v>901528.3908882937</x:v>
      </x:c>
      <x:c r="J131" s="28" t="n">
        <x:f>ROUND(H131*I131,-MAX(0,INT(LOG10(H131*I131))-1))</x:f>
        <x:v>6900000</x:v>
      </x:c>
      <x:c r="K131" s="28" t="n">
        <x:v>15000</x:v>
      </x:c>
      <x:c r="L131" s="28" t="n">
        <x:v>20000</x:v>
      </x:c>
      <x:c r="M131" s="28" t="n">
        <x:v>1300</x:v>
      </x:c>
      <x:c r="N131" s="28" t="n">
        <x:v>1100</x:v>
      </x:c>
      <x:c r="O131" s="28" t="n">
        <x:v>86</x:v>
      </x:c>
      <x:c r="P131" s="28" t="n">
        <x:v>210</x:v>
      </x:c>
      <x:c r="Q131" s="28" t="n">
        <x:v>1600</x:v>
      </x:c>
      <x:c r="R131" s="22"/>
      <x:c r="S131" s="22"/>
      <x:c r="T131" s="22" t="str">
        <x:v>32位有符号内</x:v>
      </x:c>
    </x:row>
    <x:row r="132" ht="24" customHeight="1">
      <x:c r="A132" s="22" t="str">
        <x:v>C03-M031</x:v>
      </x:c>
      <x:c r="B132" s="22" t="n">
        <x:v>3</x:v>
      </x:c>
      <x:c r="C132" s="22" t="str">
        <x:v>失落驿道</x:v>
      </x:c>
      <x:c r="D132" s="22" t="str">
        <x:v>稀有</x:v>
      </x:c>
      <x:c r="E132" s="22" t="str">
        <x:v>火漆追缉者</x:v>
      </x:c>
      <x:c r="F132" s="22" t="str">
        <x:v>XX343</x:v>
      </x:c>
      <x:c r="G132" s="22" t="str">
        <x:v>P0070</x:v>
      </x:c>
      <x:c r="H132" s="22" t="n">
        <x:v>27.599999999999998</x:v>
      </x:c>
      <x:c r="I132" s="28" t="n">
        <x:v>841696.6527059526</x:v>
      </x:c>
      <x:c r="J132" s="28" t="n">
        <x:f>ROUND(H132*I132,-MAX(0,INT(LOG10(H132*I132))-1))</x:f>
        <x:v>23000000</x:v>
      </x:c>
      <x:c r="K132" s="28" t="n">
        <x:v>32000</x:v>
      </x:c>
      <x:c r="L132" s="28" t="n">
        <x:v>43000</x:v>
      </x:c>
      <x:c r="M132" s="28" t="n">
        <x:v>2700</x:v>
      </x:c>
      <x:c r="N132" s="28" t="n">
        <x:v>2300</x:v>
      </x:c>
      <x:c r="O132" s="28" t="n">
        <x:v>86</x:v>
      </x:c>
      <x:c r="P132" s="28" t="n">
        <x:v>630</x:v>
      </x:c>
      <x:c r="Q132" s="28" t="n">
        <x:v>1700</x:v>
      </x:c>
      <x:c r="R132" s="22"/>
      <x:c r="S132" s="22"/>
      <x:c r="T132" s="22" t="str">
        <x:v>32位有符号内</x:v>
      </x:c>
    </x:row>
    <x:row r="133" ht="24" customHeight="1">
      <x:c r="A133" s="22" t="str">
        <x:v>C03-M032</x:v>
      </x:c>
      <x:c r="B133" s="22" t="n">
        <x:v>3</x:v>
      </x:c>
      <x:c r="C133" s="22" t="str">
        <x:v>失落驿道</x:v>
      </x:c>
      <x:c r="D133" s="22" t="str">
        <x:v>稀有</x:v>
      </x:c>
      <x:c r="E133" s="22" t="str">
        <x:v>商队叛骑</x:v>
      </x:c>
      <x:c r="F133" s="22" t="str">
        <x:v>XX344</x:v>
      </x:c>
      <x:c r="G133" s="22" t="str">
        <x:v>P0070</x:v>
      </x:c>
      <x:c r="H133" s="22" t="n">
        <x:v>22.799999999999997</x:v>
      </x:c>
      <x:c r="I133" s="28" t="n">
        <x:v>841696.6527059526</x:v>
      </x:c>
      <x:c r="J133" s="28" t="n">
        <x:f>ROUND(H133*I133,-MAX(0,INT(LOG10(H133*I133))-1))</x:f>
        <x:v>19000000</x:v>
      </x:c>
      <x:c r="K133" s="28" t="n">
        <x:v>35000</x:v>
      </x:c>
      <x:c r="L133" s="28" t="n">
        <x:v>47000</x:v>
      </x:c>
      <x:c r="M133" s="28" t="n">
        <x:v>2700</x:v>
      </x:c>
      <x:c r="N133" s="28" t="n">
        <x:v>2300</x:v>
      </x:c>
      <x:c r="O133" s="28" t="n">
        <x:v>86</x:v>
      </x:c>
      <x:c r="P133" s="28" t="n">
        <x:v>630</x:v>
      </x:c>
      <x:c r="Q133" s="28" t="n">
        <x:v>1700</x:v>
      </x:c>
      <x:c r="R133" s="22"/>
      <x:c r="S133" s="22"/>
      <x:c r="T133" s="22" t="str">
        <x:v>32位有符号内</x:v>
      </x:c>
    </x:row>
    <x:row r="134" ht="24" customHeight="1">
      <x:c r="A134" s="22" t="str">
        <x:v>C03-M033</x:v>
      </x:c>
      <x:c r="B134" s="22" t="n">
        <x:v>3</x:v>
      </x:c>
      <x:c r="C134" s="22" t="str">
        <x:v>失落驿道</x:v>
      </x:c>
      <x:c r="D134" s="22" t="str">
        <x:v>稀有</x:v>
      </x:c>
      <x:c r="E134" s="22" t="str">
        <x:v>断路劫首</x:v>
      </x:c>
      <x:c r="F134" s="22" t="str">
        <x:v>XX345</x:v>
      </x:c>
      <x:c r="G134" s="22" t="str">
        <x:v>P0070</x:v>
      </x:c>
      <x:c r="H134" s="22" t="n">
        <x:v>22.799999999999997</x:v>
      </x:c>
      <x:c r="I134" s="28" t="n">
        <x:v>841696.6527059526</x:v>
      </x:c>
      <x:c r="J134" s="28" t="n">
        <x:f>ROUND(H134*I134,-MAX(0,INT(LOG10(H134*I134))-1))</x:f>
        <x:v>19000000</x:v>
      </x:c>
      <x:c r="K134" s="28" t="n">
        <x:v>35000</x:v>
      </x:c>
      <x:c r="L134" s="28" t="n">
        <x:v>47000</x:v>
      </x:c>
      <x:c r="M134" s="28" t="n">
        <x:v>2700</x:v>
      </x:c>
      <x:c r="N134" s="28" t="n">
        <x:v>2300</x:v>
      </x:c>
      <x:c r="O134" s="28" t="n">
        <x:v>86</x:v>
      </x:c>
      <x:c r="P134" s="28" t="n">
        <x:v>630</x:v>
      </x:c>
      <x:c r="Q134" s="28" t="n">
        <x:v>1700</x:v>
      </x:c>
      <x:c r="R134" s="22"/>
      <x:c r="S134" s="22"/>
      <x:c r="T134" s="22" t="str">
        <x:v>32位有符号内</x:v>
      </x:c>
    </x:row>
    <x:row r="135" ht="24" customHeight="1">
      <x:c r="A135" s="22" t="str">
        <x:v>C03-M034</x:v>
      </x:c>
      <x:c r="B135" s="22" t="n">
        <x:v>3</x:v>
      </x:c>
      <x:c r="C135" s="22" t="str">
        <x:v>失落驿道</x:v>
      </x:c>
      <x:c r="D135" s="22" t="str">
        <x:v>稀有</x:v>
      </x:c>
      <x:c r="E135" s="22" t="str">
        <x:v>黑帐术士</x:v>
      </x:c>
      <x:c r="F135" s="22" t="str">
        <x:v>XX345</x:v>
      </x:c>
      <x:c r="G135" s="22" t="str">
        <x:v>P0070</x:v>
      </x:c>
      <x:c r="H135" s="22" t="n">
        <x:v>26.400000000000002</x:v>
      </x:c>
      <x:c r="I135" s="28" t="n">
        <x:v>841696.6527059526</x:v>
      </x:c>
      <x:c r="J135" s="28" t="n">
        <x:f>ROUND(H135*I135,-MAX(0,INT(LOG10(H135*I135))-1))</x:f>
        <x:v>22000000</x:v>
      </x:c>
      <x:c r="K135" s="28" t="n">
        <x:v>33000</x:v>
      </x:c>
      <x:c r="L135" s="28" t="n">
        <x:v>44000</x:v>
      </x:c>
      <x:c r="M135" s="28" t="n">
        <x:v>2700</x:v>
      </x:c>
      <x:c r="N135" s="28" t="n">
        <x:v>2300</x:v>
      </x:c>
      <x:c r="O135" s="28" t="n">
        <x:v>86</x:v>
      </x:c>
      <x:c r="P135" s="28" t="n">
        <x:v>630</x:v>
      </x:c>
      <x:c r="Q135" s="28" t="n">
        <x:v>1700</x:v>
      </x:c>
      <x:c r="R135" s="22"/>
      <x:c r="S135" s="22"/>
      <x:c r="T135" s="22" t="str">
        <x:v>32位有符号内</x:v>
      </x:c>
    </x:row>
    <x:row r="136" ht="24" customHeight="1">
      <x:c r="A136" s="22" t="str">
        <x:v>C03-M035</x:v>
      </x:c>
      <x:c r="B136" s="22" t="n">
        <x:v>3</x:v>
      </x:c>
      <x:c r="C136" s="22" t="str">
        <x:v>失落驿道</x:v>
      </x:c>
      <x:c r="D136" s="22" t="str">
        <x:v>地图BOSS</x:v>
      </x:c>
      <x:c r="E136" s="22" t="str">
        <x:v>无路佣兵王·赫托</x:v>
      </x:c>
      <x:c r="F136" s="22" t="str">
        <x:v>XX344</x:v>
      </x:c>
      <x:c r="G136" s="22" t="str">
        <x:v>P0077</x:v>
      </x:c>
      <x:c r="H136" s="22" t="n">
        <x:v>71.25</x:v>
      </x:c>
      <x:c r="I136" s="28" t="n">
        <x:v>1851678.5771272166</x:v>
      </x:c>
      <x:c r="J136" s="28" t="n">
        <x:f>ROUND(H136*I136,-MAX(0,INT(LOG10(H136*I136))-1))</x:f>
        <x:v>130000000</x:v>
      </x:c>
      <x:c r="K136" s="28" t="n">
        <x:v>28000</x:v>
      </x:c>
      <x:c r="L136" s="28" t="n">
        <x:v>38000</x:v>
      </x:c>
      <x:c r="M136" s="28" t="n">
        <x:v>5100</x:v>
      </x:c>
      <x:c r="N136" s="28" t="n">
        <x:v>4300</x:v>
      </x:c>
      <x:c r="O136" s="28" t="n">
        <x:v>86</x:v>
      </x:c>
      <x:c r="P136" s="28" t="n">
        <x:v>2500</x:v>
      </x:c>
      <x:c r="Q136" s="28" t="n">
        <x:v>1800</x:v>
      </x:c>
      <x:c r="R136" s="22"/>
      <x:c r="S136" s="22"/>
      <x:c r="T136" s="22" t="str">
        <x:v>32位有符号内</x:v>
      </x:c>
    </x:row>
    <x:row r="137" ht="24" customHeight="1">
      <x:c r="A137" s="22" t="str">
        <x:v>C03-M036</x:v>
      </x:c>
      <x:c r="B137" s="22" t="n">
        <x:v>3</x:v>
      </x:c>
      <x:c r="C137" s="22" t="str">
        <x:v>失落驿道</x:v>
      </x:c>
      <x:c r="D137" s="22" t="str">
        <x:v>地图BOSS</x:v>
      </x:c>
      <x:c r="E137" s="22" t="str">
        <x:v>赤篷巨像·马尔</x:v>
      </x:c>
      <x:c r="F137" s="22" t="str">
        <x:v>XX345</x:v>
      </x:c>
      <x:c r="G137" s="22" t="str">
        <x:v>P0078</x:v>
      </x:c>
      <x:c r="H137" s="22" t="n">
        <x:v>82.5</x:v>
      </x:c>
      <x:c r="I137" s="28" t="n">
        <x:v>1851678.5771272166</x:v>
      </x:c>
      <x:c r="J137" s="28" t="n">
        <x:f>ROUND(H137*I137,-MAX(0,INT(LOG10(H137*I137))-1))</x:f>
        <x:v>150000000</x:v>
      </x:c>
      <x:c r="K137" s="28" t="n">
        <x:v>27000</x:v>
      </x:c>
      <x:c r="L137" s="28" t="n">
        <x:v>37000</x:v>
      </x:c>
      <x:c r="M137" s="28" t="n">
        <x:v>5100</x:v>
      </x:c>
      <x:c r="N137" s="28" t="n">
        <x:v>4300</x:v>
      </x:c>
      <x:c r="O137" s="28" t="n">
        <x:v>86</x:v>
      </x:c>
      <x:c r="P137" s="28" t="n">
        <x:v>2500</x:v>
      </x:c>
      <x:c r="Q137" s="28" t="n">
        <x:v>1800</x:v>
      </x:c>
      <x:c r="R137" s="22"/>
      <x:c r="S137" s="22"/>
      <x:c r="T137" s="22" t="str">
        <x:v>32位有符号内</x:v>
      </x:c>
    </x:row>
    <x:row r="138" ht="24" customHeight="1">
      <x:c r="A138" s="22" t="str">
        <x:v>C03-M037</x:v>
      </x:c>
      <x:c r="B138" s="22" t="n">
        <x:v>3</x:v>
      </x:c>
      <x:c r="C138" s="22" t="str">
        <x:v>古战场遗迹</x:v>
      </x:c>
      <x:c r="D138" s="22" t="str">
        <x:v>普通</x:v>
      </x:c>
      <x:c r="E138" s="22" t="str">
        <x:v>残阵兵魂</x:v>
      </x:c>
      <x:c r="F138" s="22" t="str">
        <x:v>XX310</x:v>
      </x:c>
      <x:c r="G138" s="22" t="str">
        <x:v>P0076</x:v>
      </x:c>
      <x:c r="H138" s="22" t="n">
        <x:v>8</x:v>
      </x:c>
      <x:c r="I138" s="28" t="n">
        <x:v>1028297.1164836393</x:v>
      </x:c>
      <x:c r="J138" s="28" t="n">
        <x:f>ROUND(H138*I138,-MAX(0,INT(LOG10(H138*I138))-1))</x:f>
        <x:v>8200000</x:v>
      </x:c>
      <x:c r="K138" s="28" t="n">
        <x:v>8200</x:v>
      </x:c>
      <x:c r="L138" s="28" t="n">
        <x:v>11000</x:v>
      </x:c>
      <x:c r="M138" s="28" t="n">
        <x:v>1500</x:v>
      </x:c>
      <x:c r="N138" s="28" t="n">
        <x:v>1300</x:v>
      </x:c>
      <x:c r="O138" s="28" t="n">
        <x:v>89</x:v>
      </x:c>
      <x:c r="P138" s="28" t="n">
        <x:v>220</x:v>
      </x:c>
      <x:c r="Q138" s="28" t="n">
        <x:v>1600</x:v>
      </x:c>
      <x:c r="R138" s="22"/>
      <x:c r="S138" s="22"/>
      <x:c r="T138" s="22" t="str">
        <x:v>32位有符号内</x:v>
      </x:c>
    </x:row>
    <x:row r="139" ht="24" customHeight="1">
      <x:c r="A139" s="22" t="str">
        <x:v>C03-M038</x:v>
      </x:c>
      <x:c r="B139" s="22" t="n">
        <x:v>3</x:v>
      </x:c>
      <x:c r="C139" s="22" t="str">
        <x:v>古战场遗迹</x:v>
      </x:c>
      <x:c r="D139" s="22" t="str">
        <x:v>普通</x:v>
      </x:c>
      <x:c r="E139" s="22" t="str">
        <x:v>折戟亡卒</x:v>
      </x:c>
      <x:c r="F139" s="22" t="str">
        <x:v>XX310</x:v>
      </x:c>
      <x:c r="G139" s="22" t="str">
        <x:v>P0076</x:v>
      </x:c>
      <x:c r="H139" s="22" t="n">
        <x:v>8</x:v>
      </x:c>
      <x:c r="I139" s="28" t="n">
        <x:v>1028297.1164836393</x:v>
      </x:c>
      <x:c r="J139" s="28" t="n">
        <x:f>ROUND(H139*I139,-MAX(0,INT(LOG10(H139*I139))-1))</x:f>
        <x:v>8200000</x:v>
      </x:c>
      <x:c r="K139" s="28" t="n">
        <x:v>8200</x:v>
      </x:c>
      <x:c r="L139" s="28" t="n">
        <x:v>11000</x:v>
      </x:c>
      <x:c r="M139" s="28" t="n">
        <x:v>1500</x:v>
      </x:c>
      <x:c r="N139" s="28" t="n">
        <x:v>1300</x:v>
      </x:c>
      <x:c r="O139" s="28" t="n">
        <x:v>89</x:v>
      </x:c>
      <x:c r="P139" s="28" t="n">
        <x:v>220</x:v>
      </x:c>
      <x:c r="Q139" s="28" t="n">
        <x:v>1600</x:v>
      </x:c>
      <x:c r="R139" s="22"/>
      <x:c r="S139" s="22"/>
      <x:c r="T139" s="22" t="str">
        <x:v>32位有符号内</x:v>
      </x:c>
    </x:row>
    <x:row r="140" ht="24" customHeight="1">
      <x:c r="A140" s="22" t="str">
        <x:v>C03-M039</x:v>
      </x:c>
      <x:c r="B140" s="22" t="n">
        <x:v>3</x:v>
      </x:c>
      <x:c r="C140" s="22" t="str">
        <x:v>古战场遗迹</x:v>
      </x:c>
      <x:c r="D140" s="22" t="str">
        <x:v>普通</x:v>
      </x:c>
      <x:c r="E140" s="22" t="str">
        <x:v>战壕腐尸</x:v>
      </x:c>
      <x:c r="F140" s="22" t="str">
        <x:v>XX311</x:v>
      </x:c>
      <x:c r="G140" s="22" t="str">
        <x:v>P0076</x:v>
      </x:c>
      <x:c r="H140" s="22" t="n">
        <x:v>7.6</x:v>
      </x:c>
      <x:c r="I140" s="28" t="n">
        <x:v>1028297.1164836393</x:v>
      </x:c>
      <x:c r="J140" s="28" t="n">
        <x:f>ROUND(H140*I140,-MAX(0,INT(LOG10(H140*I140))-1))</x:f>
        <x:v>7800000</x:v>
      </x:c>
      <x:c r="K140" s="28" t="n">
        <x:v>8200</x:v>
      </x:c>
      <x:c r="L140" s="28" t="n">
        <x:v>11000</x:v>
      </x:c>
      <x:c r="M140" s="28" t="n">
        <x:v>1500</x:v>
      </x:c>
      <x:c r="N140" s="28" t="n">
        <x:v>1300</x:v>
      </x:c>
      <x:c r="O140" s="28" t="n">
        <x:v>89</x:v>
      </x:c>
      <x:c r="P140" s="28" t="n">
        <x:v>220</x:v>
      </x:c>
      <x:c r="Q140" s="28" t="n">
        <x:v>1600</x:v>
      </x:c>
      <x:c r="R140" s="22"/>
      <x:c r="S140" s="22"/>
      <x:c r="T140" s="22" t="str">
        <x:v>32位有符号内</x:v>
      </x:c>
    </x:row>
    <x:row r="141" ht="24" customHeight="1">
      <x:c r="A141" s="22" t="str">
        <x:v>C03-M040</x:v>
      </x:c>
      <x:c r="B141" s="22" t="n">
        <x:v>3</x:v>
      </x:c>
      <x:c r="C141" s="22" t="str">
        <x:v>古战场遗迹</x:v>
      </x:c>
      <x:c r="D141" s="22" t="str">
        <x:v>普通</x:v>
      </x:c>
      <x:c r="E141" s="22" t="str">
        <x:v>无首号手</x:v>
      </x:c>
      <x:c r="F141" s="22" t="str">
        <x:v>XX311</x:v>
      </x:c>
      <x:c r="G141" s="22" t="str">
        <x:v>P0076</x:v>
      </x:c>
      <x:c r="H141" s="22" t="n">
        <x:v>8.8</x:v>
      </x:c>
      <x:c r="I141" s="28" t="n">
        <x:v>1028297.1164836393</x:v>
      </x:c>
      <x:c r="J141" s="28" t="n">
        <x:f>ROUND(H141*I141,-MAX(0,INT(LOG10(H141*I141))-1))</x:f>
        <x:v>9000000</x:v>
      </x:c>
      <x:c r="K141" s="28" t="n">
        <x:v>8200</x:v>
      </x:c>
      <x:c r="L141" s="28" t="n">
        <x:v>11000</x:v>
      </x:c>
      <x:c r="M141" s="28" t="n">
        <x:v>1500</x:v>
      </x:c>
      <x:c r="N141" s="28" t="n">
        <x:v>1300</x:v>
      </x:c>
      <x:c r="O141" s="28" t="n">
        <x:v>89</x:v>
      </x:c>
      <x:c r="P141" s="28" t="n">
        <x:v>220</x:v>
      </x:c>
      <x:c r="Q141" s="28" t="n">
        <x:v>1600</x:v>
      </x:c>
      <x:c r="R141" s="22"/>
      <x:c r="S141" s="22"/>
      <x:c r="T141" s="22" t="str">
        <x:v>32位有符号内</x:v>
      </x:c>
    </x:row>
    <x:row r="142" ht="24" customHeight="1">
      <x:c r="A142" s="22" t="str">
        <x:v>C03-M041</x:v>
      </x:c>
      <x:c r="B142" s="22" t="n">
        <x:v>3</x:v>
      </x:c>
      <x:c r="C142" s="22" t="str">
        <x:v>古战场遗迹</x:v>
      </x:c>
      <x:c r="D142" s="22" t="str">
        <x:v>普通</x:v>
      </x:c>
      <x:c r="E142" s="22" t="str">
        <x:v>墓旗守卫</x:v>
      </x:c>
      <x:c r="F142" s="22" t="str">
        <x:v>XX312</x:v>
      </x:c>
      <x:c r="G142" s="22" t="str">
        <x:v>P0076</x:v>
      </x:c>
      <x:c r="H142" s="22" t="n">
        <x:v>7.2</x:v>
      </x:c>
      <x:c r="I142" s="28" t="n">
        <x:v>1028297.1164836393</x:v>
      </x:c>
      <x:c r="J142" s="28" t="n">
        <x:f>ROUND(H142*I142,-MAX(0,INT(LOG10(H142*I142))-1))</x:f>
        <x:v>7400000</x:v>
      </x:c>
      <x:c r="K142" s="28" t="n">
        <x:v>8200</x:v>
      </x:c>
      <x:c r="L142" s="28" t="n">
        <x:v>11000</x:v>
      </x:c>
      <x:c r="M142" s="28" t="n">
        <x:v>1500</x:v>
      </x:c>
      <x:c r="N142" s="28" t="n">
        <x:v>1300</x:v>
      </x:c>
      <x:c r="O142" s="28" t="n">
        <x:v>89</x:v>
      </x:c>
      <x:c r="P142" s="28" t="n">
        <x:v>220</x:v>
      </x:c>
      <x:c r="Q142" s="28" t="n">
        <x:v>1600</x:v>
      </x:c>
      <x:c r="R142" s="22"/>
      <x:c r="S142" s="22"/>
      <x:c r="T142" s="22" t="str">
        <x:v>32位有符号内</x:v>
      </x:c>
    </x:row>
    <x:row r="143" ht="24" customHeight="1">
      <x:c r="A143" s="22" t="str">
        <x:v>C03-M042</x:v>
      </x:c>
      <x:c r="B143" s="22" t="n">
        <x:v>3</x:v>
      </x:c>
      <x:c r="C143" s="22" t="str">
        <x:v>古战场遗迹</x:v>
      </x:c>
      <x:c r="D143" s="22" t="str">
        <x:v>普通</x:v>
      </x:c>
      <x:c r="E143" s="22" t="str">
        <x:v>英灵战马</x:v>
      </x:c>
      <x:c r="F143" s="22" t="str">
        <x:v>XX312</x:v>
      </x:c>
      <x:c r="G143" s="22" t="str">
        <x:v>P0076</x:v>
      </x:c>
      <x:c r="H143" s="22" t="n">
        <x:v>8.8</x:v>
      </x:c>
      <x:c r="I143" s="28" t="n">
        <x:v>1028297.1164836393</x:v>
      </x:c>
      <x:c r="J143" s="28" t="n">
        <x:f>ROUND(H143*I143,-MAX(0,INT(LOG10(H143*I143))-1))</x:f>
        <x:v>9000000</x:v>
      </x:c>
      <x:c r="K143" s="28" t="n">
        <x:v>8200</x:v>
      </x:c>
      <x:c r="L143" s="28" t="n">
        <x:v>11000</x:v>
      </x:c>
      <x:c r="M143" s="28" t="n">
        <x:v>1500</x:v>
      </x:c>
      <x:c r="N143" s="28" t="n">
        <x:v>1300</x:v>
      </x:c>
      <x:c r="O143" s="28" t="n">
        <x:v>89</x:v>
      </x:c>
      <x:c r="P143" s="28" t="n">
        <x:v>220</x:v>
      </x:c>
      <x:c r="Q143" s="28" t="n">
        <x:v>1600</x:v>
      </x:c>
      <x:c r="R143" s="22"/>
      <x:c r="S143" s="22"/>
      <x:c r="T143" s="22" t="str">
        <x:v>32位有符号内</x:v>
      </x:c>
    </x:row>
    <x:row r="144" ht="24" customHeight="1">
      <x:c r="A144" s="22" t="str">
        <x:v>C03-M043</x:v>
      </x:c>
      <x:c r="B144" s="22" t="n">
        <x:v>3</x:v>
      </x:c>
      <x:c r="C144" s="22" t="str">
        <x:v>古战场遗迹</x:v>
      </x:c>
      <x:c r="D144" s="22" t="str">
        <x:v>稀有</x:v>
      </x:c>
      <x:c r="E144" s="22" t="str">
        <x:v>百战英魂</x:v>
      </x:c>
      <x:c r="F144" s="22" t="str">
        <x:v>XX310</x:v>
      </x:c>
      <x:c r="G144" s="22" t="str">
        <x:v>P0076</x:v>
      </x:c>
      <x:c r="H144" s="22" t="n">
        <x:v>26.400000000000002</x:v>
      </x:c>
      <x:c r="I144" s="28" t="n">
        <x:v>965138.0318907535</x:v>
      </x:c>
      <x:c r="J144" s="28" t="n">
        <x:f>ROUND(H144*I144,-MAX(0,INT(LOG10(H144*I144))-1))</x:f>
        <x:v>25000000</x:v>
      </x:c>
      <x:c r="K144" s="28" t="n">
        <x:v>19000</x:v>
      </x:c>
      <x:c r="L144" s="28" t="n">
        <x:v>25000</x:v>
      </x:c>
      <x:c r="M144" s="28" t="n">
        <x:v>2900</x:v>
      </x:c>
      <x:c r="N144" s="28" t="n">
        <x:v>2500</x:v>
      </x:c>
      <x:c r="O144" s="28" t="n">
        <x:v>89</x:v>
      </x:c>
      <x:c r="P144" s="28" t="n">
        <x:v>680</x:v>
      </x:c>
      <x:c r="Q144" s="28" t="n">
        <x:v>1700</x:v>
      </x:c>
      <x:c r="R144" s="22"/>
      <x:c r="S144" s="22"/>
      <x:c r="T144" s="22" t="str">
        <x:v>32位有符号内</x:v>
      </x:c>
    </x:row>
    <x:row r="145" ht="24" customHeight="1">
      <x:c r="A145" s="22" t="str">
        <x:v>C03-M044</x:v>
      </x:c>
      <x:c r="B145" s="22" t="n">
        <x:v>3</x:v>
      </x:c>
      <x:c r="C145" s="22" t="str">
        <x:v>古战场遗迹</x:v>
      </x:c>
      <x:c r="D145" s="22" t="str">
        <x:v>稀有</x:v>
      </x:c>
      <x:c r="E145" s="22" t="str">
        <x:v>亡阵旗官</x:v>
      </x:c>
      <x:c r="F145" s="22" t="str">
        <x:v>XX311</x:v>
      </x:c>
      <x:c r="G145" s="22" t="str">
        <x:v>P0076</x:v>
      </x:c>
      <x:c r="H145" s="22" t="n">
        <x:v>22.799999999999997</x:v>
      </x:c>
      <x:c r="I145" s="28" t="n">
        <x:v>965138.0318907535</x:v>
      </x:c>
      <x:c r="J145" s="28" t="n">
        <x:f>ROUND(H145*I145,-MAX(0,INT(LOG10(H145*I145))-1))</x:f>
        <x:v>22000000</x:v>
      </x:c>
      <x:c r="K145" s="28" t="n">
        <x:v>20000</x:v>
      </x:c>
      <x:c r="L145" s="28" t="n">
        <x:v>27000</x:v>
      </x:c>
      <x:c r="M145" s="28" t="n">
        <x:v>2900</x:v>
      </x:c>
      <x:c r="N145" s="28" t="n">
        <x:v>2500</x:v>
      </x:c>
      <x:c r="O145" s="28" t="n">
        <x:v>89</x:v>
      </x:c>
      <x:c r="P145" s="28" t="n">
        <x:v>680</x:v>
      </x:c>
      <x:c r="Q145" s="28" t="n">
        <x:v>1700</x:v>
      </x:c>
      <x:c r="R145" s="22"/>
      <x:c r="S145" s="22"/>
      <x:c r="T145" s="22" t="str">
        <x:v>32位有符号内</x:v>
      </x:c>
    </x:row>
    <x:row r="146" ht="24" customHeight="1">
      <x:c r="A146" s="22" t="str">
        <x:v>C03-M045</x:v>
      </x:c>
      <x:c r="B146" s="22" t="n">
        <x:v>3</x:v>
      </x:c>
      <x:c r="C146" s="22" t="str">
        <x:v>古战场遗迹</x:v>
      </x:c>
      <x:c r="D146" s="22" t="str">
        <x:v>稀有</x:v>
      </x:c>
      <x:c r="E146" s="22" t="str">
        <x:v>誓死卫士</x:v>
      </x:c>
      <x:c r="F146" s="22" t="str">
        <x:v>XX312</x:v>
      </x:c>
      <x:c r="G146" s="22" t="str">
        <x:v>P0076</x:v>
      </x:c>
      <x:c r="H146" s="22" t="n">
        <x:v>26.400000000000002</x:v>
      </x:c>
      <x:c r="I146" s="28" t="n">
        <x:v>965138.0318907535</x:v>
      </x:c>
      <x:c r="J146" s="28" t="n">
        <x:f>ROUND(H146*I146,-MAX(0,INT(LOG10(H146*I146))-1))</x:f>
        <x:v>25000000</x:v>
      </x:c>
      <x:c r="K146" s="28" t="n">
        <x:v>19000</x:v>
      </x:c>
      <x:c r="L146" s="28" t="n">
        <x:v>25000</x:v>
      </x:c>
      <x:c r="M146" s="28" t="n">
        <x:v>2900</x:v>
      </x:c>
      <x:c r="N146" s="28" t="n">
        <x:v>2500</x:v>
      </x:c>
      <x:c r="O146" s="28" t="n">
        <x:v>89</x:v>
      </x:c>
      <x:c r="P146" s="28" t="n">
        <x:v>680</x:v>
      </x:c>
      <x:c r="Q146" s="28" t="n">
        <x:v>1700</x:v>
      </x:c>
      <x:c r="R146" s="22"/>
      <x:c r="S146" s="22"/>
      <x:c r="T146" s="22" t="str">
        <x:v>32位有符号内</x:v>
      </x:c>
    </x:row>
    <x:row r="147" ht="24" customHeight="1">
      <x:c r="A147" s="22" t="str">
        <x:v>C03-M046</x:v>
      </x:c>
      <x:c r="B147" s="22" t="n">
        <x:v>3</x:v>
      </x:c>
      <x:c r="C147" s="22" t="str">
        <x:v>古战场遗迹</x:v>
      </x:c>
      <x:c r="D147" s="22" t="str">
        <x:v>稀有</x:v>
      </x:c>
      <x:c r="E147" s="22" t="str">
        <x:v>祭坛唤魂师</x:v>
      </x:c>
      <x:c r="F147" s="22" t="str">
        <x:v>XX312</x:v>
      </x:c>
      <x:c r="G147" s="22" t="str">
        <x:v>P0076</x:v>
      </x:c>
      <x:c r="H147" s="22" t="n">
        <x:v>24</x:v>
      </x:c>
      <x:c r="I147" s="28" t="n">
        <x:v>965138.0318907535</x:v>
      </x:c>
      <x:c r="J147" s="28" t="n">
        <x:f>ROUND(H147*I147,-MAX(0,INT(LOG10(H147*I147))-1))</x:f>
        <x:v>23000000</x:v>
      </x:c>
      <x:c r="K147" s="28" t="n">
        <x:v>19000</x:v>
      </x:c>
      <x:c r="L147" s="28" t="n">
        <x:v>26000</x:v>
      </x:c>
      <x:c r="M147" s="28" t="n">
        <x:v>2900</x:v>
      </x:c>
      <x:c r="N147" s="28" t="n">
        <x:v>2500</x:v>
      </x:c>
      <x:c r="O147" s="28" t="n">
        <x:v>89</x:v>
      </x:c>
      <x:c r="P147" s="28" t="n">
        <x:v>680</x:v>
      </x:c>
      <x:c r="Q147" s="28" t="n">
        <x:v>1700</x:v>
      </x:c>
      <x:c r="R147" s="22"/>
      <x:c r="S147" s="22"/>
      <x:c r="T147" s="22" t="str">
        <x:v>32位有符号内</x:v>
      </x:c>
    </x:row>
    <x:row r="148" ht="24" customHeight="1">
      <x:c r="A148" s="22" t="str">
        <x:v>C03-M047</x:v>
      </x:c>
      <x:c r="B148" s="22" t="n">
        <x:v>3</x:v>
      </x:c>
      <x:c r="C148" s="22" t="str">
        <x:v>古战场遗迹</x:v>
      </x:c>
      <x:c r="D148" s="22" t="str">
        <x:v>地图BOSS</x:v>
      </x:c>
      <x:c r="E148" s="22" t="str">
        <x:v>古战将·雷戈</x:v>
      </x:c>
      <x:c r="F148" s="22" t="str">
        <x:v>XX311</x:v>
      </x:c>
      <x:c r="G148" s="22" t="str">
        <x:v>P0083</x:v>
      </x:c>
      <x:c r="H148" s="22" t="n">
        <x:v>86.25</x:v>
      </x:c>
      <x:c r="I148" s="28" t="n">
        <x:v>1960083.4049248132</x:v>
      </x:c>
      <x:c r="J148" s="28" t="n">
        <x:f>ROUND(H148*I148,-MAX(0,INT(LOG10(H148*I148))-1))</x:f>
        <x:v>170000000</x:v>
      </x:c>
      <x:c r="K148" s="28" t="n">
        <x:v>28000</x:v>
      </x:c>
      <x:c r="L148" s="28" t="n">
        <x:v>38000</x:v>
      </x:c>
      <x:c r="M148" s="28" t="n">
        <x:v>5400</x:v>
      </x:c>
      <x:c r="N148" s="28" t="n">
        <x:v>4600</x:v>
      </x:c>
      <x:c r="O148" s="28" t="n">
        <x:v>89</x:v>
      </x:c>
      <x:c r="P148" s="28" t="n">
        <x:v>2700</x:v>
      </x:c>
      <x:c r="Q148" s="28" t="n">
        <x:v>1800</x:v>
      </x:c>
      <x:c r="R148" s="22"/>
      <x:c r="S148" s="22"/>
      <x:c r="T148" s="22" t="str">
        <x:v>32位有符号内</x:v>
      </x:c>
    </x:row>
    <x:row r="149" ht="24" customHeight="1">
      <x:c r="A149" s="22" t="str">
        <x:v>C03-M048</x:v>
      </x:c>
      <x:c r="B149" s="22" t="n">
        <x:v>3</x:v>
      </x:c>
      <x:c r="C149" s="22" t="str">
        <x:v>古战场遗迹</x:v>
      </x:c>
      <x:c r="D149" s="22" t="str">
        <x:v>地图BOSS</x:v>
      </x:c>
      <x:c r="E149" s="22" t="str">
        <x:v>千军怨灵·阿萨</x:v>
      </x:c>
      <x:c r="F149" s="22" t="str">
        <x:v>XX312</x:v>
      </x:c>
      <x:c r="G149" s="22" t="str">
        <x:v>P0084</x:v>
      </x:c>
      <x:c r="H149" s="22" t="n">
        <x:v>67.5</x:v>
      </x:c>
      <x:c r="I149" s="28" t="n">
        <x:v>1960083.4049248132</x:v>
      </x:c>
      <x:c r="J149" s="28" t="n">
        <x:f>ROUND(H149*I149,-MAX(0,INT(LOG10(H149*I149))-1))</x:f>
        <x:v>130000000</x:v>
      </x:c>
      <x:c r="K149" s="28" t="n">
        <x:v>30000</x:v>
      </x:c>
      <x:c r="L149" s="28" t="n">
        <x:v>40000</x:v>
      </x:c>
      <x:c r="M149" s="28" t="n">
        <x:v>5400</x:v>
      </x:c>
      <x:c r="N149" s="28" t="n">
        <x:v>4600</x:v>
      </x:c>
      <x:c r="O149" s="28" t="n">
        <x:v>89</x:v>
      </x:c>
      <x:c r="P149" s="28" t="n">
        <x:v>2700</x:v>
      </x:c>
      <x:c r="Q149" s="28" t="n">
        <x:v>1800</x:v>
      </x:c>
      <x:c r="R149" s="22"/>
      <x:c r="S149" s="22"/>
      <x:c r="T149" s="22" t="str">
        <x:v>32位有符号内</x:v>
      </x:c>
    </x:row>
    <x:row r="150" ht="24" customHeight="1">
      <x:c r="A150" s="22" t="str">
        <x:v>C03-M049</x:v>
      </x:c>
      <x:c r="B150" s="22" t="n">
        <x:v>3</x:v>
      </x:c>
      <x:c r="C150" s="22" t="str">
        <x:v>风蚀古垒</x:v>
      </x:c>
      <x:c r="D150" s="22" t="str">
        <x:v>普通</x:v>
      </x:c>
      <x:c r="E150" s="22" t="str">
        <x:v>古垒戍兵</x:v>
      </x:c>
      <x:c r="F150" s="22" t="str">
        <x:v>XX518</x:v>
      </x:c>
      <x:c r="G150" s="22" t="str">
        <x:v>P0082</x:v>
      </x:c>
      <x:c r="H150" s="22" t="n">
        <x:v>7.2</x:v>
      </x:c>
      <x:c r="I150" s="28" t="n">
        <x:v>1201445.9423497617</x:v>
      </x:c>
      <x:c r="J150" s="28" t="n">
        <x:f>ROUND(H150*I150,-MAX(0,INT(LOG10(H150*I150))-1))</x:f>
        <x:v>8700000</x:v>
      </x:c>
      <x:c r="K150" s="28" t="n">
        <x:v>4700</x:v>
      </x:c>
      <x:c r="L150" s="28" t="n">
        <x:v>6400</x:v>
      </x:c>
      <x:c r="M150" s="28" t="n">
        <x:v>1700</x:v>
      </x:c>
      <x:c r="N150" s="28" t="n">
        <x:v>1400</x:v>
      </x:c>
      <x:c r="O150" s="28" t="n">
        <x:v>92</x:v>
      </x:c>
      <x:c r="P150" s="28" t="n">
        <x:v>240</x:v>
      </x:c>
      <x:c r="Q150" s="28" t="n">
        <x:v>1600</x:v>
      </x:c>
      <x:c r="R150" s="22"/>
      <x:c r="S150" s="22"/>
      <x:c r="T150" s="22" t="str">
        <x:v>32位有符号内</x:v>
      </x:c>
    </x:row>
    <x:row r="151" ht="24" customHeight="1">
      <x:c r="A151" s="22" t="str">
        <x:v>C03-M050</x:v>
      </x:c>
      <x:c r="B151" s="22" t="n">
        <x:v>3</x:v>
      </x:c>
      <x:c r="C151" s="22" t="str">
        <x:v>风蚀古垒</x:v>
      </x:c>
      <x:c r="D151" s="22" t="str">
        <x:v>普通</x:v>
      </x:c>
      <x:c r="E151" s="22" t="str">
        <x:v>风沙箭手</x:v>
      </x:c>
      <x:c r="F151" s="22" t="str">
        <x:v>XX518</x:v>
      </x:c>
      <x:c r="G151" s="22" t="str">
        <x:v>P0082</x:v>
      </x:c>
      <x:c r="H151" s="22" t="n">
        <x:v>8</x:v>
      </x:c>
      <x:c r="I151" s="28" t="n">
        <x:v>1201445.9423497617</x:v>
      </x:c>
      <x:c r="J151" s="28" t="n">
        <x:f>ROUND(H151*I151,-MAX(0,INT(LOG10(H151*I151))-1))</x:f>
        <x:v>9600000</x:v>
      </x:c>
      <x:c r="K151" s="28" t="n">
        <x:v>4700</x:v>
      </x:c>
      <x:c r="L151" s="28" t="n">
        <x:v>6400</x:v>
      </x:c>
      <x:c r="M151" s="28" t="n">
        <x:v>1700</x:v>
      </x:c>
      <x:c r="N151" s="28" t="n">
        <x:v>1400</x:v>
      </x:c>
      <x:c r="O151" s="28" t="n">
        <x:v>92</x:v>
      </x:c>
      <x:c r="P151" s="28" t="n">
        <x:v>240</x:v>
      </x:c>
      <x:c r="Q151" s="28" t="n">
        <x:v>1600</x:v>
      </x:c>
      <x:c r="R151" s="22"/>
      <x:c r="S151" s="22"/>
      <x:c r="T151" s="22" t="str">
        <x:v>32位有符号内</x:v>
      </x:c>
    </x:row>
    <x:row r="152" ht="24" customHeight="1">
      <x:c r="A152" s="22" t="str">
        <x:v>C03-M051</x:v>
      </x:c>
      <x:c r="B152" s="22" t="n">
        <x:v>3</x:v>
      </x:c>
      <x:c r="C152" s="22" t="str">
        <x:v>风蚀古垒</x:v>
      </x:c>
      <x:c r="D152" s="22" t="str">
        <x:v>普通</x:v>
      </x:c>
      <x:c r="E152" s="22" t="str">
        <x:v>回廊石卫</x:v>
      </x:c>
      <x:c r="F152" s="22" t="str">
        <x:v>XX517</x:v>
      </x:c>
      <x:c r="G152" s="22" t="str">
        <x:v>P0082</x:v>
      </x:c>
      <x:c r="H152" s="22" t="n">
        <x:v>7.2</x:v>
      </x:c>
      <x:c r="I152" s="28" t="n">
        <x:v>1201445.9423497617</x:v>
      </x:c>
      <x:c r="J152" s="28" t="n">
        <x:f>ROUND(H152*I152,-MAX(0,INT(LOG10(H152*I152))-1))</x:f>
        <x:v>8700000</x:v>
      </x:c>
      <x:c r="K152" s="28" t="n">
        <x:v>4700</x:v>
      </x:c>
      <x:c r="L152" s="28" t="n">
        <x:v>6400</x:v>
      </x:c>
      <x:c r="M152" s="28" t="n">
        <x:v>1700</x:v>
      </x:c>
      <x:c r="N152" s="28" t="n">
        <x:v>1400</x:v>
      </x:c>
      <x:c r="O152" s="28" t="n">
        <x:v>92</x:v>
      </x:c>
      <x:c r="P152" s="28" t="n">
        <x:v>240</x:v>
      </x:c>
      <x:c r="Q152" s="28" t="n">
        <x:v>1600</x:v>
      </x:c>
      <x:c r="R152" s="22"/>
      <x:c r="S152" s="22"/>
      <x:c r="T152" s="22" t="str">
        <x:v>32位有符号内</x:v>
      </x:c>
    </x:row>
    <x:row r="153" ht="24" customHeight="1">
      <x:c r="A153" s="22" t="str">
        <x:v>C03-M052</x:v>
      </x:c>
      <x:c r="B153" s="22" t="n">
        <x:v>3</x:v>
      </x:c>
      <x:c r="C153" s="22" t="str">
        <x:v>风蚀古垒</x:v>
      </x:c>
      <x:c r="D153" s="22" t="str">
        <x:v>普通</x:v>
      </x:c>
      <x:c r="E153" s="22" t="str">
        <x:v>地宫掘墓人</x:v>
      </x:c>
      <x:c r="F153" s="22" t="str">
        <x:v>XX516</x:v>
      </x:c>
      <x:c r="G153" s="22" t="str">
        <x:v>P0082</x:v>
      </x:c>
      <x:c r="H153" s="22" t="n">
        <x:v>8</x:v>
      </x:c>
      <x:c r="I153" s="28" t="n">
        <x:v>1201445.9423497617</x:v>
      </x:c>
      <x:c r="J153" s="28" t="n">
        <x:f>ROUND(H153*I153,-MAX(0,INT(LOG10(H153*I153))-1))</x:f>
        <x:v>9600000</x:v>
      </x:c>
      <x:c r="K153" s="28" t="n">
        <x:v>4700</x:v>
      </x:c>
      <x:c r="L153" s="28" t="n">
        <x:v>6400</x:v>
      </x:c>
      <x:c r="M153" s="28" t="n">
        <x:v>1700</x:v>
      </x:c>
      <x:c r="N153" s="28" t="n">
        <x:v>1400</x:v>
      </x:c>
      <x:c r="O153" s="28" t="n">
        <x:v>92</x:v>
      </x:c>
      <x:c r="P153" s="28" t="n">
        <x:v>240</x:v>
      </x:c>
      <x:c r="Q153" s="28" t="n">
        <x:v>1600</x:v>
      </x:c>
      <x:c r="R153" s="22"/>
      <x:c r="S153" s="22"/>
      <x:c r="T153" s="22" t="str">
        <x:v>32位有符号内</x:v>
      </x:c>
    </x:row>
    <x:row r="154" ht="24" customHeight="1">
      <x:c r="A154" s="22" t="str">
        <x:v>C03-M053</x:v>
      </x:c>
      <x:c r="B154" s="22" t="n">
        <x:v>3</x:v>
      </x:c>
      <x:c r="C154" s="22" t="str">
        <x:v>风蚀古垒</x:v>
      </x:c>
      <x:c r="D154" s="22" t="str">
        <x:v>普通</x:v>
      </x:c>
      <x:c r="E154" s="22" t="str">
        <x:v>边墙猎犬</x:v>
      </x:c>
      <x:c r="F154" s="22" t="str">
        <x:v>XX517</x:v>
      </x:c>
      <x:c r="G154" s="22" t="str">
        <x:v>P0082</x:v>
      </x:c>
      <x:c r="H154" s="22" t="n">
        <x:v>9.2</x:v>
      </x:c>
      <x:c r="I154" s="28" t="n">
        <x:v>1201445.9423497617</x:v>
      </x:c>
      <x:c r="J154" s="28" t="n">
        <x:f>ROUND(H154*I154,-MAX(0,INT(LOG10(H154*I154))-1))</x:f>
        <x:v>11000000</x:v>
      </x:c>
      <x:c r="K154" s="28" t="n">
        <x:v>4600</x:v>
      </x:c>
      <x:c r="L154" s="28" t="n">
        <x:v>6300</x:v>
      </x:c>
      <x:c r="M154" s="28" t="n">
        <x:v>1700</x:v>
      </x:c>
      <x:c r="N154" s="28" t="n">
        <x:v>1400</x:v>
      </x:c>
      <x:c r="O154" s="28" t="n">
        <x:v>92</x:v>
      </x:c>
      <x:c r="P154" s="28" t="n">
        <x:v>240</x:v>
      </x:c>
      <x:c r="Q154" s="28" t="n">
        <x:v>1600</x:v>
      </x:c>
      <x:c r="R154" s="22"/>
      <x:c r="S154" s="22"/>
      <x:c r="T154" s="22" t="str">
        <x:v>32位有符号内</x:v>
      </x:c>
    </x:row>
    <x:row r="155" ht="24" customHeight="1">
      <x:c r="A155" s="22" t="str">
        <x:v>C03-M054</x:v>
      </x:c>
      <x:c r="B155" s="22" t="n">
        <x:v>3</x:v>
      </x:c>
      <x:c r="C155" s="22" t="str">
        <x:v>风蚀古垒</x:v>
      </x:c>
      <x:c r="D155" s="22" t="str">
        <x:v>普通</x:v>
      </x:c>
      <x:c r="E155" s="22" t="str">
        <x:v>铜门守卒</x:v>
      </x:c>
      <x:c r="F155" s="22" t="str">
        <x:v>XX516</x:v>
      </x:c>
      <x:c r="G155" s="22" t="str">
        <x:v>P0082</x:v>
      </x:c>
      <x:c r="H155" s="22" t="n">
        <x:v>7.2</x:v>
      </x:c>
      <x:c r="I155" s="28" t="n">
        <x:v>1201445.9423497617</x:v>
      </x:c>
      <x:c r="J155" s="28" t="n">
        <x:f>ROUND(H155*I155,-MAX(0,INT(LOG10(H155*I155))-1))</x:f>
        <x:v>8700000</x:v>
      </x:c>
      <x:c r="K155" s="28" t="n">
        <x:v>4700</x:v>
      </x:c>
      <x:c r="L155" s="28" t="n">
        <x:v>6400</x:v>
      </x:c>
      <x:c r="M155" s="28" t="n">
        <x:v>1700</x:v>
      </x:c>
      <x:c r="N155" s="28" t="n">
        <x:v>1400</x:v>
      </x:c>
      <x:c r="O155" s="28" t="n">
        <x:v>92</x:v>
      </x:c>
      <x:c r="P155" s="28" t="n">
        <x:v>240</x:v>
      </x:c>
      <x:c r="Q155" s="28" t="n">
        <x:v>1600</x:v>
      </x:c>
      <x:c r="R155" s="22"/>
      <x:c r="S155" s="22"/>
      <x:c r="T155" s="22" t="str">
        <x:v>32位有符号内</x:v>
      </x:c>
    </x:row>
    <x:row r="156" ht="24" customHeight="1">
      <x:c r="A156" s="22" t="str">
        <x:v>C03-M055</x:v>
      </x:c>
      <x:c r="B156" s="22" t="n">
        <x:v>3</x:v>
      </x:c>
      <x:c r="C156" s="22" t="str">
        <x:v>风蚀古垒</x:v>
      </x:c>
      <x:c r="D156" s="22" t="str">
        <x:v>稀有</x:v>
      </x:c>
      <x:c r="E156" s="22" t="str">
        <x:v>古垒百夫长</x:v>
      </x:c>
      <x:c r="F156" s="22" t="str">
        <x:v>XX518</x:v>
      </x:c>
      <x:c r="G156" s="22" t="str">
        <x:v>P0082</x:v>
      </x:c>
      <x:c r="H156" s="22" t="n">
        <x:v>22.799999999999997</x:v>
      </x:c>
      <x:c r="I156" s="28" t="n">
        <x:v>1124752.7682012576</x:v>
      </x:c>
      <x:c r="J156" s="28" t="n">
        <x:f>ROUND(H156*I156,-MAX(0,INT(LOG10(H156*I156))-1))</x:f>
        <x:v>26000000</x:v>
      </x:c>
      <x:c r="K156" s="28" t="n">
        <x:v>11000</x:v>
      </x:c>
      <x:c r="L156" s="28" t="n">
        <x:v>15000</x:v>
      </x:c>
      <x:c r="M156" s="28" t="n">
        <x:v>3400</x:v>
      </x:c>
      <x:c r="N156" s="28" t="n">
        <x:v>2900</x:v>
      </x:c>
      <x:c r="O156" s="28" t="n">
        <x:v>92</x:v>
      </x:c>
      <x:c r="P156" s="28" t="n">
        <x:v>720</x:v>
      </x:c>
      <x:c r="Q156" s="28" t="n">
        <x:v>1700</x:v>
      </x:c>
      <x:c r="R156" s="22"/>
      <x:c r="S156" s="22"/>
      <x:c r="T156" s="22" t="str">
        <x:v>32位有符号内</x:v>
      </x:c>
    </x:row>
    <x:row r="157" ht="24" customHeight="1">
      <x:c r="A157" s="22" t="str">
        <x:v>C03-M056</x:v>
      </x:c>
      <x:c r="B157" s="22" t="n">
        <x:v>3</x:v>
      </x:c>
      <x:c r="C157" s="22" t="str">
        <x:v>风蚀古垒</x:v>
      </x:c>
      <x:c r="D157" s="22" t="str">
        <x:v>稀有</x:v>
      </x:c>
      <x:c r="E157" s="22" t="str">
        <x:v>风蚀刑官</x:v>
      </x:c>
      <x:c r="F157" s="22" t="str">
        <x:v>XX517</x:v>
      </x:c>
      <x:c r="G157" s="22" t="str">
        <x:v>P0082</x:v>
      </x:c>
      <x:c r="H157" s="22" t="n">
        <x:v>27.599999999999998</x:v>
      </x:c>
      <x:c r="I157" s="28" t="n">
        <x:v>1124752.7682012576</x:v>
      </x:c>
      <x:c r="J157" s="28" t="n">
        <x:f>ROUND(H157*I157,-MAX(0,INT(LOG10(H157*I157))-1))</x:f>
        <x:v>31000000</x:v>
      </x:c>
      <x:c r="K157" s="28" t="n">
        <x:v>10000</x:v>
      </x:c>
      <x:c r="L157" s="28" t="n">
        <x:v>14000</x:v>
      </x:c>
      <x:c r="M157" s="28" t="n">
        <x:v>3400</x:v>
      </x:c>
      <x:c r="N157" s="28" t="n">
        <x:v>2900</x:v>
      </x:c>
      <x:c r="O157" s="28" t="n">
        <x:v>92</x:v>
      </x:c>
      <x:c r="P157" s="28" t="n">
        <x:v>720</x:v>
      </x:c>
      <x:c r="Q157" s="28" t="n">
        <x:v>1700</x:v>
      </x:c>
      <x:c r="R157" s="22"/>
      <x:c r="S157" s="22"/>
      <x:c r="T157" s="22" t="str">
        <x:v>32位有符号内</x:v>
      </x:c>
    </x:row>
    <x:row r="158" ht="24" customHeight="1">
      <x:c r="A158" s="22" t="str">
        <x:v>C03-M057</x:v>
      </x:c>
      <x:c r="B158" s="22" t="n">
        <x:v>3</x:v>
      </x:c>
      <x:c r="C158" s="22" t="str">
        <x:v>风蚀古垒</x:v>
      </x:c>
      <x:c r="D158" s="22" t="str">
        <x:v>稀有</x:v>
      </x:c>
      <x:c r="E158" s="22" t="str">
        <x:v>地宫镇魂者</x:v>
      </x:c>
      <x:c r="F158" s="22" t="str">
        <x:v>XX516</x:v>
      </x:c>
      <x:c r="G158" s="22" t="str">
        <x:v>P0082</x:v>
      </x:c>
      <x:c r="H158" s="22" t="n">
        <x:v>22.799999999999997</x:v>
      </x:c>
      <x:c r="I158" s="28" t="n">
        <x:v>1124752.7682012576</x:v>
      </x:c>
      <x:c r="J158" s="28" t="n">
        <x:f>ROUND(H158*I158,-MAX(0,INT(LOG10(H158*I158))-1))</x:f>
        <x:v>26000000</x:v>
      </x:c>
      <x:c r="K158" s="28" t="n">
        <x:v>11000</x:v>
      </x:c>
      <x:c r="L158" s="28" t="n">
        <x:v>15000</x:v>
      </x:c>
      <x:c r="M158" s="28" t="n">
        <x:v>3400</x:v>
      </x:c>
      <x:c r="N158" s="28" t="n">
        <x:v>2900</x:v>
      </x:c>
      <x:c r="O158" s="28" t="n">
        <x:v>92</x:v>
      </x:c>
      <x:c r="P158" s="28" t="n">
        <x:v>720</x:v>
      </x:c>
      <x:c r="Q158" s="28" t="n">
        <x:v>1700</x:v>
      </x:c>
      <x:c r="R158" s="22"/>
      <x:c r="S158" s="22"/>
      <x:c r="T158" s="22" t="str">
        <x:v>32位有符号内</x:v>
      </x:c>
    </x:row>
    <x:row r="159" ht="24" customHeight="1">
      <x:c r="A159" s="22" t="str">
        <x:v>C03-M058</x:v>
      </x:c>
      <x:c r="B159" s="22" t="n">
        <x:v>3</x:v>
      </x:c>
      <x:c r="C159" s="22" t="str">
        <x:v>风蚀古垒</x:v>
      </x:c>
      <x:c r="D159" s="22" t="str">
        <x:v>稀有</x:v>
      </x:c>
      <x:c r="E159" s="22" t="str">
        <x:v>边境铜像</x:v>
      </x:c>
      <x:c r="F159" s="22" t="str">
        <x:v>XX516</x:v>
      </x:c>
      <x:c r="G159" s="22" t="str">
        <x:v>P0082</x:v>
      </x:c>
      <x:c r="H159" s="22" t="n">
        <x:v>27.599999999999998</x:v>
      </x:c>
      <x:c r="I159" s="28" t="n">
        <x:v>1124752.7682012576</x:v>
      </x:c>
      <x:c r="J159" s="28" t="n">
        <x:f>ROUND(H159*I159,-MAX(0,INT(LOG10(H159*I159))-1))</x:f>
        <x:v>31000000</x:v>
      </x:c>
      <x:c r="K159" s="28" t="n">
        <x:v>10000</x:v>
      </x:c>
      <x:c r="L159" s="28" t="n">
        <x:v>14000</x:v>
      </x:c>
      <x:c r="M159" s="28" t="n">
        <x:v>3400</x:v>
      </x:c>
      <x:c r="N159" s="28" t="n">
        <x:v>2900</x:v>
      </x:c>
      <x:c r="O159" s="28" t="n">
        <x:v>92</x:v>
      </x:c>
      <x:c r="P159" s="28" t="n">
        <x:v>720</x:v>
      </x:c>
      <x:c r="Q159" s="28" t="n">
        <x:v>1700</x:v>
      </x:c>
      <x:c r="R159" s="22"/>
      <x:c r="S159" s="22"/>
      <x:c r="T159" s="22" t="str">
        <x:v>32位有符号内</x:v>
      </x:c>
    </x:row>
    <x:row r="160" ht="24" customHeight="1">
      <x:c r="A160" s="22" t="str">
        <x:v>C03-M059</x:v>
      </x:c>
      <x:c r="B160" s="22" t="n">
        <x:v>3</x:v>
      </x:c>
      <x:c r="C160" s="22" t="str">
        <x:v>风蚀古垒</x:v>
      </x:c>
      <x:c r="D160" s="22" t="str">
        <x:v>地图BOSS</x:v>
      </x:c>
      <x:c r="E160" s="22" t="str">
        <x:v>无归守将·布兰</x:v>
      </x:c>
      <x:c r="F160" s="22" t="str">
        <x:v>XX517</x:v>
      </x:c>
      <x:c r="G160" s="22" t="str">
        <x:v>P0089</x:v>
      </x:c>
      <x:c r="H160" s="22" t="n">
        <x:v>67.5</x:v>
      </x:c>
      <x:c r="I160" s="28" t="n">
        <x:v>2085544.1299392637</x:v>
      </x:c>
      <x:c r="J160" s="28" t="n">
        <x:f>ROUND(H160*I160,-MAX(0,INT(LOG10(H160*I160))-1))</x:f>
        <x:v>140000000</x:v>
      </x:c>
      <x:c r="K160" s="28" t="n">
        <x:v>16000</x:v>
      </x:c>
      <x:c r="L160" s="28" t="n">
        <x:v>21000</x:v>
      </x:c>
      <x:c r="M160" s="28" t="n">
        <x:v>5700</x:v>
      </x:c>
      <x:c r="N160" s="28" t="n">
        <x:v>4800</x:v>
      </x:c>
      <x:c r="O160" s="28" t="n">
        <x:v>92</x:v>
      </x:c>
      <x:c r="P160" s="28" t="n">
        <x:v>2900</x:v>
      </x:c>
      <x:c r="Q160" s="28" t="n">
        <x:v>1800</x:v>
      </x:c>
      <x:c r="R160" s="22"/>
      <x:c r="S160" s="22"/>
      <x:c r="T160" s="22" t="str">
        <x:v>32位有符号内</x:v>
      </x:c>
    </x:row>
    <x:row r="161" ht="24" customHeight="1">
      <x:c r="A161" s="22" t="str">
        <x:v>C03-M060</x:v>
      </x:c>
      <x:c r="B161" s="22" t="n">
        <x:v>3</x:v>
      </x:c>
      <x:c r="C161" s="22" t="str">
        <x:v>风蚀古垒</x:v>
      </x:c>
      <x:c r="D161" s="22" t="str">
        <x:v>地图BOSS</x:v>
      </x:c>
      <x:c r="E161" s="22" t="str">
        <x:v>古垒石王·迦姆</x:v>
      </x:c>
      <x:c r="F161" s="22" t="str">
        <x:v>XX516</x:v>
      </x:c>
      <x:c r="G161" s="22" t="str">
        <x:v>P0090</x:v>
      </x:c>
      <x:c r="H161" s="22" t="n">
        <x:v>75</x:v>
      </x:c>
      <x:c r="I161" s="28" t="n">
        <x:v>2085544.1299392637</x:v>
      </x:c>
      <x:c r="J161" s="28" t="n">
        <x:f>ROUND(H161*I161,-MAX(0,INT(LOG10(H161*I161))-1))</x:f>
        <x:v>160000000</x:v>
      </x:c>
      <x:c r="K161" s="28" t="n">
        <x:v>15000</x:v>
      </x:c>
      <x:c r="L161" s="28" t="n">
        <x:v>20000</x:v>
      </x:c>
      <x:c r="M161" s="28" t="n">
        <x:v>5700</x:v>
      </x:c>
      <x:c r="N161" s="28" t="n">
        <x:v>4800</x:v>
      </x:c>
      <x:c r="O161" s="28" t="n">
        <x:v>92</x:v>
      </x:c>
      <x:c r="P161" s="28" t="n">
        <x:v>2900</x:v>
      </x:c>
      <x:c r="Q161" s="28" t="n">
        <x:v>1800</x:v>
      </x:c>
      <x:c r="R161" s="22"/>
      <x:c r="S161" s="22"/>
      <x:c r="T161" s="22" t="str">
        <x:v>32位有符号内</x:v>
      </x:c>
    </x:row>
    <x:row r="162" ht="24" customHeight="1">
      <x:c r="A162" s="22" t="str">
        <x:v>C03-M061</x:v>
      </x:c>
      <x:c r="B162" s="22" t="n">
        <x:v>3</x:v>
      </x:c>
      <x:c r="C162" s="22" t="str">
        <x:v>黄金树哨垒</x:v>
      </x:c>
      <x:c r="D162" s="22" t="str">
        <x:v>普通</x:v>
      </x:c>
      <x:c r="E162" s="22" t="str">
        <x:v>金叶哨兵</x:v>
      </x:c>
      <x:c r="F162" s="22" t="str">
        <x:v>XX140</x:v>
      </x:c>
      <x:c r="G162" s="22" t="str">
        <x:v>P0088</x:v>
      </x:c>
      <x:c r="H162" s="22" t="n">
        <x:v>7.6</x:v>
      </x:c>
      <x:c r="I162" s="28" t="n">
        <x:v>1275579.8201632982</x:v>
      </x:c>
      <x:c r="J162" s="28" t="n">
        <x:f>ROUND(H162*I162,-MAX(0,INT(LOG10(H162*I162))-1))</x:f>
        <x:v>9700000</x:v>
      </x:c>
      <x:c r="K162" s="28" t="n">
        <x:v>3900</x:v>
      </x:c>
      <x:c r="L162" s="28" t="n">
        <x:v>5300</x:v>
      </x:c>
      <x:c r="M162" s="28" t="n">
        <x:v>1800</x:v>
      </x:c>
      <x:c r="N162" s="28" t="n">
        <x:v>1500</x:v>
      </x:c>
      <x:c r="O162" s="28" t="n">
        <x:v>95</x:v>
      </x:c>
      <x:c r="P162" s="28" t="n">
        <x:v>260</x:v>
      </x:c>
      <x:c r="Q162" s="28" t="n">
        <x:v>1600</x:v>
      </x:c>
      <x:c r="R162" s="22"/>
      <x:c r="S162" s="22"/>
      <x:c r="T162" s="22" t="str">
        <x:v>32位有符号内</x:v>
      </x:c>
    </x:row>
    <x:row r="163" ht="24" customHeight="1">
      <x:c r="A163" s="22" t="str">
        <x:v>C03-M062</x:v>
      </x:c>
      <x:c r="B163" s="22" t="n">
        <x:v>3</x:v>
      </x:c>
      <x:c r="C163" s="22" t="str">
        <x:v>黄金树哨垒</x:v>
      </x:c>
      <x:c r="D163" s="22" t="str">
        <x:v>普通</x:v>
      </x:c>
      <x:c r="E163" s="22" t="str">
        <x:v>王树弩卫</x:v>
      </x:c>
      <x:c r="F163" s="22" t="str">
        <x:v>XX140</x:v>
      </x:c>
      <x:c r="G163" s="22" t="str">
        <x:v>P0088</x:v>
      </x:c>
      <x:c r="H163" s="22" t="n">
        <x:v>8</x:v>
      </x:c>
      <x:c r="I163" s="28" t="n">
        <x:v>1275579.8201632982</x:v>
      </x:c>
      <x:c r="J163" s="28" t="n">
        <x:f>ROUND(H163*I163,-MAX(0,INT(LOG10(H163*I163))-1))</x:f>
        <x:v>10000000</x:v>
      </x:c>
      <x:c r="K163" s="28" t="n">
        <x:v>3900</x:v>
      </x:c>
      <x:c r="L163" s="28" t="n">
        <x:v>5300</x:v>
      </x:c>
      <x:c r="M163" s="28" t="n">
        <x:v>1800</x:v>
      </x:c>
      <x:c r="N163" s="28" t="n">
        <x:v>1500</x:v>
      </x:c>
      <x:c r="O163" s="28" t="n">
        <x:v>95</x:v>
      </x:c>
      <x:c r="P163" s="28" t="n">
        <x:v>260</x:v>
      </x:c>
      <x:c r="Q163" s="28" t="n">
        <x:v>1600</x:v>
      </x:c>
      <x:c r="R163" s="22"/>
      <x:c r="S163" s="22"/>
      <x:c r="T163" s="22" t="str">
        <x:v>32位有符号内</x:v>
      </x:c>
    </x:row>
    <x:row r="164" ht="24" customHeight="1">
      <x:c r="A164" s="22" t="str">
        <x:v>C03-M063</x:v>
      </x:c>
      <x:c r="B164" s="22" t="n">
        <x:v>3</x:v>
      </x:c>
      <x:c r="C164" s="22" t="str">
        <x:v>黄金树哨垒</x:v>
      </x:c>
      <x:c r="D164" s="22" t="str">
        <x:v>普通</x:v>
      </x:c>
      <x:c r="E164" s="22" t="str">
        <x:v>圣露侍从</x:v>
      </x:c>
      <x:c r="F164" s="22" t="str">
        <x:v>XX136</x:v>
      </x:c>
      <x:c r="G164" s="22" t="str">
        <x:v>P0088</x:v>
      </x:c>
      <x:c r="H164" s="22" t="n">
        <x:v>9.2</x:v>
      </x:c>
      <x:c r="I164" s="28" t="n">
        <x:v>1275579.8201632982</x:v>
      </x:c>
      <x:c r="J164" s="28" t="n">
        <x:f>ROUND(H164*I164,-MAX(0,INT(LOG10(H164*I164))-1))</x:f>
        <x:v>12000000</x:v>
      </x:c>
      <x:c r="K164" s="28" t="n">
        <x:v>3800</x:v>
      </x:c>
      <x:c r="L164" s="28" t="n">
        <x:v>5100</x:v>
      </x:c>
      <x:c r="M164" s="28" t="n">
        <x:v>1800</x:v>
      </x:c>
      <x:c r="N164" s="28" t="n">
        <x:v>1500</x:v>
      </x:c>
      <x:c r="O164" s="28" t="n">
        <x:v>95</x:v>
      </x:c>
      <x:c r="P164" s="28" t="n">
        <x:v>260</x:v>
      </x:c>
      <x:c r="Q164" s="28" t="n">
        <x:v>1600</x:v>
      </x:c>
      <x:c r="R164" s="22"/>
      <x:c r="S164" s="22"/>
      <x:c r="T164" s="22" t="str">
        <x:v>32位有符号内</x:v>
      </x:c>
    </x:row>
    <x:row r="165" ht="24" customHeight="1">
      <x:c r="A165" s="22" t="str">
        <x:v>C03-M064</x:v>
      </x:c>
      <x:c r="B165" s="22" t="n">
        <x:v>3</x:v>
      </x:c>
      <x:c r="C165" s="22" t="str">
        <x:v>黄金树哨垒</x:v>
      </x:c>
      <x:c r="D165" s="22" t="str">
        <x:v>普通</x:v>
      </x:c>
      <x:c r="E165" s="22" t="str">
        <x:v>镀金战鹰</x:v>
      </x:c>
      <x:c r="F165" s="22" t="str">
        <x:v>XX136</x:v>
      </x:c>
      <x:c r="G165" s="22" t="str">
        <x:v>P0088</x:v>
      </x:c>
      <x:c r="H165" s="22" t="n">
        <x:v>8</x:v>
      </x:c>
      <x:c r="I165" s="28" t="n">
        <x:v>1275579.8201632982</x:v>
      </x:c>
      <x:c r="J165" s="28" t="n">
        <x:f>ROUND(H165*I165,-MAX(0,INT(LOG10(H165*I165))-1))</x:f>
        <x:v>10000000</x:v>
      </x:c>
      <x:c r="K165" s="28" t="n">
        <x:v>3900</x:v>
      </x:c>
      <x:c r="L165" s="28" t="n">
        <x:v>5300</x:v>
      </x:c>
      <x:c r="M165" s="28" t="n">
        <x:v>1800</x:v>
      </x:c>
      <x:c r="N165" s="28" t="n">
        <x:v>1500</x:v>
      </x:c>
      <x:c r="O165" s="28" t="n">
        <x:v>95</x:v>
      </x:c>
      <x:c r="P165" s="28" t="n">
        <x:v>260</x:v>
      </x:c>
      <x:c r="Q165" s="28" t="n">
        <x:v>1600</x:v>
      </x:c>
      <x:c r="R165" s="22"/>
      <x:c r="S165" s="22"/>
      <x:c r="T165" s="22" t="str">
        <x:v>32位有符号内</x:v>
      </x:c>
    </x:row>
    <x:row r="166" ht="24" customHeight="1">
      <x:c r="A166" s="22" t="str">
        <x:v>C03-M065</x:v>
      </x:c>
      <x:c r="B166" s="22" t="n">
        <x:v>3</x:v>
      </x:c>
      <x:c r="C166" s="22" t="str">
        <x:v>黄金树哨垒</x:v>
      </x:c>
      <x:c r="D166" s="22" t="str">
        <x:v>普通</x:v>
      </x:c>
      <x:c r="E166" s="22" t="str">
        <x:v>赐福骑兵</x:v>
      </x:c>
      <x:c r="F166" s="22" t="str">
        <x:v>XX169</x:v>
      </x:c>
      <x:c r="G166" s="22" t="str">
        <x:v>P0088</x:v>
      </x:c>
      <x:c r="H166" s="22" t="n">
        <x:v>8.8</x:v>
      </x:c>
      <x:c r="I166" s="28" t="n">
        <x:v>1275579.8201632982</x:v>
      </x:c>
      <x:c r="J166" s="28" t="n">
        <x:f>ROUND(H166*I166,-MAX(0,INT(LOG10(H166*I166))-1))</x:f>
        <x:v>11000000</x:v>
      </x:c>
      <x:c r="K166" s="28" t="n">
        <x:v>2000</x:v>
      </x:c>
      <x:c r="L166" s="28" t="n">
        <x:v>2600</x:v>
      </x:c>
      <x:c r="M166" s="28" t="n">
        <x:v>1800</x:v>
      </x:c>
      <x:c r="N166" s="28" t="n">
        <x:v>1500</x:v>
      </x:c>
      <x:c r="O166" s="28" t="n">
        <x:v>95</x:v>
      </x:c>
      <x:c r="P166" s="28" t="n">
        <x:v>260</x:v>
      </x:c>
      <x:c r="Q166" s="28" t="n">
        <x:v>1600</x:v>
      </x:c>
      <x:c r="R166" s="22"/>
      <x:c r="S166" s="22"/>
      <x:c r="T166" s="22" t="str">
        <x:v>32位有符号内</x:v>
      </x:c>
    </x:row>
    <x:row r="167" ht="24" customHeight="1">
      <x:c r="A167" s="22" t="str">
        <x:v>C03-M066</x:v>
      </x:c>
      <x:c r="B167" s="22" t="n">
        <x:v>3</x:v>
      </x:c>
      <x:c r="C167" s="22" t="str">
        <x:v>黄金树哨垒</x:v>
      </x:c>
      <x:c r="D167" s="22" t="str">
        <x:v>普通</x:v>
      </x:c>
      <x:c r="E167" s="22" t="str">
        <x:v>哨垒执炬者</x:v>
      </x:c>
      <x:c r="F167" s="22" t="str">
        <x:v>XX169</x:v>
      </x:c>
      <x:c r="G167" s="22" t="str">
        <x:v>P0088</x:v>
      </x:c>
      <x:c r="H167" s="22" t="n">
        <x:v>7.6</x:v>
      </x:c>
      <x:c r="I167" s="28" t="n">
        <x:v>1275579.8201632982</x:v>
      </x:c>
      <x:c r="J167" s="28" t="n">
        <x:f>ROUND(H167*I167,-MAX(0,INT(LOG10(H167*I167))-1))</x:f>
        <x:v>9700000</x:v>
      </x:c>
      <x:c r="K167" s="28" t="n">
        <x:v>2100</x:v>
      </x:c>
      <x:c r="L167" s="28" t="n">
        <x:v>2800</x:v>
      </x:c>
      <x:c r="M167" s="28" t="n">
        <x:v>1800</x:v>
      </x:c>
      <x:c r="N167" s="28" t="n">
        <x:v>1500</x:v>
      </x:c>
      <x:c r="O167" s="28" t="n">
        <x:v>95</x:v>
      </x:c>
      <x:c r="P167" s="28" t="n">
        <x:v>260</x:v>
      </x:c>
      <x:c r="Q167" s="28" t="n">
        <x:v>1600</x:v>
      </x:c>
      <x:c r="R167" s="22"/>
      <x:c r="S167" s="22"/>
      <x:c r="T167" s="22" t="str">
        <x:v>32位有符号内</x:v>
      </x:c>
    </x:row>
    <x:row r="168" ht="24" customHeight="1">
      <x:c r="A168" s="22" t="str">
        <x:v>C03-M067</x:v>
      </x:c>
      <x:c r="B168" s="22" t="n">
        <x:v>3</x:v>
      </x:c>
      <x:c r="C168" s="22" t="str">
        <x:v>黄金树哨垒</x:v>
      </x:c>
      <x:c r="D168" s="22" t="str">
        <x:v>稀有</x:v>
      </x:c>
      <x:c r="E168" s="22" t="str">
        <x:v>黄金树旗卫</x:v>
      </x:c>
      <x:c r="F168" s="22" t="str">
        <x:v>XX140</x:v>
      </x:c>
      <x:c r="G168" s="22" t="str">
        <x:v>P0088</x:v>
      </x:c>
      <x:c r="H168" s="22" t="n">
        <x:v>22.799999999999997</x:v>
      </x:c>
      <x:c r="I168" s="28" t="n">
        <x:v>1194375.282829588</x:v>
      </x:c>
      <x:c r="J168" s="28" t="n">
        <x:f>ROUND(H168*I168,-MAX(0,INT(LOG10(H168*I168))-1))</x:f>
        <x:v>27000000</x:v>
      </x:c>
      <x:c r="K168" s="28" t="n">
        <x:v>9200</x:v>
      </x:c>
      <x:c r="L168" s="28" t="n">
        <x:v>12000</x:v>
      </x:c>
      <x:c r="M168" s="28" t="n">
        <x:v>3600</x:v>
      </x:c>
      <x:c r="N168" s="28" t="n">
        <x:v>3100</x:v>
      </x:c>
      <x:c r="O168" s="28" t="n">
        <x:v>95</x:v>
      </x:c>
      <x:c r="P168" s="28" t="n">
        <x:v>760</x:v>
      </x:c>
      <x:c r="Q168" s="28" t="n">
        <x:v>1700</x:v>
      </x:c>
      <x:c r="R168" s="22"/>
      <x:c r="S168" s="22"/>
      <x:c r="T168" s="22" t="str">
        <x:v>32位有符号内</x:v>
      </x:c>
    </x:row>
    <x:row r="169" ht="24" customHeight="1">
      <x:c r="A169" s="22" t="str">
        <x:v>C03-M068</x:v>
      </x:c>
      <x:c r="B169" s="22" t="n">
        <x:v>3</x:v>
      </x:c>
      <x:c r="C169" s="22" t="str">
        <x:v>黄金树哨垒</x:v>
      </x:c>
      <x:c r="D169" s="22" t="str">
        <x:v>稀有</x:v>
      </x:c>
      <x:c r="E169" s="22" t="str">
        <x:v>圣律监军</x:v>
      </x:c>
      <x:c r="F169" s="22" t="str">
        <x:v>XX136</x:v>
      </x:c>
      <x:c r="G169" s="22" t="str">
        <x:v>P0088</x:v>
      </x:c>
      <x:c r="H169" s="22" t="n">
        <x:v>27.599999999999998</x:v>
      </x:c>
      <x:c r="I169" s="28" t="n">
        <x:v>1194375.282829588</x:v>
      </x:c>
      <x:c r="J169" s="28" t="n">
        <x:f>ROUND(H169*I169,-MAX(0,INT(LOG10(H169*I169))-1))</x:f>
        <x:v>33000000</x:v>
      </x:c>
      <x:c r="K169" s="28" t="n">
        <x:v>8500</x:v>
      </x:c>
      <x:c r="L169" s="28" t="n">
        <x:v>12000</x:v>
      </x:c>
      <x:c r="M169" s="28" t="n">
        <x:v>3600</x:v>
      </x:c>
      <x:c r="N169" s="28" t="n">
        <x:v>3100</x:v>
      </x:c>
      <x:c r="O169" s="28" t="n">
        <x:v>95</x:v>
      </x:c>
      <x:c r="P169" s="28" t="n">
        <x:v>760</x:v>
      </x:c>
      <x:c r="Q169" s="28" t="n">
        <x:v>1700</x:v>
      </x:c>
      <x:c r="R169" s="22"/>
      <x:c r="S169" s="22"/>
      <x:c r="T169" s="22" t="str">
        <x:v>32位有符号内</x:v>
      </x:c>
    </x:row>
    <x:row r="170" ht="24" customHeight="1">
      <x:c r="A170" s="22" t="str">
        <x:v>C03-M069</x:v>
      </x:c>
      <x:c r="B170" s="22" t="n">
        <x:v>3</x:v>
      </x:c>
      <x:c r="C170" s="22" t="str">
        <x:v>黄金树哨垒</x:v>
      </x:c>
      <x:c r="D170" s="22" t="str">
        <x:v>稀有</x:v>
      </x:c>
      <x:c r="E170" s="22" t="str">
        <x:v>赐福守门人</x:v>
      </x:c>
      <x:c r="F170" s="22" t="str">
        <x:v>XX169</x:v>
      </x:c>
      <x:c r="G170" s="22" t="str">
        <x:v>P0088</x:v>
      </x:c>
      <x:c r="H170" s="22" t="n">
        <x:v>22.799999999999997</x:v>
      </x:c>
      <x:c r="I170" s="28" t="n">
        <x:v>1194375.282829588</x:v>
      </x:c>
      <x:c r="J170" s="28" t="n">
        <x:f>ROUND(H170*I170,-MAX(0,INT(LOG10(H170*I170))-1))</x:f>
        <x:v>27000000</x:v>
      </x:c>
      <x:c r="K170" s="28" t="n">
        <x:v>4400</x:v>
      </x:c>
      <x:c r="L170" s="28" t="n">
        <x:v>6000</x:v>
      </x:c>
      <x:c r="M170" s="28" t="n">
        <x:v>3600</x:v>
      </x:c>
      <x:c r="N170" s="28" t="n">
        <x:v>3100</x:v>
      </x:c>
      <x:c r="O170" s="28" t="n">
        <x:v>95</x:v>
      </x:c>
      <x:c r="P170" s="28" t="n">
        <x:v>760</x:v>
      </x:c>
      <x:c r="Q170" s="28" t="n">
        <x:v>1700</x:v>
      </x:c>
      <x:c r="R170" s="22"/>
      <x:c r="S170" s="22"/>
      <x:c r="T170" s="22" t="str">
        <x:v>32位有符号内</x:v>
      </x:c>
    </x:row>
    <x:row r="171" ht="24" customHeight="1">
      <x:c r="A171" s="22" t="str">
        <x:v>C03-M070</x:v>
      </x:c>
      <x:c r="B171" s="22" t="n">
        <x:v>3</x:v>
      </x:c>
      <x:c r="C171" s="22" t="str">
        <x:v>黄金树哨垒</x:v>
      </x:c>
      <x:c r="D171" s="22" t="str">
        <x:v>稀有</x:v>
      </x:c>
      <x:c r="E171" s="22" t="str">
        <x:v>哨垒祷告师</x:v>
      </x:c>
      <x:c r="F171" s="22" t="str">
        <x:v>XX169</x:v>
      </x:c>
      <x:c r="G171" s="22" t="str">
        <x:v>P0088</x:v>
      </x:c>
      <x:c r="H171" s="22" t="n">
        <x:v>27.599999999999998</x:v>
      </x:c>
      <x:c r="I171" s="28" t="n">
        <x:v>1194375.282829588</x:v>
      </x:c>
      <x:c r="J171" s="28" t="n">
        <x:f>ROUND(H171*I171,-MAX(0,INT(LOG10(H171*I171))-1))</x:f>
        <x:v>33000000</x:v>
      </x:c>
      <x:c r="K171" s="28" t="n">
        <x:v>4200</x:v>
      </x:c>
      <x:c r="L171" s="28" t="n">
        <x:v>5600</x:v>
      </x:c>
      <x:c r="M171" s="28" t="n">
        <x:v>3600</x:v>
      </x:c>
      <x:c r="N171" s="28" t="n">
        <x:v>3100</x:v>
      </x:c>
      <x:c r="O171" s="28" t="n">
        <x:v>95</x:v>
      </x:c>
      <x:c r="P171" s="28" t="n">
        <x:v>760</x:v>
      </x:c>
      <x:c r="Q171" s="28" t="n">
        <x:v>1700</x:v>
      </x:c>
      <x:c r="R171" s="22"/>
      <x:c r="S171" s="22"/>
      <x:c r="T171" s="22" t="str">
        <x:v>32位有符号内</x:v>
      </x:c>
    </x:row>
    <x:row r="172" ht="24" customHeight="1">
      <x:c r="A172" s="22" t="str">
        <x:v>C03-M071</x:v>
      </x:c>
      <x:c r="B172" s="22" t="n">
        <x:v>3</x:v>
      </x:c>
      <x:c r="C172" s="22" t="str">
        <x:v>黄金树哨垒</x:v>
      </x:c>
      <x:c r="D172" s="22" t="str">
        <x:v>地图BOSS</x:v>
      </x:c>
      <x:c r="E172" s="22" t="str">
        <x:v>金叶统帅·艾德</x:v>
      </x:c>
      <x:c r="F172" s="22" t="str">
        <x:v>XX136</x:v>
      </x:c>
      <x:c r="G172" s="22" t="str">
        <x:v>P0095</x:v>
      </x:c>
      <x:c r="H172" s="22" t="n">
        <x:v>86.25</x:v>
      </x:c>
      <x:c r="I172" s="28" t="n">
        <x:v>2211873.17258845</x:v>
      </x:c>
      <x:c r="J172" s="28" t="n">
        <x:f>ROUND(H172*I172,-MAX(0,INT(LOG10(H172*I172))-1))</x:f>
        <x:v>190000000</x:v>
      </x:c>
      <x:c r="K172" s="28" t="n">
        <x:v>12000</x:v>
      </x:c>
      <x:c r="L172" s="28" t="n">
        <x:v>16000</x:v>
      </x:c>
      <x:c r="M172" s="28" t="n">
        <x:v>6100</x:v>
      </x:c>
      <x:c r="N172" s="28" t="n">
        <x:v>5200</x:v>
      </x:c>
      <x:c r="O172" s="28" t="n">
        <x:v>95</x:v>
      </x:c>
      <x:c r="P172" s="28" t="n">
        <x:v>3100</x:v>
      </x:c>
      <x:c r="Q172" s="28" t="n">
        <x:v>1800</x:v>
      </x:c>
      <x:c r="R172" s="22"/>
      <x:c r="S172" s="22"/>
      <x:c r="T172" s="22" t="str">
        <x:v>32位有符号内</x:v>
      </x:c>
    </x:row>
    <x:row r="173" ht="24" customHeight="1">
      <x:c r="A173" s="22" t="str">
        <x:v>C03-M072</x:v>
      </x:c>
      <x:c r="B173" s="22" t="n">
        <x:v>3</x:v>
      </x:c>
      <x:c r="C173" s="22" t="str">
        <x:v>黄金树哨垒</x:v>
      </x:c>
      <x:c r="D173" s="22" t="str">
        <x:v>地图BOSS</x:v>
      </x:c>
      <x:c r="E173" s="22" t="str">
        <x:v>黄金树化身·洛恩</x:v>
      </x:c>
      <x:c r="F173" s="22" t="str">
        <x:v>XX169</x:v>
      </x:c>
      <x:c r="G173" s="22" t="str">
        <x:v>P0096</x:v>
      </x:c>
      <x:c r="H173" s="22" t="n">
        <x:v>71.25</x:v>
      </x:c>
      <x:c r="I173" s="28" t="n">
        <x:v>1611130.7258363497</x:v>
      </x:c>
      <x:c r="J173" s="28" t="n">
        <x:f>ROUND(H173*I173,-MAX(0,INT(LOG10(H173*I173))-1))</x:f>
        <x:v>110000000</x:v>
      </x:c>
      <x:c r="K173" s="28" t="n">
        <x:v>6600</x:v>
      </x:c>
      <x:c r="L173" s="28" t="n">
        <x:v>9000</x:v>
      </x:c>
      <x:c r="M173" s="28" t="n">
        <x:v>6100</x:v>
      </x:c>
      <x:c r="N173" s="28" t="n">
        <x:v>5200</x:v>
      </x:c>
      <x:c r="O173" s="28" t="n">
        <x:v>95</x:v>
      </x:c>
      <x:c r="P173" s="28" t="n">
        <x:v>3100</x:v>
      </x:c>
      <x:c r="Q173" s="28" t="n">
        <x:v>1800</x:v>
      </x:c>
      <x:c r="R173" s="22"/>
      <x:c r="S173" s="22"/>
      <x:c r="T173" s="22" t="str">
        <x:v>32位有符号内</x:v>
      </x:c>
    </x:row>
    <x:row r="174" ht="24" customHeight="1">
      <x:c r="A174" s="22" t="str">
        <x:v>C03-M073</x:v>
      </x:c>
      <x:c r="B174" s="22" t="n">
        <x:v>3</x:v>
      </x:c>
      <x:c r="C174" s="22" t="str">
        <x:v>黄金树哨垒</x:v>
      </x:c>
      <x:c r="D174" s="22" t="str">
        <x:v>守关BOSS</x:v>
      </x:c>
      <x:c r="E174" s="22" t="str">
        <x:v>西境征服者·戈德里安</x:v>
      </x:c>
      <x:c r="F174" s="22" t="str">
        <x:v>XX169</x:v>
      </x:c>
      <x:c r="G174" s="22" t="str">
        <x:v>P0100</x:v>
      </x:c>
      <x:c r="H174" s="22" t="n">
        <x:v>180</x:v>
      </x:c>
      <x:c r="I174" s="28" t="n">
        <x:v>2226899.6264608502</x:v>
      </x:c>
      <x:c r="J174" s="28" t="n">
        <x:f>ROUND(H174*I174,-MAX(0,INT(LOG10(H174*I174))-1))</x:f>
        <x:v>400000000</x:v>
      </x:c>
      <x:c r="K174" s="28" t="n">
        <x:v>100000</x:v>
      </x:c>
      <x:c r="L174" s="28" t="n">
        <x:v>140000</x:v>
      </x:c>
      <x:c r="M174" s="28" t="n">
        <x:v>8400</x:v>
      </x:c>
      <x:c r="N174" s="28" t="n">
        <x:v>7100</x:v>
      </x:c>
      <x:c r="O174" s="28" t="n">
        <x:v>95</x:v>
      </x:c>
      <x:c r="P174" s="28" t="n">
        <x:v>7600</x:v>
      </x:c>
      <x:c r="Q174" s="28" t="n">
        <x:v>2000</x:v>
      </x:c>
      <x:c r="R174" s="22"/>
      <x:c r="S174" s="22"/>
      <x:c r="T174" s="22" t="str">
        <x:v>32位有符号内</x:v>
      </x:c>
    </x:row>
    <x:row r="175" ht="24" customHeight="1">
      <x:c r="A175" s="22" t="str">
        <x:v>C04-M001</x:v>
      </x:c>
      <x:c r="B175" s="22" t="n">
        <x:v>4</x:v>
      </x:c>
      <x:c r="C175" s="22" t="str">
        <x:v>雾潮湿地</x:v>
      </x:c>
      <x:c r="D175" s="22" t="str">
        <x:v>普通</x:v>
      </x:c>
      <x:c r="E175" s="22" t="str">
        <x:v>雾脚泥蛙</x:v>
      </x:c>
      <x:c r="F175" s="22" t="str">
        <x:v>XX341</x:v>
      </x:c>
      <x:c r="G175" s="22" t="str">
        <x:v>P0105</x:v>
      </x:c>
      <x:c r="H175" s="22" t="n">
        <x:v>7.6</x:v>
      </x:c>
      <x:c r="I175" s="28" t="n">
        <x:v>2096190.550328685</x:v>
      </x:c>
      <x:c r="J175" s="28" t="n">
        <x:f>ROUND(H175*I175,-MAX(0,INT(LOG10(H175*I175))-1))</x:f>
        <x:v>16000000</x:v>
      </x:c>
      <x:c r="K175" s="28" t="n">
        <x:v>39000</x:v>
      </x:c>
      <x:c r="L175" s="28" t="n">
        <x:v>53000</x:v>
      </x:c>
      <x:c r="M175" s="28" t="n">
        <x:v>2600</x:v>
      </x:c>
      <x:c r="N175" s="28" t="n">
        <x:v>2200</x:v>
      </x:c>
      <x:c r="O175" s="28" t="n">
        <x:v>110</x:v>
      </x:c>
      <x:c r="P175" s="28" t="n">
        <x:v>220</x:v>
      </x:c>
      <x:c r="Q175" s="28" t="n">
        <x:v>1600</x:v>
      </x:c>
      <x:c r="R175" s="22"/>
      <x:c r="S175" s="22"/>
      <x:c r="T175" s="22" t="str">
        <x:v>32位有符号内</x:v>
      </x:c>
    </x:row>
    <x:row r="176" ht="24" customHeight="1">
      <x:c r="A176" s="22" t="str">
        <x:v>C04-M002</x:v>
      </x:c>
      <x:c r="B176" s="22" t="n">
        <x:v>4</x:v>
      </x:c>
      <x:c r="C176" s="22" t="str">
        <x:v>雾潮湿地</x:v>
      </x:c>
      <x:c r="D176" s="22" t="str">
        <x:v>普通</x:v>
      </x:c>
      <x:c r="E176" s="22" t="str">
        <x:v>苔冠沼鹿</x:v>
      </x:c>
      <x:c r="F176" s="22" t="str">
        <x:v>XX341</x:v>
      </x:c>
      <x:c r="G176" s="22" t="str">
        <x:v>P0105</x:v>
      </x:c>
      <x:c r="H176" s="22" t="n">
        <x:v>7.2</x:v>
      </x:c>
      <x:c r="I176" s="28" t="n">
        <x:v>2096190.550328685</x:v>
      </x:c>
      <x:c r="J176" s="28" t="n">
        <x:f>ROUND(H176*I176,-MAX(0,INT(LOG10(H176*I176))-1))</x:f>
        <x:v>15000000</x:v>
      </x:c>
      <x:c r="K176" s="28" t="n">
        <x:v>39000</x:v>
      </x:c>
      <x:c r="L176" s="28" t="n">
        <x:v>53000</x:v>
      </x:c>
      <x:c r="M176" s="28" t="n">
        <x:v>2600</x:v>
      </x:c>
      <x:c r="N176" s="28" t="n">
        <x:v>2200</x:v>
      </x:c>
      <x:c r="O176" s="28" t="n">
        <x:v>110</x:v>
      </x:c>
      <x:c r="P176" s="28" t="n">
        <x:v>220</x:v>
      </x:c>
      <x:c r="Q176" s="28" t="n">
        <x:v>1600</x:v>
      </x:c>
      <x:c r="R176" s="22"/>
      <x:c r="S176" s="22"/>
      <x:c r="T176" s="22" t="str">
        <x:v>32位有符号内</x:v>
      </x:c>
    </x:row>
    <x:row r="177" ht="24" customHeight="1">
      <x:c r="A177" s="22" t="str">
        <x:v>C04-M003</x:v>
      </x:c>
      <x:c r="B177" s="22" t="n">
        <x:v>4</x:v>
      </x:c>
      <x:c r="C177" s="22" t="str">
        <x:v>雾潮湿地</x:v>
      </x:c>
      <x:c r="D177" s="22" t="str">
        <x:v>普通</x:v>
      </x:c>
      <x:c r="E177" s="22" t="str">
        <x:v>潮沟芦妖</x:v>
      </x:c>
      <x:c r="F177" s="22" t="str">
        <x:v>XX341</x:v>
      </x:c>
      <x:c r="G177" s="22" t="str">
        <x:v>P0105</x:v>
      </x:c>
      <x:c r="H177" s="22" t="n">
        <x:v>7.6</x:v>
      </x:c>
      <x:c r="I177" s="28" t="n">
        <x:v>2096190.550328685</x:v>
      </x:c>
      <x:c r="J177" s="28" t="n">
        <x:f>ROUND(H177*I177,-MAX(0,INT(LOG10(H177*I177))-1))</x:f>
        <x:v>16000000</x:v>
      </x:c>
      <x:c r="K177" s="28" t="n">
        <x:v>39000</x:v>
      </x:c>
      <x:c r="L177" s="28" t="n">
        <x:v>53000</x:v>
      </x:c>
      <x:c r="M177" s="28" t="n">
        <x:v>2600</x:v>
      </x:c>
      <x:c r="N177" s="28" t="n">
        <x:v>2200</x:v>
      </x:c>
      <x:c r="O177" s="28" t="n">
        <x:v>110</x:v>
      </x:c>
      <x:c r="P177" s="28" t="n">
        <x:v>220</x:v>
      </x:c>
      <x:c r="Q177" s="28" t="n">
        <x:v>1600</x:v>
      </x:c>
      <x:c r="R177" s="22"/>
      <x:c r="S177" s="22"/>
      <x:c r="T177" s="22" t="str">
        <x:v>32位有符号内</x:v>
      </x:c>
    </x:row>
    <x:row r="178" ht="24" customHeight="1">
      <x:c r="A178" s="22" t="str">
        <x:v>C04-M004</x:v>
      </x:c>
      <x:c r="B178" s="22" t="n">
        <x:v>4</x:v>
      </x:c>
      <x:c r="C178" s="22" t="str">
        <x:v>雾潮湿地</x:v>
      </x:c>
      <x:c r="D178" s="22" t="str">
        <x:v>普通</x:v>
      </x:c>
      <x:c r="E178" s="22" t="str">
        <x:v>腐雾钳虾</x:v>
      </x:c>
      <x:c r="F178" s="22" t="str">
        <x:v>XX342</x:v>
      </x:c>
      <x:c r="G178" s="22" t="str">
        <x:v>P0105</x:v>
      </x:c>
      <x:c r="H178" s="22" t="n">
        <x:v>7.2</x:v>
      </x:c>
      <x:c r="I178" s="28" t="n">
        <x:v>2096190.550328685</x:v>
      </x:c>
      <x:c r="J178" s="28" t="n">
        <x:f>ROUND(H178*I178,-MAX(0,INT(LOG10(H178*I178))-1))</x:f>
        <x:v>15000000</x:v>
      </x:c>
      <x:c r="K178" s="28" t="n">
        <x:v>39000</x:v>
      </x:c>
      <x:c r="L178" s="28" t="n">
        <x:v>53000</x:v>
      </x:c>
      <x:c r="M178" s="28" t="n">
        <x:v>2600</x:v>
      </x:c>
      <x:c r="N178" s="28" t="n">
        <x:v>2200</x:v>
      </x:c>
      <x:c r="O178" s="28" t="n">
        <x:v>110</x:v>
      </x:c>
      <x:c r="P178" s="28" t="n">
        <x:v>220</x:v>
      </x:c>
      <x:c r="Q178" s="28" t="n">
        <x:v>1600</x:v>
      </x:c>
      <x:c r="R178" s="22"/>
      <x:c r="S178" s="22"/>
      <x:c r="T178" s="22" t="str">
        <x:v>32位有符号内</x:v>
      </x:c>
    </x:row>
    <x:row r="179" ht="24" customHeight="1">
      <x:c r="A179" s="22" t="str">
        <x:v>C04-M005</x:v>
      </x:c>
      <x:c r="B179" s="22" t="n">
        <x:v>4</x:v>
      </x:c>
      <x:c r="C179" s="22" t="str">
        <x:v>雾潮湿地</x:v>
      </x:c>
      <x:c r="D179" s="22" t="str">
        <x:v>普通</x:v>
      </x:c>
      <x:c r="E179" s="22" t="str">
        <x:v>烂泽水蛭</x:v>
      </x:c>
      <x:c r="F179" s="22" t="str">
        <x:v>XX342</x:v>
      </x:c>
      <x:c r="G179" s="22" t="str">
        <x:v>P0105</x:v>
      </x:c>
      <x:c r="H179" s="22" t="n">
        <x:v>8</x:v>
      </x:c>
      <x:c r="I179" s="28" t="n">
        <x:v>2096190.550328685</x:v>
      </x:c>
      <x:c r="J179" s="28" t="n">
        <x:f>ROUND(H179*I179,-MAX(0,INT(LOG10(H179*I179))-1))</x:f>
        <x:v>17000000</x:v>
      </x:c>
      <x:c r="K179" s="28" t="n">
        <x:v>39000</x:v>
      </x:c>
      <x:c r="L179" s="28" t="n">
        <x:v>53000</x:v>
      </x:c>
      <x:c r="M179" s="28" t="n">
        <x:v>2600</x:v>
      </x:c>
      <x:c r="N179" s="28" t="n">
        <x:v>2200</x:v>
      </x:c>
      <x:c r="O179" s="28" t="n">
        <x:v>110</x:v>
      </x:c>
      <x:c r="P179" s="28" t="n">
        <x:v>220</x:v>
      </x:c>
      <x:c r="Q179" s="28" t="n">
        <x:v>1600</x:v>
      </x:c>
      <x:c r="R179" s="22"/>
      <x:c r="S179" s="22"/>
      <x:c r="T179" s="22" t="str">
        <x:v>32位有符号内</x:v>
      </x:c>
    </x:row>
    <x:row r="180" ht="24" customHeight="1">
      <x:c r="A180" s="22" t="str">
        <x:v>C04-M006</x:v>
      </x:c>
      <x:c r="B180" s="22" t="n">
        <x:v>4</x:v>
      </x:c>
      <x:c r="C180" s="22" t="str">
        <x:v>雾潮湿地</x:v>
      </x:c>
      <x:c r="D180" s="22" t="str">
        <x:v>普通</x:v>
      </x:c>
      <x:c r="E180" s="22" t="str">
        <x:v>蒙眼采藕人</x:v>
      </x:c>
      <x:c r="F180" s="22" t="str">
        <x:v>XX342</x:v>
      </x:c>
      <x:c r="G180" s="22" t="str">
        <x:v>P0105</x:v>
      </x:c>
      <x:c r="H180" s="22" t="n">
        <x:v>8</x:v>
      </x:c>
      <x:c r="I180" s="28" t="n">
        <x:v>2096190.550328685</x:v>
      </x:c>
      <x:c r="J180" s="28" t="n">
        <x:f>ROUND(H180*I180,-MAX(0,INT(LOG10(H180*I180))-1))</x:f>
        <x:v>17000000</x:v>
      </x:c>
      <x:c r="K180" s="28" t="n">
        <x:v>39000</x:v>
      </x:c>
      <x:c r="L180" s="28" t="n">
        <x:v>53000</x:v>
      </x:c>
      <x:c r="M180" s="28" t="n">
        <x:v>2600</x:v>
      </x:c>
      <x:c r="N180" s="28" t="n">
        <x:v>2200</x:v>
      </x:c>
      <x:c r="O180" s="28" t="n">
        <x:v>110</x:v>
      </x:c>
      <x:c r="P180" s="28" t="n">
        <x:v>220</x:v>
      </x:c>
      <x:c r="Q180" s="28" t="n">
        <x:v>1600</x:v>
      </x:c>
      <x:c r="R180" s="22"/>
      <x:c r="S180" s="22"/>
      <x:c r="T180" s="22" t="str">
        <x:v>32位有符号内</x:v>
      </x:c>
    </x:row>
    <x:row r="181" ht="24" customHeight="1">
      <x:c r="A181" s="22" t="str">
        <x:v>C04-M007</x:v>
      </x:c>
      <x:c r="B181" s="22" t="n">
        <x:v>4</x:v>
      </x:c>
      <x:c r="C181" s="22" t="str">
        <x:v>雾潮湿地</x:v>
      </x:c>
      <x:c r="D181" s="22" t="str">
        <x:v>稀有</x:v>
      </x:c>
      <x:c r="E181" s="22" t="str">
        <x:v>雾纱水巫</x:v>
      </x:c>
      <x:c r="F181" s="22" t="str">
        <x:v>XX341</x:v>
      </x:c>
      <x:c r="G181" s="22" t="str">
        <x:v>P0105</x:v>
      </x:c>
      <x:c r="H181" s="22" t="n">
        <x:v>22.799999999999997</x:v>
      </x:c>
      <x:c r="I181" s="28" t="n">
        <x:v>1965598.4943929755</x:v>
      </x:c>
      <x:c r="J181" s="28" t="n">
        <x:f>ROUND(H181*I181,-MAX(0,INT(LOG10(H181*I181))-1))</x:f>
        <x:v>45000000</x:v>
      </x:c>
      <x:c r="K181" s="28" t="n">
        <x:v>110000</x:v>
      </x:c>
      <x:c r="L181" s="28" t="n">
        <x:v>150000</x:v>
      </x:c>
      <x:c r="M181" s="28" t="n">
        <x:v>5100</x:v>
      </x:c>
      <x:c r="N181" s="28" t="n">
        <x:v>4300</x:v>
      </x:c>
      <x:c r="O181" s="28" t="n">
        <x:v>110</x:v>
      </x:c>
      <x:c r="P181" s="28" t="n">
        <x:v>660</x:v>
      </x:c>
      <x:c r="Q181" s="28" t="n">
        <x:v>1700</x:v>
      </x:c>
      <x:c r="R181" s="22"/>
      <x:c r="S181" s="22"/>
      <x:c r="T181" s="22" t="str">
        <x:v>32位有符号内</x:v>
      </x:c>
    </x:row>
    <x:row r="182" ht="24" customHeight="1">
      <x:c r="A182" s="22" t="str">
        <x:v>C04-M008</x:v>
      </x:c>
      <x:c r="B182" s="22" t="n">
        <x:v>4</x:v>
      </x:c>
      <x:c r="C182" s="22" t="str">
        <x:v>雾潮湿地</x:v>
      </x:c>
      <x:c r="D182" s="22" t="str">
        <x:v>稀有</x:v>
      </x:c>
      <x:c r="E182" s="22" t="str">
        <x:v>银腹塘鳄</x:v>
      </x:c>
      <x:c r="F182" s="22" t="str">
        <x:v>XX341</x:v>
      </x:c>
      <x:c r="G182" s="22" t="str">
        <x:v>P0105</x:v>
      </x:c>
      <x:c r="H182" s="22" t="n">
        <x:v>24</x:v>
      </x:c>
      <x:c r="I182" s="28" t="n">
        <x:v>1965598.4943929755</x:v>
      </x:c>
      <x:c r="J182" s="28" t="n">
        <x:f>ROUND(H182*I182,-MAX(0,INT(LOG10(H182*I182))-1))</x:f>
        <x:v>47000000</x:v>
      </x:c>
      <x:c r="K182" s="28" t="n">
        <x:v>110000</x:v>
      </x:c>
      <x:c r="L182" s="28" t="n">
        <x:v>150000</x:v>
      </x:c>
      <x:c r="M182" s="28" t="n">
        <x:v>5100</x:v>
      </x:c>
      <x:c r="N182" s="28" t="n">
        <x:v>4300</x:v>
      </x:c>
      <x:c r="O182" s="28" t="n">
        <x:v>110</x:v>
      </x:c>
      <x:c r="P182" s="28" t="n">
        <x:v>660</x:v>
      </x:c>
      <x:c r="Q182" s="28" t="n">
        <x:v>1700</x:v>
      </x:c>
      <x:c r="R182" s="22"/>
      <x:c r="S182" s="22"/>
      <x:c r="T182" s="22" t="str">
        <x:v>32位有符号内</x:v>
      </x:c>
    </x:row>
    <x:row r="183" ht="24" customHeight="1">
      <x:c r="A183" s="22" t="str">
        <x:v>C04-M009</x:v>
      </x:c>
      <x:c r="B183" s="22" t="n">
        <x:v>4</x:v>
      </x:c>
      <x:c r="C183" s="22" t="str">
        <x:v>雾潮湿地</x:v>
      </x:c>
      <x:c r="D183" s="22" t="str">
        <x:v>稀有</x:v>
      </x:c>
      <x:c r="E183" s="22" t="str">
        <x:v>腐泽孢母</x:v>
      </x:c>
      <x:c r="F183" s="22" t="str">
        <x:v>XX342</x:v>
      </x:c>
      <x:c r="G183" s="22" t="str">
        <x:v>P0105</x:v>
      </x:c>
      <x:c r="H183" s="22" t="n">
        <x:v>26.400000000000002</x:v>
      </x:c>
      <x:c r="I183" s="28" t="n">
        <x:v>1965598.4943929755</x:v>
      </x:c>
      <x:c r="J183" s="28" t="n">
        <x:f>ROUND(H183*I183,-MAX(0,INT(LOG10(H183*I183))-1))</x:f>
        <x:v>52000000</x:v>
      </x:c>
      <x:c r="K183" s="28" t="n">
        <x:v>110000</x:v>
      </x:c>
      <x:c r="L183" s="28" t="n">
        <x:v>140000</x:v>
      </x:c>
      <x:c r="M183" s="28" t="n">
        <x:v>5100</x:v>
      </x:c>
      <x:c r="N183" s="28" t="n">
        <x:v>4300</x:v>
      </x:c>
      <x:c r="O183" s="28" t="n">
        <x:v>110</x:v>
      </x:c>
      <x:c r="P183" s="28" t="n">
        <x:v>660</x:v>
      </x:c>
      <x:c r="Q183" s="28" t="n">
        <x:v>1700</x:v>
      </x:c>
      <x:c r="R183" s="22"/>
      <x:c r="S183" s="22"/>
      <x:c r="T183" s="22" t="str">
        <x:v>32位有符号内</x:v>
      </x:c>
    </x:row>
    <x:row r="184" ht="24" customHeight="1">
      <x:c r="A184" s="22" t="str">
        <x:v>C04-M010</x:v>
      </x:c>
      <x:c r="B184" s="22" t="n">
        <x:v>4</x:v>
      </x:c>
      <x:c r="C184" s="22" t="str">
        <x:v>雾潮湿地</x:v>
      </x:c>
      <x:c r="D184" s="22" t="str">
        <x:v>稀有</x:v>
      </x:c>
      <x:c r="E184" s="22" t="str">
        <x:v>提灯溺客</x:v>
      </x:c>
      <x:c r="F184" s="22" t="str">
        <x:v>XX342</x:v>
      </x:c>
      <x:c r="G184" s="22" t="str">
        <x:v>P0105</x:v>
      </x:c>
      <x:c r="H184" s="22" t="n">
        <x:v>26.400000000000002</x:v>
      </x:c>
      <x:c r="I184" s="28" t="n">
        <x:v>1965598.4943929755</x:v>
      </x:c>
      <x:c r="J184" s="28" t="n">
        <x:f>ROUND(H184*I184,-MAX(0,INT(LOG10(H184*I184))-1))</x:f>
        <x:v>52000000</x:v>
      </x:c>
      <x:c r="K184" s="28" t="n">
        <x:v>110000</x:v>
      </x:c>
      <x:c r="L184" s="28" t="n">
        <x:v>140000</x:v>
      </x:c>
      <x:c r="M184" s="28" t="n">
        <x:v>5100</x:v>
      </x:c>
      <x:c r="N184" s="28" t="n">
        <x:v>4300</x:v>
      </x:c>
      <x:c r="O184" s="28" t="n">
        <x:v>110</x:v>
      </x:c>
      <x:c r="P184" s="28" t="n">
        <x:v>660</x:v>
      </x:c>
      <x:c r="Q184" s="28" t="n">
        <x:v>1700</x:v>
      </x:c>
      <x:c r="R184" s="22"/>
      <x:c r="S184" s="22"/>
      <x:c r="T184" s="22" t="str">
        <x:v>32位有符号内</x:v>
      </x:c>
    </x:row>
    <x:row r="185" ht="24" customHeight="1">
      <x:c r="A185" s="22" t="str">
        <x:v>C04-M011</x:v>
      </x:c>
      <x:c r="B185" s="22" t="n">
        <x:v>4</x:v>
      </x:c>
      <x:c r="C185" s="22" t="str">
        <x:v>雾潮湿地</x:v>
      </x:c>
      <x:c r="D185" s="22" t="str">
        <x:v>地图BOSS</x:v>
      </x:c>
      <x:c r="E185" s="22" t="str">
        <x:v>潮痕猎首·葛弥</x:v>
      </x:c>
      <x:c r="F185" s="22" t="str">
        <x:v>XX341</x:v>
      </x:c>
      <x:c r="G185" s="22" t="str">
        <x:v>P0107</x:v>
      </x:c>
      <x:c r="H185" s="22" t="n">
        <x:v>86.25</x:v>
      </x:c>
      <x:c r="I185" s="28" t="n">
        <x:v>4285843.674001551</x:v>
      </x:c>
      <x:c r="J185" s="28" t="n">
        <x:f>ROUND(H185*I185,-MAX(0,INT(LOG10(H185*I185))-1))</x:f>
        <x:v>370000000</x:v>
      </x:c>
      <x:c r="K185" s="28" t="n">
        <x:v>160000</x:v>
      </x:c>
      <x:c r="L185" s="28" t="n">
        <x:v>220000</x:v>
      </x:c>
      <x:c r="M185" s="28" t="n">
        <x:v>8600</x:v>
      </x:c>
      <x:c r="N185" s="28" t="n">
        <x:v>7300</x:v>
      </x:c>
      <x:c r="O185" s="28" t="n">
        <x:v>110</x:v>
      </x:c>
      <x:c r="P185" s="28" t="n">
        <x:v>2600</x:v>
      </x:c>
      <x:c r="Q185" s="28" t="n">
        <x:v>1800</x:v>
      </x:c>
      <x:c r="R185" s="22"/>
      <x:c r="S185" s="22"/>
      <x:c r="T185" s="22" t="str">
        <x:v>32位有符号内</x:v>
      </x:c>
    </x:row>
    <x:row r="186" ht="24" customHeight="1">
      <x:c r="A186" s="22" t="str">
        <x:v>C04-M012</x:v>
      </x:c>
      <x:c r="B186" s="22" t="n">
        <x:v>4</x:v>
      </x:c>
      <x:c r="C186" s="22" t="str">
        <x:v>雾潮湿地</x:v>
      </x:c>
      <x:c r="D186" s="22" t="str">
        <x:v>地图BOSS</x:v>
      </x:c>
      <x:c r="E186" s="22" t="str">
        <x:v>沼冠腐龙·弥瑟</x:v>
      </x:c>
      <x:c r="F186" s="22" t="str">
        <x:v>XX342</x:v>
      </x:c>
      <x:c r="G186" s="22" t="str">
        <x:v>P0108</x:v>
      </x:c>
      <x:c r="H186" s="22" t="n">
        <x:v>71.25</x:v>
      </x:c>
      <x:c r="I186" s="28" t="n">
        <x:v>4285843.674001551</x:v>
      </x:c>
      <x:c r="J186" s="28" t="n">
        <x:f>ROUND(H186*I186,-MAX(0,INT(LOG10(H186*I186))-1))</x:f>
        <x:v>310000000</x:v>
      </x:c>
      <x:c r="K186" s="28" t="n">
        <x:v>170000</x:v>
      </x:c>
      <x:c r="L186" s="28" t="n">
        <x:v>230000</x:v>
      </x:c>
      <x:c r="M186" s="28" t="n">
        <x:v>8600</x:v>
      </x:c>
      <x:c r="N186" s="28" t="n">
        <x:v>7300</x:v>
      </x:c>
      <x:c r="O186" s="28" t="n">
        <x:v>110</x:v>
      </x:c>
      <x:c r="P186" s="28" t="n">
        <x:v>2600</x:v>
      </x:c>
      <x:c r="Q186" s="28" t="n">
        <x:v>1800</x:v>
      </x:c>
      <x:c r="R186" s="22"/>
      <x:c r="S186" s="22"/>
      <x:c r="T186" s="22" t="str">
        <x:v>32位有符号内</x:v>
      </x:c>
    </x:row>
    <x:row r="187" ht="24" customHeight="1">
      <x:c r="A187" s="22" t="str">
        <x:v>C04-M013</x:v>
      </x:c>
      <x:c r="B187" s="22" t="n">
        <x:v>4</x:v>
      </x:c>
      <x:c r="C187" s="22" t="str">
        <x:v>沉湖遗迹</x:v>
      </x:c>
      <x:c r="D187" s="22" t="str">
        <x:v>普通</x:v>
      </x:c>
      <x:c r="E187" s="22" t="str">
        <x:v>潜碑拾荒者</x:v>
      </x:c>
      <x:c r="F187" s="22" t="str">
        <x:v>XX337</x:v>
      </x:c>
      <x:c r="G187" s="22" t="str">
        <x:v>P0106</x:v>
      </x:c>
      <x:c r="H187" s="22" t="n">
        <x:v>7.2</x:v>
      </x:c>
      <x:c r="I187" s="28" t="n">
        <x:v>2234743.1328711</x:v>
      </x:c>
      <x:c r="J187" s="28" t="n">
        <x:f>ROUND(H187*I187,-MAX(0,INT(LOG10(H187*I187))-1))</x:f>
        <x:v>16000000</x:v>
      </x:c>
      <x:c r="K187" s="28" t="n">
        <x:v>39000</x:v>
      </x:c>
      <x:c r="L187" s="28" t="n">
        <x:v>52000</x:v>
      </x:c>
      <x:c r="M187" s="28" t="n">
        <x:v>2600</x:v>
      </x:c>
      <x:c r="N187" s="28" t="n">
        <x:v>2200</x:v>
      </x:c>
      <x:c r="O187" s="28" t="n">
        <x:v>113</x:v>
      </x:c>
      <x:c r="P187" s="28" t="n">
        <x:v>240</x:v>
      </x:c>
      <x:c r="Q187" s="28" t="n">
        <x:v>1600</x:v>
      </x:c>
      <x:c r="R187" s="22"/>
      <x:c r="S187" s="22"/>
      <x:c r="T187" s="22" t="str">
        <x:v>32位有符号内</x:v>
      </x:c>
    </x:row>
    <x:row r="188" ht="24" customHeight="1">
      <x:c r="A188" s="22" t="str">
        <x:v>C04-M014</x:v>
      </x:c>
      <x:c r="B188" s="22" t="n">
        <x:v>4</x:v>
      </x:c>
      <x:c r="C188" s="22" t="str">
        <x:v>沉湖遗迹</x:v>
      </x:c>
      <x:c r="D188" s="22" t="str">
        <x:v>普通</x:v>
      </x:c>
      <x:c r="E188" s="22" t="str">
        <x:v>藻甲石仆</x:v>
      </x:c>
      <x:c r="F188" s="22" t="str">
        <x:v>XX337</x:v>
      </x:c>
      <x:c r="G188" s="22" t="str">
        <x:v>P0106</x:v>
      </x:c>
      <x:c r="H188" s="22" t="n">
        <x:v>7.2</x:v>
      </x:c>
      <x:c r="I188" s="28" t="n">
        <x:v>2234743.1328711</x:v>
      </x:c>
      <x:c r="J188" s="28" t="n">
        <x:f>ROUND(H188*I188,-MAX(0,INT(LOG10(H188*I188))-1))</x:f>
        <x:v>16000000</x:v>
      </x:c>
      <x:c r="K188" s="28" t="n">
        <x:v>39000</x:v>
      </x:c>
      <x:c r="L188" s="28" t="n">
        <x:v>52000</x:v>
      </x:c>
      <x:c r="M188" s="28" t="n">
        <x:v>2600</x:v>
      </x:c>
      <x:c r="N188" s="28" t="n">
        <x:v>2200</x:v>
      </x:c>
      <x:c r="O188" s="28" t="n">
        <x:v>113</x:v>
      </x:c>
      <x:c r="P188" s="28" t="n">
        <x:v>240</x:v>
      </x:c>
      <x:c r="Q188" s="28" t="n">
        <x:v>1600</x:v>
      </x:c>
      <x:c r="R188" s="22"/>
      <x:c r="S188" s="22"/>
      <x:c r="T188" s="22" t="str">
        <x:v>32位有符号内</x:v>
      </x:c>
    </x:row>
    <x:row r="189" ht="24" customHeight="1">
      <x:c r="A189" s="22" t="str">
        <x:v>C04-M015</x:v>
      </x:c>
      <x:c r="B189" s="22" t="n">
        <x:v>4</x:v>
      </x:c>
      <x:c r="C189" s="22" t="str">
        <x:v>沉湖遗迹</x:v>
      </x:c>
      <x:c r="D189" s="22" t="str">
        <x:v>普通</x:v>
      </x:c>
      <x:c r="E189" s="22" t="str">
        <x:v>回廊水弩手</x:v>
      </x:c>
      <x:c r="F189" s="22" t="str">
        <x:v>XX336</x:v>
      </x:c>
      <x:c r="G189" s="22" t="str">
        <x:v>P0106</x:v>
      </x:c>
      <x:c r="H189" s="22" t="n">
        <x:v>7.2</x:v>
      </x:c>
      <x:c r="I189" s="28" t="n">
        <x:v>2234743.1328711</x:v>
      </x:c>
      <x:c r="J189" s="28" t="n">
        <x:f>ROUND(H189*I189,-MAX(0,INT(LOG10(H189*I189))-1))</x:f>
        <x:v>16000000</x:v>
      </x:c>
      <x:c r="K189" s="28" t="n">
        <x:v>39000</x:v>
      </x:c>
      <x:c r="L189" s="28" t="n">
        <x:v>52000</x:v>
      </x:c>
      <x:c r="M189" s="28" t="n">
        <x:v>2600</x:v>
      </x:c>
      <x:c r="N189" s="28" t="n">
        <x:v>2200</x:v>
      </x:c>
      <x:c r="O189" s="28" t="n">
        <x:v>113</x:v>
      </x:c>
      <x:c r="P189" s="28" t="n">
        <x:v>240</x:v>
      </x:c>
      <x:c r="Q189" s="28" t="n">
        <x:v>1600</x:v>
      </x:c>
      <x:c r="R189" s="22"/>
      <x:c r="S189" s="22"/>
      <x:c r="T189" s="22" t="str">
        <x:v>32位有符号内</x:v>
      </x:c>
    </x:row>
    <x:row r="190" ht="24" customHeight="1">
      <x:c r="A190" s="22" t="str">
        <x:v>C04-M016</x:v>
      </x:c>
      <x:c r="B190" s="22" t="n">
        <x:v>4</x:v>
      </x:c>
      <x:c r="C190" s="22" t="str">
        <x:v>沉湖遗迹</x:v>
      </x:c>
      <x:c r="D190" s="22" t="str">
        <x:v>普通</x:v>
      </x:c>
      <x:c r="E190" s="22" t="str">
        <x:v>沉钟侍祭</x:v>
      </x:c>
      <x:c r="F190" s="22" t="str">
        <x:v>XX336</x:v>
      </x:c>
      <x:c r="G190" s="22" t="str">
        <x:v>P0106</x:v>
      </x:c>
      <x:c r="H190" s="22" t="n">
        <x:v>7.2</x:v>
      </x:c>
      <x:c r="I190" s="28" t="n">
        <x:v>2234743.1328711</x:v>
      </x:c>
      <x:c r="J190" s="28" t="n">
        <x:f>ROUND(H190*I190,-MAX(0,INT(LOG10(H190*I190))-1))</x:f>
        <x:v>16000000</x:v>
      </x:c>
      <x:c r="K190" s="28" t="n">
        <x:v>39000</x:v>
      </x:c>
      <x:c r="L190" s="28" t="n">
        <x:v>52000</x:v>
      </x:c>
      <x:c r="M190" s="28" t="n">
        <x:v>2600</x:v>
      </x:c>
      <x:c r="N190" s="28" t="n">
        <x:v>2200</x:v>
      </x:c>
      <x:c r="O190" s="28" t="n">
        <x:v>113</x:v>
      </x:c>
      <x:c r="P190" s="28" t="n">
        <x:v>240</x:v>
      </x:c>
      <x:c r="Q190" s="28" t="n">
        <x:v>1600</x:v>
      </x:c>
      <x:c r="R190" s="22"/>
      <x:c r="S190" s="22"/>
      <x:c r="T190" s="22" t="str">
        <x:v>32位有符号内</x:v>
      </x:c>
    </x:row>
    <x:row r="191" ht="24" customHeight="1">
      <x:c r="A191" s="22" t="str">
        <x:v>C04-M017</x:v>
      </x:c>
      <x:c r="B191" s="22" t="n">
        <x:v>4</x:v>
      </x:c>
      <x:c r="C191" s="22" t="str">
        <x:v>沉湖遗迹</x:v>
      </x:c>
      <x:c r="D191" s="22" t="str">
        <x:v>普通</x:v>
      </x:c>
      <x:c r="E191" s="22" t="str">
        <x:v>祭坛盲鱼</x:v>
      </x:c>
      <x:c r="F191" s="22" t="str">
        <x:v>XX340</x:v>
      </x:c>
      <x:c r="G191" s="22" t="str">
        <x:v>P0106</x:v>
      </x:c>
      <x:c r="H191" s="22" t="n">
        <x:v>7.2</x:v>
      </x:c>
      <x:c r="I191" s="28" t="n">
        <x:v>2234743.1328711</x:v>
      </x:c>
      <x:c r="J191" s="28" t="n">
        <x:f>ROUND(H191*I191,-MAX(0,INT(LOG10(H191*I191))-1))</x:f>
        <x:v>16000000</x:v>
      </x:c>
      <x:c r="K191" s="28" t="n">
        <x:v>39000</x:v>
      </x:c>
      <x:c r="L191" s="28" t="n">
        <x:v>52000</x:v>
      </x:c>
      <x:c r="M191" s="28" t="n">
        <x:v>2600</x:v>
      </x:c>
      <x:c r="N191" s="28" t="n">
        <x:v>2200</x:v>
      </x:c>
      <x:c r="O191" s="28" t="n">
        <x:v>113</x:v>
      </x:c>
      <x:c r="P191" s="28" t="n">
        <x:v>240</x:v>
      </x:c>
      <x:c r="Q191" s="28" t="n">
        <x:v>1600</x:v>
      </x:c>
      <x:c r="R191" s="22"/>
      <x:c r="S191" s="22"/>
      <x:c r="T191" s="22" t="str">
        <x:v>32位有符号内</x:v>
      </x:c>
    </x:row>
    <x:row r="192" ht="24" customHeight="1">
      <x:c r="A192" s="22" t="str">
        <x:v>C04-M018</x:v>
      </x:c>
      <x:c r="B192" s="22" t="n">
        <x:v>4</x:v>
      </x:c>
      <x:c r="C192" s="22" t="str">
        <x:v>沉湖遗迹</x:v>
      </x:c>
      <x:c r="D192" s="22" t="str">
        <x:v>普通</x:v>
      </x:c>
      <x:c r="E192" s="22" t="str">
        <x:v>捧盏泥俑</x:v>
      </x:c>
      <x:c r="F192" s="22" t="str">
        <x:v>XX340</x:v>
      </x:c>
      <x:c r="G192" s="22" t="str">
        <x:v>P0106</x:v>
      </x:c>
      <x:c r="H192" s="22" t="n">
        <x:v>8</x:v>
      </x:c>
      <x:c r="I192" s="28" t="n">
        <x:v>2234743.1328711</x:v>
      </x:c>
      <x:c r="J192" s="28" t="n">
        <x:f>ROUND(H192*I192,-MAX(0,INT(LOG10(H192*I192))-1))</x:f>
        <x:v>18000000</x:v>
      </x:c>
      <x:c r="K192" s="28" t="n">
        <x:v>39000</x:v>
      </x:c>
      <x:c r="L192" s="28" t="n">
        <x:v>52000</x:v>
      </x:c>
      <x:c r="M192" s="28" t="n">
        <x:v>2600</x:v>
      </x:c>
      <x:c r="N192" s="28" t="n">
        <x:v>2200</x:v>
      </x:c>
      <x:c r="O192" s="28" t="n">
        <x:v>113</x:v>
      </x:c>
      <x:c r="P192" s="28" t="n">
        <x:v>240</x:v>
      </x:c>
      <x:c r="Q192" s="28" t="n">
        <x:v>1600</x:v>
      </x:c>
      <x:c r="R192" s="22"/>
      <x:c r="S192" s="22"/>
      <x:c r="T192" s="22" t="str">
        <x:v>32位有符号内</x:v>
      </x:c>
    </x:row>
    <x:row r="193" ht="24" customHeight="1">
      <x:c r="A193" s="22" t="str">
        <x:v>C04-M019</x:v>
      </x:c>
      <x:c r="B193" s="22" t="n">
        <x:v>4</x:v>
      </x:c>
      <x:c r="C193" s="22" t="str">
        <x:v>沉湖遗迹</x:v>
      </x:c>
      <x:c r="D193" s="22" t="str">
        <x:v>稀有</x:v>
      </x:c>
      <x:c r="E193" s="22" t="str">
        <x:v>碑林巡潮官</x:v>
      </x:c>
      <x:c r="F193" s="22" t="str">
        <x:v>XX337</x:v>
      </x:c>
      <x:c r="G193" s="22" t="str">
        <x:v>P0106</x:v>
      </x:c>
      <x:c r="H193" s="22" t="n">
        <x:v>27.599999999999998</x:v>
      </x:c>
      <x:c r="I193" s="28" t="n">
        <x:v>2091580.3035670025</x:v>
      </x:c>
      <x:c r="J193" s="28" t="n">
        <x:f>ROUND(H193*I193,-MAX(0,INT(LOG10(H193*I193))-1))</x:f>
        <x:v>58000000</x:v>
      </x:c>
      <x:c r="K193" s="28" t="n">
        <x:v>100000</x:v>
      </x:c>
      <x:c r="L193" s="28" t="n">
        <x:v>140000</x:v>
      </x:c>
      <x:c r="M193" s="28" t="n">
        <x:v>5200</x:v>
      </x:c>
      <x:c r="N193" s="28" t="n">
        <x:v>4400</x:v>
      </x:c>
      <x:c r="O193" s="28" t="n">
        <x:v>113</x:v>
      </x:c>
      <x:c r="P193" s="28" t="n">
        <x:v>700</x:v>
      </x:c>
      <x:c r="Q193" s="28" t="n">
        <x:v>1700</x:v>
      </x:c>
      <x:c r="R193" s="22"/>
      <x:c r="S193" s="22"/>
      <x:c r="T193" s="22" t="str">
        <x:v>32位有符号内</x:v>
      </x:c>
    </x:row>
    <x:row r="194" ht="24" customHeight="1">
      <x:c r="A194" s="22" t="str">
        <x:v>C04-M020</x:v>
      </x:c>
      <x:c r="B194" s="22" t="n">
        <x:v>4</x:v>
      </x:c>
      <x:c r="C194" s="22" t="str">
        <x:v>沉湖遗迹</x:v>
      </x:c>
      <x:c r="D194" s="22" t="str">
        <x:v>稀有</x:v>
      </x:c>
      <x:c r="E194" s="22" t="str">
        <x:v>断链湖狮</x:v>
      </x:c>
      <x:c r="F194" s="22" t="str">
        <x:v>XX336</x:v>
      </x:c>
      <x:c r="G194" s="22" t="str">
        <x:v>P0106</x:v>
      </x:c>
      <x:c r="H194" s="22" t="n">
        <x:v>22.799999999999997</x:v>
      </x:c>
      <x:c r="I194" s="28" t="n">
        <x:v>2091580.3035670025</x:v>
      </x:c>
      <x:c r="J194" s="28" t="n">
        <x:f>ROUND(H194*I194,-MAX(0,INT(LOG10(H194*I194))-1))</x:f>
        <x:v>48000000</x:v>
      </x:c>
      <x:c r="K194" s="28" t="n">
        <x:v>110000</x:v>
      </x:c>
      <x:c r="L194" s="28" t="n">
        <x:v>150000</x:v>
      </x:c>
      <x:c r="M194" s="28" t="n">
        <x:v>5200</x:v>
      </x:c>
      <x:c r="N194" s="28" t="n">
        <x:v>4400</x:v>
      </x:c>
      <x:c r="O194" s="28" t="n">
        <x:v>113</x:v>
      </x:c>
      <x:c r="P194" s="28" t="n">
        <x:v>700</x:v>
      </x:c>
      <x:c r="Q194" s="28" t="n">
        <x:v>1700</x:v>
      </x:c>
      <x:c r="R194" s="22"/>
      <x:c r="S194" s="22"/>
      <x:c r="T194" s="22" t="str">
        <x:v>32位有符号内</x:v>
      </x:c>
    </x:row>
    <x:row r="195" ht="24" customHeight="1">
      <x:c r="A195" s="22" t="str">
        <x:v>C04-M021</x:v>
      </x:c>
      <x:c r="B195" s="22" t="n">
        <x:v>4</x:v>
      </x:c>
      <x:c r="C195" s="22" t="str">
        <x:v>沉湖遗迹</x:v>
      </x:c>
      <x:c r="D195" s="22" t="str">
        <x:v>稀有</x:v>
      </x:c>
      <x:c r="E195" s="22" t="str">
        <x:v>蓝焰祷亡者</x:v>
      </x:c>
      <x:c r="F195" s="22" t="str">
        <x:v>XX340</x:v>
      </x:c>
      <x:c r="G195" s="22" t="str">
        <x:v>P0106</x:v>
      </x:c>
      <x:c r="H195" s="22" t="n">
        <x:v>24</x:v>
      </x:c>
      <x:c r="I195" s="28" t="n">
        <x:v>2091580.3035670025</x:v>
      </x:c>
      <x:c r="J195" s="28" t="n">
        <x:f>ROUND(H195*I195,-MAX(0,INT(LOG10(H195*I195))-1))</x:f>
        <x:v>50000000</x:v>
      </x:c>
      <x:c r="K195" s="28" t="n">
        <x:v>110000</x:v>
      </x:c>
      <x:c r="L195" s="28" t="n">
        <x:v>150000</x:v>
      </x:c>
      <x:c r="M195" s="28" t="n">
        <x:v>5200</x:v>
      </x:c>
      <x:c r="N195" s="28" t="n">
        <x:v>4400</x:v>
      </x:c>
      <x:c r="O195" s="28" t="n">
        <x:v>113</x:v>
      </x:c>
      <x:c r="P195" s="28" t="n">
        <x:v>700</x:v>
      </x:c>
      <x:c r="Q195" s="28" t="n">
        <x:v>1700</x:v>
      </x:c>
      <x:c r="R195" s="22"/>
      <x:c r="S195" s="22"/>
      <x:c r="T195" s="22" t="str">
        <x:v>32位有符号内</x:v>
      </x:c>
    </x:row>
    <x:row r="196" ht="24" customHeight="1">
      <x:c r="A196" s="22" t="str">
        <x:v>C04-M022</x:v>
      </x:c>
      <x:c r="B196" s="22" t="n">
        <x:v>4</x:v>
      </x:c>
      <x:c r="C196" s="22" t="str">
        <x:v>沉湖遗迹</x:v>
      </x:c>
      <x:c r="D196" s="22" t="str">
        <x:v>稀有</x:v>
      </x:c>
      <x:c r="E196" s="22" t="str">
        <x:v>祭池双生螯</x:v>
      </x:c>
      <x:c r="F196" s="22" t="str">
        <x:v>XX340</x:v>
      </x:c>
      <x:c r="G196" s="22" t="str">
        <x:v>P0106</x:v>
      </x:c>
      <x:c r="H196" s="22" t="n">
        <x:v>27.599999999999998</x:v>
      </x:c>
      <x:c r="I196" s="28" t="n">
        <x:v>2091580.3035670025</x:v>
      </x:c>
      <x:c r="J196" s="28" t="n">
        <x:f>ROUND(H196*I196,-MAX(0,INT(LOG10(H196*I196))-1))</x:f>
        <x:v>58000000</x:v>
      </x:c>
      <x:c r="K196" s="28" t="n">
        <x:v>100000</x:v>
      </x:c>
      <x:c r="L196" s="28" t="n">
        <x:v>140000</x:v>
      </x:c>
      <x:c r="M196" s="28" t="n">
        <x:v>5200</x:v>
      </x:c>
      <x:c r="N196" s="28" t="n">
        <x:v>4400</x:v>
      </x:c>
      <x:c r="O196" s="28" t="n">
        <x:v>113</x:v>
      </x:c>
      <x:c r="P196" s="28" t="n">
        <x:v>700</x:v>
      </x:c>
      <x:c r="Q196" s="28" t="n">
        <x:v>1700</x:v>
      </x:c>
      <x:c r="R196" s="22"/>
      <x:c r="S196" s="22"/>
      <x:c r="T196" s="22" t="str">
        <x:v>32位有符号内</x:v>
      </x:c>
    </x:row>
    <x:row r="197" ht="24" customHeight="1">
      <x:c r="A197" s="22" t="str">
        <x:v>C04-M023</x:v>
      </x:c>
      <x:c r="B197" s="22" t="n">
        <x:v>4</x:v>
      </x:c>
      <x:c r="C197" s="22" t="str">
        <x:v>沉湖遗迹</x:v>
      </x:c>
      <x:c r="D197" s="22" t="str">
        <x:v>地图BOSS</x:v>
      </x:c>
      <x:c r="E197" s="22" t="str">
        <x:v>淹廊判官·摩汶</x:v>
      </x:c>
      <x:c r="F197" s="22" t="str">
        <x:v>XX336</x:v>
      </x:c>
      <x:c r="G197" s="22" t="str">
        <x:v>P0113</x:v>
      </x:c>
      <x:c r="H197" s="22" t="n">
        <x:v>71.25</x:v>
      </x:c>
      <x:c r="I197" s="28" t="n">
        <x:v>6113249.705705489</x:v>
      </x:c>
      <x:c r="J197" s="28" t="n">
        <x:f>ROUND(H197*I197,-MAX(0,INT(LOG10(H197*I197))-1))</x:f>
        <x:v>440000000</x:v>
      </x:c>
      <x:c r="K197" s="28" t="n">
        <x:v>190000</x:v>
      </x:c>
      <x:c r="L197" s="28" t="n">
        <x:v>260000</x:v>
      </x:c>
      <x:c r="M197" s="28" t="n">
        <x:v>9000</x:v>
      </x:c>
      <x:c r="N197" s="28" t="n">
        <x:v>7600</x:v>
      </x:c>
      <x:c r="O197" s="28" t="n">
        <x:v>113</x:v>
      </x:c>
      <x:c r="P197" s="28" t="n">
        <x:v>2800</x:v>
      </x:c>
      <x:c r="Q197" s="28" t="n">
        <x:v>1800</x:v>
      </x:c>
      <x:c r="R197" s="22"/>
      <x:c r="S197" s="22"/>
      <x:c r="T197" s="22" t="str">
        <x:v>32位有符号内</x:v>
      </x:c>
    </x:row>
    <x:row r="198" ht="24" customHeight="1">
      <x:c r="A198" s="22" t="str">
        <x:v>C04-M024</x:v>
      </x:c>
      <x:c r="B198" s="22" t="n">
        <x:v>4</x:v>
      </x:c>
      <x:c r="C198" s="22" t="str">
        <x:v>沉湖遗迹</x:v>
      </x:c>
      <x:c r="D198" s="22" t="str">
        <x:v>地图BOSS</x:v>
      </x:c>
      <x:c r="E198" s="22" t="str">
        <x:v>无声湖后·塞芙拉</x:v>
      </x:c>
      <x:c r="F198" s="22" t="str">
        <x:v>XX340</x:v>
      </x:c>
      <x:c r="G198" s="22" t="str">
        <x:v>P0114</x:v>
      </x:c>
      <x:c r="H198" s="22" t="n">
        <x:v>86.25</x:v>
      </x:c>
      <x:c r="I198" s="28" t="n">
        <x:v>6113249.705705489</x:v>
      </x:c>
      <x:c r="J198" s="28" t="n">
        <x:f>ROUND(H198*I198,-MAX(0,INT(LOG10(H198*I198))-1))</x:f>
        <x:v>530000000</x:v>
      </x:c>
      <x:c r="K198" s="28" t="n">
        <x:v>190000</x:v>
      </x:c>
      <x:c r="L198" s="28" t="n">
        <x:v>260000</x:v>
      </x:c>
      <x:c r="M198" s="28" t="n">
        <x:v>9000</x:v>
      </x:c>
      <x:c r="N198" s="28" t="n">
        <x:v>7600</x:v>
      </x:c>
      <x:c r="O198" s="28" t="n">
        <x:v>113</x:v>
      </x:c>
      <x:c r="P198" s="28" t="n">
        <x:v>2800</x:v>
      </x:c>
      <x:c r="Q198" s="28" t="n">
        <x:v>1800</x:v>
      </x:c>
      <x:c r="R198" s="22"/>
      <x:c r="S198" s="22"/>
      <x:c r="T198" s="22" t="str">
        <x:v>32位有符号内</x:v>
      </x:c>
    </x:row>
    <x:row r="199" ht="24" customHeight="1">
      <x:c r="A199" s="22" t="str">
        <x:v>C04-M025</x:v>
      </x:c>
      <x:c r="B199" s="22" t="n">
        <x:v>4</x:v>
      </x:c>
      <x:c r="C199" s="22" t="str">
        <x:v>湖心沉船</x:v>
      </x:c>
      <x:c r="D199" s="22" t="str">
        <x:v>普通</x:v>
      </x:c>
      <x:c r="E199" s="22" t="str">
        <x:v>破帆水手</x:v>
      </x:c>
      <x:c r="F199" s="22" t="str">
        <x:v>XX363</x:v>
      </x:c>
      <x:c r="G199" s="22" t="str">
        <x:v>P0112</x:v>
      </x:c>
      <x:c r="H199" s="22" t="n">
        <x:v>7.6</x:v>
      </x:c>
      <x:c r="I199" s="28" t="n">
        <x:v>2935733.203560717</x:v>
      </x:c>
      <x:c r="J199" s="28" t="n">
        <x:f>ROUND(H199*I199,-MAX(0,INT(LOG10(H199*I199))-1))</x:f>
        <x:v>22000000</x:v>
      </x:c>
      <x:c r="K199" s="28" t="n">
        <x:v>36000</x:v>
      </x:c>
      <x:c r="L199" s="28" t="n">
        <x:v>49000</x:v>
      </x:c>
      <x:c r="M199" s="28" t="n">
        <x:v>2900</x:v>
      </x:c>
      <x:c r="N199" s="28" t="n">
        <x:v>2500</x:v>
      </x:c>
      <x:c r="O199" s="28" t="n">
        <x:v>116</x:v>
      </x:c>
      <x:c r="P199" s="28" t="n">
        <x:v>250</x:v>
      </x:c>
      <x:c r="Q199" s="28" t="n">
        <x:v>1600</x:v>
      </x:c>
      <x:c r="R199" s="22"/>
      <x:c r="S199" s="22"/>
      <x:c r="T199" s="22" t="str">
        <x:v>32位有符号内</x:v>
      </x:c>
    </x:row>
    <x:row r="200" ht="24" customHeight="1">
      <x:c r="A200" s="22" t="str">
        <x:v>C04-M026</x:v>
      </x:c>
      <x:c r="B200" s="22" t="n">
        <x:v>4</x:v>
      </x:c>
      <x:c r="C200" s="22" t="str">
        <x:v>湖心沉船</x:v>
      </x:c>
      <x:c r="D200" s="22" t="str">
        <x:v>普通</x:v>
      </x:c>
      <x:c r="E200" s="22" t="str">
        <x:v>缠藻桅猴</x:v>
      </x:c>
      <x:c r="F200" s="22" t="str">
        <x:v>XX363</x:v>
      </x:c>
      <x:c r="G200" s="22" t="str">
        <x:v>P0112</x:v>
      </x:c>
      <x:c r="H200" s="22" t="n">
        <x:v>9.2</x:v>
      </x:c>
      <x:c r="I200" s="28" t="n">
        <x:v>2935733.203560717</x:v>
      </x:c>
      <x:c r="J200" s="28" t="n">
        <x:f>ROUND(H200*I200,-MAX(0,INT(LOG10(H200*I200))-1))</x:f>
        <x:v>27000000</x:v>
      </x:c>
      <x:c r="K200" s="28" t="n">
        <x:v>36000</x:v>
      </x:c>
      <x:c r="L200" s="28" t="n">
        <x:v>49000</x:v>
      </x:c>
      <x:c r="M200" s="28" t="n">
        <x:v>2900</x:v>
      </x:c>
      <x:c r="N200" s="28" t="n">
        <x:v>2500</x:v>
      </x:c>
      <x:c r="O200" s="28" t="n">
        <x:v>116</x:v>
      </x:c>
      <x:c r="P200" s="28" t="n">
        <x:v>250</x:v>
      </x:c>
      <x:c r="Q200" s="28" t="n">
        <x:v>1600</x:v>
      </x:c>
      <x:c r="R200" s="22"/>
      <x:c r="S200" s="22"/>
      <x:c r="T200" s="22" t="str">
        <x:v>32位有符号内</x:v>
      </x:c>
    </x:row>
    <x:row r="201" ht="24" customHeight="1">
      <x:c r="A201" s="22" t="str">
        <x:v>C04-M027</x:v>
      </x:c>
      <x:c r="B201" s="22" t="n">
        <x:v>4</x:v>
      </x:c>
      <x:c r="C201" s="22" t="str">
        <x:v>湖心沉船</x:v>
      </x:c>
      <x:c r="D201" s="22" t="str">
        <x:v>普通</x:v>
      </x:c>
      <x:c r="E201" s="22" t="str">
        <x:v>舱门凿击者</x:v>
      </x:c>
      <x:c r="F201" s="22" t="str">
        <x:v>XX362</x:v>
      </x:c>
      <x:c r="G201" s="22" t="str">
        <x:v>P0112</x:v>
      </x:c>
      <x:c r="H201" s="22" t="n">
        <x:v>7.6</x:v>
      </x:c>
      <x:c r="I201" s="28" t="n">
        <x:v>2935733.203560717</x:v>
      </x:c>
      <x:c r="J201" s="28" t="n">
        <x:f>ROUND(H201*I201,-MAX(0,INT(LOG10(H201*I201))-1))</x:f>
        <x:v>22000000</x:v>
      </x:c>
      <x:c r="K201" s="28" t="n">
        <x:v>36000</x:v>
      </x:c>
      <x:c r="L201" s="28" t="n">
        <x:v>49000</x:v>
      </x:c>
      <x:c r="M201" s="28" t="n">
        <x:v>2900</x:v>
      </x:c>
      <x:c r="N201" s="28" t="n">
        <x:v>2500</x:v>
      </x:c>
      <x:c r="O201" s="28" t="n">
        <x:v>116</x:v>
      </x:c>
      <x:c r="P201" s="28" t="n">
        <x:v>250</x:v>
      </x:c>
      <x:c r="Q201" s="28" t="n">
        <x:v>1600</x:v>
      </x:c>
      <x:c r="R201" s="22"/>
      <x:c r="S201" s="22"/>
      <x:c r="T201" s="22" t="str">
        <x:v>32位有符号内</x:v>
      </x:c>
    </x:row>
    <x:row r="202" ht="24" customHeight="1">
      <x:c r="A202" s="22" t="str">
        <x:v>C04-M028</x:v>
      </x:c>
      <x:c r="B202" s="22" t="n">
        <x:v>4</x:v>
      </x:c>
      <x:c r="C202" s="22" t="str">
        <x:v>湖心沉船</x:v>
      </x:c>
      <x:c r="D202" s="22" t="str">
        <x:v>普通</x:v>
      </x:c>
      <x:c r="E202" s="22" t="str">
        <x:v>油灯怨影</x:v>
      </x:c>
      <x:c r="F202" s="22" t="str">
        <x:v>XX362</x:v>
      </x:c>
      <x:c r="G202" s="22" t="str">
        <x:v>P0112</x:v>
      </x:c>
      <x:c r="H202" s="22" t="n">
        <x:v>8</x:v>
      </x:c>
      <x:c r="I202" s="28" t="n">
        <x:v>2935733.203560717</x:v>
      </x:c>
      <x:c r="J202" s="28" t="n">
        <x:f>ROUND(H202*I202,-MAX(0,INT(LOG10(H202*I202))-1))</x:f>
        <x:v>23000000</x:v>
      </x:c>
      <x:c r="K202" s="28" t="n">
        <x:v>36000</x:v>
      </x:c>
      <x:c r="L202" s="28" t="n">
        <x:v>49000</x:v>
      </x:c>
      <x:c r="M202" s="28" t="n">
        <x:v>2900</x:v>
      </x:c>
      <x:c r="N202" s="28" t="n">
        <x:v>2500</x:v>
      </x:c>
      <x:c r="O202" s="28" t="n">
        <x:v>116</x:v>
      </x:c>
      <x:c r="P202" s="28" t="n">
        <x:v>250</x:v>
      </x:c>
      <x:c r="Q202" s="28" t="n">
        <x:v>1600</x:v>
      </x:c>
      <x:c r="R202" s="22"/>
      <x:c r="S202" s="22"/>
      <x:c r="T202" s="22" t="str">
        <x:v>32位有符号内</x:v>
      </x:c>
    </x:row>
    <x:row r="203" ht="24" customHeight="1">
      <x:c r="A203" s="22" t="str">
        <x:v>C04-M029</x:v>
      </x:c>
      <x:c r="B203" s="22" t="n">
        <x:v>4</x:v>
      </x:c>
      <x:c r="C203" s="22" t="str">
        <x:v>湖心沉船</x:v>
      </x:c>
      <x:c r="D203" s="22" t="str">
        <x:v>普通</x:v>
      </x:c>
      <x:c r="E203" s="22" t="str">
        <x:v>墓舱寄居蟹</x:v>
      </x:c>
      <x:c r="F203" s="22" t="str">
        <x:v>XX351</x:v>
      </x:c>
      <x:c r="G203" s="22" t="str">
        <x:v>P0112</x:v>
      </x:c>
      <x:c r="H203" s="22" t="n">
        <x:v>8</x:v>
      </x:c>
      <x:c r="I203" s="28" t="n">
        <x:v>2935733.203560717</x:v>
      </x:c>
      <x:c r="J203" s="28" t="n">
        <x:f>ROUND(H203*I203,-MAX(0,INT(LOG10(H203*I203))-1))</x:f>
        <x:v>23000000</x:v>
      </x:c>
      <x:c r="K203" s="28" t="n">
        <x:v>36000</x:v>
      </x:c>
      <x:c r="L203" s="28" t="n">
        <x:v>49000</x:v>
      </x:c>
      <x:c r="M203" s="28" t="n">
        <x:v>2900</x:v>
      </x:c>
      <x:c r="N203" s="28" t="n">
        <x:v>2500</x:v>
      </x:c>
      <x:c r="O203" s="28" t="n">
        <x:v>116</x:v>
      </x:c>
      <x:c r="P203" s="28" t="n">
        <x:v>250</x:v>
      </x:c>
      <x:c r="Q203" s="28" t="n">
        <x:v>1600</x:v>
      </x:c>
      <x:c r="R203" s="22"/>
      <x:c r="S203" s="22"/>
      <x:c r="T203" s="22" t="str">
        <x:v>32位有符号内</x:v>
      </x:c>
    </x:row>
    <x:row r="204" ht="24" customHeight="1">
      <x:c r="A204" s="22" t="str">
        <x:v>C04-M030</x:v>
      </x:c>
      <x:c r="B204" s="22" t="n">
        <x:v>4</x:v>
      </x:c>
      <x:c r="C204" s="22" t="str">
        <x:v>湖心沉船</x:v>
      </x:c>
      <x:c r="D204" s="22" t="str">
        <x:v>普通</x:v>
      </x:c>
      <x:c r="E204" s="22" t="str">
        <x:v>裹布船尸</x:v>
      </x:c>
      <x:c r="F204" s="22" t="str">
        <x:v>XX351</x:v>
      </x:c>
      <x:c r="G204" s="22" t="str">
        <x:v>P0112</x:v>
      </x:c>
      <x:c r="H204" s="22" t="n">
        <x:v>9.2</x:v>
      </x:c>
      <x:c r="I204" s="28" t="n">
        <x:v>2935733.203560717</x:v>
      </x:c>
      <x:c r="J204" s="28" t="n">
        <x:f>ROUND(H204*I204,-MAX(0,INT(LOG10(H204*I204))-1))</x:f>
        <x:v>27000000</x:v>
      </x:c>
      <x:c r="K204" s="28" t="n">
        <x:v>36000</x:v>
      </x:c>
      <x:c r="L204" s="28" t="n">
        <x:v>49000</x:v>
      </x:c>
      <x:c r="M204" s="28" t="n">
        <x:v>2900</x:v>
      </x:c>
      <x:c r="N204" s="28" t="n">
        <x:v>2500</x:v>
      </x:c>
      <x:c r="O204" s="28" t="n">
        <x:v>116</x:v>
      </x:c>
      <x:c r="P204" s="28" t="n">
        <x:v>250</x:v>
      </x:c>
      <x:c r="Q204" s="28" t="n">
        <x:v>1600</x:v>
      </x:c>
      <x:c r="R204" s="22"/>
      <x:c r="S204" s="22"/>
      <x:c r="T204" s="22" t="str">
        <x:v>32位有符号内</x:v>
      </x:c>
    </x:row>
    <x:row r="205" ht="24" customHeight="1">
      <x:c r="A205" s="22" t="str">
        <x:v>C04-M031</x:v>
      </x:c>
      <x:c r="B205" s="22" t="n">
        <x:v>4</x:v>
      </x:c>
      <x:c r="C205" s="22" t="str">
        <x:v>湖心沉船</x:v>
      </x:c>
      <x:c r="D205" s="22" t="str">
        <x:v>稀有</x:v>
      </x:c>
      <x:c r="E205" s="22" t="str">
        <x:v>白鳍劫舟客</x:v>
      </x:c>
      <x:c r="F205" s="22" t="str">
        <x:v>XX363</x:v>
      </x:c>
      <x:c r="G205" s="22" t="str">
        <x:v>P0112</x:v>
      </x:c>
      <x:c r="H205" s="22" t="n">
        <x:v>26.400000000000002</x:v>
      </x:c>
      <x:c r="I205" s="28" t="n">
        <x:v>2751740.6131325224</x:v>
      </x:c>
      <x:c r="J205" s="28" t="n">
        <x:f>ROUND(H205*I205,-MAX(0,INT(LOG10(H205*I205))-1))</x:f>
        <x:v>73000000</x:v>
      </x:c>
      <x:c r="K205" s="28" t="n">
        <x:v>110000</x:v>
      </x:c>
      <x:c r="L205" s="28" t="n">
        <x:v>150000</x:v>
      </x:c>
      <x:c r="M205" s="28" t="n">
        <x:v>5700</x:v>
      </x:c>
      <x:c r="N205" s="28" t="n">
        <x:v>4800</x:v>
      </x:c>
      <x:c r="O205" s="28" t="n">
        <x:v>116</x:v>
      </x:c>
      <x:c r="P205" s="28" t="n">
        <x:v>750</x:v>
      </x:c>
      <x:c r="Q205" s="28" t="n">
        <x:v>1700</x:v>
      </x:c>
      <x:c r="R205" s="22"/>
      <x:c r="S205" s="22"/>
      <x:c r="T205" s="22" t="str">
        <x:v>32位有符号内</x:v>
      </x:c>
    </x:row>
    <x:row r="206" ht="24" customHeight="1">
      <x:c r="A206" s="22" t="str">
        <x:v>C04-M032</x:v>
      </x:c>
      <x:c r="B206" s="22" t="n">
        <x:v>4</x:v>
      </x:c>
      <x:c r="C206" s="22" t="str">
        <x:v>湖心沉船</x:v>
      </x:c>
      <x:c r="D206" s="22" t="str">
        <x:v>稀有</x:v>
      </x:c>
      <x:c r="E206" s="22" t="str">
        <x:v>抱舵老幽魂</x:v>
      </x:c>
      <x:c r="F206" s="22" t="str">
        <x:v>XX362</x:v>
      </x:c>
      <x:c r="G206" s="22" t="str">
        <x:v>P0112</x:v>
      </x:c>
      <x:c r="H206" s="22" t="n">
        <x:v>21.6</x:v>
      </x:c>
      <x:c r="I206" s="28" t="n">
        <x:v>2751740.6131325224</x:v>
      </x:c>
      <x:c r="J206" s="28" t="n">
        <x:f>ROUND(H206*I206,-MAX(0,INT(LOG10(H206*I206))-1))</x:f>
        <x:v>59000000</x:v>
      </x:c>
      <x:c r="K206" s="28" t="n">
        <x:v>110000</x:v>
      </x:c>
      <x:c r="L206" s="28" t="n">
        <x:v>150000</x:v>
      </x:c>
      <x:c r="M206" s="28" t="n">
        <x:v>5700</x:v>
      </x:c>
      <x:c r="N206" s="28" t="n">
        <x:v>4800</x:v>
      </x:c>
      <x:c r="O206" s="28" t="n">
        <x:v>116</x:v>
      </x:c>
      <x:c r="P206" s="28" t="n">
        <x:v>750</x:v>
      </x:c>
      <x:c r="Q206" s="28" t="n">
        <x:v>1700</x:v>
      </x:c>
      <x:c r="R206" s="22"/>
      <x:c r="S206" s="22"/>
      <x:c r="T206" s="22" t="str">
        <x:v>32位有符号内</x:v>
      </x:c>
    </x:row>
    <x:row r="207" ht="24" customHeight="1">
      <x:c r="A207" s="22" t="str">
        <x:v>C04-M033</x:v>
      </x:c>
      <x:c r="B207" s="22" t="n">
        <x:v>4</x:v>
      </x:c>
      <x:c r="C207" s="22" t="str">
        <x:v>湖心沉船</x:v>
      </x:c>
      <x:c r="D207" s="22" t="str">
        <x:v>稀有</x:v>
      </x:c>
      <x:c r="E207" s="22" t="str">
        <x:v>棺板伏行者</x:v>
      </x:c>
      <x:c r="F207" s="22" t="str">
        <x:v>XX351</x:v>
      </x:c>
      <x:c r="G207" s="22" t="str">
        <x:v>P0112</x:v>
      </x:c>
      <x:c r="H207" s="22" t="n">
        <x:v>26.400000000000002</x:v>
      </x:c>
      <x:c r="I207" s="28" t="n">
        <x:v>2751740.6131325224</x:v>
      </x:c>
      <x:c r="J207" s="28" t="n">
        <x:f>ROUND(H207*I207,-MAX(0,INT(LOG10(H207*I207))-1))</x:f>
        <x:v>73000000</x:v>
      </x:c>
      <x:c r="K207" s="28" t="n">
        <x:v>110000</x:v>
      </x:c>
      <x:c r="L207" s="28" t="n">
        <x:v>150000</x:v>
      </x:c>
      <x:c r="M207" s="28" t="n">
        <x:v>5700</x:v>
      </x:c>
      <x:c r="N207" s="28" t="n">
        <x:v>4800</x:v>
      </x:c>
      <x:c r="O207" s="28" t="n">
        <x:v>116</x:v>
      </x:c>
      <x:c r="P207" s="28" t="n">
        <x:v>750</x:v>
      </x:c>
      <x:c r="Q207" s="28" t="n">
        <x:v>1700</x:v>
      </x:c>
      <x:c r="R207" s="22"/>
      <x:c r="S207" s="22"/>
      <x:c r="T207" s="22" t="str">
        <x:v>32位有符号内</x:v>
      </x:c>
    </x:row>
    <x:row r="208" ht="24" customHeight="1">
      <x:c r="A208" s="22" t="str">
        <x:v>C04-M034</x:v>
      </x:c>
      <x:c r="B208" s="22" t="n">
        <x:v>4</x:v>
      </x:c>
      <x:c r="C208" s="22" t="str">
        <x:v>湖心沉船</x:v>
      </x:c>
      <x:c r="D208" s="22" t="str">
        <x:v>稀有</x:v>
      </x:c>
      <x:c r="E208" s="22" t="str">
        <x:v>啃锚深渊鱼</x:v>
      </x:c>
      <x:c r="F208" s="22" t="str">
        <x:v>XX351</x:v>
      </x:c>
      <x:c r="G208" s="22" t="str">
        <x:v>P0112</x:v>
      </x:c>
      <x:c r="H208" s="22" t="n">
        <x:v>21.6</x:v>
      </x:c>
      <x:c r="I208" s="28" t="n">
        <x:v>2751740.6131325224</x:v>
      </x:c>
      <x:c r="J208" s="28" t="n">
        <x:f>ROUND(H208*I208,-MAX(0,INT(LOG10(H208*I208))-1))</x:f>
        <x:v>59000000</x:v>
      </x:c>
      <x:c r="K208" s="28" t="n">
        <x:v>110000</x:v>
      </x:c>
      <x:c r="L208" s="28" t="n">
        <x:v>150000</x:v>
      </x:c>
      <x:c r="M208" s="28" t="n">
        <x:v>5700</x:v>
      </x:c>
      <x:c r="N208" s="28" t="n">
        <x:v>4800</x:v>
      </x:c>
      <x:c r="O208" s="28" t="n">
        <x:v>116</x:v>
      </x:c>
      <x:c r="P208" s="28" t="n">
        <x:v>750</x:v>
      </x:c>
      <x:c r="Q208" s="28" t="n">
        <x:v>1700</x:v>
      </x:c>
      <x:c r="R208" s="22"/>
      <x:c r="S208" s="22"/>
      <x:c r="T208" s="22" t="str">
        <x:v>32位有符号内</x:v>
      </x:c>
    </x:row>
    <x:row r="209" ht="24" customHeight="1">
      <x:c r="A209" s="22" t="str">
        <x:v>C04-M035</x:v>
      </x:c>
      <x:c r="B209" s="22" t="n">
        <x:v>4</x:v>
      </x:c>
      <x:c r="C209" s="22" t="str">
        <x:v>湖心沉船</x:v>
      </x:c>
      <x:c r="D209" s="22" t="str">
        <x:v>地图BOSS</x:v>
      </x:c>
      <x:c r="E209" s="22" t="str">
        <x:v>锁舱船长·奥杜</x:v>
      </x:c>
      <x:c r="F209" s="22" t="str">
        <x:v>XX362</x:v>
      </x:c>
      <x:c r="G209" s="22" t="str">
        <x:v>P0119</x:v>
      </x:c>
      <x:c r="H209" s="22" t="n">
        <x:v>75</x:v>
      </x:c>
      <x:c r="I209" s="28" t="n">
        <x:v>7235969.790269651</x:v>
      </x:c>
      <x:c r="J209" s="28" t="n">
        <x:f>ROUND(H209*I209,-MAX(0,INT(LOG10(H209*I209))-1))</x:f>
        <x:v>540000000</x:v>
      </x:c>
      <x:c r="K209" s="28" t="n">
        <x:v>190000</x:v>
      </x:c>
      <x:c r="L209" s="28" t="n">
        <x:v>260000</x:v>
      </x:c>
      <x:c r="M209" s="28" t="n">
        <x:v>11000</x:v>
      </x:c>
      <x:c r="N209" s="28" t="n">
        <x:v>9400</x:v>
      </x:c>
      <x:c r="O209" s="28" t="n">
        <x:v>116</x:v>
      </x:c>
      <x:c r="P209" s="28" t="n">
        <x:v>3000</x:v>
      </x:c>
      <x:c r="Q209" s="28" t="n">
        <x:v>1800</x:v>
      </x:c>
      <x:c r="R209" s="22"/>
      <x:c r="S209" s="22"/>
      <x:c r="T209" s="22" t="str">
        <x:v>32位有符号内</x:v>
      </x:c>
    </x:row>
    <x:row r="210" ht="24" customHeight="1">
      <x:c r="A210" s="22" t="str">
        <x:v>C04-M036</x:v>
      </x:c>
      <x:c r="B210" s="22" t="n">
        <x:v>4</x:v>
      </x:c>
      <x:c r="C210" s="22" t="str">
        <x:v>湖心沉船</x:v>
      </x:c>
      <x:c r="D210" s="22" t="str">
        <x:v>地图BOSS</x:v>
      </x:c>
      <x:c r="E210" s="22" t="str">
        <x:v>亡舟新娘·伊蕾莎</x:v>
      </x:c>
      <x:c r="F210" s="22" t="str">
        <x:v>XX351</x:v>
      </x:c>
      <x:c r="G210" s="22" t="str">
        <x:v>P0120</x:v>
      </x:c>
      <x:c r="H210" s="22" t="n">
        <x:v>86.25</x:v>
      </x:c>
      <x:c r="I210" s="28" t="n">
        <x:v>7235969.790269651</x:v>
      </x:c>
      <x:c r="J210" s="28" t="n">
        <x:f>ROUND(H210*I210,-MAX(0,INT(LOG10(H210*I210))-1))</x:f>
        <x:v>620000000</x:v>
      </x:c>
      <x:c r="K210" s="28" t="n">
        <x:v>190000</x:v>
      </x:c>
      <x:c r="L210" s="28" t="n">
        <x:v>250000</x:v>
      </x:c>
      <x:c r="M210" s="28" t="n">
        <x:v>11000</x:v>
      </x:c>
      <x:c r="N210" s="28" t="n">
        <x:v>9400</x:v>
      </x:c>
      <x:c r="O210" s="28" t="n">
        <x:v>116</x:v>
      </x:c>
      <x:c r="P210" s="28" t="n">
        <x:v>3000</x:v>
      </x:c>
      <x:c r="Q210" s="28" t="n">
        <x:v>1800</x:v>
      </x:c>
      <x:c r="R210" s="22"/>
      <x:c r="S210" s="22"/>
      <x:c r="T210" s="22" t="str">
        <x:v>32位有符号内</x:v>
      </x:c>
    </x:row>
    <x:row r="211" ht="24" customHeight="1">
      <x:c r="A211" s="22" t="str">
        <x:v>C04-M037</x:v>
      </x:c>
      <x:c r="B211" s="22" t="n">
        <x:v>4</x:v>
      </x:c>
      <x:c r="C211" s="22" t="str">
        <x:v>幽灵船骸</x:v>
      </x:c>
      <x:c r="D211" s="22" t="str">
        <x:v>普通</x:v>
      </x:c>
      <x:c r="E211" s="22" t="str">
        <x:v>磷火甲板兵</x:v>
      </x:c>
      <x:c r="F211" s="22" t="str">
        <x:v>XX527</x:v>
      </x:c>
      <x:c r="G211" s="22" t="str">
        <x:v>P0118</x:v>
      </x:c>
      <x:c r="H211" s="22" t="n">
        <x:v>9.2</x:v>
      </x:c>
      <x:c r="I211" s="28" t="n">
        <x:v>3145646.285700871</x:v>
      </x:c>
      <x:c r="J211" s="28" t="n">
        <x:f>ROUND(H211*I211,-MAX(0,INT(LOG10(H211*I211))-1))</x:f>
        <x:v>29000000</x:v>
      </x:c>
      <x:c r="K211" s="28" t="n">
        <x:v>17000</x:v>
      </x:c>
      <x:c r="L211" s="28" t="n">
        <x:v>24000</x:v>
      </x:c>
      <x:c r="M211" s="28" t="n">
        <x:v>3000</x:v>
      </x:c>
      <x:c r="N211" s="28" t="n">
        <x:v>2600</x:v>
      </x:c>
      <x:c r="O211" s="28" t="n">
        <x:v>119</x:v>
      </x:c>
      <x:c r="P211" s="28" t="n">
        <x:v>260</x:v>
      </x:c>
      <x:c r="Q211" s="28" t="n">
        <x:v>1600</x:v>
      </x:c>
      <x:c r="R211" s="22"/>
      <x:c r="S211" s="22"/>
      <x:c r="T211" s="22" t="str">
        <x:v>32位有符号内</x:v>
      </x:c>
    </x:row>
    <x:row r="212" ht="24" customHeight="1">
      <x:c r="A212" s="22" t="str">
        <x:v>C04-M038</x:v>
      </x:c>
      <x:c r="B212" s="22" t="n">
        <x:v>4</x:v>
      </x:c>
      <x:c r="C212" s="22" t="str">
        <x:v>幽灵船骸</x:v>
      </x:c>
      <x:c r="D212" s="22" t="str">
        <x:v>普通</x:v>
      </x:c>
      <x:c r="E212" s="22" t="str">
        <x:v>船骸骨鸥</x:v>
      </x:c>
      <x:c r="F212" s="22" t="str">
        <x:v>XX527</x:v>
      </x:c>
      <x:c r="G212" s="22" t="str">
        <x:v>P0118</x:v>
      </x:c>
      <x:c r="H212" s="22" t="n">
        <x:v>8</x:v>
      </x:c>
      <x:c r="I212" s="28" t="n">
        <x:v>3145646.285700871</x:v>
      </x:c>
      <x:c r="J212" s="28" t="n">
        <x:f>ROUND(H212*I212,-MAX(0,INT(LOG10(H212*I212))-1))</x:f>
        <x:v>25000000</x:v>
      </x:c>
      <x:c r="K212" s="28" t="n">
        <x:v>17000</x:v>
      </x:c>
      <x:c r="L212" s="28" t="n">
        <x:v>24000</x:v>
      </x:c>
      <x:c r="M212" s="28" t="n">
        <x:v>3000</x:v>
      </x:c>
      <x:c r="N212" s="28" t="n">
        <x:v>2600</x:v>
      </x:c>
      <x:c r="O212" s="28" t="n">
        <x:v>119</x:v>
      </x:c>
      <x:c r="P212" s="28" t="n">
        <x:v>260</x:v>
      </x:c>
      <x:c r="Q212" s="28" t="n">
        <x:v>1600</x:v>
      </x:c>
      <x:c r="R212" s="22"/>
      <x:c r="S212" s="22"/>
      <x:c r="T212" s="22" t="str">
        <x:v>32位有符号内</x:v>
      </x:c>
    </x:row>
    <x:row r="213" ht="24" customHeight="1">
      <x:c r="A213" s="22" t="str">
        <x:v>C04-M039</x:v>
      </x:c>
      <x:c r="B213" s="22" t="n">
        <x:v>4</x:v>
      </x:c>
      <x:c r="C213" s="22" t="str">
        <x:v>幽灵船骸</x:v>
      </x:c>
      <x:c r="D213" s="22" t="str">
        <x:v>普通</x:v>
      </x:c>
      <x:c r="E213" s="22" t="str">
        <x:v>漏舱舀水鬼</x:v>
      </x:c>
      <x:c r="F213" s="22" t="str">
        <x:v>XX457</x:v>
      </x:c>
      <x:c r="G213" s="22" t="str">
        <x:v>P0118</x:v>
      </x:c>
      <x:c r="H213" s="22" t="n">
        <x:v>8.8</x:v>
      </x:c>
      <x:c r="I213" s="28" t="n">
        <x:v>3145646.285700871</x:v>
      </x:c>
      <x:c r="J213" s="28" t="n">
        <x:f>ROUND(H213*I213,-MAX(0,INT(LOG10(H213*I213))-1))</x:f>
        <x:v>28000000</x:v>
      </x:c>
      <x:c r="K213" s="28" t="n">
        <x:v>17000</x:v>
      </x:c>
      <x:c r="L213" s="28" t="n">
        <x:v>24000</x:v>
      </x:c>
      <x:c r="M213" s="28" t="n">
        <x:v>3000</x:v>
      </x:c>
      <x:c r="N213" s="28" t="n">
        <x:v>2600</x:v>
      </x:c>
      <x:c r="O213" s="28" t="n">
        <x:v>119</x:v>
      </x:c>
      <x:c r="P213" s="28" t="n">
        <x:v>260</x:v>
      </x:c>
      <x:c r="Q213" s="28" t="n">
        <x:v>1600</x:v>
      </x:c>
      <x:c r="R213" s="22"/>
      <x:c r="S213" s="22"/>
      <x:c r="T213" s="22" t="str">
        <x:v>32位有符号内</x:v>
      </x:c>
    </x:row>
    <x:row r="214" ht="24" customHeight="1">
      <x:c r="A214" s="22" t="str">
        <x:v>C04-M040</x:v>
      </x:c>
      <x:c r="B214" s="22" t="n">
        <x:v>4</x:v>
      </x:c>
      <x:c r="C214" s="22" t="str">
        <x:v>幽灵船骸</x:v>
      </x:c>
      <x:c r="D214" s="22" t="str">
        <x:v>普通</x:v>
      </x:c>
      <x:c r="E214" s="22" t="str">
        <x:v>铜铃引魂童</x:v>
      </x:c>
      <x:c r="F214" s="22" t="str">
        <x:v>XX457</x:v>
      </x:c>
      <x:c r="G214" s="22" t="str">
        <x:v>P0118</x:v>
      </x:c>
      <x:c r="H214" s="22" t="n">
        <x:v>9.2</x:v>
      </x:c>
      <x:c r="I214" s="28" t="n">
        <x:v>3145646.285700871</x:v>
      </x:c>
      <x:c r="J214" s="28" t="n">
        <x:f>ROUND(H214*I214,-MAX(0,INT(LOG10(H214*I214))-1))</x:f>
        <x:v>29000000</x:v>
      </x:c>
      <x:c r="K214" s="28" t="n">
        <x:v>17000</x:v>
      </x:c>
      <x:c r="L214" s="28" t="n">
        <x:v>24000</x:v>
      </x:c>
      <x:c r="M214" s="28" t="n">
        <x:v>3000</x:v>
      </x:c>
      <x:c r="N214" s="28" t="n">
        <x:v>2600</x:v>
      </x:c>
      <x:c r="O214" s="28" t="n">
        <x:v>119</x:v>
      </x:c>
      <x:c r="P214" s="28" t="n">
        <x:v>260</x:v>
      </x:c>
      <x:c r="Q214" s="28" t="n">
        <x:v>1600</x:v>
      </x:c>
      <x:c r="R214" s="22"/>
      <x:c r="S214" s="22"/>
      <x:c r="T214" s="22" t="str">
        <x:v>32位有符号内</x:v>
      </x:c>
    </x:row>
    <x:row r="215" ht="24" customHeight="1">
      <x:c r="A215" s="22" t="str">
        <x:v>C04-M041</x:v>
      </x:c>
      <x:c r="B215" s="22" t="n">
        <x:v>4</x:v>
      </x:c>
      <x:c r="C215" s="22" t="str">
        <x:v>幽灵船骸</x:v>
      </x:c>
      <x:c r="D215" s="22" t="str">
        <x:v>普通</x:v>
      </x:c>
      <x:c r="E215" s="22" t="str">
        <x:v>密舱蜡尸</x:v>
      </x:c>
      <x:c r="F215" s="22" t="str">
        <x:v>XX582</x:v>
      </x:c>
      <x:c r="G215" s="22" t="str">
        <x:v>P0118</x:v>
      </x:c>
      <x:c r="H215" s="22" t="n">
        <x:v>9.2</x:v>
      </x:c>
      <x:c r="I215" s="28" t="n">
        <x:v>3145646.285700871</x:v>
      </x:c>
      <x:c r="J215" s="28" t="n">
        <x:f>ROUND(H215*I215,-MAX(0,INT(LOG10(H215*I215))-1))</x:f>
        <x:v>29000000</x:v>
      </x:c>
      <x:c r="K215" s="28" t="n">
        <x:v>17000</x:v>
      </x:c>
      <x:c r="L215" s="28" t="n">
        <x:v>24000</x:v>
      </x:c>
      <x:c r="M215" s="28" t="n">
        <x:v>3000</x:v>
      </x:c>
      <x:c r="N215" s="28" t="n">
        <x:v>2600</x:v>
      </x:c>
      <x:c r="O215" s="28" t="n">
        <x:v>119</x:v>
      </x:c>
      <x:c r="P215" s="28" t="n">
        <x:v>260</x:v>
      </x:c>
      <x:c r="Q215" s="28" t="n">
        <x:v>1600</x:v>
      </x:c>
      <x:c r="R215" s="22"/>
      <x:c r="S215" s="22"/>
      <x:c r="T215" s="22" t="str">
        <x:v>32位有符号内</x:v>
      </x:c>
    </x:row>
    <x:row r="216" ht="24" customHeight="1">
      <x:c r="A216" s="22" t="str">
        <x:v>C04-M042</x:v>
      </x:c>
      <x:c r="B216" s="22" t="n">
        <x:v>4</x:v>
      </x:c>
      <x:c r="C216" s="22" t="str">
        <x:v>幽灵船骸</x:v>
      </x:c>
      <x:c r="D216" s="22" t="str">
        <x:v>普通</x:v>
      </x:c>
      <x:c r="E216" s="22" t="str">
        <x:v>食梦船蛾</x:v>
      </x:c>
      <x:c r="F216" s="22" t="str">
        <x:v>XX582</x:v>
      </x:c>
      <x:c r="G216" s="22" t="str">
        <x:v>P0118</x:v>
      </x:c>
      <x:c r="H216" s="22" t="n">
        <x:v>9.2</x:v>
      </x:c>
      <x:c r="I216" s="28" t="n">
        <x:v>3145646.285700871</x:v>
      </x:c>
      <x:c r="J216" s="28" t="n">
        <x:f>ROUND(H216*I216,-MAX(0,INT(LOG10(H216*I216))-1))</x:f>
        <x:v>29000000</x:v>
      </x:c>
      <x:c r="K216" s="28" t="n">
        <x:v>17000</x:v>
      </x:c>
      <x:c r="L216" s="28" t="n">
        <x:v>24000</x:v>
      </x:c>
      <x:c r="M216" s="28" t="n">
        <x:v>3000</x:v>
      </x:c>
      <x:c r="N216" s="28" t="n">
        <x:v>2600</x:v>
      </x:c>
      <x:c r="O216" s="28" t="n">
        <x:v>119</x:v>
      </x:c>
      <x:c r="P216" s="28" t="n">
        <x:v>260</x:v>
      </x:c>
      <x:c r="Q216" s="28" t="n">
        <x:v>1600</x:v>
      </x:c>
      <x:c r="R216" s="22"/>
      <x:c r="S216" s="22"/>
      <x:c r="T216" s="22" t="str">
        <x:v>32位有符号内</x:v>
      </x:c>
    </x:row>
    <x:row r="217" ht="24" customHeight="1">
      <x:c r="A217" s="22" t="str">
        <x:v>C04-M043</x:v>
      </x:c>
      <x:c r="B217" s="22" t="n">
        <x:v>4</x:v>
      </x:c>
      <x:c r="C217" s="22" t="str">
        <x:v>幽灵船骸</x:v>
      </x:c>
      <x:c r="D217" s="22" t="str">
        <x:v>稀有</x:v>
      </x:c>
      <x:c r="E217" s="22" t="str">
        <x:v>倒吊瞭望手</x:v>
      </x:c>
      <x:c r="F217" s="22" t="str">
        <x:v>XX527</x:v>
      </x:c>
      <x:c r="G217" s="22" t="str">
        <x:v>P0118</x:v>
      </x:c>
      <x:c r="H217" s="22" t="n">
        <x:v>22.799999999999997</x:v>
      </x:c>
      <x:c r="I217" s="28" t="n">
        <x:v>2941042.8198187947</x:v>
      </x:c>
      <x:c r="J217" s="28" t="n">
        <x:f>ROUND(H217*I217,-MAX(0,INT(LOG10(H217*I217))-1))</x:f>
        <x:v>67000000</x:v>
      </x:c>
      <x:c r="K217" s="28" t="n">
        <x:v>55000</x:v>
      </x:c>
      <x:c r="L217" s="28" t="n">
        <x:v>74000</x:v>
      </x:c>
      <x:c r="M217" s="28" t="n">
        <x:v>6100</x:v>
      </x:c>
      <x:c r="N217" s="28" t="n">
        <x:v>5200</x:v>
      </x:c>
      <x:c r="O217" s="28" t="n">
        <x:v>119</x:v>
      </x:c>
      <x:c r="P217" s="28" t="n">
        <x:v>800</x:v>
      </x:c>
      <x:c r="Q217" s="28" t="n">
        <x:v>1700</x:v>
      </x:c>
      <x:c r="R217" s="22"/>
      <x:c r="S217" s="22"/>
      <x:c r="T217" s="22" t="str">
        <x:v>32位有符号内</x:v>
      </x:c>
    </x:row>
    <x:row r="218" ht="24" customHeight="1">
      <x:c r="A218" s="22" t="str">
        <x:v>C04-M044</x:v>
      </x:c>
      <x:c r="B218" s="22" t="n">
        <x:v>4</x:v>
      </x:c>
      <x:c r="C218" s="22" t="str">
        <x:v>幽灵船骸</x:v>
      </x:c>
      <x:c r="D218" s="22" t="str">
        <x:v>稀有</x:v>
      </x:c>
      <x:c r="E218" s="22" t="str">
        <x:v>无面桨官</x:v>
      </x:c>
      <x:c r="F218" s="22" t="str">
        <x:v>XX457</x:v>
      </x:c>
      <x:c r="G218" s="22" t="str">
        <x:v>P0118</x:v>
      </x:c>
      <x:c r="H218" s="22" t="n">
        <x:v>22.799999999999997</x:v>
      </x:c>
      <x:c r="I218" s="28" t="n">
        <x:v>2941042.8198187947</x:v>
      </x:c>
      <x:c r="J218" s="28" t="n">
        <x:f>ROUND(H218*I218,-MAX(0,INT(LOG10(H218*I218))-1))</x:f>
        <x:v>67000000</x:v>
      </x:c>
      <x:c r="K218" s="28" t="n">
        <x:v>55000</x:v>
      </x:c>
      <x:c r="L218" s="28" t="n">
        <x:v>74000</x:v>
      </x:c>
      <x:c r="M218" s="28" t="n">
        <x:v>6100</x:v>
      </x:c>
      <x:c r="N218" s="28" t="n">
        <x:v>5200</x:v>
      </x:c>
      <x:c r="O218" s="28" t="n">
        <x:v>119</x:v>
      </x:c>
      <x:c r="P218" s="28" t="n">
        <x:v>800</x:v>
      </x:c>
      <x:c r="Q218" s="28" t="n">
        <x:v>1700</x:v>
      </x:c>
      <x:c r="R218" s="22"/>
      <x:c r="S218" s="22"/>
      <x:c r="T218" s="22" t="str">
        <x:v>32位有符号内</x:v>
      </x:c>
    </x:row>
    <x:row r="219" ht="24" customHeight="1">
      <x:c r="A219" s="22" t="str">
        <x:v>C04-M045</x:v>
      </x:c>
      <x:c r="B219" s="22" t="n">
        <x:v>4</x:v>
      </x:c>
      <x:c r="C219" s="22" t="str">
        <x:v>幽灵船骸</x:v>
      </x:c>
      <x:c r="D219" s="22" t="str">
        <x:v>稀有</x:v>
      </x:c>
      <x:c r="E219" s="22" t="str">
        <x:v>舱壁缝合怪</x:v>
      </x:c>
      <x:c r="F219" s="22" t="str">
        <x:v>XX582</x:v>
      </x:c>
      <x:c r="G219" s="22" t="str">
        <x:v>P0118</x:v>
      </x:c>
      <x:c r="H219" s="22" t="n">
        <x:v>24</x:v>
      </x:c>
      <x:c r="I219" s="28" t="n">
        <x:v>2941042.8198187947</x:v>
      </x:c>
      <x:c r="J219" s="28" t="n">
        <x:f>ROUND(H219*I219,-MAX(0,INT(LOG10(H219*I219))-1))</x:f>
        <x:v>71000000</x:v>
      </x:c>
      <x:c r="K219" s="28" t="n">
        <x:v>54000</x:v>
      </x:c>
      <x:c r="L219" s="28" t="n">
        <x:v>73000</x:v>
      </x:c>
      <x:c r="M219" s="28" t="n">
        <x:v>6100</x:v>
      </x:c>
      <x:c r="N219" s="28" t="n">
        <x:v>5200</x:v>
      </x:c>
      <x:c r="O219" s="28" t="n">
        <x:v>119</x:v>
      </x:c>
      <x:c r="P219" s="28" t="n">
        <x:v>800</x:v>
      </x:c>
      <x:c r="Q219" s="28" t="n">
        <x:v>1700</x:v>
      </x:c>
      <x:c r="R219" s="22"/>
      <x:c r="S219" s="22"/>
      <x:c r="T219" s="22" t="str">
        <x:v>32位有符号内</x:v>
      </x:c>
    </x:row>
    <x:row r="220" ht="24" customHeight="1">
      <x:c r="A220" s="22" t="str">
        <x:v>C04-M046</x:v>
      </x:c>
      <x:c r="B220" s="22" t="n">
        <x:v>4</x:v>
      </x:c>
      <x:c r="C220" s="22" t="str">
        <x:v>幽灵船骸</x:v>
      </x:c>
      <x:c r="D220" s="22" t="str">
        <x:v>稀有</x:v>
      </x:c>
      <x:c r="E220" s="22" t="str">
        <x:v>黑帆招魂师</x:v>
      </x:c>
      <x:c r="F220" s="22" t="str">
        <x:v>XX582</x:v>
      </x:c>
      <x:c r="G220" s="22" t="str">
        <x:v>P0118</x:v>
      </x:c>
      <x:c r="H220" s="22" t="n">
        <x:v>24</x:v>
      </x:c>
      <x:c r="I220" s="28" t="n">
        <x:v>2941042.8198187947</x:v>
      </x:c>
      <x:c r="J220" s="28" t="n">
        <x:f>ROUND(H220*I220,-MAX(0,INT(LOG10(H220*I220))-1))</x:f>
        <x:v>71000000</x:v>
      </x:c>
      <x:c r="K220" s="28" t="n">
        <x:v>54000</x:v>
      </x:c>
      <x:c r="L220" s="28" t="n">
        <x:v>73000</x:v>
      </x:c>
      <x:c r="M220" s="28" t="n">
        <x:v>6100</x:v>
      </x:c>
      <x:c r="N220" s="28" t="n">
        <x:v>5200</x:v>
      </x:c>
      <x:c r="O220" s="28" t="n">
        <x:v>119</x:v>
      </x:c>
      <x:c r="P220" s="28" t="n">
        <x:v>800</x:v>
      </x:c>
      <x:c r="Q220" s="28" t="n">
        <x:v>1700</x:v>
      </x:c>
      <x:c r="R220" s="22"/>
      <x:c r="S220" s="22"/>
      <x:c r="T220" s="22" t="str">
        <x:v>32位有符号内</x:v>
      </x:c>
    </x:row>
    <x:row r="221" ht="24" customHeight="1">
      <x:c r="A221" s="22" t="str">
        <x:v>C04-M047</x:v>
      </x:c>
      <x:c r="B221" s="22" t="n">
        <x:v>4</x:v>
      </x:c>
      <x:c r="C221" s="22" t="str">
        <x:v>幽灵船骸</x:v>
      </x:c>
      <x:c r="D221" s="22" t="str">
        <x:v>地图BOSS</x:v>
      </x:c>
      <x:c r="E221" s="22" t="str">
        <x:v>幽舵大副·赫岚</x:v>
      </x:c>
      <x:c r="F221" s="22" t="str">
        <x:v>XX457</x:v>
      </x:c>
      <x:c r="G221" s="22" t="str">
        <x:v>P0125</x:v>
      </x:c>
      <x:c r="H221" s="22" t="n">
        <x:v>86.25</x:v>
      </x:c>
      <x:c r="I221" s="28" t="n">
        <x:v>7681863.83740072</x:v>
      </x:c>
      <x:c r="J221" s="28" t="n">
        <x:f>ROUND(H221*I221,-MAX(0,INT(LOG10(H221*I221))-1))</x:f>
        <x:v>660000000</x:v>
      </x:c>
      <x:c r="K221" s="28" t="n">
        <x:v>91000</x:v>
      </x:c>
      <x:c r="L221" s="28" t="n">
        <x:v>120000</x:v>
      </x:c>
      <x:c r="M221" s="28" t="n">
        <x:v>11000</x:v>
      </x:c>
      <x:c r="N221" s="28" t="n">
        <x:v>9400</x:v>
      </x:c>
      <x:c r="O221" s="28" t="n">
        <x:v>119</x:v>
      </x:c>
      <x:c r="P221" s="28" t="n">
        <x:v>3200</x:v>
      </x:c>
      <x:c r="Q221" s="28" t="n">
        <x:v>1800</x:v>
      </x:c>
      <x:c r="R221" s="22"/>
      <x:c r="S221" s="22"/>
      <x:c r="T221" s="22" t="str">
        <x:v>32位有符号内</x:v>
      </x:c>
    </x:row>
    <x:row r="222" ht="24" customHeight="1">
      <x:c r="A222" s="22" t="str">
        <x:v>C04-M048</x:v>
      </x:c>
      <x:c r="B222" s="22" t="n">
        <x:v>4</x:v>
      </x:c>
      <x:c r="C222" s="22" t="str">
        <x:v>幽灵船骸</x:v>
      </x:c>
      <x:c r="D222" s="22" t="str">
        <x:v>地图BOSS</x:v>
      </x:c>
      <x:c r="E222" s="22" t="str">
        <x:v>百舱吞魂者·沃姆</x:v>
      </x:c>
      <x:c r="F222" s="22" t="str">
        <x:v>XX582</x:v>
      </x:c>
      <x:c r="G222" s="22" t="str">
        <x:v>P0126</x:v>
      </x:c>
      <x:c r="H222" s="22" t="n">
        <x:v>82.5</x:v>
      </x:c>
      <x:c r="I222" s="28" t="n">
        <x:v>7681863.83740072</x:v>
      </x:c>
      <x:c r="J222" s="28" t="n">
        <x:f>ROUND(H222*I222,-MAX(0,INT(LOG10(H222*I222))-1))</x:f>
        <x:v>630000000</x:v>
      </x:c>
      <x:c r="K222" s="28" t="n">
        <x:v>91000</x:v>
      </x:c>
      <x:c r="L222" s="28" t="n">
        <x:v>120000</x:v>
      </x:c>
      <x:c r="M222" s="28" t="n">
        <x:v>11000</x:v>
      </x:c>
      <x:c r="N222" s="28" t="n">
        <x:v>9400</x:v>
      </x:c>
      <x:c r="O222" s="28" t="n">
        <x:v>119</x:v>
      </x:c>
      <x:c r="P222" s="28" t="n">
        <x:v>3200</x:v>
      </x:c>
      <x:c r="Q222" s="28" t="n">
        <x:v>1800</x:v>
      </x:c>
      <x:c r="R222" s="22"/>
      <x:c r="S222" s="22"/>
      <x:c r="T222" s="22" t="str">
        <x:v>32位有符号内</x:v>
      </x:c>
    </x:row>
    <x:row r="223" ht="24" customHeight="1">
      <x:c r="A223" s="22" t="str">
        <x:v>C04-M049</x:v>
      </x:c>
      <x:c r="B223" s="22" t="n">
        <x:v>4</x:v>
      </x:c>
      <x:c r="C223" s="22" t="str">
        <x:v>深湖水道</x:v>
      </x:c>
      <x:c r="D223" s="22" t="str">
        <x:v>普通</x:v>
      </x:c>
      <x:c r="E223" s="22" t="str">
        <x:v>水闸巡守</x:v>
      </x:c>
      <x:c r="F223" s="22" t="str">
        <x:v>XX395</x:v>
      </x:c>
      <x:c r="G223" s="22" t="str">
        <x:v>P0124</x:v>
      </x:c>
      <x:c r="H223" s="22" t="n">
        <x:v>9.2</x:v>
      </x:c>
      <x:c r="I223" s="28" t="n">
        <x:v>3695864.6061285897</x:v>
      </x:c>
      <x:c r="J223" s="28" t="n">
        <x:f>ROUND(H223*I223,-MAX(0,INT(LOG10(H223*I223))-1))</x:f>
        <x:v>34000000</x:v>
      </x:c>
      <x:c r="K223" s="28" t="n">
        <x:v>14000</x:v>
      </x:c>
      <x:c r="L223" s="28" t="n">
        <x:v>19000</x:v>
      </x:c>
      <x:c r="M223" s="28" t="n">
        <x:v>3600</x:v>
      </x:c>
      <x:c r="N223" s="28" t="n">
        <x:v>3100</x:v>
      </x:c>
      <x:c r="O223" s="28" t="n">
        <x:v>122</x:v>
      </x:c>
      <x:c r="P223" s="28" t="n">
        <x:v>280</x:v>
      </x:c>
      <x:c r="Q223" s="28" t="n">
        <x:v>1600</x:v>
      </x:c>
      <x:c r="R223" s="22"/>
      <x:c r="S223" s="22"/>
      <x:c r="T223" s="22" t="str">
        <x:v>32位有符号内</x:v>
      </x:c>
    </x:row>
    <x:row r="224" ht="24" customHeight="1">
      <x:c r="A224" s="22" t="str">
        <x:v>C04-M050</x:v>
      </x:c>
      <x:c r="B224" s="22" t="n">
        <x:v>4</x:v>
      </x:c>
      <x:c r="C224" s="22" t="str">
        <x:v>深湖水道</x:v>
      </x:c>
      <x:c r="D224" s="22" t="str">
        <x:v>普通</x:v>
      </x:c>
      <x:c r="E224" s="22" t="str">
        <x:v>涡背鳗犬</x:v>
      </x:c>
      <x:c r="F224" s="22" t="str">
        <x:v>XX395</x:v>
      </x:c>
      <x:c r="G224" s="22" t="str">
        <x:v>P0124</x:v>
      </x:c>
      <x:c r="H224" s="22" t="n">
        <x:v>8</x:v>
      </x:c>
      <x:c r="I224" s="28" t="n">
        <x:v>3695864.6061285897</x:v>
      </x:c>
      <x:c r="J224" s="28" t="n">
        <x:f>ROUND(H224*I224,-MAX(0,INT(LOG10(H224*I224))-1))</x:f>
        <x:v>30000000</x:v>
      </x:c>
      <x:c r="K224" s="28" t="n">
        <x:v>14000</x:v>
      </x:c>
      <x:c r="L224" s="28" t="n">
        <x:v>19000</x:v>
      </x:c>
      <x:c r="M224" s="28" t="n">
        <x:v>3600</x:v>
      </x:c>
      <x:c r="N224" s="28" t="n">
        <x:v>3100</x:v>
      </x:c>
      <x:c r="O224" s="28" t="n">
        <x:v>122</x:v>
      </x:c>
      <x:c r="P224" s="28" t="n">
        <x:v>280</x:v>
      </x:c>
      <x:c r="Q224" s="28" t="n">
        <x:v>1600</x:v>
      </x:c>
      <x:c r="R224" s="22"/>
      <x:c r="S224" s="22"/>
      <x:c r="T224" s="22" t="str">
        <x:v>32位有符号内</x:v>
      </x:c>
    </x:row>
    <x:row r="225" ht="24" customHeight="1">
      <x:c r="A225" s="22" t="str">
        <x:v>C04-M051</x:v>
      </x:c>
      <x:c r="B225" s="22" t="n">
        <x:v>4</x:v>
      </x:c>
      <x:c r="C225" s="22" t="str">
        <x:v>深湖水道</x:v>
      </x:c>
      <x:c r="D225" s="22" t="str">
        <x:v>普通</x:v>
      </x:c>
      <x:c r="E225" s="22" t="str">
        <x:v>月河箭蛙</x:v>
      </x:c>
      <x:c r="F225" s="22" t="str">
        <x:v>XX392</x:v>
      </x:c>
      <x:c r="G225" s="22" t="str">
        <x:v>P0124</x:v>
      </x:c>
      <x:c r="H225" s="22" t="n">
        <x:v>9.2</x:v>
      </x:c>
      <x:c r="I225" s="28" t="n">
        <x:v>3695864.6061285897</x:v>
      </x:c>
      <x:c r="J225" s="28" t="n">
        <x:f>ROUND(H225*I225,-MAX(0,INT(LOG10(H225*I225))-1))</x:f>
        <x:v>34000000</x:v>
      </x:c>
      <x:c r="K225" s="28" t="n">
        <x:v>14000</x:v>
      </x:c>
      <x:c r="L225" s="28" t="n">
        <x:v>19000</x:v>
      </x:c>
      <x:c r="M225" s="28" t="n">
        <x:v>3600</x:v>
      </x:c>
      <x:c r="N225" s="28" t="n">
        <x:v>3100</x:v>
      </x:c>
      <x:c r="O225" s="28" t="n">
        <x:v>122</x:v>
      </x:c>
      <x:c r="P225" s="28" t="n">
        <x:v>280</x:v>
      </x:c>
      <x:c r="Q225" s="28" t="n">
        <x:v>1600</x:v>
      </x:c>
      <x:c r="R225" s="22"/>
      <x:c r="S225" s="22"/>
      <x:c r="T225" s="22" t="str">
        <x:v>32位有符号内</x:v>
      </x:c>
    </x:row>
    <x:row r="226" ht="24" customHeight="1">
      <x:c r="A226" s="22" t="str">
        <x:v>C04-M052</x:v>
      </x:c>
      <x:c r="B226" s="22" t="n">
        <x:v>4</x:v>
      </x:c>
      <x:c r="C226" s="22" t="str">
        <x:v>深湖水道</x:v>
      </x:c>
      <x:c r="D226" s="22" t="str">
        <x:v>普通</x:v>
      </x:c>
      <x:c r="E226" s="22" t="str">
        <x:v>暗径拾珠客</x:v>
      </x:c>
      <x:c r="F226" s="22" t="str">
        <x:v>XX392</x:v>
      </x:c>
      <x:c r="G226" s="22" t="str">
        <x:v>P0124</x:v>
      </x:c>
      <x:c r="H226" s="22" t="n">
        <x:v>8.8</x:v>
      </x:c>
      <x:c r="I226" s="28" t="n">
        <x:v>3695864.6061285897</x:v>
      </x:c>
      <x:c r="J226" s="28" t="n">
        <x:f>ROUND(H226*I226,-MAX(0,INT(LOG10(H226*I226))-1))</x:f>
        <x:v>33000000</x:v>
      </x:c>
      <x:c r="K226" s="28" t="n">
        <x:v>14000</x:v>
      </x:c>
      <x:c r="L226" s="28" t="n">
        <x:v>19000</x:v>
      </x:c>
      <x:c r="M226" s="28" t="n">
        <x:v>3600</x:v>
      </x:c>
      <x:c r="N226" s="28" t="n">
        <x:v>3100</x:v>
      </x:c>
      <x:c r="O226" s="28" t="n">
        <x:v>122</x:v>
      </x:c>
      <x:c r="P226" s="28" t="n">
        <x:v>280</x:v>
      </x:c>
      <x:c r="Q226" s="28" t="n">
        <x:v>1600</x:v>
      </x:c>
      <x:c r="R226" s="22"/>
      <x:c r="S226" s="22"/>
      <x:c r="T226" s="22" t="str">
        <x:v>32位有符号内</x:v>
      </x:c>
    </x:row>
    <x:row r="227" ht="24" customHeight="1">
      <x:c r="A227" s="22" t="str">
        <x:v>C04-M053</x:v>
      </x:c>
      <x:c r="B227" s="22" t="n">
        <x:v>4</x:v>
      </x:c>
      <x:c r="C227" s="22" t="str">
        <x:v>深湖水道</x:v>
      </x:c>
      <x:c r="D227" s="22" t="str">
        <x:v>普通</x:v>
      </x:c>
      <x:c r="E227" s="22" t="str">
        <x:v>渊口盔虾</x:v>
      </x:c>
      <x:c r="F227" s="22" t="str">
        <x:v>XX391</x:v>
      </x:c>
      <x:c r="G227" s="22" t="str">
        <x:v>P0124</x:v>
      </x:c>
      <x:c r="H227" s="22" t="n">
        <x:v>9.2</x:v>
      </x:c>
      <x:c r="I227" s="28" t="n">
        <x:v>3695864.6061285897</x:v>
      </x:c>
      <x:c r="J227" s="28" t="n">
        <x:f>ROUND(H227*I227,-MAX(0,INT(LOG10(H227*I227))-1))</x:f>
        <x:v>34000000</x:v>
      </x:c>
      <x:c r="K227" s="28" t="n">
        <x:v>14000</x:v>
      </x:c>
      <x:c r="L227" s="28" t="n">
        <x:v>19000</x:v>
      </x:c>
      <x:c r="M227" s="28" t="n">
        <x:v>3600</x:v>
      </x:c>
      <x:c r="N227" s="28" t="n">
        <x:v>3100</x:v>
      </x:c>
      <x:c r="O227" s="28" t="n">
        <x:v>122</x:v>
      </x:c>
      <x:c r="P227" s="28" t="n">
        <x:v>280</x:v>
      </x:c>
      <x:c r="Q227" s="28" t="n">
        <x:v>1600</x:v>
      </x:c>
      <x:c r="R227" s="22"/>
      <x:c r="S227" s="22"/>
      <x:c r="T227" s="22" t="str">
        <x:v>32位有符号内</x:v>
      </x:c>
    </x:row>
    <x:row r="228" ht="24" customHeight="1">
      <x:c r="A228" s="22" t="str">
        <x:v>C04-M054</x:v>
      </x:c>
      <x:c r="B228" s="22" t="n">
        <x:v>4</x:v>
      </x:c>
      <x:c r="C228" s="22" t="str">
        <x:v>深湖水道</x:v>
      </x:c>
      <x:c r="D228" s="22" t="str">
        <x:v>普通</x:v>
      </x:c>
      <x:c r="E228" s="22" t="str">
        <x:v>伏流石鳗</x:v>
      </x:c>
      <x:c r="F228" s="22" t="str">
        <x:v>XX391</x:v>
      </x:c>
      <x:c r="G228" s="22" t="str">
        <x:v>P0124</x:v>
      </x:c>
      <x:c r="H228" s="22" t="n">
        <x:v>7.2</x:v>
      </x:c>
      <x:c r="I228" s="28" t="n">
        <x:v>3695864.6061285897</x:v>
      </x:c>
      <x:c r="J228" s="28" t="n">
        <x:f>ROUND(H228*I228,-MAX(0,INT(LOG10(H228*I228))-1))</x:f>
        <x:v>27000000</x:v>
      </x:c>
      <x:c r="K228" s="28" t="n">
        <x:v>14000</x:v>
      </x:c>
      <x:c r="L228" s="28" t="n">
        <x:v>19000</x:v>
      </x:c>
      <x:c r="M228" s="28" t="n">
        <x:v>3600</x:v>
      </x:c>
      <x:c r="N228" s="28" t="n">
        <x:v>3100</x:v>
      </x:c>
      <x:c r="O228" s="28" t="n">
        <x:v>122</x:v>
      </x:c>
      <x:c r="P228" s="28" t="n">
        <x:v>280</x:v>
      </x:c>
      <x:c r="Q228" s="28" t="n">
        <x:v>1600</x:v>
      </x:c>
      <x:c r="R228" s="22"/>
      <x:c r="S228" s="22"/>
      <x:c r="T228" s="22" t="str">
        <x:v>32位有符号内</x:v>
      </x:c>
    </x:row>
    <x:row r="229" ht="24" customHeight="1">
      <x:c r="A229" s="22" t="str">
        <x:v>C04-M055</x:v>
      </x:c>
      <x:c r="B229" s="22" t="n">
        <x:v>4</x:v>
      </x:c>
      <x:c r="C229" s="22" t="str">
        <x:v>深湖水道</x:v>
      </x:c>
      <x:c r="D229" s="22" t="str">
        <x:v>稀有</x:v>
      </x:c>
      <x:c r="E229" s="22" t="str">
        <x:v>断闸铁卫</x:v>
      </x:c>
      <x:c r="F229" s="22" t="str">
        <x:v>XX395</x:v>
      </x:c>
      <x:c r="G229" s="22" t="str">
        <x:v>P0124</x:v>
      </x:c>
      <x:c r="H229" s="22" t="n">
        <x:v>24</x:v>
      </x:c>
      <x:c r="I229" s="28" t="n">
        <x:v>3458260.581233275</x:v>
      </x:c>
      <x:c r="J229" s="28" t="n">
        <x:f>ROUND(H229*I229,-MAX(0,INT(LOG10(H229*I229))-1))</x:f>
        <x:v>83000000</x:v>
      </x:c>
      <x:c r="K229" s="28" t="n">
        <x:v>43000</x:v>
      </x:c>
      <x:c r="L229" s="28" t="n">
        <x:v>58000</x:v>
      </x:c>
      <x:c r="M229" s="28" t="n">
        <x:v>7200</x:v>
      </x:c>
      <x:c r="N229" s="28" t="n">
        <x:v>6100</x:v>
      </x:c>
      <x:c r="O229" s="28" t="n">
        <x:v>122</x:v>
      </x:c>
      <x:c r="P229" s="28" t="n">
        <x:v>840</x:v>
      </x:c>
      <x:c r="Q229" s="28" t="n">
        <x:v>1700</x:v>
      </x:c>
      <x:c r="R229" s="22"/>
      <x:c r="S229" s="22"/>
      <x:c r="T229" s="22" t="str">
        <x:v>32位有符号内</x:v>
      </x:c>
    </x:row>
    <x:row r="230" ht="24" customHeight="1">
      <x:c r="A230" s="22" t="str">
        <x:v>C04-M056</x:v>
      </x:c>
      <x:c r="B230" s="22" t="n">
        <x:v>4</x:v>
      </x:c>
      <x:c r="C230" s="22" t="str">
        <x:v>深湖水道</x:v>
      </x:c>
      <x:c r="D230" s="22" t="str">
        <x:v>稀有</x:v>
      </x:c>
      <x:c r="E230" s="22" t="str">
        <x:v>月痕水咒师</x:v>
      </x:c>
      <x:c r="F230" s="22" t="str">
        <x:v>XX392</x:v>
      </x:c>
      <x:c r="G230" s="22" t="str">
        <x:v>P0124</x:v>
      </x:c>
      <x:c r="H230" s="22" t="n">
        <x:v>24</x:v>
      </x:c>
      <x:c r="I230" s="28" t="n">
        <x:v>3458260.581233275</x:v>
      </x:c>
      <x:c r="J230" s="28" t="n">
        <x:f>ROUND(H230*I230,-MAX(0,INT(LOG10(H230*I230))-1))</x:f>
        <x:v>83000000</x:v>
      </x:c>
      <x:c r="K230" s="28" t="n">
        <x:v>43000</x:v>
      </x:c>
      <x:c r="L230" s="28" t="n">
        <x:v>58000</x:v>
      </x:c>
      <x:c r="M230" s="28" t="n">
        <x:v>7200</x:v>
      </x:c>
      <x:c r="N230" s="28" t="n">
        <x:v>6100</x:v>
      </x:c>
      <x:c r="O230" s="28" t="n">
        <x:v>122</x:v>
      </x:c>
      <x:c r="P230" s="28" t="n">
        <x:v>840</x:v>
      </x:c>
      <x:c r="Q230" s="28" t="n">
        <x:v>1700</x:v>
      </x:c>
      <x:c r="R230" s="22"/>
      <x:c r="S230" s="22"/>
      <x:c r="T230" s="22" t="str">
        <x:v>32位有符号内</x:v>
      </x:c>
    </x:row>
    <x:row r="231" ht="24" customHeight="1">
      <x:c r="A231" s="22" t="str">
        <x:v>C04-M057</x:v>
      </x:c>
      <x:c r="B231" s="22" t="n">
        <x:v>4</x:v>
      </x:c>
      <x:c r="C231" s="22" t="str">
        <x:v>深湖水道</x:v>
      </x:c>
      <x:c r="D231" s="22" t="str">
        <x:v>稀有</x:v>
      </x:c>
      <x:c r="E231" s="22" t="str">
        <x:v>渊声诱猎者</x:v>
      </x:c>
      <x:c r="F231" s="22" t="str">
        <x:v>XX391</x:v>
      </x:c>
      <x:c r="G231" s="22" t="str">
        <x:v>P0124</x:v>
      </x:c>
      <x:c r="H231" s="22" t="n">
        <x:v>21.6</x:v>
      </x:c>
      <x:c r="I231" s="28" t="n">
        <x:v>3458260.581233275</x:v>
      </x:c>
      <x:c r="J231" s="28" t="n">
        <x:f>ROUND(H231*I231,-MAX(0,INT(LOG10(H231*I231))-1))</x:f>
        <x:v>75000000</x:v>
      </x:c>
      <x:c r="K231" s="28" t="n">
        <x:v>44000</x:v>
      </x:c>
      <x:c r="L231" s="28" t="n">
        <x:v>59000</x:v>
      </x:c>
      <x:c r="M231" s="28" t="n">
        <x:v>7200</x:v>
      </x:c>
      <x:c r="N231" s="28" t="n">
        <x:v>6100</x:v>
      </x:c>
      <x:c r="O231" s="28" t="n">
        <x:v>122</x:v>
      </x:c>
      <x:c r="P231" s="28" t="n">
        <x:v>840</x:v>
      </x:c>
      <x:c r="Q231" s="28" t="n">
        <x:v>1700</x:v>
      </x:c>
      <x:c r="R231" s="22"/>
      <x:c r="S231" s="22"/>
      <x:c r="T231" s="22" t="str">
        <x:v>32位有符号内</x:v>
      </x:c>
    </x:row>
    <x:row r="232" ht="24" customHeight="1">
      <x:c r="A232" s="22" t="str">
        <x:v>C04-M058</x:v>
      </x:c>
      <x:c r="B232" s="22" t="n">
        <x:v>4</x:v>
      </x:c>
      <x:c r="C232" s="22" t="str">
        <x:v>深湖水道</x:v>
      </x:c>
      <x:c r="D232" s="22" t="str">
        <x:v>稀有</x:v>
      </x:c>
      <x:c r="E232" s="22" t="str">
        <x:v>吞灯巨鲶</x:v>
      </x:c>
      <x:c r="F232" s="22" t="str">
        <x:v>XX391</x:v>
      </x:c>
      <x:c r="G232" s="22" t="str">
        <x:v>P0124</x:v>
      </x:c>
      <x:c r="H232" s="22" t="n">
        <x:v>26.400000000000002</x:v>
      </x:c>
      <x:c r="I232" s="28" t="n">
        <x:v>3458260.581233275</x:v>
      </x:c>
      <x:c r="J232" s="28" t="n">
        <x:f>ROUND(H232*I232,-MAX(0,INT(LOG10(H232*I232))-1))</x:f>
        <x:v>91000000</x:v>
      </x:c>
      <x:c r="K232" s="28" t="n">
        <x:v>42000</x:v>
      </x:c>
      <x:c r="L232" s="28" t="n">
        <x:v>57000</x:v>
      </x:c>
      <x:c r="M232" s="28" t="n">
        <x:v>7200</x:v>
      </x:c>
      <x:c r="N232" s="28" t="n">
        <x:v>6100</x:v>
      </x:c>
      <x:c r="O232" s="28" t="n">
        <x:v>122</x:v>
      </x:c>
      <x:c r="P232" s="28" t="n">
        <x:v>840</x:v>
      </x:c>
      <x:c r="Q232" s="28" t="n">
        <x:v>1700</x:v>
      </x:c>
      <x:c r="R232" s="22"/>
      <x:c r="S232" s="22"/>
      <x:c r="T232" s="22" t="str">
        <x:v>32位有符号内</x:v>
      </x:c>
    </x:row>
    <x:row r="233" ht="24" customHeight="1">
      <x:c r="A233" s="22" t="str">
        <x:v>C04-M059</x:v>
      </x:c>
      <x:c r="B233" s="22" t="n">
        <x:v>4</x:v>
      </x:c>
      <x:c r="C233" s="22" t="str">
        <x:v>深湖水道</x:v>
      </x:c>
      <x:c r="D233" s="22" t="str">
        <x:v>地图BOSS</x:v>
      </x:c>
      <x:c r="E233" s="22" t="str">
        <x:v>暗河剑师·罗缇</x:v>
      </x:c>
      <x:c r="F233" s="22" t="str">
        <x:v>XX392</x:v>
      </x:c>
      <x:c r="G233" s="22" t="str">
        <x:v>P0131</x:v>
      </x:c>
      <x:c r="H233" s="22" t="n">
        <x:v>75</x:v>
      </x:c>
      <x:c r="I233" s="28" t="n">
        <x:v>8598259.683380833</x:v>
      </x:c>
      <x:c r="J233" s="28" t="n">
        <x:f>ROUND(H233*I233,-MAX(0,INT(LOG10(H233*I233))-1))</x:f>
        <x:v>640000000</x:v>
      </x:c>
      <x:c r="K233" s="28" t="n">
        <x:v>67000</x:v>
      </x:c>
      <x:c r="L233" s="28" t="n">
        <x:v>90000</x:v>
      </x:c>
      <x:c r="M233" s="28" t="n">
        <x:v>12000</x:v>
      </x:c>
      <x:c r="N233" s="28" t="n">
        <x:v>10000</x:v>
      </x:c>
      <x:c r="O233" s="28" t="n">
        <x:v>122</x:v>
      </x:c>
      <x:c r="P233" s="28" t="n">
        <x:v>3400</x:v>
      </x:c>
      <x:c r="Q233" s="28" t="n">
        <x:v>1800</x:v>
      </x:c>
      <x:c r="R233" s="22"/>
      <x:c r="S233" s="22"/>
      <x:c r="T233" s="22" t="str">
        <x:v>32位有符号内</x:v>
      </x:c>
    </x:row>
    <x:row r="234" ht="24" customHeight="1">
      <x:c r="A234" s="22" t="str">
        <x:v>C04-M060</x:v>
      </x:c>
      <x:c r="B234" s="22" t="n">
        <x:v>4</x:v>
      </x:c>
      <x:c r="C234" s="22" t="str">
        <x:v>深湖水道</x:v>
      </x:c>
      <x:c r="D234" s="22" t="str">
        <x:v>地图BOSS</x:v>
      </x:c>
      <x:c r="E234" s="22" t="str">
        <x:v>渊口老蛟·涅珈</x:v>
      </x:c>
      <x:c r="F234" s="22" t="str">
        <x:v>XX391</x:v>
      </x:c>
      <x:c r="G234" s="22" t="str">
        <x:v>P0132</x:v>
      </x:c>
      <x:c r="H234" s="22" t="n">
        <x:v>82.5</x:v>
      </x:c>
      <x:c r="I234" s="28" t="n">
        <x:v>8598259.683380833</x:v>
      </x:c>
      <x:c r="J234" s="28" t="n">
        <x:f>ROUND(H234*I234,-MAX(0,INT(LOG10(H234*I234))-1))</x:f>
        <x:v>710000000</x:v>
      </x:c>
      <x:c r="K234" s="28" t="n">
        <x:v>66000</x:v>
      </x:c>
      <x:c r="L234" s="28" t="n">
        <x:v>89000</x:v>
      </x:c>
      <x:c r="M234" s="28" t="n">
        <x:v>12000</x:v>
      </x:c>
      <x:c r="N234" s="28" t="n">
        <x:v>10000</x:v>
      </x:c>
      <x:c r="O234" s="28" t="n">
        <x:v>122</x:v>
      </x:c>
      <x:c r="P234" s="28" t="n">
        <x:v>3400</x:v>
      </x:c>
      <x:c r="Q234" s="28" t="n">
        <x:v>1800</x:v>
      </x:c>
      <x:c r="R234" s="22"/>
      <x:c r="S234" s="22"/>
      <x:c r="T234" s="22" t="str">
        <x:v>32位有符号内</x:v>
      </x:c>
    </x:row>
    <x:row r="235" ht="24" customHeight="1">
      <x:c r="A235" s="22" t="str">
        <x:v>C04-M061</x:v>
      </x:c>
      <x:c r="B235" s="22" t="n">
        <x:v>4</x:v>
      </x:c>
      <x:c r="C235" s="22" t="str">
        <x:v>湖底密道</x:v>
      </x:c>
      <x:c r="D235" s="22" t="str">
        <x:v>普通</x:v>
      </x:c>
      <x:c r="E235" s="22" t="str">
        <x:v>摸壁潜行者</x:v>
      </x:c>
      <x:c r="F235" s="22" t="str">
        <x:v>XX368</x:v>
      </x:c>
      <x:c r="G235" s="22" t="str">
        <x:v>P0130</x:v>
      </x:c>
      <x:c r="H235" s="22" t="n">
        <x:v>8.8</x:v>
      </x:c>
      <x:c r="I235" s="28" t="n">
        <x:v>4123943.891791661</x:v>
      </x:c>
      <x:c r="J235" s="28" t="n">
        <x:f>ROUND(H235*I235,-MAX(0,INT(LOG10(H235*I235))-1))</x:f>
        <x:v>36000000</x:v>
      </x:c>
      <x:c r="K235" s="28" t="n">
        <x:v>8700</x:v>
      </x:c>
      <x:c r="L235" s="28" t="n">
        <x:v>12000</x:v>
      </x:c>
      <x:c r="M235" s="28" t="n">
        <x:v>4000</x:v>
      </x:c>
      <x:c r="N235" s="28" t="n">
        <x:v>3400</x:v>
      </x:c>
      <x:c r="O235" s="28" t="n">
        <x:v>125</x:v>
      </x:c>
      <x:c r="P235" s="28" t="n">
        <x:v>300</x:v>
      </x:c>
      <x:c r="Q235" s="28" t="n">
        <x:v>1600</x:v>
      </x:c>
      <x:c r="R235" s="22"/>
      <x:c r="S235" s="22"/>
      <x:c r="T235" s="22" t="str">
        <x:v>32位有符号内</x:v>
      </x:c>
    </x:row>
    <x:row r="236" ht="24" customHeight="1">
      <x:c r="A236" s="22" t="str">
        <x:v>C04-M062</x:v>
      </x:c>
      <x:c r="B236" s="22" t="n">
        <x:v>4</x:v>
      </x:c>
      <x:c r="C236" s="22" t="str">
        <x:v>湖底密道</x:v>
      </x:c>
      <x:c r="D236" s="22" t="str">
        <x:v>普通</x:v>
      </x:c>
      <x:c r="E236" s="22" t="str">
        <x:v>砾壳穴龟</x:v>
      </x:c>
      <x:c r="F236" s="22" t="str">
        <x:v>XX368</x:v>
      </x:c>
      <x:c r="G236" s="22" t="str">
        <x:v>P0130</x:v>
      </x:c>
      <x:c r="H236" s="22" t="n">
        <x:v>7.2</x:v>
      </x:c>
      <x:c r="I236" s="28" t="n">
        <x:v>4123943.891791661</x:v>
      </x:c>
      <x:c r="J236" s="28" t="n">
        <x:f>ROUND(H236*I236,-MAX(0,INT(LOG10(H236*I236))-1))</x:f>
        <x:v>30000000</x:v>
      </x:c>
      <x:c r="K236" s="28" t="n">
        <x:v>8700</x:v>
      </x:c>
      <x:c r="L236" s="28" t="n">
        <x:v>12000</x:v>
      </x:c>
      <x:c r="M236" s="28" t="n">
        <x:v>4000</x:v>
      </x:c>
      <x:c r="N236" s="28" t="n">
        <x:v>3400</x:v>
      </x:c>
      <x:c r="O236" s="28" t="n">
        <x:v>125</x:v>
      </x:c>
      <x:c r="P236" s="28" t="n">
        <x:v>300</x:v>
      </x:c>
      <x:c r="Q236" s="28" t="n">
        <x:v>1600</x:v>
      </x:c>
      <x:c r="R236" s="22"/>
      <x:c r="S236" s="22"/>
      <x:c r="T236" s="22" t="str">
        <x:v>32位有符号内</x:v>
      </x:c>
    </x:row>
    <x:row r="237" ht="24" customHeight="1">
      <x:c r="A237" s="22" t="str">
        <x:v>C04-M063</x:v>
      </x:c>
      <x:c r="B237" s="22" t="n">
        <x:v>4</x:v>
      </x:c>
      <x:c r="C237" s="22" t="str">
        <x:v>湖底密道</x:v>
      </x:c>
      <x:c r="D237" s="22" t="str">
        <x:v>普通</x:v>
      </x:c>
      <x:c r="E237" s="22" t="str">
        <x:v>暗渠滤水蚌</x:v>
      </x:c>
      <x:c r="F237" s="22" t="str">
        <x:v>XX382</x:v>
      </x:c>
      <x:c r="G237" s="22" t="str">
        <x:v>P0130</x:v>
      </x:c>
      <x:c r="H237" s="22" t="n">
        <x:v>7.6</x:v>
      </x:c>
      <x:c r="I237" s="28" t="n">
        <x:v>4123943.891791661</x:v>
      </x:c>
      <x:c r="J237" s="28" t="n">
        <x:f>ROUND(H237*I237,-MAX(0,INT(LOG10(H237*I237))-1))</x:f>
        <x:v>31000000</x:v>
      </x:c>
      <x:c r="K237" s="28" t="n">
        <x:v>8700</x:v>
      </x:c>
      <x:c r="L237" s="28" t="n">
        <x:v>12000</x:v>
      </x:c>
      <x:c r="M237" s="28" t="n">
        <x:v>4000</x:v>
      </x:c>
      <x:c r="N237" s="28" t="n">
        <x:v>3400</x:v>
      </x:c>
      <x:c r="O237" s="28" t="n">
        <x:v>125</x:v>
      </x:c>
      <x:c r="P237" s="28" t="n">
        <x:v>300</x:v>
      </x:c>
      <x:c r="Q237" s="28" t="n">
        <x:v>1600</x:v>
      </x:c>
      <x:c r="R237" s="22"/>
      <x:c r="S237" s="22"/>
      <x:c r="T237" s="22" t="str">
        <x:v>32位有符号内</x:v>
      </x:c>
    </x:row>
    <x:row r="238" ht="24" customHeight="1">
      <x:c r="A238" s="22" t="str">
        <x:v>C04-M064</x:v>
      </x:c>
      <x:c r="B238" s="22" t="n">
        <x:v>4</x:v>
      </x:c>
      <x:c r="C238" s="22" t="str">
        <x:v>湖底密道</x:v>
      </x:c>
      <x:c r="D238" s="22" t="str">
        <x:v>普通</x:v>
      </x:c>
      <x:c r="E238" s="22" t="str">
        <x:v>锈闸守渠人</x:v>
      </x:c>
      <x:c r="F238" s="22" t="str">
        <x:v>XX382</x:v>
      </x:c>
      <x:c r="G238" s="22" t="str">
        <x:v>P0130</x:v>
      </x:c>
      <x:c r="H238" s="22" t="n">
        <x:v>8.8</x:v>
      </x:c>
      <x:c r="I238" s="28" t="n">
        <x:v>4123943.891791661</x:v>
      </x:c>
      <x:c r="J238" s="28" t="n">
        <x:f>ROUND(H238*I238,-MAX(0,INT(LOG10(H238*I238))-1))</x:f>
        <x:v>36000000</x:v>
      </x:c>
      <x:c r="K238" s="28" t="n">
        <x:v>8700</x:v>
      </x:c>
      <x:c r="L238" s="28" t="n">
        <x:v>12000</x:v>
      </x:c>
      <x:c r="M238" s="28" t="n">
        <x:v>4000</x:v>
      </x:c>
      <x:c r="N238" s="28" t="n">
        <x:v>3400</x:v>
      </x:c>
      <x:c r="O238" s="28" t="n">
        <x:v>125</x:v>
      </x:c>
      <x:c r="P238" s="28" t="n">
        <x:v>300</x:v>
      </x:c>
      <x:c r="Q238" s="28" t="n">
        <x:v>1600</x:v>
      </x:c>
      <x:c r="R238" s="22"/>
      <x:c r="S238" s="22"/>
      <x:c r="T238" s="22" t="str">
        <x:v>32位有符号内</x:v>
      </x:c>
    </x:row>
    <x:row r="239" ht="24" customHeight="1">
      <x:c r="A239" s="22" t="str">
        <x:v>C04-M065</x:v>
      </x:c>
      <x:c r="B239" s="22" t="n">
        <x:v>4</x:v>
      </x:c>
      <x:c r="C239" s="22" t="str">
        <x:v>湖底密道</x:v>
      </x:c>
      <x:c r="D239" s="22" t="str">
        <x:v>普通</x:v>
      </x:c>
      <x:c r="E239" s="22" t="str">
        <x:v>秘室灯笼鱼</x:v>
      </x:c>
      <x:c r="F239" s="22" t="str">
        <x:v>XX369</x:v>
      </x:c>
      <x:c r="G239" s="22" t="str">
        <x:v>P0130</x:v>
      </x:c>
      <x:c r="H239" s="22" t="n">
        <x:v>7.2</x:v>
      </x:c>
      <x:c r="I239" s="28" t="n">
        <x:v>4123943.891791661</x:v>
      </x:c>
      <x:c r="J239" s="28" t="n">
        <x:f>ROUND(H239*I239,-MAX(0,INT(LOG10(H239*I239))-1))</x:f>
        <x:v>30000000</x:v>
      </x:c>
      <x:c r="K239" s="28" t="n">
        <x:v>5300</x:v>
      </x:c>
      <x:c r="L239" s="28" t="n">
        <x:v>7200</x:v>
      </x:c>
      <x:c r="M239" s="28" t="n">
        <x:v>4000</x:v>
      </x:c>
      <x:c r="N239" s="28" t="n">
        <x:v>3400</x:v>
      </x:c>
      <x:c r="O239" s="28" t="n">
        <x:v>125</x:v>
      </x:c>
      <x:c r="P239" s="28" t="n">
        <x:v>300</x:v>
      </x:c>
      <x:c r="Q239" s="28" t="n">
        <x:v>1600</x:v>
      </x:c>
      <x:c r="R239" s="22"/>
      <x:c r="S239" s="22"/>
      <x:c r="T239" s="22" t="str">
        <x:v>32位有符号内</x:v>
      </x:c>
    </x:row>
    <x:row r="240" ht="24" customHeight="1">
      <x:c r="A240" s="22" t="str">
        <x:v>C04-M066</x:v>
      </x:c>
      <x:c r="B240" s="22" t="n">
        <x:v>4</x:v>
      </x:c>
      <x:c r="C240" s="22" t="str">
        <x:v>湖底密道</x:v>
      </x:c>
      <x:c r="D240" s="22" t="str">
        <x:v>普通</x:v>
      </x:c>
      <x:c r="E240" s="22" t="str">
        <x:v>封门泥塑</x:v>
      </x:c>
      <x:c r="F240" s="22" t="str">
        <x:v>XX369</x:v>
      </x:c>
      <x:c r="G240" s="22" t="str">
        <x:v>P0130</x:v>
      </x:c>
      <x:c r="H240" s="22" t="n">
        <x:v>7.2</x:v>
      </x:c>
      <x:c r="I240" s="28" t="n">
        <x:v>4123943.891791661</x:v>
      </x:c>
      <x:c r="J240" s="28" t="n">
        <x:f>ROUND(H240*I240,-MAX(0,INT(LOG10(H240*I240))-1))</x:f>
        <x:v>30000000</x:v>
      </x:c>
      <x:c r="K240" s="28" t="n">
        <x:v>5300</x:v>
      </x:c>
      <x:c r="L240" s="28" t="n">
        <x:v>7200</x:v>
      </x:c>
      <x:c r="M240" s="28" t="n">
        <x:v>4000</x:v>
      </x:c>
      <x:c r="N240" s="28" t="n">
        <x:v>3400</x:v>
      </x:c>
      <x:c r="O240" s="28" t="n">
        <x:v>125</x:v>
      </x:c>
      <x:c r="P240" s="28" t="n">
        <x:v>300</x:v>
      </x:c>
      <x:c r="Q240" s="28" t="n">
        <x:v>1600</x:v>
      </x:c>
      <x:c r="R240" s="22"/>
      <x:c r="S240" s="22"/>
      <x:c r="T240" s="22" t="str">
        <x:v>32位有符号内</x:v>
      </x:c>
    </x:row>
    <x:row r="241" ht="24" customHeight="1">
      <x:c r="A241" s="22" t="str">
        <x:v>C04-M067</x:v>
      </x:c>
      <x:c r="B241" s="22" t="n">
        <x:v>4</x:v>
      </x:c>
      <x:c r="C241" s="22" t="str">
        <x:v>湖底密道</x:v>
      </x:c>
      <x:c r="D241" s="22" t="str">
        <x:v>稀有</x:v>
      </x:c>
      <x:c r="E241" s="22" t="str">
        <x:v>回声盗墓客</x:v>
      </x:c>
      <x:c r="F241" s="22" t="str">
        <x:v>XX368</x:v>
      </x:c>
      <x:c r="G241" s="22" t="str">
        <x:v>P0130</x:v>
      </x:c>
      <x:c r="H241" s="22" t="n">
        <x:v>22.799999999999997</x:v>
      </x:c>
      <x:c r="I241" s="28" t="n">
        <x:v>3864281.5985032874</x:v>
      </x:c>
      <x:c r="J241" s="28" t="n">
        <x:f>ROUND(H241*I241,-MAX(0,INT(LOG10(H241*I241))-1))</x:f>
        <x:v>88000000</x:v>
      </x:c>
      <x:c r="K241" s="28" t="n">
        <x:v>27000</x:v>
      </x:c>
      <x:c r="L241" s="28" t="n">
        <x:v>36000</x:v>
      </x:c>
      <x:c r="M241" s="28" t="n">
        <x:v>7900</x:v>
      </x:c>
      <x:c r="N241" s="28" t="n">
        <x:v>6700</x:v>
      </x:c>
      <x:c r="O241" s="28" t="n">
        <x:v>125</x:v>
      </x:c>
      <x:c r="P241" s="28" t="n">
        <x:v>880</x:v>
      </x:c>
      <x:c r="Q241" s="28" t="n">
        <x:v>1700</x:v>
      </x:c>
      <x:c r="R241" s="22"/>
      <x:c r="S241" s="22"/>
      <x:c r="T241" s="22" t="str">
        <x:v>32位有符号内</x:v>
      </x:c>
    </x:row>
    <x:row r="242" ht="24" customHeight="1">
      <x:c r="A242" s="22" t="str">
        <x:v>C04-M068</x:v>
      </x:c>
      <x:c r="B242" s="22" t="n">
        <x:v>4</x:v>
      </x:c>
      <x:c r="C242" s="22" t="str">
        <x:v>湖底密道</x:v>
      </x:c>
      <x:c r="D242" s="22" t="str">
        <x:v>稀有</x:v>
      </x:c>
      <x:c r="E242" s="22" t="str">
        <x:v>暗渠缚链僧</x:v>
      </x:c>
      <x:c r="F242" s="22" t="str">
        <x:v>XX382</x:v>
      </x:c>
      <x:c r="G242" s="22" t="str">
        <x:v>P0130</x:v>
      </x:c>
      <x:c r="H242" s="22" t="n">
        <x:v>22.799999999999997</x:v>
      </x:c>
      <x:c r="I242" s="28" t="n">
        <x:v>3864281.5985032874</x:v>
      </x:c>
      <x:c r="J242" s="28" t="n">
        <x:f>ROUND(H242*I242,-MAX(0,INT(LOG10(H242*I242))-1))</x:f>
        <x:v>88000000</x:v>
      </x:c>
      <x:c r="K242" s="28" t="n">
        <x:v>27000</x:v>
      </x:c>
      <x:c r="L242" s="28" t="n">
        <x:v>36000</x:v>
      </x:c>
      <x:c r="M242" s="28" t="n">
        <x:v>7900</x:v>
      </x:c>
      <x:c r="N242" s="28" t="n">
        <x:v>6700</x:v>
      </x:c>
      <x:c r="O242" s="28" t="n">
        <x:v>125</x:v>
      </x:c>
      <x:c r="P242" s="28" t="n">
        <x:v>880</x:v>
      </x:c>
      <x:c r="Q242" s="28" t="n">
        <x:v>1700</x:v>
      </x:c>
      <x:c r="R242" s="22"/>
      <x:c r="S242" s="22"/>
      <x:c r="T242" s="22" t="str">
        <x:v>32位有符号内</x:v>
      </x:c>
    </x:row>
    <x:row r="243" ht="24" customHeight="1">
      <x:c r="A243" s="22" t="str">
        <x:v>C04-M069</x:v>
      </x:c>
      <x:c r="B243" s="22" t="n">
        <x:v>4</x:v>
      </x:c>
      <x:c r="C243" s="22" t="str">
        <x:v>湖底密道</x:v>
      </x:c>
      <x:c r="D243" s="22" t="str">
        <x:v>稀有</x:v>
      </x:c>
      <x:c r="E243" s="22" t="str">
        <x:v>抱钥湖尸</x:v>
      </x:c>
      <x:c r="F243" s="22" t="str">
        <x:v>XX369</x:v>
      </x:c>
      <x:c r="G243" s="22" t="str">
        <x:v>P0130</x:v>
      </x:c>
      <x:c r="H243" s="22" t="n">
        <x:v>24</x:v>
      </x:c>
      <x:c r="I243" s="28" t="n">
        <x:v>3864281.5985032874</x:v>
      </x:c>
      <x:c r="J243" s="28" t="n">
        <x:f>ROUND(H243*I243,-MAX(0,INT(LOG10(H243*I243))-1))</x:f>
        <x:v>93000000</x:v>
      </x:c>
      <x:c r="K243" s="28" t="n">
        <x:v>14000</x:v>
      </x:c>
      <x:c r="L243" s="28" t="n">
        <x:v>19000</x:v>
      </x:c>
      <x:c r="M243" s="28" t="n">
        <x:v>7900</x:v>
      </x:c>
      <x:c r="N243" s="28" t="n">
        <x:v>6700</x:v>
      </x:c>
      <x:c r="O243" s="28" t="n">
        <x:v>125</x:v>
      </x:c>
      <x:c r="P243" s="28" t="n">
        <x:v>880</x:v>
      </x:c>
      <x:c r="Q243" s="28" t="n">
        <x:v>1700</x:v>
      </x:c>
      <x:c r="R243" s="22"/>
      <x:c r="S243" s="22"/>
      <x:c r="T243" s="22" t="str">
        <x:v>32位有符号内</x:v>
      </x:c>
    </x:row>
    <x:row r="244" ht="24" customHeight="1">
      <x:c r="A244" s="22" t="str">
        <x:v>C04-M070</x:v>
      </x:c>
      <x:c r="B244" s="22" t="n">
        <x:v>4</x:v>
      </x:c>
      <x:c r="C244" s="22" t="str">
        <x:v>湖底密道</x:v>
      </x:c>
      <x:c r="D244" s="22" t="str">
        <x:v>稀有</x:v>
      </x:c>
      <x:c r="E244" s="22" t="str">
        <x:v>噬门泥怪</x:v>
      </x:c>
      <x:c r="F244" s="22" t="str">
        <x:v>XX369</x:v>
      </x:c>
      <x:c r="G244" s="22" t="str">
        <x:v>P0130</x:v>
      </x:c>
      <x:c r="H244" s="22" t="n">
        <x:v>24</x:v>
      </x:c>
      <x:c r="I244" s="28" t="n">
        <x:v>3864281.5985032874</x:v>
      </x:c>
      <x:c r="J244" s="28" t="n">
        <x:f>ROUND(H244*I244,-MAX(0,INT(LOG10(H244*I244))-1))</x:f>
        <x:v>93000000</x:v>
      </x:c>
      <x:c r="K244" s="28" t="n">
        <x:v>14000</x:v>
      </x:c>
      <x:c r="L244" s="28" t="n">
        <x:v>19000</x:v>
      </x:c>
      <x:c r="M244" s="28" t="n">
        <x:v>7900</x:v>
      </x:c>
      <x:c r="N244" s="28" t="n">
        <x:v>6700</x:v>
      </x:c>
      <x:c r="O244" s="28" t="n">
        <x:v>125</x:v>
      </x:c>
      <x:c r="P244" s="28" t="n">
        <x:v>880</x:v>
      </x:c>
      <x:c r="Q244" s="28" t="n">
        <x:v>1700</x:v>
      </x:c>
      <x:c r="R244" s="22"/>
      <x:c r="S244" s="22"/>
      <x:c r="T244" s="22" t="str">
        <x:v>32位有符号内</x:v>
      </x:c>
    </x:row>
    <x:row r="245" ht="24" customHeight="1">
      <x:c r="A245" s="22" t="str">
        <x:v>C04-M071</x:v>
      </x:c>
      <x:c r="B245" s="22" t="n">
        <x:v>4</x:v>
      </x:c>
      <x:c r="C245" s="22" t="str">
        <x:v>湖底密道</x:v>
      </x:c>
      <x:c r="D245" s="22" t="str">
        <x:v>地图BOSS</x:v>
      </x:c>
      <x:c r="E245" s="22" t="str">
        <x:v>沉渠守誓者·阿涅</x:v>
      </x:c>
      <x:c r="F245" s="22" t="str">
        <x:v>XX382</x:v>
      </x:c>
      <x:c r="G245" s="22" t="str">
        <x:v>P0137</x:v>
      </x:c>
      <x:c r="H245" s="22" t="n">
        <x:v>71.25</x:v>
      </x:c>
      <x:c r="I245" s="28" t="n">
        <x:v>9711667.946714856</x:v>
      </x:c>
      <x:c r="J245" s="28" t="n">
        <x:f>ROUND(H245*I245,-MAX(0,INT(LOG10(H245*I245))-1))</x:f>
        <x:v>690000000</x:v>
      </x:c>
      <x:c r="K245" s="28" t="n">
        <x:v>43000</x:v>
      </x:c>
      <x:c r="L245" s="28" t="n">
        <x:v>58000</x:v>
      </x:c>
      <x:c r="M245" s="28" t="n">
        <x:v>13000</x:v>
      </x:c>
      <x:c r="N245" s="28" t="n">
        <x:v>11000</x:v>
      </x:c>
      <x:c r="O245" s="28" t="n">
        <x:v>125</x:v>
      </x:c>
      <x:c r="P245" s="28" t="n">
        <x:v>3500</x:v>
      </x:c>
      <x:c r="Q245" s="28" t="n">
        <x:v>1800</x:v>
      </x:c>
      <x:c r="R245" s="22"/>
      <x:c r="S245" s="22"/>
      <x:c r="T245" s="22" t="str">
        <x:v>32位有符号内</x:v>
      </x:c>
    </x:row>
    <x:row r="246" ht="24" customHeight="1">
      <x:c r="A246" s="22" t="str">
        <x:v>C04-M072</x:v>
      </x:c>
      <x:c r="B246" s="22" t="n">
        <x:v>4</x:v>
      </x:c>
      <x:c r="C246" s="22" t="str">
        <x:v>湖底密道</x:v>
      </x:c>
      <x:c r="D246" s="22" t="str">
        <x:v>地图BOSS</x:v>
      </x:c>
      <x:c r="E246" s="22" t="str">
        <x:v>封室水镜姬·弥洛</x:v>
      </x:c>
      <x:c r="F246" s="22" t="str">
        <x:v>XX369</x:v>
      </x:c>
      <x:c r="G246" s="22" t="str">
        <x:v>P0138</x:v>
      </x:c>
      <x:c r="H246" s="22" t="n">
        <x:v>75</x:v>
      </x:c>
      <x:c r="I246" s="28" t="n">
        <x:v>6842639.535494429</x:v>
      </x:c>
      <x:c r="J246" s="28" t="n">
        <x:f>ROUND(H246*I246,-MAX(0,INT(LOG10(H246*I246))-1))</x:f>
        <x:v>510000000</x:v>
      </x:c>
      <x:c r="K246" s="28" t="n">
        <x:v>24000</x:v>
      </x:c>
      <x:c r="L246" s="28" t="n">
        <x:v>33000</x:v>
      </x:c>
      <x:c r="M246" s="28" t="n">
        <x:v>13000</x:v>
      </x:c>
      <x:c r="N246" s="28" t="n">
        <x:v>11000</x:v>
      </x:c>
      <x:c r="O246" s="28" t="n">
        <x:v>125</x:v>
      </x:c>
      <x:c r="P246" s="28" t="n">
        <x:v>3500</x:v>
      </x:c>
      <x:c r="Q246" s="28" t="n">
        <x:v>1800</x:v>
      </x:c>
      <x:c r="R246" s="22"/>
      <x:c r="S246" s="22"/>
      <x:c r="T246" s="22" t="str">
        <x:v>32位有符号内</x:v>
      </x:c>
    </x:row>
    <x:row r="247" ht="24" customHeight="1">
      <x:c r="A247" s="22" t="str">
        <x:v>C04-M073</x:v>
      </x:c>
      <x:c r="B247" s="22" t="n">
        <x:v>4</x:v>
      </x:c>
      <x:c r="C247" s="22" t="str">
        <x:v>湖底密道</x:v>
      </x:c>
      <x:c r="D247" s="22" t="str">
        <x:v>守关BOSS</x:v>
      </x:c>
      <x:c r="E247" s="22" t="str">
        <x:v>闭潮王·莱弥恩</x:v>
      </x:c>
      <x:c r="F247" s="22" t="str">
        <x:v>XX369</x:v>
      </x:c>
      <x:c r="G247" s="22" t="str">
        <x:v>P0142</x:v>
      </x:c>
      <x:c r="H247" s="22" t="n">
        <x:v>210</x:v>
      </x:c>
      <x:c r="I247" s="28" t="n">
        <x:v>16398346.899529466</x:v>
      </x:c>
      <x:c r="J247" s="28" t="n">
        <x:f>ROUND(H247*I247,-MAX(0,INT(LOG10(H247*I247))-1))</x:f>
        <x:v>3400000000</x:v>
      </x:c>
      <x:c r="K247" s="28" t="n">
        <x:v>710000</x:v>
      </x:c>
      <x:c r="L247" s="28" t="n">
        <x:v>960000</x:v>
      </x:c>
      <x:c r="M247" s="28" t="n">
        <x:v>20000</x:v>
      </x:c>
      <x:c r="N247" s="28" t="n">
        <x:v>17000</x:v>
      </x:c>
      <x:c r="O247" s="28" t="n">
        <x:v>125</x:v>
      </x:c>
      <x:c r="P247" s="28" t="n">
        <x:v>8800</x:v>
      </x:c>
      <x:c r="Q247" s="28" t="n">
        <x:v>2000</x:v>
      </x:c>
      <x:c r="R247" s="22"/>
      <x:c r="S247" s="22"/>
      <x:c r="T247" s="22" t="str">
        <x:v>64位值核对</x:v>
      </x:c>
    </x:row>
    <x:row r="248" ht="24" customHeight="1">
      <x:c r="A248" s="22" t="str">
        <x:v>C05-M001</x:v>
      </x:c>
      <x:c r="B248" s="22" t="n">
        <x:v>5</x:v>
      </x:c>
      <x:c r="C248" s="22" t="str">
        <x:v>雾月水庭</x:v>
      </x:c>
      <x:c r="D248" s="22" t="str">
        <x:v>普通</x:v>
      </x:c>
      <x:c r="E248" s="22" t="str">
        <x:v>雾汐游魂</x:v>
      </x:c>
      <x:c r="F248" s="22" t="str">
        <x:v>XX338</x:v>
      </x:c>
      <x:c r="G248" s="22" t="str">
        <x:v>P0147</x:v>
      </x:c>
      <x:c r="H248" s="22" t="n">
        <x:v>8</x:v>
      </x:c>
      <x:c r="I248" s="28" t="n">
        <x:v>10246532.403825464</x:v>
      </x:c>
      <x:c r="J248" s="28" t="n">
        <x:f>ROUND(H248*I248,-MAX(0,INT(LOG10(H248*I248))-1))</x:f>
        <x:v>82000000</x:v>
      </x:c>
      <x:c r="K248" s="28" t="n">
        <x:v>140000</x:v>
      </x:c>
      <x:c r="L248" s="28" t="n">
        <x:v>190000</x:v>
      </x:c>
      <x:c r="M248" s="28" t="n">
        <x:v>5600</x:v>
      </x:c>
      <x:c r="N248" s="28" t="n">
        <x:v>4800</x:v>
      </x:c>
      <x:c r="O248" s="28" t="n">
        <x:v>140</x:v>
      </x:c>
      <x:c r="P248" s="28" t="n">
        <x:v>260</x:v>
      </x:c>
      <x:c r="Q248" s="28" t="n">
        <x:v>1600</x:v>
      </x:c>
      <x:c r="R248" s="22"/>
      <x:c r="S248" s="22"/>
      <x:c r="T248" s="22" t="str">
        <x:v>32位有符号内</x:v>
      </x:c>
    </x:row>
    <x:row r="249" ht="24" customHeight="1">
      <x:c r="A249" s="22" t="str">
        <x:v>C05-M002</x:v>
      </x:c>
      <x:c r="B249" s="22" t="n">
        <x:v>5</x:v>
      </x:c>
      <x:c r="C249" s="22" t="str">
        <x:v>雾月水庭</x:v>
      </x:c>
      <x:c r="D249" s="22" t="str">
        <x:v>普通</x:v>
      </x:c>
      <x:c r="E249" s="22" t="str">
        <x:v>水庭苔甲蟹</x:v>
      </x:c>
      <x:c r="F249" s="22" t="str">
        <x:v>XX338</x:v>
      </x:c>
      <x:c r="G249" s="22" t="str">
        <x:v>P0147</x:v>
      </x:c>
      <x:c r="H249" s="22" t="n">
        <x:v>7.2</x:v>
      </x:c>
      <x:c r="I249" s="28" t="n">
        <x:v>10246532.403825464</x:v>
      </x:c>
      <x:c r="J249" s="28" t="n">
        <x:f>ROUND(H249*I249,-MAX(0,INT(LOG10(H249*I249))-1))</x:f>
        <x:v>74000000</x:v>
      </x:c>
      <x:c r="K249" s="28" t="n">
        <x:v>140000</x:v>
      </x:c>
      <x:c r="L249" s="28" t="n">
        <x:v>190000</x:v>
      </x:c>
      <x:c r="M249" s="28" t="n">
        <x:v>5600</x:v>
      </x:c>
      <x:c r="N249" s="28" t="n">
        <x:v>4800</x:v>
      </x:c>
      <x:c r="O249" s="28" t="n">
        <x:v>140</x:v>
      </x:c>
      <x:c r="P249" s="28" t="n">
        <x:v>260</x:v>
      </x:c>
      <x:c r="Q249" s="28" t="n">
        <x:v>1600</x:v>
      </x:c>
      <x:c r="R249" s="22"/>
      <x:c r="S249" s="22"/>
      <x:c r="T249" s="22" t="str">
        <x:v>32位有符号内</x:v>
      </x:c>
    </x:row>
    <x:row r="250" ht="24" customHeight="1">
      <x:c r="A250" s="22" t="str">
        <x:v>C05-M003</x:v>
      </x:c>
      <x:c r="B250" s="22" t="n">
        <x:v>5</x:v>
      </x:c>
      <x:c r="C250" s="22" t="str">
        <x:v>雾月水庭</x:v>
      </x:c>
      <x:c r="D250" s="22" t="str">
        <x:v>普通</x:v>
      </x:c>
      <x:c r="E250" s="22" t="str">
        <x:v>月雾提灯侍</x:v>
      </x:c>
      <x:c r="F250" s="22" t="str">
        <x:v>XX339</x:v>
      </x:c>
      <x:c r="G250" s="22" t="str">
        <x:v>P0147</x:v>
      </x:c>
      <x:c r="H250" s="22" t="n">
        <x:v>8.8</x:v>
      </x:c>
      <x:c r="I250" s="28" t="n">
        <x:v>10246532.403825464</x:v>
      </x:c>
      <x:c r="J250" s="28" t="n">
        <x:f>ROUND(H250*I250,-MAX(0,INT(LOG10(H250*I250))-1))</x:f>
        <x:v>90000000</x:v>
      </x:c>
      <x:c r="K250" s="28" t="n">
        <x:v>140000</x:v>
      </x:c>
      <x:c r="L250" s="28" t="n">
        <x:v>190000</x:v>
      </x:c>
      <x:c r="M250" s="28" t="n">
        <x:v>5600</x:v>
      </x:c>
      <x:c r="N250" s="28" t="n">
        <x:v>4800</x:v>
      </x:c>
      <x:c r="O250" s="28" t="n">
        <x:v>140</x:v>
      </x:c>
      <x:c r="P250" s="28" t="n">
        <x:v>260</x:v>
      </x:c>
      <x:c r="Q250" s="28" t="n">
        <x:v>1600</x:v>
      </x:c>
      <x:c r="R250" s="22"/>
      <x:c r="S250" s="22"/>
      <x:c r="T250" s="22" t="str">
        <x:v>32位有符号内</x:v>
      </x:c>
    </x:row>
    <x:row r="251" ht="24" customHeight="1">
      <x:c r="A251" s="22" t="str">
        <x:v>C05-M004</x:v>
      </x:c>
      <x:c r="B251" s="22" t="n">
        <x:v>5</x:v>
      </x:c>
      <x:c r="C251" s="22" t="str">
        <x:v>雾月水庭</x:v>
      </x:c>
      <x:c r="D251" s="22" t="str">
        <x:v>普通</x:v>
      </x:c>
      <x:c r="E251" s="22" t="str">
        <x:v>回廊凝露蛾</x:v>
      </x:c>
      <x:c r="F251" s="22" t="str">
        <x:v>XX339</x:v>
      </x:c>
      <x:c r="G251" s="22" t="str">
        <x:v>P0147</x:v>
      </x:c>
      <x:c r="H251" s="22" t="n">
        <x:v>8</x:v>
      </x:c>
      <x:c r="I251" s="28" t="n">
        <x:v>10246532.403825464</x:v>
      </x:c>
      <x:c r="J251" s="28" t="n">
        <x:f>ROUND(H251*I251,-MAX(0,INT(LOG10(H251*I251))-1))</x:f>
        <x:v>82000000</x:v>
      </x:c>
      <x:c r="K251" s="28" t="n">
        <x:v>140000</x:v>
      </x:c>
      <x:c r="L251" s="28" t="n">
        <x:v>190000</x:v>
      </x:c>
      <x:c r="M251" s="28" t="n">
        <x:v>5600</x:v>
      </x:c>
      <x:c r="N251" s="28" t="n">
        <x:v>4800</x:v>
      </x:c>
      <x:c r="O251" s="28" t="n">
        <x:v>140</x:v>
      </x:c>
      <x:c r="P251" s="28" t="n">
        <x:v>260</x:v>
      </x:c>
      <x:c r="Q251" s="28" t="n">
        <x:v>1600</x:v>
      </x:c>
      <x:c r="R251" s="22"/>
      <x:c r="S251" s="22"/>
      <x:c r="T251" s="22" t="str">
        <x:v>32位有符号内</x:v>
      </x:c>
    </x:row>
    <x:row r="252" ht="24" customHeight="1">
      <x:c r="A252" s="22" t="str">
        <x:v>C05-M005</x:v>
      </x:c>
      <x:c r="B252" s="22" t="n">
        <x:v>5</x:v>
      </x:c>
      <x:c r="C252" s="22" t="str">
        <x:v>雾月水庭</x:v>
      </x:c>
      <x:c r="D252" s="22" t="str">
        <x:v>普通</x:v>
      </x:c>
      <x:c r="E252" s="22" t="str">
        <x:v>静月执盏者</x:v>
      </x:c>
      <x:c r="F252" s="22" t="str">
        <x:v>XX331</x:v>
      </x:c>
      <x:c r="G252" s="22" t="str">
        <x:v>P0147</x:v>
      </x:c>
      <x:c r="H252" s="22" t="n">
        <x:v>8</x:v>
      </x:c>
      <x:c r="I252" s="28" t="n">
        <x:v>10246532.403825464</x:v>
      </x:c>
      <x:c r="J252" s="28" t="n">
        <x:f>ROUND(H252*I252,-MAX(0,INT(LOG10(H252*I252))-1))</x:f>
        <x:v>82000000</x:v>
      </x:c>
      <x:c r="K252" s="28" t="n">
        <x:v>140000</x:v>
      </x:c>
      <x:c r="L252" s="28" t="n">
        <x:v>190000</x:v>
      </x:c>
      <x:c r="M252" s="28" t="n">
        <x:v>5600</x:v>
      </x:c>
      <x:c r="N252" s="28" t="n">
        <x:v>4800</x:v>
      </x:c>
      <x:c r="O252" s="28" t="n">
        <x:v>140</x:v>
      </x:c>
      <x:c r="P252" s="28" t="n">
        <x:v>260</x:v>
      </x:c>
      <x:c r="Q252" s="28" t="n">
        <x:v>1600</x:v>
      </x:c>
      <x:c r="R252" s="22"/>
      <x:c r="S252" s="22"/>
      <x:c r="T252" s="22" t="str">
        <x:v>32位有符号内</x:v>
      </x:c>
    </x:row>
    <x:row r="253" ht="24" customHeight="1">
      <x:c r="A253" s="22" t="str">
        <x:v>C05-M006</x:v>
      </x:c>
      <x:c r="B253" s="22" t="n">
        <x:v>5</x:v>
      </x:c>
      <x:c r="C253" s="22" t="str">
        <x:v>雾月水庭</x:v>
      </x:c>
      <x:c r="D253" s="22" t="str">
        <x:v>普通</x:v>
      </x:c>
      <x:c r="E253" s="22" t="str">
        <x:v>祭庭涟影</x:v>
      </x:c>
      <x:c r="F253" s="22" t="str">
        <x:v>XX331</x:v>
      </x:c>
      <x:c r="G253" s="22" t="str">
        <x:v>P0147</x:v>
      </x:c>
      <x:c r="H253" s="22" t="n">
        <x:v>9.2</x:v>
      </x:c>
      <x:c r="I253" s="28" t="n">
        <x:v>10246532.403825464</x:v>
      </x:c>
      <x:c r="J253" s="28" t="n">
        <x:f>ROUND(H253*I253,-MAX(0,INT(LOG10(H253*I253))-1))</x:f>
        <x:v>94000000</x:v>
      </x:c>
      <x:c r="K253" s="28" t="n">
        <x:v>140000</x:v>
      </x:c>
      <x:c r="L253" s="28" t="n">
        <x:v>190000</x:v>
      </x:c>
      <x:c r="M253" s="28" t="n">
        <x:v>5600</x:v>
      </x:c>
      <x:c r="N253" s="28" t="n">
        <x:v>4800</x:v>
      </x:c>
      <x:c r="O253" s="28" t="n">
        <x:v>140</x:v>
      </x:c>
      <x:c r="P253" s="28" t="n">
        <x:v>260</x:v>
      </x:c>
      <x:c r="Q253" s="28" t="n">
        <x:v>1600</x:v>
      </x:c>
      <x:c r="R253" s="22"/>
      <x:c r="S253" s="22"/>
      <x:c r="T253" s="22" t="str">
        <x:v>32位有符号内</x:v>
      </x:c>
    </x:row>
    <x:row r="254" ht="24" customHeight="1">
      <x:c r="A254" s="22" t="str">
        <x:v>C05-M007</x:v>
      </x:c>
      <x:c r="B254" s="22" t="n">
        <x:v>5</x:v>
      </x:c>
      <x:c r="C254" s="22" t="str">
        <x:v>雾月水庭</x:v>
      </x:c>
      <x:c r="D254" s="22" t="str">
        <x:v>稀有</x:v>
      </x:c>
      <x:c r="E254" s="22" t="str">
        <x:v>银雾汲月兽</x:v>
      </x:c>
      <x:c r="F254" s="22" t="str">
        <x:v>XX338</x:v>
      </x:c>
      <x:c r="G254" s="22" t="str">
        <x:v>P0147</x:v>
      </x:c>
      <x:c r="H254" s="22" t="n">
        <x:v>24</x:v>
      </x:c>
      <x:c r="I254" s="28" t="n">
        <x:v>9619384.95808434</x:v>
      </x:c>
      <x:c r="J254" s="28" t="n">
        <x:f>ROUND(H254*I254,-MAX(0,INT(LOG10(H254*I254))-1))</x:f>
        <x:v>230000000</x:v>
      </x:c>
      <x:c r="K254" s="28" t="n">
        <x:v>340000</x:v>
      </x:c>
      <x:c r="L254" s="28" t="n">
        <x:v>460000</x:v>
      </x:c>
      <x:c r="M254" s="28" t="n">
        <x:v>11000</x:v>
      </x:c>
      <x:c r="N254" s="28" t="n">
        <x:v>9400</x:v>
      </x:c>
      <x:c r="O254" s="28" t="n">
        <x:v>140</x:v>
      </x:c>
      <x:c r="P254" s="28" t="n">
        <x:v>780</x:v>
      </x:c>
      <x:c r="Q254" s="28" t="n">
        <x:v>1700</x:v>
      </x:c>
      <x:c r="R254" s="22"/>
      <x:c r="S254" s="22"/>
      <x:c r="T254" s="22" t="str">
        <x:v>32位有符号内</x:v>
      </x:c>
    </x:row>
    <x:row r="255" ht="24" customHeight="1">
      <x:c r="A255" s="22" t="str">
        <x:v>C05-M008</x:v>
      </x:c>
      <x:c r="B255" s="22" t="n">
        <x:v>5</x:v>
      </x:c>
      <x:c r="C255" s="22" t="str">
        <x:v>雾月水庭</x:v>
      </x:c>
      <x:c r="D255" s="22" t="str">
        <x:v>稀有</x:v>
      </x:c>
      <x:c r="E255" s="22" t="str">
        <x:v>镜荷守梦灵</x:v>
      </x:c>
      <x:c r="F255" s="22" t="str">
        <x:v>XX338</x:v>
      </x:c>
      <x:c r="G255" s="22" t="str">
        <x:v>P0147</x:v>
      </x:c>
      <x:c r="H255" s="22" t="n">
        <x:v>26.400000000000002</x:v>
      </x:c>
      <x:c r="I255" s="28" t="n">
        <x:v>9619384.95808434</x:v>
      </x:c>
      <x:c r="J255" s="28" t="n">
        <x:f>ROUND(H255*I255,-MAX(0,INT(LOG10(H255*I255))-1))</x:f>
        <x:v>250000000</x:v>
      </x:c>
      <x:c r="K255" s="28" t="n">
        <x:v>340000</x:v>
      </x:c>
      <x:c r="L255" s="28" t="n">
        <x:v>460000</x:v>
      </x:c>
      <x:c r="M255" s="28" t="n">
        <x:v>11000</x:v>
      </x:c>
      <x:c r="N255" s="28" t="n">
        <x:v>9400</x:v>
      </x:c>
      <x:c r="O255" s="28" t="n">
        <x:v>140</x:v>
      </x:c>
      <x:c r="P255" s="28" t="n">
        <x:v>780</x:v>
      </x:c>
      <x:c r="Q255" s="28" t="n">
        <x:v>1700</x:v>
      </x:c>
      <x:c r="R255" s="22"/>
      <x:c r="S255" s="22"/>
      <x:c r="T255" s="22" t="str">
        <x:v>32位有符号内</x:v>
      </x:c>
    </x:row>
    <x:row r="256" ht="24" customHeight="1">
      <x:c r="A256" s="22" t="str">
        <x:v>C05-M009</x:v>
      </x:c>
      <x:c r="B256" s="22" t="n">
        <x:v>5</x:v>
      </x:c>
      <x:c r="C256" s="22" t="str">
        <x:v>雾月水庭</x:v>
      </x:c>
      <x:c r="D256" s="22" t="str">
        <x:v>稀有</x:v>
      </x:c>
      <x:c r="E256" s="22" t="str">
        <x:v>月纱回声女官</x:v>
      </x:c>
      <x:c r="F256" s="22" t="str">
        <x:v>XX339</x:v>
      </x:c>
      <x:c r="G256" s="22" t="str">
        <x:v>P0147</x:v>
      </x:c>
      <x:c r="H256" s="22" t="n">
        <x:v>27.599999999999998</x:v>
      </x:c>
      <x:c r="I256" s="28" t="n">
        <x:v>9619384.95808434</x:v>
      </x:c>
      <x:c r="J256" s="28" t="n">
        <x:f>ROUND(H256*I256,-MAX(0,INT(LOG10(H256*I256))-1))</x:f>
        <x:v>270000000</x:v>
      </x:c>
      <x:c r="K256" s="28" t="n">
        <x:v>340000</x:v>
      </x:c>
      <x:c r="L256" s="28" t="n">
        <x:v>460000</x:v>
      </x:c>
      <x:c r="M256" s="28" t="n">
        <x:v>11000</x:v>
      </x:c>
      <x:c r="N256" s="28" t="n">
        <x:v>9400</x:v>
      </x:c>
      <x:c r="O256" s="28" t="n">
        <x:v>140</x:v>
      </x:c>
      <x:c r="P256" s="28" t="n">
        <x:v>780</x:v>
      </x:c>
      <x:c r="Q256" s="28" t="n">
        <x:v>1700</x:v>
      </x:c>
      <x:c r="R256" s="22"/>
      <x:c r="S256" s="22"/>
      <x:c r="T256" s="22" t="str">
        <x:v>32位有符号内</x:v>
      </x:c>
    </x:row>
    <x:row r="257" ht="24" customHeight="1">
      <x:c r="A257" s="22" t="str">
        <x:v>C05-M010</x:v>
      </x:c>
      <x:c r="B257" s="22" t="n">
        <x:v>5</x:v>
      </x:c>
      <x:c r="C257" s="22" t="str">
        <x:v>雾月水庭</x:v>
      </x:c>
      <x:c r="D257" s="22" t="str">
        <x:v>稀有</x:v>
      </x:c>
      <x:c r="E257" s="22" t="str">
        <x:v>静潮祷月祭司</x:v>
      </x:c>
      <x:c r="F257" s="22" t="str">
        <x:v>XX331</x:v>
      </x:c>
      <x:c r="G257" s="22" t="str">
        <x:v>P0147</x:v>
      </x:c>
      <x:c r="H257" s="22" t="n">
        <x:v>27.599999999999998</x:v>
      </x:c>
      <x:c r="I257" s="28" t="n">
        <x:v>9619384.95808434</x:v>
      </x:c>
      <x:c r="J257" s="28" t="n">
        <x:f>ROUND(H257*I257,-MAX(0,INT(LOG10(H257*I257))-1))</x:f>
        <x:v>270000000</x:v>
      </x:c>
      <x:c r="K257" s="28" t="n">
        <x:v>340000</x:v>
      </x:c>
      <x:c r="L257" s="28" t="n">
        <x:v>460000</x:v>
      </x:c>
      <x:c r="M257" s="28" t="n">
        <x:v>11000</x:v>
      </x:c>
      <x:c r="N257" s="28" t="n">
        <x:v>9400</x:v>
      </x:c>
      <x:c r="O257" s="28" t="n">
        <x:v>140</x:v>
      </x:c>
      <x:c r="P257" s="28" t="n">
        <x:v>780</x:v>
      </x:c>
      <x:c r="Q257" s="28" t="n">
        <x:v>1700</x:v>
      </x:c>
      <x:c r="R257" s="22"/>
      <x:c r="S257" s="22"/>
      <x:c r="T257" s="22" t="str">
        <x:v>32位有符号内</x:v>
      </x:c>
    </x:row>
    <x:row r="258" ht="24" customHeight="1">
      <x:c r="A258" s="22" t="str">
        <x:v>C05-M011</x:v>
      </x:c>
      <x:c r="B258" s="22" t="n">
        <x:v>5</x:v>
      </x:c>
      <x:c r="C258" s="22" t="str">
        <x:v>雾月水庭</x:v>
      </x:c>
      <x:c r="D258" s="22" t="str">
        <x:v>地图BOSS</x:v>
      </x:c>
      <x:c r="E258" s="22" t="str">
        <x:v>雾冠巡庭侯</x:v>
      </x:c>
      <x:c r="F258" s="22" t="str">
        <x:v>XX339</x:v>
      </x:c>
      <x:c r="G258" s="22" t="str">
        <x:v>P0149</x:v>
      </x:c>
      <x:c r="H258" s="22" t="n">
        <x:v>82.5</x:v>
      </x:c>
      <x:c r="I258" s="28" t="n">
        <x:v>20730336.965624426</x:v>
      </x:c>
      <x:c r="J258" s="28" t="n">
        <x:f>ROUND(H258*I258,-MAX(0,INT(LOG10(H258*I258))-1))</x:f>
        <x:v>1700000000</x:v>
      </x:c>
      <x:c r="K258" s="28" t="n">
        <x:v>510000</x:v>
      </x:c>
      <x:c r="L258" s="28" t="n">
        <x:v>690000</x:v>
      </x:c>
      <x:c r="M258" s="28" t="n">
        <x:v>17000</x:v>
      </x:c>
      <x:c r="N258" s="28" t="n">
        <x:v>14000</x:v>
      </x:c>
      <x:c r="O258" s="28" t="n">
        <x:v>140</x:v>
      </x:c>
      <x:c r="P258" s="28" t="n">
        <x:v>3100</x:v>
      </x:c>
      <x:c r="Q258" s="28" t="n">
        <x:v>1800</x:v>
      </x:c>
      <x:c r="R258" s="22"/>
      <x:c r="S258" s="22"/>
      <x:c r="T258" s="22" t="str">
        <x:v>32位有符号内</x:v>
      </x:c>
    </x:row>
    <x:row r="259" ht="24" customHeight="1">
      <x:c r="A259" s="22" t="str">
        <x:v>C05-M012</x:v>
      </x:c>
      <x:c r="B259" s="22" t="n">
        <x:v>5</x:v>
      </x:c>
      <x:c r="C259" s="22" t="str">
        <x:v>雾月水庭</x:v>
      </x:c>
      <x:c r="D259" s="22" t="str">
        <x:v>地图BOSS</x:v>
      </x:c>
      <x:c r="E259" s="22" t="str">
        <x:v>沉月镜池圣母</x:v>
      </x:c>
      <x:c r="F259" s="22" t="str">
        <x:v>XX331</x:v>
      </x:c>
      <x:c r="G259" s="22" t="str">
        <x:v>P0150</x:v>
      </x:c>
      <x:c r="H259" s="22" t="n">
        <x:v>82.5</x:v>
      </x:c>
      <x:c r="I259" s="28" t="n">
        <x:v>20730336.965624426</x:v>
      </x:c>
      <x:c r="J259" s="28" t="n">
        <x:f>ROUND(H259*I259,-MAX(0,INT(LOG10(H259*I259))-1))</x:f>
        <x:v>1700000000</x:v>
      </x:c>
      <x:c r="K259" s="28" t="n">
        <x:v>510000</x:v>
      </x:c>
      <x:c r="L259" s="28" t="n">
        <x:v>690000</x:v>
      </x:c>
      <x:c r="M259" s="28" t="n">
        <x:v>17000</x:v>
      </x:c>
      <x:c r="N259" s="28" t="n">
        <x:v>14000</x:v>
      </x:c>
      <x:c r="O259" s="28" t="n">
        <x:v>140</x:v>
      </x:c>
      <x:c r="P259" s="28" t="n">
        <x:v>3100</x:v>
      </x:c>
      <x:c r="Q259" s="28" t="n">
        <x:v>1800</x:v>
      </x:c>
      <x:c r="R259" s="22"/>
      <x:c r="S259" s="22"/>
      <x:c r="T259" s="22" t="str">
        <x:v>32位有符号内</x:v>
      </x:c>
    </x:row>
    <x:row r="260" ht="24" customHeight="1">
      <x:c r="A260" s="22" t="str">
        <x:v>C05-M013</x:v>
      </x:c>
      <x:c r="B260" s="22" t="n">
        <x:v>5</x:v>
      </x:c>
      <x:c r="C260" s="22" t="str">
        <x:v>辉石遗迹</x:v>
      </x:c>
      <x:c r="D260" s="22" t="str">
        <x:v>普通</x:v>
      </x:c>
      <x:c r="E260" s="22" t="str">
        <x:v>碎辉穴蜥</x:v>
      </x:c>
      <x:c r="F260" s="22" t="str">
        <x:v>XX812</x:v>
      </x:c>
      <x:c r="G260" s="22" t="str">
        <x:v>P0148</x:v>
      </x:c>
      <x:c r="H260" s="22" t="n">
        <x:v>8</x:v>
      </x:c>
      <x:c r="I260" s="28" t="n">
        <x:v>10294527.765571201</x:v>
      </x:c>
      <x:c r="J260" s="28" t="n">
        <x:f>ROUND(H260*I260,-MAX(0,INT(LOG10(H260*I260))-1))</x:f>
        <x:v>82000000</x:v>
      </x:c>
      <x:c r="K260" s="28" t="n">
        <x:v>140000</x:v>
      </x:c>
      <x:c r="L260" s="28" t="n">
        <x:v>190000</x:v>
      </x:c>
      <x:c r="M260" s="28" t="n">
        <x:v>5700</x:v>
      </x:c>
      <x:c r="N260" s="28" t="n">
        <x:v>4800</x:v>
      </x:c>
      <x:c r="O260" s="28" t="n">
        <x:v>143</x:v>
      </x:c>
      <x:c r="P260" s="28" t="n">
        <x:v>280</x:v>
      </x:c>
      <x:c r="Q260" s="28" t="n">
        <x:v>1600</x:v>
      </x:c>
      <x:c r="R260" s="22"/>
      <x:c r="S260" s="22"/>
      <x:c r="T260" s="22" t="str">
        <x:v>32位有符号内</x:v>
      </x:c>
    </x:row>
    <x:row r="261" ht="24" customHeight="1">
      <x:c r="A261" s="22" t="str">
        <x:v>C05-M014</x:v>
      </x:c>
      <x:c r="B261" s="22" t="n">
        <x:v>5</x:v>
      </x:c>
      <x:c r="C261" s="22" t="str">
        <x:v>辉石遗迹</x:v>
      </x:c>
      <x:c r="D261" s="22" t="str">
        <x:v>普通</x:v>
      </x:c>
      <x:c r="E261" s="22" t="str">
        <x:v>遗迹刻晶奴</x:v>
      </x:c>
      <x:c r="F261" s="22" t="str">
        <x:v>XX812</x:v>
      </x:c>
      <x:c r="G261" s="22" t="str">
        <x:v>P0148</x:v>
      </x:c>
      <x:c r="H261" s="22" t="n">
        <x:v>7.6</x:v>
      </x:c>
      <x:c r="I261" s="28" t="n">
        <x:v>10294527.765571201</x:v>
      </x:c>
      <x:c r="J261" s="28" t="n">
        <x:f>ROUND(H261*I261,-MAX(0,INT(LOG10(H261*I261))-1))</x:f>
        <x:v>78000000</x:v>
      </x:c>
      <x:c r="K261" s="28" t="n">
        <x:v>140000</x:v>
      </x:c>
      <x:c r="L261" s="28" t="n">
        <x:v>190000</x:v>
      </x:c>
      <x:c r="M261" s="28" t="n">
        <x:v>5700</x:v>
      </x:c>
      <x:c r="N261" s="28" t="n">
        <x:v>4800</x:v>
      </x:c>
      <x:c r="O261" s="28" t="n">
        <x:v>143</x:v>
      </x:c>
      <x:c r="P261" s="28" t="n">
        <x:v>280</x:v>
      </x:c>
      <x:c r="Q261" s="28" t="n">
        <x:v>1600</x:v>
      </x:c>
      <x:c r="R261" s="22"/>
      <x:c r="S261" s="22"/>
      <x:c r="T261" s="22" t="str">
        <x:v>32位有符号内</x:v>
      </x:c>
    </x:row>
    <x:row r="262" ht="24" customHeight="1">
      <x:c r="A262" s="22" t="str">
        <x:v>C05-M015</x:v>
      </x:c>
      <x:c r="B262" s="22" t="n">
        <x:v>5</x:v>
      </x:c>
      <x:c r="C262" s="22" t="str">
        <x:v>辉石遗迹</x:v>
      </x:c>
      <x:c r="D262" s="22" t="str">
        <x:v>普通</x:v>
      </x:c>
      <x:c r="E262" s="22" t="str">
        <x:v>晶廊折光蝶</x:v>
      </x:c>
      <x:c r="F262" s="22" t="str">
        <x:v>XX815</x:v>
      </x:c>
      <x:c r="G262" s="22" t="str">
        <x:v>P0148</x:v>
      </x:c>
      <x:c r="H262" s="22" t="n">
        <x:v>7.6</x:v>
      </x:c>
      <x:c r="I262" s="28" t="n">
        <x:v>10294527.765571201</x:v>
      </x:c>
      <x:c r="J262" s="28" t="n">
        <x:f>ROUND(H262*I262,-MAX(0,INT(LOG10(H262*I262))-1))</x:f>
        <x:v>78000000</x:v>
      </x:c>
      <x:c r="K262" s="28" t="n">
        <x:v>140000</x:v>
      </x:c>
      <x:c r="L262" s="28" t="n">
        <x:v>190000</x:v>
      </x:c>
      <x:c r="M262" s="28" t="n">
        <x:v>5700</x:v>
      </x:c>
      <x:c r="N262" s="28" t="n">
        <x:v>4800</x:v>
      </x:c>
      <x:c r="O262" s="28" t="n">
        <x:v>143</x:v>
      </x:c>
      <x:c r="P262" s="28" t="n">
        <x:v>280</x:v>
      </x:c>
      <x:c r="Q262" s="28" t="n">
        <x:v>1600</x:v>
      </x:c>
      <x:c r="R262" s="22"/>
      <x:c r="S262" s="22"/>
      <x:c r="T262" s="22" t="str">
        <x:v>32位有符号内</x:v>
      </x:c>
    </x:row>
    <x:row r="263" ht="24" customHeight="1">
      <x:c r="A263" s="22" t="str">
        <x:v>C05-M016</x:v>
      </x:c>
      <x:c r="B263" s="22" t="n">
        <x:v>5</x:v>
      </x:c>
      <x:c r="C263" s="22" t="str">
        <x:v>辉石遗迹</x:v>
      </x:c>
      <x:c r="D263" s="22" t="str">
        <x:v>普通</x:v>
      </x:c>
      <x:c r="E263" s="22" t="str">
        <x:v>前庭砾晶守卒</x:v>
      </x:c>
      <x:c r="F263" s="22" t="str">
        <x:v>XX813</x:v>
      </x:c>
      <x:c r="G263" s="22" t="str">
        <x:v>P0148</x:v>
      </x:c>
      <x:c r="H263" s="22" t="n">
        <x:v>8.8</x:v>
      </x:c>
      <x:c r="I263" s="28" t="n">
        <x:v>10294527.765571201</x:v>
      </x:c>
      <x:c r="J263" s="28" t="n">
        <x:f>ROUND(H263*I263,-MAX(0,INT(LOG10(H263*I263))-1))</x:f>
        <x:v>91000000</x:v>
      </x:c>
      <x:c r="K263" s="28" t="n">
        <x:v>140000</x:v>
      </x:c>
      <x:c r="L263" s="28" t="n">
        <x:v>190000</x:v>
      </x:c>
      <x:c r="M263" s="28" t="n">
        <x:v>5700</x:v>
      </x:c>
      <x:c r="N263" s="28" t="n">
        <x:v>4800</x:v>
      </x:c>
      <x:c r="O263" s="28" t="n">
        <x:v>143</x:v>
      </x:c>
      <x:c r="P263" s="28" t="n">
        <x:v>280</x:v>
      </x:c>
      <x:c r="Q263" s="28" t="n">
        <x:v>1600</x:v>
      </x:c>
      <x:c r="R263" s="22"/>
      <x:c r="S263" s="22"/>
      <x:c r="T263" s="22" t="str">
        <x:v>32位有符号内</x:v>
      </x:c>
    </x:row>
    <x:row r="264" ht="24" customHeight="1">
      <x:c r="A264" s="22" t="str">
        <x:v>C05-M017</x:v>
      </x:c>
      <x:c r="B264" s="22" t="n">
        <x:v>5</x:v>
      </x:c>
      <x:c r="C264" s="22" t="str">
        <x:v>辉石遗迹</x:v>
      </x:c>
      <x:c r="D264" s="22" t="str">
        <x:v>普通</x:v>
      </x:c>
      <x:c r="E264" s="22" t="str">
        <x:v>内院辉壳犬</x:v>
      </x:c>
      <x:c r="F264" s="22" t="str">
        <x:v>XX814</x:v>
      </x:c>
      <x:c r="G264" s="22" t="str">
        <x:v>P0148</x:v>
      </x:c>
      <x:c r="H264" s="22" t="n">
        <x:v>7.6</x:v>
      </x:c>
      <x:c r="I264" s="28" t="n">
        <x:v>10294527.765571201</x:v>
      </x:c>
      <x:c r="J264" s="28" t="n">
        <x:f>ROUND(H264*I264,-MAX(0,INT(LOG10(H264*I264))-1))</x:f>
        <x:v>78000000</x:v>
      </x:c>
      <x:c r="K264" s="28" t="n">
        <x:v>140000</x:v>
      </x:c>
      <x:c r="L264" s="28" t="n">
        <x:v>190000</x:v>
      </x:c>
      <x:c r="M264" s="28" t="n">
        <x:v>5700</x:v>
      </x:c>
      <x:c r="N264" s="28" t="n">
        <x:v>4800</x:v>
      </x:c>
      <x:c r="O264" s="28" t="n">
        <x:v>143</x:v>
      </x:c>
      <x:c r="P264" s="28" t="n">
        <x:v>280</x:v>
      </x:c>
      <x:c r="Q264" s="28" t="n">
        <x:v>1600</x:v>
      </x:c>
      <x:c r="R264" s="22"/>
      <x:c r="S264" s="22"/>
      <x:c r="T264" s="22" t="str">
        <x:v>32位有符号内</x:v>
      </x:c>
    </x:row>
    <x:row r="265" ht="24" customHeight="1">
      <x:c r="A265" s="22" t="str">
        <x:v>C05-M018</x:v>
      </x:c>
      <x:c r="B265" s="22" t="n">
        <x:v>5</x:v>
      </x:c>
      <x:c r="C265" s="22" t="str">
        <x:v>辉石遗迹</x:v>
      </x:c>
      <x:c r="D265" s="22" t="str">
        <x:v>普通</x:v>
      </x:c>
      <x:c r="E265" s="22" t="str">
        <x:v>圣坛悬晶灵</x:v>
      </x:c>
      <x:c r="F265" s="22" t="str">
        <x:v>XX816</x:v>
      </x:c>
      <x:c r="G265" s="22" t="str">
        <x:v>P0148</x:v>
      </x:c>
      <x:c r="H265" s="22" t="n">
        <x:v>7.6</x:v>
      </x:c>
      <x:c r="I265" s="28" t="n">
        <x:v>10294527.765571201</x:v>
      </x:c>
      <x:c r="J265" s="28" t="n">
        <x:f>ROUND(H265*I265,-MAX(0,INT(LOG10(H265*I265))-1))</x:f>
        <x:v>78000000</x:v>
      </x:c>
      <x:c r="K265" s="28" t="n">
        <x:v>140000</x:v>
      </x:c>
      <x:c r="L265" s="28" t="n">
        <x:v>190000</x:v>
      </x:c>
      <x:c r="M265" s="28" t="n">
        <x:v>5700</x:v>
      </x:c>
      <x:c r="N265" s="28" t="n">
        <x:v>4800</x:v>
      </x:c>
      <x:c r="O265" s="28" t="n">
        <x:v>143</x:v>
      </x:c>
      <x:c r="P265" s="28" t="n">
        <x:v>280</x:v>
      </x:c>
      <x:c r="Q265" s="28" t="n">
        <x:v>1600</x:v>
      </x:c>
      <x:c r="R265" s="22"/>
      <x:c r="S265" s="22"/>
      <x:c r="T265" s="22" t="str">
        <x:v>32位有符号内</x:v>
      </x:c>
    </x:row>
    <x:row r="266" ht="24" customHeight="1">
      <x:c r="A266" s="22" t="str">
        <x:v>C05-M019</x:v>
      </x:c>
      <x:c r="B266" s="22" t="n">
        <x:v>5</x:v>
      </x:c>
      <x:c r="C266" s="22" t="str">
        <x:v>辉石遗迹</x:v>
      </x:c>
      <x:c r="D266" s="22" t="str">
        <x:v>稀有</x:v>
      </x:c>
      <x:c r="E266" s="22" t="str">
        <x:v>青曜啮辉兽</x:v>
      </x:c>
      <x:c r="F266" s="22" t="str">
        <x:v>XX812</x:v>
      </x:c>
      <x:c r="G266" s="22" t="str">
        <x:v>P0148</x:v>
      </x:c>
      <x:c r="H266" s="22" t="n">
        <x:v>26.400000000000002</x:v>
      </x:c>
      <x:c r="I266" s="28" t="n">
        <x:v>9678994.161417875</x:v>
      </x:c>
      <x:c r="J266" s="28" t="n">
        <x:f>ROUND(H266*I266,-MAX(0,INT(LOG10(H266*I266))-1))</x:f>
        <x:v>260000000</x:v>
      </x:c>
      <x:c r="K266" s="28" t="n">
        <x:v>330000</x:v>
      </x:c>
      <x:c r="L266" s="28" t="n">
        <x:v>440000</x:v>
      </x:c>
      <x:c r="M266" s="28" t="n">
        <x:v>11000</x:v>
      </x:c>
      <x:c r="N266" s="28" t="n">
        <x:v>9400</x:v>
      </x:c>
      <x:c r="O266" s="28" t="n">
        <x:v>143</x:v>
      </x:c>
      <x:c r="P266" s="28" t="n">
        <x:v>820</x:v>
      </x:c>
      <x:c r="Q266" s="28" t="n">
        <x:v>1700</x:v>
      </x:c>
      <x:c r="R266" s="22"/>
      <x:c r="S266" s="22"/>
      <x:c r="T266" s="22" t="str">
        <x:v>32位有符号内</x:v>
      </x:c>
    </x:row>
    <x:row r="267" ht="24" customHeight="1">
      <x:c r="A267" s="22" t="str">
        <x:v>C05-M020</x:v>
      </x:c>
      <x:c r="B267" s="22" t="n">
        <x:v>5</x:v>
      </x:c>
      <x:c r="C267" s="22" t="str">
        <x:v>辉石遗迹</x:v>
      </x:c>
      <x:c r="D267" s="22" t="str">
        <x:v>稀有</x:v>
      </x:c>
      <x:c r="E267" s="22" t="str">
        <x:v>棱光长廊术士</x:v>
      </x:c>
      <x:c r="F267" s="22" t="str">
        <x:v>XX815</x:v>
      </x:c>
      <x:c r="G267" s="22" t="str">
        <x:v>P0148</x:v>
      </x:c>
      <x:c r="H267" s="22" t="n">
        <x:v>27.599999999999998</x:v>
      </x:c>
      <x:c r="I267" s="28" t="n">
        <x:v>9678994.161417875</x:v>
      </x:c>
      <x:c r="J267" s="28" t="n">
        <x:f>ROUND(H267*I267,-MAX(0,INT(LOG10(H267*I267))-1))</x:f>
        <x:v>270000000</x:v>
      </x:c>
      <x:c r="K267" s="28" t="n">
        <x:v>330000</x:v>
      </x:c>
      <x:c r="L267" s="28" t="n">
        <x:v>440000</x:v>
      </x:c>
      <x:c r="M267" s="28" t="n">
        <x:v>11000</x:v>
      </x:c>
      <x:c r="N267" s="28" t="n">
        <x:v>9400</x:v>
      </x:c>
      <x:c r="O267" s="28" t="n">
        <x:v>143</x:v>
      </x:c>
      <x:c r="P267" s="28" t="n">
        <x:v>820</x:v>
      </x:c>
      <x:c r="Q267" s="28" t="n">
        <x:v>1700</x:v>
      </x:c>
      <x:c r="R267" s="22"/>
      <x:c r="S267" s="22"/>
      <x:c r="T267" s="22" t="str">
        <x:v>32位有符号内</x:v>
      </x:c>
    </x:row>
    <x:row r="268" ht="24" customHeight="1">
      <x:c r="A268" s="22" t="str">
        <x:v>C05-M021</x:v>
      </x:c>
      <x:c r="B268" s="22" t="n">
        <x:v>5</x:v>
      </x:c>
      <x:c r="C268" s="22" t="str">
        <x:v>辉石遗迹</x:v>
      </x:c>
      <x:c r="D268" s="22" t="str">
        <x:v>稀有</x:v>
      </x:c>
      <x:c r="E268" s="22" t="str">
        <x:v>学院前庭晶戟卫</x:v>
      </x:c>
      <x:c r="F268" s="22" t="str">
        <x:v>XX813</x:v>
      </x:c>
      <x:c r="G268" s="22" t="str">
        <x:v>P0148</x:v>
      </x:c>
      <x:c r="H268" s="22" t="n">
        <x:v>22.799999999999997</x:v>
      </x:c>
      <x:c r="I268" s="28" t="n">
        <x:v>9678994.161417875</x:v>
      </x:c>
      <x:c r="J268" s="28" t="n">
        <x:f>ROUND(H268*I268,-MAX(0,INT(LOG10(H268*I268))-1))</x:f>
        <x:v>220000000</x:v>
      </x:c>
      <x:c r="K268" s="28" t="n">
        <x:v>330000</x:v>
      </x:c>
      <x:c r="L268" s="28" t="n">
        <x:v>440000</x:v>
      </x:c>
      <x:c r="M268" s="28" t="n">
        <x:v>11000</x:v>
      </x:c>
      <x:c r="N268" s="28" t="n">
        <x:v>9400</x:v>
      </x:c>
      <x:c r="O268" s="28" t="n">
        <x:v>143</x:v>
      </x:c>
      <x:c r="P268" s="28" t="n">
        <x:v>820</x:v>
      </x:c>
      <x:c r="Q268" s="28" t="n">
        <x:v>1700</x:v>
      </x:c>
      <x:c r="R268" s="22"/>
      <x:c r="S268" s="22"/>
      <x:c r="T268" s="22" t="str">
        <x:v>32位有符号内</x:v>
      </x:c>
    </x:row>
    <x:row r="269" ht="24" customHeight="1">
      <x:c r="A269" s="22" t="str">
        <x:v>C05-M022</x:v>
      </x:c>
      <x:c r="B269" s="22" t="n">
        <x:v>5</x:v>
      </x:c>
      <x:c r="C269" s="22" t="str">
        <x:v>辉石遗迹</x:v>
      </x:c>
      <x:c r="D269" s="22" t="str">
        <x:v>稀有</x:v>
      </x:c>
      <x:c r="E269" s="22" t="str">
        <x:v>内院辉核铸像</x:v>
      </x:c>
      <x:c r="F269" s="22" t="str">
        <x:v>XX814</x:v>
      </x:c>
      <x:c r="G269" s="22" t="str">
        <x:v>P0148</x:v>
      </x:c>
      <x:c r="H269" s="22" t="n">
        <x:v>27.599999999999998</x:v>
      </x:c>
      <x:c r="I269" s="28" t="n">
        <x:v>9678994.161417875</x:v>
      </x:c>
      <x:c r="J269" s="28" t="n">
        <x:f>ROUND(H269*I269,-MAX(0,INT(LOG10(H269*I269))-1))</x:f>
        <x:v>270000000</x:v>
      </x:c>
      <x:c r="K269" s="28" t="n">
        <x:v>330000</x:v>
      </x:c>
      <x:c r="L269" s="28" t="n">
        <x:v>440000</x:v>
      </x:c>
      <x:c r="M269" s="28" t="n">
        <x:v>11000</x:v>
      </x:c>
      <x:c r="N269" s="28" t="n">
        <x:v>9400</x:v>
      </x:c>
      <x:c r="O269" s="28" t="n">
        <x:v>143</x:v>
      </x:c>
      <x:c r="P269" s="28" t="n">
        <x:v>820</x:v>
      </x:c>
      <x:c r="Q269" s="28" t="n">
        <x:v>1700</x:v>
      </x:c>
      <x:c r="R269" s="22"/>
      <x:c r="S269" s="22"/>
      <x:c r="T269" s="22" t="str">
        <x:v>32位有符号内</x:v>
      </x:c>
    </x:row>
    <x:row r="270" ht="24" customHeight="1">
      <x:c r="A270" s="22" t="str">
        <x:v>C05-M023</x:v>
      </x:c>
      <x:c r="B270" s="22" t="n">
        <x:v>5</x:v>
      </x:c>
      <x:c r="C270" s="22" t="str">
        <x:v>辉石遗迹</x:v>
      </x:c>
      <x:c r="D270" s="22" t="str">
        <x:v>地图BOSS</x:v>
      </x:c>
      <x:c r="E270" s="22" t="str">
        <x:v>裂辉古院监</x:v>
      </x:c>
      <x:c r="F270" s="22" t="str">
        <x:v>XX814</x:v>
      </x:c>
      <x:c r="G270" s="22" t="str">
        <x:v>P0155</x:v>
      </x:c>
      <x:c r="H270" s="22" t="n">
        <x:v>71.25</x:v>
      </x:c>
      <x:c r="I270" s="28" t="n">
        <x:v>24270491.401372243</x:v>
      </x:c>
      <x:c r="J270" s="28" t="n">
        <x:f>ROUND(H270*I270,-MAX(0,INT(LOG10(H270*I270))-1))</x:f>
        <x:v>1700000000</x:v>
      </x:c>
      <x:c r="K270" s="28" t="n">
        <x:v>530000</x:v>
      </x:c>
      <x:c r="L270" s="28" t="n">
        <x:v>720000</x:v>
      </x:c>
      <x:c r="M270" s="28" t="n">
        <x:v>19000</x:v>
      </x:c>
      <x:c r="N270" s="28" t="n">
        <x:v>16000</x:v>
      </x:c>
      <x:c r="O270" s="28" t="n">
        <x:v>143</x:v>
      </x:c>
      <x:c r="P270" s="28" t="n">
        <x:v>3300</x:v>
      </x:c>
      <x:c r="Q270" s="28" t="n">
        <x:v>1800</x:v>
      </x:c>
      <x:c r="R270" s="22"/>
      <x:c r="S270" s="22"/>
      <x:c r="T270" s="22" t="str">
        <x:v>32位有符号内</x:v>
      </x:c>
    </x:row>
    <x:row r="271" ht="24" customHeight="1">
      <x:c r="A271" s="22" t="str">
        <x:v>C05-M024</x:v>
      </x:c>
      <x:c r="B271" s="22" t="n">
        <x:v>5</x:v>
      </x:c>
      <x:c r="C271" s="22" t="str">
        <x:v>辉石遗迹</x:v>
      </x:c>
      <x:c r="D271" s="22" t="str">
        <x:v>地图BOSS</x:v>
      </x:c>
      <x:c r="E271" s="22" t="str">
        <x:v>万棱圣坛龙蜥</x:v>
      </x:c>
      <x:c r="F271" s="22" t="str">
        <x:v>XX816</x:v>
      </x:c>
      <x:c r="G271" s="22" t="str">
        <x:v>P0156</x:v>
      </x:c>
      <x:c r="H271" s="22" t="n">
        <x:v>86.25</x:v>
      </x:c>
      <x:c r="I271" s="28" t="n">
        <x:v>24270491.401372243</x:v>
      </x:c>
      <x:c r="J271" s="28" t="n">
        <x:f>ROUND(H271*I271,-MAX(0,INT(LOG10(H271*I271))-1))</x:f>
        <x:v>2100000000</x:v>
      </x:c>
      <x:c r="K271" s="28" t="n">
        <x:v>530000</x:v>
      </x:c>
      <x:c r="L271" s="28" t="n">
        <x:v>720000</x:v>
      </x:c>
      <x:c r="M271" s="28" t="n">
        <x:v>19000</x:v>
      </x:c>
      <x:c r="N271" s="28" t="n">
        <x:v>16000</x:v>
      </x:c>
      <x:c r="O271" s="28" t="n">
        <x:v>143</x:v>
      </x:c>
      <x:c r="P271" s="28" t="n">
        <x:v>3300</x:v>
      </x:c>
      <x:c r="Q271" s="28" t="n">
        <x:v>1800</x:v>
      </x:c>
      <x:c r="R271" s="22"/>
      <x:c r="S271" s="22"/>
      <x:c r="T271" s="22" t="str">
        <x:v>32位有符号内</x:v>
      </x:c>
    </x:row>
    <x:row r="272" ht="24" customHeight="1">
      <x:c r="A272" s="22" t="str">
        <x:v>C05-M025</x:v>
      </x:c>
      <x:c r="B272" s="22" t="n">
        <x:v>5</x:v>
      </x:c>
      <x:c r="C272" s="22" t="str">
        <x:v>学院回廊</x:v>
      </x:c>
      <x:c r="D272" s="22" t="str">
        <x:v>普通</x:v>
      </x:c>
      <x:c r="E272" s="22" t="str">
        <x:v>墨羽抄录仆</x:v>
      </x:c>
      <x:c r="F272" s="22" t="str">
        <x:v>XX1053</x:v>
      </x:c>
      <x:c r="G272" s="22" t="str">
        <x:v>P0154</x:v>
      </x:c>
      <x:c r="H272" s="22" t="n">
        <x:v>9.2</x:v>
      </x:c>
      <x:c r="I272" s="28" t="n">
        <x:v>11633106.623413928</x:v>
      </x:c>
      <x:c r="J272" s="28" t="n">
        <x:f>ROUND(H272*I272,-MAX(0,INT(LOG10(H272*I272))-1))</x:f>
        <x:v>110000000</x:v>
      </x:c>
      <x:c r="K272" s="28" t="n">
        <x:v>120000</x:v>
      </x:c>
      <x:c r="L272" s="28" t="n">
        <x:v>170000</x:v>
      </x:c>
      <x:c r="M272" s="28" t="n">
        <x:v>6100</x:v>
      </x:c>
      <x:c r="N272" s="28" t="n">
        <x:v>5200</x:v>
      </x:c>
      <x:c r="O272" s="28" t="n">
        <x:v>146</x:v>
      </x:c>
      <x:c r="P272" s="28" t="n">
        <x:v>290</x:v>
      </x:c>
      <x:c r="Q272" s="28" t="n">
        <x:v>1600</x:v>
      </x:c>
      <x:c r="R272" s="22"/>
      <x:c r="S272" s="22"/>
      <x:c r="T272" s="22" t="str">
        <x:v>32位有符号内</x:v>
      </x:c>
    </x:row>
    <x:row r="273" ht="24" customHeight="1">
      <x:c r="A273" s="22" t="str">
        <x:v>C05-M026</x:v>
      </x:c>
      <x:c r="B273" s="22" t="n">
        <x:v>5</x:v>
      </x:c>
      <x:c r="C273" s="22" t="str">
        <x:v>学院回廊</x:v>
      </x:c>
      <x:c r="D273" s="22" t="str">
        <x:v>普通</x:v>
      </x:c>
      <x:c r="E273" s="22" t="str">
        <x:v>回廊试术生</x:v>
      </x:c>
      <x:c r="F273" s="22" t="str">
        <x:v>XX1053</x:v>
      </x:c>
      <x:c r="G273" s="22" t="str">
        <x:v>P0154</x:v>
      </x:c>
      <x:c r="H273" s="22" t="n">
        <x:v>8.8</x:v>
      </x:c>
      <x:c r="I273" s="28" t="n">
        <x:v>11633106.623413928</x:v>
      </x:c>
      <x:c r="J273" s="28" t="n">
        <x:f>ROUND(H273*I273,-MAX(0,INT(LOG10(H273*I273))-1))</x:f>
        <x:v>100000000</x:v>
      </x:c>
      <x:c r="K273" s="28" t="n">
        <x:v>120000</x:v>
      </x:c>
      <x:c r="L273" s="28" t="n">
        <x:v>170000</x:v>
      </x:c>
      <x:c r="M273" s="28" t="n">
        <x:v>6100</x:v>
      </x:c>
      <x:c r="N273" s="28" t="n">
        <x:v>5200</x:v>
      </x:c>
      <x:c r="O273" s="28" t="n">
        <x:v>146</x:v>
      </x:c>
      <x:c r="P273" s="28" t="n">
        <x:v>290</x:v>
      </x:c>
      <x:c r="Q273" s="28" t="n">
        <x:v>1600</x:v>
      </x:c>
      <x:c r="R273" s="22"/>
      <x:c r="S273" s="22"/>
      <x:c r="T273" s="22" t="str">
        <x:v>32位有符号内</x:v>
      </x:c>
    </x:row>
    <x:row r="274" ht="24" customHeight="1">
      <x:c r="A274" s="22" t="str">
        <x:v>C05-M027</x:v>
      </x:c>
      <x:c r="B274" s="22" t="n">
        <x:v>5</x:v>
      </x:c>
      <x:c r="C274" s="22" t="str">
        <x:v>学院回廊</x:v>
      </x:c>
      <x:c r="D274" s="22" t="str">
        <x:v>普通</x:v>
      </x:c>
      <x:c r="E274" s="22" t="str">
        <x:v>封印粉笔灵</x:v>
      </x:c>
      <x:c r="F274" s="22" t="str">
        <x:v>XX1060</x:v>
      </x:c>
      <x:c r="G274" s="22" t="str">
        <x:v>P0154</x:v>
      </x:c>
      <x:c r="H274" s="22" t="n">
        <x:v>7.2</x:v>
      </x:c>
      <x:c r="I274" s="28" t="n">
        <x:v>11633106.623413928</x:v>
      </x:c>
      <x:c r="J274" s="28" t="n">
        <x:f>ROUND(H274*I274,-MAX(0,INT(LOG10(H274*I274))-1))</x:f>
        <x:v>84000000</x:v>
      </x:c>
      <x:c r="K274" s="28" t="n">
        <x:v>120000</x:v>
      </x:c>
      <x:c r="L274" s="28" t="n">
        <x:v>170000</x:v>
      </x:c>
      <x:c r="M274" s="28" t="n">
        <x:v>6100</x:v>
      </x:c>
      <x:c r="N274" s="28" t="n">
        <x:v>5200</x:v>
      </x:c>
      <x:c r="O274" s="28" t="n">
        <x:v>146</x:v>
      </x:c>
      <x:c r="P274" s="28" t="n">
        <x:v>290</x:v>
      </x:c>
      <x:c r="Q274" s="28" t="n">
        <x:v>1600</x:v>
      </x:c>
      <x:c r="R274" s="22"/>
      <x:c r="S274" s="22"/>
      <x:c r="T274" s="22" t="str">
        <x:v>32位有符号内</x:v>
      </x:c>
    </x:row>
    <x:row r="275" ht="24" customHeight="1">
      <x:c r="A275" s="22" t="str">
        <x:v>C05-M028</x:v>
      </x:c>
      <x:c r="B275" s="22" t="n">
        <x:v>5</x:v>
      </x:c>
      <x:c r="C275" s="22" t="str">
        <x:v>学院回廊</x:v>
      </x:c>
      <x:c r="D275" s="22" t="str">
        <x:v>普通</x:v>
      </x:c>
      <x:c r="E275" s="22" t="str">
        <x:v>讲堂缄咒像</x:v>
      </x:c>
      <x:c r="F275" s="22" t="str">
        <x:v>XX1060</x:v>
      </x:c>
      <x:c r="G275" s="22" t="str">
        <x:v>P0154</x:v>
      </x:c>
      <x:c r="H275" s="22" t="n">
        <x:v>8</x:v>
      </x:c>
      <x:c r="I275" s="28" t="n">
        <x:v>11633106.623413928</x:v>
      </x:c>
      <x:c r="J275" s="28" t="n">
        <x:f>ROUND(H275*I275,-MAX(0,INT(LOG10(H275*I275))-1))</x:f>
        <x:v>93000000</x:v>
      </x:c>
      <x:c r="K275" s="28" t="n">
        <x:v>120000</x:v>
      </x:c>
      <x:c r="L275" s="28" t="n">
        <x:v>170000</x:v>
      </x:c>
      <x:c r="M275" s="28" t="n">
        <x:v>6100</x:v>
      </x:c>
      <x:c r="N275" s="28" t="n">
        <x:v>5200</x:v>
      </x:c>
      <x:c r="O275" s="28" t="n">
        <x:v>146</x:v>
      </x:c>
      <x:c r="P275" s="28" t="n">
        <x:v>290</x:v>
      </x:c>
      <x:c r="Q275" s="28" t="n">
        <x:v>1600</x:v>
      </x:c>
      <x:c r="R275" s="22"/>
      <x:c r="S275" s="22"/>
      <x:c r="T275" s="22" t="str">
        <x:v>32位有符号内</x:v>
      </x:c>
    </x:row>
    <x:row r="276" ht="24" customHeight="1">
      <x:c r="A276" s="22" t="str">
        <x:v>C05-M029</x:v>
      </x:c>
      <x:c r="B276" s="22" t="n">
        <x:v>5</x:v>
      </x:c>
      <x:c r="C276" s="22" t="str">
        <x:v>学院回廊</x:v>
      </x:c>
      <x:c r="D276" s="22" t="str">
        <x:v>普通</x:v>
      </x:c>
      <x:c r="E276" s="22" t="str">
        <x:v>密室卷轴蠹</x:v>
      </x:c>
      <x:c r="F276" s="22" t="str">
        <x:v>XX1058</x:v>
      </x:c>
      <x:c r="G276" s="22" t="str">
        <x:v>P0154</x:v>
      </x:c>
      <x:c r="H276" s="22" t="n">
        <x:v>8.8</x:v>
      </x:c>
      <x:c r="I276" s="28" t="n">
        <x:v>11633106.623413928</x:v>
      </x:c>
      <x:c r="J276" s="28" t="n">
        <x:f>ROUND(H276*I276,-MAX(0,INT(LOG10(H276*I276))-1))</x:f>
        <x:v>100000000</x:v>
      </x:c>
      <x:c r="K276" s="28" t="n">
        <x:v>120000</x:v>
      </x:c>
      <x:c r="L276" s="28" t="n">
        <x:v>170000</x:v>
      </x:c>
      <x:c r="M276" s="28" t="n">
        <x:v>6100</x:v>
      </x:c>
      <x:c r="N276" s="28" t="n">
        <x:v>5200</x:v>
      </x:c>
      <x:c r="O276" s="28" t="n">
        <x:v>146</x:v>
      </x:c>
      <x:c r="P276" s="28" t="n">
        <x:v>290</x:v>
      </x:c>
      <x:c r="Q276" s="28" t="n">
        <x:v>1600</x:v>
      </x:c>
      <x:c r="R276" s="22"/>
      <x:c r="S276" s="22"/>
      <x:c r="T276" s="22" t="str">
        <x:v>32位有符号内</x:v>
      </x:c>
    </x:row>
    <x:row r="277" ht="24" customHeight="1">
      <x:c r="A277" s="22" t="str">
        <x:v>C05-M030</x:v>
      </x:c>
      <x:c r="B277" s="22" t="n">
        <x:v>5</x:v>
      </x:c>
      <x:c r="C277" s="22" t="str">
        <x:v>学院回廊</x:v>
      </x:c>
      <x:c r="D277" s="22" t="str">
        <x:v>普通</x:v>
      </x:c>
      <x:c r="E277" s="22" t="str">
        <x:v>学院锁页卫</x:v>
      </x:c>
      <x:c r="F277" s="22" t="str">
        <x:v>XX1058</x:v>
      </x:c>
      <x:c r="G277" s="22" t="str">
        <x:v>P0154</x:v>
      </x:c>
      <x:c r="H277" s="22" t="n">
        <x:v>8</x:v>
      </x:c>
      <x:c r="I277" s="28" t="n">
        <x:v>11633106.623413928</x:v>
      </x:c>
      <x:c r="J277" s="28" t="n">
        <x:f>ROUND(H277*I277,-MAX(0,INT(LOG10(H277*I277))-1))</x:f>
        <x:v>93000000</x:v>
      </x:c>
      <x:c r="K277" s="28" t="n">
        <x:v>120000</x:v>
      </x:c>
      <x:c r="L277" s="28" t="n">
        <x:v>170000</x:v>
      </x:c>
      <x:c r="M277" s="28" t="n">
        <x:v>6100</x:v>
      </x:c>
      <x:c r="N277" s="28" t="n">
        <x:v>5200</x:v>
      </x:c>
      <x:c r="O277" s="28" t="n">
        <x:v>146</x:v>
      </x:c>
      <x:c r="P277" s="28" t="n">
        <x:v>290</x:v>
      </x:c>
      <x:c r="Q277" s="28" t="n">
        <x:v>1600</x:v>
      </x:c>
      <x:c r="R277" s="22"/>
      <x:c r="S277" s="22"/>
      <x:c r="T277" s="22" t="str">
        <x:v>32位有符号内</x:v>
      </x:c>
    </x:row>
    <x:row r="278" ht="24" customHeight="1">
      <x:c r="A278" s="22" t="str">
        <x:v>C05-M031</x:v>
      </x:c>
      <x:c r="B278" s="22" t="n">
        <x:v>5</x:v>
      </x:c>
      <x:c r="C278" s="22" t="str">
        <x:v>学院回廊</x:v>
      </x:c>
      <x:c r="D278" s="22" t="str">
        <x:v>稀有</x:v>
      </x:c>
      <x:c r="E278" s="22" t="str">
        <x:v>银规巡课官</x:v>
      </x:c>
      <x:c r="F278" s="22" t="str">
        <x:v>XX1053</x:v>
      </x:c>
      <x:c r="G278" s="22" t="str">
        <x:v>P0154</x:v>
      </x:c>
      <x:c r="H278" s="22" t="n">
        <x:v>24</x:v>
      </x:c>
      <x:c r="I278" s="28" t="n">
        <x:v>10918697.559979662</x:v>
      </x:c>
      <x:c r="J278" s="28" t="n">
        <x:f>ROUND(H278*I278,-MAX(0,INT(LOG10(H278*I278))-1))</x:f>
        <x:v>260000000</x:v>
      </x:c>
      <x:c r="K278" s="28" t="n">
        <x:v>280000</x:v>
      </x:c>
      <x:c r="L278" s="28" t="n">
        <x:v>380000</x:v>
      </x:c>
      <x:c r="M278" s="28" t="n">
        <x:v>12000</x:v>
      </x:c>
      <x:c r="N278" s="28" t="n">
        <x:v>10000</x:v>
      </x:c>
      <x:c r="O278" s="28" t="n">
        <x:v>146</x:v>
      </x:c>
      <x:c r="P278" s="28" t="n">
        <x:v>870</x:v>
      </x:c>
      <x:c r="Q278" s="28" t="n">
        <x:v>1700</x:v>
      </x:c>
      <x:c r="R278" s="22"/>
      <x:c r="S278" s="22"/>
      <x:c r="T278" s="22" t="str">
        <x:v>32位有符号内</x:v>
      </x:c>
    </x:row>
    <x:row r="279" ht="24" customHeight="1">
      <x:c r="A279" s="22" t="str">
        <x:v>C05-M032</x:v>
      </x:c>
      <x:c r="B279" s="22" t="n">
        <x:v>5</x:v>
      </x:c>
      <x:c r="C279" s="22" t="str">
        <x:v>学院回廊</x:v>
      </x:c>
      <x:c r="D279" s="22" t="str">
        <x:v>稀有</x:v>
      </x:c>
      <x:c r="E279" s="22" t="str">
        <x:v>封讲禁声师</x:v>
      </x:c>
      <x:c r="F279" s="22" t="str">
        <x:v>XX1060</x:v>
      </x:c>
      <x:c r="G279" s="22" t="str">
        <x:v>P0154</x:v>
      </x:c>
      <x:c r="H279" s="22" t="n">
        <x:v>22.799999999999997</x:v>
      </x:c>
      <x:c r="I279" s="28" t="n">
        <x:v>10918697.559979662</x:v>
      </x:c>
      <x:c r="J279" s="28" t="n">
        <x:f>ROUND(H279*I279,-MAX(0,INT(LOG10(H279*I279))-1))</x:f>
        <x:v>250000000</x:v>
      </x:c>
      <x:c r="K279" s="28" t="n">
        <x:v>280000</x:v>
      </x:c>
      <x:c r="L279" s="28" t="n">
        <x:v>380000</x:v>
      </x:c>
      <x:c r="M279" s="28" t="n">
        <x:v>12000</x:v>
      </x:c>
      <x:c r="N279" s="28" t="n">
        <x:v>10000</x:v>
      </x:c>
      <x:c r="O279" s="28" t="n">
        <x:v>146</x:v>
      </x:c>
      <x:c r="P279" s="28" t="n">
        <x:v>870</x:v>
      </x:c>
      <x:c r="Q279" s="28" t="n">
        <x:v>1700</x:v>
      </x:c>
      <x:c r="R279" s="22"/>
      <x:c r="S279" s="22"/>
      <x:c r="T279" s="22" t="str">
        <x:v>32位有符号内</x:v>
      </x:c>
    </x:row>
    <x:row r="280" ht="24" customHeight="1">
      <x:c r="A280" s="22" t="str">
        <x:v>C05-M033</x:v>
      </x:c>
      <x:c r="B280" s="22" t="n">
        <x:v>5</x:v>
      </x:c>
      <x:c r="C280" s="22" t="str">
        <x:v>学院回廊</x:v>
      </x:c>
      <x:c r="D280" s="22" t="str">
        <x:v>稀有</x:v>
      </x:c>
      <x:c r="E280" s="22" t="str">
        <x:v>密室倒书客</x:v>
      </x:c>
      <x:c r="F280" s="22" t="str">
        <x:v>XX1058</x:v>
      </x:c>
      <x:c r="G280" s="22" t="str">
        <x:v>P0154</x:v>
      </x:c>
      <x:c r="H280" s="22" t="n">
        <x:v>26.400000000000002</x:v>
      </x:c>
      <x:c r="I280" s="28" t="n">
        <x:v>10918697.559979662</x:v>
      </x:c>
      <x:c r="J280" s="28" t="n">
        <x:f>ROUND(H280*I280,-MAX(0,INT(LOG10(H280*I280))-1))</x:f>
        <x:v>290000000</x:v>
      </x:c>
      <x:c r="K280" s="28" t="n">
        <x:v>280000</x:v>
      </x:c>
      <x:c r="L280" s="28" t="n">
        <x:v>380000</x:v>
      </x:c>
      <x:c r="M280" s="28" t="n">
        <x:v>12000</x:v>
      </x:c>
      <x:c r="N280" s="28" t="n">
        <x:v>10000</x:v>
      </x:c>
      <x:c r="O280" s="28" t="n">
        <x:v>146</x:v>
      </x:c>
      <x:c r="P280" s="28" t="n">
        <x:v>870</x:v>
      </x:c>
      <x:c r="Q280" s="28" t="n">
        <x:v>1700</x:v>
      </x:c>
      <x:c r="R280" s="22"/>
      <x:c r="S280" s="22"/>
      <x:c r="T280" s="22" t="str">
        <x:v>32位有符号内</x:v>
      </x:c>
    </x:row>
    <x:row r="281" ht="24" customHeight="1">
      <x:c r="A281" s="22" t="str">
        <x:v>C05-M034</x:v>
      </x:c>
      <x:c r="B281" s="22" t="n">
        <x:v>5</x:v>
      </x:c>
      <x:c r="C281" s="22" t="str">
        <x:v>学院回廊</x:v>
      </x:c>
      <x:c r="D281" s="22" t="str">
        <x:v>稀有</x:v>
      </x:c>
      <x:c r="E281" s="22" t="str">
        <x:v>星墨活页兽</x:v>
      </x:c>
      <x:c r="F281" s="22" t="str">
        <x:v>XX1058</x:v>
      </x:c>
      <x:c r="G281" s="22" t="str">
        <x:v>P0154</x:v>
      </x:c>
      <x:c r="H281" s="22" t="n">
        <x:v>21.6</x:v>
      </x:c>
      <x:c r="I281" s="28" t="n">
        <x:v>10918697.559979662</x:v>
      </x:c>
      <x:c r="J281" s="28" t="n">
        <x:f>ROUND(H281*I281,-MAX(0,INT(LOG10(H281*I281))-1))</x:f>
        <x:v>240000000</x:v>
      </x:c>
      <x:c r="K281" s="28" t="n">
        <x:v>280000</x:v>
      </x:c>
      <x:c r="L281" s="28" t="n">
        <x:v>380000</x:v>
      </x:c>
      <x:c r="M281" s="28" t="n">
        <x:v>12000</x:v>
      </x:c>
      <x:c r="N281" s="28" t="n">
        <x:v>10000</x:v>
      </x:c>
      <x:c r="O281" s="28" t="n">
        <x:v>146</x:v>
      </x:c>
      <x:c r="P281" s="28" t="n">
        <x:v>870</x:v>
      </x:c>
      <x:c r="Q281" s="28" t="n">
        <x:v>1700</x:v>
      </x:c>
      <x:c r="R281" s="22"/>
      <x:c r="S281" s="22"/>
      <x:c r="T281" s="22" t="str">
        <x:v>32位有符号内</x:v>
      </x:c>
    </x:row>
    <x:row r="282" ht="24" customHeight="1">
      <x:c r="A282" s="22" t="str">
        <x:v>C05-M035</x:v>
      </x:c>
      <x:c r="B282" s="22" t="n">
        <x:v>5</x:v>
      </x:c>
      <x:c r="C282" s="22" t="str">
        <x:v>学院回廊</x:v>
      </x:c>
      <x:c r="D282" s="22" t="str">
        <x:v>地图BOSS</x:v>
      </x:c>
      <x:c r="E282" s="22" t="str">
        <x:v>七印讲堂监</x:v>
      </x:c>
      <x:c r="F282" s="22" t="str">
        <x:v>XX1060</x:v>
      </x:c>
      <x:c r="G282" s="22" t="str">
        <x:v>P0161</x:v>
      </x:c>
      <x:c r="H282" s="22" t="n">
        <x:v>71.25</x:v>
      </x:c>
      <x:c r="I282" s="28" t="n">
        <x:v>49777805.170885935</x:v>
      </x:c>
      <x:c r="J282" s="28" t="n">
        <x:f>ROUND(H282*I282,-MAX(0,INT(LOG10(H282*I282))-1))</x:f>
        <x:v>3500000000</x:v>
      </x:c>
      <x:c r="K282" s="28" t="n">
        <x:v>660000</x:v>
      </x:c>
      <x:c r="L282" s="28" t="n">
        <x:v>890000</x:v>
      </x:c>
      <x:c r="M282" s="28" t="n">
        <x:v>28000</x:v>
      </x:c>
      <x:c r="N282" s="28" t="n">
        <x:v>24000</x:v>
      </x:c>
      <x:c r="O282" s="28" t="n">
        <x:v>146</x:v>
      </x:c>
      <x:c r="P282" s="28" t="n">
        <x:v>3500</x:v>
      </x:c>
      <x:c r="Q282" s="28" t="n">
        <x:v>1800</x:v>
      </x:c>
      <x:c r="R282" s="22"/>
      <x:c r="S282" s="22"/>
      <x:c r="T282" s="22" t="str">
        <x:v>64位值核对</x:v>
      </x:c>
    </x:row>
    <x:row r="283" ht="24" customHeight="1">
      <x:c r="A283" s="22" t="str">
        <x:v>C05-M036</x:v>
      </x:c>
      <x:c r="B283" s="22" t="n">
        <x:v>5</x:v>
      </x:c>
      <x:c r="C283" s="22" t="str">
        <x:v>学院回廊</x:v>
      </x:c>
      <x:c r="D283" s="22" t="str">
        <x:v>地图BOSS</x:v>
      </x:c>
      <x:c r="E283" s="22" t="str">
        <x:v>逆页密室导师</x:v>
      </x:c>
      <x:c r="F283" s="22" t="str">
        <x:v>XX1058</x:v>
      </x:c>
      <x:c r="G283" s="22" t="str">
        <x:v>P0162</x:v>
      </x:c>
      <x:c r="H283" s="22" t="n">
        <x:v>75</x:v>
      </x:c>
      <x:c r="I283" s="28" t="n">
        <x:v>49777805.170885935</x:v>
      </x:c>
      <x:c r="J283" s="28" t="n">
        <x:f>ROUND(H283*I283,-MAX(0,INT(LOG10(H283*I283))-1))</x:f>
        <x:v>3700000000</x:v>
      </x:c>
      <x:c r="K283" s="28" t="n">
        <x:v>660000</x:v>
      </x:c>
      <x:c r="L283" s="28" t="n">
        <x:v>890000</x:v>
      </x:c>
      <x:c r="M283" s="28" t="n">
        <x:v>28000</x:v>
      </x:c>
      <x:c r="N283" s="28" t="n">
        <x:v>24000</x:v>
      </x:c>
      <x:c r="O283" s="28" t="n">
        <x:v>146</x:v>
      </x:c>
      <x:c r="P283" s="28" t="n">
        <x:v>3500</x:v>
      </x:c>
      <x:c r="Q283" s="28" t="n">
        <x:v>1800</x:v>
      </x:c>
      <x:c r="R283" s="22"/>
      <x:c r="S283" s="22"/>
      <x:c r="T283" s="22" t="str">
        <x:v>64位值核对</x:v>
      </x:c>
    </x:row>
    <x:row r="284" ht="24" customHeight="1">
      <x:c r="A284" s="22" t="str">
        <x:v>C05-M037</x:v>
      </x:c>
      <x:c r="B284" s="22" t="n">
        <x:v>5</x:v>
      </x:c>
      <x:c r="C284" s="22" t="str">
        <x:v>满月书库</x:v>
      </x:c>
      <x:c r="D284" s="22" t="str">
        <x:v>普通</x:v>
      </x:c>
      <x:c r="E284" s="22" t="str">
        <x:v>月尘理卷童</x:v>
      </x:c>
      <x:c r="F284" s="22" t="str">
        <x:v>XX1063</x:v>
      </x:c>
      <x:c r="G284" s="22" t="str">
        <x:v>P0160</x:v>
      </x:c>
      <x:c r="H284" s="22" t="n">
        <x:v>7.2</x:v>
      </x:c>
      <x:c r="I284" s="28" t="n">
        <x:v>18868934.276779003</x:v>
      </x:c>
      <x:c r="J284" s="28" t="n">
        <x:f>ROUND(H284*I284,-MAX(0,INT(LOG10(H284*I284))-1))</x:f>
        <x:v>140000000</x:v>
      </x:c>
      <x:c r="K284" s="28" t="n">
        <x:v>24000</x:v>
      </x:c>
      <x:c r="L284" s="28" t="n">
        <x:v>33000</x:v>
      </x:c>
      <x:c r="M284" s="28" t="n">
        <x:v>8100</x:v>
      </x:c>
      <x:c r="N284" s="28" t="n">
        <x:v>6900</x:v>
      </x:c>
      <x:c r="O284" s="28" t="n">
        <x:v>149</x:v>
      </x:c>
      <x:c r="P284" s="28" t="n">
        <x:v>300</x:v>
      </x:c>
      <x:c r="Q284" s="28" t="n">
        <x:v>1600</x:v>
      </x:c>
      <x:c r="R284" s="22"/>
      <x:c r="S284" s="22"/>
      <x:c r="T284" s="22" t="str">
        <x:v>32位有符号内</x:v>
      </x:c>
    </x:row>
    <x:row r="285" ht="24" customHeight="1">
      <x:c r="A285" s="22" t="str">
        <x:v>C05-M038</x:v>
      </x:c>
      <x:c r="B285" s="22" t="n">
        <x:v>5</x:v>
      </x:c>
      <x:c r="C285" s="22" t="str">
        <x:v>满月书库</x:v>
      </x:c>
      <x:c r="D285" s="22" t="str">
        <x:v>普通</x:v>
      </x:c>
      <x:c r="E285" s="22" t="str">
        <x:v>银页栖书鸦</x:v>
      </x:c>
      <x:c r="F285" s="22" t="str">
        <x:v>XX1063</x:v>
      </x:c>
      <x:c r="G285" s="22" t="str">
        <x:v>P0160</x:v>
      </x:c>
      <x:c r="H285" s="22" t="n">
        <x:v>9.2</x:v>
      </x:c>
      <x:c r="I285" s="28" t="n">
        <x:v>18868934.276779003</x:v>
      </x:c>
      <x:c r="J285" s="28" t="n">
        <x:f>ROUND(H285*I285,-MAX(0,INT(LOG10(H285*I285))-1))</x:f>
        <x:v>170000000</x:v>
      </x:c>
      <x:c r="K285" s="28" t="n">
        <x:v>24000</x:v>
      </x:c>
      <x:c r="L285" s="28" t="n">
        <x:v>33000</x:v>
      </x:c>
      <x:c r="M285" s="28" t="n">
        <x:v>8100</x:v>
      </x:c>
      <x:c r="N285" s="28" t="n">
        <x:v>6900</x:v>
      </x:c>
      <x:c r="O285" s="28" t="n">
        <x:v>149</x:v>
      </x:c>
      <x:c r="P285" s="28" t="n">
        <x:v>300</x:v>
      </x:c>
      <x:c r="Q285" s="28" t="n">
        <x:v>1600</x:v>
      </x:c>
      <x:c r="R285" s="22"/>
      <x:c r="S285" s="22"/>
      <x:c r="T285" s="22" t="str">
        <x:v>32位有符号内</x:v>
      </x:c>
    </x:row>
    <x:row r="286" ht="24" customHeight="1">
      <x:c r="A286" s="22" t="str">
        <x:v>C05-M039</x:v>
      </x:c>
      <x:c r="B286" s="22" t="n">
        <x:v>5</x:v>
      </x:c>
      <x:c r="C286" s="22" t="str">
        <x:v>满月书库</x:v>
      </x:c>
      <x:c r="D286" s="22" t="str">
        <x:v>普通</x:v>
      </x:c>
      <x:c r="E286" s="22" t="str">
        <x:v>禁书噤语灯</x:v>
      </x:c>
      <x:c r="F286" s="22" t="str">
        <x:v>XX1065</x:v>
      </x:c>
      <x:c r="G286" s="22" t="str">
        <x:v>P0160</x:v>
      </x:c>
      <x:c r="H286" s="22" t="n">
        <x:v>9.2</x:v>
      </x:c>
      <x:c r="I286" s="28" t="n">
        <x:v>18868934.276779003</x:v>
      </x:c>
      <x:c r="J286" s="28" t="n">
        <x:f>ROUND(H286*I286,-MAX(0,INT(LOG10(H286*I286))-1))</x:f>
        <x:v>170000000</x:v>
      </x:c>
      <x:c r="K286" s="28" t="n">
        <x:v>24000</x:v>
      </x:c>
      <x:c r="L286" s="28" t="n">
        <x:v>33000</x:v>
      </x:c>
      <x:c r="M286" s="28" t="n">
        <x:v>8100</x:v>
      </x:c>
      <x:c r="N286" s="28" t="n">
        <x:v>6900</x:v>
      </x:c>
      <x:c r="O286" s="28" t="n">
        <x:v>149</x:v>
      </x:c>
      <x:c r="P286" s="28" t="n">
        <x:v>300</x:v>
      </x:c>
      <x:c r="Q286" s="28" t="n">
        <x:v>1600</x:v>
      </x:c>
      <x:c r="R286" s="22"/>
      <x:c r="S286" s="22"/>
      <x:c r="T286" s="22" t="str">
        <x:v>32位有符号内</x:v>
      </x:c>
    </x:row>
    <x:row r="287" ht="24" customHeight="1">
      <x:c r="A287" s="22" t="str">
        <x:v>C05-M040</x:v>
      </x:c>
      <x:c r="B287" s="22" t="n">
        <x:v>5</x:v>
      </x:c>
      <x:c r="C287" s="22" t="str">
        <x:v>满月书库</x:v>
      </x:c>
      <x:c r="D287" s="22" t="str">
        <x:v>普通</x:v>
      </x:c>
      <x:c r="E287" s="22" t="str">
        <x:v>回廊巡卷傀</x:v>
      </x:c>
      <x:c r="F287" s="22" t="str">
        <x:v>XX1065</x:v>
      </x:c>
      <x:c r="G287" s="22" t="str">
        <x:v>P0160</x:v>
      </x:c>
      <x:c r="H287" s="22" t="n">
        <x:v>8</x:v>
      </x:c>
      <x:c r="I287" s="28" t="n">
        <x:v>18868934.276779003</x:v>
      </x:c>
      <x:c r="J287" s="28" t="n">
        <x:f>ROUND(H287*I287,-MAX(0,INT(LOG10(H287*I287))-1))</x:f>
        <x:v>150000000</x:v>
      </x:c>
      <x:c r="K287" s="28" t="n">
        <x:v>24000</x:v>
      </x:c>
      <x:c r="L287" s="28" t="n">
        <x:v>33000</x:v>
      </x:c>
      <x:c r="M287" s="28" t="n">
        <x:v>8100</x:v>
      </x:c>
      <x:c r="N287" s="28" t="n">
        <x:v>6900</x:v>
      </x:c>
      <x:c r="O287" s="28" t="n">
        <x:v>149</x:v>
      </x:c>
      <x:c r="P287" s="28" t="n">
        <x:v>300</x:v>
      </x:c>
      <x:c r="Q287" s="28" t="n">
        <x:v>1600</x:v>
      </x:c>
      <x:c r="R287" s="22"/>
      <x:c r="S287" s="22"/>
      <x:c r="T287" s="22" t="str">
        <x:v>32位有符号内</x:v>
      </x:c>
    </x:row>
    <x:row r="288" ht="24" customHeight="1">
      <x:c r="A288" s="22" t="str">
        <x:v>C05-M041</x:v>
      </x:c>
      <x:c r="B288" s="22" t="n">
        <x:v>5</x:v>
      </x:c>
      <x:c r="C288" s="22" t="str">
        <x:v>满月书库</x:v>
      </x:c>
      <x:c r="D288" s="22" t="str">
        <x:v>普通</x:v>
      </x:c>
      <x:c r="E288" s="22" t="str">
        <x:v>藏书室墨潮蛭</x:v>
      </x:c>
      <x:c r="F288" s="22" t="str">
        <x:v>XX1066</x:v>
      </x:c>
      <x:c r="G288" s="22" t="str">
        <x:v>P0160</x:v>
      </x:c>
      <x:c r="H288" s="22" t="n">
        <x:v>7.6</x:v>
      </x:c>
      <x:c r="I288" s="28" t="n">
        <x:v>18868934.276779003</x:v>
      </x:c>
      <x:c r="J288" s="28" t="n">
        <x:f>ROUND(H288*I288,-MAX(0,INT(LOG10(H288*I288))-1))</x:f>
        <x:v>140000000</x:v>
      </x:c>
      <x:c r="K288" s="28" t="n">
        <x:v>24000</x:v>
      </x:c>
      <x:c r="L288" s="28" t="n">
        <x:v>33000</x:v>
      </x:c>
      <x:c r="M288" s="28" t="n">
        <x:v>8100</x:v>
      </x:c>
      <x:c r="N288" s="28" t="n">
        <x:v>6900</x:v>
      </x:c>
      <x:c r="O288" s="28" t="n">
        <x:v>149</x:v>
      </x:c>
      <x:c r="P288" s="28" t="n">
        <x:v>300</x:v>
      </x:c>
      <x:c r="Q288" s="28" t="n">
        <x:v>1600</x:v>
      </x:c>
      <x:c r="R288" s="22"/>
      <x:c r="S288" s="22"/>
      <x:c r="T288" s="22" t="str">
        <x:v>32位有符号内</x:v>
      </x:c>
    </x:row>
    <x:row r="289" ht="24" customHeight="1">
      <x:c r="A289" s="22" t="str">
        <x:v>C05-M042</x:v>
      </x:c>
      <x:c r="B289" s="22" t="n">
        <x:v>5</x:v>
      </x:c>
      <x:c r="C289" s="22" t="str">
        <x:v>满月书库</x:v>
      </x:c>
      <x:c r="D289" s="22" t="str">
        <x:v>普通</x:v>
      </x:c>
      <x:c r="E289" s="22" t="str">
        <x:v>满月夹页灵</x:v>
      </x:c>
      <x:c r="F289" s="22" t="str">
        <x:v>XX1066</x:v>
      </x:c>
      <x:c r="G289" s="22" t="str">
        <x:v>P0160</x:v>
      </x:c>
      <x:c r="H289" s="22" t="n">
        <x:v>8.8</x:v>
      </x:c>
      <x:c r="I289" s="28" t="n">
        <x:v>18868934.276779003</x:v>
      </x:c>
      <x:c r="J289" s="28" t="n">
        <x:f>ROUND(H289*I289,-MAX(0,INT(LOG10(H289*I289))-1))</x:f>
        <x:v>170000000</x:v>
      </x:c>
      <x:c r="K289" s="28" t="n">
        <x:v>24000</x:v>
      </x:c>
      <x:c r="L289" s="28" t="n">
        <x:v>33000</x:v>
      </x:c>
      <x:c r="M289" s="28" t="n">
        <x:v>8100</x:v>
      </x:c>
      <x:c r="N289" s="28" t="n">
        <x:v>6900</x:v>
      </x:c>
      <x:c r="O289" s="28" t="n">
        <x:v>149</x:v>
      </x:c>
      <x:c r="P289" s="28" t="n">
        <x:v>300</x:v>
      </x:c>
      <x:c r="Q289" s="28" t="n">
        <x:v>1600</x:v>
      </x:c>
      <x:c r="R289" s="22"/>
      <x:c r="S289" s="22"/>
      <x:c r="T289" s="22" t="str">
        <x:v>32位有符号内</x:v>
      </x:c>
    </x:row>
    <x:row r="290" ht="24" customHeight="1">
      <x:c r="A290" s="22" t="str">
        <x:v>C05-M043</x:v>
      </x:c>
      <x:c r="B290" s="22" t="n">
        <x:v>5</x:v>
      </x:c>
      <x:c r="C290" s="22" t="str">
        <x:v>满月书库</x:v>
      </x:c>
      <x:c r="D290" s="22" t="str">
        <x:v>稀有</x:v>
      </x:c>
      <x:c r="E290" s="22" t="str">
        <x:v>月相编目师</x:v>
      </x:c>
      <x:c r="F290" s="22" t="str">
        <x:v>XX1063</x:v>
      </x:c>
      <x:c r="G290" s="22" t="str">
        <x:v>P0160</x:v>
      </x:c>
      <x:c r="H290" s="22" t="n">
        <x:v>26.400000000000002</x:v>
      </x:c>
      <x:c r="I290" s="28" t="n">
        <x:v>17686989.980384503</x:v>
      </x:c>
      <x:c r="J290" s="28" t="n">
        <x:f>ROUND(H290*I290,-MAX(0,INT(LOG10(H290*I290))-1))</x:f>
        <x:v>470000000</x:v>
      </x:c>
      <x:c r="K290" s="28" t="n">
        <x:v>45000</x:v>
      </x:c>
      <x:c r="L290" s="28" t="n">
        <x:v>62000</x:v>
      </x:c>
      <x:c r="M290" s="28" t="n">
        <x:v>16000</x:v>
      </x:c>
      <x:c r="N290" s="28" t="n">
        <x:v>14000</x:v>
      </x:c>
      <x:c r="O290" s="28" t="n">
        <x:v>149</x:v>
      </x:c>
      <x:c r="P290" s="28" t="n">
        <x:v>920</x:v>
      </x:c>
      <x:c r="Q290" s="28" t="n">
        <x:v>1700</x:v>
      </x:c>
      <x:c r="R290" s="22"/>
      <x:c r="S290" s="22"/>
      <x:c r="T290" s="22" t="str">
        <x:v>32位有符号内</x:v>
      </x:c>
    </x:row>
    <x:row r="291" ht="24" customHeight="1">
      <x:c r="A291" s="22" t="str">
        <x:v>C05-M044</x:v>
      </x:c>
      <x:c r="B291" s="22" t="n">
        <x:v>5</x:v>
      </x:c>
      <x:c r="C291" s="22" t="str">
        <x:v>满月书库</x:v>
      </x:c>
      <x:c r="D291" s="22" t="str">
        <x:v>稀有</x:v>
      </x:c>
      <x:c r="E291" s="22" t="str">
        <x:v>禁页蚀字兽</x:v>
      </x:c>
      <x:c r="F291" s="22" t="str">
        <x:v>XX1065</x:v>
      </x:c>
      <x:c r="G291" s="22" t="str">
        <x:v>P0160</x:v>
      </x:c>
      <x:c r="H291" s="22" t="n">
        <x:v>27.599999999999998</x:v>
      </x:c>
      <x:c r="I291" s="28" t="n">
        <x:v>17686989.980384503</x:v>
      </x:c>
      <x:c r="J291" s="28" t="n">
        <x:f>ROUND(H291*I291,-MAX(0,INT(LOG10(H291*I291))-1))</x:f>
        <x:v>490000000</x:v>
      </x:c>
      <x:c r="K291" s="28" t="n">
        <x:v>45000</x:v>
      </x:c>
      <x:c r="L291" s="28" t="n">
        <x:v>62000</x:v>
      </x:c>
      <x:c r="M291" s="28" t="n">
        <x:v>16000</x:v>
      </x:c>
      <x:c r="N291" s="28" t="n">
        <x:v>14000</x:v>
      </x:c>
      <x:c r="O291" s="28" t="n">
        <x:v>149</x:v>
      </x:c>
      <x:c r="P291" s="28" t="n">
        <x:v>920</x:v>
      </x:c>
      <x:c r="Q291" s="28" t="n">
        <x:v>1700</x:v>
      </x:c>
      <x:c r="R291" s="22"/>
      <x:c r="S291" s="22"/>
      <x:c r="T291" s="22" t="str">
        <x:v>32位有符号内</x:v>
      </x:c>
    </x:row>
    <x:row r="292" ht="24" customHeight="1">
      <x:c r="A292" s="22" t="str">
        <x:v>C05-M045</x:v>
      </x:c>
      <x:c r="B292" s="22" t="n">
        <x:v>5</x:v>
      </x:c>
      <x:c r="C292" s="22" t="str">
        <x:v>满月书库</x:v>
      </x:c>
      <x:c r="D292" s="22" t="str">
        <x:v>稀有</x:v>
      </x:c>
      <x:c r="E292" s="22" t="str">
        <x:v>藏卷沉思者</x:v>
      </x:c>
      <x:c r="F292" s="22" t="str">
        <x:v>XX1066</x:v>
      </x:c>
      <x:c r="G292" s="22" t="str">
        <x:v>P0160</x:v>
      </x:c>
      <x:c r="H292" s="22" t="n">
        <x:v>27.599999999999998</x:v>
      </x:c>
      <x:c r="I292" s="28" t="n">
        <x:v>17686989.980384503</x:v>
      </x:c>
      <x:c r="J292" s="28" t="n">
        <x:f>ROUND(H292*I292,-MAX(0,INT(LOG10(H292*I292))-1))</x:f>
        <x:v>490000000</x:v>
      </x:c>
      <x:c r="K292" s="28" t="n">
        <x:v>45000</x:v>
      </x:c>
      <x:c r="L292" s="28" t="n">
        <x:v>62000</x:v>
      </x:c>
      <x:c r="M292" s="28" t="n">
        <x:v>16000</x:v>
      </x:c>
      <x:c r="N292" s="28" t="n">
        <x:v>14000</x:v>
      </x:c>
      <x:c r="O292" s="28" t="n">
        <x:v>149</x:v>
      </x:c>
      <x:c r="P292" s="28" t="n">
        <x:v>920</x:v>
      </x:c>
      <x:c r="Q292" s="28" t="n">
        <x:v>1700</x:v>
      </x:c>
      <x:c r="R292" s="22"/>
      <x:c r="S292" s="22"/>
      <x:c r="T292" s="22" t="str">
        <x:v>32位有符号内</x:v>
      </x:c>
    </x:row>
    <x:row r="293" ht="24" customHeight="1">
      <x:c r="A293" s="22" t="str">
        <x:v>C05-M046</x:v>
      </x:c>
      <x:c r="B293" s="22" t="n">
        <x:v>5</x:v>
      </x:c>
      <x:c r="C293" s="22" t="str">
        <x:v>满月书库</x:v>
      </x:c>
      <x:c r="D293" s="22" t="str">
        <x:v>稀有</x:v>
      </x:c>
      <x:c r="E293" s="22" t="str">
        <x:v>银书长尾猫</x:v>
      </x:c>
      <x:c r="F293" s="22" t="str">
        <x:v>XX1063</x:v>
      </x:c>
      <x:c r="G293" s="22" t="str">
        <x:v>P0160</x:v>
      </x:c>
      <x:c r="H293" s="22" t="n">
        <x:v>26.400000000000002</x:v>
      </x:c>
      <x:c r="I293" s="28" t="n">
        <x:v>17686989.980384503</x:v>
      </x:c>
      <x:c r="J293" s="28" t="n">
        <x:f>ROUND(H293*I293,-MAX(0,INT(LOG10(H293*I293))-1))</x:f>
        <x:v>470000000</x:v>
      </x:c>
      <x:c r="K293" s="28" t="n">
        <x:v>45000</x:v>
      </x:c>
      <x:c r="L293" s="28" t="n">
        <x:v>62000</x:v>
      </x:c>
      <x:c r="M293" s="28" t="n">
        <x:v>16000</x:v>
      </x:c>
      <x:c r="N293" s="28" t="n">
        <x:v>14000</x:v>
      </x:c>
      <x:c r="O293" s="28" t="n">
        <x:v>149</x:v>
      </x:c>
      <x:c r="P293" s="28" t="n">
        <x:v>920</x:v>
      </x:c>
      <x:c r="Q293" s="28" t="n">
        <x:v>1700</x:v>
      </x:c>
      <x:c r="R293" s="22"/>
      <x:c r="S293" s="22"/>
      <x:c r="T293" s="22" t="str">
        <x:v>32位有符号内</x:v>
      </x:c>
    </x:row>
    <x:row r="294" ht="24" customHeight="1">
      <x:c r="A294" s="22" t="str">
        <x:v>C05-M047</x:v>
      </x:c>
      <x:c r="B294" s="22" t="n">
        <x:v>5</x:v>
      </x:c>
      <x:c r="C294" s="22" t="str">
        <x:v>满月书库</x:v>
      </x:c>
      <x:c r="D294" s="22" t="str">
        <x:v>地图BOSS</x:v>
      </x:c>
      <x:c r="E294" s="22" t="str">
        <x:v>无声禁典司</x:v>
      </x:c>
      <x:c r="F294" s="22" t="str">
        <x:v>XX1065</x:v>
      </x:c>
      <x:c r="G294" s="22" t="str">
        <x:v>P0167</x:v>
      </x:c>
      <x:c r="H294" s="22" t="n">
        <x:v>86.25</x:v>
      </x:c>
      <x:c r="I294" s="28" t="n">
        <x:v>51620212.5937948</x:v>
      </x:c>
      <x:c r="J294" s="28" t="n">
        <x:f>ROUND(H294*I294,-MAX(0,INT(LOG10(H294*I294))-1))</x:f>
        <x:v>4500000000</x:v>
      </x:c>
      <x:c r="K294" s="28" t="n">
        <x:v>250000</x:v>
      </x:c>
      <x:c r="L294" s="28" t="n">
        <x:v>330000</x:v>
      </x:c>
      <x:c r="M294" s="28" t="n">
        <x:v>29000</x:v>
      </x:c>
      <x:c r="N294" s="28" t="n">
        <x:v>25000</x:v>
      </x:c>
      <x:c r="O294" s="28" t="n">
        <x:v>149</x:v>
      </x:c>
      <x:c r="P294" s="28" t="n">
        <x:v>3700</x:v>
      </x:c>
      <x:c r="Q294" s="28" t="n">
        <x:v>1800</x:v>
      </x:c>
      <x:c r="R294" s="22"/>
      <x:c r="S294" s="22"/>
      <x:c r="T294" s="22" t="str">
        <x:v>64位值核对</x:v>
      </x:c>
    </x:row>
    <x:row r="295" ht="24" customHeight="1">
      <x:c r="A295" s="22" t="str">
        <x:v>C05-M048</x:v>
      </x:c>
      <x:c r="B295" s="22" t="n">
        <x:v>5</x:v>
      </x:c>
      <x:c r="C295" s="22" t="str">
        <x:v>满月书库</x:v>
      </x:c>
      <x:c r="D295" s="22" t="str">
        <x:v>地图BOSS</x:v>
      </x:c>
      <x:c r="E295" s="22" t="str">
        <x:v>满月万卷君</x:v>
      </x:c>
      <x:c r="F295" s="22" t="str">
        <x:v>XX1066</x:v>
      </x:c>
      <x:c r="G295" s="22" t="str">
        <x:v>P0168</x:v>
      </x:c>
      <x:c r="H295" s="22" t="n">
        <x:v>71.25</x:v>
      </x:c>
      <x:c r="I295" s="28" t="n">
        <x:v>51620212.5937948</x:v>
      </x:c>
      <x:c r="J295" s="28" t="n">
        <x:f>ROUND(H295*I295,-MAX(0,INT(LOG10(H295*I295))-1))</x:f>
        <x:v>3700000000</x:v>
      </x:c>
      <x:c r="K295" s="28" t="n">
        <x:v>250000</x:v>
      </x:c>
      <x:c r="L295" s="28" t="n">
        <x:v>330000</x:v>
      </x:c>
      <x:c r="M295" s="28" t="n">
        <x:v>29000</x:v>
      </x:c>
      <x:c r="N295" s="28" t="n">
        <x:v>25000</x:v>
      </x:c>
      <x:c r="O295" s="28" t="n">
        <x:v>149</x:v>
      </x:c>
      <x:c r="P295" s="28" t="n">
        <x:v>3700</x:v>
      </x:c>
      <x:c r="Q295" s="28" t="n">
        <x:v>1800</x:v>
      </x:c>
      <x:c r="R295" s="22"/>
      <x:c r="S295" s="22"/>
      <x:c r="T295" s="22" t="str">
        <x:v>64位值核对</x:v>
      </x:c>
    </x:row>
    <x:row r="296" ht="24" customHeight="1">
      <x:c r="A296" s="22" t="str">
        <x:v>C05-M049</x:v>
      </x:c>
      <x:c r="B296" s="22" t="n">
        <x:v>5</x:v>
      </x:c>
      <x:c r="C296" s="22" t="str">
        <x:v>月影水宫</x:v>
      </x:c>
      <x:c r="D296" s="22" t="str">
        <x:v>普通</x:v>
      </x:c>
      <x:c r="E296" s="22" t="str">
        <x:v>月影鳞侍</x:v>
      </x:c>
      <x:c r="F296" s="22" t="str">
        <x:v>XX377</x:v>
      </x:c>
      <x:c r="G296" s="22" t="str">
        <x:v>P0166</x:v>
      </x:c>
      <x:c r="H296" s="22" t="n">
        <x:v>8.8</x:v>
      </x:c>
      <x:c r="I296" s="28" t="n">
        <x:v>22893006.389482856</x:v>
      </x:c>
      <x:c r="J296" s="28" t="n">
        <x:f>ROUND(H296*I296,-MAX(0,INT(LOG10(H296*I296))-1))</x:f>
        <x:v>200000000</x:v>
      </x:c>
      <x:c r="K296" s="28" t="n">
        <x:v>57000</x:v>
      </x:c>
      <x:c r="L296" s="28" t="n">
        <x:v>77000</x:v>
      </x:c>
      <x:c r="M296" s="28" t="n">
        <x:v>9500</x:v>
      </x:c>
      <x:c r="N296" s="28" t="n">
        <x:v>8100</x:v>
      </x:c>
      <x:c r="O296" s="28" t="n">
        <x:v>152</x:v>
      </x:c>
      <x:c r="P296" s="28" t="n">
        <x:v>320</x:v>
      </x:c>
      <x:c r="Q296" s="28" t="n">
        <x:v>1600</x:v>
      </x:c>
      <x:c r="R296" s="22"/>
      <x:c r="S296" s="22"/>
      <x:c r="T296" s="22" t="str">
        <x:v>32位有符号内</x:v>
      </x:c>
    </x:row>
    <x:row r="297" ht="24" customHeight="1">
      <x:c r="A297" s="22" t="str">
        <x:v>C05-M050</x:v>
      </x:c>
      <x:c r="B297" s="22" t="n">
        <x:v>5</x:v>
      </x:c>
      <x:c r="C297" s="22" t="str">
        <x:v>月影水宫</x:v>
      </x:c>
      <x:c r="D297" s="22" t="str">
        <x:v>普通</x:v>
      </x:c>
      <x:c r="E297" s="22" t="str">
        <x:v>水宫涡纹螺</x:v>
      </x:c>
      <x:c r="F297" s="22" t="str">
        <x:v>XX377</x:v>
      </x:c>
      <x:c r="G297" s="22" t="str">
        <x:v>P0166</x:v>
      </x:c>
      <x:c r="H297" s="22" t="n">
        <x:v>9.2</x:v>
      </x:c>
      <x:c r="I297" s="28" t="n">
        <x:v>22893006.389482856</x:v>
      </x:c>
      <x:c r="J297" s="28" t="n">
        <x:f>ROUND(H297*I297,-MAX(0,INT(LOG10(H297*I297))-1))</x:f>
        <x:v>210000000</x:v>
      </x:c>
      <x:c r="K297" s="28" t="n">
        <x:v>57000</x:v>
      </x:c>
      <x:c r="L297" s="28" t="n">
        <x:v>77000</x:v>
      </x:c>
      <x:c r="M297" s="28" t="n">
        <x:v>9500</x:v>
      </x:c>
      <x:c r="N297" s="28" t="n">
        <x:v>8100</x:v>
      </x:c>
      <x:c r="O297" s="28" t="n">
        <x:v>152</x:v>
      </x:c>
      <x:c r="P297" s="28" t="n">
        <x:v>320</x:v>
      </x:c>
      <x:c r="Q297" s="28" t="n">
        <x:v>1600</x:v>
      </x:c>
      <x:c r="R297" s="22"/>
      <x:c r="S297" s="22"/>
      <x:c r="T297" s="22" t="str">
        <x:v>32位有符号内</x:v>
      </x:c>
    </x:row>
    <x:row r="298" ht="24" customHeight="1">
      <x:c r="A298" s="22" t="str">
        <x:v>C05-M051</x:v>
      </x:c>
      <x:c r="B298" s="22" t="n">
        <x:v>5</x:v>
      </x:c>
      <x:c r="C298" s="22" t="str">
        <x:v>月影水宫</x:v>
      </x:c>
      <x:c r="D298" s="22" t="str">
        <x:v>普通</x:v>
      </x:c>
      <x:c r="E298" s="22" t="str">
        <x:v>月华执扇女使</x:v>
      </x:c>
      <x:c r="F298" s="22" t="str">
        <x:v>XX378</x:v>
      </x:c>
      <x:c r="G298" s="22" t="str">
        <x:v>P0166</x:v>
      </x:c>
      <x:c r="H298" s="22" t="n">
        <x:v>7.6</x:v>
      </x:c>
      <x:c r="I298" s="28" t="n">
        <x:v>22893006.389482856</x:v>
      </x:c>
      <x:c r="J298" s="28" t="n">
        <x:f>ROUND(H298*I298,-MAX(0,INT(LOG10(H298*I298))-1))</x:f>
        <x:v>170000000</x:v>
      </x:c>
      <x:c r="K298" s="28" t="n">
        <x:v>57000</x:v>
      </x:c>
      <x:c r="L298" s="28" t="n">
        <x:v>77000</x:v>
      </x:c>
      <x:c r="M298" s="28" t="n">
        <x:v>9500</x:v>
      </x:c>
      <x:c r="N298" s="28" t="n">
        <x:v>8100</x:v>
      </x:c>
      <x:c r="O298" s="28" t="n">
        <x:v>152</x:v>
      </x:c>
      <x:c r="P298" s="28" t="n">
        <x:v>320</x:v>
      </x:c>
      <x:c r="Q298" s="28" t="n">
        <x:v>1600</x:v>
      </x:c>
      <x:c r="R298" s="22"/>
      <x:c r="S298" s="22"/>
      <x:c r="T298" s="22" t="str">
        <x:v>32位有符号内</x:v>
      </x:c>
    </x:row>
    <x:row r="299" ht="24" customHeight="1">
      <x:c r="A299" s="22" t="str">
        <x:v>C05-M052</x:v>
      </x:c>
      <x:c r="B299" s="22" t="n">
        <x:v>5</x:v>
      </x:c>
      <x:c r="C299" s="22" t="str">
        <x:v>月影水宫</x:v>
      </x:c>
      <x:c r="D299" s="22" t="str">
        <x:v>普通</x:v>
      </x:c>
      <x:c r="E299" s="22" t="str">
        <x:v>内殿浮光鲛兵</x:v>
      </x:c>
      <x:c r="F299" s="22" t="str">
        <x:v>XX378</x:v>
      </x:c>
      <x:c r="G299" s="22" t="str">
        <x:v>P0166</x:v>
      </x:c>
      <x:c r="H299" s="22" t="n">
        <x:v>8.8</x:v>
      </x:c>
      <x:c r="I299" s="28" t="n">
        <x:v>22893006.389482856</x:v>
      </x:c>
      <x:c r="J299" s="28" t="n">
        <x:f>ROUND(H299*I299,-MAX(0,INT(LOG10(H299*I299))-1))</x:f>
        <x:v>200000000</x:v>
      </x:c>
      <x:c r="K299" s="28" t="n">
        <x:v>57000</x:v>
      </x:c>
      <x:c r="L299" s="28" t="n">
        <x:v>77000</x:v>
      </x:c>
      <x:c r="M299" s="28" t="n">
        <x:v>9500</x:v>
      </x:c>
      <x:c r="N299" s="28" t="n">
        <x:v>8100</x:v>
      </x:c>
      <x:c r="O299" s="28" t="n">
        <x:v>152</x:v>
      </x:c>
      <x:c r="P299" s="28" t="n">
        <x:v>320</x:v>
      </x:c>
      <x:c r="Q299" s="28" t="n">
        <x:v>1600</x:v>
      </x:c>
      <x:c r="R299" s="22"/>
      <x:c r="S299" s="22"/>
      <x:c r="T299" s="22" t="str">
        <x:v>32位有符号内</x:v>
      </x:c>
    </x:row>
    <x:row r="300" ht="24" customHeight="1">
      <x:c r="A300" s="22" t="str">
        <x:v>C05-M053</x:v>
      </x:c>
      <x:c r="B300" s="22" t="n">
        <x:v>5</x:v>
      </x:c>
      <x:c r="C300" s="22" t="str">
        <x:v>月影水宫</x:v>
      </x:c>
      <x:c r="D300" s="22" t="str">
        <x:v>普通</x:v>
      </x:c>
      <x:c r="E300" s="22" t="str">
        <x:v>圣殿澄潮祭从</x:v>
      </x:c>
      <x:c r="F300" s="22" t="str">
        <x:v>XX379</x:v>
      </x:c>
      <x:c r="G300" s="22" t="str">
        <x:v>P0166</x:v>
      </x:c>
      <x:c r="H300" s="22" t="n">
        <x:v>8</x:v>
      </x:c>
      <x:c r="I300" s="28" t="n">
        <x:v>22893006.389482856</x:v>
      </x:c>
      <x:c r="J300" s="28" t="n">
        <x:f>ROUND(H300*I300,-MAX(0,INT(LOG10(H300*I300))-1))</x:f>
        <x:v>180000000</x:v>
      </x:c>
      <x:c r="K300" s="28" t="n">
        <x:v>57000</x:v>
      </x:c>
      <x:c r="L300" s="28" t="n">
        <x:v>77000</x:v>
      </x:c>
      <x:c r="M300" s="28" t="n">
        <x:v>9500</x:v>
      </x:c>
      <x:c r="N300" s="28" t="n">
        <x:v>8100</x:v>
      </x:c>
      <x:c r="O300" s="28" t="n">
        <x:v>152</x:v>
      </x:c>
      <x:c r="P300" s="28" t="n">
        <x:v>320</x:v>
      </x:c>
      <x:c r="Q300" s="28" t="n">
        <x:v>1600</x:v>
      </x:c>
      <x:c r="R300" s="22"/>
      <x:c r="S300" s="22"/>
      <x:c r="T300" s="22" t="str">
        <x:v>32位有符号内</x:v>
      </x:c>
    </x:row>
    <x:row r="301" ht="24" customHeight="1">
      <x:c r="A301" s="22" t="str">
        <x:v>C05-M054</x:v>
      </x:c>
      <x:c r="B301" s="22" t="n">
        <x:v>5</x:v>
      </x:c>
      <x:c r="C301" s="22" t="str">
        <x:v>月影水宫</x:v>
      </x:c>
      <x:c r="D301" s="22" t="str">
        <x:v>普通</x:v>
      </x:c>
      <x:c r="E301" s="22" t="str">
        <x:v>月镜游鱼灵</x:v>
      </x:c>
      <x:c r="F301" s="22" t="str">
        <x:v>XX379</x:v>
      </x:c>
      <x:c r="G301" s="22" t="str">
        <x:v>P0166</x:v>
      </x:c>
      <x:c r="H301" s="22" t="n">
        <x:v>7.2</x:v>
      </x:c>
      <x:c r="I301" s="28" t="n">
        <x:v>22893006.389482856</x:v>
      </x:c>
      <x:c r="J301" s="28" t="n">
        <x:f>ROUND(H301*I301,-MAX(0,INT(LOG10(H301*I301))-1))</x:f>
        <x:v>160000000</x:v>
      </x:c>
      <x:c r="K301" s="28" t="n">
        <x:v>57000</x:v>
      </x:c>
      <x:c r="L301" s="28" t="n">
        <x:v>77000</x:v>
      </x:c>
      <x:c r="M301" s="28" t="n">
        <x:v>9500</x:v>
      </x:c>
      <x:c r="N301" s="28" t="n">
        <x:v>8100</x:v>
      </x:c>
      <x:c r="O301" s="28" t="n">
        <x:v>152</x:v>
      </x:c>
      <x:c r="P301" s="28" t="n">
        <x:v>320</x:v>
      </x:c>
      <x:c r="Q301" s="28" t="n">
        <x:v>1600</x:v>
      </x:c>
      <x:c r="R301" s="22"/>
      <x:c r="S301" s="22"/>
      <x:c r="T301" s="22" t="str">
        <x:v>32位有符号内</x:v>
      </x:c>
    </x:row>
    <x:row r="302" ht="24" customHeight="1">
      <x:c r="A302" s="22" t="str">
        <x:v>C05-M055</x:v>
      </x:c>
      <x:c r="B302" s="22" t="n">
        <x:v>5</x:v>
      </x:c>
      <x:c r="C302" s="22" t="str">
        <x:v>月影水宫</x:v>
      </x:c>
      <x:c r="D302" s="22" t="str">
        <x:v>稀有</x:v>
      </x:c>
      <x:c r="E302" s="22" t="str">
        <x:v>影潮伏宫兽</x:v>
      </x:c>
      <x:c r="F302" s="22" t="str">
        <x:v>XX377</x:v>
      </x:c>
      <x:c r="G302" s="22" t="str">
        <x:v>P0166</x:v>
      </x:c>
      <x:c r="H302" s="22" t="n">
        <x:v>21.6</x:v>
      </x:c>
      <x:c r="I302" s="28" t="n">
        <x:v>21425343.86360137</x:v>
      </x:c>
      <x:c r="J302" s="28" t="n">
        <x:f>ROUND(H302*I302,-MAX(0,INT(LOG10(H302*I302))-1))</x:f>
        <x:v>460000000</x:v>
      </x:c>
      <x:c r="K302" s="28" t="n">
        <x:v>110000</x:v>
      </x:c>
      <x:c r="L302" s="28" t="n">
        <x:v>150000</x:v>
      </x:c>
      <x:c r="M302" s="28" t="n">
        <x:v>19000</x:v>
      </x:c>
      <x:c r="N302" s="28" t="n">
        <x:v>16000</x:v>
      </x:c>
      <x:c r="O302" s="28" t="n">
        <x:v>152</x:v>
      </x:c>
      <x:c r="P302" s="28" t="n">
        <x:v>960</x:v>
      </x:c>
      <x:c r="Q302" s="28" t="n">
        <x:v>1700</x:v>
      </x:c>
      <x:c r="R302" s="22"/>
      <x:c r="S302" s="22"/>
      <x:c r="T302" s="22" t="str">
        <x:v>32位有符号内</x:v>
      </x:c>
    </x:row>
    <x:row r="303" ht="24" customHeight="1">
      <x:c r="A303" s="22" t="str">
        <x:v>C05-M056</x:v>
      </x:c>
      <x:c r="B303" s="22" t="n">
        <x:v>5</x:v>
      </x:c>
      <x:c r="C303" s="22" t="str">
        <x:v>月影水宫</x:v>
      </x:c>
      <x:c r="D303" s="22" t="str">
        <x:v>稀有</x:v>
      </x:c>
      <x:c r="E303" s="22" t="str">
        <x:v>月华凝霜乐师</x:v>
      </x:c>
      <x:c r="F303" s="22" t="str">
        <x:v>XX378</x:v>
      </x:c>
      <x:c r="G303" s="22" t="str">
        <x:v>P0166</x:v>
      </x:c>
      <x:c r="H303" s="22" t="n">
        <x:v>21.6</x:v>
      </x:c>
      <x:c r="I303" s="28" t="n">
        <x:v>21425343.86360137</x:v>
      </x:c>
      <x:c r="J303" s="28" t="n">
        <x:f>ROUND(H303*I303,-MAX(0,INT(LOG10(H303*I303))-1))</x:f>
        <x:v>460000000</x:v>
      </x:c>
      <x:c r="K303" s="28" t="n">
        <x:v>110000</x:v>
      </x:c>
      <x:c r="L303" s="28" t="n">
        <x:v>150000</x:v>
      </x:c>
      <x:c r="M303" s="28" t="n">
        <x:v>19000</x:v>
      </x:c>
      <x:c r="N303" s="28" t="n">
        <x:v>16000</x:v>
      </x:c>
      <x:c r="O303" s="28" t="n">
        <x:v>152</x:v>
      </x:c>
      <x:c r="P303" s="28" t="n">
        <x:v>960</x:v>
      </x:c>
      <x:c r="Q303" s="28" t="n">
        <x:v>1700</x:v>
      </x:c>
      <x:c r="R303" s="22"/>
      <x:c r="S303" s="22"/>
      <x:c r="T303" s="22" t="str">
        <x:v>32位有符号内</x:v>
      </x:c>
    </x:row>
    <x:row r="304" ht="24" customHeight="1">
      <x:c r="A304" s="22" t="str">
        <x:v>C05-M057</x:v>
      </x:c>
      <x:c r="B304" s="22" t="n">
        <x:v>5</x:v>
      </x:c>
      <x:c r="C304" s="22" t="str">
        <x:v>月影水宫</x:v>
      </x:c>
      <x:c r="D304" s="22" t="str">
        <x:v>稀有</x:v>
      </x:c>
      <x:c r="E304" s="22" t="str">
        <x:v>圣殿悬月卫</x:v>
      </x:c>
      <x:c r="F304" s="22" t="str">
        <x:v>XX379</x:v>
      </x:c>
      <x:c r="G304" s="22" t="str">
        <x:v>P0166</x:v>
      </x:c>
      <x:c r="H304" s="22" t="n">
        <x:v>27.599999999999998</x:v>
      </x:c>
      <x:c r="I304" s="28" t="n">
        <x:v>21425343.86360137</x:v>
      </x:c>
      <x:c r="J304" s="28" t="n">
        <x:f>ROUND(H304*I304,-MAX(0,INT(LOG10(H304*I304))-1))</x:f>
        <x:v>590000000</x:v>
      </x:c>
      <x:c r="K304" s="28" t="n">
        <x:v>110000</x:v>
      </x:c>
      <x:c r="L304" s="28" t="n">
        <x:v>150000</x:v>
      </x:c>
      <x:c r="M304" s="28" t="n">
        <x:v>19000</x:v>
      </x:c>
      <x:c r="N304" s="28" t="n">
        <x:v>16000</x:v>
      </x:c>
      <x:c r="O304" s="28" t="n">
        <x:v>152</x:v>
      </x:c>
      <x:c r="P304" s="28" t="n">
        <x:v>960</x:v>
      </x:c>
      <x:c r="Q304" s="28" t="n">
        <x:v>1700</x:v>
      </x:c>
      <x:c r="R304" s="22"/>
      <x:c r="S304" s="22"/>
      <x:c r="T304" s="22" t="str">
        <x:v>32位有符号内</x:v>
      </x:c>
    </x:row>
    <x:row r="305" ht="24" customHeight="1">
      <x:c r="A305" s="22" t="str">
        <x:v>C05-M058</x:v>
      </x:c>
      <x:c r="B305" s="22" t="n">
        <x:v>5</x:v>
      </x:c>
      <x:c r="C305" s="22" t="str">
        <x:v>月影水宫</x:v>
      </x:c>
      <x:c r="D305" s="22" t="str">
        <x:v>稀有</x:v>
      </x:c>
      <x:c r="E305" s="22" t="str">
        <x:v>琉潮白鳍巫</x:v>
      </x:c>
      <x:c r="F305" s="22" t="str">
        <x:v>XX377</x:v>
      </x:c>
      <x:c r="G305" s="22" t="str">
        <x:v>P0166</x:v>
      </x:c>
      <x:c r="H305" s="22" t="n">
        <x:v>27.599999999999998</x:v>
      </x:c>
      <x:c r="I305" s="28" t="n">
        <x:v>21425343.86360137</x:v>
      </x:c>
      <x:c r="J305" s="28" t="n">
        <x:f>ROUND(H305*I305,-MAX(0,INT(LOG10(H305*I305))-1))</x:f>
        <x:v>590000000</x:v>
      </x:c>
      <x:c r="K305" s="28" t="n">
        <x:v>110000</x:v>
      </x:c>
      <x:c r="L305" s="28" t="n">
        <x:v>150000</x:v>
      </x:c>
      <x:c r="M305" s="28" t="n">
        <x:v>19000</x:v>
      </x:c>
      <x:c r="N305" s="28" t="n">
        <x:v>16000</x:v>
      </x:c>
      <x:c r="O305" s="28" t="n">
        <x:v>152</x:v>
      </x:c>
      <x:c r="P305" s="28" t="n">
        <x:v>960</x:v>
      </x:c>
      <x:c r="Q305" s="28" t="n">
        <x:v>1700</x:v>
      </x:c>
      <x:c r="R305" s="22"/>
      <x:c r="S305" s="22"/>
      <x:c r="T305" s="22" t="str">
        <x:v>32位有符号内</x:v>
      </x:c>
    </x:row>
    <x:row r="306" ht="24" customHeight="1">
      <x:c r="A306" s="22" t="str">
        <x:v>C05-M059</x:v>
      </x:c>
      <x:c r="B306" s="22" t="n">
        <x:v>5</x:v>
      </x:c>
      <x:c r="C306" s="22" t="str">
        <x:v>月影水宫</x:v>
      </x:c>
      <x:c r="D306" s="22" t="str">
        <x:v>地图BOSS</x:v>
      </x:c>
      <x:c r="E306" s="22" t="str">
        <x:v>月华内殿掌灯君</x:v>
      </x:c>
      <x:c r="F306" s="22" t="str">
        <x:v>XX378</x:v>
      </x:c>
      <x:c r="G306" s="22" t="str">
        <x:v>P0173</x:v>
      </x:c>
      <x:c r="H306" s="22" t="n">
        <x:v>71.25</x:v>
      </x:c>
      <x:c r="I306" s="28" t="n">
        <x:v>53668292.96449573</x:v>
      </x:c>
      <x:c r="J306" s="28" t="n">
        <x:f>ROUND(H306*I306,-MAX(0,INT(LOG10(H306*I306))-1))</x:f>
        <x:v>3800000000</x:v>
      </x:c>
      <x:c r="K306" s="28" t="n">
        <x:v>170000</x:v>
      </x:c>
      <x:c r="L306" s="28" t="n">
        <x:v>240000</x:v>
      </x:c>
      <x:c r="M306" s="28" t="n">
        <x:v>32000</x:v>
      </x:c>
      <x:c r="N306" s="28" t="n">
        <x:v>27000</x:v>
      </x:c>
      <x:c r="O306" s="28" t="n">
        <x:v>152</x:v>
      </x:c>
      <x:c r="P306" s="28" t="n">
        <x:v>3800</x:v>
      </x:c>
      <x:c r="Q306" s="28" t="n">
        <x:v>1800</x:v>
      </x:c>
      <x:c r="R306" s="22"/>
      <x:c r="S306" s="22"/>
      <x:c r="T306" s="22" t="str">
        <x:v>64位值核对</x:v>
      </x:c>
    </x:row>
    <x:row r="307" ht="24" customHeight="1">
      <x:c r="A307" s="22" t="str">
        <x:v>C05-M060</x:v>
      </x:c>
      <x:c r="B307" s="22" t="n">
        <x:v>5</x:v>
      </x:c>
      <x:c r="C307" s="22" t="str">
        <x:v>月影水宫</x:v>
      </x:c>
      <x:c r="D307" s="22" t="str">
        <x:v>地图BOSS</x:v>
      </x:c>
      <x:c r="E307" s="22" t="str">
        <x:v>影宫深潮王女</x:v>
      </x:c>
      <x:c r="F307" s="22" t="str">
        <x:v>XX379</x:v>
      </x:c>
      <x:c r="G307" s="22" t="str">
        <x:v>P0174</x:v>
      </x:c>
      <x:c r="H307" s="22" t="n">
        <x:v>67.5</x:v>
      </x:c>
      <x:c r="I307" s="28" t="n">
        <x:v>53668292.96449573</x:v>
      </x:c>
      <x:c r="J307" s="28" t="n">
        <x:f>ROUND(H307*I307,-MAX(0,INT(LOG10(H307*I307))-1))</x:f>
        <x:v>3600000000</x:v>
      </x:c>
      <x:c r="K307" s="28" t="n">
        <x:v>170000</x:v>
      </x:c>
      <x:c r="L307" s="28" t="n">
        <x:v>240000</x:v>
      </x:c>
      <x:c r="M307" s="28" t="n">
        <x:v>32000</x:v>
      </x:c>
      <x:c r="N307" s="28" t="n">
        <x:v>27000</x:v>
      </x:c>
      <x:c r="O307" s="28" t="n">
        <x:v>152</x:v>
      </x:c>
      <x:c r="P307" s="28" t="n">
        <x:v>3800</x:v>
      </x:c>
      <x:c r="Q307" s="28" t="n">
        <x:v>1800</x:v>
      </x:c>
      <x:c r="R307" s="22"/>
      <x:c r="S307" s="22"/>
      <x:c r="T307" s="22" t="str">
        <x:v>64位值核对</x:v>
      </x:c>
    </x:row>
    <x:row r="308" ht="24" customHeight="1">
      <x:c r="A308" s="22" t="str">
        <x:v>C05-M061</x:v>
      </x:c>
      <x:c r="B308" s="22" t="n">
        <x:v>5</x:v>
      </x:c>
      <x:c r="C308" s="22" t="str">
        <x:v>卡利亚禁域</x:v>
      </x:c>
      <x:c r="D308" s="22" t="str">
        <x:v>普通</x:v>
      </x:c>
      <x:c r="E308" s="22" t="str">
        <x:v>禁域蓝焰猎犬</x:v>
      </x:c>
      <x:c r="F308" s="22" t="str">
        <x:v>XX927</x:v>
      </x:c>
      <x:c r="G308" s="22" t="str">
        <x:v>P0172</x:v>
      </x:c>
      <x:c r="H308" s="22" t="n">
        <x:v>7.6</x:v>
      </x:c>
      <x:c r="I308" s="28" t="n">
        <x:v>24598620.225150023</x:v>
      </x:c>
      <x:c r="J308" s="28" t="n">
        <x:f>ROUND(H308*I308,-MAX(0,INT(LOG10(H308*I308))-1))</x:f>
        <x:v>190000000</x:v>
      </x:c>
      <x:c r="K308" s="28" t="n">
        <x:v>34000</x:v>
      </x:c>
      <x:c r="L308" s="28" t="n">
        <x:v>46000</x:v>
      </x:c>
      <x:c r="M308" s="28" t="n">
        <x:v>9800</x:v>
      </x:c>
      <x:c r="N308" s="28" t="n">
        <x:v>8300</x:v>
      </x:c>
      <x:c r="O308" s="28" t="n">
        <x:v>155</x:v>
      </x:c>
      <x:c r="P308" s="28" t="n">
        <x:v>340</x:v>
      </x:c>
      <x:c r="Q308" s="28" t="n">
        <x:v>1600</x:v>
      </x:c>
      <x:c r="R308" s="22"/>
      <x:c r="S308" s="22"/>
      <x:c r="T308" s="22" t="str">
        <x:v>32位有符号内</x:v>
      </x:c>
    </x:row>
    <x:row r="309" ht="24" customHeight="1">
      <x:c r="A309" s="22" t="str">
        <x:v>C05-M062</x:v>
      </x:c>
      <x:c r="B309" s="22" t="n">
        <x:v>5</x:v>
      </x:c>
      <x:c r="C309" s="22" t="str">
        <x:v>卡利亚禁域</x:v>
      </x:c>
      <x:c r="D309" s="22" t="str">
        <x:v>普通</x:v>
      </x:c>
      <x:c r="E309" s="22" t="str">
        <x:v>卡利亚断誓侍</x:v>
      </x:c>
      <x:c r="F309" s="22" t="str">
        <x:v>XX927</x:v>
      </x:c>
      <x:c r="G309" s="22" t="str">
        <x:v>P0172</x:v>
      </x:c>
      <x:c r="H309" s="22" t="n">
        <x:v>9.2</x:v>
      </x:c>
      <x:c r="I309" s="28" t="n">
        <x:v>24598620.225150023</x:v>
      </x:c>
      <x:c r="J309" s="28" t="n">
        <x:f>ROUND(H309*I309,-MAX(0,INT(LOG10(H309*I309))-1))</x:f>
        <x:v>230000000</x:v>
      </x:c>
      <x:c r="K309" s="28" t="n">
        <x:v>34000</x:v>
      </x:c>
      <x:c r="L309" s="28" t="n">
        <x:v>46000</x:v>
      </x:c>
      <x:c r="M309" s="28" t="n">
        <x:v>9800</x:v>
      </x:c>
      <x:c r="N309" s="28" t="n">
        <x:v>8300</x:v>
      </x:c>
      <x:c r="O309" s="28" t="n">
        <x:v>155</x:v>
      </x:c>
      <x:c r="P309" s="28" t="n">
        <x:v>340</x:v>
      </x:c>
      <x:c r="Q309" s="28" t="n">
        <x:v>1600</x:v>
      </x:c>
      <x:c r="R309" s="22"/>
      <x:c r="S309" s="22"/>
      <x:c r="T309" s="22" t="str">
        <x:v>32位有符号内</x:v>
      </x:c>
    </x:row>
    <x:row r="310" ht="24" customHeight="1">
      <x:c r="A310" s="22" t="str">
        <x:v>C05-M063</x:v>
      </x:c>
      <x:c r="B310" s="22" t="n">
        <x:v>5</x:v>
      </x:c>
      <x:c r="C310" s="22" t="str">
        <x:v>卡利亚禁域</x:v>
      </x:c>
      <x:c r="D310" s="22" t="str">
        <x:v>普通</x:v>
      </x:c>
      <x:c r="E310" s="22" t="str">
        <x:v>回廊折月傀</x:v>
      </x:c>
      <x:c r="F310" s="22" t="str">
        <x:v>XX925</x:v>
      </x:c>
      <x:c r="G310" s="22" t="str">
        <x:v>P0172</x:v>
      </x:c>
      <x:c r="H310" s="22" t="n">
        <x:v>7.2</x:v>
      </x:c>
      <x:c r="I310" s="28" t="n">
        <x:v>24598620.225150023</x:v>
      </x:c>
      <x:c r="J310" s="28" t="n">
        <x:f>ROUND(H310*I310,-MAX(0,INT(LOG10(H310*I310))-1))</x:f>
        <x:v>180000000</x:v>
      </x:c>
      <x:c r="K310" s="28" t="n">
        <x:v>34000</x:v>
      </x:c>
      <x:c r="L310" s="28" t="n">
        <x:v>46000</x:v>
      </x:c>
      <x:c r="M310" s="28" t="n">
        <x:v>9800</x:v>
      </x:c>
      <x:c r="N310" s="28" t="n">
        <x:v>8300</x:v>
      </x:c>
      <x:c r="O310" s="28" t="n">
        <x:v>155</x:v>
      </x:c>
      <x:c r="P310" s="28" t="n">
        <x:v>340</x:v>
      </x:c>
      <x:c r="Q310" s="28" t="n">
        <x:v>1600</x:v>
      </x:c>
      <x:c r="R310" s="22"/>
      <x:c r="S310" s="22"/>
      <x:c r="T310" s="22" t="str">
        <x:v>32位有符号内</x:v>
      </x:c>
    </x:row>
    <x:row r="311" ht="24" customHeight="1">
      <x:c r="A311" s="22" t="str">
        <x:v>C05-M064</x:v>
      </x:c>
      <x:c r="B311" s="22" t="n">
        <x:v>5</x:v>
      </x:c>
      <x:c r="C311" s="22" t="str">
        <x:v>卡利亚禁域</x:v>
      </x:c>
      <x:c r="D311" s="22" t="str">
        <x:v>普通</x:v>
      </x:c>
      <x:c r="E311" s="22" t="str">
        <x:v>封印庭银纹卒</x:v>
      </x:c>
      <x:c r="F311" s="22" t="str">
        <x:v>XX926</x:v>
      </x:c>
      <x:c r="G311" s="22" t="str">
        <x:v>P0172</x:v>
      </x:c>
      <x:c r="H311" s="22" t="n">
        <x:v>8</x:v>
      </x:c>
      <x:c r="I311" s="28" t="n">
        <x:v>24598620.225150023</x:v>
      </x:c>
      <x:c r="J311" s="28" t="n">
        <x:f>ROUND(H311*I311,-MAX(0,INT(LOG10(H311*I311))-1))</x:f>
        <x:v>200000000</x:v>
      </x:c>
      <x:c r="K311" s="28" t="n">
        <x:v>34000</x:v>
      </x:c>
      <x:c r="L311" s="28" t="n">
        <x:v>46000</x:v>
      </x:c>
      <x:c r="M311" s="28" t="n">
        <x:v>9800</x:v>
      </x:c>
      <x:c r="N311" s="28" t="n">
        <x:v>8300</x:v>
      </x:c>
      <x:c r="O311" s="28" t="n">
        <x:v>155</x:v>
      </x:c>
      <x:c r="P311" s="28" t="n">
        <x:v>340</x:v>
      </x:c>
      <x:c r="Q311" s="28" t="n">
        <x:v>1600</x:v>
      </x:c>
      <x:c r="R311" s="22"/>
      <x:c r="S311" s="22"/>
      <x:c r="T311" s="22" t="str">
        <x:v>32位有符号内</x:v>
      </x:c>
    </x:row>
    <x:row r="312" ht="24" customHeight="1">
      <x:c r="A312" s="22" t="str">
        <x:v>C05-M065</x:v>
      </x:c>
      <x:c r="B312" s="22" t="n">
        <x:v>5</x:v>
      </x:c>
      <x:c r="C312" s="22" t="str">
        <x:v>卡利亚禁域</x:v>
      </x:c>
      <x:c r="D312" s="22" t="str">
        <x:v>普通</x:v>
      </x:c>
      <x:c r="E312" s="22" t="str">
        <x:v>月蚀殿噬辉蛾</x:v>
      </x:c>
      <x:c r="F312" s="22" t="str">
        <x:v>XX923</x:v>
      </x:c>
      <x:c r="G312" s="22" t="str">
        <x:v>P0172</x:v>
      </x:c>
      <x:c r="H312" s="22" t="n">
        <x:v>8</x:v>
      </x:c>
      <x:c r="I312" s="28" t="n">
        <x:v>24598620.225150023</x:v>
      </x:c>
      <x:c r="J312" s="28" t="n">
        <x:f>ROUND(H312*I312,-MAX(0,INT(LOG10(H312*I312))-1))</x:f>
        <x:v>200000000</x:v>
      </x:c>
      <x:c r="K312" s="28" t="n">
        <x:v>34000</x:v>
      </x:c>
      <x:c r="L312" s="28" t="n">
        <x:v>46000</x:v>
      </x:c>
      <x:c r="M312" s="28" t="n">
        <x:v>9800</x:v>
      </x:c>
      <x:c r="N312" s="28" t="n">
        <x:v>8300</x:v>
      </x:c>
      <x:c r="O312" s="28" t="n">
        <x:v>155</x:v>
      </x:c>
      <x:c r="P312" s="28" t="n">
        <x:v>340</x:v>
      </x:c>
      <x:c r="Q312" s="28" t="n">
        <x:v>1600</x:v>
      </x:c>
      <x:c r="R312" s="22"/>
      <x:c r="S312" s="22"/>
      <x:c r="T312" s="22" t="str">
        <x:v>32位有符号内</x:v>
      </x:c>
    </x:row>
    <x:row r="313" ht="24" customHeight="1">
      <x:c r="A313" s="22" t="str">
        <x:v>C05-M066</x:v>
      </x:c>
      <x:c r="B313" s="22" t="n">
        <x:v>5</x:v>
      </x:c>
      <x:c r="C313" s="22" t="str">
        <x:v>卡利亚禁域</x:v>
      </x:c>
      <x:c r="D313" s="22" t="str">
        <x:v>普通</x:v>
      </x:c>
      <x:c r="E313" s="22" t="str">
        <x:v>圣所守星残灵</x:v>
      </x:c>
      <x:c r="F313" s="22" t="str">
        <x:v>XX924</x:v>
      </x:c>
      <x:c r="G313" s="22" t="str">
        <x:v>P0172</x:v>
      </x:c>
      <x:c r="H313" s="22" t="n">
        <x:v>7.2</x:v>
      </x:c>
      <x:c r="I313" s="28" t="n">
        <x:v>24598620.225150023</x:v>
      </x:c>
      <x:c r="J313" s="28" t="n">
        <x:f>ROUND(H313*I313,-MAX(0,INT(LOG10(H313*I313))-1))</x:f>
        <x:v>180000000</x:v>
      </x:c>
      <x:c r="K313" s="28" t="n">
        <x:v>12000</x:v>
      </x:c>
      <x:c r="L313" s="28" t="n">
        <x:v>16000</x:v>
      </x:c>
      <x:c r="M313" s="28" t="n">
        <x:v>9800</x:v>
      </x:c>
      <x:c r="N313" s="28" t="n">
        <x:v>8300</x:v>
      </x:c>
      <x:c r="O313" s="28" t="n">
        <x:v>155</x:v>
      </x:c>
      <x:c r="P313" s="28" t="n">
        <x:v>340</x:v>
      </x:c>
      <x:c r="Q313" s="28" t="n">
        <x:v>1600</x:v>
      </x:c>
      <x:c r="R313" s="22"/>
      <x:c r="S313" s="22"/>
      <x:c r="T313" s="22" t="str">
        <x:v>32位有符号内</x:v>
      </x:c>
    </x:row>
    <x:row r="314" ht="24" customHeight="1">
      <x:c r="A314" s="22" t="str">
        <x:v>C05-M067</x:v>
      </x:c>
      <x:c r="B314" s="22" t="n">
        <x:v>5</x:v>
      </x:c>
      <x:c r="C314" s="22" t="str">
        <x:v>卡利亚禁域</x:v>
      </x:c>
      <x:c r="D314" s="22" t="str">
        <x:v>稀有</x:v>
      </x:c>
      <x:c r="E314" s="22" t="str">
        <x:v>王室镜刃使</x:v>
      </x:c>
      <x:c r="F314" s="22" t="str">
        <x:v>XX927</x:v>
      </x:c>
      <x:c r="G314" s="22" t="str">
        <x:v>P0172</x:v>
      </x:c>
      <x:c r="H314" s="22" t="n">
        <x:v>26.400000000000002</x:v>
      </x:c>
      <x:c r="I314" s="28" t="n">
        <x:v>22960957.199962914</x:v>
      </x:c>
      <x:c r="J314" s="28" t="n">
        <x:f>ROUND(H314*I314,-MAX(0,INT(LOG10(H314*I314))-1))</x:f>
        <x:v>610000000</x:v>
      </x:c>
      <x:c r="K314" s="28" t="n">
        <x:v>65000</x:v>
      </x:c>
      <x:c r="L314" s="28" t="n">
        <x:v>88000</x:v>
      </x:c>
      <x:c r="M314" s="28" t="n">
        <x:v>20000</x:v>
      </x:c>
      <x:c r="N314" s="28" t="n">
        <x:v>17000</x:v>
      </x:c>
      <x:c r="O314" s="28" t="n">
        <x:v>155</x:v>
      </x:c>
      <x:c r="P314" s="28" t="n">
        <x:v>1000</x:v>
      </x:c>
      <x:c r="Q314" s="28" t="n">
        <x:v>1700</x:v>
      </x:c>
      <x:c r="R314" s="22"/>
      <x:c r="S314" s="22"/>
      <x:c r="T314" s="22" t="str">
        <x:v>32位有符号内</x:v>
      </x:c>
    </x:row>
    <x:row r="315" ht="24" customHeight="1">
      <x:c r="A315" s="22" t="str">
        <x:v>C05-M068</x:v>
      </x:c>
      <x:c r="B315" s="22" t="n">
        <x:v>5</x:v>
      </x:c>
      <x:c r="C315" s="22" t="str">
        <x:v>卡利亚禁域</x:v>
      </x:c>
      <x:c r="D315" s="22" t="str">
        <x:v>稀有</x:v>
      </x:c>
      <x:c r="E315" s="22" t="str">
        <x:v>禁域缄门法官</x:v>
      </x:c>
      <x:c r="F315" s="22" t="str">
        <x:v>XX925</x:v>
      </x:c>
      <x:c r="G315" s="22" t="str">
        <x:v>P0172</x:v>
      </x:c>
      <x:c r="H315" s="22" t="n">
        <x:v>22.799999999999997</x:v>
      </x:c>
      <x:c r="I315" s="28" t="n">
        <x:v>22960957.199962914</x:v>
      </x:c>
      <x:c r="J315" s="28" t="n">
        <x:f>ROUND(H315*I315,-MAX(0,INT(LOG10(H315*I315))-1))</x:f>
        <x:v>520000000</x:v>
      </x:c>
      <x:c r="K315" s="28" t="n">
        <x:v>65000</x:v>
      </x:c>
      <x:c r="L315" s="28" t="n">
        <x:v>88000</x:v>
      </x:c>
      <x:c r="M315" s="28" t="n">
        <x:v>20000</x:v>
      </x:c>
      <x:c r="N315" s="28" t="n">
        <x:v>17000</x:v>
      </x:c>
      <x:c r="O315" s="28" t="n">
        <x:v>155</x:v>
      </x:c>
      <x:c r="P315" s="28" t="n">
        <x:v>1000</x:v>
      </x:c>
      <x:c r="Q315" s="28" t="n">
        <x:v>1700</x:v>
      </x:c>
      <x:c r="R315" s="22"/>
      <x:c r="S315" s="22"/>
      <x:c r="T315" s="22" t="str">
        <x:v>32位有符号内</x:v>
      </x:c>
    </x:row>
    <x:row r="316" ht="24" customHeight="1">
      <x:c r="A316" s="22" t="str">
        <x:v>C05-M069</x:v>
      </x:c>
      <x:c r="B316" s="22" t="n">
        <x:v>5</x:v>
      </x:c>
      <x:c r="C316" s="22" t="str">
        <x:v>卡利亚禁域</x:v>
      </x:c>
      <x:c r="D316" s="22" t="str">
        <x:v>稀有</x:v>
      </x:c>
      <x:c r="E316" s="22" t="str">
        <x:v>封庭月契巫</x:v>
      </x:c>
      <x:c r="F316" s="22" t="str">
        <x:v>XX926</x:v>
      </x:c>
      <x:c r="G316" s="22" t="str">
        <x:v>P0172</x:v>
      </x:c>
      <x:c r="H316" s="22" t="n">
        <x:v>21.6</x:v>
      </x:c>
      <x:c r="I316" s="28" t="n">
        <x:v>22960957.199962914</x:v>
      </x:c>
      <x:c r="J316" s="28" t="n">
        <x:f>ROUND(H316*I316,-MAX(0,INT(LOG10(H316*I316))-1))</x:f>
        <x:v>500000000</x:v>
      </x:c>
      <x:c r="K316" s="28" t="n">
        <x:v>65000</x:v>
      </x:c>
      <x:c r="L316" s="28" t="n">
        <x:v>88000</x:v>
      </x:c>
      <x:c r="M316" s="28" t="n">
        <x:v>20000</x:v>
      </x:c>
      <x:c r="N316" s="28" t="n">
        <x:v>17000</x:v>
      </x:c>
      <x:c r="O316" s="28" t="n">
        <x:v>155</x:v>
      </x:c>
      <x:c r="P316" s="28" t="n">
        <x:v>1000</x:v>
      </x:c>
      <x:c r="Q316" s="28" t="n">
        <x:v>1700</x:v>
      </x:c>
      <x:c r="R316" s="22"/>
      <x:c r="S316" s="22"/>
      <x:c r="T316" s="22" t="str">
        <x:v>32位有符号内</x:v>
      </x:c>
    </x:row>
    <x:row r="317" ht="24" customHeight="1">
      <x:c r="A317" s="22" t="str">
        <x:v>C05-M070</x:v>
      </x:c>
      <x:c r="B317" s="22" t="n">
        <x:v>5</x:v>
      </x:c>
      <x:c r="C317" s="22" t="str">
        <x:v>卡利亚禁域</x:v>
      </x:c>
      <x:c r="D317" s="22" t="str">
        <x:v>稀有</x:v>
      </x:c>
      <x:c r="E317" s="22" t="str">
        <x:v>密殿蚀冠兽</x:v>
      </x:c>
      <x:c r="F317" s="22" t="str">
        <x:v>XX923</x:v>
      </x:c>
      <x:c r="G317" s="22" t="str">
        <x:v>P0172</x:v>
      </x:c>
      <x:c r="H317" s="22" t="n">
        <x:v>26.400000000000002</x:v>
      </x:c>
      <x:c r="I317" s="28" t="n">
        <x:v>22960957.199962914</x:v>
      </x:c>
      <x:c r="J317" s="28" t="n">
        <x:f>ROUND(H317*I317,-MAX(0,INT(LOG10(H317*I317))-1))</x:f>
        <x:v>610000000</x:v>
      </x:c>
      <x:c r="K317" s="28" t="n">
        <x:v>65000</x:v>
      </x:c>
      <x:c r="L317" s="28" t="n">
        <x:v>88000</x:v>
      </x:c>
      <x:c r="M317" s="28" t="n">
        <x:v>20000</x:v>
      </x:c>
      <x:c r="N317" s="28" t="n">
        <x:v>17000</x:v>
      </x:c>
      <x:c r="O317" s="28" t="n">
        <x:v>155</x:v>
      </x:c>
      <x:c r="P317" s="28" t="n">
        <x:v>1000</x:v>
      </x:c>
      <x:c r="Q317" s="28" t="n">
        <x:v>1700</x:v>
      </x:c>
      <x:c r="R317" s="22"/>
      <x:c r="S317" s="22"/>
      <x:c r="T317" s="22" t="str">
        <x:v>32位有符号内</x:v>
      </x:c>
    </x:row>
    <x:row r="318" ht="24" customHeight="1">
      <x:c r="A318" s="22" t="str">
        <x:v>C05-M071</x:v>
      </x:c>
      <x:c r="B318" s="22" t="n">
        <x:v>5</x:v>
      </x:c>
      <x:c r="C318" s="22" t="str">
        <x:v>卡利亚禁域</x:v>
      </x:c>
      <x:c r="D318" s="22" t="str">
        <x:v>地图BOSS</x:v>
      </x:c>
      <x:c r="E318" s="22" t="str">
        <x:v>月蚀密殿司冕</x:v>
      </x:c>
      <x:c r="F318" s="22" t="str">
        <x:v>XX923</x:v>
      </x:c>
      <x:c r="G318" s="22" t="str">
        <x:v>P0179</x:v>
      </x:c>
      <x:c r="H318" s="22" t="n">
        <x:v>75</x:v>
      </x:c>
      <x:c r="I318" s="28" t="n">
        <x:v>55697902.60837707</x:v>
      </x:c>
      <x:c r="J318" s="28" t="n">
        <x:f>ROUND(H318*I318,-MAX(0,INT(LOG10(H318*I318))-1))</x:f>
        <x:v>4200000000</x:v>
      </x:c>
      <x:c r="K318" s="28" t="n">
        <x:v>100000</x:v>
      </x:c>
      <x:c r="L318" s="28" t="n">
        <x:v>140000</x:v>
      </x:c>
      <x:c r="M318" s="28" t="n">
        <x:v>33000</x:v>
      </x:c>
      <x:c r="N318" s="28" t="n">
        <x:v>28000</x:v>
      </x:c>
      <x:c r="O318" s="28" t="n">
        <x:v>155</x:v>
      </x:c>
      <x:c r="P318" s="28" t="n">
        <x:v>4000</x:v>
      </x:c>
      <x:c r="Q318" s="28" t="n">
        <x:v>1800</x:v>
      </x:c>
      <x:c r="R318" s="22"/>
      <x:c r="S318" s="22"/>
      <x:c r="T318" s="22" t="str">
        <x:v>64位值核对</x:v>
      </x:c>
    </x:row>
    <x:row r="319" ht="24" customHeight="1">
      <x:c r="A319" s="22" t="str">
        <x:v>C05-M072</x:v>
      </x:c>
      <x:c r="B319" s="22" t="n">
        <x:v>5</x:v>
      </x:c>
      <x:c r="C319" s="22" t="str">
        <x:v>卡利亚禁域</x:v>
      </x:c>
      <x:c r="D319" s="22" t="str">
        <x:v>地图BOSS</x:v>
      </x:c>
      <x:c r="E319" s="22" t="str">
        <x:v>卡利亚圣所摄政灵</x:v>
      </x:c>
      <x:c r="F319" s="22" t="str">
        <x:v>XX924</x:v>
      </x:c>
      <x:c r="G319" s="22" t="str">
        <x:v>P0180</x:v>
      </x:c>
      <x:c r="H319" s="22" t="n">
        <x:v>86.25</x:v>
      </x:c>
      <x:c r="I319" s="28" t="n">
        <x:v>25578643.807229552</x:v>
      </x:c>
      <x:c r="J319" s="28" t="n">
        <x:f>ROUND(H319*I319,-MAX(0,INT(LOG10(H319*I319))-1))</x:f>
        <x:v>2200000000</x:v>
      </x:c>
      <x:c r="K319" s="28" t="n">
        <x:v>34000</x:v>
      </x:c>
      <x:c r="L319" s="28" t="n">
        <x:v>46000</x:v>
      </x:c>
      <x:c r="M319" s="28" t="n">
        <x:v>33000</x:v>
      </x:c>
      <x:c r="N319" s="28" t="n">
        <x:v>28000</x:v>
      </x:c>
      <x:c r="O319" s="28" t="n">
        <x:v>155</x:v>
      </x:c>
      <x:c r="P319" s="28" t="n">
        <x:v>4000</x:v>
      </x:c>
      <x:c r="Q319" s="28" t="n">
        <x:v>1800</x:v>
      </x:c>
      <x:c r="R319" s="22"/>
      <x:c r="S319" s="22"/>
      <x:c r="T319" s="22" t="str">
        <x:v>64位值核对</x:v>
      </x:c>
    </x:row>
    <x:row r="320" ht="24" customHeight="1">
      <x:c r="A320" s="22" t="str">
        <x:v>C05-M073</x:v>
      </x:c>
      <x:c r="B320" s="22" t="n">
        <x:v>5</x:v>
      </x:c>
      <x:c r="C320" s="22" t="str">
        <x:v>卡利亚禁域</x:v>
      </x:c>
      <x:c r="D320" s="22" t="str">
        <x:v>守关BOSS</x:v>
      </x:c>
      <x:c r="E320" s="22" t="str">
        <x:v>寒镜终誓王</x:v>
      </x:c>
      <x:c r="F320" s="22" t="str">
        <x:v>XX924</x:v>
      </x:c>
      <x:c r="G320" s="22" t="str">
        <x:v>P0184</x:v>
      </x:c>
      <x:c r="H320" s="22" t="n">
        <x:v>240</x:v>
      </x:c>
      <x:c r="I320" s="28" t="n">
        <x:v>125695766.34677278</x:v>
      </x:c>
      <x:c r="J320" s="28" t="n">
        <x:f>ROUND(H320*I320,-MAX(0,INT(LOG10(H320*I320))-1))</x:f>
        <x:v>30000000000</x:v>
      </x:c>
      <x:c r="K320" s="28" t="n">
        <x:v>1100000</x:v>
      </x:c>
      <x:c r="L320" s="28" t="n">
        <x:v>1500000</x:v>
      </x:c>
      <x:c r="M320" s="28" t="n">
        <x:v>51000</x:v>
      </x:c>
      <x:c r="N320" s="28" t="n">
        <x:v>43000</x:v>
      </x:c>
      <x:c r="O320" s="28" t="n">
        <x:v>155</x:v>
      </x:c>
      <x:c r="P320" s="28" t="n">
        <x:v>10000</x:v>
      </x:c>
      <x:c r="Q320" s="28" t="n">
        <x:v>2000</x:v>
      </x:c>
      <x:c r="R320" s="22"/>
      <x:c r="S320" s="22"/>
      <x:c r="T320" s="22" t="str">
        <x:v>64位值核对</x:v>
      </x:c>
    </x:row>
    <x:row r="321" ht="24" customHeight="1">
      <x:c r="A321" s="22" t="str">
        <x:v>C06-M001</x:v>
      </x:c>
      <x:c r="B321" s="22" t="n">
        <x:v>6</x:v>
      </x:c>
      <x:c r="C321" s="22" t="str">
        <x:v>猩红熔原</x:v>
      </x:c>
      <x:c r="D321" s="22" t="str">
        <x:v>普通</x:v>
      </x:c>
      <x:c r="E321" s="22" t="str">
        <x:v>熔原灰背兽</x:v>
      </x:c>
      <x:c r="F321" s="22" t="str">
        <x:v>XX304</x:v>
      </x:c>
      <x:c r="G321" s="22" t="str">
        <x:v>P0189</x:v>
      </x:c>
      <x:c r="H321" s="22" t="n">
        <x:v>9.2</x:v>
      </x:c>
      <x:c r="I321" s="28" t="n">
        <x:v>81069084.21454924</x:v>
      </x:c>
      <x:c r="J321" s="28" t="n">
        <x:f>ROUND(H321*I321,-MAX(0,INT(LOG10(H321*I321))-1))</x:f>
        <x:v>750000000</x:v>
      </x:c>
      <x:c r="K321" s="28" t="n">
        <x:v>280000</x:v>
      </x:c>
      <x:c r="L321" s="28" t="n">
        <x:v>380000</x:v>
      </x:c>
      <x:c r="M321" s="28" t="n">
        <x:v>14000</x:v>
      </x:c>
      <x:c r="N321" s="28" t="n">
        <x:v>12000</x:v>
      </x:c>
      <x:c r="O321" s="28" t="n">
        <x:v>170</x:v>
      </x:c>
      <x:c r="P321" s="28" t="n">
        <x:v>300</x:v>
      </x:c>
      <x:c r="Q321" s="28" t="n">
        <x:v>1600</x:v>
      </x:c>
      <x:c r="R321" s="22"/>
      <x:c r="S321" s="22"/>
      <x:c r="T321" s="22" t="str">
        <x:v>32位有符号内</x:v>
      </x:c>
    </x:row>
    <x:row r="322" ht="24" customHeight="1">
      <x:c r="A322" s="22" t="str">
        <x:v>C06-M002</x:v>
      </x:c>
      <x:c r="B322" s="22" t="n">
        <x:v>6</x:v>
      </x:c>
      <x:c r="C322" s="22" t="str">
        <x:v>猩红熔原</x:v>
      </x:c>
      <x:c r="D322" s="22" t="str">
        <x:v>普通</x:v>
      </x:c>
      <x:c r="E322" s="22" t="str">
        <x:v>焦土拾骸兵</x:v>
      </x:c>
      <x:c r="F322" s="22" t="str">
        <x:v>XX305</x:v>
      </x:c>
      <x:c r="G322" s="22" t="str">
        <x:v>P0189</x:v>
      </x:c>
      <x:c r="H322" s="22" t="n">
        <x:v>8.8</x:v>
      </x:c>
      <x:c r="I322" s="28" t="n">
        <x:v>81069084.21454924</x:v>
      </x:c>
      <x:c r="J322" s="28" t="n">
        <x:f>ROUND(H322*I322,-MAX(0,INT(LOG10(H322*I322))-1))</x:f>
        <x:v>710000000</x:v>
      </x:c>
      <x:c r="K322" s="28" t="n">
        <x:v>280000</x:v>
      </x:c>
      <x:c r="L322" s="28" t="n">
        <x:v>380000</x:v>
      </x:c>
      <x:c r="M322" s="28" t="n">
        <x:v>14000</x:v>
      </x:c>
      <x:c r="N322" s="28" t="n">
        <x:v>12000</x:v>
      </x:c>
      <x:c r="O322" s="28" t="n">
        <x:v>170</x:v>
      </x:c>
      <x:c r="P322" s="28" t="n">
        <x:v>300</x:v>
      </x:c>
      <x:c r="Q322" s="28" t="n">
        <x:v>1600</x:v>
      </x:c>
      <x:c r="R322" s="22"/>
      <x:c r="S322" s="22"/>
      <x:c r="T322" s="22" t="str">
        <x:v>32位有符号内</x:v>
      </x:c>
    </x:row>
    <x:row r="323" ht="24" customHeight="1">
      <x:c r="A323" s="22" t="str">
        <x:v>C06-M003</x:v>
      </x:c>
      <x:c r="B323" s="22" t="n">
        <x:v>6</x:v>
      </x:c>
      <x:c r="C323" s="22" t="str">
        <x:v>猩红熔原</x:v>
      </x:c>
      <x:c r="D323" s="22" t="str">
        <x:v>普通</x:v>
      </x:c>
      <x:c r="E323" s="22" t="str">
        <x:v>岩河爬鳞者</x:v>
      </x:c>
      <x:c r="F323" s="22" t="str">
        <x:v>XX306</x:v>
      </x:c>
      <x:c r="G323" s="22" t="str">
        <x:v>P0189</x:v>
      </x:c>
      <x:c r="H323" s="22" t="n">
        <x:v>8.8</x:v>
      </x:c>
      <x:c r="I323" s="28" t="n">
        <x:v>81069084.21454924</x:v>
      </x:c>
      <x:c r="J323" s="28" t="n">
        <x:f>ROUND(H323*I323,-MAX(0,INT(LOG10(H323*I323))-1))</x:f>
        <x:v>710000000</x:v>
      </x:c>
      <x:c r="K323" s="28" t="n">
        <x:v>280000</x:v>
      </x:c>
      <x:c r="L323" s="28" t="n">
        <x:v>380000</x:v>
      </x:c>
      <x:c r="M323" s="28" t="n">
        <x:v>14000</x:v>
      </x:c>
      <x:c r="N323" s="28" t="n">
        <x:v>12000</x:v>
      </x:c>
      <x:c r="O323" s="28" t="n">
        <x:v>170</x:v>
      </x:c>
      <x:c r="P323" s="28" t="n">
        <x:v>300</x:v>
      </x:c>
      <x:c r="Q323" s="28" t="n">
        <x:v>1600</x:v>
      </x:c>
      <x:c r="R323" s="22"/>
      <x:c r="S323" s="22"/>
      <x:c r="T323" s="22" t="str">
        <x:v>32位有符号内</x:v>
      </x:c>
    </x:row>
    <x:row r="324" ht="24" customHeight="1">
      <x:c r="A324" s="22" t="str">
        <x:v>C06-M004</x:v>
      </x:c>
      <x:c r="B324" s="22" t="n">
        <x:v>6</x:v>
      </x:c>
      <x:c r="C324" s="22" t="str">
        <x:v>猩红熔原</x:v>
      </x:c>
      <x:c r="D324" s="22" t="str">
        <x:v>普通</x:v>
      </x:c>
      <x:c r="E324" s="22" t="str">
        <x:v>祭场执炭徒</x:v>
      </x:c>
      <x:c r="F324" s="22" t="str">
        <x:v>XX307</x:v>
      </x:c>
      <x:c r="G324" s="22" t="str">
        <x:v>P0189</x:v>
      </x:c>
      <x:c r="H324" s="22" t="n">
        <x:v>8</x:v>
      </x:c>
      <x:c r="I324" s="28" t="n">
        <x:v>81069084.21454924</x:v>
      </x:c>
      <x:c r="J324" s="28" t="n">
        <x:f>ROUND(H324*I324,-MAX(0,INT(LOG10(H324*I324))-1))</x:f>
        <x:v>650000000</x:v>
      </x:c>
      <x:c r="K324" s="28" t="n">
        <x:v>280000</x:v>
      </x:c>
      <x:c r="L324" s="28" t="n">
        <x:v>380000</x:v>
      </x:c>
      <x:c r="M324" s="28" t="n">
        <x:v>14000</x:v>
      </x:c>
      <x:c r="N324" s="28" t="n">
        <x:v>12000</x:v>
      </x:c>
      <x:c r="O324" s="28" t="n">
        <x:v>170</x:v>
      </x:c>
      <x:c r="P324" s="28" t="n">
        <x:v>300</x:v>
      </x:c>
      <x:c r="Q324" s="28" t="n">
        <x:v>1600</x:v>
      </x:c>
      <x:c r="R324" s="22"/>
      <x:c r="S324" s="22"/>
      <x:c r="T324" s="22" t="str">
        <x:v>32位有符号内</x:v>
      </x:c>
    </x:row>
    <x:row r="325" ht="24" customHeight="1">
      <x:c r="A325" s="22" t="str">
        <x:v>C06-M005</x:v>
      </x:c>
      <x:c r="B325" s="22" t="n">
        <x:v>6</x:v>
      </x:c>
      <x:c r="C325" s="22" t="str">
        <x:v>猩红熔原</x:v>
      </x:c>
      <x:c r="D325" s="22" t="str">
        <x:v>普通</x:v>
      </x:c>
      <x:c r="E325" s="22" t="str">
        <x:v>熔心赤螯虫</x:v>
      </x:c>
      <x:c r="F325" s="22" t="str">
        <x:v>XX308</x:v>
      </x:c>
      <x:c r="G325" s="22" t="str">
        <x:v>P0189</x:v>
      </x:c>
      <x:c r="H325" s="22" t="n">
        <x:v>7.6</x:v>
      </x:c>
      <x:c r="I325" s="28" t="n">
        <x:v>81069084.21454924</x:v>
      </x:c>
      <x:c r="J325" s="28" t="n">
        <x:f>ROUND(H325*I325,-MAX(0,INT(LOG10(H325*I325))-1))</x:f>
        <x:v>620000000</x:v>
      </x:c>
      <x:c r="K325" s="28" t="n">
        <x:v>280000</x:v>
      </x:c>
      <x:c r="L325" s="28" t="n">
        <x:v>380000</x:v>
      </x:c>
      <x:c r="M325" s="28" t="n">
        <x:v>14000</x:v>
      </x:c>
      <x:c r="N325" s="28" t="n">
        <x:v>12000</x:v>
      </x:c>
      <x:c r="O325" s="28" t="n">
        <x:v>170</x:v>
      </x:c>
      <x:c r="P325" s="28" t="n">
        <x:v>300</x:v>
      </x:c>
      <x:c r="Q325" s="28" t="n">
        <x:v>1600</x:v>
      </x:c>
      <x:c r="R325" s="22"/>
      <x:c r="S325" s="22"/>
      <x:c r="T325" s="22" t="str">
        <x:v>32位有符号内</x:v>
      </x:c>
    </x:row>
    <x:row r="326" ht="24" customHeight="1">
      <x:c r="A326" s="22" t="str">
        <x:v>C06-M006</x:v>
      </x:c>
      <x:c r="B326" s="22" t="n">
        <x:v>6</x:v>
      </x:c>
      <x:c r="C326" s="22" t="str">
        <x:v>猩红熔原</x:v>
      </x:c>
      <x:c r="D326" s="22" t="str">
        <x:v>普通</x:v>
      </x:c>
      <x:c r="E326" s="22" t="str">
        <x:v>血尘游猎手</x:v>
      </x:c>
      <x:c r="F326" s="22" t="str">
        <x:v>XX304</x:v>
      </x:c>
      <x:c r="G326" s="22" t="str">
        <x:v>P0189</x:v>
      </x:c>
      <x:c r="H326" s="22" t="n">
        <x:v>8</x:v>
      </x:c>
      <x:c r="I326" s="28" t="n">
        <x:v>81069084.21454924</x:v>
      </x:c>
      <x:c r="J326" s="28" t="n">
        <x:f>ROUND(H326*I326,-MAX(0,INT(LOG10(H326*I326))-1))</x:f>
        <x:v>650000000</x:v>
      </x:c>
      <x:c r="K326" s="28" t="n">
        <x:v>280000</x:v>
      </x:c>
      <x:c r="L326" s="28" t="n">
        <x:v>380000</x:v>
      </x:c>
      <x:c r="M326" s="28" t="n">
        <x:v>14000</x:v>
      </x:c>
      <x:c r="N326" s="28" t="n">
        <x:v>12000</x:v>
      </x:c>
      <x:c r="O326" s="28" t="n">
        <x:v>170</x:v>
      </x:c>
      <x:c r="P326" s="28" t="n">
        <x:v>300</x:v>
      </x:c>
      <x:c r="Q326" s="28" t="n">
        <x:v>1600</x:v>
      </x:c>
      <x:c r="R326" s="22"/>
      <x:c r="S326" s="22"/>
      <x:c r="T326" s="22" t="str">
        <x:v>32位有符号内</x:v>
      </x:c>
    </x:row>
    <x:row r="327" ht="24" customHeight="1">
      <x:c r="A327" s="22" t="str">
        <x:v>C06-M007</x:v>
      </x:c>
      <x:c r="B327" s="22" t="n">
        <x:v>6</x:v>
      </x:c>
      <x:c r="C327" s="22" t="str">
        <x:v>猩红熔原</x:v>
      </x:c>
      <x:c r="D327" s="22" t="str">
        <x:v>稀有</x:v>
      </x:c>
      <x:c r="E327" s="22" t="str">
        <x:v>赤棘狂战士</x:v>
      </x:c>
      <x:c r="F327" s="22" t="str">
        <x:v>XX304</x:v>
      </x:c>
      <x:c r="G327" s="22" t="str">
        <x:v>P0189</x:v>
      </x:c>
      <x:c r="H327" s="22" t="n">
        <x:v>22.799999999999997</x:v>
      </x:c>
      <x:c r="I327" s="28" t="n">
        <x:v>75695224.71938072</x:v>
      </x:c>
      <x:c r="J327" s="28" t="n">
        <x:f>ROUND(H327*I327,-MAX(0,INT(LOG10(H327*I327))-1))</x:f>
        <x:v>1700000000</x:v>
      </x:c>
      <x:c r="K327" s="28" t="n">
        <x:v>530000</x:v>
      </x:c>
      <x:c r="L327" s="28" t="n">
        <x:v>710000</x:v>
      </x:c>
      <x:c r="M327" s="28" t="n">
        <x:v>29000</x:v>
      </x:c>
      <x:c r="N327" s="28" t="n">
        <x:v>25000</x:v>
      </x:c>
      <x:c r="O327" s="28" t="n">
        <x:v>170</x:v>
      </x:c>
      <x:c r="P327" s="28" t="n">
        <x:v>900</x:v>
      </x:c>
      <x:c r="Q327" s="28" t="n">
        <x:v>1700</x:v>
      </x:c>
      <x:c r="R327" s="22"/>
      <x:c r="S327" s="22"/>
      <x:c r="T327" s="22" t="str">
        <x:v>32位有符号内</x:v>
      </x:c>
    </x:row>
    <x:row r="328" ht="24" customHeight="1">
      <x:c r="A328" s="22" t="str">
        <x:v>C06-M008</x:v>
      </x:c>
      <x:c r="B328" s="22" t="n">
        <x:v>6</x:v>
      </x:c>
      <x:c r="C328" s="22" t="str">
        <x:v>猩红熔原</x:v>
      </x:c>
      <x:c r="D328" s="22" t="str">
        <x:v>稀有</x:v>
      </x:c>
      <x:c r="E328" s="22" t="str">
        <x:v>焦脉咒炎师</x:v>
      </x:c>
      <x:c r="F328" s="22" t="str">
        <x:v>XX305</x:v>
      </x:c>
      <x:c r="G328" s="22" t="str">
        <x:v>P0189</x:v>
      </x:c>
      <x:c r="H328" s="22" t="n">
        <x:v>26.400000000000002</x:v>
      </x:c>
      <x:c r="I328" s="28" t="n">
        <x:v>75695224.71938072</x:v>
      </x:c>
      <x:c r="J328" s="28" t="n">
        <x:f>ROUND(H328*I328,-MAX(0,INT(LOG10(H328*I328))-1))</x:f>
        <x:v>2000000000</x:v>
      </x:c>
      <x:c r="K328" s="28" t="n">
        <x:v>530000</x:v>
      </x:c>
      <x:c r="L328" s="28" t="n">
        <x:v>710000</x:v>
      </x:c>
      <x:c r="M328" s="28" t="n">
        <x:v>29000</x:v>
      </x:c>
      <x:c r="N328" s="28" t="n">
        <x:v>25000</x:v>
      </x:c>
      <x:c r="O328" s="28" t="n">
        <x:v>170</x:v>
      </x:c>
      <x:c r="P328" s="28" t="n">
        <x:v>900</x:v>
      </x:c>
      <x:c r="Q328" s="28" t="n">
        <x:v>1700</x:v>
      </x:c>
      <x:c r="R328" s="22"/>
      <x:c r="S328" s="22"/>
      <x:c r="T328" s="22" t="str">
        <x:v>32位有符号内</x:v>
      </x:c>
    </x:row>
    <x:row r="329" ht="24" customHeight="1">
      <x:c r="A329" s="22" t="str">
        <x:v>C06-M009</x:v>
      </x:c>
      <x:c r="B329" s="22" t="n">
        <x:v>6</x:v>
      </x:c>
      <x:c r="C329" s="22" t="str">
        <x:v>猩红熔原</x:v>
      </x:c>
      <x:c r="D329" s="22" t="str">
        <x:v>稀有</x:v>
      </x:c>
      <x:c r="E329" s="22" t="str">
        <x:v>岩浆负甲兽</x:v>
      </x:c>
      <x:c r="F329" s="22" t="str">
        <x:v>XX306</x:v>
      </x:c>
      <x:c r="G329" s="22" t="str">
        <x:v>P0189</x:v>
      </x:c>
      <x:c r="H329" s="22" t="n">
        <x:v>27.599999999999998</x:v>
      </x:c>
      <x:c r="I329" s="28" t="n">
        <x:v>75695224.71938072</x:v>
      </x:c>
      <x:c r="J329" s="28" t="n">
        <x:f>ROUND(H329*I329,-MAX(0,INT(LOG10(H329*I329))-1))</x:f>
        <x:v>2100000000</x:v>
      </x:c>
      <x:c r="K329" s="28" t="n">
        <x:v>530000</x:v>
      </x:c>
      <x:c r="L329" s="28" t="n">
        <x:v>710000</x:v>
      </x:c>
      <x:c r="M329" s="28" t="n">
        <x:v>29000</x:v>
      </x:c>
      <x:c r="N329" s="28" t="n">
        <x:v>25000</x:v>
      </x:c>
      <x:c r="O329" s="28" t="n">
        <x:v>170</x:v>
      </x:c>
      <x:c r="P329" s="28" t="n">
        <x:v>900</x:v>
      </x:c>
      <x:c r="Q329" s="28" t="n">
        <x:v>1700</x:v>
      </x:c>
      <x:c r="R329" s="22"/>
      <x:c r="S329" s="22"/>
      <x:c r="T329" s="22" t="str">
        <x:v>32位有符号内</x:v>
      </x:c>
    </x:row>
    <x:row r="330" ht="24" customHeight="1">
      <x:c r="A330" s="22" t="str">
        <x:v>C06-M010</x:v>
      </x:c>
      <x:c r="B330" s="22" t="n">
        <x:v>6</x:v>
      </x:c>
      <x:c r="C330" s="22" t="str">
        <x:v>猩红熔原</x:v>
      </x:c>
      <x:c r="D330" s="22" t="str">
        <x:v>稀有</x:v>
      </x:c>
      <x:c r="E330" s="22" t="str">
        <x:v>灰烬裁决官</x:v>
      </x:c>
      <x:c r="F330" s="22" t="str">
        <x:v>XX307</x:v>
      </x:c>
      <x:c r="G330" s="22" t="str">
        <x:v>P0189</x:v>
      </x:c>
      <x:c r="H330" s="22" t="n">
        <x:v>22.799999999999997</x:v>
      </x:c>
      <x:c r="I330" s="28" t="n">
        <x:v>75695224.71938072</x:v>
      </x:c>
      <x:c r="J330" s="28" t="n">
        <x:f>ROUND(H330*I330,-MAX(0,INT(LOG10(H330*I330))-1))</x:f>
        <x:v>1700000000</x:v>
      </x:c>
      <x:c r="K330" s="28" t="n">
        <x:v>530000</x:v>
      </x:c>
      <x:c r="L330" s="28" t="n">
        <x:v>710000</x:v>
      </x:c>
      <x:c r="M330" s="28" t="n">
        <x:v>29000</x:v>
      </x:c>
      <x:c r="N330" s="28" t="n">
        <x:v>25000</x:v>
      </x:c>
      <x:c r="O330" s="28" t="n">
        <x:v>170</x:v>
      </x:c>
      <x:c r="P330" s="28" t="n">
        <x:v>900</x:v>
      </x:c>
      <x:c r="Q330" s="28" t="n">
        <x:v>1700</x:v>
      </x:c>
      <x:c r="R330" s="22"/>
      <x:c r="S330" s="22"/>
      <x:c r="T330" s="22" t="str">
        <x:v>32位有符号内</x:v>
      </x:c>
    </x:row>
    <x:row r="331" ht="24" customHeight="1">
      <x:c r="A331" s="22" t="str">
        <x:v>C06-M011</x:v>
      </x:c>
      <x:c r="B331" s="22" t="n">
        <x:v>6</x:v>
      </x:c>
      <x:c r="C331" s="22" t="str">
        <x:v>猩红熔原</x:v>
      </x:c>
      <x:c r="D331" s="22" t="str">
        <x:v>地图BOSS</x:v>
      </x:c>
      <x:c r="E331" s="22" t="str">
        <x:v>火蚀巨像·巴洛</x:v>
      </x:c>
      <x:c r="F331" s="22" t="str">
        <x:v>XX307</x:v>
      </x:c>
      <x:c r="G331" s="22" t="str">
        <x:v>P0191</x:v>
      </x:c>
      <x:c r="H331" s="22" t="n">
        <x:v>86.25</x:v>
      </x:c>
      <x:c r="I331" s="28" t="n">
        <x:v>205226804.81837773</x:v>
      </x:c>
      <x:c r="J331" s="28" t="n">
        <x:f>ROUND(H331*I331,-MAX(0,INT(LOG10(H331*I331))-1))</x:f>
        <x:v>18000000000</x:v>
      </x:c>
      <x:c r="K331" s="28" t="n">
        <x:v>800000</x:v>
      </x:c>
      <x:c r="L331" s="28" t="n">
        <x:v>1100000</x:v>
      </x:c>
      <x:c r="M331" s="28" t="n">
        <x:v>45000</x:v>
      </x:c>
      <x:c r="N331" s="28" t="n">
        <x:v>38000</x:v>
      </x:c>
      <x:c r="O331" s="28" t="n">
        <x:v>170</x:v>
      </x:c>
      <x:c r="P331" s="28" t="n">
        <x:v>3600</x:v>
      </x:c>
      <x:c r="Q331" s="28" t="n">
        <x:v>1800</x:v>
      </x:c>
      <x:c r="R331" s="22"/>
      <x:c r="S331" s="22"/>
      <x:c r="T331" s="22" t="str">
        <x:v>64位值核对</x:v>
      </x:c>
    </x:row>
    <x:row r="332" ht="24" customHeight="1">
      <x:c r="A332" s="22" t="str">
        <x:v>C06-M012</x:v>
      </x:c>
      <x:c r="B332" s="22" t="n">
        <x:v>6</x:v>
      </x:c>
      <x:c r="C332" s="22" t="str">
        <x:v>猩红熔原</x:v>
      </x:c>
      <x:c r="D332" s="22" t="str">
        <x:v>地图BOSS</x:v>
      </x:c>
      <x:c r="E332" s="22" t="str">
        <x:v>猩红熔母·瑟芮</x:v>
      </x:c>
      <x:c r="F332" s="22" t="str">
        <x:v>XX308</x:v>
      </x:c>
      <x:c r="G332" s="22" t="str">
        <x:v>P0192</x:v>
      </x:c>
      <x:c r="H332" s="22" t="n">
        <x:v>82.5</x:v>
      </x:c>
      <x:c r="I332" s="28" t="n">
        <x:v>205226804.81837773</x:v>
      </x:c>
      <x:c r="J332" s="28" t="n">
        <x:f>ROUND(H332*I332,-MAX(0,INT(LOG10(H332*I332))-1))</x:f>
        <x:v>17000000000</x:v>
      </x:c>
      <x:c r="K332" s="28" t="n">
        <x:v>800000</x:v>
      </x:c>
      <x:c r="L332" s="28" t="n">
        <x:v>1100000</x:v>
      </x:c>
      <x:c r="M332" s="28" t="n">
        <x:v>45000</x:v>
      </x:c>
      <x:c r="N332" s="28" t="n">
        <x:v>38000</x:v>
      </x:c>
      <x:c r="O332" s="28" t="n">
        <x:v>170</x:v>
      </x:c>
      <x:c r="P332" s="28" t="n">
        <x:v>3600</x:v>
      </x:c>
      <x:c r="Q332" s="28" t="n">
        <x:v>1800</x:v>
      </x:c>
      <x:c r="R332" s="22"/>
      <x:c r="S332" s="22"/>
      <x:c r="T332" s="22" t="str">
        <x:v>64位值核对</x:v>
      </x:c>
    </x:row>
    <x:row r="333" ht="24" customHeight="1">
      <x:c r="A333" s="22" t="str">
        <x:v>C06-M013</x:v>
      </x:c>
      <x:c r="B333" s="22" t="n">
        <x:v>6</x:v>
      </x:c>
      <x:c r="C333" s="22" t="str">
        <x:v>腐败火狱</x:v>
      </x:c>
      <x:c r="D333" s="22" t="str">
        <x:v>普通</x:v>
      </x:c>
      <x:c r="E333" s="22" t="str">
        <x:v>腐狱囚徒</x:v>
      </x:c>
      <x:c r="F333" s="22" t="str">
        <x:v>XX357</x:v>
      </x:c>
      <x:c r="G333" s="22" t="str">
        <x:v>P0190</x:v>
      </x:c>
      <x:c r="H333" s="22" t="n">
        <x:v>8</x:v>
      </x:c>
      <x:c r="I333" s="28" t="n">
        <x:v>81069084.21454924</x:v>
      </x:c>
      <x:c r="J333" s="28" t="n">
        <x:f>ROUND(H333*I333,-MAX(0,INT(LOG10(H333*I333))-1))</x:f>
        <x:v>650000000</x:v>
      </x:c>
      <x:c r="K333" s="28" t="n">
        <x:v>270000</x:v>
      </x:c>
      <x:c r="L333" s="28" t="n">
        <x:v>360000</x:v>
      </x:c>
      <x:c r="M333" s="28" t="n">
        <x:v>14000</x:v>
      </x:c>
      <x:c r="N333" s="28" t="n">
        <x:v>12000</x:v>
      </x:c>
      <x:c r="O333" s="28" t="n">
        <x:v>173</x:v>
      </x:c>
      <x:c r="P333" s="28" t="n">
        <x:v>320</x:v>
      </x:c>
      <x:c r="Q333" s="28" t="n">
        <x:v>1600</x:v>
      </x:c>
      <x:c r="R333" s="22"/>
      <x:c r="S333" s="22"/>
      <x:c r="T333" s="22" t="str">
        <x:v>32位有符号内</x:v>
      </x:c>
    </x:row>
    <x:row r="334" ht="24" customHeight="1">
      <x:c r="A334" s="22" t="str">
        <x:v>C06-M014</x:v>
      </x:c>
      <x:c r="B334" s="22" t="n">
        <x:v>6</x:v>
      </x:c>
      <x:c r="C334" s="22" t="str">
        <x:v>腐败火狱</x:v>
      </x:c>
      <x:c r="D334" s="22" t="str">
        <x:v>普通</x:v>
      </x:c>
      <x:c r="E334" s="22" t="str">
        <x:v>灼腐行刑兵</x:v>
      </x:c>
      <x:c r="F334" s="22" t="str">
        <x:v>XX358</x:v>
      </x:c>
      <x:c r="G334" s="22" t="str">
        <x:v>P0190</x:v>
      </x:c>
      <x:c r="H334" s="22" t="n">
        <x:v>7.6</x:v>
      </x:c>
      <x:c r="I334" s="28" t="n">
        <x:v>81069084.21454924</x:v>
      </x:c>
      <x:c r="J334" s="28" t="n">
        <x:f>ROUND(H334*I334,-MAX(0,INT(LOG10(H334*I334))-1))</x:f>
        <x:v>620000000</x:v>
      </x:c>
      <x:c r="K334" s="28" t="n">
        <x:v>270000</x:v>
      </x:c>
      <x:c r="L334" s="28" t="n">
        <x:v>360000</x:v>
      </x:c>
      <x:c r="M334" s="28" t="n">
        <x:v>14000</x:v>
      </x:c>
      <x:c r="N334" s="28" t="n">
        <x:v>12000</x:v>
      </x:c>
      <x:c r="O334" s="28" t="n">
        <x:v>173</x:v>
      </x:c>
      <x:c r="P334" s="28" t="n">
        <x:v>320</x:v>
      </x:c>
      <x:c r="Q334" s="28" t="n">
        <x:v>1600</x:v>
      </x:c>
      <x:c r="R334" s="22"/>
      <x:c r="S334" s="22"/>
      <x:c r="T334" s="22" t="str">
        <x:v>32位有符号内</x:v>
      </x:c>
    </x:row>
    <x:row r="335" ht="24" customHeight="1">
      <x:c r="A335" s="22" t="str">
        <x:v>C06-M015</x:v>
      </x:c>
      <x:c r="B335" s="22" t="n">
        <x:v>6</x:v>
      </x:c>
      <x:c r="C335" s="22" t="str">
        <x:v>腐败火狱</x:v>
      </x:c>
      <x:c r="D335" s="22" t="str">
        <x:v>普通</x:v>
      </x:c>
      <x:c r="E335" s="22" t="str">
        <x:v>深渊熔壳虫</x:v>
      </x:c>
      <x:c r="F335" s="22" t="str">
        <x:v>XX359</x:v>
      </x:c>
      <x:c r="G335" s="22" t="str">
        <x:v>P0190</x:v>
      </x:c>
      <x:c r="H335" s="22" t="n">
        <x:v>9.2</x:v>
      </x:c>
      <x:c r="I335" s="28" t="n">
        <x:v>81069084.21454924</x:v>
      </x:c>
      <x:c r="J335" s="28" t="n">
        <x:f>ROUND(H335*I335,-MAX(0,INT(LOG10(H335*I335))-1))</x:f>
        <x:v>750000000</x:v>
      </x:c>
      <x:c r="K335" s="28" t="n">
        <x:v>270000</x:v>
      </x:c>
      <x:c r="L335" s="28" t="n">
        <x:v>360000</x:v>
      </x:c>
      <x:c r="M335" s="28" t="n">
        <x:v>14000</x:v>
      </x:c>
      <x:c r="N335" s="28" t="n">
        <x:v>12000</x:v>
      </x:c>
      <x:c r="O335" s="28" t="n">
        <x:v>173</x:v>
      </x:c>
      <x:c r="P335" s="28" t="n">
        <x:v>320</x:v>
      </x:c>
      <x:c r="Q335" s="28" t="n">
        <x:v>1600</x:v>
      </x:c>
      <x:c r="R335" s="22"/>
      <x:c r="S335" s="22"/>
      <x:c r="T335" s="22" t="str">
        <x:v>32位有符号内</x:v>
      </x:c>
    </x:row>
    <x:row r="336" ht="24" customHeight="1">
      <x:c r="A336" s="22" t="str">
        <x:v>C06-M016</x:v>
      </x:c>
      <x:c r="B336" s="22" t="n">
        <x:v>6</x:v>
      </x:c>
      <x:c r="C336" s="22" t="str">
        <x:v>腐败火狱</x:v>
      </x:c>
      <x:c r="D336" s="22" t="str">
        <x:v>普通</x:v>
      </x:c>
      <x:c r="E336" s="22" t="str">
        <x:v>内域血菌兽</x:v>
      </x:c>
      <x:c r="F336" s="22" t="str">
        <x:v>XX360</x:v>
      </x:c>
      <x:c r="G336" s="22" t="str">
        <x:v>P0190</x:v>
      </x:c>
      <x:c r="H336" s="22" t="n">
        <x:v>8</x:v>
      </x:c>
      <x:c r="I336" s="28" t="n">
        <x:v>81069084.21454924</x:v>
      </x:c>
      <x:c r="J336" s="28" t="n">
        <x:f>ROUND(H336*I336,-MAX(0,INT(LOG10(H336*I336))-1))</x:f>
        <x:v>650000000</x:v>
      </x:c>
      <x:c r="K336" s="28" t="n">
        <x:v>270000</x:v>
      </x:c>
      <x:c r="L336" s="28" t="n">
        <x:v>360000</x:v>
      </x:c>
      <x:c r="M336" s="28" t="n">
        <x:v>14000</x:v>
      </x:c>
      <x:c r="N336" s="28" t="n">
        <x:v>12000</x:v>
      </x:c>
      <x:c r="O336" s="28" t="n">
        <x:v>173</x:v>
      </x:c>
      <x:c r="P336" s="28" t="n">
        <x:v>320</x:v>
      </x:c>
      <x:c r="Q336" s="28" t="n">
        <x:v>1600</x:v>
      </x:c>
      <x:c r="R336" s="22"/>
      <x:c r="S336" s="22"/>
      <x:c r="T336" s="22" t="str">
        <x:v>32位有符号内</x:v>
      </x:c>
    </x:row>
    <x:row r="337" ht="24" customHeight="1">
      <x:c r="A337" s="22" t="str">
        <x:v>C06-M017</x:v>
      </x:c>
      <x:c r="B337" s="22" t="n">
        <x:v>6</x:v>
      </x:c>
      <x:c r="C337" s="22" t="str">
        <x:v>腐败火狱</x:v>
      </x:c>
      <x:c r="D337" s="22" t="str">
        <x:v>普通</x:v>
      </x:c>
      <x:c r="E337" s="22" t="str">
        <x:v>熔心烙印僧</x:v>
      </x:c>
      <x:c r="F337" s="22" t="str">
        <x:v>XX361</x:v>
      </x:c>
      <x:c r="G337" s="22" t="str">
        <x:v>P0190</x:v>
      </x:c>
      <x:c r="H337" s="22" t="n">
        <x:v>7.2</x:v>
      </x:c>
      <x:c r="I337" s="28" t="n">
        <x:v>81069084.21454924</x:v>
      </x:c>
      <x:c r="J337" s="28" t="n">
        <x:f>ROUND(H337*I337,-MAX(0,INT(LOG10(H337*I337))-1))</x:f>
        <x:v>580000000</x:v>
      </x:c>
      <x:c r="K337" s="28" t="n">
        <x:v>270000</x:v>
      </x:c>
      <x:c r="L337" s="28" t="n">
        <x:v>360000</x:v>
      </x:c>
      <x:c r="M337" s="28" t="n">
        <x:v>14000</x:v>
      </x:c>
      <x:c r="N337" s="28" t="n">
        <x:v>12000</x:v>
      </x:c>
      <x:c r="O337" s="28" t="n">
        <x:v>173</x:v>
      </x:c>
      <x:c r="P337" s="28" t="n">
        <x:v>320</x:v>
      </x:c>
      <x:c r="Q337" s="28" t="n">
        <x:v>1600</x:v>
      </x:c>
      <x:c r="R337" s="22"/>
      <x:c r="S337" s="22"/>
      <x:c r="T337" s="22" t="str">
        <x:v>32位有符号内</x:v>
      </x:c>
    </x:row>
    <x:row r="338" ht="24" customHeight="1">
      <x:c r="A338" s="22" t="str">
        <x:v>C06-M018</x:v>
      </x:c>
      <x:c r="B338" s="22" t="n">
        <x:v>6</x:v>
      </x:c>
      <x:c r="C338" s="22" t="str">
        <x:v>腐败火狱</x:v>
      </x:c>
      <x:c r="D338" s="22" t="str">
        <x:v>普通</x:v>
      </x:c>
      <x:c r="E338" s="22" t="str">
        <x:v>火狱锁门卒</x:v>
      </x:c>
      <x:c r="F338" s="22" t="str">
        <x:v>XX357</x:v>
      </x:c>
      <x:c r="G338" s="22" t="str">
        <x:v>P0190</x:v>
      </x:c>
      <x:c r="H338" s="22" t="n">
        <x:v>9.2</x:v>
      </x:c>
      <x:c r="I338" s="28" t="n">
        <x:v>81069084.21454924</x:v>
      </x:c>
      <x:c r="J338" s="28" t="n">
        <x:f>ROUND(H338*I338,-MAX(0,INT(LOG10(H338*I338))-1))</x:f>
        <x:v>750000000</x:v>
      </x:c>
      <x:c r="K338" s="28" t="n">
        <x:v>270000</x:v>
      </x:c>
      <x:c r="L338" s="28" t="n">
        <x:v>360000</x:v>
      </x:c>
      <x:c r="M338" s="28" t="n">
        <x:v>14000</x:v>
      </x:c>
      <x:c r="N338" s="28" t="n">
        <x:v>12000</x:v>
      </x:c>
      <x:c r="O338" s="28" t="n">
        <x:v>173</x:v>
      </x:c>
      <x:c r="P338" s="28" t="n">
        <x:v>320</x:v>
      </x:c>
      <x:c r="Q338" s="28" t="n">
        <x:v>1600</x:v>
      </x:c>
      <x:c r="R338" s="22"/>
      <x:c r="S338" s="22"/>
      <x:c r="T338" s="22" t="str">
        <x:v>32位有符号内</x:v>
      </x:c>
    </x:row>
    <x:row r="339" ht="24" customHeight="1">
      <x:c r="A339" s="22" t="str">
        <x:v>C06-M019</x:v>
      </x:c>
      <x:c r="B339" s="22" t="n">
        <x:v>6</x:v>
      </x:c>
      <x:c r="C339" s="22" t="str">
        <x:v>腐败火狱</x:v>
      </x:c>
      <x:c r="D339" s="22" t="str">
        <x:v>稀有</x:v>
      </x:c>
      <x:c r="E339" s="22" t="str">
        <x:v>瘴焰缝尸匠</x:v>
      </x:c>
      <x:c r="F339" s="22" t="str">
        <x:v>XX357</x:v>
      </x:c>
      <x:c r="G339" s="22" t="str">
        <x:v>P0190</x:v>
      </x:c>
      <x:c r="H339" s="22" t="n">
        <x:v>27.599999999999998</x:v>
      </x:c>
      <x:c r="I339" s="28" t="n">
        <x:v>75695224.71938072</x:v>
      </x:c>
      <x:c r="J339" s="28" t="n">
        <x:f>ROUND(H339*I339,-MAX(0,INT(LOG10(H339*I339))-1))</x:f>
        <x:v>2100000000</x:v>
      </x:c>
      <x:c r="K339" s="28" t="n">
        <x:v>500000</x:v>
      </x:c>
      <x:c r="L339" s="28" t="n">
        <x:v>680000</x:v>
      </x:c>
      <x:c r="M339" s="28" t="n">
        <x:v>29000</x:v>
      </x:c>
      <x:c r="N339" s="28" t="n">
        <x:v>25000</x:v>
      </x:c>
      <x:c r="O339" s="28" t="n">
        <x:v>173</x:v>
      </x:c>
      <x:c r="P339" s="28" t="n">
        <x:v>940</x:v>
      </x:c>
      <x:c r="Q339" s="28" t="n">
        <x:v>1700</x:v>
      </x:c>
      <x:c r="R339" s="22"/>
      <x:c r="S339" s="22"/>
      <x:c r="T339" s="22" t="str">
        <x:v>32位有符号内</x:v>
      </x:c>
    </x:row>
    <x:row r="340" ht="24" customHeight="1">
      <x:c r="A340" s="22" t="str">
        <x:v>C06-M020</x:v>
      </x:c>
      <x:c r="B340" s="22" t="n">
        <x:v>6</x:v>
      </x:c>
      <x:c r="C340" s="22" t="str">
        <x:v>腐败火狱</x:v>
      </x:c>
      <x:c r="D340" s="22" t="str">
        <x:v>稀有</x:v>
      </x:c>
      <x:c r="E340" s="22" t="str">
        <x:v>灼骨狱卒长</x:v>
      </x:c>
      <x:c r="F340" s="22" t="str">
        <x:v>XX358</x:v>
      </x:c>
      <x:c r="G340" s="22" t="str">
        <x:v>P0190</x:v>
      </x:c>
      <x:c r="H340" s="22" t="n">
        <x:v>21.6</x:v>
      </x:c>
      <x:c r="I340" s="28" t="n">
        <x:v>75695224.71938072</x:v>
      </x:c>
      <x:c r="J340" s="28" t="n">
        <x:f>ROUND(H340*I340,-MAX(0,INT(LOG10(H340*I340))-1))</x:f>
        <x:v>1600000000</x:v>
      </x:c>
      <x:c r="K340" s="28" t="n">
        <x:v>500000</x:v>
      </x:c>
      <x:c r="L340" s="28" t="n">
        <x:v>680000</x:v>
      </x:c>
      <x:c r="M340" s="28" t="n">
        <x:v>29000</x:v>
      </x:c>
      <x:c r="N340" s="28" t="n">
        <x:v>25000</x:v>
      </x:c>
      <x:c r="O340" s="28" t="n">
        <x:v>173</x:v>
      </x:c>
      <x:c r="P340" s="28" t="n">
        <x:v>940</x:v>
      </x:c>
      <x:c r="Q340" s="28" t="n">
        <x:v>1700</x:v>
      </x:c>
      <x:c r="R340" s="22"/>
      <x:c r="S340" s="22"/>
      <x:c r="T340" s="22" t="str">
        <x:v>32位有符号内</x:v>
      </x:c>
    </x:row>
    <x:row r="341" ht="24" customHeight="1">
      <x:c r="A341" s="22" t="str">
        <x:v>C06-M021</x:v>
      </x:c>
      <x:c r="B341" s="22" t="n">
        <x:v>6</x:v>
      </x:c>
      <x:c r="C341" s="22" t="str">
        <x:v>腐败火狱</x:v>
      </x:c>
      <x:c r="D341" s="22" t="str">
        <x:v>稀有</x:v>
      </x:c>
      <x:c r="E341" s="22" t="str">
        <x:v>深渊熔喉兽</x:v>
      </x:c>
      <x:c r="F341" s="22" t="str">
        <x:v>XX359</x:v>
      </x:c>
      <x:c r="G341" s="22" t="str">
        <x:v>P0190</x:v>
      </x:c>
      <x:c r="H341" s="22" t="n">
        <x:v>26.400000000000002</x:v>
      </x:c>
      <x:c r="I341" s="28" t="n">
        <x:v>75695224.71938072</x:v>
      </x:c>
      <x:c r="J341" s="28" t="n">
        <x:f>ROUND(H341*I341,-MAX(0,INT(LOG10(H341*I341))-1))</x:f>
        <x:v>2000000000</x:v>
      </x:c>
      <x:c r="K341" s="28" t="n">
        <x:v>500000</x:v>
      </x:c>
      <x:c r="L341" s="28" t="n">
        <x:v>680000</x:v>
      </x:c>
      <x:c r="M341" s="28" t="n">
        <x:v>29000</x:v>
      </x:c>
      <x:c r="N341" s="28" t="n">
        <x:v>25000</x:v>
      </x:c>
      <x:c r="O341" s="28" t="n">
        <x:v>173</x:v>
      </x:c>
      <x:c r="P341" s="28" t="n">
        <x:v>940</x:v>
      </x:c>
      <x:c r="Q341" s="28" t="n">
        <x:v>1700</x:v>
      </x:c>
      <x:c r="R341" s="22"/>
      <x:c r="S341" s="22"/>
      <x:c r="T341" s="22" t="str">
        <x:v>32位有符号内</x:v>
      </x:c>
    </x:row>
    <x:row r="342" ht="24" customHeight="1">
      <x:c r="A342" s="22" t="str">
        <x:v>C06-M022</x:v>
      </x:c>
      <x:c r="B342" s="22" t="n">
        <x:v>6</x:v>
      </x:c>
      <x:c r="C342" s="22" t="str">
        <x:v>腐败火狱</x:v>
      </x:c>
      <x:c r="D342" s="22" t="str">
        <x:v>稀有</x:v>
      </x:c>
      <x:c r="E342" s="22" t="str">
        <x:v>赤腐祷刑官</x:v>
      </x:c>
      <x:c r="F342" s="22" t="str">
        <x:v>XX360</x:v>
      </x:c>
      <x:c r="G342" s="22" t="str">
        <x:v>P0190</x:v>
      </x:c>
      <x:c r="H342" s="22" t="n">
        <x:v>27.599999999999998</x:v>
      </x:c>
      <x:c r="I342" s="28" t="n">
        <x:v>75695224.71938072</x:v>
      </x:c>
      <x:c r="J342" s="28" t="n">
        <x:f>ROUND(H342*I342,-MAX(0,INT(LOG10(H342*I342))-1))</x:f>
        <x:v>2100000000</x:v>
      </x:c>
      <x:c r="K342" s="28" t="n">
        <x:v>500000</x:v>
      </x:c>
      <x:c r="L342" s="28" t="n">
        <x:v>680000</x:v>
      </x:c>
      <x:c r="M342" s="28" t="n">
        <x:v>29000</x:v>
      </x:c>
      <x:c r="N342" s="28" t="n">
        <x:v>25000</x:v>
      </x:c>
      <x:c r="O342" s="28" t="n">
        <x:v>173</x:v>
      </x:c>
      <x:c r="P342" s="28" t="n">
        <x:v>940</x:v>
      </x:c>
      <x:c r="Q342" s="28" t="n">
        <x:v>1700</x:v>
      </x:c>
      <x:c r="R342" s="22"/>
      <x:c r="S342" s="22"/>
      <x:c r="T342" s="22" t="str">
        <x:v>32位有符号内</x:v>
      </x:c>
    </x:row>
    <x:row r="343" ht="24" customHeight="1">
      <x:c r="A343" s="22" t="str">
        <x:v>C06-M023</x:v>
      </x:c>
      <x:c r="B343" s="22" t="n">
        <x:v>6</x:v>
      </x:c>
      <x:c r="C343" s="22" t="str">
        <x:v>腐败火狱</x:v>
      </x:c>
      <x:c r="D343" s="22" t="str">
        <x:v>地图BOSS</x:v>
      </x:c>
      <x:c r="E343" s="22" t="str">
        <x:v>腐败火侯·伊弗</x:v>
      </x:c>
      <x:c r="F343" s="22" t="str">
        <x:v>XX360</x:v>
      </x:c>
      <x:c r="G343" s="22" t="str">
        <x:v>P0197</x:v>
      </x:c>
      <x:c r="H343" s="22" t="n">
        <x:v>86.25</x:v>
      </x:c>
      <x:c r="I343" s="28" t="n">
        <x:v>297827067.4692329</x:v>
      </x:c>
      <x:c r="J343" s="28" t="n">
        <x:f>ROUND(H343*I343,-MAX(0,INT(LOG10(H343*I343))-1))</x:f>
        <x:v>26000000000</x:v>
      </x:c>
      <x:c r="K343" s="28" t="n">
        <x:v>930000</x:v>
      </x:c>
      <x:c r="L343" s="28" t="n">
        <x:v>1300000</x:v>
      </x:c>
      <x:c r="M343" s="28" t="n">
        <x:v>55000</x:v>
      </x:c>
      <x:c r="N343" s="28" t="n">
        <x:v>47000</x:v>
      </x:c>
      <x:c r="O343" s="28" t="n">
        <x:v>173</x:v>
      </x:c>
      <x:c r="P343" s="28" t="n">
        <x:v>3800</x:v>
      </x:c>
      <x:c r="Q343" s="28" t="n">
        <x:v>1800</x:v>
      </x:c>
      <x:c r="R343" s="22"/>
      <x:c r="S343" s="22"/>
      <x:c r="T343" s="22" t="str">
        <x:v>64位值核对</x:v>
      </x:c>
    </x:row>
    <x:row r="344" ht="24" customHeight="1">
      <x:c r="A344" s="22" t="str">
        <x:v>C06-M024</x:v>
      </x:c>
      <x:c r="B344" s="22" t="n">
        <x:v>6</x:v>
      </x:c>
      <x:c r="C344" s="22" t="str">
        <x:v>腐败火狱</x:v>
      </x:c>
      <x:c r="D344" s="22" t="str">
        <x:v>地图BOSS</x:v>
      </x:c>
      <x:c r="E344" s="22" t="str">
        <x:v>熔心狱主·塞维拉</x:v>
      </x:c>
      <x:c r="F344" s="22" t="str">
        <x:v>XX361</x:v>
      </x:c>
      <x:c r="G344" s="22" t="str">
        <x:v>P0198</x:v>
      </x:c>
      <x:c r="H344" s="22" t="n">
        <x:v>86.25</x:v>
      </x:c>
      <x:c r="I344" s="28" t="n">
        <x:v>297827067.4692329</x:v>
      </x:c>
      <x:c r="J344" s="28" t="n">
        <x:f>ROUND(H344*I344,-MAX(0,INT(LOG10(H344*I344))-1))</x:f>
        <x:v>26000000000</x:v>
      </x:c>
      <x:c r="K344" s="28" t="n">
        <x:v>930000</x:v>
      </x:c>
      <x:c r="L344" s="28" t="n">
        <x:v>1300000</x:v>
      </x:c>
      <x:c r="M344" s="28" t="n">
        <x:v>55000</x:v>
      </x:c>
      <x:c r="N344" s="28" t="n">
        <x:v>47000</x:v>
      </x:c>
      <x:c r="O344" s="28" t="n">
        <x:v>173</x:v>
      </x:c>
      <x:c r="P344" s="28" t="n">
        <x:v>3800</x:v>
      </x:c>
      <x:c r="Q344" s="28" t="n">
        <x:v>1800</x:v>
      </x:c>
      <x:c r="R344" s="22"/>
      <x:c r="S344" s="22"/>
      <x:c r="T344" s="22" t="str">
        <x:v>64位值核对</x:v>
      </x:c>
    </x:row>
    <x:row r="345" ht="24" customHeight="1">
      <x:c r="A345" s="22" t="str">
        <x:v>C06-M025</x:v>
      </x:c>
      <x:c r="B345" s="22" t="n">
        <x:v>6</x:v>
      </x:c>
      <x:c r="C345" s="22" t="str">
        <x:v>红狮龙窟</x:v>
      </x:c>
      <x:c r="D345" s="22" t="str">
        <x:v>普通</x:v>
      </x:c>
      <x:c r="E345" s="22" t="str">
        <x:v>龙窟烬鳞兽</x:v>
      </x:c>
      <x:c r="F345" s="22" t="str">
        <x:v>XX485</x:v>
      </x:c>
      <x:c r="G345" s="22" t="str">
        <x:v>P0196</x:v>
      </x:c>
      <x:c r="H345" s="22" t="n">
        <x:v>8</x:v>
      </x:c>
      <x:c r="I345" s="28" t="n">
        <x:v>97944356.84936048</x:v>
      </x:c>
      <x:c r="J345" s="28" t="n">
        <x:f>ROUND(H345*I345,-MAX(0,INT(LOG10(H345*I345))-1))</x:f>
        <x:v>780000000</x:v>
      </x:c>
      <x:c r="K345" s="28" t="n">
        <x:v>220000</x:v>
      </x:c>
      <x:c r="L345" s="28" t="n">
        <x:v>300000</x:v>
      </x:c>
      <x:c r="M345" s="28" t="n">
        <x:v>15000</x:v>
      </x:c>
      <x:c r="N345" s="28" t="n">
        <x:v>13000</x:v>
      </x:c>
      <x:c r="O345" s="28" t="n">
        <x:v>176</x:v>
      </x:c>
      <x:c r="P345" s="28" t="n">
        <x:v>330</x:v>
      </x:c>
      <x:c r="Q345" s="28" t="n">
        <x:v>1600</x:v>
      </x:c>
      <x:c r="R345" s="22"/>
      <x:c r="S345" s="22"/>
      <x:c r="T345" s="22" t="str">
        <x:v>32位有符号内</x:v>
      </x:c>
    </x:row>
    <x:row r="346" ht="24" customHeight="1">
      <x:c r="A346" s="22" t="str">
        <x:v>C06-M026</x:v>
      </x:c>
      <x:c r="B346" s="22" t="n">
        <x:v>6</x:v>
      </x:c>
      <x:c r="C346" s="22" t="str">
        <x:v>红狮龙窟</x:v>
      </x:c>
      <x:c r="D346" s="22" t="str">
        <x:v>普通</x:v>
      </x:c>
      <x:c r="E346" s="22" t="str">
        <x:v>崎路红狮兵</x:v>
      </x:c>
      <x:c r="F346" s="22" t="str">
        <x:v>XX484</x:v>
      </x:c>
      <x:c r="G346" s="22" t="str">
        <x:v>P0196</x:v>
      </x:c>
      <x:c r="H346" s="22" t="n">
        <x:v>8</x:v>
      </x:c>
      <x:c r="I346" s="28" t="n">
        <x:v>97944356.84936048</x:v>
      </x:c>
      <x:c r="J346" s="28" t="n">
        <x:f>ROUND(H346*I346,-MAX(0,INT(LOG10(H346*I346))-1))</x:f>
        <x:v>780000000</x:v>
      </x:c>
      <x:c r="K346" s="28" t="n">
        <x:v>220000</x:v>
      </x:c>
      <x:c r="L346" s="28" t="n">
        <x:v>300000</x:v>
      </x:c>
      <x:c r="M346" s="28" t="n">
        <x:v>15000</x:v>
      </x:c>
      <x:c r="N346" s="28" t="n">
        <x:v>13000</x:v>
      </x:c>
      <x:c r="O346" s="28" t="n">
        <x:v>176</x:v>
      </x:c>
      <x:c r="P346" s="28" t="n">
        <x:v>330</x:v>
      </x:c>
      <x:c r="Q346" s="28" t="n">
        <x:v>1600</x:v>
      </x:c>
      <x:c r="R346" s="22"/>
      <x:c r="S346" s="22"/>
      <x:c r="T346" s="22" t="str">
        <x:v>32位有符号内</x:v>
      </x:c>
    </x:row>
    <x:row r="347" ht="24" customHeight="1">
      <x:c r="A347" s="22" t="str">
        <x:v>C06-M027</x:v>
      </x:c>
      <x:c r="B347" s="22" t="n">
        <x:v>6</x:v>
      </x:c>
      <x:c r="C347" s="22" t="str">
        <x:v>红狮龙窟</x:v>
      </x:c>
      <x:c r="D347" s="22" t="str">
        <x:v>普通</x:v>
      </x:c>
      <x:c r="E347" s="22" t="str">
        <x:v>回廊火弩卫</x:v>
      </x:c>
      <x:c r="F347" s="22" t="str">
        <x:v>XX483</x:v>
      </x:c>
      <x:c r="G347" s="22" t="str">
        <x:v>P0196</x:v>
      </x:c>
      <x:c r="H347" s="22" t="n">
        <x:v>8</x:v>
      </x:c>
      <x:c r="I347" s="28" t="n">
        <x:v>97944356.84936048</x:v>
      </x:c>
      <x:c r="J347" s="28" t="n">
        <x:f>ROUND(H347*I347,-MAX(0,INT(LOG10(H347*I347))-1))</x:f>
        <x:v>780000000</x:v>
      </x:c>
      <x:c r="K347" s="28" t="n">
        <x:v>220000</x:v>
      </x:c>
      <x:c r="L347" s="28" t="n">
        <x:v>300000</x:v>
      </x:c>
      <x:c r="M347" s="28" t="n">
        <x:v>15000</x:v>
      </x:c>
      <x:c r="N347" s="28" t="n">
        <x:v>13000</x:v>
      </x:c>
      <x:c r="O347" s="28" t="n">
        <x:v>176</x:v>
      </x:c>
      <x:c r="P347" s="28" t="n">
        <x:v>330</x:v>
      </x:c>
      <x:c r="Q347" s="28" t="n">
        <x:v>1600</x:v>
      </x:c>
      <x:c r="R347" s="22"/>
      <x:c r="S347" s="22"/>
      <x:c r="T347" s="22" t="str">
        <x:v>32位有符号内</x:v>
      </x:c>
    </x:row>
    <x:row r="348" ht="24" customHeight="1">
      <x:c r="A348" s="22" t="str">
        <x:v>C06-M028</x:v>
      </x:c>
      <x:c r="B348" s="22" t="n">
        <x:v>6</x:v>
      </x:c>
      <x:c r="C348" s="22" t="str">
        <x:v>红狮龙窟</x:v>
      </x:c>
      <x:c r="D348" s="22" t="str">
        <x:v>普通</x:v>
      </x:c>
      <x:c r="E348" s="22" t="str">
        <x:v>龙巢护卵兽</x:v>
      </x:c>
      <x:c r="F348" s="22" t="str">
        <x:v>XX482</x:v>
      </x:c>
      <x:c r="G348" s="22" t="str">
        <x:v>P0196</x:v>
      </x:c>
      <x:c r="H348" s="22" t="n">
        <x:v>8</x:v>
      </x:c>
      <x:c r="I348" s="28" t="n">
        <x:v>97944356.84936048</x:v>
      </x:c>
      <x:c r="J348" s="28" t="n">
        <x:f>ROUND(H348*I348,-MAX(0,INT(LOG10(H348*I348))-1))</x:f>
        <x:v>780000000</x:v>
      </x:c>
      <x:c r="K348" s="28" t="n">
        <x:v>220000</x:v>
      </x:c>
      <x:c r="L348" s="28" t="n">
        <x:v>300000</x:v>
      </x:c>
      <x:c r="M348" s="28" t="n">
        <x:v>15000</x:v>
      </x:c>
      <x:c r="N348" s="28" t="n">
        <x:v>13000</x:v>
      </x:c>
      <x:c r="O348" s="28" t="n">
        <x:v>176</x:v>
      </x:c>
      <x:c r="P348" s="28" t="n">
        <x:v>330</x:v>
      </x:c>
      <x:c r="Q348" s="28" t="n">
        <x:v>1600</x:v>
      </x:c>
      <x:c r="R348" s="22"/>
      <x:c r="S348" s="22"/>
      <x:c r="T348" s="22" t="str">
        <x:v>32位有符号内</x:v>
      </x:c>
    </x:row>
    <x:row r="349" ht="24" customHeight="1">
      <x:c r="A349" s="22" t="str">
        <x:v>C06-M029</x:v>
      </x:c>
      <x:c r="B349" s="22" t="n">
        <x:v>6</x:v>
      </x:c>
      <x:c r="C349" s="22" t="str">
        <x:v>红狮龙窟</x:v>
      </x:c>
      <x:c r="D349" s="22" t="str">
        <x:v>普通</x:v>
      </x:c>
      <x:c r="E349" s="22" t="str">
        <x:v>神殿执矛僧</x:v>
      </x:c>
      <x:c r="F349" s="22" t="str">
        <x:v>XX481</x:v>
      </x:c>
      <x:c r="G349" s="22" t="str">
        <x:v>P0196</x:v>
      </x:c>
      <x:c r="H349" s="22" t="n">
        <x:v>7.2</x:v>
      </x:c>
      <x:c r="I349" s="28" t="n">
        <x:v>97944356.84936048</x:v>
      </x:c>
      <x:c r="J349" s="28" t="n">
        <x:f>ROUND(H349*I349,-MAX(0,INT(LOG10(H349*I349))-1))</x:f>
        <x:v>710000000</x:v>
      </x:c>
      <x:c r="K349" s="28" t="n">
        <x:v>14000</x:v>
      </x:c>
      <x:c r="L349" s="28" t="n">
        <x:v>19000</x:v>
      </x:c>
      <x:c r="M349" s="28" t="n">
        <x:v>15000</x:v>
      </x:c>
      <x:c r="N349" s="28" t="n">
        <x:v>13000</x:v>
      </x:c>
      <x:c r="O349" s="28" t="n">
        <x:v>176</x:v>
      </x:c>
      <x:c r="P349" s="28" t="n">
        <x:v>330</x:v>
      </x:c>
      <x:c r="Q349" s="28" t="n">
        <x:v>1600</x:v>
      </x:c>
      <x:c r="R349" s="22"/>
      <x:c r="S349" s="22"/>
      <x:c r="T349" s="22" t="str">
        <x:v>32位有符号内</x:v>
      </x:c>
    </x:row>
    <x:row r="350" ht="24" customHeight="1">
      <x:c r="A350" s="22" t="str">
        <x:v>C06-M030</x:v>
      </x:c>
      <x:c r="B350" s="22" t="n">
        <x:v>6</x:v>
      </x:c>
      <x:c r="C350" s="22" t="str">
        <x:v>红狮龙窟</x:v>
      </x:c>
      <x:c r="D350" s="22" t="str">
        <x:v>普通</x:v>
      </x:c>
      <x:c r="E350" s="22" t="str">
        <x:v>赤鬃巡巢者</x:v>
      </x:c>
      <x:c r="F350" s="22" t="str">
        <x:v>XX485</x:v>
      </x:c>
      <x:c r="G350" s="22" t="str">
        <x:v>P0196</x:v>
      </x:c>
      <x:c r="H350" s="22" t="n">
        <x:v>8.8</x:v>
      </x:c>
      <x:c r="I350" s="28" t="n">
        <x:v>97944356.84936048</x:v>
      </x:c>
      <x:c r="J350" s="28" t="n">
        <x:f>ROUND(H350*I350,-MAX(0,INT(LOG10(H350*I350))-1))</x:f>
        <x:v>860000000</x:v>
      </x:c>
      <x:c r="K350" s="28" t="n">
        <x:v>220000</x:v>
      </x:c>
      <x:c r="L350" s="28" t="n">
        <x:v>300000</x:v>
      </x:c>
      <x:c r="M350" s="28" t="n">
        <x:v>15000</x:v>
      </x:c>
      <x:c r="N350" s="28" t="n">
        <x:v>13000</x:v>
      </x:c>
      <x:c r="O350" s="28" t="n">
        <x:v>176</x:v>
      </x:c>
      <x:c r="P350" s="28" t="n">
        <x:v>330</x:v>
      </x:c>
      <x:c r="Q350" s="28" t="n">
        <x:v>1600</x:v>
      </x:c>
      <x:c r="R350" s="22"/>
      <x:c r="S350" s="22"/>
      <x:c r="T350" s="22" t="str">
        <x:v>32位有符号内</x:v>
      </x:c>
    </x:row>
    <x:row r="351" ht="24" customHeight="1">
      <x:c r="A351" s="22" t="str">
        <x:v>C06-M031</x:v>
      </x:c>
      <x:c r="B351" s="22" t="n">
        <x:v>6</x:v>
      </x:c>
      <x:c r="C351" s="22" t="str">
        <x:v>红狮龙窟</x:v>
      </x:c>
      <x:c r="D351" s="22" t="str">
        <x:v>稀有</x:v>
      </x:c>
      <x:c r="E351" s="22" t="str">
        <x:v>龙火驯兽师</x:v>
      </x:c>
      <x:c r="F351" s="22" t="str">
        <x:v>XX485</x:v>
      </x:c>
      <x:c r="G351" s="22" t="str">
        <x:v>P0196</x:v>
      </x:c>
      <x:c r="H351" s="22" t="n">
        <x:v>26.400000000000002</x:v>
      </x:c>
      <x:c r="I351" s="28" t="n">
        <x:v>91650315.93378639</x:v>
      </x:c>
      <x:c r="J351" s="28" t="n">
        <x:f>ROUND(H351*I351,-MAX(0,INT(LOG10(H351*I351))-1))</x:f>
        <x:v>2400000000</x:v>
      </x:c>
      <x:c r="K351" s="28" t="n">
        <x:v>420000</x:v>
      </x:c>
      <x:c r="L351" s="28" t="n">
        <x:v>570000</x:v>
      </x:c>
      <x:c r="M351" s="28" t="n">
        <x:v>30000</x:v>
      </x:c>
      <x:c r="N351" s="28" t="n">
        <x:v>26000</x:v>
      </x:c>
      <x:c r="O351" s="28" t="n">
        <x:v>176</x:v>
      </x:c>
      <x:c r="P351" s="28" t="n">
        <x:v>990</x:v>
      </x:c>
      <x:c r="Q351" s="28" t="n">
        <x:v>1700</x:v>
      </x:c>
      <x:c r="R351" s="22"/>
      <x:c r="S351" s="22"/>
      <x:c r="T351" s="22" t="str">
        <x:v>64位值核对</x:v>
      </x:c>
    </x:row>
    <x:row r="352" ht="24" customHeight="1">
      <x:c r="A352" s="22" t="str">
        <x:v>C06-M032</x:v>
      </x:c>
      <x:c r="B352" s="22" t="n">
        <x:v>6</x:v>
      </x:c>
      <x:c r="C352" s="22" t="str">
        <x:v>红狮龙窟</x:v>
      </x:c>
      <x:c r="D352" s="22" t="str">
        <x:v>稀有</x:v>
      </x:c>
      <x:c r="E352" s="22" t="str">
        <x:v>红狮斩翼骑</x:v>
      </x:c>
      <x:c r="F352" s="22" t="str">
        <x:v>XX484</x:v>
      </x:c>
      <x:c r="G352" s="22" t="str">
        <x:v>P0196</x:v>
      </x:c>
      <x:c r="H352" s="22" t="n">
        <x:v>26.400000000000002</x:v>
      </x:c>
      <x:c r="I352" s="28" t="n">
        <x:v>91650315.93378639</x:v>
      </x:c>
      <x:c r="J352" s="28" t="n">
        <x:f>ROUND(H352*I352,-MAX(0,INT(LOG10(H352*I352))-1))</x:f>
        <x:v>2400000000</x:v>
      </x:c>
      <x:c r="K352" s="28" t="n">
        <x:v>420000</x:v>
      </x:c>
      <x:c r="L352" s="28" t="n">
        <x:v>570000</x:v>
      </x:c>
      <x:c r="M352" s="28" t="n">
        <x:v>30000</x:v>
      </x:c>
      <x:c r="N352" s="28" t="n">
        <x:v>26000</x:v>
      </x:c>
      <x:c r="O352" s="28" t="n">
        <x:v>176</x:v>
      </x:c>
      <x:c r="P352" s="28" t="n">
        <x:v>990</x:v>
      </x:c>
      <x:c r="Q352" s="28" t="n">
        <x:v>1700</x:v>
      </x:c>
      <x:c r="R352" s="22"/>
      <x:c r="S352" s="22"/>
      <x:c r="T352" s="22" t="str">
        <x:v>64位值核对</x:v>
      </x:c>
    </x:row>
    <x:row r="353" ht="24" customHeight="1">
      <x:c r="A353" s="22" t="str">
        <x:v>C06-M033</x:v>
      </x:c>
      <x:c r="B353" s="22" t="n">
        <x:v>6</x:v>
      </x:c>
      <x:c r="C353" s="22" t="str">
        <x:v>红狮龙窟</x:v>
      </x:c>
      <x:c r="D353" s="22" t="str">
        <x:v>稀有</x:v>
      </x:c>
      <x:c r="E353" s="22" t="str">
        <x:v>赤焰鳞甲将</x:v>
      </x:c>
      <x:c r="F353" s="22" t="str">
        <x:v>XX483</x:v>
      </x:c>
      <x:c r="G353" s="22" t="str">
        <x:v>P0196</x:v>
      </x:c>
      <x:c r="H353" s="22" t="n">
        <x:v>22.799999999999997</x:v>
      </x:c>
      <x:c r="I353" s="28" t="n">
        <x:v>91650315.93378639</x:v>
      </x:c>
      <x:c r="J353" s="28" t="n">
        <x:f>ROUND(H353*I353,-MAX(0,INT(LOG10(H353*I353))-1))</x:f>
        <x:v>2100000000</x:v>
      </x:c>
      <x:c r="K353" s="28" t="n">
        <x:v>420000</x:v>
      </x:c>
      <x:c r="L353" s="28" t="n">
        <x:v>570000</x:v>
      </x:c>
      <x:c r="M353" s="28" t="n">
        <x:v>30000</x:v>
      </x:c>
      <x:c r="N353" s="28" t="n">
        <x:v>26000</x:v>
      </x:c>
      <x:c r="O353" s="28" t="n">
        <x:v>176</x:v>
      </x:c>
      <x:c r="P353" s="28" t="n">
        <x:v>990</x:v>
      </x:c>
      <x:c r="Q353" s="28" t="n">
        <x:v>1700</x:v>
      </x:c>
      <x:c r="R353" s="22"/>
      <x:c r="S353" s="22"/>
      <x:c r="T353" s="22" t="str">
        <x:v>32位有符号内</x:v>
      </x:c>
    </x:row>
    <x:row r="354" ht="24" customHeight="1">
      <x:c r="A354" s="22" t="str">
        <x:v>C06-M034</x:v>
      </x:c>
      <x:c r="B354" s="22" t="n">
        <x:v>6</x:v>
      </x:c>
      <x:c r="C354" s="22" t="str">
        <x:v>红狮龙窟</x:v>
      </x:c>
      <x:c r="D354" s="22" t="str">
        <x:v>稀有</x:v>
      </x:c>
      <x:c r="E354" s="22" t="str">
        <x:v>龙巢血祭司</x:v>
      </x:c>
      <x:c r="F354" s="22" t="str">
        <x:v>XX482</x:v>
      </x:c>
      <x:c r="G354" s="22" t="str">
        <x:v>P0196</x:v>
      </x:c>
      <x:c r="H354" s="22" t="n">
        <x:v>26.400000000000002</x:v>
      </x:c>
      <x:c r="I354" s="28" t="n">
        <x:v>91650315.93378639</x:v>
      </x:c>
      <x:c r="J354" s="28" t="n">
        <x:f>ROUND(H354*I354,-MAX(0,INT(LOG10(H354*I354))-1))</x:f>
        <x:v>2400000000</x:v>
      </x:c>
      <x:c r="K354" s="28" t="n">
        <x:v>420000</x:v>
      </x:c>
      <x:c r="L354" s="28" t="n">
        <x:v>570000</x:v>
      </x:c>
      <x:c r="M354" s="28" t="n">
        <x:v>30000</x:v>
      </x:c>
      <x:c r="N354" s="28" t="n">
        <x:v>26000</x:v>
      </x:c>
      <x:c r="O354" s="28" t="n">
        <x:v>176</x:v>
      </x:c>
      <x:c r="P354" s="28" t="n">
        <x:v>990</x:v>
      </x:c>
      <x:c r="Q354" s="28" t="n">
        <x:v>1700</x:v>
      </x:c>
      <x:c r="R354" s="22"/>
      <x:c r="S354" s="22"/>
      <x:c r="T354" s="22" t="str">
        <x:v>64位值核对</x:v>
      </x:c>
    </x:row>
    <x:row r="355" ht="24" customHeight="1">
      <x:c r="A355" s="22" t="str">
        <x:v>C06-M035</x:v>
      </x:c>
      <x:c r="B355" s="22" t="n">
        <x:v>6</x:v>
      </x:c>
      <x:c r="C355" s="22" t="str">
        <x:v>红狮龙窟</x:v>
      </x:c>
      <x:c r="D355" s="22" t="str">
        <x:v>地图BOSS</x:v>
      </x:c>
      <x:c r="E355" s="22" t="str">
        <x:v>焚翼古龙·阿格纳</x:v>
      </x:c>
      <x:c r="F355" s="22" t="str">
        <x:v>XX482</x:v>
      </x:c>
      <x:c r="G355" s="22" t="str">
        <x:v>P0203</x:v>
      </x:c>
      <x:c r="H355" s="22" t="n">
        <x:v>67.5</x:v>
      </x:c>
      <x:c r="I355" s="28" t="n">
        <x:v>314007686.5618957</x:v>
      </x:c>
      <x:c r="J355" s="28" t="n">
        <x:f>ROUND(H355*I355,-MAX(0,INT(LOG10(H355*I355))-1))</x:f>
        <x:v>21000000000</x:v>
      </x:c>
      <x:c r="K355" s="28" t="n">
        <x:v>810000</x:v>
      </x:c>
      <x:c r="L355" s="28" t="n">
        <x:v>1100000</x:v>
      </x:c>
      <x:c r="M355" s="28" t="n">
        <x:v>58000</x:v>
      </x:c>
      <x:c r="N355" s="28" t="n">
        <x:v>49000</x:v>
      </x:c>
      <x:c r="O355" s="28" t="n">
        <x:v>176</x:v>
      </x:c>
      <x:c r="P355" s="28" t="n">
        <x:v>4000</x:v>
      </x:c>
      <x:c r="Q355" s="28" t="n">
        <x:v>1800</x:v>
      </x:c>
      <x:c r="R355" s="22"/>
      <x:c r="S355" s="22"/>
      <x:c r="T355" s="22" t="str">
        <x:v>64位值核对</x:v>
      </x:c>
    </x:row>
    <x:row r="356" ht="24" customHeight="1">
      <x:c r="A356" s="22" t="str">
        <x:v>C06-M036</x:v>
      </x:c>
      <x:c r="B356" s="22" t="n">
        <x:v>6</x:v>
      </x:c>
      <x:c r="C356" s="22" t="str">
        <x:v>红狮龙窟</x:v>
      </x:c>
      <x:c r="D356" s="22" t="str">
        <x:v>地图BOSS</x:v>
      </x:c>
      <x:c r="E356" s="22" t="str">
        <x:v>红狮圣兽·雷奥尼斯</x:v>
      </x:c>
      <x:c r="F356" s="22" t="str">
        <x:v>XX481</x:v>
      </x:c>
      <x:c r="G356" s="22" t="str">
        <x:v>P0204</x:v>
      </x:c>
      <x:c r="H356" s="22" t="n">
        <x:v>67.5</x:v>
      </x:c>
      <x:c r="I356" s="28" t="n">
        <x:v>244107124.66293654</x:v>
      </x:c>
      <x:c r="J356" s="28" t="n">
        <x:f>ROUND(H356*I356,-MAX(0,INT(LOG10(H356*I356))-1))</x:f>
        <x:v>16000000000</x:v>
      </x:c>
      <x:c r="K356" s="28" t="n">
        <x:v>47000</x:v>
      </x:c>
      <x:c r="L356" s="28" t="n">
        <x:v>64000</x:v>
      </x:c>
      <x:c r="M356" s="28" t="n">
        <x:v>58000</x:v>
      </x:c>
      <x:c r="N356" s="28" t="n">
        <x:v>49000</x:v>
      </x:c>
      <x:c r="O356" s="28" t="n">
        <x:v>176</x:v>
      </x:c>
      <x:c r="P356" s="28" t="n">
        <x:v>4000</x:v>
      </x:c>
      <x:c r="Q356" s="28" t="n">
        <x:v>1800</x:v>
      </x:c>
      <x:c r="R356" s="22"/>
      <x:c r="S356" s="22"/>
      <x:c r="T356" s="22" t="str">
        <x:v>64位值核对</x:v>
      </x:c>
    </x:row>
    <x:row r="357" ht="24" customHeight="1">
      <x:c r="A357" s="22" t="str">
        <x:v>C06-M037</x:v>
      </x:c>
      <x:c r="B357" s="22" t="n">
        <x:v>6</x:v>
      </x:c>
      <x:c r="C357" s="22" t="str">
        <x:v>红狮龙窟</x:v>
      </x:c>
      <x:c r="D357" s="22" t="str">
        <x:v>守关BOSS</x:v>
      </x:c>
      <x:c r="E357" s="22" t="str">
        <x:v>碎星狮王·拉塔恩</x:v>
      </x:c>
      <x:c r="F357" s="22" t="str">
        <x:v>XX481</x:v>
      </x:c>
      <x:c r="G357" s="22" t="str">
        <x:v>P0208</x:v>
      </x:c>
      <x:c r="H357" s="22" t="n">
        <x:v>270</x:v>
      </x:c>
      <x:c r="I357" s="28" t="n">
        <x:v>459233380.24507064</x:v>
      </x:c>
      <x:c r="J357" s="28" t="n">
        <x:f>ROUND(H357*I357,-MAX(0,INT(LOG10(H357*I357))-1))</x:f>
        <x:v>120000000000</x:v>
      </x:c>
      <x:c r="K357" s="28" t="n">
        <x:v>4600000</x:v>
      </x:c>
      <x:c r="L357" s="28" t="n">
        <x:v>6200000</x:v>
      </x:c>
      <x:c r="M357" s="28" t="n">
        <x:v>93000</x:v>
      </x:c>
      <x:c r="N357" s="28" t="n">
        <x:v>79000</x:v>
      </x:c>
      <x:c r="O357" s="28" t="n">
        <x:v>176</x:v>
      </x:c>
      <x:c r="P357" s="28" t="n">
        <x:v>9900</x:v>
      </x:c>
      <x:c r="Q357" s="28" t="n">
        <x:v>2000</x:v>
      </x:c>
      <x:c r="R357" s="22"/>
      <x:c r="S357" s="22"/>
      <x:c r="T357" s="22" t="str">
        <x:v>64位值核对</x:v>
      </x:c>
    </x:row>
    <x:row r="358" ht="24" customHeight="1">
      <x:c r="A358" s="22" t="str">
        <x:v>C07-M001</x:v>
      </x:c>
      <x:c r="B358" s="22" t="n">
        <x:v>7</x:v>
      </x:c>
      <x:c r="C358" s="22" t="str">
        <x:v>苍白雪原</x:v>
      </x:c>
      <x:c r="D358" s="22" t="str">
        <x:v>普通</x:v>
      </x:c>
      <x:c r="E358" s="22" t="str">
        <x:v>雪原冻角鹿</x:v>
      </x:c>
      <x:c r="F358" s="22" t="str">
        <x:v>XX149</x:v>
      </x:c>
      <x:c r="G358" s="22" t="str">
        <x:v>P0213</x:v>
      </x:c>
      <x:c r="H358" s="22" t="n">
        <x:v>8</x:v>
      </x:c>
      <x:c r="I358" s="28" t="n">
        <x:v>231460214.9173775</x:v>
      </x:c>
      <x:c r="J358" s="28" t="n">
        <x:f>ROUND(H358*I358,-MAX(0,INT(LOG10(H358*I358))-1))</x:f>
        <x:v>1900000000</x:v>
      </x:c>
      <x:c r="K358" s="28" t="n">
        <x:v>1200000</x:v>
      </x:c>
      <x:c r="L358" s="28" t="n">
        <x:v>1600000</x:v>
      </x:c>
      <x:c r="M358" s="28" t="n">
        <x:v>26000</x:v>
      </x:c>
      <x:c r="N358" s="28" t="n">
        <x:v>22000</x:v>
      </x:c>
      <x:c r="O358" s="28" t="n">
        <x:v>200</x:v>
      </x:c>
      <x:c r="P358" s="28" t="n">
        <x:v>340</x:v>
      </x:c>
      <x:c r="Q358" s="28" t="n">
        <x:v>1600</x:v>
      </x:c>
      <x:c r="R358" s="22"/>
      <x:c r="S358" s="22"/>
      <x:c r="T358" s="22" t="str">
        <x:v>32位有符号内</x:v>
      </x:c>
    </x:row>
    <x:row r="359" ht="24" customHeight="1">
      <x:c r="A359" s="22" t="str">
        <x:v>C07-M002</x:v>
      </x:c>
      <x:c r="B359" s="22" t="n">
        <x:v>7</x:v>
      </x:c>
      <x:c r="C359" s="22" t="str">
        <x:v>苍白雪原</x:v>
      </x:c>
      <x:c r="D359" s="22" t="str">
        <x:v>普通</x:v>
      </x:c>
      <x:c r="E359" s="22" t="str">
        <x:v>霜风放逐兵</x:v>
      </x:c>
      <x:c r="F359" s="22" t="str">
        <x:v>XX148</x:v>
      </x:c>
      <x:c r="G359" s="22" t="str">
        <x:v>P0213</x:v>
      </x:c>
      <x:c r="H359" s="22" t="n">
        <x:v>7.2</x:v>
      </x:c>
      <x:c r="I359" s="28" t="n">
        <x:v>231460214.9173775</x:v>
      </x:c>
      <x:c r="J359" s="28" t="n">
        <x:f>ROUND(H359*I359,-MAX(0,INT(LOG10(H359*I359))-1))</x:f>
        <x:v>1700000000</x:v>
      </x:c>
      <x:c r="K359" s="28" t="n">
        <x:v>1200000</x:v>
      </x:c>
      <x:c r="L359" s="28" t="n">
        <x:v>1600000</x:v>
      </x:c>
      <x:c r="M359" s="28" t="n">
        <x:v>26000</x:v>
      </x:c>
      <x:c r="N359" s="28" t="n">
        <x:v>22000</x:v>
      </x:c>
      <x:c r="O359" s="28" t="n">
        <x:v>200</x:v>
      </x:c>
      <x:c r="P359" s="28" t="n">
        <x:v>340</x:v>
      </x:c>
      <x:c r="Q359" s="28" t="n">
        <x:v>1600</x:v>
      </x:c>
      <x:c r="R359" s="22"/>
      <x:c r="S359" s="22"/>
      <x:c r="T359" s="22" t="str">
        <x:v>32位有符号内</x:v>
      </x:c>
    </x:row>
    <x:row r="360" ht="24" customHeight="1">
      <x:c r="A360" s="22" t="str">
        <x:v>C07-M003</x:v>
      </x:c>
      <x:c r="B360" s="22" t="n">
        <x:v>7</x:v>
      </x:c>
      <x:c r="C360" s="22" t="str">
        <x:v>苍白雪原</x:v>
      </x:c>
      <x:c r="D360" s="22" t="str">
        <x:v>普通</x:v>
      </x:c>
      <x:c r="E360" s="22" t="str">
        <x:v>冻土掘冰徒</x:v>
      </x:c>
      <x:c r="F360" s="22" t="str">
        <x:v>XX147</x:v>
      </x:c>
      <x:c r="G360" s="22" t="str">
        <x:v>P0213</x:v>
      </x:c>
      <x:c r="H360" s="22" t="n">
        <x:v>9.2</x:v>
      </x:c>
      <x:c r="I360" s="28" t="n">
        <x:v>231460214.9173775</x:v>
      </x:c>
      <x:c r="J360" s="28" t="n">
        <x:f>ROUND(H360*I360,-MAX(0,INT(LOG10(H360*I360))-1))</x:f>
        <x:v>2100000000</x:v>
      </x:c>
      <x:c r="K360" s="28" t="n">
        <x:v>1200000</x:v>
      </x:c>
      <x:c r="L360" s="28" t="n">
        <x:v>1600000</x:v>
      </x:c>
      <x:c r="M360" s="28" t="n">
        <x:v>26000</x:v>
      </x:c>
      <x:c r="N360" s="28" t="n">
        <x:v>22000</x:v>
      </x:c>
      <x:c r="O360" s="28" t="n">
        <x:v>200</x:v>
      </x:c>
      <x:c r="P360" s="28" t="n">
        <x:v>340</x:v>
      </x:c>
      <x:c r="Q360" s="28" t="n">
        <x:v>1600</x:v>
      </x:c>
      <x:c r="R360" s="22"/>
      <x:c r="S360" s="22"/>
      <x:c r="T360" s="22" t="str">
        <x:v>32位有符号内</x:v>
      </x:c>
    </x:row>
    <x:row r="361" ht="24" customHeight="1">
      <x:c r="A361" s="22" t="str">
        <x:v>C07-M004</x:v>
      </x:c>
      <x:c r="B361" s="22" t="n">
        <x:v>7</x:v>
      </x:c>
      <x:c r="C361" s="22" t="str">
        <x:v>苍白雪原</x:v>
      </x:c>
      <x:c r="D361" s="22" t="str">
        <x:v>普通</x:v>
      </x:c>
      <x:c r="E361" s="22" t="str">
        <x:v>祭场白烛侍</x:v>
      </x:c>
      <x:c r="F361" s="22" t="str">
        <x:v>XX150</x:v>
      </x:c>
      <x:c r="G361" s="22" t="str">
        <x:v>P0213</x:v>
      </x:c>
      <x:c r="H361" s="22" t="n">
        <x:v>7.2</x:v>
      </x:c>
      <x:c r="I361" s="28" t="n">
        <x:v>231460214.9173775</x:v>
      </x:c>
      <x:c r="J361" s="28" t="n">
        <x:f>ROUND(H361*I361,-MAX(0,INT(LOG10(H361*I361))-1))</x:f>
        <x:v>1700000000</x:v>
      </x:c>
      <x:c r="K361" s="28" t="n">
        <x:v>1200000</x:v>
      </x:c>
      <x:c r="L361" s="28" t="n">
        <x:v>1600000</x:v>
      </x:c>
      <x:c r="M361" s="28" t="n">
        <x:v>26000</x:v>
      </x:c>
      <x:c r="N361" s="28" t="n">
        <x:v>22000</x:v>
      </x:c>
      <x:c r="O361" s="28" t="n">
        <x:v>200</x:v>
      </x:c>
      <x:c r="P361" s="28" t="n">
        <x:v>340</x:v>
      </x:c>
      <x:c r="Q361" s="28" t="n">
        <x:v>1600</x:v>
      </x:c>
      <x:c r="R361" s="22"/>
      <x:c r="S361" s="22"/>
      <x:c r="T361" s="22" t="str">
        <x:v>32位有符号内</x:v>
      </x:c>
    </x:row>
    <x:row r="362" ht="24" customHeight="1">
      <x:c r="A362" s="22" t="str">
        <x:v>C07-M005</x:v>
      </x:c>
      <x:c r="B362" s="22" t="n">
        <x:v>7</x:v>
      </x:c>
      <x:c r="C362" s="22" t="str">
        <x:v>苍白雪原</x:v>
      </x:c>
      <x:c r="D362" s="22" t="str">
        <x:v>普通</x:v>
      </x:c>
      <x:c r="E362" s="22" t="str">
        <x:v>苍鬃雪狼</x:v>
      </x:c>
      <x:c r="F362" s="22" t="str">
        <x:v>XX149</x:v>
      </x:c>
      <x:c r="G362" s="22" t="str">
        <x:v>P0213</x:v>
      </x:c>
      <x:c r="H362" s="22" t="n">
        <x:v>9.2</x:v>
      </x:c>
      <x:c r="I362" s="28" t="n">
        <x:v>231460214.9173775</x:v>
      </x:c>
      <x:c r="J362" s="28" t="n">
        <x:f>ROUND(H362*I362,-MAX(0,INT(LOG10(H362*I362))-1))</x:f>
        <x:v>2100000000</x:v>
      </x:c>
      <x:c r="K362" s="28" t="n">
        <x:v>1200000</x:v>
      </x:c>
      <x:c r="L362" s="28" t="n">
        <x:v>1600000</x:v>
      </x:c>
      <x:c r="M362" s="28" t="n">
        <x:v>26000</x:v>
      </x:c>
      <x:c r="N362" s="28" t="n">
        <x:v>22000</x:v>
      </x:c>
      <x:c r="O362" s="28" t="n">
        <x:v>200</x:v>
      </x:c>
      <x:c r="P362" s="28" t="n">
        <x:v>340</x:v>
      </x:c>
      <x:c r="Q362" s="28" t="n">
        <x:v>1600</x:v>
      </x:c>
      <x:c r="R362" s="22"/>
      <x:c r="S362" s="22"/>
      <x:c r="T362" s="22" t="str">
        <x:v>32位有符号内</x:v>
      </x:c>
    </x:row>
    <x:row r="363" ht="24" customHeight="1">
      <x:c r="A363" s="22" t="str">
        <x:v>C07-M006</x:v>
      </x:c>
      <x:c r="B363" s="22" t="n">
        <x:v>7</x:v>
      </x:c>
      <x:c r="C363" s="22" t="str">
        <x:v>苍白雪原</x:v>
      </x:c>
      <x:c r="D363" s="22" t="str">
        <x:v>普通</x:v>
      </x:c>
      <x:c r="E363" s="22" t="str">
        <x:v>寒羽巡猎鹰</x:v>
      </x:c>
      <x:c r="F363" s="22" t="str">
        <x:v>XX148</x:v>
      </x:c>
      <x:c r="G363" s="22" t="str">
        <x:v>P0213</x:v>
      </x:c>
      <x:c r="H363" s="22" t="n">
        <x:v>9.2</x:v>
      </x:c>
      <x:c r="I363" s="28" t="n">
        <x:v>231460214.9173775</x:v>
      </x:c>
      <x:c r="J363" s="28" t="n">
        <x:f>ROUND(H363*I363,-MAX(0,INT(LOG10(H363*I363))-1))</x:f>
        <x:v>2100000000</x:v>
      </x:c>
      <x:c r="K363" s="28" t="n">
        <x:v>1200000</x:v>
      </x:c>
      <x:c r="L363" s="28" t="n">
        <x:v>1600000</x:v>
      </x:c>
      <x:c r="M363" s="28" t="n">
        <x:v>26000</x:v>
      </x:c>
      <x:c r="N363" s="28" t="n">
        <x:v>22000</x:v>
      </x:c>
      <x:c r="O363" s="28" t="n">
        <x:v>200</x:v>
      </x:c>
      <x:c r="P363" s="28" t="n">
        <x:v>340</x:v>
      </x:c>
      <x:c r="Q363" s="28" t="n">
        <x:v>1600</x:v>
      </x:c>
      <x:c r="R363" s="22"/>
      <x:c r="S363" s="22"/>
      <x:c r="T363" s="22" t="str">
        <x:v>32位有符号内</x:v>
      </x:c>
    </x:row>
    <x:row r="364" ht="24" customHeight="1">
      <x:c r="A364" s="22" t="str">
        <x:v>C07-M007</x:v>
      </x:c>
      <x:c r="B364" s="22" t="n">
        <x:v>7</x:v>
      </x:c>
      <x:c r="C364" s="22" t="str">
        <x:v>苍白雪原</x:v>
      </x:c>
      <x:c r="D364" s="22" t="str">
        <x:v>稀有</x:v>
      </x:c>
      <x:c r="E364" s="22" t="str">
        <x:v>白霜重甲卫</x:v>
      </x:c>
      <x:c r="F364" s="22" t="str">
        <x:v>XX149</x:v>
      </x:c>
      <x:c r="G364" s="22" t="str">
        <x:v>P0213</x:v>
      </x:c>
      <x:c r="H364" s="22" t="n">
        <x:v>22.799999999999997</x:v>
      </x:c>
      <x:c r="I364" s="28" t="n">
        <x:v>217055468.39553756</x:v>
      </x:c>
      <x:c r="J364" s="28" t="n">
        <x:f>ROUND(H364*I364,-MAX(0,INT(LOG10(H364*I364))-1))</x:f>
        <x:v>4900000000</x:v>
      </x:c>
      <x:c r="K364" s="28" t="n">
        <x:v>2200000</x:v>
      </x:c>
      <x:c r="L364" s="28" t="n">
        <x:v>2900000</x:v>
      </x:c>
      <x:c r="M364" s="28" t="n">
        <x:v>51000</x:v>
      </x:c>
      <x:c r="N364" s="28" t="n">
        <x:v>43000</x:v>
      </x:c>
      <x:c r="O364" s="28" t="n">
        <x:v>200</x:v>
      </x:c>
      <x:c r="P364" s="28" t="n">
        <x:v>1000</x:v>
      </x:c>
      <x:c r="Q364" s="28" t="n">
        <x:v>1700</x:v>
      </x:c>
      <x:c r="R364" s="22"/>
      <x:c r="S364" s="22"/>
      <x:c r="T364" s="22" t="str">
        <x:v>64位值核对</x:v>
      </x:c>
    </x:row>
    <x:row r="365" ht="24" customHeight="1">
      <x:c r="A365" s="22" t="str">
        <x:v>C07-M008</x:v>
      </x:c>
      <x:c r="B365" s="22" t="n">
        <x:v>7</x:v>
      </x:c>
      <x:c r="C365" s="22" t="str">
        <x:v>苍白雪原</x:v>
      </x:c>
      <x:c r="D365" s="22" t="str">
        <x:v>稀有</x:v>
      </x:c>
      <x:c r="E365" s="22" t="str">
        <x:v>霜风号角骑</x:v>
      </x:c>
      <x:c r="F365" s="22" t="str">
        <x:v>XX148</x:v>
      </x:c>
      <x:c r="G365" s="22" t="str">
        <x:v>P0213</x:v>
      </x:c>
      <x:c r="H365" s="22" t="n">
        <x:v>27.599999999999998</x:v>
      </x:c>
      <x:c r="I365" s="28" t="n">
        <x:v>217055468.39553756</x:v>
      </x:c>
      <x:c r="J365" s="28" t="n">
        <x:f>ROUND(H365*I365,-MAX(0,INT(LOG10(H365*I365))-1))</x:f>
        <x:v>6000000000</x:v>
      </x:c>
      <x:c r="K365" s="28" t="n">
        <x:v>2200000</x:v>
      </x:c>
      <x:c r="L365" s="28" t="n">
        <x:v>2900000</x:v>
      </x:c>
      <x:c r="M365" s="28" t="n">
        <x:v>51000</x:v>
      </x:c>
      <x:c r="N365" s="28" t="n">
        <x:v>43000</x:v>
      </x:c>
      <x:c r="O365" s="28" t="n">
        <x:v>200</x:v>
      </x:c>
      <x:c r="P365" s="28" t="n">
        <x:v>1000</x:v>
      </x:c>
      <x:c r="Q365" s="28" t="n">
        <x:v>1700</x:v>
      </x:c>
      <x:c r="R365" s="22"/>
      <x:c r="S365" s="22"/>
      <x:c r="T365" s="22" t="str">
        <x:v>64位值核对</x:v>
      </x:c>
    </x:row>
    <x:row r="366" ht="24" customHeight="1">
      <x:c r="A366" s="22" t="str">
        <x:v>C07-M009</x:v>
      </x:c>
      <x:c r="B366" s="22" t="n">
        <x:v>7</x:v>
      </x:c>
      <x:c r="C366" s="22" t="str">
        <x:v>苍白雪原</x:v>
      </x:c>
      <x:c r="D366" s="22" t="str">
        <x:v>稀有</x:v>
      </x:c>
      <x:c r="E366" s="22" t="str">
        <x:v>冻土晶背熊</x:v>
      </x:c>
      <x:c r="F366" s="22" t="str">
        <x:v>XX147</x:v>
      </x:c>
      <x:c r="G366" s="22" t="str">
        <x:v>P0213</x:v>
      </x:c>
      <x:c r="H366" s="22" t="n">
        <x:v>26.400000000000002</x:v>
      </x:c>
      <x:c r="I366" s="28" t="n">
        <x:v>217055468.39553756</x:v>
      </x:c>
      <x:c r="J366" s="28" t="n">
        <x:f>ROUND(H366*I366,-MAX(0,INT(LOG10(H366*I366))-1))</x:f>
        <x:v>5700000000</x:v>
      </x:c>
      <x:c r="K366" s="28" t="n">
        <x:v>2200000</x:v>
      </x:c>
      <x:c r="L366" s="28" t="n">
        <x:v>2900000</x:v>
      </x:c>
      <x:c r="M366" s="28" t="n">
        <x:v>51000</x:v>
      </x:c>
      <x:c r="N366" s="28" t="n">
        <x:v>43000</x:v>
      </x:c>
      <x:c r="O366" s="28" t="n">
        <x:v>200</x:v>
      </x:c>
      <x:c r="P366" s="28" t="n">
        <x:v>1000</x:v>
      </x:c>
      <x:c r="Q366" s="28" t="n">
        <x:v>1700</x:v>
      </x:c>
      <x:c r="R366" s="22"/>
      <x:c r="S366" s="22"/>
      <x:c r="T366" s="22" t="str">
        <x:v>64位值核对</x:v>
      </x:c>
    </x:row>
    <x:row r="367" ht="24" customHeight="1">
      <x:c r="A367" s="22" t="str">
        <x:v>C07-M010</x:v>
      </x:c>
      <x:c r="B367" s="22" t="n">
        <x:v>7</x:v>
      </x:c>
      <x:c r="C367" s="22" t="str">
        <x:v>苍白雪原</x:v>
      </x:c>
      <x:c r="D367" s="22" t="str">
        <x:v>稀有</x:v>
      </x:c>
      <x:c r="E367" s="22" t="str">
        <x:v>苍白祭司</x:v>
      </x:c>
      <x:c r="F367" s="22" t="str">
        <x:v>XX150</x:v>
      </x:c>
      <x:c r="G367" s="22" t="str">
        <x:v>P0213</x:v>
      </x:c>
      <x:c r="H367" s="22" t="n">
        <x:v>27.599999999999998</x:v>
      </x:c>
      <x:c r="I367" s="28" t="n">
        <x:v>217055468.39553756</x:v>
      </x:c>
      <x:c r="J367" s="28" t="n">
        <x:f>ROUND(H367*I367,-MAX(0,INT(LOG10(H367*I367))-1))</x:f>
        <x:v>6000000000</x:v>
      </x:c>
      <x:c r="K367" s="28" t="n">
        <x:v>2200000</x:v>
      </x:c>
      <x:c r="L367" s="28" t="n">
        <x:v>2900000</x:v>
      </x:c>
      <x:c r="M367" s="28" t="n">
        <x:v>51000</x:v>
      </x:c>
      <x:c r="N367" s="28" t="n">
        <x:v>43000</x:v>
      </x:c>
      <x:c r="O367" s="28" t="n">
        <x:v>200</x:v>
      </x:c>
      <x:c r="P367" s="28" t="n">
        <x:v>1000</x:v>
      </x:c>
      <x:c r="Q367" s="28" t="n">
        <x:v>1700</x:v>
      </x:c>
      <x:c r="R367" s="22"/>
      <x:c r="S367" s="22"/>
      <x:c r="T367" s="22" t="str">
        <x:v>64位值核对</x:v>
      </x:c>
    </x:row>
    <x:row r="368" ht="24" customHeight="1">
      <x:c r="A368" s="22" t="str">
        <x:v>C07-M011</x:v>
      </x:c>
      <x:c r="B368" s="22" t="n">
        <x:v>7</x:v>
      </x:c>
      <x:c r="C368" s="22" t="str">
        <x:v>苍白雪原</x:v>
      </x:c>
      <x:c r="D368" s="22" t="str">
        <x:v>地图BOSS</x:v>
      </x:c>
      <x:c r="E368" s="22" t="str">
        <x:v>雪墓巨人·赫洛</x:v>
      </x:c>
      <x:c r="F368" s="22" t="str">
        <x:v>XX147</x:v>
      </x:c>
      <x:c r="G368" s="22" t="str">
        <x:v>P0215</x:v>
      </x:c>
      <x:c r="H368" s="22" t="n">
        <x:v>67.5</x:v>
      </x:c>
      <x:c r="I368" s="28" t="n">
        <x:v>564881307.679086</x:v>
      </x:c>
      <x:c r="J368" s="28" t="n">
        <x:f>ROUND(H368*I368,-MAX(0,INT(LOG10(H368*I368))-1))</x:f>
        <x:v>38000000000</x:v>
      </x:c>
      <x:c r="K368" s="28" t="n">
        <x:v>3200000</x:v>
      </x:c>
      <x:c r="L368" s="28" t="n">
        <x:v>4400000</x:v>
      </x:c>
      <x:c r="M368" s="28" t="n">
        <x:v>78000</x:v>
      </x:c>
      <x:c r="N368" s="28" t="n">
        <x:v>66000</x:v>
      </x:c>
      <x:c r="O368" s="28" t="n">
        <x:v>200</x:v>
      </x:c>
      <x:c r="P368" s="28" t="n">
        <x:v>4100</x:v>
      </x:c>
      <x:c r="Q368" s="28" t="n">
        <x:v>1800</x:v>
      </x:c>
      <x:c r="R368" s="22"/>
      <x:c r="S368" s="22"/>
      <x:c r="T368" s="22" t="str">
        <x:v>64位值核对</x:v>
      </x:c>
    </x:row>
    <x:row r="369" ht="24" customHeight="1">
      <x:c r="A369" s="22" t="str">
        <x:v>C07-M012</x:v>
      </x:c>
      <x:c r="B369" s="22" t="n">
        <x:v>7</x:v>
      </x:c>
      <x:c r="C369" s="22" t="str">
        <x:v>苍白雪原</x:v>
      </x:c>
      <x:c r="D369" s="22" t="str">
        <x:v>地图BOSS</x:v>
      </x:c>
      <x:c r="E369" s="22" t="str">
        <x:v>苍白鹿王·艾尔维</x:v>
      </x:c>
      <x:c r="F369" s="22" t="str">
        <x:v>XX150</x:v>
      </x:c>
      <x:c r="G369" s="22" t="str">
        <x:v>P0216</x:v>
      </x:c>
      <x:c r="H369" s="22" t="n">
        <x:v>67.5</x:v>
      </x:c>
      <x:c r="I369" s="28" t="n">
        <x:v>564881307.679086</x:v>
      </x:c>
      <x:c r="J369" s="28" t="n">
        <x:f>ROUND(H369*I369,-MAX(0,INT(LOG10(H369*I369))-1))</x:f>
        <x:v>38000000000</x:v>
      </x:c>
      <x:c r="K369" s="28" t="n">
        <x:v>3200000</x:v>
      </x:c>
      <x:c r="L369" s="28" t="n">
        <x:v>4400000</x:v>
      </x:c>
      <x:c r="M369" s="28" t="n">
        <x:v>78000</x:v>
      </x:c>
      <x:c r="N369" s="28" t="n">
        <x:v>66000</x:v>
      </x:c>
      <x:c r="O369" s="28" t="n">
        <x:v>200</x:v>
      </x:c>
      <x:c r="P369" s="28" t="n">
        <x:v>4100</x:v>
      </x:c>
      <x:c r="Q369" s="28" t="n">
        <x:v>1800</x:v>
      </x:c>
      <x:c r="R369" s="22"/>
      <x:c r="S369" s="22"/>
      <x:c r="T369" s="22" t="str">
        <x:v>64位值核对</x:v>
      </x:c>
    </x:row>
    <x:row r="370" ht="24" customHeight="1">
      <x:c r="A370" s="22" t="str">
        <x:v>C07-M013</x:v>
      </x:c>
      <x:c r="B370" s="22" t="n">
        <x:v>7</x:v>
      </x:c>
      <x:c r="C370" s="22" t="str">
        <x:v>永冻荒境</x:v>
      </x:c>
      <x:c r="D370" s="22" t="str">
        <x:v>普通</x:v>
      </x:c>
      <x:c r="E370" s="22" t="str">
        <x:v>荒境雪壳虫</x:v>
      </x:c>
      <x:c r="F370" s="22" t="str">
        <x:v>XX904</x:v>
      </x:c>
      <x:c r="G370" s="22" t="str">
        <x:v>P0214</x:v>
      </x:c>
      <x:c r="H370" s="22" t="n">
        <x:v>8.8</x:v>
      </x:c>
      <x:c r="I370" s="28" t="n">
        <x:v>231460214.9173775</x:v>
      </x:c>
      <x:c r="J370" s="28" t="n">
        <x:f>ROUND(H370*I370,-MAX(0,INT(LOG10(H370*I370))-1))</x:f>
        <x:v>2000000000</x:v>
      </x:c>
      <x:c r="K370" s="28" t="n">
        <x:v>1100000</x:v>
      </x:c>
      <x:c r="L370" s="28" t="n">
        <x:v>1500000</x:v>
      </x:c>
      <x:c r="M370" s="28" t="n">
        <x:v>26000</x:v>
      </x:c>
      <x:c r="N370" s="28" t="n">
        <x:v>22000</x:v>
      </x:c>
      <x:c r="O370" s="28" t="n">
        <x:v>203</x:v>
      </x:c>
      <x:c r="P370" s="28" t="n">
        <x:v>360</x:v>
      </x:c>
      <x:c r="Q370" s="28" t="n">
        <x:v>1600</x:v>
      </x:c>
      <x:c r="R370" s="22"/>
      <x:c r="S370" s="22"/>
      <x:c r="T370" s="22" t="str">
        <x:v>32位有符号内</x:v>
      </x:c>
    </x:row>
    <x:row r="371" ht="24" customHeight="1">
      <x:c r="A371" s="22" t="str">
        <x:v>C07-M014</x:v>
      </x:c>
      <x:c r="B371" s="22" t="n">
        <x:v>7</x:v>
      </x:c>
      <x:c r="C371" s="22" t="str">
        <x:v>永冻荒境</x:v>
      </x:c>
      <x:c r="D371" s="22" t="str">
        <x:v>普通</x:v>
      </x:c>
      <x:c r="E371" s="22" t="str">
        <x:v>冰封流亡者</x:v>
      </x:c>
      <x:c r="F371" s="22" t="str">
        <x:v>XX906</x:v>
      </x:c>
      <x:c r="G371" s="22" t="str">
        <x:v>P0214</x:v>
      </x:c>
      <x:c r="H371" s="22" t="n">
        <x:v>7.6</x:v>
      </x:c>
      <x:c r="I371" s="28" t="n">
        <x:v>231460214.9173775</x:v>
      </x:c>
      <x:c r="J371" s="28" t="n">
        <x:f>ROUND(H371*I371,-MAX(0,INT(LOG10(H371*I371))-1))</x:f>
        <x:v>1800000000</x:v>
      </x:c>
      <x:c r="K371" s="28" t="n">
        <x:v>1100000</x:v>
      </x:c>
      <x:c r="L371" s="28" t="n">
        <x:v>1500000</x:v>
      </x:c>
      <x:c r="M371" s="28" t="n">
        <x:v>26000</x:v>
      </x:c>
      <x:c r="N371" s="28" t="n">
        <x:v>22000</x:v>
      </x:c>
      <x:c r="O371" s="28" t="n">
        <x:v>203</x:v>
      </x:c>
      <x:c r="P371" s="28" t="n">
        <x:v>360</x:v>
      </x:c>
      <x:c r="Q371" s="28" t="n">
        <x:v>1600</x:v>
      </x:c>
      <x:c r="R371" s="22"/>
      <x:c r="S371" s="22"/>
      <x:c r="T371" s="22" t="str">
        <x:v>32位有符号内</x:v>
      </x:c>
    </x:row>
    <x:row r="372" ht="24" customHeight="1">
      <x:c r="A372" s="22" t="str">
        <x:v>C07-M015</x:v>
      </x:c>
      <x:c r="B372" s="22" t="n">
        <x:v>7</x:v>
      </x:c>
      <x:c r="C372" s="22" t="str">
        <x:v>永冻荒境</x:v>
      </x:c>
      <x:c r="D372" s="22" t="str">
        <x:v>普通</x:v>
      </x:c>
      <x:c r="E372" s="22" t="str">
        <x:v>极昼逐光兽</x:v>
      </x:c>
      <x:c r="F372" s="22" t="str">
        <x:v>XX907</x:v>
      </x:c>
      <x:c r="G372" s="22" t="str">
        <x:v>P0214</x:v>
      </x:c>
      <x:c r="H372" s="22" t="n">
        <x:v>8</x:v>
      </x:c>
      <x:c r="I372" s="28" t="n">
        <x:v>231460214.9173775</x:v>
      </x:c>
      <x:c r="J372" s="28" t="n">
        <x:f>ROUND(H372*I372,-MAX(0,INT(LOG10(H372*I372))-1))</x:f>
        <x:v>1900000000</x:v>
      </x:c>
      <x:c r="K372" s="28" t="n">
        <x:v>1100000</x:v>
      </x:c>
      <x:c r="L372" s="28" t="n">
        <x:v>1500000</x:v>
      </x:c>
      <x:c r="M372" s="28" t="n">
        <x:v>26000</x:v>
      </x:c>
      <x:c r="N372" s="28" t="n">
        <x:v>22000</x:v>
      </x:c>
      <x:c r="O372" s="28" t="n">
        <x:v>203</x:v>
      </x:c>
      <x:c r="P372" s="28" t="n">
        <x:v>360</x:v>
      </x:c>
      <x:c r="Q372" s="28" t="n">
        <x:v>1600</x:v>
      </x:c>
      <x:c r="R372" s="22"/>
      <x:c r="S372" s="22"/>
      <x:c r="T372" s="22" t="str">
        <x:v>32位有符号内</x:v>
      </x:c>
    </x:row>
    <x:row r="373" ht="24" customHeight="1">
      <x:c r="A373" s="22" t="str">
        <x:v>C07-M016</x:v>
      </x:c>
      <x:c r="B373" s="22" t="n">
        <x:v>7</x:v>
      </x:c>
      <x:c r="C373" s="22" t="str">
        <x:v>永冻荒境</x:v>
      </x:c>
      <x:c r="D373" s="22" t="str">
        <x:v>普通</x:v>
      </x:c>
      <x:c r="E373" s="22" t="str">
        <x:v>圣域守碑人</x:v>
      </x:c>
      <x:c r="F373" s="22" t="str">
        <x:v>XX905</x:v>
      </x:c>
      <x:c r="G373" s="22" t="str">
        <x:v>P0214</x:v>
      </x:c>
      <x:c r="H373" s="22" t="n">
        <x:v>7.6</x:v>
      </x:c>
      <x:c r="I373" s="28" t="n">
        <x:v>231460214.9173775</x:v>
      </x:c>
      <x:c r="J373" s="28" t="n">
        <x:f>ROUND(H373*I373,-MAX(0,INT(LOG10(H373*I373))-1))</x:f>
        <x:v>1800000000</x:v>
      </x:c>
      <x:c r="K373" s="28" t="n">
        <x:v>1100000</x:v>
      </x:c>
      <x:c r="L373" s="28" t="n">
        <x:v>1500000</x:v>
      </x:c>
      <x:c r="M373" s="28" t="n">
        <x:v>26000</x:v>
      </x:c>
      <x:c r="N373" s="28" t="n">
        <x:v>22000</x:v>
      </x:c>
      <x:c r="O373" s="28" t="n">
        <x:v>203</x:v>
      </x:c>
      <x:c r="P373" s="28" t="n">
        <x:v>360</x:v>
      </x:c>
      <x:c r="Q373" s="28" t="n">
        <x:v>1600</x:v>
      </x:c>
      <x:c r="R373" s="22"/>
      <x:c r="S373" s="22"/>
      <x:c r="T373" s="22" t="str">
        <x:v>32位有符号内</x:v>
      </x:c>
    </x:row>
    <x:row r="374" ht="24" customHeight="1">
      <x:c r="A374" s="22" t="str">
        <x:v>C07-M017</x:v>
      </x:c>
      <x:c r="B374" s="22" t="n">
        <x:v>7</x:v>
      </x:c>
      <x:c r="C374" s="22" t="str">
        <x:v>永冻荒境</x:v>
      </x:c>
      <x:c r="D374" s="22" t="str">
        <x:v>普通</x:v>
      </x:c>
      <x:c r="E374" s="22" t="str">
        <x:v>永冻霜牙狼</x:v>
      </x:c>
      <x:c r="F374" s="22" t="str">
        <x:v>XX904</x:v>
      </x:c>
      <x:c r="G374" s="22" t="str">
        <x:v>P0214</x:v>
      </x:c>
      <x:c r="H374" s="22" t="n">
        <x:v>7.2</x:v>
      </x:c>
      <x:c r="I374" s="28" t="n">
        <x:v>231460214.9173775</x:v>
      </x:c>
      <x:c r="J374" s="28" t="n">
        <x:f>ROUND(H374*I374,-MAX(0,INT(LOG10(H374*I374))-1))</x:f>
        <x:v>1700000000</x:v>
      </x:c>
      <x:c r="K374" s="28" t="n">
        <x:v>1100000</x:v>
      </x:c>
      <x:c r="L374" s="28" t="n">
        <x:v>1500000</x:v>
      </x:c>
      <x:c r="M374" s="28" t="n">
        <x:v>26000</x:v>
      </x:c>
      <x:c r="N374" s="28" t="n">
        <x:v>22000</x:v>
      </x:c>
      <x:c r="O374" s="28" t="n">
        <x:v>203</x:v>
      </x:c>
      <x:c r="P374" s="28" t="n">
        <x:v>360</x:v>
      </x:c>
      <x:c r="Q374" s="28" t="n">
        <x:v>1600</x:v>
      </x:c>
      <x:c r="R374" s="22"/>
      <x:c r="S374" s="22"/>
      <x:c r="T374" s="22" t="str">
        <x:v>32位有符号内</x:v>
      </x:c>
    </x:row>
    <x:row r="375" ht="24" customHeight="1">
      <x:c r="A375" s="22" t="str">
        <x:v>C07-M018</x:v>
      </x:c>
      <x:c r="B375" s="22" t="n">
        <x:v>7</x:v>
      </x:c>
      <x:c r="C375" s="22" t="str">
        <x:v>永冻荒境</x:v>
      </x:c>
      <x:c r="D375" s="22" t="str">
        <x:v>普通</x:v>
      </x:c>
      <x:c r="E375" s="22" t="str">
        <x:v>旷野寒弓手</x:v>
      </x:c>
      <x:c r="F375" s="22" t="str">
        <x:v>XX906</x:v>
      </x:c>
      <x:c r="G375" s="22" t="str">
        <x:v>P0214</x:v>
      </x:c>
      <x:c r="H375" s="22" t="n">
        <x:v>7.2</x:v>
      </x:c>
      <x:c r="I375" s="28" t="n">
        <x:v>231460214.9173775</x:v>
      </x:c>
      <x:c r="J375" s="28" t="n">
        <x:f>ROUND(H375*I375,-MAX(0,INT(LOG10(H375*I375))-1))</x:f>
        <x:v>1700000000</x:v>
      </x:c>
      <x:c r="K375" s="28" t="n">
        <x:v>1100000</x:v>
      </x:c>
      <x:c r="L375" s="28" t="n">
        <x:v>1500000</x:v>
      </x:c>
      <x:c r="M375" s="28" t="n">
        <x:v>26000</x:v>
      </x:c>
      <x:c r="N375" s="28" t="n">
        <x:v>22000</x:v>
      </x:c>
      <x:c r="O375" s="28" t="n">
        <x:v>203</x:v>
      </x:c>
      <x:c r="P375" s="28" t="n">
        <x:v>360</x:v>
      </x:c>
      <x:c r="Q375" s="28" t="n">
        <x:v>1600</x:v>
      </x:c>
      <x:c r="R375" s="22"/>
      <x:c r="S375" s="22"/>
      <x:c r="T375" s="22" t="str">
        <x:v>32位有符号内</x:v>
      </x:c>
    </x:row>
    <x:row r="376" ht="24" customHeight="1">
      <x:c r="A376" s="22" t="str">
        <x:v>C07-M019</x:v>
      </x:c>
      <x:c r="B376" s="22" t="n">
        <x:v>7</x:v>
      </x:c>
      <x:c r="C376" s="22" t="str">
        <x:v>永冻荒境</x:v>
      </x:c>
      <x:c r="D376" s="22" t="str">
        <x:v>稀有</x:v>
      </x:c>
      <x:c r="E376" s="22" t="str">
        <x:v>荒境冰甲犀</x:v>
      </x:c>
      <x:c r="F376" s="22" t="str">
        <x:v>XX904</x:v>
      </x:c>
      <x:c r="G376" s="22" t="str">
        <x:v>P0214</x:v>
      </x:c>
      <x:c r="H376" s="22" t="n">
        <x:v>24</x:v>
      </x:c>
      <x:c r="I376" s="28" t="n">
        <x:v>217055468.39553756</x:v>
      </x:c>
      <x:c r="J376" s="28" t="n">
        <x:f>ROUND(H376*I376,-MAX(0,INT(LOG10(H376*I376))-1))</x:f>
        <x:v>5200000000</x:v>
      </x:c>
      <x:c r="K376" s="28" t="n">
        <x:v>2100000</x:v>
      </x:c>
      <x:c r="L376" s="28" t="n">
        <x:v>2800000</x:v>
      </x:c>
      <x:c r="M376" s="28" t="n">
        <x:v>51000</x:v>
      </x:c>
      <x:c r="N376" s="28" t="n">
        <x:v>43000</x:v>
      </x:c>
      <x:c r="O376" s="28" t="n">
        <x:v>203</x:v>
      </x:c>
      <x:c r="P376" s="28" t="n">
        <x:v>1100</x:v>
      </x:c>
      <x:c r="Q376" s="28" t="n">
        <x:v>1700</x:v>
      </x:c>
      <x:c r="R376" s="22"/>
      <x:c r="S376" s="22"/>
      <x:c r="T376" s="22" t="str">
        <x:v>64位值核对</x:v>
      </x:c>
    </x:row>
    <x:row r="377" ht="24" customHeight="1">
      <x:c r="A377" s="22" t="str">
        <x:v>C07-M020</x:v>
      </x:c>
      <x:c r="B377" s="22" t="n">
        <x:v>7</x:v>
      </x:c>
      <x:c r="C377" s="22" t="str">
        <x:v>永冻荒境</x:v>
      </x:c>
      <x:c r="D377" s="22" t="str">
        <x:v>稀有</x:v>
      </x:c>
      <x:c r="E377" s="22" t="str">
        <x:v>冰封审判骑</x:v>
      </x:c>
      <x:c r="F377" s="22" t="str">
        <x:v>XX906</x:v>
      </x:c>
      <x:c r="G377" s="22" t="str">
        <x:v>P0214</x:v>
      </x:c>
      <x:c r="H377" s="22" t="n">
        <x:v>27.599999999999998</x:v>
      </x:c>
      <x:c r="I377" s="28" t="n">
        <x:v>217055468.39553756</x:v>
      </x:c>
      <x:c r="J377" s="28" t="n">
        <x:f>ROUND(H377*I377,-MAX(0,INT(LOG10(H377*I377))-1))</x:f>
        <x:v>6000000000</x:v>
      </x:c>
      <x:c r="K377" s="28" t="n">
        <x:v>2100000</x:v>
      </x:c>
      <x:c r="L377" s="28" t="n">
        <x:v>2800000</x:v>
      </x:c>
      <x:c r="M377" s="28" t="n">
        <x:v>51000</x:v>
      </x:c>
      <x:c r="N377" s="28" t="n">
        <x:v>43000</x:v>
      </x:c>
      <x:c r="O377" s="28" t="n">
        <x:v>203</x:v>
      </x:c>
      <x:c r="P377" s="28" t="n">
        <x:v>1100</x:v>
      </x:c>
      <x:c r="Q377" s="28" t="n">
        <x:v>1700</x:v>
      </x:c>
      <x:c r="R377" s="22"/>
      <x:c r="S377" s="22"/>
      <x:c r="T377" s="22" t="str">
        <x:v>64位值核对</x:v>
      </x:c>
    </x:row>
    <x:row r="378" ht="24" customHeight="1">
      <x:c r="A378" s="22" t="str">
        <x:v>C07-M021</x:v>
      </x:c>
      <x:c r="B378" s="22" t="n">
        <x:v>7</x:v>
      </x:c>
      <x:c r="C378" s="22" t="str">
        <x:v>永冻荒境</x:v>
      </x:c>
      <x:c r="D378" s="22" t="str">
        <x:v>稀有</x:v>
      </x:c>
      <x:c r="E378" s="22" t="str">
        <x:v>极昼白翼鹫</x:v>
      </x:c>
      <x:c r="F378" s="22" t="str">
        <x:v>XX907</x:v>
      </x:c>
      <x:c r="G378" s="22" t="str">
        <x:v>P0214</x:v>
      </x:c>
      <x:c r="H378" s="22" t="n">
        <x:v>21.6</x:v>
      </x:c>
      <x:c r="I378" s="28" t="n">
        <x:v>217055468.39553756</x:v>
      </x:c>
      <x:c r="J378" s="28" t="n">
        <x:f>ROUND(H378*I378,-MAX(0,INT(LOG10(H378*I378))-1))</x:f>
        <x:v>4700000000</x:v>
      </x:c>
      <x:c r="K378" s="28" t="n">
        <x:v>2100000</x:v>
      </x:c>
      <x:c r="L378" s="28" t="n">
        <x:v>2800000</x:v>
      </x:c>
      <x:c r="M378" s="28" t="n">
        <x:v>51000</x:v>
      </x:c>
      <x:c r="N378" s="28" t="n">
        <x:v>43000</x:v>
      </x:c>
      <x:c r="O378" s="28" t="n">
        <x:v>203</x:v>
      </x:c>
      <x:c r="P378" s="28" t="n">
        <x:v>1100</x:v>
      </x:c>
      <x:c r="Q378" s="28" t="n">
        <x:v>1700</x:v>
      </x:c>
      <x:c r="R378" s="22"/>
      <x:c r="S378" s="22"/>
      <x:c r="T378" s="22" t="str">
        <x:v>64位值核对</x:v>
      </x:c>
    </x:row>
    <x:row r="379" ht="24" customHeight="1">
      <x:c r="A379" s="22" t="str">
        <x:v>C07-M022</x:v>
      </x:c>
      <x:c r="B379" s="22" t="n">
        <x:v>7</x:v>
      </x:c>
      <x:c r="C379" s="22" t="str">
        <x:v>永冻荒境</x:v>
      </x:c>
      <x:c r="D379" s="22" t="str">
        <x:v>稀有</x:v>
      </x:c>
      <x:c r="E379" s="22" t="str">
        <x:v>圣域默祷师</x:v>
      </x:c>
      <x:c r="F379" s="22" t="str">
        <x:v>XX905</x:v>
      </x:c>
      <x:c r="G379" s="22" t="str">
        <x:v>P0214</x:v>
      </x:c>
      <x:c r="H379" s="22" t="n">
        <x:v>26.400000000000002</x:v>
      </x:c>
      <x:c r="I379" s="28" t="n">
        <x:v>217055468.39553756</x:v>
      </x:c>
      <x:c r="J379" s="28" t="n">
        <x:f>ROUND(H379*I379,-MAX(0,INT(LOG10(H379*I379))-1))</x:f>
        <x:v>5700000000</x:v>
      </x:c>
      <x:c r="K379" s="28" t="n">
        <x:v>2100000</x:v>
      </x:c>
      <x:c r="L379" s="28" t="n">
        <x:v>2800000</x:v>
      </x:c>
      <x:c r="M379" s="28" t="n">
        <x:v>51000</x:v>
      </x:c>
      <x:c r="N379" s="28" t="n">
        <x:v>43000</x:v>
      </x:c>
      <x:c r="O379" s="28" t="n">
        <x:v>203</x:v>
      </x:c>
      <x:c r="P379" s="28" t="n">
        <x:v>1100</x:v>
      </x:c>
      <x:c r="Q379" s="28" t="n">
        <x:v>1700</x:v>
      </x:c>
      <x:c r="R379" s="22"/>
      <x:c r="S379" s="22"/>
      <x:c r="T379" s="22" t="str">
        <x:v>64位值核对</x:v>
      </x:c>
    </x:row>
    <x:row r="380" ht="24" customHeight="1">
      <x:c r="A380" s="22" t="str">
        <x:v>C07-M023</x:v>
      </x:c>
      <x:c r="B380" s="22" t="n">
        <x:v>7</x:v>
      </x:c>
      <x:c r="C380" s="22" t="str">
        <x:v>永冻荒境</x:v>
      </x:c>
      <x:c r="D380" s="22" t="str">
        <x:v>地图BOSS</x:v>
      </x:c>
      <x:c r="E380" s="22" t="str">
        <x:v>极昼雪后·芙蕾</x:v>
      </x:c>
      <x:c r="F380" s="22" t="str">
        <x:v>XX907</x:v>
      </x:c>
      <x:c r="G380" s="22" t="str">
        <x:v>P0221</x:v>
      </x:c>
      <x:c r="H380" s="22" t="n">
        <x:v>82.5</x:v>
      </x:c>
      <x:c r="I380" s="28" t="n">
        <x:v>799436012.8658929</x:v>
      </x:c>
      <x:c r="J380" s="28" t="n">
        <x:f>ROUND(H380*I380,-MAX(0,INT(LOG10(H380*I380))-1))</x:f>
        <x:v>66000000000</x:v>
      </x:c>
      <x:c r="K380" s="28" t="n">
        <x:v>3900000</x:v>
      </x:c>
      <x:c r="L380" s="28" t="n">
        <x:v>5300000</x:v>
      </x:c>
      <x:c r="M380" s="28" t="n">
        <x:v>110000</x:v>
      </x:c>
      <x:c r="N380" s="28" t="n">
        <x:v>94000</x:v>
      </x:c>
      <x:c r="O380" s="28" t="n">
        <x:v>203</x:v>
      </x:c>
      <x:c r="P380" s="28" t="n">
        <x:v>4300</x:v>
      </x:c>
      <x:c r="Q380" s="28" t="n">
        <x:v>1800</x:v>
      </x:c>
      <x:c r="R380" s="22"/>
      <x:c r="S380" s="22"/>
      <x:c r="T380" s="22" t="str">
        <x:v>64位值核对</x:v>
      </x:c>
    </x:row>
    <x:row r="381" ht="24" customHeight="1">
      <x:c r="A381" s="22" t="str">
        <x:v>C07-M024</x:v>
      </x:c>
      <x:c r="B381" s="22" t="n">
        <x:v>7</x:v>
      </x:c>
      <x:c r="C381" s="22" t="str">
        <x:v>永冻荒境</x:v>
      </x:c>
      <x:c r="D381" s="22" t="str">
        <x:v>地图BOSS</x:v>
      </x:c>
      <x:c r="E381" s="22" t="str">
        <x:v>永冻圣兽·乌尔</x:v>
      </x:c>
      <x:c r="F381" s="22" t="str">
        <x:v>XX905</x:v>
      </x:c>
      <x:c r="G381" s="22" t="str">
        <x:v>P0222</x:v>
      </x:c>
      <x:c r="H381" s="22" t="n">
        <x:v>86.25</x:v>
      </x:c>
      <x:c r="I381" s="28" t="n">
        <x:v>799436012.8658929</x:v>
      </x:c>
      <x:c r="J381" s="28" t="n">
        <x:f>ROUND(H381*I381,-MAX(0,INT(LOG10(H381*I381))-1))</x:f>
        <x:v>69000000000</x:v>
      </x:c>
      <x:c r="K381" s="28" t="n">
        <x:v>3900000</x:v>
      </x:c>
      <x:c r="L381" s="28" t="n">
        <x:v>5300000</x:v>
      </x:c>
      <x:c r="M381" s="28" t="n">
        <x:v>110000</x:v>
      </x:c>
      <x:c r="N381" s="28" t="n">
        <x:v>94000</x:v>
      </x:c>
      <x:c r="O381" s="28" t="n">
        <x:v>203</x:v>
      </x:c>
      <x:c r="P381" s="28" t="n">
        <x:v>4300</x:v>
      </x:c>
      <x:c r="Q381" s="28" t="n">
        <x:v>1800</x:v>
      </x:c>
      <x:c r="R381" s="22"/>
      <x:c r="S381" s="22"/>
      <x:c r="T381" s="22" t="str">
        <x:v>64位值核对</x:v>
      </x:c>
    </x:row>
    <x:row r="382" ht="24" customHeight="1">
      <x:c r="A382" s="22" t="str">
        <x:v>C07-M025</x:v>
      </x:c>
      <x:c r="B382" s="22" t="n">
        <x:v>7</x:v>
      </x:c>
      <x:c r="C382" s="22" t="str">
        <x:v>极寒禁域</x:v>
      </x:c>
      <x:c r="D382" s="22" t="str">
        <x:v>普通</x:v>
      </x:c>
      <x:c r="E382" s="22" t="str">
        <x:v>禁域冻喉兽</x:v>
      </x:c>
      <x:c r="F382" s="22" t="str">
        <x:v>XX912</x:v>
      </x:c>
      <x:c r="G382" s="22" t="str">
        <x:v>P0220</x:v>
      </x:c>
      <x:c r="H382" s="22" t="n">
        <x:v>7.6</x:v>
      </x:c>
      <x:c r="I382" s="28" t="n">
        <x:v>270202251.6618748</x:v>
      </x:c>
      <x:c r="J382" s="28" t="n">
        <x:f>ROUND(H382*I382,-MAX(0,INT(LOG10(H382*I382))-1))</x:f>
        <x:v>2100000000</x:v>
      </x:c>
      <x:c r="K382" s="28" t="n">
        <x:v>1000000</x:v>
      </x:c>
      <x:c r="L382" s="28" t="n">
        <x:v>1400000</x:v>
      </x:c>
      <x:c r="M382" s="28" t="n">
        <x:v>29000</x:v>
      </x:c>
      <x:c r="N382" s="28" t="n">
        <x:v>25000</x:v>
      </x:c>
      <x:c r="O382" s="28" t="n">
        <x:v>206</x:v>
      </x:c>
      <x:c r="P382" s="28" t="n">
        <x:v>370</x:v>
      </x:c>
      <x:c r="Q382" s="28" t="n">
        <x:v>1600</x:v>
      </x:c>
      <x:c r="R382" s="22"/>
      <x:c r="S382" s="22"/>
      <x:c r="T382" s="22" t="str">
        <x:v>32位有符号内</x:v>
      </x:c>
    </x:row>
    <x:row r="383" ht="24" customHeight="1">
      <x:c r="A383" s="22" t="str">
        <x:v>C07-M026</x:v>
      </x:c>
      <x:c r="B383" s="22" t="n">
        <x:v>7</x:v>
      </x:c>
      <x:c r="C383" s="22" t="str">
        <x:v>极寒禁域</x:v>
      </x:c>
      <x:c r="D383" s="22" t="str">
        <x:v>普通</x:v>
      </x:c>
      <x:c r="E383" s="22" t="str">
        <x:v>雾界迷途兵</x:v>
      </x:c>
      <x:c r="F383" s="22" t="str">
        <x:v>XX908</x:v>
      </x:c>
      <x:c r="G383" s="22" t="str">
        <x:v>P0220</x:v>
      </x:c>
      <x:c r="H383" s="22" t="n">
        <x:v>7.6</x:v>
      </x:c>
      <x:c r="I383" s="28" t="n">
        <x:v>270202251.6618748</x:v>
      </x:c>
      <x:c r="J383" s="28" t="n">
        <x:f>ROUND(H383*I383,-MAX(0,INT(LOG10(H383*I383))-1))</x:f>
        <x:v>2100000000</x:v>
      </x:c>
      <x:c r="K383" s="28" t="n">
        <x:v>1000000</x:v>
      </x:c>
      <x:c r="L383" s="28" t="n">
        <x:v>1400000</x:v>
      </x:c>
      <x:c r="M383" s="28" t="n">
        <x:v>29000</x:v>
      </x:c>
      <x:c r="N383" s="28" t="n">
        <x:v>25000</x:v>
      </x:c>
      <x:c r="O383" s="28" t="n">
        <x:v>206</x:v>
      </x:c>
      <x:c r="P383" s="28" t="n">
        <x:v>370</x:v>
      </x:c>
      <x:c r="Q383" s="28" t="n">
        <x:v>1600</x:v>
      </x:c>
      <x:c r="R383" s="22"/>
      <x:c r="S383" s="22"/>
      <x:c r="T383" s="22" t="str">
        <x:v>32位有符号内</x:v>
      </x:c>
    </x:row>
    <x:row r="384" ht="24" customHeight="1">
      <x:c r="A384" s="22" t="str">
        <x:v>C07-M027</x:v>
      </x:c>
      <x:c r="B384" s="22" t="n">
        <x:v>7</x:v>
      </x:c>
      <x:c r="C384" s="22" t="str">
        <x:v>极寒禁域</x:v>
      </x:c>
      <x:c r="D384" s="22" t="str">
        <x:v>普通</x:v>
      </x:c>
      <x:c r="E384" s="22" t="str">
        <x:v>寒狱锁链卒</x:v>
      </x:c>
      <x:c r="F384" s="22" t="str">
        <x:v>XX909</x:v>
      </x:c>
      <x:c r="G384" s="22" t="str">
        <x:v>P0220</x:v>
      </x:c>
      <x:c r="H384" s="22" t="n">
        <x:v>8.8</x:v>
      </x:c>
      <x:c r="I384" s="28" t="n">
        <x:v>270202251.6618748</x:v>
      </x:c>
      <x:c r="J384" s="28" t="n">
        <x:f>ROUND(H384*I384,-MAX(0,INT(LOG10(H384*I384))-1))</x:f>
        <x:v>2400000000</x:v>
      </x:c>
      <x:c r="K384" s="28" t="n">
        <x:v>1000000</x:v>
      </x:c>
      <x:c r="L384" s="28" t="n">
        <x:v>1400000</x:v>
      </x:c>
      <x:c r="M384" s="28" t="n">
        <x:v>29000</x:v>
      </x:c>
      <x:c r="N384" s="28" t="n">
        <x:v>25000</x:v>
      </x:c>
      <x:c r="O384" s="28" t="n">
        <x:v>206</x:v>
      </x:c>
      <x:c r="P384" s="28" t="n">
        <x:v>370</x:v>
      </x:c>
      <x:c r="Q384" s="28" t="n">
        <x:v>1600</x:v>
      </x:c>
      <x:c r="R384" s="22"/>
      <x:c r="S384" s="22"/>
      <x:c r="T384" s="22" t="str">
        <x:v>64位值核对</x:v>
      </x:c>
    </x:row>
    <x:row r="385" ht="24" customHeight="1">
      <x:c r="A385" s="22" t="str">
        <x:v>C07-M028</x:v>
      </x:c>
      <x:c r="B385" s="22" t="n">
        <x:v>7</x:v>
      </x:c>
      <x:c r="C385" s="22" t="str">
        <x:v>极寒禁域</x:v>
      </x:c>
      <x:c r="D385" s="22" t="str">
        <x:v>普通</x:v>
      </x:c>
      <x:c r="E385" s="22" t="str">
        <x:v>祭坛守烛女</x:v>
      </x:c>
      <x:c r="F385" s="22" t="str">
        <x:v>XX910</x:v>
      </x:c>
      <x:c r="G385" s="22" t="str">
        <x:v>P0220</x:v>
      </x:c>
      <x:c r="H385" s="22" t="n">
        <x:v>7.2</x:v>
      </x:c>
      <x:c r="I385" s="28" t="n">
        <x:v>270202251.6618748</x:v>
      </x:c>
      <x:c r="J385" s="28" t="n">
        <x:f>ROUND(H385*I385,-MAX(0,INT(LOG10(H385*I385))-1))</x:f>
        <x:v>1900000000</x:v>
      </x:c>
      <x:c r="K385" s="28" t="n">
        <x:v>1000000</x:v>
      </x:c>
      <x:c r="L385" s="28" t="n">
        <x:v>1400000</x:v>
      </x:c>
      <x:c r="M385" s="28" t="n">
        <x:v>29000</x:v>
      </x:c>
      <x:c r="N385" s="28" t="n">
        <x:v>25000</x:v>
      </x:c>
      <x:c r="O385" s="28" t="n">
        <x:v>206</x:v>
      </x:c>
      <x:c r="P385" s="28" t="n">
        <x:v>370</x:v>
      </x:c>
      <x:c r="Q385" s="28" t="n">
        <x:v>1600</x:v>
      </x:c>
      <x:c r="R385" s="22"/>
      <x:c r="S385" s="22"/>
      <x:c r="T385" s="22" t="str">
        <x:v>32位有符号内</x:v>
      </x:c>
    </x:row>
    <x:row r="386" ht="24" customHeight="1">
      <x:c r="A386" s="22" t="str">
        <x:v>C07-M029</x:v>
      </x:c>
      <x:c r="B386" s="22" t="n">
        <x:v>7</x:v>
      </x:c>
      <x:c r="C386" s="22" t="str">
        <x:v>极寒禁域</x:v>
      </x:c>
      <x:c r="D386" s="22" t="str">
        <x:v>普通</x:v>
      </x:c>
      <x:c r="E386" s="22" t="str">
        <x:v>圣所白甲卫</x:v>
      </x:c>
      <x:c r="F386" s="22" t="str">
        <x:v>XX911</x:v>
      </x:c>
      <x:c r="G386" s="22" t="str">
        <x:v>P0220</x:v>
      </x:c>
      <x:c r="H386" s="22" t="n">
        <x:v>7.6</x:v>
      </x:c>
      <x:c r="I386" s="28" t="n">
        <x:v>270202251.6618748</x:v>
      </x:c>
      <x:c r="J386" s="28" t="n">
        <x:f>ROUND(H386*I386,-MAX(0,INT(LOG10(H386*I386))-1))</x:f>
        <x:v>2100000000</x:v>
      </x:c>
      <x:c r="K386" s="28" t="n">
        <x:v>82000</x:v>
      </x:c>
      <x:c r="L386" s="28" t="n">
        <x:v>110000</x:v>
      </x:c>
      <x:c r="M386" s="28" t="n">
        <x:v>29000</x:v>
      </x:c>
      <x:c r="N386" s="28" t="n">
        <x:v>25000</x:v>
      </x:c>
      <x:c r="O386" s="28" t="n">
        <x:v>206</x:v>
      </x:c>
      <x:c r="P386" s="28" t="n">
        <x:v>370</x:v>
      </x:c>
      <x:c r="Q386" s="28" t="n">
        <x:v>1600</x:v>
      </x:c>
      <x:c r="R386" s="22"/>
      <x:c r="S386" s="22"/>
      <x:c r="T386" s="22" t="str">
        <x:v>32位有符号内</x:v>
      </x:c>
    </x:row>
    <x:row r="387" ht="24" customHeight="1">
      <x:c r="A387" s="22" t="str">
        <x:v>C07-M030</x:v>
      </x:c>
      <x:c r="B387" s="22" t="n">
        <x:v>7</x:v>
      </x:c>
      <x:c r="C387" s="22" t="str">
        <x:v>极寒禁域</x:v>
      </x:c>
      <x:c r="D387" s="22" t="str">
        <x:v>普通</x:v>
      </x:c>
      <x:c r="E387" s="22" t="str">
        <x:v>极寒巡界狼</x:v>
      </x:c>
      <x:c r="F387" s="22" t="str">
        <x:v>XX912</x:v>
      </x:c>
      <x:c r="G387" s="22" t="str">
        <x:v>P0220</x:v>
      </x:c>
      <x:c r="H387" s="22" t="n">
        <x:v>7.6</x:v>
      </x:c>
      <x:c r="I387" s="28" t="n">
        <x:v>270202251.6618748</x:v>
      </x:c>
      <x:c r="J387" s="28" t="n">
        <x:f>ROUND(H387*I387,-MAX(0,INT(LOG10(H387*I387))-1))</x:f>
        <x:v>2100000000</x:v>
      </x:c>
      <x:c r="K387" s="28" t="n">
        <x:v>1000000</x:v>
      </x:c>
      <x:c r="L387" s="28" t="n">
        <x:v>1400000</x:v>
      </x:c>
      <x:c r="M387" s="28" t="n">
        <x:v>29000</x:v>
      </x:c>
      <x:c r="N387" s="28" t="n">
        <x:v>25000</x:v>
      </x:c>
      <x:c r="O387" s="28" t="n">
        <x:v>206</x:v>
      </x:c>
      <x:c r="P387" s="28" t="n">
        <x:v>370</x:v>
      </x:c>
      <x:c r="Q387" s="28" t="n">
        <x:v>1600</x:v>
      </x:c>
      <x:c r="R387" s="22"/>
      <x:c r="S387" s="22"/>
      <x:c r="T387" s="22" t="str">
        <x:v>32位有符号内</x:v>
      </x:c>
    </x:row>
    <x:row r="388" ht="24" customHeight="1">
      <x:c r="A388" s="22" t="str">
        <x:v>C07-M031</x:v>
      </x:c>
      <x:c r="B388" s="22" t="n">
        <x:v>7</x:v>
      </x:c>
      <x:c r="C388" s="22" t="str">
        <x:v>极寒禁域</x:v>
      </x:c>
      <x:c r="D388" s="22" t="str">
        <x:v>稀有</x:v>
      </x:c>
      <x:c r="E388" s="22" t="str">
        <x:v>冻雾幻刃客</x:v>
      </x:c>
      <x:c r="F388" s="22" t="str">
        <x:v>XX908</x:v>
      </x:c>
      <x:c r="G388" s="22" t="str">
        <x:v>P0220</x:v>
      </x:c>
      <x:c r="H388" s="22" t="n">
        <x:v>22.799999999999997</x:v>
      </x:c>
      <x:c r="I388" s="28" t="n">
        <x:v>253376333.5086616</x:v>
      </x:c>
      <x:c r="J388" s="28" t="n">
        <x:f>ROUND(H388*I388,-MAX(0,INT(LOG10(H388*I388))-1))</x:f>
        <x:v>5800000000</x:v>
      </x:c>
      <x:c r="K388" s="28" t="n">
        <x:v>1900000</x:v>
      </x:c>
      <x:c r="L388" s="28" t="n">
        <x:v>2600000</x:v>
      </x:c>
      <x:c r="M388" s="28" t="n">
        <x:v>57000</x:v>
      </x:c>
      <x:c r="N388" s="28" t="n">
        <x:v>48000</x:v>
      </x:c>
      <x:c r="O388" s="28" t="n">
        <x:v>206</x:v>
      </x:c>
      <x:c r="P388" s="28" t="n">
        <x:v>1100</x:v>
      </x:c>
      <x:c r="Q388" s="28" t="n">
        <x:v>1700</x:v>
      </x:c>
      <x:c r="R388" s="22"/>
      <x:c r="S388" s="22"/>
      <x:c r="T388" s="22" t="str">
        <x:v>64位值核对</x:v>
      </x:c>
    </x:row>
    <x:row r="389" ht="24" customHeight="1">
      <x:c r="A389" s="22" t="str">
        <x:v>C07-M032</x:v>
      </x:c>
      <x:c r="B389" s="22" t="n">
        <x:v>7</x:v>
      </x:c>
      <x:c r="C389" s="22" t="str">
        <x:v>极寒禁域</x:v>
      </x:c>
      <x:c r="D389" s="22" t="str">
        <x:v>稀有</x:v>
      </x:c>
      <x:c r="E389" s="22" t="str">
        <x:v>寒狱冰骨将</x:v>
      </x:c>
      <x:c r="F389" s="22" t="str">
        <x:v>XX909</x:v>
      </x:c>
      <x:c r="G389" s="22" t="str">
        <x:v>P0220</x:v>
      </x:c>
      <x:c r="H389" s="22" t="n">
        <x:v>26.400000000000002</x:v>
      </x:c>
      <x:c r="I389" s="28" t="n">
        <x:v>253376333.5086616</x:v>
      </x:c>
      <x:c r="J389" s="28" t="n">
        <x:f>ROUND(H389*I389,-MAX(0,INT(LOG10(H389*I389))-1))</x:f>
        <x:v>6700000000</x:v>
      </x:c>
      <x:c r="K389" s="28" t="n">
        <x:v>1900000</x:v>
      </x:c>
      <x:c r="L389" s="28" t="n">
        <x:v>2600000</x:v>
      </x:c>
      <x:c r="M389" s="28" t="n">
        <x:v>57000</x:v>
      </x:c>
      <x:c r="N389" s="28" t="n">
        <x:v>48000</x:v>
      </x:c>
      <x:c r="O389" s="28" t="n">
        <x:v>206</x:v>
      </x:c>
      <x:c r="P389" s="28" t="n">
        <x:v>1100</x:v>
      </x:c>
      <x:c r="Q389" s="28" t="n">
        <x:v>1700</x:v>
      </x:c>
      <x:c r="R389" s="22"/>
      <x:c r="S389" s="22"/>
      <x:c r="T389" s="22" t="str">
        <x:v>64位值核对</x:v>
      </x:c>
    </x:row>
    <x:row r="390" ht="24" customHeight="1">
      <x:c r="A390" s="22" t="str">
        <x:v>C07-M033</x:v>
      </x:c>
      <x:c r="B390" s="22" t="n">
        <x:v>7</x:v>
      </x:c>
      <x:c r="C390" s="22" t="str">
        <x:v>极寒禁域</x:v>
      </x:c>
      <x:c r="D390" s="22" t="str">
        <x:v>稀有</x:v>
      </x:c>
      <x:c r="E390" s="22" t="str">
        <x:v>祭坛霜钟僧</x:v>
      </x:c>
      <x:c r="F390" s="22" t="str">
        <x:v>XX910</x:v>
      </x:c>
      <x:c r="G390" s="22" t="str">
        <x:v>P0220</x:v>
      </x:c>
      <x:c r="H390" s="22" t="n">
        <x:v>21.6</x:v>
      </x:c>
      <x:c r="I390" s="28" t="n">
        <x:v>253376333.5086616</x:v>
      </x:c>
      <x:c r="J390" s="28" t="n">
        <x:f>ROUND(H390*I390,-MAX(0,INT(LOG10(H390*I390))-1))</x:f>
        <x:v>5500000000</x:v>
      </x:c>
      <x:c r="K390" s="28" t="n">
        <x:v>1900000</x:v>
      </x:c>
      <x:c r="L390" s="28" t="n">
        <x:v>2600000</x:v>
      </x:c>
      <x:c r="M390" s="28" t="n">
        <x:v>57000</x:v>
      </x:c>
      <x:c r="N390" s="28" t="n">
        <x:v>48000</x:v>
      </x:c>
      <x:c r="O390" s="28" t="n">
        <x:v>206</x:v>
      </x:c>
      <x:c r="P390" s="28" t="n">
        <x:v>1100</x:v>
      </x:c>
      <x:c r="Q390" s="28" t="n">
        <x:v>1700</x:v>
      </x:c>
      <x:c r="R390" s="22"/>
      <x:c r="S390" s="22"/>
      <x:c r="T390" s="22" t="str">
        <x:v>64位值核对</x:v>
      </x:c>
    </x:row>
    <x:row r="391" ht="24" customHeight="1">
      <x:c r="A391" s="22" t="str">
        <x:v>C07-M034</x:v>
      </x:c>
      <x:c r="B391" s="22" t="n">
        <x:v>7</x:v>
      </x:c>
      <x:c r="C391" s="22" t="str">
        <x:v>极寒禁域</x:v>
      </x:c>
      <x:c r="D391" s="22" t="str">
        <x:v>稀有</x:v>
      </x:c>
      <x:c r="E391" s="22" t="str">
        <x:v>圣所银角兽</x:v>
      </x:c>
      <x:c r="F391" s="22" t="str">
        <x:v>XX911</x:v>
      </x:c>
      <x:c r="G391" s="22" t="str">
        <x:v>P0220</x:v>
      </x:c>
      <x:c r="H391" s="22" t="n">
        <x:v>21.6</x:v>
      </x:c>
      <x:c r="I391" s="28" t="n">
        <x:v>253376333.5086616</x:v>
      </x:c>
      <x:c r="J391" s="28" t="n">
        <x:f>ROUND(H391*I391,-MAX(0,INT(LOG10(H391*I391))-1))</x:f>
        <x:v>5500000000</x:v>
      </x:c>
      <x:c r="K391" s="28" t="n">
        <x:v>150000</x:v>
      </x:c>
      <x:c r="L391" s="28" t="n">
        <x:v>210000</x:v>
      </x:c>
      <x:c r="M391" s="28" t="n">
        <x:v>57000</x:v>
      </x:c>
      <x:c r="N391" s="28" t="n">
        <x:v>48000</x:v>
      </x:c>
      <x:c r="O391" s="28" t="n">
        <x:v>206</x:v>
      </x:c>
      <x:c r="P391" s="28" t="n">
        <x:v>1100</x:v>
      </x:c>
      <x:c r="Q391" s="28" t="n">
        <x:v>1700</x:v>
      </x:c>
      <x:c r="R391" s="22"/>
      <x:c r="S391" s="22"/>
      <x:c r="T391" s="22" t="str">
        <x:v>64位值核对</x:v>
      </x:c>
    </x:row>
    <x:row r="392" ht="24" customHeight="1">
      <x:c r="A392" s="22" t="str">
        <x:v>C07-M035</x:v>
      </x:c>
      <x:c r="B392" s="22" t="n">
        <x:v>7</x:v>
      </x:c>
      <x:c r="C392" s="22" t="str">
        <x:v>极寒禁域</x:v>
      </x:c>
      <x:c r="D392" s="22" t="str">
        <x:v>地图BOSS</x:v>
      </x:c>
      <x:c r="E392" s="22" t="str">
        <x:v>冰祭审判者·诺薇</x:v>
      </x:c>
      <x:c r="F392" s="22" t="str">
        <x:v>XX910</x:v>
      </x:c>
      <x:c r="G392" s="22" t="str">
        <x:v>P0227</x:v>
      </x:c>
      <x:c r="H392" s="22" t="n">
        <x:v>82.5</x:v>
      </x:c>
      <x:c r="I392" s="28" t="n">
        <x:v>877305850.3920302</x:v>
      </x:c>
      <x:c r="J392" s="28" t="n">
        <x:f>ROUND(H392*I392,-MAX(0,INT(LOG10(H392*I392))-1))</x:f>
        <x:v>72000000000</x:v>
      </x:c>
      <x:c r="K392" s="28" t="n">
        <x:v>3500000</x:v>
      </x:c>
      <x:c r="L392" s="28" t="n">
        <x:v>4700000</x:v>
      </x:c>
      <x:c r="M392" s="28" t="n">
        <x:v>110000</x:v>
      </x:c>
      <x:c r="N392" s="28" t="n">
        <x:v>94000</x:v>
      </x:c>
      <x:c r="O392" s="28" t="n">
        <x:v>206</x:v>
      </x:c>
      <x:c r="P392" s="28" t="n">
        <x:v>4400</x:v>
      </x:c>
      <x:c r="Q392" s="28" t="n">
        <x:v>1800</x:v>
      </x:c>
      <x:c r="R392" s="22"/>
      <x:c r="S392" s="22"/>
      <x:c r="T392" s="22" t="str">
        <x:v>64位值核对</x:v>
      </x:c>
    </x:row>
    <x:row r="393" ht="24" customHeight="1">
      <x:c r="A393" s="22" t="str">
        <x:v>C07-M036</x:v>
      </x:c>
      <x:c r="B393" s="22" t="n">
        <x:v>7</x:v>
      </x:c>
      <x:c r="C393" s="22" t="str">
        <x:v>极寒禁域</x:v>
      </x:c>
      <x:c r="D393" s="22" t="str">
        <x:v>地图BOSS</x:v>
      </x:c>
      <x:c r="E393" s="22" t="str">
        <x:v>极寒圣女·希尔达</x:v>
      </x:c>
      <x:c r="F393" s="22" t="str">
        <x:v>XX911</x:v>
      </x:c>
      <x:c r="G393" s="22" t="str">
        <x:v>P0228</x:v>
      </x:c>
      <x:c r="H393" s="22" t="n">
        <x:v>75</x:v>
      </x:c>
      <x:c r="I393" s="28" t="n">
        <x:v>316509381.6420245</x:v>
      </x:c>
      <x:c r="J393" s="28" t="n">
        <x:f>ROUND(H393*I393,-MAX(0,INT(LOG10(H393*I393))-1))</x:f>
        <x:v>24000000000</x:v>
      </x:c>
      <x:c r="K393" s="28" t="n">
        <x:v>270000</x:v>
      </x:c>
      <x:c r="L393" s="28" t="n">
        <x:v>370000</x:v>
      </x:c>
      <x:c r="M393" s="28" t="n">
        <x:v>110000</x:v>
      </x:c>
      <x:c r="N393" s="28" t="n">
        <x:v>94000</x:v>
      </x:c>
      <x:c r="O393" s="28" t="n">
        <x:v>206</x:v>
      </x:c>
      <x:c r="P393" s="28" t="n">
        <x:v>4400</x:v>
      </x:c>
      <x:c r="Q393" s="28" t="n">
        <x:v>1800</x:v>
      </x:c>
      <x:c r="R393" s="22"/>
      <x:c r="S393" s="22"/>
      <x:c r="T393" s="22" t="str">
        <x:v>64位值核对</x:v>
      </x:c>
    </x:row>
    <x:row r="394" ht="24" customHeight="1">
      <x:c r="A394" s="22" t="str">
        <x:v>C07-M037</x:v>
      </x:c>
      <x:c r="B394" s="22" t="n">
        <x:v>7</x:v>
      </x:c>
      <x:c r="C394" s="22" t="str">
        <x:v>极寒禁域</x:v>
      </x:c>
      <x:c r="D394" s="22" t="str">
        <x:v>守关BOSS</x:v>
      </x:c>
      <x:c r="E394" s="22" t="str">
        <x:v>化圣霜王·埃琉斯</x:v>
      </x:c>
      <x:c r="F394" s="22" t="str">
        <x:v>XX911</x:v>
      </x:c>
      <x:c r="G394" s="22" t="str">
        <x:v>P0232</x:v>
      </x:c>
      <x:c r="H394" s="22" t="n">
        <x:v>300</x:v>
      </x:c>
      <x:c r="I394" s="28" t="n">
        <x:v>2316357569.896847</x:v>
      </x:c>
      <x:c r="J394" s="28" t="n">
        <x:f>ROUND(H394*I394,-MAX(0,INT(LOG10(H394*I394))-1))</x:f>
        <x:v>690000000000</x:v>
      </x:c>
      <x:c r="K394" s="28" t="n">
        <x:v>6600000</x:v>
      </x:c>
      <x:c r="L394" s="28" t="n">
        <x:v>9000000</x:v>
      </x:c>
      <x:c r="M394" s="28" t="n">
        <x:v>170000</x:v>
      </x:c>
      <x:c r="N394" s="28" t="n">
        <x:v>140000</x:v>
      </x:c>
      <x:c r="O394" s="28" t="n">
        <x:v>206</x:v>
      </x:c>
      <x:c r="P394" s="28" t="n">
        <x:v>11000</x:v>
      </x:c>
      <x:c r="Q394" s="28" t="n">
        <x:v>2000</x:v>
      </x:c>
      <x:c r="R394" s="22"/>
      <x:c r="S394" s="22"/>
      <x:c r="T394" s="22" t="str">
        <x:v>64位值核对</x:v>
      </x:c>
    </x:row>
    <x:row r="395" ht="24" customHeight="1">
      <x:c r="A395" s="22" t="str">
        <x:v>C08-M001</x:v>
      </x:c>
      <x:c r="B395" s="22" t="n">
        <x:v>8</x:v>
      </x:c>
      <x:c r="C395" s="22" t="str">
        <x:v>寒霜山径</x:v>
      </x:c>
      <x:c r="D395" s="22" t="str">
        <x:v>普通</x:v>
      </x:c>
      <x:c r="E395" s="22" t="str">
        <x:v>霜蹄岩羊</x:v>
      </x:c>
      <x:c r="F395" s="22" t="str">
        <x:v>XX900</x:v>
      </x:c>
      <x:c r="G395" s="22" t="str">
        <x:v>P0237</x:v>
      </x:c>
      <x:c r="H395" s="22" t="n">
        <x:v>7.2</x:v>
      </x:c>
      <x:c r="I395" s="28" t="n">
        <x:v>999580320.4210352</x:v>
      </x:c>
      <x:c r="J395" s="28" t="n">
        <x:f>ROUND(H395*I395,-MAX(0,INT(LOG10(H395*I395))-1))</x:f>
        <x:v>7200000000</x:v>
      </x:c>
      <x:c r="K395" s="28" t="n">
        <x:v>1700000</x:v>
      </x:c>
      <x:c r="L395" s="28" t="n">
        <x:v>2300000</x:v>
      </x:c>
      <x:c r="M395" s="28" t="n">
        <x:v>47000</x:v>
      </x:c>
      <x:c r="N395" s="28" t="n">
        <x:v>40000</x:v>
      </x:c>
      <x:c r="O395" s="28" t="n">
        <x:v>230</x:v>
      </x:c>
      <x:c r="P395" s="28" t="n">
        <x:v>380</x:v>
      </x:c>
      <x:c r="Q395" s="28" t="n">
        <x:v>1600</x:v>
      </x:c>
      <x:c r="R395" s="22"/>
      <x:c r="S395" s="22"/>
      <x:c r="T395" s="22" t="str">
        <x:v>64位值核对</x:v>
      </x:c>
    </x:row>
    <x:row r="396" ht="24" customHeight="1">
      <x:c r="A396" s="22" t="str">
        <x:v>C08-M002</x:v>
      </x:c>
      <x:c r="B396" s="22" t="n">
        <x:v>8</x:v>
      </x:c>
      <x:c r="C396" s="22" t="str">
        <x:v>寒霜山径</x:v>
      </x:c>
      <x:c r="D396" s="22" t="str">
        <x:v>普通</x:v>
      </x:c>
      <x:c r="E396" s="22" t="str">
        <x:v>背冰拾荒者</x:v>
      </x:c>
      <x:c r="F396" s="22" t="str">
        <x:v>XX900</x:v>
      </x:c>
      <x:c r="G396" s="22" t="str">
        <x:v>P0237</x:v>
      </x:c>
      <x:c r="H396" s="22" t="n">
        <x:v>7.6</x:v>
      </x:c>
      <x:c r="I396" s="28" t="n">
        <x:v>999580320.4210352</x:v>
      </x:c>
      <x:c r="J396" s="28" t="n">
        <x:f>ROUND(H396*I396,-MAX(0,INT(LOG10(H396*I396))-1))</x:f>
        <x:v>7600000000</x:v>
      </x:c>
      <x:c r="K396" s="28" t="n">
        <x:v>1700000</x:v>
      </x:c>
      <x:c r="L396" s="28" t="n">
        <x:v>2300000</x:v>
      </x:c>
      <x:c r="M396" s="28" t="n">
        <x:v>47000</x:v>
      </x:c>
      <x:c r="N396" s="28" t="n">
        <x:v>40000</x:v>
      </x:c>
      <x:c r="O396" s="28" t="n">
        <x:v>230</x:v>
      </x:c>
      <x:c r="P396" s="28" t="n">
        <x:v>380</x:v>
      </x:c>
      <x:c r="Q396" s="28" t="n">
        <x:v>1600</x:v>
      </x:c>
      <x:c r="R396" s="22"/>
      <x:c r="S396" s="22"/>
      <x:c r="T396" s="22" t="str">
        <x:v>64位值核对</x:v>
      </x:c>
    </x:row>
    <x:row r="397" ht="24" customHeight="1">
      <x:c r="A397" s="22" t="str">
        <x:v>C08-M003</x:v>
      </x:c>
      <x:c r="B397" s="22" t="n">
        <x:v>8</x:v>
      </x:c>
      <x:c r="C397" s="22" t="str">
        <x:v>寒霜山径</x:v>
      </x:c>
      <x:c r="D397" s="22" t="str">
        <x:v>普通</x:v>
      </x:c>
      <x:c r="E397" s="22" t="str">
        <x:v>冰脊雪猿</x:v>
      </x:c>
      <x:c r="F397" s="22" t="str">
        <x:v>XX901</x:v>
      </x:c>
      <x:c r="G397" s="22" t="str">
        <x:v>P0237</x:v>
      </x:c>
      <x:c r="H397" s="22" t="n">
        <x:v>9.2</x:v>
      </x:c>
      <x:c r="I397" s="28" t="n">
        <x:v>999580320.4210352</x:v>
      </x:c>
      <x:c r="J397" s="28" t="n">
        <x:f>ROUND(H397*I397,-MAX(0,INT(LOG10(H397*I397))-1))</x:f>
        <x:v>9200000000</x:v>
      </x:c>
      <x:c r="K397" s="28" t="n">
        <x:v>1700000</x:v>
      </x:c>
      <x:c r="L397" s="28" t="n">
        <x:v>2300000</x:v>
      </x:c>
      <x:c r="M397" s="28" t="n">
        <x:v>47000</x:v>
      </x:c>
      <x:c r="N397" s="28" t="n">
        <x:v>40000</x:v>
      </x:c>
      <x:c r="O397" s="28" t="n">
        <x:v>230</x:v>
      </x:c>
      <x:c r="P397" s="28" t="n">
        <x:v>380</x:v>
      </x:c>
      <x:c r="Q397" s="28" t="n">
        <x:v>1600</x:v>
      </x:c>
      <x:c r="R397" s="22"/>
      <x:c r="S397" s="22"/>
      <x:c r="T397" s="22" t="str">
        <x:v>64位值核对</x:v>
      </x:c>
    </x:row>
    <x:row r="398" ht="24" customHeight="1">
      <x:c r="A398" s="22" t="str">
        <x:v>C08-M004</x:v>
      </x:c>
      <x:c r="B398" s="22" t="n">
        <x:v>8</x:v>
      </x:c>
      <x:c r="C398" s="22" t="str">
        <x:v>寒霜山径</x:v>
      </x:c>
      <x:c r="D398" s="22" t="str">
        <x:v>普通</x:v>
      </x:c>
      <x:c r="E398" s="22" t="str">
        <x:v>古道冻骸</x:v>
      </x:c>
      <x:c r="F398" s="22" t="str">
        <x:v>XX901</x:v>
      </x:c>
      <x:c r="G398" s="22" t="str">
        <x:v>P0237</x:v>
      </x:c>
      <x:c r="H398" s="22" t="n">
        <x:v>9.2</x:v>
      </x:c>
      <x:c r="I398" s="28" t="n">
        <x:v>999580320.4210352</x:v>
      </x:c>
      <x:c r="J398" s="28" t="n">
        <x:f>ROUND(H398*I398,-MAX(0,INT(LOG10(H398*I398))-1))</x:f>
        <x:v>9200000000</x:v>
      </x:c>
      <x:c r="K398" s="28" t="n">
        <x:v>1700000</x:v>
      </x:c>
      <x:c r="L398" s="28" t="n">
        <x:v>2300000</x:v>
      </x:c>
      <x:c r="M398" s="28" t="n">
        <x:v>47000</x:v>
      </x:c>
      <x:c r="N398" s="28" t="n">
        <x:v>40000</x:v>
      </x:c>
      <x:c r="O398" s="28" t="n">
        <x:v>230</x:v>
      </x:c>
      <x:c r="P398" s="28" t="n">
        <x:v>380</x:v>
      </x:c>
      <x:c r="Q398" s="28" t="n">
        <x:v>1600</x:v>
      </x:c>
      <x:c r="R398" s="22"/>
      <x:c r="S398" s="22"/>
      <x:c r="T398" s="22" t="str">
        <x:v>64位值核对</x:v>
      </x:c>
    </x:row>
    <x:row r="399" ht="24" customHeight="1">
      <x:c r="A399" s="22" t="str">
        <x:v>C08-M005</x:v>
      </x:c>
      <x:c r="B399" s="22" t="n">
        <x:v>8</x:v>
      </x:c>
      <x:c r="C399" s="22" t="str">
        <x:v>寒霜山径</x:v>
      </x:c>
      <x:c r="D399" s="22" t="str">
        <x:v>普通</x:v>
      </x:c>
      <x:c r="E399" s="22" t="str">
        <x:v>暴雪青隼</x:v>
      </x:c>
      <x:c r="F399" s="22" t="str">
        <x:v>XX902</x:v>
      </x:c>
      <x:c r="G399" s="22" t="str">
        <x:v>P0237</x:v>
      </x:c>
      <x:c r="H399" s="22" t="n">
        <x:v>7.6</x:v>
      </x:c>
      <x:c r="I399" s="28" t="n">
        <x:v>999580320.4210352</x:v>
      </x:c>
      <x:c r="J399" s="28" t="n">
        <x:f>ROUND(H399*I399,-MAX(0,INT(LOG10(H399*I399))-1))</x:f>
        <x:v>7600000000</x:v>
      </x:c>
      <x:c r="K399" s="28" t="n">
        <x:v>1700000</x:v>
      </x:c>
      <x:c r="L399" s="28" t="n">
        <x:v>2300000</x:v>
      </x:c>
      <x:c r="M399" s="28" t="n">
        <x:v>47000</x:v>
      </x:c>
      <x:c r="N399" s="28" t="n">
        <x:v>40000</x:v>
      </x:c>
      <x:c r="O399" s="28" t="n">
        <x:v>230</x:v>
      </x:c>
      <x:c r="P399" s="28" t="n">
        <x:v>380</x:v>
      </x:c>
      <x:c r="Q399" s="28" t="n">
        <x:v>1600</x:v>
      </x:c>
      <x:c r="R399" s="22"/>
      <x:c r="S399" s="22"/>
      <x:c r="T399" s="22" t="str">
        <x:v>64位值核对</x:v>
      </x:c>
    </x:row>
    <x:row r="400" ht="24" customHeight="1">
      <x:c r="A400" s="22" t="str">
        <x:v>C08-M006</x:v>
      </x:c>
      <x:c r="B400" s="22" t="n">
        <x:v>8</x:v>
      </x:c>
      <x:c r="C400" s="22" t="str">
        <x:v>寒霜山径</x:v>
      </x:c>
      <x:c r="D400" s="22" t="str">
        <x:v>普通</x:v>
      </x:c>
      <x:c r="E400" s="22" t="str">
        <x:v>祭台霜烛灵</x:v>
      </x:c>
      <x:c r="F400" s="22" t="str">
        <x:v>XX903</x:v>
      </x:c>
      <x:c r="G400" s="22" t="str">
        <x:v>P0237</x:v>
      </x:c>
      <x:c r="H400" s="22" t="n">
        <x:v>9.2</x:v>
      </x:c>
      <x:c r="I400" s="28" t="n">
        <x:v>999580320.4210352</x:v>
      </x:c>
      <x:c r="J400" s="28" t="n">
        <x:f>ROUND(H400*I400,-MAX(0,INT(LOG10(H400*I400))-1))</x:f>
        <x:v>9200000000</x:v>
      </x:c>
      <x:c r="K400" s="28" t="n">
        <x:v>1700000</x:v>
      </x:c>
      <x:c r="L400" s="28" t="n">
        <x:v>2300000</x:v>
      </x:c>
      <x:c r="M400" s="28" t="n">
        <x:v>47000</x:v>
      </x:c>
      <x:c r="N400" s="28" t="n">
        <x:v>40000</x:v>
      </x:c>
      <x:c r="O400" s="28" t="n">
        <x:v>230</x:v>
      </x:c>
      <x:c r="P400" s="28" t="n">
        <x:v>380</x:v>
      </x:c>
      <x:c r="Q400" s="28" t="n">
        <x:v>1600</x:v>
      </x:c>
      <x:c r="R400" s="22"/>
      <x:c r="S400" s="22"/>
      <x:c r="T400" s="22" t="str">
        <x:v>64位值核对</x:v>
      </x:c>
    </x:row>
    <x:row r="401" ht="24" customHeight="1">
      <x:c r="A401" s="22" t="str">
        <x:v>C08-M007</x:v>
      </x:c>
      <x:c r="B401" s="22" t="n">
        <x:v>8</x:v>
      </x:c>
      <x:c r="C401" s="22" t="str">
        <x:v>寒霜山径</x:v>
      </x:c>
      <x:c r="D401" s="22" t="str">
        <x:v>稀有</x:v>
      </x:c>
      <x:c r="E401" s="22" t="str">
        <x:v>雾凇引路人</x:v>
      </x:c>
      <x:c r="F401" s="22" t="str">
        <x:v>XX900</x:v>
      </x:c>
      <x:c r="G401" s="22" t="str">
        <x:v>P0237</x:v>
      </x:c>
      <x:c r="H401" s="22" t="n">
        <x:v>24</x:v>
      </x:c>
      <x:c r="I401" s="28" t="n">
        <x:v>935009823.6121305</x:v>
      </x:c>
      <x:c r="J401" s="28" t="n">
        <x:f>ROUND(H401*I401,-MAX(0,INT(LOG10(H401*I401))-1))</x:f>
        <x:v>22000000000</x:v>
      </x:c>
      <x:c r="K401" s="28" t="n">
        <x:v>3100000</x:v>
      </x:c>
      <x:c r="L401" s="28" t="n">
        <x:v>4200000</x:v>
      </x:c>
      <x:c r="M401" s="28" t="n">
        <x:v>95000</x:v>
      </x:c>
      <x:c r="N401" s="28" t="n">
        <x:v>81000</x:v>
      </x:c>
      <x:c r="O401" s="28" t="n">
        <x:v>230</x:v>
      </x:c>
      <x:c r="P401" s="28" t="n">
        <x:v>1100</x:v>
      </x:c>
      <x:c r="Q401" s="28" t="n">
        <x:v>1700</x:v>
      </x:c>
      <x:c r="R401" s="22"/>
      <x:c r="S401" s="22"/>
      <x:c r="T401" s="22" t="str">
        <x:v>64位值核对</x:v>
      </x:c>
    </x:row>
    <x:row r="402" ht="24" customHeight="1">
      <x:c r="A402" s="22" t="str">
        <x:v>C08-M008</x:v>
      </x:c>
      <x:c r="B402" s="22" t="n">
        <x:v>8</x:v>
      </x:c>
      <x:c r="C402" s="22" t="str">
        <x:v>寒霜山径</x:v>
      </x:c>
      <x:c r="D402" s="22" t="str">
        <x:v>稀有</x:v>
      </x:c>
      <x:c r="E402" s="22" t="str">
        <x:v>冰脊驮碑兽</x:v>
      </x:c>
      <x:c r="F402" s="22" t="str">
        <x:v>XX901</x:v>
      </x:c>
      <x:c r="G402" s="22" t="str">
        <x:v>P0237</x:v>
      </x:c>
      <x:c r="H402" s="22" t="n">
        <x:v>22.799999999999997</x:v>
      </x:c>
      <x:c r="I402" s="28" t="n">
        <x:v>935009823.6121305</x:v>
      </x:c>
      <x:c r="J402" s="28" t="n">
        <x:f>ROUND(H402*I402,-MAX(0,INT(LOG10(H402*I402))-1))</x:f>
        <x:v>21000000000</x:v>
      </x:c>
      <x:c r="K402" s="28" t="n">
        <x:v>3100000</x:v>
      </x:c>
      <x:c r="L402" s="28" t="n">
        <x:v>4200000</x:v>
      </x:c>
      <x:c r="M402" s="28" t="n">
        <x:v>95000</x:v>
      </x:c>
      <x:c r="N402" s="28" t="n">
        <x:v>81000</x:v>
      </x:c>
      <x:c r="O402" s="28" t="n">
        <x:v>230</x:v>
      </x:c>
      <x:c r="P402" s="28" t="n">
        <x:v>1100</x:v>
      </x:c>
      <x:c r="Q402" s="28" t="n">
        <x:v>1700</x:v>
      </x:c>
      <x:c r="R402" s="22"/>
      <x:c r="S402" s="22"/>
      <x:c r="T402" s="22" t="str">
        <x:v>64位值核对</x:v>
      </x:c>
    </x:row>
    <x:row r="403" ht="24" customHeight="1">
      <x:c r="A403" s="22" t="str">
        <x:v>C08-M009</x:v>
      </x:c>
      <x:c r="B403" s="22" t="n">
        <x:v>8</x:v>
      </x:c>
      <x:c r="C403" s="22" t="str">
        <x:v>寒霜山径</x:v>
      </x:c>
      <x:c r="D403" s="22" t="str">
        <x:v>稀有</x:v>
      </x:c>
      <x:c r="E403" s="22" t="str">
        <x:v>啸峰白魈</x:v>
      </x:c>
      <x:c r="F403" s="22" t="str">
        <x:v>XX902</x:v>
      </x:c>
      <x:c r="G403" s="22" t="str">
        <x:v>P0237</x:v>
      </x:c>
      <x:c r="H403" s="22" t="n">
        <x:v>24</x:v>
      </x:c>
      <x:c r="I403" s="28" t="n">
        <x:v>935009823.6121305</x:v>
      </x:c>
      <x:c r="J403" s="28" t="n">
        <x:f>ROUND(H403*I403,-MAX(0,INT(LOG10(H403*I403))-1))</x:f>
        <x:v>22000000000</x:v>
      </x:c>
      <x:c r="K403" s="28" t="n">
        <x:v>3100000</x:v>
      </x:c>
      <x:c r="L403" s="28" t="n">
        <x:v>4200000</x:v>
      </x:c>
      <x:c r="M403" s="28" t="n">
        <x:v>95000</x:v>
      </x:c>
      <x:c r="N403" s="28" t="n">
        <x:v>81000</x:v>
      </x:c>
      <x:c r="O403" s="28" t="n">
        <x:v>230</x:v>
      </x:c>
      <x:c r="P403" s="28" t="n">
        <x:v>1100</x:v>
      </x:c>
      <x:c r="Q403" s="28" t="n">
        <x:v>1700</x:v>
      </x:c>
      <x:c r="R403" s="22"/>
      <x:c r="S403" s="22"/>
      <x:c r="T403" s="22" t="str">
        <x:v>64位值核对</x:v>
      </x:c>
    </x:row>
    <x:row r="404" ht="24" customHeight="1">
      <x:c r="A404" s="22" t="str">
        <x:v>C08-M010</x:v>
      </x:c>
      <x:c r="B404" s="22" t="n">
        <x:v>8</x:v>
      </x:c>
      <x:c r="C404" s="22" t="str">
        <x:v>寒霜山径</x:v>
      </x:c>
      <x:c r="D404" s="22" t="str">
        <x:v>稀有</x:v>
      </x:c>
      <x:c r="E404" s="22" t="str">
        <x:v>祭台封誓者</x:v>
      </x:c>
      <x:c r="F404" s="22" t="str">
        <x:v>XX903</x:v>
      </x:c>
      <x:c r="G404" s="22" t="str">
        <x:v>P0237</x:v>
      </x:c>
      <x:c r="H404" s="22" t="n">
        <x:v>24</x:v>
      </x:c>
      <x:c r="I404" s="28" t="n">
        <x:v>935009823.6121305</x:v>
      </x:c>
      <x:c r="J404" s="28" t="n">
        <x:f>ROUND(H404*I404,-MAX(0,INT(LOG10(H404*I404))-1))</x:f>
        <x:v>22000000000</x:v>
      </x:c>
      <x:c r="K404" s="28" t="n">
        <x:v>3100000</x:v>
      </x:c>
      <x:c r="L404" s="28" t="n">
        <x:v>4200000</x:v>
      </x:c>
      <x:c r="M404" s="28" t="n">
        <x:v>95000</x:v>
      </x:c>
      <x:c r="N404" s="28" t="n">
        <x:v>81000</x:v>
      </x:c>
      <x:c r="O404" s="28" t="n">
        <x:v>230</x:v>
      </x:c>
      <x:c r="P404" s="28" t="n">
        <x:v>1100</x:v>
      </x:c>
      <x:c r="Q404" s="28" t="n">
        <x:v>1700</x:v>
      </x:c>
      <x:c r="R404" s="22"/>
      <x:c r="S404" s="22"/>
      <x:c r="T404" s="22" t="str">
        <x:v>64位值核对</x:v>
      </x:c>
    </x:row>
    <x:row r="405" ht="24" customHeight="1">
      <x:c r="A405" s="22" t="str">
        <x:v>C08-M011</x:v>
      </x:c>
      <x:c r="B405" s="22" t="n">
        <x:v>8</x:v>
      </x:c>
      <x:c r="C405" s="22" t="str">
        <x:v>寒霜山径</x:v>
      </x:c>
      <x:c r="D405" s="22" t="str">
        <x:v>地图BOSS</x:v>
      </x:c>
      <x:c r="E405" s="22" t="str">
        <x:v>雪崩号角·赫罗姆</x:v>
      </x:c>
      <x:c r="F405" s="22" t="str">
        <x:v>XX902</x:v>
      </x:c>
      <x:c r="G405" s="22" t="str">
        <x:v>P0239</x:v>
      </x:c>
      <x:c r="H405" s="22" t="n">
        <x:v>75</x:v>
      </x:c>
      <x:c r="I405" s="28" t="n">
        <x:v>2760775238.5359735</x:v>
      </x:c>
      <x:c r="J405" s="28" t="n">
        <x:f>ROUND(H405*I405,-MAX(0,INT(LOG10(H405*I405))-1))</x:f>
        <x:v>210000000000</x:v>
      </x:c>
      <x:c r="K405" s="28" t="n">
        <x:v>4600000</x:v>
      </x:c>
      <x:c r="L405" s="28" t="n">
        <x:v>6300000</x:v>
      </x:c>
      <x:c r="M405" s="28" t="n">
        <x:v>140000</x:v>
      </x:c>
      <x:c r="N405" s="28" t="n">
        <x:v>120000</x:v>
      </x:c>
      <x:c r="O405" s="28" t="n">
        <x:v>230</x:v>
      </x:c>
      <x:c r="P405" s="28" t="n">
        <x:v>4600</x:v>
      </x:c>
      <x:c r="Q405" s="28" t="n">
        <x:v>1800</x:v>
      </x:c>
      <x:c r="R405" s="22"/>
      <x:c r="S405" s="22"/>
      <x:c r="T405" s="22" t="str">
        <x:v>64位值核对</x:v>
      </x:c>
    </x:row>
    <x:row r="406" ht="24" customHeight="1">
      <x:c r="A406" s="22" t="str">
        <x:v>C08-M012</x:v>
      </x:c>
      <x:c r="B406" s="22" t="n">
        <x:v>8</x:v>
      </x:c>
      <x:c r="C406" s="22" t="str">
        <x:v>寒霜山径</x:v>
      </x:c>
      <x:c r="D406" s="22" t="str">
        <x:v>地图BOSS</x:v>
      </x:c>
      <x:c r="E406" s="22" t="str">
        <x:v>山巅霜祀·伊芙迦</x:v>
      </x:c>
      <x:c r="F406" s="22" t="str">
        <x:v>XX903</x:v>
      </x:c>
      <x:c r="G406" s="22" t="str">
        <x:v>P0240</x:v>
      </x:c>
      <x:c r="H406" s="22" t="n">
        <x:v>86.25</x:v>
      </x:c>
      <x:c r="I406" s="28" t="n">
        <x:v>2760775238.5359735</x:v>
      </x:c>
      <x:c r="J406" s="28" t="n">
        <x:f>ROUND(H406*I406,-MAX(0,INT(LOG10(H406*I406))-1))</x:f>
        <x:v>240000000000</x:v>
      </x:c>
      <x:c r="K406" s="28" t="n">
        <x:v>4600000</x:v>
      </x:c>
      <x:c r="L406" s="28" t="n">
        <x:v>6300000</x:v>
      </x:c>
      <x:c r="M406" s="28" t="n">
        <x:v>140000</x:v>
      </x:c>
      <x:c r="N406" s="28" t="n">
        <x:v>120000</x:v>
      </x:c>
      <x:c r="O406" s="28" t="n">
        <x:v>230</x:v>
      </x:c>
      <x:c r="P406" s="28" t="n">
        <x:v>4600</x:v>
      </x:c>
      <x:c r="Q406" s="28" t="n">
        <x:v>1800</x:v>
      </x:c>
      <x:c r="R406" s="22"/>
      <x:c r="S406" s="22"/>
      <x:c r="T406" s="22" t="str">
        <x:v>64位值核对</x:v>
      </x:c>
    </x:row>
    <x:row r="407" ht="24" customHeight="1">
      <x:c r="A407" s="22" t="str">
        <x:v>C08-M013</x:v>
      </x:c>
      <x:c r="B407" s="22" t="n">
        <x:v>8</x:v>
      </x:c>
      <x:c r="C407" s="22" t="str">
        <x:v>断冰峰群</x:v>
      </x:c>
      <x:c r="D407" s="22" t="str">
        <x:v>普通</x:v>
      </x:c>
      <x:c r="E407" s="22" t="str">
        <x:v>断峰岩獾</x:v>
      </x:c>
      <x:c r="F407" s="22" t="str">
        <x:v>XX320</x:v>
      </x:c>
      <x:c r="G407" s="22" t="str">
        <x:v>P0238</x:v>
      </x:c>
      <x:c r="H407" s="22" t="n">
        <x:v>8</x:v>
      </x:c>
      <x:c r="I407" s="28" t="n">
        <x:v>999580320.4210352</x:v>
      </x:c>
      <x:c r="J407" s="28" t="n">
        <x:f>ROUND(H407*I407,-MAX(0,INT(LOG10(H407*I407))-1))</x:f>
        <x:v>8000000000</x:v>
      </x:c>
      <x:c r="K407" s="28" t="n">
        <x:v>1700000</x:v>
      </x:c>
      <x:c r="L407" s="28" t="n">
        <x:v>2300000</x:v>
      </x:c>
      <x:c r="M407" s="28" t="n">
        <x:v>47000</x:v>
      </x:c>
      <x:c r="N407" s="28" t="n">
        <x:v>40000</x:v>
      </x:c>
      <x:c r="O407" s="28" t="n">
        <x:v>233</x:v>
      </x:c>
      <x:c r="P407" s="28" t="n">
        <x:v>400</x:v>
      </x:c>
      <x:c r="Q407" s="28" t="n">
        <x:v>1600</x:v>
      </x:c>
      <x:c r="R407" s="22"/>
      <x:c r="S407" s="22"/>
      <x:c r="T407" s="22" t="str">
        <x:v>64位值核对</x:v>
      </x:c>
    </x:row>
    <x:row r="408" ht="24" customHeight="1">
      <x:c r="A408" s="22" t="str">
        <x:v>C08-M014</x:v>
      </x:c>
      <x:c r="B408" s="22" t="n">
        <x:v>8</x:v>
      </x:c>
      <x:c r="C408" s="22" t="str">
        <x:v>断冰峰群</x:v>
      </x:c>
      <x:c r="D408" s="22" t="str">
        <x:v>普通</x:v>
      </x:c>
      <x:c r="E408" s="22" t="str">
        <x:v>负霜矿奴</x:v>
      </x:c>
      <x:c r="F408" s="22" t="str">
        <x:v>XX320</x:v>
      </x:c>
      <x:c r="G408" s="22" t="str">
        <x:v>P0238</x:v>
      </x:c>
      <x:c r="H408" s="22" t="n">
        <x:v>8.8</x:v>
      </x:c>
      <x:c r="I408" s="28" t="n">
        <x:v>999580320.4210352</x:v>
      </x:c>
      <x:c r="J408" s="28" t="n">
        <x:f>ROUND(H408*I408,-MAX(0,INT(LOG10(H408*I408))-1))</x:f>
        <x:v>8800000000</x:v>
      </x:c>
      <x:c r="K408" s="28" t="n">
        <x:v>1700000</x:v>
      </x:c>
      <x:c r="L408" s="28" t="n">
        <x:v>2300000</x:v>
      </x:c>
      <x:c r="M408" s="28" t="n">
        <x:v>47000</x:v>
      </x:c>
      <x:c r="N408" s="28" t="n">
        <x:v>40000</x:v>
      </x:c>
      <x:c r="O408" s="28" t="n">
        <x:v>233</x:v>
      </x:c>
      <x:c r="P408" s="28" t="n">
        <x:v>400</x:v>
      </x:c>
      <x:c r="Q408" s="28" t="n">
        <x:v>1600</x:v>
      </x:c>
      <x:c r="R408" s="22"/>
      <x:c r="S408" s="22"/>
      <x:c r="T408" s="22" t="str">
        <x:v>64位值核对</x:v>
      </x:c>
    </x:row>
    <x:row r="409" ht="24" customHeight="1">
      <x:c r="A409" s="22" t="str">
        <x:v>C08-M015</x:v>
      </x:c>
      <x:c r="B409" s="22" t="n">
        <x:v>8</x:v>
      </x:c>
      <x:c r="C409" s="22" t="str">
        <x:v>断冰峰群</x:v>
      </x:c>
      <x:c r="D409" s="22" t="str">
        <x:v>普通</x:v>
      </x:c>
      <x:c r="E409" s="22" t="str">
        <x:v>碎冰桥弩卒</x:v>
      </x:c>
      <x:c r="F409" s="22" t="str">
        <x:v>XX318</x:v>
      </x:c>
      <x:c r="G409" s="22" t="str">
        <x:v>P0238</x:v>
      </x:c>
      <x:c r="H409" s="22" t="n">
        <x:v>7.2</x:v>
      </x:c>
      <x:c r="I409" s="28" t="n">
        <x:v>999580320.4210352</x:v>
      </x:c>
      <x:c r="J409" s="28" t="n">
        <x:f>ROUND(H409*I409,-MAX(0,INT(LOG10(H409*I409))-1))</x:f>
        <x:v>7200000000</x:v>
      </x:c>
      <x:c r="K409" s="28" t="n">
        <x:v>1700000</x:v>
      </x:c>
      <x:c r="L409" s="28" t="n">
        <x:v>2300000</x:v>
      </x:c>
      <x:c r="M409" s="28" t="n">
        <x:v>47000</x:v>
      </x:c>
      <x:c r="N409" s="28" t="n">
        <x:v>40000</x:v>
      </x:c>
      <x:c r="O409" s="28" t="n">
        <x:v>233</x:v>
      </x:c>
      <x:c r="P409" s="28" t="n">
        <x:v>400</x:v>
      </x:c>
      <x:c r="Q409" s="28" t="n">
        <x:v>1600</x:v>
      </x:c>
      <x:c r="R409" s="22"/>
      <x:c r="S409" s="22"/>
      <x:c r="T409" s="22" t="str">
        <x:v>64位值核对</x:v>
      </x:c>
    </x:row>
    <x:row r="410" ht="24" customHeight="1">
      <x:c r="A410" s="22" t="str">
        <x:v>C08-M016</x:v>
      </x:c>
      <x:c r="B410" s="22" t="n">
        <x:v>8</x:v>
      </x:c>
      <x:c r="C410" s="22" t="str">
        <x:v>断冰峰群</x:v>
      </x:c>
      <x:c r="D410" s="22" t="str">
        <x:v>普通</x:v>
      </x:c>
      <x:c r="E410" s="22" t="str">
        <x:v>天桥冰甲虫</x:v>
      </x:c>
      <x:c r="F410" s="22" t="str">
        <x:v>XX318</x:v>
      </x:c>
      <x:c r="G410" s="22" t="str">
        <x:v>P0238</x:v>
      </x:c>
      <x:c r="H410" s="22" t="n">
        <x:v>7.2</x:v>
      </x:c>
      <x:c r="I410" s="28" t="n">
        <x:v>999580320.4210352</x:v>
      </x:c>
      <x:c r="J410" s="28" t="n">
        <x:f>ROUND(H410*I410,-MAX(0,INT(LOG10(H410*I410))-1))</x:f>
        <x:v>7200000000</x:v>
      </x:c>
      <x:c r="K410" s="28" t="n">
        <x:v>1700000</x:v>
      </x:c>
      <x:c r="L410" s="28" t="n">
        <x:v>2300000</x:v>
      </x:c>
      <x:c r="M410" s="28" t="n">
        <x:v>47000</x:v>
      </x:c>
      <x:c r="N410" s="28" t="n">
        <x:v>40000</x:v>
      </x:c>
      <x:c r="O410" s="28" t="n">
        <x:v>233</x:v>
      </x:c>
      <x:c r="P410" s="28" t="n">
        <x:v>400</x:v>
      </x:c>
      <x:c r="Q410" s="28" t="n">
        <x:v>1600</x:v>
      </x:c>
      <x:c r="R410" s="22"/>
      <x:c r="S410" s="22"/>
      <x:c r="T410" s="22" t="str">
        <x:v>64位值核对</x:v>
      </x:c>
    </x:row>
    <x:row r="411" ht="24" customHeight="1">
      <x:c r="A411" s="22" t="str">
        <x:v>C08-M017</x:v>
      </x:c>
      <x:c r="B411" s="22" t="n">
        <x:v>8</x:v>
      </x:c>
      <x:c r="C411" s="22" t="str">
        <x:v>断冰峰群</x:v>
      </x:c>
      <x:c r="D411" s="22" t="str">
        <x:v>普通</x:v>
      </x:c>
      <x:c r="E411" s="22" t="str">
        <x:v>裂谷寒翼蝠</x:v>
      </x:c>
      <x:c r="F411" s="22" t="str">
        <x:v>XX319</x:v>
      </x:c>
      <x:c r="G411" s="22" t="str">
        <x:v>P0238</x:v>
      </x:c>
      <x:c r="H411" s="22" t="n">
        <x:v>8</x:v>
      </x:c>
      <x:c r="I411" s="28" t="n">
        <x:v>999580320.4210352</x:v>
      </x:c>
      <x:c r="J411" s="28" t="n">
        <x:f>ROUND(H411*I411,-MAX(0,INT(LOG10(H411*I411))-1))</x:f>
        <x:v>8000000000</x:v>
      </x:c>
      <x:c r="K411" s="28" t="n">
        <x:v>1700000</x:v>
      </x:c>
      <x:c r="L411" s="28" t="n">
        <x:v>2300000</x:v>
      </x:c>
      <x:c r="M411" s="28" t="n">
        <x:v>47000</x:v>
      </x:c>
      <x:c r="N411" s="28" t="n">
        <x:v>40000</x:v>
      </x:c>
      <x:c r="O411" s="28" t="n">
        <x:v>233</x:v>
      </x:c>
      <x:c r="P411" s="28" t="n">
        <x:v>400</x:v>
      </x:c>
      <x:c r="Q411" s="28" t="n">
        <x:v>1600</x:v>
      </x:c>
      <x:c r="R411" s="22"/>
      <x:c r="S411" s="22"/>
      <x:c r="T411" s="22" t="str">
        <x:v>64位值核对</x:v>
      </x:c>
    </x:row>
    <x:row r="412" ht="24" customHeight="1">
      <x:c r="A412" s="22" t="str">
        <x:v>C08-M018</x:v>
      </x:c>
      <x:c r="B412" s="22" t="n">
        <x:v>8</x:v>
      </x:c>
      <x:c r="C412" s="22" t="str">
        <x:v>断冰峰群</x:v>
      </x:c>
      <x:c r="D412" s="22" t="str">
        <x:v>普通</x:v>
      </x:c>
      <x:c r="E412" s="22" t="str">
        <x:v>祭场残斧魂</x:v>
      </x:c>
      <x:c r="F412" s="22" t="str">
        <x:v>XX316</x:v>
      </x:c>
      <x:c r="G412" s="22" t="str">
        <x:v>P0238</x:v>
      </x:c>
      <x:c r="H412" s="22" t="n">
        <x:v>9.2</x:v>
      </x:c>
      <x:c r="I412" s="28" t="n">
        <x:v>999580320.4210352</x:v>
      </x:c>
      <x:c r="J412" s="28" t="n">
        <x:f>ROUND(H412*I412,-MAX(0,INT(LOG10(H412*I412))-1))</x:f>
        <x:v>9200000000</x:v>
      </x:c>
      <x:c r="K412" s="28" t="n">
        <x:v>1700000</x:v>
      </x:c>
      <x:c r="L412" s="28" t="n">
        <x:v>2300000</x:v>
      </x:c>
      <x:c r="M412" s="28" t="n">
        <x:v>47000</x:v>
      </x:c>
      <x:c r="N412" s="28" t="n">
        <x:v>40000</x:v>
      </x:c>
      <x:c r="O412" s="28" t="n">
        <x:v>233</x:v>
      </x:c>
      <x:c r="P412" s="28" t="n">
        <x:v>400</x:v>
      </x:c>
      <x:c r="Q412" s="28" t="n">
        <x:v>1600</x:v>
      </x:c>
      <x:c r="R412" s="22"/>
      <x:c r="S412" s="22"/>
      <x:c r="T412" s="22" t="str">
        <x:v>64位值核对</x:v>
      </x:c>
    </x:row>
    <x:row r="413" ht="24" customHeight="1">
      <x:c r="A413" s="22" t="str">
        <x:v>C08-M019</x:v>
      </x:c>
      <x:c r="B413" s="22" t="n">
        <x:v>8</x:v>
      </x:c>
      <x:c r="C413" s="22" t="str">
        <x:v>断冰峰群</x:v>
      </x:c>
      <x:c r="D413" s="22" t="str">
        <x:v>稀有</x:v>
      </x:c>
      <x:c r="E413" s="22" t="str">
        <x:v>断冰猎旗手</x:v>
      </x:c>
      <x:c r="F413" s="22" t="str">
        <x:v>XX320</x:v>
      </x:c>
      <x:c r="G413" s="22" t="str">
        <x:v>P0238</x:v>
      </x:c>
      <x:c r="H413" s="22" t="n">
        <x:v>22.799999999999997</x:v>
      </x:c>
      <x:c r="I413" s="28" t="n">
        <x:v>935009823.6121305</x:v>
      </x:c>
      <x:c r="J413" s="28" t="n">
        <x:f>ROUND(H413*I413,-MAX(0,INT(LOG10(H413*I413))-1))</x:f>
        <x:v>21000000000</x:v>
      </x:c>
      <x:c r="K413" s="28" t="n">
        <x:v>3100000</x:v>
      </x:c>
      <x:c r="L413" s="28" t="n">
        <x:v>4200000</x:v>
      </x:c>
      <x:c r="M413" s="28" t="n">
        <x:v>95000</x:v>
      </x:c>
      <x:c r="N413" s="28" t="n">
        <x:v>81000</x:v>
      </x:c>
      <x:c r="O413" s="28" t="n">
        <x:v>233</x:v>
      </x:c>
      <x:c r="P413" s="28" t="n">
        <x:v>1200</x:v>
      </x:c>
      <x:c r="Q413" s="28" t="n">
        <x:v>1700</x:v>
      </x:c>
      <x:c r="R413" s="22"/>
      <x:c r="S413" s="22"/>
      <x:c r="T413" s="22" t="str">
        <x:v>64位值核对</x:v>
      </x:c>
    </x:row>
    <x:row r="414" ht="24" customHeight="1">
      <x:c r="A414" s="22" t="str">
        <x:v>C08-M020</x:v>
      </x:c>
      <x:c r="B414" s="22" t="n">
        <x:v>8</x:v>
      </x:c>
      <x:c r="C414" s="22" t="str">
        <x:v>断冰峰群</x:v>
      </x:c>
      <x:c r="D414" s="22" t="str">
        <x:v>稀有</x:v>
      </x:c>
      <x:c r="E414" s="22" t="str">
        <x:v>天桥踏索客</x:v>
      </x:c>
      <x:c r="F414" s="22" t="str">
        <x:v>XX318</x:v>
      </x:c>
      <x:c r="G414" s="22" t="str">
        <x:v>P0238</x:v>
      </x:c>
      <x:c r="H414" s="22" t="n">
        <x:v>26.400000000000002</x:v>
      </x:c>
      <x:c r="I414" s="28" t="n">
        <x:v>935009823.6121305</x:v>
      </x:c>
      <x:c r="J414" s="28" t="n">
        <x:f>ROUND(H414*I414,-MAX(0,INT(LOG10(H414*I414))-1))</x:f>
        <x:v>25000000000</x:v>
      </x:c>
      <x:c r="K414" s="28" t="n">
        <x:v>3100000</x:v>
      </x:c>
      <x:c r="L414" s="28" t="n">
        <x:v>4200000</x:v>
      </x:c>
      <x:c r="M414" s="28" t="n">
        <x:v>95000</x:v>
      </x:c>
      <x:c r="N414" s="28" t="n">
        <x:v>81000</x:v>
      </x:c>
      <x:c r="O414" s="28" t="n">
        <x:v>233</x:v>
      </x:c>
      <x:c r="P414" s="28" t="n">
        <x:v>1200</x:v>
      </x:c>
      <x:c r="Q414" s="28" t="n">
        <x:v>1700</x:v>
      </x:c>
      <x:c r="R414" s="22"/>
      <x:c r="S414" s="22"/>
      <x:c r="T414" s="22" t="str">
        <x:v>64位值核对</x:v>
      </x:c>
    </x:row>
    <x:row r="415" ht="24" customHeight="1">
      <x:c r="A415" s="22" t="str">
        <x:v>C08-M021</x:v>
      </x:c>
      <x:c r="B415" s="22" t="n">
        <x:v>8</x:v>
      </x:c>
      <x:c r="C415" s="22" t="str">
        <x:v>断冰峰群</x:v>
      </x:c>
      <x:c r="D415" s="22" t="str">
        <x:v>稀有</x:v>
      </x:c>
      <x:c r="E415" s="22" t="str">
        <x:v>裂谷雪嚎兽</x:v>
      </x:c>
      <x:c r="F415" s="22" t="str">
        <x:v>XX319</x:v>
      </x:c>
      <x:c r="G415" s="22" t="str">
        <x:v>P0238</x:v>
      </x:c>
      <x:c r="H415" s="22" t="n">
        <x:v>26.400000000000002</x:v>
      </x:c>
      <x:c r="I415" s="28" t="n">
        <x:v>935009823.6121305</x:v>
      </x:c>
      <x:c r="J415" s="28" t="n">
        <x:f>ROUND(H415*I415,-MAX(0,INT(LOG10(H415*I415))-1))</x:f>
        <x:v>25000000000</x:v>
      </x:c>
      <x:c r="K415" s="28" t="n">
        <x:v>3100000</x:v>
      </x:c>
      <x:c r="L415" s="28" t="n">
        <x:v>4200000</x:v>
      </x:c>
      <x:c r="M415" s="28" t="n">
        <x:v>95000</x:v>
      </x:c>
      <x:c r="N415" s="28" t="n">
        <x:v>81000</x:v>
      </x:c>
      <x:c r="O415" s="28" t="n">
        <x:v>233</x:v>
      </x:c>
      <x:c r="P415" s="28" t="n">
        <x:v>1200</x:v>
      </x:c>
      <x:c r="Q415" s="28" t="n">
        <x:v>1700</x:v>
      </x:c>
      <x:c r="R415" s="22"/>
      <x:c r="S415" s="22"/>
      <x:c r="T415" s="22" t="str">
        <x:v>64位值核对</x:v>
      </x:c>
    </x:row>
    <x:row r="416" ht="24" customHeight="1">
      <x:c r="A416" s="22" t="str">
        <x:v>C08-M022</x:v>
      </x:c>
      <x:c r="B416" s="22" t="n">
        <x:v>8</x:v>
      </x:c>
      <x:c r="C416" s="22" t="str">
        <x:v>断冰峰群</x:v>
      </x:c>
      <x:c r="D416" s="22" t="str">
        <x:v>稀有</x:v>
      </x:c>
      <x:c r="E416" s="22" t="str">
        <x:v>祭场缄誓巫</x:v>
      </x:c>
      <x:c r="F416" s="22" t="str">
        <x:v>XX316</x:v>
      </x:c>
      <x:c r="G416" s="22" t="str">
        <x:v>P0238</x:v>
      </x:c>
      <x:c r="H416" s="22" t="n">
        <x:v>22.799999999999997</x:v>
      </x:c>
      <x:c r="I416" s="28" t="n">
        <x:v>935009823.6121305</x:v>
      </x:c>
      <x:c r="J416" s="28" t="n">
        <x:f>ROUND(H416*I416,-MAX(0,INT(LOG10(H416*I416))-1))</x:f>
        <x:v>21000000000</x:v>
      </x:c>
      <x:c r="K416" s="28" t="n">
        <x:v>3100000</x:v>
      </x:c>
      <x:c r="L416" s="28" t="n">
        <x:v>4200000</x:v>
      </x:c>
      <x:c r="M416" s="28" t="n">
        <x:v>95000</x:v>
      </x:c>
      <x:c r="N416" s="28" t="n">
        <x:v>81000</x:v>
      </x:c>
      <x:c r="O416" s="28" t="n">
        <x:v>233</x:v>
      </x:c>
      <x:c r="P416" s="28" t="n">
        <x:v>1200</x:v>
      </x:c>
      <x:c r="Q416" s="28" t="n">
        <x:v>1700</x:v>
      </x:c>
      <x:c r="R416" s="22"/>
      <x:c r="S416" s="22"/>
      <x:c r="T416" s="22" t="str">
        <x:v>64位值核对</x:v>
      </x:c>
    </x:row>
    <x:row r="417" ht="24" customHeight="1">
      <x:c r="A417" s="22" t="str">
        <x:v>C08-M023</x:v>
      </x:c>
      <x:c r="B417" s="22" t="n">
        <x:v>8</x:v>
      </x:c>
      <x:c r="C417" s="22" t="str">
        <x:v>断冰峰群</x:v>
      </x:c>
      <x:c r="D417" s="22" t="str">
        <x:v>地图BOSS</x:v>
      </x:c>
      <x:c r="E417" s="22" t="str">
        <x:v>裂谷锻峰侯·德鲁伽</x:v>
      </x:c>
      <x:c r="F417" s="22" t="str">
        <x:v>XX319</x:v>
      </x:c>
      <x:c r="G417" s="22" t="str">
        <x:v>P0245</x:v>
      </x:c>
      <x:c r="H417" s="22" t="n">
        <x:v>67.5</x:v>
      </x:c>
      <x:c r="I417" s="28" t="n">
        <x:v>3413625338.6802244</x:v>
      </x:c>
      <x:c r="J417" s="28" t="n">
        <x:f>ROUND(H417*I417,-MAX(0,INT(LOG10(H417*I417))-1))</x:f>
        <x:v>230000000000</x:v>
      </x:c>
      <x:c r="K417" s="28" t="n">
        <x:v>4700000</x:v>
      </x:c>
      <x:c r="L417" s="28" t="n">
        <x:v>6400000</x:v>
      </x:c>
      <x:c r="M417" s="28" t="n">
        <x:v>150000</x:v>
      </x:c>
      <x:c r="N417" s="28" t="n">
        <x:v>130000</x:v>
      </x:c>
      <x:c r="O417" s="28" t="n">
        <x:v>233</x:v>
      </x:c>
      <x:c r="P417" s="28" t="n">
        <x:v>4700</x:v>
      </x:c>
      <x:c r="Q417" s="28" t="n">
        <x:v>1800</x:v>
      </x:c>
      <x:c r="R417" s="22"/>
      <x:c r="S417" s="22"/>
      <x:c r="T417" s="22" t="str">
        <x:v>64位值核对</x:v>
      </x:c>
    </x:row>
    <x:row r="418" ht="24" customHeight="1">
      <x:c r="A418" s="22" t="str">
        <x:v>C08-M024</x:v>
      </x:c>
      <x:c r="B418" s="22" t="n">
        <x:v>8</x:v>
      </x:c>
      <x:c r="C418" s="22" t="str">
        <x:v>断冰峰群</x:v>
      </x:c>
      <x:c r="D418" s="22" t="str">
        <x:v>地图BOSS</x:v>
      </x:c>
      <x:c r="E418" s="22" t="str">
        <x:v>断峰献祭者·维瑟娅</x:v>
      </x:c>
      <x:c r="F418" s="22" t="str">
        <x:v>XX316</x:v>
      </x:c>
      <x:c r="G418" s="22" t="str">
        <x:v>P0246</x:v>
      </x:c>
      <x:c r="H418" s="22" t="n">
        <x:v>75</x:v>
      </x:c>
      <x:c r="I418" s="28" t="n">
        <x:v>3413625338.6802244</x:v>
      </x:c>
      <x:c r="J418" s="28" t="n">
        <x:f>ROUND(H418*I418,-MAX(0,INT(LOG10(H418*I418))-1))</x:f>
        <x:v>260000000000</x:v>
      </x:c>
      <x:c r="K418" s="28" t="n">
        <x:v>4700000</x:v>
      </x:c>
      <x:c r="L418" s="28" t="n">
        <x:v>6400000</x:v>
      </x:c>
      <x:c r="M418" s="28" t="n">
        <x:v>150000</x:v>
      </x:c>
      <x:c r="N418" s="28" t="n">
        <x:v>130000</x:v>
      </x:c>
      <x:c r="O418" s="28" t="n">
        <x:v>233</x:v>
      </x:c>
      <x:c r="P418" s="28" t="n">
        <x:v>4700</x:v>
      </x:c>
      <x:c r="Q418" s="28" t="n">
        <x:v>1800</x:v>
      </x:c>
      <x:c r="R418" s="22"/>
      <x:c r="S418" s="22"/>
      <x:c r="T418" s="22" t="str">
        <x:v>64位值核对</x:v>
      </x:c>
    </x:row>
    <x:row r="419" ht="24" customHeight="1">
      <x:c r="A419" s="22" t="str">
        <x:v>C08-M025</x:v>
      </x:c>
      <x:c r="B419" s="22" t="n">
        <x:v>8</x:v>
      </x:c>
      <x:c r="C419" s="22" t="str">
        <x:v>冰宫王庭</x:v>
      </x:c>
      <x:c r="D419" s="22" t="str">
        <x:v>普通</x:v>
      </x:c>
      <x:c r="E419" s="22" t="str">
        <x:v>冰宫雪鸦</x:v>
      </x:c>
      <x:c r="F419" s="22" t="str">
        <x:v>XX325</x:v>
      </x:c>
      <x:c r="G419" s="22" t="str">
        <x:v>P0244</x:v>
      </x:c>
      <x:c r="H419" s="22" t="n">
        <x:v>7.6</x:v>
      </x:c>
      <x:c r="I419" s="28" t="n">
        <x:v>1230011196.643705</x:v>
      </x:c>
      <x:c r="J419" s="28" t="n">
        <x:f>ROUND(H419*I419,-MAX(0,INT(LOG10(H419*I419))-1))</x:f>
        <x:v>9300000000</x:v>
      </x:c>
      <x:c r="K419" s="28" t="n">
        <x:v>1200000</x:v>
      </x:c>
      <x:c r="L419" s="28" t="n">
        <x:v>1600000</x:v>
      </x:c>
      <x:c r="M419" s="28" t="n">
        <x:v>49000</x:v>
      </x:c>
      <x:c r="N419" s="28" t="n">
        <x:v>42000</x:v>
      </x:c>
      <x:c r="O419" s="28" t="n">
        <x:v>236</x:v>
      </x:c>
      <x:c r="P419" s="28" t="n">
        <x:v>410</x:v>
      </x:c>
      <x:c r="Q419" s="28" t="n">
        <x:v>1600</x:v>
      </x:c>
      <x:c r="R419" s="22"/>
      <x:c r="S419" s="22"/>
      <x:c r="T419" s="22" t="str">
        <x:v>64位值核对</x:v>
      </x:c>
    </x:row>
    <x:row r="420" ht="24" customHeight="1">
      <x:c r="A420" s="22" t="str">
        <x:v>C08-M026</x:v>
      </x:c>
      <x:c r="B420" s="22" t="n">
        <x:v>8</x:v>
      </x:c>
      <x:c r="C420" s="22" t="str">
        <x:v>冰宫王庭</x:v>
      </x:c>
      <x:c r="D420" s="22" t="str">
        <x:v>普通</x:v>
      </x:c>
      <x:c r="E420" s="22" t="str">
        <x:v>御阶铲雪仆</x:v>
      </x:c>
      <x:c r="F420" s="22" t="str">
        <x:v>XX325</x:v>
      </x:c>
      <x:c r="G420" s="22" t="str">
        <x:v>P0244</x:v>
      </x:c>
      <x:c r="H420" s="22" t="n">
        <x:v>8.8</x:v>
      </x:c>
      <x:c r="I420" s="28" t="n">
        <x:v>1230011196.643705</x:v>
      </x:c>
      <x:c r="J420" s="28" t="n">
        <x:f>ROUND(H420*I420,-MAX(0,INT(LOG10(H420*I420))-1))</x:f>
        <x:v>11000000000</x:v>
      </x:c>
      <x:c r="K420" s="28" t="n">
        <x:v>1200000</x:v>
      </x:c>
      <x:c r="L420" s="28" t="n">
        <x:v>1600000</x:v>
      </x:c>
      <x:c r="M420" s="28" t="n">
        <x:v>49000</x:v>
      </x:c>
      <x:c r="N420" s="28" t="n">
        <x:v>42000</x:v>
      </x:c>
      <x:c r="O420" s="28" t="n">
        <x:v>236</x:v>
      </x:c>
      <x:c r="P420" s="28" t="n">
        <x:v>410</x:v>
      </x:c>
      <x:c r="Q420" s="28" t="n">
        <x:v>1600</x:v>
      </x:c>
      <x:c r="R420" s="22"/>
      <x:c r="S420" s="22"/>
      <x:c r="T420" s="22" t="str">
        <x:v>64位值核对</x:v>
      </x:c>
    </x:row>
    <x:row r="421" ht="24" customHeight="1">
      <x:c r="A421" s="22" t="str">
        <x:v>C08-M027</x:v>
      </x:c>
      <x:c r="B421" s="22" t="n">
        <x:v>8</x:v>
      </x:c>
      <x:c r="C421" s="22" t="str">
        <x:v>冰宫王庭</x:v>
      </x:c>
      <x:c r="D421" s="22" t="str">
        <x:v>普通</x:v>
      </x:c>
      <x:c r="E421" s="22" t="str">
        <x:v>外廊冰枪卫</x:v>
      </x:c>
      <x:c r="F421" s="22" t="str">
        <x:v>XX321</x:v>
      </x:c>
      <x:c r="G421" s="22" t="str">
        <x:v>P0244</x:v>
      </x:c>
      <x:c r="H421" s="22" t="n">
        <x:v>8</x:v>
      </x:c>
      <x:c r="I421" s="28" t="n">
        <x:v>1230011196.643705</x:v>
      </x:c>
      <x:c r="J421" s="28" t="n">
        <x:f>ROUND(H421*I421,-MAX(0,INT(LOG10(H421*I421))-1))</x:f>
        <x:v>9800000000</x:v>
      </x:c>
      <x:c r="K421" s="28" t="n">
        <x:v>1200000</x:v>
      </x:c>
      <x:c r="L421" s="28" t="n">
        <x:v>1600000</x:v>
      </x:c>
      <x:c r="M421" s="28" t="n">
        <x:v>49000</x:v>
      </x:c>
      <x:c r="N421" s="28" t="n">
        <x:v>42000</x:v>
      </x:c>
      <x:c r="O421" s="28" t="n">
        <x:v>236</x:v>
      </x:c>
      <x:c r="P421" s="28" t="n">
        <x:v>410</x:v>
      </x:c>
      <x:c r="Q421" s="28" t="n">
        <x:v>1600</x:v>
      </x:c>
      <x:c r="R421" s="22"/>
      <x:c r="S421" s="22"/>
      <x:c r="T421" s="22" t="str">
        <x:v>64位值核对</x:v>
      </x:c>
    </x:row>
    <x:row r="422" ht="24" customHeight="1">
      <x:c r="A422" s="22" t="str">
        <x:v>C08-M028</x:v>
      </x:c>
      <x:c r="B422" s="22" t="n">
        <x:v>8</x:v>
      </x:c>
      <x:c r="C422" s="22" t="str">
        <x:v>冰宫王庭</x:v>
      </x:c>
      <x:c r="D422" s="22" t="str">
        <x:v>普通</x:v>
      </x:c>
      <x:c r="E422" s="22" t="str">
        <x:v>内廷霜纱侍女</x:v>
      </x:c>
      <x:c r="F422" s="22" t="str">
        <x:v>XX322</x:v>
      </x:c>
      <x:c r="G422" s="22" t="str">
        <x:v>P0244</x:v>
      </x:c>
      <x:c r="H422" s="22" t="n">
        <x:v>7.2</x:v>
      </x:c>
      <x:c r="I422" s="28" t="n">
        <x:v>1230011196.643705</x:v>
      </x:c>
      <x:c r="J422" s="28" t="n">
        <x:f>ROUND(H422*I422,-MAX(0,INT(LOG10(H422*I422))-1))</x:f>
        <x:v>8900000000</x:v>
      </x:c>
      <x:c r="K422" s="28" t="n">
        <x:v>1200000</x:v>
      </x:c>
      <x:c r="L422" s="28" t="n">
        <x:v>1600000</x:v>
      </x:c>
      <x:c r="M422" s="28" t="n">
        <x:v>49000</x:v>
      </x:c>
      <x:c r="N422" s="28" t="n">
        <x:v>42000</x:v>
      </x:c>
      <x:c r="O422" s="28" t="n">
        <x:v>236</x:v>
      </x:c>
      <x:c r="P422" s="28" t="n">
        <x:v>410</x:v>
      </x:c>
      <x:c r="Q422" s="28" t="n">
        <x:v>1600</x:v>
      </x:c>
      <x:c r="R422" s="22"/>
      <x:c r="S422" s="22"/>
      <x:c r="T422" s="22" t="str">
        <x:v>64位值核对</x:v>
      </x:c>
    </x:row>
    <x:row r="423" ht="24" customHeight="1">
      <x:c r="A423" s="22" t="str">
        <x:v>C08-M029</x:v>
      </x:c>
      <x:c r="B423" s="22" t="n">
        <x:v>8</x:v>
      </x:c>
      <x:c r="C423" s="22" t="str">
        <x:v>冰宫王庭</x:v>
      </x:c>
      <x:c r="D423" s="22" t="str">
        <x:v>普通</x:v>
      </x:c>
      <x:c r="E423" s="22" t="str">
        <x:v>议殿石髯书记</x:v>
      </x:c>
      <x:c r="F423" s="22" t="str">
        <x:v>XX323</x:v>
      </x:c>
      <x:c r="G423" s="22" t="str">
        <x:v>P0244</x:v>
      </x:c>
      <x:c r="H423" s="22" t="n">
        <x:v>8.8</x:v>
      </x:c>
      <x:c r="I423" s="28" t="n">
        <x:v>1230011196.643705</x:v>
      </x:c>
      <x:c r="J423" s="28" t="n">
        <x:f>ROUND(H423*I423,-MAX(0,INT(LOG10(H423*I423))-1))</x:f>
        <x:v>11000000000</x:v>
      </x:c>
      <x:c r="K423" s="28" t="n">
        <x:v>1200000</x:v>
      </x:c>
      <x:c r="L423" s="28" t="n">
        <x:v>1600000</x:v>
      </x:c>
      <x:c r="M423" s="28" t="n">
        <x:v>49000</x:v>
      </x:c>
      <x:c r="N423" s="28" t="n">
        <x:v>42000</x:v>
      </x:c>
      <x:c r="O423" s="28" t="n">
        <x:v>236</x:v>
      </x:c>
      <x:c r="P423" s="28" t="n">
        <x:v>410</x:v>
      </x:c>
      <x:c r="Q423" s="28" t="n">
        <x:v>1600</x:v>
      </x:c>
      <x:c r="R423" s="22"/>
      <x:c r="S423" s="22"/>
      <x:c r="T423" s="22" t="str">
        <x:v>64位值核对</x:v>
      </x:c>
    </x:row>
    <x:row r="424" ht="24" customHeight="1">
      <x:c r="A424" s="22" t="str">
        <x:v>C08-M030</x:v>
      </x:c>
      <x:c r="B424" s="22" t="n">
        <x:v>8</x:v>
      </x:c>
      <x:c r="C424" s="22" t="str">
        <x:v>冰宫王庭</x:v>
      </x:c>
      <x:c r="D424" s="22" t="str">
        <x:v>普通</x:v>
      </x:c>
      <x:c r="E424" s="22" t="str">
        <x:v>王座寒灯侍</x:v>
      </x:c>
      <x:c r="F424" s="22" t="str">
        <x:v>XX326</x:v>
      </x:c>
      <x:c r="G424" s="22" t="str">
        <x:v>P0244</x:v>
      </x:c>
      <x:c r="H424" s="22" t="n">
        <x:v>7.6</x:v>
      </x:c>
      <x:c r="I424" s="28" t="n">
        <x:v>1230011196.643705</x:v>
      </x:c>
      <x:c r="J424" s="28" t="n">
        <x:f>ROUND(H424*I424,-MAX(0,INT(LOG10(H424*I424))-1))</x:f>
        <x:v>9300000000</x:v>
      </x:c>
      <x:c r="K424" s="28" t="n">
        <x:v>1200000</x:v>
      </x:c>
      <x:c r="L424" s="28" t="n">
        <x:v>1600000</x:v>
      </x:c>
      <x:c r="M424" s="28" t="n">
        <x:v>49000</x:v>
      </x:c>
      <x:c r="N424" s="28" t="n">
        <x:v>42000</x:v>
      </x:c>
      <x:c r="O424" s="28" t="n">
        <x:v>236</x:v>
      </x:c>
      <x:c r="P424" s="28" t="n">
        <x:v>410</x:v>
      </x:c>
      <x:c r="Q424" s="28" t="n">
        <x:v>1600</x:v>
      </x:c>
      <x:c r="R424" s="22"/>
      <x:c r="S424" s="22"/>
      <x:c r="T424" s="22" t="str">
        <x:v>64位值核对</x:v>
      </x:c>
    </x:row>
    <x:row r="425" ht="24" customHeight="1">
      <x:c r="A425" s="22" t="str">
        <x:v>C08-M031</x:v>
      </x:c>
      <x:c r="B425" s="22" t="n">
        <x:v>8</x:v>
      </x:c>
      <x:c r="C425" s="22" t="str">
        <x:v>冰宫王庭</x:v>
      </x:c>
      <x:c r="D425" s="22" t="str">
        <x:v>稀有</x:v>
      </x:c>
      <x:c r="E425" s="22" t="str">
        <x:v>外廊镜甲将</x:v>
      </x:c>
      <x:c r="F425" s="22" t="str">
        <x:v>XX321</x:v>
      </x:c>
      <x:c r="G425" s="22" t="str">
        <x:v>P0244</x:v>
      </x:c>
      <x:c r="H425" s="22" t="n">
        <x:v>27.599999999999998</x:v>
      </x:c>
      <x:c r="I425" s="28" t="n">
        <x:v>1151171383.9294724</x:v>
      </x:c>
      <x:c r="J425" s="28" t="n">
        <x:f>ROUND(H425*I425,-MAX(0,INT(LOG10(H425*I425))-1))</x:f>
        <x:v>32000000000</x:v>
      </x:c>
      <x:c r="K425" s="28" t="n">
        <x:v>2300000</x:v>
      </x:c>
      <x:c r="L425" s="28" t="n">
        <x:v>3100000</x:v>
      </x:c>
      <x:c r="M425" s="28" t="n">
        <x:v>98000</x:v>
      </x:c>
      <x:c r="N425" s="28" t="n">
        <x:v>83000</x:v>
      </x:c>
      <x:c r="O425" s="28" t="n">
        <x:v>236</x:v>
      </x:c>
      <x:c r="P425" s="28" t="n">
        <x:v>1200</x:v>
      </x:c>
      <x:c r="Q425" s="28" t="n">
        <x:v>1700</x:v>
      </x:c>
      <x:c r="R425" s="22"/>
      <x:c r="S425" s="22"/>
      <x:c r="T425" s="22" t="str">
        <x:v>64位值核对</x:v>
      </x:c>
    </x:row>
    <x:row r="426" ht="24" customHeight="1">
      <x:c r="A426" s="22" t="str">
        <x:v>C08-M032</x:v>
      </x:c>
      <x:c r="B426" s="22" t="n">
        <x:v>8</x:v>
      </x:c>
      <x:c r="C426" s="22" t="str">
        <x:v>冰宫王庭</x:v>
      </x:c>
      <x:c r="D426" s="22" t="str">
        <x:v>稀有</x:v>
      </x:c>
      <x:c r="E426" s="22" t="str">
        <x:v>内廷缄声女官</x:v>
      </x:c>
      <x:c r="F426" s="22" t="str">
        <x:v>XX322</x:v>
      </x:c>
      <x:c r="G426" s="22" t="str">
        <x:v>P0244</x:v>
      </x:c>
      <x:c r="H426" s="22" t="n">
        <x:v>24</x:v>
      </x:c>
      <x:c r="I426" s="28" t="n">
        <x:v>1151171383.9294724</x:v>
      </x:c>
      <x:c r="J426" s="28" t="n">
        <x:f>ROUND(H426*I426,-MAX(0,INT(LOG10(H426*I426))-1))</x:f>
        <x:v>28000000000</x:v>
      </x:c>
      <x:c r="K426" s="28" t="n">
        <x:v>2300000</x:v>
      </x:c>
      <x:c r="L426" s="28" t="n">
        <x:v>3100000</x:v>
      </x:c>
      <x:c r="M426" s="28" t="n">
        <x:v>98000</x:v>
      </x:c>
      <x:c r="N426" s="28" t="n">
        <x:v>83000</x:v>
      </x:c>
      <x:c r="O426" s="28" t="n">
        <x:v>236</x:v>
      </x:c>
      <x:c r="P426" s="28" t="n">
        <x:v>1200</x:v>
      </x:c>
      <x:c r="Q426" s="28" t="n">
        <x:v>1700</x:v>
      </x:c>
      <x:c r="R426" s="22"/>
      <x:c r="S426" s="22"/>
      <x:c r="T426" s="22" t="str">
        <x:v>64位值核对</x:v>
      </x:c>
    </x:row>
    <x:row r="427" ht="24" customHeight="1">
      <x:c r="A427" s="22" t="str">
        <x:v>C08-M033</x:v>
      </x:c>
      <x:c r="B427" s="22" t="n">
        <x:v>8</x:v>
      </x:c>
      <x:c r="C427" s="22" t="str">
        <x:v>冰宫王庭</x:v>
      </x:c>
      <x:c r="D427" s="22" t="str">
        <x:v>稀有</x:v>
      </x:c>
      <x:c r="E427" s="22" t="str">
        <x:v>议殿古律巨人</x:v>
      </x:c>
      <x:c r="F427" s="22" t="str">
        <x:v>XX323</x:v>
      </x:c>
      <x:c r="G427" s="22" t="str">
        <x:v>P0244</x:v>
      </x:c>
      <x:c r="H427" s="22" t="n">
        <x:v>21.6</x:v>
      </x:c>
      <x:c r="I427" s="28" t="n">
        <x:v>1151171383.9294724</x:v>
      </x:c>
      <x:c r="J427" s="28" t="n">
        <x:f>ROUND(H427*I427,-MAX(0,INT(LOG10(H427*I427))-1))</x:f>
        <x:v>25000000000</x:v>
      </x:c>
      <x:c r="K427" s="28" t="n">
        <x:v>2300000</x:v>
      </x:c>
      <x:c r="L427" s="28" t="n">
        <x:v>3100000</x:v>
      </x:c>
      <x:c r="M427" s="28" t="n">
        <x:v>98000</x:v>
      </x:c>
      <x:c r="N427" s="28" t="n">
        <x:v>83000</x:v>
      </x:c>
      <x:c r="O427" s="28" t="n">
        <x:v>236</x:v>
      </x:c>
      <x:c r="P427" s="28" t="n">
        <x:v>1200</x:v>
      </x:c>
      <x:c r="Q427" s="28" t="n">
        <x:v>1700</x:v>
      </x:c>
      <x:c r="R427" s="22"/>
      <x:c r="S427" s="22"/>
      <x:c r="T427" s="22" t="str">
        <x:v>64位值核对</x:v>
      </x:c>
    </x:row>
    <x:row r="428" ht="24" customHeight="1">
      <x:c r="A428" s="22" t="str">
        <x:v>C08-M034</x:v>
      </x:c>
      <x:c r="B428" s="22" t="n">
        <x:v>8</x:v>
      </x:c>
      <x:c r="C428" s="22" t="str">
        <x:v>冰宫王庭</x:v>
      </x:c>
      <x:c r="D428" s="22" t="str">
        <x:v>稀有</x:v>
      </x:c>
      <x:c r="E428" s="22" t="str">
        <x:v>王座霜冠司礼</x:v>
      </x:c>
      <x:c r="F428" s="22" t="str">
        <x:v>XX326</x:v>
      </x:c>
      <x:c r="G428" s="22" t="str">
        <x:v>P0244</x:v>
      </x:c>
      <x:c r="H428" s="22" t="n">
        <x:v>24</x:v>
      </x:c>
      <x:c r="I428" s="28" t="n">
        <x:v>1151171383.9294724</x:v>
      </x:c>
      <x:c r="J428" s="28" t="n">
        <x:f>ROUND(H428*I428,-MAX(0,INT(LOG10(H428*I428))-1))</x:f>
        <x:v>28000000000</x:v>
      </x:c>
      <x:c r="K428" s="28" t="n">
        <x:v>2300000</x:v>
      </x:c>
      <x:c r="L428" s="28" t="n">
        <x:v>3100000</x:v>
      </x:c>
      <x:c r="M428" s="28" t="n">
        <x:v>98000</x:v>
      </x:c>
      <x:c r="N428" s="28" t="n">
        <x:v>83000</x:v>
      </x:c>
      <x:c r="O428" s="28" t="n">
        <x:v>236</x:v>
      </x:c>
      <x:c r="P428" s="28" t="n">
        <x:v>1200</x:v>
      </x:c>
      <x:c r="Q428" s="28" t="n">
        <x:v>1700</x:v>
      </x:c>
      <x:c r="R428" s="22"/>
      <x:c r="S428" s="22"/>
      <x:c r="T428" s="22" t="str">
        <x:v>64位值核对</x:v>
      </x:c>
    </x:row>
    <x:row r="429" ht="24" customHeight="1">
      <x:c r="A429" s="22" t="str">
        <x:v>C08-M035</x:v>
      </x:c>
      <x:c r="B429" s="22" t="n">
        <x:v>8</x:v>
      </x:c>
      <x:c r="C429" s="22" t="str">
        <x:v>冰宫王庭</x:v>
      </x:c>
      <x:c r="D429" s="22" t="str">
        <x:v>地图BOSS</x:v>
      </x:c>
      <x:c r="E429" s="22" t="str">
        <x:v>议殿白髯公·沃尔格</x:v>
      </x:c>
      <x:c r="F429" s="22" t="str">
        <x:v>XX323</x:v>
      </x:c>
      <x:c r="G429" s="22" t="str">
        <x:v>P0251</x:v>
      </x:c>
      <x:c r="H429" s="22" t="n">
        <x:v>75</x:v>
      </x:c>
      <x:c r="I429" s="28" t="n">
        <x:v>4482138388.206302</x:v>
      </x:c>
      <x:c r="J429" s="28" t="n">
        <x:f>ROUND(H429*I429,-MAX(0,INT(LOG10(H429*I429))-1))</x:f>
        <x:v>340000000000</x:v>
      </x:c>
      <x:c r="K429" s="28" t="n">
        <x:v>4400000</x:v>
      </x:c>
      <x:c r="L429" s="28" t="n">
        <x:v>5900000</x:v>
      </x:c>
      <x:c r="M429" s="28" t="n">
        <x:v>190000</x:v>
      </x:c>
      <x:c r="N429" s="28" t="n">
        <x:v>160000</x:v>
      </x:c>
      <x:c r="O429" s="28" t="n">
        <x:v>236</x:v>
      </x:c>
      <x:c r="P429" s="28" t="n">
        <x:v>4900</x:v>
      </x:c>
      <x:c r="Q429" s="28" t="n">
        <x:v>1800</x:v>
      </x:c>
      <x:c r="R429" s="22"/>
      <x:c r="S429" s="22"/>
      <x:c r="T429" s="22" t="str">
        <x:v>64位值核对</x:v>
      </x:c>
    </x:row>
    <x:row r="430" ht="24" customHeight="1">
      <x:c r="A430" s="22" t="str">
        <x:v>C08-M036</x:v>
      </x:c>
      <x:c r="B430" s="22" t="n">
        <x:v>8</x:v>
      </x:c>
      <x:c r="C430" s="22" t="str">
        <x:v>冰宫王庭</x:v>
      </x:c>
      <x:c r="D430" s="22" t="str">
        <x:v>地图BOSS</x:v>
      </x:c>
      <x:c r="E430" s="22" t="str">
        <x:v>冰宫摄政后·伊瑟芮</x:v>
      </x:c>
      <x:c r="F430" s="22" t="str">
        <x:v>XX326</x:v>
      </x:c>
      <x:c r="G430" s="22" t="str">
        <x:v>P0252</x:v>
      </x:c>
      <x:c r="H430" s="22" t="n">
        <x:v>67.5</x:v>
      </x:c>
      <x:c r="I430" s="28" t="n">
        <x:v>4482138388.206302</x:v>
      </x:c>
      <x:c r="J430" s="28" t="n">
        <x:f>ROUND(H430*I430,-MAX(0,INT(LOG10(H430*I430))-1))</x:f>
        <x:v>300000000000</x:v>
      </x:c>
      <x:c r="K430" s="28" t="n">
        <x:v>4400000</x:v>
      </x:c>
      <x:c r="L430" s="28" t="n">
        <x:v>5900000</x:v>
      </x:c>
      <x:c r="M430" s="28" t="n">
        <x:v>190000</x:v>
      </x:c>
      <x:c r="N430" s="28" t="n">
        <x:v>160000</x:v>
      </x:c>
      <x:c r="O430" s="28" t="n">
        <x:v>236</x:v>
      </x:c>
      <x:c r="P430" s="28" t="n">
        <x:v>4900</x:v>
      </x:c>
      <x:c r="Q430" s="28" t="n">
        <x:v>1800</x:v>
      </x:c>
      <x:c r="R430" s="22"/>
      <x:c r="S430" s="22"/>
      <x:c r="T430" s="22" t="str">
        <x:v>64位值核对</x:v>
      </x:c>
    </x:row>
    <x:row r="431" ht="24" customHeight="1">
      <x:c r="A431" s="22" t="str">
        <x:v>C08-M037</x:v>
      </x:c>
      <x:c r="B431" s="22" t="n">
        <x:v>8</x:v>
      </x:c>
      <x:c r="C431" s="22" t="str">
        <x:v>巨人王庭</x:v>
      </x:c>
      <x:c r="D431" s="22" t="str">
        <x:v>普通</x:v>
      </x:c>
      <x:c r="E431" s="22" t="str">
        <x:v>王庭铸霜卫</x:v>
      </x:c>
      <x:c r="F431" s="22" t="str">
        <x:v>XX899</x:v>
      </x:c>
      <x:c r="G431" s="22" t="str">
        <x:v>P0250</x:v>
      </x:c>
      <x:c r="H431" s="22" t="n">
        <x:v>7.2</x:v>
      </x:c>
      <x:c r="I431" s="28" t="n">
        <x:v>1271739443.5911734</x:v>
      </x:c>
      <x:c r="J431" s="28" t="n">
        <x:f>ROUND(H431*I431,-MAX(0,INT(LOG10(H431*I431))-1))</x:f>
        <x:v>9200000000</x:v>
      </x:c>
      <x:c r="K431" s="28" t="n">
        <x:v>550000</x:v>
      </x:c>
      <x:c r="L431" s="28" t="n">
        <x:v>750000</x:v>
      </x:c>
      <x:c r="M431" s="28" t="n">
        <x:v>50000</x:v>
      </x:c>
      <x:c r="N431" s="28" t="n">
        <x:v>42000</x:v>
      </x:c>
      <x:c r="O431" s="28" t="n">
        <x:v>239</x:v>
      </x:c>
      <x:c r="P431" s="28" t="n">
        <x:v>420</x:v>
      </x:c>
      <x:c r="Q431" s="28" t="n">
        <x:v>1600</x:v>
      </x:c>
      <x:c r="R431" s="22"/>
      <x:c r="S431" s="22"/>
      <x:c r="T431" s="22" t="str">
        <x:v>64位值核对</x:v>
      </x:c>
    </x:row>
    <x:row r="432" ht="24" customHeight="1">
      <x:c r="A432" s="22" t="str">
        <x:v>C08-M038</x:v>
      </x:c>
      <x:c r="B432" s="22" t="n">
        <x:v>8</x:v>
      </x:c>
      <x:c r="C432" s="22" t="str">
        <x:v>巨人王庭</x:v>
      </x:c>
      <x:c r="D432" s="22" t="str">
        <x:v>普通</x:v>
      </x:c>
      <x:c r="E432" s="22" t="str">
        <x:v>庭阶雪鬃獒</x:v>
      </x:c>
      <x:c r="F432" s="22" t="str">
        <x:v>XX899</x:v>
      </x:c>
      <x:c r="G432" s="22" t="str">
        <x:v>P0250</x:v>
      </x:c>
      <x:c r="H432" s="22" t="n">
        <x:v>8</x:v>
      </x:c>
      <x:c r="I432" s="28" t="n">
        <x:v>1271739443.5911734</x:v>
      </x:c>
      <x:c r="J432" s="28" t="n">
        <x:f>ROUND(H432*I432,-MAX(0,INT(LOG10(H432*I432))-1))</x:f>
        <x:v>10000000000</x:v>
      </x:c>
      <x:c r="K432" s="28" t="n">
        <x:v>550000</x:v>
      </x:c>
      <x:c r="L432" s="28" t="n">
        <x:v>750000</x:v>
      </x:c>
      <x:c r="M432" s="28" t="n">
        <x:v>50000</x:v>
      </x:c>
      <x:c r="N432" s="28" t="n">
        <x:v>42000</x:v>
      </x:c>
      <x:c r="O432" s="28" t="n">
        <x:v>239</x:v>
      </x:c>
      <x:c r="P432" s="28" t="n">
        <x:v>420</x:v>
      </x:c>
      <x:c r="Q432" s="28" t="n">
        <x:v>1600</x:v>
      </x:c>
      <x:c r="R432" s="22"/>
      <x:c r="S432" s="22"/>
      <x:c r="T432" s="22" t="str">
        <x:v>64位值核对</x:v>
      </x:c>
    </x:row>
    <x:row r="433" ht="24" customHeight="1">
      <x:c r="A433" s="22" t="str">
        <x:v>C08-M039</x:v>
      </x:c>
      <x:c r="B433" s="22" t="n">
        <x:v>8</x:v>
      </x:c>
      <x:c r="C433" s="22" t="str">
        <x:v>巨人王庭</x:v>
      </x:c>
      <x:c r="D433" s="22" t="str">
        <x:v>普通</x:v>
      </x:c>
      <x:c r="E433" s="22" t="str">
        <x:v>内宫白毡侍</x:v>
      </x:c>
      <x:c r="F433" s="22" t="str">
        <x:v>XX898</x:v>
      </x:c>
      <x:c r="G433" s="22" t="str">
        <x:v>P0250</x:v>
      </x:c>
      <x:c r="H433" s="22" t="n">
        <x:v>8.8</x:v>
      </x:c>
      <x:c r="I433" s="28" t="n">
        <x:v>1271739443.5911734</x:v>
      </x:c>
      <x:c r="J433" s="28" t="n">
        <x:f>ROUND(H433*I433,-MAX(0,INT(LOG10(H433*I433))-1))</x:f>
        <x:v>11000000000</x:v>
      </x:c>
      <x:c r="K433" s="28" t="n">
        <x:v>550000</x:v>
      </x:c>
      <x:c r="L433" s="28" t="n">
        <x:v>750000</x:v>
      </x:c>
      <x:c r="M433" s="28" t="n">
        <x:v>50000</x:v>
      </x:c>
      <x:c r="N433" s="28" t="n">
        <x:v>42000</x:v>
      </x:c>
      <x:c r="O433" s="28" t="n">
        <x:v>239</x:v>
      </x:c>
      <x:c r="P433" s="28" t="n">
        <x:v>420</x:v>
      </x:c>
      <x:c r="Q433" s="28" t="n">
        <x:v>1600</x:v>
      </x:c>
      <x:c r="R433" s="22"/>
      <x:c r="S433" s="22"/>
      <x:c r="T433" s="22" t="str">
        <x:v>64位值核对</x:v>
      </x:c>
    </x:row>
    <x:row r="434" ht="24" customHeight="1">
      <x:c r="A434" s="22" t="str">
        <x:v>C08-M040</x:v>
      </x:c>
      <x:c r="B434" s="22" t="n">
        <x:v>8</x:v>
      </x:c>
      <x:c r="C434" s="22" t="str">
        <x:v>巨人王庭</x:v>
      </x:c>
      <x:c r="D434" s="22" t="str">
        <x:v>普通</x:v>
      </x:c>
      <x:c r="E434" s="22" t="str">
        <x:v>雪域巡烛官</x:v>
      </x:c>
      <x:c r="F434" s="22" t="str">
        <x:v>XX898</x:v>
      </x:c>
      <x:c r="G434" s="22" t="str">
        <x:v>P0250</x:v>
      </x:c>
      <x:c r="H434" s="22" t="n">
        <x:v>8</x:v>
      </x:c>
      <x:c r="I434" s="28" t="n">
        <x:v>1271739443.5911734</x:v>
      </x:c>
      <x:c r="J434" s="28" t="n">
        <x:f>ROUND(H434*I434,-MAX(0,INT(LOG10(H434*I434))-1))</x:f>
        <x:v>10000000000</x:v>
      </x:c>
      <x:c r="K434" s="28" t="n">
        <x:v>550000</x:v>
      </x:c>
      <x:c r="L434" s="28" t="n">
        <x:v>750000</x:v>
      </x:c>
      <x:c r="M434" s="28" t="n">
        <x:v>50000</x:v>
      </x:c>
      <x:c r="N434" s="28" t="n">
        <x:v>42000</x:v>
      </x:c>
      <x:c r="O434" s="28" t="n">
        <x:v>239</x:v>
      </x:c>
      <x:c r="P434" s="28" t="n">
        <x:v>420</x:v>
      </x:c>
      <x:c r="Q434" s="28" t="n">
        <x:v>1600</x:v>
      </x:c>
      <x:c r="R434" s="22"/>
      <x:c r="S434" s="22"/>
      <x:c r="T434" s="22" t="str">
        <x:v>64位值核对</x:v>
      </x:c>
    </x:row>
    <x:row r="435" ht="24" customHeight="1">
      <x:c r="A435" s="22" t="str">
        <x:v>C08-M041</x:v>
      </x:c>
      <x:c r="B435" s="22" t="n">
        <x:v>8</x:v>
      </x:c>
      <x:c r="C435" s="22" t="str">
        <x:v>巨人王庭</x:v>
      </x:c>
      <x:c r="D435" s="22" t="str">
        <x:v>普通</x:v>
      </x:c>
      <x:c r="E435" s="22" t="str">
        <x:v>王座负碑巨人</x:v>
      </x:c>
      <x:c r="F435" s="22" t="str">
        <x:v>XX897</x:v>
      </x:c>
      <x:c r="G435" s="22" t="str">
        <x:v>P0250</x:v>
      </x:c>
      <x:c r="H435" s="22" t="n">
        <x:v>7.2</x:v>
      </x:c>
      <x:c r="I435" s="28" t="n">
        <x:v>1271739443.5911734</x:v>
      </x:c>
      <x:c r="J435" s="28" t="n">
        <x:f>ROUND(H435*I435,-MAX(0,INT(LOG10(H435*I435))-1))</x:f>
        <x:v>9200000000</x:v>
      </x:c>
      <x:c r="K435" s="28" t="n">
        <x:v>81000</x:v>
      </x:c>
      <x:c r="L435" s="28" t="n">
        <x:v>110000</x:v>
      </x:c>
      <x:c r="M435" s="28" t="n">
        <x:v>50000</x:v>
      </x:c>
      <x:c r="N435" s="28" t="n">
        <x:v>42000</x:v>
      </x:c>
      <x:c r="O435" s="28" t="n">
        <x:v>239</x:v>
      </x:c>
      <x:c r="P435" s="28" t="n">
        <x:v>420</x:v>
      </x:c>
      <x:c r="Q435" s="28" t="n">
        <x:v>1600</x:v>
      </x:c>
      <x:c r="R435" s="22"/>
      <x:c r="S435" s="22"/>
      <x:c r="T435" s="22" t="str">
        <x:v>64位值核对</x:v>
      </x:c>
    </x:row>
    <x:row r="436" ht="24" customHeight="1">
      <x:c r="A436" s="22" t="str">
        <x:v>C08-M042</x:v>
      </x:c>
      <x:c r="B436" s="22" t="n">
        <x:v>8</x:v>
      </x:c>
      <x:c r="C436" s="22" t="str">
        <x:v>巨人王庭</x:v>
      </x:c>
      <x:c r="D436" s="22" t="str">
        <x:v>普通</x:v>
      </x:c>
      <x:c r="E436" s="22" t="str">
        <x:v>王座冰铃童</x:v>
      </x:c>
      <x:c r="F436" s="22" t="str">
        <x:v>XX897</x:v>
      </x:c>
      <x:c r="G436" s="22" t="str">
        <x:v>P0250</x:v>
      </x:c>
      <x:c r="H436" s="22" t="n">
        <x:v>7.2</x:v>
      </x:c>
      <x:c r="I436" s="28" t="n">
        <x:v>1271739443.5911734</x:v>
      </x:c>
      <x:c r="J436" s="28" t="n">
        <x:f>ROUND(H436*I436,-MAX(0,INT(LOG10(H436*I436))-1))</x:f>
        <x:v>9200000000</x:v>
      </x:c>
      <x:c r="K436" s="28" t="n">
        <x:v>81000</x:v>
      </x:c>
      <x:c r="L436" s="28" t="n">
        <x:v>110000</x:v>
      </x:c>
      <x:c r="M436" s="28" t="n">
        <x:v>50000</x:v>
      </x:c>
      <x:c r="N436" s="28" t="n">
        <x:v>42000</x:v>
      </x:c>
      <x:c r="O436" s="28" t="n">
        <x:v>239</x:v>
      </x:c>
      <x:c r="P436" s="28" t="n">
        <x:v>420</x:v>
      </x:c>
      <x:c r="Q436" s="28" t="n">
        <x:v>1600</x:v>
      </x:c>
      <x:c r="R436" s="22"/>
      <x:c r="S436" s="22"/>
      <x:c r="T436" s="22" t="str">
        <x:v>64位值核对</x:v>
      </x:c>
    </x:row>
    <x:row r="437" ht="24" customHeight="1">
      <x:c r="A437" s="22" t="str">
        <x:v>C08-M043</x:v>
      </x:c>
      <x:c r="B437" s="22" t="n">
        <x:v>8</x:v>
      </x:c>
      <x:c r="C437" s="22" t="str">
        <x:v>巨人王庭</x:v>
      </x:c>
      <x:c r="D437" s="22" t="str">
        <x:v>稀有</x:v>
      </x:c>
      <x:c r="E437" s="22" t="str">
        <x:v>觐庭裂盔侯</x:v>
      </x:c>
      <x:c r="F437" s="22" t="str">
        <x:v>XX899</x:v>
      </x:c>
      <x:c r="G437" s="22" t="str">
        <x:v>P0250</x:v>
      </x:c>
      <x:c r="H437" s="22" t="n">
        <x:v>21.6</x:v>
      </x:c>
      <x:c r="I437" s="28" t="n">
        <x:v>1191072636.710287</x:v>
      </x:c>
      <x:c r="J437" s="28" t="n">
        <x:f>ROUND(H437*I437,-MAX(0,INT(LOG10(H437*I437))-1))</x:f>
        <x:v>26000000000</x:v>
      </x:c>
      <x:c r="K437" s="28" t="n">
        <x:v>1100000</x:v>
      </x:c>
      <x:c r="L437" s="28" t="n">
        <x:v>1400000</x:v>
      </x:c>
      <x:c r="M437" s="28" t="n">
        <x:v>100000</x:v>
      </x:c>
      <x:c r="N437" s="28" t="n">
        <x:v>85000</x:v>
      </x:c>
      <x:c r="O437" s="28" t="n">
        <x:v>239</x:v>
      </x:c>
      <x:c r="P437" s="28" t="n">
        <x:v>1300</x:v>
      </x:c>
      <x:c r="Q437" s="28" t="n">
        <x:v>1700</x:v>
      </x:c>
      <x:c r="R437" s="22"/>
      <x:c r="S437" s="22"/>
      <x:c r="T437" s="22" t="str">
        <x:v>64位值核对</x:v>
      </x:c>
    </x:row>
    <x:row r="438" ht="24" customHeight="1">
      <x:c r="A438" s="22" t="str">
        <x:v>C08-M044</x:v>
      </x:c>
      <x:c r="B438" s="22" t="n">
        <x:v>8</x:v>
      </x:c>
      <x:c r="C438" s="22" t="str">
        <x:v>巨人王庭</x:v>
      </x:c>
      <x:c r="D438" s="22" t="str">
        <x:v>稀有</x:v>
      </x:c>
      <x:c r="E438" s="22" t="str">
        <x:v>内宫织雪妪</x:v>
      </x:c>
      <x:c r="F438" s="22" t="str">
        <x:v>XX898</x:v>
      </x:c>
      <x:c r="G438" s="22" t="str">
        <x:v>P0250</x:v>
      </x:c>
      <x:c r="H438" s="22" t="n">
        <x:v>21.6</x:v>
      </x:c>
      <x:c r="I438" s="28" t="n">
        <x:v>1191072636.710287</x:v>
      </x:c>
      <x:c r="J438" s="28" t="n">
        <x:f>ROUND(H438*I438,-MAX(0,INT(LOG10(H438*I438))-1))</x:f>
        <x:v>26000000000</x:v>
      </x:c>
      <x:c r="K438" s="28" t="n">
        <x:v>1100000</x:v>
      </x:c>
      <x:c r="L438" s="28" t="n">
        <x:v>1400000</x:v>
      </x:c>
      <x:c r="M438" s="28" t="n">
        <x:v>100000</x:v>
      </x:c>
      <x:c r="N438" s="28" t="n">
        <x:v>85000</x:v>
      </x:c>
      <x:c r="O438" s="28" t="n">
        <x:v>239</x:v>
      </x:c>
      <x:c r="P438" s="28" t="n">
        <x:v>1300</x:v>
      </x:c>
      <x:c r="Q438" s="28" t="n">
        <x:v>1700</x:v>
      </x:c>
      <x:c r="R438" s="22"/>
      <x:c r="S438" s="22"/>
      <x:c r="T438" s="22" t="str">
        <x:v>64位值核对</x:v>
      </x:c>
    </x:row>
    <x:row r="439" ht="24" customHeight="1">
      <x:c r="A439" s="22" t="str">
        <x:v>C08-M045</x:v>
      </x:c>
      <x:c r="B439" s="22" t="n">
        <x:v>8</x:v>
      </x:c>
      <x:c r="C439" s="22" t="str">
        <x:v>巨人王庭</x:v>
      </x:c>
      <x:c r="D439" s="22" t="str">
        <x:v>稀有</x:v>
      </x:c>
      <x:c r="E439" s="22" t="str">
        <x:v>雪域封门将</x:v>
      </x:c>
      <x:c r="F439" s="22" t="str">
        <x:v>XX898</x:v>
      </x:c>
      <x:c r="G439" s="22" t="str">
        <x:v>P0250</x:v>
      </x:c>
      <x:c r="H439" s="22" t="n">
        <x:v>24</x:v>
      </x:c>
      <x:c r="I439" s="28" t="n">
        <x:v>1191072636.710287</x:v>
      </x:c>
      <x:c r="J439" s="28" t="n">
        <x:f>ROUND(H439*I439,-MAX(0,INT(LOG10(H439*I439))-1))</x:f>
        <x:v>29000000000</x:v>
      </x:c>
      <x:c r="K439" s="28" t="n">
        <x:v>1100000</x:v>
      </x:c>
      <x:c r="L439" s="28" t="n">
        <x:v>1400000</x:v>
      </x:c>
      <x:c r="M439" s="28" t="n">
        <x:v>100000</x:v>
      </x:c>
      <x:c r="N439" s="28" t="n">
        <x:v>85000</x:v>
      </x:c>
      <x:c r="O439" s="28" t="n">
        <x:v>239</x:v>
      </x:c>
      <x:c r="P439" s="28" t="n">
        <x:v>1300</x:v>
      </x:c>
      <x:c r="Q439" s="28" t="n">
        <x:v>1700</x:v>
      </x:c>
      <x:c r="R439" s="22"/>
      <x:c r="S439" s="22"/>
      <x:c r="T439" s="22" t="str">
        <x:v>64位值核对</x:v>
      </x:c>
    </x:row>
    <x:row r="440" ht="24" customHeight="1">
      <x:c r="A440" s="22" t="str">
        <x:v>C08-M046</x:v>
      </x:c>
      <x:c r="B440" s="22" t="n">
        <x:v>8</x:v>
      </x:c>
      <x:c r="C440" s="22" t="str">
        <x:v>巨人王庭</x:v>
      </x:c>
      <x:c r="D440" s="22" t="str">
        <x:v>稀有</x:v>
      </x:c>
      <x:c r="E440" s="22" t="str">
        <x:v>王座守梦巫</x:v>
      </x:c>
      <x:c r="F440" s="22" t="str">
        <x:v>XX897</x:v>
      </x:c>
      <x:c r="G440" s="22" t="str">
        <x:v>P0250</x:v>
      </x:c>
      <x:c r="H440" s="22" t="n">
        <x:v>26.400000000000002</x:v>
      </x:c>
      <x:c r="I440" s="28" t="n">
        <x:v>1191072636.710287</x:v>
      </x:c>
      <x:c r="J440" s="28" t="n">
        <x:f>ROUND(H440*I440,-MAX(0,INT(LOG10(H440*I440))-1))</x:f>
        <x:v>31000000000</x:v>
      </x:c>
      <x:c r="K440" s="28" t="n">
        <x:v>150000</x:v>
      </x:c>
      <x:c r="L440" s="28" t="n">
        <x:v>200000</x:v>
      </x:c>
      <x:c r="M440" s="28" t="n">
        <x:v>100000</x:v>
      </x:c>
      <x:c r="N440" s="28" t="n">
        <x:v>85000</x:v>
      </x:c>
      <x:c r="O440" s="28" t="n">
        <x:v>239</x:v>
      </x:c>
      <x:c r="P440" s="28" t="n">
        <x:v>1300</x:v>
      </x:c>
      <x:c r="Q440" s="28" t="n">
        <x:v>1700</x:v>
      </x:c>
      <x:c r="R440" s="22"/>
      <x:c r="S440" s="22"/>
      <x:c r="T440" s="22" t="str">
        <x:v>64位值核对</x:v>
      </x:c>
    </x:row>
    <x:row r="441" ht="24" customHeight="1">
      <x:c r="A441" s="22" t="str">
        <x:v>C08-M047</x:v>
      </x:c>
      <x:c r="B441" s="22" t="n">
        <x:v>8</x:v>
      </x:c>
      <x:c r="C441" s="22" t="str">
        <x:v>巨人王庭</x:v>
      </x:c>
      <x:c r="D441" s="22" t="str">
        <x:v>地图BOSS</x:v>
      </x:c>
      <x:c r="E441" s="22" t="str">
        <x:v>内宫冬眠王·格罗尔</x:v>
      </x:c>
      <x:c r="F441" s="22" t="str">
        <x:v>XX898</x:v>
      </x:c>
      <x:c r="G441" s="22" t="str">
        <x:v>P0257</x:v>
      </x:c>
      <x:c r="H441" s="22" t="n">
        <x:v>86.25</x:v>
      </x:c>
      <x:c r="I441" s="28" t="n">
        <x:v>3773270353.4617853</x:v>
      </x:c>
      <x:c r="J441" s="28" t="n">
        <x:f>ROUND(H441*I441,-MAX(0,INT(LOG10(H441*I441))-1))</x:f>
        <x:v>330000000000</x:v>
      </x:c>
      <x:c r="K441" s="28" t="n">
        <x:v>2000000</x:v>
      </x:c>
      <x:c r="L441" s="28" t="n">
        <x:v>2800000</x:v>
      </x:c>
      <x:c r="M441" s="28" t="n">
        <x:v>210000</x:v>
      </x:c>
      <x:c r="N441" s="28" t="n">
        <x:v>180000</x:v>
      </x:c>
      <x:c r="O441" s="28" t="n">
        <x:v>239</x:v>
      </x:c>
      <x:c r="P441" s="28" t="n">
        <x:v>5100</x:v>
      </x:c>
      <x:c r="Q441" s="28" t="n">
        <x:v>1800</x:v>
      </x:c>
      <x:c r="R441" s="22"/>
      <x:c r="S441" s="22"/>
      <x:c r="T441" s="22" t="str">
        <x:v>64位值核对</x:v>
      </x:c>
    </x:row>
    <x:row r="442" ht="24" customHeight="1">
      <x:c r="A442" s="22" t="str">
        <x:v>C08-M048</x:v>
      </x:c>
      <x:c r="B442" s="22" t="n">
        <x:v>8</x:v>
      </x:c>
      <x:c r="C442" s="22" t="str">
        <x:v>巨人王庭</x:v>
      </x:c>
      <x:c r="D442" s="22" t="str">
        <x:v>地图BOSS</x:v>
      </x:c>
      <x:c r="E442" s="22" t="str">
        <x:v>巨人女王·赫芮迦</x:v>
      </x:c>
      <x:c r="F442" s="22" t="str">
        <x:v>XX897</x:v>
      </x:c>
      <x:c r="G442" s="22" t="str">
        <x:v>P0258</x:v>
      </x:c>
      <x:c r="H442" s="22" t="n">
        <x:v>82.5</x:v>
      </x:c>
      <x:c r="I442" s="28" t="n">
        <x:v>3773270353.4617853</x:v>
      </x:c>
      <x:c r="J442" s="28" t="n">
        <x:f>ROUND(H442*I442,-MAX(0,INT(LOG10(H442*I442))-1))</x:f>
        <x:v>310000000000</x:v>
      </x:c>
      <x:c r="K442" s="28" t="n">
        <x:v>280000</x:v>
      </x:c>
      <x:c r="L442" s="28" t="n">
        <x:v>380000</x:v>
      </x:c>
      <x:c r="M442" s="28" t="n">
        <x:v>210000</x:v>
      </x:c>
      <x:c r="N442" s="28" t="n">
        <x:v>180000</x:v>
      </x:c>
      <x:c r="O442" s="28" t="n">
        <x:v>239</x:v>
      </x:c>
      <x:c r="P442" s="28" t="n">
        <x:v>5100</x:v>
      </x:c>
      <x:c r="Q442" s="28" t="n">
        <x:v>1800</x:v>
      </x:c>
      <x:c r="R442" s="22"/>
      <x:c r="S442" s="22"/>
      <x:c r="T442" s="22" t="str">
        <x:v>64位值核对</x:v>
      </x:c>
    </x:row>
    <x:row r="443" ht="24" customHeight="1">
      <x:c r="A443" s="22" t="str">
        <x:v>C08-M049</x:v>
      </x:c>
      <x:c r="B443" s="22" t="n">
        <x:v>8</x:v>
      </x:c>
      <x:c r="C443" s="22" t="str">
        <x:v>巨人王庭</x:v>
      </x:c>
      <x:c r="D443" s="22" t="str">
        <x:v>守关BOSS</x:v>
      </x:c>
      <x:c r="E443" s="22" t="str">
        <x:v>吞日霜王·乌尔迈</x:v>
      </x:c>
      <x:c r="F443" s="22" t="str">
        <x:v>XX897</x:v>
      </x:c>
      <x:c r="G443" s="22" t="str">
        <x:v>P0262</x:v>
      </x:c>
      <x:c r="H443" s="22" t="n">
        <x:v>330</x:v>
      </x:c>
      <x:c r="I443" s="28" t="n">
        <x:v>5518576773.023756</x:v>
      </x:c>
      <x:c r="J443" s="28" t="n">
        <x:f>ROUND(H443*I443,-MAX(0,INT(LOG10(H443*I443))-1))</x:f>
        <x:v>1800000000000</x:v>
      </x:c>
      <x:c r="K443" s="28" t="n">
        <x:v>12000000</x:v>
      </x:c>
      <x:c r="L443" s="28" t="n">
        <x:v>16000000</x:v>
      </x:c>
      <x:c r="M443" s="28" t="n">
        <x:v>290000</x:v>
      </x:c>
      <x:c r="N443" s="28" t="n">
        <x:v>250000</x:v>
      </x:c>
      <x:c r="O443" s="28" t="n">
        <x:v>239</x:v>
      </x:c>
      <x:c r="P443" s="28" t="n">
        <x:v>13000</x:v>
      </x:c>
      <x:c r="Q443" s="28" t="n">
        <x:v>2000</x:v>
      </x:c>
      <x:c r="R443" s="22"/>
      <x:c r="S443" s="22"/>
      <x:c r="T443" s="22" t="str">
        <x:v>64位值核对</x:v>
      </x:c>
    </x:row>
    <x:row r="444" ht="24" customHeight="1">
      <x:c r="A444" s="22" t="str">
        <x:v>C09-M001</x:v>
      </x:c>
      <x:c r="B444" s="22" t="n">
        <x:v>9</x:v>
      </x:c>
      <x:c r="C444" s="22" t="str">
        <x:v>金叶古道</x:v>
      </x:c>
      <x:c r="D444" s="22" t="str">
        <x:v>普通</x:v>
      </x:c>
      <x:c r="E444" s="22" t="str">
        <x:v>金叶角鹿</x:v>
      </x:c>
      <x:c r="F444" s="22" t="str">
        <x:v>XX720</x:v>
      </x:c>
      <x:c r="G444" s="22" t="str">
        <x:v>P0267</x:v>
      </x:c>
      <x:c r="H444" s="22" t="n">
        <x:v>9.2</x:v>
      </x:c>
      <x:c r="I444" s="28" t="n">
        <x:v>2328207611.616939</x:v>
      </x:c>
      <x:c r="J444" s="28" t="n">
        <x:f>ROUND(H444*I444,-MAX(0,INT(LOG10(H444*I444))-1))</x:f>
        <x:v>21000000000</x:v>
      </x:c>
      <x:c r="K444" s="28" t="n">
        <x:v>3100000</x:v>
      </x:c>
      <x:c r="L444" s="28" t="n">
        <x:v>4100000</x:v>
      </x:c>
      <x:c r="M444" s="28" t="n">
        <x:v>79000</x:v>
      </x:c>
      <x:c r="N444" s="28" t="n">
        <x:v>67000</x:v>
      </x:c>
      <x:c r="O444" s="28" t="n">
        <x:v>260</x:v>
      </x:c>
      <x:c r="P444" s="28" t="n">
        <x:v>420</x:v>
      </x:c>
      <x:c r="Q444" s="28" t="n">
        <x:v>1600</x:v>
      </x:c>
      <x:c r="R444" s="22"/>
      <x:c r="S444" s="22"/>
      <x:c r="T444" s="22" t="str">
        <x:v>64位值核对</x:v>
      </x:c>
    </x:row>
    <x:row r="445" ht="24" customHeight="1">
      <x:c r="A445" s="22" t="str">
        <x:v>C09-M002</x:v>
      </x:c>
      <x:c r="B445" s="22" t="n">
        <x:v>9</x:v>
      </x:c>
      <x:c r="C445" s="22" t="str">
        <x:v>金叶古道</x:v>
      </x:c>
      <x:c r="D445" s="22" t="str">
        <x:v>普通</x:v>
      </x:c>
      <x:c r="E445" s="22" t="str">
        <x:v>拾穗旅盗</x:v>
      </x:c>
      <x:c r="F445" s="22" t="str">
        <x:v>XX720</x:v>
      </x:c>
      <x:c r="G445" s="22" t="str">
        <x:v>P0267</x:v>
      </x:c>
      <x:c r="H445" s="22" t="n">
        <x:v>9.2</x:v>
      </x:c>
      <x:c r="I445" s="28" t="n">
        <x:v>2328207611.616939</x:v>
      </x:c>
      <x:c r="J445" s="28" t="n">
        <x:f>ROUND(H445*I445,-MAX(0,INT(LOG10(H445*I445))-1))</x:f>
        <x:v>21000000000</x:v>
      </x:c>
      <x:c r="K445" s="28" t="n">
        <x:v>3100000</x:v>
      </x:c>
      <x:c r="L445" s="28" t="n">
        <x:v>4100000</x:v>
      </x:c>
      <x:c r="M445" s="28" t="n">
        <x:v>79000</x:v>
      </x:c>
      <x:c r="N445" s="28" t="n">
        <x:v>67000</x:v>
      </x:c>
      <x:c r="O445" s="28" t="n">
        <x:v>260</x:v>
      </x:c>
      <x:c r="P445" s="28" t="n">
        <x:v>420</x:v>
      </x:c>
      <x:c r="Q445" s="28" t="n">
        <x:v>1600</x:v>
      </x:c>
      <x:c r="R445" s="22"/>
      <x:c r="S445" s="22"/>
      <x:c r="T445" s="22" t="str">
        <x:v>64位值核对</x:v>
      </x:c>
    </x:row>
    <x:row r="446" ht="24" customHeight="1">
      <x:c r="A446" s="22" t="str">
        <x:v>C09-M003</x:v>
      </x:c>
      <x:c r="B446" s="22" t="n">
        <x:v>9</x:v>
      </x:c>
      <x:c r="C446" s="22" t="str">
        <x:v>金叶古道</x:v>
      </x:c>
      <x:c r="D446" s="22" t="str">
        <x:v>普通</x:v>
      </x:c>
      <x:c r="E446" s="22" t="str">
        <x:v>秋风驿卒</x:v>
      </x:c>
      <x:c r="F446" s="22" t="str">
        <x:v>XX717</x:v>
      </x:c>
      <x:c r="G446" s="22" t="str">
        <x:v>P0267</x:v>
      </x:c>
      <x:c r="H446" s="22" t="n">
        <x:v>8</x:v>
      </x:c>
      <x:c r="I446" s="28" t="n">
        <x:v>2328207611.616939</x:v>
      </x:c>
      <x:c r="J446" s="28" t="n">
        <x:f>ROUND(H446*I446,-MAX(0,INT(LOG10(H446*I446))-1))</x:f>
        <x:v>19000000000</x:v>
      </x:c>
      <x:c r="K446" s="28" t="n">
        <x:v>3100000</x:v>
      </x:c>
      <x:c r="L446" s="28" t="n">
        <x:v>4100000</x:v>
      </x:c>
      <x:c r="M446" s="28" t="n">
        <x:v>79000</x:v>
      </x:c>
      <x:c r="N446" s="28" t="n">
        <x:v>67000</x:v>
      </x:c>
      <x:c r="O446" s="28" t="n">
        <x:v>260</x:v>
      </x:c>
      <x:c r="P446" s="28" t="n">
        <x:v>420</x:v>
      </x:c>
      <x:c r="Q446" s="28" t="n">
        <x:v>1600</x:v>
      </x:c>
      <x:c r="R446" s="22"/>
      <x:c r="S446" s="22"/>
      <x:c r="T446" s="22" t="str">
        <x:v>64位值核对</x:v>
      </x:c>
    </x:row>
    <x:row r="447" ht="24" customHeight="1">
      <x:c r="A447" s="22" t="str">
        <x:v>C09-M004</x:v>
      </x:c>
      <x:c r="B447" s="22" t="n">
        <x:v>9</x:v>
      </x:c>
      <x:c r="C447" s="22" t="str">
        <x:v>金叶古道</x:v>
      </x:c>
      <x:c r="D447" s="22" t="str">
        <x:v>普通</x:v>
      </x:c>
      <x:c r="E447" s="22" t="str">
        <x:v>驿路驮甲虫</x:v>
      </x:c>
      <x:c r="F447" s="22" t="str">
        <x:v>XX717</x:v>
      </x:c>
      <x:c r="G447" s="22" t="str">
        <x:v>P0267</x:v>
      </x:c>
      <x:c r="H447" s="22" t="n">
        <x:v>7.6</x:v>
      </x:c>
      <x:c r="I447" s="28" t="n">
        <x:v>2328207611.616939</x:v>
      </x:c>
      <x:c r="J447" s="28" t="n">
        <x:f>ROUND(H447*I447,-MAX(0,INT(LOG10(H447*I447))-1))</x:f>
        <x:v>18000000000</x:v>
      </x:c>
      <x:c r="K447" s="28" t="n">
        <x:v>3100000</x:v>
      </x:c>
      <x:c r="L447" s="28" t="n">
        <x:v>4100000</x:v>
      </x:c>
      <x:c r="M447" s="28" t="n">
        <x:v>79000</x:v>
      </x:c>
      <x:c r="N447" s="28" t="n">
        <x:v>67000</x:v>
      </x:c>
      <x:c r="O447" s="28" t="n">
        <x:v>260</x:v>
      </x:c>
      <x:c r="P447" s="28" t="n">
        <x:v>420</x:v>
      </x:c>
      <x:c r="Q447" s="28" t="n">
        <x:v>1600</x:v>
      </x:c>
      <x:c r="R447" s="22"/>
      <x:c r="S447" s="22"/>
      <x:c r="T447" s="22" t="str">
        <x:v>64位值核对</x:v>
      </x:c>
    </x:row>
    <x:row r="448" ht="24" customHeight="1">
      <x:c r="A448" s="22" t="str">
        <x:v>C09-M005</x:v>
      </x:c>
      <x:c r="B448" s="22" t="n">
        <x:v>9</x:v>
      </x:c>
      <x:c r="C448" s="22" t="str">
        <x:v>金叶古道</x:v>
      </x:c>
      <x:c r="D448" s="22" t="str">
        <x:v>普通</x:v>
      </x:c>
      <x:c r="E448" s="22" t="str">
        <x:v>陵园鎏苔像</x:v>
      </x:c>
      <x:c r="F448" s="22" t="str">
        <x:v>XX718</x:v>
      </x:c>
      <x:c r="G448" s="22" t="str">
        <x:v>P0267</x:v>
      </x:c>
      <x:c r="H448" s="22" t="n">
        <x:v>8.8</x:v>
      </x:c>
      <x:c r="I448" s="28" t="n">
        <x:v>2328207611.616939</x:v>
      </x:c>
      <x:c r="J448" s="28" t="n">
        <x:f>ROUND(H448*I448,-MAX(0,INT(LOG10(H448*I448))-1))</x:f>
        <x:v>20000000000</x:v>
      </x:c>
      <x:c r="K448" s="28" t="n">
        <x:v>3100000</x:v>
      </x:c>
      <x:c r="L448" s="28" t="n">
        <x:v>4100000</x:v>
      </x:c>
      <x:c r="M448" s="28" t="n">
        <x:v>79000</x:v>
      </x:c>
      <x:c r="N448" s="28" t="n">
        <x:v>67000</x:v>
      </x:c>
      <x:c r="O448" s="28" t="n">
        <x:v>260</x:v>
      </x:c>
      <x:c r="P448" s="28" t="n">
        <x:v>420</x:v>
      </x:c>
      <x:c r="Q448" s="28" t="n">
        <x:v>1600</x:v>
      </x:c>
      <x:c r="R448" s="22"/>
      <x:c r="S448" s="22"/>
      <x:c r="T448" s="22" t="str">
        <x:v>64位值核对</x:v>
      </x:c>
    </x:row>
    <x:row r="449" ht="24" customHeight="1">
      <x:c r="A449" s="22" t="str">
        <x:v>C09-M006</x:v>
      </x:c>
      <x:c r="B449" s="22" t="n">
        <x:v>9</x:v>
      </x:c>
      <x:c r="C449" s="22" t="str">
        <x:v>金叶古道</x:v>
      </x:c>
      <x:c r="D449" s="22" t="str">
        <x:v>普通</x:v>
      </x:c>
      <x:c r="E449" s="22" t="str">
        <x:v>祭坛衔烛鸦</x:v>
      </x:c>
      <x:c r="F449" s="22" t="str">
        <x:v>XX721</x:v>
      </x:c>
      <x:c r="G449" s="22" t="str">
        <x:v>P0267</x:v>
      </x:c>
      <x:c r="H449" s="22" t="n">
        <x:v>7.2</x:v>
      </x:c>
      <x:c r="I449" s="28" t="n">
        <x:v>2328207611.616939</x:v>
      </x:c>
      <x:c r="J449" s="28" t="n">
        <x:f>ROUND(H449*I449,-MAX(0,INT(LOG10(H449*I449))-1))</x:f>
        <x:v>17000000000</x:v>
      </x:c>
      <x:c r="K449" s="28" t="n">
        <x:v>3100000</x:v>
      </x:c>
      <x:c r="L449" s="28" t="n">
        <x:v>4100000</x:v>
      </x:c>
      <x:c r="M449" s="28" t="n">
        <x:v>79000</x:v>
      </x:c>
      <x:c r="N449" s="28" t="n">
        <x:v>67000</x:v>
      </x:c>
      <x:c r="O449" s="28" t="n">
        <x:v>260</x:v>
      </x:c>
      <x:c r="P449" s="28" t="n">
        <x:v>420</x:v>
      </x:c>
      <x:c r="Q449" s="28" t="n">
        <x:v>1600</x:v>
      </x:c>
      <x:c r="R449" s="22"/>
      <x:c r="S449" s="22"/>
      <x:c r="T449" s="22" t="str">
        <x:v>64位值核对</x:v>
      </x:c>
    </x:row>
    <x:row r="450" ht="24" customHeight="1">
      <x:c r="A450" s="22" t="str">
        <x:v>C09-M007</x:v>
      </x:c>
      <x:c r="B450" s="22" t="n">
        <x:v>9</x:v>
      </x:c>
      <x:c r="C450" s="22" t="str">
        <x:v>金叶古道</x:v>
      </x:c>
      <x:c r="D450" s="22" t="str">
        <x:v>稀有</x:v>
      </x:c>
      <x:c r="E450" s="22" t="str">
        <x:v>落叶占路僧</x:v>
      </x:c>
      <x:c r="F450" s="22" t="str">
        <x:v>XX720</x:v>
      </x:c>
      <x:c r="G450" s="22" t="str">
        <x:v>P0267</x:v>
      </x:c>
      <x:c r="H450" s="22" t="n">
        <x:v>27.599999999999998</x:v>
      </x:c>
      <x:c r="I450" s="28" t="n">
        <x:v>2175809023.0700026</x:v>
      </x:c>
      <x:c r="J450" s="28" t="n">
        <x:f>ROUND(H450*I450,-MAX(0,INT(LOG10(H450*I450))-1))</x:f>
        <x:v>60000000000</x:v>
      </x:c>
      <x:c r="K450" s="28" t="n">
        <x:v>5700000</x:v>
      </x:c>
      <x:c r="L450" s="28" t="n">
        <x:v>7800000</x:v>
      </x:c>
      <x:c r="M450" s="28" t="n">
        <x:v>160000</x:v>
      </x:c>
      <x:c r="N450" s="28" t="n">
        <x:v>140000</x:v>
      </x:c>
      <x:c r="O450" s="28" t="n">
        <x:v>260</x:v>
      </x:c>
      <x:c r="P450" s="28" t="n">
        <x:v>1300</x:v>
      </x:c>
      <x:c r="Q450" s="28" t="n">
        <x:v>1700</x:v>
      </x:c>
      <x:c r="R450" s="22"/>
      <x:c r="S450" s="22"/>
      <x:c r="T450" s="22" t="str">
        <x:v>64位值核对</x:v>
      </x:c>
    </x:row>
    <x:row r="451" ht="24" customHeight="1">
      <x:c r="A451" s="22" t="str">
        <x:v>C09-M008</x:v>
      </x:c>
      <x:c r="B451" s="22" t="n">
        <x:v>9</x:v>
      </x:c>
      <x:c r="C451" s="22" t="str">
        <x:v>金叶古道</x:v>
      </x:c>
      <x:c r="D451" s="22" t="str">
        <x:v>稀有</x:v>
      </x:c>
      <x:c r="E451" s="22" t="str">
        <x:v>逆风驿骑</x:v>
      </x:c>
      <x:c r="F451" s="22" t="str">
        <x:v>XX717</x:v>
      </x:c>
      <x:c r="G451" s="22" t="str">
        <x:v>P0267</x:v>
      </x:c>
      <x:c r="H451" s="22" t="n">
        <x:v>22.799999999999997</x:v>
      </x:c>
      <x:c r="I451" s="28" t="n">
        <x:v>2175809023.0700026</x:v>
      </x:c>
      <x:c r="J451" s="28" t="n">
        <x:f>ROUND(H451*I451,-MAX(0,INT(LOG10(H451*I451))-1))</x:f>
        <x:v>50000000000</x:v>
      </x:c>
      <x:c r="K451" s="28" t="n">
        <x:v>5700000</x:v>
      </x:c>
      <x:c r="L451" s="28" t="n">
        <x:v>7800000</x:v>
      </x:c>
      <x:c r="M451" s="28" t="n">
        <x:v>160000</x:v>
      </x:c>
      <x:c r="N451" s="28" t="n">
        <x:v>140000</x:v>
      </x:c>
      <x:c r="O451" s="28" t="n">
        <x:v>260</x:v>
      </x:c>
      <x:c r="P451" s="28" t="n">
        <x:v>1300</x:v>
      </x:c>
      <x:c r="Q451" s="28" t="n">
        <x:v>1700</x:v>
      </x:c>
      <x:c r="R451" s="22"/>
      <x:c r="S451" s="22"/>
      <x:c r="T451" s="22" t="str">
        <x:v>64位值核对</x:v>
      </x:c>
    </x:row>
    <x:row r="452" ht="24" customHeight="1">
      <x:c r="A452" s="22" t="str">
        <x:v>C09-M009</x:v>
      </x:c>
      <x:c r="B452" s="22" t="n">
        <x:v>9</x:v>
      </x:c>
      <x:c r="C452" s="22" t="str">
        <x:v>金叶古道</x:v>
      </x:c>
      <x:c r="D452" s="22" t="str">
        <x:v>稀有</x:v>
      </x:c>
      <x:c r="E452" s="22" t="str">
        <x:v>守陵金颚兽</x:v>
      </x:c>
      <x:c r="F452" s="22" t="str">
        <x:v>XX718</x:v>
      </x:c>
      <x:c r="G452" s="22" t="str">
        <x:v>P0267</x:v>
      </x:c>
      <x:c r="H452" s="22" t="n">
        <x:v>24</x:v>
      </x:c>
      <x:c r="I452" s="28" t="n">
        <x:v>2175809023.0700026</x:v>
      </x:c>
      <x:c r="J452" s="28" t="n">
        <x:f>ROUND(H452*I452,-MAX(0,INT(LOG10(H452*I452))-1))</x:f>
        <x:v>52000000000</x:v>
      </x:c>
      <x:c r="K452" s="28" t="n">
        <x:v>5700000</x:v>
      </x:c>
      <x:c r="L452" s="28" t="n">
        <x:v>7800000</x:v>
      </x:c>
      <x:c r="M452" s="28" t="n">
        <x:v>160000</x:v>
      </x:c>
      <x:c r="N452" s="28" t="n">
        <x:v>140000</x:v>
      </x:c>
      <x:c r="O452" s="28" t="n">
        <x:v>260</x:v>
      </x:c>
      <x:c r="P452" s="28" t="n">
        <x:v>1300</x:v>
      </x:c>
      <x:c r="Q452" s="28" t="n">
        <x:v>1700</x:v>
      </x:c>
      <x:c r="R452" s="22"/>
      <x:c r="S452" s="22"/>
      <x:c r="T452" s="22" t="str">
        <x:v>64位值核对</x:v>
      </x:c>
    </x:row>
    <x:row r="453" ht="24" customHeight="1">
      <x:c r="A453" s="22" t="str">
        <x:v>C09-M010</x:v>
      </x:c>
      <x:c r="B453" s="22" t="n">
        <x:v>9</x:v>
      </x:c>
      <x:c r="C453" s="22" t="str">
        <x:v>金叶古道</x:v>
      </x:c>
      <x:c r="D453" s="22" t="str">
        <x:v>稀有</x:v>
      </x:c>
      <x:c r="E453" s="22" t="str">
        <x:v>古王献梦者</x:v>
      </x:c>
      <x:c r="F453" s="22" t="str">
        <x:v>XX721</x:v>
      </x:c>
      <x:c r="G453" s="22" t="str">
        <x:v>P0267</x:v>
      </x:c>
      <x:c r="H453" s="22" t="n">
        <x:v>26.400000000000002</x:v>
      </x:c>
      <x:c r="I453" s="28" t="n">
        <x:v>2175809023.0700026</x:v>
      </x:c>
      <x:c r="J453" s="28" t="n">
        <x:f>ROUND(H453*I453,-MAX(0,INT(LOG10(H453*I453))-1))</x:f>
        <x:v>57000000000</x:v>
      </x:c>
      <x:c r="K453" s="28" t="n">
        <x:v>5700000</x:v>
      </x:c>
      <x:c r="L453" s="28" t="n">
        <x:v>7800000</x:v>
      </x:c>
      <x:c r="M453" s="28" t="n">
        <x:v>160000</x:v>
      </x:c>
      <x:c r="N453" s="28" t="n">
        <x:v>140000</x:v>
      </x:c>
      <x:c r="O453" s="28" t="n">
        <x:v>260</x:v>
      </x:c>
      <x:c r="P453" s="28" t="n">
        <x:v>1300</x:v>
      </x:c>
      <x:c r="Q453" s="28" t="n">
        <x:v>1700</x:v>
      </x:c>
      <x:c r="R453" s="22"/>
      <x:c r="S453" s="22"/>
      <x:c r="T453" s="22" t="str">
        <x:v>64位值核对</x:v>
      </x:c>
    </x:row>
    <x:row r="454" ht="24" customHeight="1">
      <x:c r="A454" s="22" t="str">
        <x:v>C09-M011</x:v>
      </x:c>
      <x:c r="B454" s="22" t="n">
        <x:v>9</x:v>
      </x:c>
      <x:c r="C454" s="22" t="str">
        <x:v>金叶古道</x:v>
      </x:c>
      <x:c r="D454" s="22" t="str">
        <x:v>地图BOSS</x:v>
      </x:c>
      <x:c r="E454" s="22" t="str">
        <x:v>陵园摘冠侯·阿维恩</x:v>
      </x:c>
      <x:c r="F454" s="22" t="str">
        <x:v>XX718</x:v>
      </x:c>
      <x:c r="G454" s="22" t="str">
        <x:v>P0269</x:v>
      </x:c>
      <x:c r="H454" s="22" t="n">
        <x:v>86.25</x:v>
      </x:c>
      <x:c r="I454" s="28" t="n">
        <x:v>6458404872.017995</x:v>
      </x:c>
      <x:c r="J454" s="28" t="n">
        <x:f>ROUND(H454*I454,-MAX(0,INT(LOG10(H454*I454))-1))</x:f>
        <x:v>560000000000</x:v>
      </x:c>
      <x:c r="K454" s="28" t="n">
        <x:v>8300000</x:v>
      </x:c>
      <x:c r="L454" s="28" t="n">
        <x:v>11000000</x:v>
      </x:c>
      <x:c r="M454" s="28" t="n">
        <x:v>240000</x:v>
      </x:c>
      <x:c r="N454" s="28" t="n">
        <x:v>200000</x:v>
      </x:c>
      <x:c r="O454" s="28" t="n">
        <x:v>260</x:v>
      </x:c>
      <x:c r="P454" s="28" t="n">
        <x:v>5000</x:v>
      </x:c>
      <x:c r="Q454" s="28" t="n">
        <x:v>1800</x:v>
      </x:c>
      <x:c r="R454" s="22"/>
      <x:c r="S454" s="22"/>
      <x:c r="T454" s="22" t="str">
        <x:v>64位值核对</x:v>
      </x:c>
    </x:row>
    <x:row r="455" ht="24" customHeight="1">
      <x:c r="A455" s="22" t="str">
        <x:v>C09-M012</x:v>
      </x:c>
      <x:c r="B455" s="22" t="n">
        <x:v>9</x:v>
      </x:c>
      <x:c r="C455" s="22" t="str">
        <x:v>金叶古道</x:v>
      </x:c>
      <x:c r="D455" s="22" t="str">
        <x:v>地图BOSS</x:v>
      </x:c>
      <x:c r="E455" s="22" t="str">
        <x:v>金叶祭王·萨鲁恩</x:v>
      </x:c>
      <x:c r="F455" s="22" t="str">
        <x:v>XX721</x:v>
      </x:c>
      <x:c r="G455" s="22" t="str">
        <x:v>P0270</x:v>
      </x:c>
      <x:c r="H455" s="22" t="n">
        <x:v>82.5</x:v>
      </x:c>
      <x:c r="I455" s="28" t="n">
        <x:v>6458404872.017995</x:v>
      </x:c>
      <x:c r="J455" s="28" t="n">
        <x:f>ROUND(H455*I455,-MAX(0,INT(LOG10(H455*I455))-1))</x:f>
        <x:v>530000000000</x:v>
      </x:c>
      <x:c r="K455" s="28" t="n">
        <x:v>8300000</x:v>
      </x:c>
      <x:c r="L455" s="28" t="n">
        <x:v>11000000</x:v>
      </x:c>
      <x:c r="M455" s="28" t="n">
        <x:v>240000</x:v>
      </x:c>
      <x:c r="N455" s="28" t="n">
        <x:v>200000</x:v>
      </x:c>
      <x:c r="O455" s="28" t="n">
        <x:v>260</x:v>
      </x:c>
      <x:c r="P455" s="28" t="n">
        <x:v>5000</x:v>
      </x:c>
      <x:c r="Q455" s="28" t="n">
        <x:v>1800</x:v>
      </x:c>
      <x:c r="R455" s="22"/>
      <x:c r="S455" s="22"/>
      <x:c r="T455" s="22" t="str">
        <x:v>64位值核对</x:v>
      </x:c>
    </x:row>
    <x:row r="456" ht="24" customHeight="1">
      <x:c r="A456" s="22" t="str">
        <x:v>C09-M013</x:v>
      </x:c>
      <x:c r="B456" s="22" t="n">
        <x:v>9</x:v>
      </x:c>
      <x:c r="C456" s="22" t="str">
        <x:v>高原矿脉</x:v>
      </x:c>
      <x:c r="D456" s="22" t="str">
        <x:v>普通</x:v>
      </x:c>
      <x:c r="E456" s="22" t="str">
        <x:v>矿脉啮岩鼠</x:v>
      </x:c>
      <x:c r="F456" s="22" t="str">
        <x:v>XX820</x:v>
      </x:c>
      <x:c r="G456" s="22" t="str">
        <x:v>P0268</x:v>
      </x:c>
      <x:c r="H456" s="22" t="n">
        <x:v>9.2</x:v>
      </x:c>
      <x:c r="I456" s="28" t="n">
        <x:v>2333125059.078097</x:v>
      </x:c>
      <x:c r="J456" s="28" t="n">
        <x:f>ROUND(H456*I456,-MAX(0,INT(LOG10(H456*I456))-1))</x:f>
        <x:v>21000000000</x:v>
      </x:c>
      <x:c r="K456" s="28" t="n">
        <x:v>2900000</x:v>
      </x:c>
      <x:c r="L456" s="28" t="n">
        <x:v>3900000</x:v>
      </x:c>
      <x:c r="M456" s="28" t="n">
        <x:v>79000</x:v>
      </x:c>
      <x:c r="N456" s="28" t="n">
        <x:v>67000</x:v>
      </x:c>
      <x:c r="O456" s="28" t="n">
        <x:v>263</x:v>
      </x:c>
      <x:c r="P456" s="28" t="n">
        <x:v>440</x:v>
      </x:c>
      <x:c r="Q456" s="28" t="n">
        <x:v>1600</x:v>
      </x:c>
      <x:c r="R456" s="22"/>
      <x:c r="S456" s="22"/>
      <x:c r="T456" s="22" t="str">
        <x:v>64位值核对</x:v>
      </x:c>
    </x:row>
    <x:row r="457" ht="24" customHeight="1">
      <x:c r="A457" s="22" t="str">
        <x:v>C09-M014</x:v>
      </x:c>
      <x:c r="B457" s="22" t="n">
        <x:v>9</x:v>
      </x:c>
      <x:c r="C457" s="22" t="str">
        <x:v>高原矿脉</x:v>
      </x:c>
      <x:c r="D457" s="22" t="str">
        <x:v>普通</x:v>
      </x:c>
      <x:c r="E457" s="22" t="str">
        <x:v>高原探脉客</x:v>
      </x:c>
      <x:c r="F457" s="22" t="str">
        <x:v>XX820</x:v>
      </x:c>
      <x:c r="G457" s="22" t="str">
        <x:v>P0268</x:v>
      </x:c>
      <x:c r="H457" s="22" t="n">
        <x:v>9.2</x:v>
      </x:c>
      <x:c r="I457" s="28" t="n">
        <x:v>2333125059.078097</x:v>
      </x:c>
      <x:c r="J457" s="28" t="n">
        <x:f>ROUND(H457*I457,-MAX(0,INT(LOG10(H457*I457))-1))</x:f>
        <x:v>21000000000</x:v>
      </x:c>
      <x:c r="K457" s="28" t="n">
        <x:v>2900000</x:v>
      </x:c>
      <x:c r="L457" s="28" t="n">
        <x:v>3900000</x:v>
      </x:c>
      <x:c r="M457" s="28" t="n">
        <x:v>79000</x:v>
      </x:c>
      <x:c r="N457" s="28" t="n">
        <x:v>67000</x:v>
      </x:c>
      <x:c r="O457" s="28" t="n">
        <x:v>263</x:v>
      </x:c>
      <x:c r="P457" s="28" t="n">
        <x:v>440</x:v>
      </x:c>
      <x:c r="Q457" s="28" t="n">
        <x:v>1600</x:v>
      </x:c>
      <x:c r="R457" s="22"/>
      <x:c r="S457" s="22"/>
      <x:c r="T457" s="22" t="str">
        <x:v>64位值核对</x:v>
      </x:c>
    </x:row>
    <x:row r="458" ht="24" customHeight="1">
      <x:c r="A458" s="22" t="str">
        <x:v>C09-M015</x:v>
      </x:c>
      <x:c r="B458" s="22" t="n">
        <x:v>9</x:v>
      </x:c>
      <x:c r="C458" s="22" t="str">
        <x:v>高原矿脉</x:v>
      </x:c>
      <x:c r="D458" s="22" t="str">
        <x:v>普通</x:v>
      </x:c>
      <x:c r="E458" s="22" t="str">
        <x:v>黄金矿道凿工</x:v>
      </x:c>
      <x:c r="F458" s="22" t="str">
        <x:v>XX821</x:v>
      </x:c>
      <x:c r="G458" s="22" t="str">
        <x:v>P0268</x:v>
      </x:c>
      <x:c r="H458" s="22" t="n">
        <x:v>7.2</x:v>
      </x:c>
      <x:c r="I458" s="28" t="n">
        <x:v>2333125059.078097</x:v>
      </x:c>
      <x:c r="J458" s="28" t="n">
        <x:f>ROUND(H458*I458,-MAX(0,INT(LOG10(H458*I458))-1))</x:f>
        <x:v>17000000000</x:v>
      </x:c>
      <x:c r="K458" s="28" t="n">
        <x:v>2900000</x:v>
      </x:c>
      <x:c r="L458" s="28" t="n">
        <x:v>3900000</x:v>
      </x:c>
      <x:c r="M458" s="28" t="n">
        <x:v>79000</x:v>
      </x:c>
      <x:c r="N458" s="28" t="n">
        <x:v>67000</x:v>
      </x:c>
      <x:c r="O458" s="28" t="n">
        <x:v>263</x:v>
      </x:c>
      <x:c r="P458" s="28" t="n">
        <x:v>440</x:v>
      </x:c>
      <x:c r="Q458" s="28" t="n">
        <x:v>1600</x:v>
      </x:c>
      <x:c r="R458" s="22"/>
      <x:c r="S458" s="22"/>
      <x:c r="T458" s="22" t="str">
        <x:v>64位值核对</x:v>
      </x:c>
    </x:row>
    <x:row r="459" ht="24" customHeight="1">
      <x:c r="A459" s="22" t="str">
        <x:v>C09-M016</x:v>
      </x:c>
      <x:c r="B459" s="22" t="n">
        <x:v>9</x:v>
      </x:c>
      <x:c r="C459" s="22" t="str">
        <x:v>高原矿脉</x:v>
      </x:c>
      <x:c r="D459" s="22" t="str">
        <x:v>普通</x:v>
      </x:c>
      <x:c r="E459" s="22" t="str">
        <x:v>旧营提灯尸</x:v>
      </x:c>
      <x:c r="F459" s="22" t="str">
        <x:v>XX822</x:v>
      </x:c>
      <x:c r="G459" s="22" t="str">
        <x:v>P0268</x:v>
      </x:c>
      <x:c r="H459" s="22" t="n">
        <x:v>8.8</x:v>
      </x:c>
      <x:c r="I459" s="28" t="n">
        <x:v>2333125059.078097</x:v>
      </x:c>
      <x:c r="J459" s="28" t="n">
        <x:f>ROUND(H459*I459,-MAX(0,INT(LOG10(H459*I459))-1))</x:f>
        <x:v>21000000000</x:v>
      </x:c>
      <x:c r="K459" s="28" t="n">
        <x:v>2900000</x:v>
      </x:c>
      <x:c r="L459" s="28" t="n">
        <x:v>3900000</x:v>
      </x:c>
      <x:c r="M459" s="28" t="n">
        <x:v>79000</x:v>
      </x:c>
      <x:c r="N459" s="28" t="n">
        <x:v>67000</x:v>
      </x:c>
      <x:c r="O459" s="28" t="n">
        <x:v>263</x:v>
      </x:c>
      <x:c r="P459" s="28" t="n">
        <x:v>440</x:v>
      </x:c>
      <x:c r="Q459" s="28" t="n">
        <x:v>1600</x:v>
      </x:c>
      <x:c r="R459" s="22"/>
      <x:c r="S459" s="22"/>
      <x:c r="T459" s="22" t="str">
        <x:v>64位值核对</x:v>
      </x:c>
    </x:row>
    <x:row r="460" ht="24" customHeight="1">
      <x:c r="A460" s="22" t="str">
        <x:v>C09-M017</x:v>
      </x:c>
      <x:c r="B460" s="22" t="n">
        <x:v>9</x:v>
      </x:c>
      <x:c r="C460" s="22" t="str">
        <x:v>高原矿脉</x:v>
      </x:c>
      <x:c r="D460" s="22" t="str">
        <x:v>普通</x:v>
      </x:c>
      <x:c r="E460" s="22" t="str">
        <x:v>深井负筐奴</x:v>
      </x:c>
      <x:c r="F460" s="22" t="str">
        <x:v>XX823</x:v>
      </x:c>
      <x:c r="G460" s="22" t="str">
        <x:v>P0268</x:v>
      </x:c>
      <x:c r="H460" s="22" t="n">
        <x:v>9.2</x:v>
      </x:c>
      <x:c r="I460" s="28" t="n">
        <x:v>2333125059.078097</x:v>
      </x:c>
      <x:c r="J460" s="28" t="n">
        <x:f>ROUND(H460*I460,-MAX(0,INT(LOG10(H460*I460))-1))</x:f>
        <x:v>21000000000</x:v>
      </x:c>
      <x:c r="K460" s="28" t="n">
        <x:v>2900000</x:v>
      </x:c>
      <x:c r="L460" s="28" t="n">
        <x:v>3900000</x:v>
      </x:c>
      <x:c r="M460" s="28" t="n">
        <x:v>79000</x:v>
      </x:c>
      <x:c r="N460" s="28" t="n">
        <x:v>67000</x:v>
      </x:c>
      <x:c r="O460" s="28" t="n">
        <x:v>263</x:v>
      </x:c>
      <x:c r="P460" s="28" t="n">
        <x:v>440</x:v>
      </x:c>
      <x:c r="Q460" s="28" t="n">
        <x:v>1600</x:v>
      </x:c>
      <x:c r="R460" s="22"/>
      <x:c r="S460" s="22"/>
      <x:c r="T460" s="22" t="str">
        <x:v>64位值核对</x:v>
      </x:c>
    </x:row>
    <x:row r="461" ht="24" customHeight="1">
      <x:c r="A461" s="22" t="str">
        <x:v>C09-M018</x:v>
      </x:c>
      <x:c r="B461" s="22" t="n">
        <x:v>9</x:v>
      </x:c>
      <x:c r="C461" s="22" t="str">
        <x:v>高原矿脉</x:v>
      </x:c>
      <x:c r="D461" s="22" t="str">
        <x:v>普通</x:v>
      </x:c>
      <x:c r="E461" s="22" t="str">
        <x:v>核心晶背虫</x:v>
      </x:c>
      <x:c r="F461" s="22" t="str">
        <x:v>XX824</x:v>
      </x:c>
      <x:c r="G461" s="22" t="str">
        <x:v>P0268</x:v>
      </x:c>
      <x:c r="H461" s="22" t="n">
        <x:v>7.2</x:v>
      </x:c>
      <x:c r="I461" s="28" t="n">
        <x:v>2333125059.078097</x:v>
      </x:c>
      <x:c r="J461" s="28" t="n">
        <x:f>ROUND(H461*I461,-MAX(0,INT(LOG10(H461*I461))-1))</x:f>
        <x:v>17000000000</x:v>
      </x:c>
      <x:c r="K461" s="28" t="n">
        <x:v>2900000</x:v>
      </x:c>
      <x:c r="L461" s="28" t="n">
        <x:v>3900000</x:v>
      </x:c>
      <x:c r="M461" s="28" t="n">
        <x:v>79000</x:v>
      </x:c>
      <x:c r="N461" s="28" t="n">
        <x:v>67000</x:v>
      </x:c>
      <x:c r="O461" s="28" t="n">
        <x:v>263</x:v>
      </x:c>
      <x:c r="P461" s="28" t="n">
        <x:v>440</x:v>
      </x:c>
      <x:c r="Q461" s="28" t="n">
        <x:v>1600</x:v>
      </x:c>
      <x:c r="R461" s="22"/>
      <x:c r="S461" s="22"/>
      <x:c r="T461" s="22" t="str">
        <x:v>64位值核对</x:v>
      </x:c>
    </x:row>
    <x:row r="462" ht="24" customHeight="1">
      <x:c r="A462" s="22" t="str">
        <x:v>C09-M019</x:v>
      </x:c>
      <x:c r="B462" s="22" t="n">
        <x:v>9</x:v>
      </x:c>
      <x:c r="C462" s="22" t="str">
        <x:v>高原矿脉</x:v>
      </x:c>
      <x:c r="D462" s="22" t="str">
        <x:v>稀有</x:v>
      </x:c>
      <x:c r="E462" s="22" t="str">
        <x:v>矿道哑钟监工</x:v>
      </x:c>
      <x:c r="F462" s="22" t="str">
        <x:v>XX821</x:v>
      </x:c>
      <x:c r="G462" s="22" t="str">
        <x:v>P0268</x:v>
      </x:c>
      <x:c r="H462" s="22" t="n">
        <x:v>21.6</x:v>
      </x:c>
      <x:c r="I462" s="28" t="n">
        <x:v>2180048066.639377</x:v>
      </x:c>
      <x:c r="J462" s="28" t="n">
        <x:f>ROUND(H462*I462,-MAX(0,INT(LOG10(H462*I462))-1))</x:f>
        <x:v>47000000000</x:v>
      </x:c>
      <x:c r="K462" s="28" t="n">
        <x:v>5300000</x:v>
      </x:c>
      <x:c r="L462" s="28" t="n">
        <x:v>7200000</x:v>
      </x:c>
      <x:c r="M462" s="28" t="n">
        <x:v>160000</x:v>
      </x:c>
      <x:c r="N462" s="28" t="n">
        <x:v>140000</x:v>
      </x:c>
      <x:c r="O462" s="28" t="n">
        <x:v>263</x:v>
      </x:c>
      <x:c r="P462" s="28" t="n">
        <x:v>1300</x:v>
      </x:c>
      <x:c r="Q462" s="28" t="n">
        <x:v>1700</x:v>
      </x:c>
      <x:c r="R462" s="22"/>
      <x:c r="S462" s="22"/>
      <x:c r="T462" s="22" t="str">
        <x:v>64位值核对</x:v>
      </x:c>
    </x:row>
    <x:row r="463" ht="24" customHeight="1">
      <x:c r="A463" s="22" t="str">
        <x:v>C09-M020</x:v>
      </x:c>
      <x:c r="B463" s="22" t="n">
        <x:v>9</x:v>
      </x:c>
      <x:c r="C463" s="22" t="str">
        <x:v>高原矿脉</x:v>
      </x:c>
      <x:c r="D463" s="22" t="str">
        <x:v>稀有</x:v>
      </x:c>
      <x:c r="E463" s="22" t="str">
        <x:v>营地熔勺婆</x:v>
      </x:c>
      <x:c r="F463" s="22" t="str">
        <x:v>XX822</x:v>
      </x:c>
      <x:c r="G463" s="22" t="str">
        <x:v>P0268</x:v>
      </x:c>
      <x:c r="H463" s="22" t="n">
        <x:v>26.400000000000002</x:v>
      </x:c>
      <x:c r="I463" s="28" t="n">
        <x:v>2180048066.639377</x:v>
      </x:c>
      <x:c r="J463" s="28" t="n">
        <x:f>ROUND(H463*I463,-MAX(0,INT(LOG10(H463*I463))-1))</x:f>
        <x:v>58000000000</x:v>
      </x:c>
      <x:c r="K463" s="28" t="n">
        <x:v>5300000</x:v>
      </x:c>
      <x:c r="L463" s="28" t="n">
        <x:v>7200000</x:v>
      </x:c>
      <x:c r="M463" s="28" t="n">
        <x:v>160000</x:v>
      </x:c>
      <x:c r="N463" s="28" t="n">
        <x:v>140000</x:v>
      </x:c>
      <x:c r="O463" s="28" t="n">
        <x:v>263</x:v>
      </x:c>
      <x:c r="P463" s="28" t="n">
        <x:v>1300</x:v>
      </x:c>
      <x:c r="Q463" s="28" t="n">
        <x:v>1700</x:v>
      </x:c>
      <x:c r="R463" s="22"/>
      <x:c r="S463" s="22"/>
      <x:c r="T463" s="22" t="str">
        <x:v>64位值核对</x:v>
      </x:c>
    </x:row>
    <x:row r="464" ht="24" customHeight="1">
      <x:c r="A464" s="22" t="str">
        <x:v>C09-M021</x:v>
      </x:c>
      <x:c r="B464" s="22" t="n">
        <x:v>9</x:v>
      </x:c>
      <x:c r="C464" s="22" t="str">
        <x:v>高原矿脉</x:v>
      </x:c>
      <x:c r="D464" s="22" t="str">
        <x:v>稀有</x:v>
      </x:c>
      <x:c r="E464" s="22" t="str">
        <x:v>深层听岩师</x:v>
      </x:c>
      <x:c r="F464" s="22" t="str">
        <x:v>XX823</x:v>
      </x:c>
      <x:c r="G464" s="22" t="str">
        <x:v>P0268</x:v>
      </x:c>
      <x:c r="H464" s="22" t="n">
        <x:v>24</x:v>
      </x:c>
      <x:c r="I464" s="28" t="n">
        <x:v>2180048066.639377</x:v>
      </x:c>
      <x:c r="J464" s="28" t="n">
        <x:f>ROUND(H464*I464,-MAX(0,INT(LOG10(H464*I464))-1))</x:f>
        <x:v>52000000000</x:v>
      </x:c>
      <x:c r="K464" s="28" t="n">
        <x:v>5300000</x:v>
      </x:c>
      <x:c r="L464" s="28" t="n">
        <x:v>7200000</x:v>
      </x:c>
      <x:c r="M464" s="28" t="n">
        <x:v>160000</x:v>
      </x:c>
      <x:c r="N464" s="28" t="n">
        <x:v>140000</x:v>
      </x:c>
      <x:c r="O464" s="28" t="n">
        <x:v>263</x:v>
      </x:c>
      <x:c r="P464" s="28" t="n">
        <x:v>1300</x:v>
      </x:c>
      <x:c r="Q464" s="28" t="n">
        <x:v>1700</x:v>
      </x:c>
      <x:c r="R464" s="22"/>
      <x:c r="S464" s="22"/>
      <x:c r="T464" s="22" t="str">
        <x:v>64位值核对</x:v>
      </x:c>
    </x:row>
    <x:row r="465" ht="24" customHeight="1">
      <x:c r="A465" s="22" t="str">
        <x:v>C09-M022</x:v>
      </x:c>
      <x:c r="B465" s="22" t="n">
        <x:v>9</x:v>
      </x:c>
      <x:c r="C465" s="22" t="str">
        <x:v>高原矿脉</x:v>
      </x:c>
      <x:c r="D465" s="22" t="str">
        <x:v>稀有</x:v>
      </x:c>
      <x:c r="E465" s="22" t="str">
        <x:v>核心吞金蜥</x:v>
      </x:c>
      <x:c r="F465" s="22" t="str">
        <x:v>XX824</x:v>
      </x:c>
      <x:c r="G465" s="22" t="str">
        <x:v>P0268</x:v>
      </x:c>
      <x:c r="H465" s="22" t="n">
        <x:v>24</x:v>
      </x:c>
      <x:c r="I465" s="28" t="n">
        <x:v>2180048066.639377</x:v>
      </x:c>
      <x:c r="J465" s="28" t="n">
        <x:f>ROUND(H465*I465,-MAX(0,INT(LOG10(H465*I465))-1))</x:f>
        <x:v>52000000000</x:v>
      </x:c>
      <x:c r="K465" s="28" t="n">
        <x:v>5300000</x:v>
      </x:c>
      <x:c r="L465" s="28" t="n">
        <x:v>7200000</x:v>
      </x:c>
      <x:c r="M465" s="28" t="n">
        <x:v>160000</x:v>
      </x:c>
      <x:c r="N465" s="28" t="n">
        <x:v>140000</x:v>
      </x:c>
      <x:c r="O465" s="28" t="n">
        <x:v>263</x:v>
      </x:c>
      <x:c r="P465" s="28" t="n">
        <x:v>1300</x:v>
      </x:c>
      <x:c r="Q465" s="28" t="n">
        <x:v>1700</x:v>
      </x:c>
      <x:c r="R465" s="22"/>
      <x:c r="S465" s="22"/>
      <x:c r="T465" s="22" t="str">
        <x:v>64位值核对</x:v>
      </x:c>
    </x:row>
    <x:row r="466" ht="24" customHeight="1">
      <x:c r="A466" s="22" t="str">
        <x:v>C09-M023</x:v>
      </x:c>
      <x:c r="B466" s="22" t="n">
        <x:v>9</x:v>
      </x:c>
      <x:c r="C466" s="22" t="str">
        <x:v>高原矿脉</x:v>
      </x:c>
      <x:c r="D466" s="22" t="str">
        <x:v>地图BOSS</x:v>
      </x:c>
      <x:c r="E466" s="22" t="str">
        <x:v>深井断索王·布洛克</x:v>
      </x:c>
      <x:c r="F466" s="22" t="str">
        <x:v>XX823</x:v>
      </x:c>
      <x:c r="G466" s="22" t="str">
        <x:v>P0275</x:v>
      </x:c>
      <x:c r="H466" s="22" t="n">
        <x:v>82.5</x:v>
      </x:c>
      <x:c r="I466" s="28" t="n">
        <x:v>7963681621.294881</x:v>
      </x:c>
      <x:c r="J466" s="28" t="n">
        <x:f>ROUND(H466*I466,-MAX(0,INT(LOG10(H466*I466))-1))</x:f>
        <x:v>660000000000</x:v>
      </x:c>
      <x:c r="K466" s="28" t="n">
        <x:v>8900000</x:v>
      </x:c>
      <x:c r="L466" s="28" t="n">
        <x:v>12000000</x:v>
      </x:c>
      <x:c r="M466" s="28" t="n">
        <x:v>280000</x:v>
      </x:c>
      <x:c r="N466" s="28" t="n">
        <x:v>240000</x:v>
      </x:c>
      <x:c r="O466" s="28" t="n">
        <x:v>263</x:v>
      </x:c>
      <x:c r="P466" s="28" t="n">
        <x:v>5200</x:v>
      </x:c>
      <x:c r="Q466" s="28" t="n">
        <x:v>1800</x:v>
      </x:c>
      <x:c r="R466" s="22"/>
      <x:c r="S466" s="22"/>
      <x:c r="T466" s="22" t="str">
        <x:v>64位值核对</x:v>
      </x:c>
    </x:row>
    <x:row r="467" ht="24" customHeight="1">
      <x:c r="A467" s="22" t="str">
        <x:v>C09-M024</x:v>
      </x:c>
      <x:c r="B467" s="22" t="n">
        <x:v>9</x:v>
      </x:c>
      <x:c r="C467" s="22" t="str">
        <x:v>高原矿脉</x:v>
      </x:c>
      <x:c r="D467" s="22" t="str">
        <x:v>地图BOSS</x:v>
      </x:c>
      <x:c r="E467" s="22" t="str">
        <x:v>矿心鎏金母·奥莉莎</x:v>
      </x:c>
      <x:c r="F467" s="22" t="str">
        <x:v>XX824</x:v>
      </x:c>
      <x:c r="G467" s="22" t="str">
        <x:v>P0276</x:v>
      </x:c>
      <x:c r="H467" s="22" t="n">
        <x:v>82.5</x:v>
      </x:c>
      <x:c r="I467" s="28" t="n">
        <x:v>7963681621.294881</x:v>
      </x:c>
      <x:c r="J467" s="28" t="n">
        <x:f>ROUND(H467*I467,-MAX(0,INT(LOG10(H467*I467))-1))</x:f>
        <x:v>660000000000</x:v>
      </x:c>
      <x:c r="K467" s="28" t="n">
        <x:v>8900000</x:v>
      </x:c>
      <x:c r="L467" s="28" t="n">
        <x:v>12000000</x:v>
      </x:c>
      <x:c r="M467" s="28" t="n">
        <x:v>280000</x:v>
      </x:c>
      <x:c r="N467" s="28" t="n">
        <x:v>240000</x:v>
      </x:c>
      <x:c r="O467" s="28" t="n">
        <x:v>263</x:v>
      </x:c>
      <x:c r="P467" s="28" t="n">
        <x:v>5200</x:v>
      </x:c>
      <x:c r="Q467" s="28" t="n">
        <x:v>1800</x:v>
      </x:c>
      <x:c r="R467" s="22"/>
      <x:c r="S467" s="22"/>
      <x:c r="T467" s="22" t="str">
        <x:v>64位值核对</x:v>
      </x:c>
    </x:row>
    <x:row r="468" ht="24" customHeight="1">
      <x:c r="A468" s="22" t="str">
        <x:v>C09-M025</x:v>
      </x:c>
      <x:c r="B468" s="22" t="n">
        <x:v>9</x:v>
      </x:c>
      <x:c r="C468" s="22" t="str">
        <x:v>古王陵园</x:v>
      </x:c>
      <x:c r="D468" s="22" t="str">
        <x:v>普通</x:v>
      </x:c>
      <x:c r="E468" s="22" t="str">
        <x:v>陵园剪枝傀</x:v>
      </x:c>
      <x:c r="F468" s="22" t="str">
        <x:v>XX837</x:v>
      </x:c>
      <x:c r="G468" s="22" t="str">
        <x:v>P0274</x:v>
      </x:c>
      <x:c r="H468" s="22" t="n">
        <x:v>8</x:v>
      </x:c>
      <x:c r="I468" s="28" t="n">
        <x:v>2850831786.548193</x:v>
      </x:c>
      <x:c r="J468" s="28" t="n">
        <x:f>ROUND(H468*I468,-MAX(0,INT(LOG10(H468*I468))-1))</x:f>
        <x:v>23000000000</x:v>
      </x:c>
      <x:c r="K468" s="28" t="n">
        <x:v>2600000</x:v>
      </x:c>
      <x:c r="L468" s="28" t="n">
        <x:v>3500000</x:v>
      </x:c>
      <x:c r="M468" s="28" t="n">
        <x:v>91000</x:v>
      </x:c>
      <x:c r="N468" s="28" t="n">
        <x:v>77000</x:v>
      </x:c>
      <x:c r="O468" s="28" t="n">
        <x:v>266</x:v>
      </x:c>
      <x:c r="P468" s="28" t="n">
        <x:v>450</x:v>
      </x:c>
      <x:c r="Q468" s="28" t="n">
        <x:v>1600</x:v>
      </x:c>
      <x:c r="R468" s="22"/>
      <x:c r="S468" s="22"/>
      <x:c r="T468" s="22" t="str">
        <x:v>64位值核对</x:v>
      </x:c>
    </x:row>
    <x:row r="469" ht="24" customHeight="1">
      <x:c r="A469" s="22" t="str">
        <x:v>C09-M026</x:v>
      </x:c>
      <x:c r="B469" s="22" t="n">
        <x:v>9</x:v>
      </x:c>
      <x:c r="C469" s="22" t="str">
        <x:v>古王陵园</x:v>
      </x:c>
      <x:c r="D469" s="22" t="str">
        <x:v>普通</x:v>
      </x:c>
      <x:c r="E469" s="22" t="str">
        <x:v>王碑金翅蛾</x:v>
      </x:c>
      <x:c r="F469" s="22" t="str">
        <x:v>XX837</x:v>
      </x:c>
      <x:c r="G469" s="22" t="str">
        <x:v>P0274</x:v>
      </x:c>
      <x:c r="H469" s="22" t="n">
        <x:v>8.8</x:v>
      </x:c>
      <x:c r="I469" s="28" t="n">
        <x:v>2850831786.548193</x:v>
      </x:c>
      <x:c r="J469" s="28" t="n">
        <x:f>ROUND(H469*I469,-MAX(0,INT(LOG10(H469*I469))-1))</x:f>
        <x:v>25000000000</x:v>
      </x:c>
      <x:c r="K469" s="28" t="n">
        <x:v>2600000</x:v>
      </x:c>
      <x:c r="L469" s="28" t="n">
        <x:v>3500000</x:v>
      </x:c>
      <x:c r="M469" s="28" t="n">
        <x:v>91000</x:v>
      </x:c>
      <x:c r="N469" s="28" t="n">
        <x:v>77000</x:v>
      </x:c>
      <x:c r="O469" s="28" t="n">
        <x:v>266</x:v>
      </x:c>
      <x:c r="P469" s="28" t="n">
        <x:v>450</x:v>
      </x:c>
      <x:c r="Q469" s="28" t="n">
        <x:v>1600</x:v>
      </x:c>
      <x:c r="R469" s="22"/>
      <x:c r="S469" s="22"/>
      <x:c r="T469" s="22" t="str">
        <x:v>64位值核对</x:v>
      </x:c>
    </x:row>
    <x:row r="470" ht="24" customHeight="1">
      <x:c r="A470" s="22" t="str">
        <x:v>C09-M027</x:v>
      </x:c>
      <x:c r="B470" s="22" t="n">
        <x:v>9</x:v>
      </x:c>
      <x:c r="C470" s="22" t="str">
        <x:v>古王陵园</x:v>
      </x:c>
      <x:c r="D470" s="22" t="str">
        <x:v>普通</x:v>
      </x:c>
      <x:c r="E470" s="22" t="str">
        <x:v>甬道扶棺卒</x:v>
      </x:c>
      <x:c r="F470" s="22" t="str">
        <x:v>XX836</x:v>
      </x:c>
      <x:c r="G470" s="22" t="str">
        <x:v>P0274</x:v>
      </x:c>
      <x:c r="H470" s="22" t="n">
        <x:v>8.8</x:v>
      </x:c>
      <x:c r="I470" s="28" t="n">
        <x:v>2850831786.548193</x:v>
      </x:c>
      <x:c r="J470" s="28" t="n">
        <x:f>ROUND(H470*I470,-MAX(0,INT(LOG10(H470*I470))-1))</x:f>
        <x:v>25000000000</x:v>
      </x:c>
      <x:c r="K470" s="28" t="n">
        <x:v>2600000</x:v>
      </x:c>
      <x:c r="L470" s="28" t="n">
        <x:v>3500000</x:v>
      </x:c>
      <x:c r="M470" s="28" t="n">
        <x:v>91000</x:v>
      </x:c>
      <x:c r="N470" s="28" t="n">
        <x:v>77000</x:v>
      </x:c>
      <x:c r="O470" s="28" t="n">
        <x:v>266</x:v>
      </x:c>
      <x:c r="P470" s="28" t="n">
        <x:v>450</x:v>
      </x:c>
      <x:c r="Q470" s="28" t="n">
        <x:v>1600</x:v>
      </x:c>
      <x:c r="R470" s="22"/>
      <x:c r="S470" s="22"/>
      <x:c r="T470" s="22" t="str">
        <x:v>64位值核对</x:v>
      </x:c>
    </x:row>
    <x:row r="471" ht="24" customHeight="1">
      <x:c r="A471" s="22" t="str">
        <x:v>C09-M028</x:v>
      </x:c>
      <x:c r="B471" s="22" t="n">
        <x:v>9</x:v>
      </x:c>
      <x:c r="C471" s="22" t="str">
        <x:v>古王陵园</x:v>
      </x:c>
      <x:c r="D471" s="22" t="str">
        <x:v>普通</x:v>
      </x:c>
      <x:c r="E471" s="22" t="str">
        <x:v>壁龛守烛童</x:v>
      </x:c>
      <x:c r="F471" s="22" t="str">
        <x:v>XX836</x:v>
      </x:c>
      <x:c r="G471" s="22" t="str">
        <x:v>P0274</x:v>
      </x:c>
      <x:c r="H471" s="22" t="n">
        <x:v>9.2</x:v>
      </x:c>
      <x:c r="I471" s="28" t="n">
        <x:v>2850831786.548193</x:v>
      </x:c>
      <x:c r="J471" s="28" t="n">
        <x:f>ROUND(H471*I471,-MAX(0,INT(LOG10(H471*I471))-1))</x:f>
        <x:v>26000000000</x:v>
      </x:c>
      <x:c r="K471" s="28" t="n">
        <x:v>2600000</x:v>
      </x:c>
      <x:c r="L471" s="28" t="n">
        <x:v>3500000</x:v>
      </x:c>
      <x:c r="M471" s="28" t="n">
        <x:v>91000</x:v>
      </x:c>
      <x:c r="N471" s="28" t="n">
        <x:v>77000</x:v>
      </x:c>
      <x:c r="O471" s="28" t="n">
        <x:v>266</x:v>
      </x:c>
      <x:c r="P471" s="28" t="n">
        <x:v>450</x:v>
      </x:c>
      <x:c r="Q471" s="28" t="n">
        <x:v>1600</x:v>
      </x:c>
      <x:c r="R471" s="22"/>
      <x:c r="S471" s="22"/>
      <x:c r="T471" s="22" t="str">
        <x:v>64位值核对</x:v>
      </x:c>
    </x:row>
    <x:row r="472" ht="24" customHeight="1">
      <x:c r="A472" s="22" t="str">
        <x:v>C09-M029</x:v>
      </x:c>
      <x:c r="B472" s="22" t="n">
        <x:v>9</x:v>
      </x:c>
      <x:c r="C472" s="22" t="str">
        <x:v>古王陵园</x:v>
      </x:c>
      <x:c r="D472" s="22" t="str">
        <x:v>普通</x:v>
      </x:c>
      <x:c r="E472" s="22" t="str">
        <x:v>墓室敛袍侍</x:v>
      </x:c>
      <x:c r="F472" s="22" t="str">
        <x:v>XX838</x:v>
      </x:c>
      <x:c r="G472" s="22" t="str">
        <x:v>P0274</x:v>
      </x:c>
      <x:c r="H472" s="22" t="n">
        <x:v>9.2</x:v>
      </x:c>
      <x:c r="I472" s="28" t="n">
        <x:v>2850831786.548193</x:v>
      </x:c>
      <x:c r="J472" s="28" t="n">
        <x:f>ROUND(H472*I472,-MAX(0,INT(LOG10(H472*I472))-1))</x:f>
        <x:v>26000000000</x:v>
      </x:c>
      <x:c r="K472" s="28" t="n">
        <x:v>2600000</x:v>
      </x:c>
      <x:c r="L472" s="28" t="n">
        <x:v>3500000</x:v>
      </x:c>
      <x:c r="M472" s="28" t="n">
        <x:v>91000</x:v>
      </x:c>
      <x:c r="N472" s="28" t="n">
        <x:v>77000</x:v>
      </x:c>
      <x:c r="O472" s="28" t="n">
        <x:v>266</x:v>
      </x:c>
      <x:c r="P472" s="28" t="n">
        <x:v>450</x:v>
      </x:c>
      <x:c r="Q472" s="28" t="n">
        <x:v>1600</x:v>
      </x:c>
      <x:c r="R472" s="22"/>
      <x:c r="S472" s="22"/>
      <x:c r="T472" s="22" t="str">
        <x:v>64位值核对</x:v>
      </x:c>
    </x:row>
    <x:row r="473" ht="24" customHeight="1">
      <x:c r="A473" s="22" t="str">
        <x:v>C09-M030</x:v>
      </x:c>
      <x:c r="B473" s="22" t="n">
        <x:v>9</x:v>
      </x:c>
      <x:c r="C473" s="22" t="str">
        <x:v>古王陵园</x:v>
      </x:c>
      <x:c r="D473" s="22" t="str">
        <x:v>普通</x:v>
      </x:c>
      <x:c r="E473" s="22" t="str">
        <x:v>古王陪葬犬</x:v>
      </x:c>
      <x:c r="F473" s="22" t="str">
        <x:v>XX838</x:v>
      </x:c>
      <x:c r="G473" s="22" t="str">
        <x:v>P0274</x:v>
      </x:c>
      <x:c r="H473" s="22" t="n">
        <x:v>7.2</x:v>
      </x:c>
      <x:c r="I473" s="28" t="n">
        <x:v>2850831786.548193</x:v>
      </x:c>
      <x:c r="J473" s="28" t="n">
        <x:f>ROUND(H473*I473,-MAX(0,INT(LOG10(H473*I473))-1))</x:f>
        <x:v>21000000000</x:v>
      </x:c>
      <x:c r="K473" s="28" t="n">
        <x:v>2600000</x:v>
      </x:c>
      <x:c r="L473" s="28" t="n">
        <x:v>3500000</x:v>
      </x:c>
      <x:c r="M473" s="28" t="n">
        <x:v>91000</x:v>
      </x:c>
      <x:c r="N473" s="28" t="n">
        <x:v>77000</x:v>
      </x:c>
      <x:c r="O473" s="28" t="n">
        <x:v>266</x:v>
      </x:c>
      <x:c r="P473" s="28" t="n">
        <x:v>450</x:v>
      </x:c>
      <x:c r="Q473" s="28" t="n">
        <x:v>1600</x:v>
      </x:c>
      <x:c r="R473" s="22"/>
      <x:c r="S473" s="22"/>
      <x:c r="T473" s="22" t="str">
        <x:v>64位值核对</x:v>
      </x:c>
    </x:row>
    <x:row r="474" ht="24" customHeight="1">
      <x:c r="A474" s="22" t="str">
        <x:v>C09-M031</x:v>
      </x:c>
      <x:c r="B474" s="22" t="n">
        <x:v>9</x:v>
      </x:c>
      <x:c r="C474" s="22" t="str">
        <x:v>古王陵园</x:v>
      </x:c>
      <x:c r="D474" s="22" t="str">
        <x:v>稀有</x:v>
      </x:c>
      <x:c r="E474" s="22" t="str">
        <x:v>王陵问名官</x:v>
      </x:c>
      <x:c r="F474" s="22" t="str">
        <x:v>XX837</x:v>
      </x:c>
      <x:c r="G474" s="22" t="str">
        <x:v>P0274</x:v>
      </x:c>
      <x:c r="H474" s="22" t="n">
        <x:v>26.400000000000002</x:v>
      </x:c>
      <x:c r="I474" s="28" t="n">
        <x:v>2673009727.2248387</x:v>
      </x:c>
      <x:c r="J474" s="28" t="n">
        <x:f>ROUND(H474*I474,-MAX(0,INT(LOG10(H474*I474))-1))</x:f>
        <x:v>71000000000</x:v>
      </x:c>
      <x:c r="K474" s="28" t="n">
        <x:v>4900000</x:v>
      </x:c>
      <x:c r="L474" s="28" t="n">
        <x:v>6600000</x:v>
      </x:c>
      <x:c r="M474" s="28" t="n">
        <x:v>180000</x:v>
      </x:c>
      <x:c r="N474" s="28" t="n">
        <x:v>150000</x:v>
      </x:c>
      <x:c r="O474" s="28" t="n">
        <x:v>266</x:v>
      </x:c>
      <x:c r="P474" s="28" t="n">
        <x:v>1400</x:v>
      </x:c>
      <x:c r="Q474" s="28" t="n">
        <x:v>1700</x:v>
      </x:c>
      <x:c r="R474" s="22"/>
      <x:c r="S474" s="22"/>
      <x:c r="T474" s="22" t="str">
        <x:v>64位值核对</x:v>
      </x:c>
    </x:row>
    <x:row r="475" ht="24" customHeight="1">
      <x:c r="A475" s="22" t="str">
        <x:v>C09-M032</x:v>
      </x:c>
      <x:c r="B475" s="22" t="n">
        <x:v>9</x:v>
      </x:c>
      <x:c r="C475" s="22" t="str">
        <x:v>古王陵园</x:v>
      </x:c>
      <x:c r="D475" s="22" t="str">
        <x:v>稀有</x:v>
      </x:c>
      <x:c r="E475" s="22" t="str">
        <x:v>甬道无面近卫</x:v>
      </x:c>
      <x:c r="F475" s="22" t="str">
        <x:v>XX836</x:v>
      </x:c>
      <x:c r="G475" s="22" t="str">
        <x:v>P0274</x:v>
      </x:c>
      <x:c r="H475" s="22" t="n">
        <x:v>24</x:v>
      </x:c>
      <x:c r="I475" s="28" t="n">
        <x:v>2673009727.2248387</x:v>
      </x:c>
      <x:c r="J475" s="28" t="n">
        <x:f>ROUND(H475*I475,-MAX(0,INT(LOG10(H475*I475))-1))</x:f>
        <x:v>64000000000</x:v>
      </x:c>
      <x:c r="K475" s="28" t="n">
        <x:v>4900000</x:v>
      </x:c>
      <x:c r="L475" s="28" t="n">
        <x:v>6600000</x:v>
      </x:c>
      <x:c r="M475" s="28" t="n">
        <x:v>180000</x:v>
      </x:c>
      <x:c r="N475" s="28" t="n">
        <x:v>150000</x:v>
      </x:c>
      <x:c r="O475" s="28" t="n">
        <x:v>266</x:v>
      </x:c>
      <x:c r="P475" s="28" t="n">
        <x:v>1400</x:v>
      </x:c>
      <x:c r="Q475" s="28" t="n">
        <x:v>1700</x:v>
      </x:c>
      <x:c r="R475" s="22"/>
      <x:c r="S475" s="22"/>
      <x:c r="T475" s="22" t="str">
        <x:v>64位值核对</x:v>
      </x:c>
    </x:row>
    <x:row r="476" ht="24" customHeight="1">
      <x:c r="A476" s="22" t="str">
        <x:v>C09-M033</x:v>
      </x:c>
      <x:c r="B476" s="22" t="n">
        <x:v>9</x:v>
      </x:c>
      <x:c r="C476" s="22" t="str">
        <x:v>古王陵园</x:v>
      </x:c>
      <x:c r="D476" s="22" t="str">
        <x:v>稀有</x:v>
      </x:c>
      <x:c r="E476" s="22" t="str">
        <x:v>墓室守印妃</x:v>
      </x:c>
      <x:c r="F476" s="22" t="str">
        <x:v>XX838</x:v>
      </x:c>
      <x:c r="G476" s="22" t="str">
        <x:v>P0274</x:v>
      </x:c>
      <x:c r="H476" s="22" t="n">
        <x:v>26.400000000000002</x:v>
      </x:c>
      <x:c r="I476" s="28" t="n">
        <x:v>2673009727.2248387</x:v>
      </x:c>
      <x:c r="J476" s="28" t="n">
        <x:f>ROUND(H476*I476,-MAX(0,INT(LOG10(H476*I476))-1))</x:f>
        <x:v>71000000000</x:v>
      </x:c>
      <x:c r="K476" s="28" t="n">
        <x:v>4900000</x:v>
      </x:c>
      <x:c r="L476" s="28" t="n">
        <x:v>6600000</x:v>
      </x:c>
      <x:c r="M476" s="28" t="n">
        <x:v>180000</x:v>
      </x:c>
      <x:c r="N476" s="28" t="n">
        <x:v>150000</x:v>
      </x:c>
      <x:c r="O476" s="28" t="n">
        <x:v>266</x:v>
      </x:c>
      <x:c r="P476" s="28" t="n">
        <x:v>1400</x:v>
      </x:c>
      <x:c r="Q476" s="28" t="n">
        <x:v>1700</x:v>
      </x:c>
      <x:c r="R476" s="22"/>
      <x:c r="S476" s="22"/>
      <x:c r="T476" s="22" t="str">
        <x:v>64位值核对</x:v>
      </x:c>
    </x:row>
    <x:row r="477" ht="24" customHeight="1">
      <x:c r="A477" s="22" t="str">
        <x:v>C09-M034</x:v>
      </x:c>
      <x:c r="B477" s="22" t="n">
        <x:v>9</x:v>
      </x:c>
      <x:c r="C477" s="22" t="str">
        <x:v>古王陵园</x:v>
      </x:c>
      <x:c r="D477" s="22" t="str">
        <x:v>稀有</x:v>
      </x:c>
      <x:c r="E477" s="22" t="str">
        <x:v>墓室食梦金蝉</x:v>
      </x:c>
      <x:c r="F477" s="22" t="str">
        <x:v>XX838</x:v>
      </x:c>
      <x:c r="G477" s="22" t="str">
        <x:v>P0274</x:v>
      </x:c>
      <x:c r="H477" s="22" t="n">
        <x:v>24</x:v>
      </x:c>
      <x:c r="I477" s="28" t="n">
        <x:v>2673009727.2248387</x:v>
      </x:c>
      <x:c r="J477" s="28" t="n">
        <x:f>ROUND(H477*I477,-MAX(0,INT(LOG10(H477*I477))-1))</x:f>
        <x:v>64000000000</x:v>
      </x:c>
      <x:c r="K477" s="28" t="n">
        <x:v>4900000</x:v>
      </x:c>
      <x:c r="L477" s="28" t="n">
        <x:v>6600000</x:v>
      </x:c>
      <x:c r="M477" s="28" t="n">
        <x:v>180000</x:v>
      </x:c>
      <x:c r="N477" s="28" t="n">
        <x:v>150000</x:v>
      </x:c>
      <x:c r="O477" s="28" t="n">
        <x:v>266</x:v>
      </x:c>
      <x:c r="P477" s="28" t="n">
        <x:v>1400</x:v>
      </x:c>
      <x:c r="Q477" s="28" t="n">
        <x:v>1700</x:v>
      </x:c>
      <x:c r="R477" s="22"/>
      <x:c r="S477" s="22"/>
      <x:c r="T477" s="22" t="str">
        <x:v>64位值核对</x:v>
      </x:c>
    </x:row>
    <x:row r="478" ht="24" customHeight="1">
      <x:c r="A478" s="22" t="str">
        <x:v>C09-M035</x:v>
      </x:c>
      <x:c r="B478" s="22" t="n">
        <x:v>9</x:v>
      </x:c>
      <x:c r="C478" s="22" t="str">
        <x:v>古王陵园</x:v>
      </x:c>
      <x:c r="D478" s="22" t="str">
        <x:v>地图BOSS</x:v>
      </x:c>
      <x:c r="E478" s="22" t="str">
        <x:v>封棺执政·梅尔顿</x:v>
      </x:c>
      <x:c r="F478" s="22" t="str">
        <x:v>XX836</x:v>
      </x:c>
      <x:c r="G478" s="22" t="str">
        <x:v>P0281</x:v>
      </x:c>
      <x:c r="H478" s="22" t="n">
        <x:v>86.25</x:v>
      </x:c>
      <x:c r="I478" s="28" t="n">
        <x:v>10399347422.934086</x:v>
      </x:c>
      <x:c r="J478" s="28" t="n">
        <x:f>ROUND(H478*I478,-MAX(0,INT(LOG10(H478*I478))-1))</x:f>
        <x:v>900000000000</x:v>
      </x:c>
      <x:c r="K478" s="28" t="n">
        <x:v>9100000</x:v>
      </x:c>
      <x:c r="L478" s="28" t="n">
        <x:v>12000000</x:v>
      </x:c>
      <x:c r="M478" s="28" t="n">
        <x:v>360000</x:v>
      </x:c>
      <x:c r="N478" s="28" t="n">
        <x:v>310000</x:v>
      </x:c>
      <x:c r="O478" s="28" t="n">
        <x:v>266</x:v>
      </x:c>
      <x:c r="P478" s="28" t="n">
        <x:v>5400</x:v>
      </x:c>
      <x:c r="Q478" s="28" t="n">
        <x:v>1800</x:v>
      </x:c>
      <x:c r="R478" s="22"/>
      <x:c r="S478" s="22"/>
      <x:c r="T478" s="22" t="str">
        <x:v>64位值核对</x:v>
      </x:c>
    </x:row>
    <x:row r="479" ht="24" customHeight="1">
      <x:c r="A479" s="22" t="str">
        <x:v>C09-M036</x:v>
      </x:c>
      <x:c r="B479" s="22" t="n">
        <x:v>9</x:v>
      </x:c>
      <x:c r="C479" s="22" t="str">
        <x:v>古王陵园</x:v>
      </x:c>
      <x:c r="D479" s="22" t="str">
        <x:v>地图BOSS</x:v>
      </x:c>
      <x:c r="E479" s="22" t="str">
        <x:v>不醒古王·奥瑞昂</x:v>
      </x:c>
      <x:c r="F479" s="22" t="str">
        <x:v>XX838</x:v>
      </x:c>
      <x:c r="G479" s="22" t="str">
        <x:v>P0282</x:v>
      </x:c>
      <x:c r="H479" s="22" t="n">
        <x:v>71.25</x:v>
      </x:c>
      <x:c r="I479" s="28" t="n">
        <x:v>10399347422.934086</x:v>
      </x:c>
      <x:c r="J479" s="28" t="n">
        <x:f>ROUND(H479*I479,-MAX(0,INT(LOG10(H479*I479))-1))</x:f>
        <x:v>740000000000</x:v>
      </x:c>
      <x:c r="K479" s="28" t="n">
        <x:v>9100000</x:v>
      </x:c>
      <x:c r="L479" s="28" t="n">
        <x:v>12000000</x:v>
      </x:c>
      <x:c r="M479" s="28" t="n">
        <x:v>360000</x:v>
      </x:c>
      <x:c r="N479" s="28" t="n">
        <x:v>310000</x:v>
      </x:c>
      <x:c r="O479" s="28" t="n">
        <x:v>266</x:v>
      </x:c>
      <x:c r="P479" s="28" t="n">
        <x:v>5400</x:v>
      </x:c>
      <x:c r="Q479" s="28" t="n">
        <x:v>1800</x:v>
      </x:c>
      <x:c r="R479" s="22"/>
      <x:c r="S479" s="22"/>
      <x:c r="T479" s="22" t="str">
        <x:v>64位值核对</x:v>
      </x:c>
    </x:row>
    <x:row r="480" ht="24" customHeight="1">
      <x:c r="A480" s="22" t="str">
        <x:v>C09-M037</x:v>
      </x:c>
      <x:c r="B480" s="22" t="n">
        <x:v>9</x:v>
      </x:c>
      <x:c r="C480" s="22" t="str">
        <x:v>黄金圣堂</x:v>
      </x:c>
      <x:c r="D480" s="22" t="str">
        <x:v>普通</x:v>
      </x:c>
      <x:c r="E480" s="22" t="str">
        <x:v>圣堂扫金仆</x:v>
      </x:c>
      <x:c r="F480" s="22" t="str">
        <x:v>XX786</x:v>
      </x:c>
      <x:c r="G480" s="22" t="str">
        <x:v>P0280</x:v>
      </x:c>
      <x:c r="H480" s="22" t="n">
        <x:v>9.2</x:v>
      </x:c>
      <x:c r="I480" s="28" t="n">
        <x:v>2882348828.4826174</x:v>
      </x:c>
      <x:c r="J480" s="28" t="n">
        <x:f>ROUND(H480*I480,-MAX(0,INT(LOG10(H480*I480))-1))</x:f>
        <x:v>27000000000</x:v>
      </x:c>
      <x:c r="K480" s="28" t="n">
        <x:v>1200000</x:v>
      </x:c>
      <x:c r="L480" s="28" t="n">
        <x:v>1600000</x:v>
      </x:c>
      <x:c r="M480" s="28" t="n">
        <x:v>92000</x:v>
      </x:c>
      <x:c r="N480" s="28" t="n">
        <x:v>78000</x:v>
      </x:c>
      <x:c r="O480" s="28" t="n">
        <x:v>269</x:v>
      </x:c>
      <x:c r="P480" s="28" t="n">
        <x:v>460</x:v>
      </x:c>
      <x:c r="Q480" s="28" t="n">
        <x:v>1600</x:v>
      </x:c>
      <x:c r="R480" s="22"/>
      <x:c r="S480" s="22"/>
      <x:c r="T480" s="22" t="str">
        <x:v>64位值核对</x:v>
      </x:c>
    </x:row>
    <x:row r="481" ht="24" customHeight="1">
      <x:c r="A481" s="22" t="str">
        <x:v>C09-M038</x:v>
      </x:c>
      <x:c r="B481" s="22" t="n">
        <x:v>9</x:v>
      </x:c>
      <x:c r="C481" s="22" t="str">
        <x:v>黄金圣堂</x:v>
      </x:c>
      <x:c r="D481" s="22" t="str">
        <x:v>普通</x:v>
      </x:c>
      <x:c r="E481" s="22" t="str">
        <x:v>鎏檐守门士</x:v>
      </x:c>
      <x:c r="F481" s="22" t="str">
        <x:v>XX786</x:v>
      </x:c>
      <x:c r="G481" s="22" t="str">
        <x:v>P0280</x:v>
      </x:c>
      <x:c r="H481" s="22" t="n">
        <x:v>9.2</x:v>
      </x:c>
      <x:c r="I481" s="28" t="n">
        <x:v>2882348828.4826174</x:v>
      </x:c>
      <x:c r="J481" s="28" t="n">
        <x:f>ROUND(H481*I481,-MAX(0,INT(LOG10(H481*I481))-1))</x:f>
        <x:v>27000000000</x:v>
      </x:c>
      <x:c r="K481" s="28" t="n">
        <x:v>1200000</x:v>
      </x:c>
      <x:c r="L481" s="28" t="n">
        <x:v>1600000</x:v>
      </x:c>
      <x:c r="M481" s="28" t="n">
        <x:v>92000</x:v>
      </x:c>
      <x:c r="N481" s="28" t="n">
        <x:v>78000</x:v>
      </x:c>
      <x:c r="O481" s="28" t="n">
        <x:v>269</x:v>
      </x:c>
      <x:c r="P481" s="28" t="n">
        <x:v>460</x:v>
      </x:c>
      <x:c r="Q481" s="28" t="n">
        <x:v>1600</x:v>
      </x:c>
      <x:c r="R481" s="22"/>
      <x:c r="S481" s="22"/>
      <x:c r="T481" s="22" t="str">
        <x:v>64位值核对</x:v>
      </x:c>
    </x:row>
    <x:row r="482" ht="24" customHeight="1">
      <x:c r="A482" s="22" t="str">
        <x:v>C09-M039</x:v>
      </x:c>
      <x:c r="B482" s="22" t="n">
        <x:v>9</x:v>
      </x:c>
      <x:c r="C482" s="22" t="str">
        <x:v>黄金圣堂</x:v>
      </x:c>
      <x:c r="D482" s="22" t="str">
        <x:v>普通</x:v>
      </x:c>
      <x:c r="E482" s="22" t="str">
        <x:v>前廊白袍唱者</x:v>
      </x:c>
      <x:c r="F482" s="22" t="str">
        <x:v>XX796</x:v>
      </x:c>
      <x:c r="G482" s="22" t="str">
        <x:v>P0280</x:v>
      </x:c>
      <x:c r="H482" s="22" t="n">
        <x:v>9.2</x:v>
      </x:c>
      <x:c r="I482" s="28" t="n">
        <x:v>2882348828.4826174</x:v>
      </x:c>
      <x:c r="J482" s="28" t="n">
        <x:f>ROUND(H482*I482,-MAX(0,INT(LOG10(H482*I482))-1))</x:f>
        <x:v>27000000000</x:v>
      </x:c>
      <x:c r="K482" s="28" t="n">
        <x:v>1200000</x:v>
      </x:c>
      <x:c r="L482" s="28" t="n">
        <x:v>1600000</x:v>
      </x:c>
      <x:c r="M482" s="28" t="n">
        <x:v>92000</x:v>
      </x:c>
      <x:c r="N482" s="28" t="n">
        <x:v>78000</x:v>
      </x:c>
      <x:c r="O482" s="28" t="n">
        <x:v>269</x:v>
      </x:c>
      <x:c r="P482" s="28" t="n">
        <x:v>460</x:v>
      </x:c>
      <x:c r="Q482" s="28" t="n">
        <x:v>1600</x:v>
      </x:c>
      <x:c r="R482" s="22"/>
      <x:c r="S482" s="22"/>
      <x:c r="T482" s="22" t="str">
        <x:v>64位值核对</x:v>
      </x:c>
    </x:row>
    <x:row r="483" ht="24" customHeight="1">
      <x:c r="A483" s="22" t="str">
        <x:v>C09-M040</x:v>
      </x:c>
      <x:c r="B483" s="22" t="n">
        <x:v>9</x:v>
      </x:c>
      <x:c r="C483" s="22" t="str">
        <x:v>黄金圣堂</x:v>
      </x:c>
      <x:c r="D483" s="22" t="str">
        <x:v>普通</x:v>
      </x:c>
      <x:c r="E483" s="22" t="str">
        <x:v>祭厅焚香奴</x:v>
      </x:c>
      <x:c r="F483" s="22" t="str">
        <x:v>XX787</x:v>
      </x:c>
      <x:c r="G483" s="22" t="str">
        <x:v>P0280</x:v>
      </x:c>
      <x:c r="H483" s="22" t="n">
        <x:v>7.2</x:v>
      </x:c>
      <x:c r="I483" s="28" t="n">
        <x:v>2882348828.4826174</x:v>
      </x:c>
      <x:c r="J483" s="28" t="n">
        <x:f>ROUND(H483*I483,-MAX(0,INT(LOG10(H483*I483))-1))</x:f>
        <x:v>21000000000</x:v>
      </x:c>
      <x:c r="K483" s="28" t="n">
        <x:v>1200000</x:v>
      </x:c>
      <x:c r="L483" s="28" t="n">
        <x:v>1600000</x:v>
      </x:c>
      <x:c r="M483" s="28" t="n">
        <x:v>92000</x:v>
      </x:c>
      <x:c r="N483" s="28" t="n">
        <x:v>78000</x:v>
      </x:c>
      <x:c r="O483" s="28" t="n">
        <x:v>269</x:v>
      </x:c>
      <x:c r="P483" s="28" t="n">
        <x:v>460</x:v>
      </x:c>
      <x:c r="Q483" s="28" t="n">
        <x:v>1600</x:v>
      </x:c>
      <x:c r="R483" s="22"/>
      <x:c r="S483" s="22"/>
      <x:c r="T483" s="22" t="str">
        <x:v>64位值核对</x:v>
      </x:c>
    </x:row>
    <x:row r="484" ht="24" customHeight="1">
      <x:c r="A484" s="22" t="str">
        <x:v>C09-M041</x:v>
      </x:c>
      <x:c r="B484" s="22" t="n">
        <x:v>9</x:v>
      </x:c>
      <x:c r="C484" s="22" t="str">
        <x:v>黄金圣堂</x:v>
      </x:c>
      <x:c r="D484" s="22" t="str">
        <x:v>普通</x:v>
      </x:c>
      <x:c r="E484" s="22" t="str">
        <x:v>内殿金面僧</x:v>
      </x:c>
      <x:c r="F484" s="22" t="str">
        <x:v>XX795</x:v>
      </x:c>
      <x:c r="G484" s="22" t="str">
        <x:v>P0280</x:v>
      </x:c>
      <x:c r="H484" s="22" t="n">
        <x:v>7.6</x:v>
      </x:c>
      <x:c r="I484" s="28" t="n">
        <x:v>2882348828.4826174</x:v>
      </x:c>
      <x:c r="J484" s="28" t="n">
        <x:f>ROUND(H484*I484,-MAX(0,INT(LOG10(H484*I484))-1))</x:f>
        <x:v>22000000000</x:v>
      </x:c>
      <x:c r="K484" s="28" t="n">
        <x:v>1200000</x:v>
      </x:c>
      <x:c r="L484" s="28" t="n">
        <x:v>1600000</x:v>
      </x:c>
      <x:c r="M484" s="28" t="n">
        <x:v>92000</x:v>
      </x:c>
      <x:c r="N484" s="28" t="n">
        <x:v>78000</x:v>
      </x:c>
      <x:c r="O484" s="28" t="n">
        <x:v>269</x:v>
      </x:c>
      <x:c r="P484" s="28" t="n">
        <x:v>460</x:v>
      </x:c>
      <x:c r="Q484" s="28" t="n">
        <x:v>1600</x:v>
      </x:c>
      <x:c r="R484" s="22"/>
      <x:c r="S484" s="22"/>
      <x:c r="T484" s="22" t="str">
        <x:v>64位值核对</x:v>
      </x:c>
    </x:row>
    <x:row r="485" ht="24" customHeight="1">
      <x:c r="A485" s="22" t="str">
        <x:v>C09-M042</x:v>
      </x:c>
      <x:c r="B485" s="22" t="n">
        <x:v>9</x:v>
      </x:c>
      <x:c r="C485" s="22" t="str">
        <x:v>黄金圣堂</x:v>
      </x:c>
      <x:c r="D485" s="22" t="str">
        <x:v>普通</x:v>
      </x:c>
      <x:c r="E485" s="22" t="str">
        <x:v>圣坛祷弓手</x:v>
      </x:c>
      <x:c r="F485" s="22" t="str">
        <x:v>XX791</x:v>
      </x:c>
      <x:c r="G485" s="22" t="str">
        <x:v>P0280</x:v>
      </x:c>
      <x:c r="H485" s="22" t="n">
        <x:v>7.2</x:v>
      </x:c>
      <x:c r="I485" s="28" t="n">
        <x:v>2882348828.4826174</x:v>
      </x:c>
      <x:c r="J485" s="28" t="n">
        <x:f>ROUND(H485*I485,-MAX(0,INT(LOG10(H485*I485))-1))</x:f>
        <x:v>21000000000</x:v>
      </x:c>
      <x:c r="K485" s="28" t="n">
        <x:v>1200000</x:v>
      </x:c>
      <x:c r="L485" s="28" t="n">
        <x:v>1600000</x:v>
      </x:c>
      <x:c r="M485" s="28" t="n">
        <x:v>92000</x:v>
      </x:c>
      <x:c r="N485" s="28" t="n">
        <x:v>78000</x:v>
      </x:c>
      <x:c r="O485" s="28" t="n">
        <x:v>269</x:v>
      </x:c>
      <x:c r="P485" s="28" t="n">
        <x:v>460</x:v>
      </x:c>
      <x:c r="Q485" s="28" t="n">
        <x:v>1600</x:v>
      </x:c>
      <x:c r="R485" s="22"/>
      <x:c r="S485" s="22"/>
      <x:c r="T485" s="22" t="str">
        <x:v>64位值核对</x:v>
      </x:c>
    </x:row>
    <x:row r="486" ht="24" customHeight="1">
      <x:c r="A486" s="22" t="str">
        <x:v>C09-M043</x:v>
      </x:c>
      <x:c r="B486" s="22" t="n">
        <x:v>9</x:v>
      </x:c>
      <x:c r="C486" s="22" t="str">
        <x:v>黄金圣堂</x:v>
      </x:c>
      <x:c r="D486" s="22" t="str">
        <x:v>稀有</x:v>
      </x:c>
      <x:c r="E486" s="22" t="str">
        <x:v>前廊裁罪使</x:v>
      </x:c>
      <x:c r="F486" s="22" t="str">
        <x:v>XX796</x:v>
      </x:c>
      <x:c r="G486" s="22" t="str">
        <x:v>P0280</x:v>
      </x:c>
      <x:c r="H486" s="22" t="n">
        <x:v>21.6</x:v>
      </x:c>
      <x:c r="I486" s="28" t="n">
        <x:v>2706524769.825817</x:v>
      </x:c>
      <x:c r="J486" s="28" t="n">
        <x:f>ROUND(H486*I486,-MAX(0,INT(LOG10(H486*I486))-1))</x:f>
        <x:v>58000000000</x:v>
      </x:c>
      <x:c r="K486" s="28" t="n">
        <x:v>2200000</x:v>
      </x:c>
      <x:c r="L486" s="28" t="n">
        <x:v>3000000</x:v>
      </x:c>
      <x:c r="M486" s="28" t="n">
        <x:v>180000</x:v>
      </x:c>
      <x:c r="N486" s="28" t="n">
        <x:v>150000</x:v>
      </x:c>
      <x:c r="O486" s="28" t="n">
        <x:v>269</x:v>
      </x:c>
      <x:c r="P486" s="28" t="n">
        <x:v>1400</x:v>
      </x:c>
      <x:c r="Q486" s="28" t="n">
        <x:v>1700</x:v>
      </x:c>
      <x:c r="R486" s="22"/>
      <x:c r="S486" s="22"/>
      <x:c r="T486" s="22" t="str">
        <x:v>64位值核对</x:v>
      </x:c>
    </x:row>
    <x:row r="487" ht="24" customHeight="1">
      <x:c r="A487" s="22" t="str">
        <x:v>C09-M044</x:v>
      </x:c>
      <x:c r="B487" s="22" t="n">
        <x:v>9</x:v>
      </x:c>
      <x:c r="C487" s="22" t="str">
        <x:v>黄金圣堂</x:v>
      </x:c>
      <x:c r="D487" s="22" t="str">
        <x:v>稀有</x:v>
      </x:c>
      <x:c r="E487" s="22" t="str">
        <x:v>古神食香兽</x:v>
      </x:c>
      <x:c r="F487" s="22" t="str">
        <x:v>XX787</x:v>
      </x:c>
      <x:c r="G487" s="22" t="str">
        <x:v>P0280</x:v>
      </x:c>
      <x:c r="H487" s="22" t="n">
        <x:v>26.400000000000002</x:v>
      </x:c>
      <x:c r="I487" s="28" t="n">
        <x:v>2706524769.825817</x:v>
      </x:c>
      <x:c r="J487" s="28" t="n">
        <x:f>ROUND(H487*I487,-MAX(0,INT(LOG10(H487*I487))-1))</x:f>
        <x:v>71000000000</x:v>
      </x:c>
      <x:c r="K487" s="28" t="n">
        <x:v>2200000</x:v>
      </x:c>
      <x:c r="L487" s="28" t="n">
        <x:v>3000000</x:v>
      </x:c>
      <x:c r="M487" s="28" t="n">
        <x:v>180000</x:v>
      </x:c>
      <x:c r="N487" s="28" t="n">
        <x:v>150000</x:v>
      </x:c>
      <x:c r="O487" s="28" t="n">
        <x:v>269</x:v>
      </x:c>
      <x:c r="P487" s="28" t="n">
        <x:v>1400</x:v>
      </x:c>
      <x:c r="Q487" s="28" t="n">
        <x:v>1700</x:v>
      </x:c>
      <x:c r="R487" s="22"/>
      <x:c r="S487" s="22"/>
      <x:c r="T487" s="22" t="str">
        <x:v>64位值核对</x:v>
      </x:c>
    </x:row>
    <x:row r="488" ht="24" customHeight="1">
      <x:c r="A488" s="22" t="str">
        <x:v>C09-M045</x:v>
      </x:c>
      <x:c r="B488" s="22" t="n">
        <x:v>9</x:v>
      </x:c>
      <x:c r="C488" s="22" t="str">
        <x:v>黄金圣堂</x:v>
      </x:c>
      <x:c r="D488" s="22" t="str">
        <x:v>稀有</x:v>
      </x:c>
      <x:c r="E488" s="22" t="str">
        <x:v>内殿无声司铎</x:v>
      </x:c>
      <x:c r="F488" s="22" t="str">
        <x:v>XX795</x:v>
      </x:c>
      <x:c r="G488" s="22" t="str">
        <x:v>P0280</x:v>
      </x:c>
      <x:c r="H488" s="22" t="n">
        <x:v>26.400000000000002</x:v>
      </x:c>
      <x:c r="I488" s="28" t="n">
        <x:v>2706524769.825817</x:v>
      </x:c>
      <x:c r="J488" s="28" t="n">
        <x:f>ROUND(H488*I488,-MAX(0,INT(LOG10(H488*I488))-1))</x:f>
        <x:v>71000000000</x:v>
      </x:c>
      <x:c r="K488" s="28" t="n">
        <x:v>2200000</x:v>
      </x:c>
      <x:c r="L488" s="28" t="n">
        <x:v>3000000</x:v>
      </x:c>
      <x:c r="M488" s="28" t="n">
        <x:v>180000</x:v>
      </x:c>
      <x:c r="N488" s="28" t="n">
        <x:v>150000</x:v>
      </x:c>
      <x:c r="O488" s="28" t="n">
        <x:v>269</x:v>
      </x:c>
      <x:c r="P488" s="28" t="n">
        <x:v>1400</x:v>
      </x:c>
      <x:c r="Q488" s="28" t="n">
        <x:v>1700</x:v>
      </x:c>
      <x:c r="R488" s="22"/>
      <x:c r="S488" s="22"/>
      <x:c r="T488" s="22" t="str">
        <x:v>64位值核对</x:v>
      </x:c>
    </x:row>
    <x:row r="489" ht="24" customHeight="1">
      <x:c r="A489" s="22" t="str">
        <x:v>C09-M046</x:v>
      </x:c>
      <x:c r="B489" s="22" t="n">
        <x:v>9</x:v>
      </x:c>
      <x:c r="C489" s="22" t="str">
        <x:v>黄金圣堂</x:v>
      </x:c>
      <x:c r="D489" s="22" t="str">
        <x:v>稀有</x:v>
      </x:c>
      <x:c r="E489" s="22" t="str">
        <x:v>圣坛逐光姬</x:v>
      </x:c>
      <x:c r="F489" s="22" t="str">
        <x:v>XX791</x:v>
      </x:c>
      <x:c r="G489" s="22" t="str">
        <x:v>P0280</x:v>
      </x:c>
      <x:c r="H489" s="22" t="n">
        <x:v>22.799999999999997</x:v>
      </x:c>
      <x:c r="I489" s="28" t="n">
        <x:v>2706524769.825817</x:v>
      </x:c>
      <x:c r="J489" s="28" t="n">
        <x:f>ROUND(H489*I489,-MAX(0,INT(LOG10(H489*I489))-1))</x:f>
        <x:v>62000000000</x:v>
      </x:c>
      <x:c r="K489" s="28" t="n">
        <x:v>2200000</x:v>
      </x:c>
      <x:c r="L489" s="28" t="n">
        <x:v>3000000</x:v>
      </x:c>
      <x:c r="M489" s="28" t="n">
        <x:v>180000</x:v>
      </x:c>
      <x:c r="N489" s="28" t="n">
        <x:v>150000</x:v>
      </x:c>
      <x:c r="O489" s="28" t="n">
        <x:v>269</x:v>
      </x:c>
      <x:c r="P489" s="28" t="n">
        <x:v>1400</x:v>
      </x:c>
      <x:c r="Q489" s="28" t="n">
        <x:v>1700</x:v>
      </x:c>
      <x:c r="R489" s="22"/>
      <x:c r="S489" s="22"/>
      <x:c r="T489" s="22" t="str">
        <x:v>64位值核对</x:v>
      </x:c>
    </x:row>
    <x:row r="490" ht="24" customHeight="1">
      <x:c r="A490" s="22" t="str">
        <x:v>C09-M047</x:v>
      </x:c>
      <x:c r="B490" s="22" t="n">
        <x:v>9</x:v>
      </x:c>
      <x:c r="C490" s="22" t="str">
        <x:v>黄金圣堂</x:v>
      </x:c>
      <x:c r="D490" s="22" t="str">
        <x:v>地图BOSS</x:v>
      </x:c>
      <x:c r="E490" s="22" t="str">
        <x:v>黄金枢机·赛维兰</x:v>
      </x:c>
      <x:c r="F490" s="22" t="str">
        <x:v>XX795</x:v>
      </x:c>
      <x:c r="G490" s="22" t="str">
        <x:v>P0287</x:v>
      </x:c>
      <x:c r="H490" s="22" t="n">
        <x:v>86.25</x:v>
      </x:c>
      <x:c r="I490" s="28" t="n">
        <x:v>10508760778.990726</x:v>
      </x:c>
      <x:c r="J490" s="28" t="n">
        <x:f>ROUND(H490*I490,-MAX(0,INT(LOG10(H490*I490))-1))</x:f>
        <x:v>910000000000</x:v>
      </x:c>
      <x:c r="K490" s="28" t="n">
        <x:v>4200000</x:v>
      </x:c>
      <x:c r="L490" s="28" t="n">
        <x:v>5700000</x:v>
      </x:c>
      <x:c r="M490" s="28" t="n">
        <x:v>360000</x:v>
      </x:c>
      <x:c r="N490" s="28" t="n">
        <x:v>310000</x:v>
      </x:c>
      <x:c r="O490" s="28" t="n">
        <x:v>269</x:v>
      </x:c>
      <x:c r="P490" s="28" t="n">
        <x:v>5600</x:v>
      </x:c>
      <x:c r="Q490" s="28" t="n">
        <x:v>1800</x:v>
      </x:c>
      <x:c r="R490" s="22"/>
      <x:c r="S490" s="22"/>
      <x:c r="T490" s="22" t="str">
        <x:v>64位值核对</x:v>
      </x:c>
    </x:row>
    <x:row r="491" ht="24" customHeight="1">
      <x:c r="A491" s="22" t="str">
        <x:v>C09-M048</x:v>
      </x:c>
      <x:c r="B491" s="22" t="n">
        <x:v>9</x:v>
      </x:c>
      <x:c r="C491" s="22" t="str">
        <x:v>黄金圣堂</x:v>
      </x:c>
      <x:c r="D491" s="22" t="str">
        <x:v>地图BOSS</x:v>
      </x:c>
      <x:c r="E491" s="22" t="str">
        <x:v>高原圣母·艾德莉雅</x:v>
      </x:c>
      <x:c r="F491" s="22" t="str">
        <x:v>XX791</x:v>
      </x:c>
      <x:c r="G491" s="22" t="str">
        <x:v>P0288</x:v>
      </x:c>
      <x:c r="H491" s="22" t="n">
        <x:v>86.25</x:v>
      </x:c>
      <x:c r="I491" s="28" t="n">
        <x:v>10508760778.990726</x:v>
      </x:c>
      <x:c r="J491" s="28" t="n">
        <x:f>ROUND(H491*I491,-MAX(0,INT(LOG10(H491*I491))-1))</x:f>
        <x:v>910000000000</x:v>
      </x:c>
      <x:c r="K491" s="28" t="n">
        <x:v>4200000</x:v>
      </x:c>
      <x:c r="L491" s="28" t="n">
        <x:v>5700000</x:v>
      </x:c>
      <x:c r="M491" s="28" t="n">
        <x:v>360000</x:v>
      </x:c>
      <x:c r="N491" s="28" t="n">
        <x:v>310000</x:v>
      </x:c>
      <x:c r="O491" s="28" t="n">
        <x:v>269</x:v>
      </x:c>
      <x:c r="P491" s="28" t="n">
        <x:v>5600</x:v>
      </x:c>
      <x:c r="Q491" s="28" t="n">
        <x:v>1800</x:v>
      </x:c>
      <x:c r="R491" s="22"/>
      <x:c r="S491" s="22"/>
      <x:c r="T491" s="22" t="str">
        <x:v>64位值核对</x:v>
      </x:c>
    </x:row>
    <x:row r="492" ht="24" customHeight="1">
      <x:c r="A492" s="22" t="str">
        <x:v>C09-M049</x:v>
      </x:c>
      <x:c r="B492" s="22" t="n">
        <x:v>9</x:v>
      </x:c>
      <x:c r="C492" s="22" t="str">
        <x:v>王城前垒</x:v>
      </x:c>
      <x:c r="D492" s="22" t="str">
        <x:v>普通</x:v>
      </x:c>
      <x:c r="E492" s="22" t="str">
        <x:v>外垒铆甲兵</x:v>
      </x:c>
      <x:c r="F492" s="22" t="str">
        <x:v>XX690</x:v>
      </x:c>
      <x:c r="G492" s="22" t="str">
        <x:v>P0286</x:v>
      </x:c>
      <x:c r="H492" s="22" t="n">
        <x:v>7.6</x:v>
      </x:c>
      <x:c r="I492" s="28" t="n">
        <x:v>3751458179.38686</x:v>
      </x:c>
      <x:c r="J492" s="28" t="n">
        <x:f>ROUND(H492*I492,-MAX(0,INT(LOG10(H492*I492))-1))</x:f>
        <x:v>29000000000</x:v>
      </x:c>
      <x:c r="K492" s="28" t="n">
        <x:v>990000</x:v>
      </x:c>
      <x:c r="L492" s="28" t="n">
        <x:v>1300000</x:v>
      </x:c>
      <x:c r="M492" s="28" t="n">
        <x:v>120000</x:v>
      </x:c>
      <x:c r="N492" s="28" t="n">
        <x:v>100000</x:v>
      </x:c>
      <x:c r="O492" s="28" t="n">
        <x:v>272</x:v>
      </x:c>
      <x:c r="P492" s="28" t="n">
        <x:v>480</x:v>
      </x:c>
      <x:c r="Q492" s="28" t="n">
        <x:v>1600</x:v>
      </x:c>
      <x:c r="R492" s="22"/>
      <x:c r="S492" s="22"/>
      <x:c r="T492" s="22" t="str">
        <x:v>64位值核对</x:v>
      </x:c>
    </x:row>
    <x:row r="493" ht="24" customHeight="1">
      <x:c r="A493" s="22" t="str">
        <x:v>C09-M050</x:v>
      </x:c>
      <x:c r="B493" s="22" t="n">
        <x:v>9</x:v>
      </x:c>
      <x:c r="C493" s="22" t="str">
        <x:v>王城前垒</x:v>
      </x:c>
      <x:c r="D493" s="22" t="str">
        <x:v>普通</x:v>
      </x:c>
      <x:c r="E493" s="22" t="str">
        <x:v>城前拾箭童</x:v>
      </x:c>
      <x:c r="F493" s="22" t="str">
        <x:v>XX690</x:v>
      </x:c>
      <x:c r="G493" s="22" t="str">
        <x:v>P0286</x:v>
      </x:c>
      <x:c r="H493" s="22" t="n">
        <x:v>8.8</x:v>
      </x:c>
      <x:c r="I493" s="28" t="n">
        <x:v>3751458179.38686</x:v>
      </x:c>
      <x:c r="J493" s="28" t="n">
        <x:f>ROUND(H493*I493,-MAX(0,INT(LOG10(H493*I493))-1))</x:f>
        <x:v>33000000000</x:v>
      </x:c>
      <x:c r="K493" s="28" t="n">
        <x:v>990000</x:v>
      </x:c>
      <x:c r="L493" s="28" t="n">
        <x:v>1300000</x:v>
      </x:c>
      <x:c r="M493" s="28" t="n">
        <x:v>120000</x:v>
      </x:c>
      <x:c r="N493" s="28" t="n">
        <x:v>100000</x:v>
      </x:c>
      <x:c r="O493" s="28" t="n">
        <x:v>272</x:v>
      </x:c>
      <x:c r="P493" s="28" t="n">
        <x:v>480</x:v>
      </x:c>
      <x:c r="Q493" s="28" t="n">
        <x:v>1600</x:v>
      </x:c>
      <x:c r="R493" s="22"/>
      <x:c r="S493" s="22"/>
      <x:c r="T493" s="22" t="str">
        <x:v>64位值核对</x:v>
      </x:c>
    </x:row>
    <x:row r="494" ht="24" customHeight="1">
      <x:c r="A494" s="22" t="str">
        <x:v>C09-M051</x:v>
      </x:c>
      <x:c r="B494" s="22" t="n">
        <x:v>9</x:v>
      </x:c>
      <x:c r="C494" s="22" t="str">
        <x:v>王城前垒</x:v>
      </x:c>
      <x:c r="D494" s="22" t="str">
        <x:v>普通</x:v>
      </x:c>
      <x:c r="E494" s="22" t="str">
        <x:v>甬道持炬枪卒</x:v>
      </x:c>
      <x:c r="F494" s="22" t="str">
        <x:v>XX691</x:v>
      </x:c>
      <x:c r="G494" s="22" t="str">
        <x:v>P0286</x:v>
      </x:c>
      <x:c r="H494" s="22" t="n">
        <x:v>7.6</x:v>
      </x:c>
      <x:c r="I494" s="28" t="n">
        <x:v>3751458179.38686</x:v>
      </x:c>
      <x:c r="J494" s="28" t="n">
        <x:f>ROUND(H494*I494,-MAX(0,INT(LOG10(H494*I494))-1))</x:f>
        <x:v>29000000000</x:v>
      </x:c>
      <x:c r="K494" s="28" t="n">
        <x:v>990000</x:v>
      </x:c>
      <x:c r="L494" s="28" t="n">
        <x:v>1300000</x:v>
      </x:c>
      <x:c r="M494" s="28" t="n">
        <x:v>120000</x:v>
      </x:c>
      <x:c r="N494" s="28" t="n">
        <x:v>100000</x:v>
      </x:c>
      <x:c r="O494" s="28" t="n">
        <x:v>272</x:v>
      </x:c>
      <x:c r="P494" s="28" t="n">
        <x:v>480</x:v>
      </x:c>
      <x:c r="Q494" s="28" t="n">
        <x:v>1600</x:v>
      </x:c>
      <x:c r="R494" s="22"/>
      <x:c r="S494" s="22"/>
      <x:c r="T494" s="22" t="str">
        <x:v>64位值核对</x:v>
      </x:c>
    </x:row>
    <x:row r="495" ht="24" customHeight="1">
      <x:c r="A495" s="22" t="str">
        <x:v>C09-M052</x:v>
      </x:c>
      <x:c r="B495" s="22" t="n">
        <x:v>9</x:v>
      </x:c>
      <x:c r="C495" s="22" t="str">
        <x:v>王城前垒</x:v>
      </x:c>
      <x:c r="D495" s="22" t="str">
        <x:v>普通</x:v>
      </x:c>
      <x:c r="E495" s="22" t="str">
        <x:v>驻军庭院炊兵</x:v>
      </x:c>
      <x:c r="F495" s="22" t="str">
        <x:v>XX689</x:v>
      </x:c>
      <x:c r="G495" s="22" t="str">
        <x:v>P0286</x:v>
      </x:c>
      <x:c r="H495" s="22" t="n">
        <x:v>7.2</x:v>
      </x:c>
      <x:c r="I495" s="28" t="n">
        <x:v>3751458179.38686</x:v>
      </x:c>
      <x:c r="J495" s="28" t="n">
        <x:f>ROUND(H495*I495,-MAX(0,INT(LOG10(H495*I495))-1))</x:f>
        <x:v>27000000000</x:v>
      </x:c>
      <x:c r="K495" s="28" t="n">
        <x:v>990000</x:v>
      </x:c>
      <x:c r="L495" s="28" t="n">
        <x:v>1300000</x:v>
      </x:c>
      <x:c r="M495" s="28" t="n">
        <x:v>120000</x:v>
      </x:c>
      <x:c r="N495" s="28" t="n">
        <x:v>100000</x:v>
      </x:c>
      <x:c r="O495" s="28" t="n">
        <x:v>272</x:v>
      </x:c>
      <x:c r="P495" s="28" t="n">
        <x:v>480</x:v>
      </x:c>
      <x:c r="Q495" s="28" t="n">
        <x:v>1600</x:v>
      </x:c>
      <x:c r="R495" s="22"/>
      <x:c r="S495" s="22"/>
      <x:c r="T495" s="22" t="str">
        <x:v>64位值核对</x:v>
      </x:c>
    </x:row>
    <x:row r="496" ht="24" customHeight="1">
      <x:c r="A496" s="22" t="str">
        <x:v>C09-M053</x:v>
      </x:c>
      <x:c r="B496" s="22" t="n">
        <x:v>9</x:v>
      </x:c>
      <x:c r="C496" s="22" t="str">
        <x:v>王城前垒</x:v>
      </x:c>
      <x:c r="D496" s="22" t="str">
        <x:v>普通</x:v>
      </x:c>
      <x:c r="E496" s="22" t="str">
        <x:v>黄金壁垒号手</x:v>
      </x:c>
      <x:c r="F496" s="22" t="str">
        <x:v>XX688</x:v>
      </x:c>
      <x:c r="G496" s="22" t="str">
        <x:v>P0286</x:v>
      </x:c>
      <x:c r="H496" s="22" t="n">
        <x:v>8.8</x:v>
      </x:c>
      <x:c r="I496" s="28" t="n">
        <x:v>3751458179.38686</x:v>
      </x:c>
      <x:c r="J496" s="28" t="n">
        <x:f>ROUND(H496*I496,-MAX(0,INT(LOG10(H496*I496))-1))</x:f>
        <x:v>33000000000</x:v>
      </x:c>
      <x:c r="K496" s="28" t="n">
        <x:v>990000</x:v>
      </x:c>
      <x:c r="L496" s="28" t="n">
        <x:v>1300000</x:v>
      </x:c>
      <x:c r="M496" s="28" t="n">
        <x:v>120000</x:v>
      </x:c>
      <x:c r="N496" s="28" t="n">
        <x:v>100000</x:v>
      </x:c>
      <x:c r="O496" s="28" t="n">
        <x:v>272</x:v>
      </x:c>
      <x:c r="P496" s="28" t="n">
        <x:v>480</x:v>
      </x:c>
      <x:c r="Q496" s="28" t="n">
        <x:v>1600</x:v>
      </x:c>
      <x:c r="R496" s="22"/>
      <x:c r="S496" s="22"/>
      <x:c r="T496" s="22" t="str">
        <x:v>64位值核对</x:v>
      </x:c>
    </x:row>
    <x:row r="497" ht="24" customHeight="1">
      <x:c r="A497" s="22" t="str">
        <x:v>C09-M054</x:v>
      </x:c>
      <x:c r="B497" s="22" t="n">
        <x:v>9</x:v>
      </x:c>
      <x:c r="C497" s="22" t="str">
        <x:v>王城前垒</x:v>
      </x:c>
      <x:c r="D497" s="22" t="str">
        <x:v>普通</x:v>
      </x:c>
      <x:c r="E497" s="22" t="str">
        <x:v>关门锁链卫</x:v>
      </x:c>
      <x:c r="F497" s="22" t="str">
        <x:v>XX639</x:v>
      </x:c>
      <x:c r="G497" s="22" t="str">
        <x:v>P0286</x:v>
      </x:c>
      <x:c r="H497" s="22" t="n">
        <x:v>8</x:v>
      </x:c>
      <x:c r="I497" s="28" t="n">
        <x:v>3751458179.38686</x:v>
      </x:c>
      <x:c r="J497" s="28" t="n">
        <x:f>ROUND(H497*I497,-MAX(0,INT(LOG10(H497*I497))-1))</x:f>
        <x:v>30000000000</x:v>
      </x:c>
      <x:c r="K497" s="28" t="n">
        <x:v>190000</x:v>
      </x:c>
      <x:c r="L497" s="28" t="n">
        <x:v>260000</x:v>
      </x:c>
      <x:c r="M497" s="28" t="n">
        <x:v>120000</x:v>
      </x:c>
      <x:c r="N497" s="28" t="n">
        <x:v>100000</x:v>
      </x:c>
      <x:c r="O497" s="28" t="n">
        <x:v>272</x:v>
      </x:c>
      <x:c r="P497" s="28" t="n">
        <x:v>480</x:v>
      </x:c>
      <x:c r="Q497" s="28" t="n">
        <x:v>1600</x:v>
      </x:c>
      <x:c r="R497" s="22"/>
      <x:c r="S497" s="22"/>
      <x:c r="T497" s="22" t="str">
        <x:v>64位值核对</x:v>
      </x:c>
    </x:row>
    <x:row r="498" ht="24" customHeight="1">
      <x:c r="A498" s="22" t="str">
        <x:v>C09-M055</x:v>
      </x:c>
      <x:c r="B498" s="22" t="n">
        <x:v>9</x:v>
      </x:c>
      <x:c r="C498" s="22" t="str">
        <x:v>王城前垒</x:v>
      </x:c>
      <x:c r="D498" s="22" t="str">
        <x:v>稀有</x:v>
      </x:c>
      <x:c r="E498" s="22" t="str">
        <x:v>甬道潜旗客</x:v>
      </x:c>
      <x:c r="F498" s="22" t="str">
        <x:v>XX691</x:v>
      </x:c>
      <x:c r="G498" s="22" t="str">
        <x:v>P0286</x:v>
      </x:c>
      <x:c r="H498" s="22" t="n">
        <x:v>24</x:v>
      </x:c>
      <x:c r="I498" s="28" t="n">
        <x:v>3511698099.4003143</x:v>
      </x:c>
      <x:c r="J498" s="28" t="n">
        <x:f>ROUND(H498*I498,-MAX(0,INT(LOG10(H498*I498))-1))</x:f>
        <x:v>84000000000</x:v>
      </x:c>
      <x:c r="K498" s="28" t="n">
        <x:v>1900000</x:v>
      </x:c>
      <x:c r="L498" s="28" t="n">
        <x:v>2600000</x:v>
      </x:c>
      <x:c r="M498" s="28" t="n">
        <x:v>240000</x:v>
      </x:c>
      <x:c r="N498" s="28" t="n">
        <x:v>200000</x:v>
      </x:c>
      <x:c r="O498" s="28" t="n">
        <x:v>272</x:v>
      </x:c>
      <x:c r="P498" s="28" t="n">
        <x:v>1400</x:v>
      </x:c>
      <x:c r="Q498" s="28" t="n">
        <x:v>1700</x:v>
      </x:c>
      <x:c r="R498" s="22"/>
      <x:c r="S498" s="22"/>
      <x:c r="T498" s="22" t="str">
        <x:v>64位值核对</x:v>
      </x:c>
    </x:row>
    <x:row r="499" ht="24" customHeight="1">
      <x:c r="A499" s="22" t="str">
        <x:v>C09-M056</x:v>
      </x:c>
      <x:c r="B499" s="22" t="n">
        <x:v>9</x:v>
      </x:c>
      <x:c r="C499" s="22" t="str">
        <x:v>王城前垒</x:v>
      </x:c>
      <x:c r="D499" s="22" t="str">
        <x:v>稀有</x:v>
      </x:c>
      <x:c r="E499" s="22" t="str">
        <x:v>庭院百战旗官</x:v>
      </x:c>
      <x:c r="F499" s="22" t="str">
        <x:v>XX689</x:v>
      </x:c>
      <x:c r="G499" s="22" t="str">
        <x:v>P0286</x:v>
      </x:c>
      <x:c r="H499" s="22" t="n">
        <x:v>27.599999999999998</x:v>
      </x:c>
      <x:c r="I499" s="28" t="n">
        <x:v>3511698099.4003143</x:v>
      </x:c>
      <x:c r="J499" s="28" t="n">
        <x:f>ROUND(H499*I499,-MAX(0,INT(LOG10(H499*I499))-1))</x:f>
        <x:v>97000000000</x:v>
      </x:c>
      <x:c r="K499" s="28" t="n">
        <x:v>1900000</x:v>
      </x:c>
      <x:c r="L499" s="28" t="n">
        <x:v>2600000</x:v>
      </x:c>
      <x:c r="M499" s="28" t="n">
        <x:v>240000</x:v>
      </x:c>
      <x:c r="N499" s="28" t="n">
        <x:v>200000</x:v>
      </x:c>
      <x:c r="O499" s="28" t="n">
        <x:v>272</x:v>
      </x:c>
      <x:c r="P499" s="28" t="n">
        <x:v>1400</x:v>
      </x:c>
      <x:c r="Q499" s="28" t="n">
        <x:v>1700</x:v>
      </x:c>
      <x:c r="R499" s="22"/>
      <x:c r="S499" s="22"/>
      <x:c r="T499" s="22" t="str">
        <x:v>64位值核对</x:v>
      </x:c>
    </x:row>
    <x:row r="500" ht="24" customHeight="1">
      <x:c r="A500" s="22" t="str">
        <x:v>C09-M057</x:v>
      </x:c>
      <x:c r="B500" s="22" t="n">
        <x:v>9</x:v>
      </x:c>
      <x:c r="C500" s="22" t="str">
        <x:v>王城前垒</x:v>
      </x:c>
      <x:c r="D500" s="22" t="str">
        <x:v>稀有</x:v>
      </x:c>
      <x:c r="E500" s="22" t="str">
        <x:v>壁垒鎏甲骑士</x:v>
      </x:c>
      <x:c r="F500" s="22" t="str">
        <x:v>XX688</x:v>
      </x:c>
      <x:c r="G500" s="22" t="str">
        <x:v>P0286</x:v>
      </x:c>
      <x:c r="H500" s="22" t="n">
        <x:v>24</x:v>
      </x:c>
      <x:c r="I500" s="28" t="n">
        <x:v>3511698099.4003143</x:v>
      </x:c>
      <x:c r="J500" s="28" t="n">
        <x:f>ROUND(H500*I500,-MAX(0,INT(LOG10(H500*I500))-1))</x:f>
        <x:v>84000000000</x:v>
      </x:c>
      <x:c r="K500" s="28" t="n">
        <x:v>1900000</x:v>
      </x:c>
      <x:c r="L500" s="28" t="n">
        <x:v>2600000</x:v>
      </x:c>
      <x:c r="M500" s="28" t="n">
        <x:v>240000</x:v>
      </x:c>
      <x:c r="N500" s="28" t="n">
        <x:v>200000</x:v>
      </x:c>
      <x:c r="O500" s="28" t="n">
        <x:v>272</x:v>
      </x:c>
      <x:c r="P500" s="28" t="n">
        <x:v>1400</x:v>
      </x:c>
      <x:c r="Q500" s="28" t="n">
        <x:v>1700</x:v>
      </x:c>
      <x:c r="R500" s="22"/>
      <x:c r="S500" s="22"/>
      <x:c r="T500" s="22" t="str">
        <x:v>64位值核对</x:v>
      </x:c>
    </x:row>
    <x:row r="501" ht="24" customHeight="1">
      <x:c r="A501" s="22" t="str">
        <x:v>C09-M058</x:v>
      </x:c>
      <x:c r="B501" s="22" t="n">
        <x:v>9</x:v>
      </x:c>
      <x:c r="C501" s="22" t="str">
        <x:v>王城前垒</x:v>
      </x:c>
      <x:c r="D501" s="22" t="str">
        <x:v>稀有</x:v>
      </x:c>
      <x:c r="E501" s="22" t="str">
        <x:v>罗德尔守门卜者</x:v>
      </x:c>
      <x:c r="F501" s="22" t="str">
        <x:v>XX639</x:v>
      </x:c>
      <x:c r="G501" s="22" t="str">
        <x:v>P0286</x:v>
      </x:c>
      <x:c r="H501" s="22" t="n">
        <x:v>24</x:v>
      </x:c>
      <x:c r="I501" s="28" t="n">
        <x:v>3511698099.4003143</x:v>
      </x:c>
      <x:c r="J501" s="28" t="n">
        <x:f>ROUND(H501*I501,-MAX(0,INT(LOG10(H501*I501))-1))</x:f>
        <x:v>84000000000</x:v>
      </x:c>
      <x:c r="K501" s="28" t="n">
        <x:v>360000</x:v>
      </x:c>
      <x:c r="L501" s="28" t="n">
        <x:v>490000</x:v>
      </x:c>
      <x:c r="M501" s="28" t="n">
        <x:v>240000</x:v>
      </x:c>
      <x:c r="N501" s="28" t="n">
        <x:v>200000</x:v>
      </x:c>
      <x:c r="O501" s="28" t="n">
        <x:v>272</x:v>
      </x:c>
      <x:c r="P501" s="28" t="n">
        <x:v>1400</x:v>
      </x:c>
      <x:c r="Q501" s="28" t="n">
        <x:v>1700</x:v>
      </x:c>
      <x:c r="R501" s="22"/>
      <x:c r="S501" s="22"/>
      <x:c r="T501" s="22" t="str">
        <x:v>64位值核对</x:v>
      </x:c>
    </x:row>
    <x:row r="502" ht="24" customHeight="1">
      <x:c r="A502" s="22" t="str">
        <x:v>C09-M059</x:v>
      </x:c>
      <x:c r="B502" s="22" t="n">
        <x:v>9</x:v>
      </x:c>
      <x:c r="C502" s="22" t="str">
        <x:v>王城前垒</x:v>
      </x:c>
      <x:c r="D502" s="22" t="str">
        <x:v>地图BOSS</x:v>
      </x:c>
      <x:c r="E502" s="22" t="str">
        <x:v>黄金壁垒统帅·罗梵迪</x:v>
      </x:c>
      <x:c r="F502" s="22" t="str">
        <x:v>XX688</x:v>
      </x:c>
      <x:c r="G502" s="22" t="str">
        <x:v>P0293</x:v>
      </x:c>
      <x:c r="H502" s="22" t="n">
        <x:v>67.5</x:v>
      </x:c>
      <x:c r="I502" s="28" t="n">
        <x:v>11101051491.792841</x:v>
      </x:c>
      <x:c r="J502" s="28" t="n">
        <x:f>ROUND(H502*I502,-MAX(0,INT(LOG10(H502*I502))-1))</x:f>
        <x:v>750000000000</x:v>
      </x:c>
      <x:c r="K502" s="28" t="n">
        <x:v>2900000</x:v>
      </x:c>
      <x:c r="L502" s="28" t="n">
        <x:v>4000000</x:v>
      </x:c>
      <x:c r="M502" s="28" t="n">
        <x:v>370000</x:v>
      </x:c>
      <x:c r="N502" s="28" t="n">
        <x:v>310000</x:v>
      </x:c>
      <x:c r="O502" s="28" t="n">
        <x:v>272</x:v>
      </x:c>
      <x:c r="P502" s="28" t="n">
        <x:v>5800</x:v>
      </x:c>
      <x:c r="Q502" s="28" t="n">
        <x:v>1800</x:v>
      </x:c>
      <x:c r="R502" s="22"/>
      <x:c r="S502" s="22"/>
      <x:c r="T502" s="22" t="str">
        <x:v>64位值核对</x:v>
      </x:c>
    </x:row>
    <x:row r="503" ht="24" customHeight="1">
      <x:c r="A503" s="22" t="str">
        <x:v>C09-M060</x:v>
      </x:c>
      <x:c r="B503" s="22" t="n">
        <x:v>9</x:v>
      </x:c>
      <x:c r="C503" s="22" t="str">
        <x:v>王城前垒</x:v>
      </x:c>
      <x:c r="D503" s="22" t="str">
        <x:v>地图BOSS</x:v>
      </x:c>
      <x:c r="E503" s="22" t="str">
        <x:v>王门执宪者·赫桑达</x:v>
      </x:c>
      <x:c r="F503" s="22" t="str">
        <x:v>XX639</x:v>
      </x:c>
      <x:c r="G503" s="22" t="str">
        <x:v>P0294</x:v>
      </x:c>
      <x:c r="H503" s="22" t="n">
        <x:v>75</x:v>
      </x:c>
      <x:c r="I503" s="28" t="n">
        <x:v>7271295402.111157</x:v>
      </x:c>
      <x:c r="J503" s="28" t="n">
        <x:f>ROUND(H503*I503,-MAX(0,INT(LOG10(H503*I503))-1))</x:f>
        <x:v>550000000000</x:v>
      </x:c>
      <x:c r="K503" s="28" t="n">
        <x:v>540000</x:v>
      </x:c>
      <x:c r="L503" s="28" t="n">
        <x:v>730000</x:v>
      </x:c>
      <x:c r="M503" s="28" t="n">
        <x:v>370000</x:v>
      </x:c>
      <x:c r="N503" s="28" t="n">
        <x:v>310000</x:v>
      </x:c>
      <x:c r="O503" s="28" t="n">
        <x:v>272</x:v>
      </x:c>
      <x:c r="P503" s="28" t="n">
        <x:v>5800</x:v>
      </x:c>
      <x:c r="Q503" s="28" t="n">
        <x:v>1800</x:v>
      </x:c>
      <x:c r="R503" s="22"/>
      <x:c r="S503" s="22"/>
      <x:c r="T503" s="22" t="str">
        <x:v>64位值核对</x:v>
      </x:c>
    </x:row>
    <x:row r="504" ht="24" customHeight="1">
      <x:c r="A504" s="22" t="str">
        <x:v>C09-M061</x:v>
      </x:c>
      <x:c r="B504" s="22" t="n">
        <x:v>9</x:v>
      </x:c>
      <x:c r="C504" s="22" t="str">
        <x:v>王城前垒</x:v>
      </x:c>
      <x:c r="D504" s="22" t="str">
        <x:v>守关BOSS</x:v>
      </x:c>
      <x:c r="E504" s="22" t="str">
        <x:v>鎏日王城之影·阿尔维萨</x:v>
      </x:c>
      <x:c r="F504" s="22" t="str">
        <x:v>XX639</x:v>
      </x:c>
      <x:c r="G504" s="22" t="str">
        <x:v>P0298</x:v>
      </x:c>
      <x:c r="H504" s="22" t="n">
        <x:v>360</x:v>
      </x:c>
      <x:c r="I504" s="28" t="n">
        <x:v>17727587260.12993</x:v>
      </x:c>
      <x:c r="J504" s="28" t="n">
        <x:f>ROUND(H504*I504,-MAX(0,INT(LOG10(H504*I504))-1))</x:f>
        <x:v>6400000000000</x:v>
      </x:c>
      <x:c r="K504" s="28" t="n">
        <x:v>19000000</x:v>
      </x:c>
      <x:c r="L504" s="28" t="n">
        <x:v>26000000</x:v>
      </x:c>
      <x:c r="M504" s="28" t="n">
        <x:v>520000</x:v>
      </x:c>
      <x:c r="N504" s="28" t="n">
        <x:v>440000</x:v>
      </x:c>
      <x:c r="O504" s="28" t="n">
        <x:v>272</x:v>
      </x:c>
      <x:c r="P504" s="28" t="n">
        <x:v>14000</x:v>
      </x:c>
      <x:c r="Q504" s="28" t="n">
        <x:v>2000</x:v>
      </x:c>
      <x:c r="R504" s="22"/>
      <x:c r="S504" s="22"/>
      <x:c r="T504" s="22" t="str">
        <x:v>64位值核对</x:v>
      </x:c>
    </x:row>
    <x:row r="505" ht="24" customHeight="1">
      <x:c r="A505" s="22" t="str">
        <x:v>C10-M001</x:v>
      </x:c>
      <x:c r="B505" s="22" t="n">
        <x:v>10</x:v>
      </x:c>
      <x:c r="C505" s="22" t="str">
        <x:v>王城下城区</x:v>
      </x:c>
      <x:c r="D505" s="22" t="str">
        <x:v>普通</x:v>
      </x:c>
      <x:c r="E505" s="22" t="str">
        <x:v>檐沟拾烬徒</x:v>
      </x:c>
      <x:c r="F505" s="22" t="str">
        <x:v>XX932</x:v>
      </x:c>
      <x:c r="G505" s="22" t="str">
        <x:v>P0303</x:v>
      </x:c>
      <x:c r="H505" s="22" t="n">
        <x:v>8.8</x:v>
      </x:c>
      <x:c r="I505" s="28" t="n">
        <x:v>7403191796.516257</x:v>
      </x:c>
      <x:c r="J505" s="28" t="n">
        <x:f>ROUND(H505*I505,-MAX(0,INT(LOG10(H505*I505))-1))</x:f>
        <x:v>65000000000</x:v>
      </x:c>
      <x:c r="K505" s="28" t="n">
        <x:v>4800000</x:v>
      </x:c>
      <x:c r="L505" s="28" t="n">
        <x:v>6500000</x:v>
      </x:c>
      <x:c r="M505" s="28" t="n">
        <x:v>140000</x:v>
      </x:c>
      <x:c r="N505" s="28" t="n">
        <x:v>120000</x:v>
      </x:c>
      <x:c r="O505" s="28" t="n">
        <x:v>290</x:v>
      </x:c>
      <x:c r="P505" s="28" t="n">
        <x:v>460</x:v>
      </x:c>
      <x:c r="Q505" s="28" t="n">
        <x:v>1600</x:v>
      </x:c>
      <x:c r="R505" s="22"/>
      <x:c r="S505" s="22"/>
      <x:c r="T505" s="22" t="str">
        <x:v>64位值核对</x:v>
      </x:c>
    </x:row>
    <x:row r="506" ht="24" customHeight="1">
      <x:c r="A506" s="22" t="str">
        <x:v>C10-M002</x:v>
      </x:c>
      <x:c r="B506" s="22" t="n">
        <x:v>10</x:v>
      </x:c>
      <x:c r="C506" s="22" t="str">
        <x:v>王城下城区</x:v>
      </x:c>
      <x:c r="D506" s="22" t="str">
        <x:v>普通</x:v>
      </x:c>
      <x:c r="E506" s="22" t="str">
        <x:v>斑墙巡灯卒</x:v>
      </x:c>
      <x:c r="F506" s="22" t="str">
        <x:v>XX932</x:v>
      </x:c>
      <x:c r="G506" s="22" t="str">
        <x:v>P0303</x:v>
      </x:c>
      <x:c r="H506" s="22" t="n">
        <x:v>9.2</x:v>
      </x:c>
      <x:c r="I506" s="28" t="n">
        <x:v>7403191796.516257</x:v>
      </x:c>
      <x:c r="J506" s="28" t="n">
        <x:f>ROUND(H506*I506,-MAX(0,INT(LOG10(H506*I506))-1))</x:f>
        <x:v>68000000000</x:v>
      </x:c>
      <x:c r="K506" s="28" t="n">
        <x:v>4800000</x:v>
      </x:c>
      <x:c r="L506" s="28" t="n">
        <x:v>6500000</x:v>
      </x:c>
      <x:c r="M506" s="28" t="n">
        <x:v>140000</x:v>
      </x:c>
      <x:c r="N506" s="28" t="n">
        <x:v>120000</x:v>
      </x:c>
      <x:c r="O506" s="28" t="n">
        <x:v>290</x:v>
      </x:c>
      <x:c r="P506" s="28" t="n">
        <x:v>460</x:v>
      </x:c>
      <x:c r="Q506" s="28" t="n">
        <x:v>1600</x:v>
      </x:c>
      <x:c r="R506" s="22"/>
      <x:c r="S506" s="22"/>
      <x:c r="T506" s="22" t="str">
        <x:v>64位值核对</x:v>
      </x:c>
    </x:row>
    <x:row r="507" ht="24" customHeight="1">
      <x:c r="A507" s="22" t="str">
        <x:v>C10-M003</x:v>
      </x:c>
      <x:c r="B507" s="22" t="n">
        <x:v>10</x:v>
      </x:c>
      <x:c r="C507" s="22" t="str">
        <x:v>王城下城区</x:v>
      </x:c>
      <x:c r="D507" s="22" t="str">
        <x:v>普通</x:v>
      </x:c>
      <x:c r="E507" s="22" t="str">
        <x:v>暗巷伏砖客</x:v>
      </x:c>
      <x:c r="F507" s="22" t="str">
        <x:v>XX933</x:v>
      </x:c>
      <x:c r="G507" s="22" t="str">
        <x:v>P0303</x:v>
      </x:c>
      <x:c r="H507" s="22" t="n">
        <x:v>9.2</x:v>
      </x:c>
      <x:c r="I507" s="28" t="n">
        <x:v>7403191796.516257</x:v>
      </x:c>
      <x:c r="J507" s="28" t="n">
        <x:f>ROUND(H507*I507,-MAX(0,INT(LOG10(H507*I507))-1))</x:f>
        <x:v>68000000000</x:v>
      </x:c>
      <x:c r="K507" s="28" t="n">
        <x:v>4800000</x:v>
      </x:c>
      <x:c r="L507" s="28" t="n">
        <x:v>6500000</x:v>
      </x:c>
      <x:c r="M507" s="28" t="n">
        <x:v>140000</x:v>
      </x:c>
      <x:c r="N507" s="28" t="n">
        <x:v>120000</x:v>
      </x:c>
      <x:c r="O507" s="28" t="n">
        <x:v>290</x:v>
      </x:c>
      <x:c r="P507" s="28" t="n">
        <x:v>460</x:v>
      </x:c>
      <x:c r="Q507" s="28" t="n">
        <x:v>1600</x:v>
      </x:c>
      <x:c r="R507" s="22"/>
      <x:c r="S507" s="22"/>
      <x:c r="T507" s="22" t="str">
        <x:v>64位值核对</x:v>
      </x:c>
    </x:row>
    <x:row r="508" ht="24" customHeight="1">
      <x:c r="A508" s="22" t="str">
        <x:v>C10-M004</x:v>
      </x:c>
      <x:c r="B508" s="22" t="n">
        <x:v>10</x:v>
      </x:c>
      <x:c r="C508" s="22" t="str">
        <x:v>王城下城区</x:v>
      </x:c>
      <x:c r="D508" s="22" t="str">
        <x:v>普通</x:v>
      </x:c>
      <x:c r="E508" s="22" t="str">
        <x:v>旧街缚铃犬</x:v>
      </x:c>
      <x:c r="F508" s="22" t="str">
        <x:v>XX933</x:v>
      </x:c>
      <x:c r="G508" s="22" t="str">
        <x:v>P0303</x:v>
      </x:c>
      <x:c r="H508" s="22" t="n">
        <x:v>7.2</x:v>
      </x:c>
      <x:c r="I508" s="28" t="n">
        <x:v>7403191796.516257</x:v>
      </x:c>
      <x:c r="J508" s="28" t="n">
        <x:f>ROUND(H508*I508,-MAX(0,INT(LOG10(H508*I508))-1))</x:f>
        <x:v>53000000000</x:v>
      </x:c>
      <x:c r="K508" s="28" t="n">
        <x:v>4800000</x:v>
      </x:c>
      <x:c r="L508" s="28" t="n">
        <x:v>6500000</x:v>
      </x:c>
      <x:c r="M508" s="28" t="n">
        <x:v>140000</x:v>
      </x:c>
      <x:c r="N508" s="28" t="n">
        <x:v>120000</x:v>
      </x:c>
      <x:c r="O508" s="28" t="n">
        <x:v>290</x:v>
      </x:c>
      <x:c r="P508" s="28" t="n">
        <x:v>460</x:v>
      </x:c>
      <x:c r="Q508" s="28" t="n">
        <x:v>1600</x:v>
      </x:c>
      <x:c r="R508" s="22"/>
      <x:c r="S508" s="22"/>
      <x:c r="T508" s="22" t="str">
        <x:v>64位值核对</x:v>
      </x:c>
    </x:row>
    <x:row r="509" ht="24" customHeight="1">
      <x:c r="A509" s="22" t="str">
        <x:v>C10-M005</x:v>
      </x:c>
      <x:c r="B509" s="22" t="n">
        <x:v>10</x:v>
      </x:c>
      <x:c r="C509" s="22" t="str">
        <x:v>王城下城区</x:v>
      </x:c>
      <x:c r="D509" s="22" t="str">
        <x:v>普通</x:v>
      </x:c>
      <x:c r="E509" s="22" t="str">
        <x:v>闸底淤甲工</x:v>
      </x:c>
      <x:c r="F509" s="22" t="str">
        <x:v>XX930</x:v>
      </x:c>
      <x:c r="G509" s="22" t="str">
        <x:v>P0303</x:v>
      </x:c>
      <x:c r="H509" s="22" t="n">
        <x:v>7.2</x:v>
      </x:c>
      <x:c r="I509" s="28" t="n">
        <x:v>7403191796.516257</x:v>
      </x:c>
      <x:c r="J509" s="28" t="n">
        <x:f>ROUND(H509*I509,-MAX(0,INT(LOG10(H509*I509))-1))</x:f>
        <x:v>53000000000</x:v>
      </x:c>
      <x:c r="K509" s="28" t="n">
        <x:v>4800000</x:v>
      </x:c>
      <x:c r="L509" s="28" t="n">
        <x:v>6500000</x:v>
      </x:c>
      <x:c r="M509" s="28" t="n">
        <x:v>140000</x:v>
      </x:c>
      <x:c r="N509" s="28" t="n">
        <x:v>120000</x:v>
      </x:c>
      <x:c r="O509" s="28" t="n">
        <x:v>290</x:v>
      </x:c>
      <x:c r="P509" s="28" t="n">
        <x:v>460</x:v>
      </x:c>
      <x:c r="Q509" s="28" t="n">
        <x:v>1600</x:v>
      </x:c>
      <x:c r="R509" s="22"/>
      <x:c r="S509" s="22"/>
      <x:c r="T509" s="22" t="str">
        <x:v>64位值核对</x:v>
      </x:c>
    </x:row>
    <x:row r="510" ht="24" customHeight="1">
      <x:c r="A510" s="22" t="str">
        <x:v>C10-M006</x:v>
      </x:c>
      <x:c r="B510" s="22" t="n">
        <x:v>10</x:v>
      </x:c>
      <x:c r="C510" s="22" t="str">
        <x:v>王城下城区</x:v>
      </x:c>
      <x:c r="D510" s="22" t="str">
        <x:v>普通</x:v>
      </x:c>
      <x:c r="E510" s="22" t="str">
        <x:v>链轮守栓奴</x:v>
      </x:c>
      <x:c r="F510" s="22" t="str">
        <x:v>XX930</x:v>
      </x:c>
      <x:c r="G510" s="22" t="str">
        <x:v>P0303</x:v>
      </x:c>
      <x:c r="H510" s="22" t="n">
        <x:v>7.2</x:v>
      </x:c>
      <x:c r="I510" s="28" t="n">
        <x:v>7403191796.516257</x:v>
      </x:c>
      <x:c r="J510" s="28" t="n">
        <x:f>ROUND(H510*I510,-MAX(0,INT(LOG10(H510*I510))-1))</x:f>
        <x:v>53000000000</x:v>
      </x:c>
      <x:c r="K510" s="28" t="n">
        <x:v>4800000</x:v>
      </x:c>
      <x:c r="L510" s="28" t="n">
        <x:v>6500000</x:v>
      </x:c>
      <x:c r="M510" s="28" t="n">
        <x:v>140000</x:v>
      </x:c>
      <x:c r="N510" s="28" t="n">
        <x:v>120000</x:v>
      </x:c>
      <x:c r="O510" s="28" t="n">
        <x:v>290</x:v>
      </x:c>
      <x:c r="P510" s="28" t="n">
        <x:v>460</x:v>
      </x:c>
      <x:c r="Q510" s="28" t="n">
        <x:v>1600</x:v>
      </x:c>
      <x:c r="R510" s="22"/>
      <x:c r="S510" s="22"/>
      <x:c r="T510" s="22" t="str">
        <x:v>64位值核对</x:v>
      </x:c>
    </x:row>
    <x:row r="511" ht="24" customHeight="1">
      <x:c r="A511" s="22" t="str">
        <x:v>C10-M007</x:v>
      </x:c>
      <x:c r="B511" s="22" t="n">
        <x:v>10</x:v>
      </x:c>
      <x:c r="C511" s="22" t="str">
        <x:v>王城下城区</x:v>
      </x:c>
      <x:c r="D511" s="22" t="str">
        <x:v>稀有</x:v>
      </x:c>
      <x:c r="E511" s="22" t="str">
        <x:v>碎檐金羽鸦</x:v>
      </x:c>
      <x:c r="F511" s="22" t="str">
        <x:v>XX932</x:v>
      </x:c>
      <x:c r="G511" s="22" t="str">
        <x:v>P0303</x:v>
      </x:c>
      <x:c r="H511" s="22" t="n">
        <x:v>22.799999999999997</x:v>
      </x:c>
      <x:c r="I511" s="28" t="n">
        <x:v>6906568688.258293</x:v>
      </x:c>
      <x:c r="J511" s="28" t="n">
        <x:f>ROUND(H511*I511,-MAX(0,INT(LOG10(H511*I511))-1))</x:f>
        <x:v>160000000000</x:v>
      </x:c>
      <x:c r="K511" s="28" t="n">
        <x:v>9100000</x:v>
      </x:c>
      <x:c r="L511" s="28" t="n">
        <x:v>12000000</x:v>
      </x:c>
      <x:c r="M511" s="28" t="n">
        <x:v>290000</x:v>
      </x:c>
      <x:c r="N511" s="28" t="n">
        <x:v>250000</x:v>
      </x:c>
      <x:c r="O511" s="28" t="n">
        <x:v>290</x:v>
      </x:c>
      <x:c r="P511" s="28" t="n">
        <x:v>1400</x:v>
      </x:c>
      <x:c r="Q511" s="28" t="n">
        <x:v>1700</x:v>
      </x:c>
      <x:c r="R511" s="22"/>
      <x:c r="S511" s="22"/>
      <x:c r="T511" s="22" t="str">
        <x:v>64位值核对</x:v>
      </x:c>
    </x:row>
    <x:row r="512" ht="24" customHeight="1">
      <x:c r="A512" s="22" t="str">
        <x:v>C10-M008</x:v>
      </x:c>
      <x:c r="B512" s="22" t="n">
        <x:v>10</x:v>
      </x:c>
      <x:c r="C512" s="22" t="str">
        <x:v>王城下城区</x:v>
      </x:c>
      <x:c r="D512" s="22" t="str">
        <x:v>稀有</x:v>
      </x:c>
      <x:c r="E512" s="22" t="str">
        <x:v>缄口税契吏</x:v>
      </x:c>
      <x:c r="F512" s="22" t="str">
        <x:v>XX932</x:v>
      </x:c>
      <x:c r="G512" s="22" t="str">
        <x:v>P0303</x:v>
      </x:c>
      <x:c r="H512" s="22" t="n">
        <x:v>26.400000000000002</x:v>
      </x:c>
      <x:c r="I512" s="28" t="n">
        <x:v>6906568688.258293</x:v>
      </x:c>
      <x:c r="J512" s="28" t="n">
        <x:f>ROUND(H512*I512,-MAX(0,INT(LOG10(H512*I512))-1))</x:f>
        <x:v>180000000000</x:v>
      </x:c>
      <x:c r="K512" s="28" t="n">
        <x:v>9100000</x:v>
      </x:c>
      <x:c r="L512" s="28" t="n">
        <x:v>12000000</x:v>
      </x:c>
      <x:c r="M512" s="28" t="n">
        <x:v>290000</x:v>
      </x:c>
      <x:c r="N512" s="28" t="n">
        <x:v>250000</x:v>
      </x:c>
      <x:c r="O512" s="28" t="n">
        <x:v>290</x:v>
      </x:c>
      <x:c r="P512" s="28" t="n">
        <x:v>1400</x:v>
      </x:c>
      <x:c r="Q512" s="28" t="n">
        <x:v>1700</x:v>
      </x:c>
      <x:c r="R512" s="22"/>
      <x:c r="S512" s="22"/>
      <x:c r="T512" s="22" t="str">
        <x:v>64位值核对</x:v>
      </x:c>
    </x:row>
    <x:row r="513" ht="24" customHeight="1">
      <x:c r="A513" s="22" t="str">
        <x:v>C10-M009</x:v>
      </x:c>
      <x:c r="B513" s="22" t="n">
        <x:v>10</x:v>
      </x:c>
      <x:c r="C513" s="22" t="str">
        <x:v>王城下城区</x:v>
      </x:c>
      <x:c r="D513" s="22" t="str">
        <x:v>稀有</x:v>
      </x:c>
      <x:c r="E513" s="22" t="str">
        <x:v>巷钟剜影者</x:v>
      </x:c>
      <x:c r="F513" s="22" t="str">
        <x:v>XX933</x:v>
      </x:c>
      <x:c r="G513" s="22" t="str">
        <x:v>P0303</x:v>
      </x:c>
      <x:c r="H513" s="22" t="n">
        <x:v>21.6</x:v>
      </x:c>
      <x:c r="I513" s="28" t="n">
        <x:v>6906568688.258293</x:v>
      </x:c>
      <x:c r="J513" s="28" t="n">
        <x:f>ROUND(H513*I513,-MAX(0,INT(LOG10(H513*I513))-1))</x:f>
        <x:v>150000000000</x:v>
      </x:c>
      <x:c r="K513" s="28" t="n">
        <x:v>9100000</x:v>
      </x:c>
      <x:c r="L513" s="28" t="n">
        <x:v>12000000</x:v>
      </x:c>
      <x:c r="M513" s="28" t="n">
        <x:v>290000</x:v>
      </x:c>
      <x:c r="N513" s="28" t="n">
        <x:v>250000</x:v>
      </x:c>
      <x:c r="O513" s="28" t="n">
        <x:v>290</x:v>
      </x:c>
      <x:c r="P513" s="28" t="n">
        <x:v>1400</x:v>
      </x:c>
      <x:c r="Q513" s="28" t="n">
        <x:v>1700</x:v>
      </x:c>
      <x:c r="R513" s="22"/>
      <x:c r="S513" s="22"/>
      <x:c r="T513" s="22" t="str">
        <x:v>64位值核对</x:v>
      </x:c>
    </x:row>
    <x:row r="514" ht="24" customHeight="1">
      <x:c r="A514" s="22" t="str">
        <x:v>C10-M010</x:v>
      </x:c>
      <x:c r="B514" s="22" t="n">
        <x:v>10</x:v>
      </x:c>
      <x:c r="C514" s="22" t="str">
        <x:v>王城下城区</x:v>
      </x:c>
      <x:c r="D514" s="22" t="str">
        <x:v>稀有</x:v>
      </x:c>
      <x:c r="E514" s="22" t="str">
        <x:v>沉闸铜面监工</x:v>
      </x:c>
      <x:c r="F514" s="22" t="str">
        <x:v>XX930</x:v>
      </x:c>
      <x:c r="G514" s="22" t="str">
        <x:v>P0303</x:v>
      </x:c>
      <x:c r="H514" s="22" t="n">
        <x:v>21.6</x:v>
      </x:c>
      <x:c r="I514" s="28" t="n">
        <x:v>6906568688.258293</x:v>
      </x:c>
      <x:c r="J514" s="28" t="n">
        <x:f>ROUND(H514*I514,-MAX(0,INT(LOG10(H514*I514))-1))</x:f>
        <x:v>150000000000</x:v>
      </x:c>
      <x:c r="K514" s="28" t="n">
        <x:v>9100000</x:v>
      </x:c>
      <x:c r="L514" s="28" t="n">
        <x:v>12000000</x:v>
      </x:c>
      <x:c r="M514" s="28" t="n">
        <x:v>290000</x:v>
      </x:c>
      <x:c r="N514" s="28" t="n">
        <x:v>250000</x:v>
      </x:c>
      <x:c r="O514" s="28" t="n">
        <x:v>290</x:v>
      </x:c>
      <x:c r="P514" s="28" t="n">
        <x:v>1400</x:v>
      </x:c>
      <x:c r="Q514" s="28" t="n">
        <x:v>1700</x:v>
      </x:c>
      <x:c r="R514" s="22"/>
      <x:c r="S514" s="22"/>
      <x:c r="T514" s="22" t="str">
        <x:v>64位值核对</x:v>
      </x:c>
    </x:row>
    <x:row r="515" ht="24" customHeight="1">
      <x:c r="A515" s="22" t="str">
        <x:v>C10-M011</x:v>
      </x:c>
      <x:c r="B515" s="22" t="n">
        <x:v>10</x:v>
      </x:c>
      <x:c r="C515" s="22" t="str">
        <x:v>王城下城区</x:v>
      </x:c>
      <x:c r="D515" s="22" t="str">
        <x:v>地图BOSS</x:v>
      </x:c>
      <x:c r="E515" s="22" t="str">
        <x:v>灰巷的无灯侯</x:v>
      </x:c>
      <x:c r="F515" s="22" t="str">
        <x:v>XX933</x:v>
      </x:c>
      <x:c r="G515" s="22" t="str">
        <x:v>P0305</x:v>
      </x:c>
      <x:c r="H515" s="22" t="n">
        <x:v>82.5</x:v>
      </x:c>
      <x:c r="I515" s="28" t="n">
        <x:v>20564736858.86626</x:v>
      </x:c>
      <x:c r="J515" s="28" t="n">
        <x:f>ROUND(H515*I515,-MAX(0,INT(LOG10(H515*I515))-1))</x:f>
        <x:v>1700000000000</x:v>
      </x:c>
      <x:c r="K515" s="28" t="n">
        <x:v>13000000</x:v>
      </x:c>
      <x:c r="L515" s="28" t="n">
        <x:v>18000000</x:v>
      </x:c>
      <x:c r="M515" s="28" t="n">
        <x:v>430000</x:v>
      </x:c>
      <x:c r="N515" s="28" t="n">
        <x:v>370000</x:v>
      </x:c>
      <x:c r="O515" s="28" t="n">
        <x:v>290</x:v>
      </x:c>
      <x:c r="P515" s="28" t="n">
        <x:v>5500</x:v>
      </x:c>
      <x:c r="Q515" s="28" t="n">
        <x:v>1800</x:v>
      </x:c>
      <x:c r="R515" s="22"/>
      <x:c r="S515" s="22"/>
      <x:c r="T515" s="22" t="str">
        <x:v>64位值核对</x:v>
      </x:c>
    </x:row>
    <x:row r="516" ht="24" customHeight="1">
      <x:c r="A516" s="22" t="str">
        <x:v>C10-M012</x:v>
      </x:c>
      <x:c r="B516" s="22" t="n">
        <x:v>10</x:v>
      </x:c>
      <x:c r="C516" s="22" t="str">
        <x:v>王城下城区</x:v>
      </x:c>
      <x:c r="D516" s="22" t="str">
        <x:v>地图BOSS</x:v>
      </x:c>
      <x:c r="E516" s="22" t="str">
        <x:v>千锁闸门统领</x:v>
      </x:c>
      <x:c r="F516" s="22" t="str">
        <x:v>XX930</x:v>
      </x:c>
      <x:c r="G516" s="22" t="str">
        <x:v>P0306</x:v>
      </x:c>
      <x:c r="H516" s="22" t="n">
        <x:v>67.5</x:v>
      </x:c>
      <x:c r="I516" s="28" t="n">
        <x:v>20564736858.86626</x:v>
      </x:c>
      <x:c r="J516" s="28" t="n">
        <x:f>ROUND(H516*I516,-MAX(0,INT(LOG10(H516*I516))-1))</x:f>
        <x:v>1400000000000</x:v>
      </x:c>
      <x:c r="K516" s="28" t="n">
        <x:v>13000000</x:v>
      </x:c>
      <x:c r="L516" s="28" t="n">
        <x:v>18000000</x:v>
      </x:c>
      <x:c r="M516" s="28" t="n">
        <x:v>430000</x:v>
      </x:c>
      <x:c r="N516" s="28" t="n">
        <x:v>370000</x:v>
      </x:c>
      <x:c r="O516" s="28" t="n">
        <x:v>290</x:v>
      </x:c>
      <x:c r="P516" s="28" t="n">
        <x:v>5500</x:v>
      </x:c>
      <x:c r="Q516" s="28" t="n">
        <x:v>1800</x:v>
      </x:c>
      <x:c r="R516" s="22"/>
      <x:c r="S516" s="22"/>
      <x:c r="T516" s="22" t="str">
        <x:v>64位值核对</x:v>
      </x:c>
    </x:row>
    <x:row r="517" ht="24" customHeight="1">
      <x:c r="A517" s="22" t="str">
        <x:v>C10-M013</x:v>
      </x:c>
      <x:c r="B517" s="22" t="n">
        <x:v>10</x:v>
      </x:c>
      <x:c r="C517" s="22" t="str">
        <x:v>黄金排水道</x:v>
      </x:c>
      <x:c r="D517" s="22" t="str">
        <x:v>普通</x:v>
      </x:c>
      <x:c r="E517" s="22" t="str">
        <x:v>金垢潜渠鼠</x:v>
      </x:c>
      <x:c r="F517" s="22" t="str">
        <x:v>XX629</x:v>
      </x:c>
      <x:c r="G517" s="22" t="str">
        <x:v>P0304</x:v>
      </x:c>
      <x:c r="H517" s="22" t="n">
        <x:v>8</x:v>
      </x:c>
      <x:c r="I517" s="28" t="n">
        <x:v>7423603700.174179</x:v>
      </x:c>
      <x:c r="J517" s="28" t="n">
        <x:f>ROUND(H517*I517,-MAX(0,INT(LOG10(H517*I517))-1))</x:f>
        <x:v>59000000000</x:v>
      </x:c>
      <x:c r="K517" s="28" t="n">
        <x:v>4700000</x:v>
      </x:c>
      <x:c r="L517" s="28" t="n">
        <x:v>6400000</x:v>
      </x:c>
      <x:c r="M517" s="28" t="n">
        <x:v>140000</x:v>
      </x:c>
      <x:c r="N517" s="28" t="n">
        <x:v>120000</x:v>
      </x:c>
      <x:c r="O517" s="28" t="n">
        <x:v>293</x:v>
      </x:c>
      <x:c r="P517" s="28" t="n">
        <x:v>480</x:v>
      </x:c>
      <x:c r="Q517" s="28" t="n">
        <x:v>1600</x:v>
      </x:c>
      <x:c r="R517" s="22"/>
      <x:c r="S517" s="22"/>
      <x:c r="T517" s="22" t="str">
        <x:v>64位值核对</x:v>
      </x:c>
    </x:row>
    <x:row r="518" ht="24" customHeight="1">
      <x:c r="A518" s="22" t="str">
        <x:v>C10-M014</x:v>
      </x:c>
      <x:c r="B518" s="22" t="n">
        <x:v>10</x:v>
      </x:c>
      <x:c r="C518" s="22" t="str">
        <x:v>黄金排水道</x:v>
      </x:c>
      <x:c r="D518" s="22" t="str">
        <x:v>普通</x:v>
      </x:c>
      <x:c r="E518" s="22" t="str">
        <x:v>污潮捞骨役</x:v>
      </x:c>
      <x:c r="F518" s="22" t="str">
        <x:v>XX629</x:v>
      </x:c>
      <x:c r="G518" s="22" t="str">
        <x:v>P0304</x:v>
      </x:c>
      <x:c r="H518" s="22" t="n">
        <x:v>7.6</x:v>
      </x:c>
      <x:c r="I518" s="28" t="n">
        <x:v>7423603700.174179</x:v>
      </x:c>
      <x:c r="J518" s="28" t="n">
        <x:f>ROUND(H518*I518,-MAX(0,INT(LOG10(H518*I518))-1))</x:f>
        <x:v>56000000000</x:v>
      </x:c>
      <x:c r="K518" s="28" t="n">
        <x:v>4700000</x:v>
      </x:c>
      <x:c r="L518" s="28" t="n">
        <x:v>6400000</x:v>
      </x:c>
      <x:c r="M518" s="28" t="n">
        <x:v>140000</x:v>
      </x:c>
      <x:c r="N518" s="28" t="n">
        <x:v>120000</x:v>
      </x:c>
      <x:c r="O518" s="28" t="n">
        <x:v>293</x:v>
      </x:c>
      <x:c r="P518" s="28" t="n">
        <x:v>480</x:v>
      </x:c>
      <x:c r="Q518" s="28" t="n">
        <x:v>1600</x:v>
      </x:c>
      <x:c r="R518" s="22"/>
      <x:c r="S518" s="22"/>
      <x:c r="T518" s="22" t="str">
        <x:v>64位值核对</x:v>
      </x:c>
    </x:row>
    <x:row r="519" ht="24" customHeight="1">
      <x:c r="A519" s="22" t="str">
        <x:v>C10-M015</x:v>
      </x:c>
      <x:c r="B519" s="22" t="n">
        <x:v>10</x:v>
      </x:c>
      <x:c r="C519" s="22" t="str">
        <x:v>黄金排水道</x:v>
      </x:c>
      <x:c r="D519" s="22" t="str">
        <x:v>普通</x:v>
      </x:c>
      <x:c r="E519" s="22" t="str">
        <x:v>回廊鸣管蜥</x:v>
      </x:c>
      <x:c r="F519" s="22" t="str">
        <x:v>XX631</x:v>
      </x:c>
      <x:c r="G519" s="22" t="str">
        <x:v>P0304</x:v>
      </x:c>
      <x:c r="H519" s="22" t="n">
        <x:v>7.2</x:v>
      </x:c>
      <x:c r="I519" s="28" t="n">
        <x:v>7423603700.174179</x:v>
      </x:c>
      <x:c r="J519" s="28" t="n">
        <x:f>ROUND(H519*I519,-MAX(0,INT(LOG10(H519*I519))-1))</x:f>
        <x:v>53000000000</x:v>
      </x:c>
      <x:c r="K519" s="28" t="n">
        <x:v>4700000</x:v>
      </x:c>
      <x:c r="L519" s="28" t="n">
        <x:v>6400000</x:v>
      </x:c>
      <x:c r="M519" s="28" t="n">
        <x:v>140000</x:v>
      </x:c>
      <x:c r="N519" s="28" t="n">
        <x:v>120000</x:v>
      </x:c>
      <x:c r="O519" s="28" t="n">
        <x:v>293</x:v>
      </x:c>
      <x:c r="P519" s="28" t="n">
        <x:v>480</x:v>
      </x:c>
      <x:c r="Q519" s="28" t="n">
        <x:v>1600</x:v>
      </x:c>
      <x:c r="R519" s="22"/>
      <x:c r="S519" s="22"/>
      <x:c r="T519" s="22" t="str">
        <x:v>64位值核对</x:v>
      </x:c>
    </x:row>
    <x:row r="520" ht="24" customHeight="1">
      <x:c r="A520" s="22" t="str">
        <x:v>C10-M016</x:v>
      </x:c>
      <x:c r="B520" s="22" t="n">
        <x:v>10</x:v>
      </x:c>
      <x:c r="C520" s="22" t="str">
        <x:v>黄金排水道</x:v>
      </x:c>
      <x:c r="D520" s="22" t="str">
        <x:v>普通</x:v>
      </x:c>
      <x:c r="E520" s="22" t="str">
        <x:v>锈槽巡污卒</x:v>
      </x:c>
      <x:c r="F520" s="22" t="str">
        <x:v>XX631</x:v>
      </x:c>
      <x:c r="G520" s="22" t="str">
        <x:v>P0304</x:v>
      </x:c>
      <x:c r="H520" s="22" t="n">
        <x:v>8</x:v>
      </x:c>
      <x:c r="I520" s="28" t="n">
        <x:v>7423603700.174179</x:v>
      </x:c>
      <x:c r="J520" s="28" t="n">
        <x:f>ROUND(H520*I520,-MAX(0,INT(LOG10(H520*I520))-1))</x:f>
        <x:v>59000000000</x:v>
      </x:c>
      <x:c r="K520" s="28" t="n">
        <x:v>4700000</x:v>
      </x:c>
      <x:c r="L520" s="28" t="n">
        <x:v>6400000</x:v>
      </x:c>
      <x:c r="M520" s="28" t="n">
        <x:v>140000</x:v>
      </x:c>
      <x:c r="N520" s="28" t="n">
        <x:v>120000</x:v>
      </x:c>
      <x:c r="O520" s="28" t="n">
        <x:v>293</x:v>
      </x:c>
      <x:c r="P520" s="28" t="n">
        <x:v>480</x:v>
      </x:c>
      <x:c r="Q520" s="28" t="n">
        <x:v>1600</x:v>
      </x:c>
      <x:c r="R520" s="22"/>
      <x:c r="S520" s="22"/>
      <x:c r="T520" s="22" t="str">
        <x:v>64位值核对</x:v>
      </x:c>
    </x:row>
    <x:row r="521" ht="24" customHeight="1">
      <x:c r="A521" s="22" t="str">
        <x:v>C10-M017</x:v>
      </x:c>
      <x:c r="B521" s="22" t="n">
        <x:v>10</x:v>
      </x:c>
      <x:c r="C521" s="22" t="str">
        <x:v>黄金排水道</x:v>
      </x:c>
      <x:c r="D521" s="22" t="str">
        <x:v>普通</x:v>
      </x:c>
      <x:c r="E521" s="22" t="str">
        <x:v>中枢盘阀傀</x:v>
      </x:c>
      <x:c r="F521" s="22" t="str">
        <x:v>XX624</x:v>
      </x:c>
      <x:c r="G521" s="22" t="str">
        <x:v>P0304</x:v>
      </x:c>
      <x:c r="H521" s="22" t="n">
        <x:v>8.8</x:v>
      </x:c>
      <x:c r="I521" s="28" t="n">
        <x:v>7423603700.174179</x:v>
      </x:c>
      <x:c r="J521" s="28" t="n">
        <x:f>ROUND(H521*I521,-MAX(0,INT(LOG10(H521*I521))-1))</x:f>
        <x:v>65000000000</x:v>
      </x:c>
      <x:c r="K521" s="28" t="n">
        <x:v>4700000</x:v>
      </x:c>
      <x:c r="L521" s="28" t="n">
        <x:v>6400000</x:v>
      </x:c>
      <x:c r="M521" s="28" t="n">
        <x:v>140000</x:v>
      </x:c>
      <x:c r="N521" s="28" t="n">
        <x:v>120000</x:v>
      </x:c>
      <x:c r="O521" s="28" t="n">
        <x:v>293</x:v>
      </x:c>
      <x:c r="P521" s="28" t="n">
        <x:v>480</x:v>
      </x:c>
      <x:c r="Q521" s="28" t="n">
        <x:v>1600</x:v>
      </x:c>
      <x:c r="R521" s="22"/>
      <x:c r="S521" s="22"/>
      <x:c r="T521" s="22" t="str">
        <x:v>64位值核对</x:v>
      </x:c>
    </x:row>
    <x:row r="522" ht="24" customHeight="1">
      <x:c r="A522" s="22" t="str">
        <x:v>C10-M018</x:v>
      </x:c>
      <x:c r="B522" s="22" t="n">
        <x:v>10</x:v>
      </x:c>
      <x:c r="C522" s="22" t="str">
        <x:v>黄金排水道</x:v>
      </x:c>
      <x:c r="D522" s="22" t="str">
        <x:v>普通</x:v>
      </x:c>
      <x:c r="E522" s="22" t="str">
        <x:v>泄洪窥灯虫</x:v>
      </x:c>
      <x:c r="F522" s="22" t="str">
        <x:v>XX624</x:v>
      </x:c>
      <x:c r="G522" s="22" t="str">
        <x:v>P0304</x:v>
      </x:c>
      <x:c r="H522" s="22" t="n">
        <x:v>8.8</x:v>
      </x:c>
      <x:c r="I522" s="28" t="n">
        <x:v>7423603700.174179</x:v>
      </x:c>
      <x:c r="J522" s="28" t="n">
        <x:f>ROUND(H522*I522,-MAX(0,INT(LOG10(H522*I522))-1))</x:f>
        <x:v>65000000000</x:v>
      </x:c>
      <x:c r="K522" s="28" t="n">
        <x:v>4700000</x:v>
      </x:c>
      <x:c r="L522" s="28" t="n">
        <x:v>6400000</x:v>
      </x:c>
      <x:c r="M522" s="28" t="n">
        <x:v>140000</x:v>
      </x:c>
      <x:c r="N522" s="28" t="n">
        <x:v>120000</x:v>
      </x:c>
      <x:c r="O522" s="28" t="n">
        <x:v>293</x:v>
      </x:c>
      <x:c r="P522" s="28" t="n">
        <x:v>480</x:v>
      </x:c>
      <x:c r="Q522" s="28" t="n">
        <x:v>1600</x:v>
      </x:c>
      <x:c r="R522" s="22"/>
      <x:c r="S522" s="22"/>
      <x:c r="T522" s="22" t="str">
        <x:v>64位值核对</x:v>
      </x:c>
    </x:row>
    <x:row r="523" ht="24" customHeight="1">
      <x:c r="A523" s="22" t="str">
        <x:v>C10-M019</x:v>
      </x:c>
      <x:c r="B523" s="22" t="n">
        <x:v>10</x:v>
      </x:c>
      <x:c r="C523" s="22" t="str">
        <x:v>黄金排水道</x:v>
      </x:c>
      <x:c r="D523" s="22" t="str">
        <x:v>稀有</x:v>
      </x:c>
      <x:c r="E523" s="22" t="str">
        <x:v>镀金脓潮母</x:v>
      </x:c>
      <x:c r="F523" s="22" t="str">
        <x:v>XX629</x:v>
      </x:c>
      <x:c r="G523" s="22" t="str">
        <x:v>P0304</x:v>
      </x:c>
      <x:c r="H523" s="22" t="n">
        <x:v>26.400000000000002</x:v>
      </x:c>
      <x:c r="I523" s="28" t="n">
        <x:v>6926557333.585313</x:v>
      </x:c>
      <x:c r="J523" s="28" t="n">
        <x:f>ROUND(H523*I523,-MAX(0,INT(LOG10(H523*I523))-1))</x:f>
        <x:v>180000000000</x:v>
      </x:c>
      <x:c r="K523" s="28" t="n">
        <x:v>8800000</x:v>
      </x:c>
      <x:c r="L523" s="28" t="n">
        <x:v>12000000</x:v>
      </x:c>
      <x:c r="M523" s="28" t="n">
        <x:v>290000</x:v>
      </x:c>
      <x:c r="N523" s="28" t="n">
        <x:v>250000</x:v>
      </x:c>
      <x:c r="O523" s="28" t="n">
        <x:v>293</x:v>
      </x:c>
      <x:c r="P523" s="28" t="n">
        <x:v>1400</x:v>
      </x:c>
      <x:c r="Q523" s="28" t="n">
        <x:v>1700</x:v>
      </x:c>
      <x:c r="R523" s="22"/>
      <x:c r="S523" s="22"/>
      <x:c r="T523" s="22" t="str">
        <x:v>64位值核对</x:v>
      </x:c>
    </x:row>
    <x:row r="524" ht="24" customHeight="1">
      <x:c r="A524" s="22" t="str">
        <x:v>C10-M020</x:v>
      </x:c>
      <x:c r="B524" s="22" t="n">
        <x:v>10</x:v>
      </x:c>
      <x:c r="C524" s="22" t="str">
        <x:v>黄金排水道</x:v>
      </x:c>
      <x:c r="D524" s="22" t="str">
        <x:v>稀有</x:v>
      </x:c>
      <x:c r="E524" s="22" t="str">
        <x:v>逆流剥甲人</x:v>
      </x:c>
      <x:c r="F524" s="22" t="str">
        <x:v>XX631</x:v>
      </x:c>
      <x:c r="G524" s="22" t="str">
        <x:v>P0304</x:v>
      </x:c>
      <x:c r="H524" s="22" t="n">
        <x:v>22.799999999999997</x:v>
      </x:c>
      <x:c r="I524" s="28" t="n">
        <x:v>6926557333.585313</x:v>
      </x:c>
      <x:c r="J524" s="28" t="n">
        <x:f>ROUND(H524*I524,-MAX(0,INT(LOG10(H524*I524))-1))</x:f>
        <x:v>160000000000</x:v>
      </x:c>
      <x:c r="K524" s="28" t="n">
        <x:v>8800000</x:v>
      </x:c>
      <x:c r="L524" s="28" t="n">
        <x:v>12000000</x:v>
      </x:c>
      <x:c r="M524" s="28" t="n">
        <x:v>290000</x:v>
      </x:c>
      <x:c r="N524" s="28" t="n">
        <x:v>250000</x:v>
      </x:c>
      <x:c r="O524" s="28" t="n">
        <x:v>293</x:v>
      </x:c>
      <x:c r="P524" s="28" t="n">
        <x:v>1400</x:v>
      </x:c>
      <x:c r="Q524" s="28" t="n">
        <x:v>1700</x:v>
      </x:c>
      <x:c r="R524" s="22"/>
      <x:c r="S524" s="22"/>
      <x:c r="T524" s="22" t="str">
        <x:v>64位值核对</x:v>
      </x:c>
    </x:row>
    <x:row r="525" ht="24" customHeight="1">
      <x:c r="A525" s="22" t="str">
        <x:v>C10-M021</x:v>
      </x:c>
      <x:c r="B525" s="22" t="n">
        <x:v>10</x:v>
      </x:c>
      <x:c r="C525" s="22" t="str">
        <x:v>黄金排水道</x:v>
      </x:c>
      <x:c r="D525" s="22" t="str">
        <x:v>稀有</x:v>
      </x:c>
      <x:c r="E525" s="22" t="str">
        <x:v>七孔哀笛客</x:v>
      </x:c>
      <x:c r="F525" s="22" t="str">
        <x:v>XX631</x:v>
      </x:c>
      <x:c r="G525" s="22" t="str">
        <x:v>P0304</x:v>
      </x:c>
      <x:c r="H525" s="22" t="n">
        <x:v>27.599999999999998</x:v>
      </x:c>
      <x:c r="I525" s="28" t="n">
        <x:v>6926557333.585313</x:v>
      </x:c>
      <x:c r="J525" s="28" t="n">
        <x:f>ROUND(H525*I525,-MAX(0,INT(LOG10(H525*I525))-1))</x:f>
        <x:v>190000000000</x:v>
      </x:c>
      <x:c r="K525" s="28" t="n">
        <x:v>8800000</x:v>
      </x:c>
      <x:c r="L525" s="28" t="n">
        <x:v>12000000</x:v>
      </x:c>
      <x:c r="M525" s="28" t="n">
        <x:v>290000</x:v>
      </x:c>
      <x:c r="N525" s="28" t="n">
        <x:v>250000</x:v>
      </x:c>
      <x:c r="O525" s="28" t="n">
        <x:v>293</x:v>
      </x:c>
      <x:c r="P525" s="28" t="n">
        <x:v>1400</x:v>
      </x:c>
      <x:c r="Q525" s="28" t="n">
        <x:v>1700</x:v>
      </x:c>
      <x:c r="R525" s="22"/>
      <x:c r="S525" s="22"/>
      <x:c r="T525" s="22" t="str">
        <x:v>64位值核对</x:v>
      </x:c>
    </x:row>
    <x:row r="526" ht="24" customHeight="1">
      <x:c r="A526" s="22" t="str">
        <x:v>C10-M022</x:v>
      </x:c>
      <x:c r="B526" s="22" t="n">
        <x:v>10</x:v>
      </x:c>
      <x:c r="C526" s="22" t="str">
        <x:v>黄金排水道</x:v>
      </x:c>
      <x:c r="D526" s="22" t="str">
        <x:v>稀有</x:v>
      </x:c>
      <x:c r="E526" s="22" t="str">
        <x:v>沸淤校阀官</x:v>
      </x:c>
      <x:c r="F526" s="22" t="str">
        <x:v>XX624</x:v>
      </x:c>
      <x:c r="G526" s="22" t="str">
        <x:v>P0304</x:v>
      </x:c>
      <x:c r="H526" s="22" t="n">
        <x:v>21.6</x:v>
      </x:c>
      <x:c r="I526" s="28" t="n">
        <x:v>6926557333.585313</x:v>
      </x:c>
      <x:c r="J526" s="28" t="n">
        <x:f>ROUND(H526*I526,-MAX(0,INT(LOG10(H526*I526))-1))</x:f>
        <x:v>150000000000</x:v>
      </x:c>
      <x:c r="K526" s="28" t="n">
        <x:v>8800000</x:v>
      </x:c>
      <x:c r="L526" s="28" t="n">
        <x:v>12000000</x:v>
      </x:c>
      <x:c r="M526" s="28" t="n">
        <x:v>290000</x:v>
      </x:c>
      <x:c r="N526" s="28" t="n">
        <x:v>250000</x:v>
      </x:c>
      <x:c r="O526" s="28" t="n">
        <x:v>293</x:v>
      </x:c>
      <x:c r="P526" s="28" t="n">
        <x:v>1400</x:v>
      </x:c>
      <x:c r="Q526" s="28" t="n">
        <x:v>1700</x:v>
      </x:c>
      <x:c r="R526" s="22"/>
      <x:c r="S526" s="22"/>
      <x:c r="T526" s="22" t="str">
        <x:v>64位值核对</x:v>
      </x:c>
    </x:row>
    <x:row r="527" ht="24" customHeight="1">
      <x:c r="A527" s="22" t="str">
        <x:v>C10-M023</x:v>
      </x:c>
      <x:c r="B527" s="22" t="n">
        <x:v>10</x:v>
      </x:c>
      <x:c r="C527" s="22" t="str">
        <x:v>黄金排水道</x:v>
      </x:c>
      <x:c r="D527" s="22" t="str">
        <x:v>地图BOSS</x:v>
      </x:c>
      <x:c r="E527" s="22" t="str">
        <x:v>百喉回廊吞声兽</x:v>
      </x:c>
      <x:c r="F527" s="22" t="str">
        <x:v>XX631</x:v>
      </x:c>
      <x:c r="G527" s="22" t="str">
        <x:v>P0311</x:v>
      </x:c>
      <x:c r="H527" s="22" t="n">
        <x:v>75</x:v>
      </x:c>
      <x:c r="I527" s="28" t="n">
        <x:v>29088168883.707047</x:v>
      </x:c>
      <x:c r="J527" s="28" t="n">
        <x:f>ROUND(H527*I527,-MAX(0,INT(LOG10(H527*I527))-1))</x:f>
        <x:v>2200000000000</x:v>
      </x:c>
      <x:c r="K527" s="28" t="n">
        <x:v>15000000</x:v>
      </x:c>
      <x:c r="L527" s="28" t="n">
        <x:v>20000000</x:v>
      </x:c>
      <x:c r="M527" s="28" t="n">
        <x:v>490000</x:v>
      </x:c>
      <x:c r="N527" s="28" t="n">
        <x:v>420000</x:v>
      </x:c>
      <x:c r="O527" s="28" t="n">
        <x:v>293</x:v>
      </x:c>
      <x:c r="P527" s="28" t="n">
        <x:v>5700</x:v>
      </x:c>
      <x:c r="Q527" s="28" t="n">
        <x:v>1800</x:v>
      </x:c>
      <x:c r="R527" s="22"/>
      <x:c r="S527" s="22"/>
      <x:c r="T527" s="22" t="str">
        <x:v>64位值核对</x:v>
      </x:c>
    </x:row>
    <x:row r="528" ht="24" customHeight="1">
      <x:c r="A528" s="22" t="str">
        <x:v>C10-M024</x:v>
      </x:c>
      <x:c r="B528" s="22" t="n">
        <x:v>10</x:v>
      </x:c>
      <x:c r="C528" s="22" t="str">
        <x:v>黄金排水道</x:v>
      </x:c>
      <x:c r="D528" s="22" t="str">
        <x:v>地图BOSS</x:v>
      </x:c>
      <x:c r="E528" s="22" t="str">
        <x:v>鎏污大司闸</x:v>
      </x:c>
      <x:c r="F528" s="22" t="str">
        <x:v>XX624</x:v>
      </x:c>
      <x:c r="G528" s="22" t="str">
        <x:v>P0312</x:v>
      </x:c>
      <x:c r="H528" s="22" t="n">
        <x:v>82.5</x:v>
      </x:c>
      <x:c r="I528" s="28" t="n">
        <x:v>29088168883.707047</x:v>
      </x:c>
      <x:c r="J528" s="28" t="n">
        <x:f>ROUND(H528*I528,-MAX(0,INT(LOG10(H528*I528))-1))</x:f>
        <x:v>2400000000000</x:v>
      </x:c>
      <x:c r="K528" s="28" t="n">
        <x:v>15000000</x:v>
      </x:c>
      <x:c r="L528" s="28" t="n">
        <x:v>20000000</x:v>
      </x:c>
      <x:c r="M528" s="28" t="n">
        <x:v>490000</x:v>
      </x:c>
      <x:c r="N528" s="28" t="n">
        <x:v>420000</x:v>
      </x:c>
      <x:c r="O528" s="28" t="n">
        <x:v>293</x:v>
      </x:c>
      <x:c r="P528" s="28" t="n">
        <x:v>5700</x:v>
      </x:c>
      <x:c r="Q528" s="28" t="n">
        <x:v>1800</x:v>
      </x:c>
      <x:c r="R528" s="22"/>
      <x:c r="S528" s="22"/>
      <x:c r="T528" s="22" t="str">
        <x:v>64位值核对</x:v>
      </x:c>
    </x:row>
    <x:row r="529" ht="24" customHeight="1">
      <x:c r="A529" s="22" t="str">
        <x:v>C10-M025</x:v>
      </x:c>
      <x:c r="B529" s="22" t="n">
        <x:v>10</x:v>
      </x:c>
      <x:c r="C529" s="22" t="str">
        <x:v>王城矿井</x:v>
      </x:c>
      <x:c r="D529" s="22" t="str">
        <x:v>普通</x:v>
      </x:c>
      <x:c r="E529" s="22" t="str">
        <x:v>金脉铲痕奴</x:v>
      </x:c>
      <x:c r="F529" s="22" t="str">
        <x:v>XX954</x:v>
      </x:c>
      <x:c r="G529" s="22" t="str">
        <x:v>P0310</x:v>
      </x:c>
      <x:c r="H529" s="22" t="n">
        <x:v>9.2</x:v>
      </x:c>
      <x:c r="I529" s="28" t="n">
        <x:v>10381233985.44125</x:v>
      </x:c>
      <x:c r="J529" s="28" t="n">
        <x:f>ROUND(H529*I529,-MAX(0,INT(LOG10(H529*I529))-1))</x:f>
        <x:v>96000000000</x:v>
      </x:c>
      <x:c r="K529" s="28" t="n">
        <x:v>4400000</x:v>
      </x:c>
      <x:c r="L529" s="28" t="n">
        <x:v>6000000</x:v>
      </x:c>
      <x:c r="M529" s="28" t="n">
        <x:v>160000</x:v>
      </x:c>
      <x:c r="N529" s="28" t="n">
        <x:v>140000</x:v>
      </x:c>
      <x:c r="O529" s="28" t="n">
        <x:v>296</x:v>
      </x:c>
      <x:c r="P529" s="28" t="n">
        <x:v>490</x:v>
      </x:c>
      <x:c r="Q529" s="28" t="n">
        <x:v>1600</x:v>
      </x:c>
      <x:c r="R529" s="22"/>
      <x:c r="S529" s="22"/>
      <x:c r="T529" s="22" t="str">
        <x:v>64位值核对</x:v>
      </x:c>
    </x:row>
    <x:row r="530" ht="24" customHeight="1">
      <x:c r="A530" s="22" t="str">
        <x:v>C10-M026</x:v>
      </x:c>
      <x:c r="B530" s="22" t="n">
        <x:v>10</x:v>
      </x:c>
      <x:c r="C530" s="22" t="str">
        <x:v>王城矿井</x:v>
      </x:c>
      <x:c r="D530" s="22" t="str">
        <x:v>普通</x:v>
      </x:c>
      <x:c r="E530" s="22" t="str">
        <x:v>王矿负灯鼹</x:v>
      </x:c>
      <x:c r="F530" s="22" t="str">
        <x:v>XX954</x:v>
      </x:c>
      <x:c r="G530" s="22" t="str">
        <x:v>P0310</x:v>
      </x:c>
      <x:c r="H530" s="22" t="n">
        <x:v>9.2</x:v>
      </x:c>
      <x:c r="I530" s="28" t="n">
        <x:v>10381233985.44125</x:v>
      </x:c>
      <x:c r="J530" s="28" t="n">
        <x:f>ROUND(H530*I530,-MAX(0,INT(LOG10(H530*I530))-1))</x:f>
        <x:v>96000000000</x:v>
      </x:c>
      <x:c r="K530" s="28" t="n">
        <x:v>4400000</x:v>
      </x:c>
      <x:c r="L530" s="28" t="n">
        <x:v>6000000</x:v>
      </x:c>
      <x:c r="M530" s="28" t="n">
        <x:v>160000</x:v>
      </x:c>
      <x:c r="N530" s="28" t="n">
        <x:v>140000</x:v>
      </x:c>
      <x:c r="O530" s="28" t="n">
        <x:v>296</x:v>
      </x:c>
      <x:c r="P530" s="28" t="n">
        <x:v>490</x:v>
      </x:c>
      <x:c r="Q530" s="28" t="n">
        <x:v>1600</x:v>
      </x:c>
      <x:c r="R530" s="22"/>
      <x:c r="S530" s="22"/>
      <x:c r="T530" s="22" t="str">
        <x:v>64位值核对</x:v>
      </x:c>
    </x:row>
    <x:row r="531" ht="24" customHeight="1">
      <x:c r="A531" s="22" t="str">
        <x:v>C10-M027</x:v>
      </x:c>
      <x:c r="B531" s="22" t="n">
        <x:v>10</x:v>
      </x:c>
      <x:c r="C531" s="22" t="str">
        <x:v>王城矿井</x:v>
      </x:c>
      <x:c r="D531" s="22" t="str">
        <x:v>普通</x:v>
      </x:c>
      <x:c r="E531" s="22" t="str">
        <x:v>崩轨拖链卒</x:v>
      </x:c>
      <x:c r="F531" s="22" t="str">
        <x:v>XX955</x:v>
      </x:c>
      <x:c r="G531" s="22" t="str">
        <x:v>P0310</x:v>
      </x:c>
      <x:c r="H531" s="22" t="n">
        <x:v>7.2</x:v>
      </x:c>
      <x:c r="I531" s="28" t="n">
        <x:v>10381233985.44125</x:v>
      </x:c>
      <x:c r="J531" s="28" t="n">
        <x:f>ROUND(H531*I531,-MAX(0,INT(LOG10(H531*I531))-1))</x:f>
        <x:v>75000000000</x:v>
      </x:c>
      <x:c r="K531" s="28" t="n">
        <x:v>4400000</x:v>
      </x:c>
      <x:c r="L531" s="28" t="n">
        <x:v>6000000</x:v>
      </x:c>
      <x:c r="M531" s="28" t="n">
        <x:v>160000</x:v>
      </x:c>
      <x:c r="N531" s="28" t="n">
        <x:v>140000</x:v>
      </x:c>
      <x:c r="O531" s="28" t="n">
        <x:v>296</x:v>
      </x:c>
      <x:c r="P531" s="28" t="n">
        <x:v>490</x:v>
      </x:c>
      <x:c r="Q531" s="28" t="n">
        <x:v>1600</x:v>
      </x:c>
      <x:c r="R531" s="22"/>
      <x:c r="S531" s="22"/>
      <x:c r="T531" s="22" t="str">
        <x:v>64位值核对</x:v>
      </x:c>
    </x:row>
    <x:row r="532" ht="24" customHeight="1">
      <x:c r="A532" s="22" t="str">
        <x:v>C10-M028</x:v>
      </x:c>
      <x:c r="B532" s="22" t="n">
        <x:v>10</x:v>
      </x:c>
      <x:c r="C532" s="22" t="str">
        <x:v>王城矿井</x:v>
      </x:c>
      <x:c r="D532" s="22" t="str">
        <x:v>普通</x:v>
      </x:c>
      <x:c r="E532" s="22" t="str">
        <x:v>冷砧铆甲匠</x:v>
      </x:c>
      <x:c r="F532" s="22" t="str">
        <x:v>XX953</x:v>
      </x:c>
      <x:c r="G532" s="22" t="str">
        <x:v>P0310</x:v>
      </x:c>
      <x:c r="H532" s="22" t="n">
        <x:v>7.2</x:v>
      </x:c>
      <x:c r="I532" s="28" t="n">
        <x:v>10381233985.44125</x:v>
      </x:c>
      <x:c r="J532" s="28" t="n">
        <x:f>ROUND(H532*I532,-MAX(0,INT(LOG10(H532*I532))-1))</x:f>
        <x:v>75000000000</x:v>
      </x:c>
      <x:c r="K532" s="28" t="n">
        <x:v>4400000</x:v>
      </x:c>
      <x:c r="L532" s="28" t="n">
        <x:v>6000000</x:v>
      </x:c>
      <x:c r="M532" s="28" t="n">
        <x:v>160000</x:v>
      </x:c>
      <x:c r="N532" s="28" t="n">
        <x:v>140000</x:v>
      </x:c>
      <x:c r="O532" s="28" t="n">
        <x:v>296</x:v>
      </x:c>
      <x:c r="P532" s="28" t="n">
        <x:v>490</x:v>
      </x:c>
      <x:c r="Q532" s="28" t="n">
        <x:v>1600</x:v>
      </x:c>
      <x:c r="R532" s="22"/>
      <x:c r="S532" s="22"/>
      <x:c r="T532" s="22" t="str">
        <x:v>64位值核对</x:v>
      </x:c>
    </x:row>
    <x:row r="533" ht="24" customHeight="1">
      <x:c r="A533" s="22" t="str">
        <x:v>C10-M029</x:v>
      </x:c>
      <x:c r="B533" s="22" t="n">
        <x:v>10</x:v>
      </x:c>
      <x:c r="C533" s="22" t="str">
        <x:v>王城矿井</x:v>
      </x:c>
      <x:c r="D533" s="22" t="str">
        <x:v>普通</x:v>
      </x:c>
      <x:c r="E533" s="22" t="str">
        <x:v>裂晶钻颚兽</x:v>
      </x:c>
      <x:c r="F533" s="22" t="str">
        <x:v>XX957</x:v>
      </x:c>
      <x:c r="G533" s="22" t="str">
        <x:v>P0310</x:v>
      </x:c>
      <x:c r="H533" s="22" t="n">
        <x:v>7.2</x:v>
      </x:c>
      <x:c r="I533" s="28" t="n">
        <x:v>10381233985.44125</x:v>
      </x:c>
      <x:c r="J533" s="28" t="n">
        <x:f>ROUND(H533*I533,-MAX(0,INT(LOG10(H533*I533))-1))</x:f>
        <x:v>75000000000</x:v>
      </x:c>
      <x:c r="K533" s="28" t="n">
        <x:v>4400000</x:v>
      </x:c>
      <x:c r="L533" s="28" t="n">
        <x:v>6000000</x:v>
      </x:c>
      <x:c r="M533" s="28" t="n">
        <x:v>160000</x:v>
      </x:c>
      <x:c r="N533" s="28" t="n">
        <x:v>140000</x:v>
      </x:c>
      <x:c r="O533" s="28" t="n">
        <x:v>296</x:v>
      </x:c>
      <x:c r="P533" s="28" t="n">
        <x:v>490</x:v>
      </x:c>
      <x:c r="Q533" s="28" t="n">
        <x:v>1600</x:v>
      </x:c>
      <x:c r="R533" s="22"/>
      <x:c r="S533" s="22"/>
      <x:c r="T533" s="22" t="str">
        <x:v>64位值核对</x:v>
      </x:c>
    </x:row>
    <x:row r="534" ht="24" customHeight="1">
      <x:c r="A534" s="22" t="str">
        <x:v>C10-M030</x:v>
      </x:c>
      <x:c r="B534" s="22" t="n">
        <x:v>10</x:v>
      </x:c>
      <x:c r="C534" s="22" t="str">
        <x:v>王城矿井</x:v>
      </x:c>
      <x:c r="D534" s="22" t="str">
        <x:v>普通</x:v>
      </x:c>
      <x:c r="E534" s="22" t="str">
        <x:v>矿脉听金虫</x:v>
      </x:c>
      <x:c r="F534" s="22" t="str">
        <x:v>XX956</x:v>
      </x:c>
      <x:c r="G534" s="22" t="str">
        <x:v>P0310</x:v>
      </x:c>
      <x:c r="H534" s="22" t="n">
        <x:v>9.2</x:v>
      </x:c>
      <x:c r="I534" s="28" t="n">
        <x:v>10381233985.44125</x:v>
      </x:c>
      <x:c r="J534" s="28" t="n">
        <x:f>ROUND(H534*I534,-MAX(0,INT(LOG10(H534*I534))-1))</x:f>
        <x:v>96000000000</x:v>
      </x:c>
      <x:c r="K534" s="28" t="n">
        <x:v>4400000</x:v>
      </x:c>
      <x:c r="L534" s="28" t="n">
        <x:v>6000000</x:v>
      </x:c>
      <x:c r="M534" s="28" t="n">
        <x:v>160000</x:v>
      </x:c>
      <x:c r="N534" s="28" t="n">
        <x:v>140000</x:v>
      </x:c>
      <x:c r="O534" s="28" t="n">
        <x:v>296</x:v>
      </x:c>
      <x:c r="P534" s="28" t="n">
        <x:v>490</x:v>
      </x:c>
      <x:c r="Q534" s="28" t="n">
        <x:v>1600</x:v>
      </x:c>
      <x:c r="R534" s="22"/>
      <x:c r="S534" s="22"/>
      <x:c r="T534" s="22" t="str">
        <x:v>64位值核对</x:v>
      </x:c>
    </x:row>
    <x:row r="535" ht="24" customHeight="1">
      <x:c r="A535" s="22" t="str">
        <x:v>C10-M031</x:v>
      </x:c>
      <x:c r="B535" s="22" t="n">
        <x:v>10</x:v>
      </x:c>
      <x:c r="C535" s="22" t="str">
        <x:v>王城矿井</x:v>
      </x:c>
      <x:c r="D535" s="22" t="str">
        <x:v>稀有</x:v>
      </x:c>
      <x:c r="E535" s="22" t="str">
        <x:v>监坑鎏面骑</x:v>
      </x:c>
      <x:c r="F535" s="22" t="str">
        <x:v>XX954</x:v>
      </x:c>
      <x:c r="G535" s="22" t="str">
        <x:v>P0310</x:v>
      </x:c>
      <x:c r="H535" s="22" t="n">
        <x:v>26.400000000000002</x:v>
      </x:c>
      <x:c r="I535" s="28" t="n">
        <x:v>9693311653.529604</x:v>
      </x:c>
      <x:c r="J535" s="28" t="n">
        <x:f>ROUND(H535*I535,-MAX(0,INT(LOG10(H535*I535))-1))</x:f>
        <x:v>260000000000</x:v>
      </x:c>
      <x:c r="K535" s="28" t="n">
        <x:v>8400000</x:v>
      </x:c>
      <x:c r="L535" s="28" t="n">
        <x:v>11000000</x:v>
      </x:c>
      <x:c r="M535" s="28" t="n">
        <x:v>330000</x:v>
      </x:c>
      <x:c r="N535" s="28" t="n">
        <x:v>280000</x:v>
      </x:c>
      <x:c r="O535" s="28" t="n">
        <x:v>296</x:v>
      </x:c>
      <x:c r="P535" s="28" t="n">
        <x:v>1500</x:v>
      </x:c>
      <x:c r="Q535" s="28" t="n">
        <x:v>1700</x:v>
      </x:c>
      <x:c r="R535" s="22"/>
      <x:c r="S535" s="22"/>
      <x:c r="T535" s="22" t="str">
        <x:v>64位值核对</x:v>
      </x:c>
    </x:row>
    <x:row r="536" ht="24" customHeight="1">
      <x:c r="A536" s="22" t="str">
        <x:v>C10-M032</x:v>
      </x:c>
      <x:c r="B536" s="22" t="n">
        <x:v>10</x:v>
      </x:c>
      <x:c r="C536" s="22" t="str">
        <x:v>王城矿井</x:v>
      </x:c>
      <x:c r="D536" s="22" t="str">
        <x:v>稀有</x:v>
      </x:c>
      <x:c r="E536" s="22" t="str">
        <x:v>空炉吐渣鬼</x:v>
      </x:c>
      <x:c r="F536" s="22" t="str">
        <x:v>XX953</x:v>
      </x:c>
      <x:c r="G536" s="22" t="str">
        <x:v>P0310</x:v>
      </x:c>
      <x:c r="H536" s="22" t="n">
        <x:v>22.799999999999997</x:v>
      </x:c>
      <x:c r="I536" s="28" t="n">
        <x:v>9693311653.529604</x:v>
      </x:c>
      <x:c r="J536" s="28" t="n">
        <x:f>ROUND(H536*I536,-MAX(0,INT(LOG10(H536*I536))-1))</x:f>
        <x:v>220000000000</x:v>
      </x:c>
      <x:c r="K536" s="28" t="n">
        <x:v>8400000</x:v>
      </x:c>
      <x:c r="L536" s="28" t="n">
        <x:v>11000000</x:v>
      </x:c>
      <x:c r="M536" s="28" t="n">
        <x:v>330000</x:v>
      </x:c>
      <x:c r="N536" s="28" t="n">
        <x:v>280000</x:v>
      </x:c>
      <x:c r="O536" s="28" t="n">
        <x:v>296</x:v>
      </x:c>
      <x:c r="P536" s="28" t="n">
        <x:v>1500</x:v>
      </x:c>
      <x:c r="Q536" s="28" t="n">
        <x:v>1700</x:v>
      </x:c>
      <x:c r="R536" s="22"/>
      <x:c r="S536" s="22"/>
      <x:c r="T536" s="22" t="str">
        <x:v>64位值核对</x:v>
      </x:c>
    </x:row>
    <x:row r="537" ht="24" customHeight="1">
      <x:c r="A537" s="22" t="str">
        <x:v>C10-M033</x:v>
      </x:c>
      <x:c r="B537" s="22" t="n">
        <x:v>10</x:v>
      </x:c>
      <x:c r="C537" s="22" t="str">
        <x:v>王城矿井</x:v>
      </x:c>
      <x:c r="D537" s="22" t="str">
        <x:v>稀有</x:v>
      </x:c>
      <x:c r="E537" s="22" t="str">
        <x:v>黑晶凿梦师</x:v>
      </x:c>
      <x:c r="F537" s="22" t="str">
        <x:v>XX957</x:v>
      </x:c>
      <x:c r="G537" s="22" t="str">
        <x:v>P0310</x:v>
      </x:c>
      <x:c r="H537" s="22" t="n">
        <x:v>21.6</x:v>
      </x:c>
      <x:c r="I537" s="28" t="n">
        <x:v>9693311653.529604</x:v>
      </x:c>
      <x:c r="J537" s="28" t="n">
        <x:f>ROUND(H537*I537,-MAX(0,INT(LOG10(H537*I537))-1))</x:f>
        <x:v>210000000000</x:v>
      </x:c>
      <x:c r="K537" s="28" t="n">
        <x:v>8400000</x:v>
      </x:c>
      <x:c r="L537" s="28" t="n">
        <x:v>11000000</x:v>
      </x:c>
      <x:c r="M537" s="28" t="n">
        <x:v>330000</x:v>
      </x:c>
      <x:c r="N537" s="28" t="n">
        <x:v>280000</x:v>
      </x:c>
      <x:c r="O537" s="28" t="n">
        <x:v>296</x:v>
      </x:c>
      <x:c r="P537" s="28" t="n">
        <x:v>1500</x:v>
      </x:c>
      <x:c r="Q537" s="28" t="n">
        <x:v>1700</x:v>
      </x:c>
      <x:c r="R537" s="22"/>
      <x:c r="S537" s="22"/>
      <x:c r="T537" s="22" t="str">
        <x:v>64位值核对</x:v>
      </x:c>
    </x:row>
    <x:row r="538" ht="24" customHeight="1">
      <x:c r="A538" s="22" t="str">
        <x:v>C10-M034</x:v>
      </x:c>
      <x:c r="B538" s="22" t="n">
        <x:v>10</x:v>
      </x:c>
      <x:c r="C538" s="22" t="str">
        <x:v>王城矿井</x:v>
      </x:c>
      <x:c r="D538" s="22" t="str">
        <x:v>稀有</x:v>
      </x:c>
      <x:c r="E538" s="22" t="str">
        <x:v>王脉封勘使</x:v>
      </x:c>
      <x:c r="F538" s="22" t="str">
        <x:v>XX956</x:v>
      </x:c>
      <x:c r="G538" s="22" t="str">
        <x:v>P0310</x:v>
      </x:c>
      <x:c r="H538" s="22" t="n">
        <x:v>26.400000000000002</x:v>
      </x:c>
      <x:c r="I538" s="28" t="n">
        <x:v>9693311653.529604</x:v>
      </x:c>
      <x:c r="J538" s="28" t="n">
        <x:f>ROUND(H538*I538,-MAX(0,INT(LOG10(H538*I538))-1))</x:f>
        <x:v>260000000000</x:v>
      </x:c>
      <x:c r="K538" s="28" t="n">
        <x:v>8400000</x:v>
      </x:c>
      <x:c r="L538" s="28" t="n">
        <x:v>11000000</x:v>
      </x:c>
      <x:c r="M538" s="28" t="n">
        <x:v>330000</x:v>
      </x:c>
      <x:c r="N538" s="28" t="n">
        <x:v>280000</x:v>
      </x:c>
      <x:c r="O538" s="28" t="n">
        <x:v>296</x:v>
      </x:c>
      <x:c r="P538" s="28" t="n">
        <x:v>1500</x:v>
      </x:c>
      <x:c r="Q538" s="28" t="n">
        <x:v>1700</x:v>
      </x:c>
      <x:c r="R538" s="22"/>
      <x:c r="S538" s="22"/>
      <x:c r="T538" s="22" t="str">
        <x:v>64位值核对</x:v>
      </x:c>
    </x:row>
    <x:row r="539" ht="24" customHeight="1">
      <x:c r="A539" s="22" t="str">
        <x:v>C10-M035</x:v>
      </x:c>
      <x:c r="B539" s="22" t="n">
        <x:v>10</x:v>
      </x:c>
      <x:c r="C539" s="22" t="str">
        <x:v>王城矿井</x:v>
      </x:c>
      <x:c r="D539" s="22" t="str">
        <x:v>地图BOSS</x:v>
      </x:c>
      <x:c r="E539" s="22" t="str">
        <x:v>深井百臂掘王</x:v>
      </x:c>
      <x:c r="F539" s="22" t="str">
        <x:v>XX957</x:v>
      </x:c>
      <x:c r="G539" s="22" t="str">
        <x:v>P0317</x:v>
      </x:c>
      <x:c r="H539" s="22" t="n">
        <x:v>82.5</x:v>
      </x:c>
      <x:c r="I539" s="28" t="n">
        <x:v>36341489760.27805</x:v>
      </x:c>
      <x:c r="J539" s="28" t="n">
        <x:f>ROUND(H539*I539,-MAX(0,INT(LOG10(H539*I539))-1))</x:f>
        <x:v>3000000000000</x:v>
      </x:c>
      <x:c r="K539" s="28" t="n">
        <x:v>15000000</x:v>
      </x:c>
      <x:c r="L539" s="28" t="n">
        <x:v>21000000</x:v>
      </x:c>
      <x:c r="M539" s="28" t="n">
        <x:v>620000</x:v>
      </x:c>
      <x:c r="N539" s="28" t="n">
        <x:v>530000</x:v>
      </x:c>
      <x:c r="O539" s="28" t="n">
        <x:v>296</x:v>
      </x:c>
      <x:c r="P539" s="28" t="n">
        <x:v>5900</x:v>
      </x:c>
      <x:c r="Q539" s="28" t="n">
        <x:v>1800</x:v>
      </x:c>
      <x:c r="R539" s="22"/>
      <x:c r="S539" s="22"/>
      <x:c r="T539" s="22" t="str">
        <x:v>64位值核对</x:v>
      </x:c>
    </x:row>
    <x:row r="540" ht="24" customHeight="1">
      <x:c r="A540" s="22" t="str">
        <x:v>C10-M036</x:v>
      </x:c>
      <x:c r="B540" s="22" t="n">
        <x:v>10</x:v>
      </x:c>
      <x:c r="C540" s="22" t="str">
        <x:v>王城矿井</x:v>
      </x:c>
      <x:c r="D540" s="22" t="str">
        <x:v>地图BOSS</x:v>
      </x:c>
      <x:c r="E540" s="22" t="str">
        <x:v>地脉熔冠巨像</x:v>
      </x:c>
      <x:c r="F540" s="22" t="str">
        <x:v>XX956</x:v>
      </x:c>
      <x:c r="G540" s="22" t="str">
        <x:v>P0318</x:v>
      </x:c>
      <x:c r="H540" s="22" t="n">
        <x:v>86.25</x:v>
      </x:c>
      <x:c r="I540" s="28" t="n">
        <x:v>36341489760.27805</x:v>
      </x:c>
      <x:c r="J540" s="28" t="n">
        <x:f>ROUND(H540*I540,-MAX(0,INT(LOG10(H540*I540))-1))</x:f>
        <x:v>3100000000000</x:v>
      </x:c>
      <x:c r="K540" s="28" t="n">
        <x:v>15000000</x:v>
      </x:c>
      <x:c r="L540" s="28" t="n">
        <x:v>21000000</x:v>
      </x:c>
      <x:c r="M540" s="28" t="n">
        <x:v>620000</x:v>
      </x:c>
      <x:c r="N540" s="28" t="n">
        <x:v>530000</x:v>
      </x:c>
      <x:c r="O540" s="28" t="n">
        <x:v>296</x:v>
      </x:c>
      <x:c r="P540" s="28" t="n">
        <x:v>5900</x:v>
      </x:c>
      <x:c r="Q540" s="28" t="n">
        <x:v>1800</x:v>
      </x:c>
      <x:c r="R540" s="22"/>
      <x:c r="S540" s="22"/>
      <x:c r="T540" s="22" t="str">
        <x:v>64位值核对</x:v>
      </x:c>
    </x:row>
    <x:row r="541" ht="24" customHeight="1">
      <x:c r="A541" s="22" t="str">
        <x:v>C10-M037</x:v>
      </x:c>
      <x:c r="B541" s="22" t="n">
        <x:v>10</x:v>
      </x:c>
      <x:c r="C541" s="22" t="str">
        <x:v>王城地穴</x:v>
      </x:c>
      <x:c r="D541" s="22" t="str">
        <x:v>普通</x:v>
      </x:c>
      <x:c r="E541" s="22" t="str">
        <x:v>石棺刮蜡侍</x:v>
      </x:c>
      <x:c r="F541" s="22" t="str">
        <x:v>XX707</x:v>
      </x:c>
      <x:c r="G541" s="22" t="str">
        <x:v>P0316</x:v>
      </x:c>
      <x:c r="H541" s="22" t="n">
        <x:v>9.2</x:v>
      </x:c>
      <x:c r="I541" s="28" t="n">
        <x:v>10447305485.809706</x:v>
      </x:c>
      <x:c r="J541" s="28" t="n">
        <x:f>ROUND(H541*I541,-MAX(0,INT(LOG10(H541*I541))-1))</x:f>
        <x:v>96000000000</x:v>
      </x:c>
      <x:c r="K541" s="28" t="n">
        <x:v>2000000</x:v>
      </x:c>
      <x:c r="L541" s="28" t="n">
        <x:v>2700000</x:v>
      </x:c>
      <x:c r="M541" s="28" t="n">
        <x:v>160000</x:v>
      </x:c>
      <x:c r="N541" s="28" t="n">
        <x:v>140000</x:v>
      </x:c>
      <x:c r="O541" s="28" t="n">
        <x:v>299</x:v>
      </x:c>
      <x:c r="P541" s="28" t="n">
        <x:v>500</x:v>
      </x:c>
      <x:c r="Q541" s="28" t="n">
        <x:v>1600</x:v>
      </x:c>
      <x:c r="R541" s="22"/>
      <x:c r="S541" s="22"/>
      <x:c r="T541" s="22" t="str">
        <x:v>64位值核对</x:v>
      </x:c>
    </x:row>
    <x:row r="542" ht="24" customHeight="1">
      <x:c r="A542" s="22" t="str">
        <x:v>C10-M038</x:v>
      </x:c>
      <x:c r="B542" s="22" t="n">
        <x:v>10</x:v>
      </x:c>
      <x:c r="C542" s="22" t="str">
        <x:v>王城地穴</x:v>
      </x:c>
      <x:c r="D542" s="22" t="str">
        <x:v>普通</x:v>
      </x:c>
      <x:c r="E542" s="22" t="str">
        <x:v>眠碑缝尸媪</x:v>
      </x:c>
      <x:c r="F542" s="22" t="str">
        <x:v>XX707</x:v>
      </x:c>
      <x:c r="G542" s="22" t="str">
        <x:v>P0316</x:v>
      </x:c>
      <x:c r="H542" s="22" t="n">
        <x:v>8</x:v>
      </x:c>
      <x:c r="I542" s="28" t="n">
        <x:v>10447305485.809706</x:v>
      </x:c>
      <x:c r="J542" s="28" t="n">
        <x:f>ROUND(H542*I542,-MAX(0,INT(LOG10(H542*I542))-1))</x:f>
        <x:v>84000000000</x:v>
      </x:c>
      <x:c r="K542" s="28" t="n">
        <x:v>2000000</x:v>
      </x:c>
      <x:c r="L542" s="28" t="n">
        <x:v>2700000</x:v>
      </x:c>
      <x:c r="M542" s="28" t="n">
        <x:v>160000</x:v>
      </x:c>
      <x:c r="N542" s="28" t="n">
        <x:v>140000</x:v>
      </x:c>
      <x:c r="O542" s="28" t="n">
        <x:v>299</x:v>
      </x:c>
      <x:c r="P542" s="28" t="n">
        <x:v>500</x:v>
      </x:c>
      <x:c r="Q542" s="28" t="n">
        <x:v>1600</x:v>
      </x:c>
      <x:c r="R542" s="22"/>
      <x:c r="S542" s="22"/>
      <x:c r="T542" s="22" t="str">
        <x:v>64位值核对</x:v>
      </x:c>
    </x:row>
    <x:row r="543" ht="24" customHeight="1">
      <x:c r="A543" s="22" t="str">
        <x:v>C10-M039</x:v>
      </x:c>
      <x:c r="B543" s="22" t="n">
        <x:v>10</x:v>
      </x:c>
      <x:c r="C543" s="22" t="str">
        <x:v>王城地穴</x:v>
      </x:c>
      <x:c r="D543" s="22" t="str">
        <x:v>普通</x:v>
      </x:c>
      <x:c r="E543" s="22" t="str">
        <x:v>墓王执幡骨卫</x:v>
      </x:c>
      <x:c r="F543" s="22" t="str">
        <x:v>XX708</x:v>
      </x:c>
      <x:c r="G543" s="22" t="str">
        <x:v>P0316</x:v>
      </x:c>
      <x:c r="H543" s="22" t="n">
        <x:v>8</x:v>
      </x:c>
      <x:c r="I543" s="28" t="n">
        <x:v>10447305485.809706</x:v>
      </x:c>
      <x:c r="J543" s="28" t="n">
        <x:f>ROUND(H543*I543,-MAX(0,INT(LOG10(H543*I543))-1))</x:f>
        <x:v>84000000000</x:v>
      </x:c>
      <x:c r="K543" s="28" t="n">
        <x:v>2000000</x:v>
      </x:c>
      <x:c r="L543" s="28" t="n">
        <x:v>2700000</x:v>
      </x:c>
      <x:c r="M543" s="28" t="n">
        <x:v>160000</x:v>
      </x:c>
      <x:c r="N543" s="28" t="n">
        <x:v>140000</x:v>
      </x:c>
      <x:c r="O543" s="28" t="n">
        <x:v>299</x:v>
      </x:c>
      <x:c r="P543" s="28" t="n">
        <x:v>500</x:v>
      </x:c>
      <x:c r="Q543" s="28" t="n">
        <x:v>1600</x:v>
      </x:c>
      <x:c r="R543" s="22"/>
      <x:c r="S543" s="22"/>
      <x:c r="T543" s="22" t="str">
        <x:v>64位值核对</x:v>
      </x:c>
    </x:row>
    <x:row r="544" ht="24" customHeight="1">
      <x:c r="A544" s="22" t="str">
        <x:v>C10-M040</x:v>
      </x:c>
      <x:c r="B544" s="22" t="n">
        <x:v>10</x:v>
      </x:c>
      <x:c r="C544" s="22" t="str">
        <x:v>王城地穴</x:v>
      </x:c>
      <x:c r="D544" s="22" t="str">
        <x:v>普通</x:v>
      </x:c>
      <x:c r="E544" s="22" t="str">
        <x:v>甬道噤歌蛾</x:v>
      </x:c>
      <x:c r="F544" s="22" t="str">
        <x:v>XX708</x:v>
      </x:c>
      <x:c r="G544" s="22" t="str">
        <x:v>P0316</x:v>
      </x:c>
      <x:c r="H544" s="22" t="n">
        <x:v>8</x:v>
      </x:c>
      <x:c r="I544" s="28" t="n">
        <x:v>10447305485.809706</x:v>
      </x:c>
      <x:c r="J544" s="28" t="n">
        <x:f>ROUND(H544*I544,-MAX(0,INT(LOG10(H544*I544))-1))</x:f>
        <x:v>84000000000</x:v>
      </x:c>
      <x:c r="K544" s="28" t="n">
        <x:v>2000000</x:v>
      </x:c>
      <x:c r="L544" s="28" t="n">
        <x:v>2700000</x:v>
      </x:c>
      <x:c r="M544" s="28" t="n">
        <x:v>160000</x:v>
      </x:c>
      <x:c r="N544" s="28" t="n">
        <x:v>140000</x:v>
      </x:c>
      <x:c r="O544" s="28" t="n">
        <x:v>299</x:v>
      </x:c>
      <x:c r="P544" s="28" t="n">
        <x:v>500</x:v>
      </x:c>
      <x:c r="Q544" s="28" t="n">
        <x:v>1600</x:v>
      </x:c>
      <x:c r="R544" s="22"/>
      <x:c r="S544" s="22"/>
      <x:c r="T544" s="22" t="str">
        <x:v>64位值核对</x:v>
      </x:c>
    </x:row>
    <x:row r="545" ht="24" customHeight="1">
      <x:c r="A545" s="22" t="str">
        <x:v>C10-M041</x:v>
      </x:c>
      <x:c r="B545" s="22" t="n">
        <x:v>10</x:v>
      </x:c>
      <x:c r="C545" s="22" t="str">
        <x:v>王城地穴</x:v>
      </x:c>
      <x:c r="D545" s="22" t="str">
        <x:v>普通</x:v>
      </x:c>
      <x:c r="E545" s="22" t="str">
        <x:v>寝室抱瓮童</x:v>
      </x:c>
      <x:c r="F545" s="22" t="str">
        <x:v>XX704</x:v>
      </x:c>
      <x:c r="G545" s="22" t="str">
        <x:v>P0316</x:v>
      </x:c>
      <x:c r="H545" s="22" t="n">
        <x:v>7.6</x:v>
      </x:c>
      <x:c r="I545" s="28" t="n">
        <x:v>10447305485.809706</x:v>
      </x:c>
      <x:c r="J545" s="28" t="n">
        <x:f>ROUND(H545*I545,-MAX(0,INT(LOG10(H545*I545))-1))</x:f>
        <x:v>79000000000</x:v>
      </x:c>
      <x:c r="K545" s="28" t="n">
        <x:v>2000000</x:v>
      </x:c>
      <x:c r="L545" s="28" t="n">
        <x:v>2700000</x:v>
      </x:c>
      <x:c r="M545" s="28" t="n">
        <x:v>160000</x:v>
      </x:c>
      <x:c r="N545" s="28" t="n">
        <x:v>140000</x:v>
      </x:c>
      <x:c r="O545" s="28" t="n">
        <x:v>299</x:v>
      </x:c>
      <x:c r="P545" s="28" t="n">
        <x:v>500</x:v>
      </x:c>
      <x:c r="Q545" s="28" t="n">
        <x:v>1600</x:v>
      </x:c>
      <x:c r="R545" s="22"/>
      <x:c r="S545" s="22"/>
      <x:c r="T545" s="22" t="str">
        <x:v>64位值核对</x:v>
      </x:c>
    </x:row>
    <x:row r="546" ht="24" customHeight="1">
      <x:c r="A546" s="22" t="str">
        <x:v>C10-M042</x:v>
      </x:c>
      <x:c r="B546" s="22" t="n">
        <x:v>10</x:v>
      </x:c>
      <x:c r="C546" s="22" t="str">
        <x:v>王城地穴</x:v>
      </x:c>
      <x:c r="D546" s="22" t="str">
        <x:v>普通</x:v>
      </x:c>
      <x:c r="E546" s="22" t="str">
        <x:v>枕陵掘指尸</x:v>
      </x:c>
      <x:c r="F546" s="22" t="str">
        <x:v>XX704</x:v>
      </x:c>
      <x:c r="G546" s="22" t="str">
        <x:v>P0316</x:v>
      </x:c>
      <x:c r="H546" s="22" t="n">
        <x:v>9.2</x:v>
      </x:c>
      <x:c r="I546" s="28" t="n">
        <x:v>10447305485.809706</x:v>
      </x:c>
      <x:c r="J546" s="28" t="n">
        <x:f>ROUND(H546*I546,-MAX(0,INT(LOG10(H546*I546))-1))</x:f>
        <x:v>96000000000</x:v>
      </x:c>
      <x:c r="K546" s="28" t="n">
        <x:v>2000000</x:v>
      </x:c>
      <x:c r="L546" s="28" t="n">
        <x:v>2700000</x:v>
      </x:c>
      <x:c r="M546" s="28" t="n">
        <x:v>160000</x:v>
      </x:c>
      <x:c r="N546" s="28" t="n">
        <x:v>140000</x:v>
      </x:c>
      <x:c r="O546" s="28" t="n">
        <x:v>299</x:v>
      </x:c>
      <x:c r="P546" s="28" t="n">
        <x:v>500</x:v>
      </x:c>
      <x:c r="Q546" s="28" t="n">
        <x:v>1600</x:v>
      </x:c>
      <x:c r="R546" s="22"/>
      <x:c r="S546" s="22"/>
      <x:c r="T546" s="22" t="str">
        <x:v>64位值核对</x:v>
      </x:c>
    </x:row>
    <x:row r="547" ht="24" customHeight="1">
      <x:c r="A547" s="22" t="str">
        <x:v>C10-M043</x:v>
      </x:c>
      <x:c r="B547" s="22" t="n">
        <x:v>10</x:v>
      </x:c>
      <x:c r="C547" s="22" t="str">
        <x:v>王城地穴</x:v>
      </x:c>
      <x:c r="D547" s="22" t="str">
        <x:v>稀有</x:v>
      </x:c>
      <x:c r="E547" s="22" t="str">
        <x:v>无烛守丧女</x:v>
      </x:c>
      <x:c r="F547" s="22" t="str">
        <x:v>XX707</x:v>
      </x:c>
      <x:c r="G547" s="22" t="str">
        <x:v>P0316</x:v>
      </x:c>
      <x:c r="H547" s="22" t="n">
        <x:v>22.799999999999997</x:v>
      </x:c>
      <x:c r="I547" s="28" t="n">
        <x:v>9759383153.898058</x:v>
      </x:c>
      <x:c r="J547" s="28" t="n">
        <x:f>ROUND(H547*I547,-MAX(0,INT(LOG10(H547*I547))-1))</x:f>
        <x:v>220000000000</x:v>
      </x:c>
      <x:c r="K547" s="28" t="n">
        <x:v>3900000</x:v>
      </x:c>
      <x:c r="L547" s="28" t="n">
        <x:v>5300000</x:v>
      </x:c>
      <x:c r="M547" s="28" t="n">
        <x:v>330000</x:v>
      </x:c>
      <x:c r="N547" s="28" t="n">
        <x:v>280000</x:v>
      </x:c>
      <x:c r="O547" s="28" t="n">
        <x:v>299</x:v>
      </x:c>
      <x:c r="P547" s="28" t="n">
        <x:v>1500</x:v>
      </x:c>
      <x:c r="Q547" s="28" t="n">
        <x:v>1700</x:v>
      </x:c>
      <x:c r="R547" s="22"/>
      <x:c r="S547" s="22"/>
      <x:c r="T547" s="22" t="str">
        <x:v>64位值核对</x:v>
      </x:c>
    </x:row>
    <x:row r="548" ht="24" customHeight="1">
      <x:c r="A548" s="22" t="str">
        <x:v>C10-M044</x:v>
      </x:c>
      <x:c r="B548" s="22" t="n">
        <x:v>10</x:v>
      </x:c>
      <x:c r="C548" s="22" t="str">
        <x:v>王城地穴</x:v>
      </x:c>
      <x:c r="D548" s="22" t="str">
        <x:v>稀有</x:v>
      </x:c>
      <x:c r="E548" s="22" t="str">
        <x:v>断碑驮棺兽</x:v>
      </x:c>
      <x:c r="F548" s="22" t="str">
        <x:v>XX708</x:v>
      </x:c>
      <x:c r="G548" s="22" t="str">
        <x:v>P0316</x:v>
      </x:c>
      <x:c r="H548" s="22" t="n">
        <x:v>21.6</x:v>
      </x:c>
      <x:c r="I548" s="28" t="n">
        <x:v>9759383153.898058</x:v>
      </x:c>
      <x:c r="J548" s="28" t="n">
        <x:f>ROUND(H548*I548,-MAX(0,INT(LOG10(H548*I548))-1))</x:f>
        <x:v>210000000000</x:v>
      </x:c>
      <x:c r="K548" s="28" t="n">
        <x:v>3900000</x:v>
      </x:c>
      <x:c r="L548" s="28" t="n">
        <x:v>5300000</x:v>
      </x:c>
      <x:c r="M548" s="28" t="n">
        <x:v>330000</x:v>
      </x:c>
      <x:c r="N548" s="28" t="n">
        <x:v>280000</x:v>
      </x:c>
      <x:c r="O548" s="28" t="n">
        <x:v>299</x:v>
      </x:c>
      <x:c r="P548" s="28" t="n">
        <x:v>1500</x:v>
      </x:c>
      <x:c r="Q548" s="28" t="n">
        <x:v>1700</x:v>
      </x:c>
      <x:c r="R548" s="22"/>
      <x:c r="S548" s="22"/>
      <x:c r="T548" s="22" t="str">
        <x:v>64位值核对</x:v>
      </x:c>
    </x:row>
    <x:row r="549" ht="24" customHeight="1">
      <x:c r="A549" s="22" t="str">
        <x:v>C10-M045</x:v>
      </x:c>
      <x:c r="B549" s="22" t="n">
        <x:v>10</x:v>
      </x:c>
      <x:c r="C549" s="22" t="str">
        <x:v>王城地穴</x:v>
      </x:c>
      <x:c r="D549" s="22" t="str">
        <x:v>稀有</x:v>
      </x:c>
      <x:c r="E549" s="22" t="str">
        <x:v>王甬秤罪官</x:v>
      </x:c>
      <x:c r="F549" s="22" t="str">
        <x:v>XX708</x:v>
      </x:c>
      <x:c r="G549" s="22" t="str">
        <x:v>P0316</x:v>
      </x:c>
      <x:c r="H549" s="22" t="n">
        <x:v>22.799999999999997</x:v>
      </x:c>
      <x:c r="I549" s="28" t="n">
        <x:v>9759383153.898058</x:v>
      </x:c>
      <x:c r="J549" s="28" t="n">
        <x:f>ROUND(H549*I549,-MAX(0,INT(LOG10(H549*I549))-1))</x:f>
        <x:v>220000000000</x:v>
      </x:c>
      <x:c r="K549" s="28" t="n">
        <x:v>3900000</x:v>
      </x:c>
      <x:c r="L549" s="28" t="n">
        <x:v>5300000</x:v>
      </x:c>
      <x:c r="M549" s="28" t="n">
        <x:v>330000</x:v>
      </x:c>
      <x:c r="N549" s="28" t="n">
        <x:v>280000</x:v>
      </x:c>
      <x:c r="O549" s="28" t="n">
        <x:v>299</x:v>
      </x:c>
      <x:c r="P549" s="28" t="n">
        <x:v>1500</x:v>
      </x:c>
      <x:c r="Q549" s="28" t="n">
        <x:v>1700</x:v>
      </x:c>
      <x:c r="R549" s="22"/>
      <x:c r="S549" s="22"/>
      <x:c r="T549" s="22" t="str">
        <x:v>64位值核对</x:v>
      </x:c>
    </x:row>
    <x:row r="550" ht="24" customHeight="1">
      <x:c r="A550" s="22" t="str">
        <x:v>C10-M046</x:v>
      </x:c>
      <x:c r="B550" s="22" t="n">
        <x:v>10</x:v>
      </x:c>
      <x:c r="C550" s="22" t="str">
        <x:v>王城地穴</x:v>
      </x:c>
      <x:c r="D550" s="22" t="str">
        <x:v>稀有</x:v>
      </x:c>
      <x:c r="E550" s="22" t="str">
        <x:v>寝门返魂甲</x:v>
      </x:c>
      <x:c r="F550" s="22" t="str">
        <x:v>XX704</x:v>
      </x:c>
      <x:c r="G550" s="22" t="str">
        <x:v>P0316</x:v>
      </x:c>
      <x:c r="H550" s="22" t="n">
        <x:v>21.6</x:v>
      </x:c>
      <x:c r="I550" s="28" t="n">
        <x:v>9759383153.898058</x:v>
      </x:c>
      <x:c r="J550" s="28" t="n">
        <x:f>ROUND(H550*I550,-MAX(0,INT(LOG10(H550*I550))-1))</x:f>
        <x:v>210000000000</x:v>
      </x:c>
      <x:c r="K550" s="28" t="n">
        <x:v>3900000</x:v>
      </x:c>
      <x:c r="L550" s="28" t="n">
        <x:v>5300000</x:v>
      </x:c>
      <x:c r="M550" s="28" t="n">
        <x:v>330000</x:v>
      </x:c>
      <x:c r="N550" s="28" t="n">
        <x:v>280000</x:v>
      </x:c>
      <x:c r="O550" s="28" t="n">
        <x:v>299</x:v>
      </x:c>
      <x:c r="P550" s="28" t="n">
        <x:v>1500</x:v>
      </x:c>
      <x:c r="Q550" s="28" t="n">
        <x:v>1700</x:v>
      </x:c>
      <x:c r="R550" s="22"/>
      <x:c r="S550" s="22"/>
      <x:c r="T550" s="22" t="str">
        <x:v>64位值核对</x:v>
      </x:c>
    </x:row>
    <x:row r="551" ht="24" customHeight="1">
      <x:c r="A551" s="22" t="str">
        <x:v>C10-M047</x:v>
      </x:c>
      <x:c r="B551" s="22" t="n">
        <x:v>10</x:v>
      </x:c>
      <x:c r="C551" s="22" t="str">
        <x:v>王城地穴</x:v>
      </x:c>
      <x:c r="D551" s="22" t="str">
        <x:v>地图BOSS</x:v>
      </x:c>
      <x:c r="E551" s="22" t="str">
        <x:v>不葬的甬道王妃</x:v>
      </x:c>
      <x:c r="F551" s="22" t="str">
        <x:v>XX708</x:v>
      </x:c>
      <x:c r="G551" s="22" t="str">
        <x:v>P0323</x:v>
      </x:c>
      <x:c r="H551" s="22" t="n">
        <x:v>71.25</x:v>
      </x:c>
      <x:c r="I551" s="28" t="n">
        <x:v>41708220184.11128</x:v>
      </x:c>
      <x:c r="J551" s="28" t="n">
        <x:f>ROUND(H551*I551,-MAX(0,INT(LOG10(H551*I551))-1))</x:f>
        <x:v>3000000000000</x:v>
      </x:c>
      <x:c r="K551" s="28" t="n">
        <x:v>6900000</x:v>
      </x:c>
      <x:c r="L551" s="28" t="n">
        <x:v>9300000</x:v>
      </x:c>
      <x:c r="M551" s="28" t="n">
        <x:v>670000</x:v>
      </x:c>
      <x:c r="N551" s="28" t="n">
        <x:v>570000</x:v>
      </x:c>
      <x:c r="O551" s="28" t="n">
        <x:v>299</x:v>
      </x:c>
      <x:c r="P551" s="28" t="n">
        <x:v>6100</x:v>
      </x:c>
      <x:c r="Q551" s="28" t="n">
        <x:v>1800</x:v>
      </x:c>
      <x:c r="R551" s="22"/>
      <x:c r="S551" s="22"/>
      <x:c r="T551" s="22" t="str">
        <x:v>64位值核对</x:v>
      </x:c>
    </x:row>
    <x:row r="552" ht="24" customHeight="1">
      <x:c r="A552" s="22" t="str">
        <x:v>C10-M048</x:v>
      </x:c>
      <x:c r="B552" s="22" t="n">
        <x:v>10</x:v>
      </x:c>
      <x:c r="C552" s="22" t="str">
        <x:v>王城地穴</x:v>
      </x:c>
      <x:c r="D552" s="22" t="str">
        <x:v>地图BOSS</x:v>
      </x:c>
      <x:c r="E552" s="22" t="str">
        <x:v>枯寝吞碑王</x:v>
      </x:c>
      <x:c r="F552" s="22" t="str">
        <x:v>XX704</x:v>
      </x:c>
      <x:c r="G552" s="22" t="str">
        <x:v>P0324</x:v>
      </x:c>
      <x:c r="H552" s="22" t="n">
        <x:v>75</x:v>
      </x:c>
      <x:c r="I552" s="28" t="n">
        <x:v>41708220184.11128</x:v>
      </x:c>
      <x:c r="J552" s="28" t="n">
        <x:f>ROUND(H552*I552,-MAX(0,INT(LOG10(H552*I552))-1))</x:f>
        <x:v>3100000000000</x:v>
      </x:c>
      <x:c r="K552" s="28" t="n">
        <x:v>6900000</x:v>
      </x:c>
      <x:c r="L552" s="28" t="n">
        <x:v>9300000</x:v>
      </x:c>
      <x:c r="M552" s="28" t="n">
        <x:v>670000</x:v>
      </x:c>
      <x:c r="N552" s="28" t="n">
        <x:v>570000</x:v>
      </x:c>
      <x:c r="O552" s="28" t="n">
        <x:v>299</x:v>
      </x:c>
      <x:c r="P552" s="28" t="n">
        <x:v>6100</x:v>
      </x:c>
      <x:c r="Q552" s="28" t="n">
        <x:v>1800</x:v>
      </x:c>
      <x:c r="R552" s="22"/>
      <x:c r="S552" s="22"/>
      <x:c r="T552" s="22" t="str">
        <x:v>64位值核对</x:v>
      </x:c>
    </x:row>
    <x:row r="553" ht="24" customHeight="1">
      <x:c r="A553" s="22" t="str">
        <x:v>C10-M049</x:v>
      </x:c>
      <x:c r="B553" s="22" t="n">
        <x:v>10</x:v>
      </x:c>
      <x:c r="C553" s="22" t="str">
        <x:v>黄金王宫</x:v>
      </x:c>
      <x:c r="D553" s="22" t="str">
        <x:v>普通</x:v>
      </x:c>
      <x:c r="E553" s="22" t="str">
        <x:v>日轮扫阶侍</x:v>
      </x:c>
      <x:c r="F553" s="22" t="str">
        <x:v>XX371</x:v>
      </x:c>
      <x:c r="G553" s="22" t="str">
        <x:v>P0322</x:v>
      </x:c>
      <x:c r="H553" s="22" t="n">
        <x:v>8</x:v>
      </x:c>
      <x:c r="I553" s="28" t="n">
        <x:v>13517188929.632153</x:v>
      </x:c>
      <x:c r="J553" s="28" t="n">
        <x:f>ROUND(H553*I553,-MAX(0,INT(LOG10(H553*I553))-1))</x:f>
        <x:v>110000000000</x:v>
      </x:c>
      <x:c r="K553" s="28" t="n">
        <x:v>1200000</x:v>
      </x:c>
      <x:c r="L553" s="28" t="n">
        <x:v>1600000</x:v>
      </x:c>
      <x:c r="M553" s="28" t="n">
        <x:v>220000</x:v>
      </x:c>
      <x:c r="N553" s="28" t="n">
        <x:v>190000</x:v>
      </x:c>
      <x:c r="O553" s="28" t="n">
        <x:v>302</x:v>
      </x:c>
      <x:c r="P553" s="28" t="n">
        <x:v>520</x:v>
      </x:c>
      <x:c r="Q553" s="28" t="n">
        <x:v>1600</x:v>
      </x:c>
      <x:c r="R553" s="22"/>
      <x:c r="S553" s="22"/>
      <x:c r="T553" s="22" t="str">
        <x:v>64位值核对</x:v>
      </x:c>
    </x:row>
    <x:row r="554" ht="24" customHeight="1">
      <x:c r="A554" s="22" t="str">
        <x:v>C10-M050</x:v>
      </x:c>
      <x:c r="B554" s="22" t="n">
        <x:v>10</x:v>
      </x:c>
      <x:c r="C554" s="22" t="str">
        <x:v>黄金王宫</x:v>
      </x:c>
      <x:c r="D554" s="22" t="str">
        <x:v>普通</x:v>
      </x:c>
      <x:c r="E554" s="22" t="str">
        <x:v>金桂驯狮吏</x:v>
      </x:c>
      <x:c r="F554" s="22" t="str">
        <x:v>XX371</x:v>
      </x:c>
      <x:c r="G554" s="22" t="str">
        <x:v>P0322</x:v>
      </x:c>
      <x:c r="H554" s="22" t="n">
        <x:v>7.6</x:v>
      </x:c>
      <x:c r="I554" s="28" t="n">
        <x:v>13517188929.632153</x:v>
      </x:c>
      <x:c r="J554" s="28" t="n">
        <x:f>ROUND(H554*I554,-MAX(0,INT(LOG10(H554*I554))-1))</x:f>
        <x:v>100000000000</x:v>
      </x:c>
      <x:c r="K554" s="28" t="n">
        <x:v>1200000</x:v>
      </x:c>
      <x:c r="L554" s="28" t="n">
        <x:v>1600000</x:v>
      </x:c>
      <x:c r="M554" s="28" t="n">
        <x:v>220000</x:v>
      </x:c>
      <x:c r="N554" s="28" t="n">
        <x:v>190000</x:v>
      </x:c>
      <x:c r="O554" s="28" t="n">
        <x:v>302</x:v>
      </x:c>
      <x:c r="P554" s="28" t="n">
        <x:v>520</x:v>
      </x:c>
      <x:c r="Q554" s="28" t="n">
        <x:v>1600</x:v>
      </x:c>
      <x:c r="R554" s="22"/>
      <x:c r="S554" s="22"/>
      <x:c r="T554" s="22" t="str">
        <x:v>64位值核对</x:v>
      </x:c>
    </x:row>
    <x:row r="555" ht="24" customHeight="1">
      <x:c r="A555" s="22" t="str">
        <x:v>C10-M051</x:v>
      </x:c>
      <x:c r="B555" s="22" t="n">
        <x:v>10</x:v>
      </x:c>
      <x:c r="C555" s="22" t="str">
        <x:v>黄金王宫</x:v>
      </x:c>
      <x:c r="D555" s="22" t="str">
        <x:v>普通</x:v>
      </x:c>
      <x:c r="E555" s="22" t="str">
        <x:v>垂纱持香女</x:v>
      </x:c>
      <x:c r="F555" s="22" t="str">
        <x:v>XX372</x:v>
      </x:c>
      <x:c r="G555" s="22" t="str">
        <x:v>P0322</x:v>
      </x:c>
      <x:c r="H555" s="22" t="n">
        <x:v>7.2</x:v>
      </x:c>
      <x:c r="I555" s="28" t="n">
        <x:v>13517188929.632153</x:v>
      </x:c>
      <x:c r="J555" s="28" t="n">
        <x:f>ROUND(H555*I555,-MAX(0,INT(LOG10(H555*I555))-1))</x:f>
        <x:v>97000000000</x:v>
      </x:c>
      <x:c r="K555" s="28" t="n">
        <x:v>1200000</x:v>
      </x:c>
      <x:c r="L555" s="28" t="n">
        <x:v>1600000</x:v>
      </x:c>
      <x:c r="M555" s="28" t="n">
        <x:v>220000</x:v>
      </x:c>
      <x:c r="N555" s="28" t="n">
        <x:v>190000</x:v>
      </x:c>
      <x:c r="O555" s="28" t="n">
        <x:v>302</x:v>
      </x:c>
      <x:c r="P555" s="28" t="n">
        <x:v>520</x:v>
      </x:c>
      <x:c r="Q555" s="28" t="n">
        <x:v>1600</x:v>
      </x:c>
      <x:c r="R555" s="22"/>
      <x:c r="S555" s="22"/>
      <x:c r="T555" s="22" t="str">
        <x:v>64位值核对</x:v>
      </x:c>
    </x:row>
    <x:row r="556" ht="24" customHeight="1">
      <x:c r="A556" s="22" t="str">
        <x:v>C10-M052</x:v>
      </x:c>
      <x:c r="B556" s="22" t="n">
        <x:v>10</x:v>
      </x:c>
      <x:c r="C556" s="22" t="str">
        <x:v>黄金王宫</x:v>
      </x:c>
      <x:c r="D556" s="22" t="str">
        <x:v>普通</x:v>
      </x:c>
      <x:c r="E556" s="22" t="str">
        <x:v>律烛诵壁僧</x:v>
      </x:c>
      <x:c r="F556" s="22" t="str">
        <x:v>XX463</x:v>
      </x:c>
      <x:c r="G556" s="22" t="str">
        <x:v>P0322</x:v>
      </x:c>
      <x:c r="H556" s="22" t="n">
        <x:v>7.2</x:v>
      </x:c>
      <x:c r="I556" s="28" t="n">
        <x:v>13517188929.632153</x:v>
      </x:c>
      <x:c r="J556" s="28" t="n">
        <x:f>ROUND(H556*I556,-MAX(0,INT(LOG10(H556*I556))-1))</x:f>
        <x:v>97000000000</x:v>
      </x:c>
      <x:c r="K556" s="28" t="n">
        <x:v>1200000</x:v>
      </x:c>
      <x:c r="L556" s="28" t="n">
        <x:v>1600000</x:v>
      </x:c>
      <x:c r="M556" s="28" t="n">
        <x:v>220000</x:v>
      </x:c>
      <x:c r="N556" s="28" t="n">
        <x:v>190000</x:v>
      </x:c>
      <x:c r="O556" s="28" t="n">
        <x:v>302</x:v>
      </x:c>
      <x:c r="P556" s="28" t="n">
        <x:v>520</x:v>
      </x:c>
      <x:c r="Q556" s="28" t="n">
        <x:v>1600</x:v>
      </x:c>
      <x:c r="R556" s="22"/>
      <x:c r="S556" s="22"/>
      <x:c r="T556" s="22" t="str">
        <x:v>64位值核对</x:v>
      </x:c>
    </x:row>
    <x:row r="557" ht="24" customHeight="1">
      <x:c r="A557" s="22" t="str">
        <x:v>C10-M053</x:v>
      </x:c>
      <x:c r="B557" s="22" t="n">
        <x:v>10</x:v>
      </x:c>
      <x:c r="C557" s="22" t="str">
        <x:v>黄金王宫</x:v>
      </x:c>
      <x:c r="D557" s="22" t="str">
        <x:v>普通</x:v>
      </x:c>
      <x:c r="E557" s="22" t="str">
        <x:v>前厅捧剑灵</x:v>
      </x:c>
      <x:c r="F557" s="22" t="str">
        <x:v>XX370</x:v>
      </x:c>
      <x:c r="G557" s="22" t="str">
        <x:v>P0322</x:v>
      </x:c>
      <x:c r="H557" s="22" t="n">
        <x:v>7.6</x:v>
      </x:c>
      <x:c r="I557" s="28" t="n">
        <x:v>13517188929.632153</x:v>
      </x:c>
      <x:c r="J557" s="28" t="n">
        <x:f>ROUND(H557*I557,-MAX(0,INT(LOG10(H557*I557))-1))</x:f>
        <x:v>100000000000</x:v>
      </x:c>
      <x:c r="K557" s="28" t="n">
        <x:v>1200000</x:v>
      </x:c>
      <x:c r="L557" s="28" t="n">
        <x:v>1600000</x:v>
      </x:c>
      <x:c r="M557" s="28" t="n">
        <x:v>220000</x:v>
      </x:c>
      <x:c r="N557" s="28" t="n">
        <x:v>190000</x:v>
      </x:c>
      <x:c r="O557" s="28" t="n">
        <x:v>302</x:v>
      </x:c>
      <x:c r="P557" s="28" t="n">
        <x:v>520</x:v>
      </x:c>
      <x:c r="Q557" s="28" t="n">
        <x:v>1600</x:v>
      </x:c>
      <x:c r="R557" s="22"/>
      <x:c r="S557" s="22"/>
      <x:c r="T557" s="22" t="str">
        <x:v>64位值核对</x:v>
      </x:c>
    </x:row>
    <x:row r="558" ht="24" customHeight="1">
      <x:c r="A558" s="22" t="str">
        <x:v>C10-M054</x:v>
      </x:c>
      <x:c r="B558" s="22" t="n">
        <x:v>10</x:v>
      </x:c>
      <x:c r="C558" s="22" t="str">
        <x:v>黄金王宫</x:v>
      </x:c>
      <x:c r="D558" s="22" t="str">
        <x:v>普通</x:v>
      </x:c>
      <x:c r="E558" s="22" t="str">
        <x:v>王座拾辉甲</x:v>
      </x:c>
      <x:c r="F558" s="22" t="str">
        <x:v>XX386</x:v>
      </x:c>
      <x:c r="G558" s="22" t="str">
        <x:v>P0322</x:v>
      </x:c>
      <x:c r="H558" s="22" t="n">
        <x:v>8</x:v>
      </x:c>
      <x:c r="I558" s="28" t="n">
        <x:v>13517188929.632153</x:v>
      </x:c>
      <x:c r="J558" s="28" t="n">
        <x:f>ROUND(H558*I558,-MAX(0,INT(LOG10(H558*I558))-1))</x:f>
        <x:v>110000000000</x:v>
      </x:c>
      <x:c r="K558" s="28" t="n">
        <x:v>290000</x:v>
      </x:c>
      <x:c r="L558" s="28" t="n">
        <x:v>390000</x:v>
      </x:c>
      <x:c r="M558" s="28" t="n">
        <x:v>220000</x:v>
      </x:c>
      <x:c r="N558" s="28" t="n">
        <x:v>190000</x:v>
      </x:c>
      <x:c r="O558" s="28" t="n">
        <x:v>302</x:v>
      </x:c>
      <x:c r="P558" s="28" t="n">
        <x:v>520</x:v>
      </x:c>
      <x:c r="Q558" s="28" t="n">
        <x:v>1600</x:v>
      </x:c>
      <x:c r="R558" s="22"/>
      <x:c r="S558" s="22"/>
      <x:c r="T558" s="22" t="str">
        <x:v>64位值核对</x:v>
      </x:c>
    </x:row>
    <x:row r="559" ht="24" customHeight="1">
      <x:c r="A559" s="22" t="str">
        <x:v>C10-M055</x:v>
      </x:c>
      <x:c r="B559" s="22" t="n">
        <x:v>10</x:v>
      </x:c>
      <x:c r="C559" s="22" t="str">
        <x:v>黄金王宫</x:v>
      </x:c>
      <x:c r="D559" s="22" t="str">
        <x:v>稀有</x:v>
      </x:c>
      <x:c r="E559" s="22" t="str">
        <x:v>外庭熔桂狮</x:v>
      </x:c>
      <x:c r="F559" s="22" t="str">
        <x:v>XX371</x:v>
      </x:c>
      <x:c r="G559" s="22" t="str">
        <x:v>P0322</x:v>
      </x:c>
      <x:c r="H559" s="22" t="n">
        <x:v>24</x:v>
      </x:c>
      <x:c r="I559" s="28" t="n">
        <x:v>12651462878.534758</x:v>
      </x:c>
      <x:c r="J559" s="28" t="n">
        <x:f>ROUND(H559*I559,-MAX(0,INT(LOG10(H559*I559))-1))</x:f>
        <x:v>300000000000</x:v>
      </x:c>
      <x:c r="K559" s="28" t="n">
        <x:v>2200000</x:v>
      </x:c>
      <x:c r="L559" s="28" t="n">
        <x:v>3000000</x:v>
      </x:c>
      <x:c r="M559" s="28" t="n">
        <x:v>440000</x:v>
      </x:c>
      <x:c r="N559" s="28" t="n">
        <x:v>370000</x:v>
      </x:c>
      <x:c r="O559" s="28" t="n">
        <x:v>302</x:v>
      </x:c>
      <x:c r="P559" s="28" t="n">
        <x:v>1600</x:v>
      </x:c>
      <x:c r="Q559" s="28" t="n">
        <x:v>1700</x:v>
      </x:c>
      <x:c r="R559" s="22"/>
      <x:c r="S559" s="22"/>
      <x:c r="T559" s="22" t="str">
        <x:v>64位值核对</x:v>
      </x:c>
    </x:row>
    <x:row r="560" ht="24" customHeight="1">
      <x:c r="A560" s="22" t="str">
        <x:v>C10-M056</x:v>
      </x:c>
      <x:c r="B560" s="22" t="n">
        <x:v>10</x:v>
      </x:c>
      <x:c r="C560" s="22" t="str">
        <x:v>黄金王宫</x:v>
      </x:c>
      <x:c r="D560" s="22" t="str">
        <x:v>稀有</x:v>
      </x:c>
      <x:c r="E560" s="22" t="str">
        <x:v>内庭七帷掌仪</x:v>
      </x:c>
      <x:c r="F560" s="22" t="str">
        <x:v>XX372</x:v>
      </x:c>
      <x:c r="G560" s="22" t="str">
        <x:v>P0322</x:v>
      </x:c>
      <x:c r="H560" s="22" t="n">
        <x:v>24</x:v>
      </x:c>
      <x:c r="I560" s="28" t="n">
        <x:v>12651462878.534758</x:v>
      </x:c>
      <x:c r="J560" s="28" t="n">
        <x:f>ROUND(H560*I560,-MAX(0,INT(LOG10(H560*I560))-1))</x:f>
        <x:v>300000000000</x:v>
      </x:c>
      <x:c r="K560" s="28" t="n">
        <x:v>2200000</x:v>
      </x:c>
      <x:c r="L560" s="28" t="n">
        <x:v>3000000</x:v>
      </x:c>
      <x:c r="M560" s="28" t="n">
        <x:v>440000</x:v>
      </x:c>
      <x:c r="N560" s="28" t="n">
        <x:v>370000</x:v>
      </x:c>
      <x:c r="O560" s="28" t="n">
        <x:v>302</x:v>
      </x:c>
      <x:c r="P560" s="28" t="n">
        <x:v>1600</x:v>
      </x:c>
      <x:c r="Q560" s="28" t="n">
        <x:v>1700</x:v>
      </x:c>
      <x:c r="R560" s="22"/>
      <x:c r="S560" s="22"/>
      <x:c r="T560" s="22" t="str">
        <x:v>64位值核对</x:v>
      </x:c>
    </x:row>
    <x:row r="561" ht="24" customHeight="1">
      <x:c r="A561" s="22" t="str">
        <x:v>C10-M057</x:v>
      </x:c>
      <x:c r="B561" s="22" t="n">
        <x:v>10</x:v>
      </x:c>
      <x:c r="C561" s="22" t="str">
        <x:v>黄金王宫</x:v>
      </x:c>
      <x:c r="D561" s="22" t="str">
        <x:v>稀有</x:v>
      </x:c>
      <x:c r="E561" s="22" t="str">
        <x:v>深殿缄律书记</x:v>
      </x:c>
      <x:c r="F561" s="22" t="str">
        <x:v>XX463</x:v>
      </x:c>
      <x:c r="G561" s="22" t="str">
        <x:v>P0322</x:v>
      </x:c>
      <x:c r="H561" s="22" t="n">
        <x:v>21.6</x:v>
      </x:c>
      <x:c r="I561" s="28" t="n">
        <x:v>12651462878.534758</x:v>
      </x:c>
      <x:c r="J561" s="28" t="n">
        <x:f>ROUND(H561*I561,-MAX(0,INT(LOG10(H561*I561))-1))</x:f>
        <x:v>270000000000</x:v>
      </x:c>
      <x:c r="K561" s="28" t="n">
        <x:v>2200000</x:v>
      </x:c>
      <x:c r="L561" s="28" t="n">
        <x:v>3000000</x:v>
      </x:c>
      <x:c r="M561" s="28" t="n">
        <x:v>440000</x:v>
      </x:c>
      <x:c r="N561" s="28" t="n">
        <x:v>370000</x:v>
      </x:c>
      <x:c r="O561" s="28" t="n">
        <x:v>302</x:v>
      </x:c>
      <x:c r="P561" s="28" t="n">
        <x:v>1600</x:v>
      </x:c>
      <x:c r="Q561" s="28" t="n">
        <x:v>1700</x:v>
      </x:c>
      <x:c r="R561" s="22"/>
      <x:c r="S561" s="22"/>
      <x:c r="T561" s="22" t="str">
        <x:v>64位值核对</x:v>
      </x:c>
    </x:row>
    <x:row r="562" ht="24" customHeight="1">
      <x:c r="A562" s="22" t="str">
        <x:v>C10-M058</x:v>
      </x:c>
      <x:c r="B562" s="22" t="n">
        <x:v>10</x:v>
      </x:c>
      <x:c r="C562" s="22" t="str">
        <x:v>黄金王宫</x:v>
      </x:c>
      <x:c r="D562" s="22" t="str">
        <x:v>稀有</x:v>
      </x:c>
      <x:c r="E562" s="22" t="str">
        <x:v>前厅无声执冠官</x:v>
      </x:c>
      <x:c r="F562" s="22" t="str">
        <x:v>XX370</x:v>
      </x:c>
      <x:c r="G562" s="22" t="str">
        <x:v>P0322</x:v>
      </x:c>
      <x:c r="H562" s="22" t="n">
        <x:v>22.799999999999997</x:v>
      </x:c>
      <x:c r="I562" s="28" t="n">
        <x:v>12651462878.534758</x:v>
      </x:c>
      <x:c r="J562" s="28" t="n">
        <x:f>ROUND(H562*I562,-MAX(0,INT(LOG10(H562*I562))-1))</x:f>
        <x:v>290000000000</x:v>
      </x:c>
      <x:c r="K562" s="28" t="n">
        <x:v>2200000</x:v>
      </x:c>
      <x:c r="L562" s="28" t="n">
        <x:v>3000000</x:v>
      </x:c>
      <x:c r="M562" s="28" t="n">
        <x:v>440000</x:v>
      </x:c>
      <x:c r="N562" s="28" t="n">
        <x:v>370000</x:v>
      </x:c>
      <x:c r="O562" s="28" t="n">
        <x:v>302</x:v>
      </x:c>
      <x:c r="P562" s="28" t="n">
        <x:v>1600</x:v>
      </x:c>
      <x:c r="Q562" s="28" t="n">
        <x:v>1700</x:v>
      </x:c>
      <x:c r="R562" s="22"/>
      <x:c r="S562" s="22"/>
      <x:c r="T562" s="22" t="str">
        <x:v>64位值核对</x:v>
      </x:c>
    </x:row>
    <x:row r="563" ht="24" customHeight="1">
      <x:c r="A563" s="22" t="str">
        <x:v>C10-M059</x:v>
      </x:c>
      <x:c r="B563" s="22" t="n">
        <x:v>10</x:v>
      </x:c>
      <x:c r="C563" s="22" t="str">
        <x:v>黄金王宫</x:v>
      </x:c>
      <x:c r="D563" s="22" t="str">
        <x:v>地图BOSS</x:v>
      </x:c>
      <x:c r="E563" s="22" t="str">
        <x:v>碎日门的黄金禁卫</x:v>
      </x:c>
      <x:c r="F563" s="22" t="str">
        <x:v>XX370</x:v>
      </x:c>
      <x:c r="G563" s="22" t="str">
        <x:v>P0329</x:v>
      </x:c>
      <x:c r="H563" s="22" t="n">
        <x:v>82.5</x:v>
      </x:c>
      <x:c r="I563" s="28" t="n">
        <x:v>43865240739.94772</x:v>
      </x:c>
      <x:c r="J563" s="28" t="n">
        <x:f>ROUND(H563*I563,-MAX(0,INT(LOG10(H563*I563))-1))</x:f>
        <x:v>3600000000000</x:v>
      </x:c>
      <x:c r="K563" s="28" t="n">
        <x:v>3400000</x:v>
      </x:c>
      <x:c r="L563" s="28" t="n">
        <x:v>4600000</x:v>
      </x:c>
      <x:c r="M563" s="28" t="n">
        <x:v>680000</x:v>
      </x:c>
      <x:c r="N563" s="28" t="n">
        <x:v>580000</x:v>
      </x:c>
      <x:c r="O563" s="28" t="n">
        <x:v>302</x:v>
      </x:c>
      <x:c r="P563" s="28" t="n">
        <x:v>6200</x:v>
      </x:c>
      <x:c r="Q563" s="28" t="n">
        <x:v>1800</x:v>
      </x:c>
      <x:c r="R563" s="22"/>
      <x:c r="S563" s="22"/>
      <x:c r="T563" s="22" t="str">
        <x:v>64位值核对</x:v>
      </x:c>
    </x:row>
    <x:row r="564" ht="24" customHeight="1">
      <x:c r="A564" s="22" t="str">
        <x:v>C10-M060</x:v>
      </x:c>
      <x:c r="B564" s="22" t="n">
        <x:v>10</x:v>
      </x:c>
      <x:c r="C564" s="22" t="str">
        <x:v>黄金王宫</x:v>
      </x:c>
      <x:c r="D564" s="22" t="str">
        <x:v>地图BOSS</x:v>
      </x:c>
      <x:c r="E564" s="22" t="str">
        <x:v>永辉帷后的空王</x:v>
      </x:c>
      <x:c r="F564" s="22" t="str">
        <x:v>XX386</x:v>
      </x:c>
      <x:c r="G564" s="22" t="str">
        <x:v>P0330</x:v>
      </x:c>
      <x:c r="H564" s="22" t="n">
        <x:v>67.5</x:v>
      </x:c>
      <x:c r="I564" s="28" t="n">
        <x:v>31932389053.13266</x:v>
      </x:c>
      <x:c r="J564" s="28" t="n">
        <x:f>ROUND(H564*I564,-MAX(0,INT(LOG10(H564*I564))-1))</x:f>
        <x:v>2200000000000</x:v>
      </x:c>
      <x:c r="K564" s="28" t="n">
        <x:v>800000</x:v>
      </x:c>
      <x:c r="L564" s="28" t="n">
        <x:v>1100000</x:v>
      </x:c>
      <x:c r="M564" s="28" t="n">
        <x:v>680000</x:v>
      </x:c>
      <x:c r="N564" s="28" t="n">
        <x:v>580000</x:v>
      </x:c>
      <x:c r="O564" s="28" t="n">
        <x:v>302</x:v>
      </x:c>
      <x:c r="P564" s="28" t="n">
        <x:v>6200</x:v>
      </x:c>
      <x:c r="Q564" s="28" t="n">
        <x:v>1800</x:v>
      </x:c>
      <x:c r="R564" s="22"/>
      <x:c r="S564" s="22"/>
      <x:c r="T564" s="22" t="str">
        <x:v>64位值核对</x:v>
      </x:c>
    </x:row>
    <x:row r="565" ht="24" customHeight="1">
      <x:c r="A565" s="22" t="str">
        <x:v>C10-M061</x:v>
      </x:c>
      <x:c r="B565" s="22" t="n">
        <x:v>10</x:v>
      </x:c>
      <x:c r="C565" s="22" t="str">
        <x:v>黄金王宫</x:v>
      </x:c>
      <x:c r="D565" s="22" t="str">
        <x:v>守关BOSS</x:v>
      </x:c>
      <x:c r="E565" s="22" t="str">
        <x:v>万冠终审者·萨洛恩</x:v>
      </x:c>
      <x:c r="F565" s="22" t="str">
        <x:v>XX386</x:v>
      </x:c>
      <x:c r="G565" s="22" t="str">
        <x:v>P0334</x:v>
      </x:c>
      <x:c r="H565" s="22" t="n">
        <x:v>420</x:v>
      </x:c>
      <x:c r="I565" s="28" t="n">
        <x:v>54254934871.88214</x:v>
      </x:c>
      <x:c r="J565" s="28" t="n">
        <x:f>ROUND(H565*I565,-MAX(0,INT(LOG10(H565*I565))-1))</x:f>
        <x:v>23000000000000</x:v>
      </x:c>
      <x:c r="K565" s="28" t="n">
        <x:v>28000000</x:v>
      </x:c>
      <x:c r="L565" s="28" t="n">
        <x:v>37000000</x:v>
      </x:c>
      <x:c r="M565" s="28" t="n">
        <x:v>940000</x:v>
      </x:c>
      <x:c r="N565" s="28" t="n">
        <x:v>800000</x:v>
      </x:c>
      <x:c r="O565" s="28" t="n">
        <x:v>302</x:v>
      </x:c>
      <x:c r="P565" s="28" t="n">
        <x:v>16000</x:v>
      </x:c>
      <x:c r="Q565" s="28" t="n">
        <x:v>2000</x:v>
      </x:c>
      <x:c r="R565" s="22"/>
      <x:c r="S565" s="22"/>
      <x:c r="T565" s="22" t="str">
        <x:v>64位值核对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5" hidden="0" customWidth="1"/>
    <x:col min="3" max="3" width="8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55" hidden="0" customWidth="1"/>
    <x:col min="9" max="9" width="58" hidden="0" customWidth="1"/>
  </x:cols>
  <x:sheetData>
    <x:row r="1" ht="32" customHeight="1">
      <x:c r="A1" s="3" t="str">
        <x:v>一张地图一组韧性/处决要求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8" t="str">
        <x:v>韧性不足只带来被处决概率与额外承伤；不擅自加入眩晕、打断吸血或BOSS专有地图变量。C1尚有11个正式地图号需从服务器映射。</x:v>
      </x:c>
      <x:c r="B2" s="8"/>
      <x:c r="C2" s="8"/>
      <x:c r="D2" s="8"/>
      <x:c r="E2" s="8"/>
      <x:c r="F2" s="8"/>
      <x:c r="G2" s="8"/>
      <x:c r="H2" s="8"/>
      <x:c r="I2" s="8"/>
    </x:row>
    <x:row r="4" ht="30" customHeight="1">
      <x:c r="A4" s="15" t="str">
        <x:v>地图键</x:v>
      </x:c>
      <x:c r="B4" s="15" t="str">
        <x:v>正式地图号</x:v>
      </x:c>
      <x:c r="C4" s="15" t="str">
        <x:v>大陆</x:v>
      </x:c>
      <x:c r="D4" s="15" t="str">
        <x:v>地图组</x:v>
      </x:c>
      <x:c r="E4" s="15" t="str">
        <x:v>韧性要求</x:v>
      </x:c>
      <x:c r="F4" s="15" t="str">
        <x:v>处决要求</x:v>
      </x:c>
      <x:c r="G4" s="15" t="str">
        <x:v>住民种数</x:v>
      </x:c>
      <x:c r="H4" s="15" t="str">
        <x:v>住民ID</x:v>
      </x:c>
      <x:c r="I4" s="15" t="str">
        <x:v>规则</x:v>
      </x:c>
    </x:row>
    <x:row r="5" ht="24" customHeight="1">
      <x:c r="A5" s="22" t="str">
        <x:v>C01:失乡者海岸:1层</x:v>
      </x:c>
      <x:c r="B5" s="22"/>
      <x:c r="C5" s="22" t="n">
        <x:v>1</x:v>
      </x:c>
      <x:c r="D5" s="22" t="str">
        <x:v>失乡者海岸</x:v>
      </x:c>
      <x:c r="E5" s="22" t="n">
        <x:v>40</x:v>
      </x:c>
      <x:c r="F5" s="22" t="n">
        <x:v>4</x:v>
      </x:c>
      <x:c r="G5" s="22" t="n">
        <x:v>4</x:v>
      </x:c>
      <x:c r="H5" s="22" t="str">
        <x:v>EL-MON-SEA-001、EL-MON-SEA-002、EL-MON-SEA-003、EL-MON-SEA-006</x:v>
      </x:c>
      <x:c r="I5" s="22" t="str">
        <x:v>地图共享；韧性不足只提高受处决概率/额外承伤，不自动造成眩晕或停手</x:v>
      </x:c>
    </x:row>
    <x:row r="6" ht="24" customHeight="1">
      <x:c r="A6" s="22" t="str">
        <x:v>C01:失乡者海岸:2层</x:v>
      </x:c>
      <x:c r="B6" s="22"/>
      <x:c r="C6" s="22" t="n">
        <x:v>1</x:v>
      </x:c>
      <x:c r="D6" s="22" t="str">
        <x:v>失乡者海岸</x:v>
      </x:c>
      <x:c r="E6" s="22" t="n">
        <x:v>40</x:v>
      </x:c>
      <x:c r="F6" s="22" t="n">
        <x:v>4</x:v>
      </x:c>
      <x:c r="G6" s="22" t="n">
        <x:v>7</x:v>
      </x:c>
      <x:c r="H6" s="22" t="str">
        <x:v>EL-MON-SEA-003、EL-MON-SEA-004、EL-MON-SEA-005、EL-MON-SEA-006、EL-MON-SEA-007、EL-MON-SEA-008、EL-MON-SEA-010</x:v>
      </x:c>
      <x:c r="I6" s="22" t="str">
        <x:v>地图共享；韧性不足只提高受处决概率/额外承伤，不自动造成眩晕或停手</x:v>
      </x:c>
    </x:row>
    <x:row r="7" ht="24" customHeight="1">
      <x:c r="A7" s="22" t="str">
        <x:v>C01:失乡者海岸:3层</x:v>
      </x:c>
      <x:c r="B7" s="22"/>
      <x:c r="C7" s="22" t="n">
        <x:v>1</x:v>
      </x:c>
      <x:c r="D7" s="22" t="str">
        <x:v>失乡者海岸</x:v>
      </x:c>
      <x:c r="E7" s="22" t="n">
        <x:v>40</x:v>
      </x:c>
      <x:c r="F7" s="22" t="n">
        <x:v>4</x:v>
      </x:c>
      <x:c r="G7" s="22" t="n">
        <x:v>4</x:v>
      </x:c>
      <x:c r="H7" s="22" t="str">
        <x:v>EL-MON-SEA-005、EL-MON-SEA-008、EL-MON-SEA-009、EL-MON-SEA-011</x:v>
      </x:c>
      <x:c r="I7" s="22" t="str">
        <x:v>地图共享；韧性不足只提高受处决概率/额外承伤，不自动造成眩晕或停手</x:v>
      </x:c>
    </x:row>
    <x:row r="8" ht="24" customHeight="1">
      <x:c r="A8" s="22" t="str">
        <x:v>C01:风暴断崖:1层</x:v>
      </x:c>
      <x:c r="B8" s="22"/>
      <x:c r="C8" s="22" t="n">
        <x:v>1</x:v>
      </x:c>
      <x:c r="D8" s="22" t="str">
        <x:v>风暴断崖</x:v>
      </x:c>
      <x:c r="E8" s="22" t="n">
        <x:v>65</x:v>
      </x:c>
      <x:c r="F8" s="22" t="n">
        <x:v>4</x:v>
      </x:c>
      <x:c r="G8" s="22" t="n">
        <x:v>4</x:v>
      </x:c>
      <x:c r="H8" s="22" t="str">
        <x:v>EL-MON-CLIFF-001、EL-MON-CLIFF-002、EL-MON-CLIFF-003、EL-MON-CLIFF-007</x:v>
      </x:c>
      <x:c r="I8" s="22" t="str">
        <x:v>地图共享；韧性不足只提高受处决概率/额外承伤，不自动造成眩晕或停手</x:v>
      </x:c>
    </x:row>
    <x:row r="9" ht="24" customHeight="1">
      <x:c r="A9" s="22" t="str">
        <x:v>C01:风暴断崖:2层</x:v>
      </x:c>
      <x:c r="B9" s="22"/>
      <x:c r="C9" s="22" t="n">
        <x:v>1</x:v>
      </x:c>
      <x:c r="D9" s="22" t="str">
        <x:v>风暴断崖</x:v>
      </x:c>
      <x:c r="E9" s="22" t="n">
        <x:v>65</x:v>
      </x:c>
      <x:c r="F9" s="22" t="n">
        <x:v>4</x:v>
      </x:c>
      <x:c r="G9" s="22" t="n">
        <x:v>7</x:v>
      </x:c>
      <x:c r="H9" s="22" t="str">
        <x:v>EL-MON-CLIFF-001、EL-MON-CLIFF-002、EL-MON-CLIFF-003、EL-MON-CLIFF-004、EL-MON-CLIFF-005、EL-MON-CLIFF-007、EL-MON-CLIFF-008</x:v>
      </x:c>
      <x:c r="I9" s="22" t="str">
        <x:v>地图共享；韧性不足只提高受处决概率/额外承伤，不自动造成眩晕或停手</x:v>
      </x:c>
    </x:row>
    <x:row r="10" ht="24" customHeight="1">
      <x:c r="A10" s="22" t="str">
        <x:v>C01:风暴断崖:3层</x:v>
      </x:c>
      <x:c r="B10" s="22"/>
      <x:c r="C10" s="22" t="n">
        <x:v>1</x:v>
      </x:c>
      <x:c r="D10" s="22" t="str">
        <x:v>风暴断崖</x:v>
      </x:c>
      <x:c r="E10" s="22" t="n">
        <x:v>65</x:v>
      </x:c>
      <x:c r="F10" s="22" t="n">
        <x:v>4</x:v>
      </x:c>
      <x:c r="G10" s="22" t="n">
        <x:v>9</x:v>
      </x:c>
      <x:c r="H10" s="22" t="str">
        <x:v>EL-MON-CLIFF-001、EL-MON-CLIFF-002、EL-MON-CLIFF-003、EL-MON-CLIFF-004、EL-MON-CLIFF-005、EL-MON-CLIFF-006、EL-MON-CLIFF-008、EL-MON-CLIFF-009、EL-MON-CLIFF-011</x:v>
      </x:c>
      <x:c r="I10" s="22" t="str">
        <x:v>地图共享；韧性不足只提高受处决概率/额外承伤，不自动造成眩晕或停手</x:v>
      </x:c>
    </x:row>
    <x:row r="11" ht="24" customHeight="1">
      <x:c r="A11" s="22" t="str">
        <x:v>C01:风暴断崖:4层</x:v>
      </x:c>
      <x:c r="B11" s="22"/>
      <x:c r="C11" s="22" t="n">
        <x:v>1</x:v>
      </x:c>
      <x:c r="D11" s="22" t="str">
        <x:v>风暴断崖</x:v>
      </x:c>
      <x:c r="E11" s="22" t="n">
        <x:v>65</x:v>
      </x:c>
      <x:c r="F11" s="22" t="n">
        <x:v>4</x:v>
      </x:c>
      <x:c r="G11" s="22" t="n">
        <x:v>9</x:v>
      </x:c>
      <x:c r="H11" s="22" t="str">
        <x:v>EL-MON-CLIFF-001、EL-MON-CLIFF-002、EL-MON-CLIFF-003、EL-MON-CLIFF-004、EL-MON-CLIFF-005、EL-MON-CLIFF-006、EL-MON-CLIFF-009、EL-MON-CLIFF-010、EL-MON-CLIFF-012</x:v>
      </x:c>
      <x:c r="I11" s="22" t="str">
        <x:v>地图共享；韧性不足只提高受处决概率/额外承伤，不自动造成眩晕或停手</x:v>
      </x:c>
    </x:row>
    <x:row r="12" ht="24" customHeight="1">
      <x:c r="A12" s="22" t="str">
        <x:v>C01:沉没王庭:1层</x:v>
      </x:c>
      <x:c r="B12" s="22"/>
      <x:c r="C12" s="22" t="n">
        <x:v>1</x:v>
      </x:c>
      <x:c r="D12" s="22" t="str">
        <x:v>沉没王庭</x:v>
      </x:c>
      <x:c r="E12" s="22" t="n">
        <x:v>90</x:v>
      </x:c>
      <x:c r="F12" s="22" t="n">
        <x:v>4</x:v>
      </x:c>
      <x:c r="G12" s="22" t="n">
        <x:v>4</x:v>
      </x:c>
      <x:c r="H12" s="22" t="str">
        <x:v>EL-MON-COURT-001、EL-MON-COURT-002、EL-MON-COURT-003、EL-MON-COURT-007</x:v>
      </x:c>
      <x:c r="I12" s="22" t="str">
        <x:v>地图共享；韧性不足只提高受处决概率/额外承伤，不自动造成眩晕或停手</x:v>
      </x:c>
    </x:row>
    <x:row r="13" ht="24" customHeight="1">
      <x:c r="A13" s="22" t="str">
        <x:v>C01:沉没王庭:2层</x:v>
      </x:c>
      <x:c r="B13" s="22"/>
      <x:c r="C13" s="22" t="n">
        <x:v>1</x:v>
      </x:c>
      <x:c r="D13" s="22" t="str">
        <x:v>沉没王庭</x:v>
      </x:c>
      <x:c r="E13" s="22" t="n">
        <x:v>90</x:v>
      </x:c>
      <x:c r="F13" s="22" t="n">
        <x:v>4</x:v>
      </x:c>
      <x:c r="G13" s="22" t="n">
        <x:v>8</x:v>
      </x:c>
      <x:c r="H13" s="22" t="str">
        <x:v>EL-MON-COURT-001、EL-MON-COURT-002、EL-MON-COURT-003、EL-MON-COURT-004、EL-MON-COURT-005、EL-MON-COURT-007、EL-MON-COURT-008、EL-MON-COURT-011</x:v>
      </x:c>
      <x:c r="I13" s="22" t="str">
        <x:v>地图共享；韧性不足只提高受处决概率/额外承伤，不自动造成眩晕或停手</x:v>
      </x:c>
    </x:row>
    <x:row r="14" ht="24" customHeight="1">
      <x:c r="A14" s="22" t="str">
        <x:v>C01:沉没王庭:3层</x:v>
      </x:c>
      <x:c r="B14" s="22"/>
      <x:c r="C14" s="22" t="n">
        <x:v>1</x:v>
      </x:c>
      <x:c r="D14" s="22" t="str">
        <x:v>沉没王庭</x:v>
      </x:c>
      <x:c r="E14" s="22" t="n">
        <x:v>90</x:v>
      </x:c>
      <x:c r="F14" s="22" t="n">
        <x:v>4</x:v>
      </x:c>
      <x:c r="G14" s="22" t="n">
        <x:v>10</x:v>
      </x:c>
      <x:c r="H14" s="22" t="str">
        <x:v>EL-MON-COURT-001、EL-MON-COURT-002、EL-MON-COURT-003、EL-MON-COURT-004、EL-MON-COURT-005、EL-MON-COURT-006、EL-MON-COURT-008、EL-MON-COURT-009、EL-MON-COURT-010、EL-MON-COURT-012</x:v>
      </x:c>
      <x:c r="I14" s="22" t="str">
        <x:v>地图共享；韧性不足只提高受处决概率/额外承伤，不自动造成眩晕或停手</x:v>
      </x:c>
    </x:row>
    <x:row r="15" ht="24" customHeight="1">
      <x:c r="A15" s="22" t="str">
        <x:v>C01:沉没王庭:4层</x:v>
      </x:c>
      <x:c r="B15" s="22"/>
      <x:c r="C15" s="22" t="n">
        <x:v>1</x:v>
      </x:c>
      <x:c r="D15" s="22" t="str">
        <x:v>沉没王庭</x:v>
      </x:c>
      <x:c r="E15" s="22" t="n">
        <x:v>125</x:v>
      </x:c>
      <x:c r="F15" s="22" t="n">
        <x:v>6</x:v>
      </x:c>
      <x:c r="G15" s="22" t="n">
        <x:v>1</x:v>
      </x:c>
      <x:c r="H15" s="22" t="str">
        <x:v>EL-MON-COURT-013</x:v>
      </x:c>
      <x:c r="I15" s="22" t="str">
        <x:v>地图共享；韧性不足只提高受处决概率/额外承伤，不自动造成眩晕或停手</x:v>
      </x:c>
    </x:row>
    <x:row r="16" ht="24" customHeight="1">
      <x:c r="A16" s="22" t="str">
        <x:v>XX346</x:v>
      </x:c>
      <x:c r="B16" s="22" t="str">
        <x:v>XX346</x:v>
      </x:c>
      <x:c r="C16" s="22" t="n">
        <x:v>2</x:v>
      </x:c>
      <x:c r="D16" s="22" t="str">
        <x:v>漂流墓地</x:v>
      </x:c>
      <x:c r="E16" s="22" t="n">
        <x:v>175</x:v>
      </x:c>
      <x:c r="F16" s="22" t="n">
        <x:v>5</x:v>
      </x:c>
      <x:c r="G16" s="22" t="n">
        <x:v>5</x:v>
      </x:c>
      <x:c r="H16" s="22" t="str">
        <x:v>EL-MON-LIM-GRAVE-001、EL-MON-LIM-GRAVE-002、EL-MON-LIM-GRAVE-003、EL-MON-LIM-GRAVE-004、EL-MON-LIM-GRAVE-007</x:v>
      </x:c>
      <x:c r="I16" s="22" t="str">
        <x:v>地图共享；韧性不足只提高受处决概率/额外承伤，不自动造成眩晕或停手</x:v>
      </x:c>
    </x:row>
    <x:row r="17" ht="24" customHeight="1">
      <x:c r="A17" s="22" t="str">
        <x:v>XX347</x:v>
      </x:c>
      <x:c r="B17" s="22" t="str">
        <x:v>XX347</x:v>
      </x:c>
      <x:c r="C17" s="22" t="n">
        <x:v>2</x:v>
      </x:c>
      <x:c r="D17" s="22" t="str">
        <x:v>漂流墓地</x:v>
      </x:c>
      <x:c r="E17" s="22" t="n">
        <x:v>175</x:v>
      </x:c>
      <x:c r="F17" s="22" t="n">
        <x:v>5</x:v>
      </x:c>
      <x:c r="G17" s="22" t="n">
        <x:v>7</x:v>
      </x:c>
      <x:c r="H17" s="22" t="str">
        <x:v>EL-MON-LIM-GRAVE-003、EL-MON-LIM-GRAVE-004、EL-MON-LIM-GRAVE-005、EL-MON-LIM-GRAVE-006、EL-MON-LIM-GRAVE-007、EL-MON-LIM-GRAVE-008、EL-MON-LIM-GRAVE-009</x:v>
      </x:c>
      <x:c r="I17" s="22" t="str">
        <x:v>地图共享；韧性不足只提高受处决概率/额外承伤，不自动造成眩晕或停手</x:v>
      </x:c>
    </x:row>
    <x:row r="18" ht="24" customHeight="1">
      <x:c r="A18" s="22" t="str">
        <x:v>XX348</x:v>
      </x:c>
      <x:c r="B18" s="22" t="str">
        <x:v>XX348</x:v>
      </x:c>
      <x:c r="C18" s="22" t="n">
        <x:v>2</x:v>
      </x:c>
      <x:c r="D18" s="22" t="str">
        <x:v>漂流墓地</x:v>
      </x:c>
      <x:c r="E18" s="22" t="n">
        <x:v>175</x:v>
      </x:c>
      <x:c r="F18" s="22" t="n">
        <x:v>5</x:v>
      </x:c>
      <x:c r="G18" s="22" t="n">
        <x:v>6</x:v>
      </x:c>
      <x:c r="H18" s="22" t="str">
        <x:v>EL-MON-LIM-GRAVE-005、EL-MON-LIM-GRAVE-006、EL-MON-LIM-GRAVE-009、EL-MON-LIM-GRAVE-010、EL-MON-LIM-GRAVE-011、EL-MON-LIM-GRAVE-012</x:v>
      </x:c>
      <x:c r="I18" s="22" t="str">
        <x:v>地图共享；韧性不足只提高受处决概率/额外承伤，不自动造成眩晕或停手</x:v>
      </x:c>
    </x:row>
    <x:row r="19" ht="24" customHeight="1">
      <x:c r="A19" s="22" t="str">
        <x:v>XX125</x:v>
      </x:c>
      <x:c r="B19" s="22" t="str">
        <x:v>XX125</x:v>
      </x:c>
      <x:c r="C19" s="22" t="n">
        <x:v>2</x:v>
      </x:c>
      <x:c r="D19" s="22" t="str">
        <x:v>关卡前废墟</x:v>
      </x:c>
      <x:c r="E19" s="22" t="n">
        <x:v>230</x:v>
      </x:c>
      <x:c r="F19" s="22" t="n">
        <x:v>5</x:v>
      </x:c>
      <x:c r="G19" s="22" t="n">
        <x:v>5</x:v>
      </x:c>
      <x:c r="H19" s="22" t="str">
        <x:v>EL-MON-LIM-GATE-001、EL-MON-LIM-GATE-002、EL-MON-LIM-GATE-003、EL-MON-LIM-GATE-004、EL-MON-LIM-GATE-007</x:v>
      </x:c>
      <x:c r="I19" s="22" t="str">
        <x:v>地图共享；韧性不足只提高受处决概率/额外承伤，不自动造成眩晕或停手</x:v>
      </x:c>
    </x:row>
    <x:row r="20" ht="24" customHeight="1">
      <x:c r="A20" s="22" t="str">
        <x:v>XX126</x:v>
      </x:c>
      <x:c r="B20" s="22" t="str">
        <x:v>XX126</x:v>
      </x:c>
      <x:c r="C20" s="22" t="n">
        <x:v>2</x:v>
      </x:c>
      <x:c r="D20" s="22" t="str">
        <x:v>关卡前废墟</x:v>
      </x:c>
      <x:c r="E20" s="22" t="n">
        <x:v>230</x:v>
      </x:c>
      <x:c r="F20" s="22" t="n">
        <x:v>5</x:v>
      </x:c>
      <x:c r="G20" s="22" t="n">
        <x:v>7</x:v>
      </x:c>
      <x:c r="H20" s="22" t="str">
        <x:v>EL-MON-LIM-GATE-003、EL-MON-LIM-GATE-004、EL-MON-LIM-GATE-005、EL-MON-LIM-GATE-006、EL-MON-LIM-GATE-007、EL-MON-LIM-GATE-008、EL-MON-LIM-GATE-009</x:v>
      </x:c>
      <x:c r="I20" s="22" t="str">
        <x:v>地图共享；韧性不足只提高受处决概率/额外承伤，不自动造成眩晕或停手</x:v>
      </x:c>
    </x:row>
    <x:row r="21" ht="24" customHeight="1">
      <x:c r="A21" s="22" t="str">
        <x:v>XX115</x:v>
      </x:c>
      <x:c r="B21" s="22" t="str">
        <x:v>XX115</x:v>
      </x:c>
      <x:c r="C21" s="22" t="n">
        <x:v>2</x:v>
      </x:c>
      <x:c r="D21" s="22" t="str">
        <x:v>关卡前废墟</x:v>
      </x:c>
      <x:c r="E21" s="22" t="n">
        <x:v>230</x:v>
      </x:c>
      <x:c r="F21" s="22" t="n">
        <x:v>5</x:v>
      </x:c>
      <x:c r="G21" s="22" t="n">
        <x:v>6</x:v>
      </x:c>
      <x:c r="H21" s="22" t="str">
        <x:v>EL-MON-LIM-GATE-005、EL-MON-LIM-GATE-006、EL-MON-LIM-GATE-009、EL-MON-LIM-GATE-010、EL-MON-LIM-GATE-011、EL-MON-LIM-GATE-012</x:v>
      </x:c>
      <x:c r="I21" s="22" t="str">
        <x:v>地图共享；韧性不足只提高受处决概率/额外承伤，不自动造成眩晕或停手</x:v>
      </x:c>
    </x:row>
    <x:row r="22" ht="24" customHeight="1">
      <x:c r="A22" s="22" t="str">
        <x:v>XX171</x:v>
      </x:c>
      <x:c r="B22" s="22" t="str">
        <x:v>XX171</x:v>
      </x:c>
      <x:c r="C22" s="22" t="n">
        <x:v>2</x:v>
      </x:c>
      <x:c r="D22" s="22" t="str">
        <x:v>迷雾丛林</x:v>
      </x:c>
      <x:c r="E22" s="22" t="n">
        <x:v>260</x:v>
      </x:c>
      <x:c r="F22" s="22" t="n">
        <x:v>5</x:v>
      </x:c>
      <x:c r="G22" s="22" t="n">
        <x:v>5</x:v>
      </x:c>
      <x:c r="H22" s="22" t="str">
        <x:v>EL-MON-LIM-MIST-001、EL-MON-LIM-MIST-002、EL-MON-LIM-MIST-003、EL-MON-LIM-MIST-004、EL-MON-LIM-MIST-007</x:v>
      </x:c>
      <x:c r="I22" s="22" t="str">
        <x:v>地图共享；韧性不足只提高受处决概率/额外承伤，不自动造成眩晕或停手</x:v>
      </x:c>
    </x:row>
    <x:row r="23" ht="24" customHeight="1">
      <x:c r="A23" s="22" t="str">
        <x:v>XX170</x:v>
      </x:c>
      <x:c r="B23" s="22" t="str">
        <x:v>XX170</x:v>
      </x:c>
      <x:c r="C23" s="22" t="n">
        <x:v>2</x:v>
      </x:c>
      <x:c r="D23" s="22" t="str">
        <x:v>迷雾丛林</x:v>
      </x:c>
      <x:c r="E23" s="22" t="n">
        <x:v>260</x:v>
      </x:c>
      <x:c r="F23" s="22" t="n">
        <x:v>5</x:v>
      </x:c>
      <x:c r="G23" s="22" t="n">
        <x:v>7</x:v>
      </x:c>
      <x:c r="H23" s="22" t="str">
        <x:v>EL-MON-LIM-MIST-002、EL-MON-LIM-MIST-004、EL-MON-LIM-MIST-005、EL-MON-LIM-MIST-006、EL-MON-LIM-MIST-007、EL-MON-LIM-MIST-008、EL-MON-LIM-MIST-009</x:v>
      </x:c>
      <x:c r="I23" s="22" t="str">
        <x:v>地图共享；韧性不足只提高受处决概率/额外承伤，不自动造成眩晕或停手</x:v>
      </x:c>
    </x:row>
    <x:row r="24" ht="24" customHeight="1">
      <x:c r="A24" s="22" t="str">
        <x:v>XX167</x:v>
      </x:c>
      <x:c r="B24" s="22" t="str">
        <x:v>XX167</x:v>
      </x:c>
      <x:c r="C24" s="22" t="n">
        <x:v>2</x:v>
      </x:c>
      <x:c r="D24" s="22" t="str">
        <x:v>迷雾丛林</x:v>
      </x:c>
      <x:c r="E24" s="22" t="n">
        <x:v>260</x:v>
      </x:c>
      <x:c r="F24" s="22" t="n">
        <x:v>5</x:v>
      </x:c>
      <x:c r="G24" s="22" t="n">
        <x:v>6</x:v>
      </x:c>
      <x:c r="H24" s="22" t="str">
        <x:v>EL-MON-LIM-MIST-005、EL-MON-LIM-MIST-006、EL-MON-LIM-MIST-009、EL-MON-LIM-MIST-010、EL-MON-LIM-MIST-011、EL-MON-LIM-MIST-012</x:v>
      </x:c>
      <x:c r="I24" s="22" t="str">
        <x:v>地图共享；韧性不足只提高受处决概率/额外承伤，不自动造成眩晕或停手</x:v>
      </x:c>
    </x:row>
    <x:row r="25" ht="24" customHeight="1">
      <x:c r="A25" s="22" t="str">
        <x:v>XX248</x:v>
      </x:c>
      <x:c r="B25" s="22" t="str">
        <x:v>XX248</x:v>
      </x:c>
      <x:c r="C25" s="22" t="n">
        <x:v>2</x:v>
      </x:c>
      <x:c r="D25" s="22" t="str">
        <x:v>风暴山谷</x:v>
      </x:c>
      <x:c r="E25" s="22" t="n">
        <x:v>305</x:v>
      </x:c>
      <x:c r="F25" s="22" t="n">
        <x:v>5</x:v>
      </x:c>
      <x:c r="G25" s="22" t="n">
        <x:v>5</x:v>
      </x:c>
      <x:c r="H25" s="22" t="str">
        <x:v>EL-MON-LIM-STORM-001、EL-MON-LIM-STORM-002、EL-MON-LIM-STORM-003、EL-MON-LIM-STORM-004、EL-MON-LIM-STORM-007</x:v>
      </x:c>
      <x:c r="I25" s="22" t="str">
        <x:v>地图共享；韧性不足只提高受处决概率/额外承伤，不自动造成眩晕或停手</x:v>
      </x:c>
    </x:row>
    <x:row r="26" ht="24" customHeight="1">
      <x:c r="A26" s="22" t="str">
        <x:v>XX246</x:v>
      </x:c>
      <x:c r="B26" s="22" t="str">
        <x:v>XX246</x:v>
      </x:c>
      <x:c r="C26" s="22" t="n">
        <x:v>2</x:v>
      </x:c>
      <x:c r="D26" s="22" t="str">
        <x:v>风暴山谷</x:v>
      </x:c>
      <x:c r="E26" s="22" t="n">
        <x:v>305</x:v>
      </x:c>
      <x:c r="F26" s="22" t="n">
        <x:v>5</x:v>
      </x:c>
      <x:c r="G26" s="22" t="n">
        <x:v>7</x:v>
      </x:c>
      <x:c r="H26" s="22" t="str">
        <x:v>EL-MON-LIM-STORM-003、EL-MON-LIM-STORM-004、EL-MON-LIM-STORM-005、EL-MON-LIM-STORM-006、EL-MON-LIM-STORM-007、EL-MON-LIM-STORM-008、EL-MON-LIM-STORM-009</x:v>
      </x:c>
      <x:c r="I26" s="22" t="str">
        <x:v>地图共享；韧性不足只提高受处决概率/额外承伤，不自动造成眩晕或停手</x:v>
      </x:c>
    </x:row>
    <x:row r="27" ht="24" customHeight="1">
      <x:c r="A27" s="22" t="str">
        <x:v>XX101</x:v>
      </x:c>
      <x:c r="B27" s="22" t="str">
        <x:v>XX101</x:v>
      </x:c>
      <x:c r="C27" s="22" t="n">
        <x:v>2</x:v>
      </x:c>
      <x:c r="D27" s="22" t="str">
        <x:v>风暴山谷</x:v>
      </x:c>
      <x:c r="E27" s="22" t="n">
        <x:v>305</x:v>
      </x:c>
      <x:c r="F27" s="22" t="n">
        <x:v>5</x:v>
      </x:c>
      <x:c r="G27" s="22" t="n">
        <x:v>6</x:v>
      </x:c>
      <x:c r="H27" s="22" t="str">
        <x:v>EL-MON-LIM-STORM-005、EL-MON-LIM-STORM-006、EL-MON-LIM-STORM-009、EL-MON-LIM-STORM-010、EL-MON-LIM-STORM-011、EL-MON-LIM-STORM-012</x:v>
      </x:c>
      <x:c r="I27" s="22" t="str">
        <x:v>地图共享；韧性不足只提高受处决概率/额外承伤，不自动造成眩晕或停手</x:v>
      </x:c>
    </x:row>
    <x:row r="28" ht="24" customHeight="1">
      <x:c r="A28" s="22" t="str">
        <x:v>XX144</x:v>
      </x:c>
      <x:c r="B28" s="22" t="str">
        <x:v>XX144</x:v>
      </x:c>
      <x:c r="C28" s="22" t="n">
        <x:v>2</x:v>
      </x:c>
      <x:c r="D28" s="22" t="str">
        <x:v>史东薇尔王城</x:v>
      </x:c>
      <x:c r="E28" s="22" t="n">
        <x:v>315</x:v>
      </x:c>
      <x:c r="F28" s="22" t="n">
        <x:v>10</x:v>
      </x:c>
      <x:c r="G28" s="22" t="n">
        <x:v>5</x:v>
      </x:c>
      <x:c r="H28" s="22" t="str">
        <x:v>EL-MON-LIM-CASTLE-001、EL-MON-LIM-CASTLE-002、EL-MON-LIM-CASTLE-003、EL-MON-LIM-CASTLE-004、EL-MON-LIM-CASTLE-007</x:v>
      </x:c>
      <x:c r="I28" s="22" t="str">
        <x:v>地图共享；韧性不足只提高受处决概率/额外承伤，不自动造成眩晕或停手</x:v>
      </x:c>
    </x:row>
    <x:row r="29" ht="24" customHeight="1">
      <x:c r="A29" s="22" t="str">
        <x:v>XX143</x:v>
      </x:c>
      <x:c r="B29" s="22" t="str">
        <x:v>XX143</x:v>
      </x:c>
      <x:c r="C29" s="22" t="n">
        <x:v>2</x:v>
      </x:c>
      <x:c r="D29" s="22" t="str">
        <x:v>史东薇尔王城</x:v>
      </x:c>
      <x:c r="E29" s="22" t="n">
        <x:v>315</x:v>
      </x:c>
      <x:c r="F29" s="22" t="n">
        <x:v>10</x:v>
      </x:c>
      <x:c r="G29" s="22" t="n">
        <x:v>7</x:v>
      </x:c>
      <x:c r="H29" s="22" t="str">
        <x:v>EL-MON-LIM-CASTLE-003、EL-MON-LIM-CASTLE-004、EL-MON-LIM-CASTLE-005、EL-MON-LIM-CASTLE-006、EL-MON-LIM-CASTLE-007、EL-MON-LIM-CASTLE-008、EL-MON-LIM-CASTLE-009</x:v>
      </x:c>
      <x:c r="I29" s="22" t="str">
        <x:v>地图共享；韧性不足只提高受处决概率/额外承伤，不自动造成眩晕或停手</x:v>
      </x:c>
    </x:row>
    <x:row r="30" ht="24" customHeight="1">
      <x:c r="A30" s="22" t="str">
        <x:v>XX145</x:v>
      </x:c>
      <x:c r="B30" s="22" t="str">
        <x:v>XX145</x:v>
      </x:c>
      <x:c r="C30" s="22" t="n">
        <x:v>2</x:v>
      </x:c>
      <x:c r="D30" s="22" t="str">
        <x:v>史东薇尔王城</x:v>
      </x:c>
      <x:c r="E30" s="22" t="n">
        <x:v>315</x:v>
      </x:c>
      <x:c r="F30" s="22" t="n">
        <x:v>10</x:v>
      </x:c>
      <x:c r="G30" s="22" t="n">
        <x:v>6</x:v>
      </x:c>
      <x:c r="H30" s="22" t="str">
        <x:v>EL-MON-LIM-CASTLE-005、EL-MON-LIM-CASTLE-006、EL-MON-LIM-CASTLE-009、EL-MON-LIM-CASTLE-010、EL-MON-LIM-CASTLE-011、EL-MON-LIM-CASTLE-012</x:v>
      </x:c>
      <x:c r="I30" s="22" t="str">
        <x:v>地图共享；韧性不足只提高受处决概率/额外承伤，不自动造成眩晕或停手</x:v>
      </x:c>
    </x:row>
    <x:row r="31" ht="24" customHeight="1">
      <x:c r="A31" s="22" t="str">
        <x:v>XX279</x:v>
      </x:c>
      <x:c r="B31" s="22" t="str">
        <x:v>XX279</x:v>
      </x:c>
      <x:c r="C31" s="22" t="n">
        <x:v>2</x:v>
      </x:c>
      <x:c r="D31" s="22" t="str">
        <x:v>史东薇尔王城</x:v>
      </x:c>
      <x:c r="E31" s="22" t="n">
        <x:v>345</x:v>
      </x:c>
      <x:c r="F31" s="22" t="n">
        <x:v>14.5</x:v>
      </x:c>
      <x:c r="G31" s="22" t="n">
        <x:v>1</x:v>
      </x:c>
      <x:c r="H31" s="22" t="str">
        <x:v>EL-MON-LIM-CASTLE-013</x:v>
      </x:c>
      <x:c r="I31" s="22" t="str">
        <x:v>地图共享；韧性不足只提高受处决概率/额外承伤，不自动造成眩晕或停手</x:v>
      </x:c>
    </x:row>
    <x:row r="32" ht="24" customHeight="1">
      <x:c r="A32" s="22" t="str">
        <x:v>XX776</x:v>
      </x:c>
      <x:c r="B32" s="22" t="str">
        <x:v>XX776</x:v>
      </x:c>
      <x:c r="C32" s="22" t="n">
        <x:v>3</x:v>
      </x:c>
      <x:c r="D32" s="22" t="str">
        <x:v>西境荒原</x:v>
      </x:c>
      <x:c r="E32" s="22" t="n">
        <x:v>345</x:v>
      </x:c>
      <x:c r="F32" s="22" t="n">
        <x:v>15.5</x:v>
      </x:c>
      <x:c r="G32" s="22" t="n">
        <x:v>3</x:v>
      </x:c>
      <x:c r="H32" s="22" t="str">
        <x:v>C03-M001、C03-M005、C03-M007</x:v>
      </x:c>
      <x:c r="I32" s="22" t="str">
        <x:v>地图共享；韧性不足只提高受处决概率/额外承伤，不自动造成眩晕或停手</x:v>
      </x:c>
    </x:row>
    <x:row r="33" ht="24" customHeight="1">
      <x:c r="A33" s="22" t="str">
        <x:v>XX775</x:v>
      </x:c>
      <x:c r="B33" s="22" t="str">
        <x:v>XX775</x:v>
      </x:c>
      <x:c r="C33" s="22" t="n">
        <x:v>3</x:v>
      </x:c>
      <x:c r="D33" s="22" t="str">
        <x:v>西境荒原</x:v>
      </x:c>
      <x:c r="E33" s="22" t="n">
        <x:v>345</x:v>
      </x:c>
      <x:c r="F33" s="22" t="n">
        <x:v>15.5</x:v>
      </x:c>
      <x:c r="G33" s="22" t="n">
        <x:v>3</x:v>
      </x:c>
      <x:c r="H33" s="22" t="str">
        <x:v>C03-M002、C03-M008、C03-M011</x:v>
      </x:c>
      <x:c r="I33" s="22" t="str">
        <x:v>地图共享；韧性不足只提高受处决概率/额外承伤，不自动造成眩晕或停手</x:v>
      </x:c>
    </x:row>
    <x:row r="34" ht="24" customHeight="1">
      <x:c r="A34" s="22" t="str">
        <x:v>XX780</x:v>
      </x:c>
      <x:c r="B34" s="22" t="str">
        <x:v>XX780</x:v>
      </x:c>
      <x:c r="C34" s="22" t="n">
        <x:v>3</x:v>
      </x:c>
      <x:c r="D34" s="22" t="str">
        <x:v>西境荒原</x:v>
      </x:c>
      <x:c r="E34" s="22" t="n">
        <x:v>345</x:v>
      </x:c>
      <x:c r="F34" s="22" t="n">
        <x:v>15.5</x:v>
      </x:c>
      <x:c r="G34" s="22" t="n">
        <x:v>3</x:v>
      </x:c>
      <x:c r="H34" s="22" t="str">
        <x:v>C03-M003、C03-M004、C03-M009</x:v>
      </x:c>
      <x:c r="I34" s="22" t="str">
        <x:v>地图共享；韧性不足只提高受处决概率/额外承伤，不自动造成眩晕或停手</x:v>
      </x:c>
    </x:row>
    <x:row r="35" ht="24" customHeight="1">
      <x:c r="A35" s="22" t="str">
        <x:v>XX778</x:v>
      </x:c>
      <x:c r="B35" s="22" t="str">
        <x:v>XX778</x:v>
      </x:c>
      <x:c r="C35" s="22" t="n">
        <x:v>3</x:v>
      </x:c>
      <x:c r="D35" s="22" t="str">
        <x:v>西境荒原</x:v>
      </x:c>
      <x:c r="E35" s="22" t="n">
        <x:v>345</x:v>
      </x:c>
      <x:c r="F35" s="22" t="n">
        <x:v>15.5</x:v>
      </x:c>
      <x:c r="G35" s="22" t="n">
        <x:v>3</x:v>
      </x:c>
      <x:c r="H35" s="22" t="str">
        <x:v>C03-M006、C03-M010、C03-M012</x:v>
      </x:c>
      <x:c r="I35" s="22" t="str">
        <x:v>地图共享；韧性不足只提高受处决概率/额外承伤，不自动造成眩晕或停手</x:v>
      </x:c>
    </x:row>
    <x:row r="36" ht="24" customHeight="1">
      <x:c r="A36" s="22" t="str">
        <x:v>XX332</x:v>
      </x:c>
      <x:c r="B36" s="22" t="str">
        <x:v>XX332</x:v>
      </x:c>
      <x:c r="C36" s="22" t="n">
        <x:v>3</x:v>
      </x:c>
      <x:c r="D36" s="22" t="str">
        <x:v>海风断崖</x:v>
      </x:c>
      <x:c r="E36" s="22" t="n">
        <x:v>355</x:v>
      </x:c>
      <x:c r="F36" s="22" t="n">
        <x:v>15.5</x:v>
      </x:c>
      <x:c r="G36" s="22" t="n">
        <x:v>3</x:v>
      </x:c>
      <x:c r="H36" s="22" t="str">
        <x:v>C03-M013、C03-M016、C03-M020</x:v>
      </x:c>
      <x:c r="I36" s="22" t="str">
        <x:v>地图共享；韧性不足只提高受处决概率/额外承伤，不自动造成眩晕或停手</x:v>
      </x:c>
    </x:row>
    <x:row r="37" ht="24" customHeight="1">
      <x:c r="A37" s="22" t="str">
        <x:v>XX333</x:v>
      </x:c>
      <x:c r="B37" s="22" t="str">
        <x:v>XX333</x:v>
      </x:c>
      <x:c r="C37" s="22" t="n">
        <x:v>3</x:v>
      </x:c>
      <x:c r="D37" s="22" t="str">
        <x:v>海风断崖</x:v>
      </x:c>
      <x:c r="E37" s="22" t="n">
        <x:v>355</x:v>
      </x:c>
      <x:c r="F37" s="22" t="n">
        <x:v>15.5</x:v>
      </x:c>
      <x:c r="G37" s="22" t="n">
        <x:v>3</x:v>
      </x:c>
      <x:c r="H37" s="22" t="str">
        <x:v>C03-M014、C03-M017、C03-M021</x:v>
      </x:c>
      <x:c r="I37" s="22" t="str">
        <x:v>地图共享；韧性不足只提高受处决概率/额外承伤，不自动造成眩晕或停手</x:v>
      </x:c>
    </x:row>
    <x:row r="38" ht="24" customHeight="1">
      <x:c r="A38" s="22" t="str">
        <x:v>XX334</x:v>
      </x:c>
      <x:c r="B38" s="22" t="str">
        <x:v>XX334</x:v>
      </x:c>
      <x:c r="C38" s="22" t="n">
        <x:v>3</x:v>
      </x:c>
      <x:c r="D38" s="22" t="str">
        <x:v>海风断崖</x:v>
      </x:c>
      <x:c r="E38" s="22" t="n">
        <x:v>355</x:v>
      </x:c>
      <x:c r="F38" s="22" t="n">
        <x:v>15.5</x:v>
      </x:c>
      <x:c r="G38" s="22" t="n">
        <x:v>3</x:v>
      </x:c>
      <x:c r="H38" s="22" t="str">
        <x:v>C03-M015、C03-M019、C03-M023</x:v>
      </x:c>
      <x:c r="I38" s="22" t="str">
        <x:v>地图共享；韧性不足只提高受处决概率/额外承伤，不自动造成眩晕或停手</x:v>
      </x:c>
    </x:row>
    <x:row r="39" ht="24" customHeight="1">
      <x:c r="A39" s="22" t="str">
        <x:v>XX335</x:v>
      </x:c>
      <x:c r="B39" s="22" t="str">
        <x:v>XX335</x:v>
      </x:c>
      <x:c r="C39" s="22" t="n">
        <x:v>3</x:v>
      </x:c>
      <x:c r="D39" s="22" t="str">
        <x:v>海风断崖</x:v>
      </x:c>
      <x:c r="E39" s="22" t="n">
        <x:v>355</x:v>
      </x:c>
      <x:c r="F39" s="22" t="n">
        <x:v>15.5</x:v>
      </x:c>
      <x:c r="G39" s="22" t="n">
        <x:v>3</x:v>
      </x:c>
      <x:c r="H39" s="22" t="str">
        <x:v>C03-M018、C03-M022、C03-M024</x:v>
      </x:c>
      <x:c r="I39" s="22" t="str">
        <x:v>地图共享；韧性不足只提高受处决概率/额外承伤，不自动造成眩晕或停手</x:v>
      </x:c>
    </x:row>
    <x:row r="40" ht="24" customHeight="1">
      <x:c r="A40" s="22" t="str">
        <x:v>XX343</x:v>
      </x:c>
      <x:c r="B40" s="22" t="str">
        <x:v>XX343</x:v>
      </x:c>
      <x:c r="C40" s="22" t="n">
        <x:v>3</x:v>
      </x:c>
      <x:c r="D40" s="22" t="str">
        <x:v>失落驿道</x:v>
      </x:c>
      <x:c r="E40" s="22" t="n">
        <x:v>355</x:v>
      </x:c>
      <x:c r="F40" s="22" t="n">
        <x:v>15.5</x:v>
      </x:c>
      <x:c r="G40" s="22" t="n">
        <x:v>3</x:v>
      </x:c>
      <x:c r="H40" s="22" t="str">
        <x:v>C03-M025、C03-M027、C03-M031</x:v>
      </x:c>
      <x:c r="I40" s="22" t="str">
        <x:v>地图共享；韧性不足只提高受处决概率/额外承伤，不自动造成眩晕或停手</x:v>
      </x:c>
    </x:row>
    <x:row r="41" ht="24" customHeight="1">
      <x:c r="A41" s="22" t="str">
        <x:v>XX344</x:v>
      </x:c>
      <x:c r="B41" s="22" t="str">
        <x:v>XX344</x:v>
      </x:c>
      <x:c r="C41" s="22" t="n">
        <x:v>3</x:v>
      </x:c>
      <x:c r="D41" s="22" t="str">
        <x:v>失落驿道</x:v>
      </x:c>
      <x:c r="E41" s="22" t="n">
        <x:v>355</x:v>
      </x:c>
      <x:c r="F41" s="22" t="n">
        <x:v>15.5</x:v>
      </x:c>
      <x:c r="G41" s="22" t="n">
        <x:v>4</x:v>
      </x:c>
      <x:c r="H41" s="22" t="str">
        <x:v>C03-M026、C03-M028、C03-M032、C03-M035</x:v>
      </x:c>
      <x:c r="I41" s="22" t="str">
        <x:v>地图共享；韧性不足只提高受处决概率/额外承伤，不自动造成眩晕或停手</x:v>
      </x:c>
    </x:row>
    <x:row r="42" ht="24" customHeight="1">
      <x:c r="A42" s="22" t="str">
        <x:v>XX345</x:v>
      </x:c>
      <x:c r="B42" s="22" t="str">
        <x:v>XX345</x:v>
      </x:c>
      <x:c r="C42" s="22" t="n">
        <x:v>3</x:v>
      </x:c>
      <x:c r="D42" s="22" t="str">
        <x:v>失落驿道</x:v>
      </x:c>
      <x:c r="E42" s="22" t="n">
        <x:v>355</x:v>
      </x:c>
      <x:c r="F42" s="22" t="n">
        <x:v>15.5</x:v>
      </x:c>
      <x:c r="G42" s="22" t="n">
        <x:v>5</x:v>
      </x:c>
      <x:c r="H42" s="22" t="str">
        <x:v>C03-M029、C03-M030、C03-M033、C03-M034、C03-M036</x:v>
      </x:c>
      <x:c r="I42" s="22" t="str">
        <x:v>地图共享；韧性不足只提高受处决概率/额外承伤，不自动造成眩晕或停手</x:v>
      </x:c>
    </x:row>
    <x:row r="43" ht="24" customHeight="1">
      <x:c r="A43" s="22" t="str">
        <x:v>XX310</x:v>
      </x:c>
      <x:c r="B43" s="22" t="str">
        <x:v>XX310</x:v>
      </x:c>
      <x:c r="C43" s="22" t="n">
        <x:v>3</x:v>
      </x:c>
      <x:c r="D43" s="22" t="str">
        <x:v>古战场遗迹</x:v>
      </x:c>
      <x:c r="E43" s="22" t="n">
        <x:v>355</x:v>
      </x:c>
      <x:c r="F43" s="22" t="n">
        <x:v>15.5</x:v>
      </x:c>
      <x:c r="G43" s="22" t="n">
        <x:v>3</x:v>
      </x:c>
      <x:c r="H43" s="22" t="str">
        <x:v>C03-M037、C03-M038、C03-M043</x:v>
      </x:c>
      <x:c r="I43" s="22" t="str">
        <x:v>地图共享；韧性不足只提高受处决概率/额外承伤，不自动造成眩晕或停手</x:v>
      </x:c>
    </x:row>
    <x:row r="44" ht="24" customHeight="1">
      <x:c r="A44" s="22" t="str">
        <x:v>XX311</x:v>
      </x:c>
      <x:c r="B44" s="22" t="str">
        <x:v>XX311</x:v>
      </x:c>
      <x:c r="C44" s="22" t="n">
        <x:v>3</x:v>
      </x:c>
      <x:c r="D44" s="22" t="str">
        <x:v>古战场遗迹</x:v>
      </x:c>
      <x:c r="E44" s="22" t="n">
        <x:v>355</x:v>
      </x:c>
      <x:c r="F44" s="22" t="n">
        <x:v>15.5</x:v>
      </x:c>
      <x:c r="G44" s="22" t="n">
        <x:v>4</x:v>
      </x:c>
      <x:c r="H44" s="22" t="str">
        <x:v>C03-M039、C03-M040、C03-M044、C03-M047</x:v>
      </x:c>
      <x:c r="I44" s="22" t="str">
        <x:v>地图共享；韧性不足只提高受处决概率/额外承伤，不自动造成眩晕或停手</x:v>
      </x:c>
    </x:row>
    <x:row r="45" ht="24" customHeight="1">
      <x:c r="A45" s="22" t="str">
        <x:v>XX312</x:v>
      </x:c>
      <x:c r="B45" s="22" t="str">
        <x:v>XX312</x:v>
      </x:c>
      <x:c r="C45" s="22" t="n">
        <x:v>3</x:v>
      </x:c>
      <x:c r="D45" s="22" t="str">
        <x:v>古战场遗迹</x:v>
      </x:c>
      <x:c r="E45" s="22" t="n">
        <x:v>355</x:v>
      </x:c>
      <x:c r="F45" s="22" t="n">
        <x:v>15.5</x:v>
      </x:c>
      <x:c r="G45" s="22" t="n">
        <x:v>5</x:v>
      </x:c>
      <x:c r="H45" s="22" t="str">
        <x:v>C03-M041、C03-M042、C03-M045、C03-M046、C03-M048</x:v>
      </x:c>
      <x:c r="I45" s="22" t="str">
        <x:v>地图共享；韧性不足只提高受处决概率/额外承伤，不自动造成眩晕或停手</x:v>
      </x:c>
    </x:row>
    <x:row r="46" ht="24" customHeight="1">
      <x:c r="A46" s="22" t="str">
        <x:v>XX518</x:v>
      </x:c>
      <x:c r="B46" s="22" t="str">
        <x:v>XX518</x:v>
      </x:c>
      <x:c r="C46" s="22" t="n">
        <x:v>3</x:v>
      </x:c>
      <x:c r="D46" s="22" t="str">
        <x:v>风蚀古垒</x:v>
      </x:c>
      <x:c r="E46" s="22" t="n">
        <x:v>365</x:v>
      </x:c>
      <x:c r="F46" s="22" t="n">
        <x:v>15.5</x:v>
      </x:c>
      <x:c r="G46" s="22" t="n">
        <x:v>3</x:v>
      </x:c>
      <x:c r="H46" s="22" t="str">
        <x:v>C03-M049、C03-M050、C03-M055</x:v>
      </x:c>
      <x:c r="I46" s="22" t="str">
        <x:v>地图共享；韧性不足只提高受处决概率/额外承伤，不自动造成眩晕或停手</x:v>
      </x:c>
    </x:row>
    <x:row r="47" ht="24" customHeight="1">
      <x:c r="A47" s="22" t="str">
        <x:v>XX517</x:v>
      </x:c>
      <x:c r="B47" s="22" t="str">
        <x:v>XX517</x:v>
      </x:c>
      <x:c r="C47" s="22" t="n">
        <x:v>3</x:v>
      </x:c>
      <x:c r="D47" s="22" t="str">
        <x:v>风蚀古垒</x:v>
      </x:c>
      <x:c r="E47" s="22" t="n">
        <x:v>365</x:v>
      </x:c>
      <x:c r="F47" s="22" t="n">
        <x:v>15.5</x:v>
      </x:c>
      <x:c r="G47" s="22" t="n">
        <x:v>4</x:v>
      </x:c>
      <x:c r="H47" s="22" t="str">
        <x:v>C03-M051、C03-M053、C03-M056、C03-M059</x:v>
      </x:c>
      <x:c r="I47" s="22" t="str">
        <x:v>地图共享；韧性不足只提高受处决概率/额外承伤，不自动造成眩晕或停手</x:v>
      </x:c>
    </x:row>
    <x:row r="48" ht="24" customHeight="1">
      <x:c r="A48" s="22" t="str">
        <x:v>XX516</x:v>
      </x:c>
      <x:c r="B48" s="22" t="str">
        <x:v>XX516</x:v>
      </x:c>
      <x:c r="C48" s="22" t="n">
        <x:v>3</x:v>
      </x:c>
      <x:c r="D48" s="22" t="str">
        <x:v>风蚀古垒</x:v>
      </x:c>
      <x:c r="E48" s="22" t="n">
        <x:v>365</x:v>
      </x:c>
      <x:c r="F48" s="22" t="n">
        <x:v>15.5</x:v>
      </x:c>
      <x:c r="G48" s="22" t="n">
        <x:v>5</x:v>
      </x:c>
      <x:c r="H48" s="22" t="str">
        <x:v>C03-M052、C03-M054、C03-M057、C03-M058、C03-M060</x:v>
      </x:c>
      <x:c r="I48" s="22" t="str">
        <x:v>地图共享；韧性不足只提高受处决概率/额外承伤，不自动造成眩晕或停手</x:v>
      </x:c>
    </x:row>
    <x:row r="49" ht="24" customHeight="1">
      <x:c r="A49" s="22" t="str">
        <x:v>XX140</x:v>
      </x:c>
      <x:c r="B49" s="22" t="str">
        <x:v>XX140</x:v>
      </x:c>
      <x:c r="C49" s="22" t="n">
        <x:v>3</x:v>
      </x:c>
      <x:c r="D49" s="22" t="str">
        <x:v>黄金树哨垒</x:v>
      </x:c>
      <x:c r="E49" s="22" t="n">
        <x:v>370</x:v>
      </x:c>
      <x:c r="F49" s="22" t="n">
        <x:v>15.5</x:v>
      </x:c>
      <x:c r="G49" s="22" t="n">
        <x:v>3</x:v>
      </x:c>
      <x:c r="H49" s="22" t="str">
        <x:v>C03-M061、C03-M062、C03-M067</x:v>
      </x:c>
      <x:c r="I49" s="22" t="str">
        <x:v>地图共享；韧性不足只提高受处决概率/额外承伤，不自动造成眩晕或停手</x:v>
      </x:c>
    </x:row>
    <x:row r="50" ht="24" customHeight="1">
      <x:c r="A50" s="22" t="str">
        <x:v>XX136</x:v>
      </x:c>
      <x:c r="B50" s="22" t="str">
        <x:v>XX136</x:v>
      </x:c>
      <x:c r="C50" s="22" t="n">
        <x:v>3</x:v>
      </x:c>
      <x:c r="D50" s="22" t="str">
        <x:v>黄金树哨垒</x:v>
      </x:c>
      <x:c r="E50" s="22" t="n">
        <x:v>370</x:v>
      </x:c>
      <x:c r="F50" s="22" t="n">
        <x:v>15.5</x:v>
      </x:c>
      <x:c r="G50" s="22" t="n">
        <x:v>4</x:v>
      </x:c>
      <x:c r="H50" s="22" t="str">
        <x:v>C03-M063、C03-M064、C03-M068、C03-M071</x:v>
      </x:c>
      <x:c r="I50" s="22" t="str">
        <x:v>地图共享；韧性不足只提高受处决概率/额外承伤，不自动造成眩晕或停手</x:v>
      </x:c>
    </x:row>
    <x:row r="51" ht="24" customHeight="1">
      <x:c r="A51" s="22" t="str">
        <x:v>XX169</x:v>
      </x:c>
      <x:c r="B51" s="22" t="str">
        <x:v>XX169</x:v>
      </x:c>
      <x:c r="C51" s="22" t="n">
        <x:v>3</x:v>
      </x:c>
      <x:c r="D51" s="22" t="str">
        <x:v>黄金树哨垒</x:v>
      </x:c>
      <x:c r="E51" s="22" t="n">
        <x:v>395</x:v>
      </x:c>
      <x:c r="F51" s="22" t="n">
        <x:v>18</x:v>
      </x:c>
      <x:c r="G51" s="22" t="n">
        <x:v>6</x:v>
      </x:c>
      <x:c r="H51" s="22" t="str">
        <x:v>C03-M065、C03-M066、C03-M069、C03-M070、C03-M072、C03-M073</x:v>
      </x:c>
      <x:c r="I51" s="22" t="str">
        <x:v>地图共享；韧性不足只提高受处决概率/额外承伤，不自动造成眩晕或停手</x:v>
      </x:c>
    </x:row>
    <x:row r="52" ht="24" customHeight="1">
      <x:c r="A52" s="22" t="str">
        <x:v>XX341</x:v>
      </x:c>
      <x:c r="B52" s="22" t="str">
        <x:v>XX341</x:v>
      </x:c>
      <x:c r="C52" s="22" t="n">
        <x:v>4</x:v>
      </x:c>
      <x:c r="D52" s="22" t="str">
        <x:v>雾潮湿地</x:v>
      </x:c>
      <x:c r="E52" s="22" t="n">
        <x:v>395</x:v>
      </x:c>
      <x:c r="F52" s="22" t="n">
        <x:v>25</x:v>
      </x:c>
      <x:c r="G52" s="22" t="n">
        <x:v>6</x:v>
      </x:c>
      <x:c r="H52" s="22" t="str">
        <x:v>C04-M001、C04-M002、C04-M003、C04-M007、C04-M008、C04-M011</x:v>
      </x:c>
      <x:c r="I52" s="22" t="str">
        <x:v>地图共享；韧性不足只提高受处决概率/额外承伤，不自动造成眩晕或停手</x:v>
      </x:c>
    </x:row>
    <x:row r="53" ht="24" customHeight="1">
      <x:c r="A53" s="22" t="str">
        <x:v>XX342</x:v>
      </x:c>
      <x:c r="B53" s="22" t="str">
        <x:v>XX342</x:v>
      </x:c>
      <x:c r="C53" s="22" t="n">
        <x:v>4</x:v>
      </x:c>
      <x:c r="D53" s="22" t="str">
        <x:v>雾潮湿地</x:v>
      </x:c>
      <x:c r="E53" s="22" t="n">
        <x:v>395</x:v>
      </x:c>
      <x:c r="F53" s="22" t="n">
        <x:v>25</x:v>
      </x:c>
      <x:c r="G53" s="22" t="n">
        <x:v>6</x:v>
      </x:c>
      <x:c r="H53" s="22" t="str">
        <x:v>C04-M004、C04-M005、C04-M006、C04-M009、C04-M010、C04-M012</x:v>
      </x:c>
      <x:c r="I53" s="22" t="str">
        <x:v>地图共享；韧性不足只提高受处决概率/额外承伤，不自动造成眩晕或停手</x:v>
      </x:c>
    </x:row>
    <x:row r="54" ht="24" customHeight="1">
      <x:c r="A54" s="22" t="str">
        <x:v>XX337</x:v>
      </x:c>
      <x:c r="B54" s="22" t="str">
        <x:v>XX337</x:v>
      </x:c>
      <x:c r="C54" s="22" t="n">
        <x:v>4</x:v>
      </x:c>
      <x:c r="D54" s="22" t="str">
        <x:v>沉湖遗迹</x:v>
      </x:c>
      <x:c r="E54" s="22" t="n">
        <x:v>405</x:v>
      </x:c>
      <x:c r="F54" s="22" t="n">
        <x:v>24</x:v>
      </x:c>
      <x:c r="G54" s="22" t="n">
        <x:v>3</x:v>
      </x:c>
      <x:c r="H54" s="22" t="str">
        <x:v>C04-M013、C04-M014、C04-M019</x:v>
      </x:c>
      <x:c r="I54" s="22" t="str">
        <x:v>地图共享；韧性不足只提高受处决概率/额外承伤，不自动造成眩晕或停手</x:v>
      </x:c>
    </x:row>
    <x:row r="55" ht="24" customHeight="1">
      <x:c r="A55" s="22" t="str">
        <x:v>XX336</x:v>
      </x:c>
      <x:c r="B55" s="22" t="str">
        <x:v>XX336</x:v>
      </x:c>
      <x:c r="C55" s="22" t="n">
        <x:v>4</x:v>
      </x:c>
      <x:c r="D55" s="22" t="str">
        <x:v>沉湖遗迹</x:v>
      </x:c>
      <x:c r="E55" s="22" t="n">
        <x:v>405</x:v>
      </x:c>
      <x:c r="F55" s="22" t="n">
        <x:v>24</x:v>
      </x:c>
      <x:c r="G55" s="22" t="n">
        <x:v>4</x:v>
      </x:c>
      <x:c r="H55" s="22" t="str">
        <x:v>C04-M015、C04-M016、C04-M020、C04-M023</x:v>
      </x:c>
      <x:c r="I55" s="22" t="str">
        <x:v>地图共享；韧性不足只提高受处决概率/额外承伤，不自动造成眩晕或停手</x:v>
      </x:c>
    </x:row>
    <x:row r="56" ht="24" customHeight="1">
      <x:c r="A56" s="22" t="str">
        <x:v>XX340</x:v>
      </x:c>
      <x:c r="B56" s="22" t="str">
        <x:v>XX340</x:v>
      </x:c>
      <x:c r="C56" s="22" t="n">
        <x:v>4</x:v>
      </x:c>
      <x:c r="D56" s="22" t="str">
        <x:v>沉湖遗迹</x:v>
      </x:c>
      <x:c r="E56" s="22" t="n">
        <x:v>405</x:v>
      </x:c>
      <x:c r="F56" s="22" t="n">
        <x:v>24</x:v>
      </x:c>
      <x:c r="G56" s="22" t="n">
        <x:v>5</x:v>
      </x:c>
      <x:c r="H56" s="22" t="str">
        <x:v>C04-M017、C04-M018、C04-M021、C04-M022、C04-M024</x:v>
      </x:c>
      <x:c r="I56" s="22" t="str">
        <x:v>地图共享；韧性不足只提高受处决概率/额外承伤，不自动造成眩晕或停手</x:v>
      </x:c>
    </x:row>
    <x:row r="57" ht="24" customHeight="1">
      <x:c r="A57" s="22" t="str">
        <x:v>XX363</x:v>
      </x:c>
      <x:c r="B57" s="22" t="str">
        <x:v>XX363</x:v>
      </x:c>
      <x:c r="C57" s="22" t="n">
        <x:v>4</x:v>
      </x:c>
      <x:c r="D57" s="22" t="str">
        <x:v>湖心沉船</x:v>
      </x:c>
      <x:c r="E57" s="22" t="n">
        <x:v>410</x:v>
      </x:c>
      <x:c r="F57" s="22" t="n">
        <x:v>24</x:v>
      </x:c>
      <x:c r="G57" s="22" t="n">
        <x:v>3</x:v>
      </x:c>
      <x:c r="H57" s="22" t="str">
        <x:v>C04-M025、C04-M026、C04-M031</x:v>
      </x:c>
      <x:c r="I57" s="22" t="str">
        <x:v>地图共享；韧性不足只提高受处决概率/额外承伤，不自动造成眩晕或停手</x:v>
      </x:c>
    </x:row>
    <x:row r="58" ht="24" customHeight="1">
      <x:c r="A58" s="22" t="str">
        <x:v>XX362</x:v>
      </x:c>
      <x:c r="B58" s="22" t="str">
        <x:v>XX362</x:v>
      </x:c>
      <x:c r="C58" s="22" t="n">
        <x:v>4</x:v>
      </x:c>
      <x:c r="D58" s="22" t="str">
        <x:v>湖心沉船</x:v>
      </x:c>
      <x:c r="E58" s="22" t="n">
        <x:v>410</x:v>
      </x:c>
      <x:c r="F58" s="22" t="n">
        <x:v>24</x:v>
      </x:c>
      <x:c r="G58" s="22" t="n">
        <x:v>4</x:v>
      </x:c>
      <x:c r="H58" s="22" t="str">
        <x:v>C04-M027、C04-M028、C04-M032、C04-M035</x:v>
      </x:c>
      <x:c r="I58" s="22" t="str">
        <x:v>地图共享；韧性不足只提高受处决概率/额外承伤，不自动造成眩晕或停手</x:v>
      </x:c>
    </x:row>
    <x:row r="59" ht="24" customHeight="1">
      <x:c r="A59" s="22" t="str">
        <x:v>XX351</x:v>
      </x:c>
      <x:c r="B59" s="22" t="str">
        <x:v>XX351</x:v>
      </x:c>
      <x:c r="C59" s="22" t="n">
        <x:v>4</x:v>
      </x:c>
      <x:c r="D59" s="22" t="str">
        <x:v>湖心沉船</x:v>
      </x:c>
      <x:c r="E59" s="22" t="n">
        <x:v>410</x:v>
      </x:c>
      <x:c r="F59" s="22" t="n">
        <x:v>24</x:v>
      </x:c>
      <x:c r="G59" s="22" t="n">
        <x:v>5</x:v>
      </x:c>
      <x:c r="H59" s="22" t="str">
        <x:v>C04-M029、C04-M030、C04-M033、C04-M034、C04-M036</x:v>
      </x:c>
      <x:c r="I59" s="22" t="str">
        <x:v>地图共享；韧性不足只提高受处决概率/额外承伤，不自动造成眩晕或停手</x:v>
      </x:c>
    </x:row>
    <x:row r="60" ht="24" customHeight="1">
      <x:c r="A60" s="22" t="str">
        <x:v>XX527</x:v>
      </x:c>
      <x:c r="B60" s="22" t="str">
        <x:v>XX527</x:v>
      </x:c>
      <x:c r="C60" s="22" t="n">
        <x:v>4</x:v>
      </x:c>
      <x:c r="D60" s="22" t="str">
        <x:v>幽灵船骸</x:v>
      </x:c>
      <x:c r="E60" s="22" t="n">
        <x:v>420</x:v>
      </x:c>
      <x:c r="F60" s="22" t="n">
        <x:v>24</x:v>
      </x:c>
      <x:c r="G60" s="22" t="n">
        <x:v>3</x:v>
      </x:c>
      <x:c r="H60" s="22" t="str">
        <x:v>C04-M037、C04-M038、C04-M043</x:v>
      </x:c>
      <x:c r="I60" s="22" t="str">
        <x:v>地图共享；韧性不足只提高受处决概率/额外承伤，不自动造成眩晕或停手</x:v>
      </x:c>
    </x:row>
    <x:row r="61" ht="24" customHeight="1">
      <x:c r="A61" s="22" t="str">
        <x:v>XX457</x:v>
      </x:c>
      <x:c r="B61" s="22" t="str">
        <x:v>XX457</x:v>
      </x:c>
      <x:c r="C61" s="22" t="n">
        <x:v>4</x:v>
      </x:c>
      <x:c r="D61" s="22" t="str">
        <x:v>幽灵船骸</x:v>
      </x:c>
      <x:c r="E61" s="22" t="n">
        <x:v>420</x:v>
      </x:c>
      <x:c r="F61" s="22" t="n">
        <x:v>24</x:v>
      </x:c>
      <x:c r="G61" s="22" t="n">
        <x:v>4</x:v>
      </x:c>
      <x:c r="H61" s="22" t="str">
        <x:v>C04-M039、C04-M040、C04-M044、C04-M047</x:v>
      </x:c>
      <x:c r="I61" s="22" t="str">
        <x:v>地图共享；韧性不足只提高受处决概率/额外承伤，不自动造成眩晕或停手</x:v>
      </x:c>
    </x:row>
    <x:row r="62" ht="24" customHeight="1">
      <x:c r="A62" s="22" t="str">
        <x:v>XX582</x:v>
      </x:c>
      <x:c r="B62" s="22" t="str">
        <x:v>XX582</x:v>
      </x:c>
      <x:c r="C62" s="22" t="n">
        <x:v>4</x:v>
      </x:c>
      <x:c r="D62" s="22" t="str">
        <x:v>幽灵船骸</x:v>
      </x:c>
      <x:c r="E62" s="22" t="n">
        <x:v>420</x:v>
      </x:c>
      <x:c r="F62" s="22" t="n">
        <x:v>24</x:v>
      </x:c>
      <x:c r="G62" s="22" t="n">
        <x:v>5</x:v>
      </x:c>
      <x:c r="H62" s="22" t="str">
        <x:v>C04-M041、C04-M042、C04-M045、C04-M046、C04-M048</x:v>
      </x:c>
      <x:c r="I62" s="22" t="str">
        <x:v>地图共享；韧性不足只提高受处决概率/额外承伤，不自动造成眩晕或停手</x:v>
      </x:c>
    </x:row>
    <x:row r="63" ht="24" customHeight="1">
      <x:c r="A63" s="22" t="str">
        <x:v>XX395</x:v>
      </x:c>
      <x:c r="B63" s="22" t="str">
        <x:v>XX395</x:v>
      </x:c>
      <x:c r="C63" s="22" t="n">
        <x:v>4</x:v>
      </x:c>
      <x:c r="D63" s="22" t="str">
        <x:v>深湖水道</x:v>
      </x:c>
      <x:c r="E63" s="22" t="n">
        <x:v>425</x:v>
      </x:c>
      <x:c r="F63" s="22" t="n">
        <x:v>24</x:v>
      </x:c>
      <x:c r="G63" s="22" t="n">
        <x:v>3</x:v>
      </x:c>
      <x:c r="H63" s="22" t="str">
        <x:v>C04-M049、C04-M050、C04-M055</x:v>
      </x:c>
      <x:c r="I63" s="22" t="str">
        <x:v>地图共享；韧性不足只提高受处决概率/额外承伤，不自动造成眩晕或停手</x:v>
      </x:c>
    </x:row>
    <x:row r="64" ht="24" customHeight="1">
      <x:c r="A64" s="22" t="str">
        <x:v>XX392</x:v>
      </x:c>
      <x:c r="B64" s="22" t="str">
        <x:v>XX392</x:v>
      </x:c>
      <x:c r="C64" s="22" t="n">
        <x:v>4</x:v>
      </x:c>
      <x:c r="D64" s="22" t="str">
        <x:v>深湖水道</x:v>
      </x:c>
      <x:c r="E64" s="22" t="n">
        <x:v>425</x:v>
      </x:c>
      <x:c r="F64" s="22" t="n">
        <x:v>24</x:v>
      </x:c>
      <x:c r="G64" s="22" t="n">
        <x:v>4</x:v>
      </x:c>
      <x:c r="H64" s="22" t="str">
        <x:v>C04-M051、C04-M052、C04-M056、C04-M059</x:v>
      </x:c>
      <x:c r="I64" s="22" t="str">
        <x:v>地图共享；韧性不足只提高受处决概率/额外承伤，不自动造成眩晕或停手</x:v>
      </x:c>
    </x:row>
    <x:row r="65" ht="24" customHeight="1">
      <x:c r="A65" s="22" t="str">
        <x:v>XX391</x:v>
      </x:c>
      <x:c r="B65" s="22" t="str">
        <x:v>XX391</x:v>
      </x:c>
      <x:c r="C65" s="22" t="n">
        <x:v>4</x:v>
      </x:c>
      <x:c r="D65" s="22" t="str">
        <x:v>深湖水道</x:v>
      </x:c>
      <x:c r="E65" s="22" t="n">
        <x:v>425</x:v>
      </x:c>
      <x:c r="F65" s="22" t="n">
        <x:v>24</x:v>
      </x:c>
      <x:c r="G65" s="22" t="n">
        <x:v>5</x:v>
      </x:c>
      <x:c r="H65" s="22" t="str">
        <x:v>C04-M053、C04-M054、C04-M057、C04-M058、C04-M060</x:v>
      </x:c>
      <x:c r="I65" s="22" t="str">
        <x:v>地图共享；韧性不足只提高受处决概率/额外承伤，不自动造成眩晕或停手</x:v>
      </x:c>
    </x:row>
    <x:row r="66" ht="24" customHeight="1">
      <x:c r="A66" s="22" t="str">
        <x:v>XX368</x:v>
      </x:c>
      <x:c r="B66" s="22" t="str">
        <x:v>XX368</x:v>
      </x:c>
      <x:c r="C66" s="22" t="n">
        <x:v>4</x:v>
      </x:c>
      <x:c r="D66" s="22" t="str">
        <x:v>湖底密道</x:v>
      </x:c>
      <x:c r="E66" s="22" t="n">
        <x:v>435</x:v>
      </x:c>
      <x:c r="F66" s="22" t="n">
        <x:v>24</x:v>
      </x:c>
      <x:c r="G66" s="22" t="n">
        <x:v>3</x:v>
      </x:c>
      <x:c r="H66" s="22" t="str">
        <x:v>C04-M061、C04-M062、C04-M067</x:v>
      </x:c>
      <x:c r="I66" s="22" t="str">
        <x:v>地图共享；韧性不足只提高受处决概率/额外承伤，不自动造成眩晕或停手</x:v>
      </x:c>
    </x:row>
    <x:row r="67" ht="24" customHeight="1">
      <x:c r="A67" s="22" t="str">
        <x:v>XX382</x:v>
      </x:c>
      <x:c r="B67" s="22" t="str">
        <x:v>XX382</x:v>
      </x:c>
      <x:c r="C67" s="22" t="n">
        <x:v>4</x:v>
      </x:c>
      <x:c r="D67" s="22" t="str">
        <x:v>湖底密道</x:v>
      </x:c>
      <x:c r="E67" s="22" t="n">
        <x:v>435</x:v>
      </x:c>
      <x:c r="F67" s="22" t="n">
        <x:v>24</x:v>
      </x:c>
      <x:c r="G67" s="22" t="n">
        <x:v>4</x:v>
      </x:c>
      <x:c r="H67" s="22" t="str">
        <x:v>C04-M063、C04-M064、C04-M068、C04-M071</x:v>
      </x:c>
      <x:c r="I67" s="22" t="str">
        <x:v>地图共享；韧性不足只提高受处决概率/额外承伤，不自动造成眩晕或停手</x:v>
      </x:c>
    </x:row>
    <x:row r="68" ht="24" customHeight="1">
      <x:c r="A68" s="22" t="str">
        <x:v>XX369</x:v>
      </x:c>
      <x:c r="B68" s="22" t="str">
        <x:v>XX369</x:v>
      </x:c>
      <x:c r="C68" s="22" t="n">
        <x:v>4</x:v>
      </x:c>
      <x:c r="D68" s="22" t="str">
        <x:v>湖底密道</x:v>
      </x:c>
      <x:c r="E68" s="22" t="n">
        <x:v>455</x:v>
      </x:c>
      <x:c r="F68" s="22" t="n">
        <x:v>26.5</x:v>
      </x:c>
      <x:c r="G68" s="22" t="n">
        <x:v>6</x:v>
      </x:c>
      <x:c r="H68" s="22" t="str">
        <x:v>C04-M065、C04-M066、C04-M069、C04-M070、C04-M072、C04-M073</x:v>
      </x:c>
      <x:c r="I68" s="22" t="str">
        <x:v>地图共享；韧性不足只提高受处决概率/额外承伤，不自动造成眩晕或停手</x:v>
      </x:c>
    </x:row>
    <x:row r="69" ht="24" customHeight="1">
      <x:c r="A69" s="22" t="str">
        <x:v>XX338</x:v>
      </x:c>
      <x:c r="B69" s="22" t="str">
        <x:v>XX338</x:v>
      </x:c>
      <x:c r="C69" s="22" t="n">
        <x:v>5</x:v>
      </x:c>
      <x:c r="D69" s="22" t="str">
        <x:v>雾月水庭</x:v>
      </x:c>
      <x:c r="E69" s="22" t="n">
        <x:v>455</x:v>
      </x:c>
      <x:c r="F69" s="22" t="n">
        <x:v>25.5</x:v>
      </x:c>
      <x:c r="G69" s="22" t="n">
        <x:v>4</x:v>
      </x:c>
      <x:c r="H69" s="22" t="str">
        <x:v>C05-M001、C05-M002、C05-M007、C05-M008</x:v>
      </x:c>
      <x:c r="I69" s="22" t="str">
        <x:v>地图共享；韧性不足只提高受处决概率/额外承伤，不自动造成眩晕或停手</x:v>
      </x:c>
    </x:row>
    <x:row r="70" ht="24" customHeight="1">
      <x:c r="A70" s="22" t="str">
        <x:v>XX339</x:v>
      </x:c>
      <x:c r="B70" s="22" t="str">
        <x:v>XX339</x:v>
      </x:c>
      <x:c r="C70" s="22" t="n">
        <x:v>5</x:v>
      </x:c>
      <x:c r="D70" s="22" t="str">
        <x:v>雾月水庭</x:v>
      </x:c>
      <x:c r="E70" s="22" t="n">
        <x:v>455</x:v>
      </x:c>
      <x:c r="F70" s="22" t="n">
        <x:v>25.5</x:v>
      </x:c>
      <x:c r="G70" s="22" t="n">
        <x:v>4</x:v>
      </x:c>
      <x:c r="H70" s="22" t="str">
        <x:v>C05-M003、C05-M004、C05-M009、C05-M011</x:v>
      </x:c>
      <x:c r="I70" s="22" t="str">
        <x:v>地图共享；韧性不足只提高受处决概率/额外承伤，不自动造成眩晕或停手</x:v>
      </x:c>
    </x:row>
    <x:row r="71" ht="24" customHeight="1">
      <x:c r="A71" s="22" t="str">
        <x:v>XX331</x:v>
      </x:c>
      <x:c r="B71" s="22" t="str">
        <x:v>XX331</x:v>
      </x:c>
      <x:c r="C71" s="22" t="n">
        <x:v>5</x:v>
      </x:c>
      <x:c r="D71" s="22" t="str">
        <x:v>雾月水庭</x:v>
      </x:c>
      <x:c r="E71" s="22" t="n">
        <x:v>455</x:v>
      </x:c>
      <x:c r="F71" s="22" t="n">
        <x:v>25.5</x:v>
      </x:c>
      <x:c r="G71" s="22" t="n">
        <x:v>4</x:v>
      </x:c>
      <x:c r="H71" s="22" t="str">
        <x:v>C05-M005、C05-M006、C05-M010、C05-M012</x:v>
      </x:c>
      <x:c r="I71" s="22" t="str">
        <x:v>地图共享；韧性不足只提高受处决概率/额外承伤，不自动造成眩晕或停手</x:v>
      </x:c>
    </x:row>
    <x:row r="72" ht="24" customHeight="1">
      <x:c r="A72" s="22" t="str">
        <x:v>XX812</x:v>
      </x:c>
      <x:c r="B72" s="22" t="str">
        <x:v>XX812</x:v>
      </x:c>
      <x:c r="C72" s="22" t="n">
        <x:v>5</x:v>
      </x:c>
      <x:c r="D72" s="22" t="str">
        <x:v>辉石遗迹</x:v>
      </x:c>
      <x:c r="E72" s="22" t="n">
        <x:v>465</x:v>
      </x:c>
      <x:c r="F72" s="22" t="n">
        <x:v>25.5</x:v>
      </x:c>
      <x:c r="G72" s="22" t="n">
        <x:v>3</x:v>
      </x:c>
      <x:c r="H72" s="22" t="str">
        <x:v>C05-M013、C05-M014、C05-M019</x:v>
      </x:c>
      <x:c r="I72" s="22" t="str">
        <x:v>地图共享；韧性不足只提高受处决概率/额外承伤，不自动造成眩晕或停手</x:v>
      </x:c>
    </x:row>
    <x:row r="73" ht="24" customHeight="1">
      <x:c r="A73" s="22" t="str">
        <x:v>XX815</x:v>
      </x:c>
      <x:c r="B73" s="22" t="str">
        <x:v>XX815</x:v>
      </x:c>
      <x:c r="C73" s="22" t="n">
        <x:v>5</x:v>
      </x:c>
      <x:c r="D73" s="22" t="str">
        <x:v>辉石遗迹</x:v>
      </x:c>
      <x:c r="E73" s="22" t="n">
        <x:v>465</x:v>
      </x:c>
      <x:c r="F73" s="22" t="n">
        <x:v>25.5</x:v>
      </x:c>
      <x:c r="G73" s="22" t="n">
        <x:v>2</x:v>
      </x:c>
      <x:c r="H73" s="22" t="str">
        <x:v>C05-M015、C05-M020</x:v>
      </x:c>
      <x:c r="I73" s="22" t="str">
        <x:v>地图共享；韧性不足只提高受处决概率/额外承伤，不自动造成眩晕或停手</x:v>
      </x:c>
    </x:row>
    <x:row r="74" ht="24" customHeight="1">
      <x:c r="A74" s="22" t="str">
        <x:v>XX813</x:v>
      </x:c>
      <x:c r="B74" s="22" t="str">
        <x:v>XX813</x:v>
      </x:c>
      <x:c r="C74" s="22" t="n">
        <x:v>5</x:v>
      </x:c>
      <x:c r="D74" s="22" t="str">
        <x:v>辉石遗迹</x:v>
      </x:c>
      <x:c r="E74" s="22" t="n">
        <x:v>465</x:v>
      </x:c>
      <x:c r="F74" s="22" t="n">
        <x:v>25.5</x:v>
      </x:c>
      <x:c r="G74" s="22" t="n">
        <x:v>2</x:v>
      </x:c>
      <x:c r="H74" s="22" t="str">
        <x:v>C05-M016、C05-M021</x:v>
      </x:c>
      <x:c r="I74" s="22" t="str">
        <x:v>地图共享；韧性不足只提高受处决概率/额外承伤，不自动造成眩晕或停手</x:v>
      </x:c>
    </x:row>
    <x:row r="75" ht="24" customHeight="1">
      <x:c r="A75" s="22" t="str">
        <x:v>XX814</x:v>
      </x:c>
      <x:c r="B75" s="22" t="str">
        <x:v>XX814</x:v>
      </x:c>
      <x:c r="C75" s="22" t="n">
        <x:v>5</x:v>
      </x:c>
      <x:c r="D75" s="22" t="str">
        <x:v>辉石遗迹</x:v>
      </x:c>
      <x:c r="E75" s="22" t="n">
        <x:v>465</x:v>
      </x:c>
      <x:c r="F75" s="22" t="n">
        <x:v>25.5</x:v>
      </x:c>
      <x:c r="G75" s="22" t="n">
        <x:v>3</x:v>
      </x:c>
      <x:c r="H75" s="22" t="str">
        <x:v>C05-M017、C05-M022、C05-M023</x:v>
      </x:c>
      <x:c r="I75" s="22" t="str">
        <x:v>地图共享；韧性不足只提高受处决概率/额外承伤，不自动造成眩晕或停手</x:v>
      </x:c>
    </x:row>
    <x:row r="76" ht="24" customHeight="1">
      <x:c r="A76" s="22" t="str">
        <x:v>XX816</x:v>
      </x:c>
      <x:c r="B76" s="22" t="str">
        <x:v>XX816</x:v>
      </x:c>
      <x:c r="C76" s="22" t="n">
        <x:v>5</x:v>
      </x:c>
      <x:c r="D76" s="22" t="str">
        <x:v>辉石遗迹</x:v>
      </x:c>
      <x:c r="E76" s="22" t="n">
        <x:v>465</x:v>
      </x:c>
      <x:c r="F76" s="22" t="n">
        <x:v>25.5</x:v>
      </x:c>
      <x:c r="G76" s="22" t="n">
        <x:v>2</x:v>
      </x:c>
      <x:c r="H76" s="22" t="str">
        <x:v>C05-M018、C05-M024</x:v>
      </x:c>
      <x:c r="I76" s="22" t="str">
        <x:v>地图共享；韧性不足只提高受处决概率/额外承伤，不自动造成眩晕或停手</x:v>
      </x:c>
    </x:row>
    <x:row r="77" ht="24" customHeight="1">
      <x:c r="A77" s="22" t="str">
        <x:v>XX1053</x:v>
      </x:c>
      <x:c r="B77" s="22" t="str">
        <x:v>XX1053</x:v>
      </x:c>
      <x:c r="C77" s="22" t="n">
        <x:v>5</x:v>
      </x:c>
      <x:c r="D77" s="22" t="str">
        <x:v>学院回廊</x:v>
      </x:c>
      <x:c r="E77" s="22" t="n">
        <x:v>470</x:v>
      </x:c>
      <x:c r="F77" s="22" t="n">
        <x:v>25.5</x:v>
      </x:c>
      <x:c r="G77" s="22" t="n">
        <x:v>3</x:v>
      </x:c>
      <x:c r="H77" s="22" t="str">
        <x:v>C05-M025、C05-M026、C05-M031</x:v>
      </x:c>
      <x:c r="I77" s="22" t="str">
        <x:v>地图共享；韧性不足只提高受处决概率/额外承伤，不自动造成眩晕或停手</x:v>
      </x:c>
    </x:row>
    <x:row r="78" ht="24" customHeight="1">
      <x:c r="A78" s="22" t="str">
        <x:v>XX1060</x:v>
      </x:c>
      <x:c r="B78" s="22" t="str">
        <x:v>XX1060</x:v>
      </x:c>
      <x:c r="C78" s="22" t="n">
        <x:v>5</x:v>
      </x:c>
      <x:c r="D78" s="22" t="str">
        <x:v>学院回廊</x:v>
      </x:c>
      <x:c r="E78" s="22" t="n">
        <x:v>470</x:v>
      </x:c>
      <x:c r="F78" s="22" t="n">
        <x:v>25.5</x:v>
      </x:c>
      <x:c r="G78" s="22" t="n">
        <x:v>4</x:v>
      </x:c>
      <x:c r="H78" s="22" t="str">
        <x:v>C05-M027、C05-M028、C05-M032、C05-M035</x:v>
      </x:c>
      <x:c r="I78" s="22" t="str">
        <x:v>地图共享；韧性不足只提高受处决概率/额外承伤，不自动造成眩晕或停手</x:v>
      </x:c>
    </x:row>
    <x:row r="79" ht="24" customHeight="1">
      <x:c r="A79" s="22" t="str">
        <x:v>XX1058</x:v>
      </x:c>
      <x:c r="B79" s="22" t="str">
        <x:v>XX1058</x:v>
      </x:c>
      <x:c r="C79" s="22" t="n">
        <x:v>5</x:v>
      </x:c>
      <x:c r="D79" s="22" t="str">
        <x:v>学院回廊</x:v>
      </x:c>
      <x:c r="E79" s="22" t="n">
        <x:v>470</x:v>
      </x:c>
      <x:c r="F79" s="22" t="n">
        <x:v>25.5</x:v>
      </x:c>
      <x:c r="G79" s="22" t="n">
        <x:v>5</x:v>
      </x:c>
      <x:c r="H79" s="22" t="str">
        <x:v>C05-M029、C05-M030、C05-M033、C05-M034、C05-M036</x:v>
      </x:c>
      <x:c r="I79" s="22" t="str">
        <x:v>地图共享；韧性不足只提高受处决概率/额外承伤，不自动造成眩晕或停手</x:v>
      </x:c>
    </x:row>
    <x:row r="80" ht="24" customHeight="1">
      <x:c r="A80" s="22" t="str">
        <x:v>XX1063</x:v>
      </x:c>
      <x:c r="B80" s="22" t="str">
        <x:v>XX1063</x:v>
      </x:c>
      <x:c r="C80" s="22" t="n">
        <x:v>5</x:v>
      </x:c>
      <x:c r="D80" s="22" t="str">
        <x:v>满月书库</x:v>
      </x:c>
      <x:c r="E80" s="22" t="n">
        <x:v>500</x:v>
      </x:c>
      <x:c r="F80" s="22" t="n">
        <x:v>25.5</x:v>
      </x:c>
      <x:c r="G80" s="22" t="n">
        <x:v>4</x:v>
      </x:c>
      <x:c r="H80" s="22" t="str">
        <x:v>C05-M037、C05-M038、C05-M043、C05-M046</x:v>
      </x:c>
      <x:c r="I80" s="22" t="str">
        <x:v>地图共享；韧性不足只提高受处决概率/额外承伤，不自动造成眩晕或停手</x:v>
      </x:c>
    </x:row>
    <x:row r="81" ht="24" customHeight="1">
      <x:c r="A81" s="22" t="str">
        <x:v>XX1065</x:v>
      </x:c>
      <x:c r="B81" s="22" t="str">
        <x:v>XX1065</x:v>
      </x:c>
      <x:c r="C81" s="22" t="n">
        <x:v>5</x:v>
      </x:c>
      <x:c r="D81" s="22" t="str">
        <x:v>满月书库</x:v>
      </x:c>
      <x:c r="E81" s="22" t="n">
        <x:v>500</x:v>
      </x:c>
      <x:c r="F81" s="22" t="n">
        <x:v>25.5</x:v>
      </x:c>
      <x:c r="G81" s="22" t="n">
        <x:v>4</x:v>
      </x:c>
      <x:c r="H81" s="22" t="str">
        <x:v>C05-M039、C05-M040、C05-M044、C05-M047</x:v>
      </x:c>
      <x:c r="I81" s="22" t="str">
        <x:v>地图共享；韧性不足只提高受处决概率/额外承伤，不自动造成眩晕或停手</x:v>
      </x:c>
    </x:row>
    <x:row r="82" ht="24" customHeight="1">
      <x:c r="A82" s="22" t="str">
        <x:v>XX1066</x:v>
      </x:c>
      <x:c r="B82" s="22" t="str">
        <x:v>XX1066</x:v>
      </x:c>
      <x:c r="C82" s="22" t="n">
        <x:v>5</x:v>
      </x:c>
      <x:c r="D82" s="22" t="str">
        <x:v>满月书库</x:v>
      </x:c>
      <x:c r="E82" s="22" t="n">
        <x:v>500</x:v>
      </x:c>
      <x:c r="F82" s="22" t="n">
        <x:v>25.5</x:v>
      </x:c>
      <x:c r="G82" s="22" t="n">
        <x:v>4</x:v>
      </x:c>
      <x:c r="H82" s="22" t="str">
        <x:v>C05-M041、C05-M042、C05-M045、C05-M048</x:v>
      </x:c>
      <x:c r="I82" s="22" t="str">
        <x:v>地图共享；韧性不足只提高受处决概率/额外承伤，不自动造成眩晕或停手</x:v>
      </x:c>
    </x:row>
    <x:row r="83" ht="24" customHeight="1">
      <x:c r="A83" s="22" t="str">
        <x:v>XX377</x:v>
      </x:c>
      <x:c r="B83" s="22" t="str">
        <x:v>XX377</x:v>
      </x:c>
      <x:c r="C83" s="22" t="n">
        <x:v>5</x:v>
      </x:c>
      <x:c r="D83" s="22" t="str">
        <x:v>月影水宫</x:v>
      </x:c>
      <x:c r="E83" s="22" t="n">
        <x:v>505</x:v>
      </x:c>
      <x:c r="F83" s="22" t="n">
        <x:v>25.5</x:v>
      </x:c>
      <x:c r="G83" s="22" t="n">
        <x:v>4</x:v>
      </x:c>
      <x:c r="H83" s="22" t="str">
        <x:v>C05-M049、C05-M050、C05-M055、C05-M058</x:v>
      </x:c>
      <x:c r="I83" s="22" t="str">
        <x:v>地图共享；韧性不足只提高受处决概率/额外承伤，不自动造成眩晕或停手</x:v>
      </x:c>
    </x:row>
    <x:row r="84" ht="24" customHeight="1">
      <x:c r="A84" s="22" t="str">
        <x:v>XX378</x:v>
      </x:c>
      <x:c r="B84" s="22" t="str">
        <x:v>XX378</x:v>
      </x:c>
      <x:c r="C84" s="22" t="n">
        <x:v>5</x:v>
      </x:c>
      <x:c r="D84" s="22" t="str">
        <x:v>月影水宫</x:v>
      </x:c>
      <x:c r="E84" s="22" t="n">
        <x:v>505</x:v>
      </x:c>
      <x:c r="F84" s="22" t="n">
        <x:v>25.5</x:v>
      </x:c>
      <x:c r="G84" s="22" t="n">
        <x:v>4</x:v>
      </x:c>
      <x:c r="H84" s="22" t="str">
        <x:v>C05-M051、C05-M052、C05-M056、C05-M059</x:v>
      </x:c>
      <x:c r="I84" s="22" t="str">
        <x:v>地图共享；韧性不足只提高受处决概率/额外承伤，不自动造成眩晕或停手</x:v>
      </x:c>
    </x:row>
    <x:row r="85" ht="24" customHeight="1">
      <x:c r="A85" s="22" t="str">
        <x:v>XX379</x:v>
      </x:c>
      <x:c r="B85" s="22" t="str">
        <x:v>XX379</x:v>
      </x:c>
      <x:c r="C85" s="22" t="n">
        <x:v>5</x:v>
      </x:c>
      <x:c r="D85" s="22" t="str">
        <x:v>月影水宫</x:v>
      </x:c>
      <x:c r="E85" s="22" t="n">
        <x:v>505</x:v>
      </x:c>
      <x:c r="F85" s="22" t="n">
        <x:v>25.5</x:v>
      </x:c>
      <x:c r="G85" s="22" t="n">
        <x:v>4</x:v>
      </x:c>
      <x:c r="H85" s="22" t="str">
        <x:v>C05-M053、C05-M054、C05-M057、C05-M060</x:v>
      </x:c>
      <x:c r="I85" s="22" t="str">
        <x:v>地图共享；韧性不足只提高受处决概率/额外承伤，不自动造成眩晕或停手</x:v>
      </x:c>
    </x:row>
    <x:row r="86" ht="24" customHeight="1">
      <x:c r="A86" s="22" t="str">
        <x:v>XX927</x:v>
      </x:c>
      <x:c r="B86" s="22" t="str">
        <x:v>XX927</x:v>
      </x:c>
      <x:c r="C86" s="22" t="n">
        <x:v>5</x:v>
      </x:c>
      <x:c r="D86" s="22" t="str">
        <x:v>卡利亚禁域</x:v>
      </x:c>
      <x:c r="E86" s="22" t="n">
        <x:v>515</x:v>
      </x:c>
      <x:c r="F86" s="22" t="n">
        <x:v>25.5</x:v>
      </x:c>
      <x:c r="G86" s="22" t="n">
        <x:v>3</x:v>
      </x:c>
      <x:c r="H86" s="22" t="str">
        <x:v>C05-M061、C05-M062、C05-M067</x:v>
      </x:c>
      <x:c r="I86" s="22" t="str">
        <x:v>地图共享；韧性不足只提高受处决概率/额外承伤，不自动造成眩晕或停手</x:v>
      </x:c>
    </x:row>
    <x:row r="87" ht="24" customHeight="1">
      <x:c r="A87" s="22" t="str">
        <x:v>XX925</x:v>
      </x:c>
      <x:c r="B87" s="22" t="str">
        <x:v>XX925</x:v>
      </x:c>
      <x:c r="C87" s="22" t="n">
        <x:v>5</x:v>
      </x:c>
      <x:c r="D87" s="22" t="str">
        <x:v>卡利亚禁域</x:v>
      </x:c>
      <x:c r="E87" s="22" t="n">
        <x:v>515</x:v>
      </x:c>
      <x:c r="F87" s="22" t="n">
        <x:v>25.5</x:v>
      </x:c>
      <x:c r="G87" s="22" t="n">
        <x:v>2</x:v>
      </x:c>
      <x:c r="H87" s="22" t="str">
        <x:v>C05-M063、C05-M068</x:v>
      </x:c>
      <x:c r="I87" s="22" t="str">
        <x:v>地图共享；韧性不足只提高受处决概率/额外承伤，不自动造成眩晕或停手</x:v>
      </x:c>
    </x:row>
    <x:row r="88" ht="24" customHeight="1">
      <x:c r="A88" s="22" t="str">
        <x:v>XX926</x:v>
      </x:c>
      <x:c r="B88" s="22" t="str">
        <x:v>XX926</x:v>
      </x:c>
      <x:c r="C88" s="22" t="n">
        <x:v>5</x:v>
      </x:c>
      <x:c r="D88" s="22" t="str">
        <x:v>卡利亚禁域</x:v>
      </x:c>
      <x:c r="E88" s="22" t="n">
        <x:v>515</x:v>
      </x:c>
      <x:c r="F88" s="22" t="n">
        <x:v>25.5</x:v>
      </x:c>
      <x:c r="G88" s="22" t="n">
        <x:v>2</x:v>
      </x:c>
      <x:c r="H88" s="22" t="str">
        <x:v>C05-M064、C05-M069</x:v>
      </x:c>
      <x:c r="I88" s="22" t="str">
        <x:v>地图共享；韧性不足只提高受处决概率/额外承伤，不自动造成眩晕或停手</x:v>
      </x:c>
    </x:row>
    <x:row r="89" ht="24" customHeight="1">
      <x:c r="A89" s="22" t="str">
        <x:v>XX923</x:v>
      </x:c>
      <x:c r="B89" s="22" t="str">
        <x:v>XX923</x:v>
      </x:c>
      <x:c r="C89" s="22" t="n">
        <x:v>5</x:v>
      </x:c>
      <x:c r="D89" s="22" t="str">
        <x:v>卡利亚禁域</x:v>
      </x:c>
      <x:c r="E89" s="22" t="n">
        <x:v>515</x:v>
      </x:c>
      <x:c r="F89" s="22" t="n">
        <x:v>25.5</x:v>
      </x:c>
      <x:c r="G89" s="22" t="n">
        <x:v>3</x:v>
      </x:c>
      <x:c r="H89" s="22" t="str">
        <x:v>C05-M065、C05-M070、C05-M071</x:v>
      </x:c>
      <x:c r="I89" s="22" t="str">
        <x:v>地图共享；韧性不足只提高受处决概率/额外承伤，不自动造成眩晕或停手</x:v>
      </x:c>
    </x:row>
    <x:row r="90" ht="24" customHeight="1">
      <x:c r="A90" s="22" t="str">
        <x:v>XX924</x:v>
      </x:c>
      <x:c r="B90" s="22" t="str">
        <x:v>XX924</x:v>
      </x:c>
      <x:c r="C90" s="22" t="n">
        <x:v>5</x:v>
      </x:c>
      <x:c r="D90" s="22" t="str">
        <x:v>卡利亚禁域</x:v>
      </x:c>
      <x:c r="E90" s="22" t="n">
        <x:v>580</x:v>
      </x:c>
      <x:c r="F90" s="22" t="n">
        <x:v>31</x:v>
      </x:c>
      <x:c r="G90" s="22" t="n">
        <x:v>3</x:v>
      </x:c>
      <x:c r="H90" s="22" t="str">
        <x:v>C05-M066、C05-M072、C05-M073</x:v>
      </x:c>
      <x:c r="I90" s="22" t="str">
        <x:v>地图共享；韧性不足只提高受处决概率/额外承伤，不自动造成眩晕或停手</x:v>
      </x:c>
    </x:row>
    <x:row r="91" ht="24" customHeight="1">
      <x:c r="A91" s="22" t="str">
        <x:v>XX304</x:v>
      </x:c>
      <x:c r="B91" s="22" t="str">
        <x:v>XX304</x:v>
      </x:c>
      <x:c r="C91" s="22" t="n">
        <x:v>6</x:v>
      </x:c>
      <x:c r="D91" s="22" t="str">
        <x:v>猩红熔原</x:v>
      </x:c>
      <x:c r="E91" s="22" t="n">
        <x:v>580</x:v>
      </x:c>
      <x:c r="F91" s="22" t="n">
        <x:v>30</x:v>
      </x:c>
      <x:c r="G91" s="22" t="n">
        <x:v>3</x:v>
      </x:c>
      <x:c r="H91" s="22" t="str">
        <x:v>C06-M001、C06-M006、C06-M007</x:v>
      </x:c>
      <x:c r="I91" s="22" t="str">
        <x:v>地图共享；韧性不足只提高受处决概率/额外承伤，不自动造成眩晕或停手</x:v>
      </x:c>
    </x:row>
    <x:row r="92" ht="24" customHeight="1">
      <x:c r="A92" s="22" t="str">
        <x:v>XX305</x:v>
      </x:c>
      <x:c r="B92" s="22" t="str">
        <x:v>XX305</x:v>
      </x:c>
      <x:c r="C92" s="22" t="n">
        <x:v>6</x:v>
      </x:c>
      <x:c r="D92" s="22" t="str">
        <x:v>猩红熔原</x:v>
      </x:c>
      <x:c r="E92" s="22" t="n">
        <x:v>580</x:v>
      </x:c>
      <x:c r="F92" s="22" t="n">
        <x:v>30</x:v>
      </x:c>
      <x:c r="G92" s="22" t="n">
        <x:v>2</x:v>
      </x:c>
      <x:c r="H92" s="22" t="str">
        <x:v>C06-M002、C06-M008</x:v>
      </x:c>
      <x:c r="I92" s="22" t="str">
        <x:v>地图共享；韧性不足只提高受处决概率/额外承伤，不自动造成眩晕或停手</x:v>
      </x:c>
    </x:row>
    <x:row r="93" ht="24" customHeight="1">
      <x:c r="A93" s="22" t="str">
        <x:v>XX306</x:v>
      </x:c>
      <x:c r="B93" s="22" t="str">
        <x:v>XX306</x:v>
      </x:c>
      <x:c r="C93" s="22" t="n">
        <x:v>6</x:v>
      </x:c>
      <x:c r="D93" s="22" t="str">
        <x:v>猩红熔原</x:v>
      </x:c>
      <x:c r="E93" s="22" t="n">
        <x:v>580</x:v>
      </x:c>
      <x:c r="F93" s="22" t="n">
        <x:v>30</x:v>
      </x:c>
      <x:c r="G93" s="22" t="n">
        <x:v>2</x:v>
      </x:c>
      <x:c r="H93" s="22" t="str">
        <x:v>C06-M003、C06-M009</x:v>
      </x:c>
      <x:c r="I93" s="22" t="str">
        <x:v>地图共享；韧性不足只提高受处决概率/额外承伤，不自动造成眩晕或停手</x:v>
      </x:c>
    </x:row>
    <x:row r="94" ht="24" customHeight="1">
      <x:c r="A94" s="22" t="str">
        <x:v>XX307</x:v>
      </x:c>
      <x:c r="B94" s="22" t="str">
        <x:v>XX307</x:v>
      </x:c>
      <x:c r="C94" s="22" t="n">
        <x:v>6</x:v>
      </x:c>
      <x:c r="D94" s="22" t="str">
        <x:v>猩红熔原</x:v>
      </x:c>
      <x:c r="E94" s="22" t="n">
        <x:v>580</x:v>
      </x:c>
      <x:c r="F94" s="22" t="n">
        <x:v>30</x:v>
      </x:c>
      <x:c r="G94" s="22" t="n">
        <x:v>3</x:v>
      </x:c>
      <x:c r="H94" s="22" t="str">
        <x:v>C06-M004、C06-M010、C06-M011</x:v>
      </x:c>
      <x:c r="I94" s="22" t="str">
        <x:v>地图共享；韧性不足只提高受处决概率/额外承伤，不自动造成眩晕或停手</x:v>
      </x:c>
    </x:row>
    <x:row r="95" ht="24" customHeight="1">
      <x:c r="A95" s="22" t="str">
        <x:v>XX308</x:v>
      </x:c>
      <x:c r="B95" s="22" t="str">
        <x:v>XX308</x:v>
      </x:c>
      <x:c r="C95" s="22" t="n">
        <x:v>6</x:v>
      </x:c>
      <x:c r="D95" s="22" t="str">
        <x:v>猩红熔原</x:v>
      </x:c>
      <x:c r="E95" s="22" t="n">
        <x:v>580</x:v>
      </x:c>
      <x:c r="F95" s="22" t="n">
        <x:v>30</x:v>
      </x:c>
      <x:c r="G95" s="22" t="n">
        <x:v>2</x:v>
      </x:c>
      <x:c r="H95" s="22" t="str">
        <x:v>C06-M005、C06-M012</x:v>
      </x:c>
      <x:c r="I95" s="22" t="str">
        <x:v>地图共享；韧性不足只提高受处决概率/额外承伤，不自动造成眩晕或停手</x:v>
      </x:c>
    </x:row>
    <x:row r="96" ht="24" customHeight="1">
      <x:c r="A96" s="22" t="str">
        <x:v>XX357</x:v>
      </x:c>
      <x:c r="B96" s="22" t="str">
        <x:v>XX357</x:v>
      </x:c>
      <x:c r="C96" s="22" t="n">
        <x:v>6</x:v>
      </x:c>
      <x:c r="D96" s="22" t="str">
        <x:v>腐败火狱</x:v>
      </x:c>
      <x:c r="E96" s="22" t="n">
        <x:v>590</x:v>
      </x:c>
      <x:c r="F96" s="22" t="n">
        <x:v>30</x:v>
      </x:c>
      <x:c r="G96" s="22" t="n">
        <x:v>3</x:v>
      </x:c>
      <x:c r="H96" s="22" t="str">
        <x:v>C06-M013、C06-M018、C06-M019</x:v>
      </x:c>
      <x:c r="I96" s="22" t="str">
        <x:v>地图共享；韧性不足只提高受处决概率/额外承伤，不自动造成眩晕或停手</x:v>
      </x:c>
    </x:row>
    <x:row r="97" ht="24" customHeight="1">
      <x:c r="A97" s="22" t="str">
        <x:v>XX358</x:v>
      </x:c>
      <x:c r="B97" s="22" t="str">
        <x:v>XX358</x:v>
      </x:c>
      <x:c r="C97" s="22" t="n">
        <x:v>6</x:v>
      </x:c>
      <x:c r="D97" s="22" t="str">
        <x:v>腐败火狱</x:v>
      </x:c>
      <x:c r="E97" s="22" t="n">
        <x:v>590</x:v>
      </x:c>
      <x:c r="F97" s="22" t="n">
        <x:v>30</x:v>
      </x:c>
      <x:c r="G97" s="22" t="n">
        <x:v>2</x:v>
      </x:c>
      <x:c r="H97" s="22" t="str">
        <x:v>C06-M014、C06-M020</x:v>
      </x:c>
      <x:c r="I97" s="22" t="str">
        <x:v>地图共享；韧性不足只提高受处决概率/额外承伤，不自动造成眩晕或停手</x:v>
      </x:c>
    </x:row>
    <x:row r="98" ht="24" customHeight="1">
      <x:c r="A98" s="22" t="str">
        <x:v>XX359</x:v>
      </x:c>
      <x:c r="B98" s="22" t="str">
        <x:v>XX359</x:v>
      </x:c>
      <x:c r="C98" s="22" t="n">
        <x:v>6</x:v>
      </x:c>
      <x:c r="D98" s="22" t="str">
        <x:v>腐败火狱</x:v>
      </x:c>
      <x:c r="E98" s="22" t="n">
        <x:v>590</x:v>
      </x:c>
      <x:c r="F98" s="22" t="n">
        <x:v>30</x:v>
      </x:c>
      <x:c r="G98" s="22" t="n">
        <x:v>2</x:v>
      </x:c>
      <x:c r="H98" s="22" t="str">
        <x:v>C06-M015、C06-M021</x:v>
      </x:c>
      <x:c r="I98" s="22" t="str">
        <x:v>地图共享；韧性不足只提高受处决概率/额外承伤，不自动造成眩晕或停手</x:v>
      </x:c>
    </x:row>
    <x:row r="99" ht="24" customHeight="1">
      <x:c r="A99" s="22" t="str">
        <x:v>XX360</x:v>
      </x:c>
      <x:c r="B99" s="22" t="str">
        <x:v>XX360</x:v>
      </x:c>
      <x:c r="C99" s="22" t="n">
        <x:v>6</x:v>
      </x:c>
      <x:c r="D99" s="22" t="str">
        <x:v>腐败火狱</x:v>
      </x:c>
      <x:c r="E99" s="22" t="n">
        <x:v>590</x:v>
      </x:c>
      <x:c r="F99" s="22" t="n">
        <x:v>30</x:v>
      </x:c>
      <x:c r="G99" s="22" t="n">
        <x:v>3</x:v>
      </x:c>
      <x:c r="H99" s="22" t="str">
        <x:v>C06-M016、C06-M022、C06-M023</x:v>
      </x:c>
      <x:c r="I99" s="22" t="str">
        <x:v>地图共享；韧性不足只提高受处决概率/额外承伤，不自动造成眩晕或停手</x:v>
      </x:c>
    </x:row>
    <x:row r="100" ht="24" customHeight="1">
      <x:c r="A100" s="22" t="str">
        <x:v>XX361</x:v>
      </x:c>
      <x:c r="B100" s="22" t="str">
        <x:v>XX361</x:v>
      </x:c>
      <x:c r="C100" s="22" t="n">
        <x:v>6</x:v>
      </x:c>
      <x:c r="D100" s="22" t="str">
        <x:v>腐败火狱</x:v>
      </x:c>
      <x:c r="E100" s="22" t="n">
        <x:v>590</x:v>
      </x:c>
      <x:c r="F100" s="22" t="n">
        <x:v>30</x:v>
      </x:c>
      <x:c r="G100" s="22" t="n">
        <x:v>2</x:v>
      </x:c>
      <x:c r="H100" s="22" t="str">
        <x:v>C06-M017、C06-M024</x:v>
      </x:c>
      <x:c r="I100" s="22" t="str">
        <x:v>地图共享；韧性不足只提高受处决概率/额外承伤，不自动造成眩晕或停手</x:v>
      </x:c>
    </x:row>
    <x:row r="101" ht="24" customHeight="1">
      <x:c r="A101" s="22" t="str">
        <x:v>XX485</x:v>
      </x:c>
      <x:c r="B101" s="22" t="str">
        <x:v>XX485</x:v>
      </x:c>
      <x:c r="C101" s="22" t="n">
        <x:v>6</x:v>
      </x:c>
      <x:c r="D101" s="22" t="str">
        <x:v>红狮龙窟</x:v>
      </x:c>
      <x:c r="E101" s="22" t="n">
        <x:v>595</x:v>
      </x:c>
      <x:c r="F101" s="22" t="n">
        <x:v>30</x:v>
      </x:c>
      <x:c r="G101" s="22" t="n">
        <x:v>3</x:v>
      </x:c>
      <x:c r="H101" s="22" t="str">
        <x:v>C06-M025、C06-M030、C06-M031</x:v>
      </x:c>
      <x:c r="I101" s="22" t="str">
        <x:v>地图共享；韧性不足只提高受处决概率/额外承伤，不自动造成眩晕或停手</x:v>
      </x:c>
    </x:row>
    <x:row r="102" ht="24" customHeight="1">
      <x:c r="A102" s="22" t="str">
        <x:v>XX484</x:v>
      </x:c>
      <x:c r="B102" s="22" t="str">
        <x:v>XX484</x:v>
      </x:c>
      <x:c r="C102" s="22" t="n">
        <x:v>6</x:v>
      </x:c>
      <x:c r="D102" s="22" t="str">
        <x:v>红狮龙窟</x:v>
      </x:c>
      <x:c r="E102" s="22" t="n">
        <x:v>595</x:v>
      </x:c>
      <x:c r="F102" s="22" t="n">
        <x:v>30</x:v>
      </x:c>
      <x:c r="G102" s="22" t="n">
        <x:v>2</x:v>
      </x:c>
      <x:c r="H102" s="22" t="str">
        <x:v>C06-M026、C06-M032</x:v>
      </x:c>
      <x:c r="I102" s="22" t="str">
        <x:v>地图共享；韧性不足只提高受处决概率/额外承伤，不自动造成眩晕或停手</x:v>
      </x:c>
    </x:row>
    <x:row r="103" ht="24" customHeight="1">
      <x:c r="A103" s="22" t="str">
        <x:v>XX483</x:v>
      </x:c>
      <x:c r="B103" s="22" t="str">
        <x:v>XX483</x:v>
      </x:c>
      <x:c r="C103" s="22" t="n">
        <x:v>6</x:v>
      </x:c>
      <x:c r="D103" s="22" t="str">
        <x:v>红狮龙窟</x:v>
      </x:c>
      <x:c r="E103" s="22" t="n">
        <x:v>595</x:v>
      </x:c>
      <x:c r="F103" s="22" t="n">
        <x:v>30</x:v>
      </x:c>
      <x:c r="G103" s="22" t="n">
        <x:v>2</x:v>
      </x:c>
      <x:c r="H103" s="22" t="str">
        <x:v>C06-M027、C06-M033</x:v>
      </x:c>
      <x:c r="I103" s="22" t="str">
        <x:v>地图共享；韧性不足只提高受处决概率/额外承伤，不自动造成眩晕或停手</x:v>
      </x:c>
    </x:row>
    <x:row r="104" ht="24" customHeight="1">
      <x:c r="A104" s="22" t="str">
        <x:v>XX482</x:v>
      </x:c>
      <x:c r="B104" s="22" t="str">
        <x:v>XX482</x:v>
      </x:c>
      <x:c r="C104" s="22" t="n">
        <x:v>6</x:v>
      </x:c>
      <x:c r="D104" s="22" t="str">
        <x:v>红狮龙窟</x:v>
      </x:c>
      <x:c r="E104" s="22" t="n">
        <x:v>595</x:v>
      </x:c>
      <x:c r="F104" s="22" t="n">
        <x:v>30</x:v>
      </x:c>
      <x:c r="G104" s="22" t="n">
        <x:v>3</x:v>
      </x:c>
      <x:c r="H104" s="22" t="str">
        <x:v>C06-M028、C06-M034、C06-M035</x:v>
      </x:c>
      <x:c r="I104" s="22" t="str">
        <x:v>地图共享；韧性不足只提高受处决概率/额外承伤，不自动造成眩晕或停手</x:v>
      </x:c>
    </x:row>
    <x:row r="105" ht="24" customHeight="1">
      <x:c r="A105" s="22" t="str">
        <x:v>XX481</x:v>
      </x:c>
      <x:c r="B105" s="22" t="str">
        <x:v>XX481</x:v>
      </x:c>
      <x:c r="C105" s="22" t="n">
        <x:v>6</x:v>
      </x:c>
      <x:c r="D105" s="22" t="str">
        <x:v>红狮龙窟</x:v>
      </x:c>
      <x:c r="E105" s="22" t="n">
        <x:v>755</x:v>
      </x:c>
      <x:c r="F105" s="22" t="n">
        <x:v>32</x:v>
      </x:c>
      <x:c r="G105" s="22" t="n">
        <x:v>3</x:v>
      </x:c>
      <x:c r="H105" s="22" t="str">
        <x:v>C06-M029、C06-M036、C06-M037</x:v>
      </x:c>
      <x:c r="I105" s="22" t="str">
        <x:v>地图共享；韧性不足只提高受处决概率/额外承伤，不自动造成眩晕或停手</x:v>
      </x:c>
    </x:row>
    <x:row r="106" ht="24" customHeight="1">
      <x:c r="A106" s="22" t="str">
        <x:v>XX149</x:v>
      </x:c>
      <x:c r="B106" s="22" t="str">
        <x:v>XX149</x:v>
      </x:c>
      <x:c r="C106" s="22" t="n">
        <x:v>7</x:v>
      </x:c>
      <x:c r="D106" s="22" t="str">
        <x:v>苍白雪原</x:v>
      </x:c>
      <x:c r="E106" s="22" t="n">
        <x:v>755</x:v>
      </x:c>
      <x:c r="F106" s="22" t="n">
        <x:v>31</x:v>
      </x:c>
      <x:c r="G106" s="22" t="n">
        <x:v>3</x:v>
      </x:c>
      <x:c r="H106" s="22" t="str">
        <x:v>C07-M001、C07-M005、C07-M007</x:v>
      </x:c>
      <x:c r="I106" s="22" t="str">
        <x:v>地图共享；韧性不足只提高受处决概率/额外承伤，不自动造成眩晕或停手</x:v>
      </x:c>
    </x:row>
    <x:row r="107" ht="24" customHeight="1">
      <x:c r="A107" s="22" t="str">
        <x:v>XX148</x:v>
      </x:c>
      <x:c r="B107" s="22" t="str">
        <x:v>XX148</x:v>
      </x:c>
      <x:c r="C107" s="22" t="n">
        <x:v>7</x:v>
      </x:c>
      <x:c r="D107" s="22" t="str">
        <x:v>苍白雪原</x:v>
      </x:c>
      <x:c r="E107" s="22" t="n">
        <x:v>755</x:v>
      </x:c>
      <x:c r="F107" s="22" t="n">
        <x:v>31</x:v>
      </x:c>
      <x:c r="G107" s="22" t="n">
        <x:v>3</x:v>
      </x:c>
      <x:c r="H107" s="22" t="str">
        <x:v>C07-M002、C07-M006、C07-M008</x:v>
      </x:c>
      <x:c r="I107" s="22" t="str">
        <x:v>地图共享；韧性不足只提高受处决概率/额外承伤，不自动造成眩晕或停手</x:v>
      </x:c>
    </x:row>
    <x:row r="108" ht="24" customHeight="1">
      <x:c r="A108" s="22" t="str">
        <x:v>XX147</x:v>
      </x:c>
      <x:c r="B108" s="22" t="str">
        <x:v>XX147</x:v>
      </x:c>
      <x:c r="C108" s="22" t="n">
        <x:v>7</x:v>
      </x:c>
      <x:c r="D108" s="22" t="str">
        <x:v>苍白雪原</x:v>
      </x:c>
      <x:c r="E108" s="22" t="n">
        <x:v>755</x:v>
      </x:c>
      <x:c r="F108" s="22" t="n">
        <x:v>31</x:v>
      </x:c>
      <x:c r="G108" s="22" t="n">
        <x:v>3</x:v>
      </x:c>
      <x:c r="H108" s="22" t="str">
        <x:v>C07-M003、C07-M009、C07-M011</x:v>
      </x:c>
      <x:c r="I108" s="22" t="str">
        <x:v>地图共享；韧性不足只提高受处决概率/额外承伤，不自动造成眩晕或停手</x:v>
      </x:c>
    </x:row>
    <x:row r="109" ht="24" customHeight="1">
      <x:c r="A109" s="22" t="str">
        <x:v>XX150</x:v>
      </x:c>
      <x:c r="B109" s="22" t="str">
        <x:v>XX150</x:v>
      </x:c>
      <x:c r="C109" s="22" t="n">
        <x:v>7</x:v>
      </x:c>
      <x:c r="D109" s="22" t="str">
        <x:v>苍白雪原</x:v>
      </x:c>
      <x:c r="E109" s="22" t="n">
        <x:v>755</x:v>
      </x:c>
      <x:c r="F109" s="22" t="n">
        <x:v>31</x:v>
      </x:c>
      <x:c r="G109" s="22" t="n">
        <x:v>3</x:v>
      </x:c>
      <x:c r="H109" s="22" t="str">
        <x:v>C07-M004、C07-M010、C07-M012</x:v>
      </x:c>
      <x:c r="I109" s="22" t="str">
        <x:v>地图共享；韧性不足只提高受处决概率/额外承伤，不自动造成眩晕或停手</x:v>
      </x:c>
    </x:row>
    <x:row r="110" ht="24" customHeight="1">
      <x:c r="A110" s="22" t="str">
        <x:v>XX904</x:v>
      </x:c>
      <x:c r="B110" s="22" t="str">
        <x:v>XX904</x:v>
      </x:c>
      <x:c r="C110" s="22" t="n">
        <x:v>7</x:v>
      </x:c>
      <x:c r="D110" s="22" t="str">
        <x:v>永冻荒境</x:v>
      </x:c>
      <x:c r="E110" s="22" t="n">
        <x:v>765</x:v>
      </x:c>
      <x:c r="F110" s="22" t="n">
        <x:v>31</x:v>
      </x:c>
      <x:c r="G110" s="22" t="n">
        <x:v>3</x:v>
      </x:c>
      <x:c r="H110" s="22" t="str">
        <x:v>C07-M013、C07-M017、C07-M019</x:v>
      </x:c>
      <x:c r="I110" s="22" t="str">
        <x:v>地图共享；韧性不足只提高受处决概率/额外承伤，不自动造成眩晕或停手</x:v>
      </x:c>
    </x:row>
    <x:row r="111" ht="24" customHeight="1">
      <x:c r="A111" s="22" t="str">
        <x:v>XX906</x:v>
      </x:c>
      <x:c r="B111" s="22" t="str">
        <x:v>XX906</x:v>
      </x:c>
      <x:c r="C111" s="22" t="n">
        <x:v>7</x:v>
      </x:c>
      <x:c r="D111" s="22" t="str">
        <x:v>永冻荒境</x:v>
      </x:c>
      <x:c r="E111" s="22" t="n">
        <x:v>765</x:v>
      </x:c>
      <x:c r="F111" s="22" t="n">
        <x:v>31</x:v>
      </x:c>
      <x:c r="G111" s="22" t="n">
        <x:v>3</x:v>
      </x:c>
      <x:c r="H111" s="22" t="str">
        <x:v>C07-M014、C07-M018、C07-M020</x:v>
      </x:c>
      <x:c r="I111" s="22" t="str">
        <x:v>地图共享；韧性不足只提高受处决概率/额外承伤，不自动造成眩晕或停手</x:v>
      </x:c>
    </x:row>
    <x:row r="112" ht="24" customHeight="1">
      <x:c r="A112" s="22" t="str">
        <x:v>XX907</x:v>
      </x:c>
      <x:c r="B112" s="22" t="str">
        <x:v>XX907</x:v>
      </x:c>
      <x:c r="C112" s="22" t="n">
        <x:v>7</x:v>
      </x:c>
      <x:c r="D112" s="22" t="str">
        <x:v>永冻荒境</x:v>
      </x:c>
      <x:c r="E112" s="22" t="n">
        <x:v>765</x:v>
      </x:c>
      <x:c r="F112" s="22" t="n">
        <x:v>31</x:v>
      </x:c>
      <x:c r="G112" s="22" t="n">
        <x:v>3</x:v>
      </x:c>
      <x:c r="H112" s="22" t="str">
        <x:v>C07-M015、C07-M021、C07-M023</x:v>
      </x:c>
      <x:c r="I112" s="22" t="str">
        <x:v>地图共享；韧性不足只提高受处决概率/额外承伤，不自动造成眩晕或停手</x:v>
      </x:c>
    </x:row>
    <x:row r="113" ht="24" customHeight="1">
      <x:c r="A113" s="22" t="str">
        <x:v>XX905</x:v>
      </x:c>
      <x:c r="B113" s="22" t="str">
        <x:v>XX905</x:v>
      </x:c>
      <x:c r="C113" s="22" t="n">
        <x:v>7</x:v>
      </x:c>
      <x:c r="D113" s="22" t="str">
        <x:v>永冻荒境</x:v>
      </x:c>
      <x:c r="E113" s="22" t="n">
        <x:v>765</x:v>
      </x:c>
      <x:c r="F113" s="22" t="n">
        <x:v>31</x:v>
      </x:c>
      <x:c r="G113" s="22" t="n">
        <x:v>3</x:v>
      </x:c>
      <x:c r="H113" s="22" t="str">
        <x:v>C07-M016、C07-M022、C07-M024</x:v>
      </x:c>
      <x:c r="I113" s="22" t="str">
        <x:v>地图共享；韧性不足只提高受处决概率/额外承伤，不自动造成眩晕或停手</x:v>
      </x:c>
    </x:row>
    <x:row r="114" ht="24" customHeight="1">
      <x:c r="A114" s="22" t="str">
        <x:v>XX912</x:v>
      </x:c>
      <x:c r="B114" s="22" t="str">
        <x:v>XX912</x:v>
      </x:c>
      <x:c r="C114" s="22" t="n">
        <x:v>7</x:v>
      </x:c>
      <x:c r="D114" s="22" t="str">
        <x:v>极寒禁域</x:v>
      </x:c>
      <x:c r="E114" s="22" t="n">
        <x:v>770</x:v>
      </x:c>
      <x:c r="F114" s="22" t="n">
        <x:v>31</x:v>
      </x:c>
      <x:c r="G114" s="22" t="n">
        <x:v>2</x:v>
      </x:c>
      <x:c r="H114" s="22" t="str">
        <x:v>C07-M025、C07-M030</x:v>
      </x:c>
      <x:c r="I114" s="22" t="str">
        <x:v>地图共享；韧性不足只提高受处决概率/额外承伤，不自动造成眩晕或停手</x:v>
      </x:c>
    </x:row>
    <x:row r="115" ht="24" customHeight="1">
      <x:c r="A115" s="22" t="str">
        <x:v>XX908</x:v>
      </x:c>
      <x:c r="B115" s="22" t="str">
        <x:v>XX908</x:v>
      </x:c>
      <x:c r="C115" s="22" t="n">
        <x:v>7</x:v>
      </x:c>
      <x:c r="D115" s="22" t="str">
        <x:v>极寒禁域</x:v>
      </x:c>
      <x:c r="E115" s="22" t="n">
        <x:v>770</x:v>
      </x:c>
      <x:c r="F115" s="22" t="n">
        <x:v>31</x:v>
      </x:c>
      <x:c r="G115" s="22" t="n">
        <x:v>2</x:v>
      </x:c>
      <x:c r="H115" s="22" t="str">
        <x:v>C07-M026、C07-M031</x:v>
      </x:c>
      <x:c r="I115" s="22" t="str">
        <x:v>地图共享；韧性不足只提高受处决概率/额外承伤，不自动造成眩晕或停手</x:v>
      </x:c>
    </x:row>
    <x:row r="116" ht="24" customHeight="1">
      <x:c r="A116" s="22" t="str">
        <x:v>XX909</x:v>
      </x:c>
      <x:c r="B116" s="22" t="str">
        <x:v>XX909</x:v>
      </x:c>
      <x:c r="C116" s="22" t="n">
        <x:v>7</x:v>
      </x:c>
      <x:c r="D116" s="22" t="str">
        <x:v>极寒禁域</x:v>
      </x:c>
      <x:c r="E116" s="22" t="n">
        <x:v>770</x:v>
      </x:c>
      <x:c r="F116" s="22" t="n">
        <x:v>31</x:v>
      </x:c>
      <x:c r="G116" s="22" t="n">
        <x:v>2</x:v>
      </x:c>
      <x:c r="H116" s="22" t="str">
        <x:v>C07-M027、C07-M032</x:v>
      </x:c>
      <x:c r="I116" s="22" t="str">
        <x:v>地图共享；韧性不足只提高受处决概率/额外承伤，不自动造成眩晕或停手</x:v>
      </x:c>
    </x:row>
    <x:row r="117" ht="24" customHeight="1">
      <x:c r="A117" s="22" t="str">
        <x:v>XX910</x:v>
      </x:c>
      <x:c r="B117" s="22" t="str">
        <x:v>XX910</x:v>
      </x:c>
      <x:c r="C117" s="22" t="n">
        <x:v>7</x:v>
      </x:c>
      <x:c r="D117" s="22" t="str">
        <x:v>极寒禁域</x:v>
      </x:c>
      <x:c r="E117" s="22" t="n">
        <x:v>770</x:v>
      </x:c>
      <x:c r="F117" s="22" t="n">
        <x:v>31</x:v>
      </x:c>
      <x:c r="G117" s="22" t="n">
        <x:v>3</x:v>
      </x:c>
      <x:c r="H117" s="22" t="str">
        <x:v>C07-M028、C07-M033、C07-M035</x:v>
      </x:c>
      <x:c r="I117" s="22" t="str">
        <x:v>地图共享；韧性不足只提高受处决概率/额外承伤，不自动造成眩晕或停手</x:v>
      </x:c>
    </x:row>
    <x:row r="118" ht="24" customHeight="1">
      <x:c r="A118" s="22" t="str">
        <x:v>XX911</x:v>
      </x:c>
      <x:c r="B118" s="22" t="str">
        <x:v>XX911</x:v>
      </x:c>
      <x:c r="C118" s="22" t="n">
        <x:v>7</x:v>
      </x:c>
      <x:c r="D118" s="22" t="str">
        <x:v>极寒禁域</x:v>
      </x:c>
      <x:c r="E118" s="22" t="n">
        <x:v>830</x:v>
      </x:c>
      <x:c r="F118" s="22" t="n">
        <x:v>38</x:v>
      </x:c>
      <x:c r="G118" s="22" t="n">
        <x:v>4</x:v>
      </x:c>
      <x:c r="H118" s="22" t="str">
        <x:v>C07-M029、C07-M034、C07-M036、C07-M037</x:v>
      </x:c>
      <x:c r="I118" s="22" t="str">
        <x:v>地图共享；韧性不足只提高受处决概率/额外承伤，不自动造成眩晕或停手</x:v>
      </x:c>
    </x:row>
    <x:row r="119" ht="24" customHeight="1">
      <x:c r="A119" s="22" t="str">
        <x:v>XX900</x:v>
      </x:c>
      <x:c r="B119" s="22" t="str">
        <x:v>XX900</x:v>
      </x:c>
      <x:c r="C119" s="22" t="n">
        <x:v>8</x:v>
      </x:c>
      <x:c r="D119" s="22" t="str">
        <x:v>寒霜山径</x:v>
      </x:c>
      <x:c r="E119" s="22" t="n">
        <x:v>830</x:v>
      </x:c>
      <x:c r="F119" s="22" t="n">
        <x:v>37</x:v>
      </x:c>
      <x:c r="G119" s="22" t="n">
        <x:v>3</x:v>
      </x:c>
      <x:c r="H119" s="22" t="str">
        <x:v>C08-M001、C08-M002、C08-M007</x:v>
      </x:c>
      <x:c r="I119" s="22" t="str">
        <x:v>地图共享；韧性不足只提高受处决概率/额外承伤，不自动造成眩晕或停手</x:v>
      </x:c>
    </x:row>
    <x:row r="120" ht="24" customHeight="1">
      <x:c r="A120" s="22" t="str">
        <x:v>XX901</x:v>
      </x:c>
      <x:c r="B120" s="22" t="str">
        <x:v>XX901</x:v>
      </x:c>
      <x:c r="C120" s="22" t="n">
        <x:v>8</x:v>
      </x:c>
      <x:c r="D120" s="22" t="str">
        <x:v>寒霜山径</x:v>
      </x:c>
      <x:c r="E120" s="22" t="n">
        <x:v>830</x:v>
      </x:c>
      <x:c r="F120" s="22" t="n">
        <x:v>37</x:v>
      </x:c>
      <x:c r="G120" s="22" t="n">
        <x:v>3</x:v>
      </x:c>
      <x:c r="H120" s="22" t="str">
        <x:v>C08-M003、C08-M004、C08-M008</x:v>
      </x:c>
      <x:c r="I120" s="22" t="str">
        <x:v>地图共享；韧性不足只提高受处决概率/额外承伤，不自动造成眩晕或停手</x:v>
      </x:c>
    </x:row>
    <x:row r="121" ht="24" customHeight="1">
      <x:c r="A121" s="22" t="str">
        <x:v>XX902</x:v>
      </x:c>
      <x:c r="B121" s="22" t="str">
        <x:v>XX902</x:v>
      </x:c>
      <x:c r="C121" s="22" t="n">
        <x:v>8</x:v>
      </x:c>
      <x:c r="D121" s="22" t="str">
        <x:v>寒霜山径</x:v>
      </x:c>
      <x:c r="E121" s="22" t="n">
        <x:v>830</x:v>
      </x:c>
      <x:c r="F121" s="22" t="n">
        <x:v>37</x:v>
      </x:c>
      <x:c r="G121" s="22" t="n">
        <x:v>3</x:v>
      </x:c>
      <x:c r="H121" s="22" t="str">
        <x:v>C08-M005、C08-M009、C08-M011</x:v>
      </x:c>
      <x:c r="I121" s="22" t="str">
        <x:v>地图共享；韧性不足只提高受处决概率/额外承伤，不自动造成眩晕或停手</x:v>
      </x:c>
    </x:row>
    <x:row r="122" ht="24" customHeight="1">
      <x:c r="A122" s="22" t="str">
        <x:v>XX903</x:v>
      </x:c>
      <x:c r="B122" s="22" t="str">
        <x:v>XX903</x:v>
      </x:c>
      <x:c r="C122" s="22" t="n">
        <x:v>8</x:v>
      </x:c>
      <x:c r="D122" s="22" t="str">
        <x:v>寒霜山径</x:v>
      </x:c>
      <x:c r="E122" s="22" t="n">
        <x:v>830</x:v>
      </x:c>
      <x:c r="F122" s="22" t="n">
        <x:v>37</x:v>
      </x:c>
      <x:c r="G122" s="22" t="n">
        <x:v>3</x:v>
      </x:c>
      <x:c r="H122" s="22" t="str">
        <x:v>C08-M006、C08-M010、C08-M012</x:v>
      </x:c>
      <x:c r="I122" s="22" t="str">
        <x:v>地图共享；韧性不足只提高受处决概率/额外承伤，不自动造成眩晕或停手</x:v>
      </x:c>
    </x:row>
    <x:row r="123" ht="24" customHeight="1">
      <x:c r="A123" s="22" t="str">
        <x:v>XX320</x:v>
      </x:c>
      <x:c r="B123" s="22" t="str">
        <x:v>XX320</x:v>
      </x:c>
      <x:c r="C123" s="22" t="n">
        <x:v>8</x:v>
      </x:c>
      <x:c r="D123" s="22" t="str">
        <x:v>断冰峰群</x:v>
      </x:c>
      <x:c r="E123" s="22" t="n">
        <x:v>835</x:v>
      </x:c>
      <x:c r="F123" s="22" t="n">
        <x:v>37</x:v>
      </x:c>
      <x:c r="G123" s="22" t="n">
        <x:v>3</x:v>
      </x:c>
      <x:c r="H123" s="22" t="str">
        <x:v>C08-M013、C08-M014、C08-M019</x:v>
      </x:c>
      <x:c r="I123" s="22" t="str">
        <x:v>地图共享；韧性不足只提高受处决概率/额外承伤，不自动造成眩晕或停手</x:v>
      </x:c>
    </x:row>
    <x:row r="124" ht="24" customHeight="1">
      <x:c r="A124" s="22" t="str">
        <x:v>XX318</x:v>
      </x:c>
      <x:c r="B124" s="22" t="str">
        <x:v>XX318</x:v>
      </x:c>
      <x:c r="C124" s="22" t="n">
        <x:v>8</x:v>
      </x:c>
      <x:c r="D124" s="22" t="str">
        <x:v>断冰峰群</x:v>
      </x:c>
      <x:c r="E124" s="22" t="n">
        <x:v>835</x:v>
      </x:c>
      <x:c r="F124" s="22" t="n">
        <x:v>37</x:v>
      </x:c>
      <x:c r="G124" s="22" t="n">
        <x:v>3</x:v>
      </x:c>
      <x:c r="H124" s="22" t="str">
        <x:v>C08-M015、C08-M016、C08-M020</x:v>
      </x:c>
      <x:c r="I124" s="22" t="str">
        <x:v>地图共享；韧性不足只提高受处决概率/额外承伤，不自动造成眩晕或停手</x:v>
      </x:c>
    </x:row>
    <x:row r="125" ht="24" customHeight="1">
      <x:c r="A125" s="22" t="str">
        <x:v>XX319</x:v>
      </x:c>
      <x:c r="B125" s="22" t="str">
        <x:v>XX319</x:v>
      </x:c>
      <x:c r="C125" s="22" t="n">
        <x:v>8</x:v>
      </x:c>
      <x:c r="D125" s="22" t="str">
        <x:v>断冰峰群</x:v>
      </x:c>
      <x:c r="E125" s="22" t="n">
        <x:v>835</x:v>
      </x:c>
      <x:c r="F125" s="22" t="n">
        <x:v>37</x:v>
      </x:c>
      <x:c r="G125" s="22" t="n">
        <x:v>3</x:v>
      </x:c>
      <x:c r="H125" s="22" t="str">
        <x:v>C08-M017、C08-M021、C08-M023</x:v>
      </x:c>
      <x:c r="I125" s="22" t="str">
        <x:v>地图共享；韧性不足只提高受处决概率/额外承伤，不自动造成眩晕或停手</x:v>
      </x:c>
    </x:row>
    <x:row r="126" ht="24" customHeight="1">
      <x:c r="A126" s="22" t="str">
        <x:v>XX316</x:v>
      </x:c>
      <x:c r="B126" s="22" t="str">
        <x:v>XX316</x:v>
      </x:c>
      <x:c r="C126" s="22" t="n">
        <x:v>8</x:v>
      </x:c>
      <x:c r="D126" s="22" t="str">
        <x:v>断冰峰群</x:v>
      </x:c>
      <x:c r="E126" s="22" t="n">
        <x:v>835</x:v>
      </x:c>
      <x:c r="F126" s="22" t="n">
        <x:v>37</x:v>
      </x:c>
      <x:c r="G126" s="22" t="n">
        <x:v>3</x:v>
      </x:c>
      <x:c r="H126" s="22" t="str">
        <x:v>C08-M018、C08-M022、C08-M024</x:v>
      </x:c>
      <x:c r="I126" s="22" t="str">
        <x:v>地图共享；韧性不足只提高受处决概率/额外承伤，不自动造成眩晕或停手</x:v>
      </x:c>
    </x:row>
    <x:row r="127" ht="24" customHeight="1">
      <x:c r="A127" s="22" t="str">
        <x:v>XX325</x:v>
      </x:c>
      <x:c r="B127" s="22" t="str">
        <x:v>XX325</x:v>
      </x:c>
      <x:c r="C127" s="22" t="n">
        <x:v>8</x:v>
      </x:c>
      <x:c r="D127" s="22" t="str">
        <x:v>冰宫王庭</x:v>
      </x:c>
      <x:c r="E127" s="22" t="n">
        <x:v>845</x:v>
      </x:c>
      <x:c r="F127" s="22" t="n">
        <x:v>37</x:v>
      </x:c>
      <x:c r="G127" s="22" t="n">
        <x:v>2</x:v>
      </x:c>
      <x:c r="H127" s="22" t="str">
        <x:v>C08-M025、C08-M026</x:v>
      </x:c>
      <x:c r="I127" s="22" t="str">
        <x:v>地图共享；韧性不足只提高受处决概率/额外承伤，不自动造成眩晕或停手</x:v>
      </x:c>
    </x:row>
    <x:row r="128" ht="24" customHeight="1">
      <x:c r="A128" s="22" t="str">
        <x:v>XX321</x:v>
      </x:c>
      <x:c r="B128" s="22" t="str">
        <x:v>XX321</x:v>
      </x:c>
      <x:c r="C128" s="22" t="n">
        <x:v>8</x:v>
      </x:c>
      <x:c r="D128" s="22" t="str">
        <x:v>冰宫王庭</x:v>
      </x:c>
      <x:c r="E128" s="22" t="n">
        <x:v>845</x:v>
      </x:c>
      <x:c r="F128" s="22" t="n">
        <x:v>37</x:v>
      </x:c>
      <x:c r="G128" s="22" t="n">
        <x:v>2</x:v>
      </x:c>
      <x:c r="H128" s="22" t="str">
        <x:v>C08-M027、C08-M031</x:v>
      </x:c>
      <x:c r="I128" s="22" t="str">
        <x:v>地图共享；韧性不足只提高受处决概率/额外承伤，不自动造成眩晕或停手</x:v>
      </x:c>
    </x:row>
    <x:row r="129" ht="24" customHeight="1">
      <x:c r="A129" s="22" t="str">
        <x:v>XX322</x:v>
      </x:c>
      <x:c r="B129" s="22" t="str">
        <x:v>XX322</x:v>
      </x:c>
      <x:c r="C129" s="22" t="n">
        <x:v>8</x:v>
      </x:c>
      <x:c r="D129" s="22" t="str">
        <x:v>冰宫王庭</x:v>
      </x:c>
      <x:c r="E129" s="22" t="n">
        <x:v>845</x:v>
      </x:c>
      <x:c r="F129" s="22" t="n">
        <x:v>37</x:v>
      </x:c>
      <x:c r="G129" s="22" t="n">
        <x:v>2</x:v>
      </x:c>
      <x:c r="H129" s="22" t="str">
        <x:v>C08-M028、C08-M032</x:v>
      </x:c>
      <x:c r="I129" s="22" t="str">
        <x:v>地图共享；韧性不足只提高受处决概率/额外承伤，不自动造成眩晕或停手</x:v>
      </x:c>
    </x:row>
    <x:row r="130" ht="24" customHeight="1">
      <x:c r="A130" s="22" t="str">
        <x:v>XX323</x:v>
      </x:c>
      <x:c r="B130" s="22" t="str">
        <x:v>XX323</x:v>
      </x:c>
      <x:c r="C130" s="22" t="n">
        <x:v>8</x:v>
      </x:c>
      <x:c r="D130" s="22" t="str">
        <x:v>冰宫王庭</x:v>
      </x:c>
      <x:c r="E130" s="22" t="n">
        <x:v>845</x:v>
      </x:c>
      <x:c r="F130" s="22" t="n">
        <x:v>37</x:v>
      </x:c>
      <x:c r="G130" s="22" t="n">
        <x:v>3</x:v>
      </x:c>
      <x:c r="H130" s="22" t="str">
        <x:v>C08-M029、C08-M033、C08-M035</x:v>
      </x:c>
      <x:c r="I130" s="22" t="str">
        <x:v>地图共享；韧性不足只提高受处决概率/额外承伤，不自动造成眩晕或停手</x:v>
      </x:c>
    </x:row>
    <x:row r="131" ht="24" customHeight="1">
      <x:c r="A131" s="22" t="str">
        <x:v>XX326</x:v>
      </x:c>
      <x:c r="B131" s="22" t="str">
        <x:v>XX326</x:v>
      </x:c>
      <x:c r="C131" s="22" t="n">
        <x:v>8</x:v>
      </x:c>
      <x:c r="D131" s="22" t="str">
        <x:v>冰宫王庭</x:v>
      </x:c>
      <x:c r="E131" s="22" t="n">
        <x:v>845</x:v>
      </x:c>
      <x:c r="F131" s="22" t="n">
        <x:v>37</x:v>
      </x:c>
      <x:c r="G131" s="22" t="n">
        <x:v>3</x:v>
      </x:c>
      <x:c r="H131" s="22" t="str">
        <x:v>C08-M030、C08-M034、C08-M036</x:v>
      </x:c>
      <x:c r="I131" s="22" t="str">
        <x:v>地图共享；韧性不足只提高受处决概率/额外承伤，不自动造成眩晕或停手</x:v>
      </x:c>
    </x:row>
    <x:row r="132" ht="24" customHeight="1">
      <x:c r="A132" s="22" t="str">
        <x:v>XX899</x:v>
      </x:c>
      <x:c r="B132" s="22" t="str">
        <x:v>XX899</x:v>
      </x:c>
      <x:c r="C132" s="22" t="n">
        <x:v>8</x:v>
      </x:c>
      <x:c r="D132" s="22" t="str">
        <x:v>巨人王庭</x:v>
      </x:c>
      <x:c r="E132" s="22" t="n">
        <x:v>855</x:v>
      </x:c>
      <x:c r="F132" s="22" t="n">
        <x:v>37</x:v>
      </x:c>
      <x:c r="G132" s="22" t="n">
        <x:v>3</x:v>
      </x:c>
      <x:c r="H132" s="22" t="str">
        <x:v>C08-M037、C08-M038、C08-M043</x:v>
      </x:c>
      <x:c r="I132" s="22" t="str">
        <x:v>地图共享；韧性不足只提高受处决概率/额外承伤，不自动造成眩晕或停手</x:v>
      </x:c>
    </x:row>
    <x:row r="133" ht="24" customHeight="1">
      <x:c r="A133" s="22" t="str">
        <x:v>XX898</x:v>
      </x:c>
      <x:c r="B133" s="22" t="str">
        <x:v>XX898</x:v>
      </x:c>
      <x:c r="C133" s="22" t="n">
        <x:v>8</x:v>
      </x:c>
      <x:c r="D133" s="22" t="str">
        <x:v>巨人王庭</x:v>
      </x:c>
      <x:c r="E133" s="22" t="n">
        <x:v>855</x:v>
      </x:c>
      <x:c r="F133" s="22" t="n">
        <x:v>37</x:v>
      </x:c>
      <x:c r="G133" s="22" t="n">
        <x:v>5</x:v>
      </x:c>
      <x:c r="H133" s="22" t="str">
        <x:v>C08-M039、C08-M040、C08-M044、C08-M045、C08-M047</x:v>
      </x:c>
      <x:c r="I133" s="22" t="str">
        <x:v>地图共享；韧性不足只提高受处决概率/额外承伤，不自动造成眩晕或停手</x:v>
      </x:c>
    </x:row>
    <x:row r="134" ht="24" customHeight="1">
      <x:c r="A134" s="22" t="str">
        <x:v>XX897</x:v>
      </x:c>
      <x:c r="B134" s="22" t="str">
        <x:v>XX897</x:v>
      </x:c>
      <x:c r="C134" s="22" t="n">
        <x:v>8</x:v>
      </x:c>
      <x:c r="D134" s="22" t="str">
        <x:v>巨人王庭</x:v>
      </x:c>
      <x:c r="E134" s="22" t="n">
        <x:v>975</x:v>
      </x:c>
      <x:c r="F134" s="22" t="n">
        <x:v>37</x:v>
      </x:c>
      <x:c r="G134" s="22" t="n">
        <x:v>5</x:v>
      </x:c>
      <x:c r="H134" s="22" t="str">
        <x:v>C08-M041、C08-M042、C08-M046、C08-M048、C08-M049</x:v>
      </x:c>
      <x:c r="I134" s="22" t="str">
        <x:v>地图共享；韧性不足只提高受处决概率/额外承伤，不自动造成眩晕或停手</x:v>
      </x:c>
    </x:row>
    <x:row r="135" ht="24" customHeight="1">
      <x:c r="A135" s="22" t="str">
        <x:v>XX720</x:v>
      </x:c>
      <x:c r="B135" s="22" t="str">
        <x:v>XX720</x:v>
      </x:c>
      <x:c r="C135" s="22" t="n">
        <x:v>9</x:v>
      </x:c>
      <x:c r="D135" s="22" t="str">
        <x:v>金叶古道</x:v>
      </x:c>
      <x:c r="E135" s="22" t="n">
        <x:v>975</x:v>
      </x:c>
      <x:c r="F135" s="22" t="n">
        <x:v>36</x:v>
      </x:c>
      <x:c r="G135" s="22" t="n">
        <x:v>3</x:v>
      </x:c>
      <x:c r="H135" s="22" t="str">
        <x:v>C09-M001、C09-M002、C09-M007</x:v>
      </x:c>
      <x:c r="I135" s="22" t="str">
        <x:v>地图共享；韧性不足只提高受处决概率/额外承伤，不自动造成眩晕或停手</x:v>
      </x:c>
    </x:row>
    <x:row r="136" ht="24" customHeight="1">
      <x:c r="A136" s="22" t="str">
        <x:v>XX717</x:v>
      </x:c>
      <x:c r="B136" s="22" t="str">
        <x:v>XX717</x:v>
      </x:c>
      <x:c r="C136" s="22" t="n">
        <x:v>9</x:v>
      </x:c>
      <x:c r="D136" s="22" t="str">
        <x:v>金叶古道</x:v>
      </x:c>
      <x:c r="E136" s="22" t="n">
        <x:v>975</x:v>
      </x:c>
      <x:c r="F136" s="22" t="n">
        <x:v>36</x:v>
      </x:c>
      <x:c r="G136" s="22" t="n">
        <x:v>3</x:v>
      </x:c>
      <x:c r="H136" s="22" t="str">
        <x:v>C09-M003、C09-M004、C09-M008</x:v>
      </x:c>
      <x:c r="I136" s="22" t="str">
        <x:v>地图共享；韧性不足只提高受处决概率/额外承伤，不自动造成眩晕或停手</x:v>
      </x:c>
    </x:row>
    <x:row r="137" ht="24" customHeight="1">
      <x:c r="A137" s="22" t="str">
        <x:v>XX718</x:v>
      </x:c>
      <x:c r="B137" s="22" t="str">
        <x:v>XX718</x:v>
      </x:c>
      <x:c r="C137" s="22" t="n">
        <x:v>9</x:v>
      </x:c>
      <x:c r="D137" s="22" t="str">
        <x:v>金叶古道</x:v>
      </x:c>
      <x:c r="E137" s="22" t="n">
        <x:v>975</x:v>
      </x:c>
      <x:c r="F137" s="22" t="n">
        <x:v>36</x:v>
      </x:c>
      <x:c r="G137" s="22" t="n">
        <x:v>3</x:v>
      </x:c>
      <x:c r="H137" s="22" t="str">
        <x:v>C09-M005、C09-M009、C09-M011</x:v>
      </x:c>
      <x:c r="I137" s="22" t="str">
        <x:v>地图共享；韧性不足只提高受处决概率/额外承伤，不自动造成眩晕或停手</x:v>
      </x:c>
    </x:row>
    <x:row r="138" ht="24" customHeight="1">
      <x:c r="A138" s="22" t="str">
        <x:v>XX721</x:v>
      </x:c>
      <x:c r="B138" s="22" t="str">
        <x:v>XX721</x:v>
      </x:c>
      <x:c r="C138" s="22" t="n">
        <x:v>9</x:v>
      </x:c>
      <x:c r="D138" s="22" t="str">
        <x:v>金叶古道</x:v>
      </x:c>
      <x:c r="E138" s="22" t="n">
        <x:v>975</x:v>
      </x:c>
      <x:c r="F138" s="22" t="n">
        <x:v>36</x:v>
      </x:c>
      <x:c r="G138" s="22" t="n">
        <x:v>3</x:v>
      </x:c>
      <x:c r="H138" s="22" t="str">
        <x:v>C09-M006、C09-M010、C09-M012</x:v>
      </x:c>
      <x:c r="I138" s="22" t="str">
        <x:v>地图共享；韧性不足只提高受处决概率/额外承伤，不自动造成眩晕或停手</x:v>
      </x:c>
    </x:row>
    <x:row r="139" ht="24" customHeight="1">
      <x:c r="A139" s="22" t="str">
        <x:v>XX820</x:v>
      </x:c>
      <x:c r="B139" s="22" t="str">
        <x:v>XX820</x:v>
      </x:c>
      <x:c r="C139" s="22" t="n">
        <x:v>9</x:v>
      </x:c>
      <x:c r="D139" s="22" t="str">
        <x:v>高原矿脉</x:v>
      </x:c>
      <x:c r="E139" s="22" t="n">
        <x:v>985</x:v>
      </x:c>
      <x:c r="F139" s="22" t="n">
        <x:v>36</x:v>
      </x:c>
      <x:c r="G139" s="22" t="n">
        <x:v>2</x:v>
      </x:c>
      <x:c r="H139" s="22" t="str">
        <x:v>C09-M013、C09-M014</x:v>
      </x:c>
      <x:c r="I139" s="22" t="str">
        <x:v>地图共享；韧性不足只提高受处决概率/额外承伤，不自动造成眩晕或停手</x:v>
      </x:c>
    </x:row>
    <x:row r="140" ht="24" customHeight="1">
      <x:c r="A140" s="22" t="str">
        <x:v>XX821</x:v>
      </x:c>
      <x:c r="B140" s="22" t="str">
        <x:v>XX821</x:v>
      </x:c>
      <x:c r="C140" s="22" t="n">
        <x:v>9</x:v>
      </x:c>
      <x:c r="D140" s="22" t="str">
        <x:v>高原矿脉</x:v>
      </x:c>
      <x:c r="E140" s="22" t="n">
        <x:v>985</x:v>
      </x:c>
      <x:c r="F140" s="22" t="n">
        <x:v>36</x:v>
      </x:c>
      <x:c r="G140" s="22" t="n">
        <x:v>2</x:v>
      </x:c>
      <x:c r="H140" s="22" t="str">
        <x:v>C09-M015、C09-M019</x:v>
      </x:c>
      <x:c r="I140" s="22" t="str">
        <x:v>地图共享；韧性不足只提高受处决概率/额外承伤，不自动造成眩晕或停手</x:v>
      </x:c>
    </x:row>
    <x:row r="141" ht="24" customHeight="1">
      <x:c r="A141" s="22" t="str">
        <x:v>XX822</x:v>
      </x:c>
      <x:c r="B141" s="22" t="str">
        <x:v>XX822</x:v>
      </x:c>
      <x:c r="C141" s="22" t="n">
        <x:v>9</x:v>
      </x:c>
      <x:c r="D141" s="22" t="str">
        <x:v>高原矿脉</x:v>
      </x:c>
      <x:c r="E141" s="22" t="n">
        <x:v>985</x:v>
      </x:c>
      <x:c r="F141" s="22" t="n">
        <x:v>36</x:v>
      </x:c>
      <x:c r="G141" s="22" t="n">
        <x:v>2</x:v>
      </x:c>
      <x:c r="H141" s="22" t="str">
        <x:v>C09-M016、C09-M020</x:v>
      </x:c>
      <x:c r="I141" s="22" t="str">
        <x:v>地图共享；韧性不足只提高受处决概率/额外承伤，不自动造成眩晕或停手</x:v>
      </x:c>
    </x:row>
    <x:row r="142" ht="24" customHeight="1">
      <x:c r="A142" s="22" t="str">
        <x:v>XX823</x:v>
      </x:c>
      <x:c r="B142" s="22" t="str">
        <x:v>XX823</x:v>
      </x:c>
      <x:c r="C142" s="22" t="n">
        <x:v>9</x:v>
      </x:c>
      <x:c r="D142" s="22" t="str">
        <x:v>高原矿脉</x:v>
      </x:c>
      <x:c r="E142" s="22" t="n">
        <x:v>985</x:v>
      </x:c>
      <x:c r="F142" s="22" t="n">
        <x:v>36</x:v>
      </x:c>
      <x:c r="G142" s="22" t="n">
        <x:v>3</x:v>
      </x:c>
      <x:c r="H142" s="22" t="str">
        <x:v>C09-M017、C09-M021、C09-M023</x:v>
      </x:c>
      <x:c r="I142" s="22" t="str">
        <x:v>地图共享；韧性不足只提高受处决概率/额外承伤，不自动造成眩晕或停手</x:v>
      </x:c>
    </x:row>
    <x:row r="143" ht="24" customHeight="1">
      <x:c r="A143" s="22" t="str">
        <x:v>XX824</x:v>
      </x:c>
      <x:c r="B143" s="22" t="str">
        <x:v>XX824</x:v>
      </x:c>
      <x:c r="C143" s="22" t="n">
        <x:v>9</x:v>
      </x:c>
      <x:c r="D143" s="22" t="str">
        <x:v>高原矿脉</x:v>
      </x:c>
      <x:c r="E143" s="22" t="n">
        <x:v>985</x:v>
      </x:c>
      <x:c r="F143" s="22" t="n">
        <x:v>36</x:v>
      </x:c>
      <x:c r="G143" s="22" t="n">
        <x:v>3</x:v>
      </x:c>
      <x:c r="H143" s="22" t="str">
        <x:v>C09-M018、C09-M022、C09-M024</x:v>
      </x:c>
      <x:c r="I143" s="22" t="str">
        <x:v>地图共享；韧性不足只提高受处决概率/额外承伤，不自动造成眩晕或停手</x:v>
      </x:c>
    </x:row>
    <x:row r="144" ht="24" customHeight="1">
      <x:c r="A144" s="22" t="str">
        <x:v>XX837</x:v>
      </x:c>
      <x:c r="B144" s="22" t="str">
        <x:v>XX837</x:v>
      </x:c>
      <x:c r="C144" s="22" t="n">
        <x:v>9</x:v>
      </x:c>
      <x:c r="D144" s="22" t="str">
        <x:v>古王陵园</x:v>
      </x:c>
      <x:c r="E144" s="22" t="n">
        <x:v>990</x:v>
      </x:c>
      <x:c r="F144" s="22" t="n">
        <x:v>36</x:v>
      </x:c>
      <x:c r="G144" s="22" t="n">
        <x:v>3</x:v>
      </x:c>
      <x:c r="H144" s="22" t="str">
        <x:v>C09-M025、C09-M026、C09-M031</x:v>
      </x:c>
      <x:c r="I144" s="22" t="str">
        <x:v>地图共享；韧性不足只提高受处决概率/额外承伤，不自动造成眩晕或停手</x:v>
      </x:c>
    </x:row>
    <x:row r="145" ht="24" customHeight="1">
      <x:c r="A145" s="22" t="str">
        <x:v>XX836</x:v>
      </x:c>
      <x:c r="B145" s="22" t="str">
        <x:v>XX836</x:v>
      </x:c>
      <x:c r="C145" s="22" t="n">
        <x:v>9</x:v>
      </x:c>
      <x:c r="D145" s="22" t="str">
        <x:v>古王陵园</x:v>
      </x:c>
      <x:c r="E145" s="22" t="n">
        <x:v>990</x:v>
      </x:c>
      <x:c r="F145" s="22" t="n">
        <x:v>36</x:v>
      </x:c>
      <x:c r="G145" s="22" t="n">
        <x:v>4</x:v>
      </x:c>
      <x:c r="H145" s="22" t="str">
        <x:v>C09-M027、C09-M028、C09-M032、C09-M035</x:v>
      </x:c>
      <x:c r="I145" s="22" t="str">
        <x:v>地图共享；韧性不足只提高受处决概率/额外承伤，不自动造成眩晕或停手</x:v>
      </x:c>
    </x:row>
    <x:row r="146" ht="24" customHeight="1">
      <x:c r="A146" s="22" t="str">
        <x:v>XX838</x:v>
      </x:c>
      <x:c r="B146" s="22" t="str">
        <x:v>XX838</x:v>
      </x:c>
      <x:c r="C146" s="22" t="n">
        <x:v>9</x:v>
      </x:c>
      <x:c r="D146" s="22" t="str">
        <x:v>古王陵园</x:v>
      </x:c>
      <x:c r="E146" s="22" t="n">
        <x:v>990</x:v>
      </x:c>
      <x:c r="F146" s="22" t="n">
        <x:v>36</x:v>
      </x:c>
      <x:c r="G146" s="22" t="n">
        <x:v>5</x:v>
      </x:c>
      <x:c r="H146" s="22" t="str">
        <x:v>C09-M029、C09-M030、C09-M033、C09-M034、C09-M036</x:v>
      </x:c>
      <x:c r="I146" s="22" t="str">
        <x:v>地图共享；韧性不足只提高受处决概率/额外承伤，不自动造成眩晕或停手</x:v>
      </x:c>
    </x:row>
    <x:row r="147" ht="24" customHeight="1">
      <x:c r="A147" s="22" t="str">
        <x:v>XX786</x:v>
      </x:c>
      <x:c r="B147" s="22" t="str">
        <x:v>XX786</x:v>
      </x:c>
      <x:c r="C147" s="22" t="n">
        <x:v>9</x:v>
      </x:c>
      <x:c r="D147" s="22" t="str">
        <x:v>黄金圣堂</x:v>
      </x:c>
      <x:c r="E147" s="22" t="n">
        <x:v>1000</x:v>
      </x:c>
      <x:c r="F147" s="22" t="n">
        <x:v>36</x:v>
      </x:c>
      <x:c r="G147" s="22" t="n">
        <x:v>2</x:v>
      </x:c>
      <x:c r="H147" s="22" t="str">
        <x:v>C09-M037、C09-M038</x:v>
      </x:c>
      <x:c r="I147" s="22" t="str">
        <x:v>地图共享；韧性不足只提高受处决概率/额外承伤，不自动造成眩晕或停手</x:v>
      </x:c>
    </x:row>
    <x:row r="148" ht="24" customHeight="1">
      <x:c r="A148" s="22" t="str">
        <x:v>XX796</x:v>
      </x:c>
      <x:c r="B148" s="22" t="str">
        <x:v>XX796</x:v>
      </x:c>
      <x:c r="C148" s="22" t="n">
        <x:v>9</x:v>
      </x:c>
      <x:c r="D148" s="22" t="str">
        <x:v>黄金圣堂</x:v>
      </x:c>
      <x:c r="E148" s="22" t="n">
        <x:v>1000</x:v>
      </x:c>
      <x:c r="F148" s="22" t="n">
        <x:v>36</x:v>
      </x:c>
      <x:c r="G148" s="22" t="n">
        <x:v>2</x:v>
      </x:c>
      <x:c r="H148" s="22" t="str">
        <x:v>C09-M039、C09-M043</x:v>
      </x:c>
      <x:c r="I148" s="22" t="str">
        <x:v>地图共享；韧性不足只提高受处决概率/额外承伤，不自动造成眩晕或停手</x:v>
      </x:c>
    </x:row>
    <x:row r="149" ht="24" customHeight="1">
      <x:c r="A149" s="22" t="str">
        <x:v>XX787</x:v>
      </x:c>
      <x:c r="B149" s="22" t="str">
        <x:v>XX787</x:v>
      </x:c>
      <x:c r="C149" s="22" t="n">
        <x:v>9</x:v>
      </x:c>
      <x:c r="D149" s="22" t="str">
        <x:v>黄金圣堂</x:v>
      </x:c>
      <x:c r="E149" s="22" t="n">
        <x:v>1000</x:v>
      </x:c>
      <x:c r="F149" s="22" t="n">
        <x:v>36</x:v>
      </x:c>
      <x:c r="G149" s="22" t="n">
        <x:v>2</x:v>
      </x:c>
      <x:c r="H149" s="22" t="str">
        <x:v>C09-M040、C09-M044</x:v>
      </x:c>
      <x:c r="I149" s="22" t="str">
        <x:v>地图共享；韧性不足只提高受处决概率/额外承伤，不自动造成眩晕或停手</x:v>
      </x:c>
    </x:row>
    <x:row r="150" ht="24" customHeight="1">
      <x:c r="A150" s="22" t="str">
        <x:v>XX795</x:v>
      </x:c>
      <x:c r="B150" s="22" t="str">
        <x:v>XX795</x:v>
      </x:c>
      <x:c r="C150" s="22" t="n">
        <x:v>9</x:v>
      </x:c>
      <x:c r="D150" s="22" t="str">
        <x:v>黄金圣堂</x:v>
      </x:c>
      <x:c r="E150" s="22" t="n">
        <x:v>1000</x:v>
      </x:c>
      <x:c r="F150" s="22" t="n">
        <x:v>36</x:v>
      </x:c>
      <x:c r="G150" s="22" t="n">
        <x:v>3</x:v>
      </x:c>
      <x:c r="H150" s="22" t="str">
        <x:v>C09-M041、C09-M045、C09-M047</x:v>
      </x:c>
      <x:c r="I150" s="22" t="str">
        <x:v>地图共享；韧性不足只提高受处决概率/额外承伤，不自动造成眩晕或停手</x:v>
      </x:c>
    </x:row>
    <x:row r="151" ht="24" customHeight="1">
      <x:c r="A151" s="22" t="str">
        <x:v>XX791</x:v>
      </x:c>
      <x:c r="B151" s="22" t="str">
        <x:v>XX791</x:v>
      </x:c>
      <x:c r="C151" s="22" t="n">
        <x:v>9</x:v>
      </x:c>
      <x:c r="D151" s="22" t="str">
        <x:v>黄金圣堂</x:v>
      </x:c>
      <x:c r="E151" s="22" t="n">
        <x:v>1000</x:v>
      </x:c>
      <x:c r="F151" s="22" t="n">
        <x:v>36</x:v>
      </x:c>
      <x:c r="G151" s="22" t="n">
        <x:v>3</x:v>
      </x:c>
      <x:c r="H151" s="22" t="str">
        <x:v>C09-M042、C09-M046、C09-M048</x:v>
      </x:c>
      <x:c r="I151" s="22" t="str">
        <x:v>地图共享；韧性不足只提高受处决概率/额外承伤，不自动造成眩晕或停手</x:v>
      </x:c>
    </x:row>
    <x:row r="152" ht="24" customHeight="1">
      <x:c r="A152" s="22" t="str">
        <x:v>XX690</x:v>
      </x:c>
      <x:c r="B152" s="22" t="str">
        <x:v>XX690</x:v>
      </x:c>
      <x:c r="C152" s="22" t="n">
        <x:v>9</x:v>
      </x:c>
      <x:c r="D152" s="22" t="str">
        <x:v>王城前垒</x:v>
      </x:c>
      <x:c r="E152" s="22" t="n">
        <x:v>1005</x:v>
      </x:c>
      <x:c r="F152" s="22" t="n">
        <x:v>36</x:v>
      </x:c>
      <x:c r="G152" s="22" t="n">
        <x:v>2</x:v>
      </x:c>
      <x:c r="H152" s="22" t="str">
        <x:v>C09-M049、C09-M050</x:v>
      </x:c>
      <x:c r="I152" s="22" t="str">
        <x:v>地图共享；韧性不足只提高受处决概率/额外承伤，不自动造成眩晕或停手</x:v>
      </x:c>
    </x:row>
    <x:row r="153" ht="24" customHeight="1">
      <x:c r="A153" s="22" t="str">
        <x:v>XX691</x:v>
      </x:c>
      <x:c r="B153" s="22" t="str">
        <x:v>XX691</x:v>
      </x:c>
      <x:c r="C153" s="22" t="n">
        <x:v>9</x:v>
      </x:c>
      <x:c r="D153" s="22" t="str">
        <x:v>王城前垒</x:v>
      </x:c>
      <x:c r="E153" s="22" t="n">
        <x:v>1005</x:v>
      </x:c>
      <x:c r="F153" s="22" t="n">
        <x:v>36</x:v>
      </x:c>
      <x:c r="G153" s="22" t="n">
        <x:v>2</x:v>
      </x:c>
      <x:c r="H153" s="22" t="str">
        <x:v>C09-M051、C09-M055</x:v>
      </x:c>
      <x:c r="I153" s="22" t="str">
        <x:v>地图共享；韧性不足只提高受处决概率/额外承伤，不自动造成眩晕或停手</x:v>
      </x:c>
    </x:row>
    <x:row r="154" ht="24" customHeight="1">
      <x:c r="A154" s="22" t="str">
        <x:v>XX689</x:v>
      </x:c>
      <x:c r="B154" s="22" t="str">
        <x:v>XX689</x:v>
      </x:c>
      <x:c r="C154" s="22" t="n">
        <x:v>9</x:v>
      </x:c>
      <x:c r="D154" s="22" t="str">
        <x:v>王城前垒</x:v>
      </x:c>
      <x:c r="E154" s="22" t="n">
        <x:v>1005</x:v>
      </x:c>
      <x:c r="F154" s="22" t="n">
        <x:v>36</x:v>
      </x:c>
      <x:c r="G154" s="22" t="n">
        <x:v>2</x:v>
      </x:c>
      <x:c r="H154" s="22" t="str">
        <x:v>C09-M052、C09-M056</x:v>
      </x:c>
      <x:c r="I154" s="22" t="str">
        <x:v>地图共享；韧性不足只提高受处决概率/额外承伤，不自动造成眩晕或停手</x:v>
      </x:c>
    </x:row>
    <x:row r="155" ht="24" customHeight="1">
      <x:c r="A155" s="22" t="str">
        <x:v>XX688</x:v>
      </x:c>
      <x:c r="B155" s="22" t="str">
        <x:v>XX688</x:v>
      </x:c>
      <x:c r="C155" s="22" t="n">
        <x:v>9</x:v>
      </x:c>
      <x:c r="D155" s="22" t="str">
        <x:v>王城前垒</x:v>
      </x:c>
      <x:c r="E155" s="22" t="n">
        <x:v>1005</x:v>
      </x:c>
      <x:c r="F155" s="22" t="n">
        <x:v>36</x:v>
      </x:c>
      <x:c r="G155" s="22" t="n">
        <x:v>3</x:v>
      </x:c>
      <x:c r="H155" s="22" t="str">
        <x:v>C09-M053、C09-M057、C09-M059</x:v>
      </x:c>
      <x:c r="I155" s="22" t="str">
        <x:v>地图共享；韧性不足只提高受处决概率/额外承伤，不自动造成眩晕或停手</x:v>
      </x:c>
    </x:row>
    <x:row r="156" ht="24" customHeight="1">
      <x:c r="A156" s="22" t="str">
        <x:v>XX639</x:v>
      </x:c>
      <x:c r="B156" s="22" t="str">
        <x:v>XX639</x:v>
      </x:c>
      <x:c r="C156" s="22" t="n">
        <x:v>9</x:v>
      </x:c>
      <x:c r="D156" s="22" t="str">
        <x:v>王城前垒</x:v>
      </x:c>
      <x:c r="E156" s="22" t="n">
        <x:v>1160</x:v>
      </x:c>
      <x:c r="F156" s="22" t="n">
        <x:v>39.5</x:v>
      </x:c>
      <x:c r="G156" s="22" t="n">
        <x:v>4</x:v>
      </x:c>
      <x:c r="H156" s="22" t="str">
        <x:v>C09-M054、C09-M058、C09-M060、C09-M061</x:v>
      </x:c>
      <x:c r="I156" s="22" t="str">
        <x:v>地图共享；韧性不足只提高受处决概率/额外承伤，不自动造成眩晕或停手</x:v>
      </x:c>
    </x:row>
    <x:row r="157" ht="24" customHeight="1">
      <x:c r="A157" s="22" t="str">
        <x:v>XX932</x:v>
      </x:c>
      <x:c r="B157" s="22" t="str">
        <x:v>XX932</x:v>
      </x:c>
      <x:c r="C157" s="22" t="n">
        <x:v>10</x:v>
      </x:c>
      <x:c r="D157" s="22" t="str">
        <x:v>王城下城区</x:v>
      </x:c>
      <x:c r="E157" s="22" t="n">
        <x:v>1160</x:v>
      </x:c>
      <x:c r="F157" s="22" t="n">
        <x:v>38.5</x:v>
      </x:c>
      <x:c r="G157" s="22" t="n">
        <x:v>4</x:v>
      </x:c>
      <x:c r="H157" s="22" t="str">
        <x:v>C10-M001、C10-M002、C10-M007、C10-M008</x:v>
      </x:c>
      <x:c r="I157" s="22" t="str">
        <x:v>地图共享；韧性不足只提高受处决概率/额外承伤，不自动造成眩晕或停手</x:v>
      </x:c>
    </x:row>
    <x:row r="158" ht="24" customHeight="1">
      <x:c r="A158" s="22" t="str">
        <x:v>XX933</x:v>
      </x:c>
      <x:c r="B158" s="22" t="str">
        <x:v>XX933</x:v>
      </x:c>
      <x:c r="C158" s="22" t="n">
        <x:v>10</x:v>
      </x:c>
      <x:c r="D158" s="22" t="str">
        <x:v>王城下城区</x:v>
      </x:c>
      <x:c r="E158" s="22" t="n">
        <x:v>1160</x:v>
      </x:c>
      <x:c r="F158" s="22" t="n">
        <x:v>38.5</x:v>
      </x:c>
      <x:c r="G158" s="22" t="n">
        <x:v>4</x:v>
      </x:c>
      <x:c r="H158" s="22" t="str">
        <x:v>C10-M003、C10-M004、C10-M009、C10-M011</x:v>
      </x:c>
      <x:c r="I158" s="22" t="str">
        <x:v>地图共享；韧性不足只提高受处决概率/额外承伤，不自动造成眩晕或停手</x:v>
      </x:c>
    </x:row>
    <x:row r="159" ht="24" customHeight="1">
      <x:c r="A159" s="22" t="str">
        <x:v>XX930</x:v>
      </x:c>
      <x:c r="B159" s="22" t="str">
        <x:v>XX930</x:v>
      </x:c>
      <x:c r="C159" s="22" t="n">
        <x:v>10</x:v>
      </x:c>
      <x:c r="D159" s="22" t="str">
        <x:v>王城下城区</x:v>
      </x:c>
      <x:c r="E159" s="22" t="n">
        <x:v>1160</x:v>
      </x:c>
      <x:c r="F159" s="22" t="n">
        <x:v>38.5</x:v>
      </x:c>
      <x:c r="G159" s="22" t="n">
        <x:v>4</x:v>
      </x:c>
      <x:c r="H159" s="22" t="str">
        <x:v>C10-M005、C10-M006、C10-M010、C10-M012</x:v>
      </x:c>
      <x:c r="I159" s="22" t="str">
        <x:v>地图共享；韧性不足只提高受处决概率/额外承伤，不自动造成眩晕或停手</x:v>
      </x:c>
    </x:row>
    <x:row r="160" ht="24" customHeight="1">
      <x:c r="A160" s="22" t="str">
        <x:v>XX629</x:v>
      </x:c>
      <x:c r="B160" s="22" t="str">
        <x:v>XX629</x:v>
      </x:c>
      <x:c r="C160" s="22" t="n">
        <x:v>10</x:v>
      </x:c>
      <x:c r="D160" s="22" t="str">
        <x:v>黄金排水道</x:v>
      </x:c>
      <x:c r="E160" s="22" t="n">
        <x:v>1170</x:v>
      </x:c>
      <x:c r="F160" s="22" t="n">
        <x:v>38.5</x:v>
      </x:c>
      <x:c r="G160" s="22" t="n">
        <x:v>3</x:v>
      </x:c>
      <x:c r="H160" s="22" t="str">
        <x:v>C10-M013、C10-M014、C10-M019</x:v>
      </x:c>
      <x:c r="I160" s="22" t="str">
        <x:v>地图共享；韧性不足只提高受处决概率/额外承伤，不自动造成眩晕或停手</x:v>
      </x:c>
    </x:row>
    <x:row r="161" ht="24" customHeight="1">
      <x:c r="A161" s="22" t="str">
        <x:v>XX631</x:v>
      </x:c>
      <x:c r="B161" s="22" t="str">
        <x:v>XX631</x:v>
      </x:c>
      <x:c r="C161" s="22" t="n">
        <x:v>10</x:v>
      </x:c>
      <x:c r="D161" s="22" t="str">
        <x:v>黄金排水道</x:v>
      </x:c>
      <x:c r="E161" s="22" t="n">
        <x:v>1170</x:v>
      </x:c>
      <x:c r="F161" s="22" t="n">
        <x:v>38.5</x:v>
      </x:c>
      <x:c r="G161" s="22" t="n">
        <x:v>5</x:v>
      </x:c>
      <x:c r="H161" s="22" t="str">
        <x:v>C10-M015、C10-M016、C10-M020、C10-M021、C10-M023</x:v>
      </x:c>
      <x:c r="I161" s="22" t="str">
        <x:v>地图共享；韧性不足只提高受处决概率/额外承伤，不自动造成眩晕或停手</x:v>
      </x:c>
    </x:row>
    <x:row r="162" ht="24" customHeight="1">
      <x:c r="A162" s="22" t="str">
        <x:v>XX624</x:v>
      </x:c>
      <x:c r="B162" s="22" t="str">
        <x:v>XX624</x:v>
      </x:c>
      <x:c r="C162" s="22" t="n">
        <x:v>10</x:v>
      </x:c>
      <x:c r="D162" s="22" t="str">
        <x:v>黄金排水道</x:v>
      </x:c>
      <x:c r="E162" s="22" t="n">
        <x:v>1170</x:v>
      </x:c>
      <x:c r="F162" s="22" t="n">
        <x:v>38.5</x:v>
      </x:c>
      <x:c r="G162" s="22" t="n">
        <x:v>4</x:v>
      </x:c>
      <x:c r="H162" s="22" t="str">
        <x:v>C10-M017、C10-M018、C10-M022、C10-M024</x:v>
      </x:c>
      <x:c r="I162" s="22" t="str">
        <x:v>地图共享；韧性不足只提高受处决概率/额外承伤，不自动造成眩晕或停手</x:v>
      </x:c>
    </x:row>
    <x:row r="163" ht="24" customHeight="1">
      <x:c r="A163" s="22" t="str">
        <x:v>XX954</x:v>
      </x:c>
      <x:c r="B163" s="22" t="str">
        <x:v>XX954</x:v>
      </x:c>
      <x:c r="C163" s="22" t="n">
        <x:v>10</x:v>
      </x:c>
      <x:c r="D163" s="22" t="str">
        <x:v>王城矿井</x:v>
      </x:c>
      <x:c r="E163" s="22" t="n">
        <x:v>1175</x:v>
      </x:c>
      <x:c r="F163" s="22" t="n">
        <x:v>38.5</x:v>
      </x:c>
      <x:c r="G163" s="22" t="n">
        <x:v>3</x:v>
      </x:c>
      <x:c r="H163" s="22" t="str">
        <x:v>C10-M025、C10-M026、C10-M031</x:v>
      </x:c>
      <x:c r="I163" s="22" t="str">
        <x:v>地图共享；韧性不足只提高受处决概率/额外承伤，不自动造成眩晕或停手</x:v>
      </x:c>
    </x:row>
    <x:row r="164" ht="24" customHeight="1">
      <x:c r="A164" s="22" t="str">
        <x:v>XX955</x:v>
      </x:c>
      <x:c r="B164" s="22" t="str">
        <x:v>XX955</x:v>
      </x:c>
      <x:c r="C164" s="22" t="n">
        <x:v>10</x:v>
      </x:c>
      <x:c r="D164" s="22" t="str">
        <x:v>王城矿井</x:v>
      </x:c>
      <x:c r="E164" s="22" t="n">
        <x:v>1175</x:v>
      </x:c>
      <x:c r="F164" s="22" t="n">
        <x:v>38.5</x:v>
      </x:c>
      <x:c r="G164" s="22" t="n">
        <x:v>1</x:v>
      </x:c>
      <x:c r="H164" s="22" t="str">
        <x:v>C10-M027</x:v>
      </x:c>
      <x:c r="I164" s="22" t="str">
        <x:v>地图共享；韧性不足只提高受处决概率/额外承伤，不自动造成眩晕或停手</x:v>
      </x:c>
    </x:row>
    <x:row r="165" ht="24" customHeight="1">
      <x:c r="A165" s="22" t="str">
        <x:v>XX953</x:v>
      </x:c>
      <x:c r="B165" s="22" t="str">
        <x:v>XX953</x:v>
      </x:c>
      <x:c r="C165" s="22" t="n">
        <x:v>10</x:v>
      </x:c>
      <x:c r="D165" s="22" t="str">
        <x:v>王城矿井</x:v>
      </x:c>
      <x:c r="E165" s="22" t="n">
        <x:v>1175</x:v>
      </x:c>
      <x:c r="F165" s="22" t="n">
        <x:v>38.5</x:v>
      </x:c>
      <x:c r="G165" s="22" t="n">
        <x:v>2</x:v>
      </x:c>
      <x:c r="H165" s="22" t="str">
        <x:v>C10-M028、C10-M032</x:v>
      </x:c>
      <x:c r="I165" s="22" t="str">
        <x:v>地图共享；韧性不足只提高受处决概率/额外承伤，不自动造成眩晕或停手</x:v>
      </x:c>
    </x:row>
    <x:row r="166" ht="24" customHeight="1">
      <x:c r="A166" s="22" t="str">
        <x:v>XX957</x:v>
      </x:c>
      <x:c r="B166" s="22" t="str">
        <x:v>XX957</x:v>
      </x:c>
      <x:c r="C166" s="22" t="n">
        <x:v>10</x:v>
      </x:c>
      <x:c r="D166" s="22" t="str">
        <x:v>王城矿井</x:v>
      </x:c>
      <x:c r="E166" s="22" t="n">
        <x:v>1175</x:v>
      </x:c>
      <x:c r="F166" s="22" t="n">
        <x:v>38.5</x:v>
      </x:c>
      <x:c r="G166" s="22" t="n">
        <x:v>3</x:v>
      </x:c>
      <x:c r="H166" s="22" t="str">
        <x:v>C10-M029、C10-M033、C10-M035</x:v>
      </x:c>
      <x:c r="I166" s="22" t="str">
        <x:v>地图共享；韧性不足只提高受处决概率/额外承伤，不自动造成眩晕或停手</x:v>
      </x:c>
    </x:row>
    <x:row r="167" ht="24" customHeight="1">
      <x:c r="A167" s="22" t="str">
        <x:v>XX956</x:v>
      </x:c>
      <x:c r="B167" s="22" t="str">
        <x:v>XX956</x:v>
      </x:c>
      <x:c r="C167" s="22" t="n">
        <x:v>10</x:v>
      </x:c>
      <x:c r="D167" s="22" t="str">
        <x:v>王城矿井</x:v>
      </x:c>
      <x:c r="E167" s="22" t="n">
        <x:v>1175</x:v>
      </x:c>
      <x:c r="F167" s="22" t="n">
        <x:v>38.5</x:v>
      </x:c>
      <x:c r="G167" s="22" t="n">
        <x:v>3</x:v>
      </x:c>
      <x:c r="H167" s="22" t="str">
        <x:v>C10-M030、C10-M034、C10-M036</x:v>
      </x:c>
      <x:c r="I167" s="22" t="str">
        <x:v>地图共享；韧性不足只提高受处决概率/额外承伤，不自动造成眩晕或停手</x:v>
      </x:c>
    </x:row>
    <x:row r="168" ht="24" customHeight="1">
      <x:c r="A168" s="22" t="str">
        <x:v>XX707</x:v>
      </x:c>
      <x:c r="B168" s="22" t="str">
        <x:v>XX707</x:v>
      </x:c>
      <x:c r="C168" s="22" t="n">
        <x:v>10</x:v>
      </x:c>
      <x:c r="D168" s="22" t="str">
        <x:v>王城地穴</x:v>
      </x:c>
      <x:c r="E168" s="22" t="n">
        <x:v>1185</x:v>
      </x:c>
      <x:c r="F168" s="22" t="n">
        <x:v>38.5</x:v>
      </x:c>
      <x:c r="G168" s="22" t="n">
        <x:v>3</x:v>
      </x:c>
      <x:c r="H168" s="22" t="str">
        <x:v>C10-M037、C10-M038、C10-M043</x:v>
      </x:c>
      <x:c r="I168" s="22" t="str">
        <x:v>地图共享；韧性不足只提高受处决概率/额外承伤，不自动造成眩晕或停手</x:v>
      </x:c>
    </x:row>
    <x:row r="169" ht="24" customHeight="1">
      <x:c r="A169" s="22" t="str">
        <x:v>XX708</x:v>
      </x:c>
      <x:c r="B169" s="22" t="str">
        <x:v>XX708</x:v>
      </x:c>
      <x:c r="C169" s="22" t="n">
        <x:v>10</x:v>
      </x:c>
      <x:c r="D169" s="22" t="str">
        <x:v>王城地穴</x:v>
      </x:c>
      <x:c r="E169" s="22" t="n">
        <x:v>1185</x:v>
      </x:c>
      <x:c r="F169" s="22" t="n">
        <x:v>38.5</x:v>
      </x:c>
      <x:c r="G169" s="22" t="n">
        <x:v>5</x:v>
      </x:c>
      <x:c r="H169" s="22" t="str">
        <x:v>C10-M039、C10-M040、C10-M044、C10-M045、C10-M047</x:v>
      </x:c>
      <x:c r="I169" s="22" t="str">
        <x:v>地图共享；韧性不足只提高受处决概率/额外承伤，不自动造成眩晕或停手</x:v>
      </x:c>
    </x:row>
    <x:row r="170" ht="24" customHeight="1">
      <x:c r="A170" s="22" t="str">
        <x:v>XX704</x:v>
      </x:c>
      <x:c r="B170" s="22" t="str">
        <x:v>XX704</x:v>
      </x:c>
      <x:c r="C170" s="22" t="n">
        <x:v>10</x:v>
      </x:c>
      <x:c r="D170" s="22" t="str">
        <x:v>王城地穴</x:v>
      </x:c>
      <x:c r="E170" s="22" t="n">
        <x:v>1185</x:v>
      </x:c>
      <x:c r="F170" s="22" t="n">
        <x:v>38.5</x:v>
      </x:c>
      <x:c r="G170" s="22" t="n">
        <x:v>4</x:v>
      </x:c>
      <x:c r="H170" s="22" t="str">
        <x:v>C10-M041、C10-M042、C10-M046、C10-M048</x:v>
      </x:c>
      <x:c r="I170" s="22" t="str">
        <x:v>地图共享；韧性不足只提高受处决概率/额外承伤，不自动造成眩晕或停手</x:v>
      </x:c>
    </x:row>
    <x:row r="171" ht="24" customHeight="1">
      <x:c r="A171" s="22" t="str">
        <x:v>XX371</x:v>
      </x:c>
      <x:c r="B171" s="22" t="str">
        <x:v>XX371</x:v>
      </x:c>
      <x:c r="C171" s="22" t="n">
        <x:v>10</x:v>
      </x:c>
      <x:c r="D171" s="22" t="str">
        <x:v>黄金王宫</x:v>
      </x:c>
      <x:c r="E171" s="22" t="n">
        <x:v>1195</x:v>
      </x:c>
      <x:c r="F171" s="22" t="n">
        <x:v>38.5</x:v>
      </x:c>
      <x:c r="G171" s="22" t="n">
        <x:v>3</x:v>
      </x:c>
      <x:c r="H171" s="22" t="str">
        <x:v>C10-M049、C10-M050、C10-M055</x:v>
      </x:c>
      <x:c r="I171" s="22" t="str">
        <x:v>地图共享；韧性不足只提高受处决概率/额外承伤，不自动造成眩晕或停手</x:v>
      </x:c>
    </x:row>
    <x:row r="172" ht="24" customHeight="1">
      <x:c r="A172" s="22" t="str">
        <x:v>XX372</x:v>
      </x:c>
      <x:c r="B172" s="22" t="str">
        <x:v>XX372</x:v>
      </x:c>
      <x:c r="C172" s="22" t="n">
        <x:v>10</x:v>
      </x:c>
      <x:c r="D172" s="22" t="str">
        <x:v>黄金王宫</x:v>
      </x:c>
      <x:c r="E172" s="22" t="n">
        <x:v>1195</x:v>
      </x:c>
      <x:c r="F172" s="22" t="n">
        <x:v>38.5</x:v>
      </x:c>
      <x:c r="G172" s="22" t="n">
        <x:v>2</x:v>
      </x:c>
      <x:c r="H172" s="22" t="str">
        <x:v>C10-M051、C10-M056</x:v>
      </x:c>
      <x:c r="I172" s="22" t="str">
        <x:v>地图共享；韧性不足只提高受处决概率/额外承伤，不自动造成眩晕或停手</x:v>
      </x:c>
    </x:row>
    <x:row r="173" ht="24" customHeight="1">
      <x:c r="A173" s="22" t="str">
        <x:v>XX463</x:v>
      </x:c>
      <x:c r="B173" s="22" t="str">
        <x:v>XX463</x:v>
      </x:c>
      <x:c r="C173" s="22" t="n">
        <x:v>10</x:v>
      </x:c>
      <x:c r="D173" s="22" t="str">
        <x:v>黄金王宫</x:v>
      </x:c>
      <x:c r="E173" s="22" t="n">
        <x:v>1195</x:v>
      </x:c>
      <x:c r="F173" s="22" t="n">
        <x:v>38.5</x:v>
      </x:c>
      <x:c r="G173" s="22" t="n">
        <x:v>2</x:v>
      </x:c>
      <x:c r="H173" s="22" t="str">
        <x:v>C10-M052、C10-M057</x:v>
      </x:c>
      <x:c r="I173" s="22" t="str">
        <x:v>地图共享；韧性不足只提高受处决概率/额外承伤，不自动造成眩晕或停手</x:v>
      </x:c>
    </x:row>
    <x:row r="174" ht="24" customHeight="1">
      <x:c r="A174" s="22" t="str">
        <x:v>XX370</x:v>
      </x:c>
      <x:c r="B174" s="22" t="str">
        <x:v>XX370</x:v>
      </x:c>
      <x:c r="C174" s="22" t="n">
        <x:v>10</x:v>
      </x:c>
      <x:c r="D174" s="22" t="str">
        <x:v>黄金王宫</x:v>
      </x:c>
      <x:c r="E174" s="22" t="n">
        <x:v>1195</x:v>
      </x:c>
      <x:c r="F174" s="22" t="n">
        <x:v>38.5</x:v>
      </x:c>
      <x:c r="G174" s="22" t="n">
        <x:v>3</x:v>
      </x:c>
      <x:c r="H174" s="22" t="str">
        <x:v>C10-M053、C10-M058、C10-M059</x:v>
      </x:c>
      <x:c r="I174" s="22" t="str">
        <x:v>地图共享；韧性不足只提高受处决概率/额外承伤，不自动造成眩晕或停手</x:v>
      </x:c>
    </x:row>
    <x:row r="175" ht="24" customHeight="1">
      <x:c r="A175" s="22" t="str">
        <x:v>XX386</x:v>
      </x:c>
      <x:c r="B175" s="22" t="str">
        <x:v>XX386</x:v>
      </x:c>
      <x:c r="C175" s="22" t="n">
        <x:v>10</x:v>
      </x:c>
      <x:c r="D175" s="22" t="str">
        <x:v>黄金王宫</x:v>
      </x:c>
      <x:c r="E175" s="22" t="n">
        <x:v>1395</x:v>
      </x:c>
      <x:c r="F175" s="22" t="n">
        <x:v>42</x:v>
      </x:c>
      <x:c r="G175" s="22" t="n">
        <x:v>3</x:v>
      </x:c>
      <x:c r="H175" s="22" t="str">
        <x:v>C10-M054、C10-M060、C10-M061</x:v>
      </x:c>
      <x:c r="I175" s="22" t="str">
        <x:v>地图共享；韧性不足只提高受处决概率/额外承伤，不自动造成眩晕或停手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1" hidden="0" customWidth="1"/>
    <x:col min="4" max="4" width="12" hidden="0" customWidth="1"/>
    <x:col min="5" max="5" width="12" hidden="0" customWidth="1"/>
    <x:col min="6" max="6" width="12" hidden="0" customWidth="1"/>
    <x:col min="7" max="7" width="25" hidden="0" customWidth="1"/>
    <x:col min="8" max="8" width="15" hidden="0" customWidth="1"/>
    <x:col min="9" max="9" width="15" hidden="0" customWidth="1"/>
    <x:col min="10" max="10" width="16" hidden="0" customWidth="1"/>
    <x:col min="11" max="11" width="22" hidden="0" customWidth="1"/>
    <x:col min="12" max="12" width="22" hidden="0" customWidth="1"/>
    <x:col min="13" max="13" width="14" hidden="0" customWidth="1"/>
    <x:col min="14" max="14" width="16" hidden="0" customWidth="1"/>
  </x:cols>
  <x:sheetData>
    <x:row r="1" ht="32" customHeight="1">
      <x:c r="A1" s="3" t="str">
        <x:v>10守关｜准备度与韧性对照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8" t="str">
        <x:v>是粗略反算校验，不是实测胜率；空生存秒表示平均回复可覆盖。另检查处决高伤单击，避免秒回掩盖秒杀。70分是平衡基准，不是传送条件。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 ht="30" customHeight="1">
      <x:c r="A4" s="15" t="str">
        <x:v>大陆</x:v>
      </x:c>
      <x:c r="B4" s="15" t="str">
        <x:v>守关BOSS</x:v>
      </x:c>
      <x:c r="C4" s="15" t="str">
        <x:v>情景</x:v>
      </x:c>
      <x:c r="D4" s="15" t="str">
        <x:v>人物ID</x:v>
      </x:c>
      <x:c r="E4" s="15" t="str">
        <x:v>实际计分</x:v>
      </x:c>
      <x:c r="F4" s="15" t="str">
        <x:v>韧性差额</x:v>
      </x:c>
      <x:c r="G4" s="15" t="str">
        <x:v>BOSS HP</x:v>
      </x:c>
      <x:c r="H4" s="15" t="str">
        <x:v>预计击杀秒</x:v>
      </x:c>
      <x:c r="I4" s="15" t="str">
        <x:v>危险生存秒</x:v>
      </x:c>
      <x:c r="J4" s="15" t="str">
        <x:v>粗判断</x:v>
      </x:c>
      <x:c r="K4" s="15" t="str">
        <x:v>最大单击威胁</x:v>
      </x:c>
      <x:c r="L4" s="15" t="str">
        <x:v>人物HP</x:v>
      </x:c>
      <x:c r="M4" s="15" t="str">
        <x:v>单击HP占比</x:v>
      </x:c>
      <x:c r="N4" s="15" t="str">
        <x:v>处决秒杀风险</x:v>
      </x:c>
    </x:row>
    <x:row r="5" ht="24" customHeight="1">
      <x:c r="A5" s="22" t="n">
        <x:v>1</x:v>
      </x:c>
      <x:c r="B5" s="22" t="str">
        <x:v>沉没之王·奥德里安</x:v>
      </x:c>
      <x:c r="C5" s="22" t="str">
        <x:v>p50</x:v>
      </x:c>
      <x:c r="D5" s="22" t="str">
        <x:v>P0020</x:v>
      </x:c>
      <x:c r="E5" s="26" t="n">
        <x:v>0.4421051010100079</x:v>
      </x:c>
      <x:c r="F5" s="22" t="n">
        <x:v>-35</x:v>
      </x:c>
      <x:c r="G5" s="22" t="n">
        <x:v>3500000</x:v>
      </x:c>
      <x:c r="H5" s="32" t="n">
        <x:v>97.15974010660014</x:v>
      </x:c>
      <x:c r="I5" s="32" t="n">
        <x:v>10.55240989025564</x:v>
      </x:c>
      <x:c r="J5" s="22" t="str">
        <x:v>参考难过</x:v>
      </x:c>
      <x:c r="K5" s="22" t="n">
        <x:v>42787.44</x:v>
      </x:c>
      <x:c r="L5" s="22" t="n">
        <x:v>140259.71</x:v>
      </x:c>
      <x:c r="M5" s="26" t="n">
        <x:f>K5/L5</x:f>
        <x:v>0.30505866581358254</x:v>
      </x:c>
      <x:c r="N5" s="22" t="str">
        <x:v>无</x:v>
      </x:c>
    </x:row>
    <x:row r="6" ht="24" customHeight="1">
      <x:c r="A6" s="22" t="n">
        <x:v>1</x:v>
      </x:c>
      <x:c r="B6" s="22" t="str">
        <x:v>沉没之王·奥德里安</x:v>
      </x:c>
      <x:c r="C6" s="22" t="str">
        <x:v>p70</x:v>
      </x:c>
      <x:c r="D6" s="22" t="str">
        <x:v>P0022</x:v>
      </x:c>
      <x:c r="E6" s="26" t="n">
        <x:v>0.7171051010100078</x:v>
      </x:c>
      <x:c r="F6" s="22" t="n">
        <x:v>5</x:v>
      </x:c>
      <x:c r="G6" s="22" t="n">
        <x:v>3500000</x:v>
      </x:c>
      <x:c r="H6" s="32" t="n">
        <x:v>89.54611125478216</x:v>
      </x:c>
      <x:c r="I6" s="32"/>
      <x:c r="J6" s="22" t="str">
        <x:v>参考可过</x:v>
      </x:c>
      <x:c r="K6" s="22" t="n">
        <x:v>4754.16</x:v>
      </x:c>
      <x:c r="L6" s="22" t="n">
        <x:v>143289.71</x:v>
      </x:c>
      <x:c r="M6" s="26" t="n">
        <x:f>K6/L6</x:f>
        <x:v>0.03317865602491624</x:v>
      </x:c>
      <x:c r="N6" s="22" t="str">
        <x:v>无</x:v>
      </x:c>
    </x:row>
    <x:row r="7" ht="24" customHeight="1">
      <x:c r="A7" s="22" t="n">
        <x:v>1</x:v>
      </x:c>
      <x:c r="B7" s="22" t="str">
        <x:v>沉没之王·奥德里安</x:v>
      </x:c>
      <x:c r="C7" s="22" t="str">
        <x:v>p90</x:v>
      </x:c>
      <x:c r="D7" s="22" t="str">
        <x:v>P0023</x:v>
      </x:c>
      <x:c r="E7" s="26" t="n">
        <x:v>0.8934519910727995</x:v>
      </x:c>
      <x:c r="F7" s="22" t="n">
        <x:v>17</x:v>
      </x:c>
      <x:c r="G7" s="22" t="n">
        <x:v>3500000</x:v>
      </x:c>
      <x:c r="H7" s="32" t="n">
        <x:v>15.757202071793717</x:v>
      </x:c>
      <x:c r="I7" s="32"/>
      <x:c r="J7" s="22" t="str">
        <x:v>参考可过</x:v>
      </x:c>
      <x:c r="K7" s="22" t="n">
        <x:v>2619.225</x:v>
      </x:c>
      <x:c r="L7" s="22" t="n">
        <x:v>389200.00000000006</x:v>
      </x:c>
      <x:c r="M7" s="26" t="n">
        <x:f>K7/L7</x:f>
        <x:v>0.006729766187050359</x:v>
      </x:c>
      <x:c r="N7" s="22" t="str">
        <x:v>无</x:v>
      </x:c>
    </x:row>
    <x:row r="8" ht="24" customHeight="1">
      <x:c r="A8" s="22" t="n">
        <x:v>1</x:v>
      </x:c>
      <x:c r="B8" s="22" t="str">
        <x:v>沉没之王·奥德里安</x:v>
      </x:c>
      <x:c r="C8" s="22" t="str">
        <x:v>仅缺韧性0</x:v>
      </x:c>
      <x:c r="D8" s="22" t="str">
        <x:v>P0022</x:v>
      </x:c>
      <x:c r="E8" s="26" t="n">
        <x:v>0.7171051010100078</x:v>
      </x:c>
      <x:c r="F8" s="22" t="n">
        <x:v>0</x:v>
      </x:c>
      <x:c r="G8" s="22" t="n">
        <x:v>3500000</x:v>
      </x:c>
      <x:c r="H8" s="32" t="n">
        <x:v>89.54611125478216</x:v>
      </x:c>
      <x:c r="I8" s="32"/>
      <x:c r="J8" s="22" t="str">
        <x:v>参考可过</x:v>
      </x:c>
      <x:c r="K8" s="22" t="n">
        <x:v>4754.16</x:v>
      </x:c>
      <x:c r="L8" s="22" t="n">
        <x:v>143289.71</x:v>
      </x:c>
      <x:c r="M8" s="26" t="n">
        <x:f>K8/L8</x:f>
        <x:v>0.03317865602491624</x:v>
      </x:c>
      <x:c r="N8" s="22" t="str">
        <x:v>无</x:v>
      </x:c>
    </x:row>
    <x:row r="9" ht="24" customHeight="1">
      <x:c r="A9" s="22" t="n">
        <x:v>1</x:v>
      </x:c>
      <x:c r="B9" s="22" t="str">
        <x:v>沉没之王·奥德里安</x:v>
      </x:c>
      <x:c r="C9" s="22" t="str">
        <x:v>仅缺韧性10</x:v>
      </x:c>
      <x:c r="D9" s="22" t="str">
        <x:v>P0022</x:v>
      </x:c>
      <x:c r="E9" s="26" t="n">
        <x:v>0.7171051010100078</x:v>
      </x:c>
      <x:c r="F9" s="22" t="n">
        <x:v>-10</x:v>
      </x:c>
      <x:c r="G9" s="22" t="n">
        <x:v>3500000</x:v>
      </x:c>
      <x:c r="H9" s="32" t="n">
        <x:v>89.54611125478216</x:v>
      </x:c>
      <x:c r="I9" s="32" t="n">
        <x:v>184.74395800883562</x:v>
      </x:c>
      <x:c r="J9" s="22" t="str">
        <x:v>参考可过</x:v>
      </x:c>
      <x:c r="K9" s="22" t="n">
        <x:v>19016.64</x:v>
      </x:c>
      <x:c r="L9" s="22" t="n">
        <x:v>143289.71</x:v>
      </x:c>
      <x:c r="M9" s="26" t="n">
        <x:f>K9/L9</x:f>
        <x:v>0.13271462409966495</x:v>
      </x:c>
      <x:c r="N9" s="22" t="str">
        <x:v>无</x:v>
      </x:c>
    </x:row>
    <x:row r="10" ht="24" customHeight="1">
      <x:c r="A10" s="22" t="n">
        <x:v>1</x:v>
      </x:c>
      <x:c r="B10" s="22" t="str">
        <x:v>沉没之王·奥德里安</x:v>
      </x:c>
      <x:c r="C10" s="22" t="str">
        <x:v>仅缺韧性25</x:v>
      </x:c>
      <x:c r="D10" s="22" t="str">
        <x:v>P0022</x:v>
      </x:c>
      <x:c r="E10" s="26" t="n">
        <x:v>0.7171051010100078</x:v>
      </x:c>
      <x:c r="F10" s="22" t="n">
        <x:v>-25</x:v>
      </x:c>
      <x:c r="G10" s="22" t="n">
        <x:v>3500000</x:v>
      </x:c>
      <x:c r="H10" s="32" t="n">
        <x:v>89.54611125478216</x:v>
      </x:c>
      <x:c r="I10" s="32" t="n">
        <x:v>20.77748105069697</x:v>
      </x:c>
      <x:c r="J10" s="22" t="str">
        <x:v>参考难过</x:v>
      </x:c>
      <x:c r="K10" s="22" t="n">
        <x:v>33279.119999999995</x:v>
      </x:c>
      <x:c r="L10" s="22" t="n">
        <x:v>143289.71</x:v>
      </x:c>
      <x:c r="M10" s="26" t="n">
        <x:f>K10/L10</x:f>
        <x:v>0.23225059217441363</x:v>
      </x:c>
      <x:c r="N10" s="22" t="str">
        <x:v>无</x:v>
      </x:c>
    </x:row>
    <x:row r="11" ht="24" customHeight="1">
      <x:c r="A11" s="22" t="n">
        <x:v>2</x:v>
      </x:c>
      <x:c r="B11" s="22" t="str">
        <x:v>接肢君王·葛瑞克</x:v>
      </x:c>
      <x:c r="C11" s="22" t="str">
        <x:v>p50</x:v>
      </x:c>
      <x:c r="D11" s="22" t="str">
        <x:v>P0056</x:v>
      </x:c>
      <x:c r="E11" s="26" t="n">
        <x:v>0.4168004660247772</x:v>
      </x:c>
      <x:c r="F11" s="22" t="n">
        <x:v>-53</x:v>
      </x:c>
      <x:c r="G11" s="22" t="n">
        <x:v>130000000</x:v>
      </x:c>
      <x:c r="H11" s="32" t="n">
        <x:v>186.48148272460972</x:v>
      </x:c>
      <x:c r="I11" s="32" t="n">
        <x:v>3.2744017893055033</x:v>
      </x:c>
      <x:c r="J11" s="22" t="str">
        <x:v>参考难过</x:v>
      </x:c>
      <x:c r="K11" s="22" t="n">
        <x:v>433450.45800000004</x:v>
      </x:c>
      <x:c r="L11" s="22" t="n">
        <x:v>562754</x:v>
      </x:c>
      <x:c r="M11" s="26" t="n">
        <x:f>K11/L11</x:f>
        <x:v>0.7702307900077121</x:v>
      </x:c>
      <x:c r="N11" s="22" t="str">
        <x:v>无</x:v>
      </x:c>
    </x:row>
    <x:row r="12" ht="24" customHeight="1">
      <x:c r="A12" s="22" t="n">
        <x:v>2</x:v>
      </x:c>
      <x:c r="B12" s="22" t="str">
        <x:v>接肢君王·葛瑞克</x:v>
      </x:c>
      <x:c r="C12" s="22" t="str">
        <x:v>p70</x:v>
      </x:c>
      <x:c r="D12" s="22" t="str">
        <x:v>P0058</x:v>
      </x:c>
      <x:c r="E12" s="26" t="n">
        <x:v>0.7018824332378919</x:v>
      </x:c>
      <x:c r="F12" s="22" t="n">
        <x:v>7</x:v>
      </x:c>
      <x:c r="G12" s="22" t="n">
        <x:v>130000000</x:v>
      </x:c>
      <x:c r="H12" s="32" t="n">
        <x:v>145.46640258549633</x:v>
      </x:c>
      <x:c r="I12" s="32" t="n">
        <x:v>2098.777473444311</x:v>
      </x:c>
      <x:c r="J12" s="22" t="str">
        <x:v>参考可过</x:v>
      </x:c>
      <x:c r="K12" s="22" t="n">
        <x:v>34400.83</x:v>
      </x:c>
      <x:c r="L12" s="22" t="n">
        <x:v>575474</x:v>
      </x:c>
      <x:c r="M12" s="26" t="n">
        <x:f>K12/L12</x:f>
        <x:v>0.05977825236240039</x:v>
      </x:c>
      <x:c r="N12" s="22" t="str">
        <x:v>无</x:v>
      </x:c>
    </x:row>
    <x:row r="13" ht="24" customHeight="1">
      <x:c r="A13" s="22" t="n">
        <x:v>2</x:v>
      </x:c>
      <x:c r="B13" s="22" t="str">
        <x:v>接肢君王·葛瑞克</x:v>
      </x:c>
      <x:c r="C13" s="22" t="str">
        <x:v>p90</x:v>
      </x:c>
      <x:c r="D13" s="22" t="str">
        <x:v>P0059</x:v>
      </x:c>
      <x:c r="E13" s="26" t="n">
        <x:v>0.9568078969330063</x:v>
      </x:c>
      <x:c r="F13" s="22" t="n">
        <x:v>154</x:v>
      </x:c>
      <x:c r="G13" s="22" t="n">
        <x:v>130000000</x:v>
      </x:c>
      <x:c r="H13" s="32" t="n">
        <x:v>21.161442692498188</x:v>
      </x:c>
      <x:c r="I13" s="32"/>
      <x:c r="J13" s="22" t="str">
        <x:v>参考可过</x:v>
      </x:c>
      <x:c r="K13" s="22" t="n">
        <x:v>31533.425</x:v>
      </x:c>
      <x:c r="L13" s="22" t="n">
        <x:v>1345750</x:v>
      </x:c>
      <x:c r="M13" s="26" t="n">
        <x:f>K13/L13</x:f>
        <x:v>0.02343185955786736</x:v>
      </x:c>
      <x:c r="N13" s="22" t="str">
        <x:v>无</x:v>
      </x:c>
    </x:row>
    <x:row r="14" ht="24" customHeight="1">
      <x:c r="A14" s="22" t="n">
        <x:v>2</x:v>
      </x:c>
      <x:c r="B14" s="22" t="str">
        <x:v>接肢君王·葛瑞克</x:v>
      </x:c>
      <x:c r="C14" s="22" t="str">
        <x:v>仅缺韧性0</x:v>
      </x:c>
      <x:c r="D14" s="22" t="str">
        <x:v>P0058</x:v>
      </x:c>
      <x:c r="E14" s="26" t="n">
        <x:v>0.7018824332378919</x:v>
      </x:c>
      <x:c r="F14" s="22" t="n">
        <x:v>0</x:v>
      </x:c>
      <x:c r="G14" s="22" t="n">
        <x:v>130000000</x:v>
      </x:c>
      <x:c r="H14" s="32" t="n">
        <x:v>145.46640258549633</x:v>
      </x:c>
      <x:c r="I14" s="32" t="n">
        <x:v>2098.777473444311</x:v>
      </x:c>
      <x:c r="J14" s="22" t="str">
        <x:v>参考可过</x:v>
      </x:c>
      <x:c r="K14" s="22" t="n">
        <x:v>34400.83</x:v>
      </x:c>
      <x:c r="L14" s="22" t="n">
        <x:v>575474</x:v>
      </x:c>
      <x:c r="M14" s="26" t="n">
        <x:f>K14/L14</x:f>
        <x:v>0.05977825236240039</x:v>
      </x:c>
      <x:c r="N14" s="22" t="str">
        <x:v>无</x:v>
      </x:c>
    </x:row>
    <x:row r="15" ht="24" customHeight="1">
      <x:c r="A15" s="22" t="n">
        <x:v>2</x:v>
      </x:c>
      <x:c r="B15" s="22" t="str">
        <x:v>接肢君王·葛瑞克</x:v>
      </x:c>
      <x:c r="C15" s="22" t="str">
        <x:v>仅缺韧性10</x:v>
      </x:c>
      <x:c r="D15" s="22" t="str">
        <x:v>P0058</x:v>
      </x:c>
      <x:c r="E15" s="26" t="n">
        <x:v>0.7018824332378919</x:v>
      </x:c>
      <x:c r="F15" s="22" t="n">
        <x:v>-10</x:v>
      </x:c>
      <x:c r="G15" s="22" t="n">
        <x:v>130000000</x:v>
      </x:c>
      <x:c r="H15" s="32" t="n">
        <x:v>145.46640258549633</x:v>
      </x:c>
      <x:c r="I15" s="32" t="n">
        <x:v>89.73798273542921</x:v>
      </x:c>
      <x:c r="J15" s="22" t="str">
        <x:v>参考难过</x:v>
      </x:c>
      <x:c r="K15" s="22" t="n">
        <x:v>137603.32</x:v>
      </x:c>
      <x:c r="L15" s="22" t="n">
        <x:v>575474</x:v>
      </x:c>
      <x:c r="M15" s="26" t="n">
        <x:f>K15/L15</x:f>
        <x:v>0.23911300944960157</x:v>
      </x:c>
      <x:c r="N15" s="22" t="str">
        <x:v>无</x:v>
      </x:c>
    </x:row>
    <x:row r="16" ht="24" customHeight="1">
      <x:c r="A16" s="22" t="n">
        <x:v>2</x:v>
      </x:c>
      <x:c r="B16" s="22" t="str">
        <x:v>接肢君王·葛瑞克</x:v>
      </x:c>
      <x:c r="C16" s="22" t="str">
        <x:v>仅缺韧性25</x:v>
      </x:c>
      <x:c r="D16" s="22" t="str">
        <x:v>P0058</x:v>
      </x:c>
      <x:c r="E16" s="26" t="n">
        <x:v>0.7018824332378919</x:v>
      </x:c>
      <x:c r="F16" s="22" t="n">
        <x:v>-25</x:v>
      </x:c>
      <x:c r="G16" s="22" t="n">
        <x:v>130000000</x:v>
      </x:c>
      <x:c r="H16" s="32" t="n">
        <x:v>145.46640258549633</x:v>
      </x:c>
      <x:c r="I16" s="32" t="n">
        <x:v>11.299954520415165</x:v>
      </x:c>
      <x:c r="J16" s="22" t="str">
        <x:v>参考难过</x:v>
      </x:c>
      <x:c r="K16" s="22" t="n">
        <x:v>240805.81</x:v>
      </x:c>
      <x:c r="L16" s="22" t="n">
        <x:v>575474</x:v>
      </x:c>
      <x:c r="M16" s="26" t="n">
        <x:f>K16/L16</x:f>
        <x:v>0.4184477665368027</x:v>
      </x:c>
      <x:c r="N16" s="22" t="str">
        <x:v>无</x:v>
      </x:c>
    </x:row>
    <x:row r="17" ht="24" customHeight="1">
      <x:c r="A17" s="22" t="n">
        <x:v>3</x:v>
      </x:c>
      <x:c r="B17" s="22" t="str">
        <x:v>西境征服者·戈德里安</x:v>
      </x:c>
      <x:c r="C17" s="22" t="str">
        <x:v>p50</x:v>
      </x:c>
      <x:c r="D17" s="22" t="str">
        <x:v>P0098</x:v>
      </x:c>
      <x:c r="E17" s="26" t="n">
        <x:v>0.4525913015928344</x:v>
      </x:c>
      <x:c r="F17" s="22" t="n">
        <x:v>-68</x:v>
      </x:c>
      <x:c r="G17" s="22" t="n">
        <x:v>400000000</x:v>
      </x:c>
      <x:c r="H17" s="32" t="n">
        <x:v>236.86854842954298</x:v>
      </x:c>
      <x:c r="I17" s="32" t="n">
        <x:v>1.8556840280110818</x:v>
      </x:c>
      <x:c r="J17" s="22" t="str">
        <x:v>参考难过</x:v>
      </x:c>
      <x:c r="K17" s="22" t="n">
        <x:v>1240780.7880000002</x:v>
      </x:c>
      <x:c r="L17" s="22" t="n">
        <x:v>924600</x:v>
      </x:c>
      <x:c r="M17" s="26" t="n">
        <x:f>K17/L17</x:f>
        <x:v>1.3419649448410125</x:v>
      </x:c>
      <x:c r="N17" s="22" t="str">
        <x:v>有</x:v>
      </x:c>
    </x:row>
    <x:row r="18" ht="24" customHeight="1">
      <x:c r="A18" s="22" t="n">
        <x:v>3</x:v>
      </x:c>
      <x:c r="B18" s="22" t="str">
        <x:v>西境征服者·戈德里安</x:v>
      </x:c>
      <x:c r="C18" s="22" t="str">
        <x:v>p70</x:v>
      </x:c>
      <x:c r="D18" s="22" t="str">
        <x:v>P0100</x:v>
      </x:c>
      <x:c r="E18" s="26" t="n">
        <x:v>0.7025913015928343</x:v>
      </x:c>
      <x:c r="F18" s="22" t="n">
        <x:v>7</x:v>
      </x:c>
      <x:c r="G18" s="22" t="n">
        <x:v>400000000</x:v>
      </x:c>
      <x:c r="H18" s="32" t="n">
        <x:v>179.621926038808</x:v>
      </x:c>
      <x:c r="I18" s="32"/>
      <x:c r="J18" s="22" t="str">
        <x:v>参考可过</x:v>
      </x:c>
      <x:c r="K18" s="22" t="n">
        <x:v>79537.23000000001</x:v>
      </x:c>
      <x:c r="L18" s="22" t="n">
        <x:v>944700</x:v>
      </x:c>
      <x:c r="M18" s="26" t="n">
        <x:f>K18/L18</x:f>
        <x:v>0.08419310892346778</x:v>
      </x:c>
      <x:c r="N18" s="22" t="str">
        <x:v>无</x:v>
      </x:c>
    </x:row>
    <x:row r="19" ht="24" customHeight="1">
      <x:c r="A19" s="22" t="n">
        <x:v>3</x:v>
      </x:c>
      <x:c r="B19" s="22" t="str">
        <x:v>西境征服者·戈德里安</x:v>
      </x:c>
      <x:c r="C19" s="22" t="str">
        <x:v>p90</x:v>
      </x:c>
      <x:c r="D19" s="22" t="str">
        <x:v>P0101</x:v>
      </x:c>
      <x:c r="E19" s="26" t="n">
        <x:v>0.9451553903358803</x:v>
      </x:c>
      <x:c r="F19" s="22" t="n">
        <x:v>82</x:v>
      </x:c>
      <x:c r="G19" s="22" t="n">
        <x:v>400000000</x:v>
      </x:c>
      <x:c r="H19" s="32" t="n">
        <x:v>47.17949112573444</x:v>
      </x:c>
      <x:c r="I19" s="32"/>
      <x:c r="J19" s="22" t="str">
        <x:v>参考可过</x:v>
      </x:c>
      <x:c r="K19" s="22" t="n">
        <x:v>58492.14000000001</x:v>
      </x:c>
      <x:c r="L19" s="22" t="n">
        <x:v>1278461</x:v>
      </x:c>
      <x:c r="M19" s="26" t="n">
        <x:f>K19/L19</x:f>
        <x:v>0.04575199399903478</x:v>
      </x:c>
      <x:c r="N19" s="22" t="str">
        <x:v>无</x:v>
      </x:c>
    </x:row>
    <x:row r="20" ht="24" customHeight="1">
      <x:c r="A20" s="22" t="n">
        <x:v>3</x:v>
      </x:c>
      <x:c r="B20" s="22" t="str">
        <x:v>西境征服者·戈德里安</x:v>
      </x:c>
      <x:c r="C20" s="22" t="str">
        <x:v>仅缺韧性0</x:v>
      </x:c>
      <x:c r="D20" s="22" t="str">
        <x:v>P0100</x:v>
      </x:c>
      <x:c r="E20" s="26" t="n">
        <x:v>0.7025913015928343</x:v>
      </x:c>
      <x:c r="F20" s="22" t="n">
        <x:v>0</x:v>
      </x:c>
      <x:c r="G20" s="22" t="n">
        <x:v>400000000</x:v>
      </x:c>
      <x:c r="H20" s="32" t="n">
        <x:v>179.621926038808</x:v>
      </x:c>
      <x:c r="I20" s="32"/>
      <x:c r="J20" s="22" t="str">
        <x:v>参考可过</x:v>
      </x:c>
      <x:c r="K20" s="22" t="n">
        <x:v>79537.23000000001</x:v>
      </x:c>
      <x:c r="L20" s="22" t="n">
        <x:v>944700</x:v>
      </x:c>
      <x:c r="M20" s="26" t="n">
        <x:f>K20/L20</x:f>
        <x:v>0.08419310892346778</x:v>
      </x:c>
      <x:c r="N20" s="22" t="str">
        <x:v>无</x:v>
      </x:c>
    </x:row>
    <x:row r="21" ht="24" customHeight="1">
      <x:c r="A21" s="22" t="n">
        <x:v>3</x:v>
      </x:c>
      <x:c r="B21" s="22" t="str">
        <x:v>西境征服者·戈德里安</x:v>
      </x:c>
      <x:c r="C21" s="22" t="str">
        <x:v>仅缺韧性10</x:v>
      </x:c>
      <x:c r="D21" s="22" t="str">
        <x:v>P0100</x:v>
      </x:c>
      <x:c r="E21" s="26" t="n">
        <x:v>0.7025913015928343</x:v>
      </x:c>
      <x:c r="F21" s="22" t="n">
        <x:v>-10</x:v>
      </x:c>
      <x:c r="G21" s="22" t="n">
        <x:v>400000000</x:v>
      </x:c>
      <x:c r="H21" s="32" t="n">
        <x:v>179.621926038808</x:v>
      </x:c>
      <x:c r="I21" s="32" t="n">
        <x:v>78.08233839850217</x:v>
      </x:c>
      <x:c r="J21" s="22" t="str">
        <x:v>参考难过</x:v>
      </x:c>
      <x:c r="K21" s="22" t="n">
        <x:v>318148.92000000004</x:v>
      </x:c>
      <x:c r="L21" s="22" t="n">
        <x:v>944700</x:v>
      </x:c>
      <x:c r="M21" s="26" t="n">
        <x:f>K21/L21</x:f>
        <x:v>0.3367724356938711</x:v>
      </x:c>
      <x:c r="N21" s="22" t="str">
        <x:v>无</x:v>
      </x:c>
    </x:row>
    <x:row r="22" ht="24" customHeight="1">
      <x:c r="A22" s="22" t="n">
        <x:v>3</x:v>
      </x:c>
      <x:c r="B22" s="22" t="str">
        <x:v>西境征服者·戈德里安</x:v>
      </x:c>
      <x:c r="C22" s="22" t="str">
        <x:v>仅缺韧性25</x:v>
      </x:c>
      <x:c r="D22" s="22" t="str">
        <x:v>P0100</x:v>
      </x:c>
      <x:c r="E22" s="26" t="n">
        <x:v>0.7025913015928343</x:v>
      </x:c>
      <x:c r="F22" s="22" t="n">
        <x:v>-25</x:v>
      </x:c>
      <x:c r="G22" s="22" t="n">
        <x:v>400000000</x:v>
      </x:c>
      <x:c r="H22" s="32" t="n">
        <x:v>179.621926038808</x:v>
      </x:c>
      <x:c r="I22" s="32" t="n">
        <x:v>8.305733403502296</x:v>
      </x:c>
      <x:c r="J22" s="22" t="str">
        <x:v>参考难过</x:v>
      </x:c>
      <x:c r="K22" s="22" t="n">
        <x:v>556760.6100000001</x:v>
      </x:c>
      <x:c r="L22" s="22" t="n">
        <x:v>944700</x:v>
      </x:c>
      <x:c r="M22" s="26" t="n">
        <x:f>K22/L22</x:f>
        <x:v>0.5893517624642745</x:v>
      </x:c>
      <x:c r="N22" s="22" t="str">
        <x:v>无</x:v>
      </x:c>
    </x:row>
    <x:row r="23" ht="24" customHeight="1">
      <x:c r="A23" s="22" t="n">
        <x:v>4</x:v>
      </x:c>
      <x:c r="B23" s="22" t="str">
        <x:v>闭潮王·莱弥恩</x:v>
      </x:c>
      <x:c r="C23" s="22" t="str">
        <x:v>p50</x:v>
      </x:c>
      <x:c r="D23" s="22" t="str">
        <x:v>P0140</x:v>
      </x:c>
      <x:c r="E23" s="26" t="n">
        <x:v>0.4471989281946419</x:v>
      </x:c>
      <x:c r="F23" s="22" t="n">
        <x:v>-83</x:v>
      </x:c>
      <x:c r="G23" s="22" t="n">
        <x:v>3400000000</x:v>
      </x:c>
      <x:c r="H23" s="32" t="n">
        <x:v>285.38073129534365</x:v>
      </x:c>
      <x:c r="I23" s="32" t="n">
        <x:v>0.34537159020596786</x:v>
      </x:c>
      <x:c r="J23" s="22" t="str">
        <x:v>参考难过</x:v>
      </x:c>
      <x:c r="K23" s="22" t="n">
        <x:v>10706842.62</x:v>
      </x:c>
      <x:c r="L23" s="22" t="n">
        <x:v>1520900</x:v>
      </x:c>
      <x:c r="M23" s="26" t="n">
        <x:f>K23/L23</x:f>
        <x:v>7.039807101058583</x:v>
      </x:c>
      <x:c r="N23" s="22" t="str">
        <x:v>有</x:v>
      </x:c>
    </x:row>
    <x:row r="24" ht="24" customHeight="1">
      <x:c r="A24" s="22" t="n">
        <x:v>4</x:v>
      </x:c>
      <x:c r="B24" s="22" t="str">
        <x:v>闭潮王·莱弥恩</x:v>
      </x:c>
      <x:c r="C24" s="22" t="str">
        <x:v>p70</x:v>
      </x:c>
      <x:c r="D24" s="22" t="str">
        <x:v>P0142</x:v>
      </x:c>
      <x:c r="E24" s="26" t="n">
        <x:v>0.7015739281946419</x:v>
      </x:c>
      <x:c r="F24" s="22" t="n">
        <x:v>7</x:v>
      </x:c>
      <x:c r="G24" s="22" t="n">
        <x:v>3400000000</x:v>
      </x:c>
      <x:c r="H24" s="32" t="n">
        <x:v>207.3379725914665</x:v>
      </x:c>
      <x:c r="I24" s="32"/>
      <x:c r="J24" s="22" t="str">
        <x:v>参考可过</x:v>
      </x:c>
      <x:c r="K24" s="22" t="n">
        <x:v>575636.7</x:v>
      </x:c>
      <x:c r="L24" s="22" t="n">
        <x:v>1556400</x:v>
      </x:c>
      <x:c r="M24" s="26" t="n">
        <x:f>K24/L24</x:f>
        <x:v>0.3698513878180416</x:v>
      </x:c>
      <x:c r="N24" s="22" t="str">
        <x:v>无</x:v>
      </x:c>
    </x:row>
    <x:row r="25" ht="24" customHeight="1">
      <x:c r="A25" s="22" t="n">
        <x:v>4</x:v>
      </x:c>
      <x:c r="B25" s="22" t="str">
        <x:v>闭潮王·莱弥恩</x:v>
      </x:c>
      <x:c r="C25" s="22" t="str">
        <x:v>p90</x:v>
      </x:c>
      <x:c r="D25" s="22" t="str">
        <x:v>P0143</x:v>
      </x:c>
      <x:c r="E25" s="26" t="n">
        <x:v>0.9387453823777427</x:v>
      </x:c>
      <x:c r="F25" s="22" t="n">
        <x:v>73</x:v>
      </x:c>
      <x:c r="G25" s="22" t="n">
        <x:v>3400000000</x:v>
      </x:c>
      <x:c r="H25" s="32" t="n">
        <x:v>57.865018973102984</x:v>
      </x:c>
      <x:c r="I25" s="32"/>
      <x:c r="J25" s="22" t="str">
        <x:v>参考可过</x:v>
      </x:c>
      <x:c r="K25" s="22" t="n">
        <x:v>508338.9</x:v>
      </x:c>
      <x:c r="L25" s="22" t="n">
        <x:v>1763100</x:v>
      </x:c>
      <x:c r="M25" s="26" t="n">
        <x:f>K25/L25</x:f>
        <x:v>0.2883210821847882</x:v>
      </x:c>
      <x:c r="N25" s="22" t="str">
        <x:v>无</x:v>
      </x:c>
    </x:row>
    <x:row r="26" ht="24" customHeight="1">
      <x:c r="A26" s="22" t="n">
        <x:v>4</x:v>
      </x:c>
      <x:c r="B26" s="22" t="str">
        <x:v>闭潮王·莱弥恩</x:v>
      </x:c>
      <x:c r="C26" s="22" t="str">
        <x:v>仅缺韧性0</x:v>
      </x:c>
      <x:c r="D26" s="22" t="str">
        <x:v>P0142</x:v>
      </x:c>
      <x:c r="E26" s="26" t="n">
        <x:v>0.7015739281946419</x:v>
      </x:c>
      <x:c r="F26" s="22" t="n">
        <x:v>0</x:v>
      </x:c>
      <x:c r="G26" s="22" t="n">
        <x:v>3400000000</x:v>
      </x:c>
      <x:c r="H26" s="32" t="n">
        <x:v>207.3379725914665</x:v>
      </x:c>
      <x:c r="I26" s="32"/>
      <x:c r="J26" s="22" t="str">
        <x:v>参考可过</x:v>
      </x:c>
      <x:c r="K26" s="22" t="n">
        <x:v>575636.7</x:v>
      </x:c>
      <x:c r="L26" s="22" t="n">
        <x:v>1556400</x:v>
      </x:c>
      <x:c r="M26" s="26" t="n">
        <x:f>K26/L26</x:f>
        <x:v>0.3698513878180416</x:v>
      </x:c>
      <x:c r="N26" s="22" t="str">
        <x:v>无</x:v>
      </x:c>
    </x:row>
    <x:row r="27" ht="24" customHeight="1">
      <x:c r="A27" s="22" t="n">
        <x:v>4</x:v>
      </x:c>
      <x:c r="B27" s="22" t="str">
        <x:v>闭潮王·莱弥恩</x:v>
      </x:c>
      <x:c r="C27" s="22" t="str">
        <x:v>仅缺韧性10</x:v>
      </x:c>
      <x:c r="D27" s="22" t="str">
        <x:v>P0142</x:v>
      </x:c>
      <x:c r="E27" s="26" t="n">
        <x:v>0.7015739281946419</x:v>
      </x:c>
      <x:c r="F27" s="22" t="n">
        <x:v>-10</x:v>
      </x:c>
      <x:c r="G27" s="22" t="n">
        <x:v>3400000000</x:v>
      </x:c>
      <x:c r="H27" s="32" t="n">
        <x:v>207.3379725914665</x:v>
      </x:c>
      <x:c r="I27" s="32" t="n">
        <x:v>20</x:v>
      </x:c>
      <x:c r="J27" s="22" t="str">
        <x:v>参考难过</x:v>
      </x:c>
      <x:c r="K27" s="22" t="n">
        <x:v>2302546.8</x:v>
      </x:c>
      <x:c r="L27" s="22" t="n">
        <x:v>1556400</x:v>
      </x:c>
      <x:c r="M27" s="26" t="n">
        <x:f>K27/L27</x:f>
        <x:v>1.4794055512721664</x:v>
      </x:c>
      <x:c r="N27" s="22" t="str">
        <x:v>有</x:v>
      </x:c>
    </x:row>
    <x:row r="28" ht="24" customHeight="1">
      <x:c r="A28" s="22" t="n">
        <x:v>4</x:v>
      </x:c>
      <x:c r="B28" s="22" t="str">
        <x:v>闭潮王·莱弥恩</x:v>
      </x:c>
      <x:c r="C28" s="22" t="str">
        <x:v>仅缺韧性25</x:v>
      </x:c>
      <x:c r="D28" s="22" t="str">
        <x:v>P0142</x:v>
      </x:c>
      <x:c r="E28" s="26" t="n">
        <x:v>0.7015739281946419</x:v>
      </x:c>
      <x:c r="F28" s="22" t="n">
        <x:v>-25</x:v>
      </x:c>
      <x:c r="G28" s="22" t="n">
        <x:v>3400000000</x:v>
      </x:c>
      <x:c r="H28" s="32" t="n">
        <x:v>207.3379725914665</x:v>
      </x:c>
      <x:c r="I28" s="32" t="n">
        <x:v>2.061517168817049</x:v>
      </x:c>
      <x:c r="J28" s="22" t="str">
        <x:v>参考难过</x:v>
      </x:c>
      <x:c r="K28" s="22" t="n">
        <x:v>4029456.8999999994</x:v>
      </x:c>
      <x:c r="L28" s="22" t="n">
        <x:v>1556400</x:v>
      </x:c>
      <x:c r="M28" s="26" t="n">
        <x:f>K28/L28</x:f>
        <x:v>2.588959714726291</x:v>
      </x:c>
      <x:c r="N28" s="22" t="str">
        <x:v>有</x:v>
      </x:c>
    </x:row>
    <x:row r="29" ht="24" customHeight="1">
      <x:c r="A29" s="22" t="n">
        <x:v>5</x:v>
      </x:c>
      <x:c r="B29" s="22" t="str">
        <x:v>寒镜终誓王</x:v>
      </x:c>
      <x:c r="C29" s="22" t="str">
        <x:v>p50</x:v>
      </x:c>
      <x:c r="D29" s="22" t="str">
        <x:v>P0182</x:v>
      </x:c>
      <x:c r="E29" s="26" t="n">
        <x:v>0.4717924884286184</x:v>
      </x:c>
      <x:c r="F29" s="22" t="n">
        <x:v>-98</x:v>
      </x:c>
      <x:c r="G29" s="22" t="n">
        <x:v>30000000000</x:v>
      </x:c>
      <x:c r="H29" s="32" t="n">
        <x:v>358.7610833570548</x:v>
      </x:c>
      <x:c r="I29" s="32" t="n">
        <x:v>0.42335385353952026</x:v>
      </x:c>
      <x:c r="J29" s="22" t="str">
        <x:v>参考难过</x:v>
      </x:c>
      <x:c r="K29" s="22" t="n">
        <x:v>19430195.76</x:v>
      </x:c>
      <x:c r="L29" s="22" t="n">
        <x:v>2388300</x:v>
      </x:c>
      <x:c r="M29" s="26" t="n">
        <x:f>K29/L29</x:f>
        <x:v>8.135575832181887</x:v>
      </x:c>
      <x:c r="N29" s="22" t="str">
        <x:v>有</x:v>
      </x:c>
    </x:row>
    <x:row r="30" ht="24" customHeight="1">
      <x:c r="A30" s="22" t="n">
        <x:v>5</x:v>
      </x:c>
      <x:c r="B30" s="22" t="str">
        <x:v>寒镜终誓王</x:v>
      </x:c>
      <x:c r="C30" s="22" t="str">
        <x:v>p70</x:v>
      </x:c>
      <x:c r="D30" s="22" t="str">
        <x:v>P0184</x:v>
      </x:c>
      <x:c r="E30" s="26" t="n">
        <x:v>0.7042924884286182</x:v>
      </x:c>
      <x:c r="F30" s="22" t="n">
        <x:v>7</x:v>
      </x:c>
      <x:c r="G30" s="22" t="n">
        <x:v>30000000000</x:v>
      </x:c>
      <x:c r="H30" s="32" t="n">
        <x:v>238.67152309040554</x:v>
      </x:c>
      <x:c r="I30" s="32"/>
      <x:c r="J30" s="22" t="str">
        <x:v>参考可过</x:v>
      </x:c>
      <x:c r="K30" s="22" t="n">
        <x:v>899546.1</x:v>
      </x:c>
      <x:c r="L30" s="22" t="n">
        <x:v>2437100</x:v>
      </x:c>
      <x:c r="M30" s="26" t="n">
        <x:f>K30/L30</x:f>
        <x:v>0.3691051249435805</x:v>
      </x:c>
      <x:c r="N30" s="22" t="str">
        <x:v>无</x:v>
      </x:c>
    </x:row>
    <x:row r="31" ht="24" customHeight="1">
      <x:c r="A31" s="22" t="n">
        <x:v>5</x:v>
      </x:c>
      <x:c r="B31" s="22" t="str">
        <x:v>寒镜终誓王</x:v>
      </x:c>
      <x:c r="C31" s="22" t="str">
        <x:v>p90</x:v>
      </x:c>
      <x:c r="D31" s="22" t="str">
        <x:v>P0185</x:v>
      </x:c>
      <x:c r="E31" s="26" t="n">
        <x:v>0.9389804994865559</x:v>
      </x:c>
      <x:c r="F31" s="22" t="n">
        <x:v>70</x:v>
      </x:c>
      <x:c r="G31" s="22" t="n">
        <x:v>30000000000</x:v>
      </x:c>
      <x:c r="H31" s="32" t="n">
        <x:v>142.36872403155127</x:v>
      </x:c>
      <x:c r="I31" s="32"/>
      <x:c r="J31" s="22" t="str">
        <x:v>参考可过</x:v>
      </x:c>
      <x:c r="K31" s="22" t="n">
        <x:v>854473.3200000001</x:v>
      </x:c>
      <x:c r="L31" s="22" t="n">
        <x:v>2635000</x:v>
      </x:c>
      <x:c r="M31" s="26" t="n">
        <x:f>K31/L31</x:f>
        <x:v>0.3242782998102467</x:v>
      </x:c>
      <x:c r="N31" s="22" t="str">
        <x:v>无</x:v>
      </x:c>
    </x:row>
    <x:row r="32" ht="24" customHeight="1">
      <x:c r="A32" s="22" t="n">
        <x:v>5</x:v>
      </x:c>
      <x:c r="B32" s="22" t="str">
        <x:v>寒镜终誓王</x:v>
      </x:c>
      <x:c r="C32" s="22" t="str">
        <x:v>仅缺韧性0</x:v>
      </x:c>
      <x:c r="D32" s="22" t="str">
        <x:v>P0184</x:v>
      </x:c>
      <x:c r="E32" s="26" t="n">
        <x:v>0.7042924884286182</x:v>
      </x:c>
      <x:c r="F32" s="22" t="n">
        <x:v>0</x:v>
      </x:c>
      <x:c r="G32" s="22" t="n">
        <x:v>30000000000</x:v>
      </x:c>
      <x:c r="H32" s="32" t="n">
        <x:v>238.67152309040554</x:v>
      </x:c>
      <x:c r="I32" s="32"/>
      <x:c r="J32" s="22" t="str">
        <x:v>参考可过</x:v>
      </x:c>
      <x:c r="K32" s="22" t="n">
        <x:v>899546.1</x:v>
      </x:c>
      <x:c r="L32" s="22" t="n">
        <x:v>2437100</x:v>
      </x:c>
      <x:c r="M32" s="26" t="n">
        <x:f>K32/L32</x:f>
        <x:v>0.3691051249435805</x:v>
      </x:c>
      <x:c r="N32" s="22" t="str">
        <x:v>无</x:v>
      </x:c>
    </x:row>
    <x:row r="33" ht="24" customHeight="1">
      <x:c r="A33" s="22" t="n">
        <x:v>5</x:v>
      </x:c>
      <x:c r="B33" s="22" t="str">
        <x:v>寒镜终誓王</x:v>
      </x:c>
      <x:c r="C33" s="22" t="str">
        <x:v>仅缺韧性10</x:v>
      </x:c>
      <x:c r="D33" s="22" t="str">
        <x:v>P0184</x:v>
      </x:c>
      <x:c r="E33" s="26" t="n">
        <x:v>0.7042924884286182</x:v>
      </x:c>
      <x:c r="F33" s="22" t="n">
        <x:v>-10</x:v>
      </x:c>
      <x:c r="G33" s="22" t="n">
        <x:v>30000000000</x:v>
      </x:c>
      <x:c r="H33" s="32" t="n">
        <x:v>238.67152309040554</x:v>
      </x:c>
      <x:c r="I33" s="32" t="n">
        <x:v>20</x:v>
      </x:c>
      <x:c r="J33" s="22" t="str">
        <x:v>参考难过</x:v>
      </x:c>
      <x:c r="K33" s="22" t="n">
        <x:v>3598184.4</x:v>
      </x:c>
      <x:c r="L33" s="22" t="n">
        <x:v>2437100</x:v>
      </x:c>
      <x:c r="M33" s="26" t="n">
        <x:f>K33/L33</x:f>
        <x:v>1.476420499774322</x:v>
      </x:c>
      <x:c r="N33" s="22" t="str">
        <x:v>有</x:v>
      </x:c>
    </x:row>
    <x:row r="34" ht="24" customHeight="1">
      <x:c r="A34" s="22" t="n">
        <x:v>5</x:v>
      </x:c>
      <x:c r="B34" s="22" t="str">
        <x:v>寒镜终誓王</x:v>
      </x:c>
      <x:c r="C34" s="22" t="str">
        <x:v>仅缺韧性25</x:v>
      </x:c>
      <x:c r="D34" s="22" t="str">
        <x:v>P0184</x:v>
      </x:c>
      <x:c r="E34" s="26" t="n">
        <x:v>0.7042924884286182</x:v>
      </x:c>
      <x:c r="F34" s="22" t="n">
        <x:v>-25</x:v>
      </x:c>
      <x:c r="G34" s="22" t="n">
        <x:v>30000000000</x:v>
      </x:c>
      <x:c r="H34" s="32" t="n">
        <x:v>238.67152309040554</x:v>
      </x:c>
      <x:c r="I34" s="32" t="n">
        <x:v>8</x:v>
      </x:c>
      <x:c r="J34" s="22" t="str">
        <x:v>参考难过</x:v>
      </x:c>
      <x:c r="K34" s="22" t="n">
        <x:v>6296822.7</x:v>
      </x:c>
      <x:c r="L34" s="22" t="n">
        <x:v>2437100</x:v>
      </x:c>
      <x:c r="M34" s="26" t="n">
        <x:f>K34/L34</x:f>
        <x:v>2.5837358746050634</x:v>
      </x:c>
      <x:c r="N34" s="22" t="str">
        <x:v>有</x:v>
      </x:c>
    </x:row>
    <x:row r="35" ht="24" customHeight="1">
      <x:c r="A35" s="22" t="n">
        <x:v>6</x:v>
      </x:c>
      <x:c r="B35" s="22" t="str">
        <x:v>碎星狮王·拉塔恩</x:v>
      </x:c>
      <x:c r="C35" s="22" t="str">
        <x:v>p50</x:v>
      </x:c>
      <x:c r="D35" s="22" t="str">
        <x:v>P0206</x:v>
      </x:c>
      <x:c r="E35" s="26" t="n">
        <x:v>0.4799971517929519</x:v>
      </x:c>
      <x:c r="F35" s="22" t="n">
        <x:v>-112</x:v>
      </x:c>
      <x:c r="G35" s="22" t="n">
        <x:v>120000000000</x:v>
      </x:c>
      <x:c r="H35" s="32" t="n">
        <x:v>409.17642210283896</x:v>
      </x:c>
      <x:c r="I35" s="32" t="n">
        <x:v>0.5006755242276928</x:v>
      </x:c>
      <x:c r="J35" s="22" t="str">
        <x:v>参考难过</x:v>
      </x:c>
      <x:c r="K35" s="22" t="n">
        <x:v>50458989.02</x:v>
      </x:c>
      <x:c r="L35" s="22" t="n">
        <x:v>6113572</x:v>
      </x:c>
      <x:c r="M35" s="26" t="n">
        <x:f>K35/L35</x:f>
        <x:v>8.253601825577585</x:v>
      </x:c>
      <x:c r="N35" s="22" t="str">
        <x:v>有</x:v>
      </x:c>
    </x:row>
    <x:row r="36" ht="24" customHeight="1">
      <x:c r="A36" s="22" t="n">
        <x:v>6</x:v>
      </x:c>
      <x:c r="B36" s="22" t="str">
        <x:v>碎星狮王·拉塔恩</x:v>
      </x:c>
      <x:c r="C36" s="22" t="str">
        <x:v>p70</x:v>
      </x:c>
      <x:c r="D36" s="22" t="str">
        <x:v>P0208</x:v>
      </x:c>
      <x:c r="E36" s="26" t="n">
        <x:v>0.7470426063384065</x:v>
      </x:c>
      <x:c r="F36" s="22" t="n">
        <x:v>8</x:v>
      </x:c>
      <x:c r="G36" s="22" t="n">
        <x:v>120000000000</x:v>
      </x:c>
      <x:c r="H36" s="32" t="n">
        <x:v>261.3050469806045</x:v>
      </x:c>
      <x:c r="I36" s="32"/>
      <x:c r="J36" s="22" t="str">
        <x:v>参考可过</x:v>
      </x:c>
      <x:c r="K36" s="22" t="n">
        <x:v>2293590.41</x:v>
      </x:c>
      <x:c r="L36" s="22" t="n">
        <x:v>6211408</x:v>
      </x:c>
      <x:c r="M36" s="26" t="n">
        <x:f>K36/L36</x:f>
        <x:v>0.36925450880058114</x:v>
      </x:c>
      <x:c r="N36" s="22" t="str">
        <x:v>无</x:v>
      </x:c>
    </x:row>
    <x:row r="37" ht="24" customHeight="1">
      <x:c r="A37" s="22" t="n">
        <x:v>6</x:v>
      </x:c>
      <x:c r="B37" s="22" t="str">
        <x:v>碎星狮王·拉塔恩</x:v>
      </x:c>
      <x:c r="C37" s="22" t="str">
        <x:v>p90</x:v>
      </x:c>
      <x:c r="D37" s="22" t="str">
        <x:v>P0209</x:v>
      </x:c>
      <x:c r="E37" s="26" t="n">
        <x:v>0.9171127024424918</x:v>
      </x:c>
      <x:c r="F37" s="22" t="n">
        <x:v>9</x:v>
      </x:c>
      <x:c r="G37" s="22" t="n">
        <x:v>120000000000</x:v>
      </x:c>
      <x:c r="H37" s="32" t="n">
        <x:v>180.72341476636169</x:v>
      </x:c>
      <x:c r="I37" s="32"/>
      <x:c r="J37" s="22" t="str">
        <x:v>参考可过</x:v>
      </x:c>
      <x:c r="K37" s="22" t="n">
        <x:v>1921582.1200000003</x:v>
      </x:c>
      <x:c r="L37" s="22" t="n">
        <x:v>6626560</x:v>
      </x:c>
      <x:c r="M37" s="26" t="n">
        <x:f>K37/L37</x:f>
        <x:v>0.28998184880239525</x:v>
      </x:c>
      <x:c r="N37" s="22" t="str">
        <x:v>无</x:v>
      </x:c>
    </x:row>
    <x:row r="38" ht="24" customHeight="1">
      <x:c r="A38" s="22" t="n">
        <x:v>6</x:v>
      </x:c>
      <x:c r="B38" s="22" t="str">
        <x:v>碎星狮王·拉塔恩</x:v>
      </x:c>
      <x:c r="C38" s="22" t="str">
        <x:v>仅缺韧性0</x:v>
      </x:c>
      <x:c r="D38" s="22" t="str">
        <x:v>P0208</x:v>
      </x:c>
      <x:c r="E38" s="26" t="n">
        <x:v>0.7470426063384065</x:v>
      </x:c>
      <x:c r="F38" s="22" t="n">
        <x:v>0</x:v>
      </x:c>
      <x:c r="G38" s="22" t="n">
        <x:v>120000000000</x:v>
      </x:c>
      <x:c r="H38" s="32" t="n">
        <x:v>261.3050469806045</x:v>
      </x:c>
      <x:c r="I38" s="32"/>
      <x:c r="J38" s="22" t="str">
        <x:v>参考可过</x:v>
      </x:c>
      <x:c r="K38" s="22" t="n">
        <x:v>2293590.41</x:v>
      </x:c>
      <x:c r="L38" s="22" t="n">
        <x:v>6211408</x:v>
      </x:c>
      <x:c r="M38" s="26" t="n">
        <x:f>K38/L38</x:f>
        <x:v>0.36925450880058114</x:v>
      </x:c>
      <x:c r="N38" s="22" t="str">
        <x:v>无</x:v>
      </x:c>
    </x:row>
    <x:row r="39" ht="24" customHeight="1">
      <x:c r="A39" s="22" t="n">
        <x:v>6</x:v>
      </x:c>
      <x:c r="B39" s="22" t="str">
        <x:v>碎星狮王·拉塔恩</x:v>
      </x:c>
      <x:c r="C39" s="22" t="str">
        <x:v>仅缺韧性10</x:v>
      </x:c>
      <x:c r="D39" s="22" t="str">
        <x:v>P0208</x:v>
      </x:c>
      <x:c r="E39" s="26" t="n">
        <x:v>0.7470426063384065</x:v>
      </x:c>
      <x:c r="F39" s="22" t="n">
        <x:v>-10</x:v>
      </x:c>
      <x:c r="G39" s="22" t="n">
        <x:v>120000000000</x:v>
      </x:c>
      <x:c r="H39" s="32" t="n">
        <x:v>261.3050469806045</x:v>
      </x:c>
      <x:c r="I39" s="32" t="n">
        <x:v>20</x:v>
      </x:c>
      <x:c r="J39" s="22" t="str">
        <x:v>参考难过</x:v>
      </x:c>
      <x:c r="K39" s="22" t="n">
        <x:v>9174361.64</x:v>
      </x:c>
      <x:c r="L39" s="22" t="n">
        <x:v>6211408</x:v>
      </x:c>
      <x:c r="M39" s="26" t="n">
        <x:f>K39/L39</x:f>
        <x:v>1.4770180352023246</x:v>
      </x:c>
      <x:c r="N39" s="22" t="str">
        <x:v>有</x:v>
      </x:c>
    </x:row>
    <x:row r="40" ht="24" customHeight="1">
      <x:c r="A40" s="22" t="n">
        <x:v>6</x:v>
      </x:c>
      <x:c r="B40" s="22" t="str">
        <x:v>碎星狮王·拉塔恩</x:v>
      </x:c>
      <x:c r="C40" s="22" t="str">
        <x:v>仅缺韧性25</x:v>
      </x:c>
      <x:c r="D40" s="22" t="str">
        <x:v>P0208</x:v>
      </x:c>
      <x:c r="E40" s="26" t="n">
        <x:v>0.7470426063384065</x:v>
      </x:c>
      <x:c r="F40" s="22" t="n">
        <x:v>-25</x:v>
      </x:c>
      <x:c r="G40" s="22" t="n">
        <x:v>120000000000</x:v>
      </x:c>
      <x:c r="H40" s="32" t="n">
        <x:v>261.3050469806045</x:v>
      </x:c>
      <x:c r="I40" s="32" t="n">
        <x:v>8</x:v>
      </x:c>
      <x:c r="J40" s="22" t="str">
        <x:v>参考难过</x:v>
      </x:c>
      <x:c r="K40" s="22" t="n">
        <x:v>16055132.870000001</x:v>
      </x:c>
      <x:c r="L40" s="22" t="n">
        <x:v>6211408</x:v>
      </x:c>
      <x:c r="M40" s="26" t="n">
        <x:f>K40/L40</x:f>
        <x:v>2.584781561604068</x:v>
      </x:c>
      <x:c r="N40" s="22" t="str">
        <x:v>有</x:v>
      </x:c>
    </x:row>
    <x:row r="41" ht="24" customHeight="1">
      <x:c r="A41" s="22" t="n">
        <x:v>7</x:v>
      </x:c>
      <x:c r="B41" s="22" t="str">
        <x:v>化圣霜王·埃琉斯</x:v>
      </x:c>
      <x:c r="C41" s="22" t="str">
        <x:v>p50</x:v>
      </x:c>
      <x:c r="D41" s="22" t="str">
        <x:v>P0230</x:v>
      </x:c>
      <x:c r="E41" s="26" t="n">
        <x:v>0.48436800110515854</x:v>
      </x:c>
      <x:c r="F41" s="22" t="n">
        <x:v>-84</x:v>
      </x:c>
      <x:c r="G41" s="22" t="n">
        <x:v>690000000000</x:v>
      </x:c>
      <x:c r="H41" s="32" t="n">
        <x:v>560.8475377180732</x:v>
      </x:c>
      <x:c r="I41" s="32" t="n">
        <x:v>2.380952380952381</x:v>
      </x:c>
      <x:c r="J41" s="22" t="str">
        <x:v>参考难过</x:v>
      </x:c>
      <x:c r="K41" s="22" t="n">
        <x:v>62596063.204</x:v>
      </x:c>
      <x:c r="L41" s="22" t="n">
        <x:v>8871625</x:v>
      </x:c>
      <x:c r="M41" s="26" t="n">
        <x:f>K41/L41</x:f>
        <x:v>7.055760720724783</x:v>
      </x:c>
      <x:c r="N41" s="22" t="str">
        <x:v>有</x:v>
      </x:c>
    </x:row>
    <x:row r="42" ht="24" customHeight="1">
      <x:c r="A42" s="22" t="n">
        <x:v>7</x:v>
      </x:c>
      <x:c r="B42" s="22" t="str">
        <x:v>化圣霜王·埃琉斯</x:v>
      </x:c>
      <x:c r="C42" s="22" t="str">
        <x:v>p70</x:v>
      </x:c>
      <x:c r="D42" s="22" t="str">
        <x:v>P0232</x:v>
      </x:c>
      <x:c r="E42" s="26" t="n">
        <x:v>0.7514134556506131</x:v>
      </x:c>
      <x:c r="F42" s="22" t="n">
        <x:v>6</x:v>
      </x:c>
      <x:c r="G42" s="22" t="n">
        <x:v>690000000000</x:v>
      </x:c>
      <x:c r="H42" s="32" t="n">
        <x:v>297.8814708778867</x:v>
      </x:c>
      <x:c r="I42" s="32"/>
      <x:c r="J42" s="22" t="str">
        <x:v>参考可过</x:v>
      </x:c>
      <x:c r="K42" s="22" t="n">
        <x:v>3329577.83</x:v>
      </x:c>
      <x:c r="L42" s="22" t="n">
        <x:v>9017000</x:v>
      </x:c>
      <x:c r="M42" s="26" t="n">
        <x:f>K42/L42</x:f>
        <x:v>0.36925560940445823</x:v>
      </x:c>
      <x:c r="N42" s="22" t="str">
        <x:v>无</x:v>
      </x:c>
    </x:row>
    <x:row r="43" ht="24" customHeight="1">
      <x:c r="A43" s="22" t="n">
        <x:v>7</x:v>
      </x:c>
      <x:c r="B43" s="22" t="str">
        <x:v>化圣霜王·埃琉斯</x:v>
      </x:c>
      <x:c r="C43" s="22" t="str">
        <x:v>p90</x:v>
      </x:c>
      <x:c r="D43" s="22" t="str">
        <x:v>P0233</x:v>
      </x:c>
      <x:c r="E43" s="26" t="n">
        <x:v>0.9201238944859516</x:v>
      </x:c>
      <x:c r="F43" s="22" t="n">
        <x:v>8</x:v>
      </x:c>
      <x:c r="G43" s="22" t="n">
        <x:v>690000000000</x:v>
      </x:c>
      <x:c r="H43" s="32" t="n">
        <x:v>211.3039035065934</x:v>
      </x:c>
      <x:c r="I43" s="32"/>
      <x:c r="J43" s="22" t="str">
        <x:v>参考可过</x:v>
      </x:c>
      <x:c r="K43" s="22" t="n">
        <x:v>2789562.1250000005</x:v>
      </x:c>
      <x:c r="L43" s="22" t="n">
        <x:v>9649625</x:v>
      </x:c>
      <x:c r="M43" s="26" t="n">
        <x:f>K43/L43</x:f>
        <x:v>0.2890850292109797</x:v>
      </x:c>
      <x:c r="N43" s="22" t="str">
        <x:v>无</x:v>
      </x:c>
    </x:row>
    <x:row r="44" ht="24" customHeight="1">
      <x:c r="A44" s="22" t="n">
        <x:v>7</x:v>
      </x:c>
      <x:c r="B44" s="22" t="str">
        <x:v>化圣霜王·埃琉斯</x:v>
      </x:c>
      <x:c r="C44" s="22" t="str">
        <x:v>仅缺韧性0</x:v>
      </x:c>
      <x:c r="D44" s="22" t="str">
        <x:v>P0232</x:v>
      </x:c>
      <x:c r="E44" s="26" t="n">
        <x:v>0.7514134556506131</x:v>
      </x:c>
      <x:c r="F44" s="22" t="n">
        <x:v>0</x:v>
      </x:c>
      <x:c r="G44" s="22" t="n">
        <x:v>690000000000</x:v>
      </x:c>
      <x:c r="H44" s="32" t="n">
        <x:v>297.8814708778867</x:v>
      </x:c>
      <x:c r="I44" s="32"/>
      <x:c r="J44" s="22" t="str">
        <x:v>参考可过</x:v>
      </x:c>
      <x:c r="K44" s="22" t="n">
        <x:v>3329577.83</x:v>
      </x:c>
      <x:c r="L44" s="22" t="n">
        <x:v>9017000</x:v>
      </x:c>
      <x:c r="M44" s="26" t="n">
        <x:f>K44/L44</x:f>
        <x:v>0.36925560940445823</x:v>
      </x:c>
      <x:c r="N44" s="22" t="str">
        <x:v>无</x:v>
      </x:c>
    </x:row>
    <x:row r="45" ht="24" customHeight="1">
      <x:c r="A45" s="22" t="n">
        <x:v>7</x:v>
      </x:c>
      <x:c r="B45" s="22" t="str">
        <x:v>化圣霜王·埃琉斯</x:v>
      </x:c>
      <x:c r="C45" s="22" t="str">
        <x:v>仅缺韧性10</x:v>
      </x:c>
      <x:c r="D45" s="22" t="str">
        <x:v>P0232</x:v>
      </x:c>
      <x:c r="E45" s="26" t="n">
        <x:v>0.7514134556506131</x:v>
      </x:c>
      <x:c r="F45" s="22" t="n">
        <x:v>-10</x:v>
      </x:c>
      <x:c r="G45" s="22" t="n">
        <x:v>690000000000</x:v>
      </x:c>
      <x:c r="H45" s="32" t="n">
        <x:v>297.8814708778867</x:v>
      </x:c>
      <x:c r="I45" s="32" t="n">
        <x:v>20</x:v>
      </x:c>
      <x:c r="J45" s="22" t="str">
        <x:v>参考难过</x:v>
      </x:c>
      <x:c r="K45" s="22" t="n">
        <x:v>13318311.32</x:v>
      </x:c>
      <x:c r="L45" s="22" t="n">
        <x:v>9017000</x:v>
      </x:c>
      <x:c r="M45" s="26" t="n">
        <x:f>K45/L45</x:f>
        <x:v>1.477022437617833</x:v>
      </x:c>
      <x:c r="N45" s="22" t="str">
        <x:v>有</x:v>
      </x:c>
    </x:row>
    <x:row r="46" ht="24" customHeight="1">
      <x:c r="A46" s="22" t="n">
        <x:v>7</x:v>
      </x:c>
      <x:c r="B46" s="22" t="str">
        <x:v>化圣霜王·埃琉斯</x:v>
      </x:c>
      <x:c r="C46" s="22" t="str">
        <x:v>仅缺韧性25</x:v>
      </x:c>
      <x:c r="D46" s="22" t="str">
        <x:v>P0232</x:v>
      </x:c>
      <x:c r="E46" s="26" t="n">
        <x:v>0.7514134556506131</x:v>
      </x:c>
      <x:c r="F46" s="22" t="n">
        <x:v>-25</x:v>
      </x:c>
      <x:c r="G46" s="22" t="n">
        <x:v>690000000000</x:v>
      </x:c>
      <x:c r="H46" s="32" t="n">
        <x:v>297.8814708778867</x:v>
      </x:c>
      <x:c r="I46" s="32" t="n">
        <x:v>8</x:v>
      </x:c>
      <x:c r="J46" s="22" t="str">
        <x:v>参考难过</x:v>
      </x:c>
      <x:c r="K46" s="22" t="n">
        <x:v>23307044.810000002</x:v>
      </x:c>
      <x:c r="L46" s="22" t="n">
        <x:v>9017000</x:v>
      </x:c>
      <x:c r="M46" s="26" t="n">
        <x:f>K46/L46</x:f>
        <x:v>2.584789265831208</x:v>
      </x:c>
      <x:c r="N46" s="22" t="str">
        <x:v>有</x:v>
      </x:c>
    </x:row>
    <x:row r="47" ht="24" customHeight="1">
      <x:c r="A47" s="22" t="n">
        <x:v>8</x:v>
      </x:c>
      <x:c r="B47" s="22" t="str">
        <x:v>吞日霜王·乌尔迈</x:v>
      </x:c>
      <x:c r="C47" s="22" t="str">
        <x:v>p50</x:v>
      </x:c>
      <x:c r="D47" s="22" t="str">
        <x:v>P0260</x:v>
      </x:c>
      <x:c r="E47" s="26" t="n">
        <x:v>0.4823774776198028</x:v>
      </x:c>
      <x:c r="F47" s="22" t="n">
        <x:v>-103</x:v>
      </x:c>
      <x:c r="G47" s="22" t="n">
        <x:v>1800000000000</x:v>
      </x:c>
      <x:c r="H47" s="32" t="n">
        <x:v>399.80926372069086</x:v>
      </x:c>
      <x:c r="I47" s="32" t="n">
        <x:v>2</x:v>
      </x:c>
      <x:c r="J47" s="22" t="str">
        <x:v>参考难过</x:v>
      </x:c>
      <x:c r="K47" s="22" t="n">
        <x:v>112630312.95999998</x:v>
      </x:c>
      <x:c r="L47" s="22" t="n">
        <x:v>14092237.000000002</x:v>
      </x:c>
      <x:c r="M47" s="26" t="n">
        <x:f>K47/L47</x:f>
        <x:v>7.9923657940183634</x:v>
      </x:c>
      <x:c r="N47" s="22" t="str">
        <x:v>有</x:v>
      </x:c>
    </x:row>
    <x:row r="48" ht="24" customHeight="1">
      <x:c r="A48" s="22" t="n">
        <x:v>8</x:v>
      </x:c>
      <x:c r="B48" s="22" t="str">
        <x:v>吞日霜王·乌尔迈</x:v>
      </x:c>
      <x:c r="C48" s="22" t="str">
        <x:v>p70</x:v>
      </x:c>
      <x:c r="D48" s="22" t="str">
        <x:v>P0262</x:v>
      </x:c>
      <x:c r="E48" s="26" t="n">
        <x:v>0.7011274776198028</x:v>
      </x:c>
      <x:c r="F48" s="22" t="n">
        <x:v>7</x:v>
      </x:c>
      <x:c r="G48" s="22" t="n">
        <x:v>1800000000000</x:v>
      </x:c>
      <x:c r="H48" s="32" t="n">
        <x:v>326.1710535221454</x:v>
      </x:c>
      <x:c r="I48" s="32"/>
      <x:c r="J48" s="22" t="str">
        <x:v>参考可过</x:v>
      </x:c>
      <x:c r="K48" s="22" t="n">
        <x:v>5119559.679999999</x:v>
      </x:c>
      <x:c r="L48" s="22" t="n">
        <x:v>14289200.000000002</x:v>
      </x:c>
      <x:c r="M48" s="26" t="n">
        <x:f>K48/L48</x:f>
        <x:v>0.3582817568513281</x:v>
      </x:c>
      <x:c r="N48" s="22" t="str">
        <x:v>无</x:v>
      </x:c>
    </x:row>
    <x:row r="49" ht="24" customHeight="1">
      <x:c r="A49" s="22" t="n">
        <x:v>8</x:v>
      </x:c>
      <x:c r="B49" s="22" t="str">
        <x:v>吞日霜王·乌尔迈</x:v>
      </x:c>
      <x:c r="C49" s="22" t="str">
        <x:v>p90</x:v>
      </x:c>
      <x:c r="D49" s="22" t="str">
        <x:v>P0263</x:v>
      </x:c>
      <x:c r="E49" s="26" t="n">
        <x:v>0.9387642356496889</x:v>
      </x:c>
      <x:c r="F49" s="22" t="n">
        <x:v>57</x:v>
      </x:c>
      <x:c r="G49" s="22" t="n">
        <x:v>1800000000000</x:v>
      </x:c>
      <x:c r="H49" s="32" t="n">
        <x:v>225.1961771269883</x:v>
      </x:c>
      <x:c r="I49" s="32"/>
      <x:c r="J49" s="22" t="str">
        <x:v>参考可过</x:v>
      </x:c>
      <x:c r="K49" s="22" t="n">
        <x:v>4639530.2</x:v>
      </x:c>
      <x:c r="L49" s="22" t="n">
        <x:v>15162954.000000002</x:v>
      </x:c>
      <x:c r="M49" s="26" t="n">
        <x:f>K49/L49</x:f>
        <x:v>0.3059779908321294</x:v>
      </x:c>
      <x:c r="N49" s="22" t="str">
        <x:v>无</x:v>
      </x:c>
    </x:row>
    <x:row r="50" ht="24" customHeight="1">
      <x:c r="A50" s="22" t="n">
        <x:v>8</x:v>
      </x:c>
      <x:c r="B50" s="22" t="str">
        <x:v>吞日霜王·乌尔迈</x:v>
      </x:c>
      <x:c r="C50" s="22" t="str">
        <x:v>仅缺韧性0</x:v>
      </x:c>
      <x:c r="D50" s="22" t="str">
        <x:v>P0262</x:v>
      </x:c>
      <x:c r="E50" s="26" t="n">
        <x:v>0.7011274776198028</x:v>
      </x:c>
      <x:c r="F50" s="22" t="n">
        <x:v>0</x:v>
      </x:c>
      <x:c r="G50" s="22" t="n">
        <x:v>1800000000000</x:v>
      </x:c>
      <x:c r="H50" s="32" t="n">
        <x:v>326.1710535221454</x:v>
      </x:c>
      <x:c r="I50" s="32"/>
      <x:c r="J50" s="22" t="str">
        <x:v>参考可过</x:v>
      </x:c>
      <x:c r="K50" s="22" t="n">
        <x:v>5119559.679999999</x:v>
      </x:c>
      <x:c r="L50" s="22" t="n">
        <x:v>14289200.000000002</x:v>
      </x:c>
      <x:c r="M50" s="26" t="n">
        <x:f>K50/L50</x:f>
        <x:v>0.3582817568513281</x:v>
      </x:c>
      <x:c r="N50" s="22" t="str">
        <x:v>无</x:v>
      </x:c>
    </x:row>
    <x:row r="51" ht="24" customHeight="1">
      <x:c r="A51" s="22" t="n">
        <x:v>8</x:v>
      </x:c>
      <x:c r="B51" s="22" t="str">
        <x:v>吞日霜王·乌尔迈</x:v>
      </x:c>
      <x:c r="C51" s="22" t="str">
        <x:v>仅缺韧性10</x:v>
      </x:c>
      <x:c r="D51" s="22" t="str">
        <x:v>P0262</x:v>
      </x:c>
      <x:c r="E51" s="26" t="n">
        <x:v>0.7011274776198028</x:v>
      </x:c>
      <x:c r="F51" s="22" t="n">
        <x:v>-10</x:v>
      </x:c>
      <x:c r="G51" s="22" t="n">
        <x:v>1800000000000</x:v>
      </x:c>
      <x:c r="H51" s="32" t="n">
        <x:v>326.1710535221454</x:v>
      </x:c>
      <x:c r="I51" s="32" t="n">
        <x:v>20</x:v>
      </x:c>
      <x:c r="J51" s="22" t="str">
        <x:v>参考难过</x:v>
      </x:c>
      <x:c r="K51" s="22" t="n">
        <x:v>20478238.719999995</x:v>
      </x:c>
      <x:c r="L51" s="22" t="n">
        <x:v>14289200.000000002</x:v>
      </x:c>
      <x:c r="M51" s="26" t="n">
        <x:f>K51/L51</x:f>
        <x:v>1.4331270274053125</x:v>
      </x:c>
      <x:c r="N51" s="22" t="str">
        <x:v>有</x:v>
      </x:c>
    </x:row>
    <x:row r="52" ht="24" customHeight="1">
      <x:c r="A52" s="22" t="n">
        <x:v>8</x:v>
      </x:c>
      <x:c r="B52" s="22" t="str">
        <x:v>吞日霜王·乌尔迈</x:v>
      </x:c>
      <x:c r="C52" s="22" t="str">
        <x:v>仅缺韧性25</x:v>
      </x:c>
      <x:c r="D52" s="22" t="str">
        <x:v>P0262</x:v>
      </x:c>
      <x:c r="E52" s="26" t="n">
        <x:v>0.7011274776198028</x:v>
      </x:c>
      <x:c r="F52" s="22" t="n">
        <x:v>-25</x:v>
      </x:c>
      <x:c r="G52" s="22" t="n">
        <x:v>1800000000000</x:v>
      </x:c>
      <x:c r="H52" s="32" t="n">
        <x:v>326.1710535221454</x:v>
      </x:c>
      <x:c r="I52" s="32" t="n">
        <x:v>8</x:v>
      </x:c>
      <x:c r="J52" s="22" t="str">
        <x:v>参考难过</x:v>
      </x:c>
      <x:c r="K52" s="22" t="n">
        <x:v>35836917.75999999</x:v>
      </x:c>
      <x:c r="L52" s="22" t="n">
        <x:v>14289200.000000002</x:v>
      </x:c>
      <x:c r="M52" s="26" t="n">
        <x:f>K52/L52</x:f>
        <x:v>2.507972297959297</x:v>
      </x:c>
      <x:c r="N52" s="22" t="str">
        <x:v>有</x:v>
      </x:c>
    </x:row>
    <x:row r="53" ht="24" customHeight="1">
      <x:c r="A53" s="22" t="n">
        <x:v>9</x:v>
      </x:c>
      <x:c r="B53" s="22" t="str">
        <x:v>鎏日王城之影·阿尔维萨</x:v>
      </x:c>
      <x:c r="C53" s="22" t="str">
        <x:v>p50</x:v>
      </x:c>
      <x:c r="D53" s="22" t="str">
        <x:v>P0296</x:v>
      </x:c>
      <x:c r="E53" s="26" t="n">
        <x:v>0.4818977071413358</x:v>
      </x:c>
      <x:c r="F53" s="22" t="n">
        <x:v>-172</x:v>
      </x:c>
      <x:c r="G53" s="22" t="n">
        <x:v>6400000000000</x:v>
      </x:c>
      <x:c r="H53" s="32" t="n">
        <x:v>505.2622767021593</x:v>
      </x:c>
      <x:c r="I53" s="32" t="n">
        <x:v>2</x:v>
      </x:c>
      <x:c r="J53" s="22" t="str">
        <x:v>参考难过</x:v>
      </x:c>
      <x:c r="K53" s="22" t="n">
        <x:v>188749705.31999996</x:v>
      </x:c>
      <x:c r="L53" s="22" t="n">
        <x:v>22975527</x:v>
      </x:c>
      <x:c r="M53" s="26" t="n">
        <x:f>K53/L53</x:f>
        <x:v>8.215250310471658</x:v>
      </x:c>
      <x:c r="N53" s="22" t="str">
        <x:v>有</x:v>
      </x:c>
    </x:row>
    <x:row r="54" ht="24" customHeight="1">
      <x:c r="A54" s="22" t="n">
        <x:v>9</x:v>
      </x:c>
      <x:c r="B54" s="22" t="str">
        <x:v>鎏日王城之影·阿尔维萨</x:v>
      </x:c>
      <x:c r="C54" s="22" t="str">
        <x:v>p70</x:v>
      </x:c>
      <x:c r="D54" s="22" t="str">
        <x:v>P0298</x:v>
      </x:c>
      <x:c r="E54" s="26" t="n">
        <x:v>0.7314565306707476</x:v>
      </x:c>
      <x:c r="F54" s="22" t="n">
        <x:v>8</x:v>
      </x:c>
      <x:c r="G54" s="22" t="n">
        <x:v>6400000000000</x:v>
      </x:c>
      <x:c r="H54" s="32" t="n">
        <x:v>361.01923550498395</x:v>
      </x:c>
      <x:c r="I54" s="32"/>
      <x:c r="J54" s="22" t="str">
        <x:v>参考可过</x:v>
      </x:c>
      <x:c r="K54" s="22" t="n">
        <x:v>8579532.059999999</x:v>
      </x:c>
      <x:c r="L54" s="22" t="n">
        <x:v>23363277</x:v>
      </x:c>
      <x:c r="M54" s="26" t="n">
        <x:f>K54/L54</x:f>
        <x:v>0.3672229739004506</x:v>
      </x:c>
      <x:c r="N54" s="22" t="str">
        <x:v>无</x:v>
      </x:c>
    </x:row>
    <x:row r="55" ht="24" customHeight="1">
      <x:c r="A55" s="22" t="n">
        <x:v>9</x:v>
      </x:c>
      <x:c r="B55" s="22" t="str">
        <x:v>鎏日王城之影·阿尔维萨</x:v>
      </x:c>
      <x:c r="C55" s="22" t="str">
        <x:v>p90</x:v>
      </x:c>
      <x:c r="D55" s="22" t="str">
        <x:v>P0299</x:v>
      </x:c>
      <x:c r="E55" s="26" t="n">
        <x:v>0.9454012583742687</x:v>
      </x:c>
      <x:c r="F55" s="22" t="n">
        <x:v>68</x:v>
      </x:c>
      <x:c r="G55" s="22" t="n">
        <x:v>6400000000000</x:v>
      </x:c>
      <x:c r="H55" s="32" t="n">
        <x:v>243.2416710143304</x:v>
      </x:c>
      <x:c r="I55" s="32"/>
      <x:c r="J55" s="22" t="str">
        <x:v>参考可过</x:v>
      </x:c>
      <x:c r="K55" s="22" t="n">
        <x:v>8059481.370000001</x:v>
      </x:c>
      <x:c r="L55" s="22" t="n">
        <x:v>24777930</x:v>
      </x:c>
      <x:c r="M55" s="26" t="n">
        <x:f>K55/L55</x:f>
        <x:v>0.3252685502784131</x:v>
      </x:c>
      <x:c r="N55" s="22" t="str">
        <x:v>无</x:v>
      </x:c>
    </x:row>
    <x:row r="56" ht="24" customHeight="1">
      <x:c r="A56" s="22" t="n">
        <x:v>9</x:v>
      </x:c>
      <x:c r="B56" s="22" t="str">
        <x:v>鎏日王城之影·阿尔维萨</x:v>
      </x:c>
      <x:c r="C56" s="22" t="str">
        <x:v>仅缺韧性0</x:v>
      </x:c>
      <x:c r="D56" s="22" t="str">
        <x:v>P0298</x:v>
      </x:c>
      <x:c r="E56" s="26" t="n">
        <x:v>0.7314565306707476</x:v>
      </x:c>
      <x:c r="F56" s="22" t="n">
        <x:v>0</x:v>
      </x:c>
      <x:c r="G56" s="22" t="n">
        <x:v>6400000000000</x:v>
      </x:c>
      <x:c r="H56" s="32" t="n">
        <x:v>361.01923550498395</x:v>
      </x:c>
      <x:c r="I56" s="32"/>
      <x:c r="J56" s="22" t="str">
        <x:v>参考可过</x:v>
      </x:c>
      <x:c r="K56" s="22" t="n">
        <x:v>8579532.059999999</x:v>
      </x:c>
      <x:c r="L56" s="22" t="n">
        <x:v>23363277</x:v>
      </x:c>
      <x:c r="M56" s="26" t="n">
        <x:f>K56/L56</x:f>
        <x:v>0.3672229739004506</x:v>
      </x:c>
      <x:c r="N56" s="22" t="str">
        <x:v>无</x:v>
      </x:c>
    </x:row>
    <x:row r="57" ht="24" customHeight="1">
      <x:c r="A57" s="22" t="n">
        <x:v>9</x:v>
      </x:c>
      <x:c r="B57" s="22" t="str">
        <x:v>鎏日王城之影·阿尔维萨</x:v>
      </x:c>
      <x:c r="C57" s="22" t="str">
        <x:v>仅缺韧性10</x:v>
      </x:c>
      <x:c r="D57" s="22" t="str">
        <x:v>P0298</x:v>
      </x:c>
      <x:c r="E57" s="26" t="n">
        <x:v>0.7314565306707476</x:v>
      </x:c>
      <x:c r="F57" s="22" t="n">
        <x:v>-10</x:v>
      </x:c>
      <x:c r="G57" s="22" t="n">
        <x:v>6400000000000</x:v>
      </x:c>
      <x:c r="H57" s="32" t="n">
        <x:v>361.01923550498395</x:v>
      </x:c>
      <x:c r="I57" s="32" t="n">
        <x:v>20</x:v>
      </x:c>
      <x:c r="J57" s="22" t="str">
        <x:v>参考难过</x:v>
      </x:c>
      <x:c r="K57" s="22" t="n">
        <x:v>34318128.239999995</x:v>
      </x:c>
      <x:c r="L57" s="22" t="n">
        <x:v>23363277</x:v>
      </x:c>
      <x:c r="M57" s="26" t="n">
        <x:f>K57/L57</x:f>
        <x:v>1.4688918956018024</x:v>
      </x:c>
      <x:c r="N57" s="22" t="str">
        <x:v>有</x:v>
      </x:c>
    </x:row>
    <x:row r="58" ht="24" customHeight="1">
      <x:c r="A58" s="22" t="n">
        <x:v>9</x:v>
      </x:c>
      <x:c r="B58" s="22" t="str">
        <x:v>鎏日王城之影·阿尔维萨</x:v>
      </x:c>
      <x:c r="C58" s="22" t="str">
        <x:v>仅缺韧性25</x:v>
      </x:c>
      <x:c r="D58" s="22" t="str">
        <x:v>P0298</x:v>
      </x:c>
      <x:c r="E58" s="26" t="n">
        <x:v>0.7314565306707476</x:v>
      </x:c>
      <x:c r="F58" s="22" t="n">
        <x:v>-25</x:v>
      </x:c>
      <x:c r="G58" s="22" t="n">
        <x:v>6400000000000</x:v>
      </x:c>
      <x:c r="H58" s="32" t="n">
        <x:v>361.01923550498395</x:v>
      </x:c>
      <x:c r="I58" s="32" t="n">
        <x:v>8</x:v>
      </x:c>
      <x:c r="J58" s="22" t="str">
        <x:v>参考难过</x:v>
      </x:c>
      <x:c r="K58" s="22" t="n">
        <x:v>60056724.41999999</x:v>
      </x:c>
      <x:c r="L58" s="22" t="n">
        <x:v>23363277</x:v>
      </x:c>
      <x:c r="M58" s="26" t="n">
        <x:f>K58/L58</x:f>
        <x:v>2.5705608173031544</x:v>
      </x:c>
      <x:c r="N58" s="22" t="str">
        <x:v>有</x:v>
      </x:c>
    </x:row>
    <x:row r="59" ht="24" customHeight="1">
      <x:c r="A59" s="22" t="n">
        <x:v>10</x:v>
      </x:c>
      <x:c r="B59" s="22" t="str">
        <x:v>万冠终审者·萨洛恩</x:v>
      </x:c>
      <x:c r="C59" s="22" t="str">
        <x:v>p50</x:v>
      </x:c>
      <x:c r="D59" s="22" t="str">
        <x:v>P0332</x:v>
      </x:c>
      <x:c r="E59" s="26" t="n">
        <x:v>0.47018897941664733</x:v>
      </x:c>
      <x:c r="F59" s="22" t="n">
        <x:v>-224</x:v>
      </x:c>
      <x:c r="G59" s="22" t="n">
        <x:v>23000000000000</x:v>
      </x:c>
      <x:c r="H59" s="32" t="n">
        <x:v>604.9527690257186</x:v>
      </x:c>
      <x:c r="I59" s="32" t="n">
        <x:v>2</x:v>
      </x:c>
      <x:c r="J59" s="22" t="str">
        <x:v>参考难过</x:v>
      </x:c>
      <x:c r="K59" s="22" t="n">
        <x:v>284888084.25</x:v>
      </x:c>
      <x:c r="L59" s="22" t="n">
        <x:v>34918652</x:v>
      </x:c>
      <x:c r="M59" s="26" t="n">
        <x:f>K59/L59</x:f>
        <x:v>8.158622052477856</x:v>
      </x:c>
      <x:c r="N59" s="22" t="str">
        <x:v>有</x:v>
      </x:c>
    </x:row>
    <x:row r="60" ht="24" customHeight="1">
      <x:c r="A60" s="22" t="n">
        <x:v>10</x:v>
      </x:c>
      <x:c r="B60" s="22" t="str">
        <x:v>万冠终审者·萨洛恩</x:v>
      </x:c>
      <x:c r="C60" s="22" t="str">
        <x:v>p70</x:v>
      </x:c>
      <x:c r="D60" s="22" t="str">
        <x:v>P0334</x:v>
      </x:c>
      <x:c r="E60" s="26" t="n">
        <x:v>0.7197478029460591</x:v>
      </x:c>
      <x:c r="F60" s="22" t="n">
        <x:v>6</x:v>
      </x:c>
      <x:c r="G60" s="22" t="n">
        <x:v>23000000000000</x:v>
      </x:c>
      <x:c r="H60" s="32" t="n">
        <x:v>423.92457118071025</x:v>
      </x:c>
      <x:c r="I60" s="32"/>
      <x:c r="J60" s="22" t="str">
        <x:v>参考可过</x:v>
      </x:c>
      <x:c r="K60" s="22" t="n">
        <x:v>12949458.375</x:v>
      </x:c>
      <x:c r="L60" s="22" t="n">
        <x:v>35520732</x:v>
      </x:c>
      <x:c r="M60" s="26" t="n">
        <x:f>K60/L60</x:f>
        <x:v>0.36456057197807745</x:v>
      </x:c>
      <x:c r="N60" s="22" t="str">
        <x:v>无</x:v>
      </x:c>
    </x:row>
    <x:row r="61" ht="24" customHeight="1">
      <x:c r="A61" s="22" t="n">
        <x:v>10</x:v>
      </x:c>
      <x:c r="B61" s="22" t="str">
        <x:v>万冠终审者·萨洛恩</x:v>
      </x:c>
      <x:c r="C61" s="22" t="str">
        <x:v>p90</x:v>
      </x:c>
      <x:c r="D61" s="22" t="str">
        <x:v>P0335</x:v>
      </x:c>
      <x:c r="E61" s="26" t="n">
        <x:v>0.9351585326724126</x:v>
      </x:c>
      <x:c r="F61" s="22" t="n">
        <x:v>89</x:v>
      </x:c>
      <x:c r="G61" s="22" t="n">
        <x:v>23000000000000</x:v>
      </x:c>
      <x:c r="H61" s="32" t="n">
        <x:v>248.42352780045</x:v>
      </x:c>
      <x:c r="I61" s="32"/>
      <x:c r="J61" s="22" t="str">
        <x:v>参考可过</x:v>
      </x:c>
      <x:c r="K61" s="22" t="n">
        <x:v>11469420.920000002</x:v>
      </x:c>
      <x:c r="L61" s="22" t="n">
        <x:v>37405640</x:v>
      </x:c>
      <x:c r="M61" s="26" t="n">
        <x:f>K61/L61</x:f>
        <x:v>0.30662276918667886</x:v>
      </x:c>
      <x:c r="N61" s="22" t="str">
        <x:v>无</x:v>
      </x:c>
    </x:row>
    <x:row r="62" ht="24" customHeight="1">
      <x:c r="A62" s="22" t="n">
        <x:v>10</x:v>
      </x:c>
      <x:c r="B62" s="22" t="str">
        <x:v>万冠终审者·萨洛恩</x:v>
      </x:c>
      <x:c r="C62" s="22" t="str">
        <x:v>仅缺韧性0</x:v>
      </x:c>
      <x:c r="D62" s="22" t="str">
        <x:v>P0334</x:v>
      </x:c>
      <x:c r="E62" s="26" t="n">
        <x:v>0.7197478029460591</x:v>
      </x:c>
      <x:c r="F62" s="22" t="n">
        <x:v>0</x:v>
      </x:c>
      <x:c r="G62" s="22" t="n">
        <x:v>23000000000000</x:v>
      </x:c>
      <x:c r="H62" s="32" t="n">
        <x:v>423.92457118071025</x:v>
      </x:c>
      <x:c r="I62" s="32"/>
      <x:c r="J62" s="22" t="str">
        <x:v>参考可过</x:v>
      </x:c>
      <x:c r="K62" s="22" t="n">
        <x:v>12949458.375</x:v>
      </x:c>
      <x:c r="L62" s="22" t="n">
        <x:v>35520732</x:v>
      </x:c>
      <x:c r="M62" s="26" t="n">
        <x:f>K62/L62</x:f>
        <x:v>0.36456057197807745</x:v>
      </x:c>
      <x:c r="N62" s="22" t="str">
        <x:v>无</x:v>
      </x:c>
    </x:row>
    <x:row r="63" ht="24" customHeight="1">
      <x:c r="A63" s="22" t="n">
        <x:v>10</x:v>
      </x:c>
      <x:c r="B63" s="22" t="str">
        <x:v>万冠终审者·萨洛恩</x:v>
      </x:c>
      <x:c r="C63" s="22" t="str">
        <x:v>仅缺韧性10</x:v>
      </x:c>
      <x:c r="D63" s="22" t="str">
        <x:v>P0334</x:v>
      </x:c>
      <x:c r="E63" s="26" t="n">
        <x:v>0.7197478029460591</x:v>
      </x:c>
      <x:c r="F63" s="22" t="n">
        <x:v>-10</x:v>
      </x:c>
      <x:c r="G63" s="22" t="n">
        <x:v>23000000000000</x:v>
      </x:c>
      <x:c r="H63" s="32" t="n">
        <x:v>423.92457118071025</x:v>
      </x:c>
      <x:c r="I63" s="32" t="n">
        <x:v>20</x:v>
      </x:c>
      <x:c r="J63" s="22" t="str">
        <x:v>参考难过</x:v>
      </x:c>
      <x:c r="K63" s="22" t="n">
        <x:v>51797833.5</x:v>
      </x:c>
      <x:c r="L63" s="22" t="n">
        <x:v>35520732</x:v>
      </x:c>
      <x:c r="M63" s="26" t="n">
        <x:f>K63/L63</x:f>
        <x:v>1.4582422879123098</x:v>
      </x:c>
      <x:c r="N63" s="22" t="str">
        <x:v>有</x:v>
      </x:c>
    </x:row>
    <x:row r="64" ht="24" customHeight="1">
      <x:c r="A64" s="22" t="n">
        <x:v>10</x:v>
      </x:c>
      <x:c r="B64" s="22" t="str">
        <x:v>万冠终审者·萨洛恩</x:v>
      </x:c>
      <x:c r="C64" s="22" t="str">
        <x:v>仅缺韧性25</x:v>
      </x:c>
      <x:c r="D64" s="22" t="str">
        <x:v>P0334</x:v>
      </x:c>
      <x:c r="E64" s="26" t="n">
        <x:v>0.7197478029460591</x:v>
      </x:c>
      <x:c r="F64" s="22" t="n">
        <x:v>-25</x:v>
      </x:c>
      <x:c r="G64" s="22" t="n">
        <x:v>23000000000000</x:v>
      </x:c>
      <x:c r="H64" s="32" t="n">
        <x:v>423.92457118071025</x:v>
      </x:c>
      <x:c r="I64" s="32" t="n">
        <x:v>8</x:v>
      </x:c>
      <x:c r="J64" s="22" t="str">
        <x:v>参考难过</x:v>
      </x:c>
      <x:c r="K64" s="22" t="n">
        <x:v>90646208.625</x:v>
      </x:c>
      <x:c r="L64" s="22" t="n">
        <x:v>35520732</x:v>
      </x:c>
      <x:c r="M64" s="26" t="n">
        <x:f>K64/L64</x:f>
        <x:v>2.5519240038465423</x:v>
      </x:c>
      <x:c r="N64" s="22" t="str">
        <x:v>有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8" hidden="0" customWidth="1"/>
    <x:col min="3" max="3" width="32" hidden="0" customWidth="1"/>
    <x:col min="4" max="4" width="12" hidden="0" customWidth="1"/>
    <x:col min="5" max="5" width="14" hidden="0" customWidth="1"/>
    <x:col min="6" max="6" width="14" hidden="0" customWidth="1"/>
    <x:col min="7" max="7" width="1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14" hidden="0" customWidth="1"/>
  </x:cols>
  <x:sheetData>
    <x:row r="1" ht="32" customHeight="1">
      <x:c r="A1" s="3" t="str">
        <x:v>622落点｜同图配置读回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4" ht="30" customHeight="1">
      <x:c r="A4" s="15" t="str">
        <x:v>怪物ID</x:v>
      </x:c>
      <x:c r="B4" s="15" t="str">
        <x:v>怪名</x:v>
      </x:c>
      <x:c r="C4" s="15" t="str">
        <x:v>地图</x:v>
      </x:c>
      <x:c r="D4" s="15" t="str">
        <x:v>人物ID</x:v>
      </x:c>
      <x:c r="E4" s="15" t="str">
        <x:v>类型</x:v>
      </x:c>
      <x:c r="F4" s="15" t="str">
        <x:v>击杀秒</x:v>
      </x:c>
      <x:c r="G4" s="15" t="str">
        <x:v>韧性差</x:v>
      </x:c>
      <x:c r="H4" s="15" t="str">
        <x:v>承伤/秒</x:v>
      </x:c>
      <x:c r="I4" s="15" t="str">
        <x:v>回复/秒</x:v>
      </x:c>
      <x:c r="J4" s="15" t="str">
        <x:v>普通单击</x:v>
      </x:c>
      <x:c r="K4" s="15" t="str">
        <x:v>处决高击</x:v>
      </x:c>
      <x:c r="L4" s="15" t="str">
        <x:v>结果</x:v>
      </x:c>
    </x:row>
    <x:row r="5" ht="24" customHeight="1">
      <x:c r="A5" s="22" t="str">
        <x:v>EL-MON-SEA-001</x:v>
      </x:c>
      <x:c r="B5" s="22" t="str">
        <x:v>盐蚀流民</x:v>
      </x:c>
      <x:c r="C5" s="22" t="str">
        <x:v>C01:失乡者海岸:1层</x:v>
      </x:c>
      <x:c r="D5" s="22" t="str">
        <x:v>P0003</x:v>
      </x:c>
      <x:c r="E5" s="22" t="str">
        <x:v>普通</x:v>
      </x:c>
      <x:c r="F5" s="22" t="n">
        <x:v>7.226151648973123</x:v>
      </x:c>
      <x:c r="G5" s="22" t="n">
        <x:v>10</x:v>
      </x:c>
      <x:c r="H5" s="22" t="n">
        <x:v>133.6875</x:v>
      </x:c>
      <x:c r="I5" s="22" t="n">
        <x:v>2020.1971443549153</x:v>
      </x:c>
      <x:c r="J5" s="22" t="n">
        <x:v>246.10000000000002</x:v>
      </x:c>
      <x:c r="K5" s="22" t="n">
        <x:v>246.10000000000002</x:v>
      </x:c>
      <x:c r="L5" s="22" t="str">
        <x:v>可承受</x:v>
      </x:c>
    </x:row>
    <x:row r="6" ht="24" customHeight="1">
      <x:c r="A6" s="22" t="str">
        <x:v>EL-MON-SEA-002</x:v>
      </x:c>
      <x:c r="B6" s="22" t="str">
        <x:v>断桨弩手</x:v>
      </x:c>
      <x:c r="C6" s="22" t="str">
        <x:v>C01:失乡者海岸:1层</x:v>
      </x:c>
      <x:c r="D6" s="22" t="str">
        <x:v>P0003</x:v>
      </x:c>
      <x:c r="E6" s="22" t="str">
        <x:v>普通</x:v>
      </x:c>
      <x:c r="F6" s="22" t="n">
        <x:v>6.80108390491588</x:v>
      </x:c>
      <x:c r="G6" s="22" t="n">
        <x:v>10</x:v>
      </x:c>
      <x:c r="H6" s="22" t="n">
        <x:v>133.6875</x:v>
      </x:c>
      <x:c r="I6" s="22" t="n">
        <x:v>2020.1971443549153</x:v>
      </x:c>
      <x:c r="J6" s="22" t="n">
        <x:v>246.10000000000002</x:v>
      </x:c>
      <x:c r="K6" s="22" t="n">
        <x:v>246.10000000000002</x:v>
      </x:c>
      <x:c r="L6" s="22" t="str">
        <x:v>可承受</x:v>
      </x:c>
    </x:row>
    <x:row r="7" ht="24" customHeight="1">
      <x:c r="A7" s="22" t="str">
        <x:v>EL-MON-SEA-003</x:v>
      </x:c>
      <x:c r="B7" s="22" t="str">
        <x:v>漂流尸兵</x:v>
      </x:c>
      <x:c r="C7" s="22" t="str">
        <x:v>C01:失乡者海岸:1层</x:v>
      </x:c>
      <x:c r="D7" s="22" t="str">
        <x:v>P0003</x:v>
      </x:c>
      <x:c r="E7" s="22" t="str">
        <x:v>普通</x:v>
      </x:c>
      <x:c r="F7" s="22" t="n">
        <x:v>8.50135488114485</x:v>
      </x:c>
      <x:c r="G7" s="22" t="n">
        <x:v>10</x:v>
      </x:c>
      <x:c r="H7" s="22" t="n">
        <x:v>133.6875</x:v>
      </x:c>
      <x:c r="I7" s="22" t="n">
        <x:v>2020.1971443549153</x:v>
      </x:c>
      <x:c r="J7" s="22" t="n">
        <x:v>246.10000000000002</x:v>
      </x:c>
      <x:c r="K7" s="22" t="n">
        <x:v>246.10000000000002</x:v>
      </x:c>
      <x:c r="L7" s="22" t="str">
        <x:v>可承受</x:v>
      </x:c>
    </x:row>
    <x:row r="8" ht="24" customHeight="1">
      <x:c r="A8" s="22" t="str">
        <x:v>EL-MON-SEA-003</x:v>
      </x:c>
      <x:c r="B8" s="22" t="str">
        <x:v>漂流尸兵</x:v>
      </x:c>
      <x:c r="C8" s="22" t="str">
        <x:v>C01:失乡者海岸:2层</x:v>
      </x:c>
      <x:c r="D8" s="22" t="str">
        <x:v>P0003</x:v>
      </x:c>
      <x:c r="E8" s="22" t="str">
        <x:v>普通</x:v>
      </x:c>
      <x:c r="F8" s="22" t="n">
        <x:v>8.50135488114485</x:v>
      </x:c>
      <x:c r="G8" s="22" t="n">
        <x:v>10</x:v>
      </x:c>
      <x:c r="H8" s="22" t="n">
        <x:v>133.6875</x:v>
      </x:c>
      <x:c r="I8" s="22" t="n">
        <x:v>2020.1971443549153</x:v>
      </x:c>
      <x:c r="J8" s="22" t="n">
        <x:v>246.10000000000002</x:v>
      </x:c>
      <x:c r="K8" s="22" t="n">
        <x:v>246.10000000000002</x:v>
      </x:c>
      <x:c r="L8" s="22" t="str">
        <x:v>可承受</x:v>
      </x:c>
    </x:row>
    <x:row r="9" ht="24" customHeight="1">
      <x:c r="A9" s="22" t="str">
        <x:v>EL-MON-SEA-004</x:v>
      </x:c>
      <x:c r="B9" s="22" t="str">
        <x:v>失乡猎犬</x:v>
      </x:c>
      <x:c r="C9" s="22" t="str">
        <x:v>C01:失乡者海岸:2层</x:v>
      </x:c>
      <x:c r="D9" s="22" t="str">
        <x:v>P0003</x:v>
      </x:c>
      <x:c r="E9" s="22" t="str">
        <x:v>普通</x:v>
      </x:c>
      <x:c r="F9" s="22" t="n">
        <x:v>7.226151648973123</x:v>
      </x:c>
      <x:c r="G9" s="22" t="n">
        <x:v>10</x:v>
      </x:c>
      <x:c r="H9" s="22" t="n">
        <x:v>133.6875</x:v>
      </x:c>
      <x:c r="I9" s="22" t="n">
        <x:v>2020.1971443549153</x:v>
      </x:c>
      <x:c r="J9" s="22" t="n">
        <x:v>246.10000000000002</x:v>
      </x:c>
      <x:c r="K9" s="22" t="n">
        <x:v>246.10000000000002</x:v>
      </x:c>
      <x:c r="L9" s="22" t="str">
        <x:v>可承受</x:v>
      </x:c>
    </x:row>
    <x:row r="10" ht="24" customHeight="1">
      <x:c r="A10" s="22" t="str">
        <x:v>EL-MON-SEA-005</x:v>
      </x:c>
      <x:c r="B10" s="22" t="str">
        <x:v>腐潮巨蟹</x:v>
      </x:c>
      <x:c r="C10" s="22" t="str">
        <x:v>C01:失乡者海岸:2层</x:v>
      </x:c>
      <x:c r="D10" s="22" t="str">
        <x:v>P0003</x:v>
      </x:c>
      <x:c r="E10" s="22" t="str">
        <x:v>普通</x:v>
      </x:c>
      <x:c r="F10" s="22" t="n">
        <x:v>8.50135488114485</x:v>
      </x:c>
      <x:c r="G10" s="22" t="n">
        <x:v>10</x:v>
      </x:c>
      <x:c r="H10" s="22" t="n">
        <x:v>133.6875</x:v>
      </x:c>
      <x:c r="I10" s="22" t="n">
        <x:v>2020.1971443549153</x:v>
      </x:c>
      <x:c r="J10" s="22" t="n">
        <x:v>246.10000000000002</x:v>
      </x:c>
      <x:c r="K10" s="22" t="n">
        <x:v>246.10000000000002</x:v>
      </x:c>
      <x:c r="L10" s="22" t="str">
        <x:v>可承受</x:v>
      </x:c>
    </x:row>
    <x:row r="11" ht="24" customHeight="1">
      <x:c r="A11" s="22" t="str">
        <x:v>EL-MON-SEA-005</x:v>
      </x:c>
      <x:c r="B11" s="22" t="str">
        <x:v>腐潮巨蟹</x:v>
      </x:c>
      <x:c r="C11" s="22" t="str">
        <x:v>C01:失乡者海岸:3层</x:v>
      </x:c>
      <x:c r="D11" s="22" t="str">
        <x:v>P0003</x:v>
      </x:c>
      <x:c r="E11" s="22" t="str">
        <x:v>普通</x:v>
      </x:c>
      <x:c r="F11" s="22" t="n">
        <x:v>8.50135488114485</x:v>
      </x:c>
      <x:c r="G11" s="22" t="n">
        <x:v>10</x:v>
      </x:c>
      <x:c r="H11" s="22" t="n">
        <x:v>133.6875</x:v>
      </x:c>
      <x:c r="I11" s="22" t="n">
        <x:v>2020.1971443549153</x:v>
      </x:c>
      <x:c r="J11" s="22" t="n">
        <x:v>246.10000000000002</x:v>
      </x:c>
      <x:c r="K11" s="22" t="n">
        <x:v>246.10000000000002</x:v>
      </x:c>
      <x:c r="L11" s="22" t="str">
        <x:v>可承受</x:v>
      </x:c>
    </x:row>
    <x:row r="12" ht="24" customHeight="1">
      <x:c r="A12" s="22" t="str">
        <x:v>EL-MON-SEA-006</x:v>
      </x:c>
      <x:c r="B12" s="22" t="str">
        <x:v>铁锚行刑者</x:v>
      </x:c>
      <x:c r="C12" s="22" t="str">
        <x:v>C01:失乡者海岸:1层</x:v>
      </x:c>
      <x:c r="D12" s="22" t="str">
        <x:v>P0003</x:v>
      </x:c>
      <x:c r="E12" s="22" t="str">
        <x:v>稀有</x:v>
      </x:c>
      <x:c r="F12" s="22" t="n">
        <x:v>24.53859869459007</x:v>
      </x:c>
      <x:c r="G12" s="22" t="n">
        <x:v>10</x:v>
      </x:c>
      <x:c r="H12" s="22" t="n">
        <x:v>101.47058823529412</x:v>
      </x:c>
      <x:c r="I12" s="22" t="n">
        <x:v>2020.1971443549153</x:v>
      </x:c>
      <x:c r="J12" s="22" t="n">
        <x:v>200.10000000000002</x:v>
      </x:c>
      <x:c r="K12" s="22" t="n">
        <x:v>200.10000000000002</x:v>
      </x:c>
      <x:c r="L12" s="22" t="str">
        <x:v>可承受</x:v>
      </x:c>
    </x:row>
    <x:row r="13" ht="24" customHeight="1">
      <x:c r="A13" s="22" t="str">
        <x:v>EL-MON-SEA-006</x:v>
      </x:c>
      <x:c r="B13" s="22" t="str">
        <x:v>铁锚行刑者</x:v>
      </x:c>
      <x:c r="C13" s="22" t="str">
        <x:v>C01:失乡者海岸:2层</x:v>
      </x:c>
      <x:c r="D13" s="22" t="str">
        <x:v>P0003</x:v>
      </x:c>
      <x:c r="E13" s="22" t="str">
        <x:v>稀有</x:v>
      </x:c>
      <x:c r="F13" s="22" t="n">
        <x:v>24.53859869459007</x:v>
      </x:c>
      <x:c r="G13" s="22" t="n">
        <x:v>10</x:v>
      </x:c>
      <x:c r="H13" s="22" t="n">
        <x:v>101.47058823529412</x:v>
      </x:c>
      <x:c r="I13" s="22" t="n">
        <x:v>2020.1971443549153</x:v>
      </x:c>
      <x:c r="J13" s="22" t="n">
        <x:v>200.10000000000002</x:v>
      </x:c>
      <x:c r="K13" s="22" t="n">
        <x:v>200.10000000000002</x:v>
      </x:c>
      <x:c r="L13" s="22" t="str">
        <x:v>可承受</x:v>
      </x:c>
    </x:row>
    <x:row r="14" ht="24" customHeight="1">
      <x:c r="A14" s="22" t="str">
        <x:v>EL-MON-SEA-007</x:v>
      </x:c>
      <x:c r="B14" s="22" t="str">
        <x:v>唤潮祷师</x:v>
      </x:c>
      <x:c r="C14" s="22" t="str">
        <x:v>C01:失乡者海岸:2层</x:v>
      </x:c>
      <x:c r="D14" s="22" t="str">
        <x:v>P0003</x:v>
      </x:c>
      <x:c r="E14" s="22" t="str">
        <x:v>稀有</x:v>
      </x:c>
      <x:c r="F14" s="22" t="n">
        <x:v>20.233581379749708</x:v>
      </x:c>
      <x:c r="G14" s="22" t="n">
        <x:v>10</x:v>
      </x:c>
      <x:c r="H14" s="22" t="n">
        <x:v>106.88235294117648</x:v>
      </x:c>
      <x:c r="I14" s="22" t="n">
        <x:v>2020.1971443549153</x:v>
      </x:c>
      <x:c r="J14" s="22" t="n">
        <x:v>209.3</x:v>
      </x:c>
      <x:c r="K14" s="22" t="n">
        <x:v>209.3</x:v>
      </x:c>
      <x:c r="L14" s="22" t="str">
        <x:v>可承受</x:v>
      </x:c>
    </x:row>
    <x:row r="15" ht="24" customHeight="1">
      <x:c r="A15" s="22" t="str">
        <x:v>EL-MON-SEA-008</x:v>
      </x:c>
      <x:c r="B15" s="22" t="str">
        <x:v>沉船守财者</x:v>
      </x:c>
      <x:c r="C15" s="22" t="str">
        <x:v>C01:失乡者海岸:2层</x:v>
      </x:c>
      <x:c r="D15" s="22" t="str">
        <x:v>P0003</x:v>
      </x:c>
      <x:c r="E15" s="22" t="str">
        <x:v>稀有</x:v>
      </x:c>
      <x:c r="F15" s="22" t="n">
        <x:v>22.38609003716989</x:v>
      </x:c>
      <x:c r="G15" s="22" t="n">
        <x:v>10</x:v>
      </x:c>
      <x:c r="H15" s="22" t="n">
        <x:v>101.47058823529412</x:v>
      </x:c>
      <x:c r="I15" s="22" t="n">
        <x:v>2020.1971443549153</x:v>
      </x:c>
      <x:c r="J15" s="22" t="n">
        <x:v>200.10000000000002</x:v>
      </x:c>
      <x:c r="K15" s="22" t="n">
        <x:v>200.10000000000002</x:v>
      </x:c>
      <x:c r="L15" s="22" t="str">
        <x:v>可承受</x:v>
      </x:c>
    </x:row>
    <x:row r="16" ht="24" customHeight="1">
      <x:c r="A16" s="22" t="str">
        <x:v>EL-MON-SEA-008</x:v>
      </x:c>
      <x:c r="B16" s="22" t="str">
        <x:v>沉船守财者</x:v>
      </x:c>
      <x:c r="C16" s="22" t="str">
        <x:v>C01:失乡者海岸:3层</x:v>
      </x:c>
      <x:c r="D16" s="22" t="str">
        <x:v>P0003</x:v>
      </x:c>
      <x:c r="E16" s="22" t="str">
        <x:v>稀有</x:v>
      </x:c>
      <x:c r="F16" s="22" t="n">
        <x:v>22.38609003716989</x:v>
      </x:c>
      <x:c r="G16" s="22" t="n">
        <x:v>10</x:v>
      </x:c>
      <x:c r="H16" s="22" t="n">
        <x:v>101.47058823529412</x:v>
      </x:c>
      <x:c r="I16" s="22" t="n">
        <x:v>2020.1971443549153</x:v>
      </x:c>
      <x:c r="J16" s="22" t="n">
        <x:v>200.10000000000002</x:v>
      </x:c>
      <x:c r="K16" s="22" t="n">
        <x:v>200.10000000000002</x:v>
      </x:c>
      <x:c r="L16" s="22" t="str">
        <x:v>可承受</x:v>
      </x:c>
    </x:row>
    <x:row r="17" ht="24" customHeight="1">
      <x:c r="A17" s="22" t="str">
        <x:v>EL-MON-SEA-009</x:v>
      </x:c>
      <x:c r="B17" s="22" t="str">
        <x:v>海雾骑士</x:v>
      </x:c>
      <x:c r="C17" s="22" t="str">
        <x:v>C01:失乡者海岸:3层</x:v>
      </x:c>
      <x:c r="D17" s="22" t="str">
        <x:v>P0003</x:v>
      </x:c>
      <x:c r="E17" s="22" t="str">
        <x:v>稀有</x:v>
      </x:c>
      <x:c r="F17" s="22" t="n">
        <x:v>25.83010388904218</x:v>
      </x:c>
      <x:c r="G17" s="22" t="n">
        <x:v>10</x:v>
      </x:c>
      <x:c r="H17" s="22" t="n">
        <x:v>101.47058823529412</x:v>
      </x:c>
      <x:c r="I17" s="22" t="n">
        <x:v>2020.1971443549153</x:v>
      </x:c>
      <x:c r="J17" s="22" t="n">
        <x:v>200.10000000000002</x:v>
      </x:c>
      <x:c r="K17" s="22" t="n">
        <x:v>200.10000000000002</x:v>
      </x:c>
      <x:c r="L17" s="22" t="str">
        <x:v>可承受</x:v>
      </x:c>
    </x:row>
    <x:row r="18" ht="24" customHeight="1">
      <x:c r="A18" s="22" t="str">
        <x:v>EL-MON-SEA-010</x:v>
      </x:c>
      <x:c r="B18" s="22" t="str">
        <x:v>断桅船长·赫恩</x:v>
      </x:c>
      <x:c r="C18" s="22" t="str">
        <x:v>C01:失乡者海岸:2层</x:v>
      </x:c>
      <x:c r="D18" s="22" t="str">
        <x:v>P0005</x:v>
      </x:c>
      <x:c r="E18" s="22" t="str">
        <x:v>地图BOSS</x:v>
      </x:c>
      <x:c r="F18" s="22" t="n">
        <x:v>81.86470241273808</x:v>
      </x:c>
      <x:c r="G18" s="22" t="n">
        <x:v>10</x:v>
      </x:c>
      <x:c r="H18" s="22" t="n">
        <x:v>88.53333333333332</x:v>
      </x:c>
      <x:c r="I18" s="22" t="n">
        <x:v>2028.006417889642</x:v>
      </x:c>
      <x:c r="J18" s="22" t="n">
        <x:v>192.56</x:v>
      </x:c>
      <x:c r="K18" s="22" t="n">
        <x:v>192.56</x:v>
      </x:c>
      <x:c r="L18" s="22" t="str">
        <x:v>可承受</x:v>
      </x:c>
    </x:row>
    <x:row r="19" ht="24" customHeight="1">
      <x:c r="A19" s="22" t="str">
        <x:v>EL-MON-SEA-011</x:v>
      </x:c>
      <x:c r="B19" s="22" t="str">
        <x:v>吞岸巨兽·格拉姆</x:v>
      </x:c>
      <x:c r="C19" s="22" t="str">
        <x:v>C01:失乡者海岸:3层</x:v>
      </x:c>
      <x:c r="D19" s="22" t="str">
        <x:v>P0006</x:v>
      </x:c>
      <x:c r="E19" s="22" t="str">
        <x:v>地图BOSS</x:v>
      </x:c>
      <x:c r="F19" s="22" t="n">
        <x:v>73.67823217146427</x:v>
      </x:c>
      <x:c r="G19" s="22" t="n">
        <x:v>10</x:v>
      </x:c>
      <x:c r="H19" s="22" t="n">
        <x:v>90.83888888888889</x:v>
      </x:c>
      <x:c r="I19" s="22" t="n">
        <x:v>2028.006417889642</x:v>
      </x:c>
      <x:c r="J19" s="22" t="n">
        <x:v>192.56</x:v>
      </x:c>
      <x:c r="K19" s="22" t="n">
        <x:v>192.56</x:v>
      </x:c>
      <x:c r="L19" s="22" t="str">
        <x:v>可承受</x:v>
      </x:c>
    </x:row>
    <x:row r="20" ht="24" customHeight="1">
      <x:c r="A20" s="22" t="str">
        <x:v>EL-MON-CLIFF-001</x:v>
      </x:c>
      <x:c r="B20" s="22" t="str">
        <x:v>风蚀守卫</x:v>
      </x:c>
      <x:c r="C20" s="22" t="str">
        <x:v>C01:风暴断崖:1层</x:v>
      </x:c>
      <x:c r="D20" s="22" t="str">
        <x:v>P0004</x:v>
      </x:c>
      <x:c r="E20" s="22" t="str">
        <x:v>普通</x:v>
      </x:c>
      <x:c r="F20" s="22" t="n">
        <x:v>6.725065123091634</x:v>
      </x:c>
      <x:c r="G20" s="22" t="n">
        <x:v>-15</x:v>
      </x:c>
      <x:c r="H20" s="22" t="n">
        <x:v>156.18258677505315</x:v>
      </x:c>
      <x:c r="I20" s="22" t="n">
        <x:v>2028.006417889642</x:v>
      </x:c>
      <x:c r="J20" s="22" t="n">
        <x:v>134.45999999999998</x:v>
      </x:c>
      <x:c r="K20" s="22" t="n">
        <x:v>672.3</x:v>
      </x:c>
      <x:c r="L20" s="22" t="str">
        <x:v>可承受</x:v>
      </x:c>
    </x:row>
    <x:row r="21" ht="24" customHeight="1">
      <x:c r="A21" s="22" t="str">
        <x:v>EL-MON-CLIFF-001</x:v>
      </x:c>
      <x:c r="B21" s="22" t="str">
        <x:v>风蚀守卫</x:v>
      </x:c>
      <x:c r="C21" s="22" t="str">
        <x:v>C01:风暴断崖:2层</x:v>
      </x:c>
      <x:c r="D21" s="22" t="str">
        <x:v>P0004</x:v>
      </x:c>
      <x:c r="E21" s="22" t="str">
        <x:v>普通</x:v>
      </x:c>
      <x:c r="F21" s="22" t="n">
        <x:v>6.725065123091634</x:v>
      </x:c>
      <x:c r="G21" s="22" t="n">
        <x:v>-15</x:v>
      </x:c>
      <x:c r="H21" s="22" t="n">
        <x:v>156.18258677505315</x:v>
      </x:c>
      <x:c r="I21" s="22" t="n">
        <x:v>2028.006417889642</x:v>
      </x:c>
      <x:c r="J21" s="22" t="n">
        <x:v>134.45999999999998</x:v>
      </x:c>
      <x:c r="K21" s="22" t="n">
        <x:v>672.3</x:v>
      </x:c>
      <x:c r="L21" s="22" t="str">
        <x:v>可承受</x:v>
      </x:c>
    </x:row>
    <x:row r="22" ht="24" customHeight="1">
      <x:c r="A22" s="22" t="str">
        <x:v>EL-MON-CLIFF-001</x:v>
      </x:c>
      <x:c r="B22" s="22" t="str">
        <x:v>风蚀守卫</x:v>
      </x:c>
      <x:c r="C22" s="22" t="str">
        <x:v>C01:风暴断崖:3层</x:v>
      </x:c>
      <x:c r="D22" s="22" t="str">
        <x:v>P0004</x:v>
      </x:c>
      <x:c r="E22" s="22" t="str">
        <x:v>普通</x:v>
      </x:c>
      <x:c r="F22" s="22" t="n">
        <x:v>6.725065123091634</x:v>
      </x:c>
      <x:c r="G22" s="22" t="n">
        <x:v>-15</x:v>
      </x:c>
      <x:c r="H22" s="22" t="n">
        <x:v>156.18258677505315</x:v>
      </x:c>
      <x:c r="I22" s="22" t="n">
        <x:v>2028.006417889642</x:v>
      </x:c>
      <x:c r="J22" s="22" t="n">
        <x:v>134.45999999999998</x:v>
      </x:c>
      <x:c r="K22" s="22" t="n">
        <x:v>672.3</x:v>
      </x:c>
      <x:c r="L22" s="22" t="str">
        <x:v>可承受</x:v>
      </x:c>
    </x:row>
    <x:row r="23" ht="24" customHeight="1">
      <x:c r="A23" s="22" t="str">
        <x:v>EL-MON-CLIFF-001</x:v>
      </x:c>
      <x:c r="B23" s="22" t="str">
        <x:v>风蚀守卫</x:v>
      </x:c>
      <x:c r="C23" s="22" t="str">
        <x:v>C01:风暴断崖:4层</x:v>
      </x:c>
      <x:c r="D23" s="22" t="str">
        <x:v>P0004</x:v>
      </x:c>
      <x:c r="E23" s="22" t="str">
        <x:v>普通</x:v>
      </x:c>
      <x:c r="F23" s="22" t="n">
        <x:v>6.725065123091634</x:v>
      </x:c>
      <x:c r="G23" s="22" t="n">
        <x:v>-15</x:v>
      </x:c>
      <x:c r="H23" s="22" t="n">
        <x:v>156.18258677505315</x:v>
      </x:c>
      <x:c r="I23" s="22" t="n">
        <x:v>2028.006417889642</x:v>
      </x:c>
      <x:c r="J23" s="22" t="n">
        <x:v>134.45999999999998</x:v>
      </x:c>
      <x:c r="K23" s="22" t="n">
        <x:v>672.3</x:v>
      </x:c>
      <x:c r="L23" s="22" t="str">
        <x:v>可承受</x:v>
      </x:c>
    </x:row>
    <x:row r="24" ht="24" customHeight="1">
      <x:c r="A24" s="22" t="str">
        <x:v>EL-MON-CLIFF-002</x:v>
      </x:c>
      <x:c r="B24" s="22" t="str">
        <x:v>断崖弩手</x:v>
      </x:c>
      <x:c r="C24" s="22" t="str">
        <x:v>C01:风暴断崖:1层</x:v>
      </x:c>
      <x:c r="D24" s="22" t="str">
        <x:v>P0004</x:v>
      </x:c>
      <x:c r="E24" s="22" t="str">
        <x:v>普通</x:v>
      </x:c>
      <x:c r="F24" s="22" t="n">
        <x:v>6.725065123091634</x:v>
      </x:c>
      <x:c r="G24" s="22" t="n">
        <x:v>-15</x:v>
      </x:c>
      <x:c r="H24" s="22" t="n">
        <x:v>156.18258677505315</x:v>
      </x:c>
      <x:c r="I24" s="22" t="n">
        <x:v>2028.006417889642</x:v>
      </x:c>
      <x:c r="J24" s="22" t="n">
        <x:v>134.45999999999998</x:v>
      </x:c>
      <x:c r="K24" s="22" t="n">
        <x:v>672.3</x:v>
      </x:c>
      <x:c r="L24" s="22" t="str">
        <x:v>可承受</x:v>
      </x:c>
    </x:row>
    <x:row r="25" ht="24" customHeight="1">
      <x:c r="A25" s="22" t="str">
        <x:v>EL-MON-CLIFF-002</x:v>
      </x:c>
      <x:c r="B25" s="22" t="str">
        <x:v>断崖弩手</x:v>
      </x:c>
      <x:c r="C25" s="22" t="str">
        <x:v>C01:风暴断崖:2层</x:v>
      </x:c>
      <x:c r="D25" s="22" t="str">
        <x:v>P0004</x:v>
      </x:c>
      <x:c r="E25" s="22" t="str">
        <x:v>普通</x:v>
      </x:c>
      <x:c r="F25" s="22" t="n">
        <x:v>6.725065123091634</x:v>
      </x:c>
      <x:c r="G25" s="22" t="n">
        <x:v>-15</x:v>
      </x:c>
      <x:c r="H25" s="22" t="n">
        <x:v>156.18258677505315</x:v>
      </x:c>
      <x:c r="I25" s="22" t="n">
        <x:v>2028.006417889642</x:v>
      </x:c>
      <x:c r="J25" s="22" t="n">
        <x:v>134.45999999999998</x:v>
      </x:c>
      <x:c r="K25" s="22" t="n">
        <x:v>672.3</x:v>
      </x:c>
      <x:c r="L25" s="22" t="str">
        <x:v>可承受</x:v>
      </x:c>
    </x:row>
    <x:row r="26" ht="24" customHeight="1">
      <x:c r="A26" s="22" t="str">
        <x:v>EL-MON-CLIFF-002</x:v>
      </x:c>
      <x:c r="B26" s="22" t="str">
        <x:v>断崖弩手</x:v>
      </x:c>
      <x:c r="C26" s="22" t="str">
        <x:v>C01:风暴断崖:3层</x:v>
      </x:c>
      <x:c r="D26" s="22" t="str">
        <x:v>P0004</x:v>
      </x:c>
      <x:c r="E26" s="22" t="str">
        <x:v>普通</x:v>
      </x:c>
      <x:c r="F26" s="22" t="n">
        <x:v>6.725065123091634</x:v>
      </x:c>
      <x:c r="G26" s="22" t="n">
        <x:v>-15</x:v>
      </x:c>
      <x:c r="H26" s="22" t="n">
        <x:v>156.18258677505315</x:v>
      </x:c>
      <x:c r="I26" s="22" t="n">
        <x:v>2028.006417889642</x:v>
      </x:c>
      <x:c r="J26" s="22" t="n">
        <x:v>134.45999999999998</x:v>
      </x:c>
      <x:c r="K26" s="22" t="n">
        <x:v>672.3</x:v>
      </x:c>
      <x:c r="L26" s="22" t="str">
        <x:v>可承受</x:v>
      </x:c>
    </x:row>
    <x:row r="27" ht="24" customHeight="1">
      <x:c r="A27" s="22" t="str">
        <x:v>EL-MON-CLIFF-002</x:v>
      </x:c>
      <x:c r="B27" s="22" t="str">
        <x:v>断崖弩手</x:v>
      </x:c>
      <x:c r="C27" s="22" t="str">
        <x:v>C01:风暴断崖:4层</x:v>
      </x:c>
      <x:c r="D27" s="22" t="str">
        <x:v>P0004</x:v>
      </x:c>
      <x:c r="E27" s="22" t="str">
        <x:v>普通</x:v>
      </x:c>
      <x:c r="F27" s="22" t="n">
        <x:v>6.725065123091634</x:v>
      </x:c>
      <x:c r="G27" s="22" t="n">
        <x:v>-15</x:v>
      </x:c>
      <x:c r="H27" s="22" t="n">
        <x:v>156.18258677505315</x:v>
      </x:c>
      <x:c r="I27" s="22" t="n">
        <x:v>2028.006417889642</x:v>
      </x:c>
      <x:c r="J27" s="22" t="n">
        <x:v>134.45999999999998</x:v>
      </x:c>
      <x:c r="K27" s="22" t="n">
        <x:v>672.3</x:v>
      </x:c>
      <x:c r="L27" s="22" t="str">
        <x:v>可承受</x:v>
      </x:c>
    </x:row>
    <x:row r="28" ht="24" customHeight="1">
      <x:c r="A28" s="22" t="str">
        <x:v>EL-MON-CLIFF-003</x:v>
      </x:c>
      <x:c r="B28" s="22" t="str">
        <x:v>雷羽鹰</x:v>
      </x:c>
      <x:c r="C28" s="22" t="str">
        <x:v>C01:风暴断崖:1层</x:v>
      </x:c>
      <x:c r="D28" s="22" t="str">
        <x:v>P0004</x:v>
      </x:c>
      <x:c r="E28" s="22" t="str">
        <x:v>普通</x:v>
      </x:c>
      <x:c r="F28" s="22" t="n">
        <x:v>7.911841321284275</x:v>
      </x:c>
      <x:c r="G28" s="22" t="n">
        <x:v>-15</x:v>
      </x:c>
      <x:c r="H28" s="22" t="n">
        <x:v>156.18258677505315</x:v>
      </x:c>
      <x:c r="I28" s="22" t="n">
        <x:v>2028.006417889642</x:v>
      </x:c>
      <x:c r="J28" s="22" t="n">
        <x:v>134.45999999999998</x:v>
      </x:c>
      <x:c r="K28" s="22" t="n">
        <x:v>672.3</x:v>
      </x:c>
      <x:c r="L28" s="22" t="str">
        <x:v>可承受</x:v>
      </x:c>
    </x:row>
    <x:row r="29" ht="24" customHeight="1">
      <x:c r="A29" s="22" t="str">
        <x:v>EL-MON-CLIFF-003</x:v>
      </x:c>
      <x:c r="B29" s="22" t="str">
        <x:v>雷羽鹰</x:v>
      </x:c>
      <x:c r="C29" s="22" t="str">
        <x:v>C01:风暴断崖:2层</x:v>
      </x:c>
      <x:c r="D29" s="22" t="str">
        <x:v>P0004</x:v>
      </x:c>
      <x:c r="E29" s="22" t="str">
        <x:v>普通</x:v>
      </x:c>
      <x:c r="F29" s="22" t="n">
        <x:v>7.911841321284275</x:v>
      </x:c>
      <x:c r="G29" s="22" t="n">
        <x:v>-15</x:v>
      </x:c>
      <x:c r="H29" s="22" t="n">
        <x:v>156.18258677505315</x:v>
      </x:c>
      <x:c r="I29" s="22" t="n">
        <x:v>2028.006417889642</x:v>
      </x:c>
      <x:c r="J29" s="22" t="n">
        <x:v>134.45999999999998</x:v>
      </x:c>
      <x:c r="K29" s="22" t="n">
        <x:v>672.3</x:v>
      </x:c>
      <x:c r="L29" s="22" t="str">
        <x:v>可承受</x:v>
      </x:c>
    </x:row>
    <x:row r="30" ht="24" customHeight="1">
      <x:c r="A30" s="22" t="str">
        <x:v>EL-MON-CLIFF-003</x:v>
      </x:c>
      <x:c r="B30" s="22" t="str">
        <x:v>雷羽鹰</x:v>
      </x:c>
      <x:c r="C30" s="22" t="str">
        <x:v>C01:风暴断崖:3层</x:v>
      </x:c>
      <x:c r="D30" s="22" t="str">
        <x:v>P0004</x:v>
      </x:c>
      <x:c r="E30" s="22" t="str">
        <x:v>普通</x:v>
      </x:c>
      <x:c r="F30" s="22" t="n">
        <x:v>7.911841321284275</x:v>
      </x:c>
      <x:c r="G30" s="22" t="n">
        <x:v>-15</x:v>
      </x:c>
      <x:c r="H30" s="22" t="n">
        <x:v>156.18258677505315</x:v>
      </x:c>
      <x:c r="I30" s="22" t="n">
        <x:v>2028.006417889642</x:v>
      </x:c>
      <x:c r="J30" s="22" t="n">
        <x:v>134.45999999999998</x:v>
      </x:c>
      <x:c r="K30" s="22" t="n">
        <x:v>672.3</x:v>
      </x:c>
      <x:c r="L30" s="22" t="str">
        <x:v>可承受</x:v>
      </x:c>
    </x:row>
    <x:row r="31" ht="24" customHeight="1">
      <x:c r="A31" s="22" t="str">
        <x:v>EL-MON-CLIFF-003</x:v>
      </x:c>
      <x:c r="B31" s="22" t="str">
        <x:v>雷羽鹰</x:v>
      </x:c>
      <x:c r="C31" s="22" t="str">
        <x:v>C01:风暴断崖:4层</x:v>
      </x:c>
      <x:c r="D31" s="22" t="str">
        <x:v>P0004</x:v>
      </x:c>
      <x:c r="E31" s="22" t="str">
        <x:v>普通</x:v>
      </x:c>
      <x:c r="F31" s="22" t="n">
        <x:v>7.911841321284275</x:v>
      </x:c>
      <x:c r="G31" s="22" t="n">
        <x:v>-15</x:v>
      </x:c>
      <x:c r="H31" s="22" t="n">
        <x:v>156.18258677505315</x:v>
      </x:c>
      <x:c r="I31" s="22" t="n">
        <x:v>2028.006417889642</x:v>
      </x:c>
      <x:c r="J31" s="22" t="n">
        <x:v>134.45999999999998</x:v>
      </x:c>
      <x:c r="K31" s="22" t="n">
        <x:v>672.3</x:v>
      </x:c>
      <x:c r="L31" s="22" t="str">
        <x:v>可承受</x:v>
      </x:c>
    </x:row>
    <x:row r="32" ht="24" customHeight="1">
      <x:c r="A32" s="22" t="str">
        <x:v>EL-MON-CLIFF-004</x:v>
      </x:c>
      <x:c r="B32" s="22" t="str">
        <x:v>狂风战奴</x:v>
      </x:c>
      <x:c r="C32" s="22" t="str">
        <x:v>C01:风暴断崖:2层</x:v>
      </x:c>
      <x:c r="D32" s="22" t="str">
        <x:v>P0004</x:v>
      </x:c>
      <x:c r="E32" s="22" t="str">
        <x:v>普通</x:v>
      </x:c>
      <x:c r="F32" s="22" t="n">
        <x:v>6.725065123091634</x:v>
      </x:c>
      <x:c r="G32" s="22" t="n">
        <x:v>-15</x:v>
      </x:c>
      <x:c r="H32" s="22" t="n">
        <x:v>156.18258677505315</x:v>
      </x:c>
      <x:c r="I32" s="22" t="n">
        <x:v>2028.006417889642</x:v>
      </x:c>
      <x:c r="J32" s="22" t="n">
        <x:v>134.45999999999998</x:v>
      </x:c>
      <x:c r="K32" s="22" t="n">
        <x:v>672.3</x:v>
      </x:c>
      <x:c r="L32" s="22" t="str">
        <x:v>可承受</x:v>
      </x:c>
    </x:row>
    <x:row r="33" ht="24" customHeight="1">
      <x:c r="A33" s="22" t="str">
        <x:v>EL-MON-CLIFF-004</x:v>
      </x:c>
      <x:c r="B33" s="22" t="str">
        <x:v>狂风战奴</x:v>
      </x:c>
      <x:c r="C33" s="22" t="str">
        <x:v>C01:风暴断崖:3层</x:v>
      </x:c>
      <x:c r="D33" s="22" t="str">
        <x:v>P0004</x:v>
      </x:c>
      <x:c r="E33" s="22" t="str">
        <x:v>普通</x:v>
      </x:c>
      <x:c r="F33" s="22" t="n">
        <x:v>6.725065123091634</x:v>
      </x:c>
      <x:c r="G33" s="22" t="n">
        <x:v>-15</x:v>
      </x:c>
      <x:c r="H33" s="22" t="n">
        <x:v>156.18258677505315</x:v>
      </x:c>
      <x:c r="I33" s="22" t="n">
        <x:v>2028.006417889642</x:v>
      </x:c>
      <x:c r="J33" s="22" t="n">
        <x:v>134.45999999999998</x:v>
      </x:c>
      <x:c r="K33" s="22" t="n">
        <x:v>672.3</x:v>
      </x:c>
      <x:c r="L33" s="22" t="str">
        <x:v>可承受</x:v>
      </x:c>
    </x:row>
    <x:row r="34" ht="24" customHeight="1">
      <x:c r="A34" s="22" t="str">
        <x:v>EL-MON-CLIFF-004</x:v>
      </x:c>
      <x:c r="B34" s="22" t="str">
        <x:v>狂风战奴</x:v>
      </x:c>
      <x:c r="C34" s="22" t="str">
        <x:v>C01:风暴断崖:4层</x:v>
      </x:c>
      <x:c r="D34" s="22" t="str">
        <x:v>P0004</x:v>
      </x:c>
      <x:c r="E34" s="22" t="str">
        <x:v>普通</x:v>
      </x:c>
      <x:c r="F34" s="22" t="n">
        <x:v>6.725065123091634</x:v>
      </x:c>
      <x:c r="G34" s="22" t="n">
        <x:v>-15</x:v>
      </x:c>
      <x:c r="H34" s="22" t="n">
        <x:v>156.18258677505315</x:v>
      </x:c>
      <x:c r="I34" s="22" t="n">
        <x:v>2028.006417889642</x:v>
      </x:c>
      <x:c r="J34" s="22" t="n">
        <x:v>134.45999999999998</x:v>
      </x:c>
      <x:c r="K34" s="22" t="n">
        <x:v>672.3</x:v>
      </x:c>
      <x:c r="L34" s="22" t="str">
        <x:v>可承受</x:v>
      </x:c>
    </x:row>
    <x:row r="35" ht="24" customHeight="1">
      <x:c r="A35" s="22" t="str">
        <x:v>EL-MON-CLIFF-005</x:v>
      </x:c>
      <x:c r="B35" s="22" t="str">
        <x:v>坠崖亡兵</x:v>
      </x:c>
      <x:c r="C35" s="22" t="str">
        <x:v>C01:风暴断崖:2层</x:v>
      </x:c>
      <x:c r="D35" s="22" t="str">
        <x:v>P0004</x:v>
      </x:c>
      <x:c r="E35" s="22" t="str">
        <x:v>普通</x:v>
      </x:c>
      <x:c r="F35" s="22" t="n">
        <x:v>7.911841321284275</x:v>
      </x:c>
      <x:c r="G35" s="22" t="n">
        <x:v>-15</x:v>
      </x:c>
      <x:c r="H35" s="22" t="n">
        <x:v>156.18258677505315</x:v>
      </x:c>
      <x:c r="I35" s="22" t="n">
        <x:v>2028.006417889642</x:v>
      </x:c>
      <x:c r="J35" s="22" t="n">
        <x:v>134.45999999999998</x:v>
      </x:c>
      <x:c r="K35" s="22" t="n">
        <x:v>672.3</x:v>
      </x:c>
      <x:c r="L35" s="22" t="str">
        <x:v>可承受</x:v>
      </x:c>
    </x:row>
    <x:row r="36" ht="24" customHeight="1">
      <x:c r="A36" s="22" t="str">
        <x:v>EL-MON-CLIFF-005</x:v>
      </x:c>
      <x:c r="B36" s="22" t="str">
        <x:v>坠崖亡兵</x:v>
      </x:c>
      <x:c r="C36" s="22" t="str">
        <x:v>C01:风暴断崖:3层</x:v>
      </x:c>
      <x:c r="D36" s="22" t="str">
        <x:v>P0004</x:v>
      </x:c>
      <x:c r="E36" s="22" t="str">
        <x:v>普通</x:v>
      </x:c>
      <x:c r="F36" s="22" t="n">
        <x:v>7.911841321284275</x:v>
      </x:c>
      <x:c r="G36" s="22" t="n">
        <x:v>-15</x:v>
      </x:c>
      <x:c r="H36" s="22" t="n">
        <x:v>156.18258677505315</x:v>
      </x:c>
      <x:c r="I36" s="22" t="n">
        <x:v>2028.006417889642</x:v>
      </x:c>
      <x:c r="J36" s="22" t="n">
        <x:v>134.45999999999998</x:v>
      </x:c>
      <x:c r="K36" s="22" t="n">
        <x:v>672.3</x:v>
      </x:c>
      <x:c r="L36" s="22" t="str">
        <x:v>可承受</x:v>
      </x:c>
    </x:row>
    <x:row r="37" ht="24" customHeight="1">
      <x:c r="A37" s="22" t="str">
        <x:v>EL-MON-CLIFF-005</x:v>
      </x:c>
      <x:c r="B37" s="22" t="str">
        <x:v>坠崖亡兵</x:v>
      </x:c>
      <x:c r="C37" s="22" t="str">
        <x:v>C01:风暴断崖:4层</x:v>
      </x:c>
      <x:c r="D37" s="22" t="str">
        <x:v>P0004</x:v>
      </x:c>
      <x:c r="E37" s="22" t="str">
        <x:v>普通</x:v>
      </x:c>
      <x:c r="F37" s="22" t="n">
        <x:v>7.911841321284275</x:v>
      </x:c>
      <x:c r="G37" s="22" t="n">
        <x:v>-15</x:v>
      </x:c>
      <x:c r="H37" s="22" t="n">
        <x:v>156.18258677505315</x:v>
      </x:c>
      <x:c r="I37" s="22" t="n">
        <x:v>2028.006417889642</x:v>
      </x:c>
      <x:c r="J37" s="22" t="n">
        <x:v>134.45999999999998</x:v>
      </x:c>
      <x:c r="K37" s="22" t="n">
        <x:v>672.3</x:v>
      </x:c>
      <x:c r="L37" s="22" t="str">
        <x:v>可承受</x:v>
      </x:c>
    </x:row>
    <x:row r="38" ht="24" customHeight="1">
      <x:c r="A38" s="22" t="str">
        <x:v>EL-MON-CLIFF-006</x:v>
      </x:c>
      <x:c r="B38" s="22" t="str">
        <x:v>崖穴石蜥</x:v>
      </x:c>
      <x:c r="C38" s="22" t="str">
        <x:v>C01:风暴断崖:3层</x:v>
      </x:c>
      <x:c r="D38" s="22" t="str">
        <x:v>P0004</x:v>
      </x:c>
      <x:c r="E38" s="22" t="str">
        <x:v>普通</x:v>
      </x:c>
      <x:c r="F38" s="22" t="n">
        <x:v>6.725065123091634</x:v>
      </x:c>
      <x:c r="G38" s="22" t="n">
        <x:v>-15</x:v>
      </x:c>
      <x:c r="H38" s="22" t="n">
        <x:v>156.18258677505315</x:v>
      </x:c>
      <x:c r="I38" s="22" t="n">
        <x:v>2028.006417889642</x:v>
      </x:c>
      <x:c r="J38" s="22" t="n">
        <x:v>134.45999999999998</x:v>
      </x:c>
      <x:c r="K38" s="22" t="n">
        <x:v>672.3</x:v>
      </x:c>
      <x:c r="L38" s="22" t="str">
        <x:v>可承受</x:v>
      </x:c>
    </x:row>
    <x:row r="39" ht="24" customHeight="1">
      <x:c r="A39" s="22" t="str">
        <x:v>EL-MON-CLIFF-006</x:v>
      </x:c>
      <x:c r="B39" s="22" t="str">
        <x:v>崖穴石蜥</x:v>
      </x:c>
      <x:c r="C39" s="22" t="str">
        <x:v>C01:风暴断崖:4层</x:v>
      </x:c>
      <x:c r="D39" s="22" t="str">
        <x:v>P0004</x:v>
      </x:c>
      <x:c r="E39" s="22" t="str">
        <x:v>普通</x:v>
      </x:c>
      <x:c r="F39" s="22" t="n">
        <x:v>6.725065123091634</x:v>
      </x:c>
      <x:c r="G39" s="22" t="n">
        <x:v>-15</x:v>
      </x:c>
      <x:c r="H39" s="22" t="n">
        <x:v>156.18258677505315</x:v>
      </x:c>
      <x:c r="I39" s="22" t="n">
        <x:v>2028.006417889642</x:v>
      </x:c>
      <x:c r="J39" s="22" t="n">
        <x:v>134.45999999999998</x:v>
      </x:c>
      <x:c r="K39" s="22" t="n">
        <x:v>672.3</x:v>
      </x:c>
      <x:c r="L39" s="22" t="str">
        <x:v>可承受</x:v>
      </x:c>
    </x:row>
    <x:row r="40" ht="24" customHeight="1">
      <x:c r="A40" s="22" t="str">
        <x:v>EL-MON-CLIFF-007</x:v>
      </x:c>
      <x:c r="B40" s="22" t="str">
        <x:v>逐雷骑士</x:v>
      </x:c>
      <x:c r="C40" s="22" t="str">
        <x:v>C01:风暴断崖:1层</x:v>
      </x:c>
      <x:c r="D40" s="22" t="str">
        <x:v>P0004</x:v>
      </x:c>
      <x:c r="E40" s="22" t="str">
        <x:v>稀有</x:v>
      </x:c>
      <x:c r="F40" s="22" t="n">
        <x:v>22.105458228308365</x:v>
      </x:c>
      <x:c r="G40" s="22" t="n">
        <x:v>-15</x:v>
      </x:c>
      <x:c r="H40" s="22" t="n">
        <x:v>115.89321329137107</x:v>
      </x:c>
      <x:c r="I40" s="22" t="n">
        <x:v>2028.006417889642</x:v>
      </x:c>
      <x:c r="J40" s="22" t="n">
        <x:v>109.55999999999999</x:v>
      </x:c>
      <x:c r="K40" s="22" t="n">
        <x:v>547.8</x:v>
      </x:c>
      <x:c r="L40" s="22" t="str">
        <x:v>可承受</x:v>
      </x:c>
    </x:row>
    <x:row r="41" ht="24" customHeight="1">
      <x:c r="A41" s="22" t="str">
        <x:v>EL-MON-CLIFF-007</x:v>
      </x:c>
      <x:c r="B41" s="22" t="str">
        <x:v>逐雷骑士</x:v>
      </x:c>
      <x:c r="C41" s="22" t="str">
        <x:v>C01:风暴断崖:2层</x:v>
      </x:c>
      <x:c r="D41" s="22" t="str">
        <x:v>P0004</x:v>
      </x:c>
      <x:c r="E41" s="22" t="str">
        <x:v>稀有</x:v>
      </x:c>
      <x:c r="F41" s="22" t="n">
        <x:v>22.105458228308365</x:v>
      </x:c>
      <x:c r="G41" s="22" t="n">
        <x:v>-15</x:v>
      </x:c>
      <x:c r="H41" s="22" t="n">
        <x:v>115.89321329137107</x:v>
      </x:c>
      <x:c r="I41" s="22" t="n">
        <x:v>2028.006417889642</x:v>
      </x:c>
      <x:c r="J41" s="22" t="n">
        <x:v>109.55999999999999</x:v>
      </x:c>
      <x:c r="K41" s="22" t="n">
        <x:v>547.8</x:v>
      </x:c>
      <x:c r="L41" s="22" t="str">
        <x:v>可承受</x:v>
      </x:c>
    </x:row>
    <x:row r="42" ht="24" customHeight="1">
      <x:c r="A42" s="22" t="str">
        <x:v>EL-MON-CLIFF-008</x:v>
      </x:c>
      <x:c r="B42" s="22" t="str">
        <x:v>风暴祭司</x:v>
      </x:c>
      <x:c r="C42" s="22" t="str">
        <x:v>C01:风暴断崖:2层</x:v>
      </x:c>
      <x:c r="D42" s="22" t="str">
        <x:v>P0004</x:v>
      </x:c>
      <x:c r="E42" s="22" t="str">
        <x:v>稀有</x:v>
      </x:c>
      <x:c r="F42" s="22" t="n">
        <x:v>25.3207976069714</x:v>
      </x:c>
      <x:c r="G42" s="22" t="n">
        <x:v>-15</x:v>
      </x:c>
      <x:c r="H42" s="22" t="n">
        <x:v>110.47764257682101</x:v>
      </x:c>
      <x:c r="I42" s="22" t="n">
        <x:v>2028.006417889642</x:v>
      </x:c>
      <x:c r="J42" s="22" t="n">
        <x:v>101.25999999999999</x:v>
      </x:c>
      <x:c r="K42" s="22" t="n">
        <x:v>506.29999999999995</x:v>
      </x:c>
      <x:c r="L42" s="22" t="str">
        <x:v>可承受</x:v>
      </x:c>
    </x:row>
    <x:row r="43" ht="24" customHeight="1">
      <x:c r="A43" s="22" t="str">
        <x:v>EL-MON-CLIFF-008</x:v>
      </x:c>
      <x:c r="B43" s="22" t="str">
        <x:v>风暴祭司</x:v>
      </x:c>
      <x:c r="C43" s="22" t="str">
        <x:v>C01:风暴断崖:3层</x:v>
      </x:c>
      <x:c r="D43" s="22" t="str">
        <x:v>P0004</x:v>
      </x:c>
      <x:c r="E43" s="22" t="str">
        <x:v>稀有</x:v>
      </x:c>
      <x:c r="F43" s="22" t="n">
        <x:v>25.3207976069714</x:v>
      </x:c>
      <x:c r="G43" s="22" t="n">
        <x:v>-15</x:v>
      </x:c>
      <x:c r="H43" s="22" t="n">
        <x:v>110.47764257682101</x:v>
      </x:c>
      <x:c r="I43" s="22" t="n">
        <x:v>2028.006417889642</x:v>
      </x:c>
      <x:c r="J43" s="22" t="n">
        <x:v>101.25999999999999</x:v>
      </x:c>
      <x:c r="K43" s="22" t="n">
        <x:v>506.29999999999995</x:v>
      </x:c>
      <x:c r="L43" s="22" t="str">
        <x:v>可承受</x:v>
      </x:c>
    </x:row>
    <x:row r="44" ht="24" customHeight="1">
      <x:c r="A44" s="22" t="str">
        <x:v>EL-MON-CLIFF-009</x:v>
      </x:c>
      <x:c r="B44" s="22" t="str">
        <x:v>裂岩巨人</x:v>
      </x:c>
      <x:c r="C44" s="22" t="str">
        <x:v>C01:风暴断崖:3层</x:v>
      </x:c>
      <x:c r="D44" s="22" t="str">
        <x:v>P0004</x:v>
      </x:c>
      <x:c r="E44" s="22" t="str">
        <x:v>稀有</x:v>
      </x:c>
      <x:c r="F44" s="22" t="n">
        <x:v>22.105458228308365</x:v>
      </x:c>
      <x:c r="G44" s="22" t="n">
        <x:v>-15</x:v>
      </x:c>
      <x:c r="H44" s="22" t="n">
        <x:v>115.89321329137107</x:v>
      </x:c>
      <x:c r="I44" s="22" t="n">
        <x:v>2028.006417889642</x:v>
      </x:c>
      <x:c r="J44" s="22" t="n">
        <x:v>109.55999999999999</x:v>
      </x:c>
      <x:c r="K44" s="22" t="n">
        <x:v>547.8</x:v>
      </x:c>
      <x:c r="L44" s="22" t="str">
        <x:v>可承受</x:v>
      </x:c>
    </x:row>
    <x:row r="45" ht="24" customHeight="1">
      <x:c r="A45" s="22" t="str">
        <x:v>EL-MON-CLIFF-009</x:v>
      </x:c>
      <x:c r="B45" s="22" t="str">
        <x:v>裂岩巨人</x:v>
      </x:c>
      <x:c r="C45" s="22" t="str">
        <x:v>C01:风暴断崖:4层</x:v>
      </x:c>
      <x:c r="D45" s="22" t="str">
        <x:v>P0004</x:v>
      </x:c>
      <x:c r="E45" s="22" t="str">
        <x:v>稀有</x:v>
      </x:c>
      <x:c r="F45" s="22" t="n">
        <x:v>22.105458228308365</x:v>
      </x:c>
      <x:c r="G45" s="22" t="n">
        <x:v>-15</x:v>
      </x:c>
      <x:c r="H45" s="22" t="n">
        <x:v>115.89321329137107</x:v>
      </x:c>
      <x:c r="I45" s="22" t="n">
        <x:v>2028.006417889642</x:v>
      </x:c>
      <x:c r="J45" s="22" t="n">
        <x:v>109.55999999999999</x:v>
      </x:c>
      <x:c r="K45" s="22" t="n">
        <x:v>547.8</x:v>
      </x:c>
      <x:c r="L45" s="22" t="str">
        <x:v>可承受</x:v>
      </x:c>
    </x:row>
    <x:row r="46" ht="24" customHeight="1">
      <x:c r="A46" s="22" t="str">
        <x:v>EL-MON-CLIFF-010</x:v>
      </x:c>
      <x:c r="B46" s="22" t="str">
        <x:v>黑翼猎杀者</x:v>
      </x:c>
      <x:c r="C46" s="22" t="str">
        <x:v>C01:风暴断崖:4层</x:v>
      </x:c>
      <x:c r="D46" s="22" t="str">
        <x:v>P0004</x:v>
      </x:c>
      <x:c r="E46" s="22" t="str">
        <x:v>稀有</x:v>
      </x:c>
      <x:c r="F46" s="22" t="n">
        <x:v>19.693953694311087</x:v>
      </x:c>
      <x:c r="G46" s="22" t="n">
        <x:v>-15</x:v>
      </x:c>
      <x:c r="H46" s="22" t="n">
        <x:v>115.89321329137107</x:v>
      </x:c>
      <x:c r="I46" s="22" t="n">
        <x:v>2028.006417889642</x:v>
      </x:c>
      <x:c r="J46" s="22" t="n">
        <x:v>109.55999999999999</x:v>
      </x:c>
      <x:c r="K46" s="22" t="n">
        <x:v>547.8</x:v>
      </x:c>
      <x:c r="L46" s="22" t="str">
        <x:v>可承受</x:v>
      </x:c>
    </x:row>
    <x:row r="47" ht="24" customHeight="1">
      <x:c r="A47" s="22" t="str">
        <x:v>EL-MON-CLIFF-011</x:v>
      </x:c>
      <x:c r="B47" s="22" t="str">
        <x:v>风暴执刑官·巴鲁克</x:v>
      </x:c>
      <x:c r="C47" s="22" t="str">
        <x:v>C01:风暴断崖:3层</x:v>
      </x:c>
      <x:c r="D47" s="22" t="str">
        <x:v>P0011</x:v>
      </x:c>
      <x:c r="E47" s="22" t="str">
        <x:v>地图BOSS</x:v>
      </x:c>
      <x:c r="F47" s="22" t="n">
        <x:v>85.99305942986831</x:v>
      </x:c>
      <x:c r="G47" s="22" t="n">
        <x:v>5</x:v>
      </x:c>
      <x:c r="H47" s="22" t="n">
        <x:v>94.75555555555556</x:v>
      </x:c>
      <x:c r="I47" s="22" t="n">
        <x:v>2045.521340016225</x:v>
      </x:c>
      <x:c r="J47" s="22" t="n">
        <x:v>208.96</x:v>
      </x:c>
      <x:c r="K47" s="22" t="n">
        <x:v>208.96</x:v>
      </x:c>
      <x:c r="L47" s="22" t="str">
        <x:v>可承受</x:v>
      </x:c>
    </x:row>
    <x:row r="48" ht="24" customHeight="1">
      <x:c r="A48" s="22" t="str">
        <x:v>EL-MON-CLIFF-012</x:v>
      </x:c>
      <x:c r="B48" s="22" t="str">
        <x:v>断崖古龙·赛尔</x:v>
      </x:c>
      <x:c r="C48" s="22" t="str">
        <x:v>C01:风暴断崖:4层</x:v>
      </x:c>
      <x:c r="D48" s="22" t="str">
        <x:v>P0012</x:v>
      </x:c>
      <x:c r="E48" s="22" t="str">
        <x:v>地图BOSS</x:v>
      </x:c>
      <x:c r="F48" s="22" t="n">
        <x:v>68.07783871531241</x:v>
      </x:c>
      <x:c r="G48" s="22" t="n">
        <x:v>5</x:v>
      </x:c>
      <x:c r="H48" s="22" t="n">
        <x:v>98.31111111111112</x:v>
      </x:c>
      <x:c r="I48" s="22" t="n">
        <x:v>2045.521340016225</x:v>
      </x:c>
      <x:c r="J48" s="22" t="n">
        <x:v>215.36</x:v>
      </x:c>
      <x:c r="K48" s="22" t="n">
        <x:v>215.36</x:v>
      </x:c>
      <x:c r="L48" s="22" t="str">
        <x:v>可承受</x:v>
      </x:c>
    </x:row>
    <x:row r="49" ht="24" customHeight="1">
      <x:c r="A49" s="22" t="str">
        <x:v>EL-MON-COURT-001</x:v>
      </x:c>
      <x:c r="B49" s="22" t="str">
        <x:v>溺亡禁卫</x:v>
      </x:c>
      <x:c r="C49" s="22" t="str">
        <x:v>C01:沉没王庭:1层</x:v>
      </x:c>
      <x:c r="D49" s="22" t="str">
        <x:v>P0010</x:v>
      </x:c>
      <x:c r="E49" s="22" t="str">
        <x:v>普通</x:v>
      </x:c>
      <x:c r="F49" s="22" t="n">
        <x:v>8.211020958418995</x:v>
      </x:c>
      <x:c r="G49" s="22" t="n">
        <x:v>-20</x:v>
      </x:c>
      <x:c r="H49" s="22" t="n">
        <x:v>205.43249999999998</x:v>
      </x:c>
      <x:c r="I49" s="22" t="n">
        <x:v>2045.521340016225</x:v>
      </x:c>
      <x:c r="J49" s="22" t="n">
        <x:v>123.55</x:v>
      </x:c>
      <x:c r="K49" s="22" t="n">
        <x:v>741.3</x:v>
      </x:c>
      <x:c r="L49" s="22" t="str">
        <x:v>可承受</x:v>
      </x:c>
    </x:row>
    <x:row r="50" ht="24" customHeight="1">
      <x:c r="A50" s="22" t="str">
        <x:v>EL-MON-COURT-001</x:v>
      </x:c>
      <x:c r="B50" s="22" t="str">
        <x:v>溺亡禁卫</x:v>
      </x:c>
      <x:c r="C50" s="22" t="str">
        <x:v>C01:沉没王庭:2层</x:v>
      </x:c>
      <x:c r="D50" s="22" t="str">
        <x:v>P0010</x:v>
      </x:c>
      <x:c r="E50" s="22" t="str">
        <x:v>普通</x:v>
      </x:c>
      <x:c r="F50" s="22" t="n">
        <x:v>8.211020958418995</x:v>
      </x:c>
      <x:c r="G50" s="22" t="n">
        <x:v>-20</x:v>
      </x:c>
      <x:c r="H50" s="22" t="n">
        <x:v>205.43249999999998</x:v>
      </x:c>
      <x:c r="I50" s="22" t="n">
        <x:v>2045.521340016225</x:v>
      </x:c>
      <x:c r="J50" s="22" t="n">
        <x:v>123.55</x:v>
      </x:c>
      <x:c r="K50" s="22" t="n">
        <x:v>741.3</x:v>
      </x:c>
      <x:c r="L50" s="22" t="str">
        <x:v>可承受</x:v>
      </x:c>
    </x:row>
    <x:row r="51" ht="24" customHeight="1">
      <x:c r="A51" s="22" t="str">
        <x:v>EL-MON-COURT-001</x:v>
      </x:c>
      <x:c r="B51" s="22" t="str">
        <x:v>溺亡禁卫</x:v>
      </x:c>
      <x:c r="C51" s="22" t="str">
        <x:v>C01:沉没王庭:3层</x:v>
      </x:c>
      <x:c r="D51" s="22" t="str">
        <x:v>P0010</x:v>
      </x:c>
      <x:c r="E51" s="22" t="str">
        <x:v>普通</x:v>
      </x:c>
      <x:c r="F51" s="22" t="n">
        <x:v>8.211020958418995</x:v>
      </x:c>
      <x:c r="G51" s="22" t="n">
        <x:v>-20</x:v>
      </x:c>
      <x:c r="H51" s="22" t="n">
        <x:v>205.43249999999998</x:v>
      </x:c>
      <x:c r="I51" s="22" t="n">
        <x:v>2045.521340016225</x:v>
      </x:c>
      <x:c r="J51" s="22" t="n">
        <x:v>123.55</x:v>
      </x:c>
      <x:c r="K51" s="22" t="n">
        <x:v>741.3</x:v>
      </x:c>
      <x:c r="L51" s="22" t="str">
        <x:v>可承受</x:v>
      </x:c>
    </x:row>
    <x:row r="52" ht="24" customHeight="1">
      <x:c r="A52" s="22" t="str">
        <x:v>EL-MON-COURT-002</x:v>
      </x:c>
      <x:c r="B52" s="22" t="str">
        <x:v>沉宫侍从</x:v>
      </x:c>
      <x:c r="C52" s="22" t="str">
        <x:v>C01:沉没王庭:1层</x:v>
      </x:c>
      <x:c r="D52" s="22" t="str">
        <x:v>P0010</x:v>
      </x:c>
      <x:c r="E52" s="22" t="str">
        <x:v>普通</x:v>
      </x:c>
      <x:c r="F52" s="22" t="n">
        <x:v>6.842517465349163</x:v>
      </x:c>
      <x:c r="G52" s="22" t="n">
        <x:v>-20</x:v>
      </x:c>
      <x:c r="H52" s="22" t="n">
        <x:v>205.43249999999998</x:v>
      </x:c>
      <x:c r="I52" s="22" t="n">
        <x:v>2045.521340016225</x:v>
      </x:c>
      <x:c r="J52" s="22" t="n">
        <x:v>123.55</x:v>
      </x:c>
      <x:c r="K52" s="22" t="n">
        <x:v>741.3</x:v>
      </x:c>
      <x:c r="L52" s="22" t="str">
        <x:v>可承受</x:v>
      </x:c>
    </x:row>
    <x:row r="53" ht="24" customHeight="1">
      <x:c r="A53" s="22" t="str">
        <x:v>EL-MON-COURT-002</x:v>
      </x:c>
      <x:c r="B53" s="22" t="str">
        <x:v>沉宫侍从</x:v>
      </x:c>
      <x:c r="C53" s="22" t="str">
        <x:v>C01:沉没王庭:2层</x:v>
      </x:c>
      <x:c r="D53" s="22" t="str">
        <x:v>P0010</x:v>
      </x:c>
      <x:c r="E53" s="22" t="str">
        <x:v>普通</x:v>
      </x:c>
      <x:c r="F53" s="22" t="n">
        <x:v>6.842517465349163</x:v>
      </x:c>
      <x:c r="G53" s="22" t="n">
        <x:v>-20</x:v>
      </x:c>
      <x:c r="H53" s="22" t="n">
        <x:v>205.43249999999998</x:v>
      </x:c>
      <x:c r="I53" s="22" t="n">
        <x:v>2045.521340016225</x:v>
      </x:c>
      <x:c r="J53" s="22" t="n">
        <x:v>123.55</x:v>
      </x:c>
      <x:c r="K53" s="22" t="n">
        <x:v>741.3</x:v>
      </x:c>
      <x:c r="L53" s="22" t="str">
        <x:v>可承受</x:v>
      </x:c>
    </x:row>
    <x:row r="54" ht="24" customHeight="1">
      <x:c r="A54" s="22" t="str">
        <x:v>EL-MON-COURT-002</x:v>
      </x:c>
      <x:c r="B54" s="22" t="str">
        <x:v>沉宫侍从</x:v>
      </x:c>
      <x:c r="C54" s="22" t="str">
        <x:v>C01:沉没王庭:3层</x:v>
      </x:c>
      <x:c r="D54" s="22" t="str">
        <x:v>P0010</x:v>
      </x:c>
      <x:c r="E54" s="22" t="str">
        <x:v>普通</x:v>
      </x:c>
      <x:c r="F54" s="22" t="n">
        <x:v>6.842517465349163</x:v>
      </x:c>
      <x:c r="G54" s="22" t="n">
        <x:v>-20</x:v>
      </x:c>
      <x:c r="H54" s="22" t="n">
        <x:v>205.43249999999998</x:v>
      </x:c>
      <x:c r="I54" s="22" t="n">
        <x:v>2045.521340016225</x:v>
      </x:c>
      <x:c r="J54" s="22" t="n">
        <x:v>123.55</x:v>
      </x:c>
      <x:c r="K54" s="22" t="n">
        <x:v>741.3</x:v>
      </x:c>
      <x:c r="L54" s="22" t="str">
        <x:v>可承受</x:v>
      </x:c>
    </x:row>
    <x:row r="55" ht="24" customHeight="1">
      <x:c r="A55" s="22" t="str">
        <x:v>EL-MON-COURT-003</x:v>
      </x:c>
      <x:c r="B55" s="22" t="str">
        <x:v>苔甲骑兵</x:v>
      </x:c>
      <x:c r="C55" s="22" t="str">
        <x:v>C01:沉没王庭:1层</x:v>
      </x:c>
      <x:c r="D55" s="22" t="str">
        <x:v>P0010</x:v>
      </x:c>
      <x:c r="E55" s="22" t="str">
        <x:v>普通</x:v>
      </x:c>
      <x:c r="F55" s="22" t="n">
        <x:v>8.211020958418995</x:v>
      </x:c>
      <x:c r="G55" s="22" t="n">
        <x:v>-20</x:v>
      </x:c>
      <x:c r="H55" s="22" t="n">
        <x:v>205.43249999999998</x:v>
      </x:c>
      <x:c r="I55" s="22" t="n">
        <x:v>2045.521340016225</x:v>
      </x:c>
      <x:c r="J55" s="22" t="n">
        <x:v>123.55</x:v>
      </x:c>
      <x:c r="K55" s="22" t="n">
        <x:v>741.3</x:v>
      </x:c>
      <x:c r="L55" s="22" t="str">
        <x:v>可承受</x:v>
      </x:c>
    </x:row>
    <x:row r="56" ht="24" customHeight="1">
      <x:c r="A56" s="22" t="str">
        <x:v>EL-MON-COURT-003</x:v>
      </x:c>
      <x:c r="B56" s="22" t="str">
        <x:v>苔甲骑兵</x:v>
      </x:c>
      <x:c r="C56" s="22" t="str">
        <x:v>C01:沉没王庭:2层</x:v>
      </x:c>
      <x:c r="D56" s="22" t="str">
        <x:v>P0010</x:v>
      </x:c>
      <x:c r="E56" s="22" t="str">
        <x:v>普通</x:v>
      </x:c>
      <x:c r="F56" s="22" t="n">
        <x:v>8.211020958418995</x:v>
      </x:c>
      <x:c r="G56" s="22" t="n">
        <x:v>-20</x:v>
      </x:c>
      <x:c r="H56" s="22" t="n">
        <x:v>205.43249999999998</x:v>
      </x:c>
      <x:c r="I56" s="22" t="n">
        <x:v>2045.521340016225</x:v>
      </x:c>
      <x:c r="J56" s="22" t="n">
        <x:v>123.55</x:v>
      </x:c>
      <x:c r="K56" s="22" t="n">
        <x:v>741.3</x:v>
      </x:c>
      <x:c r="L56" s="22" t="str">
        <x:v>可承受</x:v>
      </x:c>
    </x:row>
    <x:row r="57" ht="24" customHeight="1">
      <x:c r="A57" s="22" t="str">
        <x:v>EL-MON-COURT-003</x:v>
      </x:c>
      <x:c r="B57" s="22" t="str">
        <x:v>苔甲骑兵</x:v>
      </x:c>
      <x:c r="C57" s="22" t="str">
        <x:v>C01:沉没王庭:3层</x:v>
      </x:c>
      <x:c r="D57" s="22" t="str">
        <x:v>P0010</x:v>
      </x:c>
      <x:c r="E57" s="22" t="str">
        <x:v>普通</x:v>
      </x:c>
      <x:c r="F57" s="22" t="n">
        <x:v>8.211020958418995</x:v>
      </x:c>
      <x:c r="G57" s="22" t="n">
        <x:v>-20</x:v>
      </x:c>
      <x:c r="H57" s="22" t="n">
        <x:v>205.43249999999998</x:v>
      </x:c>
      <x:c r="I57" s="22" t="n">
        <x:v>2045.521340016225</x:v>
      </x:c>
      <x:c r="J57" s="22" t="n">
        <x:v>123.55</x:v>
      </x:c>
      <x:c r="K57" s="22" t="n">
        <x:v>741.3</x:v>
      </x:c>
      <x:c r="L57" s="22" t="str">
        <x:v>可承受</x:v>
      </x:c>
    </x:row>
    <x:row r="58" ht="24" customHeight="1">
      <x:c r="A58" s="22" t="str">
        <x:v>EL-MON-COURT-004</x:v>
      </x:c>
      <x:c r="B58" s="22" t="str">
        <x:v>王庭咒师</x:v>
      </x:c>
      <x:c r="C58" s="22" t="str">
        <x:v>C01:沉没王庭:2层</x:v>
      </x:c>
      <x:c r="D58" s="22" t="str">
        <x:v>P0010</x:v>
      </x:c>
      <x:c r="E58" s="22" t="str">
        <x:v>普通</x:v>
      </x:c>
      <x:c r="F58" s="22" t="n">
        <x:v>7.52676921188408</x:v>
      </x:c>
      <x:c r="G58" s="22" t="n">
        <x:v>-20</x:v>
      </x:c>
      <x:c r="H58" s="22" t="n">
        <x:v>205.43249999999998</x:v>
      </x:c>
      <x:c r="I58" s="22" t="n">
        <x:v>2045.521340016225</x:v>
      </x:c>
      <x:c r="J58" s="22" t="n">
        <x:v>123.55</x:v>
      </x:c>
      <x:c r="K58" s="22" t="n">
        <x:v>741.3</x:v>
      </x:c>
      <x:c r="L58" s="22" t="str">
        <x:v>可承受</x:v>
      </x:c>
    </x:row>
    <x:row r="59" ht="24" customHeight="1">
      <x:c r="A59" s="22" t="str">
        <x:v>EL-MON-COURT-004</x:v>
      </x:c>
      <x:c r="B59" s="22" t="str">
        <x:v>王庭咒师</x:v>
      </x:c>
      <x:c r="C59" s="22" t="str">
        <x:v>C01:沉没王庭:3层</x:v>
      </x:c>
      <x:c r="D59" s="22" t="str">
        <x:v>P0010</x:v>
      </x:c>
      <x:c r="E59" s="22" t="str">
        <x:v>普通</x:v>
      </x:c>
      <x:c r="F59" s="22" t="n">
        <x:v>7.52676921188408</x:v>
      </x:c>
      <x:c r="G59" s="22" t="n">
        <x:v>-20</x:v>
      </x:c>
      <x:c r="H59" s="22" t="n">
        <x:v>205.43249999999998</x:v>
      </x:c>
      <x:c r="I59" s="22" t="n">
        <x:v>2045.521340016225</x:v>
      </x:c>
      <x:c r="J59" s="22" t="n">
        <x:v>123.55</x:v>
      </x:c>
      <x:c r="K59" s="22" t="n">
        <x:v>741.3</x:v>
      </x:c>
      <x:c r="L59" s="22" t="str">
        <x:v>可承受</x:v>
      </x:c>
    </x:row>
    <x:row r="60" ht="24" customHeight="1">
      <x:c r="A60" s="22" t="str">
        <x:v>EL-MON-COURT-005</x:v>
      </x:c>
      <x:c r="B60" s="22" t="str">
        <x:v>深水石像</x:v>
      </x:c>
      <x:c r="C60" s="22" t="str">
        <x:v>C01:沉没王庭:2层</x:v>
      </x:c>
      <x:c r="D60" s="22" t="str">
        <x:v>P0010</x:v>
      </x:c>
      <x:c r="E60" s="22" t="str">
        <x:v>普通</x:v>
      </x:c>
      <x:c r="F60" s="22" t="n">
        <x:v>6.842517465349163</x:v>
      </x:c>
      <x:c r="G60" s="22" t="n">
        <x:v>-20</x:v>
      </x:c>
      <x:c r="H60" s="22" t="n">
        <x:v>205.43249999999998</x:v>
      </x:c>
      <x:c r="I60" s="22" t="n">
        <x:v>2045.521340016225</x:v>
      </x:c>
      <x:c r="J60" s="22" t="n">
        <x:v>123.55</x:v>
      </x:c>
      <x:c r="K60" s="22" t="n">
        <x:v>741.3</x:v>
      </x:c>
      <x:c r="L60" s="22" t="str">
        <x:v>可承受</x:v>
      </x:c>
    </x:row>
    <x:row r="61" ht="24" customHeight="1">
      <x:c r="A61" s="22" t="str">
        <x:v>EL-MON-COURT-005</x:v>
      </x:c>
      <x:c r="B61" s="22" t="str">
        <x:v>深水石像</x:v>
      </x:c>
      <x:c r="C61" s="22" t="str">
        <x:v>C01:沉没王庭:3层</x:v>
      </x:c>
      <x:c r="D61" s="22" t="str">
        <x:v>P0010</x:v>
      </x:c>
      <x:c r="E61" s="22" t="str">
        <x:v>普通</x:v>
      </x:c>
      <x:c r="F61" s="22" t="n">
        <x:v>6.842517465349163</x:v>
      </x:c>
      <x:c r="G61" s="22" t="n">
        <x:v>-20</x:v>
      </x:c>
      <x:c r="H61" s="22" t="n">
        <x:v>205.43249999999998</x:v>
      </x:c>
      <x:c r="I61" s="22" t="n">
        <x:v>2045.521340016225</x:v>
      </x:c>
      <x:c r="J61" s="22" t="n">
        <x:v>123.55</x:v>
      </x:c>
      <x:c r="K61" s="22" t="n">
        <x:v>741.3</x:v>
      </x:c>
      <x:c r="L61" s="22" t="str">
        <x:v>可承受</x:v>
      </x:c>
    </x:row>
    <x:row r="62" ht="24" customHeight="1">
      <x:c r="A62" s="22" t="str">
        <x:v>EL-MON-COURT-006</x:v>
      </x:c>
      <x:c r="B62" s="22" t="str">
        <x:v>幽灯侍者</x:v>
      </x:c>
      <x:c r="C62" s="22" t="str">
        <x:v>C01:沉没王庭:3层</x:v>
      </x:c>
      <x:c r="D62" s="22" t="str">
        <x:v>P0010</x:v>
      </x:c>
      <x:c r="E62" s="22" t="str">
        <x:v>普通</x:v>
      </x:c>
      <x:c r="F62" s="22" t="n">
        <x:v>6.842517465349163</x:v>
      </x:c>
      <x:c r="G62" s="22" t="n">
        <x:v>-20</x:v>
      </x:c>
      <x:c r="H62" s="22" t="n">
        <x:v>205.43249999999998</x:v>
      </x:c>
      <x:c r="I62" s="22" t="n">
        <x:v>2045.521340016225</x:v>
      </x:c>
      <x:c r="J62" s="22" t="n">
        <x:v>123.55</x:v>
      </x:c>
      <x:c r="K62" s="22" t="n">
        <x:v>741.3</x:v>
      </x:c>
      <x:c r="L62" s="22" t="str">
        <x:v>可承受</x:v>
      </x:c>
    </x:row>
    <x:row r="63" ht="24" customHeight="1">
      <x:c r="A63" s="22" t="str">
        <x:v>EL-MON-COURT-007</x:v>
      </x:c>
      <x:c r="B63" s="22" t="str">
        <x:v>失冠王子</x:v>
      </x:c>
      <x:c r="C63" s="22" t="str">
        <x:v>C01:沉没王庭:1层</x:v>
      </x:c>
      <x:c r="D63" s="22" t="str">
        <x:v>P0010</x:v>
      </x:c>
      <x:c r="E63" s="22" t="str">
        <x:v>稀有</x:v>
      </x:c>
      <x:c r="F63" s="22" t="n">
        <x:v>23.101867653685733</x:v>
      </x:c>
      <x:c r="G63" s="22" t="n">
        <x:v>-20</x:v>
      </x:c>
      <x:c r="H63" s="22" t="n">
        <x:v>132.6038478006248</x:v>
      </x:c>
      <x:c r="I63" s="22" t="n">
        <x:v>2045.521340016225</x:v>
      </x:c>
      <x:c r="J63" s="22" t="n">
        <x:v>95.55</x:v>
      </x:c>
      <x:c r="K63" s="22" t="n">
        <x:v>573.3</x:v>
      </x:c>
      <x:c r="L63" s="22" t="str">
        <x:v>可承受</x:v>
      </x:c>
    </x:row>
    <x:row r="64" ht="24" customHeight="1">
      <x:c r="A64" s="22" t="str">
        <x:v>EL-MON-COURT-007</x:v>
      </x:c>
      <x:c r="B64" s="22" t="str">
        <x:v>失冠王子</x:v>
      </x:c>
      <x:c r="C64" s="22" t="str">
        <x:v>C01:沉没王庭:2层</x:v>
      </x:c>
      <x:c r="D64" s="22" t="str">
        <x:v>P0010</x:v>
      </x:c>
      <x:c r="E64" s="22" t="str">
        <x:v>稀有</x:v>
      </x:c>
      <x:c r="F64" s="22" t="n">
        <x:v>23.101867653685733</x:v>
      </x:c>
      <x:c r="G64" s="22" t="n">
        <x:v>-20</x:v>
      </x:c>
      <x:c r="H64" s="22" t="n">
        <x:v>132.6038478006248</x:v>
      </x:c>
      <x:c r="I64" s="22" t="n">
        <x:v>2045.521340016225</x:v>
      </x:c>
      <x:c r="J64" s="22" t="n">
        <x:v>95.55</x:v>
      </x:c>
      <x:c r="K64" s="22" t="n">
        <x:v>573.3</x:v>
      </x:c>
      <x:c r="L64" s="22" t="str">
        <x:v>可承受</x:v>
      </x:c>
    </x:row>
    <x:row r="65" ht="24" customHeight="1">
      <x:c r="A65" s="22" t="str">
        <x:v>EL-MON-COURT-008</x:v>
      </x:c>
      <x:c r="B65" s="22" t="str">
        <x:v>深渊看守</x:v>
      </x:c>
      <x:c r="C65" s="22" t="str">
        <x:v>C01:沉没王庭:2层</x:v>
      </x:c>
      <x:c r="D65" s="22" t="str">
        <x:v>P0010</x:v>
      </x:c>
      <x:c r="E65" s="22" t="str">
        <x:v>稀有</x:v>
      </x:c>
      <x:c r="F65" s="22" t="n">
        <x:v>24.151952547035084</x:v>
      </x:c>
      <x:c r="G65" s="22" t="n">
        <x:v>-20</x:v>
      </x:c>
      <x:c r="H65" s="22" t="n">
        <x:v>125.73318211147324</x:v>
      </x:c>
      <x:c r="I65" s="22" t="n">
        <x:v>2045.521340016225</x:v>
      </x:c>
      <x:c r="J65" s="22" t="n">
        <x:v>88.55</x:v>
      </x:c>
      <x:c r="K65" s="22" t="n">
        <x:v>531.3</x:v>
      </x:c>
      <x:c r="L65" s="22" t="str">
        <x:v>可承受</x:v>
      </x:c>
    </x:row>
    <x:row r="66" ht="24" customHeight="1">
      <x:c r="A66" s="22" t="str">
        <x:v>EL-MON-COURT-008</x:v>
      </x:c>
      <x:c r="B66" s="22" t="str">
        <x:v>深渊看守</x:v>
      </x:c>
      <x:c r="C66" s="22" t="str">
        <x:v>C01:沉没王庭:3层</x:v>
      </x:c>
      <x:c r="D66" s="22" t="str">
        <x:v>P0010</x:v>
      </x:c>
      <x:c r="E66" s="22" t="str">
        <x:v>稀有</x:v>
      </x:c>
      <x:c r="F66" s="22" t="n">
        <x:v>24.151952547035084</x:v>
      </x:c>
      <x:c r="G66" s="22" t="n">
        <x:v>-20</x:v>
      </x:c>
      <x:c r="H66" s="22" t="n">
        <x:v>125.73318211147324</x:v>
      </x:c>
      <x:c r="I66" s="22" t="n">
        <x:v>2045.521340016225</x:v>
      </x:c>
      <x:c r="J66" s="22" t="n">
        <x:v>88.55</x:v>
      </x:c>
      <x:c r="K66" s="22" t="n">
        <x:v>531.3</x:v>
      </x:c>
      <x:c r="L66" s="22" t="str">
        <x:v>可承受</x:v>
      </x:c>
    </x:row>
    <x:row r="67" ht="24" customHeight="1">
      <x:c r="A67" s="22" t="str">
        <x:v>EL-MON-COURT-009</x:v>
      </x:c>
      <x:c r="B67" s="22" t="str">
        <x:v>王庭裁决官</x:v>
      </x:c>
      <x:c r="C67" s="22" t="str">
        <x:v>C01:沉没王庭:3层</x:v>
      </x:c>
      <x:c r="D67" s="22" t="str">
        <x:v>P0010</x:v>
      </x:c>
      <x:c r="E67" s="22" t="str">
        <x:v>稀有</x:v>
      </x:c>
      <x:c r="F67" s="22" t="n">
        <x:v>21.00169786698703</x:v>
      </x:c>
      <x:c r="G67" s="22" t="n">
        <x:v>-20</x:v>
      </x:c>
      <x:c r="H67" s="22" t="n">
        <x:v>139.47451348977634</x:v>
      </x:c>
      <x:c r="I67" s="22" t="n">
        <x:v>2045.521340016225</x:v>
      </x:c>
      <x:c r="J67" s="22" t="n">
        <x:v>95.55</x:v>
      </x:c>
      <x:c r="K67" s="22" t="n">
        <x:v>573.3</x:v>
      </x:c>
      <x:c r="L67" s="22" t="str">
        <x:v>可承受</x:v>
      </x:c>
    </x:row>
    <x:row r="68" ht="24" customHeight="1">
      <x:c r="A68" s="22" t="str">
        <x:v>EL-MON-COURT-010</x:v>
      </x:c>
      <x:c r="B68" s="22" t="str">
        <x:v>沉默女祭司</x:v>
      </x:c>
      <x:c r="C68" s="22" t="str">
        <x:v>C01:沉没王庭:3层</x:v>
      </x:c>
      <x:c r="D68" s="22" t="str">
        <x:v>P0010</x:v>
      </x:c>
      <x:c r="E68" s="22" t="str">
        <x:v>稀有</x:v>
      </x:c>
      <x:c r="F68" s="22" t="n">
        <x:v>21.00169786698703</x:v>
      </x:c>
      <x:c r="G68" s="22" t="n">
        <x:v>-20</x:v>
      </x:c>
      <x:c r="H68" s="22" t="n">
        <x:v>139.47451348977634</x:v>
      </x:c>
      <x:c r="I68" s="22" t="n">
        <x:v>2045.521340016225</x:v>
      </x:c>
      <x:c r="J68" s="22" t="n">
        <x:v>95.55</x:v>
      </x:c>
      <x:c r="K68" s="22" t="n">
        <x:v>573.3</x:v>
      </x:c>
      <x:c r="L68" s="22" t="str">
        <x:v>可承受</x:v>
      </x:c>
    </x:row>
    <x:row r="69" ht="24" customHeight="1">
      <x:c r="A69" s="22" t="str">
        <x:v>EL-MON-COURT-011</x:v>
      </x:c>
      <x:c r="B69" s="22" t="str">
        <x:v>溺王亲卫长·萨恩</x:v>
      </x:c>
      <x:c r="C69" s="22" t="str">
        <x:v>C01:沉没王庭:2层</x:v>
      </x:c>
      <x:c r="D69" s="22" t="str">
        <x:v>P0017</x:v>
      </x:c>
      <x:c r="E69" s="22" t="str">
        <x:v>地图BOSS</x:v>
      </x:c>
      <x:c r="F69" s="22" t="n">
        <x:v>83.47512717851676</x:v>
      </x:c>
      <x:c r="G69" s="22" t="n">
        <x:v>0</x:v>
      </x:c>
      <x:c r="H69" s="22" t="n">
        <x:v>106.97777777777779</x:v>
      </x:c>
      <x:c r="I69" s="22" t="n">
        <x:v>2074.329157896167</x:v>
      </x:c>
      <x:c r="J69" s="22" t="n">
        <x:v>238.96000000000004</x:v>
      </x:c>
      <x:c r="K69" s="22" t="n">
        <x:v>238.96000000000004</x:v>
      </x:c>
      <x:c r="L69" s="22" t="str">
        <x:v>可承受</x:v>
      </x:c>
    </x:row>
    <x:row r="70" ht="24" customHeight="1">
      <x:c r="A70" s="22" t="str">
        <x:v>EL-MON-COURT-012</x:v>
      </x:c>
      <x:c r="B70" s="22" t="str">
        <x:v>深潮大祭司·伊莱娜</x:v>
      </x:c>
      <x:c r="C70" s="22" t="str">
        <x:v>C01:沉没王庭:3层</x:v>
      </x:c>
      <x:c r="D70" s="22" t="str">
        <x:v>P0018</x:v>
      </x:c>
      <x:c r="E70" s="22" t="str">
        <x:v>地图BOSS</x:v>
      </x:c>
      <x:c r="F70" s="22" t="n">
        <x:v>71.55010901015723</x:v>
      </x:c>
      <x:c r="G70" s="22" t="n">
        <x:v>0</x:v>
      </x:c>
      <x:c r="H70" s="22" t="n">
        <x:v>110.2</x:v>
      </x:c>
      <x:c r="I70" s="22" t="n">
        <x:v>2074.329157896167</x:v>
      </x:c>
      <x:c r="J70" s="22" t="n">
        <x:v>244.76000000000002</x:v>
      </x:c>
      <x:c r="K70" s="22" t="n">
        <x:v>244.76000000000002</x:v>
      </x:c>
      <x:c r="L70" s="22" t="str">
        <x:v>可承受</x:v>
      </x:c>
    </x:row>
    <x:row r="71" ht="24" customHeight="1">
      <x:c r="A71" s="22" t="str">
        <x:v>EL-MON-COURT-013</x:v>
      </x:c>
      <x:c r="B71" s="22" t="str">
        <x:v>沉没之王·奥德里安</x:v>
      </x:c>
      <x:c r="C71" s="22" t="str">
        <x:v>C01:沉没王庭:4层</x:v>
      </x:c>
      <x:c r="D71" s="22" t="str">
        <x:v>P0022</x:v>
      </x:c>
      <x:c r="E71" s="22" t="str">
        <x:v>守关BOSS</x:v>
      </x:c>
      <x:c r="F71" s="22" t="n">
        <x:v>89.54611125478216</x:v>
      </x:c>
      <x:c r="G71" s="22" t="n">
        <x:v>5</x:v>
      </x:c>
      <x:c r="H71" s="22" t="n">
        <x:v>2051.58</x:v>
      </x:c>
      <x:c r="I71" s="22" t="n">
        <x:v>2120.038684061257</x:v>
      </x:c>
      <x:c r="J71" s="22" t="n">
        <x:v>4754.16</x:v>
      </x:c>
      <x:c r="K71" s="22" t="n">
        <x:v>4754.16</x:v>
      </x:c>
      <x:c r="L71" s="22" t="str">
        <x:v>可承受</x:v>
      </x:c>
    </x:row>
    <x:row r="72" ht="24" customHeight="1">
      <x:c r="A72" s="22" t="str">
        <x:v>EL-MON-LIM-GRAVE-001</x:v>
      </x:c>
      <x:c r="B72" s="22" t="str">
        <x:v>褪色墓卒</x:v>
      </x:c>
      <x:c r="C72" s="22" t="str">
        <x:v>XX346</x:v>
      </x:c>
      <x:c r="D72" s="22" t="str">
        <x:v>P0027</x:v>
      </x:c>
      <x:c r="E72" s="22" t="str">
        <x:v>普通</x:v>
      </x:c>
      <x:c r="F72" s="22" t="n">
        <x:v>5.0705560128176685</x:v>
      </x:c>
      <x:c r="G72" s="22" t="n">
        <x:v>5</x:v>
      </x:c>
      <x:c r="H72" s="22" t="n">
        <x:v>1382.6</x:v>
      </x:c>
      <x:c r="I72" s="22" t="n">
        <x:v>231.96281436953814</x:v>
      </x:c>
      <x:c r="J72" s="22" t="n">
        <x:v>2584.16</x:v>
      </x:c>
      <x:c r="K72" s="22" t="n">
        <x:v>2584.16</x:v>
      </x:c>
      <x:c r="L72" s="22" t="str">
        <x:v>可承受</x:v>
      </x:c>
    </x:row>
    <x:row r="73" ht="24" customHeight="1">
      <x:c r="A73" s="22" t="str">
        <x:v>EL-MON-LIM-GRAVE-002</x:v>
      </x:c>
      <x:c r="B73" s="22" t="str">
        <x:v>漂泊腐尸</x:v>
      </x:c>
      <x:c r="C73" s="22" t="str">
        <x:v>XX346</x:v>
      </x:c>
      <x:c r="D73" s="22" t="str">
        <x:v>P0027</x:v>
      </x:c>
      <x:c r="E73" s="22" t="str">
        <x:v>普通</x:v>
      </x:c>
      <x:c r="F73" s="22" t="n">
        <x:v>5.633951125352965</x:v>
      </x:c>
      <x:c r="G73" s="22" t="n">
        <x:v>5</x:v>
      </x:c>
      <x:c r="H73" s="22" t="n">
        <x:v>1246.975</x:v>
      </x:c>
      <x:c r="I73" s="22" t="n">
        <x:v>231.96281436953814</x:v>
      </x:c>
      <x:c r="J73" s="22" t="n">
        <x:v>2336.16</x:v>
      </x:c>
      <x:c r="K73" s="22" t="n">
        <x:v>2336.16</x:v>
      </x:c>
      <x:c r="L73" s="22" t="str">
        <x:v>可承受</x:v>
      </x:c>
    </x:row>
    <x:row r="74" ht="24" customHeight="1">
      <x:c r="A74" s="22" t="str">
        <x:v>EL-MON-LIM-GRAVE-003</x:v>
      </x:c>
      <x:c r="B74" s="22" t="str">
        <x:v>墓穴尖牙鬼</x:v>
      </x:c>
      <x:c r="C74" s="22" t="str">
        <x:v>XX346</x:v>
      </x:c>
      <x:c r="D74" s="22" t="str">
        <x:v>P0027</x:v>
      </x:c>
      <x:c r="E74" s="22" t="str">
        <x:v>普通</x:v>
      </x:c>
      <x:c r="F74" s="22" t="n">
        <x:v>5.633951125352965</x:v>
      </x:c>
      <x:c r="G74" s="22" t="n">
        <x:v>5</x:v>
      </x:c>
      <x:c r="H74" s="22" t="n">
        <x:v>1246.975</x:v>
      </x:c>
      <x:c r="I74" s="22" t="n">
        <x:v>231.96281436953814</x:v>
      </x:c>
      <x:c r="J74" s="22" t="n">
        <x:v>2336.16</x:v>
      </x:c>
      <x:c r="K74" s="22" t="n">
        <x:v>2336.16</x:v>
      </x:c>
      <x:c r="L74" s="22" t="str">
        <x:v>可承受</x:v>
      </x:c>
    </x:row>
    <x:row r="75" ht="24" customHeight="1">
      <x:c r="A75" s="22" t="str">
        <x:v>EL-MON-LIM-GRAVE-003</x:v>
      </x:c>
      <x:c r="B75" s="22" t="str">
        <x:v>墓穴尖牙鬼</x:v>
      </x:c>
      <x:c r="C75" s="22" t="str">
        <x:v>XX347</x:v>
      </x:c>
      <x:c r="D75" s="22" t="str">
        <x:v>P0027</x:v>
      </x:c>
      <x:c r="E75" s="22" t="str">
        <x:v>普通</x:v>
      </x:c>
      <x:c r="F75" s="22" t="n">
        <x:v>5.633951125352965</x:v>
      </x:c>
      <x:c r="G75" s="22" t="n">
        <x:v>5</x:v>
      </x:c>
      <x:c r="H75" s="22" t="n">
        <x:v>1246.975</x:v>
      </x:c>
      <x:c r="I75" s="22" t="n">
        <x:v>231.96281436953814</x:v>
      </x:c>
      <x:c r="J75" s="22" t="n">
        <x:v>2336.16</x:v>
      </x:c>
      <x:c r="K75" s="22" t="n">
        <x:v>2336.16</x:v>
      </x:c>
      <x:c r="L75" s="22" t="str">
        <x:v>可承受</x:v>
      </x:c>
    </x:row>
    <x:row r="76" ht="24" customHeight="1">
      <x:c r="A76" s="22" t="str">
        <x:v>EL-MON-LIM-GRAVE-004</x:v>
      </x:c>
      <x:c r="B76" s="22" t="str">
        <x:v>石肤守墓人</x:v>
      </x:c>
      <x:c r="C76" s="22" t="str">
        <x:v>XX346</x:v>
      </x:c>
      <x:c r="D76" s="22" t="str">
        <x:v>P0027</x:v>
      </x:c>
      <x:c r="E76" s="22" t="str">
        <x:v>普通</x:v>
      </x:c>
      <x:c r="F76" s="22" t="n">
        <x:v>4.6949592711274715</x:v>
      </x:c>
      <x:c r="G76" s="22" t="n">
        <x:v>5</x:v>
      </x:c>
      <x:c r="H76" s="22" t="n">
        <x:v>1401.975</x:v>
      </x:c>
      <x:c r="I76" s="22" t="n">
        <x:v>231.96281436953814</x:v>
      </x:c>
      <x:c r="J76" s="22" t="n">
        <x:v>2584.16</x:v>
      </x:c>
      <x:c r="K76" s="22" t="n">
        <x:v>2584.16</x:v>
      </x:c>
      <x:c r="L76" s="22" t="str">
        <x:v>可承受</x:v>
      </x:c>
    </x:row>
    <x:row r="77" ht="24" customHeight="1">
      <x:c r="A77" s="22" t="str">
        <x:v>EL-MON-LIM-GRAVE-004</x:v>
      </x:c>
      <x:c r="B77" s="22" t="str">
        <x:v>石肤守墓人</x:v>
      </x:c>
      <x:c r="C77" s="22" t="str">
        <x:v>XX347</x:v>
      </x:c>
      <x:c r="D77" s="22" t="str">
        <x:v>P0027</x:v>
      </x:c>
      <x:c r="E77" s="22" t="str">
        <x:v>普通</x:v>
      </x:c>
      <x:c r="F77" s="22" t="n">
        <x:v>4.6949592711274715</x:v>
      </x:c>
      <x:c r="G77" s="22" t="n">
        <x:v>5</x:v>
      </x:c>
      <x:c r="H77" s="22" t="n">
        <x:v>1401.975</x:v>
      </x:c>
      <x:c r="I77" s="22" t="n">
        <x:v>231.96281436953814</x:v>
      </x:c>
      <x:c r="J77" s="22" t="n">
        <x:v>2584.16</x:v>
      </x:c>
      <x:c r="K77" s="22" t="n">
        <x:v>2584.16</x:v>
      </x:c>
      <x:c r="L77" s="22" t="str">
        <x:v>可承受</x:v>
      </x:c>
    </x:row>
    <x:row r="78" ht="24" customHeight="1">
      <x:c r="A78" s="22" t="str">
        <x:v>EL-MON-LIM-GRAVE-005</x:v>
      </x:c>
      <x:c r="B78" s="22" t="str">
        <x:v>失乡弩尸</x:v>
      </x:c>
      <x:c r="C78" s="22" t="str">
        <x:v>XX347</x:v>
      </x:c>
      <x:c r="D78" s="22" t="str">
        <x:v>P0027</x:v>
      </x:c>
      <x:c r="E78" s="22" t="str">
        <x:v>普通</x:v>
      </x:c>
      <x:c r="F78" s="22" t="n">
        <x:v>5.0705560128176685</x:v>
      </x:c>
      <x:c r="G78" s="22" t="n">
        <x:v>5</x:v>
      </x:c>
      <x:c r="H78" s="22" t="n">
        <x:v>1382.6</x:v>
      </x:c>
      <x:c r="I78" s="22" t="n">
        <x:v>231.96281436953814</x:v>
      </x:c>
      <x:c r="J78" s="22" t="n">
        <x:v>2584.16</x:v>
      </x:c>
      <x:c r="K78" s="22" t="n">
        <x:v>2584.16</x:v>
      </x:c>
      <x:c r="L78" s="22" t="str">
        <x:v>可承受</x:v>
      </x:c>
    </x:row>
    <x:row r="79" ht="24" customHeight="1">
      <x:c r="A79" s="22" t="str">
        <x:v>EL-MON-LIM-GRAVE-005</x:v>
      </x:c>
      <x:c r="B79" s="22" t="str">
        <x:v>失乡弩尸</x:v>
      </x:c>
      <x:c r="C79" s="22" t="str">
        <x:v>XX348</x:v>
      </x:c>
      <x:c r="D79" s="22" t="str">
        <x:v>P0027</x:v>
      </x:c>
      <x:c r="E79" s="22" t="str">
        <x:v>普通</x:v>
      </x:c>
      <x:c r="F79" s="22" t="n">
        <x:v>5.0705560128176685</x:v>
      </x:c>
      <x:c r="G79" s="22" t="n">
        <x:v>5</x:v>
      </x:c>
      <x:c r="H79" s="22" t="n">
        <x:v>1382.6</x:v>
      </x:c>
      <x:c r="I79" s="22" t="n">
        <x:v>231.96281436953814</x:v>
      </x:c>
      <x:c r="J79" s="22" t="n">
        <x:v>2584.16</x:v>
      </x:c>
      <x:c r="K79" s="22" t="n">
        <x:v>2584.16</x:v>
      </x:c>
      <x:c r="L79" s="22" t="str">
        <x:v>可承受</x:v>
      </x:c>
    </x:row>
    <x:row r="80" ht="24" customHeight="1">
      <x:c r="A80" s="22" t="str">
        <x:v>EL-MON-LIM-GRAVE-006</x:v>
      </x:c>
      <x:c r="B80" s="22" t="str">
        <x:v>幽火墓蛾</x:v>
      </x:c>
      <x:c r="C80" s="22" t="str">
        <x:v>XX347</x:v>
      </x:c>
      <x:c r="D80" s="22" t="str">
        <x:v>P0027</x:v>
      </x:c>
      <x:c r="E80" s="22" t="str">
        <x:v>普通</x:v>
      </x:c>
      <x:c r="F80" s="22" t="n">
        <x:v>4.6949592711274715</x:v>
      </x:c>
      <x:c r="G80" s="22" t="n">
        <x:v>5</x:v>
      </x:c>
      <x:c r="H80" s="22" t="n">
        <x:v>1401.975</x:v>
      </x:c>
      <x:c r="I80" s="22" t="n">
        <x:v>231.96281436953814</x:v>
      </x:c>
      <x:c r="J80" s="22" t="n">
        <x:v>2584.16</x:v>
      </x:c>
      <x:c r="K80" s="22" t="n">
        <x:v>2584.16</x:v>
      </x:c>
      <x:c r="L80" s="22" t="str">
        <x:v>可承受</x:v>
      </x:c>
    </x:row>
    <x:row r="81" ht="24" customHeight="1">
      <x:c r="A81" s="22" t="str">
        <x:v>EL-MON-LIM-GRAVE-006</x:v>
      </x:c>
      <x:c r="B81" s="22" t="str">
        <x:v>幽火墓蛾</x:v>
      </x:c>
      <x:c r="C81" s="22" t="str">
        <x:v>XX348</x:v>
      </x:c>
      <x:c r="D81" s="22" t="str">
        <x:v>P0027</x:v>
      </x:c>
      <x:c r="E81" s="22" t="str">
        <x:v>普通</x:v>
      </x:c>
      <x:c r="F81" s="22" t="n">
        <x:v>4.6949592711274715</x:v>
      </x:c>
      <x:c r="G81" s="22" t="n">
        <x:v>5</x:v>
      </x:c>
      <x:c r="H81" s="22" t="n">
        <x:v>1401.975</x:v>
      </x:c>
      <x:c r="I81" s="22" t="n">
        <x:v>231.96281436953814</x:v>
      </x:c>
      <x:c r="J81" s="22" t="n">
        <x:v>2584.16</x:v>
      </x:c>
      <x:c r="K81" s="22" t="n">
        <x:v>2584.16</x:v>
      </x:c>
      <x:c r="L81" s="22" t="str">
        <x:v>可承受</x:v>
      </x:c>
    </x:row>
    <x:row r="82" ht="24" customHeight="1">
      <x:c r="A82" s="22" t="str">
        <x:v>EL-MON-LIM-GRAVE-007</x:v>
      </x:c>
      <x:c r="B82" s="22" t="str">
        <x:v>归树看门犬</x:v>
      </x:c>
      <x:c r="C82" s="22" t="str">
        <x:v>XX346</x:v>
      </x:c>
      <x:c r="D82" s="22" t="str">
        <x:v>P0027</x:v>
      </x:c>
      <x:c r="E82" s="22" t="str">
        <x:v>稀有</x:v>
      </x:c>
      <x:c r="F82" s="22" t="n">
        <x:v>17.459641498489063</x:v>
      </x:c>
      <x:c r="G82" s="22" t="n">
        <x:v>5</x:v>
      </x:c>
      <x:c r="H82" s="22" t="n">
        <x:v>1684.2117647058824</x:v>
      </x:c>
      <x:c r="I82" s="22" t="n">
        <x:v>231.96281436953814</x:v>
      </x:c>
      <x:c r="J82" s="22" t="n">
        <x:v>3328.16</x:v>
      </x:c>
      <x:c r="K82" s="22" t="n">
        <x:v>3328.16</x:v>
      </x:c>
      <x:c r="L82" s="22" t="str">
        <x:v>可承受</x:v>
      </x:c>
    </x:row>
    <x:row r="83" ht="24" customHeight="1">
      <x:c r="A83" s="22" t="str">
        <x:v>EL-MON-LIM-GRAVE-007</x:v>
      </x:c>
      <x:c r="B83" s="22" t="str">
        <x:v>归树看门犬</x:v>
      </x:c>
      <x:c r="C83" s="22" t="str">
        <x:v>XX347</x:v>
      </x:c>
      <x:c r="D83" s="22" t="str">
        <x:v>P0027</x:v>
      </x:c>
      <x:c r="E83" s="22" t="str">
        <x:v>稀有</x:v>
      </x:c>
      <x:c r="F83" s="22" t="n">
        <x:v>17.459641498489063</x:v>
      </x:c>
      <x:c r="G83" s="22" t="n">
        <x:v>5</x:v>
      </x:c>
      <x:c r="H83" s="22" t="n">
        <x:v>1684.2117647058824</x:v>
      </x:c>
      <x:c r="I83" s="22" t="n">
        <x:v>231.96281436953814</x:v>
      </x:c>
      <x:c r="J83" s="22" t="n">
        <x:v>3328.16</x:v>
      </x:c>
      <x:c r="K83" s="22" t="n">
        <x:v>3328.16</x:v>
      </x:c>
      <x:c r="L83" s="22" t="str">
        <x:v>可承受</x:v>
      </x:c>
    </x:row>
    <x:row r="84" ht="24" customHeight="1">
      <x:c r="A84" s="22" t="str">
        <x:v>EL-MON-LIM-GRAVE-008</x:v>
      </x:c>
      <x:c r="B84" s="22" t="str">
        <x:v>腐败树根兽</x:v>
      </x:c>
      <x:c r="C84" s="22" t="str">
        <x:v>XX347</x:v>
      </x:c>
      <x:c r="D84" s="22" t="str">
        <x:v>P0027</x:v>
      </x:c>
      <x:c r="E84" s="22" t="str">
        <x:v>稀有</x:v>
      </x:c>
      <x:c r="F84" s="22" t="n">
        <x:v>15.051415084904365</x:v>
      </x:c>
      <x:c r="G84" s="22" t="n">
        <x:v>5</x:v>
      </x:c>
      <x:c r="H84" s="22" t="n">
        <x:v>1921.270588235294</x:v>
      </x:c>
      <x:c r="I84" s="22" t="n">
        <x:v>231.96281436953814</x:v>
      </x:c>
      <x:c r="J84" s="22" t="n">
        <x:v>3762.16</x:v>
      </x:c>
      <x:c r="K84" s="22" t="n">
        <x:v>3762.16</x:v>
      </x:c>
      <x:c r="L84" s="22" t="str">
        <x:v>可承受</x:v>
      </x:c>
    </x:row>
    <x:row r="85" ht="24" customHeight="1">
      <x:c r="A85" s="22" t="str">
        <x:v>EL-MON-LIM-GRAVE-009</x:v>
      </x:c>
      <x:c r="B85" s="22" t="str">
        <x:v>失乡熔炉骑士</x:v>
      </x:c>
      <x:c r="C85" s="22" t="str">
        <x:v>XX347</x:v>
      </x:c>
      <x:c r="D85" s="22" t="str">
        <x:v>P0027</x:v>
      </x:c>
      <x:c r="E85" s="22" t="str">
        <x:v>稀有</x:v>
      </x:c>
      <x:c r="F85" s="22" t="n">
        <x:v>13.646616343646626</x:v>
      </x:c>
      <x:c r="G85" s="22" t="n">
        <x:v>5</x:v>
      </x:c>
      <x:c r="H85" s="22" t="n">
        <x:v>2103.6235294117646</x:v>
      </x:c>
      <x:c r="I85" s="22" t="n">
        <x:v>231.96281436953814</x:v>
      </x:c>
      <x:c r="J85" s="22" t="n">
        <x:v>4134.16</x:v>
      </x:c>
      <x:c r="K85" s="22" t="n">
        <x:v>4134.16</x:v>
      </x:c>
      <x:c r="L85" s="22" t="str">
        <x:v>可承受</x:v>
      </x:c>
    </x:row>
    <x:row r="86" ht="24" customHeight="1">
      <x:c r="A86" s="22" t="str">
        <x:v>EL-MON-LIM-GRAVE-009</x:v>
      </x:c>
      <x:c r="B86" s="22" t="str">
        <x:v>失乡熔炉骑士</x:v>
      </x:c>
      <x:c r="C86" s="22" t="str">
        <x:v>XX348</x:v>
      </x:c>
      <x:c r="D86" s="22" t="str">
        <x:v>P0027</x:v>
      </x:c>
      <x:c r="E86" s="22" t="str">
        <x:v>稀有</x:v>
      </x:c>
      <x:c r="F86" s="22" t="n">
        <x:v>13.646616343646626</x:v>
      </x:c>
      <x:c r="G86" s="22" t="n">
        <x:v>5</x:v>
      </x:c>
      <x:c r="H86" s="22" t="n">
        <x:v>2103.6235294117646</x:v>
      </x:c>
      <x:c r="I86" s="22" t="n">
        <x:v>231.96281436953814</x:v>
      </x:c>
      <x:c r="J86" s="22" t="n">
        <x:v>4134.16</x:v>
      </x:c>
      <x:c r="K86" s="22" t="n">
        <x:v>4134.16</x:v>
      </x:c>
      <x:c r="L86" s="22" t="str">
        <x:v>可承受</x:v>
      </x:c>
    </x:row>
    <x:row r="87" ht="24" customHeight="1">
      <x:c r="A87" s="22" t="str">
        <x:v>EL-MON-LIM-GRAVE-010</x:v>
      </x:c>
      <x:c r="B87" s="22" t="str">
        <x:v>英雄墓影</x:v>
      </x:c>
      <x:c r="C87" s="22" t="str">
        <x:v>XX348</x:v>
      </x:c>
      <x:c r="D87" s="22" t="str">
        <x:v>P0027</x:v>
      </x:c>
      <x:c r="E87" s="22" t="str">
        <x:v>稀有</x:v>
      </x:c>
      <x:c r="F87" s="22" t="n">
        <x:v>17.459641498489063</x:v>
      </x:c>
      <x:c r="G87" s="22" t="n">
        <x:v>5</x:v>
      </x:c>
      <x:c r="H87" s="22" t="n">
        <x:v>1684.2117647058824</x:v>
      </x:c>
      <x:c r="I87" s="22" t="n">
        <x:v>231.96281436953814</x:v>
      </x:c>
      <x:c r="J87" s="22" t="n">
        <x:v>3328.16</x:v>
      </x:c>
      <x:c r="K87" s="22" t="n">
        <x:v>3328.16</x:v>
      </x:c>
      <x:c r="L87" s="22" t="str">
        <x:v>可承受</x:v>
      </x:c>
    </x:row>
    <x:row r="88" ht="24" customHeight="1">
      <x:c r="A88" s="22" t="str">
        <x:v>EL-MON-LIM-GRAVE-011</x:v>
      </x:c>
      <x:c r="B88" s="22" t="str">
        <x:v>溃烂树灵·乌尔德</x:v>
      </x:c>
      <x:c r="C88" s="22" t="str">
        <x:v>XX348</x:v>
      </x:c>
      <x:c r="D88" s="22" t="str">
        <x:v>P0029</x:v>
      </x:c>
      <x:c r="E88" s="22" t="str">
        <x:v>地图BOSS</x:v>
      </x:c>
      <x:c r="F88" s="22" t="n">
        <x:v>79.77293297017852</x:v>
      </x:c>
      <x:c r="G88" s="22" t="n">
        <x:v>35</x:v>
      </x:c>
      <x:c r="H88" s="22" t="n">
        <x:v>3465.6222222222227</x:v>
      </x:c>
      <x:c r="I88" s="22" t="n">
        <x:v>2497.3017185995714</x:v>
      </x:c>
      <x:c r="J88" s="22" t="n">
        <x:v>7134.120000000001</x:v>
      </x:c>
      <x:c r="K88" s="22" t="n">
        <x:v>7134.120000000001</x:v>
      </x:c>
      <x:c r="L88" s="22" t="str">
        <x:v>可承受</x:v>
      </x:c>
    </x:row>
    <x:row r="89" ht="24" customHeight="1">
      <x:c r="A89" s="22" t="str">
        <x:v>EL-MON-LIM-GRAVE-012</x:v>
      </x:c>
      <x:c r="B89" s="22" t="str">
        <x:v>接肢贵胄·格雷姆</x:v>
      </x:c>
      <x:c r="C89" s="22" t="str">
        <x:v>XX348</x:v>
      </x:c>
      <x:c r="D89" s="22" t="str">
        <x:v>P0030</x:v>
      </x:c>
      <x:c r="E89" s="22" t="str">
        <x:v>地图BOSS</x:v>
      </x:c>
      <x:c r="F89" s="22" t="n">
        <x:v>87.0250177856493</x:v>
      </x:c>
      <x:c r="G89" s="22" t="n">
        <x:v>35</x:v>
      </x:c>
      <x:c r="H89" s="22" t="n">
        <x:v>3403.4000000000005</x:v>
      </x:c>
      <x:c r="I89" s="22" t="n">
        <x:v>2497.3017185995714</x:v>
      </x:c>
      <x:c r="J89" s="22" t="n">
        <x:v>7134.120000000001</x:v>
      </x:c>
      <x:c r="K89" s="22" t="n">
        <x:v>7134.120000000001</x:v>
      </x:c>
      <x:c r="L89" s="22" t="str">
        <x:v>可承受</x:v>
      </x:c>
    </x:row>
    <x:row r="90" ht="24" customHeight="1">
      <x:c r="A90" s="22" t="str">
        <x:v>EL-MON-LIM-GATE-001</x:v>
      </x:c>
      <x:c r="B90" s="22" t="str">
        <x:v>葛瑞克步兵</x:v>
      </x:c>
      <x:c r="C90" s="22" t="str">
        <x:v>XX125</x:v>
      </x:c>
      <x:c r="D90" s="22" t="str">
        <x:v>P0028</x:v>
      </x:c>
      <x:c r="E90" s="22" t="str">
        <x:v>普通</x:v>
      </x:c>
      <x:c r="F90" s="22" t="n">
        <x:v>4.6039879175993725</x:v>
      </x:c>
      <x:c r="G90" s="22" t="n">
        <x:v>-50</x:v>
      </x:c>
      <x:c r="H90" s="22" t="n">
        <x:v>2204.9602508244793</x:v>
      </x:c>
      <x:c r="I90" s="22" t="n">
        <x:v>1684.8043509272484</x:v>
      </x:c>
      <x:c r="J90" s="22" t="n">
        <x:v>363.72</x:v>
      </x:c>
      <x:c r="K90" s="22" t="n">
        <x:v>4364.64</x:v>
      </x:c>
      <x:c r="L90" s="22" t="str">
        <x:v>可承受</x:v>
      </x:c>
    </x:row>
    <x:row r="91" ht="24" customHeight="1">
      <x:c r="A91" s="22" t="str">
        <x:v>EL-MON-LIM-GATE-002</x:v>
      </x:c>
      <x:c r="B91" s="22" t="str">
        <x:v>关卡长枪兵</x:v>
      </x:c>
      <x:c r="C91" s="22" t="str">
        <x:v>XX125</x:v>
      </x:c>
      <x:c r="D91" s="22" t="str">
        <x:v>P0028</x:v>
      </x:c>
      <x:c r="E91" s="22" t="str">
        <x:v>普通</x:v>
      </x:c>
      <x:c r="F91" s="22" t="n">
        <x:v>5.028971417685469</x:v>
      </x:c>
      <x:c r="G91" s="22" t="n">
        <x:v>-50</x:v>
      </x:c>
      <x:c r="H91" s="22" t="n">
        <x:v>2204.9602508244793</x:v>
      </x:c>
      <x:c r="I91" s="22" t="n">
        <x:v>1684.8043509272484</x:v>
      </x:c>
      <x:c r="J91" s="22" t="n">
        <x:v>363.72</x:v>
      </x:c>
      <x:c r="K91" s="22" t="n">
        <x:v>4364.64</x:v>
      </x:c>
      <x:c r="L91" s="22" t="str">
        <x:v>可承受</x:v>
      </x:c>
    </x:row>
    <x:row r="92" ht="24" customHeight="1">
      <x:c r="A92" s="22" t="str">
        <x:v>EL-MON-LIM-GATE-003</x:v>
      </x:c>
      <x:c r="B92" s="22" t="str">
        <x:v>废墟弩手</x:v>
      </x:c>
      <x:c r="C92" s="22" t="str">
        <x:v>XX125</x:v>
      </x:c>
      <x:c r="D92" s="22" t="str">
        <x:v>P0028</x:v>
      </x:c>
      <x:c r="E92" s="22" t="str">
        <x:v>普通</x:v>
      </x:c>
      <x:c r="F92" s="22" t="n">
        <x:v>5.312293751076199</x:v>
      </x:c>
      <x:c r="G92" s="22" t="n">
        <x:v>-50</x:v>
      </x:c>
      <x:c r="H92" s="22" t="n">
        <x:v>2100.854478830878</x:v>
      </x:c>
      <x:c r="I92" s="22" t="n">
        <x:v>1684.8043509272484</x:v>
      </x:c>
      <x:c r="J92" s="22" t="n">
        <x:v>346.92</x:v>
      </x:c>
      <x:c r="K92" s="22" t="n">
        <x:v>4163.04</x:v>
      </x:c>
      <x:c r="L92" s="22" t="str">
        <x:v>可承受</x:v>
      </x:c>
    </x:row>
    <x:row r="93" ht="24" customHeight="1">
      <x:c r="A93" s="22" t="str">
        <x:v>EL-MON-LIM-GATE-003</x:v>
      </x:c>
      <x:c r="B93" s="22" t="str">
        <x:v>废墟弩手</x:v>
      </x:c>
      <x:c r="C93" s="22" t="str">
        <x:v>XX126</x:v>
      </x:c>
      <x:c r="D93" s="22" t="str">
        <x:v>P0028</x:v>
      </x:c>
      <x:c r="E93" s="22" t="str">
        <x:v>普通</x:v>
      </x:c>
      <x:c r="F93" s="22" t="n">
        <x:v>5.312293751076199</x:v>
      </x:c>
      <x:c r="G93" s="22" t="n">
        <x:v>-50</x:v>
      </x:c>
      <x:c r="H93" s="22" t="n">
        <x:v>2100.854478830878</x:v>
      </x:c>
      <x:c r="I93" s="22" t="n">
        <x:v>1684.8043509272484</x:v>
      </x:c>
      <x:c r="J93" s="22" t="n">
        <x:v>346.92</x:v>
      </x:c>
      <x:c r="K93" s="22" t="n">
        <x:v>4163.04</x:v>
      </x:c>
      <x:c r="L93" s="22" t="str">
        <x:v>可承受</x:v>
      </x:c>
    </x:row>
    <x:row r="94" ht="24" customHeight="1">
      <x:c r="A94" s="22" t="str">
        <x:v>EL-MON-LIM-GATE-004</x:v>
      </x:c>
      <x:c r="B94" s="22" t="str">
        <x:v>风暴战狼</x:v>
      </x:c>
      <x:c r="C94" s="22" t="str">
        <x:v>XX125</x:v>
      </x:c>
      <x:c r="D94" s="22" t="str">
        <x:v>P0028</x:v>
      </x:c>
      <x:c r="E94" s="22" t="str">
        <x:v>普通</x:v>
      </x:c>
      <x:c r="F94" s="22" t="n">
        <x:v>4.391496167556324</x:v>
      </x:c>
      <x:c r="G94" s="22" t="n">
        <x:v>-50</x:v>
      </x:c>
      <x:c r="H94" s="22" t="n">
        <x:v>2204.9602508244793</x:v>
      </x:c>
      <x:c r="I94" s="22" t="n">
        <x:v>1684.8043509272484</x:v>
      </x:c>
      <x:c r="J94" s="22" t="n">
        <x:v>363.72</x:v>
      </x:c>
      <x:c r="K94" s="22" t="n">
        <x:v>4364.64</x:v>
      </x:c>
      <x:c r="L94" s="22" t="str">
        <x:v>可承受</x:v>
      </x:c>
    </x:row>
    <x:row r="95" ht="24" customHeight="1">
      <x:c r="A95" s="22" t="str">
        <x:v>EL-MON-LIM-GATE-004</x:v>
      </x:c>
      <x:c r="B95" s="22" t="str">
        <x:v>风暴战狼</x:v>
      </x:c>
      <x:c r="C95" s="22" t="str">
        <x:v>XX126</x:v>
      </x:c>
      <x:c r="D95" s="22" t="str">
        <x:v>P0028</x:v>
      </x:c>
      <x:c r="E95" s="22" t="str">
        <x:v>普通</x:v>
      </x:c>
      <x:c r="F95" s="22" t="n">
        <x:v>4.391496167556324</x:v>
      </x:c>
      <x:c r="G95" s="22" t="n">
        <x:v>-50</x:v>
      </x:c>
      <x:c r="H95" s="22" t="n">
        <x:v>2204.9602508244793</x:v>
      </x:c>
      <x:c r="I95" s="22" t="n">
        <x:v>1684.8043509272484</x:v>
      </x:c>
      <x:c r="J95" s="22" t="n">
        <x:v>363.72</x:v>
      </x:c>
      <x:c r="K95" s="22" t="n">
        <x:v>4364.64</x:v>
      </x:c>
      <x:c r="L95" s="22" t="str">
        <x:v>可承受</x:v>
      </x:c>
    </x:row>
    <x:row r="96" ht="24" customHeight="1">
      <x:c r="A96" s="22" t="str">
        <x:v>EL-MON-LIM-GATE-005</x:v>
      </x:c>
      <x:c r="B96" s="22" t="str">
        <x:v>流放军士</x:v>
      </x:c>
      <x:c r="C96" s="22" t="str">
        <x:v>XX126</x:v>
      </x:c>
      <x:c r="D96" s="22" t="str">
        <x:v>P0028</x:v>
      </x:c>
      <x:c r="E96" s="22" t="str">
        <x:v>普通</x:v>
      </x:c>
      <x:c r="F96" s="22" t="n">
        <x:v>4.108173834165594</x:v>
      </x:c>
      <x:c r="G96" s="22" t="n">
        <x:v>-50</x:v>
      </x:c>
      <x:c r="H96" s="22" t="n">
        <x:v>2204.9602508244793</x:v>
      </x:c>
      <x:c r="I96" s="22" t="n">
        <x:v>1684.8043509272484</x:v>
      </x:c>
      <x:c r="J96" s="22" t="n">
        <x:v>363.72</x:v>
      </x:c>
      <x:c r="K96" s="22" t="n">
        <x:v>4364.64</x:v>
      </x:c>
      <x:c r="L96" s="22" t="str">
        <x:v>可承受</x:v>
      </x:c>
    </x:row>
    <x:row r="97" ht="24" customHeight="1">
      <x:c r="A97" s="22" t="str">
        <x:v>EL-MON-LIM-GATE-005</x:v>
      </x:c>
      <x:c r="B97" s="22" t="str">
        <x:v>流放军士</x:v>
      </x:c>
      <x:c r="C97" s="22" t="str">
        <x:v>XX115</x:v>
      </x:c>
      <x:c r="D97" s="22" t="str">
        <x:v>P0028</x:v>
      </x:c>
      <x:c r="E97" s="22" t="str">
        <x:v>普通</x:v>
      </x:c>
      <x:c r="F97" s="22" t="n">
        <x:v>4.108173834165594</x:v>
      </x:c>
      <x:c r="G97" s="22" t="n">
        <x:v>-50</x:v>
      </x:c>
      <x:c r="H97" s="22" t="n">
        <x:v>2204.9602508244793</x:v>
      </x:c>
      <x:c r="I97" s="22" t="n">
        <x:v>1684.8043509272484</x:v>
      </x:c>
      <x:c r="J97" s="22" t="n">
        <x:v>363.72</x:v>
      </x:c>
      <x:c r="K97" s="22" t="n">
        <x:v>4364.64</x:v>
      </x:c>
      <x:c r="L97" s="22" t="str">
        <x:v>可承受</x:v>
      </x:c>
    </x:row>
    <x:row r="98" ht="24" customHeight="1">
      <x:c r="A98" s="22" t="str">
        <x:v>EL-MON-LIM-GATE-006</x:v>
      </x:c>
      <x:c r="B98" s="22" t="str">
        <x:v>断旗骑兵</x:v>
      </x:c>
      <x:c r="C98" s="22" t="str">
        <x:v>XX126</x:v>
      </x:c>
      <x:c r="D98" s="22" t="str">
        <x:v>P0028</x:v>
      </x:c>
      <x:c r="E98" s="22" t="str">
        <x:v>普通</x:v>
      </x:c>
      <x:c r="F98" s="22" t="n">
        <x:v>4.391496167556324</x:v>
      </x:c>
      <x:c r="G98" s="22" t="n">
        <x:v>-50</x:v>
      </x:c>
      <x:c r="H98" s="22" t="n">
        <x:v>2204.9602508244793</x:v>
      </x:c>
      <x:c r="I98" s="22" t="n">
        <x:v>1684.8043509272484</x:v>
      </x:c>
      <x:c r="J98" s="22" t="n">
        <x:v>363.72</x:v>
      </x:c>
      <x:c r="K98" s="22" t="n">
        <x:v>4364.64</x:v>
      </x:c>
      <x:c r="L98" s="22" t="str">
        <x:v>可承受</x:v>
      </x:c>
    </x:row>
    <x:row r="99" ht="24" customHeight="1">
      <x:c r="A99" s="22" t="str">
        <x:v>EL-MON-LIM-GATE-006</x:v>
      </x:c>
      <x:c r="B99" s="22" t="str">
        <x:v>断旗骑兵</x:v>
      </x:c>
      <x:c r="C99" s="22" t="str">
        <x:v>XX115</x:v>
      </x:c>
      <x:c r="D99" s="22" t="str">
        <x:v>P0028</x:v>
      </x:c>
      <x:c r="E99" s="22" t="str">
        <x:v>普通</x:v>
      </x:c>
      <x:c r="F99" s="22" t="n">
        <x:v>4.391496167556324</x:v>
      </x:c>
      <x:c r="G99" s="22" t="n">
        <x:v>-50</x:v>
      </x:c>
      <x:c r="H99" s="22" t="n">
        <x:v>2204.9602508244793</x:v>
      </x:c>
      <x:c r="I99" s="22" t="n">
        <x:v>1684.8043509272484</x:v>
      </x:c>
      <x:c r="J99" s="22" t="n">
        <x:v>363.72</x:v>
      </x:c>
      <x:c r="K99" s="22" t="n">
        <x:v>4364.64</x:v>
      </x:c>
      <x:c r="L99" s="22" t="str">
        <x:v>可承受</x:v>
      </x:c>
    </x:row>
    <x:row r="100" ht="24" customHeight="1">
      <x:c r="A100" s="22" t="str">
        <x:v>EL-MON-LIM-GATE-007</x:v>
      </x:c>
      <x:c r="B100" s="22" t="str">
        <x:v>黄金重骑</x:v>
      </x:c>
      <x:c r="C100" s="22" t="str">
        <x:v>XX125</x:v>
      </x:c>
      <x:c r="D100" s="22" t="str">
        <x:v>P0028</x:v>
      </x:c>
      <x:c r="E100" s="22" t="str">
        <x:v>稀有</x:v>
      </x:c>
      <x:c r="F100" s="22" t="n">
        <x:v>12.102216079205983</x:v>
      </x:c>
      <x:c r="G100" s="22" t="n">
        <x:v>-50</x:v>
      </x:c>
      <x:c r="H100" s="22" t="n">
        <x:v>4063.000447371208</x:v>
      </x:c>
      <x:c r="I100" s="22" t="n">
        <x:v>1684.8043509272484</x:v>
      </x:c>
      <x:c r="J100" s="22" t="n">
        <x:v>694.1200000000001</x:v>
      </x:c>
      <x:c r="K100" s="22" t="n">
        <x:v>8329.440000000002</x:v>
      </x:c>
      <x:c r="L100" s="22" t="str">
        <x:v>可承受</x:v>
      </x:c>
    </x:row>
    <x:row r="101" ht="24" customHeight="1">
      <x:c r="A101" s="22" t="str">
        <x:v>EL-MON-LIM-GATE-007</x:v>
      </x:c>
      <x:c r="B101" s="22" t="str">
        <x:v>黄金重骑</x:v>
      </x:c>
      <x:c r="C101" s="22" t="str">
        <x:v>XX126</x:v>
      </x:c>
      <x:c r="D101" s="22" t="str">
        <x:v>P0028</x:v>
      </x:c>
      <x:c r="E101" s="22" t="str">
        <x:v>稀有</x:v>
      </x:c>
      <x:c r="F101" s="22" t="n">
        <x:v>12.102216079205983</x:v>
      </x:c>
      <x:c r="G101" s="22" t="n">
        <x:v>-50</x:v>
      </x:c>
      <x:c r="H101" s="22" t="n">
        <x:v>4063.000447371208</x:v>
      </x:c>
      <x:c r="I101" s="22" t="n">
        <x:v>1684.8043509272484</x:v>
      </x:c>
      <x:c r="J101" s="22" t="n">
        <x:v>694.1200000000001</x:v>
      </x:c>
      <x:c r="K101" s="22" t="n">
        <x:v>8329.440000000002</x:v>
      </x:c>
      <x:c r="L101" s="22" t="str">
        <x:v>可承受</x:v>
      </x:c>
    </x:row>
    <x:row r="102" ht="24" customHeight="1">
      <x:c r="A102" s="22" t="str">
        <x:v>EL-MON-LIM-GATE-008</x:v>
      </x:c>
      <x:c r="B102" s="22" t="str">
        <x:v>失乡骑士</x:v>
      </x:c>
      <x:c r="C102" s="22" t="str">
        <x:v>XX126</x:v>
      </x:c>
      <x:c r="D102" s="22" t="str">
        <x:v>P0028</x:v>
      </x:c>
      <x:c r="E102" s="22" t="str">
        <x:v>稀有</x:v>
      </x:c>
      <x:c r="F102" s="22" t="n">
        <x:v>12.858604584156357</x:v>
      </x:c>
      <x:c r="G102" s="22" t="n">
        <x:v>-50</x:v>
      </x:c>
      <x:c r="H102" s="22" t="n">
        <x:v>4063.000447371208</x:v>
      </x:c>
      <x:c r="I102" s="22" t="n">
        <x:v>1684.8043509272484</x:v>
      </x:c>
      <x:c r="J102" s="22" t="n">
        <x:v>694.1200000000001</x:v>
      </x:c>
      <x:c r="K102" s="22" t="n">
        <x:v>8329.440000000002</x:v>
      </x:c>
      <x:c r="L102" s="22" t="str">
        <x:v>可承受</x:v>
      </x:c>
    </x:row>
    <x:row r="103" ht="24" customHeight="1">
      <x:c r="A103" s="22" t="str">
        <x:v>EL-MON-LIM-GATE-009</x:v>
      </x:c>
      <x:c r="B103" s="22" t="str">
        <x:v>军营兽爪官</x:v>
      </x:c>
      <x:c r="C103" s="22" t="str">
        <x:v>XX126</x:v>
      </x:c>
      <x:c r="D103" s="22" t="str">
        <x:v>P0028</x:v>
      </x:c>
      <x:c r="E103" s="22" t="str">
        <x:v>稀有</x:v>
      </x:c>
      <x:c r="F103" s="22" t="n">
        <x:v>13.614993089106731</x:v>
      </x:c>
      <x:c r="G103" s="22" t="n">
        <x:v>-50</x:v>
      </x:c>
      <x:c r="H103" s="22" t="n">
        <x:v>3672.1394134730635</x:v>
      </x:c>
      <x:c r="I103" s="22" t="n">
        <x:v>1684.8043509272484</x:v>
      </x:c>
      <x:c r="J103" s="22" t="n">
        <x:v>638.12</x:v>
      </x:c>
      <x:c r="K103" s="22" t="n">
        <x:v>7657.4400000000005</x:v>
      </x:c>
      <x:c r="L103" s="22" t="str">
        <x:v>可承受</x:v>
      </x:c>
    </x:row>
    <x:row r="104" ht="24" customHeight="1">
      <x:c r="A104" s="22" t="str">
        <x:v>EL-MON-LIM-GATE-009</x:v>
      </x:c>
      <x:c r="B104" s="22" t="str">
        <x:v>军营兽爪官</x:v>
      </x:c>
      <x:c r="C104" s="22" t="str">
        <x:v>XX115</x:v>
      </x:c>
      <x:c r="D104" s="22" t="str">
        <x:v>P0028</x:v>
      </x:c>
      <x:c r="E104" s="22" t="str">
        <x:v>稀有</x:v>
      </x:c>
      <x:c r="F104" s="22" t="n">
        <x:v>13.614993089106731</x:v>
      </x:c>
      <x:c r="G104" s="22" t="n">
        <x:v>-50</x:v>
      </x:c>
      <x:c r="H104" s="22" t="n">
        <x:v>3672.1394134730635</x:v>
      </x:c>
      <x:c r="I104" s="22" t="n">
        <x:v>1684.8043509272484</x:v>
      </x:c>
      <x:c r="J104" s="22" t="n">
        <x:v>638.12</x:v>
      </x:c>
      <x:c r="K104" s="22" t="n">
        <x:v>7657.4400000000005</x:v>
      </x:c>
      <x:c r="L104" s="22" t="str">
        <x:v>可承受</x:v>
      </x:c>
    </x:row>
    <x:row r="105" ht="24" customHeight="1">
      <x:c r="A105" s="22" t="str">
        <x:v>EL-MON-LIM-GATE-010</x:v>
      </x:c>
      <x:c r="B105" s="22" t="str">
        <x:v>关隘战车</x:v>
      </x:c>
      <x:c r="C105" s="22" t="str">
        <x:v>XX115</x:v>
      </x:c>
      <x:c r="D105" s="22" t="str">
        <x:v>P0028</x:v>
      </x:c>
      <x:c r="E105" s="22" t="str">
        <x:v>稀有</x:v>
      </x:c>
      <x:c r="F105" s="22" t="n">
        <x:v>15.884158603957852</x:v>
      </x:c>
      <x:c r="G105" s="22" t="n">
        <x:v>-50</x:v>
      </x:c>
      <x:c r="H105" s="22" t="n">
        <x:v>3378.993638049456</x:v>
      </x:c>
      <x:c r="I105" s="22" t="n">
        <x:v>1684.8043509272484</x:v>
      </x:c>
      <x:c r="J105" s="22" t="n">
        <x:v>582.12</x:v>
      </x:c>
      <x:c r="K105" s="22" t="n">
        <x:v>6985.4400000000005</x:v>
      </x:c>
      <x:c r="L105" s="22" t="str">
        <x:v>可承受</x:v>
      </x:c>
    </x:row>
    <x:row r="106" ht="24" customHeight="1">
      <x:c r="A106" s="22" t="str">
        <x:v>EL-MON-LIM-GATE-011</x:v>
      </x:c>
      <x:c r="B106" s="22" t="str">
        <x:v>大树守卫·罗兰</x:v>
      </x:c>
      <x:c r="C106" s="22" t="str">
        <x:v>XX115</x:v>
      </x:c>
      <x:c r="D106" s="22" t="str">
        <x:v>P0035</x:v>
      </x:c>
      <x:c r="E106" s="22" t="str">
        <x:v>地图BOSS</x:v>
      </x:c>
      <x:c r="F106" s="22" t="n">
        <x:v>86.23057470103618</x:v>
      </x:c>
      <x:c r="G106" s="22" t="n">
        <x:v>0</x:v>
      </x:c>
      <x:c r="H106" s="22" t="n">
        <x:v>4581.194444444445</x:v>
      </x:c>
      <x:c r="I106" s="22" t="n">
        <x:v>3611.9332795503233</x:v>
      </x:c>
      <x:c r="J106" s="22" t="n">
        <x:v>9696.150000000001</x:v>
      </x:c>
      <x:c r="K106" s="22" t="n">
        <x:v>9696.150000000001</x:v>
      </x:c>
      <x:c r="L106" s="22" t="str">
        <x:v>可承受</x:v>
      </x:c>
    </x:row>
    <x:row r="107" ht="24" customHeight="1">
      <x:c r="A107" s="22" t="str">
        <x:v>EL-MON-LIM-GATE-012</x:v>
      </x:c>
      <x:c r="B107" s="22" t="str">
        <x:v>黑夜骑兵·莫尔</x:v>
      </x:c>
      <x:c r="C107" s="22" t="str">
        <x:v>XX115</x:v>
      </x:c>
      <x:c r="D107" s="22" t="str">
        <x:v>P0036</x:v>
      </x:c>
      <x:c r="E107" s="22" t="str">
        <x:v>地图BOSS</x:v>
      </x:c>
      <x:c r="F107" s="22" t="n">
        <x:v>81.1581879539164</x:v>
      </x:c>
      <x:c r="G107" s="22" t="n">
        <x:v>0</x:v>
      </x:c>
      <x:c r="H107" s="22" t="n">
        <x:v>4742.305555555557</x:v>
      </x:c>
      <x:c r="I107" s="22" t="n">
        <x:v>3611.9332795503233</x:v>
      </x:c>
      <x:c r="J107" s="22" t="n">
        <x:v>9696.150000000001</x:v>
      </x:c>
      <x:c r="K107" s="22" t="n">
        <x:v>9696.150000000001</x:v>
      </x:c>
      <x:c r="L107" s="22" t="str">
        <x:v>可承受</x:v>
      </x:c>
    </x:row>
    <x:row r="108" ht="24" customHeight="1">
      <x:c r="A108" s="22" t="str">
        <x:v>EL-MON-LIM-MIST-001</x:v>
      </x:c>
      <x:c r="B108" s="22" t="str">
        <x:v>雾林野狼</x:v>
      </x:c>
      <x:c r="C108" s="22" t="str">
        <x:v>XX171</x:v>
      </x:c>
      <x:c r="D108" s="22" t="str">
        <x:v>P0034</x:v>
      </x:c>
      <x:c r="E108" s="22" t="str">
        <x:v>普通</x:v>
      </x:c>
      <x:c r="F108" s="22" t="n">
        <x:v>5.153383764930222</x:v>
      </x:c>
      <x:c r="G108" s="22" t="n">
        <x:v>-40</x:v>
      </x:c>
      <x:c r="H108" s="22" t="n">
        <x:v>2854.218775637503</x:v>
      </x:c>
      <x:c r="I108" s="22" t="n">
        <x:v>3396.8267132017813</x:v>
      </x:c>
      <x:c r="J108" s="22" t="n">
        <x:v>590.1500000000001</x:v>
      </x:c>
      <x:c r="K108" s="22" t="n">
        <x:v>5901.500000000001</x:v>
      </x:c>
      <x:c r="L108" s="22" t="str">
        <x:v>可承受</x:v>
      </x:c>
    </x:row>
    <x:row r="109" ht="24" customHeight="1">
      <x:c r="A109" s="22" t="str">
        <x:v>EL-MON-LIM-MIST-002</x:v>
      </x:c>
      <x:c r="B109" s="22" t="str">
        <x:v>卢恩巨熊</x:v>
      </x:c>
      <x:c r="C109" s="22" t="str">
        <x:v>XX171</x:v>
      </x:c>
      <x:c r="D109" s="22" t="str">
        <x:v>P0034</x:v>
      </x:c>
      <x:c r="E109" s="22" t="str">
        <x:v>普通</x:v>
      </x:c>
      <x:c r="F109" s="22" t="n">
        <x:v>5.153383764930222</x:v>
      </x:c>
      <x:c r="G109" s="22" t="n">
        <x:v>-40</x:v>
      </x:c>
      <x:c r="H109" s="22" t="n">
        <x:v>2854.218775637503</x:v>
      </x:c>
      <x:c r="I109" s="22" t="n">
        <x:v>3396.8267132017813</x:v>
      </x:c>
      <x:c r="J109" s="22" t="n">
        <x:v>590.1500000000001</x:v>
      </x:c>
      <x:c r="K109" s="22" t="n">
        <x:v>5901.500000000001</x:v>
      </x:c>
      <x:c r="L109" s="22" t="str">
        <x:v>可承受</x:v>
      </x:c>
    </x:row>
    <x:row r="110" ht="24" customHeight="1">
      <x:c r="A110" s="22" t="str">
        <x:v>EL-MON-LIM-MIST-002</x:v>
      </x:c>
      <x:c r="B110" s="22" t="str">
        <x:v>卢恩巨熊</x:v>
      </x:c>
      <x:c r="C110" s="22" t="str">
        <x:v>XX170</x:v>
      </x:c>
      <x:c r="D110" s="22" t="str">
        <x:v>P0034</x:v>
      </x:c>
      <x:c r="E110" s="22" t="str">
        <x:v>普通</x:v>
      </x:c>
      <x:c r="F110" s="22" t="n">
        <x:v>5.153383764930222</x:v>
      </x:c>
      <x:c r="G110" s="22" t="n">
        <x:v>-40</x:v>
      </x:c>
      <x:c r="H110" s="22" t="n">
        <x:v>2854.218775637503</x:v>
      </x:c>
      <x:c r="I110" s="22" t="n">
        <x:v>3396.8267132017813</x:v>
      </x:c>
      <x:c r="J110" s="22" t="n">
        <x:v>590.1500000000001</x:v>
      </x:c>
      <x:c r="K110" s="22" t="n">
        <x:v>5901.500000000001</x:v>
      </x:c>
      <x:c r="L110" s="22" t="str">
        <x:v>可承受</x:v>
      </x:c>
    </x:row>
    <x:row r="111" ht="24" customHeight="1">
      <x:c r="A111" s="22" t="str">
        <x:v>EL-MON-LIM-MIST-003</x:v>
      </x:c>
      <x:c r="B111" s="22" t="str">
        <x:v>祖灵鹿</x:v>
      </x:c>
      <x:c r="C111" s="22" t="str">
        <x:v>XX171</x:v>
      </x:c>
      <x:c r="D111" s="22" t="str">
        <x:v>P0034</x:v>
      </x:c>
      <x:c r="E111" s="22" t="str">
        <x:v>普通</x:v>
      </x:c>
      <x:c r="F111" s="22" t="n">
        <x:v>4.591196445119652</x:v>
      </x:c>
      <x:c r="G111" s="22" t="n">
        <x:v>-40</x:v>
      </x:c>
      <x:c r="H111" s="22" t="n">
        <x:v>2871.3612307464364</x:v>
      </x:c>
      <x:c r="I111" s="22" t="n">
        <x:v>3396.8267132017813</x:v>
      </x:c>
      <x:c r="J111" s="22" t="n">
        <x:v>590.1500000000001</x:v>
      </x:c>
      <x:c r="K111" s="22" t="n">
        <x:v>5901.500000000001</x:v>
      </x:c>
      <x:c r="L111" s="22" t="str">
        <x:v>可承受</x:v>
      </x:c>
    </x:row>
    <x:row r="112" ht="24" customHeight="1">
      <x:c r="A112" s="22" t="str">
        <x:v>EL-MON-LIM-MIST-004</x:v>
      </x:c>
      <x:c r="B112" s="22" t="str">
        <x:v>腐根树妖</x:v>
      </x:c>
      <x:c r="C112" s="22" t="str">
        <x:v>XX171</x:v>
      </x:c>
      <x:c r="D112" s="22" t="str">
        <x:v>P0034</x:v>
      </x:c>
      <x:c r="E112" s="22" t="str">
        <x:v>普通</x:v>
      </x:c>
      <x:c r="F112" s="22" t="n">
        <x:v>4.591196445119652</x:v>
      </x:c>
      <x:c r="G112" s="22" t="n">
        <x:v>-40</x:v>
      </x:c>
      <x:c r="H112" s="22" t="n">
        <x:v>2871.3612307464364</x:v>
      </x:c>
      <x:c r="I112" s="22" t="n">
        <x:v>3396.8267132017813</x:v>
      </x:c>
      <x:c r="J112" s="22" t="n">
        <x:v>590.1500000000001</x:v>
      </x:c>
      <x:c r="K112" s="22" t="n">
        <x:v>5901.500000000001</x:v>
      </x:c>
      <x:c r="L112" s="22" t="str">
        <x:v>可承受</x:v>
      </x:c>
    </x:row>
    <x:row r="113" ht="24" customHeight="1">
      <x:c r="A113" s="22" t="str">
        <x:v>EL-MON-LIM-MIST-004</x:v>
      </x:c>
      <x:c r="B113" s="22" t="str">
        <x:v>腐根树妖</x:v>
      </x:c>
      <x:c r="C113" s="22" t="str">
        <x:v>XX170</x:v>
      </x:c>
      <x:c r="D113" s="22" t="str">
        <x:v>P0034</x:v>
      </x:c>
      <x:c r="E113" s="22" t="str">
        <x:v>普通</x:v>
      </x:c>
      <x:c r="F113" s="22" t="n">
        <x:v>4.591196445119652</x:v>
      </x:c>
      <x:c r="G113" s="22" t="n">
        <x:v>-40</x:v>
      </x:c>
      <x:c r="H113" s="22" t="n">
        <x:v>2871.3612307464364</x:v>
      </x:c>
      <x:c r="I113" s="22" t="n">
        <x:v>3396.8267132017813</x:v>
      </x:c>
      <x:c r="J113" s="22" t="n">
        <x:v>590.1500000000001</x:v>
      </x:c>
      <x:c r="K113" s="22" t="n">
        <x:v>5901.500000000001</x:v>
      </x:c>
      <x:c r="L113" s="22" t="str">
        <x:v>可承受</x:v>
      </x:c>
    </x:row>
    <x:row r="114" ht="24" customHeight="1">
      <x:c r="A114" s="22" t="str">
        <x:v>EL-MON-LIM-MIST-005</x:v>
      </x:c>
      <x:c r="B114" s="22" t="str">
        <x:v>半兽哨兵</x:v>
      </x:c>
      <x:c r="C114" s="22" t="str">
        <x:v>XX170</x:v>
      </x:c>
      <x:c r="D114" s="22" t="str">
        <x:v>P0034</x:v>
      </x:c>
      <x:c r="E114" s="22" t="str">
        <x:v>普通</x:v>
      </x:c>
      <x:c r="F114" s="22" t="n">
        <x:v>4.356951728531915</x:v>
      </x:c>
      <x:c r="G114" s="22" t="n">
        <x:v>-40</x:v>
      </x:c>
      <x:c r="H114" s="22" t="n">
        <x:v>2871.3612307464364</x:v>
      </x:c>
      <x:c r="I114" s="22" t="n">
        <x:v>3396.8267132017813</x:v>
      </x:c>
      <x:c r="J114" s="22" t="n">
        <x:v>590.1500000000001</x:v>
      </x:c>
      <x:c r="K114" s="22" t="n">
        <x:v>5901.500000000001</x:v>
      </x:c>
      <x:c r="L114" s="22" t="str">
        <x:v>可承受</x:v>
      </x:c>
    </x:row>
    <x:row r="115" ht="24" customHeight="1">
      <x:c r="A115" s="22" t="str">
        <x:v>EL-MON-LIM-MIST-005</x:v>
      </x:c>
      <x:c r="B115" s="22" t="str">
        <x:v>半兽哨兵</x:v>
      </x:c>
      <x:c r="C115" s="22" t="str">
        <x:v>XX167</x:v>
      </x:c>
      <x:c r="D115" s="22" t="str">
        <x:v>P0034</x:v>
      </x:c>
      <x:c r="E115" s="22" t="str">
        <x:v>普通</x:v>
      </x:c>
      <x:c r="F115" s="22" t="n">
        <x:v>4.356951728531915</x:v>
      </x:c>
      <x:c r="G115" s="22" t="n">
        <x:v>-40</x:v>
      </x:c>
      <x:c r="H115" s="22" t="n">
        <x:v>2871.3612307464364</x:v>
      </x:c>
      <x:c r="I115" s="22" t="n">
        <x:v>3396.8267132017813</x:v>
      </x:c>
      <x:c r="J115" s="22" t="n">
        <x:v>590.1500000000001</x:v>
      </x:c>
      <x:c r="K115" s="22" t="n">
        <x:v>5901.500000000001</x:v>
      </x:c>
      <x:c r="L115" s="22" t="str">
        <x:v>可承受</x:v>
      </x:c>
    </x:row>
    <x:row r="116" ht="24" customHeight="1">
      <x:c r="A116" s="22" t="str">
        <x:v>EL-MON-LIM-MIST-006</x:v>
      </x:c>
      <x:c r="B116" s="22" t="str">
        <x:v>林地毒花</x:v>
      </x:c>
      <x:c r="C116" s="22" t="str">
        <x:v>XX170</x:v>
      </x:c>
      <x:c r="D116" s="22" t="str">
        <x:v>P0034</x:v>
      </x:c>
      <x:c r="E116" s="22" t="str">
        <x:v>普通</x:v>
      </x:c>
      <x:c r="F116" s="22" t="n">
        <x:v>5.153383764930222</x:v>
      </x:c>
      <x:c r="G116" s="22" t="n">
        <x:v>-40</x:v>
      </x:c>
      <x:c r="H116" s="22" t="n">
        <x:v>2854.218775637503</x:v>
      </x:c>
      <x:c r="I116" s="22" t="n">
        <x:v>3396.8267132017813</x:v>
      </x:c>
      <x:c r="J116" s="22" t="n">
        <x:v>590.1500000000001</x:v>
      </x:c>
      <x:c r="K116" s="22" t="n">
        <x:v>5901.500000000001</x:v>
      </x:c>
      <x:c r="L116" s="22" t="str">
        <x:v>可承受</x:v>
      </x:c>
    </x:row>
    <x:row r="117" ht="24" customHeight="1">
      <x:c r="A117" s="22" t="str">
        <x:v>EL-MON-LIM-MIST-006</x:v>
      </x:c>
      <x:c r="B117" s="22" t="str">
        <x:v>林地毒花</x:v>
      </x:c>
      <x:c r="C117" s="22" t="str">
        <x:v>XX167</x:v>
      </x:c>
      <x:c r="D117" s="22" t="str">
        <x:v>P0034</x:v>
      </x:c>
      <x:c r="E117" s="22" t="str">
        <x:v>普通</x:v>
      </x:c>
      <x:c r="F117" s="22" t="n">
        <x:v>5.153383764930222</x:v>
      </x:c>
      <x:c r="G117" s="22" t="n">
        <x:v>-40</x:v>
      </x:c>
      <x:c r="H117" s="22" t="n">
        <x:v>2854.218775637503</x:v>
      </x:c>
      <x:c r="I117" s="22" t="n">
        <x:v>3396.8267132017813</x:v>
      </x:c>
      <x:c r="J117" s="22" t="n">
        <x:v>590.1500000000001</x:v>
      </x:c>
      <x:c r="K117" s="22" t="n">
        <x:v>5901.500000000001</x:v>
      </x:c>
      <x:c r="L117" s="22" t="str">
        <x:v>可承受</x:v>
      </x:c>
    </x:row>
    <x:row r="118" ht="24" customHeight="1">
      <x:c r="A118" s="22" t="str">
        <x:v>EL-MON-LIM-MIST-007</x:v>
      </x:c>
      <x:c r="B118" s="22" t="str">
        <x:v>卢恩熊王</x:v>
      </x:c>
      <x:c r="C118" s="22" t="str">
        <x:v>XX171</x:v>
      </x:c>
      <x:c r="D118" s="22" t="str">
        <x:v>P0034</x:v>
      </x:c>
      <x:c r="E118" s="22" t="str">
        <x:v>稀有</x:v>
      </x:c>
      <x:c r="F118" s="22" t="n">
        <x:v>14.010538137671729</x:v>
      </x:c>
      <x:c r="G118" s="22" t="n">
        <x:v>-40</x:v>
      </x:c>
      <x:c r="H118" s="22" t="n">
        <x:v>5165.612602954584</x:v>
      </x:c>
      <x:c r="I118" s="22" t="n">
        <x:v>3396.8267132017813</x:v>
      </x:c>
      <x:c r="J118" s="22" t="n">
        <x:v>1112.15</x:v>
      </x:c>
      <x:c r="K118" s="22" t="n">
        <x:v>11121.5</x:v>
      </x:c>
      <x:c r="L118" s="22" t="str">
        <x:v>可承受</x:v>
      </x:c>
    </x:row>
    <x:row r="119" ht="24" customHeight="1">
      <x:c r="A119" s="22" t="str">
        <x:v>EL-MON-LIM-MIST-007</x:v>
      </x:c>
      <x:c r="B119" s="22" t="str">
        <x:v>卢恩熊王</x:v>
      </x:c>
      <x:c r="C119" s="22" t="str">
        <x:v>XX170</x:v>
      </x:c>
      <x:c r="D119" s="22" t="str">
        <x:v>P0034</x:v>
      </x:c>
      <x:c r="E119" s="22" t="str">
        <x:v>稀有</x:v>
      </x:c>
      <x:c r="F119" s="22" t="n">
        <x:v>14.010538137671729</x:v>
      </x:c>
      <x:c r="G119" s="22" t="n">
        <x:v>-40</x:v>
      </x:c>
      <x:c r="H119" s="22" t="n">
        <x:v>5165.612602954584</x:v>
      </x:c>
      <x:c r="I119" s="22" t="n">
        <x:v>3396.8267132017813</x:v>
      </x:c>
      <x:c r="J119" s="22" t="n">
        <x:v>1112.15</x:v>
      </x:c>
      <x:c r="K119" s="22" t="n">
        <x:v>11121.5</x:v>
      </x:c>
      <x:c r="L119" s="22" t="str">
        <x:v>可承受</x:v>
      </x:c>
    </x:row>
    <x:row r="120" ht="24" customHeight="1">
      <x:c r="A120" s="22" t="str">
        <x:v>EL-MON-LIM-MIST-008</x:v>
      </x:c>
      <x:c r="B120" s="22" t="str">
        <x:v>小黄金树化身</x:v>
      </x:c>
      <x:c r="C120" s="22" t="str">
        <x:v>XX170</x:v>
      </x:c>
      <x:c r="D120" s="22" t="str">
        <x:v>P0034</x:v>
      </x:c>
      <x:c r="E120" s="22" t="str">
        <x:v>稀有</x:v>
      </x:c>
      <x:c r="F120" s="22" t="n">
        <x:v>14.010538137671729</x:v>
      </x:c>
      <x:c r="G120" s="22" t="n">
        <x:v>-40</x:v>
      </x:c>
      <x:c r="H120" s="22" t="n">
        <x:v>5165.612602954584</x:v>
      </x:c>
      <x:c r="I120" s="22" t="n">
        <x:v>3396.8267132017813</x:v>
      </x:c>
      <x:c r="J120" s="22" t="n">
        <x:v>1112.15</x:v>
      </x:c>
      <x:c r="K120" s="22" t="n">
        <x:v>11121.5</x:v>
      </x:c>
      <x:c r="L120" s="22" t="str">
        <x:v>可承受</x:v>
      </x:c>
    </x:row>
    <x:row r="121" ht="24" customHeight="1">
      <x:c r="A121" s="22" t="str">
        <x:v>EL-MON-LIM-MIST-009</x:v>
      </x:c>
      <x:c r="B121" s="22" t="str">
        <x:v>猎犬骑士·达瑞威尔</x:v>
      </x:c>
      <x:c r="C121" s="22" t="str">
        <x:v>XX170</x:v>
      </x:c>
      <x:c r="D121" s="22" t="str">
        <x:v>P0034</x:v>
      </x:c>
      <x:c r="E121" s="22" t="str">
        <x:v>稀有</x:v>
      </x:c>
      <x:c r="F121" s="22" t="n">
        <x:v>15.011290861791139</x:v>
      </x:c>
      <x:c r="G121" s="22" t="n">
        <x:v>-40</x:v>
      </x:c>
      <x:c r="H121" s="22" t="n">
        <x:v>4846.254791334517</x:v>
      </x:c>
      <x:c r="I121" s="22" t="n">
        <x:v>3396.8267132017813</x:v>
      </x:c>
      <x:c r="J121" s="22" t="n">
        <x:v>1054.15</x:v>
      </x:c>
      <x:c r="K121" s="22" t="n">
        <x:v>10541.5</x:v>
      </x:c>
      <x:c r="L121" s="22" t="str">
        <x:v>可承受</x:v>
      </x:c>
    </x:row>
    <x:row r="122" ht="24" customHeight="1">
      <x:c r="A122" s="22" t="str">
        <x:v>EL-MON-LIM-MIST-009</x:v>
      </x:c>
      <x:c r="B122" s="22" t="str">
        <x:v>猎犬骑士·达瑞威尔</x:v>
      </x:c>
      <x:c r="C122" s="22" t="str">
        <x:v>XX167</x:v>
      </x:c>
      <x:c r="D122" s="22" t="str">
        <x:v>P0034</x:v>
      </x:c>
      <x:c r="E122" s="22" t="str">
        <x:v>稀有</x:v>
      </x:c>
      <x:c r="F122" s="22" t="n">
        <x:v>15.011290861791139</x:v>
      </x:c>
      <x:c r="G122" s="22" t="n">
        <x:v>-40</x:v>
      </x:c>
      <x:c r="H122" s="22" t="n">
        <x:v>4846.254791334517</x:v>
      </x:c>
      <x:c r="I122" s="22" t="n">
        <x:v>3396.8267132017813</x:v>
      </x:c>
      <x:c r="J122" s="22" t="n">
        <x:v>1054.15</x:v>
      </x:c>
      <x:c r="K122" s="22" t="n">
        <x:v>10541.5</x:v>
      </x:c>
      <x:c r="L122" s="22" t="str">
        <x:v>可承受</x:v>
      </x:c>
    </x:row>
    <x:row r="123" ht="24" customHeight="1">
      <x:c r="A123" s="22" t="str">
        <x:v>EL-MON-LIM-MIST-010</x:v>
      </x:c>
      <x:c r="B123" s="22" t="str">
        <x:v>永眠祖灵</x:v>
      </x:c>
      <x:c r="C123" s="22" t="str">
        <x:v>XX167</x:v>
      </x:c>
      <x:c r="D123" s="22" t="str">
        <x:v>P0034</x:v>
      </x:c>
      <x:c r="E123" s="22" t="str">
        <x:v>稀有</x:v>
      </x:c>
      <x:c r="F123" s="22" t="n">
        <x:v>14.010538137671729</x:v>
      </x:c>
      <x:c r="G123" s="22" t="n">
        <x:v>-40</x:v>
      </x:c>
      <x:c r="H123" s="22" t="n">
        <x:v>5165.612602954584</x:v>
      </x:c>
      <x:c r="I123" s="22" t="n">
        <x:v>3396.8267132017813</x:v>
      </x:c>
      <x:c r="J123" s="22" t="n">
        <x:v>1112.15</x:v>
      </x:c>
      <x:c r="K123" s="22" t="n">
        <x:v>11121.5</x:v>
      </x:c>
      <x:c r="L123" s="22" t="str">
        <x:v>可承受</x:v>
      </x:c>
    </x:row>
    <x:row r="124" ht="24" customHeight="1">
      <x:c r="A124" s="22" t="str">
        <x:v>EL-MON-LIM-MIST-011</x:v>
      </x:c>
      <x:c r="B124" s="22" t="str">
        <x:v>提比亚唤船人·赫洛</x:v>
      </x:c>
      <x:c r="C124" s="22" t="str">
        <x:v>XX167</x:v>
      </x:c>
      <x:c r="D124" s="22" t="str">
        <x:v>P0041</x:v>
      </x:c>
      <x:c r="E124" s="22" t="str">
        <x:v>地图BOSS</x:v>
      </x:c>
      <x:c r="F124" s="22" t="n">
        <x:v>68.01345154481831</x:v>
      </x:c>
      <x:c r="G124" s="22" t="n">
        <x:v>10</x:v>
      </x:c>
      <x:c r="H124" s="22" t="n">
        <x:v>8143.36388888889</x:v>
      </x:c>
      <x:c r="I124" s="22" t="n">
        <x:v>6454.9795323756725</x:v>
      </x:c>
      <x:c r="J124" s="22" t="n">
        <x:v>17023.055</x:v>
      </x:c>
      <x:c r="K124" s="22" t="n">
        <x:v>17023.055</x:v>
      </x:c>
      <x:c r="L124" s="22" t="str">
        <x:v>可承受</x:v>
      </x:c>
    </x:row>
    <x:row r="125" ht="24" customHeight="1">
      <x:c r="A125" s="22" t="str">
        <x:v>EL-MON-LIM-MIST-012</x:v>
      </x:c>
      <x:c r="B125" s="22" t="str">
        <x:v>雾林熔炉骑士·奥德</x:v>
      </x:c>
      <x:c r="C125" s="22" t="str">
        <x:v>XX167</x:v>
      </x:c>
      <x:c r="D125" s="22" t="str">
        <x:v>P0042</x:v>
      </x:c>
      <x:c r="E125" s="22" t="str">
        <x:v>地图BOSS</x:v>
      </x:c>
      <x:c r="F125" s="22" t="n">
        <x:v>75.74225285672948</x:v>
      </x:c>
      <x:c r="G125" s="22" t="n">
        <x:v>10</x:v>
      </x:c>
      <x:c r="H125" s="22" t="n">
        <x:v>7785.030555555557</x:v>
      </x:c>
      <x:c r="I125" s="22" t="n">
        <x:v>6454.9795323756725</x:v>
      </x:c>
      <x:c r="J125" s="22" t="n">
        <x:v>16163.055000000002</x:v>
      </x:c>
      <x:c r="K125" s="22" t="n">
        <x:v>16163.055000000002</x:v>
      </x:c>
      <x:c r="L125" s="22" t="str">
        <x:v>可承受</x:v>
      </x:c>
    </x:row>
    <x:row r="126" ht="24" customHeight="1">
      <x:c r="A126" s="22" t="str">
        <x:v>EL-MON-LIM-STORM-001</x:v>
      </x:c>
      <x:c r="B126" s="22" t="str">
        <x:v>风暴鹰</x:v>
      </x:c>
      <x:c r="C126" s="22" t="str">
        <x:v>XX248</x:v>
      </x:c>
      <x:c r="D126" s="22" t="str">
        <x:v>P0040</x:v>
      </x:c>
      <x:c r="E126" s="22" t="str">
        <x:v>普通</x:v>
      </x:c>
      <x:c r="F126" s="22" t="n">
        <x:v>5.144585810630633</x:v>
      </x:c>
      <x:c r="G126" s="22" t="n">
        <x:v>-35</x:v>
      </x:c>
      <x:c r="H126" s="22" t="n">
        <x:v>3855.0871469178755</x:v>
      </x:c>
      <x:c r="I126" s="22" t="n">
        <x:v>5256.507545016968</x:v>
      </x:c>
      <x:c r="J126" s="22" t="n">
        <x:v>898.0550000000001</x:v>
      </x:c>
      <x:c r="K126" s="22" t="n">
        <x:v>8082.495000000001</x:v>
      </x:c>
      <x:c r="L126" s="22" t="str">
        <x:v>可承受</x:v>
      </x:c>
    </x:row>
    <x:row r="127" ht="24" customHeight="1">
      <x:c r="A127" s="22" t="str">
        <x:v>EL-MON-LIM-STORM-002</x:v>
      </x:c>
      <x:c r="B127" s="22" t="str">
        <x:v>雷羽战鹰</x:v>
      </x:c>
      <x:c r="C127" s="22" t="str">
        <x:v>XX248</x:v>
      </x:c>
      <x:c r="D127" s="22" t="str">
        <x:v>P0040</x:v>
      </x:c>
      <x:c r="E127" s="22" t="str">
        <x:v>普通</x:v>
      </x:c>
      <x:c r="F127" s="22" t="n">
        <x:v>5.144585810630633</x:v>
      </x:c>
      <x:c r="G127" s="22" t="n">
        <x:v>-35</x:v>
      </x:c>
      <x:c r="H127" s="22" t="n">
        <x:v>3855.0871469178755</x:v>
      </x:c>
      <x:c r="I127" s="22" t="n">
        <x:v>5256.507545016968</x:v>
      </x:c>
      <x:c r="J127" s="22" t="n">
        <x:v>898.0550000000001</x:v>
      </x:c>
      <x:c r="K127" s="22" t="n">
        <x:v>8082.495000000001</x:v>
      </x:c>
      <x:c r="L127" s="22" t="str">
        <x:v>可承受</x:v>
      </x:c>
    </x:row>
    <x:row r="128" ht="24" customHeight="1">
      <x:c r="A128" s="22" t="str">
        <x:v>EL-MON-LIM-STORM-003</x:v>
      </x:c>
      <x:c r="B128" s="22" t="str">
        <x:v>山谷巨人</x:v>
      </x:c>
      <x:c r="C128" s="22" t="str">
        <x:v>XX248</x:v>
      </x:c>
      <x:c r="D128" s="22" t="str">
        <x:v>P0040</x:v>
      </x:c>
      <x:c r="E128" s="22" t="str">
        <x:v>普通</x:v>
      </x:c>
      <x:c r="F128" s="22" t="n">
        <x:v>5.144585810630633</x:v>
      </x:c>
      <x:c r="G128" s="22" t="n">
        <x:v>-35</x:v>
      </x:c>
      <x:c r="H128" s="22" t="n">
        <x:v>3855.0871469178755</x:v>
      </x:c>
      <x:c r="I128" s="22" t="n">
        <x:v>5256.507545016968</x:v>
      </x:c>
      <x:c r="J128" s="22" t="n">
        <x:v>898.0550000000001</x:v>
      </x:c>
      <x:c r="K128" s="22" t="n">
        <x:v>8082.495000000001</x:v>
      </x:c>
      <x:c r="L128" s="22" t="str">
        <x:v>可承受</x:v>
      </x:c>
    </x:row>
    <x:row r="129" ht="24" customHeight="1">
      <x:c r="A129" s="22" t="str">
        <x:v>EL-MON-LIM-STORM-003</x:v>
      </x:c>
      <x:c r="B129" s="22" t="str">
        <x:v>山谷巨人</x:v>
      </x:c>
      <x:c r="C129" s="22" t="str">
        <x:v>XX246</x:v>
      </x:c>
      <x:c r="D129" s="22" t="str">
        <x:v>P0040</x:v>
      </x:c>
      <x:c r="E129" s="22" t="str">
        <x:v>普通</x:v>
      </x:c>
      <x:c r="F129" s="22" t="n">
        <x:v>5.144585810630633</x:v>
      </x:c>
      <x:c r="G129" s="22" t="n">
        <x:v>-35</x:v>
      </x:c>
      <x:c r="H129" s="22" t="n">
        <x:v>3855.0871469178755</x:v>
      </x:c>
      <x:c r="I129" s="22" t="n">
        <x:v>5256.507545016968</x:v>
      </x:c>
      <x:c r="J129" s="22" t="n">
        <x:v>898.0550000000001</x:v>
      </x:c>
      <x:c r="K129" s="22" t="n">
        <x:v>8082.495000000001</x:v>
      </x:c>
      <x:c r="L129" s="22" t="str">
        <x:v>可承受</x:v>
      </x:c>
    </x:row>
    <x:row r="130" ht="24" customHeight="1">
      <x:c r="A130" s="22" t="str">
        <x:v>EL-MON-LIM-STORM-004</x:v>
      </x:c>
      <x:c r="B130" s="22" t="str">
        <x:v>风蚀山羊</x:v>
      </x:c>
      <x:c r="C130" s="22" t="str">
        <x:v>XX248</x:v>
      </x:c>
      <x:c r="D130" s="22" t="str">
        <x:v>P0040</x:v>
      </x:c>
      <x:c r="E130" s="22" t="str">
        <x:v>普通</x:v>
      </x:c>
      <x:c r="F130" s="22" t="n">
        <x:v>5.144585810630633</x:v>
      </x:c>
      <x:c r="G130" s="22" t="n">
        <x:v>-35</x:v>
      </x:c>
      <x:c r="H130" s="22" t="n">
        <x:v>3855.0871469178755</x:v>
      </x:c>
      <x:c r="I130" s="22" t="n">
        <x:v>5256.507545016968</x:v>
      </x:c>
      <x:c r="J130" s="22" t="n">
        <x:v>898.0550000000001</x:v>
      </x:c>
      <x:c r="K130" s="22" t="n">
        <x:v>8082.495000000001</x:v>
      </x:c>
      <x:c r="L130" s="22" t="str">
        <x:v>可承受</x:v>
      </x:c>
    </x:row>
    <x:row r="131" ht="24" customHeight="1">
      <x:c r="A131" s="22" t="str">
        <x:v>EL-MON-LIM-STORM-004</x:v>
      </x:c>
      <x:c r="B131" s="22" t="str">
        <x:v>风蚀山羊</x:v>
      </x:c>
      <x:c r="C131" s="22" t="str">
        <x:v>XX246</x:v>
      </x:c>
      <x:c r="D131" s="22" t="str">
        <x:v>P0040</x:v>
      </x:c>
      <x:c r="E131" s="22" t="str">
        <x:v>普通</x:v>
      </x:c>
      <x:c r="F131" s="22" t="n">
        <x:v>5.144585810630633</x:v>
      </x:c>
      <x:c r="G131" s="22" t="n">
        <x:v>-35</x:v>
      </x:c>
      <x:c r="H131" s="22" t="n">
        <x:v>3855.0871469178755</x:v>
      </x:c>
      <x:c r="I131" s="22" t="n">
        <x:v>5256.507545016968</x:v>
      </x:c>
      <x:c r="J131" s="22" t="n">
        <x:v>898.0550000000001</x:v>
      </x:c>
      <x:c r="K131" s="22" t="n">
        <x:v>8082.495000000001</x:v>
      </x:c>
      <x:c r="L131" s="22" t="str">
        <x:v>可承受</x:v>
      </x:c>
    </x:row>
    <x:row r="132" ht="24" customHeight="1">
      <x:c r="A132" s="22" t="str">
        <x:v>EL-MON-LIM-STORM-005</x:v>
      </x:c>
      <x:c r="B132" s="22" t="str">
        <x:v>风暴流寇</x:v>
      </x:c>
      <x:c r="C132" s="22" t="str">
        <x:v>XX246</x:v>
      </x:c>
      <x:c r="D132" s="22" t="str">
        <x:v>P0040</x:v>
      </x:c>
      <x:c r="E132" s="22" t="str">
        <x:v>普通</x:v>
      </x:c>
      <x:c r="F132" s="22" t="n">
        <x:v>4.539340421144676</x:v>
      </x:c>
      <x:c r="G132" s="22" t="n">
        <x:v>-35</x:v>
      </x:c>
      <x:c r="H132" s="22" t="n">
        <x:v>3962.861459104565</x:v>
      </x:c>
      <x:c r="I132" s="22" t="n">
        <x:v>5256.507545016968</x:v>
      </x:c>
      <x:c r="J132" s="22" t="n">
        <x:v>941.0550000000001</x:v>
      </x:c>
      <x:c r="K132" s="22" t="n">
        <x:v>8469.495</x:v>
      </x:c>
      <x:c r="L132" s="22" t="str">
        <x:v>可承受</x:v>
      </x:c>
    </x:row>
    <x:row r="133" ht="24" customHeight="1">
      <x:c r="A133" s="22" t="str">
        <x:v>EL-MON-LIM-STORM-005</x:v>
      </x:c>
      <x:c r="B133" s="22" t="str">
        <x:v>风暴流寇</x:v>
      </x:c>
      <x:c r="C133" s="22" t="str">
        <x:v>XX101</x:v>
      </x:c>
      <x:c r="D133" s="22" t="str">
        <x:v>P0040</x:v>
      </x:c>
      <x:c r="E133" s="22" t="str">
        <x:v>普通</x:v>
      </x:c>
      <x:c r="F133" s="22" t="n">
        <x:v>4.539340421144676</x:v>
      </x:c>
      <x:c r="G133" s="22" t="n">
        <x:v>-35</x:v>
      </x:c>
      <x:c r="H133" s="22" t="n">
        <x:v>3962.861459104565</x:v>
      </x:c>
      <x:c r="I133" s="22" t="n">
        <x:v>5256.507545016968</x:v>
      </x:c>
      <x:c r="J133" s="22" t="n">
        <x:v>941.0550000000001</x:v>
      </x:c>
      <x:c r="K133" s="22" t="n">
        <x:v>8469.495</x:v>
      </x:c>
      <x:c r="L133" s="22" t="str">
        <x:v>可承受</x:v>
      </x:c>
    </x:row>
    <x:row r="134" ht="24" customHeight="1">
      <x:c r="A134" s="22" t="str">
        <x:v>EL-MON-LIM-STORM-006</x:v>
      </x:c>
      <x:c r="B134" s="22" t="str">
        <x:v>雷痕石蜥</x:v>
      </x:c>
      <x:c r="C134" s="22" t="str">
        <x:v>XX246</x:v>
      </x:c>
      <x:c r="D134" s="22" t="str">
        <x:v>P0040</x:v>
      </x:c>
      <x:c r="E134" s="22" t="str">
        <x:v>普通</x:v>
      </x:c>
      <x:c r="F134" s="22" t="n">
        <x:v>5.144585810630633</x:v>
      </x:c>
      <x:c r="G134" s="22" t="n">
        <x:v>-35</x:v>
      </x:c>
      <x:c r="H134" s="22" t="n">
        <x:v>3855.0871469178755</x:v>
      </x:c>
      <x:c r="I134" s="22" t="n">
        <x:v>5256.507545016968</x:v>
      </x:c>
      <x:c r="J134" s="22" t="n">
        <x:v>898.0550000000001</x:v>
      </x:c>
      <x:c r="K134" s="22" t="n">
        <x:v>8082.495000000001</x:v>
      </x:c>
      <x:c r="L134" s="22" t="str">
        <x:v>可承受</x:v>
      </x:c>
    </x:row>
    <x:row r="135" ht="24" customHeight="1">
      <x:c r="A135" s="22" t="str">
        <x:v>EL-MON-LIM-STORM-006</x:v>
      </x:c>
      <x:c r="B135" s="22" t="str">
        <x:v>雷痕石蜥</x:v>
      </x:c>
      <x:c r="C135" s="22" t="str">
        <x:v>XX101</x:v>
      </x:c>
      <x:c r="D135" s="22" t="str">
        <x:v>P0040</x:v>
      </x:c>
      <x:c r="E135" s="22" t="str">
        <x:v>普通</x:v>
      </x:c>
      <x:c r="F135" s="22" t="n">
        <x:v>5.144585810630633</x:v>
      </x:c>
      <x:c r="G135" s="22" t="n">
        <x:v>-35</x:v>
      </x:c>
      <x:c r="H135" s="22" t="n">
        <x:v>3855.0871469178755</x:v>
      </x:c>
      <x:c r="I135" s="22" t="n">
        <x:v>5256.507545016968</x:v>
      </x:c>
      <x:c r="J135" s="22" t="n">
        <x:v>898.0550000000001</x:v>
      </x:c>
      <x:c r="K135" s="22" t="n">
        <x:v>8082.495000000001</x:v>
      </x:c>
      <x:c r="L135" s="22" t="str">
        <x:v>可承受</x:v>
      </x:c>
    </x:row>
    <x:row r="136" ht="24" customHeight="1">
      <x:c r="A136" s="22" t="str">
        <x:v>EL-MON-LIM-STORM-007</x:v>
      </x:c>
      <x:c r="B136" s="22" t="str">
        <x:v>山妖统领</x:v>
      </x:c>
      <x:c r="C136" s="22" t="str">
        <x:v>XX248</x:v>
      </x:c>
      <x:c r="D136" s="22" t="str">
        <x:v>P0040</x:v>
      </x:c>
      <x:c r="E136" s="22" t="str">
        <x:v>稀有</x:v>
      </x:c>
      <x:c r="F136" s="22" t="n">
        <x:v>15.755850666942976</x:v>
      </x:c>
      <x:c r="G136" s="22" t="n">
        <x:v>-35</x:v>
      </x:c>
      <x:c r="H136" s="22" t="n">
        <x:v>6664.023970846694</x:v>
      </x:c>
      <x:c r="I136" s="22" t="n">
        <x:v>5256.507545016968</x:v>
      </x:c>
      <x:c r="J136" s="22" t="n">
        <x:v>1672.0550000000003</x:v>
      </x:c>
      <x:c r="K136" s="22" t="n">
        <x:v>15048.495000000003</x:v>
      </x:c>
      <x:c r="L136" s="22" t="str">
        <x:v>可承受</x:v>
      </x:c>
    </x:row>
    <x:row r="137" ht="24" customHeight="1">
      <x:c r="A137" s="22" t="str">
        <x:v>EL-MON-LIM-STORM-007</x:v>
      </x:c>
      <x:c r="B137" s="22" t="str">
        <x:v>山妖统领</x:v>
      </x:c>
      <x:c r="C137" s="22" t="str">
        <x:v>XX246</x:v>
      </x:c>
      <x:c r="D137" s="22" t="str">
        <x:v>P0040</x:v>
      </x:c>
      <x:c r="E137" s="22" t="str">
        <x:v>稀有</x:v>
      </x:c>
      <x:c r="F137" s="22" t="n">
        <x:v>15.755850666942976</x:v>
      </x:c>
      <x:c r="G137" s="22" t="n">
        <x:v>-35</x:v>
      </x:c>
      <x:c r="H137" s="22" t="n">
        <x:v>6664.023970846694</x:v>
      </x:c>
      <x:c r="I137" s="22" t="n">
        <x:v>5256.507545016968</x:v>
      </x:c>
      <x:c r="J137" s="22" t="n">
        <x:v>1672.0550000000003</x:v>
      </x:c>
      <x:c r="K137" s="22" t="n">
        <x:v>15048.495000000003</x:v>
      </x:c>
      <x:c r="L137" s="22" t="str">
        <x:v>可承受</x:v>
      </x:c>
    </x:row>
    <x:row r="138" ht="24" customHeight="1">
      <x:c r="A138" s="22" t="str">
        <x:v>EL-MON-LIM-STORM-008</x:v>
      </x:c>
      <x:c r="B138" s="22" t="str">
        <x:v>战鹰驯兽师</x:v>
      </x:c>
      <x:c r="C138" s="22" t="str">
        <x:v>XX246</x:v>
      </x:c>
      <x:c r="D138" s="22" t="str">
        <x:v>P0040</x:v>
      </x:c>
      <x:c r="E138" s="22" t="str">
        <x:v>稀有</x:v>
      </x:c>
      <x:c r="F138" s="22" t="n">
        <x:v>13.18346688458494</x:v>
      </x:c>
      <x:c r="G138" s="22" t="n">
        <x:v>-35</x:v>
      </x:c>
      <x:c r="H138" s="22" t="n">
        <x:v>7562.274917942999</x:v>
      </x:c>
      <x:c r="I138" s="22" t="n">
        <x:v>5256.507545016968</x:v>
      </x:c>
      <x:c r="J138" s="22" t="n">
        <x:v>1887.0550000000003</x:v>
      </x:c>
      <x:c r="K138" s="22" t="n">
        <x:v>16983.495000000003</x:v>
      </x:c>
      <x:c r="L138" s="22" t="str">
        <x:v>可承受</x:v>
      </x:c>
    </x:row>
    <x:row r="139" ht="24" customHeight="1">
      <x:c r="A139" s="22" t="str">
        <x:v>EL-MON-LIM-STORM-009</x:v>
      </x:c>
      <x:c r="B139" s="22" t="str">
        <x:v>熔炉百夫长</x:v>
      </x:c>
      <x:c r="C139" s="22" t="str">
        <x:v>XX246</x:v>
      </x:c>
      <x:c r="D139" s="22" t="str">
        <x:v>P0040</x:v>
      </x:c>
      <x:c r="E139" s="22" t="str">
        <x:v>稀有</x:v>
      </x:c>
      <x:c r="F139" s="22" t="n">
        <x:v>15.755850666942976</x:v>
      </x:c>
      <x:c r="G139" s="22" t="n">
        <x:v>-35</x:v>
      </x:c>
      <x:c r="H139" s="22" t="n">
        <x:v>6664.023970846694</x:v>
      </x:c>
      <x:c r="I139" s="22" t="n">
        <x:v>5256.507545016968</x:v>
      </x:c>
      <x:c r="J139" s="22" t="n">
        <x:v>1672.0550000000003</x:v>
      </x:c>
      <x:c r="K139" s="22" t="n">
        <x:v>15048.495000000003</x:v>
      </x:c>
      <x:c r="L139" s="22" t="str">
        <x:v>可承受</x:v>
      </x:c>
    </x:row>
    <x:row r="140" ht="24" customHeight="1">
      <x:c r="A140" s="22" t="str">
        <x:v>EL-MON-LIM-STORM-009</x:v>
      </x:c>
      <x:c r="B140" s="22" t="str">
        <x:v>熔炉百夫长</x:v>
      </x:c>
      <x:c r="C140" s="22" t="str">
        <x:v>XX101</x:v>
      </x:c>
      <x:c r="D140" s="22" t="str">
        <x:v>P0040</x:v>
      </x:c>
      <x:c r="E140" s="22" t="str">
        <x:v>稀有</x:v>
      </x:c>
      <x:c r="F140" s="22" t="n">
        <x:v>15.755850666942976</x:v>
      </x:c>
      <x:c r="G140" s="22" t="n">
        <x:v>-35</x:v>
      </x:c>
      <x:c r="H140" s="22" t="n">
        <x:v>6664.023970846694</x:v>
      </x:c>
      <x:c r="I140" s="22" t="n">
        <x:v>5256.507545016968</x:v>
      </x:c>
      <x:c r="J140" s="22" t="n">
        <x:v>1672.0550000000003</x:v>
      </x:c>
      <x:c r="K140" s="22" t="n">
        <x:v>15048.495000000003</x:v>
      </x:c>
      <x:c r="L140" s="22" t="str">
        <x:v>可承受</x:v>
      </x:c>
    </x:row>
    <x:row r="141" ht="24" customHeight="1">
      <x:c r="A141" s="22" t="str">
        <x:v>EL-MON-LIM-STORM-010</x:v>
      </x:c>
      <x:c r="B141" s="22" t="str">
        <x:v>死亡仪鸟</x:v>
      </x:c>
      <x:c r="C141" s="22" t="str">
        <x:v>XX101</x:v>
      </x:c>
      <x:c r="D141" s="22" t="str">
        <x:v>P0040</x:v>
      </x:c>
      <x:c r="E141" s="22" t="str">
        <x:v>稀有</x:v>
      </x:c>
      <x:c r="F141" s="22" t="n">
        <x:v>13.18346688458494</x:v>
      </x:c>
      <x:c r="G141" s="22" t="n">
        <x:v>-35</x:v>
      </x:c>
      <x:c r="H141" s="22" t="n">
        <x:v>7562.274917942999</x:v>
      </x:c>
      <x:c r="I141" s="22" t="n">
        <x:v>5256.507545016968</x:v>
      </x:c>
      <x:c r="J141" s="22" t="n">
        <x:v>1887.0550000000003</x:v>
      </x:c>
      <x:c r="K141" s="22" t="n">
        <x:v>16983.495000000003</x:v>
      </x:c>
      <x:c r="L141" s="22" t="str">
        <x:v>可承受</x:v>
      </x:c>
    </x:row>
    <x:row r="142" ht="24" customHeight="1">
      <x:c r="A142" s="22" t="str">
        <x:v>EL-MON-LIM-STORM-011</x:v>
      </x:c>
      <x:c r="B142" s="22" t="str">
        <x:v>风暴君王·奥雷格</x:v>
      </x:c>
      <x:c r="C142" s="22" t="str">
        <x:v>XX101</x:v>
      </x:c>
      <x:c r="D142" s="22" t="str">
        <x:v>P0047</x:v>
      </x:c>
      <x:c r="E142" s="22" t="str">
        <x:v>地图BOSS</x:v>
      </x:c>
      <x:c r="F142" s="22" t="n">
        <x:v>65.53834983406317</x:v>
      </x:c>
      <x:c r="G142" s="22" t="n">
        <x:v>-33</x:v>
      </x:c>
      <x:c r="H142" s="22" t="n">
        <x:v>11369.49401196287</x:v>
      </x:c>
      <x:c r="I142" s="22" t="n">
        <x:v>9428.134510854665</x:v>
      </x:c>
      <x:c r="J142" s="22" t="n">
        <x:v>3308.2000000000003</x:v>
      </x:c>
      <x:c r="K142" s="22" t="n">
        <x:v>28450.520000000008</x:v>
      </x:c>
      <x:c r="L142" s="22" t="str">
        <x:v>可承受</x:v>
      </x:c>
    </x:row>
    <x:row r="143" ht="24" customHeight="1">
      <x:c r="A143" s="22" t="str">
        <x:v>EL-MON-LIM-STORM-012</x:v>
      </x:c>
      <x:c r="B143" s="22" t="str">
        <x:v>恶兆妖鬼·玛尔基特</x:v>
      </x:c>
      <x:c r="C143" s="22" t="str">
        <x:v>XX101</x:v>
      </x:c>
      <x:c r="D143" s="22" t="str">
        <x:v>P0048</x:v>
      </x:c>
      <x:c r="E143" s="22" t="str">
        <x:v>地图BOSS</x:v>
      </x:c>
      <x:c r="F143" s="22" t="n">
        <x:v>72.09218481746949</x:v>
      </x:c>
      <x:c r="G143" s="22" t="n">
        <x:v>-33</x:v>
      </x:c>
      <x:c r="H143" s="22" t="n">
        <x:v>11052.375428545734</x:v>
      </x:c>
      <x:c r="I143" s="22" t="n">
        <x:v>9428.134510854665</x:v>
      </x:c>
      <x:c r="J143" s="22" t="n">
        <x:v>3228.2000000000003</x:v>
      </x:c>
      <x:c r="K143" s="22" t="n">
        <x:v>27762.520000000008</x:v>
      </x:c>
      <x:c r="L143" s="22" t="str">
        <x:v>可承受</x:v>
      </x:c>
    </x:row>
    <x:row r="144" ht="24" customHeight="1">
      <x:c r="A144" s="22" t="str">
        <x:v>EL-MON-LIM-CASTLE-001</x:v>
      </x:c>
      <x:c r="B144" s="22" t="str">
        <x:v>王城流刑兵</x:v>
      </x:c>
      <x:c r="C144" s="22" t="str">
        <x:v>XX144</x:v>
      </x:c>
      <x:c r="D144" s="22" t="str">
        <x:v>P0046</x:v>
      </x:c>
      <x:c r="E144" s="22" t="str">
        <x:v>普通</x:v>
      </x:c>
      <x:c r="F144" s="22" t="n">
        <x:v>4.4323025567317025</x:v>
      </x:c>
      <x:c r="G144" s="22" t="n">
        <x:v>-43</x:v>
      </x:c>
      <x:c r="H144" s="22" t="n">
        <x:v>5047.823714026955</x:v>
      </x:c>
      <x:c r="I144" s="22" t="n">
        <x:v>8076.022264352597</x:v>
      </x:c>
      <x:c r="J144" s="22" t="n">
        <x:v>948.2</x:v>
      </x:c>
      <x:c r="K144" s="22" t="n">
        <x:v>10050.92</x:v>
      </x:c>
      <x:c r="L144" s="22" t="str">
        <x:v>可承受</x:v>
      </x:c>
    </x:row>
    <x:row r="145" ht="24" customHeight="1">
      <x:c r="A145" s="22" t="str">
        <x:v>EL-MON-LIM-CASTLE-002</x:v>
      </x:c>
      <x:c r="B145" s="22" t="str">
        <x:v>失乡斧卫</x:v>
      </x:c>
      <x:c r="C145" s="22" t="str">
        <x:v>XX144</x:v>
      </x:c>
      <x:c r="D145" s="22" t="str">
        <x:v>P0046</x:v>
      </x:c>
      <x:c r="E145" s="22" t="str">
        <x:v>普通</x:v>
      </x:c>
      <x:c r="F145" s="22" t="n">
        <x:v>5.023276230962596</x:v>
      </x:c>
      <x:c r="G145" s="22" t="n">
        <x:v>-43</x:v>
      </x:c>
      <x:c r="H145" s="22" t="n">
        <x:v>5047.823714026955</x:v>
      </x:c>
      <x:c r="I145" s="22" t="n">
        <x:v>8076.022264352597</x:v>
      </x:c>
      <x:c r="J145" s="22" t="n">
        <x:v>948.2</x:v>
      </x:c>
      <x:c r="K145" s="22" t="n">
        <x:v>10050.92</x:v>
      </x:c>
      <x:c r="L145" s="22" t="str">
        <x:v>可承受</x:v>
      </x:c>
    </x:row>
    <x:row r="146" ht="24" customHeight="1">
      <x:c r="A146" s="22" t="str">
        <x:v>EL-MON-LIM-CASTLE-003</x:v>
      </x:c>
      <x:c r="B146" s="22" t="str">
        <x:v>火药弩兵</x:v>
      </x:c>
      <x:c r="C146" s="22" t="str">
        <x:v>XX144</x:v>
      </x:c>
      <x:c r="D146" s="22" t="str">
        <x:v>P0046</x:v>
      </x:c>
      <x:c r="E146" s="22" t="str">
        <x:v>普通</x:v>
      </x:c>
      <x:c r="F146" s="22" t="n">
        <x:v>5.3187630680780424</x:v>
      </x:c>
      <x:c r="G146" s="22" t="n">
        <x:v>-43</x:v>
      </x:c>
      <x:c r="H146" s="22" t="n">
        <x:v>4919.738869722794</x:v>
      </x:c>
      <x:c r="I146" s="22" t="n">
        <x:v>8076.022264352597</x:v>
      </x:c>
      <x:c r="J146" s="22" t="n">
        <x:v>908.2</x:v>
      </x:c>
      <x:c r="K146" s="22" t="n">
        <x:v>9626.92</x:v>
      </x:c>
      <x:c r="L146" s="22" t="str">
        <x:v>可承受</x:v>
      </x:c>
    </x:row>
    <x:row r="147" ht="24" customHeight="1">
      <x:c r="A147" s="22" t="str">
        <x:v>EL-MON-LIM-CASTLE-003</x:v>
      </x:c>
      <x:c r="B147" s="22" t="str">
        <x:v>火药弩兵</x:v>
      </x:c>
      <x:c r="C147" s="22" t="str">
        <x:v>XX143</x:v>
      </x:c>
      <x:c r="D147" s="22" t="str">
        <x:v>P0046</x:v>
      </x:c>
      <x:c r="E147" s="22" t="str">
        <x:v>普通</x:v>
      </x:c>
      <x:c r="F147" s="22" t="n">
        <x:v>5.3187630680780424</x:v>
      </x:c>
      <x:c r="G147" s="22" t="n">
        <x:v>-43</x:v>
      </x:c>
      <x:c r="H147" s="22" t="n">
        <x:v>4919.738869722794</x:v>
      </x:c>
      <x:c r="I147" s="22" t="n">
        <x:v>8076.022264352597</x:v>
      </x:c>
      <x:c r="J147" s="22" t="n">
        <x:v>908.2</x:v>
      </x:c>
      <x:c r="K147" s="22" t="n">
        <x:v>9626.92</x:v>
      </x:c>
      <x:c r="L147" s="22" t="str">
        <x:v>可承受</x:v>
      </x:c>
    </x:row>
    <x:row r="148" ht="24" customHeight="1">
      <x:c r="A148" s="22" t="str">
        <x:v>EL-MON-LIM-CASTLE-004</x:v>
      </x:c>
      <x:c r="B148" s="22" t="str">
        <x:v>刀翼战鹰</x:v>
      </x:c>
      <x:c r="C148" s="22" t="str">
        <x:v>XX144</x:v>
      </x:c>
      <x:c r="D148" s="22" t="str">
        <x:v>P0046</x:v>
      </x:c>
      <x:c r="E148" s="22" t="str">
        <x:v>普通</x:v>
      </x:c>
      <x:c r="F148" s="22" t="n">
        <x:v>5.023276230962596</x:v>
      </x:c>
      <x:c r="G148" s="22" t="n">
        <x:v>-43</x:v>
      </x:c>
      <x:c r="H148" s="22" t="n">
        <x:v>5047.823714026955</x:v>
      </x:c>
      <x:c r="I148" s="22" t="n">
        <x:v>8076.022264352597</x:v>
      </x:c>
      <x:c r="J148" s="22" t="n">
        <x:v>948.2</x:v>
      </x:c>
      <x:c r="K148" s="22" t="n">
        <x:v>10050.92</x:v>
      </x:c>
      <x:c r="L148" s="22" t="str">
        <x:v>可承受</x:v>
      </x:c>
    </x:row>
    <x:row r="149" ht="24" customHeight="1">
      <x:c r="A149" s="22" t="str">
        <x:v>EL-MON-LIM-CASTLE-004</x:v>
      </x:c>
      <x:c r="B149" s="22" t="str">
        <x:v>刀翼战鹰</x:v>
      </x:c>
      <x:c r="C149" s="22" t="str">
        <x:v>XX143</x:v>
      </x:c>
      <x:c r="D149" s="22" t="str">
        <x:v>P0046</x:v>
      </x:c>
      <x:c r="E149" s="22" t="str">
        <x:v>普通</x:v>
      </x:c>
      <x:c r="F149" s="22" t="n">
        <x:v>5.023276230962596</x:v>
      </x:c>
      <x:c r="G149" s="22" t="n">
        <x:v>-43</x:v>
      </x:c>
      <x:c r="H149" s="22" t="n">
        <x:v>5047.823714026955</x:v>
      </x:c>
      <x:c r="I149" s="22" t="n">
        <x:v>8076.022264352597</x:v>
      </x:c>
      <x:c r="J149" s="22" t="n">
        <x:v>948.2</x:v>
      </x:c>
      <x:c r="K149" s="22" t="n">
        <x:v>10050.92</x:v>
      </x:c>
      <x:c r="L149" s="22" t="str">
        <x:v>可承受</x:v>
      </x:c>
    </x:row>
    <x:row r="150" ht="24" customHeight="1">
      <x:c r="A150" s="22" t="str">
        <x:v>EL-MON-LIM-CASTLE-005</x:v>
      </x:c>
      <x:c r="B150" s="22" t="str">
        <x:v>接肢侍从</x:v>
      </x:c>
      <x:c r="C150" s="22" t="str">
        <x:v>XX143</x:v>
      </x:c>
      <x:c r="D150" s="22" t="str">
        <x:v>P0046</x:v>
      </x:c>
      <x:c r="E150" s="22" t="str">
        <x:v>普通</x:v>
      </x:c>
      <x:c r="F150" s="22" t="n">
        <x:v>4.4323025567317025</x:v>
      </x:c>
      <x:c r="G150" s="22" t="n">
        <x:v>-43</x:v>
      </x:c>
      <x:c r="H150" s="22" t="n">
        <x:v>5047.823714026955</x:v>
      </x:c>
      <x:c r="I150" s="22" t="n">
        <x:v>8076.022264352597</x:v>
      </x:c>
      <x:c r="J150" s="22" t="n">
        <x:v>948.2</x:v>
      </x:c>
      <x:c r="K150" s="22" t="n">
        <x:v>10050.92</x:v>
      </x:c>
      <x:c r="L150" s="22" t="str">
        <x:v>可承受</x:v>
      </x:c>
    </x:row>
    <x:row r="151" ht="24" customHeight="1">
      <x:c r="A151" s="22" t="str">
        <x:v>EL-MON-LIM-CASTLE-005</x:v>
      </x:c>
      <x:c r="B151" s="22" t="str">
        <x:v>接肢侍从</x:v>
      </x:c>
      <x:c r="C151" s="22" t="str">
        <x:v>XX145</x:v>
      </x:c>
      <x:c r="D151" s="22" t="str">
        <x:v>P0046</x:v>
      </x:c>
      <x:c r="E151" s="22" t="str">
        <x:v>普通</x:v>
      </x:c>
      <x:c r="F151" s="22" t="n">
        <x:v>4.4323025567317025</x:v>
      </x:c>
      <x:c r="G151" s="22" t="n">
        <x:v>-43</x:v>
      </x:c>
      <x:c r="H151" s="22" t="n">
        <x:v>5047.823714026955</x:v>
      </x:c>
      <x:c r="I151" s="22" t="n">
        <x:v>8076.022264352597</x:v>
      </x:c>
      <x:c r="J151" s="22" t="n">
        <x:v>948.2</x:v>
      </x:c>
      <x:c r="K151" s="22" t="n">
        <x:v>10050.92</x:v>
      </x:c>
      <x:c r="L151" s="22" t="str">
        <x:v>可承受</x:v>
      </x:c>
    </x:row>
    <x:row r="152" ht="24" customHeight="1">
      <x:c r="A152" s="22" t="str">
        <x:v>EL-MON-LIM-CASTLE-006</x:v>
      </x:c>
      <x:c r="B152" s="22" t="str">
        <x:v>王城禁卫</x:v>
      </x:c>
      <x:c r="C152" s="22" t="str">
        <x:v>XX143</x:v>
      </x:c>
      <x:c r="D152" s="22" t="str">
        <x:v>P0046</x:v>
      </x:c>
      <x:c r="E152" s="22" t="str">
        <x:v>普通</x:v>
      </x:c>
      <x:c r="F152" s="22" t="n">
        <x:v>4.4323025567317025</x:v>
      </x:c>
      <x:c r="G152" s="22" t="n">
        <x:v>-43</x:v>
      </x:c>
      <x:c r="H152" s="22" t="n">
        <x:v>5047.823714026955</x:v>
      </x:c>
      <x:c r="I152" s="22" t="n">
        <x:v>8076.022264352597</x:v>
      </x:c>
      <x:c r="J152" s="22" t="n">
        <x:v>948.2</x:v>
      </x:c>
      <x:c r="K152" s="22" t="n">
        <x:v>10050.92</x:v>
      </x:c>
      <x:c r="L152" s="22" t="str">
        <x:v>可承受</x:v>
      </x:c>
    </x:row>
    <x:row r="153" ht="24" customHeight="1">
      <x:c r="A153" s="22" t="str">
        <x:v>EL-MON-LIM-CASTLE-006</x:v>
      </x:c>
      <x:c r="B153" s="22" t="str">
        <x:v>王城禁卫</x:v>
      </x:c>
      <x:c r="C153" s="22" t="str">
        <x:v>XX145</x:v>
      </x:c>
      <x:c r="D153" s="22" t="str">
        <x:v>P0046</x:v>
      </x:c>
      <x:c r="E153" s="22" t="str">
        <x:v>普通</x:v>
      </x:c>
      <x:c r="F153" s="22" t="n">
        <x:v>4.4323025567317025</x:v>
      </x:c>
      <x:c r="G153" s="22" t="n">
        <x:v>-43</x:v>
      </x:c>
      <x:c r="H153" s="22" t="n">
        <x:v>5047.823714026955</x:v>
      </x:c>
      <x:c r="I153" s="22" t="n">
        <x:v>8076.022264352597</x:v>
      </x:c>
      <x:c r="J153" s="22" t="n">
        <x:v>948.2</x:v>
      </x:c>
      <x:c r="K153" s="22" t="n">
        <x:v>10050.92</x:v>
      </x:c>
      <x:c r="L153" s="22" t="str">
        <x:v>可承受</x:v>
      </x:c>
    </x:row>
    <x:row r="154" ht="24" customHeight="1">
      <x:c r="A154" s="22" t="str">
        <x:v>EL-MON-LIM-CASTLE-007</x:v>
      </x:c>
      <x:c r="B154" s="22" t="str">
        <x:v>失乡骑士长</x:v>
      </x:c>
      <x:c r="C154" s="22" t="str">
        <x:v>XX144</x:v>
      </x:c>
      <x:c r="D154" s="22" t="str">
        <x:v>P0046</x:v>
      </x:c>
      <x:c r="E154" s="22" t="str">
        <x:v>稀有</x:v>
      </x:c>
      <x:c r="F154" s="22" t="n">
        <x:v>15.803535238942551</x:v>
      </x:c>
      <x:c r="G154" s="22" t="n">
        <x:v>-43</x:v>
      </x:c>
      <x:c r="H154" s="22" t="n">
        <x:v>9023.519644749893</x:v>
      </x:c>
      <x:c r="I154" s="22" t="n">
        <x:v>8076.022264352597</x:v>
      </x:c>
      <x:c r="J154" s="22" t="n">
        <x:v>1748.2</x:v>
      </x:c>
      <x:c r="K154" s="22" t="n">
        <x:v>18530.92</x:v>
      </x:c>
      <x:c r="L154" s="22" t="str">
        <x:v>可承受</x:v>
      </x:c>
    </x:row>
    <x:row r="155" ht="24" customHeight="1">
      <x:c r="A155" s="22" t="str">
        <x:v>EL-MON-LIM-CASTLE-007</x:v>
      </x:c>
      <x:c r="B155" s="22" t="str">
        <x:v>失乡骑士长</x:v>
      </x:c>
      <x:c r="C155" s="22" t="str">
        <x:v>XX143</x:v>
      </x:c>
      <x:c r="D155" s="22" t="str">
        <x:v>P0046</x:v>
      </x:c>
      <x:c r="E155" s="22" t="str">
        <x:v>稀有</x:v>
      </x:c>
      <x:c r="F155" s="22" t="n">
        <x:v>15.803535238942551</x:v>
      </x:c>
      <x:c r="G155" s="22" t="n">
        <x:v>-43</x:v>
      </x:c>
      <x:c r="H155" s="22" t="n">
        <x:v>9023.519644749893</x:v>
      </x:c>
      <x:c r="I155" s="22" t="n">
        <x:v>8076.022264352597</x:v>
      </x:c>
      <x:c r="J155" s="22" t="n">
        <x:v>1748.2</x:v>
      </x:c>
      <x:c r="K155" s="22" t="n">
        <x:v>18530.92</x:v>
      </x:c>
      <x:c r="L155" s="22" t="str">
        <x:v>可承受</x:v>
      </x:c>
    </x:row>
    <x:row r="156" ht="24" customHeight="1">
      <x:c r="A156" s="22" t="str">
        <x:v>EL-MON-LIM-CASTLE-008</x:v>
      </x:c>
      <x:c r="B156" s="22" t="str">
        <x:v>接肢狮卫</x:v>
      </x:c>
      <x:c r="C156" s="22" t="str">
        <x:v>XX143</x:v>
      </x:c>
      <x:c r="D156" s="22" t="str">
        <x:v>P0046</x:v>
      </x:c>
      <x:c r="E156" s="22" t="str">
        <x:v>稀有</x:v>
      </x:c>
      <x:c r="F156" s="22" t="n">
        <x:v>15.803535238942551</x:v>
      </x:c>
      <x:c r="G156" s="22" t="n">
        <x:v>-43</x:v>
      </x:c>
      <x:c r="H156" s="22" t="n">
        <x:v>9023.519644749893</x:v>
      </x:c>
      <x:c r="I156" s="22" t="n">
        <x:v>8076.022264352597</x:v>
      </x:c>
      <x:c r="J156" s="22" t="n">
        <x:v>1748.2</x:v>
      </x:c>
      <x:c r="K156" s="22" t="n">
        <x:v>18530.92</x:v>
      </x:c>
      <x:c r="L156" s="22" t="str">
        <x:v>可承受</x:v>
      </x:c>
    </x:row>
    <x:row r="157" ht="24" customHeight="1">
      <x:c r="A157" s="22" t="str">
        <x:v>EL-MON-LIM-CASTLE-009</x:v>
      </x:c>
      <x:c r="B157" s="22" t="str">
        <x:v>黑焰礼拜官</x:v>
      </x:c>
      <x:c r="C157" s="22" t="str">
        <x:v>XX143</x:v>
      </x:c>
      <x:c r="D157" s="22" t="str">
        <x:v>P0046</x:v>
      </x:c>
      <x:c r="E157" s="22" t="str">
        <x:v>稀有</x:v>
      </x:c>
      <x:c r="F157" s="22" t="n">
        <x:v>15.803535238942551</x:v>
      </x:c>
      <x:c r="G157" s="22" t="n">
        <x:v>-43</x:v>
      </x:c>
      <x:c r="H157" s="22" t="n">
        <x:v>9023.519644749893</x:v>
      </x:c>
      <x:c r="I157" s="22" t="n">
        <x:v>8076.022264352597</x:v>
      </x:c>
      <x:c r="J157" s="22" t="n">
        <x:v>1748.2</x:v>
      </x:c>
      <x:c r="K157" s="22" t="n">
        <x:v>18530.92</x:v>
      </x:c>
      <x:c r="L157" s="22" t="str">
        <x:v>可承受</x:v>
      </x:c>
    </x:row>
    <x:row r="158" ht="24" customHeight="1">
      <x:c r="A158" s="22" t="str">
        <x:v>EL-MON-LIM-CASTLE-009</x:v>
      </x:c>
      <x:c r="B158" s="22" t="str">
        <x:v>黑焰礼拜官</x:v>
      </x:c>
      <x:c r="C158" s="22" t="str">
        <x:v>XX145</x:v>
      </x:c>
      <x:c r="D158" s="22" t="str">
        <x:v>P0046</x:v>
      </x:c>
      <x:c r="E158" s="22" t="str">
        <x:v>稀有</x:v>
      </x:c>
      <x:c r="F158" s="22" t="n">
        <x:v>15.803535238942551</x:v>
      </x:c>
      <x:c r="G158" s="22" t="n">
        <x:v>-43</x:v>
      </x:c>
      <x:c r="H158" s="22" t="n">
        <x:v>9023.519644749893</x:v>
      </x:c>
      <x:c r="I158" s="22" t="n">
        <x:v>8076.022264352597</x:v>
      </x:c>
      <x:c r="J158" s="22" t="n">
        <x:v>1748.2</x:v>
      </x:c>
      <x:c r="K158" s="22" t="n">
        <x:v>18530.92</x:v>
      </x:c>
      <x:c r="L158" s="22" t="str">
        <x:v>可承受</x:v>
      </x:c>
    </x:row>
    <x:row r="159" ht="24" customHeight="1">
      <x:c r="A159" s="22" t="str">
        <x:v>EL-MON-LIM-CASTLE-010</x:v>
      </x:c>
      <x:c r="B159" s="22" t="str">
        <x:v>王城执刑官</x:v>
      </x:c>
      <x:c r="C159" s="22" t="str">
        <x:v>XX145</x:v>
      </x:c>
      <x:c r="D159" s="22" t="str">
        <x:v>P0046</x:v>
      </x:c>
      <x:c r="E159" s="22" t="str">
        <x:v>稀有</x:v>
      </x:c>
      <x:c r="F159" s="22" t="n">
        <x:v>15.171393829384849</x:v>
      </x:c>
      <x:c r="G159" s="22" t="n">
        <x:v>-43</x:v>
      </x:c>
      <x:c r="H159" s="22" t="n">
        <x:v>9143.179101648844</x:v>
      </x:c>
      <x:c r="I159" s="22" t="n">
        <x:v>8076.022264352597</x:v>
      </x:c>
      <x:c r="J159" s="22" t="n">
        <x:v>1788.2</x:v>
      </x:c>
      <x:c r="K159" s="22" t="n">
        <x:v>18954.92</x:v>
      </x:c>
      <x:c r="L159" s="22" t="str">
        <x:v>可承受</x:v>
      </x:c>
    </x:row>
    <x:row r="160" ht="24" customHeight="1">
      <x:c r="A160" s="22" t="str">
        <x:v>EL-MON-LIM-CASTLE-011</x:v>
      </x:c>
      <x:c r="B160" s="22" t="str">
        <x:v>接肢兽将·戈德温</x:v>
      </x:c>
      <x:c r="C160" s="22" t="str">
        <x:v>XX145</x:v>
      </x:c>
      <x:c r="D160" s="22" t="str">
        <x:v>P0053</x:v>
      </x:c>
      <x:c r="E160" s="22" t="str">
        <x:v>地图BOSS</x:v>
      </x:c>
      <x:c r="F160" s="22" t="n">
        <x:v>67.48984614681792</x:v>
      </x:c>
      <x:c r="G160" s="22" t="n">
        <x:v>-23</x:v>
      </x:c>
      <x:c r="H160" s="22" t="n">
        <x:v>12636.571036711113</x:v>
      </x:c>
      <x:c r="I160" s="22" t="n">
        <x:v>10777.452998179026</x:v>
      </x:c>
      <x:c r="J160" s="22" t="n">
        <x:v>6625.400000000001</x:v>
      </x:c>
      <x:c r="K160" s="22" t="n">
        <x:v>43727.64000000001</x:v>
      </x:c>
      <x:c r="L160" s="22" t="str">
        <x:v>可承受</x:v>
      </x:c>
    </x:row>
    <x:row r="161" ht="24" customHeight="1">
      <x:c r="A161" s="22" t="str">
        <x:v>EL-MON-LIM-CASTLE-012</x:v>
      </x:c>
      <x:c r="B161" s="22" t="str">
        <x:v>失乡统帅·欧尼尔</x:v>
      </x:c>
      <x:c r="C161" s="22" t="str">
        <x:v>XX145</x:v>
      </x:c>
      <x:c r="D161" s="22" t="str">
        <x:v>P0054</x:v>
      </x:c>
      <x:c r="E161" s="22" t="str">
        <x:v>地图BOSS</x:v>
      </x:c>
      <x:c r="F161" s="22" t="n">
        <x:v>86.07400667999967</x:v>
      </x:c>
      <x:c r="G161" s="22" t="n">
        <x:v>-23</x:v>
      </x:c>
      <x:c r="H161" s="22" t="n">
        <x:v>12187.302681155557</x:v>
      </x:c>
      <x:c r="I161" s="22" t="n">
        <x:v>10777.452998179026</x:v>
      </x:c>
      <x:c r="J161" s="22" t="n">
        <x:v>6225.400000000001</x:v>
      </x:c>
      <x:c r="K161" s="22" t="n">
        <x:v>41087.64000000001</x:v>
      </x:c>
      <x:c r="L161" s="22" t="str">
        <x:v>可承受</x:v>
      </x:c>
    </x:row>
    <x:row r="162" ht="24" customHeight="1">
      <x:c r="A162" s="22" t="str">
        <x:v>EL-MON-LIM-CASTLE-013</x:v>
      </x:c>
      <x:c r="B162" s="22" t="str">
        <x:v>接肢君王·葛瑞克</x:v>
      </x:c>
      <x:c r="C162" s="22" t="str">
        <x:v>XX279</x:v>
      </x:c>
      <x:c r="D162" s="22" t="str">
        <x:v>P0058</x:v>
      </x:c>
      <x:c r="E162" s="22" t="str">
        <x:v>守关BOSS</x:v>
      </x:c>
      <x:c r="F162" s="22" t="n">
        <x:v>145.46640258549633</x:v>
      </x:c>
      <x:c r="G162" s="22" t="n">
        <x:v>7</x:v>
      </x:c>
      <x:c r="H162" s="22" t="n">
        <x:v>14920.415</x:v>
      </x:c>
      <x:c r="I162" s="22" t="n">
        <x:v>14646.220137856952</x:v>
      </x:c>
      <x:c r="J162" s="22" t="n">
        <x:v>34400.83</x:v>
      </x:c>
      <x:c r="K162" s="22" t="n">
        <x:v>34400.83</x:v>
      </x:c>
      <x:c r="L162" s="22" t="str">
        <x:v>可承受</x:v>
      </x:c>
    </x:row>
    <x:row r="163" ht="24" customHeight="1">
      <x:c r="A163" s="22" t="str">
        <x:v>C03-M001</x:v>
      </x:c>
      <x:c r="B163" s="22" t="str">
        <x:v>荒原拾骨者</x:v>
      </x:c>
      <x:c r="C163" s="22" t="str">
        <x:v>XX776</x:v>
      </x:c>
      <x:c r="D163" s="22" t="str">
        <x:v>P0063</x:v>
      </x:c>
      <x:c r="E163" s="22" t="str">
        <x:v>普通</x:v>
      </x:c>
      <x:c r="F163" s="22" t="n">
        <x:v>5.040555446150437</x:v>
      </x:c>
      <x:c r="G163" s="22" t="n">
        <x:v>7</x:v>
      </x:c>
      <x:c r="H163" s="22" t="n">
        <x:v>7250.518749999999</x:v>
      </x:c>
      <x:c r="I163" s="22" t="n">
        <x:v>16301.66033935202</x:v>
      </x:c>
      <x:c r="J163" s="22" t="n">
        <x:v>13500.83</x:v>
      </x:c>
      <x:c r="K163" s="22" t="n">
        <x:v>13500.83</x:v>
      </x:c>
      <x:c r="L163" s="22" t="str">
        <x:v>可承受</x:v>
      </x:c>
    </x:row>
    <x:row r="164" ht="24" customHeight="1">
      <x:c r="A164" s="22" t="str">
        <x:v>C03-M002</x:v>
      </x:c>
      <x:c r="B164" s="22" t="str">
        <x:v>断旗步兵</x:v>
      </x:c>
      <x:c r="C164" s="22" t="str">
        <x:v>XX775</x:v>
      </x:c>
      <x:c r="D164" s="22" t="str">
        <x:v>P0063</x:v>
      </x:c>
      <x:c r="E164" s="22" t="str">
        <x:v>普通</x:v>
      </x:c>
      <x:c r="F164" s="22" t="n">
        <x:v>4.163937107689491</x:v>
      </x:c>
      <x:c r="G164" s="22" t="n">
        <x:v>7</x:v>
      </x:c>
      <x:c r="H164" s="22" t="n">
        <x:v>7369.268749999999</x:v>
      </x:c>
      <x:c r="I164" s="22" t="n">
        <x:v>16301.66033935202</x:v>
      </x:c>
      <x:c r="J164" s="22" t="n">
        <x:v>13500.83</x:v>
      </x:c>
      <x:c r="K164" s="22" t="n">
        <x:v>13500.83</x:v>
      </x:c>
      <x:c r="L164" s="22" t="str">
        <x:v>可承受</x:v>
      </x:c>
    </x:row>
    <x:row r="165" ht="24" customHeight="1">
      <x:c r="A165" s="22" t="str">
        <x:v>C03-M003</x:v>
      </x:c>
      <x:c r="B165" s="22" t="str">
        <x:v>风沙掠夺者</x:v>
      </x:c>
      <x:c r="C165" s="22" t="str">
        <x:v>XX780</x:v>
      </x:c>
      <x:c r="D165" s="22" t="str">
        <x:v>P0063</x:v>
      </x:c>
      <x:c r="E165" s="22" t="str">
        <x:v>普通</x:v>
      </x:c>
      <x:c r="F165" s="22" t="n">
        <x:v>4.602246276919964</x:v>
      </x:c>
      <x:c r="G165" s="22" t="n">
        <x:v>7</x:v>
      </x:c>
      <x:c r="H165" s="22" t="n">
        <x:v>7369.268749999999</x:v>
      </x:c>
      <x:c r="I165" s="22" t="n">
        <x:v>16301.66033935202</x:v>
      </x:c>
      <x:c r="J165" s="22" t="n">
        <x:v>13500.83</x:v>
      </x:c>
      <x:c r="K165" s="22" t="n">
        <x:v>13500.83</x:v>
      </x:c>
      <x:c r="L165" s="22" t="str">
        <x:v>可承受</x:v>
      </x:c>
    </x:row>
    <x:row r="166" ht="24" customHeight="1">
      <x:c r="A166" s="22" t="str">
        <x:v>C03-M004</x:v>
      </x:c>
      <x:c r="B166" s="22" t="str">
        <x:v>铁蹄战马</x:v>
      </x:c>
      <x:c r="C166" s="22" t="str">
        <x:v>XX780</x:v>
      </x:c>
      <x:c r="D166" s="22" t="str">
        <x:v>P0063</x:v>
      </x:c>
      <x:c r="E166" s="22" t="str">
        <x:v>普通</x:v>
      </x:c>
      <x:c r="F166" s="22" t="n">
        <x:v>4.383091692304728</x:v>
      </x:c>
      <x:c r="G166" s="22" t="n">
        <x:v>7</x:v>
      </x:c>
      <x:c r="H166" s="22" t="n">
        <x:v>7369.268749999999</x:v>
      </x:c>
      <x:c r="I166" s="22" t="n">
        <x:v>16301.66033935202</x:v>
      </x:c>
      <x:c r="J166" s="22" t="n">
        <x:v>13500.83</x:v>
      </x:c>
      <x:c r="K166" s="22" t="n">
        <x:v>13500.83</x:v>
      </x:c>
      <x:c r="L166" s="22" t="str">
        <x:v>可承受</x:v>
      </x:c>
    </x:row>
    <x:row r="167" ht="24" customHeight="1">
      <x:c r="A167" s="22" t="str">
        <x:v>C03-M005</x:v>
      </x:c>
      <x:c r="B167" s="22" t="str">
        <x:v>枯草狼</x:v>
      </x:c>
      <x:c r="C167" s="22" t="str">
        <x:v>XX776</x:v>
      </x:c>
      <x:c r="D167" s="22" t="str">
        <x:v>P0063</x:v>
      </x:c>
      <x:c r="E167" s="22" t="str">
        <x:v>普通</x:v>
      </x:c>
      <x:c r="F167" s="22" t="n">
        <x:v>4.383091692304728</x:v>
      </x:c>
      <x:c r="G167" s="22" t="n">
        <x:v>7</x:v>
      </x:c>
      <x:c r="H167" s="22" t="n">
        <x:v>7369.268749999999</x:v>
      </x:c>
      <x:c r="I167" s="22" t="n">
        <x:v>16301.66033935202</x:v>
      </x:c>
      <x:c r="J167" s="22" t="n">
        <x:v>13500.83</x:v>
      </x:c>
      <x:c r="K167" s="22" t="n">
        <x:v>13500.83</x:v>
      </x:c>
      <x:c r="L167" s="22" t="str">
        <x:v>可承受</x:v>
      </x:c>
    </x:row>
    <x:row r="168" ht="24" customHeight="1">
      <x:c r="A168" s="22" t="str">
        <x:v>C03-M006</x:v>
      </x:c>
      <x:c r="B168" s="22" t="str">
        <x:v>锈甲逃兵</x:v>
      </x:c>
      <x:c r="C168" s="22" t="str">
        <x:v>XX778</x:v>
      </x:c>
      <x:c r="D168" s="22" t="str">
        <x:v>P0063</x:v>
      </x:c>
      <x:c r="E168" s="22" t="str">
        <x:v>普通</x:v>
      </x:c>
      <x:c r="F168" s="22" t="n">
        <x:v>4.383091692304728</x:v>
      </x:c>
      <x:c r="G168" s="22" t="n">
        <x:v>7</x:v>
      </x:c>
      <x:c r="H168" s="22" t="n">
        <x:v>7369.268749999999</x:v>
      </x:c>
      <x:c r="I168" s="22" t="n">
        <x:v>16301.66033935202</x:v>
      </x:c>
      <x:c r="J168" s="22" t="n">
        <x:v>13500.83</x:v>
      </x:c>
      <x:c r="K168" s="22" t="n">
        <x:v>13500.83</x:v>
      </x:c>
      <x:c r="L168" s="22" t="str">
        <x:v>可承受</x:v>
      </x:c>
    </x:row>
    <x:row r="169" ht="24" customHeight="1">
      <x:c r="A169" s="22" t="str">
        <x:v>C03-M007</x:v>
      </x:c>
      <x:c r="B169" s="22" t="str">
        <x:v>西境旗卫</x:v>
      </x:c>
      <x:c r="C169" s="22" t="str">
        <x:v>XX776</x:v>
      </x:c>
      <x:c r="D169" s="22" t="str">
        <x:v>P0063</x:v>
      </x:c>
      <x:c r="E169" s="22" t="str">
        <x:v>稀有</x:v>
      </x:c>
      <x:c r="F169" s="22" t="n">
        <x:v>15.650377514886777</x:v>
      </x:c>
      <x:c r="G169" s="22" t="n">
        <x:v>7</x:v>
      </x:c>
      <x:c r="H169" s="22" t="n">
        <x:v>14535.782352941178</x:v>
      </x:c>
      <x:c r="I169" s="22" t="n">
        <x:v>16301.66033935202</x:v>
      </x:c>
      <x:c r="J169" s="22" t="n">
        <x:v>28320.83</x:v>
      </x:c>
      <x:c r="K169" s="22" t="n">
        <x:v>28320.83</x:v>
      </x:c>
      <x:c r="L169" s="22" t="str">
        <x:v>可承受</x:v>
      </x:c>
    </x:row>
    <x:row r="170" ht="24" customHeight="1">
      <x:c r="A170" s="22" t="str">
        <x:v>C03-M008</x:v>
      </x:c>
      <x:c r="B170" s="22" t="str">
        <x:v>独眼弩将</x:v>
      </x:c>
      <x:c r="C170" s="22" t="str">
        <x:v>XX775</x:v>
      </x:c>
      <x:c r="D170" s="22" t="str">
        <x:v>P0063</x:v>
      </x:c>
      <x:c r="E170" s="22" t="str">
        <x:v>稀有</x:v>
      </x:c>
      <x:c r="F170" s="22" t="n">
        <x:v>14.0853397633981</x:v>
      </x:c>
      <x:c r="G170" s="22" t="n">
        <x:v>7</x:v>
      </x:c>
      <x:c r="H170" s="22" t="n">
        <x:v>15206.370588235295</x:v>
      </x:c>
      <x:c r="I170" s="22" t="n">
        <x:v>16301.66033935202</x:v>
      </x:c>
      <x:c r="J170" s="22" t="n">
        <x:v>29840.83</x:v>
      </x:c>
      <x:c r="K170" s="22" t="n">
        <x:v>29840.83</x:v>
      </x:c>
      <x:c r="L170" s="22" t="str">
        <x:v>可承受</x:v>
      </x:c>
    </x:row>
    <x:row r="171" ht="24" customHeight="1">
      <x:c r="A171" s="22" t="str">
        <x:v>C03-M009</x:v>
      </x:c>
      <x:c r="B171" s="22" t="str">
        <x:v>荒风骑士</x:v>
      </x:c>
      <x:c r="C171" s="22" t="str">
        <x:v>XX780</x:v>
      </x:c>
      <x:c r="D171" s="22" t="str">
        <x:v>P0063</x:v>
      </x:c>
      <x:c r="E171" s="22" t="str">
        <x:v>稀有</x:v>
      </x:c>
      <x:c r="F171" s="22" t="n">
        <x:v>12.520302011909422</x:v>
      </x:c>
      <x:c r="G171" s="22" t="n">
        <x:v>7</x:v>
      </x:c>
      <x:c r="H171" s="22" t="n">
        <x:v>16212.252941176472</x:v>
      </x:c>
      <x:c r="I171" s="22" t="n">
        <x:v>16301.66033935202</x:v>
      </x:c>
      <x:c r="J171" s="22" t="n">
        <x:v>31740.83</x:v>
      </x:c>
      <x:c r="K171" s="22" t="n">
        <x:v>31740.83</x:v>
      </x:c>
      <x:c r="L171" s="22" t="str">
        <x:v>可承受</x:v>
      </x:c>
    </x:row>
    <x:row r="172" ht="24" customHeight="1">
      <x:c r="A172" s="22" t="str">
        <x:v>C03-M010</x:v>
      </x:c>
      <x:c r="B172" s="22" t="str">
        <x:v>战场收尸官</x:v>
      </x:c>
      <x:c r="C172" s="22" t="str">
        <x:v>XX778</x:v>
      </x:c>
      <x:c r="D172" s="22" t="str">
        <x:v>P0063</x:v>
      </x:c>
      <x:c r="E172" s="22" t="str">
        <x:v>稀有</x:v>
      </x:c>
      <x:c r="F172" s="22" t="n">
        <x:v>12.520302011909422</x:v>
      </x:c>
      <x:c r="G172" s="22" t="n">
        <x:v>7</x:v>
      </x:c>
      <x:c r="H172" s="22" t="n">
        <x:v>16212.252941176472</x:v>
      </x:c>
      <x:c r="I172" s="22" t="n">
        <x:v>16301.66033935202</x:v>
      </x:c>
      <x:c r="J172" s="22" t="n">
        <x:v>31740.83</x:v>
      </x:c>
      <x:c r="K172" s="22" t="n">
        <x:v>31740.83</x:v>
      </x:c>
      <x:c r="L172" s="22" t="str">
        <x:v>可承受</x:v>
      </x:c>
    </x:row>
    <x:row r="173" ht="24" customHeight="1">
      <x:c r="A173" s="22" t="str">
        <x:v>C03-M011</x:v>
      </x:c>
      <x:c r="B173" s="22" t="str">
        <x:v>断旗统领·瓦伦</x:v>
      </x:c>
      <x:c r="C173" s="22" t="str">
        <x:v>XX775</x:v>
      </x:c>
      <x:c r="D173" s="22" t="str">
        <x:v>P0065</x:v>
      </x:c>
      <x:c r="E173" s="22" t="str">
        <x:v>地图BOSS</x:v>
      </x:c>
      <x:c r="F173" s="22" t="n">
        <x:v>89.49085446534227</x:v>
      </x:c>
      <x:c r="G173" s="22" t="n">
        <x:v>7</x:v>
      </x:c>
      <x:c r="H173" s="22" t="n">
        <x:v>16977.30277777778</x:v>
      </x:c>
      <x:c r="I173" s="22" t="n">
        <x:v>16853.941994131048</x:v>
      </x:c>
      <x:c r="J173" s="22" t="n">
        <x:v>35069.145000000004</x:v>
      </x:c>
      <x:c r="K173" s="22" t="n">
        <x:v>35069.145000000004</x:v>
      </x:c>
      <x:c r="L173" s="22" t="str">
        <x:v>可承受</x:v>
      </x:c>
    </x:row>
    <x:row r="174" ht="24" customHeight="1">
      <x:c r="A174" s="22" t="str">
        <x:v>C03-M012</x:v>
      </x:c>
      <x:c r="B174" s="22" t="str">
        <x:v>荒原巨犀·莫赫</x:v>
      </x:c>
      <x:c r="C174" s="22" t="str">
        <x:v>XX778</x:v>
      </x:c>
      <x:c r="D174" s="22" t="str">
        <x:v>P0066</x:v>
      </x:c>
      <x:c r="E174" s="22" t="str">
        <x:v>地图BOSS</x:v>
      </x:c>
      <x:c r="F174" s="22" t="n">
        <x:v>71.59268357227381</x:v>
      </x:c>
      <x:c r="G174" s="22" t="n">
        <x:v>7</x:v>
      </x:c>
      <x:c r="H174" s="22" t="n">
        <x:v>17888.413888888892</x:v>
      </x:c>
      <x:c r="I174" s="22" t="n">
        <x:v>16853.941994131048</x:v>
      </x:c>
      <x:c r="J174" s="22" t="n">
        <x:v>37119.145000000004</x:v>
      </x:c>
      <x:c r="K174" s="22" t="n">
        <x:v>37119.145000000004</x:v>
      </x:c>
      <x:c r="L174" s="22" t="str">
        <x:v>可承受</x:v>
      </x:c>
    </x:row>
    <x:row r="175" ht="24" customHeight="1">
      <x:c r="A175" s="22" t="str">
        <x:v>C03-M013</x:v>
      </x:c>
      <x:c r="B175" s="22" t="str">
        <x:v>海崖盐工</x:v>
      </x:c>
      <x:c r="C175" s="22" t="str">
        <x:v>XX332</x:v>
      </x:c>
      <x:c r="D175" s="22" t="str">
        <x:v>P0064</x:v>
      </x:c>
      <x:c r="E175" s="22" t="str">
        <x:v>普通</x:v>
      </x:c>
      <x:c r="F175" s="22" t="n">
        <x:v>4.3633778173039195</x:v>
      </x:c>
      <x:c r="G175" s="22" t="n">
        <x:v>-3</x:v>
      </x:c>
      <x:c r="H175" s="22" t="n">
        <x:v>7394.389975</x:v>
      </x:c>
      <x:c r="I175" s="22" t="n">
        <x:v>16449.573015469156</x:v>
      </x:c>
      <x:c r="J175" s="22" t="n">
        <x:v>12929.145</x:v>
      </x:c>
      <x:c r="K175" s="22" t="n">
        <x:v>33615.777</x:v>
      </x:c>
      <x:c r="L175" s="22" t="str">
        <x:v>可承受</x:v>
      </x:c>
    </x:row>
    <x:row r="176" ht="24" customHeight="1">
      <x:c r="A176" s="22" t="str">
        <x:v>C03-M014</x:v>
      </x:c>
      <x:c r="B176" s="22" t="str">
        <x:v>逐风矛兵</x:v>
      </x:c>
      <x:c r="C176" s="22" t="str">
        <x:v>XX333</x:v>
      </x:c>
      <x:c r="D176" s="22" t="str">
        <x:v>P0064</x:v>
      </x:c>
      <x:c r="E176" s="22" t="str">
        <x:v>普通</x:v>
      </x:c>
      <x:c r="F176" s="22" t="n">
        <x:v>4.581546708169116</x:v>
      </x:c>
      <x:c r="G176" s="22" t="n">
        <x:v>-3</x:v>
      </x:c>
      <x:c r="H176" s="22" t="n">
        <x:v>7394.389975</x:v>
      </x:c>
      <x:c r="I176" s="22" t="n">
        <x:v>16449.573015469156</x:v>
      </x:c>
      <x:c r="J176" s="22" t="n">
        <x:v>12929.145</x:v>
      </x:c>
      <x:c r="K176" s="22" t="n">
        <x:v>33615.777</x:v>
      </x:c>
      <x:c r="L176" s="22" t="str">
        <x:v>可承受</x:v>
      </x:c>
    </x:row>
    <x:row r="177" ht="24" customHeight="1">
      <x:c r="A177" s="22" t="str">
        <x:v>C03-M015</x:v>
      </x:c>
      <x:c r="B177" s="22" t="str">
        <x:v>裂羽海鹰</x:v>
      </x:c>
      <x:c r="C177" s="22" t="str">
        <x:v>XX334</x:v>
      </x:c>
      <x:c r="D177" s="22" t="str">
        <x:v>P0064</x:v>
      </x:c>
      <x:c r="E177" s="22" t="str">
        <x:v>普通</x:v>
      </x:c>
      <x:c r="F177" s="22" t="n">
        <x:v>4.145208926438723</x:v>
      </x:c>
      <x:c r="G177" s="22" t="n">
        <x:v>-3</x:v>
      </x:c>
      <x:c r="H177" s="22" t="n">
        <x:v>7394.389975</x:v>
      </x:c>
      <x:c r="I177" s="22" t="n">
        <x:v>16449.573015469156</x:v>
      </x:c>
      <x:c r="J177" s="22" t="n">
        <x:v>12929.145</x:v>
      </x:c>
      <x:c r="K177" s="22" t="n">
        <x:v>33615.777</x:v>
      </x:c>
      <x:c r="L177" s="22" t="str">
        <x:v>可承受</x:v>
      </x:c>
    </x:row>
    <x:row r="178" ht="24" customHeight="1">
      <x:c r="A178" s="22" t="str">
        <x:v>C03-M016</x:v>
      </x:c>
      <x:c r="B178" s="22" t="str">
        <x:v>潮穴石蜥</x:v>
      </x:c>
      <x:c r="C178" s="22" t="str">
        <x:v>XX332</x:v>
      </x:c>
      <x:c r="D178" s="22" t="str">
        <x:v>P0064</x:v>
      </x:c>
      <x:c r="E178" s="22" t="str">
        <x:v>普通</x:v>
      </x:c>
      <x:c r="F178" s="22" t="n">
        <x:v>5.308776344386435</x:v>
      </x:c>
      <x:c r="G178" s="22" t="n">
        <x:v>-3</x:v>
      </x:c>
      <x:c r="H178" s="22" t="n">
        <x:v>7125.839975</x:v>
      </x:c>
      <x:c r="I178" s="22" t="n">
        <x:v>16449.573015469156</x:v>
      </x:c>
      <x:c r="J178" s="22" t="n">
        <x:v>12519.145</x:v>
      </x:c>
      <x:c r="K178" s="22" t="n">
        <x:v>32549.777000000002</x:v>
      </x:c>
      <x:c r="L178" s="22" t="str">
        <x:v>可承受</x:v>
      </x:c>
    </x:row>
    <x:row r="179" ht="24" customHeight="1">
      <x:c r="A179" s="22" t="str">
        <x:v>C03-M017</x:v>
      </x:c>
      <x:c r="B179" s="22" t="str">
        <x:v>断索流徒</x:v>
      </x:c>
      <x:c r="C179" s="22" t="str">
        <x:v>XX333</x:v>
      </x:c>
      <x:c r="D179" s="22" t="str">
        <x:v>P0064</x:v>
      </x:c>
      <x:c r="E179" s="22" t="str">
        <x:v>普通</x:v>
      </x:c>
      <x:c r="F179" s="22" t="n">
        <x:v>5.308776344386435</x:v>
      </x:c>
      <x:c r="G179" s="22" t="n">
        <x:v>-3</x:v>
      </x:c>
      <x:c r="H179" s="22" t="n">
        <x:v>7125.839975</x:v>
      </x:c>
      <x:c r="I179" s="22" t="n">
        <x:v>16449.573015469156</x:v>
      </x:c>
      <x:c r="J179" s="22" t="n">
        <x:v>12519.145</x:v>
      </x:c>
      <x:c r="K179" s="22" t="n">
        <x:v>32549.777000000002</x:v>
      </x:c>
      <x:c r="L179" s="22" t="str">
        <x:v>可承受</x:v>
      </x:c>
    </x:row>
    <x:row r="180" ht="24" customHeight="1">
      <x:c r="A180" s="22" t="str">
        <x:v>C03-M018</x:v>
      </x:c>
      <x:c r="B180" s="22" t="str">
        <x:v>崖边祷徒</x:v>
      </x:c>
      <x:c r="C180" s="22" t="str">
        <x:v>XX335</x:v>
      </x:c>
      <x:c r="D180" s="22" t="str">
        <x:v>P0064</x:v>
      </x:c>
      <x:c r="E180" s="22" t="str">
        <x:v>普通</x:v>
      </x:c>
      <x:c r="F180" s="22" t="n">
        <x:v>5.09060745352124</x:v>
      </x:c>
      <x:c r="G180" s="22" t="n">
        <x:v>-3</x:v>
      </x:c>
      <x:c r="H180" s="22" t="n">
        <x:v>7394.389975</x:v>
      </x:c>
      <x:c r="I180" s="22" t="n">
        <x:v>16449.573015469156</x:v>
      </x:c>
      <x:c r="J180" s="22" t="n">
        <x:v>12929.145</x:v>
      </x:c>
      <x:c r="K180" s="22" t="n">
        <x:v>33615.777</x:v>
      </x:c>
      <x:c r="L180" s="22" t="str">
        <x:v>可承受</x:v>
      </x:c>
    </x:row>
    <x:row r="181" ht="24" customHeight="1">
      <x:c r="A181" s="22" t="str">
        <x:v>C03-M019</x:v>
      </x:c>
      <x:c r="B181" s="22" t="str">
        <x:v>风蚀守望者</x:v>
      </x:c>
      <x:c r="C181" s="22" t="str">
        <x:v>XX334</x:v>
      </x:c>
      <x:c r="D181" s="22" t="str">
        <x:v>P0064</x:v>
      </x:c>
      <x:c r="E181" s="22" t="str">
        <x:v>稀有</x:v>
      </x:c>
      <x:c r="F181" s="22" t="n">
        <x:v>12.392465996028477</x:v>
      </x:c>
      <x:c r="G181" s="22" t="n">
        <x:v>-3</x:v>
      </x:c>
      <x:c r="H181" s="22" t="n">
        <x:v>16564.037623529413</x:v>
      </x:c>
      <x:c r="I181" s="22" t="n">
        <x:v>16449.573015469156</x:v>
      </x:c>
      <x:c r="J181" s="22" t="n">
        <x:v>30969.145000000004</x:v>
      </x:c>
      <x:c r="K181" s="22" t="n">
        <x:v>80519.77700000002</x:v>
      </x:c>
      <x:c r="L181" s="22" t="str">
        <x:v>可承受</x:v>
      </x:c>
    </x:row>
    <x:row r="182" ht="24" customHeight="1">
      <x:c r="A182" s="22" t="str">
        <x:v>C03-M020</x:v>
      </x:c>
      <x:c r="B182" s="22" t="str">
        <x:v>斩浪骑士</x:v>
      </x:c>
      <x:c r="C182" s="22" t="str">
        <x:v>XX332</x:v>
      </x:c>
      <x:c r="D182" s="22" t="str">
        <x:v>P0064</x:v>
      </x:c>
      <x:c r="E182" s="22" t="str">
        <x:v>稀有</x:v>
      </x:c>
      <x:c r="F182" s="22" t="n">
        <x:v>13.941524245532037</x:v>
      </x:c>
      <x:c r="G182" s="22" t="n">
        <x:v>-3</x:v>
      </x:c>
      <x:c r="H182" s="22" t="n">
        <x:v>15553.025858823532</x:v>
      </x:c>
      <x:c r="I182" s="22" t="n">
        <x:v>16449.573015469156</x:v>
      </x:c>
      <x:c r="J182" s="22" t="n">
        <x:v>28919.145</x:v>
      </x:c>
      <x:c r="K182" s="22" t="n">
        <x:v>75189.777</x:v>
      </x:c>
      <x:c r="L182" s="22" t="str">
        <x:v>可承受</x:v>
      </x:c>
    </x:row>
    <x:row r="183" ht="24" customHeight="1">
      <x:c r="A183" s="22" t="str">
        <x:v>C03-M021</x:v>
      </x:c>
      <x:c r="B183" s="22" t="str">
        <x:v>海雾猎手</x:v>
      </x:c>
      <x:c r="C183" s="22" t="str">
        <x:v>XX333</x:v>
      </x:c>
      <x:c r="D183" s="22" t="str">
        <x:v>P0064</x:v>
      </x:c>
      <x:c r="E183" s="22" t="str">
        <x:v>稀有</x:v>
      </x:c>
      <x:c r="F183" s="22" t="n">
        <x:v>16.265111619787376</x:v>
      </x:c>
      <x:c r="G183" s="22" t="n">
        <x:v>-3</x:v>
      </x:c>
      <x:c r="H183" s="22" t="n">
        <x:v>14542.014094117649</x:v>
      </x:c>
      <x:c r="I183" s="22" t="n">
        <x:v>16449.573015469156</x:v>
      </x:c>
      <x:c r="J183" s="22" t="n">
        <x:v>27279.145</x:v>
      </x:c>
      <x:c r="K183" s="22" t="n">
        <x:v>70925.777</x:v>
      </x:c>
      <x:c r="L183" s="22" t="str">
        <x:v>可承受</x:v>
      </x:c>
    </x:row>
    <x:row r="184" ht="24" customHeight="1">
      <x:c r="A184" s="22" t="str">
        <x:v>C03-M022</x:v>
      </x:c>
      <x:c r="B184" s="22" t="str">
        <x:v>雷崖祭司</x:v>
      </x:c>
      <x:c r="C184" s="22" t="str">
        <x:v>XX335</x:v>
      </x:c>
      <x:c r="D184" s="22" t="str">
        <x:v>P0064</x:v>
      </x:c>
      <x:c r="E184" s="22" t="str">
        <x:v>稀有</x:v>
      </x:c>
      <x:c r="F184" s="22" t="n">
        <x:v>13.166995120780257</x:v>
      </x:c>
      <x:c r="G184" s="22" t="n">
        <x:v>-3</x:v>
      </x:c>
      <x:c r="H184" s="22" t="n">
        <x:v>15932.155270588235</x:v>
      </x:c>
      <x:c r="I184" s="22" t="n">
        <x:v>16449.573015469156</x:v>
      </x:c>
      <x:c r="J184" s="22" t="n">
        <x:v>29739.145</x:v>
      </x:c>
      <x:c r="K184" s="22" t="n">
        <x:v>77321.777</x:v>
      </x:c>
      <x:c r="L184" s="22" t="str">
        <x:v>可承受</x:v>
      </x:c>
    </x:row>
    <x:row r="185" ht="24" customHeight="1">
      <x:c r="A185" s="22" t="str">
        <x:v>C03-M023</x:v>
      </x:c>
      <x:c r="B185" s="22" t="str">
        <x:v>裂风执旗官·卡恩</x:v>
      </x:c>
      <x:c r="C185" s="22" t="str">
        <x:v>XX334</x:v>
      </x:c>
      <x:c r="D185" s="22" t="str">
        <x:v>P0071</x:v>
      </x:c>
      <x:c r="E185" s="22" t="str">
        <x:v>地图BOSS</x:v>
      </x:c>
      <x:c r="F185" s="22" t="n">
        <x:v>68.23086005596672</x:v>
      </x:c>
      <x:c r="G185" s="22" t="n">
        <x:v>-11</x:v>
      </x:c>
      <x:c r="H185" s="22" t="n">
        <x:v>20858.83578299727</x:v>
      </x:c>
      <x:c r="I185" s="22" t="n">
        <x:v>19802.194773790496</x:v>
      </x:c>
      <x:c r="J185" s="22" t="n">
        <x:v>27517.795</x:v>
      </x:c>
      <x:c r="K185" s="22" t="n">
        <x:v>115574.739</x:v>
      </x:c>
      <x:c r="L185" s="22" t="str">
        <x:v>可承受</x:v>
      </x:c>
    </x:row>
    <x:row r="186" ht="24" customHeight="1">
      <x:c r="A186" s="22" t="str">
        <x:v>C03-M024</x:v>
      </x:c>
      <x:c r="B186" s="22" t="str">
        <x:v>啸海古翼·塞洛</x:v>
      </x:c>
      <x:c r="C186" s="22" t="str">
        <x:v>XX335</x:v>
      </x:c>
      <x:c r="D186" s="22" t="str">
        <x:v>P0072</x:v>
      </x:c>
      <x:c r="E186" s="22" t="str">
        <x:v>地图BOSS</x:v>
      </x:c>
      <x:c r="F186" s="22" t="n">
        <x:v>67.54855145540704</x:v>
      </x:c>
      <x:c r="G186" s="22" t="n">
        <x:v>-11</x:v>
      </x:c>
      <x:c r="H186" s="22" t="n">
        <x:v>20858.83578299727</x:v>
      </x:c>
      <x:c r="I186" s="22" t="n">
        <x:v>19802.194773790496</x:v>
      </x:c>
      <x:c r="J186" s="22" t="n">
        <x:v>27517.795</x:v>
      </x:c>
      <x:c r="K186" s="22" t="n">
        <x:v>115574.739</x:v>
      </x:c>
      <x:c r="L186" s="22" t="str">
        <x:v>可承受</x:v>
      </x:c>
    </x:row>
    <x:row r="187" ht="24" customHeight="1">
      <x:c r="A187" s="22" t="str">
        <x:v>C03-M025</x:v>
      </x:c>
      <x:c r="B187" s="22" t="str">
        <x:v>驿道苦役</x:v>
      </x:c>
      <x:c r="C187" s="22" t="str">
        <x:v>XX343</x:v>
      </x:c>
      <x:c r="D187" s="22" t="str">
        <x:v>P0070</x:v>
      </x:c>
      <x:c r="E187" s="22" t="str">
        <x:v>普通</x:v>
      </x:c>
      <x:c r="F187" s="22" t="n">
        <x:v>5.2246955275546405</x:v>
      </x:c>
      <x:c r="G187" s="22" t="n">
        <x:v>-11</x:v>
      </x:c>
      <x:c r="H187" s="22" t="n">
        <x:v>7675.204969340056</x:v>
      </x:c>
      <x:c r="I187" s="22" t="n">
        <x:v>18663.185452980542</x:v>
      </x:c>
      <x:c r="J187" s="22" t="n">
        <x:v>8717.795</x:v>
      </x:c>
      <x:c r="K187" s="22" t="n">
        <x:v>36614.739</x:v>
      </x:c>
      <x:c r="L187" s="22" t="str">
        <x:v>可承受</x:v>
      </x:c>
    </x:row>
    <x:row r="188" ht="24" customHeight="1">
      <x:c r="A188" s="22" t="str">
        <x:v>C03-M026</x:v>
      </x:c>
      <x:c r="B188" s="22" t="str">
        <x:v>荒商护卫</x:v>
      </x:c>
      <x:c r="C188" s="22" t="str">
        <x:v>XX344</x:v>
      </x:c>
      <x:c r="D188" s="22" t="str">
        <x:v>P0070</x:v>
      </x:c>
      <x:c r="E188" s="22" t="str">
        <x:v>普通</x:v>
      </x:c>
      <x:c r="F188" s="22" t="n">
        <x:v>4.532265999806436</x:v>
      </x:c>
      <x:c r="G188" s="22" t="n">
        <x:v>-11</x:v>
      </x:c>
      <x:c r="H188" s="22" t="n">
        <x:v>8153.455582751904</x:v>
      </x:c>
      <x:c r="I188" s="22" t="n">
        <x:v>18663.185452980542</x:v>
      </x:c>
      <x:c r="J188" s="22" t="n">
        <x:v>9187.795</x:v>
      </x:c>
      <x:c r="K188" s="22" t="n">
        <x:v>38588.739</x:v>
      </x:c>
      <x:c r="L188" s="22" t="str">
        <x:v>可承受</x:v>
      </x:c>
    </x:row>
    <x:row r="189" ht="24" customHeight="1">
      <x:c r="A189" s="22" t="str">
        <x:v>C03-M027</x:v>
      </x:c>
      <x:c r="B189" s="22" t="str">
        <x:v>灰篷盗匪</x:v>
      </x:c>
      <x:c r="C189" s="22" t="str">
        <x:v>XX343</x:v>
      </x:c>
      <x:c r="D189" s="22" t="str">
        <x:v>P0070</x:v>
      </x:c>
      <x:c r="E189" s="22" t="str">
        <x:v>普通</x:v>
      </x:c>
      <x:c r="F189" s="22" t="n">
        <x:v>4.532265999806436</x:v>
      </x:c>
      <x:c r="G189" s="22" t="n">
        <x:v>-11</x:v>
      </x:c>
      <x:c r="H189" s="22" t="n">
        <x:v>8153.455582751904</x:v>
      </x:c>
      <x:c r="I189" s="22" t="n">
        <x:v>18663.185452980542</x:v>
      </x:c>
      <x:c r="J189" s="22" t="n">
        <x:v>9187.795</x:v>
      </x:c>
      <x:c r="K189" s="22" t="n">
        <x:v>38588.739</x:v>
      </x:c>
      <x:c r="L189" s="22" t="str">
        <x:v>可承受</x:v>
      </x:c>
    </x:row>
    <x:row r="190" ht="24" customHeight="1">
      <x:c r="A190" s="22" t="str">
        <x:v>C03-M028</x:v>
      </x:c>
      <x:c r="B190" s="22" t="str">
        <x:v>驮货尸兵</x:v>
      </x:c>
      <x:c r="C190" s="22" t="str">
        <x:v>XX344</x:v>
      </x:c>
      <x:c r="D190" s="22" t="str">
        <x:v>P0070</x:v>
      </x:c>
      <x:c r="E190" s="22" t="str">
        <x:v>普通</x:v>
      </x:c>
      <x:c r="F190" s="22" t="n">
        <x:v>4.091629027603032</x:v>
      </x:c>
      <x:c r="G190" s="22" t="n">
        <x:v>-11</x:v>
      </x:c>
      <x:c r="H190" s="22" t="n">
        <x:v>8153.455582751904</x:v>
      </x:c>
      <x:c r="I190" s="22" t="n">
        <x:v>18663.185452980542</x:v>
      </x:c>
      <x:c r="J190" s="22" t="n">
        <x:v>9187.795</x:v>
      </x:c>
      <x:c r="K190" s="22" t="n">
        <x:v>38588.739</x:v>
      </x:c>
      <x:c r="L190" s="22" t="str">
        <x:v>可承受</x:v>
      </x:c>
    </x:row>
    <x:row r="191" ht="24" customHeight="1">
      <x:c r="A191" s="22" t="str">
        <x:v>C03-M029</x:v>
      </x:c>
      <x:c r="B191" s="22" t="str">
        <x:v>营火猎犬</x:v>
      </x:c>
      <x:c r="C191" s="22" t="str">
        <x:v>XX345</x:v>
      </x:c>
      <x:c r="D191" s="22" t="str">
        <x:v>P0070</x:v>
      </x:c>
      <x:c r="E191" s="22" t="str">
        <x:v>普通</x:v>
      </x:c>
      <x:c r="F191" s="22" t="n">
        <x:v>4.532265999806436</x:v>
      </x:c>
      <x:c r="G191" s="22" t="n">
        <x:v>-11</x:v>
      </x:c>
      <x:c r="H191" s="22" t="n">
        <x:v>8153.455582751904</x:v>
      </x:c>
      <x:c r="I191" s="22" t="n">
        <x:v>18663.185452980542</x:v>
      </x:c>
      <x:c r="J191" s="22" t="n">
        <x:v>9187.795</x:v>
      </x:c>
      <x:c r="K191" s="22" t="n">
        <x:v>38588.739</x:v>
      </x:c>
      <x:c r="L191" s="22" t="str">
        <x:v>可承受</x:v>
      </x:c>
    </x:row>
    <x:row r="192" ht="24" customHeight="1">
      <x:c r="A192" s="22" t="str">
        <x:v>C03-M030</x:v>
      </x:c>
      <x:c r="B192" s="22" t="str">
        <x:v>断轮弩手</x:v>
      </x:c>
      <x:c r="C192" s="22" t="str">
        <x:v>XX345</x:v>
      </x:c>
      <x:c r="D192" s="22" t="str">
        <x:v>P0070</x:v>
      </x:c>
      <x:c r="E192" s="22" t="str">
        <x:v>普通</x:v>
      </x:c>
      <x:c r="F192" s="22" t="n">
        <x:v>4.343421583147833</x:v>
      </x:c>
      <x:c r="G192" s="22" t="n">
        <x:v>-11</x:v>
      </x:c>
      <x:c r="H192" s="22" t="n">
        <x:v>8153.455582751904</x:v>
      </x:c>
      <x:c r="I192" s="22" t="n">
        <x:v>18663.185452980542</x:v>
      </x:c>
      <x:c r="J192" s="22" t="n">
        <x:v>9187.795</x:v>
      </x:c>
      <x:c r="K192" s="22" t="n">
        <x:v>38588.739</x:v>
      </x:c>
      <x:c r="L192" s="22" t="str">
        <x:v>可承受</x:v>
      </x:c>
    </x:row>
    <x:row r="193" ht="24" customHeight="1">
      <x:c r="A193" s="22" t="str">
        <x:v>C03-M031</x:v>
      </x:c>
      <x:c r="B193" s="22" t="str">
        <x:v>火漆追缉者</x:v>
      </x:c>
      <x:c r="C193" s="22" t="str">
        <x:v>XX343</x:v>
      </x:c>
      <x:c r="D193" s="22" t="str">
        <x:v>P0070</x:v>
      </x:c>
      <x:c r="E193" s="22" t="str">
        <x:v>稀有</x:v>
      </x:c>
      <x:c r="F193" s="22" t="n">
        <x:v>15.507241071614871</x:v>
      </x:c>
      <x:c r="G193" s="22" t="n">
        <x:v>-11</x:v>
      </x:c>
      <x:c r="H193" s="22" t="n">
        <x:v>16335.425028947031</x:v>
      </x:c>
      <x:c r="I193" s="22" t="n">
        <x:v>18663.185452980542</x:v>
      </x:c>
      <x:c r="J193" s="22" t="n">
        <x:v>19997.795</x:v>
      </x:c>
      <x:c r="K193" s="22" t="n">
        <x:v>83990.739</x:v>
      </x:c>
      <x:c r="L193" s="22" t="str">
        <x:v>可承受</x:v>
      </x:c>
    </x:row>
    <x:row r="194" ht="24" customHeight="1">
      <x:c r="A194" s="22" t="str">
        <x:v>C03-M032</x:v>
      </x:c>
      <x:c r="B194" s="22" t="str">
        <x:v>商队叛骑</x:v>
      </x:c>
      <x:c r="C194" s="22" t="str">
        <x:v>XX344</x:v>
      </x:c>
      <x:c r="D194" s="22" t="str">
        <x:v>P0070</x:v>
      </x:c>
      <x:c r="E194" s="22" t="str">
        <x:v>稀有</x:v>
      </x:c>
      <x:c r="F194" s="22" t="n">
        <x:v>12.810329580899241</x:v>
      </x:c>
      <x:c r="G194" s="22" t="n">
        <x:v>-11</x:v>
      </x:c>
      <x:c r="H194" s="22" t="n">
        <x:v>17878.645067580568</x:v>
      </x:c>
      <x:c r="I194" s="22" t="n">
        <x:v>18663.185452980542</x:v>
      </x:c>
      <x:c r="J194" s="22" t="n">
        <x:v>21877.795</x:v>
      </x:c>
      <x:c r="K194" s="22" t="n">
        <x:v>91886.739</x:v>
      </x:c>
      <x:c r="L194" s="22" t="str">
        <x:v>可承受</x:v>
      </x:c>
    </x:row>
    <x:row r="195" ht="24" customHeight="1">
      <x:c r="A195" s="22" t="str">
        <x:v>C03-M033</x:v>
      </x:c>
      <x:c r="B195" s="22" t="str">
        <x:v>断路劫首</x:v>
      </x:c>
      <x:c r="C195" s="22" t="str">
        <x:v>XX345</x:v>
      </x:c>
      <x:c r="D195" s="22" t="str">
        <x:v>P0070</x:v>
      </x:c>
      <x:c r="E195" s="22" t="str">
        <x:v>稀有</x:v>
      </x:c>
      <x:c r="F195" s="22" t="n">
        <x:v>12.810329580899241</x:v>
      </x:c>
      <x:c r="G195" s="22" t="n">
        <x:v>-11</x:v>
      </x:c>
      <x:c r="H195" s="22" t="n">
        <x:v>17878.645067580568</x:v>
      </x:c>
      <x:c r="I195" s="22" t="n">
        <x:v>18663.185452980542</x:v>
      </x:c>
      <x:c r="J195" s="22" t="n">
        <x:v>21877.795</x:v>
      </x:c>
      <x:c r="K195" s="22" t="n">
        <x:v>91886.739</x:v>
      </x:c>
      <x:c r="L195" s="22" t="str">
        <x:v>可承受</x:v>
      </x:c>
    </x:row>
    <x:row r="196" ht="24" customHeight="1">
      <x:c r="A196" s="22" t="str">
        <x:v>C03-M034</x:v>
      </x:c>
      <x:c r="B196" s="22" t="str">
        <x:v>黑帐术士</x:v>
      </x:c>
      <x:c r="C196" s="22" t="str">
        <x:v>XX345</x:v>
      </x:c>
      <x:c r="D196" s="22" t="str">
        <x:v>P0070</x:v>
      </x:c>
      <x:c r="E196" s="22" t="str">
        <x:v>稀有</x:v>
      </x:c>
      <x:c r="F196" s="22" t="n">
        <x:v>14.833013198935962</x:v>
      </x:c>
      <x:c r="G196" s="22" t="n">
        <x:v>-11</x:v>
      </x:c>
      <x:c r="H196" s="22" t="n">
        <x:v>16776.345039985183</x:v>
      </x:c>
      <x:c r="I196" s="22" t="n">
        <x:v>18663.185452980542</x:v>
      </x:c>
      <x:c r="J196" s="22" t="n">
        <x:v>20467.795</x:v>
      </x:c>
      <x:c r="K196" s="22" t="n">
        <x:v>85964.739</x:v>
      </x:c>
      <x:c r="L196" s="22" t="str">
        <x:v>可承受</x:v>
      </x:c>
    </x:row>
    <x:row r="197" ht="24" customHeight="1">
      <x:c r="A197" s="22" t="str">
        <x:v>C03-M035</x:v>
      </x:c>
      <x:c r="B197" s="22" t="str">
        <x:v>无路佣兵王·赫托</x:v>
      </x:c>
      <x:c r="C197" s="22" t="str">
        <x:v>XX344</x:v>
      </x:c>
      <x:c r="D197" s="22" t="str">
        <x:v>P0077</x:v>
      </x:c>
      <x:c r="E197" s="22" t="str">
        <x:v>地图BOSS</x:v>
      </x:c>
      <x:c r="F197" s="22" t="n">
        <x:v>70.20656911292254</x:v>
      </x:c>
      <x:c r="G197" s="22" t="n">
        <x:v>-17</x:v>
      </x:c>
      <x:c r="H197" s="22" t="n">
        <x:v>25391.167674307635</x:v>
      </x:c>
      <x:c r="I197" s="22" t="n">
        <x:v>24897.268514133466</x:v>
      </x:c>
      <x:c r="J197" s="22" t="n">
        <x:v>20663.5</x:v>
      </x:c>
      <x:c r="K197" s="22" t="n">
        <x:v>111582.90000000001</x:v>
      </x:c>
      <x:c r="L197" s="22" t="str">
        <x:v>可承受</x:v>
      </x:c>
    </x:row>
    <x:row r="198" ht="24" customHeight="1">
      <x:c r="A198" s="22" t="str">
        <x:v>C03-M036</x:v>
      </x:c>
      <x:c r="B198" s="22" t="str">
        <x:v>赤篷巨像·马尔</x:v>
      </x:c>
      <x:c r="C198" s="22" t="str">
        <x:v>XX345</x:v>
      </x:c>
      <x:c r="D198" s="22" t="str">
        <x:v>P0078</x:v>
      </x:c>
      <x:c r="E198" s="22" t="str">
        <x:v>地图BOSS</x:v>
      </x:c>
      <x:c r="F198" s="22" t="n">
        <x:v>81.00757974567985</x:v>
      </x:c>
      <x:c r="G198" s="22" t="n">
        <x:v>-17</x:v>
      </x:c>
      <x:c r="H198" s="22" t="n">
        <x:v>24611.58008836021</x:v>
      </x:c>
      <x:c r="I198" s="22" t="n">
        <x:v>24897.268514133466</x:v>
      </x:c>
      <x:c r="J198" s="22" t="n">
        <x:v>20113.5</x:v>
      </x:c>
      <x:c r="K198" s="22" t="n">
        <x:v>108612.90000000001</x:v>
      </x:c>
      <x:c r="L198" s="22" t="str">
        <x:v>可承受</x:v>
      </x:c>
    </x:row>
    <x:row r="199" ht="24" customHeight="1">
      <x:c r="A199" s="22" t="str">
        <x:v>C03-M037</x:v>
      </x:c>
      <x:c r="B199" s="22" t="str">
        <x:v>残阵兵魂</x:v>
      </x:c>
      <x:c r="C199" s="22" t="str">
        <x:v>XX310</x:v>
      </x:c>
      <x:c r="D199" s="22" t="str">
        <x:v>P0076</x:v>
      </x:c>
      <x:c r="E199" s="22" t="str">
        <x:v>普通</x:v>
      </x:c>
      <x:c r="F199" s="22" t="n">
        <x:v>4.525405880151712</x:v>
      </x:c>
      <x:c r="G199" s="22" t="n">
        <x:v>-17</x:v>
      </x:c>
      <x:c r="H199" s="22" t="n">
        <x:v>8517.39227807341</x:v>
      </x:c>
      <x:c r="I199" s="22" t="n">
        <x:v>21371.367503103756</x:v>
      </x:c>
      <x:c r="J199" s="22" t="n">
        <x:v>5813.500000000001</x:v>
      </x:c>
      <x:c r="K199" s="22" t="n">
        <x:v>31392.90000000001</x:v>
      </x:c>
      <x:c r="L199" s="22" t="str">
        <x:v>可承受</x:v>
      </x:c>
    </x:row>
    <x:row r="200" ht="24" customHeight="1">
      <x:c r="A200" s="22" t="str">
        <x:v>C03-M038</x:v>
      </x:c>
      <x:c r="B200" s="22" t="str">
        <x:v>折戟亡卒</x:v>
      </x:c>
      <x:c r="C200" s="22" t="str">
        <x:v>XX310</x:v>
      </x:c>
      <x:c r="D200" s="22" t="str">
        <x:v>P0076</x:v>
      </x:c>
      <x:c r="E200" s="22" t="str">
        <x:v>普通</x:v>
      </x:c>
      <x:c r="F200" s="22" t="n">
        <x:v>4.525405880151712</x:v>
      </x:c>
      <x:c r="G200" s="22" t="n">
        <x:v>-17</x:v>
      </x:c>
      <x:c r="H200" s="22" t="n">
        <x:v>8517.39227807341</x:v>
      </x:c>
      <x:c r="I200" s="22" t="n">
        <x:v>21371.367503103756</x:v>
      </x:c>
      <x:c r="J200" s="22" t="n">
        <x:v>5813.500000000001</x:v>
      </x:c>
      <x:c r="K200" s="22" t="n">
        <x:v>31392.90000000001</x:v>
      </x:c>
      <x:c r="L200" s="22" t="str">
        <x:v>可承受</x:v>
      </x:c>
    </x:row>
    <x:row r="201" ht="24" customHeight="1">
      <x:c r="A201" s="22" t="str">
        <x:v>C03-M039</x:v>
      </x:c>
      <x:c r="B201" s="22" t="str">
        <x:v>战壕腐尸</x:v>
      </x:c>
      <x:c r="C201" s="22" t="str">
        <x:v>XX311</x:v>
      </x:c>
      <x:c r="D201" s="22" t="str">
        <x:v>P0076</x:v>
      </x:c>
      <x:c r="E201" s="22" t="str">
        <x:v>普通</x:v>
      </x:c>
      <x:c r="F201" s="22" t="n">
        <x:v>4.3046543738028475</x:v>
      </x:c>
      <x:c r="G201" s="22" t="n">
        <x:v>-17</x:v>
      </x:c>
      <x:c r="H201" s="22" t="n">
        <x:v>8517.39227807341</x:v>
      </x:c>
      <x:c r="I201" s="22" t="n">
        <x:v>21371.367503103756</x:v>
      </x:c>
      <x:c r="J201" s="22" t="n">
        <x:v>5813.500000000001</x:v>
      </x:c>
      <x:c r="K201" s="22" t="n">
        <x:v>31392.90000000001</x:v>
      </x:c>
      <x:c r="L201" s="22" t="str">
        <x:v>可承受</x:v>
      </x:c>
    </x:row>
    <x:row r="202" ht="24" customHeight="1">
      <x:c r="A202" s="22" t="str">
        <x:v>C03-M040</x:v>
      </x:c>
      <x:c r="B202" s="22" t="str">
        <x:v>无首号手</x:v>
      </x:c>
      <x:c r="C202" s="22" t="str">
        <x:v>XX311</x:v>
      </x:c>
      <x:c r="D202" s="22" t="str">
        <x:v>P0076</x:v>
      </x:c>
      <x:c r="E202" s="22" t="str">
        <x:v>普通</x:v>
      </x:c>
      <x:c r="F202" s="22" t="n">
        <x:v>4.96690889284944</x:v>
      </x:c>
      <x:c r="G202" s="22" t="n">
        <x:v>-17</x:v>
      </x:c>
      <x:c r="H202" s="22" t="n">
        <x:v>8517.39227807341</x:v>
      </x:c>
      <x:c r="I202" s="22" t="n">
        <x:v>21371.367503103756</x:v>
      </x:c>
      <x:c r="J202" s="22" t="n">
        <x:v>5813.500000000001</x:v>
      </x:c>
      <x:c r="K202" s="22" t="n">
        <x:v>31392.90000000001</x:v>
      </x:c>
      <x:c r="L202" s="22" t="str">
        <x:v>可承受</x:v>
      </x:c>
    </x:row>
    <x:row r="203" ht="24" customHeight="1">
      <x:c r="A203" s="22" t="str">
        <x:v>C03-M041</x:v>
      </x:c>
      <x:c r="B203" s="22" t="str">
        <x:v>墓旗守卫</x:v>
      </x:c>
      <x:c r="C203" s="22" t="str">
        <x:v>XX312</x:v>
      </x:c>
      <x:c r="D203" s="22" t="str">
        <x:v>P0076</x:v>
      </x:c>
      <x:c r="E203" s="22" t="str">
        <x:v>普通</x:v>
      </x:c>
      <x:c r="F203" s="22" t="n">
        <x:v>4.083902867453984</x:v>
      </x:c>
      <x:c r="G203" s="22" t="n">
        <x:v>-17</x:v>
      </x:c>
      <x:c r="H203" s="22" t="n">
        <x:v>8517.39227807341</x:v>
      </x:c>
      <x:c r="I203" s="22" t="n">
        <x:v>21371.367503103756</x:v>
      </x:c>
      <x:c r="J203" s="22" t="n">
        <x:v>5813.500000000001</x:v>
      </x:c>
      <x:c r="K203" s="22" t="n">
        <x:v>31392.90000000001</x:v>
      </x:c>
      <x:c r="L203" s="22" t="str">
        <x:v>可承受</x:v>
      </x:c>
    </x:row>
    <x:row r="204" ht="24" customHeight="1">
      <x:c r="A204" s="22" t="str">
        <x:v>C03-M042</x:v>
      </x:c>
      <x:c r="B204" s="22" t="str">
        <x:v>英灵战马</x:v>
      </x:c>
      <x:c r="C204" s="22" t="str">
        <x:v>XX312</x:v>
      </x:c>
      <x:c r="D204" s="22" t="str">
        <x:v>P0076</x:v>
      </x:c>
      <x:c r="E204" s="22" t="str">
        <x:v>普通</x:v>
      </x:c>
      <x:c r="F204" s="22" t="n">
        <x:v>4.96690889284944</x:v>
      </x:c>
      <x:c r="G204" s="22" t="n">
        <x:v>-17</x:v>
      </x:c>
      <x:c r="H204" s="22" t="n">
        <x:v>8517.39227807341</x:v>
      </x:c>
      <x:c r="I204" s="22" t="n">
        <x:v>21371.367503103756</x:v>
      </x:c>
      <x:c r="J204" s="22" t="n">
        <x:v>5813.500000000001</x:v>
      </x:c>
      <x:c r="K204" s="22" t="n">
        <x:v>31392.90000000001</x:v>
      </x:c>
      <x:c r="L204" s="22" t="str">
        <x:v>可承受</x:v>
      </x:c>
    </x:row>
    <x:row r="205" ht="24" customHeight="1">
      <x:c r="A205" s="22" t="str">
        <x:v>C03-M043</x:v>
      </x:c>
      <x:c r="B205" s="22" t="str">
        <x:v>百战英魂</x:v>
      </x:c>
      <x:c r="C205" s="22" t="str">
        <x:v>XX310</x:v>
      </x:c>
      <x:c r="D205" s="22" t="str">
        <x:v>P0076</x:v>
      </x:c>
      <x:c r="E205" s="22" t="str">
        <x:v>稀有</x:v>
      </x:c>
      <x:c r="F205" s="22" t="n">
        <x:v>14.699849266201332</x:v>
      </x:c>
      <x:c r="G205" s="22" t="n">
        <x:v>-17</x:v>
      </x:c>
      <x:c r="H205" s="22" t="n">
        <x:v>18306.82067831311</x:v>
      </x:c>
      <x:c r="I205" s="22" t="n">
        <x:v>21371.367503103756</x:v>
      </x:c>
      <x:c r="J205" s="22" t="n">
        <x:v>13513.500000000002</x:v>
      </x:c>
      <x:c r="K205" s="22" t="n">
        <x:v>72972.90000000001</x:v>
      </x:c>
      <x:c r="L205" s="22" t="str">
        <x:v>可承受</x:v>
      </x:c>
    </x:row>
    <x:row r="206" ht="24" customHeight="1">
      <x:c r="A206" s="22" t="str">
        <x:v>C03-M044</x:v>
      </x:c>
      <x:c r="B206" s="22" t="str">
        <x:v>亡阵旗官</x:v>
      </x:c>
      <x:c r="C206" s="22" t="str">
        <x:v>XX311</x:v>
      </x:c>
      <x:c r="D206" s="22" t="str">
        <x:v>P0076</x:v>
      </x:c>
      <x:c r="E206" s="22" t="str">
        <x:v>稀有</x:v>
      </x:c>
      <x:c r="F206" s="22" t="n">
        <x:v>12.935867354257171</x:v>
      </x:c>
      <x:c r="G206" s="22" t="n">
        <x:v>-17</x:v>
      </x:c>
      <x:c r="H206" s="22" t="n">
        <x:v>19579.895829795245</x:v>
      </x:c>
      <x:c r="I206" s="22" t="n">
        <x:v>21371.367503103756</x:v>
      </x:c>
      <x:c r="J206" s="22" t="n">
        <x:v>14613.500000000002</x:v>
      </x:c>
      <x:c r="K206" s="22" t="n">
        <x:v>78912.90000000001</x:v>
      </x:c>
      <x:c r="L206" s="22" t="str">
        <x:v>可承受</x:v>
      </x:c>
    </x:row>
    <x:row r="207" ht="24" customHeight="1">
      <x:c r="A207" s="22" t="str">
        <x:v>C03-M045</x:v>
      </x:c>
      <x:c r="B207" s="22" t="str">
        <x:v>誓死卫士</x:v>
      </x:c>
      <x:c r="C207" s="22" t="str">
        <x:v>XX312</x:v>
      </x:c>
      <x:c r="D207" s="22" t="str">
        <x:v>P0076</x:v>
      </x:c>
      <x:c r="E207" s="22" t="str">
        <x:v>稀有</x:v>
      </x:c>
      <x:c r="F207" s="22" t="n">
        <x:v>14.699849266201332</x:v>
      </x:c>
      <x:c r="G207" s="22" t="n">
        <x:v>-17</x:v>
      </x:c>
      <x:c r="H207" s="22" t="n">
        <x:v>18306.82067831311</x:v>
      </x:c>
      <x:c r="I207" s="22" t="n">
        <x:v>21371.367503103756</x:v>
      </x:c>
      <x:c r="J207" s="22" t="n">
        <x:v>13513.500000000002</x:v>
      </x:c>
      <x:c r="K207" s="22" t="n">
        <x:v>72972.90000000001</x:v>
      </x:c>
      <x:c r="L207" s="22" t="str">
        <x:v>可承受</x:v>
      </x:c>
    </x:row>
    <x:row r="208" ht="24" customHeight="1">
      <x:c r="A208" s="22" t="str">
        <x:v>C03-M046</x:v>
      </x:c>
      <x:c r="B208" s="22" t="str">
        <x:v>祭坛唤魂师</x:v>
      </x:c>
      <x:c r="C208" s="22" t="str">
        <x:v>XX312</x:v>
      </x:c>
      <x:c r="D208" s="22" t="str">
        <x:v>P0076</x:v>
      </x:c>
      <x:c r="E208" s="22" t="str">
        <x:v>稀有</x:v>
      </x:c>
      <x:c r="F208" s="22" t="n">
        <x:v>13.523861324905225</x:v>
      </x:c>
      <x:c r="G208" s="22" t="n">
        <x:v>-17</x:v>
      </x:c>
      <x:c r="H208" s="22" t="n">
        <x:v>18731.17906214049</x:v>
      </x:c>
      <x:c r="I208" s="22" t="n">
        <x:v>21371.367503103756</x:v>
      </x:c>
      <x:c r="J208" s="22" t="n">
        <x:v>14063.500000000002</x:v>
      </x:c>
      <x:c r="K208" s="22" t="n">
        <x:v>75942.90000000001</x:v>
      </x:c>
      <x:c r="L208" s="22" t="str">
        <x:v>可承受</x:v>
      </x:c>
    </x:row>
    <x:row r="209" ht="24" customHeight="1">
      <x:c r="A209" s="22" t="str">
        <x:v>C03-M047</x:v>
      </x:c>
      <x:c r="B209" s="22" t="str">
        <x:v>古战将·雷戈</x:v>
      </x:c>
      <x:c r="C209" s="22" t="str">
        <x:v>XX311</x:v>
      </x:c>
      <x:c r="D209" s="22" t="str">
        <x:v>P0083</x:v>
      </x:c>
      <x:c r="E209" s="22" t="str">
        <x:v>地图BOSS</x:v>
      </x:c>
      <x:c r="F209" s="22" t="n">
        <x:v>86.73100316693974</x:v>
      </x:c>
      <x:c r="G209" s="22" t="n">
        <x:v>-17</x:v>
      </x:c>
      <x:c r="H209" s="22" t="n">
        <x:v>25391.167674307635</x:v>
      </x:c>
      <x:c r="I209" s="22" t="n">
        <x:v>26356.110057447</x:v>
      </x:c>
      <x:c r="J209" s="22" t="n">
        <x:v>20663.5</x:v>
      </x:c>
      <x:c r="K209" s="22" t="n">
        <x:v>111582.90000000001</x:v>
      </x:c>
      <x:c r="L209" s="22" t="str">
        <x:v>可承受</x:v>
      </x:c>
    </x:row>
    <x:row r="210" ht="24" customHeight="1">
      <x:c r="A210" s="22" t="str">
        <x:v>C03-M048</x:v>
      </x:c>
      <x:c r="B210" s="22" t="str">
        <x:v>千军怨灵·阿萨</x:v>
      </x:c>
      <x:c r="C210" s="22" t="str">
        <x:v>XX312</x:v>
      </x:c>
      <x:c r="D210" s="22" t="str">
        <x:v>P0084</x:v>
      </x:c>
      <x:c r="E210" s="22" t="str">
        <x:v>地图BOSS</x:v>
      </x:c>
      <x:c r="F210" s="22" t="n">
        <x:v>66.32370830413039</x:v>
      </x:c>
      <x:c r="G210" s="22" t="n">
        <x:v>-17</x:v>
      </x:c>
      <x:c r="H210" s="22" t="n">
        <x:v>26950.342846202486</x:v>
      </x:c>
      <x:c r="I210" s="22" t="n">
        <x:v>26356.110057447</x:v>
      </x:c>
      <x:c r="J210" s="22" t="n">
        <x:v>21763.5</x:v>
      </x:c>
      <x:c r="K210" s="22" t="n">
        <x:v>117522.90000000001</x:v>
      </x:c>
      <x:c r="L210" s="22" t="str">
        <x:v>可承受</x:v>
      </x:c>
    </x:row>
    <x:row r="211" ht="24" customHeight="1">
      <x:c r="A211" s="22" t="str">
        <x:v>C03-M049</x:v>
      </x:c>
      <x:c r="B211" s="22" t="str">
        <x:v>古垒戍兵</x:v>
      </x:c>
      <x:c r="C211" s="22" t="str">
        <x:v>XX518</x:v>
      </x:c>
      <x:c r="D211" s="22" t="str">
        <x:v>P0082</x:v>
      </x:c>
      <x:c r="E211" s="22" t="str">
        <x:v>普通</x:v>
      </x:c>
      <x:c r="F211" s="22" t="n">
        <x:v>4.093295357605112</x:v>
      </x:c>
      <x:c r="G211" s="22" t="n">
        <x:v>-27</x:v>
      </x:c>
      <x:c r="H211" s="22" t="n">
        <x:v>9696.878009563989</x:v>
      </x:c>
      <x:c r="I211" s="22" t="n">
        <x:v>24923.712771716182</x:v>
      </x:c>
      <x:c r="J211" s="22" t="n">
        <x:v>3283.5000000000005</x:v>
      </x:c>
      <x:c r="K211" s="22" t="n">
        <x:v>24297.900000000005</x:v>
      </x:c>
      <x:c r="L211" s="22" t="str">
        <x:v>可承受</x:v>
      </x:c>
    </x:row>
    <x:row r="212" ht="24" customHeight="1">
      <x:c r="A212" s="22" t="str">
        <x:v>C03-M050</x:v>
      </x:c>
      <x:c r="B212" s="22" t="str">
        <x:v>风沙箭手</x:v>
      </x:c>
      <x:c r="C212" s="22" t="str">
        <x:v>XX518</x:v>
      </x:c>
      <x:c r="D212" s="22" t="str">
        <x:v>P0082</x:v>
      </x:c>
      <x:c r="E212" s="22" t="str">
        <x:v>普通</x:v>
      </x:c>
      <x:c r="F212" s="22" t="n">
        <x:v>4.516739704943572</x:v>
      </x:c>
      <x:c r="G212" s="22" t="n">
        <x:v>-27</x:v>
      </x:c>
      <x:c r="H212" s="22" t="n">
        <x:v>9696.878009563989</x:v>
      </x:c>
      <x:c r="I212" s="22" t="n">
        <x:v>24923.712771716182</x:v>
      </x:c>
      <x:c r="J212" s="22" t="n">
        <x:v>3283.5000000000005</x:v>
      </x:c>
      <x:c r="K212" s="22" t="n">
        <x:v>24297.900000000005</x:v>
      </x:c>
      <x:c r="L212" s="22" t="str">
        <x:v>可承受</x:v>
      </x:c>
    </x:row>
    <x:row r="213" ht="24" customHeight="1">
      <x:c r="A213" s="22" t="str">
        <x:v>C03-M051</x:v>
      </x:c>
      <x:c r="B213" s="22" t="str">
        <x:v>回廊石卫</x:v>
      </x:c>
      <x:c r="C213" s="22" t="str">
        <x:v>XX517</x:v>
      </x:c>
      <x:c r="D213" s="22" t="str">
        <x:v>P0082</x:v>
      </x:c>
      <x:c r="E213" s="22" t="str">
        <x:v>普通</x:v>
      </x:c>
      <x:c r="F213" s="22" t="n">
        <x:v>4.093295357605112</x:v>
      </x:c>
      <x:c r="G213" s="22" t="n">
        <x:v>-27</x:v>
      </x:c>
      <x:c r="H213" s="22" t="n">
        <x:v>9696.878009563989</x:v>
      </x:c>
      <x:c r="I213" s="22" t="n">
        <x:v>24923.712771716182</x:v>
      </x:c>
      <x:c r="J213" s="22" t="n">
        <x:v>3283.5000000000005</x:v>
      </x:c>
      <x:c r="K213" s="22" t="n">
        <x:v>24297.900000000005</x:v>
      </x:c>
      <x:c r="L213" s="22" t="str">
        <x:v>可承受</x:v>
      </x:c>
    </x:row>
    <x:row r="214" ht="24" customHeight="1">
      <x:c r="A214" s="22" t="str">
        <x:v>C03-M052</x:v>
      </x:c>
      <x:c r="B214" s="22" t="str">
        <x:v>地宫掘墓人</x:v>
      </x:c>
      <x:c r="C214" s="22" t="str">
        <x:v>XX516</x:v>
      </x:c>
      <x:c r="D214" s="22" t="str">
        <x:v>P0082</x:v>
      </x:c>
      <x:c r="E214" s="22" t="str">
        <x:v>普通</x:v>
      </x:c>
      <x:c r="F214" s="22" t="n">
        <x:v>4.516739704943572</x:v>
      </x:c>
      <x:c r="G214" s="22" t="n">
        <x:v>-27</x:v>
      </x:c>
      <x:c r="H214" s="22" t="n">
        <x:v>9696.878009563989</x:v>
      </x:c>
      <x:c r="I214" s="22" t="n">
        <x:v>24923.712771716182</x:v>
      </x:c>
      <x:c r="J214" s="22" t="n">
        <x:v>3283.5000000000005</x:v>
      </x:c>
      <x:c r="K214" s="22" t="n">
        <x:v>24297.900000000005</x:v>
      </x:c>
      <x:c r="L214" s="22" t="str">
        <x:v>可承受</x:v>
      </x:c>
    </x:row>
    <x:row r="215" ht="24" customHeight="1">
      <x:c r="A215" s="22" t="str">
        <x:v>C03-M053</x:v>
      </x:c>
      <x:c r="B215" s="22" t="str">
        <x:v>边墙猎犬</x:v>
      </x:c>
      <x:c r="C215" s="22" t="str">
        <x:v>XX517</x:v>
      </x:c>
      <x:c r="D215" s="22" t="str">
        <x:v>P0082</x:v>
      </x:c>
      <x:c r="E215" s="22" t="str">
        <x:v>普通</x:v>
      </x:c>
      <x:c r="F215" s="22" t="n">
        <x:v>5.17543091191451</x:v>
      </x:c>
      <x:c r="G215" s="22" t="n">
        <x:v>-27</x:v>
      </x:c>
      <x:c r="H215" s="22" t="n">
        <x:v>9507.485860939692</x:v>
      </x:c>
      <x:c r="I215" s="22" t="n">
        <x:v>24923.712771716182</x:v>
      </x:c>
      <x:c r="J215" s="22" t="n">
        <x:v>3228.5000000000005</x:v>
      </x:c>
      <x:c r="K215" s="22" t="n">
        <x:v>23890.900000000005</x:v>
      </x:c>
      <x:c r="L215" s="22" t="str">
        <x:v>可承受</x:v>
      </x:c>
    </x:row>
    <x:row r="216" ht="24" customHeight="1">
      <x:c r="A216" s="22" t="str">
        <x:v>C03-M054</x:v>
      </x:c>
      <x:c r="B216" s="22" t="str">
        <x:v>铜门守卒</x:v>
      </x:c>
      <x:c r="C216" s="22" t="str">
        <x:v>XX516</x:v>
      </x:c>
      <x:c r="D216" s="22" t="str">
        <x:v>P0082</x:v>
      </x:c>
      <x:c r="E216" s="22" t="str">
        <x:v>普通</x:v>
      </x:c>
      <x:c r="F216" s="22" t="n">
        <x:v>4.093295357605112</x:v>
      </x:c>
      <x:c r="G216" s="22" t="n">
        <x:v>-27</x:v>
      </x:c>
      <x:c r="H216" s="22" t="n">
        <x:v>9696.878009563989</x:v>
      </x:c>
      <x:c r="I216" s="22" t="n">
        <x:v>24923.712771716182</x:v>
      </x:c>
      <x:c r="J216" s="22" t="n">
        <x:v>3283.5000000000005</x:v>
      </x:c>
      <x:c r="K216" s="22" t="n">
        <x:v>24297.900000000005</x:v>
      </x:c>
      <x:c r="L216" s="22" t="str">
        <x:v>可承受</x:v>
      </x:c>
    </x:row>
    <x:row r="217" ht="24" customHeight="1">
      <x:c r="A217" s="22" t="str">
        <x:v>C03-M055</x:v>
      </x:c>
      <x:c r="B217" s="22" t="str">
        <x:v>古垒百夫长</x:v>
      </x:c>
      <x:c r="C217" s="22" t="str">
        <x:v>XX518</x:v>
      </x:c>
      <x:c r="D217" s="22" t="str">
        <x:v>P0082</x:v>
      </x:c>
      <x:c r="E217" s="22" t="str">
        <x:v>稀有</x:v>
      </x:c>
      <x:c r="F217" s="22" t="n">
        <x:v>13.066953408093612</x:v>
      </x:c>
      <x:c r="G217" s="22" t="n">
        <x:v>-27</x:v>
      </x:c>
      <x:c r="H217" s="22" t="n">
        <x:v>21834.45054647548</x:v>
      </x:c>
      <x:c r="I217" s="22" t="n">
        <x:v>24923.712771716182</x:v>
      </x:c>
      <x:c r="J217" s="22" t="n">
        <x:v>8013.500000000001</x:v>
      </x:c>
      <x:c r="K217" s="22" t="n">
        <x:v>59299.90000000001</x:v>
      </x:c>
      <x:c r="L217" s="22" t="str">
        <x:v>可承受</x:v>
      </x:c>
    </x:row>
    <x:row r="218" ht="24" customHeight="1">
      <x:c r="A218" s="22" t="str">
        <x:v>C03-M056</x:v>
      </x:c>
      <x:c r="B218" s="22" t="str">
        <x:v>风蚀刑官</x:v>
      </x:c>
      <x:c r="C218" s="22" t="str">
        <x:v>XX517</x:v>
      </x:c>
      <x:c r="D218" s="22" t="str">
        <x:v>P0082</x:v>
      </x:c>
      <x:c r="E218" s="22" t="str">
        <x:v>稀有</x:v>
      </x:c>
      <x:c r="F218" s="22" t="n">
        <x:v>15.579829063496229</x:v>
      </x:c>
      <x:c r="G218" s="22" t="n">
        <x:v>-27</x:v>
      </x:c>
      <x:c r="H218" s="22" t="n">
        <x:v>20097.421863382762</x:v>
      </x:c>
      <x:c r="I218" s="22" t="n">
        <x:v>24923.712771716182</x:v>
      </x:c>
      <x:c r="J218" s="22" t="n">
        <x:v>7463.500000000001</x:v>
      </x:c>
      <x:c r="K218" s="22" t="n">
        <x:v>55229.90000000001</x:v>
      </x:c>
      <x:c r="L218" s="22" t="str">
        <x:v>可承受</x:v>
      </x:c>
    </x:row>
    <x:row r="219" ht="24" customHeight="1">
      <x:c r="A219" s="22" t="str">
        <x:v>C03-M057</x:v>
      </x:c>
      <x:c r="B219" s="22" t="str">
        <x:v>地宫镇魂者</x:v>
      </x:c>
      <x:c r="C219" s="22" t="str">
        <x:v>XX516</x:v>
      </x:c>
      <x:c r="D219" s="22" t="str">
        <x:v>P0082</x:v>
      </x:c>
      <x:c r="E219" s="22" t="str">
        <x:v>稀有</x:v>
      </x:c>
      <x:c r="F219" s="22" t="n">
        <x:v>13.066953408093612</x:v>
      </x:c>
      <x:c r="G219" s="22" t="n">
        <x:v>-27</x:v>
      </x:c>
      <x:c r="H219" s="22" t="n">
        <x:v>21834.45054647548</x:v>
      </x:c>
      <x:c r="I219" s="22" t="n">
        <x:v>24923.712771716182</x:v>
      </x:c>
      <x:c r="J219" s="22" t="n">
        <x:v>8013.500000000001</x:v>
      </x:c>
      <x:c r="K219" s="22" t="n">
        <x:v>59299.90000000001</x:v>
      </x:c>
      <x:c r="L219" s="22" t="str">
        <x:v>可承受</x:v>
      </x:c>
    </x:row>
    <x:row r="220" ht="24" customHeight="1">
      <x:c r="A220" s="22" t="str">
        <x:v>C03-M058</x:v>
      </x:c>
      <x:c r="B220" s="22" t="str">
        <x:v>边境铜像</x:v>
      </x:c>
      <x:c r="C220" s="22" t="str">
        <x:v>XX516</x:v>
      </x:c>
      <x:c r="D220" s="22" t="str">
        <x:v>P0082</x:v>
      </x:c>
      <x:c r="E220" s="22" t="str">
        <x:v>稀有</x:v>
      </x:c>
      <x:c r="F220" s="22" t="n">
        <x:v>15.579829063496229</x:v>
      </x:c>
      <x:c r="G220" s="22" t="n">
        <x:v>-27</x:v>
      </x:c>
      <x:c r="H220" s="22" t="n">
        <x:v>20097.421863382762</x:v>
      </x:c>
      <x:c r="I220" s="22" t="n">
        <x:v>24923.712771716182</x:v>
      </x:c>
      <x:c r="J220" s="22" t="n">
        <x:v>7463.500000000001</x:v>
      </x:c>
      <x:c r="K220" s="22" t="n">
        <x:v>55229.90000000001</x:v>
      </x:c>
      <x:c r="L220" s="22" t="str">
        <x:v>可承受</x:v>
      </x:c>
    </x:row>
    <x:row r="221" ht="24" customHeight="1">
      <x:c r="A221" s="22" t="str">
        <x:v>C03-M059</x:v>
      </x:c>
      <x:c r="B221" s="22" t="str">
        <x:v>无归守将·布兰</x:v>
      </x:c>
      <x:c r="C221" s="22" t="str">
        <x:v>XX517</x:v>
      </x:c>
      <x:c r="D221" s="22" t="str">
        <x:v>P0089</x:v>
      </x:c>
      <x:c r="E221" s="22" t="str">
        <x:v>地图BOSS</x:v>
      </x:c>
      <x:c r="F221" s="22" t="n">
        <x:v>67.12876413891907</x:v>
      </x:c>
      <x:c r="G221" s="22" t="n">
        <x:v>-27</x:v>
      </x:c>
      <x:c r="H221" s="22" t="n">
        <x:v>28903.57798888354</x:v>
      </x:c>
      <x:c r="I221" s="22" t="n">
        <x:v>28002.95566889106</x:v>
      </x:c>
      <x:c r="J221" s="22" t="n">
        <x:v>11312.675000000001</x:v>
      </x:c>
      <x:c r="K221" s="22" t="n">
        <x:v>83713.79500000001</x:v>
      </x:c>
      <x:c r="L221" s="22" t="str">
        <x:v>可承受</x:v>
      </x:c>
    </x:row>
    <x:row r="222" ht="24" customHeight="1">
      <x:c r="A222" s="22" t="str">
        <x:v>C03-M060</x:v>
      </x:c>
      <x:c r="B222" s="22" t="str">
        <x:v>古垒石王·迦姆</x:v>
      </x:c>
      <x:c r="C222" s="22" t="str">
        <x:v>XX516</x:v>
      </x:c>
      <x:c r="D222" s="22" t="str">
        <x:v>P0090</x:v>
      </x:c>
      <x:c r="E222" s="22" t="str">
        <x:v>地图BOSS</x:v>
      </x:c>
      <x:c r="F222" s="22" t="n">
        <x:v>76.71858758733607</x:v>
      </x:c>
      <x:c r="G222" s="22" t="n">
        <x:v>-27</x:v>
      </x:c>
      <x:c r="H222" s="22" t="n">
        <x:v>27303.911276711333</x:v>
      </x:c>
      <x:c r="I222" s="22" t="n">
        <x:v>28002.95566889106</x:v>
      </x:c>
      <x:c r="J222" s="22" t="n">
        <x:v>10762.675000000001</x:v>
      </x:c>
      <x:c r="K222" s="22" t="n">
        <x:v>79643.79500000001</x:v>
      </x:c>
      <x:c r="L222" s="22" t="str">
        <x:v>可承受</x:v>
      </x:c>
    </x:row>
    <x:row r="223" ht="24" customHeight="1">
      <x:c r="A223" s="22" t="str">
        <x:v>C03-M061</x:v>
      </x:c>
      <x:c r="B223" s="22" t="str">
        <x:v>金叶哨兵</x:v>
      </x:c>
      <x:c r="C223" s="22" t="str">
        <x:v>XX140</x:v>
      </x:c>
      <x:c r="D223" s="22" t="str">
        <x:v>P0088</x:v>
      </x:c>
      <x:c r="E223" s="22" t="str">
        <x:v>普通</x:v>
      </x:c>
      <x:c r="F223" s="22" t="n">
        <x:v>4.298551749935776</x:v>
      </x:c>
      <x:c r="G223" s="22" t="n">
        <x:v>-32</x:v>
      </x:c>
      <x:c r="H223" s="22" t="n">
        <x:v>10166.962518482063</x:v>
      </x:c>
      <x:c r="I223" s="22" t="n">
        <x:v>26457.294971191666</x:v>
      </x:c>
      <x:c r="J223" s="22" t="n">
        <x:v>2677.675</x:v>
      </x:c>
      <x:c r="K223" s="22" t="n">
        <x:v>22492.47</x:v>
      </x:c>
      <x:c r="L223" s="22" t="str">
        <x:v>可承受</x:v>
      </x:c>
    </x:row>
    <x:row r="224" ht="24" customHeight="1">
      <x:c r="A224" s="22" t="str">
        <x:v>C03-M062</x:v>
      </x:c>
      <x:c r="B224" s="22" t="str">
        <x:v>王树弩卫</x:v>
      </x:c>
      <x:c r="C224" s="22" t="str">
        <x:v>XX140</x:v>
      </x:c>
      <x:c r="D224" s="22" t="str">
        <x:v>P0088</x:v>
      </x:c>
      <x:c r="E224" s="22" t="str">
        <x:v>普通</x:v>
      </x:c>
      <x:c r="F224" s="22" t="n">
        <x:v>4.431496649418326</x:v>
      </x:c>
      <x:c r="G224" s="22" t="n">
        <x:v>-32</x:v>
      </x:c>
      <x:c r="H224" s="22" t="n">
        <x:v>10166.962518482063</x:v>
      </x:c>
      <x:c r="I224" s="22" t="n">
        <x:v>26457.294971191666</x:v>
      </x:c>
      <x:c r="J224" s="22" t="n">
        <x:v>2677.675</x:v>
      </x:c>
      <x:c r="K224" s="22" t="n">
        <x:v>22492.47</x:v>
      </x:c>
      <x:c r="L224" s="22" t="str">
        <x:v>可承受</x:v>
      </x:c>
    </x:row>
    <x:row r="225" ht="24" customHeight="1">
      <x:c r="A225" s="22" t="str">
        <x:v>C03-M063</x:v>
      </x:c>
      <x:c r="B225" s="22" t="str">
        <x:v>圣露侍从</x:v>
      </x:c>
      <x:c r="C225" s="22" t="str">
        <x:v>XX136</x:v>
      </x:c>
      <x:c r="D225" s="22" t="str">
        <x:v>P0088</x:v>
      </x:c>
      <x:c r="E225" s="22" t="str">
        <x:v>普通</x:v>
      </x:c>
      <x:c r="F225" s="22" t="n">
        <x:v>5.317795979301991</x:v>
      </x:c>
      <x:c r="G225" s="22" t="n">
        <x:v>-32</x:v>
      </x:c>
      <x:c r="H225" s="22" t="n">
        <x:v>9801.112841674505</x:v>
      </x:c>
      <x:c r="I225" s="22" t="n">
        <x:v>26457.294971191666</x:v>
      </x:c>
      <x:c r="J225" s="22" t="n">
        <x:v>2567.675</x:v>
      </x:c>
      <x:c r="K225" s="22" t="n">
        <x:v>21568.47</x:v>
      </x:c>
      <x:c r="L225" s="22" t="str">
        <x:v>可承受</x:v>
      </x:c>
    </x:row>
    <x:row r="226" ht="24" customHeight="1">
      <x:c r="A226" s="22" t="str">
        <x:v>C03-M064</x:v>
      </x:c>
      <x:c r="B226" s="22" t="str">
        <x:v>镀金战鹰</x:v>
      </x:c>
      <x:c r="C226" s="22" t="str">
        <x:v>XX136</x:v>
      </x:c>
      <x:c r="D226" s="22" t="str">
        <x:v>P0088</x:v>
      </x:c>
      <x:c r="E226" s="22" t="str">
        <x:v>普通</x:v>
      </x:c>
      <x:c r="F226" s="22" t="n">
        <x:v>4.431496649418326</x:v>
      </x:c>
      <x:c r="G226" s="22" t="n">
        <x:v>-32</x:v>
      </x:c>
      <x:c r="H226" s="22" t="n">
        <x:v>10166.962518482063</x:v>
      </x:c>
      <x:c r="I226" s="22" t="n">
        <x:v>26457.294971191666</x:v>
      </x:c>
      <x:c r="J226" s="22" t="n">
        <x:v>2677.675</x:v>
      </x:c>
      <x:c r="K226" s="22" t="n">
        <x:v>22492.47</x:v>
      </x:c>
      <x:c r="L226" s="22" t="str">
        <x:v>可承受</x:v>
      </x:c>
    </x:row>
    <x:row r="227" ht="24" customHeight="1">
      <x:c r="A227" s="22" t="str">
        <x:v>C03-M065</x:v>
      </x:c>
      <x:c r="B227" s="22" t="str">
        <x:v>赐福骑兵</x:v>
      </x:c>
      <x:c r="C227" s="22" t="str">
        <x:v>XX169</x:v>
      </x:c>
      <x:c r="D227" s="22" t="str">
        <x:v>P0088</x:v>
      </x:c>
      <x:c r="E227" s="22" t="str">
        <x:v>普通</x:v>
      </x:c>
      <x:c r="F227" s="22" t="n">
        <x:v>6.692256088029934</x:v>
      </x:c>
      <x:c r="G227" s="22" t="n">
        <x:v>-57</x:v>
      </x:c>
      <x:c r="H227" s="22" t="n">
        <x:v>8594.003314458878</x:v>
      </x:c>
      <x:c r="I227" s="22" t="n">
        <x:v>26457.294971191666</x:v>
      </x:c>
      <x:c r="J227" s="22" t="n">
        <x:v>1192.6750000000002</x:v>
      </x:c>
      <x:c r="K227" s="22" t="n">
        <x:v>15981.845000000003</x:v>
      </x:c>
      <x:c r="L227" s="22" t="str">
        <x:v>可承受</x:v>
      </x:c>
    </x:row>
    <x:row r="228" ht="24" customHeight="1">
      <x:c r="A228" s="22" t="str">
        <x:v>C03-M066</x:v>
      </x:c>
      <x:c r="B228" s="22" t="str">
        <x:v>哨垒执炬者</x:v>
      </x:c>
      <x:c r="C228" s="22" t="str">
        <x:v>XX169</x:v>
      </x:c>
      <x:c r="D228" s="22" t="str">
        <x:v>P0088</x:v>
      </x:c>
      <x:c r="E228" s="22" t="str">
        <x:v>普通</x:v>
      </x:c>
      <x:c r="F228" s="22" t="n">
        <x:v>5.901353095808215</x:v>
      </x:c>
      <x:c r="G228" s="22" t="n">
        <x:v>-57</x:v>
      </x:c>
      <x:c r="H228" s="22" t="n">
        <x:v>9283.915274410085</x:v>
      </x:c>
      <x:c r="I228" s="22" t="n">
        <x:v>26457.294971191666</x:v>
      </x:c>
      <x:c r="J228" s="22" t="n">
        <x:v>1302.6750000000002</x:v>
      </x:c>
      <x:c r="K228" s="22" t="n">
        <x:v>17455.845</x:v>
      </x:c>
      <x:c r="L228" s="22" t="str">
        <x:v>可承受</x:v>
      </x:c>
    </x:row>
    <x:row r="229" ht="24" customHeight="1">
      <x:c r="A229" s="22" t="str">
        <x:v>C03-M067</x:v>
      </x:c>
      <x:c r="B229" s="22" t="str">
        <x:v>黄金树旗卫</x:v>
      </x:c>
      <x:c r="C229" s="22" t="str">
        <x:v>XX140</x:v>
      </x:c>
      <x:c r="D229" s="22" t="str">
        <x:v>P0088</x:v>
      </x:c>
      <x:c r="E229" s="22" t="str">
        <x:v>稀有</x:v>
      </x:c>
      <x:c r="F229" s="22" t="n">
        <x:v>12.778533687890867</x:v>
      </x:c>
      <x:c r="G229" s="22" t="n">
        <x:v>-32</x:v>
      </x:c>
      <x:c r="H229" s="22" t="n">
        <x:v>22880.73140373513</x:v>
      </x:c>
      <x:c r="I229" s="22" t="n">
        <x:v>26457.294971191666</x:v>
      </x:c>
      <x:c r="J229" s="22" t="n">
        <x:v>6362.675</x:v>
      </x:c>
      <x:c r="K229" s="22" t="n">
        <x:v>53446.47</x:v>
      </x:c>
      <x:c r="L229" s="22" t="str">
        <x:v>可承受</x:v>
      </x:c>
    </x:row>
    <x:row r="230" ht="24" customHeight="1">
      <x:c r="A230" s="22" t="str">
        <x:v>C03-M068</x:v>
      </x:c>
      <x:c r="B230" s="22" t="str">
        <x:v>圣律监军</x:v>
      </x:c>
      <x:c r="C230" s="22" t="str">
        <x:v>XX136</x:v>
      </x:c>
      <x:c r="D230" s="22" t="str">
        <x:v>P0088</x:v>
      </x:c>
      <x:c r="E230" s="22" t="str">
        <x:v>稀有</x:v>
      </x:c>
      <x:c r="F230" s="22" t="n">
        <x:v>15.618207840755504</x:v>
      </x:c>
      <x:c r="G230" s="22" t="n">
        <x:v>-32</x:v>
      </x:c>
      <x:c r="H230" s="22" t="n">
        <x:v>22093.17611128223</x:v>
      </x:c>
      <x:c r="I230" s="22" t="n">
        <x:v>26457.294971191666</x:v>
      </x:c>
      <x:c r="J230" s="22" t="n">
        <x:v>6362.675</x:v>
      </x:c>
      <x:c r="K230" s="22" t="n">
        <x:v>53446.47</x:v>
      </x:c>
      <x:c r="L230" s="22" t="str">
        <x:v>可承受</x:v>
      </x:c>
    </x:row>
    <x:row r="231" ht="24" customHeight="1">
      <x:c r="A231" s="22" t="str">
        <x:v>C03-M069</x:v>
      </x:c>
      <x:c r="B231" s="22" t="str">
        <x:v>赐福守门人</x:v>
      </x:c>
      <x:c r="C231" s="22" t="str">
        <x:v>XX169</x:v>
      </x:c>
      <x:c r="D231" s="22" t="str">
        <x:v>P0088</x:v>
      </x:c>
      <x:c r="E231" s="22" t="str">
        <x:v>稀有</x:v>
      </x:c>
      <x:c r="F231" s="22" t="n">
        <x:v>17.543266599047232</x:v>
      </x:c>
      <x:c r="G231" s="22" t="n">
        <x:v>-57</x:v>
      </x:c>
      <x:c r="H231" s="22" t="n">
        <x:v>20628.046247234823</x:v>
      </x:c>
      <x:c r="I231" s="22" t="n">
        <x:v>26457.294971191666</x:v>
      </x:c>
      <x:c r="J231" s="22" t="n">
        <x:v>3062.675</x:v>
      </x:c>
      <x:c r="K231" s="22" t="n">
        <x:v>41039.845</x:v>
      </x:c>
      <x:c r="L231" s="22" t="str">
        <x:v>可承受</x:v>
      </x:c>
    </x:row>
    <x:row r="232" ht="24" customHeight="1">
      <x:c r="A232" s="22" t="str">
        <x:v>C03-M070</x:v>
      </x:c>
      <x:c r="B232" s="22" t="str">
        <x:v>哨垒祷告师</x:v>
      </x:c>
      <x:c r="C232" s="22" t="str">
        <x:v>XX169</x:v>
      </x:c>
      <x:c r="D232" s="22" t="str">
        <x:v>P0088</x:v>
      </x:c>
      <x:c r="E232" s="22" t="str">
        <x:v>稀有</x:v>
      </x:c>
      <x:c r="F232" s="22" t="n">
        <x:v>21.441770287724395</x:v>
      </x:c>
      <x:c r="G232" s="22" t="n">
        <x:v>-57</x:v>
      </x:c>
      <x:c r="H232" s="22" t="n">
        <x:v>19330.276744420422</x:v>
      </x:c>
      <x:c r="I232" s="22" t="n">
        <x:v>26457.294971191666</x:v>
      </x:c>
      <x:c r="J232" s="22" t="n">
        <x:v>2842.675</x:v>
      </x:c>
      <x:c r="K232" s="22" t="n">
        <x:v>38091.845</x:v>
      </x:c>
      <x:c r="L232" s="22" t="str">
        <x:v>可承受</x:v>
      </x:c>
    </x:row>
    <x:row r="233" ht="24" customHeight="1">
      <x:c r="A233" s="22" t="str">
        <x:v>C03-M071</x:v>
      </x:c>
      <x:c r="B233" s="22" t="str">
        <x:v>金叶统帅·艾德</x:v>
      </x:c>
      <x:c r="C233" s="22" t="str">
        <x:v>XX136</x:v>
      </x:c>
      <x:c r="D233" s="22" t="str">
        <x:v>P0095</x:v>
      </x:c>
      <x:c r="E233" s="22" t="str">
        <x:v>地图BOSS</x:v>
      </x:c>
      <x:c r="F233" s="22" t="n">
        <x:v>85.90004271250871</x:v>
      </x:c>
      <x:c r="G233" s="22" t="n">
        <x:v>-32</x:v>
      </x:c>
      <x:c r="H233" s="22" t="n">
        <x:v>28266.03486087823</x:v>
      </x:c>
      <x:c r="I233" s="22" t="n">
        <x:v>29747.344170580374</x:v>
      </x:c>
      <x:c r="J233" s="22" t="n">
        <x:v>8562.675000000001</x:v>
      </x:c>
      <x:c r="K233" s="22" t="n">
        <x:v>71926.47000000002</x:v>
      </x:c>
      <x:c r="L233" s="22" t="str">
        <x:v>可承受</x:v>
      </x:c>
    </x:row>
    <x:row r="234" ht="24" customHeight="1">
      <x:c r="A234" s="22" t="str">
        <x:v>C03-M072</x:v>
      </x:c>
      <x:c r="B234" s="22" t="str">
        <x:v>黄金树化身·洛恩</x:v>
      </x:c>
      <x:c r="C234" s="22" t="str">
        <x:v>XX169</x:v>
      </x:c>
      <x:c r="D234" s="22" t="str">
        <x:v>P0096</x:v>
      </x:c>
      <x:c r="E234" s="22" t="str">
        <x:v>地图BOSS</x:v>
      </x:c>
      <x:c r="F234" s="22" t="n">
        <x:v>68.27503084388029</x:v>
      </x:c>
      <x:c r="G234" s="22" t="n">
        <x:v>-57</x:v>
      </x:c>
      <x:c r="H234" s="22" t="n">
        <x:v>30078.371635070438</x:v>
      </x:c>
      <x:c r="I234" s="22" t="n">
        <x:v>29747.344170580374</x:v>
      </x:c>
      <x:c r="J234" s="22" t="n">
        <x:v>4712.675</x:v>
      </x:c>
      <x:c r="K234" s="22" t="n">
        <x:v>63149.845</x:v>
      </x:c>
      <x:c r="L234" s="22" t="str">
        <x:v>可承受</x:v>
      </x:c>
    </x:row>
    <x:row r="235" ht="24" customHeight="1">
      <x:c r="A235" s="22" t="str">
        <x:v>C03-M073</x:v>
      </x:c>
      <x:c r="B235" s="22" t="str">
        <x:v>西境征服者·戈德里安</x:v>
      </x:c>
      <x:c r="C235" s="22" t="str">
        <x:v>XX169</x:v>
      </x:c>
      <x:c r="D235" s="22" t="str">
        <x:v>P0100</x:v>
      </x:c>
      <x:c r="E235" s="22" t="str">
        <x:v>守关BOSS</x:v>
      </x:c>
      <x:c r="F235" s="22" t="n">
        <x:v>179.621926038808</x:v>
      </x:c>
      <x:c r="G235" s="22" t="n">
        <x:v>7</x:v>
      </x:c>
      <x:c r="H235" s="22" t="n">
        <x:v>34068.615000000005</x:v>
      </x:c>
      <x:c r="I235" s="22" t="n">
        <x:v>35986.525040464156</x:v>
      </x:c>
      <x:c r="J235" s="22" t="n">
        <x:v>79537.23000000001</x:v>
      </x:c>
      <x:c r="K235" s="22" t="n">
        <x:v>79537.23000000001</x:v>
      </x:c>
      <x:c r="L235" s="22" t="str">
        <x:v>可承受</x:v>
      </x:c>
    </x:row>
    <x:row r="236" ht="24" customHeight="1">
      <x:c r="A236" s="22" t="str">
        <x:v>C04-M001</x:v>
      </x:c>
      <x:c r="B236" s="22" t="str">
        <x:v>雾脚泥蛙</x:v>
      </x:c>
      <x:c r="C236" s="22" t="str">
        <x:v>XX341</x:v>
      </x:c>
      <x:c r="D236" s="22" t="str">
        <x:v>P0105</x:v>
      </x:c>
      <x:c r="E236" s="22" t="str">
        <x:v>普通</x:v>
      </x:c>
      <x:c r="F236" s="22" t="n">
        <x:v>3.746085436328256</x:v>
      </x:c>
      <x:c r="G236" s="22" t="n">
        <x:v>7</x:v>
      </x:c>
      <x:c r="H236" s="22" t="n">
        <x:v>16223.268750000001</x:v>
      </x:c>
      <x:c r="I236" s="22" t="n">
        <x:v>58032.1635010474</x:v>
      </x:c>
      <x:c r="J236" s="22" t="n">
        <x:v>29947.230000000003</x:v>
      </x:c>
      <x:c r="K236" s="22" t="n">
        <x:v>29947.230000000003</x:v>
      </x:c>
      <x:c r="L236" s="22" t="str">
        <x:v>可承受</x:v>
      </x:c>
    </x:row>
    <x:row r="237" ht="24" customHeight="1">
      <x:c r="A237" s="22" t="str">
        <x:v>C04-M002</x:v>
      </x:c>
      <x:c r="B237" s="22" t="str">
        <x:v>苔冠沼鹿</x:v>
      </x:c>
      <x:c r="C237" s="22" t="str">
        <x:v>XX341</x:v>
      </x:c>
      <x:c r="D237" s="22" t="str">
        <x:v>P0105</x:v>
      </x:c>
      <x:c r="E237" s="22" t="str">
        <x:v>普通</x:v>
      </x:c>
      <x:c r="F237" s="22" t="n">
        <x:v>3.51195509655774</x:v>
      </x:c>
      <x:c r="G237" s="22" t="n">
        <x:v>7</x:v>
      </x:c>
      <x:c r="H237" s="22" t="n">
        <x:v>16223.268750000001</x:v>
      </x:c>
      <x:c r="I237" s="22" t="n">
        <x:v>58032.1635010474</x:v>
      </x:c>
      <x:c r="J237" s="22" t="n">
        <x:v>29947.230000000003</x:v>
      </x:c>
      <x:c r="K237" s="22" t="n">
        <x:v>29947.230000000003</x:v>
      </x:c>
      <x:c r="L237" s="22" t="str">
        <x:v>可承受</x:v>
      </x:c>
    </x:row>
    <x:row r="238" ht="24" customHeight="1">
      <x:c r="A238" s="22" t="str">
        <x:v>C04-M003</x:v>
      </x:c>
      <x:c r="B238" s="22" t="str">
        <x:v>潮沟芦妖</x:v>
      </x:c>
      <x:c r="C238" s="22" t="str">
        <x:v>XX341</x:v>
      </x:c>
      <x:c r="D238" s="22" t="str">
        <x:v>P0105</x:v>
      </x:c>
      <x:c r="E238" s="22" t="str">
        <x:v>普通</x:v>
      </x:c>
      <x:c r="F238" s="22" t="n">
        <x:v>3.746085436328256</x:v>
      </x:c>
      <x:c r="G238" s="22" t="n">
        <x:v>7</x:v>
      </x:c>
      <x:c r="H238" s="22" t="n">
        <x:v>16223.268750000001</x:v>
      </x:c>
      <x:c r="I238" s="22" t="n">
        <x:v>58032.1635010474</x:v>
      </x:c>
      <x:c r="J238" s="22" t="n">
        <x:v>29947.230000000003</x:v>
      </x:c>
      <x:c r="K238" s="22" t="n">
        <x:v>29947.230000000003</x:v>
      </x:c>
      <x:c r="L238" s="22" t="str">
        <x:v>可承受</x:v>
      </x:c>
    </x:row>
    <x:row r="239" ht="24" customHeight="1">
      <x:c r="A239" s="22" t="str">
        <x:v>C04-M004</x:v>
      </x:c>
      <x:c r="B239" s="22" t="str">
        <x:v>腐雾钳虾</x:v>
      </x:c>
      <x:c r="C239" s="22" t="str">
        <x:v>XX342</x:v>
      </x:c>
      <x:c r="D239" s="22" t="str">
        <x:v>P0105</x:v>
      </x:c>
      <x:c r="E239" s="22" t="str">
        <x:v>普通</x:v>
      </x:c>
      <x:c r="F239" s="22" t="n">
        <x:v>3.51195509655774</x:v>
      </x:c>
      <x:c r="G239" s="22" t="n">
        <x:v>7</x:v>
      </x:c>
      <x:c r="H239" s="22" t="n">
        <x:v>16223.268750000001</x:v>
      </x:c>
      <x:c r="I239" s="22" t="n">
        <x:v>58032.1635010474</x:v>
      </x:c>
      <x:c r="J239" s="22" t="n">
        <x:v>29947.230000000003</x:v>
      </x:c>
      <x:c r="K239" s="22" t="n">
        <x:v>29947.230000000003</x:v>
      </x:c>
      <x:c r="L239" s="22" t="str">
        <x:v>可承受</x:v>
      </x:c>
    </x:row>
    <x:row r="240" ht="24" customHeight="1">
      <x:c r="A240" s="22" t="str">
        <x:v>C04-M005</x:v>
      </x:c>
      <x:c r="B240" s="22" t="str">
        <x:v>烂泽水蛭</x:v>
      </x:c>
      <x:c r="C240" s="22" t="str">
        <x:v>XX342</x:v>
      </x:c>
      <x:c r="D240" s="22" t="str">
        <x:v>P0105</x:v>
      </x:c>
      <x:c r="E240" s="22" t="str">
        <x:v>普通</x:v>
      </x:c>
      <x:c r="F240" s="22" t="n">
        <x:v>3.980215776098772</x:v>
      </x:c>
      <x:c r="G240" s="22" t="n">
        <x:v>7</x:v>
      </x:c>
      <x:c r="H240" s="22" t="n">
        <x:v>16223.268750000001</x:v>
      </x:c>
      <x:c r="I240" s="22" t="n">
        <x:v>58032.1635010474</x:v>
      </x:c>
      <x:c r="J240" s="22" t="n">
        <x:v>29947.230000000003</x:v>
      </x:c>
      <x:c r="K240" s="22" t="n">
        <x:v>29947.230000000003</x:v>
      </x:c>
      <x:c r="L240" s="22" t="str">
        <x:v>可承受</x:v>
      </x:c>
    </x:row>
    <x:row r="241" ht="24" customHeight="1">
      <x:c r="A241" s="22" t="str">
        <x:v>C04-M006</x:v>
      </x:c>
      <x:c r="B241" s="22" t="str">
        <x:v>蒙眼采藕人</x:v>
      </x:c>
      <x:c r="C241" s="22" t="str">
        <x:v>XX342</x:v>
      </x:c>
      <x:c r="D241" s="22" t="str">
        <x:v>P0105</x:v>
      </x:c>
      <x:c r="E241" s="22" t="str">
        <x:v>普通</x:v>
      </x:c>
      <x:c r="F241" s="22" t="n">
        <x:v>3.980215776098772</x:v>
      </x:c>
      <x:c r="G241" s="22" t="n">
        <x:v>7</x:v>
      </x:c>
      <x:c r="H241" s="22" t="n">
        <x:v>16223.268750000001</x:v>
      </x:c>
      <x:c r="I241" s="22" t="n">
        <x:v>58032.1635010474</x:v>
      </x:c>
      <x:c r="J241" s="22" t="n">
        <x:v>29947.230000000003</x:v>
      </x:c>
      <x:c r="K241" s="22" t="n">
        <x:v>29947.230000000003</x:v>
      </x:c>
      <x:c r="L241" s="22" t="str">
        <x:v>可承受</x:v>
      </x:c>
    </x:row>
    <x:row r="242" ht="24" customHeight="1">
      <x:c r="A242" s="22" t="str">
        <x:v>C04-M007</x:v>
      </x:c>
      <x:c r="B242" s="22" t="str">
        <x:v>雾纱水巫</x:v>
      </x:c>
      <x:c r="C242" s="22" t="str">
        <x:v>XX341</x:v>
      </x:c>
      <x:c r="D242" s="22" t="str">
        <x:v>P0105</x:v>
      </x:c>
      <x:c r="E242" s="22" t="str">
        <x:v>稀有</x:v>
      </x:c>
      <x:c r="F242" s="22" t="n">
        <x:v>11.235855808166681</x:v>
      </x:c>
      <x:c r="G242" s="22" t="n">
        <x:v>7</x:v>
      </x:c>
      <x:c r="H242" s="22" t="n">
        <x:v>43433.66470588236</x:v>
      </x:c>
      <x:c r="I242" s="22" t="n">
        <x:v>58032.1635010474</x:v>
      </x:c>
      <x:c r="J242" s="22" t="n">
        <x:v>85237.23000000001</x:v>
      </x:c>
      <x:c r="K242" s="22" t="n">
        <x:v>85237.23000000001</x:v>
      </x:c>
      <x:c r="L242" s="22" t="str">
        <x:v>可承受</x:v>
      </x:c>
    </x:row>
    <x:row r="243" ht="24" customHeight="1">
      <x:c r="A243" s="22" t="str">
        <x:v>C04-M008</x:v>
      </x:c>
      <x:c r="B243" s="22" t="str">
        <x:v>银腹塘鳄</x:v>
      </x:c>
      <x:c r="C243" s="22" t="str">
        <x:v>XX341</x:v>
      </x:c>
      <x:c r="D243" s="22" t="str">
        <x:v>P0105</x:v>
      </x:c>
      <x:c r="E243" s="22" t="str">
        <x:v>稀有</x:v>
      </x:c>
      <x:c r="F243" s="22" t="n">
        <x:v>11.735227177418533</x:v>
      </x:c>
      <x:c r="G243" s="22" t="n">
        <x:v>7</x:v>
      </x:c>
      <x:c r="H243" s="22" t="n">
        <x:v>43433.66470588236</x:v>
      </x:c>
      <x:c r="I243" s="22" t="n">
        <x:v>58032.1635010474</x:v>
      </x:c>
      <x:c r="J243" s="22" t="n">
        <x:v>85237.23000000001</x:v>
      </x:c>
      <x:c r="K243" s="22" t="n">
        <x:v>85237.23000000001</x:v>
      </x:c>
      <x:c r="L243" s="22" t="str">
        <x:v>可承受</x:v>
      </x:c>
    </x:row>
    <x:row r="244" ht="24" customHeight="1">
      <x:c r="A244" s="22" t="str">
        <x:v>C04-M009</x:v>
      </x:c>
      <x:c r="B244" s="22" t="str">
        <x:v>腐泽孢母</x:v>
      </x:c>
      <x:c r="C244" s="22" t="str">
        <x:v>XX342</x:v>
      </x:c>
      <x:c r="D244" s="22" t="str">
        <x:v>P0105</x:v>
      </x:c>
      <x:c r="E244" s="22" t="str">
        <x:v>稀有</x:v>
      </x:c>
      <x:c r="F244" s="22" t="n">
        <x:v>12.983655600548165</x:v>
      </x:c>
      <x:c r="G244" s="22" t="n">
        <x:v>7</x:v>
      </x:c>
      <x:c r="H244" s="22" t="n">
        <x:v>41757.194117647065</x:v>
      </x:c>
      <x:c r="I244" s="22" t="n">
        <x:v>58032.1635010474</x:v>
      </x:c>
      <x:c r="J244" s="22" t="n">
        <x:v>79537.23000000001</x:v>
      </x:c>
      <x:c r="K244" s="22" t="n">
        <x:v>79537.23000000001</x:v>
      </x:c>
      <x:c r="L244" s="22" t="str">
        <x:v>可承受</x:v>
      </x:c>
    </x:row>
    <x:row r="245" ht="24" customHeight="1">
      <x:c r="A245" s="22" t="str">
        <x:v>C04-M010</x:v>
      </x:c>
      <x:c r="B245" s="22" t="str">
        <x:v>提灯溺客</x:v>
      </x:c>
      <x:c r="C245" s="22" t="str">
        <x:v>XX342</x:v>
      </x:c>
      <x:c r="D245" s="22" t="str">
        <x:v>P0105</x:v>
      </x:c>
      <x:c r="E245" s="22" t="str">
        <x:v>稀有</x:v>
      </x:c>
      <x:c r="F245" s="22" t="n">
        <x:v>12.983655600548165</x:v>
      </x:c>
      <x:c r="G245" s="22" t="n">
        <x:v>7</x:v>
      </x:c>
      <x:c r="H245" s="22" t="n">
        <x:v>41757.194117647065</x:v>
      </x:c>
      <x:c r="I245" s="22" t="n">
        <x:v>58032.1635010474</x:v>
      </x:c>
      <x:c r="J245" s="22" t="n">
        <x:v>79537.23000000001</x:v>
      </x:c>
      <x:c r="K245" s="22" t="n">
        <x:v>79537.23000000001</x:v>
      </x:c>
      <x:c r="L245" s="22" t="str">
        <x:v>可承受</x:v>
      </x:c>
    </x:row>
    <x:row r="246" ht="24" customHeight="1">
      <x:c r="A246" s="22" t="str">
        <x:v>C04-M011</x:v>
      </x:c>
      <x:c r="B246" s="22" t="str">
        <x:v>潮痕猎首·葛弥</x:v>
      </x:c>
      <x:c r="C246" s="22" t="str">
        <x:v>XX341</x:v>
      </x:c>
      <x:c r="D246" s="22" t="str">
        <x:v>P0107</x:v>
      </x:c>
      <x:c r="E246" s="22" t="str">
        <x:v>地图BOSS</x:v>
      </x:c>
      <x:c r="F246" s="22" t="n">
        <x:v>86.33072695685682</x:v>
      </x:c>
      <x:c r="G246" s="22" t="n">
        <x:v>7</x:v>
      </x:c>
      <x:c r="H246" s="22" t="n">
        <x:v>60020.683333333334</x:v>
      </x:c>
      <x:c r="I246" s="22" t="n">
        <x:v>68829.98358270858</x:v>
      </x:c>
      <x:c r="J246" s="22" t="n">
        <x:v>125137.23000000001</x:v>
      </x:c>
      <x:c r="K246" s="22" t="n">
        <x:v>125137.23000000001</x:v>
      </x:c>
      <x:c r="L246" s="22" t="str">
        <x:v>可承受</x:v>
      </x:c>
    </x:row>
    <x:row r="247" ht="24" customHeight="1">
      <x:c r="A247" s="22" t="str">
        <x:v>C04-M012</x:v>
      </x:c>
      <x:c r="B247" s="22" t="str">
        <x:v>沼冠腐龙·弥瑟</x:v>
      </x:c>
      <x:c r="C247" s="22" t="str">
        <x:v>XX342</x:v>
      </x:c>
      <x:c r="D247" s="22" t="str">
        <x:v>P0108</x:v>
      </x:c>
      <x:c r="E247" s="22" t="str">
        <x:v>地图BOSS</x:v>
      </x:c>
      <x:c r="F247" s="22" t="n">
        <x:v>72.33114961250166</x:v>
      </x:c>
      <x:c r="G247" s="22" t="n">
        <x:v>7</x:v>
      </x:c>
      <x:c r="H247" s="22" t="n">
        <x:v>63187.350000000006</x:v>
      </x:c>
      <x:c r="I247" s="22" t="n">
        <x:v>68829.98358270858</x:v>
      </x:c>
      <x:c r="J247" s="22" t="n">
        <x:v>130837.23000000001</x:v>
      </x:c>
      <x:c r="K247" s="22" t="n">
        <x:v>130837.23000000001</x:v>
      </x:c>
      <x:c r="L247" s="22" t="str">
        <x:v>可承受</x:v>
      </x:c>
    </x:row>
    <x:row r="248" ht="24" customHeight="1">
      <x:c r="A248" s="22" t="str">
        <x:v>C04-M013</x:v>
      </x:c>
      <x:c r="B248" s="22" t="str">
        <x:v>潜碑拾荒者</x:v>
      </x:c>
      <x:c r="C248" s="22" t="str">
        <x:v>XX337</x:v>
      </x:c>
      <x:c r="D248" s="22" t="str">
        <x:v>P0106</x:v>
      </x:c>
      <x:c r="E248" s="22" t="str">
        <x:v>普通</x:v>
      </x:c>
      <x:c r="F248" s="22" t="n">
        <x:v>3.513830639795563</x:v>
      </x:c>
      <x:c r="G248" s="22" t="n">
        <x:v>-3</x:v>
      </x:c>
      <x:c r="H248" s="22" t="n">
        <x:v>16815.310650000003</x:v>
      </x:c>
      <x:c r="I248" s="22" t="n">
        <x:v>61825.55501655513</x:v>
      </x:c>
      <x:c r="J248" s="22" t="n">
        <x:v>29377.230000000003</x:v>
      </x:c>
      <x:c r="K248" s="22" t="n">
        <x:v>76380.79800000001</x:v>
      </x:c>
      <x:c r="L248" s="22" t="str">
        <x:v>可承受</x:v>
      </x:c>
    </x:row>
    <x:row r="249" ht="24" customHeight="1">
      <x:c r="A249" s="22" t="str">
        <x:v>C04-M014</x:v>
      </x:c>
      <x:c r="B249" s="22" t="str">
        <x:v>藻甲石仆</x:v>
      </x:c>
      <x:c r="C249" s="22" t="str">
        <x:v>XX337</x:v>
      </x:c>
      <x:c r="D249" s="22" t="str">
        <x:v>P0106</x:v>
      </x:c>
      <x:c r="E249" s="22" t="str">
        <x:v>普通</x:v>
      </x:c>
      <x:c r="F249" s="22" t="n">
        <x:v>3.513830639795563</x:v>
      </x:c>
      <x:c r="G249" s="22" t="n">
        <x:v>-3</x:v>
      </x:c>
      <x:c r="H249" s="22" t="n">
        <x:v>16815.310650000003</x:v>
      </x:c>
      <x:c r="I249" s="22" t="n">
        <x:v>61825.55501655513</x:v>
      </x:c>
      <x:c r="J249" s="22" t="n">
        <x:v>29377.230000000003</x:v>
      </x:c>
      <x:c r="K249" s="22" t="n">
        <x:v>76380.79800000001</x:v>
      </x:c>
      <x:c r="L249" s="22" t="str">
        <x:v>可承受</x:v>
      </x:c>
    </x:row>
    <x:row r="250" ht="24" customHeight="1">
      <x:c r="A250" s="22" t="str">
        <x:v>C04-M015</x:v>
      </x:c>
      <x:c r="B250" s="22" t="str">
        <x:v>回廊水弩手</x:v>
      </x:c>
      <x:c r="C250" s="22" t="str">
        <x:v>XX336</x:v>
      </x:c>
      <x:c r="D250" s="22" t="str">
        <x:v>P0106</x:v>
      </x:c>
      <x:c r="E250" s="22" t="str">
        <x:v>普通</x:v>
      </x:c>
      <x:c r="F250" s="22" t="n">
        <x:v>3.513830639795563</x:v>
      </x:c>
      <x:c r="G250" s="22" t="n">
        <x:v>-3</x:v>
      </x:c>
      <x:c r="H250" s="22" t="n">
        <x:v>16815.310650000003</x:v>
      </x:c>
      <x:c r="I250" s="22" t="n">
        <x:v>61825.55501655513</x:v>
      </x:c>
      <x:c r="J250" s="22" t="n">
        <x:v>29377.230000000003</x:v>
      </x:c>
      <x:c r="K250" s="22" t="n">
        <x:v>76380.79800000001</x:v>
      </x:c>
      <x:c r="L250" s="22" t="str">
        <x:v>可承受</x:v>
      </x:c>
    </x:row>
    <x:row r="251" ht="24" customHeight="1">
      <x:c r="A251" s="22" t="str">
        <x:v>C04-M016</x:v>
      </x:c>
      <x:c r="B251" s="22" t="str">
        <x:v>沉钟侍祭</x:v>
      </x:c>
      <x:c r="C251" s="22" t="str">
        <x:v>XX336</x:v>
      </x:c>
      <x:c r="D251" s="22" t="str">
        <x:v>P0106</x:v>
      </x:c>
      <x:c r="E251" s="22" t="str">
        <x:v>普通</x:v>
      </x:c>
      <x:c r="F251" s="22" t="n">
        <x:v>3.513830639795563</x:v>
      </x:c>
      <x:c r="G251" s="22" t="n">
        <x:v>-3</x:v>
      </x:c>
      <x:c r="H251" s="22" t="n">
        <x:v>16815.310650000003</x:v>
      </x:c>
      <x:c r="I251" s="22" t="n">
        <x:v>61825.55501655513</x:v>
      </x:c>
      <x:c r="J251" s="22" t="n">
        <x:v>29377.230000000003</x:v>
      </x:c>
      <x:c r="K251" s="22" t="n">
        <x:v>76380.79800000001</x:v>
      </x:c>
      <x:c r="L251" s="22" t="str">
        <x:v>可承受</x:v>
      </x:c>
    </x:row>
    <x:row r="252" ht="24" customHeight="1">
      <x:c r="A252" s="22" t="str">
        <x:v>C04-M017</x:v>
      </x:c>
      <x:c r="B252" s="22" t="str">
        <x:v>祭坛盲鱼</x:v>
      </x:c>
      <x:c r="C252" s="22" t="str">
        <x:v>XX340</x:v>
      </x:c>
      <x:c r="D252" s="22" t="str">
        <x:v>P0106</x:v>
      </x:c>
      <x:c r="E252" s="22" t="str">
        <x:v>普通</x:v>
      </x:c>
      <x:c r="F252" s="22" t="n">
        <x:v>3.513830639795563</x:v>
      </x:c>
      <x:c r="G252" s="22" t="n">
        <x:v>-3</x:v>
      </x:c>
      <x:c r="H252" s="22" t="n">
        <x:v>16815.310650000003</x:v>
      </x:c>
      <x:c r="I252" s="22" t="n">
        <x:v>61825.55501655513</x:v>
      </x:c>
      <x:c r="J252" s="22" t="n">
        <x:v>29377.230000000003</x:v>
      </x:c>
      <x:c r="K252" s="22" t="n">
        <x:v>76380.79800000001</x:v>
      </x:c>
      <x:c r="L252" s="22" t="str">
        <x:v>可承受</x:v>
      </x:c>
    </x:row>
    <x:row r="253" ht="24" customHeight="1">
      <x:c r="A253" s="22" t="str">
        <x:v>C04-M018</x:v>
      </x:c>
      <x:c r="B253" s="22" t="str">
        <x:v>捧盏泥俑</x:v>
      </x:c>
      <x:c r="C253" s="22" t="str">
        <x:v>XX340</x:v>
      </x:c>
      <x:c r="D253" s="22" t="str">
        <x:v>P0106</x:v>
      </x:c>
      <x:c r="E253" s="22" t="str">
        <x:v>普通</x:v>
      </x:c>
      <x:c r="F253" s="22" t="n">
        <x:v>3.9530594697700083</x:v>
      </x:c>
      <x:c r="G253" s="22" t="n">
        <x:v>-3</x:v>
      </x:c>
      <x:c r="H253" s="22" t="n">
        <x:v>16815.310650000003</x:v>
      </x:c>
      <x:c r="I253" s="22" t="n">
        <x:v>61825.55501655513</x:v>
      </x:c>
      <x:c r="J253" s="22" t="n">
        <x:v>29377.230000000003</x:v>
      </x:c>
      <x:c r="K253" s="22" t="n">
        <x:v>76380.79800000001</x:v>
      </x:c>
      <x:c r="L253" s="22" t="str">
        <x:v>可承受</x:v>
      </x:c>
    </x:row>
    <x:row r="254" ht="24" customHeight="1">
      <x:c r="A254" s="22" t="str">
        <x:v>C04-M019</x:v>
      </x:c>
      <x:c r="B254" s="22" t="str">
        <x:v>碑林巡潮官</x:v>
      </x:c>
      <x:c r="C254" s="22" t="str">
        <x:v>XX337</x:v>
      </x:c>
      <x:c r="D254" s="22" t="str">
        <x:v>P0106</x:v>
      </x:c>
      <x:c r="E254" s="22" t="str">
        <x:v>稀有</x:v>
      </x:c>
      <x:c r="F254" s="22" t="n">
        <x:v>13.609491677772306</x:v>
      </x:c>
      <x:c r="G254" s="22" t="n">
        <x:v>-3</x:v>
      </x:c>
      <x:c r="H254" s="22" t="n">
        <x:v>42004.598258823535</x:v>
      </x:c>
      <x:c r="I254" s="22" t="n">
        <x:v>61825.55501655513</x:v>
      </x:c>
      <x:c r="J254" s="22" t="n">
        <x:v>79537.23000000001</x:v>
      </x:c>
      <x:c r="K254" s="22" t="n">
        <x:v>206796.79800000004</x:v>
      </x:c>
      <x:c r="L254" s="22" t="str">
        <x:v>可承受</x:v>
      </x:c>
    </x:row>
    <x:row r="255" ht="24" customHeight="1">
      <x:c r="A255" s="22" t="str">
        <x:v>C04-M020</x:v>
      </x:c>
      <x:c r="B255" s="22" t="str">
        <x:v>断链湖狮</x:v>
      </x:c>
      <x:c r="C255" s="22" t="str">
        <x:v>XX336</x:v>
      </x:c>
      <x:c r="D255" s="22" t="str">
        <x:v>P0106</x:v>
      </x:c>
      <x:c r="E255" s="22" t="str">
        <x:v>稀有</x:v>
      </x:c>
      <x:c r="F255" s="22" t="n">
        <x:v>11.263027595397771</x:v>
      </x:c>
      <x:c r="G255" s="22" t="n">
        <x:v>-3</x:v>
      </x:c>
      <x:c r="H255" s="22" t="n">
        <x:v>45518.48061176472</x:v>
      </x:c>
      <x:c r="I255" s="22" t="n">
        <x:v>61825.55501655513</x:v>
      </x:c>
      <x:c r="J255" s="22" t="n">
        <x:v>85237.23000000001</x:v>
      </x:c>
      <x:c r="K255" s="22" t="n">
        <x:v>221616.79800000004</x:v>
      </x:c>
      <x:c r="L255" s="22" t="str">
        <x:v>可承受</x:v>
      </x:c>
    </x:row>
    <x:row r="256" ht="24" customHeight="1">
      <x:c r="A256" s="22" t="str">
        <x:v>C04-M021</x:v>
      </x:c>
      <x:c r="B256" s="22" t="str">
        <x:v>蓝焰祷亡者</x:v>
      </x:c>
      <x:c r="C256" s="22" t="str">
        <x:v>XX340</x:v>
      </x:c>
      <x:c r="D256" s="22" t="str">
        <x:v>P0106</x:v>
      </x:c>
      <x:c r="E256" s="22" t="str">
        <x:v>稀有</x:v>
      </x:c>
      <x:c r="F256" s="22" t="n">
        <x:v>11.732320411872678</x:v>
      </x:c>
      <x:c r="G256" s="22" t="n">
        <x:v>-3</x:v>
      </x:c>
      <x:c r="H256" s="22" t="n">
        <x:v>45518.48061176472</x:v>
      </x:c>
      <x:c r="I256" s="22" t="n">
        <x:v>61825.55501655513</x:v>
      </x:c>
      <x:c r="J256" s="22" t="n">
        <x:v>85237.23000000001</x:v>
      </x:c>
      <x:c r="K256" s="22" t="n">
        <x:v>221616.79800000004</x:v>
      </x:c>
      <x:c r="L256" s="22" t="str">
        <x:v>可承受</x:v>
      </x:c>
    </x:row>
    <x:row r="257" ht="24" customHeight="1">
      <x:c r="A257" s="22" t="str">
        <x:v>C04-M022</x:v>
      </x:c>
      <x:c r="B257" s="22" t="str">
        <x:v>祭池双生螯</x:v>
      </x:c>
      <x:c r="C257" s="22" t="str">
        <x:v>XX340</x:v>
      </x:c>
      <x:c r="D257" s="22" t="str">
        <x:v>P0106</x:v>
      </x:c>
      <x:c r="E257" s="22" t="str">
        <x:v>稀有</x:v>
      </x:c>
      <x:c r="F257" s="22" t="n">
        <x:v>13.609491677772306</x:v>
      </x:c>
      <x:c r="G257" s="22" t="n">
        <x:v>-3</x:v>
      </x:c>
      <x:c r="H257" s="22" t="n">
        <x:v>42004.598258823535</x:v>
      </x:c>
      <x:c r="I257" s="22" t="n">
        <x:v>61825.55501655513</x:v>
      </x:c>
      <x:c r="J257" s="22" t="n">
        <x:v>79537.23000000001</x:v>
      </x:c>
      <x:c r="K257" s="22" t="n">
        <x:v>206796.79800000004</x:v>
      </x:c>
      <x:c r="L257" s="22" t="str">
        <x:v>可承受</x:v>
      </x:c>
    </x:row>
    <x:row r="258" ht="24" customHeight="1">
      <x:c r="A258" s="22" t="str">
        <x:v>C04-M023</x:v>
      </x:c>
      <x:c r="B258" s="22" t="str">
        <x:v>淹廊判官·摩汶</x:v>
      </x:c>
      <x:c r="C258" s="22" t="str">
        <x:v>XX336</x:v>
      </x:c>
      <x:c r="D258" s="22" t="str">
        <x:v>P0113</x:v>
      </x:c>
      <x:c r="E258" s="22" t="str">
        <x:v>地图BOSS</x:v>
      </x:c>
      <x:c r="F258" s="22" t="n">
        <x:v>71.97481228181282</x:v>
      </x:c>
      <x:c r="G258" s="22" t="n">
        <x:v>-3</x:v>
      </x:c>
      <x:c r="H258" s="22" t="n">
        <x:v>74517.00946666668</x:v>
      </x:c>
      <x:c r="I258" s="22" t="n">
        <x:v>85698.4916902978</x:v>
      </x:c>
      <x:c r="J258" s="22" t="n">
        <x:v>147937.23</x:v>
      </x:c>
      <x:c r="K258" s="22" t="n">
        <x:v>384636.79800000007</x:v>
      </x:c>
      <x:c r="L258" s="22" t="str">
        <x:v>可承受</x:v>
      </x:c>
    </x:row>
    <x:row r="259" ht="24" customHeight="1">
      <x:c r="A259" s="22" t="str">
        <x:v>C04-M024</x:v>
      </x:c>
      <x:c r="B259" s="22" t="str">
        <x:v>无声湖后·塞芙拉</x:v>
      </x:c>
      <x:c r="C259" s="22" t="str">
        <x:v>XX340</x:v>
      </x:c>
      <x:c r="D259" s="22" t="str">
        <x:v>P0114</x:v>
      </x:c>
      <x:c r="E259" s="22" t="str">
        <x:v>地图BOSS</x:v>
      </x:c>
      <x:c r="F259" s="22" t="n">
        <x:v>86.69693297581998</x:v>
      </x:c>
      <x:c r="G259" s="22" t="n">
        <x:v>-3</x:v>
      </x:c>
      <x:c r="H259" s="22" t="n">
        <x:v>74517.00946666668</x:v>
      </x:c>
      <x:c r="I259" s="22" t="n">
        <x:v>85698.4916902978</x:v>
      </x:c>
      <x:c r="J259" s="22" t="n">
        <x:v>147937.23</x:v>
      </x:c>
      <x:c r="K259" s="22" t="n">
        <x:v>384636.79800000007</x:v>
      </x:c>
      <x:c r="L259" s="22" t="str">
        <x:v>可承受</x:v>
      </x:c>
    </x:row>
    <x:row r="260" ht="24" customHeight="1">
      <x:c r="A260" s="22" t="str">
        <x:v>C04-M025</x:v>
      </x:c>
      <x:c r="B260" s="22" t="str">
        <x:v>破帆水手</x:v>
      </x:c>
      <x:c r="C260" s="22" t="str">
        <x:v>XX363</x:v>
      </x:c>
      <x:c r="D260" s="22" t="str">
        <x:v>P0112</x:v>
      </x:c>
      <x:c r="E260" s="22" t="str">
        <x:v>普通</x:v>
      </x:c>
      <x:c r="F260" s="22" t="n">
        <x:v>3.3155198244240927</x:v>
      </x:c>
      <x:c r="G260" s="22" t="n">
        <x:v>-8</x:v>
      </x:c>
      <x:c r="H260" s="22" t="n">
        <x:v>19554.290917141945</x:v>
      </x:c>
      <x:c r="I260" s="22" t="n">
        <x:v>81283.72090625216</x:v>
      </x:c>
      <x:c r="J260" s="22" t="n">
        <x:v>27667.230000000003</x:v>
      </x:c>
      <x:c r="K260" s="22" t="n">
        <x:v>99602.02800000002</x:v>
      </x:c>
      <x:c r="L260" s="22" t="str">
        <x:v>可承受</x:v>
      </x:c>
    </x:row>
    <x:row r="261" ht="24" customHeight="1">
      <x:c r="A261" s="22" t="str">
        <x:v>C04-M026</x:v>
      </x:c>
      <x:c r="B261" s="22" t="str">
        <x:v>缠藻桅猴</x:v>
      </x:c>
      <x:c r="C261" s="22" t="str">
        <x:v>XX363</x:v>
      </x:c>
      <x:c r="D261" s="22" t="str">
        <x:v>P0112</x:v>
      </x:c>
      <x:c r="E261" s="22" t="str">
        <x:v>普通</x:v>
      </x:c>
      <x:c r="F261" s="22" t="n">
        <x:v>4.06904705724775</x:v>
      </x:c>
      <x:c r="G261" s="22" t="n">
        <x:v>-8</x:v>
      </x:c>
      <x:c r="H261" s="22" t="n">
        <x:v>19554.290917141945</x:v>
      </x:c>
      <x:c r="I261" s="22" t="n">
        <x:v>81283.72090625216</x:v>
      </x:c>
      <x:c r="J261" s="22" t="n">
        <x:v>27667.230000000003</x:v>
      </x:c>
      <x:c r="K261" s="22" t="n">
        <x:v>99602.02800000002</x:v>
      </x:c>
      <x:c r="L261" s="22" t="str">
        <x:v>可承受</x:v>
      </x:c>
    </x:row>
    <x:row r="262" ht="24" customHeight="1">
      <x:c r="A262" s="22" t="str">
        <x:v>C04-M027</x:v>
      </x:c>
      <x:c r="B262" s="22" t="str">
        <x:v>舱门凿击者</x:v>
      </x:c>
      <x:c r="C262" s="22" t="str">
        <x:v>XX362</x:v>
      </x:c>
      <x:c r="D262" s="22" t="str">
        <x:v>P0112</x:v>
      </x:c>
      <x:c r="E262" s="22" t="str">
        <x:v>普通</x:v>
      </x:c>
      <x:c r="F262" s="22" t="n">
        <x:v>3.3155198244240927</x:v>
      </x:c>
      <x:c r="G262" s="22" t="n">
        <x:v>-8</x:v>
      </x:c>
      <x:c r="H262" s="22" t="n">
        <x:v>19554.290917141945</x:v>
      </x:c>
      <x:c r="I262" s="22" t="n">
        <x:v>81283.72090625216</x:v>
      </x:c>
      <x:c r="J262" s="22" t="n">
        <x:v>27667.230000000003</x:v>
      </x:c>
      <x:c r="K262" s="22" t="n">
        <x:v>99602.02800000002</x:v>
      </x:c>
      <x:c r="L262" s="22" t="str">
        <x:v>可承受</x:v>
      </x:c>
    </x:row>
    <x:row r="263" ht="24" customHeight="1">
      <x:c r="A263" s="22" t="str">
        <x:v>C04-M028</x:v>
      </x:c>
      <x:c r="B263" s="22" t="str">
        <x:v>油灯怨影</x:v>
      </x:c>
      <x:c r="C263" s="22" t="str">
        <x:v>XX362</x:v>
      </x:c>
      <x:c r="D263" s="22" t="str">
        <x:v>P0112</x:v>
      </x:c>
      <x:c r="E263" s="22" t="str">
        <x:v>普通</x:v>
      </x:c>
      <x:c r="F263" s="22" t="n">
        <x:v>3.4662252709888244</x:v>
      </x:c>
      <x:c r="G263" s="22" t="n">
        <x:v>-8</x:v>
      </x:c>
      <x:c r="H263" s="22" t="n">
        <x:v>19554.290917141945</x:v>
      </x:c>
      <x:c r="I263" s="22" t="n">
        <x:v>81283.72090625216</x:v>
      </x:c>
      <x:c r="J263" s="22" t="n">
        <x:v>27667.230000000003</x:v>
      </x:c>
      <x:c r="K263" s="22" t="n">
        <x:v>99602.02800000002</x:v>
      </x:c>
      <x:c r="L263" s="22" t="str">
        <x:v>可承受</x:v>
      </x:c>
    </x:row>
    <x:row r="264" ht="24" customHeight="1">
      <x:c r="A264" s="22" t="str">
        <x:v>C04-M029</x:v>
      </x:c>
      <x:c r="B264" s="22" t="str">
        <x:v>墓舱寄居蟹</x:v>
      </x:c>
      <x:c r="C264" s="22" t="str">
        <x:v>XX351</x:v>
      </x:c>
      <x:c r="D264" s="22" t="str">
        <x:v>P0112</x:v>
      </x:c>
      <x:c r="E264" s="22" t="str">
        <x:v>普通</x:v>
      </x:c>
      <x:c r="F264" s="22" t="n">
        <x:v>3.4662252709888244</x:v>
      </x:c>
      <x:c r="G264" s="22" t="n">
        <x:v>-8</x:v>
      </x:c>
      <x:c r="H264" s="22" t="n">
        <x:v>19554.290917141945</x:v>
      </x:c>
      <x:c r="I264" s="22" t="n">
        <x:v>81283.72090625216</x:v>
      </x:c>
      <x:c r="J264" s="22" t="n">
        <x:v>27667.230000000003</x:v>
      </x:c>
      <x:c r="K264" s="22" t="n">
        <x:v>99602.02800000002</x:v>
      </x:c>
      <x:c r="L264" s="22" t="str">
        <x:v>可承受</x:v>
      </x:c>
    </x:row>
    <x:row r="265" ht="24" customHeight="1">
      <x:c r="A265" s="22" t="str">
        <x:v>C04-M030</x:v>
      </x:c>
      <x:c r="B265" s="22" t="str">
        <x:v>裹布船尸</x:v>
      </x:c>
      <x:c r="C265" s="22" t="str">
        <x:v>XX351</x:v>
      </x:c>
      <x:c r="D265" s="22" t="str">
        <x:v>P0112</x:v>
      </x:c>
      <x:c r="E265" s="22" t="str">
        <x:v>普通</x:v>
      </x:c>
      <x:c r="F265" s="22" t="n">
        <x:v>4.06904705724775</x:v>
      </x:c>
      <x:c r="G265" s="22" t="n">
        <x:v>-8</x:v>
      </x:c>
      <x:c r="H265" s="22" t="n">
        <x:v>19554.290917141945</x:v>
      </x:c>
      <x:c r="I265" s="22" t="n">
        <x:v>81283.72090625216</x:v>
      </x:c>
      <x:c r="J265" s="22" t="n">
        <x:v>27667.230000000003</x:v>
      </x:c>
      <x:c r="K265" s="22" t="n">
        <x:v>99602.02800000002</x:v>
      </x:c>
      <x:c r="L265" s="22" t="str">
        <x:v>可承受</x:v>
      </x:c>
    </x:row>
    <x:row r="266" ht="24" customHeight="1">
      <x:c r="A266" s="22" t="str">
        <x:v>C04-M031</x:v>
      </x:c>
      <x:c r="B266" s="22" t="str">
        <x:v>白鳍劫舟客</x:v>
      </x:c>
      <x:c r="C266" s="22" t="str">
        <x:v>XX363</x:v>
      </x:c>
      <x:c r="D266" s="22" t="str">
        <x:v>P0112</x:v>
      </x:c>
      <x:c r="E266" s="22" t="str">
        <x:v>稀有</x:v>
      </x:c>
      <x:c r="F266" s="22" t="n">
        <x:v>11.737102558577561</x:v>
      </x:c>
      <x:c r="G266" s="22" t="n">
        <x:v>-8</x:v>
      </x:c>
      <x:c r="H266" s="22" t="n">
        <x:v>55974.35953414899</x:v>
      </x:c>
      <x:c r="I266" s="22" t="n">
        <x:v>81283.72090625216</x:v>
      </x:c>
      <x:c r="J266" s="22" t="n">
        <x:v>85237.23000000001</x:v>
      </x:c>
      <x:c r="K266" s="22" t="n">
        <x:v>306854.02800000005</x:v>
      </x:c>
      <x:c r="L266" s="22" t="str">
        <x:v>可承受</x:v>
      </x:c>
    </x:row>
    <x:row r="267" ht="24" customHeight="1">
      <x:c r="A267" s="22" t="str">
        <x:v>C04-M032</x:v>
      </x:c>
      <x:c r="B267" s="22" t="str">
        <x:v>抱舵老幽魂</x:v>
      </x:c>
      <x:c r="C267" s="22" t="str">
        <x:v>XX362</x:v>
      </x:c>
      <x:c r="D267" s="22" t="str">
        <x:v>P0112</x:v>
      </x:c>
      <x:c r="E267" s="22" t="str">
        <x:v>稀有</x:v>
      </x:c>
      <x:c r="F267" s="22" t="n">
        <x:v>9.486151382959948</x:v>
      </x:c>
      <x:c r="G267" s="22" t="n">
        <x:v>-8</x:v>
      </x:c>
      <x:c r="H267" s="22" t="n">
        <x:v>55974.35953414899</x:v>
      </x:c>
      <x:c r="I267" s="22" t="n">
        <x:v>81283.72090625216</x:v>
      </x:c>
      <x:c r="J267" s="22" t="n">
        <x:v>85237.23000000001</x:v>
      </x:c>
      <x:c r="K267" s="22" t="n">
        <x:v>306854.02800000005</x:v>
      </x:c>
      <x:c r="L267" s="22" t="str">
        <x:v>可承受</x:v>
      </x:c>
    </x:row>
    <x:row r="268" ht="24" customHeight="1">
      <x:c r="A268" s="22" t="str">
        <x:v>C04-M033</x:v>
      </x:c>
      <x:c r="B268" s="22" t="str">
        <x:v>棺板伏行者</x:v>
      </x:c>
      <x:c r="C268" s="22" t="str">
        <x:v>XX351</x:v>
      </x:c>
      <x:c r="D268" s="22" t="str">
        <x:v>P0112</x:v>
      </x:c>
      <x:c r="E268" s="22" t="str">
        <x:v>稀有</x:v>
      </x:c>
      <x:c r="F268" s="22" t="n">
        <x:v>11.737102558577561</x:v>
      </x:c>
      <x:c r="G268" s="22" t="n">
        <x:v>-8</x:v>
      </x:c>
      <x:c r="H268" s="22" t="n">
        <x:v>55974.35953414899</x:v>
      </x:c>
      <x:c r="I268" s="22" t="n">
        <x:v>81283.72090625216</x:v>
      </x:c>
      <x:c r="J268" s="22" t="n">
        <x:v>85237.23000000001</x:v>
      </x:c>
      <x:c r="K268" s="22" t="n">
        <x:v>306854.02800000005</x:v>
      </x:c>
      <x:c r="L268" s="22" t="str">
        <x:v>可承受</x:v>
      </x:c>
    </x:row>
    <x:row r="269" ht="24" customHeight="1">
      <x:c r="A269" s="22" t="str">
        <x:v>C04-M034</x:v>
      </x:c>
      <x:c r="B269" s="22" t="str">
        <x:v>啃锚深渊鱼</x:v>
      </x:c>
      <x:c r="C269" s="22" t="str">
        <x:v>XX351</x:v>
      </x:c>
      <x:c r="D269" s="22" t="str">
        <x:v>P0112</x:v>
      </x:c>
      <x:c r="E269" s="22" t="str">
        <x:v>稀有</x:v>
      </x:c>
      <x:c r="F269" s="22" t="n">
        <x:v>9.486151382959948</x:v>
      </x:c>
      <x:c r="G269" s="22" t="n">
        <x:v>-8</x:v>
      </x:c>
      <x:c r="H269" s="22" t="n">
        <x:v>55974.35953414899</x:v>
      </x:c>
      <x:c r="I269" s="22" t="n">
        <x:v>81283.72090625216</x:v>
      </x:c>
      <x:c r="J269" s="22" t="n">
        <x:v>85237.23000000001</x:v>
      </x:c>
      <x:c r="K269" s="22" t="n">
        <x:v>306854.02800000005</x:v>
      </x:c>
      <x:c r="L269" s="22" t="str">
        <x:v>可承受</x:v>
      </x:c>
    </x:row>
    <x:row r="270" ht="24" customHeight="1">
      <x:c r="A270" s="22" t="str">
        <x:v>C04-M035</x:v>
      </x:c>
      <x:c r="B270" s="22" t="str">
        <x:v>锁舱船长·奥杜</x:v>
      </x:c>
      <x:c r="C270" s="22" t="str">
        <x:v>XX362</x:v>
      </x:c>
      <x:c r="D270" s="22" t="str">
        <x:v>P0119</x:v>
      </x:c>
      <x:c r="E270" s="22" t="str">
        <x:v>地图BOSS</x:v>
      </x:c>
      <x:c r="F270" s="22" t="n">
        <x:v>74.62717723423175</x:v>
      </x:c>
      <x:c r="G270" s="22" t="n">
        <x:v>-8</x:v>
      </x:c>
      <x:c r="H270" s="22" t="n">
        <x:v>90552.54034353376</x:v>
      </x:c>
      <x:c r="I270" s="22" t="n">
        <x:v>102113.16774683652</x:v>
      </x:c>
      <x:c r="J270" s="22" t="n">
        <x:v>147932.67</x:v>
      </x:c>
      <x:c r="K270" s="22" t="n">
        <x:v>532557.6120000001</x:v>
      </x:c>
      <x:c r="L270" s="22" t="str">
        <x:v>可承受</x:v>
      </x:c>
    </x:row>
    <x:row r="271" ht="24" customHeight="1">
      <x:c r="A271" s="22" t="str">
        <x:v>C04-M036</x:v>
      </x:c>
      <x:c r="B271" s="22" t="str">
        <x:v>亡舟新娘·伊蕾莎</x:v>
      </x:c>
      <x:c r="C271" s="22" t="str">
        <x:v>XX351</x:v>
      </x:c>
      <x:c r="D271" s="22" t="str">
        <x:v>P0120</x:v>
      </x:c>
      <x:c r="E271" s="22" t="str">
        <x:v>地图BOSS</x:v>
      </x:c>
      <x:c r="F271" s="22" t="n">
        <x:v>85.68305534300681</x:v>
      </x:c>
      <x:c r="G271" s="22" t="n">
        <x:v>-8</x:v>
      </x:c>
      <x:c r="H271" s="22" t="n">
        <x:v>88536.0584247</x:v>
      </x:c>
      <x:c r="I271" s="22" t="n">
        <x:v>102113.16774683652</x:v>
      </x:c>
      <x:c r="J271" s="22" t="n">
        <x:v>142232.67</x:v>
      </x:c>
      <x:c r="K271" s="22" t="n">
        <x:v>512037.6120000001</x:v>
      </x:c>
      <x:c r="L271" s="22" t="str">
        <x:v>可承受</x:v>
      </x:c>
    </x:row>
    <x:row r="272" ht="24" customHeight="1">
      <x:c r="A272" s="22" t="str">
        <x:v>C04-M037</x:v>
      </x:c>
      <x:c r="B272" s="22" t="str">
        <x:v>磷火甲板兵</x:v>
      </x:c>
      <x:c r="C272" s="22" t="str">
        <x:v>XX527</x:v>
      </x:c>
      <x:c r="D272" s="22" t="str">
        <x:v>P0118</x:v>
      </x:c>
      <x:c r="E272" s="22" t="str">
        <x:v>普通</x:v>
      </x:c>
      <x:c r="F272" s="22" t="n">
        <x:v>4.078811587307751</x:v>
      </x:c>
      <x:c r="G272" s="22" t="n">
        <x:v>-18</x:v>
      </x:c>
      <x:c r="H272" s="22" t="n">
        <x:v>20942.155194045405</x:v>
      </x:c>
      <x:c r="I272" s="22" t="n">
        <x:v>86934.8906342878</x:v>
      </x:c>
      <x:c r="J272" s="22" t="n">
        <x:v>13412.670000000002</x:v>
      </x:c>
      <x:c r="K272" s="22" t="n">
        <x:v>75110.952</x:v>
      </x:c>
      <x:c r="L272" s="22" t="str">
        <x:v>可承受</x:v>
      </x:c>
    </x:row>
    <x:row r="273" ht="24" customHeight="1">
      <x:c r="A273" s="22" t="str">
        <x:v>C04-M038</x:v>
      </x:c>
      <x:c r="B273" s="22" t="str">
        <x:v>船骸骨鸥</x:v>
      </x:c>
      <x:c r="C273" s="22" t="str">
        <x:v>XX527</x:v>
      </x:c>
      <x:c r="D273" s="22" t="str">
        <x:v>P0118</x:v>
      </x:c>
      <x:c r="E273" s="22" t="str">
        <x:v>普通</x:v>
      </x:c>
      <x:c r="F273" s="22" t="n">
        <x:v>3.51621688561013</x:v>
      </x:c>
      <x:c r="G273" s="22" t="n">
        <x:v>-18</x:v>
      </x:c>
      <x:c r="H273" s="22" t="n">
        <x:v>20942.155194045405</x:v>
      </x:c>
      <x:c r="I273" s="22" t="n">
        <x:v>86934.8906342878</x:v>
      </x:c>
      <x:c r="J273" s="22" t="n">
        <x:v>13412.670000000002</x:v>
      </x:c>
      <x:c r="K273" s="22" t="n">
        <x:v>75110.952</x:v>
      </x:c>
      <x:c r="L273" s="22" t="str">
        <x:v>可承受</x:v>
      </x:c>
    </x:row>
    <x:row r="274" ht="24" customHeight="1">
      <x:c r="A274" s="22" t="str">
        <x:v>C04-M039</x:v>
      </x:c>
      <x:c r="B274" s="22" t="str">
        <x:v>漏舱舀水鬼</x:v>
      </x:c>
      <x:c r="C274" s="22" t="str">
        <x:v>XX457</x:v>
      </x:c>
      <x:c r="D274" s="22" t="str">
        <x:v>P0118</x:v>
      </x:c>
      <x:c r="E274" s="22" t="str">
        <x:v>普通</x:v>
      </x:c>
      <x:c r="F274" s="22" t="n">
        <x:v>3.9381629118833454</x:v>
      </x:c>
      <x:c r="G274" s="22" t="n">
        <x:v>-18</x:v>
      </x:c>
      <x:c r="H274" s="22" t="n">
        <x:v>20942.155194045405</x:v>
      </x:c>
      <x:c r="I274" s="22" t="n">
        <x:v>86934.8906342878</x:v>
      </x:c>
      <x:c r="J274" s="22" t="n">
        <x:v>13412.670000000002</x:v>
      </x:c>
      <x:c r="K274" s="22" t="n">
        <x:v>75110.952</x:v>
      </x:c>
      <x:c r="L274" s="22" t="str">
        <x:v>可承受</x:v>
      </x:c>
    </x:row>
    <x:row r="275" ht="24" customHeight="1">
      <x:c r="A275" s="22" t="str">
        <x:v>C04-M040</x:v>
      </x:c>
      <x:c r="B275" s="22" t="str">
        <x:v>铜铃引魂童</x:v>
      </x:c>
      <x:c r="C275" s="22" t="str">
        <x:v>XX457</x:v>
      </x:c>
      <x:c r="D275" s="22" t="str">
        <x:v>P0118</x:v>
      </x:c>
      <x:c r="E275" s="22" t="str">
        <x:v>普通</x:v>
      </x:c>
      <x:c r="F275" s="22" t="n">
        <x:v>4.078811587307751</x:v>
      </x:c>
      <x:c r="G275" s="22" t="n">
        <x:v>-18</x:v>
      </x:c>
      <x:c r="H275" s="22" t="n">
        <x:v>20942.155194045405</x:v>
      </x:c>
      <x:c r="I275" s="22" t="n">
        <x:v>86934.8906342878</x:v>
      </x:c>
      <x:c r="J275" s="22" t="n">
        <x:v>13412.670000000002</x:v>
      </x:c>
      <x:c r="K275" s="22" t="n">
        <x:v>75110.952</x:v>
      </x:c>
      <x:c r="L275" s="22" t="str">
        <x:v>可承受</x:v>
      </x:c>
    </x:row>
    <x:row r="276" ht="24" customHeight="1">
      <x:c r="A276" s="22" t="str">
        <x:v>C04-M041</x:v>
      </x:c>
      <x:c r="B276" s="22" t="str">
        <x:v>密舱蜡尸</x:v>
      </x:c>
      <x:c r="C276" s="22" t="str">
        <x:v>XX582</x:v>
      </x:c>
      <x:c r="D276" s="22" t="str">
        <x:v>P0118</x:v>
      </x:c>
      <x:c r="E276" s="22" t="str">
        <x:v>普通</x:v>
      </x:c>
      <x:c r="F276" s="22" t="n">
        <x:v>4.078811587307751</x:v>
      </x:c>
      <x:c r="G276" s="22" t="n">
        <x:v>-18</x:v>
      </x:c>
      <x:c r="H276" s="22" t="n">
        <x:v>20942.155194045405</x:v>
      </x:c>
      <x:c r="I276" s="22" t="n">
        <x:v>86934.8906342878</x:v>
      </x:c>
      <x:c r="J276" s="22" t="n">
        <x:v>13412.670000000002</x:v>
      </x:c>
      <x:c r="K276" s="22" t="n">
        <x:v>75110.952</x:v>
      </x:c>
      <x:c r="L276" s="22" t="str">
        <x:v>可承受</x:v>
      </x:c>
    </x:row>
    <x:row r="277" ht="24" customHeight="1">
      <x:c r="A277" s="22" t="str">
        <x:v>C04-M042</x:v>
      </x:c>
      <x:c r="B277" s="22" t="str">
        <x:v>食梦船蛾</x:v>
      </x:c>
      <x:c r="C277" s="22" t="str">
        <x:v>XX582</x:v>
      </x:c>
      <x:c r="D277" s="22" t="str">
        <x:v>P0118</x:v>
      </x:c>
      <x:c r="E277" s="22" t="str">
        <x:v>普通</x:v>
      </x:c>
      <x:c r="F277" s="22" t="n">
        <x:v>4.078811587307751</x:v>
      </x:c>
      <x:c r="G277" s="22" t="n">
        <x:v>-18</x:v>
      </x:c>
      <x:c r="H277" s="22" t="n">
        <x:v>20942.155194045405</x:v>
      </x:c>
      <x:c r="I277" s="22" t="n">
        <x:v>86934.8906342878</x:v>
      </x:c>
      <x:c r="J277" s="22" t="n">
        <x:v>13412.670000000002</x:v>
      </x:c>
      <x:c r="K277" s="22" t="n">
        <x:v>75110.952</x:v>
      </x:c>
      <x:c r="L277" s="22" t="str">
        <x:v>可承受</x:v>
      </x:c>
    </x:row>
    <x:row r="278" ht="24" customHeight="1">
      <x:c r="A278" s="22" t="str">
        <x:v>C04-M043</x:v>
      </x:c>
      <x:c r="B278" s="22" t="str">
        <x:v>倒吊瞭望手</x:v>
      </x:c>
      <x:c r="C278" s="22" t="str">
        <x:v>XX527</x:v>
      </x:c>
      <x:c r="D278" s="22" t="str">
        <x:v>P0118</x:v>
      </x:c>
      <x:c r="E278" s="22" t="str">
        <x:v>稀有</x:v>
      </x:c>
      <x:c r="F278" s="22" t="n">
        <x:v>10.079035806809753</x:v>
      </x:c>
      <x:c r="G278" s="22" t="n">
        <x:v>-18</x:v>
      </x:c>
      <x:c r="H278" s="22" t="n">
        <x:v>61138.97514481967</x:v>
      </x:c>
      <x:c r="I278" s="22" t="n">
        <x:v>86934.8906342878</x:v>
      </x:c>
      <x:c r="J278" s="22" t="n">
        <x:v>41912.670000000006</x:v>
      </x:c>
      <x:c r="K278" s="22" t="n">
        <x:v>234710.95200000002</x:v>
      </x:c>
      <x:c r="L278" s="22" t="str">
        <x:v>可承受</x:v>
      </x:c>
    </x:row>
    <x:row r="279" ht="24" customHeight="1">
      <x:c r="A279" s="22" t="str">
        <x:v>C04-M044</x:v>
      </x:c>
      <x:c r="B279" s="22" t="str">
        <x:v>无面桨官</x:v>
      </x:c>
      <x:c r="C279" s="22" t="str">
        <x:v>XX457</x:v>
      </x:c>
      <x:c r="D279" s="22" t="str">
        <x:v>P0118</x:v>
      </x:c>
      <x:c r="E279" s="22" t="str">
        <x:v>稀有</x:v>
      </x:c>
      <x:c r="F279" s="22" t="n">
        <x:v>10.079035806809753</x:v>
      </x:c>
      <x:c r="G279" s="22" t="n">
        <x:v>-18</x:v>
      </x:c>
      <x:c r="H279" s="22" t="n">
        <x:v>61138.97514481967</x:v>
      </x:c>
      <x:c r="I279" s="22" t="n">
        <x:v>86934.8906342878</x:v>
      </x:c>
      <x:c r="J279" s="22" t="n">
        <x:v>41912.670000000006</x:v>
      </x:c>
      <x:c r="K279" s="22" t="n">
        <x:v>234710.95200000002</x:v>
      </x:c>
      <x:c r="L279" s="22" t="str">
        <x:v>可承受</x:v>
      </x:c>
    </x:row>
    <x:row r="280" ht="24" customHeight="1">
      <x:c r="A280" s="22" t="str">
        <x:v>C04-M045</x:v>
      </x:c>
      <x:c r="B280" s="22" t="str">
        <x:v>舱壁缝合怪</x:v>
      </x:c>
      <x:c r="C280" s="22" t="str">
        <x:v>XX582</x:v>
      </x:c>
      <x:c r="D280" s="22" t="str">
        <x:v>P0118</x:v>
      </x:c>
      <x:c r="E280" s="22" t="str">
        <x:v>稀有</x:v>
      </x:c>
      <x:c r="F280" s="22" t="n">
        <x:v>10.68076928781332</x:v>
      </x:c>
      <x:c r="G280" s="22" t="n">
        <x:v>-18</x:v>
      </x:c>
      <x:c r="H280" s="22" t="n">
        <x:v>60184.141155895246</x:v>
      </x:c>
      <x:c r="I280" s="22" t="n">
        <x:v>86934.8906342878</x:v>
      </x:c>
      <x:c r="J280" s="22" t="n">
        <x:v>41342.670000000006</x:v>
      </x:c>
      <x:c r="K280" s="22" t="n">
        <x:v>231518.95200000002</x:v>
      </x:c>
      <x:c r="L280" s="22" t="str">
        <x:v>可承受</x:v>
      </x:c>
    </x:row>
    <x:row r="281" ht="24" customHeight="1">
      <x:c r="A281" s="22" t="str">
        <x:v>C04-M046</x:v>
      </x:c>
      <x:c r="B281" s="22" t="str">
        <x:v>黑帆招魂师</x:v>
      </x:c>
      <x:c r="C281" s="22" t="str">
        <x:v>XX582</x:v>
      </x:c>
      <x:c r="D281" s="22" t="str">
        <x:v>P0118</x:v>
      </x:c>
      <x:c r="E281" s="22" t="str">
        <x:v>稀有</x:v>
      </x:c>
      <x:c r="F281" s="22" t="n">
        <x:v>10.68076928781332</x:v>
      </x:c>
      <x:c r="G281" s="22" t="n">
        <x:v>-18</x:v>
      </x:c>
      <x:c r="H281" s="22" t="n">
        <x:v>60184.141155895246</x:v>
      </x:c>
      <x:c r="I281" s="22" t="n">
        <x:v>86934.8906342878</x:v>
      </x:c>
      <x:c r="J281" s="22" t="n">
        <x:v>41342.670000000006</x:v>
      </x:c>
      <x:c r="K281" s="22" t="n">
        <x:v>231518.95200000002</x:v>
      </x:c>
      <x:c r="L281" s="22" t="str">
        <x:v>可承受</x:v>
      </x:c>
    </x:row>
    <x:row r="282" ht="24" customHeight="1">
      <x:c r="A282" s="22" t="str">
        <x:v>C04-M047</x:v>
      </x:c>
      <x:c r="B282" s="22" t="str">
        <x:v>幽舵大副·赫岚</x:v>
      </x:c>
      <x:c r="C282" s="22" t="str">
        <x:v>XX457</x:v>
      </x:c>
      <x:c r="D282" s="22" t="str">
        <x:v>P0125</x:v>
      </x:c>
      <x:c r="E282" s="22" t="str">
        <x:v>地图BOSS</x:v>
      </x:c>
      <x:c r="F282" s="22" t="n">
        <x:v>85.91664913229201</x:v>
      </x:c>
      <x:c r="G282" s="22" t="n">
        <x:v>-18</x:v>
      </x:c>
      <x:c r="H282" s="22" t="n">
        <x:v>92065.91978502285</x:v>
      </x:c>
      <x:c r="I282" s="22" t="n">
        <x:v>107242.37863314612</x:v>
      </x:c>
      <x:c r="J282" s="22" t="n">
        <x:v>68132.67000000001</x:v>
      </x:c>
      <x:c r="K282" s="22" t="n">
        <x:v>381542.95200000005</x:v>
      </x:c>
      <x:c r="L282" s="22" t="str">
        <x:v>可承受</x:v>
      </x:c>
    </x:row>
    <x:row r="283" ht="24" customHeight="1">
      <x:c r="A283" s="22" t="str">
        <x:v>C04-M048</x:v>
      </x:c>
      <x:c r="B283" s="22" t="str">
        <x:v>百舱吞魂者·沃姆</x:v>
      </x:c>
      <x:c r="C283" s="22" t="str">
        <x:v>XX582</x:v>
      </x:c>
      <x:c r="D283" s="22" t="str">
        <x:v>P0126</x:v>
      </x:c>
      <x:c r="E283" s="22" t="str">
        <x:v>地图BOSS</x:v>
      </x:c>
      <x:c r="F283" s="22" t="n">
        <x:v>82.01134689900601</x:v>
      </x:c>
      <x:c r="G283" s="22" t="n">
        <x:v>-18</x:v>
      </x:c>
      <x:c r="H283" s="22" t="n">
        <x:v>92065.91978502285</x:v>
      </x:c>
      <x:c r="I283" s="22" t="n">
        <x:v>107242.37863314612</x:v>
      </x:c>
      <x:c r="J283" s="22" t="n">
        <x:v>68132.67000000001</x:v>
      </x:c>
      <x:c r="K283" s="22" t="n">
        <x:v>381542.95200000005</x:v>
      </x:c>
      <x:c r="L283" s="22" t="str">
        <x:v>可承受</x:v>
      </x:c>
    </x:row>
    <x:row r="284" ht="24" customHeight="1">
      <x:c r="A284" s="22" t="str">
        <x:v>C04-M049</x:v>
      </x:c>
      <x:c r="B284" s="22" t="str">
        <x:v>水闸巡守</x:v>
      </x:c>
      <x:c r="C284" s="22" t="str">
        <x:v>XX395</x:v>
      </x:c>
      <x:c r="D284" s="22" t="str">
        <x:v>P0124</x:v>
      </x:c>
      <x:c r="E284" s="22" t="str">
        <x:v>普通</x:v>
      </x:c>
      <x:c r="F284" s="22" t="n">
        <x:v>4.070131089740618</x:v>
      </x:c>
      <x:c r="G284" s="22" t="n">
        <x:v>-23</x:v>
      </x:c>
      <x:c r="H284" s="22" t="n">
        <x:v>24455.27479888283</x:v>
      </x:c>
      <x:c r="I284" s="22" t="n">
        <x:v>102270.18440662151</x:v>
      </x:c>
      <x:c r="J284" s="22" t="n">
        <x:v>10562.670000000002</x:v>
      </x:c>
      <x:c r="K284" s="22" t="n">
        <x:v>69713.62200000002</x:v>
      </x:c>
      <x:c r="L284" s="22" t="str">
        <x:v>可承受</x:v>
      </x:c>
    </x:row>
    <x:row r="285" ht="24" customHeight="1">
      <x:c r="A285" s="22" t="str">
        <x:v>C04-M050</x:v>
      </x:c>
      <x:c r="B285" s="22" t="str">
        <x:v>涡背鳗犬</x:v>
      </x:c>
      <x:c r="C285" s="22" t="str">
        <x:v>XX395</x:v>
      </x:c>
      <x:c r="D285" s="22" t="str">
        <x:v>P0124</x:v>
      </x:c>
      <x:c r="E285" s="22" t="str">
        <x:v>普通</x:v>
      </x:c>
      <x:c r="F285" s="22" t="n">
        <x:v>3.591292138006428</x:v>
      </x:c>
      <x:c r="G285" s="22" t="n">
        <x:v>-23</x:v>
      </x:c>
      <x:c r="H285" s="22" t="n">
        <x:v>24455.27479888283</x:v>
      </x:c>
      <x:c r="I285" s="22" t="n">
        <x:v>102270.18440662151</x:v>
      </x:c>
      <x:c r="J285" s="22" t="n">
        <x:v>10562.670000000002</x:v>
      </x:c>
      <x:c r="K285" s="22" t="n">
        <x:v>69713.62200000002</x:v>
      </x:c>
      <x:c r="L285" s="22" t="str">
        <x:v>可承受</x:v>
      </x:c>
    </x:row>
    <x:row r="286" ht="24" customHeight="1">
      <x:c r="A286" s="22" t="str">
        <x:v>C04-M051</x:v>
      </x:c>
      <x:c r="B286" s="22" t="str">
        <x:v>月河箭蛙</x:v>
      </x:c>
      <x:c r="C286" s="22" t="str">
        <x:v>XX392</x:v>
      </x:c>
      <x:c r="D286" s="22" t="str">
        <x:v>P0124</x:v>
      </x:c>
      <x:c r="E286" s="22" t="str">
        <x:v>普通</x:v>
      </x:c>
      <x:c r="F286" s="22" t="n">
        <x:v>4.070131089740618</x:v>
      </x:c>
      <x:c r="G286" s="22" t="n">
        <x:v>-23</x:v>
      </x:c>
      <x:c r="H286" s="22" t="n">
        <x:v>24455.27479888283</x:v>
      </x:c>
      <x:c r="I286" s="22" t="n">
        <x:v>102270.18440662151</x:v>
      </x:c>
      <x:c r="J286" s="22" t="n">
        <x:v>10562.670000000002</x:v>
      </x:c>
      <x:c r="K286" s="22" t="n">
        <x:v>69713.62200000002</x:v>
      </x:c>
      <x:c r="L286" s="22" t="str">
        <x:v>可承受</x:v>
      </x:c>
    </x:row>
    <x:row r="287" ht="24" customHeight="1">
      <x:c r="A287" s="22" t="str">
        <x:v>C04-M052</x:v>
      </x:c>
      <x:c r="B287" s="22" t="str">
        <x:v>暗径拾珠客</x:v>
      </x:c>
      <x:c r="C287" s="22" t="str">
        <x:v>XX392</x:v>
      </x:c>
      <x:c r="D287" s="22" t="str">
        <x:v>P0124</x:v>
      </x:c>
      <x:c r="E287" s="22" t="str">
        <x:v>普通</x:v>
      </x:c>
      <x:c r="F287" s="22" t="n">
        <x:v>3.950421351807071</x:v>
      </x:c>
      <x:c r="G287" s="22" t="n">
        <x:v>-23</x:v>
      </x:c>
      <x:c r="H287" s="22" t="n">
        <x:v>24455.27479888283</x:v>
      </x:c>
      <x:c r="I287" s="22" t="n">
        <x:v>102270.18440662151</x:v>
      </x:c>
      <x:c r="J287" s="22" t="n">
        <x:v>10562.670000000002</x:v>
      </x:c>
      <x:c r="K287" s="22" t="n">
        <x:v>69713.62200000002</x:v>
      </x:c>
      <x:c r="L287" s="22" t="str">
        <x:v>可承受</x:v>
      </x:c>
    </x:row>
    <x:row r="288" ht="24" customHeight="1">
      <x:c r="A288" s="22" t="str">
        <x:v>C04-M053</x:v>
      </x:c>
      <x:c r="B288" s="22" t="str">
        <x:v>渊口盔虾</x:v>
      </x:c>
      <x:c r="C288" s="22" t="str">
        <x:v>XX391</x:v>
      </x:c>
      <x:c r="D288" s="22" t="str">
        <x:v>P0124</x:v>
      </x:c>
      <x:c r="E288" s="22" t="str">
        <x:v>普通</x:v>
      </x:c>
      <x:c r="F288" s="22" t="n">
        <x:v>4.070131089740618</x:v>
      </x:c>
      <x:c r="G288" s="22" t="n">
        <x:v>-23</x:v>
      </x:c>
      <x:c r="H288" s="22" t="n">
        <x:v>24455.27479888283</x:v>
      </x:c>
      <x:c r="I288" s="22" t="n">
        <x:v>102270.18440662151</x:v>
      </x:c>
      <x:c r="J288" s="22" t="n">
        <x:v>10562.670000000002</x:v>
      </x:c>
      <x:c r="K288" s="22" t="n">
        <x:v>69713.62200000002</x:v>
      </x:c>
      <x:c r="L288" s="22" t="str">
        <x:v>可承受</x:v>
      </x:c>
    </x:row>
    <x:row r="289" ht="24" customHeight="1">
      <x:c r="A289" s="22" t="str">
        <x:v>C04-M054</x:v>
      </x:c>
      <x:c r="B289" s="22" t="str">
        <x:v>伏流石鳗</x:v>
      </x:c>
      <x:c r="C289" s="22" t="str">
        <x:v>XX391</x:v>
      </x:c>
      <x:c r="D289" s="22" t="str">
        <x:v>P0124</x:v>
      </x:c>
      <x:c r="E289" s="22" t="str">
        <x:v>普通</x:v>
      </x:c>
      <x:c r="F289" s="22" t="n">
        <x:v>3.2321629242057854</x:v>
      </x:c>
      <x:c r="G289" s="22" t="n">
        <x:v>-23</x:v>
      </x:c>
      <x:c r="H289" s="22" t="n">
        <x:v>24455.27479888283</x:v>
      </x:c>
      <x:c r="I289" s="22" t="n">
        <x:v>102270.18440662151</x:v>
      </x:c>
      <x:c r="J289" s="22" t="n">
        <x:v>10562.670000000002</x:v>
      </x:c>
      <x:c r="K289" s="22" t="n">
        <x:v>69713.62200000002</x:v>
      </x:c>
      <x:c r="L289" s="22" t="str">
        <x:v>可承受</x:v>
      </x:c>
    </x:row>
    <x:row r="290" ht="24" customHeight="1">
      <x:c r="A290" s="22" t="str">
        <x:v>C04-M055</x:v>
      </x:c>
      <x:c r="B290" s="22" t="str">
        <x:v>断闸铁卫</x:v>
      </x:c>
      <x:c r="C290" s="22" t="str">
        <x:v>XX395</x:v>
      </x:c>
      <x:c r="D290" s="22" t="str">
        <x:v>P0124</x:v>
      </x:c>
      <x:c r="E290" s="22" t="str">
        <x:v>稀有</x:v>
      </x:c>
      <x:c r="F290" s="22" t="n">
        <x:v>10.618566982659004</x:v>
      </x:c>
      <x:c r="G290" s="22" t="n">
        <x:v>-23</x:v>
      </x:c>
      <x:c r="H290" s="22" t="n">
        <x:v>69761.85370653243</x:v>
      </x:c>
      <x:c r="I290" s="22" t="n">
        <x:v>102270.18440662151</x:v>
      </x:c>
      <x:c r="J290" s="22" t="n">
        <x:v>32792.670000000006</x:v>
      </x:c>
      <x:c r="K290" s="22" t="n">
        <x:v>216431.62200000006</x:v>
      </x:c>
      <x:c r="L290" s="22" t="str">
        <x:v>可承受</x:v>
      </x:c>
    </x:row>
    <x:row r="291" ht="24" customHeight="1">
      <x:c r="A291" s="22" t="str">
        <x:v>C04-M056</x:v>
      </x:c>
      <x:c r="B291" s="22" t="str">
        <x:v>月痕水咒师</x:v>
      </x:c>
      <x:c r="C291" s="22" t="str">
        <x:v>XX392</x:v>
      </x:c>
      <x:c r="D291" s="22" t="str">
        <x:v>P0124</x:v>
      </x:c>
      <x:c r="E291" s="22" t="str">
        <x:v>稀有</x:v>
      </x:c>
      <x:c r="F291" s="22" t="n">
        <x:v>10.618566982659004</x:v>
      </x:c>
      <x:c r="G291" s="22" t="n">
        <x:v>-23</x:v>
      </x:c>
      <x:c r="H291" s="22" t="n">
        <x:v>69761.85370653243</x:v>
      </x:c>
      <x:c r="I291" s="22" t="n">
        <x:v>102270.18440662151</x:v>
      </x:c>
      <x:c r="J291" s="22" t="n">
        <x:v>32792.670000000006</x:v>
      </x:c>
      <x:c r="K291" s="22" t="n">
        <x:v>216431.62200000006</x:v>
      </x:c>
      <x:c r="L291" s="22" t="str">
        <x:v>可承受</x:v>
      </x:c>
    </x:row>
    <x:row r="292" ht="24" customHeight="1">
      <x:c r="A292" s="22" t="str">
        <x:v>C04-M057</x:v>
      </x:c>
      <x:c r="B292" s="22" t="str">
        <x:v>渊声诱猎者</x:v>
      </x:c>
      <x:c r="C292" s="22" t="str">
        <x:v>XX391</x:v>
      </x:c>
      <x:c r="D292" s="22" t="str">
        <x:v>P0124</x:v>
      </x:c>
      <x:c r="E292" s="22" t="str">
        <x:v>稀有</x:v>
      </x:c>
      <x:c r="F292" s="22" t="n">
        <x:v>9.595090646981028</x:v>
      </x:c>
      <x:c r="G292" s="22" t="n">
        <x:v>-23</x:v>
      </x:c>
      <x:c r="H292" s="22" t="n">
        <x:v>71156.22626967393</x:v>
      </x:c>
      <x:c r="I292" s="22" t="n">
        <x:v>102270.18440662151</x:v>
      </x:c>
      <x:c r="J292" s="22" t="n">
        <x:v>33362.670000000006</x:v>
      </x:c>
      <x:c r="K292" s="22" t="n">
        <x:v>220193.62200000006</x:v>
      </x:c>
      <x:c r="L292" s="22" t="str">
        <x:v>可承受</x:v>
      </x:c>
    </x:row>
    <x:row r="293" ht="24" customHeight="1">
      <x:c r="A293" s="22" t="str">
        <x:v>C04-M058</x:v>
      </x:c>
      <x:c r="B293" s="22" t="str">
        <x:v>吞灯巨鲶</x:v>
      </x:c>
      <x:c r="C293" s="22" t="str">
        <x:v>XX391</x:v>
      </x:c>
      <x:c r="D293" s="22" t="str">
        <x:v>P0124</x:v>
      </x:c>
      <x:c r="E293" s="22" t="str">
        <x:v>稀有</x:v>
      </x:c>
      <x:c r="F293" s="22" t="n">
        <x:v>11.642043318336981</x:v>
      </x:c>
      <x:c r="G293" s="22" t="n">
        <x:v>-23</x:v>
      </x:c>
      <x:c r="H293" s="22" t="n">
        <x:v>68367.48114339093</x:v>
      </x:c>
      <x:c r="I293" s="22" t="n">
        <x:v>102270.18440662151</x:v>
      </x:c>
      <x:c r="J293" s="22" t="n">
        <x:v>32222.670000000002</x:v>
      </x:c>
      <x:c r="K293" s="22" t="n">
        <x:v>212669.62200000003</x:v>
      </x:c>
      <x:c r="L293" s="22" t="str">
        <x:v>可承受</x:v>
      </x:c>
    </x:row>
    <x:row r="294" ht="24" customHeight="1">
      <x:c r="A294" s="22" t="str">
        <x:v>C04-M059</x:v>
      </x:c>
      <x:c r="B294" s="22" t="str">
        <x:v>暗河剑师·罗缇</x:v>
      </x:c>
      <x:c r="C294" s="22" t="str">
        <x:v>XX392</x:v>
      </x:c>
      <x:c r="D294" s="22" t="str">
        <x:v>P0131</x:v>
      </x:c>
      <x:c r="E294" s="22" t="str">
        <x:v>地图BOSS</x:v>
      </x:c>
      <x:c r="F294" s="22" t="n">
        <x:v>74.43366722652324</x:v>
      </x:c>
      <x:c r="G294" s="22" t="n">
        <x:v>-23</x:v>
      </x:c>
      <x:c r="H294" s="22" t="n">
        <x:v>105136.20812786664</x:v>
      </x:c>
      <x:c r="I294" s="22" t="n">
        <x:v>119680.53213987501</x:v>
      </x:c>
      <x:c r="J294" s="22" t="n">
        <x:v>53703.299999999996</x:v>
      </x:c>
      <x:c r="K294" s="22" t="n">
        <x:v>354441.78</x:v>
      </x:c>
      <x:c r="L294" s="22" t="str">
        <x:v>可承受</x:v>
      </x:c>
    </x:row>
    <x:row r="295" ht="24" customHeight="1">
      <x:c r="A295" s="22" t="str">
        <x:v>C04-M060</x:v>
      </x:c>
      <x:c r="B295" s="22" t="str">
        <x:v>渊口老蛟·涅珈</x:v>
      </x:c>
      <x:c r="C295" s="22" t="str">
        <x:v>XX391</x:v>
      </x:c>
      <x:c r="D295" s="22" t="str">
        <x:v>P0132</x:v>
      </x:c>
      <x:c r="E295" s="22" t="str">
        <x:v>地图BOSS</x:v>
      </x:c>
      <x:c r="F295" s="22" t="n">
        <x:v>82.57484957942422</x:v>
      </x:c>
      <x:c r="G295" s="22" t="n">
        <x:v>-23</x:v>
      </x:c>
      <x:c r="H295" s="22" t="n">
        <x:v>103788.40306119999</x:v>
      </x:c>
      <x:c r="I295" s="22" t="n">
        <x:v>119680.53213987501</x:v>
      </x:c>
      <x:c r="J295" s="22" t="n">
        <x:v>53103.299999999996</x:v>
      </x:c>
      <x:c r="K295" s="22" t="n">
        <x:v>350481.78</x:v>
      </x:c>
      <x:c r="L295" s="22" t="str">
        <x:v>可承受</x:v>
      </x:c>
    </x:row>
    <x:row r="296" ht="24" customHeight="1">
      <x:c r="A296" s="22" t="str">
        <x:v>C04-M061</x:v>
      </x:c>
      <x:c r="B296" s="22" t="str">
        <x:v>摸壁潜行者</x:v>
      </x:c>
      <x:c r="C296" s="22" t="str">
        <x:v>XX368</x:v>
      </x:c>
      <x:c r="D296" s="22" t="str">
        <x:v>P0130</x:v>
      </x:c>
      <x:c r="E296" s="22" t="str">
        <x:v>普通</x:v>
      </x:c>
      <x:c r="F296" s="22" t="n">
        <x:v>3.8622046811677726</x:v>
      </x:c>
      <x:c r="G296" s="22" t="n">
        <x:v>-33</x:v>
      </x:c>
      <x:c r="H296" s="22" t="n">
        <x:v>27377.226626613985</x:v>
      </x:c>
      <x:c r="I296" s="22" t="n">
        <x:v>114146.86900760648</x:v>
      </x:c>
      <x:c r="J296" s="22" t="n">
        <x:v>6903.3</x:v>
      </x:c>
      <x:c r="K296" s="22" t="n">
        <x:v>59368.38000000001</x:v>
      </x:c>
      <x:c r="L296" s="22" t="str">
        <x:v>可承受</x:v>
      </x:c>
    </x:row>
    <x:row r="297" ht="24" customHeight="1">
      <x:c r="A297" s="22" t="str">
        <x:v>C04-M062</x:v>
      </x:c>
      <x:c r="B297" s="22" t="str">
        <x:v>砾壳穴龟</x:v>
      </x:c>
      <x:c r="C297" s="22" t="str">
        <x:v>XX368</x:v>
      </x:c>
      <x:c r="D297" s="22" t="str">
        <x:v>P0130</x:v>
      </x:c>
      <x:c r="E297" s="22" t="str">
        <x:v>普通</x:v>
      </x:c>
      <x:c r="F297" s="22" t="n">
        <x:v>3.2185039009731438</x:v>
      </x:c>
      <x:c r="G297" s="22" t="n">
        <x:v>-33</x:v>
      </x:c>
      <x:c r="H297" s="22" t="n">
        <x:v>27377.226626613985</x:v>
      </x:c>
      <x:c r="I297" s="22" t="n">
        <x:v>114146.86900760648</x:v>
      </x:c>
      <x:c r="J297" s="22" t="n">
        <x:v>6903.3</x:v>
      </x:c>
      <x:c r="K297" s="22" t="n">
        <x:v>59368.38000000001</x:v>
      </x:c>
      <x:c r="L297" s="22" t="str">
        <x:v>可承受</x:v>
      </x:c>
    </x:row>
    <x:row r="298" ht="24" customHeight="1">
      <x:c r="A298" s="22" t="str">
        <x:v>C04-M063</x:v>
      </x:c>
      <x:c r="B298" s="22" t="str">
        <x:v>暗渠滤水蚌</x:v>
      </x:c>
      <x:c r="C298" s="22" t="str">
        <x:v>XX382</x:v>
      </x:c>
      <x:c r="D298" s="22" t="str">
        <x:v>P0130</x:v>
      </x:c>
      <x:c r="E298" s="22" t="str">
        <x:v>普通</x:v>
      </x:c>
      <x:c r="F298" s="22" t="n">
        <x:v>3.325787364338915</x:v>
      </x:c>
      <x:c r="G298" s="22" t="n">
        <x:v>-33</x:v>
      </x:c>
      <x:c r="H298" s="22" t="n">
        <x:v>27377.226626613985</x:v>
      </x:c>
      <x:c r="I298" s="22" t="n">
        <x:v>114146.86900760648</x:v>
      </x:c>
      <x:c r="J298" s="22" t="n">
        <x:v>6903.3</x:v>
      </x:c>
      <x:c r="K298" s="22" t="n">
        <x:v>59368.38000000001</x:v>
      </x:c>
      <x:c r="L298" s="22" t="str">
        <x:v>可承受</x:v>
      </x:c>
    </x:row>
    <x:row r="299" ht="24" customHeight="1">
      <x:c r="A299" s="22" t="str">
        <x:v>C04-M064</x:v>
      </x:c>
      <x:c r="B299" s="22" t="str">
        <x:v>锈闸守渠人</x:v>
      </x:c>
      <x:c r="C299" s="22" t="str">
        <x:v>XX382</x:v>
      </x:c>
      <x:c r="D299" s="22" t="str">
        <x:v>P0130</x:v>
      </x:c>
      <x:c r="E299" s="22" t="str">
        <x:v>普通</x:v>
      </x:c>
      <x:c r="F299" s="22" t="n">
        <x:v>3.8622046811677726</x:v>
      </x:c>
      <x:c r="G299" s="22" t="n">
        <x:v>-33</x:v>
      </x:c>
      <x:c r="H299" s="22" t="n">
        <x:v>27377.226626613985</x:v>
      </x:c>
      <x:c r="I299" s="22" t="n">
        <x:v>114146.86900760648</x:v>
      </x:c>
      <x:c r="J299" s="22" t="n">
        <x:v>6903.3</x:v>
      </x:c>
      <x:c r="K299" s="22" t="n">
        <x:v>59368.38000000001</x:v>
      </x:c>
      <x:c r="L299" s="22" t="str">
        <x:v>可承受</x:v>
      </x:c>
    </x:row>
    <x:row r="300" ht="24" customHeight="1">
      <x:c r="A300" s="22" t="str">
        <x:v>C04-M065</x:v>
      </x:c>
      <x:c r="B300" s="22" t="str">
        <x:v>秘室灯笼鱼</x:v>
      </x:c>
      <x:c r="C300" s="22" t="str">
        <x:v>XX369</x:v>
      </x:c>
      <x:c r="D300" s="22" t="str">
        <x:v>P0130</x:v>
      </x:c>
      <x:c r="E300" s="22" t="str">
        <x:v>普通</x:v>
      </x:c>
      <x:c r="F300" s="22" t="n">
        <x:v>4.567980091501204</x:v>
      </x:c>
      <x:c r="G300" s="22" t="n">
        <x:v>-53</x:v>
      </x:c>
      <x:c r="H300" s="22" t="n">
        <x:v>27079.320560760247</x:v>
      </x:c>
      <x:c r="I300" s="22" t="n">
        <x:v>114146.86900760648</x:v>
      </x:c>
      <x:c r="J300" s="22" t="n">
        <x:v>4023.2999999999997</x:v>
      </x:c>
      <x:c r="K300" s="22" t="n">
        <x:v>50693.58</x:v>
      </x:c>
      <x:c r="L300" s="22" t="str">
        <x:v>可承受</x:v>
      </x:c>
    </x:row>
    <x:row r="301" ht="24" customHeight="1">
      <x:c r="A301" s="22" t="str">
        <x:v>C04-M066</x:v>
      </x:c>
      <x:c r="B301" s="22" t="str">
        <x:v>封门泥塑</x:v>
      </x:c>
      <x:c r="C301" s="22" t="str">
        <x:v>XX369</x:v>
      </x:c>
      <x:c r="D301" s="22" t="str">
        <x:v>P0130</x:v>
      </x:c>
      <x:c r="E301" s="22" t="str">
        <x:v>普通</x:v>
      </x:c>
      <x:c r="F301" s="22" t="n">
        <x:v>4.567980091501204</x:v>
      </x:c>
      <x:c r="G301" s="22" t="n">
        <x:v>-53</x:v>
      </x:c>
      <x:c r="H301" s="22" t="n">
        <x:v>27079.320560760247</x:v>
      </x:c>
      <x:c r="I301" s="22" t="n">
        <x:v>114146.86900760648</x:v>
      </x:c>
      <x:c r="J301" s="22" t="n">
        <x:v>4023.2999999999997</x:v>
      </x:c>
      <x:c r="K301" s="22" t="n">
        <x:v>50693.58</x:v>
      </x:c>
      <x:c r="L301" s="22" t="str">
        <x:v>可承受</x:v>
      </x:c>
    </x:row>
    <x:row r="302" ht="24" customHeight="1">
      <x:c r="A302" s="22" t="str">
        <x:v>C04-M067</x:v>
      </x:c>
      <x:c r="B302" s="22" t="str">
        <x:v>回声盗墓客</x:v>
      </x:c>
      <x:c r="C302" s="22" t="str">
        <x:v>XX368</x:v>
      </x:c>
      <x:c r="D302" s="22" t="str">
        <x:v>P0130</x:v>
      </x:c>
      <x:c r="E302" s="22" t="str">
        <x:v>稀有</x:v>
      </x:c>
      <x:c r="F302" s="22" t="n">
        <x:v>10.075333681060489</x:v>
      </x:c>
      <x:c r="G302" s="22" t="n">
        <x:v>-33</x:v>
      </x:c>
      <x:c r="H302" s="22" t="n">
        <x:v>79560.62702136407</x:v>
      </x:c>
      <x:c r="I302" s="22" t="n">
        <x:v>114146.86900760648</x:v>
      </x:c>
      <x:c r="J302" s="22" t="n">
        <x:v>21303.3</x:v>
      </x:c>
      <x:c r="K302" s="22" t="n">
        <x:v>183208.38000000003</x:v>
      </x:c>
      <x:c r="L302" s="22" t="str">
        <x:v>可承受</x:v>
      </x:c>
    </x:row>
    <x:row r="303" ht="24" customHeight="1">
      <x:c r="A303" s="22" t="str">
        <x:v>C04-M068</x:v>
      </x:c>
      <x:c r="B303" s="22" t="str">
        <x:v>暗渠缚链僧</x:v>
      </x:c>
      <x:c r="C303" s="22" t="str">
        <x:v>XX382</x:v>
      </x:c>
      <x:c r="D303" s="22" t="str">
        <x:v>P0130</x:v>
      </x:c>
      <x:c r="E303" s="22" t="str">
        <x:v>稀有</x:v>
      </x:c>
      <x:c r="F303" s="22" t="n">
        <x:v>10.075333681060489</x:v>
      </x:c>
      <x:c r="G303" s="22" t="n">
        <x:v>-33</x:v>
      </x:c>
      <x:c r="H303" s="22" t="n">
        <x:v>79560.62702136407</x:v>
      </x:c>
      <x:c r="I303" s="22" t="n">
        <x:v>114146.86900760648</x:v>
      </x:c>
      <x:c r="J303" s="22" t="n">
        <x:v>21303.3</x:v>
      </x:c>
      <x:c r="K303" s="22" t="n">
        <x:v>183208.38000000003</x:v>
      </x:c>
      <x:c r="L303" s="22" t="str">
        <x:v>可承受</x:v>
      </x:c>
    </x:row>
    <x:row r="304" ht="24" customHeight="1">
      <x:c r="A304" s="22" t="str">
        <x:v>C04-M069</x:v>
      </x:c>
      <x:c r="B304" s="22" t="str">
        <x:v>抱钥湖尸</x:v>
      </x:c>
      <x:c r="C304" s="22" t="str">
        <x:v>XX369</x:v>
      </x:c>
      <x:c r="D304" s="22" t="str">
        <x:v>P0130</x:v>
      </x:c>
      <x:c r="E304" s="22" t="str">
        <x:v>稀有</x:v>
      </x:c>
      <x:c r="F304" s="22" t="n">
        <x:v>15.112276023246567</x:v>
      </x:c>
      <x:c r="G304" s="22" t="n">
        <x:v>-53</x:v>
      </x:c>
      <x:c r="H304" s="22" t="n">
        <x:v>70762.86960903912</x:v>
      </x:c>
      <x:c r="I304" s="22" t="n">
        <x:v>114146.86900760648</x:v>
      </x:c>
      <x:c r="J304" s="22" t="n">
        <x:v>11103.3</x:v>
      </x:c>
      <x:c r="K304" s="22" t="n">
        <x:v>139901.58000000002</x:v>
      </x:c>
      <x:c r="L304" s="22" t="str">
        <x:v>可承受</x:v>
      </x:c>
    </x:row>
    <x:row r="305" ht="24" customHeight="1">
      <x:c r="A305" s="22" t="str">
        <x:v>C04-M070</x:v>
      </x:c>
      <x:c r="B305" s="22" t="str">
        <x:v>噬门泥怪</x:v>
      </x:c>
      <x:c r="C305" s="22" t="str">
        <x:v>XX369</x:v>
      </x:c>
      <x:c r="D305" s="22" t="str">
        <x:v>P0130</x:v>
      </x:c>
      <x:c r="E305" s="22" t="str">
        <x:v>稀有</x:v>
      </x:c>
      <x:c r="F305" s="22" t="n">
        <x:v>15.112276023246567</x:v>
      </x:c>
      <x:c r="G305" s="22" t="n">
        <x:v>-53</x:v>
      </x:c>
      <x:c r="H305" s="22" t="n">
        <x:v>70762.86960903912</x:v>
      </x:c>
      <x:c r="I305" s="22" t="n">
        <x:v>114146.86900760648</x:v>
      </x:c>
      <x:c r="J305" s="22" t="n">
        <x:v>11103.3</x:v>
      </x:c>
      <x:c r="K305" s="22" t="n">
        <x:v>139901.58000000002</x:v>
      </x:c>
      <x:c r="L305" s="22" t="str">
        <x:v>可承受</x:v>
      </x:c>
    </x:row>
    <x:row r="306" ht="24" customHeight="1">
      <x:c r="A306" s="22" t="str">
        <x:v>C04-M071</x:v>
      </x:c>
      <x:c r="B306" s="22" t="str">
        <x:v>沉渠守誓者·阿涅</x:v>
      </x:c>
      <x:c r="C306" s="22" t="str">
        <x:v>XX382</x:v>
      </x:c>
      <x:c r="D306" s="22" t="str">
        <x:v>P0137</x:v>
      </x:c>
      <x:c r="E306" s="22" t="str">
        <x:v>地图BOSS</x:v>
      </x:c>
      <x:c r="F306" s="22" t="n">
        <x:v>71.04855765104745</x:v>
      </x:c>
      <x:c r="G306" s="22" t="n">
        <x:v>-33</x:v>
      </x:c>
      <x:c r="H306" s="22" t="n">
        <x:v>118909.95522392349</x:v>
      </x:c>
      <x:c r="I306" s="22" t="n">
        <x:v>135276.52636370782</x:v>
      </x:c>
      <x:c r="J306" s="22" t="n">
        <x:v>34497.6</x:v>
      </x:c>
      <x:c r="K306" s="22" t="n">
        <x:v>296679.36000000004</x:v>
      </x:c>
      <x:c r="L306" s="22" t="str">
        <x:v>可承受</x:v>
      </x:c>
    </x:row>
    <x:row r="307" ht="24" customHeight="1">
      <x:c r="A307" s="22" t="str">
        <x:v>C04-M072</x:v>
      </x:c>
      <x:c r="B307" s="22" t="str">
        <x:v>封室水镜姬·弥洛</x:v>
      </x:c>
      <x:c r="C307" s="22" t="str">
        <x:v>XX369</x:v>
      </x:c>
      <x:c r="D307" s="22" t="str">
        <x:v>P0138</x:v>
      </x:c>
      <x:c r="E307" s="22" t="str">
        <x:v>地图BOSS</x:v>
      </x:c>
      <x:c r="F307" s="22" t="n">
        <x:v>74.53264158582466</x:v>
      </x:c>
      <x:c r="G307" s="22" t="n">
        <x:v>-53</x:v>
      </x:c>
      <x:c r="H307" s="22" t="n">
        <x:v>116675.96634420383</x:v>
      </x:c>
      <x:c r="I307" s="22" t="n">
        <x:v>135276.52636370782</x:v>
      </x:c>
      <x:c r="J307" s="22" t="n">
        <x:v>19497.6</x:v>
      </x:c>
      <x:c r="K307" s="22" t="n">
        <x:v>245669.76</x:v>
      </x:c>
      <x:c r="L307" s="22" t="str">
        <x:v>可承受</x:v>
      </x:c>
    </x:row>
    <x:row r="308" ht="24" customHeight="1">
      <x:c r="A308" s="22" t="str">
        <x:v>C04-M073</x:v>
      </x:c>
      <x:c r="B308" s="22" t="str">
        <x:v>闭潮王·莱弥恩</x:v>
      </x:c>
      <x:c r="C308" s="22" t="str">
        <x:v>XX369</x:v>
      </x:c>
      <x:c r="D308" s="22" t="str">
        <x:v>P0142</x:v>
      </x:c>
      <x:c r="E308" s="22" t="str">
        <x:v>守关BOSS</x:v>
      </x:c>
      <x:c r="F308" s="22" t="n">
        <x:v>207.3379725914665</x:v>
      </x:c>
      <x:c r="G308" s="22" t="n">
        <x:v>7</x:v>
      </x:c>
      <x:c r="H308" s="22" t="n">
        <x:v>250318.34999999998</x:v>
      </x:c>
      <x:c r="I308" s="22" t="n">
        <x:v>345139.3894064949</x:v>
      </x:c>
      <x:c r="J308" s="22" t="n">
        <x:v>575636.7</x:v>
      </x:c>
      <x:c r="K308" s="22" t="n">
        <x:v>575636.7</x:v>
      </x:c>
      <x:c r="L308" s="22" t="str">
        <x:v>可承受</x:v>
      </x:c>
    </x:row>
    <x:row r="309" ht="24" customHeight="1">
      <x:c r="A309" s="22" t="str">
        <x:v>C05-M001</x:v>
      </x:c>
      <x:c r="B309" s="22" t="str">
        <x:v>雾汐游魂</x:v>
      </x:c>
      <x:c r="C309" s="22" t="str">
        <x:v>XX338</x:v>
      </x:c>
      <x:c r="D309" s="22" t="str">
        <x:v>P0147</x:v>
      </x:c>
      <x:c r="E309" s="22" t="str">
        <x:v>普通</x:v>
      </x:c>
      <x:c r="F309" s="22" t="n">
        <x:v>3.540645675246452</x:v>
      </x:c>
      <x:c r="G309" s="22" t="n">
        <x:v>7</x:v>
      </x:c>
      <x:c r="H309" s="22" t="n">
        <x:v>61647.93749999999</x:v>
      </x:c>
      <x:c r="I309" s="22" t="n">
        <x:v>354149.494814121</x:v>
      </x:c>
      <x:c r="J309" s="22" t="n">
        <x:v>113636.7</x:v>
      </x:c>
      <x:c r="K309" s="22" t="n">
        <x:v>113636.7</x:v>
      </x:c>
      <x:c r="L309" s="22" t="str">
        <x:v>可承受</x:v>
      </x:c>
    </x:row>
    <x:row r="310" ht="24" customHeight="1">
      <x:c r="A310" s="22" t="str">
        <x:v>C05-M002</x:v>
      </x:c>
      <x:c r="B310" s="22" t="str">
        <x:v>水庭苔甲蟹</x:v>
      </x:c>
      <x:c r="C310" s="22" t="str">
        <x:v>XX338</x:v>
      </x:c>
      <x:c r="D310" s="22" t="str">
        <x:v>P0147</x:v>
      </x:c>
      <x:c r="E310" s="22" t="str">
        <x:v>普通</x:v>
      </x:c>
      <x:c r="F310" s="22" t="n">
        <x:v>3.1952168288809446</x:v>
      </x:c>
      <x:c r="G310" s="22" t="n">
        <x:v>7</x:v>
      </x:c>
      <x:c r="H310" s="22" t="n">
        <x:v>61647.93749999999</x:v>
      </x:c>
      <x:c r="I310" s="22" t="n">
        <x:v>354149.494814121</x:v>
      </x:c>
      <x:c r="J310" s="22" t="n">
        <x:v>113636.7</x:v>
      </x:c>
      <x:c r="K310" s="22" t="n">
        <x:v>113636.7</x:v>
      </x:c>
      <x:c r="L310" s="22" t="str">
        <x:v>可承受</x:v>
      </x:c>
    </x:row>
    <x:row r="311" ht="24" customHeight="1">
      <x:c r="A311" s="22" t="str">
        <x:v>C05-M003</x:v>
      </x:c>
      <x:c r="B311" s="22" t="str">
        <x:v>月雾提灯侍</x:v>
      </x:c>
      <x:c r="C311" s="22" t="str">
        <x:v>XX339</x:v>
      </x:c>
      <x:c r="D311" s="22" t="str">
        <x:v>P0147</x:v>
      </x:c>
      <x:c r="E311" s="22" t="str">
        <x:v>普通</x:v>
      </x:c>
      <x:c r="F311" s="22" t="n">
        <x:v>3.8860745216119597</x:v>
      </x:c>
      <x:c r="G311" s="22" t="n">
        <x:v>7</x:v>
      </x:c>
      <x:c r="H311" s="22" t="n">
        <x:v>61647.93749999999</x:v>
      </x:c>
      <x:c r="I311" s="22" t="n">
        <x:v>354149.494814121</x:v>
      </x:c>
      <x:c r="J311" s="22" t="n">
        <x:v>113636.7</x:v>
      </x:c>
      <x:c r="K311" s="22" t="n">
        <x:v>113636.7</x:v>
      </x:c>
      <x:c r="L311" s="22" t="str">
        <x:v>可承受</x:v>
      </x:c>
    </x:row>
    <x:row r="312" ht="24" customHeight="1">
      <x:c r="A312" s="22" t="str">
        <x:v>C05-M004</x:v>
      </x:c>
      <x:c r="B312" s="22" t="str">
        <x:v>回廊凝露蛾</x:v>
      </x:c>
      <x:c r="C312" s="22" t="str">
        <x:v>XX339</x:v>
      </x:c>
      <x:c r="D312" s="22" t="str">
        <x:v>P0147</x:v>
      </x:c>
      <x:c r="E312" s="22" t="str">
        <x:v>普通</x:v>
      </x:c>
      <x:c r="F312" s="22" t="n">
        <x:v>3.540645675246452</x:v>
      </x:c>
      <x:c r="G312" s="22" t="n">
        <x:v>7</x:v>
      </x:c>
      <x:c r="H312" s="22" t="n">
        <x:v>61647.93749999999</x:v>
      </x:c>
      <x:c r="I312" s="22" t="n">
        <x:v>354149.494814121</x:v>
      </x:c>
      <x:c r="J312" s="22" t="n">
        <x:v>113636.7</x:v>
      </x:c>
      <x:c r="K312" s="22" t="n">
        <x:v>113636.7</x:v>
      </x:c>
      <x:c r="L312" s="22" t="str">
        <x:v>可承受</x:v>
      </x:c>
    </x:row>
    <x:row r="313" ht="24" customHeight="1">
      <x:c r="A313" s="22" t="str">
        <x:v>C05-M005</x:v>
      </x:c>
      <x:c r="B313" s="22" t="str">
        <x:v>静月执盏者</x:v>
      </x:c>
      <x:c r="C313" s="22" t="str">
        <x:v>XX331</x:v>
      </x:c>
      <x:c r="D313" s="22" t="str">
        <x:v>P0147</x:v>
      </x:c>
      <x:c r="E313" s="22" t="str">
        <x:v>普通</x:v>
      </x:c>
      <x:c r="F313" s="22" t="n">
        <x:v>3.540645675246452</x:v>
      </x:c>
      <x:c r="G313" s="22" t="n">
        <x:v>7</x:v>
      </x:c>
      <x:c r="H313" s="22" t="n">
        <x:v>61647.93749999999</x:v>
      </x:c>
      <x:c r="I313" s="22" t="n">
        <x:v>354149.494814121</x:v>
      </x:c>
      <x:c r="J313" s="22" t="n">
        <x:v>113636.7</x:v>
      </x:c>
      <x:c r="K313" s="22" t="n">
        <x:v>113636.7</x:v>
      </x:c>
      <x:c r="L313" s="22" t="str">
        <x:v>可承受</x:v>
      </x:c>
    </x:row>
    <x:row r="314" ht="24" customHeight="1">
      <x:c r="A314" s="22" t="str">
        <x:v>C05-M006</x:v>
      </x:c>
      <x:c r="B314" s="22" t="str">
        <x:v>祭庭涟影</x:v>
      </x:c>
      <x:c r="C314" s="22" t="str">
        <x:v>XX331</x:v>
      </x:c>
      <x:c r="D314" s="22" t="str">
        <x:v>P0147</x:v>
      </x:c>
      <x:c r="E314" s="22" t="str">
        <x:v>普通</x:v>
      </x:c>
      <x:c r="F314" s="22" t="n">
        <x:v>4.058788944794713</x:v>
      </x:c>
      <x:c r="G314" s="22" t="n">
        <x:v>7</x:v>
      </x:c>
      <x:c r="H314" s="22" t="n">
        <x:v>61647.93749999999</x:v>
      </x:c>
      <x:c r="I314" s="22" t="n">
        <x:v>354149.494814121</x:v>
      </x:c>
      <x:c r="J314" s="22" t="n">
        <x:v>113636.7</x:v>
      </x:c>
      <x:c r="K314" s="22" t="n">
        <x:v>113636.7</x:v>
      </x:c>
      <x:c r="L314" s="22" t="str">
        <x:v>可承受</x:v>
      </x:c>
    </x:row>
    <x:row r="315" ht="24" customHeight="1">
      <x:c r="A315" s="22" t="str">
        <x:v>C05-M007</x:v>
      </x:c>
      <x:c r="B315" s="22" t="str">
        <x:v>银雾汲月兽</x:v>
      </x:c>
      <x:c r="C315" s="22" t="str">
        <x:v>XX338</x:v>
      </x:c>
      <x:c r="D315" s="22" t="str">
        <x:v>P0147</x:v>
      </x:c>
      <x:c r="E315" s="22" t="str">
        <x:v>稀有</x:v>
      </x:c>
      <x:c r="F315" s="22" t="n">
        <x:v>10.578548070800595</x:v>
      </x:c>
      <x:c r="G315" s="22" t="n">
        <x:v>7</x:v>
      </x:c>
      <x:c r="H315" s="22" t="n">
        <x:v>140962.76470588235</x:v>
      </x:c>
      <x:c r="I315" s="22" t="n">
        <x:v>354149.494814121</x:v>
      </x:c>
      <x:c r="J315" s="22" t="n">
        <x:v>275636.7</x:v>
      </x:c>
      <x:c r="K315" s="22" t="n">
        <x:v>275636.7</x:v>
      </x:c>
      <x:c r="L315" s="22" t="str">
        <x:v>可承受</x:v>
      </x:c>
    </x:row>
    <x:row r="316" ht="24" customHeight="1">
      <x:c r="A316" s="22" t="str">
        <x:v>C05-M008</x:v>
      </x:c>
      <x:c r="B316" s="22" t="str">
        <x:v>镜荷守梦灵</x:v>
      </x:c>
      <x:c r="C316" s="22" t="str">
        <x:v>XX338</x:v>
      </x:c>
      <x:c r="D316" s="22" t="str">
        <x:v>P0147</x:v>
      </x:c>
      <x:c r="E316" s="22" t="str">
        <x:v>稀有</x:v>
      </x:c>
      <x:c r="F316" s="22" t="n">
        <x:v>11.498421816087603</x:v>
      </x:c>
      <x:c r="G316" s="22" t="n">
        <x:v>7</x:v>
      </x:c>
      <x:c r="H316" s="22" t="n">
        <x:v>140962.76470588235</x:v>
      </x:c>
      <x:c r="I316" s="22" t="n">
        <x:v>354149.494814121</x:v>
      </x:c>
      <x:c r="J316" s="22" t="n">
        <x:v>275636.7</x:v>
      </x:c>
      <x:c r="K316" s="22" t="n">
        <x:v>275636.7</x:v>
      </x:c>
      <x:c r="L316" s="22" t="str">
        <x:v>可承受</x:v>
      </x:c>
    </x:row>
    <x:row r="317" ht="24" customHeight="1">
      <x:c r="A317" s="22" t="str">
        <x:v>C05-M009</x:v>
      </x:c>
      <x:c r="B317" s="22" t="str">
        <x:v>月纱回声女官</x:v>
      </x:c>
      <x:c r="C317" s="22" t="str">
        <x:v>XX339</x:v>
      </x:c>
      <x:c r="D317" s="22" t="str">
        <x:v>P0147</x:v>
      </x:c>
      <x:c r="E317" s="22" t="str">
        <x:v>稀有</x:v>
      </x:c>
      <x:c r="F317" s="22" t="n">
        <x:v>12.418295561374611</x:v>
      </x:c>
      <x:c r="G317" s="22" t="n">
        <x:v>7</x:v>
      </x:c>
      <x:c r="H317" s="22" t="n">
        <x:v>140962.76470588235</x:v>
      </x:c>
      <x:c r="I317" s="22" t="n">
        <x:v>354149.494814121</x:v>
      </x:c>
      <x:c r="J317" s="22" t="n">
        <x:v>275636.7</x:v>
      </x:c>
      <x:c r="K317" s="22" t="n">
        <x:v>275636.7</x:v>
      </x:c>
      <x:c r="L317" s="22" t="str">
        <x:v>可承受</x:v>
      </x:c>
    </x:row>
    <x:row r="318" ht="24" customHeight="1">
      <x:c r="A318" s="22" t="str">
        <x:v>C05-M010</x:v>
      </x:c>
      <x:c r="B318" s="22" t="str">
        <x:v>静潮祷月祭司</x:v>
      </x:c>
      <x:c r="C318" s="22" t="str">
        <x:v>XX331</x:v>
      </x:c>
      <x:c r="D318" s="22" t="str">
        <x:v>P0147</x:v>
      </x:c>
      <x:c r="E318" s="22" t="str">
        <x:v>稀有</x:v>
      </x:c>
      <x:c r="F318" s="22" t="n">
        <x:v>12.418295561374611</x:v>
      </x:c>
      <x:c r="G318" s="22" t="n">
        <x:v>7</x:v>
      </x:c>
      <x:c r="H318" s="22" t="n">
        <x:v>140962.76470588235</x:v>
      </x:c>
      <x:c r="I318" s="22" t="n">
        <x:v>354149.494814121</x:v>
      </x:c>
      <x:c r="J318" s="22" t="n">
        <x:v>275636.7</x:v>
      </x:c>
      <x:c r="K318" s="22" t="n">
        <x:v>275636.7</x:v>
      </x:c>
      <x:c r="L318" s="22" t="str">
        <x:v>可承受</x:v>
      </x:c>
    </x:row>
    <x:row r="319" ht="24" customHeight="1">
      <x:c r="A319" s="22" t="str">
        <x:v>C05-M011</x:v>
      </x:c>
      <x:c r="B319" s="22" t="str">
        <x:v>雾冠巡庭侯</x:v>
      </x:c>
      <x:c r="C319" s="22" t="str">
        <x:v>XX339</x:v>
      </x:c>
      <x:c r="D319" s="22" t="str">
        <x:v>P0149</x:v>
      </x:c>
      <x:c r="E319" s="22" t="str">
        <x:v>地图BOSS</x:v>
      </x:c>
      <x:c r="F319" s="22" t="n">
        <x:v>82.0054205013157</x:v>
      </x:c>
      <x:c r="G319" s="22" t="n">
        <x:v>7</x:v>
      </x:c>
      <x:c r="H319" s="22" t="n">
        <x:v>199796.8333333333</x:v>
      </x:c>
      <x:c r="I319" s="22" t="n">
        <x:v>362248.13432009495</x:v>
      </x:c>
      <x:c r="J319" s="22" t="n">
        <x:v>413634.3</x:v>
      </x:c>
      <x:c r="K319" s="22" t="n">
        <x:v>413634.3</x:v>
      </x:c>
      <x:c r="L319" s="22" t="str">
        <x:v>可承受</x:v>
      </x:c>
    </x:row>
    <x:row r="320" ht="24" customHeight="1">
      <x:c r="A320" s="22" t="str">
        <x:v>C05-M012</x:v>
      </x:c>
      <x:c r="B320" s="22" t="str">
        <x:v>沉月镜池圣母</x:v>
      </x:c>
      <x:c r="C320" s="22" t="str">
        <x:v>XX331</x:v>
      </x:c>
      <x:c r="D320" s="22" t="str">
        <x:v>P0150</x:v>
      </x:c>
      <x:c r="E320" s="22" t="str">
        <x:v>地图BOSS</x:v>
      </x:c>
      <x:c r="F320" s="22" t="n">
        <x:v>82.0054205013157</x:v>
      </x:c>
      <x:c r="G320" s="22" t="n">
        <x:v>7</x:v>
      </x:c>
      <x:c r="H320" s="22" t="n">
        <x:v>199796.8333333333</x:v>
      </x:c>
      <x:c r="I320" s="22" t="n">
        <x:v>362248.13432009495</x:v>
      </x:c>
      <x:c r="J320" s="22" t="n">
        <x:v>413634.3</x:v>
      </x:c>
      <x:c r="K320" s="22" t="n">
        <x:v>413634.3</x:v>
      </x:c>
      <x:c r="L320" s="22" t="str">
        <x:v>可承受</x:v>
      </x:c>
    </x:row>
    <x:row r="321" ht="24" customHeight="1">
      <x:c r="A321" s="22" t="str">
        <x:v>C05-M013</x:v>
      </x:c>
      <x:c r="B321" s="22" t="str">
        <x:v>碎辉穴蜥</x:v>
      </x:c>
      <x:c r="C321" s="22" t="str">
        <x:v>XX812</x:v>
      </x:c>
      <x:c r="D321" s="22" t="str">
        <x:v>P0148</x:v>
      </x:c>
      <x:c r="E321" s="22" t="str">
        <x:v>普通</x:v>
      </x:c>
      <x:c r="F321" s="22" t="n">
        <x:v>3.5241384032407117</x:v>
      </x:c>
      <x:c r="G321" s="22" t="n">
        <x:v>-3</x:v>
      </x:c>
      <x:c r="H321" s="22" t="n">
        <x:v>64605.4665</x:v>
      </x:c>
      <x:c r="I321" s="22" t="n">
        <x:v>356086.7939224609</x:v>
      </x:c>
      <x:c r="J321" s="22" t="n">
        <x:v>113634.3</x:v>
      </x:c>
      <x:c r="K321" s="22" t="n">
        <x:v>295449.18</x:v>
      </x:c>
      <x:c r="L321" s="22" t="str">
        <x:v>可承受</x:v>
      </x:c>
    </x:row>
    <x:row r="322" ht="24" customHeight="1">
      <x:c r="A322" s="22" t="str">
        <x:v>C05-M014</x:v>
      </x:c>
      <x:c r="B322" s="22" t="str">
        <x:v>遗迹刻晶奴</x:v>
      </x:c>
      <x:c r="C322" s="22" t="str">
        <x:v>XX812</x:v>
      </x:c>
      <x:c r="D322" s="22" t="str">
        <x:v>P0148</x:v>
      </x:c>
      <x:c r="E322" s="22" t="str">
        <x:v>普通</x:v>
      </x:c>
      <x:c r="F322" s="22" t="n">
        <x:v>3.352229212838726</x:v>
      </x:c>
      <x:c r="G322" s="22" t="n">
        <x:v>-3</x:v>
      </x:c>
      <x:c r="H322" s="22" t="n">
        <x:v>64605.4665</x:v>
      </x:c>
      <x:c r="I322" s="22" t="n">
        <x:v>356086.7939224609</x:v>
      </x:c>
      <x:c r="J322" s="22" t="n">
        <x:v>113634.3</x:v>
      </x:c>
      <x:c r="K322" s="22" t="n">
        <x:v>295449.18</x:v>
      </x:c>
      <x:c r="L322" s="22" t="str">
        <x:v>可承受</x:v>
      </x:c>
    </x:row>
    <x:row r="323" ht="24" customHeight="1">
      <x:c r="A323" s="22" t="str">
        <x:v>C05-M015</x:v>
      </x:c>
      <x:c r="B323" s="22" t="str">
        <x:v>晶廊折光蝶</x:v>
      </x:c>
      <x:c r="C323" s="22" t="str">
        <x:v>XX815</x:v>
      </x:c>
      <x:c r="D323" s="22" t="str">
        <x:v>P0148</x:v>
      </x:c>
      <x:c r="E323" s="22" t="str">
        <x:v>普通</x:v>
      </x:c>
      <x:c r="F323" s="22" t="n">
        <x:v>3.352229212838726</x:v>
      </x:c>
      <x:c r="G323" s="22" t="n">
        <x:v>-3</x:v>
      </x:c>
      <x:c r="H323" s="22" t="n">
        <x:v>64605.4665</x:v>
      </x:c>
      <x:c r="I323" s="22" t="n">
        <x:v>356086.7939224609</x:v>
      </x:c>
      <x:c r="J323" s="22" t="n">
        <x:v>113634.3</x:v>
      </x:c>
      <x:c r="K323" s="22" t="n">
        <x:v>295449.18</x:v>
      </x:c>
      <x:c r="L323" s="22" t="str">
        <x:v>可承受</x:v>
      </x:c>
    </x:row>
    <x:row r="324" ht="24" customHeight="1">
      <x:c r="A324" s="22" t="str">
        <x:v>C05-M016</x:v>
      </x:c>
      <x:c r="B324" s="22" t="str">
        <x:v>前庭砾晶守卒</x:v>
      </x:c>
      <x:c r="C324" s="22" t="str">
        <x:v>XX813</x:v>
      </x:c>
      <x:c r="D324" s="22" t="str">
        <x:v>P0148</x:v>
      </x:c>
      <x:c r="E324" s="22" t="str">
        <x:v>普通</x:v>
      </x:c>
      <x:c r="F324" s="22" t="n">
        <x:v>3.91093408164518</x:v>
      </x:c>
      <x:c r="G324" s="22" t="n">
        <x:v>-3</x:v>
      </x:c>
      <x:c r="H324" s="22" t="n">
        <x:v>64605.4665</x:v>
      </x:c>
      <x:c r="I324" s="22" t="n">
        <x:v>356086.7939224609</x:v>
      </x:c>
      <x:c r="J324" s="22" t="n">
        <x:v>113634.3</x:v>
      </x:c>
      <x:c r="K324" s="22" t="n">
        <x:v>295449.18</x:v>
      </x:c>
      <x:c r="L324" s="22" t="str">
        <x:v>可承受</x:v>
      </x:c>
    </x:row>
    <x:row r="325" ht="24" customHeight="1">
      <x:c r="A325" s="22" t="str">
        <x:v>C05-M017</x:v>
      </x:c>
      <x:c r="B325" s="22" t="str">
        <x:v>内院辉壳犬</x:v>
      </x:c>
      <x:c r="C325" s="22" t="str">
        <x:v>XX814</x:v>
      </x:c>
      <x:c r="D325" s="22" t="str">
        <x:v>P0148</x:v>
      </x:c>
      <x:c r="E325" s="22" t="str">
        <x:v>普通</x:v>
      </x:c>
      <x:c r="F325" s="22" t="n">
        <x:v>3.352229212838726</x:v>
      </x:c>
      <x:c r="G325" s="22" t="n">
        <x:v>-3</x:v>
      </x:c>
      <x:c r="H325" s="22" t="n">
        <x:v>64605.4665</x:v>
      </x:c>
      <x:c r="I325" s="22" t="n">
        <x:v>356086.7939224609</x:v>
      </x:c>
      <x:c r="J325" s="22" t="n">
        <x:v>113634.3</x:v>
      </x:c>
      <x:c r="K325" s="22" t="n">
        <x:v>295449.18</x:v>
      </x:c>
      <x:c r="L325" s="22" t="str">
        <x:v>可承受</x:v>
      </x:c>
    </x:row>
    <x:row r="326" ht="24" customHeight="1">
      <x:c r="A326" s="22" t="str">
        <x:v>C05-M018</x:v>
      </x:c>
      <x:c r="B326" s="22" t="str">
        <x:v>圣坛悬晶灵</x:v>
      </x:c>
      <x:c r="C326" s="22" t="str">
        <x:v>XX816</x:v>
      </x:c>
      <x:c r="D326" s="22" t="str">
        <x:v>P0148</x:v>
      </x:c>
      <x:c r="E326" s="22" t="str">
        <x:v>普通</x:v>
      </x:c>
      <x:c r="F326" s="22" t="n">
        <x:v>3.352229212838726</x:v>
      </x:c>
      <x:c r="G326" s="22" t="n">
        <x:v>-3</x:v>
      </x:c>
      <x:c r="H326" s="22" t="n">
        <x:v>64605.4665</x:v>
      </x:c>
      <x:c r="I326" s="22" t="n">
        <x:v>356086.7939224609</x:v>
      </x:c>
      <x:c r="J326" s="22" t="n">
        <x:v>113634.3</x:v>
      </x:c>
      <x:c r="K326" s="22" t="n">
        <x:v>295449.18</x:v>
      </x:c>
      <x:c r="L326" s="22" t="str">
        <x:v>可承受</x:v>
      </x:c>
    </x:row>
    <x:row r="327" ht="24" customHeight="1">
      <x:c r="A327" s="22" t="str">
        <x:v>C05-M019</x:v>
      </x:c>
      <x:c r="B327" s="22" t="str">
        <x:v>青曜啮辉兽</x:v>
      </x:c>
      <x:c r="C327" s="22" t="str">
        <x:v>XX812</x:v>
      </x:c>
      <x:c r="D327" s="22" t="str">
        <x:v>P0148</x:v>
      </x:c>
      <x:c r="E327" s="22" t="str">
        <x:v>稀有</x:v>
      </x:c>
      <x:c r="F327" s="22" t="n">
        <x:v>11.88471175572092</x:v>
      </x:c>
      <x:c r="G327" s="22" t="n">
        <x:v>-3</x:v>
      </x:c>
      <x:c r="H327" s="22" t="n">
        <x:v>142179.26258823532</x:v>
      </x:c>
      <x:c r="I327" s="22" t="n">
        <x:v>356086.7939224609</x:v>
      </x:c>
      <x:c r="J327" s="22" t="n">
        <x:v>263634.3</x:v>
      </x:c>
      <x:c r="K327" s="22" t="n">
        <x:v>685449.18</x:v>
      </x:c>
      <x:c r="L327" s="22" t="str">
        <x:v>可承受</x:v>
      </x:c>
    </x:row>
    <x:row r="328" ht="24" customHeight="1">
      <x:c r="A328" s="22" t="str">
        <x:v>C05-M020</x:v>
      </x:c>
      <x:c r="B328" s="22" t="str">
        <x:v>棱光长廊术士</x:v>
      </x:c>
      <x:c r="C328" s="22" t="str">
        <x:v>XX815</x:v>
      </x:c>
      <x:c r="D328" s="22" t="str">
        <x:v>P0148</x:v>
      </x:c>
      <x:c r="E328" s="22" t="str">
        <x:v>稀有</x:v>
      </x:c>
      <x:c r="F328" s="22" t="n">
        <x:v>12.34181605401788</x:v>
      </x:c>
      <x:c r="G328" s="22" t="n">
        <x:v>-3</x:v>
      </x:c>
      <x:c r="H328" s="22" t="n">
        <x:v>142179.26258823532</x:v>
      </x:c>
      <x:c r="I328" s="22" t="n">
        <x:v>356086.7939224609</x:v>
      </x:c>
      <x:c r="J328" s="22" t="n">
        <x:v>263634.3</x:v>
      </x:c>
      <x:c r="K328" s="22" t="n">
        <x:v>685449.18</x:v>
      </x:c>
      <x:c r="L328" s="22" t="str">
        <x:v>可承受</x:v>
      </x:c>
    </x:row>
    <x:row r="329" ht="24" customHeight="1">
      <x:c r="A329" s="22" t="str">
        <x:v>C05-M021</x:v>
      </x:c>
      <x:c r="B329" s="22" t="str">
        <x:v>学院前庭晶戟卫</x:v>
      </x:c>
      <x:c r="C329" s="22" t="str">
        <x:v>XX813</x:v>
      </x:c>
      <x:c r="D329" s="22" t="str">
        <x:v>P0148</x:v>
      </x:c>
      <x:c r="E329" s="22" t="str">
        <x:v>稀有</x:v>
      </x:c>
      <x:c r="F329" s="22" t="n">
        <x:v>10.056294562533086</x:v>
      </x:c>
      <x:c r="G329" s="22" t="n">
        <x:v>-3</x:v>
      </x:c>
      <x:c r="H329" s="22" t="n">
        <x:v>142179.26258823532</x:v>
      </x:c>
      <x:c r="I329" s="22" t="n">
        <x:v>356086.7939224609</x:v>
      </x:c>
      <x:c r="J329" s="22" t="n">
        <x:v>263634.3</x:v>
      </x:c>
      <x:c r="K329" s="22" t="n">
        <x:v>685449.18</x:v>
      </x:c>
      <x:c r="L329" s="22" t="str">
        <x:v>可承受</x:v>
      </x:c>
    </x:row>
    <x:row r="330" ht="24" customHeight="1">
      <x:c r="A330" s="22" t="str">
        <x:v>C05-M022</x:v>
      </x:c>
      <x:c r="B330" s="22" t="str">
        <x:v>内院辉核铸像</x:v>
      </x:c>
      <x:c r="C330" s="22" t="str">
        <x:v>XX814</x:v>
      </x:c>
      <x:c r="D330" s="22" t="str">
        <x:v>P0148</x:v>
      </x:c>
      <x:c r="E330" s="22" t="str">
        <x:v>稀有</x:v>
      </x:c>
      <x:c r="F330" s="22" t="n">
        <x:v>12.34181605401788</x:v>
      </x:c>
      <x:c r="G330" s="22" t="n">
        <x:v>-3</x:v>
      </x:c>
      <x:c r="H330" s="22" t="n">
        <x:v>142179.26258823532</x:v>
      </x:c>
      <x:c r="I330" s="22" t="n">
        <x:v>356086.7939224609</x:v>
      </x:c>
      <x:c r="J330" s="22" t="n">
        <x:v>263634.3</x:v>
      </x:c>
      <x:c r="K330" s="22" t="n">
        <x:v>685449.18</x:v>
      </x:c>
      <x:c r="L330" s="22" t="str">
        <x:v>可承受</x:v>
      </x:c>
    </x:row>
    <x:row r="331" ht="24" customHeight="1">
      <x:c r="A331" s="22" t="str">
        <x:v>C05-M023</x:v>
      </x:c>
      <x:c r="B331" s="22" t="str">
        <x:v>裂辉古院监</x:v>
      </x:c>
      <x:c r="C331" s="22" t="str">
        <x:v>XX814</x:v>
      </x:c>
      <x:c r="D331" s="22" t="str">
        <x:v>P0155</x:v>
      </x:c>
      <x:c r="E331" s="22" t="str">
        <x:v>地图BOSS</x:v>
      </x:c>
      <x:c r="F331" s="22" t="n">
        <x:v>70.04390524634712</x:v>
      </x:c>
      <x:c r="G331" s="22" t="n">
        <x:v>-3</x:v>
      </x:c>
      <x:c r="H331" s="22" t="n">
        <x:v>218119.89066666664</x:v>
      </x:c>
      <x:c r="I331" s="22" t="n">
        <x:v>418667.6438761062</x:v>
      </x:c>
      <x:c r="J331" s="22" t="n">
        <x:v>431633.39999999997</x:v>
      </x:c>
      <x:c r="K331" s="22" t="n">
        <x:v>1122246.8399999999</x:v>
      </x:c>
      <x:c r="L331" s="22" t="str">
        <x:v>可承受</x:v>
      </x:c>
    </x:row>
    <x:row r="332" ht="24" customHeight="1">
      <x:c r="A332" s="22" t="str">
        <x:v>C05-M024</x:v>
      </x:c>
      <x:c r="B332" s="22" t="str">
        <x:v>万棱圣坛龙蜥</x:v>
      </x:c>
      <x:c r="C332" s="22" t="str">
        <x:v>XX816</x:v>
      </x:c>
      <x:c r="D332" s="22" t="str">
        <x:v>P0156</x:v>
      </x:c>
      <x:c r="E332" s="22" t="str">
        <x:v>地图BOSS</x:v>
      </x:c>
      <x:c r="F332" s="22" t="n">
        <x:v>86.52482412784056</x:v>
      </x:c>
      <x:c r="G332" s="22" t="n">
        <x:v>-3</x:v>
      </x:c>
      <x:c r="H332" s="22" t="n">
        <x:v>218119.89066666664</x:v>
      </x:c>
      <x:c r="I332" s="22" t="n">
        <x:v>418667.6438761062</x:v>
      </x:c>
      <x:c r="J332" s="22" t="n">
        <x:v>431633.39999999997</x:v>
      </x:c>
      <x:c r="K332" s="22" t="n">
        <x:v>1122246.8399999999</x:v>
      </x:c>
      <x:c r="L332" s="22" t="str">
        <x:v>可承受</x:v>
      </x:c>
    </x:row>
    <x:row r="333" ht="24" customHeight="1">
      <x:c r="A333" s="22" t="str">
        <x:v>C05-M025</x:v>
      </x:c>
      <x:c r="B333" s="22" t="str">
        <x:v>墨羽抄录仆</x:v>
      </x:c>
      <x:c r="C333" s="22" t="str">
        <x:v>XX1053</x:v>
      </x:c>
      <x:c r="D333" s="22" t="str">
        <x:v>P0154</x:v>
      </x:c>
      <x:c r="E333" s="22" t="str">
        <x:v>普通</x:v>
      </x:c>
      <x:c r="F333" s="22" t="n">
        <x:v>4.1225246630850405</x:v>
      </x:c>
      <x:c r="G333" s="22" t="n">
        <x:v>-8</x:v>
      </x:c>
      <x:c r="H333" s="22" t="n">
        <x:v>70696.8719831637</x:v>
      </x:c>
      <x:c r="I333" s="22" t="n">
        <x:v>402081.32065516355</x:v>
      </x:c>
      <x:c r="J333" s="22" t="n">
        <x:v>101633.4</x:v>
      </x:c>
      <x:c r="K333" s="22" t="n">
        <x:v>365880.24</x:v>
      </x:c>
      <x:c r="L333" s="22" t="str">
        <x:v>可承受</x:v>
      </x:c>
    </x:row>
    <x:row r="334" ht="24" customHeight="1">
      <x:c r="A334" s="22" t="str">
        <x:v>C05-M026</x:v>
      </x:c>
      <x:c r="B334" s="22" t="str">
        <x:v>回廊试术生</x:v>
      </x:c>
      <x:c r="C334" s="22" t="str">
        <x:v>XX1053</x:v>
      </x:c>
      <x:c r="D334" s="22" t="str">
        <x:v>P0154</x:v>
      </x:c>
      <x:c r="E334" s="22" t="str">
        <x:v>普通</x:v>
      </x:c>
      <x:c r="F334" s="22" t="n">
        <x:v>3.7477496937136734</x:v>
      </x:c>
      <x:c r="G334" s="22" t="n">
        <x:v>-8</x:v>
      </x:c>
      <x:c r="H334" s="22" t="n">
        <x:v>70696.8719831637</x:v>
      </x:c>
      <x:c r="I334" s="22" t="n">
        <x:v>402081.32065516355</x:v>
      </x:c>
      <x:c r="J334" s="22" t="n">
        <x:v>101633.4</x:v>
      </x:c>
      <x:c r="K334" s="22" t="n">
        <x:v>365880.24</x:v>
      </x:c>
      <x:c r="L334" s="22" t="str">
        <x:v>可承受</x:v>
      </x:c>
    </x:row>
    <x:row r="335" ht="24" customHeight="1">
      <x:c r="A335" s="22" t="str">
        <x:v>C05-M027</x:v>
      </x:c>
      <x:c r="B335" s="22" t="str">
        <x:v>封印粉笔灵</x:v>
      </x:c>
      <x:c r="C335" s="22" t="str">
        <x:v>XX1060</x:v>
      </x:c>
      <x:c r="D335" s="22" t="str">
        <x:v>P0154</x:v>
      </x:c>
      <x:c r="E335" s="22" t="str">
        <x:v>普通</x:v>
      </x:c>
      <x:c r="F335" s="22" t="n">
        <x:v>3.1481097427194857</x:v>
      </x:c>
      <x:c r="G335" s="22" t="n">
        <x:v>-8</x:v>
      </x:c>
      <x:c r="H335" s="22" t="n">
        <x:v>70696.8719831637</x:v>
      </x:c>
      <x:c r="I335" s="22" t="n">
        <x:v>402081.32065516355</x:v>
      </x:c>
      <x:c r="J335" s="22" t="n">
        <x:v>101633.4</x:v>
      </x:c>
      <x:c r="K335" s="22" t="n">
        <x:v>365880.24</x:v>
      </x:c>
      <x:c r="L335" s="22" t="str">
        <x:v>可承受</x:v>
      </x:c>
    </x:row>
    <x:row r="336" ht="24" customHeight="1">
      <x:c r="A336" s="22" t="str">
        <x:v>C05-M028</x:v>
      </x:c>
      <x:c r="B336" s="22" t="str">
        <x:v>讲堂缄咒像</x:v>
      </x:c>
      <x:c r="C336" s="22" t="str">
        <x:v>XX1060</x:v>
      </x:c>
      <x:c r="D336" s="22" t="str">
        <x:v>P0154</x:v>
      </x:c>
      <x:c r="E336" s="22" t="str">
        <x:v>普通</x:v>
      </x:c>
      <x:c r="F336" s="22" t="n">
        <x:v>3.485407215153716</x:v>
      </x:c>
      <x:c r="G336" s="22" t="n">
        <x:v>-8</x:v>
      </x:c>
      <x:c r="H336" s="22" t="n">
        <x:v>70696.8719831637</x:v>
      </x:c>
      <x:c r="I336" s="22" t="n">
        <x:v>402081.32065516355</x:v>
      </x:c>
      <x:c r="J336" s="22" t="n">
        <x:v>101633.4</x:v>
      </x:c>
      <x:c r="K336" s="22" t="n">
        <x:v>365880.24</x:v>
      </x:c>
      <x:c r="L336" s="22" t="str">
        <x:v>可承受</x:v>
      </x:c>
    </x:row>
    <x:row r="337" ht="24" customHeight="1">
      <x:c r="A337" s="22" t="str">
        <x:v>C05-M029</x:v>
      </x:c>
      <x:c r="B337" s="22" t="str">
        <x:v>密室卷轴蠹</x:v>
      </x:c>
      <x:c r="C337" s="22" t="str">
        <x:v>XX1058</x:v>
      </x:c>
      <x:c r="D337" s="22" t="str">
        <x:v>P0154</x:v>
      </x:c>
      <x:c r="E337" s="22" t="str">
        <x:v>普通</x:v>
      </x:c>
      <x:c r="F337" s="22" t="n">
        <x:v>3.7477496937136734</x:v>
      </x:c>
      <x:c r="G337" s="22" t="n">
        <x:v>-8</x:v>
      </x:c>
      <x:c r="H337" s="22" t="n">
        <x:v>70696.8719831637</x:v>
      </x:c>
      <x:c r="I337" s="22" t="n">
        <x:v>402081.32065516355</x:v>
      </x:c>
      <x:c r="J337" s="22" t="n">
        <x:v>101633.4</x:v>
      </x:c>
      <x:c r="K337" s="22" t="n">
        <x:v>365880.24</x:v>
      </x:c>
      <x:c r="L337" s="22" t="str">
        <x:v>可承受</x:v>
      </x:c>
    </x:row>
    <x:row r="338" ht="24" customHeight="1">
      <x:c r="A338" s="22" t="str">
        <x:v>C05-M030</x:v>
      </x:c>
      <x:c r="B338" s="22" t="str">
        <x:v>学院锁页卫</x:v>
      </x:c>
      <x:c r="C338" s="22" t="str">
        <x:v>XX1058</x:v>
      </x:c>
      <x:c r="D338" s="22" t="str">
        <x:v>P0154</x:v>
      </x:c>
      <x:c r="E338" s="22" t="str">
        <x:v>普通</x:v>
      </x:c>
      <x:c r="F338" s="22" t="n">
        <x:v>3.485407215153716</x:v>
      </x:c>
      <x:c r="G338" s="22" t="n">
        <x:v>-8</x:v>
      </x:c>
      <x:c r="H338" s="22" t="n">
        <x:v>70696.8719831637</x:v>
      </x:c>
      <x:c r="I338" s="22" t="n">
        <x:v>402081.32065516355</x:v>
      </x:c>
      <x:c r="J338" s="22" t="n">
        <x:v>101633.4</x:v>
      </x:c>
      <x:c r="K338" s="22" t="n">
        <x:v>365880.24</x:v>
      </x:c>
      <x:c r="L338" s="22" t="str">
        <x:v>可承受</x:v>
      </x:c>
    </x:row>
    <x:row r="339" ht="24" customHeight="1">
      <x:c r="A339" s="22" t="str">
        <x:v>C05-M031</x:v>
      </x:c>
      <x:c r="B339" s="22" t="str">
        <x:v>银规巡课官</x:v>
      </x:c>
      <x:c r="C339" s="22" t="str">
        <x:v>XX1053</x:v>
      </x:c>
      <x:c r="D339" s="22" t="str">
        <x:v>P0154</x:v>
      </x:c>
      <x:c r="E339" s="22" t="str">
        <x:v>稀有</x:v>
      </x:c>
      <x:c r="F339" s="22" t="n">
        <x:v>10.381707709906571</x:v>
      </x:c>
      <x:c r="G339" s="22" t="n">
        <x:v>-8</x:v>
      </x:c>
      <x:c r="H339" s="22" t="n">
        <x:v>149821.47877915084</x:v>
      </x:c>
      <x:c r="I339" s="22" t="n">
        <x:v>402081.32065516355</x:v>
      </x:c>
      <x:c r="J339" s="22" t="n">
        <x:v>227633.4</x:v>
      </x:c>
      <x:c r="K339" s="22" t="n">
        <x:v>819480.24</x:v>
      </x:c>
      <x:c r="L339" s="22" t="str">
        <x:v>可承受</x:v>
      </x:c>
    </x:row>
    <x:row r="340" ht="24" customHeight="1">
      <x:c r="A340" s="22" t="str">
        <x:v>C05-M032</x:v>
      </x:c>
      <x:c r="B340" s="22" t="str">
        <x:v>封讲禁声师</x:v>
      </x:c>
      <x:c r="C340" s="22" t="str">
        <x:v>XX1060</x:v>
      </x:c>
      <x:c r="D340" s="22" t="str">
        <x:v>P0154</x:v>
      </x:c>
      <x:c r="E340" s="22" t="str">
        <x:v>稀有</x:v>
      </x:c>
      <x:c r="F340" s="22" t="n">
        <x:v>9.982411259525549</x:v>
      </x:c>
      <x:c r="G340" s="22" t="n">
        <x:v>-8</x:v>
      </x:c>
      <x:c r="H340" s="22" t="n">
        <x:v>149821.47877915084</x:v>
      </x:c>
      <x:c r="I340" s="22" t="n">
        <x:v>402081.32065516355</x:v>
      </x:c>
      <x:c r="J340" s="22" t="n">
        <x:v>227633.4</x:v>
      </x:c>
      <x:c r="K340" s="22" t="n">
        <x:v>819480.24</x:v>
      </x:c>
      <x:c r="L340" s="22" t="str">
        <x:v>可承受</x:v>
      </x:c>
    </x:row>
    <x:row r="341" ht="24" customHeight="1">
      <x:c r="A341" s="22" t="str">
        <x:v>C05-M033</x:v>
      </x:c>
      <x:c r="B341" s="22" t="str">
        <x:v>密室倒书客</x:v>
      </x:c>
      <x:c r="C341" s="22" t="str">
        <x:v>XX1058</x:v>
      </x:c>
      <x:c r="D341" s="22" t="str">
        <x:v>P0154</x:v>
      </x:c>
      <x:c r="E341" s="22" t="str">
        <x:v>稀有</x:v>
      </x:c>
      <x:c r="F341" s="22" t="n">
        <x:v>11.579597061049636</x:v>
      </x:c>
      <x:c r="G341" s="22" t="n">
        <x:v>-8</x:v>
      </x:c>
      <x:c r="H341" s="22" t="n">
        <x:v>149821.47877915084</x:v>
      </x:c>
      <x:c r="I341" s="22" t="n">
        <x:v>402081.32065516355</x:v>
      </x:c>
      <x:c r="J341" s="22" t="n">
        <x:v>227633.4</x:v>
      </x:c>
      <x:c r="K341" s="22" t="n">
        <x:v>819480.24</x:v>
      </x:c>
      <x:c r="L341" s="22" t="str">
        <x:v>可承受</x:v>
      </x:c>
    </x:row>
    <x:row r="342" ht="24" customHeight="1">
      <x:c r="A342" s="22" t="str">
        <x:v>C05-M034</x:v>
      </x:c>
      <x:c r="B342" s="22" t="str">
        <x:v>星墨活页兽</x:v>
      </x:c>
      <x:c r="C342" s="22" t="str">
        <x:v>XX1058</x:v>
      </x:c>
      <x:c r="D342" s="22" t="str">
        <x:v>P0154</x:v>
      </x:c>
      <x:c r="E342" s="22" t="str">
        <x:v>稀有</x:v>
      </x:c>
      <x:c r="F342" s="22" t="n">
        <x:v>9.583114809144528</x:v>
      </x:c>
      <x:c r="G342" s="22" t="n">
        <x:v>-8</x:v>
      </x:c>
      <x:c r="H342" s="22" t="n">
        <x:v>149821.47877915084</x:v>
      </x:c>
      <x:c r="I342" s="22" t="n">
        <x:v>402081.32065516355</x:v>
      </x:c>
      <x:c r="J342" s="22" t="n">
        <x:v>227633.4</x:v>
      </x:c>
      <x:c r="K342" s="22" t="n">
        <x:v>819480.24</x:v>
      </x:c>
      <x:c r="L342" s="22" t="str">
        <x:v>可承受</x:v>
      </x:c>
    </x:row>
    <x:row r="343" ht="24" customHeight="1">
      <x:c r="A343" s="22" t="str">
        <x:v>C05-M035</x:v>
      </x:c>
      <x:c r="B343" s="22" t="str">
        <x:v>七印讲堂监</x:v>
      </x:c>
      <x:c r="C343" s="22" t="str">
        <x:v>XX1060</x:v>
      </x:c>
      <x:c r="D343" s="22" t="str">
        <x:v>P0161</x:v>
      </x:c>
      <x:c r="E343" s="22" t="str">
        <x:v>地图BOSS</x:v>
      </x:c>
      <x:c r="F343" s="22" t="n">
        <x:v>70.3124613064917</x:v>
      </x:c>
      <x:c r="G343" s="22" t="n">
        <x:v>12</x:v>
      </x:c>
      <x:c r="H343" s="22" t="n">
        <x:v>258084.66666666663</x:v>
      </x:c>
      <x:c r="I343" s="22" t="n">
        <x:v>791001.1328982126</x:v>
      </x:c>
      <x:c r="J343" s="22" t="n">
        <x:v>533552.4</x:v>
      </x:c>
      <x:c r="K343" s="22" t="n">
        <x:v>533552.4</x:v>
      </x:c>
      <x:c r="L343" s="22" t="str">
        <x:v>可承受</x:v>
      </x:c>
    </x:row>
    <x:row r="344" ht="24" customHeight="1">
      <x:c r="A344" s="22" t="str">
        <x:v>C05-M036</x:v>
      </x:c>
      <x:c r="B344" s="22" t="str">
        <x:v>逆页密室导师</x:v>
      </x:c>
      <x:c r="C344" s="22" t="str">
        <x:v>XX1058</x:v>
      </x:c>
      <x:c r="D344" s="22" t="str">
        <x:v>P0162</x:v>
      </x:c>
      <x:c r="E344" s="22" t="str">
        <x:v>地图BOSS</x:v>
      </x:c>
      <x:c r="F344" s="22" t="n">
        <x:v>74.33031623829123</x:v>
      </x:c>
      <x:c r="G344" s="22" t="n">
        <x:v>12</x:v>
      </x:c>
      <x:c r="H344" s="22" t="n">
        <x:v>258084.66666666663</x:v>
      </x:c>
      <x:c r="I344" s="22" t="n">
        <x:v>791001.1328982126</x:v>
      </x:c>
      <x:c r="J344" s="22" t="n">
        <x:v>533552.4</x:v>
      </x:c>
      <x:c r="K344" s="22" t="n">
        <x:v>533552.4</x:v>
      </x:c>
      <x:c r="L344" s="22" t="str">
        <x:v>可承受</x:v>
      </x:c>
    </x:row>
    <x:row r="345" ht="24" customHeight="1">
      <x:c r="A345" s="22" t="str">
        <x:v>C05-M037</x:v>
      </x:c>
      <x:c r="B345" s="22" t="str">
        <x:v>月尘理卷童</x:v>
      </x:c>
      <x:c r="C345" s="22" t="str">
        <x:v>XX1063</x:v>
      </x:c>
      <x:c r="D345" s="22" t="str">
        <x:v>P0160</x:v>
      </x:c>
      <x:c r="E345" s="22" t="str">
        <x:v>普通</x:v>
      </x:c>
      <x:c r="F345" s="22" t="n">
        <x:v>3.23479639090632</x:v>
      </x:c>
      <x:c r="G345" s="22" t="n">
        <x:v>-38</x:v>
      </x:c>
      <x:c r="H345" s="22" t="n">
        <x:v>92638.08196934938</x:v>
      </x:c>
      <x:c r="I345" s="22" t="n">
        <x:v>652626.0394416281</x:v>
      </x:c>
      <x:c r="J345" s="22" t="n">
        <x:v>19352.399999999998</x:v>
      </x:c>
      <x:c r="K345" s="22" t="n">
        <x:v>185783.04</x:v>
      </x:c>
      <x:c r="L345" s="22" t="str">
        <x:v>可承受</x:v>
      </x:c>
    </x:row>
    <x:row r="346" ht="24" customHeight="1">
      <x:c r="A346" s="22" t="str">
        <x:v>C05-M038</x:v>
      </x:c>
      <x:c r="B346" s="22" t="str">
        <x:v>银页栖书鸦</x:v>
      </x:c>
      <x:c r="C346" s="22" t="str">
        <x:v>XX1063</x:v>
      </x:c>
      <x:c r="D346" s="22" t="str">
        <x:v>P0160</x:v>
      </x:c>
      <x:c r="E346" s="22" t="str">
        <x:v>普通</x:v>
      </x:c>
      <x:c r="F346" s="22" t="n">
        <x:v>3.927967046100531</x:v>
      </x:c>
      <x:c r="G346" s="22" t="n">
        <x:v>-38</x:v>
      </x:c>
      <x:c r="H346" s="22" t="n">
        <x:v>92638.08196934938</x:v>
      </x:c>
      <x:c r="I346" s="22" t="n">
        <x:v>652626.0394416281</x:v>
      </x:c>
      <x:c r="J346" s="22" t="n">
        <x:v>19352.399999999998</x:v>
      </x:c>
      <x:c r="K346" s="22" t="n">
        <x:v>185783.04</x:v>
      </x:c>
      <x:c r="L346" s="22" t="str">
        <x:v>可承受</x:v>
      </x:c>
    </x:row>
    <x:row r="347" ht="24" customHeight="1">
      <x:c r="A347" s="22" t="str">
        <x:v>C05-M039</x:v>
      </x:c>
      <x:c r="B347" s="22" t="str">
        <x:v>禁书噤语灯</x:v>
      </x:c>
      <x:c r="C347" s="22" t="str">
        <x:v>XX1065</x:v>
      </x:c>
      <x:c r="D347" s="22" t="str">
        <x:v>P0160</x:v>
      </x:c>
      <x:c r="E347" s="22" t="str">
        <x:v>普通</x:v>
      </x:c>
      <x:c r="F347" s="22" t="n">
        <x:v>3.927967046100531</x:v>
      </x:c>
      <x:c r="G347" s="22" t="n">
        <x:v>-38</x:v>
      </x:c>
      <x:c r="H347" s="22" t="n">
        <x:v>92638.08196934938</x:v>
      </x:c>
      <x:c r="I347" s="22" t="n">
        <x:v>652626.0394416281</x:v>
      </x:c>
      <x:c r="J347" s="22" t="n">
        <x:v>19352.399999999998</x:v>
      </x:c>
      <x:c r="K347" s="22" t="n">
        <x:v>185783.04</x:v>
      </x:c>
      <x:c r="L347" s="22" t="str">
        <x:v>可承受</x:v>
      </x:c>
    </x:row>
    <x:row r="348" ht="24" customHeight="1">
      <x:c r="A348" s="22" t="str">
        <x:v>C05-M040</x:v>
      </x:c>
      <x:c r="B348" s="22" t="str">
        <x:v>回廊巡卷傀</x:v>
      </x:c>
      <x:c r="C348" s="22" t="str">
        <x:v>XX1065</x:v>
      </x:c>
      <x:c r="D348" s="22" t="str">
        <x:v>P0160</x:v>
      </x:c>
      <x:c r="E348" s="22" t="str">
        <x:v>普通</x:v>
      </x:c>
      <x:c r="F348" s="22" t="n">
        <x:v>3.465853275971057</x:v>
      </x:c>
      <x:c r="G348" s="22" t="n">
        <x:v>-38</x:v>
      </x:c>
      <x:c r="H348" s="22" t="n">
        <x:v>92638.08196934938</x:v>
      </x:c>
      <x:c r="I348" s="22" t="n">
        <x:v>652626.0394416281</x:v>
      </x:c>
      <x:c r="J348" s="22" t="n">
        <x:v>19352.399999999998</x:v>
      </x:c>
      <x:c r="K348" s="22" t="n">
        <x:v>185783.04</x:v>
      </x:c>
      <x:c r="L348" s="22" t="str">
        <x:v>可承受</x:v>
      </x:c>
    </x:row>
    <x:row r="349" ht="24" customHeight="1">
      <x:c r="A349" s="22" t="str">
        <x:v>C05-M041</x:v>
      </x:c>
      <x:c r="B349" s="22" t="str">
        <x:v>藏书室墨潮蛭</x:v>
      </x:c>
      <x:c r="C349" s="22" t="str">
        <x:v>XX1066</x:v>
      </x:c>
      <x:c r="D349" s="22" t="str">
        <x:v>P0160</x:v>
      </x:c>
      <x:c r="E349" s="22" t="str">
        <x:v>普通</x:v>
      </x:c>
      <x:c r="F349" s="22" t="n">
        <x:v>3.23479639090632</x:v>
      </x:c>
      <x:c r="G349" s="22" t="n">
        <x:v>-38</x:v>
      </x:c>
      <x:c r="H349" s="22" t="n">
        <x:v>92638.08196934938</x:v>
      </x:c>
      <x:c r="I349" s="22" t="n">
        <x:v>652626.0394416281</x:v>
      </x:c>
      <x:c r="J349" s="22" t="n">
        <x:v>19352.399999999998</x:v>
      </x:c>
      <x:c r="K349" s="22" t="n">
        <x:v>185783.04</x:v>
      </x:c>
      <x:c r="L349" s="22" t="str">
        <x:v>可承受</x:v>
      </x:c>
    </x:row>
    <x:row r="350" ht="24" customHeight="1">
      <x:c r="A350" s="22" t="str">
        <x:v>C05-M042</x:v>
      </x:c>
      <x:c r="B350" s="22" t="str">
        <x:v>满月夹页灵</x:v>
      </x:c>
      <x:c r="C350" s="22" t="str">
        <x:v>XX1066</x:v>
      </x:c>
      <x:c r="D350" s="22" t="str">
        <x:v>P0160</x:v>
      </x:c>
      <x:c r="E350" s="22" t="str">
        <x:v>普通</x:v>
      </x:c>
      <x:c r="F350" s="22" t="n">
        <x:v>3.927967046100531</x:v>
      </x:c>
      <x:c r="G350" s="22" t="n">
        <x:v>-38</x:v>
      </x:c>
      <x:c r="H350" s="22" t="n">
        <x:v>92638.08196934938</x:v>
      </x:c>
      <x:c r="I350" s="22" t="n">
        <x:v>652626.0394416281</x:v>
      </x:c>
      <x:c r="J350" s="22" t="n">
        <x:v>19352.399999999998</x:v>
      </x:c>
      <x:c r="K350" s="22" t="n">
        <x:v>185783.04</x:v>
      </x:c>
      <x:c r="L350" s="22" t="str">
        <x:v>可承受</x:v>
      </x:c>
    </x:row>
    <x:row r="351" ht="24" customHeight="1">
      <x:c r="A351" s="22" t="str">
        <x:v>C05-M043</x:v>
      </x:c>
      <x:c r="B351" s="22" t="str">
        <x:v>月相编目师</x:v>
      </x:c>
      <x:c r="C351" s="22" t="str">
        <x:v>XX1063</x:v>
      </x:c>
      <x:c r="D351" s="22" t="str">
        <x:v>P0160</x:v>
      </x:c>
      <x:c r="E351" s="22" t="str">
        <x:v>稀有</x:v>
      </x:c>
      <x:c r="F351" s="22" t="n">
        <x:v>11.58537815739093</x:v>
      </x:c>
      <x:c r="G351" s="22" t="n">
        <x:v>-38</x:v>
      </x:c>
      <x:c r="H351" s="22" t="n">
        <x:v>163655.1314320836</x:v>
      </x:c>
      <x:c r="I351" s="22" t="n">
        <x:v>652626.0394416281</x:v>
      </x:c>
      <x:c r="J351" s="22" t="n">
        <x:v>36752.4</x:v>
      </x:c>
      <x:c r="K351" s="22" t="n">
        <x:v>352823.04000000004</x:v>
      </x:c>
      <x:c r="L351" s="22" t="str">
        <x:v>可承受</x:v>
      </x:c>
    </x:row>
    <x:row r="352" ht="24" customHeight="1">
      <x:c r="A352" s="22" t="str">
        <x:v>C05-M044</x:v>
      </x:c>
      <x:c r="B352" s="22" t="str">
        <x:v>禁页蚀字兽</x:v>
      </x:c>
      <x:c r="C352" s="22" t="str">
        <x:v>XX1065</x:v>
      </x:c>
      <x:c r="D352" s="22" t="str">
        <x:v>P0160</x:v>
      </x:c>
      <x:c r="E352" s="22" t="str">
        <x:v>稀有</x:v>
      </x:c>
      <x:c r="F352" s="22" t="n">
        <x:v>12.078372972599054</x:v>
      </x:c>
      <x:c r="G352" s="22" t="n">
        <x:v>-38</x:v>
      </x:c>
      <x:c r="H352" s="22" t="n">
        <x:v>163655.1314320836</x:v>
      </x:c>
      <x:c r="I352" s="22" t="n">
        <x:v>652626.0394416281</x:v>
      </x:c>
      <x:c r="J352" s="22" t="n">
        <x:v>36752.4</x:v>
      </x:c>
      <x:c r="K352" s="22" t="n">
        <x:v>352823.04000000004</x:v>
      </x:c>
      <x:c r="L352" s="22" t="str">
        <x:v>可承受</x:v>
      </x:c>
    </x:row>
    <x:row r="353" ht="24" customHeight="1">
      <x:c r="A353" s="22" t="str">
        <x:v>C05-M045</x:v>
      </x:c>
      <x:c r="B353" s="22" t="str">
        <x:v>藏卷沉思者</x:v>
      </x:c>
      <x:c r="C353" s="22" t="str">
        <x:v>XX1066</x:v>
      </x:c>
      <x:c r="D353" s="22" t="str">
        <x:v>P0160</x:v>
      </x:c>
      <x:c r="E353" s="22" t="str">
        <x:v>稀有</x:v>
      </x:c>
      <x:c r="F353" s="22" t="n">
        <x:v>12.078372972599054</x:v>
      </x:c>
      <x:c r="G353" s="22" t="n">
        <x:v>-38</x:v>
      </x:c>
      <x:c r="H353" s="22" t="n">
        <x:v>163655.1314320836</x:v>
      </x:c>
      <x:c r="I353" s="22" t="n">
        <x:v>652626.0394416281</x:v>
      </x:c>
      <x:c r="J353" s="22" t="n">
        <x:v>36752.4</x:v>
      </x:c>
      <x:c r="K353" s="22" t="n">
        <x:v>352823.04000000004</x:v>
      </x:c>
      <x:c r="L353" s="22" t="str">
        <x:v>可承受</x:v>
      </x:c>
    </x:row>
    <x:row r="354" ht="24" customHeight="1">
      <x:c r="A354" s="22" t="str">
        <x:v>C05-M046</x:v>
      </x:c>
      <x:c r="B354" s="22" t="str">
        <x:v>银书长尾猫</x:v>
      </x:c>
      <x:c r="C354" s="22" t="str">
        <x:v>XX1063</x:v>
      </x:c>
      <x:c r="D354" s="22" t="str">
        <x:v>P0160</x:v>
      </x:c>
      <x:c r="E354" s="22" t="str">
        <x:v>稀有</x:v>
      </x:c>
      <x:c r="F354" s="22" t="n">
        <x:v>11.58537815739093</x:v>
      </x:c>
      <x:c r="G354" s="22" t="n">
        <x:v>-38</x:v>
      </x:c>
      <x:c r="H354" s="22" t="n">
        <x:v>163655.1314320836</x:v>
      </x:c>
      <x:c r="I354" s="22" t="n">
        <x:v>652626.0394416281</x:v>
      </x:c>
      <x:c r="J354" s="22" t="n">
        <x:v>36752.4</x:v>
      </x:c>
      <x:c r="K354" s="22" t="n">
        <x:v>352823.04000000004</x:v>
      </x:c>
      <x:c r="L354" s="22" t="str">
        <x:v>可承受</x:v>
      </x:c>
    </x:row>
    <x:row r="355" ht="24" customHeight="1">
      <x:c r="A355" s="22" t="str">
        <x:v>C05-M047</x:v>
      </x:c>
      <x:c r="B355" s="22" t="str">
        <x:v>无声禁典司</x:v>
      </x:c>
      <x:c r="C355" s="22" t="str">
        <x:v>XX1065</x:v>
      </x:c>
      <x:c r="D355" s="22" t="str">
        <x:v>P0167</x:v>
      </x:c>
      <x:c r="E355" s="22" t="str">
        <x:v>地图BOSS</x:v>
      </x:c>
      <x:c r="F355" s="22" t="n">
        <x:v>87.17515434140113</x:v>
      </x:c>
      <x:c r="G355" s="22" t="n">
        <x:v>-18</x:v>
      </x:c>
      <x:c r="H355" s="22" t="n">
        <x:v>266892.98810022505</x:v>
      </x:c>
      <x:c r="I355" s="22" t="n">
        <x:v>820095.6345125294</x:v>
      </x:c>
      <x:c r="J355" s="22" t="n">
        <x:v>197552.4</x:v>
      </x:c>
      <x:c r="K355" s="22" t="n">
        <x:v>1106293.44</x:v>
      </x:c>
      <x:c r="L355" s="22" t="str">
        <x:v>可承受</x:v>
      </x:c>
    </x:row>
    <x:row r="356" ht="24" customHeight="1">
      <x:c r="A356" s="22" t="str">
        <x:v>C05-M048</x:v>
      </x:c>
      <x:c r="B356" s="22" t="str">
        <x:v>满月万卷君</x:v>
      </x:c>
      <x:c r="C356" s="22" t="str">
        <x:v>XX1066</x:v>
      </x:c>
      <x:c r="D356" s="22" t="str">
        <x:v>P0168</x:v>
      </x:c>
      <x:c r="E356" s="22" t="str">
        <x:v>地图BOSS</x:v>
      </x:c>
      <x:c r="F356" s="22" t="n">
        <x:v>71.67734912515203</x:v>
      </x:c>
      <x:c r="G356" s="22" t="n">
        <x:v>-18</x:v>
      </x:c>
      <x:c r="H356" s="22" t="n">
        <x:v>266892.98810022505</x:v>
      </x:c>
      <x:c r="I356" s="22" t="n">
        <x:v>820095.6345125294</x:v>
      </x:c>
      <x:c r="J356" s="22" t="n">
        <x:v>197552.4</x:v>
      </x:c>
      <x:c r="K356" s="22" t="n">
        <x:v>1106293.44</x:v>
      </x:c>
      <x:c r="L356" s="22" t="str">
        <x:v>可承受</x:v>
      </x:c>
    </x:row>
    <x:row r="357" ht="24" customHeight="1">
      <x:c r="A357" s="22" t="str">
        <x:v>C05-M049</x:v>
      </x:c>
      <x:c r="B357" s="22" t="str">
        <x:v>月影鳞侍</x:v>
      </x:c>
      <x:c r="C357" s="22" t="str">
        <x:v>XX377</x:v>
      </x:c>
      <x:c r="D357" s="22" t="str">
        <x:v>P0166</x:v>
      </x:c>
      <x:c r="E357" s="22" t="str">
        <x:v>普通</x:v>
      </x:c>
      <x:c r="F357" s="22" t="n">
        <x:v>3.512354028777357</x:v>
      </x:c>
      <x:c r="G357" s="22" t="n">
        <x:v>-23</x:v>
      </x:c>
      <x:c r="H357" s="22" t="n">
        <x:v>106389.90748353898</x:v>
      </x:c>
      <x:c r="I357" s="22" t="n">
        <x:v>791721.7397493412</x:v>
      </x:c>
      <x:c r="J357" s="22" t="n">
        <x:v>45752.4</x:v>
      </x:c>
      <x:c r="K357" s="22" t="n">
        <x:v>301965.84</x:v>
      </x:c>
      <x:c r="L357" s="22" t="str">
        <x:v>可承受</x:v>
      </x:c>
    </x:row>
    <x:row r="358" ht="24" customHeight="1">
      <x:c r="A358" s="22" t="str">
        <x:v>C05-M050</x:v>
      </x:c>
      <x:c r="B358" s="22" t="str">
        <x:v>水宫涡纹螺</x:v>
      </x:c>
      <x:c r="C358" s="22" t="str">
        <x:v>XX377</x:v>
      </x:c>
      <x:c r="D358" s="22" t="str">
        <x:v>P0166</x:v>
      </x:c>
      <x:c r="E358" s="22" t="str">
        <x:v>普通</x:v>
      </x:c>
      <x:c r="F358" s="22" t="n">
        <x:v>3.687971730216225</x:v>
      </x:c>
      <x:c r="G358" s="22" t="n">
        <x:v>-23</x:v>
      </x:c>
      <x:c r="H358" s="22" t="n">
        <x:v>106389.90748353898</x:v>
      </x:c>
      <x:c r="I358" s="22" t="n">
        <x:v>791721.7397493412</x:v>
      </x:c>
      <x:c r="J358" s="22" t="n">
        <x:v>45752.4</x:v>
      </x:c>
      <x:c r="K358" s="22" t="n">
        <x:v>301965.84</x:v>
      </x:c>
      <x:c r="L358" s="22" t="str">
        <x:v>可承受</x:v>
      </x:c>
    </x:row>
    <x:row r="359" ht="24" customHeight="1">
      <x:c r="A359" s="22" t="str">
        <x:v>C05-M051</x:v>
      </x:c>
      <x:c r="B359" s="22" t="str">
        <x:v>月华执扇女使</x:v>
      </x:c>
      <x:c r="C359" s="22" t="str">
        <x:v>XX378</x:v>
      </x:c>
      <x:c r="D359" s="22" t="str">
        <x:v>P0166</x:v>
      </x:c>
      <x:c r="E359" s="22" t="str">
        <x:v>普通</x:v>
      </x:c>
      <x:c r="F359" s="22" t="n">
        <x:v>2.9855009244607538</x:v>
      </x:c>
      <x:c r="G359" s="22" t="n">
        <x:v>-23</x:v>
      </x:c>
      <x:c r="H359" s="22" t="n">
        <x:v>106389.90748353898</x:v>
      </x:c>
      <x:c r="I359" s="22" t="n">
        <x:v>791721.7397493412</x:v>
      </x:c>
      <x:c r="J359" s="22" t="n">
        <x:v>45752.4</x:v>
      </x:c>
      <x:c r="K359" s="22" t="n">
        <x:v>301965.84</x:v>
      </x:c>
      <x:c r="L359" s="22" t="str">
        <x:v>可承受</x:v>
      </x:c>
    </x:row>
    <x:row r="360" ht="24" customHeight="1">
      <x:c r="A360" s="22" t="str">
        <x:v>C05-M052</x:v>
      </x:c>
      <x:c r="B360" s="22" t="str">
        <x:v>内殿浮光鲛兵</x:v>
      </x:c>
      <x:c r="C360" s="22" t="str">
        <x:v>XX378</x:v>
      </x:c>
      <x:c r="D360" s="22" t="str">
        <x:v>P0166</x:v>
      </x:c>
      <x:c r="E360" s="22" t="str">
        <x:v>普通</x:v>
      </x:c>
      <x:c r="F360" s="22" t="n">
        <x:v>3.512354028777357</x:v>
      </x:c>
      <x:c r="G360" s="22" t="n">
        <x:v>-23</x:v>
      </x:c>
      <x:c r="H360" s="22" t="n">
        <x:v>106389.90748353898</x:v>
      </x:c>
      <x:c r="I360" s="22" t="n">
        <x:v>791721.7397493412</x:v>
      </x:c>
      <x:c r="J360" s="22" t="n">
        <x:v>45752.4</x:v>
      </x:c>
      <x:c r="K360" s="22" t="n">
        <x:v>301965.84</x:v>
      </x:c>
      <x:c r="L360" s="22" t="str">
        <x:v>可承受</x:v>
      </x:c>
    </x:row>
    <x:row r="361" ht="24" customHeight="1">
      <x:c r="A361" s="22" t="str">
        <x:v>C05-M053</x:v>
      </x:c>
      <x:c r="B361" s="22" t="str">
        <x:v>圣殿澄潮祭从</x:v>
      </x:c>
      <x:c r="C361" s="22" t="str">
        <x:v>XX379</x:v>
      </x:c>
      <x:c r="D361" s="22" t="str">
        <x:v>P0166</x:v>
      </x:c>
      <x:c r="E361" s="22" t="str">
        <x:v>普通</x:v>
      </x:c>
      <x:c r="F361" s="22" t="n">
        <x:v>3.1611186258996216</x:v>
      </x:c>
      <x:c r="G361" s="22" t="n">
        <x:v>-23</x:v>
      </x:c>
      <x:c r="H361" s="22" t="n">
        <x:v>106389.90748353898</x:v>
      </x:c>
      <x:c r="I361" s="22" t="n">
        <x:v>791721.7397493412</x:v>
      </x:c>
      <x:c r="J361" s="22" t="n">
        <x:v>45752.4</x:v>
      </x:c>
      <x:c r="K361" s="22" t="n">
        <x:v>301965.84</x:v>
      </x:c>
      <x:c r="L361" s="22" t="str">
        <x:v>可承受</x:v>
      </x:c>
    </x:row>
    <x:row r="362" ht="24" customHeight="1">
      <x:c r="A362" s="22" t="str">
        <x:v>C05-M054</x:v>
      </x:c>
      <x:c r="B362" s="22" t="str">
        <x:v>月镜游鱼灵</x:v>
      </x:c>
      <x:c r="C362" s="22" t="str">
        <x:v>XX379</x:v>
      </x:c>
      <x:c r="D362" s="22" t="str">
        <x:v>P0166</x:v>
      </x:c>
      <x:c r="E362" s="22" t="str">
        <x:v>普通</x:v>
      </x:c>
      <x:c r="F362" s="22" t="n">
        <x:v>2.8098832230218855</x:v>
      </x:c>
      <x:c r="G362" s="22" t="n">
        <x:v>-23</x:v>
      </x:c>
      <x:c r="H362" s="22" t="n">
        <x:v>106389.90748353898</x:v>
      </x:c>
      <x:c r="I362" s="22" t="n">
        <x:v>791721.7397493412</x:v>
      </x:c>
      <x:c r="J362" s="22" t="n">
        <x:v>45752.4</x:v>
      </x:c>
      <x:c r="K362" s="22" t="n">
        <x:v>301965.84</x:v>
      </x:c>
      <x:c r="L362" s="22" t="str">
        <x:v>可承受</x:v>
      </x:c>
    </x:row>
    <x:row r="363" ht="24" customHeight="1">
      <x:c r="A363" s="22" t="str">
        <x:v>C05-M055</x:v>
      </x:c>
      <x:c r="B363" s="22" t="str">
        <x:v>影潮伏宫兽</x:v>
      </x:c>
      <x:c r="C363" s="22" t="str">
        <x:v>XX377</x:v>
      </x:c>
      <x:c r="D363" s="22" t="str">
        <x:v>P0166</x:v>
      </x:c>
      <x:c r="E363" s="22" t="str">
        <x:v>稀有</x:v>
      </x:c>
      <x:c r="F363" s="22" t="n">
        <x:v>8.631795624382722</x:v>
      </x:c>
      <x:c r="G363" s="22" t="n">
        <x:v>-23</x:v>
      </x:c>
      <x:c r="H363" s="22" t="n">
        <x:v>189713.92765925426</x:v>
      </x:c>
      <x:c r="I363" s="22" t="n">
        <x:v>791721.7397493412</x:v>
      </x:c>
      <x:c r="J363" s="22" t="n">
        <x:v>89552.4</x:v>
      </x:c>
      <x:c r="K363" s="22" t="n">
        <x:v>591045.84</x:v>
      </x:c>
      <x:c r="L363" s="22" t="str">
        <x:v>可承受</x:v>
      </x:c>
    </x:row>
    <x:row r="364" ht="24" customHeight="1">
      <x:c r="A364" s="22" t="str">
        <x:v>C05-M056</x:v>
      </x:c>
      <x:c r="B364" s="22" t="str">
        <x:v>月华凝霜乐师</x:v>
      </x:c>
      <x:c r="C364" s="22" t="str">
        <x:v>XX378</x:v>
      </x:c>
      <x:c r="D364" s="22" t="str">
        <x:v>P0166</x:v>
      </x:c>
      <x:c r="E364" s="22" t="str">
        <x:v>稀有</x:v>
      </x:c>
      <x:c r="F364" s="22" t="n">
        <x:v>8.631795624382722</x:v>
      </x:c>
      <x:c r="G364" s="22" t="n">
        <x:v>-23</x:v>
      </x:c>
      <x:c r="H364" s="22" t="n">
        <x:v>189713.92765925426</x:v>
      </x:c>
      <x:c r="I364" s="22" t="n">
        <x:v>791721.7397493412</x:v>
      </x:c>
      <x:c r="J364" s="22" t="n">
        <x:v>89552.4</x:v>
      </x:c>
      <x:c r="K364" s="22" t="n">
        <x:v>591045.84</x:v>
      </x:c>
      <x:c r="L364" s="22" t="str">
        <x:v>可承受</x:v>
      </x:c>
    </x:row>
    <x:row r="365" ht="24" customHeight="1">
      <x:c r="A365" s="22" t="str">
        <x:v>C05-M057</x:v>
      </x:c>
      <x:c r="B365" s="22" t="str">
        <x:v>圣殿悬月卫</x:v>
      </x:c>
      <x:c r="C365" s="22" t="str">
        <x:v>XX379</x:v>
      </x:c>
      <x:c r="D365" s="22" t="str">
        <x:v>P0166</x:v>
      </x:c>
      <x:c r="E365" s="22" t="str">
        <x:v>稀有</x:v>
      </x:c>
      <x:c r="F365" s="22" t="n">
        <x:v>11.071216126925666</x:v>
      </x:c>
      <x:c r="G365" s="22" t="n">
        <x:v>-23</x:v>
      </x:c>
      <x:c r="H365" s="22" t="n">
        <x:v>189713.92765925426</x:v>
      </x:c>
      <x:c r="I365" s="22" t="n">
        <x:v>791721.7397493412</x:v>
      </x:c>
      <x:c r="J365" s="22" t="n">
        <x:v>89552.4</x:v>
      </x:c>
      <x:c r="K365" s="22" t="n">
        <x:v>591045.84</x:v>
      </x:c>
      <x:c r="L365" s="22" t="str">
        <x:v>可承受</x:v>
      </x:c>
    </x:row>
    <x:row r="366" ht="24" customHeight="1">
      <x:c r="A366" s="22" t="str">
        <x:v>C05-M058</x:v>
      </x:c>
      <x:c r="B366" s="22" t="str">
        <x:v>琉潮白鳍巫</x:v>
      </x:c>
      <x:c r="C366" s="22" t="str">
        <x:v>XX377</x:v>
      </x:c>
      <x:c r="D366" s="22" t="str">
        <x:v>P0166</x:v>
      </x:c>
      <x:c r="E366" s="22" t="str">
        <x:v>稀有</x:v>
      </x:c>
      <x:c r="F366" s="22" t="n">
        <x:v>11.071216126925666</x:v>
      </x:c>
      <x:c r="G366" s="22" t="n">
        <x:v>-23</x:v>
      </x:c>
      <x:c r="H366" s="22" t="n">
        <x:v>189713.92765925426</x:v>
      </x:c>
      <x:c r="I366" s="22" t="n">
        <x:v>791721.7397493412</x:v>
      </x:c>
      <x:c r="J366" s="22" t="n">
        <x:v>89552.4</x:v>
      </x:c>
      <x:c r="K366" s="22" t="n">
        <x:v>591045.84</x:v>
      </x:c>
      <x:c r="L366" s="22" t="str">
        <x:v>可承受</x:v>
      </x:c>
    </x:row>
    <x:row r="367" ht="24" customHeight="1">
      <x:c r="A367" s="22" t="str">
        <x:v>C05-M059</x:v>
      </x:c>
      <x:c r="B367" s="22" t="str">
        <x:v>月华内殿掌灯君</x:v>
      </x:c>
      <x:c r="C367" s="22" t="str">
        <x:v>XX378</x:v>
      </x:c>
      <x:c r="D367" s="22" t="str">
        <x:v>P0173</x:v>
      </x:c>
      <x:c r="E367" s="22" t="str">
        <x:v>地图BOSS</x:v>
      </x:c>
      <x:c r="F367" s="22" t="n">
        <x:v>70.80530775431762</x:v>
      </x:c>
      <x:c r="G367" s="22" t="n">
        <x:v>-23</x:v>
      </x:c>
      <x:c r="H367" s="22" t="n">
        <x:v>275294.5760869333</x:v>
      </x:c>
      <x:c r="I367" s="22" t="n">
        <x:v>923542.4862739085</x:v>
      </x:c>
      <x:c r="J367" s="22" t="n">
        <x:v>143552.4</x:v>
      </x:c>
      <x:c r="K367" s="22" t="n">
        <x:v>947445.8400000001</x:v>
      </x:c>
      <x:c r="L367" s="22" t="str">
        <x:v>可承受</x:v>
      </x:c>
    </x:row>
    <x:row r="368" ht="24" customHeight="1">
      <x:c r="A368" s="22" t="str">
        <x:v>C05-M060</x:v>
      </x:c>
      <x:c r="B368" s="22" t="str">
        <x:v>影宫深潮王女</x:v>
      </x:c>
      <x:c r="C368" s="22" t="str">
        <x:v>XX379</x:v>
      </x:c>
      <x:c r="D368" s="22" t="str">
        <x:v>P0174</x:v>
      </x:c>
      <x:c r="E368" s="22" t="str">
        <x:v>地图BOSS</x:v>
      </x:c>
      <x:c r="F368" s="22" t="n">
        <x:v>67.07871260935354</x:v>
      </x:c>
      <x:c r="G368" s="22" t="n">
        <x:v>-23</x:v>
      </x:c>
      <x:c r="H368" s="22" t="n">
        <x:v>275294.5760869333</x:v>
      </x:c>
      <x:c r="I368" s="22" t="n">
        <x:v>923542.4862739085</x:v>
      </x:c>
      <x:c r="J368" s="22" t="n">
        <x:v>143552.4</x:v>
      </x:c>
      <x:c r="K368" s="22" t="n">
        <x:v>947445.8400000001</x:v>
      </x:c>
      <x:c r="L368" s="22" t="str">
        <x:v>可承受</x:v>
      </x:c>
    </x:row>
    <x:row r="369" ht="24" customHeight="1">
      <x:c r="A369" s="22" t="str">
        <x:v>C05-M061</x:v>
      </x:c>
      <x:c r="B369" s="22" t="str">
        <x:v>禁域蓝焰猎犬</x:v>
      </x:c>
      <x:c r="C369" s="22" t="str">
        <x:v>XX927</x:v>
      </x:c>
      <x:c r="D369" s="22" t="str">
        <x:v>P0172</x:v>
      </x:c>
      <x:c r="E369" s="22" t="str">
        <x:v>普通</x:v>
      </x:c>
      <x:c r="F369" s="22" t="n">
        <x:v>3.350333212562344</x:v>
      </x:c>
      <x:c r="G369" s="22" t="n">
        <x:v>-33</x:v>
      </x:c>
      <x:c r="H369" s="22" t="n">
        <x:v>109042.2255594445</x:v>
      </x:c>
      <x:c r="I369" s="22" t="n">
        <x:v>850591.9880548359</x:v>
      </x:c>
      <x:c r="J369" s="22" t="n">
        <x:v>27152.399999999998</x:v>
      </x:c>
      <x:c r="K369" s="22" t="n">
        <x:v>233510.64</x:v>
      </x:c>
      <x:c r="L369" s="22" t="str">
        <x:v>可承受</x:v>
      </x:c>
    </x:row>
    <x:row r="370" ht="24" customHeight="1">
      <x:c r="A370" s="22" t="str">
        <x:v>C05-M062</x:v>
      </x:c>
      <x:c r="B370" s="22" t="str">
        <x:v>卡利亚断誓侍</x:v>
      </x:c>
      <x:c r="C370" s="22" t="str">
        <x:v>XX927</x:v>
      </x:c>
      <x:c r="D370" s="22" t="str">
        <x:v>P0172</x:v>
      </x:c>
      <x:c r="E370" s="22" t="str">
        <x:v>普通</x:v>
      </x:c>
      <x:c r="F370" s="22" t="n">
        <x:v>4.055666520470206</x:v>
      </x:c>
      <x:c r="G370" s="22" t="n">
        <x:v>-33</x:v>
      </x:c>
      <x:c r="H370" s="22" t="n">
        <x:v>109042.2255594445</x:v>
      </x:c>
      <x:c r="I370" s="22" t="n">
        <x:v>850591.9880548359</x:v>
      </x:c>
      <x:c r="J370" s="22" t="n">
        <x:v>27152.399999999998</x:v>
      </x:c>
      <x:c r="K370" s="22" t="n">
        <x:v>233510.64</x:v>
      </x:c>
      <x:c r="L370" s="22" t="str">
        <x:v>可承受</x:v>
      </x:c>
    </x:row>
    <x:row r="371" ht="24" customHeight="1">
      <x:c r="A371" s="22" t="str">
        <x:v>C05-M063</x:v>
      </x:c>
      <x:c r="B371" s="22" t="str">
        <x:v>回廊折月傀</x:v>
      </x:c>
      <x:c r="C371" s="22" t="str">
        <x:v>XX925</x:v>
      </x:c>
      <x:c r="D371" s="22" t="str">
        <x:v>P0172</x:v>
      </x:c>
      <x:c r="E371" s="22" t="str">
        <x:v>普通</x:v>
      </x:c>
      <x:c r="F371" s="22" t="n">
        <x:v>3.173999885585379</x:v>
      </x:c>
      <x:c r="G371" s="22" t="n">
        <x:v>-33</x:v>
      </x:c>
      <x:c r="H371" s="22" t="n">
        <x:v>109042.2255594445</x:v>
      </x:c>
      <x:c r="I371" s="22" t="n">
        <x:v>850591.9880548359</x:v>
      </x:c>
      <x:c r="J371" s="22" t="n">
        <x:v>27152.399999999998</x:v>
      </x:c>
      <x:c r="K371" s="22" t="n">
        <x:v>233510.64</x:v>
      </x:c>
      <x:c r="L371" s="22" t="str">
        <x:v>可承受</x:v>
      </x:c>
    </x:row>
    <x:row r="372" ht="24" customHeight="1">
      <x:c r="A372" s="22" t="str">
        <x:v>C05-M064</x:v>
      </x:c>
      <x:c r="B372" s="22" t="str">
        <x:v>封印庭银纹卒</x:v>
      </x:c>
      <x:c r="C372" s="22" t="str">
        <x:v>XX926</x:v>
      </x:c>
      <x:c r="D372" s="22" t="str">
        <x:v>P0172</x:v>
      </x:c>
      <x:c r="E372" s="22" t="str">
        <x:v>普通</x:v>
      </x:c>
      <x:c r="F372" s="22" t="n">
        <x:v>3.5266665395393098</x:v>
      </x:c>
      <x:c r="G372" s="22" t="n">
        <x:v>-33</x:v>
      </x:c>
      <x:c r="H372" s="22" t="n">
        <x:v>109042.2255594445</x:v>
      </x:c>
      <x:c r="I372" s="22" t="n">
        <x:v>850591.9880548359</x:v>
      </x:c>
      <x:c r="J372" s="22" t="n">
        <x:v>27152.399999999998</x:v>
      </x:c>
      <x:c r="K372" s="22" t="n">
        <x:v>233510.64</x:v>
      </x:c>
      <x:c r="L372" s="22" t="str">
        <x:v>可承受</x:v>
      </x:c>
    </x:row>
    <x:row r="373" ht="24" customHeight="1">
      <x:c r="A373" s="22" t="str">
        <x:v>C05-M065</x:v>
      </x:c>
      <x:c r="B373" s="22" t="str">
        <x:v>月蚀殿噬辉蛾</x:v>
      </x:c>
      <x:c r="C373" s="22" t="str">
        <x:v>XX923</x:v>
      </x:c>
      <x:c r="D373" s="22" t="str">
        <x:v>P0172</x:v>
      </x:c>
      <x:c r="E373" s="22" t="str">
        <x:v>普通</x:v>
      </x:c>
      <x:c r="F373" s="22" t="n">
        <x:v>3.5266665395393098</x:v>
      </x:c>
      <x:c r="G373" s="22" t="n">
        <x:v>-33</x:v>
      </x:c>
      <x:c r="H373" s="22" t="n">
        <x:v>109042.2255594445</x:v>
      </x:c>
      <x:c r="I373" s="22" t="n">
        <x:v>850591.9880548359</x:v>
      </x:c>
      <x:c r="J373" s="22" t="n">
        <x:v>27152.399999999998</x:v>
      </x:c>
      <x:c r="K373" s="22" t="n">
        <x:v>233510.64</x:v>
      </x:c>
      <x:c r="L373" s="22" t="str">
        <x:v>可承受</x:v>
      </x:c>
    </x:row>
    <x:row r="374" ht="24" customHeight="1">
      <x:c r="A374" s="22" t="str">
        <x:v>C05-M066</x:v>
      </x:c>
      <x:c r="B374" s="22" t="str">
        <x:v>圣所守星残灵</x:v>
      </x:c>
      <x:c r="C374" s="22" t="str">
        <x:v>XX924</x:v>
      </x:c>
      <x:c r="D374" s="22" t="str">
        <x:v>P0172</x:v>
      </x:c>
      <x:c r="E374" s="22" t="str">
        <x:v>普通</x:v>
      </x:c>
      <x:c r="F374" s="22" t="n">
        <x:v>6.911435095568586</x:v>
      </x:c>
      <x:c r="G374" s="22" t="n">
        <x:v>-98</x:v>
      </x:c>
      <x:c r="H374" s="22" t="n">
        <x:v>107357.4</x:v>
      </x:c>
      <x:c r="I374" s="22" t="n">
        <x:v>850591.9880548359</x:v>
      </x:c>
      <x:c r="J374" s="22" t="n">
        <x:v>9152.4</x:v>
      </x:c>
      <x:c r="K374" s="22" t="n">
        <x:v>197691.84</x:v>
      </x:c>
      <x:c r="L374" s="22" t="str">
        <x:v>可承受</x:v>
      </x:c>
    </x:row>
    <x:row r="375" ht="24" customHeight="1">
      <x:c r="A375" s="22" t="str">
        <x:v>C05-M067</x:v>
      </x:c>
      <x:c r="B375" s="22" t="str">
        <x:v>王室镜刃使</x:v>
      </x:c>
      <x:c r="C375" s="22" t="str">
        <x:v>XX927</x:v>
      </x:c>
      <x:c r="D375" s="22" t="str">
        <x:v>P0172</x:v>
      </x:c>
      <x:c r="E375" s="22" t="str">
        <x:v>稀有</x:v>
      </x:c>
      <x:c r="F375" s="22" t="n">
        <x:v>11.52351562871192</x:v>
      </x:c>
      <x:c r="G375" s="22" t="n">
        <x:v>-33</x:v>
      </x:c>
      <x:c r="H375" s="22" t="n">
        <x:v>194386.01987958312</x:v>
      </x:c>
      <x:c r="I375" s="22" t="n">
        <x:v>850591.9880548359</x:v>
      </x:c>
      <x:c r="J375" s="22" t="n">
        <x:v>52352.4</x:v>
      </x:c>
      <x:c r="K375" s="22" t="n">
        <x:v>450230.6400000001</x:v>
      </x:c>
      <x:c r="L375" s="22" t="str">
        <x:v>可承受</x:v>
      </x:c>
    </x:row>
    <x:row r="376" ht="24" customHeight="1">
      <x:c r="A376" s="22" t="str">
        <x:v>C05-M068</x:v>
      </x:c>
      <x:c r="B376" s="22" t="str">
        <x:v>禁域缄门法官</x:v>
      </x:c>
      <x:c r="C376" s="22" t="str">
        <x:v>XX925</x:v>
      </x:c>
      <x:c r="D376" s="22" t="str">
        <x:v>P0172</x:v>
      </x:c>
      <x:c r="E376" s="22" t="str">
        <x:v>稀有</x:v>
      </x:c>
      <x:c r="F376" s="22" t="n">
        <x:v>9.823324798246226</x:v>
      </x:c>
      <x:c r="G376" s="22" t="n">
        <x:v>-33</x:v>
      </x:c>
      <x:c r="H376" s="22" t="n">
        <x:v>194386.01987958312</x:v>
      </x:c>
      <x:c r="I376" s="22" t="n">
        <x:v>850591.9880548359</x:v>
      </x:c>
      <x:c r="J376" s="22" t="n">
        <x:v>52352.4</x:v>
      </x:c>
      <x:c r="K376" s="22" t="n">
        <x:v>450230.6400000001</x:v>
      </x:c>
      <x:c r="L376" s="22" t="str">
        <x:v>可承受</x:v>
      </x:c>
    </x:row>
    <x:row r="377" ht="24" customHeight="1">
      <x:c r="A377" s="22" t="str">
        <x:v>C05-M069</x:v>
      </x:c>
      <x:c r="B377" s="22" t="str">
        <x:v>封庭月契巫</x:v>
      </x:c>
      <x:c r="C377" s="22" t="str">
        <x:v>XX926</x:v>
      </x:c>
      <x:c r="D377" s="22" t="str">
        <x:v>P0172</x:v>
      </x:c>
      <x:c r="E377" s="22" t="str">
        <x:v>稀有</x:v>
      </x:c>
      <x:c r="F377" s="22" t="n">
        <x:v>9.445504613698295</x:v>
      </x:c>
      <x:c r="G377" s="22" t="n">
        <x:v>-33</x:v>
      </x:c>
      <x:c r="H377" s="22" t="n">
        <x:v>194386.01987958312</x:v>
      </x:c>
      <x:c r="I377" s="22" t="n">
        <x:v>850591.9880548359</x:v>
      </x:c>
      <x:c r="J377" s="22" t="n">
        <x:v>52352.4</x:v>
      </x:c>
      <x:c r="K377" s="22" t="n">
        <x:v>450230.6400000001</x:v>
      </x:c>
      <x:c r="L377" s="22" t="str">
        <x:v>可承受</x:v>
      </x:c>
    </x:row>
    <x:row r="378" ht="24" customHeight="1">
      <x:c r="A378" s="22" t="str">
        <x:v>C05-M070</x:v>
      </x:c>
      <x:c r="B378" s="22" t="str">
        <x:v>密殿蚀冠兽</x:v>
      </x:c>
      <x:c r="C378" s="22" t="str">
        <x:v>XX923</x:v>
      </x:c>
      <x:c r="D378" s="22" t="str">
        <x:v>P0172</x:v>
      </x:c>
      <x:c r="E378" s="22" t="str">
        <x:v>稀有</x:v>
      </x:c>
      <x:c r="F378" s="22" t="n">
        <x:v>11.52351562871192</x:v>
      </x:c>
      <x:c r="G378" s="22" t="n">
        <x:v>-33</x:v>
      </x:c>
      <x:c r="H378" s="22" t="n">
        <x:v>194386.01987958312</x:v>
      </x:c>
      <x:c r="I378" s="22" t="n">
        <x:v>850591.9880548359</x:v>
      </x:c>
      <x:c r="J378" s="22" t="n">
        <x:v>52352.4</x:v>
      </x:c>
      <x:c r="K378" s="22" t="n">
        <x:v>450230.6400000001</x:v>
      </x:c>
      <x:c r="L378" s="22" t="str">
        <x:v>可承受</x:v>
      </x:c>
    </x:row>
    <x:row r="379" ht="24" customHeight="1">
      <x:c r="A379" s="22" t="str">
        <x:v>C05-M071</x:v>
      </x:c>
      <x:c r="B379" s="22" t="str">
        <x:v>月蚀密殿司冕</x:v>
      </x:c>
      <x:c r="C379" s="22" t="str">
        <x:v>XX923</x:v>
      </x:c>
      <x:c r="D379" s="22" t="str">
        <x:v>P0179</x:v>
      </x:c>
      <x:c r="E379" s="22" t="str">
        <x:v>地图BOSS</x:v>
      </x:c>
      <x:c r="F379" s="22" t="n">
        <x:v>75.40678918434376</x:v>
      </x:c>
      <x:c r="G379" s="22" t="n">
        <x:v>-33</x:v>
      </x:c>
      <x:c r="H379" s="22" t="n">
        <x:v>283632.4466012035</x:v>
      </x:c>
      <x:c r="I379" s="22" t="n">
        <x:v>957372.0566482755</x:v>
      </x:c>
      <x:c r="J379" s="22" t="n">
        <x:v>83552.4</x:v>
      </x:c>
      <x:c r="K379" s="22" t="n">
        <x:v>718550.64</x:v>
      </x:c>
      <x:c r="L379" s="22" t="str">
        <x:v>可承受</x:v>
      </x:c>
    </x:row>
    <x:row r="380" ht="24" customHeight="1">
      <x:c r="A380" s="22" t="str">
        <x:v>C05-M072</x:v>
      </x:c>
      <x:c r="B380" s="22" t="str">
        <x:v>卡利亚圣所摄政灵</x:v>
      </x:c>
      <x:c r="C380" s="22" t="str">
        <x:v>XX924</x:v>
      </x:c>
      <x:c r="D380" s="22" t="str">
        <x:v>P0180</x:v>
      </x:c>
      <x:c r="E380" s="22" t="str">
        <x:v>地图BOSS</x:v>
      </x:c>
      <x:c r="F380" s="22" t="n">
        <x:v>86.00925117766376</x:v>
      </x:c>
      <x:c r="G380" s="22" t="n">
        <x:v>-98</x:v>
      </x:c>
      <x:c r="H380" s="22" t="n">
        <x:v>282628.8</x:v>
      </x:c>
      <x:c r="I380" s="22" t="n">
        <x:v>957372.0566482755</x:v>
      </x:c>
      <x:c r="J380" s="22" t="n">
        <x:v>27152.399999999998</x:v>
      </x:c>
      <x:c r="K380" s="22" t="n">
        <x:v>586491.84</x:v>
      </x:c>
      <x:c r="L380" s="22" t="str">
        <x:v>可承受</x:v>
      </x:c>
    </x:row>
    <x:row r="381" ht="24" customHeight="1">
      <x:c r="A381" s="22" t="str">
        <x:v>C05-M073</x:v>
      </x:c>
      <x:c r="B381" s="22" t="str">
        <x:v>寒镜终誓王</x:v>
      </x:c>
      <x:c r="C381" s="22" t="str">
        <x:v>XX924</x:v>
      </x:c>
      <x:c r="D381" s="22" t="str">
        <x:v>P0184</x:v>
      </x:c>
      <x:c r="E381" s="22" t="str">
        <x:v>守关BOSS</x:v>
      </x:c>
      <x:c r="F381" s="22" t="n">
        <x:v>238.67152309040554</x:v>
      </x:c>
      <x:c r="G381" s="22" t="n">
        <x:v>7</x:v>
      </x:c>
      <x:c r="H381" s="22" t="n">
        <x:v>389773.05</x:v>
      </x:c>
      <x:c r="I381" s="22" t="n">
        <x:v>3249784.5060681254</x:v>
      </x:c>
      <x:c r="J381" s="22" t="n">
        <x:v>899546.1</x:v>
      </x:c>
      <x:c r="K381" s="22" t="n">
        <x:v>899546.1</x:v>
      </x:c>
      <x:c r="L381" s="22" t="str">
        <x:v>可承受</x:v>
      </x:c>
    </x:row>
    <x:row r="382" ht="24" customHeight="1">
      <x:c r="A382" s="22" t="str">
        <x:v>C06-M001</x:v>
      </x:c>
      <x:c r="B382" s="22" t="str">
        <x:v>熔原灰背兽</x:v>
      </x:c>
      <x:c r="C382" s="22" t="str">
        <x:v>XX304</x:v>
      </x:c>
      <x:c r="D382" s="22" t="str">
        <x:v>P0189</x:v>
      </x:c>
      <x:c r="E382" s="22" t="str">
        <x:v>普通</x:v>
      </x:c>
      <x:c r="F382" s="22" t="n">
        <x:v>3.269782702375959</x:v>
      </x:c>
      <x:c r="G382" s="22" t="n">
        <x:v>7</x:v>
      </x:c>
      <x:c r="H382" s="22" t="n">
        <x:v>123466.3125</x:v>
      </x:c>
      <x:c r="I382" s="22" t="n">
        <x:v>3916853.2316568145</x:v>
      </x:c>
      <x:c r="J382" s="22" t="n">
        <x:v>227546.1</x:v>
      </x:c>
      <x:c r="K382" s="22" t="n">
        <x:v>227546.1</x:v>
      </x:c>
      <x:c r="L382" s="22" t="str">
        <x:v>可承受</x:v>
      </x:c>
    </x:row>
    <x:row r="383" ht="24" customHeight="1">
      <x:c r="A383" s="22" t="str">
        <x:v>C06-M002</x:v>
      </x:c>
      <x:c r="B383" s="22" t="str">
        <x:v>焦土拾骸兵</x:v>
      </x:c>
      <x:c r="C383" s="22" t="str">
        <x:v>XX305</x:v>
      </x:c>
      <x:c r="D383" s="22" t="str">
        <x:v>P0189</x:v>
      </x:c>
      <x:c r="E383" s="22" t="str">
        <x:v>普通</x:v>
      </x:c>
      <x:c r="F383" s="22" t="n">
        <x:v>3.0953942915825743</x:v>
      </x:c>
      <x:c r="G383" s="22" t="n">
        <x:v>7</x:v>
      </x:c>
      <x:c r="H383" s="22" t="n">
        <x:v>123466.3125</x:v>
      </x:c>
      <x:c r="I383" s="22" t="n">
        <x:v>3916853.2316568145</x:v>
      </x:c>
      <x:c r="J383" s="22" t="n">
        <x:v>227546.1</x:v>
      </x:c>
      <x:c r="K383" s="22" t="n">
        <x:v>227546.1</x:v>
      </x:c>
      <x:c r="L383" s="22" t="str">
        <x:v>可承受</x:v>
      </x:c>
    </x:row>
    <x:row r="384" ht="24" customHeight="1">
      <x:c r="A384" s="22" t="str">
        <x:v>C06-M003</x:v>
      </x:c>
      <x:c r="B384" s="22" t="str">
        <x:v>岩河爬鳞者</x:v>
      </x:c>
      <x:c r="C384" s="22" t="str">
        <x:v>XX306</x:v>
      </x:c>
      <x:c r="D384" s="22" t="str">
        <x:v>P0189</x:v>
      </x:c>
      <x:c r="E384" s="22" t="str">
        <x:v>普通</x:v>
      </x:c>
      <x:c r="F384" s="22" t="n">
        <x:v>3.0953942915825743</x:v>
      </x:c>
      <x:c r="G384" s="22" t="n">
        <x:v>7</x:v>
      </x:c>
      <x:c r="H384" s="22" t="n">
        <x:v>123466.3125</x:v>
      </x:c>
      <x:c r="I384" s="22" t="n">
        <x:v>3916853.2316568145</x:v>
      </x:c>
      <x:c r="J384" s="22" t="n">
        <x:v>227546.1</x:v>
      </x:c>
      <x:c r="K384" s="22" t="n">
        <x:v>227546.1</x:v>
      </x:c>
      <x:c r="L384" s="22" t="str">
        <x:v>可承受</x:v>
      </x:c>
    </x:row>
    <x:row r="385" ht="24" customHeight="1">
      <x:c r="A385" s="22" t="str">
        <x:v>C06-M004</x:v>
      </x:c>
      <x:c r="B385" s="22" t="str">
        <x:v>祭场执炭徒</x:v>
      </x:c>
      <x:c r="C385" s="22" t="str">
        <x:v>XX307</x:v>
      </x:c>
      <x:c r="D385" s="22" t="str">
        <x:v>P0189</x:v>
      </x:c>
      <x:c r="E385" s="22" t="str">
        <x:v>普通</x:v>
      </x:c>
      <x:c r="F385" s="22" t="n">
        <x:v>2.833811675392498</x:v>
      </x:c>
      <x:c r="G385" s="22" t="n">
        <x:v>7</x:v>
      </x:c>
      <x:c r="H385" s="22" t="n">
        <x:v>123466.3125</x:v>
      </x:c>
      <x:c r="I385" s="22" t="n">
        <x:v>3916853.2316568145</x:v>
      </x:c>
      <x:c r="J385" s="22" t="n">
        <x:v>227546.1</x:v>
      </x:c>
      <x:c r="K385" s="22" t="n">
        <x:v>227546.1</x:v>
      </x:c>
      <x:c r="L385" s="22" t="str">
        <x:v>可承受</x:v>
      </x:c>
    </x:row>
    <x:row r="386" ht="24" customHeight="1">
      <x:c r="A386" s="22" t="str">
        <x:v>C06-M005</x:v>
      </x:c>
      <x:c r="B386" s="22" t="str">
        <x:v>熔心赤螯虫</x:v>
      </x:c>
      <x:c r="C386" s="22" t="str">
        <x:v>XX308</x:v>
      </x:c>
      <x:c r="D386" s="22" t="str">
        <x:v>P0189</x:v>
      </x:c>
      <x:c r="E386" s="22" t="str">
        <x:v>普通</x:v>
      </x:c>
      <x:c r="F386" s="22" t="n">
        <x:v>2.7030203672974595</x:v>
      </x:c>
      <x:c r="G386" s="22" t="n">
        <x:v>7</x:v>
      </x:c>
      <x:c r="H386" s="22" t="n">
        <x:v>123466.3125</x:v>
      </x:c>
      <x:c r="I386" s="22" t="n">
        <x:v>3916853.2316568145</x:v>
      </x:c>
      <x:c r="J386" s="22" t="n">
        <x:v>227546.1</x:v>
      </x:c>
      <x:c r="K386" s="22" t="n">
        <x:v>227546.1</x:v>
      </x:c>
      <x:c r="L386" s="22" t="str">
        <x:v>可承受</x:v>
      </x:c>
    </x:row>
    <x:row r="387" ht="24" customHeight="1">
      <x:c r="A387" s="22" t="str">
        <x:v>C06-M006</x:v>
      </x:c>
      <x:c r="B387" s="22" t="str">
        <x:v>血尘游猎手</x:v>
      </x:c>
      <x:c r="C387" s="22" t="str">
        <x:v>XX304</x:v>
      </x:c>
      <x:c r="D387" s="22" t="str">
        <x:v>P0189</x:v>
      </x:c>
      <x:c r="E387" s="22" t="str">
        <x:v>普通</x:v>
      </x:c>
      <x:c r="F387" s="22" t="n">
        <x:v>2.833811675392498</x:v>
      </x:c>
      <x:c r="G387" s="22" t="n">
        <x:v>7</x:v>
      </x:c>
      <x:c r="H387" s="22" t="n">
        <x:v>123466.3125</x:v>
      </x:c>
      <x:c r="I387" s="22" t="n">
        <x:v>3916853.2316568145</x:v>
      </x:c>
      <x:c r="J387" s="22" t="n">
        <x:v>227546.1</x:v>
      </x:c>
      <x:c r="K387" s="22" t="n">
        <x:v>227546.1</x:v>
      </x:c>
      <x:c r="L387" s="22" t="str">
        <x:v>可承受</x:v>
      </x:c>
    </x:row>
    <x:row r="388" ht="24" customHeight="1">
      <x:c r="A388" s="22" t="str">
        <x:v>C06-M007</x:v>
      </x:c>
      <x:c r="B388" s="22" t="str">
        <x:v>赤棘狂战士</x:v>
      </x:c>
      <x:c r="C388" s="22" t="str">
        <x:v>XX304</x:v>
      </x:c>
      <x:c r="D388" s="22" t="str">
        <x:v>P0189</x:v>
      </x:c>
      <x:c r="E388" s="22" t="str">
        <x:v>稀有</x:v>
      </x:c>
      <x:c r="F388" s="22" t="n">
        <x:v>7.937675389102844</x:v>
      </x:c>
      <x:c r="G388" s="22" t="n">
        <x:v>7</x:v>
      </x:c>
      <x:c r="H388" s="22" t="n">
        <x:v>218556.5294117647</x:v>
      </x:c>
      <x:c r="I388" s="22" t="n">
        <x:v>3916853.2316568145</x:v>
      </x:c>
      <x:c r="J388" s="22" t="n">
        <x:v>425546.1</x:v>
      </x:c>
      <x:c r="K388" s="22" t="n">
        <x:v>425546.1</x:v>
      </x:c>
      <x:c r="L388" s="22" t="str">
        <x:v>可承受</x:v>
      </x:c>
    </x:row>
    <x:row r="389" ht="24" customHeight="1">
      <x:c r="A389" s="22" t="str">
        <x:v>C06-M008</x:v>
      </x:c>
      <x:c r="B389" s="22" t="str">
        <x:v>焦脉咒炎师</x:v>
      </x:c>
      <x:c r="C389" s="22" t="str">
        <x:v>XX305</x:v>
      </x:c>
      <x:c r="D389" s="22" t="str">
        <x:v>P0189</x:v>
      </x:c>
      <x:c r="E389" s="22" t="str">
        <x:v>稀有</x:v>
      </x:c>
      <x:c r="F389" s="22" t="n">
        <x:v>9.33844163423864</x:v>
      </x:c>
      <x:c r="G389" s="22" t="n">
        <x:v>7</x:v>
      </x:c>
      <x:c r="H389" s="22" t="n">
        <x:v>218556.5294117647</x:v>
      </x:c>
      <x:c r="I389" s="22" t="n">
        <x:v>3916853.2316568145</x:v>
      </x:c>
      <x:c r="J389" s="22" t="n">
        <x:v>425546.1</x:v>
      </x:c>
      <x:c r="K389" s="22" t="n">
        <x:v>425546.1</x:v>
      </x:c>
      <x:c r="L389" s="22" t="str">
        <x:v>可承受</x:v>
      </x:c>
    </x:row>
    <x:row r="390" ht="24" customHeight="1">
      <x:c r="A390" s="22" t="str">
        <x:v>C06-M009</x:v>
      </x:c>
      <x:c r="B390" s="22" t="str">
        <x:v>岩浆负甲兽</x:v>
      </x:c>
      <x:c r="C390" s="22" t="str">
        <x:v>XX306</x:v>
      </x:c>
      <x:c r="D390" s="22" t="str">
        <x:v>P0189</x:v>
      </x:c>
      <x:c r="E390" s="22" t="str">
        <x:v>稀有</x:v>
      </x:c>
      <x:c r="F390" s="22" t="n">
        <x:v>9.805363715950572</x:v>
      </x:c>
      <x:c r="G390" s="22" t="n">
        <x:v>7</x:v>
      </x:c>
      <x:c r="H390" s="22" t="n">
        <x:v>218556.5294117647</x:v>
      </x:c>
      <x:c r="I390" s="22" t="n">
        <x:v>3916853.2316568145</x:v>
      </x:c>
      <x:c r="J390" s="22" t="n">
        <x:v>425546.1</x:v>
      </x:c>
      <x:c r="K390" s="22" t="n">
        <x:v>425546.1</x:v>
      </x:c>
      <x:c r="L390" s="22" t="str">
        <x:v>可承受</x:v>
      </x:c>
    </x:row>
    <x:row r="391" ht="24" customHeight="1">
      <x:c r="A391" s="22" t="str">
        <x:v>C06-M010</x:v>
      </x:c>
      <x:c r="B391" s="22" t="str">
        <x:v>灰烬裁决官</x:v>
      </x:c>
      <x:c r="C391" s="22" t="str">
        <x:v>XX307</x:v>
      </x:c>
      <x:c r="D391" s="22" t="str">
        <x:v>P0189</x:v>
      </x:c>
      <x:c r="E391" s="22" t="str">
        <x:v>稀有</x:v>
      </x:c>
      <x:c r="F391" s="22" t="n">
        <x:v>7.937675389102844</x:v>
      </x:c>
      <x:c r="G391" s="22" t="n">
        <x:v>7</x:v>
      </x:c>
      <x:c r="H391" s="22" t="n">
        <x:v>218556.5294117647</x:v>
      </x:c>
      <x:c r="I391" s="22" t="n">
        <x:v>3916853.2316568145</x:v>
      </x:c>
      <x:c r="J391" s="22" t="n">
        <x:v>425546.1</x:v>
      </x:c>
      <x:c r="K391" s="22" t="n">
        <x:v>425546.1</x:v>
      </x:c>
      <x:c r="L391" s="22" t="str">
        <x:v>可承受</x:v>
      </x:c>
    </x:row>
    <x:row r="392" ht="24" customHeight="1">
      <x:c r="A392" s="22" t="str">
        <x:v>C06-M011</x:v>
      </x:c>
      <x:c r="B392" s="22" t="str">
        <x:v>火蚀巨像·巴洛</x:v>
      </x:c>
      <x:c r="C392" s="22" t="str">
        <x:v>XX307</x:v>
      </x:c>
      <x:c r="D392" s="22" t="str">
        <x:v>P0191</x:v>
      </x:c>
      <x:c r="E392" s="22" t="str">
        <x:v>地图BOSS</x:v>
      </x:c>
      <x:c r="F392" s="22" t="n">
        <x:v>87.70784116592225</x:v>
      </x:c>
      <x:c r="G392" s="22" t="n">
        <x:v>7</x:v>
      </x:c>
      <x:c r="H392" s="22" t="n">
        <x:v>316414.5</x:v>
      </x:c>
      <x:c r="I392" s="22" t="n">
        <x:v>4033869.487898599</x:v>
      </x:c>
      <x:c r="J392" s="22" t="n">
        <x:v>659546.1</x:v>
      </x:c>
      <x:c r="K392" s="22" t="n">
        <x:v>659546.1</x:v>
      </x:c>
      <x:c r="L392" s="22" t="str">
        <x:v>可承受</x:v>
      </x:c>
    </x:row>
    <x:row r="393" ht="24" customHeight="1">
      <x:c r="A393" s="22" t="str">
        <x:v>C06-M012</x:v>
      </x:c>
      <x:c r="B393" s="22" t="str">
        <x:v>猩红熔母·瑟芮</x:v>
      </x:c>
      <x:c r="C393" s="22" t="str">
        <x:v>XX308</x:v>
      </x:c>
      <x:c r="D393" s="22" t="str">
        <x:v>P0192</x:v>
      </x:c>
      <x:c r="E393" s="22" t="str">
        <x:v>地图BOSS</x:v>
      </x:c>
      <x:c r="F393" s="22" t="n">
        <x:v>82.83518332337101</x:v>
      </x:c>
      <x:c r="G393" s="22" t="n">
        <x:v>7</x:v>
      </x:c>
      <x:c r="H393" s="22" t="n">
        <x:v>316414.5</x:v>
      </x:c>
      <x:c r="I393" s="22" t="n">
        <x:v>4033869.487898599</x:v>
      </x:c>
      <x:c r="J393" s="22" t="n">
        <x:v>659546.1</x:v>
      </x:c>
      <x:c r="K393" s="22" t="n">
        <x:v>659546.1</x:v>
      </x:c>
      <x:c r="L393" s="22" t="str">
        <x:v>可承受</x:v>
      </x:c>
    </x:row>
    <x:row r="394" ht="24" customHeight="1">
      <x:c r="A394" s="22" t="str">
        <x:v>C06-M013</x:v>
      </x:c>
      <x:c r="B394" s="22" t="str">
        <x:v>腐狱囚徒</x:v>
      </x:c>
      <x:c r="C394" s="22" t="str">
        <x:v>XX357</x:v>
      </x:c>
      <x:c r="D394" s="22" t="str">
        <x:v>P0190</x:v>
      </x:c>
      <x:c r="E394" s="22" t="str">
        <x:v>普通</x:v>
      </x:c>
      <x:c r="F394" s="22" t="n">
        <x:v>2.833811675392498</x:v>
      </x:c>
      <x:c r="G394" s="22" t="n">
        <x:v>-3</x:v>
      </x:c>
      <x:c r="H394" s="22" t="n">
        <x:v>123497.6955</x:v>
      </x:c>
      <x:c r="I394" s="22" t="n">
        <x:v>3916853.2316568145</x:v>
      </x:c>
      <x:c r="J394" s="22" t="n">
        <x:v>215546.1</x:v>
      </x:c>
      <x:c r="K394" s="22" t="n">
        <x:v>560419.86</x:v>
      </x:c>
      <x:c r="L394" s="22" t="str">
        <x:v>可承受</x:v>
      </x:c>
    </x:row>
    <x:row r="395" ht="24" customHeight="1">
      <x:c r="A395" s="22" t="str">
        <x:v>C06-M014</x:v>
      </x:c>
      <x:c r="B395" s="22" t="str">
        <x:v>灼腐行刑兵</x:v>
      </x:c>
      <x:c r="C395" s="22" t="str">
        <x:v>XX358</x:v>
      </x:c>
      <x:c r="D395" s="22" t="str">
        <x:v>P0190</x:v>
      </x:c>
      <x:c r="E395" s="22" t="str">
        <x:v>普通</x:v>
      </x:c>
      <x:c r="F395" s="22" t="n">
        <x:v>2.7030203672974595</x:v>
      </x:c>
      <x:c r="G395" s="22" t="n">
        <x:v>-3</x:v>
      </x:c>
      <x:c r="H395" s="22" t="n">
        <x:v>123497.6955</x:v>
      </x:c>
      <x:c r="I395" s="22" t="n">
        <x:v>3916853.2316568145</x:v>
      </x:c>
      <x:c r="J395" s="22" t="n">
        <x:v>215546.1</x:v>
      </x:c>
      <x:c r="K395" s="22" t="n">
        <x:v>560419.86</x:v>
      </x:c>
      <x:c r="L395" s="22" t="str">
        <x:v>可承受</x:v>
      </x:c>
    </x:row>
    <x:row r="396" ht="24" customHeight="1">
      <x:c r="A396" s="22" t="str">
        <x:v>C06-M015</x:v>
      </x:c>
      <x:c r="B396" s="22" t="str">
        <x:v>深渊熔壳虫</x:v>
      </x:c>
      <x:c r="C396" s="22" t="str">
        <x:v>XX359</x:v>
      </x:c>
      <x:c r="D396" s="22" t="str">
        <x:v>P0190</x:v>
      </x:c>
      <x:c r="E396" s="22" t="str">
        <x:v>普通</x:v>
      </x:c>
      <x:c r="F396" s="22" t="n">
        <x:v>3.269782702375959</x:v>
      </x:c>
      <x:c r="G396" s="22" t="n">
        <x:v>-3</x:v>
      </x:c>
      <x:c r="H396" s="22" t="n">
        <x:v>123497.6955</x:v>
      </x:c>
      <x:c r="I396" s="22" t="n">
        <x:v>3916853.2316568145</x:v>
      </x:c>
      <x:c r="J396" s="22" t="n">
        <x:v>215546.1</x:v>
      </x:c>
      <x:c r="K396" s="22" t="n">
        <x:v>560419.86</x:v>
      </x:c>
      <x:c r="L396" s="22" t="str">
        <x:v>可承受</x:v>
      </x:c>
    </x:row>
    <x:row r="397" ht="24" customHeight="1">
      <x:c r="A397" s="22" t="str">
        <x:v>C06-M016</x:v>
      </x:c>
      <x:c r="B397" s="22" t="str">
        <x:v>内域血菌兽</x:v>
      </x:c>
      <x:c r="C397" s="22" t="str">
        <x:v>XX360</x:v>
      </x:c>
      <x:c r="D397" s="22" t="str">
        <x:v>P0190</x:v>
      </x:c>
      <x:c r="E397" s="22" t="str">
        <x:v>普通</x:v>
      </x:c>
      <x:c r="F397" s="22" t="n">
        <x:v>2.833811675392498</x:v>
      </x:c>
      <x:c r="G397" s="22" t="n">
        <x:v>-3</x:v>
      </x:c>
      <x:c r="H397" s="22" t="n">
        <x:v>123497.6955</x:v>
      </x:c>
      <x:c r="I397" s="22" t="n">
        <x:v>3916853.2316568145</x:v>
      </x:c>
      <x:c r="J397" s="22" t="n">
        <x:v>215546.1</x:v>
      </x:c>
      <x:c r="K397" s="22" t="n">
        <x:v>560419.86</x:v>
      </x:c>
      <x:c r="L397" s="22" t="str">
        <x:v>可承受</x:v>
      </x:c>
    </x:row>
    <x:row r="398" ht="24" customHeight="1">
      <x:c r="A398" s="22" t="str">
        <x:v>C06-M017</x:v>
      </x:c>
      <x:c r="B398" s="22" t="str">
        <x:v>熔心烙印僧</x:v>
      </x:c>
      <x:c r="C398" s="22" t="str">
        <x:v>XX361</x:v>
      </x:c>
      <x:c r="D398" s="22" t="str">
        <x:v>P0190</x:v>
      </x:c>
      <x:c r="E398" s="22" t="str">
        <x:v>普通</x:v>
      </x:c>
      <x:c r="F398" s="22" t="n">
        <x:v>2.528631956504075</x:v>
      </x:c>
      <x:c r="G398" s="22" t="n">
        <x:v>-3</x:v>
      </x:c>
      <x:c r="H398" s="22" t="n">
        <x:v>123497.6955</x:v>
      </x:c>
      <x:c r="I398" s="22" t="n">
        <x:v>3916853.2316568145</x:v>
      </x:c>
      <x:c r="J398" s="22" t="n">
        <x:v>215546.1</x:v>
      </x:c>
      <x:c r="K398" s="22" t="n">
        <x:v>560419.86</x:v>
      </x:c>
      <x:c r="L398" s="22" t="str">
        <x:v>可承受</x:v>
      </x:c>
    </x:row>
    <x:row r="399" ht="24" customHeight="1">
      <x:c r="A399" s="22" t="str">
        <x:v>C06-M018</x:v>
      </x:c>
      <x:c r="B399" s="22" t="str">
        <x:v>火狱锁门卒</x:v>
      </x:c>
      <x:c r="C399" s="22" t="str">
        <x:v>XX357</x:v>
      </x:c>
      <x:c r="D399" s="22" t="str">
        <x:v>P0190</x:v>
      </x:c>
      <x:c r="E399" s="22" t="str">
        <x:v>普通</x:v>
      </x:c>
      <x:c r="F399" s="22" t="n">
        <x:v>3.269782702375959</x:v>
      </x:c>
      <x:c r="G399" s="22" t="n">
        <x:v>-3</x:v>
      </x:c>
      <x:c r="H399" s="22" t="n">
        <x:v>123497.6955</x:v>
      </x:c>
      <x:c r="I399" s="22" t="n">
        <x:v>3916853.2316568145</x:v>
      </x:c>
      <x:c r="J399" s="22" t="n">
        <x:v>215546.1</x:v>
      </x:c>
      <x:c r="K399" s="22" t="n">
        <x:v>560419.86</x:v>
      </x:c>
      <x:c r="L399" s="22" t="str">
        <x:v>可承受</x:v>
      </x:c>
    </x:row>
    <x:row r="400" ht="24" customHeight="1">
      <x:c r="A400" s="22" t="str">
        <x:v>C06-M019</x:v>
      </x:c>
      <x:c r="B400" s="22" t="str">
        <x:v>瘴焰缝尸匠</x:v>
      </x:c>
      <x:c r="C400" s="22" t="str">
        <x:v>XX357</x:v>
      </x:c>
      <x:c r="D400" s="22" t="str">
        <x:v>P0190</x:v>
      </x:c>
      <x:c r="E400" s="22" t="str">
        <x:v>稀有</x:v>
      </x:c>
      <x:c r="F400" s="22" t="n">
        <x:v>9.805363715950572</x:v>
      </x:c>
      <x:c r="G400" s="22" t="n">
        <x:v>-3</x:v>
      </x:c>
      <x:c r="H400" s="22" t="n">
        <x:v>217950.7722352941</x:v>
      </x:c>
      <x:c r="I400" s="22" t="n">
        <x:v>3916853.2316568145</x:v>
      </x:c>
      <x:c r="J400" s="22" t="n">
        <x:v>407546.1</x:v>
      </x:c>
      <x:c r="K400" s="22" t="n">
        <x:v>1059619.8599999999</x:v>
      </x:c>
      <x:c r="L400" s="22" t="str">
        <x:v>可承受</x:v>
      </x:c>
    </x:row>
    <x:row r="401" ht="24" customHeight="1">
      <x:c r="A401" s="22" t="str">
        <x:v>C06-M020</x:v>
      </x:c>
      <x:c r="B401" s="22" t="str">
        <x:v>灼骨狱卒长</x:v>
      </x:c>
      <x:c r="C401" s="22" t="str">
        <x:v>XX358</x:v>
      </x:c>
      <x:c r="D401" s="22" t="str">
        <x:v>P0190</x:v>
      </x:c>
      <x:c r="E401" s="22" t="str">
        <x:v>稀有</x:v>
      </x:c>
      <x:c r="F401" s="22" t="n">
        <x:v>7.470753307390912</x:v>
      </x:c>
      <x:c r="G401" s="22" t="n">
        <x:v>-3</x:v>
      </x:c>
      <x:c r="H401" s="22" t="n">
        <x:v>217950.7722352941</x:v>
      </x:c>
      <x:c r="I401" s="22" t="n">
        <x:v>3916853.2316568145</x:v>
      </x:c>
      <x:c r="J401" s="22" t="n">
        <x:v>407546.1</x:v>
      </x:c>
      <x:c r="K401" s="22" t="n">
        <x:v>1059619.8599999999</x:v>
      </x:c>
      <x:c r="L401" s="22" t="str">
        <x:v>可承受</x:v>
      </x:c>
    </x:row>
    <x:row r="402" ht="24" customHeight="1">
      <x:c r="A402" s="22" t="str">
        <x:v>C06-M021</x:v>
      </x:c>
      <x:c r="B402" s="22" t="str">
        <x:v>深渊熔喉兽</x:v>
      </x:c>
      <x:c r="C402" s="22" t="str">
        <x:v>XX359</x:v>
      </x:c>
      <x:c r="D402" s="22" t="str">
        <x:v>P0190</x:v>
      </x:c>
      <x:c r="E402" s="22" t="str">
        <x:v>稀有</x:v>
      </x:c>
      <x:c r="F402" s="22" t="n">
        <x:v>9.33844163423864</x:v>
      </x:c>
      <x:c r="G402" s="22" t="n">
        <x:v>-3</x:v>
      </x:c>
      <x:c r="H402" s="22" t="n">
        <x:v>217950.7722352941</x:v>
      </x:c>
      <x:c r="I402" s="22" t="n">
        <x:v>3916853.2316568145</x:v>
      </x:c>
      <x:c r="J402" s="22" t="n">
        <x:v>407546.1</x:v>
      </x:c>
      <x:c r="K402" s="22" t="n">
        <x:v>1059619.8599999999</x:v>
      </x:c>
      <x:c r="L402" s="22" t="str">
        <x:v>可承受</x:v>
      </x:c>
    </x:row>
    <x:row r="403" ht="24" customHeight="1">
      <x:c r="A403" s="22" t="str">
        <x:v>C06-M022</x:v>
      </x:c>
      <x:c r="B403" s="22" t="str">
        <x:v>赤腐祷刑官</x:v>
      </x:c>
      <x:c r="C403" s="22" t="str">
        <x:v>XX360</x:v>
      </x:c>
      <x:c r="D403" s="22" t="str">
        <x:v>P0190</x:v>
      </x:c>
      <x:c r="E403" s="22" t="str">
        <x:v>稀有</x:v>
      </x:c>
      <x:c r="F403" s="22" t="n">
        <x:v>9.805363715950572</x:v>
      </x:c>
      <x:c r="G403" s="22" t="n">
        <x:v>-3</x:v>
      </x:c>
      <x:c r="H403" s="22" t="n">
        <x:v>217950.7722352941</x:v>
      </x:c>
      <x:c r="I403" s="22" t="n">
        <x:v>3916853.2316568145</x:v>
      </x:c>
      <x:c r="J403" s="22" t="n">
        <x:v>407546.1</x:v>
      </x:c>
      <x:c r="K403" s="22" t="n">
        <x:v>1059619.8599999999</x:v>
      </x:c>
      <x:c r="L403" s="22" t="str">
        <x:v>可承受</x:v>
      </x:c>
    </x:row>
    <x:row r="404" ht="24" customHeight="1">
      <x:c r="A404" s="22" t="str">
        <x:v>C06-M023</x:v>
      </x:c>
      <x:c r="B404" s="22" t="str">
        <x:v>腐败火侯·伊弗</x:v>
      </x:c>
      <x:c r="C404" s="22" t="str">
        <x:v>XX360</x:v>
      </x:c>
      <x:c r="D404" s="22" t="str">
        <x:v>P0197</x:v>
      </x:c>
      <x:c r="E404" s="22" t="str">
        <x:v>地图BOSS</x:v>
      </x:c>
      <x:c r="F404" s="22" t="n">
        <x:v>87.29898266444818</x:v>
      </x:c>
      <x:c r="G404" s="22" t="n">
        <x:v>-3</x:v>
      </x:c>
      <x:c r="H404" s="22" t="n">
        <x:v>389240.824</x:v>
      </x:c>
      <x:c r="I404" s="22" t="n">
        <x:v>5839536.858218626</x:v>
      </x:c>
      <x:c r="J404" s="22" t="n">
        <x:v>779543.4</x:v>
      </x:c>
      <x:c r="K404" s="22" t="n">
        <x:v>2026812.84</x:v>
      </x:c>
      <x:c r="L404" s="22" t="str">
        <x:v>可承受</x:v>
      </x:c>
    </x:row>
    <x:row r="405" ht="24" customHeight="1">
      <x:c r="A405" s="22" t="str">
        <x:v>C06-M024</x:v>
      </x:c>
      <x:c r="B405" s="22" t="str">
        <x:v>熔心狱主·塞维拉</x:v>
      </x:c>
      <x:c r="C405" s="22" t="str">
        <x:v>XX361</x:v>
      </x:c>
      <x:c r="D405" s="22" t="str">
        <x:v>P0198</x:v>
      </x:c>
      <x:c r="E405" s="22" t="str">
        <x:v>地图BOSS</x:v>
      </x:c>
      <x:c r="F405" s="22" t="n">
        <x:v>87.29898266444818</x:v>
      </x:c>
      <x:c r="G405" s="22" t="n">
        <x:v>-3</x:v>
      </x:c>
      <x:c r="H405" s="22" t="n">
        <x:v>389240.824</x:v>
      </x:c>
      <x:c r="I405" s="22" t="n">
        <x:v>5839536.858218626</x:v>
      </x:c>
      <x:c r="J405" s="22" t="n">
        <x:v>779543.4</x:v>
      </x:c>
      <x:c r="K405" s="22" t="n">
        <x:v>2026812.84</x:v>
      </x:c>
      <x:c r="L405" s="22" t="str">
        <x:v>可承受</x:v>
      </x:c>
    </x:row>
    <x:row r="406" ht="24" customHeight="1">
      <x:c r="A406" s="22" t="str">
        <x:v>C06-M025</x:v>
      </x:c>
      <x:c r="B406" s="22" t="str">
        <x:v>龙窟烬鳞兽</x:v>
      </x:c>
      <x:c r="C406" s="22" t="str">
        <x:v>XX485</x:v>
      </x:c>
      <x:c r="D406" s="22" t="str">
        <x:v>P0196</x:v>
      </x:c>
      <x:c r="E406" s="22" t="str">
        <x:v>普通</x:v>
      </x:c>
      <x:c r="F406" s="22" t="n">
        <x:v>2.8146738587163513</x:v>
      </x:c>
      <x:c r="G406" s="22" t="n">
        <x:v>-8</x:v>
      </x:c>
      <x:c r="H406" s="22" t="n">
        <x:v>126930.62765199132</x:v>
      </x:c>
      <x:c r="I406" s="22" t="n">
        <x:v>4742847.098304524</x:v>
      </x:c>
      <x:c r="J406" s="22" t="n">
        <x:v>179543.4</x:v>
      </x:c>
      <x:c r="K406" s="22" t="n">
        <x:v>646356.24</x:v>
      </x:c>
      <x:c r="L406" s="22" t="str">
        <x:v>可承受</x:v>
      </x:c>
    </x:row>
    <x:row r="407" ht="24" customHeight="1">
      <x:c r="A407" s="22" t="str">
        <x:v>C06-M026</x:v>
      </x:c>
      <x:c r="B407" s="22" t="str">
        <x:v>崎路红狮兵</x:v>
      </x:c>
      <x:c r="C407" s="22" t="str">
        <x:v>XX484</x:v>
      </x:c>
      <x:c r="D407" s="22" t="str">
        <x:v>P0196</x:v>
      </x:c>
      <x:c r="E407" s="22" t="str">
        <x:v>普通</x:v>
      </x:c>
      <x:c r="F407" s="22" t="n">
        <x:v>2.8146738587163513</x:v>
      </x:c>
      <x:c r="G407" s="22" t="n">
        <x:v>-8</x:v>
      </x:c>
      <x:c r="H407" s="22" t="n">
        <x:v>126930.62765199132</x:v>
      </x:c>
      <x:c r="I407" s="22" t="n">
        <x:v>4742847.098304524</x:v>
      </x:c>
      <x:c r="J407" s="22" t="n">
        <x:v>179543.4</x:v>
      </x:c>
      <x:c r="K407" s="22" t="n">
        <x:v>646356.24</x:v>
      </x:c>
      <x:c r="L407" s="22" t="str">
        <x:v>可承受</x:v>
      </x:c>
    </x:row>
    <x:row r="408" ht="24" customHeight="1">
      <x:c r="A408" s="22" t="str">
        <x:v>C06-M027</x:v>
      </x:c>
      <x:c r="B408" s="22" t="str">
        <x:v>回廊火弩卫</x:v>
      </x:c>
      <x:c r="C408" s="22" t="str">
        <x:v>XX483</x:v>
      </x:c>
      <x:c r="D408" s="22" t="str">
        <x:v>P0196</x:v>
      </x:c>
      <x:c r="E408" s="22" t="str">
        <x:v>普通</x:v>
      </x:c>
      <x:c r="F408" s="22" t="n">
        <x:v>2.8146738587163513</x:v>
      </x:c>
      <x:c r="G408" s="22" t="n">
        <x:v>-8</x:v>
      </x:c>
      <x:c r="H408" s="22" t="n">
        <x:v>126930.62765199132</x:v>
      </x:c>
      <x:c r="I408" s="22" t="n">
        <x:v>4742847.098304524</x:v>
      </x:c>
      <x:c r="J408" s="22" t="n">
        <x:v>179543.4</x:v>
      </x:c>
      <x:c r="K408" s="22" t="n">
        <x:v>646356.24</x:v>
      </x:c>
      <x:c r="L408" s="22" t="str">
        <x:v>可承受</x:v>
      </x:c>
    </x:row>
    <x:row r="409" ht="24" customHeight="1">
      <x:c r="A409" s="22" t="str">
        <x:v>C06-M028</x:v>
      </x:c>
      <x:c r="B409" s="22" t="str">
        <x:v>龙巢护卵兽</x:v>
      </x:c>
      <x:c r="C409" s="22" t="str">
        <x:v>XX482</x:v>
      </x:c>
      <x:c r="D409" s="22" t="str">
        <x:v>P0196</x:v>
      </x:c>
      <x:c r="E409" s="22" t="str">
        <x:v>普通</x:v>
      </x:c>
      <x:c r="F409" s="22" t="n">
        <x:v>2.8146738587163513</x:v>
      </x:c>
      <x:c r="G409" s="22" t="n">
        <x:v>-8</x:v>
      </x:c>
      <x:c r="H409" s="22" t="n">
        <x:v>126930.62765199132</x:v>
      </x:c>
      <x:c r="I409" s="22" t="n">
        <x:v>4742847.098304524</x:v>
      </x:c>
      <x:c r="J409" s="22" t="n">
        <x:v>179543.4</x:v>
      </x:c>
      <x:c r="K409" s="22" t="n">
        <x:v>646356.24</x:v>
      </x:c>
      <x:c r="L409" s="22" t="str">
        <x:v>可承受</x:v>
      </x:c>
    </x:row>
    <x:row r="410" ht="24" customHeight="1">
      <x:c r="A410" s="22" t="str">
        <x:v>C06-M029</x:v>
      </x:c>
      <x:c r="B410" s="22" t="str">
        <x:v>神殿执矛僧</x:v>
      </x:c>
      <x:c r="C410" s="22" t="str">
        <x:v>XX481</x:v>
      </x:c>
      <x:c r="D410" s="22" t="str">
        <x:v>P0196</x:v>
      </x:c>
      <x:c r="E410" s="22" t="str">
        <x:v>普通</x:v>
      </x:c>
      <x:c r="F410" s="22" t="n">
        <x:v>3.295730185586119</x:v>
      </x:c>
      <x:c r="G410" s="22" t="n">
        <x:v>-168</x:v>
      </x:c>
      <x:c r="H410" s="22" t="n">
        <x:v>129846.74999999999</x:v>
      </x:c>
      <x:c r="I410" s="22" t="n">
        <x:v>4742847.098304524</x:v>
      </x:c>
      <x:c r="J410" s="22" t="n">
        <x:v>10943.4</x:v>
      </x:c>
      <x:c r="K410" s="22" t="n">
        <x:v>240754.8</x:v>
      </x:c>
      <x:c r="L410" s="22" t="str">
        <x:v>可承受</x:v>
      </x:c>
    </x:row>
    <x:row r="411" ht="24" customHeight="1">
      <x:c r="A411" s="22" t="str">
        <x:v>C06-M030</x:v>
      </x:c>
      <x:c r="B411" s="22" t="str">
        <x:v>赤鬃巡巢者</x:v>
      </x:c>
      <x:c r="C411" s="22" t="str">
        <x:v>XX485</x:v>
      </x:c>
      <x:c r="D411" s="22" t="str">
        <x:v>P0196</x:v>
      </x:c>
      <x:c r="E411" s="22" t="str">
        <x:v>普通</x:v>
      </x:c>
      <x:c r="F411" s="22" t="n">
        <x:v>3.1033583570462335</x:v>
      </x:c>
      <x:c r="G411" s="22" t="n">
        <x:v>-8</x:v>
      </x:c>
      <x:c r="H411" s="22" t="n">
        <x:v>126930.62765199132</x:v>
      </x:c>
      <x:c r="I411" s="22" t="n">
        <x:v>4742847.098304524</x:v>
      </x:c>
      <x:c r="J411" s="22" t="n">
        <x:v>179543.4</x:v>
      </x:c>
      <x:c r="K411" s="22" t="n">
        <x:v>646356.24</x:v>
      </x:c>
      <x:c r="L411" s="22" t="str">
        <x:v>可承受</x:v>
      </x:c>
    </x:row>
    <x:row r="412" ht="24" customHeight="1">
      <x:c r="A412" s="22" t="str">
        <x:v>C06-M031</x:v>
      </x:c>
      <x:c r="B412" s="22" t="str">
        <x:v>龙火驯兽师</x:v>
      </x:c>
      <x:c r="C412" s="22" t="str">
        <x:v>XX485</x:v>
      </x:c>
      <x:c r="D412" s="22" t="str">
        <x:v>P0196</x:v>
      </x:c>
      <x:c r="E412" s="22" t="str">
        <x:v>稀有</x:v>
      </x:c>
      <x:c r="F412" s="22" t="n">
        <x:v>9.255292979588242</x:v>
      </x:c>
      <x:c r="G412" s="22" t="n">
        <x:v>-8</x:v>
      </x:c>
      <x:c r="H412" s="22" t="n">
        <x:v>224802.94682071573</x:v>
      </x:c>
      <x:c r="I412" s="22" t="n">
        <x:v>4742847.098304524</x:v>
      </x:c>
      <x:c r="J412" s="22" t="n">
        <x:v>341543.39999999997</x:v>
      </x:c>
      <x:c r="K412" s="22" t="n">
        <x:v>1229556.24</x:v>
      </x:c>
      <x:c r="L412" s="22" t="str">
        <x:v>可承受</x:v>
      </x:c>
    </x:row>
    <x:row r="413" ht="24" customHeight="1">
      <x:c r="A413" s="22" t="str">
        <x:v>C06-M032</x:v>
      </x:c>
      <x:c r="B413" s="22" t="str">
        <x:v>红狮斩翼骑</x:v>
      </x:c>
      <x:c r="C413" s="22" t="str">
        <x:v>XX484</x:v>
      </x:c>
      <x:c r="D413" s="22" t="str">
        <x:v>P0196</x:v>
      </x:c>
      <x:c r="E413" s="22" t="str">
        <x:v>稀有</x:v>
      </x:c>
      <x:c r="F413" s="22" t="n">
        <x:v>9.255292979588242</x:v>
      </x:c>
      <x:c r="G413" s="22" t="n">
        <x:v>-8</x:v>
      </x:c>
      <x:c r="H413" s="22" t="n">
        <x:v>224802.94682071573</x:v>
      </x:c>
      <x:c r="I413" s="22" t="n">
        <x:v>4742847.098304524</x:v>
      </x:c>
      <x:c r="J413" s="22" t="n">
        <x:v>341543.39999999997</x:v>
      </x:c>
      <x:c r="K413" s="22" t="n">
        <x:v>1229556.24</x:v>
      </x:c>
      <x:c r="L413" s="22" t="str">
        <x:v>可承受</x:v>
      </x:c>
    </x:row>
    <x:row r="414" ht="24" customHeight="1">
      <x:c r="A414" s="22" t="str">
        <x:v>C06-M033</x:v>
      </x:c>
      <x:c r="B414" s="22" t="str">
        <x:v>赤焰鳞甲将</x:v>
      </x:c>
      <x:c r="C414" s="22" t="str">
        <x:v>XX483</x:v>
      </x:c>
      <x:c r="D414" s="22" t="str">
        <x:v>P0196</x:v>
      </x:c>
      <x:c r="E414" s="22" t="str">
        <x:v>稀有</x:v>
      </x:c>
      <x:c r="F414" s="22" t="n">
        <x:v>8.098381357139713</x:v>
      </x:c>
      <x:c r="G414" s="22" t="n">
        <x:v>-8</x:v>
      </x:c>
      <x:c r="H414" s="22" t="n">
        <x:v>224802.94682071573</x:v>
      </x:c>
      <x:c r="I414" s="22" t="n">
        <x:v>4742847.098304524</x:v>
      </x:c>
      <x:c r="J414" s="22" t="n">
        <x:v>341543.39999999997</x:v>
      </x:c>
      <x:c r="K414" s="22" t="n">
        <x:v>1229556.24</x:v>
      </x:c>
      <x:c r="L414" s="22" t="str">
        <x:v>可承受</x:v>
      </x:c>
    </x:row>
    <x:row r="415" ht="24" customHeight="1">
      <x:c r="A415" s="22" t="str">
        <x:v>C06-M034</x:v>
      </x:c>
      <x:c r="B415" s="22" t="str">
        <x:v>龙巢血祭司</x:v>
      </x:c>
      <x:c r="C415" s="22" t="str">
        <x:v>XX482</x:v>
      </x:c>
      <x:c r="D415" s="22" t="str">
        <x:v>P0196</x:v>
      </x:c>
      <x:c r="E415" s="22" t="str">
        <x:v>稀有</x:v>
      </x:c>
      <x:c r="F415" s="22" t="n">
        <x:v>9.255292979588242</x:v>
      </x:c>
      <x:c r="G415" s="22" t="n">
        <x:v>-8</x:v>
      </x:c>
      <x:c r="H415" s="22" t="n">
        <x:v>224802.94682071573</x:v>
      </x:c>
      <x:c r="I415" s="22" t="n">
        <x:v>4742847.098304524</x:v>
      </x:c>
      <x:c r="J415" s="22" t="n">
        <x:v>341543.39999999997</x:v>
      </x:c>
      <x:c r="K415" s="22" t="n">
        <x:v>1229556.24</x:v>
      </x:c>
      <x:c r="L415" s="22" t="str">
        <x:v>可承受</x:v>
      </x:c>
    </x:row>
    <x:row r="416" ht="24" customHeight="1">
      <x:c r="A416" s="22" t="str">
        <x:v>C06-M035</x:v>
      </x:c>
      <x:c r="B416" s="22" t="str">
        <x:v>焚翼古龙·阿格纳</x:v>
      </x:c>
      <x:c r="C416" s="22" t="str">
        <x:v>XX482</x:v>
      </x:c>
      <x:c r="D416" s="22" t="str">
        <x:v>P0203</x:v>
      </x:c>
      <x:c r="E416" s="22" t="str">
        <x:v>地图BOSS</x:v>
      </x:c>
      <x:c r="F416" s="22" t="n">
        <x:v>66.87734376801816</x:v>
      </x:c>
      <x:c r="G416" s="22" t="n">
        <x:v>-8</x:v>
      </x:c>
      <x:c r="H416" s="22" t="n">
        <x:v>405095.9346833754</x:v>
      </x:c>
      <x:c r="I416" s="22" t="n">
        <x:v>6157019.900799716</x:v>
      </x:c>
      <x:c r="J416" s="22" t="n">
        <x:v>659543.4</x:v>
      </x:c>
      <x:c r="K416" s="22" t="n">
        <x:v>2374356.24</x:v>
      </x:c>
      <x:c r="L416" s="22" t="str">
        <x:v>可承受</x:v>
      </x:c>
    </x:row>
    <x:row r="417" ht="24" customHeight="1">
      <x:c r="A417" s="22" t="str">
        <x:v>C06-M036</x:v>
      </x:c>
      <x:c r="B417" s="22" t="str">
        <x:v>红狮圣兽·雷奥尼斯</x:v>
      </x:c>
      <x:c r="C417" s="22" t="str">
        <x:v>XX481</x:v>
      </x:c>
      <x:c r="D417" s="22" t="str">
        <x:v>P0204</x:v>
      </x:c>
      <x:c r="E417" s="22" t="str">
        <x:v>地图BOSS</x:v>
      </x:c>
      <x:c r="F417" s="22" t="n">
        <x:v>65.54499391237688</x:v>
      </x:c>
      <x:c r="G417" s="22" t="n">
        <x:v>-168</x:v>
      </x:c>
      <x:c r="H417" s="22" t="n">
        <x:v>401419.3333333333</x:v>
      </x:c>
      <x:c r="I417" s="22" t="n">
        <x:v>6157019.900799716</x:v>
      </x:c>
      <x:c r="J417" s="22" t="n">
        <x:v>37943.4</x:v>
      </x:c>
      <x:c r="K417" s="22" t="n">
        <x:v>834754.8</x:v>
      </x:c>
      <x:c r="L417" s="22" t="str">
        <x:v>可承受</x:v>
      </x:c>
    </x:row>
    <x:row r="418" ht="24" customHeight="1">
      <x:c r="A418" s="22" t="str">
        <x:v>C06-M037</x:v>
      </x:c>
      <x:c r="B418" s="22" t="str">
        <x:v>碎星狮王·拉塔恩</x:v>
      </x:c>
      <x:c r="C418" s="22" t="str">
        <x:v>XX481</x:v>
      </x:c>
      <x:c r="D418" s="22" t="str">
        <x:v>P0208</x:v>
      </x:c>
      <x:c r="E418" s="22" t="str">
        <x:v>守关BOSS</x:v>
      </x:c>
      <x:c r="F418" s="22" t="n">
        <x:v>261.3050469806045</x:v>
      </x:c>
      <x:c r="G418" s="22" t="n">
        <x:v>8</x:v>
      </x:c>
      <x:c r="H418" s="22" t="n">
        <x:v>998795.205</x:v>
      </x:c>
      <x:c r="I418" s="22" t="n">
        <x:v>11056494.558364613</x:v>
      </x:c>
      <x:c r="J418" s="22" t="n">
        <x:v>2293590.41</x:v>
      </x:c>
      <x:c r="K418" s="22" t="n">
        <x:v>2293590.41</x:v>
      </x:c>
      <x:c r="L418" s="22" t="str">
        <x:v>可承受</x:v>
      </x:c>
    </x:row>
    <x:row r="419" ht="24" customHeight="1">
      <x:c r="A419" s="22" t="str">
        <x:v>C07-M001</x:v>
      </x:c>
      <x:c r="B419" s="22" t="str">
        <x:v>雪原冻角鹿</x:v>
      </x:c>
      <x:c r="C419" s="22" t="str">
        <x:v>XX149</x:v>
      </x:c>
      <x:c r="D419" s="22" t="str">
        <x:v>P0213</x:v>
      </x:c>
      <x:c r="E419" s="22" t="str">
        <x:v>普通</x:v>
      </x:c>
      <x:c r="F419" s="22" t="n">
        <x:v>2.996196010260975</x:v>
      </x:c>
      <x:c r="G419" s="22" t="n">
        <x:v>8</x:v>
      </x:c>
      <x:c r="H419" s="22" t="n">
        <x:v>323494.00625</x:v>
      </x:c>
      <x:c r="I419" s="22" t="n">
        <x:v>11213072.384154143</x:v>
      </x:c>
      <x:c r="J419" s="22" t="n">
        <x:v>591590.41</x:v>
      </x:c>
      <x:c r="K419" s="22" t="n">
        <x:v>591590.41</x:v>
      </x:c>
      <x:c r="L419" s="22" t="str">
        <x:v>可承受</x:v>
      </x:c>
    </x:row>
    <x:row r="420" ht="24" customHeight="1">
      <x:c r="A420" s="22" t="str">
        <x:v>C07-M002</x:v>
      </x:c>
      <x:c r="B420" s="22" t="str">
        <x:v>霜风放逐兵</x:v>
      </x:c>
      <x:c r="C420" s="22" t="str">
        <x:v>XX148</x:v>
      </x:c>
      <x:c r="D420" s="22" t="str">
        <x:v>P0213</x:v>
      </x:c>
      <x:c r="E420" s="22" t="str">
        <x:v>普通</x:v>
      </x:c>
      <x:c r="F420" s="22" t="n">
        <x:v>2.6808069565492936</x:v>
      </x:c>
      <x:c r="G420" s="22" t="n">
        <x:v>8</x:v>
      </x:c>
      <x:c r="H420" s="22" t="n">
        <x:v>323494.00625</x:v>
      </x:c>
      <x:c r="I420" s="22" t="n">
        <x:v>11213072.384154143</x:v>
      </x:c>
      <x:c r="J420" s="22" t="n">
        <x:v>591590.41</x:v>
      </x:c>
      <x:c r="K420" s="22" t="n">
        <x:v>591590.41</x:v>
      </x:c>
      <x:c r="L420" s="22" t="str">
        <x:v>可承受</x:v>
      </x:c>
    </x:row>
    <x:row r="421" ht="24" customHeight="1">
      <x:c r="A421" s="22" t="str">
        <x:v>C07-M003</x:v>
      </x:c>
      <x:c r="B421" s="22" t="str">
        <x:v>冻土掘冰徒</x:v>
      </x:c>
      <x:c r="C421" s="22" t="str">
        <x:v>XX147</x:v>
      </x:c>
      <x:c r="D421" s="22" t="str">
        <x:v>P0213</x:v>
      </x:c>
      <x:c r="E421" s="22" t="str">
        <x:v>普通</x:v>
      </x:c>
      <x:c r="F421" s="22" t="n">
        <x:v>3.3115850639726565</x:v>
      </x:c>
      <x:c r="G421" s="22" t="n">
        <x:v>8</x:v>
      </x:c>
      <x:c r="H421" s="22" t="n">
        <x:v>323494.00625</x:v>
      </x:c>
      <x:c r="I421" s="22" t="n">
        <x:v>11213072.384154143</x:v>
      </x:c>
      <x:c r="J421" s="22" t="n">
        <x:v>591590.41</x:v>
      </x:c>
      <x:c r="K421" s="22" t="n">
        <x:v>591590.41</x:v>
      </x:c>
      <x:c r="L421" s="22" t="str">
        <x:v>可承受</x:v>
      </x:c>
    </x:row>
    <x:row r="422" ht="24" customHeight="1">
      <x:c r="A422" s="22" t="str">
        <x:v>C07-M004</x:v>
      </x:c>
      <x:c r="B422" s="22" t="str">
        <x:v>祭场白烛侍</x:v>
      </x:c>
      <x:c r="C422" s="22" t="str">
        <x:v>XX150</x:v>
      </x:c>
      <x:c r="D422" s="22" t="str">
        <x:v>P0213</x:v>
      </x:c>
      <x:c r="E422" s="22" t="str">
        <x:v>普通</x:v>
      </x:c>
      <x:c r="F422" s="22" t="n">
        <x:v>2.6808069565492936</x:v>
      </x:c>
      <x:c r="G422" s="22" t="n">
        <x:v>8</x:v>
      </x:c>
      <x:c r="H422" s="22" t="n">
        <x:v>323494.00625</x:v>
      </x:c>
      <x:c r="I422" s="22" t="n">
        <x:v>11213072.384154143</x:v>
      </x:c>
      <x:c r="J422" s="22" t="n">
        <x:v>591590.41</x:v>
      </x:c>
      <x:c r="K422" s="22" t="n">
        <x:v>591590.41</x:v>
      </x:c>
      <x:c r="L422" s="22" t="str">
        <x:v>可承受</x:v>
      </x:c>
    </x:row>
    <x:row r="423" ht="24" customHeight="1">
      <x:c r="A423" s="22" t="str">
        <x:v>C07-M005</x:v>
      </x:c>
      <x:c r="B423" s="22" t="str">
        <x:v>苍鬃雪狼</x:v>
      </x:c>
      <x:c r="C423" s="22" t="str">
        <x:v>XX149</x:v>
      </x:c>
      <x:c r="D423" s="22" t="str">
        <x:v>P0213</x:v>
      </x:c>
      <x:c r="E423" s="22" t="str">
        <x:v>普通</x:v>
      </x:c>
      <x:c r="F423" s="22" t="n">
        <x:v>3.3115850639726565</x:v>
      </x:c>
      <x:c r="G423" s="22" t="n">
        <x:v>8</x:v>
      </x:c>
      <x:c r="H423" s="22" t="n">
        <x:v>323494.00625</x:v>
      </x:c>
      <x:c r="I423" s="22" t="n">
        <x:v>11213072.384154143</x:v>
      </x:c>
      <x:c r="J423" s="22" t="n">
        <x:v>591590.41</x:v>
      </x:c>
      <x:c r="K423" s="22" t="n">
        <x:v>591590.41</x:v>
      </x:c>
      <x:c r="L423" s="22" t="str">
        <x:v>可承受</x:v>
      </x:c>
    </x:row>
    <x:row r="424" ht="24" customHeight="1">
      <x:c r="A424" s="22" t="str">
        <x:v>C07-M006</x:v>
      </x:c>
      <x:c r="B424" s="22" t="str">
        <x:v>寒羽巡猎鹰</x:v>
      </x:c>
      <x:c r="C424" s="22" t="str">
        <x:v>XX148</x:v>
      </x:c>
      <x:c r="D424" s="22" t="str">
        <x:v>P0213</x:v>
      </x:c>
      <x:c r="E424" s="22" t="str">
        <x:v>普通</x:v>
      </x:c>
      <x:c r="F424" s="22" t="n">
        <x:v>3.3115850639726565</x:v>
      </x:c>
      <x:c r="G424" s="22" t="n">
        <x:v>8</x:v>
      </x:c>
      <x:c r="H424" s="22" t="n">
        <x:v>323494.00625</x:v>
      </x:c>
      <x:c r="I424" s="22" t="n">
        <x:v>11213072.384154143</x:v>
      </x:c>
      <x:c r="J424" s="22" t="n">
        <x:v>591590.41</x:v>
      </x:c>
      <x:c r="K424" s="22" t="n">
        <x:v>591590.41</x:v>
      </x:c>
      <x:c r="L424" s="22" t="str">
        <x:v>可承受</x:v>
      </x:c>
    </x:row>
    <x:row r="425" ht="24" customHeight="1">
      <x:c r="A425" s="22" t="str">
        <x:v>C07-M007</x:v>
      </x:c>
      <x:c r="B425" s="22" t="str">
        <x:v>白霜重甲卫</x:v>
      </x:c>
      <x:c r="C425" s="22" t="str">
        <x:v>XX149</x:v>
      </x:c>
      <x:c r="D425" s="22" t="str">
        <x:v>P0213</x:v>
      </x:c>
      <x:c r="E425" s="22" t="str">
        <x:v>稀有</x:v>
      </x:c>
      <x:c r="F425" s="22" t="n">
        <x:v>8.239831311371725</x:v>
      </x:c>
      <x:c r="G425" s="22" t="n">
        <x:v>8</x:v>
      </x:c>
      <x:c r="H425" s="22" t="n">
        <x:v>554759.0647058823</x:v>
      </x:c>
      <x:c r="I425" s="22" t="n">
        <x:v>11213072.384154143</x:v>
      </x:c>
      <x:c r="J425" s="22" t="n">
        <x:v>1072590.41</x:v>
      </x:c>
      <x:c r="K425" s="22" t="n">
        <x:v>1072590.41</x:v>
      </x:c>
      <x:c r="L425" s="22" t="str">
        <x:v>可承受</x:v>
      </x:c>
    </x:row>
    <x:row r="426" ht="24" customHeight="1">
      <x:c r="A426" s="22" t="str">
        <x:v>C07-M008</x:v>
      </x:c>
      <x:c r="B426" s="22" t="str">
        <x:v>霜风号角骑</x:v>
      </x:c>
      <x:c r="C426" s="22" t="str">
        <x:v>XX148</x:v>
      </x:c>
      <x:c r="D426" s="22" t="str">
        <x:v>P0213</x:v>
      </x:c>
      <x:c r="E426" s="22" t="str">
        <x:v>稀有</x:v>
      </x:c>
      <x:c r="F426" s="22" t="n">
        <x:v>10.089589360863338</x:v>
      </x:c>
      <x:c r="G426" s="22" t="n">
        <x:v>8</x:v>
      </x:c>
      <x:c r="H426" s="22" t="n">
        <x:v>554759.0647058823</x:v>
      </x:c>
      <x:c r="I426" s="22" t="n">
        <x:v>11213072.384154143</x:v>
      </x:c>
      <x:c r="J426" s="22" t="n">
        <x:v>1072590.41</x:v>
      </x:c>
      <x:c r="K426" s="22" t="n">
        <x:v>1072590.41</x:v>
      </x:c>
      <x:c r="L426" s="22" t="str">
        <x:v>可承受</x:v>
      </x:c>
    </x:row>
    <x:row r="427" ht="24" customHeight="1">
      <x:c r="A427" s="22" t="str">
        <x:v>C07-M009</x:v>
      </x:c>
      <x:c r="B427" s="22" t="str">
        <x:v>冻土晶背熊</x:v>
      </x:c>
      <x:c r="C427" s="22" t="str">
        <x:v>XX147</x:v>
      </x:c>
      <x:c r="D427" s="22" t="str">
        <x:v>P0213</x:v>
      </x:c>
      <x:c r="E427" s="22" t="str">
        <x:v>稀有</x:v>
      </x:c>
      <x:c r="F427" s="22" t="n">
        <x:v>9.58510989282017</x:v>
      </x:c>
      <x:c r="G427" s="22" t="n">
        <x:v>8</x:v>
      </x:c>
      <x:c r="H427" s="22" t="n">
        <x:v>554759.0647058823</x:v>
      </x:c>
      <x:c r="I427" s="22" t="n">
        <x:v>11213072.384154143</x:v>
      </x:c>
      <x:c r="J427" s="22" t="n">
        <x:v>1072590.41</x:v>
      </x:c>
      <x:c r="K427" s="22" t="n">
        <x:v>1072590.41</x:v>
      </x:c>
      <x:c r="L427" s="22" t="str">
        <x:v>可承受</x:v>
      </x:c>
    </x:row>
    <x:row r="428" ht="24" customHeight="1">
      <x:c r="A428" s="22" t="str">
        <x:v>C07-M010</x:v>
      </x:c>
      <x:c r="B428" s="22" t="str">
        <x:v>苍白祭司</x:v>
      </x:c>
      <x:c r="C428" s="22" t="str">
        <x:v>XX150</x:v>
      </x:c>
      <x:c r="D428" s="22" t="str">
        <x:v>P0213</x:v>
      </x:c>
      <x:c r="E428" s="22" t="str">
        <x:v>稀有</x:v>
      </x:c>
      <x:c r="F428" s="22" t="n">
        <x:v>10.089589360863338</x:v>
      </x:c>
      <x:c r="G428" s="22" t="n">
        <x:v>8</x:v>
      </x:c>
      <x:c r="H428" s="22" t="n">
        <x:v>554759.0647058823</x:v>
      </x:c>
      <x:c r="I428" s="22" t="n">
        <x:v>11213072.384154143</x:v>
      </x:c>
      <x:c r="J428" s="22" t="n">
        <x:v>1072590.41</x:v>
      </x:c>
      <x:c r="K428" s="22" t="n">
        <x:v>1072590.41</x:v>
      </x:c>
      <x:c r="L428" s="22" t="str">
        <x:v>可承受</x:v>
      </x:c>
    </x:row>
    <x:row r="429" ht="24" customHeight="1">
      <x:c r="A429" s="22" t="str">
        <x:v>C07-M011</x:v>
      </x:c>
      <x:c r="B429" s="22" t="str">
        <x:v>雪墓巨人·赫洛</x:v>
      </x:c>
      <x:c r="C429" s="22" t="str">
        <x:v>XX147</x:v>
      </x:c>
      <x:c r="D429" s="22" t="str">
        <x:v>P0215</x:v>
      </x:c>
      <x:c r="E429" s="22" t="str">
        <x:v>地图BOSS</x:v>
      </x:c>
      <x:c r="F429" s="22" t="n">
        <x:v>67.270769068514</x:v>
      </x:c>
      <x:c r="G429" s="22" t="n">
        <x:v>8</x:v>
      </x:c>
      <x:c r="H429" s="22" t="n">
        <x:v>780883.5611111111</x:v>
      </x:c>
      <x:c r="I429" s="22" t="n">
        <x:v>11426166.466589594</x:v>
      </x:c>
      <x:c r="J429" s="22" t="n">
        <x:v>1627590.41</x:v>
      </x:c>
      <x:c r="K429" s="22" t="n">
        <x:v>1627590.41</x:v>
      </x:c>
      <x:c r="L429" s="22" t="str">
        <x:v>可承受</x:v>
      </x:c>
    </x:row>
    <x:row r="430" ht="24" customHeight="1">
      <x:c r="A430" s="22" t="str">
        <x:v>C07-M012</x:v>
      </x:c>
      <x:c r="B430" s="22" t="str">
        <x:v>苍白鹿王·艾尔维</x:v>
      </x:c>
      <x:c r="C430" s="22" t="str">
        <x:v>XX150</x:v>
      </x:c>
      <x:c r="D430" s="22" t="str">
        <x:v>P0216</x:v>
      </x:c>
      <x:c r="E430" s="22" t="str">
        <x:v>地图BOSS</x:v>
      </x:c>
      <x:c r="F430" s="22" t="n">
        <x:v>67.270769068514</x:v>
      </x:c>
      <x:c r="G430" s="22" t="n">
        <x:v>8</x:v>
      </x:c>
      <x:c r="H430" s="22" t="n">
        <x:v>780883.5611111111</x:v>
      </x:c>
      <x:c r="I430" s="22" t="n">
        <x:v>11426166.466589594</x:v>
      </x:c>
      <x:c r="J430" s="22" t="n">
        <x:v>1627590.41</x:v>
      </x:c>
      <x:c r="K430" s="22" t="n">
        <x:v>1627590.41</x:v>
      </x:c>
      <x:c r="L430" s="22" t="str">
        <x:v>可承受</x:v>
      </x:c>
    </x:row>
    <x:row r="431" ht="24" customHeight="1">
      <x:c r="A431" s="22" t="str">
        <x:v>C07-M013</x:v>
      </x:c>
      <x:c r="B431" s="22" t="str">
        <x:v>荒境雪壳虫</x:v>
      </x:c>
      <x:c r="C431" s="22" t="str">
        <x:v>XX904</x:v>
      </x:c>
      <x:c r="D431" s="22" t="str">
        <x:v>P0214</x:v>
      </x:c>
      <x:c r="E431" s="22" t="str">
        <x:v>普通</x:v>
      </x:c>
      <x:c r="F431" s="22" t="n">
        <x:v>3.153890537116816</x:v>
      </x:c>
      <x:c r="G431" s="22" t="n">
        <x:v>-2</x:v>
      </x:c>
      <x:c r="H431" s="22" t="n">
        <x:v>308779.33842499997</x:v>
      </x:c>
      <x:c r="I431" s="22" t="n">
        <x:v>11213072.384154143</x:v>
      </x:c>
      <x:c r="J431" s="22" t="n">
        <x:v>554590.41</x:v>
      </x:c>
      <x:c r="K431" s="22" t="n">
        <x:v>1331016.984</x:v>
      </x:c>
      <x:c r="L431" s="22" t="str">
        <x:v>可承受</x:v>
      </x:c>
    </x:row>
    <x:row r="432" ht="24" customHeight="1">
      <x:c r="A432" s="22" t="str">
        <x:v>C07-M014</x:v>
      </x:c>
      <x:c r="B432" s="22" t="str">
        <x:v>冰封流亡者</x:v>
      </x:c>
      <x:c r="C432" s="22" t="str">
        <x:v>XX906</x:v>
      </x:c>
      <x:c r="D432" s="22" t="str">
        <x:v>P0214</x:v>
      </x:c>
      <x:c r="E432" s="22" t="str">
        <x:v>普通</x:v>
      </x:c>
      <x:c r="F432" s="22" t="n">
        <x:v>2.838501483405134</x:v>
      </x:c>
      <x:c r="G432" s="22" t="n">
        <x:v>-2</x:v>
      </x:c>
      <x:c r="H432" s="22" t="n">
        <x:v>308779.33842499997</x:v>
      </x:c>
      <x:c r="I432" s="22" t="n">
        <x:v>11213072.384154143</x:v>
      </x:c>
      <x:c r="J432" s="22" t="n">
        <x:v>554590.41</x:v>
      </x:c>
      <x:c r="K432" s="22" t="n">
        <x:v>1331016.984</x:v>
      </x:c>
      <x:c r="L432" s="22" t="str">
        <x:v>可承受</x:v>
      </x:c>
    </x:row>
    <x:row r="433" ht="24" customHeight="1">
      <x:c r="A433" s="22" t="str">
        <x:v>C07-M015</x:v>
      </x:c>
      <x:c r="B433" s="22" t="str">
        <x:v>极昼逐光兽</x:v>
      </x:c>
      <x:c r="C433" s="22" t="str">
        <x:v>XX907</x:v>
      </x:c>
      <x:c r="D433" s="22" t="str">
        <x:v>P0214</x:v>
      </x:c>
      <x:c r="E433" s="22" t="str">
        <x:v>普通</x:v>
      </x:c>
      <x:c r="F433" s="22" t="n">
        <x:v>2.996196010260975</x:v>
      </x:c>
      <x:c r="G433" s="22" t="n">
        <x:v>-2</x:v>
      </x:c>
      <x:c r="H433" s="22" t="n">
        <x:v>308779.33842499997</x:v>
      </x:c>
      <x:c r="I433" s="22" t="n">
        <x:v>11213072.384154143</x:v>
      </x:c>
      <x:c r="J433" s="22" t="n">
        <x:v>554590.41</x:v>
      </x:c>
      <x:c r="K433" s="22" t="n">
        <x:v>1331016.984</x:v>
      </x:c>
      <x:c r="L433" s="22" t="str">
        <x:v>可承受</x:v>
      </x:c>
    </x:row>
    <x:row r="434" ht="24" customHeight="1">
      <x:c r="A434" s="22" t="str">
        <x:v>C07-M016</x:v>
      </x:c>
      <x:c r="B434" s="22" t="str">
        <x:v>圣域守碑人</x:v>
      </x:c>
      <x:c r="C434" s="22" t="str">
        <x:v>XX905</x:v>
      </x:c>
      <x:c r="D434" s="22" t="str">
        <x:v>P0214</x:v>
      </x:c>
      <x:c r="E434" s="22" t="str">
        <x:v>普通</x:v>
      </x:c>
      <x:c r="F434" s="22" t="n">
        <x:v>2.838501483405134</x:v>
      </x:c>
      <x:c r="G434" s="22" t="n">
        <x:v>-2</x:v>
      </x:c>
      <x:c r="H434" s="22" t="n">
        <x:v>308779.33842499997</x:v>
      </x:c>
      <x:c r="I434" s="22" t="n">
        <x:v>11213072.384154143</x:v>
      </x:c>
      <x:c r="J434" s="22" t="n">
        <x:v>554590.41</x:v>
      </x:c>
      <x:c r="K434" s="22" t="n">
        <x:v>1331016.984</x:v>
      </x:c>
      <x:c r="L434" s="22" t="str">
        <x:v>可承受</x:v>
      </x:c>
    </x:row>
    <x:row r="435" ht="24" customHeight="1">
      <x:c r="A435" s="22" t="str">
        <x:v>C07-M017</x:v>
      </x:c>
      <x:c r="B435" s="22" t="str">
        <x:v>永冻霜牙狼</x:v>
      </x:c>
      <x:c r="C435" s="22" t="str">
        <x:v>XX904</x:v>
      </x:c>
      <x:c r="D435" s="22" t="str">
        <x:v>P0214</x:v>
      </x:c>
      <x:c r="E435" s="22" t="str">
        <x:v>普通</x:v>
      </x:c>
      <x:c r="F435" s="22" t="n">
        <x:v>2.6808069565492936</x:v>
      </x:c>
      <x:c r="G435" s="22" t="n">
        <x:v>-2</x:v>
      </x:c>
      <x:c r="H435" s="22" t="n">
        <x:v>308779.33842499997</x:v>
      </x:c>
      <x:c r="I435" s="22" t="n">
        <x:v>11213072.384154143</x:v>
      </x:c>
      <x:c r="J435" s="22" t="n">
        <x:v>554590.41</x:v>
      </x:c>
      <x:c r="K435" s="22" t="n">
        <x:v>1331016.984</x:v>
      </x:c>
      <x:c r="L435" s="22" t="str">
        <x:v>可承受</x:v>
      </x:c>
    </x:row>
    <x:row r="436" ht="24" customHeight="1">
      <x:c r="A436" s="22" t="str">
        <x:v>C07-M018</x:v>
      </x:c>
      <x:c r="B436" s="22" t="str">
        <x:v>旷野寒弓手</x:v>
      </x:c>
      <x:c r="C436" s="22" t="str">
        <x:v>XX906</x:v>
      </x:c>
      <x:c r="D436" s="22" t="str">
        <x:v>P0214</x:v>
      </x:c>
      <x:c r="E436" s="22" t="str">
        <x:v>普通</x:v>
      </x:c>
      <x:c r="F436" s="22" t="n">
        <x:v>2.6808069565492936</x:v>
      </x:c>
      <x:c r="G436" s="22" t="n">
        <x:v>-2</x:v>
      </x:c>
      <x:c r="H436" s="22" t="n">
        <x:v>308779.33842499997</x:v>
      </x:c>
      <x:c r="I436" s="22" t="n">
        <x:v>11213072.384154143</x:v>
      </x:c>
      <x:c r="J436" s="22" t="n">
        <x:v>554590.41</x:v>
      </x:c>
      <x:c r="K436" s="22" t="n">
        <x:v>1331016.984</x:v>
      </x:c>
      <x:c r="L436" s="22" t="str">
        <x:v>可承受</x:v>
      </x:c>
    </x:row>
    <x:row r="437" ht="24" customHeight="1">
      <x:c r="A437" s="22" t="str">
        <x:v>C07-M019</x:v>
      </x:c>
      <x:c r="B437" s="22" t="str">
        <x:v>荒境冰甲犀</x:v>
      </x:c>
      <x:c r="C437" s="22" t="str">
        <x:v>XX904</x:v>
      </x:c>
      <x:c r="D437" s="22" t="str">
        <x:v>P0214</x:v>
      </x:c>
      <x:c r="E437" s="22" t="str">
        <x:v>稀有</x:v>
      </x:c>
      <x:c r="F437" s="22" t="n">
        <x:v>8.744310779414892</x:v>
      </x:c>
      <x:c r="G437" s="22" t="n">
        <x:v>-2</x:v>
      </x:c>
      <x:c r="H437" s="22" t="n">
        <x:v>547918.2008705883</x:v>
      </x:c>
      <x:c r="I437" s="22" t="n">
        <x:v>11213072.384154143</x:v>
      </x:c>
      <x:c r="J437" s="22" t="n">
        <x:v>1035590.41</x:v>
      </x:c>
      <x:c r="K437" s="22" t="n">
        <x:v>2485416.984</x:v>
      </x:c>
      <x:c r="L437" s="22" t="str">
        <x:v>可承受</x:v>
      </x:c>
    </x:row>
    <x:row r="438" ht="24" customHeight="1">
      <x:c r="A438" s="22" t="str">
        <x:v>C07-M020</x:v>
      </x:c>
      <x:c r="B438" s="22" t="str">
        <x:v>冰封审判骑</x:v>
      </x:c>
      <x:c r="C438" s="22" t="str">
        <x:v>XX906</x:v>
      </x:c>
      <x:c r="D438" s="22" t="str">
        <x:v>P0214</x:v>
      </x:c>
      <x:c r="E438" s="22" t="str">
        <x:v>稀有</x:v>
      </x:c>
      <x:c r="F438" s="22" t="n">
        <x:v>10.089589360863338</x:v>
      </x:c>
      <x:c r="G438" s="22" t="n">
        <x:v>-2</x:v>
      </x:c>
      <x:c r="H438" s="22" t="n">
        <x:v>547918.2008705883</x:v>
      </x:c>
      <x:c r="I438" s="22" t="n">
        <x:v>11213072.384154143</x:v>
      </x:c>
      <x:c r="J438" s="22" t="n">
        <x:v>1035590.41</x:v>
      </x:c>
      <x:c r="K438" s="22" t="n">
        <x:v>2485416.984</x:v>
      </x:c>
      <x:c r="L438" s="22" t="str">
        <x:v>可承受</x:v>
      </x:c>
    </x:row>
    <x:row r="439" ht="24" customHeight="1">
      <x:c r="A439" s="22" t="str">
        <x:v>C07-M021</x:v>
      </x:c>
      <x:c r="B439" s="22" t="str">
        <x:v>极昼白翼鹫</x:v>
      </x:c>
      <x:c r="C439" s="22" t="str">
        <x:v>XX907</x:v>
      </x:c>
      <x:c r="D439" s="22" t="str">
        <x:v>P0214</x:v>
      </x:c>
      <x:c r="E439" s="22" t="str">
        <x:v>稀有</x:v>
      </x:c>
      <x:c r="F439" s="22" t="n">
        <x:v>7.9035116660096145</x:v>
      </x:c>
      <x:c r="G439" s="22" t="n">
        <x:v>-2</x:v>
      </x:c>
      <x:c r="H439" s="22" t="n">
        <x:v>547918.2008705883</x:v>
      </x:c>
      <x:c r="I439" s="22" t="n">
        <x:v>11213072.384154143</x:v>
      </x:c>
      <x:c r="J439" s="22" t="n">
        <x:v>1035590.41</x:v>
      </x:c>
      <x:c r="K439" s="22" t="n">
        <x:v>2485416.984</x:v>
      </x:c>
      <x:c r="L439" s="22" t="str">
        <x:v>可承受</x:v>
      </x:c>
    </x:row>
    <x:row r="440" ht="24" customHeight="1">
      <x:c r="A440" s="22" t="str">
        <x:v>C07-M022</x:v>
      </x:c>
      <x:c r="B440" s="22" t="str">
        <x:v>圣域默祷师</x:v>
      </x:c>
      <x:c r="C440" s="22" t="str">
        <x:v>XX905</x:v>
      </x:c>
      <x:c r="D440" s="22" t="str">
        <x:v>P0214</x:v>
      </x:c>
      <x:c r="E440" s="22" t="str">
        <x:v>稀有</x:v>
      </x:c>
      <x:c r="F440" s="22" t="n">
        <x:v>9.58510989282017</x:v>
      </x:c>
      <x:c r="G440" s="22" t="n">
        <x:v>-2</x:v>
      </x:c>
      <x:c r="H440" s="22" t="n">
        <x:v>547918.2008705883</x:v>
      </x:c>
      <x:c r="I440" s="22" t="n">
        <x:v>11213072.384154143</x:v>
      </x:c>
      <x:c r="J440" s="22" t="n">
        <x:v>1035590.41</x:v>
      </x:c>
      <x:c r="K440" s="22" t="n">
        <x:v>2485416.984</x:v>
      </x:c>
      <x:c r="L440" s="22" t="str">
        <x:v>可承受</x:v>
      </x:c>
    </x:row>
    <x:row r="441" ht="24" customHeight="1">
      <x:c r="A441" s="22" t="str">
        <x:v>C07-M023</x:v>
      </x:c>
      <x:c r="B441" s="22" t="str">
        <x:v>极昼雪后·芙蕾</x:v>
      </x:c>
      <x:c r="C441" s="22" t="str">
        <x:v>XX907</x:v>
      </x:c>
      <x:c r="D441" s="22" t="str">
        <x:v>P0221</x:v>
      </x:c>
      <x:c r="E441" s="22" t="str">
        <x:v>地图BOSS</x:v>
      </x:c>
      <x:c r="F441" s="22" t="n">
        <x:v>82.55820220482316</x:v>
      </x:c>
      <x:c r="G441" s="22" t="n">
        <x:v>-2</x:v>
      </x:c>
      <x:c r="H441" s="22" t="n">
        <x:v>971796.5557777778</x:v>
      </x:c>
      <x:c r="I441" s="22" t="n">
        <x:v>16130558.48147079</x:v>
      </x:c>
      <x:c r="J441" s="22" t="n">
        <x:v>1960589.3</x:v>
      </x:c>
      <x:c r="K441" s="22" t="n">
        <x:v>4705414.32</x:v>
      </x:c>
      <x:c r="L441" s="22" t="str">
        <x:v>可承受</x:v>
      </x:c>
    </x:row>
    <x:row r="442" ht="24" customHeight="1">
      <x:c r="A442" s="22" t="str">
        <x:v>C07-M024</x:v>
      </x:c>
      <x:c r="B442" s="22" t="str">
        <x:v>永冻圣兽·乌尔</x:v>
      </x:c>
      <x:c r="C442" s="22" t="str">
        <x:v>XX905</x:v>
      </x:c>
      <x:c r="D442" s="22" t="str">
        <x:v>P0222</x:v>
      </x:c>
      <x:c r="E442" s="22" t="str">
        <x:v>地图BOSS</x:v>
      </x:c>
      <x:c r="F442" s="22" t="n">
        <x:v>86.31084775958786</x:v>
      </x:c>
      <x:c r="G442" s="22" t="n">
        <x:v>-2</x:v>
      </x:c>
      <x:c r="H442" s="22" t="n">
        <x:v>971796.5557777778</x:v>
      </x:c>
      <x:c r="I442" s="22" t="n">
        <x:v>16130558.48147079</x:v>
      </x:c>
      <x:c r="J442" s="22" t="n">
        <x:v>1960589.3</x:v>
      </x:c>
      <x:c r="K442" s="22" t="n">
        <x:v>4705414.32</x:v>
      </x:c>
      <x:c r="L442" s="22" t="str">
        <x:v>可承受</x:v>
      </x:c>
    </x:row>
    <x:row r="443" ht="24" customHeight="1">
      <x:c r="A443" s="22" t="str">
        <x:v>C07-M025</x:v>
      </x:c>
      <x:c r="B443" s="22" t="str">
        <x:v>禁域冻喉兽</x:v>
      </x:c>
      <x:c r="C443" s="22" t="str">
        <x:v>XX912</x:v>
      </x:c>
      <x:c r="D443" s="22" t="str">
        <x:v>P0220</x:v>
      </x:c>
      <x:c r="E443" s="22" t="str">
        <x:v>普通</x:v>
      </x:c>
      <x:c r="F443" s="22" t="n">
        <x:v>2.8039217722128393</x:v>
      </x:c>
      <x:c r="G443" s="22" t="n">
        <x:v>-7</x:v>
      </x:c>
      <x:c r="H443" s="22" t="n">
        <x:v>340433.3303761253</x:v>
      </x:c>
      <x:c r="I443" s="22" t="n">
        <x:v>13087123.843585476</x:v>
      </x:c>
      <x:c r="J443" s="22" t="n">
        <x:v>517589.3</x:v>
      </x:c>
      <x:c r="K443" s="22" t="n">
        <x:v>1759803.62</x:v>
      </x:c>
      <x:c r="L443" s="22" t="str">
        <x:v>可承受</x:v>
      </x:c>
    </x:row>
    <x:row r="444" ht="24" customHeight="1">
      <x:c r="A444" s="22" t="str">
        <x:v>C07-M026</x:v>
      </x:c>
      <x:c r="B444" s="22" t="str">
        <x:v>雾界迷途兵</x:v>
      </x:c>
      <x:c r="C444" s="22" t="str">
        <x:v>XX908</x:v>
      </x:c>
      <x:c r="D444" s="22" t="str">
        <x:v>P0220</x:v>
      </x:c>
      <x:c r="E444" s="22" t="str">
        <x:v>普通</x:v>
      </x:c>
      <x:c r="F444" s="22" t="n">
        <x:v>2.8039217722128393</x:v>
      </x:c>
      <x:c r="G444" s="22" t="n">
        <x:v>-7</x:v>
      </x:c>
      <x:c r="H444" s="22" t="n">
        <x:v>340433.3303761253</x:v>
      </x:c>
      <x:c r="I444" s="22" t="n">
        <x:v>13087123.843585476</x:v>
      </x:c>
      <x:c r="J444" s="22" t="n">
        <x:v>517589.3</x:v>
      </x:c>
      <x:c r="K444" s="22" t="n">
        <x:v>1759803.62</x:v>
      </x:c>
      <x:c r="L444" s="22" t="str">
        <x:v>可承受</x:v>
      </x:c>
    </x:row>
    <x:row r="445" ht="24" customHeight="1">
      <x:c r="A445" s="22" t="str">
        <x:v>C07-M027</x:v>
      </x:c>
      <x:c r="B445" s="22" t="str">
        <x:v>寒狱锁链卒</x:v>
      </x:c>
      <x:c r="C445" s="22" t="str">
        <x:v>XX909</x:v>
      </x:c>
      <x:c r="D445" s="22" t="str">
        <x:v>P0220</x:v>
      </x:c>
      <x:c r="E445" s="22" t="str">
        <x:v>普通</x:v>
      </x:c>
      <x:c r="F445" s="22" t="n">
        <x:v>3.2044820253861017</x:v>
      </x:c>
      <x:c r="G445" s="22" t="n">
        <x:v>-7</x:v>
      </x:c>
      <x:c r="H445" s="22" t="n">
        <x:v>340433.3303761253</x:v>
      </x:c>
      <x:c r="I445" s="22" t="n">
        <x:v>13087123.843585476</x:v>
      </x:c>
      <x:c r="J445" s="22" t="n">
        <x:v>517589.3</x:v>
      </x:c>
      <x:c r="K445" s="22" t="n">
        <x:v>1759803.62</x:v>
      </x:c>
      <x:c r="L445" s="22" t="str">
        <x:v>可承受</x:v>
      </x:c>
    </x:row>
    <x:row r="446" ht="24" customHeight="1">
      <x:c r="A446" s="22" t="str">
        <x:v>C07-M028</x:v>
      </x:c>
      <x:c r="B446" s="22" t="str">
        <x:v>祭坛守烛女</x:v>
      </x:c>
      <x:c r="C446" s="22" t="str">
        <x:v>XX910</x:v>
      </x:c>
      <x:c r="D446" s="22" t="str">
        <x:v>P0220</x:v>
      </x:c>
      <x:c r="E446" s="22" t="str">
        <x:v>普通</x:v>
      </x:c>
      <x:c r="F446" s="22" t="n">
        <x:v>2.536881603430664</x:v>
      </x:c>
      <x:c r="G446" s="22" t="n">
        <x:v>-7</x:v>
      </x:c>
      <x:c r="H446" s="22" t="n">
        <x:v>340433.3303761253</x:v>
      </x:c>
      <x:c r="I446" s="22" t="n">
        <x:v>13087123.843585476</x:v>
      </x:c>
      <x:c r="J446" s="22" t="n">
        <x:v>517589.3</x:v>
      </x:c>
      <x:c r="K446" s="22" t="n">
        <x:v>1759803.62</x:v>
      </x:c>
      <x:c r="L446" s="22" t="str">
        <x:v>可承受</x:v>
      </x:c>
    </x:row>
    <x:row r="447" ht="24" customHeight="1">
      <x:c r="A447" s="22" t="str">
        <x:v>C07-M029</x:v>
      </x:c>
      <x:c r="B447" s="22" t="str">
        <x:v>圣所白甲卫</x:v>
      </x:c>
      <x:c r="C447" s="22" t="str">
        <x:v>XX911</x:v>
      </x:c>
      <x:c r="D447" s="22" t="str">
        <x:v>P0220</x:v>
      </x:c>
      <x:c r="E447" s="22" t="str">
        <x:v>普通</x:v>
      </x:c>
      <x:c r="F447" s="22" t="n">
        <x:v>7.771955959226774</x:v>
      </x:c>
      <x:c r="G447" s="22" t="n">
        <x:v>-67</x:v>
      </x:c>
      <x:c r="H447" s="22" t="n">
        <x:v>337910.16731067</x:v>
      </x:c>
      <x:c r="I447" s="22" t="n">
        <x:v>13087123.843585476</x:v>
      </x:c>
      <x:c r="J447" s="22" t="n">
        <x:v>40289.3</x:v>
      </x:c>
      <x:c r="K447" s="22" t="n">
        <x:v>620455.2200000001</x:v>
      </x:c>
      <x:c r="L447" s="22" t="str">
        <x:v>可承受</x:v>
      </x:c>
    </x:row>
    <x:row r="448" ht="24" customHeight="1">
      <x:c r="A448" s="22" t="str">
        <x:v>C07-M030</x:v>
      </x:c>
      <x:c r="B448" s="22" t="str">
        <x:v>极寒巡界狼</x:v>
      </x:c>
      <x:c r="C448" s="22" t="str">
        <x:v>XX912</x:v>
      </x:c>
      <x:c r="D448" s="22" t="str">
        <x:v>P0220</x:v>
      </x:c>
      <x:c r="E448" s="22" t="str">
        <x:v>普通</x:v>
      </x:c>
      <x:c r="F448" s="22" t="n">
        <x:v>2.8039217722128393</x:v>
      </x:c>
      <x:c r="G448" s="22" t="n">
        <x:v>-7</x:v>
      </x:c>
      <x:c r="H448" s="22" t="n">
        <x:v>340433.3303761253</x:v>
      </x:c>
      <x:c r="I448" s="22" t="n">
        <x:v>13087123.843585476</x:v>
      </x:c>
      <x:c r="J448" s="22" t="n">
        <x:v>517589.3</x:v>
      </x:c>
      <x:c r="K448" s="22" t="n">
        <x:v>1759803.62</x:v>
      </x:c>
      <x:c r="L448" s="22" t="str">
        <x:v>可承受</x:v>
      </x:c>
    </x:row>
    <x:row r="449" ht="24" customHeight="1">
      <x:c r="A449" s="22" t="str">
        <x:v>C07-M031</x:v>
      </x:c>
      <x:c r="B449" s="22" t="str">
        <x:v>冻雾幻刃客</x:v>
      </x:c>
      <x:c r="C449" s="22" t="str">
        <x:v>XX908</x:v>
      </x:c>
      <x:c r="D449" s="22" t="str">
        <x:v>P0220</x:v>
      </x:c>
      <x:c r="E449" s="22" t="str">
        <x:v>稀有</x:v>
      </x:c>
      <x:c r="F449" s="22" t="n">
        <x:v>8.258430307235788</x:v>
      </x:c>
      <x:c r="G449" s="22" t="n">
        <x:v>-7</x:v>
      </x:c>
      <x:c r="H449" s="22" t="n">
        <x:v>594765.5357955161</x:v>
      </x:c>
      <x:c r="I449" s="22" t="n">
        <x:v>13087123.843585476</x:v>
      </x:c>
      <x:c r="J449" s="22" t="n">
        <x:v>961589.3</x:v>
      </x:c>
      <x:c r="K449" s="22" t="n">
        <x:v>3269403.6200000006</x:v>
      </x:c>
      <x:c r="L449" s="22" t="str">
        <x:v>可承受</x:v>
      </x:c>
    </x:row>
    <x:row r="450" ht="24" customHeight="1">
      <x:c r="A450" s="22" t="str">
        <x:v>C07-M032</x:v>
      </x:c>
      <x:c r="B450" s="22" t="str">
        <x:v>寒狱冰骨将</x:v>
      </x:c>
      <x:c r="C450" s="22" t="str">
        <x:v>XX909</x:v>
      </x:c>
      <x:c r="D450" s="22" t="str">
        <x:v>P0220</x:v>
      </x:c>
      <x:c r="E450" s="22" t="str">
        <x:v>稀有</x:v>
      </x:c>
      <x:c r="F450" s="22" t="n">
        <x:v>9.539910872151685</x:v>
      </x:c>
      <x:c r="G450" s="22" t="n">
        <x:v>-7</x:v>
      </x:c>
      <x:c r="H450" s="22" t="n">
        <x:v>594765.5357955161</x:v>
      </x:c>
      <x:c r="I450" s="22" t="n">
        <x:v>13087123.843585476</x:v>
      </x:c>
      <x:c r="J450" s="22" t="n">
        <x:v>961589.3</x:v>
      </x:c>
      <x:c r="K450" s="22" t="n">
        <x:v>3269403.6200000006</x:v>
      </x:c>
      <x:c r="L450" s="22" t="str">
        <x:v>可承受</x:v>
      </x:c>
    </x:row>
    <x:row r="451" ht="24" customHeight="1">
      <x:c r="A451" s="22" t="str">
        <x:v>C07-M033</x:v>
      </x:c>
      <x:c r="B451" s="22" t="str">
        <x:v>祭坛霜钟僧</x:v>
      </x:c>
      <x:c r="C451" s="22" t="str">
        <x:v>XX910</x:v>
      </x:c>
      <x:c r="D451" s="22" t="str">
        <x:v>P0220</x:v>
      </x:c>
      <x:c r="E451" s="22" t="str">
        <x:v>稀有</x:v>
      </x:c>
      <x:c r="F451" s="22" t="n">
        <x:v>7.8312701189304885</x:v>
      </x:c>
      <x:c r="G451" s="22" t="n">
        <x:v>-7</x:v>
      </x:c>
      <x:c r="H451" s="22" t="n">
        <x:v>594765.5357955161</x:v>
      </x:c>
      <x:c r="I451" s="22" t="n">
        <x:v>13087123.843585476</x:v>
      </x:c>
      <x:c r="J451" s="22" t="n">
        <x:v>961589.3</x:v>
      </x:c>
      <x:c r="K451" s="22" t="n">
        <x:v>3269403.6200000006</x:v>
      </x:c>
      <x:c r="L451" s="22" t="str">
        <x:v>可承受</x:v>
      </x:c>
    </x:row>
    <x:row r="452" ht="24" customHeight="1">
      <x:c r="A452" s="22" t="str">
        <x:v>C07-M034</x:v>
      </x:c>
      <x:c r="B452" s="22" t="str">
        <x:v>圣所银角兽</x:v>
      </x:c>
      <x:c r="C452" s="22" t="str">
        <x:v>XX911</x:v>
      </x:c>
      <x:c r="D452" s="22" t="str">
        <x:v>P0220</x:v>
      </x:c>
      <x:c r="E452" s="22" t="str">
        <x:v>稀有</x:v>
      </x:c>
      <x:c r="F452" s="22" t="n">
        <x:v>21.706841849978794</x:v>
      </x:c>
      <x:c r="G452" s="22" t="n">
        <x:v>-67</x:v>
      </x:c>
      <x:c r="H452" s="22" t="n">
        <x:v>599543.8698950949</x:v>
      </x:c>
      <x:c r="I452" s="22" t="n">
        <x:v>13087123.843585476</x:v>
      </x:c>
      <x:c r="J452" s="22" t="n">
        <x:v>77289.3</x:v>
      </x:c>
      <x:c r="K452" s="22" t="n">
        <x:v>1190255.22</x:v>
      </x:c>
      <x:c r="L452" s="22" t="str">
        <x:v>可承受</x:v>
      </x:c>
    </x:row>
    <x:row r="453" ht="24" customHeight="1">
      <x:c r="A453" s="22" t="str">
        <x:v>C07-M035</x:v>
      </x:c>
      <x:c r="B453" s="22" t="str">
        <x:v>冰祭审判者·诺薇</x:v>
      </x:c>
      <x:c r="C453" s="22" t="str">
        <x:v>XX910</x:v>
      </x:c>
      <x:c r="D453" s="22" t="str">
        <x:v>P0227</x:v>
      </x:c>
      <x:c r="E453" s="22" t="str">
        <x:v>地图BOSS</x:v>
      </x:c>
      <x:c r="F453" s="22" t="n">
        <x:v>82.06944017052467</x:v>
      </x:c>
      <x:c r="G453" s="22" t="n">
        <x:v>-7</x:v>
      </x:c>
      <x:c r="H453" s="22" t="n">
        <x:v>1014178.9975601432</x:v>
      </x:c>
      <x:c r="I453" s="22" t="n">
        <x:v>17508272.53454618</x:v>
      </x:c>
      <x:c r="J453" s="22" t="n">
        <x:v>1738584.305</x:v>
      </x:c>
      <x:c r="K453" s="22" t="n">
        <x:v>5911186.637</x:v>
      </x:c>
      <x:c r="L453" s="22" t="str">
        <x:v>可承受</x:v>
      </x:c>
    </x:row>
    <x:row r="454" ht="24" customHeight="1">
      <x:c r="A454" s="22" t="str">
        <x:v>C07-M036</x:v>
      </x:c>
      <x:c r="B454" s="22" t="str">
        <x:v>极寒圣女·希尔达</x:v>
      </x:c>
      <x:c r="C454" s="22" t="str">
        <x:v>XX911</x:v>
      </x:c>
      <x:c r="D454" s="22" t="str">
        <x:v>P0228</x:v>
      </x:c>
      <x:c r="E454" s="22" t="str">
        <x:v>地图BOSS</x:v>
      </x:c>
      <x:c r="F454" s="22" t="n">
        <x:v>75.82713623049649</x:v>
      </x:c>
      <x:c r="G454" s="22" t="n">
        <x:v>-67</x:v>
      </x:c>
      <x:c r="H454" s="22" t="n">
        <x:v>1009271.1265055151</x:v>
      </x:c>
      <x:c r="I454" s="22" t="n">
        <x:v>17508272.53454618</x:v>
      </x:c>
      <x:c r="J454" s="22" t="n">
        <x:v>136484.305</x:v>
      </x:c>
      <x:c r="K454" s="22" t="n">
        <x:v>2101858.297</x:v>
      </x:c>
      <x:c r="L454" s="22" t="str">
        <x:v>可承受</x:v>
      </x:c>
    </x:row>
    <x:row r="455" ht="24" customHeight="1">
      <x:c r="A455" s="22" t="str">
        <x:v>C07-M037</x:v>
      </x:c>
      <x:c r="B455" s="22" t="str">
        <x:v>化圣霜王·埃琉斯</x:v>
      </x:c>
      <x:c r="C455" s="22" t="str">
        <x:v>XX911</x:v>
      </x:c>
      <x:c r="D455" s="22" t="str">
        <x:v>P0232</x:v>
      </x:c>
      <x:c r="E455" s="22" t="str">
        <x:v>守关BOSS</x:v>
      </x:c>
      <x:c r="F455" s="22" t="n">
        <x:v>297.8814708778867</x:v>
      </x:c>
      <x:c r="G455" s="22" t="n">
        <x:v>6</x:v>
      </x:c>
      <x:c r="H455" s="22" t="n">
        <x:v>1442788.915</x:v>
      </x:c>
      <x:c r="I455" s="22" t="n">
        <x:v>47569376.39124384</x:v>
      </x:c>
      <x:c r="J455" s="22" t="n">
        <x:v>3329577.83</x:v>
      </x:c>
      <x:c r="K455" s="22" t="n">
        <x:v>3329577.83</x:v>
      </x:c>
      <x:c r="L455" s="22" t="str">
        <x:v>可承受</x:v>
      </x:c>
    </x:row>
    <x:row r="456" ht="24" customHeight="1">
      <x:c r="A456" s="22" t="str">
        <x:v>C08-M001</x:v>
      </x:c>
      <x:c r="B456" s="22" t="str">
        <x:v>霜蹄岩羊</x:v>
      </x:c>
      <x:c r="C456" s="22" t="str">
        <x:v>XX900</x:v>
      </x:c>
      <x:c r="D456" s="22" t="str">
        <x:v>P0237</x:v>
      </x:c>
      <x:c r="E456" s="22" t="str">
        <x:v>普通</x:v>
      </x:c>
      <x:c r="F456" s="22" t="n">
        <x:v>2.3103053305918597</x:v>
      </x:c>
      <x:c r="G456" s="22" t="n">
        <x:v>6</x:v>
      </x:c>
      <x:c r="H456" s="22" t="n">
        <x:v>462236.14374999993</x:v>
      </x:c>
      <x:c r="I456" s="22" t="n">
        <x:v>55265891.1244139</x:v>
      </x:c>
      <x:c r="J456" s="22" t="n">
        <x:v>850577.83</x:v>
      </x:c>
      <x:c r="K456" s="22" t="n">
        <x:v>850577.83</x:v>
      </x:c>
      <x:c r="L456" s="22" t="str">
        <x:v>可承受</x:v>
      </x:c>
    </x:row>
    <x:row r="457" ht="24" customHeight="1">
      <x:c r="A457" s="22" t="str">
        <x:v>C08-M002</x:v>
      </x:c>
      <x:c r="B457" s="22" t="str">
        <x:v>背冰拾荒者</x:v>
      </x:c>
      <x:c r="C457" s="22" t="str">
        <x:v>XX900</x:v>
      </x:c>
      <x:c r="D457" s="22" t="str">
        <x:v>P0237</x:v>
      </x:c>
      <x:c r="E457" s="22" t="str">
        <x:v>普通</x:v>
      </x:c>
      <x:c r="F457" s="22" t="n">
        <x:v>2.438655626735852</x:v>
      </x:c>
      <x:c r="G457" s="22" t="n">
        <x:v>6</x:v>
      </x:c>
      <x:c r="H457" s="22" t="n">
        <x:v>462236.14374999993</x:v>
      </x:c>
      <x:c r="I457" s="22" t="n">
        <x:v>55265891.1244139</x:v>
      </x:c>
      <x:c r="J457" s="22" t="n">
        <x:v>850577.83</x:v>
      </x:c>
      <x:c r="K457" s="22" t="n">
        <x:v>850577.83</x:v>
      </x:c>
      <x:c r="L457" s="22" t="str">
        <x:v>可承受</x:v>
      </x:c>
    </x:row>
    <x:row r="458" ht="24" customHeight="1">
      <x:c r="A458" s="22" t="str">
        <x:v>C08-M003</x:v>
      </x:c>
      <x:c r="B458" s="22" t="str">
        <x:v>冰脊雪猿</x:v>
      </x:c>
      <x:c r="C458" s="22" t="str">
        <x:v>XX901</x:v>
      </x:c>
      <x:c r="D458" s="22" t="str">
        <x:v>P0237</x:v>
      </x:c>
      <x:c r="E458" s="22" t="str">
        <x:v>普通</x:v>
      </x:c>
      <x:c r="F458" s="22" t="n">
        <x:v>2.952056811311821</x:v>
      </x:c>
      <x:c r="G458" s="22" t="n">
        <x:v>6</x:v>
      </x:c>
      <x:c r="H458" s="22" t="n">
        <x:v>462236.14374999993</x:v>
      </x:c>
      <x:c r="I458" s="22" t="n">
        <x:v>55265891.1244139</x:v>
      </x:c>
      <x:c r="J458" s="22" t="n">
        <x:v>850577.83</x:v>
      </x:c>
      <x:c r="K458" s="22" t="n">
        <x:v>850577.83</x:v>
      </x:c>
      <x:c r="L458" s="22" t="str">
        <x:v>可承受</x:v>
      </x:c>
    </x:row>
    <x:row r="459" ht="24" customHeight="1">
      <x:c r="A459" s="22" t="str">
        <x:v>C08-M004</x:v>
      </x:c>
      <x:c r="B459" s="22" t="str">
        <x:v>古道冻骸</x:v>
      </x:c>
      <x:c r="C459" s="22" t="str">
        <x:v>XX901</x:v>
      </x:c>
      <x:c r="D459" s="22" t="str">
        <x:v>P0237</x:v>
      </x:c>
      <x:c r="E459" s="22" t="str">
        <x:v>普通</x:v>
      </x:c>
      <x:c r="F459" s="22" t="n">
        <x:v>2.952056811311821</x:v>
      </x:c>
      <x:c r="G459" s="22" t="n">
        <x:v>6</x:v>
      </x:c>
      <x:c r="H459" s="22" t="n">
        <x:v>462236.14374999993</x:v>
      </x:c>
      <x:c r="I459" s="22" t="n">
        <x:v>55265891.1244139</x:v>
      </x:c>
      <x:c r="J459" s="22" t="n">
        <x:v>850577.83</x:v>
      </x:c>
      <x:c r="K459" s="22" t="n">
        <x:v>850577.83</x:v>
      </x:c>
      <x:c r="L459" s="22" t="str">
        <x:v>可承受</x:v>
      </x:c>
    </x:row>
    <x:row r="460" ht="24" customHeight="1">
      <x:c r="A460" s="22" t="str">
        <x:v>C08-M005</x:v>
      </x:c>
      <x:c r="B460" s="22" t="str">
        <x:v>暴雪青隼</x:v>
      </x:c>
      <x:c r="C460" s="22" t="str">
        <x:v>XX902</x:v>
      </x:c>
      <x:c r="D460" s="22" t="str">
        <x:v>P0237</x:v>
      </x:c>
      <x:c r="E460" s="22" t="str">
        <x:v>普通</x:v>
      </x:c>
      <x:c r="F460" s="22" t="n">
        <x:v>2.438655626735852</x:v>
      </x:c>
      <x:c r="G460" s="22" t="n">
        <x:v>6</x:v>
      </x:c>
      <x:c r="H460" s="22" t="n">
        <x:v>462236.14374999993</x:v>
      </x:c>
      <x:c r="I460" s="22" t="n">
        <x:v>55265891.1244139</x:v>
      </x:c>
      <x:c r="J460" s="22" t="n">
        <x:v>850577.83</x:v>
      </x:c>
      <x:c r="K460" s="22" t="n">
        <x:v>850577.83</x:v>
      </x:c>
      <x:c r="L460" s="22" t="str">
        <x:v>可承受</x:v>
      </x:c>
    </x:row>
    <x:row r="461" ht="24" customHeight="1">
      <x:c r="A461" s="22" t="str">
        <x:v>C08-M006</x:v>
      </x:c>
      <x:c r="B461" s="22" t="str">
        <x:v>祭台霜烛灵</x:v>
      </x:c>
      <x:c r="C461" s="22" t="str">
        <x:v>XX903</x:v>
      </x:c>
      <x:c r="D461" s="22" t="str">
        <x:v>P0237</x:v>
      </x:c>
      <x:c r="E461" s="22" t="str">
        <x:v>普通</x:v>
      </x:c>
      <x:c r="F461" s="22" t="n">
        <x:v>2.952056811311821</x:v>
      </x:c>
      <x:c r="G461" s="22" t="n">
        <x:v>6</x:v>
      </x:c>
      <x:c r="H461" s="22" t="n">
        <x:v>462236.14374999993</x:v>
      </x:c>
      <x:c r="I461" s="22" t="n">
        <x:v>55265891.1244139</x:v>
      </x:c>
      <x:c r="J461" s="22" t="n">
        <x:v>850577.83</x:v>
      </x:c>
      <x:c r="K461" s="22" t="n">
        <x:v>850577.83</x:v>
      </x:c>
      <x:c r="L461" s="22" t="str">
        <x:v>可承受</x:v>
      </x:c>
    </x:row>
    <x:row r="462" ht="24" customHeight="1">
      <x:c r="A462" s="22" t="str">
        <x:v>C08-M007</x:v>
      </x:c>
      <x:c r="B462" s="22" t="str">
        <x:v>雾凇引路人</x:v>
      </x:c>
      <x:c r="C462" s="22" t="str">
        <x:v>XX900</x:v>
      </x:c>
      <x:c r="D462" s="22" t="str">
        <x:v>P0237</x:v>
      </x:c>
      <x:c r="E462" s="22" t="str">
        <x:v>稀有</x:v>
      </x:c>
      <x:c r="F462" s="22" t="n">
        <x:v>7.546769541689028</x:v>
      </x:c>
      <x:c r="G462" s="22" t="n">
        <x:v>6</x:v>
      </x:c>
      <x:c r="H462" s="22" t="n">
        <x:v>794163.4294117647</x:v>
      </x:c>
      <x:c r="I462" s="22" t="n">
        <x:v>55265891.1244139</x:v>
      </x:c>
      <x:c r="J462" s="22" t="n">
        <x:v>1553577.83</x:v>
      </x:c>
      <x:c r="K462" s="22" t="n">
        <x:v>1553577.83</x:v>
      </x:c>
      <x:c r="L462" s="22" t="str">
        <x:v>可承受</x:v>
      </x:c>
    </x:row>
    <x:row r="463" ht="24" customHeight="1">
      <x:c r="A463" s="22" t="str">
        <x:v>C08-M008</x:v>
      </x:c>
      <x:c r="B463" s="22" t="str">
        <x:v>冰脊驮碑兽</x:v>
      </x:c>
      <x:c r="C463" s="22" t="str">
        <x:v>XX901</x:v>
      </x:c>
      <x:c r="D463" s="22" t="str">
        <x:v>P0237</x:v>
      </x:c>
      <x:c r="E463" s="22" t="str">
        <x:v>稀有</x:v>
      </x:c>
      <x:c r="F463" s="22" t="n">
        <x:v>7.203734562521345</x:v>
      </x:c>
      <x:c r="G463" s="22" t="n">
        <x:v>6</x:v>
      </x:c>
      <x:c r="H463" s="22" t="n">
        <x:v>794163.4294117647</x:v>
      </x:c>
      <x:c r="I463" s="22" t="n">
        <x:v>55265891.1244139</x:v>
      </x:c>
      <x:c r="J463" s="22" t="n">
        <x:v>1553577.83</x:v>
      </x:c>
      <x:c r="K463" s="22" t="n">
        <x:v>1553577.83</x:v>
      </x:c>
      <x:c r="L463" s="22" t="str">
        <x:v>可承受</x:v>
      </x:c>
    </x:row>
    <x:row r="464" ht="24" customHeight="1">
      <x:c r="A464" s="22" t="str">
        <x:v>C08-M009</x:v>
      </x:c>
      <x:c r="B464" s="22" t="str">
        <x:v>啸峰白魈</x:v>
      </x:c>
      <x:c r="C464" s="22" t="str">
        <x:v>XX902</x:v>
      </x:c>
      <x:c r="D464" s="22" t="str">
        <x:v>P0237</x:v>
      </x:c>
      <x:c r="E464" s="22" t="str">
        <x:v>稀有</x:v>
      </x:c>
      <x:c r="F464" s="22" t="n">
        <x:v>7.546769541689028</x:v>
      </x:c>
      <x:c r="G464" s="22" t="n">
        <x:v>6</x:v>
      </x:c>
      <x:c r="H464" s="22" t="n">
        <x:v>794163.4294117647</x:v>
      </x:c>
      <x:c r="I464" s="22" t="n">
        <x:v>55265891.1244139</x:v>
      </x:c>
      <x:c r="J464" s="22" t="n">
        <x:v>1553577.83</x:v>
      </x:c>
      <x:c r="K464" s="22" t="n">
        <x:v>1553577.83</x:v>
      </x:c>
      <x:c r="L464" s="22" t="str">
        <x:v>可承受</x:v>
      </x:c>
    </x:row>
    <x:row r="465" ht="24" customHeight="1">
      <x:c r="A465" s="22" t="str">
        <x:v>C08-M010</x:v>
      </x:c>
      <x:c r="B465" s="22" t="str">
        <x:v>祭台封誓者</x:v>
      </x:c>
      <x:c r="C465" s="22" t="str">
        <x:v>XX903</x:v>
      </x:c>
      <x:c r="D465" s="22" t="str">
        <x:v>P0237</x:v>
      </x:c>
      <x:c r="E465" s="22" t="str">
        <x:v>稀有</x:v>
      </x:c>
      <x:c r="F465" s="22" t="n">
        <x:v>7.546769541689028</x:v>
      </x:c>
      <x:c r="G465" s="22" t="n">
        <x:v>6</x:v>
      </x:c>
      <x:c r="H465" s="22" t="n">
        <x:v>794163.4294117647</x:v>
      </x:c>
      <x:c r="I465" s="22" t="n">
        <x:v>55265891.1244139</x:v>
      </x:c>
      <x:c r="J465" s="22" t="n">
        <x:v>1553577.83</x:v>
      </x:c>
      <x:c r="K465" s="22" t="n">
        <x:v>1553577.83</x:v>
      </x:c>
      <x:c r="L465" s="22" t="str">
        <x:v>可承受</x:v>
      </x:c>
    </x:row>
    <x:row r="466" ht="24" customHeight="1">
      <x:c r="A466" s="22" t="str">
        <x:v>C08-M011</x:v>
      </x:c>
      <x:c r="B466" s="22" t="str">
        <x:v>雪崩号角·赫罗姆</x:v>
      </x:c>
      <x:c r="C466" s="22" t="str">
        <x:v>XX902</x:v>
      </x:c>
      <x:c r="D466" s="22" t="str">
        <x:v>P0239</x:v>
      </x:c>
      <x:c r="E466" s="22" t="str">
        <x:v>地图BOSS</x:v>
      </x:c>
      <x:c r="F466" s="22" t="n">
        <x:v>76.06559095022963</x:v>
      </x:c>
      <x:c r="G466" s="22" t="n">
        <x:v>6</x:v>
      </x:c>
      <x:c r="H466" s="22" t="n">
        <x:v>1120043.2388888889</x:v>
      </x:c>
      <x:c r="I466" s="22" t="n">
        <x:v>55838880.99607904</x:v>
      </x:c>
      <x:c r="J466" s="22" t="n">
        <x:v>2330577.83</x:v>
      </x:c>
      <x:c r="K466" s="22" t="n">
        <x:v>2330577.83</x:v>
      </x:c>
      <x:c r="L466" s="22" t="str">
        <x:v>可承受</x:v>
      </x:c>
    </x:row>
    <x:row r="467" ht="24" customHeight="1">
      <x:c r="A467" s="22" t="str">
        <x:v>C08-M012</x:v>
      </x:c>
      <x:c r="B467" s="22" t="str">
        <x:v>山巅霜祀·伊芙迦</x:v>
      </x:c>
      <x:c r="C467" s="22" t="str">
        <x:v>XX903</x:v>
      </x:c>
      <x:c r="D467" s="22" t="str">
        <x:v>P0240</x:v>
      </x:c>
      <x:c r="E467" s="22" t="str">
        <x:v>地图BOSS</x:v>
      </x:c>
      <x:c r="F467" s="22" t="n">
        <x:v>86.93210394311957</x:v>
      </x:c>
      <x:c r="G467" s="22" t="n">
        <x:v>6</x:v>
      </x:c>
      <x:c r="H467" s="22" t="n">
        <x:v>1120043.2388888889</x:v>
      </x:c>
      <x:c r="I467" s="22" t="n">
        <x:v>55838880.99607904</x:v>
      </x:c>
      <x:c r="J467" s="22" t="n">
        <x:v>2330577.83</x:v>
      </x:c>
      <x:c r="K467" s="22" t="n">
        <x:v>2330577.83</x:v>
      </x:c>
      <x:c r="L467" s="22" t="str">
        <x:v>可承受</x:v>
      </x:c>
    </x:row>
    <x:row r="468" ht="24" customHeight="1">
      <x:c r="A468" s="22" t="str">
        <x:v>C08-M013</x:v>
      </x:c>
      <x:c r="B468" s="22" t="str">
        <x:v>断峰岩獾</x:v>
      </x:c>
      <x:c r="C468" s="22" t="str">
        <x:v>XX320</x:v>
      </x:c>
      <x:c r="D468" s="22" t="str">
        <x:v>P0238</x:v>
      </x:c>
      <x:c r="E468" s="22" t="str">
        <x:v>普通</x:v>
      </x:c>
      <x:c r="F468" s="22" t="n">
        <x:v>2.567005922879844</x:v>
      </x:c>
      <x:c r="G468" s="22" t="n">
        <x:v>1</x:v>
      </x:c>
      <x:c r="H468" s="22" t="n">
        <x:v>462236.14374999993</x:v>
      </x:c>
      <x:c r="I468" s="22" t="n">
        <x:v>55265891.1244139</x:v>
      </x:c>
      <x:c r="J468" s="22" t="n">
        <x:v>850577.83</x:v>
      </x:c>
      <x:c r="K468" s="22" t="n">
        <x:v>850577.83</x:v>
      </x:c>
      <x:c r="L468" s="22" t="str">
        <x:v>可承受</x:v>
      </x:c>
    </x:row>
    <x:row r="469" ht="24" customHeight="1">
      <x:c r="A469" s="22" t="str">
        <x:v>C08-M014</x:v>
      </x:c>
      <x:c r="B469" s="22" t="str">
        <x:v>负霜矿奴</x:v>
      </x:c>
      <x:c r="C469" s="22" t="str">
        <x:v>XX320</x:v>
      </x:c>
      <x:c r="D469" s="22" t="str">
        <x:v>P0238</x:v>
      </x:c>
      <x:c r="E469" s="22" t="str">
        <x:v>普通</x:v>
      </x:c>
      <x:c r="F469" s="22" t="n">
        <x:v>2.823706515167829</x:v>
      </x:c>
      <x:c r="G469" s="22" t="n">
        <x:v>1</x:v>
      </x:c>
      <x:c r="H469" s="22" t="n">
        <x:v>462236.14374999993</x:v>
      </x:c>
      <x:c r="I469" s="22" t="n">
        <x:v>55265891.1244139</x:v>
      </x:c>
      <x:c r="J469" s="22" t="n">
        <x:v>850577.83</x:v>
      </x:c>
      <x:c r="K469" s="22" t="n">
        <x:v>850577.83</x:v>
      </x:c>
      <x:c r="L469" s="22" t="str">
        <x:v>可承受</x:v>
      </x:c>
    </x:row>
    <x:row r="470" ht="24" customHeight="1">
      <x:c r="A470" s="22" t="str">
        <x:v>C08-M015</x:v>
      </x:c>
      <x:c r="B470" s="22" t="str">
        <x:v>碎冰桥弩卒</x:v>
      </x:c>
      <x:c r="C470" s="22" t="str">
        <x:v>XX318</x:v>
      </x:c>
      <x:c r="D470" s="22" t="str">
        <x:v>P0238</x:v>
      </x:c>
      <x:c r="E470" s="22" t="str">
        <x:v>普通</x:v>
      </x:c>
      <x:c r="F470" s="22" t="n">
        <x:v>2.3103053305918597</x:v>
      </x:c>
      <x:c r="G470" s="22" t="n">
        <x:v>1</x:v>
      </x:c>
      <x:c r="H470" s="22" t="n">
        <x:v>462236.14374999993</x:v>
      </x:c>
      <x:c r="I470" s="22" t="n">
        <x:v>55265891.1244139</x:v>
      </x:c>
      <x:c r="J470" s="22" t="n">
        <x:v>850577.83</x:v>
      </x:c>
      <x:c r="K470" s="22" t="n">
        <x:v>850577.83</x:v>
      </x:c>
      <x:c r="L470" s="22" t="str">
        <x:v>可承受</x:v>
      </x:c>
    </x:row>
    <x:row r="471" ht="24" customHeight="1">
      <x:c r="A471" s="22" t="str">
        <x:v>C08-M016</x:v>
      </x:c>
      <x:c r="B471" s="22" t="str">
        <x:v>天桥冰甲虫</x:v>
      </x:c>
      <x:c r="C471" s="22" t="str">
        <x:v>XX318</x:v>
      </x:c>
      <x:c r="D471" s="22" t="str">
        <x:v>P0238</x:v>
      </x:c>
      <x:c r="E471" s="22" t="str">
        <x:v>普通</x:v>
      </x:c>
      <x:c r="F471" s="22" t="n">
        <x:v>2.3103053305918597</x:v>
      </x:c>
      <x:c r="G471" s="22" t="n">
        <x:v>1</x:v>
      </x:c>
      <x:c r="H471" s="22" t="n">
        <x:v>462236.14374999993</x:v>
      </x:c>
      <x:c r="I471" s="22" t="n">
        <x:v>55265891.1244139</x:v>
      </x:c>
      <x:c r="J471" s="22" t="n">
        <x:v>850577.83</x:v>
      </x:c>
      <x:c r="K471" s="22" t="n">
        <x:v>850577.83</x:v>
      </x:c>
      <x:c r="L471" s="22" t="str">
        <x:v>可承受</x:v>
      </x:c>
    </x:row>
    <x:row r="472" ht="24" customHeight="1">
      <x:c r="A472" s="22" t="str">
        <x:v>C08-M017</x:v>
      </x:c>
      <x:c r="B472" s="22" t="str">
        <x:v>裂谷寒翼蝠</x:v>
      </x:c>
      <x:c r="C472" s="22" t="str">
        <x:v>XX319</x:v>
      </x:c>
      <x:c r="D472" s="22" t="str">
        <x:v>P0238</x:v>
      </x:c>
      <x:c r="E472" s="22" t="str">
        <x:v>普通</x:v>
      </x:c>
      <x:c r="F472" s="22" t="n">
        <x:v>2.567005922879844</x:v>
      </x:c>
      <x:c r="G472" s="22" t="n">
        <x:v>1</x:v>
      </x:c>
      <x:c r="H472" s="22" t="n">
        <x:v>462236.14374999993</x:v>
      </x:c>
      <x:c r="I472" s="22" t="n">
        <x:v>55265891.1244139</x:v>
      </x:c>
      <x:c r="J472" s="22" t="n">
        <x:v>850577.83</x:v>
      </x:c>
      <x:c r="K472" s="22" t="n">
        <x:v>850577.83</x:v>
      </x:c>
      <x:c r="L472" s="22" t="str">
        <x:v>可承受</x:v>
      </x:c>
    </x:row>
    <x:row r="473" ht="24" customHeight="1">
      <x:c r="A473" s="22" t="str">
        <x:v>C08-M018</x:v>
      </x:c>
      <x:c r="B473" s="22" t="str">
        <x:v>祭场残斧魂</x:v>
      </x:c>
      <x:c r="C473" s="22" t="str">
        <x:v>XX316</x:v>
      </x:c>
      <x:c r="D473" s="22" t="str">
        <x:v>P0238</x:v>
      </x:c>
      <x:c r="E473" s="22" t="str">
        <x:v>普通</x:v>
      </x:c>
      <x:c r="F473" s="22" t="n">
        <x:v>2.952056811311821</x:v>
      </x:c>
      <x:c r="G473" s="22" t="n">
        <x:v>1</x:v>
      </x:c>
      <x:c r="H473" s="22" t="n">
        <x:v>462236.14374999993</x:v>
      </x:c>
      <x:c r="I473" s="22" t="n">
        <x:v>55265891.1244139</x:v>
      </x:c>
      <x:c r="J473" s="22" t="n">
        <x:v>850577.83</x:v>
      </x:c>
      <x:c r="K473" s="22" t="n">
        <x:v>850577.83</x:v>
      </x:c>
      <x:c r="L473" s="22" t="str">
        <x:v>可承受</x:v>
      </x:c>
    </x:row>
    <x:row r="474" ht="24" customHeight="1">
      <x:c r="A474" s="22" t="str">
        <x:v>C08-M019</x:v>
      </x:c>
      <x:c r="B474" s="22" t="str">
        <x:v>断冰猎旗手</x:v>
      </x:c>
      <x:c r="C474" s="22" t="str">
        <x:v>XX320</x:v>
      </x:c>
      <x:c r="D474" s="22" t="str">
        <x:v>P0238</x:v>
      </x:c>
      <x:c r="E474" s="22" t="str">
        <x:v>稀有</x:v>
      </x:c>
      <x:c r="F474" s="22" t="n">
        <x:v>7.203734562521345</x:v>
      </x:c>
      <x:c r="G474" s="22" t="n">
        <x:v>1</x:v>
      </x:c>
      <x:c r="H474" s="22" t="n">
        <x:v>794163.4294117647</x:v>
      </x:c>
      <x:c r="I474" s="22" t="n">
        <x:v>55265891.1244139</x:v>
      </x:c>
      <x:c r="J474" s="22" t="n">
        <x:v>1553577.83</x:v>
      </x:c>
      <x:c r="K474" s="22" t="n">
        <x:v>1553577.83</x:v>
      </x:c>
      <x:c r="L474" s="22" t="str">
        <x:v>可承受</x:v>
      </x:c>
    </x:row>
    <x:row r="475" ht="24" customHeight="1">
      <x:c r="A475" s="22" t="str">
        <x:v>C08-M020</x:v>
      </x:c>
      <x:c r="B475" s="22" t="str">
        <x:v>天桥踏索客</x:v>
      </x:c>
      <x:c r="C475" s="22" t="str">
        <x:v>XX318</x:v>
      </x:c>
      <x:c r="D475" s="22" t="str">
        <x:v>P0238</x:v>
      </x:c>
      <x:c r="E475" s="22" t="str">
        <x:v>稀有</x:v>
      </x:c>
      <x:c r="F475" s="22" t="n">
        <x:v>8.575874479192077</x:v>
      </x:c>
      <x:c r="G475" s="22" t="n">
        <x:v>1</x:v>
      </x:c>
      <x:c r="H475" s="22" t="n">
        <x:v>794163.4294117647</x:v>
      </x:c>
      <x:c r="I475" s="22" t="n">
        <x:v>55265891.1244139</x:v>
      </x:c>
      <x:c r="J475" s="22" t="n">
        <x:v>1553577.83</x:v>
      </x:c>
      <x:c r="K475" s="22" t="n">
        <x:v>1553577.83</x:v>
      </x:c>
      <x:c r="L475" s="22" t="str">
        <x:v>可承受</x:v>
      </x:c>
    </x:row>
    <x:row r="476" ht="24" customHeight="1">
      <x:c r="A476" s="22" t="str">
        <x:v>C08-M021</x:v>
      </x:c>
      <x:c r="B476" s="22" t="str">
        <x:v>裂谷雪嚎兽</x:v>
      </x:c>
      <x:c r="C476" s="22" t="str">
        <x:v>XX319</x:v>
      </x:c>
      <x:c r="D476" s="22" t="str">
        <x:v>P0238</x:v>
      </x:c>
      <x:c r="E476" s="22" t="str">
        <x:v>稀有</x:v>
      </x:c>
      <x:c r="F476" s="22" t="n">
        <x:v>8.575874479192077</x:v>
      </x:c>
      <x:c r="G476" s="22" t="n">
        <x:v>1</x:v>
      </x:c>
      <x:c r="H476" s="22" t="n">
        <x:v>794163.4294117647</x:v>
      </x:c>
      <x:c r="I476" s="22" t="n">
        <x:v>55265891.1244139</x:v>
      </x:c>
      <x:c r="J476" s="22" t="n">
        <x:v>1553577.83</x:v>
      </x:c>
      <x:c r="K476" s="22" t="n">
        <x:v>1553577.83</x:v>
      </x:c>
      <x:c r="L476" s="22" t="str">
        <x:v>可承受</x:v>
      </x:c>
    </x:row>
    <x:row r="477" ht="24" customHeight="1">
      <x:c r="A477" s="22" t="str">
        <x:v>C08-M022</x:v>
      </x:c>
      <x:c r="B477" s="22" t="str">
        <x:v>祭场缄誓巫</x:v>
      </x:c>
      <x:c r="C477" s="22" t="str">
        <x:v>XX316</x:v>
      </x:c>
      <x:c r="D477" s="22" t="str">
        <x:v>P0238</x:v>
      </x:c>
      <x:c r="E477" s="22" t="str">
        <x:v>稀有</x:v>
      </x:c>
      <x:c r="F477" s="22" t="n">
        <x:v>7.203734562521345</x:v>
      </x:c>
      <x:c r="G477" s="22" t="n">
        <x:v>1</x:v>
      </x:c>
      <x:c r="H477" s="22" t="n">
        <x:v>794163.4294117647</x:v>
      </x:c>
      <x:c r="I477" s="22" t="n">
        <x:v>55265891.1244139</x:v>
      </x:c>
      <x:c r="J477" s="22" t="n">
        <x:v>1553577.83</x:v>
      </x:c>
      <x:c r="K477" s="22" t="n">
        <x:v>1553577.83</x:v>
      </x:c>
      <x:c r="L477" s="22" t="str">
        <x:v>可承受</x:v>
      </x:c>
    </x:row>
    <x:row r="478" ht="24" customHeight="1">
      <x:c r="A478" s="22" t="str">
        <x:v>C08-M023</x:v>
      </x:c>
      <x:c r="B478" s="22" t="str">
        <x:v>裂谷锻峰侯·德鲁伽</x:v>
      </x:c>
      <x:c r="C478" s="22" t="str">
        <x:v>XX319</x:v>
      </x:c>
      <x:c r="D478" s="22" t="str">
        <x:v>P0245</x:v>
      </x:c>
      <x:c r="E478" s="22" t="str">
        <x:v>地图BOSS</x:v>
      </x:c>
      <x:c r="F478" s="22" t="n">
        <x:v>67.37704849850996</x:v>
      </x:c>
      <x:c r="G478" s="22" t="n">
        <x:v>1</x:v>
      </x:c>
      <x:c r="H478" s="22" t="n">
        <x:v>1140595.711111111</x:v>
      </x:c>
      <x:c r="I478" s="22" t="n">
        <x:v>69484283.82849598</x:v>
      </x:c>
      <x:c r="J478" s="22" t="n">
        <x:v>2367572.28</x:v>
      </x:c>
      <x:c r="K478" s="22" t="n">
        <x:v>2367572.28</x:v>
      </x:c>
      <x:c r="L478" s="22" t="str">
        <x:v>可承受</x:v>
      </x:c>
    </x:row>
    <x:row r="479" ht="24" customHeight="1">
      <x:c r="A479" s="22" t="str">
        <x:v>C08-M024</x:v>
      </x:c>
      <x:c r="B479" s="22" t="str">
        <x:v>断峰献祭者·维瑟娅</x:v>
      </x:c>
      <x:c r="C479" s="22" t="str">
        <x:v>XX316</x:v>
      </x:c>
      <x:c r="D479" s="22" t="str">
        <x:v>P0246</x:v>
      </x:c>
      <x:c r="E479" s="22" t="str">
        <x:v>地图BOSS</x:v>
      </x:c>
      <x:c r="F479" s="22" t="n">
        <x:v>76.16535917222866</x:v>
      </x:c>
      <x:c r="G479" s="22" t="n">
        <x:v>1</x:v>
      </x:c>
      <x:c r="H479" s="22" t="n">
        <x:v>1140595.711111111</x:v>
      </x:c>
      <x:c r="I479" s="22" t="n">
        <x:v>69484283.82849598</x:v>
      </x:c>
      <x:c r="J479" s="22" t="n">
        <x:v>2367572.28</x:v>
      </x:c>
      <x:c r="K479" s="22" t="n">
        <x:v>2367572.28</x:v>
      </x:c>
      <x:c r="L479" s="22" t="str">
        <x:v>可承受</x:v>
      </x:c>
    </x:row>
    <x:row r="480" ht="24" customHeight="1">
      <x:c r="A480" s="22" t="str">
        <x:v>C08-M025</x:v>
      </x:c>
      <x:c r="B480" s="22" t="str">
        <x:v>冰宫雪鸦</x:v>
      </x:c>
      <x:c r="C480" s="22" t="str">
        <x:v>XX325</x:v>
      </x:c>
      <x:c r="D480" s="22" t="str">
        <x:v>P0244</x:v>
      </x:c>
      <x:c r="E480" s="22" t="str">
        <x:v>普通</x:v>
      </x:c>
      <x:c r="F480" s="22" t="n">
        <x:v>2.4250933723432233</x:v>
      </x:c>
      <x:c r="G480" s="22" t="n">
        <x:v>-9</x:v>
      </x:c>
      <x:c r="H480" s="22" t="n">
        <x:v>452179.9515771613</x:v>
      </x:c>
      <x:c r="I480" s="22" t="n">
        <x:v>68060252.48661275</x:v>
      </x:c>
      <x:c r="J480" s="22" t="n">
        <x:v>591572.28</x:v>
      </x:c>
      <x:c r="K480" s="22" t="n">
        <x:v>2247974.664</x:v>
      </x:c>
      <x:c r="L480" s="22" t="str">
        <x:v>可承受</x:v>
      </x:c>
    </x:row>
    <x:row r="481" ht="24" customHeight="1">
      <x:c r="A481" s="22" t="str">
        <x:v>C08-M026</x:v>
      </x:c>
      <x:c r="B481" s="22" t="str">
        <x:v>御阶铲雪仆</x:v>
      </x:c>
      <x:c r="C481" s="22" t="str">
        <x:v>XX325</x:v>
      </x:c>
      <x:c r="D481" s="22" t="str">
        <x:v>P0244</x:v>
      </x:c>
      <x:c r="E481" s="22" t="str">
        <x:v>普通</x:v>
      </x:c>
      <x:c r="F481" s="22" t="n">
        <x:v>2.8683900102984365</x:v>
      </x:c>
      <x:c r="G481" s="22" t="n">
        <x:v>-9</x:v>
      </x:c>
      <x:c r="H481" s="22" t="n">
        <x:v>452179.9515771613</x:v>
      </x:c>
      <x:c r="I481" s="22" t="n">
        <x:v>68060252.48661275</x:v>
      </x:c>
      <x:c r="J481" s="22" t="n">
        <x:v>591572.28</x:v>
      </x:c>
      <x:c r="K481" s="22" t="n">
        <x:v>2247974.664</x:v>
      </x:c>
      <x:c r="L481" s="22" t="str">
        <x:v>可承受</x:v>
      </x:c>
    </x:row>
    <x:row r="482" ht="24" customHeight="1">
      <x:c r="A482" s="22" t="str">
        <x:v>C08-M027</x:v>
      </x:c>
      <x:c r="B482" s="22" t="str">
        <x:v>外廊冰枪卫</x:v>
      </x:c>
      <x:c r="C482" s="22" t="str">
        <x:v>XX321</x:v>
      </x:c>
      <x:c r="D482" s="22" t="str">
        <x:v>P0244</x:v>
      </x:c>
      <x:c r="E482" s="22" t="str">
        <x:v>普通</x:v>
      </x:c>
      <x:c r="F482" s="22" t="n">
        <x:v>2.5554747364476977</x:v>
      </x:c>
      <x:c r="G482" s="22" t="n">
        <x:v>-9</x:v>
      </x:c>
      <x:c r="H482" s="22" t="n">
        <x:v>452179.9515771613</x:v>
      </x:c>
      <x:c r="I482" s="22" t="n">
        <x:v>68060252.48661275</x:v>
      </x:c>
      <x:c r="J482" s="22" t="n">
        <x:v>591572.28</x:v>
      </x:c>
      <x:c r="K482" s="22" t="n">
        <x:v>2247974.664</x:v>
      </x:c>
      <x:c r="L482" s="22" t="str">
        <x:v>可承受</x:v>
      </x:c>
    </x:row>
    <x:row r="483" ht="24" customHeight="1">
      <x:c r="A483" s="22" t="str">
        <x:v>C08-M028</x:v>
      </x:c>
      <x:c r="B483" s="22" t="str">
        <x:v>内廷霜纱侍女</x:v>
      </x:c>
      <x:c r="C483" s="22" t="str">
        <x:v>XX322</x:v>
      </x:c>
      <x:c r="D483" s="22" t="str">
        <x:v>P0244</x:v>
      </x:c>
      <x:c r="E483" s="22" t="str">
        <x:v>普通</x:v>
      </x:c>
      <x:c r="F483" s="22" t="n">
        <x:v>2.320788281059644</x:v>
      </x:c>
      <x:c r="G483" s="22" t="n">
        <x:v>-9</x:v>
      </x:c>
      <x:c r="H483" s="22" t="n">
        <x:v>452179.9515771613</x:v>
      </x:c>
      <x:c r="I483" s="22" t="n">
        <x:v>68060252.48661275</x:v>
      </x:c>
      <x:c r="J483" s="22" t="n">
        <x:v>591572.28</x:v>
      </x:c>
      <x:c r="K483" s="22" t="n">
        <x:v>2247974.664</x:v>
      </x:c>
      <x:c r="L483" s="22" t="str">
        <x:v>可承受</x:v>
      </x:c>
    </x:row>
    <x:row r="484" ht="24" customHeight="1">
      <x:c r="A484" s="22" t="str">
        <x:v>C08-M029</x:v>
      </x:c>
      <x:c r="B484" s="22" t="str">
        <x:v>议殿石髯书记</x:v>
      </x:c>
      <x:c r="C484" s="22" t="str">
        <x:v>XX323</x:v>
      </x:c>
      <x:c r="D484" s="22" t="str">
        <x:v>P0244</x:v>
      </x:c>
      <x:c r="E484" s="22" t="str">
        <x:v>普通</x:v>
      </x:c>
      <x:c r="F484" s="22" t="n">
        <x:v>2.8683900102984365</x:v>
      </x:c>
      <x:c r="G484" s="22" t="n">
        <x:v>-9</x:v>
      </x:c>
      <x:c r="H484" s="22" t="n">
        <x:v>452179.9515771613</x:v>
      </x:c>
      <x:c r="I484" s="22" t="n">
        <x:v>68060252.48661275</x:v>
      </x:c>
      <x:c r="J484" s="22" t="n">
        <x:v>591572.28</x:v>
      </x:c>
      <x:c r="K484" s="22" t="n">
        <x:v>2247974.664</x:v>
      </x:c>
      <x:c r="L484" s="22" t="str">
        <x:v>可承受</x:v>
      </x:c>
    </x:row>
    <x:row r="485" ht="24" customHeight="1">
      <x:c r="A485" s="22" t="str">
        <x:v>C08-M030</x:v>
      </x:c>
      <x:c r="B485" s="22" t="str">
        <x:v>王座寒灯侍</x:v>
      </x:c>
      <x:c r="C485" s="22" t="str">
        <x:v>XX326</x:v>
      </x:c>
      <x:c r="D485" s="22" t="str">
        <x:v>P0244</x:v>
      </x:c>
      <x:c r="E485" s="22" t="str">
        <x:v>普通</x:v>
      </x:c>
      <x:c r="F485" s="22" t="n">
        <x:v>2.4250933723432233</x:v>
      </x:c>
      <x:c r="G485" s="22" t="n">
        <x:v>-9</x:v>
      </x:c>
      <x:c r="H485" s="22" t="n">
        <x:v>452179.9515771613</x:v>
      </x:c>
      <x:c r="I485" s="22" t="n">
        <x:v>68060252.48661275</x:v>
      </x:c>
      <x:c r="J485" s="22" t="n">
        <x:v>591572.28</x:v>
      </x:c>
      <x:c r="K485" s="22" t="n">
        <x:v>2247974.664</x:v>
      </x:c>
      <x:c r="L485" s="22" t="str">
        <x:v>可承受</x:v>
      </x:c>
    </x:row>
    <x:row r="486" ht="24" customHeight="1">
      <x:c r="A486" s="22" t="str">
        <x:v>C08-M031</x:v>
      </x:c>
      <x:c r="B486" s="22" t="str">
        <x:v>外廊镜甲将</x:v>
      </x:c>
      <x:c r="C486" s="22" t="str">
        <x:v>XX321</x:v>
      </x:c>
      <x:c r="D486" s="22" t="str">
        <x:v>P0244</x:v>
      </x:c>
      <x:c r="E486" s="22" t="str">
        <x:v>稀有</x:v>
      </x:c>
      <x:c r="F486" s="22" t="n">
        <x:v>8.915887377798592</x:v>
      </x:c>
      <x:c r="G486" s="22" t="n">
        <x:v>-9</x:v>
      </x:c>
      <x:c r="H486" s="22" t="n">
        <x:v>808312.4117431259</x:v>
      </x:c>
      <x:c r="I486" s="22" t="n">
        <x:v>68060252.48661275</x:v>
      </x:c>
      <x:c r="J486" s="22" t="n">
        <x:v>1146572.28</x:v>
      </x:c>
      <x:c r="K486" s="22" t="n">
        <x:v>4356974.664</x:v>
      </x:c>
      <x:c r="L486" s="22" t="str">
        <x:v>可承受</x:v>
      </x:c>
    </x:row>
    <x:row r="487" ht="24" customHeight="1">
      <x:c r="A487" s="22" t="str">
        <x:v>C08-M032</x:v>
      </x:c>
      <x:c r="B487" s="22" t="str">
        <x:v>内廷缄声女官</x:v>
      </x:c>
      <x:c r="C487" s="22" t="str">
        <x:v>XX322</x:v>
      </x:c>
      <x:c r="D487" s="22" t="str">
        <x:v>P0244</x:v>
      </x:c>
      <x:c r="E487" s="22" t="str">
        <x:v>稀有</x:v>
      </x:c>
      <x:c r="F487" s="22" t="n">
        <x:v>7.801401455573767</x:v>
      </x:c>
      <x:c r="G487" s="22" t="n">
        <x:v>-9</x:v>
      </x:c>
      <x:c r="H487" s="22" t="n">
        <x:v>808312.4117431259</x:v>
      </x:c>
      <x:c r="I487" s="22" t="n">
        <x:v>68060252.48661275</x:v>
      </x:c>
      <x:c r="J487" s="22" t="n">
        <x:v>1146572.28</x:v>
      </x:c>
      <x:c r="K487" s="22" t="n">
        <x:v>4356974.664</x:v>
      </x:c>
      <x:c r="L487" s="22" t="str">
        <x:v>可承受</x:v>
      </x:c>
    </x:row>
    <x:row r="488" ht="24" customHeight="1">
      <x:c r="A488" s="22" t="str">
        <x:v>C08-M033</x:v>
      </x:c>
      <x:c r="B488" s="22" t="str">
        <x:v>议殿古律巨人</x:v>
      </x:c>
      <x:c r="C488" s="22" t="str">
        <x:v>XX323</x:v>
      </x:c>
      <x:c r="D488" s="22" t="str">
        <x:v>P0244</x:v>
      </x:c>
      <x:c r="E488" s="22" t="str">
        <x:v>稀有</x:v>
      </x:c>
      <x:c r="F488" s="22" t="n">
        <x:v>6.965537013905149</x:v>
      </x:c>
      <x:c r="G488" s="22" t="n">
        <x:v>-9</x:v>
      </x:c>
      <x:c r="H488" s="22" t="n">
        <x:v>808312.4117431259</x:v>
      </x:c>
      <x:c r="I488" s="22" t="n">
        <x:v>68060252.48661275</x:v>
      </x:c>
      <x:c r="J488" s="22" t="n">
        <x:v>1146572.28</x:v>
      </x:c>
      <x:c r="K488" s="22" t="n">
        <x:v>4356974.664</x:v>
      </x:c>
      <x:c r="L488" s="22" t="str">
        <x:v>可承受</x:v>
      </x:c>
    </x:row>
    <x:row r="489" ht="24" customHeight="1">
      <x:c r="A489" s="22" t="str">
        <x:v>C08-M034</x:v>
      </x:c>
      <x:c r="B489" s="22" t="str">
        <x:v>王座霜冠司礼</x:v>
      </x:c>
      <x:c r="C489" s="22" t="str">
        <x:v>XX326</x:v>
      </x:c>
      <x:c r="D489" s="22" t="str">
        <x:v>P0244</x:v>
      </x:c>
      <x:c r="E489" s="22" t="str">
        <x:v>稀有</x:v>
      </x:c>
      <x:c r="F489" s="22" t="n">
        <x:v>7.801401455573767</x:v>
      </x:c>
      <x:c r="G489" s="22" t="n">
        <x:v>-9</x:v>
      </x:c>
      <x:c r="H489" s="22" t="n">
        <x:v>808312.4117431259</x:v>
      </x:c>
      <x:c r="I489" s="22" t="n">
        <x:v>68060252.48661275</x:v>
      </x:c>
      <x:c r="J489" s="22" t="n">
        <x:v>1146572.28</x:v>
      </x:c>
      <x:c r="K489" s="22" t="n">
        <x:v>4356974.664</x:v>
      </x:c>
      <x:c r="L489" s="22" t="str">
        <x:v>可承受</x:v>
      </x:c>
    </x:row>
    <x:row r="490" ht="24" customHeight="1">
      <x:c r="A490" s="22" t="str">
        <x:v>C08-M035</x:v>
      </x:c>
      <x:c r="B490" s="22" t="str">
        <x:v>议殿白髯公·沃尔格</x:v>
      </x:c>
      <x:c r="C490" s="22" t="str">
        <x:v>XX323</x:v>
      </x:c>
      <x:c r="D490" s="22" t="str">
        <x:v>P0251</x:v>
      </x:c>
      <x:c r="E490" s="22" t="str">
        <x:v>地图BOSS</x:v>
      </x:c>
      <x:c r="F490" s="22" t="n">
        <x:v>75.85664933832263</x:v>
      </x:c>
      <x:c r="G490" s="22" t="n">
        <x:v>-9</x:v>
      </x:c>
      <x:c r="H490" s="22" t="n">
        <x:v>1435776.6583057072</x:v>
      </x:c>
      <x:c r="I490" s="22" t="n">
        <x:v>90695267.14105332</x:v>
      </x:c>
      <x:c r="J490" s="22" t="n">
        <x:v>2182563.4</x:v>
      </x:c>
      <x:c r="K490" s="22" t="n">
        <x:v>8293740.919999999</x:v>
      </x:c>
      <x:c r="L490" s="22" t="str">
        <x:v>可承受</x:v>
      </x:c>
    </x:row>
    <x:row r="491" ht="24" customHeight="1">
      <x:c r="A491" s="22" t="str">
        <x:v>C08-M036</x:v>
      </x:c>
      <x:c r="B491" s="22" t="str">
        <x:v>冰宫摄政后·伊瑟芮</x:v>
      </x:c>
      <x:c r="C491" s="22" t="str">
        <x:v>XX326</x:v>
      </x:c>
      <x:c r="D491" s="22" t="str">
        <x:v>P0252</x:v>
      </x:c>
      <x:c r="E491" s="22" t="str">
        <x:v>地图BOSS</x:v>
      </x:c>
      <x:c r="F491" s="22" t="n">
        <x:v>66.93233765146114</x:v>
      </x:c>
      <x:c r="G491" s="22" t="n">
        <x:v>-9</x:v>
      </x:c>
      <x:c r="H491" s="22" t="n">
        <x:v>1435776.6583057072</x:v>
      </x:c>
      <x:c r="I491" s="22" t="n">
        <x:v>90695267.14105332</x:v>
      </x:c>
      <x:c r="J491" s="22" t="n">
        <x:v>2182563.4</x:v>
      </x:c>
      <x:c r="K491" s="22" t="n">
        <x:v>8293740.919999999</x:v>
      </x:c>
      <x:c r="L491" s="22" t="str">
        <x:v>可承受</x:v>
      </x:c>
    </x:row>
    <x:row r="492" ht="24" customHeight="1">
      <x:c r="A492" s="22" t="str">
        <x:v>C08-M037</x:v>
      </x:c>
      <x:c r="B492" s="22" t="str">
        <x:v>王庭铸霜卫</x:v>
      </x:c>
      <x:c r="C492" s="22" t="str">
        <x:v>XX899</x:v>
      </x:c>
      <x:c r="D492" s="22" t="str">
        <x:v>P0250</x:v>
      </x:c>
      <x:c r="E492" s="22" t="str">
        <x:v>普通</x:v>
      </x:c>
      <x:c r="F492" s="22" t="n">
        <x:v>2.3203006781165545</x:v>
      </x:c>
      <x:c r="G492" s="22" t="n">
        <x:v>-19</x:v>
      </x:c>
      <x:c r="H492" s="22" t="n">
        <x:v>477275.8949120576</x:v>
      </x:c>
      <x:c r="I492" s="22" t="n">
        <x:v>70325125.0245471</x:v>
      </x:c>
      <x:c r="J492" s="22" t="n">
        <x:v>277063.4</x:v>
      </x:c>
      <x:c r="K492" s="22" t="n">
        <x:v>1606967.7200000004</x:v>
      </x:c>
      <x:c r="L492" s="22" t="str">
        <x:v>可承受</x:v>
      </x:c>
    </x:row>
    <x:row r="493" ht="24" customHeight="1">
      <x:c r="A493" s="22" t="str">
        <x:v>C08-M038</x:v>
      </x:c>
      <x:c r="B493" s="22" t="str">
        <x:v>庭阶雪鬃獒</x:v>
      </x:c>
      <x:c r="C493" s="22" t="str">
        <x:v>XX899</x:v>
      </x:c>
      <x:c r="D493" s="22" t="str">
        <x:v>P0250</x:v>
      </x:c>
      <x:c r="E493" s="22" t="str">
        <x:v>普通</x:v>
      </x:c>
      <x:c r="F493" s="22" t="n">
        <x:v>2.522065954474516</x:v>
      </x:c>
      <x:c r="G493" s="22" t="n">
        <x:v>-19</x:v>
      </x:c>
      <x:c r="H493" s="22" t="n">
        <x:v>477275.8949120576</x:v>
      </x:c>
      <x:c r="I493" s="22" t="n">
        <x:v>70325125.0245471</x:v>
      </x:c>
      <x:c r="J493" s="22" t="n">
        <x:v>277063.4</x:v>
      </x:c>
      <x:c r="K493" s="22" t="n">
        <x:v>1606967.7200000004</x:v>
      </x:c>
      <x:c r="L493" s="22" t="str">
        <x:v>可承受</x:v>
      </x:c>
    </x:row>
    <x:row r="494" ht="24" customHeight="1">
      <x:c r="A494" s="22" t="str">
        <x:v>C08-M039</x:v>
      </x:c>
      <x:c r="B494" s="22" t="str">
        <x:v>内宫白毡侍</x:v>
      </x:c>
      <x:c r="C494" s="22" t="str">
        <x:v>XX898</x:v>
      </x:c>
      <x:c r="D494" s="22" t="str">
        <x:v>P0250</x:v>
      </x:c>
      <x:c r="E494" s="22" t="str">
        <x:v>普通</x:v>
      </x:c>
      <x:c r="F494" s="22" t="n">
        <x:v>2.7742725499219674</x:v>
      </x:c>
      <x:c r="G494" s="22" t="n">
        <x:v>-19</x:v>
      </x:c>
      <x:c r="H494" s="22" t="n">
        <x:v>477275.8949120576</x:v>
      </x:c>
      <x:c r="I494" s="22" t="n">
        <x:v>70325125.0245471</x:v>
      </x:c>
      <x:c r="J494" s="22" t="n">
        <x:v>277063.4</x:v>
      </x:c>
      <x:c r="K494" s="22" t="n">
        <x:v>1606967.7200000004</x:v>
      </x:c>
      <x:c r="L494" s="22" t="str">
        <x:v>可承受</x:v>
      </x:c>
    </x:row>
    <x:row r="495" ht="24" customHeight="1">
      <x:c r="A495" s="22" t="str">
        <x:v>C08-M040</x:v>
      </x:c>
      <x:c r="B495" s="22" t="str">
        <x:v>雪域巡烛官</x:v>
      </x:c>
      <x:c r="C495" s="22" t="str">
        <x:v>XX898</x:v>
      </x:c>
      <x:c r="D495" s="22" t="str">
        <x:v>P0250</x:v>
      </x:c>
      <x:c r="E495" s="22" t="str">
        <x:v>普通</x:v>
      </x:c>
      <x:c r="F495" s="22" t="n">
        <x:v>2.522065954474516</x:v>
      </x:c>
      <x:c r="G495" s="22" t="n">
        <x:v>-19</x:v>
      </x:c>
      <x:c r="H495" s="22" t="n">
        <x:v>477275.8949120576</x:v>
      </x:c>
      <x:c r="I495" s="22" t="n">
        <x:v>70325125.0245471</x:v>
      </x:c>
      <x:c r="J495" s="22" t="n">
        <x:v>277063.4</x:v>
      </x:c>
      <x:c r="K495" s="22" t="n">
        <x:v>1606967.7200000004</x:v>
      </x:c>
      <x:c r="L495" s="22" t="str">
        <x:v>可承受</x:v>
      </x:c>
    </x:row>
    <x:row r="496" ht="24" customHeight="1">
      <x:c r="A496" s="22" t="str">
        <x:v>C08-M041</x:v>
      </x:c>
      <x:c r="B496" s="22" t="str">
        <x:v>王座负碑巨人</x:v>
      </x:c>
      <x:c r="C496" s="22" t="str">
        <x:v>XX897</x:v>
      </x:c>
      <x:c r="D496" s="22" t="str">
        <x:v>P0250</x:v>
      </x:c>
      <x:c r="E496" s="22" t="str">
        <x:v>普通</x:v>
      </x:c>
      <x:c r="F496" s="22" t="n">
        <x:v>2.3203006781165545</x:v>
      </x:c>
      <x:c r="G496" s="22" t="n">
        <x:v>-139</x:v>
      </x:c>
      <x:c r="H496" s="22" t="n">
        <x:v>479853</x:v>
      </x:c>
      <x:c r="I496" s="22" t="n">
        <x:v>70325125.0245471</x:v>
      </x:c>
      <x:c r="J496" s="22" t="n">
        <x:v>40263.4</x:v>
      </x:c>
      <x:c r="K496" s="22" t="n">
        <x:v>885794.8</x:v>
      </x:c>
      <x:c r="L496" s="22" t="str">
        <x:v>可承受</x:v>
      </x:c>
    </x:row>
    <x:row r="497" ht="24" customHeight="1">
      <x:c r="A497" s="22" t="str">
        <x:v>C08-M042</x:v>
      </x:c>
      <x:c r="B497" s="22" t="str">
        <x:v>王座冰铃童</x:v>
      </x:c>
      <x:c r="C497" s="22" t="str">
        <x:v>XX897</x:v>
      </x:c>
      <x:c r="D497" s="22" t="str">
        <x:v>P0250</x:v>
      </x:c>
      <x:c r="E497" s="22" t="str">
        <x:v>普通</x:v>
      </x:c>
      <x:c r="F497" s="22" t="n">
        <x:v>2.3203006781165545</x:v>
      </x:c>
      <x:c r="G497" s="22" t="n">
        <x:v>-139</x:v>
      </x:c>
      <x:c r="H497" s="22" t="n">
        <x:v>479853</x:v>
      </x:c>
      <x:c r="I497" s="22" t="n">
        <x:v>70325125.0245471</x:v>
      </x:c>
      <x:c r="J497" s="22" t="n">
        <x:v>40263.4</x:v>
      </x:c>
      <x:c r="K497" s="22" t="n">
        <x:v>885794.8</x:v>
      </x:c>
      <x:c r="L497" s="22" t="str">
        <x:v>可承受</x:v>
      </x:c>
    </x:row>
    <x:row r="498" ht="24" customHeight="1">
      <x:c r="A498" s="22" t="str">
        <x:v>C08-M043</x:v>
      </x:c>
      <x:c r="B498" s="22" t="str">
        <x:v>觐庭裂盔侯</x:v>
      </x:c>
      <x:c r="C498" s="22" t="str">
        <x:v>XX899</x:v>
      </x:c>
      <x:c r="D498" s="22" t="str">
        <x:v>P0250</x:v>
      </x:c>
      <x:c r="E498" s="22" t="str">
        <x:v>稀有</x:v>
      </x:c>
      <x:c r="F498" s="22" t="n">
        <x:v>7.001477241981122</x:v>
      </x:c>
      <x:c r="G498" s="22" t="n">
        <x:v>-19</x:v>
      </x:c>
      <x:c r="H498" s="22" t="n">
        <x:v>838776.5190595174</x:v>
      </x:c>
      <x:c r="I498" s="22" t="n">
        <x:v>70325125.0245471</x:v>
      </x:c>
      <x:c r="J498" s="22" t="n">
        <x:v>517563.39999999997</x:v>
      </x:c>
      <x:c r="K498" s="22" t="n">
        <x:v>3001867.72</x:v>
      </x:c>
      <x:c r="L498" s="22" t="str">
        <x:v>可承受</x:v>
      </x:c>
    </x:row>
    <x:row r="499" ht="24" customHeight="1">
      <x:c r="A499" s="22" t="str">
        <x:v>C08-M044</x:v>
      </x:c>
      <x:c r="B499" s="22" t="str">
        <x:v>内宫织雪妪</x:v>
      </x:c>
      <x:c r="C499" s="22" t="str">
        <x:v>XX898</x:v>
      </x:c>
      <x:c r="D499" s="22" t="str">
        <x:v>P0250</x:v>
      </x:c>
      <x:c r="E499" s="22" t="str">
        <x:v>稀有</x:v>
      </x:c>
      <x:c r="F499" s="22" t="n">
        <x:v>7.001477241981122</x:v>
      </x:c>
      <x:c r="G499" s="22" t="n">
        <x:v>-19</x:v>
      </x:c>
      <x:c r="H499" s="22" t="n">
        <x:v>838776.5190595174</x:v>
      </x:c>
      <x:c r="I499" s="22" t="n">
        <x:v>70325125.0245471</x:v>
      </x:c>
      <x:c r="J499" s="22" t="n">
        <x:v>517563.39999999997</x:v>
      </x:c>
      <x:c r="K499" s="22" t="n">
        <x:v>3001867.72</x:v>
      </x:c>
      <x:c r="L499" s="22" t="str">
        <x:v>可承受</x:v>
      </x:c>
    </x:row>
    <x:row r="500" ht="24" customHeight="1">
      <x:c r="A500" s="22" t="str">
        <x:v>C08-M045</x:v>
      </x:c>
      <x:c r="B500" s="22" t="str">
        <x:v>雪域封门将</x:v>
      </x:c>
      <x:c r="C500" s="22" t="str">
        <x:v>XX898</x:v>
      </x:c>
      <x:c r="D500" s="22" t="str">
        <x:v>P0250</x:v>
      </x:c>
      <x:c r="E500" s="22" t="str">
        <x:v>稀有</x:v>
      </x:c>
      <x:c r="F500" s="22" t="n">
        <x:v>7.80934000067125</x:v>
      </x:c>
      <x:c r="G500" s="22" t="n">
        <x:v>-19</x:v>
      </x:c>
      <x:c r="H500" s="22" t="n">
        <x:v>838776.5190595174</x:v>
      </x:c>
      <x:c r="I500" s="22" t="n">
        <x:v>70325125.0245471</x:v>
      </x:c>
      <x:c r="J500" s="22" t="n">
        <x:v>517563.39999999997</x:v>
      </x:c>
      <x:c r="K500" s="22" t="n">
        <x:v>3001867.72</x:v>
      </x:c>
      <x:c r="L500" s="22" t="str">
        <x:v>可承受</x:v>
      </x:c>
    </x:row>
    <x:row r="501" ht="24" customHeight="1">
      <x:c r="A501" s="22" t="str">
        <x:v>C08-M046</x:v>
      </x:c>
      <x:c r="B501" s="22" t="str">
        <x:v>王座守梦巫</x:v>
      </x:c>
      <x:c r="C501" s="22" t="str">
        <x:v>XX897</x:v>
      </x:c>
      <x:c r="D501" s="22" t="str">
        <x:v>P0250</x:v>
      </x:c>
      <x:c r="E501" s="22" t="str">
        <x:v>稀有</x:v>
      </x:c>
      <x:c r="F501" s="22" t="n">
        <x:v>8.347915173131337</x:v>
      </x:c>
      <x:c r="G501" s="22" t="n">
        <x:v>-139</x:v>
      </x:c>
      <x:c r="H501" s="22" t="n">
        <x:v>832291.0588235294</x:v>
      </x:c>
      <x:c r="I501" s="22" t="n">
        <x:v>70325125.0245471</x:v>
      </x:c>
      <x:c r="J501" s="22" t="n">
        <x:v>73563.4</x:v>
      </x:c>
      <x:c r="K501" s="22" t="n">
        <x:v>1618394.7999999998</x:v>
      </x:c>
      <x:c r="L501" s="22" t="str">
        <x:v>可承受</x:v>
      </x:c>
    </x:row>
    <x:row r="502" ht="24" customHeight="1">
      <x:c r="A502" s="22" t="str">
        <x:v>C08-M047</x:v>
      </x:c>
      <x:c r="B502" s="22" t="str">
        <x:v>内宫冬眠王·格罗尔</x:v>
      </x:c>
      <x:c r="C502" s="22" t="str">
        <x:v>XX898</x:v>
      </x:c>
      <x:c r="D502" s="22" t="str">
        <x:v>P0257</x:v>
      </x:c>
      <x:c r="E502" s="22" t="str">
        <x:v>地图BOSS</x:v>
      </x:c>
      <x:c r="F502" s="22" t="n">
        <x:v>87.4572901189658</x:v>
      </x:c>
      <x:c r="G502" s="22" t="n">
        <x:v>-19</x:v>
      </x:c>
      <x:c r="H502" s="22" t="n">
        <x:v>1478597.359478399</x:v>
      </x:c>
      <x:c r="I502" s="22" t="n">
        <x:v>83230429.21080665</x:v>
      </x:c>
      <x:c r="J502" s="22" t="n">
        <x:v>1035562.105</x:v>
      </x:c>
      <x:c r="K502" s="22" t="n">
        <x:v>6006260.209000001</x:v>
      </x:c>
      <x:c r="L502" s="22" t="str">
        <x:v>可承受</x:v>
      </x:c>
    </x:row>
    <x:row r="503" ht="24" customHeight="1">
      <x:c r="A503" s="22" t="str">
        <x:v>C08-M048</x:v>
      </x:c>
      <x:c r="B503" s="22" t="str">
        <x:v>巨人女王·赫芮迦</x:v>
      </x:c>
      <x:c r="C503" s="22" t="str">
        <x:v>XX897</x:v>
      </x:c>
      <x:c r="D503" s="22" t="str">
        <x:v>P0258</x:v>
      </x:c>
      <x:c r="E503" s="22" t="str">
        <x:v>地图BOSS</x:v>
      </x:c>
      <x:c r="F503" s="22" t="n">
        <x:v>82.15684829357393</x:v>
      </x:c>
      <x:c r="G503" s="22" t="n">
        <x:v>-139</x:v>
      </x:c>
      <x:c r="H503" s="22" t="n">
        <x:v>1486981.2833333334</x:v>
      </x:c>
      <x:c r="I503" s="22" t="n">
        <x:v>83230429.21080665</x:v>
      </x:c>
      <x:c r="J503" s="22" t="n">
        <x:v>140162.105</x:v>
      </x:c>
      <x:c r="K503" s="22" t="n">
        <x:v>3083566.31</x:v>
      </x:c>
      <x:c r="L503" s="22" t="str">
        <x:v>可承受</x:v>
      </x:c>
    </x:row>
    <x:row r="504" ht="24" customHeight="1">
      <x:c r="A504" s="22" t="str">
        <x:v>C08-M049</x:v>
      </x:c>
      <x:c r="B504" s="22" t="str">
        <x:v>吞日霜王·乌尔迈</x:v>
      </x:c>
      <x:c r="C504" s="22" t="str">
        <x:v>XX897</x:v>
      </x:c>
      <x:c r="D504" s="22" t="str">
        <x:v>P0262</x:v>
      </x:c>
      <x:c r="E504" s="22" t="str">
        <x:v>守关BOSS</x:v>
      </x:c>
      <x:c r="F504" s="22" t="n">
        <x:v>326.1710535221454</x:v>
      </x:c>
      <x:c r="G504" s="22" t="n">
        <x:v>7</x:v>
      </x:c>
      <x:c r="H504" s="22" t="n">
        <x:v>2239779.84</x:v>
      </x:c>
      <x:c r="I504" s="22" t="n">
        <x:v>111798721.88798544</x:v>
      </x:c>
      <x:c r="J504" s="22" t="n">
        <x:v>5119559.679999999</x:v>
      </x:c>
      <x:c r="K504" s="22" t="n">
        <x:v>5119559.679999999</x:v>
      </x:c>
      <x:c r="L504" s="22" t="str">
        <x:v>可承受</x:v>
      </x:c>
    </x:row>
    <x:row r="505" ht="24" customHeight="1">
      <x:c r="A505" s="22" t="str">
        <x:v>C09-M001</x:v>
      </x:c>
      <x:c r="B505" s="22" t="str">
        <x:v>金叶角鹿</x:v>
      </x:c>
      <x:c r="C505" s="22" t="str">
        <x:v>XX720</x:v>
      </x:c>
      <x:c r="D505" s="22" t="str">
        <x:v>P0267</x:v>
      </x:c>
      <x:c r="E505" s="22" t="str">
        <x:v>普通</x:v>
      </x:c>
      <x:c r="F505" s="22" t="n">
        <x:v>2.8520998125347274</x:v>
      </x:c>
      <x:c r="G505" s="22" t="n">
        <x:v>7</x:v>
      </x:c>
      <x:c r="H505" s="22" t="n">
        <x:v>719724.7999999999</x:v>
      </x:c>
      <x:c r="I505" s="22" t="n">
        <x:v>112696368.87834808</x:v>
      </x:c>
      <x:c r="J505" s="22" t="n">
        <x:v>1311559.6799999997</x:v>
      </x:c>
      <x:c r="K505" s="22" t="n">
        <x:v>1311559.6799999997</x:v>
      </x:c>
      <x:c r="L505" s="22" t="str">
        <x:v>可承受</x:v>
      </x:c>
    </x:row>
    <x:row r="506" ht="24" customHeight="1">
      <x:c r="A506" s="22" t="str">
        <x:v>C09-M002</x:v>
      </x:c>
      <x:c r="B506" s="22" t="str">
        <x:v>拾穗旅盗</x:v>
      </x:c>
      <x:c r="C506" s="22" t="str">
        <x:v>XX720</x:v>
      </x:c>
      <x:c r="D506" s="22" t="str">
        <x:v>P0267</x:v>
      </x:c>
      <x:c r="E506" s="22" t="str">
        <x:v>普通</x:v>
      </x:c>
      <x:c r="F506" s="22" t="n">
        <x:v>2.8520998125347274</x:v>
      </x:c>
      <x:c r="G506" s="22" t="n">
        <x:v>7</x:v>
      </x:c>
      <x:c r="H506" s="22" t="n">
        <x:v>719724.7999999999</x:v>
      </x:c>
      <x:c r="I506" s="22" t="n">
        <x:v>112696368.87834808</x:v>
      </x:c>
      <x:c r="J506" s="22" t="n">
        <x:v>1311559.6799999997</x:v>
      </x:c>
      <x:c r="K506" s="22" t="n">
        <x:v>1311559.6799999997</x:v>
      </x:c>
      <x:c r="L506" s="22" t="str">
        <x:v>可承受</x:v>
      </x:c>
    </x:row>
    <x:row r="507" ht="24" customHeight="1">
      <x:c r="A507" s="22" t="str">
        <x:v>C09-M003</x:v>
      </x:c>
      <x:c r="B507" s="22" t="str">
        <x:v>秋风驿卒</x:v>
      </x:c>
      <x:c r="C507" s="22" t="str">
        <x:v>XX717</x:v>
      </x:c>
      <x:c r="D507" s="22" t="str">
        <x:v>P0267</x:v>
      </x:c>
      <x:c r="E507" s="22" t="str">
        <x:v>普通</x:v>
      </x:c>
      <x:c r="F507" s="22" t="n">
        <x:v>2.5804712589599914</x:v>
      </x:c>
      <x:c r="G507" s="22" t="n">
        <x:v>7</x:v>
      </x:c>
      <x:c r="H507" s="22" t="n">
        <x:v>719724.7999999999</x:v>
      </x:c>
      <x:c r="I507" s="22" t="n">
        <x:v>112696368.87834808</x:v>
      </x:c>
      <x:c r="J507" s="22" t="n">
        <x:v>1311559.6799999997</x:v>
      </x:c>
      <x:c r="K507" s="22" t="n">
        <x:v>1311559.6799999997</x:v>
      </x:c>
      <x:c r="L507" s="22" t="str">
        <x:v>可承受</x:v>
      </x:c>
    </x:row>
    <x:row r="508" ht="24" customHeight="1">
      <x:c r="A508" s="22" t="str">
        <x:v>C09-M004</x:v>
      </x:c>
      <x:c r="B508" s="22" t="str">
        <x:v>驿路驮甲虫</x:v>
      </x:c>
      <x:c r="C508" s="22" t="str">
        <x:v>XX717</x:v>
      </x:c>
      <x:c r="D508" s="22" t="str">
        <x:v>P0267</x:v>
      </x:c>
      <x:c r="E508" s="22" t="str">
        <x:v>普通</x:v>
      </x:c>
      <x:c r="F508" s="22" t="n">
        <x:v>2.4446569821726234</x:v>
      </x:c>
      <x:c r="G508" s="22" t="n">
        <x:v>7</x:v>
      </x:c>
      <x:c r="H508" s="22" t="n">
        <x:v>719724.7999999999</x:v>
      </x:c>
      <x:c r="I508" s="22" t="n">
        <x:v>112696368.87834808</x:v>
      </x:c>
      <x:c r="J508" s="22" t="n">
        <x:v>1311559.6799999997</x:v>
      </x:c>
      <x:c r="K508" s="22" t="n">
        <x:v>1311559.6799999997</x:v>
      </x:c>
      <x:c r="L508" s="22" t="str">
        <x:v>可承受</x:v>
      </x:c>
    </x:row>
    <x:row r="509" ht="24" customHeight="1">
      <x:c r="A509" s="22" t="str">
        <x:v>C09-M005</x:v>
      </x:c>
      <x:c r="B509" s="22" t="str">
        <x:v>陵园鎏苔像</x:v>
      </x:c>
      <x:c r="C509" s="22" t="str">
        <x:v>XX718</x:v>
      </x:c>
      <x:c r="D509" s="22" t="str">
        <x:v>P0267</x:v>
      </x:c>
      <x:c r="E509" s="22" t="str">
        <x:v>普通</x:v>
      </x:c>
      <x:c r="F509" s="22" t="n">
        <x:v>2.7162855357473594</x:v>
      </x:c>
      <x:c r="G509" s="22" t="n">
        <x:v>7</x:v>
      </x:c>
      <x:c r="H509" s="22" t="n">
        <x:v>719724.7999999999</x:v>
      </x:c>
      <x:c r="I509" s="22" t="n">
        <x:v>112696368.87834808</x:v>
      </x:c>
      <x:c r="J509" s="22" t="n">
        <x:v>1311559.6799999997</x:v>
      </x:c>
      <x:c r="K509" s="22" t="n">
        <x:v>1311559.6799999997</x:v>
      </x:c>
      <x:c r="L509" s="22" t="str">
        <x:v>可承受</x:v>
      </x:c>
    </x:row>
    <x:row r="510" ht="24" customHeight="1">
      <x:c r="A510" s="22" t="str">
        <x:v>C09-M006</x:v>
      </x:c>
      <x:c r="B510" s="22" t="str">
        <x:v>祭坛衔烛鸦</x:v>
      </x:c>
      <x:c r="C510" s="22" t="str">
        <x:v>XX721</x:v>
      </x:c>
      <x:c r="D510" s="22" t="str">
        <x:v>P0267</x:v>
      </x:c>
      <x:c r="E510" s="22" t="str">
        <x:v>普通</x:v>
      </x:c>
      <x:c r="F510" s="22" t="n">
        <x:v>2.3088427053852554</x:v>
      </x:c>
      <x:c r="G510" s="22" t="n">
        <x:v>7</x:v>
      </x:c>
      <x:c r="H510" s="22" t="n">
        <x:v>719724.7999999999</x:v>
      </x:c>
      <x:c r="I510" s="22" t="n">
        <x:v>112696368.87834808</x:v>
      </x:c>
      <x:c r="J510" s="22" t="n">
        <x:v>1311559.6799999997</x:v>
      </x:c>
      <x:c r="K510" s="22" t="n">
        <x:v>1311559.6799999997</x:v>
      </x:c>
      <x:c r="L510" s="22" t="str">
        <x:v>可承受</x:v>
      </x:c>
    </x:row>
    <x:row r="511" ht="24" customHeight="1">
      <x:c r="A511" s="22" t="str">
        <x:v>C09-M007</x:v>
      </x:c>
      <x:c r="B511" s="22" t="str">
        <x:v>落叶占路僧</x:v>
      </x:c>
      <x:c r="C511" s="22" t="str">
        <x:v>XX720</x:v>
      </x:c>
      <x:c r="D511" s="22" t="str">
        <x:v>P0267</x:v>
      </x:c>
      <x:c r="E511" s="22" t="str">
        <x:v>稀有</x:v>
      </x:c>
      <x:c r="F511" s="22" t="n">
        <x:v>8.719620967554741</x:v>
      </x:c>
      <x:c r="G511" s="22" t="n">
        <x:v>7</x:v>
      </x:c>
      <x:c r="H511" s="22" t="n">
        <x:v>1270329.2235294117</x:v>
      </x:c>
      <x:c r="I511" s="22" t="n">
        <x:v>112696368.87834808</x:v>
      </x:c>
      <x:c r="J511" s="22" t="n">
        <x:v>2495559.6799999997</x:v>
      </x:c>
      <x:c r="K511" s="22" t="n">
        <x:v>2495559.6799999997</x:v>
      </x:c>
      <x:c r="L511" s="22" t="str">
        <x:v>可承受</x:v>
      </x:c>
    </x:row>
    <x:row r="512" ht="24" customHeight="1">
      <x:c r="A512" s="22" t="str">
        <x:v>C09-M008</x:v>
      </x:c>
      <x:c r="B512" s="22" t="str">
        <x:v>逆风驿骑</x:v>
      </x:c>
      <x:c r="C512" s="22" t="str">
        <x:v>XX717</x:v>
      </x:c>
      <x:c r="D512" s="22" t="str">
        <x:v>P0267</x:v>
      </x:c>
      <x:c r="E512" s="22" t="str">
        <x:v>稀有</x:v>
      </x:c>
      <x:c r="F512" s="22" t="n">
        <x:v>7.266350806295618</x:v>
      </x:c>
      <x:c r="G512" s="22" t="n">
        <x:v>7</x:v>
      </x:c>
      <x:c r="H512" s="22" t="n">
        <x:v>1270329.2235294117</x:v>
      </x:c>
      <x:c r="I512" s="22" t="n">
        <x:v>112696368.87834808</x:v>
      </x:c>
      <x:c r="J512" s="22" t="n">
        <x:v>2495559.6799999997</x:v>
      </x:c>
      <x:c r="K512" s="22" t="n">
        <x:v>2495559.6799999997</x:v>
      </x:c>
      <x:c r="L512" s="22" t="str">
        <x:v>可承受</x:v>
      </x:c>
    </x:row>
    <x:row r="513" ht="24" customHeight="1">
      <x:c r="A513" s="22" t="str">
        <x:v>C09-M009</x:v>
      </x:c>
      <x:c r="B513" s="22" t="str">
        <x:v>守陵金颚兽</x:v>
      </x:c>
      <x:c r="C513" s="22" t="str">
        <x:v>XX718</x:v>
      </x:c>
      <x:c r="D513" s="22" t="str">
        <x:v>P0267</x:v>
      </x:c>
      <x:c r="E513" s="22" t="str">
        <x:v>稀有</x:v>
      </x:c>
      <x:c r="F513" s="22" t="n">
        <x:v>7.557004838547443</x:v>
      </x:c>
      <x:c r="G513" s="22" t="n">
        <x:v>7</x:v>
      </x:c>
      <x:c r="H513" s="22" t="n">
        <x:v>1270329.2235294117</x:v>
      </x:c>
      <x:c r="I513" s="22" t="n">
        <x:v>112696368.87834808</x:v>
      </x:c>
      <x:c r="J513" s="22" t="n">
        <x:v>2495559.6799999997</x:v>
      </x:c>
      <x:c r="K513" s="22" t="n">
        <x:v>2495559.6799999997</x:v>
      </x:c>
      <x:c r="L513" s="22" t="str">
        <x:v>可承受</x:v>
      </x:c>
    </x:row>
    <x:row r="514" ht="24" customHeight="1">
      <x:c r="A514" s="22" t="str">
        <x:v>C09-M010</x:v>
      </x:c>
      <x:c r="B514" s="22" t="str">
        <x:v>古王献梦者</x:v>
      </x:c>
      <x:c r="C514" s="22" t="str">
        <x:v>XX721</x:v>
      </x:c>
      <x:c r="D514" s="22" t="str">
        <x:v>P0267</x:v>
      </x:c>
      <x:c r="E514" s="22" t="str">
        <x:v>稀有</x:v>
      </x:c>
      <x:c r="F514" s="22" t="n">
        <x:v>8.283639919177006</x:v>
      </x:c>
      <x:c r="G514" s="22" t="n">
        <x:v>7</x:v>
      </x:c>
      <x:c r="H514" s="22" t="n">
        <x:v>1270329.2235294117</x:v>
      </x:c>
      <x:c r="I514" s="22" t="n">
        <x:v>112696368.87834808</x:v>
      </x:c>
      <x:c r="J514" s="22" t="n">
        <x:v>2495559.6799999997</x:v>
      </x:c>
      <x:c r="K514" s="22" t="n">
        <x:v>2495559.6799999997</x:v>
      </x:c>
      <x:c r="L514" s="22" t="str">
        <x:v>可承受</x:v>
      </x:c>
    </x:row>
    <x:row r="515" ht="24" customHeight="1">
      <x:c r="A515" s="22" t="str">
        <x:v>C09-M011</x:v>
      </x:c>
      <x:c r="B515" s="22" t="str">
        <x:v>陵园摘冠侯·阿维恩</x:v>
      </x:c>
      <x:c r="C515" s="22" t="str">
        <x:v>XX718</x:v>
      </x:c>
      <x:c r="D515" s="22" t="str">
        <x:v>P0269</x:v>
      </x:c>
      <x:c r="E515" s="22" t="str">
        <x:v>地图BOSS</x:v>
      </x:c>
      <x:c r="F515" s="22" t="n">
        <x:v>86.70871695057146</x:v>
      </x:c>
      <x:c r="G515" s="22" t="n">
        <x:v>7</x:v>
      </x:c>
      <x:c r="H515" s="22" t="n">
        <x:v>1768916.5083333328</x:v>
      </x:c>
      <x:c r="I515" s="22" t="n">
        <x:v>113555889.472629</x:v>
      </x:c>
      <x:c r="J515" s="22" t="n">
        <x:v>3629549.7149999994</x:v>
      </x:c>
      <x:c r="K515" s="22" t="n">
        <x:v>3629549.7149999994</x:v>
      </x:c>
      <x:c r="L515" s="22" t="str">
        <x:v>可承受</x:v>
      </x:c>
    </x:row>
    <x:row r="516" ht="24" customHeight="1">
      <x:c r="A516" s="22" t="str">
        <x:v>C09-M012</x:v>
      </x:c>
      <x:c r="B516" s="22" t="str">
        <x:v>金叶祭王·萨鲁恩</x:v>
      </x:c>
      <x:c r="C516" s="22" t="str">
        <x:v>XX721</x:v>
      </x:c>
      <x:c r="D516" s="22" t="str">
        <x:v>P0270</x:v>
      </x:c>
      <x:c r="E516" s="22" t="str">
        <x:v>地图BOSS</x:v>
      </x:c>
      <x:c r="F516" s="22" t="n">
        <x:v>82.0636071139337</x:v>
      </x:c>
      <x:c r="G516" s="22" t="n">
        <x:v>7</x:v>
      </x:c>
      <x:c r="H516" s="22" t="n">
        <x:v>1768916.5083333328</x:v>
      </x:c>
      <x:c r="I516" s="22" t="n">
        <x:v>113555889.472629</x:v>
      </x:c>
      <x:c r="J516" s="22" t="n">
        <x:v>3629549.7149999994</x:v>
      </x:c>
      <x:c r="K516" s="22" t="n">
        <x:v>3629549.7149999994</x:v>
      </x:c>
      <x:c r="L516" s="22" t="str">
        <x:v>可承受</x:v>
      </x:c>
    </x:row>
    <x:row r="517" ht="24" customHeight="1">
      <x:c r="A517" s="22" t="str">
        <x:v>C09-M013</x:v>
      </x:c>
      <x:c r="B517" s="22" t="str">
        <x:v>矿脉啮岩鼠</x:v>
      </x:c>
      <x:c r="C517" s="22" t="str">
        <x:v>XX820</x:v>
      </x:c>
      <x:c r="D517" s="22" t="str">
        <x:v>P0268</x:v>
      </x:c>
      <x:c r="E517" s="22" t="str">
        <x:v>普通</x:v>
      </x:c>
      <x:c r="F517" s="22" t="n">
        <x:v>2.8460885398309577</x:v>
      </x:c>
      <x:c r="G517" s="22" t="n">
        <x:v>-3</x:v>
      </x:c>
      <x:c r="H517" s="22" t="n">
        <x:v>734615.0633249999</x:v>
      </x:c>
      <x:c r="I517" s="22" t="n">
        <x:v>112950217.95744818</x:v>
      </x:c>
      <x:c r="J517" s="22" t="n">
        <x:v>1286549.7149999999</x:v>
      </x:c>
      <x:c r="K517" s="22" t="n">
        <x:v>3345029.2589999996</x:v>
      </x:c>
      <x:c r="L517" s="22" t="str">
        <x:v>可承受</x:v>
      </x:c>
    </x:row>
    <x:row r="518" ht="24" customHeight="1">
      <x:c r="A518" s="22" t="str">
        <x:v>C09-M014</x:v>
      </x:c>
      <x:c r="B518" s="22" t="str">
        <x:v>高原探脉客</x:v>
      </x:c>
      <x:c r="C518" s="22" t="str">
        <x:v>XX820</x:v>
      </x:c>
      <x:c r="D518" s="22" t="str">
        <x:v>P0268</x:v>
      </x:c>
      <x:c r="E518" s="22" t="str">
        <x:v>普通</x:v>
      </x:c>
      <x:c r="F518" s="22" t="n">
        <x:v>2.8460885398309577</x:v>
      </x:c>
      <x:c r="G518" s="22" t="n">
        <x:v>-3</x:v>
      </x:c>
      <x:c r="H518" s="22" t="n">
        <x:v>734615.0633249999</x:v>
      </x:c>
      <x:c r="I518" s="22" t="n">
        <x:v>112950217.95744818</x:v>
      </x:c>
      <x:c r="J518" s="22" t="n">
        <x:v>1286549.7149999999</x:v>
      </x:c>
      <x:c r="K518" s="22" t="n">
        <x:v>3345029.2589999996</x:v>
      </x:c>
      <x:c r="L518" s="22" t="str">
        <x:v>可承受</x:v>
      </x:c>
    </x:row>
    <x:row r="519" ht="24" customHeight="1">
      <x:c r="A519" s="22" t="str">
        <x:v>C09-M015</x:v>
      </x:c>
      <x:c r="B519" s="22" t="str">
        <x:v>黄金矿道凿工</x:v>
      </x:c>
      <x:c r="C519" s="22" t="str">
        <x:v>XX821</x:v>
      </x:c>
      <x:c r="D519" s="22" t="str">
        <x:v>P0268</x:v>
      </x:c>
      <x:c r="E519" s="22" t="str">
        <x:v>普通</x:v>
      </x:c>
      <x:c r="F519" s="22" t="n">
        <x:v>2.303976437006013</x:v>
      </x:c>
      <x:c r="G519" s="22" t="n">
        <x:v>-3</x:v>
      </x:c>
      <x:c r="H519" s="22" t="n">
        <x:v>734615.0633249999</x:v>
      </x:c>
      <x:c r="I519" s="22" t="n">
        <x:v>112950217.95744818</x:v>
      </x:c>
      <x:c r="J519" s="22" t="n">
        <x:v>1286549.7149999999</x:v>
      </x:c>
      <x:c r="K519" s="22" t="n">
        <x:v>3345029.2589999996</x:v>
      </x:c>
      <x:c r="L519" s="22" t="str">
        <x:v>可承受</x:v>
      </x:c>
    </x:row>
    <x:row r="520" ht="24" customHeight="1">
      <x:c r="A520" s="22" t="str">
        <x:v>C09-M016</x:v>
      </x:c>
      <x:c r="B520" s="22" t="str">
        <x:v>旧营提灯尸</x:v>
      </x:c>
      <x:c r="C520" s="22" t="str">
        <x:v>XX822</x:v>
      </x:c>
      <x:c r="D520" s="22" t="str">
        <x:v>P0268</x:v>
      </x:c>
      <x:c r="E520" s="22" t="str">
        <x:v>普通</x:v>
      </x:c>
      <x:c r="F520" s="22" t="n">
        <x:v>2.8460885398309577</x:v>
      </x:c>
      <x:c r="G520" s="22" t="n">
        <x:v>-3</x:v>
      </x:c>
      <x:c r="H520" s="22" t="n">
        <x:v>734615.0633249999</x:v>
      </x:c>
      <x:c r="I520" s="22" t="n">
        <x:v>112950217.95744818</x:v>
      </x:c>
      <x:c r="J520" s="22" t="n">
        <x:v>1286549.7149999999</x:v>
      </x:c>
      <x:c r="K520" s="22" t="n">
        <x:v>3345029.2589999996</x:v>
      </x:c>
      <x:c r="L520" s="22" t="str">
        <x:v>可承受</x:v>
      </x:c>
    </x:row>
    <x:row r="521" ht="24" customHeight="1">
      <x:c r="A521" s="22" t="str">
        <x:v>C09-M017</x:v>
      </x:c>
      <x:c r="B521" s="22" t="str">
        <x:v>深井负筐奴</x:v>
      </x:c>
      <x:c r="C521" s="22" t="str">
        <x:v>XX823</x:v>
      </x:c>
      <x:c r="D521" s="22" t="str">
        <x:v>P0268</x:v>
      </x:c>
      <x:c r="E521" s="22" t="str">
        <x:v>普通</x:v>
      </x:c>
      <x:c r="F521" s="22" t="n">
        <x:v>2.8460885398309577</x:v>
      </x:c>
      <x:c r="G521" s="22" t="n">
        <x:v>-3</x:v>
      </x:c>
      <x:c r="H521" s="22" t="n">
        <x:v>734615.0633249999</x:v>
      </x:c>
      <x:c r="I521" s="22" t="n">
        <x:v>112950217.95744818</x:v>
      </x:c>
      <x:c r="J521" s="22" t="n">
        <x:v>1286549.7149999999</x:v>
      </x:c>
      <x:c r="K521" s="22" t="n">
        <x:v>3345029.2589999996</x:v>
      </x:c>
      <x:c r="L521" s="22" t="str">
        <x:v>可承受</x:v>
      </x:c>
    </x:row>
    <x:row r="522" ht="24" customHeight="1">
      <x:c r="A522" s="22" t="str">
        <x:v>C09-M018</x:v>
      </x:c>
      <x:c r="B522" s="22" t="str">
        <x:v>核心晶背虫</x:v>
      </x:c>
      <x:c r="C522" s="22" t="str">
        <x:v>XX824</x:v>
      </x:c>
      <x:c r="D522" s="22" t="str">
        <x:v>P0268</x:v>
      </x:c>
      <x:c r="E522" s="22" t="str">
        <x:v>普通</x:v>
      </x:c>
      <x:c r="F522" s="22" t="n">
        <x:v>2.303976437006013</x:v>
      </x:c>
      <x:c r="G522" s="22" t="n">
        <x:v>-3</x:v>
      </x:c>
      <x:c r="H522" s="22" t="n">
        <x:v>734615.0633249999</x:v>
      </x:c>
      <x:c r="I522" s="22" t="n">
        <x:v>112950217.95744818</x:v>
      </x:c>
      <x:c r="J522" s="22" t="n">
        <x:v>1286549.7149999999</x:v>
      </x:c>
      <x:c r="K522" s="22" t="n">
        <x:v>3345029.2589999996</x:v>
      </x:c>
      <x:c r="L522" s="22" t="str">
        <x:v>可承受</x:v>
      </x:c>
    </x:row>
    <x:row r="523" ht="24" customHeight="1">
      <x:c r="A523" s="22" t="str">
        <x:v>C09-M019</x:v>
      </x:c>
      <x:c r="B523" s="22" t="str">
        <x:v>矿道哑钟监工</x:v>
      </x:c>
      <x:c r="C523" s="22" t="str">
        <x:v>XX821</x:v>
      </x:c>
      <x:c r="D523" s="22" t="str">
        <x:v>P0268</x:v>
      </x:c>
      <x:c r="E523" s="22" t="str">
        <x:v>稀有</x:v>
      </x:c>
      <x:c r="F523" s="22" t="n">
        <x:v>6.817088291586091</x:v>
      </x:c>
      <x:c r="G523" s="22" t="n">
        <x:v>-3</x:v>
      </x:c>
      <x:c r="H523" s="22" t="n">
        <x:v>1271193.0007764704</x:v>
      </x:c>
      <x:c r="I523" s="22" t="n">
        <x:v>112950217.95744818</x:v>
      </x:c>
      <x:c r="J523" s="22" t="n">
        <x:v>2375549.715</x:v>
      </x:c>
      <x:c r="K523" s="22" t="n">
        <x:v>6176429.259</x:v>
      </x:c>
      <x:c r="L523" s="22" t="str">
        <x:v>可承受</x:v>
      </x:c>
    </x:row>
    <x:row r="524" ht="24" customHeight="1">
      <x:c r="A524" s="22" t="str">
        <x:v>C09-M020</x:v>
      </x:c>
      <x:c r="B524" s="22" t="str">
        <x:v>营地熔勺婆</x:v>
      </x:c>
      <x:c r="C524" s="22" t="str">
        <x:v>XX822</x:v>
      </x:c>
      <x:c r="D524" s="22" t="str">
        <x:v>P0268</x:v>
      </x:c>
      <x:c r="E524" s="22" t="str">
        <x:v>稀有</x:v>
      </x:c>
      <x:c r="F524" s="22" t="n">
        <x:v>8.41257704068071</x:v>
      </x:c>
      <x:c r="G524" s="22" t="n">
        <x:v>-3</x:v>
      </x:c>
      <x:c r="H524" s="22" t="n">
        <x:v>1271193.0007764704</x:v>
      </x:c>
      <x:c r="I524" s="22" t="n">
        <x:v>112950217.95744818</x:v>
      </x:c>
      <x:c r="J524" s="22" t="n">
        <x:v>2375549.715</x:v>
      </x:c>
      <x:c r="K524" s="22" t="n">
        <x:v>6176429.259</x:v>
      </x:c>
      <x:c r="L524" s="22" t="str">
        <x:v>可承受</x:v>
      </x:c>
    </x:row>
    <x:row r="525" ht="24" customHeight="1">
      <x:c r="A525" s="22" t="str">
        <x:v>C09-M021</x:v>
      </x:c>
      <x:c r="B525" s="22" t="str">
        <x:v>深层听岩师</x:v>
      </x:c>
      <x:c r="C525" s="22" t="str">
        <x:v>XX823</x:v>
      </x:c>
      <x:c r="D525" s="22" t="str">
        <x:v>P0268</x:v>
      </x:c>
      <x:c r="E525" s="22" t="str">
        <x:v>稀有</x:v>
      </x:c>
      <x:c r="F525" s="22" t="n">
        <x:v>7.542310450265463</x:v>
      </x:c>
      <x:c r="G525" s="22" t="n">
        <x:v>-3</x:v>
      </x:c>
      <x:c r="H525" s="22" t="n">
        <x:v>1271193.0007764704</x:v>
      </x:c>
      <x:c r="I525" s="22" t="n">
        <x:v>112950217.95744818</x:v>
      </x:c>
      <x:c r="J525" s="22" t="n">
        <x:v>2375549.715</x:v>
      </x:c>
      <x:c r="K525" s="22" t="n">
        <x:v>6176429.259</x:v>
      </x:c>
      <x:c r="L525" s="22" t="str">
        <x:v>可承受</x:v>
      </x:c>
    </x:row>
    <x:row r="526" ht="24" customHeight="1">
      <x:c r="A526" s="22" t="str">
        <x:v>C09-M022</x:v>
      </x:c>
      <x:c r="B526" s="22" t="str">
        <x:v>核心吞金蜥</x:v>
      </x:c>
      <x:c r="C526" s="22" t="str">
        <x:v>XX824</x:v>
      </x:c>
      <x:c r="D526" s="22" t="str">
        <x:v>P0268</x:v>
      </x:c>
      <x:c r="E526" s="22" t="str">
        <x:v>稀有</x:v>
      </x:c>
      <x:c r="F526" s="22" t="n">
        <x:v>7.542310450265463</x:v>
      </x:c>
      <x:c r="G526" s="22" t="n">
        <x:v>-3</x:v>
      </x:c>
      <x:c r="H526" s="22" t="n">
        <x:v>1271193.0007764704</x:v>
      </x:c>
      <x:c r="I526" s="22" t="n">
        <x:v>112950217.95744818</x:v>
      </x:c>
      <x:c r="J526" s="22" t="n">
        <x:v>2375549.715</x:v>
      </x:c>
      <x:c r="K526" s="22" t="n">
        <x:v>6176429.259</x:v>
      </x:c>
      <x:c r="L526" s="22" t="str">
        <x:v>可承受</x:v>
      </x:c>
    </x:row>
    <x:row r="527" ht="24" customHeight="1">
      <x:c r="A527" s="22" t="str">
        <x:v>C09-M023</x:v>
      </x:c>
      <x:c r="B527" s="22" t="str">
        <x:v>深井断索王·布洛克</x:v>
      </x:c>
      <x:c r="C527" s="22" t="str">
        <x:v>XX823</x:v>
      </x:c>
      <x:c r="D527" s="22" t="str">
        <x:v>P0275</x:v>
      </x:c>
      <x:c r="E527" s="22" t="str">
        <x:v>地图BOSS</x:v>
      </x:c>
      <x:c r="F527" s="22" t="n">
        <x:v>82.8762413398296</x:v>
      </x:c>
      <x:c r="G527" s="22" t="n">
        <x:v>-3</x:v>
      </x:c>
      <x:c r="H527" s="22" t="n">
        <x:v>2007530.1106666664</x:v>
      </x:c>
      <x:c r="I527" s="22" t="n">
        <x:v>139293275.35818714</x:v>
      </x:c>
      <x:c r="J527" s="22" t="n">
        <x:v>3959547.8999999994</x:v>
      </x:c>
      <x:c r="K527" s="22" t="n">
        <x:v>10294824.54</x:v>
      </x:c>
      <x:c r="L527" s="22" t="str">
        <x:v>可承受</x:v>
      </x:c>
    </x:row>
    <x:row r="528" ht="24" customHeight="1">
      <x:c r="A528" s="22" t="str">
        <x:v>C09-M024</x:v>
      </x:c>
      <x:c r="B528" s="22" t="str">
        <x:v>矿心鎏金母·奥莉莎</x:v>
      </x:c>
      <x:c r="C528" s="22" t="str">
        <x:v>XX824</x:v>
      </x:c>
      <x:c r="D528" s="22" t="str">
        <x:v>P0276</x:v>
      </x:c>
      <x:c r="E528" s="22" t="str">
        <x:v>地图BOSS</x:v>
      </x:c>
      <x:c r="F528" s="22" t="n">
        <x:v>82.8762413398296</x:v>
      </x:c>
      <x:c r="G528" s="22" t="n">
        <x:v>-3</x:v>
      </x:c>
      <x:c r="H528" s="22" t="n">
        <x:v>2007530.1106666664</x:v>
      </x:c>
      <x:c r="I528" s="22" t="n">
        <x:v>139293275.35818714</x:v>
      </x:c>
      <x:c r="J528" s="22" t="n">
        <x:v>3959547.8999999994</x:v>
      </x:c>
      <x:c r="K528" s="22" t="n">
        <x:v>10294824.54</x:v>
      </x:c>
      <x:c r="L528" s="22" t="str">
        <x:v>可承受</x:v>
      </x:c>
    </x:row>
    <x:row r="529" ht="24" customHeight="1">
      <x:c r="A529" s="22" t="str">
        <x:v>C09-M025</x:v>
      </x:c>
      <x:c r="B529" s="22" t="str">
        <x:v>陵园剪枝傀</x:v>
      </x:c>
      <x:c r="C529" s="22" t="str">
        <x:v>XX837</x:v>
      </x:c>
      <x:c r="D529" s="22" t="str">
        <x:v>P0274</x:v>
      </x:c>
      <x:c r="E529" s="22" t="str">
        <x:v>普通</x:v>
      </x:c>
      <x:c r="F529" s="22" t="n">
        <x:v>2.5346678962059106</x:v>
      </x:c>
      <x:c r="G529" s="22" t="n">
        <x:v>-8</x:v>
      </x:c>
      <x:c r="H529" s="22" t="n">
        <x:v>820981.7413980137</x:v>
      </x:c>
      <x:c r="I529" s="22" t="n">
        <x:v>137985568.0478119</x:v>
      </x:c>
      <x:c r="J529" s="22" t="n">
        <x:v>1154547.9</x:v>
      </x:c>
      <x:c r="K529" s="22" t="n">
        <x:v>4156372.44</x:v>
      </x:c>
      <x:c r="L529" s="22" t="str">
        <x:v>可承受</x:v>
      </x:c>
    </x:row>
    <x:row r="530" ht="24" customHeight="1">
      <x:c r="A530" s="22" t="str">
        <x:v>C09-M026</x:v>
      </x:c>
      <x:c r="B530" s="22" t="str">
        <x:v>王碑金翅蛾</x:v>
      </x:c>
      <x:c r="C530" s="22" t="str">
        <x:v>XX837</x:v>
      </x:c>
      <x:c r="D530" s="22" t="str">
        <x:v>P0274</x:v>
      </x:c>
      <x:c r="E530" s="22" t="str">
        <x:v>普通</x:v>
      </x:c>
      <x:c r="F530" s="22" t="n">
        <x:v>2.755073800223816</x:v>
      </x:c>
      <x:c r="G530" s="22" t="n">
        <x:v>-8</x:v>
      </x:c>
      <x:c r="H530" s="22" t="n">
        <x:v>820981.7413980137</x:v>
      </x:c>
      <x:c r="I530" s="22" t="n">
        <x:v>137985568.0478119</x:v>
      </x:c>
      <x:c r="J530" s="22" t="n">
        <x:v>1154547.9</x:v>
      </x:c>
      <x:c r="K530" s="22" t="n">
        <x:v>4156372.44</x:v>
      </x:c>
      <x:c r="L530" s="22" t="str">
        <x:v>可承受</x:v>
      </x:c>
    </x:row>
    <x:row r="531" ht="24" customHeight="1">
      <x:c r="A531" s="22" t="str">
        <x:v>C09-M027</x:v>
      </x:c>
      <x:c r="B531" s="22" t="str">
        <x:v>甬道扶棺卒</x:v>
      </x:c>
      <x:c r="C531" s="22" t="str">
        <x:v>XX836</x:v>
      </x:c>
      <x:c r="D531" s="22" t="str">
        <x:v>P0274</x:v>
      </x:c>
      <x:c r="E531" s="22" t="str">
        <x:v>普通</x:v>
      </x:c>
      <x:c r="F531" s="22" t="n">
        <x:v>2.755073800223816</x:v>
      </x:c>
      <x:c r="G531" s="22" t="n">
        <x:v>-8</x:v>
      </x:c>
      <x:c r="H531" s="22" t="n">
        <x:v>820981.7413980137</x:v>
      </x:c>
      <x:c r="I531" s="22" t="n">
        <x:v>137985568.0478119</x:v>
      </x:c>
      <x:c r="J531" s="22" t="n">
        <x:v>1154547.9</x:v>
      </x:c>
      <x:c r="K531" s="22" t="n">
        <x:v>4156372.44</x:v>
      </x:c>
      <x:c r="L531" s="22" t="str">
        <x:v>可承受</x:v>
      </x:c>
    </x:row>
    <x:row r="532" ht="24" customHeight="1">
      <x:c r="A532" s="22" t="str">
        <x:v>C09-M028</x:v>
      </x:c>
      <x:c r="B532" s="22" t="str">
        <x:v>壁龛守烛童</x:v>
      </x:c>
      <x:c r="C532" s="22" t="str">
        <x:v>XX836</x:v>
      </x:c>
      <x:c r="D532" s="22" t="str">
        <x:v>P0274</x:v>
      </x:c>
      <x:c r="E532" s="22" t="str">
        <x:v>普通</x:v>
      </x:c>
      <x:c r="F532" s="22" t="n">
        <x:v>2.8652767522327687</x:v>
      </x:c>
      <x:c r="G532" s="22" t="n">
        <x:v>-8</x:v>
      </x:c>
      <x:c r="H532" s="22" t="n">
        <x:v>820981.7413980137</x:v>
      </x:c>
      <x:c r="I532" s="22" t="n">
        <x:v>137985568.0478119</x:v>
      </x:c>
      <x:c r="J532" s="22" t="n">
        <x:v>1154547.9</x:v>
      </x:c>
      <x:c r="K532" s="22" t="n">
        <x:v>4156372.44</x:v>
      </x:c>
      <x:c r="L532" s="22" t="str">
        <x:v>可承受</x:v>
      </x:c>
    </x:row>
    <x:row r="533" ht="24" customHeight="1">
      <x:c r="A533" s="22" t="str">
        <x:v>C09-M029</x:v>
      </x:c>
      <x:c r="B533" s="22" t="str">
        <x:v>墓室敛袍侍</x:v>
      </x:c>
      <x:c r="C533" s="22" t="str">
        <x:v>XX838</x:v>
      </x:c>
      <x:c r="D533" s="22" t="str">
        <x:v>P0274</x:v>
      </x:c>
      <x:c r="E533" s="22" t="str">
        <x:v>普通</x:v>
      </x:c>
      <x:c r="F533" s="22" t="n">
        <x:v>2.8652767522327687</x:v>
      </x:c>
      <x:c r="G533" s="22" t="n">
        <x:v>-8</x:v>
      </x:c>
      <x:c r="H533" s="22" t="n">
        <x:v>820981.7413980137</x:v>
      </x:c>
      <x:c r="I533" s="22" t="n">
        <x:v>137985568.0478119</x:v>
      </x:c>
      <x:c r="J533" s="22" t="n">
        <x:v>1154547.9</x:v>
      </x:c>
      <x:c r="K533" s="22" t="n">
        <x:v>4156372.44</x:v>
      </x:c>
      <x:c r="L533" s="22" t="str">
        <x:v>可承受</x:v>
      </x:c>
    </x:row>
    <x:row r="534" ht="24" customHeight="1">
      <x:c r="A534" s="22" t="str">
        <x:v>C09-M030</x:v>
      </x:c>
      <x:c r="B534" s="22" t="str">
        <x:v>古王陪葬犬</x:v>
      </x:c>
      <x:c r="C534" s="22" t="str">
        <x:v>XX838</x:v>
      </x:c>
      <x:c r="D534" s="22" t="str">
        <x:v>P0274</x:v>
      </x:c>
      <x:c r="E534" s="22" t="str">
        <x:v>普通</x:v>
      </x:c>
      <x:c r="F534" s="22" t="n">
        <x:v>2.314261992188005</x:v>
      </x:c>
      <x:c r="G534" s="22" t="n">
        <x:v>-8</x:v>
      </x:c>
      <x:c r="H534" s="22" t="n">
        <x:v>820981.7413980137</x:v>
      </x:c>
      <x:c r="I534" s="22" t="n">
        <x:v>137985568.0478119</x:v>
      </x:c>
      <x:c r="J534" s="22" t="n">
        <x:v>1154547.9</x:v>
      </x:c>
      <x:c r="K534" s="22" t="n">
        <x:v>4156372.44</x:v>
      </x:c>
      <x:c r="L534" s="22" t="str">
        <x:v>可承受</x:v>
      </x:c>
    </x:row>
    <x:row r="535" ht="24" customHeight="1">
      <x:c r="A535" s="22" t="str">
        <x:v>C09-M031</x:v>
      </x:c>
      <x:c r="B535" s="22" t="str">
        <x:v>王陵问名官</x:v>
      </x:c>
      <x:c r="C535" s="22" t="str">
        <x:v>XX837</x:v>
      </x:c>
      <x:c r="D535" s="22" t="str">
        <x:v>P0274</x:v>
      </x:c>
      <x:c r="E535" s="22" t="str">
        <x:v>稀有</x:v>
      </x:c>
      <x:c r="F535" s="22" t="n">
        <x:v>8.344928696094494</x:v>
      </x:c>
      <x:c r="G535" s="22" t="n">
        <x:v>-8</x:v>
      </x:c>
      <x:c r="H535" s="22" t="n">
        <x:v>1438109.7612695154</x:v>
      </x:c>
      <x:c r="I535" s="22" t="n">
        <x:v>137985568.0478119</x:v>
      </x:c>
      <x:c r="J535" s="22" t="n">
        <x:v>2177547.9</x:v>
      </x:c>
      <x:c r="K535" s="22" t="n">
        <x:v>7839172.4399999995</x:v>
      </x:c>
      <x:c r="L535" s="22" t="str">
        <x:v>可承受</x:v>
      </x:c>
    </x:row>
    <x:row r="536" ht="24" customHeight="1">
      <x:c r="A536" s="22" t="str">
        <x:v>C09-M032</x:v>
      </x:c>
      <x:c r="B536" s="22" t="str">
        <x:v>甬道无面近卫</x:v>
      </x:c>
      <x:c r="C536" s="22" t="str">
        <x:v>XX836</x:v>
      </x:c>
      <x:c r="D536" s="22" t="str">
        <x:v>P0274</x:v>
      </x:c>
      <x:c r="E536" s="22" t="str">
        <x:v>稀有</x:v>
      </x:c>
      <x:c r="F536" s="22" t="n">
        <x:v>7.5221892471837695</x:v>
      </x:c>
      <x:c r="G536" s="22" t="n">
        <x:v>-8</x:v>
      </x:c>
      <x:c r="H536" s="22" t="n">
        <x:v>1438109.7612695154</x:v>
      </x:c>
      <x:c r="I536" s="22" t="n">
        <x:v>137985568.0478119</x:v>
      </x:c>
      <x:c r="J536" s="22" t="n">
        <x:v>2177547.9</x:v>
      </x:c>
      <x:c r="K536" s="22" t="n">
        <x:v>7839172.4399999995</x:v>
      </x:c>
      <x:c r="L536" s="22" t="str">
        <x:v>可承受</x:v>
      </x:c>
    </x:row>
    <x:row r="537" ht="24" customHeight="1">
      <x:c r="A537" s="22" t="str">
        <x:v>C09-M033</x:v>
      </x:c>
      <x:c r="B537" s="22" t="str">
        <x:v>墓室守印妃</x:v>
      </x:c>
      <x:c r="C537" s="22" t="str">
        <x:v>XX838</x:v>
      </x:c>
      <x:c r="D537" s="22" t="str">
        <x:v>P0274</x:v>
      </x:c>
      <x:c r="E537" s="22" t="str">
        <x:v>稀有</x:v>
      </x:c>
      <x:c r="F537" s="22" t="n">
        <x:v>8.344928696094494</x:v>
      </x:c>
      <x:c r="G537" s="22" t="n">
        <x:v>-8</x:v>
      </x:c>
      <x:c r="H537" s="22" t="n">
        <x:v>1438109.7612695154</x:v>
      </x:c>
      <x:c r="I537" s="22" t="n">
        <x:v>137985568.0478119</x:v>
      </x:c>
      <x:c r="J537" s="22" t="n">
        <x:v>2177547.9</x:v>
      </x:c>
      <x:c r="K537" s="22" t="n">
        <x:v>7839172.4399999995</x:v>
      </x:c>
      <x:c r="L537" s="22" t="str">
        <x:v>可承受</x:v>
      </x:c>
    </x:row>
    <x:row r="538" ht="24" customHeight="1">
      <x:c r="A538" s="22" t="str">
        <x:v>C09-M034</x:v>
      </x:c>
      <x:c r="B538" s="22" t="str">
        <x:v>墓室食梦金蝉</x:v>
      </x:c>
      <x:c r="C538" s="22" t="str">
        <x:v>XX838</x:v>
      </x:c>
      <x:c r="D538" s="22" t="str">
        <x:v>P0274</x:v>
      </x:c>
      <x:c r="E538" s="22" t="str">
        <x:v>稀有</x:v>
      </x:c>
      <x:c r="F538" s="22" t="n">
        <x:v>7.5221892471837695</x:v>
      </x:c>
      <x:c r="G538" s="22" t="n">
        <x:v>-8</x:v>
      </x:c>
      <x:c r="H538" s="22" t="n">
        <x:v>1438109.7612695154</x:v>
      </x:c>
      <x:c r="I538" s="22" t="n">
        <x:v>137985568.0478119</x:v>
      </x:c>
      <x:c r="J538" s="22" t="n">
        <x:v>2177547.9</x:v>
      </x:c>
      <x:c r="K538" s="22" t="n">
        <x:v>7839172.4399999995</x:v>
      </x:c>
      <x:c r="L538" s="22" t="str">
        <x:v>可承受</x:v>
      </x:c>
    </x:row>
    <x:row r="539" ht="24" customHeight="1">
      <x:c r="A539" s="22" t="str">
        <x:v>C09-M035</x:v>
      </x:c>
      <x:c r="B539" s="22" t="str">
        <x:v>封棺执政·梅尔顿</x:v>
      </x:c>
      <x:c r="C539" s="22" t="str">
        <x:v>XX836</x:v>
      </x:c>
      <x:c r="D539" s="22" t="str">
        <x:v>P0281</x:v>
      </x:c>
      <x:c r="E539" s="22" t="str">
        <x:v>地图BOSS</x:v>
      </x:c>
      <x:c r="F539" s="22" t="n">
        <x:v>86.54389197683645</x:v>
      </x:c>
      <x:c r="G539" s="22" t="n">
        <x:v>-8</x:v>
      </x:c>
      <x:c r="H539" s="22" t="n">
        <x:v>2462971.982085726</x:v>
      </x:c>
      <x:c r="I539" s="22" t="n">
        <x:v>181383203.6735206</x:v>
      </x:c>
      <x:c r="J539" s="22" t="n">
        <x:v>3959547.8999999994</x:v>
      </x:c>
      <x:c r="K539" s="22" t="n">
        <x:v>14254372.439999998</x:v>
      </x:c>
      <x:c r="L539" s="22" t="str">
        <x:v>可承受</x:v>
      </x:c>
    </x:row>
    <x:row r="540" ht="24" customHeight="1">
      <x:c r="A540" s="22" t="str">
        <x:v>C09-M036</x:v>
      </x:c>
      <x:c r="B540" s="22" t="str">
        <x:v>不醒古王·奥瑞昂</x:v>
      </x:c>
      <x:c r="C540" s="22" t="str">
        <x:v>XX838</x:v>
      </x:c>
      <x:c r="D540" s="22" t="str">
        <x:v>P0282</x:v>
      </x:c>
      <x:c r="E540" s="22" t="str">
        <x:v>地图BOSS</x:v>
      </x:c>
      <x:c r="F540" s="22" t="n">
        <x:v>71.15831118095441</x:v>
      </x:c>
      <x:c r="G540" s="22" t="n">
        <x:v>-8</x:v>
      </x:c>
      <x:c r="H540" s="22" t="n">
        <x:v>2462971.982085726</x:v>
      </x:c>
      <x:c r="I540" s="22" t="n">
        <x:v>181383203.6735206</x:v>
      </x:c>
      <x:c r="J540" s="22" t="n">
        <x:v>3959547.8999999994</x:v>
      </x:c>
      <x:c r="K540" s="22" t="n">
        <x:v>14254372.439999998</x:v>
      </x:c>
      <x:c r="L540" s="22" t="str">
        <x:v>可承受</x:v>
      </x:c>
    </x:row>
    <x:row r="541" ht="24" customHeight="1">
      <x:c r="A541" s="22" t="str">
        <x:v>C09-M037</x:v>
      </x:c>
      <x:c r="B541" s="22" t="str">
        <x:v>圣堂扫金仆</x:v>
      </x:c>
      <x:c r="C541" s="22" t="str">
        <x:v>XX786</x:v>
      </x:c>
      <x:c r="D541" s="22" t="str">
        <x:v>P0280</x:v>
      </x:c>
      <x:c r="E541" s="22" t="str">
        <x:v>普通</x:v>
      </x:c>
      <x:c r="F541" s="22" t="n">
        <x:v>2.9429443227893026</x:v>
      </x:c>
      <x:c r="G541" s="22" t="n">
        <x:v>-18</x:v>
      </x:c>
      <x:c r="H541" s="22" t="n">
        <x:v>846565.6960908615</x:v>
      </x:c>
      <x:c r="I541" s="22" t="n">
        <x:v>139510502.48615643</x:v>
      </x:c>
      <x:c r="J541" s="22" t="n">
        <x:v>527547.8999999999</x:v>
      </x:c>
      <x:c r="K541" s="22" t="n">
        <x:v>2954268.2399999993</x:v>
      </x:c>
      <x:c r="L541" s="22" t="str">
        <x:v>可承受</x:v>
      </x:c>
    </x:row>
    <x:row r="542" ht="24" customHeight="1">
      <x:c r="A542" s="22" t="str">
        <x:v>C09-M038</x:v>
      </x:c>
      <x:c r="B542" s="22" t="str">
        <x:v>鎏檐守门士</x:v>
      </x:c>
      <x:c r="C542" s="22" t="str">
        <x:v>XX786</x:v>
      </x:c>
      <x:c r="D542" s="22" t="str">
        <x:v>P0280</x:v>
      </x:c>
      <x:c r="E542" s="22" t="str">
        <x:v>普通</x:v>
      </x:c>
      <x:c r="F542" s="22" t="n">
        <x:v>2.9429443227893026</x:v>
      </x:c>
      <x:c r="G542" s="22" t="n">
        <x:v>-18</x:v>
      </x:c>
      <x:c r="H542" s="22" t="n">
        <x:v>846565.6960908615</x:v>
      </x:c>
      <x:c r="I542" s="22" t="n">
        <x:v>139510502.48615643</x:v>
      </x:c>
      <x:c r="J542" s="22" t="n">
        <x:v>527547.8999999999</x:v>
      </x:c>
      <x:c r="K542" s="22" t="n">
        <x:v>2954268.2399999993</x:v>
      </x:c>
      <x:c r="L542" s="22" t="str">
        <x:v>可承受</x:v>
      </x:c>
    </x:row>
    <x:row r="543" ht="24" customHeight="1">
      <x:c r="A543" s="22" t="str">
        <x:v>C09-M039</x:v>
      </x:c>
      <x:c r="B543" s="22" t="str">
        <x:v>前廊白袍唱者</x:v>
      </x:c>
      <x:c r="C543" s="22" t="str">
        <x:v>XX796</x:v>
      </x:c>
      <x:c r="D543" s="22" t="str">
        <x:v>P0280</x:v>
      </x:c>
      <x:c r="E543" s="22" t="str">
        <x:v>普通</x:v>
      </x:c>
      <x:c r="F543" s="22" t="n">
        <x:v>2.9429443227893026</x:v>
      </x:c>
      <x:c r="G543" s="22" t="n">
        <x:v>-18</x:v>
      </x:c>
      <x:c r="H543" s="22" t="n">
        <x:v>846565.6960908615</x:v>
      </x:c>
      <x:c r="I543" s="22" t="n">
        <x:v>139510502.48615643</x:v>
      </x:c>
      <x:c r="J543" s="22" t="n">
        <x:v>527547.8999999999</x:v>
      </x:c>
      <x:c r="K543" s="22" t="n">
        <x:v>2954268.2399999993</x:v>
      </x:c>
      <x:c r="L543" s="22" t="str">
        <x:v>可承受</x:v>
      </x:c>
    </x:row>
    <x:row r="544" ht="24" customHeight="1">
      <x:c r="A544" s="22" t="str">
        <x:v>C09-M040</x:v>
      </x:c>
      <x:c r="B544" s="22" t="str">
        <x:v>祭厅焚香奴</x:v>
      </x:c>
      <x:c r="C544" s="22" t="str">
        <x:v>XX787</x:v>
      </x:c>
      <x:c r="D544" s="22" t="str">
        <x:v>P0280</x:v>
      </x:c>
      <x:c r="E544" s="22" t="str">
        <x:v>普通</x:v>
      </x:c>
      <x:c r="F544" s="22" t="n">
        <x:v>2.288956695502791</x:v>
      </x:c>
      <x:c r="G544" s="22" t="n">
        <x:v>-18</x:v>
      </x:c>
      <x:c r="H544" s="22" t="n">
        <x:v>846565.6960908615</x:v>
      </x:c>
      <x:c r="I544" s="22" t="n">
        <x:v>139510502.48615643</x:v>
      </x:c>
      <x:c r="J544" s="22" t="n">
        <x:v>527547.8999999999</x:v>
      </x:c>
      <x:c r="K544" s="22" t="n">
        <x:v>2954268.2399999993</x:v>
      </x:c>
      <x:c r="L544" s="22" t="str">
        <x:v>可承受</x:v>
      </x:c>
    </x:row>
    <x:row r="545" ht="24" customHeight="1">
      <x:c r="A545" s="22" t="str">
        <x:v>C09-M041</x:v>
      </x:c>
      <x:c r="B545" s="22" t="str">
        <x:v>内殿金面僧</x:v>
      </x:c>
      <x:c r="C545" s="22" t="str">
        <x:v>XX795</x:v>
      </x:c>
      <x:c r="D545" s="22" t="str">
        <x:v>P0280</x:v>
      </x:c>
      <x:c r="E545" s="22" t="str">
        <x:v>普通</x:v>
      </x:c>
      <x:c r="F545" s="22" t="n">
        <x:v>2.3979546333838764</x:v>
      </x:c>
      <x:c r="G545" s="22" t="n">
        <x:v>-18</x:v>
      </x:c>
      <x:c r="H545" s="22" t="n">
        <x:v>846565.6960908615</x:v>
      </x:c>
      <x:c r="I545" s="22" t="n">
        <x:v>139510502.48615643</x:v>
      </x:c>
      <x:c r="J545" s="22" t="n">
        <x:v>527547.8999999999</x:v>
      </x:c>
      <x:c r="K545" s="22" t="n">
        <x:v>2954268.2399999993</x:v>
      </x:c>
      <x:c r="L545" s="22" t="str">
        <x:v>可承受</x:v>
      </x:c>
    </x:row>
    <x:row r="546" ht="24" customHeight="1">
      <x:c r="A546" s="22" t="str">
        <x:v>C09-M042</x:v>
      </x:c>
      <x:c r="B546" s="22" t="str">
        <x:v>圣坛祷弓手</x:v>
      </x:c>
      <x:c r="C546" s="22" t="str">
        <x:v>XX791</x:v>
      </x:c>
      <x:c r="D546" s="22" t="str">
        <x:v>P0280</x:v>
      </x:c>
      <x:c r="E546" s="22" t="str">
        <x:v>普通</x:v>
      </x:c>
      <x:c r="F546" s="22" t="n">
        <x:v>2.288956695502791</x:v>
      </x:c>
      <x:c r="G546" s="22" t="n">
        <x:v>-18</x:v>
      </x:c>
      <x:c r="H546" s="22" t="n">
        <x:v>846565.6960908615</x:v>
      </x:c>
      <x:c r="I546" s="22" t="n">
        <x:v>139510502.48615643</x:v>
      </x:c>
      <x:c r="J546" s="22" t="n">
        <x:v>527547.8999999999</x:v>
      </x:c>
      <x:c r="K546" s="22" t="n">
        <x:v>2954268.2399999993</x:v>
      </x:c>
      <x:c r="L546" s="22" t="str">
        <x:v>可承受</x:v>
      </x:c>
    </x:row>
    <x:row r="547" ht="24" customHeight="1">
      <x:c r="A547" s="22" t="str">
        <x:v>C09-M043</x:v>
      </x:c>
      <x:c r="B547" s="22" t="str">
        <x:v>前廊裁罪使</x:v>
      </x:c>
      <x:c r="C547" s="22" t="str">
        <x:v>XX796</x:v>
      </x:c>
      <x:c r="D547" s="22" t="str">
        <x:v>P0280</x:v>
      </x:c>
      <x:c r="E547" s="22" t="str">
        <x:v>稀有</x:v>
      </x:c>
      <x:c r="F547" s="22" t="n">
        <x:v>6.7325689236421065</x:v>
      </x:c>
      <x:c r="G547" s="22" t="n">
        <x:v>-18</x:v>
      </x:c>
      <x:c r="H547" s="22" t="n">
        <x:v>1436519.091317125</x:v>
      </x:c>
      <x:c r="I547" s="22" t="n">
        <x:v>139510502.48615643</x:v>
      </x:c>
      <x:c r="J547" s="22" t="n">
        <x:v>989547.8999999999</x:v>
      </x:c>
      <x:c r="K547" s="22" t="n">
        <x:v>5541468.239999999</x:v>
      </x:c>
      <x:c r="L547" s="22" t="str">
        <x:v>可承受</x:v>
      </x:c>
    </x:row>
    <x:row r="548" ht="24" customHeight="1">
      <x:c r="A548" s="22" t="str">
        <x:v>C09-M044</x:v>
      </x:c>
      <x:c r="B548" s="22" t="str">
        <x:v>古神食香兽</x:v>
      </x:c>
      <x:c r="C548" s="22" t="str">
        <x:v>XX787</x:v>
      </x:c>
      <x:c r="D548" s="22" t="str">
        <x:v>P0280</x:v>
      </x:c>
      <x:c r="E548" s="22" t="str">
        <x:v>稀有</x:v>
      </x:c>
      <x:c r="F548" s="22" t="n">
        <x:v>8.241592992734303</x:v>
      </x:c>
      <x:c r="G548" s="22" t="n">
        <x:v>-18</x:v>
      </x:c>
      <x:c r="H548" s="22" t="n">
        <x:v>1436519.091317125</x:v>
      </x:c>
      <x:c r="I548" s="22" t="n">
        <x:v>139510502.48615643</x:v>
      </x:c>
      <x:c r="J548" s="22" t="n">
        <x:v>989547.8999999999</x:v>
      </x:c>
      <x:c r="K548" s="22" t="n">
        <x:v>5541468.239999999</x:v>
      </x:c>
      <x:c r="L548" s="22" t="str">
        <x:v>可承受</x:v>
      </x:c>
    </x:row>
    <x:row r="549" ht="24" customHeight="1">
      <x:c r="A549" s="22" t="str">
        <x:v>C09-M045</x:v>
      </x:c>
      <x:c r="B549" s="22" t="str">
        <x:v>内殿无声司铎</x:v>
      </x:c>
      <x:c r="C549" s="22" t="str">
        <x:v>XX795</x:v>
      </x:c>
      <x:c r="D549" s="22" t="str">
        <x:v>P0280</x:v>
      </x:c>
      <x:c r="E549" s="22" t="str">
        <x:v>稀有</x:v>
      </x:c>
      <x:c r="F549" s="22" t="n">
        <x:v>8.241592992734303</x:v>
      </x:c>
      <x:c r="G549" s="22" t="n">
        <x:v>-18</x:v>
      </x:c>
      <x:c r="H549" s="22" t="n">
        <x:v>1436519.091317125</x:v>
      </x:c>
      <x:c r="I549" s="22" t="n">
        <x:v>139510502.48615643</x:v>
      </x:c>
      <x:c r="J549" s="22" t="n">
        <x:v>989547.8999999999</x:v>
      </x:c>
      <x:c r="K549" s="22" t="n">
        <x:v>5541468.239999999</x:v>
      </x:c>
      <x:c r="L549" s="22" t="str">
        <x:v>可承受</x:v>
      </x:c>
    </x:row>
    <x:row r="550" ht="24" customHeight="1">
      <x:c r="A550" s="22" t="str">
        <x:v>C09-M046</x:v>
      </x:c>
      <x:c r="B550" s="22" t="str">
        <x:v>圣坛逐光姬</x:v>
      </x:c>
      <x:c r="C550" s="22" t="str">
        <x:v>XX791</x:v>
      </x:c>
      <x:c r="D550" s="22" t="str">
        <x:v>P0280</x:v>
      </x:c>
      <x:c r="E550" s="22" t="str">
        <x:v>稀有</x:v>
      </x:c>
      <x:c r="F550" s="22" t="n">
        <x:v>7.196884021824321</x:v>
      </x:c>
      <x:c r="G550" s="22" t="n">
        <x:v>-18</x:v>
      </x:c>
      <x:c r="H550" s="22" t="n">
        <x:v>1436519.091317125</x:v>
      </x:c>
      <x:c r="I550" s="22" t="n">
        <x:v>139510502.48615643</x:v>
      </x:c>
      <x:c r="J550" s="22" t="n">
        <x:v>989547.8999999999</x:v>
      </x:c>
      <x:c r="K550" s="22" t="n">
        <x:v>5541468.239999999</x:v>
      </x:c>
      <x:c r="L550" s="22" t="str">
        <x:v>可承受</x:v>
      </x:c>
    </x:row>
    <x:row r="551" ht="24" customHeight="1">
      <x:c r="A551" s="22" t="str">
        <x:v>C09-M047</x:v>
      </x:c>
      <x:c r="B551" s="22" t="str">
        <x:v>黄金枢机·赛维兰</x:v>
      </x:c>
      <x:c r="C551" s="22" t="str">
        <x:v>XX795</x:v>
      </x:c>
      <x:c r="D551" s="22" t="str">
        <x:v>P0287</x:v>
      </x:c>
      <x:c r="E551" s="22" t="str">
        <x:v>地图BOSS</x:v>
      </x:c>
      <x:c r="F551" s="22" t="n">
        <x:v>86.59441575825818</x:v>
      </x:c>
      <x:c r="G551" s="22" t="n">
        <x:v>-18</x:v>
      </x:c>
      <x:c r="H551" s="22" t="n">
        <x:v>2511339.709170242</x:v>
      </x:c>
      <x:c r="I551" s="22" t="n">
        <x:v>182947238.99489966</x:v>
      </x:c>
      <x:c r="J551" s="22" t="n">
        <x:v>1880547.8999999997</x:v>
      </x:c>
      <x:c r="K551" s="22" t="n">
        <x:v>10531068.239999998</x:v>
      </x:c>
      <x:c r="L551" s="22" t="str">
        <x:v>可承受</x:v>
      </x:c>
    </x:row>
    <x:row r="552" ht="24" customHeight="1">
      <x:c r="A552" s="22" t="str">
        <x:v>C09-M048</x:v>
      </x:c>
      <x:c r="B552" s="22" t="str">
        <x:v>高原圣母·艾德莉雅</x:v>
      </x:c>
      <x:c r="C552" s="22" t="str">
        <x:v>XX791</x:v>
      </x:c>
      <x:c r="D552" s="22" t="str">
        <x:v>P0288</x:v>
      </x:c>
      <x:c r="E552" s="22" t="str">
        <x:v>地图BOSS</x:v>
      </x:c>
      <x:c r="F552" s="22" t="n">
        <x:v>86.59441575825818</x:v>
      </x:c>
      <x:c r="G552" s="22" t="n">
        <x:v>-18</x:v>
      </x:c>
      <x:c r="H552" s="22" t="n">
        <x:v>2511339.709170242</x:v>
      </x:c>
      <x:c r="I552" s="22" t="n">
        <x:v>182947238.99489966</x:v>
      </x:c>
      <x:c r="J552" s="22" t="n">
        <x:v>1880547.8999999997</x:v>
      </x:c>
      <x:c r="K552" s="22" t="n">
        <x:v>10531068.239999998</x:v>
      </x:c>
      <x:c r="L552" s="22" t="str">
        <x:v>可承受</x:v>
      </x:c>
    </x:row>
    <x:row r="553" ht="24" customHeight="1">
      <x:c r="A553" s="22" t="str">
        <x:v>C09-M049</x:v>
      </x:c>
      <x:c r="B553" s="22" t="str">
        <x:v>外垒铆甲兵</x:v>
      </x:c>
      <x:c r="C553" s="22" t="str">
        <x:v>XX690</x:v>
      </x:c>
      <x:c r="D553" s="22" t="str">
        <x:v>P0286</x:v>
      </x:c>
      <x:c r="E553" s="22" t="str">
        <x:v>普通</x:v>
      </x:c>
      <x:c r="F553" s="22" t="n">
        <x:v>2.428637570388042</x:v>
      </x:c>
      <x:c r="G553" s="22" t="n">
        <x:v>-23</x:v>
      </x:c>
      <x:c r="H553" s="22" t="n">
        <x:v>1010035.31020723</x:v>
      </x:c>
      <x:c r="I553" s="22" t="n">
        <x:v>181600430.80148995</x:v>
      </x:c>
      <x:c r="J553" s="22" t="n">
        <x:v>428547.89999999997</x:v>
      </x:c>
      <x:c r="K553" s="22" t="n">
        <x:v>2828416.14</x:v>
      </x:c>
      <x:c r="L553" s="22" t="str">
        <x:v>可承受</x:v>
      </x:c>
    </x:row>
    <x:row r="554" ht="24" customHeight="1">
      <x:c r="A554" s="22" t="str">
        <x:v>C09-M050</x:v>
      </x:c>
      <x:c r="B554" s="22" t="str">
        <x:v>城前拾箭童</x:v>
      </x:c>
      <x:c r="C554" s="22" t="str">
        <x:v>XX690</x:v>
      </x:c>
      <x:c r="D554" s="22" t="str">
        <x:v>P0286</x:v>
      </x:c>
      <x:c r="E554" s="22" t="str">
        <x:v>普通</x:v>
      </x:c>
      <x:c r="F554" s="22" t="n">
        <x:v>2.763622062855358</x:v>
      </x:c>
      <x:c r="G554" s="22" t="n">
        <x:v>-23</x:v>
      </x:c>
      <x:c r="H554" s="22" t="n">
        <x:v>1010035.31020723</x:v>
      </x:c>
      <x:c r="I554" s="22" t="n">
        <x:v>181600430.80148995</x:v>
      </x:c>
      <x:c r="J554" s="22" t="n">
        <x:v>428547.89999999997</x:v>
      </x:c>
      <x:c r="K554" s="22" t="n">
        <x:v>2828416.14</x:v>
      </x:c>
      <x:c r="L554" s="22" t="str">
        <x:v>可承受</x:v>
      </x:c>
    </x:row>
    <x:row r="555" ht="24" customHeight="1">
      <x:c r="A555" s="22" t="str">
        <x:v>C09-M051</x:v>
      </x:c>
      <x:c r="B555" s="22" t="str">
        <x:v>甬道持炬枪卒</x:v>
      </x:c>
      <x:c r="C555" s="22" t="str">
        <x:v>XX691</x:v>
      </x:c>
      <x:c r="D555" s="22" t="str">
        <x:v>P0286</x:v>
      </x:c>
      <x:c r="E555" s="22" t="str">
        <x:v>普通</x:v>
      </x:c>
      <x:c r="F555" s="22" t="n">
        <x:v>2.428637570388042</x:v>
      </x:c>
      <x:c r="G555" s="22" t="n">
        <x:v>-23</x:v>
      </x:c>
      <x:c r="H555" s="22" t="n">
        <x:v>1010035.31020723</x:v>
      </x:c>
      <x:c r="I555" s="22" t="n">
        <x:v>181600430.80148995</x:v>
      </x:c>
      <x:c r="J555" s="22" t="n">
        <x:v>428547.89999999997</x:v>
      </x:c>
      <x:c r="K555" s="22" t="n">
        <x:v>2828416.14</x:v>
      </x:c>
      <x:c r="L555" s="22" t="str">
        <x:v>可承受</x:v>
      </x:c>
    </x:row>
    <x:row r="556" ht="24" customHeight="1">
      <x:c r="A556" s="22" t="str">
        <x:v>C09-M052</x:v>
      </x:c>
      <x:c r="B556" s="22" t="str">
        <x:v>驻军庭院炊兵</x:v>
      </x:c>
      <x:c r="C556" s="22" t="str">
        <x:v>XX689</x:v>
      </x:c>
      <x:c r="D556" s="22" t="str">
        <x:v>P0286</x:v>
      </x:c>
      <x:c r="E556" s="22" t="str">
        <x:v>普通</x:v>
      </x:c>
      <x:c r="F556" s="22" t="n">
        <x:v>2.2611453241543837</x:v>
      </x:c>
      <x:c r="G556" s="22" t="n">
        <x:v>-23</x:v>
      </x:c>
      <x:c r="H556" s="22" t="n">
        <x:v>1010035.31020723</x:v>
      </x:c>
      <x:c r="I556" s="22" t="n">
        <x:v>181600430.80148995</x:v>
      </x:c>
      <x:c r="J556" s="22" t="n">
        <x:v>428547.89999999997</x:v>
      </x:c>
      <x:c r="K556" s="22" t="n">
        <x:v>2828416.14</x:v>
      </x:c>
      <x:c r="L556" s="22" t="str">
        <x:v>可承受</x:v>
      </x:c>
    </x:row>
    <x:row r="557" ht="24" customHeight="1">
      <x:c r="A557" s="22" t="str">
        <x:v>C09-M053</x:v>
      </x:c>
      <x:c r="B557" s="22" t="str">
        <x:v>黄金壁垒号手</x:v>
      </x:c>
      <x:c r="C557" s="22" t="str">
        <x:v>XX688</x:v>
      </x:c>
      <x:c r="D557" s="22" t="str">
        <x:v>P0286</x:v>
      </x:c>
      <x:c r="E557" s="22" t="str">
        <x:v>普通</x:v>
      </x:c>
      <x:c r="F557" s="22" t="n">
        <x:v>2.763622062855358</x:v>
      </x:c>
      <x:c r="G557" s="22" t="n">
        <x:v>-23</x:v>
      </x:c>
      <x:c r="H557" s="22" t="n">
        <x:v>1010035.31020723</x:v>
      </x:c>
      <x:c r="I557" s="22" t="n">
        <x:v>181600430.80148995</x:v>
      </x:c>
      <x:c r="J557" s="22" t="n">
        <x:v>428547.89999999997</x:v>
      </x:c>
      <x:c r="K557" s="22" t="n">
        <x:v>2828416.14</x:v>
      </x:c>
      <x:c r="L557" s="22" t="str">
        <x:v>可承受</x:v>
      </x:c>
    </x:row>
    <x:row r="558" ht="24" customHeight="1">
      <x:c r="A558" s="22" t="str">
        <x:v>C09-M054</x:v>
      </x:c>
      <x:c r="B558" s="22" t="str">
        <x:v>关门锁链卫</x:v>
      </x:c>
      <x:c r="C558" s="22" t="str">
        <x:v>XX639</x:v>
      </x:c>
      <x:c r="D558" s="22" t="str">
        <x:v>P0286</x:v>
      </x:c>
      <x:c r="E558" s="22" t="str">
        <x:v>普通</x:v>
      </x:c>
      <x:c r="F558" s="22" t="n">
        <x:v>3.835644023022446</x:v>
      </x:c>
      <x:c r="G558" s="22" t="n">
        <x:v>-178</x:v>
      </x:c>
      <x:c r="H558" s="22" t="n">
        <x:v>1014721.1249999999</x:v>
      </x:c>
      <x:c r="I558" s="22" t="n">
        <x:v>181600430.80148995</x:v>
      </x:c>
      <x:c r="J558" s="22" t="n">
        <x:v>85347.9</x:v>
      </x:c>
      <x:c r="K558" s="22" t="n">
        <x:v>1877653.7999999998</x:v>
      </x:c>
      <x:c r="L558" s="22" t="str">
        <x:v>可承受</x:v>
      </x:c>
    </x:row>
    <x:row r="559" ht="24" customHeight="1">
      <x:c r="A559" s="22" t="str">
        <x:v>C09-M055</x:v>
      </x:c>
      <x:c r="B559" s="22" t="str">
        <x:v>甬道潜旗客</x:v>
      </x:c>
      <x:c r="C559" s="22" t="str">
        <x:v>XX691</x:v>
      </x:c>
      <x:c r="D559" s="22" t="str">
        <x:v>P0286</x:v>
      </x:c>
      <x:c r="E559" s="22" t="str">
        <x:v>稀有</x:v>
      </x:c>
      <x:c r="F559" s="22" t="n">
        <x:v>7.514964513443301</x:v>
      </x:c>
      <x:c r="G559" s="22" t="n">
        <x:v>-23</x:v>
      </x:c>
      <x:c r="H559" s="22" t="n">
        <x:v>1815247.775959242</x:v>
      </x:c>
      <x:c r="I559" s="22" t="n">
        <x:v>181600430.80148995</x:v>
      </x:c>
      <x:c r="J559" s="22" t="n">
        <x:v>857547.8999999999</x:v>
      </x:c>
      <x:c r="K559" s="22" t="n">
        <x:v>5659816.14</x:v>
      </x:c>
      <x:c r="L559" s="22" t="str">
        <x:v>可承受</x:v>
      </x:c>
    </x:row>
    <x:row r="560" ht="24" customHeight="1">
      <x:c r="A560" s="22" t="str">
        <x:v>C09-M056</x:v>
      </x:c>
      <x:c r="B560" s="22" t="str">
        <x:v>庭院百战旗官</x:v>
      </x:c>
      <x:c r="C560" s="22" t="str">
        <x:v>XX689</x:v>
      </x:c>
      <x:c r="D560" s="22" t="str">
        <x:v>P0286</x:v>
      </x:c>
      <x:c r="E560" s="22" t="str">
        <x:v>稀有</x:v>
      </x:c>
      <x:c r="F560" s="22" t="n">
        <x:v>8.677994735761906</x:v>
      </x:c>
      <x:c r="G560" s="22" t="n">
        <x:v>-23</x:v>
      </x:c>
      <x:c r="H560" s="22" t="n">
        <x:v>1815247.775959242</x:v>
      </x:c>
      <x:c r="I560" s="22" t="n">
        <x:v>181600430.80148995</x:v>
      </x:c>
      <x:c r="J560" s="22" t="n">
        <x:v>857547.8999999999</x:v>
      </x:c>
      <x:c r="K560" s="22" t="n">
        <x:v>5659816.14</x:v>
      </x:c>
      <x:c r="L560" s="22" t="str">
        <x:v>可承受</x:v>
      </x:c>
    </x:row>
    <x:row r="561" ht="24" customHeight="1">
      <x:c r="A561" s="22" t="str">
        <x:v>C09-M057</x:v>
      </x:c>
      <x:c r="B561" s="22" t="str">
        <x:v>壁垒鎏甲骑士</x:v>
      </x:c>
      <x:c r="C561" s="22" t="str">
        <x:v>XX688</x:v>
      </x:c>
      <x:c r="D561" s="22" t="str">
        <x:v>P0286</x:v>
      </x:c>
      <x:c r="E561" s="22" t="str">
        <x:v>稀有</x:v>
      </x:c>
      <x:c r="F561" s="22" t="n">
        <x:v>7.514964513443301</x:v>
      </x:c>
      <x:c r="G561" s="22" t="n">
        <x:v>-23</x:v>
      </x:c>
      <x:c r="H561" s="22" t="n">
        <x:v>1815247.775959242</x:v>
      </x:c>
      <x:c r="I561" s="22" t="n">
        <x:v>181600430.80148995</x:v>
      </x:c>
      <x:c r="J561" s="22" t="n">
        <x:v>857547.8999999999</x:v>
      </x:c>
      <x:c r="K561" s="22" t="n">
        <x:v>5659816.14</x:v>
      </x:c>
      <x:c r="L561" s="22" t="str">
        <x:v>可承受</x:v>
      </x:c>
    </x:row>
    <x:row r="562" ht="24" customHeight="1">
      <x:c r="A562" s="22" t="str">
        <x:v>C09-M058</x:v>
      </x:c>
      <x:c r="B562" s="22" t="str">
        <x:v>罗德尔守门卜者</x:v>
      </x:c>
      <x:c r="C562" s="22" t="str">
        <x:v>XX639</x:v>
      </x:c>
      <x:c r="D562" s="22" t="str">
        <x:v>P0286</x:v>
      </x:c>
      <x:c r="E562" s="22" t="str">
        <x:v>稀有</x:v>
      </x:c>
      <x:c r="F562" s="22" t="n">
        <x:v>11.473059944519457</x:v>
      </x:c>
      <x:c r="G562" s="22" t="n">
        <x:v>-178</x:v>
      </x:c>
      <x:c r="H562" s="22" t="n">
        <x:v>1809149.294117647</x:v>
      </x:c>
      <x:c r="I562" s="22" t="n">
        <x:v>181600430.80148995</x:v>
      </x:c>
      <x:c r="J562" s="22" t="n">
        <x:v>161247.9</x:v>
      </x:c>
      <x:c r="K562" s="22" t="n">
        <x:v>3547453.8</x:v>
      </x:c>
      <x:c r="L562" s="22" t="str">
        <x:v>可承受</x:v>
      </x:c>
    </x:row>
    <x:row r="563" ht="24" customHeight="1">
      <x:c r="A563" s="22" t="str">
        <x:v>C09-M059</x:v>
      </x:c>
      <x:c r="B563" s="22" t="str">
        <x:v>黄金壁垒统帅·罗梵迪</x:v>
      </x:c>
      <x:c r="C563" s="22" t="str">
        <x:v>XX688</x:v>
      </x:c>
      <x:c r="D563" s="22" t="str">
        <x:v>P0293</x:v>
      </x:c>
      <x:c r="E563" s="22" t="str">
        <x:v>地图BOSS</x:v>
      </x:c>
      <x:c r="F563" s="22" t="n">
        <x:v>67.5611675663774</x:v>
      </x:c>
      <x:c r="G563" s="22" t="n">
        <x:v>-23</x:v>
      </x:c>
      <x:c r="H563" s="22" t="n">
        <x:v>2556433.052844073</x:v>
      </x:c>
      <x:c r="I563" s="22" t="n">
        <x:v>193443875.73126262</x:v>
      </x:c>
      <x:c r="J563" s="22" t="n">
        <x:v>1319542.785</x:v>
      </x:c>
      <x:c r="K563" s="22" t="n">
        <x:v>8708982.381000001</x:v>
      </x:c>
      <x:c r="L563" s="22" t="str">
        <x:v>可承受</x:v>
      </x:c>
    </x:row>
    <x:row r="564" ht="24" customHeight="1">
      <x:c r="A564" s="22" t="str">
        <x:v>C09-M060</x:v>
      </x:c>
      <x:c r="B564" s="22" t="str">
        <x:v>王门执宪者·赫桑达</x:v>
      </x:c>
      <x:c r="C564" s="22" t="str">
        <x:v>XX639</x:v>
      </x:c>
      <x:c r="D564" s="22" t="str">
        <x:v>P0294</x:v>
      </x:c>
      <x:c r="E564" s="22" t="str">
        <x:v>地图BOSS</x:v>
      </x:c>
      <x:c r="F564" s="22" t="n">
        <x:v>75.63989214910899</x:v>
      </x:c>
      <x:c r="G564" s="22" t="n">
        <x:v>-178</x:v>
      </x:c>
      <x:c r="H564" s="22" t="n">
        <x:v>2555578.483333333</x:v>
      </x:c>
      <x:c r="I564" s="22" t="n">
        <x:v>193443875.73126262</x:v>
      </x:c>
      <x:c r="J564" s="22" t="n">
        <x:v>240442.78499999997</x:v>
      </x:c>
      <x:c r="K564" s="22" t="n">
        <x:v>5289741.27</x:v>
      </x:c>
      <x:c r="L564" s="22" t="str">
        <x:v>可承受</x:v>
      </x:c>
    </x:row>
    <x:row r="565" ht="24" customHeight="1">
      <x:c r="A565" s="22" t="str">
        <x:v>C09-M061</x:v>
      </x:c>
      <x:c r="B565" s="22" t="str">
        <x:v>鎏日王城之影·阿尔维萨</x:v>
      </x:c>
      <x:c r="C565" s="22" t="str">
        <x:v>XX639</x:v>
      </x:c>
      <x:c r="D565" s="22" t="str">
        <x:v>P0298</x:v>
      </x:c>
      <x:c r="E565" s="22" t="str">
        <x:v>守关BOSS</x:v>
      </x:c>
      <x:c r="F565" s="22" t="n">
        <x:v>361.01923550498395</x:v>
      </x:c>
      <x:c r="G565" s="22" t="n">
        <x:v>8</x:v>
      </x:c>
      <x:c r="H565" s="22" t="n">
        <x:v>3712266.0299999993</x:v>
      </x:c>
      <x:c r="I565" s="22" t="n">
        <x:v>356528057.3392125</x:v>
      </x:c>
      <x:c r="J565" s="22" t="n">
        <x:v>8579532.059999999</x:v>
      </x:c>
      <x:c r="K565" s="22" t="n">
        <x:v>8579532.059999999</x:v>
      </x:c>
      <x:c r="L565" s="22" t="str">
        <x:v>可承受</x:v>
      </x:c>
    </x:row>
    <x:row r="566" ht="24" customHeight="1">
      <x:c r="A566" s="22" t="str">
        <x:v>C10-M001</x:v>
      </x:c>
      <x:c r="B566" s="22" t="str">
        <x:v>檐沟拾烬徒</x:v>
      </x:c>
      <x:c r="C566" s="22" t="str">
        <x:v>XX932</x:v>
      </x:c>
      <x:c r="D566" s="22" t="str">
        <x:v>P0303</x:v>
      </x:c>
      <x:c r="E566" s="22" t="str">
        <x:v>普通</x:v>
      </x:c>
      <x:c r="F566" s="22" t="n">
        <x:v>2.7649353840483757</x:v>
      </x:c>
      <x:c r="G566" s="22" t="n">
        <x:v>8</x:v>
      </x:c>
      <x:c r="H566" s="22" t="n">
        <x:v>1165020.0374999999</x:v>
      </x:c>
      <x:c r="I566" s="22" t="n">
        <x:v>357935154.7388447</x:v>
      </x:c>
      <x:c r="J566" s="22" t="n">
        <x:v>2144532.0599999996</x:v>
      </x:c>
      <x:c r="K566" s="22" t="n">
        <x:v>2144532.0599999996</x:v>
      </x:c>
      <x:c r="L566" s="22" t="str">
        <x:v>可承受</x:v>
      </x:c>
    </x:row>
    <x:row r="567" ht="24" customHeight="1">
      <x:c r="A567" s="22" t="str">
        <x:v>C10-M002</x:v>
      </x:c>
      <x:c r="B567" s="22" t="str">
        <x:v>斑墙巡灯卒</x:v>
      </x:c>
      <x:c r="C567" s="22" t="str">
        <x:v>XX932</x:v>
      </x:c>
      <x:c r="D567" s="22" t="str">
        <x:v>P0303</x:v>
      </x:c>
      <x:c r="E567" s="22" t="str">
        <x:v>普通</x:v>
      </x:c>
      <x:c r="F567" s="22" t="n">
        <x:v>2.89254778638907</x:v>
      </x:c>
      <x:c r="G567" s="22" t="n">
        <x:v>8</x:v>
      </x:c>
      <x:c r="H567" s="22" t="n">
        <x:v>1165020.0374999999</x:v>
      </x:c>
      <x:c r="I567" s="22" t="n">
        <x:v>357935154.7388447</x:v>
      </x:c>
      <x:c r="J567" s="22" t="n">
        <x:v>2144532.0599999996</x:v>
      </x:c>
      <x:c r="K567" s="22" t="n">
        <x:v>2144532.0599999996</x:v>
      </x:c>
      <x:c r="L567" s="22" t="str">
        <x:v>可承受</x:v>
      </x:c>
    </x:row>
    <x:row r="568" ht="24" customHeight="1">
      <x:c r="A568" s="22" t="str">
        <x:v>C10-M003</x:v>
      </x:c>
      <x:c r="B568" s="22" t="str">
        <x:v>暗巷伏砖客</x:v>
      </x:c>
      <x:c r="C568" s="22" t="str">
        <x:v>XX933</x:v>
      </x:c>
      <x:c r="D568" s="22" t="str">
        <x:v>P0303</x:v>
      </x:c>
      <x:c r="E568" s="22" t="str">
        <x:v>普通</x:v>
      </x:c>
      <x:c r="F568" s="22" t="n">
        <x:v>2.89254778638907</x:v>
      </x:c>
      <x:c r="G568" s="22" t="n">
        <x:v>8</x:v>
      </x:c>
      <x:c r="H568" s="22" t="n">
        <x:v>1165020.0374999999</x:v>
      </x:c>
      <x:c r="I568" s="22" t="n">
        <x:v>357935154.7388447</x:v>
      </x:c>
      <x:c r="J568" s="22" t="n">
        <x:v>2144532.0599999996</x:v>
      </x:c>
      <x:c r="K568" s="22" t="n">
        <x:v>2144532.0599999996</x:v>
      </x:c>
      <x:c r="L568" s="22" t="str">
        <x:v>可承受</x:v>
      </x:c>
    </x:row>
    <x:row r="569" ht="24" customHeight="1">
      <x:c r="A569" s="22" t="str">
        <x:v>C10-M004</x:v>
      </x:c>
      <x:c r="B569" s="22" t="str">
        <x:v>旧街缚铃犬</x:v>
      </x:c>
      <x:c r="C569" s="22" t="str">
        <x:v>XX933</x:v>
      </x:c>
      <x:c r="D569" s="22" t="str">
        <x:v>P0303</x:v>
      </x:c>
      <x:c r="E569" s="22" t="str">
        <x:v>普通</x:v>
      </x:c>
      <x:c r="F569" s="22" t="n">
        <x:v>2.2544857746855986</x:v>
      </x:c>
      <x:c r="G569" s="22" t="n">
        <x:v>8</x:v>
      </x:c>
      <x:c r="H569" s="22" t="n">
        <x:v>1165020.0374999999</x:v>
      </x:c>
      <x:c r="I569" s="22" t="n">
        <x:v>357935154.7388447</x:v>
      </x:c>
      <x:c r="J569" s="22" t="n">
        <x:v>2144532.0599999996</x:v>
      </x:c>
      <x:c r="K569" s="22" t="n">
        <x:v>2144532.0599999996</x:v>
      </x:c>
      <x:c r="L569" s="22" t="str">
        <x:v>可承受</x:v>
      </x:c>
    </x:row>
    <x:row r="570" ht="24" customHeight="1">
      <x:c r="A570" s="22" t="str">
        <x:v>C10-M005</x:v>
      </x:c>
      <x:c r="B570" s="22" t="str">
        <x:v>闸底淤甲工</x:v>
      </x:c>
      <x:c r="C570" s="22" t="str">
        <x:v>XX930</x:v>
      </x:c>
      <x:c r="D570" s="22" t="str">
        <x:v>P0303</x:v>
      </x:c>
      <x:c r="E570" s="22" t="str">
        <x:v>普通</x:v>
      </x:c>
      <x:c r="F570" s="22" t="n">
        <x:v>2.2544857746855986</x:v>
      </x:c>
      <x:c r="G570" s="22" t="n">
        <x:v>8</x:v>
      </x:c>
      <x:c r="H570" s="22" t="n">
        <x:v>1165020.0374999999</x:v>
      </x:c>
      <x:c r="I570" s="22" t="n">
        <x:v>357935154.7388447</x:v>
      </x:c>
      <x:c r="J570" s="22" t="n">
        <x:v>2144532.0599999996</x:v>
      </x:c>
      <x:c r="K570" s="22" t="n">
        <x:v>2144532.0599999996</x:v>
      </x:c>
      <x:c r="L570" s="22" t="str">
        <x:v>可承受</x:v>
      </x:c>
    </x:row>
    <x:row r="571" ht="24" customHeight="1">
      <x:c r="A571" s="22" t="str">
        <x:v>C10-M006</x:v>
      </x:c>
      <x:c r="B571" s="22" t="str">
        <x:v>链轮守栓奴</x:v>
      </x:c>
      <x:c r="C571" s="22" t="str">
        <x:v>XX930</x:v>
      </x:c>
      <x:c r="D571" s="22" t="str">
        <x:v>P0303</x:v>
      </x:c>
      <x:c r="E571" s="22" t="str">
        <x:v>普通</x:v>
      </x:c>
      <x:c r="F571" s="22" t="n">
        <x:v>2.2544857746855986</x:v>
      </x:c>
      <x:c r="G571" s="22" t="n">
        <x:v>8</x:v>
      </x:c>
      <x:c r="H571" s="22" t="n">
        <x:v>1165020.0374999999</x:v>
      </x:c>
      <x:c r="I571" s="22" t="n">
        <x:v>357935154.7388447</x:v>
      </x:c>
      <x:c r="J571" s="22" t="n">
        <x:v>2144532.0599999996</x:v>
      </x:c>
      <x:c r="K571" s="22" t="n">
        <x:v>2144532.0599999996</x:v>
      </x:c>
      <x:c r="L571" s="22" t="str">
        <x:v>可承受</x:v>
      </x:c>
    </x:row>
    <x:row r="572" ht="24" customHeight="1">
      <x:c r="A572" s="22" t="str">
        <x:v>C10-M007</x:v>
      </x:c>
      <x:c r="B572" s="22" t="str">
        <x:v>碎檐金羽鸦</x:v>
      </x:c>
      <x:c r="C572" s="22" t="str">
        <x:v>XX932</x:v>
      </x:c>
      <x:c r="D572" s="22" t="str">
        <x:v>P0303</x:v>
      </x:c>
      <x:c r="E572" s="22" t="str">
        <x:v>稀有</x:v>
      </x:c>
      <x:c r="F572" s="22" t="n">
        <x:v>7.295386042167771</x:v>
      </x:c>
      <x:c r="G572" s="22" t="n">
        <x:v>8</x:v>
      </x:c>
      <x:c r="H572" s="22" t="n">
        <x:v>2047665.9176470586</x:v>
      </x:c>
      <x:c r="I572" s="22" t="n">
        <x:v>357935154.7388447</x:v>
      </x:c>
      <x:c r="J572" s="22" t="n">
        <x:v>3959532.0599999996</x:v>
      </x:c>
      <x:c r="K572" s="22" t="n">
        <x:v>3959532.0599999996</x:v>
      </x:c>
      <x:c r="L572" s="22" t="str">
        <x:v>可承受</x:v>
      </x:c>
    </x:row>
    <x:row r="573" ht="24" customHeight="1">
      <x:c r="A573" s="22" t="str">
        <x:v>C10-M008</x:v>
      </x:c>
      <x:c r="B573" s="22" t="str">
        <x:v>缄口税契吏</x:v>
      </x:c>
      <x:c r="C573" s="22" t="str">
        <x:v>XX932</x:v>
      </x:c>
      <x:c r="D573" s="22" t="str">
        <x:v>P0303</x:v>
      </x:c>
      <x:c r="E573" s="22" t="str">
        <x:v>稀有</x:v>
      </x:c>
      <x:c r="F573" s="22" t="n">
        <x:v>8.207309297438742</x:v>
      </x:c>
      <x:c r="G573" s="22" t="n">
        <x:v>8</x:v>
      </x:c>
      <x:c r="H573" s="22" t="n">
        <x:v>2047665.9176470586</x:v>
      </x:c>
      <x:c r="I573" s="22" t="n">
        <x:v>357935154.7388447</x:v>
      </x:c>
      <x:c r="J573" s="22" t="n">
        <x:v>3959532.0599999996</x:v>
      </x:c>
      <x:c r="K573" s="22" t="n">
        <x:v>3959532.0599999996</x:v>
      </x:c>
      <x:c r="L573" s="22" t="str">
        <x:v>可承受</x:v>
      </x:c>
    </x:row>
    <x:row r="574" ht="24" customHeight="1">
      <x:c r="A574" s="22" t="str">
        <x:v>C10-M009</x:v>
      </x:c>
      <x:c r="B574" s="22" t="str">
        <x:v>巷钟剜影者</x:v>
      </x:c>
      <x:c r="C574" s="22" t="str">
        <x:v>XX933</x:v>
      </x:c>
      <x:c r="D574" s="22" t="str">
        <x:v>P0303</x:v>
      </x:c>
      <x:c r="E574" s="22" t="str">
        <x:v>稀有</x:v>
      </x:c>
      <x:c r="F574" s="22" t="n">
        <x:v>6.839424414532286</x:v>
      </x:c>
      <x:c r="G574" s="22" t="n">
        <x:v>8</x:v>
      </x:c>
      <x:c r="H574" s="22" t="n">
        <x:v>2047665.9176470586</x:v>
      </x:c>
      <x:c r="I574" s="22" t="n">
        <x:v>357935154.7388447</x:v>
      </x:c>
      <x:c r="J574" s="22" t="n">
        <x:v>3959532.0599999996</x:v>
      </x:c>
      <x:c r="K574" s="22" t="n">
        <x:v>3959532.0599999996</x:v>
      </x:c>
      <x:c r="L574" s="22" t="str">
        <x:v>可承受</x:v>
      </x:c>
    </x:row>
    <x:row r="575" ht="24" customHeight="1">
      <x:c r="A575" s="22" t="str">
        <x:v>C10-M010</x:v>
      </x:c>
      <x:c r="B575" s="22" t="str">
        <x:v>沉闸铜面监工</x:v>
      </x:c>
      <x:c r="C575" s="22" t="str">
        <x:v>XX930</x:v>
      </x:c>
      <x:c r="D575" s="22" t="str">
        <x:v>P0303</x:v>
      </x:c>
      <x:c r="E575" s="22" t="str">
        <x:v>稀有</x:v>
      </x:c>
      <x:c r="F575" s="22" t="n">
        <x:v>6.839424414532286</x:v>
      </x:c>
      <x:c r="G575" s="22" t="n">
        <x:v>8</x:v>
      </x:c>
      <x:c r="H575" s="22" t="n">
        <x:v>2047665.9176470586</x:v>
      </x:c>
      <x:c r="I575" s="22" t="n">
        <x:v>357935154.7388447</x:v>
      </x:c>
      <x:c r="J575" s="22" t="n">
        <x:v>3959532.0599999996</x:v>
      </x:c>
      <x:c r="K575" s="22" t="n">
        <x:v>3959532.0599999996</x:v>
      </x:c>
      <x:c r="L575" s="22" t="str">
        <x:v>可承受</x:v>
      </x:c>
    </x:row>
    <x:row r="576" ht="24" customHeight="1">
      <x:c r="A576" s="22" t="str">
        <x:v>C10-M011</x:v>
      </x:c>
      <x:c r="B576" s="22" t="str">
        <x:v>灰巷的无灯侯</x:v>
      </x:c>
      <x:c r="C576" s="22" t="str">
        <x:v>XX933</x:v>
      </x:c>
      <x:c r="D576" s="22" t="str">
        <x:v>P0305</x:v>
      </x:c>
      <x:c r="E576" s="22" t="str">
        <x:v>地图BOSS</x:v>
      </x:c>
      <x:c r="F576" s="22" t="n">
        <x:v>82.66577937111136</x:v>
      </x:c>
      <x:c r="G576" s="22" t="n">
        <x:v>8</x:v>
      </x:c>
      <x:c r="H576" s="22" t="n">
        <x:v>2841406.1499999994</x:v>
      </x:c>
      <x:c r="I576" s="22" t="n">
        <x:v>359494128.0495203</x:v>
      </x:c>
      <x:c r="J576" s="22" t="n">
        <x:v>5939531.069999999</x:v>
      </x:c>
      <x:c r="K576" s="22" t="n">
        <x:v>5939531.069999999</x:v>
      </x:c>
      <x:c r="L576" s="22" t="str">
        <x:v>可承受</x:v>
      </x:c>
    </x:row>
    <x:row r="577" ht="24" customHeight="1">
      <x:c r="A577" s="22" t="str">
        <x:v>C10-M012</x:v>
      </x:c>
      <x:c r="B577" s="22" t="str">
        <x:v>千锁闸门统领</x:v>
      </x:c>
      <x:c r="C577" s="22" t="str">
        <x:v>XX930</x:v>
      </x:c>
      <x:c r="D577" s="22" t="str">
        <x:v>P0306</x:v>
      </x:c>
      <x:c r="E577" s="22" t="str">
        <x:v>地图BOSS</x:v>
      </x:c>
      <x:c r="F577" s="22" t="n">
        <x:v>68.07770065856229</x:v>
      </x:c>
      <x:c r="G577" s="22" t="n">
        <x:v>8</x:v>
      </x:c>
      <x:c r="H577" s="22" t="n">
        <x:v>2841406.1499999994</x:v>
      </x:c>
      <x:c r="I577" s="22" t="n">
        <x:v>359494128.0495203</x:v>
      </x:c>
      <x:c r="J577" s="22" t="n">
        <x:v>5939531.069999999</x:v>
      </x:c>
      <x:c r="K577" s="22" t="n">
        <x:v>5939531.069999999</x:v>
      </x:c>
      <x:c r="L577" s="22" t="str">
        <x:v>可承受</x:v>
      </x:c>
    </x:row>
    <x:row r="578" ht="24" customHeight="1">
      <x:c r="A578" s="22" t="str">
        <x:v>C10-M013</x:v>
      </x:c>
      <x:c r="B578" s="22" t="str">
        <x:v>金垢潜渠鼠</x:v>
      </x:c>
      <x:c r="C578" s="22" t="str">
        <x:v>XX629</x:v>
      </x:c>
      <x:c r="D578" s="22" t="str">
        <x:v>P0304</x:v>
      </x:c>
      <x:c r="E578" s="22" t="str">
        <x:v>普通</x:v>
      </x:c>
      <x:c r="F578" s="22" t="n">
        <x:v>2.5028098916923334</x:v>
      </x:c>
      <x:c r="G578" s="22" t="n">
        <x:v>-2</x:v>
      </x:c>
      <x:c r="H578" s="22" t="n">
        <x:v>1176437.4624749997</x:v>
      </x:c>
      <x:c r="I578" s="22" t="n">
        <x:v>358881870.7257324</x:v>
      </x:c>
      <x:c r="J578" s="22" t="n">
        <x:v>2111531.07</x:v>
      </x:c>
      <x:c r="K578" s="22" t="n">
        <x:v>5067674.567999999</x:v>
      </x:c>
      <x:c r="L578" s="22" t="str">
        <x:v>可承受</x:v>
      </x:c>
    </x:row>
    <x:row r="579" ht="24" customHeight="1">
      <x:c r="A579" s="22" t="str">
        <x:v>C10-M014</x:v>
      </x:c>
      <x:c r="B579" s="22" t="str">
        <x:v>污潮捞骨役</x:v>
      </x:c>
      <x:c r="C579" s="22" t="str">
        <x:v>XX629</x:v>
      </x:c>
      <x:c r="D579" s="22" t="str">
        <x:v>P0304</x:v>
      </x:c>
      <x:c r="E579" s="22" t="str">
        <x:v>普通</x:v>
      </x:c>
      <x:c r="F579" s="22" t="n">
        <x:v>2.375548371775774</x:v>
      </x:c>
      <x:c r="G579" s="22" t="n">
        <x:v>-2</x:v>
      </x:c>
      <x:c r="H579" s="22" t="n">
        <x:v>1176437.4624749997</x:v>
      </x:c>
      <x:c r="I579" s="22" t="n">
        <x:v>358881870.7257324</x:v>
      </x:c>
      <x:c r="J579" s="22" t="n">
        <x:v>2111531.07</x:v>
      </x:c>
      <x:c r="K579" s="22" t="n">
        <x:v>5067674.567999999</x:v>
      </x:c>
      <x:c r="L579" s="22" t="str">
        <x:v>可承受</x:v>
      </x:c>
    </x:row>
    <x:row r="580" ht="24" customHeight="1">
      <x:c r="A580" s="22" t="str">
        <x:v>C10-M015</x:v>
      </x:c>
      <x:c r="B580" s="22" t="str">
        <x:v>回廊鸣管蜥</x:v>
      </x:c>
      <x:c r="C580" s="22" t="str">
        <x:v>XX631</x:v>
      </x:c>
      <x:c r="D580" s="22" t="str">
        <x:v>P0304</x:v>
      </x:c>
      <x:c r="E580" s="22" t="str">
        <x:v>普通</x:v>
      </x:c>
      <x:c r="F580" s="22" t="n">
        <x:v>2.248286851859215</x:v>
      </x:c>
      <x:c r="G580" s="22" t="n">
        <x:v>-2</x:v>
      </x:c>
      <x:c r="H580" s="22" t="n">
        <x:v>1176437.4624749997</x:v>
      </x:c>
      <x:c r="I580" s="22" t="n">
        <x:v>358881870.7257324</x:v>
      </x:c>
      <x:c r="J580" s="22" t="n">
        <x:v>2111531.07</x:v>
      </x:c>
      <x:c r="K580" s="22" t="n">
        <x:v>5067674.567999999</x:v>
      </x:c>
      <x:c r="L580" s="22" t="str">
        <x:v>可承受</x:v>
      </x:c>
    </x:row>
    <x:row r="581" ht="24" customHeight="1">
      <x:c r="A581" s="22" t="str">
        <x:v>C10-M016</x:v>
      </x:c>
      <x:c r="B581" s="22" t="str">
        <x:v>锈槽巡污卒</x:v>
      </x:c>
      <x:c r="C581" s="22" t="str">
        <x:v>XX631</x:v>
      </x:c>
      <x:c r="D581" s="22" t="str">
        <x:v>P0304</x:v>
      </x:c>
      <x:c r="E581" s="22" t="str">
        <x:v>普通</x:v>
      </x:c>
      <x:c r="F581" s="22" t="n">
        <x:v>2.5028098916923334</x:v>
      </x:c>
      <x:c r="G581" s="22" t="n">
        <x:v>-2</x:v>
      </x:c>
      <x:c r="H581" s="22" t="n">
        <x:v>1176437.4624749997</x:v>
      </x:c>
      <x:c r="I581" s="22" t="n">
        <x:v>358881870.7257324</x:v>
      </x:c>
      <x:c r="J581" s="22" t="n">
        <x:v>2111531.07</x:v>
      </x:c>
      <x:c r="K581" s="22" t="n">
        <x:v>5067674.567999999</x:v>
      </x:c>
      <x:c r="L581" s="22" t="str">
        <x:v>可承受</x:v>
      </x:c>
    </x:row>
    <x:row r="582" ht="24" customHeight="1">
      <x:c r="A582" s="22" t="str">
        <x:v>C10-M017</x:v>
      </x:c>
      <x:c r="B582" s="22" t="str">
        <x:v>中枢盘阀傀</x:v>
      </x:c>
      <x:c r="C582" s="22" t="str">
        <x:v>XX624</x:v>
      </x:c>
      <x:c r="D582" s="22" t="str">
        <x:v>P0304</x:v>
      </x:c>
      <x:c r="E582" s="22" t="str">
        <x:v>普通</x:v>
      </x:c>
      <x:c r="F582" s="22" t="n">
        <x:v>2.7573329315254522</x:v>
      </x:c>
      <x:c r="G582" s="22" t="n">
        <x:v>-2</x:v>
      </x:c>
      <x:c r="H582" s="22" t="n">
        <x:v>1176437.4624749997</x:v>
      </x:c>
      <x:c r="I582" s="22" t="n">
        <x:v>358881870.7257324</x:v>
      </x:c>
      <x:c r="J582" s="22" t="n">
        <x:v>2111531.07</x:v>
      </x:c>
      <x:c r="K582" s="22" t="n">
        <x:v>5067674.567999999</x:v>
      </x:c>
      <x:c r="L582" s="22" t="str">
        <x:v>可承受</x:v>
      </x:c>
    </x:row>
    <x:row r="583" ht="24" customHeight="1">
      <x:c r="A583" s="22" t="str">
        <x:v>C10-M018</x:v>
      </x:c>
      <x:c r="B583" s="22" t="str">
        <x:v>泄洪窥灯虫</x:v>
      </x:c>
      <x:c r="C583" s="22" t="str">
        <x:v>XX624</x:v>
      </x:c>
      <x:c r="D583" s="22" t="str">
        <x:v>P0304</x:v>
      </x:c>
      <x:c r="E583" s="22" t="str">
        <x:v>普通</x:v>
      </x:c>
      <x:c r="F583" s="22" t="n">
        <x:v>2.7573329315254522</x:v>
      </x:c>
      <x:c r="G583" s="22" t="n">
        <x:v>-2</x:v>
      </x:c>
      <x:c r="H583" s="22" t="n">
        <x:v>1176437.4624749997</x:v>
      </x:c>
      <x:c r="I583" s="22" t="n">
        <x:v>358881870.7257324</x:v>
      </x:c>
      <x:c r="J583" s="22" t="n">
        <x:v>2111531.07</x:v>
      </x:c>
      <x:c r="K583" s="22" t="n">
        <x:v>5067674.567999999</x:v>
      </x:c>
      <x:c r="L583" s="22" t="str">
        <x:v>可承受</x:v>
      </x:c>
    </x:row>
    <x:row r="584" ht="24" customHeight="1">
      <x:c r="A584" s="22" t="str">
        <x:v>C10-M019</x:v>
      </x:c>
      <x:c r="B584" s="22" t="str">
        <x:v>镀金脓潮母</x:v>
      </x:c>
      <x:c r="C584" s="22" t="str">
        <x:v>XX629</x:v>
      </x:c>
      <x:c r="D584" s="22" t="str">
        <x:v>P0304</x:v>
      </x:c>
      <x:c r="E584" s="22" t="str">
        <x:v>稀有</x:v>
      </x:c>
      <x:c r="F584" s="22" t="n">
        <x:v>8.183624660650969</x:v>
      </x:c>
      <x:c r="G584" s="22" t="n">
        <x:v>-2</x:v>
      </x:c>
      <x:c r="H584" s="22" t="n">
        <x:v>2075067.0235058821</x:v>
      </x:c>
      <x:c r="I584" s="22" t="n">
        <x:v>358881870.7257324</x:v>
      </x:c>
      <x:c r="J584" s="22" t="n">
        <x:v>3959531.0699999994</x:v>
      </x:c>
      <x:c r="K584" s="22" t="n">
        <x:v>9502874.567999998</x:v>
      </x:c>
      <x:c r="L584" s="22" t="str">
        <x:v>可承受</x:v>
      </x:c>
    </x:row>
    <x:row r="585" ht="24" customHeight="1">
      <x:c r="A585" s="22" t="str">
        <x:v>C10-M020</x:v>
      </x:c>
      <x:c r="B585" s="22" t="str">
        <x:v>逆流剥甲人</x:v>
      </x:c>
      <x:c r="C585" s="22" t="str">
        <x:v>XX631</x:v>
      </x:c>
      <x:c r="D585" s="22" t="str">
        <x:v>P0304</x:v>
      </x:c>
      <x:c r="E585" s="22" t="str">
        <x:v>稀有</x:v>
      </x:c>
      <x:c r="F585" s="22" t="n">
        <x:v>7.27433303168975</x:v>
      </x:c>
      <x:c r="G585" s="22" t="n">
        <x:v>-2</x:v>
      </x:c>
      <x:c r="H585" s="22" t="n">
        <x:v>2075067.0235058821</x:v>
      </x:c>
      <x:c r="I585" s="22" t="n">
        <x:v>358881870.7257324</x:v>
      </x:c>
      <x:c r="J585" s="22" t="n">
        <x:v>3959531.0699999994</x:v>
      </x:c>
      <x:c r="K585" s="22" t="n">
        <x:v>9502874.567999998</x:v>
      </x:c>
      <x:c r="L585" s="22" t="str">
        <x:v>可承受</x:v>
      </x:c>
    </x:row>
    <x:row r="586" ht="24" customHeight="1">
      <x:c r="A586" s="22" t="str">
        <x:v>C10-M021</x:v>
      </x:c>
      <x:c r="B586" s="22" t="str">
        <x:v>七孔哀笛客</x:v>
      </x:c>
      <x:c r="C586" s="22" t="str">
        <x:v>XX631</x:v>
      </x:c>
      <x:c r="D586" s="22" t="str">
        <x:v>P0304</x:v>
      </x:c>
      <x:c r="E586" s="22" t="str">
        <x:v>稀有</x:v>
      </x:c>
      <x:c r="F586" s="22" t="n">
        <x:v>8.638270475131579</x:v>
      </x:c>
      <x:c r="G586" s="22" t="n">
        <x:v>-2</x:v>
      </x:c>
      <x:c r="H586" s="22" t="n">
        <x:v>2075067.0235058821</x:v>
      </x:c>
      <x:c r="I586" s="22" t="n">
        <x:v>358881870.7257324</x:v>
      </x:c>
      <x:c r="J586" s="22" t="n">
        <x:v>3959531.0699999994</x:v>
      </x:c>
      <x:c r="K586" s="22" t="n">
        <x:v>9502874.567999998</x:v>
      </x:c>
      <x:c r="L586" s="22" t="str">
        <x:v>可承受</x:v>
      </x:c>
    </x:row>
    <x:row r="587" ht="24" customHeight="1">
      <x:c r="A587" s="22" t="str">
        <x:v>C10-M022</x:v>
      </x:c>
      <x:c r="B587" s="22" t="str">
        <x:v>沸淤校阀官</x:v>
      </x:c>
      <x:c r="C587" s="22" t="str">
        <x:v>XX624</x:v>
      </x:c>
      <x:c r="D587" s="22" t="str">
        <x:v>P0304</x:v>
      </x:c>
      <x:c r="E587" s="22" t="str">
        <x:v>稀有</x:v>
      </x:c>
      <x:c r="F587" s="22" t="n">
        <x:v>6.8196872172091405</x:v>
      </x:c>
      <x:c r="G587" s="22" t="n">
        <x:v>-2</x:v>
      </x:c>
      <x:c r="H587" s="22" t="n">
        <x:v>2075067.0235058821</x:v>
      </x:c>
      <x:c r="I587" s="22" t="n">
        <x:v>358881870.7257324</x:v>
      </x:c>
      <x:c r="J587" s="22" t="n">
        <x:v>3959531.0699999994</x:v>
      </x:c>
      <x:c r="K587" s="22" t="n">
        <x:v>9502874.567999998</x:v>
      </x:c>
      <x:c r="L587" s="22" t="str">
        <x:v>可承受</x:v>
      </x:c>
    </x:row>
    <x:row r="588" ht="24" customHeight="1">
      <x:c r="A588" s="22" t="str">
        <x:v>C10-M023</x:v>
      </x:c>
      <x:c r="B588" s="22" t="str">
        <x:v>百喉回廊吞声兽</x:v>
      </x:c>
      <x:c r="C588" s="22" t="str">
        <x:v>XX631</x:v>
      </x:c>
      <x:c r="D588" s="22" t="str">
        <x:v>P0311</x:v>
      </x:c>
      <x:c r="E588" s="22" t="str">
        <x:v>地图BOSS</x:v>
      </x:c>
      <x:c r="F588" s="22" t="n">
        <x:v>75.6321241393875</x:v>
      </x:c>
      <x:c r="G588" s="22" t="n">
        <x:v>-2</x:v>
      </x:c>
      <x:c r="H588" s="22" t="n">
        <x:v>3297898.855533333</x:v>
      </x:c>
      <x:c r="I588" s="22" t="n">
        <x:v>504067078.9655204</x:v>
      </x:c>
      <x:c r="J588" s="22" t="n">
        <x:v>6599531.069999999</x:v>
      </x:c>
      <x:c r="K588" s="22" t="n">
        <x:v>15838874.567999998</x:v>
      </x:c>
      <x:c r="L588" s="22" t="str">
        <x:v>可承受</x:v>
      </x:c>
    </x:row>
    <x:row r="589" ht="24" customHeight="1">
      <x:c r="A589" s="22" t="str">
        <x:v>C10-M024</x:v>
      </x:c>
      <x:c r="B589" s="22" t="str">
        <x:v>鎏污大司闸</x:v>
      </x:c>
      <x:c r="C589" s="22" t="str">
        <x:v>XX624</x:v>
      </x:c>
      <x:c r="D589" s="22" t="str">
        <x:v>P0312</x:v>
      </x:c>
      <x:c r="E589" s="22" t="str">
        <x:v>地图BOSS</x:v>
      </x:c>
      <x:c r="F589" s="22" t="n">
        <x:v>82.50777178842273</x:v>
      </x:c>
      <x:c r="G589" s="22" t="n">
        <x:v>-2</x:v>
      </x:c>
      <x:c r="H589" s="22" t="n">
        <x:v>3297898.855533333</x:v>
      </x:c>
      <x:c r="I589" s="22" t="n">
        <x:v>504067078.9655204</x:v>
      </x:c>
      <x:c r="J589" s="22" t="n">
        <x:v>6599531.069999999</x:v>
      </x:c>
      <x:c r="K589" s="22" t="n">
        <x:v>15838874.567999998</x:v>
      </x:c>
      <x:c r="L589" s="22" t="str">
        <x:v>可承受</x:v>
      </x:c>
    </x:row>
    <x:row r="590" ht="24" customHeight="1">
      <x:c r="A590" s="22" t="str">
        <x:v>C10-M025</x:v>
      </x:c>
      <x:c r="B590" s="22" t="str">
        <x:v>金脉铲痕奴</x:v>
      </x:c>
      <x:c r="C590" s="22" t="str">
        <x:v>XX954</x:v>
      </x:c>
      <x:c r="D590" s="22" t="str">
        <x:v>P0310</x:v>
      </x:c>
      <x:c r="E590" s="22" t="str">
        <x:v>普通</x:v>
      </x:c>
      <x:c r="F590" s="22" t="n">
        <x:v>2.8915814303159464</x:v>
      </x:c>
      <x:c r="G590" s="22" t="n">
        <x:v>-7</x:v>
      </x:c>
      <x:c r="H590" s="22" t="n">
        <x:v>1316587.112276643</x:v>
      </x:c>
      <x:c r="I590" s="22" t="n">
        <x:v>501805408.55120516</x:v>
      </x:c>
      <x:c r="J590" s="22" t="n">
        <x:v>1979531.0699999998</x:v>
      </x:c>
      <x:c r="K590" s="22" t="n">
        <x:v>6730405.638</x:v>
      </x:c>
      <x:c r="L590" s="22" t="str">
        <x:v>可承受</x:v>
      </x:c>
    </x:row>
    <x:row r="591" ht="24" customHeight="1">
      <x:c r="A591" s="22" t="str">
        <x:v>C10-M026</x:v>
      </x:c>
      <x:c r="B591" s="22" t="str">
        <x:v>王矿负灯鼹</x:v>
      </x:c>
      <x:c r="C591" s="22" t="str">
        <x:v>XX954</x:v>
      </x:c>
      <x:c r="D591" s="22" t="str">
        <x:v>P0310</x:v>
      </x:c>
      <x:c r="E591" s="22" t="str">
        <x:v>普通</x:v>
      </x:c>
      <x:c r="F591" s="22" t="n">
        <x:v>2.8915814303159464</x:v>
      </x:c>
      <x:c r="G591" s="22" t="n">
        <x:v>-7</x:v>
      </x:c>
      <x:c r="H591" s="22" t="n">
        <x:v>1316587.112276643</x:v>
      </x:c>
      <x:c r="I591" s="22" t="n">
        <x:v>501805408.55120516</x:v>
      </x:c>
      <x:c r="J591" s="22" t="n">
        <x:v>1979531.0699999998</x:v>
      </x:c>
      <x:c r="K591" s="22" t="n">
        <x:v>6730405.638</x:v>
      </x:c>
      <x:c r="L591" s="22" t="str">
        <x:v>可承受</x:v>
      </x:c>
    </x:row>
    <x:row r="592" ht="24" customHeight="1">
      <x:c r="A592" s="22" t="str">
        <x:v>C10-M027</x:v>
      </x:c>
      <x:c r="B592" s="22" t="str">
        <x:v>崩轨拖链卒</x:v>
      </x:c>
      <x:c r="C592" s="22" t="str">
        <x:v>XX955</x:v>
      </x:c>
      <x:c r="D592" s="22" t="str">
        <x:v>P0310</x:v>
      </x:c>
      <x:c r="E592" s="22" t="str">
        <x:v>普通</x:v>
      </x:c>
      <x:c r="F592" s="22" t="n">
        <x:v>2.259047992434333</x:v>
      </x:c>
      <x:c r="G592" s="22" t="n">
        <x:v>-7</x:v>
      </x:c>
      <x:c r="H592" s="22" t="n">
        <x:v>1316587.112276643</x:v>
      </x:c>
      <x:c r="I592" s="22" t="n">
        <x:v>501805408.55120516</x:v>
      </x:c>
      <x:c r="J592" s="22" t="n">
        <x:v>1979531.0699999998</x:v>
      </x:c>
      <x:c r="K592" s="22" t="n">
        <x:v>6730405.638</x:v>
      </x:c>
      <x:c r="L592" s="22" t="str">
        <x:v>可承受</x:v>
      </x:c>
    </x:row>
    <x:row r="593" ht="24" customHeight="1">
      <x:c r="A593" s="22" t="str">
        <x:v>C10-M028</x:v>
      </x:c>
      <x:c r="B593" s="22" t="str">
        <x:v>冷砧铆甲匠</x:v>
      </x:c>
      <x:c r="C593" s="22" t="str">
        <x:v>XX953</x:v>
      </x:c>
      <x:c r="D593" s="22" t="str">
        <x:v>P0310</x:v>
      </x:c>
      <x:c r="E593" s="22" t="str">
        <x:v>普通</x:v>
      </x:c>
      <x:c r="F593" s="22" t="n">
        <x:v>2.259047992434333</x:v>
      </x:c>
      <x:c r="G593" s="22" t="n">
        <x:v>-7</x:v>
      </x:c>
      <x:c r="H593" s="22" t="n">
        <x:v>1316587.112276643</x:v>
      </x:c>
      <x:c r="I593" s="22" t="n">
        <x:v>501805408.55120516</x:v>
      </x:c>
      <x:c r="J593" s="22" t="n">
        <x:v>1979531.0699999998</x:v>
      </x:c>
      <x:c r="K593" s="22" t="n">
        <x:v>6730405.638</x:v>
      </x:c>
      <x:c r="L593" s="22" t="str">
        <x:v>可承受</x:v>
      </x:c>
    </x:row>
    <x:row r="594" ht="24" customHeight="1">
      <x:c r="A594" s="22" t="str">
        <x:v>C10-M029</x:v>
      </x:c>
      <x:c r="B594" s="22" t="str">
        <x:v>裂晶钻颚兽</x:v>
      </x:c>
      <x:c r="C594" s="22" t="str">
        <x:v>XX957</x:v>
      </x:c>
      <x:c r="D594" s="22" t="str">
        <x:v>P0310</x:v>
      </x:c>
      <x:c r="E594" s="22" t="str">
        <x:v>普通</x:v>
      </x:c>
      <x:c r="F594" s="22" t="n">
        <x:v>2.259047992434333</x:v>
      </x:c>
      <x:c r="G594" s="22" t="n">
        <x:v>-7</x:v>
      </x:c>
      <x:c r="H594" s="22" t="n">
        <x:v>1316587.112276643</x:v>
      </x:c>
      <x:c r="I594" s="22" t="n">
        <x:v>501805408.55120516</x:v>
      </x:c>
      <x:c r="J594" s="22" t="n">
        <x:v>1979531.0699999998</x:v>
      </x:c>
      <x:c r="K594" s="22" t="n">
        <x:v>6730405.638</x:v>
      </x:c>
      <x:c r="L594" s="22" t="str">
        <x:v>可承受</x:v>
      </x:c>
    </x:row>
    <x:row r="595" ht="24" customHeight="1">
      <x:c r="A595" s="22" t="str">
        <x:v>C10-M030</x:v>
      </x:c>
      <x:c r="B595" s="22" t="str">
        <x:v>矿脉听金虫</x:v>
      </x:c>
      <x:c r="C595" s="22" t="str">
        <x:v>XX956</x:v>
      </x:c>
      <x:c r="D595" s="22" t="str">
        <x:v>P0310</x:v>
      </x:c>
      <x:c r="E595" s="22" t="str">
        <x:v>普通</x:v>
      </x:c>
      <x:c r="F595" s="22" t="n">
        <x:v>2.8915814303159464</x:v>
      </x:c>
      <x:c r="G595" s="22" t="n">
        <x:v>-7</x:v>
      </x:c>
      <x:c r="H595" s="22" t="n">
        <x:v>1316587.112276643</x:v>
      </x:c>
      <x:c r="I595" s="22" t="n">
        <x:v>501805408.55120516</x:v>
      </x:c>
      <x:c r="J595" s="22" t="n">
        <x:v>1979531.0699999998</x:v>
      </x:c>
      <x:c r="K595" s="22" t="n">
        <x:v>6730405.638</x:v>
      </x:c>
      <x:c r="L595" s="22" t="str">
        <x:v>可承受</x:v>
      </x:c>
    </x:row>
    <x:row r="596" ht="24" customHeight="1">
      <x:c r="A596" s="22" t="str">
        <x:v>C10-M031</x:v>
      </x:c>
      <x:c r="B596" s="22" t="str">
        <x:v>监坑鎏面骑</x:v>
      </x:c>
      <x:c r="C596" s="22" t="str">
        <x:v>XX954</x:v>
      </x:c>
      <x:c r="D596" s="22" t="str">
        <x:v>P0310</x:v>
      </x:c>
      <x:c r="E596" s="22" t="str">
        <x:v>稀有</x:v>
      </x:c>
      <x:c r="F596" s="22" t="n">
        <x:v>8.387148753464876</x:v>
      </x:c>
      <x:c r="G596" s="22" t="n">
        <x:v>-7</x:v>
      </x:c>
      <x:c r="H596" s="22" t="n">
        <x:v>2287693.8529058676</x:v>
      </x:c>
      <x:c r="I596" s="22" t="n">
        <x:v>501805408.55120516</x:v>
      </x:c>
      <x:c r="J596" s="22" t="n">
        <x:v>3629531.0699999994</x:v>
      </x:c>
      <x:c r="K596" s="22" t="n">
        <x:v>12340405.637999998</x:v>
      </x:c>
      <x:c r="L596" s="22" t="str">
        <x:v>可承受</x:v>
      </x:c>
    </x:row>
    <x:row r="597" ht="24" customHeight="1">
      <x:c r="A597" s="22" t="str">
        <x:v>C10-M032</x:v>
      </x:c>
      <x:c r="B597" s="22" t="str">
        <x:v>空炉吐渣鬼</x:v>
      </x:c>
      <x:c r="C597" s="22" t="str">
        <x:v>XX953</x:v>
      </x:c>
      <x:c r="D597" s="22" t="str">
        <x:v>P0310</x:v>
      </x:c>
      <x:c r="E597" s="22" t="str">
        <x:v>稀有</x:v>
      </x:c>
      <x:c r="F597" s="22" t="n">
        <x:v>7.096818176008742</x:v>
      </x:c>
      <x:c r="G597" s="22" t="n">
        <x:v>-7</x:v>
      </x:c>
      <x:c r="H597" s="22" t="n">
        <x:v>2287693.8529058676</x:v>
      </x:c>
      <x:c r="I597" s="22" t="n">
        <x:v>501805408.55120516</x:v>
      </x:c>
      <x:c r="J597" s="22" t="n">
        <x:v>3629531.0699999994</x:v>
      </x:c>
      <x:c r="K597" s="22" t="n">
        <x:v>12340405.637999998</x:v>
      </x:c>
      <x:c r="L597" s="22" t="str">
        <x:v>可承受</x:v>
      </x:c>
    </x:row>
    <x:row r="598" ht="24" customHeight="1">
      <x:c r="A598" s="22" t="str">
        <x:v>C10-M033</x:v>
      </x:c>
      <x:c r="B598" s="22" t="str">
        <x:v>黑晶凿梦师</x:v>
      </x:c>
      <x:c r="C598" s="22" t="str">
        <x:v>XX957</x:v>
      </x:c>
      <x:c r="D598" s="22" t="str">
        <x:v>P0310</x:v>
      </x:c>
      <x:c r="E598" s="22" t="str">
        <x:v>稀有</x:v>
      </x:c>
      <x:c r="F598" s="22" t="n">
        <x:v>6.774235531644708</x:v>
      </x:c>
      <x:c r="G598" s="22" t="n">
        <x:v>-7</x:v>
      </x:c>
      <x:c r="H598" s="22" t="n">
        <x:v>2287693.8529058676</x:v>
      </x:c>
      <x:c r="I598" s="22" t="n">
        <x:v>501805408.55120516</x:v>
      </x:c>
      <x:c r="J598" s="22" t="n">
        <x:v>3629531.0699999994</x:v>
      </x:c>
      <x:c r="K598" s="22" t="n">
        <x:v>12340405.637999998</x:v>
      </x:c>
      <x:c r="L598" s="22" t="str">
        <x:v>可承受</x:v>
      </x:c>
    </x:row>
    <x:row r="599" ht="24" customHeight="1">
      <x:c r="A599" s="22" t="str">
        <x:v>C10-M034</x:v>
      </x:c>
      <x:c r="B599" s="22" t="str">
        <x:v>王脉封勘使</x:v>
      </x:c>
      <x:c r="C599" s="22" t="str">
        <x:v>XX956</x:v>
      </x:c>
      <x:c r="D599" s="22" t="str">
        <x:v>P0310</x:v>
      </x:c>
      <x:c r="E599" s="22" t="str">
        <x:v>稀有</x:v>
      </x:c>
      <x:c r="F599" s="22" t="n">
        <x:v>8.387148753464876</x:v>
      </x:c>
      <x:c r="G599" s="22" t="n">
        <x:v>-7</x:v>
      </x:c>
      <x:c r="H599" s="22" t="n">
        <x:v>2287693.8529058676</x:v>
      </x:c>
      <x:c r="I599" s="22" t="n">
        <x:v>501805408.55120516</x:v>
      </x:c>
      <x:c r="J599" s="22" t="n">
        <x:v>3629531.0699999994</x:v>
      </x:c>
      <x:c r="K599" s="22" t="n">
        <x:v>12340405.637999998</x:v>
      </x:c>
      <x:c r="L599" s="22" t="str">
        <x:v>可承受</x:v>
      </x:c>
    </x:row>
    <x:row r="600" ht="24" customHeight="1">
      <x:c r="A600" s="22" t="str">
        <x:v>C10-M035</x:v>
      </x:c>
      <x:c r="B600" s="22" t="str">
        <x:v>深井百臂掘王</x:v>
      </x:c>
      <x:c r="C600" s="22" t="str">
        <x:v>XX957</x:v>
      </x:c>
      <x:c r="D600" s="22" t="str">
        <x:v>P0317</x:v>
      </x:c>
      <x:c r="E600" s="22" t="str">
        <x:v>地图BOSS</x:v>
      </x:c>
      <x:c r="F600" s="22" t="n">
        <x:v>82.55027572587456</x:v>
      </x:c>
      <x:c r="G600" s="22" t="n">
        <x:v>-7</x:v>
      </x:c>
      <x:c r="H600" s="22" t="n">
        <x:v>3971917.450741338</x:v>
      </x:c>
      <x:c r="I600" s="22" t="n">
        <x:v>631198396.164161</x:v>
      </x:c>
      <x:c r="J600" s="22" t="n">
        <x:v>6929531.069999999</x:v>
      </x:c>
      <x:c r="K600" s="22" t="n">
        <x:v>23560405.638</x:v>
      </x:c>
      <x:c r="L600" s="22" t="str">
        <x:v>可承受</x:v>
      </x:c>
    </x:row>
    <x:row r="601" ht="24" customHeight="1">
      <x:c r="A601" s="22" t="str">
        <x:v>C10-M036</x:v>
      </x:c>
      <x:c r="B601" s="22" t="str">
        <x:v>地脉熔冠巨像</x:v>
      </x:c>
      <x:c r="C601" s="22" t="str">
        <x:v>XX956</x:v>
      </x:c>
      <x:c r="D601" s="22" t="str">
        <x:v>P0318</x:v>
      </x:c>
      <x:c r="E601" s="22" t="str">
        <x:v>地图BOSS</x:v>
      </x:c>
      <x:c r="F601" s="22" t="n">
        <x:v>85.3019515834037</x:v>
      </x:c>
      <x:c r="G601" s="22" t="n">
        <x:v>-7</x:v>
      </x:c>
      <x:c r="H601" s="22" t="n">
        <x:v>3971917.450741338</x:v>
      </x:c>
      <x:c r="I601" s="22" t="n">
        <x:v>631198396.164161</x:v>
      </x:c>
      <x:c r="J601" s="22" t="n">
        <x:v>6929531.069999999</x:v>
      </x:c>
      <x:c r="K601" s="22" t="n">
        <x:v>23560405.638</x:v>
      </x:c>
      <x:c r="L601" s="22" t="str">
        <x:v>可承受</x:v>
      </x:c>
    </x:row>
    <x:row r="602" ht="24" customHeight="1">
      <x:c r="A602" s="22" t="str">
        <x:v>C10-M037</x:v>
      </x:c>
      <x:c r="B602" s="22" t="str">
        <x:v>石棺刮蜡侍</x:v>
      </x:c>
      <x:c r="C602" s="22" t="str">
        <x:v>XX707</x:v>
      </x:c>
      <x:c r="D602" s="22" t="str">
        <x:v>P0316</x:v>
      </x:c>
      <x:c r="E602" s="22" t="str">
        <x:v>普通</x:v>
      </x:c>
      <x:c r="F602" s="22" t="n">
        <x:v>2.8732943108478652</x:v>
      </x:c>
      <x:c r="G602" s="22" t="n">
        <x:v>-17</x:v>
      </x:c>
      <x:c r="H602" s="22" t="n">
        <x:v>1308861.6339615292</x:v>
      </x:c>
      <x:c r="I602" s="22" t="n">
        <x:v>504811661.81796986</x:v>
      </x:c>
      <x:c r="J602" s="22" t="n">
        <x:v>890531.07</x:v>
      </x:c>
      <x:c r="K602" s="22" t="n">
        <x:v>4808867.778</x:v>
      </x:c>
      <x:c r="L602" s="22" t="str">
        <x:v>可承受</x:v>
      </x:c>
    </x:row>
    <x:row r="603" ht="24" customHeight="1">
      <x:c r="A603" s="22" t="str">
        <x:v>C10-M038</x:v>
      </x:c>
      <x:c r="B603" s="22" t="str">
        <x:v>眠碑缝尸媪</x:v>
      </x:c>
      <x:c r="C603" s="22" t="str">
        <x:v>XX707</x:v>
      </x:c>
      <x:c r="D603" s="22" t="str">
        <x:v>P0316</x:v>
      </x:c>
      <x:c r="E603" s="22" t="str">
        <x:v>普通</x:v>
      </x:c>
      <x:c r="F603" s="22" t="n">
        <x:v>2.514132521991882</x:v>
      </x:c>
      <x:c r="G603" s="22" t="n">
        <x:v>-17</x:v>
      </x:c>
      <x:c r="H603" s="22" t="n">
        <x:v>1308861.6339615292</x:v>
      </x:c>
      <x:c r="I603" s="22" t="n">
        <x:v>504811661.81796986</x:v>
      </x:c>
      <x:c r="J603" s="22" t="n">
        <x:v>890531.07</x:v>
      </x:c>
      <x:c r="K603" s="22" t="n">
        <x:v>4808867.778</x:v>
      </x:c>
      <x:c r="L603" s="22" t="str">
        <x:v>可承受</x:v>
      </x:c>
    </x:row>
    <x:row r="604" ht="24" customHeight="1">
      <x:c r="A604" s="22" t="str">
        <x:v>C10-M039</x:v>
      </x:c>
      <x:c r="B604" s="22" t="str">
        <x:v>墓王执幡骨卫</x:v>
      </x:c>
      <x:c r="C604" s="22" t="str">
        <x:v>XX708</x:v>
      </x:c>
      <x:c r="D604" s="22" t="str">
        <x:v>P0316</x:v>
      </x:c>
      <x:c r="E604" s="22" t="str">
        <x:v>普通</x:v>
      </x:c>
      <x:c r="F604" s="22" t="n">
        <x:v>2.514132521991882</x:v>
      </x:c>
      <x:c r="G604" s="22" t="n">
        <x:v>-17</x:v>
      </x:c>
      <x:c r="H604" s="22" t="n">
        <x:v>1308861.6339615292</x:v>
      </x:c>
      <x:c r="I604" s="22" t="n">
        <x:v>504811661.81796986</x:v>
      </x:c>
      <x:c r="J604" s="22" t="n">
        <x:v>890531.07</x:v>
      </x:c>
      <x:c r="K604" s="22" t="n">
        <x:v>4808867.778</x:v>
      </x:c>
      <x:c r="L604" s="22" t="str">
        <x:v>可承受</x:v>
      </x:c>
    </x:row>
    <x:row r="605" ht="24" customHeight="1">
      <x:c r="A605" s="22" t="str">
        <x:v>C10-M040</x:v>
      </x:c>
      <x:c r="B605" s="22" t="str">
        <x:v>甬道噤歌蛾</x:v>
      </x:c>
      <x:c r="C605" s="22" t="str">
        <x:v>XX708</x:v>
      </x:c>
      <x:c r="D605" s="22" t="str">
        <x:v>P0316</x:v>
      </x:c>
      <x:c r="E605" s="22" t="str">
        <x:v>普通</x:v>
      </x:c>
      <x:c r="F605" s="22" t="n">
        <x:v>2.514132521991882</x:v>
      </x:c>
      <x:c r="G605" s="22" t="n">
        <x:v>-17</x:v>
      </x:c>
      <x:c r="H605" s="22" t="n">
        <x:v>1308861.6339615292</x:v>
      </x:c>
      <x:c r="I605" s="22" t="n">
        <x:v>504811661.81796986</x:v>
      </x:c>
      <x:c r="J605" s="22" t="n">
        <x:v>890531.07</x:v>
      </x:c>
      <x:c r="K605" s="22" t="n">
        <x:v>4808867.778</x:v>
      </x:c>
      <x:c r="L605" s="22" t="str">
        <x:v>可承受</x:v>
      </x:c>
    </x:row>
    <x:row r="606" ht="24" customHeight="1">
      <x:c r="A606" s="22" t="str">
        <x:v>C10-M041</x:v>
      </x:c>
      <x:c r="B606" s="22" t="str">
        <x:v>寝室抱瓮童</x:v>
      </x:c>
      <x:c r="C606" s="22" t="str">
        <x:v>XX704</x:v>
      </x:c>
      <x:c r="D606" s="22" t="str">
        <x:v>P0316</x:v>
      </x:c>
      <x:c r="E606" s="22" t="str">
        <x:v>普通</x:v>
      </x:c>
      <x:c r="F606" s="22" t="n">
        <x:v>2.3644817766352224</x:v>
      </x:c>
      <x:c r="G606" s="22" t="n">
        <x:v>-17</x:v>
      </x:c>
      <x:c r="H606" s="22" t="n">
        <x:v>1308861.6339615292</x:v>
      </x:c>
      <x:c r="I606" s="22" t="n">
        <x:v>504811661.81796986</x:v>
      </x:c>
      <x:c r="J606" s="22" t="n">
        <x:v>890531.07</x:v>
      </x:c>
      <x:c r="K606" s="22" t="n">
        <x:v>4808867.778</x:v>
      </x:c>
      <x:c r="L606" s="22" t="str">
        <x:v>可承受</x:v>
      </x:c>
    </x:row>
    <x:row r="607" ht="24" customHeight="1">
      <x:c r="A607" s="22" t="str">
        <x:v>C10-M042</x:v>
      </x:c>
      <x:c r="B607" s="22" t="str">
        <x:v>枕陵掘指尸</x:v>
      </x:c>
      <x:c r="C607" s="22" t="str">
        <x:v>XX704</x:v>
      </x:c>
      <x:c r="D607" s="22" t="str">
        <x:v>P0316</x:v>
      </x:c>
      <x:c r="E607" s="22" t="str">
        <x:v>普通</x:v>
      </x:c>
      <x:c r="F607" s="22" t="n">
        <x:v>2.8732943108478652</x:v>
      </x:c>
      <x:c r="G607" s="22" t="n">
        <x:v>-17</x:v>
      </x:c>
      <x:c r="H607" s="22" t="n">
        <x:v>1308861.6339615292</x:v>
      </x:c>
      <x:c r="I607" s="22" t="n">
        <x:v>504811661.81796986</x:v>
      </x:c>
      <x:c r="J607" s="22" t="n">
        <x:v>890531.07</x:v>
      </x:c>
      <x:c r="K607" s="22" t="n">
        <x:v>4808867.778</x:v>
      </x:c>
      <x:c r="L607" s="22" t="str">
        <x:v>可承受</x:v>
      </x:c>
    </x:row>
    <x:row r="608" ht="24" customHeight="1">
      <x:c r="A608" s="22" t="str">
        <x:v>C10-M043</x:v>
      </x:c>
      <x:c r="B608" s="22" t="str">
        <x:v>无烛守丧女</x:v>
      </x:c>
      <x:c r="C608" s="22" t="str">
        <x:v>XX707</x:v>
      </x:c>
      <x:c r="D608" s="22" t="str">
        <x:v>P0316</x:v>
      </x:c>
      <x:c r="E608" s="22" t="str">
        <x:v>稀有</x:v>
      </x:c>
      <x:c r="F608" s="22" t="n">
        <x:v>7.048772370517057</x:v>
      </x:c>
      <x:c r="G608" s="22" t="n">
        <x:v>-17</x:v>
      </x:c>
      <x:c r="H608" s="22" t="n">
        <x:v>2341734.6628110264</x:v>
      </x:c>
      <x:c r="I608" s="22" t="n">
        <x:v>504811661.81796986</x:v>
      </x:c>
      <x:c r="J608" s="22" t="n">
        <x:v>1748531.0699999998</x:v>
      </x:c>
      <x:c r="K608" s="22" t="n">
        <x:v>9442067.777999999</x:v>
      </x:c>
      <x:c r="L608" s="22" t="str">
        <x:v>可承受</x:v>
      </x:c>
    </x:row>
    <x:row r="609" ht="24" customHeight="1">
      <x:c r="A609" s="22" t="str">
        <x:v>C10-M044</x:v>
      </x:c>
      <x:c r="B609" s="22" t="str">
        <x:v>断碑驮棺兽</x:v>
      </x:c>
      <x:c r="C609" s="22" t="str">
        <x:v>XX708</x:v>
      </x:c>
      <x:c r="D609" s="22" t="str">
        <x:v>P0316</x:v>
      </x:c>
      <x:c r="E609" s="22" t="str">
        <x:v>稀有</x:v>
      </x:c>
      <x:c r="F609" s="22" t="n">
        <x:v>6.728373626402645</x:v>
      </x:c>
      <x:c r="G609" s="22" t="n">
        <x:v>-17</x:v>
      </x:c>
      <x:c r="H609" s="22" t="n">
        <x:v>2341734.6628110264</x:v>
      </x:c>
      <x:c r="I609" s="22" t="n">
        <x:v>504811661.81796986</x:v>
      </x:c>
      <x:c r="J609" s="22" t="n">
        <x:v>1748531.0699999998</x:v>
      </x:c>
      <x:c r="K609" s="22" t="n">
        <x:v>9442067.777999999</x:v>
      </x:c>
      <x:c r="L609" s="22" t="str">
        <x:v>可承受</x:v>
      </x:c>
    </x:row>
    <x:row r="610" ht="24" customHeight="1">
      <x:c r="A610" s="22" t="str">
        <x:v>C10-M045</x:v>
      </x:c>
      <x:c r="B610" s="22" t="str">
        <x:v>王甬秤罪官</x:v>
      </x:c>
      <x:c r="C610" s="22" t="str">
        <x:v>XX708</x:v>
      </x:c>
      <x:c r="D610" s="22" t="str">
        <x:v>P0316</x:v>
      </x:c>
      <x:c r="E610" s="22" t="str">
        <x:v>稀有</x:v>
      </x:c>
      <x:c r="F610" s="22" t="n">
        <x:v>7.048772370517057</x:v>
      </x:c>
      <x:c r="G610" s="22" t="n">
        <x:v>-17</x:v>
      </x:c>
      <x:c r="H610" s="22" t="n">
        <x:v>2341734.6628110264</x:v>
      </x:c>
      <x:c r="I610" s="22" t="n">
        <x:v>504811661.81796986</x:v>
      </x:c>
      <x:c r="J610" s="22" t="n">
        <x:v>1748531.0699999998</x:v>
      </x:c>
      <x:c r="K610" s="22" t="n">
        <x:v>9442067.777999999</x:v>
      </x:c>
      <x:c r="L610" s="22" t="str">
        <x:v>可承受</x:v>
      </x:c>
    </x:row>
    <x:row r="611" ht="24" customHeight="1">
      <x:c r="A611" s="22" t="str">
        <x:v>C10-M046</x:v>
      </x:c>
      <x:c r="B611" s="22" t="str">
        <x:v>寝门返魂甲</x:v>
      </x:c>
      <x:c r="C611" s="22" t="str">
        <x:v>XX704</x:v>
      </x:c>
      <x:c r="D611" s="22" t="str">
        <x:v>P0316</x:v>
      </x:c>
      <x:c r="E611" s="22" t="str">
        <x:v>稀有</x:v>
      </x:c>
      <x:c r="F611" s="22" t="n">
        <x:v>6.728373626402645</x:v>
      </x:c>
      <x:c r="G611" s="22" t="n">
        <x:v>-17</x:v>
      </x:c>
      <x:c r="H611" s="22" t="n">
        <x:v>2341734.6628110264</x:v>
      </x:c>
      <x:c r="I611" s="22" t="n">
        <x:v>504811661.81796986</x:v>
      </x:c>
      <x:c r="J611" s="22" t="n">
        <x:v>1748531.0699999998</x:v>
      </x:c>
      <x:c r="K611" s="22" t="n">
        <x:v>9442067.777999999</x:v>
      </x:c>
      <x:c r="L611" s="22" t="str">
        <x:v>可承受</x:v>
      </x:c>
    </x:row>
    <x:row r="612" ht="24" customHeight="1">
      <x:c r="A612" s="22" t="str">
        <x:v>C10-M047</x:v>
      </x:c>
      <x:c r="B612" s="22" t="str">
        <x:v>不葬的甬道王妃</x:v>
      </x:c>
      <x:c r="C612" s="22" t="str">
        <x:v>XX708</x:v>
      </x:c>
      <x:c r="D612" s="22" t="str">
        <x:v>P0323</x:v>
      </x:c>
      <x:c r="E612" s="22" t="str">
        <x:v>地图BOSS</x:v>
      </x:c>
      <x:c r="F612" s="22" t="n">
        <x:v>71.92826705999907</x:v>
      </x:c>
      <x:c r="G612" s="22" t="n">
        <x:v>-17</x:v>
      </x:c>
      <x:c r="H612" s="22" t="n">
        <x:v>4017716.9202282308</x:v>
      </x:c>
      <x:c r="I612" s="22" t="n">
        <x:v>667629567.2975292</x:v>
      </x:c>
      <x:c r="J612" s="22" t="n">
        <x:v>3254504.2249999996</x:v>
      </x:c>
      <x:c r="K612" s="22" t="n">
        <x:v>17574322.814999998</x:v>
      </x:c>
      <x:c r="L612" s="22" t="str">
        <x:v>可承受</x:v>
      </x:c>
    </x:row>
    <x:row r="613" ht="24" customHeight="1">
      <x:c r="A613" s="22" t="str">
        <x:v>C10-M048</x:v>
      </x:c>
      <x:c r="B613" s="22" t="str">
        <x:v>枯寝吞碑王</x:v>
      </x:c>
      <x:c r="C613" s="22" t="str">
        <x:v>XX704</x:v>
      </x:c>
      <x:c r="D613" s="22" t="str">
        <x:v>P0324</x:v>
      </x:c>
      <x:c r="E613" s="22" t="str">
        <x:v>地图BOSS</x:v>
      </x:c>
      <x:c r="F613" s="22" t="n">
        <x:v>74.32587596199905</x:v>
      </x:c>
      <x:c r="G613" s="22" t="n">
        <x:v>-17</x:v>
      </x:c>
      <x:c r="H613" s="22" t="n">
        <x:v>4017716.9202282308</x:v>
      </x:c>
      <x:c r="I613" s="22" t="n">
        <x:v>667629567.2975292</x:v>
      </x:c>
      <x:c r="J613" s="22" t="n">
        <x:v>3254504.2249999996</x:v>
      </x:c>
      <x:c r="K613" s="22" t="n">
        <x:v>17574322.814999998</x:v>
      </x:c>
      <x:c r="L613" s="22" t="str">
        <x:v>可承受</x:v>
      </x:c>
    </x:row>
    <x:row r="614" ht="24" customHeight="1">
      <x:c r="A614" s="22" t="str">
        <x:v>C10-M049</x:v>
      </x:c>
      <x:c r="B614" s="22" t="str">
        <x:v>日轮扫阶侍</x:v>
      </x:c>
      <x:c r="C614" s="22" t="str">
        <x:v>XX371</x:v>
      </x:c>
      <x:c r="D614" s="22" t="str">
        <x:v>P0322</x:v>
      </x:c>
      <x:c r="E614" s="22" t="str">
        <x:v>普通</x:v>
      </x:c>
      <x:c r="F614" s="22" t="n">
        <x:v>2.5194125620439802</x:v>
      </x:c>
      <x:c r="G614" s="22" t="n">
        <x:v>-27</x:v>
      </x:c>
      <x:c r="H614" s="22" t="n">
        <x:v>1685604.671516748</x:v>
      </x:c>
      <x:c r="I614" s="22" t="n">
        <x:v>654422631.6231945</x:v>
      </x:c>
      <x:c r="J614" s="22" t="n">
        <x:v>559504.225</x:v>
      </x:c>
      <x:c r="K614" s="22" t="n">
        <x:v>4140331.265</x:v>
      </x:c>
      <x:c r="L614" s="22" t="str">
        <x:v>可承受</x:v>
      </x:c>
    </x:row>
    <x:row r="615" ht="24" customHeight="1">
      <x:c r="A615" s="22" t="str">
        <x:v>C10-M050</x:v>
      </x:c>
      <x:c r="B615" s="22" t="str">
        <x:v>金桂驯狮吏</x:v>
      </x:c>
      <x:c r="C615" s="22" t="str">
        <x:v>XX371</x:v>
      </x:c>
      <x:c r="D615" s="22" t="str">
        <x:v>P0322</x:v>
      </x:c>
      <x:c r="E615" s="22" t="str">
        <x:v>普通</x:v>
      </x:c>
      <x:c r="F615" s="22" t="n">
        <x:v>2.2903750564036183</x:v>
      </x:c>
      <x:c r="G615" s="22" t="n">
        <x:v>-27</x:v>
      </x:c>
      <x:c r="H615" s="22" t="n">
        <x:v>1685604.671516748</x:v>
      </x:c>
      <x:c r="I615" s="22" t="n">
        <x:v>654422631.6231945</x:v>
      </x:c>
      <x:c r="J615" s="22" t="n">
        <x:v>559504.225</x:v>
      </x:c>
      <x:c r="K615" s="22" t="n">
        <x:v>4140331.265</x:v>
      </x:c>
      <x:c r="L615" s="22" t="str">
        <x:v>可承受</x:v>
      </x:c>
    </x:row>
    <x:row r="616" ht="24" customHeight="1">
      <x:c r="A616" s="22" t="str">
        <x:v>C10-M051</x:v>
      </x:c>
      <x:c r="B616" s="22" t="str">
        <x:v>垂纱持香女</x:v>
      </x:c>
      <x:c r="C616" s="22" t="str">
        <x:v>XX372</x:v>
      </x:c>
      <x:c r="D616" s="22" t="str">
        <x:v>P0322</x:v>
      </x:c>
      <x:c r="E616" s="22" t="str">
        <x:v>普通</x:v>
      </x:c>
      <x:c r="F616" s="22" t="n">
        <x:v>2.22166380471151</x:v>
      </x:c>
      <x:c r="G616" s="22" t="n">
        <x:v>-27</x:v>
      </x:c>
      <x:c r="H616" s="22" t="n">
        <x:v>1685604.671516748</x:v>
      </x:c>
      <x:c r="I616" s="22" t="n">
        <x:v>654422631.6231945</x:v>
      </x:c>
      <x:c r="J616" s="22" t="n">
        <x:v>559504.225</x:v>
      </x:c>
      <x:c r="K616" s="22" t="n">
        <x:v>4140331.265</x:v>
      </x:c>
      <x:c r="L616" s="22" t="str">
        <x:v>可承受</x:v>
      </x:c>
    </x:row>
    <x:row r="617" ht="24" customHeight="1">
      <x:c r="A617" s="22" t="str">
        <x:v>C10-M052</x:v>
      </x:c>
      <x:c r="B617" s="22" t="str">
        <x:v>律烛诵壁僧</x:v>
      </x:c>
      <x:c r="C617" s="22" t="str">
        <x:v>XX463</x:v>
      </x:c>
      <x:c r="D617" s="22" t="str">
        <x:v>P0322</x:v>
      </x:c>
      <x:c r="E617" s="22" t="str">
        <x:v>普通</x:v>
      </x:c>
      <x:c r="F617" s="22" t="n">
        <x:v>2.22166380471151</x:v>
      </x:c>
      <x:c r="G617" s="22" t="n">
        <x:v>-27</x:v>
      </x:c>
      <x:c r="H617" s="22" t="n">
        <x:v>1685604.671516748</x:v>
      </x:c>
      <x:c r="I617" s="22" t="n">
        <x:v>654422631.6231945</x:v>
      </x:c>
      <x:c r="J617" s="22" t="n">
        <x:v>559504.225</x:v>
      </x:c>
      <x:c r="K617" s="22" t="n">
        <x:v>4140331.265</x:v>
      </x:c>
      <x:c r="L617" s="22" t="str">
        <x:v>可承受</x:v>
      </x:c>
    </x:row>
    <x:row r="618" ht="24" customHeight="1">
      <x:c r="A618" s="22" t="str">
        <x:v>C10-M053</x:v>
      </x:c>
      <x:c r="B618" s="22" t="str">
        <x:v>前厅捧剑灵</x:v>
      </x:c>
      <x:c r="C618" s="22" t="str">
        <x:v>XX370</x:v>
      </x:c>
      <x:c r="D618" s="22" t="str">
        <x:v>P0322</x:v>
      </x:c>
      <x:c r="E618" s="22" t="str">
        <x:v>普通</x:v>
      </x:c>
      <x:c r="F618" s="22" t="n">
        <x:v>2.2903750564036183</x:v>
      </x:c>
      <x:c r="G618" s="22" t="n">
        <x:v>-27</x:v>
      </x:c>
      <x:c r="H618" s="22" t="n">
        <x:v>1685604.671516748</x:v>
      </x:c>
      <x:c r="I618" s="22" t="n">
        <x:v>654422631.6231945</x:v>
      </x:c>
      <x:c r="J618" s="22" t="n">
        <x:v>559504.225</x:v>
      </x:c>
      <x:c r="K618" s="22" t="n">
        <x:v>4140331.265</x:v>
      </x:c>
      <x:c r="L618" s="22" t="str">
        <x:v>可承受</x:v>
      </x:c>
    </x:row>
    <x:row r="619" ht="24" customHeight="1">
      <x:c r="A619" s="22" t="str">
        <x:v>C10-M054</x:v>
      </x:c>
      <x:c r="B619" s="22" t="str">
        <x:v>王座拾辉甲</x:v>
      </x:c>
      <x:c r="C619" s="22" t="str">
        <x:v>XX386</x:v>
      </x:c>
      <x:c r="D619" s="22" t="str">
        <x:v>P0322</x:v>
      </x:c>
      <x:c r="E619" s="22" t="str">
        <x:v>普通</x:v>
      </x:c>
      <x:c r="F619" s="22" t="n">
        <x:v>3.7634768735752515</x:v>
      </x:c>
      <x:c r="G619" s="22" t="n">
        <x:v>-227</x:v>
      </x:c>
      <x:c r="H619" s="22" t="n">
        <x:v>1629433.0937499998</x:v>
      </x:c>
      <x:c r="I619" s="22" t="n">
        <x:v>654422631.6231945</x:v>
      </x:c>
      <x:c r="J619" s="22" t="n">
        <x:v>136004.225</x:v>
      </x:c>
      <x:c r="K619" s="22" t="n">
        <x:v>2992092.95</x:v>
      </x:c>
      <x:c r="L619" s="22" t="str">
        <x:v>可承受</x:v>
      </x:c>
    </x:row>
    <x:row r="620" ht="24" customHeight="1">
      <x:c r="A620" s="22" t="str">
        <x:v>C10-M055</x:v>
      </x:c>
      <x:c r="B620" s="22" t="str">
        <x:v>外庭熔桂狮</x:v>
      </x:c>
      <x:c r="C620" s="22" t="str">
        <x:v>XX371</x:v>
      </x:c>
      <x:c r="D620" s="22" t="str">
        <x:v>P0322</x:v>
      </x:c>
      <x:c r="E620" s="22" t="str">
        <x:v>稀有</x:v>
      </x:c>
      <x:c r="F620" s="22" t="n">
        <x:v>7.341308903412015</x:v>
      </x:c>
      <x:c r="G620" s="22" t="n">
        <x:v>-27</x:v>
      </x:c>
      <x:c r="H620" s="22" t="n">
        <x:v>2872427.138580025</x:v>
      </x:c>
      <x:c r="I620" s="22" t="n">
        <x:v>654422631.6231945</x:v>
      </x:c>
      <x:c r="J620" s="22" t="n">
        <x:v>1049504.2249999999</x:v>
      </x:c>
      <x:c r="K620" s="22" t="n">
        <x:v>7766331.265</x:v>
      </x:c>
      <x:c r="L620" s="22" t="str">
        <x:v>可承受</x:v>
      </x:c>
    </x:row>
    <x:row r="621" ht="24" customHeight="1">
      <x:c r="A621" s="22" t="str">
        <x:v>C10-M056</x:v>
      </x:c>
      <x:c r="B621" s="22" t="str">
        <x:v>内庭七帷掌仪</x:v>
      </x:c>
      <x:c r="C621" s="22" t="str">
        <x:v>XX372</x:v>
      </x:c>
      <x:c r="D621" s="22" t="str">
        <x:v>P0322</x:v>
      </x:c>
      <x:c r="E621" s="22" t="str">
        <x:v>稀有</x:v>
      </x:c>
      <x:c r="F621" s="22" t="n">
        <x:v>7.341308903412015</x:v>
      </x:c>
      <x:c r="G621" s="22" t="n">
        <x:v>-27</x:v>
      </x:c>
      <x:c r="H621" s="22" t="n">
        <x:v>2872427.138580025</x:v>
      </x:c>
      <x:c r="I621" s="22" t="n">
        <x:v>654422631.6231945</x:v>
      </x:c>
      <x:c r="J621" s="22" t="n">
        <x:v>1049504.2249999999</x:v>
      </x:c>
      <x:c r="K621" s="22" t="n">
        <x:v>7766331.265</x:v>
      </x:c>
      <x:c r="L621" s="22" t="str">
        <x:v>可承受</x:v>
      </x:c>
    </x:row>
    <x:row r="622" ht="24" customHeight="1">
      <x:c r="A622" s="22" t="str">
        <x:v>C10-M057</x:v>
      </x:c>
      <x:c r="B622" s="22" t="str">
        <x:v>深殿缄律书记</x:v>
      </x:c>
      <x:c r="C622" s="22" t="str">
        <x:v>XX463</x:v>
      </x:c>
      <x:c r="D622" s="22" t="str">
        <x:v>P0322</x:v>
      </x:c>
      <x:c r="E622" s="22" t="str">
        <x:v>稀有</x:v>
      </x:c>
      <x:c r="F622" s="22" t="n">
        <x:v>6.607178013070814</x:v>
      </x:c>
      <x:c r="G622" s="22" t="n">
        <x:v>-27</x:v>
      </x:c>
      <x:c r="H622" s="22" t="n">
        <x:v>2872427.138580025</x:v>
      </x:c>
      <x:c r="I622" s="22" t="n">
        <x:v>654422631.6231945</x:v>
      </x:c>
      <x:c r="J622" s="22" t="n">
        <x:v>1049504.2249999999</x:v>
      </x:c>
      <x:c r="K622" s="22" t="n">
        <x:v>7766331.265</x:v>
      </x:c>
      <x:c r="L622" s="22" t="str">
        <x:v>可承受</x:v>
      </x:c>
    </x:row>
    <x:row r="623" ht="24" customHeight="1">
      <x:c r="A623" s="22" t="str">
        <x:v>C10-M058</x:v>
      </x:c>
      <x:c r="B623" s="22" t="str">
        <x:v>前厅无声执冠官</x:v>
      </x:c>
      <x:c r="C623" s="22" t="str">
        <x:v>XX370</x:v>
      </x:c>
      <x:c r="D623" s="22" t="str">
        <x:v>P0322</x:v>
      </x:c>
      <x:c r="E623" s="22" t="str">
        <x:v>稀有</x:v>
      </x:c>
      <x:c r="F623" s="22" t="n">
        <x:v>7.0965986066316145</x:v>
      </x:c>
      <x:c r="G623" s="22" t="n">
        <x:v>-27</x:v>
      </x:c>
      <x:c r="H623" s="22" t="n">
        <x:v>2872427.138580025</x:v>
      </x:c>
      <x:c r="I623" s="22" t="n">
        <x:v>654422631.6231945</x:v>
      </x:c>
      <x:c r="J623" s="22" t="n">
        <x:v>1049504.2249999999</x:v>
      </x:c>
      <x:c r="K623" s="22" t="n">
        <x:v>7766331.265</x:v>
      </x:c>
      <x:c r="L623" s="22" t="str">
        <x:v>可承受</x:v>
      </x:c>
    </x:row>
    <x:row r="624" ht="24" customHeight="1">
      <x:c r="A624" s="22" t="str">
        <x:v>C10-M059</x:v>
      </x:c>
      <x:c r="B624" s="22" t="str">
        <x:v>碎日门的黄金禁卫</x:v>
      </x:c>
      <x:c r="C624" s="22" t="str">
        <x:v>XX370</x:v>
      </x:c>
      <x:c r="D624" s="22" t="str">
        <x:v>P0329</x:v>
      </x:c>
      <x:c r="E624" s="22" t="str">
        <x:v>地图BOSS</x:v>
      </x:c>
      <x:c r="F624" s="22" t="n">
        <x:v>82.06953704739408</x:v>
      </x:c>
      <x:c r="G624" s="22" t="n">
        <x:v>-27</x:v>
      </x:c>
      <x:c r="H624" s="22" t="n">
        <x:v>4070419.6441089567</x:v>
      </x:c>
      <x:c r="I624" s="22" t="n">
        <x:v>701536227.1907746</x:v>
      </x:c>
      <x:c r="J624" s="22" t="n">
        <x:v>1609498.275</x:v>
      </x:c>
      <x:c r="K624" s="22" t="n">
        <x:v>11910287.235</x:v>
      </x:c>
      <x:c r="L624" s="22" t="str">
        <x:v>可承受</x:v>
      </x:c>
    </x:row>
    <x:row r="625" ht="24" customHeight="1">
      <x:c r="A625" s="22" t="str">
        <x:v>C10-M060</x:v>
      </x:c>
      <x:c r="B625" s="22" t="str">
        <x:v>永辉帷后的空王</x:v>
      </x:c>
      <x:c r="C625" s="22" t="str">
        <x:v>XX386</x:v>
      </x:c>
      <x:c r="D625" s="22" t="str">
        <x:v>P0330</x:v>
      </x:c>
      <x:c r="E625" s="22" t="str">
        <x:v>地图BOSS</x:v>
      </x:c>
      <x:c r="F625" s="22" t="n">
        <x:v>68.89556545047085</x:v>
      </x:c>
      <x:c r="G625" s="22" t="n">
        <x:v>-227</x:v>
      </x:c>
      <x:c r="H625" s="22" t="n">
        <x:v>4057756.694444444</x:v>
      </x:c>
      <x:c r="I625" s="22" t="n">
        <x:v>701536227.1907746</x:v>
      </x:c>
      <x:c r="J625" s="22" t="n">
        <x:v>384498.27499999997</x:v>
      </x:c>
      <x:c r="K625" s="22" t="n">
        <x:v>8458962.049999999</x:v>
      </x:c>
      <x:c r="L625" s="22" t="str">
        <x:v>可承受</x:v>
      </x:c>
    </x:row>
    <x:row r="626" ht="24" customHeight="1">
      <x:c r="A626" s="22" t="str">
        <x:v>C10-M061</x:v>
      </x:c>
      <x:c r="B626" s="22" t="str">
        <x:v>万冠终审者·萨洛恩</x:v>
      </x:c>
      <x:c r="C626" s="22" t="str">
        <x:v>XX386</x:v>
      </x:c>
      <x:c r="D626" s="22" t="str">
        <x:v>P0334</x:v>
      </x:c>
      <x:c r="E626" s="22" t="str">
        <x:v>守关BOSS</x:v>
      </x:c>
      <x:c r="F626" s="22" t="n">
        <x:v>423.92457118071025</x:v>
      </x:c>
      <x:c r="G626" s="22" t="n">
        <x:v>6</x:v>
      </x:c>
      <x:c r="H626" s="22" t="n">
        <x:v>5687229.1875</x:v>
      </x:c>
      <x:c r="I626" s="22" t="n">
        <x:v>1218325375.3635745</x:v>
      </x:c>
      <x:c r="J626" s="22" t="n">
        <x:v>12949458.375</x:v>
      </x:c>
      <x:c r="K626" s="22" t="n">
        <x:v>12949458.375</x:v>
      </x:c>
      <x:c r="L626" s="22" t="str">
        <x:v>可承受</x:v>
      </x:c>
    </x:row>
  </x:sheetData>
  <x:mergeCells>
    <x:mergeCell ref="A1:L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14" hidden="0" customWidth="1"/>
    <x:col min="4" max="4" width="66" hidden="0" customWidth="1"/>
  </x:cols>
  <x:sheetData>
    <x:row r="1" ht="32" customHeight="1">
      <x:c r="A1" s="3" t="str">
        <x:v>结构与公式约束检查</x:v>
      </x:c>
      <x:c r="B1" s="3"/>
      <x:c r="C1" s="3"/>
      <x:c r="D1" s="3"/>
    </x:row>
    <x:row r="2" ht="34" customHeight="1">
      <x:c r="A2" s="8" t="str">
        <x:v>检查通过不意味着所有普通装备接棒均符合“明显吃力”；玩法偏差单独列在地图组接棒与待收口页。</x:v>
      </x:c>
      <x:c r="B2" s="8"/>
      <x:c r="C2" s="8"/>
      <x:c r="D2" s="8"/>
    </x:row>
    <x:row r="4" ht="30" customHeight="1">
      <x:c r="A4" s="15" t="str">
        <x:v>序号</x:v>
      </x:c>
      <x:c r="B4" s="15" t="str">
        <x:v>检查项</x:v>
      </x:c>
      <x:c r="C4" s="15" t="str">
        <x:v>状态</x:v>
      </x:c>
      <x:c r="D4" s="15" t="str">
        <x:v>对象</x:v>
      </x:c>
    </x:row>
    <x:row r="5" ht="24" customHeight="1">
      <x:c r="A5" s="22" t="n">
        <x:v>1</x:v>
      </x:c>
      <x:c r="B5" s="22" t="str">
        <x:v>同名命格不重复</x:v>
      </x:c>
      <x:c r="C5" s="22" t="str">
        <x:v>通过</x:v>
      </x:c>
      <x:c r="D5" s="22" t="str">
        <x:v>P0001</x:v>
      </x:c>
    </x:row>
    <x:row r="6" ht="24" customHeight="1">
      <x:c r="A6" s="22" t="n">
        <x:v>2</x:v>
      </x:c>
      <x:c r="B6" s="22" t="str">
        <x:v>人物幸运不超过8</x:v>
      </x:c>
      <x:c r="C6" s="22" t="str">
        <x:v>通过</x:v>
      </x:c>
      <x:c r="D6" s="22" t="str">
        <x:v>P0001</x:v>
      </x:c>
    </x:row>
    <x:row r="7" ht="24" customHeight="1">
      <x:c r="A7" s="22" t="n">
        <x:v>3</x:v>
      </x:c>
      <x:c r="B7" s="22" t="str">
        <x:v>同名命格不重复</x:v>
      </x:c>
      <x:c r="C7" s="22" t="str">
        <x:v>通过</x:v>
      </x:c>
      <x:c r="D7" s="22" t="str">
        <x:v>P0002</x:v>
      </x:c>
    </x:row>
    <x:row r="8" ht="24" customHeight="1">
      <x:c r="A8" s="22" t="n">
        <x:v>4</x:v>
      </x:c>
      <x:c r="B8" s="22" t="str">
        <x:v>人物幸运不超过8</x:v>
      </x:c>
      <x:c r="C8" s="22" t="str">
        <x:v>通过</x:v>
      </x:c>
      <x:c r="D8" s="22" t="str">
        <x:v>P0002</x:v>
      </x:c>
    </x:row>
    <x:row r="9" ht="24" customHeight="1">
      <x:c r="A9" s="22" t="n">
        <x:v>5</x:v>
      </x:c>
      <x:c r="B9" s="22" t="str">
        <x:v>同名命格不重复</x:v>
      </x:c>
      <x:c r="C9" s="22" t="str">
        <x:v>通过</x:v>
      </x:c>
      <x:c r="D9" s="22" t="str">
        <x:v>P0003</x:v>
      </x:c>
    </x:row>
    <x:row r="10" ht="24" customHeight="1">
      <x:c r="A10" s="22" t="n">
        <x:v>6</x:v>
      </x:c>
      <x:c r="B10" s="22" t="str">
        <x:v>人物幸运不超过8</x:v>
      </x:c>
      <x:c r="C10" s="22" t="str">
        <x:v>通过</x:v>
      </x:c>
      <x:c r="D10" s="22" t="str">
        <x:v>P0003</x:v>
      </x:c>
    </x:row>
    <x:row r="11" ht="24" customHeight="1">
      <x:c r="A11" s="22" t="n">
        <x:v>7</x:v>
      </x:c>
      <x:c r="B11" s="22" t="str">
        <x:v>同名命格不重复</x:v>
      </x:c>
      <x:c r="C11" s="22" t="str">
        <x:v>通过</x:v>
      </x:c>
      <x:c r="D11" s="22" t="str">
        <x:v>P0004</x:v>
      </x:c>
    </x:row>
    <x:row r="12" ht="24" customHeight="1">
      <x:c r="A12" s="22" t="n">
        <x:v>8</x:v>
      </x:c>
      <x:c r="B12" s="22" t="str">
        <x:v>人物幸运不超过8</x:v>
      </x:c>
      <x:c r="C12" s="22" t="str">
        <x:v>通过</x:v>
      </x:c>
      <x:c r="D12" s="22" t="str">
        <x:v>P0004</x:v>
      </x:c>
    </x:row>
    <x:row r="13" ht="24" customHeight="1">
      <x:c r="A13" s="22" t="n">
        <x:v>9</x:v>
      </x:c>
      <x:c r="B13" s="22" t="str">
        <x:v>普通50-70%不夹带永久成长</x:v>
      </x:c>
      <x:c r="C13" s="22" t="str">
        <x:v>通过</x:v>
      </x:c>
      <x:c r="D13" s="22" t="str">
        <x:v>P0004</x:v>
      </x:c>
    </x:row>
    <x:row r="14" ht="24" customHeight="1">
      <x:c r="A14" s="22" t="n">
        <x:v>10</x:v>
      </x:c>
      <x:c r="B14" s="22" t="str">
        <x:v>普通取得比例</x:v>
      </x:c>
      <x:c r="C14" s="22" t="str">
        <x:v>通过</x:v>
      </x:c>
      <x:c r="D14" s="22" t="str">
        <x:v>P0004</x:v>
      </x:c>
    </x:row>
    <x:row r="15" ht="24" customHeight="1">
      <x:c r="A15" s="22" t="n">
        <x:v>11</x:v>
      </x:c>
      <x:c r="B15" s="22" t="str">
        <x:v>同名命格不重复</x:v>
      </x:c>
      <x:c r="C15" s="22" t="str">
        <x:v>通过</x:v>
      </x:c>
      <x:c r="D15" s="22" t="str">
        <x:v>P0005</x:v>
      </x:c>
    </x:row>
    <x:row r="16" ht="24" customHeight="1">
      <x:c r="A16" s="22" t="n">
        <x:v>12</x:v>
      </x:c>
      <x:c r="B16" s="22" t="str">
        <x:v>人物幸运不超过8</x:v>
      </x:c>
      <x:c r="C16" s="22" t="str">
        <x:v>通过</x:v>
      </x:c>
      <x:c r="D16" s="22" t="str">
        <x:v>P0005</x:v>
      </x:c>
    </x:row>
    <x:row r="17" ht="24" customHeight="1">
      <x:c r="A17" s="22" t="n">
        <x:v>13</x:v>
      </x:c>
      <x:c r="B17" s="22" t="str">
        <x:v>同名命格不重复</x:v>
      </x:c>
      <x:c r="C17" s="22" t="str">
        <x:v>通过</x:v>
      </x:c>
      <x:c r="D17" s="22" t="str">
        <x:v>P0006</x:v>
      </x:c>
    </x:row>
    <x:row r="18" ht="24" customHeight="1">
      <x:c r="A18" s="22" t="n">
        <x:v>14</x:v>
      </x:c>
      <x:c r="B18" s="22" t="str">
        <x:v>人物幸运不超过8</x:v>
      </x:c>
      <x:c r="C18" s="22" t="str">
        <x:v>通过</x:v>
      </x:c>
      <x:c r="D18" s="22" t="str">
        <x:v>P0006</x:v>
      </x:c>
    </x:row>
    <x:row r="19" ht="24" customHeight="1">
      <x:c r="A19" s="22" t="n">
        <x:v>15</x:v>
      </x:c>
      <x:c r="B19" s="22" t="str">
        <x:v>同名命格不重复</x:v>
      </x:c>
      <x:c r="C19" s="22" t="str">
        <x:v>通过</x:v>
      </x:c>
      <x:c r="D19" s="22" t="str">
        <x:v>P0007</x:v>
      </x:c>
    </x:row>
    <x:row r="20" ht="24" customHeight="1">
      <x:c r="A20" s="22" t="n">
        <x:v>16</x:v>
      </x:c>
      <x:c r="B20" s="22" t="str">
        <x:v>人物幸运不超过8</x:v>
      </x:c>
      <x:c r="C20" s="22" t="str">
        <x:v>通过</x:v>
      </x:c>
      <x:c r="D20" s="22" t="str">
        <x:v>P0007</x:v>
      </x:c>
    </x:row>
    <x:row r="21" ht="24" customHeight="1">
      <x:c r="A21" s="22" t="n">
        <x:v>17</x:v>
      </x:c>
      <x:c r="B21" s="22" t="str">
        <x:v>同名命格不重复</x:v>
      </x:c>
      <x:c r="C21" s="22" t="str">
        <x:v>通过</x:v>
      </x:c>
      <x:c r="D21" s="22" t="str">
        <x:v>P0008</x:v>
      </x:c>
    </x:row>
    <x:row r="22" ht="24" customHeight="1">
      <x:c r="A22" s="22" t="n">
        <x:v>18</x:v>
      </x:c>
      <x:c r="B22" s="22" t="str">
        <x:v>人物幸运不超过8</x:v>
      </x:c>
      <x:c r="C22" s="22" t="str">
        <x:v>通过</x:v>
      </x:c>
      <x:c r="D22" s="22" t="str">
        <x:v>P0008</x:v>
      </x:c>
    </x:row>
    <x:row r="23" ht="24" customHeight="1">
      <x:c r="A23" s="22" t="n">
        <x:v>19</x:v>
      </x:c>
      <x:c r="B23" s="22" t="str">
        <x:v>同名命格不重复</x:v>
      </x:c>
      <x:c r="C23" s="22" t="str">
        <x:v>通过</x:v>
      </x:c>
      <x:c r="D23" s="22" t="str">
        <x:v>P0009</x:v>
      </x:c>
    </x:row>
    <x:row r="24" ht="24" customHeight="1">
      <x:c r="A24" s="22" t="n">
        <x:v>20</x:v>
      </x:c>
      <x:c r="B24" s="22" t="str">
        <x:v>人物幸运不超过8</x:v>
      </x:c>
      <x:c r="C24" s="22" t="str">
        <x:v>通过</x:v>
      </x:c>
      <x:c r="D24" s="22" t="str">
        <x:v>P0009</x:v>
      </x:c>
    </x:row>
    <x:row r="25" ht="24" customHeight="1">
      <x:c r="A25" s="22" t="n">
        <x:v>21</x:v>
      </x:c>
      <x:c r="B25" s="22" t="str">
        <x:v>同名命格不重复</x:v>
      </x:c>
      <x:c r="C25" s="22" t="str">
        <x:v>通过</x:v>
      </x:c>
      <x:c r="D25" s="22" t="str">
        <x:v>P0010</x:v>
      </x:c>
    </x:row>
    <x:row r="26" ht="24" customHeight="1">
      <x:c r="A26" s="22" t="n">
        <x:v>22</x:v>
      </x:c>
      <x:c r="B26" s="22" t="str">
        <x:v>人物幸运不超过8</x:v>
      </x:c>
      <x:c r="C26" s="22" t="str">
        <x:v>通过</x:v>
      </x:c>
      <x:c r="D26" s="22" t="str">
        <x:v>P0010</x:v>
      </x:c>
    </x:row>
    <x:row r="27" ht="24" customHeight="1">
      <x:c r="A27" s="22" t="n">
        <x:v>23</x:v>
      </x:c>
      <x:c r="B27" s="22" t="str">
        <x:v>普通50-70%不夹带永久成长</x:v>
      </x:c>
      <x:c r="C27" s="22" t="str">
        <x:v>通过</x:v>
      </x:c>
      <x:c r="D27" s="22" t="str">
        <x:v>P0010</x:v>
      </x:c>
    </x:row>
    <x:row r="28" ht="24" customHeight="1">
      <x:c r="A28" s="22" t="n">
        <x:v>24</x:v>
      </x:c>
      <x:c r="B28" s="22" t="str">
        <x:v>普通取得比例</x:v>
      </x:c>
      <x:c r="C28" s="22" t="str">
        <x:v>通过</x:v>
      </x:c>
      <x:c r="D28" s="22" t="str">
        <x:v>P0010</x:v>
      </x:c>
    </x:row>
    <x:row r="29" ht="24" customHeight="1">
      <x:c r="A29" s="22" t="n">
        <x:v>25</x:v>
      </x:c>
      <x:c r="B29" s="22" t="str">
        <x:v>同名命格不重复</x:v>
      </x:c>
      <x:c r="C29" s="22" t="str">
        <x:v>通过</x:v>
      </x:c>
      <x:c r="D29" s="22" t="str">
        <x:v>P0011</x:v>
      </x:c>
    </x:row>
    <x:row r="30" ht="24" customHeight="1">
      <x:c r="A30" s="22" t="n">
        <x:v>26</x:v>
      </x:c>
      <x:c r="B30" s="22" t="str">
        <x:v>人物幸运不超过8</x:v>
      </x:c>
      <x:c r="C30" s="22" t="str">
        <x:v>通过</x:v>
      </x:c>
      <x:c r="D30" s="22" t="str">
        <x:v>P0011</x:v>
      </x:c>
    </x:row>
    <x:row r="31" ht="24" customHeight="1">
      <x:c r="A31" s="22" t="n">
        <x:v>27</x:v>
      </x:c>
      <x:c r="B31" s="22" t="str">
        <x:v>同名命格不重复</x:v>
      </x:c>
      <x:c r="C31" s="22" t="str">
        <x:v>通过</x:v>
      </x:c>
      <x:c r="D31" s="22" t="str">
        <x:v>P0012</x:v>
      </x:c>
    </x:row>
    <x:row r="32" ht="24" customHeight="1">
      <x:c r="A32" s="22" t="n">
        <x:v>28</x:v>
      </x:c>
      <x:c r="B32" s="22" t="str">
        <x:v>人物幸运不超过8</x:v>
      </x:c>
      <x:c r="C32" s="22" t="str">
        <x:v>通过</x:v>
      </x:c>
      <x:c r="D32" s="22" t="str">
        <x:v>P0012</x:v>
      </x:c>
    </x:row>
    <x:row r="33" ht="24" customHeight="1">
      <x:c r="A33" s="22" t="n">
        <x:v>29</x:v>
      </x:c>
      <x:c r="B33" s="22" t="str">
        <x:v>同名命格不重复</x:v>
      </x:c>
      <x:c r="C33" s="22" t="str">
        <x:v>通过</x:v>
      </x:c>
      <x:c r="D33" s="22" t="str">
        <x:v>P0013</x:v>
      </x:c>
    </x:row>
    <x:row r="34" ht="24" customHeight="1">
      <x:c r="A34" s="22" t="n">
        <x:v>30</x:v>
      </x:c>
      <x:c r="B34" s="22" t="str">
        <x:v>人物幸运不超过8</x:v>
      </x:c>
      <x:c r="C34" s="22" t="str">
        <x:v>通过</x:v>
      </x:c>
      <x:c r="D34" s="22" t="str">
        <x:v>P0013</x:v>
      </x:c>
    </x:row>
    <x:row r="35" ht="24" customHeight="1">
      <x:c r="A35" s="22" t="n">
        <x:v>31</x:v>
      </x:c>
      <x:c r="B35" s="22" t="str">
        <x:v>同名命格不重复</x:v>
      </x:c>
      <x:c r="C35" s="22" t="str">
        <x:v>通过</x:v>
      </x:c>
      <x:c r="D35" s="22" t="str">
        <x:v>P0014</x:v>
      </x:c>
    </x:row>
    <x:row r="36" ht="24" customHeight="1">
      <x:c r="A36" s="22" t="n">
        <x:v>32</x:v>
      </x:c>
      <x:c r="B36" s="22" t="str">
        <x:v>人物幸运不超过8</x:v>
      </x:c>
      <x:c r="C36" s="22" t="str">
        <x:v>通过</x:v>
      </x:c>
      <x:c r="D36" s="22" t="str">
        <x:v>P0014</x:v>
      </x:c>
    </x:row>
    <x:row r="37" ht="24" customHeight="1">
      <x:c r="A37" s="22" t="n">
        <x:v>33</x:v>
      </x:c>
      <x:c r="B37" s="22" t="str">
        <x:v>同名命格不重复</x:v>
      </x:c>
      <x:c r="C37" s="22" t="str">
        <x:v>通过</x:v>
      </x:c>
      <x:c r="D37" s="22" t="str">
        <x:v>P0015</x:v>
      </x:c>
    </x:row>
    <x:row r="38" ht="24" customHeight="1">
      <x:c r="A38" s="22" t="n">
        <x:v>34</x:v>
      </x:c>
      <x:c r="B38" s="22" t="str">
        <x:v>人物幸运不超过8</x:v>
      </x:c>
      <x:c r="C38" s="22" t="str">
        <x:v>通过</x:v>
      </x:c>
      <x:c r="D38" s="22" t="str">
        <x:v>P0015</x:v>
      </x:c>
    </x:row>
    <x:row r="39" ht="24" customHeight="1">
      <x:c r="A39" s="22" t="n">
        <x:v>35</x:v>
      </x:c>
      <x:c r="B39" s="22" t="str">
        <x:v>同名命格不重复</x:v>
      </x:c>
      <x:c r="C39" s="22" t="str">
        <x:v>通过</x:v>
      </x:c>
      <x:c r="D39" s="22" t="str">
        <x:v>P0016</x:v>
      </x:c>
    </x:row>
    <x:row r="40" ht="24" customHeight="1">
      <x:c r="A40" s="22" t="n">
        <x:v>36</x:v>
      </x:c>
      <x:c r="B40" s="22" t="str">
        <x:v>人物幸运不超过8</x:v>
      </x:c>
      <x:c r="C40" s="22" t="str">
        <x:v>通过</x:v>
      </x:c>
      <x:c r="D40" s="22" t="str">
        <x:v>P0016</x:v>
      </x:c>
    </x:row>
    <x:row r="41" ht="24" customHeight="1">
      <x:c r="A41" s="22" t="n">
        <x:v>37</x:v>
      </x:c>
      <x:c r="B41" s="22" t="str">
        <x:v>普通50-70%不夹带永久成长</x:v>
      </x:c>
      <x:c r="C41" s="22" t="str">
        <x:v>通过</x:v>
      </x:c>
      <x:c r="D41" s="22" t="str">
        <x:v>P0016</x:v>
      </x:c>
    </x:row>
    <x:row r="42" ht="24" customHeight="1">
      <x:c r="A42" s="22" t="n">
        <x:v>38</x:v>
      </x:c>
      <x:c r="B42" s="22" t="str">
        <x:v>普通取得比例</x:v>
      </x:c>
      <x:c r="C42" s="22" t="str">
        <x:v>通过</x:v>
      </x:c>
      <x:c r="D42" s="22" t="str">
        <x:v>P0016</x:v>
      </x:c>
    </x:row>
    <x:row r="43" ht="24" customHeight="1">
      <x:c r="A43" s="22" t="n">
        <x:v>39</x:v>
      </x:c>
      <x:c r="B43" s="22" t="str">
        <x:v>同名命格不重复</x:v>
      </x:c>
      <x:c r="C43" s="22" t="str">
        <x:v>通过</x:v>
      </x:c>
      <x:c r="D43" s="22" t="str">
        <x:v>P0017</x:v>
      </x:c>
    </x:row>
    <x:row r="44" ht="24" customHeight="1">
      <x:c r="A44" s="22" t="n">
        <x:v>40</x:v>
      </x:c>
      <x:c r="B44" s="22" t="str">
        <x:v>人物幸运不超过8</x:v>
      </x:c>
      <x:c r="C44" s="22" t="str">
        <x:v>通过</x:v>
      </x:c>
      <x:c r="D44" s="22" t="str">
        <x:v>P0017</x:v>
      </x:c>
    </x:row>
    <x:row r="45" ht="24" customHeight="1">
      <x:c r="A45" s="22" t="n">
        <x:v>41</x:v>
      </x:c>
      <x:c r="B45" s="22" t="str">
        <x:v>同名命格不重复</x:v>
      </x:c>
      <x:c r="C45" s="22" t="str">
        <x:v>通过</x:v>
      </x:c>
      <x:c r="D45" s="22" t="str">
        <x:v>P0018</x:v>
      </x:c>
    </x:row>
    <x:row r="46" ht="24" customHeight="1">
      <x:c r="A46" s="22" t="n">
        <x:v>42</x:v>
      </x:c>
      <x:c r="B46" s="22" t="str">
        <x:v>人物幸运不超过8</x:v>
      </x:c>
      <x:c r="C46" s="22" t="str">
        <x:v>通过</x:v>
      </x:c>
      <x:c r="D46" s="22" t="str">
        <x:v>P0018</x:v>
      </x:c>
    </x:row>
    <x:row r="47" ht="24" customHeight="1">
      <x:c r="A47" s="22" t="n">
        <x:v>43</x:v>
      </x:c>
      <x:c r="B47" s="22" t="str">
        <x:v>同名命格不重复</x:v>
      </x:c>
      <x:c r="C47" s="22" t="str">
        <x:v>通过</x:v>
      </x:c>
      <x:c r="D47" s="22" t="str">
        <x:v>P0019</x:v>
      </x:c>
    </x:row>
    <x:row r="48" ht="24" customHeight="1">
      <x:c r="A48" s="22" t="n">
        <x:v>44</x:v>
      </x:c>
      <x:c r="B48" s="22" t="str">
        <x:v>人物幸运不超过8</x:v>
      </x:c>
      <x:c r="C48" s="22" t="str">
        <x:v>通过</x:v>
      </x:c>
      <x:c r="D48" s="22" t="str">
        <x:v>P0019</x:v>
      </x:c>
    </x:row>
    <x:row r="49" ht="24" customHeight="1">
      <x:c r="A49" s="22" t="n">
        <x:v>45</x:v>
      </x:c>
      <x:c r="B49" s="22" t="str">
        <x:v>同名命格不重复</x:v>
      </x:c>
      <x:c r="C49" s="22" t="str">
        <x:v>通过</x:v>
      </x:c>
      <x:c r="D49" s="22" t="str">
        <x:v>P0020</x:v>
      </x:c>
    </x:row>
    <x:row r="50" ht="24" customHeight="1">
      <x:c r="A50" s="22" t="n">
        <x:v>46</x:v>
      </x:c>
      <x:c r="B50" s="22" t="str">
        <x:v>人物幸运不超过8</x:v>
      </x:c>
      <x:c r="C50" s="22" t="str">
        <x:v>通过</x:v>
      </x:c>
      <x:c r="D50" s="22" t="str">
        <x:v>P0020</x:v>
      </x:c>
    </x:row>
    <x:row r="51" ht="24" customHeight="1">
      <x:c r="A51" s="22" t="n">
        <x:v>47</x:v>
      </x:c>
      <x:c r="B51" s="22" t="str">
        <x:v>同名命格不重复</x:v>
      </x:c>
      <x:c r="C51" s="22" t="str">
        <x:v>通过</x:v>
      </x:c>
      <x:c r="D51" s="22" t="str">
        <x:v>P0021</x:v>
      </x:c>
    </x:row>
    <x:row r="52" ht="24" customHeight="1">
      <x:c r="A52" s="22" t="n">
        <x:v>48</x:v>
      </x:c>
      <x:c r="B52" s="22" t="str">
        <x:v>人物幸运不超过8</x:v>
      </x:c>
      <x:c r="C52" s="22" t="str">
        <x:v>通过</x:v>
      </x:c>
      <x:c r="D52" s="22" t="str">
        <x:v>P0021</x:v>
      </x:c>
    </x:row>
    <x:row r="53" ht="24" customHeight="1">
      <x:c r="A53" s="22" t="n">
        <x:v>49</x:v>
      </x:c>
      <x:c r="B53" s="22" t="str">
        <x:v>同名命格不重复</x:v>
      </x:c>
      <x:c r="C53" s="22" t="str">
        <x:v>通过</x:v>
      </x:c>
      <x:c r="D53" s="22" t="str">
        <x:v>P0022</x:v>
      </x:c>
    </x:row>
    <x:row r="54" ht="24" customHeight="1">
      <x:c r="A54" s="22" t="n">
        <x:v>50</x:v>
      </x:c>
      <x:c r="B54" s="22" t="str">
        <x:v>人物幸运不超过8</x:v>
      </x:c>
      <x:c r="C54" s="22" t="str">
        <x:v>通过</x:v>
      </x:c>
      <x:c r="D54" s="22" t="str">
        <x:v>P0022</x:v>
      </x:c>
    </x:row>
    <x:row r="55" ht="24" customHeight="1">
      <x:c r="A55" s="22" t="n">
        <x:v>51</x:v>
      </x:c>
      <x:c r="B55" s="22" t="str">
        <x:v>同名命格不重复</x:v>
      </x:c>
      <x:c r="C55" s="22" t="str">
        <x:v>通过</x:v>
      </x:c>
      <x:c r="D55" s="22" t="str">
        <x:v>P0023</x:v>
      </x:c>
    </x:row>
    <x:row r="56" ht="24" customHeight="1">
      <x:c r="A56" s="22" t="n">
        <x:v>52</x:v>
      </x:c>
      <x:c r="B56" s="22" t="str">
        <x:v>人物幸运不超过8</x:v>
      </x:c>
      <x:c r="C56" s="22" t="str">
        <x:v>通过</x:v>
      </x:c>
      <x:c r="D56" s="22" t="str">
        <x:v>P0023</x:v>
      </x:c>
    </x:row>
    <x:row r="57" ht="24" customHeight="1">
      <x:c r="A57" s="22" t="n">
        <x:v>53</x:v>
      </x:c>
      <x:c r="B57" s="22" t="str">
        <x:v>守关前必做合成齐全</x:v>
      </x:c>
      <x:c r="C57" s="22" t="str">
        <x:v>通过</x:v>
      </x:c>
      <x:c r="D57" s="22" t="str">
        <x:v>1</x:v>
      </x:c>
    </x:row>
    <x:row r="58" ht="24" customHeight="1">
      <x:c r="A58" s="22" t="n">
        <x:v>54</x:v>
      </x:c>
      <x:c r="B58" s="22" t="str">
        <x:v>首次挑战未取得本守关装备</x:v>
      </x:c>
      <x:c r="C58" s="22" t="str">
        <x:v>通过</x:v>
      </x:c>
      <x:c r="D58" s="22" t="str">
        <x:v>沉没之王·奥德里安</x:v>
      </x:c>
    </x:row>
    <x:row r="59" ht="24" customHeight="1">
      <x:c r="A59" s="22" t="n">
        <x:v>55</x:v>
      </x:c>
      <x:c r="B59" s="22" t="str">
        <x:v>同名命格不重复</x:v>
      </x:c>
      <x:c r="C59" s="22" t="str">
        <x:v>通过</x:v>
      </x:c>
      <x:c r="D59" s="22" t="str">
        <x:v>P0024</x:v>
      </x:c>
    </x:row>
    <x:row r="60" ht="24" customHeight="1">
      <x:c r="A60" s="22" t="n">
        <x:v>56</x:v>
      </x:c>
      <x:c r="B60" s="22" t="str">
        <x:v>人物幸运不超过8</x:v>
      </x:c>
      <x:c r="C60" s="22" t="str">
        <x:v>通过</x:v>
      </x:c>
      <x:c r="D60" s="22" t="str">
        <x:v>P0024</x:v>
      </x:c>
    </x:row>
    <x:row r="61" ht="24" customHeight="1">
      <x:c r="A61" s="22" t="n">
        <x:v>57</x:v>
      </x:c>
      <x:c r="B61" s="22" t="str">
        <x:v>同名命格不重复</x:v>
      </x:c>
      <x:c r="C61" s="22" t="str">
        <x:v>通过</x:v>
      </x:c>
      <x:c r="D61" s="22" t="str">
        <x:v>P0025</x:v>
      </x:c>
    </x:row>
    <x:row r="62" ht="24" customHeight="1">
      <x:c r="A62" s="22" t="n">
        <x:v>58</x:v>
      </x:c>
      <x:c r="B62" s="22" t="str">
        <x:v>人物幸运不超过8</x:v>
      </x:c>
      <x:c r="C62" s="22" t="str">
        <x:v>通过</x:v>
      </x:c>
      <x:c r="D62" s="22" t="str">
        <x:v>P0025</x:v>
      </x:c>
    </x:row>
    <x:row r="63" ht="24" customHeight="1">
      <x:c r="A63" s="22" t="n">
        <x:v>59</x:v>
      </x:c>
      <x:c r="B63" s="22" t="str">
        <x:v>跨大陆永久与穿戴继承</x:v>
      </x:c>
      <x:c r="C63" s="22" t="str">
        <x:v>通过</x:v>
      </x:c>
      <x:c r="D63" s="22" t="str">
        <x:v>2</x:v>
      </x:c>
    </x:row>
    <x:row r="64" ht="24" customHeight="1">
      <x:c r="A64" s="22" t="n">
        <x:v>60</x:v>
      </x:c>
      <x:c r="B64" s="22" t="str">
        <x:v>同名命格不重复</x:v>
      </x:c>
      <x:c r="C64" s="22" t="str">
        <x:v>通过</x:v>
      </x:c>
      <x:c r="D64" s="22" t="str">
        <x:v>P0026</x:v>
      </x:c>
    </x:row>
    <x:row r="65" ht="24" customHeight="1">
      <x:c r="A65" s="22" t="n">
        <x:v>61</x:v>
      </x:c>
      <x:c r="B65" s="22" t="str">
        <x:v>人物幸运不超过8</x:v>
      </x:c>
      <x:c r="C65" s="22" t="str">
        <x:v>通过</x:v>
      </x:c>
      <x:c r="D65" s="22" t="str">
        <x:v>P0026</x:v>
      </x:c>
    </x:row>
    <x:row r="66" ht="24" customHeight="1">
      <x:c r="A66" s="22" t="n">
        <x:v>62</x:v>
      </x:c>
      <x:c r="B66" s="22" t="str">
        <x:v>同名命格不重复</x:v>
      </x:c>
      <x:c r="C66" s="22" t="str">
        <x:v>通过</x:v>
      </x:c>
      <x:c r="D66" s="22" t="str">
        <x:v>P0027</x:v>
      </x:c>
    </x:row>
    <x:row r="67" ht="24" customHeight="1">
      <x:c r="A67" s="22" t="n">
        <x:v>63</x:v>
      </x:c>
      <x:c r="B67" s="22" t="str">
        <x:v>人物幸运不超过8</x:v>
      </x:c>
      <x:c r="C67" s="22" t="str">
        <x:v>通过</x:v>
      </x:c>
      <x:c r="D67" s="22" t="str">
        <x:v>P0027</x:v>
      </x:c>
    </x:row>
    <x:row r="68" ht="24" customHeight="1">
      <x:c r="A68" s="22" t="n">
        <x:v>64</x:v>
      </x:c>
      <x:c r="B68" s="22" t="str">
        <x:v>同名命格不重复</x:v>
      </x:c>
      <x:c r="C68" s="22" t="str">
        <x:v>通过</x:v>
      </x:c>
      <x:c r="D68" s="22" t="str">
        <x:v>P0028</x:v>
      </x:c>
    </x:row>
    <x:row r="69" ht="24" customHeight="1">
      <x:c r="A69" s="22" t="n">
        <x:v>65</x:v>
      </x:c>
      <x:c r="B69" s="22" t="str">
        <x:v>人物幸运不超过8</x:v>
      </x:c>
      <x:c r="C69" s="22" t="str">
        <x:v>通过</x:v>
      </x:c>
      <x:c r="D69" s="22" t="str">
        <x:v>P0028</x:v>
      </x:c>
    </x:row>
    <x:row r="70" ht="24" customHeight="1">
      <x:c r="A70" s="22" t="n">
        <x:v>66</x:v>
      </x:c>
      <x:c r="B70" s="22" t="str">
        <x:v>普通50-70%不夹带永久成长</x:v>
      </x:c>
      <x:c r="C70" s="22" t="str">
        <x:v>通过</x:v>
      </x:c>
      <x:c r="D70" s="22" t="str">
        <x:v>P0028</x:v>
      </x:c>
    </x:row>
    <x:row r="71" ht="24" customHeight="1">
      <x:c r="A71" s="22" t="n">
        <x:v>67</x:v>
      </x:c>
      <x:c r="B71" s="22" t="str">
        <x:v>普通取得比例</x:v>
      </x:c>
      <x:c r="C71" s="22" t="str">
        <x:v>通过</x:v>
      </x:c>
      <x:c r="D71" s="22" t="str">
        <x:v>P0028</x:v>
      </x:c>
    </x:row>
    <x:row r="72" ht="24" customHeight="1">
      <x:c r="A72" s="22" t="n">
        <x:v>68</x:v>
      </x:c>
      <x:c r="B72" s="22" t="str">
        <x:v>同名命格不重复</x:v>
      </x:c>
      <x:c r="C72" s="22" t="str">
        <x:v>通过</x:v>
      </x:c>
      <x:c r="D72" s="22" t="str">
        <x:v>P0029</x:v>
      </x:c>
    </x:row>
    <x:row r="73" ht="24" customHeight="1">
      <x:c r="A73" s="22" t="n">
        <x:v>69</x:v>
      </x:c>
      <x:c r="B73" s="22" t="str">
        <x:v>人物幸运不超过8</x:v>
      </x:c>
      <x:c r="C73" s="22" t="str">
        <x:v>通过</x:v>
      </x:c>
      <x:c r="D73" s="22" t="str">
        <x:v>P0029</x:v>
      </x:c>
    </x:row>
    <x:row r="74" ht="24" customHeight="1">
      <x:c r="A74" s="22" t="n">
        <x:v>70</x:v>
      </x:c>
      <x:c r="B74" s="22" t="str">
        <x:v>同名命格不重复</x:v>
      </x:c>
      <x:c r="C74" s="22" t="str">
        <x:v>通过</x:v>
      </x:c>
      <x:c r="D74" s="22" t="str">
        <x:v>P0030</x:v>
      </x:c>
    </x:row>
    <x:row r="75" ht="24" customHeight="1">
      <x:c r="A75" s="22" t="n">
        <x:v>71</x:v>
      </x:c>
      <x:c r="B75" s="22" t="str">
        <x:v>人物幸运不超过8</x:v>
      </x:c>
      <x:c r="C75" s="22" t="str">
        <x:v>通过</x:v>
      </x:c>
      <x:c r="D75" s="22" t="str">
        <x:v>P0030</x:v>
      </x:c>
    </x:row>
    <x:row r="76" ht="24" customHeight="1">
      <x:c r="A76" s="22" t="n">
        <x:v>72</x:v>
      </x:c>
      <x:c r="B76" s="22" t="str">
        <x:v>同名命格不重复</x:v>
      </x:c>
      <x:c r="C76" s="22" t="str">
        <x:v>通过</x:v>
      </x:c>
      <x:c r="D76" s="22" t="str">
        <x:v>P0031</x:v>
      </x:c>
    </x:row>
    <x:row r="77" ht="24" customHeight="1">
      <x:c r="A77" s="22" t="n">
        <x:v>73</x:v>
      </x:c>
      <x:c r="B77" s="22" t="str">
        <x:v>人物幸运不超过8</x:v>
      </x:c>
      <x:c r="C77" s="22" t="str">
        <x:v>通过</x:v>
      </x:c>
      <x:c r="D77" s="22" t="str">
        <x:v>P0031</x:v>
      </x:c>
    </x:row>
    <x:row r="78" ht="24" customHeight="1">
      <x:c r="A78" s="22" t="n">
        <x:v>74</x:v>
      </x:c>
      <x:c r="B78" s="22" t="str">
        <x:v>同名命格不重复</x:v>
      </x:c>
      <x:c r="C78" s="22" t="str">
        <x:v>通过</x:v>
      </x:c>
      <x:c r="D78" s="22" t="str">
        <x:v>P0032</x:v>
      </x:c>
    </x:row>
    <x:row r="79" ht="24" customHeight="1">
      <x:c r="A79" s="22" t="n">
        <x:v>75</x:v>
      </x:c>
      <x:c r="B79" s="22" t="str">
        <x:v>人物幸运不超过8</x:v>
      </x:c>
      <x:c r="C79" s="22" t="str">
        <x:v>通过</x:v>
      </x:c>
      <x:c r="D79" s="22" t="str">
        <x:v>P0032</x:v>
      </x:c>
    </x:row>
    <x:row r="80" ht="24" customHeight="1">
      <x:c r="A80" s="22" t="n">
        <x:v>76</x:v>
      </x:c>
      <x:c r="B80" s="22" t="str">
        <x:v>同名命格不重复</x:v>
      </x:c>
      <x:c r="C80" s="22" t="str">
        <x:v>通过</x:v>
      </x:c>
      <x:c r="D80" s="22" t="str">
        <x:v>P0033</x:v>
      </x:c>
    </x:row>
    <x:row r="81" ht="24" customHeight="1">
      <x:c r="A81" s="22" t="n">
        <x:v>77</x:v>
      </x:c>
      <x:c r="B81" s="22" t="str">
        <x:v>人物幸运不超过8</x:v>
      </x:c>
      <x:c r="C81" s="22" t="str">
        <x:v>通过</x:v>
      </x:c>
      <x:c r="D81" s="22" t="str">
        <x:v>P0033</x:v>
      </x:c>
    </x:row>
    <x:row r="82" ht="24" customHeight="1">
      <x:c r="A82" s="22" t="n">
        <x:v>78</x:v>
      </x:c>
      <x:c r="B82" s="22" t="str">
        <x:v>同名命格不重复</x:v>
      </x:c>
      <x:c r="C82" s="22" t="str">
        <x:v>通过</x:v>
      </x:c>
      <x:c r="D82" s="22" t="str">
        <x:v>P0034</x:v>
      </x:c>
    </x:row>
    <x:row r="83" ht="24" customHeight="1">
      <x:c r="A83" s="22" t="n">
        <x:v>79</x:v>
      </x:c>
      <x:c r="B83" s="22" t="str">
        <x:v>人物幸运不超过8</x:v>
      </x:c>
      <x:c r="C83" s="22" t="str">
        <x:v>通过</x:v>
      </x:c>
      <x:c r="D83" s="22" t="str">
        <x:v>P0034</x:v>
      </x:c>
    </x:row>
    <x:row r="84" ht="24" customHeight="1">
      <x:c r="A84" s="22" t="n">
        <x:v>80</x:v>
      </x:c>
      <x:c r="B84" s="22" t="str">
        <x:v>普通50-70%不夹带永久成长</x:v>
      </x:c>
      <x:c r="C84" s="22" t="str">
        <x:v>通过</x:v>
      </x:c>
      <x:c r="D84" s="22" t="str">
        <x:v>P0034</x:v>
      </x:c>
    </x:row>
    <x:row r="85" ht="24" customHeight="1">
      <x:c r="A85" s="22" t="n">
        <x:v>81</x:v>
      </x:c>
      <x:c r="B85" s="22" t="str">
        <x:v>普通取得比例</x:v>
      </x:c>
      <x:c r="C85" s="22" t="str">
        <x:v>通过</x:v>
      </x:c>
      <x:c r="D85" s="22" t="str">
        <x:v>P0034</x:v>
      </x:c>
    </x:row>
    <x:row r="86" ht="24" customHeight="1">
      <x:c r="A86" s="22" t="n">
        <x:v>82</x:v>
      </x:c>
      <x:c r="B86" s="22" t="str">
        <x:v>同名命格不重复</x:v>
      </x:c>
      <x:c r="C86" s="22" t="str">
        <x:v>通过</x:v>
      </x:c>
      <x:c r="D86" s="22" t="str">
        <x:v>P0035</x:v>
      </x:c>
    </x:row>
    <x:row r="87" ht="24" customHeight="1">
      <x:c r="A87" s="22" t="n">
        <x:v>83</x:v>
      </x:c>
      <x:c r="B87" s="22" t="str">
        <x:v>人物幸运不超过8</x:v>
      </x:c>
      <x:c r="C87" s="22" t="str">
        <x:v>通过</x:v>
      </x:c>
      <x:c r="D87" s="22" t="str">
        <x:v>P0035</x:v>
      </x:c>
    </x:row>
    <x:row r="88" ht="24" customHeight="1">
      <x:c r="A88" s="22" t="n">
        <x:v>84</x:v>
      </x:c>
      <x:c r="B88" s="22" t="str">
        <x:v>同名命格不重复</x:v>
      </x:c>
      <x:c r="C88" s="22" t="str">
        <x:v>通过</x:v>
      </x:c>
      <x:c r="D88" s="22" t="str">
        <x:v>P0036</x:v>
      </x:c>
    </x:row>
    <x:row r="89" ht="24" customHeight="1">
      <x:c r="A89" s="22" t="n">
        <x:v>85</x:v>
      </x:c>
      <x:c r="B89" s="22" t="str">
        <x:v>人物幸运不超过8</x:v>
      </x:c>
      <x:c r="C89" s="22" t="str">
        <x:v>通过</x:v>
      </x:c>
      <x:c r="D89" s="22" t="str">
        <x:v>P0036</x:v>
      </x:c>
    </x:row>
    <x:row r="90" ht="24" customHeight="1">
      <x:c r="A90" s="22" t="n">
        <x:v>86</x:v>
      </x:c>
      <x:c r="B90" s="22" t="str">
        <x:v>同名命格不重复</x:v>
      </x:c>
      <x:c r="C90" s="22" t="str">
        <x:v>通过</x:v>
      </x:c>
      <x:c r="D90" s="22" t="str">
        <x:v>P0037</x:v>
      </x:c>
    </x:row>
    <x:row r="91" ht="24" customHeight="1">
      <x:c r="A91" s="22" t="n">
        <x:v>87</x:v>
      </x:c>
      <x:c r="B91" s="22" t="str">
        <x:v>人物幸运不超过8</x:v>
      </x:c>
      <x:c r="C91" s="22" t="str">
        <x:v>通过</x:v>
      </x:c>
      <x:c r="D91" s="22" t="str">
        <x:v>P0037</x:v>
      </x:c>
    </x:row>
    <x:row r="92" ht="24" customHeight="1">
      <x:c r="A92" s="22" t="n">
        <x:v>88</x:v>
      </x:c>
      <x:c r="B92" s="22" t="str">
        <x:v>同名命格不重复</x:v>
      </x:c>
      <x:c r="C92" s="22" t="str">
        <x:v>通过</x:v>
      </x:c>
      <x:c r="D92" s="22" t="str">
        <x:v>P0038</x:v>
      </x:c>
    </x:row>
    <x:row r="93" ht="24" customHeight="1">
      <x:c r="A93" s="22" t="n">
        <x:v>89</x:v>
      </x:c>
      <x:c r="B93" s="22" t="str">
        <x:v>人物幸运不超过8</x:v>
      </x:c>
      <x:c r="C93" s="22" t="str">
        <x:v>通过</x:v>
      </x:c>
      <x:c r="D93" s="22" t="str">
        <x:v>P0038</x:v>
      </x:c>
    </x:row>
    <x:row r="94" ht="24" customHeight="1">
      <x:c r="A94" s="22" t="n">
        <x:v>90</x:v>
      </x:c>
      <x:c r="B94" s="22" t="str">
        <x:v>同名命格不重复</x:v>
      </x:c>
      <x:c r="C94" s="22" t="str">
        <x:v>通过</x:v>
      </x:c>
      <x:c r="D94" s="22" t="str">
        <x:v>P0039</x:v>
      </x:c>
    </x:row>
    <x:row r="95" ht="24" customHeight="1">
      <x:c r="A95" s="22" t="n">
        <x:v>91</x:v>
      </x:c>
      <x:c r="B95" s="22" t="str">
        <x:v>人物幸运不超过8</x:v>
      </x:c>
      <x:c r="C95" s="22" t="str">
        <x:v>通过</x:v>
      </x:c>
      <x:c r="D95" s="22" t="str">
        <x:v>P0039</x:v>
      </x:c>
    </x:row>
    <x:row r="96" ht="24" customHeight="1">
      <x:c r="A96" s="22" t="n">
        <x:v>92</x:v>
      </x:c>
      <x:c r="B96" s="22" t="str">
        <x:v>同名命格不重复</x:v>
      </x:c>
      <x:c r="C96" s="22" t="str">
        <x:v>通过</x:v>
      </x:c>
      <x:c r="D96" s="22" t="str">
        <x:v>P0040</x:v>
      </x:c>
    </x:row>
    <x:row r="97" ht="24" customHeight="1">
      <x:c r="A97" s="22" t="n">
        <x:v>93</x:v>
      </x:c>
      <x:c r="B97" s="22" t="str">
        <x:v>人物幸运不超过8</x:v>
      </x:c>
      <x:c r="C97" s="22" t="str">
        <x:v>通过</x:v>
      </x:c>
      <x:c r="D97" s="22" t="str">
        <x:v>P0040</x:v>
      </x:c>
    </x:row>
    <x:row r="98" ht="24" customHeight="1">
      <x:c r="A98" s="22" t="n">
        <x:v>94</x:v>
      </x:c>
      <x:c r="B98" s="22" t="str">
        <x:v>普通50-70%不夹带永久成长</x:v>
      </x:c>
      <x:c r="C98" s="22" t="str">
        <x:v>通过</x:v>
      </x:c>
      <x:c r="D98" s="22" t="str">
        <x:v>P0040</x:v>
      </x:c>
    </x:row>
    <x:row r="99" ht="24" customHeight="1">
      <x:c r="A99" s="22" t="n">
        <x:v>95</x:v>
      </x:c>
      <x:c r="B99" s="22" t="str">
        <x:v>普通取得比例</x:v>
      </x:c>
      <x:c r="C99" s="22" t="str">
        <x:v>通过</x:v>
      </x:c>
      <x:c r="D99" s="22" t="str">
        <x:v>P0040</x:v>
      </x:c>
    </x:row>
    <x:row r="100" ht="24" customHeight="1">
      <x:c r="A100" s="22" t="n">
        <x:v>96</x:v>
      </x:c>
      <x:c r="B100" s="22" t="str">
        <x:v>同名命格不重复</x:v>
      </x:c>
      <x:c r="C100" s="22" t="str">
        <x:v>通过</x:v>
      </x:c>
      <x:c r="D100" s="22" t="str">
        <x:v>P0041</x:v>
      </x:c>
    </x:row>
    <x:row r="101" ht="24" customHeight="1">
      <x:c r="A101" s="22" t="n">
        <x:v>97</x:v>
      </x:c>
      <x:c r="B101" s="22" t="str">
        <x:v>人物幸运不超过8</x:v>
      </x:c>
      <x:c r="C101" s="22" t="str">
        <x:v>通过</x:v>
      </x:c>
      <x:c r="D101" s="22" t="str">
        <x:v>P0041</x:v>
      </x:c>
    </x:row>
    <x:row r="102" ht="24" customHeight="1">
      <x:c r="A102" s="22" t="n">
        <x:v>98</x:v>
      </x:c>
      <x:c r="B102" s="22" t="str">
        <x:v>同名命格不重复</x:v>
      </x:c>
      <x:c r="C102" s="22" t="str">
        <x:v>通过</x:v>
      </x:c>
      <x:c r="D102" s="22" t="str">
        <x:v>P0042</x:v>
      </x:c>
    </x:row>
    <x:row r="103" ht="24" customHeight="1">
      <x:c r="A103" s="22" t="n">
        <x:v>99</x:v>
      </x:c>
      <x:c r="B103" s="22" t="str">
        <x:v>人物幸运不超过8</x:v>
      </x:c>
      <x:c r="C103" s="22" t="str">
        <x:v>通过</x:v>
      </x:c>
      <x:c r="D103" s="22" t="str">
        <x:v>P0042</x:v>
      </x:c>
    </x:row>
    <x:row r="104" ht="24" customHeight="1">
      <x:c r="A104" s="22" t="n">
        <x:v>100</x:v>
      </x:c>
      <x:c r="B104" s="22" t="str">
        <x:v>同名命格不重复</x:v>
      </x:c>
      <x:c r="C104" s="22" t="str">
        <x:v>通过</x:v>
      </x:c>
      <x:c r="D104" s="22" t="str">
        <x:v>P0043</x:v>
      </x:c>
    </x:row>
    <x:row r="105" ht="24" customHeight="1">
      <x:c r="A105" s="22" t="n">
        <x:v>101</x:v>
      </x:c>
      <x:c r="B105" s="22" t="str">
        <x:v>人物幸运不超过8</x:v>
      </x:c>
      <x:c r="C105" s="22" t="str">
        <x:v>通过</x:v>
      </x:c>
      <x:c r="D105" s="22" t="str">
        <x:v>P0043</x:v>
      </x:c>
    </x:row>
    <x:row r="106" ht="24" customHeight="1">
      <x:c r="A106" s="22" t="n">
        <x:v>102</x:v>
      </x:c>
      <x:c r="B106" s="22" t="str">
        <x:v>同名命格不重复</x:v>
      </x:c>
      <x:c r="C106" s="22" t="str">
        <x:v>通过</x:v>
      </x:c>
      <x:c r="D106" s="22" t="str">
        <x:v>P0044</x:v>
      </x:c>
    </x:row>
    <x:row r="107" ht="24" customHeight="1">
      <x:c r="A107" s="22" t="n">
        <x:v>103</x:v>
      </x:c>
      <x:c r="B107" s="22" t="str">
        <x:v>人物幸运不超过8</x:v>
      </x:c>
      <x:c r="C107" s="22" t="str">
        <x:v>通过</x:v>
      </x:c>
      <x:c r="D107" s="22" t="str">
        <x:v>P0044</x:v>
      </x:c>
    </x:row>
    <x:row r="108" ht="24" customHeight="1">
      <x:c r="A108" s="22" t="n">
        <x:v>104</x:v>
      </x:c>
      <x:c r="B108" s="22" t="str">
        <x:v>同名命格不重复</x:v>
      </x:c>
      <x:c r="C108" s="22" t="str">
        <x:v>通过</x:v>
      </x:c>
      <x:c r="D108" s="22" t="str">
        <x:v>P0045</x:v>
      </x:c>
    </x:row>
    <x:row r="109" ht="24" customHeight="1">
      <x:c r="A109" s="22" t="n">
        <x:v>105</x:v>
      </x:c>
      <x:c r="B109" s="22" t="str">
        <x:v>人物幸运不超过8</x:v>
      </x:c>
      <x:c r="C109" s="22" t="str">
        <x:v>通过</x:v>
      </x:c>
      <x:c r="D109" s="22" t="str">
        <x:v>P0045</x:v>
      </x:c>
    </x:row>
    <x:row r="110" ht="24" customHeight="1">
      <x:c r="A110" s="22" t="n">
        <x:v>106</x:v>
      </x:c>
      <x:c r="B110" s="22" t="str">
        <x:v>同名命格不重复</x:v>
      </x:c>
      <x:c r="C110" s="22" t="str">
        <x:v>通过</x:v>
      </x:c>
      <x:c r="D110" s="22" t="str">
        <x:v>P0046</x:v>
      </x:c>
    </x:row>
    <x:row r="111" ht="24" customHeight="1">
      <x:c r="A111" s="22" t="n">
        <x:v>107</x:v>
      </x:c>
      <x:c r="B111" s="22" t="str">
        <x:v>人物幸运不超过8</x:v>
      </x:c>
      <x:c r="C111" s="22" t="str">
        <x:v>通过</x:v>
      </x:c>
      <x:c r="D111" s="22" t="str">
        <x:v>P0046</x:v>
      </x:c>
    </x:row>
    <x:row r="112" ht="24" customHeight="1">
      <x:c r="A112" s="22" t="n">
        <x:v>108</x:v>
      </x:c>
      <x:c r="B112" s="22" t="str">
        <x:v>普通50-70%不夹带永久成长</x:v>
      </x:c>
      <x:c r="C112" s="22" t="str">
        <x:v>通过</x:v>
      </x:c>
      <x:c r="D112" s="22" t="str">
        <x:v>P0046</x:v>
      </x:c>
    </x:row>
    <x:row r="113" ht="24" customHeight="1">
      <x:c r="A113" s="22" t="n">
        <x:v>109</x:v>
      </x:c>
      <x:c r="B113" s="22" t="str">
        <x:v>普通取得比例</x:v>
      </x:c>
      <x:c r="C113" s="22" t="str">
        <x:v>通过</x:v>
      </x:c>
      <x:c r="D113" s="22" t="str">
        <x:v>P0046</x:v>
      </x:c>
    </x:row>
    <x:row r="114" ht="24" customHeight="1">
      <x:c r="A114" s="22" t="n">
        <x:v>110</x:v>
      </x:c>
      <x:c r="B114" s="22" t="str">
        <x:v>同名命格不重复</x:v>
      </x:c>
      <x:c r="C114" s="22" t="str">
        <x:v>通过</x:v>
      </x:c>
      <x:c r="D114" s="22" t="str">
        <x:v>P0047</x:v>
      </x:c>
    </x:row>
    <x:row r="115" ht="24" customHeight="1">
      <x:c r="A115" s="22" t="n">
        <x:v>111</x:v>
      </x:c>
      <x:c r="B115" s="22" t="str">
        <x:v>人物幸运不超过8</x:v>
      </x:c>
      <x:c r="C115" s="22" t="str">
        <x:v>通过</x:v>
      </x:c>
      <x:c r="D115" s="22" t="str">
        <x:v>P0047</x:v>
      </x:c>
    </x:row>
    <x:row r="116" ht="24" customHeight="1">
      <x:c r="A116" s="22" t="n">
        <x:v>112</x:v>
      </x:c>
      <x:c r="B116" s="22" t="str">
        <x:v>同名命格不重复</x:v>
      </x:c>
      <x:c r="C116" s="22" t="str">
        <x:v>通过</x:v>
      </x:c>
      <x:c r="D116" s="22" t="str">
        <x:v>P0048</x:v>
      </x:c>
    </x:row>
    <x:row r="117" ht="24" customHeight="1">
      <x:c r="A117" s="22" t="n">
        <x:v>113</x:v>
      </x:c>
      <x:c r="B117" s="22" t="str">
        <x:v>人物幸运不超过8</x:v>
      </x:c>
      <x:c r="C117" s="22" t="str">
        <x:v>通过</x:v>
      </x:c>
      <x:c r="D117" s="22" t="str">
        <x:v>P0048</x:v>
      </x:c>
    </x:row>
    <x:row r="118" ht="24" customHeight="1">
      <x:c r="A118" s="22" t="n">
        <x:v>114</x:v>
      </x:c>
      <x:c r="B118" s="22" t="str">
        <x:v>同名命格不重复</x:v>
      </x:c>
      <x:c r="C118" s="22" t="str">
        <x:v>通过</x:v>
      </x:c>
      <x:c r="D118" s="22" t="str">
        <x:v>P0049</x:v>
      </x:c>
    </x:row>
    <x:row r="119" ht="24" customHeight="1">
      <x:c r="A119" s="22" t="n">
        <x:v>115</x:v>
      </x:c>
      <x:c r="B119" s="22" t="str">
        <x:v>人物幸运不超过8</x:v>
      </x:c>
      <x:c r="C119" s="22" t="str">
        <x:v>通过</x:v>
      </x:c>
      <x:c r="D119" s="22" t="str">
        <x:v>P0049</x:v>
      </x:c>
    </x:row>
    <x:row r="120" ht="24" customHeight="1">
      <x:c r="A120" s="22" t="n">
        <x:v>116</x:v>
      </x:c>
      <x:c r="B120" s="22" t="str">
        <x:v>同名命格不重复</x:v>
      </x:c>
      <x:c r="C120" s="22" t="str">
        <x:v>通过</x:v>
      </x:c>
      <x:c r="D120" s="22" t="str">
        <x:v>P0050</x:v>
      </x:c>
    </x:row>
    <x:row r="121" ht="24" customHeight="1">
      <x:c r="A121" s="22" t="n">
        <x:v>117</x:v>
      </x:c>
      <x:c r="B121" s="22" t="str">
        <x:v>人物幸运不超过8</x:v>
      </x:c>
      <x:c r="C121" s="22" t="str">
        <x:v>通过</x:v>
      </x:c>
      <x:c r="D121" s="22" t="str">
        <x:v>P0050</x:v>
      </x:c>
    </x:row>
    <x:row r="122" ht="24" customHeight="1">
      <x:c r="A122" s="22" t="n">
        <x:v>118</x:v>
      </x:c>
      <x:c r="B122" s="22" t="str">
        <x:v>同名命格不重复</x:v>
      </x:c>
      <x:c r="C122" s="22" t="str">
        <x:v>通过</x:v>
      </x:c>
      <x:c r="D122" s="22" t="str">
        <x:v>P0051</x:v>
      </x:c>
    </x:row>
    <x:row r="123" ht="24" customHeight="1">
      <x:c r="A123" s="22" t="n">
        <x:v>119</x:v>
      </x:c>
      <x:c r="B123" s="22" t="str">
        <x:v>人物幸运不超过8</x:v>
      </x:c>
      <x:c r="C123" s="22" t="str">
        <x:v>通过</x:v>
      </x:c>
      <x:c r="D123" s="22" t="str">
        <x:v>P0051</x:v>
      </x:c>
    </x:row>
    <x:row r="124" ht="24" customHeight="1">
      <x:c r="A124" s="22" t="n">
        <x:v>120</x:v>
      </x:c>
      <x:c r="B124" s="22" t="str">
        <x:v>同名命格不重复</x:v>
      </x:c>
      <x:c r="C124" s="22" t="str">
        <x:v>通过</x:v>
      </x:c>
      <x:c r="D124" s="22" t="str">
        <x:v>P0052</x:v>
      </x:c>
    </x:row>
    <x:row r="125" ht="24" customHeight="1">
      <x:c r="A125" s="22" t="n">
        <x:v>121</x:v>
      </x:c>
      <x:c r="B125" s="22" t="str">
        <x:v>人物幸运不超过8</x:v>
      </x:c>
      <x:c r="C125" s="22" t="str">
        <x:v>通过</x:v>
      </x:c>
      <x:c r="D125" s="22" t="str">
        <x:v>P0052</x:v>
      </x:c>
    </x:row>
    <x:row r="126" ht="24" customHeight="1">
      <x:c r="A126" s="22" t="n">
        <x:v>122</x:v>
      </x:c>
      <x:c r="B126" s="22" t="str">
        <x:v>普通50-70%不夹带永久成长</x:v>
      </x:c>
      <x:c r="C126" s="22" t="str">
        <x:v>通过</x:v>
      </x:c>
      <x:c r="D126" s="22" t="str">
        <x:v>P0052</x:v>
      </x:c>
    </x:row>
    <x:row r="127" ht="24" customHeight="1">
      <x:c r="A127" s="22" t="n">
        <x:v>123</x:v>
      </x:c>
      <x:c r="B127" s="22" t="str">
        <x:v>普通取得比例</x:v>
      </x:c>
      <x:c r="C127" s="22" t="str">
        <x:v>通过</x:v>
      </x:c>
      <x:c r="D127" s="22" t="str">
        <x:v>P0052</x:v>
      </x:c>
    </x:row>
    <x:row r="128" ht="24" customHeight="1">
      <x:c r="A128" s="22" t="n">
        <x:v>124</x:v>
      </x:c>
      <x:c r="B128" s="22" t="str">
        <x:v>同名命格不重复</x:v>
      </x:c>
      <x:c r="C128" s="22" t="str">
        <x:v>通过</x:v>
      </x:c>
      <x:c r="D128" s="22" t="str">
        <x:v>P0053</x:v>
      </x:c>
    </x:row>
    <x:row r="129" ht="24" customHeight="1">
      <x:c r="A129" s="22" t="n">
        <x:v>125</x:v>
      </x:c>
      <x:c r="B129" s="22" t="str">
        <x:v>人物幸运不超过8</x:v>
      </x:c>
      <x:c r="C129" s="22" t="str">
        <x:v>通过</x:v>
      </x:c>
      <x:c r="D129" s="22" t="str">
        <x:v>P0053</x:v>
      </x:c>
    </x:row>
    <x:row r="130" ht="24" customHeight="1">
      <x:c r="A130" s="22" t="n">
        <x:v>126</x:v>
      </x:c>
      <x:c r="B130" s="22" t="str">
        <x:v>同名命格不重复</x:v>
      </x:c>
      <x:c r="C130" s="22" t="str">
        <x:v>通过</x:v>
      </x:c>
      <x:c r="D130" s="22" t="str">
        <x:v>P0054</x:v>
      </x:c>
    </x:row>
    <x:row r="131" ht="24" customHeight="1">
      <x:c r="A131" s="22" t="n">
        <x:v>127</x:v>
      </x:c>
      <x:c r="B131" s="22" t="str">
        <x:v>人物幸运不超过8</x:v>
      </x:c>
      <x:c r="C131" s="22" t="str">
        <x:v>通过</x:v>
      </x:c>
      <x:c r="D131" s="22" t="str">
        <x:v>P0054</x:v>
      </x:c>
    </x:row>
    <x:row r="132" ht="24" customHeight="1">
      <x:c r="A132" s="22" t="n">
        <x:v>128</x:v>
      </x:c>
      <x:c r="B132" s="22" t="str">
        <x:v>同名命格不重复</x:v>
      </x:c>
      <x:c r="C132" s="22" t="str">
        <x:v>通过</x:v>
      </x:c>
      <x:c r="D132" s="22" t="str">
        <x:v>P0055</x:v>
      </x:c>
    </x:row>
    <x:row r="133" ht="24" customHeight="1">
      <x:c r="A133" s="22" t="n">
        <x:v>129</x:v>
      </x:c>
      <x:c r="B133" s="22" t="str">
        <x:v>人物幸运不超过8</x:v>
      </x:c>
      <x:c r="C133" s="22" t="str">
        <x:v>通过</x:v>
      </x:c>
      <x:c r="D133" s="22" t="str">
        <x:v>P0055</x:v>
      </x:c>
    </x:row>
    <x:row r="134" ht="24" customHeight="1">
      <x:c r="A134" s="22" t="n">
        <x:v>130</x:v>
      </x:c>
      <x:c r="B134" s="22" t="str">
        <x:v>同名命格不重复</x:v>
      </x:c>
      <x:c r="C134" s="22" t="str">
        <x:v>通过</x:v>
      </x:c>
      <x:c r="D134" s="22" t="str">
        <x:v>P0056</x:v>
      </x:c>
    </x:row>
    <x:row r="135" ht="24" customHeight="1">
      <x:c r="A135" s="22" t="n">
        <x:v>131</x:v>
      </x:c>
      <x:c r="B135" s="22" t="str">
        <x:v>人物幸运不超过8</x:v>
      </x:c>
      <x:c r="C135" s="22" t="str">
        <x:v>通过</x:v>
      </x:c>
      <x:c r="D135" s="22" t="str">
        <x:v>P0056</x:v>
      </x:c>
    </x:row>
    <x:row r="136" ht="24" customHeight="1">
      <x:c r="A136" s="22" t="n">
        <x:v>132</x:v>
      </x:c>
      <x:c r="B136" s="22" t="str">
        <x:v>同名命格不重复</x:v>
      </x:c>
      <x:c r="C136" s="22" t="str">
        <x:v>通过</x:v>
      </x:c>
      <x:c r="D136" s="22" t="str">
        <x:v>P0057</x:v>
      </x:c>
    </x:row>
    <x:row r="137" ht="24" customHeight="1">
      <x:c r="A137" s="22" t="n">
        <x:v>133</x:v>
      </x:c>
      <x:c r="B137" s="22" t="str">
        <x:v>人物幸运不超过8</x:v>
      </x:c>
      <x:c r="C137" s="22" t="str">
        <x:v>通过</x:v>
      </x:c>
      <x:c r="D137" s="22" t="str">
        <x:v>P0057</x:v>
      </x:c>
    </x:row>
    <x:row r="138" ht="24" customHeight="1">
      <x:c r="A138" s="22" t="n">
        <x:v>134</x:v>
      </x:c>
      <x:c r="B138" s="22" t="str">
        <x:v>同名命格不重复</x:v>
      </x:c>
      <x:c r="C138" s="22" t="str">
        <x:v>通过</x:v>
      </x:c>
      <x:c r="D138" s="22" t="str">
        <x:v>P0058</x:v>
      </x:c>
    </x:row>
    <x:row r="139" ht="24" customHeight="1">
      <x:c r="A139" s="22" t="n">
        <x:v>135</x:v>
      </x:c>
      <x:c r="B139" s="22" t="str">
        <x:v>人物幸运不超过8</x:v>
      </x:c>
      <x:c r="C139" s="22" t="str">
        <x:v>通过</x:v>
      </x:c>
      <x:c r="D139" s="22" t="str">
        <x:v>P0058</x:v>
      </x:c>
    </x:row>
    <x:row r="140" ht="24" customHeight="1">
      <x:c r="A140" s="22" t="n">
        <x:v>136</x:v>
      </x:c>
      <x:c r="B140" s="22" t="str">
        <x:v>同名命格不重复</x:v>
      </x:c>
      <x:c r="C140" s="22" t="str">
        <x:v>通过</x:v>
      </x:c>
      <x:c r="D140" s="22" t="str">
        <x:v>P0059</x:v>
      </x:c>
    </x:row>
    <x:row r="141" ht="24" customHeight="1">
      <x:c r="A141" s="22" t="n">
        <x:v>137</x:v>
      </x:c>
      <x:c r="B141" s="22" t="str">
        <x:v>人物幸运不超过8</x:v>
      </x:c>
      <x:c r="C141" s="22" t="str">
        <x:v>通过</x:v>
      </x:c>
      <x:c r="D141" s="22" t="str">
        <x:v>P0059</x:v>
      </x:c>
    </x:row>
    <x:row r="142" ht="24" customHeight="1">
      <x:c r="A142" s="22" t="n">
        <x:v>138</x:v>
      </x:c>
      <x:c r="B142" s="22" t="str">
        <x:v>守关前必做合成齐全</x:v>
      </x:c>
      <x:c r="C142" s="22" t="str">
        <x:v>通过</x:v>
      </x:c>
      <x:c r="D142" s="22" t="str">
        <x:v>2</x:v>
      </x:c>
    </x:row>
    <x:row r="143" ht="24" customHeight="1">
      <x:c r="A143" s="22" t="n">
        <x:v>139</x:v>
      </x:c>
      <x:c r="B143" s="22" t="str">
        <x:v>首次挑战未取得本守关装备</x:v>
      </x:c>
      <x:c r="C143" s="22" t="str">
        <x:v>通过</x:v>
      </x:c>
      <x:c r="D143" s="22" t="str">
        <x:v>接肢君王·葛瑞克</x:v>
      </x:c>
    </x:row>
    <x:row r="144" ht="24" customHeight="1">
      <x:c r="A144" s="22" t="n">
        <x:v>140</x:v>
      </x:c>
      <x:c r="B144" s="22" t="str">
        <x:v>同名命格不重复</x:v>
      </x:c>
      <x:c r="C144" s="22" t="str">
        <x:v>通过</x:v>
      </x:c>
      <x:c r="D144" s="22" t="str">
        <x:v>P0060</x:v>
      </x:c>
    </x:row>
    <x:row r="145" ht="24" customHeight="1">
      <x:c r="A145" s="22" t="n">
        <x:v>141</x:v>
      </x:c>
      <x:c r="B145" s="22" t="str">
        <x:v>人物幸运不超过8</x:v>
      </x:c>
      <x:c r="C145" s="22" t="str">
        <x:v>通过</x:v>
      </x:c>
      <x:c r="D145" s="22" t="str">
        <x:v>P0060</x:v>
      </x:c>
    </x:row>
    <x:row r="146" ht="24" customHeight="1">
      <x:c r="A146" s="22" t="n">
        <x:v>142</x:v>
      </x:c>
      <x:c r="B146" s="22" t="str">
        <x:v>同名命格不重复</x:v>
      </x:c>
      <x:c r="C146" s="22" t="str">
        <x:v>通过</x:v>
      </x:c>
      <x:c r="D146" s="22" t="str">
        <x:v>P0061</x:v>
      </x:c>
    </x:row>
    <x:row r="147" ht="24" customHeight="1">
      <x:c r="A147" s="22" t="n">
        <x:v>143</x:v>
      </x:c>
      <x:c r="B147" s="22" t="str">
        <x:v>人物幸运不超过8</x:v>
      </x:c>
      <x:c r="C147" s="22" t="str">
        <x:v>通过</x:v>
      </x:c>
      <x:c r="D147" s="22" t="str">
        <x:v>P0061</x:v>
      </x:c>
    </x:row>
    <x:row r="148" ht="24" customHeight="1">
      <x:c r="A148" s="22" t="n">
        <x:v>144</x:v>
      </x:c>
      <x:c r="B148" s="22" t="str">
        <x:v>跨大陆永久与穿戴继承</x:v>
      </x:c>
      <x:c r="C148" s="22" t="str">
        <x:v>通过</x:v>
      </x:c>
      <x:c r="D148" s="22" t="str">
        <x:v>3</x:v>
      </x:c>
    </x:row>
    <x:row r="149" ht="24" customHeight="1">
      <x:c r="A149" s="22" t="n">
        <x:v>145</x:v>
      </x:c>
      <x:c r="B149" s="22" t="str">
        <x:v>同名命格不重复</x:v>
      </x:c>
      <x:c r="C149" s="22" t="str">
        <x:v>通过</x:v>
      </x:c>
      <x:c r="D149" s="22" t="str">
        <x:v>P0062</x:v>
      </x:c>
    </x:row>
    <x:row r="150" ht="24" customHeight="1">
      <x:c r="A150" s="22" t="n">
        <x:v>146</x:v>
      </x:c>
      <x:c r="B150" s="22" t="str">
        <x:v>人物幸运不超过8</x:v>
      </x:c>
      <x:c r="C150" s="22" t="str">
        <x:v>通过</x:v>
      </x:c>
      <x:c r="D150" s="22" t="str">
        <x:v>P0062</x:v>
      </x:c>
    </x:row>
    <x:row r="151" ht="24" customHeight="1">
      <x:c r="A151" s="22" t="n">
        <x:v>147</x:v>
      </x:c>
      <x:c r="B151" s="22" t="str">
        <x:v>同名命格不重复</x:v>
      </x:c>
      <x:c r="C151" s="22" t="str">
        <x:v>通过</x:v>
      </x:c>
      <x:c r="D151" s="22" t="str">
        <x:v>P0063</x:v>
      </x:c>
    </x:row>
    <x:row r="152" ht="24" customHeight="1">
      <x:c r="A152" s="22" t="n">
        <x:v>148</x:v>
      </x:c>
      <x:c r="B152" s="22" t="str">
        <x:v>人物幸运不超过8</x:v>
      </x:c>
      <x:c r="C152" s="22" t="str">
        <x:v>通过</x:v>
      </x:c>
      <x:c r="D152" s="22" t="str">
        <x:v>P0063</x:v>
      </x:c>
    </x:row>
    <x:row r="153" ht="24" customHeight="1">
      <x:c r="A153" s="22" t="n">
        <x:v>149</x:v>
      </x:c>
      <x:c r="B153" s="22" t="str">
        <x:v>同名命格不重复</x:v>
      </x:c>
      <x:c r="C153" s="22" t="str">
        <x:v>通过</x:v>
      </x:c>
      <x:c r="D153" s="22" t="str">
        <x:v>P0064</x:v>
      </x:c>
    </x:row>
    <x:row r="154" ht="24" customHeight="1">
      <x:c r="A154" s="22" t="n">
        <x:v>150</x:v>
      </x:c>
      <x:c r="B154" s="22" t="str">
        <x:v>人物幸运不超过8</x:v>
      </x:c>
      <x:c r="C154" s="22" t="str">
        <x:v>通过</x:v>
      </x:c>
      <x:c r="D154" s="22" t="str">
        <x:v>P0064</x:v>
      </x:c>
    </x:row>
    <x:row r="155" ht="24" customHeight="1">
      <x:c r="A155" s="22" t="n">
        <x:v>151</x:v>
      </x:c>
      <x:c r="B155" s="22" t="str">
        <x:v>普通50-70%不夹带永久成长</x:v>
      </x:c>
      <x:c r="C155" s="22" t="str">
        <x:v>通过</x:v>
      </x:c>
      <x:c r="D155" s="22" t="str">
        <x:v>P0064</x:v>
      </x:c>
    </x:row>
    <x:row r="156" ht="24" customHeight="1">
      <x:c r="A156" s="22" t="n">
        <x:v>152</x:v>
      </x:c>
      <x:c r="B156" s="22" t="str">
        <x:v>普通取得比例</x:v>
      </x:c>
      <x:c r="C156" s="22" t="str">
        <x:v>通过</x:v>
      </x:c>
      <x:c r="D156" s="22" t="str">
        <x:v>P0064</x:v>
      </x:c>
    </x:row>
    <x:row r="157" ht="24" customHeight="1">
      <x:c r="A157" s="22" t="n">
        <x:v>153</x:v>
      </x:c>
      <x:c r="B157" s="22" t="str">
        <x:v>同名命格不重复</x:v>
      </x:c>
      <x:c r="C157" s="22" t="str">
        <x:v>通过</x:v>
      </x:c>
      <x:c r="D157" s="22" t="str">
        <x:v>P0065</x:v>
      </x:c>
    </x:row>
    <x:row r="158" ht="24" customHeight="1">
      <x:c r="A158" s="22" t="n">
        <x:v>154</x:v>
      </x:c>
      <x:c r="B158" s="22" t="str">
        <x:v>人物幸运不超过8</x:v>
      </x:c>
      <x:c r="C158" s="22" t="str">
        <x:v>通过</x:v>
      </x:c>
      <x:c r="D158" s="22" t="str">
        <x:v>P0065</x:v>
      </x:c>
    </x:row>
    <x:row r="159" ht="24" customHeight="1">
      <x:c r="A159" s="22" t="n">
        <x:v>155</x:v>
      </x:c>
      <x:c r="B159" s="22" t="str">
        <x:v>同名命格不重复</x:v>
      </x:c>
      <x:c r="C159" s="22" t="str">
        <x:v>通过</x:v>
      </x:c>
      <x:c r="D159" s="22" t="str">
        <x:v>P0066</x:v>
      </x:c>
    </x:row>
    <x:row r="160" ht="24" customHeight="1">
      <x:c r="A160" s="22" t="n">
        <x:v>156</x:v>
      </x:c>
      <x:c r="B160" s="22" t="str">
        <x:v>人物幸运不超过8</x:v>
      </x:c>
      <x:c r="C160" s="22" t="str">
        <x:v>通过</x:v>
      </x:c>
      <x:c r="D160" s="22" t="str">
        <x:v>P0066</x:v>
      </x:c>
    </x:row>
    <x:row r="161" ht="24" customHeight="1">
      <x:c r="A161" s="22" t="n">
        <x:v>157</x:v>
      </x:c>
      <x:c r="B161" s="22" t="str">
        <x:v>同名命格不重复</x:v>
      </x:c>
      <x:c r="C161" s="22" t="str">
        <x:v>通过</x:v>
      </x:c>
      <x:c r="D161" s="22" t="str">
        <x:v>P0067</x:v>
      </x:c>
    </x:row>
    <x:row r="162" ht="24" customHeight="1">
      <x:c r="A162" s="22" t="n">
        <x:v>158</x:v>
      </x:c>
      <x:c r="B162" s="22" t="str">
        <x:v>人物幸运不超过8</x:v>
      </x:c>
      <x:c r="C162" s="22" t="str">
        <x:v>通过</x:v>
      </x:c>
      <x:c r="D162" s="22" t="str">
        <x:v>P0067</x:v>
      </x:c>
    </x:row>
    <x:row r="163" ht="24" customHeight="1">
      <x:c r="A163" s="22" t="n">
        <x:v>159</x:v>
      </x:c>
      <x:c r="B163" s="22" t="str">
        <x:v>同名命格不重复</x:v>
      </x:c>
      <x:c r="C163" s="22" t="str">
        <x:v>通过</x:v>
      </x:c>
      <x:c r="D163" s="22" t="str">
        <x:v>P0068</x:v>
      </x:c>
    </x:row>
    <x:row r="164" ht="24" customHeight="1">
      <x:c r="A164" s="22" t="n">
        <x:v>160</x:v>
      </x:c>
      <x:c r="B164" s="22" t="str">
        <x:v>人物幸运不超过8</x:v>
      </x:c>
      <x:c r="C164" s="22" t="str">
        <x:v>通过</x:v>
      </x:c>
      <x:c r="D164" s="22" t="str">
        <x:v>P0068</x:v>
      </x:c>
    </x:row>
    <x:row r="165" ht="24" customHeight="1">
      <x:c r="A165" s="22" t="n">
        <x:v>161</x:v>
      </x:c>
      <x:c r="B165" s="22" t="str">
        <x:v>同名命格不重复</x:v>
      </x:c>
      <x:c r="C165" s="22" t="str">
        <x:v>通过</x:v>
      </x:c>
      <x:c r="D165" s="22" t="str">
        <x:v>P0069</x:v>
      </x:c>
    </x:row>
    <x:row r="166" ht="24" customHeight="1">
      <x:c r="A166" s="22" t="n">
        <x:v>162</x:v>
      </x:c>
      <x:c r="B166" s="22" t="str">
        <x:v>人物幸运不超过8</x:v>
      </x:c>
      <x:c r="C166" s="22" t="str">
        <x:v>通过</x:v>
      </x:c>
      <x:c r="D166" s="22" t="str">
        <x:v>P0069</x:v>
      </x:c>
    </x:row>
    <x:row r="167" ht="24" customHeight="1">
      <x:c r="A167" s="22" t="n">
        <x:v>163</x:v>
      </x:c>
      <x:c r="B167" s="22" t="str">
        <x:v>同名命格不重复</x:v>
      </x:c>
      <x:c r="C167" s="22" t="str">
        <x:v>通过</x:v>
      </x:c>
      <x:c r="D167" s="22" t="str">
        <x:v>P0070</x:v>
      </x:c>
    </x:row>
    <x:row r="168" ht="24" customHeight="1">
      <x:c r="A168" s="22" t="n">
        <x:v>164</x:v>
      </x:c>
      <x:c r="B168" s="22" t="str">
        <x:v>人物幸运不超过8</x:v>
      </x:c>
      <x:c r="C168" s="22" t="str">
        <x:v>通过</x:v>
      </x:c>
      <x:c r="D168" s="22" t="str">
        <x:v>P0070</x:v>
      </x:c>
    </x:row>
    <x:row r="169" ht="24" customHeight="1">
      <x:c r="A169" s="22" t="n">
        <x:v>165</x:v>
      </x:c>
      <x:c r="B169" s="22" t="str">
        <x:v>普通50-70%不夹带永久成长</x:v>
      </x:c>
      <x:c r="C169" s="22" t="str">
        <x:v>通过</x:v>
      </x:c>
      <x:c r="D169" s="22" t="str">
        <x:v>P0070</x:v>
      </x:c>
    </x:row>
    <x:row r="170" ht="24" customHeight="1">
      <x:c r="A170" s="22" t="n">
        <x:v>166</x:v>
      </x:c>
      <x:c r="B170" s="22" t="str">
        <x:v>普通取得比例</x:v>
      </x:c>
      <x:c r="C170" s="22" t="str">
        <x:v>通过</x:v>
      </x:c>
      <x:c r="D170" s="22" t="str">
        <x:v>P0070</x:v>
      </x:c>
    </x:row>
    <x:row r="171" ht="24" customHeight="1">
      <x:c r="A171" s="22" t="n">
        <x:v>167</x:v>
      </x:c>
      <x:c r="B171" s="22" t="str">
        <x:v>同名命格不重复</x:v>
      </x:c>
      <x:c r="C171" s="22" t="str">
        <x:v>通过</x:v>
      </x:c>
      <x:c r="D171" s="22" t="str">
        <x:v>P0071</x:v>
      </x:c>
    </x:row>
    <x:row r="172" ht="24" customHeight="1">
      <x:c r="A172" s="22" t="n">
        <x:v>168</x:v>
      </x:c>
      <x:c r="B172" s="22" t="str">
        <x:v>人物幸运不超过8</x:v>
      </x:c>
      <x:c r="C172" s="22" t="str">
        <x:v>通过</x:v>
      </x:c>
      <x:c r="D172" s="22" t="str">
        <x:v>P0071</x:v>
      </x:c>
    </x:row>
    <x:row r="173" ht="24" customHeight="1">
      <x:c r="A173" s="22" t="n">
        <x:v>169</x:v>
      </x:c>
      <x:c r="B173" s="22" t="str">
        <x:v>同名命格不重复</x:v>
      </x:c>
      <x:c r="C173" s="22" t="str">
        <x:v>通过</x:v>
      </x:c>
      <x:c r="D173" s="22" t="str">
        <x:v>P0072</x:v>
      </x:c>
    </x:row>
    <x:row r="174" ht="24" customHeight="1">
      <x:c r="A174" s="22" t="n">
        <x:v>170</x:v>
      </x:c>
      <x:c r="B174" s="22" t="str">
        <x:v>人物幸运不超过8</x:v>
      </x:c>
      <x:c r="C174" s="22" t="str">
        <x:v>通过</x:v>
      </x:c>
      <x:c r="D174" s="22" t="str">
        <x:v>P0072</x:v>
      </x:c>
    </x:row>
    <x:row r="175" ht="24" customHeight="1">
      <x:c r="A175" s="22" t="n">
        <x:v>171</x:v>
      </x:c>
      <x:c r="B175" s="22" t="str">
        <x:v>同名命格不重复</x:v>
      </x:c>
      <x:c r="C175" s="22" t="str">
        <x:v>通过</x:v>
      </x:c>
      <x:c r="D175" s="22" t="str">
        <x:v>P0073</x:v>
      </x:c>
    </x:row>
    <x:row r="176" ht="24" customHeight="1">
      <x:c r="A176" s="22" t="n">
        <x:v>172</x:v>
      </x:c>
      <x:c r="B176" s="22" t="str">
        <x:v>人物幸运不超过8</x:v>
      </x:c>
      <x:c r="C176" s="22" t="str">
        <x:v>通过</x:v>
      </x:c>
      <x:c r="D176" s="22" t="str">
        <x:v>P0073</x:v>
      </x:c>
    </x:row>
    <x:row r="177" ht="24" customHeight="1">
      <x:c r="A177" s="22" t="n">
        <x:v>173</x:v>
      </x:c>
      <x:c r="B177" s="22" t="str">
        <x:v>同名命格不重复</x:v>
      </x:c>
      <x:c r="C177" s="22" t="str">
        <x:v>通过</x:v>
      </x:c>
      <x:c r="D177" s="22" t="str">
        <x:v>P0074</x:v>
      </x:c>
    </x:row>
    <x:row r="178" ht="24" customHeight="1">
      <x:c r="A178" s="22" t="n">
        <x:v>174</x:v>
      </x:c>
      <x:c r="B178" s="22" t="str">
        <x:v>人物幸运不超过8</x:v>
      </x:c>
      <x:c r="C178" s="22" t="str">
        <x:v>通过</x:v>
      </x:c>
      <x:c r="D178" s="22" t="str">
        <x:v>P0074</x:v>
      </x:c>
    </x:row>
    <x:row r="179" ht="24" customHeight="1">
      <x:c r="A179" s="22" t="n">
        <x:v>175</x:v>
      </x:c>
      <x:c r="B179" s="22" t="str">
        <x:v>同名命格不重复</x:v>
      </x:c>
      <x:c r="C179" s="22" t="str">
        <x:v>通过</x:v>
      </x:c>
      <x:c r="D179" s="22" t="str">
        <x:v>P0075</x:v>
      </x:c>
    </x:row>
    <x:row r="180" ht="24" customHeight="1">
      <x:c r="A180" s="22" t="n">
        <x:v>176</x:v>
      </x:c>
      <x:c r="B180" s="22" t="str">
        <x:v>人物幸运不超过8</x:v>
      </x:c>
      <x:c r="C180" s="22" t="str">
        <x:v>通过</x:v>
      </x:c>
      <x:c r="D180" s="22" t="str">
        <x:v>P0075</x:v>
      </x:c>
    </x:row>
    <x:row r="181" ht="24" customHeight="1">
      <x:c r="A181" s="22" t="n">
        <x:v>177</x:v>
      </x:c>
      <x:c r="B181" s="22" t="str">
        <x:v>同名命格不重复</x:v>
      </x:c>
      <x:c r="C181" s="22" t="str">
        <x:v>通过</x:v>
      </x:c>
      <x:c r="D181" s="22" t="str">
        <x:v>P0076</x:v>
      </x:c>
    </x:row>
    <x:row r="182" ht="24" customHeight="1">
      <x:c r="A182" s="22" t="n">
        <x:v>178</x:v>
      </x:c>
      <x:c r="B182" s="22" t="str">
        <x:v>人物幸运不超过8</x:v>
      </x:c>
      <x:c r="C182" s="22" t="str">
        <x:v>通过</x:v>
      </x:c>
      <x:c r="D182" s="22" t="str">
        <x:v>P0076</x:v>
      </x:c>
    </x:row>
    <x:row r="183" ht="24" customHeight="1">
      <x:c r="A183" s="22" t="n">
        <x:v>179</x:v>
      </x:c>
      <x:c r="B183" s="22" t="str">
        <x:v>普通50-70%不夹带永久成长</x:v>
      </x:c>
      <x:c r="C183" s="22" t="str">
        <x:v>通过</x:v>
      </x:c>
      <x:c r="D183" s="22" t="str">
        <x:v>P0076</x:v>
      </x:c>
    </x:row>
    <x:row r="184" ht="24" customHeight="1">
      <x:c r="A184" s="22" t="n">
        <x:v>180</x:v>
      </x:c>
      <x:c r="B184" s="22" t="str">
        <x:v>普通取得比例</x:v>
      </x:c>
      <x:c r="C184" s="22" t="str">
        <x:v>通过</x:v>
      </x:c>
      <x:c r="D184" s="22" t="str">
        <x:v>P0076</x:v>
      </x:c>
    </x:row>
    <x:row r="185" ht="24" customHeight="1">
      <x:c r="A185" s="22" t="n">
        <x:v>181</x:v>
      </x:c>
      <x:c r="B185" s="22" t="str">
        <x:v>同名命格不重复</x:v>
      </x:c>
      <x:c r="C185" s="22" t="str">
        <x:v>通过</x:v>
      </x:c>
      <x:c r="D185" s="22" t="str">
        <x:v>P0077</x:v>
      </x:c>
    </x:row>
    <x:row r="186" ht="24" customHeight="1">
      <x:c r="A186" s="22" t="n">
        <x:v>182</x:v>
      </x:c>
      <x:c r="B186" s="22" t="str">
        <x:v>人物幸运不超过8</x:v>
      </x:c>
      <x:c r="C186" s="22" t="str">
        <x:v>通过</x:v>
      </x:c>
      <x:c r="D186" s="22" t="str">
        <x:v>P0077</x:v>
      </x:c>
    </x:row>
    <x:row r="187" ht="24" customHeight="1">
      <x:c r="A187" s="22" t="n">
        <x:v>183</x:v>
      </x:c>
      <x:c r="B187" s="22" t="str">
        <x:v>同名命格不重复</x:v>
      </x:c>
      <x:c r="C187" s="22" t="str">
        <x:v>通过</x:v>
      </x:c>
      <x:c r="D187" s="22" t="str">
        <x:v>P0078</x:v>
      </x:c>
    </x:row>
    <x:row r="188" ht="24" customHeight="1">
      <x:c r="A188" s="22" t="n">
        <x:v>184</x:v>
      </x:c>
      <x:c r="B188" s="22" t="str">
        <x:v>人物幸运不超过8</x:v>
      </x:c>
      <x:c r="C188" s="22" t="str">
        <x:v>通过</x:v>
      </x:c>
      <x:c r="D188" s="22" t="str">
        <x:v>P0078</x:v>
      </x:c>
    </x:row>
    <x:row r="189" ht="24" customHeight="1">
      <x:c r="A189" s="22" t="n">
        <x:v>185</x:v>
      </x:c>
      <x:c r="B189" s="22" t="str">
        <x:v>同名命格不重复</x:v>
      </x:c>
      <x:c r="C189" s="22" t="str">
        <x:v>通过</x:v>
      </x:c>
      <x:c r="D189" s="22" t="str">
        <x:v>P0079</x:v>
      </x:c>
    </x:row>
    <x:row r="190" ht="24" customHeight="1">
      <x:c r="A190" s="22" t="n">
        <x:v>186</x:v>
      </x:c>
      <x:c r="B190" s="22" t="str">
        <x:v>人物幸运不超过8</x:v>
      </x:c>
      <x:c r="C190" s="22" t="str">
        <x:v>通过</x:v>
      </x:c>
      <x:c r="D190" s="22" t="str">
        <x:v>P0079</x:v>
      </x:c>
    </x:row>
    <x:row r="191" ht="24" customHeight="1">
      <x:c r="A191" s="22" t="n">
        <x:v>187</x:v>
      </x:c>
      <x:c r="B191" s="22" t="str">
        <x:v>同名命格不重复</x:v>
      </x:c>
      <x:c r="C191" s="22" t="str">
        <x:v>通过</x:v>
      </x:c>
      <x:c r="D191" s="22" t="str">
        <x:v>P0080</x:v>
      </x:c>
    </x:row>
    <x:row r="192" ht="24" customHeight="1">
      <x:c r="A192" s="22" t="n">
        <x:v>188</x:v>
      </x:c>
      <x:c r="B192" s="22" t="str">
        <x:v>人物幸运不超过8</x:v>
      </x:c>
      <x:c r="C192" s="22" t="str">
        <x:v>通过</x:v>
      </x:c>
      <x:c r="D192" s="22" t="str">
        <x:v>P0080</x:v>
      </x:c>
    </x:row>
    <x:row r="193" ht="24" customHeight="1">
      <x:c r="A193" s="22" t="n">
        <x:v>189</x:v>
      </x:c>
      <x:c r="B193" s="22" t="str">
        <x:v>同名命格不重复</x:v>
      </x:c>
      <x:c r="C193" s="22" t="str">
        <x:v>通过</x:v>
      </x:c>
      <x:c r="D193" s="22" t="str">
        <x:v>P0081</x:v>
      </x:c>
    </x:row>
    <x:row r="194" ht="24" customHeight="1">
      <x:c r="A194" s="22" t="n">
        <x:v>190</x:v>
      </x:c>
      <x:c r="B194" s="22" t="str">
        <x:v>人物幸运不超过8</x:v>
      </x:c>
      <x:c r="C194" s="22" t="str">
        <x:v>通过</x:v>
      </x:c>
      <x:c r="D194" s="22" t="str">
        <x:v>P0081</x:v>
      </x:c>
    </x:row>
    <x:row r="195" ht="24" customHeight="1">
      <x:c r="A195" s="22" t="n">
        <x:v>191</x:v>
      </x:c>
      <x:c r="B195" s="22" t="str">
        <x:v>同名命格不重复</x:v>
      </x:c>
      <x:c r="C195" s="22" t="str">
        <x:v>通过</x:v>
      </x:c>
      <x:c r="D195" s="22" t="str">
        <x:v>P0082</x:v>
      </x:c>
    </x:row>
    <x:row r="196" ht="24" customHeight="1">
      <x:c r="A196" s="22" t="n">
        <x:v>192</x:v>
      </x:c>
      <x:c r="B196" s="22" t="str">
        <x:v>人物幸运不超过8</x:v>
      </x:c>
      <x:c r="C196" s="22" t="str">
        <x:v>通过</x:v>
      </x:c>
      <x:c r="D196" s="22" t="str">
        <x:v>P0082</x:v>
      </x:c>
    </x:row>
    <x:row r="197" ht="24" customHeight="1">
      <x:c r="A197" s="22" t="n">
        <x:v>193</x:v>
      </x:c>
      <x:c r="B197" s="22" t="str">
        <x:v>普通50-70%不夹带永久成长</x:v>
      </x:c>
      <x:c r="C197" s="22" t="str">
        <x:v>通过</x:v>
      </x:c>
      <x:c r="D197" s="22" t="str">
        <x:v>P0082</x:v>
      </x:c>
    </x:row>
    <x:row r="198" ht="24" customHeight="1">
      <x:c r="A198" s="22" t="n">
        <x:v>194</x:v>
      </x:c>
      <x:c r="B198" s="22" t="str">
        <x:v>普通取得比例</x:v>
      </x:c>
      <x:c r="C198" s="22" t="str">
        <x:v>通过</x:v>
      </x:c>
      <x:c r="D198" s="22" t="str">
        <x:v>P0082</x:v>
      </x:c>
    </x:row>
    <x:row r="199" ht="24" customHeight="1">
      <x:c r="A199" s="22" t="n">
        <x:v>195</x:v>
      </x:c>
      <x:c r="B199" s="22" t="str">
        <x:v>同名命格不重复</x:v>
      </x:c>
      <x:c r="C199" s="22" t="str">
        <x:v>通过</x:v>
      </x:c>
      <x:c r="D199" s="22" t="str">
        <x:v>P0083</x:v>
      </x:c>
    </x:row>
    <x:row r="200" ht="24" customHeight="1">
      <x:c r="A200" s="22" t="n">
        <x:v>196</x:v>
      </x:c>
      <x:c r="B200" s="22" t="str">
        <x:v>人物幸运不超过8</x:v>
      </x:c>
      <x:c r="C200" s="22" t="str">
        <x:v>通过</x:v>
      </x:c>
      <x:c r="D200" s="22" t="str">
        <x:v>P0083</x:v>
      </x:c>
    </x:row>
    <x:row r="201" ht="24" customHeight="1">
      <x:c r="A201" s="22" t="n">
        <x:v>197</x:v>
      </x:c>
      <x:c r="B201" s="22" t="str">
        <x:v>同名命格不重复</x:v>
      </x:c>
      <x:c r="C201" s="22" t="str">
        <x:v>通过</x:v>
      </x:c>
      <x:c r="D201" s="22" t="str">
        <x:v>P0084</x:v>
      </x:c>
    </x:row>
    <x:row r="202" ht="24" customHeight="1">
      <x:c r="A202" s="22" t="n">
        <x:v>198</x:v>
      </x:c>
      <x:c r="B202" s="22" t="str">
        <x:v>人物幸运不超过8</x:v>
      </x:c>
      <x:c r="C202" s="22" t="str">
        <x:v>通过</x:v>
      </x:c>
      <x:c r="D202" s="22" t="str">
        <x:v>P0084</x:v>
      </x:c>
    </x:row>
    <x:row r="203" ht="24" customHeight="1">
      <x:c r="A203" s="22" t="n">
        <x:v>199</x:v>
      </x:c>
      <x:c r="B203" s="22" t="str">
        <x:v>同名命格不重复</x:v>
      </x:c>
      <x:c r="C203" s="22" t="str">
        <x:v>通过</x:v>
      </x:c>
      <x:c r="D203" s="22" t="str">
        <x:v>P0085</x:v>
      </x:c>
    </x:row>
    <x:row r="204" ht="24" customHeight="1">
      <x:c r="A204" s="22" t="n">
        <x:v>200</x:v>
      </x:c>
      <x:c r="B204" s="22" t="str">
        <x:v>人物幸运不超过8</x:v>
      </x:c>
      <x:c r="C204" s="22" t="str">
        <x:v>通过</x:v>
      </x:c>
      <x:c r="D204" s="22" t="str">
        <x:v>P0085</x:v>
      </x:c>
    </x:row>
    <x:row r="205" ht="24" customHeight="1">
      <x:c r="A205" s="22" t="n">
        <x:v>201</x:v>
      </x:c>
      <x:c r="B205" s="22" t="str">
        <x:v>同名命格不重复</x:v>
      </x:c>
      <x:c r="C205" s="22" t="str">
        <x:v>通过</x:v>
      </x:c>
      <x:c r="D205" s="22" t="str">
        <x:v>P0086</x:v>
      </x:c>
    </x:row>
    <x:row r="206" ht="24" customHeight="1">
      <x:c r="A206" s="22" t="n">
        <x:v>202</x:v>
      </x:c>
      <x:c r="B206" s="22" t="str">
        <x:v>人物幸运不超过8</x:v>
      </x:c>
      <x:c r="C206" s="22" t="str">
        <x:v>通过</x:v>
      </x:c>
      <x:c r="D206" s="22" t="str">
        <x:v>P0086</x:v>
      </x:c>
    </x:row>
    <x:row r="207" ht="24" customHeight="1">
      <x:c r="A207" s="22" t="n">
        <x:v>203</x:v>
      </x:c>
      <x:c r="B207" s="22" t="str">
        <x:v>同名命格不重复</x:v>
      </x:c>
      <x:c r="C207" s="22" t="str">
        <x:v>通过</x:v>
      </x:c>
      <x:c r="D207" s="22" t="str">
        <x:v>P0087</x:v>
      </x:c>
    </x:row>
    <x:row r="208" ht="24" customHeight="1">
      <x:c r="A208" s="22" t="n">
        <x:v>204</x:v>
      </x:c>
      <x:c r="B208" s="22" t="str">
        <x:v>人物幸运不超过8</x:v>
      </x:c>
      <x:c r="C208" s="22" t="str">
        <x:v>通过</x:v>
      </x:c>
      <x:c r="D208" s="22" t="str">
        <x:v>P0087</x:v>
      </x:c>
    </x:row>
    <x:row r="209" ht="24" customHeight="1">
      <x:c r="A209" s="22" t="n">
        <x:v>205</x:v>
      </x:c>
      <x:c r="B209" s="22" t="str">
        <x:v>同名命格不重复</x:v>
      </x:c>
      <x:c r="C209" s="22" t="str">
        <x:v>通过</x:v>
      </x:c>
      <x:c r="D209" s="22" t="str">
        <x:v>P0088</x:v>
      </x:c>
    </x:row>
    <x:row r="210" ht="24" customHeight="1">
      <x:c r="A210" s="22" t="n">
        <x:v>206</x:v>
      </x:c>
      <x:c r="B210" s="22" t="str">
        <x:v>人物幸运不超过8</x:v>
      </x:c>
      <x:c r="C210" s="22" t="str">
        <x:v>通过</x:v>
      </x:c>
      <x:c r="D210" s="22" t="str">
        <x:v>P0088</x:v>
      </x:c>
    </x:row>
    <x:row r="211" ht="24" customHeight="1">
      <x:c r="A211" s="22" t="n">
        <x:v>207</x:v>
      </x:c>
      <x:c r="B211" s="22" t="str">
        <x:v>普通50-70%不夹带永久成长</x:v>
      </x:c>
      <x:c r="C211" s="22" t="str">
        <x:v>通过</x:v>
      </x:c>
      <x:c r="D211" s="22" t="str">
        <x:v>P0088</x:v>
      </x:c>
    </x:row>
    <x:row r="212" ht="24" customHeight="1">
      <x:c r="A212" s="22" t="n">
        <x:v>208</x:v>
      </x:c>
      <x:c r="B212" s="22" t="str">
        <x:v>普通取得比例</x:v>
      </x:c>
      <x:c r="C212" s="22" t="str">
        <x:v>通过</x:v>
      </x:c>
      <x:c r="D212" s="22" t="str">
        <x:v>P0088</x:v>
      </x:c>
    </x:row>
    <x:row r="213" ht="24" customHeight="1">
      <x:c r="A213" s="22" t="n">
        <x:v>209</x:v>
      </x:c>
      <x:c r="B213" s="22" t="str">
        <x:v>同名命格不重复</x:v>
      </x:c>
      <x:c r="C213" s="22" t="str">
        <x:v>通过</x:v>
      </x:c>
      <x:c r="D213" s="22" t="str">
        <x:v>P0089</x:v>
      </x:c>
    </x:row>
    <x:row r="214" ht="24" customHeight="1">
      <x:c r="A214" s="22" t="n">
        <x:v>210</x:v>
      </x:c>
      <x:c r="B214" s="22" t="str">
        <x:v>人物幸运不超过8</x:v>
      </x:c>
      <x:c r="C214" s="22" t="str">
        <x:v>通过</x:v>
      </x:c>
      <x:c r="D214" s="22" t="str">
        <x:v>P0089</x:v>
      </x:c>
    </x:row>
    <x:row r="215" ht="24" customHeight="1">
      <x:c r="A215" s="22" t="n">
        <x:v>211</x:v>
      </x:c>
      <x:c r="B215" s="22" t="str">
        <x:v>同名命格不重复</x:v>
      </x:c>
      <x:c r="C215" s="22" t="str">
        <x:v>通过</x:v>
      </x:c>
      <x:c r="D215" s="22" t="str">
        <x:v>P0090</x:v>
      </x:c>
    </x:row>
    <x:row r="216" ht="24" customHeight="1">
      <x:c r="A216" s="22" t="n">
        <x:v>212</x:v>
      </x:c>
      <x:c r="B216" s="22" t="str">
        <x:v>人物幸运不超过8</x:v>
      </x:c>
      <x:c r="C216" s="22" t="str">
        <x:v>通过</x:v>
      </x:c>
      <x:c r="D216" s="22" t="str">
        <x:v>P0090</x:v>
      </x:c>
    </x:row>
    <x:row r="217" ht="24" customHeight="1">
      <x:c r="A217" s="22" t="n">
        <x:v>213</x:v>
      </x:c>
      <x:c r="B217" s="22" t="str">
        <x:v>同名命格不重复</x:v>
      </x:c>
      <x:c r="C217" s="22" t="str">
        <x:v>通过</x:v>
      </x:c>
      <x:c r="D217" s="22" t="str">
        <x:v>P0091</x:v>
      </x:c>
    </x:row>
    <x:row r="218" ht="24" customHeight="1">
      <x:c r="A218" s="22" t="n">
        <x:v>214</x:v>
      </x:c>
      <x:c r="B218" s="22" t="str">
        <x:v>人物幸运不超过8</x:v>
      </x:c>
      <x:c r="C218" s="22" t="str">
        <x:v>通过</x:v>
      </x:c>
      <x:c r="D218" s="22" t="str">
        <x:v>P0091</x:v>
      </x:c>
    </x:row>
    <x:row r="219" ht="24" customHeight="1">
      <x:c r="A219" s="22" t="n">
        <x:v>215</x:v>
      </x:c>
      <x:c r="B219" s="22" t="str">
        <x:v>同名命格不重复</x:v>
      </x:c>
      <x:c r="C219" s="22" t="str">
        <x:v>通过</x:v>
      </x:c>
      <x:c r="D219" s="22" t="str">
        <x:v>P0092</x:v>
      </x:c>
    </x:row>
    <x:row r="220" ht="24" customHeight="1">
      <x:c r="A220" s="22" t="n">
        <x:v>216</x:v>
      </x:c>
      <x:c r="B220" s="22" t="str">
        <x:v>人物幸运不超过8</x:v>
      </x:c>
      <x:c r="C220" s="22" t="str">
        <x:v>通过</x:v>
      </x:c>
      <x:c r="D220" s="22" t="str">
        <x:v>P0092</x:v>
      </x:c>
    </x:row>
    <x:row r="221" ht="24" customHeight="1">
      <x:c r="A221" s="22" t="n">
        <x:v>217</x:v>
      </x:c>
      <x:c r="B221" s="22" t="str">
        <x:v>同名命格不重复</x:v>
      </x:c>
      <x:c r="C221" s="22" t="str">
        <x:v>通过</x:v>
      </x:c>
      <x:c r="D221" s="22" t="str">
        <x:v>P0093</x:v>
      </x:c>
    </x:row>
    <x:row r="222" ht="24" customHeight="1">
      <x:c r="A222" s="22" t="n">
        <x:v>218</x:v>
      </x:c>
      <x:c r="B222" s="22" t="str">
        <x:v>人物幸运不超过8</x:v>
      </x:c>
      <x:c r="C222" s="22" t="str">
        <x:v>通过</x:v>
      </x:c>
      <x:c r="D222" s="22" t="str">
        <x:v>P0093</x:v>
      </x:c>
    </x:row>
    <x:row r="223" ht="24" customHeight="1">
      <x:c r="A223" s="22" t="n">
        <x:v>219</x:v>
      </x:c>
      <x:c r="B223" s="22" t="str">
        <x:v>同名命格不重复</x:v>
      </x:c>
      <x:c r="C223" s="22" t="str">
        <x:v>通过</x:v>
      </x:c>
      <x:c r="D223" s="22" t="str">
        <x:v>P0094</x:v>
      </x:c>
    </x:row>
    <x:row r="224" ht="24" customHeight="1">
      <x:c r="A224" s="22" t="n">
        <x:v>220</x:v>
      </x:c>
      <x:c r="B224" s="22" t="str">
        <x:v>人物幸运不超过8</x:v>
      </x:c>
      <x:c r="C224" s="22" t="str">
        <x:v>通过</x:v>
      </x:c>
      <x:c r="D224" s="22" t="str">
        <x:v>P0094</x:v>
      </x:c>
    </x:row>
    <x:row r="225" ht="24" customHeight="1">
      <x:c r="A225" s="22" t="n">
        <x:v>221</x:v>
      </x:c>
      <x:c r="B225" s="22" t="str">
        <x:v>普通50-70%不夹带永久成长</x:v>
      </x:c>
      <x:c r="C225" s="22" t="str">
        <x:v>通过</x:v>
      </x:c>
      <x:c r="D225" s="22" t="str">
        <x:v>P0094</x:v>
      </x:c>
    </x:row>
    <x:row r="226" ht="24" customHeight="1">
      <x:c r="A226" s="22" t="n">
        <x:v>222</x:v>
      </x:c>
      <x:c r="B226" s="22" t="str">
        <x:v>普通取得比例</x:v>
      </x:c>
      <x:c r="C226" s="22" t="str">
        <x:v>通过</x:v>
      </x:c>
      <x:c r="D226" s="22" t="str">
        <x:v>P0094</x:v>
      </x:c>
    </x:row>
    <x:row r="227" ht="24" customHeight="1">
      <x:c r="A227" s="22" t="n">
        <x:v>223</x:v>
      </x:c>
      <x:c r="B227" s="22" t="str">
        <x:v>同名命格不重复</x:v>
      </x:c>
      <x:c r="C227" s="22" t="str">
        <x:v>通过</x:v>
      </x:c>
      <x:c r="D227" s="22" t="str">
        <x:v>P0095</x:v>
      </x:c>
    </x:row>
    <x:row r="228" ht="24" customHeight="1">
      <x:c r="A228" s="22" t="n">
        <x:v>224</x:v>
      </x:c>
      <x:c r="B228" s="22" t="str">
        <x:v>人物幸运不超过8</x:v>
      </x:c>
      <x:c r="C228" s="22" t="str">
        <x:v>通过</x:v>
      </x:c>
      <x:c r="D228" s="22" t="str">
        <x:v>P0095</x:v>
      </x:c>
    </x:row>
    <x:row r="229" ht="24" customHeight="1">
      <x:c r="A229" s="22" t="n">
        <x:v>225</x:v>
      </x:c>
      <x:c r="B229" s="22" t="str">
        <x:v>同名命格不重复</x:v>
      </x:c>
      <x:c r="C229" s="22" t="str">
        <x:v>通过</x:v>
      </x:c>
      <x:c r="D229" s="22" t="str">
        <x:v>P0096</x:v>
      </x:c>
    </x:row>
    <x:row r="230" ht="24" customHeight="1">
      <x:c r="A230" s="22" t="n">
        <x:v>226</x:v>
      </x:c>
      <x:c r="B230" s="22" t="str">
        <x:v>人物幸运不超过8</x:v>
      </x:c>
      <x:c r="C230" s="22" t="str">
        <x:v>通过</x:v>
      </x:c>
      <x:c r="D230" s="22" t="str">
        <x:v>P0096</x:v>
      </x:c>
    </x:row>
    <x:row r="231" ht="24" customHeight="1">
      <x:c r="A231" s="22" t="n">
        <x:v>227</x:v>
      </x:c>
      <x:c r="B231" s="22" t="str">
        <x:v>同名命格不重复</x:v>
      </x:c>
      <x:c r="C231" s="22" t="str">
        <x:v>通过</x:v>
      </x:c>
      <x:c r="D231" s="22" t="str">
        <x:v>P0097</x:v>
      </x:c>
    </x:row>
    <x:row r="232" ht="24" customHeight="1">
      <x:c r="A232" s="22" t="n">
        <x:v>228</x:v>
      </x:c>
      <x:c r="B232" s="22" t="str">
        <x:v>人物幸运不超过8</x:v>
      </x:c>
      <x:c r="C232" s="22" t="str">
        <x:v>通过</x:v>
      </x:c>
      <x:c r="D232" s="22" t="str">
        <x:v>P0097</x:v>
      </x:c>
    </x:row>
    <x:row r="233" ht="24" customHeight="1">
      <x:c r="A233" s="22" t="n">
        <x:v>229</x:v>
      </x:c>
      <x:c r="B233" s="22" t="str">
        <x:v>同名命格不重复</x:v>
      </x:c>
      <x:c r="C233" s="22" t="str">
        <x:v>通过</x:v>
      </x:c>
      <x:c r="D233" s="22" t="str">
        <x:v>P0098</x:v>
      </x:c>
    </x:row>
    <x:row r="234" ht="24" customHeight="1">
      <x:c r="A234" s="22" t="n">
        <x:v>230</x:v>
      </x:c>
      <x:c r="B234" s="22" t="str">
        <x:v>人物幸运不超过8</x:v>
      </x:c>
      <x:c r="C234" s="22" t="str">
        <x:v>通过</x:v>
      </x:c>
      <x:c r="D234" s="22" t="str">
        <x:v>P0098</x:v>
      </x:c>
    </x:row>
    <x:row r="235" ht="24" customHeight="1">
      <x:c r="A235" s="22" t="n">
        <x:v>231</x:v>
      </x:c>
      <x:c r="B235" s="22" t="str">
        <x:v>同名命格不重复</x:v>
      </x:c>
      <x:c r="C235" s="22" t="str">
        <x:v>通过</x:v>
      </x:c>
      <x:c r="D235" s="22" t="str">
        <x:v>P0099</x:v>
      </x:c>
    </x:row>
    <x:row r="236" ht="24" customHeight="1">
      <x:c r="A236" s="22" t="n">
        <x:v>232</x:v>
      </x:c>
      <x:c r="B236" s="22" t="str">
        <x:v>人物幸运不超过8</x:v>
      </x:c>
      <x:c r="C236" s="22" t="str">
        <x:v>通过</x:v>
      </x:c>
      <x:c r="D236" s="22" t="str">
        <x:v>P0099</x:v>
      </x:c>
    </x:row>
    <x:row r="237" ht="24" customHeight="1">
      <x:c r="A237" s="22" t="n">
        <x:v>233</x:v>
      </x:c>
      <x:c r="B237" s="22" t="str">
        <x:v>同名命格不重复</x:v>
      </x:c>
      <x:c r="C237" s="22" t="str">
        <x:v>通过</x:v>
      </x:c>
      <x:c r="D237" s="22" t="str">
        <x:v>P0100</x:v>
      </x:c>
    </x:row>
    <x:row r="238" ht="24" customHeight="1">
      <x:c r="A238" s="22" t="n">
        <x:v>234</x:v>
      </x:c>
      <x:c r="B238" s="22" t="str">
        <x:v>人物幸运不超过8</x:v>
      </x:c>
      <x:c r="C238" s="22" t="str">
        <x:v>通过</x:v>
      </x:c>
      <x:c r="D238" s="22" t="str">
        <x:v>P0100</x:v>
      </x:c>
    </x:row>
    <x:row r="239" ht="24" customHeight="1">
      <x:c r="A239" s="22" t="n">
        <x:v>235</x:v>
      </x:c>
      <x:c r="B239" s="22" t="str">
        <x:v>同名命格不重复</x:v>
      </x:c>
      <x:c r="C239" s="22" t="str">
        <x:v>通过</x:v>
      </x:c>
      <x:c r="D239" s="22" t="str">
        <x:v>P0101</x:v>
      </x:c>
    </x:row>
    <x:row r="240" ht="24" customHeight="1">
      <x:c r="A240" s="22" t="n">
        <x:v>236</x:v>
      </x:c>
      <x:c r="B240" s="22" t="str">
        <x:v>人物幸运不超过8</x:v>
      </x:c>
      <x:c r="C240" s="22" t="str">
        <x:v>通过</x:v>
      </x:c>
      <x:c r="D240" s="22" t="str">
        <x:v>P0101</x:v>
      </x:c>
    </x:row>
    <x:row r="241" ht="24" customHeight="1">
      <x:c r="A241" s="22" t="n">
        <x:v>237</x:v>
      </x:c>
      <x:c r="B241" s="22" t="str">
        <x:v>守关前必做合成齐全</x:v>
      </x:c>
      <x:c r="C241" s="22" t="str">
        <x:v>通过</x:v>
      </x:c>
      <x:c r="D241" s="22" t="str">
        <x:v>3</x:v>
      </x:c>
    </x:row>
    <x:row r="242" ht="24" customHeight="1">
      <x:c r="A242" s="22" t="n">
        <x:v>238</x:v>
      </x:c>
      <x:c r="B242" s="22" t="str">
        <x:v>首次挑战未取得本守关装备</x:v>
      </x:c>
      <x:c r="C242" s="22" t="str">
        <x:v>通过</x:v>
      </x:c>
      <x:c r="D242" s="22" t="str">
        <x:v>西境征服者·戈德里安</x:v>
      </x:c>
    </x:row>
    <x:row r="243" ht="24" customHeight="1">
      <x:c r="A243" s="22" t="n">
        <x:v>239</x:v>
      </x:c>
      <x:c r="B243" s="22" t="str">
        <x:v>同名命格不重复</x:v>
      </x:c>
      <x:c r="C243" s="22" t="str">
        <x:v>通过</x:v>
      </x:c>
      <x:c r="D243" s="22" t="str">
        <x:v>P0102</x:v>
      </x:c>
    </x:row>
    <x:row r="244" ht="24" customHeight="1">
      <x:c r="A244" s="22" t="n">
        <x:v>240</x:v>
      </x:c>
      <x:c r="B244" s="22" t="str">
        <x:v>人物幸运不超过8</x:v>
      </x:c>
      <x:c r="C244" s="22" t="str">
        <x:v>通过</x:v>
      </x:c>
      <x:c r="D244" s="22" t="str">
        <x:v>P0102</x:v>
      </x:c>
    </x:row>
    <x:row r="245" ht="24" customHeight="1">
      <x:c r="A245" s="22" t="n">
        <x:v>241</x:v>
      </x:c>
      <x:c r="B245" s="22" t="str">
        <x:v>同名命格不重复</x:v>
      </x:c>
      <x:c r="C245" s="22" t="str">
        <x:v>通过</x:v>
      </x:c>
      <x:c r="D245" s="22" t="str">
        <x:v>P0103</x:v>
      </x:c>
    </x:row>
    <x:row r="246" ht="24" customHeight="1">
      <x:c r="A246" s="22" t="n">
        <x:v>242</x:v>
      </x:c>
      <x:c r="B246" s="22" t="str">
        <x:v>人物幸运不超过8</x:v>
      </x:c>
      <x:c r="C246" s="22" t="str">
        <x:v>通过</x:v>
      </x:c>
      <x:c r="D246" s="22" t="str">
        <x:v>P0103</x:v>
      </x:c>
    </x:row>
    <x:row r="247" ht="24" customHeight="1">
      <x:c r="A247" s="22" t="n">
        <x:v>243</x:v>
      </x:c>
      <x:c r="B247" s="22" t="str">
        <x:v>跨大陆永久与穿戴继承</x:v>
      </x:c>
      <x:c r="C247" s="22" t="str">
        <x:v>通过</x:v>
      </x:c>
      <x:c r="D247" s="22" t="str">
        <x:v>4</x:v>
      </x:c>
    </x:row>
    <x:row r="248" ht="24" customHeight="1">
      <x:c r="A248" s="22" t="n">
        <x:v>244</x:v>
      </x:c>
      <x:c r="B248" s="22" t="str">
        <x:v>同名命格不重复</x:v>
      </x:c>
      <x:c r="C248" s="22" t="str">
        <x:v>通过</x:v>
      </x:c>
      <x:c r="D248" s="22" t="str">
        <x:v>P0104</x:v>
      </x:c>
    </x:row>
    <x:row r="249" ht="24" customHeight="1">
      <x:c r="A249" s="22" t="n">
        <x:v>245</x:v>
      </x:c>
      <x:c r="B249" s="22" t="str">
        <x:v>人物幸运不超过8</x:v>
      </x:c>
      <x:c r="C249" s="22" t="str">
        <x:v>通过</x:v>
      </x:c>
      <x:c r="D249" s="22" t="str">
        <x:v>P0104</x:v>
      </x:c>
    </x:row>
    <x:row r="250" ht="24" customHeight="1">
      <x:c r="A250" s="22" t="n">
        <x:v>246</x:v>
      </x:c>
      <x:c r="B250" s="22" t="str">
        <x:v>同名命格不重复</x:v>
      </x:c>
      <x:c r="C250" s="22" t="str">
        <x:v>通过</x:v>
      </x:c>
      <x:c r="D250" s="22" t="str">
        <x:v>P0105</x:v>
      </x:c>
    </x:row>
    <x:row r="251" ht="24" customHeight="1">
      <x:c r="A251" s="22" t="n">
        <x:v>247</x:v>
      </x:c>
      <x:c r="B251" s="22" t="str">
        <x:v>人物幸运不超过8</x:v>
      </x:c>
      <x:c r="C251" s="22" t="str">
        <x:v>通过</x:v>
      </x:c>
      <x:c r="D251" s="22" t="str">
        <x:v>P0105</x:v>
      </x:c>
    </x:row>
    <x:row r="252" ht="24" customHeight="1">
      <x:c r="A252" s="22" t="n">
        <x:v>248</x:v>
      </x:c>
      <x:c r="B252" s="22" t="str">
        <x:v>同名命格不重复</x:v>
      </x:c>
      <x:c r="C252" s="22" t="str">
        <x:v>通过</x:v>
      </x:c>
      <x:c r="D252" s="22" t="str">
        <x:v>P0106</x:v>
      </x:c>
    </x:row>
    <x:row r="253" ht="24" customHeight="1">
      <x:c r="A253" s="22" t="n">
        <x:v>249</x:v>
      </x:c>
      <x:c r="B253" s="22" t="str">
        <x:v>人物幸运不超过8</x:v>
      </x:c>
      <x:c r="C253" s="22" t="str">
        <x:v>通过</x:v>
      </x:c>
      <x:c r="D253" s="22" t="str">
        <x:v>P0106</x:v>
      </x:c>
    </x:row>
    <x:row r="254" ht="24" customHeight="1">
      <x:c r="A254" s="22" t="n">
        <x:v>250</x:v>
      </x:c>
      <x:c r="B254" s="22" t="str">
        <x:v>普通50-70%不夹带永久成长</x:v>
      </x:c>
      <x:c r="C254" s="22" t="str">
        <x:v>通过</x:v>
      </x:c>
      <x:c r="D254" s="22" t="str">
        <x:v>P0106</x:v>
      </x:c>
    </x:row>
    <x:row r="255" ht="24" customHeight="1">
      <x:c r="A255" s="22" t="n">
        <x:v>251</x:v>
      </x:c>
      <x:c r="B255" s="22" t="str">
        <x:v>普通取得比例</x:v>
      </x:c>
      <x:c r="C255" s="22" t="str">
        <x:v>通过</x:v>
      </x:c>
      <x:c r="D255" s="22" t="str">
        <x:v>P0106</x:v>
      </x:c>
    </x:row>
    <x:row r="256" ht="24" customHeight="1">
      <x:c r="A256" s="22" t="n">
        <x:v>252</x:v>
      </x:c>
      <x:c r="B256" s="22" t="str">
        <x:v>同名命格不重复</x:v>
      </x:c>
      <x:c r="C256" s="22" t="str">
        <x:v>通过</x:v>
      </x:c>
      <x:c r="D256" s="22" t="str">
        <x:v>P0107</x:v>
      </x:c>
    </x:row>
    <x:row r="257" ht="24" customHeight="1">
      <x:c r="A257" s="22" t="n">
        <x:v>253</x:v>
      </x:c>
      <x:c r="B257" s="22" t="str">
        <x:v>人物幸运不超过8</x:v>
      </x:c>
      <x:c r="C257" s="22" t="str">
        <x:v>通过</x:v>
      </x:c>
      <x:c r="D257" s="22" t="str">
        <x:v>P0107</x:v>
      </x:c>
    </x:row>
    <x:row r="258" ht="24" customHeight="1">
      <x:c r="A258" s="22" t="n">
        <x:v>254</x:v>
      </x:c>
      <x:c r="B258" s="22" t="str">
        <x:v>同名命格不重复</x:v>
      </x:c>
      <x:c r="C258" s="22" t="str">
        <x:v>通过</x:v>
      </x:c>
      <x:c r="D258" s="22" t="str">
        <x:v>P0108</x:v>
      </x:c>
    </x:row>
    <x:row r="259" ht="24" customHeight="1">
      <x:c r="A259" s="22" t="n">
        <x:v>255</x:v>
      </x:c>
      <x:c r="B259" s="22" t="str">
        <x:v>人物幸运不超过8</x:v>
      </x:c>
      <x:c r="C259" s="22" t="str">
        <x:v>通过</x:v>
      </x:c>
      <x:c r="D259" s="22" t="str">
        <x:v>P0108</x:v>
      </x:c>
    </x:row>
    <x:row r="260" ht="24" customHeight="1">
      <x:c r="A260" s="22" t="n">
        <x:v>256</x:v>
      </x:c>
      <x:c r="B260" s="22" t="str">
        <x:v>同名命格不重复</x:v>
      </x:c>
      <x:c r="C260" s="22" t="str">
        <x:v>通过</x:v>
      </x:c>
      <x:c r="D260" s="22" t="str">
        <x:v>P0109</x:v>
      </x:c>
    </x:row>
    <x:row r="261" ht="24" customHeight="1">
      <x:c r="A261" s="22" t="n">
        <x:v>257</x:v>
      </x:c>
      <x:c r="B261" s="22" t="str">
        <x:v>人物幸运不超过8</x:v>
      </x:c>
      <x:c r="C261" s="22" t="str">
        <x:v>通过</x:v>
      </x:c>
      <x:c r="D261" s="22" t="str">
        <x:v>P0109</x:v>
      </x:c>
    </x:row>
    <x:row r="262" ht="24" customHeight="1">
      <x:c r="A262" s="22" t="n">
        <x:v>258</x:v>
      </x:c>
      <x:c r="B262" s="22" t="str">
        <x:v>同名命格不重复</x:v>
      </x:c>
      <x:c r="C262" s="22" t="str">
        <x:v>通过</x:v>
      </x:c>
      <x:c r="D262" s="22" t="str">
        <x:v>P0110</x:v>
      </x:c>
    </x:row>
    <x:row r="263" ht="24" customHeight="1">
      <x:c r="A263" s="22" t="n">
        <x:v>259</x:v>
      </x:c>
      <x:c r="B263" s="22" t="str">
        <x:v>人物幸运不超过8</x:v>
      </x:c>
      <x:c r="C263" s="22" t="str">
        <x:v>通过</x:v>
      </x:c>
      <x:c r="D263" s="22" t="str">
        <x:v>P0110</x:v>
      </x:c>
    </x:row>
    <x:row r="264" ht="24" customHeight="1">
      <x:c r="A264" s="22" t="n">
        <x:v>260</x:v>
      </x:c>
      <x:c r="B264" s="22" t="str">
        <x:v>同名命格不重复</x:v>
      </x:c>
      <x:c r="C264" s="22" t="str">
        <x:v>通过</x:v>
      </x:c>
      <x:c r="D264" s="22" t="str">
        <x:v>P0111</x:v>
      </x:c>
    </x:row>
    <x:row r="265" ht="24" customHeight="1">
      <x:c r="A265" s="22" t="n">
        <x:v>261</x:v>
      </x:c>
      <x:c r="B265" s="22" t="str">
        <x:v>人物幸运不超过8</x:v>
      </x:c>
      <x:c r="C265" s="22" t="str">
        <x:v>通过</x:v>
      </x:c>
      <x:c r="D265" s="22" t="str">
        <x:v>P0111</x:v>
      </x:c>
    </x:row>
    <x:row r="266" ht="24" customHeight="1">
      <x:c r="A266" s="22" t="n">
        <x:v>262</x:v>
      </x:c>
      <x:c r="B266" s="22" t="str">
        <x:v>同名命格不重复</x:v>
      </x:c>
      <x:c r="C266" s="22" t="str">
        <x:v>通过</x:v>
      </x:c>
      <x:c r="D266" s="22" t="str">
        <x:v>P0112</x:v>
      </x:c>
    </x:row>
    <x:row r="267" ht="24" customHeight="1">
      <x:c r="A267" s="22" t="n">
        <x:v>263</x:v>
      </x:c>
      <x:c r="B267" s="22" t="str">
        <x:v>人物幸运不超过8</x:v>
      </x:c>
      <x:c r="C267" s="22" t="str">
        <x:v>通过</x:v>
      </x:c>
      <x:c r="D267" s="22" t="str">
        <x:v>P0112</x:v>
      </x:c>
    </x:row>
    <x:row r="268" ht="24" customHeight="1">
      <x:c r="A268" s="22" t="n">
        <x:v>264</x:v>
      </x:c>
      <x:c r="B268" s="22" t="str">
        <x:v>普通50-70%不夹带永久成长</x:v>
      </x:c>
      <x:c r="C268" s="22" t="str">
        <x:v>通过</x:v>
      </x:c>
      <x:c r="D268" s="22" t="str">
        <x:v>P0112</x:v>
      </x:c>
    </x:row>
    <x:row r="269" ht="24" customHeight="1">
      <x:c r="A269" s="22" t="n">
        <x:v>265</x:v>
      </x:c>
      <x:c r="B269" s="22" t="str">
        <x:v>普通取得比例</x:v>
      </x:c>
      <x:c r="C269" s="22" t="str">
        <x:v>通过</x:v>
      </x:c>
      <x:c r="D269" s="22" t="str">
        <x:v>P0112</x:v>
      </x:c>
    </x:row>
    <x:row r="270" ht="24" customHeight="1">
      <x:c r="A270" s="22" t="n">
        <x:v>266</x:v>
      </x:c>
      <x:c r="B270" s="22" t="str">
        <x:v>同名命格不重复</x:v>
      </x:c>
      <x:c r="C270" s="22" t="str">
        <x:v>通过</x:v>
      </x:c>
      <x:c r="D270" s="22" t="str">
        <x:v>P0113</x:v>
      </x:c>
    </x:row>
    <x:row r="271" ht="24" customHeight="1">
      <x:c r="A271" s="22" t="n">
        <x:v>267</x:v>
      </x:c>
      <x:c r="B271" s="22" t="str">
        <x:v>人物幸运不超过8</x:v>
      </x:c>
      <x:c r="C271" s="22" t="str">
        <x:v>通过</x:v>
      </x:c>
      <x:c r="D271" s="22" t="str">
        <x:v>P0113</x:v>
      </x:c>
    </x:row>
    <x:row r="272" ht="24" customHeight="1">
      <x:c r="A272" s="22" t="n">
        <x:v>268</x:v>
      </x:c>
      <x:c r="B272" s="22" t="str">
        <x:v>同名命格不重复</x:v>
      </x:c>
      <x:c r="C272" s="22" t="str">
        <x:v>通过</x:v>
      </x:c>
      <x:c r="D272" s="22" t="str">
        <x:v>P0114</x:v>
      </x:c>
    </x:row>
    <x:row r="273" ht="24" customHeight="1">
      <x:c r="A273" s="22" t="n">
        <x:v>269</x:v>
      </x:c>
      <x:c r="B273" s="22" t="str">
        <x:v>人物幸运不超过8</x:v>
      </x:c>
      <x:c r="C273" s="22" t="str">
        <x:v>通过</x:v>
      </x:c>
      <x:c r="D273" s="22" t="str">
        <x:v>P0114</x:v>
      </x:c>
    </x:row>
    <x:row r="274" ht="24" customHeight="1">
      <x:c r="A274" s="22" t="n">
        <x:v>270</x:v>
      </x:c>
      <x:c r="B274" s="22" t="str">
        <x:v>同名命格不重复</x:v>
      </x:c>
      <x:c r="C274" s="22" t="str">
        <x:v>通过</x:v>
      </x:c>
      <x:c r="D274" s="22" t="str">
        <x:v>P0115</x:v>
      </x:c>
    </x:row>
    <x:row r="275" ht="24" customHeight="1">
      <x:c r="A275" s="22" t="n">
        <x:v>271</x:v>
      </x:c>
      <x:c r="B275" s="22" t="str">
        <x:v>人物幸运不超过8</x:v>
      </x:c>
      <x:c r="C275" s="22" t="str">
        <x:v>通过</x:v>
      </x:c>
      <x:c r="D275" s="22" t="str">
        <x:v>P0115</x:v>
      </x:c>
    </x:row>
    <x:row r="276" ht="24" customHeight="1">
      <x:c r="A276" s="22" t="n">
        <x:v>272</x:v>
      </x:c>
      <x:c r="B276" s="22" t="str">
        <x:v>同名命格不重复</x:v>
      </x:c>
      <x:c r="C276" s="22" t="str">
        <x:v>通过</x:v>
      </x:c>
      <x:c r="D276" s="22" t="str">
        <x:v>P0116</x:v>
      </x:c>
    </x:row>
    <x:row r="277" ht="24" customHeight="1">
      <x:c r="A277" s="22" t="n">
        <x:v>273</x:v>
      </x:c>
      <x:c r="B277" s="22" t="str">
        <x:v>人物幸运不超过8</x:v>
      </x:c>
      <x:c r="C277" s="22" t="str">
        <x:v>通过</x:v>
      </x:c>
      <x:c r="D277" s="22" t="str">
        <x:v>P0116</x:v>
      </x:c>
    </x:row>
    <x:row r="278" ht="24" customHeight="1">
      <x:c r="A278" s="22" t="n">
        <x:v>274</x:v>
      </x:c>
      <x:c r="B278" s="22" t="str">
        <x:v>同名命格不重复</x:v>
      </x:c>
      <x:c r="C278" s="22" t="str">
        <x:v>通过</x:v>
      </x:c>
      <x:c r="D278" s="22" t="str">
        <x:v>P0117</x:v>
      </x:c>
    </x:row>
    <x:row r="279" ht="24" customHeight="1">
      <x:c r="A279" s="22" t="n">
        <x:v>275</x:v>
      </x:c>
      <x:c r="B279" s="22" t="str">
        <x:v>人物幸运不超过8</x:v>
      </x:c>
      <x:c r="C279" s="22" t="str">
        <x:v>通过</x:v>
      </x:c>
      <x:c r="D279" s="22" t="str">
        <x:v>P0117</x:v>
      </x:c>
    </x:row>
    <x:row r="280" ht="24" customHeight="1">
      <x:c r="A280" s="22" t="n">
        <x:v>276</x:v>
      </x:c>
      <x:c r="B280" s="22" t="str">
        <x:v>同名命格不重复</x:v>
      </x:c>
      <x:c r="C280" s="22" t="str">
        <x:v>通过</x:v>
      </x:c>
      <x:c r="D280" s="22" t="str">
        <x:v>P0118</x:v>
      </x:c>
    </x:row>
    <x:row r="281" ht="24" customHeight="1">
      <x:c r="A281" s="22" t="n">
        <x:v>277</x:v>
      </x:c>
      <x:c r="B281" s="22" t="str">
        <x:v>人物幸运不超过8</x:v>
      </x:c>
      <x:c r="C281" s="22" t="str">
        <x:v>通过</x:v>
      </x:c>
      <x:c r="D281" s="22" t="str">
        <x:v>P0118</x:v>
      </x:c>
    </x:row>
    <x:row r="282" ht="24" customHeight="1">
      <x:c r="A282" s="22" t="n">
        <x:v>278</x:v>
      </x:c>
      <x:c r="B282" s="22" t="str">
        <x:v>普通50-70%不夹带永久成长</x:v>
      </x:c>
      <x:c r="C282" s="22" t="str">
        <x:v>通过</x:v>
      </x:c>
      <x:c r="D282" s="22" t="str">
        <x:v>P0118</x:v>
      </x:c>
    </x:row>
    <x:row r="283" ht="24" customHeight="1">
      <x:c r="A283" s="22" t="n">
        <x:v>279</x:v>
      </x:c>
      <x:c r="B283" s="22" t="str">
        <x:v>普通取得比例</x:v>
      </x:c>
      <x:c r="C283" s="22" t="str">
        <x:v>通过</x:v>
      </x:c>
      <x:c r="D283" s="22" t="str">
        <x:v>P0118</x:v>
      </x:c>
    </x:row>
    <x:row r="284" ht="24" customHeight="1">
      <x:c r="A284" s="22" t="n">
        <x:v>280</x:v>
      </x:c>
      <x:c r="B284" s="22" t="str">
        <x:v>同名命格不重复</x:v>
      </x:c>
      <x:c r="C284" s="22" t="str">
        <x:v>通过</x:v>
      </x:c>
      <x:c r="D284" s="22" t="str">
        <x:v>P0119</x:v>
      </x:c>
    </x:row>
    <x:row r="285" ht="24" customHeight="1">
      <x:c r="A285" s="22" t="n">
        <x:v>281</x:v>
      </x:c>
      <x:c r="B285" s="22" t="str">
        <x:v>人物幸运不超过8</x:v>
      </x:c>
      <x:c r="C285" s="22" t="str">
        <x:v>通过</x:v>
      </x:c>
      <x:c r="D285" s="22" t="str">
        <x:v>P0119</x:v>
      </x:c>
    </x:row>
    <x:row r="286" ht="24" customHeight="1">
      <x:c r="A286" s="22" t="n">
        <x:v>282</x:v>
      </x:c>
      <x:c r="B286" s="22" t="str">
        <x:v>同名命格不重复</x:v>
      </x:c>
      <x:c r="C286" s="22" t="str">
        <x:v>通过</x:v>
      </x:c>
      <x:c r="D286" s="22" t="str">
        <x:v>P0120</x:v>
      </x:c>
    </x:row>
    <x:row r="287" ht="24" customHeight="1">
      <x:c r="A287" s="22" t="n">
        <x:v>283</x:v>
      </x:c>
      <x:c r="B287" s="22" t="str">
        <x:v>人物幸运不超过8</x:v>
      </x:c>
      <x:c r="C287" s="22" t="str">
        <x:v>通过</x:v>
      </x:c>
      <x:c r="D287" s="22" t="str">
        <x:v>P0120</x:v>
      </x:c>
    </x:row>
    <x:row r="288" ht="24" customHeight="1">
      <x:c r="A288" s="22" t="n">
        <x:v>284</x:v>
      </x:c>
      <x:c r="B288" s="22" t="str">
        <x:v>同名命格不重复</x:v>
      </x:c>
      <x:c r="C288" s="22" t="str">
        <x:v>通过</x:v>
      </x:c>
      <x:c r="D288" s="22" t="str">
        <x:v>P0121</x:v>
      </x:c>
    </x:row>
    <x:row r="289" ht="24" customHeight="1">
      <x:c r="A289" s="22" t="n">
        <x:v>285</x:v>
      </x:c>
      <x:c r="B289" s="22" t="str">
        <x:v>人物幸运不超过8</x:v>
      </x:c>
      <x:c r="C289" s="22" t="str">
        <x:v>通过</x:v>
      </x:c>
      <x:c r="D289" s="22" t="str">
        <x:v>P0121</x:v>
      </x:c>
    </x:row>
    <x:row r="290" ht="24" customHeight="1">
      <x:c r="A290" s="22" t="n">
        <x:v>286</x:v>
      </x:c>
      <x:c r="B290" s="22" t="str">
        <x:v>同名命格不重复</x:v>
      </x:c>
      <x:c r="C290" s="22" t="str">
        <x:v>通过</x:v>
      </x:c>
      <x:c r="D290" s="22" t="str">
        <x:v>P0122</x:v>
      </x:c>
    </x:row>
    <x:row r="291" ht="24" customHeight="1">
      <x:c r="A291" s="22" t="n">
        <x:v>287</x:v>
      </x:c>
      <x:c r="B291" s="22" t="str">
        <x:v>人物幸运不超过8</x:v>
      </x:c>
      <x:c r="C291" s="22" t="str">
        <x:v>通过</x:v>
      </x:c>
      <x:c r="D291" s="22" t="str">
        <x:v>P0122</x:v>
      </x:c>
    </x:row>
    <x:row r="292" ht="24" customHeight="1">
      <x:c r="A292" s="22" t="n">
        <x:v>288</x:v>
      </x:c>
      <x:c r="B292" s="22" t="str">
        <x:v>同名命格不重复</x:v>
      </x:c>
      <x:c r="C292" s="22" t="str">
        <x:v>通过</x:v>
      </x:c>
      <x:c r="D292" s="22" t="str">
        <x:v>P0123</x:v>
      </x:c>
    </x:row>
    <x:row r="293" ht="24" customHeight="1">
      <x:c r="A293" s="22" t="n">
        <x:v>289</x:v>
      </x:c>
      <x:c r="B293" s="22" t="str">
        <x:v>人物幸运不超过8</x:v>
      </x:c>
      <x:c r="C293" s="22" t="str">
        <x:v>通过</x:v>
      </x:c>
      <x:c r="D293" s="22" t="str">
        <x:v>P0123</x:v>
      </x:c>
    </x:row>
    <x:row r="294" ht="24" customHeight="1">
      <x:c r="A294" s="22" t="n">
        <x:v>290</x:v>
      </x:c>
      <x:c r="B294" s="22" t="str">
        <x:v>同名命格不重复</x:v>
      </x:c>
      <x:c r="C294" s="22" t="str">
        <x:v>通过</x:v>
      </x:c>
      <x:c r="D294" s="22" t="str">
        <x:v>P0124</x:v>
      </x:c>
    </x:row>
    <x:row r="295" ht="24" customHeight="1">
      <x:c r="A295" s="22" t="n">
        <x:v>291</x:v>
      </x:c>
      <x:c r="B295" s="22" t="str">
        <x:v>人物幸运不超过8</x:v>
      </x:c>
      <x:c r="C295" s="22" t="str">
        <x:v>通过</x:v>
      </x:c>
      <x:c r="D295" s="22" t="str">
        <x:v>P0124</x:v>
      </x:c>
    </x:row>
    <x:row r="296" ht="24" customHeight="1">
      <x:c r="A296" s="22" t="n">
        <x:v>292</x:v>
      </x:c>
      <x:c r="B296" s="22" t="str">
        <x:v>普通50-70%不夹带永久成长</x:v>
      </x:c>
      <x:c r="C296" s="22" t="str">
        <x:v>通过</x:v>
      </x:c>
      <x:c r="D296" s="22" t="str">
        <x:v>P0124</x:v>
      </x:c>
    </x:row>
    <x:row r="297" ht="24" customHeight="1">
      <x:c r="A297" s="22" t="n">
        <x:v>293</x:v>
      </x:c>
      <x:c r="B297" s="22" t="str">
        <x:v>普通取得比例</x:v>
      </x:c>
      <x:c r="C297" s="22" t="str">
        <x:v>通过</x:v>
      </x:c>
      <x:c r="D297" s="22" t="str">
        <x:v>P0124</x:v>
      </x:c>
    </x:row>
    <x:row r="298" ht="24" customHeight="1">
      <x:c r="A298" s="22" t="n">
        <x:v>294</x:v>
      </x:c>
      <x:c r="B298" s="22" t="str">
        <x:v>同名命格不重复</x:v>
      </x:c>
      <x:c r="C298" s="22" t="str">
        <x:v>通过</x:v>
      </x:c>
      <x:c r="D298" s="22" t="str">
        <x:v>P0125</x:v>
      </x:c>
    </x:row>
    <x:row r="299" ht="24" customHeight="1">
      <x:c r="A299" s="22" t="n">
        <x:v>295</x:v>
      </x:c>
      <x:c r="B299" s="22" t="str">
        <x:v>人物幸运不超过8</x:v>
      </x:c>
      <x:c r="C299" s="22" t="str">
        <x:v>通过</x:v>
      </x:c>
      <x:c r="D299" s="22" t="str">
        <x:v>P0125</x:v>
      </x:c>
    </x:row>
    <x:row r="300" ht="24" customHeight="1">
      <x:c r="A300" s="22" t="n">
        <x:v>296</x:v>
      </x:c>
      <x:c r="B300" s="22" t="str">
        <x:v>同名命格不重复</x:v>
      </x:c>
      <x:c r="C300" s="22" t="str">
        <x:v>通过</x:v>
      </x:c>
      <x:c r="D300" s="22" t="str">
        <x:v>P0126</x:v>
      </x:c>
    </x:row>
    <x:row r="301" ht="24" customHeight="1">
      <x:c r="A301" s="22" t="n">
        <x:v>297</x:v>
      </x:c>
      <x:c r="B301" s="22" t="str">
        <x:v>人物幸运不超过8</x:v>
      </x:c>
      <x:c r="C301" s="22" t="str">
        <x:v>通过</x:v>
      </x:c>
      <x:c r="D301" s="22" t="str">
        <x:v>P0126</x:v>
      </x:c>
    </x:row>
    <x:row r="302" ht="24" customHeight="1">
      <x:c r="A302" s="22" t="n">
        <x:v>298</x:v>
      </x:c>
      <x:c r="B302" s="22" t="str">
        <x:v>同名命格不重复</x:v>
      </x:c>
      <x:c r="C302" s="22" t="str">
        <x:v>通过</x:v>
      </x:c>
      <x:c r="D302" s="22" t="str">
        <x:v>P0127</x:v>
      </x:c>
    </x:row>
    <x:row r="303" ht="24" customHeight="1">
      <x:c r="A303" s="22" t="n">
        <x:v>299</x:v>
      </x:c>
      <x:c r="B303" s="22" t="str">
        <x:v>人物幸运不超过8</x:v>
      </x:c>
      <x:c r="C303" s="22" t="str">
        <x:v>通过</x:v>
      </x:c>
      <x:c r="D303" s="22" t="str">
        <x:v>P0127</x:v>
      </x:c>
    </x:row>
    <x:row r="304" ht="24" customHeight="1">
      <x:c r="A304" s="22" t="n">
        <x:v>300</x:v>
      </x:c>
      <x:c r="B304" s="22" t="str">
        <x:v>同名命格不重复</x:v>
      </x:c>
      <x:c r="C304" s="22" t="str">
        <x:v>通过</x:v>
      </x:c>
      <x:c r="D304" s="22" t="str">
        <x:v>P0128</x:v>
      </x:c>
    </x:row>
    <x:row r="305" ht="24" customHeight="1">
      <x:c r="A305" s="22" t="n">
        <x:v>301</x:v>
      </x:c>
      <x:c r="B305" s="22" t="str">
        <x:v>人物幸运不超过8</x:v>
      </x:c>
      <x:c r="C305" s="22" t="str">
        <x:v>通过</x:v>
      </x:c>
      <x:c r="D305" s="22" t="str">
        <x:v>P0128</x:v>
      </x:c>
    </x:row>
    <x:row r="306" ht="24" customHeight="1">
      <x:c r="A306" s="22" t="n">
        <x:v>302</x:v>
      </x:c>
      <x:c r="B306" s="22" t="str">
        <x:v>同名命格不重复</x:v>
      </x:c>
      <x:c r="C306" s="22" t="str">
        <x:v>通过</x:v>
      </x:c>
      <x:c r="D306" s="22" t="str">
        <x:v>P0129</x:v>
      </x:c>
    </x:row>
    <x:row r="307" ht="24" customHeight="1">
      <x:c r="A307" s="22" t="n">
        <x:v>303</x:v>
      </x:c>
      <x:c r="B307" s="22" t="str">
        <x:v>人物幸运不超过8</x:v>
      </x:c>
      <x:c r="C307" s="22" t="str">
        <x:v>通过</x:v>
      </x:c>
      <x:c r="D307" s="22" t="str">
        <x:v>P0129</x:v>
      </x:c>
    </x:row>
    <x:row r="308" ht="24" customHeight="1">
      <x:c r="A308" s="22" t="n">
        <x:v>304</x:v>
      </x:c>
      <x:c r="B308" s="22" t="str">
        <x:v>同名命格不重复</x:v>
      </x:c>
      <x:c r="C308" s="22" t="str">
        <x:v>通过</x:v>
      </x:c>
      <x:c r="D308" s="22" t="str">
        <x:v>P0130</x:v>
      </x:c>
    </x:row>
    <x:row r="309" ht="24" customHeight="1">
      <x:c r="A309" s="22" t="n">
        <x:v>305</x:v>
      </x:c>
      <x:c r="B309" s="22" t="str">
        <x:v>人物幸运不超过8</x:v>
      </x:c>
      <x:c r="C309" s="22" t="str">
        <x:v>通过</x:v>
      </x:c>
      <x:c r="D309" s="22" t="str">
        <x:v>P0130</x:v>
      </x:c>
    </x:row>
    <x:row r="310" ht="24" customHeight="1">
      <x:c r="A310" s="22" t="n">
        <x:v>306</x:v>
      </x:c>
      <x:c r="B310" s="22" t="str">
        <x:v>普通50-70%不夹带永久成长</x:v>
      </x:c>
      <x:c r="C310" s="22" t="str">
        <x:v>通过</x:v>
      </x:c>
      <x:c r="D310" s="22" t="str">
        <x:v>P0130</x:v>
      </x:c>
    </x:row>
    <x:row r="311" ht="24" customHeight="1">
      <x:c r="A311" s="22" t="n">
        <x:v>307</x:v>
      </x:c>
      <x:c r="B311" s="22" t="str">
        <x:v>普通取得比例</x:v>
      </x:c>
      <x:c r="C311" s="22" t="str">
        <x:v>通过</x:v>
      </x:c>
      <x:c r="D311" s="22" t="str">
        <x:v>P0130</x:v>
      </x:c>
    </x:row>
    <x:row r="312" ht="24" customHeight="1">
      <x:c r="A312" s="22" t="n">
        <x:v>308</x:v>
      </x:c>
      <x:c r="B312" s="22" t="str">
        <x:v>同名命格不重复</x:v>
      </x:c>
      <x:c r="C312" s="22" t="str">
        <x:v>通过</x:v>
      </x:c>
      <x:c r="D312" s="22" t="str">
        <x:v>P0131</x:v>
      </x:c>
    </x:row>
    <x:row r="313" ht="24" customHeight="1">
      <x:c r="A313" s="22" t="n">
        <x:v>309</x:v>
      </x:c>
      <x:c r="B313" s="22" t="str">
        <x:v>人物幸运不超过8</x:v>
      </x:c>
      <x:c r="C313" s="22" t="str">
        <x:v>通过</x:v>
      </x:c>
      <x:c r="D313" s="22" t="str">
        <x:v>P0131</x:v>
      </x:c>
    </x:row>
    <x:row r="314" ht="24" customHeight="1">
      <x:c r="A314" s="22" t="n">
        <x:v>310</x:v>
      </x:c>
      <x:c r="B314" s="22" t="str">
        <x:v>同名命格不重复</x:v>
      </x:c>
      <x:c r="C314" s="22" t="str">
        <x:v>通过</x:v>
      </x:c>
      <x:c r="D314" s="22" t="str">
        <x:v>P0132</x:v>
      </x:c>
    </x:row>
    <x:row r="315" ht="24" customHeight="1">
      <x:c r="A315" s="22" t="n">
        <x:v>311</x:v>
      </x:c>
      <x:c r="B315" s="22" t="str">
        <x:v>人物幸运不超过8</x:v>
      </x:c>
      <x:c r="C315" s="22" t="str">
        <x:v>通过</x:v>
      </x:c>
      <x:c r="D315" s="22" t="str">
        <x:v>P0132</x:v>
      </x:c>
    </x:row>
    <x:row r="316" ht="24" customHeight="1">
      <x:c r="A316" s="22" t="n">
        <x:v>312</x:v>
      </x:c>
      <x:c r="B316" s="22" t="str">
        <x:v>同名命格不重复</x:v>
      </x:c>
      <x:c r="C316" s="22" t="str">
        <x:v>通过</x:v>
      </x:c>
      <x:c r="D316" s="22" t="str">
        <x:v>P0133</x:v>
      </x:c>
    </x:row>
    <x:row r="317" ht="24" customHeight="1">
      <x:c r="A317" s="22" t="n">
        <x:v>313</x:v>
      </x:c>
      <x:c r="B317" s="22" t="str">
        <x:v>人物幸运不超过8</x:v>
      </x:c>
      <x:c r="C317" s="22" t="str">
        <x:v>通过</x:v>
      </x:c>
      <x:c r="D317" s="22" t="str">
        <x:v>P0133</x:v>
      </x:c>
    </x:row>
    <x:row r="318" ht="24" customHeight="1">
      <x:c r="A318" s="22" t="n">
        <x:v>314</x:v>
      </x:c>
      <x:c r="B318" s="22" t="str">
        <x:v>同名命格不重复</x:v>
      </x:c>
      <x:c r="C318" s="22" t="str">
        <x:v>通过</x:v>
      </x:c>
      <x:c r="D318" s="22" t="str">
        <x:v>P0134</x:v>
      </x:c>
    </x:row>
    <x:row r="319" ht="24" customHeight="1">
      <x:c r="A319" s="22" t="n">
        <x:v>315</x:v>
      </x:c>
      <x:c r="B319" s="22" t="str">
        <x:v>人物幸运不超过8</x:v>
      </x:c>
      <x:c r="C319" s="22" t="str">
        <x:v>通过</x:v>
      </x:c>
      <x:c r="D319" s="22" t="str">
        <x:v>P0134</x:v>
      </x:c>
    </x:row>
    <x:row r="320" ht="24" customHeight="1">
      <x:c r="A320" s="22" t="n">
        <x:v>316</x:v>
      </x:c>
      <x:c r="B320" s="22" t="str">
        <x:v>同名命格不重复</x:v>
      </x:c>
      <x:c r="C320" s="22" t="str">
        <x:v>通过</x:v>
      </x:c>
      <x:c r="D320" s="22" t="str">
        <x:v>P0135</x:v>
      </x:c>
    </x:row>
    <x:row r="321" ht="24" customHeight="1">
      <x:c r="A321" s="22" t="n">
        <x:v>317</x:v>
      </x:c>
      <x:c r="B321" s="22" t="str">
        <x:v>人物幸运不超过8</x:v>
      </x:c>
      <x:c r="C321" s="22" t="str">
        <x:v>通过</x:v>
      </x:c>
      <x:c r="D321" s="22" t="str">
        <x:v>P0135</x:v>
      </x:c>
    </x:row>
    <x:row r="322" ht="24" customHeight="1">
      <x:c r="A322" s="22" t="n">
        <x:v>318</x:v>
      </x:c>
      <x:c r="B322" s="22" t="str">
        <x:v>同名命格不重复</x:v>
      </x:c>
      <x:c r="C322" s="22" t="str">
        <x:v>通过</x:v>
      </x:c>
      <x:c r="D322" s="22" t="str">
        <x:v>P0136</x:v>
      </x:c>
    </x:row>
    <x:row r="323" ht="24" customHeight="1">
      <x:c r="A323" s="22" t="n">
        <x:v>319</x:v>
      </x:c>
      <x:c r="B323" s="22" t="str">
        <x:v>人物幸运不超过8</x:v>
      </x:c>
      <x:c r="C323" s="22" t="str">
        <x:v>通过</x:v>
      </x:c>
      <x:c r="D323" s="22" t="str">
        <x:v>P0136</x:v>
      </x:c>
    </x:row>
    <x:row r="324" ht="24" customHeight="1">
      <x:c r="A324" s="22" t="n">
        <x:v>320</x:v>
      </x:c>
      <x:c r="B324" s="22" t="str">
        <x:v>普通50-70%不夹带永久成长</x:v>
      </x:c>
      <x:c r="C324" s="22" t="str">
        <x:v>通过</x:v>
      </x:c>
      <x:c r="D324" s="22" t="str">
        <x:v>P0136</x:v>
      </x:c>
    </x:row>
    <x:row r="325" ht="24" customHeight="1">
      <x:c r="A325" s="22" t="n">
        <x:v>321</x:v>
      </x:c>
      <x:c r="B325" s="22" t="str">
        <x:v>普通取得比例</x:v>
      </x:c>
      <x:c r="C325" s="22" t="str">
        <x:v>通过</x:v>
      </x:c>
      <x:c r="D325" s="22" t="str">
        <x:v>P0136</x:v>
      </x:c>
    </x:row>
    <x:row r="326" ht="24" customHeight="1">
      <x:c r="A326" s="22" t="n">
        <x:v>322</x:v>
      </x:c>
      <x:c r="B326" s="22" t="str">
        <x:v>同名命格不重复</x:v>
      </x:c>
      <x:c r="C326" s="22" t="str">
        <x:v>通过</x:v>
      </x:c>
      <x:c r="D326" s="22" t="str">
        <x:v>P0137</x:v>
      </x:c>
    </x:row>
    <x:row r="327" ht="24" customHeight="1">
      <x:c r="A327" s="22" t="n">
        <x:v>323</x:v>
      </x:c>
      <x:c r="B327" s="22" t="str">
        <x:v>人物幸运不超过8</x:v>
      </x:c>
      <x:c r="C327" s="22" t="str">
        <x:v>通过</x:v>
      </x:c>
      <x:c r="D327" s="22" t="str">
        <x:v>P0137</x:v>
      </x:c>
    </x:row>
    <x:row r="328" ht="24" customHeight="1">
      <x:c r="A328" s="22" t="n">
        <x:v>324</x:v>
      </x:c>
      <x:c r="B328" s="22" t="str">
        <x:v>同名命格不重复</x:v>
      </x:c>
      <x:c r="C328" s="22" t="str">
        <x:v>通过</x:v>
      </x:c>
      <x:c r="D328" s="22" t="str">
        <x:v>P0138</x:v>
      </x:c>
    </x:row>
    <x:row r="329" ht="24" customHeight="1">
      <x:c r="A329" s="22" t="n">
        <x:v>325</x:v>
      </x:c>
      <x:c r="B329" s="22" t="str">
        <x:v>人物幸运不超过8</x:v>
      </x:c>
      <x:c r="C329" s="22" t="str">
        <x:v>通过</x:v>
      </x:c>
      <x:c r="D329" s="22" t="str">
        <x:v>P0138</x:v>
      </x:c>
    </x:row>
    <x:row r="330" ht="24" customHeight="1">
      <x:c r="A330" s="22" t="n">
        <x:v>326</x:v>
      </x:c>
      <x:c r="B330" s="22" t="str">
        <x:v>同名命格不重复</x:v>
      </x:c>
      <x:c r="C330" s="22" t="str">
        <x:v>通过</x:v>
      </x:c>
      <x:c r="D330" s="22" t="str">
        <x:v>P0139</x:v>
      </x:c>
    </x:row>
    <x:row r="331" ht="24" customHeight="1">
      <x:c r="A331" s="22" t="n">
        <x:v>327</x:v>
      </x:c>
      <x:c r="B331" s="22" t="str">
        <x:v>人物幸运不超过8</x:v>
      </x:c>
      <x:c r="C331" s="22" t="str">
        <x:v>通过</x:v>
      </x:c>
      <x:c r="D331" s="22" t="str">
        <x:v>P0139</x:v>
      </x:c>
    </x:row>
    <x:row r="332" ht="24" customHeight="1">
      <x:c r="A332" s="22" t="n">
        <x:v>328</x:v>
      </x:c>
      <x:c r="B332" s="22" t="str">
        <x:v>同名命格不重复</x:v>
      </x:c>
      <x:c r="C332" s="22" t="str">
        <x:v>通过</x:v>
      </x:c>
      <x:c r="D332" s="22" t="str">
        <x:v>P0140</x:v>
      </x:c>
    </x:row>
    <x:row r="333" ht="24" customHeight="1">
      <x:c r="A333" s="22" t="n">
        <x:v>329</x:v>
      </x:c>
      <x:c r="B333" s="22" t="str">
        <x:v>人物幸运不超过8</x:v>
      </x:c>
      <x:c r="C333" s="22" t="str">
        <x:v>通过</x:v>
      </x:c>
      <x:c r="D333" s="22" t="str">
        <x:v>P0140</x:v>
      </x:c>
    </x:row>
    <x:row r="334" ht="24" customHeight="1">
      <x:c r="A334" s="22" t="n">
        <x:v>330</x:v>
      </x:c>
      <x:c r="B334" s="22" t="str">
        <x:v>同名命格不重复</x:v>
      </x:c>
      <x:c r="C334" s="22" t="str">
        <x:v>通过</x:v>
      </x:c>
      <x:c r="D334" s="22" t="str">
        <x:v>P0141</x:v>
      </x:c>
    </x:row>
    <x:row r="335" ht="24" customHeight="1">
      <x:c r="A335" s="22" t="n">
        <x:v>331</x:v>
      </x:c>
      <x:c r="B335" s="22" t="str">
        <x:v>人物幸运不超过8</x:v>
      </x:c>
      <x:c r="C335" s="22" t="str">
        <x:v>通过</x:v>
      </x:c>
      <x:c r="D335" s="22" t="str">
        <x:v>P0141</x:v>
      </x:c>
    </x:row>
    <x:row r="336" ht="24" customHeight="1">
      <x:c r="A336" s="22" t="n">
        <x:v>332</x:v>
      </x:c>
      <x:c r="B336" s="22" t="str">
        <x:v>同名命格不重复</x:v>
      </x:c>
      <x:c r="C336" s="22" t="str">
        <x:v>通过</x:v>
      </x:c>
      <x:c r="D336" s="22" t="str">
        <x:v>P0142</x:v>
      </x:c>
    </x:row>
    <x:row r="337" ht="24" customHeight="1">
      <x:c r="A337" s="22" t="n">
        <x:v>333</x:v>
      </x:c>
      <x:c r="B337" s="22" t="str">
        <x:v>人物幸运不超过8</x:v>
      </x:c>
      <x:c r="C337" s="22" t="str">
        <x:v>通过</x:v>
      </x:c>
      <x:c r="D337" s="22" t="str">
        <x:v>P0142</x:v>
      </x:c>
    </x:row>
    <x:row r="338" ht="24" customHeight="1">
      <x:c r="A338" s="22" t="n">
        <x:v>334</x:v>
      </x:c>
      <x:c r="B338" s="22" t="str">
        <x:v>同名命格不重复</x:v>
      </x:c>
      <x:c r="C338" s="22" t="str">
        <x:v>通过</x:v>
      </x:c>
      <x:c r="D338" s="22" t="str">
        <x:v>P0143</x:v>
      </x:c>
    </x:row>
    <x:row r="339" ht="24" customHeight="1">
      <x:c r="A339" s="22" t="n">
        <x:v>335</x:v>
      </x:c>
      <x:c r="B339" s="22" t="str">
        <x:v>人物幸运不超过8</x:v>
      </x:c>
      <x:c r="C339" s="22" t="str">
        <x:v>通过</x:v>
      </x:c>
      <x:c r="D339" s="22" t="str">
        <x:v>P0143</x:v>
      </x:c>
    </x:row>
    <x:row r="340" ht="24" customHeight="1">
      <x:c r="A340" s="22" t="n">
        <x:v>336</x:v>
      </x:c>
      <x:c r="B340" s="22" t="str">
        <x:v>守关前必做合成齐全</x:v>
      </x:c>
      <x:c r="C340" s="22" t="str">
        <x:v>通过</x:v>
      </x:c>
      <x:c r="D340" s="22" t="str">
        <x:v>4</x:v>
      </x:c>
    </x:row>
    <x:row r="341" ht="24" customHeight="1">
      <x:c r="A341" s="22" t="n">
        <x:v>337</x:v>
      </x:c>
      <x:c r="B341" s="22" t="str">
        <x:v>首次挑战未取得本守关装备</x:v>
      </x:c>
      <x:c r="C341" s="22" t="str">
        <x:v>通过</x:v>
      </x:c>
      <x:c r="D341" s="22" t="str">
        <x:v>闭潮王·莱弥恩</x:v>
      </x:c>
    </x:row>
    <x:row r="342" ht="24" customHeight="1">
      <x:c r="A342" s="22" t="n">
        <x:v>338</x:v>
      </x:c>
      <x:c r="B342" s="22" t="str">
        <x:v>同名命格不重复</x:v>
      </x:c>
      <x:c r="C342" s="22" t="str">
        <x:v>通过</x:v>
      </x:c>
      <x:c r="D342" s="22" t="str">
        <x:v>P0144</x:v>
      </x:c>
    </x:row>
    <x:row r="343" ht="24" customHeight="1">
      <x:c r="A343" s="22" t="n">
        <x:v>339</x:v>
      </x:c>
      <x:c r="B343" s="22" t="str">
        <x:v>人物幸运不超过8</x:v>
      </x:c>
      <x:c r="C343" s="22" t="str">
        <x:v>通过</x:v>
      </x:c>
      <x:c r="D343" s="22" t="str">
        <x:v>P0144</x:v>
      </x:c>
    </x:row>
    <x:row r="344" ht="24" customHeight="1">
      <x:c r="A344" s="22" t="n">
        <x:v>340</x:v>
      </x:c>
      <x:c r="B344" s="22" t="str">
        <x:v>同名命格不重复</x:v>
      </x:c>
      <x:c r="C344" s="22" t="str">
        <x:v>通过</x:v>
      </x:c>
      <x:c r="D344" s="22" t="str">
        <x:v>P0145</x:v>
      </x:c>
    </x:row>
    <x:row r="345" ht="24" customHeight="1">
      <x:c r="A345" s="22" t="n">
        <x:v>341</x:v>
      </x:c>
      <x:c r="B345" s="22" t="str">
        <x:v>人物幸运不超过8</x:v>
      </x:c>
      <x:c r="C345" s="22" t="str">
        <x:v>通过</x:v>
      </x:c>
      <x:c r="D345" s="22" t="str">
        <x:v>P0145</x:v>
      </x:c>
    </x:row>
    <x:row r="346" ht="24" customHeight="1">
      <x:c r="A346" s="22" t="n">
        <x:v>342</x:v>
      </x:c>
      <x:c r="B346" s="22" t="str">
        <x:v>跨大陆永久与穿戴继承</x:v>
      </x:c>
      <x:c r="C346" s="22" t="str">
        <x:v>通过</x:v>
      </x:c>
      <x:c r="D346" s="22" t="str">
        <x:v>5</x:v>
      </x:c>
    </x:row>
    <x:row r="347" ht="24" customHeight="1">
      <x:c r="A347" s="22" t="n">
        <x:v>343</x:v>
      </x:c>
      <x:c r="B347" s="22" t="str">
        <x:v>同名命格不重复</x:v>
      </x:c>
      <x:c r="C347" s="22" t="str">
        <x:v>通过</x:v>
      </x:c>
      <x:c r="D347" s="22" t="str">
        <x:v>P0146</x:v>
      </x:c>
    </x:row>
    <x:row r="348" ht="24" customHeight="1">
      <x:c r="A348" s="22" t="n">
        <x:v>344</x:v>
      </x:c>
      <x:c r="B348" s="22" t="str">
        <x:v>人物幸运不超过8</x:v>
      </x:c>
      <x:c r="C348" s="22" t="str">
        <x:v>通过</x:v>
      </x:c>
      <x:c r="D348" s="22" t="str">
        <x:v>P0146</x:v>
      </x:c>
    </x:row>
    <x:row r="349" ht="24" customHeight="1">
      <x:c r="A349" s="22" t="n">
        <x:v>345</x:v>
      </x:c>
      <x:c r="B349" s="22" t="str">
        <x:v>同名命格不重复</x:v>
      </x:c>
      <x:c r="C349" s="22" t="str">
        <x:v>通过</x:v>
      </x:c>
      <x:c r="D349" s="22" t="str">
        <x:v>P0147</x:v>
      </x:c>
    </x:row>
    <x:row r="350" ht="24" customHeight="1">
      <x:c r="A350" s="22" t="n">
        <x:v>346</x:v>
      </x:c>
      <x:c r="B350" s="22" t="str">
        <x:v>人物幸运不超过8</x:v>
      </x:c>
      <x:c r="C350" s="22" t="str">
        <x:v>通过</x:v>
      </x:c>
      <x:c r="D350" s="22" t="str">
        <x:v>P0147</x:v>
      </x:c>
    </x:row>
    <x:row r="351" ht="24" customHeight="1">
      <x:c r="A351" s="22" t="n">
        <x:v>347</x:v>
      </x:c>
      <x:c r="B351" s="22" t="str">
        <x:v>同名命格不重复</x:v>
      </x:c>
      <x:c r="C351" s="22" t="str">
        <x:v>通过</x:v>
      </x:c>
      <x:c r="D351" s="22" t="str">
        <x:v>P0148</x:v>
      </x:c>
    </x:row>
    <x:row r="352" ht="24" customHeight="1">
      <x:c r="A352" s="22" t="n">
        <x:v>348</x:v>
      </x:c>
      <x:c r="B352" s="22" t="str">
        <x:v>人物幸运不超过8</x:v>
      </x:c>
      <x:c r="C352" s="22" t="str">
        <x:v>通过</x:v>
      </x:c>
      <x:c r="D352" s="22" t="str">
        <x:v>P0148</x:v>
      </x:c>
    </x:row>
    <x:row r="353" ht="24" customHeight="1">
      <x:c r="A353" s="22" t="n">
        <x:v>349</x:v>
      </x:c>
      <x:c r="B353" s="22" t="str">
        <x:v>普通50-70%不夹带永久成长</x:v>
      </x:c>
      <x:c r="C353" s="22" t="str">
        <x:v>通过</x:v>
      </x:c>
      <x:c r="D353" s="22" t="str">
        <x:v>P0148</x:v>
      </x:c>
    </x:row>
    <x:row r="354" ht="24" customHeight="1">
      <x:c r="A354" s="22" t="n">
        <x:v>350</x:v>
      </x:c>
      <x:c r="B354" s="22" t="str">
        <x:v>普通取得比例</x:v>
      </x:c>
      <x:c r="C354" s="22" t="str">
        <x:v>通过</x:v>
      </x:c>
      <x:c r="D354" s="22" t="str">
        <x:v>P0148</x:v>
      </x:c>
    </x:row>
    <x:row r="355" ht="24" customHeight="1">
      <x:c r="A355" s="22" t="n">
        <x:v>351</x:v>
      </x:c>
      <x:c r="B355" s="22" t="str">
        <x:v>同名命格不重复</x:v>
      </x:c>
      <x:c r="C355" s="22" t="str">
        <x:v>通过</x:v>
      </x:c>
      <x:c r="D355" s="22" t="str">
        <x:v>P0149</x:v>
      </x:c>
    </x:row>
    <x:row r="356" ht="24" customHeight="1">
      <x:c r="A356" s="22" t="n">
        <x:v>352</x:v>
      </x:c>
      <x:c r="B356" s="22" t="str">
        <x:v>人物幸运不超过8</x:v>
      </x:c>
      <x:c r="C356" s="22" t="str">
        <x:v>通过</x:v>
      </x:c>
      <x:c r="D356" s="22" t="str">
        <x:v>P0149</x:v>
      </x:c>
    </x:row>
    <x:row r="357" ht="24" customHeight="1">
      <x:c r="A357" s="22" t="n">
        <x:v>353</x:v>
      </x:c>
      <x:c r="B357" s="22" t="str">
        <x:v>同名命格不重复</x:v>
      </x:c>
      <x:c r="C357" s="22" t="str">
        <x:v>通过</x:v>
      </x:c>
      <x:c r="D357" s="22" t="str">
        <x:v>P0150</x:v>
      </x:c>
    </x:row>
    <x:row r="358" ht="24" customHeight="1">
      <x:c r="A358" s="22" t="n">
        <x:v>354</x:v>
      </x:c>
      <x:c r="B358" s="22" t="str">
        <x:v>人物幸运不超过8</x:v>
      </x:c>
      <x:c r="C358" s="22" t="str">
        <x:v>通过</x:v>
      </x:c>
      <x:c r="D358" s="22" t="str">
        <x:v>P0150</x:v>
      </x:c>
    </x:row>
    <x:row r="359" ht="24" customHeight="1">
      <x:c r="A359" s="22" t="n">
        <x:v>355</x:v>
      </x:c>
      <x:c r="B359" s="22" t="str">
        <x:v>同名命格不重复</x:v>
      </x:c>
      <x:c r="C359" s="22" t="str">
        <x:v>通过</x:v>
      </x:c>
      <x:c r="D359" s="22" t="str">
        <x:v>P0151</x:v>
      </x:c>
    </x:row>
    <x:row r="360" ht="24" customHeight="1">
      <x:c r="A360" s="22" t="n">
        <x:v>356</x:v>
      </x:c>
      <x:c r="B360" s="22" t="str">
        <x:v>人物幸运不超过8</x:v>
      </x:c>
      <x:c r="C360" s="22" t="str">
        <x:v>通过</x:v>
      </x:c>
      <x:c r="D360" s="22" t="str">
        <x:v>P0151</x:v>
      </x:c>
    </x:row>
    <x:row r="361" ht="24" customHeight="1">
      <x:c r="A361" s="22" t="n">
        <x:v>357</x:v>
      </x:c>
      <x:c r="B361" s="22" t="str">
        <x:v>同名命格不重复</x:v>
      </x:c>
      <x:c r="C361" s="22" t="str">
        <x:v>通过</x:v>
      </x:c>
      <x:c r="D361" s="22" t="str">
        <x:v>P0152</x:v>
      </x:c>
    </x:row>
    <x:row r="362" ht="24" customHeight="1">
      <x:c r="A362" s="22" t="n">
        <x:v>358</x:v>
      </x:c>
      <x:c r="B362" s="22" t="str">
        <x:v>人物幸运不超过8</x:v>
      </x:c>
      <x:c r="C362" s="22" t="str">
        <x:v>通过</x:v>
      </x:c>
      <x:c r="D362" s="22" t="str">
        <x:v>P0152</x:v>
      </x:c>
    </x:row>
    <x:row r="363" ht="24" customHeight="1">
      <x:c r="A363" s="22" t="n">
        <x:v>359</x:v>
      </x:c>
      <x:c r="B363" s="22" t="str">
        <x:v>同名命格不重复</x:v>
      </x:c>
      <x:c r="C363" s="22" t="str">
        <x:v>通过</x:v>
      </x:c>
      <x:c r="D363" s="22" t="str">
        <x:v>P0153</x:v>
      </x:c>
    </x:row>
    <x:row r="364" ht="24" customHeight="1">
      <x:c r="A364" s="22" t="n">
        <x:v>360</x:v>
      </x:c>
      <x:c r="B364" s="22" t="str">
        <x:v>人物幸运不超过8</x:v>
      </x:c>
      <x:c r="C364" s="22" t="str">
        <x:v>通过</x:v>
      </x:c>
      <x:c r="D364" s="22" t="str">
        <x:v>P0153</x:v>
      </x:c>
    </x:row>
    <x:row r="365" ht="24" customHeight="1">
      <x:c r="A365" s="22" t="n">
        <x:v>361</x:v>
      </x:c>
      <x:c r="B365" s="22" t="str">
        <x:v>同名命格不重复</x:v>
      </x:c>
      <x:c r="C365" s="22" t="str">
        <x:v>通过</x:v>
      </x:c>
      <x:c r="D365" s="22" t="str">
        <x:v>P0154</x:v>
      </x:c>
    </x:row>
    <x:row r="366" ht="24" customHeight="1">
      <x:c r="A366" s="22" t="n">
        <x:v>362</x:v>
      </x:c>
      <x:c r="B366" s="22" t="str">
        <x:v>人物幸运不超过8</x:v>
      </x:c>
      <x:c r="C366" s="22" t="str">
        <x:v>通过</x:v>
      </x:c>
      <x:c r="D366" s="22" t="str">
        <x:v>P0154</x:v>
      </x:c>
    </x:row>
    <x:row r="367" ht="24" customHeight="1">
      <x:c r="A367" s="22" t="n">
        <x:v>363</x:v>
      </x:c>
      <x:c r="B367" s="22" t="str">
        <x:v>普通50-70%不夹带永久成长</x:v>
      </x:c>
      <x:c r="C367" s="22" t="str">
        <x:v>通过</x:v>
      </x:c>
      <x:c r="D367" s="22" t="str">
        <x:v>P0154</x:v>
      </x:c>
    </x:row>
    <x:row r="368" ht="24" customHeight="1">
      <x:c r="A368" s="22" t="n">
        <x:v>364</x:v>
      </x:c>
      <x:c r="B368" s="22" t="str">
        <x:v>普通取得比例</x:v>
      </x:c>
      <x:c r="C368" s="22" t="str">
        <x:v>通过</x:v>
      </x:c>
      <x:c r="D368" s="22" t="str">
        <x:v>P0154</x:v>
      </x:c>
    </x:row>
    <x:row r="369" ht="24" customHeight="1">
      <x:c r="A369" s="22" t="n">
        <x:v>365</x:v>
      </x:c>
      <x:c r="B369" s="22" t="str">
        <x:v>同名命格不重复</x:v>
      </x:c>
      <x:c r="C369" s="22" t="str">
        <x:v>通过</x:v>
      </x:c>
      <x:c r="D369" s="22" t="str">
        <x:v>P0155</x:v>
      </x:c>
    </x:row>
    <x:row r="370" ht="24" customHeight="1">
      <x:c r="A370" s="22" t="n">
        <x:v>366</x:v>
      </x:c>
      <x:c r="B370" s="22" t="str">
        <x:v>人物幸运不超过8</x:v>
      </x:c>
      <x:c r="C370" s="22" t="str">
        <x:v>通过</x:v>
      </x:c>
      <x:c r="D370" s="22" t="str">
        <x:v>P0155</x:v>
      </x:c>
    </x:row>
    <x:row r="371" ht="24" customHeight="1">
      <x:c r="A371" s="22" t="n">
        <x:v>367</x:v>
      </x:c>
      <x:c r="B371" s="22" t="str">
        <x:v>同名命格不重复</x:v>
      </x:c>
      <x:c r="C371" s="22" t="str">
        <x:v>通过</x:v>
      </x:c>
      <x:c r="D371" s="22" t="str">
        <x:v>P0156</x:v>
      </x:c>
    </x:row>
    <x:row r="372" ht="24" customHeight="1">
      <x:c r="A372" s="22" t="n">
        <x:v>368</x:v>
      </x:c>
      <x:c r="B372" s="22" t="str">
        <x:v>人物幸运不超过8</x:v>
      </x:c>
      <x:c r="C372" s="22" t="str">
        <x:v>通过</x:v>
      </x:c>
      <x:c r="D372" s="22" t="str">
        <x:v>P0156</x:v>
      </x:c>
    </x:row>
    <x:row r="373" ht="24" customHeight="1">
      <x:c r="A373" s="22" t="n">
        <x:v>369</x:v>
      </x:c>
      <x:c r="B373" s="22" t="str">
        <x:v>同名命格不重复</x:v>
      </x:c>
      <x:c r="C373" s="22" t="str">
        <x:v>通过</x:v>
      </x:c>
      <x:c r="D373" s="22" t="str">
        <x:v>P0157</x:v>
      </x:c>
    </x:row>
    <x:row r="374" ht="24" customHeight="1">
      <x:c r="A374" s="22" t="n">
        <x:v>370</x:v>
      </x:c>
      <x:c r="B374" s="22" t="str">
        <x:v>人物幸运不超过8</x:v>
      </x:c>
      <x:c r="C374" s="22" t="str">
        <x:v>通过</x:v>
      </x:c>
      <x:c r="D374" s="22" t="str">
        <x:v>P0157</x:v>
      </x:c>
    </x:row>
    <x:row r="375" ht="24" customHeight="1">
      <x:c r="A375" s="22" t="n">
        <x:v>371</x:v>
      </x:c>
      <x:c r="B375" s="22" t="str">
        <x:v>同名命格不重复</x:v>
      </x:c>
      <x:c r="C375" s="22" t="str">
        <x:v>通过</x:v>
      </x:c>
      <x:c r="D375" s="22" t="str">
        <x:v>P0158</x:v>
      </x:c>
    </x:row>
    <x:row r="376" ht="24" customHeight="1">
      <x:c r="A376" s="22" t="n">
        <x:v>372</x:v>
      </x:c>
      <x:c r="B376" s="22" t="str">
        <x:v>人物幸运不超过8</x:v>
      </x:c>
      <x:c r="C376" s="22" t="str">
        <x:v>通过</x:v>
      </x:c>
      <x:c r="D376" s="22" t="str">
        <x:v>P0158</x:v>
      </x:c>
    </x:row>
    <x:row r="377" ht="24" customHeight="1">
      <x:c r="A377" s="22" t="n">
        <x:v>373</x:v>
      </x:c>
      <x:c r="B377" s="22" t="str">
        <x:v>同名命格不重复</x:v>
      </x:c>
      <x:c r="C377" s="22" t="str">
        <x:v>通过</x:v>
      </x:c>
      <x:c r="D377" s="22" t="str">
        <x:v>P0159</x:v>
      </x:c>
    </x:row>
    <x:row r="378" ht="24" customHeight="1">
      <x:c r="A378" s="22" t="n">
        <x:v>374</x:v>
      </x:c>
      <x:c r="B378" s="22" t="str">
        <x:v>人物幸运不超过8</x:v>
      </x:c>
      <x:c r="C378" s="22" t="str">
        <x:v>通过</x:v>
      </x:c>
      <x:c r="D378" s="22" t="str">
        <x:v>P0159</x:v>
      </x:c>
    </x:row>
    <x:row r="379" ht="24" customHeight="1">
      <x:c r="A379" s="22" t="n">
        <x:v>375</x:v>
      </x:c>
      <x:c r="B379" s="22" t="str">
        <x:v>同名命格不重复</x:v>
      </x:c>
      <x:c r="C379" s="22" t="str">
        <x:v>通过</x:v>
      </x:c>
      <x:c r="D379" s="22" t="str">
        <x:v>P0160</x:v>
      </x:c>
    </x:row>
    <x:row r="380" ht="24" customHeight="1">
      <x:c r="A380" s="22" t="n">
        <x:v>376</x:v>
      </x:c>
      <x:c r="B380" s="22" t="str">
        <x:v>人物幸运不超过8</x:v>
      </x:c>
      <x:c r="C380" s="22" t="str">
        <x:v>通过</x:v>
      </x:c>
      <x:c r="D380" s="22" t="str">
        <x:v>P0160</x:v>
      </x:c>
    </x:row>
    <x:row r="381" ht="24" customHeight="1">
      <x:c r="A381" s="22" t="n">
        <x:v>377</x:v>
      </x:c>
      <x:c r="B381" s="22" t="str">
        <x:v>普通50-70%不夹带永久成长</x:v>
      </x:c>
      <x:c r="C381" s="22" t="str">
        <x:v>通过</x:v>
      </x:c>
      <x:c r="D381" s="22" t="str">
        <x:v>P0160</x:v>
      </x:c>
    </x:row>
    <x:row r="382" ht="24" customHeight="1">
      <x:c r="A382" s="22" t="n">
        <x:v>378</x:v>
      </x:c>
      <x:c r="B382" s="22" t="str">
        <x:v>普通取得比例</x:v>
      </x:c>
      <x:c r="C382" s="22" t="str">
        <x:v>通过</x:v>
      </x:c>
      <x:c r="D382" s="22" t="str">
        <x:v>P0160</x:v>
      </x:c>
    </x:row>
    <x:row r="383" ht="24" customHeight="1">
      <x:c r="A383" s="22" t="n">
        <x:v>379</x:v>
      </x:c>
      <x:c r="B383" s="22" t="str">
        <x:v>同名命格不重复</x:v>
      </x:c>
      <x:c r="C383" s="22" t="str">
        <x:v>通过</x:v>
      </x:c>
      <x:c r="D383" s="22" t="str">
        <x:v>P0161</x:v>
      </x:c>
    </x:row>
    <x:row r="384" ht="24" customHeight="1">
      <x:c r="A384" s="22" t="n">
        <x:v>380</x:v>
      </x:c>
      <x:c r="B384" s="22" t="str">
        <x:v>人物幸运不超过8</x:v>
      </x:c>
      <x:c r="C384" s="22" t="str">
        <x:v>通过</x:v>
      </x:c>
      <x:c r="D384" s="22" t="str">
        <x:v>P0161</x:v>
      </x:c>
    </x:row>
    <x:row r="385" ht="24" customHeight="1">
      <x:c r="A385" s="22" t="n">
        <x:v>381</x:v>
      </x:c>
      <x:c r="B385" s="22" t="str">
        <x:v>同名命格不重复</x:v>
      </x:c>
      <x:c r="C385" s="22" t="str">
        <x:v>通过</x:v>
      </x:c>
      <x:c r="D385" s="22" t="str">
        <x:v>P0162</x:v>
      </x:c>
    </x:row>
    <x:row r="386" ht="24" customHeight="1">
      <x:c r="A386" s="22" t="n">
        <x:v>382</x:v>
      </x:c>
      <x:c r="B386" s="22" t="str">
        <x:v>人物幸运不超过8</x:v>
      </x:c>
      <x:c r="C386" s="22" t="str">
        <x:v>通过</x:v>
      </x:c>
      <x:c r="D386" s="22" t="str">
        <x:v>P0162</x:v>
      </x:c>
    </x:row>
    <x:row r="387" ht="24" customHeight="1">
      <x:c r="A387" s="22" t="n">
        <x:v>383</x:v>
      </x:c>
      <x:c r="B387" s="22" t="str">
        <x:v>同名命格不重复</x:v>
      </x:c>
      <x:c r="C387" s="22" t="str">
        <x:v>通过</x:v>
      </x:c>
      <x:c r="D387" s="22" t="str">
        <x:v>P0163</x:v>
      </x:c>
    </x:row>
    <x:row r="388" ht="24" customHeight="1">
      <x:c r="A388" s="22" t="n">
        <x:v>384</x:v>
      </x:c>
      <x:c r="B388" s="22" t="str">
        <x:v>人物幸运不超过8</x:v>
      </x:c>
      <x:c r="C388" s="22" t="str">
        <x:v>通过</x:v>
      </x:c>
      <x:c r="D388" s="22" t="str">
        <x:v>P0163</x:v>
      </x:c>
    </x:row>
    <x:row r="389" ht="24" customHeight="1">
      <x:c r="A389" s="22" t="n">
        <x:v>385</x:v>
      </x:c>
      <x:c r="B389" s="22" t="str">
        <x:v>同名命格不重复</x:v>
      </x:c>
      <x:c r="C389" s="22" t="str">
        <x:v>通过</x:v>
      </x:c>
      <x:c r="D389" s="22" t="str">
        <x:v>P0164</x:v>
      </x:c>
    </x:row>
    <x:row r="390" ht="24" customHeight="1">
      <x:c r="A390" s="22" t="n">
        <x:v>386</x:v>
      </x:c>
      <x:c r="B390" s="22" t="str">
        <x:v>人物幸运不超过8</x:v>
      </x:c>
      <x:c r="C390" s="22" t="str">
        <x:v>通过</x:v>
      </x:c>
      <x:c r="D390" s="22" t="str">
        <x:v>P0164</x:v>
      </x:c>
    </x:row>
    <x:row r="391" ht="24" customHeight="1">
      <x:c r="A391" s="22" t="n">
        <x:v>387</x:v>
      </x:c>
      <x:c r="B391" s="22" t="str">
        <x:v>同名命格不重复</x:v>
      </x:c>
      <x:c r="C391" s="22" t="str">
        <x:v>通过</x:v>
      </x:c>
      <x:c r="D391" s="22" t="str">
        <x:v>P0165</x:v>
      </x:c>
    </x:row>
    <x:row r="392" ht="24" customHeight="1">
      <x:c r="A392" s="22" t="n">
        <x:v>388</x:v>
      </x:c>
      <x:c r="B392" s="22" t="str">
        <x:v>人物幸运不超过8</x:v>
      </x:c>
      <x:c r="C392" s="22" t="str">
        <x:v>通过</x:v>
      </x:c>
      <x:c r="D392" s="22" t="str">
        <x:v>P0165</x:v>
      </x:c>
    </x:row>
    <x:row r="393" ht="24" customHeight="1">
      <x:c r="A393" s="22" t="n">
        <x:v>389</x:v>
      </x:c>
      <x:c r="B393" s="22" t="str">
        <x:v>同名命格不重复</x:v>
      </x:c>
      <x:c r="C393" s="22" t="str">
        <x:v>通过</x:v>
      </x:c>
      <x:c r="D393" s="22" t="str">
        <x:v>P0166</x:v>
      </x:c>
    </x:row>
    <x:row r="394" ht="24" customHeight="1">
      <x:c r="A394" s="22" t="n">
        <x:v>390</x:v>
      </x:c>
      <x:c r="B394" s="22" t="str">
        <x:v>人物幸运不超过8</x:v>
      </x:c>
      <x:c r="C394" s="22" t="str">
        <x:v>通过</x:v>
      </x:c>
      <x:c r="D394" s="22" t="str">
        <x:v>P0166</x:v>
      </x:c>
    </x:row>
    <x:row r="395" ht="24" customHeight="1">
      <x:c r="A395" s="22" t="n">
        <x:v>391</x:v>
      </x:c>
      <x:c r="B395" s="22" t="str">
        <x:v>普通50-70%不夹带永久成长</x:v>
      </x:c>
      <x:c r="C395" s="22" t="str">
        <x:v>通过</x:v>
      </x:c>
      <x:c r="D395" s="22" t="str">
        <x:v>P0166</x:v>
      </x:c>
    </x:row>
    <x:row r="396" ht="24" customHeight="1">
      <x:c r="A396" s="22" t="n">
        <x:v>392</x:v>
      </x:c>
      <x:c r="B396" s="22" t="str">
        <x:v>普通取得比例</x:v>
      </x:c>
      <x:c r="C396" s="22" t="str">
        <x:v>通过</x:v>
      </x:c>
      <x:c r="D396" s="22" t="str">
        <x:v>P0166</x:v>
      </x:c>
    </x:row>
    <x:row r="397" ht="24" customHeight="1">
      <x:c r="A397" s="22" t="n">
        <x:v>393</x:v>
      </x:c>
      <x:c r="B397" s="22" t="str">
        <x:v>同名命格不重复</x:v>
      </x:c>
      <x:c r="C397" s="22" t="str">
        <x:v>通过</x:v>
      </x:c>
      <x:c r="D397" s="22" t="str">
        <x:v>P0167</x:v>
      </x:c>
    </x:row>
    <x:row r="398" ht="24" customHeight="1">
      <x:c r="A398" s="22" t="n">
        <x:v>394</x:v>
      </x:c>
      <x:c r="B398" s="22" t="str">
        <x:v>人物幸运不超过8</x:v>
      </x:c>
      <x:c r="C398" s="22" t="str">
        <x:v>通过</x:v>
      </x:c>
      <x:c r="D398" s="22" t="str">
        <x:v>P0167</x:v>
      </x:c>
    </x:row>
    <x:row r="399" ht="24" customHeight="1">
      <x:c r="A399" s="22" t="n">
        <x:v>395</x:v>
      </x:c>
      <x:c r="B399" s="22" t="str">
        <x:v>同名命格不重复</x:v>
      </x:c>
      <x:c r="C399" s="22" t="str">
        <x:v>通过</x:v>
      </x:c>
      <x:c r="D399" s="22" t="str">
        <x:v>P0168</x:v>
      </x:c>
    </x:row>
    <x:row r="400" ht="24" customHeight="1">
      <x:c r="A400" s="22" t="n">
        <x:v>396</x:v>
      </x:c>
      <x:c r="B400" s="22" t="str">
        <x:v>人物幸运不超过8</x:v>
      </x:c>
      <x:c r="C400" s="22" t="str">
        <x:v>通过</x:v>
      </x:c>
      <x:c r="D400" s="22" t="str">
        <x:v>P0168</x:v>
      </x:c>
    </x:row>
    <x:row r="401" ht="24" customHeight="1">
      <x:c r="A401" s="22" t="n">
        <x:v>397</x:v>
      </x:c>
      <x:c r="B401" s="22" t="str">
        <x:v>同名命格不重复</x:v>
      </x:c>
      <x:c r="C401" s="22" t="str">
        <x:v>通过</x:v>
      </x:c>
      <x:c r="D401" s="22" t="str">
        <x:v>P0169</x:v>
      </x:c>
    </x:row>
    <x:row r="402" ht="24" customHeight="1">
      <x:c r="A402" s="22" t="n">
        <x:v>398</x:v>
      </x:c>
      <x:c r="B402" s="22" t="str">
        <x:v>人物幸运不超过8</x:v>
      </x:c>
      <x:c r="C402" s="22" t="str">
        <x:v>通过</x:v>
      </x:c>
      <x:c r="D402" s="22" t="str">
        <x:v>P0169</x:v>
      </x:c>
    </x:row>
    <x:row r="403" ht="24" customHeight="1">
      <x:c r="A403" s="22" t="n">
        <x:v>399</x:v>
      </x:c>
      <x:c r="B403" s="22" t="str">
        <x:v>同名命格不重复</x:v>
      </x:c>
      <x:c r="C403" s="22" t="str">
        <x:v>通过</x:v>
      </x:c>
      <x:c r="D403" s="22" t="str">
        <x:v>P0170</x:v>
      </x:c>
    </x:row>
    <x:row r="404" ht="24" customHeight="1">
      <x:c r="A404" s="22" t="n">
        <x:v>400</x:v>
      </x:c>
      <x:c r="B404" s="22" t="str">
        <x:v>人物幸运不超过8</x:v>
      </x:c>
      <x:c r="C404" s="22" t="str">
        <x:v>通过</x:v>
      </x:c>
      <x:c r="D404" s="22" t="str">
        <x:v>P0170</x:v>
      </x:c>
    </x:row>
    <x:row r="405" ht="24" customHeight="1">
      <x:c r="A405" s="22" t="n">
        <x:v>401</x:v>
      </x:c>
      <x:c r="B405" s="22" t="str">
        <x:v>同名命格不重复</x:v>
      </x:c>
      <x:c r="C405" s="22" t="str">
        <x:v>通过</x:v>
      </x:c>
      <x:c r="D405" s="22" t="str">
        <x:v>P0171</x:v>
      </x:c>
    </x:row>
    <x:row r="406" ht="24" customHeight="1">
      <x:c r="A406" s="22" t="n">
        <x:v>402</x:v>
      </x:c>
      <x:c r="B406" s="22" t="str">
        <x:v>人物幸运不超过8</x:v>
      </x:c>
      <x:c r="C406" s="22" t="str">
        <x:v>通过</x:v>
      </x:c>
      <x:c r="D406" s="22" t="str">
        <x:v>P0171</x:v>
      </x:c>
    </x:row>
    <x:row r="407" ht="24" customHeight="1">
      <x:c r="A407" s="22" t="n">
        <x:v>403</x:v>
      </x:c>
      <x:c r="B407" s="22" t="str">
        <x:v>同名命格不重复</x:v>
      </x:c>
      <x:c r="C407" s="22" t="str">
        <x:v>通过</x:v>
      </x:c>
      <x:c r="D407" s="22" t="str">
        <x:v>P0172</x:v>
      </x:c>
    </x:row>
    <x:row r="408" ht="24" customHeight="1">
      <x:c r="A408" s="22" t="n">
        <x:v>404</x:v>
      </x:c>
      <x:c r="B408" s="22" t="str">
        <x:v>人物幸运不超过8</x:v>
      </x:c>
      <x:c r="C408" s="22" t="str">
        <x:v>通过</x:v>
      </x:c>
      <x:c r="D408" s="22" t="str">
        <x:v>P0172</x:v>
      </x:c>
    </x:row>
    <x:row r="409" ht="24" customHeight="1">
      <x:c r="A409" s="22" t="n">
        <x:v>405</x:v>
      </x:c>
      <x:c r="B409" s="22" t="str">
        <x:v>普通50-70%不夹带永久成长</x:v>
      </x:c>
      <x:c r="C409" s="22" t="str">
        <x:v>通过</x:v>
      </x:c>
      <x:c r="D409" s="22" t="str">
        <x:v>P0172</x:v>
      </x:c>
    </x:row>
    <x:row r="410" ht="24" customHeight="1">
      <x:c r="A410" s="22" t="n">
        <x:v>406</x:v>
      </x:c>
      <x:c r="B410" s="22" t="str">
        <x:v>普通取得比例</x:v>
      </x:c>
      <x:c r="C410" s="22" t="str">
        <x:v>通过</x:v>
      </x:c>
      <x:c r="D410" s="22" t="str">
        <x:v>P0172</x:v>
      </x:c>
    </x:row>
    <x:row r="411" ht="24" customHeight="1">
      <x:c r="A411" s="22" t="n">
        <x:v>407</x:v>
      </x:c>
      <x:c r="B411" s="22" t="str">
        <x:v>同名命格不重复</x:v>
      </x:c>
      <x:c r="C411" s="22" t="str">
        <x:v>通过</x:v>
      </x:c>
      <x:c r="D411" s="22" t="str">
        <x:v>P0173</x:v>
      </x:c>
    </x:row>
    <x:row r="412" ht="24" customHeight="1">
      <x:c r="A412" s="22" t="n">
        <x:v>408</x:v>
      </x:c>
      <x:c r="B412" s="22" t="str">
        <x:v>人物幸运不超过8</x:v>
      </x:c>
      <x:c r="C412" s="22" t="str">
        <x:v>通过</x:v>
      </x:c>
      <x:c r="D412" s="22" t="str">
        <x:v>P0173</x:v>
      </x:c>
    </x:row>
    <x:row r="413" ht="24" customHeight="1">
      <x:c r="A413" s="22" t="n">
        <x:v>409</x:v>
      </x:c>
      <x:c r="B413" s="22" t="str">
        <x:v>同名命格不重复</x:v>
      </x:c>
      <x:c r="C413" s="22" t="str">
        <x:v>通过</x:v>
      </x:c>
      <x:c r="D413" s="22" t="str">
        <x:v>P0174</x:v>
      </x:c>
    </x:row>
    <x:row r="414" ht="24" customHeight="1">
      <x:c r="A414" s="22" t="n">
        <x:v>410</x:v>
      </x:c>
      <x:c r="B414" s="22" t="str">
        <x:v>人物幸运不超过8</x:v>
      </x:c>
      <x:c r="C414" s="22" t="str">
        <x:v>通过</x:v>
      </x:c>
      <x:c r="D414" s="22" t="str">
        <x:v>P0174</x:v>
      </x:c>
    </x:row>
    <x:row r="415" ht="24" customHeight="1">
      <x:c r="A415" s="22" t="n">
        <x:v>411</x:v>
      </x:c>
      <x:c r="B415" s="22" t="str">
        <x:v>同名命格不重复</x:v>
      </x:c>
      <x:c r="C415" s="22" t="str">
        <x:v>通过</x:v>
      </x:c>
      <x:c r="D415" s="22" t="str">
        <x:v>P0175</x:v>
      </x:c>
    </x:row>
    <x:row r="416" ht="24" customHeight="1">
      <x:c r="A416" s="22" t="n">
        <x:v>412</x:v>
      </x:c>
      <x:c r="B416" s="22" t="str">
        <x:v>人物幸运不超过8</x:v>
      </x:c>
      <x:c r="C416" s="22" t="str">
        <x:v>通过</x:v>
      </x:c>
      <x:c r="D416" s="22" t="str">
        <x:v>P0175</x:v>
      </x:c>
    </x:row>
    <x:row r="417" ht="24" customHeight="1">
      <x:c r="A417" s="22" t="n">
        <x:v>413</x:v>
      </x:c>
      <x:c r="B417" s="22" t="str">
        <x:v>同名命格不重复</x:v>
      </x:c>
      <x:c r="C417" s="22" t="str">
        <x:v>通过</x:v>
      </x:c>
      <x:c r="D417" s="22" t="str">
        <x:v>P0176</x:v>
      </x:c>
    </x:row>
    <x:row r="418" ht="24" customHeight="1">
      <x:c r="A418" s="22" t="n">
        <x:v>414</x:v>
      </x:c>
      <x:c r="B418" s="22" t="str">
        <x:v>人物幸运不超过8</x:v>
      </x:c>
      <x:c r="C418" s="22" t="str">
        <x:v>通过</x:v>
      </x:c>
      <x:c r="D418" s="22" t="str">
        <x:v>P0176</x:v>
      </x:c>
    </x:row>
    <x:row r="419" ht="24" customHeight="1">
      <x:c r="A419" s="22" t="n">
        <x:v>415</x:v>
      </x:c>
      <x:c r="B419" s="22" t="str">
        <x:v>同名命格不重复</x:v>
      </x:c>
      <x:c r="C419" s="22" t="str">
        <x:v>通过</x:v>
      </x:c>
      <x:c r="D419" s="22" t="str">
        <x:v>P0177</x:v>
      </x:c>
    </x:row>
    <x:row r="420" ht="24" customHeight="1">
      <x:c r="A420" s="22" t="n">
        <x:v>416</x:v>
      </x:c>
      <x:c r="B420" s="22" t="str">
        <x:v>人物幸运不超过8</x:v>
      </x:c>
      <x:c r="C420" s="22" t="str">
        <x:v>通过</x:v>
      </x:c>
      <x:c r="D420" s="22" t="str">
        <x:v>P0177</x:v>
      </x:c>
    </x:row>
    <x:row r="421" ht="24" customHeight="1">
      <x:c r="A421" s="22" t="n">
        <x:v>417</x:v>
      </x:c>
      <x:c r="B421" s="22" t="str">
        <x:v>同名命格不重复</x:v>
      </x:c>
      <x:c r="C421" s="22" t="str">
        <x:v>通过</x:v>
      </x:c>
      <x:c r="D421" s="22" t="str">
        <x:v>P0178</x:v>
      </x:c>
    </x:row>
    <x:row r="422" ht="24" customHeight="1">
      <x:c r="A422" s="22" t="n">
        <x:v>418</x:v>
      </x:c>
      <x:c r="B422" s="22" t="str">
        <x:v>人物幸运不超过8</x:v>
      </x:c>
      <x:c r="C422" s="22" t="str">
        <x:v>通过</x:v>
      </x:c>
      <x:c r="D422" s="22" t="str">
        <x:v>P0178</x:v>
      </x:c>
    </x:row>
    <x:row r="423" ht="24" customHeight="1">
      <x:c r="A423" s="22" t="n">
        <x:v>419</x:v>
      </x:c>
      <x:c r="B423" s="22" t="str">
        <x:v>普通50-70%不夹带永久成长</x:v>
      </x:c>
      <x:c r="C423" s="22" t="str">
        <x:v>通过</x:v>
      </x:c>
      <x:c r="D423" s="22" t="str">
        <x:v>P0178</x:v>
      </x:c>
    </x:row>
    <x:row r="424" ht="24" customHeight="1">
      <x:c r="A424" s="22" t="n">
        <x:v>420</x:v>
      </x:c>
      <x:c r="B424" s="22" t="str">
        <x:v>普通取得比例</x:v>
      </x:c>
      <x:c r="C424" s="22" t="str">
        <x:v>通过</x:v>
      </x:c>
      <x:c r="D424" s="22" t="str">
        <x:v>P0178</x:v>
      </x:c>
    </x:row>
    <x:row r="425" ht="24" customHeight="1">
      <x:c r="A425" s="22" t="n">
        <x:v>421</x:v>
      </x:c>
      <x:c r="B425" s="22" t="str">
        <x:v>同名命格不重复</x:v>
      </x:c>
      <x:c r="C425" s="22" t="str">
        <x:v>通过</x:v>
      </x:c>
      <x:c r="D425" s="22" t="str">
        <x:v>P0179</x:v>
      </x:c>
    </x:row>
    <x:row r="426" ht="24" customHeight="1">
      <x:c r="A426" s="22" t="n">
        <x:v>422</x:v>
      </x:c>
      <x:c r="B426" s="22" t="str">
        <x:v>人物幸运不超过8</x:v>
      </x:c>
      <x:c r="C426" s="22" t="str">
        <x:v>通过</x:v>
      </x:c>
      <x:c r="D426" s="22" t="str">
        <x:v>P0179</x:v>
      </x:c>
    </x:row>
    <x:row r="427" ht="24" customHeight="1">
      <x:c r="A427" s="22" t="n">
        <x:v>423</x:v>
      </x:c>
      <x:c r="B427" s="22" t="str">
        <x:v>同名命格不重复</x:v>
      </x:c>
      <x:c r="C427" s="22" t="str">
        <x:v>通过</x:v>
      </x:c>
      <x:c r="D427" s="22" t="str">
        <x:v>P0180</x:v>
      </x:c>
    </x:row>
    <x:row r="428" ht="24" customHeight="1">
      <x:c r="A428" s="22" t="n">
        <x:v>424</x:v>
      </x:c>
      <x:c r="B428" s="22" t="str">
        <x:v>人物幸运不超过8</x:v>
      </x:c>
      <x:c r="C428" s="22" t="str">
        <x:v>通过</x:v>
      </x:c>
      <x:c r="D428" s="22" t="str">
        <x:v>P0180</x:v>
      </x:c>
    </x:row>
    <x:row r="429" ht="24" customHeight="1">
      <x:c r="A429" s="22" t="n">
        <x:v>425</x:v>
      </x:c>
      <x:c r="B429" s="22" t="str">
        <x:v>同名命格不重复</x:v>
      </x:c>
      <x:c r="C429" s="22" t="str">
        <x:v>通过</x:v>
      </x:c>
      <x:c r="D429" s="22" t="str">
        <x:v>P0181</x:v>
      </x:c>
    </x:row>
    <x:row r="430" ht="24" customHeight="1">
      <x:c r="A430" s="22" t="n">
        <x:v>426</x:v>
      </x:c>
      <x:c r="B430" s="22" t="str">
        <x:v>人物幸运不超过8</x:v>
      </x:c>
      <x:c r="C430" s="22" t="str">
        <x:v>通过</x:v>
      </x:c>
      <x:c r="D430" s="22" t="str">
        <x:v>P0181</x:v>
      </x:c>
    </x:row>
    <x:row r="431" ht="24" customHeight="1">
      <x:c r="A431" s="22" t="n">
        <x:v>427</x:v>
      </x:c>
      <x:c r="B431" s="22" t="str">
        <x:v>同名命格不重复</x:v>
      </x:c>
      <x:c r="C431" s="22" t="str">
        <x:v>通过</x:v>
      </x:c>
      <x:c r="D431" s="22" t="str">
        <x:v>P0182</x:v>
      </x:c>
    </x:row>
    <x:row r="432" ht="24" customHeight="1">
      <x:c r="A432" s="22" t="n">
        <x:v>428</x:v>
      </x:c>
      <x:c r="B432" s="22" t="str">
        <x:v>人物幸运不超过8</x:v>
      </x:c>
      <x:c r="C432" s="22" t="str">
        <x:v>通过</x:v>
      </x:c>
      <x:c r="D432" s="22" t="str">
        <x:v>P0182</x:v>
      </x:c>
    </x:row>
    <x:row r="433" ht="24" customHeight="1">
      <x:c r="A433" s="22" t="n">
        <x:v>429</x:v>
      </x:c>
      <x:c r="B433" s="22" t="str">
        <x:v>同名命格不重复</x:v>
      </x:c>
      <x:c r="C433" s="22" t="str">
        <x:v>通过</x:v>
      </x:c>
      <x:c r="D433" s="22" t="str">
        <x:v>P0183</x:v>
      </x:c>
    </x:row>
    <x:row r="434" ht="24" customHeight="1">
      <x:c r="A434" s="22" t="n">
        <x:v>430</x:v>
      </x:c>
      <x:c r="B434" s="22" t="str">
        <x:v>人物幸运不超过8</x:v>
      </x:c>
      <x:c r="C434" s="22" t="str">
        <x:v>通过</x:v>
      </x:c>
      <x:c r="D434" s="22" t="str">
        <x:v>P0183</x:v>
      </x:c>
    </x:row>
    <x:row r="435" ht="24" customHeight="1">
      <x:c r="A435" s="22" t="n">
        <x:v>431</x:v>
      </x:c>
      <x:c r="B435" s="22" t="str">
        <x:v>同名命格不重复</x:v>
      </x:c>
      <x:c r="C435" s="22" t="str">
        <x:v>通过</x:v>
      </x:c>
      <x:c r="D435" s="22" t="str">
        <x:v>P0184</x:v>
      </x:c>
    </x:row>
    <x:row r="436" ht="24" customHeight="1">
      <x:c r="A436" s="22" t="n">
        <x:v>432</x:v>
      </x:c>
      <x:c r="B436" s="22" t="str">
        <x:v>人物幸运不超过8</x:v>
      </x:c>
      <x:c r="C436" s="22" t="str">
        <x:v>通过</x:v>
      </x:c>
      <x:c r="D436" s="22" t="str">
        <x:v>P0184</x:v>
      </x:c>
    </x:row>
    <x:row r="437" ht="24" customHeight="1">
      <x:c r="A437" s="22" t="n">
        <x:v>433</x:v>
      </x:c>
      <x:c r="B437" s="22" t="str">
        <x:v>同名命格不重复</x:v>
      </x:c>
      <x:c r="C437" s="22" t="str">
        <x:v>通过</x:v>
      </x:c>
      <x:c r="D437" s="22" t="str">
        <x:v>P0185</x:v>
      </x:c>
    </x:row>
    <x:row r="438" ht="24" customHeight="1">
      <x:c r="A438" s="22" t="n">
        <x:v>434</x:v>
      </x:c>
      <x:c r="B438" s="22" t="str">
        <x:v>人物幸运不超过8</x:v>
      </x:c>
      <x:c r="C438" s="22" t="str">
        <x:v>通过</x:v>
      </x:c>
      <x:c r="D438" s="22" t="str">
        <x:v>P0185</x:v>
      </x:c>
    </x:row>
    <x:row r="439" ht="24" customHeight="1">
      <x:c r="A439" s="22" t="n">
        <x:v>435</x:v>
      </x:c>
      <x:c r="B439" s="22" t="str">
        <x:v>守关前必做合成齐全</x:v>
      </x:c>
      <x:c r="C439" s="22" t="str">
        <x:v>通过</x:v>
      </x:c>
      <x:c r="D439" s="22" t="str">
        <x:v>5</x:v>
      </x:c>
    </x:row>
    <x:row r="440" ht="24" customHeight="1">
      <x:c r="A440" s="22" t="n">
        <x:v>436</x:v>
      </x:c>
      <x:c r="B440" s="22" t="str">
        <x:v>首次挑战未取得本守关装备</x:v>
      </x:c>
      <x:c r="C440" s="22" t="str">
        <x:v>通过</x:v>
      </x:c>
      <x:c r="D440" s="22" t="str">
        <x:v>寒镜终誓王</x:v>
      </x:c>
    </x:row>
    <x:row r="441" ht="24" customHeight="1">
      <x:c r="A441" s="22" t="n">
        <x:v>437</x:v>
      </x:c>
      <x:c r="B441" s="22" t="str">
        <x:v>同名命格不重复</x:v>
      </x:c>
      <x:c r="C441" s="22" t="str">
        <x:v>通过</x:v>
      </x:c>
      <x:c r="D441" s="22" t="str">
        <x:v>P0186</x:v>
      </x:c>
    </x:row>
    <x:row r="442" ht="24" customHeight="1">
      <x:c r="A442" s="22" t="n">
        <x:v>438</x:v>
      </x:c>
      <x:c r="B442" s="22" t="str">
        <x:v>人物幸运不超过8</x:v>
      </x:c>
      <x:c r="C442" s="22" t="str">
        <x:v>通过</x:v>
      </x:c>
      <x:c r="D442" s="22" t="str">
        <x:v>P0186</x:v>
      </x:c>
    </x:row>
    <x:row r="443" ht="24" customHeight="1">
      <x:c r="A443" s="22" t="n">
        <x:v>439</x:v>
      </x:c>
      <x:c r="B443" s="22" t="str">
        <x:v>同名命格不重复</x:v>
      </x:c>
      <x:c r="C443" s="22" t="str">
        <x:v>通过</x:v>
      </x:c>
      <x:c r="D443" s="22" t="str">
        <x:v>P0187</x:v>
      </x:c>
    </x:row>
    <x:row r="444" ht="24" customHeight="1">
      <x:c r="A444" s="22" t="n">
        <x:v>440</x:v>
      </x:c>
      <x:c r="B444" s="22" t="str">
        <x:v>人物幸运不超过8</x:v>
      </x:c>
      <x:c r="C444" s="22" t="str">
        <x:v>通过</x:v>
      </x:c>
      <x:c r="D444" s="22" t="str">
        <x:v>P0187</x:v>
      </x:c>
    </x:row>
    <x:row r="445" ht="24" customHeight="1">
      <x:c r="A445" s="22" t="n">
        <x:v>441</x:v>
      </x:c>
      <x:c r="B445" s="22" t="str">
        <x:v>跨大陆永久与穿戴继承</x:v>
      </x:c>
      <x:c r="C445" s="22" t="str">
        <x:v>通过</x:v>
      </x:c>
      <x:c r="D445" s="22" t="str">
        <x:v>6</x:v>
      </x:c>
    </x:row>
    <x:row r="446" ht="24" customHeight="1">
      <x:c r="A446" s="22" t="n">
        <x:v>442</x:v>
      </x:c>
      <x:c r="B446" s="22" t="str">
        <x:v>同名命格不重复</x:v>
      </x:c>
      <x:c r="C446" s="22" t="str">
        <x:v>通过</x:v>
      </x:c>
      <x:c r="D446" s="22" t="str">
        <x:v>P0188</x:v>
      </x:c>
    </x:row>
    <x:row r="447" ht="24" customHeight="1">
      <x:c r="A447" s="22" t="n">
        <x:v>443</x:v>
      </x:c>
      <x:c r="B447" s="22" t="str">
        <x:v>人物幸运不超过8</x:v>
      </x:c>
      <x:c r="C447" s="22" t="str">
        <x:v>通过</x:v>
      </x:c>
      <x:c r="D447" s="22" t="str">
        <x:v>P0188</x:v>
      </x:c>
    </x:row>
    <x:row r="448" ht="24" customHeight="1">
      <x:c r="A448" s="22" t="n">
        <x:v>444</x:v>
      </x:c>
      <x:c r="B448" s="22" t="str">
        <x:v>同名命格不重复</x:v>
      </x:c>
      <x:c r="C448" s="22" t="str">
        <x:v>通过</x:v>
      </x:c>
      <x:c r="D448" s="22" t="str">
        <x:v>P0189</x:v>
      </x:c>
    </x:row>
    <x:row r="449" ht="24" customHeight="1">
      <x:c r="A449" s="22" t="n">
        <x:v>445</x:v>
      </x:c>
      <x:c r="B449" s="22" t="str">
        <x:v>人物幸运不超过8</x:v>
      </x:c>
      <x:c r="C449" s="22" t="str">
        <x:v>通过</x:v>
      </x:c>
      <x:c r="D449" s="22" t="str">
        <x:v>P0189</x:v>
      </x:c>
    </x:row>
    <x:row r="450" ht="24" customHeight="1">
      <x:c r="A450" s="22" t="n">
        <x:v>446</x:v>
      </x:c>
      <x:c r="B450" s="22" t="str">
        <x:v>同名命格不重复</x:v>
      </x:c>
      <x:c r="C450" s="22" t="str">
        <x:v>通过</x:v>
      </x:c>
      <x:c r="D450" s="22" t="str">
        <x:v>P0190</x:v>
      </x:c>
    </x:row>
    <x:row r="451" ht="24" customHeight="1">
      <x:c r="A451" s="22" t="n">
        <x:v>447</x:v>
      </x:c>
      <x:c r="B451" s="22" t="str">
        <x:v>人物幸运不超过8</x:v>
      </x:c>
      <x:c r="C451" s="22" t="str">
        <x:v>通过</x:v>
      </x:c>
      <x:c r="D451" s="22" t="str">
        <x:v>P0190</x:v>
      </x:c>
    </x:row>
    <x:row r="452" ht="24" customHeight="1">
      <x:c r="A452" s="22" t="n">
        <x:v>448</x:v>
      </x:c>
      <x:c r="B452" s="22" t="str">
        <x:v>普通50-70%不夹带永久成长</x:v>
      </x:c>
      <x:c r="C452" s="22" t="str">
        <x:v>通过</x:v>
      </x:c>
      <x:c r="D452" s="22" t="str">
        <x:v>P0190</x:v>
      </x:c>
    </x:row>
    <x:row r="453" ht="24" customHeight="1">
      <x:c r="A453" s="22" t="n">
        <x:v>449</x:v>
      </x:c>
      <x:c r="B453" s="22" t="str">
        <x:v>普通取得比例</x:v>
      </x:c>
      <x:c r="C453" s="22" t="str">
        <x:v>通过</x:v>
      </x:c>
      <x:c r="D453" s="22" t="str">
        <x:v>P0190</x:v>
      </x:c>
    </x:row>
    <x:row r="454" ht="24" customHeight="1">
      <x:c r="A454" s="22" t="n">
        <x:v>450</x:v>
      </x:c>
      <x:c r="B454" s="22" t="str">
        <x:v>同名命格不重复</x:v>
      </x:c>
      <x:c r="C454" s="22" t="str">
        <x:v>通过</x:v>
      </x:c>
      <x:c r="D454" s="22" t="str">
        <x:v>P0191</x:v>
      </x:c>
    </x:row>
    <x:row r="455" ht="24" customHeight="1">
      <x:c r="A455" s="22" t="n">
        <x:v>451</x:v>
      </x:c>
      <x:c r="B455" s="22" t="str">
        <x:v>人物幸运不超过8</x:v>
      </x:c>
      <x:c r="C455" s="22" t="str">
        <x:v>通过</x:v>
      </x:c>
      <x:c r="D455" s="22" t="str">
        <x:v>P0191</x:v>
      </x:c>
    </x:row>
    <x:row r="456" ht="24" customHeight="1">
      <x:c r="A456" s="22" t="n">
        <x:v>452</x:v>
      </x:c>
      <x:c r="B456" s="22" t="str">
        <x:v>同名命格不重复</x:v>
      </x:c>
      <x:c r="C456" s="22" t="str">
        <x:v>通过</x:v>
      </x:c>
      <x:c r="D456" s="22" t="str">
        <x:v>P0192</x:v>
      </x:c>
    </x:row>
    <x:row r="457" ht="24" customHeight="1">
      <x:c r="A457" s="22" t="n">
        <x:v>453</x:v>
      </x:c>
      <x:c r="B457" s="22" t="str">
        <x:v>人物幸运不超过8</x:v>
      </x:c>
      <x:c r="C457" s="22" t="str">
        <x:v>通过</x:v>
      </x:c>
      <x:c r="D457" s="22" t="str">
        <x:v>P0192</x:v>
      </x:c>
    </x:row>
    <x:row r="458" ht="24" customHeight="1">
      <x:c r="A458" s="22" t="n">
        <x:v>454</x:v>
      </x:c>
      <x:c r="B458" s="22" t="str">
        <x:v>同名命格不重复</x:v>
      </x:c>
      <x:c r="C458" s="22" t="str">
        <x:v>通过</x:v>
      </x:c>
      <x:c r="D458" s="22" t="str">
        <x:v>P0193</x:v>
      </x:c>
    </x:row>
    <x:row r="459" ht="24" customHeight="1">
      <x:c r="A459" s="22" t="n">
        <x:v>455</x:v>
      </x:c>
      <x:c r="B459" s="22" t="str">
        <x:v>人物幸运不超过8</x:v>
      </x:c>
      <x:c r="C459" s="22" t="str">
        <x:v>通过</x:v>
      </x:c>
      <x:c r="D459" s="22" t="str">
        <x:v>P0193</x:v>
      </x:c>
    </x:row>
    <x:row r="460" ht="24" customHeight="1">
      <x:c r="A460" s="22" t="n">
        <x:v>456</x:v>
      </x:c>
      <x:c r="B460" s="22" t="str">
        <x:v>同名命格不重复</x:v>
      </x:c>
      <x:c r="C460" s="22" t="str">
        <x:v>通过</x:v>
      </x:c>
      <x:c r="D460" s="22" t="str">
        <x:v>P0194</x:v>
      </x:c>
    </x:row>
    <x:row r="461" ht="24" customHeight="1">
      <x:c r="A461" s="22" t="n">
        <x:v>457</x:v>
      </x:c>
      <x:c r="B461" s="22" t="str">
        <x:v>人物幸运不超过8</x:v>
      </x:c>
      <x:c r="C461" s="22" t="str">
        <x:v>通过</x:v>
      </x:c>
      <x:c r="D461" s="22" t="str">
        <x:v>P0194</x:v>
      </x:c>
    </x:row>
    <x:row r="462" ht="24" customHeight="1">
      <x:c r="A462" s="22" t="n">
        <x:v>458</x:v>
      </x:c>
      <x:c r="B462" s="22" t="str">
        <x:v>同名命格不重复</x:v>
      </x:c>
      <x:c r="C462" s="22" t="str">
        <x:v>通过</x:v>
      </x:c>
      <x:c r="D462" s="22" t="str">
        <x:v>P0195</x:v>
      </x:c>
    </x:row>
    <x:row r="463" ht="24" customHeight="1">
      <x:c r="A463" s="22" t="n">
        <x:v>459</x:v>
      </x:c>
      <x:c r="B463" s="22" t="str">
        <x:v>人物幸运不超过8</x:v>
      </x:c>
      <x:c r="C463" s="22" t="str">
        <x:v>通过</x:v>
      </x:c>
      <x:c r="D463" s="22" t="str">
        <x:v>P0195</x:v>
      </x:c>
    </x:row>
    <x:row r="464" ht="24" customHeight="1">
      <x:c r="A464" s="22" t="n">
        <x:v>460</x:v>
      </x:c>
      <x:c r="B464" s="22" t="str">
        <x:v>同名命格不重复</x:v>
      </x:c>
      <x:c r="C464" s="22" t="str">
        <x:v>通过</x:v>
      </x:c>
      <x:c r="D464" s="22" t="str">
        <x:v>P0196</x:v>
      </x:c>
    </x:row>
    <x:row r="465" ht="24" customHeight="1">
      <x:c r="A465" s="22" t="n">
        <x:v>461</x:v>
      </x:c>
      <x:c r="B465" s="22" t="str">
        <x:v>人物幸运不超过8</x:v>
      </x:c>
      <x:c r="C465" s="22" t="str">
        <x:v>通过</x:v>
      </x:c>
      <x:c r="D465" s="22" t="str">
        <x:v>P0196</x:v>
      </x:c>
    </x:row>
    <x:row r="466" ht="24" customHeight="1">
      <x:c r="A466" s="22" t="n">
        <x:v>462</x:v>
      </x:c>
      <x:c r="B466" s="22" t="str">
        <x:v>普通50-70%不夹带永久成长</x:v>
      </x:c>
      <x:c r="C466" s="22" t="str">
        <x:v>通过</x:v>
      </x:c>
      <x:c r="D466" s="22" t="str">
        <x:v>P0196</x:v>
      </x:c>
    </x:row>
    <x:row r="467" ht="24" customHeight="1">
      <x:c r="A467" s="22" t="n">
        <x:v>463</x:v>
      </x:c>
      <x:c r="B467" s="22" t="str">
        <x:v>普通取得比例</x:v>
      </x:c>
      <x:c r="C467" s="22" t="str">
        <x:v>通过</x:v>
      </x:c>
      <x:c r="D467" s="22" t="str">
        <x:v>P0196</x:v>
      </x:c>
    </x:row>
    <x:row r="468" ht="24" customHeight="1">
      <x:c r="A468" s="22" t="n">
        <x:v>464</x:v>
      </x:c>
      <x:c r="B468" s="22" t="str">
        <x:v>同名命格不重复</x:v>
      </x:c>
      <x:c r="C468" s="22" t="str">
        <x:v>通过</x:v>
      </x:c>
      <x:c r="D468" s="22" t="str">
        <x:v>P0197</x:v>
      </x:c>
    </x:row>
    <x:row r="469" ht="24" customHeight="1">
      <x:c r="A469" s="22" t="n">
        <x:v>465</x:v>
      </x:c>
      <x:c r="B469" s="22" t="str">
        <x:v>人物幸运不超过8</x:v>
      </x:c>
      <x:c r="C469" s="22" t="str">
        <x:v>通过</x:v>
      </x:c>
      <x:c r="D469" s="22" t="str">
        <x:v>P0197</x:v>
      </x:c>
    </x:row>
    <x:row r="470" ht="24" customHeight="1">
      <x:c r="A470" s="22" t="n">
        <x:v>466</x:v>
      </x:c>
      <x:c r="B470" s="22" t="str">
        <x:v>同名命格不重复</x:v>
      </x:c>
      <x:c r="C470" s="22" t="str">
        <x:v>通过</x:v>
      </x:c>
      <x:c r="D470" s="22" t="str">
        <x:v>P0198</x:v>
      </x:c>
    </x:row>
    <x:row r="471" ht="24" customHeight="1">
      <x:c r="A471" s="22" t="n">
        <x:v>467</x:v>
      </x:c>
      <x:c r="B471" s="22" t="str">
        <x:v>人物幸运不超过8</x:v>
      </x:c>
      <x:c r="C471" s="22" t="str">
        <x:v>通过</x:v>
      </x:c>
      <x:c r="D471" s="22" t="str">
        <x:v>P0198</x:v>
      </x:c>
    </x:row>
    <x:row r="472" ht="24" customHeight="1">
      <x:c r="A472" s="22" t="n">
        <x:v>468</x:v>
      </x:c>
      <x:c r="B472" s="22" t="str">
        <x:v>同名命格不重复</x:v>
      </x:c>
      <x:c r="C472" s="22" t="str">
        <x:v>通过</x:v>
      </x:c>
      <x:c r="D472" s="22" t="str">
        <x:v>P0199</x:v>
      </x:c>
    </x:row>
    <x:row r="473" ht="24" customHeight="1">
      <x:c r="A473" s="22" t="n">
        <x:v>469</x:v>
      </x:c>
      <x:c r="B473" s="22" t="str">
        <x:v>人物幸运不超过8</x:v>
      </x:c>
      <x:c r="C473" s="22" t="str">
        <x:v>通过</x:v>
      </x:c>
      <x:c r="D473" s="22" t="str">
        <x:v>P0199</x:v>
      </x:c>
    </x:row>
    <x:row r="474" ht="24" customHeight="1">
      <x:c r="A474" s="22" t="n">
        <x:v>470</x:v>
      </x:c>
      <x:c r="B474" s="22" t="str">
        <x:v>同名命格不重复</x:v>
      </x:c>
      <x:c r="C474" s="22" t="str">
        <x:v>通过</x:v>
      </x:c>
      <x:c r="D474" s="22" t="str">
        <x:v>P0200</x:v>
      </x:c>
    </x:row>
    <x:row r="475" ht="24" customHeight="1">
      <x:c r="A475" s="22" t="n">
        <x:v>471</x:v>
      </x:c>
      <x:c r="B475" s="22" t="str">
        <x:v>人物幸运不超过8</x:v>
      </x:c>
      <x:c r="C475" s="22" t="str">
        <x:v>通过</x:v>
      </x:c>
      <x:c r="D475" s="22" t="str">
        <x:v>P0200</x:v>
      </x:c>
    </x:row>
    <x:row r="476" ht="24" customHeight="1">
      <x:c r="A476" s="22" t="n">
        <x:v>472</x:v>
      </x:c>
      <x:c r="B476" s="22" t="str">
        <x:v>同名命格不重复</x:v>
      </x:c>
      <x:c r="C476" s="22" t="str">
        <x:v>通过</x:v>
      </x:c>
      <x:c r="D476" s="22" t="str">
        <x:v>P0201</x:v>
      </x:c>
    </x:row>
    <x:row r="477" ht="24" customHeight="1">
      <x:c r="A477" s="22" t="n">
        <x:v>473</x:v>
      </x:c>
      <x:c r="B477" s="22" t="str">
        <x:v>人物幸运不超过8</x:v>
      </x:c>
      <x:c r="C477" s="22" t="str">
        <x:v>通过</x:v>
      </x:c>
      <x:c r="D477" s="22" t="str">
        <x:v>P0201</x:v>
      </x:c>
    </x:row>
    <x:row r="478" ht="24" customHeight="1">
      <x:c r="A478" s="22" t="n">
        <x:v>474</x:v>
      </x:c>
      <x:c r="B478" s="22" t="str">
        <x:v>同名命格不重复</x:v>
      </x:c>
      <x:c r="C478" s="22" t="str">
        <x:v>通过</x:v>
      </x:c>
      <x:c r="D478" s="22" t="str">
        <x:v>P0202</x:v>
      </x:c>
    </x:row>
    <x:row r="479" ht="24" customHeight="1">
      <x:c r="A479" s="22" t="n">
        <x:v>475</x:v>
      </x:c>
      <x:c r="B479" s="22" t="str">
        <x:v>人物幸运不超过8</x:v>
      </x:c>
      <x:c r="C479" s="22" t="str">
        <x:v>通过</x:v>
      </x:c>
      <x:c r="D479" s="22" t="str">
        <x:v>P0202</x:v>
      </x:c>
    </x:row>
    <x:row r="480" ht="24" customHeight="1">
      <x:c r="A480" s="22" t="n">
        <x:v>476</x:v>
      </x:c>
      <x:c r="B480" s="22" t="str">
        <x:v>普通50-70%不夹带永久成长</x:v>
      </x:c>
      <x:c r="C480" s="22" t="str">
        <x:v>通过</x:v>
      </x:c>
      <x:c r="D480" s="22" t="str">
        <x:v>P0202</x:v>
      </x:c>
    </x:row>
    <x:row r="481" ht="24" customHeight="1">
      <x:c r="A481" s="22" t="n">
        <x:v>477</x:v>
      </x:c>
      <x:c r="B481" s="22" t="str">
        <x:v>普通取得比例</x:v>
      </x:c>
      <x:c r="C481" s="22" t="str">
        <x:v>通过</x:v>
      </x:c>
      <x:c r="D481" s="22" t="str">
        <x:v>P0202</x:v>
      </x:c>
    </x:row>
    <x:row r="482" ht="24" customHeight="1">
      <x:c r="A482" s="22" t="n">
        <x:v>478</x:v>
      </x:c>
      <x:c r="B482" s="22" t="str">
        <x:v>同名命格不重复</x:v>
      </x:c>
      <x:c r="C482" s="22" t="str">
        <x:v>通过</x:v>
      </x:c>
      <x:c r="D482" s="22" t="str">
        <x:v>P0203</x:v>
      </x:c>
    </x:row>
    <x:row r="483" ht="24" customHeight="1">
      <x:c r="A483" s="22" t="n">
        <x:v>479</x:v>
      </x:c>
      <x:c r="B483" s="22" t="str">
        <x:v>人物幸运不超过8</x:v>
      </x:c>
      <x:c r="C483" s="22" t="str">
        <x:v>通过</x:v>
      </x:c>
      <x:c r="D483" s="22" t="str">
        <x:v>P0203</x:v>
      </x:c>
    </x:row>
    <x:row r="484" ht="24" customHeight="1">
      <x:c r="A484" s="22" t="n">
        <x:v>480</x:v>
      </x:c>
      <x:c r="B484" s="22" t="str">
        <x:v>同名命格不重复</x:v>
      </x:c>
      <x:c r="C484" s="22" t="str">
        <x:v>通过</x:v>
      </x:c>
      <x:c r="D484" s="22" t="str">
        <x:v>P0204</x:v>
      </x:c>
    </x:row>
    <x:row r="485" ht="24" customHeight="1">
      <x:c r="A485" s="22" t="n">
        <x:v>481</x:v>
      </x:c>
      <x:c r="B485" s="22" t="str">
        <x:v>人物幸运不超过8</x:v>
      </x:c>
      <x:c r="C485" s="22" t="str">
        <x:v>通过</x:v>
      </x:c>
      <x:c r="D485" s="22" t="str">
        <x:v>P0204</x:v>
      </x:c>
    </x:row>
    <x:row r="486" ht="24" customHeight="1">
      <x:c r="A486" s="22" t="n">
        <x:v>482</x:v>
      </x:c>
      <x:c r="B486" s="22" t="str">
        <x:v>同名命格不重复</x:v>
      </x:c>
      <x:c r="C486" s="22" t="str">
        <x:v>通过</x:v>
      </x:c>
      <x:c r="D486" s="22" t="str">
        <x:v>P0205</x:v>
      </x:c>
    </x:row>
    <x:row r="487" ht="24" customHeight="1">
      <x:c r="A487" s="22" t="n">
        <x:v>483</x:v>
      </x:c>
      <x:c r="B487" s="22" t="str">
        <x:v>人物幸运不超过8</x:v>
      </x:c>
      <x:c r="C487" s="22" t="str">
        <x:v>通过</x:v>
      </x:c>
      <x:c r="D487" s="22" t="str">
        <x:v>P0205</x:v>
      </x:c>
    </x:row>
    <x:row r="488" ht="24" customHeight="1">
      <x:c r="A488" s="22" t="n">
        <x:v>484</x:v>
      </x:c>
      <x:c r="B488" s="22" t="str">
        <x:v>同名命格不重复</x:v>
      </x:c>
      <x:c r="C488" s="22" t="str">
        <x:v>通过</x:v>
      </x:c>
      <x:c r="D488" s="22" t="str">
        <x:v>P0206</x:v>
      </x:c>
    </x:row>
    <x:row r="489" ht="24" customHeight="1">
      <x:c r="A489" s="22" t="n">
        <x:v>485</x:v>
      </x:c>
      <x:c r="B489" s="22" t="str">
        <x:v>人物幸运不超过8</x:v>
      </x:c>
      <x:c r="C489" s="22" t="str">
        <x:v>通过</x:v>
      </x:c>
      <x:c r="D489" s="22" t="str">
        <x:v>P0206</x:v>
      </x:c>
    </x:row>
    <x:row r="490" ht="24" customHeight="1">
      <x:c r="A490" s="22" t="n">
        <x:v>486</x:v>
      </x:c>
      <x:c r="B490" s="22" t="str">
        <x:v>同名命格不重复</x:v>
      </x:c>
      <x:c r="C490" s="22" t="str">
        <x:v>通过</x:v>
      </x:c>
      <x:c r="D490" s="22" t="str">
        <x:v>P0207</x:v>
      </x:c>
    </x:row>
    <x:row r="491" ht="24" customHeight="1">
      <x:c r="A491" s="22" t="n">
        <x:v>487</x:v>
      </x:c>
      <x:c r="B491" s="22" t="str">
        <x:v>人物幸运不超过8</x:v>
      </x:c>
      <x:c r="C491" s="22" t="str">
        <x:v>通过</x:v>
      </x:c>
      <x:c r="D491" s="22" t="str">
        <x:v>P0207</x:v>
      </x:c>
    </x:row>
    <x:row r="492" ht="24" customHeight="1">
      <x:c r="A492" s="22" t="n">
        <x:v>488</x:v>
      </x:c>
      <x:c r="B492" s="22" t="str">
        <x:v>同名命格不重复</x:v>
      </x:c>
      <x:c r="C492" s="22" t="str">
        <x:v>通过</x:v>
      </x:c>
      <x:c r="D492" s="22" t="str">
        <x:v>P0208</x:v>
      </x:c>
    </x:row>
    <x:row r="493" ht="24" customHeight="1">
      <x:c r="A493" s="22" t="n">
        <x:v>489</x:v>
      </x:c>
      <x:c r="B493" s="22" t="str">
        <x:v>人物幸运不超过8</x:v>
      </x:c>
      <x:c r="C493" s="22" t="str">
        <x:v>通过</x:v>
      </x:c>
      <x:c r="D493" s="22" t="str">
        <x:v>P0208</x:v>
      </x:c>
    </x:row>
    <x:row r="494" ht="24" customHeight="1">
      <x:c r="A494" s="22" t="n">
        <x:v>490</x:v>
      </x:c>
      <x:c r="B494" s="22" t="str">
        <x:v>同名命格不重复</x:v>
      </x:c>
      <x:c r="C494" s="22" t="str">
        <x:v>通过</x:v>
      </x:c>
      <x:c r="D494" s="22" t="str">
        <x:v>P0209</x:v>
      </x:c>
    </x:row>
    <x:row r="495" ht="24" customHeight="1">
      <x:c r="A495" s="22" t="n">
        <x:v>491</x:v>
      </x:c>
      <x:c r="B495" s="22" t="str">
        <x:v>人物幸运不超过8</x:v>
      </x:c>
      <x:c r="C495" s="22" t="str">
        <x:v>通过</x:v>
      </x:c>
      <x:c r="D495" s="22" t="str">
        <x:v>P0209</x:v>
      </x:c>
    </x:row>
    <x:row r="496" ht="24" customHeight="1">
      <x:c r="A496" s="22" t="n">
        <x:v>492</x:v>
      </x:c>
      <x:c r="B496" s="22" t="str">
        <x:v>守关前必做合成齐全</x:v>
      </x:c>
      <x:c r="C496" s="22" t="str">
        <x:v>通过</x:v>
      </x:c>
      <x:c r="D496" s="22" t="str">
        <x:v>6</x:v>
      </x:c>
    </x:row>
    <x:row r="497" ht="24" customHeight="1">
      <x:c r="A497" s="22" t="n">
        <x:v>493</x:v>
      </x:c>
      <x:c r="B497" s="22" t="str">
        <x:v>首次挑战未取得本守关装备</x:v>
      </x:c>
      <x:c r="C497" s="22" t="str">
        <x:v>通过</x:v>
      </x:c>
      <x:c r="D497" s="22" t="str">
        <x:v>碎星狮王·拉塔恩</x:v>
      </x:c>
    </x:row>
    <x:row r="498" ht="24" customHeight="1">
      <x:c r="A498" s="22" t="n">
        <x:v>494</x:v>
      </x:c>
      <x:c r="B498" s="22" t="str">
        <x:v>同名命格不重复</x:v>
      </x:c>
      <x:c r="C498" s="22" t="str">
        <x:v>通过</x:v>
      </x:c>
      <x:c r="D498" s="22" t="str">
        <x:v>P0210</x:v>
      </x:c>
    </x:row>
    <x:row r="499" ht="24" customHeight="1">
      <x:c r="A499" s="22" t="n">
        <x:v>495</x:v>
      </x:c>
      <x:c r="B499" s="22" t="str">
        <x:v>人物幸运不超过8</x:v>
      </x:c>
      <x:c r="C499" s="22" t="str">
        <x:v>通过</x:v>
      </x:c>
      <x:c r="D499" s="22" t="str">
        <x:v>P0210</x:v>
      </x:c>
    </x:row>
    <x:row r="500" ht="24" customHeight="1">
      <x:c r="A500" s="22" t="n">
        <x:v>496</x:v>
      </x:c>
      <x:c r="B500" s="22" t="str">
        <x:v>同名命格不重复</x:v>
      </x:c>
      <x:c r="C500" s="22" t="str">
        <x:v>通过</x:v>
      </x:c>
      <x:c r="D500" s="22" t="str">
        <x:v>P0211</x:v>
      </x:c>
    </x:row>
    <x:row r="501" ht="24" customHeight="1">
      <x:c r="A501" s="22" t="n">
        <x:v>497</x:v>
      </x:c>
      <x:c r="B501" s="22" t="str">
        <x:v>人物幸运不超过8</x:v>
      </x:c>
      <x:c r="C501" s="22" t="str">
        <x:v>通过</x:v>
      </x:c>
      <x:c r="D501" s="22" t="str">
        <x:v>P0211</x:v>
      </x:c>
    </x:row>
    <x:row r="502" ht="24" customHeight="1">
      <x:c r="A502" s="22" t="n">
        <x:v>498</x:v>
      </x:c>
      <x:c r="B502" s="22" t="str">
        <x:v>跨大陆永久与穿戴继承</x:v>
      </x:c>
      <x:c r="C502" s="22" t="str">
        <x:v>通过</x:v>
      </x:c>
      <x:c r="D502" s="22" t="str">
        <x:v>7</x:v>
      </x:c>
    </x:row>
    <x:row r="503" ht="24" customHeight="1">
      <x:c r="A503" s="22" t="n">
        <x:v>499</x:v>
      </x:c>
      <x:c r="B503" s="22" t="str">
        <x:v>同名命格不重复</x:v>
      </x:c>
      <x:c r="C503" s="22" t="str">
        <x:v>通过</x:v>
      </x:c>
      <x:c r="D503" s="22" t="str">
        <x:v>P0212</x:v>
      </x:c>
    </x:row>
    <x:row r="504" ht="24" customHeight="1">
      <x:c r="A504" s="22" t="n">
        <x:v>500</x:v>
      </x:c>
      <x:c r="B504" s="22" t="str">
        <x:v>人物幸运不超过8</x:v>
      </x:c>
      <x:c r="C504" s="22" t="str">
        <x:v>通过</x:v>
      </x:c>
      <x:c r="D504" s="22" t="str">
        <x:v>P0212</x:v>
      </x:c>
    </x:row>
    <x:row r="505" ht="24" customHeight="1">
      <x:c r="A505" s="22" t="n">
        <x:v>501</x:v>
      </x:c>
      <x:c r="B505" s="22" t="str">
        <x:v>同名命格不重复</x:v>
      </x:c>
      <x:c r="C505" s="22" t="str">
        <x:v>通过</x:v>
      </x:c>
      <x:c r="D505" s="22" t="str">
        <x:v>P0213</x:v>
      </x:c>
    </x:row>
    <x:row r="506" ht="24" customHeight="1">
      <x:c r="A506" s="22" t="n">
        <x:v>502</x:v>
      </x:c>
      <x:c r="B506" s="22" t="str">
        <x:v>人物幸运不超过8</x:v>
      </x:c>
      <x:c r="C506" s="22" t="str">
        <x:v>通过</x:v>
      </x:c>
      <x:c r="D506" s="22" t="str">
        <x:v>P0213</x:v>
      </x:c>
    </x:row>
    <x:row r="507" ht="24" customHeight="1">
      <x:c r="A507" s="22" t="n">
        <x:v>503</x:v>
      </x:c>
      <x:c r="B507" s="22" t="str">
        <x:v>同名命格不重复</x:v>
      </x:c>
      <x:c r="C507" s="22" t="str">
        <x:v>通过</x:v>
      </x:c>
      <x:c r="D507" s="22" t="str">
        <x:v>P0214</x:v>
      </x:c>
    </x:row>
    <x:row r="508" ht="24" customHeight="1">
      <x:c r="A508" s="22" t="n">
        <x:v>504</x:v>
      </x:c>
      <x:c r="B508" s="22" t="str">
        <x:v>人物幸运不超过8</x:v>
      </x:c>
      <x:c r="C508" s="22" t="str">
        <x:v>通过</x:v>
      </x:c>
      <x:c r="D508" s="22" t="str">
        <x:v>P0214</x:v>
      </x:c>
    </x:row>
    <x:row r="509" ht="24" customHeight="1">
      <x:c r="A509" s="22" t="n">
        <x:v>505</x:v>
      </x:c>
      <x:c r="B509" s="22" t="str">
        <x:v>普通50-70%不夹带永久成长</x:v>
      </x:c>
      <x:c r="C509" s="22" t="str">
        <x:v>通过</x:v>
      </x:c>
      <x:c r="D509" s="22" t="str">
        <x:v>P0214</x:v>
      </x:c>
    </x:row>
    <x:row r="510" ht="24" customHeight="1">
      <x:c r="A510" s="22" t="n">
        <x:v>506</x:v>
      </x:c>
      <x:c r="B510" s="22" t="str">
        <x:v>普通取得比例</x:v>
      </x:c>
      <x:c r="C510" s="22" t="str">
        <x:v>通过</x:v>
      </x:c>
      <x:c r="D510" s="22" t="str">
        <x:v>P0214</x:v>
      </x:c>
    </x:row>
    <x:row r="511" ht="24" customHeight="1">
      <x:c r="A511" s="22" t="n">
        <x:v>507</x:v>
      </x:c>
      <x:c r="B511" s="22" t="str">
        <x:v>同名命格不重复</x:v>
      </x:c>
      <x:c r="C511" s="22" t="str">
        <x:v>通过</x:v>
      </x:c>
      <x:c r="D511" s="22" t="str">
        <x:v>P0215</x:v>
      </x:c>
    </x:row>
    <x:row r="512" ht="24" customHeight="1">
      <x:c r="A512" s="22" t="n">
        <x:v>508</x:v>
      </x:c>
      <x:c r="B512" s="22" t="str">
        <x:v>人物幸运不超过8</x:v>
      </x:c>
      <x:c r="C512" s="22" t="str">
        <x:v>通过</x:v>
      </x:c>
      <x:c r="D512" s="22" t="str">
        <x:v>P0215</x:v>
      </x:c>
    </x:row>
    <x:row r="513" ht="24" customHeight="1">
      <x:c r="A513" s="22" t="n">
        <x:v>509</x:v>
      </x:c>
      <x:c r="B513" s="22" t="str">
        <x:v>同名命格不重复</x:v>
      </x:c>
      <x:c r="C513" s="22" t="str">
        <x:v>通过</x:v>
      </x:c>
      <x:c r="D513" s="22" t="str">
        <x:v>P0216</x:v>
      </x:c>
    </x:row>
    <x:row r="514" ht="24" customHeight="1">
      <x:c r="A514" s="22" t="n">
        <x:v>510</x:v>
      </x:c>
      <x:c r="B514" s="22" t="str">
        <x:v>人物幸运不超过8</x:v>
      </x:c>
      <x:c r="C514" s="22" t="str">
        <x:v>通过</x:v>
      </x:c>
      <x:c r="D514" s="22" t="str">
        <x:v>P0216</x:v>
      </x:c>
    </x:row>
    <x:row r="515" ht="24" customHeight="1">
      <x:c r="A515" s="22" t="n">
        <x:v>511</x:v>
      </x:c>
      <x:c r="B515" s="22" t="str">
        <x:v>同名命格不重复</x:v>
      </x:c>
      <x:c r="C515" s="22" t="str">
        <x:v>通过</x:v>
      </x:c>
      <x:c r="D515" s="22" t="str">
        <x:v>P0217</x:v>
      </x:c>
    </x:row>
    <x:row r="516" ht="24" customHeight="1">
      <x:c r="A516" s="22" t="n">
        <x:v>512</x:v>
      </x:c>
      <x:c r="B516" s="22" t="str">
        <x:v>人物幸运不超过8</x:v>
      </x:c>
      <x:c r="C516" s="22" t="str">
        <x:v>通过</x:v>
      </x:c>
      <x:c r="D516" s="22" t="str">
        <x:v>P0217</x:v>
      </x:c>
    </x:row>
    <x:row r="517" ht="24" customHeight="1">
      <x:c r="A517" s="22" t="n">
        <x:v>513</x:v>
      </x:c>
      <x:c r="B517" s="22" t="str">
        <x:v>同名命格不重复</x:v>
      </x:c>
      <x:c r="C517" s="22" t="str">
        <x:v>通过</x:v>
      </x:c>
      <x:c r="D517" s="22" t="str">
        <x:v>P0218</x:v>
      </x:c>
    </x:row>
    <x:row r="518" ht="24" customHeight="1">
      <x:c r="A518" s="22" t="n">
        <x:v>514</x:v>
      </x:c>
      <x:c r="B518" s="22" t="str">
        <x:v>人物幸运不超过8</x:v>
      </x:c>
      <x:c r="C518" s="22" t="str">
        <x:v>通过</x:v>
      </x:c>
      <x:c r="D518" s="22" t="str">
        <x:v>P0218</x:v>
      </x:c>
    </x:row>
    <x:row r="519" ht="24" customHeight="1">
      <x:c r="A519" s="22" t="n">
        <x:v>515</x:v>
      </x:c>
      <x:c r="B519" s="22" t="str">
        <x:v>同名命格不重复</x:v>
      </x:c>
      <x:c r="C519" s="22" t="str">
        <x:v>通过</x:v>
      </x:c>
      <x:c r="D519" s="22" t="str">
        <x:v>P0219</x:v>
      </x:c>
    </x:row>
    <x:row r="520" ht="24" customHeight="1">
      <x:c r="A520" s="22" t="n">
        <x:v>516</x:v>
      </x:c>
      <x:c r="B520" s="22" t="str">
        <x:v>人物幸运不超过8</x:v>
      </x:c>
      <x:c r="C520" s="22" t="str">
        <x:v>通过</x:v>
      </x:c>
      <x:c r="D520" s="22" t="str">
        <x:v>P0219</x:v>
      </x:c>
    </x:row>
    <x:row r="521" ht="24" customHeight="1">
      <x:c r="A521" s="22" t="n">
        <x:v>517</x:v>
      </x:c>
      <x:c r="B521" s="22" t="str">
        <x:v>同名命格不重复</x:v>
      </x:c>
      <x:c r="C521" s="22" t="str">
        <x:v>通过</x:v>
      </x:c>
      <x:c r="D521" s="22" t="str">
        <x:v>P0220</x:v>
      </x:c>
    </x:row>
    <x:row r="522" ht="24" customHeight="1">
      <x:c r="A522" s="22" t="n">
        <x:v>518</x:v>
      </x:c>
      <x:c r="B522" s="22" t="str">
        <x:v>人物幸运不超过8</x:v>
      </x:c>
      <x:c r="C522" s="22" t="str">
        <x:v>通过</x:v>
      </x:c>
      <x:c r="D522" s="22" t="str">
        <x:v>P0220</x:v>
      </x:c>
    </x:row>
    <x:row r="523" ht="24" customHeight="1">
      <x:c r="A523" s="22" t="n">
        <x:v>519</x:v>
      </x:c>
      <x:c r="B523" s="22" t="str">
        <x:v>普通50-70%不夹带永久成长</x:v>
      </x:c>
      <x:c r="C523" s="22" t="str">
        <x:v>通过</x:v>
      </x:c>
      <x:c r="D523" s="22" t="str">
        <x:v>P0220</x:v>
      </x:c>
    </x:row>
    <x:row r="524" ht="24" customHeight="1">
      <x:c r="A524" s="22" t="n">
        <x:v>520</x:v>
      </x:c>
      <x:c r="B524" s="22" t="str">
        <x:v>普通取得比例</x:v>
      </x:c>
      <x:c r="C524" s="22" t="str">
        <x:v>通过</x:v>
      </x:c>
      <x:c r="D524" s="22" t="str">
        <x:v>P0220</x:v>
      </x:c>
    </x:row>
    <x:row r="525" ht="24" customHeight="1">
      <x:c r="A525" s="22" t="n">
        <x:v>521</x:v>
      </x:c>
      <x:c r="B525" s="22" t="str">
        <x:v>同名命格不重复</x:v>
      </x:c>
      <x:c r="C525" s="22" t="str">
        <x:v>通过</x:v>
      </x:c>
      <x:c r="D525" s="22" t="str">
        <x:v>P0221</x:v>
      </x:c>
    </x:row>
    <x:row r="526" ht="24" customHeight="1">
      <x:c r="A526" s="22" t="n">
        <x:v>522</x:v>
      </x:c>
      <x:c r="B526" s="22" t="str">
        <x:v>人物幸运不超过8</x:v>
      </x:c>
      <x:c r="C526" s="22" t="str">
        <x:v>通过</x:v>
      </x:c>
      <x:c r="D526" s="22" t="str">
        <x:v>P0221</x:v>
      </x:c>
    </x:row>
    <x:row r="527" ht="24" customHeight="1">
      <x:c r="A527" s="22" t="n">
        <x:v>523</x:v>
      </x:c>
      <x:c r="B527" s="22" t="str">
        <x:v>同名命格不重复</x:v>
      </x:c>
      <x:c r="C527" s="22" t="str">
        <x:v>通过</x:v>
      </x:c>
      <x:c r="D527" s="22" t="str">
        <x:v>P0222</x:v>
      </x:c>
    </x:row>
    <x:row r="528" ht="24" customHeight="1">
      <x:c r="A528" s="22" t="n">
        <x:v>524</x:v>
      </x:c>
      <x:c r="B528" s="22" t="str">
        <x:v>人物幸运不超过8</x:v>
      </x:c>
      <x:c r="C528" s="22" t="str">
        <x:v>通过</x:v>
      </x:c>
      <x:c r="D528" s="22" t="str">
        <x:v>P0222</x:v>
      </x:c>
    </x:row>
    <x:row r="529" ht="24" customHeight="1">
      <x:c r="A529" s="22" t="n">
        <x:v>525</x:v>
      </x:c>
      <x:c r="B529" s="22" t="str">
        <x:v>同名命格不重复</x:v>
      </x:c>
      <x:c r="C529" s="22" t="str">
        <x:v>通过</x:v>
      </x:c>
      <x:c r="D529" s="22" t="str">
        <x:v>P0223</x:v>
      </x:c>
    </x:row>
    <x:row r="530" ht="24" customHeight="1">
      <x:c r="A530" s="22" t="n">
        <x:v>526</x:v>
      </x:c>
      <x:c r="B530" s="22" t="str">
        <x:v>人物幸运不超过8</x:v>
      </x:c>
      <x:c r="C530" s="22" t="str">
        <x:v>通过</x:v>
      </x:c>
      <x:c r="D530" s="22" t="str">
        <x:v>P0223</x:v>
      </x:c>
    </x:row>
    <x:row r="531" ht="24" customHeight="1">
      <x:c r="A531" s="22" t="n">
        <x:v>527</x:v>
      </x:c>
      <x:c r="B531" s="22" t="str">
        <x:v>同名命格不重复</x:v>
      </x:c>
      <x:c r="C531" s="22" t="str">
        <x:v>通过</x:v>
      </x:c>
      <x:c r="D531" s="22" t="str">
        <x:v>P0224</x:v>
      </x:c>
    </x:row>
    <x:row r="532" ht="24" customHeight="1">
      <x:c r="A532" s="22" t="n">
        <x:v>528</x:v>
      </x:c>
      <x:c r="B532" s="22" t="str">
        <x:v>人物幸运不超过8</x:v>
      </x:c>
      <x:c r="C532" s="22" t="str">
        <x:v>通过</x:v>
      </x:c>
      <x:c r="D532" s="22" t="str">
        <x:v>P0224</x:v>
      </x:c>
    </x:row>
    <x:row r="533" ht="24" customHeight="1">
      <x:c r="A533" s="22" t="n">
        <x:v>529</x:v>
      </x:c>
      <x:c r="B533" s="22" t="str">
        <x:v>同名命格不重复</x:v>
      </x:c>
      <x:c r="C533" s="22" t="str">
        <x:v>通过</x:v>
      </x:c>
      <x:c r="D533" s="22" t="str">
        <x:v>P0225</x:v>
      </x:c>
    </x:row>
    <x:row r="534" ht="24" customHeight="1">
      <x:c r="A534" s="22" t="n">
        <x:v>530</x:v>
      </x:c>
      <x:c r="B534" s="22" t="str">
        <x:v>人物幸运不超过8</x:v>
      </x:c>
      <x:c r="C534" s="22" t="str">
        <x:v>通过</x:v>
      </x:c>
      <x:c r="D534" s="22" t="str">
        <x:v>P0225</x:v>
      </x:c>
    </x:row>
    <x:row r="535" ht="24" customHeight="1">
      <x:c r="A535" s="22" t="n">
        <x:v>531</x:v>
      </x:c>
      <x:c r="B535" s="22" t="str">
        <x:v>同名命格不重复</x:v>
      </x:c>
      <x:c r="C535" s="22" t="str">
        <x:v>通过</x:v>
      </x:c>
      <x:c r="D535" s="22" t="str">
        <x:v>P0226</x:v>
      </x:c>
    </x:row>
    <x:row r="536" ht="24" customHeight="1">
      <x:c r="A536" s="22" t="n">
        <x:v>532</x:v>
      </x:c>
      <x:c r="B536" s="22" t="str">
        <x:v>人物幸运不超过8</x:v>
      </x:c>
      <x:c r="C536" s="22" t="str">
        <x:v>通过</x:v>
      </x:c>
      <x:c r="D536" s="22" t="str">
        <x:v>P0226</x:v>
      </x:c>
    </x:row>
    <x:row r="537" ht="24" customHeight="1">
      <x:c r="A537" s="22" t="n">
        <x:v>533</x:v>
      </x:c>
      <x:c r="B537" s="22" t="str">
        <x:v>普通50-70%不夹带永久成长</x:v>
      </x:c>
      <x:c r="C537" s="22" t="str">
        <x:v>通过</x:v>
      </x:c>
      <x:c r="D537" s="22" t="str">
        <x:v>P0226</x:v>
      </x:c>
    </x:row>
    <x:row r="538" ht="24" customHeight="1">
      <x:c r="A538" s="22" t="n">
        <x:v>534</x:v>
      </x:c>
      <x:c r="B538" s="22" t="str">
        <x:v>普通取得比例</x:v>
      </x:c>
      <x:c r="C538" s="22" t="str">
        <x:v>通过</x:v>
      </x:c>
      <x:c r="D538" s="22" t="str">
        <x:v>P0226</x:v>
      </x:c>
    </x:row>
    <x:row r="539" ht="24" customHeight="1">
      <x:c r="A539" s="22" t="n">
        <x:v>535</x:v>
      </x:c>
      <x:c r="B539" s="22" t="str">
        <x:v>同名命格不重复</x:v>
      </x:c>
      <x:c r="C539" s="22" t="str">
        <x:v>通过</x:v>
      </x:c>
      <x:c r="D539" s="22" t="str">
        <x:v>P0227</x:v>
      </x:c>
    </x:row>
    <x:row r="540" ht="24" customHeight="1">
      <x:c r="A540" s="22" t="n">
        <x:v>536</x:v>
      </x:c>
      <x:c r="B540" s="22" t="str">
        <x:v>人物幸运不超过8</x:v>
      </x:c>
      <x:c r="C540" s="22" t="str">
        <x:v>通过</x:v>
      </x:c>
      <x:c r="D540" s="22" t="str">
        <x:v>P0227</x:v>
      </x:c>
    </x:row>
    <x:row r="541" ht="24" customHeight="1">
      <x:c r="A541" s="22" t="n">
        <x:v>537</x:v>
      </x:c>
      <x:c r="B541" s="22" t="str">
        <x:v>同名命格不重复</x:v>
      </x:c>
      <x:c r="C541" s="22" t="str">
        <x:v>通过</x:v>
      </x:c>
      <x:c r="D541" s="22" t="str">
        <x:v>P0228</x:v>
      </x:c>
    </x:row>
    <x:row r="542" ht="24" customHeight="1">
      <x:c r="A542" s="22" t="n">
        <x:v>538</x:v>
      </x:c>
      <x:c r="B542" s="22" t="str">
        <x:v>人物幸运不超过8</x:v>
      </x:c>
      <x:c r="C542" s="22" t="str">
        <x:v>通过</x:v>
      </x:c>
      <x:c r="D542" s="22" t="str">
        <x:v>P0228</x:v>
      </x:c>
    </x:row>
    <x:row r="543" ht="24" customHeight="1">
      <x:c r="A543" s="22" t="n">
        <x:v>539</x:v>
      </x:c>
      <x:c r="B543" s="22" t="str">
        <x:v>同名命格不重复</x:v>
      </x:c>
      <x:c r="C543" s="22" t="str">
        <x:v>通过</x:v>
      </x:c>
      <x:c r="D543" s="22" t="str">
        <x:v>P0229</x:v>
      </x:c>
    </x:row>
    <x:row r="544" ht="24" customHeight="1">
      <x:c r="A544" s="22" t="n">
        <x:v>540</x:v>
      </x:c>
      <x:c r="B544" s="22" t="str">
        <x:v>人物幸运不超过8</x:v>
      </x:c>
      <x:c r="C544" s="22" t="str">
        <x:v>通过</x:v>
      </x:c>
      <x:c r="D544" s="22" t="str">
        <x:v>P0229</x:v>
      </x:c>
    </x:row>
    <x:row r="545" ht="24" customHeight="1">
      <x:c r="A545" s="22" t="n">
        <x:v>541</x:v>
      </x:c>
      <x:c r="B545" s="22" t="str">
        <x:v>同名命格不重复</x:v>
      </x:c>
      <x:c r="C545" s="22" t="str">
        <x:v>通过</x:v>
      </x:c>
      <x:c r="D545" s="22" t="str">
        <x:v>P0230</x:v>
      </x:c>
    </x:row>
    <x:row r="546" ht="24" customHeight="1">
      <x:c r="A546" s="22" t="n">
        <x:v>542</x:v>
      </x:c>
      <x:c r="B546" s="22" t="str">
        <x:v>人物幸运不超过8</x:v>
      </x:c>
      <x:c r="C546" s="22" t="str">
        <x:v>通过</x:v>
      </x:c>
      <x:c r="D546" s="22" t="str">
        <x:v>P0230</x:v>
      </x:c>
    </x:row>
    <x:row r="547" ht="24" customHeight="1">
      <x:c r="A547" s="22" t="n">
        <x:v>543</x:v>
      </x:c>
      <x:c r="B547" s="22" t="str">
        <x:v>同名命格不重复</x:v>
      </x:c>
      <x:c r="C547" s="22" t="str">
        <x:v>通过</x:v>
      </x:c>
      <x:c r="D547" s="22" t="str">
        <x:v>P0231</x:v>
      </x:c>
    </x:row>
    <x:row r="548" ht="24" customHeight="1">
      <x:c r="A548" s="22" t="n">
        <x:v>544</x:v>
      </x:c>
      <x:c r="B548" s="22" t="str">
        <x:v>人物幸运不超过8</x:v>
      </x:c>
      <x:c r="C548" s="22" t="str">
        <x:v>通过</x:v>
      </x:c>
      <x:c r="D548" s="22" t="str">
        <x:v>P0231</x:v>
      </x:c>
    </x:row>
    <x:row r="549" ht="24" customHeight="1">
      <x:c r="A549" s="22" t="n">
        <x:v>545</x:v>
      </x:c>
      <x:c r="B549" s="22" t="str">
        <x:v>同名命格不重复</x:v>
      </x:c>
      <x:c r="C549" s="22" t="str">
        <x:v>通过</x:v>
      </x:c>
      <x:c r="D549" s="22" t="str">
        <x:v>P0232</x:v>
      </x:c>
    </x:row>
    <x:row r="550" ht="24" customHeight="1">
      <x:c r="A550" s="22" t="n">
        <x:v>546</x:v>
      </x:c>
      <x:c r="B550" s="22" t="str">
        <x:v>人物幸运不超过8</x:v>
      </x:c>
      <x:c r="C550" s="22" t="str">
        <x:v>通过</x:v>
      </x:c>
      <x:c r="D550" s="22" t="str">
        <x:v>P0232</x:v>
      </x:c>
    </x:row>
    <x:row r="551" ht="24" customHeight="1">
      <x:c r="A551" s="22" t="n">
        <x:v>547</x:v>
      </x:c>
      <x:c r="B551" s="22" t="str">
        <x:v>同名命格不重复</x:v>
      </x:c>
      <x:c r="C551" s="22" t="str">
        <x:v>通过</x:v>
      </x:c>
      <x:c r="D551" s="22" t="str">
        <x:v>P0233</x:v>
      </x:c>
    </x:row>
    <x:row r="552" ht="24" customHeight="1">
      <x:c r="A552" s="22" t="n">
        <x:v>548</x:v>
      </x:c>
      <x:c r="B552" s="22" t="str">
        <x:v>人物幸运不超过8</x:v>
      </x:c>
      <x:c r="C552" s="22" t="str">
        <x:v>通过</x:v>
      </x:c>
      <x:c r="D552" s="22" t="str">
        <x:v>P0233</x:v>
      </x:c>
    </x:row>
    <x:row r="553" ht="24" customHeight="1">
      <x:c r="A553" s="22" t="n">
        <x:v>549</x:v>
      </x:c>
      <x:c r="B553" s="22" t="str">
        <x:v>守关前必做合成齐全</x:v>
      </x:c>
      <x:c r="C553" s="22" t="str">
        <x:v>通过</x:v>
      </x:c>
      <x:c r="D553" s="22" t="str">
        <x:v>7</x:v>
      </x:c>
    </x:row>
    <x:row r="554" ht="24" customHeight="1">
      <x:c r="A554" s="22" t="n">
        <x:v>550</x:v>
      </x:c>
      <x:c r="B554" s="22" t="str">
        <x:v>首次挑战未取得本守关装备</x:v>
      </x:c>
      <x:c r="C554" s="22" t="str">
        <x:v>通过</x:v>
      </x:c>
      <x:c r="D554" s="22" t="str">
        <x:v>化圣霜王·埃琉斯</x:v>
      </x:c>
    </x:row>
    <x:row r="555" ht="24" customHeight="1">
      <x:c r="A555" s="22" t="n">
        <x:v>551</x:v>
      </x:c>
      <x:c r="B555" s="22" t="str">
        <x:v>同名命格不重复</x:v>
      </x:c>
      <x:c r="C555" s="22" t="str">
        <x:v>通过</x:v>
      </x:c>
      <x:c r="D555" s="22" t="str">
        <x:v>P0234</x:v>
      </x:c>
    </x:row>
    <x:row r="556" ht="24" customHeight="1">
      <x:c r="A556" s="22" t="n">
        <x:v>552</x:v>
      </x:c>
      <x:c r="B556" s="22" t="str">
        <x:v>人物幸运不超过8</x:v>
      </x:c>
      <x:c r="C556" s="22" t="str">
        <x:v>通过</x:v>
      </x:c>
      <x:c r="D556" s="22" t="str">
        <x:v>P0234</x:v>
      </x:c>
    </x:row>
    <x:row r="557" ht="24" customHeight="1">
      <x:c r="A557" s="22" t="n">
        <x:v>553</x:v>
      </x:c>
      <x:c r="B557" s="22" t="str">
        <x:v>同名命格不重复</x:v>
      </x:c>
      <x:c r="C557" s="22" t="str">
        <x:v>通过</x:v>
      </x:c>
      <x:c r="D557" s="22" t="str">
        <x:v>P0235</x:v>
      </x:c>
    </x:row>
    <x:row r="558" ht="24" customHeight="1">
      <x:c r="A558" s="22" t="n">
        <x:v>554</x:v>
      </x:c>
      <x:c r="B558" s="22" t="str">
        <x:v>人物幸运不超过8</x:v>
      </x:c>
      <x:c r="C558" s="22" t="str">
        <x:v>通过</x:v>
      </x:c>
      <x:c r="D558" s="22" t="str">
        <x:v>P0235</x:v>
      </x:c>
    </x:row>
    <x:row r="559" ht="24" customHeight="1">
      <x:c r="A559" s="22" t="n">
        <x:v>555</x:v>
      </x:c>
      <x:c r="B559" s="22" t="str">
        <x:v>跨大陆永久与穿戴继承</x:v>
      </x:c>
      <x:c r="C559" s="22" t="str">
        <x:v>通过</x:v>
      </x:c>
      <x:c r="D559" s="22" t="str">
        <x:v>8</x:v>
      </x:c>
    </x:row>
    <x:row r="560" ht="24" customHeight="1">
      <x:c r="A560" s="22" t="n">
        <x:v>556</x:v>
      </x:c>
      <x:c r="B560" s="22" t="str">
        <x:v>同名命格不重复</x:v>
      </x:c>
      <x:c r="C560" s="22" t="str">
        <x:v>通过</x:v>
      </x:c>
      <x:c r="D560" s="22" t="str">
        <x:v>P0236</x:v>
      </x:c>
    </x:row>
    <x:row r="561" ht="24" customHeight="1">
      <x:c r="A561" s="22" t="n">
        <x:v>557</x:v>
      </x:c>
      <x:c r="B561" s="22" t="str">
        <x:v>人物幸运不超过8</x:v>
      </x:c>
      <x:c r="C561" s="22" t="str">
        <x:v>通过</x:v>
      </x:c>
      <x:c r="D561" s="22" t="str">
        <x:v>P0236</x:v>
      </x:c>
    </x:row>
    <x:row r="562" ht="24" customHeight="1">
      <x:c r="A562" s="22" t="n">
        <x:v>558</x:v>
      </x:c>
      <x:c r="B562" s="22" t="str">
        <x:v>同名命格不重复</x:v>
      </x:c>
      <x:c r="C562" s="22" t="str">
        <x:v>通过</x:v>
      </x:c>
      <x:c r="D562" s="22" t="str">
        <x:v>P0237</x:v>
      </x:c>
    </x:row>
    <x:row r="563" ht="24" customHeight="1">
      <x:c r="A563" s="22" t="n">
        <x:v>559</x:v>
      </x:c>
      <x:c r="B563" s="22" t="str">
        <x:v>人物幸运不超过8</x:v>
      </x:c>
      <x:c r="C563" s="22" t="str">
        <x:v>通过</x:v>
      </x:c>
      <x:c r="D563" s="22" t="str">
        <x:v>P0237</x:v>
      </x:c>
    </x:row>
    <x:row r="564" ht="24" customHeight="1">
      <x:c r="A564" s="22" t="n">
        <x:v>560</x:v>
      </x:c>
      <x:c r="B564" s="22" t="str">
        <x:v>同名命格不重复</x:v>
      </x:c>
      <x:c r="C564" s="22" t="str">
        <x:v>通过</x:v>
      </x:c>
      <x:c r="D564" s="22" t="str">
        <x:v>P0238</x:v>
      </x:c>
    </x:row>
    <x:row r="565" ht="24" customHeight="1">
      <x:c r="A565" s="22" t="n">
        <x:v>561</x:v>
      </x:c>
      <x:c r="B565" s="22" t="str">
        <x:v>人物幸运不超过8</x:v>
      </x:c>
      <x:c r="C565" s="22" t="str">
        <x:v>通过</x:v>
      </x:c>
      <x:c r="D565" s="22" t="str">
        <x:v>P0238</x:v>
      </x:c>
    </x:row>
    <x:row r="566" ht="24" customHeight="1">
      <x:c r="A566" s="22" t="n">
        <x:v>562</x:v>
      </x:c>
      <x:c r="B566" s="22" t="str">
        <x:v>普通50-70%不夹带永久成长</x:v>
      </x:c>
      <x:c r="C566" s="22" t="str">
        <x:v>通过</x:v>
      </x:c>
      <x:c r="D566" s="22" t="str">
        <x:v>P0238</x:v>
      </x:c>
    </x:row>
    <x:row r="567" ht="24" customHeight="1">
      <x:c r="A567" s="22" t="n">
        <x:v>563</x:v>
      </x:c>
      <x:c r="B567" s="22" t="str">
        <x:v>普通取得比例</x:v>
      </x:c>
      <x:c r="C567" s="22" t="str">
        <x:v>通过</x:v>
      </x:c>
      <x:c r="D567" s="22" t="str">
        <x:v>P0238</x:v>
      </x:c>
    </x:row>
    <x:row r="568" ht="24" customHeight="1">
      <x:c r="A568" s="22" t="n">
        <x:v>564</x:v>
      </x:c>
      <x:c r="B568" s="22" t="str">
        <x:v>同名命格不重复</x:v>
      </x:c>
      <x:c r="C568" s="22" t="str">
        <x:v>通过</x:v>
      </x:c>
      <x:c r="D568" s="22" t="str">
        <x:v>P0239</x:v>
      </x:c>
    </x:row>
    <x:row r="569" ht="24" customHeight="1">
      <x:c r="A569" s="22" t="n">
        <x:v>565</x:v>
      </x:c>
      <x:c r="B569" s="22" t="str">
        <x:v>人物幸运不超过8</x:v>
      </x:c>
      <x:c r="C569" s="22" t="str">
        <x:v>通过</x:v>
      </x:c>
      <x:c r="D569" s="22" t="str">
        <x:v>P0239</x:v>
      </x:c>
    </x:row>
    <x:row r="570" ht="24" customHeight="1">
      <x:c r="A570" s="22" t="n">
        <x:v>566</x:v>
      </x:c>
      <x:c r="B570" s="22" t="str">
        <x:v>同名命格不重复</x:v>
      </x:c>
      <x:c r="C570" s="22" t="str">
        <x:v>通过</x:v>
      </x:c>
      <x:c r="D570" s="22" t="str">
        <x:v>P0240</x:v>
      </x:c>
    </x:row>
    <x:row r="571" ht="24" customHeight="1">
      <x:c r="A571" s="22" t="n">
        <x:v>567</x:v>
      </x:c>
      <x:c r="B571" s="22" t="str">
        <x:v>人物幸运不超过8</x:v>
      </x:c>
      <x:c r="C571" s="22" t="str">
        <x:v>通过</x:v>
      </x:c>
      <x:c r="D571" s="22" t="str">
        <x:v>P0240</x:v>
      </x:c>
    </x:row>
    <x:row r="572" ht="24" customHeight="1">
      <x:c r="A572" s="22" t="n">
        <x:v>568</x:v>
      </x:c>
      <x:c r="B572" s="22" t="str">
        <x:v>同名命格不重复</x:v>
      </x:c>
      <x:c r="C572" s="22" t="str">
        <x:v>通过</x:v>
      </x:c>
      <x:c r="D572" s="22" t="str">
        <x:v>P0241</x:v>
      </x:c>
    </x:row>
    <x:row r="573" ht="24" customHeight="1">
      <x:c r="A573" s="22" t="n">
        <x:v>569</x:v>
      </x:c>
      <x:c r="B573" s="22" t="str">
        <x:v>人物幸运不超过8</x:v>
      </x:c>
      <x:c r="C573" s="22" t="str">
        <x:v>通过</x:v>
      </x:c>
      <x:c r="D573" s="22" t="str">
        <x:v>P0241</x:v>
      </x:c>
    </x:row>
    <x:row r="574" ht="24" customHeight="1">
      <x:c r="A574" s="22" t="n">
        <x:v>570</x:v>
      </x:c>
      <x:c r="B574" s="22" t="str">
        <x:v>同名命格不重复</x:v>
      </x:c>
      <x:c r="C574" s="22" t="str">
        <x:v>通过</x:v>
      </x:c>
      <x:c r="D574" s="22" t="str">
        <x:v>P0242</x:v>
      </x:c>
    </x:row>
    <x:row r="575" ht="24" customHeight="1">
      <x:c r="A575" s="22" t="n">
        <x:v>571</x:v>
      </x:c>
      <x:c r="B575" s="22" t="str">
        <x:v>人物幸运不超过8</x:v>
      </x:c>
      <x:c r="C575" s="22" t="str">
        <x:v>通过</x:v>
      </x:c>
      <x:c r="D575" s="22" t="str">
        <x:v>P0242</x:v>
      </x:c>
    </x:row>
    <x:row r="576" ht="24" customHeight="1">
      <x:c r="A576" s="22" t="n">
        <x:v>572</x:v>
      </x:c>
      <x:c r="B576" s="22" t="str">
        <x:v>同名命格不重复</x:v>
      </x:c>
      <x:c r="C576" s="22" t="str">
        <x:v>通过</x:v>
      </x:c>
      <x:c r="D576" s="22" t="str">
        <x:v>P0243</x:v>
      </x:c>
    </x:row>
    <x:row r="577" ht="24" customHeight="1">
      <x:c r="A577" s="22" t="n">
        <x:v>573</x:v>
      </x:c>
      <x:c r="B577" s="22" t="str">
        <x:v>人物幸运不超过8</x:v>
      </x:c>
      <x:c r="C577" s="22" t="str">
        <x:v>通过</x:v>
      </x:c>
      <x:c r="D577" s="22" t="str">
        <x:v>P0243</x:v>
      </x:c>
    </x:row>
    <x:row r="578" ht="24" customHeight="1">
      <x:c r="A578" s="22" t="n">
        <x:v>574</x:v>
      </x:c>
      <x:c r="B578" s="22" t="str">
        <x:v>同名命格不重复</x:v>
      </x:c>
      <x:c r="C578" s="22" t="str">
        <x:v>通过</x:v>
      </x:c>
      <x:c r="D578" s="22" t="str">
        <x:v>P0244</x:v>
      </x:c>
    </x:row>
    <x:row r="579" ht="24" customHeight="1">
      <x:c r="A579" s="22" t="n">
        <x:v>575</x:v>
      </x:c>
      <x:c r="B579" s="22" t="str">
        <x:v>人物幸运不超过8</x:v>
      </x:c>
      <x:c r="C579" s="22" t="str">
        <x:v>通过</x:v>
      </x:c>
      <x:c r="D579" s="22" t="str">
        <x:v>P0244</x:v>
      </x:c>
    </x:row>
    <x:row r="580" ht="24" customHeight="1">
      <x:c r="A580" s="22" t="n">
        <x:v>576</x:v>
      </x:c>
      <x:c r="B580" s="22" t="str">
        <x:v>普通50-70%不夹带永久成长</x:v>
      </x:c>
      <x:c r="C580" s="22" t="str">
        <x:v>通过</x:v>
      </x:c>
      <x:c r="D580" s="22" t="str">
        <x:v>P0244</x:v>
      </x:c>
    </x:row>
    <x:row r="581" ht="24" customHeight="1">
      <x:c r="A581" s="22" t="n">
        <x:v>577</x:v>
      </x:c>
      <x:c r="B581" s="22" t="str">
        <x:v>普通取得比例</x:v>
      </x:c>
      <x:c r="C581" s="22" t="str">
        <x:v>通过</x:v>
      </x:c>
      <x:c r="D581" s="22" t="str">
        <x:v>P0244</x:v>
      </x:c>
    </x:row>
    <x:row r="582" ht="24" customHeight="1">
      <x:c r="A582" s="22" t="n">
        <x:v>578</x:v>
      </x:c>
      <x:c r="B582" s="22" t="str">
        <x:v>同名命格不重复</x:v>
      </x:c>
      <x:c r="C582" s="22" t="str">
        <x:v>通过</x:v>
      </x:c>
      <x:c r="D582" s="22" t="str">
        <x:v>P0245</x:v>
      </x:c>
    </x:row>
    <x:row r="583" ht="24" customHeight="1">
      <x:c r="A583" s="22" t="n">
        <x:v>579</x:v>
      </x:c>
      <x:c r="B583" s="22" t="str">
        <x:v>人物幸运不超过8</x:v>
      </x:c>
      <x:c r="C583" s="22" t="str">
        <x:v>通过</x:v>
      </x:c>
      <x:c r="D583" s="22" t="str">
        <x:v>P0245</x:v>
      </x:c>
    </x:row>
    <x:row r="584" ht="24" customHeight="1">
      <x:c r="A584" s="22" t="n">
        <x:v>580</x:v>
      </x:c>
      <x:c r="B584" s="22" t="str">
        <x:v>同名命格不重复</x:v>
      </x:c>
      <x:c r="C584" s="22" t="str">
        <x:v>通过</x:v>
      </x:c>
      <x:c r="D584" s="22" t="str">
        <x:v>P0246</x:v>
      </x:c>
    </x:row>
    <x:row r="585" ht="24" customHeight="1">
      <x:c r="A585" s="22" t="n">
        <x:v>581</x:v>
      </x:c>
      <x:c r="B585" s="22" t="str">
        <x:v>人物幸运不超过8</x:v>
      </x:c>
      <x:c r="C585" s="22" t="str">
        <x:v>通过</x:v>
      </x:c>
      <x:c r="D585" s="22" t="str">
        <x:v>P0246</x:v>
      </x:c>
    </x:row>
    <x:row r="586" ht="24" customHeight="1">
      <x:c r="A586" s="22" t="n">
        <x:v>582</x:v>
      </x:c>
      <x:c r="B586" s="22" t="str">
        <x:v>同名命格不重复</x:v>
      </x:c>
      <x:c r="C586" s="22" t="str">
        <x:v>通过</x:v>
      </x:c>
      <x:c r="D586" s="22" t="str">
        <x:v>P0247</x:v>
      </x:c>
    </x:row>
    <x:row r="587" ht="24" customHeight="1">
      <x:c r="A587" s="22" t="n">
        <x:v>583</x:v>
      </x:c>
      <x:c r="B587" s="22" t="str">
        <x:v>人物幸运不超过8</x:v>
      </x:c>
      <x:c r="C587" s="22" t="str">
        <x:v>通过</x:v>
      </x:c>
      <x:c r="D587" s="22" t="str">
        <x:v>P0247</x:v>
      </x:c>
    </x:row>
    <x:row r="588" ht="24" customHeight="1">
      <x:c r="A588" s="22" t="n">
        <x:v>584</x:v>
      </x:c>
      <x:c r="B588" s="22" t="str">
        <x:v>同名命格不重复</x:v>
      </x:c>
      <x:c r="C588" s="22" t="str">
        <x:v>通过</x:v>
      </x:c>
      <x:c r="D588" s="22" t="str">
        <x:v>P0248</x:v>
      </x:c>
    </x:row>
    <x:row r="589" ht="24" customHeight="1">
      <x:c r="A589" s="22" t="n">
        <x:v>585</x:v>
      </x:c>
      <x:c r="B589" s="22" t="str">
        <x:v>人物幸运不超过8</x:v>
      </x:c>
      <x:c r="C589" s="22" t="str">
        <x:v>通过</x:v>
      </x:c>
      <x:c r="D589" s="22" t="str">
        <x:v>P0248</x:v>
      </x:c>
    </x:row>
    <x:row r="590" ht="24" customHeight="1">
      <x:c r="A590" s="22" t="n">
        <x:v>586</x:v>
      </x:c>
      <x:c r="B590" s="22" t="str">
        <x:v>同名命格不重复</x:v>
      </x:c>
      <x:c r="C590" s="22" t="str">
        <x:v>通过</x:v>
      </x:c>
      <x:c r="D590" s="22" t="str">
        <x:v>P0249</x:v>
      </x:c>
    </x:row>
    <x:row r="591" ht="24" customHeight="1">
      <x:c r="A591" s="22" t="n">
        <x:v>587</x:v>
      </x:c>
      <x:c r="B591" s="22" t="str">
        <x:v>人物幸运不超过8</x:v>
      </x:c>
      <x:c r="C591" s="22" t="str">
        <x:v>通过</x:v>
      </x:c>
      <x:c r="D591" s="22" t="str">
        <x:v>P0249</x:v>
      </x:c>
    </x:row>
    <x:row r="592" ht="24" customHeight="1">
      <x:c r="A592" s="22" t="n">
        <x:v>588</x:v>
      </x:c>
      <x:c r="B592" s="22" t="str">
        <x:v>同名命格不重复</x:v>
      </x:c>
      <x:c r="C592" s="22" t="str">
        <x:v>通过</x:v>
      </x:c>
      <x:c r="D592" s="22" t="str">
        <x:v>P0250</x:v>
      </x:c>
    </x:row>
    <x:row r="593" ht="24" customHeight="1">
      <x:c r="A593" s="22" t="n">
        <x:v>589</x:v>
      </x:c>
      <x:c r="B593" s="22" t="str">
        <x:v>人物幸运不超过8</x:v>
      </x:c>
      <x:c r="C593" s="22" t="str">
        <x:v>通过</x:v>
      </x:c>
      <x:c r="D593" s="22" t="str">
        <x:v>P0250</x:v>
      </x:c>
    </x:row>
    <x:row r="594" ht="24" customHeight="1">
      <x:c r="A594" s="22" t="n">
        <x:v>590</x:v>
      </x:c>
      <x:c r="B594" s="22" t="str">
        <x:v>普通50-70%不夹带永久成长</x:v>
      </x:c>
      <x:c r="C594" s="22" t="str">
        <x:v>通过</x:v>
      </x:c>
      <x:c r="D594" s="22" t="str">
        <x:v>P0250</x:v>
      </x:c>
    </x:row>
    <x:row r="595" ht="24" customHeight="1">
      <x:c r="A595" s="22" t="n">
        <x:v>591</x:v>
      </x:c>
      <x:c r="B595" s="22" t="str">
        <x:v>普通取得比例</x:v>
      </x:c>
      <x:c r="C595" s="22" t="str">
        <x:v>通过</x:v>
      </x:c>
      <x:c r="D595" s="22" t="str">
        <x:v>P0250</x:v>
      </x:c>
    </x:row>
    <x:row r="596" ht="24" customHeight="1">
      <x:c r="A596" s="22" t="n">
        <x:v>592</x:v>
      </x:c>
      <x:c r="B596" s="22" t="str">
        <x:v>同名命格不重复</x:v>
      </x:c>
      <x:c r="C596" s="22" t="str">
        <x:v>通过</x:v>
      </x:c>
      <x:c r="D596" s="22" t="str">
        <x:v>P0251</x:v>
      </x:c>
    </x:row>
    <x:row r="597" ht="24" customHeight="1">
      <x:c r="A597" s="22" t="n">
        <x:v>593</x:v>
      </x:c>
      <x:c r="B597" s="22" t="str">
        <x:v>人物幸运不超过8</x:v>
      </x:c>
      <x:c r="C597" s="22" t="str">
        <x:v>通过</x:v>
      </x:c>
      <x:c r="D597" s="22" t="str">
        <x:v>P0251</x:v>
      </x:c>
    </x:row>
    <x:row r="598" ht="24" customHeight="1">
      <x:c r="A598" s="22" t="n">
        <x:v>594</x:v>
      </x:c>
      <x:c r="B598" s="22" t="str">
        <x:v>同名命格不重复</x:v>
      </x:c>
      <x:c r="C598" s="22" t="str">
        <x:v>通过</x:v>
      </x:c>
      <x:c r="D598" s="22" t="str">
        <x:v>P0252</x:v>
      </x:c>
    </x:row>
    <x:row r="599" ht="24" customHeight="1">
      <x:c r="A599" s="22" t="n">
        <x:v>595</x:v>
      </x:c>
      <x:c r="B599" s="22" t="str">
        <x:v>人物幸运不超过8</x:v>
      </x:c>
      <x:c r="C599" s="22" t="str">
        <x:v>通过</x:v>
      </x:c>
      <x:c r="D599" s="22" t="str">
        <x:v>P0252</x:v>
      </x:c>
    </x:row>
    <x:row r="600" ht="24" customHeight="1">
      <x:c r="A600" s="22" t="n">
        <x:v>596</x:v>
      </x:c>
      <x:c r="B600" s="22" t="str">
        <x:v>同名命格不重复</x:v>
      </x:c>
      <x:c r="C600" s="22" t="str">
        <x:v>通过</x:v>
      </x:c>
      <x:c r="D600" s="22" t="str">
        <x:v>P0253</x:v>
      </x:c>
    </x:row>
    <x:row r="601" ht="24" customHeight="1">
      <x:c r="A601" s="22" t="n">
        <x:v>597</x:v>
      </x:c>
      <x:c r="B601" s="22" t="str">
        <x:v>人物幸运不超过8</x:v>
      </x:c>
      <x:c r="C601" s="22" t="str">
        <x:v>通过</x:v>
      </x:c>
      <x:c r="D601" s="22" t="str">
        <x:v>P0253</x:v>
      </x:c>
    </x:row>
    <x:row r="602" ht="24" customHeight="1">
      <x:c r="A602" s="22" t="n">
        <x:v>598</x:v>
      </x:c>
      <x:c r="B602" s="22" t="str">
        <x:v>同名命格不重复</x:v>
      </x:c>
      <x:c r="C602" s="22" t="str">
        <x:v>通过</x:v>
      </x:c>
      <x:c r="D602" s="22" t="str">
        <x:v>P0254</x:v>
      </x:c>
    </x:row>
    <x:row r="603" ht="24" customHeight="1">
      <x:c r="A603" s="22" t="n">
        <x:v>599</x:v>
      </x:c>
      <x:c r="B603" s="22" t="str">
        <x:v>人物幸运不超过8</x:v>
      </x:c>
      <x:c r="C603" s="22" t="str">
        <x:v>通过</x:v>
      </x:c>
      <x:c r="D603" s="22" t="str">
        <x:v>P0254</x:v>
      </x:c>
    </x:row>
    <x:row r="604" ht="24" customHeight="1">
      <x:c r="A604" s="22" t="n">
        <x:v>600</x:v>
      </x:c>
      <x:c r="B604" s="22" t="str">
        <x:v>同名命格不重复</x:v>
      </x:c>
      <x:c r="C604" s="22" t="str">
        <x:v>通过</x:v>
      </x:c>
      <x:c r="D604" s="22" t="str">
        <x:v>P0255</x:v>
      </x:c>
    </x:row>
    <x:row r="605" ht="24" customHeight="1">
      <x:c r="A605" s="22" t="n">
        <x:v>601</x:v>
      </x:c>
      <x:c r="B605" s="22" t="str">
        <x:v>人物幸运不超过8</x:v>
      </x:c>
      <x:c r="C605" s="22" t="str">
        <x:v>通过</x:v>
      </x:c>
      <x:c r="D605" s="22" t="str">
        <x:v>P0255</x:v>
      </x:c>
    </x:row>
    <x:row r="606" ht="24" customHeight="1">
      <x:c r="A606" s="22" t="n">
        <x:v>602</x:v>
      </x:c>
      <x:c r="B606" s="22" t="str">
        <x:v>同名命格不重复</x:v>
      </x:c>
      <x:c r="C606" s="22" t="str">
        <x:v>通过</x:v>
      </x:c>
      <x:c r="D606" s="22" t="str">
        <x:v>P0256</x:v>
      </x:c>
    </x:row>
    <x:row r="607" ht="24" customHeight="1">
      <x:c r="A607" s="22" t="n">
        <x:v>603</x:v>
      </x:c>
      <x:c r="B607" s="22" t="str">
        <x:v>人物幸运不超过8</x:v>
      </x:c>
      <x:c r="C607" s="22" t="str">
        <x:v>通过</x:v>
      </x:c>
      <x:c r="D607" s="22" t="str">
        <x:v>P0256</x:v>
      </x:c>
    </x:row>
    <x:row r="608" ht="24" customHeight="1">
      <x:c r="A608" s="22" t="n">
        <x:v>604</x:v>
      </x:c>
      <x:c r="B608" s="22" t="str">
        <x:v>普通50-70%不夹带永久成长</x:v>
      </x:c>
      <x:c r="C608" s="22" t="str">
        <x:v>通过</x:v>
      </x:c>
      <x:c r="D608" s="22" t="str">
        <x:v>P0256</x:v>
      </x:c>
    </x:row>
    <x:row r="609" ht="24" customHeight="1">
      <x:c r="A609" s="22" t="n">
        <x:v>605</x:v>
      </x:c>
      <x:c r="B609" s="22" t="str">
        <x:v>普通取得比例</x:v>
      </x:c>
      <x:c r="C609" s="22" t="str">
        <x:v>通过</x:v>
      </x:c>
      <x:c r="D609" s="22" t="str">
        <x:v>P0256</x:v>
      </x:c>
    </x:row>
    <x:row r="610" ht="24" customHeight="1">
      <x:c r="A610" s="22" t="n">
        <x:v>606</x:v>
      </x:c>
      <x:c r="B610" s="22" t="str">
        <x:v>同名命格不重复</x:v>
      </x:c>
      <x:c r="C610" s="22" t="str">
        <x:v>通过</x:v>
      </x:c>
      <x:c r="D610" s="22" t="str">
        <x:v>P0257</x:v>
      </x:c>
    </x:row>
    <x:row r="611" ht="24" customHeight="1">
      <x:c r="A611" s="22" t="n">
        <x:v>607</x:v>
      </x:c>
      <x:c r="B611" s="22" t="str">
        <x:v>人物幸运不超过8</x:v>
      </x:c>
      <x:c r="C611" s="22" t="str">
        <x:v>通过</x:v>
      </x:c>
      <x:c r="D611" s="22" t="str">
        <x:v>P0257</x:v>
      </x:c>
    </x:row>
    <x:row r="612" ht="24" customHeight="1">
      <x:c r="A612" s="22" t="n">
        <x:v>608</x:v>
      </x:c>
      <x:c r="B612" s="22" t="str">
        <x:v>同名命格不重复</x:v>
      </x:c>
      <x:c r="C612" s="22" t="str">
        <x:v>通过</x:v>
      </x:c>
      <x:c r="D612" s="22" t="str">
        <x:v>P0258</x:v>
      </x:c>
    </x:row>
    <x:row r="613" ht="24" customHeight="1">
      <x:c r="A613" s="22" t="n">
        <x:v>609</x:v>
      </x:c>
      <x:c r="B613" s="22" t="str">
        <x:v>人物幸运不超过8</x:v>
      </x:c>
      <x:c r="C613" s="22" t="str">
        <x:v>通过</x:v>
      </x:c>
      <x:c r="D613" s="22" t="str">
        <x:v>P0258</x:v>
      </x:c>
    </x:row>
    <x:row r="614" ht="24" customHeight="1">
      <x:c r="A614" s="22" t="n">
        <x:v>610</x:v>
      </x:c>
      <x:c r="B614" s="22" t="str">
        <x:v>同名命格不重复</x:v>
      </x:c>
      <x:c r="C614" s="22" t="str">
        <x:v>通过</x:v>
      </x:c>
      <x:c r="D614" s="22" t="str">
        <x:v>P0259</x:v>
      </x:c>
    </x:row>
    <x:row r="615" ht="24" customHeight="1">
      <x:c r="A615" s="22" t="n">
        <x:v>611</x:v>
      </x:c>
      <x:c r="B615" s="22" t="str">
        <x:v>人物幸运不超过8</x:v>
      </x:c>
      <x:c r="C615" s="22" t="str">
        <x:v>通过</x:v>
      </x:c>
      <x:c r="D615" s="22" t="str">
        <x:v>P0259</x:v>
      </x:c>
    </x:row>
    <x:row r="616" ht="24" customHeight="1">
      <x:c r="A616" s="22" t="n">
        <x:v>612</x:v>
      </x:c>
      <x:c r="B616" s="22" t="str">
        <x:v>同名命格不重复</x:v>
      </x:c>
      <x:c r="C616" s="22" t="str">
        <x:v>通过</x:v>
      </x:c>
      <x:c r="D616" s="22" t="str">
        <x:v>P0260</x:v>
      </x:c>
    </x:row>
    <x:row r="617" ht="24" customHeight="1">
      <x:c r="A617" s="22" t="n">
        <x:v>613</x:v>
      </x:c>
      <x:c r="B617" s="22" t="str">
        <x:v>人物幸运不超过8</x:v>
      </x:c>
      <x:c r="C617" s="22" t="str">
        <x:v>通过</x:v>
      </x:c>
      <x:c r="D617" s="22" t="str">
        <x:v>P0260</x:v>
      </x:c>
    </x:row>
    <x:row r="618" ht="24" customHeight="1">
      <x:c r="A618" s="22" t="n">
        <x:v>614</x:v>
      </x:c>
      <x:c r="B618" s="22" t="str">
        <x:v>同名命格不重复</x:v>
      </x:c>
      <x:c r="C618" s="22" t="str">
        <x:v>通过</x:v>
      </x:c>
      <x:c r="D618" s="22" t="str">
        <x:v>P0261</x:v>
      </x:c>
    </x:row>
    <x:row r="619" ht="24" customHeight="1">
      <x:c r="A619" s="22" t="n">
        <x:v>615</x:v>
      </x:c>
      <x:c r="B619" s="22" t="str">
        <x:v>人物幸运不超过8</x:v>
      </x:c>
      <x:c r="C619" s="22" t="str">
        <x:v>通过</x:v>
      </x:c>
      <x:c r="D619" s="22" t="str">
        <x:v>P0261</x:v>
      </x:c>
    </x:row>
    <x:row r="620" ht="24" customHeight="1">
      <x:c r="A620" s="22" t="n">
        <x:v>616</x:v>
      </x:c>
      <x:c r="B620" s="22" t="str">
        <x:v>同名命格不重复</x:v>
      </x:c>
      <x:c r="C620" s="22" t="str">
        <x:v>通过</x:v>
      </x:c>
      <x:c r="D620" s="22" t="str">
        <x:v>P0262</x:v>
      </x:c>
    </x:row>
    <x:row r="621" ht="24" customHeight="1">
      <x:c r="A621" s="22" t="n">
        <x:v>617</x:v>
      </x:c>
      <x:c r="B621" s="22" t="str">
        <x:v>人物幸运不超过8</x:v>
      </x:c>
      <x:c r="C621" s="22" t="str">
        <x:v>通过</x:v>
      </x:c>
      <x:c r="D621" s="22" t="str">
        <x:v>P0262</x:v>
      </x:c>
    </x:row>
    <x:row r="622" ht="24" customHeight="1">
      <x:c r="A622" s="22" t="n">
        <x:v>618</x:v>
      </x:c>
      <x:c r="B622" s="22" t="str">
        <x:v>同名命格不重复</x:v>
      </x:c>
      <x:c r="C622" s="22" t="str">
        <x:v>通过</x:v>
      </x:c>
      <x:c r="D622" s="22" t="str">
        <x:v>P0263</x:v>
      </x:c>
    </x:row>
    <x:row r="623" ht="24" customHeight="1">
      <x:c r="A623" s="22" t="n">
        <x:v>619</x:v>
      </x:c>
      <x:c r="B623" s="22" t="str">
        <x:v>人物幸运不超过8</x:v>
      </x:c>
      <x:c r="C623" s="22" t="str">
        <x:v>通过</x:v>
      </x:c>
      <x:c r="D623" s="22" t="str">
        <x:v>P0263</x:v>
      </x:c>
    </x:row>
    <x:row r="624" ht="24" customHeight="1">
      <x:c r="A624" s="22" t="n">
        <x:v>620</x:v>
      </x:c>
      <x:c r="B624" s="22" t="str">
        <x:v>守关前必做合成齐全</x:v>
      </x:c>
      <x:c r="C624" s="22" t="str">
        <x:v>通过</x:v>
      </x:c>
      <x:c r="D624" s="22" t="str">
        <x:v>8</x:v>
      </x:c>
    </x:row>
    <x:row r="625" ht="24" customHeight="1">
      <x:c r="A625" s="22" t="n">
        <x:v>621</x:v>
      </x:c>
      <x:c r="B625" s="22" t="str">
        <x:v>首次挑战未取得本守关装备</x:v>
      </x:c>
      <x:c r="C625" s="22" t="str">
        <x:v>通过</x:v>
      </x:c>
      <x:c r="D625" s="22" t="str">
        <x:v>吞日霜王·乌尔迈</x:v>
      </x:c>
    </x:row>
    <x:row r="626" ht="24" customHeight="1">
      <x:c r="A626" s="22" t="n">
        <x:v>622</x:v>
      </x:c>
      <x:c r="B626" s="22" t="str">
        <x:v>同名命格不重复</x:v>
      </x:c>
      <x:c r="C626" s="22" t="str">
        <x:v>通过</x:v>
      </x:c>
      <x:c r="D626" s="22" t="str">
        <x:v>P0264</x:v>
      </x:c>
    </x:row>
    <x:row r="627" ht="24" customHeight="1">
      <x:c r="A627" s="22" t="n">
        <x:v>623</x:v>
      </x:c>
      <x:c r="B627" s="22" t="str">
        <x:v>人物幸运不超过8</x:v>
      </x:c>
      <x:c r="C627" s="22" t="str">
        <x:v>通过</x:v>
      </x:c>
      <x:c r="D627" s="22" t="str">
        <x:v>P0264</x:v>
      </x:c>
    </x:row>
    <x:row r="628" ht="24" customHeight="1">
      <x:c r="A628" s="22" t="n">
        <x:v>624</x:v>
      </x:c>
      <x:c r="B628" s="22" t="str">
        <x:v>同名命格不重复</x:v>
      </x:c>
      <x:c r="C628" s="22" t="str">
        <x:v>通过</x:v>
      </x:c>
      <x:c r="D628" s="22" t="str">
        <x:v>P0265</x:v>
      </x:c>
    </x:row>
    <x:row r="629" ht="24" customHeight="1">
      <x:c r="A629" s="22" t="n">
        <x:v>625</x:v>
      </x:c>
      <x:c r="B629" s="22" t="str">
        <x:v>人物幸运不超过8</x:v>
      </x:c>
      <x:c r="C629" s="22" t="str">
        <x:v>通过</x:v>
      </x:c>
      <x:c r="D629" s="22" t="str">
        <x:v>P0265</x:v>
      </x:c>
    </x:row>
    <x:row r="630" ht="24" customHeight="1">
      <x:c r="A630" s="22" t="n">
        <x:v>626</x:v>
      </x:c>
      <x:c r="B630" s="22" t="str">
        <x:v>跨大陆永久与穿戴继承</x:v>
      </x:c>
      <x:c r="C630" s="22" t="str">
        <x:v>通过</x:v>
      </x:c>
      <x:c r="D630" s="22" t="str">
        <x:v>9</x:v>
      </x:c>
    </x:row>
    <x:row r="631" ht="24" customHeight="1">
      <x:c r="A631" s="22" t="n">
        <x:v>627</x:v>
      </x:c>
      <x:c r="B631" s="22" t="str">
        <x:v>同名命格不重复</x:v>
      </x:c>
      <x:c r="C631" s="22" t="str">
        <x:v>通过</x:v>
      </x:c>
      <x:c r="D631" s="22" t="str">
        <x:v>P0266</x:v>
      </x:c>
    </x:row>
    <x:row r="632" ht="24" customHeight="1">
      <x:c r="A632" s="22" t="n">
        <x:v>628</x:v>
      </x:c>
      <x:c r="B632" s="22" t="str">
        <x:v>人物幸运不超过8</x:v>
      </x:c>
      <x:c r="C632" s="22" t="str">
        <x:v>通过</x:v>
      </x:c>
      <x:c r="D632" s="22" t="str">
        <x:v>P0266</x:v>
      </x:c>
    </x:row>
    <x:row r="633" ht="24" customHeight="1">
      <x:c r="A633" s="22" t="n">
        <x:v>629</x:v>
      </x:c>
      <x:c r="B633" s="22" t="str">
        <x:v>同名命格不重复</x:v>
      </x:c>
      <x:c r="C633" s="22" t="str">
        <x:v>通过</x:v>
      </x:c>
      <x:c r="D633" s="22" t="str">
        <x:v>P0267</x:v>
      </x:c>
    </x:row>
    <x:row r="634" ht="24" customHeight="1">
      <x:c r="A634" s="22" t="n">
        <x:v>630</x:v>
      </x:c>
      <x:c r="B634" s="22" t="str">
        <x:v>人物幸运不超过8</x:v>
      </x:c>
      <x:c r="C634" s="22" t="str">
        <x:v>通过</x:v>
      </x:c>
      <x:c r="D634" s="22" t="str">
        <x:v>P0267</x:v>
      </x:c>
    </x:row>
    <x:row r="635" ht="24" customHeight="1">
      <x:c r="A635" s="22" t="n">
        <x:v>631</x:v>
      </x:c>
      <x:c r="B635" s="22" t="str">
        <x:v>同名命格不重复</x:v>
      </x:c>
      <x:c r="C635" s="22" t="str">
        <x:v>通过</x:v>
      </x:c>
      <x:c r="D635" s="22" t="str">
        <x:v>P0268</x:v>
      </x:c>
    </x:row>
    <x:row r="636" ht="24" customHeight="1">
      <x:c r="A636" s="22" t="n">
        <x:v>632</x:v>
      </x:c>
      <x:c r="B636" s="22" t="str">
        <x:v>人物幸运不超过8</x:v>
      </x:c>
      <x:c r="C636" s="22" t="str">
        <x:v>通过</x:v>
      </x:c>
      <x:c r="D636" s="22" t="str">
        <x:v>P0268</x:v>
      </x:c>
    </x:row>
    <x:row r="637" ht="24" customHeight="1">
      <x:c r="A637" s="22" t="n">
        <x:v>633</x:v>
      </x:c>
      <x:c r="B637" s="22" t="str">
        <x:v>普通50-70%不夹带永久成长</x:v>
      </x:c>
      <x:c r="C637" s="22" t="str">
        <x:v>通过</x:v>
      </x:c>
      <x:c r="D637" s="22" t="str">
        <x:v>P0268</x:v>
      </x:c>
    </x:row>
    <x:row r="638" ht="24" customHeight="1">
      <x:c r="A638" s="22" t="n">
        <x:v>634</x:v>
      </x:c>
      <x:c r="B638" s="22" t="str">
        <x:v>普通取得比例</x:v>
      </x:c>
      <x:c r="C638" s="22" t="str">
        <x:v>通过</x:v>
      </x:c>
      <x:c r="D638" s="22" t="str">
        <x:v>P0268</x:v>
      </x:c>
    </x:row>
    <x:row r="639" ht="24" customHeight="1">
      <x:c r="A639" s="22" t="n">
        <x:v>635</x:v>
      </x:c>
      <x:c r="B639" s="22" t="str">
        <x:v>同名命格不重复</x:v>
      </x:c>
      <x:c r="C639" s="22" t="str">
        <x:v>通过</x:v>
      </x:c>
      <x:c r="D639" s="22" t="str">
        <x:v>P0269</x:v>
      </x:c>
    </x:row>
    <x:row r="640" ht="24" customHeight="1">
      <x:c r="A640" s="22" t="n">
        <x:v>636</x:v>
      </x:c>
      <x:c r="B640" s="22" t="str">
        <x:v>人物幸运不超过8</x:v>
      </x:c>
      <x:c r="C640" s="22" t="str">
        <x:v>通过</x:v>
      </x:c>
      <x:c r="D640" s="22" t="str">
        <x:v>P0269</x:v>
      </x:c>
    </x:row>
    <x:row r="641" ht="24" customHeight="1">
      <x:c r="A641" s="22" t="n">
        <x:v>637</x:v>
      </x:c>
      <x:c r="B641" s="22" t="str">
        <x:v>同名命格不重复</x:v>
      </x:c>
      <x:c r="C641" s="22" t="str">
        <x:v>通过</x:v>
      </x:c>
      <x:c r="D641" s="22" t="str">
        <x:v>P0270</x:v>
      </x:c>
    </x:row>
    <x:row r="642" ht="24" customHeight="1">
      <x:c r="A642" s="22" t="n">
        <x:v>638</x:v>
      </x:c>
      <x:c r="B642" s="22" t="str">
        <x:v>人物幸运不超过8</x:v>
      </x:c>
      <x:c r="C642" s="22" t="str">
        <x:v>通过</x:v>
      </x:c>
      <x:c r="D642" s="22" t="str">
        <x:v>P0270</x:v>
      </x:c>
    </x:row>
    <x:row r="643" ht="24" customHeight="1">
      <x:c r="A643" s="22" t="n">
        <x:v>639</x:v>
      </x:c>
      <x:c r="B643" s="22" t="str">
        <x:v>同名命格不重复</x:v>
      </x:c>
      <x:c r="C643" s="22" t="str">
        <x:v>通过</x:v>
      </x:c>
      <x:c r="D643" s="22" t="str">
        <x:v>P0271</x:v>
      </x:c>
    </x:row>
    <x:row r="644" ht="24" customHeight="1">
      <x:c r="A644" s="22" t="n">
        <x:v>640</x:v>
      </x:c>
      <x:c r="B644" s="22" t="str">
        <x:v>人物幸运不超过8</x:v>
      </x:c>
      <x:c r="C644" s="22" t="str">
        <x:v>通过</x:v>
      </x:c>
      <x:c r="D644" s="22" t="str">
        <x:v>P0271</x:v>
      </x:c>
    </x:row>
    <x:row r="645" ht="24" customHeight="1">
      <x:c r="A645" s="22" t="n">
        <x:v>641</x:v>
      </x:c>
      <x:c r="B645" s="22" t="str">
        <x:v>同名命格不重复</x:v>
      </x:c>
      <x:c r="C645" s="22" t="str">
        <x:v>通过</x:v>
      </x:c>
      <x:c r="D645" s="22" t="str">
        <x:v>P0272</x:v>
      </x:c>
    </x:row>
    <x:row r="646" ht="24" customHeight="1">
      <x:c r="A646" s="22" t="n">
        <x:v>642</x:v>
      </x:c>
      <x:c r="B646" s="22" t="str">
        <x:v>人物幸运不超过8</x:v>
      </x:c>
      <x:c r="C646" s="22" t="str">
        <x:v>通过</x:v>
      </x:c>
      <x:c r="D646" s="22" t="str">
        <x:v>P0272</x:v>
      </x:c>
    </x:row>
    <x:row r="647" ht="24" customHeight="1">
      <x:c r="A647" s="22" t="n">
        <x:v>643</x:v>
      </x:c>
      <x:c r="B647" s="22" t="str">
        <x:v>同名命格不重复</x:v>
      </x:c>
      <x:c r="C647" s="22" t="str">
        <x:v>通过</x:v>
      </x:c>
      <x:c r="D647" s="22" t="str">
        <x:v>P0273</x:v>
      </x:c>
    </x:row>
    <x:row r="648" ht="24" customHeight="1">
      <x:c r="A648" s="22" t="n">
        <x:v>644</x:v>
      </x:c>
      <x:c r="B648" s="22" t="str">
        <x:v>人物幸运不超过8</x:v>
      </x:c>
      <x:c r="C648" s="22" t="str">
        <x:v>通过</x:v>
      </x:c>
      <x:c r="D648" s="22" t="str">
        <x:v>P0273</x:v>
      </x:c>
    </x:row>
    <x:row r="649" ht="24" customHeight="1">
      <x:c r="A649" s="22" t="n">
        <x:v>645</x:v>
      </x:c>
      <x:c r="B649" s="22" t="str">
        <x:v>同名命格不重复</x:v>
      </x:c>
      <x:c r="C649" s="22" t="str">
        <x:v>通过</x:v>
      </x:c>
      <x:c r="D649" s="22" t="str">
        <x:v>P0274</x:v>
      </x:c>
    </x:row>
    <x:row r="650" ht="24" customHeight="1">
      <x:c r="A650" s="22" t="n">
        <x:v>646</x:v>
      </x:c>
      <x:c r="B650" s="22" t="str">
        <x:v>人物幸运不超过8</x:v>
      </x:c>
      <x:c r="C650" s="22" t="str">
        <x:v>通过</x:v>
      </x:c>
      <x:c r="D650" s="22" t="str">
        <x:v>P0274</x:v>
      </x:c>
    </x:row>
    <x:row r="651" ht="24" customHeight="1">
      <x:c r="A651" s="22" t="n">
        <x:v>647</x:v>
      </x:c>
      <x:c r="B651" s="22" t="str">
        <x:v>普通50-70%不夹带永久成长</x:v>
      </x:c>
      <x:c r="C651" s="22" t="str">
        <x:v>通过</x:v>
      </x:c>
      <x:c r="D651" s="22" t="str">
        <x:v>P0274</x:v>
      </x:c>
    </x:row>
    <x:row r="652" ht="24" customHeight="1">
      <x:c r="A652" s="22" t="n">
        <x:v>648</x:v>
      </x:c>
      <x:c r="B652" s="22" t="str">
        <x:v>普通取得比例</x:v>
      </x:c>
      <x:c r="C652" s="22" t="str">
        <x:v>通过</x:v>
      </x:c>
      <x:c r="D652" s="22" t="str">
        <x:v>P0274</x:v>
      </x:c>
    </x:row>
    <x:row r="653" ht="24" customHeight="1">
      <x:c r="A653" s="22" t="n">
        <x:v>649</x:v>
      </x:c>
      <x:c r="B653" s="22" t="str">
        <x:v>同名命格不重复</x:v>
      </x:c>
      <x:c r="C653" s="22" t="str">
        <x:v>通过</x:v>
      </x:c>
      <x:c r="D653" s="22" t="str">
        <x:v>P0275</x:v>
      </x:c>
    </x:row>
    <x:row r="654" ht="24" customHeight="1">
      <x:c r="A654" s="22" t="n">
        <x:v>650</x:v>
      </x:c>
      <x:c r="B654" s="22" t="str">
        <x:v>人物幸运不超过8</x:v>
      </x:c>
      <x:c r="C654" s="22" t="str">
        <x:v>通过</x:v>
      </x:c>
      <x:c r="D654" s="22" t="str">
        <x:v>P0275</x:v>
      </x:c>
    </x:row>
    <x:row r="655" ht="24" customHeight="1">
      <x:c r="A655" s="22" t="n">
        <x:v>651</x:v>
      </x:c>
      <x:c r="B655" s="22" t="str">
        <x:v>同名命格不重复</x:v>
      </x:c>
      <x:c r="C655" s="22" t="str">
        <x:v>通过</x:v>
      </x:c>
      <x:c r="D655" s="22" t="str">
        <x:v>P0276</x:v>
      </x:c>
    </x:row>
    <x:row r="656" ht="24" customHeight="1">
      <x:c r="A656" s="22" t="n">
        <x:v>652</x:v>
      </x:c>
      <x:c r="B656" s="22" t="str">
        <x:v>人物幸运不超过8</x:v>
      </x:c>
      <x:c r="C656" s="22" t="str">
        <x:v>通过</x:v>
      </x:c>
      <x:c r="D656" s="22" t="str">
        <x:v>P0276</x:v>
      </x:c>
    </x:row>
    <x:row r="657" ht="24" customHeight="1">
      <x:c r="A657" s="22" t="n">
        <x:v>653</x:v>
      </x:c>
      <x:c r="B657" s="22" t="str">
        <x:v>同名命格不重复</x:v>
      </x:c>
      <x:c r="C657" s="22" t="str">
        <x:v>通过</x:v>
      </x:c>
      <x:c r="D657" s="22" t="str">
        <x:v>P0277</x:v>
      </x:c>
    </x:row>
    <x:row r="658" ht="24" customHeight="1">
      <x:c r="A658" s="22" t="n">
        <x:v>654</x:v>
      </x:c>
      <x:c r="B658" s="22" t="str">
        <x:v>人物幸运不超过8</x:v>
      </x:c>
      <x:c r="C658" s="22" t="str">
        <x:v>通过</x:v>
      </x:c>
      <x:c r="D658" s="22" t="str">
        <x:v>P0277</x:v>
      </x:c>
    </x:row>
    <x:row r="659" ht="24" customHeight="1">
      <x:c r="A659" s="22" t="n">
        <x:v>655</x:v>
      </x:c>
      <x:c r="B659" s="22" t="str">
        <x:v>同名命格不重复</x:v>
      </x:c>
      <x:c r="C659" s="22" t="str">
        <x:v>通过</x:v>
      </x:c>
      <x:c r="D659" s="22" t="str">
        <x:v>P0278</x:v>
      </x:c>
    </x:row>
    <x:row r="660" ht="24" customHeight="1">
      <x:c r="A660" s="22" t="n">
        <x:v>656</x:v>
      </x:c>
      <x:c r="B660" s="22" t="str">
        <x:v>人物幸运不超过8</x:v>
      </x:c>
      <x:c r="C660" s="22" t="str">
        <x:v>通过</x:v>
      </x:c>
      <x:c r="D660" s="22" t="str">
        <x:v>P0278</x:v>
      </x:c>
    </x:row>
    <x:row r="661" ht="24" customHeight="1">
      <x:c r="A661" s="22" t="n">
        <x:v>657</x:v>
      </x:c>
      <x:c r="B661" s="22" t="str">
        <x:v>同名命格不重复</x:v>
      </x:c>
      <x:c r="C661" s="22" t="str">
        <x:v>通过</x:v>
      </x:c>
      <x:c r="D661" s="22" t="str">
        <x:v>P0279</x:v>
      </x:c>
    </x:row>
    <x:row r="662" ht="24" customHeight="1">
      <x:c r="A662" s="22" t="n">
        <x:v>658</x:v>
      </x:c>
      <x:c r="B662" s="22" t="str">
        <x:v>人物幸运不超过8</x:v>
      </x:c>
      <x:c r="C662" s="22" t="str">
        <x:v>通过</x:v>
      </x:c>
      <x:c r="D662" s="22" t="str">
        <x:v>P0279</x:v>
      </x:c>
    </x:row>
    <x:row r="663" ht="24" customHeight="1">
      <x:c r="A663" s="22" t="n">
        <x:v>659</x:v>
      </x:c>
      <x:c r="B663" s="22" t="str">
        <x:v>同名命格不重复</x:v>
      </x:c>
      <x:c r="C663" s="22" t="str">
        <x:v>通过</x:v>
      </x:c>
      <x:c r="D663" s="22" t="str">
        <x:v>P0280</x:v>
      </x:c>
    </x:row>
    <x:row r="664" ht="24" customHeight="1">
      <x:c r="A664" s="22" t="n">
        <x:v>660</x:v>
      </x:c>
      <x:c r="B664" s="22" t="str">
        <x:v>人物幸运不超过8</x:v>
      </x:c>
      <x:c r="C664" s="22" t="str">
        <x:v>通过</x:v>
      </x:c>
      <x:c r="D664" s="22" t="str">
        <x:v>P0280</x:v>
      </x:c>
    </x:row>
    <x:row r="665" ht="24" customHeight="1">
      <x:c r="A665" s="22" t="n">
        <x:v>661</x:v>
      </x:c>
      <x:c r="B665" s="22" t="str">
        <x:v>普通50-70%不夹带永久成长</x:v>
      </x:c>
      <x:c r="C665" s="22" t="str">
        <x:v>通过</x:v>
      </x:c>
      <x:c r="D665" s="22" t="str">
        <x:v>P0280</x:v>
      </x:c>
    </x:row>
    <x:row r="666" ht="24" customHeight="1">
      <x:c r="A666" s="22" t="n">
        <x:v>662</x:v>
      </x:c>
      <x:c r="B666" s="22" t="str">
        <x:v>普通取得比例</x:v>
      </x:c>
      <x:c r="C666" s="22" t="str">
        <x:v>通过</x:v>
      </x:c>
      <x:c r="D666" s="22" t="str">
        <x:v>P0280</x:v>
      </x:c>
    </x:row>
    <x:row r="667" ht="24" customHeight="1">
      <x:c r="A667" s="22" t="n">
        <x:v>663</x:v>
      </x:c>
      <x:c r="B667" s="22" t="str">
        <x:v>同名命格不重复</x:v>
      </x:c>
      <x:c r="C667" s="22" t="str">
        <x:v>通过</x:v>
      </x:c>
      <x:c r="D667" s="22" t="str">
        <x:v>P0281</x:v>
      </x:c>
    </x:row>
    <x:row r="668" ht="24" customHeight="1">
      <x:c r="A668" s="22" t="n">
        <x:v>664</x:v>
      </x:c>
      <x:c r="B668" s="22" t="str">
        <x:v>人物幸运不超过8</x:v>
      </x:c>
      <x:c r="C668" s="22" t="str">
        <x:v>通过</x:v>
      </x:c>
      <x:c r="D668" s="22" t="str">
        <x:v>P0281</x:v>
      </x:c>
    </x:row>
    <x:row r="669" ht="24" customHeight="1">
      <x:c r="A669" s="22" t="n">
        <x:v>665</x:v>
      </x:c>
      <x:c r="B669" s="22" t="str">
        <x:v>同名命格不重复</x:v>
      </x:c>
      <x:c r="C669" s="22" t="str">
        <x:v>通过</x:v>
      </x:c>
      <x:c r="D669" s="22" t="str">
        <x:v>P0282</x:v>
      </x:c>
    </x:row>
    <x:row r="670" ht="24" customHeight="1">
      <x:c r="A670" s="22" t="n">
        <x:v>666</x:v>
      </x:c>
      <x:c r="B670" s="22" t="str">
        <x:v>人物幸运不超过8</x:v>
      </x:c>
      <x:c r="C670" s="22" t="str">
        <x:v>通过</x:v>
      </x:c>
      <x:c r="D670" s="22" t="str">
        <x:v>P0282</x:v>
      </x:c>
    </x:row>
    <x:row r="671" ht="24" customHeight="1">
      <x:c r="A671" s="22" t="n">
        <x:v>667</x:v>
      </x:c>
      <x:c r="B671" s="22" t="str">
        <x:v>同名命格不重复</x:v>
      </x:c>
      <x:c r="C671" s="22" t="str">
        <x:v>通过</x:v>
      </x:c>
      <x:c r="D671" s="22" t="str">
        <x:v>P0283</x:v>
      </x:c>
    </x:row>
    <x:row r="672" ht="24" customHeight="1">
      <x:c r="A672" s="22" t="n">
        <x:v>668</x:v>
      </x:c>
      <x:c r="B672" s="22" t="str">
        <x:v>人物幸运不超过8</x:v>
      </x:c>
      <x:c r="C672" s="22" t="str">
        <x:v>通过</x:v>
      </x:c>
      <x:c r="D672" s="22" t="str">
        <x:v>P0283</x:v>
      </x:c>
    </x:row>
    <x:row r="673" ht="24" customHeight="1">
      <x:c r="A673" s="22" t="n">
        <x:v>669</x:v>
      </x:c>
      <x:c r="B673" s="22" t="str">
        <x:v>同名命格不重复</x:v>
      </x:c>
      <x:c r="C673" s="22" t="str">
        <x:v>通过</x:v>
      </x:c>
      <x:c r="D673" s="22" t="str">
        <x:v>P0284</x:v>
      </x:c>
    </x:row>
    <x:row r="674" ht="24" customHeight="1">
      <x:c r="A674" s="22" t="n">
        <x:v>670</x:v>
      </x:c>
      <x:c r="B674" s="22" t="str">
        <x:v>人物幸运不超过8</x:v>
      </x:c>
      <x:c r="C674" s="22" t="str">
        <x:v>通过</x:v>
      </x:c>
      <x:c r="D674" s="22" t="str">
        <x:v>P0284</x:v>
      </x:c>
    </x:row>
    <x:row r="675" ht="24" customHeight="1">
      <x:c r="A675" s="22" t="n">
        <x:v>671</x:v>
      </x:c>
      <x:c r="B675" s="22" t="str">
        <x:v>同名命格不重复</x:v>
      </x:c>
      <x:c r="C675" s="22" t="str">
        <x:v>通过</x:v>
      </x:c>
      <x:c r="D675" s="22" t="str">
        <x:v>P0285</x:v>
      </x:c>
    </x:row>
    <x:row r="676" ht="24" customHeight="1">
      <x:c r="A676" s="22" t="n">
        <x:v>672</x:v>
      </x:c>
      <x:c r="B676" s="22" t="str">
        <x:v>人物幸运不超过8</x:v>
      </x:c>
      <x:c r="C676" s="22" t="str">
        <x:v>通过</x:v>
      </x:c>
      <x:c r="D676" s="22" t="str">
        <x:v>P0285</x:v>
      </x:c>
    </x:row>
    <x:row r="677" ht="24" customHeight="1">
      <x:c r="A677" s="22" t="n">
        <x:v>673</x:v>
      </x:c>
      <x:c r="B677" s="22" t="str">
        <x:v>同名命格不重复</x:v>
      </x:c>
      <x:c r="C677" s="22" t="str">
        <x:v>通过</x:v>
      </x:c>
      <x:c r="D677" s="22" t="str">
        <x:v>P0286</x:v>
      </x:c>
    </x:row>
    <x:row r="678" ht="24" customHeight="1">
      <x:c r="A678" s="22" t="n">
        <x:v>674</x:v>
      </x:c>
      <x:c r="B678" s="22" t="str">
        <x:v>人物幸运不超过8</x:v>
      </x:c>
      <x:c r="C678" s="22" t="str">
        <x:v>通过</x:v>
      </x:c>
      <x:c r="D678" s="22" t="str">
        <x:v>P0286</x:v>
      </x:c>
    </x:row>
    <x:row r="679" ht="24" customHeight="1">
      <x:c r="A679" s="22" t="n">
        <x:v>675</x:v>
      </x:c>
      <x:c r="B679" s="22" t="str">
        <x:v>普通50-70%不夹带永久成长</x:v>
      </x:c>
      <x:c r="C679" s="22" t="str">
        <x:v>通过</x:v>
      </x:c>
      <x:c r="D679" s="22" t="str">
        <x:v>P0286</x:v>
      </x:c>
    </x:row>
    <x:row r="680" ht="24" customHeight="1">
      <x:c r="A680" s="22" t="n">
        <x:v>676</x:v>
      </x:c>
      <x:c r="B680" s="22" t="str">
        <x:v>普通取得比例</x:v>
      </x:c>
      <x:c r="C680" s="22" t="str">
        <x:v>通过</x:v>
      </x:c>
      <x:c r="D680" s="22" t="str">
        <x:v>P0286</x:v>
      </x:c>
    </x:row>
    <x:row r="681" ht="24" customHeight="1">
      <x:c r="A681" s="22" t="n">
        <x:v>677</x:v>
      </x:c>
      <x:c r="B681" s="22" t="str">
        <x:v>同名命格不重复</x:v>
      </x:c>
      <x:c r="C681" s="22" t="str">
        <x:v>通过</x:v>
      </x:c>
      <x:c r="D681" s="22" t="str">
        <x:v>P0287</x:v>
      </x:c>
    </x:row>
    <x:row r="682" ht="24" customHeight="1">
      <x:c r="A682" s="22" t="n">
        <x:v>678</x:v>
      </x:c>
      <x:c r="B682" s="22" t="str">
        <x:v>人物幸运不超过8</x:v>
      </x:c>
      <x:c r="C682" s="22" t="str">
        <x:v>通过</x:v>
      </x:c>
      <x:c r="D682" s="22" t="str">
        <x:v>P0287</x:v>
      </x:c>
    </x:row>
    <x:row r="683" ht="24" customHeight="1">
      <x:c r="A683" s="22" t="n">
        <x:v>679</x:v>
      </x:c>
      <x:c r="B683" s="22" t="str">
        <x:v>同名命格不重复</x:v>
      </x:c>
      <x:c r="C683" s="22" t="str">
        <x:v>通过</x:v>
      </x:c>
      <x:c r="D683" s="22" t="str">
        <x:v>P0288</x:v>
      </x:c>
    </x:row>
    <x:row r="684" ht="24" customHeight="1">
      <x:c r="A684" s="22" t="n">
        <x:v>680</x:v>
      </x:c>
      <x:c r="B684" s="22" t="str">
        <x:v>人物幸运不超过8</x:v>
      </x:c>
      <x:c r="C684" s="22" t="str">
        <x:v>通过</x:v>
      </x:c>
      <x:c r="D684" s="22" t="str">
        <x:v>P0288</x:v>
      </x:c>
    </x:row>
    <x:row r="685" ht="24" customHeight="1">
      <x:c r="A685" s="22" t="n">
        <x:v>681</x:v>
      </x:c>
      <x:c r="B685" s="22" t="str">
        <x:v>同名命格不重复</x:v>
      </x:c>
      <x:c r="C685" s="22" t="str">
        <x:v>通过</x:v>
      </x:c>
      <x:c r="D685" s="22" t="str">
        <x:v>P0289</x:v>
      </x:c>
    </x:row>
    <x:row r="686" ht="24" customHeight="1">
      <x:c r="A686" s="22" t="n">
        <x:v>682</x:v>
      </x:c>
      <x:c r="B686" s="22" t="str">
        <x:v>人物幸运不超过8</x:v>
      </x:c>
      <x:c r="C686" s="22" t="str">
        <x:v>通过</x:v>
      </x:c>
      <x:c r="D686" s="22" t="str">
        <x:v>P0289</x:v>
      </x:c>
    </x:row>
    <x:row r="687" ht="24" customHeight="1">
      <x:c r="A687" s="22" t="n">
        <x:v>683</x:v>
      </x:c>
      <x:c r="B687" s="22" t="str">
        <x:v>同名命格不重复</x:v>
      </x:c>
      <x:c r="C687" s="22" t="str">
        <x:v>通过</x:v>
      </x:c>
      <x:c r="D687" s="22" t="str">
        <x:v>P0290</x:v>
      </x:c>
    </x:row>
    <x:row r="688" ht="24" customHeight="1">
      <x:c r="A688" s="22" t="n">
        <x:v>684</x:v>
      </x:c>
      <x:c r="B688" s="22" t="str">
        <x:v>人物幸运不超过8</x:v>
      </x:c>
      <x:c r="C688" s="22" t="str">
        <x:v>通过</x:v>
      </x:c>
      <x:c r="D688" s="22" t="str">
        <x:v>P0290</x:v>
      </x:c>
    </x:row>
    <x:row r="689" ht="24" customHeight="1">
      <x:c r="A689" s="22" t="n">
        <x:v>685</x:v>
      </x:c>
      <x:c r="B689" s="22" t="str">
        <x:v>同名命格不重复</x:v>
      </x:c>
      <x:c r="C689" s="22" t="str">
        <x:v>通过</x:v>
      </x:c>
      <x:c r="D689" s="22" t="str">
        <x:v>P0291</x:v>
      </x:c>
    </x:row>
    <x:row r="690" ht="24" customHeight="1">
      <x:c r="A690" s="22" t="n">
        <x:v>686</x:v>
      </x:c>
      <x:c r="B690" s="22" t="str">
        <x:v>人物幸运不超过8</x:v>
      </x:c>
      <x:c r="C690" s="22" t="str">
        <x:v>通过</x:v>
      </x:c>
      <x:c r="D690" s="22" t="str">
        <x:v>P0291</x:v>
      </x:c>
    </x:row>
    <x:row r="691" ht="24" customHeight="1">
      <x:c r="A691" s="22" t="n">
        <x:v>687</x:v>
      </x:c>
      <x:c r="B691" s="22" t="str">
        <x:v>同名命格不重复</x:v>
      </x:c>
      <x:c r="C691" s="22" t="str">
        <x:v>通过</x:v>
      </x:c>
      <x:c r="D691" s="22" t="str">
        <x:v>P0292</x:v>
      </x:c>
    </x:row>
    <x:row r="692" ht="24" customHeight="1">
      <x:c r="A692" s="22" t="n">
        <x:v>688</x:v>
      </x:c>
      <x:c r="B692" s="22" t="str">
        <x:v>人物幸运不超过8</x:v>
      </x:c>
      <x:c r="C692" s="22" t="str">
        <x:v>通过</x:v>
      </x:c>
      <x:c r="D692" s="22" t="str">
        <x:v>P0292</x:v>
      </x:c>
    </x:row>
    <x:row r="693" ht="24" customHeight="1">
      <x:c r="A693" s="22" t="n">
        <x:v>689</x:v>
      </x:c>
      <x:c r="B693" s="22" t="str">
        <x:v>普通50-70%不夹带永久成长</x:v>
      </x:c>
      <x:c r="C693" s="22" t="str">
        <x:v>通过</x:v>
      </x:c>
      <x:c r="D693" s="22" t="str">
        <x:v>P0292</x:v>
      </x:c>
    </x:row>
    <x:row r="694" ht="24" customHeight="1">
      <x:c r="A694" s="22" t="n">
        <x:v>690</x:v>
      </x:c>
      <x:c r="B694" s="22" t="str">
        <x:v>普通取得比例</x:v>
      </x:c>
      <x:c r="C694" s="22" t="str">
        <x:v>通过</x:v>
      </x:c>
      <x:c r="D694" s="22" t="str">
        <x:v>P0292</x:v>
      </x:c>
    </x:row>
    <x:row r="695" ht="24" customHeight="1">
      <x:c r="A695" s="22" t="n">
        <x:v>691</x:v>
      </x:c>
      <x:c r="B695" s="22" t="str">
        <x:v>同名命格不重复</x:v>
      </x:c>
      <x:c r="C695" s="22" t="str">
        <x:v>通过</x:v>
      </x:c>
      <x:c r="D695" s="22" t="str">
        <x:v>P0293</x:v>
      </x:c>
    </x:row>
    <x:row r="696" ht="24" customHeight="1">
      <x:c r="A696" s="22" t="n">
        <x:v>692</x:v>
      </x:c>
      <x:c r="B696" s="22" t="str">
        <x:v>人物幸运不超过8</x:v>
      </x:c>
      <x:c r="C696" s="22" t="str">
        <x:v>通过</x:v>
      </x:c>
      <x:c r="D696" s="22" t="str">
        <x:v>P0293</x:v>
      </x:c>
    </x:row>
    <x:row r="697" ht="24" customHeight="1">
      <x:c r="A697" s="22" t="n">
        <x:v>693</x:v>
      </x:c>
      <x:c r="B697" s="22" t="str">
        <x:v>同名命格不重复</x:v>
      </x:c>
      <x:c r="C697" s="22" t="str">
        <x:v>通过</x:v>
      </x:c>
      <x:c r="D697" s="22" t="str">
        <x:v>P0294</x:v>
      </x:c>
    </x:row>
    <x:row r="698" ht="24" customHeight="1">
      <x:c r="A698" s="22" t="n">
        <x:v>694</x:v>
      </x:c>
      <x:c r="B698" s="22" t="str">
        <x:v>人物幸运不超过8</x:v>
      </x:c>
      <x:c r="C698" s="22" t="str">
        <x:v>通过</x:v>
      </x:c>
      <x:c r="D698" s="22" t="str">
        <x:v>P0294</x:v>
      </x:c>
    </x:row>
    <x:row r="699" ht="24" customHeight="1">
      <x:c r="A699" s="22" t="n">
        <x:v>695</x:v>
      </x:c>
      <x:c r="B699" s="22" t="str">
        <x:v>同名命格不重复</x:v>
      </x:c>
      <x:c r="C699" s="22" t="str">
        <x:v>通过</x:v>
      </x:c>
      <x:c r="D699" s="22" t="str">
        <x:v>P0295</x:v>
      </x:c>
    </x:row>
    <x:row r="700" ht="24" customHeight="1">
      <x:c r="A700" s="22" t="n">
        <x:v>696</x:v>
      </x:c>
      <x:c r="B700" s="22" t="str">
        <x:v>人物幸运不超过8</x:v>
      </x:c>
      <x:c r="C700" s="22" t="str">
        <x:v>通过</x:v>
      </x:c>
      <x:c r="D700" s="22" t="str">
        <x:v>P0295</x:v>
      </x:c>
    </x:row>
    <x:row r="701" ht="24" customHeight="1">
      <x:c r="A701" s="22" t="n">
        <x:v>697</x:v>
      </x:c>
      <x:c r="B701" s="22" t="str">
        <x:v>同名命格不重复</x:v>
      </x:c>
      <x:c r="C701" s="22" t="str">
        <x:v>通过</x:v>
      </x:c>
      <x:c r="D701" s="22" t="str">
        <x:v>P0296</x:v>
      </x:c>
    </x:row>
    <x:row r="702" ht="24" customHeight="1">
      <x:c r="A702" s="22" t="n">
        <x:v>698</x:v>
      </x:c>
      <x:c r="B702" s="22" t="str">
        <x:v>人物幸运不超过8</x:v>
      </x:c>
      <x:c r="C702" s="22" t="str">
        <x:v>通过</x:v>
      </x:c>
      <x:c r="D702" s="22" t="str">
        <x:v>P0296</x:v>
      </x:c>
    </x:row>
    <x:row r="703" ht="24" customHeight="1">
      <x:c r="A703" s="22" t="n">
        <x:v>699</x:v>
      </x:c>
      <x:c r="B703" s="22" t="str">
        <x:v>同名命格不重复</x:v>
      </x:c>
      <x:c r="C703" s="22" t="str">
        <x:v>通过</x:v>
      </x:c>
      <x:c r="D703" s="22" t="str">
        <x:v>P0297</x:v>
      </x:c>
    </x:row>
    <x:row r="704" ht="24" customHeight="1">
      <x:c r="A704" s="22" t="n">
        <x:v>700</x:v>
      </x:c>
      <x:c r="B704" s="22" t="str">
        <x:v>人物幸运不超过8</x:v>
      </x:c>
      <x:c r="C704" s="22" t="str">
        <x:v>通过</x:v>
      </x:c>
      <x:c r="D704" s="22" t="str">
        <x:v>P0297</x:v>
      </x:c>
    </x:row>
    <x:row r="705" ht="24" customHeight="1">
      <x:c r="A705" s="22" t="n">
        <x:v>701</x:v>
      </x:c>
      <x:c r="B705" s="22" t="str">
        <x:v>同名命格不重复</x:v>
      </x:c>
      <x:c r="C705" s="22" t="str">
        <x:v>通过</x:v>
      </x:c>
      <x:c r="D705" s="22" t="str">
        <x:v>P0298</x:v>
      </x:c>
    </x:row>
    <x:row r="706" ht="24" customHeight="1">
      <x:c r="A706" s="22" t="n">
        <x:v>702</x:v>
      </x:c>
      <x:c r="B706" s="22" t="str">
        <x:v>人物幸运不超过8</x:v>
      </x:c>
      <x:c r="C706" s="22" t="str">
        <x:v>通过</x:v>
      </x:c>
      <x:c r="D706" s="22" t="str">
        <x:v>P0298</x:v>
      </x:c>
    </x:row>
    <x:row r="707" ht="24" customHeight="1">
      <x:c r="A707" s="22" t="n">
        <x:v>703</x:v>
      </x:c>
      <x:c r="B707" s="22" t="str">
        <x:v>同名命格不重复</x:v>
      </x:c>
      <x:c r="C707" s="22" t="str">
        <x:v>通过</x:v>
      </x:c>
      <x:c r="D707" s="22" t="str">
        <x:v>P0299</x:v>
      </x:c>
    </x:row>
    <x:row r="708" ht="24" customHeight="1">
      <x:c r="A708" s="22" t="n">
        <x:v>704</x:v>
      </x:c>
      <x:c r="B708" s="22" t="str">
        <x:v>人物幸运不超过8</x:v>
      </x:c>
      <x:c r="C708" s="22" t="str">
        <x:v>通过</x:v>
      </x:c>
      <x:c r="D708" s="22" t="str">
        <x:v>P0299</x:v>
      </x:c>
    </x:row>
    <x:row r="709" ht="24" customHeight="1">
      <x:c r="A709" s="22" t="n">
        <x:v>705</x:v>
      </x:c>
      <x:c r="B709" s="22" t="str">
        <x:v>守关前必做合成齐全</x:v>
      </x:c>
      <x:c r="C709" s="22" t="str">
        <x:v>通过</x:v>
      </x:c>
      <x:c r="D709" s="22" t="str">
        <x:v>9</x:v>
      </x:c>
    </x:row>
    <x:row r="710" ht="24" customHeight="1">
      <x:c r="A710" s="22" t="n">
        <x:v>706</x:v>
      </x:c>
      <x:c r="B710" s="22" t="str">
        <x:v>首次挑战未取得本守关装备</x:v>
      </x:c>
      <x:c r="C710" s="22" t="str">
        <x:v>通过</x:v>
      </x:c>
      <x:c r="D710" s="22" t="str">
        <x:v>鎏日王城之影·阿尔维萨</x:v>
      </x:c>
    </x:row>
    <x:row r="711" ht="24" customHeight="1">
      <x:c r="A711" s="22" t="n">
        <x:v>707</x:v>
      </x:c>
      <x:c r="B711" s="22" t="str">
        <x:v>同名命格不重复</x:v>
      </x:c>
      <x:c r="C711" s="22" t="str">
        <x:v>通过</x:v>
      </x:c>
      <x:c r="D711" s="22" t="str">
        <x:v>P0300</x:v>
      </x:c>
    </x:row>
    <x:row r="712" ht="24" customHeight="1">
      <x:c r="A712" s="22" t="n">
        <x:v>708</x:v>
      </x:c>
      <x:c r="B712" s="22" t="str">
        <x:v>人物幸运不超过8</x:v>
      </x:c>
      <x:c r="C712" s="22" t="str">
        <x:v>通过</x:v>
      </x:c>
      <x:c r="D712" s="22" t="str">
        <x:v>P0300</x:v>
      </x:c>
    </x:row>
    <x:row r="713" ht="24" customHeight="1">
      <x:c r="A713" s="22" t="n">
        <x:v>709</x:v>
      </x:c>
      <x:c r="B713" s="22" t="str">
        <x:v>同名命格不重复</x:v>
      </x:c>
      <x:c r="C713" s="22" t="str">
        <x:v>通过</x:v>
      </x:c>
      <x:c r="D713" s="22" t="str">
        <x:v>P0301</x:v>
      </x:c>
    </x:row>
    <x:row r="714" ht="24" customHeight="1">
      <x:c r="A714" s="22" t="n">
        <x:v>710</x:v>
      </x:c>
      <x:c r="B714" s="22" t="str">
        <x:v>人物幸运不超过8</x:v>
      </x:c>
      <x:c r="C714" s="22" t="str">
        <x:v>通过</x:v>
      </x:c>
      <x:c r="D714" s="22" t="str">
        <x:v>P0301</x:v>
      </x:c>
    </x:row>
    <x:row r="715" ht="24" customHeight="1">
      <x:c r="A715" s="22" t="n">
        <x:v>711</x:v>
      </x:c>
      <x:c r="B715" s="22" t="str">
        <x:v>跨大陆永久与穿戴继承</x:v>
      </x:c>
      <x:c r="C715" s="22" t="str">
        <x:v>通过</x:v>
      </x:c>
      <x:c r="D715" s="22" t="str">
        <x:v>10</x:v>
      </x:c>
    </x:row>
    <x:row r="716" ht="24" customHeight="1">
      <x:c r="A716" s="22" t="n">
        <x:v>712</x:v>
      </x:c>
      <x:c r="B716" s="22" t="str">
        <x:v>同名命格不重复</x:v>
      </x:c>
      <x:c r="C716" s="22" t="str">
        <x:v>通过</x:v>
      </x:c>
      <x:c r="D716" s="22" t="str">
        <x:v>P0302</x:v>
      </x:c>
    </x:row>
    <x:row r="717" ht="24" customHeight="1">
      <x:c r="A717" s="22" t="n">
        <x:v>713</x:v>
      </x:c>
      <x:c r="B717" s="22" t="str">
        <x:v>人物幸运不超过8</x:v>
      </x:c>
      <x:c r="C717" s="22" t="str">
        <x:v>通过</x:v>
      </x:c>
      <x:c r="D717" s="22" t="str">
        <x:v>P0302</x:v>
      </x:c>
    </x:row>
    <x:row r="718" ht="24" customHeight="1">
      <x:c r="A718" s="22" t="n">
        <x:v>714</x:v>
      </x:c>
      <x:c r="B718" s="22" t="str">
        <x:v>同名命格不重复</x:v>
      </x:c>
      <x:c r="C718" s="22" t="str">
        <x:v>通过</x:v>
      </x:c>
      <x:c r="D718" s="22" t="str">
        <x:v>P0303</x:v>
      </x:c>
    </x:row>
    <x:row r="719" ht="24" customHeight="1">
      <x:c r="A719" s="22" t="n">
        <x:v>715</x:v>
      </x:c>
      <x:c r="B719" s="22" t="str">
        <x:v>人物幸运不超过8</x:v>
      </x:c>
      <x:c r="C719" s="22" t="str">
        <x:v>通过</x:v>
      </x:c>
      <x:c r="D719" s="22" t="str">
        <x:v>P0303</x:v>
      </x:c>
    </x:row>
    <x:row r="720" ht="24" customHeight="1">
      <x:c r="A720" s="22" t="n">
        <x:v>716</x:v>
      </x:c>
      <x:c r="B720" s="22" t="str">
        <x:v>同名命格不重复</x:v>
      </x:c>
      <x:c r="C720" s="22" t="str">
        <x:v>通过</x:v>
      </x:c>
      <x:c r="D720" s="22" t="str">
        <x:v>P0304</x:v>
      </x:c>
    </x:row>
    <x:row r="721" ht="24" customHeight="1">
      <x:c r="A721" s="22" t="n">
        <x:v>717</x:v>
      </x:c>
      <x:c r="B721" s="22" t="str">
        <x:v>人物幸运不超过8</x:v>
      </x:c>
      <x:c r="C721" s="22" t="str">
        <x:v>通过</x:v>
      </x:c>
      <x:c r="D721" s="22" t="str">
        <x:v>P0304</x:v>
      </x:c>
    </x:row>
    <x:row r="722" ht="24" customHeight="1">
      <x:c r="A722" s="22" t="n">
        <x:v>718</x:v>
      </x:c>
      <x:c r="B722" s="22" t="str">
        <x:v>普通50-70%不夹带永久成长</x:v>
      </x:c>
      <x:c r="C722" s="22" t="str">
        <x:v>通过</x:v>
      </x:c>
      <x:c r="D722" s="22" t="str">
        <x:v>P0304</x:v>
      </x:c>
    </x:row>
    <x:row r="723" ht="24" customHeight="1">
      <x:c r="A723" s="22" t="n">
        <x:v>719</x:v>
      </x:c>
      <x:c r="B723" s="22" t="str">
        <x:v>普通取得比例</x:v>
      </x:c>
      <x:c r="C723" s="22" t="str">
        <x:v>通过</x:v>
      </x:c>
      <x:c r="D723" s="22" t="str">
        <x:v>P0304</x:v>
      </x:c>
    </x:row>
    <x:row r="724" ht="24" customHeight="1">
      <x:c r="A724" s="22" t="n">
        <x:v>720</x:v>
      </x:c>
      <x:c r="B724" s="22" t="str">
        <x:v>同名命格不重复</x:v>
      </x:c>
      <x:c r="C724" s="22" t="str">
        <x:v>通过</x:v>
      </x:c>
      <x:c r="D724" s="22" t="str">
        <x:v>P0305</x:v>
      </x:c>
    </x:row>
    <x:row r="725" ht="24" customHeight="1">
      <x:c r="A725" s="22" t="n">
        <x:v>721</x:v>
      </x:c>
      <x:c r="B725" s="22" t="str">
        <x:v>人物幸运不超过8</x:v>
      </x:c>
      <x:c r="C725" s="22" t="str">
        <x:v>通过</x:v>
      </x:c>
      <x:c r="D725" s="22" t="str">
        <x:v>P0305</x:v>
      </x:c>
    </x:row>
    <x:row r="726" ht="24" customHeight="1">
      <x:c r="A726" s="22" t="n">
        <x:v>722</x:v>
      </x:c>
      <x:c r="B726" s="22" t="str">
        <x:v>同名命格不重复</x:v>
      </x:c>
      <x:c r="C726" s="22" t="str">
        <x:v>通过</x:v>
      </x:c>
      <x:c r="D726" s="22" t="str">
        <x:v>P0306</x:v>
      </x:c>
    </x:row>
    <x:row r="727" ht="24" customHeight="1">
      <x:c r="A727" s="22" t="n">
        <x:v>723</x:v>
      </x:c>
      <x:c r="B727" s="22" t="str">
        <x:v>人物幸运不超过8</x:v>
      </x:c>
      <x:c r="C727" s="22" t="str">
        <x:v>通过</x:v>
      </x:c>
      <x:c r="D727" s="22" t="str">
        <x:v>P0306</x:v>
      </x:c>
    </x:row>
    <x:row r="728" ht="24" customHeight="1">
      <x:c r="A728" s="22" t="n">
        <x:v>724</x:v>
      </x:c>
      <x:c r="B728" s="22" t="str">
        <x:v>同名命格不重复</x:v>
      </x:c>
      <x:c r="C728" s="22" t="str">
        <x:v>通过</x:v>
      </x:c>
      <x:c r="D728" s="22" t="str">
        <x:v>P0307</x:v>
      </x:c>
    </x:row>
    <x:row r="729" ht="24" customHeight="1">
      <x:c r="A729" s="22" t="n">
        <x:v>725</x:v>
      </x:c>
      <x:c r="B729" s="22" t="str">
        <x:v>人物幸运不超过8</x:v>
      </x:c>
      <x:c r="C729" s="22" t="str">
        <x:v>通过</x:v>
      </x:c>
      <x:c r="D729" s="22" t="str">
        <x:v>P0307</x:v>
      </x:c>
    </x:row>
    <x:row r="730" ht="24" customHeight="1">
      <x:c r="A730" s="22" t="n">
        <x:v>726</x:v>
      </x:c>
      <x:c r="B730" s="22" t="str">
        <x:v>同名命格不重复</x:v>
      </x:c>
      <x:c r="C730" s="22" t="str">
        <x:v>通过</x:v>
      </x:c>
      <x:c r="D730" s="22" t="str">
        <x:v>P0308</x:v>
      </x:c>
    </x:row>
    <x:row r="731" ht="24" customHeight="1">
      <x:c r="A731" s="22" t="n">
        <x:v>727</x:v>
      </x:c>
      <x:c r="B731" s="22" t="str">
        <x:v>人物幸运不超过8</x:v>
      </x:c>
      <x:c r="C731" s="22" t="str">
        <x:v>通过</x:v>
      </x:c>
      <x:c r="D731" s="22" t="str">
        <x:v>P0308</x:v>
      </x:c>
    </x:row>
    <x:row r="732" ht="24" customHeight="1">
      <x:c r="A732" s="22" t="n">
        <x:v>728</x:v>
      </x:c>
      <x:c r="B732" s="22" t="str">
        <x:v>同名命格不重复</x:v>
      </x:c>
      <x:c r="C732" s="22" t="str">
        <x:v>通过</x:v>
      </x:c>
      <x:c r="D732" s="22" t="str">
        <x:v>P0309</x:v>
      </x:c>
    </x:row>
    <x:row r="733" ht="24" customHeight="1">
      <x:c r="A733" s="22" t="n">
        <x:v>729</x:v>
      </x:c>
      <x:c r="B733" s="22" t="str">
        <x:v>人物幸运不超过8</x:v>
      </x:c>
      <x:c r="C733" s="22" t="str">
        <x:v>通过</x:v>
      </x:c>
      <x:c r="D733" s="22" t="str">
        <x:v>P0309</x:v>
      </x:c>
    </x:row>
    <x:row r="734" ht="24" customHeight="1">
      <x:c r="A734" s="22" t="n">
        <x:v>730</x:v>
      </x:c>
      <x:c r="B734" s="22" t="str">
        <x:v>同名命格不重复</x:v>
      </x:c>
      <x:c r="C734" s="22" t="str">
        <x:v>通过</x:v>
      </x:c>
      <x:c r="D734" s="22" t="str">
        <x:v>P0310</x:v>
      </x:c>
    </x:row>
    <x:row r="735" ht="24" customHeight="1">
      <x:c r="A735" s="22" t="n">
        <x:v>731</x:v>
      </x:c>
      <x:c r="B735" s="22" t="str">
        <x:v>人物幸运不超过8</x:v>
      </x:c>
      <x:c r="C735" s="22" t="str">
        <x:v>通过</x:v>
      </x:c>
      <x:c r="D735" s="22" t="str">
        <x:v>P0310</x:v>
      </x:c>
    </x:row>
    <x:row r="736" ht="24" customHeight="1">
      <x:c r="A736" s="22" t="n">
        <x:v>732</x:v>
      </x:c>
      <x:c r="B736" s="22" t="str">
        <x:v>普通50-70%不夹带永久成长</x:v>
      </x:c>
      <x:c r="C736" s="22" t="str">
        <x:v>通过</x:v>
      </x:c>
      <x:c r="D736" s="22" t="str">
        <x:v>P0310</x:v>
      </x:c>
    </x:row>
    <x:row r="737" ht="24" customHeight="1">
      <x:c r="A737" s="22" t="n">
        <x:v>733</x:v>
      </x:c>
      <x:c r="B737" s="22" t="str">
        <x:v>普通取得比例</x:v>
      </x:c>
      <x:c r="C737" s="22" t="str">
        <x:v>通过</x:v>
      </x:c>
      <x:c r="D737" s="22" t="str">
        <x:v>P0310</x:v>
      </x:c>
    </x:row>
    <x:row r="738" ht="24" customHeight="1">
      <x:c r="A738" s="22" t="n">
        <x:v>734</x:v>
      </x:c>
      <x:c r="B738" s="22" t="str">
        <x:v>同名命格不重复</x:v>
      </x:c>
      <x:c r="C738" s="22" t="str">
        <x:v>通过</x:v>
      </x:c>
      <x:c r="D738" s="22" t="str">
        <x:v>P0311</x:v>
      </x:c>
    </x:row>
    <x:row r="739" ht="24" customHeight="1">
      <x:c r="A739" s="22" t="n">
        <x:v>735</x:v>
      </x:c>
      <x:c r="B739" s="22" t="str">
        <x:v>人物幸运不超过8</x:v>
      </x:c>
      <x:c r="C739" s="22" t="str">
        <x:v>通过</x:v>
      </x:c>
      <x:c r="D739" s="22" t="str">
        <x:v>P0311</x:v>
      </x:c>
    </x:row>
    <x:row r="740" ht="24" customHeight="1">
      <x:c r="A740" s="22" t="n">
        <x:v>736</x:v>
      </x:c>
      <x:c r="B740" s="22" t="str">
        <x:v>同名命格不重复</x:v>
      </x:c>
      <x:c r="C740" s="22" t="str">
        <x:v>通过</x:v>
      </x:c>
      <x:c r="D740" s="22" t="str">
        <x:v>P0312</x:v>
      </x:c>
    </x:row>
    <x:row r="741" ht="24" customHeight="1">
      <x:c r="A741" s="22" t="n">
        <x:v>737</x:v>
      </x:c>
      <x:c r="B741" s="22" t="str">
        <x:v>人物幸运不超过8</x:v>
      </x:c>
      <x:c r="C741" s="22" t="str">
        <x:v>通过</x:v>
      </x:c>
      <x:c r="D741" s="22" t="str">
        <x:v>P0312</x:v>
      </x:c>
    </x:row>
    <x:row r="742" ht="24" customHeight="1">
      <x:c r="A742" s="22" t="n">
        <x:v>738</x:v>
      </x:c>
      <x:c r="B742" s="22" t="str">
        <x:v>同名命格不重复</x:v>
      </x:c>
      <x:c r="C742" s="22" t="str">
        <x:v>通过</x:v>
      </x:c>
      <x:c r="D742" s="22" t="str">
        <x:v>P0313</x:v>
      </x:c>
    </x:row>
    <x:row r="743" ht="24" customHeight="1">
      <x:c r="A743" s="22" t="n">
        <x:v>739</x:v>
      </x:c>
      <x:c r="B743" s="22" t="str">
        <x:v>人物幸运不超过8</x:v>
      </x:c>
      <x:c r="C743" s="22" t="str">
        <x:v>通过</x:v>
      </x:c>
      <x:c r="D743" s="22" t="str">
        <x:v>P0313</x:v>
      </x:c>
    </x:row>
    <x:row r="744" ht="24" customHeight="1">
      <x:c r="A744" s="22" t="n">
        <x:v>740</x:v>
      </x:c>
      <x:c r="B744" s="22" t="str">
        <x:v>同名命格不重复</x:v>
      </x:c>
      <x:c r="C744" s="22" t="str">
        <x:v>通过</x:v>
      </x:c>
      <x:c r="D744" s="22" t="str">
        <x:v>P0314</x:v>
      </x:c>
    </x:row>
    <x:row r="745" ht="24" customHeight="1">
      <x:c r="A745" s="22" t="n">
        <x:v>741</x:v>
      </x:c>
      <x:c r="B745" s="22" t="str">
        <x:v>人物幸运不超过8</x:v>
      </x:c>
      <x:c r="C745" s="22" t="str">
        <x:v>通过</x:v>
      </x:c>
      <x:c r="D745" s="22" t="str">
        <x:v>P0314</x:v>
      </x:c>
    </x:row>
    <x:row r="746" ht="24" customHeight="1">
      <x:c r="A746" s="22" t="n">
        <x:v>742</x:v>
      </x:c>
      <x:c r="B746" s="22" t="str">
        <x:v>同名命格不重复</x:v>
      </x:c>
      <x:c r="C746" s="22" t="str">
        <x:v>通过</x:v>
      </x:c>
      <x:c r="D746" s="22" t="str">
        <x:v>P0315</x:v>
      </x:c>
    </x:row>
    <x:row r="747" ht="24" customHeight="1">
      <x:c r="A747" s="22" t="n">
        <x:v>743</x:v>
      </x:c>
      <x:c r="B747" s="22" t="str">
        <x:v>人物幸运不超过8</x:v>
      </x:c>
      <x:c r="C747" s="22" t="str">
        <x:v>通过</x:v>
      </x:c>
      <x:c r="D747" s="22" t="str">
        <x:v>P0315</x:v>
      </x:c>
    </x:row>
    <x:row r="748" ht="24" customHeight="1">
      <x:c r="A748" s="22" t="n">
        <x:v>744</x:v>
      </x:c>
      <x:c r="B748" s="22" t="str">
        <x:v>同名命格不重复</x:v>
      </x:c>
      <x:c r="C748" s="22" t="str">
        <x:v>通过</x:v>
      </x:c>
      <x:c r="D748" s="22" t="str">
        <x:v>P0316</x:v>
      </x:c>
    </x:row>
    <x:row r="749" ht="24" customHeight="1">
      <x:c r="A749" s="22" t="n">
        <x:v>745</x:v>
      </x:c>
      <x:c r="B749" s="22" t="str">
        <x:v>人物幸运不超过8</x:v>
      </x:c>
      <x:c r="C749" s="22" t="str">
        <x:v>通过</x:v>
      </x:c>
      <x:c r="D749" s="22" t="str">
        <x:v>P0316</x:v>
      </x:c>
    </x:row>
    <x:row r="750" ht="24" customHeight="1">
      <x:c r="A750" s="22" t="n">
        <x:v>746</x:v>
      </x:c>
      <x:c r="B750" s="22" t="str">
        <x:v>普通50-70%不夹带永久成长</x:v>
      </x:c>
      <x:c r="C750" s="22" t="str">
        <x:v>通过</x:v>
      </x:c>
      <x:c r="D750" s="22" t="str">
        <x:v>P0316</x:v>
      </x:c>
    </x:row>
    <x:row r="751" ht="24" customHeight="1">
      <x:c r="A751" s="22" t="n">
        <x:v>747</x:v>
      </x:c>
      <x:c r="B751" s="22" t="str">
        <x:v>普通取得比例</x:v>
      </x:c>
      <x:c r="C751" s="22" t="str">
        <x:v>通过</x:v>
      </x:c>
      <x:c r="D751" s="22" t="str">
        <x:v>P0316</x:v>
      </x:c>
    </x:row>
    <x:row r="752" ht="24" customHeight="1">
      <x:c r="A752" s="22" t="n">
        <x:v>748</x:v>
      </x:c>
      <x:c r="B752" s="22" t="str">
        <x:v>同名命格不重复</x:v>
      </x:c>
      <x:c r="C752" s="22" t="str">
        <x:v>通过</x:v>
      </x:c>
      <x:c r="D752" s="22" t="str">
        <x:v>P0317</x:v>
      </x:c>
    </x:row>
    <x:row r="753" ht="24" customHeight="1">
      <x:c r="A753" s="22" t="n">
        <x:v>749</x:v>
      </x:c>
      <x:c r="B753" s="22" t="str">
        <x:v>人物幸运不超过8</x:v>
      </x:c>
      <x:c r="C753" s="22" t="str">
        <x:v>通过</x:v>
      </x:c>
      <x:c r="D753" s="22" t="str">
        <x:v>P0317</x:v>
      </x:c>
    </x:row>
    <x:row r="754" ht="24" customHeight="1">
      <x:c r="A754" s="22" t="n">
        <x:v>750</x:v>
      </x:c>
      <x:c r="B754" s="22" t="str">
        <x:v>同名命格不重复</x:v>
      </x:c>
      <x:c r="C754" s="22" t="str">
        <x:v>通过</x:v>
      </x:c>
      <x:c r="D754" s="22" t="str">
        <x:v>P0318</x:v>
      </x:c>
    </x:row>
    <x:row r="755" ht="24" customHeight="1">
      <x:c r="A755" s="22" t="n">
        <x:v>751</x:v>
      </x:c>
      <x:c r="B755" s="22" t="str">
        <x:v>人物幸运不超过8</x:v>
      </x:c>
      <x:c r="C755" s="22" t="str">
        <x:v>通过</x:v>
      </x:c>
      <x:c r="D755" s="22" t="str">
        <x:v>P0318</x:v>
      </x:c>
    </x:row>
    <x:row r="756" ht="24" customHeight="1">
      <x:c r="A756" s="22" t="n">
        <x:v>752</x:v>
      </x:c>
      <x:c r="B756" s="22" t="str">
        <x:v>同名命格不重复</x:v>
      </x:c>
      <x:c r="C756" s="22" t="str">
        <x:v>通过</x:v>
      </x:c>
      <x:c r="D756" s="22" t="str">
        <x:v>P0319</x:v>
      </x:c>
    </x:row>
    <x:row r="757" ht="24" customHeight="1">
      <x:c r="A757" s="22" t="n">
        <x:v>753</x:v>
      </x:c>
      <x:c r="B757" s="22" t="str">
        <x:v>人物幸运不超过8</x:v>
      </x:c>
      <x:c r="C757" s="22" t="str">
        <x:v>通过</x:v>
      </x:c>
      <x:c r="D757" s="22" t="str">
        <x:v>P0319</x:v>
      </x:c>
    </x:row>
    <x:row r="758" ht="24" customHeight="1">
      <x:c r="A758" s="22" t="n">
        <x:v>754</x:v>
      </x:c>
      <x:c r="B758" s="22" t="str">
        <x:v>同名命格不重复</x:v>
      </x:c>
      <x:c r="C758" s="22" t="str">
        <x:v>通过</x:v>
      </x:c>
      <x:c r="D758" s="22" t="str">
        <x:v>P0320</x:v>
      </x:c>
    </x:row>
    <x:row r="759" ht="24" customHeight="1">
      <x:c r="A759" s="22" t="n">
        <x:v>755</x:v>
      </x:c>
      <x:c r="B759" s="22" t="str">
        <x:v>人物幸运不超过8</x:v>
      </x:c>
      <x:c r="C759" s="22" t="str">
        <x:v>通过</x:v>
      </x:c>
      <x:c r="D759" s="22" t="str">
        <x:v>P0320</x:v>
      </x:c>
    </x:row>
    <x:row r="760" ht="24" customHeight="1">
      <x:c r="A760" s="22" t="n">
        <x:v>756</x:v>
      </x:c>
      <x:c r="B760" s="22" t="str">
        <x:v>同名命格不重复</x:v>
      </x:c>
      <x:c r="C760" s="22" t="str">
        <x:v>通过</x:v>
      </x:c>
      <x:c r="D760" s="22" t="str">
        <x:v>P0321</x:v>
      </x:c>
    </x:row>
    <x:row r="761" ht="24" customHeight="1">
      <x:c r="A761" s="22" t="n">
        <x:v>757</x:v>
      </x:c>
      <x:c r="B761" s="22" t="str">
        <x:v>人物幸运不超过8</x:v>
      </x:c>
      <x:c r="C761" s="22" t="str">
        <x:v>通过</x:v>
      </x:c>
      <x:c r="D761" s="22" t="str">
        <x:v>P0321</x:v>
      </x:c>
    </x:row>
    <x:row r="762" ht="24" customHeight="1">
      <x:c r="A762" s="22" t="n">
        <x:v>758</x:v>
      </x:c>
      <x:c r="B762" s="22" t="str">
        <x:v>同名命格不重复</x:v>
      </x:c>
      <x:c r="C762" s="22" t="str">
        <x:v>通过</x:v>
      </x:c>
      <x:c r="D762" s="22" t="str">
        <x:v>P0322</x:v>
      </x:c>
    </x:row>
    <x:row r="763" ht="24" customHeight="1">
      <x:c r="A763" s="22" t="n">
        <x:v>759</x:v>
      </x:c>
      <x:c r="B763" s="22" t="str">
        <x:v>人物幸运不超过8</x:v>
      </x:c>
      <x:c r="C763" s="22" t="str">
        <x:v>通过</x:v>
      </x:c>
      <x:c r="D763" s="22" t="str">
        <x:v>P0322</x:v>
      </x:c>
    </x:row>
    <x:row r="764" ht="24" customHeight="1">
      <x:c r="A764" s="22" t="n">
        <x:v>760</x:v>
      </x:c>
      <x:c r="B764" s="22" t="str">
        <x:v>普通50-70%不夹带永久成长</x:v>
      </x:c>
      <x:c r="C764" s="22" t="str">
        <x:v>通过</x:v>
      </x:c>
      <x:c r="D764" s="22" t="str">
        <x:v>P0322</x:v>
      </x:c>
    </x:row>
    <x:row r="765" ht="24" customHeight="1">
      <x:c r="A765" s="22" t="n">
        <x:v>761</x:v>
      </x:c>
      <x:c r="B765" s="22" t="str">
        <x:v>普通取得比例</x:v>
      </x:c>
      <x:c r="C765" s="22" t="str">
        <x:v>通过</x:v>
      </x:c>
      <x:c r="D765" s="22" t="str">
        <x:v>P0322</x:v>
      </x:c>
    </x:row>
    <x:row r="766" ht="24" customHeight="1">
      <x:c r="A766" s="22" t="n">
        <x:v>762</x:v>
      </x:c>
      <x:c r="B766" s="22" t="str">
        <x:v>同名命格不重复</x:v>
      </x:c>
      <x:c r="C766" s="22" t="str">
        <x:v>通过</x:v>
      </x:c>
      <x:c r="D766" s="22" t="str">
        <x:v>P0323</x:v>
      </x:c>
    </x:row>
    <x:row r="767" ht="24" customHeight="1">
      <x:c r="A767" s="22" t="n">
        <x:v>763</x:v>
      </x:c>
      <x:c r="B767" s="22" t="str">
        <x:v>人物幸运不超过8</x:v>
      </x:c>
      <x:c r="C767" s="22" t="str">
        <x:v>通过</x:v>
      </x:c>
      <x:c r="D767" s="22" t="str">
        <x:v>P0323</x:v>
      </x:c>
    </x:row>
    <x:row r="768" ht="24" customHeight="1">
      <x:c r="A768" s="22" t="n">
        <x:v>764</x:v>
      </x:c>
      <x:c r="B768" s="22" t="str">
        <x:v>同名命格不重复</x:v>
      </x:c>
      <x:c r="C768" s="22" t="str">
        <x:v>通过</x:v>
      </x:c>
      <x:c r="D768" s="22" t="str">
        <x:v>P0324</x:v>
      </x:c>
    </x:row>
    <x:row r="769" ht="24" customHeight="1">
      <x:c r="A769" s="22" t="n">
        <x:v>765</x:v>
      </x:c>
      <x:c r="B769" s="22" t="str">
        <x:v>人物幸运不超过8</x:v>
      </x:c>
      <x:c r="C769" s="22" t="str">
        <x:v>通过</x:v>
      </x:c>
      <x:c r="D769" s="22" t="str">
        <x:v>P0324</x:v>
      </x:c>
    </x:row>
    <x:row r="770" ht="24" customHeight="1">
      <x:c r="A770" s="22" t="n">
        <x:v>766</x:v>
      </x:c>
      <x:c r="B770" s="22" t="str">
        <x:v>同名命格不重复</x:v>
      </x:c>
      <x:c r="C770" s="22" t="str">
        <x:v>通过</x:v>
      </x:c>
      <x:c r="D770" s="22" t="str">
        <x:v>P0325</x:v>
      </x:c>
    </x:row>
    <x:row r="771" ht="24" customHeight="1">
      <x:c r="A771" s="22" t="n">
        <x:v>767</x:v>
      </x:c>
      <x:c r="B771" s="22" t="str">
        <x:v>人物幸运不超过8</x:v>
      </x:c>
      <x:c r="C771" s="22" t="str">
        <x:v>通过</x:v>
      </x:c>
      <x:c r="D771" s="22" t="str">
        <x:v>P0325</x:v>
      </x:c>
    </x:row>
    <x:row r="772" ht="24" customHeight="1">
      <x:c r="A772" s="22" t="n">
        <x:v>768</x:v>
      </x:c>
      <x:c r="B772" s="22" t="str">
        <x:v>同名命格不重复</x:v>
      </x:c>
      <x:c r="C772" s="22" t="str">
        <x:v>通过</x:v>
      </x:c>
      <x:c r="D772" s="22" t="str">
        <x:v>P0326</x:v>
      </x:c>
    </x:row>
    <x:row r="773" ht="24" customHeight="1">
      <x:c r="A773" s="22" t="n">
        <x:v>769</x:v>
      </x:c>
      <x:c r="B773" s="22" t="str">
        <x:v>人物幸运不超过8</x:v>
      </x:c>
      <x:c r="C773" s="22" t="str">
        <x:v>通过</x:v>
      </x:c>
      <x:c r="D773" s="22" t="str">
        <x:v>P0326</x:v>
      </x:c>
    </x:row>
    <x:row r="774" ht="24" customHeight="1">
      <x:c r="A774" s="22" t="n">
        <x:v>770</x:v>
      </x:c>
      <x:c r="B774" s="22" t="str">
        <x:v>同名命格不重复</x:v>
      </x:c>
      <x:c r="C774" s="22" t="str">
        <x:v>通过</x:v>
      </x:c>
      <x:c r="D774" s="22" t="str">
        <x:v>P0327</x:v>
      </x:c>
    </x:row>
    <x:row r="775" ht="24" customHeight="1">
      <x:c r="A775" s="22" t="n">
        <x:v>771</x:v>
      </x:c>
      <x:c r="B775" s="22" t="str">
        <x:v>人物幸运不超过8</x:v>
      </x:c>
      <x:c r="C775" s="22" t="str">
        <x:v>通过</x:v>
      </x:c>
      <x:c r="D775" s="22" t="str">
        <x:v>P0327</x:v>
      </x:c>
    </x:row>
    <x:row r="776" ht="24" customHeight="1">
      <x:c r="A776" s="22" t="n">
        <x:v>772</x:v>
      </x:c>
      <x:c r="B776" s="22" t="str">
        <x:v>同名命格不重复</x:v>
      </x:c>
      <x:c r="C776" s="22" t="str">
        <x:v>通过</x:v>
      </x:c>
      <x:c r="D776" s="22" t="str">
        <x:v>P0328</x:v>
      </x:c>
    </x:row>
    <x:row r="777" ht="24" customHeight="1">
      <x:c r="A777" s="22" t="n">
        <x:v>773</x:v>
      </x:c>
      <x:c r="B777" s="22" t="str">
        <x:v>人物幸运不超过8</x:v>
      </x:c>
      <x:c r="C777" s="22" t="str">
        <x:v>通过</x:v>
      </x:c>
      <x:c r="D777" s="22" t="str">
        <x:v>P0328</x:v>
      </x:c>
    </x:row>
    <x:row r="778" ht="24" customHeight="1">
      <x:c r="A778" s="22" t="n">
        <x:v>774</x:v>
      </x:c>
      <x:c r="B778" s="22" t="str">
        <x:v>普通50-70%不夹带永久成长</x:v>
      </x:c>
      <x:c r="C778" s="22" t="str">
        <x:v>通过</x:v>
      </x:c>
      <x:c r="D778" s="22" t="str">
        <x:v>P0328</x:v>
      </x:c>
    </x:row>
    <x:row r="779" ht="24" customHeight="1">
      <x:c r="A779" s="22" t="n">
        <x:v>775</x:v>
      </x:c>
      <x:c r="B779" s="22" t="str">
        <x:v>普通取得比例</x:v>
      </x:c>
      <x:c r="C779" s="22" t="str">
        <x:v>通过</x:v>
      </x:c>
      <x:c r="D779" s="22" t="str">
        <x:v>P0328</x:v>
      </x:c>
    </x:row>
    <x:row r="780" ht="24" customHeight="1">
      <x:c r="A780" s="22" t="n">
        <x:v>776</x:v>
      </x:c>
      <x:c r="B780" s="22" t="str">
        <x:v>同名命格不重复</x:v>
      </x:c>
      <x:c r="C780" s="22" t="str">
        <x:v>通过</x:v>
      </x:c>
      <x:c r="D780" s="22" t="str">
        <x:v>P0329</x:v>
      </x:c>
    </x:row>
    <x:row r="781" ht="24" customHeight="1">
      <x:c r="A781" s="22" t="n">
        <x:v>777</x:v>
      </x:c>
      <x:c r="B781" s="22" t="str">
        <x:v>人物幸运不超过8</x:v>
      </x:c>
      <x:c r="C781" s="22" t="str">
        <x:v>通过</x:v>
      </x:c>
      <x:c r="D781" s="22" t="str">
        <x:v>P0329</x:v>
      </x:c>
    </x:row>
    <x:row r="782" ht="24" customHeight="1">
      <x:c r="A782" s="22" t="n">
        <x:v>778</x:v>
      </x:c>
      <x:c r="B782" s="22" t="str">
        <x:v>同名命格不重复</x:v>
      </x:c>
      <x:c r="C782" s="22" t="str">
        <x:v>通过</x:v>
      </x:c>
      <x:c r="D782" s="22" t="str">
        <x:v>P0330</x:v>
      </x:c>
    </x:row>
    <x:row r="783" ht="24" customHeight="1">
      <x:c r="A783" s="22" t="n">
        <x:v>779</x:v>
      </x:c>
      <x:c r="B783" s="22" t="str">
        <x:v>人物幸运不超过8</x:v>
      </x:c>
      <x:c r="C783" s="22" t="str">
        <x:v>通过</x:v>
      </x:c>
      <x:c r="D783" s="22" t="str">
        <x:v>P0330</x:v>
      </x:c>
    </x:row>
    <x:row r="784" ht="24" customHeight="1">
      <x:c r="A784" s="22" t="n">
        <x:v>780</x:v>
      </x:c>
      <x:c r="B784" s="22" t="str">
        <x:v>同名命格不重复</x:v>
      </x:c>
      <x:c r="C784" s="22" t="str">
        <x:v>通过</x:v>
      </x:c>
      <x:c r="D784" s="22" t="str">
        <x:v>P0331</x:v>
      </x:c>
    </x:row>
    <x:row r="785" ht="24" customHeight="1">
      <x:c r="A785" s="22" t="n">
        <x:v>781</x:v>
      </x:c>
      <x:c r="B785" s="22" t="str">
        <x:v>人物幸运不超过8</x:v>
      </x:c>
      <x:c r="C785" s="22" t="str">
        <x:v>通过</x:v>
      </x:c>
      <x:c r="D785" s="22" t="str">
        <x:v>P0331</x:v>
      </x:c>
    </x:row>
    <x:row r="786" ht="24" customHeight="1">
      <x:c r="A786" s="22" t="n">
        <x:v>782</x:v>
      </x:c>
      <x:c r="B786" s="22" t="str">
        <x:v>同名命格不重复</x:v>
      </x:c>
      <x:c r="C786" s="22" t="str">
        <x:v>通过</x:v>
      </x:c>
      <x:c r="D786" s="22" t="str">
        <x:v>P0332</x:v>
      </x:c>
    </x:row>
    <x:row r="787" ht="24" customHeight="1">
      <x:c r="A787" s="22" t="n">
        <x:v>783</x:v>
      </x:c>
      <x:c r="B787" s="22" t="str">
        <x:v>人物幸运不超过8</x:v>
      </x:c>
      <x:c r="C787" s="22" t="str">
        <x:v>通过</x:v>
      </x:c>
      <x:c r="D787" s="22" t="str">
        <x:v>P0332</x:v>
      </x:c>
    </x:row>
    <x:row r="788" ht="24" customHeight="1">
      <x:c r="A788" s="22" t="n">
        <x:v>784</x:v>
      </x:c>
      <x:c r="B788" s="22" t="str">
        <x:v>同名命格不重复</x:v>
      </x:c>
      <x:c r="C788" s="22" t="str">
        <x:v>通过</x:v>
      </x:c>
      <x:c r="D788" s="22" t="str">
        <x:v>P0333</x:v>
      </x:c>
    </x:row>
    <x:row r="789" ht="24" customHeight="1">
      <x:c r="A789" s="22" t="n">
        <x:v>785</x:v>
      </x:c>
      <x:c r="B789" s="22" t="str">
        <x:v>人物幸运不超过8</x:v>
      </x:c>
      <x:c r="C789" s="22" t="str">
        <x:v>通过</x:v>
      </x:c>
      <x:c r="D789" s="22" t="str">
        <x:v>P0333</x:v>
      </x:c>
    </x:row>
    <x:row r="790" ht="24" customHeight="1">
      <x:c r="A790" s="22" t="n">
        <x:v>786</x:v>
      </x:c>
      <x:c r="B790" s="22" t="str">
        <x:v>同名命格不重复</x:v>
      </x:c>
      <x:c r="C790" s="22" t="str">
        <x:v>通过</x:v>
      </x:c>
      <x:c r="D790" s="22" t="str">
        <x:v>P0334</x:v>
      </x:c>
    </x:row>
    <x:row r="791" ht="24" customHeight="1">
      <x:c r="A791" s="22" t="n">
        <x:v>787</x:v>
      </x:c>
      <x:c r="B791" s="22" t="str">
        <x:v>人物幸运不超过8</x:v>
      </x:c>
      <x:c r="C791" s="22" t="str">
        <x:v>通过</x:v>
      </x:c>
      <x:c r="D791" s="22" t="str">
        <x:v>P0334</x:v>
      </x:c>
    </x:row>
    <x:row r="792" ht="24" customHeight="1">
      <x:c r="A792" s="22" t="n">
        <x:v>788</x:v>
      </x:c>
      <x:c r="B792" s="22" t="str">
        <x:v>同名命格不重复</x:v>
      </x:c>
      <x:c r="C792" s="22" t="str">
        <x:v>通过</x:v>
      </x:c>
      <x:c r="D792" s="22" t="str">
        <x:v>P0335</x:v>
      </x:c>
    </x:row>
    <x:row r="793" ht="24" customHeight="1">
      <x:c r="A793" s="22" t="n">
        <x:v>789</x:v>
      </x:c>
      <x:c r="B793" s="22" t="str">
        <x:v>人物幸运不超过8</x:v>
      </x:c>
      <x:c r="C793" s="22" t="str">
        <x:v>通过</x:v>
      </x:c>
      <x:c r="D793" s="22" t="str">
        <x:v>P0335</x:v>
      </x:c>
    </x:row>
    <x:row r="794" ht="24" customHeight="1">
      <x:c r="A794" s="22" t="n">
        <x:v>790</x:v>
      </x:c>
      <x:c r="B794" s="22" t="str">
        <x:v>守关前必做合成齐全</x:v>
      </x:c>
      <x:c r="C794" s="22" t="str">
        <x:v>通过</x:v>
      </x:c>
      <x:c r="D794" s="22" t="str">
        <x:v>10</x:v>
      </x:c>
    </x:row>
    <x:row r="795" ht="24" customHeight="1">
      <x:c r="A795" s="22" t="n">
        <x:v>791</x:v>
      </x:c>
      <x:c r="B795" s="22" t="str">
        <x:v>首次挑战未取得本守关装备</x:v>
      </x:c>
      <x:c r="C795" s="22" t="str">
        <x:v>通过</x:v>
      </x:c>
      <x:c r="D795" s="22" t="str">
        <x:v>万冠终审者·萨洛恩</x:v>
      </x:c>
    </x:row>
    <x:row r="796" ht="24" customHeight="1">
      <x:c r="A796" s="22" t="n">
        <x:v>792</x:v>
      </x:c>
      <x:c r="B796" s="22" t="str">
        <x:v>同名命格不重复</x:v>
      </x:c>
      <x:c r="C796" s="22" t="str">
        <x:v>通过</x:v>
      </x:c>
      <x:c r="D796" s="22" t="str">
        <x:v>P0336</x:v>
      </x:c>
    </x:row>
    <x:row r="797" ht="24" customHeight="1">
      <x:c r="A797" s="22" t="n">
        <x:v>793</x:v>
      </x:c>
      <x:c r="B797" s="22" t="str">
        <x:v>人物幸运不超过8</x:v>
      </x:c>
      <x:c r="C797" s="22" t="str">
        <x:v>通过</x:v>
      </x:c>
      <x:c r="D797" s="22" t="str">
        <x:v>P0336</x:v>
      </x:c>
    </x:row>
    <x:row r="798" ht="24" customHeight="1">
      <x:c r="A798" s="22" t="n">
        <x:v>794</x:v>
      </x:c>
      <x:c r="B798" s="22" t="str">
        <x:v>561怪唯一</x:v>
      </x:c>
      <x:c r="C798" s="22" t="str">
        <x:v>通过</x:v>
      </x:c>
      <x:c r="D798" s="22" t="str"/>
    </x:row>
    <x:row r="799" ht="24" customHeight="1">
      <x:c r="A799" s="22" t="n">
        <x:v>795</x:v>
      </x:c>
      <x:c r="B799" s="22" t="str">
        <x:v>地图BOSS92</x:v>
      </x:c>
      <x:c r="C799" s="22" t="str">
        <x:v>通过</x:v>
      </x:c>
      <x:c r="D799" s="22" t="str"/>
    </x:row>
    <x:row r="800" ht="24" customHeight="1">
      <x:c r="A800" s="22" t="n">
        <x:v>796</x:v>
      </x:c>
      <x:c r="B800" s="22" t="str">
        <x:v>每大陆唯一守关</x:v>
      </x:c>
      <x:c r="C800" s="22" t="str">
        <x:v>通过</x:v>
      </x:c>
      <x:c r="D800" s="22" t="str"/>
    </x:row>
    <x:row r="801" ht="24" customHeight="1">
      <x:c r="A801" s="22" t="n">
        <x:v>797</x:v>
      </x:c>
      <x:c r="B801" s="22" t="str">
        <x:v>46组唯一</x:v>
      </x:c>
      <x:c r="C801" s="22" t="str">
        <x:v>通过</x:v>
      </x:c>
      <x:c r="D801" s="22" t="str"/>
    </x:row>
    <x:row r="802" ht="24" customHeight="1">
      <x:c r="A802" s="22" t="n">
        <x:v>798</x:v>
      </x:c>
      <x:c r="B802" s="22" t="str">
        <x:v>地图配置唯一</x:v>
      </x:c>
      <x:c r="C802" s="22" t="str">
        <x:v>通过</x:v>
      </x:c>
      <x:c r="D802" s="22" t="str"/>
    </x:row>
    <x:row r="803" ht="24" customHeight="1">
      <x:c r="A803" s="22" t="n">
        <x:v>799</x:v>
      </x:c>
      <x:c r="B803" s="22" t="str">
        <x:v>所有落点共用地图配置</x:v>
      </x:c>
      <x:c r="C803" s="22" t="str">
        <x:v>通过</x:v>
      </x:c>
      <x:c r="D803" s="22" t="str"/>
    </x:row>
    <x:row r="804" ht="24" customHeight="1">
      <x:c r="A804" s="22" t="n">
        <x:v>800</x:v>
      </x:c>
      <x:c r="B804" s="22" t="str">
        <x:v>无失色直接掉落</x:v>
      </x:c>
      <x:c r="C804" s="22" t="str">
        <x:v>通过</x:v>
      </x:c>
      <x:c r="D804" s="22" t="str"/>
    </x:row>
    <x:row r="805" ht="24" customHeight="1">
      <x:c r="A805" s="22" t="n">
        <x:v>801</x:v>
      </x:c>
      <x:c r="B805" s="22" t="str">
        <x:v>所有概率留空</x:v>
      </x:c>
      <x:c r="C805" s="22" t="str">
        <x:v>通过</x:v>
      </x:c>
      <x:c r="D805" s="22" t="str"/>
    </x:row>
    <x:row r="806" ht="24" customHeight="1">
      <x:c r="A806" s="22" t="n">
        <x:v>802</x:v>
      </x:c>
      <x:c r="B806" s="22" t="str">
        <x:v>所有怪物数值正数</x:v>
      </x:c>
      <x:c r="C806" s="22" t="str">
        <x:v>通过</x:v>
      </x:c>
      <x:c r="D806" s="22" t="str"/>
    </x:row>
    <x:row r="807" ht="24" customHeight="1">
      <x:c r="A807" s="22" t="n">
        <x:v>803</x:v>
      </x:c>
      <x:c r="B807" s="22" t="str">
        <x:v>C1只调低攻击系数</x:v>
      </x:c>
      <x:c r="C807" s="22" t="str">
        <x:v>通过</x:v>
      </x:c>
      <x:c r="D807" s="22" t="str"/>
    </x:row>
    <x:row r="808" ht="24" customHeight="1">
      <x:c r="A808" s="22" t="n">
        <x:v>804</x:v>
      </x:c>
      <x:c r="B808" s="22" t="str">
        <x:v>递归首杀前存在可达来源</x:v>
      </x:c>
      <x:c r="C808" s="22" t="str">
        <x:v>通过</x:v>
      </x:c>
      <x:c r="D808" s="22" t="str">
        <x:v>C01-SYN-EQ-01:猎犬骨戒</x:v>
      </x:c>
    </x:row>
    <x:row r="809" ht="24" customHeight="1">
      <x:c r="A809" s="22" t="n">
        <x:v>805</x:v>
      </x:c>
      <x:c r="B809" s="22" t="str">
        <x:v>递归首杀前存在可达来源</x:v>
      </x:c>
      <x:c r="C809" s="22" t="str">
        <x:v>通过</x:v>
      </x:c>
      <x:c r="D809" s="22" t="str">
        <x:v>C01-SYN-EQ-01:王庭秘戒</x:v>
      </x:c>
    </x:row>
    <x:row r="810" ht="24" customHeight="1">
      <x:c r="A810" s="22" t="n">
        <x:v>806</x:v>
      </x:c>
      <x:c r="B810" s="22" t="str">
        <x:v>递归首杀前存在可达来源</x:v>
      </x:c>
      <x:c r="C810" s="22" t="str">
        <x:v>通过</x:v>
      </x:c>
      <x:c r="D810" s="22" t="str">
        <x:v>C01-SYN-EQ-01:海蚀铁片</x:v>
      </x:c>
    </x:row>
    <x:row r="811" ht="24" customHeight="1">
      <x:c r="A811" s="22" t="n">
        <x:v>807</x:v>
      </x:c>
      <x:c r="B811" s="22" t="str">
        <x:v>递归首杀前存在可达来源</x:v>
      </x:c>
      <x:c r="C811" s="22" t="str">
        <x:v>通过</x:v>
      </x:c>
      <x:c r="D811" s="22" t="str">
        <x:v>C01-SYN-EQ-01:潮痕结晶</x:v>
      </x:c>
    </x:row>
    <x:row r="812" ht="24" customHeight="1">
      <x:c r="A812" s="22" t="n">
        <x:v>808</x:v>
      </x:c>
      <x:c r="B812" s="22" t="str">
        <x:v>递归首杀前存在可达来源</x:v>
      </x:c>
      <x:c r="C812" s="22" t="str">
        <x:v>通过</x:v>
      </x:c>
      <x:c r="D812" s="22" t="str">
        <x:v>C01-SYN-EQ-01:漂流大陆印记</x:v>
      </x:c>
    </x:row>
    <x:row r="813" ht="24" customHeight="1">
      <x:c r="A813" s="22" t="n">
        <x:v>809</x:v>
      </x:c>
      <x:c r="B813" s="22" t="str">
        <x:v>递归首杀前存在可达来源</x:v>
      </x:c>
      <x:c r="C813" s="22" t="str">
        <x:v>通过</x:v>
      </x:c>
      <x:c r="D813" s="22" t="str">
        <x:v>C01-SYN-EQ-01:失色锻造石</x:v>
      </x:c>
    </x:row>
    <x:row r="814" ht="24" customHeight="1">
      <x:c r="A814" s="22" t="n">
        <x:v>810</x:v>
      </x:c>
      <x:c r="B814" s="22" t="str">
        <x:v>递归首杀前存在可达来源</x:v>
      </x:c>
      <x:c r="C814" s="22" t="str">
        <x:v>通过</x:v>
      </x:c>
      <x:c r="D814" s="22" t="str">
        <x:v>C02-SYN-EQ-01:破垒鹰链</x:v>
      </x:c>
    </x:row>
    <x:row r="815" ht="24" customHeight="1">
      <x:c r="A815" s="22" t="n">
        <x:v>811</x:v>
      </x:c>
      <x:c r="B815" s="22" t="str">
        <x:v>递归首杀前存在可达来源</x:v>
      </x:c>
      <x:c r="C815" s="22" t="str">
        <x:v>通过</x:v>
      </x:c>
      <x:c r="D815" s="22" t="str">
        <x:v>C02-SYN-EQ-01:古树祷链</x:v>
      </x:c>
    </x:row>
    <x:row r="816" ht="24" customHeight="1">
      <x:c r="A816" s="22" t="n">
        <x:v>812</x:v>
      </x:c>
      <x:c r="B816" s="22" t="str">
        <x:v>递归首杀前存在可达来源</x:v>
      </x:c>
      <x:c r="C816" s="22" t="str">
        <x:v>通过</x:v>
      </x:c>
      <x:c r="D816" s="22" t="str">
        <x:v>C02-SYN-EQ-01:风暴石片</x:v>
      </x:c>
    </x:row>
    <x:row r="817" ht="24" customHeight="1">
      <x:c r="A817" s="22" t="n">
        <x:v>813</x:v>
      </x:c>
      <x:c r="B817" s="22" t="str">
        <x:v>递归首杀前存在可达来源</x:v>
      </x:c>
      <x:c r="C817" s="22" t="str">
        <x:v>通过</x:v>
      </x:c>
      <x:c r="D817" s="22" t="str">
        <x:v>C02-SYN-EQ-01:黄金树芽</x:v>
      </x:c>
    </x:row>
    <x:row r="818" ht="24" customHeight="1">
      <x:c r="A818" s="22" t="n">
        <x:v>814</x:v>
      </x:c>
      <x:c r="B818" s="22" t="str">
        <x:v>递归首杀前存在可达来源</x:v>
      </x:c>
      <x:c r="C818" s="22" t="str">
        <x:v>通过</x:v>
      </x:c>
      <x:c r="D818" s="22" t="str">
        <x:v>C02-SYN-EQ-01:接肢王印</x:v>
      </x:c>
    </x:row>
    <x:row r="819" ht="24" customHeight="1">
      <x:c r="A819" s="22" t="n">
        <x:v>815</x:v>
      </x:c>
      <x:c r="B819" s="22" t="str">
        <x:v>递归首杀前存在可达来源</x:v>
      </x:c>
      <x:c r="C819" s="22" t="str">
        <x:v>通过</x:v>
      </x:c>
      <x:c r="D819" s="22" t="str">
        <x:v>C02-SYN-EQ-01:失色锻造石</x:v>
      </x:c>
    </x:row>
    <x:row r="820" ht="24" customHeight="1">
      <x:c r="A820" s="22" t="n">
        <x:v>816</x:v>
      </x:c>
      <x:c r="B820" s="22" t="str">
        <x:v>递归首杀前存在可达来源</x:v>
      </x:c>
      <x:c r="C820" s="22" t="str">
        <x:v>通过</x:v>
      </x:c>
      <x:c r="D820" s="22" t="str">
        <x:v>C02-SYN-EQ-02:流放腕铠</x:v>
      </x:c>
    </x:row>
    <x:row r="821" ht="24" customHeight="1">
      <x:c r="A821" s="22" t="n">
        <x:v>817</x:v>
      </x:c>
      <x:c r="B821" s="22" t="str">
        <x:v>递归首杀前存在可达来源</x:v>
      </x:c>
      <x:c r="C821" s="22" t="str">
        <x:v>通过</x:v>
      </x:c>
      <x:c r="D821" s="22" t="str">
        <x:v>C02-SYN-EQ-02:百指腕甲</x:v>
      </x:c>
    </x:row>
    <x:row r="822" ht="24" customHeight="1">
      <x:c r="A822" s="22" t="n">
        <x:v>818</x:v>
      </x:c>
      <x:c r="B822" s="22" t="str">
        <x:v>递归首杀前存在可达来源</x:v>
      </x:c>
      <x:c r="C822" s="22" t="str">
        <x:v>通过</x:v>
      </x:c>
      <x:c r="D822" s="22" t="str">
        <x:v>C02-SYN-EQ-02:风暴石片</x:v>
      </x:c>
    </x:row>
    <x:row r="823" ht="24" customHeight="1">
      <x:c r="A823" s="22" t="n">
        <x:v>819</x:v>
      </x:c>
      <x:c r="B823" s="22" t="str">
        <x:v>递归首杀前存在可达来源</x:v>
      </x:c>
      <x:c r="C823" s="22" t="str">
        <x:v>通过</x:v>
      </x:c>
      <x:c r="D823" s="22" t="str">
        <x:v>C02-SYN-EQ-02:黄金树芽</x:v>
      </x:c>
    </x:row>
    <x:row r="824" ht="24" customHeight="1">
      <x:c r="A824" s="22" t="n">
        <x:v>820</x:v>
      </x:c>
      <x:c r="B824" s="22" t="str">
        <x:v>递归首杀前存在可达来源</x:v>
      </x:c>
      <x:c r="C824" s="22" t="str">
        <x:v>通过</x:v>
      </x:c>
      <x:c r="D824" s="22" t="str">
        <x:v>C02-SYN-EQ-02:接肢王印</x:v>
      </x:c>
    </x:row>
    <x:row r="825" ht="24" customHeight="1">
      <x:c r="A825" s="22" t="n">
        <x:v>821</x:v>
      </x:c>
      <x:c r="B825" s="22" t="str">
        <x:v>递归首杀前存在可达来源</x:v>
      </x:c>
      <x:c r="C825" s="22" t="str">
        <x:v>通过</x:v>
      </x:c>
      <x:c r="D825" s="22" t="str">
        <x:v>C02-SYN-EQ-02:失色锻造石</x:v>
      </x:c>
    </x:row>
    <x:row r="826" ht="24" customHeight="1">
      <x:c r="A826" s="22" t="n">
        <x:v>822</x:v>
      </x:c>
      <x:c r="B826" s="22" t="str">
        <x:v>递归首杀前存在可达来源</x:v>
      </x:c>
      <x:c r="C826" s="22" t="str">
        <x:v>通过</x:v>
      </x:c>
      <x:c r="D826" s="22" t="str">
        <x:v>C03-SYN-EQ-01:西境军盔</x:v>
      </x:c>
    </x:row>
    <x:row r="827" ht="24" customHeight="1">
      <x:c r="A827" s="22" t="n">
        <x:v>823</x:v>
      </x:c>
      <x:c r="B827" s="22" t="str">
        <x:v>递归首杀前存在可达来源</x:v>
      </x:c>
      <x:c r="C827" s="22" t="str">
        <x:v>通过</x:v>
      </x:c>
      <x:c r="D827" s="22" t="str">
        <x:v>C03-SYN-EQ-01:艾德统帅剑</x:v>
      </x:c>
    </x:row>
    <x:row r="828" ht="24" customHeight="1">
      <x:c r="A828" s="22" t="n">
        <x:v>824</x:v>
      </x:c>
      <x:c r="B828" s="22" t="str">
        <x:v>递归首杀前存在可达来源</x:v>
      </x:c>
      <x:c r="C828" s="22" t="str">
        <x:v>通过</x:v>
      </x:c>
      <x:c r="D828" s="22" t="str">
        <x:v>C03-SYN-EQ-01:风蚀铁片</x:v>
      </x:c>
    </x:row>
    <x:row r="829" ht="24" customHeight="1">
      <x:c r="A829" s="22" t="n">
        <x:v>825</x:v>
      </x:c>
      <x:c r="B829" s="22" t="str">
        <x:v>递归首杀前存在可达来源</x:v>
      </x:c>
      <x:c r="C829" s="22" t="str">
        <x:v>通过</x:v>
      </x:c>
      <x:c r="D829" s="22" t="str">
        <x:v>C03-SYN-EQ-01:西境战旗印</x:v>
      </x:c>
    </x:row>
    <x:row r="830" ht="24" customHeight="1">
      <x:c r="A830" s="22" t="n">
        <x:v>826</x:v>
      </x:c>
      <x:c r="B830" s="22" t="str">
        <x:v>递归首杀前存在可达来源</x:v>
      </x:c>
      <x:c r="C830" s="22" t="str">
        <x:v>通过</x:v>
      </x:c>
      <x:c r="D830" s="22" t="str">
        <x:v>C03-SYN-EQ-01:守垒铜钥</x:v>
      </x:c>
    </x:row>
    <x:row r="831" ht="24" customHeight="1">
      <x:c r="A831" s="22" t="n">
        <x:v>827</x:v>
      </x:c>
      <x:c r="B831" s="22" t="str">
        <x:v>递归首杀前存在可达来源</x:v>
      </x:c>
      <x:c r="C831" s="22" t="str">
        <x:v>通过</x:v>
      </x:c>
      <x:c r="D831" s="22" t="str">
        <x:v>C03-SYN-EQ-01:失色锻造石</x:v>
      </x:c>
    </x:row>
    <x:row r="832" ht="24" customHeight="1">
      <x:c r="A832" s="22" t="n">
        <x:v>828</x:v>
      </x:c>
      <x:c r="B832" s="22" t="str">
        <x:v>递归首杀前存在可达来源</x:v>
      </x:c>
      <x:c r="C832" s="22" t="str">
        <x:v>通过</x:v>
      </x:c>
      <x:c r="D832" s="22" t="str">
        <x:v>C03-SYN-EQ-02:百夫战靴</x:v>
      </x:c>
    </x:row>
    <x:row r="833" ht="24" customHeight="1">
      <x:c r="A833" s="22" t="n">
        <x:v>829</x:v>
      </x:c>
      <x:c r="B833" s="22" t="str">
        <x:v>递归首杀前存在可达来源</x:v>
      </x:c>
      <x:c r="C833" s="22" t="str">
        <x:v>通过</x:v>
      </x:c>
      <x:c r="D833" s="22" t="str">
        <x:v>C03-SYN-EQ-02:赐福战靴</x:v>
      </x:c>
    </x:row>
    <x:row r="834" ht="24" customHeight="1">
      <x:c r="A834" s="22" t="n">
        <x:v>830</x:v>
      </x:c>
      <x:c r="B834" s="22" t="str">
        <x:v>递归首杀前存在可达来源</x:v>
      </x:c>
      <x:c r="C834" s="22" t="str">
        <x:v>通过</x:v>
      </x:c>
      <x:c r="D834" s="22" t="str">
        <x:v>C03-SYN-EQ-02:风蚀铁片</x:v>
      </x:c>
    </x:row>
    <x:row r="835" ht="24" customHeight="1">
      <x:c r="A835" s="22" t="n">
        <x:v>831</x:v>
      </x:c>
      <x:c r="B835" s="22" t="str">
        <x:v>递归首杀前存在可达来源</x:v>
      </x:c>
      <x:c r="C835" s="22" t="str">
        <x:v>通过</x:v>
      </x:c>
      <x:c r="D835" s="22" t="str">
        <x:v>C03-SYN-EQ-02:裂风崖羽</x:v>
      </x:c>
    </x:row>
    <x:row r="836" ht="24" customHeight="1">
      <x:c r="A836" s="22" t="n">
        <x:v>832</x:v>
      </x:c>
      <x:c r="B836" s="22" t="str">
        <x:v>递归首杀前存在可达来源</x:v>
      </x:c>
      <x:c r="C836" s="22" t="str">
        <x:v>通过</x:v>
      </x:c>
      <x:c r="D836" s="22" t="str">
        <x:v>C03-SYN-EQ-02:失色锻造石</x:v>
      </x:c>
    </x:row>
    <x:row r="837" ht="24" customHeight="1">
      <x:c r="A837" s="22" t="n">
        <x:v>833</x:v>
      </x:c>
      <x:c r="B837" s="22" t="str">
        <x:v>递归首杀前存在可达来源</x:v>
      </x:c>
      <x:c r="C837" s="22" t="str">
        <x:v>通过</x:v>
      </x:c>
      <x:c r="D837" s="22" t="str">
        <x:v>C03-SYN-EQ-02:守垒铜钥</x:v>
      </x:c>
    </x:row>
    <x:row r="838" ht="24" customHeight="1">
      <x:c r="A838" s="22" t="n">
        <x:v>834</x:v>
      </x:c>
      <x:c r="B838" s="22" t="str">
        <x:v>递归首杀前存在可达来源</x:v>
      </x:c>
      <x:c r="C838" s="22" t="str">
        <x:v>通过</x:v>
      </x:c>
      <x:c r="D838" s="22" t="str">
        <x:v>C04-SYN-EQ-01:孢母菌带</x:v>
      </x:c>
    </x:row>
    <x:row r="839" ht="24" customHeight="1">
      <x:c r="A839" s="22" t="n">
        <x:v>835</x:v>
      </x:c>
      <x:c r="B839" s="22" t="str">
        <x:v>递归首杀前存在可达来源</x:v>
      </x:c>
      <x:c r="C839" s="22" t="str">
        <x:v>通过</x:v>
      </x:c>
      <x:c r="D839" s="22" t="str">
        <x:v>C04-SYN-EQ-01:缝舱腰箍</x:v>
      </x:c>
    </x:row>
    <x:row r="840" ht="24" customHeight="1">
      <x:c r="A840" s="22" t="n">
        <x:v>836</x:v>
      </x:c>
      <x:c r="B840" s="22" t="str">
        <x:v>递归首杀前存在可达来源</x:v>
      </x:c>
      <x:c r="C840" s="22" t="str">
        <x:v>通过</x:v>
      </x:c>
      <x:c r="D840" s="22" t="str">
        <x:v>C04-SYN-EQ-01:湖盐结晶</x:v>
      </x:c>
    </x:row>
    <x:row r="841" ht="24" customHeight="1">
      <x:c r="A841" s="22" t="n">
        <x:v>837</x:v>
      </x:c>
      <x:c r="B841" s="22" t="str">
        <x:v>递归首杀前存在可达来源</x:v>
      </x:c>
      <x:c r="C841" s="22" t="str">
        <x:v>通过</x:v>
      </x:c>
      <x:c r="D841" s="22" t="str">
        <x:v>C04-SYN-EQ-01:沉船缆扣</x:v>
      </x:c>
    </x:row>
    <x:row r="842" ht="24" customHeight="1">
      <x:c r="A842" s="22" t="n">
        <x:v>838</x:v>
      </x:c>
      <x:c r="B842" s="22" t="str">
        <x:v>递归首杀前存在可达来源</x:v>
      </x:c>
      <x:c r="C842" s="22" t="str">
        <x:v>通过</x:v>
      </x:c>
      <x:c r="D842" s="22" t="str">
        <x:v>C04-SYN-EQ-01:沉湖王印</x:v>
      </x:c>
    </x:row>
    <x:row r="843" ht="24" customHeight="1">
      <x:c r="A843" s="22" t="n">
        <x:v>839</x:v>
      </x:c>
      <x:c r="B843" s="22" t="str">
        <x:v>递归首杀前存在可达来源</x:v>
      </x:c>
      <x:c r="C843" s="22" t="str">
        <x:v>通过</x:v>
      </x:c>
      <x:c r="D843" s="22" t="str">
        <x:v>C04-SYN-EQ-01:失色锻造石</x:v>
      </x:c>
    </x:row>
    <x:row r="844" ht="24" customHeight="1">
      <x:c r="A844" s="22" t="n">
        <x:v>840</x:v>
      </x:c>
      <x:c r="B844" s="22" t="str">
        <x:v>递归首杀前存在可达来源</x:v>
      </x:c>
      <x:c r="C844" s="22" t="str">
        <x:v>通过</x:v>
      </x:c>
      <x:c r="D844" s="22" t="str">
        <x:v>C04-SYN-EQ-02:蓝焰祷戒</x:v>
      </x:c>
    </x:row>
    <x:row r="845" ht="24" customHeight="1">
      <x:c r="A845" s="22" t="n">
        <x:v>841</x:v>
      </x:c>
      <x:c r="B845" s="22" t="str">
        <x:v>递归首杀前存在可达来源</x:v>
      </x:c>
      <x:c r="C845" s="22" t="str">
        <x:v>通过</x:v>
      </x:c>
      <x:c r="D845" s="22" t="str">
        <x:v>C04-SYN-EQ-02:湖尸钥戒</x:v>
      </x:c>
    </x:row>
    <x:row r="846" ht="24" customHeight="1">
      <x:c r="A846" s="22" t="n">
        <x:v>842</x:v>
      </x:c>
      <x:c r="B846" s="22" t="str">
        <x:v>递归首杀前存在可达来源</x:v>
      </x:c>
      <x:c r="C846" s="22" t="str">
        <x:v>通过</x:v>
      </x:c>
      <x:c r="D846" s="22" t="str">
        <x:v>C04-SYN-EQ-02:湖盐结晶</x:v>
      </x:c>
    </x:row>
    <x:row r="847" ht="24" customHeight="1">
      <x:c r="A847" s="22" t="n">
        <x:v>843</x:v>
      </x:c>
      <x:c r="B847" s="22" t="str">
        <x:v>递归首杀前存在可达来源</x:v>
      </x:c>
      <x:c r="C847" s="22" t="str">
        <x:v>通过</x:v>
      </x:c>
      <x:c r="D847" s="22" t="str">
        <x:v>C04-SYN-EQ-02:雾潮银鳞</x:v>
      </x:c>
    </x:row>
    <x:row r="848" ht="24" customHeight="1">
      <x:c r="A848" s="22" t="n">
        <x:v>844</x:v>
      </x:c>
      <x:c r="B848" s="22" t="str">
        <x:v>递归首杀前存在可达来源</x:v>
      </x:c>
      <x:c r="C848" s="22" t="str">
        <x:v>通过</x:v>
      </x:c>
      <x:c r="D848" s="22" t="str">
        <x:v>C04-SYN-EQ-02:失色锻造石</x:v>
      </x:c>
    </x:row>
    <x:row r="849" ht="24" customHeight="1">
      <x:c r="A849" s="22" t="n">
        <x:v>845</x:v>
      </x:c>
      <x:c r="B849" s="22" t="str">
        <x:v>递归首杀前存在可达来源</x:v>
      </x:c>
      <x:c r="C849" s="22" t="str">
        <x:v>通过</x:v>
      </x:c>
      <x:c r="D849" s="22" t="str">
        <x:v>C04-SYN-EQ-02:深湖压舱印</x:v>
      </x:c>
    </x:row>
    <x:row r="850" ht="24" customHeight="1">
      <x:c r="A850" s="22" t="n">
        <x:v>846</x:v>
      </x:c>
      <x:c r="B850" s="22" t="str">
        <x:v>递归首杀前存在可达来源</x:v>
      </x:c>
      <x:c r="C850" s="22" t="str">
        <x:v>通过</x:v>
      </x:c>
      <x:c r="D850" s="22" t="str">
        <x:v>C04-SYN-EQ-03:塞芙拉无声衣</x:v>
      </x:c>
    </x:row>
    <x:row r="851" ht="24" customHeight="1">
      <x:c r="A851" s="22" t="n">
        <x:v>847</x:v>
      </x:c>
      <x:c r="B851" s="22" t="str">
        <x:v>递归首杀前存在可达来源</x:v>
      </x:c>
      <x:c r="C851" s="22" t="str">
        <x:v>通过</x:v>
      </x:c>
      <x:c r="D851" s="22" t="str">
        <x:v>C04-SYN-EQ-03:阿涅的誓渠枪</x:v>
      </x:c>
    </x:row>
    <x:row r="852" ht="24" customHeight="1">
      <x:c r="A852" s="22" t="n">
        <x:v>848</x:v>
      </x:c>
      <x:c r="B852" s="22" t="str">
        <x:v>递归首杀前存在可达来源</x:v>
      </x:c>
      <x:c r="C852" s="22" t="str">
        <x:v>通过</x:v>
      </x:c>
      <x:c r="D852" s="22" t="str">
        <x:v>C04-SYN-EQ-03:湖盐结晶</x:v>
      </x:c>
    </x:row>
    <x:row r="853" ht="24" customHeight="1">
      <x:c r="A853" s="22" t="n">
        <x:v>849</x:v>
      </x:c>
      <x:c r="B853" s="22" t="str">
        <x:v>递归首杀前存在可达来源</x:v>
      </x:c>
      <x:c r="C853" s="22" t="str">
        <x:v>通过</x:v>
      </x:c>
      <x:c r="D853" s="22" t="str">
        <x:v>C04-SYN-EQ-03:深湖压舱印</x:v>
      </x:c>
    </x:row>
    <x:row r="854" ht="24" customHeight="1">
      <x:c r="A854" s="22" t="n">
        <x:v>850</x:v>
      </x:c>
      <x:c r="B854" s="22" t="str">
        <x:v>递归首杀前存在可达来源</x:v>
      </x:c>
      <x:c r="C854" s="22" t="str">
        <x:v>通过</x:v>
      </x:c>
      <x:c r="D854" s="22" t="str">
        <x:v>C04-SYN-EQ-03:沉湖王印</x:v>
      </x:c>
    </x:row>
    <x:row r="855" ht="24" customHeight="1">
      <x:c r="A855" s="22" t="n">
        <x:v>851</x:v>
      </x:c>
      <x:c r="B855" s="22" t="str">
        <x:v>递归首杀前存在可达来源</x:v>
      </x:c>
      <x:c r="C855" s="22" t="str">
        <x:v>通过</x:v>
      </x:c>
      <x:c r="D855" s="22" t="str">
        <x:v>C04-SYN-EQ-03:失色锻造石</x:v>
      </x:c>
    </x:row>
    <x:row r="856" ht="24" customHeight="1">
      <x:c r="A856" s="22" t="n">
        <x:v>852</x:v>
      </x:c>
      <x:c r="B856" s="22" t="str">
        <x:v>递归首杀前存在可达来源</x:v>
      </x:c>
      <x:c r="C856" s="22" t="str">
        <x:v>通过</x:v>
      </x:c>
      <x:c r="D856" s="22" t="str">
        <x:v>C05-SYN-EQ-01:深潮王女权杖</x:v>
      </x:c>
    </x:row>
    <x:row r="857" ht="24" customHeight="1">
      <x:c r="A857" s="22" t="n">
        <x:v>853</x:v>
      </x:c>
      <x:c r="B857" s="22" t="str">
        <x:v>递归首杀前存在可达来源</x:v>
      </x:c>
      <x:c r="C857" s="22" t="str">
        <x:v>通过</x:v>
      </x:c>
      <x:c r="D857" s="22" t="str">
        <x:v>C05-SYN-EQ-01:摄政灵辉杖</x:v>
      </x:c>
    </x:row>
    <x:row r="858" ht="24" customHeight="1">
      <x:c r="A858" s="22" t="n">
        <x:v>854</x:v>
      </x:c>
      <x:c r="B858" s="22" t="str">
        <x:v>递归首杀前存在可达来源</x:v>
      </x:c>
      <x:c r="C858" s="22" t="str">
        <x:v>通过</x:v>
      </x:c>
      <x:c r="D858" s="22" t="str">
        <x:v>C05-SYN-EQ-01:辉石碎晶</x:v>
      </x:c>
    </x:row>
    <x:row r="859" ht="24" customHeight="1">
      <x:c r="A859" s="22" t="n">
        <x:v>855</x:v>
      </x:c>
      <x:c r="B859" s="22" t="str">
        <x:v>递归首杀前存在可达来源</x:v>
      </x:c>
      <x:c r="C859" s="22" t="str">
        <x:v>通过</x:v>
      </x:c>
      <x:c r="D859" s="22" t="str">
        <x:v>C05-SYN-EQ-01:月蚀镜片</x:v>
      </x:c>
    </x:row>
    <x:row r="860" ht="24" customHeight="1">
      <x:c r="A860" s="22" t="n">
        <x:v>856</x:v>
      </x:c>
      <x:c r="B860" s="22" t="str">
        <x:v>递归首杀前存在可达来源</x:v>
      </x:c>
      <x:c r="C860" s="22" t="str">
        <x:v>通过</x:v>
      </x:c>
      <x:c r="D860" s="22" t="str">
        <x:v>C05-SYN-EQ-01:满月王室印</x:v>
      </x:c>
    </x:row>
    <x:row r="861" ht="24" customHeight="1">
      <x:c r="A861" s="22" t="n">
        <x:v>857</x:v>
      </x:c>
      <x:c r="B861" s="22" t="str">
        <x:v>递归首杀前存在可达来源</x:v>
      </x:c>
      <x:c r="C861" s="22" t="str">
        <x:v>通过</x:v>
      </x:c>
      <x:c r="D861" s="22" t="str">
        <x:v>C05-SYN-EQ-01:失色锻造石</x:v>
      </x:c>
    </x:row>
    <x:row r="862" ht="24" customHeight="1">
      <x:c r="A862" s="22" t="n">
        <x:v>858</x:v>
      </x:c>
      <x:c r="B862" s="22" t="str">
        <x:v>递归首杀前存在可达来源</x:v>
      </x:c>
      <x:c r="C862" s="22" t="str">
        <x:v>通过</x:v>
      </x:c>
      <x:c r="D862" s="22" t="str">
        <x:v>C05-SYN-EQ-02:黄金树戒</x:v>
      </x:c>
    </x:row>
    <x:row r="863" ht="24" customHeight="1">
      <x:c r="A863" s="22" t="n">
        <x:v>859</x:v>
      </x:c>
      <x:c r="B863" s="22" t="str">
        <x:v>递归首杀前存在可达来源</x:v>
      </x:c>
      <x:c r="C863" s="22" t="str">
        <x:v>通过</x:v>
      </x:c>
      <x:c r="D863" s="22" t="str">
        <x:v>C05-SYN-EQ-02:青曜噬光戒</x:v>
      </x:c>
    </x:row>
    <x:row r="864" ht="24" customHeight="1">
      <x:c r="A864" s="22" t="n">
        <x:v>860</x:v>
      </x:c>
      <x:c r="B864" s="22" t="str">
        <x:v>递归首杀前存在可达来源</x:v>
      </x:c>
      <x:c r="C864" s="22" t="str">
        <x:v>通过</x:v>
      </x:c>
      <x:c r="D864" s="22" t="str">
        <x:v>C05-SYN-EQ-02:辉石碎晶</x:v>
      </x:c>
    </x:row>
    <x:row r="865" ht="24" customHeight="1">
      <x:c r="A865" s="22" t="n">
        <x:v>861</x:v>
      </x:c>
      <x:c r="B865" s="22" t="str">
        <x:v>递归首杀前存在可达来源</x:v>
      </x:c>
      <x:c r="C865" s="22" t="str">
        <x:v>通过</x:v>
      </x:c>
      <x:c r="D865" s="22" t="str">
        <x:v>C05-SYN-EQ-02:雾月星砂</x:v>
      </x:c>
    </x:row>
    <x:row r="866" ht="24" customHeight="1">
      <x:c r="A866" s="22" t="n">
        <x:v>862</x:v>
      </x:c>
      <x:c r="B866" s="22" t="str">
        <x:v>递归首杀前存在可达来源</x:v>
      </x:c>
      <x:c r="C866" s="22" t="str">
        <x:v>通过</x:v>
      </x:c>
      <x:c r="D866" s="22" t="str">
        <x:v>C05-SYN-EQ-02:失色锻造石</x:v>
      </x:c>
    </x:row>
    <x:row r="867" ht="24" customHeight="1">
      <x:c r="A867" s="22" t="n">
        <x:v>863</x:v>
      </x:c>
      <x:c r="B867" s="22" t="str">
        <x:v>递归首杀前存在可达来源</x:v>
      </x:c>
      <x:c r="C867" s="22" t="str">
        <x:v>通过</x:v>
      </x:c>
      <x:c r="D867" s="22" t="str">
        <x:v>C05-SYN-EQ-02:月蚀镜片</x:v>
      </x:c>
    </x:row>
    <x:row r="868" ht="24" customHeight="1">
      <x:c r="A868" s="22" t="n">
        <x:v>864</x:v>
      </x:c>
      <x:c r="B868" s="22" t="str">
        <x:v>递归首杀前存在可达来源</x:v>
      </x:c>
      <x:c r="C868" s="22" t="str">
        <x:v>通过</x:v>
      </x:c>
      <x:c r="D868" s="22" t="str">
        <x:v>C06-SYN-EQ-01:雷奥尼斯狮铠</x:v>
      </x:c>
    </x:row>
    <x:row r="869" ht="24" customHeight="1">
      <x:c r="A869" s="22" t="n">
        <x:v>865</x:v>
      </x:c>
      <x:c r="B869" s="22" t="str">
        <x:v>递归首杀前存在可达来源</x:v>
      </x:c>
      <x:c r="C869" s="22" t="str">
        <x:v>通过</x:v>
      </x:c>
      <x:c r="D869" s="22" t="str">
        <x:v>C06-SYN-EQ-01:瑟芮血衣</x:v>
      </x:c>
    </x:row>
    <x:row r="870" ht="24" customHeight="1">
      <x:c r="A870" s="22" t="n">
        <x:v>866</x:v>
      </x:c>
      <x:c r="B870" s="22" t="str">
        <x:v>递归首杀前存在可达来源</x:v>
      </x:c>
      <x:c r="C870" s="22" t="str">
        <x:v>通过</x:v>
      </x:c>
      <x:c r="D870" s="22" t="str">
        <x:v>C06-SYN-EQ-01:猩红矿渣</x:v>
      </x:c>
    </x:row>
    <x:row r="871" ht="24" customHeight="1">
      <x:c r="A871" s="22" t="n">
        <x:v>867</x:v>
      </x:c>
      <x:c r="B871" s="22" t="str">
        <x:v>递归首杀前存在可达来源</x:v>
      </x:c>
      <x:c r="C871" s="22" t="str">
        <x:v>通过</x:v>
      </x:c>
      <x:c r="D871" s="22" t="str">
        <x:v>C06-SYN-EQ-01:红狮断箭</x:v>
      </x:c>
    </x:row>
    <x:row r="872" ht="24" customHeight="1">
      <x:c r="A872" s="22" t="n">
        <x:v>868</x:v>
      </x:c>
      <x:c r="B872" s="22" t="str">
        <x:v>递归首杀前存在可达来源</x:v>
      </x:c>
      <x:c r="C872" s="22" t="str">
        <x:v>通过</x:v>
      </x:c>
      <x:c r="D872" s="22" t="str">
        <x:v>C06-SYN-EQ-01:红狮战印</x:v>
      </x:c>
    </x:row>
    <x:row r="873" ht="24" customHeight="1">
      <x:c r="A873" s="22" t="n">
        <x:v>869</x:v>
      </x:c>
      <x:c r="B873" s="22" t="str">
        <x:v>递归首杀前存在可达来源</x:v>
      </x:c>
      <x:c r="C873" s="22" t="str">
        <x:v>通过</x:v>
      </x:c>
      <x:c r="D873" s="22" t="str">
        <x:v>C06-SYN-EQ-01:失色锻造石</x:v>
      </x:c>
    </x:row>
    <x:row r="874" ht="24" customHeight="1">
      <x:c r="A874" s="22" t="n">
        <x:v>870</x:v>
      </x:c>
      <x:c r="B874" s="22" t="str">
        <x:v>递归首杀前存在可达来源</x:v>
      </x:c>
      <x:c r="C874" s="22" t="str">
        <x:v>通过</x:v>
      </x:c>
      <x:c r="D874" s="22" t="str">
        <x:v>C06-SYN-EQ-02:烬鳞护腕</x:v>
      </x:c>
    </x:row>
    <x:row r="875" ht="24" customHeight="1">
      <x:c r="A875" s="22" t="n">
        <x:v>871</x:v>
      </x:c>
      <x:c r="B875" s="22" t="str">
        <x:v>递归首杀前存在可达来源</x:v>
      </x:c>
      <x:c r="C875" s="22" t="str">
        <x:v>通过</x:v>
      </x:c>
      <x:c r="D875" s="22" t="str">
        <x:v>C06-SYN-EQ-02:血菌腕轮</x:v>
      </x:c>
    </x:row>
    <x:row r="876" ht="24" customHeight="1">
      <x:c r="A876" s="22" t="n">
        <x:v>872</x:v>
      </x:c>
      <x:c r="B876" s="22" t="str">
        <x:v>递归首杀前存在可达来源</x:v>
      </x:c>
      <x:c r="C876" s="22" t="str">
        <x:v>通过</x:v>
      </x:c>
      <x:c r="D876" s="22" t="str">
        <x:v>C06-SYN-EQ-02:猩红矿渣</x:v>
      </x:c>
    </x:row>
    <x:row r="877" ht="24" customHeight="1">
      <x:c r="A877" s="22" t="n">
        <x:v>873</x:v>
      </x:c>
      <x:c r="B877" s="22" t="str">
        <x:v>递归首杀前存在可达来源</x:v>
      </x:c>
      <x:c r="C877" s="22" t="str">
        <x:v>通过</x:v>
      </x:c>
      <x:c r="D877" s="22" t="str">
        <x:v>C06-SYN-EQ-02:净火腺囊</x:v>
      </x:c>
    </x:row>
    <x:row r="878" ht="24" customHeight="1">
      <x:c r="A878" s="22" t="n">
        <x:v>874</x:v>
      </x:c>
      <x:c r="B878" s="22" t="str">
        <x:v>递归首杀前存在可达来源</x:v>
      </x:c>
      <x:c r="C878" s="22" t="str">
        <x:v>通过</x:v>
      </x:c>
      <x:c r="D878" s="22" t="str">
        <x:v>C06-SYN-EQ-02:龙窟熔牙</x:v>
      </x:c>
    </x:row>
    <x:row r="879" ht="24" customHeight="1">
      <x:c r="A879" s="22" t="n">
        <x:v>875</x:v>
      </x:c>
      <x:c r="B879" s="22" t="str">
        <x:v>递归首杀前存在可达来源</x:v>
      </x:c>
      <x:c r="C879" s="22" t="str">
        <x:v>通过</x:v>
      </x:c>
      <x:c r="D879" s="22" t="str">
        <x:v>C06-SYN-EQ-02:失色锻造石</x:v>
      </x:c>
    </x:row>
    <x:row r="880" ht="24" customHeight="1">
      <x:c r="A880" s="22" t="n">
        <x:v>876</x:v>
      </x:c>
      <x:c r="B880" s="22" t="str">
        <x:v>递归首杀前存在可达来源</x:v>
      </x:c>
      <x:c r="C880" s="22" t="str">
        <x:v>通过</x:v>
      </x:c>
      <x:c r="D880" s="22" t="str">
        <x:v>C06-SYN-EQ-03:塞维拉狱衣</x:v>
      </x:c>
    </x:row>
    <x:row r="881" ht="24" customHeight="1">
      <x:c r="A881" s="22" t="n">
        <x:v>877</x:v>
      </x:c>
      <x:c r="B881" s="22" t="str">
        <x:v>递归首杀前存在可达来源</x:v>
      </x:c>
      <x:c r="C881" s="22" t="str">
        <x:v>通过</x:v>
      </x:c>
      <x:c r="D881" s="22" t="str">
        <x:v>C06-SYN-EQ-03:阿格纳龙牙</x:v>
      </x:c>
    </x:row>
    <x:row r="882" ht="24" customHeight="1">
      <x:c r="A882" s="22" t="n">
        <x:v>878</x:v>
      </x:c>
      <x:c r="B882" s="22" t="str">
        <x:v>递归首杀前存在可达来源</x:v>
      </x:c>
      <x:c r="C882" s="22" t="str">
        <x:v>通过</x:v>
      </x:c>
      <x:c r="D882" s="22" t="str">
        <x:v>C06-SYN-EQ-03:猩红矿渣</x:v>
      </x:c>
    </x:row>
    <x:row r="883" ht="24" customHeight="1">
      <x:c r="A883" s="22" t="n">
        <x:v>879</x:v>
      </x:c>
      <x:c r="B883" s="22" t="str">
        <x:v>递归首杀前存在可达来源</x:v>
      </x:c>
      <x:c r="C883" s="22" t="str">
        <x:v>通过</x:v>
      </x:c>
      <x:c r="D883" s="22" t="str">
        <x:v>C06-SYN-EQ-03:红狮战印</x:v>
      </x:c>
    </x:row>
    <x:row r="884" ht="24" customHeight="1">
      <x:c r="A884" s="22" t="n">
        <x:v>880</x:v>
      </x:c>
      <x:c r="B884" s="22" t="str">
        <x:v>递归首杀前存在可达来源</x:v>
      </x:c>
      <x:c r="C884" s="22" t="str">
        <x:v>通过</x:v>
      </x:c>
      <x:c r="D884" s="22" t="str">
        <x:v>C06-SYN-EQ-03:失色锻造石</x:v>
      </x:c>
    </x:row>
    <x:row r="885" ht="24" customHeight="1">
      <x:c r="A885" s="22" t="n">
        <x:v>881</x:v>
      </x:c>
      <x:c r="B885" s="22" t="str">
        <x:v>递归首杀前存在可达来源</x:v>
      </x:c>
      <x:c r="C885" s="22" t="str">
        <x:v>通过</x:v>
      </x:c>
      <x:c r="D885" s="22" t="str">
        <x:v>C06-SYN-EQ-03:龙窟熔牙</x:v>
      </x:c>
    </x:row>
    <x:row r="886" ht="24" customHeight="1">
      <x:c r="A886" s="22" t="n">
        <x:v>882</x:v>
      </x:c>
      <x:c r="B886" s="22" t="str">
        <x:v>递归首杀前存在可达来源</x:v>
      </x:c>
      <x:c r="C886" s="22" t="str">
        <x:v>通过</x:v>
      </x:c>
      <x:c r="D886" s="22" t="str">
        <x:v>C07-SYN-EQ-01:诺薇霜镰</x:v>
      </x:c>
    </x:row>
    <x:row r="887" ht="24" customHeight="1">
      <x:c r="A887" s="22" t="n">
        <x:v>883</x:v>
      </x:c>
      <x:c r="B887" s="22" t="str">
        <x:v>递归首杀前存在可达来源</x:v>
      </x:c>
      <x:c r="C887" s="22" t="str">
        <x:v>通过</x:v>
      </x:c>
      <x:c r="D887" s="22" t="str">
        <x:v>C07-SYN-EQ-01:赫洛冻拳</x:v>
      </x:c>
    </x:row>
    <x:row r="888" ht="24" customHeight="1">
      <x:c r="A888" s="22" t="n">
        <x:v>884</x:v>
      </x:c>
      <x:c r="B888" s="22" t="str">
        <x:v>递归首杀前存在可达来源</x:v>
      </x:c>
      <x:c r="C888" s="22" t="str">
        <x:v>通过</x:v>
      </x:c>
      <x:c r="D888" s="22" t="str">
        <x:v>C07-SYN-EQ-01:冻晶尘</x:v>
      </x:c>
    </x:row>
    <x:row r="889" ht="24" customHeight="1">
      <x:c r="A889" s="22" t="n">
        <x:v>885</x:v>
      </x:c>
      <x:c r="B889" s="22" t="str">
        <x:v>递归首杀前存在可达来源</x:v>
      </x:c>
      <x:c r="C889" s="22" t="str">
        <x:v>通过</x:v>
      </x:c>
      <x:c r="D889" s="22" t="str">
        <x:v>C07-SYN-EQ-01:白金路标片</x:v>
      </x:c>
    </x:row>
    <x:row r="890" ht="24" customHeight="1">
      <x:c r="A890" s="22" t="n">
        <x:v>886</x:v>
      </x:c>
      <x:c r="B890" s="22" t="str">
        <x:v>递归首杀前存在可达来源</x:v>
      </x:c>
      <x:c r="C890" s="22" t="str">
        <x:v>通过</x:v>
      </x:c>
      <x:c r="D890" s="22" t="str">
        <x:v>C07-SYN-EQ-01:圣雪誓印</x:v>
      </x:c>
    </x:row>
    <x:row r="891" ht="24" customHeight="1">
      <x:c r="A891" s="22" t="n">
        <x:v>887</x:v>
      </x:c>
      <x:c r="B891" s="22" t="str">
        <x:v>递归首杀前存在可达来源</x:v>
      </x:c>
      <x:c r="C891" s="22" t="str">
        <x:v>通过</x:v>
      </x:c>
      <x:c r="D891" s="22" t="str">
        <x:v>C07-SYN-EQ-01:失色锻造石</x:v>
      </x:c>
    </x:row>
    <x:row r="892" ht="24" customHeight="1">
      <x:c r="A892" s="22" t="n">
        <x:v>888</x:v>
      </x:c>
      <x:c r="B892" s="22" t="str">
        <x:v>递归首杀前存在可达来源</x:v>
      </x:c>
      <x:c r="C892" s="22" t="str">
        <x:v>通过</x:v>
      </x:c>
      <x:c r="D892" s="22" t="str">
        <x:v>C07-SYN-EQ-02:乌尔寒铠</x:v>
      </x:c>
    </x:row>
    <x:row r="893" ht="24" customHeight="1">
      <x:c r="A893" s="22" t="n">
        <x:v>889</x:v>
      </x:c>
      <x:c r="B893" s="22" t="str">
        <x:v>递归首杀前存在可达来源</x:v>
      </x:c>
      <x:c r="C893" s="22" t="str">
        <x:v>通过</x:v>
      </x:c>
      <x:c r="D893" s="22" t="str">
        <x:v>C07-SYN-EQ-02:希尔达圣冠</x:v>
      </x:c>
    </x:row>
    <x:row r="894" ht="24" customHeight="1">
      <x:c r="A894" s="22" t="n">
        <x:v>890</x:v>
      </x:c>
      <x:c r="B894" s="22" t="str">
        <x:v>递归首杀前存在可达来源</x:v>
      </x:c>
      <x:c r="C894" s="22" t="str">
        <x:v>通过</x:v>
      </x:c>
      <x:c r="D894" s="22" t="str">
        <x:v>C07-SYN-EQ-02:冻晶尘</x:v>
      </x:c>
    </x:row>
    <x:row r="895" ht="24" customHeight="1">
      <x:c r="A895" s="22" t="n">
        <x:v>891</x:v>
      </x:c>
      <x:c r="B895" s="22" t="str">
        <x:v>递归首杀前存在可达来源</x:v>
      </x:c>
      <x:c r="C895" s="22" t="str">
        <x:v>通过</x:v>
      </x:c>
      <x:c r="D895" s="22" t="str">
        <x:v>C07-SYN-EQ-02:秘树霜芽</x:v>
      </x:c>
    </x:row>
    <x:row r="896" ht="24" customHeight="1">
      <x:c r="A896" s="22" t="n">
        <x:v>892</x:v>
      </x:c>
      <x:c r="B896" s="22" t="str">
        <x:v>递归首杀前存在可达来源</x:v>
      </x:c>
      <x:c r="C896" s="22" t="str">
        <x:v>通过</x:v>
      </x:c>
      <x:c r="D896" s="22" t="str">
        <x:v>C07-SYN-EQ-02:失色锻造石</x:v>
      </x:c>
    </x:row>
    <x:row r="897" ht="24" customHeight="1">
      <x:c r="A897" s="22" t="n">
        <x:v>893</x:v>
      </x:c>
      <x:c r="B897" s="22" t="str">
        <x:v>递归首杀前存在可达来源</x:v>
      </x:c>
      <x:c r="C897" s="22" t="str">
        <x:v>通过</x:v>
      </x:c>
      <x:c r="D897" s="22" t="str">
        <x:v>C08-SYN-EQ-01:雪鸦冰喙坠</x:v>
      </x:c>
    </x:row>
    <x:row r="898" ht="24" customHeight="1">
      <x:c r="A898" s="22" t="n">
        <x:v>894</x:v>
      </x:c>
      <x:c r="B898" s="22" t="str">
        <x:v>递归首杀前存在可达来源</x:v>
      </x:c>
      <x:c r="C898" s="22" t="str">
        <x:v>通过</x:v>
      </x:c>
      <x:c r="D898" s="22" t="str">
        <x:v>C08-SYN-EQ-01:寒翼听风坠</x:v>
      </x:c>
    </x:row>
    <x:row r="899" ht="24" customHeight="1">
      <x:c r="A899" s="22" t="n">
        <x:v>895</x:v>
      </x:c>
      <x:c r="B899" s="22" t="str">
        <x:v>递归首杀前存在可达来源</x:v>
      </x:c>
      <x:c r="C899" s="22" t="str">
        <x:v>通过</x:v>
      </x:c>
      <x:c r="D899" s="22" t="str">
        <x:v>C08-SYN-EQ-01:霜脊铁</x:v>
      </x:c>
    </x:row>
    <x:row r="900" ht="24" customHeight="1">
      <x:c r="A900" s="22" t="n">
        <x:v>896</x:v>
      </x:c>
      <x:c r="B900" s="22" t="str">
        <x:v>递归首杀前存在可达来源</x:v>
      </x:c>
      <x:c r="C900" s="22" t="str">
        <x:v>通过</x:v>
      </x:c>
      <x:c r="D900" s="22" t="str">
        <x:v>C08-SYN-EQ-01:登山铁楔</x:v>
      </x:c>
    </x:row>
    <x:row r="901" ht="24" customHeight="1">
      <x:c r="A901" s="22" t="n">
        <x:v>897</x:v>
      </x:c>
      <x:c r="B901" s="22" t="str">
        <x:v>递归首杀前存在可达来源</x:v>
      </x:c>
      <x:c r="C901" s="22" t="str">
        <x:v>通过</x:v>
      </x:c>
      <x:c r="D901" s="22" t="str">
        <x:v>C08-SYN-EQ-01:巨人火印</x:v>
      </x:c>
    </x:row>
    <x:row r="902" ht="24" customHeight="1">
      <x:c r="A902" s="22" t="n">
        <x:v>898</x:v>
      </x:c>
      <x:c r="B902" s="22" t="str">
        <x:v>递归首杀前存在可达来源</x:v>
      </x:c>
      <x:c r="C902" s="22" t="str">
        <x:v>通过</x:v>
      </x:c>
      <x:c r="D902" s="22" t="str">
        <x:v>C08-SYN-EQ-01:失色锻造石</x:v>
      </x:c>
    </x:row>
    <x:row r="903" ht="24" customHeight="1">
      <x:c r="A903" s="22" t="n">
        <x:v>899</x:v>
      </x:c>
      <x:c r="B903" s="22" t="str">
        <x:v>递归首杀前存在可达来源</x:v>
      </x:c>
      <x:c r="C903" s="22" t="str">
        <x:v>通过</x:v>
      </x:c>
      <x:c r="D903" s="22" t="str">
        <x:v>C08-SYN-EQ-02:负碑王座盾</x:v>
      </x:c>
    </x:row>
    <x:row r="904" ht="24" customHeight="1">
      <x:c r="A904" s="22" t="n">
        <x:v>900</x:v>
      </x:c>
      <x:c r="B904" s="22" t="str">
        <x:v>递归首杀前存在可达来源</x:v>
      </x:c>
      <x:c r="C904" s="22" t="str">
        <x:v>通过</x:v>
      </x:c>
      <x:c r="D904" s="22" t="str">
        <x:v>C08-SYN-EQ-02:外廊纹冰盾</x:v>
      </x:c>
    </x:row>
    <x:row r="905" ht="24" customHeight="1">
      <x:c r="A905" s="22" t="n">
        <x:v>901</x:v>
      </x:c>
      <x:c r="B905" s="22" t="str">
        <x:v>递归首杀前存在可达来源</x:v>
      </x:c>
      <x:c r="C905" s="22" t="str">
        <x:v>通过</x:v>
      </x:c>
      <x:c r="D905" s="22" t="str">
        <x:v>C08-SYN-EQ-02:霜脊铁</x:v>
      </x:c>
    </x:row>
    <x:row r="906" ht="24" customHeight="1">
      <x:c r="A906" s="22" t="n">
        <x:v>902</x:v>
      </x:c>
      <x:c r="B906" s="22" t="str">
        <x:v>递归首杀前存在可达来源</x:v>
      </x:c>
      <x:c r="C906" s="22" t="str">
        <x:v>通过</x:v>
      </x:c>
      <x:c r="D906" s="22" t="str">
        <x:v>C08-SYN-EQ-02:裂峰号角片</x:v>
      </x:c>
    </x:row>
    <x:row r="907" ht="24" customHeight="1">
      <x:c r="A907" s="22" t="n">
        <x:v>903</x:v>
      </x:c>
      <x:c r="B907" s="22" t="str">
        <x:v>递归首杀前存在可达来源</x:v>
      </x:c>
      <x:c r="C907" s="22" t="str">
        <x:v>通过</x:v>
      </x:c>
      <x:c r="D907" s="22" t="str">
        <x:v>C08-SYN-EQ-02:冰宫守门铃</x:v>
      </x:c>
    </x:row>
    <x:row r="908" ht="24" customHeight="1">
      <x:c r="A908" s="22" t="n">
        <x:v>904</x:v>
      </x:c>
      <x:c r="B908" s="22" t="str">
        <x:v>递归首杀前存在可达来源</x:v>
      </x:c>
      <x:c r="C908" s="22" t="str">
        <x:v>通过</x:v>
      </x:c>
      <x:c r="D908" s="22" t="str">
        <x:v>C08-SYN-EQ-02:失色锻造石</x:v>
      </x:c>
    </x:row>
    <x:row r="909" ht="24" customHeight="1">
      <x:c r="A909" s="22" t="n">
        <x:v>905</x:v>
      </x:c>
      <x:c r="B909" s="22" t="str">
        <x:v>递归首杀前存在可达来源</x:v>
      </x:c>
      <x:c r="C909" s="22" t="str">
        <x:v>通过</x:v>
      </x:c>
      <x:c r="D909" s="22" t="str">
        <x:v>C08-SYN-EQ-03:赫芮迦穹霜王衣</x:v>
      </x:c>
    </x:row>
    <x:row r="910" ht="24" customHeight="1">
      <x:c r="A910" s="22" t="n">
        <x:v>906</x:v>
      </x:c>
      <x:c r="B910" s="22" t="str">
        <x:v>递归首杀前存在可达来源</x:v>
      </x:c>
      <x:c r="C910" s="22" t="str">
        <x:v>通过</x:v>
      </x:c>
      <x:c r="D910" s="22" t="str">
        <x:v>C08-SYN-EQ-03:格罗尔冬眠刃</x:v>
      </x:c>
    </x:row>
    <x:row r="911" ht="24" customHeight="1">
      <x:c r="A911" s="22" t="n">
        <x:v>907</x:v>
      </x:c>
      <x:c r="B911" s="22" t="str">
        <x:v>递归首杀前存在可达来源</x:v>
      </x:c>
      <x:c r="C911" s="22" t="str">
        <x:v>通过</x:v>
      </x:c>
      <x:c r="D911" s="22" t="str">
        <x:v>C08-SYN-EQ-03:霜脊铁</x:v>
      </x:c>
    </x:row>
    <x:row r="912" ht="24" customHeight="1">
      <x:c r="A912" s="22" t="n">
        <x:v>908</x:v>
      </x:c>
      <x:c r="B912" s="22" t="str">
        <x:v>递归首杀前存在可达来源</x:v>
      </x:c>
      <x:c r="C912" s="22" t="str">
        <x:v>通过</x:v>
      </x:c>
      <x:c r="D912" s="22" t="str">
        <x:v>C08-SYN-EQ-03:巨人火印</x:v>
      </x:c>
    </x:row>
    <x:row r="913" ht="24" customHeight="1">
      <x:c r="A913" s="22" t="n">
        <x:v>909</x:v>
      </x:c>
      <x:c r="B913" s="22" t="str">
        <x:v>递归首杀前存在可达来源</x:v>
      </x:c>
      <x:c r="C913" s="22" t="str">
        <x:v>通过</x:v>
      </x:c>
      <x:c r="D913" s="22" t="str">
        <x:v>C08-SYN-EQ-03:失色锻造石</x:v>
      </x:c>
    </x:row>
    <x:row r="914" ht="24" customHeight="1">
      <x:c r="A914" s="22" t="n">
        <x:v>910</x:v>
      </x:c>
      <x:c r="B914" s="22" t="str">
        <x:v>递归首杀前存在可达来源</x:v>
      </x:c>
      <x:c r="C914" s="22" t="str">
        <x:v>通过</x:v>
      </x:c>
      <x:c r="D914" s="22" t="str">
        <x:v>C08-SYN-EQ-03:冰宫守门铃</x:v>
      </x:c>
    </x:row>
    <x:row r="915" ht="24" customHeight="1">
      <x:c r="A915" s="22" t="n">
        <x:v>911</x:v>
      </x:c>
      <x:c r="B915" s="22" t="str">
        <x:v>递归首杀前存在可达来源</x:v>
      </x:c>
      <x:c r="C915" s="22" t="str">
        <x:v>通过</x:v>
      </x:c>
      <x:c r="D915" s="22" t="str">
        <x:v>C09-SYN-EQ-01:罗梵迪壁垒长戟</x:v>
      </x:c>
    </x:row>
    <x:row r="916" ht="24" customHeight="1">
      <x:c r="A916" s="22" t="n">
        <x:v>912</x:v>
      </x:c>
      <x:c r="B916" s="22" t="str">
        <x:v>递归首杀前存在可达来源</x:v>
      </x:c>
      <x:c r="C916" s="22" t="str">
        <x:v>通过</x:v>
      </x:c>
      <x:c r="D916" s="22" t="str">
        <x:v>C09-SYN-EQ-01:赛维兰裁阳杖</x:v>
      </x:c>
    </x:row>
    <x:row r="917" ht="24" customHeight="1">
      <x:c r="A917" s="22" t="n">
        <x:v>913</x:v>
      </x:c>
      <x:c r="B917" s="22" t="str">
        <x:v>递归首杀前存在可达来源</x:v>
      </x:c>
      <x:c r="C917" s="22" t="str">
        <x:v>通过</x:v>
      </x:c>
      <x:c r="D917" s="22" t="str">
        <x:v>C09-SYN-EQ-01:黄金叶脉</x:v>
      </x:c>
    </x:row>
    <x:row r="918" ht="24" customHeight="1">
      <x:c r="A918" s="22" t="n">
        <x:v>914</x:v>
      </x:c>
      <x:c r="B918" s="22" t="str">
        <x:v>递归首杀前存在可达来源</x:v>
      </x:c>
      <x:c r="C918" s="22" t="str">
        <x:v>通过</x:v>
      </x:c>
      <x:c r="D918" s="22" t="str">
        <x:v>C09-SYN-EQ-01:裁文蜡封</x:v>
      </x:c>
    </x:row>
    <x:row r="919" ht="24" customHeight="1">
      <x:c r="A919" s="22" t="n">
        <x:v>915</x:v>
      </x:c>
      <x:c r="B919" s="22" t="str">
        <x:v>递归首杀前存在可达来源</x:v>
      </x:c>
      <x:c r="C919" s="22" t="str">
        <x:v>通过</x:v>
      </x:c>
      <x:c r="D919" s="22" t="str">
        <x:v>C09-SYN-EQ-01:黄金律印</x:v>
      </x:c>
    </x:row>
    <x:row r="920" ht="24" customHeight="1">
      <x:c r="A920" s="22" t="n">
        <x:v>916</x:v>
      </x:c>
      <x:c r="B920" s="22" t="str">
        <x:v>递归首杀前存在可达来源</x:v>
      </x:c>
      <x:c r="C920" s="22" t="str">
        <x:v>通过</x:v>
      </x:c>
      <x:c r="D920" s="22" t="str">
        <x:v>C09-SYN-EQ-01:失色锻造石</x:v>
      </x:c>
    </x:row>
    <x:row r="921" ht="24" customHeight="1">
      <x:c r="A921" s="22" t="n">
        <x:v>917</x:v>
      </x:c>
      <x:c r="B921" s="22" t="str">
        <x:v>递归首杀前存在可达来源</x:v>
      </x:c>
      <x:c r="C921" s="22" t="str">
        <x:v>通过</x:v>
      </x:c>
      <x:c r="D921" s="22" t="str">
        <x:v>C09-SYN-EQ-02:艾德莉雅鎏辉圣衣</x:v>
      </x:c>
    </x:row>
    <x:row r="922" ht="24" customHeight="1">
      <x:c r="A922" s="22" t="n">
        <x:v>918</x:v>
      </x:c>
      <x:c r="B922" s="22" t="str">
        <x:v>递归首杀前存在可达来源</x:v>
      </x:c>
      <x:c r="C922" s="22" t="str">
        <x:v>通过</x:v>
      </x:c>
      <x:c r="D922" s="22" t="str">
        <x:v>C09-SYN-EQ-02:赫桑达执宪战衣</x:v>
      </x:c>
    </x:row>
    <x:row r="923" ht="24" customHeight="1">
      <x:c r="A923" s="22" t="n">
        <x:v>919</x:v>
      </x:c>
      <x:c r="B923" s="22" t="str">
        <x:v>递归首杀前存在可达来源</x:v>
      </x:c>
      <x:c r="C923" s="22" t="str">
        <x:v>通过</x:v>
      </x:c>
      <x:c r="D923" s="22" t="str">
        <x:v>C09-SYN-EQ-02:黄金叶脉</x:v>
      </x:c>
    </x:row>
    <x:row r="924" ht="24" customHeight="1">
      <x:c r="A924" s="22" t="n">
        <x:v>920</x:v>
      </x:c>
      <x:c r="B924" s="22" t="str">
        <x:v>递归首杀前存在可达来源</x:v>
      </x:c>
      <x:c r="C924" s="22" t="str">
        <x:v>通过</x:v>
      </x:c>
      <x:c r="D924" s="22" t="str">
        <x:v>C09-SYN-EQ-02:黄金律印</x:v>
      </x:c>
    </x:row>
    <x:row r="925" ht="24" customHeight="1">
      <x:c r="A925" s="22" t="n">
        <x:v>921</x:v>
      </x:c>
      <x:c r="B925" s="22" t="str">
        <x:v>递归首杀前存在可达来源</x:v>
      </x:c>
      <x:c r="C925" s="22" t="str">
        <x:v>通过</x:v>
      </x:c>
      <x:c r="D925" s="22" t="str">
        <x:v>C09-SYN-EQ-02:失色锻造石</x:v>
      </x:c>
    </x:row>
    <x:row r="926" ht="24" customHeight="1">
      <x:c r="A926" s="22" t="n">
        <x:v>922</x:v>
      </x:c>
      <x:c r="B926" s="22" t="str">
        <x:v>递归首杀前存在可达来源</x:v>
      </x:c>
      <x:c r="C926" s="22" t="str">
        <x:v>通过</x:v>
      </x:c>
      <x:c r="D926" s="22" t="str">
        <x:v>C09-SYN-EQ-02:裁文蜡封</x:v>
      </x:c>
    </x:row>
    <x:row r="927" ht="24" customHeight="1">
      <x:c r="A927" s="22" t="n">
        <x:v>923</x:v>
      </x:c>
      <x:c r="B927" s="22" t="str">
        <x:v>递归首杀前存在可达来源</x:v>
      </x:c>
      <x:c r="C927" s="22" t="str">
        <x:v>通过</x:v>
      </x:c>
      <x:c r="D927" s="22" t="str">
        <x:v>C10-SYN-EQ-01:千锁断流铡</x:v>
      </x:c>
    </x:row>
    <x:row r="928" ht="24" customHeight="1">
      <x:c r="A928" s="22" t="n">
        <x:v>924</x:v>
      </x:c>
      <x:c r="B928" s="22" t="str">
        <x:v>递归首杀前存在可达来源</x:v>
      </x:c>
      <x:c r="C928" s="22" t="str">
        <x:v>通过</x:v>
      </x:c>
      <x:c r="D928" s="22" t="str">
        <x:v>C10-SYN-EQ-01:熔冠镇脉巨锤</x:v>
      </x:c>
    </x:row>
    <x:row r="929" ht="24" customHeight="1">
      <x:c r="A929" s="22" t="n">
        <x:v>925</x:v>
      </x:c>
      <x:c r="B929" s="22" t="str">
        <x:v>递归首杀前存在可达来源</x:v>
      </x:c>
      <x:c r="C929" s="22" t="str">
        <x:v>通过</x:v>
      </x:c>
      <x:c r="D929" s="22" t="str">
        <x:v>C10-SYN-EQ-01:王城金屑</x:v>
      </x:c>
    </x:row>
    <x:row r="930" ht="24" customHeight="1">
      <x:c r="A930" s="22" t="n">
        <x:v>926</x:v>
      </x:c>
      <x:c r="B930" s="22" t="str">
        <x:v>递归首杀前存在可达来源</x:v>
      </x:c>
      <x:c r="C930" s="22" t="str">
        <x:v>通过</x:v>
      </x:c>
      <x:c r="D930" s="22" t="str">
        <x:v>C10-SYN-EQ-01:艾尔登王印</x:v>
      </x:c>
    </x:row>
    <x:row r="931" ht="24" customHeight="1">
      <x:c r="A931" s="22" t="n">
        <x:v>927</x:v>
      </x:c>
      <x:c r="B931" s="22" t="str">
        <x:v>递归首杀前存在可达来源</x:v>
      </x:c>
      <x:c r="C931" s="22" t="str">
        <x:v>通过</x:v>
      </x:c>
      <x:c r="D931" s="22" t="str">
        <x:v>C10-SYN-EQ-01:失色锻造石</x:v>
      </x:c>
    </x:row>
    <x:row r="932" ht="24" customHeight="1">
      <x:c r="A932" s="22" t="n">
        <x:v>928</x:v>
      </x:c>
      <x:c r="B932" s="22" t="str">
        <x:v>递归首杀前存在可达来源</x:v>
      </x:c>
      <x:c r="C932" s="22" t="str">
        <x:v>通过</x:v>
      </x:c>
      <x:c r="D932" s="22" t="str">
        <x:v>C10-SYN-EQ-01:失温熔炉楔</x:v>
      </x:c>
    </x:row>
    <x:row r="933" ht="24" customHeight="1">
      <x:c r="A933" s="22" t="n">
        <x:v>929</x:v>
      </x:c>
      <x:c r="B933" s="22" t="str">
        <x:v>递归首杀前存在可达来源</x:v>
      </x:c>
      <x:c r="C933" s="22" t="str">
        <x:v>通过</x:v>
      </x:c>
      <x:c r="D933" s="22" t="str">
        <x:v>C10-SYN-EQ-02:永辉空王礼服</x:v>
      </x:c>
    </x:row>
    <x:row r="934" ht="24" customHeight="1">
      <x:c r="A934" s="22" t="n">
        <x:v>930</x:v>
      </x:c>
      <x:c r="B934" s="22" t="str">
        <x:v>递归首杀前存在可达来源</x:v>
      </x:c>
      <x:c r="C934" s="22" t="str">
        <x:v>通过</x:v>
      </x:c>
      <x:c r="D934" s="22" t="str">
        <x:v>C10-SYN-EQ-02:吞碑枯寝大氅</x:v>
      </x:c>
    </x:row>
    <x:row r="935" ht="24" customHeight="1">
      <x:c r="A935" s="22" t="n">
        <x:v>931</x:v>
      </x:c>
      <x:c r="B935" s="22" t="str">
        <x:v>递归首杀前存在可达来源</x:v>
      </x:c>
      <x:c r="C935" s="22" t="str">
        <x:v>通过</x:v>
      </x:c>
      <x:c r="D935" s="22" t="str">
        <x:v>C10-SYN-EQ-02:王城金屑</x:v>
      </x:c>
    </x:row>
    <x:row r="936" ht="24" customHeight="1">
      <x:c r="A936" s="22" t="n">
        <x:v>932</x:v>
      </x:c>
      <x:c r="B936" s="22" t="str">
        <x:v>递归首杀前存在可达来源</x:v>
      </x:c>
      <x:c r="C936" s="22" t="str">
        <x:v>通过</x:v>
      </x:c>
      <x:c r="D936" s="22" t="str">
        <x:v>C10-SYN-EQ-02:无名墓钉</x:v>
      </x:c>
    </x:row>
    <x:row r="937" ht="24" customHeight="1">
      <x:c r="A937" s="22" t="n">
        <x:v>933</x:v>
      </x:c>
      <x:c r="B937" s="22" t="str">
        <x:v>递归首杀前存在可达来源</x:v>
      </x:c>
      <x:c r="C937" s="22" t="str">
        <x:v>通过</x:v>
      </x:c>
      <x:c r="D937" s="22" t="str">
        <x:v>C10-SYN-EQ-02:艾尔登王印</x:v>
      </x:c>
    </x:row>
    <x:row r="938" ht="24" customHeight="1">
      <x:c r="A938" s="22" t="n">
        <x:v>934</x:v>
      </x:c>
      <x:c r="B938" s="22" t="str">
        <x:v>递归首杀前存在可达来源</x:v>
      </x:c>
      <x:c r="C938" s="22" t="str">
        <x:v>通过</x:v>
      </x:c>
      <x:c r="D938" s="22" t="str">
        <x:v>C10-SYN-EQ-02:失色锻造石</x:v>
      </x:c>
    </x:row>
    <x:row r="939" ht="24" customHeight="1">
      <x:c r="A939" s="22" t="n">
        <x:v>935</x:v>
      </x:c>
      <x:c r="B939" s="22" t="str">
        <x:v>递归首杀前存在可达来源</x:v>
      </x:c>
      <x:c r="C939" s="22" t="str">
        <x:v>通过</x:v>
      </x:c>
      <x:c r="D939" s="22" t="str">
        <x:v>C10-SYN-EQ-03:无声执冠勋章</x:v>
      </x:c>
    </x:row>
    <x:row r="940" ht="24" customHeight="1">
      <x:c r="A940" s="22" t="n">
        <x:v>936</x:v>
      </x:c>
      <x:c r="B940" s="22" t="str">
        <x:v>递归首杀前存在可达来源</x:v>
      </x:c>
      <x:c r="C940" s="22" t="str">
        <x:v>通过</x:v>
      </x:c>
      <x:c r="D940" s="22" t="str">
        <x:v>C10-SYN-EQ-03:碎日禁卫斗笠</x:v>
      </x:c>
    </x:row>
    <x:row r="941" ht="24" customHeight="1">
      <x:c r="A941" s="22" t="n">
        <x:v>937</x:v>
      </x:c>
      <x:c r="B941" s="22" t="str">
        <x:v>递归首杀前存在可达来源</x:v>
      </x:c>
      <x:c r="C941" s="22" t="str">
        <x:v>通过</x:v>
      </x:c>
      <x:c r="D941" s="22" t="str">
        <x:v>C10-SYN-EQ-03:王城金屑</x:v>
      </x:c>
    </x:row>
    <x:row r="942" ht="24" customHeight="1">
      <x:c r="A942" s="22" t="n">
        <x:v>938</x:v>
      </x:c>
      <x:c r="B942" s="22" t="str">
        <x:v>递归首杀前存在可达来源</x:v>
      </x:c>
      <x:c r="C942" s="22" t="str">
        <x:v>通过</x:v>
      </x:c>
      <x:c r="D942" s="22" t="str">
        <x:v>C10-SYN-EQ-03:旧渠阀芯</x:v>
      </x:c>
    </x:row>
    <x:row r="943" ht="24" customHeight="1">
      <x:c r="A943" s="22" t="n">
        <x:v>939</x:v>
      </x:c>
      <x:c r="B943" s="22" t="str">
        <x:v>递归首杀前存在可达来源</x:v>
      </x:c>
      <x:c r="C943" s="22" t="str">
        <x:v>通过</x:v>
      </x:c>
      <x:c r="D943" s="22" t="str">
        <x:v>C10-SYN-EQ-03:失温熔炉楔</x:v>
      </x:c>
    </x:row>
    <x:row r="944" ht="24" customHeight="1">
      <x:c r="A944" s="22" t="n">
        <x:v>940</x:v>
      </x:c>
      <x:c r="B944" s="22" t="str">
        <x:v>递归首杀前存在可达来源</x:v>
      </x:c>
      <x:c r="C944" s="22" t="str">
        <x:v>通过</x:v>
      </x:c>
      <x:c r="D944" s="22" t="str">
        <x:v>C10-SYN-EQ-03:艾尔登王印</x:v>
      </x:c>
    </x:row>
    <x:row r="945" ht="24" customHeight="1">
      <x:c r="A945" s="22" t="n">
        <x:v>941</x:v>
      </x:c>
      <x:c r="B945" s="22" t="str">
        <x:v>递归首杀前存在可达来源</x:v>
      </x:c>
      <x:c r="C945" s="22" t="str">
        <x:v>通过</x:v>
      </x:c>
      <x:c r="D945" s="22" t="str">
        <x:v>C10-SYN-EQ-03:失色锻造石</x:v>
      </x:c>
    </x:row>
    <x:row r="946" ht="24" customHeight="1">
      <x:c r="A946" s="22" t="n">
        <x:v>942</x:v>
      </x:c>
      <x:c r="B946" s="22" t="str">
        <x:v>递归首杀前存在可达来源</x:v>
      </x:c>
      <x:c r="C946" s="22" t="str">
        <x:v>通过</x:v>
      </x:c>
      <x:c r="D946" s="22" t="str">
        <x:v>C01-SYN-ZD-01:腐树子鼠</x:v>
      </x:c>
    </x:row>
    <x:row r="947" ht="24" customHeight="1">
      <x:c r="A947" s="22" t="n">
        <x:v>943</x:v>
      </x:c>
      <x:c r="B947" s="22" t="str">
        <x:v>递归首杀前存在可达来源</x:v>
      </x:c>
      <x:c r="C947" s="22" t="str">
        <x:v>通过</x:v>
      </x:c>
      <x:c r="D947" s="22" t="str">
        <x:v>C01-SYN-ZD-01:唤潮旧勋</x:v>
      </x:c>
    </x:row>
    <x:row r="948" ht="24" customHeight="1">
      <x:c r="A948" s="22" t="n">
        <x:v>944</x:v>
      </x:c>
      <x:c r="B948" s="22" t="str">
        <x:v>递归首杀前存在可达来源</x:v>
      </x:c>
      <x:c r="C948" s="22" t="str">
        <x:v>通过</x:v>
      </x:c>
      <x:c r="D948" s="22" t="str">
        <x:v>C01-SYN-ZD-01:海蚀铁片</x:v>
      </x:c>
    </x:row>
    <x:row r="949" ht="24" customHeight="1">
      <x:c r="A949" s="22" t="n">
        <x:v>945</x:v>
      </x:c>
      <x:c r="B949" s="22" t="str">
        <x:v>递归首杀前存在可达来源</x:v>
      </x:c>
      <x:c r="C949" s="22" t="str">
        <x:v>通过</x:v>
      </x:c>
      <x:c r="D949" s="22" t="str">
        <x:v>C01-SYN-ZD-01:漂流见证·潮</x:v>
      </x:c>
    </x:row>
    <x:row r="950" ht="24" customHeight="1">
      <x:c r="A950" s="22" t="n">
        <x:v>946</x:v>
      </x:c>
      <x:c r="B950" s="22" t="str">
        <x:v>递归首杀前存在可达来源</x:v>
      </x:c>
      <x:c r="C950" s="22" t="str">
        <x:v>通过</x:v>
      </x:c>
      <x:c r="D950" s="22" t="str">
        <x:v>C02-SYN-ZD-01:百臂丑牛</x:v>
      </x:c>
    </x:row>
    <x:row r="951" ht="24" customHeight="1">
      <x:c r="A951" s="22" t="n">
        <x:v>947</x:v>
      </x:c>
      <x:c r="B951" s="22" t="str">
        <x:v>递归首杀前存在可达来源</x:v>
      </x:c>
      <x:c r="C951" s="22" t="str">
        <x:v>通过</x:v>
      </x:c>
      <x:c r="D951" s="22" t="str">
        <x:v>C02-SYN-ZD-01:关隘铁甲</x:v>
      </x:c>
    </x:row>
    <x:row r="952" ht="24" customHeight="1">
      <x:c r="A952" s="22" t="n">
        <x:v>948</x:v>
      </x:c>
      <x:c r="B952" s="22" t="str">
        <x:v>递归首杀前存在可达来源</x:v>
      </x:c>
      <x:c r="C952" s="22" t="str">
        <x:v>通过</x:v>
      </x:c>
      <x:c r="D952" s="22" t="str">
        <x:v>C02-SYN-ZD-01:风暴石片</x:v>
      </x:c>
    </x:row>
    <x:row r="953" ht="24" customHeight="1">
      <x:c r="A953" s="22" t="n">
        <x:v>949</x:v>
      </x:c>
      <x:c r="B953" s="22" t="str">
        <x:v>递归首杀前存在可达来源</x:v>
      </x:c>
      <x:c r="C953" s="22" t="str">
        <x:v>通过</x:v>
      </x:c>
      <x:c r="D953" s="22" t="str">
        <x:v>C02-SYN-ZD-01:接肢王印</x:v>
      </x:c>
    </x:row>
    <x:row r="954" ht="24" customHeight="1">
      <x:c r="A954" s="22" t="n">
        <x:v>950</x:v>
      </x:c>
      <x:c r="B954" s="22" t="str">
        <x:v>递归首杀前存在可达来源</x:v>
      </x:c>
      <x:c r="C954" s="22" t="str">
        <x:v>通过</x:v>
      </x:c>
      <x:c r="D954" s="22" t="str">
        <x:v>C03-SYN-ZD-01:猎犬辰龙</x:v>
      </x:c>
    </x:row>
    <x:row r="955" ht="24" customHeight="1">
      <x:c r="A955" s="22" t="n">
        <x:v>951</x:v>
      </x:c>
      <x:c r="B955" s="22" t="str">
        <x:v>递归首杀前存在可达来源</x:v>
      </x:c>
      <x:c r="C955" s="22" t="str">
        <x:v>通过</x:v>
      </x:c>
      <x:c r="D955" s="22" t="str">
        <x:v>C03-SYN-ZD-01:裂风战旗刃</x:v>
      </x:c>
    </x:row>
    <x:row r="956" ht="24" customHeight="1">
      <x:c r="A956" s="22" t="n">
        <x:v>952</x:v>
      </x:c>
      <x:c r="B956" s="22" t="str">
        <x:v>递归首杀前存在可达来源</x:v>
      </x:c>
      <x:c r="C956" s="22" t="str">
        <x:v>通过</x:v>
      </x:c>
      <x:c r="D956" s="22" t="str">
        <x:v>C03-SYN-ZD-01:风蚀铁片</x:v>
      </x:c>
    </x:row>
    <x:row r="957" ht="24" customHeight="1">
      <x:c r="A957" s="22" t="n">
        <x:v>953</x:v>
      </x:c>
      <x:c r="B957" s="22" t="str">
        <x:v>递归首杀前存在可达来源</x:v>
      </x:c>
      <x:c r="C957" s="22" t="str">
        <x:v>通过</x:v>
      </x:c>
      <x:c r="D957" s="22" t="str">
        <x:v>C03-SYN-ZD-01:西境战旗印</x:v>
      </x:c>
    </x:row>
    <x:row r="958" ht="24" customHeight="1">
      <x:c r="A958" s="22" t="n">
        <x:v>954</x:v>
      </x:c>
      <x:c r="B958" s="22" t="str">
        <x:v>递归首杀前存在可达来源</x:v>
      </x:c>
      <x:c r="C958" s="22" t="str">
        <x:v>通过</x:v>
      </x:c>
      <x:c r="D958" s="22" t="str">
        <x:v>C04-SYN-ZD-01:祖魂巳蛇</x:v>
      </x:c>
    </x:row>
    <x:row r="959" ht="24" customHeight="1">
      <x:c r="A959" s="22" t="n">
        <x:v>955</x:v>
      </x:c>
      <x:c r="B959" s="22" t="str">
        <x:v>递归首杀前存在可达来源</x:v>
      </x:c>
      <x:c r="C959" s="22" t="str">
        <x:v>通过</x:v>
      </x:c>
      <x:c r="D959" s="22" t="str">
        <x:v>C04-SYN-ZD-01:罗缇的回流剑</x:v>
      </x:c>
    </x:row>
    <x:row r="960" ht="24" customHeight="1">
      <x:c r="A960" s="22" t="n">
        <x:v>956</x:v>
      </x:c>
      <x:c r="B960" s="22" t="str">
        <x:v>递归首杀前存在可达来源</x:v>
      </x:c>
      <x:c r="C960" s="22" t="str">
        <x:v>通过</x:v>
      </x:c>
      <x:c r="D960" s="22" t="str">
        <x:v>C04-SYN-ZD-01:湖盐结晶</x:v>
      </x:c>
    </x:row>
    <x:row r="961" ht="24" customHeight="1">
      <x:c r="A961" s="22" t="n">
        <x:v>957</x:v>
      </x:c>
      <x:c r="B961" s="22" t="str">
        <x:v>递归首杀前存在可达来源</x:v>
      </x:c>
      <x:c r="C961" s="22" t="str">
        <x:v>通过</x:v>
      </x:c>
      <x:c r="D961" s="22" t="str">
        <x:v>C04-SYN-ZD-01:沉湖王印</x:v>
      </x:c>
    </x:row>
    <x:row r="962" ht="24" customHeight="1">
      <x:c r="A962" s="22" t="n">
        <x:v>958</x:v>
      </x:c>
      <x:c r="B962" s="22" t="str">
        <x:v>递归首杀前存在可达来源</x:v>
      </x:c>
      <x:c r="C962" s="22" t="str">
        <x:v>通过</x:v>
      </x:c>
      <x:c r="D962" s="22" t="str">
        <x:v>C05-SYN-ZD-01:无月卯兔</x:v>
      </x:c>
    </x:row>
    <x:row r="963" ht="24" customHeight="1">
      <x:c r="A963" s="22" t="n">
        <x:v>959</x:v>
      </x:c>
      <x:c r="B963" s="22" t="str">
        <x:v>递归首杀前存在可达来源</x:v>
      </x:c>
      <x:c r="C963" s="22" t="str">
        <x:v>通过</x:v>
      </x:c>
      <x:c r="D963" s="22" t="str">
        <x:v>C05-SYN-ZD-01:月契封印带</x:v>
      </x:c>
    </x:row>
    <x:row r="964" ht="24" customHeight="1">
      <x:c r="A964" s="22" t="n">
        <x:v>960</x:v>
      </x:c>
      <x:c r="B964" s="22" t="str">
        <x:v>递归首杀前存在可达来源</x:v>
      </x:c>
      <x:c r="C964" s="22" t="str">
        <x:v>通过</x:v>
      </x:c>
      <x:c r="D964" s="22" t="str">
        <x:v>C05-SYN-ZD-01:辉石碎晶</x:v>
      </x:c>
    </x:row>
    <x:row r="965" ht="24" customHeight="1">
      <x:c r="A965" s="22" t="n">
        <x:v>961</x:v>
      </x:c>
      <x:c r="B965" s="22" t="str">
        <x:v>递归首杀前存在可达来源</x:v>
      </x:c>
      <x:c r="C965" s="22" t="str">
        <x:v>通过</x:v>
      </x:c>
      <x:c r="D965" s="22" t="str">
        <x:v>C05-SYN-ZD-01:满月王室印</x:v>
      </x:c>
    </x:row>
    <x:row r="966" ht="24" customHeight="1">
      <x:c r="A966" s="22" t="n">
        <x:v>962</x:v>
      </x:c>
      <x:c r="B966" s="22" t="str">
        <x:v>递归首杀前存在可达来源</x:v>
      </x:c>
      <x:c r="C966" s="22" t="str">
        <x:v>通过</x:v>
      </x:c>
      <x:c r="D966" s="22" t="str">
        <x:v>C06-SYN-ZD-01:长戟寅虎</x:v>
      </x:c>
    </x:row>
    <x:row r="967" ht="24" customHeight="1">
      <x:c r="A967" s="22" t="n">
        <x:v>963</x:v>
      </x:c>
      <x:c r="B967" s="22" t="str">
        <x:v>递归首杀前存在可达来源</x:v>
      </x:c>
      <x:c r="C967" s="22" t="str">
        <x:v>通过</x:v>
      </x:c>
      <x:c r="D967" s="22" t="str">
        <x:v>C06-SYN-ZD-01:阿格纳龙牙</x:v>
      </x:c>
    </x:row>
    <x:row r="968" ht="24" customHeight="1">
      <x:c r="A968" s="22" t="n">
        <x:v>964</x:v>
      </x:c>
      <x:c r="B968" s="22" t="str">
        <x:v>递归首杀前存在可达来源</x:v>
      </x:c>
      <x:c r="C968" s="22" t="str">
        <x:v>通过</x:v>
      </x:c>
      <x:c r="D968" s="22" t="str">
        <x:v>C06-SYN-ZD-01:猩红矿渣</x:v>
      </x:c>
    </x:row>
    <x:row r="969" ht="24" customHeight="1">
      <x:c r="A969" s="22" t="n">
        <x:v>965</x:v>
      </x:c>
      <x:c r="B969" s="22" t="str">
        <x:v>递归首杀前存在可达来源</x:v>
      </x:c>
      <x:c r="C969" s="22" t="str">
        <x:v>通过</x:v>
      </x:c>
      <x:c r="D969" s="22" t="str">
        <x:v>C06-SYN-ZD-01:红狮战印</x:v>
      </x:c>
    </x:row>
    <x:row r="970" ht="24" customHeight="1">
      <x:c r="A970" s="22" t="n">
        <x:v>966</x:v>
      </x:c>
      <x:c r="B970" s="22" t="str">
        <x:v>递归首杀前存在可达来源</x:v>
      </x:c>
      <x:c r="C970" s="22" t="str">
        <x:v>通过</x:v>
      </x:c>
      <x:c r="D970" s="22" t="str">
        <x:v>C07-SYN-ZD-01:葬日未羊</x:v>
      </x:c>
    </x:row>
    <x:row r="971" ht="24" customHeight="1">
      <x:c r="A971" s="22" t="n">
        <x:v>967</x:v>
      </x:c>
      <x:c r="B971" s="22" t="str">
        <x:v>递归首杀前存在可达来源</x:v>
      </x:c>
      <x:c r="C971" s="22" t="str">
        <x:v>通过</x:v>
      </x:c>
      <x:c r="D971" s="22" t="str">
        <x:v>C07-SYN-ZD-01:芙蕾冰冠</x:v>
      </x:c>
    </x:row>
    <x:row r="972" ht="24" customHeight="1">
      <x:c r="A972" s="22" t="n">
        <x:v>968</x:v>
      </x:c>
      <x:c r="B972" s="22" t="str">
        <x:v>递归首杀前存在可达来源</x:v>
      </x:c>
      <x:c r="C972" s="22" t="str">
        <x:v>通过</x:v>
      </x:c>
      <x:c r="D972" s="22" t="str">
        <x:v>C07-SYN-ZD-01:冻晶尘</x:v>
      </x:c>
    </x:row>
    <x:row r="973" ht="24" customHeight="1">
      <x:c r="A973" s="22" t="n">
        <x:v>969</x:v>
      </x:c>
      <x:c r="B973" s="22" t="str">
        <x:v>递归首杀前存在可达来源</x:v>
      </x:c>
      <x:c r="C973" s="22" t="str">
        <x:v>通过</x:v>
      </x:c>
      <x:c r="D973" s="22" t="str">
        <x:v>C07-SYN-ZD-01:圣雪誓印</x:v>
      </x:c>
    </x:row>
    <x:row r="974" ht="24" customHeight="1">
      <x:c r="A974" s="22" t="n">
        <x:v>970</x:v>
      </x:c>
      <x:c r="B974" s="22" t="str">
        <x:v>递归首杀前存在可达来源</x:v>
      </x:c>
      <x:c r="C974" s="22" t="str">
        <x:v>通过</x:v>
      </x:c>
      <x:c r="D974" s="22" t="str">
        <x:v>C08-SYN-ZD-01:死水午马</x:v>
      </x:c>
    </x:row>
    <x:row r="975" ht="24" customHeight="1">
      <x:c r="A975" s="22" t="n">
        <x:v>971</x:v>
      </x:c>
      <x:c r="B975" s="22" t="str">
        <x:v>递归首杀前存在可达来源</x:v>
      </x:c>
      <x:c r="C975" s="22" t="str">
        <x:v>通过</x:v>
      </x:c>
      <x:c r="D975" s="22" t="str">
        <x:v>C08-SYN-ZD-01:赫罗姆凿峰槌</x:v>
      </x:c>
    </x:row>
    <x:row r="976" ht="24" customHeight="1">
      <x:c r="A976" s="22" t="n">
        <x:v>972</x:v>
      </x:c>
      <x:c r="B976" s="22" t="str">
        <x:v>递归首杀前存在可达来源</x:v>
      </x:c>
      <x:c r="C976" s="22" t="str">
        <x:v>通过</x:v>
      </x:c>
      <x:c r="D976" s="22" t="str">
        <x:v>C08-SYN-ZD-01:霜脊铁</x:v>
      </x:c>
    </x:row>
    <x:row r="977" ht="24" customHeight="1">
      <x:c r="A977" s="22" t="n">
        <x:v>973</x:v>
      </x:c>
      <x:c r="B977" s="22" t="str">
        <x:v>递归首杀前存在可达来源</x:v>
      </x:c>
      <x:c r="C977" s="22" t="str">
        <x:v>通过</x:v>
      </x:c>
      <x:c r="D977" s="22" t="str">
        <x:v>C08-SYN-ZD-01:巨人火印</x:v>
      </x:c>
    </x:row>
    <x:row r="978" ht="24" customHeight="1">
      <x:c r="A978" s="22" t="n">
        <x:v>974</x:v>
      </x:c>
      <x:c r="B978" s="22" t="str">
        <x:v>递归首杀前存在可达来源</x:v>
      </x:c>
      <x:c r="C978" s="22" t="str">
        <x:v>通过</x:v>
      </x:c>
      <x:c r="D978" s="22" t="str">
        <x:v>C09-SYN-ZD-01:恶兆酉鸡</x:v>
      </x:c>
    </x:row>
    <x:row r="979" ht="24" customHeight="1">
      <x:c r="A979" s="22" t="n">
        <x:v>975</x:v>
      </x:c>
      <x:c r="B979" s="22" t="str">
        <x:v>递归首杀前存在可达来源</x:v>
      </x:c>
      <x:c r="C979" s="22" t="str">
        <x:v>通过</x:v>
      </x:c>
      <x:c r="D979" s="22" t="str">
        <x:v>C09-SYN-ZD-01:赛维兰裁阳杖</x:v>
      </x:c>
    </x:row>
    <x:row r="980" ht="24" customHeight="1">
      <x:c r="A980" s="22" t="n">
        <x:v>976</x:v>
      </x:c>
      <x:c r="B980" s="22" t="str">
        <x:v>递归首杀前存在可达来源</x:v>
      </x:c>
      <x:c r="C980" s="22" t="str">
        <x:v>通过</x:v>
      </x:c>
      <x:c r="D980" s="22" t="str">
        <x:v>C09-SYN-ZD-01:黄金叶脉</x:v>
      </x:c>
    </x:row>
    <x:row r="981" ht="24" customHeight="1">
      <x:c r="A981" s="22" t="n">
        <x:v>977</x:v>
      </x:c>
      <x:c r="B981" s="22" t="str">
        <x:v>递归首杀前存在可达来源</x:v>
      </x:c>
      <x:c r="C981" s="22" t="str">
        <x:v>通过</x:v>
      </x:c>
      <x:c r="D981" s="22" t="str">
        <x:v>C09-SYN-ZD-01:黄金律印</x:v>
      </x:c>
    </x:row>
    <x:row r="982" ht="24" customHeight="1">
      <x:c r="A982" s="22" t="n">
        <x:v>978</x:v>
      </x:c>
      <x:c r="B982" s="22" t="str">
        <x:v>递归首杀前存在可达来源</x:v>
      </x:c>
      <x:c r="C982" s="22" t="str">
        <x:v>通过</x:v>
      </x:c>
      <x:c r="D982" s="22" t="str">
        <x:v>C10-SYN-ZD-01:失乡戌狗</x:v>
      </x:c>
    </x:row>
    <x:row r="983" ht="24" customHeight="1">
      <x:c r="A983" s="22" t="n">
        <x:v>979</x:v>
      </x:c>
      <x:c r="B983" s="22" t="str">
        <x:v>递归首杀前存在可达来源</x:v>
      </x:c>
      <x:c r="C983" s="22" t="str">
        <x:v>通过</x:v>
      </x:c>
      <x:c r="D983" s="22" t="str">
        <x:v>C10-SYN-ZD-01:返魂寝门盾</x:v>
      </x:c>
    </x:row>
    <x:row r="984" ht="24" customHeight="1">
      <x:c r="A984" s="22" t="n">
        <x:v>980</x:v>
      </x:c>
      <x:c r="B984" s="22" t="str">
        <x:v>递归首杀前存在可达来源</x:v>
      </x:c>
      <x:c r="C984" s="22" t="str">
        <x:v>通过</x:v>
      </x:c>
      <x:c r="D984" s="22" t="str">
        <x:v>C10-SYN-ZD-01:王城金屑</x:v>
      </x:c>
    </x:row>
    <x:row r="985" ht="24" customHeight="1">
      <x:c r="A985" s="22" t="n">
        <x:v>981</x:v>
      </x:c>
      <x:c r="B985" s="22" t="str">
        <x:v>递归首杀前存在可达来源</x:v>
      </x:c>
      <x:c r="C985" s="22" t="str">
        <x:v>通过</x:v>
      </x:c>
      <x:c r="D985" s="22" t="str">
        <x:v>C10-SYN-ZD-01:艾尔登王印</x:v>
      </x:c>
    </x:row>
    <x:row r="986" ht="24" customHeight="1">
      <x:c r="A986" s="22" t="n">
        <x:v>982</x:v>
      </x:c>
      <x:c r="B986" s="22" t="str">
        <x:v>递归首杀前存在可达来源</x:v>
      </x:c>
      <x:c r="C986" s="22" t="str">
        <x:v>通过</x:v>
      </x:c>
      <x:c r="D986" s="22" t="str">
        <x:v>C01-SYN-TT-01:漂流大陆印记</x:v>
      </x:c>
    </x:row>
    <x:row r="987" ht="24" customHeight="1">
      <x:c r="A987" s="22" t="n">
        <x:v>983</x:v>
      </x:c>
      <x:c r="B987" s="22" t="str">
        <x:v>递归首杀前存在可达来源</x:v>
      </x:c>
      <x:c r="C987" s="22" t="str">
        <x:v>通过</x:v>
      </x:c>
      <x:c r="D987" s="22" t="str">
        <x:v>C01-SYN-TT-01:漂流见证·潮</x:v>
      </x:c>
    </x:row>
    <x:row r="988" ht="24" customHeight="1">
      <x:c r="A988" s="22" t="n">
        <x:v>984</x:v>
      </x:c>
      <x:c r="B988" s="22" t="str">
        <x:v>递归首杀前存在可达来源</x:v>
      </x:c>
      <x:c r="C988" s="22" t="str">
        <x:v>通过</x:v>
      </x:c>
      <x:c r="D988" s="22" t="str">
        <x:v>C01-SYN-TT-01:漂流见证·雷</x:v>
      </x:c>
    </x:row>
    <x:row r="989" ht="24" customHeight="1">
      <x:c r="A989" s="22" t="n">
        <x:v>985</x:v>
      </x:c>
      <x:c r="B989" s="22" t="str">
        <x:v>递归首杀前存在可达来源</x:v>
      </x:c>
      <x:c r="C989" s="22" t="str">
        <x:v>通过</x:v>
      </x:c>
      <x:c r="D989" s="22" t="str">
        <x:v>C03-SYN-TT-01:西境战旗</x:v>
      </x:c>
    </x:row>
    <x:row r="990" ht="24" customHeight="1">
      <x:c r="A990" s="22" t="n">
        <x:v>986</x:v>
      </x:c>
      <x:c r="B990" s="22" t="str">
        <x:v>递归首杀前存在可达来源</x:v>
      </x:c>
      <x:c r="C990" s="22" t="str">
        <x:v>通过</x:v>
      </x:c>
      <x:c r="D990" s="22" t="str">
        <x:v>C03-SYN-TT-01:西境战旗印</x:v>
      </x:c>
    </x:row>
    <x:row r="991" ht="24" customHeight="1">
      <x:c r="A991" s="22" t="n">
        <x:v>987</x:v>
      </x:c>
      <x:c r="B991" s="22" t="str">
        <x:v>递归首杀前存在可达来源</x:v>
      </x:c>
      <x:c r="C991" s="22" t="str">
        <x:v>通过</x:v>
      </x:c>
      <x:c r="D991" s="22" t="str">
        <x:v>C03-SYN-TT-01:守垒铜钥</x:v>
      </x:c>
    </x:row>
    <x:row r="992" ht="24" customHeight="1">
      <x:c r="A992" s="22" t="n">
        <x:v>988</x:v>
      </x:c>
      <x:c r="B992" s="22" t="str">
        <x:v>递归首杀前存在可达来源</x:v>
      </x:c>
      <x:c r="C992" s="22" t="str">
        <x:v>通过</x:v>
      </x:c>
      <x:c r="D992" s="22" t="str">
        <x:v>C05-SYN-TT-01:卡利亚月露</x:v>
      </x:c>
    </x:row>
    <x:row r="993" ht="24" customHeight="1">
      <x:c r="A993" s="22" t="n">
        <x:v>989</x:v>
      </x:c>
      <x:c r="B993" s="22" t="str">
        <x:v>递归首杀前存在可达来源</x:v>
      </x:c>
      <x:c r="C993" s="22" t="str">
        <x:v>通过</x:v>
      </x:c>
      <x:c r="D993" s="22" t="str">
        <x:v>C05-SYN-TT-01:满月王室印</x:v>
      </x:c>
    </x:row>
    <x:row r="994" ht="24" customHeight="1">
      <x:c r="A994" s="22" t="n">
        <x:v>990</x:v>
      </x:c>
      <x:c r="B994" s="22" t="str">
        <x:v>递归首杀前存在可达来源</x:v>
      </x:c>
      <x:c r="C994" s="22" t="str">
        <x:v>通过</x:v>
      </x:c>
      <x:c r="D994" s="22" t="str">
        <x:v>C05-SYN-TT-01:月蚀镜片</x:v>
      </x:c>
    </x:row>
    <x:row r="995" ht="24" customHeight="1">
      <x:c r="A995" s="22" t="n">
        <x:v>991</x:v>
      </x:c>
      <x:c r="B995" s="22" t="str">
        <x:v>递归首杀前存在可达来源</x:v>
      </x:c>
      <x:c r="C995" s="22" t="str">
        <x:v>通过</x:v>
      </x:c>
      <x:c r="D995" s="22" t="str">
        <x:v>C07-SYN-TT-01:白金纺线</x:v>
      </x:c>
    </x:row>
    <x:row r="996" ht="24" customHeight="1">
      <x:c r="A996" s="22" t="n">
        <x:v>992</x:v>
      </x:c>
      <x:c r="B996" s="22" t="str">
        <x:v>递归首杀前存在可达来源</x:v>
      </x:c>
      <x:c r="C996" s="22" t="str">
        <x:v>通过</x:v>
      </x:c>
      <x:c r="D996" s="22" t="str">
        <x:v>C07-SYN-TT-01:圣雪誓印</x:v>
      </x:c>
    </x:row>
    <x:row r="997" ht="24" customHeight="1">
      <x:c r="A997" s="22" t="n">
        <x:v>993</x:v>
      </x:c>
      <x:c r="B997" s="22" t="str">
        <x:v>递归首杀前存在可达来源</x:v>
      </x:c>
      <x:c r="C997" s="22" t="str">
        <x:v>通过</x:v>
      </x:c>
      <x:c r="D997" s="22" t="str">
        <x:v>C07-SYN-TT-01:秘树霜芽</x:v>
      </x:c>
    </x:row>
    <x:row r="998" ht="24" customHeight="1">
      <x:c r="A998" s="22" t="n">
        <x:v>994</x:v>
      </x:c>
      <x:c r="B998" s="22" t="str">
        <x:v>递归首杀前存在可达来源</x:v>
      </x:c>
      <x:c r="C998" s="22" t="str">
        <x:v>通过</x:v>
      </x:c>
      <x:c r="D998" s="22" t="str">
        <x:v>C09-SYN-TT-01:古王律页</x:v>
      </x:c>
    </x:row>
    <x:row r="999" ht="24" customHeight="1">
      <x:c r="A999" s="22" t="n">
        <x:v>995</x:v>
      </x:c>
      <x:c r="B999" s="22" t="str">
        <x:v>递归首杀前存在可达来源</x:v>
      </x:c>
      <x:c r="C999" s="22" t="str">
        <x:v>通过</x:v>
      </x:c>
      <x:c r="D999" s="22" t="str">
        <x:v>C09-SYN-TT-01:黄金律印</x:v>
      </x:c>
    </x:row>
    <x:row r="1000" ht="24" customHeight="1">
      <x:c r="A1000" s="22" t="n">
        <x:v>996</x:v>
      </x:c>
      <x:c r="B1000" s="22" t="str">
        <x:v>递归首杀前存在可达来源</x:v>
      </x:c>
      <x:c r="C1000" s="22" t="str">
        <x:v>通过</x:v>
      </x:c>
      <x:c r="D1000" s="22" t="str">
        <x:v>C09-SYN-TT-01:裁文蜡封</x:v>
      </x:c>
    </x:row>
    <x:row r="1001" ht="24" customHeight="1">
      <x:c r="A1001" s="22" t="n">
        <x:v>997</x:v>
      </x:c>
      <x:c r="B1001" s="22" t="str">
        <x:v>递归首杀前存在可达来源</x:v>
      </x:c>
      <x:c r="C1001" s="22" t="str">
        <x:v>通过</x:v>
      </x:c>
      <x:c r="D1001" s="22" t="str">
        <x:v>C10-SYN-TT-01:王宫律文</x:v>
      </x:c>
    </x:row>
    <x:row r="1002" ht="24" customHeight="1">
      <x:c r="A1002" s="22" t="n">
        <x:v>998</x:v>
      </x:c>
      <x:c r="B1002" s="22" t="str">
        <x:v>递归首杀前存在可达来源</x:v>
      </x:c>
      <x:c r="C1002" s="22" t="str">
        <x:v>通过</x:v>
      </x:c>
      <x:c r="D1002" s="22" t="str">
        <x:v>C10-SYN-TT-01:艾尔登王印</x:v>
      </x:c>
    </x:row>
    <x:row r="1003" ht="24" customHeight="1">
      <x:c r="A1003" s="22" t="n">
        <x:v>999</x:v>
      </x:c>
      <x:c r="B1003" s="22" t="str">
        <x:v>递归首杀前存在可达来源</x:v>
      </x:c>
      <x:c r="C1003" s="22" t="str">
        <x:v>通过</x:v>
      </x:c>
      <x:c r="D1003" s="22" t="str">
        <x:v>C10-SYN-TT-01:失温熔炉楔</x:v>
      </x:c>
    </x:row>
    <x:row r="1004" ht="24" customHeight="1">
      <x:c r="A1004" s="22" t="n">
        <x:v>1000</x:v>
      </x:c>
      <x:c r="B1004" s="22" t="str">
        <x:v>递归首杀前存在可达来源</x:v>
      </x:c>
      <x:c r="C1004" s="22" t="str">
        <x:v>通过</x:v>
      </x:c>
      <x:c r="D1004" s="22" t="str">
        <x:v>C02-AOE-LV1:雷冠申猴</x:v>
      </x:c>
    </x:row>
    <x:row r="1005" ht="24" customHeight="1">
      <x:c r="A1005" s="22" t="n">
        <x:v>1001</x:v>
      </x:c>
      <x:c r="B1005" s="22" t="str">
        <x:v>递归首杀前存在可达来源</x:v>
      </x:c>
      <x:c r="C1005" s="22" t="str">
        <x:v>通过</x:v>
      </x:c>
      <x:c r="D1005" s="22" t="str">
        <x:v>C02-AOE-LV1:风暴石片</x:v>
      </x:c>
    </x:row>
    <x:row r="1006" ht="24" customHeight="1">
      <x:c r="A1006" s="22" t="n">
        <x:v>1002</x:v>
      </x:c>
      <x:c r="B1006" s="22" t="str">
        <x:v>递归首杀前存在可达来源</x:v>
      </x:c>
      <x:c r="C1006" s="22" t="str">
        <x:v>通过</x:v>
      </x:c>
      <x:c r="D1006" s="22" t="str">
        <x:v>C02-AOE-LV1:黄金树芽</x:v>
      </x:c>
    </x:row>
    <x:row r="1007" ht="24" customHeight="1">
      <x:c r="A1007" s="22" t="n">
        <x:v>1003</x:v>
      </x:c>
      <x:c r="B1007" s="22" t="str">
        <x:v>递归首杀前存在可达来源</x:v>
      </x:c>
      <x:c r="C1007" s="22" t="str">
        <x:v>通过</x:v>
      </x:c>
      <x:c r="D1007" s="22" t="str">
        <x:v>C02-AOE-LV1:接肢王印</x:v>
      </x:c>
    </x:row>
    <x:row r="1008" ht="24" customHeight="1">
      <x:c r="A1008" s="22" t="n">
        <x:v>1004</x:v>
      </x:c>
      <x:c r="B1008" s="22" t="str">
        <x:v>递归首杀前存在可达来源</x:v>
      </x:c>
      <x:c r="C1008" s="22" t="str">
        <x:v>通过</x:v>
      </x:c>
      <x:c r="D1008" s="22" t="str">
        <x:v>C03-AOE-LV2:群星之核LV1</x:v>
      </x:c>
    </x:row>
    <x:row r="1009" ht="24" customHeight="1">
      <x:c r="A1009" s="22" t="n">
        <x:v>1005</x:v>
      </x:c>
      <x:c r="B1009" s="22" t="str">
        <x:v>递归首杀前存在可达来源</x:v>
      </x:c>
      <x:c r="C1009" s="22" t="str">
        <x:v>通过</x:v>
      </x:c>
      <x:c r="D1009" s="22" t="str">
        <x:v>C03-AOE-LV2:风蚀铁片</x:v>
      </x:c>
    </x:row>
    <x:row r="1010" ht="24" customHeight="1">
      <x:c r="A1010" s="22" t="n">
        <x:v>1006</x:v>
      </x:c>
      <x:c r="B1010" s="22" t="str">
        <x:v>递归首杀前存在可达来源</x:v>
      </x:c>
      <x:c r="C1010" s="22" t="str">
        <x:v>通过</x:v>
      </x:c>
      <x:c r="D1010" s="22" t="str">
        <x:v>C03-AOE-LV2:裂风崖羽</x:v>
      </x:c>
    </x:row>
    <x:row r="1011" ht="24" customHeight="1">
      <x:c r="A1011" s="22" t="n">
        <x:v>1007</x:v>
      </x:c>
      <x:c r="B1011" s="22" t="str">
        <x:v>递归首杀前存在可达来源</x:v>
      </x:c>
      <x:c r="C1011" s="22" t="str">
        <x:v>通过</x:v>
      </x:c>
      <x:c r="D1011" s="22" t="str">
        <x:v>C03-AOE-LV2:西境战旗印</x:v>
      </x:c>
    </x:row>
    <x:row r="1012" ht="24" customHeight="1">
      <x:c r="A1012" s="22" t="n">
        <x:v>1008</x:v>
      </x:c>
      <x:c r="B1012" s="22" t="str">
        <x:v>递归首杀前存在可达来源</x:v>
      </x:c>
      <x:c r="C1012" s="22" t="str">
        <x:v>通过</x:v>
      </x:c>
      <x:c r="D1012" s="22" t="str">
        <x:v>C05-AOE-LV3:群星之核LV2</x:v>
      </x:c>
    </x:row>
    <x:row r="1013" ht="24" customHeight="1">
      <x:c r="A1013" s="22" t="n">
        <x:v>1009</x:v>
      </x:c>
      <x:c r="B1013" s="22" t="str">
        <x:v>递归首杀前存在可达来源</x:v>
      </x:c>
      <x:c r="C1013" s="22" t="str">
        <x:v>通过</x:v>
      </x:c>
      <x:c r="D1013" s="22" t="str">
        <x:v>C05-AOE-LV3:辉石碎晶</x:v>
      </x:c>
    </x:row>
    <x:row r="1014" ht="24" customHeight="1">
      <x:c r="A1014" s="22" t="n">
        <x:v>1010</x:v>
      </x:c>
      <x:c r="B1014" s="22" t="str">
        <x:v>递归首杀前存在可达来源</x:v>
      </x:c>
      <x:c r="C1014" s="22" t="str">
        <x:v>通过</x:v>
      </x:c>
      <x:c r="D1014" s="22" t="str">
        <x:v>C05-AOE-LV3:雾月星砂</x:v>
      </x:c>
    </x:row>
    <x:row r="1015" ht="24" customHeight="1">
      <x:c r="A1015" s="22" t="n">
        <x:v>1011</x:v>
      </x:c>
      <x:c r="B1015" s="22" t="str">
        <x:v>递归首杀前存在可达来源</x:v>
      </x:c>
      <x:c r="C1015" s="22" t="str">
        <x:v>通过</x:v>
      </x:c>
      <x:c r="D1015" s="22" t="str">
        <x:v>C05-AOE-LV3:满月王室印</x:v>
      </x:c>
    </x:row>
    <x:row r="1016" ht="24" customHeight="1">
      <x:c r="A1016" s="22" t="n">
        <x:v>1012</x:v>
      </x:c>
      <x:c r="B1016" s="22" t="str">
        <x:v>递归首杀前存在可达来源</x:v>
      </x:c>
      <x:c r="C1016" s="22" t="str">
        <x:v>通过</x:v>
      </x:c>
      <x:c r="D1016" s="22" t="str">
        <x:v>C07-AOE-LV4:群星之核LV3</x:v>
      </x:c>
    </x:row>
    <x:row r="1017" ht="24" customHeight="1">
      <x:c r="A1017" s="22" t="n">
        <x:v>1013</x:v>
      </x:c>
      <x:c r="B1017" s="22" t="str">
        <x:v>递归首杀前存在可达来源</x:v>
      </x:c>
      <x:c r="C1017" s="22" t="str">
        <x:v>通过</x:v>
      </x:c>
      <x:c r="D1017" s="22" t="str">
        <x:v>C07-AOE-LV4:冻晶尘</x:v>
      </x:c>
    </x:row>
    <x:row r="1018" ht="24" customHeight="1">
      <x:c r="A1018" s="22" t="n">
        <x:v>1014</x:v>
      </x:c>
      <x:c r="B1018" s="22" t="str">
        <x:v>递归首杀前存在可达来源</x:v>
      </x:c>
      <x:c r="C1018" s="22" t="str">
        <x:v>通过</x:v>
      </x:c>
      <x:c r="D1018" s="22" t="str">
        <x:v>C07-AOE-LV4:秘树霜芽</x:v>
      </x:c>
    </x:row>
    <x:row r="1019" ht="24" customHeight="1">
      <x:c r="A1019" s="22" t="n">
        <x:v>1015</x:v>
      </x:c>
      <x:c r="B1019" s="22" t="str">
        <x:v>递归首杀前存在可达来源</x:v>
      </x:c>
      <x:c r="C1019" s="22" t="str">
        <x:v>通过</x:v>
      </x:c>
      <x:c r="D1019" s="22" t="str">
        <x:v>C07-AOE-LV4:圣雪誓印</x:v>
      </x:c>
    </x:row>
    <x:row r="1020" ht="24" customHeight="1">
      <x:c r="A1020" s="22" t="n">
        <x:v>1016</x:v>
      </x:c>
      <x:c r="B1020" s="22" t="str">
        <x:v>递归首杀前存在可达来源</x:v>
      </x:c>
      <x:c r="C1020" s="22" t="str">
        <x:v>通过</x:v>
      </x:c>
      <x:c r="D1020" s="22" t="str">
        <x:v>C09-AOE-LV5:群星之核LV4</x:v>
      </x:c>
    </x:row>
    <x:row r="1021" ht="24" customHeight="1">
      <x:c r="A1021" s="22" t="n">
        <x:v>1017</x:v>
      </x:c>
      <x:c r="B1021" s="22" t="str">
        <x:v>递归首杀前存在可达来源</x:v>
      </x:c>
      <x:c r="C1021" s="22" t="str">
        <x:v>通过</x:v>
      </x:c>
      <x:c r="D1021" s="22" t="str">
        <x:v>C09-AOE-LV5:黄金叶脉</x:v>
      </x:c>
    </x:row>
    <x:row r="1022" ht="24" customHeight="1">
      <x:c r="A1022" s="22" t="n">
        <x:v>1018</x:v>
      </x:c>
      <x:c r="B1022" s="22" t="str">
        <x:v>递归首杀前存在可达来源</x:v>
      </x:c>
      <x:c r="C1022" s="22" t="str">
        <x:v>通过</x:v>
      </x:c>
      <x:c r="D1022" s="22" t="str">
        <x:v>C09-AOE-LV5:裁文蜡封</x:v>
      </x:c>
    </x:row>
    <x:row r="1023" ht="24" customHeight="1">
      <x:c r="A1023" s="22" t="n">
        <x:v>1019</x:v>
      </x:c>
      <x:c r="B1023" s="22" t="str">
        <x:v>递归首杀前存在可达来源</x:v>
      </x:c>
      <x:c r="C1023" s="22" t="str">
        <x:v>通过</x:v>
      </x:c>
      <x:c r="D1023" s="22" t="str">
        <x:v>C09-AOE-LV5:黄金律印</x:v>
      </x:c>
    </x:row>
    <x:row r="1024" ht="24" customHeight="1">
      <x:c r="A1024" s="22" t="n">
        <x:v>1020</x:v>
      </x:c>
      <x:c r="B1024" s="22" t="str">
        <x:v>递归首杀前存在可达来源</x:v>
      </x:c>
      <x:c r="C1024" s="22" t="str">
        <x:v>通过</x:v>
      </x:c>
      <x:c r="D1024" s="22" t="str">
        <x:v>C04-REBIRTH-01:湖盐结晶</x:v>
      </x:c>
    </x:row>
    <x:row r="1025" ht="24" customHeight="1">
      <x:c r="A1025" s="22" t="n">
        <x:v>1021</x:v>
      </x:c>
      <x:c r="B1025" s="22" t="str">
        <x:v>递归首杀前存在可达来源</x:v>
      </x:c>
      <x:c r="C1025" s="22" t="str">
        <x:v>通过</x:v>
      </x:c>
      <x:c r="D1025" s="22" t="str">
        <x:v>C04-REBIRTH-01:雾潮银鳞</x:v>
      </x:c>
    </x:row>
    <x:row r="1026" ht="24" customHeight="1">
      <x:c r="A1026" s="22" t="n">
        <x:v>1022</x:v>
      </x:c>
      <x:c r="B1026" s="22" t="str">
        <x:v>递归首杀前存在可达来源</x:v>
      </x:c>
      <x:c r="C1026" s="22" t="str">
        <x:v>通过</x:v>
      </x:c>
      <x:c r="D1026" s="22" t="str">
        <x:v>C04-REBIRTH-01:幽船铆钉</x:v>
      </x:c>
    </x:row>
    <x:row r="1027" ht="24" customHeight="1">
      <x:c r="A1027" s="22" t="n">
        <x:v>1023</x:v>
      </x:c>
      <x:c r="B1027" s="22" t="str">
        <x:v>递归首杀前存在可达来源</x:v>
      </x:c>
      <x:c r="C1027" s="22" t="str">
        <x:v>通过</x:v>
      </x:c>
      <x:c r="D1027" s="22" t="str">
        <x:v>C04-REBIRTH-01:沉湖王印</x:v>
      </x:c>
    </x:row>
    <x:row r="1028" ht="24" customHeight="1">
      <x:c r="A1028" s="22" t="n">
        <x:v>1024</x:v>
      </x:c>
      <x:c r="B1028" s="22" t="str">
        <x:v>递归首杀前存在可达来源</x:v>
      </x:c>
      <x:c r="C1028" s="22" t="str">
        <x:v>通过</x:v>
      </x:c>
      <x:c r="D1028" s="22" t="str">
        <x:v>C04-REBIRTH-01:小卢恩</x:v>
      </x:c>
    </x:row>
    <x:row r="1029" ht="24" customHeight="1">
      <x:c r="A1029" s="22" t="n">
        <x:v>1025</x:v>
      </x:c>
      <x:c r="B1029" s="22" t="str">
        <x:v>递归首杀前存在可达来源</x:v>
      </x:c>
      <x:c r="C1029" s="22" t="str">
        <x:v>通过</x:v>
      </x:c>
      <x:c r="D1029" s="22" t="str">
        <x:v>C04-REBIRTH-02:湖盐结晶</x:v>
      </x:c>
    </x:row>
    <x:row r="1030" ht="24" customHeight="1">
      <x:c r="A1030" s="22" t="n">
        <x:v>1026</x:v>
      </x:c>
      <x:c r="B1030" s="22" t="str">
        <x:v>递归首杀前存在可达来源</x:v>
      </x:c>
      <x:c r="C1030" s="22" t="str">
        <x:v>通过</x:v>
      </x:c>
      <x:c r="D1030" s="22" t="str">
        <x:v>C04-REBIRTH-02:雾潮银鳞</x:v>
      </x:c>
    </x:row>
    <x:row r="1031" ht="24" customHeight="1">
      <x:c r="A1031" s="22" t="n">
        <x:v>1027</x:v>
      </x:c>
      <x:c r="B1031" s="22" t="str">
        <x:v>递归首杀前存在可达来源</x:v>
      </x:c>
      <x:c r="C1031" s="22" t="str">
        <x:v>通过</x:v>
      </x:c>
      <x:c r="D1031" s="22" t="str">
        <x:v>C04-REBIRTH-02:幽船铆钉</x:v>
      </x:c>
    </x:row>
    <x:row r="1032" ht="24" customHeight="1">
      <x:c r="A1032" s="22" t="n">
        <x:v>1028</x:v>
      </x:c>
      <x:c r="B1032" s="22" t="str">
        <x:v>递归首杀前存在可达来源</x:v>
      </x:c>
      <x:c r="C1032" s="22" t="str">
        <x:v>通过</x:v>
      </x:c>
      <x:c r="D1032" s="22" t="str">
        <x:v>C04-REBIRTH-02:沉湖王印</x:v>
      </x:c>
    </x:row>
    <x:row r="1033" ht="24" customHeight="1">
      <x:c r="A1033" s="22" t="n">
        <x:v>1029</x:v>
      </x:c>
      <x:c r="B1033" s="22" t="str">
        <x:v>递归首杀前存在可达来源</x:v>
      </x:c>
      <x:c r="C1033" s="22" t="str">
        <x:v>通过</x:v>
      </x:c>
      <x:c r="D1033" s="22" t="str">
        <x:v>C04-REBIRTH-02:小卢恩</x:v>
      </x:c>
    </x:row>
    <x:row r="1034" ht="24" customHeight="1">
      <x:c r="A1034" s="22" t="n">
        <x:v>1030</x:v>
      </x:c>
      <x:c r="B1034" s="22" t="str">
        <x:v>递归首杀前存在可达来源</x:v>
      </x:c>
      <x:c r="C1034" s="22" t="str">
        <x:v>通过</x:v>
      </x:c>
      <x:c r="D1034" s="22" t="str">
        <x:v>C04-REBIRTH-03:湖盐结晶</x:v>
      </x:c>
    </x:row>
    <x:row r="1035" ht="24" customHeight="1">
      <x:c r="A1035" s="22" t="n">
        <x:v>1031</x:v>
      </x:c>
      <x:c r="B1035" s="22" t="str">
        <x:v>递归首杀前存在可达来源</x:v>
      </x:c>
      <x:c r="C1035" s="22" t="str">
        <x:v>通过</x:v>
      </x:c>
      <x:c r="D1035" s="22" t="str">
        <x:v>C04-REBIRTH-03:雾潮银鳞</x:v>
      </x:c>
    </x:row>
    <x:row r="1036" ht="24" customHeight="1">
      <x:c r="A1036" s="22" t="n">
        <x:v>1032</x:v>
      </x:c>
      <x:c r="B1036" s="22" t="str">
        <x:v>递归首杀前存在可达来源</x:v>
      </x:c>
      <x:c r="C1036" s="22" t="str">
        <x:v>通过</x:v>
      </x:c>
      <x:c r="D1036" s="22" t="str">
        <x:v>C04-REBIRTH-03:幽船铆钉</x:v>
      </x:c>
    </x:row>
    <x:row r="1037" ht="24" customHeight="1">
      <x:c r="A1037" s="22" t="n">
        <x:v>1033</x:v>
      </x:c>
      <x:c r="B1037" s="22" t="str">
        <x:v>递归首杀前存在可达来源</x:v>
      </x:c>
      <x:c r="C1037" s="22" t="str">
        <x:v>通过</x:v>
      </x:c>
      <x:c r="D1037" s="22" t="str">
        <x:v>C04-REBIRTH-03:沉湖王印</x:v>
      </x:c>
    </x:row>
    <x:row r="1038" ht="24" customHeight="1">
      <x:c r="A1038" s="22" t="n">
        <x:v>1034</x:v>
      </x:c>
      <x:c r="B1038" s="22" t="str">
        <x:v>递归首杀前存在可达来源</x:v>
      </x:c>
      <x:c r="C1038" s="22" t="str">
        <x:v>通过</x:v>
      </x:c>
      <x:c r="D1038" s="22" t="str">
        <x:v>C04-REBIRTH-03:小卢恩</x:v>
      </x:c>
    </x:row>
    <x:row r="1039" ht="24" customHeight="1">
      <x:c r="A1039" s="22" t="n">
        <x:v>1035</x:v>
      </x:c>
      <x:c r="B1039" s="22" t="str">
        <x:v>递归首杀前存在可达来源</x:v>
      </x:c>
      <x:c r="C1039" s="22" t="str">
        <x:v>通过</x:v>
      </x:c>
      <x:c r="D1039" s="22" t="str">
        <x:v>C04-REBIRTH-04:湖盐结晶</x:v>
      </x:c>
    </x:row>
    <x:row r="1040" ht="24" customHeight="1">
      <x:c r="A1040" s="22" t="n">
        <x:v>1036</x:v>
      </x:c>
      <x:c r="B1040" s="22" t="str">
        <x:v>递归首杀前存在可达来源</x:v>
      </x:c>
      <x:c r="C1040" s="22" t="str">
        <x:v>通过</x:v>
      </x:c>
      <x:c r="D1040" s="22" t="str">
        <x:v>C04-REBIRTH-04:雾潮银鳞</x:v>
      </x:c>
    </x:row>
    <x:row r="1041" ht="24" customHeight="1">
      <x:c r="A1041" s="22" t="n">
        <x:v>1037</x:v>
      </x:c>
      <x:c r="B1041" s="22" t="str">
        <x:v>递归首杀前存在可达来源</x:v>
      </x:c>
      <x:c r="C1041" s="22" t="str">
        <x:v>通过</x:v>
      </x:c>
      <x:c r="D1041" s="22" t="str">
        <x:v>C04-REBIRTH-04:幽船铆钉</x:v>
      </x:c>
    </x:row>
    <x:row r="1042" ht="24" customHeight="1">
      <x:c r="A1042" s="22" t="n">
        <x:v>1038</x:v>
      </x:c>
      <x:c r="B1042" s="22" t="str">
        <x:v>递归首杀前存在可达来源</x:v>
      </x:c>
      <x:c r="C1042" s="22" t="str">
        <x:v>通过</x:v>
      </x:c>
      <x:c r="D1042" s="22" t="str">
        <x:v>C04-REBIRTH-04:沉湖王印</x:v>
      </x:c>
    </x:row>
    <x:row r="1043" ht="24" customHeight="1">
      <x:c r="A1043" s="22" t="n">
        <x:v>1039</x:v>
      </x:c>
      <x:c r="B1043" s="22" t="str">
        <x:v>递归首杀前存在可达来源</x:v>
      </x:c>
      <x:c r="C1043" s="22" t="str">
        <x:v>通过</x:v>
      </x:c>
      <x:c r="D1043" s="22" t="str">
        <x:v>C04-REBIRTH-04:小卢恩</x:v>
      </x:c>
    </x:row>
    <x:row r="1044" ht="24" customHeight="1">
      <x:c r="A1044" s="22" t="n">
        <x:v>1040</x:v>
      </x:c>
      <x:c r="B1044" s="22" t="str">
        <x:v>递归首杀前存在可达来源</x:v>
      </x:c>
      <x:c r="C1044" s="22" t="str">
        <x:v>通过</x:v>
      </x:c>
      <x:c r="D1044" s="22" t="str">
        <x:v>C04-REBIRTH-05:湖盐结晶</x:v>
      </x:c>
    </x:row>
    <x:row r="1045" ht="24" customHeight="1">
      <x:c r="A1045" s="22" t="n">
        <x:v>1041</x:v>
      </x:c>
      <x:c r="B1045" s="22" t="str">
        <x:v>递归首杀前存在可达来源</x:v>
      </x:c>
      <x:c r="C1045" s="22" t="str">
        <x:v>通过</x:v>
      </x:c>
      <x:c r="D1045" s="22" t="str">
        <x:v>C04-REBIRTH-05:雾潮银鳞</x:v>
      </x:c>
    </x:row>
    <x:row r="1046" ht="24" customHeight="1">
      <x:c r="A1046" s="22" t="n">
        <x:v>1042</x:v>
      </x:c>
      <x:c r="B1046" s="22" t="str">
        <x:v>递归首杀前存在可达来源</x:v>
      </x:c>
      <x:c r="C1046" s="22" t="str">
        <x:v>通过</x:v>
      </x:c>
      <x:c r="D1046" s="22" t="str">
        <x:v>C04-REBIRTH-05:幽船铆钉</x:v>
      </x:c>
    </x:row>
    <x:row r="1047" ht="24" customHeight="1">
      <x:c r="A1047" s="22" t="n">
        <x:v>1043</x:v>
      </x:c>
      <x:c r="B1047" s="22" t="str">
        <x:v>递归首杀前存在可达来源</x:v>
      </x:c>
      <x:c r="C1047" s="22" t="str">
        <x:v>通过</x:v>
      </x:c>
      <x:c r="D1047" s="22" t="str">
        <x:v>C04-REBIRTH-05:沉湖王印</x:v>
      </x:c>
    </x:row>
    <x:row r="1048" ht="24" customHeight="1">
      <x:c r="A1048" s="22" t="n">
        <x:v>1044</x:v>
      </x:c>
      <x:c r="B1048" s="22" t="str">
        <x:v>递归首杀前存在可达来源</x:v>
      </x:c>
      <x:c r="C1048" s="22" t="str">
        <x:v>通过</x:v>
      </x:c>
      <x:c r="D1048" s="22" t="str">
        <x:v>C04-REBIRTH-05:小卢恩</x:v>
      </x:c>
    </x:row>
    <x:row r="1049" ht="24" customHeight="1">
      <x:c r="A1049" s="22" t="n">
        <x:v>1045</x:v>
      </x:c>
      <x:c r="B1049" s="22" t="str">
        <x:v>递归首杀前存在可达来源</x:v>
      </x:c>
      <x:c r="C1049" s="22" t="str">
        <x:v>通过</x:v>
      </x:c>
      <x:c r="D1049" s="22" t="str">
        <x:v>C06-REBIRTH-06:猩红矿渣</x:v>
      </x:c>
    </x:row>
    <x:row r="1050" ht="24" customHeight="1">
      <x:c r="A1050" s="22" t="n">
        <x:v>1046</x:v>
      </x:c>
      <x:c r="B1050" s="22" t="str">
        <x:v>递归首杀前存在可达来源</x:v>
      </x:c>
      <x:c r="C1050" s="22" t="str">
        <x:v>通过</x:v>
      </x:c>
      <x:c r="D1050" s="22" t="str">
        <x:v>C06-REBIRTH-06:净火腺囊</x:v>
      </x:c>
    </x:row>
    <x:row r="1051" ht="24" customHeight="1">
      <x:c r="A1051" s="22" t="n">
        <x:v>1047</x:v>
      </x:c>
      <x:c r="B1051" s="22" t="str">
        <x:v>递归首杀前存在可达来源</x:v>
      </x:c>
      <x:c r="C1051" s="22" t="str">
        <x:v>通过</x:v>
      </x:c>
      <x:c r="D1051" s="22" t="str">
        <x:v>C06-REBIRTH-06:龙火鳞</x:v>
      </x:c>
    </x:row>
    <x:row r="1052" ht="24" customHeight="1">
      <x:c r="A1052" s="22" t="n">
        <x:v>1048</x:v>
      </x:c>
      <x:c r="B1052" s="22" t="str">
        <x:v>递归首杀前存在可达来源</x:v>
      </x:c>
      <x:c r="C1052" s="22" t="str">
        <x:v>通过</x:v>
      </x:c>
      <x:c r="D1052" s="22" t="str">
        <x:v>C06-REBIRTH-06:红狮战印</x:v>
      </x:c>
    </x:row>
    <x:row r="1053" ht="24" customHeight="1">
      <x:c r="A1053" s="22" t="n">
        <x:v>1049</x:v>
      </x:c>
      <x:c r="B1053" s="22" t="str">
        <x:v>递归首杀前存在可达来源</x:v>
      </x:c>
      <x:c r="C1053" s="22" t="str">
        <x:v>通过</x:v>
      </x:c>
      <x:c r="D1053" s="22" t="str">
        <x:v>C06-REBIRTH-06:大卢恩</x:v>
      </x:c>
    </x:row>
    <x:row r="1054" ht="24" customHeight="1">
      <x:c r="A1054" s="22" t="n">
        <x:v>1050</x:v>
      </x:c>
      <x:c r="B1054" s="22" t="str">
        <x:v>递归首杀前存在可达来源</x:v>
      </x:c>
      <x:c r="C1054" s="22" t="str">
        <x:v>通过</x:v>
      </x:c>
      <x:c r="D1054" s="22" t="str">
        <x:v>C06-REBIRTH-07:猩红矿渣</x:v>
      </x:c>
    </x:row>
    <x:row r="1055" ht="24" customHeight="1">
      <x:c r="A1055" s="22" t="n">
        <x:v>1051</x:v>
      </x:c>
      <x:c r="B1055" s="22" t="str">
        <x:v>递归首杀前存在可达来源</x:v>
      </x:c>
      <x:c r="C1055" s="22" t="str">
        <x:v>通过</x:v>
      </x:c>
      <x:c r="D1055" s="22" t="str">
        <x:v>C06-REBIRTH-07:净火腺囊</x:v>
      </x:c>
    </x:row>
    <x:row r="1056" ht="24" customHeight="1">
      <x:c r="A1056" s="22" t="n">
        <x:v>1052</x:v>
      </x:c>
      <x:c r="B1056" s="22" t="str">
        <x:v>递归首杀前存在可达来源</x:v>
      </x:c>
      <x:c r="C1056" s="22" t="str">
        <x:v>通过</x:v>
      </x:c>
      <x:c r="D1056" s="22" t="str">
        <x:v>C06-REBIRTH-07:龙火鳞</x:v>
      </x:c>
    </x:row>
    <x:row r="1057" ht="24" customHeight="1">
      <x:c r="A1057" s="22" t="n">
        <x:v>1053</x:v>
      </x:c>
      <x:c r="B1057" s="22" t="str">
        <x:v>递归首杀前存在可达来源</x:v>
      </x:c>
      <x:c r="C1057" s="22" t="str">
        <x:v>通过</x:v>
      </x:c>
      <x:c r="D1057" s="22" t="str">
        <x:v>C06-REBIRTH-07:红狮战印</x:v>
      </x:c>
    </x:row>
    <x:row r="1058" ht="24" customHeight="1">
      <x:c r="A1058" s="22" t="n">
        <x:v>1054</x:v>
      </x:c>
      <x:c r="B1058" s="22" t="str">
        <x:v>递归首杀前存在可达来源</x:v>
      </x:c>
      <x:c r="C1058" s="22" t="str">
        <x:v>通过</x:v>
      </x:c>
      <x:c r="D1058" s="22" t="str">
        <x:v>C06-REBIRTH-07:大卢恩</x:v>
      </x:c>
    </x:row>
    <x:row r="1059" ht="24" customHeight="1">
      <x:c r="A1059" s="22" t="n">
        <x:v>1055</x:v>
      </x:c>
      <x:c r="B1059" s="22" t="str">
        <x:v>递归首杀前存在可达来源</x:v>
      </x:c>
      <x:c r="C1059" s="22" t="str">
        <x:v>通过</x:v>
      </x:c>
      <x:c r="D1059" s="22" t="str">
        <x:v>C06-REBIRTH-08:猩红矿渣</x:v>
      </x:c>
    </x:row>
    <x:row r="1060" ht="24" customHeight="1">
      <x:c r="A1060" s="22" t="n">
        <x:v>1056</x:v>
      </x:c>
      <x:c r="B1060" s="22" t="str">
        <x:v>递归首杀前存在可达来源</x:v>
      </x:c>
      <x:c r="C1060" s="22" t="str">
        <x:v>通过</x:v>
      </x:c>
      <x:c r="D1060" s="22" t="str">
        <x:v>C06-REBIRTH-08:净火腺囊</x:v>
      </x:c>
    </x:row>
    <x:row r="1061" ht="24" customHeight="1">
      <x:c r="A1061" s="22" t="n">
        <x:v>1057</x:v>
      </x:c>
      <x:c r="B1061" s="22" t="str">
        <x:v>递归首杀前存在可达来源</x:v>
      </x:c>
      <x:c r="C1061" s="22" t="str">
        <x:v>通过</x:v>
      </x:c>
      <x:c r="D1061" s="22" t="str">
        <x:v>C06-REBIRTH-08:龙火鳞</x:v>
      </x:c>
    </x:row>
    <x:row r="1062" ht="24" customHeight="1">
      <x:c r="A1062" s="22" t="n">
        <x:v>1058</x:v>
      </x:c>
      <x:c r="B1062" s="22" t="str">
        <x:v>递归首杀前存在可达来源</x:v>
      </x:c>
      <x:c r="C1062" s="22" t="str">
        <x:v>通过</x:v>
      </x:c>
      <x:c r="D1062" s="22" t="str">
        <x:v>C06-REBIRTH-08:红狮战印</x:v>
      </x:c>
    </x:row>
    <x:row r="1063" ht="24" customHeight="1">
      <x:c r="A1063" s="22" t="n">
        <x:v>1059</x:v>
      </x:c>
      <x:c r="B1063" s="22" t="str">
        <x:v>递归首杀前存在可达来源</x:v>
      </x:c>
      <x:c r="C1063" s="22" t="str">
        <x:v>通过</x:v>
      </x:c>
      <x:c r="D1063" s="22" t="str">
        <x:v>C06-REBIRTH-08:大卢恩</x:v>
      </x:c>
    </x:row>
    <x:row r="1064" ht="24" customHeight="1">
      <x:c r="A1064" s="22" t="n">
        <x:v>1060</x:v>
      </x:c>
      <x:c r="B1064" s="22" t="str">
        <x:v>递归首杀前存在可达来源</x:v>
      </x:c>
      <x:c r="C1064" s="22" t="str">
        <x:v>通过</x:v>
      </x:c>
      <x:c r="D1064" s="22" t="str">
        <x:v>C06-REBIRTH-09:猩红矿渣</x:v>
      </x:c>
    </x:row>
    <x:row r="1065" ht="24" customHeight="1">
      <x:c r="A1065" s="22" t="n">
        <x:v>1061</x:v>
      </x:c>
      <x:c r="B1065" s="22" t="str">
        <x:v>递归首杀前存在可达来源</x:v>
      </x:c>
      <x:c r="C1065" s="22" t="str">
        <x:v>通过</x:v>
      </x:c>
      <x:c r="D1065" s="22" t="str">
        <x:v>C06-REBIRTH-09:净火腺囊</x:v>
      </x:c>
    </x:row>
    <x:row r="1066" ht="24" customHeight="1">
      <x:c r="A1066" s="22" t="n">
        <x:v>1062</x:v>
      </x:c>
      <x:c r="B1066" s="22" t="str">
        <x:v>递归首杀前存在可达来源</x:v>
      </x:c>
      <x:c r="C1066" s="22" t="str">
        <x:v>通过</x:v>
      </x:c>
      <x:c r="D1066" s="22" t="str">
        <x:v>C06-REBIRTH-09:龙火鳞</x:v>
      </x:c>
    </x:row>
    <x:row r="1067" ht="24" customHeight="1">
      <x:c r="A1067" s="22" t="n">
        <x:v>1063</x:v>
      </x:c>
      <x:c r="B1067" s="22" t="str">
        <x:v>递归首杀前存在可达来源</x:v>
      </x:c>
      <x:c r="C1067" s="22" t="str">
        <x:v>通过</x:v>
      </x:c>
      <x:c r="D1067" s="22" t="str">
        <x:v>C06-REBIRTH-09:红狮战印</x:v>
      </x:c>
    </x:row>
    <x:row r="1068" ht="24" customHeight="1">
      <x:c r="A1068" s="22" t="n">
        <x:v>1064</x:v>
      </x:c>
      <x:c r="B1068" s="22" t="str">
        <x:v>递归首杀前存在可达来源</x:v>
      </x:c>
      <x:c r="C1068" s="22" t="str">
        <x:v>通过</x:v>
      </x:c>
      <x:c r="D1068" s="22" t="str">
        <x:v>C06-REBIRTH-09:大卢恩</x:v>
      </x:c>
    </x:row>
    <x:row r="1069" ht="24" customHeight="1">
      <x:c r="A1069" s="22" t="n">
        <x:v>1065</x:v>
      </x:c>
      <x:c r="B1069" s="22" t="str">
        <x:v>递归首杀前存在可达来源</x:v>
      </x:c>
      <x:c r="C1069" s="22" t="str">
        <x:v>通过</x:v>
      </x:c>
      <x:c r="D1069" s="22" t="str">
        <x:v>C06-REBIRTH-10:猩红矿渣</x:v>
      </x:c>
    </x:row>
    <x:row r="1070" ht="24" customHeight="1">
      <x:c r="A1070" s="22" t="n">
        <x:v>1066</x:v>
      </x:c>
      <x:c r="B1070" s="22" t="str">
        <x:v>递归首杀前存在可达来源</x:v>
      </x:c>
      <x:c r="C1070" s="22" t="str">
        <x:v>通过</x:v>
      </x:c>
      <x:c r="D1070" s="22" t="str">
        <x:v>C06-REBIRTH-10:净火腺囊</x:v>
      </x:c>
    </x:row>
    <x:row r="1071" ht="24" customHeight="1">
      <x:c r="A1071" s="22" t="n">
        <x:v>1067</x:v>
      </x:c>
      <x:c r="B1071" s="22" t="str">
        <x:v>递归首杀前存在可达来源</x:v>
      </x:c>
      <x:c r="C1071" s="22" t="str">
        <x:v>通过</x:v>
      </x:c>
      <x:c r="D1071" s="22" t="str">
        <x:v>C06-REBIRTH-10:龙火鳞</x:v>
      </x:c>
    </x:row>
    <x:row r="1072" ht="24" customHeight="1">
      <x:c r="A1072" s="22" t="n">
        <x:v>1068</x:v>
      </x:c>
      <x:c r="B1072" s="22" t="str">
        <x:v>递归首杀前存在可达来源</x:v>
      </x:c>
      <x:c r="C1072" s="22" t="str">
        <x:v>通过</x:v>
      </x:c>
      <x:c r="D1072" s="22" t="str">
        <x:v>C06-REBIRTH-10:红狮战印</x:v>
      </x:c>
    </x:row>
    <x:row r="1073" ht="24" customHeight="1">
      <x:c r="A1073" s="22" t="n">
        <x:v>1069</x:v>
      </x:c>
      <x:c r="B1073" s="22" t="str">
        <x:v>递归首杀前存在可达来源</x:v>
      </x:c>
      <x:c r="C1073" s="22" t="str">
        <x:v>通过</x:v>
      </x:c>
      <x:c r="D1073" s="22" t="str">
        <x:v>C06-REBIRTH-10:大卢恩</x:v>
      </x:c>
    </x:row>
    <x:row r="1074" ht="24" customHeight="1">
      <x:c r="A1074" s="22" t="n">
        <x:v>1070</x:v>
      </x:c>
      <x:c r="B1074" s="22" t="str">
        <x:v>递归首杀前存在可达来源</x:v>
      </x:c>
      <x:c r="C1074" s="22" t="str">
        <x:v>通过</x:v>
      </x:c>
      <x:c r="D1074" s="22" t="str">
        <x:v>C08-REBIRTH-11:霜脊铁</x:v>
      </x:c>
    </x:row>
    <x:row r="1075" ht="24" customHeight="1">
      <x:c r="A1075" s="22" t="n">
        <x:v>1071</x:v>
      </x:c>
      <x:c r="B1075" s="22" t="str">
        <x:v>递归首杀前存在可达来源</x:v>
      </x:c>
      <x:c r="C1075" s="22" t="str">
        <x:v>通过</x:v>
      </x:c>
      <x:c r="D1075" s="22" t="str">
        <x:v>C08-REBIRTH-11:裂峰号角片</x:v>
      </x:c>
    </x:row>
    <x:row r="1076" ht="24" customHeight="1">
      <x:c r="A1076" s="22" t="n">
        <x:v>1072</x:v>
      </x:c>
      <x:c r="B1076" s="22" t="str">
        <x:v>递归首杀前存在可达来源</x:v>
      </x:c>
      <x:c r="C1076" s="22" t="str">
        <x:v>通过</x:v>
      </x:c>
      <x:c r="D1076" s="22" t="str">
        <x:v>C08-REBIRTH-11:巨人火种</x:v>
      </x:c>
    </x:row>
    <x:row r="1077" ht="24" customHeight="1">
      <x:c r="A1077" s="22" t="n">
        <x:v>1073</x:v>
      </x:c>
      <x:c r="B1077" s="22" t="str">
        <x:v>递归首杀前存在可达来源</x:v>
      </x:c>
      <x:c r="C1077" s="22" t="str">
        <x:v>通过</x:v>
      </x:c>
      <x:c r="D1077" s="22" t="str">
        <x:v>C08-REBIRTH-11:巨人火印</x:v>
      </x:c>
    </x:row>
    <x:row r="1078" ht="24" customHeight="1">
      <x:c r="A1078" s="22" t="n">
        <x:v>1074</x:v>
      </x:c>
      <x:c r="B1078" s="22" t="str">
        <x:v>递归首杀前存在可达来源</x:v>
      </x:c>
      <x:c r="C1078" s="22" t="str">
        <x:v>通过</x:v>
      </x:c>
      <x:c r="D1078" s="22" t="str">
        <x:v>C08-REBIRTH-11:巨人熔火卢恩</x:v>
      </x:c>
    </x:row>
    <x:row r="1079" ht="24" customHeight="1">
      <x:c r="A1079" s="22" t="n">
        <x:v>1075</x:v>
      </x:c>
      <x:c r="B1079" s="22" t="str">
        <x:v>递归首杀前存在可达来源</x:v>
      </x:c>
      <x:c r="C1079" s="22" t="str">
        <x:v>通过</x:v>
      </x:c>
      <x:c r="D1079" s="22" t="str">
        <x:v>C08-REBIRTH-12:霜脊铁</x:v>
      </x:c>
    </x:row>
    <x:row r="1080" ht="24" customHeight="1">
      <x:c r="A1080" s="22" t="n">
        <x:v>1076</x:v>
      </x:c>
      <x:c r="B1080" s="22" t="str">
        <x:v>递归首杀前存在可达来源</x:v>
      </x:c>
      <x:c r="C1080" s="22" t="str">
        <x:v>通过</x:v>
      </x:c>
      <x:c r="D1080" s="22" t="str">
        <x:v>C08-REBIRTH-12:裂峰号角片</x:v>
      </x:c>
    </x:row>
    <x:row r="1081" ht="24" customHeight="1">
      <x:c r="A1081" s="22" t="n">
        <x:v>1077</x:v>
      </x:c>
      <x:c r="B1081" s="22" t="str">
        <x:v>递归首杀前存在可达来源</x:v>
      </x:c>
      <x:c r="C1081" s="22" t="str">
        <x:v>通过</x:v>
      </x:c>
      <x:c r="D1081" s="22" t="str">
        <x:v>C08-REBIRTH-12:巨人火种</x:v>
      </x:c>
    </x:row>
    <x:row r="1082" ht="24" customHeight="1">
      <x:c r="A1082" s="22" t="n">
        <x:v>1078</x:v>
      </x:c>
      <x:c r="B1082" s="22" t="str">
        <x:v>递归首杀前存在可达来源</x:v>
      </x:c>
      <x:c r="C1082" s="22" t="str">
        <x:v>通过</x:v>
      </x:c>
      <x:c r="D1082" s="22" t="str">
        <x:v>C08-REBIRTH-12:巨人火印</x:v>
      </x:c>
    </x:row>
    <x:row r="1083" ht="24" customHeight="1">
      <x:c r="A1083" s="22" t="n">
        <x:v>1079</x:v>
      </x:c>
      <x:c r="B1083" s="22" t="str">
        <x:v>递归首杀前存在可达来源</x:v>
      </x:c>
      <x:c r="C1083" s="22" t="str">
        <x:v>通过</x:v>
      </x:c>
      <x:c r="D1083" s="22" t="str">
        <x:v>C08-REBIRTH-12:巨人熔火卢恩</x:v>
      </x:c>
    </x:row>
    <x:row r="1084" ht="24" customHeight="1">
      <x:c r="A1084" s="22" t="n">
        <x:v>1080</x:v>
      </x:c>
      <x:c r="B1084" s="22" t="str">
        <x:v>递归首杀前存在可达来源</x:v>
      </x:c>
      <x:c r="C1084" s="22" t="str">
        <x:v>通过</x:v>
      </x:c>
      <x:c r="D1084" s="22" t="str">
        <x:v>C08-REBIRTH-13:霜脊铁</x:v>
      </x:c>
    </x:row>
    <x:row r="1085" ht="24" customHeight="1">
      <x:c r="A1085" s="22" t="n">
        <x:v>1081</x:v>
      </x:c>
      <x:c r="B1085" s="22" t="str">
        <x:v>递归首杀前存在可达来源</x:v>
      </x:c>
      <x:c r="C1085" s="22" t="str">
        <x:v>通过</x:v>
      </x:c>
      <x:c r="D1085" s="22" t="str">
        <x:v>C08-REBIRTH-13:裂峰号角片</x:v>
      </x:c>
    </x:row>
    <x:row r="1086" ht="24" customHeight="1">
      <x:c r="A1086" s="22" t="n">
        <x:v>1082</x:v>
      </x:c>
      <x:c r="B1086" s="22" t="str">
        <x:v>递归首杀前存在可达来源</x:v>
      </x:c>
      <x:c r="C1086" s="22" t="str">
        <x:v>通过</x:v>
      </x:c>
      <x:c r="D1086" s="22" t="str">
        <x:v>C08-REBIRTH-13:巨人火种</x:v>
      </x:c>
    </x:row>
    <x:row r="1087" ht="24" customHeight="1">
      <x:c r="A1087" s="22" t="n">
        <x:v>1083</x:v>
      </x:c>
      <x:c r="B1087" s="22" t="str">
        <x:v>递归首杀前存在可达来源</x:v>
      </x:c>
      <x:c r="C1087" s="22" t="str">
        <x:v>通过</x:v>
      </x:c>
      <x:c r="D1087" s="22" t="str">
        <x:v>C08-REBIRTH-13:巨人火印</x:v>
      </x:c>
    </x:row>
    <x:row r="1088" ht="24" customHeight="1">
      <x:c r="A1088" s="22" t="n">
        <x:v>1084</x:v>
      </x:c>
      <x:c r="B1088" s="22" t="str">
        <x:v>递归首杀前存在可达来源</x:v>
      </x:c>
      <x:c r="C1088" s="22" t="str">
        <x:v>通过</x:v>
      </x:c>
      <x:c r="D1088" s="22" t="str">
        <x:v>C08-REBIRTH-13:巨人熔火卢恩</x:v>
      </x:c>
    </x:row>
    <x:row r="1089" ht="24" customHeight="1">
      <x:c r="A1089" s="22" t="n">
        <x:v>1085</x:v>
      </x:c>
      <x:c r="B1089" s="22" t="str">
        <x:v>递归首杀前存在可达来源</x:v>
      </x:c>
      <x:c r="C1089" s="22" t="str">
        <x:v>通过</x:v>
      </x:c>
      <x:c r="D1089" s="22" t="str">
        <x:v>C08-REBIRTH-14:霜脊铁</x:v>
      </x:c>
    </x:row>
    <x:row r="1090" ht="24" customHeight="1">
      <x:c r="A1090" s="22" t="n">
        <x:v>1086</x:v>
      </x:c>
      <x:c r="B1090" s="22" t="str">
        <x:v>递归首杀前存在可达来源</x:v>
      </x:c>
      <x:c r="C1090" s="22" t="str">
        <x:v>通过</x:v>
      </x:c>
      <x:c r="D1090" s="22" t="str">
        <x:v>C08-REBIRTH-14:裂峰号角片</x:v>
      </x:c>
    </x:row>
    <x:row r="1091" ht="24" customHeight="1">
      <x:c r="A1091" s="22" t="n">
        <x:v>1087</x:v>
      </x:c>
      <x:c r="B1091" s="22" t="str">
        <x:v>递归首杀前存在可达来源</x:v>
      </x:c>
      <x:c r="C1091" s="22" t="str">
        <x:v>通过</x:v>
      </x:c>
      <x:c r="D1091" s="22" t="str">
        <x:v>C08-REBIRTH-14:巨人火种</x:v>
      </x:c>
    </x:row>
    <x:row r="1092" ht="24" customHeight="1">
      <x:c r="A1092" s="22" t="n">
        <x:v>1088</x:v>
      </x:c>
      <x:c r="B1092" s="22" t="str">
        <x:v>递归首杀前存在可达来源</x:v>
      </x:c>
      <x:c r="C1092" s="22" t="str">
        <x:v>通过</x:v>
      </x:c>
      <x:c r="D1092" s="22" t="str">
        <x:v>C08-REBIRTH-14:巨人火印</x:v>
      </x:c>
    </x:row>
    <x:row r="1093" ht="24" customHeight="1">
      <x:c r="A1093" s="22" t="n">
        <x:v>1089</x:v>
      </x:c>
      <x:c r="B1093" s="22" t="str">
        <x:v>递归首杀前存在可达来源</x:v>
      </x:c>
      <x:c r="C1093" s="22" t="str">
        <x:v>通过</x:v>
      </x:c>
      <x:c r="D1093" s="22" t="str">
        <x:v>C08-REBIRTH-14:巨人熔火卢恩</x:v>
      </x:c>
    </x:row>
    <x:row r="1094" ht="24" customHeight="1">
      <x:c r="A1094" s="22" t="n">
        <x:v>1090</x:v>
      </x:c>
      <x:c r="B1094" s="22" t="str">
        <x:v>递归首杀前存在可达来源</x:v>
      </x:c>
      <x:c r="C1094" s="22" t="str">
        <x:v>通过</x:v>
      </x:c>
      <x:c r="D1094" s="22" t="str">
        <x:v>C08-REBIRTH-15:霜脊铁</x:v>
      </x:c>
    </x:row>
    <x:row r="1095" ht="24" customHeight="1">
      <x:c r="A1095" s="22" t="n">
        <x:v>1091</x:v>
      </x:c>
      <x:c r="B1095" s="22" t="str">
        <x:v>递归首杀前存在可达来源</x:v>
      </x:c>
      <x:c r="C1095" s="22" t="str">
        <x:v>通过</x:v>
      </x:c>
      <x:c r="D1095" s="22" t="str">
        <x:v>C08-REBIRTH-15:裂峰号角片</x:v>
      </x:c>
    </x:row>
    <x:row r="1096" ht="24" customHeight="1">
      <x:c r="A1096" s="22" t="n">
        <x:v>1092</x:v>
      </x:c>
      <x:c r="B1096" s="22" t="str">
        <x:v>递归首杀前存在可达来源</x:v>
      </x:c>
      <x:c r="C1096" s="22" t="str">
        <x:v>通过</x:v>
      </x:c>
      <x:c r="D1096" s="22" t="str">
        <x:v>C08-REBIRTH-15:巨人火种</x:v>
      </x:c>
    </x:row>
    <x:row r="1097" ht="24" customHeight="1">
      <x:c r="A1097" s="22" t="n">
        <x:v>1093</x:v>
      </x:c>
      <x:c r="B1097" s="22" t="str">
        <x:v>递归首杀前存在可达来源</x:v>
      </x:c>
      <x:c r="C1097" s="22" t="str">
        <x:v>通过</x:v>
      </x:c>
      <x:c r="D1097" s="22" t="str">
        <x:v>C08-REBIRTH-15:巨人火印</x:v>
      </x:c>
    </x:row>
    <x:row r="1098" ht="24" customHeight="1">
      <x:c r="A1098" s="22" t="n">
        <x:v>1094</x:v>
      </x:c>
      <x:c r="B1098" s="22" t="str">
        <x:v>递归首杀前存在可达来源</x:v>
      </x:c>
      <x:c r="C1098" s="22" t="str">
        <x:v>通过</x:v>
      </x:c>
      <x:c r="D1098" s="22" t="str">
        <x:v>C08-REBIRTH-15:巨人熔火卢恩</x:v>
      </x:c>
    </x:row>
    <x:row r="1099" ht="24" customHeight="1">
      <x:c r="A1099" s="22" t="n">
        <x:v>1095</x:v>
      </x:c>
      <x:c r="B1099" s="22" t="str">
        <x:v>递归首杀前存在可达来源</x:v>
      </x:c>
      <x:c r="C1099" s="22" t="str">
        <x:v>通过</x:v>
      </x:c>
      <x:c r="D1099" s="22" t="str">
        <x:v>C10-REBIRTH-16:王城金屑</x:v>
      </x:c>
    </x:row>
    <x:row r="1100" ht="24" customHeight="1">
      <x:c r="A1100" s="22" t="n">
        <x:v>1096</x:v>
      </x:c>
      <x:c r="B1100" s="22" t="str">
        <x:v>递归首杀前存在可达来源</x:v>
      </x:c>
      <x:c r="C1100" s="22" t="str">
        <x:v>通过</x:v>
      </x:c>
      <x:c r="D1100" s="22" t="str">
        <x:v>C10-REBIRTH-16:王宫律文</x:v>
      </x:c>
    </x:row>
    <x:row r="1101" ht="24" customHeight="1">
      <x:c r="A1101" s="22" t="n">
        <x:v>1097</x:v>
      </x:c>
      <x:c r="B1101" s="22" t="str">
        <x:v>递归首杀前存在可达来源</x:v>
      </x:c>
      <x:c r="C1101" s="22" t="str">
        <x:v>通过</x:v>
      </x:c>
      <x:c r="D1101" s="22" t="str">
        <x:v>C10-REBIRTH-16:艾尔登王印</x:v>
      </x:c>
    </x:row>
    <x:row r="1102" ht="24" customHeight="1">
      <x:c r="A1102" s="22" t="n">
        <x:v>1098</x:v>
      </x:c>
      <x:c r="B1102" s="22" t="str">
        <x:v>递归首杀前存在可达来源</x:v>
      </x:c>
      <x:c r="C1102" s="22" t="str">
        <x:v>通过</x:v>
      </x:c>
      <x:c r="D1102" s="22" t="str">
        <x:v>C10-REBIRTH-16:黄金律法卢恩</x:v>
      </x:c>
    </x:row>
    <x:row r="1103" ht="24" customHeight="1">
      <x:c r="A1103" s="22" t="n">
        <x:v>1099</x:v>
      </x:c>
      <x:c r="B1103" s="22" t="str">
        <x:v>递归首杀前存在可达来源</x:v>
      </x:c>
      <x:c r="C1103" s="22" t="str">
        <x:v>通过</x:v>
      </x:c>
      <x:c r="D1103" s="22" t="str">
        <x:v>C10-REBIRTH-16:失温熔炉楔</x:v>
      </x:c>
    </x:row>
    <x:row r="1104" ht="24" customHeight="1">
      <x:c r="A1104" s="22" t="n">
        <x:v>1100</x:v>
      </x:c>
      <x:c r="B1104" s="22" t="str">
        <x:v>递归首杀前存在可达来源</x:v>
      </x:c>
      <x:c r="C1104" s="22" t="str">
        <x:v>通过</x:v>
      </x:c>
      <x:c r="D1104" s="22" t="str">
        <x:v>C10-REBIRTH-17:王城金屑</x:v>
      </x:c>
    </x:row>
    <x:row r="1105" ht="24" customHeight="1">
      <x:c r="A1105" s="22" t="n">
        <x:v>1101</x:v>
      </x:c>
      <x:c r="B1105" s="22" t="str">
        <x:v>递归首杀前存在可达来源</x:v>
      </x:c>
      <x:c r="C1105" s="22" t="str">
        <x:v>通过</x:v>
      </x:c>
      <x:c r="D1105" s="22" t="str">
        <x:v>C10-REBIRTH-17:王宫律文</x:v>
      </x:c>
    </x:row>
    <x:row r="1106" ht="24" customHeight="1">
      <x:c r="A1106" s="22" t="n">
        <x:v>1102</x:v>
      </x:c>
      <x:c r="B1106" s="22" t="str">
        <x:v>递归首杀前存在可达来源</x:v>
      </x:c>
      <x:c r="C1106" s="22" t="str">
        <x:v>通过</x:v>
      </x:c>
      <x:c r="D1106" s="22" t="str">
        <x:v>C10-REBIRTH-17:艾尔登王印</x:v>
      </x:c>
    </x:row>
    <x:row r="1107" ht="24" customHeight="1">
      <x:c r="A1107" s="22" t="n">
        <x:v>1103</x:v>
      </x:c>
      <x:c r="B1107" s="22" t="str">
        <x:v>递归首杀前存在可达来源</x:v>
      </x:c>
      <x:c r="C1107" s="22" t="str">
        <x:v>通过</x:v>
      </x:c>
      <x:c r="D1107" s="22" t="str">
        <x:v>C10-REBIRTH-17:黄金律法卢恩</x:v>
      </x:c>
    </x:row>
    <x:row r="1108" ht="24" customHeight="1">
      <x:c r="A1108" s="22" t="n">
        <x:v>1104</x:v>
      </x:c>
      <x:c r="B1108" s="22" t="str">
        <x:v>递归首杀前存在可达来源</x:v>
      </x:c>
      <x:c r="C1108" s="22" t="str">
        <x:v>通过</x:v>
      </x:c>
      <x:c r="D1108" s="22" t="str">
        <x:v>C10-REBIRTH-17:失温熔炉楔</x:v>
      </x:c>
    </x:row>
    <x:row r="1109" ht="24" customHeight="1">
      <x:c r="A1109" s="22" t="n">
        <x:v>1105</x:v>
      </x:c>
      <x:c r="B1109" s="22" t="str">
        <x:v>递归首杀前存在可达来源</x:v>
      </x:c>
      <x:c r="C1109" s="22" t="str">
        <x:v>通过</x:v>
      </x:c>
      <x:c r="D1109" s="22" t="str">
        <x:v>C10-REBIRTH-18:王城金屑</x:v>
      </x:c>
    </x:row>
    <x:row r="1110" ht="24" customHeight="1">
      <x:c r="A1110" s="22" t="n">
        <x:v>1106</x:v>
      </x:c>
      <x:c r="B1110" s="22" t="str">
        <x:v>递归首杀前存在可达来源</x:v>
      </x:c>
      <x:c r="C1110" s="22" t="str">
        <x:v>通过</x:v>
      </x:c>
      <x:c r="D1110" s="22" t="str">
        <x:v>C10-REBIRTH-18:王宫律文</x:v>
      </x:c>
    </x:row>
    <x:row r="1111" ht="24" customHeight="1">
      <x:c r="A1111" s="22" t="n">
        <x:v>1107</x:v>
      </x:c>
      <x:c r="B1111" s="22" t="str">
        <x:v>递归首杀前存在可达来源</x:v>
      </x:c>
      <x:c r="C1111" s="22" t="str">
        <x:v>通过</x:v>
      </x:c>
      <x:c r="D1111" s="22" t="str">
        <x:v>C10-REBIRTH-18:艾尔登王印</x:v>
      </x:c>
    </x:row>
    <x:row r="1112" ht="24" customHeight="1">
      <x:c r="A1112" s="22" t="n">
        <x:v>1108</x:v>
      </x:c>
      <x:c r="B1112" s="22" t="str">
        <x:v>递归首杀前存在可达来源</x:v>
      </x:c>
      <x:c r="C1112" s="22" t="str">
        <x:v>通过</x:v>
      </x:c>
      <x:c r="D1112" s="22" t="str">
        <x:v>C10-REBIRTH-18:黄金律法卢恩</x:v>
      </x:c>
    </x:row>
    <x:row r="1113" ht="24" customHeight="1">
      <x:c r="A1113" s="22" t="n">
        <x:v>1109</x:v>
      </x:c>
      <x:c r="B1113" s="22" t="str">
        <x:v>递归首杀前存在可达来源</x:v>
      </x:c>
      <x:c r="C1113" s="22" t="str">
        <x:v>通过</x:v>
      </x:c>
      <x:c r="D1113" s="22" t="str">
        <x:v>C10-REBIRTH-18:失温熔炉楔</x:v>
      </x:c>
    </x:row>
    <x:row r="1114" ht="24" customHeight="1">
      <x:c r="A1114" s="22" t="n">
        <x:v>1110</x:v>
      </x:c>
      <x:c r="B1114" s="22" t="str">
        <x:v>递归首杀前存在可达来源</x:v>
      </x:c>
      <x:c r="C1114" s="22" t="str">
        <x:v>通过</x:v>
      </x:c>
      <x:c r="D1114" s="22" t="str">
        <x:v>C10-REBIRTH-19:王城金屑</x:v>
      </x:c>
    </x:row>
    <x:row r="1115" ht="24" customHeight="1">
      <x:c r="A1115" s="22" t="n">
        <x:v>1111</x:v>
      </x:c>
      <x:c r="B1115" s="22" t="str">
        <x:v>递归首杀前存在可达来源</x:v>
      </x:c>
      <x:c r="C1115" s="22" t="str">
        <x:v>通过</x:v>
      </x:c>
      <x:c r="D1115" s="22" t="str">
        <x:v>C10-REBIRTH-19:王宫律文</x:v>
      </x:c>
    </x:row>
    <x:row r="1116" ht="24" customHeight="1">
      <x:c r="A1116" s="22" t="n">
        <x:v>1112</x:v>
      </x:c>
      <x:c r="B1116" s="22" t="str">
        <x:v>递归首杀前存在可达来源</x:v>
      </x:c>
      <x:c r="C1116" s="22" t="str">
        <x:v>通过</x:v>
      </x:c>
      <x:c r="D1116" s="22" t="str">
        <x:v>C10-REBIRTH-19:艾尔登王印</x:v>
      </x:c>
    </x:row>
    <x:row r="1117" ht="24" customHeight="1">
      <x:c r="A1117" s="22" t="n">
        <x:v>1113</x:v>
      </x:c>
      <x:c r="B1117" s="22" t="str">
        <x:v>递归首杀前存在可达来源</x:v>
      </x:c>
      <x:c r="C1117" s="22" t="str">
        <x:v>通过</x:v>
      </x:c>
      <x:c r="D1117" s="22" t="str">
        <x:v>C10-REBIRTH-19:黄金律法卢恩</x:v>
      </x:c>
    </x:row>
    <x:row r="1118" ht="24" customHeight="1">
      <x:c r="A1118" s="22" t="n">
        <x:v>1114</x:v>
      </x:c>
      <x:c r="B1118" s="22" t="str">
        <x:v>递归首杀前存在可达来源</x:v>
      </x:c>
      <x:c r="C1118" s="22" t="str">
        <x:v>通过</x:v>
      </x:c>
      <x:c r="D1118" s="22" t="str">
        <x:v>C10-REBIRTH-19:失温熔炉楔</x:v>
      </x:c>
    </x:row>
    <x:row r="1119" ht="24" customHeight="1">
      <x:c r="A1119" s="22" t="n">
        <x:v>1115</x:v>
      </x:c>
      <x:c r="B1119" s="22" t="str">
        <x:v>递归首杀前存在可达来源</x:v>
      </x:c>
      <x:c r="C1119" s="22" t="str">
        <x:v>通过</x:v>
      </x:c>
      <x:c r="D1119" s="22" t="str">
        <x:v>C10-REBIRTH-20:王城金屑</x:v>
      </x:c>
    </x:row>
    <x:row r="1120" ht="24" customHeight="1">
      <x:c r="A1120" s="22" t="n">
        <x:v>1116</x:v>
      </x:c>
      <x:c r="B1120" s="22" t="str">
        <x:v>递归首杀前存在可达来源</x:v>
      </x:c>
      <x:c r="C1120" s="22" t="str">
        <x:v>通过</x:v>
      </x:c>
      <x:c r="D1120" s="22" t="str">
        <x:v>C10-REBIRTH-20:王宫律文</x:v>
      </x:c>
    </x:row>
    <x:row r="1121" ht="24" customHeight="1">
      <x:c r="A1121" s="22" t="n">
        <x:v>1117</x:v>
      </x:c>
      <x:c r="B1121" s="22" t="str">
        <x:v>递归首杀前存在可达来源</x:v>
      </x:c>
      <x:c r="C1121" s="22" t="str">
        <x:v>通过</x:v>
      </x:c>
      <x:c r="D1121" s="22" t="str">
        <x:v>C10-REBIRTH-20:艾尔登王印</x:v>
      </x:c>
    </x:row>
    <x:row r="1122" ht="24" customHeight="1">
      <x:c r="A1122" s="22" t="n">
        <x:v>1118</x:v>
      </x:c>
      <x:c r="B1122" s="22" t="str">
        <x:v>递归首杀前存在可达来源</x:v>
      </x:c>
      <x:c r="C1122" s="22" t="str">
        <x:v>通过</x:v>
      </x:c>
      <x:c r="D1122" s="22" t="str">
        <x:v>C10-REBIRTH-20:黄金律法卢恩</x:v>
      </x:c>
    </x:row>
    <x:row r="1123" ht="24" customHeight="1">
      <x:c r="A1123" s="22" t="n">
        <x:v>1119</x:v>
      </x:c>
      <x:c r="B1123" s="22" t="str">
        <x:v>递归首杀前存在可达来源</x:v>
      </x:c>
      <x:c r="C1123" s="22" t="str">
        <x:v>通过</x:v>
      </x:c>
      <x:c r="D1123" s="22" t="str">
        <x:v>C10-REBIRTH-20:失温熔炉楔</x:v>
      </x:c>
    </x:row>
    <x:row r="1124" ht="24" customHeight="1">
      <x:c r="A1124" s="22" t="n">
        <x:v>1120</x:v>
      </x:c>
      <x:c r="B1124" s="22" t="str">
        <x:v>递归首杀前存在可达来源</x:v>
      </x:c>
      <x:c r="C1124" s="22" t="str">
        <x:v>通过</x:v>
      </x:c>
      <x:c r="D1124" s="22" t="str">
        <x:v>C01-LONGTITLE:海蚀铁片</x:v>
      </x:c>
    </x:row>
    <x:row r="1125" ht="24" customHeight="1">
      <x:c r="A1125" s="22" t="n">
        <x:v>1121</x:v>
      </x:c>
      <x:c r="B1125" s="22" t="str">
        <x:v>递归首杀前存在可达来源</x:v>
      </x:c>
      <x:c r="C1125" s="22" t="str">
        <x:v>通过</x:v>
      </x:c>
      <x:c r="D1125" s="22" t="str">
        <x:v>C01-LONGTITLE:漂流大陆印记</x:v>
      </x:c>
    </x:row>
    <x:row r="1126" ht="24" customHeight="1">
      <x:c r="A1126" s="22" t="n">
        <x:v>1122</x:v>
      </x:c>
      <x:c r="B1126" s="22" t="str">
        <x:v>递归首杀前存在可达来源</x:v>
      </x:c>
      <x:c r="C1126" s="22" t="str">
        <x:v>通过</x:v>
      </x:c>
      <x:c r="D1126" s="22" t="str">
        <x:v>C02-LONGTITLE:风暴石片</x:v>
      </x:c>
    </x:row>
    <x:row r="1127" ht="24" customHeight="1">
      <x:c r="A1127" s="22" t="n">
        <x:v>1123</x:v>
      </x:c>
      <x:c r="B1127" s="22" t="str">
        <x:v>递归首杀前存在可达来源</x:v>
      </x:c>
      <x:c r="C1127" s="22" t="str">
        <x:v>通过</x:v>
      </x:c>
      <x:c r="D1127" s="22" t="str">
        <x:v>C02-LONGTITLE:接肢王印</x:v>
      </x:c>
    </x:row>
    <x:row r="1128" ht="24" customHeight="1">
      <x:c r="A1128" s="22" t="n">
        <x:v>1124</x:v>
      </x:c>
      <x:c r="B1128" s="22" t="str">
        <x:v>递归首杀前存在可达来源</x:v>
      </x:c>
      <x:c r="C1128" s="22" t="str">
        <x:v>通过</x:v>
      </x:c>
      <x:c r="D1128" s="22" t="str">
        <x:v>C03-LONGTITLE:风蚀铁片</x:v>
      </x:c>
    </x:row>
    <x:row r="1129" ht="24" customHeight="1">
      <x:c r="A1129" s="22" t="n">
        <x:v>1125</x:v>
      </x:c>
      <x:c r="B1129" s="22" t="str">
        <x:v>递归首杀前存在可达来源</x:v>
      </x:c>
      <x:c r="C1129" s="22" t="str">
        <x:v>通过</x:v>
      </x:c>
      <x:c r="D1129" s="22" t="str">
        <x:v>C03-LONGTITLE:西境战旗印</x:v>
      </x:c>
    </x:row>
    <x:row r="1130" ht="24" customHeight="1">
      <x:c r="A1130" s="22" t="n">
        <x:v>1126</x:v>
      </x:c>
      <x:c r="B1130" s="22" t="str">
        <x:v>递归首杀前存在可达来源</x:v>
      </x:c>
      <x:c r="C1130" s="22" t="str">
        <x:v>通过</x:v>
      </x:c>
      <x:c r="D1130" s="22" t="str">
        <x:v>C03-LONGTITLE:商队火漆</x:v>
      </x:c>
    </x:row>
    <x:row r="1131" ht="24" customHeight="1">
      <x:c r="A1131" s="22" t="n">
        <x:v>1127</x:v>
      </x:c>
      <x:c r="B1131" s="22" t="str">
        <x:v>递归首杀前存在可达来源</x:v>
      </x:c>
      <x:c r="C1131" s="22" t="str">
        <x:v>通过</x:v>
      </x:c>
      <x:c r="D1131" s="22" t="str">
        <x:v>C04-LONGTITLE:湖盐结晶</x:v>
      </x:c>
    </x:row>
    <x:row r="1132" ht="24" customHeight="1">
      <x:c r="A1132" s="22" t="n">
        <x:v>1128</x:v>
      </x:c>
      <x:c r="B1132" s="22" t="str">
        <x:v>递归首杀前存在可达来源</x:v>
      </x:c>
      <x:c r="C1132" s="22" t="str">
        <x:v>通过</x:v>
      </x:c>
      <x:c r="D1132" s="22" t="str">
        <x:v>C04-LONGTITLE:沉湖王印</x:v>
      </x:c>
    </x:row>
    <x:row r="1133" ht="24" customHeight="1">
      <x:c r="A1133" s="22" t="n">
        <x:v>1129</x:v>
      </x:c>
      <x:c r="B1133" s="22" t="str">
        <x:v>递归首杀前存在可达来源</x:v>
      </x:c>
      <x:c r="C1133" s="22" t="str">
        <x:v>通过</x:v>
      </x:c>
      <x:c r="D1133" s="22" t="str">
        <x:v>C04-LONGTITLE:沉船缆扣</x:v>
      </x:c>
    </x:row>
    <x:row r="1134" ht="24" customHeight="1">
      <x:c r="A1134" s="22" t="n">
        <x:v>1130</x:v>
      </x:c>
      <x:c r="B1134" s="22" t="str">
        <x:v>递归首杀前存在可达来源</x:v>
      </x:c>
      <x:c r="C1134" s="22" t="str">
        <x:v>通过</x:v>
      </x:c>
      <x:c r="D1134" s="22" t="str">
        <x:v>C05-LONGTITLE:辉石碎晶</x:v>
      </x:c>
    </x:row>
    <x:row r="1135" ht="24" customHeight="1">
      <x:c r="A1135" s="22" t="n">
        <x:v>1131</x:v>
      </x:c>
      <x:c r="B1135" s="22" t="str">
        <x:v>递归首杀前存在可达来源</x:v>
      </x:c>
      <x:c r="C1135" s="22" t="str">
        <x:v>通过</x:v>
      </x:c>
      <x:c r="D1135" s="22" t="str">
        <x:v>C05-LONGTITLE:满月王室印</x:v>
      </x:c>
    </x:row>
    <x:row r="1136" ht="24" customHeight="1">
      <x:c r="A1136" s="22" t="n">
        <x:v>1132</x:v>
      </x:c>
      <x:c r="B1136" s="22" t="str">
        <x:v>递归首杀前存在可达来源</x:v>
      </x:c>
      <x:c r="C1136" s="22" t="str">
        <x:v>通过</x:v>
      </x:c>
      <x:c r="D1136" s="22" t="str">
        <x:v>C05-LONGTITLE:学院封蜡</x:v>
      </x:c>
    </x:row>
    <x:row r="1137" ht="24" customHeight="1">
      <x:c r="A1137" s="22" t="n">
        <x:v>1133</x:v>
      </x:c>
      <x:c r="B1137" s="22" t="str">
        <x:v>递归首杀前存在可达来源</x:v>
      </x:c>
      <x:c r="C1137" s="22" t="str">
        <x:v>通过</x:v>
      </x:c>
      <x:c r="D1137" s="22" t="str">
        <x:v>C06-LONGTITLE:猩红矿渣</x:v>
      </x:c>
    </x:row>
    <x:row r="1138" ht="24" customHeight="1">
      <x:c r="A1138" s="22" t="n">
        <x:v>1134</x:v>
      </x:c>
      <x:c r="B1138" s="22" t="str">
        <x:v>递归首杀前存在可达来源</x:v>
      </x:c>
      <x:c r="C1138" s="22" t="str">
        <x:v>通过</x:v>
      </x:c>
      <x:c r="D1138" s="22" t="str">
        <x:v>C06-LONGTITLE:红狮战印</x:v>
      </x:c>
    </x:row>
    <x:row r="1139" ht="24" customHeight="1">
      <x:c r="A1139" s="22" t="n">
        <x:v>1135</x:v>
      </x:c>
      <x:c r="B1139" s="22" t="str">
        <x:v>递归首杀前存在可达来源</x:v>
      </x:c>
      <x:c r="C1139" s="22" t="str">
        <x:v>通过</x:v>
      </x:c>
      <x:c r="D1139" s="22" t="str">
        <x:v>C06-LONGTITLE:净火腺囊</x:v>
      </x:c>
    </x:row>
    <x:row r="1140" ht="24" customHeight="1">
      <x:c r="A1140" s="22" t="n">
        <x:v>1136</x:v>
      </x:c>
      <x:c r="B1140" s="22" t="str">
        <x:v>递归首杀前存在可达来源</x:v>
      </x:c>
      <x:c r="C1140" s="22" t="str">
        <x:v>通过</x:v>
      </x:c>
      <x:c r="D1140" s="22" t="str">
        <x:v>C07-LONGTITLE:冻晶尘</x:v>
      </x:c>
    </x:row>
    <x:row r="1141" ht="24" customHeight="1">
      <x:c r="A1141" s="22" t="n">
        <x:v>1137</x:v>
      </x:c>
      <x:c r="B1141" s="22" t="str">
        <x:v>递归首杀前存在可达来源</x:v>
      </x:c>
      <x:c r="C1141" s="22" t="str">
        <x:v>通过</x:v>
      </x:c>
      <x:c r="D1141" s="22" t="str">
        <x:v>C07-LONGTITLE:圣雪誓印</x:v>
      </x:c>
    </x:row>
    <x:row r="1142" ht="24" customHeight="1">
      <x:c r="A1142" s="22" t="n">
        <x:v>1138</x:v>
      </x:c>
      <x:c r="B1142" s="22" t="str">
        <x:v>递归首杀前存在可达来源</x:v>
      </x:c>
      <x:c r="C1142" s="22" t="str">
        <x:v>通过</x:v>
      </x:c>
      <x:c r="D1142" s="22" t="str">
        <x:v>C07-LONGTITLE:冻原银角</x:v>
      </x:c>
    </x:row>
    <x:row r="1143" ht="24" customHeight="1">
      <x:c r="A1143" s="22" t="n">
        <x:v>1139</x:v>
      </x:c>
      <x:c r="B1143" s="22" t="str">
        <x:v>递归首杀前存在可达来源</x:v>
      </x:c>
      <x:c r="C1143" s="22" t="str">
        <x:v>通过</x:v>
      </x:c>
      <x:c r="D1143" s="22" t="str">
        <x:v>C08-LONGTITLE:霜脊铁</x:v>
      </x:c>
    </x:row>
    <x:row r="1144" ht="24" customHeight="1">
      <x:c r="A1144" s="22" t="n">
        <x:v>1140</x:v>
      </x:c>
      <x:c r="B1144" s="22" t="str">
        <x:v>递归首杀前存在可达来源</x:v>
      </x:c>
      <x:c r="C1144" s="22" t="str">
        <x:v>通过</x:v>
      </x:c>
      <x:c r="D1144" s="22" t="str">
        <x:v>C08-LONGTITLE:巨人火印</x:v>
      </x:c>
    </x:row>
    <x:row r="1145" ht="24" customHeight="1">
      <x:c r="A1145" s="22" t="n">
        <x:v>1141</x:v>
      </x:c>
      <x:c r="B1145" s="22" t="str">
        <x:v>递归首杀前存在可达来源</x:v>
      </x:c>
      <x:c r="C1145" s="22" t="str">
        <x:v>通过</x:v>
      </x:c>
      <x:c r="D1145" s="22" t="str">
        <x:v>C08-LONGTITLE:裂峰号角片</x:v>
      </x:c>
    </x:row>
    <x:row r="1146" ht="24" customHeight="1">
      <x:c r="A1146" s="22" t="n">
        <x:v>1142</x:v>
      </x:c>
      <x:c r="B1146" s="22" t="str">
        <x:v>递归首杀前存在可达来源</x:v>
      </x:c>
      <x:c r="C1146" s="22" t="str">
        <x:v>通过</x:v>
      </x:c>
      <x:c r="D1146" s="22" t="str">
        <x:v>C09-LONGTITLE:黄金叶脉</x:v>
      </x:c>
    </x:row>
    <x:row r="1147" ht="24" customHeight="1">
      <x:c r="A1147" s="22" t="n">
        <x:v>1143</x:v>
      </x:c>
      <x:c r="B1147" s="22" t="str">
        <x:v>递归首杀前存在可达来源</x:v>
      </x:c>
      <x:c r="C1147" s="22" t="str">
        <x:v>通过</x:v>
      </x:c>
      <x:c r="D1147" s="22" t="str">
        <x:v>C09-LONGTITLE:黄金律印</x:v>
      </x:c>
    </x:row>
    <x:row r="1148" ht="24" customHeight="1">
      <x:c r="A1148" s="22" t="n">
        <x:v>1144</x:v>
      </x:c>
      <x:c r="B1148" s="22" t="str">
        <x:v>递归首杀前存在可达来源</x:v>
      </x:c>
      <x:c r="C1148" s="22" t="str">
        <x:v>通过</x:v>
      </x:c>
      <x:c r="D1148" s="22" t="str">
        <x:v>C09-LONGTITLE:金叶驿票</x:v>
      </x:c>
    </x:row>
    <x:row r="1149" ht="24" customHeight="1">
      <x:c r="A1149" s="22" t="n">
        <x:v>1145</x:v>
      </x:c>
      <x:c r="B1149" s="22" t="str">
        <x:v>递归首杀前存在可达来源</x:v>
      </x:c>
      <x:c r="C1149" s="22" t="str">
        <x:v>通过</x:v>
      </x:c>
      <x:c r="D1149" s="22" t="str">
        <x:v>C09-LONGTITLE:矿脉灯芯</x:v>
      </x:c>
    </x:row>
    <x:row r="1150" ht="24" customHeight="1">
      <x:c r="A1150" s="22" t="n">
        <x:v>1146</x:v>
      </x:c>
      <x:c r="B1150" s="22" t="str">
        <x:v>递归首杀前存在可达来源</x:v>
      </x:c>
      <x:c r="C1150" s="22" t="str">
        <x:v>通过</x:v>
      </x:c>
      <x:c r="D1150" s="22" t="str">
        <x:v>C10-LONGTITLE:王城金屑</x:v>
      </x:c>
    </x:row>
    <x:row r="1151" ht="24" customHeight="1">
      <x:c r="A1151" s="22" t="n">
        <x:v>1147</x:v>
      </x:c>
      <x:c r="B1151" s="22" t="str">
        <x:v>递归首杀前存在可达来源</x:v>
      </x:c>
      <x:c r="C1151" s="22" t="str">
        <x:v>通过</x:v>
      </x:c>
      <x:c r="D1151" s="22" t="str">
        <x:v>C10-LONGTITLE:艾尔登王印</x:v>
      </x:c>
    </x:row>
    <x:row r="1152" ht="24" customHeight="1">
      <x:c r="A1152" s="22" t="n">
        <x:v>1148</x:v>
      </x:c>
      <x:c r="B1152" s="22" t="str">
        <x:v>递归首杀前存在可达来源</x:v>
      </x:c>
      <x:c r="C1152" s="22" t="str">
        <x:v>通过</x:v>
      </x:c>
      <x:c r="D1152" s="22" t="str">
        <x:v>C10-LONGTITLE:旧渠阀芯</x:v>
      </x:c>
    </x:row>
    <x:row r="1153" ht="24" customHeight="1">
      <x:c r="A1153" s="22" t="n">
        <x:v>1149</x:v>
      </x:c>
      <x:c r="B1153" s="22" t="str">
        <x:v>普通换装恢复下一组时间粗校验</x:v>
      </x:c>
      <x:c r="C1153" s="22" t="str">
        <x:v>通过</x:v>
      </x:c>
      <x:c r="D1153" s="22" t="str">
        <x:v>失乡者海岸</x:v>
      </x:c>
    </x:row>
    <x:row r="1154" ht="24" customHeight="1">
      <x:c r="A1154" s="22" t="n">
        <x:v>1150</x:v>
      </x:c>
      <x:c r="B1154" s="22" t="str">
        <x:v>普通换装恢复下一组时间粗校验</x:v>
      </x:c>
      <x:c r="C1154" s="22" t="str">
        <x:v>通过</x:v>
      </x:c>
      <x:c r="D1154" s="22" t="str">
        <x:v>风暴断崖</x:v>
      </x:c>
    </x:row>
    <x:row r="1155" ht="24" customHeight="1">
      <x:c r="A1155" s="22" t="n">
        <x:v>1151</x:v>
      </x:c>
      <x:c r="B1155" s="22" t="str">
        <x:v>普通换装恢复下一组时间粗校验</x:v>
      </x:c>
      <x:c r="C1155" s="22" t="str">
        <x:v>通过</x:v>
      </x:c>
      <x:c r="D1155" s="22" t="str">
        <x:v>沉没王庭</x:v>
      </x:c>
    </x:row>
    <x:row r="1156" ht="24" customHeight="1">
      <x:c r="A1156" s="22" t="n">
        <x:v>1152</x:v>
      </x:c>
      <x:c r="B1156" s="22" t="str">
        <x:v>普通换装恢复下一组时间粗校验</x:v>
      </x:c>
      <x:c r="C1156" s="22" t="str">
        <x:v>通过</x:v>
      </x:c>
      <x:c r="D1156" s="22" t="str">
        <x:v>漂流墓地</x:v>
      </x:c>
    </x:row>
    <x:row r="1157" ht="24" customHeight="1">
      <x:c r="A1157" s="22" t="n">
        <x:v>1153</x:v>
      </x:c>
      <x:c r="B1157" s="22" t="str">
        <x:v>普通换装恢复下一组时间粗校验</x:v>
      </x:c>
      <x:c r="C1157" s="22" t="str">
        <x:v>通过</x:v>
      </x:c>
      <x:c r="D1157" s="22" t="str">
        <x:v>关卡前废墟</x:v>
      </x:c>
    </x:row>
    <x:row r="1158" ht="24" customHeight="1">
      <x:c r="A1158" s="22" t="n">
        <x:v>1154</x:v>
      </x:c>
      <x:c r="B1158" s="22" t="str">
        <x:v>普通换装恢复下一组时间粗校验</x:v>
      </x:c>
      <x:c r="C1158" s="22" t="str">
        <x:v>通过</x:v>
      </x:c>
      <x:c r="D1158" s="22" t="str">
        <x:v>迷雾丛林</x:v>
      </x:c>
    </x:row>
    <x:row r="1159" ht="24" customHeight="1">
      <x:c r="A1159" s="22" t="n">
        <x:v>1155</x:v>
      </x:c>
      <x:c r="B1159" s="22" t="str">
        <x:v>普通换装恢复下一组时间粗校验</x:v>
      </x:c>
      <x:c r="C1159" s="22" t="str">
        <x:v>通过</x:v>
      </x:c>
      <x:c r="D1159" s="22" t="str">
        <x:v>风暴山谷</x:v>
      </x:c>
    </x:row>
    <x:row r="1160" ht="24" customHeight="1">
      <x:c r="A1160" s="22" t="n">
        <x:v>1156</x:v>
      </x:c>
      <x:c r="B1160" s="22" t="str">
        <x:v>普通换装恢复下一组时间粗校验</x:v>
      </x:c>
      <x:c r="C1160" s="22" t="str">
        <x:v>通过</x:v>
      </x:c>
      <x:c r="D1160" s="22" t="str">
        <x:v>史东薇尔王城</x:v>
      </x:c>
    </x:row>
    <x:row r="1161" ht="24" customHeight="1">
      <x:c r="A1161" s="22" t="n">
        <x:v>1157</x:v>
      </x:c>
      <x:c r="B1161" s="22" t="str">
        <x:v>普通换装恢复下一组时间粗校验</x:v>
      </x:c>
      <x:c r="C1161" s="22" t="str">
        <x:v>通过</x:v>
      </x:c>
      <x:c r="D1161" s="22" t="str">
        <x:v>西境荒原</x:v>
      </x:c>
    </x:row>
    <x:row r="1162" ht="24" customHeight="1">
      <x:c r="A1162" s="22" t="n">
        <x:v>1158</x:v>
      </x:c>
      <x:c r="B1162" s="22" t="str">
        <x:v>普通换装恢复下一组时间粗校验</x:v>
      </x:c>
      <x:c r="C1162" s="22" t="str">
        <x:v>通过</x:v>
      </x:c>
      <x:c r="D1162" s="22" t="str">
        <x:v>海风断崖</x:v>
      </x:c>
    </x:row>
    <x:row r="1163" ht="24" customHeight="1">
      <x:c r="A1163" s="22" t="n">
        <x:v>1159</x:v>
      </x:c>
      <x:c r="B1163" s="22" t="str">
        <x:v>普通换装恢复下一组时间粗校验</x:v>
      </x:c>
      <x:c r="C1163" s="22" t="str">
        <x:v>通过</x:v>
      </x:c>
      <x:c r="D1163" s="22" t="str">
        <x:v>失落驿道</x:v>
      </x:c>
    </x:row>
    <x:row r="1164" ht="24" customHeight="1">
      <x:c r="A1164" s="22" t="n">
        <x:v>1160</x:v>
      </x:c>
      <x:c r="B1164" s="22" t="str">
        <x:v>普通换装恢复下一组时间粗校验</x:v>
      </x:c>
      <x:c r="C1164" s="22" t="str">
        <x:v>通过</x:v>
      </x:c>
      <x:c r="D1164" s="22" t="str">
        <x:v>古战场遗迹</x:v>
      </x:c>
    </x:row>
    <x:row r="1165" ht="24" customHeight="1">
      <x:c r="A1165" s="22" t="n">
        <x:v>1161</x:v>
      </x:c>
      <x:c r="B1165" s="22" t="str">
        <x:v>普通换装恢复下一组时间粗校验</x:v>
      </x:c>
      <x:c r="C1165" s="22" t="str">
        <x:v>通过</x:v>
      </x:c>
      <x:c r="D1165" s="22" t="str">
        <x:v>风蚀古垒</x:v>
      </x:c>
    </x:row>
    <x:row r="1166" ht="24" customHeight="1">
      <x:c r="A1166" s="22" t="n">
        <x:v>1162</x:v>
      </x:c>
      <x:c r="B1166" s="22" t="str">
        <x:v>普通换装恢复下一组时间粗校验</x:v>
      </x:c>
      <x:c r="C1166" s="22" t="str">
        <x:v>通过</x:v>
      </x:c>
      <x:c r="D1166" s="22" t="str">
        <x:v>黄金树哨垒</x:v>
      </x:c>
    </x:row>
    <x:row r="1167" ht="24" customHeight="1">
      <x:c r="A1167" s="22" t="n">
        <x:v>1163</x:v>
      </x:c>
      <x:c r="B1167" s="22" t="str">
        <x:v>普通换装恢复下一组时间粗校验</x:v>
      </x:c>
      <x:c r="C1167" s="22" t="str">
        <x:v>通过</x:v>
      </x:c>
      <x:c r="D1167" s="22" t="str">
        <x:v>雾潮湿地</x:v>
      </x:c>
    </x:row>
    <x:row r="1168" ht="24" customHeight="1">
      <x:c r="A1168" s="22" t="n">
        <x:v>1164</x:v>
      </x:c>
      <x:c r="B1168" s="22" t="str">
        <x:v>普通换装恢复下一组时间粗校验</x:v>
      </x:c>
      <x:c r="C1168" s="22" t="str">
        <x:v>通过</x:v>
      </x:c>
      <x:c r="D1168" s="22" t="str">
        <x:v>沉湖遗迹</x:v>
      </x:c>
    </x:row>
    <x:row r="1169" ht="24" customHeight="1">
      <x:c r="A1169" s="22" t="n">
        <x:v>1165</x:v>
      </x:c>
      <x:c r="B1169" s="22" t="str">
        <x:v>普通换装恢复下一组时间粗校验</x:v>
      </x:c>
      <x:c r="C1169" s="22" t="str">
        <x:v>通过</x:v>
      </x:c>
      <x:c r="D1169" s="22" t="str">
        <x:v>湖心沉船</x:v>
      </x:c>
    </x:row>
    <x:row r="1170" ht="24" customHeight="1">
      <x:c r="A1170" s="22" t="n">
        <x:v>1166</x:v>
      </x:c>
      <x:c r="B1170" s="22" t="str">
        <x:v>普通换装恢复下一组时间粗校验</x:v>
      </x:c>
      <x:c r="C1170" s="22" t="str">
        <x:v>通过</x:v>
      </x:c>
      <x:c r="D1170" s="22" t="str">
        <x:v>幽灵船骸</x:v>
      </x:c>
    </x:row>
    <x:row r="1171" ht="24" customHeight="1">
      <x:c r="A1171" s="22" t="n">
        <x:v>1167</x:v>
      </x:c>
      <x:c r="B1171" s="22" t="str">
        <x:v>普通换装恢复下一组时间粗校验</x:v>
      </x:c>
      <x:c r="C1171" s="22" t="str">
        <x:v>通过</x:v>
      </x:c>
      <x:c r="D1171" s="22" t="str">
        <x:v>深湖水道</x:v>
      </x:c>
    </x:row>
    <x:row r="1172" ht="24" customHeight="1">
      <x:c r="A1172" s="22" t="n">
        <x:v>1168</x:v>
      </x:c>
      <x:c r="B1172" s="22" t="str">
        <x:v>普通换装恢复下一组时间粗校验</x:v>
      </x:c>
      <x:c r="C1172" s="22" t="str">
        <x:v>通过</x:v>
      </x:c>
      <x:c r="D1172" s="22" t="str">
        <x:v>湖底密道</x:v>
      </x:c>
    </x:row>
    <x:row r="1173" ht="24" customHeight="1">
      <x:c r="A1173" s="22" t="n">
        <x:v>1169</x:v>
      </x:c>
      <x:c r="B1173" s="22" t="str">
        <x:v>普通换装恢复下一组时间粗校验</x:v>
      </x:c>
      <x:c r="C1173" s="22" t="str">
        <x:v>通过</x:v>
      </x:c>
      <x:c r="D1173" s="22" t="str">
        <x:v>雾月水庭</x:v>
      </x:c>
    </x:row>
    <x:row r="1174" ht="24" customHeight="1">
      <x:c r="A1174" s="22" t="n">
        <x:v>1170</x:v>
      </x:c>
      <x:c r="B1174" s="22" t="str">
        <x:v>普通换装恢复下一组时间粗校验</x:v>
      </x:c>
      <x:c r="C1174" s="22" t="str">
        <x:v>通过</x:v>
      </x:c>
      <x:c r="D1174" s="22" t="str">
        <x:v>辉石遗迹</x:v>
      </x:c>
    </x:row>
    <x:row r="1175" ht="24" customHeight="1">
      <x:c r="A1175" s="22" t="n">
        <x:v>1171</x:v>
      </x:c>
      <x:c r="B1175" s="22" t="str">
        <x:v>普通换装恢复下一组时间粗校验</x:v>
      </x:c>
      <x:c r="C1175" s="22" t="str">
        <x:v>通过</x:v>
      </x:c>
      <x:c r="D1175" s="22" t="str">
        <x:v>学院回廊</x:v>
      </x:c>
    </x:row>
    <x:row r="1176" ht="24" customHeight="1">
      <x:c r="A1176" s="22" t="n">
        <x:v>1172</x:v>
      </x:c>
      <x:c r="B1176" s="22" t="str">
        <x:v>普通换装恢复下一组时间粗校验</x:v>
      </x:c>
      <x:c r="C1176" s="22" t="str">
        <x:v>通过</x:v>
      </x:c>
      <x:c r="D1176" s="22" t="str">
        <x:v>满月书库</x:v>
      </x:c>
    </x:row>
    <x:row r="1177" ht="24" customHeight="1">
      <x:c r="A1177" s="22" t="n">
        <x:v>1173</x:v>
      </x:c>
      <x:c r="B1177" s="22" t="str">
        <x:v>普通换装恢复下一组时间粗校验</x:v>
      </x:c>
      <x:c r="C1177" s="22" t="str">
        <x:v>通过</x:v>
      </x:c>
      <x:c r="D1177" s="22" t="str">
        <x:v>月影水宫</x:v>
      </x:c>
    </x:row>
    <x:row r="1178" ht="24" customHeight="1">
      <x:c r="A1178" s="22" t="n">
        <x:v>1174</x:v>
      </x:c>
      <x:c r="B1178" s="22" t="str">
        <x:v>普通换装恢复下一组时间粗校验</x:v>
      </x:c>
      <x:c r="C1178" s="22" t="str">
        <x:v>通过</x:v>
      </x:c>
      <x:c r="D1178" s="22" t="str">
        <x:v>卡利亚禁域</x:v>
      </x:c>
    </x:row>
    <x:row r="1179" ht="24" customHeight="1">
      <x:c r="A1179" s="22" t="n">
        <x:v>1175</x:v>
      </x:c>
      <x:c r="B1179" s="22" t="str">
        <x:v>普通换装恢复下一组时间粗校验</x:v>
      </x:c>
      <x:c r="C1179" s="22" t="str">
        <x:v>通过</x:v>
      </x:c>
      <x:c r="D1179" s="22" t="str">
        <x:v>猩红熔原</x:v>
      </x:c>
    </x:row>
    <x:row r="1180" ht="24" customHeight="1">
      <x:c r="A1180" s="22" t="n">
        <x:v>1176</x:v>
      </x:c>
      <x:c r="B1180" s="22" t="str">
        <x:v>普通换装恢复下一组时间粗校验</x:v>
      </x:c>
      <x:c r="C1180" s="22" t="str">
        <x:v>通过</x:v>
      </x:c>
      <x:c r="D1180" s="22" t="str">
        <x:v>腐败火狱</x:v>
      </x:c>
    </x:row>
    <x:row r="1181" ht="24" customHeight="1">
      <x:c r="A1181" s="22" t="n">
        <x:v>1177</x:v>
      </x:c>
      <x:c r="B1181" s="22" t="str">
        <x:v>普通换装恢复下一组时间粗校验</x:v>
      </x:c>
      <x:c r="C1181" s="22" t="str">
        <x:v>通过</x:v>
      </x:c>
      <x:c r="D1181" s="22" t="str">
        <x:v>红狮龙窟</x:v>
      </x:c>
    </x:row>
    <x:row r="1182" ht="24" customHeight="1">
      <x:c r="A1182" s="22" t="n">
        <x:v>1178</x:v>
      </x:c>
      <x:c r="B1182" s="22" t="str">
        <x:v>普通换装恢复下一组时间粗校验</x:v>
      </x:c>
      <x:c r="C1182" s="22" t="str">
        <x:v>通过</x:v>
      </x:c>
      <x:c r="D1182" s="22" t="str">
        <x:v>苍白雪原</x:v>
      </x:c>
    </x:row>
    <x:row r="1183" ht="24" customHeight="1">
      <x:c r="A1183" s="22" t="n">
        <x:v>1179</x:v>
      </x:c>
      <x:c r="B1183" s="22" t="str">
        <x:v>普通换装恢复下一组时间粗校验</x:v>
      </x:c>
      <x:c r="C1183" s="22" t="str">
        <x:v>通过</x:v>
      </x:c>
      <x:c r="D1183" s="22" t="str">
        <x:v>永冻荒境</x:v>
      </x:c>
    </x:row>
    <x:row r="1184" ht="24" customHeight="1">
      <x:c r="A1184" s="22" t="n">
        <x:v>1180</x:v>
      </x:c>
      <x:c r="B1184" s="22" t="str">
        <x:v>普通换装恢复下一组时间粗校验</x:v>
      </x:c>
      <x:c r="C1184" s="22" t="str">
        <x:v>通过</x:v>
      </x:c>
      <x:c r="D1184" s="22" t="str">
        <x:v>极寒禁域</x:v>
      </x:c>
    </x:row>
    <x:row r="1185" ht="24" customHeight="1">
      <x:c r="A1185" s="22" t="n">
        <x:v>1181</x:v>
      </x:c>
      <x:c r="B1185" s="22" t="str">
        <x:v>普通换装恢复下一组时间粗校验</x:v>
      </x:c>
      <x:c r="C1185" s="22" t="str">
        <x:v>通过</x:v>
      </x:c>
      <x:c r="D1185" s="22" t="str">
        <x:v>寒霜山径</x:v>
      </x:c>
    </x:row>
    <x:row r="1186" ht="24" customHeight="1">
      <x:c r="A1186" s="22" t="n">
        <x:v>1182</x:v>
      </x:c>
      <x:c r="B1186" s="22" t="str">
        <x:v>普通换装恢复下一组时间粗校验</x:v>
      </x:c>
      <x:c r="C1186" s="22" t="str">
        <x:v>通过</x:v>
      </x:c>
      <x:c r="D1186" s="22" t="str">
        <x:v>断冰峰群</x:v>
      </x:c>
    </x:row>
    <x:row r="1187" ht="24" customHeight="1">
      <x:c r="A1187" s="22" t="n">
        <x:v>1183</x:v>
      </x:c>
      <x:c r="B1187" s="22" t="str">
        <x:v>普通换装恢复下一组时间粗校验</x:v>
      </x:c>
      <x:c r="C1187" s="22" t="str">
        <x:v>通过</x:v>
      </x:c>
      <x:c r="D1187" s="22" t="str">
        <x:v>冰宫王庭</x:v>
      </x:c>
    </x:row>
    <x:row r="1188" ht="24" customHeight="1">
      <x:c r="A1188" s="22" t="n">
        <x:v>1184</x:v>
      </x:c>
      <x:c r="B1188" s="22" t="str">
        <x:v>普通换装恢复下一组时间粗校验</x:v>
      </x:c>
      <x:c r="C1188" s="22" t="str">
        <x:v>通过</x:v>
      </x:c>
      <x:c r="D1188" s="22" t="str">
        <x:v>巨人王庭</x:v>
      </x:c>
    </x:row>
    <x:row r="1189" ht="24" customHeight="1">
      <x:c r="A1189" s="22" t="n">
        <x:v>1185</x:v>
      </x:c>
      <x:c r="B1189" s="22" t="str">
        <x:v>普通换装恢复下一组时间粗校验</x:v>
      </x:c>
      <x:c r="C1189" s="22" t="str">
        <x:v>通过</x:v>
      </x:c>
      <x:c r="D1189" s="22" t="str">
        <x:v>金叶古道</x:v>
      </x:c>
    </x:row>
    <x:row r="1190" ht="24" customHeight="1">
      <x:c r="A1190" s="22" t="n">
        <x:v>1186</x:v>
      </x:c>
      <x:c r="B1190" s="22" t="str">
        <x:v>普通换装恢复下一组时间粗校验</x:v>
      </x:c>
      <x:c r="C1190" s="22" t="str">
        <x:v>通过</x:v>
      </x:c>
      <x:c r="D1190" s="22" t="str">
        <x:v>高原矿脉</x:v>
      </x:c>
    </x:row>
    <x:row r="1191" ht="24" customHeight="1">
      <x:c r="A1191" s="22" t="n">
        <x:v>1187</x:v>
      </x:c>
      <x:c r="B1191" s="22" t="str">
        <x:v>普通换装恢复下一组时间粗校验</x:v>
      </x:c>
      <x:c r="C1191" s="22" t="str">
        <x:v>通过</x:v>
      </x:c>
      <x:c r="D1191" s="22" t="str">
        <x:v>古王陵园</x:v>
      </x:c>
    </x:row>
    <x:row r="1192" ht="24" customHeight="1">
      <x:c r="A1192" s="22" t="n">
        <x:v>1188</x:v>
      </x:c>
      <x:c r="B1192" s="22" t="str">
        <x:v>普通换装恢复下一组时间粗校验</x:v>
      </x:c>
      <x:c r="C1192" s="22" t="str">
        <x:v>通过</x:v>
      </x:c>
      <x:c r="D1192" s="22" t="str">
        <x:v>黄金圣堂</x:v>
      </x:c>
    </x:row>
    <x:row r="1193" ht="24" customHeight="1">
      <x:c r="A1193" s="22" t="n">
        <x:v>1189</x:v>
      </x:c>
      <x:c r="B1193" s="22" t="str">
        <x:v>普通换装恢复下一组时间粗校验</x:v>
      </x:c>
      <x:c r="C1193" s="22" t="str">
        <x:v>通过</x:v>
      </x:c>
      <x:c r="D1193" s="22" t="str">
        <x:v>王城前垒</x:v>
      </x:c>
    </x:row>
    <x:row r="1194" ht="24" customHeight="1">
      <x:c r="A1194" s="22" t="n">
        <x:v>1190</x:v>
      </x:c>
      <x:c r="B1194" s="22" t="str">
        <x:v>普通换装恢复下一组时间粗校验</x:v>
      </x:c>
      <x:c r="C1194" s="22" t="str">
        <x:v>通过</x:v>
      </x:c>
      <x:c r="D1194" s="22" t="str">
        <x:v>王城下城区</x:v>
      </x:c>
    </x:row>
    <x:row r="1195" ht="24" customHeight="1">
      <x:c r="A1195" s="22" t="n">
        <x:v>1191</x:v>
      </x:c>
      <x:c r="B1195" s="22" t="str">
        <x:v>普通换装恢复下一组时间粗校验</x:v>
      </x:c>
      <x:c r="C1195" s="22" t="str">
        <x:v>通过</x:v>
      </x:c>
      <x:c r="D1195" s="22" t="str">
        <x:v>黄金排水道</x:v>
      </x:c>
    </x:row>
    <x:row r="1196" ht="24" customHeight="1">
      <x:c r="A1196" s="22" t="n">
        <x:v>1192</x:v>
      </x:c>
      <x:c r="B1196" s="22" t="str">
        <x:v>普通换装恢复下一组时间粗校验</x:v>
      </x:c>
      <x:c r="C1196" s="22" t="str">
        <x:v>通过</x:v>
      </x:c>
      <x:c r="D1196" s="22" t="str">
        <x:v>王城矿井</x:v>
      </x:c>
    </x:row>
    <x:row r="1197" ht="24" customHeight="1">
      <x:c r="A1197" s="22" t="n">
        <x:v>1193</x:v>
      </x:c>
      <x:c r="B1197" s="22" t="str">
        <x:v>普通换装恢复下一组时间粗校验</x:v>
      </x:c>
      <x:c r="C1197" s="22" t="str">
        <x:v>通过</x:v>
      </x:c>
      <x:c r="D1197" s="22" t="str">
        <x:v>王城地穴</x:v>
      </x:c>
    </x:row>
    <x:row r="1198" ht="24" customHeight="1">
      <x:c r="A1198" s="22" t="n">
        <x:v>1194</x:v>
      </x:c>
      <x:c r="B1198" s="22" t="str">
        <x:v>普通换装恢复下一组时间粗校验</x:v>
      </x:c>
      <x:c r="C1198" s="22" t="str">
        <x:v>通过</x:v>
      </x:c>
      <x:c r="D1198" s="22" t="str">
        <x:v>黄金王宫</x:v>
      </x:c>
    </x:row>
    <x:row r="1199" ht="24" customHeight="1">
      <x:c r="A1199" s="22" t="n">
        <x:v>1195</x:v>
      </x:c>
      <x:c r="B1199" s="22" t="str">
        <x:v>基准人物可承受普通单击</x:v>
      </x:c>
      <x:c r="C1199" s="22" t="str">
        <x:v>通过</x:v>
      </x:c>
      <x:c r="D1199" s="22" t="str">
        <x:v>EL-MON-SEA-001:C01:失乡者海岸:1层</x:v>
      </x:c>
    </x:row>
    <x:row r="1200" ht="24" customHeight="1">
      <x:c r="A1200" s="22" t="n">
        <x:v>1196</x:v>
      </x:c>
      <x:c r="B1200" s="22" t="str">
        <x:v>基准人物可承受普通单击</x:v>
      </x:c>
      <x:c r="C1200" s="22" t="str">
        <x:v>通过</x:v>
      </x:c>
      <x:c r="D1200" s="22" t="str">
        <x:v>EL-MON-SEA-002:C01:失乡者海岸:1层</x:v>
      </x:c>
    </x:row>
    <x:row r="1201" ht="24" customHeight="1">
      <x:c r="A1201" s="22" t="n">
        <x:v>1197</x:v>
      </x:c>
      <x:c r="B1201" s="22" t="str">
        <x:v>基准人物可承受普通单击</x:v>
      </x:c>
      <x:c r="C1201" s="22" t="str">
        <x:v>通过</x:v>
      </x:c>
      <x:c r="D1201" s="22" t="str">
        <x:v>EL-MON-SEA-003:C01:失乡者海岸:1层</x:v>
      </x:c>
    </x:row>
    <x:row r="1202" ht="24" customHeight="1">
      <x:c r="A1202" s="22" t="n">
        <x:v>1198</x:v>
      </x:c>
      <x:c r="B1202" s="22" t="str">
        <x:v>基准人物可承受普通单击</x:v>
      </x:c>
      <x:c r="C1202" s="22" t="str">
        <x:v>通过</x:v>
      </x:c>
      <x:c r="D1202" s="22" t="str">
        <x:v>EL-MON-SEA-003:C01:失乡者海岸:2层</x:v>
      </x:c>
    </x:row>
    <x:row r="1203" ht="24" customHeight="1">
      <x:c r="A1203" s="22" t="n">
        <x:v>1199</x:v>
      </x:c>
      <x:c r="B1203" s="22" t="str">
        <x:v>基准人物可承受普通单击</x:v>
      </x:c>
      <x:c r="C1203" s="22" t="str">
        <x:v>通过</x:v>
      </x:c>
      <x:c r="D1203" s="22" t="str">
        <x:v>EL-MON-SEA-004:C01:失乡者海岸:2层</x:v>
      </x:c>
    </x:row>
    <x:row r="1204" ht="24" customHeight="1">
      <x:c r="A1204" s="22" t="n">
        <x:v>1200</x:v>
      </x:c>
      <x:c r="B1204" s="22" t="str">
        <x:v>基准人物可承受普通单击</x:v>
      </x:c>
      <x:c r="C1204" s="22" t="str">
        <x:v>通过</x:v>
      </x:c>
      <x:c r="D1204" s="22" t="str">
        <x:v>EL-MON-SEA-005:C01:失乡者海岸:2层</x:v>
      </x:c>
    </x:row>
    <x:row r="1205" ht="24" customHeight="1">
      <x:c r="A1205" s="22" t="n">
        <x:v>1201</x:v>
      </x:c>
      <x:c r="B1205" s="22" t="str">
        <x:v>基准人物可承受普通单击</x:v>
      </x:c>
      <x:c r="C1205" s="22" t="str">
        <x:v>通过</x:v>
      </x:c>
      <x:c r="D1205" s="22" t="str">
        <x:v>EL-MON-SEA-005:C01:失乡者海岸:3层</x:v>
      </x:c>
    </x:row>
    <x:row r="1206" ht="24" customHeight="1">
      <x:c r="A1206" s="22" t="n">
        <x:v>1202</x:v>
      </x:c>
      <x:c r="B1206" s="22" t="str">
        <x:v>基准人物可承受普通单击</x:v>
      </x:c>
      <x:c r="C1206" s="22" t="str">
        <x:v>通过</x:v>
      </x:c>
      <x:c r="D1206" s="22" t="str">
        <x:v>EL-MON-SEA-006:C01:失乡者海岸:1层</x:v>
      </x:c>
    </x:row>
    <x:row r="1207" ht="24" customHeight="1">
      <x:c r="A1207" s="22" t="n">
        <x:v>1203</x:v>
      </x:c>
      <x:c r="B1207" s="22" t="str">
        <x:v>基准人物可承受普通单击</x:v>
      </x:c>
      <x:c r="C1207" s="22" t="str">
        <x:v>通过</x:v>
      </x:c>
      <x:c r="D1207" s="22" t="str">
        <x:v>EL-MON-SEA-006:C01:失乡者海岸:2层</x:v>
      </x:c>
    </x:row>
    <x:row r="1208" ht="24" customHeight="1">
      <x:c r="A1208" s="22" t="n">
        <x:v>1204</x:v>
      </x:c>
      <x:c r="B1208" s="22" t="str">
        <x:v>基准人物可承受普通单击</x:v>
      </x:c>
      <x:c r="C1208" s="22" t="str">
        <x:v>通过</x:v>
      </x:c>
      <x:c r="D1208" s="22" t="str">
        <x:v>EL-MON-SEA-007:C01:失乡者海岸:2层</x:v>
      </x:c>
    </x:row>
    <x:row r="1209" ht="24" customHeight="1">
      <x:c r="A1209" s="22" t="n">
        <x:v>1205</x:v>
      </x:c>
      <x:c r="B1209" s="22" t="str">
        <x:v>基准人物可承受普通单击</x:v>
      </x:c>
      <x:c r="C1209" s="22" t="str">
        <x:v>通过</x:v>
      </x:c>
      <x:c r="D1209" s="22" t="str">
        <x:v>EL-MON-SEA-008:C01:失乡者海岸:2层</x:v>
      </x:c>
    </x:row>
    <x:row r="1210" ht="24" customHeight="1">
      <x:c r="A1210" s="22" t="n">
        <x:v>1206</x:v>
      </x:c>
      <x:c r="B1210" s="22" t="str">
        <x:v>基准人物可承受普通单击</x:v>
      </x:c>
      <x:c r="C1210" s="22" t="str">
        <x:v>通过</x:v>
      </x:c>
      <x:c r="D1210" s="22" t="str">
        <x:v>EL-MON-SEA-008:C01:失乡者海岸:3层</x:v>
      </x:c>
    </x:row>
    <x:row r="1211" ht="24" customHeight="1">
      <x:c r="A1211" s="22" t="n">
        <x:v>1207</x:v>
      </x:c>
      <x:c r="B1211" s="22" t="str">
        <x:v>基准人物可承受普通单击</x:v>
      </x:c>
      <x:c r="C1211" s="22" t="str">
        <x:v>通过</x:v>
      </x:c>
      <x:c r="D1211" s="22" t="str">
        <x:v>EL-MON-SEA-009:C01:失乡者海岸:3层</x:v>
      </x:c>
    </x:row>
    <x:row r="1212" ht="24" customHeight="1">
      <x:c r="A1212" s="22" t="n">
        <x:v>1208</x:v>
      </x:c>
      <x:c r="B1212" s="22" t="str">
        <x:v>基准人物可承受普通单击</x:v>
      </x:c>
      <x:c r="C1212" s="22" t="str">
        <x:v>通过</x:v>
      </x:c>
      <x:c r="D1212" s="22" t="str">
        <x:v>EL-MON-SEA-010:C01:失乡者海岸:2层</x:v>
      </x:c>
    </x:row>
    <x:row r="1213" ht="24" customHeight="1">
      <x:c r="A1213" s="22" t="n">
        <x:v>1209</x:v>
      </x:c>
      <x:c r="B1213" s="22" t="str">
        <x:v>基准人物可承受普通单击</x:v>
      </x:c>
      <x:c r="C1213" s="22" t="str">
        <x:v>通过</x:v>
      </x:c>
      <x:c r="D1213" s="22" t="str">
        <x:v>EL-MON-SEA-011:C01:失乡者海岸:3层</x:v>
      </x:c>
    </x:row>
    <x:row r="1214" ht="24" customHeight="1">
      <x:c r="A1214" s="22" t="n">
        <x:v>1210</x:v>
      </x:c>
      <x:c r="B1214" s="22" t="str">
        <x:v>基准人物可承受普通单击</x:v>
      </x:c>
      <x:c r="C1214" s="22" t="str">
        <x:v>通过</x:v>
      </x:c>
      <x:c r="D1214" s="22" t="str">
        <x:v>EL-MON-CLIFF-001:C01:风暴断崖:1层</x:v>
      </x:c>
    </x:row>
    <x:row r="1215" ht="24" customHeight="1">
      <x:c r="A1215" s="22" t="n">
        <x:v>1211</x:v>
      </x:c>
      <x:c r="B1215" s="22" t="str">
        <x:v>基准人物可承受普通单击</x:v>
      </x:c>
      <x:c r="C1215" s="22" t="str">
        <x:v>通过</x:v>
      </x:c>
      <x:c r="D1215" s="22" t="str">
        <x:v>EL-MON-CLIFF-001:C01:风暴断崖:2层</x:v>
      </x:c>
    </x:row>
    <x:row r="1216" ht="24" customHeight="1">
      <x:c r="A1216" s="22" t="n">
        <x:v>1212</x:v>
      </x:c>
      <x:c r="B1216" s="22" t="str">
        <x:v>基准人物可承受普通单击</x:v>
      </x:c>
      <x:c r="C1216" s="22" t="str">
        <x:v>通过</x:v>
      </x:c>
      <x:c r="D1216" s="22" t="str">
        <x:v>EL-MON-CLIFF-001:C01:风暴断崖:3层</x:v>
      </x:c>
    </x:row>
    <x:row r="1217" ht="24" customHeight="1">
      <x:c r="A1217" s="22" t="n">
        <x:v>1213</x:v>
      </x:c>
      <x:c r="B1217" s="22" t="str">
        <x:v>基准人物可承受普通单击</x:v>
      </x:c>
      <x:c r="C1217" s="22" t="str">
        <x:v>通过</x:v>
      </x:c>
      <x:c r="D1217" s="22" t="str">
        <x:v>EL-MON-CLIFF-001:C01:风暴断崖:4层</x:v>
      </x:c>
    </x:row>
    <x:row r="1218" ht="24" customHeight="1">
      <x:c r="A1218" s="22" t="n">
        <x:v>1214</x:v>
      </x:c>
      <x:c r="B1218" s="22" t="str">
        <x:v>基准人物可承受普通单击</x:v>
      </x:c>
      <x:c r="C1218" s="22" t="str">
        <x:v>通过</x:v>
      </x:c>
      <x:c r="D1218" s="22" t="str">
        <x:v>EL-MON-CLIFF-002:C01:风暴断崖:1层</x:v>
      </x:c>
    </x:row>
    <x:row r="1219" ht="24" customHeight="1">
      <x:c r="A1219" s="22" t="n">
        <x:v>1215</x:v>
      </x:c>
      <x:c r="B1219" s="22" t="str">
        <x:v>基准人物可承受普通单击</x:v>
      </x:c>
      <x:c r="C1219" s="22" t="str">
        <x:v>通过</x:v>
      </x:c>
      <x:c r="D1219" s="22" t="str">
        <x:v>EL-MON-CLIFF-002:C01:风暴断崖:2层</x:v>
      </x:c>
    </x:row>
    <x:row r="1220" ht="24" customHeight="1">
      <x:c r="A1220" s="22" t="n">
        <x:v>1216</x:v>
      </x:c>
      <x:c r="B1220" s="22" t="str">
        <x:v>基准人物可承受普通单击</x:v>
      </x:c>
      <x:c r="C1220" s="22" t="str">
        <x:v>通过</x:v>
      </x:c>
      <x:c r="D1220" s="22" t="str">
        <x:v>EL-MON-CLIFF-002:C01:风暴断崖:3层</x:v>
      </x:c>
    </x:row>
    <x:row r="1221" ht="24" customHeight="1">
      <x:c r="A1221" s="22" t="n">
        <x:v>1217</x:v>
      </x:c>
      <x:c r="B1221" s="22" t="str">
        <x:v>基准人物可承受普通单击</x:v>
      </x:c>
      <x:c r="C1221" s="22" t="str">
        <x:v>通过</x:v>
      </x:c>
      <x:c r="D1221" s="22" t="str">
        <x:v>EL-MON-CLIFF-002:C01:风暴断崖:4层</x:v>
      </x:c>
    </x:row>
    <x:row r="1222" ht="24" customHeight="1">
      <x:c r="A1222" s="22" t="n">
        <x:v>1218</x:v>
      </x:c>
      <x:c r="B1222" s="22" t="str">
        <x:v>基准人物可承受普通单击</x:v>
      </x:c>
      <x:c r="C1222" s="22" t="str">
        <x:v>通过</x:v>
      </x:c>
      <x:c r="D1222" s="22" t="str">
        <x:v>EL-MON-CLIFF-003:C01:风暴断崖:1层</x:v>
      </x:c>
    </x:row>
    <x:row r="1223" ht="24" customHeight="1">
      <x:c r="A1223" s="22" t="n">
        <x:v>1219</x:v>
      </x:c>
      <x:c r="B1223" s="22" t="str">
        <x:v>基准人物可承受普通单击</x:v>
      </x:c>
      <x:c r="C1223" s="22" t="str">
        <x:v>通过</x:v>
      </x:c>
      <x:c r="D1223" s="22" t="str">
        <x:v>EL-MON-CLIFF-003:C01:风暴断崖:2层</x:v>
      </x:c>
    </x:row>
    <x:row r="1224" ht="24" customHeight="1">
      <x:c r="A1224" s="22" t="n">
        <x:v>1220</x:v>
      </x:c>
      <x:c r="B1224" s="22" t="str">
        <x:v>基准人物可承受普通单击</x:v>
      </x:c>
      <x:c r="C1224" s="22" t="str">
        <x:v>通过</x:v>
      </x:c>
      <x:c r="D1224" s="22" t="str">
        <x:v>EL-MON-CLIFF-003:C01:风暴断崖:3层</x:v>
      </x:c>
    </x:row>
    <x:row r="1225" ht="24" customHeight="1">
      <x:c r="A1225" s="22" t="n">
        <x:v>1221</x:v>
      </x:c>
      <x:c r="B1225" s="22" t="str">
        <x:v>基准人物可承受普通单击</x:v>
      </x:c>
      <x:c r="C1225" s="22" t="str">
        <x:v>通过</x:v>
      </x:c>
      <x:c r="D1225" s="22" t="str">
        <x:v>EL-MON-CLIFF-003:C01:风暴断崖:4层</x:v>
      </x:c>
    </x:row>
    <x:row r="1226" ht="24" customHeight="1">
      <x:c r="A1226" s="22" t="n">
        <x:v>1222</x:v>
      </x:c>
      <x:c r="B1226" s="22" t="str">
        <x:v>基准人物可承受普通单击</x:v>
      </x:c>
      <x:c r="C1226" s="22" t="str">
        <x:v>通过</x:v>
      </x:c>
      <x:c r="D1226" s="22" t="str">
        <x:v>EL-MON-CLIFF-004:C01:风暴断崖:2层</x:v>
      </x:c>
    </x:row>
    <x:row r="1227" ht="24" customHeight="1">
      <x:c r="A1227" s="22" t="n">
        <x:v>1223</x:v>
      </x:c>
      <x:c r="B1227" s="22" t="str">
        <x:v>基准人物可承受普通单击</x:v>
      </x:c>
      <x:c r="C1227" s="22" t="str">
        <x:v>通过</x:v>
      </x:c>
      <x:c r="D1227" s="22" t="str">
        <x:v>EL-MON-CLIFF-004:C01:风暴断崖:3层</x:v>
      </x:c>
    </x:row>
    <x:row r="1228" ht="24" customHeight="1">
      <x:c r="A1228" s="22" t="n">
        <x:v>1224</x:v>
      </x:c>
      <x:c r="B1228" s="22" t="str">
        <x:v>基准人物可承受普通单击</x:v>
      </x:c>
      <x:c r="C1228" s="22" t="str">
        <x:v>通过</x:v>
      </x:c>
      <x:c r="D1228" s="22" t="str">
        <x:v>EL-MON-CLIFF-004:C01:风暴断崖:4层</x:v>
      </x:c>
    </x:row>
    <x:row r="1229" ht="24" customHeight="1">
      <x:c r="A1229" s="22" t="n">
        <x:v>1225</x:v>
      </x:c>
      <x:c r="B1229" s="22" t="str">
        <x:v>基准人物可承受普通单击</x:v>
      </x:c>
      <x:c r="C1229" s="22" t="str">
        <x:v>通过</x:v>
      </x:c>
      <x:c r="D1229" s="22" t="str">
        <x:v>EL-MON-CLIFF-005:C01:风暴断崖:2层</x:v>
      </x:c>
    </x:row>
    <x:row r="1230" ht="24" customHeight="1">
      <x:c r="A1230" s="22" t="n">
        <x:v>1226</x:v>
      </x:c>
      <x:c r="B1230" s="22" t="str">
        <x:v>基准人物可承受普通单击</x:v>
      </x:c>
      <x:c r="C1230" s="22" t="str">
        <x:v>通过</x:v>
      </x:c>
      <x:c r="D1230" s="22" t="str">
        <x:v>EL-MON-CLIFF-005:C01:风暴断崖:3层</x:v>
      </x:c>
    </x:row>
    <x:row r="1231" ht="24" customHeight="1">
      <x:c r="A1231" s="22" t="n">
        <x:v>1227</x:v>
      </x:c>
      <x:c r="B1231" s="22" t="str">
        <x:v>基准人物可承受普通单击</x:v>
      </x:c>
      <x:c r="C1231" s="22" t="str">
        <x:v>通过</x:v>
      </x:c>
      <x:c r="D1231" s="22" t="str">
        <x:v>EL-MON-CLIFF-005:C01:风暴断崖:4层</x:v>
      </x:c>
    </x:row>
    <x:row r="1232" ht="24" customHeight="1">
      <x:c r="A1232" s="22" t="n">
        <x:v>1228</x:v>
      </x:c>
      <x:c r="B1232" s="22" t="str">
        <x:v>基准人物可承受普通单击</x:v>
      </x:c>
      <x:c r="C1232" s="22" t="str">
        <x:v>通过</x:v>
      </x:c>
      <x:c r="D1232" s="22" t="str">
        <x:v>EL-MON-CLIFF-006:C01:风暴断崖:3层</x:v>
      </x:c>
    </x:row>
    <x:row r="1233" ht="24" customHeight="1">
      <x:c r="A1233" s="22" t="n">
        <x:v>1229</x:v>
      </x:c>
      <x:c r="B1233" s="22" t="str">
        <x:v>基准人物可承受普通单击</x:v>
      </x:c>
      <x:c r="C1233" s="22" t="str">
        <x:v>通过</x:v>
      </x:c>
      <x:c r="D1233" s="22" t="str">
        <x:v>EL-MON-CLIFF-006:C01:风暴断崖:4层</x:v>
      </x:c>
    </x:row>
    <x:row r="1234" ht="24" customHeight="1">
      <x:c r="A1234" s="22" t="n">
        <x:v>1230</x:v>
      </x:c>
      <x:c r="B1234" s="22" t="str">
        <x:v>基准人物可承受普通单击</x:v>
      </x:c>
      <x:c r="C1234" s="22" t="str">
        <x:v>通过</x:v>
      </x:c>
      <x:c r="D1234" s="22" t="str">
        <x:v>EL-MON-CLIFF-007:C01:风暴断崖:1层</x:v>
      </x:c>
    </x:row>
    <x:row r="1235" ht="24" customHeight="1">
      <x:c r="A1235" s="22" t="n">
        <x:v>1231</x:v>
      </x:c>
      <x:c r="B1235" s="22" t="str">
        <x:v>基准人物可承受普通单击</x:v>
      </x:c>
      <x:c r="C1235" s="22" t="str">
        <x:v>通过</x:v>
      </x:c>
      <x:c r="D1235" s="22" t="str">
        <x:v>EL-MON-CLIFF-007:C01:风暴断崖:2层</x:v>
      </x:c>
    </x:row>
    <x:row r="1236" ht="24" customHeight="1">
      <x:c r="A1236" s="22" t="n">
        <x:v>1232</x:v>
      </x:c>
      <x:c r="B1236" s="22" t="str">
        <x:v>基准人物可承受普通单击</x:v>
      </x:c>
      <x:c r="C1236" s="22" t="str">
        <x:v>通过</x:v>
      </x:c>
      <x:c r="D1236" s="22" t="str">
        <x:v>EL-MON-CLIFF-008:C01:风暴断崖:2层</x:v>
      </x:c>
    </x:row>
    <x:row r="1237" ht="24" customHeight="1">
      <x:c r="A1237" s="22" t="n">
        <x:v>1233</x:v>
      </x:c>
      <x:c r="B1237" s="22" t="str">
        <x:v>基准人物可承受普通单击</x:v>
      </x:c>
      <x:c r="C1237" s="22" t="str">
        <x:v>通过</x:v>
      </x:c>
      <x:c r="D1237" s="22" t="str">
        <x:v>EL-MON-CLIFF-008:C01:风暴断崖:3层</x:v>
      </x:c>
    </x:row>
    <x:row r="1238" ht="24" customHeight="1">
      <x:c r="A1238" s="22" t="n">
        <x:v>1234</x:v>
      </x:c>
      <x:c r="B1238" s="22" t="str">
        <x:v>基准人物可承受普通单击</x:v>
      </x:c>
      <x:c r="C1238" s="22" t="str">
        <x:v>通过</x:v>
      </x:c>
      <x:c r="D1238" s="22" t="str">
        <x:v>EL-MON-CLIFF-009:C01:风暴断崖:3层</x:v>
      </x:c>
    </x:row>
    <x:row r="1239" ht="24" customHeight="1">
      <x:c r="A1239" s="22" t="n">
        <x:v>1235</x:v>
      </x:c>
      <x:c r="B1239" s="22" t="str">
        <x:v>基准人物可承受普通单击</x:v>
      </x:c>
      <x:c r="C1239" s="22" t="str">
        <x:v>通过</x:v>
      </x:c>
      <x:c r="D1239" s="22" t="str">
        <x:v>EL-MON-CLIFF-009:C01:风暴断崖:4层</x:v>
      </x:c>
    </x:row>
    <x:row r="1240" ht="24" customHeight="1">
      <x:c r="A1240" s="22" t="n">
        <x:v>1236</x:v>
      </x:c>
      <x:c r="B1240" s="22" t="str">
        <x:v>基准人物可承受普通单击</x:v>
      </x:c>
      <x:c r="C1240" s="22" t="str">
        <x:v>通过</x:v>
      </x:c>
      <x:c r="D1240" s="22" t="str">
        <x:v>EL-MON-CLIFF-010:C01:风暴断崖:4层</x:v>
      </x:c>
    </x:row>
    <x:row r="1241" ht="24" customHeight="1">
      <x:c r="A1241" s="22" t="n">
        <x:v>1237</x:v>
      </x:c>
      <x:c r="B1241" s="22" t="str">
        <x:v>基准人物可承受普通单击</x:v>
      </x:c>
      <x:c r="C1241" s="22" t="str">
        <x:v>通过</x:v>
      </x:c>
      <x:c r="D1241" s="22" t="str">
        <x:v>EL-MON-CLIFF-011:C01:风暴断崖:3层</x:v>
      </x:c>
    </x:row>
    <x:row r="1242" ht="24" customHeight="1">
      <x:c r="A1242" s="22" t="n">
        <x:v>1238</x:v>
      </x:c>
      <x:c r="B1242" s="22" t="str">
        <x:v>基准人物可承受普通单击</x:v>
      </x:c>
      <x:c r="C1242" s="22" t="str">
        <x:v>通过</x:v>
      </x:c>
      <x:c r="D1242" s="22" t="str">
        <x:v>EL-MON-CLIFF-012:C01:风暴断崖:4层</x:v>
      </x:c>
    </x:row>
    <x:row r="1243" ht="24" customHeight="1">
      <x:c r="A1243" s="22" t="n">
        <x:v>1239</x:v>
      </x:c>
      <x:c r="B1243" s="22" t="str">
        <x:v>基准人物可承受普通单击</x:v>
      </x:c>
      <x:c r="C1243" s="22" t="str">
        <x:v>通过</x:v>
      </x:c>
      <x:c r="D1243" s="22" t="str">
        <x:v>EL-MON-COURT-001:C01:沉没王庭:1层</x:v>
      </x:c>
    </x:row>
    <x:row r="1244" ht="24" customHeight="1">
      <x:c r="A1244" s="22" t="n">
        <x:v>1240</x:v>
      </x:c>
      <x:c r="B1244" s="22" t="str">
        <x:v>基准人物可承受普通单击</x:v>
      </x:c>
      <x:c r="C1244" s="22" t="str">
        <x:v>通过</x:v>
      </x:c>
      <x:c r="D1244" s="22" t="str">
        <x:v>EL-MON-COURT-001:C01:沉没王庭:2层</x:v>
      </x:c>
    </x:row>
    <x:row r="1245" ht="24" customHeight="1">
      <x:c r="A1245" s="22" t="n">
        <x:v>1241</x:v>
      </x:c>
      <x:c r="B1245" s="22" t="str">
        <x:v>基准人物可承受普通单击</x:v>
      </x:c>
      <x:c r="C1245" s="22" t="str">
        <x:v>通过</x:v>
      </x:c>
      <x:c r="D1245" s="22" t="str">
        <x:v>EL-MON-COURT-001:C01:沉没王庭:3层</x:v>
      </x:c>
    </x:row>
    <x:row r="1246" ht="24" customHeight="1">
      <x:c r="A1246" s="22" t="n">
        <x:v>1242</x:v>
      </x:c>
      <x:c r="B1246" s="22" t="str">
        <x:v>基准人物可承受普通单击</x:v>
      </x:c>
      <x:c r="C1246" s="22" t="str">
        <x:v>通过</x:v>
      </x:c>
      <x:c r="D1246" s="22" t="str">
        <x:v>EL-MON-COURT-002:C01:沉没王庭:1层</x:v>
      </x:c>
    </x:row>
    <x:row r="1247" ht="24" customHeight="1">
      <x:c r="A1247" s="22" t="n">
        <x:v>1243</x:v>
      </x:c>
      <x:c r="B1247" s="22" t="str">
        <x:v>基准人物可承受普通单击</x:v>
      </x:c>
      <x:c r="C1247" s="22" t="str">
        <x:v>通过</x:v>
      </x:c>
      <x:c r="D1247" s="22" t="str">
        <x:v>EL-MON-COURT-002:C01:沉没王庭:2层</x:v>
      </x:c>
    </x:row>
    <x:row r="1248" ht="24" customHeight="1">
      <x:c r="A1248" s="22" t="n">
        <x:v>1244</x:v>
      </x:c>
      <x:c r="B1248" s="22" t="str">
        <x:v>基准人物可承受普通单击</x:v>
      </x:c>
      <x:c r="C1248" s="22" t="str">
        <x:v>通过</x:v>
      </x:c>
      <x:c r="D1248" s="22" t="str">
        <x:v>EL-MON-COURT-002:C01:沉没王庭:3层</x:v>
      </x:c>
    </x:row>
    <x:row r="1249" ht="24" customHeight="1">
      <x:c r="A1249" s="22" t="n">
        <x:v>1245</x:v>
      </x:c>
      <x:c r="B1249" s="22" t="str">
        <x:v>基准人物可承受普通单击</x:v>
      </x:c>
      <x:c r="C1249" s="22" t="str">
        <x:v>通过</x:v>
      </x:c>
      <x:c r="D1249" s="22" t="str">
        <x:v>EL-MON-COURT-003:C01:沉没王庭:1层</x:v>
      </x:c>
    </x:row>
    <x:row r="1250" ht="24" customHeight="1">
      <x:c r="A1250" s="22" t="n">
        <x:v>1246</x:v>
      </x:c>
      <x:c r="B1250" s="22" t="str">
        <x:v>基准人物可承受普通单击</x:v>
      </x:c>
      <x:c r="C1250" s="22" t="str">
        <x:v>通过</x:v>
      </x:c>
      <x:c r="D1250" s="22" t="str">
        <x:v>EL-MON-COURT-003:C01:沉没王庭:2层</x:v>
      </x:c>
    </x:row>
    <x:row r="1251" ht="24" customHeight="1">
      <x:c r="A1251" s="22" t="n">
        <x:v>1247</x:v>
      </x:c>
      <x:c r="B1251" s="22" t="str">
        <x:v>基准人物可承受普通单击</x:v>
      </x:c>
      <x:c r="C1251" s="22" t="str">
        <x:v>通过</x:v>
      </x:c>
      <x:c r="D1251" s="22" t="str">
        <x:v>EL-MON-COURT-003:C01:沉没王庭:3层</x:v>
      </x:c>
    </x:row>
    <x:row r="1252" ht="24" customHeight="1">
      <x:c r="A1252" s="22" t="n">
        <x:v>1248</x:v>
      </x:c>
      <x:c r="B1252" s="22" t="str">
        <x:v>基准人物可承受普通单击</x:v>
      </x:c>
      <x:c r="C1252" s="22" t="str">
        <x:v>通过</x:v>
      </x:c>
      <x:c r="D1252" s="22" t="str">
        <x:v>EL-MON-COURT-004:C01:沉没王庭:2层</x:v>
      </x:c>
    </x:row>
    <x:row r="1253" ht="24" customHeight="1">
      <x:c r="A1253" s="22" t="n">
        <x:v>1249</x:v>
      </x:c>
      <x:c r="B1253" s="22" t="str">
        <x:v>基准人物可承受普通单击</x:v>
      </x:c>
      <x:c r="C1253" s="22" t="str">
        <x:v>通过</x:v>
      </x:c>
      <x:c r="D1253" s="22" t="str">
        <x:v>EL-MON-COURT-004:C01:沉没王庭:3层</x:v>
      </x:c>
    </x:row>
    <x:row r="1254" ht="24" customHeight="1">
      <x:c r="A1254" s="22" t="n">
        <x:v>1250</x:v>
      </x:c>
      <x:c r="B1254" s="22" t="str">
        <x:v>基准人物可承受普通单击</x:v>
      </x:c>
      <x:c r="C1254" s="22" t="str">
        <x:v>通过</x:v>
      </x:c>
      <x:c r="D1254" s="22" t="str">
        <x:v>EL-MON-COURT-005:C01:沉没王庭:2层</x:v>
      </x:c>
    </x:row>
    <x:row r="1255" ht="24" customHeight="1">
      <x:c r="A1255" s="22" t="n">
        <x:v>1251</x:v>
      </x:c>
      <x:c r="B1255" s="22" t="str">
        <x:v>基准人物可承受普通单击</x:v>
      </x:c>
      <x:c r="C1255" s="22" t="str">
        <x:v>通过</x:v>
      </x:c>
      <x:c r="D1255" s="22" t="str">
        <x:v>EL-MON-COURT-005:C01:沉没王庭:3层</x:v>
      </x:c>
    </x:row>
    <x:row r="1256" ht="24" customHeight="1">
      <x:c r="A1256" s="22" t="n">
        <x:v>1252</x:v>
      </x:c>
      <x:c r="B1256" s="22" t="str">
        <x:v>基准人物可承受普通单击</x:v>
      </x:c>
      <x:c r="C1256" s="22" t="str">
        <x:v>通过</x:v>
      </x:c>
      <x:c r="D1256" s="22" t="str">
        <x:v>EL-MON-COURT-006:C01:沉没王庭:3层</x:v>
      </x:c>
    </x:row>
    <x:row r="1257" ht="24" customHeight="1">
      <x:c r="A1257" s="22" t="n">
        <x:v>1253</x:v>
      </x:c>
      <x:c r="B1257" s="22" t="str">
        <x:v>基准人物可承受普通单击</x:v>
      </x:c>
      <x:c r="C1257" s="22" t="str">
        <x:v>通过</x:v>
      </x:c>
      <x:c r="D1257" s="22" t="str">
        <x:v>EL-MON-COURT-007:C01:沉没王庭:1层</x:v>
      </x:c>
    </x:row>
    <x:row r="1258" ht="24" customHeight="1">
      <x:c r="A1258" s="22" t="n">
        <x:v>1254</x:v>
      </x:c>
      <x:c r="B1258" s="22" t="str">
        <x:v>基准人物可承受普通单击</x:v>
      </x:c>
      <x:c r="C1258" s="22" t="str">
        <x:v>通过</x:v>
      </x:c>
      <x:c r="D1258" s="22" t="str">
        <x:v>EL-MON-COURT-007:C01:沉没王庭:2层</x:v>
      </x:c>
    </x:row>
    <x:row r="1259" ht="24" customHeight="1">
      <x:c r="A1259" s="22" t="n">
        <x:v>1255</x:v>
      </x:c>
      <x:c r="B1259" s="22" t="str">
        <x:v>基准人物可承受普通单击</x:v>
      </x:c>
      <x:c r="C1259" s="22" t="str">
        <x:v>通过</x:v>
      </x:c>
      <x:c r="D1259" s="22" t="str">
        <x:v>EL-MON-COURT-008:C01:沉没王庭:2层</x:v>
      </x:c>
    </x:row>
    <x:row r="1260" ht="24" customHeight="1">
      <x:c r="A1260" s="22" t="n">
        <x:v>1256</x:v>
      </x:c>
      <x:c r="B1260" s="22" t="str">
        <x:v>基准人物可承受普通单击</x:v>
      </x:c>
      <x:c r="C1260" s="22" t="str">
        <x:v>通过</x:v>
      </x:c>
      <x:c r="D1260" s="22" t="str">
        <x:v>EL-MON-COURT-008:C01:沉没王庭:3层</x:v>
      </x:c>
    </x:row>
    <x:row r="1261" ht="24" customHeight="1">
      <x:c r="A1261" s="22" t="n">
        <x:v>1257</x:v>
      </x:c>
      <x:c r="B1261" s="22" t="str">
        <x:v>基准人物可承受普通单击</x:v>
      </x:c>
      <x:c r="C1261" s="22" t="str">
        <x:v>通过</x:v>
      </x:c>
      <x:c r="D1261" s="22" t="str">
        <x:v>EL-MON-COURT-009:C01:沉没王庭:3层</x:v>
      </x:c>
    </x:row>
    <x:row r="1262" ht="24" customHeight="1">
      <x:c r="A1262" s="22" t="n">
        <x:v>1258</x:v>
      </x:c>
      <x:c r="B1262" s="22" t="str">
        <x:v>基准人物可承受普通单击</x:v>
      </x:c>
      <x:c r="C1262" s="22" t="str">
        <x:v>通过</x:v>
      </x:c>
      <x:c r="D1262" s="22" t="str">
        <x:v>EL-MON-COURT-010:C01:沉没王庭:3层</x:v>
      </x:c>
    </x:row>
    <x:row r="1263" ht="24" customHeight="1">
      <x:c r="A1263" s="22" t="n">
        <x:v>1259</x:v>
      </x:c>
      <x:c r="B1263" s="22" t="str">
        <x:v>基准人物可承受普通单击</x:v>
      </x:c>
      <x:c r="C1263" s="22" t="str">
        <x:v>通过</x:v>
      </x:c>
      <x:c r="D1263" s="22" t="str">
        <x:v>EL-MON-COURT-011:C01:沉没王庭:2层</x:v>
      </x:c>
    </x:row>
    <x:row r="1264" ht="24" customHeight="1">
      <x:c r="A1264" s="22" t="n">
        <x:v>1260</x:v>
      </x:c>
      <x:c r="B1264" s="22" t="str">
        <x:v>基准人物可承受普通单击</x:v>
      </x:c>
      <x:c r="C1264" s="22" t="str">
        <x:v>通过</x:v>
      </x:c>
      <x:c r="D1264" s="22" t="str">
        <x:v>EL-MON-COURT-012:C01:沉没王庭:3层</x:v>
      </x:c>
    </x:row>
    <x:row r="1265" ht="24" customHeight="1">
      <x:c r="A1265" s="22" t="n">
        <x:v>1261</x:v>
      </x:c>
      <x:c r="B1265" s="22" t="str">
        <x:v>基准人物可承受普通单击</x:v>
      </x:c>
      <x:c r="C1265" s="22" t="str">
        <x:v>通过</x:v>
      </x:c>
      <x:c r="D1265" s="22" t="str">
        <x:v>EL-MON-COURT-013:C01:沉没王庭:4层</x:v>
      </x:c>
    </x:row>
    <x:row r="1266" ht="24" customHeight="1">
      <x:c r="A1266" s="22" t="n">
        <x:v>1262</x:v>
      </x:c>
      <x:c r="B1266" s="22" t="str">
        <x:v>基准人物可承受普通单击</x:v>
      </x:c>
      <x:c r="C1266" s="22" t="str">
        <x:v>通过</x:v>
      </x:c>
      <x:c r="D1266" s="22" t="str">
        <x:v>EL-MON-LIM-GRAVE-001:XX346</x:v>
      </x:c>
    </x:row>
    <x:row r="1267" ht="24" customHeight="1">
      <x:c r="A1267" s="22" t="n">
        <x:v>1263</x:v>
      </x:c>
      <x:c r="B1267" s="22" t="str">
        <x:v>基准人物可承受普通单击</x:v>
      </x:c>
      <x:c r="C1267" s="22" t="str">
        <x:v>通过</x:v>
      </x:c>
      <x:c r="D1267" s="22" t="str">
        <x:v>EL-MON-LIM-GRAVE-002:XX346</x:v>
      </x:c>
    </x:row>
    <x:row r="1268" ht="24" customHeight="1">
      <x:c r="A1268" s="22" t="n">
        <x:v>1264</x:v>
      </x:c>
      <x:c r="B1268" s="22" t="str">
        <x:v>基准人物可承受普通单击</x:v>
      </x:c>
      <x:c r="C1268" s="22" t="str">
        <x:v>通过</x:v>
      </x:c>
      <x:c r="D1268" s="22" t="str">
        <x:v>EL-MON-LIM-GRAVE-003:XX346</x:v>
      </x:c>
    </x:row>
    <x:row r="1269" ht="24" customHeight="1">
      <x:c r="A1269" s="22" t="n">
        <x:v>1265</x:v>
      </x:c>
      <x:c r="B1269" s="22" t="str">
        <x:v>基准人物可承受普通单击</x:v>
      </x:c>
      <x:c r="C1269" s="22" t="str">
        <x:v>通过</x:v>
      </x:c>
      <x:c r="D1269" s="22" t="str">
        <x:v>EL-MON-LIM-GRAVE-003:XX347</x:v>
      </x:c>
    </x:row>
    <x:row r="1270" ht="24" customHeight="1">
      <x:c r="A1270" s="22" t="n">
        <x:v>1266</x:v>
      </x:c>
      <x:c r="B1270" s="22" t="str">
        <x:v>基准人物可承受普通单击</x:v>
      </x:c>
      <x:c r="C1270" s="22" t="str">
        <x:v>通过</x:v>
      </x:c>
      <x:c r="D1270" s="22" t="str">
        <x:v>EL-MON-LIM-GRAVE-004:XX346</x:v>
      </x:c>
    </x:row>
    <x:row r="1271" ht="24" customHeight="1">
      <x:c r="A1271" s="22" t="n">
        <x:v>1267</x:v>
      </x:c>
      <x:c r="B1271" s="22" t="str">
        <x:v>基准人物可承受普通单击</x:v>
      </x:c>
      <x:c r="C1271" s="22" t="str">
        <x:v>通过</x:v>
      </x:c>
      <x:c r="D1271" s="22" t="str">
        <x:v>EL-MON-LIM-GRAVE-004:XX347</x:v>
      </x:c>
    </x:row>
    <x:row r="1272" ht="24" customHeight="1">
      <x:c r="A1272" s="22" t="n">
        <x:v>1268</x:v>
      </x:c>
      <x:c r="B1272" s="22" t="str">
        <x:v>基准人物可承受普通单击</x:v>
      </x:c>
      <x:c r="C1272" s="22" t="str">
        <x:v>通过</x:v>
      </x:c>
      <x:c r="D1272" s="22" t="str">
        <x:v>EL-MON-LIM-GRAVE-005:XX347</x:v>
      </x:c>
    </x:row>
    <x:row r="1273" ht="24" customHeight="1">
      <x:c r="A1273" s="22" t="n">
        <x:v>1269</x:v>
      </x:c>
      <x:c r="B1273" s="22" t="str">
        <x:v>基准人物可承受普通单击</x:v>
      </x:c>
      <x:c r="C1273" s="22" t="str">
        <x:v>通过</x:v>
      </x:c>
      <x:c r="D1273" s="22" t="str">
        <x:v>EL-MON-LIM-GRAVE-005:XX348</x:v>
      </x:c>
    </x:row>
    <x:row r="1274" ht="24" customHeight="1">
      <x:c r="A1274" s="22" t="n">
        <x:v>1270</x:v>
      </x:c>
      <x:c r="B1274" s="22" t="str">
        <x:v>基准人物可承受普通单击</x:v>
      </x:c>
      <x:c r="C1274" s="22" t="str">
        <x:v>通过</x:v>
      </x:c>
      <x:c r="D1274" s="22" t="str">
        <x:v>EL-MON-LIM-GRAVE-006:XX347</x:v>
      </x:c>
    </x:row>
    <x:row r="1275" ht="24" customHeight="1">
      <x:c r="A1275" s="22" t="n">
        <x:v>1271</x:v>
      </x:c>
      <x:c r="B1275" s="22" t="str">
        <x:v>基准人物可承受普通单击</x:v>
      </x:c>
      <x:c r="C1275" s="22" t="str">
        <x:v>通过</x:v>
      </x:c>
      <x:c r="D1275" s="22" t="str">
        <x:v>EL-MON-LIM-GRAVE-006:XX348</x:v>
      </x:c>
    </x:row>
    <x:row r="1276" ht="24" customHeight="1">
      <x:c r="A1276" s="22" t="n">
        <x:v>1272</x:v>
      </x:c>
      <x:c r="B1276" s="22" t="str">
        <x:v>基准人物可承受普通单击</x:v>
      </x:c>
      <x:c r="C1276" s="22" t="str">
        <x:v>通过</x:v>
      </x:c>
      <x:c r="D1276" s="22" t="str">
        <x:v>EL-MON-LIM-GRAVE-007:XX346</x:v>
      </x:c>
    </x:row>
    <x:row r="1277" ht="24" customHeight="1">
      <x:c r="A1277" s="22" t="n">
        <x:v>1273</x:v>
      </x:c>
      <x:c r="B1277" s="22" t="str">
        <x:v>基准人物可承受普通单击</x:v>
      </x:c>
      <x:c r="C1277" s="22" t="str">
        <x:v>通过</x:v>
      </x:c>
      <x:c r="D1277" s="22" t="str">
        <x:v>EL-MON-LIM-GRAVE-007:XX347</x:v>
      </x:c>
    </x:row>
    <x:row r="1278" ht="24" customHeight="1">
      <x:c r="A1278" s="22" t="n">
        <x:v>1274</x:v>
      </x:c>
      <x:c r="B1278" s="22" t="str">
        <x:v>基准人物可承受普通单击</x:v>
      </x:c>
      <x:c r="C1278" s="22" t="str">
        <x:v>通过</x:v>
      </x:c>
      <x:c r="D1278" s="22" t="str">
        <x:v>EL-MON-LIM-GRAVE-008:XX347</x:v>
      </x:c>
    </x:row>
    <x:row r="1279" ht="24" customHeight="1">
      <x:c r="A1279" s="22" t="n">
        <x:v>1275</x:v>
      </x:c>
      <x:c r="B1279" s="22" t="str">
        <x:v>基准人物可承受普通单击</x:v>
      </x:c>
      <x:c r="C1279" s="22" t="str">
        <x:v>通过</x:v>
      </x:c>
      <x:c r="D1279" s="22" t="str">
        <x:v>EL-MON-LIM-GRAVE-009:XX347</x:v>
      </x:c>
    </x:row>
    <x:row r="1280" ht="24" customHeight="1">
      <x:c r="A1280" s="22" t="n">
        <x:v>1276</x:v>
      </x:c>
      <x:c r="B1280" s="22" t="str">
        <x:v>基准人物可承受普通单击</x:v>
      </x:c>
      <x:c r="C1280" s="22" t="str">
        <x:v>通过</x:v>
      </x:c>
      <x:c r="D1280" s="22" t="str">
        <x:v>EL-MON-LIM-GRAVE-009:XX348</x:v>
      </x:c>
    </x:row>
    <x:row r="1281" ht="24" customHeight="1">
      <x:c r="A1281" s="22" t="n">
        <x:v>1277</x:v>
      </x:c>
      <x:c r="B1281" s="22" t="str">
        <x:v>基准人物可承受普通单击</x:v>
      </x:c>
      <x:c r="C1281" s="22" t="str">
        <x:v>通过</x:v>
      </x:c>
      <x:c r="D1281" s="22" t="str">
        <x:v>EL-MON-LIM-GRAVE-010:XX348</x:v>
      </x:c>
    </x:row>
    <x:row r="1282" ht="24" customHeight="1">
      <x:c r="A1282" s="22" t="n">
        <x:v>1278</x:v>
      </x:c>
      <x:c r="B1282" s="22" t="str">
        <x:v>基准人物可承受普通单击</x:v>
      </x:c>
      <x:c r="C1282" s="22" t="str">
        <x:v>通过</x:v>
      </x:c>
      <x:c r="D1282" s="22" t="str">
        <x:v>EL-MON-LIM-GRAVE-011:XX348</x:v>
      </x:c>
    </x:row>
    <x:row r="1283" ht="24" customHeight="1">
      <x:c r="A1283" s="22" t="n">
        <x:v>1279</x:v>
      </x:c>
      <x:c r="B1283" s="22" t="str">
        <x:v>基准人物可承受普通单击</x:v>
      </x:c>
      <x:c r="C1283" s="22" t="str">
        <x:v>通过</x:v>
      </x:c>
      <x:c r="D1283" s="22" t="str">
        <x:v>EL-MON-LIM-GRAVE-012:XX348</x:v>
      </x:c>
    </x:row>
    <x:row r="1284" ht="24" customHeight="1">
      <x:c r="A1284" s="22" t="n">
        <x:v>1280</x:v>
      </x:c>
      <x:c r="B1284" s="22" t="str">
        <x:v>基准人物可承受普通单击</x:v>
      </x:c>
      <x:c r="C1284" s="22" t="str">
        <x:v>通过</x:v>
      </x:c>
      <x:c r="D1284" s="22" t="str">
        <x:v>EL-MON-LIM-GATE-001:XX125</x:v>
      </x:c>
    </x:row>
    <x:row r="1285" ht="24" customHeight="1">
      <x:c r="A1285" s="22" t="n">
        <x:v>1281</x:v>
      </x:c>
      <x:c r="B1285" s="22" t="str">
        <x:v>基准人物可承受普通单击</x:v>
      </x:c>
      <x:c r="C1285" s="22" t="str">
        <x:v>通过</x:v>
      </x:c>
      <x:c r="D1285" s="22" t="str">
        <x:v>EL-MON-LIM-GATE-002:XX125</x:v>
      </x:c>
    </x:row>
    <x:row r="1286" ht="24" customHeight="1">
      <x:c r="A1286" s="22" t="n">
        <x:v>1282</x:v>
      </x:c>
      <x:c r="B1286" s="22" t="str">
        <x:v>基准人物可承受普通单击</x:v>
      </x:c>
      <x:c r="C1286" s="22" t="str">
        <x:v>通过</x:v>
      </x:c>
      <x:c r="D1286" s="22" t="str">
        <x:v>EL-MON-LIM-GATE-003:XX125</x:v>
      </x:c>
    </x:row>
    <x:row r="1287" ht="24" customHeight="1">
      <x:c r="A1287" s="22" t="n">
        <x:v>1283</x:v>
      </x:c>
      <x:c r="B1287" s="22" t="str">
        <x:v>基准人物可承受普通单击</x:v>
      </x:c>
      <x:c r="C1287" s="22" t="str">
        <x:v>通过</x:v>
      </x:c>
      <x:c r="D1287" s="22" t="str">
        <x:v>EL-MON-LIM-GATE-003:XX126</x:v>
      </x:c>
    </x:row>
    <x:row r="1288" ht="24" customHeight="1">
      <x:c r="A1288" s="22" t="n">
        <x:v>1284</x:v>
      </x:c>
      <x:c r="B1288" s="22" t="str">
        <x:v>基准人物可承受普通单击</x:v>
      </x:c>
      <x:c r="C1288" s="22" t="str">
        <x:v>通过</x:v>
      </x:c>
      <x:c r="D1288" s="22" t="str">
        <x:v>EL-MON-LIM-GATE-004:XX125</x:v>
      </x:c>
    </x:row>
    <x:row r="1289" ht="24" customHeight="1">
      <x:c r="A1289" s="22" t="n">
        <x:v>1285</x:v>
      </x:c>
      <x:c r="B1289" s="22" t="str">
        <x:v>基准人物可承受普通单击</x:v>
      </x:c>
      <x:c r="C1289" s="22" t="str">
        <x:v>通过</x:v>
      </x:c>
      <x:c r="D1289" s="22" t="str">
        <x:v>EL-MON-LIM-GATE-004:XX126</x:v>
      </x:c>
    </x:row>
    <x:row r="1290" ht="24" customHeight="1">
      <x:c r="A1290" s="22" t="n">
        <x:v>1286</x:v>
      </x:c>
      <x:c r="B1290" s="22" t="str">
        <x:v>基准人物可承受普通单击</x:v>
      </x:c>
      <x:c r="C1290" s="22" t="str">
        <x:v>通过</x:v>
      </x:c>
      <x:c r="D1290" s="22" t="str">
        <x:v>EL-MON-LIM-GATE-005:XX126</x:v>
      </x:c>
    </x:row>
    <x:row r="1291" ht="24" customHeight="1">
      <x:c r="A1291" s="22" t="n">
        <x:v>1287</x:v>
      </x:c>
      <x:c r="B1291" s="22" t="str">
        <x:v>基准人物可承受普通单击</x:v>
      </x:c>
      <x:c r="C1291" s="22" t="str">
        <x:v>通过</x:v>
      </x:c>
      <x:c r="D1291" s="22" t="str">
        <x:v>EL-MON-LIM-GATE-005:XX115</x:v>
      </x:c>
    </x:row>
    <x:row r="1292" ht="24" customHeight="1">
      <x:c r="A1292" s="22" t="n">
        <x:v>1288</x:v>
      </x:c>
      <x:c r="B1292" s="22" t="str">
        <x:v>基准人物可承受普通单击</x:v>
      </x:c>
      <x:c r="C1292" s="22" t="str">
        <x:v>通过</x:v>
      </x:c>
      <x:c r="D1292" s="22" t="str">
        <x:v>EL-MON-LIM-GATE-006:XX126</x:v>
      </x:c>
    </x:row>
    <x:row r="1293" ht="24" customHeight="1">
      <x:c r="A1293" s="22" t="n">
        <x:v>1289</x:v>
      </x:c>
      <x:c r="B1293" s="22" t="str">
        <x:v>基准人物可承受普通单击</x:v>
      </x:c>
      <x:c r="C1293" s="22" t="str">
        <x:v>通过</x:v>
      </x:c>
      <x:c r="D1293" s="22" t="str">
        <x:v>EL-MON-LIM-GATE-006:XX115</x:v>
      </x:c>
    </x:row>
    <x:row r="1294" ht="24" customHeight="1">
      <x:c r="A1294" s="22" t="n">
        <x:v>1290</x:v>
      </x:c>
      <x:c r="B1294" s="22" t="str">
        <x:v>基准人物可承受普通单击</x:v>
      </x:c>
      <x:c r="C1294" s="22" t="str">
        <x:v>通过</x:v>
      </x:c>
      <x:c r="D1294" s="22" t="str">
        <x:v>EL-MON-LIM-GATE-007:XX125</x:v>
      </x:c>
    </x:row>
    <x:row r="1295" ht="24" customHeight="1">
      <x:c r="A1295" s="22" t="n">
        <x:v>1291</x:v>
      </x:c>
      <x:c r="B1295" s="22" t="str">
        <x:v>基准人物可承受普通单击</x:v>
      </x:c>
      <x:c r="C1295" s="22" t="str">
        <x:v>通过</x:v>
      </x:c>
      <x:c r="D1295" s="22" t="str">
        <x:v>EL-MON-LIM-GATE-007:XX126</x:v>
      </x:c>
    </x:row>
    <x:row r="1296" ht="24" customHeight="1">
      <x:c r="A1296" s="22" t="n">
        <x:v>1292</x:v>
      </x:c>
      <x:c r="B1296" s="22" t="str">
        <x:v>基准人物可承受普通单击</x:v>
      </x:c>
      <x:c r="C1296" s="22" t="str">
        <x:v>通过</x:v>
      </x:c>
      <x:c r="D1296" s="22" t="str">
        <x:v>EL-MON-LIM-GATE-008:XX126</x:v>
      </x:c>
    </x:row>
    <x:row r="1297" ht="24" customHeight="1">
      <x:c r="A1297" s="22" t="n">
        <x:v>1293</x:v>
      </x:c>
      <x:c r="B1297" s="22" t="str">
        <x:v>基准人物可承受普通单击</x:v>
      </x:c>
      <x:c r="C1297" s="22" t="str">
        <x:v>通过</x:v>
      </x:c>
      <x:c r="D1297" s="22" t="str">
        <x:v>EL-MON-LIM-GATE-009:XX126</x:v>
      </x:c>
    </x:row>
    <x:row r="1298" ht="24" customHeight="1">
      <x:c r="A1298" s="22" t="n">
        <x:v>1294</x:v>
      </x:c>
      <x:c r="B1298" s="22" t="str">
        <x:v>基准人物可承受普通单击</x:v>
      </x:c>
      <x:c r="C1298" s="22" t="str">
        <x:v>通过</x:v>
      </x:c>
      <x:c r="D1298" s="22" t="str">
        <x:v>EL-MON-LIM-GATE-009:XX115</x:v>
      </x:c>
    </x:row>
    <x:row r="1299" ht="24" customHeight="1">
      <x:c r="A1299" s="22" t="n">
        <x:v>1295</x:v>
      </x:c>
      <x:c r="B1299" s="22" t="str">
        <x:v>基准人物可承受普通单击</x:v>
      </x:c>
      <x:c r="C1299" s="22" t="str">
        <x:v>通过</x:v>
      </x:c>
      <x:c r="D1299" s="22" t="str">
        <x:v>EL-MON-LIM-GATE-010:XX115</x:v>
      </x:c>
    </x:row>
    <x:row r="1300" ht="24" customHeight="1">
      <x:c r="A1300" s="22" t="n">
        <x:v>1296</x:v>
      </x:c>
      <x:c r="B1300" s="22" t="str">
        <x:v>基准人物可承受普通单击</x:v>
      </x:c>
      <x:c r="C1300" s="22" t="str">
        <x:v>通过</x:v>
      </x:c>
      <x:c r="D1300" s="22" t="str">
        <x:v>EL-MON-LIM-GATE-011:XX115</x:v>
      </x:c>
    </x:row>
    <x:row r="1301" ht="24" customHeight="1">
      <x:c r="A1301" s="22" t="n">
        <x:v>1297</x:v>
      </x:c>
      <x:c r="B1301" s="22" t="str">
        <x:v>基准人物可承受普通单击</x:v>
      </x:c>
      <x:c r="C1301" s="22" t="str">
        <x:v>通过</x:v>
      </x:c>
      <x:c r="D1301" s="22" t="str">
        <x:v>EL-MON-LIM-GATE-012:XX115</x:v>
      </x:c>
    </x:row>
    <x:row r="1302" ht="24" customHeight="1">
      <x:c r="A1302" s="22" t="n">
        <x:v>1298</x:v>
      </x:c>
      <x:c r="B1302" s="22" t="str">
        <x:v>基准人物可承受普通单击</x:v>
      </x:c>
      <x:c r="C1302" s="22" t="str">
        <x:v>通过</x:v>
      </x:c>
      <x:c r="D1302" s="22" t="str">
        <x:v>EL-MON-LIM-MIST-001:XX171</x:v>
      </x:c>
    </x:row>
    <x:row r="1303" ht="24" customHeight="1">
      <x:c r="A1303" s="22" t="n">
        <x:v>1299</x:v>
      </x:c>
      <x:c r="B1303" s="22" t="str">
        <x:v>基准人物可承受普通单击</x:v>
      </x:c>
      <x:c r="C1303" s="22" t="str">
        <x:v>通过</x:v>
      </x:c>
      <x:c r="D1303" s="22" t="str">
        <x:v>EL-MON-LIM-MIST-002:XX171</x:v>
      </x:c>
    </x:row>
    <x:row r="1304" ht="24" customHeight="1">
      <x:c r="A1304" s="22" t="n">
        <x:v>1300</x:v>
      </x:c>
      <x:c r="B1304" s="22" t="str">
        <x:v>基准人物可承受普通单击</x:v>
      </x:c>
      <x:c r="C1304" s="22" t="str">
        <x:v>通过</x:v>
      </x:c>
      <x:c r="D1304" s="22" t="str">
        <x:v>EL-MON-LIM-MIST-002:XX170</x:v>
      </x:c>
    </x:row>
    <x:row r="1305" ht="24" customHeight="1">
      <x:c r="A1305" s="22" t="n">
        <x:v>1301</x:v>
      </x:c>
      <x:c r="B1305" s="22" t="str">
        <x:v>基准人物可承受普通单击</x:v>
      </x:c>
      <x:c r="C1305" s="22" t="str">
        <x:v>通过</x:v>
      </x:c>
      <x:c r="D1305" s="22" t="str">
        <x:v>EL-MON-LIM-MIST-003:XX171</x:v>
      </x:c>
    </x:row>
    <x:row r="1306" ht="24" customHeight="1">
      <x:c r="A1306" s="22" t="n">
        <x:v>1302</x:v>
      </x:c>
      <x:c r="B1306" s="22" t="str">
        <x:v>基准人物可承受普通单击</x:v>
      </x:c>
      <x:c r="C1306" s="22" t="str">
        <x:v>通过</x:v>
      </x:c>
      <x:c r="D1306" s="22" t="str">
        <x:v>EL-MON-LIM-MIST-004:XX171</x:v>
      </x:c>
    </x:row>
    <x:row r="1307" ht="24" customHeight="1">
      <x:c r="A1307" s="22" t="n">
        <x:v>1303</x:v>
      </x:c>
      <x:c r="B1307" s="22" t="str">
        <x:v>基准人物可承受普通单击</x:v>
      </x:c>
      <x:c r="C1307" s="22" t="str">
        <x:v>通过</x:v>
      </x:c>
      <x:c r="D1307" s="22" t="str">
        <x:v>EL-MON-LIM-MIST-004:XX170</x:v>
      </x:c>
    </x:row>
    <x:row r="1308" ht="24" customHeight="1">
      <x:c r="A1308" s="22" t="n">
        <x:v>1304</x:v>
      </x:c>
      <x:c r="B1308" s="22" t="str">
        <x:v>基准人物可承受普通单击</x:v>
      </x:c>
      <x:c r="C1308" s="22" t="str">
        <x:v>通过</x:v>
      </x:c>
      <x:c r="D1308" s="22" t="str">
        <x:v>EL-MON-LIM-MIST-005:XX170</x:v>
      </x:c>
    </x:row>
    <x:row r="1309" ht="24" customHeight="1">
      <x:c r="A1309" s="22" t="n">
        <x:v>1305</x:v>
      </x:c>
      <x:c r="B1309" s="22" t="str">
        <x:v>基准人物可承受普通单击</x:v>
      </x:c>
      <x:c r="C1309" s="22" t="str">
        <x:v>通过</x:v>
      </x:c>
      <x:c r="D1309" s="22" t="str">
        <x:v>EL-MON-LIM-MIST-005:XX167</x:v>
      </x:c>
    </x:row>
    <x:row r="1310" ht="24" customHeight="1">
      <x:c r="A1310" s="22" t="n">
        <x:v>1306</x:v>
      </x:c>
      <x:c r="B1310" s="22" t="str">
        <x:v>基准人物可承受普通单击</x:v>
      </x:c>
      <x:c r="C1310" s="22" t="str">
        <x:v>通过</x:v>
      </x:c>
      <x:c r="D1310" s="22" t="str">
        <x:v>EL-MON-LIM-MIST-006:XX170</x:v>
      </x:c>
    </x:row>
    <x:row r="1311" ht="24" customHeight="1">
      <x:c r="A1311" s="22" t="n">
        <x:v>1307</x:v>
      </x:c>
      <x:c r="B1311" s="22" t="str">
        <x:v>基准人物可承受普通单击</x:v>
      </x:c>
      <x:c r="C1311" s="22" t="str">
        <x:v>通过</x:v>
      </x:c>
      <x:c r="D1311" s="22" t="str">
        <x:v>EL-MON-LIM-MIST-006:XX167</x:v>
      </x:c>
    </x:row>
    <x:row r="1312" ht="24" customHeight="1">
      <x:c r="A1312" s="22" t="n">
        <x:v>1308</x:v>
      </x:c>
      <x:c r="B1312" s="22" t="str">
        <x:v>基准人物可承受普通单击</x:v>
      </x:c>
      <x:c r="C1312" s="22" t="str">
        <x:v>通过</x:v>
      </x:c>
      <x:c r="D1312" s="22" t="str">
        <x:v>EL-MON-LIM-MIST-007:XX171</x:v>
      </x:c>
    </x:row>
    <x:row r="1313" ht="24" customHeight="1">
      <x:c r="A1313" s="22" t="n">
        <x:v>1309</x:v>
      </x:c>
      <x:c r="B1313" s="22" t="str">
        <x:v>基准人物可承受普通单击</x:v>
      </x:c>
      <x:c r="C1313" s="22" t="str">
        <x:v>通过</x:v>
      </x:c>
      <x:c r="D1313" s="22" t="str">
        <x:v>EL-MON-LIM-MIST-007:XX170</x:v>
      </x:c>
    </x:row>
    <x:row r="1314" ht="24" customHeight="1">
      <x:c r="A1314" s="22" t="n">
        <x:v>1310</x:v>
      </x:c>
      <x:c r="B1314" s="22" t="str">
        <x:v>基准人物可承受普通单击</x:v>
      </x:c>
      <x:c r="C1314" s="22" t="str">
        <x:v>通过</x:v>
      </x:c>
      <x:c r="D1314" s="22" t="str">
        <x:v>EL-MON-LIM-MIST-008:XX170</x:v>
      </x:c>
    </x:row>
    <x:row r="1315" ht="24" customHeight="1">
      <x:c r="A1315" s="22" t="n">
        <x:v>1311</x:v>
      </x:c>
      <x:c r="B1315" s="22" t="str">
        <x:v>基准人物可承受普通单击</x:v>
      </x:c>
      <x:c r="C1315" s="22" t="str">
        <x:v>通过</x:v>
      </x:c>
      <x:c r="D1315" s="22" t="str">
        <x:v>EL-MON-LIM-MIST-009:XX170</x:v>
      </x:c>
    </x:row>
    <x:row r="1316" ht="24" customHeight="1">
      <x:c r="A1316" s="22" t="n">
        <x:v>1312</x:v>
      </x:c>
      <x:c r="B1316" s="22" t="str">
        <x:v>基准人物可承受普通单击</x:v>
      </x:c>
      <x:c r="C1316" s="22" t="str">
        <x:v>通过</x:v>
      </x:c>
      <x:c r="D1316" s="22" t="str">
        <x:v>EL-MON-LIM-MIST-009:XX167</x:v>
      </x:c>
    </x:row>
    <x:row r="1317" ht="24" customHeight="1">
      <x:c r="A1317" s="22" t="n">
        <x:v>1313</x:v>
      </x:c>
      <x:c r="B1317" s="22" t="str">
        <x:v>基准人物可承受普通单击</x:v>
      </x:c>
      <x:c r="C1317" s="22" t="str">
        <x:v>通过</x:v>
      </x:c>
      <x:c r="D1317" s="22" t="str">
        <x:v>EL-MON-LIM-MIST-010:XX167</x:v>
      </x:c>
    </x:row>
    <x:row r="1318" ht="24" customHeight="1">
      <x:c r="A1318" s="22" t="n">
        <x:v>1314</x:v>
      </x:c>
      <x:c r="B1318" s="22" t="str">
        <x:v>基准人物可承受普通单击</x:v>
      </x:c>
      <x:c r="C1318" s="22" t="str">
        <x:v>通过</x:v>
      </x:c>
      <x:c r="D1318" s="22" t="str">
        <x:v>EL-MON-LIM-MIST-011:XX167</x:v>
      </x:c>
    </x:row>
    <x:row r="1319" ht="24" customHeight="1">
      <x:c r="A1319" s="22" t="n">
        <x:v>1315</x:v>
      </x:c>
      <x:c r="B1319" s="22" t="str">
        <x:v>基准人物可承受普通单击</x:v>
      </x:c>
      <x:c r="C1319" s="22" t="str">
        <x:v>通过</x:v>
      </x:c>
      <x:c r="D1319" s="22" t="str">
        <x:v>EL-MON-LIM-MIST-012:XX167</x:v>
      </x:c>
    </x:row>
    <x:row r="1320" ht="24" customHeight="1">
      <x:c r="A1320" s="22" t="n">
        <x:v>1316</x:v>
      </x:c>
      <x:c r="B1320" s="22" t="str">
        <x:v>基准人物可承受普通单击</x:v>
      </x:c>
      <x:c r="C1320" s="22" t="str">
        <x:v>通过</x:v>
      </x:c>
      <x:c r="D1320" s="22" t="str">
        <x:v>EL-MON-LIM-STORM-001:XX248</x:v>
      </x:c>
    </x:row>
    <x:row r="1321" ht="24" customHeight="1">
      <x:c r="A1321" s="22" t="n">
        <x:v>1317</x:v>
      </x:c>
      <x:c r="B1321" s="22" t="str">
        <x:v>基准人物可承受普通单击</x:v>
      </x:c>
      <x:c r="C1321" s="22" t="str">
        <x:v>通过</x:v>
      </x:c>
      <x:c r="D1321" s="22" t="str">
        <x:v>EL-MON-LIM-STORM-002:XX248</x:v>
      </x:c>
    </x:row>
    <x:row r="1322" ht="24" customHeight="1">
      <x:c r="A1322" s="22" t="n">
        <x:v>1318</x:v>
      </x:c>
      <x:c r="B1322" s="22" t="str">
        <x:v>基准人物可承受普通单击</x:v>
      </x:c>
      <x:c r="C1322" s="22" t="str">
        <x:v>通过</x:v>
      </x:c>
      <x:c r="D1322" s="22" t="str">
        <x:v>EL-MON-LIM-STORM-003:XX248</x:v>
      </x:c>
    </x:row>
    <x:row r="1323" ht="24" customHeight="1">
      <x:c r="A1323" s="22" t="n">
        <x:v>1319</x:v>
      </x:c>
      <x:c r="B1323" s="22" t="str">
        <x:v>基准人物可承受普通单击</x:v>
      </x:c>
      <x:c r="C1323" s="22" t="str">
        <x:v>通过</x:v>
      </x:c>
      <x:c r="D1323" s="22" t="str">
        <x:v>EL-MON-LIM-STORM-003:XX246</x:v>
      </x:c>
    </x:row>
    <x:row r="1324" ht="24" customHeight="1">
      <x:c r="A1324" s="22" t="n">
        <x:v>1320</x:v>
      </x:c>
      <x:c r="B1324" s="22" t="str">
        <x:v>基准人物可承受普通单击</x:v>
      </x:c>
      <x:c r="C1324" s="22" t="str">
        <x:v>通过</x:v>
      </x:c>
      <x:c r="D1324" s="22" t="str">
        <x:v>EL-MON-LIM-STORM-004:XX248</x:v>
      </x:c>
    </x:row>
    <x:row r="1325" ht="24" customHeight="1">
      <x:c r="A1325" s="22" t="n">
        <x:v>1321</x:v>
      </x:c>
      <x:c r="B1325" s="22" t="str">
        <x:v>基准人物可承受普通单击</x:v>
      </x:c>
      <x:c r="C1325" s="22" t="str">
        <x:v>通过</x:v>
      </x:c>
      <x:c r="D1325" s="22" t="str">
        <x:v>EL-MON-LIM-STORM-004:XX246</x:v>
      </x:c>
    </x:row>
    <x:row r="1326" ht="24" customHeight="1">
      <x:c r="A1326" s="22" t="n">
        <x:v>1322</x:v>
      </x:c>
      <x:c r="B1326" s="22" t="str">
        <x:v>基准人物可承受普通单击</x:v>
      </x:c>
      <x:c r="C1326" s="22" t="str">
        <x:v>通过</x:v>
      </x:c>
      <x:c r="D1326" s="22" t="str">
        <x:v>EL-MON-LIM-STORM-005:XX246</x:v>
      </x:c>
    </x:row>
    <x:row r="1327" ht="24" customHeight="1">
      <x:c r="A1327" s="22" t="n">
        <x:v>1323</x:v>
      </x:c>
      <x:c r="B1327" s="22" t="str">
        <x:v>基准人物可承受普通单击</x:v>
      </x:c>
      <x:c r="C1327" s="22" t="str">
        <x:v>通过</x:v>
      </x:c>
      <x:c r="D1327" s="22" t="str">
        <x:v>EL-MON-LIM-STORM-005:XX101</x:v>
      </x:c>
    </x:row>
    <x:row r="1328" ht="24" customHeight="1">
      <x:c r="A1328" s="22" t="n">
        <x:v>1324</x:v>
      </x:c>
      <x:c r="B1328" s="22" t="str">
        <x:v>基准人物可承受普通单击</x:v>
      </x:c>
      <x:c r="C1328" s="22" t="str">
        <x:v>通过</x:v>
      </x:c>
      <x:c r="D1328" s="22" t="str">
        <x:v>EL-MON-LIM-STORM-006:XX246</x:v>
      </x:c>
    </x:row>
    <x:row r="1329" ht="24" customHeight="1">
      <x:c r="A1329" s="22" t="n">
        <x:v>1325</x:v>
      </x:c>
      <x:c r="B1329" s="22" t="str">
        <x:v>基准人物可承受普通单击</x:v>
      </x:c>
      <x:c r="C1329" s="22" t="str">
        <x:v>通过</x:v>
      </x:c>
      <x:c r="D1329" s="22" t="str">
        <x:v>EL-MON-LIM-STORM-006:XX101</x:v>
      </x:c>
    </x:row>
    <x:row r="1330" ht="24" customHeight="1">
      <x:c r="A1330" s="22" t="n">
        <x:v>1326</x:v>
      </x:c>
      <x:c r="B1330" s="22" t="str">
        <x:v>基准人物可承受普通单击</x:v>
      </x:c>
      <x:c r="C1330" s="22" t="str">
        <x:v>通过</x:v>
      </x:c>
      <x:c r="D1330" s="22" t="str">
        <x:v>EL-MON-LIM-STORM-007:XX248</x:v>
      </x:c>
    </x:row>
    <x:row r="1331" ht="24" customHeight="1">
      <x:c r="A1331" s="22" t="n">
        <x:v>1327</x:v>
      </x:c>
      <x:c r="B1331" s="22" t="str">
        <x:v>基准人物可承受普通单击</x:v>
      </x:c>
      <x:c r="C1331" s="22" t="str">
        <x:v>通过</x:v>
      </x:c>
      <x:c r="D1331" s="22" t="str">
        <x:v>EL-MON-LIM-STORM-007:XX246</x:v>
      </x:c>
    </x:row>
    <x:row r="1332" ht="24" customHeight="1">
      <x:c r="A1332" s="22" t="n">
        <x:v>1328</x:v>
      </x:c>
      <x:c r="B1332" s="22" t="str">
        <x:v>基准人物可承受普通单击</x:v>
      </x:c>
      <x:c r="C1332" s="22" t="str">
        <x:v>通过</x:v>
      </x:c>
      <x:c r="D1332" s="22" t="str">
        <x:v>EL-MON-LIM-STORM-008:XX246</x:v>
      </x:c>
    </x:row>
    <x:row r="1333" ht="24" customHeight="1">
      <x:c r="A1333" s="22" t="n">
        <x:v>1329</x:v>
      </x:c>
      <x:c r="B1333" s="22" t="str">
        <x:v>基准人物可承受普通单击</x:v>
      </x:c>
      <x:c r="C1333" s="22" t="str">
        <x:v>通过</x:v>
      </x:c>
      <x:c r="D1333" s="22" t="str">
        <x:v>EL-MON-LIM-STORM-009:XX246</x:v>
      </x:c>
    </x:row>
    <x:row r="1334" ht="24" customHeight="1">
      <x:c r="A1334" s="22" t="n">
        <x:v>1330</x:v>
      </x:c>
      <x:c r="B1334" s="22" t="str">
        <x:v>基准人物可承受普通单击</x:v>
      </x:c>
      <x:c r="C1334" s="22" t="str">
        <x:v>通过</x:v>
      </x:c>
      <x:c r="D1334" s="22" t="str">
        <x:v>EL-MON-LIM-STORM-009:XX101</x:v>
      </x:c>
    </x:row>
    <x:row r="1335" ht="24" customHeight="1">
      <x:c r="A1335" s="22" t="n">
        <x:v>1331</x:v>
      </x:c>
      <x:c r="B1335" s="22" t="str">
        <x:v>基准人物可承受普通单击</x:v>
      </x:c>
      <x:c r="C1335" s="22" t="str">
        <x:v>通过</x:v>
      </x:c>
      <x:c r="D1335" s="22" t="str">
        <x:v>EL-MON-LIM-STORM-010:XX101</x:v>
      </x:c>
    </x:row>
    <x:row r="1336" ht="24" customHeight="1">
      <x:c r="A1336" s="22" t="n">
        <x:v>1332</x:v>
      </x:c>
      <x:c r="B1336" s="22" t="str">
        <x:v>基准人物可承受普通单击</x:v>
      </x:c>
      <x:c r="C1336" s="22" t="str">
        <x:v>通过</x:v>
      </x:c>
      <x:c r="D1336" s="22" t="str">
        <x:v>EL-MON-LIM-STORM-011:XX101</x:v>
      </x:c>
    </x:row>
    <x:row r="1337" ht="24" customHeight="1">
      <x:c r="A1337" s="22" t="n">
        <x:v>1333</x:v>
      </x:c>
      <x:c r="B1337" s="22" t="str">
        <x:v>基准人物可承受普通单击</x:v>
      </x:c>
      <x:c r="C1337" s="22" t="str">
        <x:v>通过</x:v>
      </x:c>
      <x:c r="D1337" s="22" t="str">
        <x:v>EL-MON-LIM-STORM-012:XX101</x:v>
      </x:c>
    </x:row>
    <x:row r="1338" ht="24" customHeight="1">
      <x:c r="A1338" s="22" t="n">
        <x:v>1334</x:v>
      </x:c>
      <x:c r="B1338" s="22" t="str">
        <x:v>基准人物可承受普通单击</x:v>
      </x:c>
      <x:c r="C1338" s="22" t="str">
        <x:v>通过</x:v>
      </x:c>
      <x:c r="D1338" s="22" t="str">
        <x:v>EL-MON-LIM-CASTLE-001:XX144</x:v>
      </x:c>
    </x:row>
    <x:row r="1339" ht="24" customHeight="1">
      <x:c r="A1339" s="22" t="n">
        <x:v>1335</x:v>
      </x:c>
      <x:c r="B1339" s="22" t="str">
        <x:v>基准人物可承受普通单击</x:v>
      </x:c>
      <x:c r="C1339" s="22" t="str">
        <x:v>通过</x:v>
      </x:c>
      <x:c r="D1339" s="22" t="str">
        <x:v>EL-MON-LIM-CASTLE-002:XX144</x:v>
      </x:c>
    </x:row>
    <x:row r="1340" ht="24" customHeight="1">
      <x:c r="A1340" s="22" t="n">
        <x:v>1336</x:v>
      </x:c>
      <x:c r="B1340" s="22" t="str">
        <x:v>基准人物可承受普通单击</x:v>
      </x:c>
      <x:c r="C1340" s="22" t="str">
        <x:v>通过</x:v>
      </x:c>
      <x:c r="D1340" s="22" t="str">
        <x:v>EL-MON-LIM-CASTLE-003:XX144</x:v>
      </x:c>
    </x:row>
    <x:row r="1341" ht="24" customHeight="1">
      <x:c r="A1341" s="22" t="n">
        <x:v>1337</x:v>
      </x:c>
      <x:c r="B1341" s="22" t="str">
        <x:v>基准人物可承受普通单击</x:v>
      </x:c>
      <x:c r="C1341" s="22" t="str">
        <x:v>通过</x:v>
      </x:c>
      <x:c r="D1341" s="22" t="str">
        <x:v>EL-MON-LIM-CASTLE-003:XX143</x:v>
      </x:c>
    </x:row>
    <x:row r="1342" ht="24" customHeight="1">
      <x:c r="A1342" s="22" t="n">
        <x:v>1338</x:v>
      </x:c>
      <x:c r="B1342" s="22" t="str">
        <x:v>基准人物可承受普通单击</x:v>
      </x:c>
      <x:c r="C1342" s="22" t="str">
        <x:v>通过</x:v>
      </x:c>
      <x:c r="D1342" s="22" t="str">
        <x:v>EL-MON-LIM-CASTLE-004:XX144</x:v>
      </x:c>
    </x:row>
    <x:row r="1343" ht="24" customHeight="1">
      <x:c r="A1343" s="22" t="n">
        <x:v>1339</x:v>
      </x:c>
      <x:c r="B1343" s="22" t="str">
        <x:v>基准人物可承受普通单击</x:v>
      </x:c>
      <x:c r="C1343" s="22" t="str">
        <x:v>通过</x:v>
      </x:c>
      <x:c r="D1343" s="22" t="str">
        <x:v>EL-MON-LIM-CASTLE-004:XX143</x:v>
      </x:c>
    </x:row>
    <x:row r="1344" ht="24" customHeight="1">
      <x:c r="A1344" s="22" t="n">
        <x:v>1340</x:v>
      </x:c>
      <x:c r="B1344" s="22" t="str">
        <x:v>基准人物可承受普通单击</x:v>
      </x:c>
      <x:c r="C1344" s="22" t="str">
        <x:v>通过</x:v>
      </x:c>
      <x:c r="D1344" s="22" t="str">
        <x:v>EL-MON-LIM-CASTLE-005:XX143</x:v>
      </x:c>
    </x:row>
    <x:row r="1345" ht="24" customHeight="1">
      <x:c r="A1345" s="22" t="n">
        <x:v>1341</x:v>
      </x:c>
      <x:c r="B1345" s="22" t="str">
        <x:v>基准人物可承受普通单击</x:v>
      </x:c>
      <x:c r="C1345" s="22" t="str">
        <x:v>通过</x:v>
      </x:c>
      <x:c r="D1345" s="22" t="str">
        <x:v>EL-MON-LIM-CASTLE-005:XX145</x:v>
      </x:c>
    </x:row>
    <x:row r="1346" ht="24" customHeight="1">
      <x:c r="A1346" s="22" t="n">
        <x:v>1342</x:v>
      </x:c>
      <x:c r="B1346" s="22" t="str">
        <x:v>基准人物可承受普通单击</x:v>
      </x:c>
      <x:c r="C1346" s="22" t="str">
        <x:v>通过</x:v>
      </x:c>
      <x:c r="D1346" s="22" t="str">
        <x:v>EL-MON-LIM-CASTLE-006:XX143</x:v>
      </x:c>
    </x:row>
    <x:row r="1347" ht="24" customHeight="1">
      <x:c r="A1347" s="22" t="n">
        <x:v>1343</x:v>
      </x:c>
      <x:c r="B1347" s="22" t="str">
        <x:v>基准人物可承受普通单击</x:v>
      </x:c>
      <x:c r="C1347" s="22" t="str">
        <x:v>通过</x:v>
      </x:c>
      <x:c r="D1347" s="22" t="str">
        <x:v>EL-MON-LIM-CASTLE-006:XX145</x:v>
      </x:c>
    </x:row>
    <x:row r="1348" ht="24" customHeight="1">
      <x:c r="A1348" s="22" t="n">
        <x:v>1344</x:v>
      </x:c>
      <x:c r="B1348" s="22" t="str">
        <x:v>基准人物可承受普通单击</x:v>
      </x:c>
      <x:c r="C1348" s="22" t="str">
        <x:v>通过</x:v>
      </x:c>
      <x:c r="D1348" s="22" t="str">
        <x:v>EL-MON-LIM-CASTLE-007:XX144</x:v>
      </x:c>
    </x:row>
    <x:row r="1349" ht="24" customHeight="1">
      <x:c r="A1349" s="22" t="n">
        <x:v>1345</x:v>
      </x:c>
      <x:c r="B1349" s="22" t="str">
        <x:v>基准人物可承受普通单击</x:v>
      </x:c>
      <x:c r="C1349" s="22" t="str">
        <x:v>通过</x:v>
      </x:c>
      <x:c r="D1349" s="22" t="str">
        <x:v>EL-MON-LIM-CASTLE-007:XX143</x:v>
      </x:c>
    </x:row>
    <x:row r="1350" ht="24" customHeight="1">
      <x:c r="A1350" s="22" t="n">
        <x:v>1346</x:v>
      </x:c>
      <x:c r="B1350" s="22" t="str">
        <x:v>基准人物可承受普通单击</x:v>
      </x:c>
      <x:c r="C1350" s="22" t="str">
        <x:v>通过</x:v>
      </x:c>
      <x:c r="D1350" s="22" t="str">
        <x:v>EL-MON-LIM-CASTLE-008:XX143</x:v>
      </x:c>
    </x:row>
    <x:row r="1351" ht="24" customHeight="1">
      <x:c r="A1351" s="22" t="n">
        <x:v>1347</x:v>
      </x:c>
      <x:c r="B1351" s="22" t="str">
        <x:v>基准人物可承受普通单击</x:v>
      </x:c>
      <x:c r="C1351" s="22" t="str">
        <x:v>通过</x:v>
      </x:c>
      <x:c r="D1351" s="22" t="str">
        <x:v>EL-MON-LIM-CASTLE-009:XX143</x:v>
      </x:c>
    </x:row>
    <x:row r="1352" ht="24" customHeight="1">
      <x:c r="A1352" s="22" t="n">
        <x:v>1348</x:v>
      </x:c>
      <x:c r="B1352" s="22" t="str">
        <x:v>基准人物可承受普通单击</x:v>
      </x:c>
      <x:c r="C1352" s="22" t="str">
        <x:v>通过</x:v>
      </x:c>
      <x:c r="D1352" s="22" t="str">
        <x:v>EL-MON-LIM-CASTLE-009:XX145</x:v>
      </x:c>
    </x:row>
    <x:row r="1353" ht="24" customHeight="1">
      <x:c r="A1353" s="22" t="n">
        <x:v>1349</x:v>
      </x:c>
      <x:c r="B1353" s="22" t="str">
        <x:v>基准人物可承受普通单击</x:v>
      </x:c>
      <x:c r="C1353" s="22" t="str">
        <x:v>通过</x:v>
      </x:c>
      <x:c r="D1353" s="22" t="str">
        <x:v>EL-MON-LIM-CASTLE-010:XX145</x:v>
      </x:c>
    </x:row>
    <x:row r="1354" ht="24" customHeight="1">
      <x:c r="A1354" s="22" t="n">
        <x:v>1350</x:v>
      </x:c>
      <x:c r="B1354" s="22" t="str">
        <x:v>基准人物可承受普通单击</x:v>
      </x:c>
      <x:c r="C1354" s="22" t="str">
        <x:v>通过</x:v>
      </x:c>
      <x:c r="D1354" s="22" t="str">
        <x:v>EL-MON-LIM-CASTLE-011:XX145</x:v>
      </x:c>
    </x:row>
    <x:row r="1355" ht="24" customHeight="1">
      <x:c r="A1355" s="22" t="n">
        <x:v>1351</x:v>
      </x:c>
      <x:c r="B1355" s="22" t="str">
        <x:v>基准人物可承受普通单击</x:v>
      </x:c>
      <x:c r="C1355" s="22" t="str">
        <x:v>通过</x:v>
      </x:c>
      <x:c r="D1355" s="22" t="str">
        <x:v>EL-MON-LIM-CASTLE-012:XX145</x:v>
      </x:c>
    </x:row>
    <x:row r="1356" ht="24" customHeight="1">
      <x:c r="A1356" s="22" t="n">
        <x:v>1352</x:v>
      </x:c>
      <x:c r="B1356" s="22" t="str">
        <x:v>基准人物可承受普通单击</x:v>
      </x:c>
      <x:c r="C1356" s="22" t="str">
        <x:v>通过</x:v>
      </x:c>
      <x:c r="D1356" s="22" t="str">
        <x:v>EL-MON-LIM-CASTLE-013:XX279</x:v>
      </x:c>
    </x:row>
    <x:row r="1357" ht="24" customHeight="1">
      <x:c r="A1357" s="22" t="n">
        <x:v>1353</x:v>
      </x:c>
      <x:c r="B1357" s="22" t="str">
        <x:v>基准人物可承受普通单击</x:v>
      </x:c>
      <x:c r="C1357" s="22" t="str">
        <x:v>通过</x:v>
      </x:c>
      <x:c r="D1357" s="22" t="str">
        <x:v>C03-M001:XX776</x:v>
      </x:c>
    </x:row>
    <x:row r="1358" ht="24" customHeight="1">
      <x:c r="A1358" s="22" t="n">
        <x:v>1354</x:v>
      </x:c>
      <x:c r="B1358" s="22" t="str">
        <x:v>基准人物可承受普通单击</x:v>
      </x:c>
      <x:c r="C1358" s="22" t="str">
        <x:v>通过</x:v>
      </x:c>
      <x:c r="D1358" s="22" t="str">
        <x:v>C03-M002:XX775</x:v>
      </x:c>
    </x:row>
    <x:row r="1359" ht="24" customHeight="1">
      <x:c r="A1359" s="22" t="n">
        <x:v>1355</x:v>
      </x:c>
      <x:c r="B1359" s="22" t="str">
        <x:v>基准人物可承受普通单击</x:v>
      </x:c>
      <x:c r="C1359" s="22" t="str">
        <x:v>通过</x:v>
      </x:c>
      <x:c r="D1359" s="22" t="str">
        <x:v>C03-M003:XX780</x:v>
      </x:c>
    </x:row>
    <x:row r="1360" ht="24" customHeight="1">
      <x:c r="A1360" s="22" t="n">
        <x:v>1356</x:v>
      </x:c>
      <x:c r="B1360" s="22" t="str">
        <x:v>基准人物可承受普通单击</x:v>
      </x:c>
      <x:c r="C1360" s="22" t="str">
        <x:v>通过</x:v>
      </x:c>
      <x:c r="D1360" s="22" t="str">
        <x:v>C03-M004:XX780</x:v>
      </x:c>
    </x:row>
    <x:row r="1361" ht="24" customHeight="1">
      <x:c r="A1361" s="22" t="n">
        <x:v>1357</x:v>
      </x:c>
      <x:c r="B1361" s="22" t="str">
        <x:v>基准人物可承受普通单击</x:v>
      </x:c>
      <x:c r="C1361" s="22" t="str">
        <x:v>通过</x:v>
      </x:c>
      <x:c r="D1361" s="22" t="str">
        <x:v>C03-M005:XX776</x:v>
      </x:c>
    </x:row>
    <x:row r="1362" ht="24" customHeight="1">
      <x:c r="A1362" s="22" t="n">
        <x:v>1358</x:v>
      </x:c>
      <x:c r="B1362" s="22" t="str">
        <x:v>基准人物可承受普通单击</x:v>
      </x:c>
      <x:c r="C1362" s="22" t="str">
        <x:v>通过</x:v>
      </x:c>
      <x:c r="D1362" s="22" t="str">
        <x:v>C03-M006:XX778</x:v>
      </x:c>
    </x:row>
    <x:row r="1363" ht="24" customHeight="1">
      <x:c r="A1363" s="22" t="n">
        <x:v>1359</x:v>
      </x:c>
      <x:c r="B1363" s="22" t="str">
        <x:v>基准人物可承受普通单击</x:v>
      </x:c>
      <x:c r="C1363" s="22" t="str">
        <x:v>通过</x:v>
      </x:c>
      <x:c r="D1363" s="22" t="str">
        <x:v>C03-M007:XX776</x:v>
      </x:c>
    </x:row>
    <x:row r="1364" ht="24" customHeight="1">
      <x:c r="A1364" s="22" t="n">
        <x:v>1360</x:v>
      </x:c>
      <x:c r="B1364" s="22" t="str">
        <x:v>基准人物可承受普通单击</x:v>
      </x:c>
      <x:c r="C1364" s="22" t="str">
        <x:v>通过</x:v>
      </x:c>
      <x:c r="D1364" s="22" t="str">
        <x:v>C03-M008:XX775</x:v>
      </x:c>
    </x:row>
    <x:row r="1365" ht="24" customHeight="1">
      <x:c r="A1365" s="22" t="n">
        <x:v>1361</x:v>
      </x:c>
      <x:c r="B1365" s="22" t="str">
        <x:v>基准人物可承受普通单击</x:v>
      </x:c>
      <x:c r="C1365" s="22" t="str">
        <x:v>通过</x:v>
      </x:c>
      <x:c r="D1365" s="22" t="str">
        <x:v>C03-M009:XX780</x:v>
      </x:c>
    </x:row>
    <x:row r="1366" ht="24" customHeight="1">
      <x:c r="A1366" s="22" t="n">
        <x:v>1362</x:v>
      </x:c>
      <x:c r="B1366" s="22" t="str">
        <x:v>基准人物可承受普通单击</x:v>
      </x:c>
      <x:c r="C1366" s="22" t="str">
        <x:v>通过</x:v>
      </x:c>
      <x:c r="D1366" s="22" t="str">
        <x:v>C03-M010:XX778</x:v>
      </x:c>
    </x:row>
    <x:row r="1367" ht="24" customHeight="1">
      <x:c r="A1367" s="22" t="n">
        <x:v>1363</x:v>
      </x:c>
      <x:c r="B1367" s="22" t="str">
        <x:v>基准人物可承受普通单击</x:v>
      </x:c>
      <x:c r="C1367" s="22" t="str">
        <x:v>通过</x:v>
      </x:c>
      <x:c r="D1367" s="22" t="str">
        <x:v>C03-M011:XX775</x:v>
      </x:c>
    </x:row>
    <x:row r="1368" ht="24" customHeight="1">
      <x:c r="A1368" s="22" t="n">
        <x:v>1364</x:v>
      </x:c>
      <x:c r="B1368" s="22" t="str">
        <x:v>基准人物可承受普通单击</x:v>
      </x:c>
      <x:c r="C1368" s="22" t="str">
        <x:v>通过</x:v>
      </x:c>
      <x:c r="D1368" s="22" t="str">
        <x:v>C03-M012:XX778</x:v>
      </x:c>
    </x:row>
    <x:row r="1369" ht="24" customHeight="1">
      <x:c r="A1369" s="22" t="n">
        <x:v>1365</x:v>
      </x:c>
      <x:c r="B1369" s="22" t="str">
        <x:v>基准人物可承受普通单击</x:v>
      </x:c>
      <x:c r="C1369" s="22" t="str">
        <x:v>通过</x:v>
      </x:c>
      <x:c r="D1369" s="22" t="str">
        <x:v>C03-M013:XX332</x:v>
      </x:c>
    </x:row>
    <x:row r="1370" ht="24" customHeight="1">
      <x:c r="A1370" s="22" t="n">
        <x:v>1366</x:v>
      </x:c>
      <x:c r="B1370" s="22" t="str">
        <x:v>基准人物可承受普通单击</x:v>
      </x:c>
      <x:c r="C1370" s="22" t="str">
        <x:v>通过</x:v>
      </x:c>
      <x:c r="D1370" s="22" t="str">
        <x:v>C03-M014:XX333</x:v>
      </x:c>
    </x:row>
    <x:row r="1371" ht="24" customHeight="1">
      <x:c r="A1371" s="22" t="n">
        <x:v>1367</x:v>
      </x:c>
      <x:c r="B1371" s="22" t="str">
        <x:v>基准人物可承受普通单击</x:v>
      </x:c>
      <x:c r="C1371" s="22" t="str">
        <x:v>通过</x:v>
      </x:c>
      <x:c r="D1371" s="22" t="str">
        <x:v>C03-M015:XX334</x:v>
      </x:c>
    </x:row>
    <x:row r="1372" ht="24" customHeight="1">
      <x:c r="A1372" s="22" t="n">
        <x:v>1368</x:v>
      </x:c>
      <x:c r="B1372" s="22" t="str">
        <x:v>基准人物可承受普通单击</x:v>
      </x:c>
      <x:c r="C1372" s="22" t="str">
        <x:v>通过</x:v>
      </x:c>
      <x:c r="D1372" s="22" t="str">
        <x:v>C03-M016:XX332</x:v>
      </x:c>
    </x:row>
    <x:row r="1373" ht="24" customHeight="1">
      <x:c r="A1373" s="22" t="n">
        <x:v>1369</x:v>
      </x:c>
      <x:c r="B1373" s="22" t="str">
        <x:v>基准人物可承受普通单击</x:v>
      </x:c>
      <x:c r="C1373" s="22" t="str">
        <x:v>通过</x:v>
      </x:c>
      <x:c r="D1373" s="22" t="str">
        <x:v>C03-M017:XX333</x:v>
      </x:c>
    </x:row>
    <x:row r="1374" ht="24" customHeight="1">
      <x:c r="A1374" s="22" t="n">
        <x:v>1370</x:v>
      </x:c>
      <x:c r="B1374" s="22" t="str">
        <x:v>基准人物可承受普通单击</x:v>
      </x:c>
      <x:c r="C1374" s="22" t="str">
        <x:v>通过</x:v>
      </x:c>
      <x:c r="D1374" s="22" t="str">
        <x:v>C03-M018:XX335</x:v>
      </x:c>
    </x:row>
    <x:row r="1375" ht="24" customHeight="1">
      <x:c r="A1375" s="22" t="n">
        <x:v>1371</x:v>
      </x:c>
      <x:c r="B1375" s="22" t="str">
        <x:v>基准人物可承受普通单击</x:v>
      </x:c>
      <x:c r="C1375" s="22" t="str">
        <x:v>通过</x:v>
      </x:c>
      <x:c r="D1375" s="22" t="str">
        <x:v>C03-M019:XX334</x:v>
      </x:c>
    </x:row>
    <x:row r="1376" ht="24" customHeight="1">
      <x:c r="A1376" s="22" t="n">
        <x:v>1372</x:v>
      </x:c>
      <x:c r="B1376" s="22" t="str">
        <x:v>基准人物可承受普通单击</x:v>
      </x:c>
      <x:c r="C1376" s="22" t="str">
        <x:v>通过</x:v>
      </x:c>
      <x:c r="D1376" s="22" t="str">
        <x:v>C03-M020:XX332</x:v>
      </x:c>
    </x:row>
    <x:row r="1377" ht="24" customHeight="1">
      <x:c r="A1377" s="22" t="n">
        <x:v>1373</x:v>
      </x:c>
      <x:c r="B1377" s="22" t="str">
        <x:v>基准人物可承受普通单击</x:v>
      </x:c>
      <x:c r="C1377" s="22" t="str">
        <x:v>通过</x:v>
      </x:c>
      <x:c r="D1377" s="22" t="str">
        <x:v>C03-M021:XX333</x:v>
      </x:c>
    </x:row>
    <x:row r="1378" ht="24" customHeight="1">
      <x:c r="A1378" s="22" t="n">
        <x:v>1374</x:v>
      </x:c>
      <x:c r="B1378" s="22" t="str">
        <x:v>基准人物可承受普通单击</x:v>
      </x:c>
      <x:c r="C1378" s="22" t="str">
        <x:v>通过</x:v>
      </x:c>
      <x:c r="D1378" s="22" t="str">
        <x:v>C03-M022:XX335</x:v>
      </x:c>
    </x:row>
    <x:row r="1379" ht="24" customHeight="1">
      <x:c r="A1379" s="22" t="n">
        <x:v>1375</x:v>
      </x:c>
      <x:c r="B1379" s="22" t="str">
        <x:v>基准人物可承受普通单击</x:v>
      </x:c>
      <x:c r="C1379" s="22" t="str">
        <x:v>通过</x:v>
      </x:c>
      <x:c r="D1379" s="22" t="str">
        <x:v>C03-M023:XX334</x:v>
      </x:c>
    </x:row>
    <x:row r="1380" ht="24" customHeight="1">
      <x:c r="A1380" s="22" t="n">
        <x:v>1376</x:v>
      </x:c>
      <x:c r="B1380" s="22" t="str">
        <x:v>基准人物可承受普通单击</x:v>
      </x:c>
      <x:c r="C1380" s="22" t="str">
        <x:v>通过</x:v>
      </x:c>
      <x:c r="D1380" s="22" t="str">
        <x:v>C03-M024:XX335</x:v>
      </x:c>
    </x:row>
    <x:row r="1381" ht="24" customHeight="1">
      <x:c r="A1381" s="22" t="n">
        <x:v>1377</x:v>
      </x:c>
      <x:c r="B1381" s="22" t="str">
        <x:v>基准人物可承受普通单击</x:v>
      </x:c>
      <x:c r="C1381" s="22" t="str">
        <x:v>通过</x:v>
      </x:c>
      <x:c r="D1381" s="22" t="str">
        <x:v>C03-M025:XX343</x:v>
      </x:c>
    </x:row>
    <x:row r="1382" ht="24" customHeight="1">
      <x:c r="A1382" s="22" t="n">
        <x:v>1378</x:v>
      </x:c>
      <x:c r="B1382" s="22" t="str">
        <x:v>基准人物可承受普通单击</x:v>
      </x:c>
      <x:c r="C1382" s="22" t="str">
        <x:v>通过</x:v>
      </x:c>
      <x:c r="D1382" s="22" t="str">
        <x:v>C03-M026:XX344</x:v>
      </x:c>
    </x:row>
    <x:row r="1383" ht="24" customHeight="1">
      <x:c r="A1383" s="22" t="n">
        <x:v>1379</x:v>
      </x:c>
      <x:c r="B1383" s="22" t="str">
        <x:v>基准人物可承受普通单击</x:v>
      </x:c>
      <x:c r="C1383" s="22" t="str">
        <x:v>通过</x:v>
      </x:c>
      <x:c r="D1383" s="22" t="str">
        <x:v>C03-M027:XX343</x:v>
      </x:c>
    </x:row>
    <x:row r="1384" ht="24" customHeight="1">
      <x:c r="A1384" s="22" t="n">
        <x:v>1380</x:v>
      </x:c>
      <x:c r="B1384" s="22" t="str">
        <x:v>基准人物可承受普通单击</x:v>
      </x:c>
      <x:c r="C1384" s="22" t="str">
        <x:v>通过</x:v>
      </x:c>
      <x:c r="D1384" s="22" t="str">
        <x:v>C03-M028:XX344</x:v>
      </x:c>
    </x:row>
    <x:row r="1385" ht="24" customHeight="1">
      <x:c r="A1385" s="22" t="n">
        <x:v>1381</x:v>
      </x:c>
      <x:c r="B1385" s="22" t="str">
        <x:v>基准人物可承受普通单击</x:v>
      </x:c>
      <x:c r="C1385" s="22" t="str">
        <x:v>通过</x:v>
      </x:c>
      <x:c r="D1385" s="22" t="str">
        <x:v>C03-M029:XX345</x:v>
      </x:c>
    </x:row>
    <x:row r="1386" ht="24" customHeight="1">
      <x:c r="A1386" s="22" t="n">
        <x:v>1382</x:v>
      </x:c>
      <x:c r="B1386" s="22" t="str">
        <x:v>基准人物可承受普通单击</x:v>
      </x:c>
      <x:c r="C1386" s="22" t="str">
        <x:v>通过</x:v>
      </x:c>
      <x:c r="D1386" s="22" t="str">
        <x:v>C03-M030:XX345</x:v>
      </x:c>
    </x:row>
    <x:row r="1387" ht="24" customHeight="1">
      <x:c r="A1387" s="22" t="n">
        <x:v>1383</x:v>
      </x:c>
      <x:c r="B1387" s="22" t="str">
        <x:v>基准人物可承受普通单击</x:v>
      </x:c>
      <x:c r="C1387" s="22" t="str">
        <x:v>通过</x:v>
      </x:c>
      <x:c r="D1387" s="22" t="str">
        <x:v>C03-M031:XX343</x:v>
      </x:c>
    </x:row>
    <x:row r="1388" ht="24" customHeight="1">
      <x:c r="A1388" s="22" t="n">
        <x:v>1384</x:v>
      </x:c>
      <x:c r="B1388" s="22" t="str">
        <x:v>基准人物可承受普通单击</x:v>
      </x:c>
      <x:c r="C1388" s="22" t="str">
        <x:v>通过</x:v>
      </x:c>
      <x:c r="D1388" s="22" t="str">
        <x:v>C03-M032:XX344</x:v>
      </x:c>
    </x:row>
    <x:row r="1389" ht="24" customHeight="1">
      <x:c r="A1389" s="22" t="n">
        <x:v>1385</x:v>
      </x:c>
      <x:c r="B1389" s="22" t="str">
        <x:v>基准人物可承受普通单击</x:v>
      </x:c>
      <x:c r="C1389" s="22" t="str">
        <x:v>通过</x:v>
      </x:c>
      <x:c r="D1389" s="22" t="str">
        <x:v>C03-M033:XX345</x:v>
      </x:c>
    </x:row>
    <x:row r="1390" ht="24" customHeight="1">
      <x:c r="A1390" s="22" t="n">
        <x:v>1386</x:v>
      </x:c>
      <x:c r="B1390" s="22" t="str">
        <x:v>基准人物可承受普通单击</x:v>
      </x:c>
      <x:c r="C1390" s="22" t="str">
        <x:v>通过</x:v>
      </x:c>
      <x:c r="D1390" s="22" t="str">
        <x:v>C03-M034:XX345</x:v>
      </x:c>
    </x:row>
    <x:row r="1391" ht="24" customHeight="1">
      <x:c r="A1391" s="22" t="n">
        <x:v>1387</x:v>
      </x:c>
      <x:c r="B1391" s="22" t="str">
        <x:v>基准人物可承受普通单击</x:v>
      </x:c>
      <x:c r="C1391" s="22" t="str">
        <x:v>通过</x:v>
      </x:c>
      <x:c r="D1391" s="22" t="str">
        <x:v>C03-M035:XX344</x:v>
      </x:c>
    </x:row>
    <x:row r="1392" ht="24" customHeight="1">
      <x:c r="A1392" s="22" t="n">
        <x:v>1388</x:v>
      </x:c>
      <x:c r="B1392" s="22" t="str">
        <x:v>基准人物可承受普通单击</x:v>
      </x:c>
      <x:c r="C1392" s="22" t="str">
        <x:v>通过</x:v>
      </x:c>
      <x:c r="D1392" s="22" t="str">
        <x:v>C03-M036:XX345</x:v>
      </x:c>
    </x:row>
    <x:row r="1393" ht="24" customHeight="1">
      <x:c r="A1393" s="22" t="n">
        <x:v>1389</x:v>
      </x:c>
      <x:c r="B1393" s="22" t="str">
        <x:v>基准人物可承受普通单击</x:v>
      </x:c>
      <x:c r="C1393" s="22" t="str">
        <x:v>通过</x:v>
      </x:c>
      <x:c r="D1393" s="22" t="str">
        <x:v>C03-M037:XX310</x:v>
      </x:c>
    </x:row>
    <x:row r="1394" ht="24" customHeight="1">
      <x:c r="A1394" s="22" t="n">
        <x:v>1390</x:v>
      </x:c>
      <x:c r="B1394" s="22" t="str">
        <x:v>基准人物可承受普通单击</x:v>
      </x:c>
      <x:c r="C1394" s="22" t="str">
        <x:v>通过</x:v>
      </x:c>
      <x:c r="D1394" s="22" t="str">
        <x:v>C03-M038:XX310</x:v>
      </x:c>
    </x:row>
    <x:row r="1395" ht="24" customHeight="1">
      <x:c r="A1395" s="22" t="n">
        <x:v>1391</x:v>
      </x:c>
      <x:c r="B1395" s="22" t="str">
        <x:v>基准人物可承受普通单击</x:v>
      </x:c>
      <x:c r="C1395" s="22" t="str">
        <x:v>通过</x:v>
      </x:c>
      <x:c r="D1395" s="22" t="str">
        <x:v>C03-M039:XX311</x:v>
      </x:c>
    </x:row>
    <x:row r="1396" ht="24" customHeight="1">
      <x:c r="A1396" s="22" t="n">
        <x:v>1392</x:v>
      </x:c>
      <x:c r="B1396" s="22" t="str">
        <x:v>基准人物可承受普通单击</x:v>
      </x:c>
      <x:c r="C1396" s="22" t="str">
        <x:v>通过</x:v>
      </x:c>
      <x:c r="D1396" s="22" t="str">
        <x:v>C03-M040:XX311</x:v>
      </x:c>
    </x:row>
    <x:row r="1397" ht="24" customHeight="1">
      <x:c r="A1397" s="22" t="n">
        <x:v>1393</x:v>
      </x:c>
      <x:c r="B1397" s="22" t="str">
        <x:v>基准人物可承受普通单击</x:v>
      </x:c>
      <x:c r="C1397" s="22" t="str">
        <x:v>通过</x:v>
      </x:c>
      <x:c r="D1397" s="22" t="str">
        <x:v>C03-M041:XX312</x:v>
      </x:c>
    </x:row>
    <x:row r="1398" ht="24" customHeight="1">
      <x:c r="A1398" s="22" t="n">
        <x:v>1394</x:v>
      </x:c>
      <x:c r="B1398" s="22" t="str">
        <x:v>基准人物可承受普通单击</x:v>
      </x:c>
      <x:c r="C1398" s="22" t="str">
        <x:v>通过</x:v>
      </x:c>
      <x:c r="D1398" s="22" t="str">
        <x:v>C03-M042:XX312</x:v>
      </x:c>
    </x:row>
    <x:row r="1399" ht="24" customHeight="1">
      <x:c r="A1399" s="22" t="n">
        <x:v>1395</x:v>
      </x:c>
      <x:c r="B1399" s="22" t="str">
        <x:v>基准人物可承受普通单击</x:v>
      </x:c>
      <x:c r="C1399" s="22" t="str">
        <x:v>通过</x:v>
      </x:c>
      <x:c r="D1399" s="22" t="str">
        <x:v>C03-M043:XX310</x:v>
      </x:c>
    </x:row>
    <x:row r="1400" ht="24" customHeight="1">
      <x:c r="A1400" s="22" t="n">
        <x:v>1396</x:v>
      </x:c>
      <x:c r="B1400" s="22" t="str">
        <x:v>基准人物可承受普通单击</x:v>
      </x:c>
      <x:c r="C1400" s="22" t="str">
        <x:v>通过</x:v>
      </x:c>
      <x:c r="D1400" s="22" t="str">
        <x:v>C03-M044:XX311</x:v>
      </x:c>
    </x:row>
    <x:row r="1401" ht="24" customHeight="1">
      <x:c r="A1401" s="22" t="n">
        <x:v>1397</x:v>
      </x:c>
      <x:c r="B1401" s="22" t="str">
        <x:v>基准人物可承受普通单击</x:v>
      </x:c>
      <x:c r="C1401" s="22" t="str">
        <x:v>通过</x:v>
      </x:c>
      <x:c r="D1401" s="22" t="str">
        <x:v>C03-M045:XX312</x:v>
      </x:c>
    </x:row>
    <x:row r="1402" ht="24" customHeight="1">
      <x:c r="A1402" s="22" t="n">
        <x:v>1398</x:v>
      </x:c>
      <x:c r="B1402" s="22" t="str">
        <x:v>基准人物可承受普通单击</x:v>
      </x:c>
      <x:c r="C1402" s="22" t="str">
        <x:v>通过</x:v>
      </x:c>
      <x:c r="D1402" s="22" t="str">
        <x:v>C03-M046:XX312</x:v>
      </x:c>
    </x:row>
    <x:row r="1403" ht="24" customHeight="1">
      <x:c r="A1403" s="22" t="n">
        <x:v>1399</x:v>
      </x:c>
      <x:c r="B1403" s="22" t="str">
        <x:v>基准人物可承受普通单击</x:v>
      </x:c>
      <x:c r="C1403" s="22" t="str">
        <x:v>通过</x:v>
      </x:c>
      <x:c r="D1403" s="22" t="str">
        <x:v>C03-M047:XX311</x:v>
      </x:c>
    </x:row>
    <x:row r="1404" ht="24" customHeight="1">
      <x:c r="A1404" s="22" t="n">
        <x:v>1400</x:v>
      </x:c>
      <x:c r="B1404" s="22" t="str">
        <x:v>基准人物可承受普通单击</x:v>
      </x:c>
      <x:c r="C1404" s="22" t="str">
        <x:v>通过</x:v>
      </x:c>
      <x:c r="D1404" s="22" t="str">
        <x:v>C03-M048:XX312</x:v>
      </x:c>
    </x:row>
    <x:row r="1405" ht="24" customHeight="1">
      <x:c r="A1405" s="22" t="n">
        <x:v>1401</x:v>
      </x:c>
      <x:c r="B1405" s="22" t="str">
        <x:v>基准人物可承受普通单击</x:v>
      </x:c>
      <x:c r="C1405" s="22" t="str">
        <x:v>通过</x:v>
      </x:c>
      <x:c r="D1405" s="22" t="str">
        <x:v>C03-M049:XX518</x:v>
      </x:c>
    </x:row>
    <x:row r="1406" ht="24" customHeight="1">
      <x:c r="A1406" s="22" t="n">
        <x:v>1402</x:v>
      </x:c>
      <x:c r="B1406" s="22" t="str">
        <x:v>基准人物可承受普通单击</x:v>
      </x:c>
      <x:c r="C1406" s="22" t="str">
        <x:v>通过</x:v>
      </x:c>
      <x:c r="D1406" s="22" t="str">
        <x:v>C03-M050:XX518</x:v>
      </x:c>
    </x:row>
    <x:row r="1407" ht="24" customHeight="1">
      <x:c r="A1407" s="22" t="n">
        <x:v>1403</x:v>
      </x:c>
      <x:c r="B1407" s="22" t="str">
        <x:v>基准人物可承受普通单击</x:v>
      </x:c>
      <x:c r="C1407" s="22" t="str">
        <x:v>通过</x:v>
      </x:c>
      <x:c r="D1407" s="22" t="str">
        <x:v>C03-M051:XX517</x:v>
      </x:c>
    </x:row>
    <x:row r="1408" ht="24" customHeight="1">
      <x:c r="A1408" s="22" t="n">
        <x:v>1404</x:v>
      </x:c>
      <x:c r="B1408" s="22" t="str">
        <x:v>基准人物可承受普通单击</x:v>
      </x:c>
      <x:c r="C1408" s="22" t="str">
        <x:v>通过</x:v>
      </x:c>
      <x:c r="D1408" s="22" t="str">
        <x:v>C03-M052:XX516</x:v>
      </x:c>
    </x:row>
    <x:row r="1409" ht="24" customHeight="1">
      <x:c r="A1409" s="22" t="n">
        <x:v>1405</x:v>
      </x:c>
      <x:c r="B1409" s="22" t="str">
        <x:v>基准人物可承受普通单击</x:v>
      </x:c>
      <x:c r="C1409" s="22" t="str">
        <x:v>通过</x:v>
      </x:c>
      <x:c r="D1409" s="22" t="str">
        <x:v>C03-M053:XX517</x:v>
      </x:c>
    </x:row>
    <x:row r="1410" ht="24" customHeight="1">
      <x:c r="A1410" s="22" t="n">
        <x:v>1406</x:v>
      </x:c>
      <x:c r="B1410" s="22" t="str">
        <x:v>基准人物可承受普通单击</x:v>
      </x:c>
      <x:c r="C1410" s="22" t="str">
        <x:v>通过</x:v>
      </x:c>
      <x:c r="D1410" s="22" t="str">
        <x:v>C03-M054:XX516</x:v>
      </x:c>
    </x:row>
    <x:row r="1411" ht="24" customHeight="1">
      <x:c r="A1411" s="22" t="n">
        <x:v>1407</x:v>
      </x:c>
      <x:c r="B1411" s="22" t="str">
        <x:v>基准人物可承受普通单击</x:v>
      </x:c>
      <x:c r="C1411" s="22" t="str">
        <x:v>通过</x:v>
      </x:c>
      <x:c r="D1411" s="22" t="str">
        <x:v>C03-M055:XX518</x:v>
      </x:c>
    </x:row>
    <x:row r="1412" ht="24" customHeight="1">
      <x:c r="A1412" s="22" t="n">
        <x:v>1408</x:v>
      </x:c>
      <x:c r="B1412" s="22" t="str">
        <x:v>基准人物可承受普通单击</x:v>
      </x:c>
      <x:c r="C1412" s="22" t="str">
        <x:v>通过</x:v>
      </x:c>
      <x:c r="D1412" s="22" t="str">
        <x:v>C03-M056:XX517</x:v>
      </x:c>
    </x:row>
    <x:row r="1413" ht="24" customHeight="1">
      <x:c r="A1413" s="22" t="n">
        <x:v>1409</x:v>
      </x:c>
      <x:c r="B1413" s="22" t="str">
        <x:v>基准人物可承受普通单击</x:v>
      </x:c>
      <x:c r="C1413" s="22" t="str">
        <x:v>通过</x:v>
      </x:c>
      <x:c r="D1413" s="22" t="str">
        <x:v>C03-M057:XX516</x:v>
      </x:c>
    </x:row>
    <x:row r="1414" ht="24" customHeight="1">
      <x:c r="A1414" s="22" t="n">
        <x:v>1410</x:v>
      </x:c>
      <x:c r="B1414" s="22" t="str">
        <x:v>基准人物可承受普通单击</x:v>
      </x:c>
      <x:c r="C1414" s="22" t="str">
        <x:v>通过</x:v>
      </x:c>
      <x:c r="D1414" s="22" t="str">
        <x:v>C03-M058:XX516</x:v>
      </x:c>
    </x:row>
    <x:row r="1415" ht="24" customHeight="1">
      <x:c r="A1415" s="22" t="n">
        <x:v>1411</x:v>
      </x:c>
      <x:c r="B1415" s="22" t="str">
        <x:v>基准人物可承受普通单击</x:v>
      </x:c>
      <x:c r="C1415" s="22" t="str">
        <x:v>通过</x:v>
      </x:c>
      <x:c r="D1415" s="22" t="str">
        <x:v>C03-M059:XX517</x:v>
      </x:c>
    </x:row>
    <x:row r="1416" ht="24" customHeight="1">
      <x:c r="A1416" s="22" t="n">
        <x:v>1412</x:v>
      </x:c>
      <x:c r="B1416" s="22" t="str">
        <x:v>基准人物可承受普通单击</x:v>
      </x:c>
      <x:c r="C1416" s="22" t="str">
        <x:v>通过</x:v>
      </x:c>
      <x:c r="D1416" s="22" t="str">
        <x:v>C03-M060:XX516</x:v>
      </x:c>
    </x:row>
    <x:row r="1417" ht="24" customHeight="1">
      <x:c r="A1417" s="22" t="n">
        <x:v>1413</x:v>
      </x:c>
      <x:c r="B1417" s="22" t="str">
        <x:v>基准人物可承受普通单击</x:v>
      </x:c>
      <x:c r="C1417" s="22" t="str">
        <x:v>通过</x:v>
      </x:c>
      <x:c r="D1417" s="22" t="str">
        <x:v>C03-M061:XX140</x:v>
      </x:c>
    </x:row>
    <x:row r="1418" ht="24" customHeight="1">
      <x:c r="A1418" s="22" t="n">
        <x:v>1414</x:v>
      </x:c>
      <x:c r="B1418" s="22" t="str">
        <x:v>基准人物可承受普通单击</x:v>
      </x:c>
      <x:c r="C1418" s="22" t="str">
        <x:v>通过</x:v>
      </x:c>
      <x:c r="D1418" s="22" t="str">
        <x:v>C03-M062:XX140</x:v>
      </x:c>
    </x:row>
    <x:row r="1419" ht="24" customHeight="1">
      <x:c r="A1419" s="22" t="n">
        <x:v>1415</x:v>
      </x:c>
      <x:c r="B1419" s="22" t="str">
        <x:v>基准人物可承受普通单击</x:v>
      </x:c>
      <x:c r="C1419" s="22" t="str">
        <x:v>通过</x:v>
      </x:c>
      <x:c r="D1419" s="22" t="str">
        <x:v>C03-M063:XX136</x:v>
      </x:c>
    </x:row>
    <x:row r="1420" ht="24" customHeight="1">
      <x:c r="A1420" s="22" t="n">
        <x:v>1416</x:v>
      </x:c>
      <x:c r="B1420" s="22" t="str">
        <x:v>基准人物可承受普通单击</x:v>
      </x:c>
      <x:c r="C1420" s="22" t="str">
        <x:v>通过</x:v>
      </x:c>
      <x:c r="D1420" s="22" t="str">
        <x:v>C03-M064:XX136</x:v>
      </x:c>
    </x:row>
    <x:row r="1421" ht="24" customHeight="1">
      <x:c r="A1421" s="22" t="n">
        <x:v>1417</x:v>
      </x:c>
      <x:c r="B1421" s="22" t="str">
        <x:v>基准人物可承受普通单击</x:v>
      </x:c>
      <x:c r="C1421" s="22" t="str">
        <x:v>通过</x:v>
      </x:c>
      <x:c r="D1421" s="22" t="str">
        <x:v>C03-M065:XX169</x:v>
      </x:c>
    </x:row>
    <x:row r="1422" ht="24" customHeight="1">
      <x:c r="A1422" s="22" t="n">
        <x:v>1418</x:v>
      </x:c>
      <x:c r="B1422" s="22" t="str">
        <x:v>基准人物可承受普通单击</x:v>
      </x:c>
      <x:c r="C1422" s="22" t="str">
        <x:v>通过</x:v>
      </x:c>
      <x:c r="D1422" s="22" t="str">
        <x:v>C03-M066:XX169</x:v>
      </x:c>
    </x:row>
    <x:row r="1423" ht="24" customHeight="1">
      <x:c r="A1423" s="22" t="n">
        <x:v>1419</x:v>
      </x:c>
      <x:c r="B1423" s="22" t="str">
        <x:v>基准人物可承受普通单击</x:v>
      </x:c>
      <x:c r="C1423" s="22" t="str">
        <x:v>通过</x:v>
      </x:c>
      <x:c r="D1423" s="22" t="str">
        <x:v>C03-M067:XX140</x:v>
      </x:c>
    </x:row>
    <x:row r="1424" ht="24" customHeight="1">
      <x:c r="A1424" s="22" t="n">
        <x:v>1420</x:v>
      </x:c>
      <x:c r="B1424" s="22" t="str">
        <x:v>基准人物可承受普通单击</x:v>
      </x:c>
      <x:c r="C1424" s="22" t="str">
        <x:v>通过</x:v>
      </x:c>
      <x:c r="D1424" s="22" t="str">
        <x:v>C03-M068:XX136</x:v>
      </x:c>
    </x:row>
    <x:row r="1425" ht="24" customHeight="1">
      <x:c r="A1425" s="22" t="n">
        <x:v>1421</x:v>
      </x:c>
      <x:c r="B1425" s="22" t="str">
        <x:v>基准人物可承受普通单击</x:v>
      </x:c>
      <x:c r="C1425" s="22" t="str">
        <x:v>通过</x:v>
      </x:c>
      <x:c r="D1425" s="22" t="str">
        <x:v>C03-M069:XX169</x:v>
      </x:c>
    </x:row>
    <x:row r="1426" ht="24" customHeight="1">
      <x:c r="A1426" s="22" t="n">
        <x:v>1422</x:v>
      </x:c>
      <x:c r="B1426" s="22" t="str">
        <x:v>基准人物可承受普通单击</x:v>
      </x:c>
      <x:c r="C1426" s="22" t="str">
        <x:v>通过</x:v>
      </x:c>
      <x:c r="D1426" s="22" t="str">
        <x:v>C03-M070:XX169</x:v>
      </x:c>
    </x:row>
    <x:row r="1427" ht="24" customHeight="1">
      <x:c r="A1427" s="22" t="n">
        <x:v>1423</x:v>
      </x:c>
      <x:c r="B1427" s="22" t="str">
        <x:v>基准人物可承受普通单击</x:v>
      </x:c>
      <x:c r="C1427" s="22" t="str">
        <x:v>通过</x:v>
      </x:c>
      <x:c r="D1427" s="22" t="str">
        <x:v>C03-M071:XX136</x:v>
      </x:c>
    </x:row>
    <x:row r="1428" ht="24" customHeight="1">
      <x:c r="A1428" s="22" t="n">
        <x:v>1424</x:v>
      </x:c>
      <x:c r="B1428" s="22" t="str">
        <x:v>基准人物可承受普通单击</x:v>
      </x:c>
      <x:c r="C1428" s="22" t="str">
        <x:v>通过</x:v>
      </x:c>
      <x:c r="D1428" s="22" t="str">
        <x:v>C03-M072:XX169</x:v>
      </x:c>
    </x:row>
    <x:row r="1429" ht="24" customHeight="1">
      <x:c r="A1429" s="22" t="n">
        <x:v>1425</x:v>
      </x:c>
      <x:c r="B1429" s="22" t="str">
        <x:v>基准人物可承受普通单击</x:v>
      </x:c>
      <x:c r="C1429" s="22" t="str">
        <x:v>通过</x:v>
      </x:c>
      <x:c r="D1429" s="22" t="str">
        <x:v>C03-M073:XX169</x:v>
      </x:c>
    </x:row>
    <x:row r="1430" ht="24" customHeight="1">
      <x:c r="A1430" s="22" t="n">
        <x:v>1426</x:v>
      </x:c>
      <x:c r="B1430" s="22" t="str">
        <x:v>基准人物可承受普通单击</x:v>
      </x:c>
      <x:c r="C1430" s="22" t="str">
        <x:v>通过</x:v>
      </x:c>
      <x:c r="D1430" s="22" t="str">
        <x:v>C04-M001:XX341</x:v>
      </x:c>
    </x:row>
    <x:row r="1431" ht="24" customHeight="1">
      <x:c r="A1431" s="22" t="n">
        <x:v>1427</x:v>
      </x:c>
      <x:c r="B1431" s="22" t="str">
        <x:v>基准人物可承受普通单击</x:v>
      </x:c>
      <x:c r="C1431" s="22" t="str">
        <x:v>通过</x:v>
      </x:c>
      <x:c r="D1431" s="22" t="str">
        <x:v>C04-M002:XX341</x:v>
      </x:c>
    </x:row>
    <x:row r="1432" ht="24" customHeight="1">
      <x:c r="A1432" s="22" t="n">
        <x:v>1428</x:v>
      </x:c>
      <x:c r="B1432" s="22" t="str">
        <x:v>基准人物可承受普通单击</x:v>
      </x:c>
      <x:c r="C1432" s="22" t="str">
        <x:v>通过</x:v>
      </x:c>
      <x:c r="D1432" s="22" t="str">
        <x:v>C04-M003:XX341</x:v>
      </x:c>
    </x:row>
    <x:row r="1433" ht="24" customHeight="1">
      <x:c r="A1433" s="22" t="n">
        <x:v>1429</x:v>
      </x:c>
      <x:c r="B1433" s="22" t="str">
        <x:v>基准人物可承受普通单击</x:v>
      </x:c>
      <x:c r="C1433" s="22" t="str">
        <x:v>通过</x:v>
      </x:c>
      <x:c r="D1433" s="22" t="str">
        <x:v>C04-M004:XX342</x:v>
      </x:c>
    </x:row>
    <x:row r="1434" ht="24" customHeight="1">
      <x:c r="A1434" s="22" t="n">
        <x:v>1430</x:v>
      </x:c>
      <x:c r="B1434" s="22" t="str">
        <x:v>基准人物可承受普通单击</x:v>
      </x:c>
      <x:c r="C1434" s="22" t="str">
        <x:v>通过</x:v>
      </x:c>
      <x:c r="D1434" s="22" t="str">
        <x:v>C04-M005:XX342</x:v>
      </x:c>
    </x:row>
    <x:row r="1435" ht="24" customHeight="1">
      <x:c r="A1435" s="22" t="n">
        <x:v>1431</x:v>
      </x:c>
      <x:c r="B1435" s="22" t="str">
        <x:v>基准人物可承受普通单击</x:v>
      </x:c>
      <x:c r="C1435" s="22" t="str">
        <x:v>通过</x:v>
      </x:c>
      <x:c r="D1435" s="22" t="str">
        <x:v>C04-M006:XX342</x:v>
      </x:c>
    </x:row>
    <x:row r="1436" ht="24" customHeight="1">
      <x:c r="A1436" s="22" t="n">
        <x:v>1432</x:v>
      </x:c>
      <x:c r="B1436" s="22" t="str">
        <x:v>基准人物可承受普通单击</x:v>
      </x:c>
      <x:c r="C1436" s="22" t="str">
        <x:v>通过</x:v>
      </x:c>
      <x:c r="D1436" s="22" t="str">
        <x:v>C04-M007:XX341</x:v>
      </x:c>
    </x:row>
    <x:row r="1437" ht="24" customHeight="1">
      <x:c r="A1437" s="22" t="n">
        <x:v>1433</x:v>
      </x:c>
      <x:c r="B1437" s="22" t="str">
        <x:v>基准人物可承受普通单击</x:v>
      </x:c>
      <x:c r="C1437" s="22" t="str">
        <x:v>通过</x:v>
      </x:c>
      <x:c r="D1437" s="22" t="str">
        <x:v>C04-M008:XX341</x:v>
      </x:c>
    </x:row>
    <x:row r="1438" ht="24" customHeight="1">
      <x:c r="A1438" s="22" t="n">
        <x:v>1434</x:v>
      </x:c>
      <x:c r="B1438" s="22" t="str">
        <x:v>基准人物可承受普通单击</x:v>
      </x:c>
      <x:c r="C1438" s="22" t="str">
        <x:v>通过</x:v>
      </x:c>
      <x:c r="D1438" s="22" t="str">
        <x:v>C04-M009:XX342</x:v>
      </x:c>
    </x:row>
    <x:row r="1439" ht="24" customHeight="1">
      <x:c r="A1439" s="22" t="n">
        <x:v>1435</x:v>
      </x:c>
      <x:c r="B1439" s="22" t="str">
        <x:v>基准人物可承受普通单击</x:v>
      </x:c>
      <x:c r="C1439" s="22" t="str">
        <x:v>通过</x:v>
      </x:c>
      <x:c r="D1439" s="22" t="str">
        <x:v>C04-M010:XX342</x:v>
      </x:c>
    </x:row>
    <x:row r="1440" ht="24" customHeight="1">
      <x:c r="A1440" s="22" t="n">
        <x:v>1436</x:v>
      </x:c>
      <x:c r="B1440" s="22" t="str">
        <x:v>基准人物可承受普通单击</x:v>
      </x:c>
      <x:c r="C1440" s="22" t="str">
        <x:v>通过</x:v>
      </x:c>
      <x:c r="D1440" s="22" t="str">
        <x:v>C04-M011:XX341</x:v>
      </x:c>
    </x:row>
    <x:row r="1441" ht="24" customHeight="1">
      <x:c r="A1441" s="22" t="n">
        <x:v>1437</x:v>
      </x:c>
      <x:c r="B1441" s="22" t="str">
        <x:v>基准人物可承受普通单击</x:v>
      </x:c>
      <x:c r="C1441" s="22" t="str">
        <x:v>通过</x:v>
      </x:c>
      <x:c r="D1441" s="22" t="str">
        <x:v>C04-M012:XX342</x:v>
      </x:c>
    </x:row>
    <x:row r="1442" ht="24" customHeight="1">
      <x:c r="A1442" s="22" t="n">
        <x:v>1438</x:v>
      </x:c>
      <x:c r="B1442" s="22" t="str">
        <x:v>基准人物可承受普通单击</x:v>
      </x:c>
      <x:c r="C1442" s="22" t="str">
        <x:v>通过</x:v>
      </x:c>
      <x:c r="D1442" s="22" t="str">
        <x:v>C04-M013:XX337</x:v>
      </x:c>
    </x:row>
    <x:row r="1443" ht="24" customHeight="1">
      <x:c r="A1443" s="22" t="n">
        <x:v>1439</x:v>
      </x:c>
      <x:c r="B1443" s="22" t="str">
        <x:v>基准人物可承受普通单击</x:v>
      </x:c>
      <x:c r="C1443" s="22" t="str">
        <x:v>通过</x:v>
      </x:c>
      <x:c r="D1443" s="22" t="str">
        <x:v>C04-M014:XX337</x:v>
      </x:c>
    </x:row>
    <x:row r="1444" ht="24" customHeight="1">
      <x:c r="A1444" s="22" t="n">
        <x:v>1440</x:v>
      </x:c>
      <x:c r="B1444" s="22" t="str">
        <x:v>基准人物可承受普通单击</x:v>
      </x:c>
      <x:c r="C1444" s="22" t="str">
        <x:v>通过</x:v>
      </x:c>
      <x:c r="D1444" s="22" t="str">
        <x:v>C04-M015:XX336</x:v>
      </x:c>
    </x:row>
    <x:row r="1445" ht="24" customHeight="1">
      <x:c r="A1445" s="22" t="n">
        <x:v>1441</x:v>
      </x:c>
      <x:c r="B1445" s="22" t="str">
        <x:v>基准人物可承受普通单击</x:v>
      </x:c>
      <x:c r="C1445" s="22" t="str">
        <x:v>通过</x:v>
      </x:c>
      <x:c r="D1445" s="22" t="str">
        <x:v>C04-M016:XX336</x:v>
      </x:c>
    </x:row>
    <x:row r="1446" ht="24" customHeight="1">
      <x:c r="A1446" s="22" t="n">
        <x:v>1442</x:v>
      </x:c>
      <x:c r="B1446" s="22" t="str">
        <x:v>基准人物可承受普通单击</x:v>
      </x:c>
      <x:c r="C1446" s="22" t="str">
        <x:v>通过</x:v>
      </x:c>
      <x:c r="D1446" s="22" t="str">
        <x:v>C04-M017:XX340</x:v>
      </x:c>
    </x:row>
    <x:row r="1447" ht="24" customHeight="1">
      <x:c r="A1447" s="22" t="n">
        <x:v>1443</x:v>
      </x:c>
      <x:c r="B1447" s="22" t="str">
        <x:v>基准人物可承受普通单击</x:v>
      </x:c>
      <x:c r="C1447" s="22" t="str">
        <x:v>通过</x:v>
      </x:c>
      <x:c r="D1447" s="22" t="str">
        <x:v>C04-M018:XX340</x:v>
      </x:c>
    </x:row>
    <x:row r="1448" ht="24" customHeight="1">
      <x:c r="A1448" s="22" t="n">
        <x:v>1444</x:v>
      </x:c>
      <x:c r="B1448" s="22" t="str">
        <x:v>基准人物可承受普通单击</x:v>
      </x:c>
      <x:c r="C1448" s="22" t="str">
        <x:v>通过</x:v>
      </x:c>
      <x:c r="D1448" s="22" t="str">
        <x:v>C04-M019:XX337</x:v>
      </x:c>
    </x:row>
    <x:row r="1449" ht="24" customHeight="1">
      <x:c r="A1449" s="22" t="n">
        <x:v>1445</x:v>
      </x:c>
      <x:c r="B1449" s="22" t="str">
        <x:v>基准人物可承受普通单击</x:v>
      </x:c>
      <x:c r="C1449" s="22" t="str">
        <x:v>通过</x:v>
      </x:c>
      <x:c r="D1449" s="22" t="str">
        <x:v>C04-M020:XX336</x:v>
      </x:c>
    </x:row>
    <x:row r="1450" ht="24" customHeight="1">
      <x:c r="A1450" s="22" t="n">
        <x:v>1446</x:v>
      </x:c>
      <x:c r="B1450" s="22" t="str">
        <x:v>基准人物可承受普通单击</x:v>
      </x:c>
      <x:c r="C1450" s="22" t="str">
        <x:v>通过</x:v>
      </x:c>
      <x:c r="D1450" s="22" t="str">
        <x:v>C04-M021:XX340</x:v>
      </x:c>
    </x:row>
    <x:row r="1451" ht="24" customHeight="1">
      <x:c r="A1451" s="22" t="n">
        <x:v>1447</x:v>
      </x:c>
      <x:c r="B1451" s="22" t="str">
        <x:v>基准人物可承受普通单击</x:v>
      </x:c>
      <x:c r="C1451" s="22" t="str">
        <x:v>通过</x:v>
      </x:c>
      <x:c r="D1451" s="22" t="str">
        <x:v>C04-M022:XX340</x:v>
      </x:c>
    </x:row>
    <x:row r="1452" ht="24" customHeight="1">
      <x:c r="A1452" s="22" t="n">
        <x:v>1448</x:v>
      </x:c>
      <x:c r="B1452" s="22" t="str">
        <x:v>基准人物可承受普通单击</x:v>
      </x:c>
      <x:c r="C1452" s="22" t="str">
        <x:v>通过</x:v>
      </x:c>
      <x:c r="D1452" s="22" t="str">
        <x:v>C04-M023:XX336</x:v>
      </x:c>
    </x:row>
    <x:row r="1453" ht="24" customHeight="1">
      <x:c r="A1453" s="22" t="n">
        <x:v>1449</x:v>
      </x:c>
      <x:c r="B1453" s="22" t="str">
        <x:v>基准人物可承受普通单击</x:v>
      </x:c>
      <x:c r="C1453" s="22" t="str">
        <x:v>通过</x:v>
      </x:c>
      <x:c r="D1453" s="22" t="str">
        <x:v>C04-M024:XX340</x:v>
      </x:c>
    </x:row>
    <x:row r="1454" ht="24" customHeight="1">
      <x:c r="A1454" s="22" t="n">
        <x:v>1450</x:v>
      </x:c>
      <x:c r="B1454" s="22" t="str">
        <x:v>基准人物可承受普通单击</x:v>
      </x:c>
      <x:c r="C1454" s="22" t="str">
        <x:v>通过</x:v>
      </x:c>
      <x:c r="D1454" s="22" t="str">
        <x:v>C04-M025:XX363</x:v>
      </x:c>
    </x:row>
    <x:row r="1455" ht="24" customHeight="1">
      <x:c r="A1455" s="22" t="n">
        <x:v>1451</x:v>
      </x:c>
      <x:c r="B1455" s="22" t="str">
        <x:v>基准人物可承受普通单击</x:v>
      </x:c>
      <x:c r="C1455" s="22" t="str">
        <x:v>通过</x:v>
      </x:c>
      <x:c r="D1455" s="22" t="str">
        <x:v>C04-M026:XX363</x:v>
      </x:c>
    </x:row>
    <x:row r="1456" ht="24" customHeight="1">
      <x:c r="A1456" s="22" t="n">
        <x:v>1452</x:v>
      </x:c>
      <x:c r="B1456" s="22" t="str">
        <x:v>基准人物可承受普通单击</x:v>
      </x:c>
      <x:c r="C1456" s="22" t="str">
        <x:v>通过</x:v>
      </x:c>
      <x:c r="D1456" s="22" t="str">
        <x:v>C04-M027:XX362</x:v>
      </x:c>
    </x:row>
    <x:row r="1457" ht="24" customHeight="1">
      <x:c r="A1457" s="22" t="n">
        <x:v>1453</x:v>
      </x:c>
      <x:c r="B1457" s="22" t="str">
        <x:v>基准人物可承受普通单击</x:v>
      </x:c>
      <x:c r="C1457" s="22" t="str">
        <x:v>通过</x:v>
      </x:c>
      <x:c r="D1457" s="22" t="str">
        <x:v>C04-M028:XX362</x:v>
      </x:c>
    </x:row>
    <x:row r="1458" ht="24" customHeight="1">
      <x:c r="A1458" s="22" t="n">
        <x:v>1454</x:v>
      </x:c>
      <x:c r="B1458" s="22" t="str">
        <x:v>基准人物可承受普通单击</x:v>
      </x:c>
      <x:c r="C1458" s="22" t="str">
        <x:v>通过</x:v>
      </x:c>
      <x:c r="D1458" s="22" t="str">
        <x:v>C04-M029:XX351</x:v>
      </x:c>
    </x:row>
    <x:row r="1459" ht="24" customHeight="1">
      <x:c r="A1459" s="22" t="n">
        <x:v>1455</x:v>
      </x:c>
      <x:c r="B1459" s="22" t="str">
        <x:v>基准人物可承受普通单击</x:v>
      </x:c>
      <x:c r="C1459" s="22" t="str">
        <x:v>通过</x:v>
      </x:c>
      <x:c r="D1459" s="22" t="str">
        <x:v>C04-M030:XX351</x:v>
      </x:c>
    </x:row>
    <x:row r="1460" ht="24" customHeight="1">
      <x:c r="A1460" s="22" t="n">
        <x:v>1456</x:v>
      </x:c>
      <x:c r="B1460" s="22" t="str">
        <x:v>基准人物可承受普通单击</x:v>
      </x:c>
      <x:c r="C1460" s="22" t="str">
        <x:v>通过</x:v>
      </x:c>
      <x:c r="D1460" s="22" t="str">
        <x:v>C04-M031:XX363</x:v>
      </x:c>
    </x:row>
    <x:row r="1461" ht="24" customHeight="1">
      <x:c r="A1461" s="22" t="n">
        <x:v>1457</x:v>
      </x:c>
      <x:c r="B1461" s="22" t="str">
        <x:v>基准人物可承受普通单击</x:v>
      </x:c>
      <x:c r="C1461" s="22" t="str">
        <x:v>通过</x:v>
      </x:c>
      <x:c r="D1461" s="22" t="str">
        <x:v>C04-M032:XX362</x:v>
      </x:c>
    </x:row>
    <x:row r="1462" ht="24" customHeight="1">
      <x:c r="A1462" s="22" t="n">
        <x:v>1458</x:v>
      </x:c>
      <x:c r="B1462" s="22" t="str">
        <x:v>基准人物可承受普通单击</x:v>
      </x:c>
      <x:c r="C1462" s="22" t="str">
        <x:v>通过</x:v>
      </x:c>
      <x:c r="D1462" s="22" t="str">
        <x:v>C04-M033:XX351</x:v>
      </x:c>
    </x:row>
    <x:row r="1463" ht="24" customHeight="1">
      <x:c r="A1463" s="22" t="n">
        <x:v>1459</x:v>
      </x:c>
      <x:c r="B1463" s="22" t="str">
        <x:v>基准人物可承受普通单击</x:v>
      </x:c>
      <x:c r="C1463" s="22" t="str">
        <x:v>通过</x:v>
      </x:c>
      <x:c r="D1463" s="22" t="str">
        <x:v>C04-M034:XX351</x:v>
      </x:c>
    </x:row>
    <x:row r="1464" ht="24" customHeight="1">
      <x:c r="A1464" s="22" t="n">
        <x:v>1460</x:v>
      </x:c>
      <x:c r="B1464" s="22" t="str">
        <x:v>基准人物可承受普通单击</x:v>
      </x:c>
      <x:c r="C1464" s="22" t="str">
        <x:v>通过</x:v>
      </x:c>
      <x:c r="D1464" s="22" t="str">
        <x:v>C04-M035:XX362</x:v>
      </x:c>
    </x:row>
    <x:row r="1465" ht="24" customHeight="1">
      <x:c r="A1465" s="22" t="n">
        <x:v>1461</x:v>
      </x:c>
      <x:c r="B1465" s="22" t="str">
        <x:v>基准人物可承受普通单击</x:v>
      </x:c>
      <x:c r="C1465" s="22" t="str">
        <x:v>通过</x:v>
      </x:c>
      <x:c r="D1465" s="22" t="str">
        <x:v>C04-M036:XX351</x:v>
      </x:c>
    </x:row>
    <x:row r="1466" ht="24" customHeight="1">
      <x:c r="A1466" s="22" t="n">
        <x:v>1462</x:v>
      </x:c>
      <x:c r="B1466" s="22" t="str">
        <x:v>基准人物可承受普通单击</x:v>
      </x:c>
      <x:c r="C1466" s="22" t="str">
        <x:v>通过</x:v>
      </x:c>
      <x:c r="D1466" s="22" t="str">
        <x:v>C04-M037:XX527</x:v>
      </x:c>
    </x:row>
    <x:row r="1467" ht="24" customHeight="1">
      <x:c r="A1467" s="22" t="n">
        <x:v>1463</x:v>
      </x:c>
      <x:c r="B1467" s="22" t="str">
        <x:v>基准人物可承受普通单击</x:v>
      </x:c>
      <x:c r="C1467" s="22" t="str">
        <x:v>通过</x:v>
      </x:c>
      <x:c r="D1467" s="22" t="str">
        <x:v>C04-M038:XX527</x:v>
      </x:c>
    </x:row>
    <x:row r="1468" ht="24" customHeight="1">
      <x:c r="A1468" s="22" t="n">
        <x:v>1464</x:v>
      </x:c>
      <x:c r="B1468" s="22" t="str">
        <x:v>基准人物可承受普通单击</x:v>
      </x:c>
      <x:c r="C1468" s="22" t="str">
        <x:v>通过</x:v>
      </x:c>
      <x:c r="D1468" s="22" t="str">
        <x:v>C04-M039:XX457</x:v>
      </x:c>
    </x:row>
    <x:row r="1469" ht="24" customHeight="1">
      <x:c r="A1469" s="22" t="n">
        <x:v>1465</x:v>
      </x:c>
      <x:c r="B1469" s="22" t="str">
        <x:v>基准人物可承受普通单击</x:v>
      </x:c>
      <x:c r="C1469" s="22" t="str">
        <x:v>通过</x:v>
      </x:c>
      <x:c r="D1469" s="22" t="str">
        <x:v>C04-M040:XX457</x:v>
      </x:c>
    </x:row>
    <x:row r="1470" ht="24" customHeight="1">
      <x:c r="A1470" s="22" t="n">
        <x:v>1466</x:v>
      </x:c>
      <x:c r="B1470" s="22" t="str">
        <x:v>基准人物可承受普通单击</x:v>
      </x:c>
      <x:c r="C1470" s="22" t="str">
        <x:v>通过</x:v>
      </x:c>
      <x:c r="D1470" s="22" t="str">
        <x:v>C04-M041:XX582</x:v>
      </x:c>
    </x:row>
    <x:row r="1471" ht="24" customHeight="1">
      <x:c r="A1471" s="22" t="n">
        <x:v>1467</x:v>
      </x:c>
      <x:c r="B1471" s="22" t="str">
        <x:v>基准人物可承受普通单击</x:v>
      </x:c>
      <x:c r="C1471" s="22" t="str">
        <x:v>通过</x:v>
      </x:c>
      <x:c r="D1471" s="22" t="str">
        <x:v>C04-M042:XX582</x:v>
      </x:c>
    </x:row>
    <x:row r="1472" ht="24" customHeight="1">
      <x:c r="A1472" s="22" t="n">
        <x:v>1468</x:v>
      </x:c>
      <x:c r="B1472" s="22" t="str">
        <x:v>基准人物可承受普通单击</x:v>
      </x:c>
      <x:c r="C1472" s="22" t="str">
        <x:v>通过</x:v>
      </x:c>
      <x:c r="D1472" s="22" t="str">
        <x:v>C04-M043:XX527</x:v>
      </x:c>
    </x:row>
    <x:row r="1473" ht="24" customHeight="1">
      <x:c r="A1473" s="22" t="n">
        <x:v>1469</x:v>
      </x:c>
      <x:c r="B1473" s="22" t="str">
        <x:v>基准人物可承受普通单击</x:v>
      </x:c>
      <x:c r="C1473" s="22" t="str">
        <x:v>通过</x:v>
      </x:c>
      <x:c r="D1473" s="22" t="str">
        <x:v>C04-M044:XX457</x:v>
      </x:c>
    </x:row>
    <x:row r="1474" ht="24" customHeight="1">
      <x:c r="A1474" s="22" t="n">
        <x:v>1470</x:v>
      </x:c>
      <x:c r="B1474" s="22" t="str">
        <x:v>基准人物可承受普通单击</x:v>
      </x:c>
      <x:c r="C1474" s="22" t="str">
        <x:v>通过</x:v>
      </x:c>
      <x:c r="D1474" s="22" t="str">
        <x:v>C04-M045:XX582</x:v>
      </x:c>
    </x:row>
    <x:row r="1475" ht="24" customHeight="1">
      <x:c r="A1475" s="22" t="n">
        <x:v>1471</x:v>
      </x:c>
      <x:c r="B1475" s="22" t="str">
        <x:v>基准人物可承受普通单击</x:v>
      </x:c>
      <x:c r="C1475" s="22" t="str">
        <x:v>通过</x:v>
      </x:c>
      <x:c r="D1475" s="22" t="str">
        <x:v>C04-M046:XX582</x:v>
      </x:c>
    </x:row>
    <x:row r="1476" ht="24" customHeight="1">
      <x:c r="A1476" s="22" t="n">
        <x:v>1472</x:v>
      </x:c>
      <x:c r="B1476" s="22" t="str">
        <x:v>基准人物可承受普通单击</x:v>
      </x:c>
      <x:c r="C1476" s="22" t="str">
        <x:v>通过</x:v>
      </x:c>
      <x:c r="D1476" s="22" t="str">
        <x:v>C04-M047:XX457</x:v>
      </x:c>
    </x:row>
    <x:row r="1477" ht="24" customHeight="1">
      <x:c r="A1477" s="22" t="n">
        <x:v>1473</x:v>
      </x:c>
      <x:c r="B1477" s="22" t="str">
        <x:v>基准人物可承受普通单击</x:v>
      </x:c>
      <x:c r="C1477" s="22" t="str">
        <x:v>通过</x:v>
      </x:c>
      <x:c r="D1477" s="22" t="str">
        <x:v>C04-M048:XX582</x:v>
      </x:c>
    </x:row>
    <x:row r="1478" ht="24" customHeight="1">
      <x:c r="A1478" s="22" t="n">
        <x:v>1474</x:v>
      </x:c>
      <x:c r="B1478" s="22" t="str">
        <x:v>基准人物可承受普通单击</x:v>
      </x:c>
      <x:c r="C1478" s="22" t="str">
        <x:v>通过</x:v>
      </x:c>
      <x:c r="D1478" s="22" t="str">
        <x:v>C04-M049:XX395</x:v>
      </x:c>
    </x:row>
    <x:row r="1479" ht="24" customHeight="1">
      <x:c r="A1479" s="22" t="n">
        <x:v>1475</x:v>
      </x:c>
      <x:c r="B1479" s="22" t="str">
        <x:v>基准人物可承受普通单击</x:v>
      </x:c>
      <x:c r="C1479" s="22" t="str">
        <x:v>通过</x:v>
      </x:c>
      <x:c r="D1479" s="22" t="str">
        <x:v>C04-M050:XX395</x:v>
      </x:c>
    </x:row>
    <x:row r="1480" ht="24" customHeight="1">
      <x:c r="A1480" s="22" t="n">
        <x:v>1476</x:v>
      </x:c>
      <x:c r="B1480" s="22" t="str">
        <x:v>基准人物可承受普通单击</x:v>
      </x:c>
      <x:c r="C1480" s="22" t="str">
        <x:v>通过</x:v>
      </x:c>
      <x:c r="D1480" s="22" t="str">
        <x:v>C04-M051:XX392</x:v>
      </x:c>
    </x:row>
    <x:row r="1481" ht="24" customHeight="1">
      <x:c r="A1481" s="22" t="n">
        <x:v>1477</x:v>
      </x:c>
      <x:c r="B1481" s="22" t="str">
        <x:v>基准人物可承受普通单击</x:v>
      </x:c>
      <x:c r="C1481" s="22" t="str">
        <x:v>通过</x:v>
      </x:c>
      <x:c r="D1481" s="22" t="str">
        <x:v>C04-M052:XX392</x:v>
      </x:c>
    </x:row>
    <x:row r="1482" ht="24" customHeight="1">
      <x:c r="A1482" s="22" t="n">
        <x:v>1478</x:v>
      </x:c>
      <x:c r="B1482" s="22" t="str">
        <x:v>基准人物可承受普通单击</x:v>
      </x:c>
      <x:c r="C1482" s="22" t="str">
        <x:v>通过</x:v>
      </x:c>
      <x:c r="D1482" s="22" t="str">
        <x:v>C04-M053:XX391</x:v>
      </x:c>
    </x:row>
    <x:row r="1483" ht="24" customHeight="1">
      <x:c r="A1483" s="22" t="n">
        <x:v>1479</x:v>
      </x:c>
      <x:c r="B1483" s="22" t="str">
        <x:v>基准人物可承受普通单击</x:v>
      </x:c>
      <x:c r="C1483" s="22" t="str">
        <x:v>通过</x:v>
      </x:c>
      <x:c r="D1483" s="22" t="str">
        <x:v>C04-M054:XX391</x:v>
      </x:c>
    </x:row>
    <x:row r="1484" ht="24" customHeight="1">
      <x:c r="A1484" s="22" t="n">
        <x:v>1480</x:v>
      </x:c>
      <x:c r="B1484" s="22" t="str">
        <x:v>基准人物可承受普通单击</x:v>
      </x:c>
      <x:c r="C1484" s="22" t="str">
        <x:v>通过</x:v>
      </x:c>
      <x:c r="D1484" s="22" t="str">
        <x:v>C04-M055:XX395</x:v>
      </x:c>
    </x:row>
    <x:row r="1485" ht="24" customHeight="1">
      <x:c r="A1485" s="22" t="n">
        <x:v>1481</x:v>
      </x:c>
      <x:c r="B1485" s="22" t="str">
        <x:v>基准人物可承受普通单击</x:v>
      </x:c>
      <x:c r="C1485" s="22" t="str">
        <x:v>通过</x:v>
      </x:c>
      <x:c r="D1485" s="22" t="str">
        <x:v>C04-M056:XX392</x:v>
      </x:c>
    </x:row>
    <x:row r="1486" ht="24" customHeight="1">
      <x:c r="A1486" s="22" t="n">
        <x:v>1482</x:v>
      </x:c>
      <x:c r="B1486" s="22" t="str">
        <x:v>基准人物可承受普通单击</x:v>
      </x:c>
      <x:c r="C1486" s="22" t="str">
        <x:v>通过</x:v>
      </x:c>
      <x:c r="D1486" s="22" t="str">
        <x:v>C04-M057:XX391</x:v>
      </x:c>
    </x:row>
    <x:row r="1487" ht="24" customHeight="1">
      <x:c r="A1487" s="22" t="n">
        <x:v>1483</x:v>
      </x:c>
      <x:c r="B1487" s="22" t="str">
        <x:v>基准人物可承受普通单击</x:v>
      </x:c>
      <x:c r="C1487" s="22" t="str">
        <x:v>通过</x:v>
      </x:c>
      <x:c r="D1487" s="22" t="str">
        <x:v>C04-M058:XX391</x:v>
      </x:c>
    </x:row>
    <x:row r="1488" ht="24" customHeight="1">
      <x:c r="A1488" s="22" t="n">
        <x:v>1484</x:v>
      </x:c>
      <x:c r="B1488" s="22" t="str">
        <x:v>基准人物可承受普通单击</x:v>
      </x:c>
      <x:c r="C1488" s="22" t="str">
        <x:v>通过</x:v>
      </x:c>
      <x:c r="D1488" s="22" t="str">
        <x:v>C04-M059:XX392</x:v>
      </x:c>
    </x:row>
    <x:row r="1489" ht="24" customHeight="1">
      <x:c r="A1489" s="22" t="n">
        <x:v>1485</x:v>
      </x:c>
      <x:c r="B1489" s="22" t="str">
        <x:v>基准人物可承受普通单击</x:v>
      </x:c>
      <x:c r="C1489" s="22" t="str">
        <x:v>通过</x:v>
      </x:c>
      <x:c r="D1489" s="22" t="str">
        <x:v>C04-M060:XX391</x:v>
      </x:c>
    </x:row>
    <x:row r="1490" ht="24" customHeight="1">
      <x:c r="A1490" s="22" t="n">
        <x:v>1486</x:v>
      </x:c>
      <x:c r="B1490" s="22" t="str">
        <x:v>基准人物可承受普通单击</x:v>
      </x:c>
      <x:c r="C1490" s="22" t="str">
        <x:v>通过</x:v>
      </x:c>
      <x:c r="D1490" s="22" t="str">
        <x:v>C04-M061:XX368</x:v>
      </x:c>
    </x:row>
    <x:row r="1491" ht="24" customHeight="1">
      <x:c r="A1491" s="22" t="n">
        <x:v>1487</x:v>
      </x:c>
      <x:c r="B1491" s="22" t="str">
        <x:v>基准人物可承受普通单击</x:v>
      </x:c>
      <x:c r="C1491" s="22" t="str">
        <x:v>通过</x:v>
      </x:c>
      <x:c r="D1491" s="22" t="str">
        <x:v>C04-M062:XX368</x:v>
      </x:c>
    </x:row>
    <x:row r="1492" ht="24" customHeight="1">
      <x:c r="A1492" s="22" t="n">
        <x:v>1488</x:v>
      </x:c>
      <x:c r="B1492" s="22" t="str">
        <x:v>基准人物可承受普通单击</x:v>
      </x:c>
      <x:c r="C1492" s="22" t="str">
        <x:v>通过</x:v>
      </x:c>
      <x:c r="D1492" s="22" t="str">
        <x:v>C04-M063:XX382</x:v>
      </x:c>
    </x:row>
    <x:row r="1493" ht="24" customHeight="1">
      <x:c r="A1493" s="22" t="n">
        <x:v>1489</x:v>
      </x:c>
      <x:c r="B1493" s="22" t="str">
        <x:v>基准人物可承受普通单击</x:v>
      </x:c>
      <x:c r="C1493" s="22" t="str">
        <x:v>通过</x:v>
      </x:c>
      <x:c r="D1493" s="22" t="str">
        <x:v>C04-M064:XX382</x:v>
      </x:c>
    </x:row>
    <x:row r="1494" ht="24" customHeight="1">
      <x:c r="A1494" s="22" t="n">
        <x:v>1490</x:v>
      </x:c>
      <x:c r="B1494" s="22" t="str">
        <x:v>基准人物可承受普通单击</x:v>
      </x:c>
      <x:c r="C1494" s="22" t="str">
        <x:v>通过</x:v>
      </x:c>
      <x:c r="D1494" s="22" t="str">
        <x:v>C04-M065:XX369</x:v>
      </x:c>
    </x:row>
    <x:row r="1495" ht="24" customHeight="1">
      <x:c r="A1495" s="22" t="n">
        <x:v>1491</x:v>
      </x:c>
      <x:c r="B1495" s="22" t="str">
        <x:v>基准人物可承受普通单击</x:v>
      </x:c>
      <x:c r="C1495" s="22" t="str">
        <x:v>通过</x:v>
      </x:c>
      <x:c r="D1495" s="22" t="str">
        <x:v>C04-M066:XX369</x:v>
      </x:c>
    </x:row>
    <x:row r="1496" ht="24" customHeight="1">
      <x:c r="A1496" s="22" t="n">
        <x:v>1492</x:v>
      </x:c>
      <x:c r="B1496" s="22" t="str">
        <x:v>基准人物可承受普通单击</x:v>
      </x:c>
      <x:c r="C1496" s="22" t="str">
        <x:v>通过</x:v>
      </x:c>
      <x:c r="D1496" s="22" t="str">
        <x:v>C04-M067:XX368</x:v>
      </x:c>
    </x:row>
    <x:row r="1497" ht="24" customHeight="1">
      <x:c r="A1497" s="22" t="n">
        <x:v>1493</x:v>
      </x:c>
      <x:c r="B1497" s="22" t="str">
        <x:v>基准人物可承受普通单击</x:v>
      </x:c>
      <x:c r="C1497" s="22" t="str">
        <x:v>通过</x:v>
      </x:c>
      <x:c r="D1497" s="22" t="str">
        <x:v>C04-M068:XX382</x:v>
      </x:c>
    </x:row>
    <x:row r="1498" ht="24" customHeight="1">
      <x:c r="A1498" s="22" t="n">
        <x:v>1494</x:v>
      </x:c>
      <x:c r="B1498" s="22" t="str">
        <x:v>基准人物可承受普通单击</x:v>
      </x:c>
      <x:c r="C1498" s="22" t="str">
        <x:v>通过</x:v>
      </x:c>
      <x:c r="D1498" s="22" t="str">
        <x:v>C04-M069:XX369</x:v>
      </x:c>
    </x:row>
    <x:row r="1499" ht="24" customHeight="1">
      <x:c r="A1499" s="22" t="n">
        <x:v>1495</x:v>
      </x:c>
      <x:c r="B1499" s="22" t="str">
        <x:v>基准人物可承受普通单击</x:v>
      </x:c>
      <x:c r="C1499" s="22" t="str">
        <x:v>通过</x:v>
      </x:c>
      <x:c r="D1499" s="22" t="str">
        <x:v>C04-M070:XX369</x:v>
      </x:c>
    </x:row>
    <x:row r="1500" ht="24" customHeight="1">
      <x:c r="A1500" s="22" t="n">
        <x:v>1496</x:v>
      </x:c>
      <x:c r="B1500" s="22" t="str">
        <x:v>基准人物可承受普通单击</x:v>
      </x:c>
      <x:c r="C1500" s="22" t="str">
        <x:v>通过</x:v>
      </x:c>
      <x:c r="D1500" s="22" t="str">
        <x:v>C04-M071:XX382</x:v>
      </x:c>
    </x:row>
    <x:row r="1501" ht="24" customHeight="1">
      <x:c r="A1501" s="22" t="n">
        <x:v>1497</x:v>
      </x:c>
      <x:c r="B1501" s="22" t="str">
        <x:v>基准人物可承受普通单击</x:v>
      </x:c>
      <x:c r="C1501" s="22" t="str">
        <x:v>通过</x:v>
      </x:c>
      <x:c r="D1501" s="22" t="str">
        <x:v>C04-M072:XX369</x:v>
      </x:c>
    </x:row>
    <x:row r="1502" ht="24" customHeight="1">
      <x:c r="A1502" s="22" t="n">
        <x:v>1498</x:v>
      </x:c>
      <x:c r="B1502" s="22" t="str">
        <x:v>基准人物可承受普通单击</x:v>
      </x:c>
      <x:c r="C1502" s="22" t="str">
        <x:v>通过</x:v>
      </x:c>
      <x:c r="D1502" s="22" t="str">
        <x:v>C04-M073:XX369</x:v>
      </x:c>
    </x:row>
    <x:row r="1503" ht="24" customHeight="1">
      <x:c r="A1503" s="22" t="n">
        <x:v>1499</x:v>
      </x:c>
      <x:c r="B1503" s="22" t="str">
        <x:v>基准人物可承受普通单击</x:v>
      </x:c>
      <x:c r="C1503" s="22" t="str">
        <x:v>通过</x:v>
      </x:c>
      <x:c r="D1503" s="22" t="str">
        <x:v>C05-M001:XX338</x:v>
      </x:c>
    </x:row>
    <x:row r="1504" ht="24" customHeight="1">
      <x:c r="A1504" s="22" t="n">
        <x:v>1500</x:v>
      </x:c>
      <x:c r="B1504" s="22" t="str">
        <x:v>基准人物可承受普通单击</x:v>
      </x:c>
      <x:c r="C1504" s="22" t="str">
        <x:v>通过</x:v>
      </x:c>
      <x:c r="D1504" s="22" t="str">
        <x:v>C05-M002:XX338</x:v>
      </x:c>
    </x:row>
    <x:row r="1505" ht="24" customHeight="1">
      <x:c r="A1505" s="22" t="n">
        <x:v>1501</x:v>
      </x:c>
      <x:c r="B1505" s="22" t="str">
        <x:v>基准人物可承受普通单击</x:v>
      </x:c>
      <x:c r="C1505" s="22" t="str">
        <x:v>通过</x:v>
      </x:c>
      <x:c r="D1505" s="22" t="str">
        <x:v>C05-M003:XX339</x:v>
      </x:c>
    </x:row>
    <x:row r="1506" ht="24" customHeight="1">
      <x:c r="A1506" s="22" t="n">
        <x:v>1502</x:v>
      </x:c>
      <x:c r="B1506" s="22" t="str">
        <x:v>基准人物可承受普通单击</x:v>
      </x:c>
      <x:c r="C1506" s="22" t="str">
        <x:v>通过</x:v>
      </x:c>
      <x:c r="D1506" s="22" t="str">
        <x:v>C05-M004:XX339</x:v>
      </x:c>
    </x:row>
    <x:row r="1507" ht="24" customHeight="1">
      <x:c r="A1507" s="22" t="n">
        <x:v>1503</x:v>
      </x:c>
      <x:c r="B1507" s="22" t="str">
        <x:v>基准人物可承受普通单击</x:v>
      </x:c>
      <x:c r="C1507" s="22" t="str">
        <x:v>通过</x:v>
      </x:c>
      <x:c r="D1507" s="22" t="str">
        <x:v>C05-M005:XX331</x:v>
      </x:c>
    </x:row>
    <x:row r="1508" ht="24" customHeight="1">
      <x:c r="A1508" s="22" t="n">
        <x:v>1504</x:v>
      </x:c>
      <x:c r="B1508" s="22" t="str">
        <x:v>基准人物可承受普通单击</x:v>
      </x:c>
      <x:c r="C1508" s="22" t="str">
        <x:v>通过</x:v>
      </x:c>
      <x:c r="D1508" s="22" t="str">
        <x:v>C05-M006:XX331</x:v>
      </x:c>
    </x:row>
    <x:row r="1509" ht="24" customHeight="1">
      <x:c r="A1509" s="22" t="n">
        <x:v>1505</x:v>
      </x:c>
      <x:c r="B1509" s="22" t="str">
        <x:v>基准人物可承受普通单击</x:v>
      </x:c>
      <x:c r="C1509" s="22" t="str">
        <x:v>通过</x:v>
      </x:c>
      <x:c r="D1509" s="22" t="str">
        <x:v>C05-M007:XX338</x:v>
      </x:c>
    </x:row>
    <x:row r="1510" ht="24" customHeight="1">
      <x:c r="A1510" s="22" t="n">
        <x:v>1506</x:v>
      </x:c>
      <x:c r="B1510" s="22" t="str">
        <x:v>基准人物可承受普通单击</x:v>
      </x:c>
      <x:c r="C1510" s="22" t="str">
        <x:v>通过</x:v>
      </x:c>
      <x:c r="D1510" s="22" t="str">
        <x:v>C05-M008:XX338</x:v>
      </x:c>
    </x:row>
    <x:row r="1511" ht="24" customHeight="1">
      <x:c r="A1511" s="22" t="n">
        <x:v>1507</x:v>
      </x:c>
      <x:c r="B1511" s="22" t="str">
        <x:v>基准人物可承受普通单击</x:v>
      </x:c>
      <x:c r="C1511" s="22" t="str">
        <x:v>通过</x:v>
      </x:c>
      <x:c r="D1511" s="22" t="str">
        <x:v>C05-M009:XX339</x:v>
      </x:c>
    </x:row>
    <x:row r="1512" ht="24" customHeight="1">
      <x:c r="A1512" s="22" t="n">
        <x:v>1508</x:v>
      </x:c>
      <x:c r="B1512" s="22" t="str">
        <x:v>基准人物可承受普通单击</x:v>
      </x:c>
      <x:c r="C1512" s="22" t="str">
        <x:v>通过</x:v>
      </x:c>
      <x:c r="D1512" s="22" t="str">
        <x:v>C05-M010:XX331</x:v>
      </x:c>
    </x:row>
    <x:row r="1513" ht="24" customHeight="1">
      <x:c r="A1513" s="22" t="n">
        <x:v>1509</x:v>
      </x:c>
      <x:c r="B1513" s="22" t="str">
        <x:v>基准人物可承受普通单击</x:v>
      </x:c>
      <x:c r="C1513" s="22" t="str">
        <x:v>通过</x:v>
      </x:c>
      <x:c r="D1513" s="22" t="str">
        <x:v>C05-M011:XX339</x:v>
      </x:c>
    </x:row>
    <x:row r="1514" ht="24" customHeight="1">
      <x:c r="A1514" s="22" t="n">
        <x:v>1510</x:v>
      </x:c>
      <x:c r="B1514" s="22" t="str">
        <x:v>基准人物可承受普通单击</x:v>
      </x:c>
      <x:c r="C1514" s="22" t="str">
        <x:v>通过</x:v>
      </x:c>
      <x:c r="D1514" s="22" t="str">
        <x:v>C05-M012:XX331</x:v>
      </x:c>
    </x:row>
    <x:row r="1515" ht="24" customHeight="1">
      <x:c r="A1515" s="22" t="n">
        <x:v>1511</x:v>
      </x:c>
      <x:c r="B1515" s="22" t="str">
        <x:v>基准人物可承受普通单击</x:v>
      </x:c>
      <x:c r="C1515" s="22" t="str">
        <x:v>通过</x:v>
      </x:c>
      <x:c r="D1515" s="22" t="str">
        <x:v>C05-M013:XX812</x:v>
      </x:c>
    </x:row>
    <x:row r="1516" ht="24" customHeight="1">
      <x:c r="A1516" s="22" t="n">
        <x:v>1512</x:v>
      </x:c>
      <x:c r="B1516" s="22" t="str">
        <x:v>基准人物可承受普通单击</x:v>
      </x:c>
      <x:c r="C1516" s="22" t="str">
        <x:v>通过</x:v>
      </x:c>
      <x:c r="D1516" s="22" t="str">
        <x:v>C05-M014:XX812</x:v>
      </x:c>
    </x:row>
    <x:row r="1517" ht="24" customHeight="1">
      <x:c r="A1517" s="22" t="n">
        <x:v>1513</x:v>
      </x:c>
      <x:c r="B1517" s="22" t="str">
        <x:v>基准人物可承受普通单击</x:v>
      </x:c>
      <x:c r="C1517" s="22" t="str">
        <x:v>通过</x:v>
      </x:c>
      <x:c r="D1517" s="22" t="str">
        <x:v>C05-M015:XX815</x:v>
      </x:c>
    </x:row>
    <x:row r="1518" ht="24" customHeight="1">
      <x:c r="A1518" s="22" t="n">
        <x:v>1514</x:v>
      </x:c>
      <x:c r="B1518" s="22" t="str">
        <x:v>基准人物可承受普通单击</x:v>
      </x:c>
      <x:c r="C1518" s="22" t="str">
        <x:v>通过</x:v>
      </x:c>
      <x:c r="D1518" s="22" t="str">
        <x:v>C05-M016:XX813</x:v>
      </x:c>
    </x:row>
    <x:row r="1519" ht="24" customHeight="1">
      <x:c r="A1519" s="22" t="n">
        <x:v>1515</x:v>
      </x:c>
      <x:c r="B1519" s="22" t="str">
        <x:v>基准人物可承受普通单击</x:v>
      </x:c>
      <x:c r="C1519" s="22" t="str">
        <x:v>通过</x:v>
      </x:c>
      <x:c r="D1519" s="22" t="str">
        <x:v>C05-M017:XX814</x:v>
      </x:c>
    </x:row>
    <x:row r="1520" ht="24" customHeight="1">
      <x:c r="A1520" s="22" t="n">
        <x:v>1516</x:v>
      </x:c>
      <x:c r="B1520" s="22" t="str">
        <x:v>基准人物可承受普通单击</x:v>
      </x:c>
      <x:c r="C1520" s="22" t="str">
        <x:v>通过</x:v>
      </x:c>
      <x:c r="D1520" s="22" t="str">
        <x:v>C05-M018:XX816</x:v>
      </x:c>
    </x:row>
    <x:row r="1521" ht="24" customHeight="1">
      <x:c r="A1521" s="22" t="n">
        <x:v>1517</x:v>
      </x:c>
      <x:c r="B1521" s="22" t="str">
        <x:v>基准人物可承受普通单击</x:v>
      </x:c>
      <x:c r="C1521" s="22" t="str">
        <x:v>通过</x:v>
      </x:c>
      <x:c r="D1521" s="22" t="str">
        <x:v>C05-M019:XX812</x:v>
      </x:c>
    </x:row>
    <x:row r="1522" ht="24" customHeight="1">
      <x:c r="A1522" s="22" t="n">
        <x:v>1518</x:v>
      </x:c>
      <x:c r="B1522" s="22" t="str">
        <x:v>基准人物可承受普通单击</x:v>
      </x:c>
      <x:c r="C1522" s="22" t="str">
        <x:v>通过</x:v>
      </x:c>
      <x:c r="D1522" s="22" t="str">
        <x:v>C05-M020:XX815</x:v>
      </x:c>
    </x:row>
    <x:row r="1523" ht="24" customHeight="1">
      <x:c r="A1523" s="22" t="n">
        <x:v>1519</x:v>
      </x:c>
      <x:c r="B1523" s="22" t="str">
        <x:v>基准人物可承受普通单击</x:v>
      </x:c>
      <x:c r="C1523" s="22" t="str">
        <x:v>通过</x:v>
      </x:c>
      <x:c r="D1523" s="22" t="str">
        <x:v>C05-M021:XX813</x:v>
      </x:c>
    </x:row>
    <x:row r="1524" ht="24" customHeight="1">
      <x:c r="A1524" s="22" t="n">
        <x:v>1520</x:v>
      </x:c>
      <x:c r="B1524" s="22" t="str">
        <x:v>基准人物可承受普通单击</x:v>
      </x:c>
      <x:c r="C1524" s="22" t="str">
        <x:v>通过</x:v>
      </x:c>
      <x:c r="D1524" s="22" t="str">
        <x:v>C05-M022:XX814</x:v>
      </x:c>
    </x:row>
    <x:row r="1525" ht="24" customHeight="1">
      <x:c r="A1525" s="22" t="n">
        <x:v>1521</x:v>
      </x:c>
      <x:c r="B1525" s="22" t="str">
        <x:v>基准人物可承受普通单击</x:v>
      </x:c>
      <x:c r="C1525" s="22" t="str">
        <x:v>通过</x:v>
      </x:c>
      <x:c r="D1525" s="22" t="str">
        <x:v>C05-M023:XX814</x:v>
      </x:c>
    </x:row>
    <x:row r="1526" ht="24" customHeight="1">
      <x:c r="A1526" s="22" t="n">
        <x:v>1522</x:v>
      </x:c>
      <x:c r="B1526" s="22" t="str">
        <x:v>基准人物可承受普通单击</x:v>
      </x:c>
      <x:c r="C1526" s="22" t="str">
        <x:v>通过</x:v>
      </x:c>
      <x:c r="D1526" s="22" t="str">
        <x:v>C05-M024:XX816</x:v>
      </x:c>
    </x:row>
    <x:row r="1527" ht="24" customHeight="1">
      <x:c r="A1527" s="22" t="n">
        <x:v>1523</x:v>
      </x:c>
      <x:c r="B1527" s="22" t="str">
        <x:v>基准人物可承受普通单击</x:v>
      </x:c>
      <x:c r="C1527" s="22" t="str">
        <x:v>通过</x:v>
      </x:c>
      <x:c r="D1527" s="22" t="str">
        <x:v>C05-M025:XX1053</x:v>
      </x:c>
    </x:row>
    <x:row r="1528" ht="24" customHeight="1">
      <x:c r="A1528" s="22" t="n">
        <x:v>1524</x:v>
      </x:c>
      <x:c r="B1528" s="22" t="str">
        <x:v>基准人物可承受普通单击</x:v>
      </x:c>
      <x:c r="C1528" s="22" t="str">
        <x:v>通过</x:v>
      </x:c>
      <x:c r="D1528" s="22" t="str">
        <x:v>C05-M026:XX1053</x:v>
      </x:c>
    </x:row>
    <x:row r="1529" ht="24" customHeight="1">
      <x:c r="A1529" s="22" t="n">
        <x:v>1525</x:v>
      </x:c>
      <x:c r="B1529" s="22" t="str">
        <x:v>基准人物可承受普通单击</x:v>
      </x:c>
      <x:c r="C1529" s="22" t="str">
        <x:v>通过</x:v>
      </x:c>
      <x:c r="D1529" s="22" t="str">
        <x:v>C05-M027:XX1060</x:v>
      </x:c>
    </x:row>
    <x:row r="1530" ht="24" customHeight="1">
      <x:c r="A1530" s="22" t="n">
        <x:v>1526</x:v>
      </x:c>
      <x:c r="B1530" s="22" t="str">
        <x:v>基准人物可承受普通单击</x:v>
      </x:c>
      <x:c r="C1530" s="22" t="str">
        <x:v>通过</x:v>
      </x:c>
      <x:c r="D1530" s="22" t="str">
        <x:v>C05-M028:XX1060</x:v>
      </x:c>
    </x:row>
    <x:row r="1531" ht="24" customHeight="1">
      <x:c r="A1531" s="22" t="n">
        <x:v>1527</x:v>
      </x:c>
      <x:c r="B1531" s="22" t="str">
        <x:v>基准人物可承受普通单击</x:v>
      </x:c>
      <x:c r="C1531" s="22" t="str">
        <x:v>通过</x:v>
      </x:c>
      <x:c r="D1531" s="22" t="str">
        <x:v>C05-M029:XX1058</x:v>
      </x:c>
    </x:row>
    <x:row r="1532" ht="24" customHeight="1">
      <x:c r="A1532" s="22" t="n">
        <x:v>1528</x:v>
      </x:c>
      <x:c r="B1532" s="22" t="str">
        <x:v>基准人物可承受普通单击</x:v>
      </x:c>
      <x:c r="C1532" s="22" t="str">
        <x:v>通过</x:v>
      </x:c>
      <x:c r="D1532" s="22" t="str">
        <x:v>C05-M030:XX1058</x:v>
      </x:c>
    </x:row>
    <x:row r="1533" ht="24" customHeight="1">
      <x:c r="A1533" s="22" t="n">
        <x:v>1529</x:v>
      </x:c>
      <x:c r="B1533" s="22" t="str">
        <x:v>基准人物可承受普通单击</x:v>
      </x:c>
      <x:c r="C1533" s="22" t="str">
        <x:v>通过</x:v>
      </x:c>
      <x:c r="D1533" s="22" t="str">
        <x:v>C05-M031:XX1053</x:v>
      </x:c>
    </x:row>
    <x:row r="1534" ht="24" customHeight="1">
      <x:c r="A1534" s="22" t="n">
        <x:v>1530</x:v>
      </x:c>
      <x:c r="B1534" s="22" t="str">
        <x:v>基准人物可承受普通单击</x:v>
      </x:c>
      <x:c r="C1534" s="22" t="str">
        <x:v>通过</x:v>
      </x:c>
      <x:c r="D1534" s="22" t="str">
        <x:v>C05-M032:XX1060</x:v>
      </x:c>
    </x:row>
    <x:row r="1535" ht="24" customHeight="1">
      <x:c r="A1535" s="22" t="n">
        <x:v>1531</x:v>
      </x:c>
      <x:c r="B1535" s="22" t="str">
        <x:v>基准人物可承受普通单击</x:v>
      </x:c>
      <x:c r="C1535" s="22" t="str">
        <x:v>通过</x:v>
      </x:c>
      <x:c r="D1535" s="22" t="str">
        <x:v>C05-M033:XX1058</x:v>
      </x:c>
    </x:row>
    <x:row r="1536" ht="24" customHeight="1">
      <x:c r="A1536" s="22" t="n">
        <x:v>1532</x:v>
      </x:c>
      <x:c r="B1536" s="22" t="str">
        <x:v>基准人物可承受普通单击</x:v>
      </x:c>
      <x:c r="C1536" s="22" t="str">
        <x:v>通过</x:v>
      </x:c>
      <x:c r="D1536" s="22" t="str">
        <x:v>C05-M034:XX1058</x:v>
      </x:c>
    </x:row>
    <x:row r="1537" ht="24" customHeight="1">
      <x:c r="A1537" s="22" t="n">
        <x:v>1533</x:v>
      </x:c>
      <x:c r="B1537" s="22" t="str">
        <x:v>基准人物可承受普通单击</x:v>
      </x:c>
      <x:c r="C1537" s="22" t="str">
        <x:v>通过</x:v>
      </x:c>
      <x:c r="D1537" s="22" t="str">
        <x:v>C05-M035:XX1060</x:v>
      </x:c>
    </x:row>
    <x:row r="1538" ht="24" customHeight="1">
      <x:c r="A1538" s="22" t="n">
        <x:v>1534</x:v>
      </x:c>
      <x:c r="B1538" s="22" t="str">
        <x:v>基准人物可承受普通单击</x:v>
      </x:c>
      <x:c r="C1538" s="22" t="str">
        <x:v>通过</x:v>
      </x:c>
      <x:c r="D1538" s="22" t="str">
        <x:v>C05-M036:XX1058</x:v>
      </x:c>
    </x:row>
    <x:row r="1539" ht="24" customHeight="1">
      <x:c r="A1539" s="22" t="n">
        <x:v>1535</x:v>
      </x:c>
      <x:c r="B1539" s="22" t="str">
        <x:v>基准人物可承受普通单击</x:v>
      </x:c>
      <x:c r="C1539" s="22" t="str">
        <x:v>通过</x:v>
      </x:c>
      <x:c r="D1539" s="22" t="str">
        <x:v>C05-M037:XX1063</x:v>
      </x:c>
    </x:row>
    <x:row r="1540" ht="24" customHeight="1">
      <x:c r="A1540" s="22" t="n">
        <x:v>1536</x:v>
      </x:c>
      <x:c r="B1540" s="22" t="str">
        <x:v>基准人物可承受普通单击</x:v>
      </x:c>
      <x:c r="C1540" s="22" t="str">
        <x:v>通过</x:v>
      </x:c>
      <x:c r="D1540" s="22" t="str">
        <x:v>C05-M038:XX1063</x:v>
      </x:c>
    </x:row>
    <x:row r="1541" ht="24" customHeight="1">
      <x:c r="A1541" s="22" t="n">
        <x:v>1537</x:v>
      </x:c>
      <x:c r="B1541" s="22" t="str">
        <x:v>基准人物可承受普通单击</x:v>
      </x:c>
      <x:c r="C1541" s="22" t="str">
        <x:v>通过</x:v>
      </x:c>
      <x:c r="D1541" s="22" t="str">
        <x:v>C05-M039:XX1065</x:v>
      </x:c>
    </x:row>
    <x:row r="1542" ht="24" customHeight="1">
      <x:c r="A1542" s="22" t="n">
        <x:v>1538</x:v>
      </x:c>
      <x:c r="B1542" s="22" t="str">
        <x:v>基准人物可承受普通单击</x:v>
      </x:c>
      <x:c r="C1542" s="22" t="str">
        <x:v>通过</x:v>
      </x:c>
      <x:c r="D1542" s="22" t="str">
        <x:v>C05-M040:XX1065</x:v>
      </x:c>
    </x:row>
    <x:row r="1543" ht="24" customHeight="1">
      <x:c r="A1543" s="22" t="n">
        <x:v>1539</x:v>
      </x:c>
      <x:c r="B1543" s="22" t="str">
        <x:v>基准人物可承受普通单击</x:v>
      </x:c>
      <x:c r="C1543" s="22" t="str">
        <x:v>通过</x:v>
      </x:c>
      <x:c r="D1543" s="22" t="str">
        <x:v>C05-M041:XX1066</x:v>
      </x:c>
    </x:row>
    <x:row r="1544" ht="24" customHeight="1">
      <x:c r="A1544" s="22" t="n">
        <x:v>1540</x:v>
      </x:c>
      <x:c r="B1544" s="22" t="str">
        <x:v>基准人物可承受普通单击</x:v>
      </x:c>
      <x:c r="C1544" s="22" t="str">
        <x:v>通过</x:v>
      </x:c>
      <x:c r="D1544" s="22" t="str">
        <x:v>C05-M042:XX1066</x:v>
      </x:c>
    </x:row>
    <x:row r="1545" ht="24" customHeight="1">
      <x:c r="A1545" s="22" t="n">
        <x:v>1541</x:v>
      </x:c>
      <x:c r="B1545" s="22" t="str">
        <x:v>基准人物可承受普通单击</x:v>
      </x:c>
      <x:c r="C1545" s="22" t="str">
        <x:v>通过</x:v>
      </x:c>
      <x:c r="D1545" s="22" t="str">
        <x:v>C05-M043:XX1063</x:v>
      </x:c>
    </x:row>
    <x:row r="1546" ht="24" customHeight="1">
      <x:c r="A1546" s="22" t="n">
        <x:v>1542</x:v>
      </x:c>
      <x:c r="B1546" s="22" t="str">
        <x:v>基准人物可承受普通单击</x:v>
      </x:c>
      <x:c r="C1546" s="22" t="str">
        <x:v>通过</x:v>
      </x:c>
      <x:c r="D1546" s="22" t="str">
        <x:v>C05-M044:XX1065</x:v>
      </x:c>
    </x:row>
    <x:row r="1547" ht="24" customHeight="1">
      <x:c r="A1547" s="22" t="n">
        <x:v>1543</x:v>
      </x:c>
      <x:c r="B1547" s="22" t="str">
        <x:v>基准人物可承受普通单击</x:v>
      </x:c>
      <x:c r="C1547" s="22" t="str">
        <x:v>通过</x:v>
      </x:c>
      <x:c r="D1547" s="22" t="str">
        <x:v>C05-M045:XX1066</x:v>
      </x:c>
    </x:row>
    <x:row r="1548" ht="24" customHeight="1">
      <x:c r="A1548" s="22" t="n">
        <x:v>1544</x:v>
      </x:c>
      <x:c r="B1548" s="22" t="str">
        <x:v>基准人物可承受普通单击</x:v>
      </x:c>
      <x:c r="C1548" s="22" t="str">
        <x:v>通过</x:v>
      </x:c>
      <x:c r="D1548" s="22" t="str">
        <x:v>C05-M046:XX1063</x:v>
      </x:c>
    </x:row>
    <x:row r="1549" ht="24" customHeight="1">
      <x:c r="A1549" s="22" t="n">
        <x:v>1545</x:v>
      </x:c>
      <x:c r="B1549" s="22" t="str">
        <x:v>基准人物可承受普通单击</x:v>
      </x:c>
      <x:c r="C1549" s="22" t="str">
        <x:v>通过</x:v>
      </x:c>
      <x:c r="D1549" s="22" t="str">
        <x:v>C05-M047:XX1065</x:v>
      </x:c>
    </x:row>
    <x:row r="1550" ht="24" customHeight="1">
      <x:c r="A1550" s="22" t="n">
        <x:v>1546</x:v>
      </x:c>
      <x:c r="B1550" s="22" t="str">
        <x:v>基准人物可承受普通单击</x:v>
      </x:c>
      <x:c r="C1550" s="22" t="str">
        <x:v>通过</x:v>
      </x:c>
      <x:c r="D1550" s="22" t="str">
        <x:v>C05-M048:XX1066</x:v>
      </x:c>
    </x:row>
    <x:row r="1551" ht="24" customHeight="1">
      <x:c r="A1551" s="22" t="n">
        <x:v>1547</x:v>
      </x:c>
      <x:c r="B1551" s="22" t="str">
        <x:v>基准人物可承受普通单击</x:v>
      </x:c>
      <x:c r="C1551" s="22" t="str">
        <x:v>通过</x:v>
      </x:c>
      <x:c r="D1551" s="22" t="str">
        <x:v>C05-M049:XX377</x:v>
      </x:c>
    </x:row>
    <x:row r="1552" ht="24" customHeight="1">
      <x:c r="A1552" s="22" t="n">
        <x:v>1548</x:v>
      </x:c>
      <x:c r="B1552" s="22" t="str">
        <x:v>基准人物可承受普通单击</x:v>
      </x:c>
      <x:c r="C1552" s="22" t="str">
        <x:v>通过</x:v>
      </x:c>
      <x:c r="D1552" s="22" t="str">
        <x:v>C05-M050:XX377</x:v>
      </x:c>
    </x:row>
    <x:row r="1553" ht="24" customHeight="1">
      <x:c r="A1553" s="22" t="n">
        <x:v>1549</x:v>
      </x:c>
      <x:c r="B1553" s="22" t="str">
        <x:v>基准人物可承受普通单击</x:v>
      </x:c>
      <x:c r="C1553" s="22" t="str">
        <x:v>通过</x:v>
      </x:c>
      <x:c r="D1553" s="22" t="str">
        <x:v>C05-M051:XX378</x:v>
      </x:c>
    </x:row>
    <x:row r="1554" ht="24" customHeight="1">
      <x:c r="A1554" s="22" t="n">
        <x:v>1550</x:v>
      </x:c>
      <x:c r="B1554" s="22" t="str">
        <x:v>基准人物可承受普通单击</x:v>
      </x:c>
      <x:c r="C1554" s="22" t="str">
        <x:v>通过</x:v>
      </x:c>
      <x:c r="D1554" s="22" t="str">
        <x:v>C05-M052:XX378</x:v>
      </x:c>
    </x:row>
    <x:row r="1555" ht="24" customHeight="1">
      <x:c r="A1555" s="22" t="n">
        <x:v>1551</x:v>
      </x:c>
      <x:c r="B1555" s="22" t="str">
        <x:v>基准人物可承受普通单击</x:v>
      </x:c>
      <x:c r="C1555" s="22" t="str">
        <x:v>通过</x:v>
      </x:c>
      <x:c r="D1555" s="22" t="str">
        <x:v>C05-M053:XX379</x:v>
      </x:c>
    </x:row>
    <x:row r="1556" ht="24" customHeight="1">
      <x:c r="A1556" s="22" t="n">
        <x:v>1552</x:v>
      </x:c>
      <x:c r="B1556" s="22" t="str">
        <x:v>基准人物可承受普通单击</x:v>
      </x:c>
      <x:c r="C1556" s="22" t="str">
        <x:v>通过</x:v>
      </x:c>
      <x:c r="D1556" s="22" t="str">
        <x:v>C05-M054:XX379</x:v>
      </x:c>
    </x:row>
    <x:row r="1557" ht="24" customHeight="1">
      <x:c r="A1557" s="22" t="n">
        <x:v>1553</x:v>
      </x:c>
      <x:c r="B1557" s="22" t="str">
        <x:v>基准人物可承受普通单击</x:v>
      </x:c>
      <x:c r="C1557" s="22" t="str">
        <x:v>通过</x:v>
      </x:c>
      <x:c r="D1557" s="22" t="str">
        <x:v>C05-M055:XX377</x:v>
      </x:c>
    </x:row>
    <x:row r="1558" ht="24" customHeight="1">
      <x:c r="A1558" s="22" t="n">
        <x:v>1554</x:v>
      </x:c>
      <x:c r="B1558" s="22" t="str">
        <x:v>基准人物可承受普通单击</x:v>
      </x:c>
      <x:c r="C1558" s="22" t="str">
        <x:v>通过</x:v>
      </x:c>
      <x:c r="D1558" s="22" t="str">
        <x:v>C05-M056:XX378</x:v>
      </x:c>
    </x:row>
    <x:row r="1559" ht="24" customHeight="1">
      <x:c r="A1559" s="22" t="n">
        <x:v>1555</x:v>
      </x:c>
      <x:c r="B1559" s="22" t="str">
        <x:v>基准人物可承受普通单击</x:v>
      </x:c>
      <x:c r="C1559" s="22" t="str">
        <x:v>通过</x:v>
      </x:c>
      <x:c r="D1559" s="22" t="str">
        <x:v>C05-M057:XX379</x:v>
      </x:c>
    </x:row>
    <x:row r="1560" ht="24" customHeight="1">
      <x:c r="A1560" s="22" t="n">
        <x:v>1556</x:v>
      </x:c>
      <x:c r="B1560" s="22" t="str">
        <x:v>基准人物可承受普通单击</x:v>
      </x:c>
      <x:c r="C1560" s="22" t="str">
        <x:v>通过</x:v>
      </x:c>
      <x:c r="D1560" s="22" t="str">
        <x:v>C05-M058:XX377</x:v>
      </x:c>
    </x:row>
    <x:row r="1561" ht="24" customHeight="1">
      <x:c r="A1561" s="22" t="n">
        <x:v>1557</x:v>
      </x:c>
      <x:c r="B1561" s="22" t="str">
        <x:v>基准人物可承受普通单击</x:v>
      </x:c>
      <x:c r="C1561" s="22" t="str">
        <x:v>通过</x:v>
      </x:c>
      <x:c r="D1561" s="22" t="str">
        <x:v>C05-M059:XX378</x:v>
      </x:c>
    </x:row>
    <x:row r="1562" ht="24" customHeight="1">
      <x:c r="A1562" s="22" t="n">
        <x:v>1558</x:v>
      </x:c>
      <x:c r="B1562" s="22" t="str">
        <x:v>基准人物可承受普通单击</x:v>
      </x:c>
      <x:c r="C1562" s="22" t="str">
        <x:v>通过</x:v>
      </x:c>
      <x:c r="D1562" s="22" t="str">
        <x:v>C05-M060:XX379</x:v>
      </x:c>
    </x:row>
    <x:row r="1563" ht="24" customHeight="1">
      <x:c r="A1563" s="22" t="n">
        <x:v>1559</x:v>
      </x:c>
      <x:c r="B1563" s="22" t="str">
        <x:v>基准人物可承受普通单击</x:v>
      </x:c>
      <x:c r="C1563" s="22" t="str">
        <x:v>通过</x:v>
      </x:c>
      <x:c r="D1563" s="22" t="str">
        <x:v>C05-M061:XX927</x:v>
      </x:c>
    </x:row>
    <x:row r="1564" ht="24" customHeight="1">
      <x:c r="A1564" s="22" t="n">
        <x:v>1560</x:v>
      </x:c>
      <x:c r="B1564" s="22" t="str">
        <x:v>基准人物可承受普通单击</x:v>
      </x:c>
      <x:c r="C1564" s="22" t="str">
        <x:v>通过</x:v>
      </x:c>
      <x:c r="D1564" s="22" t="str">
        <x:v>C05-M062:XX927</x:v>
      </x:c>
    </x:row>
    <x:row r="1565" ht="24" customHeight="1">
      <x:c r="A1565" s="22" t="n">
        <x:v>1561</x:v>
      </x:c>
      <x:c r="B1565" s="22" t="str">
        <x:v>基准人物可承受普通单击</x:v>
      </x:c>
      <x:c r="C1565" s="22" t="str">
        <x:v>通过</x:v>
      </x:c>
      <x:c r="D1565" s="22" t="str">
        <x:v>C05-M063:XX925</x:v>
      </x:c>
    </x:row>
    <x:row r="1566" ht="24" customHeight="1">
      <x:c r="A1566" s="22" t="n">
        <x:v>1562</x:v>
      </x:c>
      <x:c r="B1566" s="22" t="str">
        <x:v>基准人物可承受普通单击</x:v>
      </x:c>
      <x:c r="C1566" s="22" t="str">
        <x:v>通过</x:v>
      </x:c>
      <x:c r="D1566" s="22" t="str">
        <x:v>C05-M064:XX926</x:v>
      </x:c>
    </x:row>
    <x:row r="1567" ht="24" customHeight="1">
      <x:c r="A1567" s="22" t="n">
        <x:v>1563</x:v>
      </x:c>
      <x:c r="B1567" s="22" t="str">
        <x:v>基准人物可承受普通单击</x:v>
      </x:c>
      <x:c r="C1567" s="22" t="str">
        <x:v>通过</x:v>
      </x:c>
      <x:c r="D1567" s="22" t="str">
        <x:v>C05-M065:XX923</x:v>
      </x:c>
    </x:row>
    <x:row r="1568" ht="24" customHeight="1">
      <x:c r="A1568" s="22" t="n">
        <x:v>1564</x:v>
      </x:c>
      <x:c r="B1568" s="22" t="str">
        <x:v>基准人物可承受普通单击</x:v>
      </x:c>
      <x:c r="C1568" s="22" t="str">
        <x:v>通过</x:v>
      </x:c>
      <x:c r="D1568" s="22" t="str">
        <x:v>C05-M066:XX924</x:v>
      </x:c>
    </x:row>
    <x:row r="1569" ht="24" customHeight="1">
      <x:c r="A1569" s="22" t="n">
        <x:v>1565</x:v>
      </x:c>
      <x:c r="B1569" s="22" t="str">
        <x:v>基准人物可承受普通单击</x:v>
      </x:c>
      <x:c r="C1569" s="22" t="str">
        <x:v>通过</x:v>
      </x:c>
      <x:c r="D1569" s="22" t="str">
        <x:v>C05-M067:XX927</x:v>
      </x:c>
    </x:row>
    <x:row r="1570" ht="24" customHeight="1">
      <x:c r="A1570" s="22" t="n">
        <x:v>1566</x:v>
      </x:c>
      <x:c r="B1570" s="22" t="str">
        <x:v>基准人物可承受普通单击</x:v>
      </x:c>
      <x:c r="C1570" s="22" t="str">
        <x:v>通过</x:v>
      </x:c>
      <x:c r="D1570" s="22" t="str">
        <x:v>C05-M068:XX925</x:v>
      </x:c>
    </x:row>
    <x:row r="1571" ht="24" customHeight="1">
      <x:c r="A1571" s="22" t="n">
        <x:v>1567</x:v>
      </x:c>
      <x:c r="B1571" s="22" t="str">
        <x:v>基准人物可承受普通单击</x:v>
      </x:c>
      <x:c r="C1571" s="22" t="str">
        <x:v>通过</x:v>
      </x:c>
      <x:c r="D1571" s="22" t="str">
        <x:v>C05-M069:XX926</x:v>
      </x:c>
    </x:row>
    <x:row r="1572" ht="24" customHeight="1">
      <x:c r="A1572" s="22" t="n">
        <x:v>1568</x:v>
      </x:c>
      <x:c r="B1572" s="22" t="str">
        <x:v>基准人物可承受普通单击</x:v>
      </x:c>
      <x:c r="C1572" s="22" t="str">
        <x:v>通过</x:v>
      </x:c>
      <x:c r="D1572" s="22" t="str">
        <x:v>C05-M070:XX923</x:v>
      </x:c>
    </x:row>
    <x:row r="1573" ht="24" customHeight="1">
      <x:c r="A1573" s="22" t="n">
        <x:v>1569</x:v>
      </x:c>
      <x:c r="B1573" s="22" t="str">
        <x:v>基准人物可承受普通单击</x:v>
      </x:c>
      <x:c r="C1573" s="22" t="str">
        <x:v>通过</x:v>
      </x:c>
      <x:c r="D1573" s="22" t="str">
        <x:v>C05-M071:XX923</x:v>
      </x:c>
    </x:row>
    <x:row r="1574" ht="24" customHeight="1">
      <x:c r="A1574" s="22" t="n">
        <x:v>1570</x:v>
      </x:c>
      <x:c r="B1574" s="22" t="str">
        <x:v>基准人物可承受普通单击</x:v>
      </x:c>
      <x:c r="C1574" s="22" t="str">
        <x:v>通过</x:v>
      </x:c>
      <x:c r="D1574" s="22" t="str">
        <x:v>C05-M072:XX924</x:v>
      </x:c>
    </x:row>
    <x:row r="1575" ht="24" customHeight="1">
      <x:c r="A1575" s="22" t="n">
        <x:v>1571</x:v>
      </x:c>
      <x:c r="B1575" s="22" t="str">
        <x:v>基准人物可承受普通单击</x:v>
      </x:c>
      <x:c r="C1575" s="22" t="str">
        <x:v>通过</x:v>
      </x:c>
      <x:c r="D1575" s="22" t="str">
        <x:v>C05-M073:XX924</x:v>
      </x:c>
    </x:row>
    <x:row r="1576" ht="24" customHeight="1">
      <x:c r="A1576" s="22" t="n">
        <x:v>1572</x:v>
      </x:c>
      <x:c r="B1576" s="22" t="str">
        <x:v>基准人物可承受普通单击</x:v>
      </x:c>
      <x:c r="C1576" s="22" t="str">
        <x:v>通过</x:v>
      </x:c>
      <x:c r="D1576" s="22" t="str">
        <x:v>C06-M001:XX304</x:v>
      </x:c>
    </x:row>
    <x:row r="1577" ht="24" customHeight="1">
      <x:c r="A1577" s="22" t="n">
        <x:v>1573</x:v>
      </x:c>
      <x:c r="B1577" s="22" t="str">
        <x:v>基准人物可承受普通单击</x:v>
      </x:c>
      <x:c r="C1577" s="22" t="str">
        <x:v>通过</x:v>
      </x:c>
      <x:c r="D1577" s="22" t="str">
        <x:v>C06-M002:XX305</x:v>
      </x:c>
    </x:row>
    <x:row r="1578" ht="24" customHeight="1">
      <x:c r="A1578" s="22" t="n">
        <x:v>1574</x:v>
      </x:c>
      <x:c r="B1578" s="22" t="str">
        <x:v>基准人物可承受普通单击</x:v>
      </x:c>
      <x:c r="C1578" s="22" t="str">
        <x:v>通过</x:v>
      </x:c>
      <x:c r="D1578" s="22" t="str">
        <x:v>C06-M003:XX306</x:v>
      </x:c>
    </x:row>
    <x:row r="1579" ht="24" customHeight="1">
      <x:c r="A1579" s="22" t="n">
        <x:v>1575</x:v>
      </x:c>
      <x:c r="B1579" s="22" t="str">
        <x:v>基准人物可承受普通单击</x:v>
      </x:c>
      <x:c r="C1579" s="22" t="str">
        <x:v>通过</x:v>
      </x:c>
      <x:c r="D1579" s="22" t="str">
        <x:v>C06-M004:XX307</x:v>
      </x:c>
    </x:row>
    <x:row r="1580" ht="24" customHeight="1">
      <x:c r="A1580" s="22" t="n">
        <x:v>1576</x:v>
      </x:c>
      <x:c r="B1580" s="22" t="str">
        <x:v>基准人物可承受普通单击</x:v>
      </x:c>
      <x:c r="C1580" s="22" t="str">
        <x:v>通过</x:v>
      </x:c>
      <x:c r="D1580" s="22" t="str">
        <x:v>C06-M005:XX308</x:v>
      </x:c>
    </x:row>
    <x:row r="1581" ht="24" customHeight="1">
      <x:c r="A1581" s="22" t="n">
        <x:v>1577</x:v>
      </x:c>
      <x:c r="B1581" s="22" t="str">
        <x:v>基准人物可承受普通单击</x:v>
      </x:c>
      <x:c r="C1581" s="22" t="str">
        <x:v>通过</x:v>
      </x:c>
      <x:c r="D1581" s="22" t="str">
        <x:v>C06-M006:XX304</x:v>
      </x:c>
    </x:row>
    <x:row r="1582" ht="24" customHeight="1">
      <x:c r="A1582" s="22" t="n">
        <x:v>1578</x:v>
      </x:c>
      <x:c r="B1582" s="22" t="str">
        <x:v>基准人物可承受普通单击</x:v>
      </x:c>
      <x:c r="C1582" s="22" t="str">
        <x:v>通过</x:v>
      </x:c>
      <x:c r="D1582" s="22" t="str">
        <x:v>C06-M007:XX304</x:v>
      </x:c>
    </x:row>
    <x:row r="1583" ht="24" customHeight="1">
      <x:c r="A1583" s="22" t="n">
        <x:v>1579</x:v>
      </x:c>
      <x:c r="B1583" s="22" t="str">
        <x:v>基准人物可承受普通单击</x:v>
      </x:c>
      <x:c r="C1583" s="22" t="str">
        <x:v>通过</x:v>
      </x:c>
      <x:c r="D1583" s="22" t="str">
        <x:v>C06-M008:XX305</x:v>
      </x:c>
    </x:row>
    <x:row r="1584" ht="24" customHeight="1">
      <x:c r="A1584" s="22" t="n">
        <x:v>1580</x:v>
      </x:c>
      <x:c r="B1584" s="22" t="str">
        <x:v>基准人物可承受普通单击</x:v>
      </x:c>
      <x:c r="C1584" s="22" t="str">
        <x:v>通过</x:v>
      </x:c>
      <x:c r="D1584" s="22" t="str">
        <x:v>C06-M009:XX306</x:v>
      </x:c>
    </x:row>
    <x:row r="1585" ht="24" customHeight="1">
      <x:c r="A1585" s="22" t="n">
        <x:v>1581</x:v>
      </x:c>
      <x:c r="B1585" s="22" t="str">
        <x:v>基准人物可承受普通单击</x:v>
      </x:c>
      <x:c r="C1585" s="22" t="str">
        <x:v>通过</x:v>
      </x:c>
      <x:c r="D1585" s="22" t="str">
        <x:v>C06-M010:XX307</x:v>
      </x:c>
    </x:row>
    <x:row r="1586" ht="24" customHeight="1">
      <x:c r="A1586" s="22" t="n">
        <x:v>1582</x:v>
      </x:c>
      <x:c r="B1586" s="22" t="str">
        <x:v>基准人物可承受普通单击</x:v>
      </x:c>
      <x:c r="C1586" s="22" t="str">
        <x:v>通过</x:v>
      </x:c>
      <x:c r="D1586" s="22" t="str">
        <x:v>C06-M011:XX307</x:v>
      </x:c>
    </x:row>
    <x:row r="1587" ht="24" customHeight="1">
      <x:c r="A1587" s="22" t="n">
        <x:v>1583</x:v>
      </x:c>
      <x:c r="B1587" s="22" t="str">
        <x:v>基准人物可承受普通单击</x:v>
      </x:c>
      <x:c r="C1587" s="22" t="str">
        <x:v>通过</x:v>
      </x:c>
      <x:c r="D1587" s="22" t="str">
        <x:v>C06-M012:XX308</x:v>
      </x:c>
    </x:row>
    <x:row r="1588" ht="24" customHeight="1">
      <x:c r="A1588" s="22" t="n">
        <x:v>1584</x:v>
      </x:c>
      <x:c r="B1588" s="22" t="str">
        <x:v>基准人物可承受普通单击</x:v>
      </x:c>
      <x:c r="C1588" s="22" t="str">
        <x:v>通过</x:v>
      </x:c>
      <x:c r="D1588" s="22" t="str">
        <x:v>C06-M013:XX357</x:v>
      </x:c>
    </x:row>
    <x:row r="1589" ht="24" customHeight="1">
      <x:c r="A1589" s="22" t="n">
        <x:v>1585</x:v>
      </x:c>
      <x:c r="B1589" s="22" t="str">
        <x:v>基准人物可承受普通单击</x:v>
      </x:c>
      <x:c r="C1589" s="22" t="str">
        <x:v>通过</x:v>
      </x:c>
      <x:c r="D1589" s="22" t="str">
        <x:v>C06-M014:XX358</x:v>
      </x:c>
    </x:row>
    <x:row r="1590" ht="24" customHeight="1">
      <x:c r="A1590" s="22" t="n">
        <x:v>1586</x:v>
      </x:c>
      <x:c r="B1590" s="22" t="str">
        <x:v>基准人物可承受普通单击</x:v>
      </x:c>
      <x:c r="C1590" s="22" t="str">
        <x:v>通过</x:v>
      </x:c>
      <x:c r="D1590" s="22" t="str">
        <x:v>C06-M015:XX359</x:v>
      </x:c>
    </x:row>
    <x:row r="1591" ht="24" customHeight="1">
      <x:c r="A1591" s="22" t="n">
        <x:v>1587</x:v>
      </x:c>
      <x:c r="B1591" s="22" t="str">
        <x:v>基准人物可承受普通单击</x:v>
      </x:c>
      <x:c r="C1591" s="22" t="str">
        <x:v>通过</x:v>
      </x:c>
      <x:c r="D1591" s="22" t="str">
        <x:v>C06-M016:XX360</x:v>
      </x:c>
    </x:row>
    <x:row r="1592" ht="24" customHeight="1">
      <x:c r="A1592" s="22" t="n">
        <x:v>1588</x:v>
      </x:c>
      <x:c r="B1592" s="22" t="str">
        <x:v>基准人物可承受普通单击</x:v>
      </x:c>
      <x:c r="C1592" s="22" t="str">
        <x:v>通过</x:v>
      </x:c>
      <x:c r="D1592" s="22" t="str">
        <x:v>C06-M017:XX361</x:v>
      </x:c>
    </x:row>
    <x:row r="1593" ht="24" customHeight="1">
      <x:c r="A1593" s="22" t="n">
        <x:v>1589</x:v>
      </x:c>
      <x:c r="B1593" s="22" t="str">
        <x:v>基准人物可承受普通单击</x:v>
      </x:c>
      <x:c r="C1593" s="22" t="str">
        <x:v>通过</x:v>
      </x:c>
      <x:c r="D1593" s="22" t="str">
        <x:v>C06-M018:XX357</x:v>
      </x:c>
    </x:row>
    <x:row r="1594" ht="24" customHeight="1">
      <x:c r="A1594" s="22" t="n">
        <x:v>1590</x:v>
      </x:c>
      <x:c r="B1594" s="22" t="str">
        <x:v>基准人物可承受普通单击</x:v>
      </x:c>
      <x:c r="C1594" s="22" t="str">
        <x:v>通过</x:v>
      </x:c>
      <x:c r="D1594" s="22" t="str">
        <x:v>C06-M019:XX357</x:v>
      </x:c>
    </x:row>
    <x:row r="1595" ht="24" customHeight="1">
      <x:c r="A1595" s="22" t="n">
        <x:v>1591</x:v>
      </x:c>
      <x:c r="B1595" s="22" t="str">
        <x:v>基准人物可承受普通单击</x:v>
      </x:c>
      <x:c r="C1595" s="22" t="str">
        <x:v>通过</x:v>
      </x:c>
      <x:c r="D1595" s="22" t="str">
        <x:v>C06-M020:XX358</x:v>
      </x:c>
    </x:row>
    <x:row r="1596" ht="24" customHeight="1">
      <x:c r="A1596" s="22" t="n">
        <x:v>1592</x:v>
      </x:c>
      <x:c r="B1596" s="22" t="str">
        <x:v>基准人物可承受普通单击</x:v>
      </x:c>
      <x:c r="C1596" s="22" t="str">
        <x:v>通过</x:v>
      </x:c>
      <x:c r="D1596" s="22" t="str">
        <x:v>C06-M021:XX359</x:v>
      </x:c>
    </x:row>
    <x:row r="1597" ht="24" customHeight="1">
      <x:c r="A1597" s="22" t="n">
        <x:v>1593</x:v>
      </x:c>
      <x:c r="B1597" s="22" t="str">
        <x:v>基准人物可承受普通单击</x:v>
      </x:c>
      <x:c r="C1597" s="22" t="str">
        <x:v>通过</x:v>
      </x:c>
      <x:c r="D1597" s="22" t="str">
        <x:v>C06-M022:XX360</x:v>
      </x:c>
    </x:row>
    <x:row r="1598" ht="24" customHeight="1">
      <x:c r="A1598" s="22" t="n">
        <x:v>1594</x:v>
      </x:c>
      <x:c r="B1598" s="22" t="str">
        <x:v>基准人物可承受普通单击</x:v>
      </x:c>
      <x:c r="C1598" s="22" t="str">
        <x:v>通过</x:v>
      </x:c>
      <x:c r="D1598" s="22" t="str">
        <x:v>C06-M023:XX360</x:v>
      </x:c>
    </x:row>
    <x:row r="1599" ht="24" customHeight="1">
      <x:c r="A1599" s="22" t="n">
        <x:v>1595</x:v>
      </x:c>
      <x:c r="B1599" s="22" t="str">
        <x:v>基准人物可承受普通单击</x:v>
      </x:c>
      <x:c r="C1599" s="22" t="str">
        <x:v>通过</x:v>
      </x:c>
      <x:c r="D1599" s="22" t="str">
        <x:v>C06-M024:XX361</x:v>
      </x:c>
    </x:row>
    <x:row r="1600" ht="24" customHeight="1">
      <x:c r="A1600" s="22" t="n">
        <x:v>1596</x:v>
      </x:c>
      <x:c r="B1600" s="22" t="str">
        <x:v>基准人物可承受普通单击</x:v>
      </x:c>
      <x:c r="C1600" s="22" t="str">
        <x:v>通过</x:v>
      </x:c>
      <x:c r="D1600" s="22" t="str">
        <x:v>C06-M025:XX485</x:v>
      </x:c>
    </x:row>
    <x:row r="1601" ht="24" customHeight="1">
      <x:c r="A1601" s="22" t="n">
        <x:v>1597</x:v>
      </x:c>
      <x:c r="B1601" s="22" t="str">
        <x:v>基准人物可承受普通单击</x:v>
      </x:c>
      <x:c r="C1601" s="22" t="str">
        <x:v>通过</x:v>
      </x:c>
      <x:c r="D1601" s="22" t="str">
        <x:v>C06-M026:XX484</x:v>
      </x:c>
    </x:row>
    <x:row r="1602" ht="24" customHeight="1">
      <x:c r="A1602" s="22" t="n">
        <x:v>1598</x:v>
      </x:c>
      <x:c r="B1602" s="22" t="str">
        <x:v>基准人物可承受普通单击</x:v>
      </x:c>
      <x:c r="C1602" s="22" t="str">
        <x:v>通过</x:v>
      </x:c>
      <x:c r="D1602" s="22" t="str">
        <x:v>C06-M027:XX483</x:v>
      </x:c>
    </x:row>
    <x:row r="1603" ht="24" customHeight="1">
      <x:c r="A1603" s="22" t="n">
        <x:v>1599</x:v>
      </x:c>
      <x:c r="B1603" s="22" t="str">
        <x:v>基准人物可承受普通单击</x:v>
      </x:c>
      <x:c r="C1603" s="22" t="str">
        <x:v>通过</x:v>
      </x:c>
      <x:c r="D1603" s="22" t="str">
        <x:v>C06-M028:XX482</x:v>
      </x:c>
    </x:row>
    <x:row r="1604" ht="24" customHeight="1">
      <x:c r="A1604" s="22" t="n">
        <x:v>1600</x:v>
      </x:c>
      <x:c r="B1604" s="22" t="str">
        <x:v>基准人物可承受普通单击</x:v>
      </x:c>
      <x:c r="C1604" s="22" t="str">
        <x:v>通过</x:v>
      </x:c>
      <x:c r="D1604" s="22" t="str">
        <x:v>C06-M029:XX481</x:v>
      </x:c>
    </x:row>
    <x:row r="1605" ht="24" customHeight="1">
      <x:c r="A1605" s="22" t="n">
        <x:v>1601</x:v>
      </x:c>
      <x:c r="B1605" s="22" t="str">
        <x:v>基准人物可承受普通单击</x:v>
      </x:c>
      <x:c r="C1605" s="22" t="str">
        <x:v>通过</x:v>
      </x:c>
      <x:c r="D1605" s="22" t="str">
        <x:v>C06-M030:XX485</x:v>
      </x:c>
    </x:row>
    <x:row r="1606" ht="24" customHeight="1">
      <x:c r="A1606" s="22" t="n">
        <x:v>1602</x:v>
      </x:c>
      <x:c r="B1606" s="22" t="str">
        <x:v>基准人物可承受普通单击</x:v>
      </x:c>
      <x:c r="C1606" s="22" t="str">
        <x:v>通过</x:v>
      </x:c>
      <x:c r="D1606" s="22" t="str">
        <x:v>C06-M031:XX485</x:v>
      </x:c>
    </x:row>
    <x:row r="1607" ht="24" customHeight="1">
      <x:c r="A1607" s="22" t="n">
        <x:v>1603</x:v>
      </x:c>
      <x:c r="B1607" s="22" t="str">
        <x:v>基准人物可承受普通单击</x:v>
      </x:c>
      <x:c r="C1607" s="22" t="str">
        <x:v>通过</x:v>
      </x:c>
      <x:c r="D1607" s="22" t="str">
        <x:v>C06-M032:XX484</x:v>
      </x:c>
    </x:row>
    <x:row r="1608" ht="24" customHeight="1">
      <x:c r="A1608" s="22" t="n">
        <x:v>1604</x:v>
      </x:c>
      <x:c r="B1608" s="22" t="str">
        <x:v>基准人物可承受普通单击</x:v>
      </x:c>
      <x:c r="C1608" s="22" t="str">
        <x:v>通过</x:v>
      </x:c>
      <x:c r="D1608" s="22" t="str">
        <x:v>C06-M033:XX483</x:v>
      </x:c>
    </x:row>
    <x:row r="1609" ht="24" customHeight="1">
      <x:c r="A1609" s="22" t="n">
        <x:v>1605</x:v>
      </x:c>
      <x:c r="B1609" s="22" t="str">
        <x:v>基准人物可承受普通单击</x:v>
      </x:c>
      <x:c r="C1609" s="22" t="str">
        <x:v>通过</x:v>
      </x:c>
      <x:c r="D1609" s="22" t="str">
        <x:v>C06-M034:XX482</x:v>
      </x:c>
    </x:row>
    <x:row r="1610" ht="24" customHeight="1">
      <x:c r="A1610" s="22" t="n">
        <x:v>1606</x:v>
      </x:c>
      <x:c r="B1610" s="22" t="str">
        <x:v>基准人物可承受普通单击</x:v>
      </x:c>
      <x:c r="C1610" s="22" t="str">
        <x:v>通过</x:v>
      </x:c>
      <x:c r="D1610" s="22" t="str">
        <x:v>C06-M035:XX482</x:v>
      </x:c>
    </x:row>
    <x:row r="1611" ht="24" customHeight="1">
      <x:c r="A1611" s="22" t="n">
        <x:v>1607</x:v>
      </x:c>
      <x:c r="B1611" s="22" t="str">
        <x:v>基准人物可承受普通单击</x:v>
      </x:c>
      <x:c r="C1611" s="22" t="str">
        <x:v>通过</x:v>
      </x:c>
      <x:c r="D1611" s="22" t="str">
        <x:v>C06-M036:XX481</x:v>
      </x:c>
    </x:row>
    <x:row r="1612" ht="24" customHeight="1">
      <x:c r="A1612" s="22" t="n">
        <x:v>1608</x:v>
      </x:c>
      <x:c r="B1612" s="22" t="str">
        <x:v>基准人物可承受普通单击</x:v>
      </x:c>
      <x:c r="C1612" s="22" t="str">
        <x:v>通过</x:v>
      </x:c>
      <x:c r="D1612" s="22" t="str">
        <x:v>C06-M037:XX481</x:v>
      </x:c>
    </x:row>
    <x:row r="1613" ht="24" customHeight="1">
      <x:c r="A1613" s="22" t="n">
        <x:v>1609</x:v>
      </x:c>
      <x:c r="B1613" s="22" t="str">
        <x:v>基准人物可承受普通单击</x:v>
      </x:c>
      <x:c r="C1613" s="22" t="str">
        <x:v>通过</x:v>
      </x:c>
      <x:c r="D1613" s="22" t="str">
        <x:v>C07-M001:XX149</x:v>
      </x:c>
    </x:row>
    <x:row r="1614" ht="24" customHeight="1">
      <x:c r="A1614" s="22" t="n">
        <x:v>1610</x:v>
      </x:c>
      <x:c r="B1614" s="22" t="str">
        <x:v>基准人物可承受普通单击</x:v>
      </x:c>
      <x:c r="C1614" s="22" t="str">
        <x:v>通过</x:v>
      </x:c>
      <x:c r="D1614" s="22" t="str">
        <x:v>C07-M002:XX148</x:v>
      </x:c>
    </x:row>
    <x:row r="1615" ht="24" customHeight="1">
      <x:c r="A1615" s="22" t="n">
        <x:v>1611</x:v>
      </x:c>
      <x:c r="B1615" s="22" t="str">
        <x:v>基准人物可承受普通单击</x:v>
      </x:c>
      <x:c r="C1615" s="22" t="str">
        <x:v>通过</x:v>
      </x:c>
      <x:c r="D1615" s="22" t="str">
        <x:v>C07-M003:XX147</x:v>
      </x:c>
    </x:row>
    <x:row r="1616" ht="24" customHeight="1">
      <x:c r="A1616" s="22" t="n">
        <x:v>1612</x:v>
      </x:c>
      <x:c r="B1616" s="22" t="str">
        <x:v>基准人物可承受普通单击</x:v>
      </x:c>
      <x:c r="C1616" s="22" t="str">
        <x:v>通过</x:v>
      </x:c>
      <x:c r="D1616" s="22" t="str">
        <x:v>C07-M004:XX150</x:v>
      </x:c>
    </x:row>
    <x:row r="1617" ht="24" customHeight="1">
      <x:c r="A1617" s="22" t="n">
        <x:v>1613</x:v>
      </x:c>
      <x:c r="B1617" s="22" t="str">
        <x:v>基准人物可承受普通单击</x:v>
      </x:c>
      <x:c r="C1617" s="22" t="str">
        <x:v>通过</x:v>
      </x:c>
      <x:c r="D1617" s="22" t="str">
        <x:v>C07-M005:XX149</x:v>
      </x:c>
    </x:row>
    <x:row r="1618" ht="24" customHeight="1">
      <x:c r="A1618" s="22" t="n">
        <x:v>1614</x:v>
      </x:c>
      <x:c r="B1618" s="22" t="str">
        <x:v>基准人物可承受普通单击</x:v>
      </x:c>
      <x:c r="C1618" s="22" t="str">
        <x:v>通过</x:v>
      </x:c>
      <x:c r="D1618" s="22" t="str">
        <x:v>C07-M006:XX148</x:v>
      </x:c>
    </x:row>
    <x:row r="1619" ht="24" customHeight="1">
      <x:c r="A1619" s="22" t="n">
        <x:v>1615</x:v>
      </x:c>
      <x:c r="B1619" s="22" t="str">
        <x:v>基准人物可承受普通单击</x:v>
      </x:c>
      <x:c r="C1619" s="22" t="str">
        <x:v>通过</x:v>
      </x:c>
      <x:c r="D1619" s="22" t="str">
        <x:v>C07-M007:XX149</x:v>
      </x:c>
    </x:row>
    <x:row r="1620" ht="24" customHeight="1">
      <x:c r="A1620" s="22" t="n">
        <x:v>1616</x:v>
      </x:c>
      <x:c r="B1620" s="22" t="str">
        <x:v>基准人物可承受普通单击</x:v>
      </x:c>
      <x:c r="C1620" s="22" t="str">
        <x:v>通过</x:v>
      </x:c>
      <x:c r="D1620" s="22" t="str">
        <x:v>C07-M008:XX148</x:v>
      </x:c>
    </x:row>
    <x:row r="1621" ht="24" customHeight="1">
      <x:c r="A1621" s="22" t="n">
        <x:v>1617</x:v>
      </x:c>
      <x:c r="B1621" s="22" t="str">
        <x:v>基准人物可承受普通单击</x:v>
      </x:c>
      <x:c r="C1621" s="22" t="str">
        <x:v>通过</x:v>
      </x:c>
      <x:c r="D1621" s="22" t="str">
        <x:v>C07-M009:XX147</x:v>
      </x:c>
    </x:row>
    <x:row r="1622" ht="24" customHeight="1">
      <x:c r="A1622" s="22" t="n">
        <x:v>1618</x:v>
      </x:c>
      <x:c r="B1622" s="22" t="str">
        <x:v>基准人物可承受普通单击</x:v>
      </x:c>
      <x:c r="C1622" s="22" t="str">
        <x:v>通过</x:v>
      </x:c>
      <x:c r="D1622" s="22" t="str">
        <x:v>C07-M010:XX150</x:v>
      </x:c>
    </x:row>
    <x:row r="1623" ht="24" customHeight="1">
      <x:c r="A1623" s="22" t="n">
        <x:v>1619</x:v>
      </x:c>
      <x:c r="B1623" s="22" t="str">
        <x:v>基准人物可承受普通单击</x:v>
      </x:c>
      <x:c r="C1623" s="22" t="str">
        <x:v>通过</x:v>
      </x:c>
      <x:c r="D1623" s="22" t="str">
        <x:v>C07-M011:XX147</x:v>
      </x:c>
    </x:row>
    <x:row r="1624" ht="24" customHeight="1">
      <x:c r="A1624" s="22" t="n">
        <x:v>1620</x:v>
      </x:c>
      <x:c r="B1624" s="22" t="str">
        <x:v>基准人物可承受普通单击</x:v>
      </x:c>
      <x:c r="C1624" s="22" t="str">
        <x:v>通过</x:v>
      </x:c>
      <x:c r="D1624" s="22" t="str">
        <x:v>C07-M012:XX150</x:v>
      </x:c>
    </x:row>
    <x:row r="1625" ht="24" customHeight="1">
      <x:c r="A1625" s="22" t="n">
        <x:v>1621</x:v>
      </x:c>
      <x:c r="B1625" s="22" t="str">
        <x:v>基准人物可承受普通单击</x:v>
      </x:c>
      <x:c r="C1625" s="22" t="str">
        <x:v>通过</x:v>
      </x:c>
      <x:c r="D1625" s="22" t="str">
        <x:v>C07-M013:XX904</x:v>
      </x:c>
    </x:row>
    <x:row r="1626" ht="24" customHeight="1">
      <x:c r="A1626" s="22" t="n">
        <x:v>1622</x:v>
      </x:c>
      <x:c r="B1626" s="22" t="str">
        <x:v>基准人物可承受普通单击</x:v>
      </x:c>
      <x:c r="C1626" s="22" t="str">
        <x:v>通过</x:v>
      </x:c>
      <x:c r="D1626" s="22" t="str">
        <x:v>C07-M014:XX906</x:v>
      </x:c>
    </x:row>
    <x:row r="1627" ht="24" customHeight="1">
      <x:c r="A1627" s="22" t="n">
        <x:v>1623</x:v>
      </x:c>
      <x:c r="B1627" s="22" t="str">
        <x:v>基准人物可承受普通单击</x:v>
      </x:c>
      <x:c r="C1627" s="22" t="str">
        <x:v>通过</x:v>
      </x:c>
      <x:c r="D1627" s="22" t="str">
        <x:v>C07-M015:XX907</x:v>
      </x:c>
    </x:row>
    <x:row r="1628" ht="24" customHeight="1">
      <x:c r="A1628" s="22" t="n">
        <x:v>1624</x:v>
      </x:c>
      <x:c r="B1628" s="22" t="str">
        <x:v>基准人物可承受普通单击</x:v>
      </x:c>
      <x:c r="C1628" s="22" t="str">
        <x:v>通过</x:v>
      </x:c>
      <x:c r="D1628" s="22" t="str">
        <x:v>C07-M016:XX905</x:v>
      </x:c>
    </x:row>
    <x:row r="1629" ht="24" customHeight="1">
      <x:c r="A1629" s="22" t="n">
        <x:v>1625</x:v>
      </x:c>
      <x:c r="B1629" s="22" t="str">
        <x:v>基准人物可承受普通单击</x:v>
      </x:c>
      <x:c r="C1629" s="22" t="str">
        <x:v>通过</x:v>
      </x:c>
      <x:c r="D1629" s="22" t="str">
        <x:v>C07-M017:XX904</x:v>
      </x:c>
    </x:row>
    <x:row r="1630" ht="24" customHeight="1">
      <x:c r="A1630" s="22" t="n">
        <x:v>1626</x:v>
      </x:c>
      <x:c r="B1630" s="22" t="str">
        <x:v>基准人物可承受普通单击</x:v>
      </x:c>
      <x:c r="C1630" s="22" t="str">
        <x:v>通过</x:v>
      </x:c>
      <x:c r="D1630" s="22" t="str">
        <x:v>C07-M018:XX906</x:v>
      </x:c>
    </x:row>
    <x:row r="1631" ht="24" customHeight="1">
      <x:c r="A1631" s="22" t="n">
        <x:v>1627</x:v>
      </x:c>
      <x:c r="B1631" s="22" t="str">
        <x:v>基准人物可承受普通单击</x:v>
      </x:c>
      <x:c r="C1631" s="22" t="str">
        <x:v>通过</x:v>
      </x:c>
      <x:c r="D1631" s="22" t="str">
        <x:v>C07-M019:XX904</x:v>
      </x:c>
    </x:row>
    <x:row r="1632" ht="24" customHeight="1">
      <x:c r="A1632" s="22" t="n">
        <x:v>1628</x:v>
      </x:c>
      <x:c r="B1632" s="22" t="str">
        <x:v>基准人物可承受普通单击</x:v>
      </x:c>
      <x:c r="C1632" s="22" t="str">
        <x:v>通过</x:v>
      </x:c>
      <x:c r="D1632" s="22" t="str">
        <x:v>C07-M020:XX906</x:v>
      </x:c>
    </x:row>
    <x:row r="1633" ht="24" customHeight="1">
      <x:c r="A1633" s="22" t="n">
        <x:v>1629</x:v>
      </x:c>
      <x:c r="B1633" s="22" t="str">
        <x:v>基准人物可承受普通单击</x:v>
      </x:c>
      <x:c r="C1633" s="22" t="str">
        <x:v>通过</x:v>
      </x:c>
      <x:c r="D1633" s="22" t="str">
        <x:v>C07-M021:XX907</x:v>
      </x:c>
    </x:row>
    <x:row r="1634" ht="24" customHeight="1">
      <x:c r="A1634" s="22" t="n">
        <x:v>1630</x:v>
      </x:c>
      <x:c r="B1634" s="22" t="str">
        <x:v>基准人物可承受普通单击</x:v>
      </x:c>
      <x:c r="C1634" s="22" t="str">
        <x:v>通过</x:v>
      </x:c>
      <x:c r="D1634" s="22" t="str">
        <x:v>C07-M022:XX905</x:v>
      </x:c>
    </x:row>
    <x:row r="1635" ht="24" customHeight="1">
      <x:c r="A1635" s="22" t="n">
        <x:v>1631</x:v>
      </x:c>
      <x:c r="B1635" s="22" t="str">
        <x:v>基准人物可承受普通单击</x:v>
      </x:c>
      <x:c r="C1635" s="22" t="str">
        <x:v>通过</x:v>
      </x:c>
      <x:c r="D1635" s="22" t="str">
        <x:v>C07-M023:XX907</x:v>
      </x:c>
    </x:row>
    <x:row r="1636" ht="24" customHeight="1">
      <x:c r="A1636" s="22" t="n">
        <x:v>1632</x:v>
      </x:c>
      <x:c r="B1636" s="22" t="str">
        <x:v>基准人物可承受普通单击</x:v>
      </x:c>
      <x:c r="C1636" s="22" t="str">
        <x:v>通过</x:v>
      </x:c>
      <x:c r="D1636" s="22" t="str">
        <x:v>C07-M024:XX905</x:v>
      </x:c>
    </x:row>
    <x:row r="1637" ht="24" customHeight="1">
      <x:c r="A1637" s="22" t="n">
        <x:v>1633</x:v>
      </x:c>
      <x:c r="B1637" s="22" t="str">
        <x:v>基准人物可承受普通单击</x:v>
      </x:c>
      <x:c r="C1637" s="22" t="str">
        <x:v>通过</x:v>
      </x:c>
      <x:c r="D1637" s="22" t="str">
        <x:v>C07-M025:XX912</x:v>
      </x:c>
    </x:row>
    <x:row r="1638" ht="24" customHeight="1">
      <x:c r="A1638" s="22" t="n">
        <x:v>1634</x:v>
      </x:c>
      <x:c r="B1638" s="22" t="str">
        <x:v>基准人物可承受普通单击</x:v>
      </x:c>
      <x:c r="C1638" s="22" t="str">
        <x:v>通过</x:v>
      </x:c>
      <x:c r="D1638" s="22" t="str">
        <x:v>C07-M026:XX908</x:v>
      </x:c>
    </x:row>
    <x:row r="1639" ht="24" customHeight="1">
      <x:c r="A1639" s="22" t="n">
        <x:v>1635</x:v>
      </x:c>
      <x:c r="B1639" s="22" t="str">
        <x:v>基准人物可承受普通单击</x:v>
      </x:c>
      <x:c r="C1639" s="22" t="str">
        <x:v>通过</x:v>
      </x:c>
      <x:c r="D1639" s="22" t="str">
        <x:v>C07-M027:XX909</x:v>
      </x:c>
    </x:row>
    <x:row r="1640" ht="24" customHeight="1">
      <x:c r="A1640" s="22" t="n">
        <x:v>1636</x:v>
      </x:c>
      <x:c r="B1640" s="22" t="str">
        <x:v>基准人物可承受普通单击</x:v>
      </x:c>
      <x:c r="C1640" s="22" t="str">
        <x:v>通过</x:v>
      </x:c>
      <x:c r="D1640" s="22" t="str">
        <x:v>C07-M028:XX910</x:v>
      </x:c>
    </x:row>
    <x:row r="1641" ht="24" customHeight="1">
      <x:c r="A1641" s="22" t="n">
        <x:v>1637</x:v>
      </x:c>
      <x:c r="B1641" s="22" t="str">
        <x:v>基准人物可承受普通单击</x:v>
      </x:c>
      <x:c r="C1641" s="22" t="str">
        <x:v>通过</x:v>
      </x:c>
      <x:c r="D1641" s="22" t="str">
        <x:v>C07-M029:XX911</x:v>
      </x:c>
    </x:row>
    <x:row r="1642" ht="24" customHeight="1">
      <x:c r="A1642" s="22" t="n">
        <x:v>1638</x:v>
      </x:c>
      <x:c r="B1642" s="22" t="str">
        <x:v>基准人物可承受普通单击</x:v>
      </x:c>
      <x:c r="C1642" s="22" t="str">
        <x:v>通过</x:v>
      </x:c>
      <x:c r="D1642" s="22" t="str">
        <x:v>C07-M030:XX912</x:v>
      </x:c>
    </x:row>
    <x:row r="1643" ht="24" customHeight="1">
      <x:c r="A1643" s="22" t="n">
        <x:v>1639</x:v>
      </x:c>
      <x:c r="B1643" s="22" t="str">
        <x:v>基准人物可承受普通单击</x:v>
      </x:c>
      <x:c r="C1643" s="22" t="str">
        <x:v>通过</x:v>
      </x:c>
      <x:c r="D1643" s="22" t="str">
        <x:v>C07-M031:XX908</x:v>
      </x:c>
    </x:row>
    <x:row r="1644" ht="24" customHeight="1">
      <x:c r="A1644" s="22" t="n">
        <x:v>1640</x:v>
      </x:c>
      <x:c r="B1644" s="22" t="str">
        <x:v>基准人物可承受普通单击</x:v>
      </x:c>
      <x:c r="C1644" s="22" t="str">
        <x:v>通过</x:v>
      </x:c>
      <x:c r="D1644" s="22" t="str">
        <x:v>C07-M032:XX909</x:v>
      </x:c>
    </x:row>
    <x:row r="1645" ht="24" customHeight="1">
      <x:c r="A1645" s="22" t="n">
        <x:v>1641</x:v>
      </x:c>
      <x:c r="B1645" s="22" t="str">
        <x:v>基准人物可承受普通单击</x:v>
      </x:c>
      <x:c r="C1645" s="22" t="str">
        <x:v>通过</x:v>
      </x:c>
      <x:c r="D1645" s="22" t="str">
        <x:v>C07-M033:XX910</x:v>
      </x:c>
    </x:row>
    <x:row r="1646" ht="24" customHeight="1">
      <x:c r="A1646" s="22" t="n">
        <x:v>1642</x:v>
      </x:c>
      <x:c r="B1646" s="22" t="str">
        <x:v>基准人物可承受普通单击</x:v>
      </x:c>
      <x:c r="C1646" s="22" t="str">
        <x:v>通过</x:v>
      </x:c>
      <x:c r="D1646" s="22" t="str">
        <x:v>C07-M034:XX911</x:v>
      </x:c>
    </x:row>
    <x:row r="1647" ht="24" customHeight="1">
      <x:c r="A1647" s="22" t="n">
        <x:v>1643</x:v>
      </x:c>
      <x:c r="B1647" s="22" t="str">
        <x:v>基准人物可承受普通单击</x:v>
      </x:c>
      <x:c r="C1647" s="22" t="str">
        <x:v>通过</x:v>
      </x:c>
      <x:c r="D1647" s="22" t="str">
        <x:v>C07-M035:XX910</x:v>
      </x:c>
    </x:row>
    <x:row r="1648" ht="24" customHeight="1">
      <x:c r="A1648" s="22" t="n">
        <x:v>1644</x:v>
      </x:c>
      <x:c r="B1648" s="22" t="str">
        <x:v>基准人物可承受普通单击</x:v>
      </x:c>
      <x:c r="C1648" s="22" t="str">
        <x:v>通过</x:v>
      </x:c>
      <x:c r="D1648" s="22" t="str">
        <x:v>C07-M036:XX911</x:v>
      </x:c>
    </x:row>
    <x:row r="1649" ht="24" customHeight="1">
      <x:c r="A1649" s="22" t="n">
        <x:v>1645</x:v>
      </x:c>
      <x:c r="B1649" s="22" t="str">
        <x:v>基准人物可承受普通单击</x:v>
      </x:c>
      <x:c r="C1649" s="22" t="str">
        <x:v>通过</x:v>
      </x:c>
      <x:c r="D1649" s="22" t="str">
        <x:v>C07-M037:XX911</x:v>
      </x:c>
    </x:row>
    <x:row r="1650" ht="24" customHeight="1">
      <x:c r="A1650" s="22" t="n">
        <x:v>1646</x:v>
      </x:c>
      <x:c r="B1650" s="22" t="str">
        <x:v>基准人物可承受普通单击</x:v>
      </x:c>
      <x:c r="C1650" s="22" t="str">
        <x:v>通过</x:v>
      </x:c>
      <x:c r="D1650" s="22" t="str">
        <x:v>C08-M001:XX900</x:v>
      </x:c>
    </x:row>
    <x:row r="1651" ht="24" customHeight="1">
      <x:c r="A1651" s="22" t="n">
        <x:v>1647</x:v>
      </x:c>
      <x:c r="B1651" s="22" t="str">
        <x:v>基准人物可承受普通单击</x:v>
      </x:c>
      <x:c r="C1651" s="22" t="str">
        <x:v>通过</x:v>
      </x:c>
      <x:c r="D1651" s="22" t="str">
        <x:v>C08-M002:XX900</x:v>
      </x:c>
    </x:row>
    <x:row r="1652" ht="24" customHeight="1">
      <x:c r="A1652" s="22" t="n">
        <x:v>1648</x:v>
      </x:c>
      <x:c r="B1652" s="22" t="str">
        <x:v>基准人物可承受普通单击</x:v>
      </x:c>
      <x:c r="C1652" s="22" t="str">
        <x:v>通过</x:v>
      </x:c>
      <x:c r="D1652" s="22" t="str">
        <x:v>C08-M003:XX901</x:v>
      </x:c>
    </x:row>
    <x:row r="1653" ht="24" customHeight="1">
      <x:c r="A1653" s="22" t="n">
        <x:v>1649</x:v>
      </x:c>
      <x:c r="B1653" s="22" t="str">
        <x:v>基准人物可承受普通单击</x:v>
      </x:c>
      <x:c r="C1653" s="22" t="str">
        <x:v>通过</x:v>
      </x:c>
      <x:c r="D1653" s="22" t="str">
        <x:v>C08-M004:XX901</x:v>
      </x:c>
    </x:row>
    <x:row r="1654" ht="24" customHeight="1">
      <x:c r="A1654" s="22" t="n">
        <x:v>1650</x:v>
      </x:c>
      <x:c r="B1654" s="22" t="str">
        <x:v>基准人物可承受普通单击</x:v>
      </x:c>
      <x:c r="C1654" s="22" t="str">
        <x:v>通过</x:v>
      </x:c>
      <x:c r="D1654" s="22" t="str">
        <x:v>C08-M005:XX902</x:v>
      </x:c>
    </x:row>
    <x:row r="1655" ht="24" customHeight="1">
      <x:c r="A1655" s="22" t="n">
        <x:v>1651</x:v>
      </x:c>
      <x:c r="B1655" s="22" t="str">
        <x:v>基准人物可承受普通单击</x:v>
      </x:c>
      <x:c r="C1655" s="22" t="str">
        <x:v>通过</x:v>
      </x:c>
      <x:c r="D1655" s="22" t="str">
        <x:v>C08-M006:XX903</x:v>
      </x:c>
    </x:row>
    <x:row r="1656" ht="24" customHeight="1">
      <x:c r="A1656" s="22" t="n">
        <x:v>1652</x:v>
      </x:c>
      <x:c r="B1656" s="22" t="str">
        <x:v>基准人物可承受普通单击</x:v>
      </x:c>
      <x:c r="C1656" s="22" t="str">
        <x:v>通过</x:v>
      </x:c>
      <x:c r="D1656" s="22" t="str">
        <x:v>C08-M007:XX900</x:v>
      </x:c>
    </x:row>
    <x:row r="1657" ht="24" customHeight="1">
      <x:c r="A1657" s="22" t="n">
        <x:v>1653</x:v>
      </x:c>
      <x:c r="B1657" s="22" t="str">
        <x:v>基准人物可承受普通单击</x:v>
      </x:c>
      <x:c r="C1657" s="22" t="str">
        <x:v>通过</x:v>
      </x:c>
      <x:c r="D1657" s="22" t="str">
        <x:v>C08-M008:XX901</x:v>
      </x:c>
    </x:row>
    <x:row r="1658" ht="24" customHeight="1">
      <x:c r="A1658" s="22" t="n">
        <x:v>1654</x:v>
      </x:c>
      <x:c r="B1658" s="22" t="str">
        <x:v>基准人物可承受普通单击</x:v>
      </x:c>
      <x:c r="C1658" s="22" t="str">
        <x:v>通过</x:v>
      </x:c>
      <x:c r="D1658" s="22" t="str">
        <x:v>C08-M009:XX902</x:v>
      </x:c>
    </x:row>
    <x:row r="1659" ht="24" customHeight="1">
      <x:c r="A1659" s="22" t="n">
        <x:v>1655</x:v>
      </x:c>
      <x:c r="B1659" s="22" t="str">
        <x:v>基准人物可承受普通单击</x:v>
      </x:c>
      <x:c r="C1659" s="22" t="str">
        <x:v>通过</x:v>
      </x:c>
      <x:c r="D1659" s="22" t="str">
        <x:v>C08-M010:XX903</x:v>
      </x:c>
    </x:row>
    <x:row r="1660" ht="24" customHeight="1">
      <x:c r="A1660" s="22" t="n">
        <x:v>1656</x:v>
      </x:c>
      <x:c r="B1660" s="22" t="str">
        <x:v>基准人物可承受普通单击</x:v>
      </x:c>
      <x:c r="C1660" s="22" t="str">
        <x:v>通过</x:v>
      </x:c>
      <x:c r="D1660" s="22" t="str">
        <x:v>C08-M011:XX902</x:v>
      </x:c>
    </x:row>
    <x:row r="1661" ht="24" customHeight="1">
      <x:c r="A1661" s="22" t="n">
        <x:v>1657</x:v>
      </x:c>
      <x:c r="B1661" s="22" t="str">
        <x:v>基准人物可承受普通单击</x:v>
      </x:c>
      <x:c r="C1661" s="22" t="str">
        <x:v>通过</x:v>
      </x:c>
      <x:c r="D1661" s="22" t="str">
        <x:v>C08-M012:XX903</x:v>
      </x:c>
    </x:row>
    <x:row r="1662" ht="24" customHeight="1">
      <x:c r="A1662" s="22" t="n">
        <x:v>1658</x:v>
      </x:c>
      <x:c r="B1662" s="22" t="str">
        <x:v>基准人物可承受普通单击</x:v>
      </x:c>
      <x:c r="C1662" s="22" t="str">
        <x:v>通过</x:v>
      </x:c>
      <x:c r="D1662" s="22" t="str">
        <x:v>C08-M013:XX320</x:v>
      </x:c>
    </x:row>
    <x:row r="1663" ht="24" customHeight="1">
      <x:c r="A1663" s="22" t="n">
        <x:v>1659</x:v>
      </x:c>
      <x:c r="B1663" s="22" t="str">
        <x:v>基准人物可承受普通单击</x:v>
      </x:c>
      <x:c r="C1663" s="22" t="str">
        <x:v>通过</x:v>
      </x:c>
      <x:c r="D1663" s="22" t="str">
        <x:v>C08-M014:XX320</x:v>
      </x:c>
    </x:row>
    <x:row r="1664" ht="24" customHeight="1">
      <x:c r="A1664" s="22" t="n">
        <x:v>1660</x:v>
      </x:c>
      <x:c r="B1664" s="22" t="str">
        <x:v>基准人物可承受普通单击</x:v>
      </x:c>
      <x:c r="C1664" s="22" t="str">
        <x:v>通过</x:v>
      </x:c>
      <x:c r="D1664" s="22" t="str">
        <x:v>C08-M015:XX318</x:v>
      </x:c>
    </x:row>
    <x:row r="1665" ht="24" customHeight="1">
      <x:c r="A1665" s="22" t="n">
        <x:v>1661</x:v>
      </x:c>
      <x:c r="B1665" s="22" t="str">
        <x:v>基准人物可承受普通单击</x:v>
      </x:c>
      <x:c r="C1665" s="22" t="str">
        <x:v>通过</x:v>
      </x:c>
      <x:c r="D1665" s="22" t="str">
        <x:v>C08-M016:XX318</x:v>
      </x:c>
    </x:row>
    <x:row r="1666" ht="24" customHeight="1">
      <x:c r="A1666" s="22" t="n">
        <x:v>1662</x:v>
      </x:c>
      <x:c r="B1666" s="22" t="str">
        <x:v>基准人物可承受普通单击</x:v>
      </x:c>
      <x:c r="C1666" s="22" t="str">
        <x:v>通过</x:v>
      </x:c>
      <x:c r="D1666" s="22" t="str">
        <x:v>C08-M017:XX319</x:v>
      </x:c>
    </x:row>
    <x:row r="1667" ht="24" customHeight="1">
      <x:c r="A1667" s="22" t="n">
        <x:v>1663</x:v>
      </x:c>
      <x:c r="B1667" s="22" t="str">
        <x:v>基准人物可承受普通单击</x:v>
      </x:c>
      <x:c r="C1667" s="22" t="str">
        <x:v>通过</x:v>
      </x:c>
      <x:c r="D1667" s="22" t="str">
        <x:v>C08-M018:XX316</x:v>
      </x:c>
    </x:row>
    <x:row r="1668" ht="24" customHeight="1">
      <x:c r="A1668" s="22" t="n">
        <x:v>1664</x:v>
      </x:c>
      <x:c r="B1668" s="22" t="str">
        <x:v>基准人物可承受普通单击</x:v>
      </x:c>
      <x:c r="C1668" s="22" t="str">
        <x:v>通过</x:v>
      </x:c>
      <x:c r="D1668" s="22" t="str">
        <x:v>C08-M019:XX320</x:v>
      </x:c>
    </x:row>
    <x:row r="1669" ht="24" customHeight="1">
      <x:c r="A1669" s="22" t="n">
        <x:v>1665</x:v>
      </x:c>
      <x:c r="B1669" s="22" t="str">
        <x:v>基准人物可承受普通单击</x:v>
      </x:c>
      <x:c r="C1669" s="22" t="str">
        <x:v>通过</x:v>
      </x:c>
      <x:c r="D1669" s="22" t="str">
        <x:v>C08-M020:XX318</x:v>
      </x:c>
    </x:row>
    <x:row r="1670" ht="24" customHeight="1">
      <x:c r="A1670" s="22" t="n">
        <x:v>1666</x:v>
      </x:c>
      <x:c r="B1670" s="22" t="str">
        <x:v>基准人物可承受普通单击</x:v>
      </x:c>
      <x:c r="C1670" s="22" t="str">
        <x:v>通过</x:v>
      </x:c>
      <x:c r="D1670" s="22" t="str">
        <x:v>C08-M021:XX319</x:v>
      </x:c>
    </x:row>
    <x:row r="1671" ht="24" customHeight="1">
      <x:c r="A1671" s="22" t="n">
        <x:v>1667</x:v>
      </x:c>
      <x:c r="B1671" s="22" t="str">
        <x:v>基准人物可承受普通单击</x:v>
      </x:c>
      <x:c r="C1671" s="22" t="str">
        <x:v>通过</x:v>
      </x:c>
      <x:c r="D1671" s="22" t="str">
        <x:v>C08-M022:XX316</x:v>
      </x:c>
    </x:row>
    <x:row r="1672" ht="24" customHeight="1">
      <x:c r="A1672" s="22" t="n">
        <x:v>1668</x:v>
      </x:c>
      <x:c r="B1672" s="22" t="str">
        <x:v>基准人物可承受普通单击</x:v>
      </x:c>
      <x:c r="C1672" s="22" t="str">
        <x:v>通过</x:v>
      </x:c>
      <x:c r="D1672" s="22" t="str">
        <x:v>C08-M023:XX319</x:v>
      </x:c>
    </x:row>
    <x:row r="1673" ht="24" customHeight="1">
      <x:c r="A1673" s="22" t="n">
        <x:v>1669</x:v>
      </x:c>
      <x:c r="B1673" s="22" t="str">
        <x:v>基准人物可承受普通单击</x:v>
      </x:c>
      <x:c r="C1673" s="22" t="str">
        <x:v>通过</x:v>
      </x:c>
      <x:c r="D1673" s="22" t="str">
        <x:v>C08-M024:XX316</x:v>
      </x:c>
    </x:row>
    <x:row r="1674" ht="24" customHeight="1">
      <x:c r="A1674" s="22" t="n">
        <x:v>1670</x:v>
      </x:c>
      <x:c r="B1674" s="22" t="str">
        <x:v>基准人物可承受普通单击</x:v>
      </x:c>
      <x:c r="C1674" s="22" t="str">
        <x:v>通过</x:v>
      </x:c>
      <x:c r="D1674" s="22" t="str">
        <x:v>C08-M025:XX325</x:v>
      </x:c>
    </x:row>
    <x:row r="1675" ht="24" customHeight="1">
      <x:c r="A1675" s="22" t="n">
        <x:v>1671</x:v>
      </x:c>
      <x:c r="B1675" s="22" t="str">
        <x:v>基准人物可承受普通单击</x:v>
      </x:c>
      <x:c r="C1675" s="22" t="str">
        <x:v>通过</x:v>
      </x:c>
      <x:c r="D1675" s="22" t="str">
        <x:v>C08-M026:XX325</x:v>
      </x:c>
    </x:row>
    <x:row r="1676" ht="24" customHeight="1">
      <x:c r="A1676" s="22" t="n">
        <x:v>1672</x:v>
      </x:c>
      <x:c r="B1676" s="22" t="str">
        <x:v>基准人物可承受普通单击</x:v>
      </x:c>
      <x:c r="C1676" s="22" t="str">
        <x:v>通过</x:v>
      </x:c>
      <x:c r="D1676" s="22" t="str">
        <x:v>C08-M027:XX321</x:v>
      </x:c>
    </x:row>
    <x:row r="1677" ht="24" customHeight="1">
      <x:c r="A1677" s="22" t="n">
        <x:v>1673</x:v>
      </x:c>
      <x:c r="B1677" s="22" t="str">
        <x:v>基准人物可承受普通单击</x:v>
      </x:c>
      <x:c r="C1677" s="22" t="str">
        <x:v>通过</x:v>
      </x:c>
      <x:c r="D1677" s="22" t="str">
        <x:v>C08-M028:XX322</x:v>
      </x:c>
    </x:row>
    <x:row r="1678" ht="24" customHeight="1">
      <x:c r="A1678" s="22" t="n">
        <x:v>1674</x:v>
      </x:c>
      <x:c r="B1678" s="22" t="str">
        <x:v>基准人物可承受普通单击</x:v>
      </x:c>
      <x:c r="C1678" s="22" t="str">
        <x:v>通过</x:v>
      </x:c>
      <x:c r="D1678" s="22" t="str">
        <x:v>C08-M029:XX323</x:v>
      </x:c>
    </x:row>
    <x:row r="1679" ht="24" customHeight="1">
      <x:c r="A1679" s="22" t="n">
        <x:v>1675</x:v>
      </x:c>
      <x:c r="B1679" s="22" t="str">
        <x:v>基准人物可承受普通单击</x:v>
      </x:c>
      <x:c r="C1679" s="22" t="str">
        <x:v>通过</x:v>
      </x:c>
      <x:c r="D1679" s="22" t="str">
        <x:v>C08-M030:XX326</x:v>
      </x:c>
    </x:row>
    <x:row r="1680" ht="24" customHeight="1">
      <x:c r="A1680" s="22" t="n">
        <x:v>1676</x:v>
      </x:c>
      <x:c r="B1680" s="22" t="str">
        <x:v>基准人物可承受普通单击</x:v>
      </x:c>
      <x:c r="C1680" s="22" t="str">
        <x:v>通过</x:v>
      </x:c>
      <x:c r="D1680" s="22" t="str">
        <x:v>C08-M031:XX321</x:v>
      </x:c>
    </x:row>
    <x:row r="1681" ht="24" customHeight="1">
      <x:c r="A1681" s="22" t="n">
        <x:v>1677</x:v>
      </x:c>
      <x:c r="B1681" s="22" t="str">
        <x:v>基准人物可承受普通单击</x:v>
      </x:c>
      <x:c r="C1681" s="22" t="str">
        <x:v>通过</x:v>
      </x:c>
      <x:c r="D1681" s="22" t="str">
        <x:v>C08-M032:XX322</x:v>
      </x:c>
    </x:row>
    <x:row r="1682" ht="24" customHeight="1">
      <x:c r="A1682" s="22" t="n">
        <x:v>1678</x:v>
      </x:c>
      <x:c r="B1682" s="22" t="str">
        <x:v>基准人物可承受普通单击</x:v>
      </x:c>
      <x:c r="C1682" s="22" t="str">
        <x:v>通过</x:v>
      </x:c>
      <x:c r="D1682" s="22" t="str">
        <x:v>C08-M033:XX323</x:v>
      </x:c>
    </x:row>
    <x:row r="1683" ht="24" customHeight="1">
      <x:c r="A1683" s="22" t="n">
        <x:v>1679</x:v>
      </x:c>
      <x:c r="B1683" s="22" t="str">
        <x:v>基准人物可承受普通单击</x:v>
      </x:c>
      <x:c r="C1683" s="22" t="str">
        <x:v>通过</x:v>
      </x:c>
      <x:c r="D1683" s="22" t="str">
        <x:v>C08-M034:XX326</x:v>
      </x:c>
    </x:row>
    <x:row r="1684" ht="24" customHeight="1">
      <x:c r="A1684" s="22" t="n">
        <x:v>1680</x:v>
      </x:c>
      <x:c r="B1684" s="22" t="str">
        <x:v>基准人物可承受普通单击</x:v>
      </x:c>
      <x:c r="C1684" s="22" t="str">
        <x:v>通过</x:v>
      </x:c>
      <x:c r="D1684" s="22" t="str">
        <x:v>C08-M035:XX323</x:v>
      </x:c>
    </x:row>
    <x:row r="1685" ht="24" customHeight="1">
      <x:c r="A1685" s="22" t="n">
        <x:v>1681</x:v>
      </x:c>
      <x:c r="B1685" s="22" t="str">
        <x:v>基准人物可承受普通单击</x:v>
      </x:c>
      <x:c r="C1685" s="22" t="str">
        <x:v>通过</x:v>
      </x:c>
      <x:c r="D1685" s="22" t="str">
        <x:v>C08-M036:XX326</x:v>
      </x:c>
    </x:row>
    <x:row r="1686" ht="24" customHeight="1">
      <x:c r="A1686" s="22" t="n">
        <x:v>1682</x:v>
      </x:c>
      <x:c r="B1686" s="22" t="str">
        <x:v>基准人物可承受普通单击</x:v>
      </x:c>
      <x:c r="C1686" s="22" t="str">
        <x:v>通过</x:v>
      </x:c>
      <x:c r="D1686" s="22" t="str">
        <x:v>C08-M037:XX899</x:v>
      </x:c>
    </x:row>
    <x:row r="1687" ht="24" customHeight="1">
      <x:c r="A1687" s="22" t="n">
        <x:v>1683</x:v>
      </x:c>
      <x:c r="B1687" s="22" t="str">
        <x:v>基准人物可承受普通单击</x:v>
      </x:c>
      <x:c r="C1687" s="22" t="str">
        <x:v>通过</x:v>
      </x:c>
      <x:c r="D1687" s="22" t="str">
        <x:v>C08-M038:XX899</x:v>
      </x:c>
    </x:row>
    <x:row r="1688" ht="24" customHeight="1">
      <x:c r="A1688" s="22" t="n">
        <x:v>1684</x:v>
      </x:c>
      <x:c r="B1688" s="22" t="str">
        <x:v>基准人物可承受普通单击</x:v>
      </x:c>
      <x:c r="C1688" s="22" t="str">
        <x:v>通过</x:v>
      </x:c>
      <x:c r="D1688" s="22" t="str">
        <x:v>C08-M039:XX898</x:v>
      </x:c>
    </x:row>
    <x:row r="1689" ht="24" customHeight="1">
      <x:c r="A1689" s="22" t="n">
        <x:v>1685</x:v>
      </x:c>
      <x:c r="B1689" s="22" t="str">
        <x:v>基准人物可承受普通单击</x:v>
      </x:c>
      <x:c r="C1689" s="22" t="str">
        <x:v>通过</x:v>
      </x:c>
      <x:c r="D1689" s="22" t="str">
        <x:v>C08-M040:XX898</x:v>
      </x:c>
    </x:row>
    <x:row r="1690" ht="24" customHeight="1">
      <x:c r="A1690" s="22" t="n">
        <x:v>1686</x:v>
      </x:c>
      <x:c r="B1690" s="22" t="str">
        <x:v>基准人物可承受普通单击</x:v>
      </x:c>
      <x:c r="C1690" s="22" t="str">
        <x:v>通过</x:v>
      </x:c>
      <x:c r="D1690" s="22" t="str">
        <x:v>C08-M041:XX897</x:v>
      </x:c>
    </x:row>
    <x:row r="1691" ht="24" customHeight="1">
      <x:c r="A1691" s="22" t="n">
        <x:v>1687</x:v>
      </x:c>
      <x:c r="B1691" s="22" t="str">
        <x:v>基准人物可承受普通单击</x:v>
      </x:c>
      <x:c r="C1691" s="22" t="str">
        <x:v>通过</x:v>
      </x:c>
      <x:c r="D1691" s="22" t="str">
        <x:v>C08-M042:XX897</x:v>
      </x:c>
    </x:row>
    <x:row r="1692" ht="24" customHeight="1">
      <x:c r="A1692" s="22" t="n">
        <x:v>1688</x:v>
      </x:c>
      <x:c r="B1692" s="22" t="str">
        <x:v>基准人物可承受普通单击</x:v>
      </x:c>
      <x:c r="C1692" s="22" t="str">
        <x:v>通过</x:v>
      </x:c>
      <x:c r="D1692" s="22" t="str">
        <x:v>C08-M043:XX899</x:v>
      </x:c>
    </x:row>
    <x:row r="1693" ht="24" customHeight="1">
      <x:c r="A1693" s="22" t="n">
        <x:v>1689</x:v>
      </x:c>
      <x:c r="B1693" s="22" t="str">
        <x:v>基准人物可承受普通单击</x:v>
      </x:c>
      <x:c r="C1693" s="22" t="str">
        <x:v>通过</x:v>
      </x:c>
      <x:c r="D1693" s="22" t="str">
        <x:v>C08-M044:XX898</x:v>
      </x:c>
    </x:row>
    <x:row r="1694" ht="24" customHeight="1">
      <x:c r="A1694" s="22" t="n">
        <x:v>1690</x:v>
      </x:c>
      <x:c r="B1694" s="22" t="str">
        <x:v>基准人物可承受普通单击</x:v>
      </x:c>
      <x:c r="C1694" s="22" t="str">
        <x:v>通过</x:v>
      </x:c>
      <x:c r="D1694" s="22" t="str">
        <x:v>C08-M045:XX898</x:v>
      </x:c>
    </x:row>
    <x:row r="1695" ht="24" customHeight="1">
      <x:c r="A1695" s="22" t="n">
        <x:v>1691</x:v>
      </x:c>
      <x:c r="B1695" s="22" t="str">
        <x:v>基准人物可承受普通单击</x:v>
      </x:c>
      <x:c r="C1695" s="22" t="str">
        <x:v>通过</x:v>
      </x:c>
      <x:c r="D1695" s="22" t="str">
        <x:v>C08-M046:XX897</x:v>
      </x:c>
    </x:row>
    <x:row r="1696" ht="24" customHeight="1">
      <x:c r="A1696" s="22" t="n">
        <x:v>1692</x:v>
      </x:c>
      <x:c r="B1696" s="22" t="str">
        <x:v>基准人物可承受普通单击</x:v>
      </x:c>
      <x:c r="C1696" s="22" t="str">
        <x:v>通过</x:v>
      </x:c>
      <x:c r="D1696" s="22" t="str">
        <x:v>C08-M047:XX898</x:v>
      </x:c>
    </x:row>
    <x:row r="1697" ht="24" customHeight="1">
      <x:c r="A1697" s="22" t="n">
        <x:v>1693</x:v>
      </x:c>
      <x:c r="B1697" s="22" t="str">
        <x:v>基准人物可承受普通单击</x:v>
      </x:c>
      <x:c r="C1697" s="22" t="str">
        <x:v>通过</x:v>
      </x:c>
      <x:c r="D1697" s="22" t="str">
        <x:v>C08-M048:XX897</x:v>
      </x:c>
    </x:row>
    <x:row r="1698" ht="24" customHeight="1">
      <x:c r="A1698" s="22" t="n">
        <x:v>1694</x:v>
      </x:c>
      <x:c r="B1698" s="22" t="str">
        <x:v>基准人物可承受普通单击</x:v>
      </x:c>
      <x:c r="C1698" s="22" t="str">
        <x:v>通过</x:v>
      </x:c>
      <x:c r="D1698" s="22" t="str">
        <x:v>C08-M049:XX897</x:v>
      </x:c>
    </x:row>
    <x:row r="1699" ht="24" customHeight="1">
      <x:c r="A1699" s="22" t="n">
        <x:v>1695</x:v>
      </x:c>
      <x:c r="B1699" s="22" t="str">
        <x:v>基准人物可承受普通单击</x:v>
      </x:c>
      <x:c r="C1699" s="22" t="str">
        <x:v>通过</x:v>
      </x:c>
      <x:c r="D1699" s="22" t="str">
        <x:v>C09-M001:XX720</x:v>
      </x:c>
    </x:row>
    <x:row r="1700" ht="24" customHeight="1">
      <x:c r="A1700" s="22" t="n">
        <x:v>1696</x:v>
      </x:c>
      <x:c r="B1700" s="22" t="str">
        <x:v>基准人物可承受普通单击</x:v>
      </x:c>
      <x:c r="C1700" s="22" t="str">
        <x:v>通过</x:v>
      </x:c>
      <x:c r="D1700" s="22" t="str">
        <x:v>C09-M002:XX720</x:v>
      </x:c>
    </x:row>
    <x:row r="1701" ht="24" customHeight="1">
      <x:c r="A1701" s="22" t="n">
        <x:v>1697</x:v>
      </x:c>
      <x:c r="B1701" s="22" t="str">
        <x:v>基准人物可承受普通单击</x:v>
      </x:c>
      <x:c r="C1701" s="22" t="str">
        <x:v>通过</x:v>
      </x:c>
      <x:c r="D1701" s="22" t="str">
        <x:v>C09-M003:XX717</x:v>
      </x:c>
    </x:row>
    <x:row r="1702" ht="24" customHeight="1">
      <x:c r="A1702" s="22" t="n">
        <x:v>1698</x:v>
      </x:c>
      <x:c r="B1702" s="22" t="str">
        <x:v>基准人物可承受普通单击</x:v>
      </x:c>
      <x:c r="C1702" s="22" t="str">
        <x:v>通过</x:v>
      </x:c>
      <x:c r="D1702" s="22" t="str">
        <x:v>C09-M004:XX717</x:v>
      </x:c>
    </x:row>
    <x:row r="1703" ht="24" customHeight="1">
      <x:c r="A1703" s="22" t="n">
        <x:v>1699</x:v>
      </x:c>
      <x:c r="B1703" s="22" t="str">
        <x:v>基准人物可承受普通单击</x:v>
      </x:c>
      <x:c r="C1703" s="22" t="str">
        <x:v>通过</x:v>
      </x:c>
      <x:c r="D1703" s="22" t="str">
        <x:v>C09-M005:XX718</x:v>
      </x:c>
    </x:row>
    <x:row r="1704" ht="24" customHeight="1">
      <x:c r="A1704" s="22" t="n">
        <x:v>1700</x:v>
      </x:c>
      <x:c r="B1704" s="22" t="str">
        <x:v>基准人物可承受普通单击</x:v>
      </x:c>
      <x:c r="C1704" s="22" t="str">
        <x:v>通过</x:v>
      </x:c>
      <x:c r="D1704" s="22" t="str">
        <x:v>C09-M006:XX721</x:v>
      </x:c>
    </x:row>
    <x:row r="1705" ht="24" customHeight="1">
      <x:c r="A1705" s="22" t="n">
        <x:v>1701</x:v>
      </x:c>
      <x:c r="B1705" s="22" t="str">
        <x:v>基准人物可承受普通单击</x:v>
      </x:c>
      <x:c r="C1705" s="22" t="str">
        <x:v>通过</x:v>
      </x:c>
      <x:c r="D1705" s="22" t="str">
        <x:v>C09-M007:XX720</x:v>
      </x:c>
    </x:row>
    <x:row r="1706" ht="24" customHeight="1">
      <x:c r="A1706" s="22" t="n">
        <x:v>1702</x:v>
      </x:c>
      <x:c r="B1706" s="22" t="str">
        <x:v>基准人物可承受普通单击</x:v>
      </x:c>
      <x:c r="C1706" s="22" t="str">
        <x:v>通过</x:v>
      </x:c>
      <x:c r="D1706" s="22" t="str">
        <x:v>C09-M008:XX717</x:v>
      </x:c>
    </x:row>
    <x:row r="1707" ht="24" customHeight="1">
      <x:c r="A1707" s="22" t="n">
        <x:v>1703</x:v>
      </x:c>
      <x:c r="B1707" s="22" t="str">
        <x:v>基准人物可承受普通单击</x:v>
      </x:c>
      <x:c r="C1707" s="22" t="str">
        <x:v>通过</x:v>
      </x:c>
      <x:c r="D1707" s="22" t="str">
        <x:v>C09-M009:XX718</x:v>
      </x:c>
    </x:row>
    <x:row r="1708" ht="24" customHeight="1">
      <x:c r="A1708" s="22" t="n">
        <x:v>1704</x:v>
      </x:c>
      <x:c r="B1708" s="22" t="str">
        <x:v>基准人物可承受普通单击</x:v>
      </x:c>
      <x:c r="C1708" s="22" t="str">
        <x:v>通过</x:v>
      </x:c>
      <x:c r="D1708" s="22" t="str">
        <x:v>C09-M010:XX721</x:v>
      </x:c>
    </x:row>
    <x:row r="1709" ht="24" customHeight="1">
      <x:c r="A1709" s="22" t="n">
        <x:v>1705</x:v>
      </x:c>
      <x:c r="B1709" s="22" t="str">
        <x:v>基准人物可承受普通单击</x:v>
      </x:c>
      <x:c r="C1709" s="22" t="str">
        <x:v>通过</x:v>
      </x:c>
      <x:c r="D1709" s="22" t="str">
        <x:v>C09-M011:XX718</x:v>
      </x:c>
    </x:row>
    <x:row r="1710" ht="24" customHeight="1">
      <x:c r="A1710" s="22" t="n">
        <x:v>1706</x:v>
      </x:c>
      <x:c r="B1710" s="22" t="str">
        <x:v>基准人物可承受普通单击</x:v>
      </x:c>
      <x:c r="C1710" s="22" t="str">
        <x:v>通过</x:v>
      </x:c>
      <x:c r="D1710" s="22" t="str">
        <x:v>C09-M012:XX721</x:v>
      </x:c>
    </x:row>
    <x:row r="1711" ht="24" customHeight="1">
      <x:c r="A1711" s="22" t="n">
        <x:v>1707</x:v>
      </x:c>
      <x:c r="B1711" s="22" t="str">
        <x:v>基准人物可承受普通单击</x:v>
      </x:c>
      <x:c r="C1711" s="22" t="str">
        <x:v>通过</x:v>
      </x:c>
      <x:c r="D1711" s="22" t="str">
        <x:v>C09-M013:XX820</x:v>
      </x:c>
    </x:row>
    <x:row r="1712" ht="24" customHeight="1">
      <x:c r="A1712" s="22" t="n">
        <x:v>1708</x:v>
      </x:c>
      <x:c r="B1712" s="22" t="str">
        <x:v>基准人物可承受普通单击</x:v>
      </x:c>
      <x:c r="C1712" s="22" t="str">
        <x:v>通过</x:v>
      </x:c>
      <x:c r="D1712" s="22" t="str">
        <x:v>C09-M014:XX820</x:v>
      </x:c>
    </x:row>
    <x:row r="1713" ht="24" customHeight="1">
      <x:c r="A1713" s="22" t="n">
        <x:v>1709</x:v>
      </x:c>
      <x:c r="B1713" s="22" t="str">
        <x:v>基准人物可承受普通单击</x:v>
      </x:c>
      <x:c r="C1713" s="22" t="str">
        <x:v>通过</x:v>
      </x:c>
      <x:c r="D1713" s="22" t="str">
        <x:v>C09-M015:XX821</x:v>
      </x:c>
    </x:row>
    <x:row r="1714" ht="24" customHeight="1">
      <x:c r="A1714" s="22" t="n">
        <x:v>1710</x:v>
      </x:c>
      <x:c r="B1714" s="22" t="str">
        <x:v>基准人物可承受普通单击</x:v>
      </x:c>
      <x:c r="C1714" s="22" t="str">
        <x:v>通过</x:v>
      </x:c>
      <x:c r="D1714" s="22" t="str">
        <x:v>C09-M016:XX822</x:v>
      </x:c>
    </x:row>
    <x:row r="1715" ht="24" customHeight="1">
      <x:c r="A1715" s="22" t="n">
        <x:v>1711</x:v>
      </x:c>
      <x:c r="B1715" s="22" t="str">
        <x:v>基准人物可承受普通单击</x:v>
      </x:c>
      <x:c r="C1715" s="22" t="str">
        <x:v>通过</x:v>
      </x:c>
      <x:c r="D1715" s="22" t="str">
        <x:v>C09-M017:XX823</x:v>
      </x:c>
    </x:row>
    <x:row r="1716" ht="24" customHeight="1">
      <x:c r="A1716" s="22" t="n">
        <x:v>1712</x:v>
      </x:c>
      <x:c r="B1716" s="22" t="str">
        <x:v>基准人物可承受普通单击</x:v>
      </x:c>
      <x:c r="C1716" s="22" t="str">
        <x:v>通过</x:v>
      </x:c>
      <x:c r="D1716" s="22" t="str">
        <x:v>C09-M018:XX824</x:v>
      </x:c>
    </x:row>
    <x:row r="1717" ht="24" customHeight="1">
      <x:c r="A1717" s="22" t="n">
        <x:v>1713</x:v>
      </x:c>
      <x:c r="B1717" s="22" t="str">
        <x:v>基准人物可承受普通单击</x:v>
      </x:c>
      <x:c r="C1717" s="22" t="str">
        <x:v>通过</x:v>
      </x:c>
      <x:c r="D1717" s="22" t="str">
        <x:v>C09-M019:XX821</x:v>
      </x:c>
    </x:row>
    <x:row r="1718" ht="24" customHeight="1">
      <x:c r="A1718" s="22" t="n">
        <x:v>1714</x:v>
      </x:c>
      <x:c r="B1718" s="22" t="str">
        <x:v>基准人物可承受普通单击</x:v>
      </x:c>
      <x:c r="C1718" s="22" t="str">
        <x:v>通过</x:v>
      </x:c>
      <x:c r="D1718" s="22" t="str">
        <x:v>C09-M020:XX822</x:v>
      </x:c>
    </x:row>
    <x:row r="1719" ht="24" customHeight="1">
      <x:c r="A1719" s="22" t="n">
        <x:v>1715</x:v>
      </x:c>
      <x:c r="B1719" s="22" t="str">
        <x:v>基准人物可承受普通单击</x:v>
      </x:c>
      <x:c r="C1719" s="22" t="str">
        <x:v>通过</x:v>
      </x:c>
      <x:c r="D1719" s="22" t="str">
        <x:v>C09-M021:XX823</x:v>
      </x:c>
    </x:row>
    <x:row r="1720" ht="24" customHeight="1">
      <x:c r="A1720" s="22" t="n">
        <x:v>1716</x:v>
      </x:c>
      <x:c r="B1720" s="22" t="str">
        <x:v>基准人物可承受普通单击</x:v>
      </x:c>
      <x:c r="C1720" s="22" t="str">
        <x:v>通过</x:v>
      </x:c>
      <x:c r="D1720" s="22" t="str">
        <x:v>C09-M022:XX824</x:v>
      </x:c>
    </x:row>
    <x:row r="1721" ht="24" customHeight="1">
      <x:c r="A1721" s="22" t="n">
        <x:v>1717</x:v>
      </x:c>
      <x:c r="B1721" s="22" t="str">
        <x:v>基准人物可承受普通单击</x:v>
      </x:c>
      <x:c r="C1721" s="22" t="str">
        <x:v>通过</x:v>
      </x:c>
      <x:c r="D1721" s="22" t="str">
        <x:v>C09-M023:XX823</x:v>
      </x:c>
    </x:row>
    <x:row r="1722" ht="24" customHeight="1">
      <x:c r="A1722" s="22" t="n">
        <x:v>1718</x:v>
      </x:c>
      <x:c r="B1722" s="22" t="str">
        <x:v>基准人物可承受普通单击</x:v>
      </x:c>
      <x:c r="C1722" s="22" t="str">
        <x:v>通过</x:v>
      </x:c>
      <x:c r="D1722" s="22" t="str">
        <x:v>C09-M024:XX824</x:v>
      </x:c>
    </x:row>
    <x:row r="1723" ht="24" customHeight="1">
      <x:c r="A1723" s="22" t="n">
        <x:v>1719</x:v>
      </x:c>
      <x:c r="B1723" s="22" t="str">
        <x:v>基准人物可承受普通单击</x:v>
      </x:c>
      <x:c r="C1723" s="22" t="str">
        <x:v>通过</x:v>
      </x:c>
      <x:c r="D1723" s="22" t="str">
        <x:v>C09-M025:XX837</x:v>
      </x:c>
    </x:row>
    <x:row r="1724" ht="24" customHeight="1">
      <x:c r="A1724" s="22" t="n">
        <x:v>1720</x:v>
      </x:c>
      <x:c r="B1724" s="22" t="str">
        <x:v>基准人物可承受普通单击</x:v>
      </x:c>
      <x:c r="C1724" s="22" t="str">
        <x:v>通过</x:v>
      </x:c>
      <x:c r="D1724" s="22" t="str">
        <x:v>C09-M026:XX837</x:v>
      </x:c>
    </x:row>
    <x:row r="1725" ht="24" customHeight="1">
      <x:c r="A1725" s="22" t="n">
        <x:v>1721</x:v>
      </x:c>
      <x:c r="B1725" s="22" t="str">
        <x:v>基准人物可承受普通单击</x:v>
      </x:c>
      <x:c r="C1725" s="22" t="str">
        <x:v>通过</x:v>
      </x:c>
      <x:c r="D1725" s="22" t="str">
        <x:v>C09-M027:XX836</x:v>
      </x:c>
    </x:row>
    <x:row r="1726" ht="24" customHeight="1">
      <x:c r="A1726" s="22" t="n">
        <x:v>1722</x:v>
      </x:c>
      <x:c r="B1726" s="22" t="str">
        <x:v>基准人物可承受普通单击</x:v>
      </x:c>
      <x:c r="C1726" s="22" t="str">
        <x:v>通过</x:v>
      </x:c>
      <x:c r="D1726" s="22" t="str">
        <x:v>C09-M028:XX836</x:v>
      </x:c>
    </x:row>
    <x:row r="1727" ht="24" customHeight="1">
      <x:c r="A1727" s="22" t="n">
        <x:v>1723</x:v>
      </x:c>
      <x:c r="B1727" s="22" t="str">
        <x:v>基准人物可承受普通单击</x:v>
      </x:c>
      <x:c r="C1727" s="22" t="str">
        <x:v>通过</x:v>
      </x:c>
      <x:c r="D1727" s="22" t="str">
        <x:v>C09-M029:XX838</x:v>
      </x:c>
    </x:row>
    <x:row r="1728" ht="24" customHeight="1">
      <x:c r="A1728" s="22" t="n">
        <x:v>1724</x:v>
      </x:c>
      <x:c r="B1728" s="22" t="str">
        <x:v>基准人物可承受普通单击</x:v>
      </x:c>
      <x:c r="C1728" s="22" t="str">
        <x:v>通过</x:v>
      </x:c>
      <x:c r="D1728" s="22" t="str">
        <x:v>C09-M030:XX838</x:v>
      </x:c>
    </x:row>
    <x:row r="1729" ht="24" customHeight="1">
      <x:c r="A1729" s="22" t="n">
        <x:v>1725</x:v>
      </x:c>
      <x:c r="B1729" s="22" t="str">
        <x:v>基准人物可承受普通单击</x:v>
      </x:c>
      <x:c r="C1729" s="22" t="str">
        <x:v>通过</x:v>
      </x:c>
      <x:c r="D1729" s="22" t="str">
        <x:v>C09-M031:XX837</x:v>
      </x:c>
    </x:row>
    <x:row r="1730" ht="24" customHeight="1">
      <x:c r="A1730" s="22" t="n">
        <x:v>1726</x:v>
      </x:c>
      <x:c r="B1730" s="22" t="str">
        <x:v>基准人物可承受普通单击</x:v>
      </x:c>
      <x:c r="C1730" s="22" t="str">
        <x:v>通过</x:v>
      </x:c>
      <x:c r="D1730" s="22" t="str">
        <x:v>C09-M032:XX836</x:v>
      </x:c>
    </x:row>
    <x:row r="1731" ht="24" customHeight="1">
      <x:c r="A1731" s="22" t="n">
        <x:v>1727</x:v>
      </x:c>
      <x:c r="B1731" s="22" t="str">
        <x:v>基准人物可承受普通单击</x:v>
      </x:c>
      <x:c r="C1731" s="22" t="str">
        <x:v>通过</x:v>
      </x:c>
      <x:c r="D1731" s="22" t="str">
        <x:v>C09-M033:XX838</x:v>
      </x:c>
    </x:row>
    <x:row r="1732" ht="24" customHeight="1">
      <x:c r="A1732" s="22" t="n">
        <x:v>1728</x:v>
      </x:c>
      <x:c r="B1732" s="22" t="str">
        <x:v>基准人物可承受普通单击</x:v>
      </x:c>
      <x:c r="C1732" s="22" t="str">
        <x:v>通过</x:v>
      </x:c>
      <x:c r="D1732" s="22" t="str">
        <x:v>C09-M034:XX838</x:v>
      </x:c>
    </x:row>
    <x:row r="1733" ht="24" customHeight="1">
      <x:c r="A1733" s="22" t="n">
        <x:v>1729</x:v>
      </x:c>
      <x:c r="B1733" s="22" t="str">
        <x:v>基准人物可承受普通单击</x:v>
      </x:c>
      <x:c r="C1733" s="22" t="str">
        <x:v>通过</x:v>
      </x:c>
      <x:c r="D1733" s="22" t="str">
        <x:v>C09-M035:XX836</x:v>
      </x:c>
    </x:row>
    <x:row r="1734" ht="24" customHeight="1">
      <x:c r="A1734" s="22" t="n">
        <x:v>1730</x:v>
      </x:c>
      <x:c r="B1734" s="22" t="str">
        <x:v>基准人物可承受普通单击</x:v>
      </x:c>
      <x:c r="C1734" s="22" t="str">
        <x:v>通过</x:v>
      </x:c>
      <x:c r="D1734" s="22" t="str">
        <x:v>C09-M036:XX838</x:v>
      </x:c>
    </x:row>
    <x:row r="1735" ht="24" customHeight="1">
      <x:c r="A1735" s="22" t="n">
        <x:v>1731</x:v>
      </x:c>
      <x:c r="B1735" s="22" t="str">
        <x:v>基准人物可承受普通单击</x:v>
      </x:c>
      <x:c r="C1735" s="22" t="str">
        <x:v>通过</x:v>
      </x:c>
      <x:c r="D1735" s="22" t="str">
        <x:v>C09-M037:XX786</x:v>
      </x:c>
    </x:row>
    <x:row r="1736" ht="24" customHeight="1">
      <x:c r="A1736" s="22" t="n">
        <x:v>1732</x:v>
      </x:c>
      <x:c r="B1736" s="22" t="str">
        <x:v>基准人物可承受普通单击</x:v>
      </x:c>
      <x:c r="C1736" s="22" t="str">
        <x:v>通过</x:v>
      </x:c>
      <x:c r="D1736" s="22" t="str">
        <x:v>C09-M038:XX786</x:v>
      </x:c>
    </x:row>
    <x:row r="1737" ht="24" customHeight="1">
      <x:c r="A1737" s="22" t="n">
        <x:v>1733</x:v>
      </x:c>
      <x:c r="B1737" s="22" t="str">
        <x:v>基准人物可承受普通单击</x:v>
      </x:c>
      <x:c r="C1737" s="22" t="str">
        <x:v>通过</x:v>
      </x:c>
      <x:c r="D1737" s="22" t="str">
        <x:v>C09-M039:XX796</x:v>
      </x:c>
    </x:row>
    <x:row r="1738" ht="24" customHeight="1">
      <x:c r="A1738" s="22" t="n">
        <x:v>1734</x:v>
      </x:c>
      <x:c r="B1738" s="22" t="str">
        <x:v>基准人物可承受普通单击</x:v>
      </x:c>
      <x:c r="C1738" s="22" t="str">
        <x:v>通过</x:v>
      </x:c>
      <x:c r="D1738" s="22" t="str">
        <x:v>C09-M040:XX787</x:v>
      </x:c>
    </x:row>
    <x:row r="1739" ht="24" customHeight="1">
      <x:c r="A1739" s="22" t="n">
        <x:v>1735</x:v>
      </x:c>
      <x:c r="B1739" s="22" t="str">
        <x:v>基准人物可承受普通单击</x:v>
      </x:c>
      <x:c r="C1739" s="22" t="str">
        <x:v>通过</x:v>
      </x:c>
      <x:c r="D1739" s="22" t="str">
        <x:v>C09-M041:XX795</x:v>
      </x:c>
    </x:row>
    <x:row r="1740" ht="24" customHeight="1">
      <x:c r="A1740" s="22" t="n">
        <x:v>1736</x:v>
      </x:c>
      <x:c r="B1740" s="22" t="str">
        <x:v>基准人物可承受普通单击</x:v>
      </x:c>
      <x:c r="C1740" s="22" t="str">
        <x:v>通过</x:v>
      </x:c>
      <x:c r="D1740" s="22" t="str">
        <x:v>C09-M042:XX791</x:v>
      </x:c>
    </x:row>
    <x:row r="1741" ht="24" customHeight="1">
      <x:c r="A1741" s="22" t="n">
        <x:v>1737</x:v>
      </x:c>
      <x:c r="B1741" s="22" t="str">
        <x:v>基准人物可承受普通单击</x:v>
      </x:c>
      <x:c r="C1741" s="22" t="str">
        <x:v>通过</x:v>
      </x:c>
      <x:c r="D1741" s="22" t="str">
        <x:v>C09-M043:XX796</x:v>
      </x:c>
    </x:row>
    <x:row r="1742" ht="24" customHeight="1">
      <x:c r="A1742" s="22" t="n">
        <x:v>1738</x:v>
      </x:c>
      <x:c r="B1742" s="22" t="str">
        <x:v>基准人物可承受普通单击</x:v>
      </x:c>
      <x:c r="C1742" s="22" t="str">
        <x:v>通过</x:v>
      </x:c>
      <x:c r="D1742" s="22" t="str">
        <x:v>C09-M044:XX787</x:v>
      </x:c>
    </x:row>
    <x:row r="1743" ht="24" customHeight="1">
      <x:c r="A1743" s="22" t="n">
        <x:v>1739</x:v>
      </x:c>
      <x:c r="B1743" s="22" t="str">
        <x:v>基准人物可承受普通单击</x:v>
      </x:c>
      <x:c r="C1743" s="22" t="str">
        <x:v>通过</x:v>
      </x:c>
      <x:c r="D1743" s="22" t="str">
        <x:v>C09-M045:XX795</x:v>
      </x:c>
    </x:row>
    <x:row r="1744" ht="24" customHeight="1">
      <x:c r="A1744" s="22" t="n">
        <x:v>1740</x:v>
      </x:c>
      <x:c r="B1744" s="22" t="str">
        <x:v>基准人物可承受普通单击</x:v>
      </x:c>
      <x:c r="C1744" s="22" t="str">
        <x:v>通过</x:v>
      </x:c>
      <x:c r="D1744" s="22" t="str">
        <x:v>C09-M046:XX791</x:v>
      </x:c>
    </x:row>
    <x:row r="1745" ht="24" customHeight="1">
      <x:c r="A1745" s="22" t="n">
        <x:v>1741</x:v>
      </x:c>
      <x:c r="B1745" s="22" t="str">
        <x:v>基准人物可承受普通单击</x:v>
      </x:c>
      <x:c r="C1745" s="22" t="str">
        <x:v>通过</x:v>
      </x:c>
      <x:c r="D1745" s="22" t="str">
        <x:v>C09-M047:XX795</x:v>
      </x:c>
    </x:row>
    <x:row r="1746" ht="24" customHeight="1">
      <x:c r="A1746" s="22" t="n">
        <x:v>1742</x:v>
      </x:c>
      <x:c r="B1746" s="22" t="str">
        <x:v>基准人物可承受普通单击</x:v>
      </x:c>
      <x:c r="C1746" s="22" t="str">
        <x:v>通过</x:v>
      </x:c>
      <x:c r="D1746" s="22" t="str">
        <x:v>C09-M048:XX791</x:v>
      </x:c>
    </x:row>
    <x:row r="1747" ht="24" customHeight="1">
      <x:c r="A1747" s="22" t="n">
        <x:v>1743</x:v>
      </x:c>
      <x:c r="B1747" s="22" t="str">
        <x:v>基准人物可承受普通单击</x:v>
      </x:c>
      <x:c r="C1747" s="22" t="str">
        <x:v>通过</x:v>
      </x:c>
      <x:c r="D1747" s="22" t="str">
        <x:v>C09-M049:XX690</x:v>
      </x:c>
    </x:row>
    <x:row r="1748" ht="24" customHeight="1">
      <x:c r="A1748" s="22" t="n">
        <x:v>1744</x:v>
      </x:c>
      <x:c r="B1748" s="22" t="str">
        <x:v>基准人物可承受普通单击</x:v>
      </x:c>
      <x:c r="C1748" s="22" t="str">
        <x:v>通过</x:v>
      </x:c>
      <x:c r="D1748" s="22" t="str">
        <x:v>C09-M050:XX690</x:v>
      </x:c>
    </x:row>
    <x:row r="1749" ht="24" customHeight="1">
      <x:c r="A1749" s="22" t="n">
        <x:v>1745</x:v>
      </x:c>
      <x:c r="B1749" s="22" t="str">
        <x:v>基准人物可承受普通单击</x:v>
      </x:c>
      <x:c r="C1749" s="22" t="str">
        <x:v>通过</x:v>
      </x:c>
      <x:c r="D1749" s="22" t="str">
        <x:v>C09-M051:XX691</x:v>
      </x:c>
    </x:row>
    <x:row r="1750" ht="24" customHeight="1">
      <x:c r="A1750" s="22" t="n">
        <x:v>1746</x:v>
      </x:c>
      <x:c r="B1750" s="22" t="str">
        <x:v>基准人物可承受普通单击</x:v>
      </x:c>
      <x:c r="C1750" s="22" t="str">
        <x:v>通过</x:v>
      </x:c>
      <x:c r="D1750" s="22" t="str">
        <x:v>C09-M052:XX689</x:v>
      </x:c>
    </x:row>
    <x:row r="1751" ht="24" customHeight="1">
      <x:c r="A1751" s="22" t="n">
        <x:v>1747</x:v>
      </x:c>
      <x:c r="B1751" s="22" t="str">
        <x:v>基准人物可承受普通单击</x:v>
      </x:c>
      <x:c r="C1751" s="22" t="str">
        <x:v>通过</x:v>
      </x:c>
      <x:c r="D1751" s="22" t="str">
        <x:v>C09-M053:XX688</x:v>
      </x:c>
    </x:row>
    <x:row r="1752" ht="24" customHeight="1">
      <x:c r="A1752" s="22" t="n">
        <x:v>1748</x:v>
      </x:c>
      <x:c r="B1752" s="22" t="str">
        <x:v>基准人物可承受普通单击</x:v>
      </x:c>
      <x:c r="C1752" s="22" t="str">
        <x:v>通过</x:v>
      </x:c>
      <x:c r="D1752" s="22" t="str">
        <x:v>C09-M054:XX639</x:v>
      </x:c>
    </x:row>
    <x:row r="1753" ht="24" customHeight="1">
      <x:c r="A1753" s="22" t="n">
        <x:v>1749</x:v>
      </x:c>
      <x:c r="B1753" s="22" t="str">
        <x:v>基准人物可承受普通单击</x:v>
      </x:c>
      <x:c r="C1753" s="22" t="str">
        <x:v>通过</x:v>
      </x:c>
      <x:c r="D1753" s="22" t="str">
        <x:v>C09-M055:XX691</x:v>
      </x:c>
    </x:row>
    <x:row r="1754" ht="24" customHeight="1">
      <x:c r="A1754" s="22" t="n">
        <x:v>1750</x:v>
      </x:c>
      <x:c r="B1754" s="22" t="str">
        <x:v>基准人物可承受普通单击</x:v>
      </x:c>
      <x:c r="C1754" s="22" t="str">
        <x:v>通过</x:v>
      </x:c>
      <x:c r="D1754" s="22" t="str">
        <x:v>C09-M056:XX689</x:v>
      </x:c>
    </x:row>
    <x:row r="1755" ht="24" customHeight="1">
      <x:c r="A1755" s="22" t="n">
        <x:v>1751</x:v>
      </x:c>
      <x:c r="B1755" s="22" t="str">
        <x:v>基准人物可承受普通单击</x:v>
      </x:c>
      <x:c r="C1755" s="22" t="str">
        <x:v>通过</x:v>
      </x:c>
      <x:c r="D1755" s="22" t="str">
        <x:v>C09-M057:XX688</x:v>
      </x:c>
    </x:row>
    <x:row r="1756" ht="24" customHeight="1">
      <x:c r="A1756" s="22" t="n">
        <x:v>1752</x:v>
      </x:c>
      <x:c r="B1756" s="22" t="str">
        <x:v>基准人物可承受普通单击</x:v>
      </x:c>
      <x:c r="C1756" s="22" t="str">
        <x:v>通过</x:v>
      </x:c>
      <x:c r="D1756" s="22" t="str">
        <x:v>C09-M058:XX639</x:v>
      </x:c>
    </x:row>
    <x:row r="1757" ht="24" customHeight="1">
      <x:c r="A1757" s="22" t="n">
        <x:v>1753</x:v>
      </x:c>
      <x:c r="B1757" s="22" t="str">
        <x:v>基准人物可承受普通单击</x:v>
      </x:c>
      <x:c r="C1757" s="22" t="str">
        <x:v>通过</x:v>
      </x:c>
      <x:c r="D1757" s="22" t="str">
        <x:v>C09-M059:XX688</x:v>
      </x:c>
    </x:row>
    <x:row r="1758" ht="24" customHeight="1">
      <x:c r="A1758" s="22" t="n">
        <x:v>1754</x:v>
      </x:c>
      <x:c r="B1758" s="22" t="str">
        <x:v>基准人物可承受普通单击</x:v>
      </x:c>
      <x:c r="C1758" s="22" t="str">
        <x:v>通过</x:v>
      </x:c>
      <x:c r="D1758" s="22" t="str">
        <x:v>C09-M060:XX639</x:v>
      </x:c>
    </x:row>
    <x:row r="1759" ht="24" customHeight="1">
      <x:c r="A1759" s="22" t="n">
        <x:v>1755</x:v>
      </x:c>
      <x:c r="B1759" s="22" t="str">
        <x:v>基准人物可承受普通单击</x:v>
      </x:c>
      <x:c r="C1759" s="22" t="str">
        <x:v>通过</x:v>
      </x:c>
      <x:c r="D1759" s="22" t="str">
        <x:v>C09-M061:XX639</x:v>
      </x:c>
    </x:row>
    <x:row r="1760" ht="24" customHeight="1">
      <x:c r="A1760" s="22" t="n">
        <x:v>1756</x:v>
      </x:c>
      <x:c r="B1760" s="22" t="str">
        <x:v>基准人物可承受普通单击</x:v>
      </x:c>
      <x:c r="C1760" s="22" t="str">
        <x:v>通过</x:v>
      </x:c>
      <x:c r="D1760" s="22" t="str">
        <x:v>C10-M001:XX932</x:v>
      </x:c>
    </x:row>
    <x:row r="1761" ht="24" customHeight="1">
      <x:c r="A1761" s="22" t="n">
        <x:v>1757</x:v>
      </x:c>
      <x:c r="B1761" s="22" t="str">
        <x:v>基准人物可承受普通单击</x:v>
      </x:c>
      <x:c r="C1761" s="22" t="str">
        <x:v>通过</x:v>
      </x:c>
      <x:c r="D1761" s="22" t="str">
        <x:v>C10-M002:XX932</x:v>
      </x:c>
    </x:row>
    <x:row r="1762" ht="24" customHeight="1">
      <x:c r="A1762" s="22" t="n">
        <x:v>1758</x:v>
      </x:c>
      <x:c r="B1762" s="22" t="str">
        <x:v>基准人物可承受普通单击</x:v>
      </x:c>
      <x:c r="C1762" s="22" t="str">
        <x:v>通过</x:v>
      </x:c>
      <x:c r="D1762" s="22" t="str">
        <x:v>C10-M003:XX933</x:v>
      </x:c>
    </x:row>
    <x:row r="1763" ht="24" customHeight="1">
      <x:c r="A1763" s="22" t="n">
        <x:v>1759</x:v>
      </x:c>
      <x:c r="B1763" s="22" t="str">
        <x:v>基准人物可承受普通单击</x:v>
      </x:c>
      <x:c r="C1763" s="22" t="str">
        <x:v>通过</x:v>
      </x:c>
      <x:c r="D1763" s="22" t="str">
        <x:v>C10-M004:XX933</x:v>
      </x:c>
    </x:row>
    <x:row r="1764" ht="24" customHeight="1">
      <x:c r="A1764" s="22" t="n">
        <x:v>1760</x:v>
      </x:c>
      <x:c r="B1764" s="22" t="str">
        <x:v>基准人物可承受普通单击</x:v>
      </x:c>
      <x:c r="C1764" s="22" t="str">
        <x:v>通过</x:v>
      </x:c>
      <x:c r="D1764" s="22" t="str">
        <x:v>C10-M005:XX930</x:v>
      </x:c>
    </x:row>
    <x:row r="1765" ht="24" customHeight="1">
      <x:c r="A1765" s="22" t="n">
        <x:v>1761</x:v>
      </x:c>
      <x:c r="B1765" s="22" t="str">
        <x:v>基准人物可承受普通单击</x:v>
      </x:c>
      <x:c r="C1765" s="22" t="str">
        <x:v>通过</x:v>
      </x:c>
      <x:c r="D1765" s="22" t="str">
        <x:v>C10-M006:XX930</x:v>
      </x:c>
    </x:row>
    <x:row r="1766" ht="24" customHeight="1">
      <x:c r="A1766" s="22" t="n">
        <x:v>1762</x:v>
      </x:c>
      <x:c r="B1766" s="22" t="str">
        <x:v>基准人物可承受普通单击</x:v>
      </x:c>
      <x:c r="C1766" s="22" t="str">
        <x:v>通过</x:v>
      </x:c>
      <x:c r="D1766" s="22" t="str">
        <x:v>C10-M007:XX932</x:v>
      </x:c>
    </x:row>
    <x:row r="1767" ht="24" customHeight="1">
      <x:c r="A1767" s="22" t="n">
        <x:v>1763</x:v>
      </x:c>
      <x:c r="B1767" s="22" t="str">
        <x:v>基准人物可承受普通单击</x:v>
      </x:c>
      <x:c r="C1767" s="22" t="str">
        <x:v>通过</x:v>
      </x:c>
      <x:c r="D1767" s="22" t="str">
        <x:v>C10-M008:XX932</x:v>
      </x:c>
    </x:row>
    <x:row r="1768" ht="24" customHeight="1">
      <x:c r="A1768" s="22" t="n">
        <x:v>1764</x:v>
      </x:c>
      <x:c r="B1768" s="22" t="str">
        <x:v>基准人物可承受普通单击</x:v>
      </x:c>
      <x:c r="C1768" s="22" t="str">
        <x:v>通过</x:v>
      </x:c>
      <x:c r="D1768" s="22" t="str">
        <x:v>C10-M009:XX933</x:v>
      </x:c>
    </x:row>
    <x:row r="1769" ht="24" customHeight="1">
      <x:c r="A1769" s="22" t="n">
        <x:v>1765</x:v>
      </x:c>
      <x:c r="B1769" s="22" t="str">
        <x:v>基准人物可承受普通单击</x:v>
      </x:c>
      <x:c r="C1769" s="22" t="str">
        <x:v>通过</x:v>
      </x:c>
      <x:c r="D1769" s="22" t="str">
        <x:v>C10-M010:XX930</x:v>
      </x:c>
    </x:row>
    <x:row r="1770" ht="24" customHeight="1">
      <x:c r="A1770" s="22" t="n">
        <x:v>1766</x:v>
      </x:c>
      <x:c r="B1770" s="22" t="str">
        <x:v>基准人物可承受普通单击</x:v>
      </x:c>
      <x:c r="C1770" s="22" t="str">
        <x:v>通过</x:v>
      </x:c>
      <x:c r="D1770" s="22" t="str">
        <x:v>C10-M011:XX933</x:v>
      </x:c>
    </x:row>
    <x:row r="1771" ht="24" customHeight="1">
      <x:c r="A1771" s="22" t="n">
        <x:v>1767</x:v>
      </x:c>
      <x:c r="B1771" s="22" t="str">
        <x:v>基准人物可承受普通单击</x:v>
      </x:c>
      <x:c r="C1771" s="22" t="str">
        <x:v>通过</x:v>
      </x:c>
      <x:c r="D1771" s="22" t="str">
        <x:v>C10-M012:XX930</x:v>
      </x:c>
    </x:row>
    <x:row r="1772" ht="24" customHeight="1">
      <x:c r="A1772" s="22" t="n">
        <x:v>1768</x:v>
      </x:c>
      <x:c r="B1772" s="22" t="str">
        <x:v>基准人物可承受普通单击</x:v>
      </x:c>
      <x:c r="C1772" s="22" t="str">
        <x:v>通过</x:v>
      </x:c>
      <x:c r="D1772" s="22" t="str">
        <x:v>C10-M013:XX629</x:v>
      </x:c>
    </x:row>
    <x:row r="1773" ht="24" customHeight="1">
      <x:c r="A1773" s="22" t="n">
        <x:v>1769</x:v>
      </x:c>
      <x:c r="B1773" s="22" t="str">
        <x:v>基准人物可承受普通单击</x:v>
      </x:c>
      <x:c r="C1773" s="22" t="str">
        <x:v>通过</x:v>
      </x:c>
      <x:c r="D1773" s="22" t="str">
        <x:v>C10-M014:XX629</x:v>
      </x:c>
    </x:row>
    <x:row r="1774" ht="24" customHeight="1">
      <x:c r="A1774" s="22" t="n">
        <x:v>1770</x:v>
      </x:c>
      <x:c r="B1774" s="22" t="str">
        <x:v>基准人物可承受普通单击</x:v>
      </x:c>
      <x:c r="C1774" s="22" t="str">
        <x:v>通过</x:v>
      </x:c>
      <x:c r="D1774" s="22" t="str">
        <x:v>C10-M015:XX631</x:v>
      </x:c>
    </x:row>
    <x:row r="1775" ht="24" customHeight="1">
      <x:c r="A1775" s="22" t="n">
        <x:v>1771</x:v>
      </x:c>
      <x:c r="B1775" s="22" t="str">
        <x:v>基准人物可承受普通单击</x:v>
      </x:c>
      <x:c r="C1775" s="22" t="str">
        <x:v>通过</x:v>
      </x:c>
      <x:c r="D1775" s="22" t="str">
        <x:v>C10-M016:XX631</x:v>
      </x:c>
    </x:row>
    <x:row r="1776" ht="24" customHeight="1">
      <x:c r="A1776" s="22" t="n">
        <x:v>1772</x:v>
      </x:c>
      <x:c r="B1776" s="22" t="str">
        <x:v>基准人物可承受普通单击</x:v>
      </x:c>
      <x:c r="C1776" s="22" t="str">
        <x:v>通过</x:v>
      </x:c>
      <x:c r="D1776" s="22" t="str">
        <x:v>C10-M017:XX624</x:v>
      </x:c>
    </x:row>
    <x:row r="1777" ht="24" customHeight="1">
      <x:c r="A1777" s="22" t="n">
        <x:v>1773</x:v>
      </x:c>
      <x:c r="B1777" s="22" t="str">
        <x:v>基准人物可承受普通单击</x:v>
      </x:c>
      <x:c r="C1777" s="22" t="str">
        <x:v>通过</x:v>
      </x:c>
      <x:c r="D1777" s="22" t="str">
        <x:v>C10-M018:XX624</x:v>
      </x:c>
    </x:row>
    <x:row r="1778" ht="24" customHeight="1">
      <x:c r="A1778" s="22" t="n">
        <x:v>1774</x:v>
      </x:c>
      <x:c r="B1778" s="22" t="str">
        <x:v>基准人物可承受普通单击</x:v>
      </x:c>
      <x:c r="C1778" s="22" t="str">
        <x:v>通过</x:v>
      </x:c>
      <x:c r="D1778" s="22" t="str">
        <x:v>C10-M019:XX629</x:v>
      </x:c>
    </x:row>
    <x:row r="1779" ht="24" customHeight="1">
      <x:c r="A1779" s="22" t="n">
        <x:v>1775</x:v>
      </x:c>
      <x:c r="B1779" s="22" t="str">
        <x:v>基准人物可承受普通单击</x:v>
      </x:c>
      <x:c r="C1779" s="22" t="str">
        <x:v>通过</x:v>
      </x:c>
      <x:c r="D1779" s="22" t="str">
        <x:v>C10-M020:XX631</x:v>
      </x:c>
    </x:row>
    <x:row r="1780" ht="24" customHeight="1">
      <x:c r="A1780" s="22" t="n">
        <x:v>1776</x:v>
      </x:c>
      <x:c r="B1780" s="22" t="str">
        <x:v>基准人物可承受普通单击</x:v>
      </x:c>
      <x:c r="C1780" s="22" t="str">
        <x:v>通过</x:v>
      </x:c>
      <x:c r="D1780" s="22" t="str">
        <x:v>C10-M021:XX631</x:v>
      </x:c>
    </x:row>
    <x:row r="1781" ht="24" customHeight="1">
      <x:c r="A1781" s="22" t="n">
        <x:v>1777</x:v>
      </x:c>
      <x:c r="B1781" s="22" t="str">
        <x:v>基准人物可承受普通单击</x:v>
      </x:c>
      <x:c r="C1781" s="22" t="str">
        <x:v>通过</x:v>
      </x:c>
      <x:c r="D1781" s="22" t="str">
        <x:v>C10-M022:XX624</x:v>
      </x:c>
    </x:row>
    <x:row r="1782" ht="24" customHeight="1">
      <x:c r="A1782" s="22" t="n">
        <x:v>1778</x:v>
      </x:c>
      <x:c r="B1782" s="22" t="str">
        <x:v>基准人物可承受普通单击</x:v>
      </x:c>
      <x:c r="C1782" s="22" t="str">
        <x:v>通过</x:v>
      </x:c>
      <x:c r="D1782" s="22" t="str">
        <x:v>C10-M023:XX631</x:v>
      </x:c>
    </x:row>
    <x:row r="1783" ht="24" customHeight="1">
      <x:c r="A1783" s="22" t="n">
        <x:v>1779</x:v>
      </x:c>
      <x:c r="B1783" s="22" t="str">
        <x:v>基准人物可承受普通单击</x:v>
      </x:c>
      <x:c r="C1783" s="22" t="str">
        <x:v>通过</x:v>
      </x:c>
      <x:c r="D1783" s="22" t="str">
        <x:v>C10-M024:XX624</x:v>
      </x:c>
    </x:row>
    <x:row r="1784" ht="24" customHeight="1">
      <x:c r="A1784" s="22" t="n">
        <x:v>1780</x:v>
      </x:c>
      <x:c r="B1784" s="22" t="str">
        <x:v>基准人物可承受普通单击</x:v>
      </x:c>
      <x:c r="C1784" s="22" t="str">
        <x:v>通过</x:v>
      </x:c>
      <x:c r="D1784" s="22" t="str">
        <x:v>C10-M025:XX954</x:v>
      </x:c>
    </x:row>
    <x:row r="1785" ht="24" customHeight="1">
      <x:c r="A1785" s="22" t="n">
        <x:v>1781</x:v>
      </x:c>
      <x:c r="B1785" s="22" t="str">
        <x:v>基准人物可承受普通单击</x:v>
      </x:c>
      <x:c r="C1785" s="22" t="str">
        <x:v>通过</x:v>
      </x:c>
      <x:c r="D1785" s="22" t="str">
        <x:v>C10-M026:XX954</x:v>
      </x:c>
    </x:row>
    <x:row r="1786" ht="24" customHeight="1">
      <x:c r="A1786" s="22" t="n">
        <x:v>1782</x:v>
      </x:c>
      <x:c r="B1786" s="22" t="str">
        <x:v>基准人物可承受普通单击</x:v>
      </x:c>
      <x:c r="C1786" s="22" t="str">
        <x:v>通过</x:v>
      </x:c>
      <x:c r="D1786" s="22" t="str">
        <x:v>C10-M027:XX955</x:v>
      </x:c>
    </x:row>
    <x:row r="1787" ht="24" customHeight="1">
      <x:c r="A1787" s="22" t="n">
        <x:v>1783</x:v>
      </x:c>
      <x:c r="B1787" s="22" t="str">
        <x:v>基准人物可承受普通单击</x:v>
      </x:c>
      <x:c r="C1787" s="22" t="str">
        <x:v>通过</x:v>
      </x:c>
      <x:c r="D1787" s="22" t="str">
        <x:v>C10-M028:XX953</x:v>
      </x:c>
    </x:row>
    <x:row r="1788" ht="24" customHeight="1">
      <x:c r="A1788" s="22" t="n">
        <x:v>1784</x:v>
      </x:c>
      <x:c r="B1788" s="22" t="str">
        <x:v>基准人物可承受普通单击</x:v>
      </x:c>
      <x:c r="C1788" s="22" t="str">
        <x:v>通过</x:v>
      </x:c>
      <x:c r="D1788" s="22" t="str">
        <x:v>C10-M029:XX957</x:v>
      </x:c>
    </x:row>
    <x:row r="1789" ht="24" customHeight="1">
      <x:c r="A1789" s="22" t="n">
        <x:v>1785</x:v>
      </x:c>
      <x:c r="B1789" s="22" t="str">
        <x:v>基准人物可承受普通单击</x:v>
      </x:c>
      <x:c r="C1789" s="22" t="str">
        <x:v>通过</x:v>
      </x:c>
      <x:c r="D1789" s="22" t="str">
        <x:v>C10-M030:XX956</x:v>
      </x:c>
    </x:row>
    <x:row r="1790" ht="24" customHeight="1">
      <x:c r="A1790" s="22" t="n">
        <x:v>1786</x:v>
      </x:c>
      <x:c r="B1790" s="22" t="str">
        <x:v>基准人物可承受普通单击</x:v>
      </x:c>
      <x:c r="C1790" s="22" t="str">
        <x:v>通过</x:v>
      </x:c>
      <x:c r="D1790" s="22" t="str">
        <x:v>C10-M031:XX954</x:v>
      </x:c>
    </x:row>
    <x:row r="1791" ht="24" customHeight="1">
      <x:c r="A1791" s="22" t="n">
        <x:v>1787</x:v>
      </x:c>
      <x:c r="B1791" s="22" t="str">
        <x:v>基准人物可承受普通单击</x:v>
      </x:c>
      <x:c r="C1791" s="22" t="str">
        <x:v>通过</x:v>
      </x:c>
      <x:c r="D1791" s="22" t="str">
        <x:v>C10-M032:XX953</x:v>
      </x:c>
    </x:row>
    <x:row r="1792" ht="24" customHeight="1">
      <x:c r="A1792" s="22" t="n">
        <x:v>1788</x:v>
      </x:c>
      <x:c r="B1792" s="22" t="str">
        <x:v>基准人物可承受普通单击</x:v>
      </x:c>
      <x:c r="C1792" s="22" t="str">
        <x:v>通过</x:v>
      </x:c>
      <x:c r="D1792" s="22" t="str">
        <x:v>C10-M033:XX957</x:v>
      </x:c>
    </x:row>
    <x:row r="1793" ht="24" customHeight="1">
      <x:c r="A1793" s="22" t="n">
        <x:v>1789</x:v>
      </x:c>
      <x:c r="B1793" s="22" t="str">
        <x:v>基准人物可承受普通单击</x:v>
      </x:c>
      <x:c r="C1793" s="22" t="str">
        <x:v>通过</x:v>
      </x:c>
      <x:c r="D1793" s="22" t="str">
        <x:v>C10-M034:XX956</x:v>
      </x:c>
    </x:row>
    <x:row r="1794" ht="24" customHeight="1">
      <x:c r="A1794" s="22" t="n">
        <x:v>1790</x:v>
      </x:c>
      <x:c r="B1794" s="22" t="str">
        <x:v>基准人物可承受普通单击</x:v>
      </x:c>
      <x:c r="C1794" s="22" t="str">
        <x:v>通过</x:v>
      </x:c>
      <x:c r="D1794" s="22" t="str">
        <x:v>C10-M035:XX957</x:v>
      </x:c>
    </x:row>
    <x:row r="1795" ht="24" customHeight="1">
      <x:c r="A1795" s="22" t="n">
        <x:v>1791</x:v>
      </x:c>
      <x:c r="B1795" s="22" t="str">
        <x:v>基准人物可承受普通单击</x:v>
      </x:c>
      <x:c r="C1795" s="22" t="str">
        <x:v>通过</x:v>
      </x:c>
      <x:c r="D1795" s="22" t="str">
        <x:v>C10-M036:XX956</x:v>
      </x:c>
    </x:row>
    <x:row r="1796" ht="24" customHeight="1">
      <x:c r="A1796" s="22" t="n">
        <x:v>1792</x:v>
      </x:c>
      <x:c r="B1796" s="22" t="str">
        <x:v>基准人物可承受普通单击</x:v>
      </x:c>
      <x:c r="C1796" s="22" t="str">
        <x:v>通过</x:v>
      </x:c>
      <x:c r="D1796" s="22" t="str">
        <x:v>C10-M037:XX707</x:v>
      </x:c>
    </x:row>
    <x:row r="1797" ht="24" customHeight="1">
      <x:c r="A1797" s="22" t="n">
        <x:v>1793</x:v>
      </x:c>
      <x:c r="B1797" s="22" t="str">
        <x:v>基准人物可承受普通单击</x:v>
      </x:c>
      <x:c r="C1797" s="22" t="str">
        <x:v>通过</x:v>
      </x:c>
      <x:c r="D1797" s="22" t="str">
        <x:v>C10-M038:XX707</x:v>
      </x:c>
    </x:row>
    <x:row r="1798" ht="24" customHeight="1">
      <x:c r="A1798" s="22" t="n">
        <x:v>1794</x:v>
      </x:c>
      <x:c r="B1798" s="22" t="str">
        <x:v>基准人物可承受普通单击</x:v>
      </x:c>
      <x:c r="C1798" s="22" t="str">
        <x:v>通过</x:v>
      </x:c>
      <x:c r="D1798" s="22" t="str">
        <x:v>C10-M039:XX708</x:v>
      </x:c>
    </x:row>
    <x:row r="1799" ht="24" customHeight="1">
      <x:c r="A1799" s="22" t="n">
        <x:v>1795</x:v>
      </x:c>
      <x:c r="B1799" s="22" t="str">
        <x:v>基准人物可承受普通单击</x:v>
      </x:c>
      <x:c r="C1799" s="22" t="str">
        <x:v>通过</x:v>
      </x:c>
      <x:c r="D1799" s="22" t="str">
        <x:v>C10-M040:XX708</x:v>
      </x:c>
    </x:row>
    <x:row r="1800" ht="24" customHeight="1">
      <x:c r="A1800" s="22" t="n">
        <x:v>1796</x:v>
      </x:c>
      <x:c r="B1800" s="22" t="str">
        <x:v>基准人物可承受普通单击</x:v>
      </x:c>
      <x:c r="C1800" s="22" t="str">
        <x:v>通过</x:v>
      </x:c>
      <x:c r="D1800" s="22" t="str">
        <x:v>C10-M041:XX704</x:v>
      </x:c>
    </x:row>
    <x:row r="1801" ht="24" customHeight="1">
      <x:c r="A1801" s="22" t="n">
        <x:v>1797</x:v>
      </x:c>
      <x:c r="B1801" s="22" t="str">
        <x:v>基准人物可承受普通单击</x:v>
      </x:c>
      <x:c r="C1801" s="22" t="str">
        <x:v>通过</x:v>
      </x:c>
      <x:c r="D1801" s="22" t="str">
        <x:v>C10-M042:XX704</x:v>
      </x:c>
    </x:row>
    <x:row r="1802" ht="24" customHeight="1">
      <x:c r="A1802" s="22" t="n">
        <x:v>1798</x:v>
      </x:c>
      <x:c r="B1802" s="22" t="str">
        <x:v>基准人物可承受普通单击</x:v>
      </x:c>
      <x:c r="C1802" s="22" t="str">
        <x:v>通过</x:v>
      </x:c>
      <x:c r="D1802" s="22" t="str">
        <x:v>C10-M043:XX707</x:v>
      </x:c>
    </x:row>
    <x:row r="1803" ht="24" customHeight="1">
      <x:c r="A1803" s="22" t="n">
        <x:v>1799</x:v>
      </x:c>
      <x:c r="B1803" s="22" t="str">
        <x:v>基准人物可承受普通单击</x:v>
      </x:c>
      <x:c r="C1803" s="22" t="str">
        <x:v>通过</x:v>
      </x:c>
      <x:c r="D1803" s="22" t="str">
        <x:v>C10-M044:XX708</x:v>
      </x:c>
    </x:row>
    <x:row r="1804" ht="24" customHeight="1">
      <x:c r="A1804" s="22" t="n">
        <x:v>1800</x:v>
      </x:c>
      <x:c r="B1804" s="22" t="str">
        <x:v>基准人物可承受普通单击</x:v>
      </x:c>
      <x:c r="C1804" s="22" t="str">
        <x:v>通过</x:v>
      </x:c>
      <x:c r="D1804" s="22" t="str">
        <x:v>C10-M045:XX708</x:v>
      </x:c>
    </x:row>
    <x:row r="1805" ht="24" customHeight="1">
      <x:c r="A1805" s="22" t="n">
        <x:v>1801</x:v>
      </x:c>
      <x:c r="B1805" s="22" t="str">
        <x:v>基准人物可承受普通单击</x:v>
      </x:c>
      <x:c r="C1805" s="22" t="str">
        <x:v>通过</x:v>
      </x:c>
      <x:c r="D1805" s="22" t="str">
        <x:v>C10-M046:XX704</x:v>
      </x:c>
    </x:row>
    <x:row r="1806" ht="24" customHeight="1">
      <x:c r="A1806" s="22" t="n">
        <x:v>1802</x:v>
      </x:c>
      <x:c r="B1806" s="22" t="str">
        <x:v>基准人物可承受普通单击</x:v>
      </x:c>
      <x:c r="C1806" s="22" t="str">
        <x:v>通过</x:v>
      </x:c>
      <x:c r="D1806" s="22" t="str">
        <x:v>C10-M047:XX708</x:v>
      </x:c>
    </x:row>
    <x:row r="1807" ht="24" customHeight="1">
      <x:c r="A1807" s="22" t="n">
        <x:v>1803</x:v>
      </x:c>
      <x:c r="B1807" s="22" t="str">
        <x:v>基准人物可承受普通单击</x:v>
      </x:c>
      <x:c r="C1807" s="22" t="str">
        <x:v>通过</x:v>
      </x:c>
      <x:c r="D1807" s="22" t="str">
        <x:v>C10-M048:XX704</x:v>
      </x:c>
    </x:row>
    <x:row r="1808" ht="24" customHeight="1">
      <x:c r="A1808" s="22" t="n">
        <x:v>1804</x:v>
      </x:c>
      <x:c r="B1808" s="22" t="str">
        <x:v>基准人物可承受普通单击</x:v>
      </x:c>
      <x:c r="C1808" s="22" t="str">
        <x:v>通过</x:v>
      </x:c>
      <x:c r="D1808" s="22" t="str">
        <x:v>C10-M049:XX371</x:v>
      </x:c>
    </x:row>
    <x:row r="1809" ht="24" customHeight="1">
      <x:c r="A1809" s="22" t="n">
        <x:v>1805</x:v>
      </x:c>
      <x:c r="B1809" s="22" t="str">
        <x:v>基准人物可承受普通单击</x:v>
      </x:c>
      <x:c r="C1809" s="22" t="str">
        <x:v>通过</x:v>
      </x:c>
      <x:c r="D1809" s="22" t="str">
        <x:v>C10-M050:XX371</x:v>
      </x:c>
    </x:row>
    <x:row r="1810" ht="24" customHeight="1">
      <x:c r="A1810" s="22" t="n">
        <x:v>1806</x:v>
      </x:c>
      <x:c r="B1810" s="22" t="str">
        <x:v>基准人物可承受普通单击</x:v>
      </x:c>
      <x:c r="C1810" s="22" t="str">
        <x:v>通过</x:v>
      </x:c>
      <x:c r="D1810" s="22" t="str">
        <x:v>C10-M051:XX372</x:v>
      </x:c>
    </x:row>
    <x:row r="1811" ht="24" customHeight="1">
      <x:c r="A1811" s="22" t="n">
        <x:v>1807</x:v>
      </x:c>
      <x:c r="B1811" s="22" t="str">
        <x:v>基准人物可承受普通单击</x:v>
      </x:c>
      <x:c r="C1811" s="22" t="str">
        <x:v>通过</x:v>
      </x:c>
      <x:c r="D1811" s="22" t="str">
        <x:v>C10-M052:XX463</x:v>
      </x:c>
    </x:row>
    <x:row r="1812" ht="24" customHeight="1">
      <x:c r="A1812" s="22" t="n">
        <x:v>1808</x:v>
      </x:c>
      <x:c r="B1812" s="22" t="str">
        <x:v>基准人物可承受普通单击</x:v>
      </x:c>
      <x:c r="C1812" s="22" t="str">
        <x:v>通过</x:v>
      </x:c>
      <x:c r="D1812" s="22" t="str">
        <x:v>C10-M053:XX370</x:v>
      </x:c>
    </x:row>
    <x:row r="1813" ht="24" customHeight="1">
      <x:c r="A1813" s="22" t="n">
        <x:v>1809</x:v>
      </x:c>
      <x:c r="B1813" s="22" t="str">
        <x:v>基准人物可承受普通单击</x:v>
      </x:c>
      <x:c r="C1813" s="22" t="str">
        <x:v>通过</x:v>
      </x:c>
      <x:c r="D1813" s="22" t="str">
        <x:v>C10-M054:XX386</x:v>
      </x:c>
    </x:row>
    <x:row r="1814" ht="24" customHeight="1">
      <x:c r="A1814" s="22" t="n">
        <x:v>1810</x:v>
      </x:c>
      <x:c r="B1814" s="22" t="str">
        <x:v>基准人物可承受普通单击</x:v>
      </x:c>
      <x:c r="C1814" s="22" t="str">
        <x:v>通过</x:v>
      </x:c>
      <x:c r="D1814" s="22" t="str">
        <x:v>C10-M055:XX371</x:v>
      </x:c>
    </x:row>
    <x:row r="1815" ht="24" customHeight="1">
      <x:c r="A1815" s="22" t="n">
        <x:v>1811</x:v>
      </x:c>
      <x:c r="B1815" s="22" t="str">
        <x:v>基准人物可承受普通单击</x:v>
      </x:c>
      <x:c r="C1815" s="22" t="str">
        <x:v>通过</x:v>
      </x:c>
      <x:c r="D1815" s="22" t="str">
        <x:v>C10-M056:XX372</x:v>
      </x:c>
    </x:row>
    <x:row r="1816" ht="24" customHeight="1">
      <x:c r="A1816" s="22" t="n">
        <x:v>1812</x:v>
      </x:c>
      <x:c r="B1816" s="22" t="str">
        <x:v>基准人物可承受普通单击</x:v>
      </x:c>
      <x:c r="C1816" s="22" t="str">
        <x:v>通过</x:v>
      </x:c>
      <x:c r="D1816" s="22" t="str">
        <x:v>C10-M057:XX463</x:v>
      </x:c>
    </x:row>
    <x:row r="1817" ht="24" customHeight="1">
      <x:c r="A1817" s="22" t="n">
        <x:v>1813</x:v>
      </x:c>
      <x:c r="B1817" s="22" t="str">
        <x:v>基准人物可承受普通单击</x:v>
      </x:c>
      <x:c r="C1817" s="22" t="str">
        <x:v>通过</x:v>
      </x:c>
      <x:c r="D1817" s="22" t="str">
        <x:v>C10-M058:XX370</x:v>
      </x:c>
    </x:row>
    <x:row r="1818" ht="24" customHeight="1">
      <x:c r="A1818" s="22" t="n">
        <x:v>1814</x:v>
      </x:c>
      <x:c r="B1818" s="22" t="str">
        <x:v>基准人物可承受普通单击</x:v>
      </x:c>
      <x:c r="C1818" s="22" t="str">
        <x:v>通过</x:v>
      </x:c>
      <x:c r="D1818" s="22" t="str">
        <x:v>C10-M059:XX370</x:v>
      </x:c>
    </x:row>
    <x:row r="1819" ht="24" customHeight="1">
      <x:c r="A1819" s="22" t="n">
        <x:v>1815</x:v>
      </x:c>
      <x:c r="B1819" s="22" t="str">
        <x:v>基准人物可承受普通单击</x:v>
      </x:c>
      <x:c r="C1819" s="22" t="str">
        <x:v>通过</x:v>
      </x:c>
      <x:c r="D1819" s="22" t="str">
        <x:v>C10-M060:XX386</x:v>
      </x:c>
    </x:row>
    <x:row r="1820" ht="24" customHeight="1">
      <x:c r="A1820" s="22" t="n">
        <x:v>1816</x:v>
      </x:c>
      <x:c r="B1820" s="22" t="str">
        <x:v>基准人物可承受普通单击</x:v>
      </x:c>
      <x:c r="C1820" s="22" t="str">
        <x:v>通过</x:v>
      </x:c>
      <x:c r="D1820" s="22" t="str">
        <x:v>C10-M061:XX386</x:v>
      </x:c>
    </x:row>
    <x:row r="1821" ht="24" customHeight="1">
      <x:c r="A1821" s="22" t="n">
        <x:v>1817</x:v>
      </x:c>
      <x:c r="B1821" s="22" t="str">
        <x:v>装备原始817不改</x:v>
      </x:c>
      <x:c r="C1821" s="22" t="str">
        <x:v>通过</x:v>
      </x:c>
      <x:c r="D1821" s="22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54" hidden="0" customWidth="1"/>
    <x:col min="4" max="4" width="80" hidden="0" customWidth="1"/>
  </x:cols>
  <x:sheetData>
    <x:row r="1" ht="32" customHeight="1">
      <x:c r="A1" s="3" t="str">
        <x:v>设计值与未证明的事项</x:v>
      </x:c>
      <x:c r="B1" s="3"/>
      <x:c r="C1" s="3"/>
      <x:c r="D1" s="3"/>
    </x:row>
    <x:row r="4" ht="30" customHeight="1">
      <x:c r="A4" s="15" t="str">
        <x:v>类型</x:v>
      </x:c>
      <x:c r="B4" s="15" t="str">
        <x:v>对象</x:v>
      </x:c>
      <x:c r="C4" s="15" t="str">
        <x:v>现状</x:v>
      </x:c>
      <x:c r="D4" s="15" t="str">
        <x:v>处理/限制</x:v>
      </x:c>
    </x:row>
    <x:row r="5" ht="24" customHeight="1">
      <x:c r="A5" s="22" t="str">
        <x:v>必须明确</x:v>
      </x:c>
      <x:c r="B5" s="22" t="str">
        <x:v>普通换装强度</x:v>
      </x:c>
      <x:c r="C5" s="22" t="str">
        <x:v>4/36条裸跳比换装后慢20%以上；20%为自主诊断线</x:v>
      </x:c>
      <x:c r="D5" s="22" t="str">
        <x:v>C3以后多处普通专属被原有合成装压住；未偷偷加强已批准装备。最新推进体验尚不能宣布逐组全部满足。</x:v>
      </x:c>
    </x:row>
    <x:row r="6" ht="24" customHeight="1">
      <x:c r="A6" s="22" t="str">
        <x:v>计算简化</x:v>
      </x:c>
      <x:c r="B6" s="22" t="str">
        <x:v>技能与吸血</x:v>
      </x:c>
      <x:c r="C6" s="22" t="str">
        <x:v>输出×2；吸血×1.3</x:v>
      </x:c>
      <x:c r="D6" s="22" t="str">
        <x:v>替代逐技能事件模拟；现有群攻已含在效率系数内，不再重复额外叠加。</x:v>
      </x:c>
    </x:row>
    <x:row r="7" ht="24" customHeight="1">
      <x:c r="A7" s="22" t="str">
        <x:v>实施边界</x:v>
      </x:c>
      <x:c r="B7" s="22" t="str">
        <x:v>地图变量</x:v>
      </x:c>
      <x:c r="C7" s="22" t="str">
        <x:v>同图只一组</x:v>
      </x:c>
      <x:c r="D7" s="22" t="str">
        <x:v>8张守关共享地图的普通怪/BOSS也读取同一要求；不新建地图。</x:v>
      </x:c>
    </x:row>
    <x:row r="8" ht="24" customHeight="1">
      <x:c r="A8" s="22" t="str">
        <x:v>实施边界</x:v>
      </x:c>
      <x:c r="B8" s="22" t="str">
        <x:v>C1地图号</x:v>
      </x:c>
      <x:c r="C8" s="22" t="str">
        <x:v>11张按原地图组/层名</x:v>
      </x:c>
      <x:c r="D8" s="22" t="str">
        <x:v>只缺正式地图号映射，不能把层名当成真实代码写入服务器。</x:v>
      </x:c>
    </x:row>
    <x:row r="9" ht="24" customHeight="1">
      <x:c r="A9" s="22" t="str">
        <x:v>实施边界</x:v>
      </x:c>
      <x:c r="B9" s="22" t="str">
        <x:v>模型与字段</x:v>
      </x:c>
      <x:c r="C9" s="22" t="str">
        <x:v>C2继承61模型号，未核实部分留空</x:v>
      </x:c>
      <x:c r="D9" s="22" t="str">
        <x:v>空Appr/SPEED不是清零；必须按名称更新已存在记录。大数值HP需平台确认容量。</x:v>
      </x:c>
    </x:row>
    <x:row r="10" ht="24" customHeight="1">
      <x:c r="A10" s="22" t="str">
        <x:v>范围保护</x:v>
      </x:c>
      <x:c r="B10" s="22" t="str">
        <x:v>追梦与用户私改称号</x:v>
      </x:c>
      <x:c r="C10" s="22" t="str">
        <x:v>不参与普通/70参考人物</x:v>
      </x:c>
      <x:c r="D10" s="22" t="str">
        <x:v>未取得真实最新属性的压力上限不编造。</x:v>
      </x:c>
    </x:row>
    <x:row r="11" ht="24" customHeight="1">
      <x:c r="A11" s="22" t="str">
        <x:v>经济边界</x:v>
      </x:c>
      <x:c r="B11" s="22" t="str">
        <x:v>大数值不是重复乘100</x:v>
      </x:c>
      <x:c r="C11" s="22" t="str">
        <x:v>配方合计由单价与次数相乘</x:v>
      </x:c>
      <x:c r="D11" s="22" t="str">
        <x:v>爆率未定，获取时间、币产/小时与失色供需速度没有被证明。</x:v>
      </x:c>
    </x:row>
    <x:row r="12" ht="24" customHeight="1">
      <x:c r="A12" s="22" t="str">
        <x:v>概率边界</x:v>
      </x:c>
      <x:c r="B12" s="22" t="str">
        <x:v>5400内容候选行</x:v>
      </x:c>
      <x:c r="C12" s="22" t="str">
        <x:v>每条概率留空</x:v>
      </x:c>
      <x:c r="D12" s="22" t="str">
        <x:v>兼掉池/神器池候选不能被当作每件各独立一次随机；数量是本轮可调整规划。</x:v>
      </x:c>
    </x:row>
  </x:sheetData>
  <x:mergeCells>
    <x:mergeCell ref="A1:D1"/>
  </x:mergeCells>
  <x:pageMargins left="0.7" right="0.7" top="0.75" bottom="0.75" header="0.3" footer="0.3"/>
</x:worksheet>
</file>