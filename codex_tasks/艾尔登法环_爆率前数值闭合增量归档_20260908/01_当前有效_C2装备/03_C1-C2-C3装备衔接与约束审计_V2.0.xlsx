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225911f0e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果与边界" sheetId="1" r:id="Rf81f73dfaa1340bd"/>
    <x:sheet xmlns:r="http://schemas.openxmlformats.org/officeDocument/2006/relationships" name="01_比较参数" sheetId="2" r:id="Rc3296cb936184a64"/>
    <x:sheet xmlns:r="http://schemas.openxmlformats.org/officeDocument/2006/relationships" name="02_单件比较输入" sheetId="3" r:id="Rc241b105d00f4489"/>
    <x:sheet xmlns:r="http://schemas.openxmlformats.org/officeDocument/2006/relationships" name="03_同槽跨阶段" sheetId="4" r:id="R0b1ffa3a90674d60"/>
    <x:sheet xmlns:r="http://schemas.openxmlformats.org/officeDocument/2006/relationships" name="04_背景敏感性" sheetId="5" r:id="R036aa67f03234e45"/>
    <x:sheet xmlns:r="http://schemas.openxmlformats.org/officeDocument/2006/relationships" name="05_现有合成衔接" sheetId="6" r:id="Rff97c7421efd4fa9"/>
    <x:sheet xmlns:r="http://schemas.openxmlformats.org/officeDocument/2006/relationships" name="06_攻速与吸收" sheetId="7" r:id="R77c74805269b4b1d"/>
    <x:sheet xmlns:r="http://schemas.openxmlformats.org/officeDocument/2006/relationships" name="07_生肖累计核查" sheetId="8" r:id="R5d6e97f370a94dd6"/>
    <x:sheet xmlns:r="http://schemas.openxmlformats.org/officeDocument/2006/relationships" name="08_资源与部署" sheetId="9" r:id="R50fe0741d7b549eb"/>
    <x:sheet xmlns:r="http://schemas.openxmlformats.org/officeDocument/2006/relationships" name="09_来源与检查" sheetId="10" r:id="Ref3b4658667a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#,##0.00"/>
    <x:numFmt numFmtId="203" formatCode="0"/>
    <x:numFmt numFmtId="204" formatCode="0.000&quot;×&quot;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22"/>
      <x:color rgb="FF1F4E78"/>
      <x:name val="Carlito"/>
    </x:font>
    <x:font>
      <x:sz val="10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3F8"/>
      </x:patternFill>
    </x:fill>
    <x:fill>
      <x:patternFill patternType="solid">
        <x:fgColor rgb="FFFFF2D5"/>
      </x:patternFill>
    </x:fill>
    <x:fill>
      <x:patternFill patternType="solid">
        <x:fgColor rgb="FF146B6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92c28341f40a7" /><Relationship Type="http://schemas.openxmlformats.org/officeDocument/2006/relationships/theme" Target="/xl/theme/theme1.xml" Id="Rba883faa36a743af" /><Relationship Type="http://schemas.openxmlformats.org/officeDocument/2006/relationships/sharedStrings" Target="/xl/sharedStrings.xml" Id="Ra1258bb2c8b749c2" /><Relationship Type="http://schemas.openxmlformats.org/officeDocument/2006/relationships/worksheet" Target="/xl/worksheets/sheet1.xml" Id="Rf81f73dfaa1340bd" /><Relationship Type="http://schemas.openxmlformats.org/officeDocument/2006/relationships/worksheet" Target="/xl/worksheets/sheet2.xml" Id="Rc3296cb936184a64" /><Relationship Type="http://schemas.openxmlformats.org/officeDocument/2006/relationships/worksheet" Target="/xl/worksheets/sheet3.xml" Id="Rc241b105d00f4489" /><Relationship Type="http://schemas.openxmlformats.org/officeDocument/2006/relationships/worksheet" Target="/xl/worksheets/sheet4.xml" Id="R0b1ffa3a90674d60" /><Relationship Type="http://schemas.openxmlformats.org/officeDocument/2006/relationships/worksheet" Target="/xl/worksheets/sheet5.xml" Id="R036aa67f03234e45" /><Relationship Type="http://schemas.openxmlformats.org/officeDocument/2006/relationships/worksheet" Target="/xl/worksheets/sheet6.xml" Id="Rff97c7421efd4fa9" /><Relationship Type="http://schemas.openxmlformats.org/officeDocument/2006/relationships/worksheet" Target="/xl/worksheets/sheet7.xml" Id="R77c74805269b4b1d" /><Relationship Type="http://schemas.openxmlformats.org/officeDocument/2006/relationships/worksheet" Target="/xl/worksheets/sheet8.xml" Id="R5d6e97f370a94dd6" /><Relationship Type="http://schemas.openxmlformats.org/officeDocument/2006/relationships/worksheet" Target="/xl/worksheets/sheet9.xml" Id="R50fe0741d7b549eb" /><Relationship Type="http://schemas.openxmlformats.org/officeDocument/2006/relationships/worksheet" Target="/xl/worksheets/sheet10.xml" Id="Ref3b4658667a48d0" /></Relationships>
</file>

<file path=xl/tables/table1.xml><?xml version="1.0" encoding="utf-8"?>
<x:table xmlns:x="http://schemas.openxmlformats.org/spreadsheetml/2006/main" id="1" name="T815764355913" displayName="T815764355913" ref="A1:Z205" headerRowCount="1" totalsRowCount="0" totalsRowShown="0">
  <x:tableColumns count="26">
    <x:tableColumn id="1" name="装备"/>
    <x:tableColumn id="2" name="来源版本"/>
    <x:tableColumn id="3" name="部位"/>
    <x:tableColumn id="4" name="攻击上限"/>
    <x:tableColumn id="5" name="攻击加成"/>
    <x:tableColumn id="6" name="怪伤"/>
    <x:tableColumn id="7" name="攻击伤害"/>
    <x:tableColumn id="8" name="暴伤"/>
    <x:tableColumn id="9" name="暴击率增量"/>
    <x:tableColumn id="10" name="致命率增量"/>
    <x:tableColumn id="11" name="致命伤害"/>
    <x:tableColumn id="12" name="神力增量"/>
    <x:tableColumn id="13" name="伤害系数"/>
    <x:tableColumn id="14" name="HP"/>
    <x:tableColumn id="15" name="HP百分比"/>
    <x:tableColumn id="16" name="防御上限"/>
    <x:tableColumn id="17" name="实际吸收原始值"/>
    <x:tableColumn id="18" name="吸收上限增加"/>
    <x:tableColumn id="19" name="突破"/>
    <x:tableColumn id="20" name="普通攻速"/>
    <x:tableColumn id="21" name="处决概率"/>
    <x:tableColumn id="22" name="基础爆率"/>
    <x:tableColumn id="23" name="最大爆率"/>
    <x:tableColumn id="24" name="同背景单刀参考"/>
    <x:tableColumn id="25" name="单件边际贡献"/>
    <x:tableColumn id="26" name="洗练单条攻击上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86177661985" displayName="T186177661985" ref="A1:K24" headerRowCount="1" totalsRowCount="0" totalsRowShown="0">
  <x:tableColumns count="11">
    <x:tableColumn id="1" name="旧件/基准"/>
    <x:tableColumn id="2" name="新件/比较"/>
    <x:tableColumn id="3" name="同一部位"/>
    <x:tableColumn id="4" name="面板攻击比"/>
    <x:tableColumn id="5" name="单件常规贡献比"/>
    <x:tableColumn id="6" name="整人单刀比"/>
    <x:tableColumn id="7" name="HP差"/>
    <x:tableColumn id="8" name="吸收差"/>
    <x:tableColumn id="9" name="上限差"/>
    <x:tableColumn id="10" name="突破差"/>
    <x:tableColumn id="11" name="语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44359099133" displayName="T244359099133" ref="A1:H70" headerRowCount="1" totalsRowCount="0" totalsRowShown="0">
  <x:tableColumns count="8">
    <x:tableColumn id="1" name="基准件"/>
    <x:tableColumn id="2" name="比较件"/>
    <x:tableColumn id="3" name="其余攻击"/>
    <x:tableColumn id="4" name="不含单件输出"/>
    <x:tableColumn id="5" name="装基准输出"/>
    <x:tableColumn id="6" name="装比较输出"/>
    <x:tableColumn id="7" name="单件贡献比"/>
    <x:tableColumn id="8" name="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871063585598" displayName="T871063585598" ref="A1:G5" headerRowCount="1" totalsRowCount="0" totalsRowShown="0">
  <x:tableColumns count="7">
    <x:tableColumn id="1" name="原基础件"/>
    <x:tableColumn id="2" name="既有成品"/>
    <x:tableColumn id="3" name="部位"/>
    <x:tableColumn id="4" name="攻击面板比"/>
    <x:tableColumn id="5" name="单件贡献比"/>
    <x:tableColumn id="6" name="整人单刀比"/>
    <x:tableColumn id="7" name="比较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29512129275" displayName="T429512129275" ref="A1:J7" headerRowCount="1" totalsRowCount="0" totalsRowShown="0">
  <x:tableColumns count="10">
    <x:tableColumn id="1" name="情景"/>
    <x:tableColumn id="2" name="主手普通攻速"/>
    <x:tableColumn id="3" name="命格一普通攻速"/>
    <x:tableColumn id="4" name="命格二普通攻速"/>
    <x:tableColumn id="5" name="装备突破"/>
    <x:tableColumn id="6" name="命格突破"/>
    <x:tableColumn id="7" name="基础上限"/>
    <x:tableColumn id="8" name="原始速度"/>
    <x:tableColumn id="9" name="有效速度"/>
    <x:tableColumn id="10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22674795454" displayName="T222674795454" ref="A1:K13" headerRowCount="1" totalsRowCount="0" totalsRowShown="0">
  <x:tableColumns count="11">
    <x:tableColumn id="1" name="部位"/>
    <x:tableColumn id="2" name="装备"/>
    <x:tableColumn id="3" name="攻击上限"/>
    <x:tableColumn id="4" name="攻击加成"/>
    <x:tableColumn id="5" name="怪伤"/>
    <x:tableColumn id="6" name="攻击伤害"/>
    <x:tableColumn id="7" name="HP"/>
    <x:tableColumn id="8" name="吸收"/>
    <x:tableColumn id="9" name="突破"/>
    <x:tableColumn id="10" name="处决"/>
    <x:tableColumn id="11" name="最大爆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84908567698" displayName="T784908567698" ref="A1:C10" headerRowCount="1" totalsRowCount="0" totalsRowShown="0">
  <x:tableColumns count="3">
    <x:tableColumn id="1" name="检查点"/>
    <x:tableColumn id="2" name="本轮处理"/>
    <x:tableColumn id="3" name="限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530426946777" displayName="T530426946777" ref="A1:D12" headerRowCount="1" totalsRowCount="0" totalsRowShown="0">
  <x:tableColumns count="4">
    <x:tableColumn id="1" name="来源键"/>
    <x:tableColumn id="2" name="文件"/>
    <x:tableColumn id="3" name="SHA256"/>
    <x:tableColumn id="4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552e2f5c2e641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1308bb5bc5342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72741d3598c42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0978d93b8be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74d558355649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a82afa02ea48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5bc16c4ceb54b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319d1c8953046f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36" customHeight="1">
      <x:c r="A1" s="3" t="str">
        <x:v>第二大陆装备重做｜C1—C2—C3衔接审核 V2.0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7" t="str">
        <x:v>本批完成装备属性与编号映射；没有生成怪物属性、最终掉率或新的40组完整人物。C1与C3及以后装备保持只读。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t="str">
        <x:v>专属</x:v>
      </x:c>
      <x:c r="D4" t="str">
        <x:v>制式</x:v>
      </x:c>
      <x:c r="G4" t="str">
        <x:v>合计</x:v>
      </x:c>
    </x:row>
    <x:row r="5" ht="37" customHeight="1">
      <x:c r="A5" s="10" t="n">
        <x:v>61</x:v>
      </x:c>
      <x:c r="B5" s="10"/>
      <x:c r="D5" s="10" t="n">
        <x:v>80</x:v>
      </x:c>
      <x:c r="E5" s="10"/>
      <x:c r="G5" s="10" t="n">
        <x:v>141</x:v>
      </x:c>
      <x:c r="H5" s="10"/>
    </x:row>
    <x:row r="8" ht="50" customHeight="1">
      <x:c r="A8" s="18" t="str">
        <x:v>本轮主线</x:v>
      </x:c>
      <x:c r="B8" s="18"/>
      <x:c r="C8" s="14" t="str">
        <x:v>保留原物品身份</x:v>
      </x:c>
      <x:c r="D8" s="14"/>
      <x:c r="E8" s="14" t="str">
        <x:v>5地图组原61件：含10时装、12生肖；不改怪物来源，不追加BOSS武器。</x:v>
      </x:c>
      <x:c r="F8" s="14"/>
      <x:c r="G8" s="14"/>
      <x:c r="H8" s="14"/>
      <x:c r="I8" s="14"/>
      <x:c r="J8" s="14"/>
    </x:row>
    <x:row r="9" ht="50" customHeight="1">
      <x:c r="A9" s="18" t="str">
        <x:v>制式曲线</x:v>
      </x:c>
      <x:c r="B9" s="18"/>
      <x:c r="C9" s="14" t="str">
        <x:v>300→525</x:v>
      </x:c>
      <x:c r="D9" s="14"/>
      <x:c r="E9" s="14" t="str">
        <x:v>后10套武器上限300/325/350/375/400/425/450/475/500/525；只作过渡和货币回收。</x:v>
      </x:c>
      <x:c r="F9" s="14"/>
      <x:c r="G9" s="14"/>
      <x:c r="H9" s="14"/>
      <x:c r="I9" s="14"/>
      <x:c r="J9" s="14"/>
    </x:row>
    <x:row r="10" ht="50" customHeight="1">
      <x:c r="A10" s="18" t="str">
        <x:v>专属路线</x:v>
      </x:c>
      <x:c r="B10" s="18"/>
      <x:c r="C10" s="14" t="str">
        <x:v>高基础／高加成</x:v>
      </x:c>
      <x:c r="D10" s="14"/>
      <x:c r="E10" s="14" t="str">
        <x:v>5主手全部来自普通怪，2把偏高攻击加成、3把偏高基础攻击；不伪装成BOSS主手。</x:v>
      </x:c>
      <x:c r="F10" s="14"/>
      <x:c r="G10" s="14"/>
      <x:c r="H10" s="14"/>
      <x:c r="I10" s="14"/>
      <x:c r="J10" s="14"/>
    </x:row>
    <x:row r="11" ht="50" customHeight="1">
      <x:c r="A11" s="18" t="str">
        <x:v>衔接比较</x:v>
      </x:c>
      <x:c r="B11" s="18"/>
      <x:c r="C11" s="14" t="str">
        <x:v>只比相同穿戴槽</x:v>
      </x:c>
      <x:c r="D11" s="14"/>
      <x:c r="E11" s="14" t="str">
        <x:v>同背景攻击1500只是比较刻度；600与4000做敏感性，不是真实完整人物。</x:v>
      </x:c>
      <x:c r="F11" s="14"/>
      <x:c r="G11" s="14"/>
      <x:c r="H11" s="14"/>
      <x:c r="I11" s="14"/>
      <x:c r="J11" s="14"/>
    </x:row>
    <x:row r="12" ht="50" customHeight="1">
      <x:c r="A12" s="18" t="str">
        <x:v>成长装备</x:v>
      </x:c>
      <x:c r="B12" s="18"/>
      <x:c r="C12" s="14" t="str">
        <x:v>C1不动；C2各280</x:v>
      </x:c>
      <x:c r="D12" s="14"/>
      <x:c r="E12" s="14" t="str">
        <x:v>参考人物背景明确含两件共560；不是另外再给560。功能、灵符和材料成本不变。</x:v>
      </x:c>
      <x:c r="F12" s="14"/>
      <x:c r="G12" s="14"/>
      <x:c r="H12" s="14"/>
      <x:c r="I12" s="14"/>
      <x:c r="J12" s="14"/>
    </x:row>
    <x:row r="13" ht="50" customHeight="1">
      <x:c r="A13" s="18" t="str">
        <x:v>命格</x:v>
      </x:c>
      <x:c r="B13" s="18"/>
      <x:c r="C13" s="14" t="str">
        <x:v>彩色核心+5突破</x:v>
      </x:c>
      <x:c r="D13" s="14"/>
      <x:c r="E13" s="14" t="str">
        <x:v>使用当前ID1087/1088；已开放槽位全彩不意味着自动满8槽或任意全彩必有5点突破。</x:v>
      </x:c>
      <x:c r="F13" s="14"/>
      <x:c r="G13" s="14"/>
      <x:c r="H13" s="14"/>
      <x:c r="I13" s="14"/>
      <x:c r="J13" s="14"/>
    </x:row>
    <x:row r="14" ht="50" customHeight="1">
      <x:c r="A14" s="18" t="str">
        <x:v>幸运／洗练</x:v>
      </x:c>
      <x:c r="B14" s="18"/>
      <x:c r="C14" s="14" t="str">
        <x:v>绑定关系不变</x:v>
      </x:c>
      <x:c r="D14" s="14"/>
      <x:c r="E14" s="14" t="str">
        <x:v>项链幸运属于人物，武器幸运7成本忽略；洗练属于装备实例，本轮比较不含随机洗练。</x:v>
      </x:c>
      <x:c r="F14" s="14"/>
      <x:c r="G14" s="14"/>
      <x:c r="H14" s="14"/>
      <x:c r="I14" s="14"/>
      <x:c r="J14" s="14"/>
    </x:row>
    <x:row r="15" ht="50" customHeight="1">
      <x:c r="A15" s="18" t="str">
        <x:v>来源编号</x:v>
      </x:c>
      <x:c r="B15" s="18"/>
      <x:c r="C15" s="14" t="str">
        <x:v>29保留＋12恢复＋20复用</x:v>
      </x:c>
      <x:c r="D15" s="14"/>
      <x:c r="E15" s="14" t="str">
        <x:v>本轮所有61件均填写；20个新增视觉映射不是新建数据库Idx。</x:v>
      </x:c>
      <x:c r="F15" s="14"/>
      <x:c r="G15" s="14"/>
      <x:c r="H15" s="14"/>
      <x:c r="I15" s="14"/>
      <x:c r="J15" s="14"/>
    </x:row>
    <x:row r="16" ht="50" customHeight="1">
      <x:c r="A16" s="18" t="str">
        <x:v>保护边界</x:v>
      </x:c>
      <x:c r="B16" s="18"/>
      <x:c r="C16" s="14" t="str">
        <x:v>原6追梦、16称号卷不动</x:v>
      </x:c>
      <x:c r="D16" s="14"/>
      <x:c r="E16" s="14" t="str">
        <x:v>未修改C1 V4、C3+、合成38、NPC V1.4、命格V2.0、回收价格或任何服务器文件。</x:v>
      </x:c>
      <x:c r="F16" s="14"/>
      <x:c r="G16" s="14"/>
      <x:c r="H16" s="14"/>
      <x:c r="I16" s="14"/>
      <x:c r="J16" s="14"/>
    </x:row>
    <x:row r="17" ht="50" customHeight="1">
      <x:c r="A17" s="18" t="str">
        <x:v>已发现的遗留风险</x:v>
      </x:c>
      <x:c r="B17" s="18"/>
      <x:c r="C17" s="14" t="str">
        <x:v>C1样板仍有14个空编号</x:v>
      </x:c>
      <x:c r="D17" s="14"/>
      <x:c r="E17" s="14" t="str">
        <x:v>属于已存在的上游缺口，本轮不擅自补写；部署前按本机已安装资源回读。</x:v>
      </x:c>
      <x:c r="F17" s="14"/>
      <x:c r="G17" s="14"/>
      <x:c r="H17" s="14"/>
      <x:c r="I17" s="14"/>
      <x:c r="J17" s="14"/>
    </x:row>
    <x:row r="18" ht="50" customHeight="1">
      <x:c r="A18" s="18" t="str">
        <x:v>当前结果级别</x:v>
      </x:c>
      <x:c r="B18" s="18"/>
      <x:c r="C18" s="14" t="str">
        <x:v>设计审核</x:v>
      </x:c>
      <x:c r="D18" s="14"/>
      <x:c r="E18" s="14" t="str">
        <x:v>文件校验≠游戏内验证；完整人物、怪物和产出不能继续使用旧40人结论。</x:v>
      </x:c>
      <x:c r="F18" s="14"/>
      <x:c r="G18" s="14"/>
      <x:c r="H18" s="14"/>
      <x:c r="I18" s="14"/>
      <x:c r="J18" s="14"/>
    </x:row>
  </x:sheetData>
  <x:mergeCells>
    <x:mergeCell ref="A1:J1"/>
    <x:mergeCell ref="A2:J2"/>
    <x:mergeCell ref="A4:B4"/>
    <x:mergeCell ref="A5:B5"/>
    <x:mergeCell ref="D4:E4"/>
    <x:mergeCell ref="D5:E5"/>
    <x:mergeCell ref="G4:H4"/>
    <x:mergeCell ref="G5:H5"/>
    <x:mergeCell ref="A8:B8"/>
    <x:mergeCell ref="C8:D8"/>
    <x:mergeCell ref="E8:J8"/>
    <x:mergeCell ref="A9:B9"/>
    <x:mergeCell ref="C9:D9"/>
    <x:mergeCell ref="E9:J9"/>
    <x:mergeCell ref="A10:B10"/>
    <x:mergeCell ref="C10:D10"/>
    <x:mergeCell ref="E10:J10"/>
    <x:mergeCell ref="A11:B11"/>
    <x:mergeCell ref="C11:D11"/>
    <x:mergeCell ref="E11:J11"/>
    <x:mergeCell ref="A12:B12"/>
    <x:mergeCell ref="C12:D12"/>
    <x:mergeCell ref="E12:J12"/>
    <x:mergeCell ref="A13:B13"/>
    <x:mergeCell ref="C13:D13"/>
    <x:mergeCell ref="E13:J13"/>
    <x:mergeCell ref="A14:B14"/>
    <x:mergeCell ref="C14:D14"/>
    <x:mergeCell ref="E14:J14"/>
    <x:mergeCell ref="A15:B15"/>
    <x:mergeCell ref="C15:D15"/>
    <x:mergeCell ref="E15:J15"/>
    <x:mergeCell ref="A16:B16"/>
    <x:mergeCell ref="C16:D16"/>
    <x:mergeCell ref="E16:J16"/>
    <x:mergeCell ref="A17:B17"/>
    <x:mergeCell ref="C17:D17"/>
    <x:mergeCell ref="E17:J17"/>
    <x:mergeCell ref="A18:B18"/>
    <x:mergeCell ref="C18:D18"/>
    <x:mergeCell ref="E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72" hidden="0" customWidth="1"/>
  </x:cols>
  <x:sheetData>
    <x:row r="1" ht="36" customHeight="1">
      <x:c r="A1" s="27" t="str">
        <x:v>参数</x:v>
      </x:c>
      <x:c r="B1" s="27" t="str">
        <x:v>值</x:v>
      </x:c>
      <x:c r="C1" s="27" t="str">
        <x:v>说明</x:v>
      </x:c>
    </x:row>
    <x:row r="2" ht="36" customHeight="1">
      <x:c r="A2" s="22" t="str">
        <x:v>其余基础攻击</x:v>
      </x:c>
      <x:c r="B2" s="22" t="n">
        <x:f>B3+B4</x:f>
        <x:v>1500</x:v>
      </x:c>
      <x:c r="C2" s="22" t="str">
        <x:v>比较人物不含正在测试的那件装备</x:v>
      </x:c>
    </x:row>
    <x:row r="3" ht="36" customHeight="1">
      <x:c r="A3" s="22" t="str">
        <x:v>其中：两件C2成长装备</x:v>
      </x:c>
      <x:c r="B3" s="22" t="n">
        <x:f>B16*B17</x:f>
        <x:v>560</x:v>
      </x:c>
      <x:c r="C3" s="22" t="str">
        <x:v>圣律真言＋黄金之心，每件280；已含在上一行</x:v>
      </x:c>
    </x:row>
    <x:row r="4" ht="36" customHeight="1">
      <x:c r="A4" s="22" t="str">
        <x:v>其余固定攻击假设</x:v>
      </x:c>
      <x:c r="B4" s="22" t="n">
        <x:v>940</x:v>
      </x:c>
      <x:c r="C4" s="22" t="str">
        <x:v>假设值，用于固定其余装备及成长的贡献；不是实际裸身攻击</x:v>
      </x:c>
    </x:row>
    <x:row r="5" ht="36" customHeight="1">
      <x:c r="A5" s="22" t="str">
        <x:v>其余攻击加成</x:v>
      </x:c>
      <x:c r="B5" s="22" t="n">
        <x:v>120</x:v>
      </x:c>
      <x:c r="C5" s="22" t="str">
        <x:v>百分点；固定背景假设</x:v>
      </x:c>
    </x:row>
    <x:row r="6" ht="36" customHeight="1">
      <x:c r="A6" s="22" t="str">
        <x:v>其余打怪伤害</x:v>
      </x:c>
      <x:c r="B6" s="22" t="n">
        <x:v>60</x:v>
      </x:c>
      <x:c r="C6" s="22" t="str">
        <x:v>百分点；固定背景假设</x:v>
      </x:c>
    </x:row>
    <x:row r="7" ht="36" customHeight="1">
      <x:c r="A7" s="22" t="str">
        <x:v>其余攻击伤害</x:v>
      </x:c>
      <x:c r="B7" s="22" t="n">
        <x:v>25</x:v>
      </x:c>
      <x:c r="C7" s="22" t="str">
        <x:v>百分点；按百分比乘区作本次比较假设</x:v>
      </x:c>
    </x:row>
    <x:row r="8" ht="36" customHeight="1">
      <x:c r="A8" s="22" t="str">
        <x:v>暴击概率</x:v>
      </x:c>
      <x:c r="B8" s="30" t="n">
        <x:v>0.3</x:v>
      </x:c>
      <x:c r="C8" s="22" t="str">
        <x:v>固定30%；不是本轮给装备新增暴击率</x:v>
      </x:c>
    </x:row>
    <x:row r="9" ht="36" customHeight="1">
      <x:c r="A9" s="22" t="str">
        <x:v>其余暴击伤害</x:v>
      </x:c>
      <x:c r="B9" s="22" t="n">
        <x:v>60</x:v>
      </x:c>
      <x:c r="C9" s="22" t="str">
        <x:v>百分点；比较假设</x:v>
      </x:c>
    </x:row>
    <x:row r="10" ht="36" customHeight="1">
      <x:c r="A10" s="22" t="str">
        <x:v>致命概率</x:v>
      </x:c>
      <x:c r="B10" s="30" t="n">
        <x:v>0.02</x:v>
      </x:c>
      <x:c r="C10" s="22" t="str">
        <x:v>固定2%；命格/洗练情景背景，本批装备本体不发致命</x:v>
      </x:c>
    </x:row>
    <x:row r="11" ht="36" customHeight="1">
      <x:c r="A11" s="22" t="str">
        <x:v>其余致命伤害</x:v>
      </x:c>
      <x:c r="B11" s="22" t="n">
        <x:v>10</x:v>
      </x:c>
      <x:c r="C11" s="22" t="str">
        <x:v>百分点；比较假设</x:v>
      </x:c>
    </x:row>
    <x:row r="12" ht="36" customHeight="1">
      <x:c r="A12" s="22" t="str">
        <x:v>暴击基础倍率</x:v>
      </x:c>
      <x:c r="B12" s="22" t="n">
        <x:v>2</x:v>
      </x:c>
      <x:c r="C12" s="22" t="str">
        <x:v>比较假设</x:v>
      </x:c>
    </x:row>
    <x:row r="13" ht="36" customHeight="1">
      <x:c r="A13" s="22" t="str">
        <x:v>致命基础倍率</x:v>
      </x:c>
      <x:c r="B13" s="22" t="n">
        <x:v>2</x:v>
      </x:c>
      <x:c r="C13" s="22" t="str">
        <x:v>比较假设</x:v>
      </x:c>
    </x:row>
    <x:row r="14" ht="36" customHeight="1">
      <x:c r="A14" s="22" t="str">
        <x:v>百分比换算分母</x:v>
      </x:c>
      <x:c r="B14" s="22" t="n">
        <x:v>100</x:v>
      </x:c>
      <x:c r="C14" s="22" t="str">
        <x:v>保留原表以100表示100%的字段单位</x:v>
      </x:c>
    </x:row>
    <x:row r="15" ht="36" customHeight="1">
      <x:c r="A15" s="22" t="str">
        <x:v>普通攻速上限</x:v>
      </x:c>
      <x:c r="B15" s="22" t="n">
        <x:v>20</x:v>
      </x:c>
      <x:c r="C15" s="22" t="str">
        <x:v>继承</x:v>
      </x:c>
    </x:row>
    <x:row r="16" ht="36" customHeight="1">
      <x:c r="A16" s="22" t="str">
        <x:v>C2成长装备数量</x:v>
      </x:c>
      <x:c r="B16" s="22" t="n">
        <x:v>2</x:v>
      </x:c>
      <x:c r="C16" s="22" t="str">
        <x:v>两个不同成长装备</x:v>
      </x:c>
    </x:row>
    <x:row r="17" ht="36" customHeight="1">
      <x:c r="A17" s="22" t="str">
        <x:v>C2每件基础攻击</x:v>
      </x:c>
      <x:c r="B17" s="22" t="n">
        <x:v>280</x:v>
      </x:c>
      <x:c r="C17" s="22" t="str">
        <x:v>最新已做设计数据，本轮不重新改</x:v>
      </x:c>
    </x:row>
    <x:row r="18" ht="36" customHeight="1">
      <x:c r="A18" s="22" t="str">
        <x:v>不含测试装备的单刀参考</x:v>
      </x:c>
      <x:c r="B18" s="22" t="n">
        <x:f>B2*(1+B5/B14)*(1+B6/B14)*(1+B7/B14)*(1+B8*(B12-1+B9/B14))*(1+B10*(B13-1+B11/B14))</x:f>
        <x:v>9982.896000000002</x:v>
      </x:c>
      <x:c r="C18" s="22" t="str">
        <x:v>公式；不含防御、处决、首尾、鞭尸与群攻</x:v>
      </x:c>
    </x:row>
    <x:row r="19" ht="36" customHeight="1">
      <x:c r="A19" s="22" t="str">
        <x:v>C1每件基础攻击</x:v>
      </x:c>
      <x:c r="B19" s="22" t="n">
        <x:v>50</x:v>
      </x:c>
      <x:c r="C19" s="22" t="str">
        <x:v>保持原值</x:v>
      </x:c>
    </x:row>
    <x:row r="20" ht="36" customHeight="1">
      <x:c r="A20" s="22" t="str">
        <x:v>彩色核心命格突破</x:v>
      </x:c>
      <x:c r="B20" s="22" t="n">
        <x:v>5</x:v>
      </x:c>
      <x:c r="C20" s="22" t="str">
        <x:v>命格V2.0：ID1087【快人三步】</x:v>
      </x:c>
    </x:row>
    <x:row r="21" ht="36" customHeight="1">
      <x:c r="A21" s="22" t="str">
        <x:v>命格核心普通攻速</x:v>
      </x:c>
      <x:c r="B21" s="22" t="n">
        <x:v>3</x:v>
      </x:c>
      <x:c r="C21" s="22" t="str">
        <x:v>同时核验普通攻速与突破上限，不把突破当攻速直接相加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6" customHeight="1">
      <x:c r="A1" s="27" t="str">
        <x:v>装备</x:v>
      </x:c>
      <x:c r="B1" s="27" t="str">
        <x:v>来源版本</x:v>
      </x:c>
      <x:c r="C1" s="27" t="str">
        <x:v>部位</x:v>
      </x:c>
      <x:c r="D1" s="27" t="str">
        <x:v>攻击上限</x:v>
      </x:c>
      <x:c r="E1" s="27" t="str">
        <x:v>攻击加成</x:v>
      </x:c>
      <x:c r="F1" s="27" t="str">
        <x:v>怪伤</x:v>
      </x:c>
      <x:c r="G1" s="27" t="str">
        <x:v>攻击伤害</x:v>
      </x:c>
      <x:c r="H1" s="27" t="str">
        <x:v>暴伤</x:v>
      </x:c>
      <x:c r="I1" s="27" t="str">
        <x:v>暴击率增量</x:v>
      </x:c>
      <x:c r="J1" s="27" t="str">
        <x:v>致命率增量</x:v>
      </x:c>
      <x:c r="K1" s="27" t="str">
        <x:v>致命伤害</x:v>
      </x:c>
      <x:c r="L1" s="27" t="str">
        <x:v>神力增量</x:v>
      </x:c>
      <x:c r="M1" s="27" t="str">
        <x:v>伤害系数</x:v>
      </x:c>
      <x:c r="N1" s="27" t="str">
        <x:v>HP</x:v>
      </x:c>
      <x:c r="O1" s="27" t="str">
        <x:v>HP百分比</x:v>
      </x:c>
      <x:c r="P1" s="27" t="str">
        <x:v>防御上限</x:v>
      </x:c>
      <x:c r="Q1" s="27" t="str">
        <x:v>实际吸收原始值</x:v>
      </x:c>
      <x:c r="R1" s="27" t="str">
        <x:v>吸收上限增加</x:v>
      </x:c>
      <x:c r="S1" s="27" t="str">
        <x:v>突破</x:v>
      </x:c>
      <x:c r="T1" s="27" t="str">
        <x:v>普通攻速</x:v>
      </x:c>
      <x:c r="U1" s="27" t="str">
        <x:v>处决概率</x:v>
      </x:c>
      <x:c r="V1" s="27" t="str">
        <x:v>基础爆率</x:v>
      </x:c>
      <x:c r="W1" s="27" t="str">
        <x:v>最大爆率</x:v>
      </x:c>
      <x:c r="X1" s="27" t="str">
        <x:v>同背景单刀参考</x:v>
      </x:c>
      <x:c r="Y1" s="27" t="str">
        <x:v>单件边际贡献</x:v>
      </x:c>
      <x:c r="Z1" s="27" t="str">
        <x:v>洗练单条攻击上限</x:v>
      </x:c>
    </x:row>
    <x:row r="2" ht="30" customHeight="1">
      <x:c r="A2" s="22" t="str">
        <x:v>盐蚀弯刃</x:v>
      </x:c>
      <x:c r="B2" s="22" t="str">
        <x:v>C1 V4</x:v>
      </x:c>
      <x:c r="C2" s="22" t="str">
        <x:v>武器</x:v>
      </x:c>
      <x:c r="D2" s="32" t="n">
        <x:v>100</x:v>
      </x:c>
      <x:c r="E2" s="32" t="n">
        <x:v>12</x:v>
      </x:c>
      <x:c r="F2" s="32" t="n">
        <x:v>6</x:v>
      </x:c>
      <x:c r="G2" s="32" t="n">
        <x:v>3</x:v>
      </x:c>
      <x:c r="H2" s="32" t="n">
        <x:v>6</x:v>
      </x:c>
      <x:c r="I2" s="32" t="n">
        <x:v>0</x:v>
      </x:c>
      <x:c r="J2" s="32" t="n">
        <x:v>0</x:v>
      </x:c>
      <x:c r="K2" s="32" t="n">
        <x:v>0</x:v>
      </x:c>
      <x:c r="L2" s="32" t="n">
        <x:v>0</x:v>
      </x:c>
      <x:c r="M2" s="32" t="n">
        <x:v>0</x:v>
      </x:c>
      <x:c r="N2" s="32" t="n">
        <x:v>2900</x:v>
      </x:c>
      <x:c r="O2" s="32" t="n">
        <x:v>0</x:v>
      </x:c>
      <x:c r="P2" s="32" t="n">
        <x:v>0</x:v>
      </x:c>
      <x:c r="Q2" s="32" t="n">
        <x:v>0</x:v>
      </x:c>
      <x:c r="R2" s="32" t="n">
        <x:v>0</x:v>
      </x:c>
      <x:c r="S2" s="32" t="n">
        <x:v>0</x:v>
      </x:c>
      <x:c r="T2" s="32" t="n">
        <x:v>8</x:v>
      </x:c>
      <x:c r="U2" s="32" t="n">
        <x:v>0</x:v>
      </x:c>
      <x:c r="V2" s="32" t="n">
        <x:v>0</x:v>
      </x:c>
      <x:c r="W2" s="32" t="n">
        <x:v>0</x:v>
      </x:c>
      <x:c r="X2" s="34" t="n">
        <x:f>('01_比较参数'!$B$2+D2)*(1+('01_比较参数'!$B$5+E2)/'01_比较参数'!$B$14)*(1+('01_比较参数'!$B$6+F2)/'01_比较参数'!$B$14)*(1+('01_比较参数'!$B$7+G2)/'01_比较参数'!$B$14)*(1+('01_比较参数'!$B$8+I2/'01_比较参数'!$B$14)*('01_比较参数'!$B$12-1+('01_比较参数'!$B$9+H2)/'01_比较参数'!$B$14))*(1+('01_比较参数'!$B$10+J2/'01_比较参数'!$B$14)*('01_比较参数'!$B$13-1+('01_比较参数'!$B$11+K2)/'01_比较参数'!$B$14))*(1+L2/'01_比较参数'!$B$14)*(1+M2/'01_比较参数'!$B$14)</x:f>
        <x:v>12075.044346265602</x:v>
      </x:c>
      <x:c r="Y2" s="34" t="n">
        <x:f>X2-'01_比较参数'!$B$18</x:f>
        <x:v>2092.1483462655997</x:v>
      </x:c>
      <x:c r="Z2" s="36" t="n">
        <x:f>ROUNDDOWN(D2/2,0)</x:f>
        <x:v>50</x:v>
      </x:c>
    </x:row>
    <x:row r="3" ht="30" customHeight="1">
      <x:c r="A3" s="22" t="str">
        <x:v>断桨骨链</x:v>
      </x:c>
      <x:c r="B3" s="22" t="str">
        <x:v>C1 V4</x:v>
      </x:c>
      <x:c r="C3" s="22" t="str">
        <x:v>项链</x:v>
      </x:c>
      <x:c r="D3" s="32" t="n">
        <x:v>14</x:v>
      </x:c>
      <x:c r="E3" s="32" t="n">
        <x:v>7</x:v>
      </x:c>
      <x:c r="F3" s="32" t="n">
        <x:v>4</x:v>
      </x:c>
      <x:c r="G3" s="32" t="n">
        <x:v>2</x:v>
      </x:c>
      <x:c r="H3" s="32" t="n">
        <x:v>4</x:v>
      </x:c>
      <x:c r="I3" s="32" t="n">
        <x:v>0</x:v>
      </x:c>
      <x:c r="J3" s="32" t="n">
        <x:v>0</x:v>
      </x:c>
      <x:c r="K3" s="32" t="n">
        <x:v>0</x:v>
      </x:c>
      <x:c r="L3" s="32" t="n">
        <x:v>0</x:v>
      </x:c>
      <x:c r="M3" s="32" t="n">
        <x:v>0</x:v>
      </x:c>
      <x:c r="N3" s="32" t="n">
        <x:v>2900</x:v>
      </x:c>
      <x:c r="O3" s="32" t="n">
        <x:v>0</x:v>
      </x:c>
      <x:c r="P3" s="32" t="n">
        <x:v>0</x:v>
      </x:c>
      <x:c r="Q3" s="32" t="n">
        <x:v>0</x:v>
      </x:c>
      <x:c r="R3" s="32" t="n">
        <x:v>0</x:v>
      </x:c>
      <x:c r="S3" s="32" t="n">
        <x:v>0</x:v>
      </x:c>
      <x:c r="T3" s="32" t="n">
        <x:v>0</x:v>
      </x:c>
      <x:c r="U3" s="32" t="n">
        <x:v>0</x:v>
      </x:c>
      <x:c r="V3" s="32" t="n">
        <x:v>0</x:v>
      </x:c>
      <x:c r="W3" s="32" t="n">
        <x:v>0</x:v>
      </x:c>
      <x:c r="X3" s="34" t="n">
        <x:f>('01_比较参数'!$B$2+D3)*(1+('01_比较参数'!$B$5+E3)/'01_比较参数'!$B$14)*(1+('01_比较参数'!$B$6+F3)/'01_比较参数'!$B$14)*(1+('01_比较参数'!$B$7+G3)/'01_比较参数'!$B$14)*(1+('01_比较参数'!$B$8+I3/'01_比较参数'!$B$14)*('01_比较参数'!$B$12-1+('01_比较参数'!$B$9+H3)/'01_比较参数'!$B$14))*(1+('01_比较参数'!$B$10+J3/'01_比较参数'!$B$14)*('01_比较参数'!$B$13-1+('01_比较参数'!$B$11+K3)/'01_比较参数'!$B$14))*(1+L3/'01_比较参数'!$B$14)*(1+M3/'01_比较参数'!$B$14)</x:f>
        <x:v>10914.881380532417</x:v>
      </x:c>
      <x:c r="Y3" s="34" t="n">
        <x:f>X3-'01_比较参数'!$B$18</x:f>
        <x:v>931.9853805324146</x:v>
      </x:c>
      <x:c r="Z3" s="36" t="n">
        <x:f>ROUNDDOWN(D3/2,0)</x:f>
        <x:v>7</x:v>
      </x:c>
    </x:row>
    <x:row r="4" ht="30" customHeight="1">
      <x:c r="A4" s="22" t="str">
        <x:v>漂流尸甲</x:v>
      </x:c>
      <x:c r="B4" s="22" t="str">
        <x:v>C1 V4</x:v>
      </x:c>
      <x:c r="C4" s="22" t="str">
        <x:v>衣服</x:v>
      </x:c>
      <x:c r="D4" s="32" t="n">
        <x:v>12</x:v>
      </x:c>
      <x:c r="E4" s="32" t="n">
        <x:v>4</x:v>
      </x:c>
      <x:c r="F4" s="32" t="n">
        <x:v>0</x:v>
      </x:c>
      <x:c r="G4" s="32" t="n">
        <x:v>0</x:v>
      </x:c>
      <x:c r="H4" s="32" t="n">
        <x:v>0</x:v>
      </x:c>
      <x:c r="I4" s="32" t="n">
        <x:v>0</x:v>
      </x:c>
      <x:c r="J4" s="32" t="n">
        <x:v>0</x:v>
      </x:c>
      <x:c r="K4" s="32" t="n">
        <x:v>0</x:v>
      </x:c>
      <x:c r="L4" s="32" t="n">
        <x:v>0</x:v>
      </x:c>
      <x:c r="M4" s="32" t="n">
        <x:v>0</x:v>
      </x:c>
      <x:c r="N4" s="32" t="n">
        <x:v>13200</x:v>
      </x:c>
      <x:c r="O4" s="32" t="n">
        <x:v>1</x:v>
      </x:c>
      <x:c r="P4" s="32" t="n">
        <x:v>33</x:v>
      </x:c>
      <x:c r="Q4" s="32" t="n">
        <x:v>8</x:v>
      </x:c>
      <x:c r="R4" s="32" t="n">
        <x:v>0</x:v>
      </x:c>
      <x:c r="S4" s="32" t="n">
        <x:v>0</x:v>
      </x:c>
      <x:c r="T4" s="32" t="n">
        <x:v>0</x:v>
      </x:c>
      <x:c r="U4" s="32" t="n">
        <x:v>0</x:v>
      </x:c>
      <x:c r="V4" s="32" t="n">
        <x:v>0</x:v>
      </x:c>
      <x:c r="W4" s="32" t="n">
        <x:v>0</x:v>
      </x:c>
      <x:c r="X4" s="34" t="n">
        <x:f>('01_比较参数'!$B$2+D4)*(1+('01_比较参数'!$B$5+E4)/'01_比较参数'!$B$14)*(1+('01_比较参数'!$B$6+F4)/'01_比较参数'!$B$14)*(1+('01_比较参数'!$B$7+G4)/'01_比较参数'!$B$14)*(1+('01_比较参数'!$B$8+I4/'01_比较参数'!$B$14)*('01_比较参数'!$B$12-1+('01_比较参数'!$B$9+H4)/'01_比较参数'!$B$14))*(1+('01_比较参数'!$B$10+J4/'01_比较参数'!$B$14)*('01_比较参数'!$B$13-1+('01_比较参数'!$B$11+K4)/'01_比较参数'!$B$14))*(1+L4/'01_比较参数'!$B$14)*(1+M4/'01_比较参数'!$B$14)</x:f>
        <x:v>10245.718425600002</x:v>
      </x:c>
      <x:c r="Y4" s="34" t="n">
        <x:f>X4-'01_比较参数'!$B$18</x:f>
        <x:v>262.8224255999994</x:v>
      </x:c>
      <x:c r="Z4" s="36" t="n">
        <x:f>ROUNDDOWN(D4/2,0)</x:f>
        <x:v>6</x:v>
      </x:c>
    </x:row>
    <x:row r="5" ht="30" customHeight="1">
      <x:c r="A5" s="22" t="str">
        <x:v>猎犬骨戒</x:v>
      </x:c>
      <x:c r="B5" s="22" t="str">
        <x:v>C1 V4</x:v>
      </x:c>
      <x:c r="C5" s="22" t="str">
        <x:v>戒指</x:v>
      </x:c>
      <x:c r="D5" s="32" t="n">
        <x:v>15</x:v>
      </x:c>
      <x:c r="E5" s="32" t="n">
        <x:v>7</x:v>
      </x:c>
      <x:c r="F5" s="32" t="n">
        <x:v>4</x:v>
      </x:c>
      <x:c r="G5" s="32" t="n">
        <x:v>2</x:v>
      </x:c>
      <x:c r="H5" s="32" t="n">
        <x:v>4</x:v>
      </x:c>
      <x:c r="I5" s="32" t="n">
        <x:v>0</x:v>
      </x:c>
      <x:c r="J5" s="32" t="n">
        <x:v>0</x:v>
      </x:c>
      <x:c r="K5" s="32" t="n">
        <x:v>0</x:v>
      </x:c>
      <x:c r="L5" s="32" t="n">
        <x:v>0</x:v>
      </x:c>
      <x:c r="M5" s="32" t="n">
        <x:v>0</x:v>
      </x:c>
      <x:c r="N5" s="32" t="n">
        <x:v>2900</x:v>
      </x:c>
      <x:c r="O5" s="32" t="n">
        <x:v>0</x:v>
      </x:c>
      <x:c r="P5" s="32" t="n">
        <x:v>16</x:v>
      </x:c>
      <x:c r="Q5" s="32" t="n">
        <x:v>2</x:v>
      </x:c>
      <x:c r="R5" s="32" t="n">
        <x:v>0</x:v>
      </x:c>
      <x:c r="S5" s="32" t="n">
        <x:v>0</x:v>
      </x:c>
      <x:c r="T5" s="32" t="n">
        <x:v>0</x:v>
      </x:c>
      <x:c r="U5" s="32" t="n">
        <x:v>0</x:v>
      </x:c>
      <x:c r="V5" s="32" t="n">
        <x:v>0</x:v>
      </x:c>
      <x:c r="W5" s="32" t="n">
        <x:v>0</x:v>
      </x:c>
      <x:c r="X5" s="34" t="n">
        <x:f>('01_比较参数'!$B$2+D5)*(1+('01_比较参数'!$B$5+E5)/'01_比较参数'!$B$14)*(1+('01_比较参数'!$B$6+F5)/'01_比较参数'!$B$14)*(1+('01_比较参数'!$B$7+G5)/'01_比较参数'!$B$14)*(1+('01_比较参数'!$B$8+I5/'01_比较参数'!$B$14)*('01_比较参数'!$B$12-1+('01_比较参数'!$B$9+H5)/'01_比较参数'!$B$14))*(1+('01_比较参数'!$B$10+J5/'01_比较参数'!$B$14)*('01_比较参数'!$B$13-1+('01_比较参数'!$B$11+K5)/'01_比较参数'!$B$14))*(1+L5/'01_比较参数'!$B$14)*(1+M5/'01_比较参数'!$B$14)</x:f>
        <x:v>10922.090681312162</x:v>
      </x:c>
      <x:c r="Y5" s="34" t="n">
        <x:f>X5-'01_比较参数'!$B$18</x:f>
        <x:v>939.1946813121594</x:v>
      </x:c>
      <x:c r="Z5" s="36" t="n">
        <x:f>ROUNDDOWN(D5/2,0)</x:f>
        <x:v>7</x:v>
      </x:c>
    </x:row>
    <x:row r="6" ht="30" customHeight="1">
      <x:c r="A6" s="22" t="str">
        <x:v>腐潮钳镯</x:v>
      </x:c>
      <x:c r="B6" s="22" t="str">
        <x:v>C1 V4</x:v>
      </x:c>
      <x:c r="C6" s="22" t="str">
        <x:v>手镯</x:v>
      </x:c>
      <x:c r="D6" s="32" t="n">
        <x:v>15</x:v>
      </x:c>
      <x:c r="E6" s="32" t="n">
        <x:v>7</x:v>
      </x:c>
      <x:c r="F6" s="32" t="n">
        <x:v>4</x:v>
      </x:c>
      <x:c r="G6" s="32" t="n">
        <x:v>2</x:v>
      </x:c>
      <x:c r="H6" s="32" t="n">
        <x:v>4</x:v>
      </x:c>
      <x:c r="I6" s="32" t="n">
        <x:v>0</x:v>
      </x:c>
      <x:c r="J6" s="32" t="n">
        <x:v>0</x:v>
      </x:c>
      <x:c r="K6" s="32" t="n">
        <x:v>0</x:v>
      </x:c>
      <x:c r="L6" s="32" t="n">
        <x:v>0</x:v>
      </x:c>
      <x:c r="M6" s="32" t="n">
        <x:v>0</x:v>
      </x:c>
      <x:c r="N6" s="32" t="n">
        <x:v>2900</x:v>
      </x:c>
      <x:c r="O6" s="32" t="n">
        <x:v>0</x:v>
      </x:c>
      <x:c r="P6" s="32" t="n">
        <x:v>16</x:v>
      </x:c>
      <x:c r="Q6" s="32" t="n">
        <x:v>2</x:v>
      </x:c>
      <x:c r="R6" s="32" t="n">
        <x:v>0</x:v>
      </x:c>
      <x:c r="S6" s="32" t="n">
        <x:v>0</x:v>
      </x:c>
      <x:c r="T6" s="32" t="n">
        <x:v>0</x:v>
      </x:c>
      <x:c r="U6" s="32" t="n">
        <x:v>0</x:v>
      </x:c>
      <x:c r="V6" s="32" t="n">
        <x:v>0</x:v>
      </x:c>
      <x:c r="W6" s="32" t="n">
        <x:v>0</x:v>
      </x:c>
      <x:c r="X6" s="34" t="n">
        <x:f>('01_比较参数'!$B$2+D6)*(1+('01_比较参数'!$B$5+E6)/'01_比较参数'!$B$14)*(1+('01_比较参数'!$B$6+F6)/'01_比较参数'!$B$14)*(1+('01_比较参数'!$B$7+G6)/'01_比较参数'!$B$14)*(1+('01_比较参数'!$B$8+I6/'01_比较参数'!$B$14)*('01_比较参数'!$B$12-1+('01_比较参数'!$B$9+H6)/'01_比较参数'!$B$14))*(1+('01_比较参数'!$B$10+J6/'01_比较参数'!$B$14)*('01_比较参数'!$B$13-1+('01_比较参数'!$B$11+K6)/'01_比较参数'!$B$14))*(1+L6/'01_比较参数'!$B$14)*(1+M6/'01_比较参数'!$B$14)</x:f>
        <x:v>10922.090681312162</x:v>
      </x:c>
      <x:c r="Y6" s="34" t="n">
        <x:f>X6-'01_比较参数'!$B$18</x:f>
        <x:v>939.1946813121594</x:v>
      </x:c>
      <x:c r="Z6" s="36" t="n">
        <x:f>ROUNDDOWN(D6/2,0)</x:f>
        <x:v>7</x:v>
      </x:c>
    </x:row>
    <x:row r="7" ht="30" customHeight="1">
      <x:c r="A7" s="22" t="str">
        <x:v>行刑锚刃</x:v>
      </x:c>
      <x:c r="B7" s="22" t="str">
        <x:v>C1 V4</x:v>
      </x:c>
      <x:c r="C7" s="22" t="str">
        <x:v>武器</x:v>
      </x:c>
      <x:c r="D7" s="32" t="n">
        <x:v>140</x:v>
      </x:c>
      <x:c r="E7" s="32" t="n">
        <x:v>17</x:v>
      </x:c>
      <x:c r="F7" s="32" t="n">
        <x:v>10</x:v>
      </x:c>
      <x:c r="G7" s="32" t="n">
        <x:v>5</x:v>
      </x:c>
      <x:c r="H7" s="32" t="n">
        <x:v>10</x:v>
      </x:c>
      <x:c r="I7" s="32" t="n">
        <x:v>0</x:v>
      </x:c>
      <x:c r="J7" s="32" t="n">
        <x:v>0</x:v>
      </x:c>
      <x:c r="K7" s="32" t="n">
        <x:v>0</x:v>
      </x:c>
      <x:c r="L7" s="32" t="n">
        <x:v>0</x:v>
      </x:c>
      <x:c r="M7" s="32" t="n">
        <x:v>0</x:v>
      </x:c>
      <x:c r="N7" s="32" t="n">
        <x:v>3300</x:v>
      </x:c>
      <x:c r="O7" s="32" t="n">
        <x:v>0</x:v>
      </x:c>
      <x:c r="P7" s="32" t="n">
        <x:v>0</x:v>
      </x:c>
      <x:c r="Q7" s="32" t="n">
        <x:v>0</x:v>
      </x:c>
      <x:c r="R7" s="32" t="n">
        <x:v>0</x:v>
      </x:c>
      <x:c r="S7" s="32" t="n">
        <x:v>0</x:v>
      </x:c>
      <x:c r="T7" s="32" t="n">
        <x:v>8</x:v>
      </x:c>
      <x:c r="U7" s="32" t="n">
        <x:v>0</x:v>
      </x:c>
      <x:c r="V7" s="32" t="n">
        <x:v>0</x:v>
      </x:c>
      <x:c r="W7" s="32" t="n">
        <x:v>0</x:v>
      </x:c>
      <x:c r="X7" s="34" t="n">
        <x:f>('01_比较参数'!$B$2+D7)*(1+('01_比较参数'!$B$5+E7)/'01_比较参数'!$B$14)*(1+('01_比较参数'!$B$6+F7)/'01_比较参数'!$B$14)*(1+('01_比较参数'!$B$7+G7)/'01_比较参数'!$B$14)*(1+('01_比较参数'!$B$8+I7/'01_比较参数'!$B$14)*('01_比较参数'!$B$12-1+('01_比较参数'!$B$9+H7)/'01_比较参数'!$B$14))*(1+('01_比较参数'!$B$10+J7/'01_比较参数'!$B$14)*('01_比较参数'!$B$13-1+('01_比较参数'!$B$11+K7)/'01_比较参数'!$B$14))*(1+L7/'01_比较参数'!$B$14)*(1+M7/'01_比较参数'!$B$14)</x:f>
        <x:v>13255.994366160001</x:v>
      </x:c>
      <x:c r="Y7" s="34" t="n">
        <x:f>X7-'01_比较参数'!$B$18</x:f>
        <x:v>3273.0983661599985</x:v>
      </x:c>
      <x:c r="Z7" s="36" t="n">
        <x:f>ROUNDDOWN(D7/2,0)</x:f>
        <x:v>70</x:v>
      </x:c>
    </x:row>
    <x:row r="8" ht="30" customHeight="1">
      <x:c r="A8" s="22" t="str">
        <x:v>唤潮旧勋</x:v>
      </x:c>
      <x:c r="B8" s="22" t="str">
        <x:v>C1 V4</x:v>
      </x:c>
      <x:c r="C8" s="22" t="str">
        <x:v>勋章</x:v>
      </x:c>
      <x:c r="D8" s="32" t="n">
        <x:v>16</x:v>
      </x:c>
      <x:c r="E8" s="32" t="n">
        <x:v>10</x:v>
      </x:c>
      <x:c r="F8" s="32" t="n">
        <x:v>6</x:v>
      </x:c>
      <x:c r="G8" s="32" t="n">
        <x:v>3</x:v>
      </x:c>
      <x:c r="H8" s="32" t="n">
        <x:v>6</x:v>
      </x:c>
      <x:c r="I8" s="32" t="n">
        <x:v>0</x:v>
      </x:c>
      <x:c r="J8" s="32" t="n">
        <x:v>0</x:v>
      </x:c>
      <x:c r="K8" s="32" t="n">
        <x:v>0</x:v>
      </x:c>
      <x:c r="L8" s="32" t="n">
        <x:v>0</x:v>
      </x:c>
      <x:c r="M8" s="32" t="n">
        <x:v>0</x:v>
      </x:c>
      <x:c r="N8" s="32" t="n">
        <x:v>3300</x:v>
      </x:c>
      <x:c r="O8" s="32" t="n">
        <x:v>0</x:v>
      </x:c>
      <x:c r="P8" s="32" t="n">
        <x:v>18</x:v>
      </x:c>
      <x:c r="Q8" s="32" t="n">
        <x:v>0</x:v>
      </x:c>
      <x:c r="R8" s="32" t="n">
        <x:v>0</x:v>
      </x:c>
      <x:c r="S8" s="32" t="n">
        <x:v>0</x:v>
      </x:c>
      <x:c r="T8" s="32" t="n">
        <x:v>0</x:v>
      </x:c>
      <x:c r="U8" s="32" t="n">
        <x:v>0</x:v>
      </x:c>
      <x:c r="V8" s="32" t="n">
        <x:v>0</x:v>
      </x:c>
      <x:c r="W8" s="32" t="n">
        <x:v>0</x:v>
      </x:c>
      <x:c r="X8" s="34" t="n">
        <x:f>('01_比较参数'!$B$2+D8)*(1+('01_比较参数'!$B$5+E8)/'01_比较参数'!$B$14)*(1+('01_比较参数'!$B$6+F8)/'01_比较参数'!$B$14)*(1+('01_比较参数'!$B$7+G8)/'01_比较参数'!$B$14)*(1+('01_比较参数'!$B$8+I8/'01_比较参数'!$B$14)*('01_比较参数'!$B$12-1+('01_比较参数'!$B$9+H8)/'01_比较参数'!$B$14))*(1+('01_比较参数'!$B$10+J8/'01_比较参数'!$B$14)*('01_比较参数'!$B$13-1+('01_比较参数'!$B$11+K8)/'01_比较参数'!$B$14))*(1+L8/'01_比较参数'!$B$14)*(1+M8/'01_比较参数'!$B$14)</x:f>
        <x:v>11342.47430672384</x:v>
      </x:c>
      <x:c r="Y8" s="34" t="n">
        <x:f>X8-'01_比较参数'!$B$18</x:f>
        <x:v>1359.5783067238372</x:v>
      </x:c>
      <x:c r="Z8" s="36" t="n">
        <x:f>ROUNDDOWN(D8/2,0)</x:f>
        <x:v>8</x:v>
      </x:c>
    </x:row>
    <x:row r="9" ht="30" customHeight="1">
      <x:c r="A9" s="22" t="str">
        <x:v>沉金铁盔</x:v>
      </x:c>
      <x:c r="B9" s="22" t="str">
        <x:v>C1 V4</x:v>
      </x:c>
      <x:c r="C9" s="22" t="str">
        <x:v>头盔</x:v>
      </x:c>
      <x:c r="D9" s="32" t="n">
        <x:v>14</x:v>
      </x:c>
      <x:c r="E9" s="32" t="n">
        <x:v>6</x:v>
      </x:c>
      <x:c r="F9" s="32" t="n">
        <x:v>0</x:v>
      </x:c>
      <x:c r="G9" s="32" t="n">
        <x:v>0</x:v>
      </x:c>
      <x:c r="H9" s="32" t="n">
        <x:v>0</x:v>
      </x:c>
      <x:c r="I9" s="32" t="n">
        <x:v>0</x:v>
      </x:c>
      <x:c r="J9" s="32" t="n">
        <x:v>0</x:v>
      </x:c>
      <x:c r="K9" s="32" t="n">
        <x:v>0</x:v>
      </x:c>
      <x:c r="L9" s="32" t="n">
        <x:v>0</x:v>
      </x:c>
      <x:c r="M9" s="32" t="n">
        <x:v>0</x:v>
      </x:c>
      <x:c r="N9" s="32" t="n">
        <x:v>5700</x:v>
      </x:c>
      <x:c r="O9" s="32" t="n">
        <x:v>0</x:v>
      </x:c>
      <x:c r="P9" s="32" t="n">
        <x:v>28</x:v>
      </x:c>
      <x:c r="Q9" s="32" t="n">
        <x:v>6</x:v>
      </x:c>
      <x:c r="R9" s="32" t="n">
        <x:v>0</x:v>
      </x:c>
      <x:c r="S9" s="32" t="n">
        <x:v>0</x:v>
      </x:c>
      <x:c r="T9" s="32" t="n">
        <x:v>0</x:v>
      </x:c>
      <x:c r="U9" s="32" t="n">
        <x:v>0</x:v>
      </x:c>
      <x:c r="V9" s="32" t="n">
        <x:v>0</x:v>
      </x:c>
      <x:c r="W9" s="32" t="n">
        <x:v>0</x:v>
      </x:c>
      <x:c r="X9" s="34" t="n">
        <x:f>('01_比较参数'!$B$2+D9)*(1+('01_比较参数'!$B$5+E9)/'01_比较参数'!$B$14)*(1+('01_比较参数'!$B$6+F9)/'01_比较参数'!$B$14)*(1+('01_比较参数'!$B$7+G9)/'01_比较参数'!$B$14)*(1+('01_比较参数'!$B$8+I9/'01_比较参数'!$B$14)*('01_比较参数'!$B$12-1+('01_比较参数'!$B$9+H9)/'01_比较参数'!$B$14))*(1+('01_比较参数'!$B$10+J9/'01_比较参数'!$B$14)*('01_比较参数'!$B$13-1+('01_比较参数'!$B$11+K9)/'01_比较参数'!$B$14))*(1+L9/'01_比较参数'!$B$14)*(1+M9/'01_比较参数'!$B$14)</x:f>
        <x:v>10350.8715968</x:v>
      </x:c>
      <x:c r="Y9" s="34" t="n">
        <x:f>X9-'01_比较参数'!$B$18</x:f>
        <x:v>367.9755967999972</x:v>
      </x:c>
      <x:c r="Z9" s="36" t="n">
        <x:f>ROUNDDOWN(D9/2,0)</x:f>
        <x:v>7</x:v>
      </x:c>
    </x:row>
    <x:row r="10" ht="30" customHeight="1">
      <x:c r="A10" s="22" t="str">
        <x:v>海雾塔盾</x:v>
      </x:c>
      <x:c r="B10" s="22" t="str">
        <x:v>C1 V4</x:v>
      </x:c>
      <x:c r="C10" s="22" t="str">
        <x:v>盾牌</x:v>
      </x:c>
      <x:c r="D10" s="32" t="n">
        <x:v>14</x:v>
      </x:c>
      <x:c r="E10" s="32" t="n">
        <x:v>6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0</x:v>
      </x:c>
      <x:c r="M10" s="32" t="n">
        <x:v>0</x:v>
      </x:c>
      <x:c r="N10" s="32" t="n">
        <x:v>8250</x:v>
      </x:c>
      <x:c r="O10" s="32" t="n">
        <x:v>0</x:v>
      </x:c>
      <x:c r="P10" s="32" t="n">
        <x:v>41</x:v>
      </x:c>
      <x:c r="Q10" s="32" t="n">
        <x:v>12</x:v>
      </x:c>
      <x:c r="R10" s="32" t="n">
        <x:v>0</x:v>
      </x:c>
      <x:c r="S10" s="32" t="n">
        <x:v>0</x:v>
      </x:c>
      <x:c r="T10" s="32" t="n">
        <x:v>0</x:v>
      </x:c>
      <x:c r="U10" s="32" t="n">
        <x:v>0</x:v>
      </x:c>
      <x:c r="V10" s="32" t="n">
        <x:v>0</x:v>
      </x:c>
      <x:c r="W10" s="32" t="n">
        <x:v>0</x:v>
      </x:c>
      <x:c r="X10" s="34" t="n">
        <x:f>('01_比较参数'!$B$2+D10)*(1+('01_比较参数'!$B$5+E10)/'01_比较参数'!$B$14)*(1+('01_比较参数'!$B$6+F10)/'01_比较参数'!$B$14)*(1+('01_比较参数'!$B$7+G10)/'01_比较参数'!$B$14)*(1+('01_比较参数'!$B$8+I10/'01_比较参数'!$B$14)*('01_比较参数'!$B$12-1+('01_比较参数'!$B$9+H10)/'01_比较参数'!$B$14))*(1+('01_比较参数'!$B$10+J10/'01_比较参数'!$B$14)*('01_比较参数'!$B$13-1+('01_比较参数'!$B$11+K10)/'01_比较参数'!$B$14))*(1+L10/'01_比较参数'!$B$14)*(1+M10/'01_比较参数'!$B$14)</x:f>
        <x:v>10350.8715968</x:v>
      </x:c>
      <x:c r="Y10" s="34" t="n">
        <x:f>X10-'01_比较参数'!$B$18</x:f>
        <x:v>367.9755967999972</x:v>
      </x:c>
      <x:c r="Z10" s="36" t="n">
        <x:f>ROUNDDOWN(D10/2,0)</x:f>
        <x:v>7</x:v>
      </x:c>
    </x:row>
    <x:row r="11" ht="30" customHeight="1">
      <x:c r="A11" s="22" t="str">
        <x:v>断桅血刃</x:v>
      </x:c>
      <x:c r="B11" s="22" t="str">
        <x:v>C1 V4</x:v>
      </x:c>
      <x:c r="C11" s="22" t="str">
        <x:v>武器</x:v>
      </x:c>
      <x:c r="D11" s="32" t="n">
        <x:v>300</x:v>
      </x:c>
      <x:c r="E11" s="32" t="n">
        <x:v>32</x:v>
      </x:c>
      <x:c r="F11" s="32" t="n">
        <x:v>18</x:v>
      </x:c>
      <x:c r="G11" s="32" t="n">
        <x:v>10</x:v>
      </x:c>
      <x:c r="H11" s="32" t="n">
        <x:v>22</x:v>
      </x:c>
      <x:c r="I11" s="32" t="n">
        <x:v>0</x:v>
      </x:c>
      <x:c r="J11" s="32" t="n">
        <x:v>0</x:v>
      </x:c>
      <x:c r="K11" s="32" t="n">
        <x:v>0</x:v>
      </x:c>
      <x:c r="L11" s="32" t="n">
        <x:v>0</x:v>
      </x:c>
      <x:c r="M11" s="32" t="n">
        <x:v>0</x:v>
      </x:c>
      <x:c r="N11" s="32" t="n">
        <x:v>3830</x:v>
      </x:c>
      <x:c r="O11" s="32" t="n">
        <x:v>0</x:v>
      </x:c>
      <x:c r="P11" s="32" t="n">
        <x:v>0</x:v>
      </x:c>
      <x:c r="Q11" s="32" t="n">
        <x:v>0</x:v>
      </x:c>
      <x:c r="R11" s="32" t="n">
        <x:v>0</x:v>
      </x:c>
      <x:c r="S11" s="32" t="n">
        <x:v>0</x:v>
      </x:c>
      <x:c r="T11" s="32" t="n">
        <x:v>13</x:v>
      </x:c>
      <x:c r="U11" s="32" t="n">
        <x:v>1</x:v>
      </x:c>
      <x:c r="V11" s="32" t="n">
        <x:v>50</x:v>
      </x:c>
      <x:c r="W11" s="32" t="n">
        <x:v>1</x:v>
      </x:c>
      <x:c r="X11" s="34" t="n">
        <x:f>('01_比较参数'!$B$2+D11)*(1+('01_比较参数'!$B$5+E11)/'01_比较参数'!$B$14)*(1+('01_比较参数'!$B$6+F11)/'01_比较参数'!$B$14)*(1+('01_比较参数'!$B$7+G11)/'01_比较参数'!$B$14)*(1+('01_比较参数'!$B$8+I11/'01_比较参数'!$B$14)*('01_比较参数'!$B$12-1+('01_比较参数'!$B$9+H11)/'01_比较参数'!$B$14))*(1+('01_比较参数'!$B$10+J11/'01_比较参数'!$B$14)*('01_比较参数'!$B$13-1+('01_比较参数'!$B$11+K11)/'01_比较参数'!$B$14))*(1+L11/'01_比较参数'!$B$14)*(1+M11/'01_比较参数'!$B$14)</x:f>
        <x:v>17222.143440096</x:v>
      </x:c>
      <x:c r="Y11" s="34" t="n">
        <x:f>X11-'01_比较参数'!$B$18</x:f>
        <x:v>7239.247440095996</x:v>
      </x:c>
      <x:c r="Z11" s="36" t="n">
        <x:f>ROUNDDOWN(D11/2,0)</x:f>
        <x:v>150</x:v>
      </x:c>
    </x:row>
    <x:row r="12" ht="30" customHeight="1">
      <x:c r="A12" s="22" t="str">
        <x:v>吞岸重甲</x:v>
      </x:c>
      <x:c r="B12" s="22" t="str">
        <x:v>C1 V4</x:v>
      </x:c>
      <x:c r="C12" s="22" t="str">
        <x:v>衣服</x:v>
      </x:c>
      <x:c r="D12" s="32" t="n">
        <x:v>50</x:v>
      </x:c>
      <x:c r="E12" s="32" t="n">
        <x:v>18</x:v>
      </x:c>
      <x:c r="F12" s="32" t="n">
        <x:v>0</x:v>
      </x:c>
      <x:c r="G12" s="32" t="n">
        <x:v>0</x:v>
      </x:c>
      <x:c r="H12" s="32" t="n">
        <x:v>0</x:v>
      </x:c>
      <x:c r="I12" s="32" t="n">
        <x:v>0</x:v>
      </x:c>
      <x:c r="J12" s="32" t="n">
        <x:v>0</x:v>
      </x:c>
      <x:c r="K12" s="32" t="n">
        <x:v>0</x:v>
      </x:c>
      <x:c r="L12" s="32" t="n">
        <x:v>0</x:v>
      </x:c>
      <x:c r="M12" s="32" t="n">
        <x:v>0</x:v>
      </x:c>
      <x:c r="N12" s="32" t="n">
        <x:v>45000</x:v>
      </x:c>
      <x:c r="O12" s="32" t="n">
        <x:v>6</x:v>
      </x:c>
      <x:c r="P12" s="32" t="n">
        <x:v>43</x:v>
      </x:c>
      <x:c r="Q12" s="32" t="n">
        <x:v>15</x:v>
      </x:c>
      <x:c r="R12" s="32" t="n">
        <x:v>1</x:v>
      </x:c>
      <x:c r="S12" s="32" t="n">
        <x:v>0</x:v>
      </x:c>
      <x:c r="T12" s="32" t="n">
        <x:v>0</x:v>
      </x:c>
      <x:c r="U12" s="32" t="n">
        <x:v>0</x:v>
      </x:c>
      <x:c r="V12" s="32" t="n">
        <x:v>0</x:v>
      </x:c>
      <x:c r="W12" s="32" t="n">
        <x:v>0</x:v>
      </x:c>
      <x:c r="X12" s="34" t="n">
        <x:f>('01_比较参数'!$B$2+D12)*(1+('01_比较参数'!$B$5+E12)/'01_比较参数'!$B$14)*(1+('01_比较参数'!$B$6+F12)/'01_比较参数'!$B$14)*(1+('01_比较参数'!$B$7+G12)/'01_比较参数'!$B$14)*(1+('01_比较参数'!$B$8+I12/'01_比较参数'!$B$14)*('01_比较参数'!$B$12-1+('01_比较参数'!$B$9+H12)/'01_比较参数'!$B$14))*(1+('01_比较参数'!$B$10+J12/'01_比较参数'!$B$14)*('01_比较参数'!$B$13-1+('01_比较参数'!$B$11+K12)/'01_比较参数'!$B$14))*(1+L12/'01_比较参数'!$B$14)*(1+M12/'01_比较参数'!$B$14)</x:f>
        <x:v>11159.66768</x:v>
      </x:c>
      <x:c r="Y12" s="34" t="n">
        <x:f>X12-'01_比较参数'!$B$18</x:f>
        <x:v>1176.771679999998</x:v>
      </x:c>
      <x:c r="Z12" s="36" t="n">
        <x:f>ROUNDDOWN(D12/2,0)</x:f>
        <x:v>25</x:v>
      </x:c>
    </x:row>
    <x:row r="13" ht="30" customHeight="1">
      <x:c r="A13" s="22" t="str">
        <x:v>风蚀盔</x:v>
      </x:c>
      <x:c r="B13" s="22" t="str">
        <x:v>C1 V4</x:v>
      </x:c>
      <x:c r="C13" s="22" t="str">
        <x:v>头盔</x:v>
      </x:c>
      <x:c r="D13" s="32" t="n">
        <x:v>24</x:v>
      </x:c>
      <x:c r="E13" s="32" t="n">
        <x:v>5</x:v>
      </x:c>
      <x:c r="F13" s="32" t="n">
        <x:v>0</x:v>
      </x:c>
      <x:c r="G13" s="32" t="n">
        <x:v>0</x:v>
      </x:c>
      <x:c r="H13" s="32" t="n">
        <x:v>0</x:v>
      </x:c>
      <x:c r="I13" s="32" t="n">
        <x:v>0</x:v>
      </x:c>
      <x:c r="J13" s="32" t="n">
        <x:v>0</x:v>
      </x:c>
      <x:c r="K13" s="32" t="n">
        <x:v>0</x:v>
      </x:c>
      <x:c r="L13" s="32" t="n">
        <x:v>0</x:v>
      </x:c>
      <x:c r="M13" s="32" t="n">
        <x:v>0</x:v>
      </x:c>
      <x:c r="N13" s="32" t="n">
        <x:v>10000</x:v>
      </x:c>
      <x:c r="O13" s="32" t="n">
        <x:v>0</x:v>
      </x:c>
      <x:c r="P13" s="32" t="n">
        <x:v>35</x:v>
      </x:c>
      <x:c r="Q13" s="32" t="n">
        <x:v>5</x:v>
      </x:c>
      <x:c r="R13" s="32" t="n">
        <x:v>0</x:v>
      </x:c>
      <x:c r="S13" s="32" t="n">
        <x:v>0</x:v>
      </x:c>
      <x:c r="T13" s="32" t="n">
        <x:v>0</x:v>
      </x:c>
      <x:c r="U13" s="32" t="n">
        <x:v>0</x:v>
      </x:c>
      <x:c r="V13" s="32" t="n">
        <x:v>0</x:v>
      </x:c>
      <x:c r="W13" s="32" t="n">
        <x:v>0</x:v>
      </x:c>
      <x:c r="X13" s="34" t="n">
        <x:f>('01_比较参数'!$B$2+D13)*(1+('01_比较参数'!$B$5+E13)/'01_比较参数'!$B$14)*(1+('01_比较参数'!$B$6+F13)/'01_比较参数'!$B$14)*(1+('01_比较参数'!$B$7+G13)/'01_比较参数'!$B$14)*(1+('01_比较参数'!$B$8+I13/'01_比较参数'!$B$14)*('01_比较参数'!$B$12-1+('01_比较参数'!$B$9+H13)/'01_比较参数'!$B$14))*(1+('01_比较参数'!$B$10+J13/'01_比较参数'!$B$14)*('01_比较参数'!$B$13-1+('01_比较参数'!$B$11+K13)/'01_比较参数'!$B$14))*(1+L13/'01_比较参数'!$B$14)*(1+M13/'01_比较参数'!$B$14)</x:f>
        <x:v>10373.136480000003</x:v>
      </x:c>
      <x:c r="Y13" s="34" t="n">
        <x:f>X13-'01_比较参数'!$B$18</x:f>
        <x:v>390.2404800000004</x:v>
      </x:c>
      <x:c r="Z13" s="36" t="n">
        <x:f>ROUNDDOWN(D13/2,0)</x:f>
        <x:v>12</x:v>
      </x:c>
    </x:row>
    <x:row r="14" ht="30" customHeight="1">
      <x:c r="A14" s="22" t="str">
        <x:v>鹰眼链</x:v>
      </x:c>
      <x:c r="B14" s="22" t="str">
        <x:v>C1 V4</x:v>
      </x:c>
      <x:c r="C14" s="22" t="str">
        <x:v>项链</x:v>
      </x:c>
      <x:c r="D14" s="32" t="n">
        <x:v>34</x:v>
      </x:c>
      <x:c r="E14" s="32" t="n">
        <x:v>9</x:v>
      </x:c>
      <x:c r="F14" s="32" t="n">
        <x:v>4</x:v>
      </x:c>
      <x:c r="G14" s="32" t="n">
        <x:v>1</x:v>
      </x:c>
      <x:c r="H14" s="32" t="n">
        <x:v>4</x:v>
      </x:c>
      <x:c r="I14" s="32" t="n">
        <x:v>0</x:v>
      </x:c>
      <x:c r="J14" s="32" t="n">
        <x:v>0</x:v>
      </x:c>
      <x:c r="K14" s="32" t="n">
        <x:v>0</x:v>
      </x:c>
      <x:c r="L14" s="32" t="n">
        <x:v>0</x:v>
      </x:c>
      <x:c r="M14" s="32" t="n">
        <x:v>0</x:v>
      </x:c>
      <x:c r="N14" s="32" t="n">
        <x:v>5810</x:v>
      </x:c>
      <x:c r="O14" s="32" t="n">
        <x:v>0</x:v>
      </x:c>
      <x:c r="P14" s="32" t="n">
        <x:v>0</x:v>
      </x:c>
      <x:c r="Q14" s="32" t="n">
        <x:v>0</x:v>
      </x:c>
      <x:c r="R14" s="32" t="n">
        <x:v>0</x:v>
      </x:c>
      <x:c r="S14" s="32" t="n">
        <x:v>0</x:v>
      </x:c>
      <x:c r="T14" s="32" t="n">
        <x:v>0</x:v>
      </x:c>
      <x:c r="U14" s="32" t="n">
        <x:v>0</x:v>
      </x:c>
      <x:c r="V14" s="32" t="n">
        <x:v>0</x:v>
      </x:c>
      <x:c r="W14" s="32" t="n">
        <x:v>0</x:v>
      </x:c>
      <x:c r="X14" s="34" t="n">
        <x:f>('01_比较参数'!$B$2+D14)*(1+('01_比较参数'!$B$5+E14)/'01_比较参数'!$B$14)*(1+('01_比较参数'!$B$6+F14)/'01_比较参数'!$B$14)*(1+('01_比较参数'!$B$7+G14)/'01_比较参数'!$B$14)*(1+('01_比较参数'!$B$8+I14/'01_比较参数'!$B$14)*('01_比较参数'!$B$12-1+('01_比较参数'!$B$9+H14)/'01_比较参数'!$B$14))*(1+('01_比较参数'!$B$10+J14/'01_比较参数'!$B$14)*('01_比较参数'!$B$13-1+('01_比较参数'!$B$11+K14)/'01_比较参数'!$B$14))*(1+L14/'01_比较参数'!$B$14)*(1+M14/'01_比较参数'!$B$14)</x:f>
        <x:v>11068.657624192898</x:v>
      </x:c>
      <x:c r="Y14" s="34" t="n">
        <x:f>X14-'01_比较参数'!$B$18</x:f>
        <x:v>1085.7616241928954</x:v>
      </x:c>
      <x:c r="Z14" s="36" t="n">
        <x:f>ROUNDDOWN(D14/2,0)</x:f>
        <x:v>17</x:v>
      </x:c>
    </x:row>
    <x:row r="15" ht="30" customHeight="1">
      <x:c r="A15" s="22" t="str">
        <x:v>雷羽护腕</x:v>
      </x:c>
      <x:c r="B15" s="22" t="str">
        <x:v>C1 V4</x:v>
      </x:c>
      <x:c r="C15" s="22" t="str">
        <x:v>手镯</x:v>
      </x:c>
      <x:c r="D15" s="32" t="n">
        <x:v>37</x:v>
      </x:c>
      <x:c r="E15" s="32" t="n">
        <x:v>9</x:v>
      </x:c>
      <x:c r="F15" s="32" t="n">
        <x:v>4</x:v>
      </x:c>
      <x:c r="G15" s="32" t="n">
        <x:v>1</x:v>
      </x:c>
      <x:c r="H15" s="32" t="n">
        <x:v>4</x:v>
      </x:c>
      <x:c r="I15" s="32" t="n">
        <x:v>0</x:v>
      </x:c>
      <x:c r="J15" s="32" t="n">
        <x:v>0</x:v>
      </x:c>
      <x:c r="K15" s="32" t="n">
        <x:v>0</x:v>
      </x:c>
      <x:c r="L15" s="32" t="n">
        <x:v>0</x:v>
      </x:c>
      <x:c r="M15" s="32" t="n">
        <x:v>0</x:v>
      </x:c>
      <x:c r="N15" s="32" t="n">
        <x:v>5810</x:v>
      </x:c>
      <x:c r="O15" s="32" t="n">
        <x:v>0</x:v>
      </x:c>
      <x:c r="P15" s="32" t="n">
        <x:v>23</x:v>
      </x:c>
      <x:c r="Q15" s="32" t="n">
        <x:v>3</x:v>
      </x:c>
      <x:c r="R15" s="32" t="n">
        <x:v>0</x:v>
      </x:c>
      <x:c r="S15" s="32" t="n">
        <x:v>0</x:v>
      </x:c>
      <x:c r="T15" s="32" t="n">
        <x:v>0</x:v>
      </x:c>
      <x:c r="U15" s="32" t="n">
        <x:v>0</x:v>
      </x:c>
      <x:c r="V15" s="32" t="n">
        <x:v>0</x:v>
      </x:c>
      <x:c r="W15" s="32" t="n">
        <x:v>0</x:v>
      </x:c>
      <x:c r="X15" s="34" t="n">
        <x:f>('01_比较参数'!$B$2+D15)*(1+('01_比较参数'!$B$5+E15)/'01_比较参数'!$B$14)*(1+('01_比较参数'!$B$6+F15)/'01_比较参数'!$B$14)*(1+('01_比较参数'!$B$7+G15)/'01_比较参数'!$B$14)*(1+('01_比较参数'!$B$8+I15/'01_比较参数'!$B$14)*('01_比较参数'!$B$12-1+('01_比较参数'!$B$9+H15)/'01_比较参数'!$B$14))*(1+('01_比较参数'!$B$10+J15/'01_比较参数'!$B$14)*('01_比较参数'!$B$13-1+('01_比较参数'!$B$11+K15)/'01_比较参数'!$B$14))*(1+L15/'01_比较参数'!$B$14)*(1+M15/'01_比较参数'!$B$14)</x:f>
        <x:v>11090.30428186733</x:v>
      </x:c>
      <x:c r="Y15" s="34" t="n">
        <x:f>X15-'01_比较参数'!$B$18</x:f>
        <x:v>1107.4082818673269</x:v>
      </x:c>
      <x:c r="Z15" s="36" t="n">
        <x:f>ROUNDDOWN(D15/2,0)</x:f>
        <x:v>18</x:v>
      </x:c>
    </x:row>
    <x:row r="16" ht="30" customHeight="1">
      <x:c r="A16" s="22" t="str">
        <x:v>狂风骨戒</x:v>
      </x:c>
      <x:c r="B16" s="22" t="str">
        <x:v>C1 V4</x:v>
      </x:c>
      <x:c r="C16" s="22" t="str">
        <x:v>戒指</x:v>
      </x:c>
      <x:c r="D16" s="32" t="n">
        <x:v>37</x:v>
      </x:c>
      <x:c r="E16" s="32" t="n">
        <x:v>9</x:v>
      </x:c>
      <x:c r="F16" s="32" t="n">
        <x:v>4</x:v>
      </x:c>
      <x:c r="G16" s="32" t="n">
        <x:v>1</x:v>
      </x:c>
      <x:c r="H16" s="32" t="n">
        <x:v>4</x:v>
      </x:c>
      <x:c r="I16" s="32" t="n">
        <x:v>0</x:v>
      </x:c>
      <x:c r="J16" s="32" t="n">
        <x:v>0</x:v>
      </x:c>
      <x:c r="K16" s="32" t="n">
        <x:v>0</x:v>
      </x:c>
      <x:c r="L16" s="32" t="n">
        <x:v>0</x:v>
      </x:c>
      <x:c r="M16" s="32" t="n">
        <x:v>0</x:v>
      </x:c>
      <x:c r="N16" s="32" t="n">
        <x:v>5810</x:v>
      </x:c>
      <x:c r="O16" s="32" t="n">
        <x:v>0</x:v>
      </x:c>
      <x:c r="P16" s="32" t="n">
        <x:v>23</x:v>
      </x:c>
      <x:c r="Q16" s="32" t="n">
        <x:v>3</x:v>
      </x:c>
      <x:c r="R16" s="32" t="n">
        <x:v>0</x:v>
      </x:c>
      <x:c r="S16" s="32" t="n">
        <x:v>0</x:v>
      </x:c>
      <x:c r="T16" s="32" t="n">
        <x:v>0</x:v>
      </x:c>
      <x:c r="U16" s="32" t="n">
        <x:v>0</x:v>
      </x:c>
      <x:c r="V16" s="32" t="n">
        <x:v>0</x:v>
      </x:c>
      <x:c r="W16" s="32" t="n">
        <x:v>0</x:v>
      </x:c>
      <x:c r="X16" s="34" t="n">
        <x:f>('01_比较参数'!$B$2+D16)*(1+('01_比较参数'!$B$5+E16)/'01_比较参数'!$B$14)*(1+('01_比较参数'!$B$6+F16)/'01_比较参数'!$B$14)*(1+('01_比较参数'!$B$7+G16)/'01_比较参数'!$B$14)*(1+('01_比较参数'!$B$8+I16/'01_比较参数'!$B$14)*('01_比较参数'!$B$12-1+('01_比较参数'!$B$9+H16)/'01_比较参数'!$B$14))*(1+('01_比较参数'!$B$10+J16/'01_比较参数'!$B$14)*('01_比较参数'!$B$13-1+('01_比较参数'!$B$11+K16)/'01_比较参数'!$B$14))*(1+L16/'01_比较参数'!$B$14)*(1+M16/'01_比较参数'!$B$14)</x:f>
        <x:v>11090.30428186733</x:v>
      </x:c>
      <x:c r="Y16" s="34" t="n">
        <x:f>X16-'01_比较参数'!$B$18</x:f>
        <x:v>1107.4082818673269</x:v>
      </x:c>
      <x:c r="Z16" s="36" t="n">
        <x:f>ROUNDDOWN(D16/2,0)</x:f>
        <x:v>18</x:v>
      </x:c>
    </x:row>
    <x:row r="17" ht="30" customHeight="1">
      <x:c r="A17" s="22" t="str">
        <x:v>断崖束带</x:v>
      </x:c>
      <x:c r="B17" s="22" t="str">
        <x:v>C1 V4</x:v>
      </x:c>
      <x:c r="C17" s="22" t="str">
        <x:v>腰带</x:v>
      </x:c>
      <x:c r="D17" s="32" t="n">
        <x:v>24</x:v>
      </x:c>
      <x:c r="E17" s="32" t="n">
        <x:v>5</x:v>
      </x:c>
      <x:c r="F17" s="32" t="n">
        <x:v>0</x:v>
      </x:c>
      <x:c r="G17" s="32" t="n">
        <x:v>0</x:v>
      </x:c>
      <x:c r="H17" s="32" t="n">
        <x:v>0</x:v>
      </x:c>
      <x:c r="I17" s="32" t="n">
        <x:v>0</x:v>
      </x:c>
      <x:c r="J17" s="32" t="n">
        <x:v>0</x:v>
      </x:c>
      <x:c r="K17" s="32" t="n">
        <x:v>0</x:v>
      </x:c>
      <x:c r="L17" s="32" t="n">
        <x:v>0</x:v>
      </x:c>
      <x:c r="M17" s="32" t="n">
        <x:v>0</x:v>
      </x:c>
      <x:c r="N17" s="32" t="n">
        <x:v>10000</x:v>
      </x:c>
      <x:c r="O17" s="32" t="n">
        <x:v>0</x:v>
      </x:c>
      <x:c r="P17" s="32" t="n">
        <x:v>35</x:v>
      </x:c>
      <x:c r="Q17" s="32" t="n">
        <x:v>5</x:v>
      </x:c>
      <x:c r="R17" s="32" t="n">
        <x:v>0</x:v>
      </x:c>
      <x:c r="S17" s="32" t="n">
        <x:v>0</x:v>
      </x:c>
      <x:c r="T17" s="32" t="n">
        <x:v>0</x:v>
      </x:c>
      <x:c r="U17" s="32" t="n">
        <x:v>0</x:v>
      </x:c>
      <x:c r="V17" s="32" t="n">
        <x:v>0</x:v>
      </x:c>
      <x:c r="W17" s="32" t="n">
        <x:v>0</x:v>
      </x:c>
      <x:c r="X17" s="34" t="n">
        <x:f>('01_比较参数'!$B$2+D17)*(1+('01_比较参数'!$B$5+E17)/'01_比较参数'!$B$14)*(1+('01_比较参数'!$B$6+F17)/'01_比较参数'!$B$14)*(1+('01_比较参数'!$B$7+G17)/'01_比较参数'!$B$14)*(1+('01_比较参数'!$B$8+I17/'01_比较参数'!$B$14)*('01_比较参数'!$B$12-1+('01_比较参数'!$B$9+H17)/'01_比较参数'!$B$14))*(1+('01_比较参数'!$B$10+J17/'01_比较参数'!$B$14)*('01_比较参数'!$B$13-1+('01_比较参数'!$B$11+K17)/'01_比较参数'!$B$14))*(1+L17/'01_比较参数'!$B$14)*(1+M17/'01_比较参数'!$B$14)</x:f>
        <x:v>10373.136480000003</x:v>
      </x:c>
      <x:c r="Y17" s="34" t="n">
        <x:f>X17-'01_比较参数'!$B$18</x:f>
        <x:v>390.2404800000004</x:v>
      </x:c>
      <x:c r="Z17" s="36" t="n">
        <x:f>ROUNDDOWN(D17/2,0)</x:f>
        <x:v>12</x:v>
      </x:c>
    </x:row>
    <x:row r="18" ht="30" customHeight="1">
      <x:c r="A18" s="22" t="str">
        <x:v>石蜥面巾</x:v>
      </x:c>
      <x:c r="B18" s="22" t="str">
        <x:v>C1 V4</x:v>
      </x:c>
      <x:c r="C18" s="22" t="str">
        <x:v>斗笠</x:v>
      </x:c>
      <x:c r="D18" s="32" t="n">
        <x:v>22</x:v>
      </x:c>
      <x:c r="E18" s="32" t="n">
        <x:v>5</x:v>
      </x:c>
      <x:c r="F18" s="32" t="n">
        <x:v>0</x:v>
      </x:c>
      <x:c r="G18" s="32" t="n">
        <x:v>0</x:v>
      </x:c>
      <x:c r="H18" s="32" t="n">
        <x:v>0</x:v>
      </x:c>
      <x:c r="I18" s="32" t="n">
        <x:v>0</x:v>
      </x:c>
      <x:c r="J18" s="32" t="n">
        <x:v>0</x:v>
      </x:c>
      <x:c r="K18" s="32" t="n">
        <x:v>0</x:v>
      </x:c>
      <x:c r="L18" s="32" t="n">
        <x:v>0</x:v>
      </x:c>
      <x:c r="M18" s="32" t="n">
        <x:v>0</x:v>
      </x:c>
      <x:c r="N18" s="32" t="n">
        <x:v>10000</x:v>
      </x:c>
      <x:c r="O18" s="32" t="n">
        <x:v>0</x:v>
      </x:c>
      <x:c r="P18" s="32" t="n">
        <x:v>35</x:v>
      </x:c>
      <x:c r="Q18" s="32" t="n">
        <x:v>5</x:v>
      </x:c>
      <x:c r="R18" s="32" t="n">
        <x:v>0</x:v>
      </x:c>
      <x:c r="S18" s="32" t="n">
        <x:v>0</x:v>
      </x:c>
      <x:c r="T18" s="32" t="n">
        <x:v>0</x:v>
      </x:c>
      <x:c r="U18" s="32" t="n">
        <x:v>0</x:v>
      </x:c>
      <x:c r="V18" s="32" t="n">
        <x:v>0</x:v>
      </x:c>
      <x:c r="W18" s="32" t="n">
        <x:v>0</x:v>
      </x:c>
      <x:c r="X18" s="34" t="n">
        <x:f>('01_比较参数'!$B$2+D18)*(1+('01_比较参数'!$B$5+E18)/'01_比较参数'!$B$14)*(1+('01_比较参数'!$B$6+F18)/'01_比较参数'!$B$14)*(1+('01_比较参数'!$B$7+G18)/'01_比较参数'!$B$14)*(1+('01_比较参数'!$B$8+I18/'01_比较参数'!$B$14)*('01_比较参数'!$B$12-1+('01_比较参数'!$B$9+H18)/'01_比较参数'!$B$14))*(1+('01_比较参数'!$B$10+J18/'01_比较参数'!$B$14)*('01_比较参数'!$B$13-1+('01_比较参数'!$B$11+K18)/'01_比较参数'!$B$14))*(1+L18/'01_比较参数'!$B$14)*(1+M18/'01_比较参数'!$B$14)</x:f>
        <x:v>10359.52344</x:v>
      </x:c>
      <x:c r="Y18" s="34" t="n">
        <x:f>X18-'01_比较参数'!$B$18</x:f>
        <x:v>376.6274399999984</x:v>
      </x:c>
      <x:c r="Z18" s="36" t="n">
        <x:f>ROUNDDOWN(D18/2,0)</x:f>
        <x:v>11</x:v>
      </x:c>
    </x:row>
    <x:row r="19" ht="30" customHeight="1">
      <x:c r="A19" s="22" t="str">
        <x:v>逐雷战靴</x:v>
      </x:c>
      <x:c r="B19" s="22" t="str">
        <x:v>C1 V4</x:v>
      </x:c>
      <x:c r="C19" s="22" t="str">
        <x:v>鞋子</x:v>
      </x:c>
      <x:c r="D19" s="32" t="n">
        <x:v>28</x:v>
      </x:c>
      <x:c r="E19" s="32" t="n">
        <x:v>8</x:v>
      </x:c>
      <x:c r="F19" s="32" t="n">
        <x:v>0</x:v>
      </x:c>
      <x:c r="G19" s="32" t="n">
        <x:v>0</x:v>
      </x:c>
      <x:c r="H19" s="32" t="n">
        <x:v>0</x:v>
      </x:c>
      <x:c r="I19" s="32" t="n">
        <x:v>0</x:v>
      </x:c>
      <x:c r="J19" s="32" t="n">
        <x:v>0</x:v>
      </x:c>
      <x:c r="K19" s="32" t="n">
        <x:v>0</x:v>
      </x:c>
      <x:c r="L19" s="32" t="n">
        <x:v>0</x:v>
      </x:c>
      <x:c r="M19" s="32" t="n">
        <x:v>0</x:v>
      </x:c>
      <x:c r="N19" s="32" t="n">
        <x:v>11400</x:v>
      </x:c>
      <x:c r="O19" s="32" t="n">
        <x:v>0</x:v>
      </x:c>
      <x:c r="P19" s="32" t="n">
        <x:v>40</x:v>
      </x:c>
      <x:c r="Q19" s="32" t="n">
        <x:v>7</x:v>
      </x:c>
      <x:c r="R19" s="32" t="n">
        <x:v>0</x:v>
      </x:c>
      <x:c r="S19" s="32" t="n">
        <x:v>0</x:v>
      </x:c>
      <x:c r="T19" s="32" t="n">
        <x:v>0</x:v>
      </x:c>
      <x:c r="U19" s="32" t="n">
        <x:v>0</x:v>
      </x:c>
      <x:c r="V19" s="32" t="n">
        <x:v>0</x:v>
      </x:c>
      <x:c r="W19" s="32" t="n">
        <x:v>0</x:v>
      </x:c>
      <x:c r="X19" s="34" t="n">
        <x:f>('01_比较参数'!$B$2+D19)*(1+('01_比较参数'!$B$5+E19)/'01_比较参数'!$B$14)*(1+('01_比较参数'!$B$6+F19)/'01_比较参数'!$B$14)*(1+('01_比较参数'!$B$7+G19)/'01_比较参数'!$B$14)*(1+('01_比较参数'!$B$8+I19/'01_比较参数'!$B$14)*('01_比较参数'!$B$12-1+('01_比较参数'!$B$9+H19)/'01_比较参数'!$B$14))*(1+('01_比较参数'!$B$10+J19/'01_比较参数'!$B$14)*('01_比较参数'!$B$13-1+('01_比较参数'!$B$11+K19)/'01_比较参数'!$B$14))*(1+L19/'01_比较参数'!$B$14)*(1+M19/'01_比较参数'!$B$14)</x:f>
        <x:v>10539.034060800002</x:v>
      </x:c>
      <x:c r="Y19" s="34" t="n">
        <x:f>X19-'01_比较参数'!$B$18</x:f>
        <x:v>556.1380608</x:v>
      </x:c>
      <x:c r="Z19" s="36" t="n">
        <x:f>ROUNDDOWN(D19/2,0)</x:f>
        <x:v>14</x:v>
      </x:c>
    </x:row>
    <x:row r="20" ht="30" customHeight="1">
      <x:c r="A20" s="22" t="str">
        <x:v>风暴勋章</x:v>
      </x:c>
      <x:c r="B20" s="22" t="str">
        <x:v>C1 V4</x:v>
      </x:c>
      <x:c r="C20" s="22" t="str">
        <x:v>勋章</x:v>
      </x:c>
      <x:c r="D20" s="32" t="n">
        <x:v>30</x:v>
      </x:c>
      <x:c r="E20" s="32" t="n">
        <x:v>12</x:v>
      </x:c>
      <x:c r="F20" s="32" t="n">
        <x:v>6</x:v>
      </x:c>
      <x:c r="G20" s="32" t="n">
        <x:v>2</x:v>
      </x:c>
      <x:c r="H20" s="32" t="n">
        <x:v>6</x:v>
      </x:c>
      <x:c r="I20" s="32" t="n">
        <x:v>0</x:v>
      </x:c>
      <x:c r="J20" s="32" t="n">
        <x:v>0</x:v>
      </x:c>
      <x:c r="K20" s="32" t="n">
        <x:v>0</x:v>
      </x:c>
      <x:c r="L20" s="32" t="n">
        <x:v>0</x:v>
      </x:c>
      <x:c r="M20" s="32" t="n">
        <x:v>0</x:v>
      </x:c>
      <x:c r="N20" s="32" t="n">
        <x:v>6600</x:v>
      </x:c>
      <x:c r="O20" s="32" t="n">
        <x:v>0</x:v>
      </x:c>
      <x:c r="P20" s="32" t="n">
        <x:v>26</x:v>
      </x:c>
      <x:c r="Q20" s="32" t="n">
        <x:v>0</x:v>
      </x:c>
      <x:c r="R20" s="32" t="n">
        <x:v>0</x:v>
      </x:c>
      <x:c r="S20" s="32" t="n">
        <x:v>0</x:v>
      </x:c>
      <x:c r="T20" s="32" t="n">
        <x:v>0</x:v>
      </x:c>
      <x:c r="U20" s="32" t="n">
        <x:v>0</x:v>
      </x:c>
      <x:c r="V20" s="32" t="n">
        <x:v>0</x:v>
      </x:c>
      <x:c r="W20" s="32" t="n">
        <x:v>0</x:v>
      </x:c>
      <x:c r="X20" s="34" t="n">
        <x:f>('01_比较参数'!$B$2+D20)*(1+('01_比较参数'!$B$5+E20)/'01_比较参数'!$B$14)*(1+('01_比较参数'!$B$6+F20)/'01_比较参数'!$B$14)*(1+('01_比较参数'!$B$7+G20)/'01_比较参数'!$B$14)*(1+('01_比较参数'!$B$8+I20/'01_比较参数'!$B$14)*('01_比较参数'!$B$12-1+('01_比较参数'!$B$9+H20)/'01_比较参数'!$B$14))*(1+('01_比较参数'!$B$10+J20/'01_比较参数'!$B$14)*('01_比较参数'!$B$13-1+('01_比较参数'!$B$11+K20)/'01_比较参数'!$B$14))*(1+L20/'01_比较参数'!$B$14)*(1+M20/'01_比较参数'!$B$14)</x:f>
        <x:v>11456.552084584322</x:v>
      </x:c>
      <x:c r="Y20" s="34" t="n">
        <x:f>X20-'01_比较参数'!$B$18</x:f>
        <x:v>1473.6560845843196</x:v>
      </x:c>
      <x:c r="Z20" s="36" t="n">
        <x:f>ROUNDDOWN(D20/2,0)</x:f>
        <x:v>15</x:v>
      </x:c>
    </x:row>
    <x:row r="21" ht="30" customHeight="1">
      <x:c r="A21" s="22" t="str">
        <x:v>裂岩巨盾</x:v>
      </x:c>
      <x:c r="B21" s="22" t="str">
        <x:v>C1 V4</x:v>
      </x:c>
      <x:c r="C21" s="22" t="str">
        <x:v>盾牌</x:v>
      </x:c>
      <x:c r="D21" s="32" t="n">
        <x:v>28</x:v>
      </x:c>
      <x:c r="E21" s="32" t="n">
        <x:v>8</x:v>
      </x:c>
      <x:c r="F21" s="32" t="n">
        <x:v>0</x:v>
      </x:c>
      <x:c r="G21" s="32" t="n">
        <x:v>0</x:v>
      </x:c>
      <x:c r="H21" s="32" t="n">
        <x:v>0</x:v>
      </x:c>
      <x:c r="I21" s="32" t="n">
        <x:v>0</x:v>
      </x:c>
      <x:c r="J21" s="32" t="n">
        <x:v>0</x:v>
      </x:c>
      <x:c r="K21" s="32" t="n">
        <x:v>0</x:v>
      </x:c>
      <x:c r="L21" s="32" t="n">
        <x:v>0</x:v>
      </x:c>
      <x:c r="M21" s="32" t="n">
        <x:v>0</x:v>
      </x:c>
      <x:c r="N21" s="32" t="n">
        <x:v>16500</x:v>
      </x:c>
      <x:c r="O21" s="32" t="n">
        <x:v>0</x:v>
      </x:c>
      <x:c r="P21" s="32" t="n">
        <x:v>60</x:v>
      </x:c>
      <x:c r="Q21" s="32" t="n">
        <x:v>13</x:v>
      </x:c>
      <x:c r="R21" s="32" t="n">
        <x:v>0</x:v>
      </x:c>
      <x:c r="S21" s="32" t="n">
        <x:v>0</x:v>
      </x:c>
      <x:c r="T21" s="32" t="n">
        <x:v>0</x:v>
      </x:c>
      <x:c r="U21" s="32" t="n">
        <x:v>0</x:v>
      </x:c>
      <x:c r="V21" s="32" t="n">
        <x:v>0</x:v>
      </x:c>
      <x:c r="W21" s="32" t="n">
        <x:v>0</x:v>
      </x:c>
      <x:c r="X21" s="34" t="n">
        <x:f>('01_比较参数'!$B$2+D21)*(1+('01_比较参数'!$B$5+E21)/'01_比较参数'!$B$14)*(1+('01_比较参数'!$B$6+F21)/'01_比较参数'!$B$14)*(1+('01_比较参数'!$B$7+G21)/'01_比较参数'!$B$14)*(1+('01_比较参数'!$B$8+I21/'01_比较参数'!$B$14)*('01_比较参数'!$B$12-1+('01_比较参数'!$B$9+H21)/'01_比较参数'!$B$14))*(1+('01_比较参数'!$B$10+J21/'01_比较参数'!$B$14)*('01_比较参数'!$B$13-1+('01_比较参数'!$B$11+K21)/'01_比较参数'!$B$14))*(1+L21/'01_比较参数'!$B$14)*(1+M21/'01_比较参数'!$B$14)</x:f>
        <x:v>10539.034060800002</x:v>
      </x:c>
      <x:c r="Y21" s="34" t="n">
        <x:f>X21-'01_比较参数'!$B$18</x:f>
        <x:v>556.1380608</x:v>
      </x:c>
      <x:c r="Z21" s="36" t="n">
        <x:f>ROUNDDOWN(D21/2,0)</x:f>
        <x:v>14</x:v>
      </x:c>
    </x:row>
    <x:row r="22" ht="30" customHeight="1">
      <x:c r="A22" s="22" t="str">
        <x:v>黑翼灵玉</x:v>
      </x:c>
      <x:c r="B22" s="22" t="str">
        <x:v>C1 V4</x:v>
      </x:c>
      <x:c r="C22" s="22" t="str">
        <x:v>灵玉</x:v>
      </x:c>
      <x:c r="D22" s="32" t="n">
        <x:v>33</x:v>
      </x:c>
      <x:c r="E22" s="32" t="n">
        <x:v>12</x:v>
      </x:c>
      <x:c r="F22" s="32" t="n">
        <x:v>6</x:v>
      </x:c>
      <x:c r="G22" s="32" t="n">
        <x:v>2</x:v>
      </x:c>
      <x:c r="H22" s="32" t="n">
        <x:v>6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0</x:v>
      </x:c>
      <x:c r="N22" s="32" t="n">
        <x:v>6600</x:v>
      </x:c>
      <x:c r="O22" s="32" t="n">
        <x:v>0</x:v>
      </x:c>
      <x:c r="P22" s="32" t="n">
        <x:v>26</x:v>
      </x:c>
      <x:c r="Q22" s="32" t="n">
        <x:v>0</x:v>
      </x:c>
      <x:c r="R22" s="32" t="n">
        <x:v>0</x:v>
      </x:c>
      <x:c r="S22" s="32" t="n">
        <x:v>0</x:v>
      </x:c>
      <x:c r="T22" s="32" t="n">
        <x:v>0</x:v>
      </x:c>
      <x:c r="U22" s="32" t="n">
        <x:v>0</x:v>
      </x:c>
      <x:c r="V22" s="32" t="n">
        <x:v>0</x:v>
      </x:c>
      <x:c r="W22" s="32" t="n">
        <x:v>0</x:v>
      </x:c>
      <x:c r="X22" s="34" t="n">
        <x:f>('01_比较参数'!$B$2+D22)*(1+('01_比较参数'!$B$5+E22)/'01_比较参数'!$B$14)*(1+('01_比较参数'!$B$6+F22)/'01_比较参数'!$B$14)*(1+('01_比较参数'!$B$7+G22)/'01_比较参数'!$B$14)*(1+('01_比较参数'!$B$8+I22/'01_比较参数'!$B$14)*('01_比较参数'!$B$12-1+('01_比较参数'!$B$9+H22)/'01_比较参数'!$B$14))*(1+('01_比较参数'!$B$10+J22/'01_比较参数'!$B$14)*('01_比较参数'!$B$13-1+('01_比较参数'!$B$11+K22)/'01_比较参数'!$B$14))*(1+L22/'01_比较参数'!$B$14)*(1+M22/'01_比较参数'!$B$14)</x:f>
        <x:v>11479.015912201154</x:v>
      </x:c>
      <x:c r="Y22" s="34" t="n">
        <x:f>X22-'01_比较参数'!$B$18</x:f>
        <x:v>1496.1199122011512</x:v>
      </x:c>
      <x:c r="Z22" s="36" t="n">
        <x:f>ROUNDDOWN(D22/2,0)</x:f>
        <x:v>16</x:v>
      </x:c>
    </x:row>
    <x:row r="23" ht="30" customHeight="1">
      <x:c r="A23" s="22" t="str">
        <x:v>执刑雷刃</x:v>
      </x:c>
      <x:c r="B23" s="22" t="str">
        <x:v>C1 V4</x:v>
      </x:c>
      <x:c r="C23" s="22" t="str">
        <x:v>武器</x:v>
      </x:c>
      <x:c r="D23" s="32" t="n">
        <x:v>440</x:v>
      </x:c>
      <x:c r="E23" s="32" t="n">
        <x:v>40</x:v>
      </x:c>
      <x:c r="F23" s="32" t="n">
        <x:v>24</x:v>
      </x:c>
      <x:c r="G23" s="32" t="n">
        <x:v>14</x:v>
      </x:c>
      <x:c r="H23" s="32" t="n">
        <x:v>30</x:v>
      </x:c>
      <x:c r="I23" s="32" t="n">
        <x:v>0</x:v>
      </x:c>
      <x:c r="J23" s="32" t="n">
        <x:v>0</x:v>
      </x:c>
      <x:c r="K23" s="32" t="n">
        <x:v>0</x:v>
      </x:c>
      <x:c r="L23" s="32" t="n">
        <x:v>0</x:v>
      </x:c>
      <x:c r="M23" s="32" t="n">
        <x:v>0</x:v>
      </x:c>
      <x:c r="N23" s="32" t="n">
        <x:v>7660</x:v>
      </x:c>
      <x:c r="O23" s="32" t="n">
        <x:v>0</x:v>
      </x:c>
      <x:c r="P23" s="32" t="n">
        <x:v>0</x:v>
      </x:c>
      <x:c r="Q23" s="32" t="n">
        <x:v>0</x:v>
      </x:c>
      <x:c r="R23" s="32" t="n">
        <x:v>0</x:v>
      </x:c>
      <x:c r="S23" s="32" t="n">
        <x:v>0</x:v>
      </x:c>
      <x:c r="T23" s="32" t="n">
        <x:v>13</x:v>
      </x:c>
      <x:c r="U23" s="32" t="n">
        <x:v>2</x:v>
      </x:c>
      <x:c r="V23" s="32" t="n">
        <x:v>88</x:v>
      </x:c>
      <x:c r="W23" s="32" t="n">
        <x:v>2</x:v>
      </x:c>
      <x:c r="X23" s="34" t="n">
        <x:f>('01_比较参数'!$B$2+D23)*(1+('01_比较参数'!$B$5+E23)/'01_比较参数'!$B$14)*(1+('01_比较参数'!$B$6+F23)/'01_比较参数'!$B$14)*(1+('01_比较参数'!$B$7+G23)/'01_比较参数'!$B$14)*(1+('01_比较参数'!$B$8+I23/'01_比较参数'!$B$14)*('01_比较参数'!$B$12-1+('01_比较参数'!$B$9+H23)/'01_比较参数'!$B$14))*(1+('01_比较参数'!$B$10+J23/'01_比较参数'!$B$14)*('01_比较参数'!$B$13-1+('01_比较参数'!$B$11+K23)/'01_比较参数'!$B$14))*(1+L23/'01_比较参数'!$B$14)*(1+M23/'01_比较参数'!$B$14)</x:f>
        <x:v>20699.423466176</x:v>
      </x:c>
      <x:c r="Y23" s="34" t="n">
        <x:f>X23-'01_比较参数'!$B$18</x:f>
        <x:v>10716.527466175996</x:v>
      </x:c>
      <x:c r="Z23" s="36" t="n">
        <x:f>ROUNDDOWN(D23/2,0)</x:f>
        <x:v>220</x:v>
      </x:c>
    </x:row>
    <x:row r="24" ht="30" customHeight="1">
      <x:c r="A24" s="22" t="str">
        <x:v>古龙风铠</x:v>
      </x:c>
      <x:c r="B24" s="22" t="str">
        <x:v>C1 V4</x:v>
      </x:c>
      <x:c r="C24" s="22" t="str">
        <x:v>衣服</x:v>
      </x:c>
      <x:c r="D24" s="32" t="n">
        <x:v>80</x:v>
      </x:c>
      <x:c r="E24" s="32" t="n">
        <x:v>16</x:v>
      </x:c>
      <x:c r="F24" s="32" t="n">
        <x:v>0</x:v>
      </x:c>
      <x:c r="G24" s="32" t="n">
        <x:v>0</x:v>
      </x:c>
      <x:c r="H24" s="32" t="n">
        <x:v>0</x:v>
      </x:c>
      <x:c r="I24" s="32" t="n">
        <x:v>0</x:v>
      </x:c>
      <x:c r="J24" s="32" t="n">
        <x:v>0</x:v>
      </x:c>
      <x:c r="K24" s="32" t="n">
        <x:v>0</x:v>
      </x:c>
      <x:c r="L24" s="32" t="n">
        <x:v>0</x:v>
      </x:c>
      <x:c r="M24" s="32" t="n">
        <x:v>0</x:v>
      </x:c>
      <x:c r="N24" s="32" t="n">
        <x:v>80000</x:v>
      </x:c>
      <x:c r="O24" s="32" t="n">
        <x:v>8</x:v>
      </x:c>
      <x:c r="P24" s="32" t="n">
        <x:v>63</x:v>
      </x:c>
      <x:c r="Q24" s="32" t="n">
        <x:v>18</x:v>
      </x:c>
      <x:c r="R24" s="32" t="n">
        <x:v>1</x:v>
      </x:c>
      <x:c r="S24" s="32" t="n">
        <x:v>0</x:v>
      </x:c>
      <x:c r="T24" s="32" t="n">
        <x:v>0</x:v>
      </x:c>
      <x:c r="U24" s="32" t="n">
        <x:v>0</x:v>
      </x:c>
      <x:c r="V24" s="32" t="n">
        <x:v>0</x:v>
      </x:c>
      <x:c r="W24" s="32" t="n">
        <x:v>0</x:v>
      </x:c>
      <x:c r="X24" s="34" t="n">
        <x:f>('01_比较参数'!$B$2+D24)*(1+('01_比较参数'!$B$5+E24)/'01_比较参数'!$B$14)*(1+('01_比较参数'!$B$6+F24)/'01_比较参数'!$B$14)*(1+('01_比较参数'!$B$7+G24)/'01_比较参数'!$B$14)*(1+('01_比较参数'!$B$8+I24/'01_比较参数'!$B$14)*('01_比较参数'!$B$12-1+('01_比较参数'!$B$9+H24)/'01_比较参数'!$B$14))*(1+('01_比较参数'!$B$10+J24/'01_比较参数'!$B$14)*('01_比较参数'!$B$13-1+('01_比较参数'!$B$11+K24)/'01_比较参数'!$B$14))*(1+L24/'01_比较参数'!$B$14)*(1+M24/'01_比较参数'!$B$14)</x:f>
        <x:v>11280.067456000004</x:v>
      </x:c>
      <x:c r="Y24" s="34" t="n">
        <x:f>X24-'01_比较参数'!$B$18</x:f>
        <x:v>1297.1714560000019</x:v>
      </x:c>
      <x:c r="Z24" s="36" t="n">
        <x:f>ROUNDDOWN(D24/2,0)</x:f>
        <x:v>40</x:v>
      </x:c>
    </x:row>
    <x:row r="25" ht="30" customHeight="1">
      <x:c r="A25" s="22" t="str">
        <x:v>溺亡王盔</x:v>
      </x:c>
      <x:c r="B25" s="22" t="str">
        <x:v>C1 V4</x:v>
      </x:c>
      <x:c r="C25" s="22" t="str">
        <x:v>头盔</x:v>
      </x:c>
      <x:c r="D25" s="32" t="n">
        <x:v>38</x:v>
      </x:c>
      <x:c r="E25" s="32" t="n">
        <x:v>8</x:v>
      </x:c>
      <x:c r="F25" s="32" t="n">
        <x:v>0</x:v>
      </x:c>
      <x:c r="G25" s="32" t="n">
        <x:v>0</x:v>
      </x:c>
      <x:c r="H25" s="32" t="n">
        <x:v>0</x:v>
      </x:c>
      <x:c r="I25" s="32" t="n">
        <x:v>0</x:v>
      </x:c>
      <x:c r="J25" s="32" t="n">
        <x:v>0</x:v>
      </x:c>
      <x:c r="K25" s="32" t="n">
        <x:v>0</x:v>
      </x:c>
      <x:c r="L25" s="32" t="n">
        <x:v>0</x:v>
      </x:c>
      <x:c r="M25" s="32" t="n">
        <x:v>0</x:v>
      </x:c>
      <x:c r="N25" s="32" t="n">
        <x:v>18800</x:v>
      </x:c>
      <x:c r="O25" s="32" t="n">
        <x:v>0</x:v>
      </x:c>
      <x:c r="P25" s="32" t="n">
        <x:v>46</x:v>
      </x:c>
      <x:c r="Q25" s="32" t="n">
        <x:v>5</x:v>
      </x:c>
      <x:c r="R25" s="32" t="n">
        <x:v>0</x:v>
      </x:c>
      <x:c r="S25" s="32" t="n">
        <x:v>0</x:v>
      </x:c>
      <x:c r="T25" s="32" t="n">
        <x:v>0</x:v>
      </x:c>
      <x:c r="U25" s="32" t="n">
        <x:v>0</x:v>
      </x:c>
      <x:c r="V25" s="32" t="n">
        <x:v>0</x:v>
      </x:c>
      <x:c r="W25" s="32" t="n">
        <x:v>0</x:v>
      </x:c>
      <x:c r="X25" s="34" t="n">
        <x:f>('01_比较参数'!$B$2+D25)*(1+('01_比较参数'!$B$5+E25)/'01_比较参数'!$B$14)*(1+('01_比较参数'!$B$6+F25)/'01_比较参数'!$B$14)*(1+('01_比较参数'!$B$7+G25)/'01_比较参数'!$B$14)*(1+('01_比较参数'!$B$8+I25/'01_比较参数'!$B$14)*('01_比较参数'!$B$12-1+('01_比较参数'!$B$9+H25)/'01_比较参数'!$B$14))*(1+('01_比较参数'!$B$10+J25/'01_比较参数'!$B$14)*('01_比较参数'!$B$13-1+('01_比较参数'!$B$11+K25)/'01_比较参数'!$B$14))*(1+L25/'01_比较参数'!$B$14)*(1+M25/'01_比较参数'!$B$14)</x:f>
        <x:v>10608.006796800002</x:v>
      </x:c>
      <x:c r="Y25" s="34" t="n">
        <x:f>X25-'01_比较参数'!$B$18</x:f>
        <x:v>625.1107967999997</x:v>
      </x:c>
      <x:c r="Z25" s="36" t="n">
        <x:f>ROUNDDOWN(D25/2,0)</x:f>
        <x:v>19</x:v>
      </x:c>
    </x:row>
    <x:row r="26" ht="30" customHeight="1">
      <x:c r="A26" s="22" t="str">
        <x:v>沉宫项链</x:v>
      </x:c>
      <x:c r="B26" s="22" t="str">
        <x:v>C1 V4</x:v>
      </x:c>
      <x:c r="C26" s="22" t="str">
        <x:v>项链</x:v>
      </x:c>
      <x:c r="D26" s="32" t="n">
        <x:v>53</x:v>
      </x:c>
      <x:c r="E26" s="32" t="n">
        <x:v>11</x:v>
      </x:c>
      <x:c r="F26" s="32" t="n">
        <x:v>6</x:v>
      </x:c>
      <x:c r="G26" s="32" t="n">
        <x:v>3</x:v>
      </x:c>
      <x:c r="H26" s="32" t="n">
        <x:v>6</x:v>
      </x:c>
      <x:c r="I26" s="32" t="n">
        <x:v>0</x:v>
      </x:c>
      <x:c r="J26" s="32" t="n">
        <x:v>0</x:v>
      </x:c>
      <x:c r="K26" s="32" t="n">
        <x:v>0</x:v>
      </x:c>
      <x:c r="L26" s="32" t="n">
        <x:v>0</x:v>
      </x:c>
      <x:c r="M26" s="32" t="n">
        <x:v>0</x:v>
      </x:c>
      <x:c r="N26" s="32" t="n">
        <x:v>10900</x:v>
      </x:c>
      <x:c r="O26" s="32" t="n">
        <x:v>0</x:v>
      </x:c>
      <x:c r="P26" s="32" t="n">
        <x:v>0</x:v>
      </x:c>
      <x:c r="Q26" s="32" t="n">
        <x:v>0</x:v>
      </x:c>
      <x:c r="R26" s="32" t="n">
        <x:v>0</x:v>
      </x:c>
      <x:c r="S26" s="32" t="n">
        <x:v>0</x:v>
      </x:c>
      <x:c r="T26" s="32" t="n">
        <x:v>0</x:v>
      </x:c>
      <x:c r="U26" s="32" t="n">
        <x:v>0</x:v>
      </x:c>
      <x:c r="V26" s="32" t="n">
        <x:v>0</x:v>
      </x:c>
      <x:c r="W26" s="32" t="n">
        <x:v>0</x:v>
      </x:c>
      <x:c r="X26" s="34" t="n">
        <x:f>('01_比较参数'!$B$2+D26)*(1+('01_比较参数'!$B$5+E26)/'01_比较参数'!$B$14)*(1+('01_比较参数'!$B$6+F26)/'01_比较参数'!$B$14)*(1+('01_比较参数'!$B$7+G26)/'01_比较参数'!$B$14)*(1+('01_比较参数'!$B$8+I26/'01_比较参数'!$B$14)*('01_比较参数'!$B$12-1+('01_比较参数'!$B$9+H26)/'01_比较参数'!$B$14))*(1+('01_比较参数'!$B$10+J26/'01_比较参数'!$B$14)*('01_比较参数'!$B$13-1+('01_比较参数'!$B$11+K26)/'01_比较参数'!$B$14))*(1+L26/'01_比较参数'!$B$14)*(1+M26/'01_比较参数'!$B$14)</x:f>
        <x:v>11669.821212048388</x:v>
      </x:c>
      <x:c r="Y26" s="34" t="n">
        <x:f>X26-'01_比较参数'!$B$18</x:f>
        <x:v>1686.9252120483852</x:v>
      </x:c>
      <x:c r="Z26" s="36" t="n">
        <x:f>ROUNDDOWN(D26/2,0)</x:f>
        <x:v>26</x:v>
      </x:c>
    </x:row>
    <x:row r="27" ht="30" customHeight="1">
      <x:c r="A27" s="22" t="str">
        <x:v>苔痕护腕</x:v>
      </x:c>
      <x:c r="B27" s="22" t="str">
        <x:v>C1 V4</x:v>
      </x:c>
      <x:c r="C27" s="22" t="str">
        <x:v>手镯</x:v>
      </x:c>
      <x:c r="D27" s="32" t="n">
        <x:v>57</x:v>
      </x:c>
      <x:c r="E27" s="32" t="n">
        <x:v>11</x:v>
      </x:c>
      <x:c r="F27" s="32" t="n">
        <x:v>6</x:v>
      </x:c>
      <x:c r="G27" s="32" t="n">
        <x:v>3</x:v>
      </x:c>
      <x:c r="H27" s="32" t="n">
        <x:v>6</x:v>
      </x:c>
      <x:c r="I27" s="32" t="n">
        <x:v>0</x:v>
      </x:c>
      <x:c r="J27" s="32" t="n">
        <x:v>0</x:v>
      </x:c>
      <x:c r="K27" s="32" t="n">
        <x:v>0</x:v>
      </x:c>
      <x:c r="L27" s="32" t="n">
        <x:v>0</x:v>
      </x:c>
      <x:c r="M27" s="32" t="n">
        <x:v>0</x:v>
      </x:c>
      <x:c r="N27" s="32" t="n">
        <x:v>10900</x:v>
      </x:c>
      <x:c r="O27" s="32" t="n">
        <x:v>0</x:v>
      </x:c>
      <x:c r="P27" s="32" t="n">
        <x:v>30</x:v>
      </x:c>
      <x:c r="Q27" s="32" t="n">
        <x:v>3</x:v>
      </x:c>
      <x:c r="R27" s="32" t="n">
        <x:v>0</x:v>
      </x:c>
      <x:c r="S27" s="32" t="n">
        <x:v>0</x:v>
      </x:c>
      <x:c r="T27" s="32" t="n">
        <x:v>0</x:v>
      </x:c>
      <x:c r="U27" s="32" t="n">
        <x:v>0</x:v>
      </x:c>
      <x:c r="V27" s="32" t="n">
        <x:v>0</x:v>
      </x:c>
      <x:c r="W27" s="32" t="n">
        <x:v>0</x:v>
      </x:c>
      <x:c r="X27" s="34" t="n">
        <x:f>('01_比较参数'!$B$2+D27)*(1+('01_比较参数'!$B$5+E27)/'01_比较参数'!$B$14)*(1+('01_比较参数'!$B$6+F27)/'01_比较参数'!$B$14)*(1+('01_比较参数'!$B$7+G27)/'01_比较参数'!$B$14)*(1+('01_比较参数'!$B$8+I27/'01_比较参数'!$B$14)*('01_比较参数'!$B$12-1+('01_比较参数'!$B$9+H27)/'01_比较参数'!$B$14))*(1+('01_比较参数'!$B$10+J27/'01_比较参数'!$B$14)*('01_比较参数'!$B$13-1+('01_比较参数'!$B$11+K27)/'01_比较参数'!$B$14))*(1+L27/'01_比较参数'!$B$14)*(1+M27/'01_比较参数'!$B$14)</x:f>
        <x:v>11699.878703901699</x:v>
      </x:c>
      <x:c r="Y27" s="34" t="n">
        <x:f>X27-'01_比较参数'!$B$18</x:f>
        <x:v>1716.9827039016964</x:v>
      </x:c>
      <x:c r="Z27" s="36" t="n">
        <x:f>ROUNDDOWN(D27/2,0)</x:f>
        <x:v>28</x:v>
      </x:c>
    </x:row>
    <x:row r="28" ht="30" customHeight="1">
      <x:c r="A28" s="22" t="str">
        <x:v>王庭秘戒</x:v>
      </x:c>
      <x:c r="B28" s="22" t="str">
        <x:v>C1 V4</x:v>
      </x:c>
      <x:c r="C28" s="22" t="str">
        <x:v>戒指</x:v>
      </x:c>
      <x:c r="D28" s="32" t="n">
        <x:v>57</x:v>
      </x:c>
      <x:c r="E28" s="32" t="n">
        <x:v>11</x:v>
      </x:c>
      <x:c r="F28" s="32" t="n">
        <x:v>6</x:v>
      </x:c>
      <x:c r="G28" s="32" t="n">
        <x:v>3</x:v>
      </x:c>
      <x:c r="H28" s="32" t="n">
        <x:v>6</x:v>
      </x:c>
      <x:c r="I28" s="32" t="n">
        <x:v>0</x:v>
      </x:c>
      <x:c r="J28" s="32" t="n">
        <x:v>0</x:v>
      </x:c>
      <x:c r="K28" s="32" t="n">
        <x:v>0</x:v>
      </x:c>
      <x:c r="L28" s="32" t="n">
        <x:v>0</x:v>
      </x:c>
      <x:c r="M28" s="32" t="n">
        <x:v>0</x:v>
      </x:c>
      <x:c r="N28" s="32" t="n">
        <x:v>10900</x:v>
      </x:c>
      <x:c r="O28" s="32" t="n">
        <x:v>0</x:v>
      </x:c>
      <x:c r="P28" s="32" t="n">
        <x:v>30</x:v>
      </x:c>
      <x:c r="Q28" s="32" t="n">
        <x:v>3</x:v>
      </x:c>
      <x:c r="R28" s="32" t="n">
        <x:v>0</x:v>
      </x:c>
      <x:c r="S28" s="32" t="n">
        <x:v>0</x:v>
      </x:c>
      <x:c r="T28" s="32" t="n">
        <x:v>0</x:v>
      </x:c>
      <x:c r="U28" s="32" t="n">
        <x:v>0</x:v>
      </x:c>
      <x:c r="V28" s="32" t="n">
        <x:v>0</x:v>
      </x:c>
      <x:c r="W28" s="32" t="n">
        <x:v>0</x:v>
      </x:c>
      <x:c r="X28" s="34" t="n">
        <x:f>('01_比较参数'!$B$2+D28)*(1+('01_比较参数'!$B$5+E28)/'01_比较参数'!$B$14)*(1+('01_比较参数'!$B$6+F28)/'01_比较参数'!$B$14)*(1+('01_比较参数'!$B$7+G28)/'01_比较参数'!$B$14)*(1+('01_比较参数'!$B$8+I28/'01_比较参数'!$B$14)*('01_比较参数'!$B$12-1+('01_比较参数'!$B$9+H28)/'01_比较参数'!$B$14))*(1+('01_比较参数'!$B$10+J28/'01_比较参数'!$B$14)*('01_比较参数'!$B$13-1+('01_比较参数'!$B$11+K28)/'01_比较参数'!$B$14))*(1+L28/'01_比较参数'!$B$14)*(1+M28/'01_比较参数'!$B$14)</x:f>
        <x:v>11699.878703901699</x:v>
      </x:c>
      <x:c r="Y28" s="34" t="n">
        <x:f>X28-'01_比较参数'!$B$18</x:f>
        <x:v>1716.9827039016964</x:v>
      </x:c>
      <x:c r="Z28" s="36" t="n">
        <x:f>ROUNDDOWN(D28/2,0)</x:f>
        <x:v>28</x:v>
      </x:c>
    </x:row>
    <x:row r="29" ht="30" customHeight="1">
      <x:c r="A29" s="22" t="str">
        <x:v>深水束带</x:v>
      </x:c>
      <x:c r="B29" s="22" t="str">
        <x:v>C1 V4</x:v>
      </x:c>
      <x:c r="C29" s="22" t="str">
        <x:v>腰带</x:v>
      </x:c>
      <x:c r="D29" s="32" t="n">
        <x:v>38</x:v>
      </x:c>
      <x:c r="E29" s="32" t="n">
        <x:v>8</x:v>
      </x:c>
      <x:c r="F29" s="32" t="n">
        <x:v>0</x:v>
      </x:c>
      <x:c r="G29" s="32" t="n">
        <x:v>0</x:v>
      </x:c>
      <x:c r="H29" s="32" t="n">
        <x:v>0</x:v>
      </x:c>
      <x:c r="I29" s="32" t="n">
        <x:v>0</x:v>
      </x:c>
      <x:c r="J29" s="32" t="n">
        <x:v>0</x:v>
      </x:c>
      <x:c r="K29" s="32" t="n">
        <x:v>0</x:v>
      </x:c>
      <x:c r="L29" s="32" t="n">
        <x:v>0</x:v>
      </x:c>
      <x:c r="M29" s="32" t="n">
        <x:v>0</x:v>
      </x:c>
      <x:c r="N29" s="32" t="n">
        <x:v>18800</x:v>
      </x:c>
      <x:c r="O29" s="32" t="n">
        <x:v>0</x:v>
      </x:c>
      <x:c r="P29" s="32" t="n">
        <x:v>46</x:v>
      </x:c>
      <x:c r="Q29" s="32" t="n">
        <x:v>5</x:v>
      </x:c>
      <x:c r="R29" s="32" t="n">
        <x:v>0</x:v>
      </x:c>
      <x:c r="S29" s="32" t="n">
        <x:v>0</x:v>
      </x:c>
      <x:c r="T29" s="32" t="n">
        <x:v>0</x:v>
      </x:c>
      <x:c r="U29" s="32" t="n">
        <x:v>0</x:v>
      </x:c>
      <x:c r="V29" s="32" t="n">
        <x:v>0</x:v>
      </x:c>
      <x:c r="W29" s="32" t="n">
        <x:v>0</x:v>
      </x:c>
      <x:c r="X29" s="34" t="n">
        <x:f>('01_比较参数'!$B$2+D29)*(1+('01_比较参数'!$B$5+E29)/'01_比较参数'!$B$14)*(1+('01_比较参数'!$B$6+F29)/'01_比较参数'!$B$14)*(1+('01_比较参数'!$B$7+G29)/'01_比较参数'!$B$14)*(1+('01_比较参数'!$B$8+I29/'01_比较参数'!$B$14)*('01_比较参数'!$B$12-1+('01_比较参数'!$B$9+H29)/'01_比较参数'!$B$14))*(1+('01_比较参数'!$B$10+J29/'01_比较参数'!$B$14)*('01_比较参数'!$B$13-1+('01_比较参数'!$B$11+K29)/'01_比较参数'!$B$14))*(1+L29/'01_比较参数'!$B$14)*(1+M29/'01_比较参数'!$B$14)</x:f>
        <x:v>10608.006796800002</x:v>
      </x:c>
      <x:c r="Y29" s="34" t="n">
        <x:f>X29-'01_比较参数'!$B$18</x:f>
        <x:v>625.1107967999997</x:v>
      </x:c>
      <x:c r="Z29" s="36" t="n">
        <x:f>ROUNDDOWN(D29/2,0)</x:f>
        <x:v>19</x:v>
      </x:c>
    </x:row>
    <x:row r="30" ht="30" customHeight="1">
      <x:c r="A30" s="22" t="str">
        <x:v>幽灯面巾</x:v>
      </x:c>
      <x:c r="B30" s="22" t="str">
        <x:v>C1 V4</x:v>
      </x:c>
      <x:c r="C30" s="22" t="str">
        <x:v>斗笠</x:v>
      </x:c>
      <x:c r="D30" s="32" t="n">
        <x:v>34</x:v>
      </x:c>
      <x:c r="E30" s="32" t="n">
        <x:v>8</x:v>
      </x:c>
      <x:c r="F30" s="32" t="n">
        <x:v>0</x:v>
      </x:c>
      <x:c r="G30" s="32" t="n">
        <x:v>0</x:v>
      </x:c>
      <x:c r="H30" s="32" t="n">
        <x:v>0</x:v>
      </x:c>
      <x:c r="I30" s="32" t="n">
        <x:v>0</x:v>
      </x:c>
      <x:c r="J30" s="32" t="n">
        <x:v>0</x:v>
      </x:c>
      <x:c r="K30" s="32" t="n">
        <x:v>0</x:v>
      </x:c>
      <x:c r="L30" s="32" t="n">
        <x:v>0</x:v>
      </x:c>
      <x:c r="M30" s="32" t="n">
        <x:v>0</x:v>
      </x:c>
      <x:c r="N30" s="32" t="n">
        <x:v>18800</x:v>
      </x:c>
      <x:c r="O30" s="32" t="n">
        <x:v>0</x:v>
      </x:c>
      <x:c r="P30" s="32" t="n">
        <x:v>46</x:v>
      </x:c>
      <x:c r="Q30" s="32" t="n">
        <x:v>5</x:v>
      </x:c>
      <x:c r="R30" s="32" t="n">
        <x:v>0</x:v>
      </x:c>
      <x:c r="S30" s="32" t="n">
        <x:v>0</x:v>
      </x:c>
      <x:c r="T30" s="32" t="n">
        <x:v>0</x:v>
      </x:c>
      <x:c r="U30" s="32" t="n">
        <x:v>0</x:v>
      </x:c>
      <x:c r="V30" s="32" t="n">
        <x:v>0</x:v>
      </x:c>
      <x:c r="W30" s="32" t="n">
        <x:v>0</x:v>
      </x:c>
      <x:c r="X30" s="34" t="n">
        <x:f>('01_比较参数'!$B$2+D30)*(1+('01_比较参数'!$B$5+E30)/'01_比较参数'!$B$14)*(1+('01_比较参数'!$B$6+F30)/'01_比较参数'!$B$14)*(1+('01_比较参数'!$B$7+G30)/'01_比较参数'!$B$14)*(1+('01_比较参数'!$B$8+I30/'01_比较参数'!$B$14)*('01_比较参数'!$B$12-1+('01_比较参数'!$B$9+H30)/'01_比较参数'!$B$14))*(1+('01_比较参数'!$B$10+J30/'01_比较参数'!$B$14)*('01_比较参数'!$B$13-1+('01_比较参数'!$B$11+K30)/'01_比较参数'!$B$14))*(1+L30/'01_比较参数'!$B$14)*(1+M30/'01_比较参数'!$B$14)</x:f>
        <x:v>10580.417702400002</x:v>
      </x:c>
      <x:c r="Y30" s="34" t="n">
        <x:f>X30-'01_比较参数'!$B$18</x:f>
        <x:v>597.5217023999994</x:v>
      </x:c>
      <x:c r="Z30" s="36" t="n">
        <x:f>ROUNDDOWN(D30/2,0)</x:f>
        <x:v>17</x:v>
      </x:c>
    </x:row>
    <x:row r="31" ht="30" customHeight="1">
      <x:c r="A31" s="22" t="str">
        <x:v>失冠战靴</x:v>
      </x:c>
      <x:c r="B31" s="22" t="str">
        <x:v>C1 V4</x:v>
      </x:c>
      <x:c r="C31" s="22" t="str">
        <x:v>鞋子</x:v>
      </x:c>
      <x:c r="D31" s="32" t="n">
        <x:v>43</x:v>
      </x:c>
      <x:c r="E31" s="32" t="n">
        <x:v>9</x:v>
      </x:c>
      <x:c r="F31" s="32" t="n">
        <x:v>0</x:v>
      </x:c>
      <x:c r="G31" s="32" t="n">
        <x:v>0</x:v>
      </x:c>
      <x:c r="H31" s="32" t="n">
        <x:v>0</x:v>
      </x:c>
      <x:c r="I31" s="32" t="n">
        <x:v>0</x:v>
      </x:c>
      <x:c r="J31" s="32" t="n">
        <x:v>0</x:v>
      </x:c>
      <x:c r="K31" s="32" t="n">
        <x:v>0</x:v>
      </x:c>
      <x:c r="L31" s="32" t="n">
        <x:v>0</x:v>
      </x:c>
      <x:c r="M31" s="32" t="n">
        <x:v>0</x:v>
      </x:c>
      <x:c r="N31" s="32" t="n">
        <x:v>21400</x:v>
      </x:c>
      <x:c r="O31" s="32" t="n">
        <x:v>0</x:v>
      </x:c>
      <x:c r="P31" s="32" t="n">
        <x:v>53</x:v>
      </x:c>
      <x:c r="Q31" s="32" t="n">
        <x:v>7</x:v>
      </x:c>
      <x:c r="R31" s="32" t="n">
        <x:v>0</x:v>
      </x:c>
      <x:c r="S31" s="32" t="n">
        <x:v>0</x:v>
      </x:c>
      <x:c r="T31" s="32" t="n">
        <x:v>0</x:v>
      </x:c>
      <x:c r="U31" s="32" t="n">
        <x:v>0</x:v>
      </x:c>
      <x:c r="V31" s="32" t="n">
        <x:v>0</x:v>
      </x:c>
      <x:c r="W31" s="32" t="n">
        <x:v>0</x:v>
      </x:c>
      <x:c r="X31" s="34" t="n">
        <x:f>('01_比较参数'!$B$2+D31)*(1+('01_比较参数'!$B$5+E31)/'01_比较参数'!$B$14)*(1+('01_比较参数'!$B$6+F31)/'01_比较参数'!$B$14)*(1+('01_比较参数'!$B$7+G31)/'01_比较参数'!$B$14)*(1+('01_比较参数'!$B$8+I31/'01_比较参数'!$B$14)*('01_比较参数'!$B$12-1+('01_比较参数'!$B$9+H31)/'01_比较参数'!$B$14))*(1+('01_比较参数'!$B$10+J31/'01_比较参数'!$B$14)*('01_比较参数'!$B$13-1+('01_比较参数'!$B$11+K31)/'01_比较参数'!$B$14))*(1+L31/'01_比较参数'!$B$14)*(1+M31/'01_比较参数'!$B$14)</x:f>
        <x:v>10689.1707664</x:v>
      </x:c>
      <x:c r="Y31" s="34" t="n">
        <x:f>X31-'01_比较参数'!$B$18</x:f>
        <x:v>706.274766399998</x:v>
      </x:c>
      <x:c r="Z31" s="36" t="n">
        <x:f>ROUNDDOWN(D31/2,0)</x:f>
        <x:v>21</x:v>
      </x:c>
    </x:row>
    <x:row r="32" ht="30" customHeight="1">
      <x:c r="A32" s="22" t="str">
        <x:v>深渊勋章</x:v>
      </x:c>
      <x:c r="B32" s="22" t="str">
        <x:v>C1 V4</x:v>
      </x:c>
      <x:c r="C32" s="22" t="str">
        <x:v>勋章</x:v>
      </x:c>
      <x:c r="D32" s="32" t="n">
        <x:v>47</x:v>
      </x:c>
      <x:c r="E32" s="32" t="n">
        <x:v>15</x:v>
      </x:c>
      <x:c r="F32" s="32" t="n">
        <x:v>8</x:v>
      </x:c>
      <x:c r="G32" s="32" t="n">
        <x:v>4</x:v>
      </x:c>
      <x:c r="H32" s="32" t="n">
        <x:v>8</x:v>
      </x:c>
      <x:c r="I32" s="32" t="n">
        <x:v>0</x:v>
      </x:c>
      <x:c r="J32" s="32" t="n">
        <x:v>0</x:v>
      </x:c>
      <x:c r="K32" s="32" t="n">
        <x:v>0</x:v>
      </x:c>
      <x:c r="L32" s="32" t="n">
        <x:v>0</x:v>
      </x:c>
      <x:c r="M32" s="32" t="n">
        <x:v>0</x:v>
      </x:c>
      <x:c r="N32" s="32" t="n">
        <x:v>12400</x:v>
      </x:c>
      <x:c r="O32" s="32" t="n">
        <x:v>0</x:v>
      </x:c>
      <x:c r="P32" s="32" t="n">
        <x:v>34</x:v>
      </x:c>
      <x:c r="Q32" s="32" t="n">
        <x:v>0</x:v>
      </x:c>
      <x:c r="R32" s="32" t="n">
        <x:v>0</x:v>
      </x:c>
      <x:c r="S32" s="32" t="n">
        <x:v>0</x:v>
      </x:c>
      <x:c r="T32" s="32" t="n">
        <x:v>0</x:v>
      </x:c>
      <x:c r="U32" s="32" t="n">
        <x:v>0</x:v>
      </x:c>
      <x:c r="V32" s="32" t="n">
        <x:v>0</x:v>
      </x:c>
      <x:c r="W32" s="32" t="n">
        <x:v>0</x:v>
      </x:c>
      <x:c r="X32" s="34" t="n">
        <x:f>('01_比较参数'!$B$2+D32)*(1+('01_比较参数'!$B$5+E32)/'01_比较参数'!$B$14)*(1+('01_比较参数'!$B$6+F32)/'01_比较参数'!$B$14)*(1+('01_比较参数'!$B$7+G32)/'01_比较参数'!$B$14)*(1+('01_比较参数'!$B$8+I32/'01_比较参数'!$B$14)*('01_比较参数'!$B$12-1+('01_比较参数'!$B$9+H32)/'01_比较参数'!$B$14))*(1+('01_比较参数'!$B$10+J32/'01_比较参数'!$B$14)*('01_比较参数'!$B$13-1+('01_比较参数'!$B$11+K32)/'01_比较参数'!$B$14))*(1+L32/'01_比较参数'!$B$14)*(1+M32/'01_比较参数'!$B$14)</x:f>
        <x:v>12110.327837637125</x:v>
      </x:c>
      <x:c r="Y32" s="34" t="n">
        <x:f>X32-'01_比较参数'!$B$18</x:f>
        <x:v>2127.431837637123</x:v>
      </x:c>
      <x:c r="Z32" s="36" t="n">
        <x:f>ROUNDDOWN(D32/2,0)</x:f>
        <x:v>23</x:v>
      </x:c>
    </x:row>
    <x:row r="33" ht="30" customHeight="1">
      <x:c r="A33" s="22" t="str">
        <x:v>裁决王盾</x:v>
      </x:c>
      <x:c r="B33" s="22" t="str">
        <x:v>C1 V4</x:v>
      </x:c>
      <x:c r="C33" s="22" t="str">
        <x:v>盾牌</x:v>
      </x:c>
      <x:c r="D33" s="32" t="n">
        <x:v>43</x:v>
      </x:c>
      <x:c r="E33" s="32" t="n">
        <x:v>9</x:v>
      </x:c>
      <x:c r="F33" s="32" t="n">
        <x:v>0</x:v>
      </x:c>
      <x:c r="G33" s="32" t="n">
        <x:v>0</x:v>
      </x:c>
      <x:c r="H33" s="32" t="n">
        <x:v>0</x:v>
      </x:c>
      <x:c r="I33" s="32" t="n">
        <x:v>0</x:v>
      </x:c>
      <x:c r="J33" s="32" t="n">
        <x:v>0</x:v>
      </x:c>
      <x:c r="K33" s="32" t="n">
        <x:v>0</x:v>
      </x:c>
      <x:c r="L33" s="32" t="n">
        <x:v>0</x:v>
      </x:c>
      <x:c r="M33" s="32" t="n">
        <x:v>0</x:v>
      </x:c>
      <x:c r="N33" s="32" t="n">
        <x:v>30900</x:v>
      </x:c>
      <x:c r="O33" s="32" t="n">
        <x:v>0</x:v>
      </x:c>
      <x:c r="P33" s="32" t="n">
        <x:v>79</x:v>
      </x:c>
      <x:c r="Q33" s="32" t="n">
        <x:v>13</x:v>
      </x:c>
      <x:c r="R33" s="32" t="n">
        <x:v>0</x:v>
      </x:c>
      <x:c r="S33" s="32" t="n">
        <x:v>0</x:v>
      </x:c>
      <x:c r="T33" s="32" t="n">
        <x:v>0</x:v>
      </x:c>
      <x:c r="U33" s="32" t="n">
        <x:v>0</x:v>
      </x:c>
      <x:c r="V33" s="32" t="n">
        <x:v>0</x:v>
      </x:c>
      <x:c r="W33" s="32" t="n">
        <x:v>0</x:v>
      </x:c>
      <x:c r="X33" s="34" t="n">
        <x:f>('01_比较参数'!$B$2+D33)*(1+('01_比较参数'!$B$5+E33)/'01_比较参数'!$B$14)*(1+('01_比较参数'!$B$6+F33)/'01_比较参数'!$B$14)*(1+('01_比较参数'!$B$7+G33)/'01_比较参数'!$B$14)*(1+('01_比较参数'!$B$8+I33/'01_比较参数'!$B$14)*('01_比较参数'!$B$12-1+('01_比较参数'!$B$9+H33)/'01_比较参数'!$B$14))*(1+('01_比较参数'!$B$10+J33/'01_比较参数'!$B$14)*('01_比较参数'!$B$13-1+('01_比较参数'!$B$11+K33)/'01_比较参数'!$B$14))*(1+L33/'01_比较参数'!$B$14)*(1+M33/'01_比较参数'!$B$14)</x:f>
        <x:v>10689.1707664</x:v>
      </x:c>
      <x:c r="Y33" s="34" t="n">
        <x:f>X33-'01_比较参数'!$B$18</x:f>
        <x:v>706.274766399998</x:v>
      </x:c>
      <x:c r="Z33" s="36" t="n">
        <x:f>ROUNDDOWN(D33/2,0)</x:f>
        <x:v>21</x:v>
      </x:c>
    </x:row>
    <x:row r="34" ht="30" customHeight="1">
      <x:c r="A34" s="22" t="str">
        <x:v>沉默灵玉</x:v>
      </x:c>
      <x:c r="B34" s="22" t="str">
        <x:v>C1 V4</x:v>
      </x:c>
      <x:c r="C34" s="22" t="str">
        <x:v>灵玉</x:v>
      </x:c>
      <x:c r="D34" s="32" t="n">
        <x:v>52</x:v>
      </x:c>
      <x:c r="E34" s="32" t="n">
        <x:v>15</x:v>
      </x:c>
      <x:c r="F34" s="32" t="n">
        <x:v>8</x:v>
      </x:c>
      <x:c r="G34" s="32" t="n">
        <x:v>4</x:v>
      </x:c>
      <x:c r="H34" s="32" t="n">
        <x:v>8</x:v>
      </x:c>
      <x:c r="I34" s="32" t="n">
        <x:v>0</x:v>
      </x:c>
      <x:c r="J34" s="32" t="n">
        <x:v>0</x:v>
      </x:c>
      <x:c r="K34" s="32" t="n">
        <x:v>0</x:v>
      </x:c>
      <x:c r="L34" s="32" t="n">
        <x:v>0</x:v>
      </x:c>
      <x:c r="M34" s="32" t="n">
        <x:v>0</x:v>
      </x:c>
      <x:c r="N34" s="32" t="n">
        <x:v>12400</x:v>
      </x:c>
      <x:c r="O34" s="32" t="n">
        <x:v>0</x:v>
      </x:c>
      <x:c r="P34" s="32" t="n">
        <x:v>34</x:v>
      </x:c>
      <x:c r="Q34" s="32" t="n">
        <x:v>0</x:v>
      </x:c>
      <x:c r="R34" s="32" t="n">
        <x:v>0</x:v>
      </x:c>
      <x:c r="S34" s="32" t="n">
        <x:v>0</x:v>
      </x:c>
      <x:c r="T34" s="32" t="n">
        <x:v>0</x:v>
      </x:c>
      <x:c r="U34" s="32" t="n">
        <x:v>0</x:v>
      </x:c>
      <x:c r="V34" s="32" t="n">
        <x:v>0</x:v>
      </x:c>
      <x:c r="W34" s="32" t="n">
        <x:v>0</x:v>
      </x:c>
      <x:c r="X34" s="34" t="n">
        <x:f>('01_比较参数'!$B$2+D34)*(1+('01_比较参数'!$B$5+E34)/'01_比较参数'!$B$14)*(1+('01_比较参数'!$B$6+F34)/'01_比较参数'!$B$14)*(1+('01_比较参数'!$B$7+G34)/'01_比较参数'!$B$14)*(1+('01_比较参数'!$B$8+I34/'01_比较参数'!$B$14)*('01_比较参数'!$B$12-1+('01_比较参数'!$B$9+H34)/'01_比较参数'!$B$14))*(1+('01_比较参数'!$B$10+J34/'01_比较参数'!$B$14)*('01_比较参数'!$B$13-1+('01_比较参数'!$B$11+K34)/'01_比较参数'!$B$14))*(1+L34/'01_比较参数'!$B$14)*(1+M34/'01_比较参数'!$B$14)</x:f>
        <x:v>12149.469168721924</x:v>
      </x:c>
      <x:c r="Y34" s="34" t="n">
        <x:f>X34-'01_比较参数'!$B$18</x:f>
        <x:v>2166.5731687219213</x:v>
      </x:c>
      <x:c r="Z34" s="36" t="n">
        <x:f>ROUNDDOWN(D34/2,0)</x:f>
        <x:v>26</x:v>
      </x:c>
    </x:row>
    <x:row r="35" ht="30" customHeight="1">
      <x:c r="A35" s="22" t="str">
        <x:v>亲卫王剑</x:v>
      </x:c>
      <x:c r="B35" s="22" t="str">
        <x:v>C1 V4</x:v>
      </x:c>
      <x:c r="C35" s="22" t="str">
        <x:v>武器</x:v>
      </x:c>
      <x:c r="D35" s="32" t="n">
        <x:v>520</x:v>
      </x:c>
      <x:c r="E35" s="32" t="n">
        <x:v>48</x:v>
      </x:c>
      <x:c r="F35" s="32" t="n">
        <x:v>30</x:v>
      </x:c>
      <x:c r="G35" s="32" t="n">
        <x:v>16</x:v>
      </x:c>
      <x:c r="H35" s="32" t="n">
        <x:v>36</x:v>
      </x:c>
      <x:c r="I35" s="32" t="n">
        <x:v>0</x:v>
      </x:c>
      <x:c r="J35" s="32" t="n">
        <x:v>0</x:v>
      </x:c>
      <x:c r="K35" s="32" t="n">
        <x:v>0</x:v>
      </x:c>
      <x:c r="L35" s="32" t="n">
        <x:v>0</x:v>
      </x:c>
      <x:c r="M35" s="32" t="n">
        <x:v>0</x:v>
      </x:c>
      <x:c r="N35" s="32" t="n">
        <x:v>14400</x:v>
      </x:c>
      <x:c r="O35" s="32" t="n">
        <x:v>0</x:v>
      </x:c>
      <x:c r="P35" s="32" t="n">
        <x:v>0</x:v>
      </x:c>
      <x:c r="Q35" s="32" t="n">
        <x:v>0</x:v>
      </x:c>
      <x:c r="R35" s="32" t="n">
        <x:v>0</x:v>
      </x:c>
      <x:c r="S35" s="32" t="n">
        <x:v>1</x:v>
      </x:c>
      <x:c r="T35" s="32" t="n">
        <x:v>15</x:v>
      </x:c>
      <x:c r="U35" s="32" t="n">
        <x:v>3</x:v>
      </x:c>
      <x:c r="V35" s="32" t="n">
        <x:v>111</x:v>
      </x:c>
      <x:c r="W35" s="32" t="n">
        <x:v>2</x:v>
      </x:c>
      <x:c r="X35" s="34" t="n">
        <x:f>('01_比较参数'!$B$2+D35)*(1+('01_比较参数'!$B$5+E35)/'01_比较参数'!$B$14)*(1+('01_比较参数'!$B$6+F35)/'01_比较参数'!$B$14)*(1+('01_比较参数'!$B$7+G35)/'01_比较参数'!$B$14)*(1+('01_比较参数'!$B$8+I35/'01_比较参数'!$B$14)*('01_比较参数'!$B$12-1+('01_比较参数'!$B$9+H35)/'01_比较参数'!$B$14))*(1+('01_比较参数'!$B$10+J35/'01_比较参数'!$B$14)*('01_比较参数'!$B$13-1+('01_比较参数'!$B$11+K35)/'01_比较参数'!$B$14))*(1+L35/'01_比较参数'!$B$14)*(1+M35/'01_比较参数'!$B$14)</x:f>
        <x:v>23537.496636998396</x:v>
      </x:c>
      <x:c r="Y35" s="34" t="n">
        <x:f>X35-'01_比较参数'!$B$18</x:f>
        <x:v>13554.600636998393</x:v>
      </x:c>
      <x:c r="Z35" s="36" t="n">
        <x:f>ROUNDDOWN(D35/2,0)</x:f>
        <x:v>260</x:v>
      </x:c>
    </x:row>
    <x:row r="36" ht="30" customHeight="1">
      <x:c r="A36" s="22" t="str">
        <x:v>深潮王铠</x:v>
      </x:c>
      <x:c r="B36" s="22" t="str">
        <x:v>C1 V4</x:v>
      </x:c>
      <x:c r="C36" s="22" t="str">
        <x:v>衣服</x:v>
      </x:c>
      <x:c r="D36" s="32" t="n">
        <x:v>110</x:v>
      </x:c>
      <x:c r="E36" s="32" t="n">
        <x:v>22</x:v>
      </x:c>
      <x:c r="F36" s="32" t="n">
        <x:v>0</x:v>
      </x:c>
      <x:c r="G36" s="32" t="n">
        <x:v>0</x:v>
      </x:c>
      <x:c r="H36" s="32" t="n">
        <x:v>0</x:v>
      </x:c>
      <x:c r="I36" s="32" t="n">
        <x:v>0</x:v>
      </x:c>
      <x:c r="J36" s="32" t="n">
        <x:v>0</x:v>
      </x:c>
      <x:c r="K36" s="32" t="n">
        <x:v>0</x:v>
      </x:c>
      <x:c r="L36" s="32" t="n">
        <x:v>0</x:v>
      </x:c>
      <x:c r="M36" s="32" t="n">
        <x:v>0</x:v>
      </x:c>
      <x:c r="N36" s="32" t="n">
        <x:v>120000</x:v>
      </x:c>
      <x:c r="O36" s="32" t="n">
        <x:v>12</x:v>
      </x:c>
      <x:c r="P36" s="32" t="n">
        <x:v>82</x:v>
      </x:c>
      <x:c r="Q36" s="32" t="n">
        <x:v>22</x:v>
      </x:c>
      <x:c r="R36" s="32" t="n">
        <x:v>2</x:v>
      </x:c>
      <x:c r="S36" s="32" t="n">
        <x:v>0</x:v>
      </x:c>
      <x:c r="T36" s="32" t="n">
        <x:v>0</x:v>
      </x:c>
      <x:c r="U36" s="32" t="n">
        <x:v>0</x:v>
      </x:c>
      <x:c r="V36" s="32" t="n">
        <x:v>0</x:v>
      </x:c>
      <x:c r="W36" s="32" t="n">
        <x:v>0</x:v>
      </x:c>
      <x:c r="X36" s="34" t="n">
        <x:f>('01_比较参数'!$B$2+D36)*(1+('01_比较参数'!$B$5+E36)/'01_比较参数'!$B$14)*(1+('01_比较参数'!$B$6+F36)/'01_比较参数'!$B$14)*(1+('01_比较参数'!$B$7+G36)/'01_比较参数'!$B$14)*(1+('01_比较参数'!$B$8+I36/'01_比较参数'!$B$14)*('01_比较参数'!$B$12-1+('01_比较参数'!$B$9+H36)/'01_比较参数'!$B$14))*(1+('01_比较参数'!$B$10+J36/'01_比较参数'!$B$14)*('01_比较参数'!$B$13-1+('01_比较参数'!$B$11+K36)/'01_比较参数'!$B$14))*(1+L36/'01_比较参数'!$B$14)*(1+M36/'01_比较参数'!$B$14)</x:f>
        <x:v>11786.472543999998</x:v>
      </x:c>
      <x:c r="Y36" s="34" t="n">
        <x:f>X36-'01_比较参数'!$B$18</x:f>
        <x:v>1803.576543999996</x:v>
      </x:c>
      <x:c r="Z36" s="36" t="n">
        <x:f>ROUNDDOWN(D36/2,0)</x:f>
        <x:v>55</x:v>
      </x:c>
    </x:row>
    <x:row r="37" ht="30" customHeight="1">
      <x:c r="A37" s="22" t="str">
        <x:v>沉没王权</x:v>
      </x:c>
      <x:c r="B37" s="22" t="str">
        <x:v>C1 V4</x:v>
      </x:c>
      <x:c r="C37" s="22" t="str">
        <x:v>武器</x:v>
      </x:c>
      <x:c r="D37" s="32" t="n">
        <x:v>600</x:v>
      </x:c>
      <x:c r="E37" s="32" t="n">
        <x:v>60</x:v>
      </x:c>
      <x:c r="F37" s="32" t="n">
        <x:v>40</x:v>
      </x:c>
      <x:c r="G37" s="32" t="n">
        <x:v>22</x:v>
      </x:c>
      <x:c r="H37" s="32" t="n">
        <x:v>45</x:v>
      </x:c>
      <x:c r="I37" s="32" t="n">
        <x:v>0</x:v>
      </x:c>
      <x:c r="J37" s="32" t="n">
        <x:v>0</x:v>
      </x:c>
      <x:c r="K37" s="32" t="n">
        <x:v>0</x:v>
      </x:c>
      <x:c r="L37" s="32" t="n">
        <x:v>0</x:v>
      </x:c>
      <x:c r="M37" s="32" t="n">
        <x:v>0</x:v>
      </x:c>
      <x:c r="N37" s="32" t="n">
        <x:v>16300</x:v>
      </x:c>
      <x:c r="O37" s="32" t="n">
        <x:v>0</x:v>
      </x:c>
      <x:c r="P37" s="32" t="n">
        <x:v>0</x:v>
      </x:c>
      <x:c r="Q37" s="32" t="n">
        <x:v>0</x:v>
      </x:c>
      <x:c r="R37" s="32" t="n">
        <x:v>0</x:v>
      </x:c>
      <x:c r="S37" s="32" t="n">
        <x:v>1</x:v>
      </x:c>
      <x:c r="T37" s="32" t="n">
        <x:v>22</x:v>
      </x:c>
      <x:c r="U37" s="32" t="n">
        <x:v>3</x:v>
      </x:c>
      <x:c r="V37" s="32" t="n">
        <x:v>188</x:v>
      </x:c>
      <x:c r="W37" s="32" t="n">
        <x:v>3</x:v>
      </x:c>
      <x:c r="X37" s="34" t="n">
        <x:f>('01_比较参数'!$B$2+D37)*(1+('01_比较参数'!$B$5+E37)/'01_比较参数'!$B$14)*(1+('01_比较参数'!$B$6+F37)/'01_比较参数'!$B$14)*(1+('01_比较参数'!$B$7+G37)/'01_比较参数'!$B$14)*(1+('01_比较参数'!$B$8+I37/'01_比较参数'!$B$14)*('01_比较参数'!$B$12-1+('01_比较参数'!$B$9+H37)/'01_比较参数'!$B$14))*(1+('01_比较参数'!$B$10+J37/'01_比较参数'!$B$14)*('01_比较参数'!$B$13-1+('01_比较参数'!$B$11+K37)/'01_比较参数'!$B$14))*(1+L37/'01_比较参数'!$B$14)*(1+M37/'01_比较参数'!$B$14)</x:f>
        <x:v>28533.042215999998</x:v>
      </x:c>
      <x:c r="Y37" s="34" t="n">
        <x:f>X37-'01_比较参数'!$B$18</x:f>
        <x:v>18550.146215999994</x:v>
      </x:c>
      <x:c r="Z37" s="36" t="n">
        <x:f>ROUNDDOWN(D37/2,0)</x:f>
        <x:v>300</x:v>
      </x:c>
    </x:row>
    <x:row r="38" ht="30" customHeight="1">
      <x:c r="A38" s="22" t="str">
        <x:v>潮葬礼剑</x:v>
      </x:c>
      <x:c r="B38" s="22" t="str">
        <x:v>C1 V4</x:v>
      </x:c>
      <x:c r="C38" s="22" t="str">
        <x:v>时装武器</x:v>
      </x:c>
      <x:c r="D38" s="32" t="n">
        <x:v>300</x:v>
      </x:c>
      <x:c r="E38" s="32" t="n">
        <x:v>40</x:v>
      </x:c>
      <x:c r="F38" s="32" t="n">
        <x:v>28</x:v>
      </x:c>
      <x:c r="G38" s="32" t="n">
        <x:v>16</x:v>
      </x:c>
      <x:c r="H38" s="32" t="n">
        <x:v>32</x:v>
      </x:c>
      <x:c r="I38" s="32" t="n">
        <x:v>0</x:v>
      </x:c>
      <x:c r="J38" s="32" t="n">
        <x:v>0</x:v>
      </x:c>
      <x:c r="K38" s="32" t="n">
        <x:v>0</x:v>
      </x:c>
      <x:c r="L38" s="32" t="n">
        <x:v>0</x:v>
      </x:c>
      <x:c r="M38" s="32" t="n">
        <x:v>0</x:v>
      </x:c>
      <x:c r="N38" s="32" t="n">
        <x:v>16300</x:v>
      </x:c>
      <x:c r="O38" s="32" t="n">
        <x:v>0</x:v>
      </x:c>
      <x:c r="P38" s="32" t="n">
        <x:v>0</x:v>
      </x:c>
      <x:c r="Q38" s="32" t="n">
        <x:v>0</x:v>
      </x:c>
      <x:c r="R38" s="32" t="n">
        <x:v>0</x:v>
      </x:c>
      <x:c r="S38" s="32" t="n">
        <x:v>1</x:v>
      </x:c>
      <x:c r="T38" s="32" t="n">
        <x:v>0</x:v>
      </x:c>
      <x:c r="U38" s="32" t="n">
        <x:v>2</x:v>
      </x:c>
      <x:c r="V38" s="32" t="n">
        <x:v>88</x:v>
      </x:c>
      <x:c r="W38" s="32" t="n">
        <x:v>2</x:v>
      </x:c>
      <x:c r="X38" s="34" t="n">
        <x:f>('01_比较参数'!$B$2+D38)*(1+('01_比较参数'!$B$5+E38)/'01_比较参数'!$B$14)*(1+('01_比较参数'!$B$6+F38)/'01_比较参数'!$B$14)*(1+('01_比较参数'!$B$7+G38)/'01_比较参数'!$B$14)*(1+('01_比较参数'!$B$8+I38/'01_比较参数'!$B$14)*('01_比较参数'!$B$12-1+('01_比较参数'!$B$9+H38)/'01_比较参数'!$B$14))*(1+('01_比较参数'!$B$10+J38/'01_比较参数'!$B$14)*('01_比较参数'!$B$13-1+('01_比较参数'!$B$11+K38)/'01_比较参数'!$B$14))*(1+L38/'01_比较参数'!$B$14)*(1+M38/'01_比较参数'!$B$14)</x:f>
        <x:v>19981.584499968</x:v>
      </x:c>
      <x:c r="Y38" s="34" t="n">
        <x:f>X38-'01_比较参数'!$B$18</x:f>
        <x:v>9998.688499967999</x:v>
      </x:c>
      <x:c r="Z38" s="36" t="n">
        <x:f>ROUNDDOWN(D38/2,0)</x:f>
        <x:v>150</x:v>
      </x:c>
    </x:row>
    <x:row r="39" ht="30" customHeight="1">
      <x:c r="A39" s="22" t="str">
        <x:v>无冠王衣</x:v>
      </x:c>
      <x:c r="B39" s="22" t="str">
        <x:v>C1 V4</x:v>
      </x:c>
      <x:c r="C39" s="22" t="str">
        <x:v>时装衣服</x:v>
      </x:c>
      <x:c r="D39" s="32" t="n">
        <x:v>120</x:v>
      </x:c>
      <x:c r="E39" s="32" t="n">
        <x:v>25</x:v>
      </x:c>
      <x:c r="F39" s="32" t="n">
        <x:v>0</x:v>
      </x:c>
      <x:c r="G39" s="32" t="n">
        <x:v>0</x:v>
      </x:c>
      <x:c r="H39" s="32" t="n">
        <x:v>0</x:v>
      </x:c>
      <x:c r="I39" s="32" t="n">
        <x:v>0</x:v>
      </x:c>
      <x:c r="J39" s="32" t="n">
        <x:v>0</x:v>
      </x:c>
      <x:c r="K39" s="32" t="n">
        <x:v>0</x:v>
      </x:c>
      <x:c r="L39" s="32" t="n">
        <x:v>0</x:v>
      </x:c>
      <x:c r="M39" s="32" t="n">
        <x:v>0</x:v>
      </x:c>
      <x:c r="N39" s="32" t="n">
        <x:v>150000</x:v>
      </x:c>
      <x:c r="O39" s="32" t="n">
        <x:v>15</x:v>
      </x:c>
      <x:c r="P39" s="32" t="n">
        <x:v>94</x:v>
      </x:c>
      <x:c r="Q39" s="32" t="n">
        <x:v>25</x:v>
      </x:c>
      <x:c r="R39" s="32" t="n">
        <x:v>2</x:v>
      </x:c>
      <x:c r="S39" s="32" t="n">
        <x:v>0</x:v>
      </x:c>
      <x:c r="T39" s="32" t="n">
        <x:v>0</x:v>
      </x:c>
      <x:c r="U39" s="32" t="n">
        <x:v>0</x:v>
      </x:c>
      <x:c r="V39" s="32" t="n">
        <x:v>0</x:v>
      </x:c>
      <x:c r="W39" s="32" t="n">
        <x:v>0</x:v>
      </x:c>
      <x:c r="X39" s="34" t="n">
        <x:f>('01_比较参数'!$B$2+D39)*(1+('01_比较参数'!$B$5+E39)/'01_比较参数'!$B$14)*(1+('01_比较参数'!$B$6+F39)/'01_比较参数'!$B$14)*(1+('01_比较参数'!$B$7+G39)/'01_比较参数'!$B$14)*(1+('01_比较参数'!$B$8+I39/'01_比较参数'!$B$14)*('01_比较参数'!$B$12-1+('01_比较参数'!$B$9+H39)/'01_比较参数'!$B$14))*(1+('01_比较参数'!$B$10+J39/'01_比较参数'!$B$14)*('01_比较参数'!$B$13-1+('01_比较参数'!$B$11+K39)/'01_比较参数'!$B$14))*(1+L39/'01_比较参数'!$B$14)*(1+M39/'01_比较参数'!$B$14)</x:f>
        <x:v>12006.701280000003</x:v>
      </x:c>
      <x:c r="Y39" s="34" t="n">
        <x:f>X39-'01_比较参数'!$B$18</x:f>
        <x:v>2023.8052800000005</x:v>
      </x:c>
      <x:c r="Z39" s="36" t="n">
        <x:f>ROUNDDOWN(D39/2,0)</x:f>
        <x:v>60</x:v>
      </x:c>
    </x:row>
    <x:row r="40" ht="30" customHeight="1">
      <x:c r="A40" s="22" t="str">
        <x:v>褪色墓刃</x:v>
      </x:c>
      <x:c r="B40" s="22" t="str">
        <x:v>C2专属本轮</x:v>
      </x:c>
      <x:c r="C40" s="22" t="str">
        <x:v>武器</x:v>
      </x:c>
      <x:c r="D40" s="32" t="n">
        <x:v>380</x:v>
      </x:c>
      <x:c r="E40" s="32" t="n">
        <x:v>38</x:v>
      </x:c>
      <x:c r="F40" s="32" t="n">
        <x:v>20</x:v>
      </x:c>
      <x:c r="G40" s="32" t="n">
        <x:v>11</x:v>
      </x:c>
      <x:c r="H40" s="32" t="n">
        <x:v>24</x:v>
      </x:c>
      <x:c r="I40" s="32" t="n">
        <x:v>0</x:v>
      </x:c>
      <x:c r="J40" s="32" t="n">
        <x:v>0</x:v>
      </x:c>
      <x:c r="K40" s="32" t="n">
        <x:v>0</x:v>
      </x:c>
      <x:c r="L40" s="32" t="n">
        <x:v>0</x:v>
      </x:c>
      <x:c r="M40" s="32" t="n">
        <x:v>0</x:v>
      </x:c>
      <x:c r="N40" s="32" t="n">
        <x:v>11000</x:v>
      </x:c>
      <x:c r="O40" s="32" t="n">
        <x:v>0</x:v>
      </x:c>
      <x:c r="P40" s="32" t="n">
        <x:v>0</x:v>
      </x:c>
      <x:c r="Q40" s="32" t="n">
        <x:v>0</x:v>
      </x:c>
      <x:c r="R40" s="32" t="n">
        <x:v>0</x:v>
      </x:c>
      <x:c r="S40" s="32" t="n">
        <x:v>0</x:v>
      </x:c>
      <x:c r="T40" s="32" t="n">
        <x:v>18</x:v>
      </x:c>
      <x:c r="U40" s="32" t="n">
        <x:v>0</x:v>
      </x:c>
      <x:c r="V40" s="32" t="n">
        <x:v>0</x:v>
      </x:c>
      <x:c r="W40" s="32" t="n">
        <x:v>0</x:v>
      </x:c>
      <x:c r="X40" s="34" t="n">
        <x:f>('01_比较参数'!$B$2+D40)*(1+('01_比较参数'!$B$5+E40)/'01_比较参数'!$B$14)*(1+('01_比较参数'!$B$6+F40)/'01_比较参数'!$B$14)*(1+('01_比较参数'!$B$7+G40)/'01_比较参数'!$B$14)*(1+('01_比较参数'!$B$8+I40/'01_比较参数'!$B$14)*('01_比较参数'!$B$12-1+('01_比较参数'!$B$9+H40)/'01_比较参数'!$B$14))*(1+('01_比较参数'!$B$10+J40/'01_比较参数'!$B$14)*('01_比较参数'!$B$13-1+('01_比较参数'!$B$11+K40)/'01_比较参数'!$B$14))*(1+L40/'01_比较参数'!$B$14)*(1+M40/'01_比较参数'!$B$14)</x:f>
        <x:v>18833.523635404803</x:v>
      </x:c>
      <x:c r="Y40" s="34" t="n">
        <x:f>X40-'01_比较参数'!$B$18</x:f>
        <x:v>8850.6276354048</x:v>
      </x:c>
      <x:c r="Z40" s="36" t="n">
        <x:f>ROUNDDOWN(D40/2,0)</x:f>
        <x:v>190</x:v>
      </x:c>
    </x:row>
    <x:row r="41" ht="30" customHeight="1">
      <x:c r="A41" s="22" t="str">
        <x:v>漂腐寿衣</x:v>
      </x:c>
      <x:c r="B41" s="22" t="str">
        <x:v>C2专属本轮</x:v>
      </x:c>
      <x:c r="C41" s="22" t="str">
        <x:v>衣服</x:v>
      </x:c>
      <x:c r="D41" s="32" t="n">
        <x:v>72</x:v>
      </x:c>
      <x:c r="E41" s="32" t="n">
        <x:v>11</x:v>
      </x:c>
      <x:c r="F41" s="32" t="n">
        <x:v>0</x:v>
      </x:c>
      <x:c r="G41" s="32" t="n">
        <x:v>0</x:v>
      </x:c>
      <x:c r="H41" s="32" t="n">
        <x:v>0</x:v>
      </x:c>
      <x:c r="I41" s="32" t="n">
        <x:v>0</x:v>
      </x:c>
      <x:c r="J41" s="32" t="n">
        <x:v>0</x:v>
      </x:c>
      <x:c r="K41" s="32" t="n">
        <x:v>0</x:v>
      </x:c>
      <x:c r="L41" s="32" t="n">
        <x:v>0</x:v>
      </x:c>
      <x:c r="M41" s="32" t="n">
        <x:v>0</x:v>
      </x:c>
      <x:c r="N41" s="32" t="n">
        <x:v>72000</x:v>
      </x:c>
      <x:c r="O41" s="32" t="n">
        <x:v>3</x:v>
      </x:c>
      <x:c r="P41" s="32" t="n">
        <x:v>68</x:v>
      </x:c>
      <x:c r="Q41" s="32" t="n">
        <x:v>14</x:v>
      </x:c>
      <x:c r="R41" s="32" t="n">
        <x:v>0</x:v>
      </x:c>
      <x:c r="S41" s="32" t="n">
        <x:v>0</x:v>
      </x:c>
      <x:c r="T41" s="32" t="n">
        <x:v>0</x:v>
      </x:c>
      <x:c r="U41" s="32" t="n">
        <x:v>0</x:v>
      </x:c>
      <x:c r="V41" s="32" t="n">
        <x:v>0</x:v>
      </x:c>
      <x:c r="W41" s="32" t="n">
        <x:v>0</x:v>
      </x:c>
      <x:c r="X41" s="34" t="n">
        <x:f>('01_比较参数'!$B$2+D41)*(1+('01_比较参数'!$B$5+E41)/'01_比较参数'!$B$14)*(1+('01_比较参数'!$B$6+F41)/'01_比较参数'!$B$14)*(1+('01_比较参数'!$B$7+G41)/'01_比较参数'!$B$14)*(1+('01_比较参数'!$B$8+I41/'01_比较参数'!$B$14)*('01_比较参数'!$B$12-1+('01_比较参数'!$B$9+H41)/'01_比较参数'!$B$14))*(1+('01_比较参数'!$B$10+J41/'01_比较参数'!$B$14)*('01_比较参数'!$B$13-1+('01_比较参数'!$B$11+K41)/'01_比较参数'!$B$14))*(1+L41/'01_比较参数'!$B$14)*(1+M41/'01_比较参数'!$B$14)</x:f>
        <x:v>10985.178758400003</x:v>
      </x:c>
      <x:c r="Y41" s="34" t="n">
        <x:f>X41-'01_比较参数'!$B$18</x:f>
        <x:v>1002.2827584000006</x:v>
      </x:c>
      <x:c r="Z41" s="36" t="n">
        <x:f>ROUNDDOWN(D41/2,0)</x:f>
        <x:v>36</x:v>
      </x:c>
    </x:row>
    <x:row r="42" ht="30" customHeight="1">
      <x:c r="A42" s="22" t="str">
        <x:v>尖牙骨链</x:v>
      </x:c>
      <x:c r="B42" s="22" t="str">
        <x:v>C2专属本轮</x:v>
      </x:c>
      <x:c r="C42" s="22" t="str">
        <x:v>项链</x:v>
      </x:c>
      <x:c r="D42" s="32" t="n">
        <x:v>54</x:v>
      </x:c>
      <x:c r="E42" s="32" t="n">
        <x:v>13</x:v>
      </x:c>
      <x:c r="F42" s="32" t="n">
        <x:v>8</x:v>
      </x:c>
      <x:c r="G42" s="32" t="n">
        <x:v>3</x:v>
      </x:c>
      <x:c r="H42" s="32" t="n">
        <x:v>0</x:v>
      </x:c>
      <x:c r="I42" s="32" t="n">
        <x:v>0</x:v>
      </x:c>
      <x:c r="J42" s="32" t="n">
        <x:v>0</x:v>
      </x:c>
      <x:c r="K42" s="32" t="n">
        <x:v>0</x:v>
      </x:c>
      <x:c r="L42" s="32" t="n">
        <x:v>0</x:v>
      </x:c>
      <x:c r="M42" s="32" t="n">
        <x:v>0</x:v>
      </x:c>
      <x:c r="N42" s="32" t="n">
        <x:v>10000</x:v>
      </x:c>
      <x:c r="O42" s="32" t="n">
        <x:v>0</x:v>
      </x:c>
      <x:c r="P42" s="32" t="n">
        <x:v>0</x:v>
      </x:c>
      <x:c r="Q42" s="32" t="n">
        <x:v>0</x:v>
      </x:c>
      <x:c r="R42" s="32" t="n">
        <x:v>0</x:v>
      </x:c>
      <x:c r="S42" s="32" t="n">
        <x:v>0</x:v>
      </x:c>
      <x:c r="T42" s="32" t="n">
        <x:v>0</x:v>
      </x:c>
      <x:c r="U42" s="32" t="n">
        <x:v>0</x:v>
      </x:c>
      <x:c r="V42" s="32" t="n">
        <x:v>0</x:v>
      </x:c>
      <x:c r="W42" s="32" t="n">
        <x:v>0</x:v>
      </x:c>
      <x:c r="X42" s="34" t="n">
        <x:f>('01_比较参数'!$B$2+D42)*(1+('01_比较参数'!$B$5+E42)/'01_比较参数'!$B$14)*(1+('01_比较参数'!$B$6+F42)/'01_比较参数'!$B$14)*(1+('01_比较参数'!$B$7+G42)/'01_比较参数'!$B$14)*(1+('01_比较参数'!$B$8+I42/'01_比较参数'!$B$14)*('01_比较参数'!$B$12-1+('01_比较参数'!$B$9+H42)/'01_比较参数'!$B$14))*(1+('01_比较参数'!$B$10+J42/'01_比较参数'!$B$14)*('01_比较参数'!$B$13-1+('01_比较参数'!$B$11+K42)/'01_比较参数'!$B$14))*(1+L42/'01_比较参数'!$B$14)*(1+M42/'01_比较参数'!$B$14)</x:f>
        <x:v>11777.111806279683</x:v>
      </x:c>
      <x:c r="Y42" s="34" t="n">
        <x:f>X42-'01_比较参数'!$B$18</x:f>
        <x:v>1794.2158062796807</x:v>
      </x:c>
      <x:c r="Z42" s="36" t="n">
        <x:f>ROUNDDOWN(D42/2,0)</x:f>
        <x:v>27</x:v>
      </x:c>
    </x:row>
    <x:row r="43" ht="30" customHeight="1">
      <x:c r="A43" s="22" t="str">
        <x:v>守墓石盔</x:v>
      </x:c>
      <x:c r="B43" s="22" t="str">
        <x:v>C2专属本轮</x:v>
      </x:c>
      <x:c r="C43" s="22" t="str">
        <x:v>头盔</x:v>
      </x:c>
      <x:c r="D43" s="32" t="n">
        <x:v>42</x:v>
      </x:c>
      <x:c r="E43" s="32" t="n">
        <x:v>8</x:v>
      </x:c>
      <x:c r="F43" s="32" t="n">
        <x:v>0</x:v>
      </x:c>
      <x:c r="G43" s="32" t="n">
        <x:v>0</x:v>
      </x:c>
      <x:c r="H43" s="32" t="n">
        <x:v>0</x:v>
      </x:c>
      <x:c r="I43" s="32" t="n">
        <x:v>0</x:v>
      </x:c>
      <x:c r="J43" s="32" t="n">
        <x:v>0</x:v>
      </x:c>
      <x:c r="K43" s="32" t="n">
        <x:v>0</x:v>
      </x:c>
      <x:c r="L43" s="32" t="n">
        <x:v>0</x:v>
      </x:c>
      <x:c r="M43" s="32" t="n">
        <x:v>0</x:v>
      </x:c>
      <x:c r="N43" s="32" t="n">
        <x:v>23000</x:v>
      </x:c>
      <x:c r="O43" s="32" t="n">
        <x:v>2</x:v>
      </x:c>
      <x:c r="P43" s="32" t="n">
        <x:v>42</x:v>
      </x:c>
      <x:c r="Q43" s="32" t="n">
        <x:v>5</x:v>
      </x:c>
      <x:c r="R43" s="32" t="n">
        <x:v>0</x:v>
      </x:c>
      <x:c r="S43" s="32" t="n">
        <x:v>0</x:v>
      </x:c>
      <x:c r="T43" s="32" t="n">
        <x:v>0</x:v>
      </x:c>
      <x:c r="U43" s="32" t="n">
        <x:v>0</x:v>
      </x:c>
      <x:c r="V43" s="32" t="n">
        <x:v>0</x:v>
      </x:c>
      <x:c r="W43" s="32" t="n">
        <x:v>0</x:v>
      </x:c>
      <x:c r="X43" s="34" t="n">
        <x:f>('01_比较参数'!$B$2+D43)*(1+('01_比较参数'!$B$5+E43)/'01_比较参数'!$B$14)*(1+('01_比较参数'!$B$6+F43)/'01_比较参数'!$B$14)*(1+('01_比较参数'!$B$7+G43)/'01_比较参数'!$B$14)*(1+('01_比较参数'!$B$8+I43/'01_比较参数'!$B$14)*('01_比较参数'!$B$12-1+('01_比较参数'!$B$9+H43)/'01_比较参数'!$B$14))*(1+('01_比较参数'!$B$10+J43/'01_比较参数'!$B$14)*('01_比较参数'!$B$13-1+('01_比较参数'!$B$11+K43)/'01_比较参数'!$B$14))*(1+L43/'01_比较参数'!$B$14)*(1+M43/'01_比较参数'!$B$14)</x:f>
        <x:v>10635.5958912</x:v>
      </x:c>
      <x:c r="Y43" s="34" t="n">
        <x:f>X43-'01_比较参数'!$B$18</x:f>
        <x:v>652.6998911999981</x:v>
      </x:c>
      <x:c r="Z43" s="36" t="n">
        <x:f>ROUNDDOWN(D43/2,0)</x:f>
        <x:v>21</x:v>
      </x:c>
    </x:row>
    <x:row r="44" ht="30" customHeight="1">
      <x:c r="A44" s="22" t="str">
        <x:v>归乡弩戒</x:v>
      </x:c>
      <x:c r="B44" s="22" t="str">
        <x:v>C2专属本轮</x:v>
      </x:c>
      <x:c r="C44" s="22" t="str">
        <x:v>戒指</x:v>
      </x:c>
      <x:c r="D44" s="32" t="n">
        <x:v>54</x:v>
      </x:c>
      <x:c r="E44" s="32" t="n">
        <x:v>12</x:v>
      </x:c>
      <x:c r="F44" s="32" t="n">
        <x:v>4</x:v>
      </x:c>
      <x:c r="G44" s="32" t="n">
        <x:v>3</x:v>
      </x:c>
      <x:c r="H44" s="32" t="n">
        <x:v>10</x:v>
      </x:c>
      <x:c r="I44" s="32" t="n">
        <x:v>0</x:v>
      </x:c>
      <x:c r="J44" s="32" t="n">
        <x:v>0</x:v>
      </x:c>
      <x:c r="K44" s="32" t="n">
        <x:v>0</x:v>
      </x:c>
      <x:c r="L44" s="32" t="n">
        <x:v>0</x:v>
      </x:c>
      <x:c r="M44" s="32" t="n">
        <x:v>0</x:v>
      </x:c>
      <x:c r="N44" s="32" t="n">
        <x:v>10500</x:v>
      </x:c>
      <x:c r="O44" s="32" t="n">
        <x:v>0</x:v>
      </x:c>
      <x:c r="P44" s="32" t="n">
        <x:v>26</x:v>
      </x:c>
      <x:c r="Q44" s="32" t="n">
        <x:v>1</x:v>
      </x:c>
      <x:c r="R44" s="32" t="n">
        <x:v>0</x:v>
      </x:c>
      <x:c r="S44" s="32" t="n">
        <x:v>0</x:v>
      </x:c>
      <x:c r="T44" s="32" t="n">
        <x:v>0</x:v>
      </x:c>
      <x:c r="U44" s="32" t="n">
        <x:v>0</x:v>
      </x:c>
      <x:c r="V44" s="32" t="n">
        <x:v>0</x:v>
      </x:c>
      <x:c r="W44" s="32" t="n">
        <x:v>0</x:v>
      </x:c>
      <x:c r="X44" s="34" t="n">
        <x:f>('01_比较参数'!$B$2+D44)*(1+('01_比较参数'!$B$5+E44)/'01_比较参数'!$B$14)*(1+('01_比较参数'!$B$6+F44)/'01_比较参数'!$B$14)*(1+('01_比较参数'!$B$7+G44)/'01_比较参数'!$B$14)*(1+('01_比较参数'!$B$8+I44/'01_比较参数'!$B$14)*('01_比较参数'!$B$12-1+('01_比较参数'!$B$9+H44)/'01_比较参数'!$B$14))*(1+('01_比较参数'!$B$10+J44/'01_比较参数'!$B$14)*('01_比较参数'!$B$13-1+('01_比较参数'!$B$11+K44)/'01_比较参数'!$B$14))*(1+L44/'01_比较参数'!$B$14)*(1+M44/'01_比较参数'!$B$14)</x:f>
        <x:v>11679.403431198723</x:v>
      </x:c>
      <x:c r="Y44" s="34" t="n">
        <x:f>X44-'01_比较参数'!$B$18</x:f>
        <x:v>1696.507431198721</x:v>
      </x:c>
      <x:c r="Z44" s="36" t="n">
        <x:f>ROUNDDOWN(D44/2,0)</x:f>
        <x:v>27</x:v>
      </x:c>
    </x:row>
    <x:row r="45" ht="30" customHeight="1">
      <x:c r="A45" s="22" t="str">
        <x:v>幽火鳞镯</x:v>
      </x:c>
      <x:c r="B45" s="22" t="str">
        <x:v>C2专属本轮</x:v>
      </x:c>
      <x:c r="C45" s="22" t="str">
        <x:v>手镯</x:v>
      </x:c>
      <x:c r="D45" s="32" t="n">
        <x:v>50</x:v>
      </x:c>
      <x:c r="E45" s="32" t="n">
        <x:v>14</x:v>
      </x:c>
      <x:c r="F45" s="32" t="n">
        <x:v>7</x:v>
      </x:c>
      <x:c r="G45" s="32" t="n">
        <x:v>3</x:v>
      </x:c>
      <x:c r="H45" s="32" t="n">
        <x:v>5</x:v>
      </x:c>
      <x:c r="I45" s="32" t="n">
        <x:v>0</x:v>
      </x:c>
      <x:c r="J45" s="32" t="n">
        <x:v>0</x:v>
      </x:c>
      <x:c r="K45" s="32" t="n">
        <x:v>0</x:v>
      </x:c>
      <x:c r="L45" s="32" t="n">
        <x:v>0</x:v>
      </x:c>
      <x:c r="M45" s="32" t="n">
        <x:v>0</x:v>
      </x:c>
      <x:c r="N45" s="32" t="n">
        <x:v>11000</x:v>
      </x:c>
      <x:c r="O45" s="32" t="n">
        <x:v>0</x:v>
      </x:c>
      <x:c r="P45" s="32" t="n">
        <x:v>26</x:v>
      </x:c>
      <x:c r="Q45" s="32" t="n">
        <x:v>1</x:v>
      </x:c>
      <x:c r="R45" s="32" t="n">
        <x:v>0</x:v>
      </x:c>
      <x:c r="S45" s="32" t="n">
        <x:v>0</x:v>
      </x:c>
      <x:c r="T45" s="32" t="n">
        <x:v>0</x:v>
      </x:c>
      <x:c r="U45" s="32" t="n">
        <x:v>0</x:v>
      </x:c>
      <x:c r="V45" s="32" t="n">
        <x:v>0</x:v>
      </x:c>
      <x:c r="W45" s="32" t="n">
        <x:v>0</x:v>
      </x:c>
      <x:c r="X45" s="34" t="n">
        <x:f>('01_比较参数'!$B$2+D45)*(1+('01_比较参数'!$B$5+E45)/'01_比较参数'!$B$14)*(1+('01_比较参数'!$B$6+F45)/'01_比较参数'!$B$14)*(1+('01_比较参数'!$B$7+G45)/'01_比较参数'!$B$14)*(1+('01_比较参数'!$B$8+I45/'01_比较参数'!$B$14)*('01_比较参数'!$B$12-1+('01_比较参数'!$B$9+H45)/'01_比较参数'!$B$14))*(1+('01_比较参数'!$B$10+J45/'01_比较参数'!$B$14)*('01_比较参数'!$B$13-1+('01_比较参数'!$B$11+K45)/'01_比较参数'!$B$14))*(1+L45/'01_比较参数'!$B$14)*(1+M45/'01_比较参数'!$B$14)</x:f>
        <x:v>11845.846067328</x:v>
      </x:c>
      <x:c r="Y45" s="34" t="n">
        <x:f>X45-'01_比较参数'!$B$18</x:f>
        <x:v>1862.950067327998</x:v>
      </x:c>
      <x:c r="Z45" s="36" t="n">
        <x:f>ROUNDDOWN(D45/2,0)</x:f>
        <x:v>25</x:v>
      </x:c>
    </x:row>
    <x:row r="46" ht="30" customHeight="1">
      <x:c r="A46" s="22" t="str">
        <x:v>归树犬徽</x:v>
      </x:c>
      <x:c r="B46" s="22" t="str">
        <x:v>C2专属本轮</x:v>
      </x:c>
      <x:c r="C46" s="22" t="str">
        <x:v>勋章</x:v>
      </x:c>
      <x:c r="D46" s="32" t="n">
        <x:v>60</x:v>
      </x:c>
      <x:c r="E46" s="32" t="n">
        <x:v>17</x:v>
      </x:c>
      <x:c r="F46" s="32" t="n">
        <x:v>9</x:v>
      </x:c>
      <x:c r="G46" s="32" t="n">
        <x:v>4</x:v>
      </x:c>
      <x:c r="H46" s="32" t="n">
        <x:v>10</x:v>
      </x:c>
      <x:c r="I46" s="32" t="n">
        <x:v>0</x:v>
      </x:c>
      <x:c r="J46" s="32" t="n">
        <x:v>0</x:v>
      </x:c>
      <x:c r="K46" s="32" t="n">
        <x:v>0</x:v>
      </x:c>
      <x:c r="L46" s="32" t="n">
        <x:v>0</x:v>
      </x:c>
      <x:c r="M46" s="32" t="n">
        <x:v>0</x:v>
      </x:c>
      <x:c r="N46" s="32" t="n">
        <x:v>16000</x:v>
      </x:c>
      <x:c r="O46" s="32" t="n">
        <x:v>0</x:v>
      </x:c>
      <x:c r="P46" s="32" t="n">
        <x:v>44</x:v>
      </x:c>
      <x:c r="Q46" s="32" t="n">
        <x:v>0</x:v>
      </x:c>
      <x:c r="R46" s="32" t="n">
        <x:v>0</x:v>
      </x:c>
      <x:c r="S46" s="32" t="n">
        <x:v>0</x:v>
      </x:c>
      <x:c r="T46" s="32" t="n">
        <x:v>0</x:v>
      </x:c>
      <x:c r="U46" s="32" t="n">
        <x:v>0</x:v>
      </x:c>
      <x:c r="V46" s="32" t="n">
        <x:v>0</x:v>
      </x:c>
      <x:c r="W46" s="32" t="n">
        <x:v>0</x:v>
      </x:c>
      <x:c r="X46" s="34" t="n">
        <x:f>('01_比较参数'!$B$2+D46)*(1+('01_比较参数'!$B$5+E46)/'01_比较参数'!$B$14)*(1+('01_比较参数'!$B$6+F46)/'01_比较参数'!$B$14)*(1+('01_比较参数'!$B$7+G46)/'01_比较参数'!$B$14)*(1+('01_比较参数'!$B$8+I46/'01_比较参数'!$B$14)*('01_比较参数'!$B$12-1+('01_比较参数'!$B$9+H46)/'01_比较参数'!$B$14))*(1+('01_比较参数'!$B$10+J46/'01_比较参数'!$B$14)*('01_比较参数'!$B$13-1+('01_比较参数'!$B$11+K46)/'01_比较参数'!$B$14))*(1+L46/'01_比较参数'!$B$14)*(1+M46/'01_比较参数'!$B$14)</x:f>
        <x:v>12438.7632644184</x:v>
      </x:c>
      <x:c r="Y46" s="34" t="n">
        <x:f>X46-'01_比较参数'!$B$18</x:f>
        <x:v>2455.867264418397</x:v>
      </x:c>
      <x:c r="Z46" s="36" t="n">
        <x:f>ROUNDDOWN(D46/2,0)</x:f>
        <x:v>30</x:v>
      </x:c>
    </x:row>
    <x:row r="47" ht="30" customHeight="1">
      <x:c r="A47" s="22" t="str">
        <x:v>腐根塔盾</x:v>
      </x:c>
      <x:c r="B47" s="22" t="str">
        <x:v>C2专属本轮</x:v>
      </x:c>
      <x:c r="C47" s="22" t="str">
        <x:v>盾牌</x:v>
      </x:c>
      <x:c r="D47" s="32" t="n">
        <x:v>64</x:v>
      </x:c>
      <x:c r="E47" s="32" t="n">
        <x:v>10</x:v>
      </x:c>
      <x:c r="F47" s="32" t="n">
        <x:v>0</x:v>
      </x:c>
      <x:c r="G47" s="32" t="n">
        <x:v>0</x:v>
      </x:c>
      <x:c r="H47" s="32" t="n">
        <x:v>0</x:v>
      </x:c>
      <x:c r="I47" s="32" t="n">
        <x:v>0</x:v>
      </x:c>
      <x:c r="J47" s="32" t="n">
        <x:v>0</x:v>
      </x:c>
      <x:c r="K47" s="32" t="n">
        <x:v>0</x:v>
      </x:c>
      <x:c r="L47" s="32" t="n">
        <x:v>0</x:v>
      </x:c>
      <x:c r="M47" s="32" t="n">
        <x:v>0</x:v>
      </x:c>
      <x:c r="N47" s="32" t="n">
        <x:v>40000</x:v>
      </x:c>
      <x:c r="O47" s="32" t="n">
        <x:v>0</x:v>
      </x:c>
      <x:c r="P47" s="32" t="n">
        <x:v>84</x:v>
      </x:c>
      <x:c r="Q47" s="32" t="n">
        <x:v>14</x:v>
      </x:c>
      <x:c r="R47" s="32" t="n">
        <x:v>0</x:v>
      </x:c>
      <x:c r="S47" s="32" t="n">
        <x:v>0</x:v>
      </x:c>
      <x:c r="T47" s="32" t="n">
        <x:v>0</x:v>
      </x:c>
      <x:c r="U47" s="32" t="n">
        <x:v>0</x:v>
      </x:c>
      <x:c r="V47" s="32" t="n">
        <x:v>0</x:v>
      </x:c>
      <x:c r="W47" s="32" t="n">
        <x:v>0</x:v>
      </x:c>
      <x:c r="X47" s="34" t="n">
        <x:f>('01_比较参数'!$B$2+D47)*(1+('01_比较参数'!$B$5+E47)/'01_比较参数'!$B$14)*(1+('01_比较参数'!$B$6+F47)/'01_比较参数'!$B$14)*(1+('01_比较参数'!$B$7+G47)/'01_比较参数'!$B$14)*(1+('01_比较参数'!$B$8+I47/'01_比较参数'!$B$14)*('01_比较参数'!$B$12-1+('01_比较参数'!$B$9+H47)/'01_比较参数'!$B$14))*(1+('01_比较参数'!$B$10+J47/'01_比较参数'!$B$14)*('01_比较参数'!$B$13-1+('01_比较参数'!$B$11+K47)/'01_比较参数'!$B$14))*(1+L47/'01_比较参数'!$B$14)*(1+M47/'01_比较参数'!$B$14)</x:f>
        <x:v>10881.961664000002</x:v>
      </x:c>
      <x:c r="Y47" s="34" t="n">
        <x:f>X47-'01_比较参数'!$B$18</x:f>
        <x:v>899.0656639999997</x:v>
      </x:c>
      <x:c r="Z47" s="36" t="n">
        <x:f>ROUNDDOWN(D47/2,0)</x:f>
        <x:v>32</x:v>
      </x:c>
    </x:row>
    <x:row r="48" ht="30" customHeight="1">
      <x:c r="A48" s="22" t="str">
        <x:v>初火兜鍪</x:v>
      </x:c>
      <x:c r="B48" s="22" t="str">
        <x:v>C2专属本轮</x:v>
      </x:c>
      <x:c r="C48" s="22" t="str">
        <x:v>时装头盔</x:v>
      </x:c>
      <x:c r="D48" s="32" t="n">
        <x:v>48</x:v>
      </x:c>
      <x:c r="E48" s="32" t="n">
        <x:v>9</x:v>
      </x:c>
      <x:c r="F48" s="32" t="n">
        <x:v>0</x:v>
      </x:c>
      <x:c r="G48" s="32" t="n">
        <x:v>0</x:v>
      </x:c>
      <x:c r="H48" s="32" t="n">
        <x:v>0</x:v>
      </x:c>
      <x:c r="I48" s="32" t="n">
        <x:v>0</x:v>
      </x:c>
      <x:c r="J48" s="32" t="n">
        <x:v>0</x:v>
      </x:c>
      <x:c r="K48" s="32" t="n">
        <x:v>0</x:v>
      </x:c>
      <x:c r="L48" s="32" t="n">
        <x:v>0</x:v>
      </x:c>
      <x:c r="M48" s="32" t="n">
        <x:v>0</x:v>
      </x:c>
      <x:c r="N48" s="32" t="n">
        <x:v>28000</x:v>
      </x:c>
      <x:c r="O48" s="32" t="n">
        <x:v>0</x:v>
      </x:c>
      <x:c r="P48" s="32" t="n">
        <x:v>47</x:v>
      </x:c>
      <x:c r="Q48" s="32" t="n">
        <x:v>4</x:v>
      </x:c>
      <x:c r="R48" s="32" t="n">
        <x:v>0</x:v>
      </x:c>
      <x:c r="S48" s="32" t="n">
        <x:v>0</x:v>
      </x:c>
      <x:c r="T48" s="32" t="n">
        <x:v>0</x:v>
      </x:c>
      <x:c r="U48" s="32" t="n">
        <x:v>0</x:v>
      </x:c>
      <x:c r="V48" s="32" t="n">
        <x:v>0</x:v>
      </x:c>
      <x:c r="W48" s="32" t="n">
        <x:v>0</x:v>
      </x:c>
      <x:c r="X48" s="34" t="n">
        <x:f>('01_比较参数'!$B$2+D48)*(1+('01_比较参数'!$B$5+E48)/'01_比较参数'!$B$14)*(1+('01_比较参数'!$B$6+F48)/'01_比较参数'!$B$14)*(1+('01_比较参数'!$B$7+G48)/'01_比较参数'!$B$14)*(1+('01_比较参数'!$B$8+I48/'01_比较参数'!$B$14)*('01_比较参数'!$B$12-1+('01_比较参数'!$B$9+H48)/'01_比较参数'!$B$14))*(1+('01_比较参数'!$B$10+J48/'01_比较参数'!$B$14)*('01_比较参数'!$B$13-1+('01_比较参数'!$B$11+K48)/'01_比较参数'!$B$14))*(1+L48/'01_比较参数'!$B$14)*(1+M48/'01_比较参数'!$B$14)</x:f>
        <x:v>10723.8083904</x:v>
      </x:c>
      <x:c r="Y48" s="34" t="n">
        <x:f>X48-'01_比较参数'!$B$18</x:f>
        <x:v>740.9123903999971</x:v>
      </x:c>
      <x:c r="Z48" s="36" t="n">
        <x:f>ROUNDDOWN(D48/2,0)</x:f>
        <x:v>24</x:v>
      </x:c>
    </x:row>
    <x:row r="49" ht="30" customHeight="1">
      <x:c r="A49" s="22" t="str">
        <x:v>英雄余誓</x:v>
      </x:c>
      <x:c r="B49" s="22" t="str">
        <x:v>C2专属本轮</x:v>
      </x:c>
      <x:c r="C49" s="22" t="str">
        <x:v>时装项链</x:v>
      </x:c>
      <x:c r="D49" s="32" t="n">
        <x:v>65</x:v>
      </x:c>
      <x:c r="E49" s="32" t="n">
        <x:v>17</x:v>
      </x:c>
      <x:c r="F49" s="32" t="n">
        <x:v>7</x:v>
      </x:c>
      <x:c r="G49" s="32" t="n">
        <x:v>4</x:v>
      </x:c>
      <x:c r="H49" s="32" t="n">
        <x:v>12</x:v>
      </x:c>
      <x:c r="I49" s="32" t="n">
        <x:v>0</x:v>
      </x:c>
      <x:c r="J49" s="32" t="n">
        <x:v>0</x:v>
      </x:c>
      <x:c r="K49" s="32" t="n">
        <x:v>0</x:v>
      </x:c>
      <x:c r="L49" s="32" t="n">
        <x:v>0</x:v>
      </x:c>
      <x:c r="M49" s="32" t="n">
        <x:v>0</x:v>
      </x:c>
      <x:c r="N49" s="32" t="n">
        <x:v>16000</x:v>
      </x:c>
      <x:c r="O49" s="32" t="n">
        <x:v>0</x:v>
      </x:c>
      <x:c r="P49" s="32" t="n">
        <x:v>0</x:v>
      </x:c>
      <x:c r="Q49" s="32" t="n">
        <x:v>0</x:v>
      </x:c>
      <x:c r="R49" s="32" t="n">
        <x:v>0</x:v>
      </x:c>
      <x:c r="S49" s="32" t="n">
        <x:v>0</x:v>
      </x:c>
      <x:c r="T49" s="32" t="n">
        <x:v>0</x:v>
      </x:c>
      <x:c r="U49" s="32" t="n">
        <x:v>0</x:v>
      </x:c>
      <x:c r="V49" s="32" t="n">
        <x:v>0</x:v>
      </x:c>
      <x:c r="W49" s="32" t="n">
        <x:v>0</x:v>
      </x:c>
      <x:c r="X49" s="34" t="n">
        <x:f>('01_比较参数'!$B$2+D49)*(1+('01_比较参数'!$B$5+E49)/'01_比较参数'!$B$14)*(1+('01_比较参数'!$B$6+F49)/'01_比较参数'!$B$14)*(1+('01_比较参数'!$B$7+G49)/'01_比较参数'!$B$14)*(1+('01_比较参数'!$B$8+I49/'01_比较参数'!$B$14)*('01_比较参数'!$B$12-1+('01_比较参数'!$B$9+H49)/'01_比较参数'!$B$14))*(1+('01_比较参数'!$B$10+J49/'01_比较参数'!$B$14)*('01_比较参数'!$B$13-1+('01_比较参数'!$B$11+K49)/'01_比较参数'!$B$14))*(1+L49/'01_比较参数'!$B$14)*(1+M49/'01_比较参数'!$B$14)</x:f>
        <x:v>12379.95215989308</x:v>
      </x:c>
      <x:c r="Y49" s="34" t="n">
        <x:f>X49-'01_比较参数'!$B$18</x:f>
        <x:v>2397.056159893078</x:v>
      </x:c>
      <x:c r="Z49" s="36" t="n">
        <x:f>ROUNDDOWN(D49/2,0)</x:f>
        <x:v>32</x:v>
      </x:c>
    </x:row>
    <x:row r="50" ht="30" customHeight="1">
      <x:c r="A50" s="22" t="str">
        <x:v>腐树子鼠</x:v>
      </x:c>
      <x:c r="B50" s="22" t="str">
        <x:v>C2专属本轮</x:v>
      </x:c>
      <x:c r="C50" s="22" t="str">
        <x:v>生肖1</x:v>
      </x:c>
      <x:c r="D50" s="32" t="n">
        <x:v>30</x:v>
      </x:c>
      <x:c r="E50" s="32" t="n">
        <x:v>3</x:v>
      </x:c>
      <x:c r="F50" s="32" t="n">
        <x:v>1</x:v>
      </x:c>
      <x:c r="G50" s="32" t="n">
        <x:v>1</x:v>
      </x:c>
      <x:c r="H50" s="32" t="n">
        <x:v>0</x:v>
      </x:c>
      <x:c r="I50" s="32" t="n">
        <x:v>0</x:v>
      </x:c>
      <x:c r="J50" s="32" t="n">
        <x:v>0</x:v>
      </x:c>
      <x:c r="K50" s="32" t="n">
        <x:v>0</x:v>
      </x:c>
      <x:c r="L50" s="32" t="n">
        <x:v>0</x:v>
      </x:c>
      <x:c r="M50" s="32" t="n">
        <x:v>0</x:v>
      </x:c>
      <x:c r="N50" s="32" t="n">
        <x:v>6000</x:v>
      </x:c>
      <x:c r="O50" s="32" t="n">
        <x:v>0</x:v>
      </x:c>
      <x:c r="P50" s="32" t="n">
        <x:v>8</x:v>
      </x:c>
      <x:c r="Q50" s="32" t="n">
        <x:v>0</x:v>
      </x:c>
      <x:c r="R50" s="32" t="n">
        <x:v>0</x:v>
      </x:c>
      <x:c r="S50" s="32" t="n">
        <x:v>0</x:v>
      </x:c>
      <x:c r="T50" s="32" t="n">
        <x:v>0</x:v>
      </x:c>
      <x:c r="U50" s="32" t="n">
        <x:v>0</x:v>
      </x:c>
      <x:c r="V50" s="32" t="n">
        <x:v>30</x:v>
      </x:c>
      <x:c r="W50" s="32" t="n">
        <x:v>0</x:v>
      </x:c>
      <x:c r="X50" s="34" t="n">
        <x:f>('01_比较参数'!$B$2+D50)*(1+('01_比较参数'!$B$5+E50)/'01_比较参数'!$B$14)*(1+('01_比较参数'!$B$6+F50)/'01_比较参数'!$B$14)*(1+('01_比较参数'!$B$7+G50)/'01_比较参数'!$B$14)*(1+('01_比较参数'!$B$8+I50/'01_比较参数'!$B$14)*('01_比较参数'!$B$12-1+('01_比较参数'!$B$9+H50)/'01_比较参数'!$B$14))*(1+('01_比较参数'!$B$10+J50/'01_比较参数'!$B$14)*('01_比较参数'!$B$13-1+('01_比较参数'!$B$11+K50)/'01_比较参数'!$B$14))*(1+L50/'01_比较参数'!$B$14)*(1+M50/'01_比较参数'!$B$14)</x:f>
        <x:v>10469.0030470704</x:v>
      </x:c>
      <x:c r="Y50" s="34" t="n">
        <x:f>X50-'01_比较参数'!$B$18</x:f>
        <x:v>486.10704707039804</x:v>
      </x:c>
      <x:c r="Z50" s="36" t="n">
        <x:f>ROUNDDOWN(D50/2,0)</x:f>
        <x:v>15</x:v>
      </x:c>
    </x:row>
    <x:row r="51" ht="30" customHeight="1">
      <x:c r="A51" s="22" t="str">
        <x:v>百臂丑牛</x:v>
      </x:c>
      <x:c r="B51" s="22" t="str">
        <x:v>C2专属本轮</x:v>
      </x:c>
      <x:c r="C51" s="22" t="str">
        <x:v>生肖2</x:v>
      </x:c>
      <x:c r="D51" s="32" t="n">
        <x:v>40</x:v>
      </x:c>
      <x:c r="E51" s="32" t="n">
        <x:v>3</x:v>
      </x:c>
      <x:c r="F51" s="32" t="n">
        <x:v>0</x:v>
      </x:c>
      <x:c r="G51" s="32" t="n">
        <x:v>1</x:v>
      </x:c>
      <x:c r="H51" s="32" t="n">
        <x:v>0</x:v>
      </x:c>
      <x:c r="I51" s="32" t="n">
        <x:v>0</x:v>
      </x:c>
      <x:c r="J51" s="32" t="n">
        <x:v>0</x:v>
      </x:c>
      <x:c r="K51" s="32" t="n">
        <x:v>0</x:v>
      </x:c>
      <x:c r="L51" s="32" t="n">
        <x:v>0</x:v>
      </x:c>
      <x:c r="M51" s="32" t="n">
        <x:v>0</x:v>
      </x:c>
      <x:c r="N51" s="32" t="n">
        <x:v>9000</x:v>
      </x:c>
      <x:c r="O51" s="32" t="n">
        <x:v>1</x:v>
      </x:c>
      <x:c r="P51" s="32" t="n">
        <x:v>14</x:v>
      </x:c>
      <x:c r="Q51" s="32" t="n">
        <x:v>1</x:v>
      </x:c>
      <x:c r="R51" s="32" t="n">
        <x:v>0</x:v>
      </x:c>
      <x:c r="S51" s="32" t="n">
        <x:v>0</x:v>
      </x:c>
      <x:c r="T51" s="32" t="n">
        <x:v>0</x:v>
      </x:c>
      <x:c r="U51" s="32" t="n">
        <x:v>0</x:v>
      </x:c>
      <x:c r="V51" s="32" t="n">
        <x:v>0</x:v>
      </x:c>
      <x:c r="W51" s="32" t="n">
        <x:v>0</x:v>
      </x:c>
      <x:c r="X51" s="34" t="n">
        <x:f>('01_比较参数'!$B$2+D51)*(1+('01_比较参数'!$B$5+E51)/'01_比较参数'!$B$14)*(1+('01_比较参数'!$B$6+F51)/'01_比较参数'!$B$14)*(1+('01_比较参数'!$B$7+G51)/'01_比较参数'!$B$14)*(1+('01_比较参数'!$B$8+I51/'01_比较参数'!$B$14)*('01_比较参数'!$B$12-1+('01_比较参数'!$B$9+H51)/'01_比较参数'!$B$14))*(1+('01_比较参数'!$B$10+J51/'01_比较参数'!$B$14)*('01_比较参数'!$B$13-1+('01_比较参数'!$B$11+K51)/'01_比较参数'!$B$14))*(1+L51/'01_比较参数'!$B$14)*(1+M51/'01_比较参数'!$B$14)</x:f>
        <x:v>10471.978040832</x:v>
      </x:c>
      <x:c r="Y51" s="34" t="n">
        <x:f>X51-'01_比较参数'!$B$18</x:f>
        <x:v>489.0820408319978</x:v>
      </x:c>
      <x:c r="Z51" s="36" t="n">
        <x:f>ROUNDDOWN(D51/2,0)</x:f>
        <x:v>20</x:v>
      </x:c>
    </x:row>
    <x:row r="52" ht="30" customHeight="1">
      <x:c r="A52" s="22" t="str">
        <x:v>断旗军刀</x:v>
      </x:c>
      <x:c r="B52" s="22" t="str">
        <x:v>C2专属本轮</x:v>
      </x:c>
      <x:c r="C52" s="22" t="str">
        <x:v>武器</x:v>
      </x:c>
      <x:c r="D52" s="32" t="n">
        <x:v>360</x:v>
      </x:c>
      <x:c r="E52" s="32" t="n">
        <x:v>63</x:v>
      </x:c>
      <x:c r="F52" s="32" t="n">
        <x:v>26</x:v>
      </x:c>
      <x:c r="G52" s="32" t="n">
        <x:v>14</x:v>
      </x:c>
      <x:c r="H52" s="32" t="n">
        <x:v>29</x:v>
      </x:c>
      <x:c r="I52" s="32" t="n">
        <x:v>0</x:v>
      </x:c>
      <x:c r="J52" s="32" t="n">
        <x:v>0</x:v>
      </x:c>
      <x:c r="K52" s="32" t="n">
        <x:v>0</x:v>
      </x:c>
      <x:c r="L52" s="32" t="n">
        <x:v>0</x:v>
      </x:c>
      <x:c r="M52" s="32" t="n">
        <x:v>0</x:v>
      </x:c>
      <x:c r="N52" s="32" t="n">
        <x:v>14000</x:v>
      </x:c>
      <x:c r="O52" s="32" t="n">
        <x:v>0</x:v>
      </x:c>
      <x:c r="P52" s="32" t="n">
        <x:v>0</x:v>
      </x:c>
      <x:c r="Q52" s="32" t="n">
        <x:v>0</x:v>
      </x:c>
      <x:c r="R52" s="32" t="n">
        <x:v>0</x:v>
      </x:c>
      <x:c r="S52" s="32" t="n">
        <x:v>0</x:v>
      </x:c>
      <x:c r="T52" s="32" t="n">
        <x:v>20</x:v>
      </x:c>
      <x:c r="U52" s="32" t="n">
        <x:v>0</x:v>
      </x:c>
      <x:c r="V52" s="32" t="n">
        <x:v>0</x:v>
      </x:c>
      <x:c r="W52" s="32" t="n">
        <x:v>0</x:v>
      </x:c>
      <x:c r="X52" s="34" t="n">
        <x:f>('01_比较参数'!$B$2+D52)*(1+('01_比较参数'!$B$5+E52)/'01_比较参数'!$B$14)*(1+('01_比较参数'!$B$6+F52)/'01_比较参数'!$B$14)*(1+('01_比较参数'!$B$7+G52)/'01_比较参数'!$B$14)*(1+('01_比较参数'!$B$8+I52/'01_比较参数'!$B$14)*('01_比较参数'!$B$12-1+('01_比较参数'!$B$9+H52)/'01_比较参数'!$B$14))*(1+('01_比较参数'!$B$10+J52/'01_比较参数'!$B$14)*('01_比较参数'!$B$13-1+('01_比较参数'!$B$11+K52)/'01_比较参数'!$B$14))*(1+L52/'01_比较参数'!$B$14)*(1+M52/'01_比较参数'!$B$14)</x:f>
        <x:v>21794.505340038482</x:v>
      </x:c>
      <x:c r="Y52" s="34" t="n">
        <x:f>X52-'01_比较参数'!$B$18</x:f>
        <x:v>11811.60934003848</x:v>
      </x:c>
      <x:c r="Z52" s="36" t="n">
        <x:f>ROUNDDOWN(D52/2,0)</x:f>
        <x:v>180</x:v>
      </x:c>
    </x:row>
    <x:row r="53" ht="30" customHeight="1">
      <x:c r="A53" s="22" t="str">
        <x:v>关隘铁甲</x:v>
      </x:c>
      <x:c r="B53" s="22" t="str">
        <x:v>C2专属本轮</x:v>
      </x:c>
      <x:c r="C53" s="22" t="str">
        <x:v>衣服</x:v>
      </x:c>
      <x:c r="D53" s="32" t="n">
        <x:v>82</x:v>
      </x:c>
      <x:c r="E53" s="32" t="n">
        <x:v>13</x:v>
      </x:c>
      <x:c r="F53" s="32" t="n">
        <x:v>0</x:v>
      </x:c>
      <x:c r="G53" s="32" t="n">
        <x:v>0</x:v>
      </x:c>
      <x:c r="H53" s="32" t="n">
        <x:v>0</x:v>
      </x:c>
      <x:c r="I53" s="32" t="n">
        <x:v>0</x:v>
      </x:c>
      <x:c r="J53" s="32" t="n">
        <x:v>0</x:v>
      </x:c>
      <x:c r="K53" s="32" t="n">
        <x:v>0</x:v>
      </x:c>
      <x:c r="L53" s="32" t="n">
        <x:v>0</x:v>
      </x:c>
      <x:c r="M53" s="32" t="n">
        <x:v>0</x:v>
      </x:c>
      <x:c r="N53" s="32" t="n">
        <x:v>88000</x:v>
      </x:c>
      <x:c r="O53" s="32" t="n">
        <x:v>4</x:v>
      </x:c>
      <x:c r="P53" s="32" t="n">
        <x:v>78</x:v>
      </x:c>
      <x:c r="Q53" s="32" t="n">
        <x:v>16</x:v>
      </x:c>
      <x:c r="R53" s="32" t="n">
        <x:v>0</x:v>
      </x:c>
      <x:c r="S53" s="32" t="n">
        <x:v>0</x:v>
      </x:c>
      <x:c r="T53" s="32" t="n">
        <x:v>0</x:v>
      </x:c>
      <x:c r="U53" s="32" t="n">
        <x:v>0</x:v>
      </x:c>
      <x:c r="V53" s="32" t="n">
        <x:v>0</x:v>
      </x:c>
      <x:c r="W53" s="32" t="n">
        <x:v>0</x:v>
      </x:c>
      <x:c r="X53" s="34" t="n">
        <x:f>('01_比较参数'!$B$2+D53)*(1+('01_比较参数'!$B$5+E53)/'01_比较参数'!$B$14)*(1+('01_比较参数'!$B$6+F53)/'01_比较参数'!$B$14)*(1+('01_比较参数'!$B$7+G53)/'01_比较参数'!$B$14)*(1+('01_比较参数'!$B$8+I53/'01_比较参数'!$B$14)*('01_比较参数'!$B$12-1+('01_比较参数'!$B$9+H53)/'01_比较参数'!$B$14))*(1+('01_比较参数'!$B$10+J53/'01_比较参数'!$B$14)*('01_比较参数'!$B$13-1+('01_比较参数'!$B$11+K53)/'01_比较参数'!$B$14))*(1+L53/'01_比较参数'!$B$14)*(1+M53/'01_比较参数'!$B$14)</x:f>
        <x:v>11150.7738272</x:v>
      </x:c>
      <x:c r="Y53" s="34" t="n">
        <x:f>X53-'01_比较参数'!$B$18</x:f>
        <x:v>1167.8778271999981</x:v>
      </x:c>
      <x:c r="Z53" s="36" t="n">
        <x:f>ROUNDDOWN(D53/2,0)</x:f>
        <x:v>41</x:v>
      </x:c>
    </x:row>
    <x:row r="54" ht="30" customHeight="1">
      <x:c r="A54" s="22" t="str">
        <x:v>破垒鹰链</x:v>
      </x:c>
      <x:c r="B54" s="22" t="str">
        <x:v>C2专属本轮</x:v>
      </x:c>
      <x:c r="C54" s="22" t="str">
        <x:v>项链</x:v>
      </x:c>
      <x:c r="D54" s="32" t="n">
        <x:v>58</x:v>
      </x:c>
      <x:c r="E54" s="32" t="n">
        <x:v>17</x:v>
      </x:c>
      <x:c r="F54" s="32" t="n">
        <x:v>9</x:v>
      </x:c>
      <x:c r="G54" s="32" t="n">
        <x:v>4</x:v>
      </x:c>
      <x:c r="H54" s="32" t="n">
        <x:v>6</x:v>
      </x:c>
      <x:c r="I54" s="32" t="n">
        <x:v>0</x:v>
      </x:c>
      <x:c r="J54" s="32" t="n">
        <x:v>0</x:v>
      </x:c>
      <x:c r="K54" s="32" t="n">
        <x:v>0</x:v>
      </x:c>
      <x:c r="L54" s="32" t="n">
        <x:v>0</x:v>
      </x:c>
      <x:c r="M54" s="32" t="n">
        <x:v>0</x:v>
      </x:c>
      <x:c r="N54" s="32" t="n">
        <x:v>12000</x:v>
      </x:c>
      <x:c r="O54" s="32" t="n">
        <x:v>0</x:v>
      </x:c>
      <x:c r="P54" s="32" t="n">
        <x:v>0</x:v>
      </x:c>
      <x:c r="Q54" s="32" t="n">
        <x:v>0</x:v>
      </x:c>
      <x:c r="R54" s="32" t="n">
        <x:v>0</x:v>
      </x:c>
      <x:c r="S54" s="32" t="n">
        <x:v>0</x:v>
      </x:c>
      <x:c r="T54" s="32" t="n">
        <x:v>0</x:v>
      </x:c>
      <x:c r="U54" s="32" t="n">
        <x:v>0</x:v>
      </x:c>
      <x:c r="V54" s="32" t="n">
        <x:v>0</x:v>
      </x:c>
      <x:c r="W54" s="32" t="n">
        <x:v>0</x:v>
      </x:c>
      <x:c r="X54" s="34" t="n">
        <x:f>('01_比较参数'!$B$2+D54)*(1+('01_比较参数'!$B$5+E54)/'01_比较参数'!$B$14)*(1+('01_比较参数'!$B$6+F54)/'01_比较参数'!$B$14)*(1+('01_比较参数'!$B$7+G54)/'01_比较参数'!$B$14)*(1+('01_比较参数'!$B$8+I54/'01_比较参数'!$B$14)*('01_比较参数'!$B$12-1+('01_比较参数'!$B$9+H54)/'01_比较参数'!$B$14))*(1+('01_比较参数'!$B$10+J54/'01_比较参数'!$B$14)*('01_比较参数'!$B$13-1+('01_比较参数'!$B$11+K54)/'01_比较参数'!$B$14))*(1+L54/'01_比较参数'!$B$14)*(1+M54/'01_比较参数'!$B$14)</x:f>
        <x:v>12324.091765415977</x:v>
      </x:c>
      <x:c r="Y54" s="34" t="n">
        <x:f>X54-'01_比较参数'!$B$18</x:f>
        <x:v>2341.195765415974</x:v>
      </x:c>
      <x:c r="Z54" s="36" t="n">
        <x:f>ROUNDDOWN(D54/2,0)</x:f>
        <x:v>29</x:v>
      </x:c>
    </x:row>
    <x:row r="55" ht="30" customHeight="1">
      <x:c r="A55" s="22" t="str">
        <x:v>战狼铁盔</x:v>
      </x:c>
      <x:c r="B55" s="22" t="str">
        <x:v>C2专属本轮</x:v>
      </x:c>
      <x:c r="C55" s="22" t="str">
        <x:v>头盔</x:v>
      </x:c>
      <x:c r="D55" s="32" t="n">
        <x:v>48</x:v>
      </x:c>
      <x:c r="E55" s="32" t="n">
        <x:v>9</x:v>
      </x:c>
      <x:c r="F55" s="32" t="n">
        <x:v>0</x:v>
      </x:c>
      <x:c r="G55" s="32" t="n">
        <x:v>0</x:v>
      </x:c>
      <x:c r="H55" s="32" t="n">
        <x:v>0</x:v>
      </x:c>
      <x:c r="I55" s="32" t="n">
        <x:v>0</x:v>
      </x:c>
      <x:c r="J55" s="32" t="n">
        <x:v>0</x:v>
      </x:c>
      <x:c r="K55" s="32" t="n">
        <x:v>0</x:v>
      </x:c>
      <x:c r="L55" s="32" t="n">
        <x:v>0</x:v>
      </x:c>
      <x:c r="M55" s="32" t="n">
        <x:v>0</x:v>
      </x:c>
      <x:c r="N55" s="32" t="n">
        <x:v>26000</x:v>
      </x:c>
      <x:c r="O55" s="32" t="n">
        <x:v>0</x:v>
      </x:c>
      <x:c r="P55" s="32" t="n">
        <x:v>46</x:v>
      </x:c>
      <x:c r="Q55" s="32" t="n">
        <x:v>5</x:v>
      </x:c>
      <x:c r="R55" s="32" t="n">
        <x:v>0</x:v>
      </x:c>
      <x:c r="S55" s="32" t="n">
        <x:v>0</x:v>
      </x:c>
      <x:c r="T55" s="32" t="n">
        <x:v>0</x:v>
      </x:c>
      <x:c r="U55" s="32" t="n">
        <x:v>0</x:v>
      </x:c>
      <x:c r="V55" s="32" t="n">
        <x:v>0</x:v>
      </x:c>
      <x:c r="W55" s="32" t="n">
        <x:v>0</x:v>
      </x:c>
      <x:c r="X55" s="34" t="n">
        <x:f>('01_比较参数'!$B$2+D55)*(1+('01_比较参数'!$B$5+E55)/'01_比较参数'!$B$14)*(1+('01_比较参数'!$B$6+F55)/'01_比较参数'!$B$14)*(1+('01_比较参数'!$B$7+G55)/'01_比较参数'!$B$14)*(1+('01_比较参数'!$B$8+I55/'01_比较参数'!$B$14)*('01_比较参数'!$B$12-1+('01_比较参数'!$B$9+H55)/'01_比较参数'!$B$14))*(1+('01_比较参数'!$B$10+J55/'01_比较参数'!$B$14)*('01_比较参数'!$B$13-1+('01_比较参数'!$B$11+K55)/'01_比较参数'!$B$14))*(1+L55/'01_比较参数'!$B$14)*(1+M55/'01_比较参数'!$B$14)</x:f>
        <x:v>10723.8083904</x:v>
      </x:c>
      <x:c r="Y55" s="34" t="n">
        <x:f>X55-'01_比较参数'!$B$18</x:f>
        <x:v>740.9123903999971</x:v>
      </x:c>
      <x:c r="Z55" s="36" t="n">
        <x:f>ROUNDDOWN(D55/2,0)</x:f>
        <x:v>24</x:v>
      </x:c>
    </x:row>
    <x:row r="56" ht="30" customHeight="1">
      <x:c r="A56" s="22" t="str">
        <x:v>流放腕铠</x:v>
      </x:c>
      <x:c r="B56" s="22" t="str">
        <x:v>C2专属本轮</x:v>
      </x:c>
      <x:c r="C56" s="22" t="str">
        <x:v>手镯</x:v>
      </x:c>
      <x:c r="D56" s="32" t="n">
        <x:v>56</x:v>
      </x:c>
      <x:c r="E56" s="32" t="n">
        <x:v>15</x:v>
      </x:c>
      <x:c r="F56" s="32" t="n">
        <x:v>8</x:v>
      </x:c>
      <x:c r="G56" s="32" t="n">
        <x:v>4</x:v>
      </x:c>
      <x:c r="H56" s="32" t="n">
        <x:v>10</x:v>
      </x:c>
      <x:c r="I56" s="32" t="n">
        <x:v>0</x:v>
      </x:c>
      <x:c r="J56" s="32" t="n">
        <x:v>0</x:v>
      </x:c>
      <x:c r="K56" s="32" t="n">
        <x:v>0</x:v>
      </x:c>
      <x:c r="L56" s="32" t="n">
        <x:v>0</x:v>
      </x:c>
      <x:c r="M56" s="32" t="n">
        <x:v>0</x:v>
      </x:c>
      <x:c r="N56" s="32" t="n">
        <x:v>14000</x:v>
      </x:c>
      <x:c r="O56" s="32" t="n">
        <x:v>0</x:v>
      </x:c>
      <x:c r="P56" s="32" t="n">
        <x:v>28</x:v>
      </x:c>
      <x:c r="Q56" s="32" t="n">
        <x:v>1</x:v>
      </x:c>
      <x:c r="R56" s="32" t="n">
        <x:v>0</x:v>
      </x:c>
      <x:c r="S56" s="32" t="n">
        <x:v>0</x:v>
      </x:c>
      <x:c r="T56" s="32" t="n">
        <x:v>0</x:v>
      </x:c>
      <x:c r="U56" s="32" t="n">
        <x:v>0</x:v>
      </x:c>
      <x:c r="V56" s="32" t="n">
        <x:v>0</x:v>
      </x:c>
      <x:c r="W56" s="32" t="n">
        <x:v>0</x:v>
      </x:c>
      <x:c r="X56" s="34" t="n">
        <x:f>('01_比较参数'!$B$2+D56)*(1+('01_比较参数'!$B$5+E56)/'01_比较参数'!$B$14)*(1+('01_比较参数'!$B$6+F56)/'01_比较参数'!$B$14)*(1+('01_比较参数'!$B$7+G56)/'01_比较参数'!$B$14)*(1+('01_比较参数'!$B$8+I56/'01_比较参数'!$B$14)*('01_比较参数'!$B$12-1+('01_比较参数'!$B$9+H56)/'01_比较参数'!$B$14))*(1+('01_比较参数'!$B$10+J56/'01_比较参数'!$B$14)*('01_比较参数'!$B$13-1+('01_比较参数'!$B$11+K56)/'01_比较参数'!$B$14))*(1+L56/'01_比较参数'!$B$14)*(1+M56/'01_比较参数'!$B$14)</x:f>
        <x:v>12229.375779734404</x:v>
      </x:c>
      <x:c r="Y56" s="34" t="n">
        <x:f>X56-'01_比较参数'!$B$18</x:f>
        <x:v>2246.4797797344017</x:v>
      </x:c>
      <x:c r="Z56" s="36" t="n">
        <x:f>ROUNDDOWN(D56/2,0)</x:f>
        <x:v>28</x:v>
      </x:c>
    </x:row>
    <x:row r="57" ht="30" customHeight="1">
      <x:c r="A57" s="22" t="str">
        <x:v>断旗马戒</x:v>
      </x:c>
      <x:c r="B57" s="22" t="str">
        <x:v>C2专属本轮</x:v>
      </x:c>
      <x:c r="C57" s="22" t="str">
        <x:v>戒指</x:v>
      </x:c>
      <x:c r="D57" s="32" t="n">
        <x:v>62</x:v>
      </x:c>
      <x:c r="E57" s="32" t="n">
        <x:v>13</x:v>
      </x:c>
      <x:c r="F57" s="32" t="n">
        <x:v>6</x:v>
      </x:c>
      <x:c r="G57" s="32" t="n">
        <x:v>4</x:v>
      </x:c>
      <x:c r="H57" s="32" t="n">
        <x:v>12</x:v>
      </x:c>
      <x:c r="I57" s="32" t="n">
        <x:v>0</x:v>
      </x:c>
      <x:c r="J57" s="32" t="n">
        <x:v>0</x:v>
      </x:c>
      <x:c r="K57" s="32" t="n">
        <x:v>0</x:v>
      </x:c>
      <x:c r="L57" s="32" t="n">
        <x:v>0</x:v>
      </x:c>
      <x:c r="M57" s="32" t="n">
        <x:v>0</x:v>
      </x:c>
      <x:c r="N57" s="32" t="n">
        <x:v>13000</x:v>
      </x:c>
      <x:c r="O57" s="32" t="n">
        <x:v>0</x:v>
      </x:c>
      <x:c r="P57" s="32" t="n">
        <x:v>28</x:v>
      </x:c>
      <x:c r="Q57" s="32" t="n">
        <x:v>1</x:v>
      </x:c>
      <x:c r="R57" s="32" t="n">
        <x:v>0</x:v>
      </x:c>
      <x:c r="S57" s="32" t="n">
        <x:v>0</x:v>
      </x:c>
      <x:c r="T57" s="32" t="n">
        <x:v>0</x:v>
      </x:c>
      <x:c r="U57" s="32" t="n">
        <x:v>0</x:v>
      </x:c>
      <x:c r="V57" s="32" t="n">
        <x:v>0</x:v>
      </x:c>
      <x:c r="W57" s="32" t="n">
        <x:v>0</x:v>
      </x:c>
      <x:c r="X57" s="34" t="n">
        <x:f>('01_比较参数'!$B$2+D57)*(1+('01_比较参数'!$B$5+E57)/'01_比较参数'!$B$14)*(1+('01_比较参数'!$B$6+F57)/'01_比较参数'!$B$14)*(1+('01_比较参数'!$B$7+G57)/'01_比较参数'!$B$14)*(1+('01_比较参数'!$B$8+I57/'01_比较参数'!$B$14)*('01_比较参数'!$B$12-1+('01_比较参数'!$B$9+H57)/'01_比较参数'!$B$14))*(1+('01_比较参数'!$B$10+J57/'01_比较参数'!$B$14)*('01_比较参数'!$B$13-1+('01_比较参数'!$B$11+K57)/'01_比较参数'!$B$14))*(1+L57/'01_比较参数'!$B$14)*(1+M57/'01_比较参数'!$B$14)</x:f>
        <x:v>12074.936234510691</x:v>
      </x:c>
      <x:c r="Y57" s="34" t="n">
        <x:f>X57-'01_比较参数'!$B$18</x:f>
        <x:v>2092.0402345106886</x:v>
      </x:c>
      <x:c r="Z57" s="36" t="n">
        <x:f>ROUNDDOWN(D57/2,0)</x:f>
        <x:v>31</x:v>
      </x:c>
    </x:row>
    <x:row r="58" ht="30" customHeight="1">
      <x:c r="A58" s="22" t="str">
        <x:v>黄金战带</x:v>
      </x:c>
      <x:c r="B58" s="22" t="str">
        <x:v>C2专属本轮</x:v>
      </x:c>
      <x:c r="C58" s="22" t="str">
        <x:v>腰带</x:v>
      </x:c>
      <x:c r="D58" s="32" t="n">
        <x:v>52</x:v>
      </x:c>
      <x:c r="E58" s="32" t="n">
        <x:v>12</x:v>
      </x:c>
      <x:c r="F58" s="32" t="n">
        <x:v>0</x:v>
      </x:c>
      <x:c r="G58" s="32" t="n">
        <x:v>0</x:v>
      </x:c>
      <x:c r="H58" s="32" t="n">
        <x:v>0</x:v>
      </x:c>
      <x:c r="I58" s="32" t="n">
        <x:v>0</x:v>
      </x:c>
      <x:c r="J58" s="32" t="n">
        <x:v>0</x:v>
      </x:c>
      <x:c r="K58" s="32" t="n">
        <x:v>0</x:v>
      </x:c>
      <x:c r="L58" s="32" t="n">
        <x:v>0</x:v>
      </x:c>
      <x:c r="M58" s="32" t="n">
        <x:v>0</x:v>
      </x:c>
      <x:c r="N58" s="32" t="n">
        <x:v>45000</x:v>
      </x:c>
      <x:c r="O58" s="32" t="n">
        <x:v>0</x:v>
      </x:c>
      <x:c r="P58" s="32" t="n">
        <x:v>56</x:v>
      </x:c>
      <x:c r="Q58" s="32" t="n">
        <x:v>6</x:v>
      </x:c>
      <x:c r="R58" s="32" t="n">
        <x:v>0</x:v>
      </x:c>
      <x:c r="S58" s="32" t="n">
        <x:v>0</x:v>
      </x:c>
      <x:c r="T58" s="32" t="n">
        <x:v>0</x:v>
      </x:c>
      <x:c r="U58" s="32" t="n">
        <x:v>0</x:v>
      </x:c>
      <x:c r="V58" s="32" t="n">
        <x:v>0</x:v>
      </x:c>
      <x:c r="W58" s="32" t="n">
        <x:v>0</x:v>
      </x:c>
      <x:c r="X58" s="34" t="n">
        <x:f>('01_比较参数'!$B$2+D58)*(1+('01_比较参数'!$B$5+E58)/'01_比较参数'!$B$14)*(1+('01_比较参数'!$B$6+F58)/'01_比较参数'!$B$14)*(1+('01_比较参数'!$B$7+G58)/'01_比较参数'!$B$14)*(1+('01_比较参数'!$B$8+I58/'01_比较参数'!$B$14)*('01_比较参数'!$B$12-1+('01_比较参数'!$B$9+H58)/'01_比较参数'!$B$14))*(1+('01_比较参数'!$B$10+J58/'01_比较参数'!$B$14)*('01_比较参数'!$B$13-1+('01_比较参数'!$B$11+K58)/'01_比较参数'!$B$14))*(1+L58/'01_比较参数'!$B$14)*(1+M58/'01_比较参数'!$B$14)</x:f>
        <x:v>10892.368076800003</x:v>
      </x:c>
      <x:c r="Y58" s="34" t="n">
        <x:f>X58-'01_比较参数'!$B$18</x:f>
        <x:v>909.4720768000007</x:v>
      </x:c>
      <x:c r="Z58" s="36" t="n">
        <x:f>ROUNDDOWN(D58/2,0)</x:f>
        <x:v>26</x:v>
      </x:c>
    </x:row>
    <x:row r="59" ht="30" customHeight="1">
      <x:c r="A59" s="22" t="str">
        <x:v>失乡战靴</x:v>
      </x:c>
      <x:c r="B59" s="22" t="str">
        <x:v>C2专属本轮</x:v>
      </x:c>
      <x:c r="C59" s="22" t="str">
        <x:v>鞋子</x:v>
      </x:c>
      <x:c r="D59" s="32" t="n">
        <x:v>50</x:v>
      </x:c>
      <x:c r="E59" s="32" t="n">
        <x:v>12</x:v>
      </x:c>
      <x:c r="F59" s="32" t="n">
        <x:v>0</x:v>
      </x:c>
      <x:c r="G59" s="32" t="n">
        <x:v>0</x:v>
      </x:c>
      <x:c r="H59" s="32" t="n">
        <x:v>0</x:v>
      </x:c>
      <x:c r="I59" s="32" t="n">
        <x:v>0</x:v>
      </x:c>
      <x:c r="J59" s="32" t="n">
        <x:v>0</x:v>
      </x:c>
      <x:c r="K59" s="32" t="n">
        <x:v>0</x:v>
      </x:c>
      <x:c r="L59" s="32" t="n">
        <x:v>0</x:v>
      </x:c>
      <x:c r="M59" s="32" t="n">
        <x:v>0</x:v>
      </x:c>
      <x:c r="N59" s="32" t="n">
        <x:v>43000</x:v>
      </x:c>
      <x:c r="O59" s="32" t="n">
        <x:v>0</x:v>
      </x:c>
      <x:c r="P59" s="32" t="n">
        <x:v>55</x:v>
      </x:c>
      <x:c r="Q59" s="32" t="n">
        <x:v>6</x:v>
      </x:c>
      <x:c r="R59" s="32" t="n">
        <x:v>0</x:v>
      </x:c>
      <x:c r="S59" s="32" t="n">
        <x:v>0</x:v>
      </x:c>
      <x:c r="T59" s="32" t="n">
        <x:v>0</x:v>
      </x:c>
      <x:c r="U59" s="32" t="n">
        <x:v>0</x:v>
      </x:c>
      <x:c r="V59" s="32" t="n">
        <x:v>0</x:v>
      </x:c>
      <x:c r="W59" s="32" t="n">
        <x:v>0</x:v>
      </x:c>
      <x:c r="X59" s="34" t="n">
        <x:f>('01_比较参数'!$B$2+D59)*(1+('01_比较参数'!$B$5+E59)/'01_比较参数'!$B$14)*(1+('01_比较参数'!$B$6+F59)/'01_比较参数'!$B$14)*(1+('01_比较参数'!$B$7+G59)/'01_比较参数'!$B$14)*(1+('01_比较参数'!$B$8+I59/'01_比较参数'!$B$14)*('01_比较参数'!$B$12-1+('01_比较参数'!$B$9+H59)/'01_比较参数'!$B$14))*(1+('01_比较参数'!$B$10+J59/'01_比较参数'!$B$14)*('01_比较参数'!$B$13-1+('01_比较参数'!$B$11+K59)/'01_比较参数'!$B$14))*(1+L59/'01_比较参数'!$B$14)*(1+M59/'01_比较参数'!$B$14)</x:f>
        <x:v>10878.331520000002</x:v>
      </x:c>
      <x:c r="Y59" s="34" t="n">
        <x:f>X59-'01_比较参数'!$B$18</x:f>
        <x:v>895.4355199999991</x:v>
      </x:c>
      <x:c r="Z59" s="36" t="n">
        <x:f>ROUNDDOWN(D59/2,0)</x:f>
        <x:v>25</x:v>
      </x:c>
    </x:row>
    <x:row r="60" ht="30" customHeight="1">
      <x:c r="A60" s="22" t="str">
        <x:v>兽爪礼刃</x:v>
      </x:c>
      <x:c r="B60" s="22" t="str">
        <x:v>C2专属本轮</x:v>
      </x:c>
      <x:c r="C60" s="22" t="str">
        <x:v>时装武器</x:v>
      </x:c>
      <x:c r="D60" s="32" t="n">
        <x:v>300</x:v>
      </x:c>
      <x:c r="E60" s="32" t="n">
        <x:v>37</x:v>
      </x:c>
      <x:c r="F60" s="32" t="n">
        <x:v>28</x:v>
      </x:c>
      <x:c r="G60" s="32" t="n">
        <x:v>15</x:v>
      </x:c>
      <x:c r="H60" s="32" t="n">
        <x:v>30</x:v>
      </x:c>
      <x:c r="I60" s="32" t="n">
        <x:v>0</x:v>
      </x:c>
      <x:c r="J60" s="32" t="n">
        <x:v>0</x:v>
      </x:c>
      <x:c r="K60" s="32" t="n">
        <x:v>0</x:v>
      </x:c>
      <x:c r="L60" s="32" t="n">
        <x:v>0</x:v>
      </x:c>
      <x:c r="M60" s="32" t="n">
        <x:v>0</x:v>
      </x:c>
      <x:c r="N60" s="32" t="n">
        <x:v>18000</x:v>
      </x:c>
      <x:c r="O60" s="32" t="n">
        <x:v>0</x:v>
      </x:c>
      <x:c r="P60" s="32" t="n">
        <x:v>0</x:v>
      </x:c>
      <x:c r="Q60" s="32" t="n">
        <x:v>0</x:v>
      </x:c>
      <x:c r="R60" s="32" t="n">
        <x:v>0</x:v>
      </x:c>
      <x:c r="S60" s="32" t="n">
        <x:v>0</x:v>
      </x:c>
      <x:c r="T60" s="32" t="n">
        <x:v>0</x:v>
      </x:c>
      <x:c r="U60" s="32" t="n">
        <x:v>0</x:v>
      </x:c>
      <x:c r="V60" s="32" t="n">
        <x:v>50</x:v>
      </x:c>
      <x:c r="W60" s="32" t="n">
        <x:v>0</x:v>
      </x:c>
      <x:c r="X60" s="34" t="n">
        <x:f>('01_比较参数'!$B$2+D60)*(1+('01_比较参数'!$B$5+E60)/'01_比较参数'!$B$14)*(1+('01_比较参数'!$B$6+F60)/'01_比较参数'!$B$14)*(1+('01_比较参数'!$B$7+G60)/'01_比较参数'!$B$14)*(1+('01_比较参数'!$B$8+I60/'01_比较参数'!$B$14)*('01_比较参数'!$B$12-1+('01_比较参数'!$B$9+H60)/'01_比较参数'!$B$14))*(1+('01_比较参数'!$B$10+J60/'01_比较参数'!$B$14)*('01_比较参数'!$B$13-1+('01_比较参数'!$B$11+K60)/'01_比较参数'!$B$14))*(1+L60/'01_比较参数'!$B$14)*(1+M60/'01_比较参数'!$B$14)</x:f>
        <x:v>19536.28856928</x:v>
      </x:c>
      <x:c r="Y60" s="34" t="n">
        <x:f>X60-'01_比较参数'!$B$18</x:f>
        <x:v>9553.392569279998</x:v>
      </x:c>
      <x:c r="Z60" s="36" t="n">
        <x:f>ROUNDDOWN(D60/2,0)</x:f>
        <x:v>150</x:v>
      </x:c>
    </x:row>
    <x:row r="61" ht="30" customHeight="1">
      <x:c r="A61" s="22" t="str">
        <x:v>破阵军袍</x:v>
      </x:c>
      <x:c r="B61" s="22" t="str">
        <x:v>C2专属本轮</x:v>
      </x:c>
      <x:c r="C61" s="22" t="str">
        <x:v>时装衣服</x:v>
      </x:c>
      <x:c r="D61" s="32" t="n">
        <x:v>120</x:v>
      </x:c>
      <x:c r="E61" s="32" t="n">
        <x:v>25</x:v>
      </x:c>
      <x:c r="F61" s="32" t="n">
        <x:v>0</x:v>
      </x:c>
      <x:c r="G61" s="32" t="n">
        <x:v>0</x:v>
      </x:c>
      <x:c r="H61" s="32" t="n">
        <x:v>0</x:v>
      </x:c>
      <x:c r="I61" s="32" t="n">
        <x:v>0</x:v>
      </x:c>
      <x:c r="J61" s="32" t="n">
        <x:v>0</x:v>
      </x:c>
      <x:c r="K61" s="32" t="n">
        <x:v>0</x:v>
      </x:c>
      <x:c r="L61" s="32" t="n">
        <x:v>0</x:v>
      </x:c>
      <x:c r="M61" s="32" t="n">
        <x:v>0</x:v>
      </x:c>
      <x:c r="N61" s="32" t="n">
        <x:v>145000</x:v>
      </x:c>
      <x:c r="O61" s="32" t="n">
        <x:v>13</x:v>
      </x:c>
      <x:c r="P61" s="32" t="n">
        <x:v>94</x:v>
      </x:c>
      <x:c r="Q61" s="32" t="n">
        <x:v>22</x:v>
      </x:c>
      <x:c r="R61" s="32" t="n">
        <x:v>0</x:v>
      </x:c>
      <x:c r="S61" s="32" t="n">
        <x:v>0</x:v>
      </x:c>
      <x:c r="T61" s="32" t="n">
        <x:v>0</x:v>
      </x:c>
      <x:c r="U61" s="32" t="n">
        <x:v>0</x:v>
      </x:c>
      <x:c r="V61" s="32" t="n">
        <x:v>0</x:v>
      </x:c>
      <x:c r="W61" s="32" t="n">
        <x:v>0</x:v>
      </x:c>
      <x:c r="X61" s="34" t="n">
        <x:f>('01_比较参数'!$B$2+D61)*(1+('01_比较参数'!$B$5+E61)/'01_比较参数'!$B$14)*(1+('01_比较参数'!$B$6+F61)/'01_比较参数'!$B$14)*(1+('01_比较参数'!$B$7+G61)/'01_比较参数'!$B$14)*(1+('01_比较参数'!$B$8+I61/'01_比较参数'!$B$14)*('01_比较参数'!$B$12-1+('01_比较参数'!$B$9+H61)/'01_比较参数'!$B$14))*(1+('01_比较参数'!$B$10+J61/'01_比较参数'!$B$14)*('01_比较参数'!$B$13-1+('01_比较参数'!$B$11+K61)/'01_比较参数'!$B$14))*(1+L61/'01_比较参数'!$B$14)*(1+M61/'01_比较参数'!$B$14)</x:f>
        <x:v>12006.701280000003</x:v>
      </x:c>
      <x:c r="Y61" s="34" t="n">
        <x:f>X61-'01_比较参数'!$B$18</x:f>
        <x:v>2023.8052800000005</x:v>
      </x:c>
      <x:c r="Z61" s="36" t="n">
        <x:f>ROUNDDOWN(D61/2,0)</x:f>
        <x:v>60</x:v>
      </x:c>
    </x:row>
    <x:row r="62" ht="30" customHeight="1">
      <x:c r="A62" s="22" t="str">
        <x:v>长戟寅虎</x:v>
      </x:c>
      <x:c r="B62" s="22" t="str">
        <x:v>C2专属本轮</x:v>
      </x:c>
      <x:c r="C62" s="22" t="str">
        <x:v>生肖3</x:v>
      </x:c>
      <x:c r="D62" s="32" t="n">
        <x:v>42</x:v>
      </x:c>
      <x:c r="E62" s="32" t="n">
        <x:v>3</x:v>
      </x:c>
      <x:c r="F62" s="32" t="n">
        <x:v>3</x:v>
      </x:c>
      <x:c r="G62" s="32" t="n">
        <x:v>1</x:v>
      </x:c>
      <x:c r="H62" s="32" t="n">
        <x:v>0</x:v>
      </x:c>
      <x:c r="I62" s="32" t="n">
        <x:v>0</x:v>
      </x:c>
      <x:c r="J62" s="32" t="n">
        <x:v>0</x:v>
      </x:c>
      <x:c r="K62" s="32" t="n">
        <x:v>0</x:v>
      </x:c>
      <x:c r="L62" s="32" t="n">
        <x:v>0</x:v>
      </x:c>
      <x:c r="M62" s="32" t="n">
        <x:v>0</x:v>
      </x:c>
      <x:c r="N62" s="32" t="n">
        <x:v>7500</x:v>
      </x:c>
      <x:c r="O62" s="32" t="n">
        <x:v>0</x:v>
      </x:c>
      <x:c r="P62" s="32" t="n">
        <x:v>12</x:v>
      </x:c>
      <x:c r="Q62" s="32" t="n">
        <x:v>0</x:v>
      </x:c>
      <x:c r="R62" s="32" t="n">
        <x:v>0</x:v>
      </x:c>
      <x:c r="S62" s="32" t="n">
        <x:v>0</x:v>
      </x:c>
      <x:c r="T62" s="32" t="n">
        <x:v>0</x:v>
      </x:c>
      <x:c r="U62" s="32" t="n">
        <x:v>0</x:v>
      </x:c>
      <x:c r="V62" s="32" t="n">
        <x:v>0</x:v>
      </x:c>
      <x:c r="W62" s="32" t="n">
        <x:v>0</x:v>
      </x:c>
      <x:c r="X62" s="34" t="n">
        <x:f>('01_比较参数'!$B$2+D62)*(1+('01_比较参数'!$B$5+E62)/'01_比较参数'!$B$14)*(1+('01_比较参数'!$B$6+F62)/'01_比较参数'!$B$14)*(1+('01_比较参数'!$B$7+G62)/'01_比较参数'!$B$14)*(1+('01_比较参数'!$B$8+I62/'01_比较参数'!$B$14)*('01_比较参数'!$B$12-1+('01_比较参数'!$B$9+H62)/'01_比较参数'!$B$14))*(1+('01_比较参数'!$B$10+J62/'01_比较参数'!$B$14)*('01_比较参数'!$B$13-1+('01_比较参数'!$B$11+K62)/'01_比较参数'!$B$14))*(1+L62/'01_比较参数'!$B$14)*(1+M62/'01_比较参数'!$B$14)</x:f>
        <x:v>10682.18260004448</x:v>
      </x:c>
      <x:c r="Y62" s="34" t="n">
        <x:f>X62-'01_比较参数'!$B$18</x:f>
        <x:v>699.2866000444774</x:v>
      </x:c>
      <x:c r="Z62" s="36" t="n">
        <x:f>ROUNDDOWN(D62/2,0)</x:f>
        <x:v>21</x:v>
      </x:c>
    </x:row>
    <x:row r="63" ht="30" customHeight="1">
      <x:c r="A63" s="22" t="str">
        <x:v>无月卯兔</x:v>
      </x:c>
      <x:c r="B63" s="22" t="str">
        <x:v>C2专属本轮</x:v>
      </x:c>
      <x:c r="C63" s="22" t="str">
        <x:v>生肖4</x:v>
      </x:c>
      <x:c r="D63" s="32" t="n">
        <x:v>32</x:v>
      </x:c>
      <x:c r="E63" s="32" t="n">
        <x:v>3</x:v>
      </x:c>
      <x:c r="F63" s="32" t="n">
        <x:v>0</x:v>
      </x:c>
      <x:c r="G63" s="32" t="n">
        <x:v>0</x:v>
      </x:c>
      <x:c r="H63" s="32" t="n">
        <x:v>0</x:v>
      </x:c>
      <x:c r="I63" s="32" t="n">
        <x:v>0</x:v>
      </x:c>
      <x:c r="J63" s="32" t="n">
        <x:v>0</x:v>
      </x:c>
      <x:c r="K63" s="32" t="n">
        <x:v>0</x:v>
      </x:c>
      <x:c r="L63" s="32" t="n">
        <x:v>0</x:v>
      </x:c>
      <x:c r="M63" s="32" t="n">
        <x:v>0</x:v>
      </x:c>
      <x:c r="N63" s="32" t="n">
        <x:v>8000</x:v>
      </x:c>
      <x:c r="O63" s="32" t="n">
        <x:v>0</x:v>
      </x:c>
      <x:c r="P63" s="32" t="n">
        <x:v>12</x:v>
      </x:c>
      <x:c r="Q63" s="32" t="n">
        <x:v>0</x:v>
      </x:c>
      <x:c r="R63" s="32" t="n">
        <x:v>0</x:v>
      </x:c>
      <x:c r="S63" s="32" t="n">
        <x:v>0</x:v>
      </x:c>
      <x:c r="T63" s="32" t="n">
        <x:v>0</x:v>
      </x:c>
      <x:c r="U63" s="32" t="n">
        <x:v>0</x:v>
      </x:c>
      <x:c r="V63" s="32" t="n">
        <x:v>0</x:v>
      </x:c>
      <x:c r="W63" s="32" t="n">
        <x:v>0</x:v>
      </x:c>
      <x:c r="X63" s="34" t="n">
        <x:f>('01_比较参数'!$B$2+D63)*(1+('01_比较参数'!$B$5+E63)/'01_比较参数'!$B$14)*(1+('01_比较参数'!$B$6+F63)/'01_比较参数'!$B$14)*(1+('01_比较参数'!$B$7+G63)/'01_比较参数'!$B$14)*(1+('01_比较参数'!$B$8+I63/'01_比较参数'!$B$14)*('01_比较参数'!$B$12-1+('01_比较参数'!$B$9+H63)/'01_比较参数'!$B$14))*(1+('01_比较参数'!$B$10+J63/'01_比较参数'!$B$14)*('01_比较参数'!$B$13-1+('01_比较参数'!$B$11+K63)/'01_比较参数'!$B$14))*(1+L63/'01_比较参数'!$B$14)*(1+M63/'01_比较参数'!$B$14)</x:f>
        <x:v>10334.898963200001</x:v>
      </x:c>
      <x:c r="Y63" s="34" t="n">
        <x:f>X63-'01_比较参数'!$B$18</x:f>
        <x:v>352.0029631999987</x:v>
      </x:c>
      <x:c r="Z63" s="36" t="n">
        <x:f>ROUNDDOWN(D63/2,0)</x:f>
        <x:v>16</x:v>
      </x:c>
    </x:row>
    <x:row r="64" ht="30" customHeight="1">
      <x:c r="A64" s="22" t="str">
        <x:v>雾牙短刃</x:v>
      </x:c>
      <x:c r="B64" s="22" t="str">
        <x:v>C2专属本轮</x:v>
      </x:c>
      <x:c r="C64" s="22" t="str">
        <x:v>武器</x:v>
      </x:c>
      <x:c r="D64" s="32" t="n">
        <x:v>500</x:v>
      </x:c>
      <x:c r="E64" s="32" t="n">
        <x:v>52</x:v>
      </x:c>
      <x:c r="F64" s="32" t="n">
        <x:v>33</x:v>
      </x:c>
      <x:c r="G64" s="32" t="n">
        <x:v>18</x:v>
      </x:c>
      <x:c r="H64" s="32" t="n">
        <x:v>34</x:v>
      </x:c>
      <x:c r="I64" s="32" t="n">
        <x:v>0</x:v>
      </x:c>
      <x:c r="J64" s="32" t="n">
        <x:v>0</x:v>
      </x:c>
      <x:c r="K64" s="32" t="n">
        <x:v>0</x:v>
      </x:c>
      <x:c r="L64" s="32" t="n">
        <x:v>0</x:v>
      </x:c>
      <x:c r="M64" s="32" t="n">
        <x:v>0</x:v>
      </x:c>
      <x:c r="N64" s="32" t="n">
        <x:v>16000</x:v>
      </x:c>
      <x:c r="O64" s="32" t="n">
        <x:v>0</x:v>
      </x:c>
      <x:c r="P64" s="32" t="n">
        <x:v>0</x:v>
      </x:c>
      <x:c r="Q64" s="32" t="n">
        <x:v>0</x:v>
      </x:c>
      <x:c r="R64" s="32" t="n">
        <x:v>0</x:v>
      </x:c>
      <x:c r="S64" s="32" t="n">
        <x:v>0</x:v>
      </x:c>
      <x:c r="T64" s="32" t="n">
        <x:v>21</x:v>
      </x:c>
      <x:c r="U64" s="32" t="n">
        <x:v>0</x:v>
      </x:c>
      <x:c r="V64" s="32" t="n">
        <x:v>0</x:v>
      </x:c>
      <x:c r="W64" s="32" t="n">
        <x:v>0</x:v>
      </x:c>
      <x:c r="X64" s="34" t="n">
        <x:f>('01_比较参数'!$B$2+D64)*(1+('01_比较参数'!$B$5+E64)/'01_比较参数'!$B$14)*(1+('01_比较参数'!$B$6+F64)/'01_比较参数'!$B$14)*(1+('01_比较参数'!$B$7+G64)/'01_比较参数'!$B$14)*(1+('01_比较参数'!$B$8+I64/'01_比较参数'!$B$14)*('01_比较参数'!$B$12-1+('01_比较参数'!$B$9+H64)/'01_比较参数'!$B$14))*(1+('01_比较参数'!$B$10+J64/'01_比较参数'!$B$14)*('01_比较参数'!$B$13-1+('01_比较参数'!$B$11+K64)/'01_比较参数'!$B$14))*(1+L64/'01_比较参数'!$B$14)*(1+M64/'01_比较参数'!$B$14)</x:f>
        <x:v>24274.462436223996</x:v>
      </x:c>
      <x:c r="Y64" s="34" t="n">
        <x:f>X64-'01_比较参数'!$B$18</x:f>
        <x:v>14291.566436223993</x:v>
      </x:c>
      <x:c r="Z64" s="36" t="n">
        <x:f>ROUNDDOWN(D64/2,0)</x:f>
        <x:v>250</x:v>
      </x:c>
    </x:row>
    <x:row r="65" ht="30" customHeight="1">
      <x:c r="A65" s="22" t="str">
        <x:v>熊王战靴</x:v>
      </x:c>
      <x:c r="B65" s="22" t="str">
        <x:v>C2专属本轮</x:v>
      </x:c>
      <x:c r="C65" s="22" t="str">
        <x:v>鞋子</x:v>
      </x:c>
      <x:c r="D65" s="32" t="n">
        <x:v>44</x:v>
      </x:c>
      <x:c r="E65" s="32" t="n">
        <x:v>9</x:v>
      </x:c>
      <x:c r="F65" s="32" t="n">
        <x:v>0</x:v>
      </x:c>
      <x:c r="G65" s="32" t="n">
        <x:v>0</x:v>
      </x:c>
      <x:c r="H65" s="32" t="n">
        <x:v>0</x:v>
      </x:c>
      <x:c r="I65" s="32" t="n">
        <x:v>0</x:v>
      </x:c>
      <x:c r="J65" s="32" t="n">
        <x:v>0</x:v>
      </x:c>
      <x:c r="K65" s="32" t="n">
        <x:v>0</x:v>
      </x:c>
      <x:c r="L65" s="32" t="n">
        <x:v>0</x:v>
      </x:c>
      <x:c r="M65" s="32" t="n">
        <x:v>0</x:v>
      </x:c>
      <x:c r="N65" s="32" t="n">
        <x:v>25000</x:v>
      </x:c>
      <x:c r="O65" s="32" t="n">
        <x:v>0</x:v>
      </x:c>
      <x:c r="P65" s="32" t="n">
        <x:v>42</x:v>
      </x:c>
      <x:c r="Q65" s="32" t="n">
        <x:v>4</x:v>
      </x:c>
      <x:c r="R65" s="32" t="n">
        <x:v>0</x:v>
      </x:c>
      <x:c r="S65" s="32" t="n">
        <x:v>0</x:v>
      </x:c>
      <x:c r="T65" s="32" t="n">
        <x:v>0</x:v>
      </x:c>
      <x:c r="U65" s="32" t="n">
        <x:v>0</x:v>
      </x:c>
      <x:c r="V65" s="32" t="n">
        <x:v>0</x:v>
      </x:c>
      <x:c r="W65" s="32" t="n">
        <x:v>0</x:v>
      </x:c>
      <x:c r="X65" s="34" t="n">
        <x:f>('01_比较参数'!$B$2+D65)*(1+('01_比较参数'!$B$5+E65)/'01_比较参数'!$B$14)*(1+('01_比较参数'!$B$6+F65)/'01_比较参数'!$B$14)*(1+('01_比较参数'!$B$7+G65)/'01_比较参数'!$B$14)*(1+('01_比较参数'!$B$8+I65/'01_比较参数'!$B$14)*('01_比较参数'!$B$12-1+('01_比较参数'!$B$9+H65)/'01_比较参数'!$B$14))*(1+('01_比较参数'!$B$10+J65/'01_比较参数'!$B$14)*('01_比较参数'!$B$13-1+('01_比较参数'!$B$11+K65)/'01_比较参数'!$B$14))*(1+L65/'01_比较参数'!$B$14)*(1+M65/'01_比较参数'!$B$14)</x:f>
        <x:v>10696.098291200002</x:v>
      </x:c>
      <x:c r="Y65" s="34" t="n">
        <x:f>X65-'01_比较参数'!$B$18</x:f>
        <x:v>713.2022911999993</x:v>
      </x:c>
      <x:c r="Z65" s="36" t="n">
        <x:f>ROUNDDOWN(D65/2,0)</x:f>
        <x:v>22</x:v>
      </x:c>
    </x:row>
    <x:row r="66" ht="30" customHeight="1">
      <x:c r="A66" s="22" t="str">
        <x:v>祖灵皮衣</x:v>
      </x:c>
      <x:c r="B66" s="22" t="str">
        <x:v>C2专属本轮</x:v>
      </x:c>
      <x:c r="C66" s="22" t="str">
        <x:v>衣服</x:v>
      </x:c>
      <x:c r="D66" s="32" t="n">
        <x:v>100</x:v>
      </x:c>
      <x:c r="E66" s="32" t="n">
        <x:v>16</x:v>
      </x:c>
      <x:c r="F66" s="32" t="n">
        <x:v>0</x:v>
      </x:c>
      <x:c r="G66" s="32" t="n">
        <x:v>0</x:v>
      </x:c>
      <x:c r="H66" s="32" t="n">
        <x:v>0</x:v>
      </x:c>
      <x:c r="I66" s="32" t="n">
        <x:v>0</x:v>
      </x:c>
      <x:c r="J66" s="32" t="n">
        <x:v>0</x:v>
      </x:c>
      <x:c r="K66" s="32" t="n">
        <x:v>0</x:v>
      </x:c>
      <x:c r="L66" s="32" t="n">
        <x:v>0</x:v>
      </x:c>
      <x:c r="M66" s="32" t="n">
        <x:v>0</x:v>
      </x:c>
      <x:c r="N66" s="32" t="n">
        <x:v>110000</x:v>
      </x:c>
      <x:c r="O66" s="32" t="n">
        <x:v>5</x:v>
      </x:c>
      <x:c r="P66" s="32" t="n">
        <x:v>88</x:v>
      </x:c>
      <x:c r="Q66" s="32" t="n">
        <x:v>19</x:v>
      </x:c>
      <x:c r="R66" s="32" t="n">
        <x:v>0</x:v>
      </x:c>
      <x:c r="S66" s="32" t="n">
        <x:v>0</x:v>
      </x:c>
      <x:c r="T66" s="32" t="n">
        <x:v>0</x:v>
      </x:c>
      <x:c r="U66" s="32" t="n">
        <x:v>0</x:v>
      </x:c>
      <x:c r="V66" s="32" t="n">
        <x:v>0</x:v>
      </x:c>
      <x:c r="W66" s="32" t="n">
        <x:v>0</x:v>
      </x:c>
      <x:c r="X66" s="34" t="n">
        <x:f>('01_比较参数'!$B$2+D66)*(1+('01_比较参数'!$B$5+E66)/'01_比较参数'!$B$14)*(1+('01_比较参数'!$B$6+F66)/'01_比较参数'!$B$14)*(1+('01_比较参数'!$B$7+G66)/'01_比较参数'!$B$14)*(1+('01_比较参数'!$B$8+I66/'01_比较参数'!$B$14)*('01_比较参数'!$B$12-1+('01_比较参数'!$B$9+H66)/'01_比较参数'!$B$14))*(1+('01_比较参数'!$B$10+J66/'01_比较参数'!$B$14)*('01_比较参数'!$B$13-1+('01_比较参数'!$B$11+K66)/'01_比较参数'!$B$14))*(1+L66/'01_比较参数'!$B$14)*(1+M66/'01_比较参数'!$B$14)</x:f>
        <x:v>11422.853120000003</x:v>
      </x:c>
      <x:c r="Y66" s="34" t="n">
        <x:f>X66-'01_比较参数'!$B$18</x:f>
        <x:v>1439.957120000001</x:v>
      </x:c>
      <x:c r="Z66" s="36" t="n">
        <x:f>ROUNDDOWN(D66/2,0)</x:f>
        <x:v>50</x:v>
      </x:c>
    </x:row>
    <x:row r="67" ht="30" customHeight="1">
      <x:c r="A67" s="22" t="str">
        <x:v>古树祷链</x:v>
      </x:c>
      <x:c r="B67" s="22" t="str">
        <x:v>C2专属本轮</x:v>
      </x:c>
      <x:c r="C67" s="22" t="str">
        <x:v>项链</x:v>
      </x:c>
      <x:c r="D67" s="32" t="n">
        <x:v>65</x:v>
      </x:c>
      <x:c r="E67" s="32" t="n">
        <x:v>20</x:v>
      </x:c>
      <x:c r="F67" s="32" t="n">
        <x:v>8</x:v>
      </x:c>
      <x:c r="G67" s="32" t="n">
        <x:v>5</x:v>
      </x:c>
      <x:c r="H67" s="32" t="n">
        <x:v>13</x:v>
      </x:c>
      <x:c r="I67" s="32" t="n">
        <x:v>0</x:v>
      </x:c>
      <x:c r="J67" s="32" t="n">
        <x:v>0</x:v>
      </x:c>
      <x:c r="K67" s="32" t="n">
        <x:v>0</x:v>
      </x:c>
      <x:c r="L67" s="32" t="n">
        <x:v>0</x:v>
      </x:c>
      <x:c r="M67" s="32" t="n">
        <x:v>0</x:v>
      </x:c>
      <x:c r="N67" s="32" t="n">
        <x:v>15000</x:v>
      </x:c>
      <x:c r="O67" s="32" t="n">
        <x:v>0</x:v>
      </x:c>
      <x:c r="P67" s="32" t="n">
        <x:v>0</x:v>
      </x:c>
      <x:c r="Q67" s="32" t="n">
        <x:v>0</x:v>
      </x:c>
      <x:c r="R67" s="32" t="n">
        <x:v>0</x:v>
      </x:c>
      <x:c r="S67" s="32" t="n">
        <x:v>0</x:v>
      </x:c>
      <x:c r="T67" s="32" t="n">
        <x:v>0</x:v>
      </x:c>
      <x:c r="U67" s="32" t="n">
        <x:v>0</x:v>
      </x:c>
      <x:c r="V67" s="32" t="n">
        <x:v>0</x:v>
      </x:c>
      <x:c r="W67" s="32" t="n">
        <x:v>0</x:v>
      </x:c>
      <x:c r="X67" s="34" t="n">
        <x:f>('01_比较参数'!$B$2+D67)*(1+('01_比较参数'!$B$5+E67)/'01_比较参数'!$B$14)*(1+('01_比较参数'!$B$6+F67)/'01_比较参数'!$B$14)*(1+('01_比较参数'!$B$7+G67)/'01_比较参数'!$B$14)*(1+('01_比较参数'!$B$8+I67/'01_比较参数'!$B$14)*('01_比较参数'!$B$12-1+('01_比较参数'!$B$9+H67)/'01_比较参数'!$B$14))*(1+('01_比较参数'!$B$10+J67/'01_比较参数'!$B$14)*('01_比较参数'!$B$13-1+('01_比较参数'!$B$11+K67)/'01_比较参数'!$B$14))*(1+L67/'01_比较参数'!$B$14)*(1+M67/'01_比较参数'!$B$14)</x:f>
        <x:v>12734.646305472002</x:v>
      </x:c>
      <x:c r="Y67" s="34" t="n">
        <x:f>X67-'01_比较参数'!$B$18</x:f>
        <x:v>2751.750305472</x:v>
      </x:c>
      <x:c r="Z67" s="36" t="n">
        <x:f>ROUNDDOWN(D67/2,0)</x:f>
        <x:v>32</x:v>
      </x:c>
    </x:row>
    <x:row r="68" ht="30" customHeight="1">
      <x:c r="A68" s="22" t="str">
        <x:v>半兽战勋</x:v>
      </x:c>
      <x:c r="B68" s="22" t="str">
        <x:v>C2专属本轮</x:v>
      </x:c>
      <x:c r="C68" s="22" t="str">
        <x:v>勋章</x:v>
      </x:c>
      <x:c r="D68" s="32" t="n">
        <x:v>68</x:v>
      </x:c>
      <x:c r="E68" s="32" t="n">
        <x:v>18</x:v>
      </x:c>
      <x:c r="F68" s="32" t="n">
        <x:v>9</x:v>
      </x:c>
      <x:c r="G68" s="32" t="n">
        <x:v>4</x:v>
      </x:c>
      <x:c r="H68" s="32" t="n">
        <x:v>10</x:v>
      </x:c>
      <x:c r="I68" s="32" t="n">
        <x:v>0</x:v>
      </x:c>
      <x:c r="J68" s="32" t="n">
        <x:v>0</x:v>
      </x:c>
      <x:c r="K68" s="32" t="n">
        <x:v>0</x:v>
      </x:c>
      <x:c r="L68" s="32" t="n">
        <x:v>0</x:v>
      </x:c>
      <x:c r="M68" s="32" t="n">
        <x:v>0</x:v>
      </x:c>
      <x:c r="N68" s="32" t="n">
        <x:v>16000</x:v>
      </x:c>
      <x:c r="O68" s="32" t="n">
        <x:v>0</x:v>
      </x:c>
      <x:c r="P68" s="32" t="n">
        <x:v>38</x:v>
      </x:c>
      <x:c r="Q68" s="32" t="n">
        <x:v>0</x:v>
      </x:c>
      <x:c r="R68" s="32" t="n">
        <x:v>0</x:v>
      </x:c>
      <x:c r="S68" s="32" t="n">
        <x:v>0</x:v>
      </x:c>
      <x:c r="T68" s="32" t="n">
        <x:v>0</x:v>
      </x:c>
      <x:c r="U68" s="32" t="n">
        <x:v>0</x:v>
      </x:c>
      <x:c r="V68" s="32" t="n">
        <x:v>0</x:v>
      </x:c>
      <x:c r="W68" s="32" t="n">
        <x:v>0</x:v>
      </x:c>
      <x:c r="X68" s="34" t="n">
        <x:f>('01_比较参数'!$B$2+D68)*(1+('01_比较参数'!$B$5+E68)/'01_比较参数'!$B$14)*(1+('01_比较参数'!$B$6+F68)/'01_比较参数'!$B$14)*(1+('01_比较参数'!$B$7+G68)/'01_比较参数'!$B$14)*(1+('01_比较参数'!$B$8+I68/'01_比较参数'!$B$14)*('01_比较参数'!$B$12-1+('01_比较参数'!$B$9+H68)/'01_比较参数'!$B$14))*(1+('01_比较参数'!$B$10+J68/'01_比较参数'!$B$14)*('01_比较参数'!$B$13-1+('01_比较参数'!$B$11+K68)/'01_比较参数'!$B$14))*(1+L68/'01_比较参数'!$B$14)*(1+M68/'01_比较参数'!$B$14)</x:f>
        <x:v>12555.30517707648</x:v>
      </x:c>
      <x:c r="Y68" s="34" t="n">
        <x:f>X68-'01_比较参数'!$B$18</x:f>
        <x:v>2572.409177076477</x:v>
      </x:c>
      <x:c r="Z68" s="36" t="n">
        <x:f>ROUNDDOWN(D68/2,0)</x:f>
        <x:v>34</x:v>
      </x:c>
    </x:row>
    <x:row r="69" ht="30" customHeight="1">
      <x:c r="A69" s="22" t="str">
        <x:v>毒花巨盾</x:v>
      </x:c>
      <x:c r="B69" s="22" t="str">
        <x:v>C2专属本轮</x:v>
      </x:c>
      <x:c r="C69" s="22" t="str">
        <x:v>盾牌</x:v>
      </x:c>
      <x:c r="D69" s="32" t="n">
        <x:v>56</x:v>
      </x:c>
      <x:c r="E69" s="32" t="n">
        <x:v>10</x:v>
      </x:c>
      <x:c r="F69" s="32" t="n">
        <x:v>0</x:v>
      </x:c>
      <x:c r="G69" s="32" t="n">
        <x:v>0</x:v>
      </x:c>
      <x:c r="H69" s="32" t="n">
        <x:v>0</x:v>
      </x:c>
      <x:c r="I69" s="32" t="n">
        <x:v>0</x:v>
      </x:c>
      <x:c r="J69" s="32" t="n">
        <x:v>0</x:v>
      </x:c>
      <x:c r="K69" s="32" t="n">
        <x:v>0</x:v>
      </x:c>
      <x:c r="L69" s="32" t="n">
        <x:v>0</x:v>
      </x:c>
      <x:c r="M69" s="32" t="n">
        <x:v>0</x:v>
      </x:c>
      <x:c r="N69" s="32" t="n">
        <x:v>38000</x:v>
      </x:c>
      <x:c r="O69" s="32" t="n">
        <x:v>0</x:v>
      </x:c>
      <x:c r="P69" s="32" t="n">
        <x:v>76</x:v>
      </x:c>
      <x:c r="Q69" s="32" t="n">
        <x:v>12</x:v>
      </x:c>
      <x:c r="R69" s="32" t="n">
        <x:v>0</x:v>
      </x:c>
      <x:c r="S69" s="32" t="n">
        <x:v>0</x:v>
      </x:c>
      <x:c r="T69" s="32" t="n">
        <x:v>0</x:v>
      </x:c>
      <x:c r="U69" s="32" t="n">
        <x:v>0</x:v>
      </x:c>
      <x:c r="V69" s="32" t="n">
        <x:v>0</x:v>
      </x:c>
      <x:c r="W69" s="32" t="n">
        <x:v>0</x:v>
      </x:c>
      <x:c r="X69" s="34" t="n">
        <x:f>('01_比较参数'!$B$2+D69)*(1+('01_比较参数'!$B$5+E69)/'01_比较参数'!$B$14)*(1+('01_比较参数'!$B$6+F69)/'01_比较参数'!$B$14)*(1+('01_比较参数'!$B$7+G69)/'01_比较参数'!$B$14)*(1+('01_比较参数'!$B$8+I69/'01_比较参数'!$B$14)*('01_比较参数'!$B$12-1+('01_比较参数'!$B$9+H69)/'01_比较参数'!$B$14))*(1+('01_比较参数'!$B$10+J69/'01_比较参数'!$B$14)*('01_比较参数'!$B$13-1+('01_比较参数'!$B$11+K69)/'01_比较参数'!$B$14))*(1+L69/'01_比较参数'!$B$14)*(1+M69/'01_比较参数'!$B$14)</x:f>
        <x:v>10826.299456</x:v>
      </x:c>
      <x:c r="Y69" s="34" t="n">
        <x:f>X69-'01_比较参数'!$B$18</x:f>
        <x:v>843.4034559999982</x:v>
      </x:c>
      <x:c r="Z69" s="36" t="n">
        <x:f>ROUNDDOWN(D69/2,0)</x:f>
        <x:v>28</x:v>
      </x:c>
    </x:row>
    <x:row r="70" ht="30" customHeight="1">
      <x:c r="A70" s="22" t="str">
        <x:v>卢恩血镯</x:v>
      </x:c>
      <x:c r="B70" s="22" t="str">
        <x:v>C2专属本轮</x:v>
      </x:c>
      <x:c r="C70" s="22" t="str">
        <x:v>时装手镯</x:v>
      </x:c>
      <x:c r="D70" s="32" t="n">
        <x:v>70</x:v>
      </x:c>
      <x:c r="E70" s="32" t="n">
        <x:v>18</x:v>
      </x:c>
      <x:c r="F70" s="32" t="n">
        <x:v>10</x:v>
      </x:c>
      <x:c r="G70" s="32" t="n">
        <x:v>5</x:v>
      </x:c>
      <x:c r="H70" s="32" t="n">
        <x:v>13</x:v>
      </x:c>
      <x:c r="I70" s="32" t="n">
        <x:v>0</x:v>
      </x:c>
      <x:c r="J70" s="32" t="n">
        <x:v>0</x:v>
      </x:c>
      <x:c r="K70" s="32" t="n">
        <x:v>0</x:v>
      </x:c>
      <x:c r="L70" s="32" t="n">
        <x:v>0</x:v>
      </x:c>
      <x:c r="M70" s="32" t="n">
        <x:v>0</x:v>
      </x:c>
      <x:c r="N70" s="32" t="n">
        <x:v>18000</x:v>
      </x:c>
      <x:c r="O70" s="32" t="n">
        <x:v>0</x:v>
      </x:c>
      <x:c r="P70" s="32" t="n">
        <x:v>34</x:v>
      </x:c>
      <x:c r="Q70" s="32" t="n">
        <x:v>1</x:v>
      </x:c>
      <x:c r="R70" s="32" t="n">
        <x:v>0</x:v>
      </x:c>
      <x:c r="S70" s="32" t="n">
        <x:v>0</x:v>
      </x:c>
      <x:c r="T70" s="32" t="n">
        <x:v>0</x:v>
      </x:c>
      <x:c r="U70" s="32" t="n">
        <x:v>0</x:v>
      </x:c>
      <x:c r="V70" s="32" t="n">
        <x:v>0</x:v>
      </x:c>
      <x:c r="W70" s="32" t="n">
        <x:v>0</x:v>
      </x:c>
      <x:c r="X70" s="34" t="n">
        <x:f>('01_比较参数'!$B$2+D70)*(1+('01_比较参数'!$B$5+E70)/'01_比较参数'!$B$14)*(1+('01_比较参数'!$B$6+F70)/'01_比较参数'!$B$14)*(1+('01_比较参数'!$B$7+G70)/'01_比较参数'!$B$14)*(1+('01_比较参数'!$B$8+I70/'01_比较参数'!$B$14)*('01_比较参数'!$B$12-1+('01_比较参数'!$B$9+H70)/'01_比较参数'!$B$14))*(1+('01_比较参数'!$B$10+J70/'01_比较参数'!$B$14)*('01_比较参数'!$B$13-1+('01_比较参数'!$B$11+K70)/'01_比较参数'!$B$14))*(1+L70/'01_比较参数'!$B$14)*(1+M70/'01_比较参数'!$B$14)</x:f>
        <x:v>12819.690868348</x:v>
      </x:c>
      <x:c r="Y70" s="34" t="n">
        <x:f>X70-'01_比较参数'!$B$18</x:f>
        <x:v>2836.794868347997</x:v>
      </x:c>
      <x:c r="Z70" s="36" t="n">
        <x:f>ROUNDDOWN(D70/2,0)</x:f>
        <x:v>35</x:v>
      </x:c>
    </x:row>
    <x:row r="71" ht="30" customHeight="1">
      <x:c r="A71" s="22" t="str">
        <x:v>黄金树戒</x:v>
      </x:c>
      <x:c r="B71" s="22" t="str">
        <x:v>C2专属本轮</x:v>
      </x:c>
      <x:c r="C71" s="22" t="str">
        <x:v>时装戒指</x:v>
      </x:c>
      <x:c r="D71" s="32" t="n">
        <x:v>76</x:v>
      </x:c>
      <x:c r="E71" s="32" t="n">
        <x:v>19</x:v>
      </x:c>
      <x:c r="F71" s="32" t="n">
        <x:v>9</x:v>
      </x:c>
      <x:c r="G71" s="32" t="n">
        <x:v>5</x:v>
      </x:c>
      <x:c r="H71" s="32" t="n">
        <x:v>17</x:v>
      </x:c>
      <x:c r="I71" s="32" t="n">
        <x:v>0</x:v>
      </x:c>
      <x:c r="J71" s="32" t="n">
        <x:v>0</x:v>
      </x:c>
      <x:c r="K71" s="32" t="n">
        <x:v>0</x:v>
      </x:c>
      <x:c r="L71" s="32" t="n">
        <x:v>0</x:v>
      </x:c>
      <x:c r="M71" s="32" t="n">
        <x:v>0</x:v>
      </x:c>
      <x:c r="N71" s="32" t="n">
        <x:v>15000</x:v>
      </x:c>
      <x:c r="O71" s="32" t="n">
        <x:v>0</x:v>
      </x:c>
      <x:c r="P71" s="32" t="n">
        <x:v>31</x:v>
      </x:c>
      <x:c r="Q71" s="32" t="n">
        <x:v>1</x:v>
      </x:c>
      <x:c r="R71" s="32" t="n">
        <x:v>0</x:v>
      </x:c>
      <x:c r="S71" s="32" t="n">
        <x:v>0</x:v>
      </x:c>
      <x:c r="T71" s="32" t="n">
        <x:v>0</x:v>
      </x:c>
      <x:c r="U71" s="32" t="n">
        <x:v>0</x:v>
      </x:c>
      <x:c r="V71" s="32" t="n">
        <x:v>50</x:v>
      </x:c>
      <x:c r="W71" s="32" t="n">
        <x:v>0</x:v>
      </x:c>
      <x:c r="X71" s="34" t="n">
        <x:f>('01_比较参数'!$B$2+D71)*(1+('01_比较参数'!$B$5+E71)/'01_比较参数'!$B$14)*(1+('01_比较参数'!$B$6+F71)/'01_比较参数'!$B$14)*(1+('01_比较参数'!$B$7+G71)/'01_比较参数'!$B$14)*(1+('01_比较参数'!$B$8+I71/'01_比较参数'!$B$14)*('01_比较参数'!$B$12-1+('01_比较参数'!$B$9+H71)/'01_比较参数'!$B$14))*(1+('01_比较参数'!$B$10+J71/'01_比较参数'!$B$14)*('01_比较参数'!$B$13-1+('01_比较参数'!$B$11+K71)/'01_比较参数'!$B$14))*(1+L71/'01_比较参数'!$B$14)*(1+M71/'01_比较参数'!$B$14)</x:f>
        <x:v>12948.22559723056</x:v>
      </x:c>
      <x:c r="Y71" s="34" t="n">
        <x:f>X71-'01_比较参数'!$B$18</x:f>
        <x:v>2965.329597230557</x:v>
      </x:c>
      <x:c r="Z71" s="36" t="n">
        <x:f>ROUNDDOWN(D71/2,0)</x:f>
        <x:v>38</x:v>
      </x:c>
    </x:row>
    <x:row r="72" ht="30" customHeight="1">
      <x:c r="A72" s="22" t="str">
        <x:v>猎犬辰龙</x:v>
      </x:c>
      <x:c r="B72" s="22" t="str">
        <x:v>C2专属本轮</x:v>
      </x:c>
      <x:c r="C72" s="22" t="str">
        <x:v>生肖5</x:v>
      </x:c>
      <x:c r="D72" s="32" t="n">
        <x:v>38</x:v>
      </x:c>
      <x:c r="E72" s="32" t="n">
        <x:v>3</x:v>
      </x:c>
      <x:c r="F72" s="32" t="n">
        <x:v>2</x:v>
      </x:c>
      <x:c r="G72" s="32" t="n">
        <x:v>0</x:v>
      </x:c>
      <x:c r="H72" s="32" t="n">
        <x:v>0</x:v>
      </x:c>
      <x:c r="I72" s="32" t="n">
        <x:v>0</x:v>
      </x:c>
      <x:c r="J72" s="32" t="n">
        <x:v>0</x:v>
      </x:c>
      <x:c r="K72" s="32" t="n">
        <x:v>0</x:v>
      </x:c>
      <x:c r="L72" s="32" t="n">
        <x:v>0</x:v>
      </x:c>
      <x:c r="M72" s="32" t="n">
        <x:v>0</x:v>
      </x:c>
      <x:c r="N72" s="32" t="n">
        <x:v>6500</x:v>
      </x:c>
      <x:c r="O72" s="32" t="n">
        <x:v>0</x:v>
      </x:c>
      <x:c r="P72" s="32" t="n">
        <x:v>11</x:v>
      </x:c>
      <x:c r="Q72" s="32" t="n">
        <x:v>0</x:v>
      </x:c>
      <x:c r="R72" s="32" t="n">
        <x:v>0</x:v>
      </x:c>
      <x:c r="S72" s="32" t="n">
        <x:v>0</x:v>
      </x:c>
      <x:c r="T72" s="32" t="n">
        <x:v>0</x:v>
      </x:c>
      <x:c r="U72" s="32" t="n">
        <x:v>0</x:v>
      </x:c>
      <x:c r="V72" s="32" t="n">
        <x:v>0</x:v>
      </x:c>
      <x:c r="W72" s="32" t="n">
        <x:v>0</x:v>
      </x:c>
      <x:c r="X72" s="34" t="n">
        <x:f>('01_比较参数'!$B$2+D72)*(1+('01_比较参数'!$B$5+E72)/'01_比较参数'!$B$14)*(1+('01_比较参数'!$B$6+F72)/'01_比较参数'!$B$14)*(1+('01_比较参数'!$B$7+G72)/'01_比较参数'!$B$14)*(1+('01_比较参数'!$B$8+I72/'01_比较参数'!$B$14)*('01_比较参数'!$B$12-1+('01_比较参数'!$B$9+H72)/'01_比较参数'!$B$14))*(1+('01_比较参数'!$B$10+J72/'01_比较参数'!$B$14)*('01_比较参数'!$B$13-1+('01_比较参数'!$B$11+K72)/'01_比较参数'!$B$14))*(1+L72/'01_比较参数'!$B$14)*(1+M72/'01_比较参数'!$B$14)</x:f>
        <x:v>10505.06725716</x:v>
      </x:c>
      <x:c r="Y72" s="34" t="n">
        <x:f>X72-'01_比较参数'!$B$18</x:f>
        <x:v>522.1712571599983</x:v>
      </x:c>
      <x:c r="Z72" s="36" t="n">
        <x:f>ROUNDDOWN(D72/2,0)</x:f>
        <x:v>19</x:v>
      </x:c>
    </x:row>
    <x:row r="73" ht="30" customHeight="1">
      <x:c r="A73" s="22" t="str">
        <x:v>祖魂巳蛇</x:v>
      </x:c>
      <x:c r="B73" s="22" t="str">
        <x:v>C2专属本轮</x:v>
      </x:c>
      <x:c r="C73" s="22" t="str">
        <x:v>生肖6</x:v>
      </x:c>
      <x:c r="D73" s="32" t="n">
        <x:v>35</x:v>
      </x:c>
      <x:c r="E73" s="32" t="n">
        <x:v>2</x:v>
      </x:c>
      <x:c r="F73" s="32" t="n">
        <x:v>0</x:v>
      </x:c>
      <x:c r="G73" s="32" t="n">
        <x:v>0</x:v>
      </x:c>
      <x:c r="H73" s="32" t="n">
        <x:v>0</x:v>
      </x:c>
      <x:c r="I73" s="32" t="n">
        <x:v>0</x:v>
      </x:c>
      <x:c r="J73" s="32" t="n">
        <x:v>0</x:v>
      </x:c>
      <x:c r="K73" s="32" t="n">
        <x:v>0</x:v>
      </x:c>
      <x:c r="L73" s="32" t="n">
        <x:v>0</x:v>
      </x:c>
      <x:c r="M73" s="32" t="n">
        <x:v>0</x:v>
      </x:c>
      <x:c r="N73" s="32" t="n">
        <x:v>10000</x:v>
      </x:c>
      <x:c r="O73" s="32" t="n">
        <x:v>0</x:v>
      </x:c>
      <x:c r="P73" s="32" t="n">
        <x:v>14</x:v>
      </x:c>
      <x:c r="Q73" s="32" t="n">
        <x:v>1</x:v>
      </x:c>
      <x:c r="R73" s="32" t="n">
        <x:v>0</x:v>
      </x:c>
      <x:c r="S73" s="32" t="n">
        <x:v>0</x:v>
      </x:c>
      <x:c r="T73" s="32" t="n">
        <x:v>0</x:v>
      </x:c>
      <x:c r="U73" s="32" t="n">
        <x:v>0</x:v>
      </x:c>
      <x:c r="V73" s="32" t="n">
        <x:v>0</x:v>
      </x:c>
      <x:c r="W73" s="32" t="n">
        <x:v>0</x:v>
      </x:c>
      <x:c r="X73" s="34" t="n">
        <x:f>('01_比较参数'!$B$2+D73)*(1+('01_比较参数'!$B$5+E73)/'01_比较参数'!$B$14)*(1+('01_比较参数'!$B$6+F73)/'01_比较参数'!$B$14)*(1+('01_比较参数'!$B$7+G73)/'01_比较参数'!$B$14)*(1+('01_比较参数'!$B$8+I73/'01_比较参数'!$B$14)*('01_比较参数'!$B$12-1+('01_比较参数'!$B$9+H73)/'01_比较参数'!$B$14))*(1+('01_比较参数'!$B$10+J73/'01_比较参数'!$B$14)*('01_比较参数'!$B$13-1+('01_比较参数'!$B$11+K73)/'01_比较参数'!$B$14))*(1+L73/'01_比较参数'!$B$14)*(1+M73/'01_比较参数'!$B$14)</x:f>
        <x:v>10308.701423999999</x:v>
      </x:c>
      <x:c r="Y73" s="34" t="n">
        <x:f>X73-'01_比较参数'!$B$18</x:f>
        <x:v>325.8054239999965</x:v>
      </x:c>
      <x:c r="Z73" s="36" t="n">
        <x:f>ROUNDDOWN(D73/2,0)</x:f>
        <x:v>17</x:v>
      </x:c>
    </x:row>
    <x:row r="74" ht="30" customHeight="1">
      <x:c r="A74" s="22" t="str">
        <x:v>死水午马</x:v>
      </x:c>
      <x:c r="B74" s="22" t="str">
        <x:v>C2专属本轮</x:v>
      </x:c>
      <x:c r="C74" s="22" t="str">
        <x:v>生肖7</x:v>
      </x:c>
      <x:c r="D74" s="32" t="n">
        <x:v>45</x:v>
      </x:c>
      <x:c r="E74" s="32" t="n">
        <x:v>3</x:v>
      </x:c>
      <x:c r="F74" s="32" t="n">
        <x:v>2</x:v>
      </x:c>
      <x:c r="G74" s="32" t="n">
        <x:v>0</x:v>
      </x:c>
      <x:c r="H74" s="32" t="n">
        <x:v>0</x:v>
      </x:c>
      <x:c r="I74" s="32" t="n">
        <x:v>0</x:v>
      </x:c>
      <x:c r="J74" s="32" t="n">
        <x:v>0</x:v>
      </x:c>
      <x:c r="K74" s="32" t="n">
        <x:v>0</x:v>
      </x:c>
      <x:c r="L74" s="32" t="n">
        <x:v>0</x:v>
      </x:c>
      <x:c r="M74" s="32" t="n">
        <x:v>0</x:v>
      </x:c>
      <x:c r="N74" s="32" t="n">
        <x:v>11000</x:v>
      </x:c>
      <x:c r="O74" s="32" t="n">
        <x:v>1</x:v>
      </x:c>
      <x:c r="P74" s="32" t="n">
        <x:v>16</x:v>
      </x:c>
      <x:c r="Q74" s="32" t="n">
        <x:v>0</x:v>
      </x:c>
      <x:c r="R74" s="32" t="n">
        <x:v>0</x:v>
      </x:c>
      <x:c r="S74" s="32" t="n">
        <x:v>0</x:v>
      </x:c>
      <x:c r="T74" s="32" t="n">
        <x:v>0</x:v>
      </x:c>
      <x:c r="U74" s="32" t="n">
        <x:v>0</x:v>
      </x:c>
      <x:c r="V74" s="32" t="n">
        <x:v>0</x:v>
      </x:c>
      <x:c r="W74" s="32" t="n">
        <x:v>0</x:v>
      </x:c>
      <x:c r="X74" s="34" t="n">
        <x:f>('01_比较参数'!$B$2+D74)*(1+('01_比较参数'!$B$5+E74)/'01_比较参数'!$B$14)*(1+('01_比较参数'!$B$6+F74)/'01_比较参数'!$B$14)*(1+('01_比较参数'!$B$7+G74)/'01_比较参数'!$B$14)*(1+('01_比较参数'!$B$8+I74/'01_比较参数'!$B$14)*('01_比较参数'!$B$12-1+('01_比较参数'!$B$9+H74)/'01_比较参数'!$B$14))*(1+('01_比较参数'!$B$10+J74/'01_比较参数'!$B$14)*('01_比较参数'!$B$13-1+('01_比较参数'!$B$11+K74)/'01_比较参数'!$B$14))*(1+L74/'01_比较参数'!$B$14)*(1+M74/'01_比较参数'!$B$14)</x:f>
        <x:v>10552.8796569</x:v>
      </x:c>
      <x:c r="Y74" s="34" t="n">
        <x:f>X74-'01_比较参数'!$B$18</x:f>
        <x:v>569.9836568999981</x:v>
      </x:c>
      <x:c r="Z74" s="36" t="n">
        <x:f>ROUNDDOWN(D74/2,0)</x:f>
        <x:v>22</x:v>
      </x:c>
    </x:row>
    <x:row r="75" ht="30" customHeight="1">
      <x:c r="A75" s="22" t="str">
        <x:v>熔炉古玉</x:v>
      </x:c>
      <x:c r="B75" s="22" t="str">
        <x:v>C2专属本轮</x:v>
      </x:c>
      <x:c r="C75" s="22" t="str">
        <x:v>灵玉</x:v>
      </x:c>
      <x:c r="D75" s="32" t="n">
        <x:v>100</x:v>
      </x:c>
      <x:c r="E75" s="32" t="n">
        <x:v>23</x:v>
      </x:c>
      <x:c r="F75" s="32" t="n">
        <x:v>13</x:v>
      </x:c>
      <x:c r="G75" s="32" t="n">
        <x:v>6</x:v>
      </x:c>
      <x:c r="H75" s="32" t="n">
        <x:v>15</x:v>
      </x:c>
      <x:c r="I75" s="32" t="n">
        <x:v>0</x:v>
      </x:c>
      <x:c r="J75" s="32" t="n">
        <x:v>0</x:v>
      </x:c>
      <x:c r="K75" s="32" t="n">
        <x:v>0</x:v>
      </x:c>
      <x:c r="L75" s="32" t="n">
        <x:v>0</x:v>
      </x:c>
      <x:c r="M75" s="32" t="n">
        <x:v>0</x:v>
      </x:c>
      <x:c r="N75" s="32" t="n">
        <x:v>22000</x:v>
      </x:c>
      <x:c r="O75" s="32" t="n">
        <x:v>0</x:v>
      </x:c>
      <x:c r="P75" s="32" t="n">
        <x:v>47</x:v>
      </x:c>
      <x:c r="Q75" s="32" t="n">
        <x:v>0</x:v>
      </x:c>
      <x:c r="R75" s="32" t="n">
        <x:v>0</x:v>
      </x:c>
      <x:c r="S75" s="32" t="n">
        <x:v>0</x:v>
      </x:c>
      <x:c r="T75" s="32" t="n">
        <x:v>0</x:v>
      </x:c>
      <x:c r="U75" s="32" t="n">
        <x:v>1</x:v>
      </x:c>
      <x:c r="V75" s="32" t="n">
        <x:v>0</x:v>
      </x:c>
      <x:c r="W75" s="32" t="n">
        <x:v>0</x:v>
      </x:c>
      <x:c r="X75" s="34" t="n">
        <x:f>('01_比较参数'!$B$2+D75)*(1+('01_比较参数'!$B$5+E75)/'01_比较参数'!$B$14)*(1+('01_比较参数'!$B$6+F75)/'01_比较参数'!$B$14)*(1+('01_比较参数'!$B$7+G75)/'01_比较参数'!$B$14)*(1+('01_比较参数'!$B$8+I75/'01_比较参数'!$B$14)*('01_比较参数'!$B$12-1+('01_比较参数'!$B$9+H75)/'01_比较参数'!$B$14))*(1+('01_比较参数'!$B$10+J75/'01_比较参数'!$B$14)*('01_比较参数'!$B$13-1+('01_比较参数'!$B$11+K75)/'01_比较参数'!$B$14))*(1+L75/'01_比较参数'!$B$14)*(1+M75/'01_比较参数'!$B$14)</x:f>
        <x:v>13732.967571119998</x:v>
      </x:c>
      <x:c r="Y75" s="34" t="n">
        <x:f>X75-'01_比较参数'!$B$18</x:f>
        <x:v>3750.0715711199955</x:v>
      </x:c>
      <x:c r="Z75" s="36" t="n">
        <x:f>ROUNDDOWN(D75/2,0)</x:f>
        <x:v>50</x:v>
      </x:c>
    </x:row>
    <x:row r="76" ht="30" customHeight="1">
      <x:c r="A76" s="22" t="str">
        <x:v>风羽战刃</x:v>
      </x:c>
      <x:c r="B76" s="22" t="str">
        <x:v>C2专属本轮</x:v>
      </x:c>
      <x:c r="C76" s="22" t="str">
        <x:v>武器</x:v>
      </x:c>
      <x:c r="D76" s="32" t="n">
        <x:v>460</x:v>
      </x:c>
      <x:c r="E76" s="32" t="n">
        <x:v>76</x:v>
      </x:c>
      <x:c r="F76" s="32" t="n">
        <x:v>38</x:v>
      </x:c>
      <x:c r="G76" s="32" t="n">
        <x:v>22</x:v>
      </x:c>
      <x:c r="H76" s="32" t="n">
        <x:v>40</x:v>
      </x:c>
      <x:c r="I76" s="32" t="n">
        <x:v>0</x:v>
      </x:c>
      <x:c r="J76" s="32" t="n">
        <x:v>0</x:v>
      </x:c>
      <x:c r="K76" s="32" t="n">
        <x:v>0</x:v>
      </x:c>
      <x:c r="L76" s="32" t="n">
        <x:v>0</x:v>
      </x:c>
      <x:c r="M76" s="32" t="n">
        <x:v>0</x:v>
      </x:c>
      <x:c r="N76" s="32" t="n">
        <x:v>18500</x:v>
      </x:c>
      <x:c r="O76" s="32" t="n">
        <x:v>0</x:v>
      </x:c>
      <x:c r="P76" s="32" t="n">
        <x:v>0</x:v>
      </x:c>
      <x:c r="Q76" s="32" t="n">
        <x:v>0</x:v>
      </x:c>
      <x:c r="R76" s="32" t="n">
        <x:v>0</x:v>
      </x:c>
      <x:c r="S76" s="32" t="n">
        <x:v>0</x:v>
      </x:c>
      <x:c r="T76" s="32" t="n">
        <x:v>23</x:v>
      </x:c>
      <x:c r="U76" s="32" t="n">
        <x:v>0</x:v>
      </x:c>
      <x:c r="V76" s="32" t="n">
        <x:v>0</x:v>
      </x:c>
      <x:c r="W76" s="32" t="n">
        <x:v>0</x:v>
      </x:c>
      <x:c r="X76" s="34" t="n">
        <x:f>('01_比较参数'!$B$2+D76)*(1+('01_比较参数'!$B$5+E76)/'01_比较参数'!$B$14)*(1+('01_比较参数'!$B$6+F76)/'01_比较参数'!$B$14)*(1+('01_比较参数'!$B$7+G76)/'01_比较参数'!$B$14)*(1+('01_比较参数'!$B$8+I76/'01_比较参数'!$B$14)*('01_比较参数'!$B$12-1+('01_比较参数'!$B$9+H76)/'01_比较参数'!$B$14))*(1+('01_比较参数'!$B$10+J76/'01_比较参数'!$B$14)*('01_比较参数'!$B$13-1+('01_比较参数'!$B$11+K76)/'01_比较参数'!$B$14))*(1+L76/'01_比较参数'!$B$14)*(1+M76/'01_比较参数'!$B$14)</x:f>
        <x:v>27612.211156992005</x:v>
      </x:c>
      <x:c r="Y76" s="34" t="n">
        <x:f>X76-'01_比较参数'!$B$18</x:f>
        <x:v>17629.315156992</x:v>
      </x:c>
      <x:c r="Z76" s="36" t="n">
        <x:f>ROUNDDOWN(D76/2,0)</x:f>
        <x:v>230</x:v>
      </x:c>
    </x:row>
    <x:row r="77" ht="30" customHeight="1">
      <x:c r="A77" s="22" t="str">
        <x:v>雷羽战衣</x:v>
      </x:c>
      <x:c r="B77" s="22" t="str">
        <x:v>C2专属本轮</x:v>
      </x:c>
      <x:c r="C77" s="22" t="str">
        <x:v>衣服</x:v>
      </x:c>
      <x:c r="D77" s="32" t="n">
        <x:v>98</x:v>
      </x:c>
      <x:c r="E77" s="32" t="n">
        <x:v>19</x:v>
      </x:c>
      <x:c r="F77" s="32" t="n">
        <x:v>0</x:v>
      </x:c>
      <x:c r="G77" s="32" t="n">
        <x:v>0</x:v>
      </x:c>
      <x:c r="H77" s="32" t="n">
        <x:v>0</x:v>
      </x:c>
      <x:c r="I77" s="32" t="n">
        <x:v>0</x:v>
      </x:c>
      <x:c r="J77" s="32" t="n">
        <x:v>0</x:v>
      </x:c>
      <x:c r="K77" s="32" t="n">
        <x:v>0</x:v>
      </x:c>
      <x:c r="L77" s="32" t="n">
        <x:v>0</x:v>
      </x:c>
      <x:c r="M77" s="32" t="n">
        <x:v>0</x:v>
      </x:c>
      <x:c r="N77" s="32" t="n">
        <x:v>116000</x:v>
      </x:c>
      <x:c r="O77" s="32" t="n">
        <x:v>6</x:v>
      </x:c>
      <x:c r="P77" s="32" t="n">
        <x:v>97</x:v>
      </x:c>
      <x:c r="Q77" s="32" t="n">
        <x:v>19</x:v>
      </x:c>
      <x:c r="R77" s="32" t="n">
        <x:v>0</x:v>
      </x:c>
      <x:c r="S77" s="32" t="n">
        <x:v>0</x:v>
      </x:c>
      <x:c r="T77" s="32" t="n">
        <x:v>0</x:v>
      </x:c>
      <x:c r="U77" s="32" t="n">
        <x:v>0</x:v>
      </x:c>
      <x:c r="V77" s="32" t="n">
        <x:v>0</x:v>
      </x:c>
      <x:c r="W77" s="32" t="n">
        <x:v>0</x:v>
      </x:c>
      <x:c r="X77" s="34" t="n">
        <x:f>('01_比较参数'!$B$2+D77)*(1+('01_比较参数'!$B$5+E77)/'01_比较参数'!$B$14)*(1+('01_比较参数'!$B$6+F77)/'01_比较参数'!$B$14)*(1+('01_比较参数'!$B$7+G77)/'01_比较参数'!$B$14)*(1+('01_比较参数'!$B$8+I77/'01_比较参数'!$B$14)*('01_比较参数'!$B$12-1+('01_比较参数'!$B$9+H77)/'01_比较参数'!$B$14))*(1+('01_比较参数'!$B$10+J77/'01_比较参数'!$B$14)*('01_比较参数'!$B$13-1+('01_比较参数'!$B$11+K77)/'01_比较参数'!$B$14))*(1+L77/'01_比较参数'!$B$14)*(1+M77/'01_比较参数'!$B$14)</x:f>
        <x:v>11553.5988064</x:v>
      </x:c>
      <x:c r="Y77" s="34" t="n">
        <x:f>X77-'01_比较参数'!$B$18</x:f>
        <x:v>1570.702806399997</x:v>
      </x:c>
      <x:c r="Z77" s="36" t="n">
        <x:f>ROUNDDOWN(D77/2,0)</x:f>
        <x:v>49</x:v>
      </x:c>
    </x:row>
    <x:row r="78" ht="30" customHeight="1">
      <x:c r="A78" s="22" t="str">
        <x:v>巨人铁盔</x:v>
      </x:c>
      <x:c r="B78" s="22" t="str">
        <x:v>C2专属本轮</x:v>
      </x:c>
      <x:c r="C78" s="22" t="str">
        <x:v>头盔</x:v>
      </x:c>
      <x:c r="D78" s="32" t="n">
        <x:v>48</x:v>
      </x:c>
      <x:c r="E78" s="32" t="n">
        <x:v>10</x:v>
      </x:c>
      <x:c r="F78" s="32" t="n">
        <x:v>0</x:v>
      </x:c>
      <x:c r="G78" s="32" t="n">
        <x:v>0</x:v>
      </x:c>
      <x:c r="H78" s="32" t="n">
        <x:v>0</x:v>
      </x:c>
      <x:c r="I78" s="32" t="n">
        <x:v>0</x:v>
      </x:c>
      <x:c r="J78" s="32" t="n">
        <x:v>0</x:v>
      </x:c>
      <x:c r="K78" s="32" t="n">
        <x:v>0</x:v>
      </x:c>
      <x:c r="L78" s="32" t="n">
        <x:v>0</x:v>
      </x:c>
      <x:c r="M78" s="32" t="n">
        <x:v>0</x:v>
      </x:c>
      <x:c r="N78" s="32" t="n">
        <x:v>27000</x:v>
      </x:c>
      <x:c r="O78" s="32" t="n">
        <x:v>0</x:v>
      </x:c>
      <x:c r="P78" s="32" t="n">
        <x:v>49</x:v>
      </x:c>
      <x:c r="Q78" s="32" t="n">
        <x:v>5</x:v>
      </x:c>
      <x:c r="R78" s="32" t="n">
        <x:v>0</x:v>
      </x:c>
      <x:c r="S78" s="32" t="n">
        <x:v>0</x:v>
      </x:c>
      <x:c r="T78" s="32" t="n">
        <x:v>0</x:v>
      </x:c>
      <x:c r="U78" s="32" t="n">
        <x:v>0</x:v>
      </x:c>
      <x:c r="V78" s="32" t="n">
        <x:v>0</x:v>
      </x:c>
      <x:c r="W78" s="32" t="n">
        <x:v>0</x:v>
      </x:c>
      <x:c r="X78" s="34" t="n">
        <x:f>('01_比较参数'!$B$2+D78)*(1+('01_比较参数'!$B$5+E78)/'01_比较参数'!$B$14)*(1+('01_比较参数'!$B$6+F78)/'01_比较参数'!$B$14)*(1+('01_比较参数'!$B$7+G78)/'01_比较参数'!$B$14)*(1+('01_比较参数'!$B$8+I78/'01_比较参数'!$B$14)*('01_比较参数'!$B$12-1+('01_比较参数'!$B$9+H78)/'01_比较参数'!$B$14))*(1+('01_比较参数'!$B$10+J78/'01_比较参数'!$B$14)*('01_比较参数'!$B$13-1+('01_比较参数'!$B$11+K78)/'01_比较参数'!$B$14))*(1+L78/'01_比较参数'!$B$14)*(1+M78/'01_比较参数'!$B$14)</x:f>
        <x:v>10770.637247999999</x:v>
      </x:c>
      <x:c r="Y78" s="34" t="n">
        <x:f>X78-'01_比较参数'!$B$18</x:f>
        <x:v>787.7412479999966</x:v>
      </x:c>
      <x:c r="Z78" s="36" t="n">
        <x:f>ROUNDDOWN(D78/2,0)</x:f>
        <x:v>24</x:v>
      </x:c>
    </x:row>
    <x:row r="79" ht="30" customHeight="1">
      <x:c r="A79" s="22" t="str">
        <x:v>风角骨戒</x:v>
      </x:c>
      <x:c r="B79" s="22" t="str">
        <x:v>C2专属本轮</x:v>
      </x:c>
      <x:c r="C79" s="22" t="str">
        <x:v>戒指</x:v>
      </x:c>
      <x:c r="D79" s="32" t="n">
        <x:v>64</x:v>
      </x:c>
      <x:c r="E79" s="32" t="n">
        <x:v>16</x:v>
      </x:c>
      <x:c r="F79" s="32" t="n">
        <x:v>7</x:v>
      </x:c>
      <x:c r="G79" s="32" t="n">
        <x:v>4</x:v>
      </x:c>
      <x:c r="H79" s="32" t="n">
        <x:v>14</x:v>
      </x:c>
      <x:c r="I79" s="32" t="n">
        <x:v>0</x:v>
      </x:c>
      <x:c r="J79" s="32" t="n">
        <x:v>0</x:v>
      </x:c>
      <x:c r="K79" s="32" t="n">
        <x:v>0</x:v>
      </x:c>
      <x:c r="L79" s="32" t="n">
        <x:v>0</x:v>
      </x:c>
      <x:c r="M79" s="32" t="n">
        <x:v>0</x:v>
      </x:c>
      <x:c r="N79" s="32" t="n">
        <x:v>12000</x:v>
      </x:c>
      <x:c r="O79" s="32" t="n">
        <x:v>0</x:v>
      </x:c>
      <x:c r="P79" s="32" t="n">
        <x:v>29</x:v>
      </x:c>
      <x:c r="Q79" s="32" t="n">
        <x:v>1</x:v>
      </x:c>
      <x:c r="R79" s="32" t="n">
        <x:v>0</x:v>
      </x:c>
      <x:c r="S79" s="32" t="n">
        <x:v>0</x:v>
      </x:c>
      <x:c r="T79" s="32" t="n">
        <x:v>0</x:v>
      </x:c>
      <x:c r="U79" s="32" t="n">
        <x:v>0</x:v>
      </x:c>
      <x:c r="V79" s="32" t="n">
        <x:v>0</x:v>
      </x:c>
      <x:c r="W79" s="32" t="n">
        <x:v>0</x:v>
      </x:c>
      <x:c r="X79" s="34" t="n">
        <x:f>('01_比较参数'!$B$2+D79)*(1+('01_比较参数'!$B$5+E79)/'01_比较参数'!$B$14)*(1+('01_比较参数'!$B$6+F79)/'01_比较参数'!$B$14)*(1+('01_比较参数'!$B$7+G79)/'01_比较参数'!$B$14)*(1+('01_比较参数'!$B$8+I79/'01_比较参数'!$B$14)*('01_比较参数'!$B$12-1+('01_比较参数'!$B$9+H79)/'01_比较参数'!$B$14))*(1+('01_比较参数'!$B$10+J79/'01_比较参数'!$B$14)*('01_比较参数'!$B$13-1+('01_比较参数'!$B$11+K79)/'01_比较参数'!$B$14))*(1+L79/'01_比较参数'!$B$14)*(1+M79/'01_比较参数'!$B$14)</x:f>
        <x:v>12368.59819697645</x:v>
      </x:c>
      <x:c r="Y79" s="34" t="n">
        <x:f>X79-'01_比较参数'!$B$18</x:f>
        <x:v>2385.7021969764482</x:v>
      </x:c>
      <x:c r="Z79" s="36" t="n">
        <x:f>ROUNDDOWN(D79/2,0)</x:f>
        <x:v>32</x:v>
      </x:c>
    </x:row>
    <x:row r="80" ht="30" customHeight="1">
      <x:c r="A80" s="22" t="str">
        <x:v>流寇束带</x:v>
      </x:c>
      <x:c r="B80" s="22" t="str">
        <x:v>C2专属本轮</x:v>
      </x:c>
      <x:c r="C80" s="22" t="str">
        <x:v>腰带</x:v>
      </x:c>
      <x:c r="D80" s="32" t="n">
        <x:v>47</x:v>
      </x:c>
      <x:c r="E80" s="32" t="n">
        <x:v>10</x:v>
      </x:c>
      <x:c r="F80" s="32" t="n">
        <x:v>0</x:v>
      </x:c>
      <x:c r="G80" s="32" t="n">
        <x:v>0</x:v>
      </x:c>
      <x:c r="H80" s="32" t="n">
        <x:v>0</x:v>
      </x:c>
      <x:c r="I80" s="32" t="n">
        <x:v>0</x:v>
      </x:c>
      <x:c r="J80" s="32" t="n">
        <x:v>0</x:v>
      </x:c>
      <x:c r="K80" s="32" t="n">
        <x:v>0</x:v>
      </x:c>
      <x:c r="L80" s="32" t="n">
        <x:v>0</x:v>
      </x:c>
      <x:c r="M80" s="32" t="n">
        <x:v>0</x:v>
      </x:c>
      <x:c r="N80" s="32" t="n">
        <x:v>30000</x:v>
      </x:c>
      <x:c r="O80" s="32" t="n">
        <x:v>0</x:v>
      </x:c>
      <x:c r="P80" s="32" t="n">
        <x:v>50</x:v>
      </x:c>
      <x:c r="Q80" s="32" t="n">
        <x:v>5</x:v>
      </x:c>
      <x:c r="R80" s="32" t="n">
        <x:v>0</x:v>
      </x:c>
      <x:c r="S80" s="32" t="n">
        <x:v>0</x:v>
      </x:c>
      <x:c r="T80" s="32" t="n">
        <x:v>0</x:v>
      </x:c>
      <x:c r="U80" s="32" t="n">
        <x:v>0</x:v>
      </x:c>
      <x:c r="V80" s="32" t="n">
        <x:v>0</x:v>
      </x:c>
      <x:c r="W80" s="32" t="n">
        <x:v>0</x:v>
      </x:c>
      <x:c r="X80" s="34" t="n">
        <x:f>('01_比较参数'!$B$2+D80)*(1+('01_比较参数'!$B$5+E80)/'01_比较参数'!$B$14)*(1+('01_比较参数'!$B$6+F80)/'01_比较参数'!$B$14)*(1+('01_比较参数'!$B$7+G80)/'01_比较参数'!$B$14)*(1+('01_比较参数'!$B$8+I80/'01_比较参数'!$B$14)*('01_比较参数'!$B$12-1+('01_比较参数'!$B$9+H80)/'01_比较参数'!$B$14))*(1+('01_比较参数'!$B$10+J80/'01_比较参数'!$B$14)*('01_比较参数'!$B$13-1+('01_比较参数'!$B$11+K80)/'01_比较参数'!$B$14))*(1+L80/'01_比较参数'!$B$14)*(1+M80/'01_比较参数'!$B$14)</x:f>
        <x:v>10763.679472</x:v>
      </x:c>
      <x:c r="Y80" s="34" t="n">
        <x:f>X80-'01_比较参数'!$B$18</x:f>
        <x:v>780.7834719999973</x:v>
      </x:c>
      <x:c r="Z80" s="36" t="n">
        <x:f>ROUNDDOWN(D80/2,0)</x:f>
        <x:v>23</x:v>
      </x:c>
    </x:row>
    <x:row r="81" ht="30" customHeight="1">
      <x:c r="A81" s="22" t="str">
        <x:v>雷痕石盾</x:v>
      </x:c>
      <x:c r="B81" s="22" t="str">
        <x:v>C2专属本轮</x:v>
      </x:c>
      <x:c r="C81" s="22" t="str">
        <x:v>盾牌</x:v>
      </x:c>
      <x:c r="D81" s="32" t="n">
        <x:v>58</x:v>
      </x:c>
      <x:c r="E81" s="32" t="n">
        <x:v>11</x:v>
      </x:c>
      <x:c r="F81" s="32" t="n">
        <x:v>0</x:v>
      </x:c>
      <x:c r="G81" s="32" t="n">
        <x:v>0</x:v>
      </x:c>
      <x:c r="H81" s="32" t="n">
        <x:v>0</x:v>
      </x:c>
      <x:c r="I81" s="32" t="n">
        <x:v>0</x:v>
      </x:c>
      <x:c r="J81" s="32" t="n">
        <x:v>0</x:v>
      </x:c>
      <x:c r="K81" s="32" t="n">
        <x:v>0</x:v>
      </x:c>
      <x:c r="L81" s="32" t="n">
        <x:v>0</x:v>
      </x:c>
      <x:c r="M81" s="32" t="n">
        <x:v>0</x:v>
      </x:c>
      <x:c r="N81" s="32" t="n">
        <x:v>41000</x:v>
      </x:c>
      <x:c r="O81" s="32" t="n">
        <x:v>0</x:v>
      </x:c>
      <x:c r="P81" s="32" t="n">
        <x:v>82</x:v>
      </x:c>
      <x:c r="Q81" s="32" t="n">
        <x:v>13</x:v>
      </x:c>
      <x:c r="R81" s="32" t="n">
        <x:v>0</x:v>
      </x:c>
      <x:c r="S81" s="32" t="n">
        <x:v>0</x:v>
      </x:c>
      <x:c r="T81" s="32" t="n">
        <x:v>0</x:v>
      </x:c>
      <x:c r="U81" s="32" t="n">
        <x:v>0</x:v>
      </x:c>
      <x:c r="V81" s="32" t="n">
        <x:v>0</x:v>
      </x:c>
      <x:c r="W81" s="32" t="n">
        <x:v>0</x:v>
      </x:c>
      <x:c r="X81" s="34" t="n">
        <x:f>('01_比较参数'!$B$2+D81)*(1+('01_比较参数'!$B$5+E81)/'01_比较参数'!$B$14)*(1+('01_比较参数'!$B$6+F81)/'01_比较参数'!$B$14)*(1+('01_比较参数'!$B$7+G81)/'01_比较参数'!$B$14)*(1+('01_比较参数'!$B$8+I81/'01_比较参数'!$B$14)*('01_比较参数'!$B$12-1+('01_比较参数'!$B$9+H81)/'01_比较参数'!$B$14))*(1+('01_比较参数'!$B$10+J81/'01_比较参数'!$B$14)*('01_比较参数'!$B$13-1+('01_比较参数'!$B$11+K81)/'01_比较参数'!$B$14))*(1+L81/'01_比较参数'!$B$14)*(1+M81/'01_比较参数'!$B$14)</x:f>
        <x:v>10887.3463776</x:v>
      </x:c>
      <x:c r="Y81" s="34" t="n">
        <x:f>X81-'01_比较参数'!$B$18</x:f>
        <x:v>904.4503775999983</x:v>
      </x:c>
      <x:c r="Z81" s="36" t="n">
        <x:f>ROUNDDOWN(D81/2,0)</x:f>
        <x:v>29</x:v>
      </x:c>
    </x:row>
    <x:row r="82" ht="30" customHeight="1">
      <x:c r="A82" s="22" t="str">
        <x:v>山妖魂玉</x:v>
      </x:c>
      <x:c r="B82" s="22" t="str">
        <x:v>C2专属本轮</x:v>
      </x:c>
      <x:c r="C82" s="22" t="str">
        <x:v>灵玉</x:v>
      </x:c>
      <x:c r="D82" s="32" t="n">
        <x:v>96</x:v>
      </x:c>
      <x:c r="E82" s="32" t="n">
        <x:v>24</x:v>
      </x:c>
      <x:c r="F82" s="32" t="n">
        <x:v>11</x:v>
      </x:c>
      <x:c r="G82" s="32" t="n">
        <x:v>5</x:v>
      </x:c>
      <x:c r="H82" s="32" t="n">
        <x:v>16</x:v>
      </x:c>
      <x:c r="I82" s="32" t="n">
        <x:v>0</x:v>
      </x:c>
      <x:c r="J82" s="32" t="n">
        <x:v>0</x:v>
      </x:c>
      <x:c r="K82" s="32" t="n">
        <x:v>0</x:v>
      </x:c>
      <x:c r="L82" s="32" t="n">
        <x:v>0</x:v>
      </x:c>
      <x:c r="M82" s="32" t="n">
        <x:v>0</x:v>
      </x:c>
      <x:c r="N82" s="32" t="n">
        <x:v>20500</x:v>
      </x:c>
      <x:c r="O82" s="32" t="n">
        <x:v>0</x:v>
      </x:c>
      <x:c r="P82" s="32" t="n">
        <x:v>44</x:v>
      </x:c>
      <x:c r="Q82" s="32" t="n">
        <x:v>0</x:v>
      </x:c>
      <x:c r="R82" s="32" t="n">
        <x:v>0</x:v>
      </x:c>
      <x:c r="S82" s="32" t="n">
        <x:v>0</x:v>
      </x:c>
      <x:c r="T82" s="32" t="n">
        <x:v>0</x:v>
      </x:c>
      <x:c r="U82" s="32" t="n">
        <x:v>0</x:v>
      </x:c>
      <x:c r="V82" s="32" t="n">
        <x:v>30</x:v>
      </x:c>
      <x:c r="W82" s="32" t="n">
        <x:v>0</x:v>
      </x:c>
      <x:c r="X82" s="34" t="n">
        <x:f>('01_比较参数'!$B$2+D82)*(1+('01_比较参数'!$B$5+E82)/'01_比较参数'!$B$14)*(1+('01_比较参数'!$B$6+F82)/'01_比较参数'!$B$14)*(1+('01_比较参数'!$B$7+G82)/'01_比较参数'!$B$14)*(1+('01_比较参数'!$B$8+I82/'01_比较参数'!$B$14)*('01_比较参数'!$B$12-1+('01_比较参数'!$B$9+H82)/'01_比较参数'!$B$14))*(1+('01_比较参数'!$B$10+J82/'01_比较参数'!$B$14)*('01_比较参数'!$B$13-1+('01_比较参数'!$B$11+K82)/'01_比较参数'!$B$14))*(1+L82/'01_比较参数'!$B$14)*(1+M82/'01_比较参数'!$B$14)</x:f>
        <x:v>13518.746554360321</x:v>
      </x:c>
      <x:c r="Y82" s="34" t="n">
        <x:f>X82-'01_比较参数'!$B$18</x:f>
        <x:v>3535.8505543603187</x:v>
      </x:c>
      <x:c r="Z82" s="36" t="n">
        <x:f>ROUNDDOWN(D82/2,0)</x:f>
        <x:v>48</x:v>
      </x:c>
    </x:row>
    <x:row r="83" ht="30" customHeight="1">
      <x:c r="A83" s="22" t="str">
        <x:v>鹰主风冠</x:v>
      </x:c>
      <x:c r="B83" s="22" t="str">
        <x:v>C2专属本轮</x:v>
      </x:c>
      <x:c r="C83" s="22" t="str">
        <x:v>时装头盔</x:v>
      </x:c>
      <x:c r="D83" s="32" t="n">
        <x:v>57</x:v>
      </x:c>
      <x:c r="E83" s="32" t="n">
        <x:v>12</x:v>
      </x:c>
      <x:c r="F83" s="32" t="n">
        <x:v>0</x:v>
      </x:c>
      <x:c r="G83" s="32" t="n">
        <x:v>0</x:v>
      </x:c>
      <x:c r="H83" s="32" t="n">
        <x:v>0</x:v>
      </x:c>
      <x:c r="I83" s="32" t="n">
        <x:v>0</x:v>
      </x:c>
      <x:c r="J83" s="32" t="n">
        <x:v>0</x:v>
      </x:c>
      <x:c r="K83" s="32" t="n">
        <x:v>0</x:v>
      </x:c>
      <x:c r="L83" s="32" t="n">
        <x:v>0</x:v>
      </x:c>
      <x:c r="M83" s="32" t="n">
        <x:v>0</x:v>
      </x:c>
      <x:c r="N83" s="32" t="n">
        <x:v>38000</x:v>
      </x:c>
      <x:c r="O83" s="32" t="n">
        <x:v>3</x:v>
      </x:c>
      <x:c r="P83" s="32" t="n">
        <x:v>58</x:v>
      </x:c>
      <x:c r="Q83" s="32" t="n">
        <x:v>5</x:v>
      </x:c>
      <x:c r="R83" s="32" t="n">
        <x:v>0</x:v>
      </x:c>
      <x:c r="S83" s="32" t="n">
        <x:v>0</x:v>
      </x:c>
      <x:c r="T83" s="32" t="n">
        <x:v>0</x:v>
      </x:c>
      <x:c r="U83" s="32" t="n">
        <x:v>0</x:v>
      </x:c>
      <x:c r="V83" s="32" t="n">
        <x:v>0</x:v>
      </x:c>
      <x:c r="W83" s="32" t="n">
        <x:v>0</x:v>
      </x:c>
      <x:c r="X83" s="34" t="n">
        <x:f>('01_比较参数'!$B$2+D83)*(1+('01_比较参数'!$B$5+E83)/'01_比较参数'!$B$14)*(1+('01_比较参数'!$B$6+F83)/'01_比较参数'!$B$14)*(1+('01_比较参数'!$B$7+G83)/'01_比较参数'!$B$14)*(1+('01_比较参数'!$B$8+I83/'01_比较参数'!$B$14)*('01_比较参数'!$B$12-1+('01_比较参数'!$B$9+H83)/'01_比较参数'!$B$14))*(1+('01_比较参数'!$B$10+J83/'01_比较参数'!$B$14)*('01_比较参数'!$B$13-1+('01_比较参数'!$B$11+K83)/'01_比较参数'!$B$14))*(1+L83/'01_比较参数'!$B$14)*(1+M83/'01_比较参数'!$B$14)</x:f>
        <x:v>10927.459468800002</x:v>
      </x:c>
      <x:c r="Y83" s="34" t="n">
        <x:f>X83-'01_比较参数'!$B$18</x:f>
        <x:v>944.5634687999991</x:v>
      </x:c>
      <x:c r="Z83" s="36" t="n">
        <x:f>ROUNDDOWN(D83/2,0)</x:f>
        <x:v>28</x:v>
      </x:c>
    </x:row>
    <x:row r="84" ht="30" customHeight="1">
      <x:c r="A84" s="22" t="str">
        <x:v>百夫熔戟</x:v>
      </x:c>
      <x:c r="B84" s="22" t="str">
        <x:v>C2专属本轮</x:v>
      </x:c>
      <x:c r="C84" s="22" t="str">
        <x:v>时装武器</x:v>
      </x:c>
      <x:c r="D84" s="32" t="n">
        <x:v>365</x:v>
      </x:c>
      <x:c r="E84" s="32" t="n">
        <x:v>49</x:v>
      </x:c>
      <x:c r="F84" s="32" t="n">
        <x:v>34</x:v>
      </x:c>
      <x:c r="G84" s="32" t="n">
        <x:v>19</x:v>
      </x:c>
      <x:c r="H84" s="32" t="n">
        <x:v>38</x:v>
      </x:c>
      <x:c r="I84" s="32" t="n">
        <x:v>0</x:v>
      </x:c>
      <x:c r="J84" s="32" t="n">
        <x:v>0</x:v>
      </x:c>
      <x:c r="K84" s="32" t="n">
        <x:v>0</x:v>
      </x:c>
      <x:c r="L84" s="32" t="n">
        <x:v>0</x:v>
      </x:c>
      <x:c r="M84" s="32" t="n">
        <x:v>0</x:v>
      </x:c>
      <x:c r="N84" s="32" t="n">
        <x:v>20000</x:v>
      </x:c>
      <x:c r="O84" s="32" t="n">
        <x:v>0</x:v>
      </x:c>
      <x:c r="P84" s="32" t="n">
        <x:v>0</x:v>
      </x:c>
      <x:c r="Q84" s="32" t="n">
        <x:v>0</x:v>
      </x:c>
      <x:c r="R84" s="32" t="n">
        <x:v>0</x:v>
      </x:c>
      <x:c r="S84" s="32" t="n">
        <x:v>0</x:v>
      </x:c>
      <x:c r="T84" s="32" t="n">
        <x:v>0</x:v>
      </x:c>
      <x:c r="U84" s="32" t="n">
        <x:v>0</x:v>
      </x:c>
      <x:c r="V84" s="32" t="n">
        <x:v>70</x:v>
      </x:c>
      <x:c r="W84" s="32" t="n">
        <x:v>0</x:v>
      </x:c>
      <x:c r="X84" s="34" t="n">
        <x:f>('01_比较参数'!$B$2+D84)*(1+('01_比较参数'!$B$5+E84)/'01_比较参数'!$B$14)*(1+('01_比较参数'!$B$6+F84)/'01_比较参数'!$B$14)*(1+('01_比较参数'!$B$7+G84)/'01_比较参数'!$B$14)*(1+('01_比较参数'!$B$8+I84/'01_比较参数'!$B$14)*('01_比较参数'!$B$12-1+('01_比较参数'!$B$9+H84)/'01_比较参数'!$B$14))*(1+('01_比较参数'!$B$10+J84/'01_比较参数'!$B$14)*('01_比较参数'!$B$13-1+('01_比较参数'!$B$11+K84)/'01_比较参数'!$B$14))*(1+L84/'01_比较参数'!$B$14)*(1+M84/'01_比较参数'!$B$14)</x:f>
        <x:v>22831.505573546874</x:v>
      </x:c>
      <x:c r="Y84" s="34" t="n">
        <x:f>X84-'01_比较参数'!$B$18</x:f>
        <x:v>12848.609573546872</x:v>
      </x:c>
      <x:c r="Z84" s="36" t="n">
        <x:f>ROUNDDOWN(D84/2,0)</x:f>
        <x:v>182</x:v>
      </x:c>
    </x:row>
    <x:row r="85" ht="30" customHeight="1">
      <x:c r="A85" s="22" t="str">
        <x:v>葬日未羊</x:v>
      </x:c>
      <x:c r="B85" s="22" t="str">
        <x:v>C2专属本轮</x:v>
      </x:c>
      <x:c r="C85" s="22" t="str">
        <x:v>生肖8</x:v>
      </x:c>
      <x:c r="D85" s="32" t="n">
        <x:v>40</x:v>
      </x:c>
      <x:c r="E85" s="32" t="n">
        <x:v>3</x:v>
      </x:c>
      <x:c r="F85" s="32" t="n">
        <x:v>0</x:v>
      </x:c>
      <x:c r="G85" s="32" t="n">
        <x:v>0</x:v>
      </x:c>
      <x:c r="H85" s="32" t="n">
        <x:v>0</x:v>
      </x:c>
      <x:c r="I85" s="32" t="n">
        <x:v>0</x:v>
      </x:c>
      <x:c r="J85" s="32" t="n">
        <x:v>0</x:v>
      </x:c>
      <x:c r="K85" s="32" t="n">
        <x:v>0</x:v>
      </x:c>
      <x:c r="L85" s="32" t="n">
        <x:v>0</x:v>
      </x:c>
      <x:c r="M85" s="32" t="n">
        <x:v>0</x:v>
      </x:c>
      <x:c r="N85" s="32" t="n">
        <x:v>12000</x:v>
      </x:c>
      <x:c r="O85" s="32" t="n">
        <x:v>0</x:v>
      </x:c>
      <x:c r="P85" s="32" t="n">
        <x:v>17</x:v>
      </x:c>
      <x:c r="Q85" s="32" t="n">
        <x:v>1</x:v>
      </x:c>
      <x:c r="R85" s="32" t="n">
        <x:v>0</x:v>
      </x:c>
      <x:c r="S85" s="32" t="n">
        <x:v>0</x:v>
      </x:c>
      <x:c r="T85" s="32" t="n">
        <x:v>0</x:v>
      </x:c>
      <x:c r="U85" s="32" t="n">
        <x:v>0</x:v>
      </x:c>
      <x:c r="V85" s="32" t="n">
        <x:v>0</x:v>
      </x:c>
      <x:c r="W85" s="32" t="n">
        <x:v>0</x:v>
      </x:c>
      <x:c r="X85" s="34" t="n">
        <x:f>('01_比较参数'!$B$2+D85)*(1+('01_比较参数'!$B$5+E85)/'01_比较参数'!$B$14)*(1+('01_比较参数'!$B$6+F85)/'01_比较参数'!$B$14)*(1+('01_比较参数'!$B$7+G85)/'01_比较参数'!$B$14)*(1+('01_比较参数'!$B$8+I85/'01_比较参数'!$B$14)*('01_比较参数'!$B$12-1+('01_比较参数'!$B$9+H85)/'01_比较参数'!$B$14))*(1+('01_比较参数'!$B$10+J85/'01_比较参数'!$B$14)*('01_比较参数'!$B$13-1+('01_比较参数'!$B$11+K85)/'01_比较参数'!$B$14))*(1+L85/'01_比较参数'!$B$14)*(1+M85/'01_比较参数'!$B$14)</x:f>
        <x:v>10388.867104</x:v>
      </x:c>
      <x:c r="Y85" s="34" t="n">
        <x:f>X85-'01_比较参数'!$B$18</x:f>
        <x:v>405.9711039999984</x:v>
      </x:c>
      <x:c r="Z85" s="36" t="n">
        <x:f>ROUNDDOWN(D85/2,0)</x:f>
        <x:v>20</x:v>
      </x:c>
    </x:row>
    <x:row r="86" ht="30" customHeight="1">
      <x:c r="A86" s="22" t="str">
        <x:v>雷冠申猴</x:v>
      </x:c>
      <x:c r="B86" s="22" t="str">
        <x:v>C2专属本轮</x:v>
      </x:c>
      <x:c r="C86" s="22" t="str">
        <x:v>生肖9</x:v>
      </x:c>
      <x:c r="D86" s="32" t="n">
        <x:v>55</x:v>
      </x:c>
      <x:c r="E86" s="32" t="n">
        <x:v>4</x:v>
      </x:c>
      <x:c r="F86" s="32" t="n">
        <x:v>3</x:v>
      </x:c>
      <x:c r="G86" s="32" t="n">
        <x:v>2</x:v>
      </x:c>
      <x:c r="H86" s="32" t="n">
        <x:v>0</x:v>
      </x:c>
      <x:c r="I86" s="32" t="n">
        <x:v>0</x:v>
      </x:c>
      <x:c r="J86" s="32" t="n">
        <x:v>0</x:v>
      </x:c>
      <x:c r="K86" s="32" t="n">
        <x:v>0</x:v>
      </x:c>
      <x:c r="L86" s="32" t="n">
        <x:v>0</x:v>
      </x:c>
      <x:c r="M86" s="32" t="n">
        <x:v>0</x:v>
      </x:c>
      <x:c r="N86" s="32" t="n">
        <x:v>8000</x:v>
      </x:c>
      <x:c r="O86" s="32" t="n">
        <x:v>0</x:v>
      </x:c>
      <x:c r="P86" s="32" t="n">
        <x:v>16</x:v>
      </x:c>
      <x:c r="Q86" s="32" t="n">
        <x:v>0</x:v>
      </x:c>
      <x:c r="R86" s="32" t="n">
        <x:v>0</x:v>
      </x:c>
      <x:c r="S86" s="32" t="n">
        <x:v>0</x:v>
      </x:c>
      <x:c r="T86" s="32" t="n">
        <x:v>0</x:v>
      </x:c>
      <x:c r="U86" s="32" t="n">
        <x:v>0</x:v>
      </x:c>
      <x:c r="V86" s="32" t="n">
        <x:v>0</x:v>
      </x:c>
      <x:c r="W86" s="32" t="n">
        <x:v>0</x:v>
      </x:c>
      <x:c r="X86" s="34" t="n">
        <x:f>('01_比较参数'!$B$2+D86)*(1+('01_比较参数'!$B$5+E86)/'01_比较参数'!$B$14)*(1+('01_比较参数'!$B$6+F86)/'01_比较参数'!$B$14)*(1+('01_比较参数'!$B$7+G86)/'01_比较参数'!$B$14)*(1+('01_比较参数'!$B$8+I86/'01_比较参数'!$B$14)*('01_比较参数'!$B$12-1+('01_比较参数'!$B$9+H86)/'01_比较参数'!$B$14))*(1+('01_比较参数'!$B$10+J86/'01_比较参数'!$B$14)*('01_比较参数'!$B$13-1+('01_比较参数'!$B$11+K86)/'01_比较参数'!$B$14))*(1+L86/'01_比较参数'!$B$14)*(1+M86/'01_比较参数'!$B$14)</x:f>
        <x:v>10906.4232683392</x:v>
      </x:c>
      <x:c r="Y86" s="34" t="n">
        <x:f>X86-'01_比较参数'!$B$18</x:f>
        <x:v>923.5272683391977</x:v>
      </x:c>
      <x:c r="Z86" s="36" t="n">
        <x:f>ROUNDDOWN(D86/2,0)</x:f>
        <x:v>27</x:v>
      </x:c>
    </x:row>
    <x:row r="87" ht="30" customHeight="1">
      <x:c r="A87" s="22" t="str">
        <x:v>恶兆酉鸡</x:v>
      </x:c>
      <x:c r="B87" s="22" t="str">
        <x:v>C2专属本轮</x:v>
      </x:c>
      <x:c r="C87" s="22" t="str">
        <x:v>生肖10</x:v>
      </x:c>
      <x:c r="D87" s="32" t="n">
        <x:v>50</x:v>
      </x:c>
      <x:c r="E87" s="32" t="n">
        <x:v>3</x:v>
      </x:c>
      <x:c r="F87" s="32" t="n">
        <x:v>0</x:v>
      </x:c>
      <x:c r="G87" s="32" t="n">
        <x:v>0</x:v>
      </x:c>
      <x:c r="H87" s="32" t="n">
        <x:v>0</x:v>
      </x:c>
      <x:c r="I87" s="32" t="n">
        <x:v>0</x:v>
      </x:c>
      <x:c r="J87" s="32" t="n">
        <x:v>0</x:v>
      </x:c>
      <x:c r="K87" s="32" t="n">
        <x:v>0</x:v>
      </x:c>
      <x:c r="L87" s="32" t="n">
        <x:v>0</x:v>
      </x:c>
      <x:c r="M87" s="32" t="n">
        <x:v>0</x:v>
      </x:c>
      <x:c r="N87" s="32" t="n">
        <x:v>10000</x:v>
      </x:c>
      <x:c r="O87" s="32" t="n">
        <x:v>0</x:v>
      </x:c>
      <x:c r="P87" s="32" t="n">
        <x:v>17</x:v>
      </x:c>
      <x:c r="Q87" s="32" t="n">
        <x:v>0</x:v>
      </x:c>
      <x:c r="R87" s="32" t="n">
        <x:v>0</x:v>
      </x:c>
      <x:c r="S87" s="32" t="n">
        <x:v>0</x:v>
      </x:c>
      <x:c r="T87" s="32" t="n">
        <x:v>0</x:v>
      </x:c>
      <x:c r="U87" s="32" t="n">
        <x:v>0</x:v>
      </x:c>
      <x:c r="V87" s="32" t="n">
        <x:v>60</x:v>
      </x:c>
      <x:c r="W87" s="32" t="n">
        <x:v>1</x:v>
      </x:c>
      <x:c r="X87" s="34" t="n">
        <x:f>('01_比较参数'!$B$2+D87)*(1+('01_比较参数'!$B$5+E87)/'01_比较参数'!$B$14)*(1+('01_比较参数'!$B$6+F87)/'01_比较参数'!$B$14)*(1+('01_比较参数'!$B$7+G87)/'01_比较参数'!$B$14)*(1+('01_比较参数'!$B$8+I87/'01_比较参数'!$B$14)*('01_比较参数'!$B$12-1+('01_比较参数'!$B$9+H87)/'01_比较参数'!$B$14))*(1+('01_比较参数'!$B$10+J87/'01_比较参数'!$B$14)*('01_比较参数'!$B$13-1+('01_比较参数'!$B$11+K87)/'01_比较参数'!$B$14))*(1+L87/'01_比较参数'!$B$14)*(1+M87/'01_比较参数'!$B$14)</x:f>
        <x:v>10456.327280000001</x:v>
      </x:c>
      <x:c r="Y87" s="34" t="n">
        <x:f>X87-'01_比较参数'!$B$18</x:f>
        <x:v>473.4312799999989</x:v>
      </x:c>
      <x:c r="Z87" s="36" t="n">
        <x:f>ROUNDDOWN(D87/2,0)</x:f>
        <x:v>25</x:v>
      </x:c>
    </x:row>
    <x:row r="88" ht="30" customHeight="1">
      <x:c r="A88" s="22" t="str">
        <x:v>流刑王刃</x:v>
      </x:c>
      <x:c r="B88" s="22" t="str">
        <x:v>C2专属本轮</x:v>
      </x:c>
      <x:c r="C88" s="22" t="str">
        <x:v>武器</x:v>
      </x:c>
      <x:c r="D88" s="32" t="n">
        <x:v>640</x:v>
      </x:c>
      <x:c r="E88" s="32" t="n">
        <x:v>61</x:v>
      </x:c>
      <x:c r="F88" s="32" t="n">
        <x:v>40</x:v>
      </x:c>
      <x:c r="G88" s="32" t="n">
        <x:v>23</x:v>
      </x:c>
      <x:c r="H88" s="32" t="n">
        <x:v>42</x:v>
      </x:c>
      <x:c r="I88" s="32" t="n">
        <x:v>0</x:v>
      </x:c>
      <x:c r="J88" s="32" t="n">
        <x:v>0</x:v>
      </x:c>
      <x:c r="K88" s="32" t="n">
        <x:v>0</x:v>
      </x:c>
      <x:c r="L88" s="32" t="n">
        <x:v>0</x:v>
      </x:c>
      <x:c r="M88" s="32" t="n">
        <x:v>0</x:v>
      </x:c>
      <x:c r="N88" s="32" t="n">
        <x:v>22000</x:v>
      </x:c>
      <x:c r="O88" s="32" t="n">
        <x:v>0</x:v>
      </x:c>
      <x:c r="P88" s="32" t="n">
        <x:v>0</x:v>
      </x:c>
      <x:c r="Q88" s="32" t="n">
        <x:v>0</x:v>
      </x:c>
      <x:c r="R88" s="32" t="n">
        <x:v>0</x:v>
      </x:c>
      <x:c r="S88" s="32" t="n">
        <x:v>0</x:v>
      </x:c>
      <x:c r="T88" s="32" t="n">
        <x:v>24</x:v>
      </x:c>
      <x:c r="U88" s="32" t="n">
        <x:v>0</x:v>
      </x:c>
      <x:c r="V88" s="32" t="n">
        <x:v>0</x:v>
      </x:c>
      <x:c r="W88" s="32" t="n">
        <x:v>0</x:v>
      </x:c>
      <x:c r="X88" s="34" t="n">
        <x:f>('01_比较参数'!$B$2+D88)*(1+('01_比较参数'!$B$5+E88)/'01_比较参数'!$B$14)*(1+('01_比较参数'!$B$6+F88)/'01_比较参数'!$B$14)*(1+('01_比较参数'!$B$7+G88)/'01_比较参数'!$B$14)*(1+('01_比较参数'!$B$8+I88/'01_比较参数'!$B$14)*('01_比较参数'!$B$12-1+('01_比较参数'!$B$9+H88)/'01_比较参数'!$B$14))*(1+('01_比较参数'!$B$10+J88/'01_比较参数'!$B$14)*('01_比较参数'!$B$13-1+('01_比较参数'!$B$11+K88)/'01_比较参数'!$B$14))*(1+L88/'01_比较参数'!$B$14)*(1+M88/'01_比较参数'!$B$14)</x:f>
        <x:v>29215.158112447996</x:v>
      </x:c>
      <x:c r="Y88" s="34" t="n">
        <x:f>X88-'01_比较参数'!$B$18</x:f>
        <x:v>19232.262112447992</x:v>
      </x:c>
      <x:c r="Z88" s="36" t="n">
        <x:f>ROUNDDOWN(D88/2,0)</x:f>
        <x:v>320</x:v>
      </x:c>
    </x:row>
    <x:row r="89" ht="30" customHeight="1">
      <x:c r="A89" s="22" t="str">
        <x:v>失乡斧铠</x:v>
      </x:c>
      <x:c r="B89" s="22" t="str">
        <x:v>C2专属本轮</x:v>
      </x:c>
      <x:c r="C89" s="22" t="str">
        <x:v>衣服</x:v>
      </x:c>
      <x:c r="D89" s="32" t="n">
        <x:v>110</x:v>
      </x:c>
      <x:c r="E89" s="32" t="n">
        <x:v>20</x:v>
      </x:c>
      <x:c r="F89" s="32" t="n">
        <x:v>0</x:v>
      </x:c>
      <x:c r="G89" s="32" t="n">
        <x:v>0</x:v>
      </x:c>
      <x:c r="H89" s="32" t="n">
        <x:v>0</x:v>
      </x:c>
      <x:c r="I89" s="32" t="n">
        <x:v>0</x:v>
      </x:c>
      <x:c r="J89" s="32" t="n">
        <x:v>0</x:v>
      </x:c>
      <x:c r="K89" s="32" t="n">
        <x:v>0</x:v>
      </x:c>
      <x:c r="L89" s="32" t="n">
        <x:v>0</x:v>
      </x:c>
      <x:c r="M89" s="32" t="n">
        <x:v>0</x:v>
      </x:c>
      <x:c r="N89" s="32" t="n">
        <x:v>125000</x:v>
      </x:c>
      <x:c r="O89" s="32" t="n">
        <x:v>7</x:v>
      </x:c>
      <x:c r="P89" s="32" t="n">
        <x:v>105</x:v>
      </x:c>
      <x:c r="Q89" s="32" t="n">
        <x:v>20</x:v>
      </x:c>
      <x:c r="R89" s="32" t="n">
        <x:v>0</x:v>
      </x:c>
      <x:c r="S89" s="32" t="n">
        <x:v>0</x:v>
      </x:c>
      <x:c r="T89" s="32" t="n">
        <x:v>0</x:v>
      </x:c>
      <x:c r="U89" s="32" t="n">
        <x:v>0</x:v>
      </x:c>
      <x:c r="V89" s="32" t="n">
        <x:v>0</x:v>
      </x:c>
      <x:c r="W89" s="32" t="n">
        <x:v>0</x:v>
      </x:c>
      <x:c r="X89" s="34" t="n">
        <x:f>('01_比较参数'!$B$2+D89)*(1+('01_比较参数'!$B$5+E89)/'01_比较参数'!$B$14)*(1+('01_比较参数'!$B$6+F89)/'01_比较参数'!$B$14)*(1+('01_比较参数'!$B$7+G89)/'01_比较参数'!$B$14)*(1+('01_比较参数'!$B$8+I89/'01_比较参数'!$B$14)*('01_比较参数'!$B$12-1+('01_比较参数'!$B$9+H89)/'01_比较参数'!$B$14))*(1+('01_比较参数'!$B$10+J89/'01_比较参数'!$B$14)*('01_比较参数'!$B$13-1+('01_比较参数'!$B$11+K89)/'01_比较参数'!$B$14))*(1+L89/'01_比较参数'!$B$14)*(1+M89/'01_比较参数'!$B$14)</x:f>
        <x:v>11689.063680000001</x:v>
      </x:c>
      <x:c r="Y89" s="34" t="n">
        <x:f>X89-'01_比较参数'!$B$18</x:f>
        <x:v>1706.1676799999987</x:v>
      </x:c>
      <x:c r="Z89" s="36" t="n">
        <x:f>ROUNDDOWN(D89/2,0)</x:f>
        <x:v>55</x:v>
      </x:c>
    </x:row>
    <x:row r="90" ht="30" customHeight="1">
      <x:c r="A90" s="22" t="str">
        <x:v>火药锁链</x:v>
      </x:c>
      <x:c r="B90" s="22" t="str">
        <x:v>C2专属本轮</x:v>
      </x:c>
      <x:c r="C90" s="22" t="str">
        <x:v>项链</x:v>
      </x:c>
      <x:c r="D90" s="32" t="n">
        <x:v>70</x:v>
      </x:c>
      <x:c r="E90" s="32" t="n">
        <x:v>21</x:v>
      </x:c>
      <x:c r="F90" s="32" t="n">
        <x:v>12</x:v>
      </x:c>
      <x:c r="G90" s="32" t="n">
        <x:v>6</x:v>
      </x:c>
      <x:c r="H90" s="32" t="n">
        <x:v>10</x:v>
      </x:c>
      <x:c r="I90" s="32" t="n">
        <x:v>0</x:v>
      </x:c>
      <x:c r="J90" s="32" t="n">
        <x:v>0</x:v>
      </x:c>
      <x:c r="K90" s="32" t="n">
        <x:v>0</x:v>
      </x:c>
      <x:c r="L90" s="32" t="n">
        <x:v>0</x:v>
      </x:c>
      <x:c r="M90" s="32" t="n">
        <x:v>0</x:v>
      </x:c>
      <x:c r="N90" s="32" t="n">
        <x:v>17000</x:v>
      </x:c>
      <x:c r="O90" s="32" t="n">
        <x:v>0</x:v>
      </x:c>
      <x:c r="P90" s="32" t="n">
        <x:v>0</x:v>
      </x:c>
      <x:c r="Q90" s="32" t="n">
        <x:v>0</x:v>
      </x:c>
      <x:c r="R90" s="32" t="n">
        <x:v>0</x:v>
      </x:c>
      <x:c r="S90" s="32" t="n">
        <x:v>0</x:v>
      </x:c>
      <x:c r="T90" s="32" t="n">
        <x:v>0</x:v>
      </x:c>
      <x:c r="U90" s="32" t="n">
        <x:v>0</x:v>
      </x:c>
      <x:c r="V90" s="32" t="n">
        <x:v>0</x:v>
      </x:c>
      <x:c r="W90" s="32" t="n">
        <x:v>0</x:v>
      </x:c>
      <x:c r="X90" s="34" t="n">
        <x:f>('01_比较参数'!$B$2+D90)*(1+('01_比较参数'!$B$5+E90)/'01_比较参数'!$B$14)*(1+('01_比较参数'!$B$6+F90)/'01_比较参数'!$B$14)*(1+('01_比较参数'!$B$7+G90)/'01_比较参数'!$B$14)*(1+('01_比较参数'!$B$8+I90/'01_比较参数'!$B$14)*('01_比较参数'!$B$12-1+('01_比较参数'!$B$9+H90)/'01_比较参数'!$B$14))*(1+('01_比较参数'!$B$10+J90/'01_比较参数'!$B$14)*('01_比较参数'!$B$13-1+('01_比较参数'!$B$11+K90)/'01_比较参数'!$B$14))*(1+L90/'01_比较参数'!$B$14)*(1+M90/'01_比较参数'!$B$14)</x:f>
        <x:v>13156.618467344799</x:v>
      </x:c>
      <x:c r="Y90" s="34" t="n">
        <x:f>X90-'01_比较参数'!$B$18</x:f>
        <x:v>3173.7224673447963</x:v>
      </x:c>
      <x:c r="Z90" s="36" t="n">
        <x:f>ROUNDDOWN(D90/2,0)</x:f>
        <x:v>35</x:v>
      </x:c>
    </x:row>
    <x:row r="91" ht="30" customHeight="1">
      <x:c r="A91" s="22" t="str">
        <x:v>刀翼王盔</x:v>
      </x:c>
      <x:c r="B91" s="22" t="str">
        <x:v>C2专属本轮</x:v>
      </x:c>
      <x:c r="C91" s="22" t="str">
        <x:v>头盔</x:v>
      </x:c>
      <x:c r="D91" s="32" t="n">
        <x:v>55</x:v>
      </x:c>
      <x:c r="E91" s="32" t="n">
        <x:v>11</x:v>
      </x:c>
      <x:c r="F91" s="32" t="n">
        <x:v>0</x:v>
      </x:c>
      <x:c r="G91" s="32" t="n">
        <x:v>0</x:v>
      </x:c>
      <x:c r="H91" s="32" t="n">
        <x:v>0</x:v>
      </x:c>
      <x:c r="I91" s="32" t="n">
        <x:v>0</x:v>
      </x:c>
      <x:c r="J91" s="32" t="n">
        <x:v>0</x:v>
      </x:c>
      <x:c r="K91" s="32" t="n">
        <x:v>0</x:v>
      </x:c>
      <x:c r="L91" s="32" t="n">
        <x:v>0</x:v>
      </x:c>
      <x:c r="M91" s="32" t="n">
        <x:v>0</x:v>
      </x:c>
      <x:c r="N91" s="32" t="n">
        <x:v>32000</x:v>
      </x:c>
      <x:c r="O91" s="32" t="n">
        <x:v>0</x:v>
      </x:c>
      <x:c r="P91" s="32" t="n">
        <x:v>54</x:v>
      </x:c>
      <x:c r="Q91" s="32" t="n">
        <x:v>5</x:v>
      </x:c>
      <x:c r="R91" s="32" t="n">
        <x:v>0</x:v>
      </x:c>
      <x:c r="S91" s="32" t="n">
        <x:v>0</x:v>
      </x:c>
      <x:c r="T91" s="32" t="n">
        <x:v>0</x:v>
      </x:c>
      <x:c r="U91" s="32" t="n">
        <x:v>0</x:v>
      </x:c>
      <x:c r="V91" s="32" t="n">
        <x:v>0</x:v>
      </x:c>
      <x:c r="W91" s="32" t="n">
        <x:v>0</x:v>
      </x:c>
      <x:c r="X91" s="34" t="n">
        <x:f>('01_比较参数'!$B$2+D91)*(1+('01_比较参数'!$B$5+E91)/'01_比较参数'!$B$14)*(1+('01_比较参数'!$B$6+F91)/'01_比较参数'!$B$14)*(1+('01_比较参数'!$B$7+G91)/'01_比较参数'!$B$14)*(1+('01_比较参数'!$B$8+I91/'01_比较参数'!$B$14)*('01_比较参数'!$B$12-1+('01_比较参数'!$B$9+H91)/'01_比较参数'!$B$14))*(1+('01_比较参数'!$B$10+J91/'01_比较参数'!$B$14)*('01_比较参数'!$B$13-1+('01_比较参数'!$B$11+K91)/'01_比较参数'!$B$14))*(1+L91/'01_比较参数'!$B$14)*(1+M91/'01_比较参数'!$B$14)</x:f>
        <x:v>10866.382296000002</x:v>
      </x:c>
      <x:c r="Y91" s="34" t="n">
        <x:f>X91-'01_比较参数'!$B$18</x:f>
        <x:v>883.4862959999991</x:v>
      </x:c>
      <x:c r="Z91" s="36" t="n">
        <x:f>ROUNDDOWN(D91/2,0)</x:f>
        <x:v>27</x:v>
      </x:c>
    </x:row>
    <x:row r="92" ht="30" customHeight="1">
      <x:c r="A92" s="22" t="str">
        <x:v>百指腕甲</x:v>
      </x:c>
      <x:c r="B92" s="22" t="str">
        <x:v>C2专属本轮</x:v>
      </x:c>
      <x:c r="C92" s="22" t="str">
        <x:v>手镯</x:v>
      </x:c>
      <x:c r="D92" s="32" t="n">
        <x:v>68</x:v>
      </x:c>
      <x:c r="E92" s="32" t="n">
        <x:v>18</x:v>
      </x:c>
      <x:c r="F92" s="32" t="n">
        <x:v>7</x:v>
      </x:c>
      <x:c r="G92" s="32" t="n">
        <x:v>4</x:v>
      </x:c>
      <x:c r="H92" s="32" t="n">
        <x:v>12</x:v>
      </x:c>
      <x:c r="I92" s="32" t="n">
        <x:v>0</x:v>
      </x:c>
      <x:c r="J92" s="32" t="n">
        <x:v>0</x:v>
      </x:c>
      <x:c r="K92" s="32" t="n">
        <x:v>0</x:v>
      </x:c>
      <x:c r="L92" s="32" t="n">
        <x:v>0</x:v>
      </x:c>
      <x:c r="M92" s="32" t="n">
        <x:v>0</x:v>
      </x:c>
      <x:c r="N92" s="32" t="n">
        <x:v>15500</x:v>
      </x:c>
      <x:c r="O92" s="32" t="n">
        <x:v>0</x:v>
      </x:c>
      <x:c r="P92" s="32" t="n">
        <x:v>32</x:v>
      </x:c>
      <x:c r="Q92" s="32" t="n">
        <x:v>1</x:v>
      </x:c>
      <x:c r="R92" s="32" t="n">
        <x:v>0</x:v>
      </x:c>
      <x:c r="S92" s="32" t="n">
        <x:v>0</x:v>
      </x:c>
      <x:c r="T92" s="32" t="n">
        <x:v>0</x:v>
      </x:c>
      <x:c r="U92" s="32" t="n">
        <x:v>0</x:v>
      </x:c>
      <x:c r="V92" s="32" t="n">
        <x:v>0</x:v>
      </x:c>
      <x:c r="W92" s="32" t="n">
        <x:v>0</x:v>
      </x:c>
      <x:c r="X92" s="34" t="n">
        <x:f>('01_比较参数'!$B$2+D92)*(1+('01_比较参数'!$B$5+E92)/'01_比较参数'!$B$14)*(1+('01_比较参数'!$B$6+F92)/'01_比较参数'!$B$14)*(1+('01_比较参数'!$B$7+G92)/'01_比较参数'!$B$14)*(1+('01_比较参数'!$B$8+I92/'01_比较参数'!$B$14)*('01_比较参数'!$B$12-1+('01_比较参数'!$B$9+H92)/'01_比较参数'!$B$14))*(1+('01_比较参数'!$B$10+J92/'01_比较参数'!$B$14)*('01_比较参数'!$B$13-1+('01_比较参数'!$B$11+K92)/'01_比较参数'!$B$14))*(1+L92/'01_比较参数'!$B$14)*(1+M92/'01_比较参数'!$B$14)</x:f>
        <x:v>12456.019915713023</x:v>
      </x:c>
      <x:c r="Y92" s="34" t="n">
        <x:f>X92-'01_比较参数'!$B$18</x:f>
        <x:v>2473.1239157130203</x:v>
      </x:c>
      <x:c r="Z92" s="36" t="n">
        <x:f>ROUNDDOWN(D92/2,0)</x:f>
        <x:v>34</x:v>
      </x:c>
    </x:row>
    <x:row r="93" ht="30" customHeight="1">
      <x:c r="A93" s="22" t="str">
        <x:v>禁卫誓戒</x:v>
      </x:c>
      <x:c r="B93" s="22" t="str">
        <x:v>C2专属本轮</x:v>
      </x:c>
      <x:c r="C93" s="22" t="str">
        <x:v>戒指</x:v>
      </x:c>
      <x:c r="D93" s="32" t="n">
        <x:v>72</x:v>
      </x:c>
      <x:c r="E93" s="32" t="n">
        <x:v>17</x:v>
      </x:c>
      <x:c r="F93" s="32" t="n">
        <x:v>9</x:v>
      </x:c>
      <x:c r="G93" s="32" t="n">
        <x:v>5</x:v>
      </x:c>
      <x:c r="H93" s="32" t="n">
        <x:v>15</x:v>
      </x:c>
      <x:c r="I93" s="32" t="n">
        <x:v>0</x:v>
      </x:c>
      <x:c r="J93" s="32" t="n">
        <x:v>0</x:v>
      </x:c>
      <x:c r="K93" s="32" t="n">
        <x:v>0</x:v>
      </x:c>
      <x:c r="L93" s="32" t="n">
        <x:v>0</x:v>
      </x:c>
      <x:c r="M93" s="32" t="n">
        <x:v>0</x:v>
      </x:c>
      <x:c r="N93" s="32" t="n">
        <x:v>14000</x:v>
      </x:c>
      <x:c r="O93" s="32" t="n">
        <x:v>0</x:v>
      </x:c>
      <x:c r="P93" s="32" t="n">
        <x:v>31</x:v>
      </x:c>
      <x:c r="Q93" s="32" t="n">
        <x:v>1</x:v>
      </x:c>
      <x:c r="R93" s="32" t="n">
        <x:v>0</x:v>
      </x:c>
      <x:c r="S93" s="32" t="n">
        <x:v>0</x:v>
      </x:c>
      <x:c r="T93" s="32" t="n">
        <x:v>0</x:v>
      </x:c>
      <x:c r="U93" s="32" t="n">
        <x:v>0</x:v>
      </x:c>
      <x:c r="V93" s="32" t="n">
        <x:v>0</x:v>
      </x:c>
      <x:c r="W93" s="32" t="n">
        <x:v>0</x:v>
      </x:c>
      <x:c r="X93" s="34" t="n">
        <x:f>('01_比较参数'!$B$2+D93)*(1+('01_比较参数'!$B$5+E93)/'01_比较参数'!$B$14)*(1+('01_比较参数'!$B$6+F93)/'01_比较参数'!$B$14)*(1+('01_比较参数'!$B$7+G93)/'01_比较参数'!$B$14)*(1+('01_比较参数'!$B$8+I93/'01_比较参数'!$B$14)*('01_比较参数'!$B$12-1+('01_比较参数'!$B$9+H93)/'01_比较参数'!$B$14))*(1+('01_比较参数'!$B$10+J93/'01_比较参数'!$B$14)*('01_比较参数'!$B$13-1+('01_比较参数'!$B$11+K93)/'01_比较参数'!$B$14))*(1+L93/'01_比较参数'!$B$14)*(1+M93/'01_比较参数'!$B$14)</x:f>
        <x:v>12757.091899734001</x:v>
      </x:c>
      <x:c r="Y93" s="34" t="n">
        <x:f>X93-'01_比较参数'!$B$18</x:f>
        <x:v>2774.195899733999</x:v>
      </x:c>
      <x:c r="Z93" s="36" t="n">
        <x:f>ROUNDDOWN(D93/2,0)</x:f>
        <x:v>36</x:v>
      </x:c>
    </x:row>
    <x:row r="94" ht="30" customHeight="1">
      <x:c r="A94" s="22" t="str">
        <x:v>失乡统帅勋</x:v>
      </x:c>
      <x:c r="B94" s="22" t="str">
        <x:v>C2专属本轮</x:v>
      </x:c>
      <x:c r="C94" s="22" t="str">
        <x:v>勋章</x:v>
      </x:c>
      <x:c r="D94" s="32" t="n">
        <x:v>88</x:v>
      </x:c>
      <x:c r="E94" s="32" t="n">
        <x:v>25</x:v>
      </x:c>
      <x:c r="F94" s="32" t="n">
        <x:v>12</x:v>
      </x:c>
      <x:c r="G94" s="32" t="n">
        <x:v>6</x:v>
      </x:c>
      <x:c r="H94" s="32" t="n">
        <x:v>14</x:v>
      </x:c>
      <x:c r="I94" s="32" t="n">
        <x:v>0</x:v>
      </x:c>
      <x:c r="J94" s="32" t="n">
        <x:v>0</x:v>
      </x:c>
      <x:c r="K94" s="32" t="n">
        <x:v>0</x:v>
      </x:c>
      <x:c r="L94" s="32" t="n">
        <x:v>0</x:v>
      </x:c>
      <x:c r="M94" s="32" t="n">
        <x:v>0</x:v>
      </x:c>
      <x:c r="N94" s="32" t="n">
        <x:v>22000</x:v>
      </x:c>
      <x:c r="O94" s="32" t="n">
        <x:v>0</x:v>
      </x:c>
      <x:c r="P94" s="32" t="n">
        <x:v>48</x:v>
      </x:c>
      <x:c r="Q94" s="32" t="n">
        <x:v>0</x:v>
      </x:c>
      <x:c r="R94" s="32" t="n">
        <x:v>0</x:v>
      </x:c>
      <x:c r="S94" s="32" t="n">
        <x:v>0</x:v>
      </x:c>
      <x:c r="T94" s="32" t="n">
        <x:v>0</x:v>
      </x:c>
      <x:c r="U94" s="32" t="n">
        <x:v>0</x:v>
      </x:c>
      <x:c r="V94" s="32" t="n">
        <x:v>0</x:v>
      </x:c>
      <x:c r="W94" s="32" t="n">
        <x:v>0</x:v>
      </x:c>
      <x:c r="X94" s="34" t="n">
        <x:f>('01_比较参数'!$B$2+D94)*(1+('01_比较参数'!$B$5+E94)/'01_比较参数'!$B$14)*(1+('01_比较参数'!$B$6+F94)/'01_比较参数'!$B$14)*(1+('01_比较参数'!$B$7+G94)/'01_比较参数'!$B$14)*(1+('01_比较参数'!$B$8+I94/'01_比较参数'!$B$14)*('01_比较参数'!$B$12-1+('01_比较参数'!$B$9+H94)/'01_比较参数'!$B$14))*(1+('01_比较参数'!$B$10+J94/'01_比较参数'!$B$14)*('01_比较参数'!$B$13-1+('01_比较参数'!$B$11+K94)/'01_比较参数'!$B$14))*(1+L94/'01_比较参数'!$B$14)*(1+M94/'01_比较参数'!$B$14)</x:f>
        <x:v>13635.839264761282</x:v>
      </x:c>
      <x:c r="Y94" s="34" t="n">
        <x:f>X94-'01_比较参数'!$B$18</x:f>
        <x:v>3652.9432647612794</x:v>
      </x:c>
      <x:c r="Z94" s="36" t="n">
        <x:f>ROUNDDOWN(D94/2,0)</x:f>
        <x:v>44</x:v>
      </x:c>
    </x:row>
    <x:row r="95" ht="30" customHeight="1">
      <x:c r="A95" s="22" t="str">
        <x:v>百骸狮盾</x:v>
      </x:c>
      <x:c r="B95" s="22" t="str">
        <x:v>C2专属本轮</x:v>
      </x:c>
      <x:c r="C95" s="22" t="str">
        <x:v>盾牌</x:v>
      </x:c>
      <x:c r="D95" s="32" t="n">
        <x:v>78</x:v>
      </x:c>
      <x:c r="E95" s="32" t="n">
        <x:v>14</x:v>
      </x:c>
      <x:c r="F95" s="32" t="n">
        <x:v>0</x:v>
      </x:c>
      <x:c r="G95" s="32" t="n">
        <x:v>0</x:v>
      </x:c>
      <x:c r="H95" s="32" t="n">
        <x:v>0</x:v>
      </x:c>
      <x:c r="I95" s="32" t="n">
        <x:v>0</x:v>
      </x:c>
      <x:c r="J95" s="32" t="n">
        <x:v>0</x:v>
      </x:c>
      <x:c r="K95" s="32" t="n">
        <x:v>0</x:v>
      </x:c>
      <x:c r="L95" s="32" t="n">
        <x:v>0</x:v>
      </x:c>
      <x:c r="M95" s="32" t="n">
        <x:v>0</x:v>
      </x:c>
      <x:c r="N95" s="32" t="n">
        <x:v>61000</x:v>
      </x:c>
      <x:c r="O95" s="32" t="n">
        <x:v>0</x:v>
      </x:c>
      <x:c r="P95" s="32" t="n">
        <x:v>118</x:v>
      </x:c>
      <x:c r="Q95" s="32" t="n">
        <x:v>16</x:v>
      </x:c>
      <x:c r="R95" s="32" t="n">
        <x:v>0</x:v>
      </x:c>
      <x:c r="S95" s="32" t="n">
        <x:v>0</x:v>
      </x:c>
      <x:c r="T95" s="32" t="n">
        <x:v>0</x:v>
      </x:c>
      <x:c r="U95" s="32" t="n">
        <x:v>0</x:v>
      </x:c>
      <x:c r="V95" s="32" t="n">
        <x:v>0</x:v>
      </x:c>
      <x:c r="W95" s="32" t="n">
        <x:v>0</x:v>
      </x:c>
      <x:c r="X95" s="34" t="n">
        <x:f>('01_比较参数'!$B$2+D95)*(1+('01_比较参数'!$B$5+E95)/'01_比较参数'!$B$14)*(1+('01_比较参数'!$B$6+F95)/'01_比较参数'!$B$14)*(1+('01_比较参数'!$B$7+G95)/'01_比较参数'!$B$14)*(1+('01_比较参数'!$B$8+I95/'01_比较参数'!$B$14)*('01_比较参数'!$B$12-1+('01_比较参数'!$B$9+H95)/'01_比较参数'!$B$14))*(1+('01_比较参数'!$B$10+J95/'01_比较参数'!$B$14)*('01_比较参数'!$B$13-1+('01_比较参数'!$B$11+K95)/'01_比较参数'!$B$14))*(1+L95/'01_比较参数'!$B$14)*(1+M95/'01_比较参数'!$B$14)</x:f>
        <x:v>11170.316102399998</x:v>
      </x:c>
      <x:c r="Y95" s="34" t="n">
        <x:f>X95-'01_比较参数'!$B$18</x:f>
        <x:v>1187.4201023999958</x:v>
      </x:c>
      <x:c r="Z95" s="36" t="n">
        <x:f>ROUNDDOWN(D95/2,0)</x:f>
        <x:v>39</x:v>
      </x:c>
    </x:row>
    <x:row r="96" ht="30" customHeight="1">
      <x:c r="A96" s="22" t="str">
        <x:v>黑焰王玉</x:v>
      </x:c>
      <x:c r="B96" s="22" t="str">
        <x:v>C2专属本轮</x:v>
      </x:c>
      <x:c r="C96" s="22" t="str">
        <x:v>灵玉</x:v>
      </x:c>
      <x:c r="D96" s="32" t="n">
        <x:v>110</x:v>
      </x:c>
      <x:c r="E96" s="32" t="n">
        <x:v>26</x:v>
      </x:c>
      <x:c r="F96" s="32" t="n">
        <x:v>12</x:v>
      </x:c>
      <x:c r="G96" s="32" t="n">
        <x:v>6</x:v>
      </x:c>
      <x:c r="H96" s="32" t="n">
        <x:v>18</x:v>
      </x:c>
      <x:c r="I96" s="32" t="n">
        <x:v>0</x:v>
      </x:c>
      <x:c r="J96" s="32" t="n">
        <x:v>0</x:v>
      </x:c>
      <x:c r="K96" s="32" t="n">
        <x:v>0</x:v>
      </x:c>
      <x:c r="L96" s="32" t="n">
        <x:v>0</x:v>
      </x:c>
      <x:c r="M96" s="32" t="n">
        <x:v>0</x:v>
      </x:c>
      <x:c r="N96" s="32" t="n">
        <x:v>24000</x:v>
      </x:c>
      <x:c r="O96" s="32" t="n">
        <x:v>0</x:v>
      </x:c>
      <x:c r="P96" s="32" t="n">
        <x:v>50</x:v>
      </x:c>
      <x:c r="Q96" s="32" t="n">
        <x:v>0</x:v>
      </x:c>
      <x:c r="R96" s="32" t="n">
        <x:v>0</x:v>
      </x:c>
      <x:c r="S96" s="32" t="n">
        <x:v>0</x:v>
      </x:c>
      <x:c r="T96" s="32" t="n">
        <x:v>0</x:v>
      </x:c>
      <x:c r="U96" s="32" t="n">
        <x:v>0</x:v>
      </x:c>
      <x:c r="V96" s="32" t="n">
        <x:v>60</x:v>
      </x:c>
      <x:c r="W96" s="32" t="n">
        <x:v>0</x:v>
      </x:c>
      <x:c r="X96" s="34" t="n">
        <x:f>('01_比较参数'!$B$2+D96)*(1+('01_比较参数'!$B$5+E96)/'01_比较参数'!$B$14)*(1+('01_比较参数'!$B$6+F96)/'01_比较参数'!$B$14)*(1+('01_比较参数'!$B$7+G96)/'01_比较参数'!$B$14)*(1+('01_比较参数'!$B$8+I96/'01_比较参数'!$B$14)*('01_比较参数'!$B$12-1+('01_比较参数'!$B$9+H96)/'01_比较参数'!$B$14))*(1+('01_比较参数'!$B$10+J96/'01_比较参数'!$B$14)*('01_比较参数'!$B$13-1+('01_比较参数'!$B$11+K96)/'01_比较参数'!$B$14))*(1+L96/'01_比较参数'!$B$14)*(1+M96/'01_比较参数'!$B$14)</x:f>
        <x:v>13990.62065253216</x:v>
      </x:c>
      <x:c r="Y96" s="34" t="n">
        <x:f>X96-'01_比较参数'!$B$18</x:f>
        <x:v>4007.724652532157</x:v>
      </x:c>
      <x:c r="Z96" s="36" t="n">
        <x:f>ROUNDDOWN(D96/2,0)</x:f>
        <x:v>55</x:v>
      </x:c>
    </x:row>
    <x:row r="97" ht="30" customHeight="1">
      <x:c r="A97" s="22" t="str">
        <x:v>王城断罪刃</x:v>
      </x:c>
      <x:c r="B97" s="22" t="str">
        <x:v>C2专属本轮</x:v>
      </x:c>
      <x:c r="C97" s="22" t="str">
        <x:v>时装武器</x:v>
      </x:c>
      <x:c r="D97" s="32" t="n">
        <x:v>460</x:v>
      </x:c>
      <x:c r="E97" s="32" t="n">
        <x:v>53</x:v>
      </x:c>
      <x:c r="F97" s="32" t="n">
        <x:v>39</x:v>
      </x:c>
      <x:c r="G97" s="32" t="n">
        <x:v>22</x:v>
      </x:c>
      <x:c r="H97" s="32" t="n">
        <x:v>43</x:v>
      </x:c>
      <x:c r="I97" s="32" t="n">
        <x:v>0</x:v>
      </x:c>
      <x:c r="J97" s="32" t="n">
        <x:v>0</x:v>
      </x:c>
      <x:c r="K97" s="32" t="n">
        <x:v>0</x:v>
      </x:c>
      <x:c r="L97" s="32" t="n">
        <x:v>0</x:v>
      </x:c>
      <x:c r="M97" s="32" t="n">
        <x:v>0</x:v>
      </x:c>
      <x:c r="N97" s="32" t="n">
        <x:v>23000</x:v>
      </x:c>
      <x:c r="O97" s="32" t="n">
        <x:v>0</x:v>
      </x:c>
      <x:c r="P97" s="32" t="n">
        <x:v>0</x:v>
      </x:c>
      <x:c r="Q97" s="32" t="n">
        <x:v>0</x:v>
      </x:c>
      <x:c r="R97" s="32" t="n">
        <x:v>0</x:v>
      </x:c>
      <x:c r="S97" s="32" t="n">
        <x:v>1</x:v>
      </x:c>
      <x:c r="T97" s="32" t="n">
        <x:v>0</x:v>
      </x:c>
      <x:c r="U97" s="32" t="n">
        <x:v>0</x:v>
      </x:c>
      <x:c r="V97" s="32" t="n">
        <x:v>88</x:v>
      </x:c>
      <x:c r="W97" s="32" t="n">
        <x:v>0</x:v>
      </x:c>
      <x:c r="X97" s="34" t="n">
        <x:f>('01_比较参数'!$B$2+D97)*(1+('01_比较参数'!$B$5+E97)/'01_比较参数'!$B$14)*(1+('01_比较参数'!$B$6+F97)/'01_比较参数'!$B$14)*(1+('01_比较参数'!$B$7+G97)/'01_比较参数'!$B$14)*(1+('01_比较参数'!$B$8+I97/'01_比较参数'!$B$14)*('01_比较参数'!$B$12-1+('01_比较参数'!$B$9+H97)/'01_比较参数'!$B$14))*(1+('01_比较参数'!$B$10+J97/'01_比较参数'!$B$14)*('01_比较参数'!$B$13-1+('01_比较参数'!$B$11+K97)/'01_比较参数'!$B$14))*(1+L97/'01_比较参数'!$B$14)*(1+M97/'01_比较参数'!$B$14)</x:f>
        <x:v>25739.26074726552</x:v>
      </x:c>
      <x:c r="Y97" s="34" t="n">
        <x:f>X97-'01_比较参数'!$B$18</x:f>
        <x:v>15756.36474726552</x:v>
      </x:c>
      <x:c r="Z97" s="36" t="n">
        <x:f>ROUNDDOWN(D97/2,0)</x:f>
        <x:v>230</x:v>
      </x:c>
    </x:row>
    <x:row r="98" ht="30" customHeight="1">
      <x:c r="A98" s="22" t="str">
        <x:v>百骸王衣</x:v>
      </x:c>
      <x:c r="B98" s="22" t="str">
        <x:v>C2专属本轮</x:v>
      </x:c>
      <x:c r="C98" s="22" t="str">
        <x:v>时装衣服</x:v>
      </x:c>
      <x:c r="D98" s="32" t="n">
        <x:v>170</x:v>
      </x:c>
      <x:c r="E98" s="32" t="n">
        <x:v>30</x:v>
      </x:c>
      <x:c r="F98" s="32" t="n">
        <x:v>0</x:v>
      </x:c>
      <x:c r="G98" s="32" t="n">
        <x:v>0</x:v>
      </x:c>
      <x:c r="H98" s="32" t="n">
        <x:v>0</x:v>
      </x:c>
      <x:c r="I98" s="32" t="n">
        <x:v>0</x:v>
      </x:c>
      <x:c r="J98" s="32" t="n">
        <x:v>0</x:v>
      </x:c>
      <x:c r="K98" s="32" t="n">
        <x:v>0</x:v>
      </x:c>
      <x:c r="L98" s="32" t="n">
        <x:v>0</x:v>
      </x:c>
      <x:c r="M98" s="32" t="n">
        <x:v>0</x:v>
      </x:c>
      <x:c r="N98" s="32" t="n">
        <x:v>210000</x:v>
      </x:c>
      <x:c r="O98" s="32" t="n">
        <x:v>15</x:v>
      </x:c>
      <x:c r="P98" s="32" t="n">
        <x:v>125</x:v>
      </x:c>
      <x:c r="Q98" s="32" t="n">
        <x:v>25</x:v>
      </x:c>
      <x:c r="R98" s="32" t="n">
        <x:v>2</x:v>
      </x:c>
      <x:c r="S98" s="32" t="n">
        <x:v>0</x:v>
      </x:c>
      <x:c r="T98" s="32" t="n">
        <x:v>0</x:v>
      </x:c>
      <x:c r="U98" s="32" t="n">
        <x:v>0</x:v>
      </x:c>
      <x:c r="V98" s="32" t="n">
        <x:v>0</x:v>
      </x:c>
      <x:c r="W98" s="32" t="n">
        <x:v>0</x:v>
      </x:c>
      <x:c r="X98" s="34" t="n">
        <x:f>('01_比较参数'!$B$2+D98)*(1+('01_比较参数'!$B$5+E98)/'01_比较参数'!$B$14)*(1+('01_比较参数'!$B$6+F98)/'01_比较参数'!$B$14)*(1+('01_比较参数'!$B$7+G98)/'01_比较参数'!$B$14)*(1+('01_比较参数'!$B$8+I98/'01_比较参数'!$B$14)*('01_比较参数'!$B$12-1+('01_比较参数'!$B$9+H98)/'01_比较参数'!$B$14))*(1+('01_比较参数'!$B$10+J98/'01_比较参数'!$B$14)*('01_比较参数'!$B$13-1+('01_比较参数'!$B$11+K98)/'01_比较参数'!$B$14))*(1+L98/'01_比较参数'!$B$14)*(1+M98/'01_比较参数'!$B$14)</x:f>
        <x:v>12629.876</x:v>
      </x:c>
      <x:c r="Y98" s="34" t="n">
        <x:f>X98-'01_比较参数'!$B$18</x:f>
        <x:v>2646.9799999999977</x:v>
      </x:c>
      <x:c r="Z98" s="36" t="n">
        <x:f>ROUNDDOWN(D98/2,0)</x:f>
        <x:v>85</x:v>
      </x:c>
    </x:row>
    <x:row r="99" ht="30" customHeight="1">
      <x:c r="A99" s="22" t="str">
        <x:v>失乡戌狗</x:v>
      </x:c>
      <x:c r="B99" s="22" t="str">
        <x:v>C2专属本轮</x:v>
      </x:c>
      <x:c r="C99" s="22" t="str">
        <x:v>生肖11</x:v>
      </x:c>
      <x:c r="D99" s="32" t="n">
        <x:v>65</x:v>
      </x:c>
      <x:c r="E99" s="32" t="n">
        <x:v>4</x:v>
      </x:c>
      <x:c r="F99" s="32" t="n">
        <x:v>0</x:v>
      </x:c>
      <x:c r="G99" s="32" t="n">
        <x:v>0</x:v>
      </x:c>
      <x:c r="H99" s="32" t="n">
        <x:v>0</x:v>
      </x:c>
      <x:c r="I99" s="32" t="n">
        <x:v>0</x:v>
      </x:c>
      <x:c r="J99" s="32" t="n">
        <x:v>0</x:v>
      </x:c>
      <x:c r="K99" s="32" t="n">
        <x:v>0</x:v>
      </x:c>
      <x:c r="L99" s="32" t="n">
        <x:v>0</x:v>
      </x:c>
      <x:c r="M99" s="32" t="n">
        <x:v>0</x:v>
      </x:c>
      <x:c r="N99" s="32" t="n">
        <x:v>14500</x:v>
      </x:c>
      <x:c r="O99" s="32" t="n">
        <x:v>0</x:v>
      </x:c>
      <x:c r="P99" s="32" t="n">
        <x:v>26</x:v>
      </x:c>
      <x:c r="Q99" s="32" t="n">
        <x:v>2</x:v>
      </x:c>
      <x:c r="R99" s="32" t="n">
        <x:v>0</x:v>
      </x:c>
      <x:c r="S99" s="32" t="n">
        <x:v>0</x:v>
      </x:c>
      <x:c r="T99" s="32" t="n">
        <x:v>0</x:v>
      </x:c>
      <x:c r="U99" s="32" t="n">
        <x:v>0</x:v>
      </x:c>
      <x:c r="V99" s="32" t="n">
        <x:v>0</x:v>
      </x:c>
      <x:c r="W99" s="32" t="n">
        <x:v>0</x:v>
      </x:c>
      <x:c r="X99" s="34" t="n">
        <x:f>('01_比较参数'!$B$2+D99)*(1+('01_比较参数'!$B$5+E99)/'01_比较参数'!$B$14)*(1+('01_比较参数'!$B$6+F99)/'01_比较参数'!$B$14)*(1+('01_比较参数'!$B$7+G99)/'01_比较参数'!$B$14)*(1+('01_比较参数'!$B$8+I99/'01_比较参数'!$B$14)*('01_比较参数'!$B$12-1+('01_比较参数'!$B$9+H99)/'01_比较参数'!$B$14))*(1+('01_比较参数'!$B$10+J99/'01_比较参数'!$B$14)*('01_比较参数'!$B$13-1+('01_比较参数'!$B$11+K99)/'01_比较参数'!$B$14))*(1+L99/'01_比较参数'!$B$14)*(1+M99/'01_比较参数'!$B$14)</x:f>
        <x:v>10604.860672</x:v>
      </x:c>
      <x:c r="Y99" s="34" t="n">
        <x:f>X99-'01_比较参数'!$B$18</x:f>
        <x:v>621.9646719999982</x:v>
      </x:c>
      <x:c r="Z99" s="36" t="n">
        <x:f>ROUNDDOWN(D99/2,0)</x:f>
        <x:v>32</x:v>
      </x:c>
    </x:row>
    <x:row r="100" ht="30" customHeight="1">
      <x:c r="A100" s="22" t="str">
        <x:v>接肢亥猪</x:v>
      </x:c>
      <x:c r="B100" s="22" t="str">
        <x:v>C2专属本轮</x:v>
      </x:c>
      <x:c r="C100" s="22" t="str">
        <x:v>生肖12</x:v>
      </x:c>
      <x:c r="D100" s="32" t="n">
        <x:v>75</x:v>
      </x:c>
      <x:c r="E100" s="32" t="n">
        <x:v>5</x:v>
      </x:c>
      <x:c r="F100" s="32" t="n">
        <x:v>5</x:v>
      </x:c>
      <x:c r="G100" s="32" t="n">
        <x:v>2</x:v>
      </x:c>
      <x:c r="H100" s="32" t="n">
        <x:v>0</x:v>
      </x:c>
      <x:c r="I100" s="32" t="n">
        <x:v>0</x:v>
      </x:c>
      <x:c r="J100" s="32" t="n">
        <x:v>0</x:v>
      </x:c>
      <x:c r="K100" s="32" t="n">
        <x:v>0</x:v>
      </x:c>
      <x:c r="L100" s="32" t="n">
        <x:v>0</x:v>
      </x:c>
      <x:c r="M100" s="32" t="n">
        <x:v>0</x:v>
      </x:c>
      <x:c r="N100" s="32" t="n">
        <x:v>18000</x:v>
      </x:c>
      <x:c r="O100" s="32" t="n">
        <x:v>2</x:v>
      </x:c>
      <x:c r="P100" s="32" t="n">
        <x:v>28</x:v>
      </x:c>
      <x:c r="Q100" s="32" t="n">
        <x:v>0</x:v>
      </x:c>
      <x:c r="R100" s="32" t="n">
        <x:v>0</x:v>
      </x:c>
      <x:c r="S100" s="32" t="n">
        <x:v>1</x:v>
      </x:c>
      <x:c r="T100" s="32" t="n">
        <x:v>0</x:v>
      </x:c>
      <x:c r="U100" s="32" t="n">
        <x:v>1</x:v>
      </x:c>
      <x:c r="V100" s="32" t="n">
        <x:v>0</x:v>
      </x:c>
      <x:c r="W100" s="32" t="n">
        <x:v>0</x:v>
      </x:c>
      <x:c r="X100" s="34" t="n">
        <x:f>('01_比较参数'!$B$2+D100)*(1+('01_比较参数'!$B$5+E100)/'01_比较参数'!$B$14)*(1+('01_比较参数'!$B$6+F100)/'01_比较参数'!$B$14)*(1+('01_比较参数'!$B$7+G100)/'01_比较参数'!$B$14)*(1+('01_比较参数'!$B$8+I100/'01_比较参数'!$B$14)*('01_比较参数'!$B$12-1+('01_比较参数'!$B$9+H100)/'01_比较参数'!$B$14))*(1+('01_比较参数'!$B$10+J100/'01_比较参数'!$B$14)*('01_比较参数'!$B$13-1+('01_比较参数'!$B$11+K100)/'01_比较参数'!$B$14))*(1+L100/'01_比较参数'!$B$14)*(1+M100/'01_比较参数'!$B$14)</x:f>
        <x:v>11232.16184475</x:v>
      </x:c>
      <x:c r="Y100" s="34" t="n">
        <x:f>X100-'01_比较参数'!$B$18</x:f>
        <x:v>1249.265844749998</x:v>
      </x:c>
      <x:c r="Z100" s="36" t="n">
        <x:f>ROUNDDOWN(D100/2,0)</x:f>
        <x:v>37</x:v>
      </x:c>
    </x:row>
    <x:row r="101" ht="30" customHeight="1">
      <x:c r="A101" s="22" t="str">
        <x:v>黄金戍卫剑</x:v>
      </x:c>
      <x:c r="B101" s="22" t="str">
        <x:v>C2制式本轮</x:v>
      </x:c>
      <x:c r="C101" s="22" t="str">
        <x:v>武器</x:v>
      </x:c>
      <x:c r="D101" s="32" t="n">
        <x:v>300</x:v>
      </x:c>
      <x:c r="E101" s="32" t="n">
        <x:v>24</x:v>
      </x:c>
      <x:c r="F101" s="32" t="n">
        <x:v>12</x:v>
      </x:c>
      <x:c r="G101" s="32" t="n">
        <x:v>5</x:v>
      </x:c>
      <x:c r="H101" s="32" t="n">
        <x:v>7</x:v>
      </x:c>
      <x:c r="I101" s="32" t="n">
        <x:v>0</x:v>
      </x:c>
      <x:c r="J101" s="32" t="n">
        <x:v>0</x:v>
      </x:c>
      <x:c r="K101" s="32" t="n">
        <x:v>0</x:v>
      </x:c>
      <x:c r="L101" s="32" t="n">
        <x:v>0</x:v>
      </x:c>
      <x:c r="M101" s="32" t="n">
        <x:v>0</x:v>
      </x:c>
      <x:c r="N101" s="32" t="n">
        <x:v>1</x:v>
      </x:c>
      <x:c r="O101" s="32" t="n">
        <x:v>0</x:v>
      </x:c>
      <x:c r="P101" s="32" t="n">
        <x:v>0</x:v>
      </x:c>
      <x:c r="Q101" s="32" t="n">
        <x:v>0</x:v>
      </x:c>
      <x:c r="R101" s="32" t="n">
        <x:v>0</x:v>
      </x:c>
      <x:c r="S101" s="32" t="n">
        <x:v>0</x:v>
      </x:c>
      <x:c r="T101" s="32" t="n">
        <x:v>10</x:v>
      </x:c>
      <x:c r="U101" s="32" t="n">
        <x:v>0</x:v>
      </x:c>
      <x:c r="V101" s="32" t="n">
        <x:v>0</x:v>
      </x:c>
      <x:c r="W101" s="32" t="n">
        <x:v>0</x:v>
      </x:c>
      <x:c r="X101" s="34" t="n">
        <x:f>('01_比较参数'!$B$2+D101)*(1+('01_比较参数'!$B$5+E101)/'01_比较参数'!$B$14)*(1+('01_比较参数'!$B$6+F101)/'01_比较参数'!$B$14)*(1+('01_比较参数'!$B$7+G101)/'01_比较参数'!$B$14)*(1+('01_比较参数'!$B$8+I101/'01_比较参数'!$B$14)*('01_比较参数'!$B$12-1+('01_比较参数'!$B$9+H101)/'01_比较参数'!$B$14))*(1+('01_比较参数'!$B$10+J101/'01_比较参数'!$B$14)*('01_比较参数'!$B$13-1+('01_比较参数'!$B$11+K101)/'01_比较参数'!$B$14))*(1+L101/'01_比较参数'!$B$14)*(1+M101/'01_比较参数'!$B$14)</x:f>
        <x:v>15064.881459264001</x:v>
      </x:c>
      <x:c r="Y101" s="34" t="n">
        <x:f>X101-'01_比较参数'!$B$18</x:f>
        <x:v>5081.985459263999</x:v>
      </x:c>
      <x:c r="Z101" s="36" t="n">
        <x:f>ROUNDDOWN(D101/2,0)</x:f>
        <x:v>150</x:v>
      </x:c>
    </x:row>
    <x:row r="102" ht="30" customHeight="1">
      <x:c r="A102" s="22" t="str">
        <x:v>黄金戍卫战甲</x:v>
      </x:c>
      <x:c r="B102" s="22" t="str">
        <x:v>C2制式本轮</x:v>
      </x:c>
      <x:c r="C102" s="22" t="str">
        <x:v>衣服</x:v>
      </x:c>
      <x:c r="D102" s="32" t="n">
        <x:v>36</x:v>
      </x:c>
      <x:c r="E102" s="32" t="n">
        <x:v>7</x:v>
      </x:c>
      <x:c r="F102" s="32" t="n">
        <x:v>0</x:v>
      </x:c>
      <x:c r="G102" s="32" t="n">
        <x:v>0</x:v>
      </x:c>
      <x:c r="H102" s="32" t="n">
        <x:v>0</x:v>
      </x:c>
      <x:c r="I102" s="32" t="n">
        <x:v>0</x:v>
      </x:c>
      <x:c r="J102" s="32" t="n">
        <x:v>0</x:v>
      </x:c>
      <x:c r="K102" s="32" t="n">
        <x:v>0</x:v>
      </x:c>
      <x:c r="L102" s="32" t="n">
        <x:v>0</x:v>
      </x:c>
      <x:c r="M102" s="32" t="n">
        <x:v>0</x:v>
      </x:c>
      <x:c r="N102" s="32" t="n">
        <x:v>55000</x:v>
      </x:c>
      <x:c r="O102" s="32" t="n">
        <x:v>2</x:v>
      </x:c>
      <x:c r="P102" s="32" t="n">
        <x:v>44</x:v>
      </x:c>
      <x:c r="Q102" s="32" t="n">
        <x:v>8</x:v>
      </x:c>
      <x:c r="R102" s="32" t="n">
        <x:v>0</x:v>
      </x:c>
      <x:c r="S102" s="32" t="n">
        <x:v>0</x:v>
      </x:c>
      <x:c r="T102" s="32" t="n">
        <x:v>0</x:v>
      </x:c>
      <x:c r="U102" s="32" t="n">
        <x:v>0</x:v>
      </x:c>
      <x:c r="V102" s="32" t="n">
        <x:v>0</x:v>
      </x:c>
      <x:c r="W102" s="32" t="n">
        <x:v>0</x:v>
      </x:c>
      <x:c r="X102" s="34" t="n">
        <x:f>('01_比较参数'!$B$2+D102)*(1+('01_比较参数'!$B$5+E102)/'01_比较参数'!$B$14)*(1+('01_比较参数'!$B$6+F102)/'01_比较参数'!$B$14)*(1+('01_比较参数'!$B$7+G102)/'01_比较参数'!$B$14)*(1+('01_比较参数'!$B$8+I102/'01_比较参数'!$B$14)*('01_比较参数'!$B$12-1+('01_比较参数'!$B$9+H102)/'01_比较参数'!$B$14))*(1+('01_比较参数'!$B$10+J102/'01_比较参数'!$B$14)*('01_比较参数'!$B$13-1+('01_比较参数'!$B$11+K102)/'01_比较参数'!$B$14))*(1+L102/'01_比较参数'!$B$14)*(1+M102/'01_比较参数'!$B$14)</x:f>
        <x:v>10547.746406400001</x:v>
      </x:c>
      <x:c r="Y102" s="34" t="n">
        <x:f>X102-'01_比较参数'!$B$18</x:f>
        <x:v>564.850406399999</x:v>
      </x:c>
      <x:c r="Z102" s="36" t="n">
        <x:f>ROUNDDOWN(D102/2,0)</x:f>
        <x:v>18</x:v>
      </x:c>
    </x:row>
    <x:row r="103" ht="30" customHeight="1">
      <x:c r="A103" s="22" t="str">
        <x:v>黄金戍卫战盔</x:v>
      </x:c>
      <x:c r="B103" s="22" t="str">
        <x:v>C2制式本轮</x:v>
      </x:c>
      <x:c r="C103" s="22" t="str">
        <x:v>头盔</x:v>
      </x:c>
      <x:c r="D103" s="32" t="n">
        <x:v>26</x:v>
      </x:c>
      <x:c r="E103" s="32" t="n">
        <x:v>7</x:v>
      </x:c>
      <x:c r="F103" s="32" t="n">
        <x:v>0</x:v>
      </x:c>
      <x:c r="G103" s="32" t="n">
        <x:v>0</x:v>
      </x:c>
      <x:c r="H103" s="32" t="n">
        <x:v>0</x:v>
      </x:c>
      <x:c r="I103" s="32" t="n">
        <x:v>0</x:v>
      </x:c>
      <x:c r="J103" s="32" t="n">
        <x:v>0</x:v>
      </x:c>
      <x:c r="K103" s="32" t="n">
        <x:v>0</x:v>
      </x:c>
      <x:c r="L103" s="32" t="n">
        <x:v>0</x:v>
      </x:c>
      <x:c r="M103" s="32" t="n">
        <x:v>0</x:v>
      </x:c>
      <x:c r="N103" s="32" t="n">
        <x:v>13750</x:v>
      </x:c>
      <x:c r="O103" s="32" t="n">
        <x:v>0</x:v>
      </x:c>
      <x:c r="P103" s="32" t="n">
        <x:v>23</x:v>
      </x:c>
      <x:c r="Q103" s="32" t="n">
        <x:v>4</x:v>
      </x:c>
      <x:c r="R103" s="32" t="n">
        <x:v>0</x:v>
      </x:c>
      <x:c r="S103" s="32" t="n">
        <x:v>0</x:v>
      </x:c>
      <x:c r="T103" s="32" t="n">
        <x:v>0</x:v>
      </x:c>
      <x:c r="U103" s="32" t="n">
        <x:v>0</x:v>
      </x:c>
      <x:c r="V103" s="32" t="n">
        <x:v>0</x:v>
      </x:c>
      <x:c r="W103" s="32" t="n">
        <x:v>0</x:v>
      </x:c>
      <x:c r="X103" s="34" t="n">
        <x:f>('01_比较参数'!$B$2+D103)*(1+('01_比较参数'!$B$5+E103)/'01_比较参数'!$B$14)*(1+('01_比较参数'!$B$6+F103)/'01_比较参数'!$B$14)*(1+('01_比较参数'!$B$7+G103)/'01_比较参数'!$B$14)*(1+('01_比较参数'!$B$8+I103/'01_比较参数'!$B$14)*('01_比较参数'!$B$12-1+('01_比较参数'!$B$9+H103)/'01_比较参数'!$B$14))*(1+('01_比较参数'!$B$10+J103/'01_比较参数'!$B$14)*('01_比较参数'!$B$13-1+('01_比较参数'!$B$11+K103)/'01_比较参数'!$B$14))*(1+L103/'01_比较参数'!$B$14)*(1+M103/'01_比较参数'!$B$14)</x:f>
        <x:v>10479.076182400002</x:v>
      </x:c>
      <x:c r="Y103" s="34" t="n">
        <x:f>X103-'01_比较参数'!$B$18</x:f>
        <x:v>496.18018239999947</x:v>
      </x:c>
      <x:c r="Z103" s="36" t="n">
        <x:f>ROUNDDOWN(D103/2,0)</x:f>
        <x:v>13</x:v>
      </x:c>
    </x:row>
    <x:row r="104" ht="30" customHeight="1">
      <x:c r="A104" s="22" t="str">
        <x:v>黄金戍卫项链</x:v>
      </x:c>
      <x:c r="B104" s="22" t="str">
        <x:v>C2制式本轮</x:v>
      </x:c>
      <x:c r="C104" s="22" t="str">
        <x:v>项链</x:v>
      </x:c>
      <x:c r="D104" s="32" t="n">
        <x:v>33</x:v>
      </x:c>
      <x:c r="E104" s="32" t="n">
        <x:v>8</x:v>
      </x:c>
      <x:c r="F104" s="32" t="n">
        <x:v>4</x:v>
      </x:c>
      <x:c r="G104" s="32" t="n">
        <x:v>3</x:v>
      </x:c>
      <x:c r="H104" s="32" t="n">
        <x:v>4</x:v>
      </x:c>
      <x:c r="I104" s="32" t="n">
        <x:v>0</x:v>
      </x:c>
      <x:c r="J104" s="32" t="n">
        <x:v>0</x:v>
      </x:c>
      <x:c r="K104" s="32" t="n">
        <x:v>0</x:v>
      </x:c>
      <x:c r="L104" s="32" t="n">
        <x:v>0</x:v>
      </x:c>
      <x:c r="M104" s="32" t="n">
        <x:v>0</x:v>
      </x:c>
      <x:c r="N104" s="32" t="n">
        <x:v>8250</x:v>
      </x:c>
      <x:c r="O104" s="32" t="n">
        <x:v>0</x:v>
      </x:c>
      <x:c r="P104" s="32" t="n">
        <x:v>0</x:v>
      </x:c>
      <x:c r="Q104" s="32" t="n">
        <x:v>0</x:v>
      </x:c>
      <x:c r="R104" s="32" t="n">
        <x:v>0</x:v>
      </x:c>
      <x:c r="S104" s="32" t="n">
        <x:v>0</x:v>
      </x:c>
      <x:c r="T104" s="32" t="n">
        <x:v>0</x:v>
      </x:c>
      <x:c r="U104" s="32" t="n">
        <x:v>0</x:v>
      </x:c>
      <x:c r="V104" s="32" t="n">
        <x:v>0</x:v>
      </x:c>
      <x:c r="W104" s="32" t="n">
        <x:v>0</x:v>
      </x:c>
      <x:c r="X104" s="34" t="n">
        <x:f>('01_比较参数'!$B$2+D104)*(1+('01_比较参数'!$B$5+E104)/'01_比较参数'!$B$14)*(1+('01_比较参数'!$B$6+F104)/'01_比较参数'!$B$14)*(1+('01_比较参数'!$B$7+G104)/'01_比较参数'!$B$14)*(1+('01_比较参数'!$B$8+I104/'01_比较参数'!$B$14)*('01_比较参数'!$B$12-1+('01_比较参数'!$B$9+H104)/'01_比较参数'!$B$14))*(1+('01_比较参数'!$B$10+J104/'01_比较参数'!$B$14)*('01_比较参数'!$B$13-1+('01_比较参数'!$B$11+K104)/'01_比较参数'!$B$14))*(1+L104/'01_比较参数'!$B$14)*(1+M104/'01_比较参数'!$B$14)</x:f>
        <x:v>11187.950558625793</x:v>
      </x:c>
      <x:c r="Y104" s="34" t="n">
        <x:f>X104-'01_比较参数'!$B$18</x:f>
        <x:v>1205.0545586257904</x:v>
      </x:c>
      <x:c r="Z104" s="36" t="n">
        <x:f>ROUNDDOWN(D104/2,0)</x:f>
        <x:v>16</x:v>
      </x:c>
    </x:row>
    <x:row r="105" ht="30" customHeight="1">
      <x:c r="A105" s="22" t="str">
        <x:v>黄金戍卫腕甲</x:v>
      </x:c>
      <x:c r="B105" s="22" t="str">
        <x:v>C2制式本轮</x:v>
      </x:c>
      <x:c r="C105" s="22" t="str">
        <x:v>手镯</x:v>
      </x:c>
      <x:c r="D105" s="32" t="n">
        <x:v>30</x:v>
      </x:c>
      <x:c r="E105" s="32" t="n">
        <x:v>7</x:v>
      </x:c>
      <x:c r="F105" s="32" t="n">
        <x:v>4</x:v>
      </x:c>
      <x:c r="G105" s="32" t="n">
        <x:v>3</x:v>
      </x:c>
      <x:c r="H105" s="32" t="n">
        <x:v>4</x:v>
      </x:c>
      <x:c r="I105" s="32" t="n">
        <x:v>0</x:v>
      </x:c>
      <x:c r="J105" s="32" t="n">
        <x:v>0</x:v>
      </x:c>
      <x:c r="K105" s="32" t="n">
        <x:v>0</x:v>
      </x:c>
      <x:c r="L105" s="32" t="n">
        <x:v>0</x:v>
      </x:c>
      <x:c r="M105" s="32" t="n">
        <x:v>0</x:v>
      </x:c>
      <x:c r="N105" s="32" t="n">
        <x:v>11000</x:v>
      </x:c>
      <x:c r="O105" s="32" t="n">
        <x:v>0</x:v>
      </x:c>
      <x:c r="P105" s="32" t="n">
        <x:v>17</x:v>
      </x:c>
      <x:c r="Q105" s="32" t="n">
        <x:v>2</x:v>
      </x:c>
      <x:c r="R105" s="32" t="n">
        <x:v>0</x:v>
      </x:c>
      <x:c r="S105" s="32" t="n">
        <x:v>0</x:v>
      </x:c>
      <x:c r="T105" s="32" t="n">
        <x:v>0</x:v>
      </x:c>
      <x:c r="U105" s="32" t="n">
        <x:v>0</x:v>
      </x:c>
      <x:c r="V105" s="32" t="n">
        <x:v>0</x:v>
      </x:c>
      <x:c r="W105" s="32" t="n">
        <x:v>0</x:v>
      </x:c>
      <x:c r="X105" s="34" t="n">
        <x:f>('01_比较参数'!$B$2+D105)*(1+('01_比较参数'!$B$5+E105)/'01_比较参数'!$B$14)*(1+('01_比较参数'!$B$6+F105)/'01_比较参数'!$B$14)*(1+('01_比较参数'!$B$7+G105)/'01_比较参数'!$B$14)*(1+('01_比较参数'!$B$8+I105/'01_比较参数'!$B$14)*('01_比较参数'!$B$12-1+('01_比较参数'!$B$9+H105)/'01_比较参数'!$B$14))*(1+('01_比较参数'!$B$10+J105/'01_比较参数'!$B$14)*('01_比较参数'!$B$13-1+('01_比较参数'!$B$11+K105)/'01_比较参数'!$B$14))*(1+L105/'01_比较参数'!$B$14)*(1+M105/'01_比较参数'!$B$14)</x:f>
        <x:v>11117.08239925248</x:v>
      </x:c>
      <x:c r="Y105" s="34" t="n">
        <x:f>X105-'01_比较参数'!$B$18</x:f>
        <x:v>1134.1863992524777</x:v>
      </x:c>
      <x:c r="Z105" s="36" t="n">
        <x:f>ROUNDDOWN(D105/2,0)</x:f>
        <x:v>15</x:v>
      </x:c>
    </x:row>
    <x:row r="106" ht="30" customHeight="1">
      <x:c r="A106" s="22" t="str">
        <x:v>黄金戍卫戒指</x:v>
      </x:c>
      <x:c r="B106" s="22" t="str">
        <x:v>C2制式本轮</x:v>
      </x:c>
      <x:c r="C106" s="22" t="str">
        <x:v>戒指</x:v>
      </x:c>
      <x:c r="D106" s="32" t="n">
        <x:v>33</x:v>
      </x:c>
      <x:c r="E106" s="32" t="n">
        <x:v>7</x:v>
      </x:c>
      <x:c r="F106" s="32" t="n">
        <x:v>4</x:v>
      </x:c>
      <x:c r="G106" s="32" t="n">
        <x:v>3</x:v>
      </x:c>
      <x:c r="H106" s="32" t="n">
        <x:v>4</x:v>
      </x:c>
      <x:c r="I106" s="32" t="n">
        <x:v>0</x:v>
      </x:c>
      <x:c r="J106" s="32" t="n">
        <x:v>0</x:v>
      </x:c>
      <x:c r="K106" s="32" t="n">
        <x:v>0</x:v>
      </x:c>
      <x:c r="L106" s="32" t="n">
        <x:v>0</x:v>
      </x:c>
      <x:c r="M106" s="32" t="n">
        <x:v>0</x:v>
      </x:c>
      <x:c r="N106" s="32" t="n">
        <x:v>11000</x:v>
      </x:c>
      <x:c r="O106" s="32" t="n">
        <x:v>0</x:v>
      </x:c>
      <x:c r="P106" s="32" t="n">
        <x:v>14</x:v>
      </x:c>
      <x:c r="Q106" s="32" t="n">
        <x:v>2</x:v>
      </x:c>
      <x:c r="R106" s="32" t="n">
        <x:v>0</x:v>
      </x:c>
      <x:c r="S106" s="32" t="n">
        <x:v>0</x:v>
      </x:c>
      <x:c r="T106" s="32" t="n">
        <x:v>0</x:v>
      </x:c>
      <x:c r="U106" s="32" t="n">
        <x:v>0</x:v>
      </x:c>
      <x:c r="V106" s="32" t="n">
        <x:v>0</x:v>
      </x:c>
      <x:c r="W106" s="32" t="n">
        <x:v>0</x:v>
      </x:c>
      <x:c r="X106" s="34" t="n">
        <x:f>('01_比较参数'!$B$2+D106)*(1+('01_比较参数'!$B$5+E106)/'01_比较参数'!$B$14)*(1+('01_比较参数'!$B$6+F106)/'01_比较参数'!$B$14)*(1+('01_比较参数'!$B$7+G106)/'01_比较参数'!$B$14)*(1+('01_比较参数'!$B$8+I106/'01_比较参数'!$B$14)*('01_比较参数'!$B$12-1+('01_比较参数'!$B$9+H106)/'01_比较参数'!$B$14))*(1+('01_比较参数'!$B$10+J106/'01_比较参数'!$B$14)*('01_比较参数'!$B$13-1+('01_比较参数'!$B$11+K106)/'01_比较参数'!$B$14))*(1+L106/'01_比较参数'!$B$14)*(1+M106/'01_比较参数'!$B$14)</x:f>
        <x:v>11138.880600035329</x:v>
      </x:c>
      <x:c r="Y106" s="34" t="n">
        <x:f>X106-'01_比较参数'!$B$18</x:f>
        <x:v>1155.9846000353264</x:v>
      </x:c>
      <x:c r="Z106" s="36" t="n">
        <x:f>ROUNDDOWN(D106/2,0)</x:f>
        <x:v>16</x:v>
      </x:c>
    </x:row>
    <x:row r="107" ht="30" customHeight="1">
      <x:c r="A107" s="22" t="str">
        <x:v>黄金戍卫腰带</x:v>
      </x:c>
      <x:c r="B107" s="22" t="str">
        <x:v>C2制式本轮</x:v>
      </x:c>
      <x:c r="C107" s="22" t="str">
        <x:v>腰带</x:v>
      </x:c>
      <x:c r="D107" s="32" t="n">
        <x:v>26</x:v>
      </x:c>
      <x:c r="E107" s="32" t="n">
        <x:v>7</x:v>
      </x:c>
      <x:c r="F107" s="32" t="n">
        <x:v>0</x:v>
      </x:c>
      <x:c r="G107" s="32" t="n">
        <x:v>0</x:v>
      </x:c>
      <x:c r="H107" s="32" t="n">
        <x:v>0</x:v>
      </x:c>
      <x:c r="I107" s="32" t="n">
        <x:v>0</x:v>
      </x:c>
      <x:c r="J107" s="32" t="n">
        <x:v>0</x:v>
      </x:c>
      <x:c r="K107" s="32" t="n">
        <x:v>0</x:v>
      </x:c>
      <x:c r="L107" s="32" t="n">
        <x:v>0</x:v>
      </x:c>
      <x:c r="M107" s="32" t="n">
        <x:v>0</x:v>
      </x:c>
      <x:c r="N107" s="32" t="n">
        <x:v>13750</x:v>
      </x:c>
      <x:c r="O107" s="32" t="n">
        <x:v>0</x:v>
      </x:c>
      <x:c r="P107" s="32" t="n">
        <x:v>25</x:v>
      </x:c>
      <x:c r="Q107" s="32" t="n">
        <x:v>4</x:v>
      </x:c>
      <x:c r="R107" s="32" t="n">
        <x:v>0</x:v>
      </x:c>
      <x:c r="S107" s="32" t="n">
        <x:v>0</x:v>
      </x:c>
      <x:c r="T107" s="32" t="n">
        <x:v>0</x:v>
      </x:c>
      <x:c r="U107" s="32" t="n">
        <x:v>0</x:v>
      </x:c>
      <x:c r="V107" s="32" t="n">
        <x:v>0</x:v>
      </x:c>
      <x:c r="W107" s="32" t="n">
        <x:v>0</x:v>
      </x:c>
      <x:c r="X107" s="34" t="n">
        <x:f>('01_比较参数'!$B$2+D107)*(1+('01_比较参数'!$B$5+E107)/'01_比较参数'!$B$14)*(1+('01_比较参数'!$B$6+F107)/'01_比较参数'!$B$14)*(1+('01_比较参数'!$B$7+G107)/'01_比较参数'!$B$14)*(1+('01_比较参数'!$B$8+I107/'01_比较参数'!$B$14)*('01_比较参数'!$B$12-1+('01_比较参数'!$B$9+H107)/'01_比较参数'!$B$14))*(1+('01_比较参数'!$B$10+J107/'01_比较参数'!$B$14)*('01_比较参数'!$B$13-1+('01_比较参数'!$B$11+K107)/'01_比较参数'!$B$14))*(1+L107/'01_比较参数'!$B$14)*(1+M107/'01_比较参数'!$B$14)</x:f>
        <x:v>10479.076182400002</x:v>
      </x:c>
      <x:c r="Y107" s="34" t="n">
        <x:f>X107-'01_比较参数'!$B$18</x:f>
        <x:v>496.18018239999947</x:v>
      </x:c>
      <x:c r="Z107" s="36" t="n">
        <x:f>ROUNDDOWN(D107/2,0)</x:f>
        <x:v>13</x:v>
      </x:c>
    </x:row>
    <x:row r="108" ht="30" customHeight="1">
      <x:c r="A108" s="22" t="str">
        <x:v>黄金戍卫战靴</x:v>
      </x:c>
      <x:c r="B108" s="22" t="str">
        <x:v>C2制式本轮</x:v>
      </x:c>
      <x:c r="C108" s="22" t="str">
        <x:v>鞋子</x:v>
      </x:c>
      <x:c r="D108" s="32" t="n">
        <x:v>26</x:v>
      </x:c>
      <x:c r="E108" s="32" t="n">
        <x:v>7</x:v>
      </x:c>
      <x:c r="F108" s="32" t="n">
        <x:v>0</x:v>
      </x:c>
      <x:c r="G108" s="32" t="n">
        <x:v>0</x:v>
      </x:c>
      <x:c r="H108" s="32" t="n">
        <x:v>0</x:v>
      </x:c>
      <x:c r="I108" s="32" t="n">
        <x:v>0</x:v>
      </x:c>
      <x:c r="J108" s="32" t="n">
        <x:v>0</x:v>
      </x:c>
      <x:c r="K108" s="32" t="n">
        <x:v>0</x:v>
      </x:c>
      <x:c r="L108" s="32" t="n">
        <x:v>0</x:v>
      </x:c>
      <x:c r="M108" s="32" t="n">
        <x:v>0</x:v>
      </x:c>
      <x:c r="N108" s="32" t="n">
        <x:v>13750</x:v>
      </x:c>
      <x:c r="O108" s="32" t="n">
        <x:v>0</x:v>
      </x:c>
      <x:c r="P108" s="32" t="n">
        <x:v>25</x:v>
      </x:c>
      <x:c r="Q108" s="32" t="n">
        <x:v>3</x:v>
      </x:c>
      <x:c r="R108" s="32" t="n">
        <x:v>0</x:v>
      </x:c>
      <x:c r="S108" s="32" t="n">
        <x:v>0</x:v>
      </x:c>
      <x:c r="T108" s="32" t="n">
        <x:v>0</x:v>
      </x:c>
      <x:c r="U108" s="32" t="n">
        <x:v>0</x:v>
      </x:c>
      <x:c r="V108" s="32" t="n">
        <x:v>0</x:v>
      </x:c>
      <x:c r="W108" s="32" t="n">
        <x:v>0</x:v>
      </x:c>
      <x:c r="X108" s="34" t="n">
        <x:f>('01_比较参数'!$B$2+D108)*(1+('01_比较参数'!$B$5+E108)/'01_比较参数'!$B$14)*(1+('01_比较参数'!$B$6+F108)/'01_比较参数'!$B$14)*(1+('01_比较参数'!$B$7+G108)/'01_比较参数'!$B$14)*(1+('01_比较参数'!$B$8+I108/'01_比较参数'!$B$14)*('01_比较参数'!$B$12-1+('01_比较参数'!$B$9+H108)/'01_比较参数'!$B$14))*(1+('01_比较参数'!$B$10+J108/'01_比较参数'!$B$14)*('01_比较参数'!$B$13-1+('01_比较参数'!$B$11+K108)/'01_比较参数'!$B$14))*(1+L108/'01_比较参数'!$B$14)*(1+M108/'01_比较参数'!$B$14)</x:f>
        <x:v>10479.076182400002</x:v>
      </x:c>
      <x:c r="Y108" s="34" t="n">
        <x:f>X108-'01_比较参数'!$B$18</x:f>
        <x:v>496.18018239999947</x:v>
      </x:c>
      <x:c r="Z108" s="36" t="n">
        <x:f>ROUNDDOWN(D108/2,0)</x:f>
        <x:v>13</x:v>
      </x:c>
    </x:row>
    <x:row r="109" ht="30" customHeight="1">
      <x:c r="A109" s="22" t="str">
        <x:v>圣树先锋刃</x:v>
      </x:c>
      <x:c r="B109" s="22" t="str">
        <x:v>C2制式本轮</x:v>
      </x:c>
      <x:c r="C109" s="22" t="str">
        <x:v>武器</x:v>
      </x:c>
      <x:c r="D109" s="32" t="n">
        <x:v>325</x:v>
      </x:c>
      <x:c r="E109" s="32" t="n">
        <x:v>25</x:v>
      </x:c>
      <x:c r="F109" s="32" t="n">
        <x:v>13</x:v>
      </x:c>
      <x:c r="G109" s="32" t="n">
        <x:v>5</x:v>
      </x:c>
      <x:c r="H109" s="32" t="n">
        <x:v>8</x:v>
      </x:c>
      <x:c r="I109" s="32" t="n">
        <x:v>0</x:v>
      </x:c>
      <x:c r="J109" s="32" t="n">
        <x:v>0</x:v>
      </x:c>
      <x:c r="K109" s="32" t="n">
        <x:v>0</x:v>
      </x:c>
      <x:c r="L109" s="32" t="n">
        <x:v>0</x:v>
      </x:c>
      <x:c r="M109" s="32" t="n">
        <x:v>0</x:v>
      </x:c>
      <x:c r="N109" s="32" t="n">
        <x:v>1</x:v>
      </x:c>
      <x:c r="O109" s="32" t="n">
        <x:v>0</x:v>
      </x:c>
      <x:c r="P109" s="32" t="n">
        <x:v>0</x:v>
      </x:c>
      <x:c r="Q109" s="32" t="n">
        <x:v>0</x:v>
      </x:c>
      <x:c r="R109" s="32" t="n">
        <x:v>0</x:v>
      </x:c>
      <x:c r="S109" s="32" t="n">
        <x:v>0</x:v>
      </x:c>
      <x:c r="T109" s="32" t="n">
        <x:v>10</x:v>
      </x:c>
      <x:c r="U109" s="32" t="n">
        <x:v>0</x:v>
      </x:c>
      <x:c r="V109" s="32" t="n">
        <x:v>0</x:v>
      </x:c>
      <x:c r="W109" s="32" t="n">
        <x:v>0</x:v>
      </x:c>
      <x:c r="X109" s="34" t="n">
        <x:f>('01_比较参数'!$B$2+D109)*(1+('01_比较参数'!$B$5+E109)/'01_比较参数'!$B$14)*(1+('01_比较参数'!$B$6+F109)/'01_比较参数'!$B$14)*(1+('01_比较参数'!$B$7+G109)/'01_比较参数'!$B$14)*(1+('01_比较参数'!$B$8+I109/'01_比较参数'!$B$14)*('01_比较参数'!$B$12-1+('01_比较参数'!$B$9+H109)/'01_比较参数'!$B$14))*(1+('01_比较参数'!$B$10+J109/'01_比较参数'!$B$14)*('01_比较参数'!$B$13-1+('01_比较参数'!$B$11+K109)/'01_比较参数'!$B$14))*(1+L109/'01_比较参数'!$B$14)*(1+M109/'01_比较参数'!$B$14)</x:f>
        <x:v>15456.71291528</x:v>
      </x:c>
      <x:c r="Y109" s="34" t="n">
        <x:f>X109-'01_比较参数'!$B$18</x:f>
        <x:v>5473.816915279998</x:v>
      </x:c>
      <x:c r="Z109" s="36" t="n">
        <x:f>ROUNDDOWN(D109/2,0)</x:f>
        <x:v>162</x:v>
      </x:c>
    </x:row>
    <x:row r="110" ht="30" customHeight="1">
      <x:c r="A110" s="22" t="str">
        <x:v>圣树先锋战甲</x:v>
      </x:c>
      <x:c r="B110" s="22" t="str">
        <x:v>C2制式本轮</x:v>
      </x:c>
      <x:c r="C110" s="22" t="str">
        <x:v>衣服</x:v>
      </x:c>
      <x:c r="D110" s="32" t="n">
        <x:v>39</x:v>
      </x:c>
      <x:c r="E110" s="32" t="n">
        <x:v>7</x:v>
      </x:c>
      <x:c r="F110" s="32" t="n">
        <x:v>0</x:v>
      </x:c>
      <x:c r="G110" s="32" t="n">
        <x:v>0</x:v>
      </x:c>
      <x:c r="H110" s="32" t="n">
        <x:v>0</x:v>
      </x:c>
      <x:c r="I110" s="32" t="n">
        <x:v>0</x:v>
      </x:c>
      <x:c r="J110" s="32" t="n">
        <x:v>0</x:v>
      </x:c>
      <x:c r="K110" s="32" t="n">
        <x:v>0</x:v>
      </x:c>
      <x:c r="L110" s="32" t="n">
        <x:v>0</x:v>
      </x:c>
      <x:c r="M110" s="32" t="n">
        <x:v>0</x:v>
      </x:c>
      <x:c r="N110" s="32" t="n">
        <x:v>60000</x:v>
      </x:c>
      <x:c r="O110" s="32" t="n">
        <x:v>2</x:v>
      </x:c>
      <x:c r="P110" s="32" t="n">
        <x:v>48</x:v>
      </x:c>
      <x:c r="Q110" s="32" t="n">
        <x:v>8</x:v>
      </x:c>
      <x:c r="R110" s="32" t="n">
        <x:v>0</x:v>
      </x:c>
      <x:c r="S110" s="32" t="n">
        <x:v>0</x:v>
      </x:c>
      <x:c r="T110" s="32" t="n">
        <x:v>0</x:v>
      </x:c>
      <x:c r="U110" s="32" t="n">
        <x:v>0</x:v>
      </x:c>
      <x:c r="V110" s="32" t="n">
        <x:v>0</x:v>
      </x:c>
      <x:c r="W110" s="32" t="n">
        <x:v>0</x:v>
      </x:c>
      <x:c r="X110" s="34" t="n">
        <x:f>('01_比较参数'!$B$2+D110)*(1+('01_比较参数'!$B$5+E110)/'01_比较参数'!$B$14)*(1+('01_比较参数'!$B$6+F110)/'01_比较参数'!$B$14)*(1+('01_比较参数'!$B$7+G110)/'01_比较参数'!$B$14)*(1+('01_比较参数'!$B$8+I110/'01_比较参数'!$B$14)*('01_比较参数'!$B$12-1+('01_比较参数'!$B$9+H110)/'01_比较参数'!$B$14))*(1+('01_比较参数'!$B$10+J110/'01_比较参数'!$B$14)*('01_比较参数'!$B$13-1+('01_比较参数'!$B$11+K110)/'01_比较参数'!$B$14))*(1+L110/'01_比较参数'!$B$14)*(1+M110/'01_比较参数'!$B$14)</x:f>
        <x:v>10568.347473600003</x:v>
      </x:c>
      <x:c r="Y110" s="34" t="n">
        <x:f>X110-'01_比较参数'!$B$18</x:f>
        <x:v>585.4514736000001</x:v>
      </x:c>
      <x:c r="Z110" s="36" t="n">
        <x:f>ROUNDDOWN(D110/2,0)</x:f>
        <x:v>19</x:v>
      </x:c>
    </x:row>
    <x:row r="111" ht="30" customHeight="1">
      <x:c r="A111" s="22" t="str">
        <x:v>圣树先锋战盔</x:v>
      </x:c>
      <x:c r="B111" s="22" t="str">
        <x:v>C2制式本轮</x:v>
      </x:c>
      <x:c r="C111" s="22" t="str">
        <x:v>头盔</x:v>
      </x:c>
      <x:c r="D111" s="32" t="n">
        <x:v>28</x:v>
      </x:c>
      <x:c r="E111" s="32" t="n">
        <x:v>7</x:v>
      </x:c>
      <x:c r="F111" s="32" t="n">
        <x:v>0</x:v>
      </x:c>
      <x:c r="G111" s="32" t="n">
        <x:v>0</x:v>
      </x:c>
      <x:c r="H111" s="32" t="n">
        <x:v>0</x:v>
      </x:c>
      <x:c r="I111" s="32" t="n">
        <x:v>0</x:v>
      </x:c>
      <x:c r="J111" s="32" t="n">
        <x:v>0</x:v>
      </x:c>
      <x:c r="K111" s="32" t="n">
        <x:v>0</x:v>
      </x:c>
      <x:c r="L111" s="32" t="n">
        <x:v>0</x:v>
      </x:c>
      <x:c r="M111" s="32" t="n">
        <x:v>0</x:v>
      </x:c>
      <x:c r="N111" s="32" t="n">
        <x:v>15000</x:v>
      </x:c>
      <x:c r="O111" s="32" t="n">
        <x:v>0</x:v>
      </x:c>
      <x:c r="P111" s="32" t="n">
        <x:v>25</x:v>
      </x:c>
      <x:c r="Q111" s="32" t="n">
        <x:v>4</x:v>
      </x:c>
      <x:c r="R111" s="32" t="n">
        <x:v>0</x:v>
      </x:c>
      <x:c r="S111" s="32" t="n">
        <x:v>0</x:v>
      </x:c>
      <x:c r="T111" s="32" t="n">
        <x:v>0</x:v>
      </x:c>
      <x:c r="U111" s="32" t="n">
        <x:v>0</x:v>
      </x:c>
      <x:c r="V111" s="32" t="n">
        <x:v>0</x:v>
      </x:c>
      <x:c r="W111" s="32" t="n">
        <x:v>0</x:v>
      </x:c>
      <x:c r="X111" s="34" t="n">
        <x:f>('01_比较参数'!$B$2+D111)*(1+('01_比较参数'!$B$5+E111)/'01_比较参数'!$B$14)*(1+('01_比较参数'!$B$6+F111)/'01_比较参数'!$B$14)*(1+('01_比较参数'!$B$7+G111)/'01_比较参数'!$B$14)*(1+('01_比较参数'!$B$8+I111/'01_比较参数'!$B$14)*('01_比较参数'!$B$12-1+('01_比较参数'!$B$9+H111)/'01_比较参数'!$B$14))*(1+('01_比较参数'!$B$10+J111/'01_比较参数'!$B$14)*('01_比较参数'!$B$13-1+('01_比较参数'!$B$11+K111)/'01_比较参数'!$B$14))*(1+L111/'01_比较参数'!$B$14)*(1+M111/'01_比较参数'!$B$14)</x:f>
        <x:v>10492.8102272</x:v>
      </x:c>
      <x:c r="Y111" s="34" t="n">
        <x:f>X111-'01_比较参数'!$B$18</x:f>
        <x:v>509.9142271999972</x:v>
      </x:c>
      <x:c r="Z111" s="36" t="n">
        <x:f>ROUNDDOWN(D111/2,0)</x:f>
        <x:v>14</x:v>
      </x:c>
    </x:row>
    <x:row r="112" ht="30" customHeight="1">
      <x:c r="A112" s="22" t="str">
        <x:v>圣树先锋项链</x:v>
      </x:c>
      <x:c r="B112" s="22" t="str">
        <x:v>C2制式本轮</x:v>
      </x:c>
      <x:c r="C112" s="22" t="str">
        <x:v>项链</x:v>
      </x:c>
      <x:c r="D112" s="32" t="n">
        <x:v>36</x:v>
      </x:c>
      <x:c r="E112" s="32" t="n">
        <x:v>8</x:v>
      </x:c>
      <x:c r="F112" s="32" t="n">
        <x:v>4</x:v>
      </x:c>
      <x:c r="G112" s="32" t="n">
        <x:v>3</x:v>
      </x:c>
      <x:c r="H112" s="32" t="n">
        <x:v>4</x:v>
      </x:c>
      <x:c r="I112" s="32" t="n">
        <x:v>0</x:v>
      </x:c>
      <x:c r="J112" s="32" t="n">
        <x:v>0</x:v>
      </x:c>
      <x:c r="K112" s="32" t="n">
        <x:v>0</x:v>
      </x:c>
      <x:c r="L112" s="32" t="n">
        <x:v>0</x:v>
      </x:c>
      <x:c r="M112" s="32" t="n">
        <x:v>0</x:v>
      </x:c>
      <x:c r="N112" s="32" t="n">
        <x:v>9000</x:v>
      </x:c>
      <x:c r="O112" s="32" t="n">
        <x:v>0</x:v>
      </x:c>
      <x:c r="P112" s="32" t="n">
        <x:v>0</x:v>
      </x:c>
      <x:c r="Q112" s="32" t="n">
        <x:v>0</x:v>
      </x:c>
      <x:c r="R112" s="32" t="n">
        <x:v>0</x:v>
      </x:c>
      <x:c r="S112" s="32" t="n">
        <x:v>0</x:v>
      </x:c>
      <x:c r="T112" s="32" t="n">
        <x:v>0</x:v>
      </x:c>
      <x:c r="U112" s="32" t="n">
        <x:v>0</x:v>
      </x:c>
      <x:c r="V112" s="32" t="n">
        <x:v>0</x:v>
      </x:c>
      <x:c r="W112" s="32" t="n">
        <x:v>0</x:v>
      </x:c>
      <x:c r="X112" s="34" t="n">
        <x:f>('01_比较参数'!$B$2+D112)*(1+('01_比较参数'!$B$5+E112)/'01_比较参数'!$B$14)*(1+('01_比较参数'!$B$6+F112)/'01_比较参数'!$B$14)*(1+('01_比较参数'!$B$7+G112)/'01_比较参数'!$B$14)*(1+('01_比较参数'!$B$8+I112/'01_比较参数'!$B$14)*('01_比较参数'!$B$12-1+('01_比较参数'!$B$9+H112)/'01_比较参数'!$B$14))*(1+('01_比较参数'!$B$10+J112/'01_比较参数'!$B$14)*('01_比较参数'!$B$13-1+('01_比较参数'!$B$11+K112)/'01_比较参数'!$B$14))*(1+L112/'01_比较参数'!$B$14)*(1+M112/'01_比较参数'!$B$14)</x:f>
        <x:v>11209.844786724867</x:v>
      </x:c>
      <x:c r="Y112" s="34" t="n">
        <x:f>X112-'01_比较参数'!$B$18</x:f>
        <x:v>1226.9487867248645</x:v>
      </x:c>
      <x:c r="Z112" s="36" t="n">
        <x:f>ROUNDDOWN(D112/2,0)</x:f>
        <x:v>18</x:v>
      </x:c>
    </x:row>
    <x:row r="113" ht="30" customHeight="1">
      <x:c r="A113" s="22" t="str">
        <x:v>圣树先锋腕甲</x:v>
      </x:c>
      <x:c r="B113" s="22" t="str">
        <x:v>C2制式本轮</x:v>
      </x:c>
      <x:c r="C113" s="22" t="str">
        <x:v>手镯</x:v>
      </x:c>
      <x:c r="D113" s="32" t="n">
        <x:v>32</x:v>
      </x:c>
      <x:c r="E113" s="32" t="n">
        <x:v>7</x:v>
      </x:c>
      <x:c r="F113" s="32" t="n">
        <x:v>4</x:v>
      </x:c>
      <x:c r="G113" s="32" t="n">
        <x:v>3</x:v>
      </x:c>
      <x:c r="H113" s="32" t="n">
        <x:v>4</x:v>
      </x:c>
      <x:c r="I113" s="32" t="n">
        <x:v>0</x:v>
      </x:c>
      <x:c r="J113" s="32" t="n">
        <x:v>0</x:v>
      </x:c>
      <x:c r="K113" s="32" t="n">
        <x:v>0</x:v>
      </x:c>
      <x:c r="L113" s="32" t="n">
        <x:v>0</x:v>
      </x:c>
      <x:c r="M113" s="32" t="n">
        <x:v>0</x:v>
      </x:c>
      <x:c r="N113" s="32" t="n">
        <x:v>12000</x:v>
      </x:c>
      <x:c r="O113" s="32" t="n">
        <x:v>0</x:v>
      </x:c>
      <x:c r="P113" s="32" t="n">
        <x:v>18</x:v>
      </x:c>
      <x:c r="Q113" s="32" t="n">
        <x:v>2</x:v>
      </x:c>
      <x:c r="R113" s="32" t="n">
        <x:v>0</x:v>
      </x:c>
      <x:c r="S113" s="32" t="n">
        <x:v>0</x:v>
      </x:c>
      <x:c r="T113" s="32" t="n">
        <x:v>0</x:v>
      </x:c>
      <x:c r="U113" s="32" t="n">
        <x:v>0</x:v>
      </x:c>
      <x:c r="V113" s="32" t="n">
        <x:v>0</x:v>
      </x:c>
      <x:c r="W113" s="32" t="n">
        <x:v>0</x:v>
      </x:c>
      <x:c r="X113" s="34" t="n">
        <x:f>('01_比较参数'!$B$2+D113)*(1+('01_比较参数'!$B$5+E113)/'01_比较参数'!$B$14)*(1+('01_比较参数'!$B$6+F113)/'01_比较参数'!$B$14)*(1+('01_比较参数'!$B$7+G113)/'01_比较参数'!$B$14)*(1+('01_比较参数'!$B$8+I113/'01_比较参数'!$B$14)*('01_比较参数'!$B$12-1+('01_比较参数'!$B$9+H113)/'01_比较参数'!$B$14))*(1+('01_比较参数'!$B$10+J113/'01_比较参数'!$B$14)*('01_比较参数'!$B$13-1+('01_比较参数'!$B$11+K113)/'01_比较参数'!$B$14))*(1+L113/'01_比较参数'!$B$14)*(1+M113/'01_比较参数'!$B$14)</x:f>
        <x:v>11131.614533107711</x:v>
      </x:c>
      <x:c r="Y113" s="34" t="n">
        <x:f>X113-'01_比较参数'!$B$18</x:f>
        <x:v>1148.718533107709</x:v>
      </x:c>
      <x:c r="Z113" s="36" t="n">
        <x:f>ROUNDDOWN(D113/2,0)</x:f>
        <x:v>16</x:v>
      </x:c>
    </x:row>
    <x:row r="114" ht="30" customHeight="1">
      <x:c r="A114" s="22" t="str">
        <x:v>圣树先锋戒指</x:v>
      </x:c>
      <x:c r="B114" s="22" t="str">
        <x:v>C2制式本轮</x:v>
      </x:c>
      <x:c r="C114" s="22" t="str">
        <x:v>戒指</x:v>
      </x:c>
      <x:c r="D114" s="32" t="n">
        <x:v>36</x:v>
      </x:c>
      <x:c r="E114" s="32" t="n">
        <x:v>7</x:v>
      </x:c>
      <x:c r="F114" s="32" t="n">
        <x:v>4</x:v>
      </x:c>
      <x:c r="G114" s="32" t="n">
        <x:v>3</x:v>
      </x:c>
      <x:c r="H114" s="32" t="n">
        <x:v>4</x:v>
      </x:c>
      <x:c r="I114" s="32" t="n">
        <x:v>0</x:v>
      </x:c>
      <x:c r="J114" s="32" t="n">
        <x:v>0</x:v>
      </x:c>
      <x:c r="K114" s="32" t="n">
        <x:v>0</x:v>
      </x:c>
      <x:c r="L114" s="32" t="n">
        <x:v>0</x:v>
      </x:c>
      <x:c r="M114" s="32" t="n">
        <x:v>0</x:v>
      </x:c>
      <x:c r="N114" s="32" t="n">
        <x:v>12000</x:v>
      </x:c>
      <x:c r="O114" s="32" t="n">
        <x:v>0</x:v>
      </x:c>
      <x:c r="P114" s="32" t="n">
        <x:v>15</x:v>
      </x:c>
      <x:c r="Q114" s="32" t="n">
        <x:v>2</x:v>
      </x:c>
      <x:c r="R114" s="32" t="n">
        <x:v>0</x:v>
      </x:c>
      <x:c r="S114" s="32" t="n">
        <x:v>0</x:v>
      </x:c>
      <x:c r="T114" s="32" t="n">
        <x:v>0</x:v>
      </x:c>
      <x:c r="U114" s="32" t="n">
        <x:v>0</x:v>
      </x:c>
      <x:c r="V114" s="32" t="n">
        <x:v>0</x:v>
      </x:c>
      <x:c r="W114" s="32" t="n">
        <x:v>0</x:v>
      </x:c>
      <x:c r="X114" s="34" t="n">
        <x:f>('01_比较参数'!$B$2+D114)*(1+('01_比较参数'!$B$5+E114)/'01_比较参数'!$B$14)*(1+('01_比较参数'!$B$6+F114)/'01_比较参数'!$B$14)*(1+('01_比较参数'!$B$7+G114)/'01_比较参数'!$B$14)*(1+('01_比较参数'!$B$8+I114/'01_比较参数'!$B$14)*('01_比较参数'!$B$12-1+('01_比较参数'!$B$9+H114)/'01_比较参数'!$B$14))*(1+('01_比较参数'!$B$10+J114/'01_比较参数'!$B$14)*('01_比较参数'!$B$13-1+('01_比较参数'!$B$11+K114)/'01_比较参数'!$B$14))*(1+L114/'01_比较参数'!$B$14)*(1+M114/'01_比较参数'!$B$14)</x:f>
        <x:v>11160.678800818177</x:v>
      </x:c>
      <x:c r="Y114" s="34" t="n">
        <x:f>X114-'01_比较参数'!$B$18</x:f>
        <x:v>1177.782800818175</x:v>
      </x:c>
      <x:c r="Z114" s="36" t="n">
        <x:f>ROUNDDOWN(D114/2,0)</x:f>
        <x:v>18</x:v>
      </x:c>
    </x:row>
    <x:row r="115" ht="30" customHeight="1">
      <x:c r="A115" s="22" t="str">
        <x:v>圣树先锋腰带</x:v>
      </x:c>
      <x:c r="B115" s="22" t="str">
        <x:v>C2制式本轮</x:v>
      </x:c>
      <x:c r="C115" s="22" t="str">
        <x:v>腰带</x:v>
      </x:c>
      <x:c r="D115" s="32" t="n">
        <x:v>28</x:v>
      </x:c>
      <x:c r="E115" s="32" t="n">
        <x:v>7</x:v>
      </x:c>
      <x:c r="F115" s="32" t="n">
        <x:v>0</x:v>
      </x:c>
      <x:c r="G115" s="32" t="n">
        <x:v>0</x:v>
      </x:c>
      <x:c r="H115" s="32" t="n">
        <x:v>0</x:v>
      </x:c>
      <x:c r="I115" s="32" t="n">
        <x:v>0</x:v>
      </x:c>
      <x:c r="J115" s="32" t="n">
        <x:v>0</x:v>
      </x:c>
      <x:c r="K115" s="32" t="n">
        <x:v>0</x:v>
      </x:c>
      <x:c r="L115" s="32" t="n">
        <x:v>0</x:v>
      </x:c>
      <x:c r="M115" s="32" t="n">
        <x:v>0</x:v>
      </x:c>
      <x:c r="N115" s="32" t="n">
        <x:v>15000</x:v>
      </x:c>
      <x:c r="O115" s="32" t="n">
        <x:v>0</x:v>
      </x:c>
      <x:c r="P115" s="32" t="n">
        <x:v>27</x:v>
      </x:c>
      <x:c r="Q115" s="32" t="n">
        <x:v>4</x:v>
      </x:c>
      <x:c r="R115" s="32" t="n">
        <x:v>0</x:v>
      </x:c>
      <x:c r="S115" s="32" t="n">
        <x:v>0</x:v>
      </x:c>
      <x:c r="T115" s="32" t="n">
        <x:v>0</x:v>
      </x:c>
      <x:c r="U115" s="32" t="n">
        <x:v>0</x:v>
      </x:c>
      <x:c r="V115" s="32" t="n">
        <x:v>0</x:v>
      </x:c>
      <x:c r="W115" s="32" t="n">
        <x:v>0</x:v>
      </x:c>
      <x:c r="X115" s="34" t="n">
        <x:f>('01_比较参数'!$B$2+D115)*(1+('01_比较参数'!$B$5+E115)/'01_比较参数'!$B$14)*(1+('01_比较参数'!$B$6+F115)/'01_比较参数'!$B$14)*(1+('01_比较参数'!$B$7+G115)/'01_比较参数'!$B$14)*(1+('01_比较参数'!$B$8+I115/'01_比较参数'!$B$14)*('01_比较参数'!$B$12-1+('01_比较参数'!$B$9+H115)/'01_比较参数'!$B$14))*(1+('01_比较参数'!$B$10+J115/'01_比较参数'!$B$14)*('01_比较参数'!$B$13-1+('01_比较参数'!$B$11+K115)/'01_比较参数'!$B$14))*(1+L115/'01_比较参数'!$B$14)*(1+M115/'01_比较参数'!$B$14)</x:f>
        <x:v>10492.8102272</x:v>
      </x:c>
      <x:c r="Y115" s="34" t="n">
        <x:f>X115-'01_比较参数'!$B$18</x:f>
        <x:v>509.9142271999972</x:v>
      </x:c>
      <x:c r="Z115" s="36" t="n">
        <x:f>ROUNDDOWN(D115/2,0)</x:f>
        <x:v>14</x:v>
      </x:c>
    </x:row>
    <x:row r="116" ht="30" customHeight="1">
      <x:c r="A116" s="22" t="str">
        <x:v>圣树先锋战靴</x:v>
      </x:c>
      <x:c r="B116" s="22" t="str">
        <x:v>C2制式本轮</x:v>
      </x:c>
      <x:c r="C116" s="22" t="str">
        <x:v>鞋子</x:v>
      </x:c>
      <x:c r="D116" s="32" t="n">
        <x:v>28</x:v>
      </x:c>
      <x:c r="E116" s="32" t="n">
        <x:v>7</x:v>
      </x:c>
      <x:c r="F116" s="32" t="n">
        <x:v>0</x:v>
      </x:c>
      <x:c r="G116" s="32" t="n">
        <x:v>0</x:v>
      </x:c>
      <x:c r="H116" s="32" t="n">
        <x:v>0</x:v>
      </x:c>
      <x:c r="I116" s="32" t="n">
        <x:v>0</x:v>
      </x:c>
      <x:c r="J116" s="32" t="n">
        <x:v>0</x:v>
      </x:c>
      <x:c r="K116" s="32" t="n">
        <x:v>0</x:v>
      </x:c>
      <x:c r="L116" s="32" t="n">
        <x:v>0</x:v>
      </x:c>
      <x:c r="M116" s="32" t="n">
        <x:v>0</x:v>
      </x:c>
      <x:c r="N116" s="32" t="n">
        <x:v>15000</x:v>
      </x:c>
      <x:c r="O116" s="32" t="n">
        <x:v>0</x:v>
      </x:c>
      <x:c r="P116" s="32" t="n">
        <x:v>27</x:v>
      </x:c>
      <x:c r="Q116" s="32" t="n">
        <x:v>3</x:v>
      </x:c>
      <x:c r="R116" s="32" t="n">
        <x:v>0</x:v>
      </x:c>
      <x:c r="S116" s="32" t="n">
        <x:v>0</x:v>
      </x:c>
      <x:c r="T116" s="32" t="n">
        <x:v>0</x:v>
      </x:c>
      <x:c r="U116" s="32" t="n">
        <x:v>0</x:v>
      </x:c>
      <x:c r="V116" s="32" t="n">
        <x:v>0</x:v>
      </x:c>
      <x:c r="W116" s="32" t="n">
        <x:v>0</x:v>
      </x:c>
      <x:c r="X116" s="34" t="n">
        <x:f>('01_比较参数'!$B$2+D116)*(1+('01_比较参数'!$B$5+E116)/'01_比较参数'!$B$14)*(1+('01_比较参数'!$B$6+F116)/'01_比较参数'!$B$14)*(1+('01_比较参数'!$B$7+G116)/'01_比较参数'!$B$14)*(1+('01_比较参数'!$B$8+I116/'01_比较参数'!$B$14)*('01_比较参数'!$B$12-1+('01_比较参数'!$B$9+H116)/'01_比较参数'!$B$14))*(1+('01_比较参数'!$B$10+J116/'01_比较参数'!$B$14)*('01_比较参数'!$B$13-1+('01_比较参数'!$B$11+K116)/'01_比较参数'!$B$14))*(1+L116/'01_比较参数'!$B$14)*(1+M116/'01_比较参数'!$B$14)</x:f>
        <x:v>10492.8102272</x:v>
      </x:c>
      <x:c r="Y116" s="34" t="n">
        <x:f>X116-'01_比较参数'!$B$18</x:f>
        <x:v>509.9142271999972</x:v>
      </x:c>
      <x:c r="Z116" s="36" t="n">
        <x:f>ROUNDDOWN(D116/2,0)</x:f>
        <x:v>14</x:v>
      </x:c>
    </x:row>
    <x:row r="117" ht="30" customHeight="1">
      <x:c r="A117" s="22" t="str">
        <x:v>卢恩骑士剑</x:v>
      </x:c>
      <x:c r="B117" s="22" t="str">
        <x:v>C2制式本轮</x:v>
      </x:c>
      <x:c r="C117" s="22" t="str">
        <x:v>武器</x:v>
      </x:c>
      <x:c r="D117" s="32" t="n">
        <x:v>350</x:v>
      </x:c>
      <x:c r="E117" s="32" t="n">
        <x:v>27</x:v>
      </x:c>
      <x:c r="F117" s="32" t="n">
        <x:v>14</x:v>
      </x:c>
      <x:c r="G117" s="32" t="n">
        <x:v>6</x:v>
      </x:c>
      <x:c r="H117" s="32" t="n">
        <x:v>9</x:v>
      </x:c>
      <x:c r="I117" s="32" t="n">
        <x:v>0</x:v>
      </x:c>
      <x:c r="J117" s="32" t="n">
        <x:v>0</x:v>
      </x:c>
      <x:c r="K117" s="32" t="n">
        <x:v>0</x:v>
      </x:c>
      <x:c r="L117" s="32" t="n">
        <x:v>0</x:v>
      </x:c>
      <x:c r="M117" s="32" t="n">
        <x:v>0</x:v>
      </x:c>
      <x:c r="N117" s="32" t="n">
        <x:v>1</x:v>
      </x:c>
      <x:c r="O117" s="32" t="n">
        <x:v>0</x:v>
      </x:c>
      <x:c r="P117" s="32" t="n">
        <x:v>0</x:v>
      </x:c>
      <x:c r="Q117" s="32" t="n">
        <x:v>0</x:v>
      </x:c>
      <x:c r="R117" s="32" t="n">
        <x:v>0</x:v>
      </x:c>
      <x:c r="S117" s="32" t="n">
        <x:v>0</x:v>
      </x:c>
      <x:c r="T117" s="32" t="n">
        <x:v>10</x:v>
      </x:c>
      <x:c r="U117" s="32" t="n">
        <x:v>0</x:v>
      </x:c>
      <x:c r="V117" s="32" t="n">
        <x:v>0</x:v>
      </x:c>
      <x:c r="W117" s="32" t="n">
        <x:v>0</x:v>
      </x:c>
      <x:c r="X117" s="34" t="n">
        <x:f>('01_比较参数'!$B$2+D117)*(1+('01_比较参数'!$B$5+E117)/'01_比较参数'!$B$14)*(1+('01_比较参数'!$B$6+F117)/'01_比较参数'!$B$14)*(1+('01_比较参数'!$B$7+G117)/'01_比较参数'!$B$14)*(1+('01_比较参数'!$B$8+I117/'01_比较参数'!$B$14)*('01_比较参数'!$B$12-1+('01_比较参数'!$B$9+H117)/'01_比较参数'!$B$14))*(1+('01_比较参数'!$B$10+J117/'01_比较参数'!$B$14)*('01_比较参数'!$B$13-1+('01_比较参数'!$B$11+K117)/'01_比较参数'!$B$14))*(1+L117/'01_比较参数'!$B$14)*(1+M117/'01_比较参数'!$B$14)</x:f>
        <x:v>16041.8102026182</x:v>
      </x:c>
      <x:c r="Y117" s="34" t="n">
        <x:f>X117-'01_比较参数'!$B$18</x:f>
        <x:v>6058.914202618198</x:v>
      </x:c>
      <x:c r="Z117" s="36" t="n">
        <x:f>ROUNDDOWN(D117/2,0)</x:f>
        <x:v>175</x:v>
      </x:c>
    </x:row>
    <x:row r="118" ht="30" customHeight="1">
      <x:c r="A118" s="22" t="str">
        <x:v>卢恩骑士战甲</x:v>
      </x:c>
      <x:c r="B118" s="22" t="str">
        <x:v>C2制式本轮</x:v>
      </x:c>
      <x:c r="C118" s="22" t="str">
        <x:v>衣服</x:v>
      </x:c>
      <x:c r="D118" s="32" t="n">
        <x:v>42</x:v>
      </x:c>
      <x:c r="E118" s="32" t="n">
        <x:v>8</x:v>
      </x:c>
      <x:c r="F118" s="32" t="n">
        <x:v>0</x:v>
      </x:c>
      <x:c r="G118" s="32" t="n">
        <x:v>0</x:v>
      </x:c>
      <x:c r="H118" s="32" t="n">
        <x:v>0</x:v>
      </x:c>
      <x:c r="I118" s="32" t="n">
        <x:v>0</x:v>
      </x:c>
      <x:c r="J118" s="32" t="n">
        <x:v>0</x:v>
      </x:c>
      <x:c r="K118" s="32" t="n">
        <x:v>0</x:v>
      </x:c>
      <x:c r="L118" s="32" t="n">
        <x:v>0</x:v>
      </x:c>
      <x:c r="M118" s="32" t="n">
        <x:v>0</x:v>
      </x:c>
      <x:c r="N118" s="32" t="n">
        <x:v>65000</x:v>
      </x:c>
      <x:c r="O118" s="32" t="n">
        <x:v>2</x:v>
      </x:c>
      <x:c r="P118" s="32" t="n">
        <x:v>52</x:v>
      </x:c>
      <x:c r="Q118" s="32" t="n">
        <x:v>8</x:v>
      </x:c>
      <x:c r="R118" s="32" t="n">
        <x:v>0</x:v>
      </x:c>
      <x:c r="S118" s="32" t="n">
        <x:v>0</x:v>
      </x:c>
      <x:c r="T118" s="32" t="n">
        <x:v>0</x:v>
      </x:c>
      <x:c r="U118" s="32" t="n">
        <x:v>0</x:v>
      </x:c>
      <x:c r="V118" s="32" t="n">
        <x:v>0</x:v>
      </x:c>
      <x:c r="W118" s="32" t="n">
        <x:v>0</x:v>
      </x:c>
      <x:c r="X118" s="34" t="n">
        <x:f>('01_比较参数'!$B$2+D118)*(1+('01_比较参数'!$B$5+E118)/'01_比较参数'!$B$14)*(1+('01_比较参数'!$B$6+F118)/'01_比较参数'!$B$14)*(1+('01_比较参数'!$B$7+G118)/'01_比较参数'!$B$14)*(1+('01_比较参数'!$B$8+I118/'01_比较参数'!$B$14)*('01_比较参数'!$B$12-1+('01_比较参数'!$B$9+H118)/'01_比较参数'!$B$14))*(1+('01_比较参数'!$B$10+J118/'01_比较参数'!$B$14)*('01_比较参数'!$B$13-1+('01_比较参数'!$B$11+K118)/'01_比较参数'!$B$14))*(1+L118/'01_比较参数'!$B$14)*(1+M118/'01_比较参数'!$B$14)</x:f>
        <x:v>10635.5958912</x:v>
      </x:c>
      <x:c r="Y118" s="34" t="n">
        <x:f>X118-'01_比较参数'!$B$18</x:f>
        <x:v>652.6998911999981</x:v>
      </x:c>
      <x:c r="Z118" s="36" t="n">
        <x:f>ROUNDDOWN(D118/2,0)</x:f>
        <x:v>21</x:v>
      </x:c>
    </x:row>
    <x:row r="119" ht="30" customHeight="1">
      <x:c r="A119" s="22" t="str">
        <x:v>卢恩骑士战盔</x:v>
      </x:c>
      <x:c r="B119" s="22" t="str">
        <x:v>C2制式本轮</x:v>
      </x:c>
      <x:c r="C119" s="22" t="str">
        <x:v>头盔</x:v>
      </x:c>
      <x:c r="D119" s="32" t="n">
        <x:v>30</x:v>
      </x:c>
      <x:c r="E119" s="32" t="n">
        <x:v>8</x:v>
      </x:c>
      <x:c r="F119" s="32" t="n">
        <x:v>0</x:v>
      </x:c>
      <x:c r="G119" s="32" t="n">
        <x:v>0</x:v>
      </x:c>
      <x:c r="H119" s="32" t="n">
        <x:v>0</x:v>
      </x:c>
      <x:c r="I119" s="32" t="n">
        <x:v>0</x:v>
      </x:c>
      <x:c r="J119" s="32" t="n">
        <x:v>0</x:v>
      </x:c>
      <x:c r="K119" s="32" t="n">
        <x:v>0</x:v>
      </x:c>
      <x:c r="L119" s="32" t="n">
        <x:v>0</x:v>
      </x:c>
      <x:c r="M119" s="32" t="n">
        <x:v>0</x:v>
      </x:c>
      <x:c r="N119" s="32" t="n">
        <x:v>16250</x:v>
      </x:c>
      <x:c r="O119" s="32" t="n">
        <x:v>0</x:v>
      </x:c>
      <x:c r="P119" s="32" t="n">
        <x:v>27</x:v>
      </x:c>
      <x:c r="Q119" s="32" t="n">
        <x:v>4</x:v>
      </x:c>
      <x:c r="R119" s="32" t="n">
        <x:v>0</x:v>
      </x:c>
      <x:c r="S119" s="32" t="n">
        <x:v>0</x:v>
      </x:c>
      <x:c r="T119" s="32" t="n">
        <x:v>0</x:v>
      </x:c>
      <x:c r="U119" s="32" t="n">
        <x:v>0</x:v>
      </x:c>
      <x:c r="V119" s="32" t="n">
        <x:v>0</x:v>
      </x:c>
      <x:c r="W119" s="32" t="n">
        <x:v>0</x:v>
      </x:c>
      <x:c r="X119" s="34" t="n">
        <x:f>('01_比较参数'!$B$2+D119)*(1+('01_比较参数'!$B$5+E119)/'01_比较参数'!$B$14)*(1+('01_比较参数'!$B$6+F119)/'01_比较参数'!$B$14)*(1+('01_比较参数'!$B$7+G119)/'01_比较参数'!$B$14)*(1+('01_比较参数'!$B$8+I119/'01_比较参数'!$B$14)*('01_比较参数'!$B$12-1+('01_比较参数'!$B$9+H119)/'01_比较参数'!$B$14))*(1+('01_比较参数'!$B$10+J119/'01_比较参数'!$B$14)*('01_比较参数'!$B$13-1+('01_比较参数'!$B$11+K119)/'01_比较参数'!$B$14))*(1+L119/'01_比较参数'!$B$14)*(1+M119/'01_比较参数'!$B$14)</x:f>
        <x:v>10552.828608000003</x:v>
      </x:c>
      <x:c r="Y119" s="34" t="n">
        <x:f>X119-'01_比较参数'!$B$18</x:f>
        <x:v>569.932608000001</x:v>
      </x:c>
      <x:c r="Z119" s="36" t="n">
        <x:f>ROUNDDOWN(D119/2,0)</x:f>
        <x:v>15</x:v>
      </x:c>
    </x:row>
    <x:row r="120" ht="30" customHeight="1">
      <x:c r="A120" s="22" t="str">
        <x:v>卢恩骑士项链</x:v>
      </x:c>
      <x:c r="B120" s="22" t="str">
        <x:v>C2制式本轮</x:v>
      </x:c>
      <x:c r="C120" s="22" t="str">
        <x:v>项链</x:v>
      </x:c>
      <x:c r="D120" s="32" t="n">
        <x:v>38</x:v>
      </x:c>
      <x:c r="E120" s="32" t="n">
        <x:v>9</x:v>
      </x:c>
      <x:c r="F120" s="32" t="n">
        <x:v>4</x:v>
      </x:c>
      <x:c r="G120" s="32" t="n">
        <x:v>3</x:v>
      </x:c>
      <x:c r="H120" s="32" t="n">
        <x:v>4</x:v>
      </x:c>
      <x:c r="I120" s="32" t="n">
        <x:v>0</x:v>
      </x:c>
      <x:c r="J120" s="32" t="n">
        <x:v>0</x:v>
      </x:c>
      <x:c r="K120" s="32" t="n">
        <x:v>0</x:v>
      </x:c>
      <x:c r="L120" s="32" t="n">
        <x:v>0</x:v>
      </x:c>
      <x:c r="M120" s="32" t="n">
        <x:v>0</x:v>
      </x:c>
      <x:c r="N120" s="32" t="n">
        <x:v>9750</x:v>
      </x:c>
      <x:c r="O120" s="32" t="n">
        <x:v>0</x:v>
      </x:c>
      <x:c r="P120" s="32" t="n">
        <x:v>0</x:v>
      </x:c>
      <x:c r="Q120" s="32" t="n">
        <x:v>0</x:v>
      </x:c>
      <x:c r="R120" s="32" t="n">
        <x:v>0</x:v>
      </x:c>
      <x:c r="S120" s="32" t="n">
        <x:v>0</x:v>
      </x:c>
      <x:c r="T120" s="32" t="n">
        <x:v>0</x:v>
      </x:c>
      <x:c r="U120" s="32" t="n">
        <x:v>0</x:v>
      </x:c>
      <x:c r="V120" s="32" t="n">
        <x:v>0</x:v>
      </x:c>
      <x:c r="W120" s="32" t="n">
        <x:v>0</x:v>
      </x:c>
      <x:c r="X120" s="34" t="n">
        <x:f>('01_比较参数'!$B$2+D120)*(1+('01_比较参数'!$B$5+E120)/'01_比较参数'!$B$14)*(1+('01_比较参数'!$B$6+F120)/'01_比较参数'!$B$14)*(1+('01_比较参数'!$B$7+G120)/'01_比较参数'!$B$14)*(1+('01_比较参数'!$B$8+I120/'01_比较参数'!$B$14)*('01_比较参数'!$B$12-1+('01_比较参数'!$B$9+H120)/'01_比较参数'!$B$14))*(1+('01_比较参数'!$B$10+J120/'01_比较参数'!$B$14)*('01_比较参数'!$B$13-1+('01_比较参数'!$B$11+K120)/'01_比较参数'!$B$14))*(1+L120/'01_比较参数'!$B$14)*(1+M120/'01_比较参数'!$B$14)</x:f>
        <x:v>11273.670942908419</x:v>
      </x:c>
      <x:c r="Y120" s="34" t="n">
        <x:f>X120-'01_比较参数'!$B$18</x:f>
        <x:v>1290.774942908416</x:v>
      </x:c>
      <x:c r="Z120" s="36" t="n">
        <x:f>ROUNDDOWN(D120/2,0)</x:f>
        <x:v>19</x:v>
      </x:c>
    </x:row>
    <x:row r="121" ht="30" customHeight="1">
      <x:c r="A121" s="22" t="str">
        <x:v>卢恩骑士腕甲</x:v>
      </x:c>
      <x:c r="B121" s="22" t="str">
        <x:v>C2制式本轮</x:v>
      </x:c>
      <x:c r="C121" s="22" t="str">
        <x:v>手镯</x:v>
      </x:c>
      <x:c r="D121" s="32" t="n">
        <x:v>35</x:v>
      </x:c>
      <x:c r="E121" s="32" t="n">
        <x:v>7</x:v>
      </x:c>
      <x:c r="F121" s="32" t="n">
        <x:v>4</x:v>
      </x:c>
      <x:c r="G121" s="32" t="n">
        <x:v>3</x:v>
      </x:c>
      <x:c r="H121" s="32" t="n">
        <x:v>4</x:v>
      </x:c>
      <x:c r="I121" s="32" t="n">
        <x:v>0</x:v>
      </x:c>
      <x:c r="J121" s="32" t="n">
        <x:v>0</x:v>
      </x:c>
      <x:c r="K121" s="32" t="n">
        <x:v>0</x:v>
      </x:c>
      <x:c r="L121" s="32" t="n">
        <x:v>0</x:v>
      </x:c>
      <x:c r="M121" s="32" t="n">
        <x:v>0</x:v>
      </x:c>
      <x:c r="N121" s="32" t="n">
        <x:v>13000</x:v>
      </x:c>
      <x:c r="O121" s="32" t="n">
        <x:v>0</x:v>
      </x:c>
      <x:c r="P121" s="32" t="n">
        <x:v>20</x:v>
      </x:c>
      <x:c r="Q121" s="32" t="n">
        <x:v>2</x:v>
      </x:c>
      <x:c r="R121" s="32" t="n">
        <x:v>0</x:v>
      </x:c>
      <x:c r="S121" s="32" t="n">
        <x:v>0</x:v>
      </x:c>
      <x:c r="T121" s="32" t="n">
        <x:v>0</x:v>
      </x:c>
      <x:c r="U121" s="32" t="n">
        <x:v>0</x:v>
      </x:c>
      <x:c r="V121" s="32" t="n">
        <x:v>0</x:v>
      </x:c>
      <x:c r="W121" s="32" t="n">
        <x:v>0</x:v>
      </x:c>
      <x:c r="X121" s="34" t="n">
        <x:f>('01_比较参数'!$B$2+D121)*(1+('01_比较参数'!$B$5+E121)/'01_比较参数'!$B$14)*(1+('01_比较参数'!$B$6+F121)/'01_比较参数'!$B$14)*(1+('01_比较参数'!$B$7+G121)/'01_比较参数'!$B$14)*(1+('01_比较参数'!$B$8+I121/'01_比较参数'!$B$14)*('01_比较参数'!$B$12-1+('01_比较参数'!$B$9+H121)/'01_比较参数'!$B$14))*(1+('01_比较参数'!$B$10+J121/'01_比较参数'!$B$14)*('01_比较参数'!$B$13-1+('01_比较参数'!$B$11+K121)/'01_比较参数'!$B$14))*(1+L121/'01_比较参数'!$B$14)*(1+M121/'01_比较参数'!$B$14)</x:f>
        <x:v>11153.41273389056</x:v>
      </x:c>
      <x:c r="Y121" s="34" t="n">
        <x:f>X121-'01_比较参数'!$B$18</x:f>
        <x:v>1170.5167338905576</x:v>
      </x:c>
      <x:c r="Z121" s="36" t="n">
        <x:f>ROUNDDOWN(D121/2,0)</x:f>
        <x:v>17</x:v>
      </x:c>
    </x:row>
    <x:row r="122" ht="30" customHeight="1">
      <x:c r="A122" s="22" t="str">
        <x:v>卢恩骑士戒指</x:v>
      </x:c>
      <x:c r="B122" s="22" t="str">
        <x:v>C2制式本轮</x:v>
      </x:c>
      <x:c r="C122" s="22" t="str">
        <x:v>戒指</x:v>
      </x:c>
      <x:c r="D122" s="32" t="n">
        <x:v>38</x:v>
      </x:c>
      <x:c r="E122" s="32" t="n">
        <x:v>7</x:v>
      </x:c>
      <x:c r="F122" s="32" t="n">
        <x:v>4</x:v>
      </x:c>
      <x:c r="G122" s="32" t="n">
        <x:v>3</x:v>
      </x:c>
      <x:c r="H122" s="32" t="n">
        <x:v>4</x:v>
      </x:c>
      <x:c r="I122" s="32" t="n">
        <x:v>0</x:v>
      </x:c>
      <x:c r="J122" s="32" t="n">
        <x:v>0</x:v>
      </x:c>
      <x:c r="K122" s="32" t="n">
        <x:v>0</x:v>
      </x:c>
      <x:c r="L122" s="32" t="n">
        <x:v>0</x:v>
      </x:c>
      <x:c r="M122" s="32" t="n">
        <x:v>0</x:v>
      </x:c>
      <x:c r="N122" s="32" t="n">
        <x:v>13000</x:v>
      </x:c>
      <x:c r="O122" s="32" t="n">
        <x:v>0</x:v>
      </x:c>
      <x:c r="P122" s="32" t="n">
        <x:v>16</x:v>
      </x:c>
      <x:c r="Q122" s="32" t="n">
        <x:v>2</x:v>
      </x:c>
      <x:c r="R122" s="32" t="n">
        <x:v>0</x:v>
      </x:c>
      <x:c r="S122" s="32" t="n">
        <x:v>0</x:v>
      </x:c>
      <x:c r="T122" s="32" t="n">
        <x:v>0</x:v>
      </x:c>
      <x:c r="U122" s="32" t="n">
        <x:v>0</x:v>
      </x:c>
      <x:c r="V122" s="32" t="n">
        <x:v>0</x:v>
      </x:c>
      <x:c r="W122" s="32" t="n">
        <x:v>0</x:v>
      </x:c>
      <x:c r="X122" s="34" t="n">
        <x:f>('01_比较参数'!$B$2+D122)*(1+('01_比较参数'!$B$5+E122)/'01_比较参数'!$B$14)*(1+('01_比较参数'!$B$6+F122)/'01_比较参数'!$B$14)*(1+('01_比较参数'!$B$7+G122)/'01_比较参数'!$B$14)*(1+('01_比较参数'!$B$8+I122/'01_比较参数'!$B$14)*('01_比较参数'!$B$12-1+('01_比较参数'!$B$9+H122)/'01_比较参数'!$B$14))*(1+('01_比较参数'!$B$10+J122/'01_比较参数'!$B$14)*('01_比较参数'!$B$13-1+('01_比较参数'!$B$11+K122)/'01_比较参数'!$B$14))*(1+L122/'01_比较参数'!$B$14)*(1+M122/'01_比较参数'!$B$14)</x:f>
        <x:v>11175.21093467341</x:v>
      </x:c>
      <x:c r="Y122" s="34" t="n">
        <x:f>X122-'01_比较参数'!$B$18</x:f>
        <x:v>1192.314934673408</x:v>
      </x:c>
      <x:c r="Z122" s="36" t="n">
        <x:f>ROUNDDOWN(D122/2,0)</x:f>
        <x:v>19</x:v>
      </x:c>
    </x:row>
    <x:row r="123" ht="30" customHeight="1">
      <x:c r="A123" s="22" t="str">
        <x:v>卢恩骑士腰带</x:v>
      </x:c>
      <x:c r="B123" s="22" t="str">
        <x:v>C2制式本轮</x:v>
      </x:c>
      <x:c r="C123" s="22" t="str">
        <x:v>腰带</x:v>
      </x:c>
      <x:c r="D123" s="32" t="n">
        <x:v>30</x:v>
      </x:c>
      <x:c r="E123" s="32" t="n">
        <x:v>8</x:v>
      </x:c>
      <x:c r="F123" s="32" t="n">
        <x:v>0</x:v>
      </x:c>
      <x:c r="G123" s="32" t="n">
        <x:v>0</x:v>
      </x:c>
      <x:c r="H123" s="32" t="n">
        <x:v>0</x:v>
      </x:c>
      <x:c r="I123" s="32" t="n">
        <x:v>0</x:v>
      </x:c>
      <x:c r="J123" s="32" t="n">
        <x:v>0</x:v>
      </x:c>
      <x:c r="K123" s="32" t="n">
        <x:v>0</x:v>
      </x:c>
      <x:c r="L123" s="32" t="n">
        <x:v>0</x:v>
      </x:c>
      <x:c r="M123" s="32" t="n">
        <x:v>0</x:v>
      </x:c>
      <x:c r="N123" s="32" t="n">
        <x:v>16250</x:v>
      </x:c>
      <x:c r="O123" s="32" t="n">
        <x:v>0</x:v>
      </x:c>
      <x:c r="P123" s="32" t="n">
        <x:v>29</x:v>
      </x:c>
      <x:c r="Q123" s="32" t="n">
        <x:v>4</x:v>
      </x:c>
      <x:c r="R123" s="32" t="n">
        <x:v>0</x:v>
      </x:c>
      <x:c r="S123" s="32" t="n">
        <x:v>0</x:v>
      </x:c>
      <x:c r="T123" s="32" t="n">
        <x:v>0</x:v>
      </x:c>
      <x:c r="U123" s="32" t="n">
        <x:v>0</x:v>
      </x:c>
      <x:c r="V123" s="32" t="n">
        <x:v>0</x:v>
      </x:c>
      <x:c r="W123" s="32" t="n">
        <x:v>0</x:v>
      </x:c>
      <x:c r="X123" s="34" t="n">
        <x:f>('01_比较参数'!$B$2+D123)*(1+('01_比较参数'!$B$5+E123)/'01_比较参数'!$B$14)*(1+('01_比较参数'!$B$6+F123)/'01_比较参数'!$B$14)*(1+('01_比较参数'!$B$7+G123)/'01_比较参数'!$B$14)*(1+('01_比较参数'!$B$8+I123/'01_比较参数'!$B$14)*('01_比较参数'!$B$12-1+('01_比较参数'!$B$9+H123)/'01_比较参数'!$B$14))*(1+('01_比较参数'!$B$10+J123/'01_比较参数'!$B$14)*('01_比较参数'!$B$13-1+('01_比较参数'!$B$11+K123)/'01_比较参数'!$B$14))*(1+L123/'01_比较参数'!$B$14)*(1+M123/'01_比较参数'!$B$14)</x:f>
        <x:v>10552.828608000003</x:v>
      </x:c>
      <x:c r="Y123" s="34" t="n">
        <x:f>X123-'01_比较参数'!$B$18</x:f>
        <x:v>569.932608000001</x:v>
      </x:c>
      <x:c r="Z123" s="36" t="n">
        <x:f>ROUNDDOWN(D123/2,0)</x:f>
        <x:v>15</x:v>
      </x:c>
    </x:row>
    <x:row r="124" ht="30" customHeight="1">
      <x:c r="A124" s="22" t="str">
        <x:v>卢恩骑士战靴</x:v>
      </x:c>
      <x:c r="B124" s="22" t="str">
        <x:v>C2制式本轮</x:v>
      </x:c>
      <x:c r="C124" s="22" t="str">
        <x:v>鞋子</x:v>
      </x:c>
      <x:c r="D124" s="32" t="n">
        <x:v>30</x:v>
      </x:c>
      <x:c r="E124" s="32" t="n">
        <x:v>8</x:v>
      </x:c>
      <x:c r="F124" s="32" t="n">
        <x:v>0</x:v>
      </x:c>
      <x:c r="G124" s="32" t="n">
        <x:v>0</x:v>
      </x:c>
      <x:c r="H124" s="32" t="n">
        <x:v>0</x:v>
      </x:c>
      <x:c r="I124" s="32" t="n">
        <x:v>0</x:v>
      </x:c>
      <x:c r="J124" s="32" t="n">
        <x:v>0</x:v>
      </x:c>
      <x:c r="K124" s="32" t="n">
        <x:v>0</x:v>
      </x:c>
      <x:c r="L124" s="32" t="n">
        <x:v>0</x:v>
      </x:c>
      <x:c r="M124" s="32" t="n">
        <x:v>0</x:v>
      </x:c>
      <x:c r="N124" s="32" t="n">
        <x:v>16250</x:v>
      </x:c>
      <x:c r="O124" s="32" t="n">
        <x:v>0</x:v>
      </x:c>
      <x:c r="P124" s="32" t="n">
        <x:v>29</x:v>
      </x:c>
      <x:c r="Q124" s="32" t="n">
        <x:v>3</x:v>
      </x:c>
      <x:c r="R124" s="32" t="n">
        <x:v>0</x:v>
      </x:c>
      <x:c r="S124" s="32" t="n">
        <x:v>0</x:v>
      </x:c>
      <x:c r="T124" s="32" t="n">
        <x:v>0</x:v>
      </x:c>
      <x:c r="U124" s="32" t="n">
        <x:v>0</x:v>
      </x:c>
      <x:c r="V124" s="32" t="n">
        <x:v>0</x:v>
      </x:c>
      <x:c r="W124" s="32" t="n">
        <x:v>0</x:v>
      </x:c>
      <x:c r="X124" s="34" t="n">
        <x:f>('01_比较参数'!$B$2+D124)*(1+('01_比较参数'!$B$5+E124)/'01_比较参数'!$B$14)*(1+('01_比较参数'!$B$6+F124)/'01_比较参数'!$B$14)*(1+('01_比较参数'!$B$7+G124)/'01_比较参数'!$B$14)*(1+('01_比较参数'!$B$8+I124/'01_比较参数'!$B$14)*('01_比较参数'!$B$12-1+('01_比较参数'!$B$9+H124)/'01_比较参数'!$B$14))*(1+('01_比较参数'!$B$10+J124/'01_比较参数'!$B$14)*('01_比较参数'!$B$13-1+('01_比较参数'!$B$11+K124)/'01_比较参数'!$B$14))*(1+L124/'01_比较参数'!$B$14)*(1+M124/'01_比较参数'!$B$14)</x:f>
        <x:v>10552.828608000003</x:v>
      </x:c>
      <x:c r="Y124" s="34" t="n">
        <x:f>X124-'01_比较参数'!$B$18</x:f>
        <x:v>569.932608000001</x:v>
      </x:c>
      <x:c r="Z124" s="36" t="n">
        <x:f>ROUNDDOWN(D124/2,0)</x:f>
        <x:v>15</x:v>
      </x:c>
    </x:row>
    <x:row r="125" ht="30" customHeight="1">
      <x:c r="A125" s="22" t="str">
        <x:v>黑焰军士刃</x:v>
      </x:c>
      <x:c r="B125" s="22" t="str">
        <x:v>C2制式本轮</x:v>
      </x:c>
      <x:c r="C125" s="22" t="str">
        <x:v>武器</x:v>
      </x:c>
      <x:c r="D125" s="32" t="n">
        <x:v>375</x:v>
      </x:c>
      <x:c r="E125" s="32" t="n">
        <x:v>28</x:v>
      </x:c>
      <x:c r="F125" s="32" t="n">
        <x:v>15</x:v>
      </x:c>
      <x:c r="G125" s="32" t="n">
        <x:v>6</x:v>
      </x:c>
      <x:c r="H125" s="32" t="n">
        <x:v>9</x:v>
      </x:c>
      <x:c r="I125" s="32" t="n">
        <x:v>0</x:v>
      </x:c>
      <x:c r="J125" s="32" t="n">
        <x:v>0</x:v>
      </x:c>
      <x:c r="K125" s="32" t="n">
        <x:v>0</x:v>
      </x:c>
      <x:c r="L125" s="32" t="n">
        <x:v>0</x:v>
      </x:c>
      <x:c r="M125" s="32" t="n">
        <x:v>0</x:v>
      </x:c>
      <x:c r="N125" s="32" t="n">
        <x:v>1</x:v>
      </x:c>
      <x:c r="O125" s="32" t="n">
        <x:v>0</x:v>
      </x:c>
      <x:c r="P125" s="32" t="n">
        <x:v>0</x:v>
      </x:c>
      <x:c r="Q125" s="32" t="n">
        <x:v>0</x:v>
      </x:c>
      <x:c r="R125" s="32" t="n">
        <x:v>0</x:v>
      </x:c>
      <x:c r="S125" s="32" t="n">
        <x:v>0</x:v>
      </x:c>
      <x:c r="T125" s="32" t="n">
        <x:v>10</x:v>
      </x:c>
      <x:c r="U125" s="32" t="n">
        <x:v>0</x:v>
      </x:c>
      <x:c r="V125" s="32" t="n">
        <x:v>0</x:v>
      </x:c>
      <x:c r="W125" s="32" t="n">
        <x:v>0</x:v>
      </x:c>
      <x:c r="X125" s="34" t="n">
        <x:f>('01_比较参数'!$B$2+D125)*(1+('01_比较参数'!$B$5+E125)/'01_比较参数'!$B$14)*(1+('01_比较参数'!$B$6+F125)/'01_比较参数'!$B$14)*(1+('01_比较参数'!$B$7+G125)/'01_比较参数'!$B$14)*(1+('01_比较参数'!$B$8+I125/'01_比较参数'!$B$14)*('01_比较参数'!$B$12-1+('01_比较参数'!$B$9+H125)/'01_比较参数'!$B$14))*(1+('01_比较参数'!$B$10+J125/'01_比较参数'!$B$14)*('01_比较参数'!$B$13-1+('01_比较参数'!$B$11+K125)/'01_比较参数'!$B$14))*(1+L125/'01_比较参数'!$B$14)*(1+M125/'01_比较参数'!$B$14)</x:f>
        <x:v>16418.23415925</x:v>
      </x:c>
      <x:c r="Y125" s="34" t="n">
        <x:f>X125-'01_比较参数'!$B$18</x:f>
        <x:v>6435.338159249999</x:v>
      </x:c>
      <x:c r="Z125" s="36" t="n">
        <x:f>ROUNDDOWN(D125/2,0)</x:f>
        <x:v>187</x:v>
      </x:c>
    </x:row>
    <x:row r="126" ht="30" customHeight="1">
      <x:c r="A126" s="22" t="str">
        <x:v>黑焰军士战甲</x:v>
      </x:c>
      <x:c r="B126" s="22" t="str">
        <x:v>C2制式本轮</x:v>
      </x:c>
      <x:c r="C126" s="22" t="str">
        <x:v>衣服</x:v>
      </x:c>
      <x:c r="D126" s="32" t="n">
        <x:v>45</x:v>
      </x:c>
      <x:c r="E126" s="32" t="n">
        <x:v>8</x:v>
      </x:c>
      <x:c r="F126" s="32" t="n">
        <x:v>0</x:v>
      </x:c>
      <x:c r="G126" s="32" t="n">
        <x:v>0</x:v>
      </x:c>
      <x:c r="H126" s="32" t="n">
        <x:v>0</x:v>
      </x:c>
      <x:c r="I126" s="32" t="n">
        <x:v>0</x:v>
      </x:c>
      <x:c r="J126" s="32" t="n">
        <x:v>0</x:v>
      </x:c>
      <x:c r="K126" s="32" t="n">
        <x:v>0</x:v>
      </x:c>
      <x:c r="L126" s="32" t="n">
        <x:v>0</x:v>
      </x:c>
      <x:c r="M126" s="32" t="n">
        <x:v>0</x:v>
      </x:c>
      <x:c r="N126" s="32" t="n">
        <x:v>70000</x:v>
      </x:c>
      <x:c r="O126" s="32" t="n">
        <x:v>2</x:v>
      </x:c>
      <x:c r="P126" s="32" t="n">
        <x:v>56</x:v>
      </x:c>
      <x:c r="Q126" s="32" t="n">
        <x:v>8</x:v>
      </x:c>
      <x:c r="R126" s="32" t="n">
        <x:v>0</x:v>
      </x:c>
      <x:c r="S126" s="32" t="n">
        <x:v>0</x:v>
      </x:c>
      <x:c r="T126" s="32" t="n">
        <x:v>0</x:v>
      </x:c>
      <x:c r="U126" s="32" t="n">
        <x:v>0</x:v>
      </x:c>
      <x:c r="V126" s="32" t="n">
        <x:v>0</x:v>
      </x:c>
      <x:c r="W126" s="32" t="n">
        <x:v>0</x:v>
      </x:c>
      <x:c r="X126" s="34" t="n">
        <x:f>('01_比较参数'!$B$2+D126)*(1+('01_比较参数'!$B$5+E126)/'01_比较参数'!$B$14)*(1+('01_比较参数'!$B$6+F126)/'01_比较参数'!$B$14)*(1+('01_比较参数'!$B$7+G126)/'01_比较参数'!$B$14)*(1+('01_比较参数'!$B$8+I126/'01_比较参数'!$B$14)*('01_比较参数'!$B$12-1+('01_比较参数'!$B$9+H126)/'01_比较参数'!$B$14))*(1+('01_比较参数'!$B$10+J126/'01_比较参数'!$B$14)*('01_比较参数'!$B$13-1+('01_比较参数'!$B$11+K126)/'01_比较参数'!$B$14))*(1+L126/'01_比较参数'!$B$14)*(1+M126/'01_比较参数'!$B$14)</x:f>
        <x:v>10656.287712000001</x:v>
      </x:c>
      <x:c r="Y126" s="34" t="n">
        <x:f>X126-'01_比较参数'!$B$18</x:f>
        <x:v>673.3917119999987</x:v>
      </x:c>
      <x:c r="Z126" s="36" t="n">
        <x:f>ROUNDDOWN(D126/2,0)</x:f>
        <x:v>22</x:v>
      </x:c>
    </x:row>
    <x:row r="127" ht="30" customHeight="1">
      <x:c r="A127" s="22" t="str">
        <x:v>黑焰军士战盔</x:v>
      </x:c>
      <x:c r="B127" s="22" t="str">
        <x:v>C2制式本轮</x:v>
      </x:c>
      <x:c r="C127" s="22" t="str">
        <x:v>头盔</x:v>
      </x:c>
      <x:c r="D127" s="32" t="n">
        <x:v>32</x:v>
      </x:c>
      <x:c r="E127" s="32" t="n">
        <x:v>8</x:v>
      </x:c>
      <x:c r="F127" s="32" t="n">
        <x:v>0</x:v>
      </x:c>
      <x:c r="G127" s="32" t="n">
        <x:v>0</x:v>
      </x:c>
      <x:c r="H127" s="32" t="n">
        <x:v>0</x:v>
      </x:c>
      <x:c r="I127" s="32" t="n">
        <x:v>0</x:v>
      </x:c>
      <x:c r="J127" s="32" t="n">
        <x:v>0</x:v>
      </x:c>
      <x:c r="K127" s="32" t="n">
        <x:v>0</x:v>
      </x:c>
      <x:c r="L127" s="32" t="n">
        <x:v>0</x:v>
      </x:c>
      <x:c r="M127" s="32" t="n">
        <x:v>0</x:v>
      </x:c>
      <x:c r="N127" s="32" t="n">
        <x:v>17500</x:v>
      </x:c>
      <x:c r="O127" s="32" t="n">
        <x:v>0</x:v>
      </x:c>
      <x:c r="P127" s="32" t="n">
        <x:v>29</x:v>
      </x:c>
      <x:c r="Q127" s="32" t="n">
        <x:v>4</x:v>
      </x:c>
      <x:c r="R127" s="32" t="n">
        <x:v>0</x:v>
      </x:c>
      <x:c r="S127" s="32" t="n">
        <x:v>0</x:v>
      </x:c>
      <x:c r="T127" s="32" t="n">
        <x:v>0</x:v>
      </x:c>
      <x:c r="U127" s="32" t="n">
        <x:v>0</x:v>
      </x:c>
      <x:c r="V127" s="32" t="n">
        <x:v>0</x:v>
      </x:c>
      <x:c r="W127" s="32" t="n">
        <x:v>0</x:v>
      </x:c>
      <x:c r="X127" s="34" t="n">
        <x:f>('01_比较参数'!$B$2+D127)*(1+('01_比较参数'!$B$5+E127)/'01_比较参数'!$B$14)*(1+('01_比较参数'!$B$6+F127)/'01_比较参数'!$B$14)*(1+('01_比较参数'!$B$7+G127)/'01_比较参数'!$B$14)*(1+('01_比较参数'!$B$8+I127/'01_比较参数'!$B$14)*('01_比较参数'!$B$12-1+('01_比较参数'!$B$9+H127)/'01_比较参数'!$B$14))*(1+('01_比较参数'!$B$10+J127/'01_比较参数'!$B$14)*('01_比较参数'!$B$13-1+('01_比较参数'!$B$11+K127)/'01_比较参数'!$B$14))*(1+L127/'01_比较参数'!$B$14)*(1+M127/'01_比较参数'!$B$14)</x:f>
        <x:v>10566.6231552</x:v>
      </x:c>
      <x:c r="Y127" s="34" t="n">
        <x:f>X127-'01_比较参数'!$B$18</x:f>
        <x:v>583.7271551999984</x:v>
      </x:c>
      <x:c r="Z127" s="36" t="n">
        <x:f>ROUNDDOWN(D127/2,0)</x:f>
        <x:v>16</x:v>
      </x:c>
    </x:row>
    <x:row r="128" ht="30" customHeight="1">
      <x:c r="A128" s="22" t="str">
        <x:v>黑焰军士项链</x:v>
      </x:c>
      <x:c r="B128" s="22" t="str">
        <x:v>C2制式本轮</x:v>
      </x:c>
      <x:c r="C128" s="22" t="str">
        <x:v>项链</x:v>
      </x:c>
      <x:c r="D128" s="32" t="n">
        <x:v>41</x:v>
      </x:c>
      <x:c r="E128" s="32" t="n">
        <x:v>9</x:v>
      </x:c>
      <x:c r="F128" s="32" t="n">
        <x:v>4</x:v>
      </x:c>
      <x:c r="G128" s="32" t="n">
        <x:v>3</x:v>
      </x:c>
      <x:c r="H128" s="32" t="n">
        <x:v>4</x:v>
      </x:c>
      <x:c r="I128" s="32" t="n">
        <x:v>0</x:v>
      </x:c>
      <x:c r="J128" s="32" t="n">
        <x:v>0</x:v>
      </x:c>
      <x:c r="K128" s="32" t="n">
        <x:v>0</x:v>
      </x:c>
      <x:c r="L128" s="32" t="n">
        <x:v>0</x:v>
      </x:c>
      <x:c r="M128" s="32" t="n">
        <x:v>0</x:v>
      </x:c>
      <x:c r="N128" s="32" t="n">
        <x:v>10500</x:v>
      </x:c>
      <x:c r="O128" s="32" t="n">
        <x:v>0</x:v>
      </x:c>
      <x:c r="P128" s="32" t="n">
        <x:v>0</x:v>
      </x:c>
      <x:c r="Q128" s="32" t="n">
        <x:v>0</x:v>
      </x:c>
      <x:c r="R128" s="32" t="n">
        <x:v>0</x:v>
      </x:c>
      <x:c r="S128" s="32" t="n">
        <x:v>0</x:v>
      </x:c>
      <x:c r="T128" s="32" t="n">
        <x:v>0</x:v>
      </x:c>
      <x:c r="U128" s="32" t="n">
        <x:v>0</x:v>
      </x:c>
      <x:c r="V128" s="32" t="n">
        <x:v>0</x:v>
      </x:c>
      <x:c r="W128" s="32" t="n">
        <x:v>0</x:v>
      </x:c>
      <x:c r="X128" s="34" t="n">
        <x:f>('01_比较参数'!$B$2+D128)*(1+('01_比较参数'!$B$5+E128)/'01_比较参数'!$B$14)*(1+('01_比较参数'!$B$6+F128)/'01_比较参数'!$B$14)*(1+('01_比较参数'!$B$7+G128)/'01_比较参数'!$B$14)*(1+('01_比较参数'!$B$8+I128/'01_比较参数'!$B$14)*('01_比较参数'!$B$12-1+('01_比较参数'!$B$9+H128)/'01_比较参数'!$B$14))*(1+('01_比较参数'!$B$10+J128/'01_比较参数'!$B$14)*('01_比较参数'!$B$13-1+('01_比较参数'!$B$11+K128)/'01_比较参数'!$B$14))*(1+L128/'01_比较参数'!$B$14)*(1+M128/'01_比较参数'!$B$14)</x:f>
        <x:v>11295.661198323713</x:v>
      </x:c>
      <x:c r="Y128" s="34" t="n">
        <x:f>X128-'01_比较参数'!$B$18</x:f>
        <x:v>1312.7651983237101</x:v>
      </x:c>
      <x:c r="Z128" s="36" t="n">
        <x:f>ROUNDDOWN(D128/2,0)</x:f>
        <x:v>20</x:v>
      </x:c>
    </x:row>
    <x:row r="129" ht="30" customHeight="1">
      <x:c r="A129" s="22" t="str">
        <x:v>黑焰军士腕甲</x:v>
      </x:c>
      <x:c r="B129" s="22" t="str">
        <x:v>C2制式本轮</x:v>
      </x:c>
      <x:c r="C129" s="22" t="str">
        <x:v>手镯</x:v>
      </x:c>
      <x:c r="D129" s="32" t="n">
        <x:v>38</x:v>
      </x:c>
      <x:c r="E129" s="32" t="n">
        <x:v>8</x:v>
      </x:c>
      <x:c r="F129" s="32" t="n">
        <x:v>4</x:v>
      </x:c>
      <x:c r="G129" s="32" t="n">
        <x:v>3</x:v>
      </x:c>
      <x:c r="H129" s="32" t="n">
        <x:v>4</x:v>
      </x:c>
      <x:c r="I129" s="32" t="n">
        <x:v>0</x:v>
      </x:c>
      <x:c r="J129" s="32" t="n">
        <x:v>0</x:v>
      </x:c>
      <x:c r="K129" s="32" t="n">
        <x:v>0</x:v>
      </x:c>
      <x:c r="L129" s="32" t="n">
        <x:v>0</x:v>
      </x:c>
      <x:c r="M129" s="32" t="n">
        <x:v>0</x:v>
      </x:c>
      <x:c r="N129" s="32" t="n">
        <x:v>14000</x:v>
      </x:c>
      <x:c r="O129" s="32" t="n">
        <x:v>0</x:v>
      </x:c>
      <x:c r="P129" s="32" t="n">
        <x:v>21</x:v>
      </x:c>
      <x:c r="Q129" s="32" t="n">
        <x:v>2</x:v>
      </x:c>
      <x:c r="R129" s="32" t="n">
        <x:v>0</x:v>
      </x:c>
      <x:c r="S129" s="32" t="n">
        <x:v>0</x:v>
      </x:c>
      <x:c r="T129" s="32" t="n">
        <x:v>0</x:v>
      </x:c>
      <x:c r="U129" s="32" t="n">
        <x:v>0</x:v>
      </x:c>
      <x:c r="V129" s="32" t="n">
        <x:v>0</x:v>
      </x:c>
      <x:c r="W129" s="32" t="n">
        <x:v>0</x:v>
      </x:c>
      <x:c r="X129" s="34" t="n">
        <x:f>('01_比较参数'!$B$2+D129)*(1+('01_比较参数'!$B$5+E129)/'01_比较参数'!$B$14)*(1+('01_比较参数'!$B$6+F129)/'01_比较参数'!$B$14)*(1+('01_比较参数'!$B$7+G129)/'01_比较参数'!$B$14)*(1+('01_比较参数'!$B$8+I129/'01_比较参数'!$B$14)*('01_比较参数'!$B$12-1+('01_比较参数'!$B$9+H129)/'01_比较参数'!$B$14))*(1+('01_比较参数'!$B$10+J129/'01_比较参数'!$B$14)*('01_比较参数'!$B$13-1+('01_比较参数'!$B$11+K129)/'01_比较参数'!$B$14))*(1+L129/'01_比较参数'!$B$14)*(1+M129/'01_比较参数'!$B$14)</x:f>
        <x:v>11224.440938790915</x:v>
      </x:c>
      <x:c r="Y129" s="34" t="n">
        <x:f>X129-'01_比较参数'!$B$18</x:f>
        <x:v>1241.544938790912</x:v>
      </x:c>
      <x:c r="Z129" s="36" t="n">
        <x:f>ROUNDDOWN(D129/2,0)</x:f>
        <x:v>19</x:v>
      </x:c>
    </x:row>
    <x:row r="130" ht="30" customHeight="1">
      <x:c r="A130" s="22" t="str">
        <x:v>黑焰军士戒指</x:v>
      </x:c>
      <x:c r="B130" s="22" t="str">
        <x:v>C2制式本轮</x:v>
      </x:c>
      <x:c r="C130" s="22" t="str">
        <x:v>戒指</x:v>
      </x:c>
      <x:c r="D130" s="32" t="n">
        <x:v>41</x:v>
      </x:c>
      <x:c r="E130" s="32" t="n">
        <x:v>8</x:v>
      </x:c>
      <x:c r="F130" s="32" t="n">
        <x:v>4</x:v>
      </x:c>
      <x:c r="G130" s="32" t="n">
        <x:v>3</x:v>
      </x:c>
      <x:c r="H130" s="32" t="n">
        <x:v>4</x:v>
      </x:c>
      <x:c r="I130" s="32" t="n">
        <x:v>0</x:v>
      </x:c>
      <x:c r="J130" s="32" t="n">
        <x:v>0</x:v>
      </x:c>
      <x:c r="K130" s="32" t="n">
        <x:v>0</x:v>
      </x:c>
      <x:c r="L130" s="32" t="n">
        <x:v>0</x:v>
      </x:c>
      <x:c r="M130" s="32" t="n">
        <x:v>0</x:v>
      </x:c>
      <x:c r="N130" s="32" t="n">
        <x:v>14000</x:v>
      </x:c>
      <x:c r="O130" s="32" t="n">
        <x:v>0</x:v>
      </x:c>
      <x:c r="P130" s="32" t="n">
        <x:v>17</x:v>
      </x:c>
      <x:c r="Q130" s="32" t="n">
        <x:v>2</x:v>
      </x:c>
      <x:c r="R130" s="32" t="n">
        <x:v>0</x:v>
      </x:c>
      <x:c r="S130" s="32" t="n">
        <x:v>0</x:v>
      </x:c>
      <x:c r="T130" s="32" t="n">
        <x:v>0</x:v>
      </x:c>
      <x:c r="U130" s="32" t="n">
        <x:v>0</x:v>
      </x:c>
      <x:c r="V130" s="32" t="n">
        <x:v>0</x:v>
      </x:c>
      <x:c r="W130" s="32" t="n">
        <x:v>0</x:v>
      </x:c>
      <x:c r="X130" s="34" t="n">
        <x:f>('01_比较参数'!$B$2+D130)*(1+('01_比较参数'!$B$5+E130)/'01_比较参数'!$B$14)*(1+('01_比较参数'!$B$6+F130)/'01_比较参数'!$B$14)*(1+('01_比较参数'!$B$7+G130)/'01_比较参数'!$B$14)*(1+('01_比较参数'!$B$8+I130/'01_比较参数'!$B$14)*('01_比较参数'!$B$12-1+('01_比较参数'!$B$9+H130)/'01_比较参数'!$B$14))*(1+('01_比较参数'!$B$10+J130/'01_比较参数'!$B$14)*('01_比较参数'!$B$13-1+('01_比较参数'!$B$11+K130)/'01_比较参数'!$B$14))*(1+L130/'01_比较参数'!$B$14)*(1+M130/'01_比较参数'!$B$14)</x:f>
        <x:v>11246.335166889985</x:v>
      </x:c>
      <x:c r="Y130" s="34" t="n">
        <x:f>X130-'01_比较参数'!$B$18</x:f>
        <x:v>1263.4391668899825</x:v>
      </x:c>
      <x:c r="Z130" s="36" t="n">
        <x:f>ROUNDDOWN(D130/2,0)</x:f>
        <x:v>20</x:v>
      </x:c>
    </x:row>
    <x:row r="131" ht="30" customHeight="1">
      <x:c r="A131" s="22" t="str">
        <x:v>黑焰军士腰带</x:v>
      </x:c>
      <x:c r="B131" s="22" t="str">
        <x:v>C2制式本轮</x:v>
      </x:c>
      <x:c r="C131" s="22" t="str">
        <x:v>腰带</x:v>
      </x:c>
      <x:c r="D131" s="32" t="n">
        <x:v>32</x:v>
      </x:c>
      <x:c r="E131" s="32" t="n">
        <x:v>8</x:v>
      </x:c>
      <x:c r="F131" s="32" t="n">
        <x:v>0</x:v>
      </x:c>
      <x:c r="G131" s="32" t="n">
        <x:v>0</x:v>
      </x:c>
      <x:c r="H131" s="32" t="n">
        <x:v>0</x:v>
      </x:c>
      <x:c r="I131" s="32" t="n">
        <x:v>0</x:v>
      </x:c>
      <x:c r="J131" s="32" t="n">
        <x:v>0</x:v>
      </x:c>
      <x:c r="K131" s="32" t="n">
        <x:v>0</x:v>
      </x:c>
      <x:c r="L131" s="32" t="n">
        <x:v>0</x:v>
      </x:c>
      <x:c r="M131" s="32" t="n">
        <x:v>0</x:v>
      </x:c>
      <x:c r="N131" s="32" t="n">
        <x:v>17500</x:v>
      </x:c>
      <x:c r="O131" s="32" t="n">
        <x:v>0</x:v>
      </x:c>
      <x:c r="P131" s="32" t="n">
        <x:v>31</x:v>
      </x:c>
      <x:c r="Q131" s="32" t="n">
        <x:v>4</x:v>
      </x:c>
      <x:c r="R131" s="32" t="n">
        <x:v>0</x:v>
      </x:c>
      <x:c r="S131" s="32" t="n">
        <x:v>0</x:v>
      </x:c>
      <x:c r="T131" s="32" t="n">
        <x:v>0</x:v>
      </x:c>
      <x:c r="U131" s="32" t="n">
        <x:v>0</x:v>
      </x:c>
      <x:c r="V131" s="32" t="n">
        <x:v>0</x:v>
      </x:c>
      <x:c r="W131" s="32" t="n">
        <x:v>0</x:v>
      </x:c>
      <x:c r="X131" s="34" t="n">
        <x:f>('01_比较参数'!$B$2+D131)*(1+('01_比较参数'!$B$5+E131)/'01_比较参数'!$B$14)*(1+('01_比较参数'!$B$6+F131)/'01_比较参数'!$B$14)*(1+('01_比较参数'!$B$7+G131)/'01_比较参数'!$B$14)*(1+('01_比较参数'!$B$8+I131/'01_比较参数'!$B$14)*('01_比较参数'!$B$12-1+('01_比较参数'!$B$9+H131)/'01_比较参数'!$B$14))*(1+('01_比较参数'!$B$10+J131/'01_比较参数'!$B$14)*('01_比较参数'!$B$13-1+('01_比较参数'!$B$11+K131)/'01_比较参数'!$B$14))*(1+L131/'01_比较参数'!$B$14)*(1+M131/'01_比较参数'!$B$14)</x:f>
        <x:v>10566.6231552</x:v>
      </x:c>
      <x:c r="Y131" s="34" t="n">
        <x:f>X131-'01_比较参数'!$B$18</x:f>
        <x:v>583.7271551999984</x:v>
      </x:c>
      <x:c r="Z131" s="36" t="n">
        <x:f>ROUNDDOWN(D131/2,0)</x:f>
        <x:v>16</x:v>
      </x:c>
    </x:row>
    <x:row r="132" ht="30" customHeight="1">
      <x:c r="A132" s="22" t="str">
        <x:v>黑焰军士战靴</x:v>
      </x:c>
      <x:c r="B132" s="22" t="str">
        <x:v>C2制式本轮</x:v>
      </x:c>
      <x:c r="C132" s="22" t="str">
        <x:v>鞋子</x:v>
      </x:c>
      <x:c r="D132" s="32" t="n">
        <x:v>32</x:v>
      </x:c>
      <x:c r="E132" s="32" t="n">
        <x:v>8</x:v>
      </x:c>
      <x:c r="F132" s="32" t="n">
        <x:v>0</x:v>
      </x:c>
      <x:c r="G132" s="32" t="n">
        <x:v>0</x:v>
      </x:c>
      <x:c r="H132" s="32" t="n">
        <x:v>0</x:v>
      </x:c>
      <x:c r="I132" s="32" t="n">
        <x:v>0</x:v>
      </x:c>
      <x:c r="J132" s="32" t="n">
        <x:v>0</x:v>
      </x:c>
      <x:c r="K132" s="32" t="n">
        <x:v>0</x:v>
      </x:c>
      <x:c r="L132" s="32" t="n">
        <x:v>0</x:v>
      </x:c>
      <x:c r="M132" s="32" t="n">
        <x:v>0</x:v>
      </x:c>
      <x:c r="N132" s="32" t="n">
        <x:v>17500</x:v>
      </x:c>
      <x:c r="O132" s="32" t="n">
        <x:v>0</x:v>
      </x:c>
      <x:c r="P132" s="32" t="n">
        <x:v>31</x:v>
      </x:c>
      <x:c r="Q132" s="32" t="n">
        <x:v>3</x:v>
      </x:c>
      <x:c r="R132" s="32" t="n">
        <x:v>0</x:v>
      </x:c>
      <x:c r="S132" s="32" t="n">
        <x:v>0</x:v>
      </x:c>
      <x:c r="T132" s="32" t="n">
        <x:v>0</x:v>
      </x:c>
      <x:c r="U132" s="32" t="n">
        <x:v>0</x:v>
      </x:c>
      <x:c r="V132" s="32" t="n">
        <x:v>0</x:v>
      </x:c>
      <x:c r="W132" s="32" t="n">
        <x:v>0</x:v>
      </x:c>
      <x:c r="X132" s="34" t="n">
        <x:f>('01_比较参数'!$B$2+D132)*(1+('01_比较参数'!$B$5+E132)/'01_比较参数'!$B$14)*(1+('01_比较参数'!$B$6+F132)/'01_比较参数'!$B$14)*(1+('01_比较参数'!$B$7+G132)/'01_比较参数'!$B$14)*(1+('01_比较参数'!$B$8+I132/'01_比较参数'!$B$14)*('01_比较参数'!$B$12-1+('01_比较参数'!$B$9+H132)/'01_比较参数'!$B$14))*(1+('01_比较参数'!$B$10+J132/'01_比较参数'!$B$14)*('01_比较参数'!$B$13-1+('01_比较参数'!$B$11+K132)/'01_比较参数'!$B$14))*(1+L132/'01_比较参数'!$B$14)*(1+M132/'01_比较参数'!$B$14)</x:f>
        <x:v>10566.6231552</x:v>
      </x:c>
      <x:c r="Y132" s="34" t="n">
        <x:f>X132-'01_比较参数'!$B$18</x:f>
        <x:v>583.7271551999984</x:v>
      </x:c>
      <x:c r="Z132" s="36" t="n">
        <x:f>ROUNDDOWN(D132/2,0)</x:f>
        <x:v>16</x:v>
      </x:c>
    </x:row>
    <x:row r="133" ht="30" customHeight="1">
      <x:c r="A133" s="22" t="str">
        <x:v>猩红卫士剑</x:v>
      </x:c>
      <x:c r="B133" s="22" t="str">
        <x:v>C2制式本轮</x:v>
      </x:c>
      <x:c r="C133" s="22" t="str">
        <x:v>武器</x:v>
      </x:c>
      <x:c r="D133" s="32" t="n">
        <x:v>400</x:v>
      </x:c>
      <x:c r="E133" s="32" t="n">
        <x:v>30</x:v>
      </x:c>
      <x:c r="F133" s="32" t="n">
        <x:v>16</x:v>
      </x:c>
      <x:c r="G133" s="32" t="n">
        <x:v>7</x:v>
      </x:c>
      <x:c r="H133" s="32" t="n">
        <x:v>10</x:v>
      </x:c>
      <x:c r="I133" s="32" t="n">
        <x:v>0</x:v>
      </x:c>
      <x:c r="J133" s="32" t="n">
        <x:v>0</x:v>
      </x:c>
      <x:c r="K133" s="32" t="n">
        <x:v>0</x:v>
      </x:c>
      <x:c r="L133" s="32" t="n">
        <x:v>0</x:v>
      </x:c>
      <x:c r="M133" s="32" t="n">
        <x:v>0</x:v>
      </x:c>
      <x:c r="N133" s="32" t="n">
        <x:v>1</x:v>
      </x:c>
      <x:c r="O133" s="32" t="n">
        <x:v>0</x:v>
      </x:c>
      <x:c r="P133" s="32" t="n">
        <x:v>0</x:v>
      </x:c>
      <x:c r="Q133" s="32" t="n">
        <x:v>0</x:v>
      </x:c>
      <x:c r="R133" s="32" t="n">
        <x:v>0</x:v>
      </x:c>
      <x:c r="S133" s="32" t="n">
        <x:v>0</x:v>
      </x:c>
      <x:c r="T133" s="32" t="n">
        <x:v>10</x:v>
      </x:c>
      <x:c r="U133" s="32" t="n">
        <x:v>0</x:v>
      </x:c>
      <x:c r="V133" s="32" t="n">
        <x:v>0</x:v>
      </x:c>
      <x:c r="W133" s="32" t="n">
        <x:v>0</x:v>
      </x:c>
      <x:c r="X133" s="34" t="n">
        <x:f>('01_比较参数'!$B$2+D133)*(1+('01_比较参数'!$B$5+E133)/'01_比较参数'!$B$14)*(1+('01_比较参数'!$B$6+F133)/'01_比较参数'!$B$14)*(1+('01_比较参数'!$B$7+G133)/'01_比较参数'!$B$14)*(1+('01_比较参数'!$B$8+I133/'01_比较参数'!$B$14)*('01_比较参数'!$B$12-1+('01_比较参数'!$B$9+H133)/'01_比较参数'!$B$14))*(1+('01_比较参数'!$B$10+J133/'01_比较参数'!$B$14)*('01_比较参数'!$B$13-1+('01_比较参数'!$B$11+K133)/'01_比较参数'!$B$14))*(1+L133/'01_比较参数'!$B$14)*(1+M133/'01_比较参数'!$B$14)</x:f>
        <x:v>17029.741344000002</x:v>
      </x:c>
      <x:c r="Y133" s="34" t="n">
        <x:f>X133-'01_比较参数'!$B$18</x:f>
        <x:v>7046.845343999999</x:v>
      </x:c>
      <x:c r="Z133" s="36" t="n">
        <x:f>ROUNDDOWN(D133/2,0)</x:f>
        <x:v>200</x:v>
      </x:c>
    </x:row>
    <x:row r="134" ht="30" customHeight="1">
      <x:c r="A134" s="22" t="str">
        <x:v>猩红卫士战甲</x:v>
      </x:c>
      <x:c r="B134" s="22" t="str">
        <x:v>C2制式本轮</x:v>
      </x:c>
      <x:c r="C134" s="22" t="str">
        <x:v>衣服</x:v>
      </x:c>
      <x:c r="D134" s="32" t="n">
        <x:v>48</x:v>
      </x:c>
      <x:c r="E134" s="32" t="n">
        <x:v>8</x:v>
      </x:c>
      <x:c r="F134" s="32" t="n">
        <x:v>0</x:v>
      </x:c>
      <x:c r="G134" s="32" t="n">
        <x:v>0</x:v>
      </x:c>
      <x:c r="H134" s="32" t="n">
        <x:v>0</x:v>
      </x:c>
      <x:c r="I134" s="32" t="n">
        <x:v>0</x:v>
      </x:c>
      <x:c r="J134" s="32" t="n">
        <x:v>0</x:v>
      </x:c>
      <x:c r="K134" s="32" t="n">
        <x:v>0</x:v>
      </x:c>
      <x:c r="L134" s="32" t="n">
        <x:v>0</x:v>
      </x:c>
      <x:c r="M134" s="32" t="n">
        <x:v>0</x:v>
      </x:c>
      <x:c r="N134" s="32" t="n">
        <x:v>75000</x:v>
      </x:c>
      <x:c r="O134" s="32" t="n">
        <x:v>2</x:v>
      </x:c>
      <x:c r="P134" s="32" t="n">
        <x:v>60</x:v>
      </x:c>
      <x:c r="Q134" s="32" t="n">
        <x:v>9</x:v>
      </x:c>
      <x:c r="R134" s="32" t="n">
        <x:v>0</x:v>
      </x:c>
      <x:c r="S134" s="32" t="n">
        <x:v>0</x:v>
      </x:c>
      <x:c r="T134" s="32" t="n">
        <x:v>0</x:v>
      </x:c>
      <x:c r="U134" s="32" t="n">
        <x:v>0</x:v>
      </x:c>
      <x:c r="V134" s="32" t="n">
        <x:v>0</x:v>
      </x:c>
      <x:c r="W134" s="32" t="n">
        <x:v>0</x:v>
      </x:c>
      <x:c r="X134" s="34" t="n">
        <x:f>('01_比较参数'!$B$2+D134)*(1+('01_比较参数'!$B$5+E134)/'01_比较参数'!$B$14)*(1+('01_比较参数'!$B$6+F134)/'01_比较参数'!$B$14)*(1+('01_比较参数'!$B$7+G134)/'01_比较参数'!$B$14)*(1+('01_比较参数'!$B$8+I134/'01_比较参数'!$B$14)*('01_比较参数'!$B$12-1+('01_比较参数'!$B$9+H134)/'01_比较参数'!$B$14))*(1+('01_比较参数'!$B$10+J134/'01_比较参数'!$B$14)*('01_比较参数'!$B$13-1+('01_比较参数'!$B$11+K134)/'01_比较参数'!$B$14))*(1+L134/'01_比较参数'!$B$14)*(1+M134/'01_比较参数'!$B$14)</x:f>
        <x:v>10676.9795328</x:v>
      </x:c>
      <x:c r="Y134" s="34" t="n">
        <x:f>X134-'01_比较参数'!$B$18</x:f>
        <x:v>694.0835327999976</x:v>
      </x:c>
      <x:c r="Z134" s="36" t="n">
        <x:f>ROUNDDOWN(D134/2,0)</x:f>
        <x:v>24</x:v>
      </x:c>
    </x:row>
    <x:row r="135" ht="30" customHeight="1">
      <x:c r="A135" s="22" t="str">
        <x:v>猩红卫士战盔</x:v>
      </x:c>
      <x:c r="B135" s="22" t="str">
        <x:v>C2制式本轮</x:v>
      </x:c>
      <x:c r="C135" s="22" t="str">
        <x:v>头盔</x:v>
      </x:c>
      <x:c r="D135" s="32" t="n">
        <x:v>34</x:v>
      </x:c>
      <x:c r="E135" s="32" t="n">
        <x:v>8</x:v>
      </x:c>
      <x:c r="F135" s="32" t="n">
        <x:v>0</x:v>
      </x:c>
      <x:c r="G135" s="32" t="n">
        <x:v>0</x:v>
      </x:c>
      <x:c r="H135" s="32" t="n">
        <x:v>0</x:v>
      </x:c>
      <x:c r="I135" s="32" t="n">
        <x:v>0</x:v>
      </x:c>
      <x:c r="J135" s="32" t="n">
        <x:v>0</x:v>
      </x:c>
      <x:c r="K135" s="32" t="n">
        <x:v>0</x:v>
      </x:c>
      <x:c r="L135" s="32" t="n">
        <x:v>0</x:v>
      </x:c>
      <x:c r="M135" s="32" t="n">
        <x:v>0</x:v>
      </x:c>
      <x:c r="N135" s="32" t="n">
        <x:v>18750</x:v>
      </x:c>
      <x:c r="O135" s="32" t="n">
        <x:v>0</x:v>
      </x:c>
      <x:c r="P135" s="32" t="n">
        <x:v>31</x:v>
      </x:c>
      <x:c r="Q135" s="32" t="n">
        <x:v>4</x:v>
      </x:c>
      <x:c r="R135" s="32" t="n">
        <x:v>0</x:v>
      </x:c>
      <x:c r="S135" s="32" t="n">
        <x:v>0</x:v>
      </x:c>
      <x:c r="T135" s="32" t="n">
        <x:v>0</x:v>
      </x:c>
      <x:c r="U135" s="32" t="n">
        <x:v>0</x:v>
      </x:c>
      <x:c r="V135" s="32" t="n">
        <x:v>0</x:v>
      </x:c>
      <x:c r="W135" s="32" t="n">
        <x:v>0</x:v>
      </x:c>
      <x:c r="X135" s="34" t="n">
        <x:f>('01_比较参数'!$B$2+D135)*(1+('01_比较参数'!$B$5+E135)/'01_比较参数'!$B$14)*(1+('01_比较参数'!$B$6+F135)/'01_比较参数'!$B$14)*(1+('01_比较参数'!$B$7+G135)/'01_比较参数'!$B$14)*(1+('01_比较参数'!$B$8+I135/'01_比较参数'!$B$14)*('01_比较参数'!$B$12-1+('01_比较参数'!$B$9+H135)/'01_比较参数'!$B$14))*(1+('01_比较参数'!$B$10+J135/'01_比较参数'!$B$14)*('01_比较参数'!$B$13-1+('01_比较参数'!$B$11+K135)/'01_比较参数'!$B$14))*(1+L135/'01_比较参数'!$B$14)*(1+M135/'01_比较参数'!$B$14)</x:f>
        <x:v>10580.417702400002</x:v>
      </x:c>
      <x:c r="Y135" s="34" t="n">
        <x:f>X135-'01_比较参数'!$B$18</x:f>
        <x:v>597.5217023999994</x:v>
      </x:c>
      <x:c r="Z135" s="36" t="n">
        <x:f>ROUNDDOWN(D135/2,0)</x:f>
        <x:v>17</x:v>
      </x:c>
    </x:row>
    <x:row r="136" ht="30" customHeight="1">
      <x:c r="A136" s="22" t="str">
        <x:v>猩红卫士项链</x:v>
      </x:c>
      <x:c r="B136" s="22" t="str">
        <x:v>C2制式本轮</x:v>
      </x:c>
      <x:c r="C136" s="22" t="str">
        <x:v>项链</x:v>
      </x:c>
      <x:c r="D136" s="32" t="n">
        <x:v>44</x:v>
      </x:c>
      <x:c r="E136" s="32" t="n">
        <x:v>9</x:v>
      </x:c>
      <x:c r="F136" s="32" t="n">
        <x:v>4</x:v>
      </x:c>
      <x:c r="G136" s="32" t="n">
        <x:v>3</x:v>
      </x:c>
      <x:c r="H136" s="32" t="n">
        <x:v>5</x:v>
      </x:c>
      <x:c r="I136" s="32" t="n">
        <x:v>0</x:v>
      </x:c>
      <x:c r="J136" s="32" t="n">
        <x:v>0</x:v>
      </x:c>
      <x:c r="K136" s="32" t="n">
        <x:v>0</x:v>
      </x:c>
      <x:c r="L136" s="32" t="n">
        <x:v>0</x:v>
      </x:c>
      <x:c r="M136" s="32" t="n">
        <x:v>0</x:v>
      </x:c>
      <x:c r="N136" s="32" t="n">
        <x:v>11250</x:v>
      </x:c>
      <x:c r="O136" s="32" t="n">
        <x:v>0</x:v>
      </x:c>
      <x:c r="P136" s="32" t="n">
        <x:v>0</x:v>
      </x:c>
      <x:c r="Q136" s="32" t="n">
        <x:v>0</x:v>
      </x:c>
      <x:c r="R136" s="32" t="n">
        <x:v>0</x:v>
      </x:c>
      <x:c r="S136" s="32" t="n">
        <x:v>0</x:v>
      </x:c>
      <x:c r="T136" s="32" t="n">
        <x:v>0</x:v>
      </x:c>
      <x:c r="U136" s="32" t="n">
        <x:v>0</x:v>
      </x:c>
      <x:c r="V136" s="32" t="n">
        <x:v>0</x:v>
      </x:c>
      <x:c r="W136" s="32" t="n">
        <x:v>0</x:v>
      </x:c>
      <x:c r="X136" s="34" t="n">
        <x:f>('01_比较参数'!$B$2+D136)*(1+('01_比较参数'!$B$5+E136)/'01_比较参数'!$B$14)*(1+('01_比较参数'!$B$6+F136)/'01_比较参数'!$B$14)*(1+('01_比较参数'!$B$7+G136)/'01_比较参数'!$B$14)*(1+('01_比较参数'!$B$8+I136/'01_比较参数'!$B$14)*('01_比较参数'!$B$12-1+('01_比较参数'!$B$9+H136)/'01_比较参数'!$B$14))*(1+('01_比较参数'!$B$10+J136/'01_比较参数'!$B$14)*('01_比较参数'!$B$13-1+('01_比较参数'!$B$11+K136)/'01_比较参数'!$B$14))*(1+L136/'01_比较参数'!$B$14)*(1+M136/'01_比较参数'!$B$14)</x:f>
        <x:v>11340.40812556288</x:v>
      </x:c>
      <x:c r="Y136" s="34" t="n">
        <x:f>X136-'01_比较参数'!$B$18</x:f>
        <x:v>1357.5121255628783</x:v>
      </x:c>
      <x:c r="Z136" s="36" t="n">
        <x:f>ROUNDDOWN(D136/2,0)</x:f>
        <x:v>22</x:v>
      </x:c>
    </x:row>
    <x:row r="137" ht="30" customHeight="1">
      <x:c r="A137" s="22" t="str">
        <x:v>猩红卫士腕甲</x:v>
      </x:c>
      <x:c r="B137" s="22" t="str">
        <x:v>C2制式本轮</x:v>
      </x:c>
      <x:c r="C137" s="22" t="str">
        <x:v>手镯</x:v>
      </x:c>
      <x:c r="D137" s="32" t="n">
        <x:v>40</x:v>
      </x:c>
      <x:c r="E137" s="32" t="n">
        <x:v>8</x:v>
      </x:c>
      <x:c r="F137" s="32" t="n">
        <x:v>4</x:v>
      </x:c>
      <x:c r="G137" s="32" t="n">
        <x:v>3</x:v>
      </x:c>
      <x:c r="H137" s="32" t="n">
        <x:v>5</x:v>
      </x:c>
      <x:c r="I137" s="32" t="n">
        <x:v>0</x:v>
      </x:c>
      <x:c r="J137" s="32" t="n">
        <x:v>0</x:v>
      </x:c>
      <x:c r="K137" s="32" t="n">
        <x:v>0</x:v>
      </x:c>
      <x:c r="L137" s="32" t="n">
        <x:v>0</x:v>
      </x:c>
      <x:c r="M137" s="32" t="n">
        <x:v>0</x:v>
      </x:c>
      <x:c r="N137" s="32" t="n">
        <x:v>15000</x:v>
      </x:c>
      <x:c r="O137" s="32" t="n">
        <x:v>0</x:v>
      </x:c>
      <x:c r="P137" s="32" t="n">
        <x:v>22</x:v>
      </x:c>
      <x:c r="Q137" s="32" t="n">
        <x:v>2</x:v>
      </x:c>
      <x:c r="R137" s="32" t="n">
        <x:v>0</x:v>
      </x:c>
      <x:c r="S137" s="32" t="n">
        <x:v>0</x:v>
      </x:c>
      <x:c r="T137" s="32" t="n">
        <x:v>0</x:v>
      </x:c>
      <x:c r="U137" s="32" t="n">
        <x:v>0</x:v>
      </x:c>
      <x:c r="V137" s="32" t="n">
        <x:v>0</x:v>
      </x:c>
      <x:c r="W137" s="32" t="n">
        <x:v>0</x:v>
      </x:c>
      <x:c r="X137" s="34" t="n">
        <x:f>('01_比较参数'!$B$2+D137)*(1+('01_比较参数'!$B$5+E137)/'01_比较参数'!$B$14)*(1+('01_比较参数'!$B$6+F137)/'01_比较参数'!$B$14)*(1+('01_比较参数'!$B$7+G137)/'01_比较参数'!$B$14)*(1+('01_比较参数'!$B$8+I137/'01_比较参数'!$B$14)*('01_比较参数'!$B$12-1+('01_比较参数'!$B$9+H137)/'01_比较参数'!$B$14))*(1+('01_比较参数'!$B$10+J137/'01_比较参数'!$B$14)*('01_比较参数'!$B$13-1+('01_比较参数'!$B$11+K137)/'01_比较参数'!$B$14))*(1+L137/'01_比较参数'!$B$14)*(1+M137/'01_比较参数'!$B$14)</x:f>
        <x:v>11261.635690905601</x:v>
      </x:c>
      <x:c r="Y137" s="34" t="n">
        <x:f>X137-'01_比较参数'!$B$18</x:f>
        <x:v>1278.7396909055988</x:v>
      </x:c>
      <x:c r="Z137" s="36" t="n">
        <x:f>ROUNDDOWN(D137/2,0)</x:f>
        <x:v>20</x:v>
      </x:c>
    </x:row>
    <x:row r="138" ht="30" customHeight="1">
      <x:c r="A138" s="22" t="str">
        <x:v>猩红卫士戒指</x:v>
      </x:c>
      <x:c r="B138" s="22" t="str">
        <x:v>C2制式本轮</x:v>
      </x:c>
      <x:c r="C138" s="22" t="str">
        <x:v>戒指</x:v>
      </x:c>
      <x:c r="D138" s="32" t="n">
        <x:v>44</x:v>
      </x:c>
      <x:c r="E138" s="32" t="n">
        <x:v>8</x:v>
      </x:c>
      <x:c r="F138" s="32" t="n">
        <x:v>4</x:v>
      </x:c>
      <x:c r="G138" s="32" t="n">
        <x:v>3</x:v>
      </x:c>
      <x:c r="H138" s="32" t="n">
        <x:v>5</x:v>
      </x:c>
      <x:c r="I138" s="32" t="n">
        <x:v>0</x:v>
      </x:c>
      <x:c r="J138" s="32" t="n">
        <x:v>0</x:v>
      </x:c>
      <x:c r="K138" s="32" t="n">
        <x:v>0</x:v>
      </x:c>
      <x:c r="L138" s="32" t="n">
        <x:v>0</x:v>
      </x:c>
      <x:c r="M138" s="32" t="n">
        <x:v>0</x:v>
      </x:c>
      <x:c r="N138" s="32" t="n">
        <x:v>15000</x:v>
      </x:c>
      <x:c r="O138" s="32" t="n">
        <x:v>0</x:v>
      </x:c>
      <x:c r="P138" s="32" t="n">
        <x:v>18</x:v>
      </x:c>
      <x:c r="Q138" s="32" t="n">
        <x:v>2</x:v>
      </x:c>
      <x:c r="R138" s="32" t="n">
        <x:v>0</x:v>
      </x:c>
      <x:c r="S138" s="32" t="n">
        <x:v>0</x:v>
      </x:c>
      <x:c r="T138" s="32" t="n">
        <x:v>0</x:v>
      </x:c>
      <x:c r="U138" s="32" t="n">
        <x:v>0</x:v>
      </x:c>
      <x:c r="V138" s="32" t="n">
        <x:v>0</x:v>
      </x:c>
      <x:c r="W138" s="32" t="n">
        <x:v>0</x:v>
      </x:c>
      <x:c r="X138" s="34" t="n">
        <x:f>('01_比较参数'!$B$2+D138)*(1+('01_比较参数'!$B$5+E138)/'01_比较参数'!$B$14)*(1+('01_比较参数'!$B$6+F138)/'01_比较参数'!$B$14)*(1+('01_比较参数'!$B$7+G138)/'01_比较参数'!$B$14)*(1+('01_比较参数'!$B$8+I138/'01_比较参数'!$B$14)*('01_比较参数'!$B$12-1+('01_比较参数'!$B$9+H138)/'01_比较参数'!$B$14))*(1+('01_比较参数'!$B$10+J138/'01_比较参数'!$B$14)*('01_比较参数'!$B$13-1+('01_比较参数'!$B$11+K138)/'01_比较参数'!$B$14))*(1+L138/'01_比较参数'!$B$14)*(1+M138/'01_比较参数'!$B$14)</x:f>
        <x:v>11290.88669270016</x:v>
      </x:c>
      <x:c r="Y138" s="34" t="n">
        <x:f>X138-'01_比较参数'!$B$18</x:f>
        <x:v>1307.9906927001575</x:v>
      </x:c>
      <x:c r="Z138" s="36" t="n">
        <x:f>ROUNDDOWN(D138/2,0)</x:f>
        <x:v>22</x:v>
      </x:c>
    </x:row>
    <x:row r="139" ht="30" customHeight="1">
      <x:c r="A139" s="22" t="str">
        <x:v>猩红卫士腰带</x:v>
      </x:c>
      <x:c r="B139" s="22" t="str">
        <x:v>C2制式本轮</x:v>
      </x:c>
      <x:c r="C139" s="22" t="str">
        <x:v>腰带</x:v>
      </x:c>
      <x:c r="D139" s="32" t="n">
        <x:v>34</x:v>
      </x:c>
      <x:c r="E139" s="32" t="n">
        <x:v>8</x:v>
      </x:c>
      <x:c r="F139" s="32" t="n">
        <x:v>0</x:v>
      </x:c>
      <x:c r="G139" s="32" t="n">
        <x:v>0</x:v>
      </x:c>
      <x:c r="H139" s="32" t="n">
        <x:v>0</x:v>
      </x:c>
      <x:c r="I139" s="32" t="n">
        <x:v>0</x:v>
      </x:c>
      <x:c r="J139" s="32" t="n">
        <x:v>0</x:v>
      </x:c>
      <x:c r="K139" s="32" t="n">
        <x:v>0</x:v>
      </x:c>
      <x:c r="L139" s="32" t="n">
        <x:v>0</x:v>
      </x:c>
      <x:c r="M139" s="32" t="n">
        <x:v>0</x:v>
      </x:c>
      <x:c r="N139" s="32" t="n">
        <x:v>18750</x:v>
      </x:c>
      <x:c r="O139" s="32" t="n">
        <x:v>0</x:v>
      </x:c>
      <x:c r="P139" s="32" t="n">
        <x:v>33</x:v>
      </x:c>
      <x:c r="Q139" s="32" t="n">
        <x:v>4</x:v>
      </x:c>
      <x:c r="R139" s="32" t="n">
        <x:v>0</x:v>
      </x:c>
      <x:c r="S139" s="32" t="n">
        <x:v>0</x:v>
      </x:c>
      <x:c r="T139" s="32" t="n">
        <x:v>0</x:v>
      </x:c>
      <x:c r="U139" s="32" t="n">
        <x:v>0</x:v>
      </x:c>
      <x:c r="V139" s="32" t="n">
        <x:v>0</x:v>
      </x:c>
      <x:c r="W139" s="32" t="n">
        <x:v>0</x:v>
      </x:c>
      <x:c r="X139" s="34" t="n">
        <x:f>('01_比较参数'!$B$2+D139)*(1+('01_比较参数'!$B$5+E139)/'01_比较参数'!$B$14)*(1+('01_比较参数'!$B$6+F139)/'01_比较参数'!$B$14)*(1+('01_比较参数'!$B$7+G139)/'01_比较参数'!$B$14)*(1+('01_比较参数'!$B$8+I139/'01_比较参数'!$B$14)*('01_比较参数'!$B$12-1+('01_比较参数'!$B$9+H139)/'01_比较参数'!$B$14))*(1+('01_比较参数'!$B$10+J139/'01_比较参数'!$B$14)*('01_比较参数'!$B$13-1+('01_比较参数'!$B$11+K139)/'01_比较参数'!$B$14))*(1+L139/'01_比较参数'!$B$14)*(1+M139/'01_比较参数'!$B$14)</x:f>
        <x:v>10580.417702400002</x:v>
      </x:c>
      <x:c r="Y139" s="34" t="n">
        <x:f>X139-'01_比较参数'!$B$18</x:f>
        <x:v>597.5217023999994</x:v>
      </x:c>
      <x:c r="Z139" s="36" t="n">
        <x:f>ROUNDDOWN(D139/2,0)</x:f>
        <x:v>17</x:v>
      </x:c>
    </x:row>
    <x:row r="140" ht="30" customHeight="1">
      <x:c r="A140" s="22" t="str">
        <x:v>猩红卫士战靴</x:v>
      </x:c>
      <x:c r="B140" s="22" t="str">
        <x:v>C2制式本轮</x:v>
      </x:c>
      <x:c r="C140" s="22" t="str">
        <x:v>鞋子</x:v>
      </x:c>
      <x:c r="D140" s="32" t="n">
        <x:v>34</x:v>
      </x:c>
      <x:c r="E140" s="32" t="n">
        <x:v>8</x:v>
      </x:c>
      <x:c r="F140" s="32" t="n">
        <x:v>0</x:v>
      </x:c>
      <x:c r="G140" s="32" t="n">
        <x:v>0</x:v>
      </x:c>
      <x:c r="H140" s="32" t="n">
        <x:v>0</x:v>
      </x:c>
      <x:c r="I140" s="32" t="n">
        <x:v>0</x:v>
      </x:c>
      <x:c r="J140" s="32" t="n">
        <x:v>0</x:v>
      </x:c>
      <x:c r="K140" s="32" t="n">
        <x:v>0</x:v>
      </x:c>
      <x:c r="L140" s="32" t="n">
        <x:v>0</x:v>
      </x:c>
      <x:c r="M140" s="32" t="n">
        <x:v>0</x:v>
      </x:c>
      <x:c r="N140" s="32" t="n">
        <x:v>18750</x:v>
      </x:c>
      <x:c r="O140" s="32" t="n">
        <x:v>0</x:v>
      </x:c>
      <x:c r="P140" s="32" t="n">
        <x:v>33</x:v>
      </x:c>
      <x:c r="Q140" s="32" t="n">
        <x:v>3</x:v>
      </x:c>
      <x:c r="R140" s="32" t="n">
        <x:v>0</x:v>
      </x:c>
      <x:c r="S140" s="32" t="n">
        <x:v>0</x:v>
      </x:c>
      <x:c r="T140" s="32" t="n">
        <x:v>0</x:v>
      </x:c>
      <x:c r="U140" s="32" t="n">
        <x:v>0</x:v>
      </x:c>
      <x:c r="V140" s="32" t="n">
        <x:v>0</x:v>
      </x:c>
      <x:c r="W140" s="32" t="n">
        <x:v>0</x:v>
      </x:c>
      <x:c r="X140" s="34" t="n">
        <x:f>('01_比较参数'!$B$2+D140)*(1+('01_比较参数'!$B$5+E140)/'01_比较参数'!$B$14)*(1+('01_比较参数'!$B$6+F140)/'01_比较参数'!$B$14)*(1+('01_比较参数'!$B$7+G140)/'01_比较参数'!$B$14)*(1+('01_比较参数'!$B$8+I140/'01_比较参数'!$B$14)*('01_比较参数'!$B$12-1+('01_比较参数'!$B$9+H140)/'01_比较参数'!$B$14))*(1+('01_比较参数'!$B$10+J140/'01_比较参数'!$B$14)*('01_比较参数'!$B$13-1+('01_比较参数'!$B$11+K140)/'01_比较参数'!$B$14))*(1+L140/'01_比较参数'!$B$14)*(1+M140/'01_比较参数'!$B$14)</x:f>
        <x:v>10580.417702400002</x:v>
      </x:c>
      <x:c r="Y140" s="34" t="n">
        <x:f>X140-'01_比较参数'!$B$18</x:f>
        <x:v>597.5217023999994</x:v>
      </x:c>
      <x:c r="Z140" s="36" t="n">
        <x:f>ROUNDDOWN(D140/2,0)</x:f>
        <x:v>17</x:v>
      </x:c>
    </x:row>
    <x:row r="141" ht="30" customHeight="1">
      <x:c r="A141" s="22" t="str">
        <x:v>冻原斗士刃</x:v>
      </x:c>
      <x:c r="B141" s="22" t="str">
        <x:v>C2制式本轮</x:v>
      </x:c>
      <x:c r="C141" s="22" t="str">
        <x:v>武器</x:v>
      </x:c>
      <x:c r="D141" s="32" t="n">
        <x:v>425</x:v>
      </x:c>
      <x:c r="E141" s="32" t="n">
        <x:v>31</x:v>
      </x:c>
      <x:c r="F141" s="32" t="n">
        <x:v>17</x:v>
      </x:c>
      <x:c r="G141" s="32" t="n">
        <x:v>7</x:v>
      </x:c>
      <x:c r="H141" s="32" t="n">
        <x:v>11</x:v>
      </x:c>
      <x:c r="I141" s="32" t="n">
        <x:v>0</x:v>
      </x:c>
      <x:c r="J141" s="32" t="n">
        <x:v>0</x:v>
      </x:c>
      <x:c r="K141" s="32" t="n">
        <x:v>0</x:v>
      </x:c>
      <x:c r="L141" s="32" t="n">
        <x:v>0</x:v>
      </x:c>
      <x:c r="M141" s="32" t="n">
        <x:v>0</x:v>
      </x:c>
      <x:c r="N141" s="32" t="n">
        <x:v>1</x:v>
      </x:c>
      <x:c r="O141" s="32" t="n">
        <x:v>0</x:v>
      </x:c>
      <x:c r="P141" s="32" t="n">
        <x:v>0</x:v>
      </x:c>
      <x:c r="Q141" s="32" t="n">
        <x:v>0</x:v>
      </x:c>
      <x:c r="R141" s="32" t="n">
        <x:v>0</x:v>
      </x:c>
      <x:c r="S141" s="32" t="n">
        <x:v>0</x:v>
      </x:c>
      <x:c r="T141" s="32" t="n">
        <x:v>10</x:v>
      </x:c>
      <x:c r="U141" s="32" t="n">
        <x:v>0</x:v>
      </x:c>
      <x:c r="V141" s="32" t="n">
        <x:v>0</x:v>
      </x:c>
      <x:c r="W141" s="32" t="n">
        <x:v>0</x:v>
      </x:c>
      <x:c r="X141" s="34" t="n">
        <x:f>('01_比较参数'!$B$2+D141)*(1+('01_比较参数'!$B$5+E141)/'01_比较参数'!$B$14)*(1+('01_比较参数'!$B$6+F141)/'01_比较参数'!$B$14)*(1+('01_比较参数'!$B$7+G141)/'01_比较参数'!$B$14)*(1+('01_比较参数'!$B$8+I141/'01_比较参数'!$B$14)*('01_比较参数'!$B$12-1+('01_比较参数'!$B$9+H141)/'01_比较参数'!$B$14))*(1+('01_比较参数'!$B$10+J141/'01_比较参数'!$B$14)*('01_比较参数'!$B$13-1+('01_比较参数'!$B$11+K141)/'01_比较参数'!$B$14))*(1+L141/'01_比较参数'!$B$14)*(1+M141/'01_比较参数'!$B$14)</x:f>
        <x:v>17455.8691078002</x:v>
      </x:c>
      <x:c r="Y141" s="34" t="n">
        <x:f>X141-'01_比较参数'!$B$18</x:f>
        <x:v>7472.973107800199</x:v>
      </x:c>
      <x:c r="Z141" s="36" t="n">
        <x:f>ROUNDDOWN(D141/2,0)</x:f>
        <x:v>212</x:v>
      </x:c>
    </x:row>
    <x:row r="142" ht="30" customHeight="1">
      <x:c r="A142" s="22" t="str">
        <x:v>冻原斗士战甲</x:v>
      </x:c>
      <x:c r="B142" s="22" t="str">
        <x:v>C2制式本轮</x:v>
      </x:c>
      <x:c r="C142" s="22" t="str">
        <x:v>衣服</x:v>
      </x:c>
      <x:c r="D142" s="32" t="n">
        <x:v>51</x:v>
      </x:c>
      <x:c r="E142" s="32" t="n">
        <x:v>9</x:v>
      </x:c>
      <x:c r="F142" s="32" t="n">
        <x:v>0</x:v>
      </x:c>
      <x:c r="G142" s="32" t="n">
        <x:v>0</x:v>
      </x:c>
      <x:c r="H142" s="32" t="n">
        <x:v>0</x:v>
      </x:c>
      <x:c r="I142" s="32" t="n">
        <x:v>0</x:v>
      </x:c>
      <x:c r="J142" s="32" t="n">
        <x:v>0</x:v>
      </x:c>
      <x:c r="K142" s="32" t="n">
        <x:v>0</x:v>
      </x:c>
      <x:c r="L142" s="32" t="n">
        <x:v>0</x:v>
      </x:c>
      <x:c r="M142" s="32" t="n">
        <x:v>0</x:v>
      </x:c>
      <x:c r="N142" s="32" t="n">
        <x:v>80000</x:v>
      </x:c>
      <x:c r="O142" s="32" t="n">
        <x:v>3</x:v>
      </x:c>
      <x:c r="P142" s="32" t="n">
        <x:v>64</x:v>
      </x:c>
      <x:c r="Q142" s="32" t="n">
        <x:v>9</x:v>
      </x:c>
      <x:c r="R142" s="32" t="n">
        <x:v>0</x:v>
      </x:c>
      <x:c r="S142" s="32" t="n">
        <x:v>0</x:v>
      </x:c>
      <x:c r="T142" s="32" t="n">
        <x:v>0</x:v>
      </x:c>
      <x:c r="U142" s="32" t="n">
        <x:v>0</x:v>
      </x:c>
      <x:c r="V142" s="32" t="n">
        <x:v>0</x:v>
      </x:c>
      <x:c r="W142" s="32" t="n">
        <x:v>0</x:v>
      </x:c>
      <x:c r="X142" s="34" t="n">
        <x:f>('01_比较参数'!$B$2+D142)*(1+('01_比较参数'!$B$5+E142)/'01_比较参数'!$B$14)*(1+('01_比较参数'!$B$6+F142)/'01_比较参数'!$B$14)*(1+('01_比较参数'!$B$7+G142)/'01_比较参数'!$B$14)*(1+('01_比较参数'!$B$8+I142/'01_比较参数'!$B$14)*('01_比较参数'!$B$12-1+('01_比较参数'!$B$9+H142)/'01_比较参数'!$B$14))*(1+('01_比较参数'!$B$10+J142/'01_比较参数'!$B$14)*('01_比较参数'!$B$13-1+('01_比较参数'!$B$11+K142)/'01_比较参数'!$B$14))*(1+L142/'01_比较参数'!$B$14)*(1+M142/'01_比较参数'!$B$14)</x:f>
        <x:v>10744.590964800002</x:v>
      </x:c>
      <x:c r="Y142" s="34" t="n">
        <x:f>X142-'01_比较参数'!$B$18</x:f>
        <x:v>761.6949647999991</x:v>
      </x:c>
      <x:c r="Z142" s="36" t="n">
        <x:f>ROUNDDOWN(D142/2,0)</x:f>
        <x:v>25</x:v>
      </x:c>
    </x:row>
    <x:row r="143" ht="30" customHeight="1">
      <x:c r="A143" s="22" t="str">
        <x:v>冻原斗士战盔</x:v>
      </x:c>
      <x:c r="B143" s="22" t="str">
        <x:v>C2制式本轮</x:v>
      </x:c>
      <x:c r="C143" s="22" t="str">
        <x:v>头盔</x:v>
      </x:c>
      <x:c r="D143" s="32" t="n">
        <x:v>36</x:v>
      </x:c>
      <x:c r="E143" s="32" t="n">
        <x:v>9</x:v>
      </x:c>
      <x:c r="F143" s="32" t="n">
        <x:v>0</x:v>
      </x:c>
      <x:c r="G143" s="32" t="n">
        <x:v>0</x:v>
      </x:c>
      <x:c r="H143" s="32" t="n">
        <x:v>0</x:v>
      </x:c>
      <x:c r="I143" s="32" t="n">
        <x:v>0</x:v>
      </x:c>
      <x:c r="J143" s="32" t="n">
        <x:v>0</x:v>
      </x:c>
      <x:c r="K143" s="32" t="n">
        <x:v>0</x:v>
      </x:c>
      <x:c r="L143" s="32" t="n">
        <x:v>0</x:v>
      </x:c>
      <x:c r="M143" s="32" t="n">
        <x:v>0</x:v>
      </x:c>
      <x:c r="N143" s="32" t="n">
        <x:v>20000</x:v>
      </x:c>
      <x:c r="O143" s="32" t="n">
        <x:v>0</x:v>
      </x:c>
      <x:c r="P143" s="32" t="n">
        <x:v>33</x:v>
      </x:c>
      <x:c r="Q143" s="32" t="n">
        <x:v>4</x:v>
      </x:c>
      <x:c r="R143" s="32" t="n">
        <x:v>0</x:v>
      </x:c>
      <x:c r="S143" s="32" t="n">
        <x:v>0</x:v>
      </x:c>
      <x:c r="T143" s="32" t="n">
        <x:v>0</x:v>
      </x:c>
      <x:c r="U143" s="32" t="n">
        <x:v>0</x:v>
      </x:c>
      <x:c r="V143" s="32" t="n">
        <x:v>0</x:v>
      </x:c>
      <x:c r="W143" s="32" t="n">
        <x:v>0</x:v>
      </x:c>
      <x:c r="X143" s="34" t="n">
        <x:f>('01_比较参数'!$B$2+D143)*(1+('01_比较参数'!$B$5+E143)/'01_比较参数'!$B$14)*(1+('01_比较参数'!$B$6+F143)/'01_比较参数'!$B$14)*(1+('01_比较参数'!$B$7+G143)/'01_比较参数'!$B$14)*(1+('01_比较参数'!$B$8+I143/'01_比较参数'!$B$14)*('01_比较参数'!$B$12-1+('01_比较参数'!$B$9+H143)/'01_比较参数'!$B$14))*(1+('01_比较参数'!$B$10+J143/'01_比较参数'!$B$14)*('01_比较参数'!$B$13-1+('01_比较参数'!$B$11+K143)/'01_比较参数'!$B$14))*(1+L143/'01_比较参数'!$B$14)*(1+M143/'01_比较参数'!$B$14)</x:f>
        <x:v>10640.678092800003</x:v>
      </x:c>
      <x:c r="Y143" s="34" t="n">
        <x:f>X143-'01_比较参数'!$B$18</x:f>
        <x:v>657.7820928000001</x:v>
      </x:c>
      <x:c r="Z143" s="36" t="n">
        <x:f>ROUNDDOWN(D143/2,0)</x:f>
        <x:v>18</x:v>
      </x:c>
    </x:row>
    <x:row r="144" ht="30" customHeight="1">
      <x:c r="A144" s="22" t="str">
        <x:v>冻原斗士项链</x:v>
      </x:c>
      <x:c r="B144" s="22" t="str">
        <x:v>C2制式本轮</x:v>
      </x:c>
      <x:c r="C144" s="22" t="str">
        <x:v>项链</x:v>
      </x:c>
      <x:c r="D144" s="32" t="n">
        <x:v>47</x:v>
      </x:c>
      <x:c r="E144" s="32" t="n">
        <x:v>10</x:v>
      </x:c>
      <x:c r="F144" s="32" t="n">
        <x:v>5</x:v>
      </x:c>
      <x:c r="G144" s="32" t="n">
        <x:v>3</x:v>
      </x:c>
      <x:c r="H144" s="32" t="n">
        <x:v>5</x:v>
      </x:c>
      <x:c r="I144" s="32" t="n">
        <x:v>0</x:v>
      </x:c>
      <x:c r="J144" s="32" t="n">
        <x:v>0</x:v>
      </x:c>
      <x:c r="K144" s="32" t="n">
        <x:v>0</x:v>
      </x:c>
      <x:c r="L144" s="32" t="n">
        <x:v>0</x:v>
      </x:c>
      <x:c r="M144" s="32" t="n">
        <x:v>0</x:v>
      </x:c>
      <x:c r="N144" s="32" t="n">
        <x:v>12000</x:v>
      </x:c>
      <x:c r="O144" s="32" t="n">
        <x:v>0</x:v>
      </x:c>
      <x:c r="P144" s="32" t="n">
        <x:v>0</x:v>
      </x:c>
      <x:c r="Q144" s="32" t="n">
        <x:v>0</x:v>
      </x:c>
      <x:c r="R144" s="32" t="n">
        <x:v>0</x:v>
      </x:c>
      <x:c r="S144" s="32" t="n">
        <x:v>0</x:v>
      </x:c>
      <x:c r="T144" s="32" t="n">
        <x:v>0</x:v>
      </x:c>
      <x:c r="U144" s="32" t="n">
        <x:v>0</x:v>
      </x:c>
      <x:c r="V144" s="32" t="n">
        <x:v>0</x:v>
      </x:c>
      <x:c r="W144" s="32" t="n">
        <x:v>0</x:v>
      </x:c>
      <x:c r="X144" s="34" t="n">
        <x:f>('01_比较参数'!$B$2+D144)*(1+('01_比较参数'!$B$5+E144)/'01_比较参数'!$B$14)*(1+('01_比较参数'!$B$6+F144)/'01_比较参数'!$B$14)*(1+('01_比较参数'!$B$7+G144)/'01_比较参数'!$B$14)*(1+('01_比较参数'!$B$8+I144/'01_比较参数'!$B$14)*('01_比较参数'!$B$12-1+('01_比较参数'!$B$9+H144)/'01_比较参数'!$B$14))*(1+('01_比较参数'!$B$10+J144/'01_比较参数'!$B$14)*('01_比较参数'!$B$13-1+('01_比较参数'!$B$11+K144)/'01_比较参数'!$B$14))*(1+L144/'01_比较参数'!$B$14)*(1+M144/'01_比较参数'!$B$14)</x:f>
        <x:v>11481.645983807999</x:v>
      </x:c>
      <x:c r="Y144" s="34" t="n">
        <x:f>X144-'01_比较参数'!$B$18</x:f>
        <x:v>1498.7499838079966</x:v>
      </x:c>
      <x:c r="Z144" s="36" t="n">
        <x:f>ROUNDDOWN(D144/2,0)</x:f>
        <x:v>23</x:v>
      </x:c>
    </x:row>
    <x:row r="145" ht="30" customHeight="1">
      <x:c r="A145" s="22" t="str">
        <x:v>冻原斗士腕甲</x:v>
      </x:c>
      <x:c r="B145" s="22" t="str">
        <x:v>C2制式本轮</x:v>
      </x:c>
      <x:c r="C145" s="22" t="str">
        <x:v>手镯</x:v>
      </x:c>
      <x:c r="D145" s="32" t="n">
        <x:v>42</x:v>
      </x:c>
      <x:c r="E145" s="32" t="n">
        <x:v>8</x:v>
      </x:c>
      <x:c r="F145" s="32" t="n">
        <x:v>5</x:v>
      </x:c>
      <x:c r="G145" s="32" t="n">
        <x:v>3</x:v>
      </x:c>
      <x:c r="H145" s="32" t="n">
        <x:v>5</x:v>
      </x:c>
      <x:c r="I145" s="32" t="n">
        <x:v>0</x:v>
      </x:c>
      <x:c r="J145" s="32" t="n">
        <x:v>0</x:v>
      </x:c>
      <x:c r="K145" s="32" t="n">
        <x:v>0</x:v>
      </x:c>
      <x:c r="L145" s="32" t="n">
        <x:v>0</x:v>
      </x:c>
      <x:c r="M145" s="32" t="n">
        <x:v>0</x:v>
      </x:c>
      <x:c r="N145" s="32" t="n">
        <x:v>16000</x:v>
      </x:c>
      <x:c r="O145" s="32" t="n">
        <x:v>0</x:v>
      </x:c>
      <x:c r="P145" s="32" t="n">
        <x:v>24</x:v>
      </x:c>
      <x:c r="Q145" s="32" t="n">
        <x:v>2</x:v>
      </x:c>
      <x:c r="R145" s="32" t="n">
        <x:v>0</x:v>
      </x:c>
      <x:c r="S145" s="32" t="n">
        <x:v>0</x:v>
      </x:c>
      <x:c r="T145" s="32" t="n">
        <x:v>0</x:v>
      </x:c>
      <x:c r="U145" s="32" t="n">
        <x:v>0</x:v>
      </x:c>
      <x:c r="V145" s="32" t="n">
        <x:v>0</x:v>
      </x:c>
      <x:c r="W145" s="32" t="n">
        <x:v>0</x:v>
      </x:c>
      <x:c r="X145" s="34" t="n">
        <x:f>('01_比较参数'!$B$2+D145)*(1+('01_比较参数'!$B$5+E145)/'01_比较参数'!$B$14)*(1+('01_比较参数'!$B$6+F145)/'01_比较参数'!$B$14)*(1+('01_比较参数'!$B$7+G145)/'01_比较参数'!$B$14)*(1+('01_比较参数'!$B$8+I145/'01_比较参数'!$B$14)*('01_比较参数'!$B$12-1+('01_比较参数'!$B$9+H145)/'01_比较参数'!$B$14))*(1+('01_比较参数'!$B$10+J145/'01_比较参数'!$B$14)*('01_比较参数'!$B$13-1+('01_比较参数'!$B$11+K145)/'01_比较参数'!$B$14))*(1+L145/'01_比较参数'!$B$14)*(1+M145/'01_比较参数'!$B$14)</x:f>
        <x:v>11345.018881996799</x:v>
      </x:c>
      <x:c r="Y145" s="34" t="n">
        <x:f>X145-'01_比较参数'!$B$18</x:f>
        <x:v>1362.1228819967964</x:v>
      </x:c>
      <x:c r="Z145" s="36" t="n">
        <x:f>ROUNDDOWN(D145/2,0)</x:f>
        <x:v>21</x:v>
      </x:c>
    </x:row>
    <x:row r="146" ht="30" customHeight="1">
      <x:c r="A146" s="22" t="str">
        <x:v>冻原斗士戒指</x:v>
      </x:c>
      <x:c r="B146" s="22" t="str">
        <x:v>C2制式本轮</x:v>
      </x:c>
      <x:c r="C146" s="22" t="str">
        <x:v>戒指</x:v>
      </x:c>
      <x:c r="D146" s="32" t="n">
        <x:v>47</x:v>
      </x:c>
      <x:c r="E146" s="32" t="n">
        <x:v>8</x:v>
      </x:c>
      <x:c r="F146" s="32" t="n">
        <x:v>5</x:v>
      </x:c>
      <x:c r="G146" s="32" t="n">
        <x:v>3</x:v>
      </x:c>
      <x:c r="H146" s="32" t="n">
        <x:v>5</x:v>
      </x:c>
      <x:c r="I146" s="32" t="n">
        <x:v>0</x:v>
      </x:c>
      <x:c r="J146" s="32" t="n">
        <x:v>0</x:v>
      </x:c>
      <x:c r="K146" s="32" t="n">
        <x:v>0</x:v>
      </x:c>
      <x:c r="L146" s="32" t="n">
        <x:v>0</x:v>
      </x:c>
      <x:c r="M146" s="32" t="n">
        <x:v>0</x:v>
      </x:c>
      <x:c r="N146" s="32" t="n">
        <x:v>16000</x:v>
      </x:c>
      <x:c r="O146" s="32" t="n">
        <x:v>0</x:v>
      </x:c>
      <x:c r="P146" s="32" t="n">
        <x:v>20</x:v>
      </x:c>
      <x:c r="Q146" s="32" t="n">
        <x:v>2</x:v>
      </x:c>
      <x:c r="R146" s="32" t="n">
        <x:v>0</x:v>
      </x:c>
      <x:c r="S146" s="32" t="n">
        <x:v>0</x:v>
      </x:c>
      <x:c r="T146" s="32" t="n">
        <x:v>0</x:v>
      </x:c>
      <x:c r="U146" s="32" t="n">
        <x:v>0</x:v>
      </x:c>
      <x:c r="V146" s="32" t="n">
        <x:v>0</x:v>
      </x:c>
      <x:c r="W146" s="32" t="n">
        <x:v>0</x:v>
      </x:c>
      <x:c r="X146" s="34" t="n">
        <x:f>('01_比较参数'!$B$2+D146)*(1+('01_比较参数'!$B$5+E146)/'01_比较参数'!$B$14)*(1+('01_比较参数'!$B$6+F146)/'01_比较参数'!$B$14)*(1+('01_比较参数'!$B$7+G146)/'01_比较参数'!$B$14)*(1+('01_比较参数'!$B$8+I146/'01_比较参数'!$B$14)*('01_比较参数'!$B$12-1+('01_比较参数'!$B$9+H146)/'01_比较参数'!$B$14))*(1+('01_比较参数'!$B$10+J146/'01_比较参数'!$B$14)*('01_比较参数'!$B$13-1+('01_比较参数'!$B$11+K146)/'01_比较参数'!$B$14))*(1+L146/'01_比较参数'!$B$14)*(1+M146/'01_比较参数'!$B$14)</x:f>
        <x:v>11381.8055839488</x:v>
      </x:c>
      <x:c r="Y146" s="34" t="n">
        <x:f>X146-'01_比较参数'!$B$18</x:f>
        <x:v>1398.9095839487982</x:v>
      </x:c>
      <x:c r="Z146" s="36" t="n">
        <x:f>ROUNDDOWN(D146/2,0)</x:f>
        <x:v>23</x:v>
      </x:c>
    </x:row>
    <x:row r="147" ht="30" customHeight="1">
      <x:c r="A147" s="22" t="str">
        <x:v>冻原斗士腰带</x:v>
      </x:c>
      <x:c r="B147" s="22" t="str">
        <x:v>C2制式本轮</x:v>
      </x:c>
      <x:c r="C147" s="22" t="str">
        <x:v>腰带</x:v>
      </x:c>
      <x:c r="D147" s="32" t="n">
        <x:v>36</x:v>
      </x:c>
      <x:c r="E147" s="32" t="n">
        <x:v>9</x:v>
      </x:c>
      <x:c r="F147" s="32" t="n">
        <x:v>0</x:v>
      </x:c>
      <x:c r="G147" s="32" t="n">
        <x:v>0</x:v>
      </x:c>
      <x:c r="H147" s="32" t="n">
        <x:v>0</x:v>
      </x:c>
      <x:c r="I147" s="32" t="n">
        <x:v>0</x:v>
      </x:c>
      <x:c r="J147" s="32" t="n">
        <x:v>0</x:v>
      </x:c>
      <x:c r="K147" s="32" t="n">
        <x:v>0</x:v>
      </x:c>
      <x:c r="L147" s="32" t="n">
        <x:v>0</x:v>
      </x:c>
      <x:c r="M147" s="32" t="n">
        <x:v>0</x:v>
      </x:c>
      <x:c r="N147" s="32" t="n">
        <x:v>20000</x:v>
      </x:c>
      <x:c r="O147" s="32" t="n">
        <x:v>0</x:v>
      </x:c>
      <x:c r="P147" s="32" t="n">
        <x:v>35</x:v>
      </x:c>
      <x:c r="Q147" s="32" t="n">
        <x:v>4</x:v>
      </x:c>
      <x:c r="R147" s="32" t="n">
        <x:v>0</x:v>
      </x:c>
      <x:c r="S147" s="32" t="n">
        <x:v>0</x:v>
      </x:c>
      <x:c r="T147" s="32" t="n">
        <x:v>0</x:v>
      </x:c>
      <x:c r="U147" s="32" t="n">
        <x:v>0</x:v>
      </x:c>
      <x:c r="V147" s="32" t="n">
        <x:v>0</x:v>
      </x:c>
      <x:c r="W147" s="32" t="n">
        <x:v>0</x:v>
      </x:c>
      <x:c r="X147" s="34" t="n">
        <x:f>('01_比较参数'!$B$2+D147)*(1+('01_比较参数'!$B$5+E147)/'01_比较参数'!$B$14)*(1+('01_比较参数'!$B$6+F147)/'01_比较参数'!$B$14)*(1+('01_比较参数'!$B$7+G147)/'01_比较参数'!$B$14)*(1+('01_比较参数'!$B$8+I147/'01_比较参数'!$B$14)*('01_比较参数'!$B$12-1+('01_比较参数'!$B$9+H147)/'01_比较参数'!$B$14))*(1+('01_比较参数'!$B$10+J147/'01_比较参数'!$B$14)*('01_比较参数'!$B$13-1+('01_比较参数'!$B$11+K147)/'01_比较参数'!$B$14))*(1+L147/'01_比较参数'!$B$14)*(1+M147/'01_比较参数'!$B$14)</x:f>
        <x:v>10640.678092800003</x:v>
      </x:c>
      <x:c r="Y147" s="34" t="n">
        <x:f>X147-'01_比较参数'!$B$18</x:f>
        <x:v>657.7820928000001</x:v>
      </x:c>
      <x:c r="Z147" s="36" t="n">
        <x:f>ROUNDDOWN(D147/2,0)</x:f>
        <x:v>18</x:v>
      </x:c>
    </x:row>
    <x:row r="148" ht="30" customHeight="1">
      <x:c r="A148" s="22" t="str">
        <x:v>冻原斗士战靴</x:v>
      </x:c>
      <x:c r="B148" s="22" t="str">
        <x:v>C2制式本轮</x:v>
      </x:c>
      <x:c r="C148" s="22" t="str">
        <x:v>鞋子</x:v>
      </x:c>
      <x:c r="D148" s="32" t="n">
        <x:v>36</x:v>
      </x:c>
      <x:c r="E148" s="32" t="n">
        <x:v>9</x:v>
      </x:c>
      <x:c r="F148" s="32" t="n">
        <x:v>0</x:v>
      </x:c>
      <x:c r="G148" s="32" t="n">
        <x:v>0</x:v>
      </x:c>
      <x:c r="H148" s="32" t="n">
        <x:v>0</x:v>
      </x:c>
      <x:c r="I148" s="32" t="n">
        <x:v>0</x:v>
      </x:c>
      <x:c r="J148" s="32" t="n">
        <x:v>0</x:v>
      </x:c>
      <x:c r="K148" s="32" t="n">
        <x:v>0</x:v>
      </x:c>
      <x:c r="L148" s="32" t="n">
        <x:v>0</x:v>
      </x:c>
      <x:c r="M148" s="32" t="n">
        <x:v>0</x:v>
      </x:c>
      <x:c r="N148" s="32" t="n">
        <x:v>20000</x:v>
      </x:c>
      <x:c r="O148" s="32" t="n">
        <x:v>0</x:v>
      </x:c>
      <x:c r="P148" s="32" t="n">
        <x:v>35</x:v>
      </x:c>
      <x:c r="Q148" s="32" t="n">
        <x:v>3</x:v>
      </x:c>
      <x:c r="R148" s="32" t="n">
        <x:v>0</x:v>
      </x:c>
      <x:c r="S148" s="32" t="n">
        <x:v>0</x:v>
      </x:c>
      <x:c r="T148" s="32" t="n">
        <x:v>0</x:v>
      </x:c>
      <x:c r="U148" s="32" t="n">
        <x:v>0</x:v>
      </x:c>
      <x:c r="V148" s="32" t="n">
        <x:v>0</x:v>
      </x:c>
      <x:c r="W148" s="32" t="n">
        <x:v>0</x:v>
      </x:c>
      <x:c r="X148" s="34" t="n">
        <x:f>('01_比较参数'!$B$2+D148)*(1+('01_比较参数'!$B$5+E148)/'01_比较参数'!$B$14)*(1+('01_比较参数'!$B$6+F148)/'01_比较参数'!$B$14)*(1+('01_比较参数'!$B$7+G148)/'01_比较参数'!$B$14)*(1+('01_比较参数'!$B$8+I148/'01_比较参数'!$B$14)*('01_比较参数'!$B$12-1+('01_比较参数'!$B$9+H148)/'01_比较参数'!$B$14))*(1+('01_比较参数'!$B$10+J148/'01_比较参数'!$B$14)*('01_比较参数'!$B$13-1+('01_比较参数'!$B$11+K148)/'01_比较参数'!$B$14))*(1+L148/'01_比较参数'!$B$14)*(1+M148/'01_比较参数'!$B$14)</x:f>
        <x:v>10640.678092800003</x:v>
      </x:c>
      <x:c r="Y148" s="34" t="n">
        <x:f>X148-'01_比较参数'!$B$18</x:f>
        <x:v>657.7820928000001</x:v>
      </x:c>
      <x:c r="Z148" s="36" t="n">
        <x:f>ROUNDDOWN(D148/2,0)</x:f>
        <x:v>18</x:v>
      </x:c>
    </x:row>
    <x:row r="149" ht="30" customHeight="1">
      <x:c r="A149" s="22" t="str">
        <x:v>古龙近卫剑</x:v>
      </x:c>
      <x:c r="B149" s="22" t="str">
        <x:v>C2制式本轮</x:v>
      </x:c>
      <x:c r="C149" s="22" t="str">
        <x:v>武器</x:v>
      </x:c>
      <x:c r="D149" s="32" t="n">
        <x:v>450</x:v>
      </x:c>
      <x:c r="E149" s="32" t="n">
        <x:v>32</x:v>
      </x:c>
      <x:c r="F149" s="32" t="n">
        <x:v>18</x:v>
      </x:c>
      <x:c r="G149" s="32" t="n">
        <x:v>8</x:v>
      </x:c>
      <x:c r="H149" s="32" t="n">
        <x:v>12</x:v>
      </x:c>
      <x:c r="I149" s="32" t="n">
        <x:v>0</x:v>
      </x:c>
      <x:c r="J149" s="32" t="n">
        <x:v>0</x:v>
      </x:c>
      <x:c r="K149" s="32" t="n">
        <x:v>0</x:v>
      </x:c>
      <x:c r="L149" s="32" t="n">
        <x:v>0</x:v>
      </x:c>
      <x:c r="M149" s="32" t="n">
        <x:v>0</x:v>
      </x:c>
      <x:c r="N149" s="32" t="n">
        <x:v>1</x:v>
      </x:c>
      <x:c r="O149" s="32" t="n">
        <x:v>0</x:v>
      </x:c>
      <x:c r="P149" s="32" t="n">
        <x:v>0</x:v>
      </x:c>
      <x:c r="Q149" s="32" t="n">
        <x:v>0</x:v>
      </x:c>
      <x:c r="R149" s="32" t="n">
        <x:v>0</x:v>
      </x:c>
      <x:c r="S149" s="32" t="n">
        <x:v>0</x:v>
      </x:c>
      <x:c r="T149" s="32" t="n">
        <x:v>10</x:v>
      </x:c>
      <x:c r="U149" s="32" t="n">
        <x:v>0</x:v>
      </x:c>
      <x:c r="V149" s="32" t="n">
        <x:v>0</x:v>
      </x:c>
      <x:c r="W149" s="32" t="n">
        <x:v>0</x:v>
      </x:c>
      <x:c r="X149" s="34" t="n">
        <x:f>('01_比较参数'!$B$2+D149)*(1+('01_比较参数'!$B$5+E149)/'01_比较参数'!$B$14)*(1+('01_比较参数'!$B$6+F149)/'01_比较参数'!$B$14)*(1+('01_比较参数'!$B$7+G149)/'01_比较参数'!$B$14)*(1+('01_比较参数'!$B$8+I149/'01_比较参数'!$B$14)*('01_比较参数'!$B$12-1+('01_比较参数'!$B$9+H149)/'01_比较参数'!$B$14))*(1+('01_比较参数'!$B$10+J149/'01_比较参数'!$B$14)*('01_比较参数'!$B$13-1+('01_比较参数'!$B$11+K149)/'01_比较参数'!$B$14))*(1+L149/'01_比较参数'!$B$14)*(1+M149/'01_比较参数'!$B$14)</x:f>
        <x:v>18024.237134467203</x:v>
      </x:c>
      <x:c r="Y149" s="34" t="n">
        <x:f>X149-'01_比较参数'!$B$18</x:f>
        <x:v>8041.3411344672</x:v>
      </x:c>
      <x:c r="Z149" s="36" t="n">
        <x:f>ROUNDDOWN(D149/2,0)</x:f>
        <x:v>225</x:v>
      </x:c>
    </x:row>
    <x:row r="150" ht="30" customHeight="1">
      <x:c r="A150" s="22" t="str">
        <x:v>古龙近卫战甲</x:v>
      </x:c>
      <x:c r="B150" s="22" t="str">
        <x:v>C2制式本轮</x:v>
      </x:c>
      <x:c r="C150" s="22" t="str">
        <x:v>衣服</x:v>
      </x:c>
      <x:c r="D150" s="32" t="n">
        <x:v>54</x:v>
      </x:c>
      <x:c r="E150" s="32" t="n">
        <x:v>9</x:v>
      </x:c>
      <x:c r="F150" s="32" t="n">
        <x:v>0</x:v>
      </x:c>
      <x:c r="G150" s="32" t="n">
        <x:v>0</x:v>
      </x:c>
      <x:c r="H150" s="32" t="n">
        <x:v>0</x:v>
      </x:c>
      <x:c r="I150" s="32" t="n">
        <x:v>0</x:v>
      </x:c>
      <x:c r="J150" s="32" t="n">
        <x:v>0</x:v>
      </x:c>
      <x:c r="K150" s="32" t="n">
        <x:v>0</x:v>
      </x:c>
      <x:c r="L150" s="32" t="n">
        <x:v>0</x:v>
      </x:c>
      <x:c r="M150" s="32" t="n">
        <x:v>0</x:v>
      </x:c>
      <x:c r="N150" s="32" t="n">
        <x:v>85000</x:v>
      </x:c>
      <x:c r="O150" s="32" t="n">
        <x:v>3</x:v>
      </x:c>
      <x:c r="P150" s="32" t="n">
        <x:v>68</x:v>
      </x:c>
      <x:c r="Q150" s="32" t="n">
        <x:v>9</x:v>
      </x:c>
      <x:c r="R150" s="32" t="n">
        <x:v>0</x:v>
      </x:c>
      <x:c r="S150" s="32" t="n">
        <x:v>0</x:v>
      </x:c>
      <x:c r="T150" s="32" t="n">
        <x:v>0</x:v>
      </x:c>
      <x:c r="U150" s="32" t="n">
        <x:v>0</x:v>
      </x:c>
      <x:c r="V150" s="32" t="n">
        <x:v>0</x:v>
      </x:c>
      <x:c r="W150" s="32" t="n">
        <x:v>0</x:v>
      </x:c>
      <x:c r="X150" s="34" t="n">
        <x:f>('01_比较参数'!$B$2+D150)*(1+('01_比较参数'!$B$5+E150)/'01_比较参数'!$B$14)*(1+('01_比较参数'!$B$6+F150)/'01_比较参数'!$B$14)*(1+('01_比较参数'!$B$7+G150)/'01_比较参数'!$B$14)*(1+('01_比较参数'!$B$8+I150/'01_比较参数'!$B$14)*('01_比较参数'!$B$12-1+('01_比较参数'!$B$9+H150)/'01_比较参数'!$B$14))*(1+('01_比较参数'!$B$10+J150/'01_比较参数'!$B$14)*('01_比较参数'!$B$13-1+('01_比较参数'!$B$11+K150)/'01_比较参数'!$B$14))*(1+L150/'01_比较参数'!$B$14)*(1+M150/'01_比较参数'!$B$14)</x:f>
        <x:v>10765.3735392</x:v>
      </x:c>
      <x:c r="Y150" s="34" t="n">
        <x:f>X150-'01_比较参数'!$B$18</x:f>
        <x:v>782.4775391999974</x:v>
      </x:c>
      <x:c r="Z150" s="36" t="n">
        <x:f>ROUNDDOWN(D150/2,0)</x:f>
        <x:v>27</x:v>
      </x:c>
    </x:row>
    <x:row r="151" ht="30" customHeight="1">
      <x:c r="A151" s="22" t="str">
        <x:v>古龙近卫战盔</x:v>
      </x:c>
      <x:c r="B151" s="22" t="str">
        <x:v>C2制式本轮</x:v>
      </x:c>
      <x:c r="C151" s="22" t="str">
        <x:v>头盔</x:v>
      </x:c>
      <x:c r="D151" s="32" t="n">
        <x:v>38</x:v>
      </x:c>
      <x:c r="E151" s="32" t="n">
        <x:v>9</x:v>
      </x:c>
      <x:c r="F151" s="32" t="n">
        <x:v>0</x:v>
      </x:c>
      <x:c r="G151" s="32" t="n">
        <x:v>0</x:v>
      </x:c>
      <x:c r="H151" s="32" t="n">
        <x:v>0</x:v>
      </x:c>
      <x:c r="I151" s="32" t="n">
        <x:v>0</x:v>
      </x:c>
      <x:c r="J151" s="32" t="n">
        <x:v>0</x:v>
      </x:c>
      <x:c r="K151" s="32" t="n">
        <x:v>0</x:v>
      </x:c>
      <x:c r="L151" s="32" t="n">
        <x:v>0</x:v>
      </x:c>
      <x:c r="M151" s="32" t="n">
        <x:v>0</x:v>
      </x:c>
      <x:c r="N151" s="32" t="n">
        <x:v>21250</x:v>
      </x:c>
      <x:c r="O151" s="32" t="n">
        <x:v>0</x:v>
      </x:c>
      <x:c r="P151" s="32" t="n">
        <x:v>35</x:v>
      </x:c>
      <x:c r="Q151" s="32" t="n">
        <x:v>4</x:v>
      </x:c>
      <x:c r="R151" s="32" t="n">
        <x:v>0</x:v>
      </x:c>
      <x:c r="S151" s="32" t="n">
        <x:v>0</x:v>
      </x:c>
      <x:c r="T151" s="32" t="n">
        <x:v>0</x:v>
      </x:c>
      <x:c r="U151" s="32" t="n">
        <x:v>0</x:v>
      </x:c>
      <x:c r="V151" s="32" t="n">
        <x:v>0</x:v>
      </x:c>
      <x:c r="W151" s="32" t="n">
        <x:v>0</x:v>
      </x:c>
      <x:c r="X151" s="34" t="n">
        <x:f>('01_比较参数'!$B$2+D151)*(1+('01_比较参数'!$B$5+E151)/'01_比较参数'!$B$14)*(1+('01_比较参数'!$B$6+F151)/'01_比较参数'!$B$14)*(1+('01_比较参数'!$B$7+G151)/'01_比较参数'!$B$14)*(1+('01_比较参数'!$B$8+I151/'01_比较参数'!$B$14)*('01_比较参数'!$B$12-1+('01_比较参数'!$B$9+H151)/'01_比较参数'!$B$14))*(1+('01_比较参数'!$B$10+J151/'01_比较参数'!$B$14)*('01_比较参数'!$B$13-1+('01_比较参数'!$B$11+K151)/'01_比较参数'!$B$14))*(1+L151/'01_比较参数'!$B$14)*(1+M151/'01_比较参数'!$B$14)</x:f>
        <x:v>10654.533142400001</x:v>
      </x:c>
      <x:c r="Y151" s="34" t="n">
        <x:f>X151-'01_比较参数'!$B$18</x:f>
        <x:v>671.637142399999</x:v>
      </x:c>
      <x:c r="Z151" s="36" t="n">
        <x:f>ROUNDDOWN(D151/2,0)</x:f>
        <x:v>19</x:v>
      </x:c>
    </x:row>
    <x:row r="152" ht="30" customHeight="1">
      <x:c r="A152" s="22" t="str">
        <x:v>古龙近卫项链</x:v>
      </x:c>
      <x:c r="B152" s="22" t="str">
        <x:v>C2制式本轮</x:v>
      </x:c>
      <x:c r="C152" s="22" t="str">
        <x:v>项链</x:v>
      </x:c>
      <x:c r="D152" s="32" t="n">
        <x:v>50</x:v>
      </x:c>
      <x:c r="E152" s="32" t="n">
        <x:v>10</x:v>
      </x:c>
      <x:c r="F152" s="32" t="n">
        <x:v>5</x:v>
      </x:c>
      <x:c r="G152" s="32" t="n">
        <x:v>4</x:v>
      </x:c>
      <x:c r="H152" s="32" t="n">
        <x:v>5</x:v>
      </x:c>
      <x:c r="I152" s="32" t="n">
        <x:v>0</x:v>
      </x:c>
      <x:c r="J152" s="32" t="n">
        <x:v>0</x:v>
      </x:c>
      <x:c r="K152" s="32" t="n">
        <x:v>0</x:v>
      </x:c>
      <x:c r="L152" s="32" t="n">
        <x:v>0</x:v>
      </x:c>
      <x:c r="M152" s="32" t="n">
        <x:v>0</x:v>
      </x:c>
      <x:c r="N152" s="32" t="n">
        <x:v>12750</x:v>
      </x:c>
      <x:c r="O152" s="32" t="n">
        <x:v>0</x:v>
      </x:c>
      <x:c r="P152" s="32" t="n">
        <x:v>0</x:v>
      </x:c>
      <x:c r="Q152" s="32" t="n">
        <x:v>0</x:v>
      </x:c>
      <x:c r="R152" s="32" t="n">
        <x:v>0</x:v>
      </x:c>
      <x:c r="S152" s="32" t="n">
        <x:v>0</x:v>
      </x:c>
      <x:c r="T152" s="32" t="n">
        <x:v>0</x:v>
      </x:c>
      <x:c r="U152" s="32" t="n">
        <x:v>0</x:v>
      </x:c>
      <x:c r="V152" s="32" t="n">
        <x:v>0</x:v>
      </x:c>
      <x:c r="W152" s="32" t="n">
        <x:v>0</x:v>
      </x:c>
      <x:c r="X152" s="34" t="n">
        <x:f>('01_比较参数'!$B$2+D152)*(1+('01_比较参数'!$B$5+E152)/'01_比较参数'!$B$14)*(1+('01_比较参数'!$B$6+F152)/'01_比较参数'!$B$14)*(1+('01_比较参数'!$B$7+G152)/'01_比较参数'!$B$14)*(1+('01_比较参数'!$B$8+I152/'01_比较参数'!$B$14)*('01_比较参数'!$B$12-1+('01_比较参数'!$B$9+H152)/'01_比较参数'!$B$14))*(1+('01_比较参数'!$B$10+J152/'01_比较参数'!$B$14)*('01_比较参数'!$B$13-1+('01_比较参数'!$B$11+K152)/'01_比较参数'!$B$14))*(1+L152/'01_比较参数'!$B$14)*(1+M152/'01_比较参数'!$B$14)</x:f>
        <x:v>11593.785928724998</x:v>
      </x:c>
      <x:c r="Y152" s="34" t="n">
        <x:f>X152-'01_比较参数'!$B$18</x:f>
        <x:v>1610.8899287249951</x:v>
      </x:c>
      <x:c r="Z152" s="36" t="n">
        <x:f>ROUNDDOWN(D152/2,0)</x:f>
        <x:v>25</x:v>
      </x:c>
    </x:row>
    <x:row r="153" ht="30" customHeight="1">
      <x:c r="A153" s="22" t="str">
        <x:v>古龙近卫腕甲</x:v>
      </x:c>
      <x:c r="B153" s="22" t="str">
        <x:v>C2制式本轮</x:v>
      </x:c>
      <x:c r="C153" s="22" t="str">
        <x:v>手镯</x:v>
      </x:c>
      <x:c r="D153" s="32" t="n">
        <x:v>45</x:v>
      </x:c>
      <x:c r="E153" s="32" t="n">
        <x:v>8</x:v>
      </x:c>
      <x:c r="F153" s="32" t="n">
        <x:v>5</x:v>
      </x:c>
      <x:c r="G153" s="32" t="n">
        <x:v>4</x:v>
      </x:c>
      <x:c r="H153" s="32" t="n">
        <x:v>5</x:v>
      </x:c>
      <x:c r="I153" s="32" t="n">
        <x:v>0</x:v>
      </x:c>
      <x:c r="J153" s="32" t="n">
        <x:v>0</x:v>
      </x:c>
      <x:c r="K153" s="32" t="n">
        <x:v>0</x:v>
      </x:c>
      <x:c r="L153" s="32" t="n">
        <x:v>0</x:v>
      </x:c>
      <x:c r="M153" s="32" t="n">
        <x:v>0</x:v>
      </x:c>
      <x:c r="N153" s="32" t="n">
        <x:v>17000</x:v>
      </x:c>
      <x:c r="O153" s="32" t="n">
        <x:v>0</x:v>
      </x:c>
      <x:c r="P153" s="32" t="n">
        <x:v>25</x:v>
      </x:c>
      <x:c r="Q153" s="32" t="n">
        <x:v>2</x:v>
      </x:c>
      <x:c r="R153" s="32" t="n">
        <x:v>0</x:v>
      </x:c>
      <x:c r="S153" s="32" t="n">
        <x:v>0</x:v>
      </x:c>
      <x:c r="T153" s="32" t="n">
        <x:v>0</x:v>
      </x:c>
      <x:c r="U153" s="32" t="n">
        <x:v>0</x:v>
      </x:c>
      <x:c r="V153" s="32" t="n">
        <x:v>0</x:v>
      </x:c>
      <x:c r="W153" s="32" t="n">
        <x:v>0</x:v>
      </x:c>
      <x:c r="X153" s="34" t="n">
        <x:f>('01_比较参数'!$B$2+D153)*(1+('01_比较参数'!$B$5+E153)/'01_比较参数'!$B$14)*(1+('01_比较参数'!$B$6+F153)/'01_比较参数'!$B$14)*(1+('01_比较参数'!$B$7+G153)/'01_比较参数'!$B$14)*(1+('01_比较参数'!$B$8+I153/'01_比较参数'!$B$14)*('01_比较参数'!$B$12-1+('01_比较参数'!$B$9+H153)/'01_比较参数'!$B$14))*(1+('01_比较参数'!$B$10+J153/'01_比较参数'!$B$14)*('01_比较参数'!$B$13-1+('01_比较参数'!$B$11+K153)/'01_比较参数'!$B$14))*(1+L153/'01_比较参数'!$B$14)*(1+M153/'01_比较参数'!$B$14)</x:f>
        <x:v>11455.896300849</x:v>
      </x:c>
      <x:c r="Y153" s="34" t="n">
        <x:f>X153-'01_比较参数'!$B$18</x:f>
        <x:v>1473.0003008489984</x:v>
      </x:c>
      <x:c r="Z153" s="36" t="n">
        <x:f>ROUNDDOWN(D153/2,0)</x:f>
        <x:v>22</x:v>
      </x:c>
    </x:row>
    <x:row r="154" ht="30" customHeight="1">
      <x:c r="A154" s="22" t="str">
        <x:v>古龙近卫戒指</x:v>
      </x:c>
      <x:c r="B154" s="22" t="str">
        <x:v>C2制式本轮</x:v>
      </x:c>
      <x:c r="C154" s="22" t="str">
        <x:v>戒指</x:v>
      </x:c>
      <x:c r="D154" s="32" t="n">
        <x:v>50</x:v>
      </x:c>
      <x:c r="E154" s="32" t="n">
        <x:v>8</x:v>
      </x:c>
      <x:c r="F154" s="32" t="n">
        <x:v>5</x:v>
      </x:c>
      <x:c r="G154" s="32" t="n">
        <x:v>4</x:v>
      </x:c>
      <x:c r="H154" s="32" t="n">
        <x:v>5</x:v>
      </x:c>
      <x:c r="I154" s="32" t="n">
        <x:v>0</x:v>
      </x:c>
      <x:c r="J154" s="32" t="n">
        <x:v>0</x:v>
      </x:c>
      <x:c r="K154" s="32" t="n">
        <x:v>0</x:v>
      </x:c>
      <x:c r="L154" s="32" t="n">
        <x:v>0</x:v>
      </x:c>
      <x:c r="M154" s="32" t="n">
        <x:v>0</x:v>
      </x:c>
      <x:c r="N154" s="32" t="n">
        <x:v>17000</x:v>
      </x:c>
      <x:c r="O154" s="32" t="n">
        <x:v>0</x:v>
      </x:c>
      <x:c r="P154" s="32" t="n">
        <x:v>21</x:v>
      </x:c>
      <x:c r="Q154" s="32" t="n">
        <x:v>2</x:v>
      </x:c>
      <x:c r="R154" s="32" t="n">
        <x:v>0</x:v>
      </x:c>
      <x:c r="S154" s="32" t="n">
        <x:v>0</x:v>
      </x:c>
      <x:c r="T154" s="32" t="n">
        <x:v>0</x:v>
      </x:c>
      <x:c r="U154" s="32" t="n">
        <x:v>0</x:v>
      </x:c>
      <x:c r="V154" s="32" t="n">
        <x:v>0</x:v>
      </x:c>
      <x:c r="W154" s="32" t="n">
        <x:v>0</x:v>
      </x:c>
      <x:c r="X154" s="34" t="n">
        <x:f>('01_比较参数'!$B$2+D154)*(1+('01_比较参数'!$B$5+E154)/'01_比较参数'!$B$14)*(1+('01_比较参数'!$B$6+F154)/'01_比较参数'!$B$14)*(1+('01_比较参数'!$B$7+G154)/'01_比较参数'!$B$14)*(1+('01_比较参数'!$B$8+I154/'01_比较参数'!$B$14)*('01_比较参数'!$B$12-1+('01_比较参数'!$B$9+H154)/'01_比较参数'!$B$14))*(1+('01_比较参数'!$B$10+J154/'01_比较参数'!$B$14)*('01_比较参数'!$B$13-1+('01_比较参数'!$B$11+K154)/'01_比较参数'!$B$14))*(1+L154/'01_比较参数'!$B$14)*(1+M154/'01_比较参数'!$B$14)</x:f>
        <x:v>11492.97039891</x:v>
      </x:c>
      <x:c r="Y154" s="34" t="n">
        <x:f>X154-'01_比较参数'!$B$18</x:f>
        <x:v>1510.0743989099974</x:v>
      </x:c>
      <x:c r="Z154" s="36" t="n">
        <x:f>ROUNDDOWN(D154/2,0)</x:f>
        <x:v>25</x:v>
      </x:c>
    </x:row>
    <x:row r="155" ht="30" customHeight="1">
      <x:c r="A155" s="22" t="str">
        <x:v>古龙近卫腰带</x:v>
      </x:c>
      <x:c r="B155" s="22" t="str">
        <x:v>C2制式本轮</x:v>
      </x:c>
      <x:c r="C155" s="22" t="str">
        <x:v>腰带</x:v>
      </x:c>
      <x:c r="D155" s="32" t="n">
        <x:v>38</x:v>
      </x:c>
      <x:c r="E155" s="32" t="n">
        <x:v>9</x:v>
      </x:c>
      <x:c r="F155" s="32" t="n">
        <x:v>0</x:v>
      </x:c>
      <x:c r="G155" s="32" t="n">
        <x:v>0</x:v>
      </x:c>
      <x:c r="H155" s="32" t="n">
        <x:v>0</x:v>
      </x:c>
      <x:c r="I155" s="32" t="n">
        <x:v>0</x:v>
      </x:c>
      <x:c r="J155" s="32" t="n">
        <x:v>0</x:v>
      </x:c>
      <x:c r="K155" s="32" t="n">
        <x:v>0</x:v>
      </x:c>
      <x:c r="L155" s="32" t="n">
        <x:v>0</x:v>
      </x:c>
      <x:c r="M155" s="32" t="n">
        <x:v>0</x:v>
      </x:c>
      <x:c r="N155" s="32" t="n">
        <x:v>21250</x:v>
      </x:c>
      <x:c r="O155" s="32" t="n">
        <x:v>0</x:v>
      </x:c>
      <x:c r="P155" s="32" t="n">
        <x:v>37</x:v>
      </x:c>
      <x:c r="Q155" s="32" t="n">
        <x:v>4</x:v>
      </x:c>
      <x:c r="R155" s="32" t="n">
        <x:v>0</x:v>
      </x:c>
      <x:c r="S155" s="32" t="n">
        <x:v>0</x:v>
      </x:c>
      <x:c r="T155" s="32" t="n">
        <x:v>0</x:v>
      </x:c>
      <x:c r="U155" s="32" t="n">
        <x:v>0</x:v>
      </x:c>
      <x:c r="V155" s="32" t="n">
        <x:v>0</x:v>
      </x:c>
      <x:c r="W155" s="32" t="n">
        <x:v>0</x:v>
      </x:c>
      <x:c r="X155" s="34" t="n">
        <x:f>('01_比较参数'!$B$2+D155)*(1+('01_比较参数'!$B$5+E155)/'01_比较参数'!$B$14)*(1+('01_比较参数'!$B$6+F155)/'01_比较参数'!$B$14)*(1+('01_比较参数'!$B$7+G155)/'01_比较参数'!$B$14)*(1+('01_比较参数'!$B$8+I155/'01_比较参数'!$B$14)*('01_比较参数'!$B$12-1+('01_比较参数'!$B$9+H155)/'01_比较参数'!$B$14))*(1+('01_比较参数'!$B$10+J155/'01_比较参数'!$B$14)*('01_比较参数'!$B$13-1+('01_比较参数'!$B$11+K155)/'01_比较参数'!$B$14))*(1+L155/'01_比较参数'!$B$14)*(1+M155/'01_比较参数'!$B$14)</x:f>
        <x:v>10654.533142400001</x:v>
      </x:c>
      <x:c r="Y155" s="34" t="n">
        <x:f>X155-'01_比较参数'!$B$18</x:f>
        <x:v>671.637142399999</x:v>
      </x:c>
      <x:c r="Z155" s="36" t="n">
        <x:f>ROUNDDOWN(D155/2,0)</x:f>
        <x:v>19</x:v>
      </x:c>
    </x:row>
    <x:row r="156" ht="30" customHeight="1">
      <x:c r="A156" s="22" t="str">
        <x:v>古龙近卫战靴</x:v>
      </x:c>
      <x:c r="B156" s="22" t="str">
        <x:v>C2制式本轮</x:v>
      </x:c>
      <x:c r="C156" s="22" t="str">
        <x:v>鞋子</x:v>
      </x:c>
      <x:c r="D156" s="32" t="n">
        <x:v>38</x:v>
      </x:c>
      <x:c r="E156" s="32" t="n">
        <x:v>9</x:v>
      </x:c>
      <x:c r="F156" s="32" t="n">
        <x:v>0</x:v>
      </x:c>
      <x:c r="G156" s="32" t="n">
        <x:v>0</x:v>
      </x:c>
      <x:c r="H156" s="32" t="n">
        <x:v>0</x:v>
      </x:c>
      <x:c r="I156" s="32" t="n">
        <x:v>0</x:v>
      </x:c>
      <x:c r="J156" s="32" t="n">
        <x:v>0</x:v>
      </x:c>
      <x:c r="K156" s="32" t="n">
        <x:v>0</x:v>
      </x:c>
      <x:c r="L156" s="32" t="n">
        <x:v>0</x:v>
      </x:c>
      <x:c r="M156" s="32" t="n">
        <x:v>0</x:v>
      </x:c>
      <x:c r="N156" s="32" t="n">
        <x:v>21250</x:v>
      </x:c>
      <x:c r="O156" s="32" t="n">
        <x:v>0</x:v>
      </x:c>
      <x:c r="P156" s="32" t="n">
        <x:v>37</x:v>
      </x:c>
      <x:c r="Q156" s="32" t="n">
        <x:v>3</x:v>
      </x:c>
      <x:c r="R156" s="32" t="n">
        <x:v>0</x:v>
      </x:c>
      <x:c r="S156" s="32" t="n">
        <x:v>0</x:v>
      </x:c>
      <x:c r="T156" s="32" t="n">
        <x:v>0</x:v>
      </x:c>
      <x:c r="U156" s="32" t="n">
        <x:v>0</x:v>
      </x:c>
      <x:c r="V156" s="32" t="n">
        <x:v>0</x:v>
      </x:c>
      <x:c r="W156" s="32" t="n">
        <x:v>0</x:v>
      </x:c>
      <x:c r="X156" s="34" t="n">
        <x:f>('01_比较参数'!$B$2+D156)*(1+('01_比较参数'!$B$5+E156)/'01_比较参数'!$B$14)*(1+('01_比较参数'!$B$6+F156)/'01_比较参数'!$B$14)*(1+('01_比较参数'!$B$7+G156)/'01_比较参数'!$B$14)*(1+('01_比较参数'!$B$8+I156/'01_比较参数'!$B$14)*('01_比较参数'!$B$12-1+('01_比较参数'!$B$9+H156)/'01_比较参数'!$B$14))*(1+('01_比较参数'!$B$10+J156/'01_比较参数'!$B$14)*('01_比较参数'!$B$13-1+('01_比较参数'!$B$11+K156)/'01_比较参数'!$B$14))*(1+L156/'01_比较参数'!$B$14)*(1+M156/'01_比较参数'!$B$14)</x:f>
        <x:v>10654.533142400001</x:v>
      </x:c>
      <x:c r="Y156" s="34" t="n">
        <x:f>X156-'01_比较参数'!$B$18</x:f>
        <x:v>671.637142399999</x:v>
      </x:c>
      <x:c r="Z156" s="36" t="n">
        <x:f>ROUNDDOWN(D156/2,0)</x:f>
        <x:v>19</x:v>
      </x:c>
    </x:row>
    <x:row r="157" ht="30" customHeight="1">
      <x:c r="A157" s="22" t="str">
        <x:v>神授征服剑</x:v>
      </x:c>
      <x:c r="B157" s="22" t="str">
        <x:v>C2制式本轮</x:v>
      </x:c>
      <x:c r="C157" s="22" t="str">
        <x:v>武器</x:v>
      </x:c>
      <x:c r="D157" s="32" t="n">
        <x:v>475</x:v>
      </x:c>
      <x:c r="E157" s="32" t="n">
        <x:v>34</x:v>
      </x:c>
      <x:c r="F157" s="32" t="n">
        <x:v>19</x:v>
      </x:c>
      <x:c r="G157" s="32" t="n">
        <x:v>8</x:v>
      </x:c>
      <x:c r="H157" s="32" t="n">
        <x:v>13</x:v>
      </x:c>
      <x:c r="I157" s="32" t="n">
        <x:v>0</x:v>
      </x:c>
      <x:c r="J157" s="32" t="n">
        <x:v>0</x:v>
      </x:c>
      <x:c r="K157" s="32" t="n">
        <x:v>0</x:v>
      </x:c>
      <x:c r="L157" s="32" t="n">
        <x:v>0</x:v>
      </x:c>
      <x:c r="M157" s="32" t="n">
        <x:v>0</x:v>
      </x:c>
      <x:c r="N157" s="32" t="n">
        <x:v>1</x:v>
      </x:c>
      <x:c r="O157" s="32" t="n">
        <x:v>0</x:v>
      </x:c>
      <x:c r="P157" s="32" t="n">
        <x:v>0</x:v>
      </x:c>
      <x:c r="Q157" s="32" t="n">
        <x:v>0</x:v>
      </x:c>
      <x:c r="R157" s="32" t="n">
        <x:v>0</x:v>
      </x:c>
      <x:c r="S157" s="32" t="n">
        <x:v>0</x:v>
      </x:c>
      <x:c r="T157" s="32" t="n">
        <x:v>10</x:v>
      </x:c>
      <x:c r="U157" s="32" t="n">
        <x:v>0</x:v>
      </x:c>
      <x:c r="V157" s="32" t="n">
        <x:v>0</x:v>
      </x:c>
      <x:c r="W157" s="32" t="n">
        <x:v>0</x:v>
      </x:c>
      <x:c r="X157" s="34" t="n">
        <x:f>('01_比较参数'!$B$2+D157)*(1+('01_比较参数'!$B$5+E157)/'01_比较参数'!$B$14)*(1+('01_比较参数'!$B$6+F157)/'01_比较参数'!$B$14)*(1+('01_比较参数'!$B$7+G157)/'01_比较参数'!$B$14)*(1+('01_比较参数'!$B$8+I157/'01_比较参数'!$B$14)*('01_比较参数'!$B$12-1+('01_比较参数'!$B$9+H157)/'01_比较参数'!$B$14))*(1+('01_比较参数'!$B$10+J157/'01_比较参数'!$B$14)*('01_比较参数'!$B$13-1+('01_比较参数'!$B$11+K157)/'01_比较参数'!$B$14))*(1+L157/'01_比较参数'!$B$14)*(1+M157/'01_比较参数'!$B$14)</x:f>
        <x:v>18540.1890482879</x:v>
      </x:c>
      <x:c r="Y157" s="34" t="n">
        <x:f>X157-'01_比较参数'!$B$18</x:f>
        <x:v>8557.293048287896</x:v>
      </x:c>
      <x:c r="Z157" s="36" t="n">
        <x:f>ROUNDDOWN(D157/2,0)</x:f>
        <x:v>237</x:v>
      </x:c>
    </x:row>
    <x:row r="158" ht="30" customHeight="1">
      <x:c r="A158" s="22" t="str">
        <x:v>神授征服战甲</x:v>
      </x:c>
      <x:c r="B158" s="22" t="str">
        <x:v>C2制式本轮</x:v>
      </x:c>
      <x:c r="C158" s="22" t="str">
        <x:v>衣服</x:v>
      </x:c>
      <x:c r="D158" s="32" t="n">
        <x:v>57</x:v>
      </x:c>
      <x:c r="E158" s="32" t="n">
        <x:v>9</x:v>
      </x:c>
      <x:c r="F158" s="32" t="n">
        <x:v>0</x:v>
      </x:c>
      <x:c r="G158" s="32" t="n">
        <x:v>0</x:v>
      </x:c>
      <x:c r="H158" s="32" t="n">
        <x:v>0</x:v>
      </x:c>
      <x:c r="I158" s="32" t="n">
        <x:v>0</x:v>
      </x:c>
      <x:c r="J158" s="32" t="n">
        <x:v>0</x:v>
      </x:c>
      <x:c r="K158" s="32" t="n">
        <x:v>0</x:v>
      </x:c>
      <x:c r="L158" s="32" t="n">
        <x:v>0</x:v>
      </x:c>
      <x:c r="M158" s="32" t="n">
        <x:v>0</x:v>
      </x:c>
      <x:c r="N158" s="32" t="n">
        <x:v>90000</x:v>
      </x:c>
      <x:c r="O158" s="32" t="n">
        <x:v>3</x:v>
      </x:c>
      <x:c r="P158" s="32" t="n">
        <x:v>72</x:v>
      </x:c>
      <x:c r="Q158" s="32" t="n">
        <x:v>9</x:v>
      </x:c>
      <x:c r="R158" s="32" t="n">
        <x:v>0</x:v>
      </x:c>
      <x:c r="S158" s="32" t="n">
        <x:v>0</x:v>
      </x:c>
      <x:c r="T158" s="32" t="n">
        <x:v>0</x:v>
      </x:c>
      <x:c r="U158" s="32" t="n">
        <x:v>0</x:v>
      </x:c>
      <x:c r="V158" s="32" t="n">
        <x:v>0</x:v>
      </x:c>
      <x:c r="W158" s="32" t="n">
        <x:v>0</x:v>
      </x:c>
      <x:c r="X158" s="34" t="n">
        <x:f>('01_比较参数'!$B$2+D158)*(1+('01_比较参数'!$B$5+E158)/'01_比较参数'!$B$14)*(1+('01_比较参数'!$B$6+F158)/'01_比较参数'!$B$14)*(1+('01_比较参数'!$B$7+G158)/'01_比较参数'!$B$14)*(1+('01_比较参数'!$B$8+I158/'01_比较参数'!$B$14)*('01_比较参数'!$B$12-1+('01_比较参数'!$B$9+H158)/'01_比较参数'!$B$14))*(1+('01_比较参数'!$B$10+J158/'01_比较参数'!$B$14)*('01_比较参数'!$B$13-1+('01_比较参数'!$B$11+K158)/'01_比较参数'!$B$14))*(1+L158/'01_比较参数'!$B$14)*(1+M158/'01_比较参数'!$B$14)</x:f>
        <x:v>10786.156113600002</x:v>
      </x:c>
      <x:c r="Y158" s="34" t="n">
        <x:f>X158-'01_比较参数'!$B$18</x:f>
        <x:v>803.2601135999994</x:v>
      </x:c>
      <x:c r="Z158" s="36" t="n">
        <x:f>ROUNDDOWN(D158/2,0)</x:f>
        <x:v>28</x:v>
      </x:c>
    </x:row>
    <x:row r="159" ht="30" customHeight="1">
      <x:c r="A159" s="22" t="str">
        <x:v>神授征服战盔</x:v>
      </x:c>
      <x:c r="B159" s="22" t="str">
        <x:v>C2制式本轮</x:v>
      </x:c>
      <x:c r="C159" s="22" t="str">
        <x:v>头盔</x:v>
      </x:c>
      <x:c r="D159" s="32" t="n">
        <x:v>40</x:v>
      </x:c>
      <x:c r="E159" s="32" t="n">
        <x:v>9</x:v>
      </x:c>
      <x:c r="F159" s="32" t="n">
        <x:v>0</x:v>
      </x:c>
      <x:c r="G159" s="32" t="n">
        <x:v>0</x:v>
      </x:c>
      <x:c r="H159" s="32" t="n">
        <x:v>0</x:v>
      </x:c>
      <x:c r="I159" s="32" t="n">
        <x:v>0</x:v>
      </x:c>
      <x:c r="J159" s="32" t="n">
        <x:v>0</x:v>
      </x:c>
      <x:c r="K159" s="32" t="n">
        <x:v>0</x:v>
      </x:c>
      <x:c r="L159" s="32" t="n">
        <x:v>0</x:v>
      </x:c>
      <x:c r="M159" s="32" t="n">
        <x:v>0</x:v>
      </x:c>
      <x:c r="N159" s="32" t="n">
        <x:v>22500</x:v>
      </x:c>
      <x:c r="O159" s="32" t="n">
        <x:v>0</x:v>
      </x:c>
      <x:c r="P159" s="32" t="n">
        <x:v>37</x:v>
      </x:c>
      <x:c r="Q159" s="32" t="n">
        <x:v>4</x:v>
      </x:c>
      <x:c r="R159" s="32" t="n">
        <x:v>0</x:v>
      </x:c>
      <x:c r="S159" s="32" t="n">
        <x:v>0</x:v>
      </x:c>
      <x:c r="T159" s="32" t="n">
        <x:v>0</x:v>
      </x:c>
      <x:c r="U159" s="32" t="n">
        <x:v>0</x:v>
      </x:c>
      <x:c r="V159" s="32" t="n">
        <x:v>0</x:v>
      </x:c>
      <x:c r="W159" s="32" t="n">
        <x:v>0</x:v>
      </x:c>
      <x:c r="X159" s="34" t="n">
        <x:f>('01_比较参数'!$B$2+D159)*(1+('01_比较参数'!$B$5+E159)/'01_比较参数'!$B$14)*(1+('01_比较参数'!$B$6+F159)/'01_比较参数'!$B$14)*(1+('01_比较参数'!$B$7+G159)/'01_比较参数'!$B$14)*(1+('01_比较参数'!$B$8+I159/'01_比较参数'!$B$14)*('01_比较参数'!$B$12-1+('01_比较参数'!$B$9+H159)/'01_比较参数'!$B$14))*(1+('01_比较参数'!$B$10+J159/'01_比较参数'!$B$14)*('01_比较参数'!$B$13-1+('01_比较参数'!$B$11+K159)/'01_比较参数'!$B$14))*(1+L159/'01_比较参数'!$B$14)*(1+M159/'01_比较参数'!$B$14)</x:f>
        <x:v>10668.388192</x:v>
      </x:c>
      <x:c r="Y159" s="34" t="n">
        <x:f>X159-'01_比较参数'!$B$18</x:f>
        <x:v>685.4921919999979</x:v>
      </x:c>
      <x:c r="Z159" s="36" t="n">
        <x:f>ROUNDDOWN(D159/2,0)</x:f>
        <x:v>20</x:v>
      </x:c>
    </x:row>
    <x:row r="160" ht="30" customHeight="1">
      <x:c r="A160" s="22" t="str">
        <x:v>神授征服项链</x:v>
      </x:c>
      <x:c r="B160" s="22" t="str">
        <x:v>C2制式本轮</x:v>
      </x:c>
      <x:c r="C160" s="22" t="str">
        <x:v>项链</x:v>
      </x:c>
      <x:c r="D160" s="32" t="n">
        <x:v>52</x:v>
      </x:c>
      <x:c r="E160" s="32" t="n">
        <x:v>10</x:v>
      </x:c>
      <x:c r="F160" s="32" t="n">
        <x:v>5</x:v>
      </x:c>
      <x:c r="G160" s="32" t="n">
        <x:v>4</x:v>
      </x:c>
      <x:c r="H160" s="32" t="n">
        <x:v>5</x:v>
      </x:c>
      <x:c r="I160" s="32" t="n">
        <x:v>0</x:v>
      </x:c>
      <x:c r="J160" s="32" t="n">
        <x:v>0</x:v>
      </x:c>
      <x:c r="K160" s="32" t="n">
        <x:v>0</x:v>
      </x:c>
      <x:c r="L160" s="32" t="n">
        <x:v>0</x:v>
      </x:c>
      <x:c r="M160" s="32" t="n">
        <x:v>0</x:v>
      </x:c>
      <x:c r="N160" s="32" t="n">
        <x:v>13500</x:v>
      </x:c>
      <x:c r="O160" s="32" t="n">
        <x:v>0</x:v>
      </x:c>
      <x:c r="P160" s="32" t="n">
        <x:v>0</x:v>
      </x:c>
      <x:c r="Q160" s="32" t="n">
        <x:v>0</x:v>
      </x:c>
      <x:c r="R160" s="32" t="n">
        <x:v>0</x:v>
      </x:c>
      <x:c r="S160" s="32" t="n">
        <x:v>0</x:v>
      </x:c>
      <x:c r="T160" s="32" t="n">
        <x:v>0</x:v>
      </x:c>
      <x:c r="U160" s="32" t="n">
        <x:v>0</x:v>
      </x:c>
      <x:c r="V160" s="32" t="n">
        <x:v>0</x:v>
      </x:c>
      <x:c r="W160" s="32" t="n">
        <x:v>0</x:v>
      </x:c>
      <x:c r="X160" s="34" t="n">
        <x:f>('01_比较参数'!$B$2+D160)*(1+('01_比较参数'!$B$5+E160)/'01_比较参数'!$B$14)*(1+('01_比较参数'!$B$6+F160)/'01_比较参数'!$B$14)*(1+('01_比较参数'!$B$7+G160)/'01_比较参数'!$B$14)*(1+('01_比较参数'!$B$8+I160/'01_比较参数'!$B$14)*('01_比较参数'!$B$12-1+('01_比较参数'!$B$9+H160)/'01_比较参数'!$B$14))*(1+('01_比较参数'!$B$10+J160/'01_比较参数'!$B$14)*('01_比较参数'!$B$13-1+('01_比较参数'!$B$11+K160)/'01_比较参数'!$B$14))*(1+L160/'01_比较参数'!$B$14)*(1+M160/'01_比较参数'!$B$14)</x:f>
        <x:v>11608.745652503998</x:v>
      </x:c>
      <x:c r="Y160" s="34" t="n">
        <x:f>X160-'01_比较参数'!$B$18</x:f>
        <x:v>1625.8496525039955</x:v>
      </x:c>
      <x:c r="Z160" s="36" t="n">
        <x:f>ROUNDDOWN(D160/2,0)</x:f>
        <x:v>26</x:v>
      </x:c>
    </x:row>
    <x:row r="161" ht="30" customHeight="1">
      <x:c r="A161" s="22" t="str">
        <x:v>神授征服腕甲</x:v>
      </x:c>
      <x:c r="B161" s="22" t="str">
        <x:v>C2制式本轮</x:v>
      </x:c>
      <x:c r="C161" s="22" t="str">
        <x:v>手镯</x:v>
      </x:c>
      <x:c r="D161" s="32" t="n">
        <x:v>48</x:v>
      </x:c>
      <x:c r="E161" s="32" t="n">
        <x:v>9</x:v>
      </x:c>
      <x:c r="F161" s="32" t="n">
        <x:v>5</x:v>
      </x:c>
      <x:c r="G161" s="32" t="n">
        <x:v>4</x:v>
      </x:c>
      <x:c r="H161" s="32" t="n">
        <x:v>5</x:v>
      </x:c>
      <x:c r="I161" s="32" t="n">
        <x:v>0</x:v>
      </x:c>
      <x:c r="J161" s="32" t="n">
        <x:v>0</x:v>
      </x:c>
      <x:c r="K161" s="32" t="n">
        <x:v>0</x:v>
      </x:c>
      <x:c r="L161" s="32" t="n">
        <x:v>0</x:v>
      </x:c>
      <x:c r="M161" s="32" t="n">
        <x:v>0</x:v>
      </x:c>
      <x:c r="N161" s="32" t="n">
        <x:v>18000</x:v>
      </x:c>
      <x:c r="O161" s="32" t="n">
        <x:v>0</x:v>
      </x:c>
      <x:c r="P161" s="32" t="n">
        <x:v>26</x:v>
      </x:c>
      <x:c r="Q161" s="32" t="n">
        <x:v>2</x:v>
      </x:c>
      <x:c r="R161" s="32" t="n">
        <x:v>0</x:v>
      </x:c>
      <x:c r="S161" s="32" t="n">
        <x:v>0</x:v>
      </x:c>
      <x:c r="T161" s="32" t="n">
        <x:v>0</x:v>
      </x:c>
      <x:c r="U161" s="32" t="n">
        <x:v>0</x:v>
      </x:c>
      <x:c r="V161" s="32" t="n">
        <x:v>0</x:v>
      </x:c>
      <x:c r="W161" s="32" t="n">
        <x:v>0</x:v>
      </x:c>
      <x:c r="X161" s="34" t="n">
        <x:f>('01_比较参数'!$B$2+D161)*(1+('01_比较参数'!$B$5+E161)/'01_比较参数'!$B$14)*(1+('01_比较参数'!$B$6+F161)/'01_比较参数'!$B$14)*(1+('01_比较参数'!$B$7+G161)/'01_比较参数'!$B$14)*(1+('01_比较参数'!$B$8+I161/'01_比较参数'!$B$14)*('01_比较参数'!$B$12-1+('01_比较参数'!$B$9+H161)/'01_比较参数'!$B$14))*(1+('01_比较参数'!$B$10+J161/'01_比较参数'!$B$14)*('01_比较参数'!$B$13-1+('01_比较参数'!$B$11+K161)/'01_比较参数'!$B$14))*(1+L161/'01_比较参数'!$B$14)*(1+M161/'01_比较参数'!$B$14)</x:f>
        <x:v>11528.4834823158</x:v>
      </x:c>
      <x:c r="Y161" s="34" t="n">
        <x:f>X161-'01_比较参数'!$B$18</x:f>
        <x:v>1545.5874823157974</x:v>
      </x:c>
      <x:c r="Z161" s="36" t="n">
        <x:f>ROUNDDOWN(D161/2,0)</x:f>
        <x:v>24</x:v>
      </x:c>
    </x:row>
    <x:row r="162" ht="30" customHeight="1">
      <x:c r="A162" s="22" t="str">
        <x:v>神授征服戒指</x:v>
      </x:c>
      <x:c r="B162" s="22" t="str">
        <x:v>C2制式本轮</x:v>
      </x:c>
      <x:c r="C162" s="22" t="str">
        <x:v>戒指</x:v>
      </x:c>
      <x:c r="D162" s="32" t="n">
        <x:v>52</x:v>
      </x:c>
      <x:c r="E162" s="32" t="n">
        <x:v>9</x:v>
      </x:c>
      <x:c r="F162" s="32" t="n">
        <x:v>5</x:v>
      </x:c>
      <x:c r="G162" s="32" t="n">
        <x:v>4</x:v>
      </x:c>
      <x:c r="H162" s="32" t="n">
        <x:v>5</x:v>
      </x:c>
      <x:c r="I162" s="32" t="n">
        <x:v>0</x:v>
      </x:c>
      <x:c r="J162" s="32" t="n">
        <x:v>0</x:v>
      </x:c>
      <x:c r="K162" s="32" t="n">
        <x:v>0</x:v>
      </x:c>
      <x:c r="L162" s="32" t="n">
        <x:v>0</x:v>
      </x:c>
      <x:c r="M162" s="32" t="n">
        <x:v>0</x:v>
      </x:c>
      <x:c r="N162" s="32" t="n">
        <x:v>18000</x:v>
      </x:c>
      <x:c r="O162" s="32" t="n">
        <x:v>0</x:v>
      </x:c>
      <x:c r="P162" s="32" t="n">
        <x:v>22</x:v>
      </x:c>
      <x:c r="Q162" s="32" t="n">
        <x:v>2</x:v>
      </x:c>
      <x:c r="R162" s="32" t="n">
        <x:v>0</x:v>
      </x:c>
      <x:c r="S162" s="32" t="n">
        <x:v>0</x:v>
      </x:c>
      <x:c r="T162" s="32" t="n">
        <x:v>0</x:v>
      </x:c>
      <x:c r="U162" s="32" t="n">
        <x:v>0</x:v>
      </x:c>
      <x:c r="V162" s="32" t="n">
        <x:v>0</x:v>
      </x:c>
      <x:c r="W162" s="32" t="n">
        <x:v>0</x:v>
      </x:c>
      <x:c r="X162" s="34" t="n">
        <x:f>('01_比较参数'!$B$2+D162)*(1+('01_比较参数'!$B$5+E162)/'01_比较参数'!$B$14)*(1+('01_比较参数'!$B$6+F162)/'01_比较参数'!$B$14)*(1+('01_比较参数'!$B$7+G162)/'01_比较参数'!$B$14)*(1+('01_比较参数'!$B$8+I162/'01_比较参数'!$B$14)*('01_比较参数'!$B$12-1+('01_比较参数'!$B$9+H162)/'01_比较参数'!$B$14))*(1+('01_比较参数'!$B$10+J162/'01_比较参数'!$B$14)*('01_比较参数'!$B$13-1+('01_比较参数'!$B$11+K162)/'01_比较参数'!$B$14))*(1+L162/'01_比较参数'!$B$14)*(1+M162/'01_比较参数'!$B$14)</x:f>
        <x:v>11558.272845319201</x:v>
      </x:c>
      <x:c r="Y162" s="34" t="n">
        <x:f>X162-'01_比较参数'!$B$18</x:f>
        <x:v>1575.3768453191988</x:v>
      </x:c>
      <x:c r="Z162" s="36" t="n">
        <x:f>ROUNDDOWN(D162/2,0)</x:f>
        <x:v>26</x:v>
      </x:c>
    </x:row>
    <x:row r="163" ht="30" customHeight="1">
      <x:c r="A163" s="22" t="str">
        <x:v>神授征服腰带</x:v>
      </x:c>
      <x:c r="B163" s="22" t="str">
        <x:v>C2制式本轮</x:v>
      </x:c>
      <x:c r="C163" s="22" t="str">
        <x:v>腰带</x:v>
      </x:c>
      <x:c r="D163" s="32" t="n">
        <x:v>40</x:v>
      </x:c>
      <x:c r="E163" s="32" t="n">
        <x:v>9</x:v>
      </x:c>
      <x:c r="F163" s="32" t="n">
        <x:v>0</x:v>
      </x:c>
      <x:c r="G163" s="32" t="n">
        <x:v>0</x:v>
      </x:c>
      <x:c r="H163" s="32" t="n">
        <x:v>0</x:v>
      </x:c>
      <x:c r="I163" s="32" t="n">
        <x:v>0</x:v>
      </x:c>
      <x:c r="J163" s="32" t="n">
        <x:v>0</x:v>
      </x:c>
      <x:c r="K163" s="32" t="n">
        <x:v>0</x:v>
      </x:c>
      <x:c r="L163" s="32" t="n">
        <x:v>0</x:v>
      </x:c>
      <x:c r="M163" s="32" t="n">
        <x:v>0</x:v>
      </x:c>
      <x:c r="N163" s="32" t="n">
        <x:v>22500</x:v>
      </x:c>
      <x:c r="O163" s="32" t="n">
        <x:v>0</x:v>
      </x:c>
      <x:c r="P163" s="32" t="n">
        <x:v>39</x:v>
      </x:c>
      <x:c r="Q163" s="32" t="n">
        <x:v>4</x:v>
      </x:c>
      <x:c r="R163" s="32" t="n">
        <x:v>0</x:v>
      </x:c>
      <x:c r="S163" s="32" t="n">
        <x:v>0</x:v>
      </x:c>
      <x:c r="T163" s="32" t="n">
        <x:v>0</x:v>
      </x:c>
      <x:c r="U163" s="32" t="n">
        <x:v>0</x:v>
      </x:c>
      <x:c r="V163" s="32" t="n">
        <x:v>0</x:v>
      </x:c>
      <x:c r="W163" s="32" t="n">
        <x:v>0</x:v>
      </x:c>
      <x:c r="X163" s="34" t="n">
        <x:f>('01_比较参数'!$B$2+D163)*(1+('01_比较参数'!$B$5+E163)/'01_比较参数'!$B$14)*(1+('01_比较参数'!$B$6+F163)/'01_比较参数'!$B$14)*(1+('01_比较参数'!$B$7+G163)/'01_比较参数'!$B$14)*(1+('01_比较参数'!$B$8+I163/'01_比较参数'!$B$14)*('01_比较参数'!$B$12-1+('01_比较参数'!$B$9+H163)/'01_比较参数'!$B$14))*(1+('01_比较参数'!$B$10+J163/'01_比较参数'!$B$14)*('01_比较参数'!$B$13-1+('01_比较参数'!$B$11+K163)/'01_比较参数'!$B$14))*(1+L163/'01_比较参数'!$B$14)*(1+M163/'01_比较参数'!$B$14)</x:f>
        <x:v>10668.388192</x:v>
      </x:c>
      <x:c r="Y163" s="34" t="n">
        <x:f>X163-'01_比较参数'!$B$18</x:f>
        <x:v>685.4921919999979</x:v>
      </x:c>
      <x:c r="Z163" s="36" t="n">
        <x:f>ROUNDDOWN(D163/2,0)</x:f>
        <x:v>20</x:v>
      </x:c>
    </x:row>
    <x:row r="164" ht="30" customHeight="1">
      <x:c r="A164" s="22" t="str">
        <x:v>神授征服战靴</x:v>
      </x:c>
      <x:c r="B164" s="22" t="str">
        <x:v>C2制式本轮</x:v>
      </x:c>
      <x:c r="C164" s="22" t="str">
        <x:v>鞋子</x:v>
      </x:c>
      <x:c r="D164" s="32" t="n">
        <x:v>40</x:v>
      </x:c>
      <x:c r="E164" s="32" t="n">
        <x:v>9</x:v>
      </x:c>
      <x:c r="F164" s="32" t="n">
        <x:v>0</x:v>
      </x:c>
      <x:c r="G164" s="32" t="n">
        <x:v>0</x:v>
      </x:c>
      <x:c r="H164" s="32" t="n">
        <x:v>0</x:v>
      </x:c>
      <x:c r="I164" s="32" t="n">
        <x:v>0</x:v>
      </x:c>
      <x:c r="J164" s="32" t="n">
        <x:v>0</x:v>
      </x:c>
      <x:c r="K164" s="32" t="n">
        <x:v>0</x:v>
      </x:c>
      <x:c r="L164" s="32" t="n">
        <x:v>0</x:v>
      </x:c>
      <x:c r="M164" s="32" t="n">
        <x:v>0</x:v>
      </x:c>
      <x:c r="N164" s="32" t="n">
        <x:v>22500</x:v>
      </x:c>
      <x:c r="O164" s="32" t="n">
        <x:v>0</x:v>
      </x:c>
      <x:c r="P164" s="32" t="n">
        <x:v>39</x:v>
      </x:c>
      <x:c r="Q164" s="32" t="n">
        <x:v>3</x:v>
      </x:c>
      <x:c r="R164" s="32" t="n">
        <x:v>0</x:v>
      </x:c>
      <x:c r="S164" s="32" t="n">
        <x:v>0</x:v>
      </x:c>
      <x:c r="T164" s="32" t="n">
        <x:v>0</x:v>
      </x:c>
      <x:c r="U164" s="32" t="n">
        <x:v>0</x:v>
      </x:c>
      <x:c r="V164" s="32" t="n">
        <x:v>0</x:v>
      </x:c>
      <x:c r="W164" s="32" t="n">
        <x:v>0</x:v>
      </x:c>
      <x:c r="X164" s="34" t="n">
        <x:f>('01_比较参数'!$B$2+D164)*(1+('01_比较参数'!$B$5+E164)/'01_比较参数'!$B$14)*(1+('01_比较参数'!$B$6+F164)/'01_比较参数'!$B$14)*(1+('01_比较参数'!$B$7+G164)/'01_比较参数'!$B$14)*(1+('01_比较参数'!$B$8+I164/'01_比较参数'!$B$14)*('01_比较参数'!$B$12-1+('01_比较参数'!$B$9+H164)/'01_比较参数'!$B$14))*(1+('01_比较参数'!$B$10+J164/'01_比较参数'!$B$14)*('01_比较参数'!$B$13-1+('01_比较参数'!$B$11+K164)/'01_比较参数'!$B$14))*(1+L164/'01_比较参数'!$B$14)*(1+M164/'01_比较参数'!$B$14)</x:f>
        <x:v>10668.388192</x:v>
      </x:c>
      <x:c r="Y164" s="34" t="n">
        <x:f>X164-'01_比较参数'!$B$18</x:f>
        <x:v>685.4921919999979</x:v>
      </x:c>
      <x:c r="Z164" s="36" t="n">
        <x:f>ROUNDDOWN(D164/2,0)</x:f>
        <x:v>20</x:v>
      </x:c>
    </x:row>
    <x:row r="165" ht="30" customHeight="1">
      <x:c r="A165" s="22" t="str">
        <x:v>法环禁军剑</x:v>
      </x:c>
      <x:c r="B165" s="22" t="str">
        <x:v>C2制式本轮</x:v>
      </x:c>
      <x:c r="C165" s="22" t="str">
        <x:v>武器</x:v>
      </x:c>
      <x:c r="D165" s="32" t="n">
        <x:v>500</x:v>
      </x:c>
      <x:c r="E165" s="32" t="n">
        <x:v>35</x:v>
      </x:c>
      <x:c r="F165" s="32" t="n">
        <x:v>20</x:v>
      </x:c>
      <x:c r="G165" s="32" t="n">
        <x:v>9</x:v>
      </x:c>
      <x:c r="H165" s="32" t="n">
        <x:v>13</x:v>
      </x:c>
      <x:c r="I165" s="32" t="n">
        <x:v>0</x:v>
      </x:c>
      <x:c r="J165" s="32" t="n">
        <x:v>0</x:v>
      </x:c>
      <x:c r="K165" s="32" t="n">
        <x:v>0</x:v>
      </x:c>
      <x:c r="L165" s="32" t="n">
        <x:v>0</x:v>
      </x:c>
      <x:c r="M165" s="32" t="n">
        <x:v>0</x:v>
      </x:c>
      <x:c r="N165" s="32" t="n">
        <x:v>1</x:v>
      </x:c>
      <x:c r="O165" s="32" t="n">
        <x:v>0</x:v>
      </x:c>
      <x:c r="P165" s="32" t="n">
        <x:v>0</x:v>
      </x:c>
      <x:c r="Q165" s="32" t="n">
        <x:v>0</x:v>
      </x:c>
      <x:c r="R165" s="32" t="n">
        <x:v>0</x:v>
      </x:c>
      <x:c r="S165" s="32" t="n">
        <x:v>0</x:v>
      </x:c>
      <x:c r="T165" s="32" t="n">
        <x:v>10</x:v>
      </x:c>
      <x:c r="U165" s="32" t="n">
        <x:v>0</x:v>
      </x:c>
      <x:c r="V165" s="32" t="n">
        <x:v>0</x:v>
      </x:c>
      <x:c r="W165" s="32" t="n">
        <x:v>0</x:v>
      </x:c>
      <x:c r="X165" s="34" t="n">
        <x:f>('01_比较参数'!$B$2+D165)*(1+('01_比较参数'!$B$5+E165)/'01_比较参数'!$B$14)*(1+('01_比较参数'!$B$6+F165)/'01_比较参数'!$B$14)*(1+('01_比较参数'!$B$7+G165)/'01_比较参数'!$B$14)*(1+('01_比较参数'!$B$8+I165/'01_比较参数'!$B$14)*('01_比较参数'!$B$12-1+('01_比较参数'!$B$9+H165)/'01_比较参数'!$B$14))*(1+('01_比较参数'!$B$10+J165/'01_比较参数'!$B$14)*('01_比较参数'!$B$13-1+('01_比较参数'!$B$11+K165)/'01_比较参数'!$B$14))*(1+L165/'01_比较参数'!$B$14)*(1+M165/'01_比较参数'!$B$14)</x:f>
        <x:v>19096.604301600004</x:v>
      </x:c>
      <x:c r="Y165" s="34" t="n">
        <x:f>X165-'01_比较参数'!$B$18</x:f>
        <x:v>9113.708301600002</x:v>
      </x:c>
      <x:c r="Z165" s="36" t="n">
        <x:f>ROUNDDOWN(D165/2,0)</x:f>
        <x:v>250</x:v>
      </x:c>
    </x:row>
    <x:row r="166" ht="30" customHeight="1">
      <x:c r="A166" s="22" t="str">
        <x:v>法环禁军战甲</x:v>
      </x:c>
      <x:c r="B166" s="22" t="str">
        <x:v>C2制式本轮</x:v>
      </x:c>
      <x:c r="C166" s="22" t="str">
        <x:v>衣服</x:v>
      </x:c>
      <x:c r="D166" s="32" t="n">
        <x:v>60</x:v>
      </x:c>
      <x:c r="E166" s="32" t="n">
        <x:v>10</x:v>
      </x:c>
      <x:c r="F166" s="32" t="n">
        <x:v>0</x:v>
      </x:c>
      <x:c r="G166" s="32" t="n">
        <x:v>0</x:v>
      </x:c>
      <x:c r="H166" s="32" t="n">
        <x:v>0</x:v>
      </x:c>
      <x:c r="I166" s="32" t="n">
        <x:v>0</x:v>
      </x:c>
      <x:c r="J166" s="32" t="n">
        <x:v>0</x:v>
      </x:c>
      <x:c r="K166" s="32" t="n">
        <x:v>0</x:v>
      </x:c>
      <x:c r="L166" s="32" t="n">
        <x:v>0</x:v>
      </x:c>
      <x:c r="M166" s="32" t="n">
        <x:v>0</x:v>
      </x:c>
      <x:c r="N166" s="32" t="n">
        <x:v>95000</x:v>
      </x:c>
      <x:c r="O166" s="32" t="n">
        <x:v>3</x:v>
      </x:c>
      <x:c r="P166" s="32" t="n">
        <x:v>76</x:v>
      </x:c>
      <x:c r="Q166" s="32" t="n">
        <x:v>10</x:v>
      </x:c>
      <x:c r="R166" s="32" t="n">
        <x:v>0</x:v>
      </x:c>
      <x:c r="S166" s="32" t="n">
        <x:v>0</x:v>
      </x:c>
      <x:c r="T166" s="32" t="n">
        <x:v>0</x:v>
      </x:c>
      <x:c r="U166" s="32" t="n">
        <x:v>0</x:v>
      </x:c>
      <x:c r="V166" s="32" t="n">
        <x:v>0</x:v>
      </x:c>
      <x:c r="W166" s="32" t="n">
        <x:v>0</x:v>
      </x:c>
      <x:c r="X166" s="34" t="n">
        <x:f>('01_比较参数'!$B$2+D166)*(1+('01_比较参数'!$B$5+E166)/'01_比较参数'!$B$14)*(1+('01_比较参数'!$B$6+F166)/'01_比较参数'!$B$14)*(1+('01_比较参数'!$B$7+G166)/'01_比较参数'!$B$14)*(1+('01_比较参数'!$B$8+I166/'01_比较参数'!$B$14)*('01_比较参数'!$B$12-1+('01_比较参数'!$B$9+H166)/'01_比较参数'!$B$14))*(1+('01_比较参数'!$B$10+J166/'01_比较参数'!$B$14)*('01_比较参数'!$B$13-1+('01_比较参数'!$B$11+K166)/'01_比较参数'!$B$14))*(1+L166/'01_比较参数'!$B$14)*(1+M166/'01_比较参数'!$B$14)</x:f>
        <x:v>10854.130559999998</x:v>
      </x:c>
      <x:c r="Y166" s="34" t="n">
        <x:f>X166-'01_比较参数'!$B$18</x:f>
        <x:v>871.2345599999953</x:v>
      </x:c>
      <x:c r="Z166" s="36" t="n">
        <x:f>ROUNDDOWN(D166/2,0)</x:f>
        <x:v>30</x:v>
      </x:c>
    </x:row>
    <x:row r="167" ht="30" customHeight="1">
      <x:c r="A167" s="22" t="str">
        <x:v>法环禁军战盔</x:v>
      </x:c>
      <x:c r="B167" s="22" t="str">
        <x:v>C2制式本轮</x:v>
      </x:c>
      <x:c r="C167" s="22" t="str">
        <x:v>头盔</x:v>
      </x:c>
      <x:c r="D167" s="32" t="n">
        <x:v>42</x:v>
      </x:c>
      <x:c r="E167" s="32" t="n">
        <x:v>10</x:v>
      </x:c>
      <x:c r="F167" s="32" t="n">
        <x:v>0</x:v>
      </x:c>
      <x:c r="G167" s="32" t="n">
        <x:v>0</x:v>
      </x:c>
      <x:c r="H167" s="32" t="n">
        <x:v>0</x:v>
      </x:c>
      <x:c r="I167" s="32" t="n">
        <x:v>0</x:v>
      </x:c>
      <x:c r="J167" s="32" t="n">
        <x:v>0</x:v>
      </x:c>
      <x:c r="K167" s="32" t="n">
        <x:v>0</x:v>
      </x:c>
      <x:c r="L167" s="32" t="n">
        <x:v>0</x:v>
      </x:c>
      <x:c r="M167" s="32" t="n">
        <x:v>0</x:v>
      </x:c>
      <x:c r="N167" s="32" t="n">
        <x:v>23750</x:v>
      </x:c>
      <x:c r="O167" s="32" t="n">
        <x:v>0</x:v>
      </x:c>
      <x:c r="P167" s="32" t="n">
        <x:v>39</x:v>
      </x:c>
      <x:c r="Q167" s="32" t="n">
        <x:v>4</x:v>
      </x:c>
      <x:c r="R167" s="32" t="n">
        <x:v>0</x:v>
      </x:c>
      <x:c r="S167" s="32" t="n">
        <x:v>0</x:v>
      </x:c>
      <x:c r="T167" s="32" t="n">
        <x:v>0</x:v>
      </x:c>
      <x:c r="U167" s="32" t="n">
        <x:v>0</x:v>
      </x:c>
      <x:c r="V167" s="32" t="n">
        <x:v>0</x:v>
      </x:c>
      <x:c r="W167" s="32" t="n">
        <x:v>0</x:v>
      </x:c>
      <x:c r="X167" s="34" t="n">
        <x:f>('01_比较参数'!$B$2+D167)*(1+('01_比较参数'!$B$5+E167)/'01_比较参数'!$B$14)*(1+('01_比较参数'!$B$6+F167)/'01_比较参数'!$B$14)*(1+('01_比较参数'!$B$7+G167)/'01_比较参数'!$B$14)*(1+('01_比较参数'!$B$8+I167/'01_比较参数'!$B$14)*('01_比较参数'!$B$12-1+('01_比较参数'!$B$9+H167)/'01_比较参数'!$B$14))*(1+('01_比较参数'!$B$10+J167/'01_比较参数'!$B$14)*('01_比较参数'!$B$13-1+('01_比较参数'!$B$11+K167)/'01_比较参数'!$B$14))*(1+L167/'01_比较参数'!$B$14)*(1+M167/'01_比较参数'!$B$14)</x:f>
        <x:v>10728.890592000002</x:v>
      </x:c>
      <x:c r="Y167" s="34" t="n">
        <x:f>X167-'01_比较参数'!$B$18</x:f>
        <x:v>745.9945919999991</x:v>
      </x:c>
      <x:c r="Z167" s="36" t="n">
        <x:f>ROUNDDOWN(D167/2,0)</x:f>
        <x:v>21</x:v>
      </x:c>
    </x:row>
    <x:row r="168" ht="30" customHeight="1">
      <x:c r="A168" s="22" t="str">
        <x:v>法环禁军项链</x:v>
      </x:c>
      <x:c r="B168" s="22" t="str">
        <x:v>C2制式本轮</x:v>
      </x:c>
      <x:c r="C168" s="22" t="str">
        <x:v>项链</x:v>
      </x:c>
      <x:c r="D168" s="32" t="n">
        <x:v>55</x:v>
      </x:c>
      <x:c r="E168" s="32" t="n">
        <x:v>11</x:v>
      </x:c>
      <x:c r="F168" s="32" t="n">
        <x:v>5</x:v>
      </x:c>
      <x:c r="G168" s="32" t="n">
        <x:v>4</x:v>
      </x:c>
      <x:c r="H168" s="32" t="n">
        <x:v>6</x:v>
      </x:c>
      <x:c r="I168" s="32" t="n">
        <x:v>0</x:v>
      </x:c>
      <x:c r="J168" s="32" t="n">
        <x:v>0</x:v>
      </x:c>
      <x:c r="K168" s="32" t="n">
        <x:v>0</x:v>
      </x:c>
      <x:c r="L168" s="32" t="n">
        <x:v>0</x:v>
      </x:c>
      <x:c r="M168" s="32" t="n">
        <x:v>0</x:v>
      </x:c>
      <x:c r="N168" s="32" t="n">
        <x:v>14250</x:v>
      </x:c>
      <x:c r="O168" s="32" t="n">
        <x:v>0</x:v>
      </x:c>
      <x:c r="P168" s="32" t="n">
        <x:v>0</x:v>
      </x:c>
      <x:c r="Q168" s="32" t="n">
        <x:v>0</x:v>
      </x:c>
      <x:c r="R168" s="32" t="n">
        <x:v>0</x:v>
      </x:c>
      <x:c r="S168" s="32" t="n">
        <x:v>0</x:v>
      </x:c>
      <x:c r="T168" s="32" t="n">
        <x:v>0</x:v>
      </x:c>
      <x:c r="U168" s="32" t="n">
        <x:v>0</x:v>
      </x:c>
      <x:c r="V168" s="32" t="n">
        <x:v>0</x:v>
      </x:c>
      <x:c r="W168" s="32" t="n">
        <x:v>0</x:v>
      </x:c>
      <x:c r="X168" s="34" t="n">
        <x:f>('01_比较参数'!$B$2+D168)*(1+('01_比较参数'!$B$5+E168)/'01_比较参数'!$B$14)*(1+('01_比较参数'!$B$6+F168)/'01_比较参数'!$B$14)*(1+('01_比较参数'!$B$7+G168)/'01_比较参数'!$B$14)*(1+('01_比较参数'!$B$8+I168/'01_比较参数'!$B$14)*('01_比较参数'!$B$12-1+('01_比较参数'!$B$9+H168)/'01_比较参数'!$B$14))*(1+('01_比较参数'!$B$10+J168/'01_比较参数'!$B$14)*('01_比较参数'!$B$13-1+('01_比较参数'!$B$11+K168)/'01_比较参数'!$B$14))*(1+L168/'01_比较参数'!$B$14)*(1+M168/'01_比较参数'!$B$14)</x:f>
        <x:v>11705.1972588243</x:v>
      </x:c>
      <x:c r="Y168" s="34" t="n">
        <x:f>X168-'01_比较参数'!$B$18</x:f>
        <x:v>1722.3012588242982</x:v>
      </x:c>
      <x:c r="Z168" s="36" t="n">
        <x:f>ROUNDDOWN(D168/2,0)</x:f>
        <x:v>27</x:v>
      </x:c>
    </x:row>
    <x:row r="169" ht="30" customHeight="1">
      <x:c r="A169" s="22" t="str">
        <x:v>法环禁军腕甲</x:v>
      </x:c>
      <x:c r="B169" s="22" t="str">
        <x:v>C2制式本轮</x:v>
      </x:c>
      <x:c r="C169" s="22" t="str">
        <x:v>手镯</x:v>
      </x:c>
      <x:c r="D169" s="32" t="n">
        <x:v>50</x:v>
      </x:c>
      <x:c r="E169" s="32" t="n">
        <x:v>9</x:v>
      </x:c>
      <x:c r="F169" s="32" t="n">
        <x:v>5</x:v>
      </x:c>
      <x:c r="G169" s="32" t="n">
        <x:v>4</x:v>
      </x:c>
      <x:c r="H169" s="32" t="n">
        <x:v>6</x:v>
      </x:c>
      <x:c r="I169" s="32" t="n">
        <x:v>0</x:v>
      </x:c>
      <x:c r="J169" s="32" t="n">
        <x:v>0</x:v>
      </x:c>
      <x:c r="K169" s="32" t="n">
        <x:v>0</x:v>
      </x:c>
      <x:c r="L169" s="32" t="n">
        <x:v>0</x:v>
      </x:c>
      <x:c r="M169" s="32" t="n">
        <x:v>0</x:v>
      </x:c>
      <x:c r="N169" s="32" t="n">
        <x:v>19000</x:v>
      </x:c>
      <x:c r="O169" s="32" t="n">
        <x:v>0</x:v>
      </x:c>
      <x:c r="P169" s="32" t="n">
        <x:v>27</x:v>
      </x:c>
      <x:c r="Q169" s="32" t="n">
        <x:v>2</x:v>
      </x:c>
      <x:c r="R169" s="32" t="n">
        <x:v>0</x:v>
      </x:c>
      <x:c r="S169" s="32" t="n">
        <x:v>0</x:v>
      </x:c>
      <x:c r="T169" s="32" t="n">
        <x:v>0</x:v>
      </x:c>
      <x:c r="U169" s="32" t="n">
        <x:v>0</x:v>
      </x:c>
      <x:c r="V169" s="32" t="n">
        <x:v>0</x:v>
      </x:c>
      <x:c r="W169" s="32" t="n">
        <x:v>0</x:v>
      </x:c>
      <x:c r="X169" s="34" t="n">
        <x:f>('01_比较参数'!$B$2+D169)*(1+('01_比较参数'!$B$5+E169)/'01_比较参数'!$B$14)*(1+('01_比较参数'!$B$6+F169)/'01_比较参数'!$B$14)*(1+('01_比较参数'!$B$7+G169)/'01_比较参数'!$B$14)*(1+('01_比较参数'!$B$8+I169/'01_比较参数'!$B$14)*('01_比较参数'!$B$12-1+('01_比较参数'!$B$9+H169)/'01_比较参数'!$B$14))*(1+('01_比较参数'!$B$10+J169/'01_比较参数'!$B$14)*('01_比较参数'!$B$13-1+('01_比较参数'!$B$11+K169)/'01_比较参数'!$B$14))*(1+L169/'01_比较参数'!$B$14)*(1+M169/'01_比较参数'!$B$14)</x:f>
        <x:v>11566.542133377</x:v>
      </x:c>
      <x:c r="Y169" s="34" t="n">
        <x:f>X169-'01_比较参数'!$B$18</x:f>
        <x:v>1583.6461333769967</x:v>
      </x:c>
      <x:c r="Z169" s="36" t="n">
        <x:f>ROUNDDOWN(D169/2,0)</x:f>
        <x:v>25</x:v>
      </x:c>
    </x:row>
    <x:row r="170" ht="30" customHeight="1">
      <x:c r="A170" s="22" t="str">
        <x:v>法环禁军戒指</x:v>
      </x:c>
      <x:c r="B170" s="22" t="str">
        <x:v>C2制式本轮</x:v>
      </x:c>
      <x:c r="C170" s="22" t="str">
        <x:v>戒指</x:v>
      </x:c>
      <x:c r="D170" s="32" t="n">
        <x:v>55</x:v>
      </x:c>
      <x:c r="E170" s="32" t="n">
        <x:v>9</x:v>
      </x:c>
      <x:c r="F170" s="32" t="n">
        <x:v>5</x:v>
      </x:c>
      <x:c r="G170" s="32" t="n">
        <x:v>4</x:v>
      </x:c>
      <x:c r="H170" s="32" t="n">
        <x:v>6</x:v>
      </x:c>
      <x:c r="I170" s="32" t="n">
        <x:v>0</x:v>
      </x:c>
      <x:c r="J170" s="32" t="n">
        <x:v>0</x:v>
      </x:c>
      <x:c r="K170" s="32" t="n">
        <x:v>0</x:v>
      </x:c>
      <x:c r="L170" s="32" t="n">
        <x:v>0</x:v>
      </x:c>
      <x:c r="M170" s="32" t="n">
        <x:v>0</x:v>
      </x:c>
      <x:c r="N170" s="32" t="n">
        <x:v>19000</x:v>
      </x:c>
      <x:c r="O170" s="32" t="n">
        <x:v>0</x:v>
      </x:c>
      <x:c r="P170" s="32" t="n">
        <x:v>23</x:v>
      </x:c>
      <x:c r="Q170" s="32" t="n">
        <x:v>2</x:v>
      </x:c>
      <x:c r="R170" s="32" t="n">
        <x:v>0</x:v>
      </x:c>
      <x:c r="S170" s="32" t="n">
        <x:v>0</x:v>
      </x:c>
      <x:c r="T170" s="32" t="n">
        <x:v>0</x:v>
      </x:c>
      <x:c r="U170" s="32" t="n">
        <x:v>0</x:v>
      </x:c>
      <x:c r="V170" s="32" t="n">
        <x:v>0</x:v>
      </x:c>
      <x:c r="W170" s="32" t="n">
        <x:v>0</x:v>
      </x:c>
      <x:c r="X170" s="34" t="n">
        <x:f>('01_比较参数'!$B$2+D170)*(1+('01_比较参数'!$B$5+E170)/'01_比较参数'!$B$14)*(1+('01_比较参数'!$B$6+F170)/'01_比较参数'!$B$14)*(1+('01_比较参数'!$B$7+G170)/'01_比较参数'!$B$14)*(1+('01_比较参数'!$B$8+I170/'01_比较参数'!$B$14)*('01_比较参数'!$B$12-1+('01_比较参数'!$B$9+H170)/'01_比较参数'!$B$14))*(1+('01_比较参数'!$B$10+J170/'01_比较参数'!$B$14)*('01_比较参数'!$B$13-1+('01_比较参数'!$B$11+K170)/'01_比较参数'!$B$14))*(1+L170/'01_比较参数'!$B$14)*(1+M170/'01_比较参数'!$B$14)</x:f>
        <x:v>11603.8535596137</x:v>
      </x:c>
      <x:c r="Y170" s="34" t="n">
        <x:f>X170-'01_比较参数'!$B$18</x:f>
        <x:v>1620.9575596136983</x:v>
      </x:c>
      <x:c r="Z170" s="36" t="n">
        <x:f>ROUNDDOWN(D170/2,0)</x:f>
        <x:v>27</x:v>
      </x:c>
    </x:row>
    <x:row r="171" ht="30" customHeight="1">
      <x:c r="A171" s="22" t="str">
        <x:v>法环禁军腰带</x:v>
      </x:c>
      <x:c r="B171" s="22" t="str">
        <x:v>C2制式本轮</x:v>
      </x:c>
      <x:c r="C171" s="22" t="str">
        <x:v>腰带</x:v>
      </x:c>
      <x:c r="D171" s="32" t="n">
        <x:v>42</x:v>
      </x:c>
      <x:c r="E171" s="32" t="n">
        <x:v>10</x:v>
      </x:c>
      <x:c r="F171" s="32" t="n">
        <x:v>0</x:v>
      </x:c>
      <x:c r="G171" s="32" t="n">
        <x:v>0</x:v>
      </x:c>
      <x:c r="H171" s="32" t="n">
        <x:v>0</x:v>
      </x:c>
      <x:c r="I171" s="32" t="n">
        <x:v>0</x:v>
      </x:c>
      <x:c r="J171" s="32" t="n">
        <x:v>0</x:v>
      </x:c>
      <x:c r="K171" s="32" t="n">
        <x:v>0</x:v>
      </x:c>
      <x:c r="L171" s="32" t="n">
        <x:v>0</x:v>
      </x:c>
      <x:c r="M171" s="32" t="n">
        <x:v>0</x:v>
      </x:c>
      <x:c r="N171" s="32" t="n">
        <x:v>23750</x:v>
      </x:c>
      <x:c r="O171" s="32" t="n">
        <x:v>0</x:v>
      </x:c>
      <x:c r="P171" s="32" t="n">
        <x:v>41</x:v>
      </x:c>
      <x:c r="Q171" s="32" t="n">
        <x:v>4</x:v>
      </x:c>
      <x:c r="R171" s="32" t="n">
        <x:v>0</x:v>
      </x:c>
      <x:c r="S171" s="32" t="n">
        <x:v>0</x:v>
      </x:c>
      <x:c r="T171" s="32" t="n">
        <x:v>0</x:v>
      </x:c>
      <x:c r="U171" s="32" t="n">
        <x:v>0</x:v>
      </x:c>
      <x:c r="V171" s="32" t="n">
        <x:v>0</x:v>
      </x:c>
      <x:c r="W171" s="32" t="n">
        <x:v>0</x:v>
      </x:c>
      <x:c r="X171" s="34" t="n">
        <x:f>('01_比较参数'!$B$2+D171)*(1+('01_比较参数'!$B$5+E171)/'01_比较参数'!$B$14)*(1+('01_比较参数'!$B$6+F171)/'01_比较参数'!$B$14)*(1+('01_比较参数'!$B$7+G171)/'01_比较参数'!$B$14)*(1+('01_比较参数'!$B$8+I171/'01_比较参数'!$B$14)*('01_比较参数'!$B$12-1+('01_比较参数'!$B$9+H171)/'01_比较参数'!$B$14))*(1+('01_比较参数'!$B$10+J171/'01_比较参数'!$B$14)*('01_比较参数'!$B$13-1+('01_比较参数'!$B$11+K171)/'01_比较参数'!$B$14))*(1+L171/'01_比较参数'!$B$14)*(1+M171/'01_比较参数'!$B$14)</x:f>
        <x:v>10728.890592000002</x:v>
      </x:c>
      <x:c r="Y171" s="34" t="n">
        <x:f>X171-'01_比较参数'!$B$18</x:f>
        <x:v>745.9945919999991</x:v>
      </x:c>
      <x:c r="Z171" s="36" t="n">
        <x:f>ROUNDDOWN(D171/2,0)</x:f>
        <x:v>21</x:v>
      </x:c>
    </x:row>
    <x:row r="172" ht="30" customHeight="1">
      <x:c r="A172" s="22" t="str">
        <x:v>法环禁军战靴</x:v>
      </x:c>
      <x:c r="B172" s="22" t="str">
        <x:v>C2制式本轮</x:v>
      </x:c>
      <x:c r="C172" s="22" t="str">
        <x:v>鞋子</x:v>
      </x:c>
      <x:c r="D172" s="32" t="n">
        <x:v>42</x:v>
      </x:c>
      <x:c r="E172" s="32" t="n">
        <x:v>10</x:v>
      </x:c>
      <x:c r="F172" s="32" t="n">
        <x:v>0</x:v>
      </x:c>
      <x:c r="G172" s="32" t="n">
        <x:v>0</x:v>
      </x:c>
      <x:c r="H172" s="32" t="n">
        <x:v>0</x:v>
      </x:c>
      <x:c r="I172" s="32" t="n">
        <x:v>0</x:v>
      </x:c>
      <x:c r="J172" s="32" t="n">
        <x:v>0</x:v>
      </x:c>
      <x:c r="K172" s="32" t="n">
        <x:v>0</x:v>
      </x:c>
      <x:c r="L172" s="32" t="n">
        <x:v>0</x:v>
      </x:c>
      <x:c r="M172" s="32" t="n">
        <x:v>0</x:v>
      </x:c>
      <x:c r="N172" s="32" t="n">
        <x:v>23750</x:v>
      </x:c>
      <x:c r="O172" s="32" t="n">
        <x:v>0</x:v>
      </x:c>
      <x:c r="P172" s="32" t="n">
        <x:v>41</x:v>
      </x:c>
      <x:c r="Q172" s="32" t="n">
        <x:v>3</x:v>
      </x:c>
      <x:c r="R172" s="32" t="n">
        <x:v>0</x:v>
      </x:c>
      <x:c r="S172" s="32" t="n">
        <x:v>0</x:v>
      </x:c>
      <x:c r="T172" s="32" t="n">
        <x:v>0</x:v>
      </x:c>
      <x:c r="U172" s="32" t="n">
        <x:v>0</x:v>
      </x:c>
      <x:c r="V172" s="32" t="n">
        <x:v>0</x:v>
      </x:c>
      <x:c r="W172" s="32" t="n">
        <x:v>0</x:v>
      </x:c>
      <x:c r="X172" s="34" t="n">
        <x:f>('01_比较参数'!$B$2+D172)*(1+('01_比较参数'!$B$5+E172)/'01_比较参数'!$B$14)*(1+('01_比较参数'!$B$6+F172)/'01_比较参数'!$B$14)*(1+('01_比较参数'!$B$7+G172)/'01_比较参数'!$B$14)*(1+('01_比较参数'!$B$8+I172/'01_比较参数'!$B$14)*('01_比较参数'!$B$12-1+('01_比较参数'!$B$9+H172)/'01_比较参数'!$B$14))*(1+('01_比较参数'!$B$10+J172/'01_比较参数'!$B$14)*('01_比较参数'!$B$13-1+('01_比较参数'!$B$11+K172)/'01_比较参数'!$B$14))*(1+L172/'01_比较参数'!$B$14)*(1+M172/'01_比较参数'!$B$14)</x:f>
        <x:v>10728.890592000002</x:v>
      </x:c>
      <x:c r="Y172" s="34" t="n">
        <x:f>X172-'01_比较参数'!$B$18</x:f>
        <x:v>745.9945919999991</x:v>
      </x:c>
      <x:c r="Z172" s="36" t="n">
        <x:f>ROUNDDOWN(D172/2,0)</x:f>
        <x:v>21</x:v>
      </x:c>
    </x:row>
    <x:row r="173" ht="30" customHeight="1">
      <x:c r="A173" s="22" t="str">
        <x:v>王庭统领剑</x:v>
      </x:c>
      <x:c r="B173" s="22" t="str">
        <x:v>C2制式本轮</x:v>
      </x:c>
      <x:c r="C173" s="22" t="str">
        <x:v>武器</x:v>
      </x:c>
      <x:c r="D173" s="32" t="n">
        <x:v>525</x:v>
      </x:c>
      <x:c r="E173" s="32" t="n">
        <x:v>37</x:v>
      </x:c>
      <x:c r="F173" s="32" t="n">
        <x:v>21</x:v>
      </x:c>
      <x:c r="G173" s="32" t="n">
        <x:v>9</x:v>
      </x:c>
      <x:c r="H173" s="32" t="n">
        <x:v>14</x:v>
      </x:c>
      <x:c r="I173" s="32" t="n">
        <x:v>0</x:v>
      </x:c>
      <x:c r="J173" s="32" t="n">
        <x:v>0</x:v>
      </x:c>
      <x:c r="K173" s="32" t="n">
        <x:v>0</x:v>
      </x:c>
      <x:c r="L173" s="32" t="n">
        <x:v>0</x:v>
      </x:c>
      <x:c r="M173" s="32" t="n">
        <x:v>0</x:v>
      </x:c>
      <x:c r="N173" s="32" t="n">
        <x:v>1</x:v>
      </x:c>
      <x:c r="O173" s="32" t="n">
        <x:v>0</x:v>
      </x:c>
      <x:c r="P173" s="32" t="n">
        <x:v>0</x:v>
      </x:c>
      <x:c r="Q173" s="32" t="n">
        <x:v>0</x:v>
      </x:c>
      <x:c r="R173" s="32" t="n">
        <x:v>0</x:v>
      </x:c>
      <x:c r="S173" s="32" t="n">
        <x:v>0</x:v>
      </x:c>
      <x:c r="T173" s="32" t="n">
        <x:v>10</x:v>
      </x:c>
      <x:c r="U173" s="32" t="n">
        <x:v>0</x:v>
      </x:c>
      <x:c r="V173" s="32" t="n">
        <x:v>0</x:v>
      </x:c>
      <x:c r="W173" s="32" t="n">
        <x:v>0</x:v>
      </x:c>
      <x:c r="X173" s="34" t="n">
        <x:f>('01_比较参数'!$B$2+D173)*(1+('01_比较参数'!$B$5+E173)/'01_比较参数'!$B$14)*(1+('01_比较参数'!$B$6+F173)/'01_比较参数'!$B$14)*(1+('01_比较参数'!$B$7+G173)/'01_比较参数'!$B$14)*(1+('01_比较参数'!$B$8+I173/'01_比较参数'!$B$14)*('01_比较参数'!$B$12-1+('01_比较参数'!$B$9+H173)/'01_比较参数'!$B$14))*(1+('01_比较参数'!$B$10+J173/'01_比较参数'!$B$14)*('01_比较参数'!$B$13-1+('01_比较参数'!$B$11+K173)/'01_比较参数'!$B$14))*(1+L173/'01_比较参数'!$B$14)*(1+M173/'01_比较参数'!$B$14)</x:f>
        <x:v>19633.922498017804</x:v>
      </x:c>
      <x:c r="Y173" s="34" t="n">
        <x:f>X173-'01_比较参数'!$B$18</x:f>
        <x:v>9651.026498017802</x:v>
      </x:c>
      <x:c r="Z173" s="36" t="n">
        <x:f>ROUNDDOWN(D173/2,0)</x:f>
        <x:v>262</x:v>
      </x:c>
    </x:row>
    <x:row r="174" ht="30" customHeight="1">
      <x:c r="A174" s="22" t="str">
        <x:v>王庭统领战甲</x:v>
      </x:c>
      <x:c r="B174" s="22" t="str">
        <x:v>C2制式本轮</x:v>
      </x:c>
      <x:c r="C174" s="22" t="str">
        <x:v>衣服</x:v>
      </x:c>
      <x:c r="D174" s="32" t="n">
        <x:v>63</x:v>
      </x:c>
      <x:c r="E174" s="32" t="n">
        <x:v>10</x:v>
      </x:c>
      <x:c r="F174" s="32" t="n">
        <x:v>0</x:v>
      </x:c>
      <x:c r="G174" s="32" t="n">
        <x:v>0</x:v>
      </x:c>
      <x:c r="H174" s="32" t="n">
        <x:v>0</x:v>
      </x:c>
      <x:c r="I174" s="32" t="n">
        <x:v>0</x:v>
      </x:c>
      <x:c r="J174" s="32" t="n">
        <x:v>0</x:v>
      </x:c>
      <x:c r="K174" s="32" t="n">
        <x:v>0</x:v>
      </x:c>
      <x:c r="L174" s="32" t="n">
        <x:v>0</x:v>
      </x:c>
      <x:c r="M174" s="32" t="n">
        <x:v>0</x:v>
      </x:c>
      <x:c r="N174" s="32" t="n">
        <x:v>100000</x:v>
      </x:c>
      <x:c r="O174" s="32" t="n">
        <x:v>3</x:v>
      </x:c>
      <x:c r="P174" s="32" t="n">
        <x:v>80</x:v>
      </x:c>
      <x:c r="Q174" s="32" t="n">
        <x:v>10</x:v>
      </x:c>
      <x:c r="R174" s="32" t="n">
        <x:v>0</x:v>
      </x:c>
      <x:c r="S174" s="32" t="n">
        <x:v>0</x:v>
      </x:c>
      <x:c r="T174" s="32" t="n">
        <x:v>0</x:v>
      </x:c>
      <x:c r="U174" s="32" t="n">
        <x:v>0</x:v>
      </x:c>
      <x:c r="V174" s="32" t="n">
        <x:v>0</x:v>
      </x:c>
      <x:c r="W174" s="32" t="n">
        <x:v>0</x:v>
      </x:c>
      <x:c r="X174" s="34" t="n">
        <x:f>('01_比较参数'!$B$2+D174)*(1+('01_比较参数'!$B$5+E174)/'01_比较参数'!$B$14)*(1+('01_比较参数'!$B$6+F174)/'01_比较参数'!$B$14)*(1+('01_比较参数'!$B$7+G174)/'01_比较参数'!$B$14)*(1+('01_比较参数'!$B$8+I174/'01_比较参数'!$B$14)*('01_比较参数'!$B$12-1+('01_比较参数'!$B$9+H174)/'01_比较参数'!$B$14))*(1+('01_比较参数'!$B$10+J174/'01_比较参数'!$B$14)*('01_比较参数'!$B$13-1+('01_比较参数'!$B$11+K174)/'01_比较参数'!$B$14))*(1+L174/'01_比较参数'!$B$14)*(1+M174/'01_比较参数'!$B$14)</x:f>
        <x:v>10875.003888000001</x:v>
      </x:c>
      <x:c r="Y174" s="34" t="n">
        <x:f>X174-'01_比较参数'!$B$18</x:f>
        <x:v>892.1078879999986</x:v>
      </x:c>
      <x:c r="Z174" s="36" t="n">
        <x:f>ROUNDDOWN(D174/2,0)</x:f>
        <x:v>31</x:v>
      </x:c>
    </x:row>
    <x:row r="175" ht="30" customHeight="1">
      <x:c r="A175" s="22" t="str">
        <x:v>王庭统领战盔</x:v>
      </x:c>
      <x:c r="B175" s="22" t="str">
        <x:v>C2制式本轮</x:v>
      </x:c>
      <x:c r="C175" s="22" t="str">
        <x:v>头盔</x:v>
      </x:c>
      <x:c r="D175" s="32" t="n">
        <x:v>45</x:v>
      </x:c>
      <x:c r="E175" s="32" t="n">
        <x:v>10</x:v>
      </x:c>
      <x:c r="F175" s="32" t="n">
        <x:v>0</x:v>
      </x:c>
      <x:c r="G175" s="32" t="n">
        <x:v>0</x:v>
      </x:c>
      <x:c r="H175" s="32" t="n">
        <x:v>0</x:v>
      </x:c>
      <x:c r="I175" s="32" t="n">
        <x:v>0</x:v>
      </x:c>
      <x:c r="J175" s="32" t="n">
        <x:v>0</x:v>
      </x:c>
      <x:c r="K175" s="32" t="n">
        <x:v>0</x:v>
      </x:c>
      <x:c r="L175" s="32" t="n">
        <x:v>0</x:v>
      </x:c>
      <x:c r="M175" s="32" t="n">
        <x:v>0</x:v>
      </x:c>
      <x:c r="N175" s="32" t="n">
        <x:v>25000</x:v>
      </x:c>
      <x:c r="O175" s="32" t="n">
        <x:v>0</x:v>
      </x:c>
      <x:c r="P175" s="32" t="n">
        <x:v>41</x:v>
      </x:c>
      <x:c r="Q175" s="32" t="n">
        <x:v>4</x:v>
      </x:c>
      <x:c r="R175" s="32" t="n">
        <x:v>0</x:v>
      </x:c>
      <x:c r="S175" s="32" t="n">
        <x:v>0</x:v>
      </x:c>
      <x:c r="T175" s="32" t="n">
        <x:v>0</x:v>
      </x:c>
      <x:c r="U175" s="32" t="n">
        <x:v>0</x:v>
      </x:c>
      <x:c r="V175" s="32" t="n">
        <x:v>0</x:v>
      </x:c>
      <x:c r="W175" s="32" t="n">
        <x:v>0</x:v>
      </x:c>
      <x:c r="X175" s="34" t="n">
        <x:f>('01_比较参数'!$B$2+D175)*(1+('01_比较参数'!$B$5+E175)/'01_比较参数'!$B$14)*(1+('01_比较参数'!$B$6+F175)/'01_比较参数'!$B$14)*(1+('01_比较参数'!$B$7+G175)/'01_比较参数'!$B$14)*(1+('01_比较参数'!$B$8+I175/'01_比较参数'!$B$14)*('01_比较参数'!$B$12-1+('01_比较参数'!$B$9+H175)/'01_比较参数'!$B$14))*(1+('01_比较参数'!$B$10+J175/'01_比较参数'!$B$14)*('01_比较参数'!$B$13-1+('01_比较参数'!$B$11+K175)/'01_比较参数'!$B$14))*(1+L175/'01_比较参数'!$B$14)*(1+M175/'01_比较参数'!$B$14)</x:f>
        <x:v>10749.76392</x:v>
      </x:c>
      <x:c r="Y175" s="34" t="n">
        <x:f>X175-'01_比较参数'!$B$18</x:f>
        <x:v>766.867919999997</x:v>
      </x:c>
      <x:c r="Z175" s="36" t="n">
        <x:f>ROUNDDOWN(D175/2,0)</x:f>
        <x:v>22</x:v>
      </x:c>
    </x:row>
    <x:row r="176" ht="30" customHeight="1">
      <x:c r="A176" s="22" t="str">
        <x:v>王庭统领项链</x:v>
      </x:c>
      <x:c r="B176" s="22" t="str">
        <x:v>C2制式本轮</x:v>
      </x:c>
      <x:c r="C176" s="22" t="str">
        <x:v>项链</x:v>
      </x:c>
      <x:c r="D176" s="32" t="n">
        <x:v>58</x:v>
      </x:c>
      <x:c r="E176" s="32" t="n">
        <x:v>11</x:v>
      </x:c>
      <x:c r="F176" s="32" t="n">
        <x:v>5</x:v>
      </x:c>
      <x:c r="G176" s="32" t="n">
        <x:v>4</x:v>
      </x:c>
      <x:c r="H176" s="32" t="n">
        <x:v>6</x:v>
      </x:c>
      <x:c r="I176" s="32" t="n">
        <x:v>0</x:v>
      </x:c>
      <x:c r="J176" s="32" t="n">
        <x:v>0</x:v>
      </x:c>
      <x:c r="K176" s="32" t="n">
        <x:v>0</x:v>
      </x:c>
      <x:c r="L176" s="32" t="n">
        <x:v>0</x:v>
      </x:c>
      <x:c r="M176" s="32" t="n">
        <x:v>0</x:v>
      </x:c>
      <x:c r="N176" s="32" t="n">
        <x:v>15000</x:v>
      </x:c>
      <x:c r="O176" s="32" t="n">
        <x:v>0</x:v>
      </x:c>
      <x:c r="P176" s="32" t="n">
        <x:v>0</x:v>
      </x:c>
      <x:c r="Q176" s="32" t="n">
        <x:v>0</x:v>
      </x:c>
      <x:c r="R176" s="32" t="n">
        <x:v>0</x:v>
      </x:c>
      <x:c r="S176" s="32" t="n">
        <x:v>0</x:v>
      </x:c>
      <x:c r="T176" s="32" t="n">
        <x:v>0</x:v>
      </x:c>
      <x:c r="U176" s="32" t="n">
        <x:v>0</x:v>
      </x:c>
      <x:c r="V176" s="32" t="n">
        <x:v>0</x:v>
      </x:c>
      <x:c r="W176" s="32" t="n">
        <x:v>0</x:v>
      </x:c>
      <x:c r="X176" s="34" t="n">
        <x:f>('01_比较参数'!$B$2+D176)*(1+('01_比较参数'!$B$5+E176)/'01_比较参数'!$B$14)*(1+('01_比较参数'!$B$6+F176)/'01_比较参数'!$B$14)*(1+('01_比较参数'!$B$7+G176)/'01_比较参数'!$B$14)*(1+('01_比较参数'!$B$8+I176/'01_比较参数'!$B$14)*('01_比较参数'!$B$12-1+('01_比较参数'!$B$9+H176)/'01_比较参数'!$B$14))*(1+('01_比较参数'!$B$10+J176/'01_比较参数'!$B$14)*('01_比较参数'!$B$13-1+('01_比较参数'!$B$11+K176)/'01_比较参数'!$B$14))*(1+L176/'01_比较参数'!$B$14)*(1+M176/'01_比较参数'!$B$14)</x:f>
        <x:v>11727.779632957081</x:v>
      </x:c>
      <x:c r="Y176" s="34" t="n">
        <x:f>X176-'01_比较参数'!$B$18</x:f>
        <x:v>1744.8836329570786</x:v>
      </x:c>
      <x:c r="Z176" s="36" t="n">
        <x:f>ROUNDDOWN(D176/2,0)</x:f>
        <x:v>29</x:v>
      </x:c>
    </x:row>
    <x:row r="177" ht="30" customHeight="1">
      <x:c r="A177" s="22" t="str">
        <x:v>王庭统领腕甲</x:v>
      </x:c>
      <x:c r="B177" s="22" t="str">
        <x:v>C2制式本轮</x:v>
      </x:c>
      <x:c r="C177" s="22" t="str">
        <x:v>手镯</x:v>
      </x:c>
      <x:c r="D177" s="32" t="n">
        <x:v>52</x:v>
      </x:c>
      <x:c r="E177" s="32" t="n">
        <x:v>9</x:v>
      </x:c>
      <x:c r="F177" s="32" t="n">
        <x:v>5</x:v>
      </x:c>
      <x:c r="G177" s="32" t="n">
        <x:v>4</x:v>
      </x:c>
      <x:c r="H177" s="32" t="n">
        <x:v>6</x:v>
      </x:c>
      <x:c r="I177" s="32" t="n">
        <x:v>0</x:v>
      </x:c>
      <x:c r="J177" s="32" t="n">
        <x:v>0</x:v>
      </x:c>
      <x:c r="K177" s="32" t="n">
        <x:v>0</x:v>
      </x:c>
      <x:c r="L177" s="32" t="n">
        <x:v>0</x:v>
      </x:c>
      <x:c r="M177" s="32" t="n">
        <x:v>0</x:v>
      </x:c>
      <x:c r="N177" s="32" t="n">
        <x:v>20000</x:v>
      </x:c>
      <x:c r="O177" s="32" t="n">
        <x:v>0</x:v>
      </x:c>
      <x:c r="P177" s="32" t="n">
        <x:v>29</x:v>
      </x:c>
      <x:c r="Q177" s="32" t="n">
        <x:v>2</x:v>
      </x:c>
      <x:c r="R177" s="32" t="n">
        <x:v>0</x:v>
      </x:c>
      <x:c r="S177" s="32" t="n">
        <x:v>0</x:v>
      </x:c>
      <x:c r="T177" s="32" t="n">
        <x:v>0</x:v>
      </x:c>
      <x:c r="U177" s="32" t="n">
        <x:v>0</x:v>
      </x:c>
      <x:c r="V177" s="32" t="n">
        <x:v>0</x:v>
      </x:c>
      <x:c r="W177" s="32" t="n">
        <x:v>0</x:v>
      </x:c>
      <x:c r="X177" s="34" t="n">
        <x:f>('01_比较参数'!$B$2+D177)*(1+('01_比较参数'!$B$5+E177)/'01_比较参数'!$B$14)*(1+('01_比较参数'!$B$6+F177)/'01_比较参数'!$B$14)*(1+('01_比较参数'!$B$7+G177)/'01_比较参数'!$B$14)*(1+('01_比较参数'!$B$8+I177/'01_比较参数'!$B$14)*('01_比较参数'!$B$12-1+('01_比较参数'!$B$9+H177)/'01_比较参数'!$B$14))*(1+('01_比较参数'!$B$10+J177/'01_比较参数'!$B$14)*('01_比较参数'!$B$13-1+('01_比较参数'!$B$11+K177)/'01_比较参数'!$B$14))*(1+L177/'01_比较参数'!$B$14)*(1+M177/'01_比较参数'!$B$14)</x:f>
        <x:v>11581.466703871682</x:v>
      </x:c>
      <x:c r="Y177" s="34" t="n">
        <x:f>X177-'01_比较参数'!$B$18</x:f>
        <x:v>1598.5707038716791</x:v>
      </x:c>
      <x:c r="Z177" s="36" t="n">
        <x:f>ROUNDDOWN(D177/2,0)</x:f>
        <x:v>26</x:v>
      </x:c>
    </x:row>
    <x:row r="178" ht="30" customHeight="1">
      <x:c r="A178" s="22" t="str">
        <x:v>王庭统领戒指</x:v>
      </x:c>
      <x:c r="B178" s="22" t="str">
        <x:v>C2制式本轮</x:v>
      </x:c>
      <x:c r="C178" s="22" t="str">
        <x:v>戒指</x:v>
      </x:c>
      <x:c r="D178" s="32" t="n">
        <x:v>58</x:v>
      </x:c>
      <x:c r="E178" s="32" t="n">
        <x:v>9</x:v>
      </x:c>
      <x:c r="F178" s="32" t="n">
        <x:v>5</x:v>
      </x:c>
      <x:c r="G178" s="32" t="n">
        <x:v>4</x:v>
      </x:c>
      <x:c r="H178" s="32" t="n">
        <x:v>6</x:v>
      </x:c>
      <x:c r="I178" s="32" t="n">
        <x:v>0</x:v>
      </x:c>
      <x:c r="J178" s="32" t="n">
        <x:v>0</x:v>
      </x:c>
      <x:c r="K178" s="32" t="n">
        <x:v>0</x:v>
      </x:c>
      <x:c r="L178" s="32" t="n">
        <x:v>0</x:v>
      </x:c>
      <x:c r="M178" s="32" t="n">
        <x:v>0</x:v>
      </x:c>
      <x:c r="N178" s="32" t="n">
        <x:v>20000</x:v>
      </x:c>
      <x:c r="O178" s="32" t="n">
        <x:v>0</x:v>
      </x:c>
      <x:c r="P178" s="32" t="n">
        <x:v>24</x:v>
      </x:c>
      <x:c r="Q178" s="32" t="n">
        <x:v>2</x:v>
      </x:c>
      <x:c r="R178" s="32" t="n">
        <x:v>0</x:v>
      </x:c>
      <x:c r="S178" s="32" t="n">
        <x:v>0</x:v>
      </x:c>
      <x:c r="T178" s="32" t="n">
        <x:v>0</x:v>
      </x:c>
      <x:c r="U178" s="32" t="n">
        <x:v>0</x:v>
      </x:c>
      <x:c r="V178" s="32" t="n">
        <x:v>0</x:v>
      </x:c>
      <x:c r="W178" s="32" t="n">
        <x:v>0</x:v>
      </x:c>
      <x:c r="X178" s="34" t="n">
        <x:f>('01_比较参数'!$B$2+D178)*(1+('01_比较参数'!$B$5+E178)/'01_比较参数'!$B$14)*(1+('01_比较参数'!$B$6+F178)/'01_比较参数'!$B$14)*(1+('01_比较参数'!$B$7+G178)/'01_比较参数'!$B$14)*(1+('01_比较参数'!$B$8+I178/'01_比较参数'!$B$14)*('01_比较参数'!$B$12-1+('01_比较参数'!$B$9+H178)/'01_比较参数'!$B$14))*(1+('01_比较参数'!$B$10+J178/'01_比较参数'!$B$14)*('01_比较参数'!$B$13-1+('01_比较参数'!$B$11+K178)/'01_比较参数'!$B$14))*(1+L178/'01_比较参数'!$B$14)*(1+M178/'01_比较参数'!$B$14)</x:f>
        <x:v>11626.24041535572</x:v>
      </x:c>
      <x:c r="Y178" s="34" t="n">
        <x:f>X178-'01_比较参数'!$B$18</x:f>
        <x:v>1643.3444153557175</x:v>
      </x:c>
      <x:c r="Z178" s="36" t="n">
        <x:f>ROUNDDOWN(D178/2,0)</x:f>
        <x:v>29</x:v>
      </x:c>
    </x:row>
    <x:row r="179" ht="30" customHeight="1">
      <x:c r="A179" s="22" t="str">
        <x:v>王庭统领腰带</x:v>
      </x:c>
      <x:c r="B179" s="22" t="str">
        <x:v>C2制式本轮</x:v>
      </x:c>
      <x:c r="C179" s="22" t="str">
        <x:v>腰带</x:v>
      </x:c>
      <x:c r="D179" s="32" t="n">
        <x:v>45</x:v>
      </x:c>
      <x:c r="E179" s="32" t="n">
        <x:v>10</x:v>
      </x:c>
      <x:c r="F179" s="32" t="n">
        <x:v>0</x:v>
      </x:c>
      <x:c r="G179" s="32" t="n">
        <x:v>0</x:v>
      </x:c>
      <x:c r="H179" s="32" t="n">
        <x:v>0</x:v>
      </x:c>
      <x:c r="I179" s="32" t="n">
        <x:v>0</x:v>
      </x:c>
      <x:c r="J179" s="32" t="n">
        <x:v>0</x:v>
      </x:c>
      <x:c r="K179" s="32" t="n">
        <x:v>0</x:v>
      </x:c>
      <x:c r="L179" s="32" t="n">
        <x:v>0</x:v>
      </x:c>
      <x:c r="M179" s="32" t="n">
        <x:v>0</x:v>
      </x:c>
      <x:c r="N179" s="32" t="n">
        <x:v>25000</x:v>
      </x:c>
      <x:c r="O179" s="32" t="n">
        <x:v>0</x:v>
      </x:c>
      <x:c r="P179" s="32" t="n">
        <x:v>43</x:v>
      </x:c>
      <x:c r="Q179" s="32" t="n">
        <x:v>4</x:v>
      </x:c>
      <x:c r="R179" s="32" t="n">
        <x:v>0</x:v>
      </x:c>
      <x:c r="S179" s="32" t="n">
        <x:v>0</x:v>
      </x:c>
      <x:c r="T179" s="32" t="n">
        <x:v>0</x:v>
      </x:c>
      <x:c r="U179" s="32" t="n">
        <x:v>0</x:v>
      </x:c>
      <x:c r="V179" s="32" t="n">
        <x:v>0</x:v>
      </x:c>
      <x:c r="W179" s="32" t="n">
        <x:v>0</x:v>
      </x:c>
      <x:c r="X179" s="34" t="n">
        <x:f>('01_比较参数'!$B$2+D179)*(1+('01_比较参数'!$B$5+E179)/'01_比较参数'!$B$14)*(1+('01_比较参数'!$B$6+F179)/'01_比较参数'!$B$14)*(1+('01_比较参数'!$B$7+G179)/'01_比较参数'!$B$14)*(1+('01_比较参数'!$B$8+I179/'01_比较参数'!$B$14)*('01_比较参数'!$B$12-1+('01_比较参数'!$B$9+H179)/'01_比较参数'!$B$14))*(1+('01_比较参数'!$B$10+J179/'01_比较参数'!$B$14)*('01_比较参数'!$B$13-1+('01_比较参数'!$B$11+K179)/'01_比较参数'!$B$14))*(1+L179/'01_比较参数'!$B$14)*(1+M179/'01_比较参数'!$B$14)</x:f>
        <x:v>10749.76392</x:v>
      </x:c>
      <x:c r="Y179" s="34" t="n">
        <x:f>X179-'01_比较参数'!$B$18</x:f>
        <x:v>766.867919999997</x:v>
      </x:c>
      <x:c r="Z179" s="36" t="n">
        <x:f>ROUNDDOWN(D179/2,0)</x:f>
        <x:v>22</x:v>
      </x:c>
    </x:row>
    <x:row r="180" ht="30" customHeight="1">
      <x:c r="A180" s="22" t="str">
        <x:v>王庭统领战靴</x:v>
      </x:c>
      <x:c r="B180" s="22" t="str">
        <x:v>C2制式本轮</x:v>
      </x:c>
      <x:c r="C180" s="22" t="str">
        <x:v>鞋子</x:v>
      </x:c>
      <x:c r="D180" s="32" t="n">
        <x:v>45</x:v>
      </x:c>
      <x:c r="E180" s="32" t="n">
        <x:v>10</x:v>
      </x:c>
      <x:c r="F180" s="32" t="n">
        <x:v>0</x:v>
      </x:c>
      <x:c r="G180" s="32" t="n">
        <x:v>0</x:v>
      </x:c>
      <x:c r="H180" s="32" t="n">
        <x:v>0</x:v>
      </x:c>
      <x:c r="I180" s="32" t="n">
        <x:v>0</x:v>
      </x:c>
      <x:c r="J180" s="32" t="n">
        <x:v>0</x:v>
      </x:c>
      <x:c r="K180" s="32" t="n">
        <x:v>0</x:v>
      </x:c>
      <x:c r="L180" s="32" t="n">
        <x:v>0</x:v>
      </x:c>
      <x:c r="M180" s="32" t="n">
        <x:v>0</x:v>
      </x:c>
      <x:c r="N180" s="32" t="n">
        <x:v>25000</x:v>
      </x:c>
      <x:c r="O180" s="32" t="n">
        <x:v>0</x:v>
      </x:c>
      <x:c r="P180" s="32" t="n">
        <x:v>43</x:v>
      </x:c>
      <x:c r="Q180" s="32" t="n">
        <x:v>3</x:v>
      </x:c>
      <x:c r="R180" s="32" t="n">
        <x:v>0</x:v>
      </x:c>
      <x:c r="S180" s="32" t="n">
        <x:v>0</x:v>
      </x:c>
      <x:c r="T180" s="32" t="n">
        <x:v>0</x:v>
      </x:c>
      <x:c r="U180" s="32" t="n">
        <x:v>0</x:v>
      </x:c>
      <x:c r="V180" s="32" t="n">
        <x:v>0</x:v>
      </x:c>
      <x:c r="W180" s="32" t="n">
        <x:v>0</x:v>
      </x:c>
      <x:c r="X180" s="34" t="n">
        <x:f>('01_比较参数'!$B$2+D180)*(1+('01_比较参数'!$B$5+E180)/'01_比较参数'!$B$14)*(1+('01_比较参数'!$B$6+F180)/'01_比较参数'!$B$14)*(1+('01_比较参数'!$B$7+G180)/'01_比较参数'!$B$14)*(1+('01_比较参数'!$B$8+I180/'01_比较参数'!$B$14)*('01_比较参数'!$B$12-1+('01_比较参数'!$B$9+H180)/'01_比较参数'!$B$14))*(1+('01_比较参数'!$B$10+J180/'01_比较参数'!$B$14)*('01_比较参数'!$B$13-1+('01_比较参数'!$B$11+K180)/'01_比较参数'!$B$14))*(1+L180/'01_比较参数'!$B$14)*(1+M180/'01_比较参数'!$B$14)</x:f>
        <x:v>10749.76392</x:v>
      </x:c>
      <x:c r="Y180" s="34" t="n">
        <x:f>X180-'01_比较参数'!$B$18</x:f>
        <x:v>766.867919999997</x:v>
      </x:c>
      <x:c r="Z180" s="36" t="n">
        <x:f>ROUNDDOWN(D180/2,0)</x:f>
        <x:v>22</x:v>
      </x:c>
    </x:row>
    <x:row r="181" ht="30" customHeight="1">
      <x:c r="A181" s="22" t="str">
        <x:v>拾骨弯刀</x:v>
      </x:c>
      <x:c r="B181" s="22" t="str">
        <x:v>C3首图V2.1</x:v>
      </x:c>
      <x:c r="C181" s="22" t="str">
        <x:v>武器</x:v>
      </x:c>
      <x:c r="D181" s="32" t="n">
        <x:v>560</x:v>
      </x:c>
      <x:c r="E181" s="32" t="n">
        <x:v>71</x:v>
      </x:c>
      <x:c r="F181" s="32" t="n">
        <x:v>36</x:v>
      </x:c>
      <x:c r="G181" s="32" t="n">
        <x:v>22</x:v>
      </x:c>
      <x:c r="H181" s="32" t="n">
        <x:v>41</x:v>
      </x:c>
      <x:c r="I181" s="32" t="n">
        <x:v>0</x:v>
      </x:c>
      <x:c r="J181" s="32" t="n">
        <x:v>0</x:v>
      </x:c>
      <x:c r="K181" s="32" t="n">
        <x:v>11</x:v>
      </x:c>
      <x:c r="L181" s="32" t="n">
        <x:v>0</x:v>
      </x:c>
      <x:c r="M181" s="32" t="n">
        <x:v>0</x:v>
      </x:c>
      <x:c r="N181" s="32" t="n">
        <x:v>16700</x:v>
      </x:c>
      <x:c r="O181" s="32" t="n">
        <x:v>0</x:v>
      </x:c>
      <x:c r="P181" s="32" t="n">
        <x:v>0</x:v>
      </x:c>
      <x:c r="Q181" s="32" t="n">
        <x:v>0</x:v>
      </x:c>
      <x:c r="R181" s="32" t="n">
        <x:v>0</x:v>
      </x:c>
      <x:c r="S181" s="32" t="n">
        <x:v>0</x:v>
      </x:c>
      <x:c r="T181" s="32" t="n">
        <x:v>15</x:v>
      </x:c>
      <x:c r="U181" s="32" t="n">
        <x:v>0</x:v>
      </x:c>
      <x:c r="V181" s="32" t="n">
        <x:v>0</x:v>
      </x:c>
      <x:c r="W181" s="32" t="n">
        <x:v>0</x:v>
      </x:c>
      <x:c r="X181" s="34" t="n">
        <x:f>('01_比较参数'!$B$2+D181)*(1+('01_比较参数'!$B$5+E181)/'01_比较参数'!$B$14)*(1+('01_比较参数'!$B$6+F181)/'01_比较参数'!$B$14)*(1+('01_比较参数'!$B$7+G181)/'01_比较参数'!$B$14)*(1+('01_比较参数'!$B$8+I181/'01_比较参数'!$B$14)*('01_比较参数'!$B$12-1+('01_比较参数'!$B$9+H181)/'01_比较参数'!$B$14))*(1+('01_比较参数'!$B$10+J181/'01_比较参数'!$B$14)*('01_比较参数'!$B$13-1+('01_比较参数'!$B$11+K181)/'01_比较参数'!$B$14))*(1+L181/'01_比较参数'!$B$14)*(1+M181/'01_比较参数'!$B$14)</x:f>
        <x:v>28356.45323738875</x:v>
      </x:c>
      <x:c r="Y181" s="34" t="n">
        <x:f>X181-'01_比较参数'!$B$18</x:f>
        <x:v>18373.557237388748</x:v>
      </x:c>
      <x:c r="Z181" s="36" t="n">
        <x:f>ROUNDDOWN(D181/2,0)</x:f>
        <x:v>280</x:v>
      </x:c>
    </x:row>
    <x:row r="182" ht="30" customHeight="1">
      <x:c r="A182" s="22" t="str">
        <x:v>断旗战链</x:v>
      </x:c>
      <x:c r="B182" s="22" t="str">
        <x:v>C3首图V2.1</x:v>
      </x:c>
      <x:c r="C182" s="22" t="str">
        <x:v>项链</x:v>
      </x:c>
      <x:c r="D182" s="32" t="n">
        <x:v>66</x:v>
      </x:c>
      <x:c r="E182" s="32" t="n">
        <x:v>15</x:v>
      </x:c>
      <x:c r="F182" s="32" t="n">
        <x:v>12</x:v>
      </x:c>
      <x:c r="G182" s="32" t="n">
        <x:v>4</x:v>
      </x:c>
      <x:c r="H182" s="32" t="n">
        <x:v>0</x:v>
      </x:c>
      <x:c r="I182" s="32" t="n">
        <x:v>0</x:v>
      </x:c>
      <x:c r="J182" s="32" t="n">
        <x:v>0</x:v>
      </x:c>
      <x:c r="K182" s="32" t="n">
        <x:v>0</x:v>
      </x:c>
      <x:c r="L182" s="32" t="n">
        <x:v>0</x:v>
      </x:c>
      <x:c r="M182" s="32" t="n">
        <x:v>0</x:v>
      </x:c>
      <x:c r="N182" s="32" t="n">
        <x:v>11700</x:v>
      </x:c>
      <x:c r="O182" s="32" t="n">
        <x:v>0</x:v>
      </x:c>
      <x:c r="P182" s="32" t="n">
        <x:v>0</x:v>
      </x:c>
      <x:c r="Q182" s="32" t="n">
        <x:v>0</x:v>
      </x:c>
      <x:c r="R182" s="32" t="n">
        <x:v>0</x:v>
      </x:c>
      <x:c r="S182" s="32" t="n">
        <x:v>0</x:v>
      </x:c>
      <x:c r="T182" s="32" t="n">
        <x:v>0</x:v>
      </x:c>
      <x:c r="U182" s="32" t="n">
        <x:v>0</x:v>
      </x:c>
      <x:c r="V182" s="32" t="n">
        <x:v>0</x:v>
      </x:c>
      <x:c r="W182" s="32" t="n">
        <x:v>0</x:v>
      </x:c>
      <x:c r="X182" s="34" t="n">
        <x:f>('01_比较参数'!$B$2+D182)*(1+('01_比较参数'!$B$5+E182)/'01_比较参数'!$B$14)*(1+('01_比较参数'!$B$6+F182)/'01_比较参数'!$B$14)*(1+('01_比较参数'!$B$7+G182)/'01_比较参数'!$B$14)*(1+('01_比较参数'!$B$8+I182/'01_比较参数'!$B$14)*('01_比较参数'!$B$12-1+('01_比较参数'!$B$9+H182)/'01_比较参数'!$B$14))*(1+('01_比较参数'!$B$10+J182/'01_比较参数'!$B$14)*('01_比较参数'!$B$13-1+('01_比较参数'!$B$11+K182)/'01_比较参数'!$B$14))*(1+L182/'01_比较参数'!$B$14)*(1+M182/'01_比较参数'!$B$14)</x:f>
        <x:v>12350.666317852802</x:v>
      </x:c>
      <x:c r="Y182" s="34" t="n">
        <x:f>X182-'01_比较参数'!$B$18</x:f>
        <x:v>2367.770317852799</x:v>
      </x:c>
      <x:c r="Z182" s="36" t="n">
        <x:f>ROUNDDOWN(D182/2,0)</x:f>
        <x:v>33</x:v>
      </x:c>
    </x:row>
    <x:row r="183" ht="30" customHeight="1">
      <x:c r="A183" s="22" t="str">
        <x:v>掠风护腕</x:v>
      </x:c>
      <x:c r="B183" s="22" t="str">
        <x:v>C3首图V2.1</x:v>
      </x:c>
      <x:c r="C183" s="22" t="str">
        <x:v>手镯</x:v>
      </x:c>
      <x:c r="D183" s="32" t="n">
        <x:v>60</x:v>
      </x:c>
      <x:c r="E183" s="32" t="n">
        <x:v>15</x:v>
      </x:c>
      <x:c r="F183" s="32" t="n">
        <x:v>0</x:v>
      </x:c>
      <x:c r="G183" s="32" t="n">
        <x:v>4</x:v>
      </x:c>
      <x:c r="H183" s="32" t="n">
        <x:v>16</x:v>
      </x:c>
      <x:c r="I183" s="32" t="n">
        <x:v>0</x:v>
      </x:c>
      <x:c r="J183" s="32" t="n">
        <x:v>0</x:v>
      </x:c>
      <x:c r="K183" s="32" t="n">
        <x:v>0</x:v>
      </x:c>
      <x:c r="L183" s="32" t="n">
        <x:v>0</x:v>
      </x:c>
      <x:c r="M183" s="32" t="n">
        <x:v>0</x:v>
      </x:c>
      <x:c r="N183" s="32" t="n">
        <x:v>11700</x:v>
      </x:c>
      <x:c r="O183" s="32" t="n">
        <x:v>0</x:v>
      </x:c>
      <x:c r="P183" s="32" t="n">
        <x:v>27</x:v>
      </x:c>
      <x:c r="Q183" s="32" t="n">
        <x:v>1</x:v>
      </x:c>
      <x:c r="R183" s="32" t="n">
        <x:v>0</x:v>
      </x:c>
      <x:c r="S183" s="32" t="n">
        <x:v>0</x:v>
      </x:c>
      <x:c r="T183" s="32" t="n">
        <x:v>0</x:v>
      </x:c>
      <x:c r="U183" s="32" t="n">
        <x:v>0</x:v>
      </x:c>
      <x:c r="V183" s="32" t="n">
        <x:v>0</x:v>
      </x:c>
      <x:c r="W183" s="32" t="n">
        <x:v>0</x:v>
      </x:c>
      <x:c r="X183" s="34" t="n">
        <x:f>('01_比较参数'!$B$2+D183)*(1+('01_比较参数'!$B$5+E183)/'01_比较参数'!$B$14)*(1+('01_比较参数'!$B$6+F183)/'01_比较参数'!$B$14)*(1+('01_比较参数'!$B$7+G183)/'01_比较参数'!$B$14)*(1+('01_比较参数'!$B$8+I183/'01_比较参数'!$B$14)*('01_比较参数'!$B$12-1+('01_比较参数'!$B$9+H183)/'01_比较参数'!$B$14))*(1+('01_比较参数'!$B$10+J183/'01_比较参数'!$B$14)*('01_比较参数'!$B$13-1+('01_比较参数'!$B$11+K183)/'01_比较参数'!$B$14))*(1+L183/'01_比较参数'!$B$14)*(1+M183/'01_比较参数'!$B$14)</x:f>
        <x:v>11816.161104384002</x:v>
      </x:c>
      <x:c r="Y183" s="34" t="n">
        <x:f>X183-'01_比较参数'!$B$18</x:f>
        <x:v>1833.2651043839996</x:v>
      </x:c>
      <x:c r="Z183" s="36" t="n">
        <x:f>ROUNDDOWN(D183/2,0)</x:f>
        <x:v>30</x:v>
      </x:c>
    </x:row>
    <x:row r="184" ht="30" customHeight="1">
      <x:c r="A184" s="22" t="str">
        <x:v>铁蹄战靴</x:v>
      </x:c>
      <x:c r="B184" s="22" t="str">
        <x:v>C3首图V2.1</x:v>
      </x:c>
      <x:c r="C184" s="22" t="str">
        <x:v>鞋子</x:v>
      </x:c>
      <x:c r="D184" s="32" t="n">
        <x:v>45</x:v>
      </x:c>
      <x:c r="E184" s="32" t="n">
        <x:v>7</x:v>
      </x:c>
      <x:c r="F184" s="32" t="n">
        <x:v>0</x:v>
      </x:c>
      <x:c r="G184" s="32" t="n">
        <x:v>0</x:v>
      </x:c>
      <x:c r="H184" s="32" t="n">
        <x:v>0</x:v>
      </x:c>
      <x:c r="I184" s="32" t="n">
        <x:v>0</x:v>
      </x:c>
      <x:c r="J184" s="32" t="n">
        <x:v>0</x:v>
      </x:c>
      <x:c r="K184" s="32" t="n">
        <x:v>0</x:v>
      </x:c>
      <x:c r="L184" s="32" t="n">
        <x:v>0</x:v>
      </x:c>
      <x:c r="M184" s="32" t="n">
        <x:v>0</x:v>
      </x:c>
      <x:c r="N184" s="32" t="n">
        <x:v>23300</x:v>
      </x:c>
      <x:c r="O184" s="32" t="n">
        <x:v>0</x:v>
      </x:c>
      <x:c r="P184" s="32" t="n">
        <x:v>27</x:v>
      </x:c>
      <x:c r="Q184" s="32" t="n">
        <x:v>2</x:v>
      </x:c>
      <x:c r="R184" s="32" t="n">
        <x:v>0</x:v>
      </x:c>
      <x:c r="S184" s="32" t="n">
        <x:v>0</x:v>
      </x:c>
      <x:c r="T184" s="32" t="n">
        <x:v>0</x:v>
      </x:c>
      <x:c r="U184" s="32" t="n">
        <x:v>0</x:v>
      </x:c>
      <x:c r="V184" s="32" t="n">
        <x:v>0</x:v>
      </x:c>
      <x:c r="W184" s="32" t="n">
        <x:v>0</x:v>
      </x:c>
      <x:c r="X184" s="34" t="n">
        <x:f>('01_比较参数'!$B$2+D184)*(1+('01_比较参数'!$B$5+E184)/'01_比较参数'!$B$14)*(1+('01_比较参数'!$B$6+F184)/'01_比较参数'!$B$14)*(1+('01_比较参数'!$B$7+G184)/'01_比较参数'!$B$14)*(1+('01_比较参数'!$B$8+I184/'01_比较参数'!$B$14)*('01_比较参数'!$B$12-1+('01_比较参数'!$B$9+H184)/'01_比较参数'!$B$14))*(1+('01_比较参数'!$B$10+J184/'01_比较参数'!$B$14)*('01_比较参数'!$B$13-1+('01_比较参数'!$B$11+K184)/'01_比较参数'!$B$14))*(1+L184/'01_比较参数'!$B$14)*(1+M184/'01_比较参数'!$B$14)</x:f>
        <x:v>10609.549608000001</x:v>
      </x:c>
      <x:c r="Y184" s="34" t="n">
        <x:f>X184-'01_比较参数'!$B$18</x:f>
        <x:v>626.6536079999987</x:v>
      </x:c>
      <x:c r="Z184" s="36" t="n">
        <x:f>ROUNDDOWN(D184/2,0)</x:f>
        <x:v>22</x:v>
      </x:c>
    </x:row>
    <x:row r="185" ht="30" customHeight="1">
      <x:c r="A185" s="22" t="str">
        <x:v>枯草牙戒</x:v>
      </x:c>
      <x:c r="B185" s="22" t="str">
        <x:v>C3首图V2.1</x:v>
      </x:c>
      <x:c r="C185" s="22" t="str">
        <x:v>戒指</x:v>
      </x:c>
      <x:c r="D185" s="32" t="n">
        <x:v>60</x:v>
      </x:c>
      <x:c r="E185" s="32" t="n">
        <x:v>12</x:v>
      </x:c>
      <x:c r="F185" s="32" t="n">
        <x:v>5</x:v>
      </x:c>
      <x:c r="G185" s="32" t="n">
        <x:v>4</x:v>
      </x:c>
      <x:c r="H185" s="32" t="n">
        <x:v>0</x:v>
      </x:c>
      <x:c r="I185" s="32" t="n">
        <x:v>0</x:v>
      </x:c>
      <x:c r="J185" s="32" t="n">
        <x:v>0</x:v>
      </x:c>
      <x:c r="K185" s="32" t="n">
        <x:v>0</x:v>
      </x:c>
      <x:c r="L185" s="32" t="n">
        <x:v>0</x:v>
      </x:c>
      <x:c r="M185" s="32" t="n">
        <x:v>0</x:v>
      </x:c>
      <x:c r="N185" s="32" t="n">
        <x:v>10800</x:v>
      </x:c>
      <x:c r="O185" s="32" t="n">
        <x:v>0</x:v>
      </x:c>
      <x:c r="P185" s="32" t="n">
        <x:v>27</x:v>
      </x:c>
      <x:c r="Q185" s="32" t="n">
        <x:v>1</x:v>
      </x:c>
      <x:c r="R185" s="32" t="n">
        <x:v>0</x:v>
      </x:c>
      <x:c r="S185" s="32" t="n">
        <x:v>0</x:v>
      </x:c>
      <x:c r="T185" s="32" t="n">
        <x:v>0</x:v>
      </x:c>
      <x:c r="U185" s="32" t="n">
        <x:v>0</x:v>
      </x:c>
      <x:c r="V185" s="32" t="n">
        <x:v>0</x:v>
      </x:c>
      <x:c r="W185" s="32" t="n">
        <x:v>0</x:v>
      </x:c>
      <x:c r="X185" s="34" t="n">
        <x:f>('01_比较参数'!$B$2+D185)*(1+('01_比较参数'!$B$5+E185)/'01_比较参数'!$B$14)*(1+('01_比较参数'!$B$6+F185)/'01_比较参数'!$B$14)*(1+('01_比较参数'!$B$7+G185)/'01_比较参数'!$B$14)*(1+('01_比较参数'!$B$8+I185/'01_比较参数'!$B$14)*('01_比较参数'!$B$12-1+('01_比较参数'!$B$9+H185)/'01_比较参数'!$B$14))*(1+('01_比较参数'!$B$10+J185/'01_比较参数'!$B$14)*('01_比较参数'!$B$13-1+('01_比较参数'!$B$11+K185)/'01_比较参数'!$B$14))*(1+L185/'01_比较参数'!$B$14)*(1+M185/'01_比较参数'!$B$14)</x:f>
        <x:v>11651.956348032001</x:v>
      </x:c>
      <x:c r="Y185" s="34" t="n">
        <x:f>X185-'01_比较参数'!$B$18</x:f>
        <x:v>1669.0603480319987</x:v>
      </x:c>
      <x:c r="Z185" s="36" t="n">
        <x:f>ROUNDDOWN(D185/2,0)</x:f>
        <x:v>30</x:v>
      </x:c>
    </x:row>
    <x:row r="186" ht="30" customHeight="1">
      <x:c r="A186" s="22" t="str">
        <x:v>锈甲腰封</x:v>
      </x:c>
      <x:c r="B186" s="22" t="str">
        <x:v>C3首图V2.1</x:v>
      </x:c>
      <x:c r="C186" s="22" t="str">
        <x:v>腰带</x:v>
      </x:c>
      <x:c r="D186" s="32" t="n">
        <x:v>45</x:v>
      </x:c>
      <x:c r="E186" s="32" t="n">
        <x:v>7</x:v>
      </x:c>
      <x:c r="F186" s="32" t="n">
        <x:v>0</x:v>
      </x:c>
      <x:c r="G186" s="32" t="n">
        <x:v>0</x:v>
      </x:c>
      <x:c r="H186" s="32" t="n">
        <x:v>0</x:v>
      </x:c>
      <x:c r="I186" s="32" t="n">
        <x:v>0</x:v>
      </x:c>
      <x:c r="J186" s="32" t="n">
        <x:v>0</x:v>
      </x:c>
      <x:c r="K186" s="32" t="n">
        <x:v>0</x:v>
      </x:c>
      <x:c r="L186" s="32" t="n">
        <x:v>0</x:v>
      </x:c>
      <x:c r="M186" s="32" t="n">
        <x:v>0</x:v>
      </x:c>
      <x:c r="N186" s="32" t="n">
        <x:v>23300</x:v>
      </x:c>
      <x:c r="O186" s="32" t="n">
        <x:v>0</x:v>
      </x:c>
      <x:c r="P186" s="32" t="n">
        <x:v>27</x:v>
      </x:c>
      <x:c r="Q186" s="32" t="n">
        <x:v>2</x:v>
      </x:c>
      <x:c r="R186" s="32" t="n">
        <x:v>0</x:v>
      </x:c>
      <x:c r="S186" s="32" t="n">
        <x:v>0</x:v>
      </x:c>
      <x:c r="T186" s="32" t="n">
        <x:v>0</x:v>
      </x:c>
      <x:c r="U186" s="32" t="n">
        <x:v>0</x:v>
      </x:c>
      <x:c r="V186" s="32" t="n">
        <x:v>0</x:v>
      </x:c>
      <x:c r="W186" s="32" t="n">
        <x:v>0</x:v>
      </x:c>
      <x:c r="X186" s="34" t="n">
        <x:f>('01_比较参数'!$B$2+D186)*(1+('01_比较参数'!$B$5+E186)/'01_比较参数'!$B$14)*(1+('01_比较参数'!$B$6+F186)/'01_比较参数'!$B$14)*(1+('01_比较参数'!$B$7+G186)/'01_比较参数'!$B$14)*(1+('01_比较参数'!$B$8+I186/'01_比较参数'!$B$14)*('01_比较参数'!$B$12-1+('01_比较参数'!$B$9+H186)/'01_比较参数'!$B$14))*(1+('01_比较参数'!$B$10+J186/'01_比较参数'!$B$14)*('01_比较参数'!$B$13-1+('01_比较参数'!$B$11+K186)/'01_比较参数'!$B$14))*(1+L186/'01_比较参数'!$B$14)*(1+M186/'01_比较参数'!$B$14)</x:f>
        <x:v>10609.549608000001</x:v>
      </x:c>
      <x:c r="Y186" s="34" t="n">
        <x:f>X186-'01_比较参数'!$B$18</x:f>
        <x:v>626.6536079999987</x:v>
      </x:c>
      <x:c r="Z186" s="36" t="n">
        <x:f>ROUNDDOWN(D186/2,0)</x:f>
        <x:v>22</x:v>
      </x:c>
    </x:row>
    <x:row r="187" ht="30" customHeight="1">
      <x:c r="A187" s="22" t="str">
        <x:v>西境军盔</x:v>
      </x:c>
      <x:c r="B187" s="22" t="str">
        <x:v>C3首图V2.1</x:v>
      </x:c>
      <x:c r="C187" s="22" t="str">
        <x:v>头盔</x:v>
      </x:c>
      <x:c r="D187" s="32" t="n">
        <x:v>65</x:v>
      </x:c>
      <x:c r="E187" s="32" t="n">
        <x:v>9</x:v>
      </x:c>
      <x:c r="F187" s="32" t="n">
        <x:v>0</x:v>
      </x:c>
      <x:c r="G187" s="32" t="n">
        <x:v>0</x:v>
      </x:c>
      <x:c r="H187" s="32" t="n">
        <x:v>0</x:v>
      </x:c>
      <x:c r="I187" s="32" t="n">
        <x:v>0</x:v>
      </x:c>
      <x:c r="J187" s="32" t="n">
        <x:v>0</x:v>
      </x:c>
      <x:c r="K187" s="32" t="n">
        <x:v>0</x:v>
      </x:c>
      <x:c r="L187" s="32" t="n">
        <x:v>0</x:v>
      </x:c>
      <x:c r="M187" s="32" t="n">
        <x:v>0</x:v>
      </x:c>
      <x:c r="N187" s="32" t="n">
        <x:v>28000</x:v>
      </x:c>
      <x:c r="O187" s="32" t="n">
        <x:v>0</x:v>
      </x:c>
      <x:c r="P187" s="32" t="n">
        <x:v>36</x:v>
      </x:c>
      <x:c r="Q187" s="32" t="n">
        <x:v>3</x:v>
      </x:c>
      <x:c r="R187" s="32" t="n">
        <x:v>0</x:v>
      </x:c>
      <x:c r="S187" s="32" t="n">
        <x:v>0</x:v>
      </x:c>
      <x:c r="T187" s="32" t="n">
        <x:v>0</x:v>
      </x:c>
      <x:c r="U187" s="32" t="n">
        <x:v>0</x:v>
      </x:c>
      <x:c r="V187" s="32" t="n">
        <x:v>0</x:v>
      </x:c>
      <x:c r="W187" s="32" t="n">
        <x:v>0</x:v>
      </x:c>
      <x:c r="X187" s="34" t="n">
        <x:f>('01_比较参数'!$B$2+D187)*(1+('01_比较参数'!$B$5+E187)/'01_比较参数'!$B$14)*(1+('01_比较参数'!$B$6+F187)/'01_比较参数'!$B$14)*(1+('01_比较参数'!$B$7+G187)/'01_比较参数'!$B$14)*(1+('01_比较参数'!$B$8+I187/'01_比较参数'!$B$14)*('01_比较参数'!$B$12-1+('01_比较参数'!$B$9+H187)/'01_比较参数'!$B$14))*(1+('01_比较参数'!$B$10+J187/'01_比较参数'!$B$14)*('01_比较参数'!$B$13-1+('01_比较参数'!$B$11+K187)/'01_比较参数'!$B$14))*(1+L187/'01_比较参数'!$B$14)*(1+M187/'01_比较参数'!$B$14)</x:f>
        <x:v>10841.576312</x:v>
      </x:c>
      <x:c r="Y187" s="34" t="n">
        <x:f>X187-'01_比较参数'!$B$18</x:f>
        <x:v>858.6803119999968</x:v>
      </x:c>
      <x:c r="Z187" s="36" t="n">
        <x:f>ROUNDDOWN(D187/2,0)</x:f>
        <x:v>32</x:v>
      </x:c>
    </x:row>
    <x:row r="188" ht="30" customHeight="1">
      <x:c r="A188" s="22" t="str">
        <x:v>独眼鹰坠</x:v>
      </x:c>
      <x:c r="B188" s="22" t="str">
        <x:v>C3首图V2.1</x:v>
      </x:c>
      <x:c r="C188" s="22" t="str">
        <x:v>项链</x:v>
      </x:c>
      <x:c r="D188" s="32" t="n">
        <x:v>79</x:v>
      </x:c>
      <x:c r="E188" s="32" t="n">
        <x:v>18</x:v>
      </x:c>
      <x:c r="F188" s="32" t="n">
        <x:v>0</x:v>
      </x:c>
      <x:c r="G188" s="32" t="n">
        <x:v>5</x:v>
      </x:c>
      <x:c r="H188" s="32" t="n">
        <x:v>19</x:v>
      </x:c>
      <x:c r="I188" s="32" t="n">
        <x:v>0</x:v>
      </x:c>
      <x:c r="J188" s="32" t="n">
        <x:v>0</x:v>
      </x:c>
      <x:c r="K188" s="32" t="n">
        <x:v>0</x:v>
      </x:c>
      <x:c r="L188" s="32" t="n">
        <x:v>0</x:v>
      </x:c>
      <x:c r="M188" s="32" t="n">
        <x:v>0</x:v>
      </x:c>
      <x:c r="N188" s="32" t="n">
        <x:v>15100</x:v>
      </x:c>
      <x:c r="O188" s="32" t="n">
        <x:v>0</x:v>
      </x:c>
      <x:c r="P188" s="32" t="n">
        <x:v>0</x:v>
      </x:c>
      <x:c r="Q188" s="32" t="n">
        <x:v>0</x:v>
      </x:c>
      <x:c r="R188" s="32" t="n">
        <x:v>0</x:v>
      </x:c>
      <x:c r="S188" s="32" t="n">
        <x:v>0</x:v>
      </x:c>
      <x:c r="T188" s="32" t="n">
        <x:v>0</x:v>
      </x:c>
      <x:c r="U188" s="32" t="n">
        <x:v>0</x:v>
      </x:c>
      <x:c r="V188" s="32" t="n">
        <x:v>25</x:v>
      </x:c>
      <x:c r="W188" s="32" t="n">
        <x:v>0</x:v>
      </x:c>
      <x:c r="X188" s="34" t="n">
        <x:f>('01_比较参数'!$B$2+D188)*(1+('01_比较参数'!$B$5+E188)/'01_比较参数'!$B$14)*(1+('01_比较参数'!$B$6+F188)/'01_比较参数'!$B$14)*(1+('01_比较参数'!$B$7+G188)/'01_比较参数'!$B$14)*(1+('01_比较参数'!$B$8+I188/'01_比较参数'!$B$14)*('01_比较参数'!$B$12-1+('01_比较参数'!$B$9+H188)/'01_比较参数'!$B$14))*(1+('01_比较参数'!$B$10+J188/'01_比较参数'!$B$14)*('01_比较参数'!$B$13-1+('01_比较参数'!$B$11+K188)/'01_比较参数'!$B$14))*(1+L188/'01_比较参数'!$B$14)*(1+M188/'01_比较参数'!$B$14)</x:f>
        <x:v>12278.552890822402</x:v>
      </x:c>
      <x:c r="Y188" s="34" t="n">
        <x:f>X188-'01_比较参数'!$B$18</x:f>
        <x:v>2295.6568908224</x:v>
      </x:c>
      <x:c r="Z188" s="36" t="n">
        <x:f>ROUNDDOWN(D188/2,0)</x:f>
        <x:v>39</x:v>
      </x:c>
    </x:row>
    <x:row r="189" ht="30" customHeight="1">
      <x:c r="A189" s="22" t="str">
        <x:v>荒风披甲</x:v>
      </x:c>
      <x:c r="B189" s="22" t="str">
        <x:v>C3首图V2.1</x:v>
      </x:c>
      <x:c r="C189" s="22" t="str">
        <x:v>衣服</x:v>
      </x:c>
      <x:c r="D189" s="32" t="n">
        <x:v>130</x:v>
      </x:c>
      <x:c r="E189" s="32" t="n">
        <x:v>16</x:v>
      </x:c>
      <x:c r="F189" s="32" t="n">
        <x:v>0</x:v>
      </x:c>
      <x:c r="G189" s="32" t="n">
        <x:v>0</x:v>
      </x:c>
      <x:c r="H189" s="32" t="n">
        <x:v>0</x:v>
      </x:c>
      <x:c r="I189" s="32" t="n">
        <x:v>0</x:v>
      </x:c>
      <x:c r="J189" s="32" t="n">
        <x:v>0</x:v>
      </x:c>
      <x:c r="K189" s="32" t="n">
        <x:v>0</x:v>
      </x:c>
      <x:c r="L189" s="32" t="n">
        <x:v>0</x:v>
      </x:c>
      <x:c r="M189" s="32" t="n">
        <x:v>0</x:v>
      </x:c>
      <x:c r="N189" s="32" t="n">
        <x:v>154800</x:v>
      </x:c>
      <x:c r="O189" s="32" t="n">
        <x:v>0</x:v>
      </x:c>
      <x:c r="P189" s="32" t="n">
        <x:v>79</x:v>
      </x:c>
      <x:c r="Q189" s="32" t="n">
        <x:v>16</x:v>
      </x:c>
      <x:c r="R189" s="32" t="n">
        <x:v>0</x:v>
      </x:c>
      <x:c r="S189" s="32" t="n">
        <x:v>0</x:v>
      </x:c>
      <x:c r="T189" s="32" t="n">
        <x:v>0</x:v>
      </x:c>
      <x:c r="U189" s="32" t="n">
        <x:v>0</x:v>
      </x:c>
      <x:c r="V189" s="32" t="n">
        <x:v>0</x:v>
      </x:c>
      <x:c r="W189" s="32" t="n">
        <x:v>0</x:v>
      </x:c>
      <x:c r="X189" s="34" t="n">
        <x:f>('01_比较参数'!$B$2+D189)*(1+('01_比较参数'!$B$5+E189)/'01_比较参数'!$B$14)*(1+('01_比较参数'!$B$6+F189)/'01_比较参数'!$B$14)*(1+('01_比较参数'!$B$7+G189)/'01_比较参数'!$B$14)*(1+('01_比较参数'!$B$8+I189/'01_比较参数'!$B$14)*('01_比较参数'!$B$12-1+('01_比较参数'!$B$9+H189)/'01_比较参数'!$B$14))*(1+('01_比较参数'!$B$10+J189/'01_比较参数'!$B$14)*('01_比较参数'!$B$13-1+('01_比较参数'!$B$11+K189)/'01_比较参数'!$B$14))*(1+L189/'01_比较参数'!$B$14)*(1+M189/'01_比较参数'!$B$14)</x:f>
        <x:v>11637.031616000002</x:v>
      </x:c>
      <x:c r="Y189" s="34" t="n">
        <x:f>X189-'01_比较参数'!$B$18</x:f>
        <x:v>1654.1356159999996</x:v>
      </x:c>
      <x:c r="Z189" s="36" t="n">
        <x:f>ROUNDDOWN(D189/2,0)</x:f>
        <x:v>65</x:v>
      </x:c>
    </x:row>
    <x:row r="190" ht="30" customHeight="1">
      <x:c r="A190" s="22" t="str">
        <x:v>收尸骨印</x:v>
      </x:c>
      <x:c r="B190" s="22" t="str">
        <x:v>C3首图V2.1</x:v>
      </x:c>
      <x:c r="C190" s="22" t="str">
        <x:v>勋章</x:v>
      </x:c>
      <x:c r="D190" s="32" t="n">
        <x:v>86</x:v>
      </x:c>
      <x:c r="E190" s="32" t="n">
        <x:v>15</x:v>
      </x:c>
      <x:c r="F190" s="32" t="n">
        <x:v>6</x:v>
      </x:c>
      <x:c r="G190" s="32" t="n">
        <x:v>4</x:v>
      </x:c>
      <x:c r="H190" s="32" t="n">
        <x:v>0</x:v>
      </x:c>
      <x:c r="I190" s="32" t="n">
        <x:v>0</x:v>
      </x:c>
      <x:c r="J190" s="32" t="n">
        <x:v>0</x:v>
      </x:c>
      <x:c r="K190" s="32" t="n">
        <x:v>0</x:v>
      </x:c>
      <x:c r="L190" s="32" t="n">
        <x:v>0</x:v>
      </x:c>
      <x:c r="M190" s="32" t="n">
        <x:v>0</x:v>
      </x:c>
      <x:c r="N190" s="32" t="n">
        <x:v>17200</x:v>
      </x:c>
      <x:c r="O190" s="32" t="n">
        <x:v>0</x:v>
      </x:c>
      <x:c r="P190" s="32" t="n">
        <x:v>36</x:v>
      </x:c>
      <x:c r="Q190" s="32" t="n">
        <x:v>0</x:v>
      </x:c>
      <x:c r="R190" s="32" t="n">
        <x:v>0</x:v>
      </x:c>
      <x:c r="S190" s="32" t="n">
        <x:v>0</x:v>
      </x:c>
      <x:c r="T190" s="32" t="n">
        <x:v>0</x:v>
      </x:c>
      <x:c r="U190" s="32" t="n">
        <x:v>0</x:v>
      </x:c>
      <x:c r="V190" s="32" t="n">
        <x:v>0</x:v>
      </x:c>
      <x:c r="W190" s="32" t="n">
        <x:v>0</x:v>
      </x:c>
      <x:c r="X190" s="34" t="n">
        <x:f>('01_比较参数'!$B$2+D190)*(1+('01_比较参数'!$B$5+E190)/'01_比较参数'!$B$14)*(1+('01_比较参数'!$B$6+F190)/'01_比较参数'!$B$14)*(1+('01_比较参数'!$B$7+G190)/'01_比较参数'!$B$14)*(1+('01_比较参数'!$B$8+I190/'01_比较参数'!$B$14)*('01_比较参数'!$B$12-1+('01_比较参数'!$B$9+H190)/'01_比较参数'!$B$14))*(1+('01_比较参数'!$B$10+J190/'01_比较参数'!$B$14)*('01_比较参数'!$B$13-1+('01_比较参数'!$B$11+K190)/'01_比较参数'!$B$14))*(1+L190/'01_比较参数'!$B$14)*(1+M190/'01_比较参数'!$B$14)</x:f>
        <x:v>12072.0619319664</x:v>
      </x:c>
      <x:c r="Y190" s="34" t="n">
        <x:f>X190-'01_比较参数'!$B$18</x:f>
        <x:v>2089.1659319663977</x:v>
      </x:c>
      <x:c r="Z190" s="36" t="n">
        <x:f>ROUNDDOWN(D190/2,0)</x:f>
        <x:v>43</x:v>
      </x:c>
    </x:row>
    <x:row r="191" ht="30" customHeight="1">
      <x:c r="A191" s="22" t="str">
        <x:v>统领断旗枪</x:v>
      </x:c>
      <x:c r="B191" s="22" t="str">
        <x:v>C3首图V2.1</x:v>
      </x:c>
      <x:c r="C191" s="22" t="str">
        <x:v>武器</x:v>
      </x:c>
      <x:c r="D191" s="32" t="n">
        <x:v>1000</x:v>
      </x:c>
      <x:c r="E191" s="32" t="n">
        <x:v>73</x:v>
      </x:c>
      <x:c r="F191" s="32" t="n">
        <x:v>62</x:v>
      </x:c>
      <x:c r="G191" s="32" t="n">
        <x:v>26</x:v>
      </x:c>
      <x:c r="H191" s="32" t="n">
        <x:v>63</x:v>
      </x:c>
      <x:c r="I191" s="32" t="n">
        <x:v>0</x:v>
      </x:c>
      <x:c r="J191" s="32" t="n">
        <x:v>0</x:v>
      </x:c>
      <x:c r="K191" s="32" t="n">
        <x:v>18</x:v>
      </x:c>
      <x:c r="L191" s="32" t="n">
        <x:v>0</x:v>
      </x:c>
      <x:c r="M191" s="32" t="n">
        <x:v>0</x:v>
      </x:c>
      <x:c r="N191" s="32" t="n">
        <x:v>26900</x:v>
      </x:c>
      <x:c r="O191" s="32" t="n">
        <x:v>0</x:v>
      </x:c>
      <x:c r="P191" s="32" t="n">
        <x:v>0</x:v>
      </x:c>
      <x:c r="Q191" s="32" t="n">
        <x:v>0</x:v>
      </x:c>
      <x:c r="R191" s="32" t="n">
        <x:v>0</x:v>
      </x:c>
      <x:c r="S191" s="32" t="n">
        <x:v>1</x:v>
      </x:c>
      <x:c r="T191" s="32" t="n">
        <x:v>25</x:v>
      </x:c>
      <x:c r="U191" s="32" t="n">
        <x:v>2</x:v>
      </x:c>
      <x:c r="V191" s="32" t="n">
        <x:v>255</x:v>
      </x:c>
      <x:c r="W191" s="32" t="n">
        <x:v>1</x:v>
      </x:c>
      <x:c r="X191" s="34" t="n">
        <x:f>('01_比较参数'!$B$2+D191)*(1+('01_比较参数'!$B$5+E191)/'01_比较参数'!$B$14)*(1+('01_比较参数'!$B$6+F191)/'01_比较参数'!$B$14)*(1+('01_比较参数'!$B$7+G191)/'01_比较参数'!$B$14)*(1+('01_比较参数'!$B$8+I191/'01_比较参数'!$B$14)*('01_比较参数'!$B$12-1+('01_比较参数'!$B$9+H191)/'01_比较参数'!$B$14))*(1+('01_比较参数'!$B$10+J191/'01_比较参数'!$B$14)*('01_比较参数'!$B$13-1+('01_比较参数'!$B$11+K191)/'01_比较参数'!$B$14))*(1+L191/'01_比较参数'!$B$14)*(1+M191/'01_比较参数'!$B$14)</x:f>
        <x:v>42031.210668936</x:v>
      </x:c>
      <x:c r="Y191" s="34" t="n">
        <x:f>X191-'01_比较参数'!$B$18</x:f>
        <x:v>32048.314668936</x:v>
      </x:c>
      <x:c r="Z191" s="36" t="n">
        <x:f>ROUNDDOWN(D191/2,0)</x:f>
        <x:v>500</x:v>
      </x:c>
    </x:row>
    <x:row r="192" ht="30" customHeight="1">
      <x:c r="A192" s="22" t="str">
        <x:v>巨犀荒铠</x:v>
      </x:c>
      <x:c r="B192" s="22" t="str">
        <x:v>C3首图V2.1</x:v>
      </x:c>
      <x:c r="C192" s="22" t="str">
        <x:v>衣服</x:v>
      </x:c>
      <x:c r="D192" s="32" t="n">
        <x:v>170</x:v>
      </x:c>
      <x:c r="E192" s="32" t="n">
        <x:v>19</x:v>
      </x:c>
      <x:c r="F192" s="32" t="n">
        <x:v>5</x:v>
      </x:c>
      <x:c r="G192" s="32" t="n">
        <x:v>0</x:v>
      </x:c>
      <x:c r="H192" s="32" t="n">
        <x:v>0</x:v>
      </x:c>
      <x:c r="I192" s="32" t="n">
        <x:v>0</x:v>
      </x:c>
      <x:c r="J192" s="32" t="n">
        <x:v>0</x:v>
      </x:c>
      <x:c r="K192" s="32" t="n">
        <x:v>0</x:v>
      </x:c>
      <x:c r="L192" s="32" t="n">
        <x:v>0</x:v>
      </x:c>
      <x:c r="M192" s="32" t="n">
        <x:v>0</x:v>
      </x:c>
      <x:c r="N192" s="32" t="n">
        <x:v>193500</x:v>
      </x:c>
      <x:c r="O192" s="32" t="n">
        <x:v>9</x:v>
      </x:c>
      <x:c r="P192" s="32" t="n">
        <x:v>105</x:v>
      </x:c>
      <x:c r="Q192" s="32" t="n">
        <x:v>20</x:v>
      </x:c>
      <x:c r="R192" s="32" t="n">
        <x:v>1</x:v>
      </x:c>
      <x:c r="S192" s="32" t="n">
        <x:v>0</x:v>
      </x:c>
      <x:c r="T192" s="32" t="n">
        <x:v>0</x:v>
      </x:c>
      <x:c r="U192" s="32" t="n">
        <x:v>0</x:v>
      </x:c>
      <x:c r="V192" s="32" t="n">
        <x:v>0</x:v>
      </x:c>
      <x:c r="W192" s="32" t="n">
        <x:v>0</x:v>
      </x:c>
      <x:c r="X192" s="34" t="n">
        <x:f>('01_比较参数'!$B$2+D192)*(1+('01_比较参数'!$B$5+E192)/'01_比较参数'!$B$14)*(1+('01_比较参数'!$B$6+F192)/'01_比较参数'!$B$14)*(1+('01_比较参数'!$B$7+G192)/'01_比较参数'!$B$14)*(1+('01_比较参数'!$B$8+I192/'01_比较参数'!$B$14)*('01_比较参数'!$B$12-1+('01_比较参数'!$B$9+H192)/'01_比较参数'!$B$14))*(1+('01_比较参数'!$B$10+J192/'01_比较参数'!$B$14)*('01_比较参数'!$B$13-1+('01_比较参数'!$B$11+K192)/'01_比较参数'!$B$14))*(1+L192/'01_比较参数'!$B$14)*(1+M192/'01_比较参数'!$B$14)</x:f>
        <x:v>12451.479001499996</x:v>
      </x:c>
      <x:c r="Y192" s="34" t="n">
        <x:f>X192-'01_比较参数'!$B$18</x:f>
        <x:v>2468.5830014999938</x:v>
      </x:c>
      <x:c r="Z192" s="36" t="n">
        <x:f>ROUNDDOWN(D192/2,0)</x:f>
        <x:v>85</x:v>
      </x:c>
    </x:row>
    <x:row r="193" ht="30" customHeight="1">
      <x:c r="A193" s="22" t="str">
        <x:v>潮归秘戒</x:v>
      </x:c>
      <x:c r="B193" s="22" t="str">
        <x:v>既有合成V2.1</x:v>
      </x:c>
      <x:c r="C193" s="22" t="str">
        <x:v>戒指</x:v>
      </x:c>
      <x:c r="D193" s="32" t="n">
        <x:v>90</x:v>
      </x:c>
      <x:c r="E193" s="32" t="n">
        <x:v>42</x:v>
      </x:c>
      <x:c r="F193" s="32" t="n">
        <x:v>2</x:v>
      </x:c>
      <x:c r="G193" s="32" t="n">
        <x:v>9</x:v>
      </x:c>
      <x:c r="H193" s="32" t="n">
        <x:v>13</x:v>
      </x:c>
      <x:c r="I193" s="32" t="n">
        <x:v>0</x:v>
      </x:c>
      <x:c r="J193" s="32" t="n">
        <x:v>0</x:v>
      </x:c>
      <x:c r="K193" s="32" t="n">
        <x:v>0</x:v>
      </x:c>
      <x:c r="L193" s="32" t="n">
        <x:v>0</x:v>
      </x:c>
      <x:c r="M193" s="32" t="n">
        <x:v>0</x:v>
      </x:c>
      <x:c r="N193" s="32" t="n">
        <x:v>14700</x:v>
      </x:c>
      <x:c r="O193" s="32" t="n">
        <x:v>0</x:v>
      </x:c>
      <x:c r="P193" s="32" t="n">
        <x:v>46</x:v>
      </x:c>
      <x:c r="Q193" s="32" t="n">
        <x:v>1</x:v>
      </x:c>
      <x:c r="R193" s="32" t="n">
        <x:v>0</x:v>
      </x:c>
      <x:c r="S193" s="32" t="n">
        <x:v>0</x:v>
      </x:c>
      <x:c r="T193" s="32" t="n">
        <x:v>0</x:v>
      </x:c>
      <x:c r="U193" s="32" t="n">
        <x:v>0</x:v>
      </x:c>
      <x:c r="V193" s="32" t="n">
        <x:v>0</x:v>
      </x:c>
      <x:c r="W193" s="32" t="n">
        <x:v>0</x:v>
      </x:c>
      <x:c r="X193" s="34" t="n">
        <x:f>('01_比较参数'!$B$2+D193)*(1+('01_比较参数'!$B$5+E193)/'01_比较参数'!$B$14)*(1+('01_比较参数'!$B$6+F193)/'01_比较参数'!$B$14)*(1+('01_比较参数'!$B$7+G193)/'01_比较参数'!$B$14)*(1+('01_比较参数'!$B$8+I193/'01_比较参数'!$B$14)*('01_比较参数'!$B$12-1+('01_比较参数'!$B$9+H193)/'01_比较参数'!$B$14))*(1+('01_比较参数'!$B$10+J193/'01_比较参数'!$B$14)*('01_比较参数'!$B$13-1+('01_比较参数'!$B$11+K193)/'01_比较参数'!$B$14))*(1+L193/'01_比较参数'!$B$14)*(1+M193/'01_比较参数'!$B$14)</x:f>
        <x:v>14038.700152871523</x:v>
      </x:c>
      <x:c r="Y193" s="34" t="n">
        <x:f>X193-'01_比较参数'!$B$18</x:f>
        <x:v>4055.8041528715203</x:v>
      </x:c>
      <x:c r="Z193" s="36" t="n">
        <x:f>ROUNDDOWN(D193/2,0)</x:f>
        <x:v>45</x:v>
      </x:c>
    </x:row>
    <x:row r="194" ht="30" customHeight="1">
      <x:c r="A194" s="22" t="str">
        <x:v>风暴王庭链</x:v>
      </x:c>
      <x:c r="B194" s="22" t="str">
        <x:v>既有合成V2.1</x:v>
      </x:c>
      <x:c r="C194" s="22" t="str">
        <x:v>项链</x:v>
      </x:c>
      <x:c r="D194" s="32" t="n">
        <x:v>132</x:v>
      </x:c>
      <x:c r="E194" s="32" t="n">
        <x:v>42</x:v>
      </x:c>
      <x:c r="F194" s="32" t="n">
        <x:v>34</x:v>
      </x:c>
      <x:c r="G194" s="32" t="n">
        <x:v>9</x:v>
      </x:c>
      <x:c r="H194" s="32" t="n">
        <x:v>0</x:v>
      </x:c>
      <x:c r="I194" s="32" t="n">
        <x:v>0</x:v>
      </x:c>
      <x:c r="J194" s="32" t="n">
        <x:v>0</x:v>
      </x:c>
      <x:c r="K194" s="32" t="n">
        <x:v>0</x:v>
      </x:c>
      <x:c r="L194" s="32" t="n">
        <x:v>0</x:v>
      </x:c>
      <x:c r="M194" s="32" t="n">
        <x:v>0</x:v>
      </x:c>
      <x:c r="N194" s="32" t="n">
        <x:v>21700</x:v>
      </x:c>
      <x:c r="O194" s="32" t="n">
        <x:v>0</x:v>
      </x:c>
      <x:c r="P194" s="32" t="n">
        <x:v>0</x:v>
      </x:c>
      <x:c r="Q194" s="32" t="n">
        <x:v>0</x:v>
      </x:c>
      <x:c r="R194" s="32" t="n">
        <x:v>0</x:v>
      </x:c>
      <x:c r="S194" s="32" t="n">
        <x:v>0</x:v>
      </x:c>
      <x:c r="T194" s="32" t="n">
        <x:v>0</x:v>
      </x:c>
      <x:c r="U194" s="32" t="n">
        <x:v>0</x:v>
      </x:c>
      <x:c r="V194" s="32" t="n">
        <x:v>0</x:v>
      </x:c>
      <x:c r="W194" s="32" t="n">
        <x:v>0</x:v>
      </x:c>
      <x:c r="X194" s="34" t="n">
        <x:f>('01_比较参数'!$B$2+D194)*(1+('01_比较参数'!$B$5+E194)/'01_比较参数'!$B$14)*(1+('01_比较参数'!$B$6+F194)/'01_比较参数'!$B$14)*(1+('01_比较参数'!$B$7+G194)/'01_比较参数'!$B$14)*(1+('01_比较参数'!$B$8+I194/'01_比较参数'!$B$14)*('01_比较参数'!$B$12-1+('01_比较参数'!$B$9+H194)/'01_比较参数'!$B$14))*(1+('01_比较参数'!$B$10+J194/'01_比较参数'!$B$14)*('01_比较参数'!$B$13-1+('01_比较参数'!$B$11+K194)/'01_比较参数'!$B$14))*(1+L194/'01_比较参数'!$B$14)*(1+M194/'01_比较参数'!$B$14)</x:f>
        <x:v>16812.82084521984</x:v>
      </x:c>
      <x:c r="Y194" s="34" t="n">
        <x:f>X194-'01_比较参数'!$B$18</x:f>
        <x:v>6829.924845219839</x:v>
      </x:c>
      <x:c r="Z194" s="36" t="n">
        <x:f>ROUNDDOWN(D194/2,0)</x:f>
        <x:v>66</x:v>
      </x:c>
    </x:row>
    <x:row r="195" ht="30" customHeight="1">
      <x:c r="A195" s="22" t="str">
        <x:v>百指接肢腕</x:v>
      </x:c>
      <x:c r="B195" s="22" t="str">
        <x:v>既有合成V2.1</x:v>
      </x:c>
      <x:c r="C195" s="22" t="str">
        <x:v>手镯</x:v>
      </x:c>
      <x:c r="D195" s="32" t="n">
        <x:v>120</x:v>
      </x:c>
      <x:c r="E195" s="32" t="n">
        <x:v>42</x:v>
      </x:c>
      <x:c r="F195" s="32" t="n">
        <x:v>2</x:v>
      </x:c>
      <x:c r="G195" s="32" t="n">
        <x:v>11</x:v>
      </x:c>
      <x:c r="H195" s="32" t="n">
        <x:v>42</x:v>
      </x:c>
      <x:c r="I195" s="32" t="n">
        <x:v>0</x:v>
      </x:c>
      <x:c r="J195" s="32" t="n">
        <x:v>0</x:v>
      </x:c>
      <x:c r="K195" s="32" t="n">
        <x:v>0</x:v>
      </x:c>
      <x:c r="L195" s="32" t="n">
        <x:v>0</x:v>
      </x:c>
      <x:c r="M195" s="32" t="n">
        <x:v>0</x:v>
      </x:c>
      <x:c r="N195" s="32" t="n">
        <x:v>21700</x:v>
      </x:c>
      <x:c r="O195" s="32" t="n">
        <x:v>0</x:v>
      </x:c>
      <x:c r="P195" s="32" t="n">
        <x:v>55</x:v>
      </x:c>
      <x:c r="Q195" s="32" t="n">
        <x:v>2</x:v>
      </x:c>
      <x:c r="R195" s="32" t="n">
        <x:v>0</x:v>
      </x:c>
      <x:c r="S195" s="32" t="n">
        <x:v>0</x:v>
      </x:c>
      <x:c r="T195" s="32" t="n">
        <x:v>0</x:v>
      </x:c>
      <x:c r="U195" s="32" t="n">
        <x:v>0</x:v>
      </x:c>
      <x:c r="V195" s="32" t="n">
        <x:v>0</x:v>
      </x:c>
      <x:c r="W195" s="32" t="n">
        <x:v>0</x:v>
      </x:c>
      <x:c r="X195" s="34" t="n">
        <x:f>('01_比较参数'!$B$2+D195)*(1+('01_比较参数'!$B$5+E195)/'01_比较参数'!$B$14)*(1+('01_比较参数'!$B$6+F195)/'01_比较参数'!$B$14)*(1+('01_比较参数'!$B$7+G195)/'01_比较参数'!$B$14)*(1+('01_比较参数'!$B$8+I195/'01_比较参数'!$B$14)*('01_比较参数'!$B$12-1+('01_比较参数'!$B$9+H195)/'01_比较参数'!$B$14))*(1+('01_比较参数'!$B$10+J195/'01_比较参数'!$B$14)*('01_比较参数'!$B$13-1+('01_比较参数'!$B$11+K195)/'01_比较参数'!$B$14))*(1+L195/'01_比较参数'!$B$14)*(1+M195/'01_比较参数'!$B$14)</x:f>
        <x:v>15348.525692290563</x:v>
      </x:c>
      <x:c r="Y195" s="34" t="n">
        <x:f>X195-'01_比较参数'!$B$18</x:f>
        <x:v>5365.62969229056</x:v>
      </x:c>
      <x:c r="Z195" s="36" t="n">
        <x:f>ROUNDDOWN(D195/2,0)</x:f>
        <x:v>60</x:v>
      </x:c>
    </x:row>
    <x:row r="196" ht="30" customHeight="1">
      <x:c r="A196" s="22" t="str">
        <x:v>子鼠·潮舱寻金</x:v>
      </x:c>
      <x:c r="B196" s="22" t="str">
        <x:v>既有合成V2.1</x:v>
      </x:c>
      <x:c r="C196" s="22" t="str">
        <x:v>生肖1</x:v>
      </x:c>
      <x:c r="D196" s="32" t="n">
        <x:v>45</x:v>
      </x:c>
      <x:c r="E196" s="32" t="n">
        <x:v>7</x:v>
      </x:c>
      <x:c r="F196" s="32" t="n">
        <x:v>5</x:v>
      </x:c>
      <x:c r="G196" s="32" t="n">
        <x:v>0</x:v>
      </x:c>
      <x:c r="H196" s="32" t="n">
        <x:v>7</x:v>
      </x:c>
      <x:c r="I196" s="32" t="n">
        <x:v>0</x:v>
      </x:c>
      <x:c r="J196" s="32" t="n">
        <x:v>0</x:v>
      </x:c>
      <x:c r="K196" s="32" t="n">
        <x:v>0</x:v>
      </x:c>
      <x:c r="L196" s="32" t="n">
        <x:v>0</x:v>
      </x:c>
      <x:c r="M196" s="32" t="n">
        <x:v>0</x:v>
      </x:c>
      <x:c r="N196" s="32" t="n">
        <x:v>5700</x:v>
      </x:c>
      <x:c r="O196" s="32" t="n">
        <x:v>0</x:v>
      </x:c>
      <x:c r="P196" s="32" t="n">
        <x:v>7</x:v>
      </x:c>
      <x:c r="Q196" s="32" t="n">
        <x:v>0</x:v>
      </x:c>
      <x:c r="R196" s="32" t="n">
        <x:v>0</x:v>
      </x:c>
      <x:c r="S196" s="32" t="n">
        <x:v>0</x:v>
      </x:c>
      <x:c r="T196" s="32" t="n">
        <x:v>0</x:v>
      </x:c>
      <x:c r="U196" s="32" t="n">
        <x:v>0</x:v>
      </x:c>
      <x:c r="V196" s="32" t="n">
        <x:v>0</x:v>
      </x:c>
      <x:c r="W196" s="32" t="n">
        <x:v>0</x:v>
      </x:c>
      <x:c r="X196" s="34" t="n">
        <x:f>('01_比较参数'!$B$2+D196)*(1+('01_比较参数'!$B$5+E196)/'01_比较参数'!$B$14)*(1+('01_比较参数'!$B$6+F196)/'01_比较参数'!$B$14)*(1+('01_比较参数'!$B$7+G196)/'01_比较参数'!$B$14)*(1+('01_比较参数'!$B$8+I196/'01_比较参数'!$B$14)*('01_比较参数'!$B$12-1+('01_比较参数'!$B$9+H196)/'01_比较参数'!$B$14))*(1+('01_比较参数'!$B$10+J196/'01_比较参数'!$B$14)*('01_比较参数'!$B$13-1+('01_比较参数'!$B$11+K196)/'01_比较参数'!$B$14))*(1+L196/'01_比较参数'!$B$14)*(1+M196/'01_比较参数'!$B$14)</x:f>
        <x:v>11096.34334318125</x:v>
      </x:c>
      <x:c r="Y196" s="34" t="n">
        <x:f>X196-'01_比较参数'!$B$18</x:f>
        <x:v>1113.4473431812476</x:v>
      </x:c>
      <x:c r="Z196" s="36" t="n">
        <x:f>ROUNDDOWN(D196/2,0)</x:f>
        <x:v>22</x:v>
      </x:c>
    </x:row>
    <x:row r="197" ht="30" customHeight="1">
      <x:c r="A197" s="22" t="str">
        <x:v>丑牛·风暴负山</x:v>
      </x:c>
      <x:c r="B197" s="22" t="str">
        <x:v>既有合成V2.1</x:v>
      </x:c>
      <x:c r="C197" s="22" t="str">
        <x:v>生肖2</x:v>
      </x:c>
      <x:c r="D197" s="32" t="n">
        <x:v>60</x:v>
      </x:c>
      <x:c r="E197" s="32" t="n">
        <x:v>7</x:v>
      </x:c>
      <x:c r="F197" s="32" t="n">
        <x:v>5</x:v>
      </x:c>
      <x:c r="G197" s="32" t="n">
        <x:v>0</x:v>
      </x:c>
      <x:c r="H197" s="32" t="n">
        <x:v>7</x:v>
      </x:c>
      <x:c r="I197" s="32" t="n">
        <x:v>0</x:v>
      </x:c>
      <x:c r="J197" s="32" t="n">
        <x:v>0</x:v>
      </x:c>
      <x:c r="K197" s="32" t="n">
        <x:v>0</x:v>
      </x:c>
      <x:c r="L197" s="32" t="n">
        <x:v>0</x:v>
      </x:c>
      <x:c r="M197" s="32" t="n">
        <x:v>0</x:v>
      </x:c>
      <x:c r="N197" s="32" t="n">
        <x:v>7800</x:v>
      </x:c>
      <x:c r="O197" s="32" t="n">
        <x:v>0</x:v>
      </x:c>
      <x:c r="P197" s="32" t="n">
        <x:v>10</x:v>
      </x:c>
      <x:c r="Q197" s="32" t="n">
        <x:v>0</x:v>
      </x:c>
      <x:c r="R197" s="32" t="n">
        <x:v>0</x:v>
      </x:c>
      <x:c r="S197" s="32" t="n">
        <x:v>0</x:v>
      </x:c>
      <x:c r="T197" s="32" t="n">
        <x:v>0</x:v>
      </x:c>
      <x:c r="U197" s="32" t="n">
        <x:v>0</x:v>
      </x:c>
      <x:c r="V197" s="32" t="n">
        <x:v>0</x:v>
      </x:c>
      <x:c r="W197" s="32" t="n">
        <x:v>0</x:v>
      </x:c>
      <x:c r="X197" s="34" t="n">
        <x:f>('01_比较参数'!$B$2+D197)*(1+('01_比较参数'!$B$5+E197)/'01_比较参数'!$B$14)*(1+('01_比较参数'!$B$6+F197)/'01_比较参数'!$B$14)*(1+('01_比较参数'!$B$7+G197)/'01_比较参数'!$B$14)*(1+('01_比较参数'!$B$8+I197/'01_比较参数'!$B$14)*('01_比较参数'!$B$12-1+('01_比较参数'!$B$9+H197)/'01_比较参数'!$B$14))*(1+('01_比较参数'!$B$10+J197/'01_比较参数'!$B$14)*('01_比较参数'!$B$13-1+('01_比较参数'!$B$11+K197)/'01_比较参数'!$B$14))*(1+L197/'01_比较参数'!$B$14)*(1+M197/'01_比较参数'!$B$14)</x:f>
        <x:v>11204.074831949998</x:v>
      </x:c>
      <x:c r="Y197" s="34" t="n">
        <x:f>X197-'01_比较参数'!$B$18</x:f>
        <x:v>1221.1788319499956</x:v>
      </x:c>
      <x:c r="Z197" s="36" t="n">
        <x:f>ROUNDDOWN(D197/2,0)</x:f>
        <x:v>30</x:v>
      </x:c>
    </x:row>
    <x:row r="198" ht="30" customHeight="1">
      <x:c r="A198" s="22" t="str">
        <x:v>群星之核LV1</x:v>
      </x:c>
      <x:c r="B198" s="22" t="str">
        <x:v>既有合成V2.1</x:v>
      </x:c>
      <x:c r="C198" s="22" t="str">
        <x:v>生肖9</x:v>
      </x:c>
      <x:c r="D198" s="32" t="n">
        <x:v>0</x:v>
      </x:c>
      <x:c r="E198" s="32" t="n">
        <x:v>0</x:v>
      </x:c>
      <x:c r="F198" s="32" t="n">
        <x:v>0</x:v>
      </x:c>
      <x:c r="G198" s="32" t="n">
        <x:v>0</x:v>
      </x:c>
      <x:c r="H198" s="32" t="n">
        <x:v>0</x:v>
      </x:c>
      <x:c r="I198" s="32" t="n">
        <x:v>0</x:v>
      </x:c>
      <x:c r="J198" s="32" t="n">
        <x:v>0</x:v>
      </x:c>
      <x:c r="K198" s="32" t="n">
        <x:v>0</x:v>
      </x:c>
      <x:c r="L198" s="32" t="n">
        <x:v>0</x:v>
      </x:c>
      <x:c r="M198" s="32" t="n">
        <x:v>0</x:v>
      </x:c>
      <x:c r="N198" s="32" t="n">
        <x:v>0</x:v>
      </x:c>
      <x:c r="O198" s="32" t="n">
        <x:v>0</x:v>
      </x:c>
      <x:c r="P198" s="32" t="n">
        <x:v>0</x:v>
      </x:c>
      <x:c r="Q198" s="32" t="n">
        <x:v>0</x:v>
      </x:c>
      <x:c r="R198" s="32" t="n">
        <x:v>0</x:v>
      </x:c>
      <x:c r="S198" s="32" t="n">
        <x:v>0</x:v>
      </x:c>
      <x:c r="T198" s="32" t="n">
        <x:v>0</x:v>
      </x:c>
      <x:c r="U198" s="32" t="n">
        <x:v>0</x:v>
      </x:c>
      <x:c r="V198" s="32" t="n">
        <x:v>0</x:v>
      </x:c>
      <x:c r="W198" s="32" t="n">
        <x:v>0</x:v>
      </x:c>
      <x:c r="X198" s="34" t="n">
        <x:f>('01_比较参数'!$B$2+D198)*(1+('01_比较参数'!$B$5+E198)/'01_比较参数'!$B$14)*(1+('01_比较参数'!$B$6+F198)/'01_比较参数'!$B$14)*(1+('01_比较参数'!$B$7+G198)/'01_比较参数'!$B$14)*(1+('01_比较参数'!$B$8+I198/'01_比较参数'!$B$14)*('01_比较参数'!$B$12-1+('01_比较参数'!$B$9+H198)/'01_比较参数'!$B$14))*(1+('01_比较参数'!$B$10+J198/'01_比较参数'!$B$14)*('01_比较参数'!$B$13-1+('01_比较参数'!$B$11+K198)/'01_比较参数'!$B$14))*(1+L198/'01_比较参数'!$B$14)*(1+M198/'01_比较参数'!$B$14)</x:f>
        <x:v>9982.896000000002</x:v>
      </x:c>
      <x:c r="Y198" s="34" t="n">
        <x:f>X198-'01_比较参数'!$B$18</x:f>
        <x:v>0</x:v>
      </x:c>
      <x:c r="Z198" s="36" t="n">
        <x:f>ROUNDDOWN(D198/2,0)</x:f>
        <x:v>0</x:v>
      </x:c>
    </x:row>
    <x:row r="199" ht="30" customHeight="1">
      <x:c r="A199" s="22" t="str">
        <x:v>征风仪刃</x:v>
      </x:c>
      <x:c r="B199" s="22" t="str">
        <x:v>C3时装V1.1</x:v>
      </x:c>
      <x:c r="C199" s="22" t="str">
        <x:v>时装武器</x:v>
      </x:c>
      <x:c r="D199" s="32" t="n">
        <x:v>550</x:v>
      </x:c>
      <x:c r="E199" s="32" t="n">
        <x:v>59</x:v>
      </x:c>
      <x:c r="F199" s="32" t="n">
        <x:v>42</x:v>
      </x:c>
      <x:c r="G199" s="32" t="n">
        <x:v>20</x:v>
      </x:c>
      <x:c r="H199" s="32" t="n">
        <x:v>49</x:v>
      </x:c>
      <x:c r="I199" s="32" t="n">
        <x:v>0</x:v>
      </x:c>
      <x:c r="J199" s="32" t="n">
        <x:v>1</x:v>
      </x:c>
      <x:c r="K199" s="32" t="n">
        <x:v>18</x:v>
      </x:c>
      <x:c r="L199" s="32" t="n">
        <x:v>0</x:v>
      </x:c>
      <x:c r="M199" s="32" t="n">
        <x:v>0</x:v>
      </x:c>
      <x:c r="N199" s="32" t="n">
        <x:v>26200</x:v>
      </x:c>
      <x:c r="O199" s="32" t="n">
        <x:v>0</x:v>
      </x:c>
      <x:c r="P199" s="32" t="n">
        <x:v>0</x:v>
      </x:c>
      <x:c r="Q199" s="32" t="n">
        <x:v>0</x:v>
      </x:c>
      <x:c r="R199" s="32" t="n">
        <x:v>0</x:v>
      </x:c>
      <x:c r="S199" s="32" t="n">
        <x:v>1</x:v>
      </x:c>
      <x:c r="T199" s="32" t="n">
        <x:v>0</x:v>
      </x:c>
      <x:c r="U199" s="32" t="n">
        <x:v>2</x:v>
      </x:c>
      <x:c r="V199" s="32" t="n">
        <x:v>130</x:v>
      </x:c>
      <x:c r="W199" s="32" t="n">
        <x:v>1</x:v>
      </x:c>
      <x:c r="X199" s="34" t="n">
        <x:f>('01_比较参数'!$B$2+D199)*(1+('01_比较参数'!$B$5+E199)/'01_比较参数'!$B$14)*(1+('01_比较参数'!$B$6+F199)/'01_比较参数'!$B$14)*(1+('01_比较参数'!$B$7+G199)/'01_比较参数'!$B$14)*(1+('01_比较参数'!$B$8+I199/'01_比较参数'!$B$14)*('01_比较参数'!$B$12-1+('01_比较参数'!$B$9+H199)/'01_比较参数'!$B$14))*(1+('01_比较参数'!$B$10+J199/'01_比较参数'!$B$14)*('01_比较参数'!$B$13-1+('01_比较参数'!$B$11+K199)/'01_比较参数'!$B$14))*(1+L199/'01_比较参数'!$B$14)*(1+M199/'01_比较参数'!$B$14)</x:f>
        <x:v>28302.817331210394</x:v>
      </x:c>
      <x:c r="Y199" s="34" t="n">
        <x:f>X199-'01_比较参数'!$B$18</x:f>
        <x:v>18319.92133121039</x:v>
      </x:c>
      <x:c r="Z199" s="36" t="n">
        <x:f>ROUNDDOWN(D199/2,0)</x:f>
        <x:v>275</x:v>
      </x:c>
    </x:row>
    <x:row r="200" ht="30" customHeight="1">
      <x:c r="A200" s="22" t="str">
        <x:v>失旗王袍</x:v>
      </x:c>
      <x:c r="B200" s="22" t="str">
        <x:v>C3时装V1.1</x:v>
      </x:c>
      <x:c r="C200" s="22" t="str">
        <x:v>时装衣服</x:v>
      </x:c>
      <x:c r="D200" s="32" t="n">
        <x:v>220</x:v>
      </x:c>
      <x:c r="E200" s="32" t="n">
        <x:v>20</x:v>
      </x:c>
      <x:c r="F200" s="32" t="n">
        <x:v>5</x:v>
      </x:c>
      <x:c r="G200" s="32" t="n">
        <x:v>0</x:v>
      </x:c>
      <x:c r="H200" s="32" t="n">
        <x:v>0</x:v>
      </x:c>
      <x:c r="I200" s="32" t="n">
        <x:v>0</x:v>
      </x:c>
      <x:c r="J200" s="32" t="n">
        <x:v>0</x:v>
      </x:c>
      <x:c r="K200" s="32" t="n">
        <x:v>0</x:v>
      </x:c>
      <x:c r="L200" s="32" t="n">
        <x:v>0</x:v>
      </x:c>
      <x:c r="M200" s="32" t="n">
        <x:v>0</x:v>
      </x:c>
      <x:c r="N200" s="32" t="n">
        <x:v>261800</x:v>
      </x:c>
      <x:c r="O200" s="32" t="n">
        <x:v>9</x:v>
      </x:c>
      <x:c r="P200" s="32" t="n">
        <x:v>120</x:v>
      </x:c>
      <x:c r="Q200" s="32" t="n">
        <x:v>12</x:v>
      </x:c>
      <x:c r="R200" s="32" t="n">
        <x:v>1</x:v>
      </x:c>
      <x:c r="S200" s="32" t="n">
        <x:v>0</x:v>
      </x:c>
      <x:c r="T200" s="32" t="n">
        <x:v>0</x:v>
      </x:c>
      <x:c r="U200" s="32" t="n">
        <x:v>0</x:v>
      </x:c>
      <x:c r="V200" s="32" t="n">
        <x:v>0</x:v>
      </x:c>
      <x:c r="W200" s="32" t="n">
        <x:v>0</x:v>
      </x:c>
      <x:c r="X200" s="34" t="n">
        <x:f>('01_比较参数'!$B$2+D200)*(1+('01_比较参数'!$B$5+E200)/'01_比较参数'!$B$14)*(1+('01_比较参数'!$B$6+F200)/'01_比较参数'!$B$14)*(1+('01_比较参数'!$B$7+G200)/'01_比较参数'!$B$14)*(1+('01_比较参数'!$B$8+I200/'01_比较参数'!$B$14)*('01_比较参数'!$B$12-1+('01_比较参数'!$B$9+H200)/'01_比较参数'!$B$14))*(1+('01_比较参数'!$B$10+J200/'01_比较参数'!$B$14)*('01_比较参数'!$B$13-1+('01_比较参数'!$B$11+K200)/'01_比较参数'!$B$14))*(1+L200/'01_比较参数'!$B$14)*(1+M200/'01_比较参数'!$B$14)</x:f>
        <x:v>12877.93584</x:v>
      </x:c>
      <x:c r="Y200" s="34" t="n">
        <x:f>X200-'01_比较参数'!$B$18</x:f>
        <x:v>2895.0398399999976</x:v>
      </x:c>
      <x:c r="Z200" s="36" t="n">
        <x:f>ROUNDDOWN(D200/2,0)</x:f>
        <x:v>110</x:v>
      </x:c>
    </x:row>
    <x:row r="201" ht="30" customHeight="1">
      <x:c r="A201" s="22" t="str">
        <x:v>荒原誓冠</x:v>
      </x:c>
      <x:c r="B201" s="22" t="str">
        <x:v>C3时装V1.1</x:v>
      </x:c>
      <x:c r="C201" s="22" t="str">
        <x:v>时装头盔</x:v>
      </x:c>
      <x:c r="D201" s="32" t="n">
        <x:v>66</x:v>
      </x:c>
      <x:c r="E201" s="32" t="n">
        <x:v>10</x:v>
      </x:c>
      <x:c r="F201" s="32" t="n">
        <x:v>0</x:v>
      </x:c>
      <x:c r="G201" s="32" t="n">
        <x:v>0</x:v>
      </x:c>
      <x:c r="H201" s="32" t="n">
        <x:v>0</x:v>
      </x:c>
      <x:c r="I201" s="32" t="n">
        <x:v>0</x:v>
      </x:c>
      <x:c r="J201" s="32" t="n">
        <x:v>0</x:v>
      </x:c>
      <x:c r="K201" s="32" t="n">
        <x:v>0</x:v>
      </x:c>
      <x:c r="L201" s="32" t="n">
        <x:v>0</x:v>
      </x:c>
      <x:c r="M201" s="32" t="n">
        <x:v>0</x:v>
      </x:c>
      <x:c r="N201" s="32" t="n">
        <x:v>24200</x:v>
      </x:c>
      <x:c r="O201" s="32" t="n">
        <x:v>0</x:v>
      </x:c>
      <x:c r="P201" s="32" t="n">
        <x:v>49</x:v>
      </x:c>
      <x:c r="Q201" s="32" t="n">
        <x:v>1</x:v>
      </x:c>
      <x:c r="R201" s="32" t="n">
        <x:v>0</x:v>
      </x:c>
      <x:c r="S201" s="32" t="n">
        <x:v>0</x:v>
      </x:c>
      <x:c r="T201" s="32" t="n">
        <x:v>0</x:v>
      </x:c>
      <x:c r="U201" s="32" t="n">
        <x:v>0</x:v>
      </x:c>
      <x:c r="V201" s="32" t="n">
        <x:v>0</x:v>
      </x:c>
      <x:c r="W201" s="32" t="n">
        <x:v>0</x:v>
      </x:c>
      <x:c r="X201" s="34" t="n">
        <x:f>('01_比较参数'!$B$2+D201)*(1+('01_比较参数'!$B$5+E201)/'01_比较参数'!$B$14)*(1+('01_比较参数'!$B$6+F201)/'01_比较参数'!$B$14)*(1+('01_比较参数'!$B$7+G201)/'01_比较参数'!$B$14)*(1+('01_比较参数'!$B$8+I201/'01_比较参数'!$B$14)*('01_比较参数'!$B$12-1+('01_比较参数'!$B$9+H201)/'01_比较参数'!$B$14))*(1+('01_比较参数'!$B$10+J201/'01_比较参数'!$B$14)*('01_比较参数'!$B$13-1+('01_比较参数'!$B$11+K201)/'01_比较参数'!$B$14))*(1+L201/'01_比较参数'!$B$14)*(1+M201/'01_比较参数'!$B$14)</x:f>
        <x:v>10895.877215999999</x:v>
      </x:c>
      <x:c r="Y201" s="34" t="n">
        <x:f>X201-'01_比较参数'!$B$18</x:f>
        <x:v>912.9812159999965</x:v>
      </x:c>
      <x:c r="Z201" s="36" t="n">
        <x:f>ROUNDDOWN(D201/2,0)</x:f>
        <x:v>33</x:v>
      </x:c>
    </x:row>
    <x:row r="202" ht="30" customHeight="1">
      <x:c r="A202" s="22" t="str">
        <x:v>断途风铃</x:v>
      </x:c>
      <x:c r="B202" s="22" t="str">
        <x:v>C3时装V1.1</x:v>
      </x:c>
      <x:c r="C202" s="22" t="str">
        <x:v>时装项链</x:v>
      </x:c>
      <x:c r="D202" s="32" t="n">
        <x:v>82</x:v>
      </x:c>
      <x:c r="E202" s="32" t="n">
        <x:v>17</x:v>
      </x:c>
      <x:c r="F202" s="32" t="n">
        <x:v>8</x:v>
      </x:c>
      <x:c r="G202" s="32" t="n">
        <x:v>5</x:v>
      </x:c>
      <x:c r="H202" s="32" t="n">
        <x:v>0</x:v>
      </x:c>
      <x:c r="I202" s="32" t="n">
        <x:v>0</x:v>
      </x:c>
      <x:c r="J202" s="32" t="n">
        <x:v>0</x:v>
      </x:c>
      <x:c r="K202" s="32" t="n">
        <x:v>18</x:v>
      </x:c>
      <x:c r="L202" s="32" t="n">
        <x:v>0</x:v>
      </x:c>
      <x:c r="M202" s="32" t="n">
        <x:v>0</x:v>
      </x:c>
      <x:c r="N202" s="32" t="n">
        <x:v>15000</x:v>
      </x:c>
      <x:c r="O202" s="32" t="n">
        <x:v>0</x:v>
      </x:c>
      <x:c r="P202" s="32" t="n">
        <x:v>0</x:v>
      </x:c>
      <x:c r="Q202" s="32" t="n">
        <x:v>0</x:v>
      </x:c>
      <x:c r="R202" s="32" t="n">
        <x:v>0</x:v>
      </x:c>
      <x:c r="S202" s="32" t="n">
        <x:v>0</x:v>
      </x:c>
      <x:c r="T202" s="32" t="n">
        <x:v>0</x:v>
      </x:c>
      <x:c r="U202" s="32" t="n">
        <x:v>0</x:v>
      </x:c>
      <x:c r="V202" s="32" t="n">
        <x:v>0</x:v>
      </x:c>
      <x:c r="W202" s="32" t="n">
        <x:v>0</x:v>
      </x:c>
      <x:c r="X202" s="34" t="n">
        <x:f>('01_比较参数'!$B$2+D202)*(1+('01_比较参数'!$B$5+E202)/'01_比较参数'!$B$14)*(1+('01_比较参数'!$B$6+F202)/'01_比较参数'!$B$14)*(1+('01_比较参数'!$B$7+G202)/'01_比较参数'!$B$14)*(1+('01_比较参数'!$B$8+I202/'01_比较参数'!$B$14)*('01_比较参数'!$B$12-1+('01_比较参数'!$B$9+H202)/'01_比较参数'!$B$14))*(1+('01_比较参数'!$B$10+J202/'01_比较参数'!$B$14)*('01_比较参数'!$B$13-1+('01_比较参数'!$B$11+K202)/'01_比较参数'!$B$14))*(1+L202/'01_比较参数'!$B$14)*(1+M202/'01_比较参数'!$B$14)</x:f>
        <x:v>12429.314775521283</x:v>
      </x:c>
      <x:c r="Y202" s="34" t="n">
        <x:f>X202-'01_比较参数'!$B$18</x:f>
        <x:v>2446.4187755212806</x:v>
      </x:c>
      <x:c r="Z202" s="36" t="n">
        <x:f>ROUNDDOWN(D202/2,0)</x:f>
        <x:v>41</x:v>
      </x:c>
    </x:row>
    <x:row r="203" ht="30" customHeight="1">
      <x:c r="A203" s="22" t="str">
        <x:v>古垒余烬腕</x:v>
      </x:c>
      <x:c r="B203" s="22" t="str">
        <x:v>C3时装V1.1</x:v>
      </x:c>
      <x:c r="C203" s="22" t="str">
        <x:v>时装手镯</x:v>
      </x:c>
      <x:c r="D203" s="32" t="n">
        <x:v>75</x:v>
      </x:c>
      <x:c r="E203" s="32" t="n">
        <x:v>18</x:v>
      </x:c>
      <x:c r="F203" s="32" t="n">
        <x:v>8</x:v>
      </x:c>
      <x:c r="G203" s="32" t="n">
        <x:v>5</x:v>
      </x:c>
      <x:c r="H203" s="32" t="n">
        <x:v>0</x:v>
      </x:c>
      <x:c r="I203" s="32" t="n">
        <x:v>0</x:v>
      </x:c>
      <x:c r="J203" s="32" t="n">
        <x:v>0</x:v>
      </x:c>
      <x:c r="K203" s="32" t="n">
        <x:v>18</x:v>
      </x:c>
      <x:c r="L203" s="32" t="n">
        <x:v>0</x:v>
      </x:c>
      <x:c r="M203" s="32" t="n">
        <x:v>0</x:v>
      </x:c>
      <x:c r="N203" s="32" t="n">
        <x:v>13900</x:v>
      </x:c>
      <x:c r="O203" s="32" t="n">
        <x:v>0</x:v>
      </x:c>
      <x:c r="P203" s="32" t="n">
        <x:v>51</x:v>
      </x:c>
      <x:c r="Q203" s="32" t="n">
        <x:v>1</x:v>
      </x:c>
      <x:c r="R203" s="32" t="n">
        <x:v>0</x:v>
      </x:c>
      <x:c r="S203" s="32" t="n">
        <x:v>0</x:v>
      </x:c>
      <x:c r="T203" s="32" t="n">
        <x:v>0</x:v>
      </x:c>
      <x:c r="U203" s="32" t="n">
        <x:v>0</x:v>
      </x:c>
      <x:c r="V203" s="32" t="n">
        <x:v>0</x:v>
      </x:c>
      <x:c r="W203" s="32" t="n">
        <x:v>0</x:v>
      </x:c>
      <x:c r="X203" s="34" t="n">
        <x:f>('01_比较参数'!$B$2+D203)*(1+('01_比较参数'!$B$5+E203)/'01_比较参数'!$B$14)*(1+('01_比较参数'!$B$6+F203)/'01_比较参数'!$B$14)*(1+('01_比较参数'!$B$7+G203)/'01_比较参数'!$B$14)*(1+('01_比较参数'!$B$8+I203/'01_比较参数'!$B$14)*('01_比较参数'!$B$12-1+('01_比较参数'!$B$9+H203)/'01_比较参数'!$B$14))*(1+('01_比较参数'!$B$10+J203/'01_比较参数'!$B$14)*('01_比较参数'!$B$13-1+('01_比较参数'!$B$11+K203)/'01_比较参数'!$B$14))*(1+L203/'01_比较参数'!$B$14)*(1+M203/'01_比较参数'!$B$14)</x:f>
        <x:v>12426.530118912004</x:v>
      </x:c>
      <x:c r="Y203" s="34" t="n">
        <x:f>X203-'01_比较参数'!$B$18</x:f>
        <x:v>2443.634118912001</x:v>
      </x:c>
      <x:c r="Z203" s="36" t="n">
        <x:f>ROUNDDOWN(D203/2,0)</x:f>
        <x:v>37</x:v>
      </x:c>
    </x:row>
    <x:row r="204" ht="30" customHeight="1">
      <x:c r="A204" s="22" t="str">
        <x:v>哨光誓戒</x:v>
      </x:c>
      <x:c r="B204" s="22" t="str">
        <x:v>C3时装V1.1</x:v>
      </x:c>
      <x:c r="C204" s="22" t="str">
        <x:v>时装戒指</x:v>
      </x:c>
      <x:c r="D204" s="32" t="n">
        <x:v>80</x:v>
      </x:c>
      <x:c r="E204" s="32" t="n">
        <x:v>28</x:v>
      </x:c>
      <x:c r="F204" s="32" t="n">
        <x:v>0</x:v>
      </x:c>
      <x:c r="G204" s="32" t="n">
        <x:v>5</x:v>
      </x:c>
      <x:c r="H204" s="32" t="n">
        <x:v>9</x:v>
      </x:c>
      <x:c r="I204" s="32" t="n">
        <x:v>0</x:v>
      </x:c>
      <x:c r="J204" s="32" t="n">
        <x:v>0</x:v>
      </x:c>
      <x:c r="K204" s="32" t="n">
        <x:v>18</x:v>
      </x:c>
      <x:c r="L204" s="32" t="n">
        <x:v>0</x:v>
      </x:c>
      <x:c r="M204" s="32" t="n">
        <x:v>0</x:v>
      </x:c>
      <x:c r="N204" s="32" t="n">
        <x:v>14600</x:v>
      </x:c>
      <x:c r="O204" s="32" t="n">
        <x:v>0</x:v>
      </x:c>
      <x:c r="P204" s="32" t="n">
        <x:v>54</x:v>
      </x:c>
      <x:c r="Q204" s="32" t="n">
        <x:v>0</x:v>
      </x:c>
      <x:c r="R204" s="32" t="n">
        <x:v>0</x:v>
      </x:c>
      <x:c r="S204" s="32" t="n">
        <x:v>0</x:v>
      </x:c>
      <x:c r="T204" s="32" t="n">
        <x:v>0</x:v>
      </x:c>
      <x:c r="U204" s="32" t="n">
        <x:v>0</x:v>
      </x:c>
      <x:c r="V204" s="32" t="n">
        <x:v>0</x:v>
      </x:c>
      <x:c r="W204" s="32" t="n">
        <x:v>0</x:v>
      </x:c>
      <x:c r="X204" s="34" t="n">
        <x:f>('01_比较参数'!$B$2+D204)*(1+('01_比较参数'!$B$5+E204)/'01_比较参数'!$B$14)*(1+('01_比较参数'!$B$6+F204)/'01_比较参数'!$B$14)*(1+('01_比较参数'!$B$7+G204)/'01_比较参数'!$B$14)*(1+('01_比较参数'!$B$8+I204/'01_比较参数'!$B$14)*('01_比较参数'!$B$12-1+('01_比较参数'!$B$9+H204)/'01_比较参数'!$B$14))*(1+('01_比较参数'!$B$10+J204/'01_比较参数'!$B$14)*('01_比较参数'!$B$13-1+('01_比较参数'!$B$11+K204)/'01_比较参数'!$B$14))*(1+L204/'01_比较参数'!$B$14)*(1+M204/'01_比较参数'!$B$14)</x:f>
        <x:v>12596.890877542404</x:v>
      </x:c>
      <x:c r="Y204" s="34" t="n">
        <x:f>X204-'01_比较参数'!$B$18</x:f>
        <x:v>2613.994877542402</x:v>
      </x:c>
      <x:c r="Z204" s="36" t="n">
        <x:f>ROUNDDOWN(D204/2,0)</x:f>
        <x:v>40</x:v>
      </x:c>
    </x:row>
    <x:row r="205" ht="30" customHeight="1">
      <x:c r="A205" s="22" t="str">
        <x:v>追风辰鳞</x:v>
      </x:c>
      <x:c r="B205" s="22" t="str">
        <x:v>C3时装V1.1</x:v>
      </x:c>
      <x:c r="C205" s="22" t="str">
        <x:v>时装生肖5</x:v>
      </x:c>
      <x:c r="D205" s="32" t="n">
        <x:v>37</x:v>
      </x:c>
      <x:c r="E205" s="32" t="n">
        <x:v>4</x:v>
      </x:c>
      <x:c r="F205" s="32" t="n">
        <x:v>2</x:v>
      </x:c>
      <x:c r="G205" s="32" t="n">
        <x:v>0</x:v>
      </x:c>
      <x:c r="H205" s="32" t="n">
        <x:v>4</x:v>
      </x:c>
      <x:c r="I205" s="32" t="n">
        <x:v>0</x:v>
      </x:c>
      <x:c r="J205" s="32" t="n">
        <x:v>0</x:v>
      </x:c>
      <x:c r="K205" s="32" t="n">
        <x:v>0</x:v>
      </x:c>
      <x:c r="L205" s="32" t="n">
        <x:v>0</x:v>
      </x:c>
      <x:c r="M205" s="32" t="n">
        <x:v>0</x:v>
      </x:c>
      <x:c r="N205" s="32" t="n">
        <x:v>7300</x:v>
      </x:c>
      <x:c r="O205" s="32" t="n">
        <x:v>0</x:v>
      </x:c>
      <x:c r="P205" s="32" t="n">
        <x:v>9</x:v>
      </x:c>
      <x:c r="Q205" s="32" t="n">
        <x:v>0</x:v>
      </x:c>
      <x:c r="R205" s="32" t="n">
        <x:v>0</x:v>
      </x:c>
      <x:c r="S205" s="32" t="n">
        <x:v>0</x:v>
      </x:c>
      <x:c r="T205" s="32" t="n">
        <x:v>0</x:v>
      </x:c>
      <x:c r="U205" s="32" t="n">
        <x:v>0</x:v>
      </x:c>
      <x:c r="V205" s="32" t="n">
        <x:v>0</x:v>
      </x:c>
      <x:c r="W205" s="32" t="n">
        <x:v>0</x:v>
      </x:c>
      <x:c r="X205" s="34" t="n">
        <x:f>('01_比较参数'!$B$2+D205)*(1+('01_比较参数'!$B$5+E205)/'01_比较参数'!$B$14)*(1+('01_比较参数'!$B$6+F205)/'01_比较参数'!$B$14)*(1+('01_比较参数'!$B$7+G205)/'01_比较参数'!$B$14)*(1+('01_比较参数'!$B$8+I205/'01_比较参数'!$B$14)*('01_比较参数'!$B$12-1+('01_比较参数'!$B$9+H205)/'01_比较参数'!$B$14))*(1+('01_比较参数'!$B$10+J205/'01_比较参数'!$B$14)*('01_比较参数'!$B$13-1+('01_比较参数'!$B$11+K205)/'01_比较参数'!$B$14))*(1+L205/'01_比较参数'!$B$14)*(1+M205/'01_比较参数'!$B$14)</x:f>
        <x:v>10630.816757568</x:v>
      </x:c>
      <x:c r="Y205" s="34" t="n">
        <x:f>X205-'01_比较参数'!$B$18</x:f>
        <x:v>647.9207575679975</x:v>
      </x:c>
      <x:c r="Z205" s="36" t="n">
        <x:f>ROUNDDOWN(D205/2,0)</x:f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5552e2f5c2e641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6" hidden="0" customWidth="1"/>
    <x:col min="5" max="5" width="18" hidden="0" customWidth="1"/>
    <x:col min="6" max="6" width="16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62" hidden="0" customWidth="1"/>
  </x:cols>
  <x:sheetData>
    <x:row r="1" ht="36" customHeight="1">
      <x:c r="A1" s="27" t="str">
        <x:v>旧件/基准</x:v>
      </x:c>
      <x:c r="B1" s="27" t="str">
        <x:v>新件/比较</x:v>
      </x:c>
      <x:c r="C1" s="27" t="str">
        <x:v>同一部位</x:v>
      </x:c>
      <x:c r="D1" s="27" t="str">
        <x:v>面板攻击比</x:v>
      </x:c>
      <x:c r="E1" s="27" t="str">
        <x:v>单件常规贡献比</x:v>
      </x:c>
      <x:c r="F1" s="27" t="str">
        <x:v>整人单刀比</x:v>
      </x:c>
      <x:c r="G1" s="27" t="str">
        <x:v>HP差</x:v>
      </x:c>
      <x:c r="H1" s="27" t="str">
        <x:v>吸收差</x:v>
      </x:c>
      <x:c r="I1" s="27" t="str">
        <x:v>上限差</x:v>
      </x:c>
      <x:c r="J1" s="27" t="str">
        <x:v>突破差</x:v>
      </x:c>
      <x:c r="K1" s="27" t="str">
        <x:v>语义</x:v>
      </x:c>
    </x:row>
    <x:row r="2" ht="46" customHeight="1">
      <x:c r="A2" s="22" t="str">
        <x:v>沉没王权</x:v>
      </x:c>
      <x:c r="B2" s="22" t="str">
        <x:v>褪色墓刃</x:v>
      </x:c>
      <x:c r="C2" s="22" t="str">
        <x:v>武器</x:v>
      </x:c>
      <x:c r="D2" s="38" t="n">
        <x:f>'02_单件比较输入'!D40/'02_单件比较输入'!D37</x:f>
        <x:v>0.6333333333333333</x:v>
      </x:c>
      <x:c r="E2" s="38" t="n">
        <x:f>'02_单件比较输入'!Y40/'02_单件比较输入'!Y37</x:f>
        <x:v>0.4771190228016046</x:v>
      </x:c>
      <x:c r="F2" s="38" t="n">
        <x:f>'02_单件比较输入'!X40/'02_单件比较输入'!X37</x:f>
        <x:v>0.6600601328393872</x:v>
      </x:c>
      <x:c r="G2" s="22" t="n">
        <x:f>'02_单件比较输入'!N40-'02_单件比较输入'!N37</x:f>
        <x:v>-5300</x:v>
      </x:c>
      <x:c r="H2" s="22" t="n">
        <x:f>'02_单件比较输入'!Q40-'02_单件比较输入'!Q37</x:f>
        <x:v>0</x:v>
      </x:c>
      <x:c r="I2" s="22" t="n">
        <x:f>'02_单件比较输入'!R40-'02_单件比较输入'!R37</x:f>
        <x:v>0</x:v>
      </x:c>
      <x:c r="J2" s="22" t="n">
        <x:f>'02_单件比较输入'!S40-'02_单件比较输入'!S37</x:f>
        <x:v>-1</x:v>
      </x:c>
      <x:c r="K2" s="22" t="str">
        <x:v>C2首图普通主手；旧BOSS不应被立即淘汰</x:v>
      </x:c>
    </x:row>
    <x:row r="3" ht="46" customHeight="1">
      <x:c r="A3" s="22" t="str">
        <x:v>沉没王权</x:v>
      </x:c>
      <x:c r="B3" s="22" t="str">
        <x:v>断旗军刀</x:v>
      </x:c>
      <x:c r="C3" s="22" t="str">
        <x:v>武器</x:v>
      </x:c>
      <x:c r="D3" s="38" t="n">
        <x:f>'02_单件比较输入'!D52/'02_单件比较输入'!D37</x:f>
        <x:v>0.6</x:v>
      </x:c>
      <x:c r="E3" s="38" t="n">
        <x:f>'02_单件比较输入'!Y52/'02_单件比较输入'!Y37</x:f>
        <x:v>0.636739419867788</x:v>
      </x:c>
      <x:c r="F3" s="38" t="n">
        <x:f>'02_单件比较输入'!X52/'02_单件比较输入'!X37</x:f>
        <x:v>0.7638339149064568</x:v>
      </x:c>
      <x:c r="G3" s="22" t="n">
        <x:f>'02_单件比较输入'!N52-'02_单件比较输入'!N37</x:f>
        <x:v>-2300</x:v>
      </x:c>
      <x:c r="H3" s="22" t="n">
        <x:f>'02_单件比较输入'!Q52-'02_单件比较输入'!Q37</x:f>
        <x:v>0</x:v>
      </x:c>
      <x:c r="I3" s="22" t="n">
        <x:f>'02_单件比较输入'!R52-'02_单件比较输入'!R37</x:f>
        <x:v>0</x:v>
      </x:c>
      <x:c r="J3" s="22" t="n">
        <x:f>'02_单件比较输入'!S52-'02_单件比较输入'!S37</x:f>
        <x:v>-1</x:v>
      </x:c>
      <x:c r="K3" s="22" t="str">
        <x:v>图2是普通主手，不冒充稀有主手</x:v>
      </x:c>
    </x:row>
    <x:row r="4" ht="46" customHeight="1">
      <x:c r="A4" s="22" t="str">
        <x:v>沉没王权</x:v>
      </x:c>
      <x:c r="B4" s="22" t="str">
        <x:v>雾牙短刃</x:v>
      </x:c>
      <x:c r="C4" s="22" t="str">
        <x:v>武器</x:v>
      </x:c>
      <x:c r="D4" s="38" t="n">
        <x:f>'02_单件比较输入'!D64/'02_单件比较输入'!D37</x:f>
        <x:v>0.8333333333333334</x:v>
      </x:c>
      <x:c r="E4" s="38" t="n">
        <x:f>'02_单件比较输入'!Y64/'02_单件比较输入'!Y37</x:f>
        <x:v>0.7704287755908434</x:v>
      </x:c>
      <x:c r="F4" s="38" t="n">
        <x:f>'02_单件比较输入'!X64/'02_单件比较输入'!X37</x:f>
        <x:v>0.8507491858898947</x:v>
      </x:c>
      <x:c r="G4" s="22" t="n">
        <x:f>'02_单件比较输入'!N64-'02_单件比较输入'!N37</x:f>
        <x:v>-300</x:v>
      </x:c>
      <x:c r="H4" s="22" t="n">
        <x:f>'02_单件比较输入'!Q64-'02_单件比较输入'!Q37</x:f>
        <x:v>0</x:v>
      </x:c>
      <x:c r="I4" s="22" t="n">
        <x:f>'02_单件比较输入'!R64-'02_单件比较输入'!R37</x:f>
        <x:v>0</x:v>
      </x:c>
      <x:c r="J4" s="22" t="n">
        <x:f>'02_单件比较输入'!S64-'02_单件比较输入'!S37</x:f>
        <x:v>-1</x:v>
      </x:c>
      <x:c r="K4" s="22" t="str">
        <x:v>图3普通主手；保留旧BOSS处决/突破/爆率</x:v>
      </x:c>
    </x:row>
    <x:row r="5" ht="46" customHeight="1">
      <x:c r="A5" s="22" t="str">
        <x:v>沉没王权</x:v>
      </x:c>
      <x:c r="B5" s="22" t="str">
        <x:v>风羽战刃</x:v>
      </x:c>
      <x:c r="C5" s="22" t="str">
        <x:v>武器</x:v>
      </x:c>
      <x:c r="D5" s="38" t="n">
        <x:f>'02_单件比较输入'!D76/'02_单件比较输入'!D37</x:f>
        <x:v>0.7666666666666667</x:v>
      </x:c>
      <x:c r="E5" s="38" t="n">
        <x:f>'02_单件比较输入'!Y76/'02_单件比较输入'!Y37</x:f>
        <x:v>0.9503599029201316</x:v>
      </x:c>
      <x:c r="F5" s="38" t="n">
        <x:f>'02_单件比较输入'!X76/'02_单件比较输入'!X37</x:f>
        <x:v>0.9677275541795668</x:v>
      </x:c>
      <x:c r="G5" s="22" t="n">
        <x:f>'02_单件比较输入'!N76-'02_单件比较输入'!N37</x:f>
        <x:v>2200</x:v>
      </x:c>
      <x:c r="H5" s="22" t="n">
        <x:f>'02_单件比较输入'!Q76-'02_单件比较输入'!Q37</x:f>
        <x:v>0</x:v>
      </x:c>
      <x:c r="I5" s="22" t="n">
        <x:f>'02_单件比较输入'!R76-'02_单件比较输入'!R37</x:f>
        <x:v>0</x:v>
      </x:c>
      <x:c r="J5" s="22" t="n">
        <x:f>'02_单件比较输入'!S76-'02_单件比较输入'!S37</x:f>
        <x:v>-1</x:v>
      </x:c>
      <x:c r="K5" s="22" t="str">
        <x:v>图4高加成路线，比较环境不同可能取舍不同</x:v>
      </x:c>
    </x:row>
    <x:row r="6" ht="46" customHeight="1">
      <x:c r="A6" s="22" t="str">
        <x:v>沉没王权</x:v>
      </x:c>
      <x:c r="B6" s="22" t="str">
        <x:v>流刑王刃</x:v>
      </x:c>
      <x:c r="C6" s="22" t="str">
        <x:v>武器</x:v>
      </x:c>
      <x:c r="D6" s="38" t="n">
        <x:f>'02_单件比较输入'!D88/'02_单件比较输入'!D37</x:f>
        <x:v>1.0666666666666667</x:v>
      </x:c>
      <x:c r="E6" s="38" t="n">
        <x:f>'02_单件比较输入'!Y88/'02_单件比较输入'!Y37</x:f>
        <x:v>1.036771456596911</x:v>
      </x:c>
      <x:c r="F6" s="38" t="n">
        <x:f>'02_单件比较输入'!X88/'02_单件比较输入'!X37</x:f>
        <x:v>1.0239061748580562</x:v>
      </x:c>
      <x:c r="G6" s="22" t="n">
        <x:f>'02_单件比较输入'!N88-'02_单件比较输入'!N37</x:f>
        <x:v>5700</x:v>
      </x:c>
      <x:c r="H6" s="22" t="n">
        <x:f>'02_单件比较输入'!Q88-'02_单件比较输入'!Q37</x:f>
        <x:v>0</x:v>
      </x:c>
      <x:c r="I6" s="22" t="n">
        <x:f>'02_单件比较输入'!R88-'02_单件比较输入'!R37</x:f>
        <x:v>0</x:v>
      </x:c>
      <x:c r="J6" s="22" t="n">
        <x:f>'02_单件比较输入'!S88-'02_单件比较输入'!S37</x:f>
        <x:v>-1</x:v>
      </x:c>
      <x:c r="K6" s="22" t="str">
        <x:v>C2末图普通主手接近/超过常规输出；旧BOSS保留稀有价值</x:v>
      </x:c>
    </x:row>
    <x:row r="7" ht="46" customHeight="1">
      <x:c r="A7" s="22" t="str">
        <x:v>沉没王权</x:v>
      </x:c>
      <x:c r="B7" s="22" t="str">
        <x:v>拾骨弯刀</x:v>
      </x:c>
      <x:c r="C7" s="22" t="str">
        <x:v>武器</x:v>
      </x:c>
      <x:c r="D7" s="38" t="n">
        <x:f>'02_单件比较输入'!D181/'02_单件比较输入'!D37</x:f>
        <x:v>0.9333333333333333</x:v>
      </x:c>
      <x:c r="E7" s="38" t="n">
        <x:f>'02_单件比较输入'!Y181/'02_单件比较输入'!Y37</x:f>
        <x:v>0.9904804535471029</x:v>
      </x:c>
      <x:c r="F7" s="38" t="n">
        <x:f>'02_单件比较输入'!X181/'02_单件比较输入'!X37</x:f>
        <x:v>0.9938110707833241</x:v>
      </x:c>
      <x:c r="G7" s="22" t="n">
        <x:f>'02_单件比较输入'!N181-'02_单件比较输入'!N37</x:f>
        <x:v>400</x:v>
      </x:c>
      <x:c r="H7" s="22" t="n">
        <x:f>'02_单件比较输入'!Q181-'02_单件比较输入'!Q37</x:f>
        <x:v>0</x:v>
      </x:c>
      <x:c r="I7" s="22" t="n">
        <x:f>'02_单件比较输入'!R181-'02_单件比较输入'!R37</x:f>
        <x:v>0</x:v>
      </x:c>
      <x:c r="J7" s="22" t="n">
        <x:f>'02_单件比较输入'!S181-'02_单件比较输入'!S37</x:f>
        <x:v>-1</x:v>
      </x:c>
      <x:c r="K7" s="22" t="str">
        <x:v>C3首图普通主手：基础560对600，乘区补偿</x:v>
      </x:c>
    </x:row>
    <x:row r="8" ht="46" customHeight="1">
      <x:c r="A8" s="22" t="str">
        <x:v>潮葬礼剑</x:v>
      </x:c>
      <x:c r="B8" s="22" t="str">
        <x:v>兽爪礼刃</x:v>
      </x:c>
      <x:c r="C8" s="22" t="str">
        <x:v>时装武器</x:v>
      </x:c>
      <x:c r="D8" s="38" t="n">
        <x:f>'02_单件比较输入'!D60/'02_单件比较输入'!D38</x:f>
        <x:v>1</x:v>
      </x:c>
      <x:c r="E8" s="38" t="n">
        <x:f>'02_单件比较输入'!Y60/'02_单件比较输入'!Y38</x:f>
        <x:v>0.9554645661089026</x:v>
      </x:c>
      <x:c r="F8" s="38" t="n">
        <x:f>'02_单件比较输入'!X60/'02_单件比较输入'!X38</x:f>
        <x:v>0.9777146837034514</x:v>
      </x:c>
      <x:c r="G8" s="22" t="n">
        <x:f>'02_单件比较输入'!N60-'02_单件比较输入'!N38</x:f>
        <x:v>1700</x:v>
      </x:c>
      <x:c r="H8" s="22" t="n">
        <x:f>'02_单件比较输入'!Q60-'02_单件比较输入'!Q38</x:f>
        <x:v>0</x:v>
      </x:c>
      <x:c r="I8" s="22" t="n">
        <x:f>'02_单件比较输入'!R60-'02_单件比较输入'!R38</x:f>
        <x:v>0</x:v>
      </x:c>
      <x:c r="J8" s="22" t="n">
        <x:f>'02_单件比较输入'!S60-'02_单件比较输入'!S38</x:f>
        <x:v>-1</x:v>
      </x:c>
      <x:c r="K8" s="22" t="str">
        <x:v>真正同槽C1 BOSS→C2图2稀有：面板同为300</x:v>
      </x:c>
    </x:row>
    <x:row r="9" ht="46" customHeight="1">
      <x:c r="A9" s="22" t="str">
        <x:v>无冠王衣</x:v>
      </x:c>
      <x:c r="B9" s="22" t="str">
        <x:v>破阵军袍</x:v>
      </x:c>
      <x:c r="C9" s="22" t="str">
        <x:v>时装衣服</x:v>
      </x:c>
      <x:c r="D9" s="38" t="n">
        <x:f>'02_单件比较输入'!D61/'02_单件比较输入'!D39</x:f>
        <x:v>1</x:v>
      </x:c>
      <x:c r="E9" s="38" t="n">
        <x:f>'02_单件比较输入'!Y61/'02_单件比较输入'!Y39</x:f>
        <x:v>1</x:v>
      </x:c>
      <x:c r="F9" s="38" t="n">
        <x:f>'02_单件比较输入'!X61/'02_单件比较输入'!X39</x:f>
        <x:v>1</x:v>
      </x:c>
      <x:c r="G9" s="22" t="n">
        <x:f>'02_单件比较输入'!N61-'02_单件比较输入'!N39</x:f>
        <x:v>-5000</x:v>
      </x:c>
      <x:c r="H9" s="22" t="n">
        <x:f>'02_单件比较输入'!Q61-'02_单件比较输入'!Q39</x:f>
        <x:v>-3</x:v>
      </x:c>
      <x:c r="I9" s="22" t="n">
        <x:f>'02_单件比较输入'!R61-'02_单件比较输入'!R39</x:f>
        <x:v>-2</x:v>
      </x:c>
      <x:c r="J9" s="22" t="n">
        <x:f>'02_单件比较输入'!S61-'02_单件比较输入'!S39</x:f>
        <x:v>0</x:v>
      </x:c>
      <x:c r="K9" s="22" t="str">
        <x:v>真正同槽：面板同为120，旧BOSS保留更高韧性/吸收上限</x:v>
      </x:c>
    </x:row>
    <x:row r="10" ht="46" customHeight="1">
      <x:c r="A10" s="22" t="str">
        <x:v>潮葬礼剑</x:v>
      </x:c>
      <x:c r="B10" s="22" t="str">
        <x:v>百夫熔戟</x:v>
      </x:c>
      <x:c r="C10" s="22" t="str">
        <x:v>时装武器</x:v>
      </x:c>
      <x:c r="D10" s="38" t="n">
        <x:f>'02_单件比较输入'!D84/'02_单件比较输入'!D38</x:f>
        <x:v>1.2166666666666666</x:v>
      </x:c>
      <x:c r="E10" s="38" t="n">
        <x:f>'02_单件比较输入'!Y84/'02_单件比较输入'!Y38</x:f>
        <x:v>1.2850294889762786</x:v>
      </x:c>
      <x:c r="F10" s="38" t="n">
        <x:f>'02_单件比较输入'!X84/'02_单件比较输入'!X38</x:f>
        <x:v>1.1426273814062862</x:v>
      </x:c>
      <x:c r="G10" s="22" t="n">
        <x:f>'02_单件比较输入'!N84-'02_单件比较输入'!N38</x:f>
        <x:v>3700</x:v>
      </x:c>
      <x:c r="H10" s="22" t="n">
        <x:f>'02_单件比较输入'!Q84-'02_单件比较输入'!Q38</x:f>
        <x:v>0</x:v>
      </x:c>
      <x:c r="I10" s="22" t="n">
        <x:f>'02_单件比较输入'!R84-'02_单件比较输入'!R38</x:f>
        <x:v>0</x:v>
      </x:c>
      <x:c r="J10" s="22" t="n">
        <x:f>'02_单件比较输入'!S84-'02_单件比较输入'!S38</x:f>
        <x:v>-1</x:v>
      </x:c>
      <x:c r="K10" s="22" t="str">
        <x:v>C2图4时装输出向升级，旧BOSS保留处决/突破</x:v>
      </x:c>
    </x:row>
    <x:row r="11" ht="46" customHeight="1">
      <x:c r="A11" s="22" t="str">
        <x:v>潮葬礼剑</x:v>
      </x:c>
      <x:c r="B11" s="22" t="str">
        <x:v>王城断罪刃</x:v>
      </x:c>
      <x:c r="C11" s="22" t="str">
        <x:v>时装武器</x:v>
      </x:c>
      <x:c r="D11" s="38" t="n">
        <x:f>'02_单件比较输入'!D97/'02_单件比较输入'!D38</x:f>
        <x:v>1.5333333333333334</x:v>
      </x:c>
      <x:c r="E11" s="38" t="n">
        <x:f>'02_单件比较输入'!Y97/'02_单件比较输入'!Y38</x:f>
        <x:v>1.5758431465602663</x:v>
      </x:c>
      <x:c r="F11" s="38" t="n">
        <x:f>'02_单件比较输入'!X97/'02_单件比较输入'!X38</x:f>
        <x:v>1.2881491328831676</x:v>
      </x:c>
      <x:c r="G11" s="22" t="n">
        <x:f>'02_单件比较输入'!N97-'02_单件比较输入'!N38</x:f>
        <x:v>6700</x:v>
      </x:c>
      <x:c r="H11" s="22" t="n">
        <x:f>'02_单件比较输入'!Q97-'02_单件比较输入'!Q38</x:f>
        <x:v>0</x:v>
      </x:c>
      <x:c r="I11" s="22" t="n">
        <x:f>'02_单件比较输入'!R97-'02_单件比较输入'!R38</x:f>
        <x:v>0</x:v>
      </x:c>
      <x:c r="J11" s="22" t="n">
        <x:f>'02_单件比较输入'!S97-'02_单件比较输入'!S38</x:f>
        <x:v>0</x:v>
      </x:c>
      <x:c r="K11" s="22" t="str">
        <x:v>C2末图时装接棒，保留不同处决/爆率价值</x:v>
      </x:c>
    </x:row>
    <x:row r="12" ht="46" customHeight="1">
      <x:c r="A12" s="22" t="str">
        <x:v>无冠王衣</x:v>
      </x:c>
      <x:c r="B12" s="22" t="str">
        <x:v>百骸王衣</x:v>
      </x:c>
      <x:c r="C12" s="22" t="str">
        <x:v>时装衣服</x:v>
      </x:c>
      <x:c r="D12" s="38" t="n">
        <x:f>'02_单件比较输入'!D98/'02_单件比较输入'!D39</x:f>
        <x:v>1.4166666666666667</x:v>
      </x:c>
      <x:c r="E12" s="38" t="n">
        <x:f>'02_单件比较输入'!Y98/'02_单件比较输入'!Y39</x:f>
        <x:v>1.3079222720478312</x:v>
      </x:c>
      <x:c r="F12" s="38" t="n">
        <x:f>'02_单件比较输入'!X98/'02_单件比较输入'!X39</x:f>
        <x:v>1.0519022423784326</x:v>
      </x:c>
      <x:c r="G12" s="22" t="n">
        <x:f>'02_单件比较输入'!N98-'02_单件比较输入'!N39</x:f>
        <x:v>60000</x:v>
      </x:c>
      <x:c r="H12" s="22" t="n">
        <x:f>'02_单件比较输入'!Q98-'02_单件比较输入'!Q39</x:f>
        <x:v>0</x:v>
      </x:c>
      <x:c r="I12" s="22" t="n">
        <x:f>'02_单件比较输入'!R98-'02_单件比较输入'!R39</x:f>
        <x:v>0</x:v>
      </x:c>
      <x:c r="J12" s="22" t="n">
        <x:f>'02_单件比较输入'!S98-'02_单件比较输入'!S39</x:f>
        <x:v>0</x:v>
      </x:c>
      <x:c r="K12" s="22" t="str">
        <x:v>同槽新BOSS升级；不是拿主衣与时装衣混比</x:v>
      </x:c>
    </x:row>
    <x:row r="13" ht="46" customHeight="1">
      <x:c r="A13" s="22" t="str">
        <x:v>深潮王铠</x:v>
      </x:c>
      <x:c r="B13" s="22" t="str">
        <x:v>祖灵皮衣</x:v>
      </x:c>
      <x:c r="C13" s="22" t="str">
        <x:v>衣服</x:v>
      </x:c>
      <x:c r="D13" s="38" t="n">
        <x:f>'02_单件比较输入'!D66/'02_单件比较输入'!D36</x:f>
        <x:v>0.9090909090909091</x:v>
      </x:c>
      <x:c r="E13" s="38" t="n">
        <x:f>'02_单件比较输入'!Y66/'02_单件比较输入'!Y36</x:f>
        <x:v>0.7983898020798413</x:v>
      </x:c>
      <x:c r="F13" s="38" t="n">
        <x:f>'02_单件比较输入'!X66/'02_单件比较输入'!X36</x:f>
        <x:v>0.9691494276474518</x:v>
      </x:c>
      <x:c r="G13" s="22" t="n">
        <x:f>'02_单件比较输入'!N66-'02_单件比较输入'!N36</x:f>
        <x:v>-10000</x:v>
      </x:c>
      <x:c r="H13" s="22" t="n">
        <x:f>'02_单件比较输入'!Q66-'02_单件比较输入'!Q36</x:f>
        <x:v>-3</x:v>
      </x:c>
      <x:c r="I13" s="22" t="n">
        <x:f>'02_单件比较输入'!R66-'02_单件比较输入'!R36</x:f>
        <x:v>-2</x:v>
      </x:c>
      <x:c r="J13" s="22" t="n">
        <x:f>'02_单件比较输入'!S66-'02_单件比较输入'!S36</x:f>
        <x:v>0</x:v>
      </x:c>
      <x:c r="K13" s="22" t="str">
        <x:v>C2图3普通衣服不应全面取代旧BOSS</x:v>
      </x:c>
    </x:row>
    <x:row r="14" ht="46" customHeight="1">
      <x:c r="A14" s="22" t="str">
        <x:v>深潮王铠</x:v>
      </x:c>
      <x:c r="B14" s="22" t="str">
        <x:v>失乡斧铠</x:v>
      </x:c>
      <x:c r="C14" s="22" t="str">
        <x:v>衣服</x:v>
      </x:c>
      <x:c r="D14" s="38" t="n">
        <x:f>'02_单件比较输入'!D89/'02_单件比较输入'!D36</x:f>
        <x:v>1</x:v>
      </x:c>
      <x:c r="E14" s="38" t="n">
        <x:f>'02_单件比较输入'!Y89/'02_单件比较输入'!Y36</x:f>
        <x:v>0.9459912780946005</x:v>
      </x:c>
      <x:c r="F14" s="38" t="n">
        <x:f>'02_单件比较输入'!X89/'02_单件比较输入'!X36</x:f>
        <x:v>0.9917355371900829</x:v>
      </x:c>
      <x:c r="G14" s="22" t="n">
        <x:f>'02_单件比较输入'!N89-'02_单件比较输入'!N36</x:f>
        <x:v>5000</x:v>
      </x:c>
      <x:c r="H14" s="22" t="n">
        <x:f>'02_单件比较输入'!Q89-'02_单件比较输入'!Q36</x:f>
        <x:v>-2</x:v>
      </x:c>
      <x:c r="I14" s="22" t="n">
        <x:f>'02_单件比较输入'!R89-'02_单件比较输入'!R36</x:f>
        <x:v>-2</x:v>
      </x:c>
      <x:c r="J14" s="22" t="n">
        <x:f>'02_单件比较输入'!S89-'02_单件比较输入'!S36</x:f>
        <x:v>0</x:v>
      </x:c>
      <x:c r="K14" s="22" t="str">
        <x:v>C2末图主衣：HP/防御与吸收上限存在取舍</x:v>
      </x:c>
    </x:row>
    <x:row r="15" ht="46" customHeight="1">
      <x:c r="A15" s="22" t="str">
        <x:v>王庭秘戒</x:v>
      </x:c>
      <x:c r="B15" s="22" t="str">
        <x:v>断旗马戒</x:v>
      </x:c>
      <x:c r="C15" s="22" t="str">
        <x:v>戒指</x:v>
      </x:c>
      <x:c r="D15" s="38" t="n">
        <x:f>'02_单件比较输入'!D57/'02_单件比较输入'!D28</x:f>
        <x:v>1.087719298245614</x:v>
      </x:c>
      <x:c r="E15" s="38" t="n">
        <x:f>'02_单件比较输入'!Y57/'02_单件比较输入'!Y28</x:f>
        <x:v>1.2184399002719748</x:v>
      </x:c>
      <x:c r="F15" s="38" t="n">
        <x:f>'02_单件比较输入'!X57/'02_单件比较输入'!X28</x:f>
        <x:v>1.0320565315334354</x:v>
      </x:c>
      <x:c r="G15" s="22" t="n">
        <x:f>'02_单件比较输入'!N57-'02_单件比较输入'!N28</x:f>
        <x:v>2100</x:v>
      </x:c>
      <x:c r="H15" s="22" t="n">
        <x:f>'02_单件比较输入'!Q57-'02_单件比较输入'!Q28</x:f>
        <x:v>-2</x:v>
      </x:c>
      <x:c r="I15" s="22" t="n">
        <x:f>'02_单件比较输入'!R57-'02_单件比较输入'!R28</x:f>
        <x:v>0</x:v>
      </x:c>
      <x:c r="J15" s="22" t="n">
        <x:f>'02_单件比较输入'!S57-'02_单件比较输入'!S28</x:f>
        <x:v>0</x:v>
      </x:c>
      <x:c r="K15" s="22" t="str">
        <x:v>C2图2普通戒指渐进替换</x:v>
      </x:c>
    </x:row>
    <x:row r="16" ht="46" customHeight="1">
      <x:c r="A16" s="22" t="str">
        <x:v>王庭秘戒</x:v>
      </x:c>
      <x:c r="B16" s="22" t="str">
        <x:v>禁卫誓戒</x:v>
      </x:c>
      <x:c r="C16" s="22" t="str">
        <x:v>戒指</x:v>
      </x:c>
      <x:c r="D16" s="38" t="n">
        <x:f>'02_单件比较输入'!D93/'02_单件比较输入'!D28</x:f>
        <x:v>1.263157894736842</x:v>
      </x:c>
      <x:c r="E16" s="38" t="n">
        <x:f>'02_单件比较输入'!Y93/'02_单件比较输入'!Y28</x:f>
        <x:v>1.6157389899326744</x:v>
      </x:c>
      <x:c r="F16" s="38" t="n">
        <x:f>'02_单件比较输入'!X93/'02_单件比较输入'!X28</x:f>
        <x:v>1.0903610389977583</x:v>
      </x:c>
      <x:c r="G16" s="22" t="n">
        <x:f>'02_单件比较输入'!N93-'02_单件比较输入'!N28</x:f>
        <x:v>3100</x:v>
      </x:c>
      <x:c r="H16" s="22" t="n">
        <x:f>'02_单件比较输入'!Q93-'02_单件比较输入'!Q28</x:f>
        <x:v>-2</x:v>
      </x:c>
      <x:c r="I16" s="22" t="n">
        <x:f>'02_单件比较输入'!R93-'02_单件比较输入'!R28</x:f>
        <x:v>0</x:v>
      </x:c>
      <x:c r="J16" s="22" t="n">
        <x:f>'02_单件比较输入'!S93-'02_单件比较输入'!S28</x:f>
        <x:v>0</x:v>
      </x:c>
      <x:c r="K16" s="22" t="str">
        <x:v>C2末图普通戒指常规输出接棒</x:v>
      </x:c>
    </x:row>
    <x:row r="17" ht="46" customHeight="1">
      <x:c r="A17" s="22" t="str">
        <x:v>流刑王刃</x:v>
      </x:c>
      <x:c r="B17" s="22" t="str">
        <x:v>拾骨弯刀</x:v>
      </x:c>
      <x:c r="C17" s="22" t="str">
        <x:v>武器</x:v>
      </x:c>
      <x:c r="D17" s="38" t="n">
        <x:f>'02_单件比较输入'!D181/'02_单件比较输入'!D88</x:f>
        <x:v>0.875</x:v>
      </x:c>
      <x:c r="E17" s="38" t="n">
        <x:f>'02_单件比较输入'!Y181/'02_单件比较输入'!Y88</x:f>
        <x:v>0.9553508126065186</x:v>
      </x:c>
      <x:c r="F17" s="38" t="n">
        <x:f>'02_单件比较输入'!X181/'02_单件比较输入'!X88</x:f>
        <x:v>0.9706075568116344</x:v>
      </x:c>
      <x:c r="G17" s="22" t="n">
        <x:f>'02_单件比较输入'!N181-'02_单件比较输入'!N88</x:f>
        <x:v>-5300</x:v>
      </x:c>
      <x:c r="H17" s="22" t="n">
        <x:f>'02_单件比较输入'!Q181-'02_单件比较输入'!Q88</x:f>
        <x:v>0</x:v>
      </x:c>
      <x:c r="I17" s="22" t="n">
        <x:f>'02_单件比较输入'!R181-'02_单件比较输入'!R88</x:f>
        <x:v>0</x:v>
      </x:c>
      <x:c r="J17" s="22" t="n">
        <x:f>'02_单件比较输入'!S181-'02_单件比较输入'!S88</x:f>
        <x:v>0</x:v>
      </x:c>
      <x:c r="K17" s="22" t="str">
        <x:v>C2末图旧件允许在C3首图保值</x:v>
      </x:c>
    </x:row>
    <x:row r="18" ht="46" customHeight="1">
      <x:c r="A18" s="22" t="str">
        <x:v>火药锁链</x:v>
      </x:c>
      <x:c r="B18" s="22" t="str">
        <x:v>断旗战链</x:v>
      </x:c>
      <x:c r="C18" s="22" t="str">
        <x:v>项链</x:v>
      </x:c>
      <x:c r="D18" s="38" t="n">
        <x:f>'02_单件比较输入'!D182/'02_单件比较输入'!D90</x:f>
        <x:v>0.9428571428571428</x:v>
      </x:c>
      <x:c r="E18" s="38" t="n">
        <x:f>'02_单件比较输入'!Y182/'02_单件比较输入'!Y90</x:f>
        <x:v>0.746054622675853</x:v>
      </x:c>
      <x:c r="F18" s="38" t="n">
        <x:f>'02_单件比较输入'!X182/'02_单件比较输入'!X90</x:f>
        <x:v>0.9387416947985229</x:v>
      </x:c>
      <x:c r="G18" s="22" t="n">
        <x:f>'02_单件比较输入'!N182-'02_单件比较输入'!N90</x:f>
        <x:v>-5300</x:v>
      </x:c>
      <x:c r="H18" s="22" t="n">
        <x:f>'02_单件比较输入'!Q182-'02_单件比较输入'!Q90</x:f>
        <x:v>0</x:v>
      </x:c>
      <x:c r="I18" s="22" t="n">
        <x:f>'02_单件比较输入'!R182-'02_单件比较输入'!R90</x:f>
        <x:v>0</x:v>
      </x:c>
      <x:c r="J18" s="22" t="n">
        <x:f>'02_单件比较输入'!S182-'02_单件比较输入'!S90</x:f>
        <x:v>0</x:v>
      </x:c>
      <x:c r="K18" s="22" t="str">
        <x:v>后大陆首图普通不强制淘汰前大陆末图普通</x:v>
      </x:c>
    </x:row>
    <x:row r="19" ht="46" customHeight="1">
      <x:c r="A19" s="22" t="str">
        <x:v>百指腕甲</x:v>
      </x:c>
      <x:c r="B19" s="22" t="str">
        <x:v>掠风护腕</x:v>
      </x:c>
      <x:c r="C19" s="22" t="str">
        <x:v>手镯</x:v>
      </x:c>
      <x:c r="D19" s="38" t="n">
        <x:f>'02_单件比较输入'!D183/'02_单件比较输入'!D92</x:f>
        <x:v>0.8823529411764706</x:v>
      </x:c>
      <x:c r="E19" s="38" t="n">
        <x:f>'02_单件比较输入'!Y183/'02_单件比较输入'!Y92</x:f>
        <x:v>0.741275070260867</x:v>
      </x:c>
      <x:c r="F19" s="38" t="n">
        <x:f>'02_单件比较输入'!X183/'02_单件比较输入'!X92</x:f>
        <x:v>0.9486305564972763</x:v>
      </x:c>
      <x:c r="G19" s="22" t="n">
        <x:f>'02_单件比较输入'!N183-'02_单件比较输入'!N92</x:f>
        <x:v>-3800</x:v>
      </x:c>
      <x:c r="H19" s="22" t="n">
        <x:f>'02_单件比较输入'!Q183-'02_单件比较输入'!Q92</x:f>
        <x:v>0</x:v>
      </x:c>
      <x:c r="I19" s="22" t="n">
        <x:f>'02_单件比较输入'!R183-'02_单件比较输入'!R92</x:f>
        <x:v>0</x:v>
      </x:c>
      <x:c r="J19" s="22" t="n">
        <x:f>'02_单件比较输入'!S183-'02_单件比较输入'!S92</x:f>
        <x:v>0</x:v>
      </x:c>
      <x:c r="K19" s="22" t="str">
        <x:v>同槽基础与词条差异；无强制全字段上涨</x:v>
      </x:c>
    </x:row>
    <x:row r="20" ht="46" customHeight="1">
      <x:c r="A20" s="22" t="str">
        <x:v>王庭统领剑</x:v>
      </x:c>
      <x:c r="B20" s="22" t="str">
        <x:v>拾骨弯刀</x:v>
      </x:c>
      <x:c r="C20" s="22" t="str">
        <x:v>武器</x:v>
      </x:c>
      <x:c r="D20" s="38" t="n">
        <x:f>'02_单件比较输入'!D181/'02_单件比较输入'!D173</x:f>
        <x:v>1.0666666666666667</x:v>
      </x:c>
      <x:c r="E20" s="38" t="n">
        <x:f>'02_单件比较输入'!Y181/'02_单件比较输入'!Y173</x:f>
        <x:v>1.903793056745046</x:v>
      </x:c>
      <x:c r="F20" s="38" t="n">
        <x:f>'02_单件比较输入'!X181/'02_单件比较输入'!X173</x:f>
        <x:v>1.4442581832668204</x:v>
      </x:c>
      <x:c r="G20" s="22" t="n">
        <x:f>'02_单件比较输入'!N181-'02_单件比较输入'!N173</x:f>
        <x:v>16699</x:v>
      </x:c>
      <x:c r="H20" s="22" t="n">
        <x:f>'02_单件比较输入'!Q181-'02_单件比较输入'!Q173</x:f>
        <x:v>0</x:v>
      </x:c>
      <x:c r="I20" s="22" t="n">
        <x:f>'02_单件比较输入'!R181-'02_单件比较输入'!R173</x:f>
        <x:v>0</x:v>
      </x:c>
      <x:c r="J20" s="22" t="n">
        <x:f>'02_单件比较输入'!S181-'02_单件比较输入'!S173</x:f>
        <x:v>0</x:v>
      </x:c>
      <x:c r="K20" s="22" t="str">
        <x:v>制式末档→C3普通专属，体现常规升级价值</x:v>
      </x:c>
    </x:row>
    <x:row r="21" ht="46" customHeight="1">
      <x:c r="A21" s="22" t="str">
        <x:v>风暴王庭链</x:v>
      </x:c>
      <x:c r="B21" s="22" t="str">
        <x:v>断旗战链</x:v>
      </x:c>
      <x:c r="C21" s="22" t="str">
        <x:v>项链</x:v>
      </x:c>
      <x:c r="D21" s="38" t="n">
        <x:f>'02_单件比较输入'!D182/'02_单件比较输入'!D194</x:f>
        <x:v>0.5</x:v>
      </x:c>
      <x:c r="E21" s="38" t="n">
        <x:f>'02_单件比较输入'!Y182/'02_单件比较输入'!Y194</x:f>
        <x:v>0.3466758963694843</x:v>
      </x:c>
      <x:c r="F21" s="38" t="n">
        <x:f>'02_单件比较输入'!X182/'02_单件比较输入'!X194</x:f>
        <x:v>0.7345981041226819</x:v>
      </x:c>
      <x:c r="G21" s="22" t="n">
        <x:f>'02_单件比较输入'!N182-'02_单件比较输入'!N194</x:f>
        <x:v>-10000</x:v>
      </x:c>
      <x:c r="H21" s="22" t="n">
        <x:f>'02_单件比较输入'!Q182-'02_单件比较输入'!Q194</x:f>
        <x:v>0</x:v>
      </x:c>
      <x:c r="I21" s="22" t="n">
        <x:f>'02_单件比较输入'!R182-'02_单件比较输入'!R194</x:f>
        <x:v>0</x:v>
      </x:c>
      <x:c r="J21" s="22" t="n">
        <x:f>'02_单件比较输入'!S182-'02_单件比较输入'!S194</x:f>
        <x:v>0</x:v>
      </x:c>
      <x:c r="K21" s="22" t="str">
        <x:v>前大陆合成保值，不能用普通件立刻全面淘汰</x:v>
      </x:c>
    </x:row>
    <x:row r="22" ht="46" customHeight="1">
      <x:c r="A22" s="22" t="str">
        <x:v>百指接肢腕</x:v>
      </x:c>
      <x:c r="B22" s="22" t="str">
        <x:v>掠风护腕</x:v>
      </x:c>
      <x:c r="C22" s="22" t="str">
        <x:v>手镯</x:v>
      </x:c>
      <x:c r="D22" s="38" t="n">
        <x:f>'02_单件比较输入'!D183/'02_单件比较输入'!D195</x:f>
        <x:v>0.5</x:v>
      </x:c>
      <x:c r="E22" s="38" t="n">
        <x:f>'02_单件比较输入'!Y183/'02_单件比较输入'!Y195</x:f>
        <x:v>0.3416682122171178</x:v>
      </x:c>
      <x:c r="F22" s="38" t="n">
        <x:f>'02_单件比较输入'!X183/'02_单件比较输入'!X195</x:f>
        <x:v>0.7698564240811195</x:v>
      </x:c>
      <x:c r="G22" s="22" t="n">
        <x:f>'02_单件比较输入'!N183-'02_单件比较输入'!N195</x:f>
        <x:v>-10000</x:v>
      </x:c>
      <x:c r="H22" s="22" t="n">
        <x:f>'02_单件比较输入'!Q183-'02_单件比较输入'!Q195</x:f>
        <x:v>-1</x:v>
      </x:c>
      <x:c r="I22" s="22" t="n">
        <x:f>'02_单件比较输入'!R183-'02_单件比较输入'!R195</x:f>
        <x:v>0</x:v>
      </x:c>
      <x:c r="J22" s="22" t="n">
        <x:f>'02_单件比较输入'!S183-'02_单件比较输入'!S195</x:f>
        <x:v>0</x:v>
      </x:c>
      <x:c r="K22" s="22" t="str">
        <x:v>前大陆合成保值</x:v>
      </x:c>
    </x:row>
    <x:row r="23" ht="46" customHeight="1">
      <x:c r="A23" s="22" t="str">
        <x:v>王城断罪刃</x:v>
      </x:c>
      <x:c r="B23" s="22" t="str">
        <x:v>征风仪刃</x:v>
      </x:c>
      <x:c r="C23" s="22" t="str">
        <x:v>时装武器</x:v>
      </x:c>
      <x:c r="D23" s="38" t="n">
        <x:f>'02_单件比较输入'!D199/'02_单件比较输入'!D97</x:f>
        <x:v>1.1956521739130435</x:v>
      </x:c>
      <x:c r="E23" s="38" t="n">
        <x:f>'02_单件比较输入'!Y199/'02_单件比较输入'!Y97</x:f>
        <x:v>1.16269974864537</x:v>
      </x:c>
      <x:c r="F23" s="38" t="n">
        <x:f>'02_单件比较输入'!X199/'02_单件比较输入'!X97</x:f>
        <x:v>1.0995971333099464</x:v>
      </x:c>
      <x:c r="G23" s="22" t="n">
        <x:f>'02_单件比较输入'!N199-'02_单件比较输入'!N97</x:f>
        <x:v>3200</x:v>
      </x:c>
      <x:c r="H23" s="22" t="n">
        <x:f>'02_单件比较输入'!Q199-'02_单件比较输入'!Q97</x:f>
        <x:v>0</x:v>
      </x:c>
      <x:c r="I23" s="22" t="n">
        <x:f>'02_单件比较输入'!R199-'02_单件比较输入'!R97</x:f>
        <x:v>0</x:v>
      </x:c>
      <x:c r="J23" s="22" t="n">
        <x:f>'02_单件比较输入'!S199-'02_单件比较输入'!S97</x:f>
        <x:v>0</x:v>
      </x:c>
      <x:c r="K23" s="22" t="str">
        <x:v>C3末期时装BOSS作为后续接棒方向</x:v>
      </x:c>
    </x:row>
    <x:row r="24" ht="46" customHeight="1">
      <x:c r="A24" s="22" t="str">
        <x:v>百骸王衣</x:v>
      </x:c>
      <x:c r="B24" s="22" t="str">
        <x:v>失旗王袍</x:v>
      </x:c>
      <x:c r="C24" s="22" t="str">
        <x:v>时装衣服</x:v>
      </x:c>
      <x:c r="D24" s="38" t="n">
        <x:f>'02_单件比较输入'!D200/'02_单件比较输入'!D98</x:f>
        <x:v>1.2941176470588236</x:v>
      </x:c>
      <x:c r="E24" s="38" t="n">
        <x:f>'02_单件比较输入'!Y200/'02_单件比较输入'!Y98</x:f>
        <x:v>1.0937142857142859</x:v>
      </x:c>
      <x:c r="F24" s="38" t="n">
        <x:f>'02_单件比较输入'!X200/'02_单件比较输入'!X98</x:f>
        <x:v>1.0196407185628742</x:v>
      </x:c>
      <x:c r="G24" s="22" t="n">
        <x:f>'02_单件比较输入'!N200-'02_单件比较输入'!N98</x:f>
        <x:v>51800</x:v>
      </x:c>
      <x:c r="H24" s="22" t="n">
        <x:f>'02_单件比较输入'!Q200-'02_单件比较输入'!Q98</x:f>
        <x:v>-13</x:v>
      </x:c>
      <x:c r="I24" s="22" t="n">
        <x:f>'02_单件比较输入'!R200-'02_单件比较输入'!R98</x:f>
        <x:v>-1</x:v>
      </x:c>
      <x:c r="J24" s="22" t="n">
        <x:f>'02_单件比较输入'!S200-'02_单件比较输入'!S98</x:f>
        <x:v>0</x:v>
      </x:c>
      <x:c r="K24" s="22" t="str">
        <x:v>C3末期时装BOSS方向，实际吸收上限单列</x:v>
      </x:c>
    </x:row>
  </x:sheetData>
  <x:pageMargins left="0.7" right="0.7" top="0.75" bottom="0.75" header="0.3" footer="0.3"/>
  <x:tableParts count="1">
    <x:tablePart xmlns:r="http://schemas.openxmlformats.org/officeDocument/2006/relationships" r:id="R81308bb5bc5342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58" hidden="0" customWidth="1"/>
  </x:cols>
  <x:sheetData>
    <x:row r="1" ht="36" customHeight="1">
      <x:c r="A1" s="27" t="str">
        <x:v>基准件</x:v>
      </x:c>
      <x:c r="B1" s="27" t="str">
        <x:v>比较件</x:v>
      </x:c>
      <x:c r="C1" s="27" t="str">
        <x:v>其余攻击</x:v>
      </x:c>
      <x:c r="D1" s="27" t="str">
        <x:v>不含单件输出</x:v>
      </x:c>
      <x:c r="E1" s="27" t="str">
        <x:v>装基准输出</x:v>
      </x:c>
      <x:c r="F1" s="27" t="str">
        <x:v>装比较输出</x:v>
      </x:c>
      <x:c r="G1" s="27" t="str">
        <x:v>单件贡献比</x:v>
      </x:c>
      <x:c r="H1" s="27" t="str">
        <x:v>用途</x:v>
      </x:c>
    </x:row>
    <x:row r="2" ht="42" customHeight="1">
      <x:c r="A2" s="22" t="str">
        <x:v>沉没王权</x:v>
      </x:c>
      <x:c r="B2" s="22" t="str">
        <x:v>褪色墓刃</x:v>
      </x:c>
      <x:c r="C2" s="22" t="n">
        <x:v>600</x:v>
      </x:c>
      <x:c r="D2" s="34" t="n">
        <x:f>'01_比较参数'!$B$18*C2/'01_比较参数'!$B$2</x:f>
        <x:v>3993.158400000001</x:v>
      </x:c>
      <x:c r="E2" s="34" t="n">
        <x:f>'02_单件比较输入'!X37*(C2+'02_单件比较输入'!D37)/('01_比较参数'!$B$2+'02_单件比较输入'!D37)</x:f>
        <x:v>16304.595551999999</x:v>
      </x:c>
      <x:c r="F2" s="34" t="n">
        <x:f>'02_单件比较输入'!X40*(C2+'02_单件比较输入'!D40)/('01_比较参数'!$B$2+'02_单件比较输入'!D40)</x:f>
        <x:v>9817.475086540802</x:v>
      </x:c>
      <x:c r="G2" s="38" t="n">
        <x:f>(F2-D2)/(E2-D2)</x:f>
        <x:v>0.47308178684847024</x:v>
      </x:c>
      <x:c r="H2" s="22" t="str">
        <x:v>C2首图普通主手；旧BOSS不应被立即淘汰</x:v>
      </x:c>
    </x:row>
    <x:row r="3" ht="42" customHeight="1">
      <x:c r="A3" s="22" t="str">
        <x:v>沉没王权</x:v>
      </x:c>
      <x:c r="B3" s="22" t="str">
        <x:v>褪色墓刃</x:v>
      </x:c>
      <x:c r="C3" s="22" t="n">
        <x:v>1500</x:v>
      </x:c>
      <x:c r="D3" s="34" t="n">
        <x:f>'01_比较参数'!$B$18*C3/'01_比较参数'!$B$2</x:f>
        <x:v>9982.896000000002</x:v>
      </x:c>
      <x:c r="E3" s="34" t="n">
        <x:f>'02_单件比较输入'!X37*(C3+'02_单件比较输入'!D37)/('01_比较参数'!$B$2+'02_单件比较输入'!D37)</x:f>
        <x:v>28533.042215999998</x:v>
      </x:c>
      <x:c r="F3" s="34" t="n">
        <x:f>'02_单件比较输入'!X40*(C3+'02_单件比较输入'!D40)/('01_比较参数'!$B$2+'02_单件比较输入'!D40)</x:f>
        <x:v>18833.523635404803</x:v>
      </x:c>
      <x:c r="G3" s="38" t="n">
        <x:f>(F3-D3)/(E3-D3)</x:f>
        <x:v>0.4771190228016046</x:v>
      </x:c>
      <x:c r="H3" s="22" t="str">
        <x:v>C2首图普通主手；旧BOSS不应被立即淘汰</x:v>
      </x:c>
    </x:row>
    <x:row r="4" ht="42" customHeight="1">
      <x:c r="A4" s="22" t="str">
        <x:v>沉没王权</x:v>
      </x:c>
      <x:c r="B4" s="22" t="str">
        <x:v>褪色墓刃</x:v>
      </x:c>
      <x:c r="C4" s="22" t="n">
        <x:v>4000</x:v>
      </x:c>
      <x:c r="D4" s="34" t="n">
        <x:f>'01_比较参数'!$B$18*C4/'01_比较参数'!$B$2</x:f>
        <x:v>26621.056000000004</x:v>
      </x:c>
      <x:c r="E4" s="34" t="n">
        <x:f>'02_单件比较输入'!X37*(C4+'02_单件比较输入'!D37)/('01_比较参数'!$B$2+'02_单件比较输入'!D37)</x:f>
        <x:v>62500.94961599999</x:v>
      </x:c>
      <x:c r="F4" s="34" t="n">
        <x:f>'02_单件比较输入'!X40*(C4+'02_单件比较输入'!D40)/('01_比较参数'!$B$2+'02_单件比较输入'!D40)</x:f>
        <x:v>43878.102937804804</x:v>
      </x:c>
      <x:c r="G4" s="38" t="n">
        <x:f>(F4-D4)/(E4-D4)</x:f>
        <x:v>0.48096705978273396</x:v>
      </x:c>
      <x:c r="H4" s="22" t="str">
        <x:v>C2首图普通主手；旧BOSS不应被立即淘汰</x:v>
      </x:c>
    </x:row>
    <x:row r="5" ht="42" customHeight="1">
      <x:c r="A5" s="22" t="str">
        <x:v>沉没王权</x:v>
      </x:c>
      <x:c r="B5" s="22" t="str">
        <x:v>断旗军刀</x:v>
      </x:c>
      <x:c r="C5" s="22" t="n">
        <x:v>600</x:v>
      </x:c>
      <x:c r="D5" s="34" t="n">
        <x:f>'01_比较参数'!$B$18*C5/'01_比较参数'!$B$2</x:f>
        <x:v>3993.158400000001</x:v>
      </x:c>
      <x:c r="E5" s="34" t="n">
        <x:f>'02_单件比较输入'!X37*(C5+'02_单件比较输入'!D37)/('01_比较参数'!$B$2+'02_单件比较输入'!D37)</x:f>
        <x:v>16304.595551999999</x:v>
      </x:c>
      <x:c r="F5" s="34" t="n">
        <x:f>'02_单件比较输入'!X52*(C5+'02_单件比较输入'!D52)/('01_比较参数'!$B$2+'02_单件比较输入'!D52)</x:f>
        <x:v>11248.77694969728</x:v>
      </x:c>
      <x:c r="G5" s="38" t="n">
        <x:f>(F5-D5)/(E5-D5)</x:f>
        <x:v>0.5893396896006248</x:v>
      </x:c>
      <x:c r="H5" s="22" t="str">
        <x:v>图2是普通主手，不冒充稀有主手</x:v>
      </x:c>
    </x:row>
    <x:row r="6" ht="42" customHeight="1">
      <x:c r="A6" s="22" t="str">
        <x:v>沉没王权</x:v>
      </x:c>
      <x:c r="B6" s="22" t="str">
        <x:v>断旗军刀</x:v>
      </x:c>
      <x:c r="C6" s="22" t="n">
        <x:v>1500</x:v>
      </x:c>
      <x:c r="D6" s="34" t="n">
        <x:f>'01_比较参数'!$B$18*C6/'01_比较参数'!$B$2</x:f>
        <x:v>9982.896000000002</x:v>
      </x:c>
      <x:c r="E6" s="34" t="n">
        <x:f>'02_单件比较输入'!X37*(C6+'02_单件比较输入'!D37)/('01_比较参数'!$B$2+'02_单件比较输入'!D37)</x:f>
        <x:v>28533.042215999998</x:v>
      </x:c>
      <x:c r="F6" s="34" t="n">
        <x:f>'02_单件比较输入'!X52*(C6+'02_单件比较输入'!D52)/('01_比较参数'!$B$2+'02_单件比较输入'!D52)</x:f>
        <x:v>21794.50534003848</x:v>
      </x:c>
      <x:c r="G6" s="38" t="n">
        <x:f>(F6-D6)/(E6-D6)</x:f>
        <x:v>0.6367394198677878</x:v>
      </x:c>
      <x:c r="H6" s="22" t="str">
        <x:v>图2是普通主手，不冒充稀有主手</x:v>
      </x:c>
    </x:row>
    <x:row r="7" ht="42" customHeight="1">
      <x:c r="A7" s="22" t="str">
        <x:v>沉没王权</x:v>
      </x:c>
      <x:c r="B7" s="22" t="str">
        <x:v>断旗军刀</x:v>
      </x:c>
      <x:c r="C7" s="22" t="n">
        <x:v>4000</x:v>
      </x:c>
      <x:c r="D7" s="34" t="n">
        <x:f>'01_比较参数'!$B$18*C7/'01_比较参数'!$B$2</x:f>
        <x:v>26621.056000000004</x:v>
      </x:c>
      <x:c r="E7" s="34" t="n">
        <x:f>'02_单件比较输入'!X37*(C7+'02_单件比较输入'!D37)/('01_比较参数'!$B$2+'02_单件比较输入'!D37)</x:f>
        <x:v>62500.94961599999</x:v>
      </x:c>
      <x:c r="F7" s="34" t="n">
        <x:f>'02_单件比较输入'!X52*(C7+'02_单件比较输入'!D52)/('01_比较参数'!$B$2+'02_单件比较输入'!D52)</x:f>
        <x:v>51088.19531320849</x:v>
      </x:c>
      <x:c r="G7" s="38" t="n">
        <x:f>(F7-D7)/(E7-D7)</x:f>
        <x:v>0.6819178332874936</x:v>
      </x:c>
      <x:c r="H7" s="22" t="str">
        <x:v>图2是普通主手，不冒充稀有主手</x:v>
      </x:c>
    </x:row>
    <x:row r="8" ht="42" customHeight="1">
      <x:c r="A8" s="22" t="str">
        <x:v>沉没王权</x:v>
      </x:c>
      <x:c r="B8" s="22" t="str">
        <x:v>雾牙短刃</x:v>
      </x:c>
      <x:c r="C8" s="22" t="n">
        <x:v>600</x:v>
      </x:c>
      <x:c r="D8" s="34" t="n">
        <x:f>'01_比较参数'!$B$18*C8/'01_比较参数'!$B$2</x:f>
        <x:v>3993.158400000001</x:v>
      </x:c>
      <x:c r="E8" s="34" t="n">
        <x:f>'02_单件比较输入'!X37*(C8+'02_单件比较输入'!D37)/('01_比较参数'!$B$2+'02_单件比较输入'!D37)</x:f>
        <x:v>16304.595551999999</x:v>
      </x:c>
      <x:c r="F8" s="34" t="n">
        <x:f>'02_单件比较输入'!X64*(C8+'02_单件比较输入'!D64)/('01_比较参数'!$B$2+'02_单件比较输入'!D64)</x:f>
        <x:v>13350.954339923197</x:v>
      </x:c>
      <x:c r="G8" s="38" t="n">
        <x:f>(F8-D8)/(E8-D8)</x:f>
        <x:v>0.7600896487054736</x:v>
      </x:c>
      <x:c r="H8" s="22" t="str">
        <x:v>图3普通主手；保留旧BOSS处决/突破/爆率</x:v>
      </x:c>
    </x:row>
    <x:row r="9" ht="42" customHeight="1">
      <x:c r="A9" s="22" t="str">
        <x:v>沉没王权</x:v>
      </x:c>
      <x:c r="B9" s="22" t="str">
        <x:v>雾牙短刃</x:v>
      </x:c>
      <x:c r="C9" s="22" t="n">
        <x:v>1500</x:v>
      </x:c>
      <x:c r="D9" s="34" t="n">
        <x:f>'01_比较参数'!$B$18*C9/'01_比较参数'!$B$2</x:f>
        <x:v>9982.896000000002</x:v>
      </x:c>
      <x:c r="E9" s="34" t="n">
        <x:f>'02_单件比较输入'!X37*(C9+'02_单件比较输入'!D37)/('01_比较参数'!$B$2+'02_单件比较输入'!D37)</x:f>
        <x:v>28533.042215999998</x:v>
      </x:c>
      <x:c r="F9" s="34" t="n">
        <x:f>'02_单件比较输入'!X64*(C9+'02_单件比较输入'!D64)/('01_比较参数'!$B$2+'02_单件比较输入'!D64)</x:f>
        <x:v>24274.462436223996</x:v>
      </x:c>
      <x:c r="G9" s="38" t="n">
        <x:f>(F9-D9)/(E9-D9)</x:f>
        <x:v>0.7704287755908434</x:v>
      </x:c>
      <x:c r="H9" s="22" t="str">
        <x:v>图3普通主手；保留旧BOSS处决/突破/爆率</x:v>
      </x:c>
    </x:row>
    <x:row r="10" ht="42" customHeight="1">
      <x:c r="A10" s="22" t="str">
        <x:v>沉没王权</x:v>
      </x:c>
      <x:c r="B10" s="22" t="str">
        <x:v>雾牙短刃</x:v>
      </x:c>
      <x:c r="C10" s="22" t="n">
        <x:v>4000</x:v>
      </x:c>
      <x:c r="D10" s="34" t="n">
        <x:f>'01_比较参数'!$B$18*C10/'01_比较参数'!$B$2</x:f>
        <x:v>26621.056000000004</x:v>
      </x:c>
      <x:c r="E10" s="34" t="n">
        <x:f>'02_单件比较输入'!X37*(C10+'02_单件比较输入'!D37)/('01_比较参数'!$B$2+'02_单件比较输入'!D37)</x:f>
        <x:v>62500.94961599999</x:v>
      </x:c>
      <x:c r="F10" s="34" t="n">
        <x:f>'02_单件比较输入'!X64*(C10+'02_单件比较输入'!D64)/('01_比较参数'!$B$2+'02_单件比较输入'!D64)</x:f>
        <x:v>54617.540481503995</x:v>
      </x:c>
      <x:c r="G10" s="38" t="n">
        <x:f>(F10-D10)/(E10-D10)</x:f>
        <x:v>0.7802833748932708</x:v>
      </x:c>
      <x:c r="H10" s="22" t="str">
        <x:v>图3普通主手；保留旧BOSS处决/突破/爆率</x:v>
      </x:c>
    </x:row>
    <x:row r="11" ht="42" customHeight="1">
      <x:c r="A11" s="22" t="str">
        <x:v>沉没王权</x:v>
      </x:c>
      <x:c r="B11" s="22" t="str">
        <x:v>风羽战刃</x:v>
      </x:c>
      <x:c r="C11" s="22" t="n">
        <x:v>600</x:v>
      </x:c>
      <x:c r="D11" s="34" t="n">
        <x:f>'01_比较参数'!$B$18*C11/'01_比较参数'!$B$2</x:f>
        <x:v>3993.158400000001</x:v>
      </x:c>
      <x:c r="E11" s="34" t="n">
        <x:f>'02_单件比较输入'!X37*(C11+'02_单件比较输入'!D37)/('01_比较参数'!$B$2+'02_单件比较输入'!D37)</x:f>
        <x:v>16304.595551999999</x:v>
      </x:c>
      <x:c r="F11" s="34" t="n">
        <x:f>'02_单件比较输入'!X76*(C11+'02_单件比较输入'!D76)/('01_比较参数'!$B$2+'02_单件比较输入'!D76)</x:f>
        <x:v>14933.134605312003</x:v>
      </x:c>
      <x:c r="G11" s="38" t="n">
        <x:f>(F11-D11)/(E11-D11)</x:f>
        <x:v>0.8886026927843106</x:v>
      </x:c>
      <x:c r="H11" s="22" t="str">
        <x:v>图4高加成路线，比较环境不同可能取舍不同</x:v>
      </x:c>
    </x:row>
    <x:row r="12" ht="42" customHeight="1">
      <x:c r="A12" s="22" t="str">
        <x:v>沉没王权</x:v>
      </x:c>
      <x:c r="B12" s="22" t="str">
        <x:v>风羽战刃</x:v>
      </x:c>
      <x:c r="C12" s="22" t="n">
        <x:v>1500</x:v>
      </x:c>
      <x:c r="D12" s="34" t="n">
        <x:f>'01_比较参数'!$B$18*C12/'01_比较参数'!$B$2</x:f>
        <x:v>9982.896000000002</x:v>
      </x:c>
      <x:c r="E12" s="34" t="n">
        <x:f>'02_单件比较输入'!X37*(C12+'02_单件比较输入'!D37)/('01_比较参数'!$B$2+'02_单件比较输入'!D37)</x:f>
        <x:v>28533.042215999998</x:v>
      </x:c>
      <x:c r="F12" s="34" t="n">
        <x:f>'02_单件比较输入'!X76*(C12+'02_单件比较输入'!D76)/('01_比较参数'!$B$2+'02_单件比较输入'!D76)</x:f>
        <x:v>27612.211156992005</x:v>
      </x:c>
      <x:c r="G12" s="38" t="n">
        <x:f>(F12-D12)/(E12-D12)</x:f>
        <x:v>0.9503599029201316</x:v>
      </x:c>
      <x:c r="H12" s="22" t="str">
        <x:v>图4高加成路线，比较环境不同可能取舍不同</x:v>
      </x:c>
    </x:row>
    <x:row r="13" ht="42" customHeight="1">
      <x:c r="A13" s="22" t="str">
        <x:v>沉没王权</x:v>
      </x:c>
      <x:c r="B13" s="22" t="str">
        <x:v>风羽战刃</x:v>
      </x:c>
      <x:c r="C13" s="22" t="n">
        <x:v>4000</x:v>
      </x:c>
      <x:c r="D13" s="34" t="n">
        <x:f>'01_比较参数'!$B$18*C13/'01_比较参数'!$B$2</x:f>
        <x:v>26621.056000000004</x:v>
      </x:c>
      <x:c r="E13" s="34" t="n">
        <x:f>'02_单件比较输入'!X37*(C13+'02_单件比较输入'!D37)/('01_比较参数'!$B$2+'02_单件比较输入'!D37)</x:f>
        <x:v>62500.94961599999</x:v>
      </x:c>
      <x:c r="F13" s="34" t="n">
        <x:f>'02_单件比较输入'!X76*(C13+'02_单件比较输入'!D76)/('01_比较参数'!$B$2+'02_单件比较输入'!D76)</x:f>
        <x:v>62831.868244992016</x:v>
      </x:c>
      <x:c r="G13" s="38" t="n">
        <x:f>(F13-D13)/(E13-D13)</x:f>
        <x:v>1.009222954575441</x:v>
      </x:c>
      <x:c r="H13" s="22" t="str">
        <x:v>图4高加成路线，比较环境不同可能取舍不同</x:v>
      </x:c>
    </x:row>
    <x:row r="14" ht="42" customHeight="1">
      <x:c r="A14" s="22" t="str">
        <x:v>沉没王权</x:v>
      </x:c>
      <x:c r="B14" s="22" t="str">
        <x:v>流刑王刃</x:v>
      </x:c>
      <x:c r="C14" s="22" t="n">
        <x:v>600</x:v>
      </x:c>
      <x:c r="D14" s="34" t="n">
        <x:f>'01_比较参数'!$B$18*C14/'01_比较参数'!$B$2</x:f>
        <x:v>3993.158400000001</x:v>
      </x:c>
      <x:c r="E14" s="34" t="n">
        <x:f>'02_单件比较输入'!X37*(C14+'02_单件比较输入'!D37)/('01_比较参数'!$B$2+'02_单件比较输入'!D37)</x:f>
        <x:v>16304.595551999999</x:v>
      </x:c>
      <x:c r="F14" s="34" t="n">
        <x:f>'02_单件比较输入'!X88*(C14+'02_单件比较输入'!D88)/('01_比较参数'!$B$2+'02_单件比较输入'!D88)</x:f>
        <x:v>16928.409373568</x:v>
      </x:c>
      <x:c r="G14" s="38" t="n">
        <x:f>(F14-D14)/(E14-D14)</x:f>
        <x:v>1.0506694558779974</x:v>
      </x:c>
      <x:c r="H14" s="22" t="str">
        <x:v>C2末图普通主手接近/超过常规输出；旧BOSS保留稀有价值</x:v>
      </x:c>
    </x:row>
    <x:row r="15" ht="42" customHeight="1">
      <x:c r="A15" s="22" t="str">
        <x:v>沉没王权</x:v>
      </x:c>
      <x:c r="B15" s="22" t="str">
        <x:v>流刑王刃</x:v>
      </x:c>
      <x:c r="C15" s="22" t="n">
        <x:v>1500</x:v>
      </x:c>
      <x:c r="D15" s="34" t="n">
        <x:f>'01_比较参数'!$B$18*C15/'01_比较参数'!$B$2</x:f>
        <x:v>9982.896000000002</x:v>
      </x:c>
      <x:c r="E15" s="34" t="n">
        <x:f>'02_单件比较输入'!X37*(C15+'02_单件比较输入'!D37)/('01_比较参数'!$B$2+'02_单件比较输入'!D37)</x:f>
        <x:v>28533.042215999998</x:v>
      </x:c>
      <x:c r="F15" s="34" t="n">
        <x:f>'02_单件比较输入'!X88*(C15+'02_单件比较输入'!D88)/('01_比较参数'!$B$2+'02_单件比较输入'!D88)</x:f>
        <x:v>29215.158112447996</x:v>
      </x:c>
      <x:c r="G15" s="38" t="n">
        <x:f>(F15-D15)/(E15-D15)</x:f>
        <x:v>1.036771456596911</x:v>
      </x:c>
      <x:c r="H15" s="22" t="str">
        <x:v>C2末图普通主手接近/超过常规输出；旧BOSS保留稀有价值</x:v>
      </x:c>
    </x:row>
    <x:row r="16" ht="42" customHeight="1">
      <x:c r="A16" s="22" t="str">
        <x:v>沉没王权</x:v>
      </x:c>
      <x:c r="B16" s="22" t="str">
        <x:v>流刑王刃</x:v>
      </x:c>
      <x:c r="C16" s="22" t="n">
        <x:v>4000</x:v>
      </x:c>
      <x:c r="D16" s="34" t="n">
        <x:f>'01_比较参数'!$B$18*C16/'01_比较参数'!$B$2</x:f>
        <x:v>26621.056000000004</x:v>
      </x:c>
      <x:c r="E16" s="34" t="n">
        <x:f>'02_单件比较输入'!X37*(C16+'02_单件比较输入'!D37)/('01_比较参数'!$B$2+'02_单件比较输入'!D37)</x:f>
        <x:v>62500.94961599999</x:v>
      </x:c>
      <x:c r="F16" s="34" t="n">
        <x:f>'02_单件比较输入'!X88*(C16+'02_单件比较输入'!D88)/('01_比较参数'!$B$2+'02_单件比较输入'!D88)</x:f>
        <x:v>63345.015720448</x:v>
      </x:c>
      <x:c r="G16" s="38" t="n">
        <x:f>(F16-D16)/(E16-D16)</x:f>
        <x:v>1.0235247660843567</x:v>
      </x:c>
      <x:c r="H16" s="22" t="str">
        <x:v>C2末图普通主手接近/超过常规输出；旧BOSS保留稀有价值</x:v>
      </x:c>
    </x:row>
    <x:row r="17" ht="42" customHeight="1">
      <x:c r="A17" s="22" t="str">
        <x:v>沉没王权</x:v>
      </x:c>
      <x:c r="B17" s="22" t="str">
        <x:v>拾骨弯刀</x:v>
      </x:c>
      <x:c r="C17" s="22" t="n">
        <x:v>600</x:v>
      </x:c>
      <x:c r="D17" s="34" t="n">
        <x:f>'01_比较参数'!$B$18*C17/'01_比较参数'!$B$2</x:f>
        <x:v>3993.158400000001</x:v>
      </x:c>
      <x:c r="E17" s="34" t="n">
        <x:f>'02_单件比较输入'!X37*(C17+'02_单件比较输入'!D37)/('01_比较参数'!$B$2+'02_单件比较输入'!D37)</x:f>
        <x:v>16304.595551999999</x:v>
      </x:c>
      <x:c r="F17" s="34" t="n">
        <x:f>'02_单件比较输入'!X181*(C17+'02_单件比较输入'!D181)/('01_比较参数'!$B$2+'02_单件比较输入'!D181)</x:f>
        <x:v>15967.71153173347</x:v>
      </x:c>
      <x:c r="G17" s="38" t="n">
        <x:f>(F17-D17)/(E17-D17)</x:f>
        <x:v>0.9726364992074217</x:v>
      </x:c>
      <x:c r="H17" s="22" t="str">
        <x:v>C3首图普通主手：基础560对600，乘区补偿</x:v>
      </x:c>
    </x:row>
    <x:row r="18" ht="42" customHeight="1">
      <x:c r="A18" s="22" t="str">
        <x:v>沉没王权</x:v>
      </x:c>
      <x:c r="B18" s="22" t="str">
        <x:v>拾骨弯刀</x:v>
      </x:c>
      <x:c r="C18" s="22" t="n">
        <x:v>1500</x:v>
      </x:c>
      <x:c r="D18" s="34" t="n">
        <x:f>'01_比较参数'!$B$18*C18/'01_比较参数'!$B$2</x:f>
        <x:v>9982.896000000002</x:v>
      </x:c>
      <x:c r="E18" s="34" t="n">
        <x:f>'02_单件比较输入'!X37*(C18+'02_单件比较输入'!D37)/('01_比较参数'!$B$2+'02_单件比较输入'!D37)</x:f>
        <x:v>28533.042215999998</x:v>
      </x:c>
      <x:c r="F18" s="34" t="n">
        <x:f>'02_单件比较输入'!X181*(C18+'02_单件比较输入'!D181)/('01_比较参数'!$B$2+'02_单件比较输入'!D181)</x:f>
        <x:v>28356.45323738875</x:v>
      </x:c>
      <x:c r="G18" s="38" t="n">
        <x:f>(F18-D18)/(E18-D18)</x:f>
        <x:v>0.9904804535471029</x:v>
      </x:c>
      <x:c r="H18" s="22" t="str">
        <x:v>C3首图普通主手：基础560对600，乘区补偿</x:v>
      </x:c>
    </x:row>
    <x:row r="19" ht="42" customHeight="1">
      <x:c r="A19" s="22" t="str">
        <x:v>沉没王权</x:v>
      </x:c>
      <x:c r="B19" s="22" t="str">
        <x:v>拾骨弯刀</x:v>
      </x:c>
      <x:c r="C19" s="22" t="n">
        <x:v>4000</x:v>
      </x:c>
      <x:c r="D19" s="34" t="n">
        <x:f>'01_比较参数'!$B$18*C19/'01_比较参数'!$B$2</x:f>
        <x:v>26621.056000000004</x:v>
      </x:c>
      <x:c r="E19" s="34" t="n">
        <x:f>'02_单件比较输入'!X37*(C19+'02_单件比较输入'!D37)/('01_比较参数'!$B$2+'02_单件比较输入'!D37)</x:f>
        <x:v>62500.94961599999</x:v>
      </x:c>
      <x:c r="F19" s="34" t="n">
        <x:f>'02_单件比较输入'!X181*(C19+'02_单件比较输入'!D181)/('01_比较参数'!$B$2+'02_单件比较输入'!D181)</x:f>
        <x:v>62769.62464198674</x:v>
      </x:c>
      <x:c r="G19" s="38" t="n">
        <x:f>(F19-D19)/(E19-D19)</x:f>
        <x:v>1.007488177887655</x:v>
      </x:c>
      <x:c r="H19" s="22" t="str">
        <x:v>C3首图普通主手：基础560对600，乘区补偿</x:v>
      </x:c>
    </x:row>
    <x:row r="20" ht="42" customHeight="1">
      <x:c r="A20" s="22" t="str">
        <x:v>潮葬礼剑</x:v>
      </x:c>
      <x:c r="B20" s="22" t="str">
        <x:v>兽爪礼刃</x:v>
      </x:c>
      <x:c r="C20" s="22" t="n">
        <x:v>600</x:v>
      </x:c>
      <x:c r="D20" s="34" t="n">
        <x:f>'01_比较参数'!$B$18*C20/'01_比较参数'!$B$2</x:f>
        <x:v>3993.158400000001</x:v>
      </x:c>
      <x:c r="E20" s="34" t="n">
        <x:f>'02_单件比较输入'!X38*(C20+'02_单件比较输入'!D38)/('01_比较参数'!$B$2+'02_单件比较输入'!D38)</x:f>
        <x:v>9990.792249984</x:v>
      </x:c>
      <x:c r="F20" s="34" t="n">
        <x:f>'02_单件比较输入'!X60*(C20+'02_单件比较输入'!D60)/('01_比较参数'!$B$2+'02_单件比较输入'!D60)</x:f>
        <x:v>9768.14428464</x:v>
      </x:c>
      <x:c r="G20" s="38" t="n">
        <x:f>(F20-D20)/(E20-D20)</x:f>
        <x:v>0.9628773661558893</x:v>
      </x:c>
      <x:c r="H20" s="22" t="str">
        <x:v>真正同槽C1 BOSS→C2图2稀有：面板同为300</x:v>
      </x:c>
    </x:row>
    <x:row r="21" ht="42" customHeight="1">
      <x:c r="A21" s="22" t="str">
        <x:v>潮葬礼剑</x:v>
      </x:c>
      <x:c r="B21" s="22" t="str">
        <x:v>兽爪礼刃</x:v>
      </x:c>
      <x:c r="C21" s="22" t="n">
        <x:v>1500</x:v>
      </x:c>
      <x:c r="D21" s="34" t="n">
        <x:f>'01_比较参数'!$B$18*C21/'01_比较参数'!$B$2</x:f>
        <x:v>9982.896000000002</x:v>
      </x:c>
      <x:c r="E21" s="34" t="n">
        <x:f>'02_单件比较输入'!X38*(C21+'02_单件比较输入'!D38)/('01_比较参数'!$B$2+'02_单件比较输入'!D38)</x:f>
        <x:v>19981.584499968</x:v>
      </x:c>
      <x:c r="F21" s="34" t="n">
        <x:f>'02_单件比较输入'!X60*(C21+'02_单件比较输入'!D60)/('01_比较参数'!$B$2+'02_单件比较输入'!D60)</x:f>
        <x:v>19536.28856928</x:v>
      </x:c>
      <x:c r="G21" s="38" t="n">
        <x:f>(F21-D21)/(E21-D21)</x:f>
        <x:v>0.9554645661089026</x:v>
      </x:c>
      <x:c r="H21" s="22" t="str">
        <x:v>真正同槽C1 BOSS→C2图2稀有：面板同为300</x:v>
      </x:c>
    </x:row>
    <x:row r="22" ht="42" customHeight="1">
      <x:c r="A22" s="22" t="str">
        <x:v>潮葬礼剑</x:v>
      </x:c>
      <x:c r="B22" s="22" t="str">
        <x:v>兽爪礼刃</x:v>
      </x:c>
      <x:c r="C22" s="22" t="n">
        <x:v>4000</x:v>
      </x:c>
      <x:c r="D22" s="34" t="n">
        <x:f>'01_比较参数'!$B$18*C22/'01_比较参数'!$B$2</x:f>
        <x:v>26621.056000000004</x:v>
      </x:c>
      <x:c r="E22" s="34" t="n">
        <x:f>'02_单件比较输入'!X38*(C22+'02_单件比较输入'!D38)/('01_比较参数'!$B$2+'02_单件比较输入'!D38)</x:f>
        <x:v>47733.78519436801</x:v>
      </x:c>
      <x:c r="F22" s="34" t="n">
        <x:f>'02_单件比较输入'!X60*(C22+'02_单件比较输入'!D60)/('01_比较参数'!$B$2+'02_单件比较输入'!D60)</x:f>
        <x:v>46670.02269328</x:v>
      </x:c>
      <x:c r="G22" s="38" t="n">
        <x:f>(F22-D22)/(E22-D22)</x:f>
        <x:v>0.9496151117510769</x:v>
      </x:c>
      <x:c r="H22" s="22" t="str">
        <x:v>真正同槽C1 BOSS→C2图2稀有：面板同为300</x:v>
      </x:c>
    </x:row>
    <x:row r="23" ht="42" customHeight="1">
      <x:c r="A23" s="22" t="str">
        <x:v>无冠王衣</x:v>
      </x:c>
      <x:c r="B23" s="22" t="str">
        <x:v>破阵军袍</x:v>
      </x:c>
      <x:c r="C23" s="22" t="n">
        <x:v>600</x:v>
      </x:c>
      <x:c r="D23" s="34" t="n">
        <x:f>'01_比较参数'!$B$18*C23/'01_比较参数'!$B$2</x:f>
        <x:v>3993.158400000001</x:v>
      </x:c>
      <x:c r="E23" s="34" t="n">
        <x:f>'02_单件比较输入'!X39*(C23+'02_单件比较输入'!D39)/('01_比较参数'!$B$2+'02_单件比较输入'!D39)</x:f>
        <x:v>5336.311680000002</x:v>
      </x:c>
      <x:c r="F23" s="34" t="n">
        <x:f>'02_单件比较输入'!X61*(C23+'02_单件比较输入'!D61)/('01_比较参数'!$B$2+'02_单件比较输入'!D61)</x:f>
        <x:v>5336.311680000002</x:v>
      </x:c>
      <x:c r="G23" s="38" t="n">
        <x:f>(F23-D23)/(E23-D23)</x:f>
        <x:v>1</x:v>
      </x:c>
      <x:c r="H23" s="22" t="str">
        <x:v>真正同槽：面板同为120，旧BOSS保留更高韧性/吸收上限</x:v>
      </x:c>
    </x:row>
    <x:row r="24" ht="42" customHeight="1">
      <x:c r="A24" s="22" t="str">
        <x:v>无冠王衣</x:v>
      </x:c>
      <x:c r="B24" s="22" t="str">
        <x:v>破阵军袍</x:v>
      </x:c>
      <x:c r="C24" s="22" t="n">
        <x:v>1500</x:v>
      </x:c>
      <x:c r="D24" s="34" t="n">
        <x:f>'01_比较参数'!$B$18*C24/'01_比较参数'!$B$2</x:f>
        <x:v>9982.896000000002</x:v>
      </x:c>
      <x:c r="E24" s="34" t="n">
        <x:f>'02_单件比较输入'!X39*(C24+'02_单件比较输入'!D39)/('01_比较参数'!$B$2+'02_单件比较输入'!D39)</x:f>
        <x:v>12006.701280000003</x:v>
      </x:c>
      <x:c r="F24" s="34" t="n">
        <x:f>'02_单件比较输入'!X61*(C24+'02_单件比较输入'!D61)/('01_比较参数'!$B$2+'02_单件比较输入'!D61)</x:f>
        <x:v>12006.701280000003</x:v>
      </x:c>
      <x:c r="G24" s="38" t="n">
        <x:f>(F24-D24)/(E24-D24)</x:f>
        <x:v>1</x:v>
      </x:c>
      <x:c r="H24" s="22" t="str">
        <x:v>真正同槽：面板同为120，旧BOSS保留更高韧性/吸收上限</x:v>
      </x:c>
    </x:row>
    <x:row r="25" ht="42" customHeight="1">
      <x:c r="A25" s="22" t="str">
        <x:v>无冠王衣</x:v>
      </x:c>
      <x:c r="B25" s="22" t="str">
        <x:v>破阵军袍</x:v>
      </x:c>
      <x:c r="C25" s="22" t="n">
        <x:v>4000</x:v>
      </x:c>
      <x:c r="D25" s="34" t="n">
        <x:f>'01_比较参数'!$B$18*C25/'01_比较参数'!$B$2</x:f>
        <x:v>26621.056000000004</x:v>
      </x:c>
      <x:c r="E25" s="34" t="n">
        <x:f>'02_单件比较输入'!X39*(C25+'02_单件比较输入'!D39)/('01_比较参数'!$B$2+'02_单件比较输入'!D39)</x:f>
        <x:v>30535.56128000001</x:v>
      </x:c>
      <x:c r="F25" s="34" t="n">
        <x:f>'02_单件比较输入'!X61*(C25+'02_单件比较输入'!D61)/('01_比较参数'!$B$2+'02_单件比较输入'!D61)</x:f>
        <x:v>30535.56128000001</x:v>
      </x:c>
      <x:c r="G25" s="38" t="n">
        <x:f>(F25-D25)/(E25-D25)</x:f>
        <x:v>1</x:v>
      </x:c>
      <x:c r="H25" s="22" t="str">
        <x:v>真正同槽：面板同为120，旧BOSS保留更高韧性/吸收上限</x:v>
      </x:c>
    </x:row>
    <x:row r="26" ht="42" customHeight="1">
      <x:c r="A26" s="22" t="str">
        <x:v>潮葬礼剑</x:v>
      </x:c>
      <x:c r="B26" s="22" t="str">
        <x:v>百夫熔戟</x:v>
      </x:c>
      <x:c r="C26" s="22" t="n">
        <x:v>600</x:v>
      </x:c>
      <x:c r="D26" s="34" t="n">
        <x:f>'01_比较参数'!$B$18*C26/'01_比较参数'!$B$2</x:f>
        <x:v>3993.158400000001</x:v>
      </x:c>
      <x:c r="E26" s="34" t="n">
        <x:f>'02_单件比较输入'!X38*(C26+'02_单件比较输入'!D38)/('01_比较参数'!$B$2+'02_单件比较输入'!D38)</x:f>
        <x:v>9990.792249984</x:v>
      </x:c>
      <x:c r="F26" s="34" t="n">
        <x:f>'02_单件比较输入'!X84*(C26+'02_单件比较输入'!D84)/('01_比较参数'!$B$2+'02_单件比较输入'!D84)</x:f>
        <x:v>11813.620846366077</x:v>
      </x:c>
      <x:c r="G26" s="38" t="n">
        <x:f>(F26-D26)/(E26-D26)</x:f>
        <x:v>1.3039246212715936</x:v>
      </x:c>
      <x:c r="H26" s="22" t="str">
        <x:v>C2图4时装输出向升级，旧BOSS保留处决/突破</x:v>
      </x:c>
    </x:row>
    <x:row r="27" ht="42" customHeight="1">
      <x:c r="A27" s="22" t="str">
        <x:v>潮葬礼剑</x:v>
      </x:c>
      <x:c r="B27" s="22" t="str">
        <x:v>百夫熔戟</x:v>
      </x:c>
      <x:c r="C27" s="22" t="n">
        <x:v>1500</x:v>
      </x:c>
      <x:c r="D27" s="34" t="n">
        <x:f>'01_比较参数'!$B$18*C27/'01_比较参数'!$B$2</x:f>
        <x:v>9982.896000000002</x:v>
      </x:c>
      <x:c r="E27" s="34" t="n">
        <x:f>'02_单件比较输入'!X38*(C27+'02_单件比较输入'!D38)/('01_比较参数'!$B$2+'02_单件比较输入'!D38)</x:f>
        <x:v>19981.584499968</x:v>
      </x:c>
      <x:c r="F27" s="34" t="n">
        <x:f>'02_单件比较输入'!X84*(C27+'02_单件比较输入'!D84)/('01_比较参数'!$B$2+'02_单件比较输入'!D84)</x:f>
        <x:v>22831.505573546874</x:v>
      </x:c>
      <x:c r="G27" s="38" t="n">
        <x:f>(F27-D27)/(E27-D27)</x:f>
        <x:v>1.2850294889762786</x:v>
      </x:c>
      <x:c r="H27" s="22" t="str">
        <x:v>C2图4时装输出向升级，旧BOSS保留处决/突破</x:v>
      </x:c>
    </x:row>
    <x:row r="28" ht="42" customHeight="1">
      <x:c r="A28" s="22" t="str">
        <x:v>潮葬礼剑</x:v>
      </x:c>
      <x:c r="B28" s="22" t="str">
        <x:v>百夫熔戟</x:v>
      </x:c>
      <x:c r="C28" s="22" t="n">
        <x:v>4000</x:v>
      </x:c>
      <x:c r="D28" s="34" t="n">
        <x:f>'01_比较参数'!$B$18*C28/'01_比较参数'!$B$2</x:f>
        <x:v>26621.056000000004</x:v>
      </x:c>
      <x:c r="E28" s="34" t="n">
        <x:f>'02_单件比较输入'!X38*(C28+'02_单件比较输入'!D38)/('01_比较参数'!$B$2+'02_单件比较输入'!D38)</x:f>
        <x:v>47733.78519436801</x:v>
      </x:c>
      <x:c r="F28" s="34" t="n">
        <x:f>'02_单件比较输入'!X84*(C28+'02_单件比较输入'!D84)/('01_比较参数'!$B$2+'02_单件比较输入'!D84)</x:f>
        <x:v>53436.74092682686</x:v>
      </x:c>
      <x:c r="G28" s="38" t="n">
        <x:f>(F28-D28)/(E28-D28)</x:f>
        <x:v>1.2701193048021553</x:v>
      </x:c>
      <x:c r="H28" s="22" t="str">
        <x:v>C2图4时装输出向升级，旧BOSS保留处决/突破</x:v>
      </x:c>
    </x:row>
    <x:row r="29" ht="42" customHeight="1">
      <x:c r="A29" s="22" t="str">
        <x:v>潮葬礼剑</x:v>
      </x:c>
      <x:c r="B29" s="22" t="str">
        <x:v>王城断罪刃</x:v>
      </x:c>
      <x:c r="C29" s="22" t="n">
        <x:v>600</x:v>
      </x:c>
      <x:c r="D29" s="34" t="n">
        <x:f>'01_比较参数'!$B$18*C29/'01_比较参数'!$B$2</x:f>
        <x:v>3993.158400000001</x:v>
      </x:c>
      <x:c r="E29" s="34" t="n">
        <x:f>'02_单件比较输入'!X38*(C29+'02_单件比较输入'!D38)/('01_比较参数'!$B$2+'02_单件比较输入'!D38)</x:f>
        <x:v>9990.792249984</x:v>
      </x:c>
      <x:c r="F29" s="34" t="n">
        <x:f>'02_单件比较输入'!X97*(C29+'02_单件比较输入'!D97)/('01_比较参数'!$B$2+'02_单件比较输入'!D97)</x:f>
        <x:v>13920.21244494972</x:v>
      </x:c>
      <x:c r="G29" s="38" t="n">
        <x:f>(F29-D29)/(E29-D29)</x:f>
        <x:v>1.655161734318977</x:v>
      </x:c>
      <x:c r="H29" s="22" t="str">
        <x:v>C2末图时装接棒，保留不同处决/爆率价值</x:v>
      </x:c>
    </x:row>
    <x:row r="30" ht="42" customHeight="1">
      <x:c r="A30" s="22" t="str">
        <x:v>潮葬礼剑</x:v>
      </x:c>
      <x:c r="B30" s="22" t="str">
        <x:v>王城断罪刃</x:v>
      </x:c>
      <x:c r="C30" s="22" t="n">
        <x:v>1500</x:v>
      </x:c>
      <x:c r="D30" s="34" t="n">
        <x:f>'01_比较参数'!$B$18*C30/'01_比较参数'!$B$2</x:f>
        <x:v>9982.896000000002</x:v>
      </x:c>
      <x:c r="E30" s="34" t="n">
        <x:f>'02_单件比较输入'!X38*(C30+'02_单件比较输入'!D38)/('01_比较参数'!$B$2+'02_单件比较输入'!D38)</x:f>
        <x:v>19981.584499968</x:v>
      </x:c>
      <x:c r="F30" s="34" t="n">
        <x:f>'02_单件比较输入'!X97*(C30+'02_单件比较输入'!D97)/('01_比较参数'!$B$2+'02_单件比较输入'!D97)</x:f>
        <x:v>25739.26074726552</x:v>
      </x:c>
      <x:c r="G30" s="38" t="n">
        <x:f>(F30-D30)/(E30-D30)</x:f>
        <x:v>1.5758431465602663</x:v>
      </x:c>
      <x:c r="H30" s="22" t="str">
        <x:v>C2末图时装接棒，保留不同处决/爆率价值</x:v>
      </x:c>
    </x:row>
    <x:row r="31" ht="42" customHeight="1">
      <x:c r="A31" s="22" t="str">
        <x:v>潮葬礼剑</x:v>
      </x:c>
      <x:c r="B31" s="22" t="str">
        <x:v>王城断罪刃</x:v>
      </x:c>
      <x:c r="C31" s="22" t="n">
        <x:v>4000</x:v>
      </x:c>
      <x:c r="D31" s="34" t="n">
        <x:f>'01_比较参数'!$B$18*C31/'01_比较参数'!$B$2</x:f>
        <x:v>26621.056000000004</x:v>
      </x:c>
      <x:c r="E31" s="34" t="n">
        <x:f>'02_单件比较输入'!X38*(C31+'02_单件比较输入'!D38)/('01_比较参数'!$B$2+'02_单件比较输入'!D38)</x:f>
        <x:v>47733.78519436801</x:v>
      </x:c>
      <x:c r="F31" s="34" t="n">
        <x:f>'02_单件比较输入'!X97*(C31+'02_单件比较输入'!D97)/('01_比较参数'!$B$2+'02_单件比较输入'!D97)</x:f>
        <x:v>58569.95047592052</x:v>
      </x:c>
      <x:c r="G31" s="38" t="n">
        <x:f>(F31-D31)/(E31-D31)</x:f>
        <x:v>1.5132527008608225</x:v>
      </x:c>
      <x:c r="H31" s="22" t="str">
        <x:v>C2末图时装接棒，保留不同处决/爆率价值</x:v>
      </x:c>
    </x:row>
    <x:row r="32" ht="42" customHeight="1">
      <x:c r="A32" s="22" t="str">
        <x:v>无冠王衣</x:v>
      </x:c>
      <x:c r="B32" s="22" t="str">
        <x:v>百骸王衣</x:v>
      </x:c>
      <x:c r="C32" s="22" t="n">
        <x:v>600</x:v>
      </x:c>
      <x:c r="D32" s="34" t="n">
        <x:f>'01_比较参数'!$B$18*C32/'01_比较参数'!$B$2</x:f>
        <x:v>3993.158400000001</x:v>
      </x:c>
      <x:c r="E32" s="34" t="n">
        <x:f>'02_单件比较输入'!X39*(C32+'02_单件比较输入'!D39)/('01_比较参数'!$B$2+'02_单件比较输入'!D39)</x:f>
        <x:v>5336.311680000002</x:v>
      </x:c>
      <x:c r="F32" s="34" t="n">
        <x:f>'02_单件比较输入'!X98*(C32+'02_单件比较输入'!D98)/('01_比较参数'!$B$2+'02_单件比较输入'!D98)</x:f>
        <x:v>5823.356</x:v>
      </x:c>
      <x:c r="G32" s="38" t="n">
        <x:f>(F32-D32)/(E32-D32)</x:f>
        <x:v>1.362612612612611</x:v>
      </x:c>
      <x:c r="H32" s="22" t="str">
        <x:v>同槽新BOSS升级；不是拿主衣与时装衣混比</x:v>
      </x:c>
    </x:row>
    <x:row r="33" ht="42" customHeight="1">
      <x:c r="A33" s="22" t="str">
        <x:v>无冠王衣</x:v>
      </x:c>
      <x:c r="B33" s="22" t="str">
        <x:v>百骸王衣</x:v>
      </x:c>
      <x:c r="C33" s="22" t="n">
        <x:v>1500</x:v>
      </x:c>
      <x:c r="D33" s="34" t="n">
        <x:f>'01_比较参数'!$B$18*C33/'01_比较参数'!$B$2</x:f>
        <x:v>9982.896000000002</x:v>
      </x:c>
      <x:c r="E33" s="34" t="n">
        <x:f>'02_单件比较输入'!X39*(C33+'02_单件比较输入'!D39)/('01_比较参数'!$B$2+'02_单件比较输入'!D39)</x:f>
        <x:v>12006.701280000003</x:v>
      </x:c>
      <x:c r="F33" s="34" t="n">
        <x:f>'02_单件比较输入'!X98*(C33+'02_单件比较输入'!D98)/('01_比较参数'!$B$2+'02_单件比较输入'!D98)</x:f>
        <x:v>12629.876</x:v>
      </x:c>
      <x:c r="G33" s="38" t="n">
        <x:f>(F33-D33)/(E33-D33)</x:f>
        <x:v>1.3079222720478312</x:v>
      </x:c>
      <x:c r="H33" s="22" t="str">
        <x:v>同槽新BOSS升级；不是拿主衣与时装衣混比</x:v>
      </x:c>
    </x:row>
    <x:row r="34" ht="42" customHeight="1">
      <x:c r="A34" s="22" t="str">
        <x:v>无冠王衣</x:v>
      </x:c>
      <x:c r="B34" s="22" t="str">
        <x:v>百骸王衣</x:v>
      </x:c>
      <x:c r="C34" s="22" t="n">
        <x:v>4000</x:v>
      </x:c>
      <x:c r="D34" s="34" t="n">
        <x:f>'01_比较参数'!$B$18*C34/'01_比较参数'!$B$2</x:f>
        <x:v>26621.056000000004</x:v>
      </x:c>
      <x:c r="E34" s="34" t="n">
        <x:f>'02_单件比较输入'!X39*(C34+'02_单件比较输入'!D39)/('01_比较参数'!$B$2+'02_单件比较输入'!D39)</x:f>
        <x:v>30535.56128000001</x:v>
      </x:c>
      <x:c r="F34" s="34" t="n">
        <x:f>'02_单件比较输入'!X98*(C34+'02_单件比较输入'!D98)/('01_比较参数'!$B$2+'02_单件比较输入'!D98)</x:f>
        <x:v>31536.876</x:v>
      </x:c>
      <x:c r="G34" s="38" t="n">
        <x:f>(F34-D34)/(E34-D34)</x:f>
        <x:v>1.2557959814528568</x:v>
      </x:c>
      <x:c r="H34" s="22" t="str">
        <x:v>同槽新BOSS升级；不是拿主衣与时装衣混比</x:v>
      </x:c>
    </x:row>
    <x:row r="35" ht="42" customHeight="1">
      <x:c r="A35" s="22" t="str">
        <x:v>深潮王铠</x:v>
      </x:c>
      <x:c r="B35" s="22" t="str">
        <x:v>祖灵皮衣</x:v>
      </x:c>
      <x:c r="C35" s="22" t="n">
        <x:v>600</x:v>
      </x:c>
      <x:c r="D35" s="34" t="n">
        <x:f>'01_比较参数'!$B$18*C35/'01_比较参数'!$B$2</x:f>
        <x:v>3993.158400000001</x:v>
      </x:c>
      <x:c r="E35" s="34" t="n">
        <x:f>'02_单件比较输入'!X36*(C35+'02_单件比较输入'!D36)/('01_比较参数'!$B$2+'02_单件比较输入'!D36)</x:f>
        <x:v>5197.761183999999</x:v>
      </x:c>
      <x:c r="F35" s="34" t="n">
        <x:f>'02_单件比较输入'!X66*(C35+'02_单件比较输入'!D66)/('01_比较参数'!$B$2+'02_单件比较输入'!D66)</x:f>
        <x:v>4997.498240000002</x:v>
      </x:c>
      <x:c r="G35" s="38" t="n">
        <x:f>(F35-D35)/(E35-D35)</x:f>
        <x:v>0.8337518834756423</x:v>
      </x:c>
      <x:c r="H35" s="22" t="str">
        <x:v>C2图3普通衣服不应全面取代旧BOSS</x:v>
      </x:c>
    </x:row>
    <x:row r="36" ht="42" customHeight="1">
      <x:c r="A36" s="22" t="str">
        <x:v>深潮王铠</x:v>
      </x:c>
      <x:c r="B36" s="22" t="str">
        <x:v>祖灵皮衣</x:v>
      </x:c>
      <x:c r="C36" s="22" t="n">
        <x:v>1500</x:v>
      </x:c>
      <x:c r="D36" s="34" t="n">
        <x:f>'01_比较参数'!$B$18*C36/'01_比较参数'!$B$2</x:f>
        <x:v>9982.896000000002</x:v>
      </x:c>
      <x:c r="E36" s="34" t="n">
        <x:f>'02_单件比较输入'!X36*(C36+'02_单件比较输入'!D36)/('01_比较参数'!$B$2+'02_单件比较输入'!D36)</x:f>
        <x:v>11786.472544</x:v>
      </x:c>
      <x:c r="F36" s="34" t="n">
        <x:f>'02_单件比较输入'!X66*(C36+'02_单件比较输入'!D66)/('01_比较参数'!$B$2+'02_单件比较输入'!D66)</x:f>
        <x:v>11422.853120000003</x:v>
      </x:c>
      <x:c r="G36" s="38" t="n">
        <x:f>(F36-D36)/(E36-D36)</x:f>
        <x:v>0.7983898020798404</x:v>
      </x:c>
      <x:c r="H36" s="22" t="str">
        <x:v>C2图3普通衣服不应全面取代旧BOSS</x:v>
      </x:c>
    </x:row>
    <x:row r="37" ht="42" customHeight="1">
      <x:c r="A37" s="22" t="str">
        <x:v>深潮王铠</x:v>
      </x:c>
      <x:c r="B37" s="22" t="str">
        <x:v>祖灵皮衣</x:v>
      </x:c>
      <x:c r="C37" s="22" t="n">
        <x:v>4000</x:v>
      </x:c>
      <x:c r="D37" s="34" t="n">
        <x:f>'01_比较参数'!$B$18*C37/'01_比较参数'!$B$2</x:f>
        <x:v>26621.056000000004</x:v>
      </x:c>
      <x:c r="E37" s="34" t="n">
        <x:f>'02_单件比较输入'!X36*(C37+'02_单件比较输入'!D36)/('01_比较参数'!$B$2+'02_单件比较输入'!D36)</x:f>
        <x:v>30088.448543999995</x:v>
      </x:c>
      <x:c r="F37" s="34" t="n">
        <x:f>'02_单件比较输入'!X66*(C37+'02_单件比较输入'!D66)/('01_比较参数'!$B$2+'02_单件比较输入'!D66)</x:f>
        <x:v>29271.061120000006</x:v>
      </x:c>
      <x:c r="G37" s="38" t="n">
        <x:f>(F37-D37)/(E37-D37)</x:f>
        <x:v>0.7642645262606899</x:v>
      </x:c>
      <x:c r="H37" s="22" t="str">
        <x:v>C2图3普通衣服不应全面取代旧BOSS</x:v>
      </x:c>
    </x:row>
    <x:row r="38" ht="42" customHeight="1">
      <x:c r="A38" s="22" t="str">
        <x:v>深潮王铠</x:v>
      </x:c>
      <x:c r="B38" s="22" t="str">
        <x:v>失乡斧铠</x:v>
      </x:c>
      <x:c r="C38" s="22" t="n">
        <x:v>600</x:v>
      </x:c>
      <x:c r="D38" s="34" t="n">
        <x:f>'01_比较参数'!$B$18*C38/'01_比较参数'!$B$2</x:f>
        <x:v>3993.158400000001</x:v>
      </x:c>
      <x:c r="E38" s="34" t="n">
        <x:f>'02_单件比较输入'!X36*(C38+'02_单件比较输入'!D36)/('01_比较参数'!$B$2+'02_单件比较输入'!D36)</x:f>
        <x:v>5197.761183999999</x:v>
      </x:c>
      <x:c r="F38" s="34" t="n">
        <x:f>'02_单件比较输入'!X89*(C38+'02_单件比较输入'!D89)/('01_比较参数'!$B$2+'02_单件比较输入'!D89)</x:f>
        <x:v>5154.804480000001</x:v>
      </x:c>
      <x:c r="G38" s="38" t="n">
        <x:f>(F38-D38)/(E38-D38)</x:f>
        <x:v>0.9643395278754407</x:v>
      </x:c>
      <x:c r="H38" s="22" t="str">
        <x:v>C2末图主衣：HP/防御与吸收上限存在取舍</x:v>
      </x:c>
    </x:row>
    <x:row r="39" ht="42" customHeight="1">
      <x:c r="A39" s="22" t="str">
        <x:v>深潮王铠</x:v>
      </x:c>
      <x:c r="B39" s="22" t="str">
        <x:v>失乡斧铠</x:v>
      </x:c>
      <x:c r="C39" s="22" t="n">
        <x:v>1500</x:v>
      </x:c>
      <x:c r="D39" s="34" t="n">
        <x:f>'01_比较参数'!$B$18*C39/'01_比较参数'!$B$2</x:f>
        <x:v>9982.896000000002</x:v>
      </x:c>
      <x:c r="E39" s="34" t="n">
        <x:f>'02_单件比较输入'!X36*(C39+'02_单件比较输入'!D36)/('01_比较参数'!$B$2+'02_单件比较输入'!D36)</x:f>
        <x:v>11786.472544</x:v>
      </x:c>
      <x:c r="F39" s="34" t="n">
        <x:f>'02_单件比较输入'!X89*(C39+'02_单件比较输入'!D89)/('01_比较参数'!$B$2+'02_单件比较输入'!D89)</x:f>
        <x:v>11689.063680000001</x:v>
      </x:c>
      <x:c r="G39" s="38" t="n">
        <x:f>(F39-D39)/(E39-D39)</x:f>
        <x:v>0.9459912780945996</x:v>
      </x:c>
      <x:c r="H39" s="22" t="str">
        <x:v>C2末图主衣：HP/防御与吸收上限存在取舍</x:v>
      </x:c>
    </x:row>
    <x:row r="40" ht="42" customHeight="1">
      <x:c r="A40" s="22" t="str">
        <x:v>深潮王铠</x:v>
      </x:c>
      <x:c r="B40" s="22" t="str">
        <x:v>失乡斧铠</x:v>
      </x:c>
      <x:c r="C40" s="22" t="n">
        <x:v>4000</x:v>
      </x:c>
      <x:c r="D40" s="34" t="n">
        <x:f>'01_比较参数'!$B$18*C40/'01_比较参数'!$B$2</x:f>
        <x:v>26621.056000000004</x:v>
      </x:c>
      <x:c r="E40" s="34" t="n">
        <x:f>'02_单件比较输入'!X36*(C40+'02_单件比较输入'!D36)/('01_比较参数'!$B$2+'02_单件比较输入'!D36)</x:f>
        <x:v>30088.448543999995</x:v>
      </x:c>
      <x:c r="F40" s="34" t="n">
        <x:f>'02_单件比较输入'!X89*(C40+'02_单件比较输入'!D89)/('01_比较参数'!$B$2+'02_单件比较输入'!D89)</x:f>
        <x:v>29839.783680000004</x:v>
      </x:c>
      <x:c r="G40" s="38" t="n">
        <x:f>(F40-D40)/(E40-D40)</x:f>
        <x:v>0.9282847670563625</x:v>
      </x:c>
      <x:c r="H40" s="22" t="str">
        <x:v>C2末图主衣：HP/防御与吸收上限存在取舍</x:v>
      </x:c>
    </x:row>
    <x:row r="41" ht="42" customHeight="1">
      <x:c r="A41" s="22" t="str">
        <x:v>王庭秘戒</x:v>
      </x:c>
      <x:c r="B41" s="22" t="str">
        <x:v>断旗马戒</x:v>
      </x:c>
      <x:c r="C41" s="22" t="n">
        <x:v>600</x:v>
      </x:c>
      <x:c r="D41" s="34" t="n">
        <x:f>'01_比较参数'!$B$18*C41/'01_比较参数'!$B$2</x:f>
        <x:v>3993.158400000001</x:v>
      </x:c>
      <x:c r="E41" s="34" t="n">
        <x:f>'02_单件比较输入'!X28*(C41+'02_单件比较输入'!D28)/('01_比较参数'!$B$2+'02_单件比较输入'!D28)</x:f>
        <x:v>4936.943036906498</x:v>
      </x:c>
      <x:c r="F41" s="34" t="n">
        <x:f>'02_单件比较输入'!X57*(C41+'02_单件比较输入'!D57)/('01_比较参数'!$B$2+'02_单件比较输入'!D57)</x:f>
        <x:v>5117.546598749089</x:v>
      </x:c>
      <x:c r="G41" s="38" t="n">
        <x:f>(F41-D41)/(E41-D41)</x:f>
        <x:v>1.1913609893402877</x:v>
      </x:c>
      <x:c r="H41" s="22" t="str">
        <x:v>C2图2普通戒指渐进替换</x:v>
      </x:c>
    </x:row>
    <x:row r="42" ht="42" customHeight="1">
      <x:c r="A42" s="22" t="str">
        <x:v>王庭秘戒</x:v>
      </x:c>
      <x:c r="B42" s="22" t="str">
        <x:v>断旗马戒</x:v>
      </x:c>
      <x:c r="C42" s="22" t="n">
        <x:v>1500</x:v>
      </x:c>
      <x:c r="D42" s="34" t="n">
        <x:f>'01_比较参数'!$B$18*C42/'01_比较参数'!$B$2</x:f>
        <x:v>9982.896000000002</x:v>
      </x:c>
      <x:c r="E42" s="34" t="n">
        <x:f>'02_单件比较输入'!X28*(C42+'02_单件比较输入'!D28)/('01_比较参数'!$B$2+'02_单件比较输入'!D28)</x:f>
        <x:v>11699.878703901699</x:v>
      </x:c>
      <x:c r="F42" s="34" t="n">
        <x:f>'02_单件比较输入'!X57*(C42+'02_单件比较输入'!D57)/('01_比较参数'!$B$2+'02_单件比较输入'!D57)</x:f>
        <x:v>12074.936234510691</x:v>
      </x:c>
      <x:c r="G42" s="38" t="n">
        <x:f>(F42-D42)/(E42-D42)</x:f>
        <x:v>1.2184399002719748</x:v>
      </x:c>
      <x:c r="H42" s="22" t="str">
        <x:v>C2图2普通戒指渐进替换</x:v>
      </x:c>
    </x:row>
    <x:row r="43" ht="42" customHeight="1">
      <x:c r="A43" s="22" t="str">
        <x:v>王庭秘戒</x:v>
      </x:c>
      <x:c r="B43" s="22" t="str">
        <x:v>断旗马戒</x:v>
      </x:c>
      <x:c r="C43" s="22" t="n">
        <x:v>4000</x:v>
      </x:c>
      <x:c r="D43" s="34" t="n">
        <x:f>'01_比较参数'!$B$18*C43/'01_比较参数'!$B$2</x:f>
        <x:v>26621.056000000004</x:v>
      </x:c>
      <x:c r="E43" s="34" t="n">
        <x:f>'02_单件比较输入'!X28*(C43+'02_单件比较输入'!D28)/('01_比较参数'!$B$2+'02_单件比较输入'!D28)</x:f>
        <x:v>30485.8111122217</x:v>
      </x:c>
      <x:c r="F43" s="34" t="n">
        <x:f>'02_单件比较输入'!X57*(C43+'02_单件比较输入'!D57)/('01_比较参数'!$B$2+'02_单件比较输入'!D57)</x:f>
        <x:v>31401.018556070692</x:v>
      </x:c>
      <x:c r="G43" s="38" t="n">
        <x:f>(F43-D43)/(E43-D43)</x:f>
        <x:v>1.2368086508132914</x:v>
      </x:c>
      <x:c r="H43" s="22" t="str">
        <x:v>C2图2普通戒指渐进替换</x:v>
      </x:c>
    </x:row>
    <x:row r="44" ht="42" customHeight="1">
      <x:c r="A44" s="22" t="str">
        <x:v>王庭秘戒</x:v>
      </x:c>
      <x:c r="B44" s="22" t="str">
        <x:v>禁卫誓戒</x:v>
      </x:c>
      <x:c r="C44" s="22" t="n">
        <x:v>600</x:v>
      </x:c>
      <x:c r="D44" s="34" t="n">
        <x:f>'01_比较参数'!$B$18*C44/'01_比较参数'!$B$2</x:f>
        <x:v>3993.158400000001</x:v>
      </x:c>
      <x:c r="E44" s="34" t="n">
        <x:f>'02_单件比较输入'!X28*(C44+'02_单件比较输入'!D28)/('01_比较参数'!$B$2+'02_单件比较输入'!D28)</x:f>
        <x:v>4936.943036906498</x:v>
      </x:c>
      <x:c r="F44" s="34" t="n">
        <x:f>'02_单件比较输入'!X93*(C44+'02_单件比较输入'!D93)/('01_比较参数'!$B$2+'02_单件比较输入'!D93)</x:f>
        <x:v>5453.4133311840005</x:v>
      </x:c>
      <x:c r="G44" s="38" t="n">
        <x:f>(F44-D44)/(E44-D44)</x:f>
        <x:v>1.5472332077478723</x:v>
      </x:c>
      <x:c r="H44" s="22" t="str">
        <x:v>C2末图普通戒指常规输出接棒</x:v>
      </x:c>
    </x:row>
    <x:row r="45" ht="42" customHeight="1">
      <x:c r="A45" s="22" t="str">
        <x:v>王庭秘戒</x:v>
      </x:c>
      <x:c r="B45" s="22" t="str">
        <x:v>禁卫誓戒</x:v>
      </x:c>
      <x:c r="C45" s="22" t="n">
        <x:v>1500</x:v>
      </x:c>
      <x:c r="D45" s="34" t="n">
        <x:f>'01_比较参数'!$B$18*C45/'01_比较参数'!$B$2</x:f>
        <x:v>9982.896000000002</x:v>
      </x:c>
      <x:c r="E45" s="34" t="n">
        <x:f>'02_单件比较输入'!X28*(C45+'02_单件比较输入'!D28)/('01_比较参数'!$B$2+'02_单件比较输入'!D28)</x:f>
        <x:v>11699.878703901699</x:v>
      </x:c>
      <x:c r="F45" s="34" t="n">
        <x:f>'02_单件比较输入'!X93*(C45+'02_单件比较输入'!D93)/('01_比较参数'!$B$2+'02_单件比较输入'!D93)</x:f>
        <x:v>12757.091899734003</x:v>
      </x:c>
      <x:c r="G45" s="38" t="n">
        <x:f>(F45-D45)/(E45-D45)</x:f>
        <x:v>1.6157389899326753</x:v>
      </x:c>
      <x:c r="H45" s="22" t="str">
        <x:v>C2末图普通戒指常规输出接棒</x:v>
      </x:c>
    </x:row>
    <x:row r="46" ht="42" customHeight="1">
      <x:c r="A46" s="22" t="str">
        <x:v>王庭秘戒</x:v>
      </x:c>
      <x:c r="B46" s="22" t="str">
        <x:v>禁卫誓戒</x:v>
      </x:c>
      <x:c r="C46" s="22" t="n">
        <x:v>4000</x:v>
      </x:c>
      <x:c r="D46" s="34" t="n">
        <x:f>'01_比较参数'!$B$18*C46/'01_比较参数'!$B$2</x:f>
        <x:v>26621.056000000004</x:v>
      </x:c>
      <x:c r="E46" s="34" t="n">
        <x:f>'02_单件比较输入'!X28*(C46+'02_单件比较输入'!D28)/('01_比较参数'!$B$2+'02_单件比较输入'!D28)</x:f>
        <x:v>30485.8111122217</x:v>
      </x:c>
      <x:c r="F46" s="34" t="n">
        <x:f>'02_单件比较输入'!X93*(C46+'02_单件比较输入'!D93)/('01_比较参数'!$B$2+'02_单件比较输入'!D93)</x:f>
        <x:v>33045.087923484</x:v>
      </x:c>
      <x:c r="G46" s="38" t="n">
        <x:f>(F46-D46)/(E46-D46)</x:f>
        <x:v>1.6622093087266978</x:v>
      </x:c>
      <x:c r="H46" s="22" t="str">
        <x:v>C2末图普通戒指常规输出接棒</x:v>
      </x:c>
    </x:row>
    <x:row r="47" ht="42" customHeight="1">
      <x:c r="A47" s="22" t="str">
        <x:v>流刑王刃</x:v>
      </x:c>
      <x:c r="B47" s="22" t="str">
        <x:v>拾骨弯刀</x:v>
      </x:c>
      <x:c r="C47" s="22" t="n">
        <x:v>600</x:v>
      </x:c>
      <x:c r="D47" s="34" t="n">
        <x:f>'01_比较参数'!$B$18*C47/'01_比较参数'!$B$2</x:f>
        <x:v>3993.158400000001</x:v>
      </x:c>
      <x:c r="E47" s="34" t="n">
        <x:f>'02_单件比较输入'!X88*(C47+'02_单件比较输入'!D88)/('01_比较参数'!$B$2+'02_单件比较输入'!D88)</x:f>
        <x:v>16928.409373568</x:v>
      </x:c>
      <x:c r="F47" s="34" t="n">
        <x:f>'02_单件比较输入'!X181*(C47+'02_单件比较输入'!D181)/('01_比较参数'!$B$2+'02_单件比较输入'!D181)</x:f>
        <x:v>15967.71153173347</x:v>
      </x:c>
      <x:c r="G47" s="38" t="n">
        <x:f>(F47-D47)/(E47-D47)</x:f>
        <x:v>0.9257302510946537</x:v>
      </x:c>
      <x:c r="H47" s="22" t="str">
        <x:v>C2末图旧件允许在C3首图保值</x:v>
      </x:c>
    </x:row>
    <x:row r="48" ht="42" customHeight="1">
      <x:c r="A48" s="22" t="str">
        <x:v>流刑王刃</x:v>
      </x:c>
      <x:c r="B48" s="22" t="str">
        <x:v>拾骨弯刀</x:v>
      </x:c>
      <x:c r="C48" s="22" t="n">
        <x:v>1500</x:v>
      </x:c>
      <x:c r="D48" s="34" t="n">
        <x:f>'01_比较参数'!$B$18*C48/'01_比较参数'!$B$2</x:f>
        <x:v>9982.896000000002</x:v>
      </x:c>
      <x:c r="E48" s="34" t="n">
        <x:f>'02_单件比较输入'!X88*(C48+'02_单件比较输入'!D88)/('01_比较参数'!$B$2+'02_单件比较输入'!D88)</x:f>
        <x:v>29215.158112447996</x:v>
      </x:c>
      <x:c r="F48" s="34" t="n">
        <x:f>'02_单件比较输入'!X181*(C48+'02_单件比较输入'!D181)/('01_比较参数'!$B$2+'02_单件比较输入'!D181)</x:f>
        <x:v>28356.45323738875</x:v>
      </x:c>
      <x:c r="G48" s="38" t="n">
        <x:f>(F48-D48)/(E48-D48)</x:f>
        <x:v>0.9553508126065186</x:v>
      </x:c>
      <x:c r="H48" s="22" t="str">
        <x:v>C2末图旧件允许在C3首图保值</x:v>
      </x:c>
    </x:row>
    <x:row r="49" ht="42" customHeight="1">
      <x:c r="A49" s="22" t="str">
        <x:v>流刑王刃</x:v>
      </x:c>
      <x:c r="B49" s="22" t="str">
        <x:v>拾骨弯刀</x:v>
      </x:c>
      <x:c r="C49" s="22" t="n">
        <x:v>4000</x:v>
      </x:c>
      <x:c r="D49" s="34" t="n">
        <x:f>'01_比较参数'!$B$18*C49/'01_比较参数'!$B$2</x:f>
        <x:v>26621.056000000004</x:v>
      </x:c>
      <x:c r="E49" s="34" t="n">
        <x:f>'02_单件比较输入'!X88*(C49+'02_单件比较输入'!D88)/('01_比较参数'!$B$2+'02_单件比较输入'!D88)</x:f>
        <x:v>63345.015720448</x:v>
      </x:c>
      <x:c r="F49" s="34" t="n">
        <x:f>'02_单件比较输入'!X181*(C49+'02_单件比较输入'!D181)/('01_比较参数'!$B$2+'02_单件比较输入'!D181)</x:f>
        <x:v>62769.62464198674</x:v>
      </x:c>
      <x:c r="G49" s="38" t="n">
        <x:f>(F49-D49)/(E49-D49)</x:f>
        <x:v>0.9843319978879924</x:v>
      </x:c>
      <x:c r="H49" s="22" t="str">
        <x:v>C2末图旧件允许在C3首图保值</x:v>
      </x:c>
    </x:row>
    <x:row r="50" ht="42" customHeight="1">
      <x:c r="A50" s="22" t="str">
        <x:v>火药锁链</x:v>
      </x:c>
      <x:c r="B50" s="22" t="str">
        <x:v>断旗战链</x:v>
      </x:c>
      <x:c r="C50" s="22" t="n">
        <x:v>600</x:v>
      </x:c>
      <x:c r="D50" s="34" t="n">
        <x:f>'01_比较参数'!$B$18*C50/'01_比较参数'!$B$2</x:f>
        <x:v>3993.158400000001</x:v>
      </x:c>
      <x:c r="E50" s="34" t="n">
        <x:f>'02_单件比较输入'!X90*(C50+'02_单件比较输入'!D90)/('01_比较参数'!$B$2+'02_单件比较输入'!D90)</x:f>
        <x:v>5614.6078809688</x:v>
      </x:c>
      <x:c r="F50" s="34" t="n">
        <x:f>'02_单件比较输入'!X182*(C50+'02_单件比较输入'!D182)/('01_比较参数'!$B$2+'02_单件比较输入'!D182)</x:f>
        <x:v>5252.582227132801</x:v>
      </x:c>
      <x:c r="G50" s="38" t="n">
        <x:f>(F50-D50)/(E50-D50)</x:f>
        <x:v>0.7767271456279399</x:v>
      </x:c>
      <x:c r="H50" s="22" t="str">
        <x:v>后大陆首图普通不强制淘汰前大陆末图普通</x:v>
      </x:c>
    </x:row>
    <x:row r="51" ht="42" customHeight="1">
      <x:c r="A51" s="22" t="str">
        <x:v>火药锁链</x:v>
      </x:c>
      <x:c r="B51" s="22" t="str">
        <x:v>断旗战链</x:v>
      </x:c>
      <x:c r="C51" s="22" t="n">
        <x:v>1500</x:v>
      </x:c>
      <x:c r="D51" s="34" t="n">
        <x:f>'01_比较参数'!$B$18*C51/'01_比较参数'!$B$2</x:f>
        <x:v>9982.896000000002</x:v>
      </x:c>
      <x:c r="E51" s="34" t="n">
        <x:f>'02_单件比较输入'!X90*(C51+'02_单件比较输入'!D90)/('01_比较参数'!$B$2+'02_单件比较输入'!D90)</x:f>
        <x:v>13156.618467344799</x:v>
      </x:c>
      <x:c r="F51" s="34" t="n">
        <x:f>'02_单件比较输入'!X182*(C51+'02_单件比较输入'!D182)/('01_比较参数'!$B$2+'02_单件比较输入'!D182)</x:f>
        <x:v>12350.666317852802</x:v>
      </x:c>
      <x:c r="G51" s="38" t="n">
        <x:f>(F51-D51)/(E51-D51)</x:f>
        <x:v>0.746054622675853</x:v>
      </x:c>
      <x:c r="H51" s="22" t="str">
        <x:v>后大陆首图普通不强制淘汰前大陆末图普通</x:v>
      </x:c>
    </x:row>
    <x:row r="52" ht="42" customHeight="1">
      <x:c r="A52" s="22" t="str">
        <x:v>火药锁链</x:v>
      </x:c>
      <x:c r="B52" s="22" t="str">
        <x:v>断旗战链</x:v>
      </x:c>
      <x:c r="C52" s="22" t="n">
        <x:v>4000</x:v>
      </x:c>
      <x:c r="D52" s="34" t="n">
        <x:f>'01_比较参数'!$B$18*C52/'01_比较参数'!$B$2</x:f>
        <x:v>26621.056000000004</x:v>
      </x:c>
      <x:c r="E52" s="34" t="n">
        <x:f>'02_单件比较输入'!X90*(C52+'02_单件比较输入'!D90)/('01_比较参数'!$B$2+'02_单件比较输入'!D90)</x:f>
        <x:v>34106.6478739448</x:v>
      </x:c>
      <x:c r="F52" s="34" t="n">
        <x:f>'02_单件比较输入'!X182*(C52+'02_单件比较输入'!D182)/('01_比较参数'!$B$2+'02_单件比较输入'!D182)</x:f>
        <x:v>32067.566569852803</x:v>
      </x:c>
      <x:c r="G52" s="38" t="n">
        <x:f>(F52-D52)/(E52-D52)</x:f>
        <x:v>0.7275991880896612</x:v>
      </x:c>
      <x:c r="H52" s="22" t="str">
        <x:v>后大陆首图普通不强制淘汰前大陆末图普通</x:v>
      </x:c>
    </x:row>
    <x:row r="53" ht="42" customHeight="1">
      <x:c r="A53" s="22" t="str">
        <x:v>百指腕甲</x:v>
      </x:c>
      <x:c r="B53" s="22" t="str">
        <x:v>掠风护腕</x:v>
      </x:c>
      <x:c r="C53" s="22" t="n">
        <x:v>600</x:v>
      </x:c>
      <x:c r="D53" s="34" t="n">
        <x:f>'01_比较参数'!$B$18*C53/'01_比较参数'!$B$2</x:f>
        <x:v>3993.158400000001</x:v>
      </x:c>
      <x:c r="E53" s="34" t="n">
        <x:f>'02_单件比较输入'!X92*(C53+'02_单件比较输入'!D92)/('01_比较参数'!$B$2+'02_单件比较输入'!D92)</x:f>
        <x:v>5306.518688581823</x:v>
      </x:c>
      <x:c r="F53" s="34" t="n">
        <x:f>'02_单件比较输入'!X183*(C53+'02_单件比较输入'!D183)/('01_比较参数'!$B$2+'02_单件比较输入'!D183)</x:f>
        <x:v>4999.145082624001</x:v>
      </x:c>
      <x:c r="G53" s="38" t="n">
        <x:f>(F53-D53)/(E53-D53)</x:f>
        <x:v>0.7659639867063994</x:v>
      </x:c>
      <x:c r="H53" s="22" t="str">
        <x:v>同槽基础与词条差异；无强制全字段上涨</x:v>
      </x:c>
    </x:row>
    <x:row r="54" ht="42" customHeight="1">
      <x:c r="A54" s="22" t="str">
        <x:v>百指腕甲</x:v>
      </x:c>
      <x:c r="B54" s="22" t="str">
        <x:v>掠风护腕</x:v>
      </x:c>
      <x:c r="C54" s="22" t="n">
        <x:v>1500</x:v>
      </x:c>
      <x:c r="D54" s="34" t="n">
        <x:f>'01_比较参数'!$B$18*C54/'01_比较参数'!$B$2</x:f>
        <x:v>9982.896000000002</x:v>
      </x:c>
      <x:c r="E54" s="34" t="n">
        <x:f>'02_单件比较输入'!X92*(C54+'02_单件比较输入'!D92)/('01_比较参数'!$B$2+'02_单件比较输入'!D92)</x:f>
        <x:v>12456.019915713023</x:v>
      </x:c>
      <x:c r="F54" s="34" t="n">
        <x:f>'02_单件比较输入'!X183*(C54+'02_单件比较输入'!D183)/('01_比较参数'!$B$2+'02_单件比较输入'!D183)</x:f>
        <x:v>11816.161104384002</x:v>
      </x:c>
      <x:c r="G54" s="38" t="n">
        <x:f>(F54-D54)/(E54-D54)</x:f>
        <x:v>0.741275070260867</x:v>
      </x:c>
      <x:c r="H54" s="22" t="str">
        <x:v>同槽基础与词条差异；无强制全字段上涨</x:v>
      </x:c>
    </x:row>
    <x:row r="55" ht="42" customHeight="1">
      <x:c r="A55" s="22" t="str">
        <x:v>百指腕甲</x:v>
      </x:c>
      <x:c r="B55" s="22" t="str">
        <x:v>掠风护腕</x:v>
      </x:c>
      <x:c r="C55" s="22" t="n">
        <x:v>4000</x:v>
      </x:c>
      <x:c r="D55" s="34" t="n">
        <x:f>'01_比较参数'!$B$18*C55/'01_比较参数'!$B$2</x:f>
        <x:v>26621.056000000004</x:v>
      </x:c>
      <x:c r="E55" s="34" t="n">
        <x:f>'02_单件比较输入'!X92*(C55+'02_单件比较输入'!D92)/('01_比较参数'!$B$2+'02_单件比较输入'!D92)</x:f>
        <x:v>32315.74554663302</x:v>
      </x:c>
      <x:c r="F55" s="34" t="n">
        <x:f>'02_单件比较输入'!X183*(C55+'02_单件比较输入'!D183)/('01_比较参数'!$B$2+'02_单件比较输入'!D183)</x:f>
        <x:v>30752.316720384006</x:v>
      </x:c>
      <x:c r="G55" s="38" t="n">
        <x:f>(F55-D55)/(E55-D55)</x:f>
        <x:v>0.7254584620555141</x:v>
      </x:c>
      <x:c r="H55" s="22" t="str">
        <x:v>同槽基础与词条差异；无强制全字段上涨</x:v>
      </x:c>
    </x:row>
    <x:row r="56" ht="42" customHeight="1">
      <x:c r="A56" s="22" t="str">
        <x:v>王庭统领剑</x:v>
      </x:c>
      <x:c r="B56" s="22" t="str">
        <x:v>拾骨弯刀</x:v>
      </x:c>
      <x:c r="C56" s="22" t="n">
        <x:v>600</x:v>
      </x:c>
      <x:c r="D56" s="34" t="n">
        <x:f>'01_比较参数'!$B$18*C56/'01_比较参数'!$B$2</x:f>
        <x:v>3993.158400000001</x:v>
      </x:c>
      <x:c r="E56" s="34" t="n">
        <x:f>'02_单件比较输入'!X173*(C56+'02_单件比较输入'!D173)/('01_比较参数'!$B$2+'02_单件比较输入'!D173)</x:f>
        <x:v>10907.734721121002</x:v>
      </x:c>
      <x:c r="F56" s="34" t="n">
        <x:f>'02_单件比较输入'!X181*(C56+'02_单件比较输入'!D181)/('01_比较参数'!$B$2+'02_单件比较输入'!D181)</x:f>
        <x:v>15967.71153173347</x:v>
      </x:c>
      <x:c r="G56" s="38" t="n">
        <x:f>(F56-D56)/(E56-D56)</x:f>
        <x:v>1.7317840711594223</x:v>
      </x:c>
      <x:c r="H56" s="22" t="str">
        <x:v>制式末档→C3普通专属，体现常规升级价值</x:v>
      </x:c>
    </x:row>
    <x:row r="57" ht="42" customHeight="1">
      <x:c r="A57" s="22" t="str">
        <x:v>王庭统领剑</x:v>
      </x:c>
      <x:c r="B57" s="22" t="str">
        <x:v>拾骨弯刀</x:v>
      </x:c>
      <x:c r="C57" s="22" t="n">
        <x:v>1500</x:v>
      </x:c>
      <x:c r="D57" s="34" t="n">
        <x:f>'01_比较参数'!$B$18*C57/'01_比较参数'!$B$2</x:f>
        <x:v>9982.896000000002</x:v>
      </x:c>
      <x:c r="E57" s="34" t="n">
        <x:f>'02_单件比较输入'!X173*(C57+'02_单件比较输入'!D173)/('01_比较参数'!$B$2+'02_单件比较输入'!D173)</x:f>
        <x:v>19633.922498017804</x:v>
      </x:c>
      <x:c r="F57" s="34" t="n">
        <x:f>'02_单件比较输入'!X181*(C57+'02_单件比较输入'!D181)/('01_比较参数'!$B$2+'02_单件比较输入'!D181)</x:f>
        <x:v>28356.45323738875</x:v>
      </x:c>
      <x:c r="G57" s="38" t="n">
        <x:f>(F57-D57)/(E57-D57)</x:f>
        <x:v>1.903793056745046</x:v>
      </x:c>
      <x:c r="H57" s="22" t="str">
        <x:v>制式末档→C3普通专属，体现常规升级价值</x:v>
      </x:c>
    </x:row>
    <x:row r="58" ht="42" customHeight="1">
      <x:c r="A58" s="22" t="str">
        <x:v>王庭统领剑</x:v>
      </x:c>
      <x:c r="B58" s="22" t="str">
        <x:v>拾骨弯刀</x:v>
      </x:c>
      <x:c r="C58" s="22" t="n">
        <x:v>4000</x:v>
      </x:c>
      <x:c r="D58" s="34" t="n">
        <x:f>'01_比较参数'!$B$18*C58/'01_比较参数'!$B$2</x:f>
        <x:v>26621.056000000004</x:v>
      </x:c>
      <x:c r="E58" s="34" t="n">
        <x:f>'02_单件比较输入'!X173*(C58+'02_单件比较输入'!D173)/('01_比较参数'!$B$2+'02_单件比较输入'!D173)</x:f>
        <x:v>43873.33298939781</x:v>
      </x:c>
      <x:c r="F58" s="34" t="n">
        <x:f>'02_单件比较输入'!X181*(C58+'02_单件比较输入'!D181)/('01_比较参数'!$B$2+'02_单件比较输入'!D181)</x:f>
        <x:v>62769.62464198674</x:v>
      </x:c>
      <x:c r="G58" s="38" t="n">
        <x:f>(F58-D58)/(E58-D58)</x:f>
        <x:v>2.0952926192989736</x:v>
      </x:c>
      <x:c r="H58" s="22" t="str">
        <x:v>制式末档→C3普通专属，体现常规升级价值</x:v>
      </x:c>
    </x:row>
    <x:row r="59" ht="42" customHeight="1">
      <x:c r="A59" s="22" t="str">
        <x:v>风暴王庭链</x:v>
      </x:c>
      <x:c r="B59" s="22" t="str">
        <x:v>断旗战链</x:v>
      </x:c>
      <x:c r="C59" s="22" t="n">
        <x:v>600</x:v>
      </x:c>
      <x:c r="D59" s="34" t="n">
        <x:f>'01_比较参数'!$B$18*C59/'01_比较参数'!$B$2</x:f>
        <x:v>3993.158400000001</x:v>
      </x:c>
      <x:c r="E59" s="34" t="n">
        <x:f>'02_单件比较输入'!X194*(C59+'02_单件比较输入'!D194)/('01_比较参数'!$B$2+'02_单件比较输入'!D194)</x:f>
        <x:v>7541.044643811841</x:v>
      </x:c>
      <x:c r="F59" s="34" t="n">
        <x:f>'02_单件比较输入'!X182*(C59+'02_单件比较输入'!D182)/('01_比较参数'!$B$2+'02_单件比较输入'!D182)</x:f>
        <x:v>5252.582227132801</x:v>
      </x:c>
      <x:c r="G59" s="38" t="n">
        <x:f>(F59-D59)/(E59-D59)</x:f>
        <x:v>0.35497863814812675</x:v>
      </x:c>
      <x:c r="H59" s="22" t="str">
        <x:v>前大陆合成保值，不能用普通件立刻全面淘汰</x:v>
      </x:c>
    </x:row>
    <x:row r="60" ht="42" customHeight="1">
      <x:c r="A60" s="22" t="str">
        <x:v>风暴王庭链</x:v>
      </x:c>
      <x:c r="B60" s="22" t="str">
        <x:v>断旗战链</x:v>
      </x:c>
      <x:c r="C60" s="22" t="n">
        <x:v>1500</x:v>
      </x:c>
      <x:c r="D60" s="34" t="n">
        <x:f>'01_比较参数'!$B$18*C60/'01_比较参数'!$B$2</x:f>
        <x:v>9982.896000000002</x:v>
      </x:c>
      <x:c r="E60" s="34" t="n">
        <x:f>'02_单件比较输入'!X194*(C60+'02_单件比较输入'!D194)/('01_比较参数'!$B$2+'02_单件比较输入'!D194)</x:f>
        <x:v>16812.82084521984</x:v>
      </x:c>
      <x:c r="F60" s="34" t="n">
        <x:f>'02_单件比较输入'!X182*(C60+'02_单件比较输入'!D182)/('01_比较参数'!$B$2+'02_单件比较输入'!D182)</x:f>
        <x:v>12350.666317852802</x:v>
      </x:c>
      <x:c r="G60" s="38" t="n">
        <x:f>(F60-D60)/(E60-D60)</x:f>
        <x:v>0.3466758963694843</x:v>
      </x:c>
      <x:c r="H60" s="22" t="str">
        <x:v>前大陆合成保值，不能用普通件立刻全面淘汰</x:v>
      </x:c>
    </x:row>
    <x:row r="61" ht="42" customHeight="1">
      <x:c r="A61" s="22" t="str">
        <x:v>风暴王庭链</x:v>
      </x:c>
      <x:c r="B61" s="22" t="str">
        <x:v>断旗战链</x:v>
      </x:c>
      <x:c r="C61" s="22" t="n">
        <x:v>4000</x:v>
      </x:c>
      <x:c r="D61" s="34" t="n">
        <x:f>'01_比较参数'!$B$18*C61/'01_比较参数'!$B$2</x:f>
        <x:v>26621.056000000004</x:v>
      </x:c>
      <x:c r="E61" s="34" t="n">
        <x:f>'02_单件比较输入'!X194*(C61+'02_单件比较输入'!D194)/('01_比较参数'!$B$2+'02_单件比较输入'!D194)</x:f>
        <x:v>42567.754738019845</x:v>
      </x:c>
      <x:c r="F61" s="34" t="n">
        <x:f>'02_单件比较输入'!X182*(C61+'02_单件比较输入'!D182)/('01_比较参数'!$B$2+'02_单件比较输入'!D182)</x:f>
        <x:v>32067.566569852803</x:v>
      </x:c>
      <x:c r="G61" s="38" t="n">
        <x:f>(F61-D61)/(E61-D61)</x:f>
        <x:v>0.34154470836445433</x:v>
      </x:c>
      <x:c r="H61" s="22" t="str">
        <x:v>前大陆合成保值，不能用普通件立刻全面淘汰</x:v>
      </x:c>
    </x:row>
    <x:row r="62" ht="42" customHeight="1">
      <x:c r="A62" s="22" t="str">
        <x:v>百指接肢腕</x:v>
      </x:c>
      <x:c r="B62" s="22" t="str">
        <x:v>掠风护腕</x:v>
      </x:c>
      <x:c r="C62" s="22" t="n">
        <x:v>600</x:v>
      </x:c>
      <x:c r="D62" s="34" t="n">
        <x:f>'01_比较参数'!$B$18*C62/'01_比较参数'!$B$2</x:f>
        <x:v>3993.158400000001</x:v>
      </x:c>
      <x:c r="E62" s="34" t="n">
        <x:f>'02_单件比较输入'!X195*(C62+'02_单件比较输入'!D195)/('01_比较参数'!$B$2+'02_单件比较输入'!D195)</x:f>
        <x:v>6821.566974351361</x:v>
      </x:c>
      <x:c r="F62" s="34" t="n">
        <x:f>'02_单件比较输入'!X183*(C62+'02_单件比较输入'!D183)/('01_比较参数'!$B$2+'02_单件比较输入'!D183)</x:f>
        <x:v>4999.145082624001</x:v>
      </x:c>
      <x:c r="G62" s="38" t="n">
        <x:f>(F62-D62)/(E62-D62)</x:f>
        <x:v>0.35567233522996333</x:v>
      </x:c>
      <x:c r="H62" s="22" t="str">
        <x:v>前大陆合成保值</x:v>
      </x:c>
    </x:row>
    <x:row r="63" ht="42" customHeight="1">
      <x:c r="A63" s="22" t="str">
        <x:v>百指接肢腕</x:v>
      </x:c>
      <x:c r="B63" s="22" t="str">
        <x:v>掠风护腕</x:v>
      </x:c>
      <x:c r="C63" s="22" t="n">
        <x:v>1500</x:v>
      </x:c>
      <x:c r="D63" s="34" t="n">
        <x:f>'01_比较参数'!$B$18*C63/'01_比较参数'!$B$2</x:f>
        <x:v>9982.896000000002</x:v>
      </x:c>
      <x:c r="E63" s="34" t="n">
        <x:f>'02_单件比较输入'!X195*(C63+'02_单件比较输入'!D195)/('01_比较参数'!$B$2+'02_单件比较输入'!D195)</x:f>
        <x:v>15348.525692290563</x:v>
      </x:c>
      <x:c r="F63" s="34" t="n">
        <x:f>'02_单件比较输入'!X183*(C63+'02_单件比较输入'!D183)/('01_比较参数'!$B$2+'02_单件比较输入'!D183)</x:f>
        <x:v>11816.161104384002</x:v>
      </x:c>
      <x:c r="G63" s="38" t="n">
        <x:f>(F63-D63)/(E63-D63)</x:f>
        <x:v>0.3416682122171178</x:v>
      </x:c>
      <x:c r="H63" s="22" t="str">
        <x:v>前大陆合成保值</x:v>
      </x:c>
    </x:row>
    <x:row r="64" ht="42" customHeight="1">
      <x:c r="A64" s="22" t="str">
        <x:v>百指接肢腕</x:v>
      </x:c>
      <x:c r="B64" s="22" t="str">
        <x:v>掠风护腕</x:v>
      </x:c>
      <x:c r="C64" s="22" t="n">
        <x:v>4000</x:v>
      </x:c>
      <x:c r="D64" s="34" t="n">
        <x:f>'01_比较参数'!$B$18*C64/'01_比较参数'!$B$2</x:f>
        <x:v>26621.056000000004</x:v>
      </x:c>
      <x:c r="E64" s="34" t="n">
        <x:f>'02_单件比较输入'!X195*(C64+'02_单件比较输入'!D195)/('01_比较参数'!$B$2+'02_单件比较输入'!D195)</x:f>
        <x:v>39034.52213101057</x:v>
      </x:c>
      <x:c r="F64" s="34" t="n">
        <x:f>'02_单件比较输入'!X183*(C64+'02_单件比较输入'!D183)/('01_比较参数'!$B$2+'02_单件比较输入'!D183)</x:f>
        <x:v>30752.316720384006</x:v>
      </x:c>
      <x:c r="G64" s="38" t="n">
        <x:f>(F64-D64)/(E64-D64)</x:f>
        <x:v>0.3328047683687264</x:v>
      </x:c>
      <x:c r="H64" s="22" t="str">
        <x:v>前大陆合成保值</x:v>
      </x:c>
    </x:row>
    <x:row r="65" ht="42" customHeight="1">
      <x:c r="A65" s="22" t="str">
        <x:v>王城断罪刃</x:v>
      </x:c>
      <x:c r="B65" s="22" t="str">
        <x:v>征风仪刃</x:v>
      </x:c>
      <x:c r="C65" s="22" t="n">
        <x:v>600</x:v>
      </x:c>
      <x:c r="D65" s="34" t="n">
        <x:f>'01_比较参数'!$B$18*C65/'01_比较参数'!$B$2</x:f>
        <x:v>3993.158400000001</x:v>
      </x:c>
      <x:c r="E65" s="34" t="n">
        <x:f>'02_单件比较输入'!X97*(C65+'02_单件比较输入'!D97)/('01_比较参数'!$B$2+'02_单件比较输入'!D97)</x:f>
        <x:v>13920.21244494972</x:v>
      </x:c>
      <x:c r="F65" s="34" t="n">
        <x:f>'02_单件比较输入'!X199*(C65+'02_单件比较输入'!D199)/('01_比较参数'!$B$2+'02_单件比较输入'!D199)</x:f>
        <x:v>15877.190210191196</x:v>
      </x:c>
      <x:c r="G65" s="38" t="n">
        <x:f>(F65-D65)/(E65-D65)</x:f>
        <x:v>1.1971358024626717</x:v>
      </x:c>
      <x:c r="H65" s="22" t="str">
        <x:v>C3末期时装BOSS作为后续接棒方向</x:v>
      </x:c>
    </x:row>
    <x:row r="66" ht="42" customHeight="1">
      <x:c r="A66" s="22" t="str">
        <x:v>王城断罪刃</x:v>
      </x:c>
      <x:c r="B66" s="22" t="str">
        <x:v>征风仪刃</x:v>
      </x:c>
      <x:c r="C66" s="22" t="n">
        <x:v>1500</x:v>
      </x:c>
      <x:c r="D66" s="34" t="n">
        <x:f>'01_比较参数'!$B$18*C66/'01_比较参数'!$B$2</x:f>
        <x:v>9982.896000000002</x:v>
      </x:c>
      <x:c r="E66" s="34" t="n">
        <x:f>'02_单件比较输入'!X97*(C66+'02_单件比较输入'!D97)/('01_比较参数'!$B$2+'02_单件比较输入'!D97)</x:f>
        <x:v>25739.26074726552</x:v>
      </x:c>
      <x:c r="F66" s="34" t="n">
        <x:f>'02_单件比较输入'!X199*(C66+'02_单件比较输入'!D199)/('01_比较参数'!$B$2+'02_单件比较输入'!D199)</x:f>
        <x:v>28302.817331210394</x:v>
      </x:c>
      <x:c r="G66" s="38" t="n">
        <x:f>(F66-D66)/(E66-D66)</x:f>
        <x:v>1.16269974864537</x:v>
      </x:c>
      <x:c r="H66" s="22" t="str">
        <x:v>C3末期时装BOSS作为后续接棒方向</x:v>
      </x:c>
    </x:row>
    <x:row r="67" ht="42" customHeight="1">
      <x:c r="A67" s="22" t="str">
        <x:v>王城断罪刃</x:v>
      </x:c>
      <x:c r="B67" s="22" t="str">
        <x:v>征风仪刃</x:v>
      </x:c>
      <x:c r="C67" s="22" t="n">
        <x:v>4000</x:v>
      </x:c>
      <x:c r="D67" s="34" t="n">
        <x:f>'01_比较参数'!$B$18*C67/'01_比较参数'!$B$2</x:f>
        <x:v>26621.056000000004</x:v>
      </x:c>
      <x:c r="E67" s="34" t="n">
        <x:f>'02_单件比较输入'!X97*(C67+'02_单件比较输入'!D97)/('01_比较参数'!$B$2+'02_单件比较输入'!D97)</x:f>
        <x:v>58569.95047592052</x:v>
      </x:c>
      <x:c r="F67" s="34" t="n">
        <x:f>'02_单件比较输入'!X199*(C67+'02_单件比较输入'!D199)/('01_比较参数'!$B$2+'02_单件比较输入'!D199)</x:f>
        <x:v>62818.44822293039</x:v>
      </x:c>
      <x:c r="G67" s="38" t="n">
        <x:f>(F67-D67)/(E67-D67)</x:f>
        <x:v>1.1329779266763647</x:v>
      </x:c>
      <x:c r="H67" s="22" t="str">
        <x:v>C3末期时装BOSS作为后续接棒方向</x:v>
      </x:c>
    </x:row>
    <x:row r="68" ht="42" customHeight="1">
      <x:c r="A68" s="22" t="str">
        <x:v>百骸王衣</x:v>
      </x:c>
      <x:c r="B68" s="22" t="str">
        <x:v>失旗王袍</x:v>
      </x:c>
      <x:c r="C68" s="22" t="n">
        <x:v>600</x:v>
      </x:c>
      <x:c r="D68" s="34" t="n">
        <x:f>'01_比较参数'!$B$18*C68/'01_比较参数'!$B$2</x:f>
        <x:v>3993.158400000001</x:v>
      </x:c>
      <x:c r="E68" s="34" t="n">
        <x:f>'02_单件比较输入'!X98*(C68+'02_单件比较输入'!D98)/('01_比较参数'!$B$2+'02_单件比较输入'!D98)</x:f>
        <x:v>5823.356</x:v>
      </x:c>
      <x:c r="F68" s="34" t="n">
        <x:f>'02_单件比较输入'!X200*(C68+'02_单件比较输入'!D200)/('01_比较参数'!$B$2+'02_单件比较输入'!D200)</x:f>
        <x:v>6139.481040000001</x:v>
      </x:c>
      <x:c r="G68" s="38" t="n">
        <x:f>(F68-D68)/(E68-D68)</x:f>
        <x:v>1.1727272727272733</x:v>
      </x:c>
      <x:c r="H68" s="22" t="str">
        <x:v>C3末期时装BOSS方向，实际吸收上限单列</x:v>
      </x:c>
    </x:row>
    <x:row r="69" ht="42" customHeight="1">
      <x:c r="A69" s="22" t="str">
        <x:v>百骸王衣</x:v>
      </x:c>
      <x:c r="B69" s="22" t="str">
        <x:v>失旗王袍</x:v>
      </x:c>
      <x:c r="C69" s="22" t="n">
        <x:v>1500</x:v>
      </x:c>
      <x:c r="D69" s="34" t="n">
        <x:f>'01_比较参数'!$B$18*C69/'01_比较参数'!$B$2</x:f>
        <x:v>9982.896000000002</x:v>
      </x:c>
      <x:c r="E69" s="34" t="n">
        <x:f>'02_单件比较输入'!X98*(C69+'02_单件比较输入'!D98)/('01_比较参数'!$B$2+'02_单件比较输入'!D98)</x:f>
        <x:v>12629.876</x:v>
      </x:c>
      <x:c r="F69" s="34" t="n">
        <x:f>'02_单件比较输入'!X200*(C69+'02_单件比较输入'!D200)/('01_比较参数'!$B$2+'02_单件比较输入'!D200)</x:f>
        <x:v>12877.93584</x:v>
      </x:c>
      <x:c r="G69" s="38" t="n">
        <x:f>(F69-D69)/(E69-D69)</x:f>
        <x:v>1.0937142857142859</x:v>
      </x:c>
      <x:c r="H69" s="22" t="str">
        <x:v>C3末期时装BOSS方向，实际吸收上限单列</x:v>
      </x:c>
    </x:row>
    <x:row r="70" ht="42" customHeight="1">
      <x:c r="A70" s="22" t="str">
        <x:v>百骸王衣</x:v>
      </x:c>
      <x:c r="B70" s="22" t="str">
        <x:v>失旗王袍</x:v>
      </x:c>
      <x:c r="C70" s="22" t="n">
        <x:v>4000</x:v>
      </x:c>
      <x:c r="D70" s="34" t="n">
        <x:f>'01_比较参数'!$B$18*C70/'01_比较参数'!$B$2</x:f>
        <x:v>26621.056000000004</x:v>
      </x:c>
      <x:c r="E70" s="34" t="n">
        <x:f>'02_单件比较输入'!X98*(C70+'02_单件比较输入'!D98)/('01_比较参数'!$B$2+'02_单件比较输入'!D98)</x:f>
        <x:v>31536.876</x:v>
      </x:c>
      <x:c r="F70" s="34" t="n">
        <x:f>'02_单件比较输入'!X200*(C70+'02_单件比较输入'!D200)/('01_比较参数'!$B$2+'02_单件比较输入'!D200)</x:f>
        <x:v>31595.865840000002</x:v>
      </x:c>
      <x:c r="G70" s="38" t="n">
        <x:f>(F70-D70)/(E70-D70)</x:f>
        <x:v>1.0120000000000005</x:v>
      </x:c>
      <x:c r="H70" s="22" t="str">
        <x:v>C3末期时装BOSS方向，实际吸收上限单列</x:v>
      </x:c>
    </x:row>
  </x:sheetData>
  <x:pageMargins left="0.7" right="0.7" top="0.75" bottom="0.75" header="0.3" footer="0.3"/>
  <x:tableParts count="1">
    <x:tablePart xmlns:r="http://schemas.openxmlformats.org/officeDocument/2006/relationships" r:id="R272741d3598c42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65" hidden="0" customWidth="1"/>
  </x:cols>
  <x:sheetData>
    <x:row r="1" ht="36" customHeight="1">
      <x:c r="A1" s="27" t="str">
        <x:v>原基础件</x:v>
      </x:c>
      <x:c r="B1" s="27" t="str">
        <x:v>既有成品</x:v>
      </x:c>
      <x:c r="C1" s="27" t="str">
        <x:v>部位</x:v>
      </x:c>
      <x:c r="D1" s="27" t="str">
        <x:v>攻击面板比</x:v>
      </x:c>
      <x:c r="E1" s="27" t="str">
        <x:v>单件贡献比</x:v>
      </x:c>
      <x:c r="F1" s="27" t="str">
        <x:v>整人单刀比</x:v>
      </x:c>
      <x:c r="G1" s="27" t="str">
        <x:v>比较说明</x:v>
      </x:c>
    </x:row>
    <x:row r="2" ht="55" customHeight="1">
      <x:c r="A2" s="22" t="str">
        <x:v>腐树子鼠</x:v>
      </x:c>
      <x:c r="B2" s="22" t="str">
        <x:v>子鼠·潮舱寻金</x:v>
      </x:c>
      <x:c r="C2" s="22" t="str">
        <x:v>生肖1</x:v>
      </x:c>
      <x:c r="D2" s="38" t="n">
        <x:f>'02_单件比较输入'!D196/'02_单件比较输入'!D50</x:f>
        <x:v>1.5</x:v>
      </x:c>
      <x:c r="E2" s="38" t="n">
        <x:f>'02_单件比较输入'!Y196/'02_单件比较输入'!Y50</x:f>
        <x:v>2.2905393984547566</x:v>
      </x:c>
      <x:c r="F2" s="38" t="n">
        <x:f>'02_单件比较输入'!X196/'02_单件比较输入'!X50</x:f>
        <x:v>1.0599235947578027</x:v>
      </x:c>
      <x:c r="G2" s="22" t="str">
        <x:v>实际BOSS生肖基础件；合成入口在C1但素材来自C2。</x:v>
      </x:c>
    </x:row>
    <x:row r="3" ht="55" customHeight="1">
      <x:c r="A3" s="22" t="str">
        <x:v>百臂丑牛</x:v>
      </x:c>
      <x:c r="B3" s="22" t="str">
        <x:v>丑牛·风暴负山</x:v>
      </x:c>
      <x:c r="C3" s="22" t="str">
        <x:v>生肖2</x:v>
      </x:c>
      <x:c r="D3" s="38" t="n">
        <x:f>'02_单件比较输入'!D197/'02_单件比较输入'!D51</x:f>
        <x:v>1.5</x:v>
      </x:c>
      <x:c r="E3" s="38" t="n">
        <x:f>'02_单件比较输入'!Y197/'02_单件比较输入'!Y51</x:f>
        <x:v>2.4968793167555234</x:v>
      </x:c>
      <x:c r="F3" s="38" t="n">
        <x:f>'02_单件比较输入'!X197/'02_单件比较输入'!X51</x:f>
        <x:v>1.0699100769943777</x:v>
      </x:c>
      <x:c r="G3" s="22" t="str">
        <x:v>实际BOSS生肖基础件。</x:v>
      </x:c>
    </x:row>
    <x:row r="4" ht="55" customHeight="1">
      <x:c r="A4" s="22" t="str">
        <x:v>古树祷链</x:v>
      </x:c>
      <x:c r="B4" s="22" t="str">
        <x:v>风暴王庭链</x:v>
      </x:c>
      <x:c r="C4" s="22" t="str">
        <x:v>项链</x:v>
      </x:c>
      <x:c r="D4" s="38" t="n">
        <x:f>'02_单件比较输入'!D194/'02_单件比较输入'!D67</x:f>
        <x:v>2.0307692307692307</x:v>
      </x:c>
      <x:c r="E4" s="38" t="n">
        <x:f>'02_单件比较输入'!Y194/'02_单件比较输入'!Y67</x:f>
        <x:v>2.4820292857379447</x:v>
      </x:c>
      <x:c r="F4" s="38" t="n">
        <x:f>'02_单件比较输入'!X194/'02_单件比较输入'!X67</x:f>
        <x:v>1.3202424662548713</x:v>
      </x:c>
      <x:c r="G4" s="22" t="str">
        <x:v>实际较强基础件来自普通怪；只核查升成品的收益，不伪称BOSS项链。</x:v>
      </x:c>
    </x:row>
    <x:row r="5" ht="55" customHeight="1">
      <x:c r="A5" s="22" t="str">
        <x:v>百指腕甲</x:v>
      </x:c>
      <x:c r="B5" s="22" t="str">
        <x:v>百指接肢腕</x:v>
      </x:c>
      <x:c r="C5" s="22" t="str">
        <x:v>手镯</x:v>
      </x:c>
      <x:c r="D5" s="38" t="n">
        <x:f>'02_单件比较输入'!D195/'02_单件比较输入'!D92</x:f>
        <x:v>1.7647058823529411</x:v>
      </x:c>
      <x:c r="E5" s="38" t="n">
        <x:f>'02_单件比较输入'!Y195/'02_单件比较输入'!Y92</x:f>
        <x:v>2.1695757572841265</x:v>
      </x:c>
      <x:c r="F5" s="38" t="n">
        <x:f>'02_单件比较输入'!X195/'02_单件比较输入'!X92</x:f>
        <x:v>1.2322174977360707</x:v>
      </x:c>
      <x:c r="G5" s="22" t="str">
        <x:v>实际较强基础件来自普通怪；BOSS强度1.5倍仍按旧独立刻度，不改配方。</x:v>
      </x:c>
    </x:row>
  </x:sheetData>
  <x:pageMargins left="0.7" right="0.7" top="0.75" bottom="0.75" header="0.3" footer="0.3"/>
  <x:tableParts count="1">
    <x:tablePart xmlns:r="http://schemas.openxmlformats.org/officeDocument/2006/relationships" r:id="Rb0978d93b8be4c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62" hidden="0" customWidth="1"/>
  </x:cols>
  <x:sheetData>
    <x:row r="1" ht="36" customHeight="1">
      <x:c r="A1" s="27" t="str">
        <x:v>情景</x:v>
      </x:c>
      <x:c r="B1" s="27" t="str">
        <x:v>主手普通攻速</x:v>
      </x:c>
      <x:c r="C1" s="27" t="str">
        <x:v>命格一普通攻速</x:v>
      </x:c>
      <x:c r="D1" s="27" t="str">
        <x:v>命格二普通攻速</x:v>
      </x:c>
      <x:c r="E1" s="27" t="str">
        <x:v>装备突破</x:v>
      </x:c>
      <x:c r="F1" s="27" t="str">
        <x:v>命格突破</x:v>
      </x:c>
      <x:c r="G1" s="27" t="str">
        <x:v>基础上限</x:v>
      </x:c>
      <x:c r="H1" s="27" t="str">
        <x:v>原始速度</x:v>
      </x:c>
      <x:c r="I1" s="27" t="str">
        <x:v>有效速度</x:v>
      </x:c>
      <x:c r="J1" s="27" t="str">
        <x:v>说明</x:v>
      </x:c>
    </x:row>
    <x:row r="2" ht="50" customHeight="1">
      <x:c r="A2" s="22" t="str">
        <x:v>制式武器＋单个红色攻速命格</x:v>
      </x:c>
      <x:c r="B2" s="22" t="n">
        <x:v>10</x:v>
      </x:c>
      <x:c r="C2" s="22" t="n">
        <x:v>3</x:v>
      </x:c>
      <x:c r="D2" s="22" t="n">
        <x:v>0</x:v>
      </x:c>
      <x:c r="E2" s="22" t="n">
        <x:v>0</x:v>
      </x:c>
      <x:c r="F2" s="22" t="n">
        <x:v>1</x:v>
      </x:c>
      <x:c r="G2" s="22" t="n">
        <x:v>20</x:v>
      </x:c>
      <x:c r="H2" s="22" t="n">
        <x:f>SUM(B2:D2)</x:f>
        <x:v>13</x:v>
      </x:c>
      <x:c r="I2" s="22" t="n">
        <x:f>MIN(H2,E2+F2+G2)</x:f>
        <x:v>13</x:v>
      </x:c>
      <x:c r="J2" s="22" t="str">
        <x:v>红色风驰电掣；普通速度未到上限，不会凭突破直接变21。</x:v>
      </x:c>
    </x:row>
    <x:row r="3" ht="50" customHeight="1">
      <x:c r="A3" s="22" t="str">
        <x:v>断旗军刀＋单个红色攻速命格</x:v>
      </x:c>
      <x:c r="B3" s="22" t="n">
        <x:v>20</x:v>
      </x:c>
      <x:c r="C3" s="22" t="n">
        <x:v>3</x:v>
      </x:c>
      <x:c r="D3" s="22" t="n">
        <x:v>0</x:v>
      </x:c>
      <x:c r="E3" s="22" t="n">
        <x:v>0</x:v>
      </x:c>
      <x:c r="F3" s="22" t="n">
        <x:v>1</x:v>
      </x:c>
      <x:c r="G3" s="22" t="n">
        <x:v>20</x:v>
      </x:c>
      <x:c r="H3" s="22" t="n">
        <x:f>SUM(B3:D3)</x:f>
        <x:v>23</x:v>
      </x:c>
      <x:c r="I3" s="22" t="n">
        <x:f>MIN(H3,E3+F3+G3)</x:f>
        <x:v>21</x:v>
      </x:c>
      <x:c r="J3" s="22" t="str">
        <x:v>红色1点突破用于真实上限。</x:v>
      </x:c>
    </x:row>
    <x:row r="4" ht="50" customHeight="1">
      <x:c r="A4" s="22" t="str">
        <x:v>断旗军刀＋单个彩色核心</x:v>
      </x:c>
      <x:c r="B4" s="22" t="n">
        <x:v>20</x:v>
      </x:c>
      <x:c r="C4" s="22" t="n">
        <x:v>3</x:v>
      </x:c>
      <x:c r="D4" s="22" t="n">
        <x:v>0</x:v>
      </x:c>
      <x:c r="E4" s="22" t="n">
        <x:v>0</x:v>
      </x:c>
      <x:c r="F4" s="22" t="n">
        <x:v>5</x:v>
      </x:c>
      <x:c r="G4" s="22" t="n">
        <x:v>20</x:v>
      </x:c>
      <x:c r="H4" s="22" t="n">
        <x:f>SUM(B4:D4)</x:f>
        <x:v>23</x:v>
      </x:c>
      <x:c r="I4" s="22" t="n">
        <x:f>MIN(H4,E4+F4+G4)</x:f>
        <x:v>23</x:v>
      </x:c>
      <x:c r="J4" s="22" t="str">
        <x:v>快人三步；实际只有23，不能把突破5直接加成攻速5。</x:v>
      </x:c>
    </x:row>
    <x:row r="5" ht="50" customHeight="1">
      <x:c r="A5" s="22" t="str">
        <x:v>断旗军刀＋两个彩色攻速命格</x:v>
      </x:c>
      <x:c r="B5" s="22" t="n">
        <x:v>20</x:v>
      </x:c>
      <x:c r="C5" s="22" t="n">
        <x:v>3</x:v>
      </x:c>
      <x:c r="D5" s="22" t="n">
        <x:v>2</x:v>
      </x:c>
      <x:c r="E5" s="22" t="n">
        <x:v>0</x:v>
      </x:c>
      <x:c r="F5" s="22" t="n">
        <x:v>5</x:v>
      </x:c>
      <x:c r="G5" s="22" t="n">
        <x:v>20</x:v>
      </x:c>
      <x:c r="H5" s="22" t="n">
        <x:f>SUM(B5:D5)</x:f>
        <x:v>25</x:v>
      </x:c>
      <x:c r="I5" s="22" t="n">
        <x:f>MIN(H5,E5+F5+G5)</x:f>
        <x:v>25</x:v>
      </x:c>
      <x:c r="J5" s="22" t="str">
        <x:v>快人三步＋风卷残云；两槽组合实际25。</x:v>
      </x:c>
    </x:row>
    <x:row r="6" ht="50" customHeight="1">
      <x:c r="A6" s="22" t="str">
        <x:v>C2末图普通主手＋两彩＋王城时装</x:v>
      </x:c>
      <x:c r="B6" s="22" t="n">
        <x:v>24</x:v>
      </x:c>
      <x:c r="C6" s="22" t="n">
        <x:v>3</x:v>
      </x:c>
      <x:c r="D6" s="22" t="n">
        <x:v>2</x:v>
      </x:c>
      <x:c r="E6" s="22" t="n">
        <x:v>1</x:v>
      </x:c>
      <x:c r="F6" s="22" t="n">
        <x:v>5</x:v>
      </x:c>
      <x:c r="G6" s="22" t="n">
        <x:v>20</x:v>
      </x:c>
      <x:c r="H6" s="22" t="n">
        <x:f>SUM(B6:D6)</x:f>
        <x:v>29</x:v>
      </x:c>
      <x:c r="I6" s="22" t="n">
        <x:f>MIN(H6,E6+F6+G6)</x:f>
        <x:v>26</x:v>
      </x:c>
      <x:c r="J6" s="22" t="str">
        <x:v>流刑王刃＋王城断罪刃；普通速度29，允许26；先不算守关生肖。</x:v>
      </x:c>
    </x:row>
    <x:row r="7" ht="50" customHeight="1">
      <x:c r="A7" s="22" t="str">
        <x:v>上条再取得接肢亥猪</x:v>
      </x:c>
      <x:c r="B7" s="22" t="n">
        <x:v>24</x:v>
      </x:c>
      <x:c r="C7" s="22" t="n">
        <x:v>3</x:v>
      </x:c>
      <x:c r="D7" s="22" t="n">
        <x:v>2</x:v>
      </x:c>
      <x:c r="E7" s="22" t="n">
        <x:v>2</x:v>
      </x:c>
      <x:c r="F7" s="22" t="n">
        <x:v>5</x:v>
      </x:c>
      <x:c r="G7" s="22" t="n">
        <x:v>20</x:v>
      </x:c>
      <x:c r="H7" s="22" t="n">
        <x:f>SUM(B7:D7)</x:f>
        <x:v>29</x:v>
      </x:c>
      <x:c r="I7" s="22" t="n">
        <x:f>MIN(H7,E7+F7+G7)</x:f>
        <x:v>27</x:v>
      </x:c>
      <x:c r="J7" s="22" t="str">
        <x:v>再加守关生肖1点突破，实际27；不是后期35硬线。</x:v>
      </x:c>
    </x:row>
    <x:row r="10" ht="38" customHeight="1">
      <x:c r="A10" s="41" t="str">
        <x:v>吸收只在同时取得对应装备/命格时生效；本轮不把第五大陆70%当成C2免费赠送。</x:v>
      </x:c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2" ht="35" customHeight="1">
      <x:c r="A12" s="45" t="str">
        <x:v>情景</x:v>
      </x:c>
      <x:c r="B12" s="45" t="str">
        <x:v>实际吸收合计</x:v>
      </x:c>
      <x:c r="C12" s="45" t="str">
        <x:v>基础上限</x:v>
      </x:c>
      <x:c r="D12" s="45" t="str">
        <x:v>装备上限增加</x:v>
      </x:c>
      <x:c r="E12" s="45" t="str">
        <x:v>命格上限增加</x:v>
      </x:c>
      <x:c r="F12" s="45" t="str">
        <x:v>有效吸收</x:v>
      </x:c>
    </x:row>
    <x:row r="13" ht="42" customHeight="1">
      <x:c r="A13" s="48" t="str">
        <x:v>举例：仅有70点实际吸收但无上限来源</x:v>
      </x:c>
      <x:c r="B13" s="48" t="n">
        <x:v>70</x:v>
      </x:c>
      <x:c r="C13" s="48" t="n">
        <x:v>60</x:v>
      </x:c>
      <x:c r="D13" s="48" t="n">
        <x:v>0</x:v>
      </x:c>
      <x:c r="E13" s="48" t="n">
        <x:v>0</x:v>
      </x:c>
      <x:c r="F13" s="48" t="n">
        <x:f>MIN(B13,SUM(C13:E13))</x:f>
        <x:v>60</x:v>
      </x:c>
    </x:row>
    <x:row r="14" ht="42" customHeight="1">
      <x:c r="A14" s="48" t="str">
        <x:v>举例：前大陆主衣2＋C2时装王衣2＋彩色命格3</x:v>
      </x:c>
      <x:c r="B14" s="48" t="n">
        <x:v>80</x:v>
      </x:c>
      <x:c r="C14" s="48" t="n">
        <x:v>60</x:v>
      </x:c>
      <x:c r="D14" s="48" t="n">
        <x:v>4</x:v>
      </x:c>
      <x:c r="E14" s="48" t="n">
        <x:v>3</x:v>
      </x:c>
      <x:c r="F14" s="48" t="n">
        <x:f>MIN(B14,SUM(C14:E14))</x:f>
        <x:v>67</x:v>
      </x:c>
    </x:row>
    <x:row r="15" ht="42" customHeight="1">
      <x:c r="A15" s="48" t="str">
        <x:v>举例：只取得时装王衣2＋彩色命格3</x:v>
      </x:c>
      <x:c r="B15" s="48" t="n">
        <x:v>70</x:v>
      </x:c>
      <x:c r="C15" s="48" t="n">
        <x:v>60</x:v>
      </x:c>
      <x:c r="D15" s="48" t="n">
        <x:v>2</x:v>
      </x:c>
      <x:c r="E15" s="48" t="n">
        <x:v>3</x:v>
      </x:c>
      <x:c r="F15" s="48" t="n">
        <x:f>MIN(B15,SUM(C15:E15))</x:f>
        <x:v>65</x:v>
      </x:c>
    </x:row>
  </x:sheetData>
  <x:mergeCells>
    <x:mergeCell ref="A10:J10"/>
  </x:mergeCells>
  <x:pageMargins left="0.7" right="0.7" top="0.75" bottom="0.75" header="0.3" footer="0.3"/>
  <x:tableParts count="1">
    <x:tablePart xmlns:r="http://schemas.openxmlformats.org/officeDocument/2006/relationships" r:id="R5c74d558355649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</x:cols>
  <x:sheetData>
    <x:row r="1" ht="36" customHeight="1">
      <x:c r="A1" s="27" t="str">
        <x:v>部位</x:v>
      </x:c>
      <x:c r="B1" s="27" t="str">
        <x:v>装备</x:v>
      </x:c>
      <x:c r="C1" s="27" t="str">
        <x:v>攻击上限</x:v>
      </x:c>
      <x:c r="D1" s="27" t="str">
        <x:v>攻击加成</x:v>
      </x:c>
      <x:c r="E1" s="27" t="str">
        <x:v>怪伤</x:v>
      </x:c>
      <x:c r="F1" s="27" t="str">
        <x:v>攻击伤害</x:v>
      </x:c>
      <x:c r="G1" s="27" t="str">
        <x:v>HP</x:v>
      </x:c>
      <x:c r="H1" s="27" t="str">
        <x:v>吸收</x:v>
      </x:c>
      <x:c r="I1" s="27" t="str">
        <x:v>突破</x:v>
      </x:c>
      <x:c r="J1" s="27" t="str">
        <x:v>处决</x:v>
      </x:c>
      <x:c r="K1" s="27" t="str">
        <x:v>最大爆率</x:v>
      </x:c>
    </x:row>
    <x:row r="2" ht="32" customHeight="1">
      <x:c r="A2" s="22" t="str">
        <x:v>生肖1</x:v>
      </x:c>
      <x:c r="B2" s="22" t="str">
        <x:v>腐树子鼠</x:v>
      </x:c>
      <x:c r="C2" s="22" t="n">
        <x:v>30</x:v>
      </x:c>
      <x:c r="D2" s="22" t="n">
        <x:v>3</x:v>
      </x:c>
      <x:c r="E2" s="22" t="n">
        <x:v>1</x:v>
      </x:c>
      <x:c r="F2" s="22" t="n">
        <x:v>1</x:v>
      </x:c>
      <x:c r="G2" s="22" t="n">
        <x:v>6000</x:v>
      </x:c>
      <x:c r="H2" s="22" t="n">
        <x:v>0</x:v>
      </x:c>
      <x:c r="I2" s="22" t="n">
        <x:v>0</x:v>
      </x:c>
      <x:c r="J2" s="22" t="n">
        <x:v>0</x:v>
      </x:c>
      <x:c r="K2" s="22" t="n">
        <x:v>0</x:v>
      </x:c>
    </x:row>
    <x:row r="3" ht="32" customHeight="1">
      <x:c r="A3" s="22" t="str">
        <x:v>生肖2</x:v>
      </x:c>
      <x:c r="B3" s="22" t="str">
        <x:v>百臂丑牛</x:v>
      </x:c>
      <x:c r="C3" s="22" t="n">
        <x:v>40</x:v>
      </x:c>
      <x:c r="D3" s="22" t="n">
        <x:v>3</x:v>
      </x:c>
      <x:c r="E3" s="22" t="n">
        <x:v>0</x:v>
      </x:c>
      <x:c r="F3" s="22" t="n">
        <x:v>1</x:v>
      </x:c>
      <x:c r="G3" s="22" t="n">
        <x:v>9000</x:v>
      </x:c>
      <x:c r="H3" s="22" t="n">
        <x:v>1</x:v>
      </x:c>
      <x:c r="I3" s="22" t="n">
        <x:v>0</x:v>
      </x:c>
      <x:c r="J3" s="22" t="n">
        <x:v>0</x:v>
      </x:c>
      <x:c r="K3" s="22" t="n">
        <x:v>0</x:v>
      </x:c>
    </x:row>
    <x:row r="4" ht="32" customHeight="1">
      <x:c r="A4" s="22" t="str">
        <x:v>生肖3</x:v>
      </x:c>
      <x:c r="B4" s="22" t="str">
        <x:v>长戟寅虎</x:v>
      </x:c>
      <x:c r="C4" s="22" t="n">
        <x:v>42</x:v>
      </x:c>
      <x:c r="D4" s="22" t="n">
        <x:v>3</x:v>
      </x:c>
      <x:c r="E4" s="22" t="n">
        <x:v>3</x:v>
      </x:c>
      <x:c r="F4" s="22" t="n">
        <x:v>1</x:v>
      </x:c>
      <x:c r="G4" s="22" t="n">
        <x:v>7500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</x:row>
    <x:row r="5" ht="32" customHeight="1">
      <x:c r="A5" s="22" t="str">
        <x:v>生肖4</x:v>
      </x:c>
      <x:c r="B5" s="22" t="str">
        <x:v>无月卯兔</x:v>
      </x:c>
      <x:c r="C5" s="22" t="n">
        <x:v>32</x:v>
      </x:c>
      <x:c r="D5" s="22" t="n">
        <x:v>3</x:v>
      </x:c>
      <x:c r="E5" s="22" t="n">
        <x:v>0</x:v>
      </x:c>
      <x:c r="F5" s="22" t="n">
        <x:v>0</x:v>
      </x:c>
      <x:c r="G5" s="22" t="n">
        <x:v>8000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</x:row>
    <x:row r="6" ht="32" customHeight="1">
      <x:c r="A6" s="22" t="str">
        <x:v>生肖5</x:v>
      </x:c>
      <x:c r="B6" s="22" t="str">
        <x:v>猎犬辰龙</x:v>
      </x:c>
      <x:c r="C6" s="22" t="n">
        <x:v>38</x:v>
      </x:c>
      <x:c r="D6" s="22" t="n">
        <x:v>3</x:v>
      </x:c>
      <x:c r="E6" s="22" t="n">
        <x:v>2</x:v>
      </x:c>
      <x:c r="F6" s="22" t="n">
        <x:v>0</x:v>
      </x:c>
      <x:c r="G6" s="22" t="n">
        <x:v>6500</x:v>
      </x:c>
      <x:c r="H6" s="22" t="n">
        <x:v>0</x:v>
      </x:c>
      <x:c r="I6" s="22" t="n">
        <x:v>0</x:v>
      </x:c>
      <x:c r="J6" s="22" t="n">
        <x:v>0</x:v>
      </x:c>
      <x:c r="K6" s="22" t="n">
        <x:v>0</x:v>
      </x:c>
    </x:row>
    <x:row r="7" ht="32" customHeight="1">
      <x:c r="A7" s="22" t="str">
        <x:v>生肖6</x:v>
      </x:c>
      <x:c r="B7" s="22" t="str">
        <x:v>祖魂巳蛇</x:v>
      </x:c>
      <x:c r="C7" s="22" t="n">
        <x:v>35</x:v>
      </x:c>
      <x:c r="D7" s="22" t="n">
        <x:v>2</x:v>
      </x:c>
      <x:c r="E7" s="22" t="n">
        <x:v>0</x:v>
      </x:c>
      <x:c r="F7" s="22" t="n">
        <x:v>0</x:v>
      </x:c>
      <x:c r="G7" s="22" t="n">
        <x:v>10000</x:v>
      </x:c>
      <x:c r="H7" s="22" t="n">
        <x:v>1</x:v>
      </x:c>
      <x:c r="I7" s="22" t="n">
        <x:v>0</x:v>
      </x:c>
      <x:c r="J7" s="22" t="n">
        <x:v>0</x:v>
      </x:c>
      <x:c r="K7" s="22" t="n">
        <x:v>0</x:v>
      </x:c>
    </x:row>
    <x:row r="8" ht="32" customHeight="1">
      <x:c r="A8" s="22" t="str">
        <x:v>生肖7</x:v>
      </x:c>
      <x:c r="B8" s="22" t="str">
        <x:v>死水午马</x:v>
      </x:c>
      <x:c r="C8" s="22" t="n">
        <x:v>45</x:v>
      </x:c>
      <x:c r="D8" s="22" t="n">
        <x:v>3</x:v>
      </x:c>
      <x:c r="E8" s="22" t="n">
        <x:v>2</x:v>
      </x:c>
      <x:c r="F8" s="22" t="n">
        <x:v>0</x:v>
      </x:c>
      <x:c r="G8" s="22" t="n">
        <x:v>11000</x:v>
      </x:c>
      <x:c r="H8" s="22" t="n">
        <x:v>0</x:v>
      </x:c>
      <x:c r="I8" s="22" t="n">
        <x:v>0</x:v>
      </x:c>
      <x:c r="J8" s="22" t="n">
        <x:v>0</x:v>
      </x:c>
      <x:c r="K8" s="22" t="n">
        <x:v>0</x:v>
      </x:c>
    </x:row>
    <x:row r="9" ht="32" customHeight="1">
      <x:c r="A9" s="22" t="str">
        <x:v>生肖8</x:v>
      </x:c>
      <x:c r="B9" s="22" t="str">
        <x:v>葬日未羊</x:v>
      </x:c>
      <x:c r="C9" s="22" t="n">
        <x:v>40</x:v>
      </x:c>
      <x:c r="D9" s="22" t="n">
        <x:v>3</x:v>
      </x:c>
      <x:c r="E9" s="22" t="n">
        <x:v>0</x:v>
      </x:c>
      <x:c r="F9" s="22" t="n">
        <x:v>0</x:v>
      </x:c>
      <x:c r="G9" s="22" t="n">
        <x:v>12000</x:v>
      </x:c>
      <x:c r="H9" s="22" t="n">
        <x:v>1</x:v>
      </x:c>
      <x:c r="I9" s="22" t="n">
        <x:v>0</x:v>
      </x:c>
      <x:c r="J9" s="22" t="n">
        <x:v>0</x:v>
      </x:c>
      <x:c r="K9" s="22" t="n">
        <x:v>0</x:v>
      </x:c>
    </x:row>
    <x:row r="10" ht="32" customHeight="1">
      <x:c r="A10" s="22" t="str">
        <x:v>生肖9</x:v>
      </x:c>
      <x:c r="B10" s="22" t="str">
        <x:v>雷冠申猴</x:v>
      </x:c>
      <x:c r="C10" s="22" t="n">
        <x:v>55</x:v>
      </x:c>
      <x:c r="D10" s="22" t="n">
        <x:v>4</x:v>
      </x:c>
      <x:c r="E10" s="22" t="n">
        <x:v>3</x:v>
      </x:c>
      <x:c r="F10" s="22" t="n">
        <x:v>2</x:v>
      </x:c>
      <x:c r="G10" s="22" t="n">
        <x:v>8000</x:v>
      </x:c>
      <x:c r="H10" s="22" t="n">
        <x:v>0</x:v>
      </x:c>
      <x:c r="I10" s="22" t="n">
        <x:v>0</x:v>
      </x:c>
      <x:c r="J10" s="22" t="n">
        <x:v>0</x:v>
      </x:c>
      <x:c r="K10" s="22" t="n">
        <x:v>0</x:v>
      </x:c>
    </x:row>
    <x:row r="11" ht="32" customHeight="1">
      <x:c r="A11" s="22" t="str">
        <x:v>生肖10</x:v>
      </x:c>
      <x:c r="B11" s="22" t="str">
        <x:v>恶兆酉鸡</x:v>
      </x:c>
      <x:c r="C11" s="22" t="n">
        <x:v>50</x:v>
      </x:c>
      <x:c r="D11" s="22" t="n">
        <x:v>3</x:v>
      </x:c>
      <x:c r="E11" s="22" t="n">
        <x:v>0</x:v>
      </x:c>
      <x:c r="F11" s="22" t="n">
        <x:v>0</x:v>
      </x:c>
      <x:c r="G11" s="22" t="n">
        <x:v>10000</x:v>
      </x:c>
      <x:c r="H11" s="22" t="n">
        <x:v>0</x:v>
      </x:c>
      <x:c r="I11" s="22" t="n">
        <x:v>0</x:v>
      </x:c>
      <x:c r="J11" s="22" t="n">
        <x:v>0</x:v>
      </x:c>
      <x:c r="K11" s="22" t="n">
        <x:v>1</x:v>
      </x:c>
    </x:row>
    <x:row r="12" ht="32" customHeight="1">
      <x:c r="A12" s="22" t="str">
        <x:v>生肖11</x:v>
      </x:c>
      <x:c r="B12" s="22" t="str">
        <x:v>失乡戌狗</x:v>
      </x:c>
      <x:c r="C12" s="22" t="n">
        <x:v>65</x:v>
      </x:c>
      <x:c r="D12" s="22" t="n">
        <x:v>4</x:v>
      </x:c>
      <x:c r="E12" s="22" t="n">
        <x:v>0</x:v>
      </x:c>
      <x:c r="F12" s="22" t="n">
        <x:v>0</x:v>
      </x:c>
      <x:c r="G12" s="22" t="n">
        <x:v>14500</x:v>
      </x:c>
      <x:c r="H12" s="22" t="n">
        <x:v>2</x:v>
      </x:c>
      <x:c r="I12" s="22" t="n">
        <x:v>0</x:v>
      </x:c>
      <x:c r="J12" s="22" t="n">
        <x:v>0</x:v>
      </x:c>
      <x:c r="K12" s="22" t="n">
        <x:v>0</x:v>
      </x:c>
    </x:row>
    <x:row r="13" ht="32" customHeight="1">
      <x:c r="A13" s="22" t="str">
        <x:v>生肖12</x:v>
      </x:c>
      <x:c r="B13" s="22" t="str">
        <x:v>接肢亥猪</x:v>
      </x:c>
      <x:c r="C13" s="22" t="n">
        <x:v>75</x:v>
      </x:c>
      <x:c r="D13" s="22" t="n">
        <x:v>5</x:v>
      </x:c>
      <x:c r="E13" s="22" t="n">
        <x:v>5</x:v>
      </x:c>
      <x:c r="F13" s="22" t="n">
        <x:v>2</x:v>
      </x:c>
      <x:c r="G13" s="22" t="n">
        <x:v>18000</x:v>
      </x:c>
      <x:c r="H13" s="22" t="n">
        <x:v>0</x:v>
      </x:c>
      <x:c r="I13" s="22" t="n">
        <x:v>1</x:v>
      </x:c>
      <x:c r="J13" s="22" t="n">
        <x:v>1</x:v>
      </x:c>
      <x:c r="K13" s="22" t="n">
        <x:v>0</x:v>
      </x:c>
    </x:row>
    <x:row r="15" ht="40" customHeight="1">
      <x:c r="A15" s="51" t="str">
        <x:v>12个不同槽位同时穿戴合计</x:v>
      </x:c>
      <x:c r="B15" s="51"/>
      <x:c r="C15" s="51" t="n">
        <x:f>SUM(C2:C13)</x:f>
        <x:v>547</x:v>
      </x:c>
      <x:c r="D15" s="51" t="n">
        <x:f>SUM(D2:D13)</x:f>
        <x:v>39</x:v>
      </x:c>
      <x:c r="E15" s="51" t="n">
        <x:f>SUM(E2:E13)</x:f>
        <x:v>16</x:v>
      </x:c>
      <x:c r="F15" s="51" t="n">
        <x:f>SUM(F2:F13)</x:f>
        <x:v>7</x:v>
      </x:c>
      <x:c r="G15" s="51" t="n">
        <x:f>SUM(G2:G13)</x:f>
        <x:v>120500</x:v>
      </x:c>
      <x:c r="H15" s="51" t="n">
        <x:f>SUM(H2:H13)</x:f>
        <x:v>5</x:v>
      </x:c>
      <x:c r="I15" s="51" t="n">
        <x:f>SUM(I2:I13)</x:f>
        <x:v>1</x:v>
      </x:c>
      <x:c r="J15" s="51" t="n">
        <x:f>SUM(J2:J13)</x:f>
        <x:v>1</x:v>
      </x:c>
      <x:c r="K15" s="51" t="n">
        <x:f>SUM(K2:K13)</x:f>
        <x:v>1</x:v>
      </x:c>
    </x:row>
  </x:sheetData>
  <x:mergeCells>
    <x:mergeCell ref="A15:B15"/>
  </x:mergeCells>
  <x:pageMargins left="0.7" right="0.7" top="0.75" bottom="0.75" header="0.3" footer="0.3"/>
  <x:tableParts count="1">
    <x:tablePart xmlns:r="http://schemas.openxmlformats.org/officeDocument/2006/relationships" r:id="Rfea82afa02ea489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67" hidden="0" customWidth="1"/>
  </x:cols>
  <x:sheetData>
    <x:row r="1" ht="36" customHeight="1">
      <x:c r="A1" s="27" t="str">
        <x:v>检查点</x:v>
      </x:c>
      <x:c r="B1" s="27" t="str">
        <x:v>本轮处理</x:v>
      </x:c>
      <x:c r="C1" s="27" t="str">
        <x:v>限制</x:v>
      </x:c>
    </x:row>
    <x:row r="2" ht="52" customHeight="1">
      <x:c r="A2" s="22" t="str">
        <x:v>已有29个编号</x:v>
      </x:c>
      <x:c r="B2" s="22" t="str">
        <x:v>按原C2物品名保留</x:v>
      </x:c>
      <x:c r="C2" s="22" t="str">
        <x:v>没有按表格行号冒认另一装备</x:v>
      </x:c>
    </x:row>
    <x:row r="3" ht="52" customHeight="1">
      <x:c r="A3" s="22" t="str">
        <x:v>生肖12个编号</x:v>
      </x:c>
      <x:c r="B3" s="22" t="str">
        <x:v>6246—6257依次恢复生肖1—12</x:v>
      </x:c>
      <x:c r="C3" s="22" t="str">
        <x:v>来自历史明确指定；不是新造号</x:v>
      </x:c>
    </x:row>
    <x:row r="4" ht="52" customHeight="1">
      <x:c r="A4" s="22" t="str">
        <x:v>20个新视觉映射</x:v>
      </x:c>
      <x:c r="B4" s="22" t="str">
        <x:v>相同资源部位、跨大陆打散</x:v>
      </x:c>
      <x:c r="C4" s="22" t="str">
        <x:v>6个最小距离1、9个距离2、5个距离8；没有同C2同码</x:v>
      </x:c>
    </x:row>
    <x:row r="5" ht="52" customHeight="1">
      <x:c r="A5" s="22" t="str">
        <x:v>数据库Idx</x:v>
      </x:c>
      <x:c r="B5" s="22" t="str">
        <x:v>不分配、不复用</x:v>
      </x:c>
      <x:c r="C5" s="22" t="str">
        <x:v>外观可以复用，物品主键不可以复用。</x:v>
      </x:c>
    </x:row>
    <x:row r="6" ht="52" customHeight="1">
      <x:c r="A6" s="22" t="str">
        <x:v>未同步的NPC/命格</x:v>
      </x:c>
      <x:c r="B6" s="22" t="str">
        <x:v>只读取V1.4/V2.0作为当前输入</x:v>
      </x:c>
      <x:c r="C6" s="22" t="str">
        <x:v>命格攻速突破真实脚本路由仍待平台接入；不凭空编ID</x:v>
      </x:c>
    </x:row>
    <x:row r="7" ht="52" customHeight="1">
      <x:c r="A7" s="22" t="str">
        <x:v>C1旧样板空码</x:v>
      </x:c>
      <x:c r="B7" s="22" t="str">
        <x:v>仍有14处，原样保留</x:v>
      </x:c>
      <x:c r="C7" s="22" t="str">
        <x:v>本批只处理C2，不能据此宣布全游戏资源完整。</x:v>
      </x:c>
    </x:row>
    <x:row r="8" ht="52" customHeight="1">
      <x:c r="A8" s="22" t="str">
        <x:v>旧464历史审计列</x:v>
      </x:c>
      <x:c r="B8" s="22" t="str">
        <x:v>不参与现行源码读取</x:v>
      </x:c>
      <x:c r="C8" s="22" t="str">
        <x:v>当前编号读装备导入表C列；原编号列用于追溯。</x:v>
      </x:c>
    </x:row>
    <x:row r="9" ht="52" customHeight="1">
      <x:c r="A9" s="22" t="str">
        <x:v>物品表现</x:v>
      </x:c>
      <x:c r="B9" s="22" t="str">
        <x:v>已继承或制定外观引用</x:v>
      </x:c>
      <x:c r="C9" s="22" t="str">
        <x:v>未核验实际客户端图标、穿戴动画和本机资源版本。</x:v>
      </x:c>
    </x:row>
    <x:row r="10" ht="52" customHeight="1">
      <x:c r="A10" s="22" t="str">
        <x:v>落地路径</x:v>
      </x:c>
      <x:c r="B10" s="22" t="str">
        <x:v>先平台预检、备份、只更新清单内物品</x:v>
      </x:c>
      <x:c r="C10" s="22" t="str">
        <x:v>不覆盖怪物、爆率、地图、NPC或整个数据库。</x:v>
      </x:c>
    </x:row>
  </x:sheetData>
  <x:pageMargins left="0.7" right="0.7" top="0.75" bottom="0.75" header="0.3" footer="0.3"/>
  <x:tableParts count="1">
    <x:tablePart xmlns:r="http://schemas.openxmlformats.org/officeDocument/2006/relationships" r:id="R05bc16c4ceb54b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  <x:col min="3" max="3" width="67" hidden="0" customWidth="1"/>
    <x:col min="4" max="4" width="36" hidden="0" customWidth="1"/>
  </x:cols>
  <x:sheetData>
    <x:row r="1" ht="36" customHeight="1">
      <x:c r="A1" s="27" t="str">
        <x:v>来源键</x:v>
      </x:c>
      <x:c r="B1" s="27" t="str">
        <x:v>文件</x:v>
      </x:c>
      <x:c r="C1" s="27" t="str">
        <x:v>SHA256</x:v>
      </x:c>
      <x:c r="D1" s="27" t="str">
        <x:v>用途</x:v>
      </x:c>
    </x:row>
    <x:row r="2" ht="46" customHeight="1">
      <x:c r="A2" s="22" t="str">
        <x:v>sets</x:v>
      </x:c>
      <x:c r="B2" s="22" t="str">
        <x:v>03_第一二大陆20套制式装备_69列平台表.xlsx</x:v>
      </x:c>
      <x:c r="C2" s="22" t="str">
        <x:v>8ea65f3f6b375d41b72a49c65347b6c9f5396914abed78135e36511bd90b5145</x:v>
      </x:c>
      <x:c r="D2" s="22" t="str">
        <x:v>只读输入，原文件保持不变</x:v>
      </x:c>
    </x:row>
    <x:row r="3" ht="46" customHeight="1">
      <x:c r="A3" s="22" t="str">
        <x:v>special</x:v>
      </x:c>
      <x:c r="B3" s="22" t="str">
        <x:v>04_第一二大陆105件专属装备_69列平台表.xlsx</x:v>
      </x:c>
      <x:c r="C3" s="22" t="str">
        <x:v>b62450a6eb5c3c50eb387cd28f8566ed82709c8a2b6f17e115702707eed946a1</x:v>
      </x:c>
      <x:c r="D3" s="22" t="str">
        <x:v>只读输入，原文件保持不变</x:v>
      </x:c>
    </x:row>
    <x:row r="4" ht="46" customHeight="1">
      <x:c r="A4" s="22" t="str">
        <x:v>c2map</x:v>
      </x:c>
      <x:c r="B4" s="22" t="str">
        <x:v>宁姆格福_完整怪物装备任务爆率规划.xlsx</x:v>
      </x:c>
      <x:c r="C4" s="22" t="str">
        <x:v>5fc45169e309c8a0f6a7f7598bb57e667ef57ca3595c94d4ca9dc1987e392277</x:v>
      </x:c>
      <x:c r="D4" s="22" t="str">
        <x:v>只读输入，原文件保持不变</x:v>
      </x:c>
    </x:row>
    <x:row r="5" ht="46" customHeight="1">
      <x:c r="A5" s="22" t="str">
        <x:v>c1</x:v>
      </x:c>
      <x:c r="B5" s="22" t="str">
        <x:v>09_第一大陆118件_规则修订审核稿_V4.xlsx</x:v>
      </x:c>
      <x:c r="C5" s="22" t="str">
        <x:v>cb85a81f85179937ffeb1f2722f5647ffdf89f7b0f5fd3c2931502291e2de25b</x:v>
      </x:c>
      <x:c r="D5" s="22" t="str">
        <x:v>只读输入，原文件保持不变</x:v>
      </x:c>
    </x:row>
    <x:row r="6" ht="46" customHeight="1">
      <x:c r="A6" s="22" t="str">
        <x:v>c3</x:v>
      </x:c>
      <x:c r="B6" s="22" t="str">
        <x:v>02_C3-C10原464专属_69列重规划_V2.1_来源编号修正版.xlsx</x:v>
      </x:c>
      <x:c r="C6" s="22" t="str">
        <x:v>5a7b7d19fe0508afb8b1ff5ea145fce4ab3bd646eaf100942f363f3713de7ec8</x:v>
      </x:c>
      <x:c r="D6" s="22" t="str">
        <x:v>只读输入，原文件保持不变</x:v>
      </x:c>
    </x:row>
    <x:row r="7" ht="46" customHeight="1">
      <x:c r="A7" s="22" t="str">
        <x:v>add56</x:v>
      </x:c>
      <x:c r="B7" s="22" t="str">
        <x:v>03_新增56件时装与时装生肖_69列审核稿_V1.1_已分配编号.xlsx</x:v>
      </x:c>
      <x:c r="C7" s="22" t="str">
        <x:v>48b3a5795baf2c06690e98c7a9c32ed973d2c83677e099f6385e0ee7df370d04</x:v>
      </x:c>
      <x:c r="D7" s="22" t="str">
        <x:v>只读输入，原文件保持不变</x:v>
      </x:c>
    </x:row>
    <x:row r="8" ht="46" customHeight="1">
      <x:c r="A8" s="22" t="str">
        <x:v>craft</x:v>
      </x:c>
      <x:c r="B8" s="22" t="str">
        <x:v>04_38件合成装备_69列重规划_V2.1_已分配编号.xlsx</x:v>
      </x:c>
      <x:c r="C8" s="22" t="str">
        <x:v>7618527fb0b48f1cf958e70480008da9c7f70841760f208d2e37d8c56a26244e</x:v>
      </x:c>
      <x:c r="D8" s="22" t="str">
        <x:v>只读输入，原文件保持不变</x:v>
      </x:c>
    </x:row>
    <x:row r="9" ht="46" customHeight="1">
      <x:c r="A9" s="22" t="str">
        <x:v>codes</x:v>
      </x:c>
      <x:c r="B9" s="22" t="str">
        <x:v>05_装备来源编号分配总账_V1.0.xlsx</x:v>
      </x:c>
      <x:c r="C9" s="22" t="str">
        <x:v>51234f3d01b1175b8812d36c37d24e9d427b1883330b99d3b986f8ed52166cbf</x:v>
      </x:c>
      <x:c r="D9" s="22" t="str">
        <x:v>只读输入，原文件保持不变</x:v>
      </x:c>
    </x:row>
    <x:row r="10" ht="46" customHeight="1">
      <x:c r="A10" s="22" t="str">
        <x:v>fates</x:v>
      </x:c>
      <x:c r="B10" s="22" t="str">
        <x:v>41_命格内容与多色属性_V2.0_五色各20定稿.xlsx</x:v>
      </x:c>
      <x:c r="C10" s="22" t="str">
        <x:v>8926694d51855baf8e26fedef229496d50e42f8e47732734b74e9f870b25f8d7</x:v>
      </x:c>
      <x:c r="D10" s="22" t="str">
        <x:v>只读输入，原文件保持不变</x:v>
      </x:c>
    </x:row>
    <x:row r="11" ht="46" customHeight="1">
      <x:c r="A11" s="22" t="str">
        <x:v>npc</x:v>
      </x:c>
      <x:c r="B11" s="22" t="str">
        <x:v>NPC奖励与永久成长数值总控_V1.4_命格与C2成长装备修订.xlsx</x:v>
      </x:c>
      <x:c r="C11" s="22" t="str">
        <x:v>f20d996aec6aca98d0f908375d4dc2818a09c7fe36278b16fff7da3970102665</x:v>
      </x:c>
      <x:c r="D11" s="22" t="str">
        <x:v>只读输入，原文件保持不变</x:v>
      </x:c>
    </x:row>
    <x:row r="12" ht="46" customHeight="1">
      <x:c r="A12" s="22" t="str">
        <x:v>design</x:v>
      </x:c>
      <x:c r="B12" s="22" t="str">
        <x:v>01_装备重规划总纲_V2.0.xlsx</x:v>
      </x:c>
      <x:c r="C12" s="22" t="str">
        <x:v>c6bb32b5e886ad6c0ac672241a9a95ffb82a54b9fd147741cefc28a0a7ab54d9</x:v>
      </x:c>
      <x:c r="D12" s="22" t="str">
        <x:v>只读输入，原文件保持不变</x:v>
      </x:c>
    </x:row>
  </x:sheetData>
  <x:pageMargins left="0.7" right="0.7" top="0.75" bottom="0.75" header="0.3" footer="0.3"/>
  <x:tableParts count="1">
    <x:tablePart xmlns:r="http://schemas.openxmlformats.org/officeDocument/2006/relationships" r:id="Rf319d1c8953046f5"/>
  </x:tableParts>
</x:worksheet>
</file>