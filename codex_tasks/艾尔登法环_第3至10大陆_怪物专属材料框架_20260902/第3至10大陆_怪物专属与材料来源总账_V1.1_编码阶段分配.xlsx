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worksheets/sheet9.xml" ContentType="application/vnd.openxmlformats-officedocument.spreadsheetml.worksheet+xml"/>
  <Override PartName="/xl/tables/table10.xml" ContentType="application/vnd.openxmlformats-officedocument.spreadsheetml.table+xml"/>
  <Override PartName="/xl/worksheets/sheet10.xml" ContentType="application/vnd.openxmlformats-officedocument.spreadsheetml.worksheet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worksheets/sheet11.xml" ContentType="application/vnd.openxmlformats-officedocument.spreadsheetml.worksheet+xml"/>
  <Override PartName="/xl/tables/table1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785655a2ae04d5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使用说明" sheetId="1" r:id="Re7e4f96b60f849e3"/>
    <x:sheet xmlns:r="http://schemas.openxmlformats.org/officeDocument/2006/relationships" name="01_地图总览" sheetId="2" r:id="Ra10db09bd3ef4711"/>
    <x:sheet xmlns:r="http://schemas.openxmlformats.org/officeDocument/2006/relationships" name="02_怪物与专属" sheetId="3" r:id="R38c816ee15104812"/>
    <x:sheet xmlns:r="http://schemas.openxmlformats.org/officeDocument/2006/relationships" name="03_材料来源" sheetId="4" r:id="R8f69f5df3ecc4106"/>
    <x:sheet xmlns:r="http://schemas.openxmlformats.org/officeDocument/2006/relationships" name="04_部位统计" sheetId="5" r:id="R00b446e0a28f4b78"/>
    <x:sheet xmlns:r="http://schemas.openxmlformats.org/officeDocument/2006/relationships" name="05_独立奖池与六神器" sheetId="6" r:id="Rb77e92736e31494a"/>
    <x:sheet xmlns:r="http://schemas.openxmlformats.org/officeDocument/2006/relationships" name="06_校验报告" sheetId="7" r:id="R626d939544ac4cde"/>
    <x:sheet xmlns:r="http://schemas.openxmlformats.org/officeDocument/2006/relationships" name="07_编码与后续" sheetId="8" r:id="R306a9a9d3af7452f"/>
    <x:sheet xmlns:r="http://schemas.openxmlformats.org/officeDocument/2006/relationships" name="08_专属编码分配" sheetId="9" r:id="Rc9499534640045f1"/>
    <x:sheet xmlns:r="http://schemas.openxmlformats.org/officeDocument/2006/relationships" name="09_编码缺口" sheetId="10" r:id="Rc77297998d9647bd"/>
    <x:sheet xmlns:r="http://schemas.openxmlformats.org/officeDocument/2006/relationships" name="10_编码验收" sheetId="11" r:id="R2519b69991c4470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1">
    <x:font>
      <x:sz val="11"/>
      <x:name val="Carlito"/>
    </x:font>
    <x:font>
      <x:b/>
      <x:sz val="16"/>
      <x:color rgb="FFFFFFFF"/>
      <x:name val="Noto Sans SC Thin"/>
    </x:font>
    <x:font>
      <x:sz val="10"/>
      <x:color rgb="FF4B5563"/>
      <x:name val="Noto Sans SC Thin"/>
    </x:font>
    <x:font>
      <x:b/>
      <x:sz val="10"/>
      <x:color rgb="FFFFFFFF"/>
      <x:name val="Noto Sans SC Thin"/>
    </x:font>
    <x:font>
      <x:sz val="10"/>
      <x:color rgb="FF20242A"/>
      <x:name val="Noto Sans SC Thin"/>
    </x:font>
    <x:font>
      <x:b/>
      <x:sz val="11"/>
      <x:color rgb="FFFFFFFF"/>
      <x:name val="Noto Sans SC Thin"/>
    </x:font>
    <x:font>
      <x:b/>
      <x:sz val="10"/>
      <x:color rgb="FF20242A"/>
      <x:name val="Noto Sans SC Thin"/>
    </x:font>
    <x:font>
      <x:b/>
      <x:sz val="16"/>
      <x:color rgb="FFFFFFFF"/>
      <x:name val="Microsoft YaHei"/>
    </x:font>
    <x:font>
      <x:sz val="10"/>
      <x:color rgb="FF4B5563"/>
      <x:name val="Microsoft YaHei"/>
    </x:font>
    <x:font>
      <x:b/>
      <x:sz val="10"/>
      <x:color rgb="FFFFFFFF"/>
      <x:name val="Microsoft YaHei"/>
    </x:font>
    <x:font>
      <x:sz val="10"/>
      <x:color rgb="FF20242A"/>
      <x:name val="Microsoft YaHei"/>
    </x:font>
  </x:fonts>
  <x:fills count="13">
    <x:fill>
      <x:patternFill patternType="none"/>
    </x:fill>
    <x:fill>
      <x:patternFill patternType="gray125"/>
    </x:fill>
    <x:fill>
      <x:patternFill patternType="solid">
        <x:fgColor rgb="FF1F2937"/>
      </x:patternFill>
    </x:fill>
    <x:fill>
      <x:patternFill patternType="solid">
        <x:fgColor rgb="FFF4F1E8"/>
      </x:patternFill>
    </x:fill>
    <x:fill>
      <x:patternFill patternType="solid">
        <x:fgColor rgb="FFB78B2E"/>
      </x:patternFill>
    </x:fill>
    <x:fill>
      <x:patternFill patternType="solid">
        <x:fgColor rgb="FFE5F3E8"/>
      </x:patternFill>
    </x:fill>
    <x:fill>
      <x:patternFill patternType="solid">
        <x:fgColor rgb="FFFFF3CD"/>
      </x:patternFill>
    </x:fill>
    <x:fill>
      <x:patternFill patternType="solid">
        <x:fgColor rgb="FFFBE4E6"/>
      </x:patternFill>
    </x:fill>
    <x:fill>
      <x:patternFill patternType="solid">
        <x:fgColor rgb="FFFFF3CD"/>
      </x:patternFill>
    </x:fill>
    <x:fill>
      <x:patternFill patternType="solid">
        <x:fgColor rgb="FFE6F4EA"/>
      </x:patternFill>
    </x:fill>
    <x:fill>
      <x:patternFill patternType="solid">
        <x:fgColor rgb="FFF3F4F6"/>
      </x:patternFill>
    </x:fill>
    <x:fill>
      <x:patternFill patternType="solid">
        <x:fgColor rgb="FF1F2937"/>
      </x:patternFill>
    </x:fill>
    <x:fill>
      <x:patternFill patternType="solid">
        <x:fgColor rgb="FFC59B3B"/>
      </x:patternFill>
    </x:fill>
  </x:fills>
  <x:borders count="17">
    <x:border/>
    <x:border>
      <x:left style="thin">
        <x:color rgb="FFD8D2C4"/>
      </x:left>
      <x:right style="thin">
        <x:color rgb="FFD8D2C4"/>
      </x:right>
      <x:top style="thin">
        <x:color rgb="FFD8D2C4"/>
      </x:top>
      <x:bottom style="thin">
        <x:color rgb="FFD8D2C4"/>
      </x:bottom>
    </x:border>
    <x:border>
      <x:bottom style="thin">
        <x:color rgb="FFE7E2D8"/>
      </x:bottom>
    </x:border>
    <x:border>
      <x:top style="thin">
        <x:color rgb="FFE7E2D8"/>
      </x:top>
      <x:bottom style="thin">
        <x:color rgb="FFE7E2D8"/>
      </x:bottom>
    </x:border>
    <x:border>
      <x:left style="thin">
        <x:color rgb="FFD6D9DE"/>
      </x:left>
      <x:right style="thin">
        <x:color rgb="FFD6D9DE"/>
      </x:right>
      <x:top style="thin">
        <x:color rgb="FFD6D9DE"/>
      </x:top>
      <x:bottom style="thin">
        <x:color rgb="FFD6D9DE"/>
      </x:bottom>
    </x:border>
    <x:border>
      <x:right style="thin">
        <x:color rgb="FFE5E7EB"/>
      </x:right>
      <x:bottom style="thin">
        <x:color rgb="FFE5E7EB"/>
      </x:bottom>
    </x:border>
    <x:border>
      <x:left style="thin">
        <x:color rgb="FFE5E7EB"/>
      </x:left>
      <x:right style="thin">
        <x:color rgb="FFE5E7EB"/>
      </x:right>
      <x:bottom style="thin">
        <x:color rgb="FFE5E7EB"/>
      </x:bottom>
    </x:border>
    <x:border>
      <x:left style="thin">
        <x:color rgb="FFE5E7EB"/>
      </x:left>
      <x:bottom style="thin">
        <x:color rgb="FFE5E7EB"/>
      </x:bottom>
    </x:border>
    <x:border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left style="thin">
        <x:color rgb="FFE5E7EB"/>
      </x:left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left style="thin">
        <x:color rgb="FFE5E7EB"/>
      </x:left>
      <x:top style="thin">
        <x:color rgb="FFE5E7EB"/>
      </x:top>
      <x:bottom style="thin">
        <x:color rgb="FFE5E7EB"/>
      </x:bottom>
    </x:border>
    <x:border>
      <x:right style="thin">
        <x:color rgb="FFE5E7EB"/>
      </x:right>
      <x:top style="thin">
        <x:color rgb="FFE5E7EB"/>
      </x:top>
    </x:border>
    <x:border>
      <x:left style="thin">
        <x:color rgb="FFE5E7EB"/>
      </x:left>
      <x:right style="thin">
        <x:color rgb="FFE5E7EB"/>
      </x:right>
      <x:top style="thin">
        <x:color rgb="FFE5E7EB"/>
      </x:top>
    </x:border>
    <x:border>
      <x:left style="thin">
        <x:color rgb="FFE5E7EB"/>
      </x:left>
      <x:top style="thin">
        <x:color rgb="FFE5E7EB"/>
      </x:top>
    </x:border>
    <x:border>
      <x:right style="thin">
        <x:color rgb="FFE5E7EB"/>
      </x:right>
    </x:border>
    <x:border>
      <x:left style="thin">
        <x:color rgb="FFE5E7EB"/>
      </x:left>
      <x:right style="thin">
        <x:color rgb="FFE5E7EB"/>
      </x:right>
    </x:border>
    <x:border>
      <x:left style="thin">
        <x:color rgb="FFE5E7EB"/>
      </x:left>
    </x:border>
  </x:borders>
  <x:cellStyleXfs count="1">
    <x:xf numFmtId="0" fontId="0" fillId="0" borderId="0"/>
  </x:cellStyleXfs>
  <x:cellXfs count="9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0" fontId="4" fillId="0" borderId="2" xfId="0" applyNumberFormat="1" applyFont="1" applyFill="1" applyBorder="1" applyAlignment="1">
      <x:alignment wrapText="1"/>
    </x:xf>
    <x:xf numFmtId="0" fontId="4" fillId="0" borderId="3" xfId="0" applyNumberFormat="1" applyFont="1" applyFill="1" applyBorder="1" applyAlignment="1">
      <x:alignment wrapText="1"/>
    </x:xf>
    <x:xf numFmtId="0" fontId="4" fillId="0" borderId="2" xfId="0" applyNumberFormat="1" applyFont="1" applyFill="1" applyBorder="1" applyAlignment="1">
      <x:alignment vertical="center" wrapText="1"/>
    </x:xf>
    <x:xf numFmtId="0" fontId="4" fillId="0" borderId="3" xfId="0" applyNumberFormat="1" applyFont="1" applyFill="1" applyBorder="1" applyAlignment="1">
      <x:alignment vertical="center" wrapText="1"/>
    </x:xf>
    <x:xf numFmtId="0" fontId="4" fillId="5" borderId="2" xfId="0" applyNumberFormat="1" applyFont="1" applyFill="1" applyBorder="1" applyAlignment="1">
      <x:alignment vertical="center" wrapText="1"/>
    </x:xf>
    <x:xf numFmtId="0" fontId="4" fillId="5" borderId="3" xfId="0" applyNumberFormat="1" applyFont="1" applyFill="1" applyBorder="1" applyAlignment="1">
      <x:alignment vertical="center" wrapText="1"/>
    </x:xf>
    <x:xf numFmtId="0" fontId="5" fillId="4" borderId="0" xfId="0" applyNumberFormat="1" applyFont="1" applyFill="1" applyBorder="1"/>
    <x:xf numFmtId="0" fontId="5" fillId="4" borderId="0" xfId="0" applyNumberFormat="1" applyFont="1" applyFill="1" applyBorder="1" applyAlignment="1">
      <x:alignment vertical="center"/>
    </x:xf>
    <x:xf numFmtId="0" fontId="6" fillId="4" borderId="0" xfId="0" applyNumberFormat="1" applyFont="1" applyFill="1" applyBorder="1" applyAlignment="1">
      <x:alignment vertical="center"/>
    </x:xf>
    <x:xf numFmtId="0" fontId="6" fillId="4" borderId="3" xfId="0" applyNumberFormat="1" applyFont="1" applyFill="1" applyBorder="1" applyAlignment="1">
      <x:alignment vertical="center"/>
    </x:xf>
    <x:xf numFmtId="0" fontId="6" fillId="4" borderId="3" xfId="0" applyNumberFormat="1" applyFont="1" applyFill="1" applyBorder="1" applyAlignment="1">
      <x:alignment vertical="center" wrapText="1"/>
    </x:xf>
    <x:xf numFmtId="0" fontId="4" fillId="6" borderId="2" xfId="0" applyNumberFormat="1" applyFont="1" applyFill="1" applyBorder="1" applyAlignment="1">
      <x:alignment vertical="center" wrapText="1"/>
    </x:xf>
    <x:xf numFmtId="0" fontId="4" fillId="6" borderId="3" xfId="0" applyNumberFormat="1" applyFont="1" applyFill="1" applyBorder="1" applyAlignment="1">
      <x:alignment vertical="center" wrapText="1"/>
    </x:xf>
    <x:xf numFmtId="0" fontId="4" fillId="7" borderId="2" xfId="0" applyNumberFormat="1" applyFont="1" applyFill="1" applyBorder="1" applyAlignment="1">
      <x:alignment vertical="center" wrapText="1"/>
    </x:xf>
    <x:xf numFmtId="0" fontId="4" fillId="7" borderId="3" xfId="0" applyNumberFormat="1" applyFont="1" applyFill="1" applyBorder="1" applyAlignment="1">
      <x:alignment vertical="center" wrapText="1"/>
    </x:xf>
    <x:xf numFmtId="0" fontId="4" fillId="8" borderId="2" xfId="0" applyNumberFormat="1" applyFont="1" applyFill="1" applyBorder="1" applyAlignment="1">
      <x:alignment vertical="center" wrapText="1"/>
    </x:xf>
    <x:xf numFmtId="0" fontId="4" fillId="9" borderId="3" xfId="0" applyNumberFormat="1" applyFont="1" applyFill="1" applyBorder="1" applyAlignment="1">
      <x:alignment vertical="center" wrapText="1"/>
    </x:xf>
    <x:xf numFmtId="0" fontId="4" fillId="8" borderId="3" xfId="0" applyNumberFormat="1" applyFont="1" applyFill="1" applyBorder="1" applyAlignment="1">
      <x:alignment vertical="center" wrapText="1"/>
    </x:xf>
    <x:xf numFmtId="0" fontId="4" fillId="10" borderId="2" xfId="0" applyNumberFormat="1" applyFont="1" applyFill="1" applyBorder="1" applyAlignment="1">
      <x:alignment vertical="center" wrapText="1"/>
    </x:xf>
    <x:xf numFmtId="0" fontId="4" fillId="10" borderId="3" xfId="0" applyNumberFormat="1" applyFont="1" applyFill="1" applyBorder="1" applyAlignment="1">
      <x:alignment vertical="center" wrapText="1"/>
    </x:xf>
    <x:xf numFmtId="0" fontId="0" fillId="11" borderId="0" xfId="0" applyNumberFormat="1" applyFont="1" applyFill="1" applyBorder="1"/>
    <x:xf numFmtId="0" fontId="7" fillId="11" borderId="0" xfId="0" applyNumberFormat="1" applyFont="1" applyFill="1" applyBorder="1"/>
    <x:xf numFmtId="0" fontId="7" fillId="11" borderId="0" xfId="0" applyNumberFormat="1" applyFont="1" applyFill="1" applyBorder="1" applyAlignment="1">
      <x:alignment vertical="center"/>
    </x:xf>
    <x:xf numFmtId="0" fontId="0" fillId="10" borderId="0" xfId="0" applyNumberFormat="1" applyFont="1" applyFill="1" applyBorder="1"/>
    <x:xf numFmtId="0" fontId="8" fillId="10" borderId="0" xfId="0" applyNumberFormat="1" applyFont="1" applyFill="1" applyBorder="1"/>
    <x:xf numFmtId="0" fontId="8" fillId="10" borderId="0" xfId="0" applyNumberFormat="1" applyFont="1" applyFill="1" applyBorder="1" applyAlignment="1">
      <x:alignment wrapText="1"/>
    </x:xf>
    <x:xf numFmtId="0" fontId="8" fillId="10" borderId="0" xfId="0" applyNumberFormat="1" applyFont="1" applyFill="1" applyBorder="1" applyAlignment="1">
      <x:alignment vertical="center" wrapText="1"/>
    </x:xf>
    <x:xf numFmtId="0" fontId="0" fillId="12" borderId="0" xfId="0" applyNumberFormat="1" applyFont="1" applyFill="1" applyBorder="1"/>
    <x:xf numFmtId="0" fontId="9" fillId="12" borderId="0" xfId="0" applyNumberFormat="1" applyFont="1" applyFill="1" applyBorder="1"/>
    <x:xf numFmtId="0" fontId="9" fillId="12" borderId="4" xfId="0" applyNumberFormat="1" applyFont="1" applyFill="1" applyBorder="1"/>
    <x:xf numFmtId="0" fontId="9" fillId="12" borderId="4" xfId="0" applyNumberFormat="1" applyFont="1" applyFill="1" applyBorder="1" applyAlignment="1">
      <x:alignment wrapText="1"/>
    </x:xf>
    <x:xf numFmtId="0" fontId="9" fillId="12" borderId="4" xfId="0" applyNumberFormat="1" applyFont="1" applyFill="1" applyBorder="1" applyAlignment="1">
      <x:alignment horizontal="center" wrapText="1"/>
    </x:xf>
    <x:xf numFmtId="0" fontId="9" fillId="12" borderId="4" xfId="0" applyNumberFormat="1" applyFont="1" applyFill="1" applyBorder="1" applyAlignment="1">
      <x:alignment horizontal="center" vertical="center" wrapText="1"/>
    </x:xf>
    <x:xf numFmtId="0" fontId="10" fillId="0" borderId="0" xfId="0" applyNumberFormat="1" applyFont="1" applyFill="1" applyBorder="1"/>
    <x:xf numFmtId="0" fontId="10" fillId="0" borderId="5" xfId="0" applyNumberFormat="1" applyFont="1" applyFill="1" applyBorder="1"/>
    <x:xf numFmtId="0" fontId="10" fillId="0" borderId="6" xfId="0" applyNumberFormat="1" applyFont="1" applyFill="1" applyBorder="1"/>
    <x:xf numFmtId="0" fontId="10" fillId="0" borderId="7" xfId="0" applyNumberFormat="1" applyFont="1" applyFill="1" applyBorder="1"/>
    <x:xf numFmtId="0" fontId="10" fillId="0" borderId="8" xfId="0" applyNumberFormat="1" applyFont="1" applyFill="1" applyBorder="1"/>
    <x:xf numFmtId="0" fontId="10" fillId="0" borderId="9" xfId="0" applyNumberFormat="1" applyFont="1" applyFill="1" applyBorder="1"/>
    <x:xf numFmtId="0" fontId="10" fillId="0" borderId="10" xfId="0" applyNumberFormat="1" applyFont="1" applyFill="1" applyBorder="1"/>
    <x:xf numFmtId="0" fontId="10" fillId="0" borderId="11" xfId="0" applyNumberFormat="1" applyFont="1" applyFill="1" applyBorder="1"/>
    <x:xf numFmtId="0" fontId="10" fillId="0" borderId="12" xfId="0" applyNumberFormat="1" applyFont="1" applyFill="1" applyBorder="1"/>
    <x:xf numFmtId="0" fontId="10" fillId="0" borderId="13" xfId="0" applyNumberFormat="1" applyFont="1" applyFill="1" applyBorder="1"/>
    <x:xf numFmtId="0" fontId="10" fillId="0" borderId="5" xfId="0" applyNumberFormat="1" applyFont="1" applyFill="1" applyBorder="1" applyAlignment="1">
      <x:alignment wrapText="1"/>
    </x:xf>
    <x:xf numFmtId="0" fontId="10" fillId="0" borderId="6" xfId="0" applyNumberFormat="1" applyFont="1" applyFill="1" applyBorder="1" applyAlignment="1">
      <x:alignment wrapText="1"/>
    </x:xf>
    <x:xf numFmtId="0" fontId="10" fillId="0" borderId="7" xfId="0" applyNumberFormat="1" applyFont="1" applyFill="1" applyBorder="1" applyAlignment="1">
      <x:alignment wrapText="1"/>
    </x:xf>
    <x:xf numFmtId="0" fontId="10" fillId="0" borderId="8" xfId="0" applyNumberFormat="1" applyFont="1" applyFill="1" applyBorder="1" applyAlignment="1">
      <x:alignment wrapText="1"/>
    </x:xf>
    <x:xf numFmtId="0" fontId="10" fillId="0" borderId="9" xfId="0" applyNumberFormat="1" applyFont="1" applyFill="1" applyBorder="1" applyAlignment="1">
      <x:alignment wrapText="1"/>
    </x:xf>
    <x:xf numFmtId="0" fontId="10" fillId="0" borderId="10" xfId="0" applyNumberFormat="1" applyFont="1" applyFill="1" applyBorder="1" applyAlignment="1">
      <x:alignment wrapText="1"/>
    </x:xf>
    <x:xf numFmtId="0" fontId="10" fillId="0" borderId="11" xfId="0" applyNumberFormat="1" applyFont="1" applyFill="1" applyBorder="1" applyAlignment="1">
      <x:alignment wrapText="1"/>
    </x:xf>
    <x:xf numFmtId="0" fontId="10" fillId="0" borderId="12" xfId="0" applyNumberFormat="1" applyFont="1" applyFill="1" applyBorder="1" applyAlignment="1">
      <x:alignment wrapText="1"/>
    </x:xf>
    <x:xf numFmtId="0" fontId="10" fillId="0" borderId="13" xfId="0" applyNumberFormat="1" applyFont="1" applyFill="1" applyBorder="1" applyAlignment="1">
      <x:alignment wrapText="1"/>
    </x:xf>
    <x:xf numFmtId="0" fontId="10" fillId="0" borderId="5" xfId="0" applyNumberFormat="1" applyFont="1" applyFill="1" applyBorder="1" applyAlignment="1">
      <x:alignment vertical="center" wrapText="1"/>
    </x:xf>
    <x:xf numFmtId="0" fontId="10" fillId="0" borderId="6" xfId="0" applyNumberFormat="1" applyFont="1" applyFill="1" applyBorder="1" applyAlignment="1">
      <x:alignment vertical="center" wrapText="1"/>
    </x:xf>
    <x:xf numFmtId="0" fontId="10" fillId="0" borderId="7" xfId="0" applyNumberFormat="1" applyFont="1" applyFill="1" applyBorder="1" applyAlignment="1">
      <x:alignment vertical="center" wrapText="1"/>
    </x:xf>
    <x:xf numFmtId="0" fontId="10" fillId="0" borderId="8" xfId="0" applyNumberFormat="1" applyFont="1" applyFill="1" applyBorder="1" applyAlignment="1">
      <x:alignment vertical="center" wrapText="1"/>
    </x:xf>
    <x:xf numFmtId="0" fontId="10" fillId="0" borderId="9" xfId="0" applyNumberFormat="1" applyFont="1" applyFill="1" applyBorder="1" applyAlignment="1">
      <x:alignment vertical="center" wrapText="1"/>
    </x:xf>
    <x:xf numFmtId="0" fontId="10" fillId="0" borderId="10" xfId="0" applyNumberFormat="1" applyFont="1" applyFill="1" applyBorder="1" applyAlignment="1">
      <x:alignment vertical="center" wrapText="1"/>
    </x:xf>
    <x:xf numFmtId="0" fontId="10" fillId="0" borderId="11" xfId="0" applyNumberFormat="1" applyFont="1" applyFill="1" applyBorder="1" applyAlignment="1">
      <x:alignment vertical="center" wrapText="1"/>
    </x:xf>
    <x:xf numFmtId="0" fontId="10" fillId="0" borderId="12" xfId="0" applyNumberFormat="1" applyFont="1" applyFill="1" applyBorder="1" applyAlignment="1">
      <x:alignment vertical="center" wrapText="1"/>
    </x:xf>
    <x:xf numFmtId="0" fontId="10" fillId="0" borderId="13" xfId="0" applyNumberFormat="1" applyFont="1" applyFill="1" applyBorder="1" applyAlignment="1">
      <x:alignment vertical="center" wrapText="1"/>
    </x:xf>
    <x:xf numFmtId="0" fontId="10" fillId="8" borderId="6" xfId="0" applyNumberFormat="1" applyFont="1" applyFill="1" applyBorder="1" applyAlignment="1">
      <x:alignment vertical="center" wrapText="1"/>
    </x:xf>
    <x:xf numFmtId="0" fontId="10" fillId="9" borderId="9" xfId="0" applyNumberFormat="1" applyFont="1" applyFill="1" applyBorder="1" applyAlignment="1">
      <x:alignment vertical="center" wrapText="1"/>
    </x:xf>
    <x:xf numFmtId="0" fontId="10" fillId="8" borderId="9" xfId="0" applyNumberFormat="1" applyFont="1" applyFill="1" applyBorder="1" applyAlignment="1">
      <x:alignment vertical="center" wrapText="1"/>
    </x:xf>
    <x:xf numFmtId="0" fontId="10" fillId="9" borderId="12" xfId="0" applyNumberFormat="1" applyFont="1" applyFill="1" applyBorder="1" applyAlignment="1">
      <x:alignment vertical="center" wrapText="1"/>
    </x:xf>
    <x:xf numFmtId="0" fontId="10" fillId="8" borderId="7" xfId="0" applyNumberFormat="1" applyFont="1" applyFill="1" applyBorder="1" applyAlignment="1">
      <x:alignment vertical="center" wrapText="1"/>
    </x:xf>
    <x:xf numFmtId="0" fontId="10" fillId="8" borderId="10" xfId="0" applyNumberFormat="1" applyFont="1" applyFill="1" applyBorder="1" applyAlignment="1">
      <x:alignment vertical="center" wrapText="1"/>
    </x:xf>
    <x:xf numFmtId="0" fontId="10" fillId="8" borderId="13" xfId="0" applyNumberFormat="1" applyFont="1" applyFill="1" applyBorder="1" applyAlignment="1">
      <x:alignment vertical="center" wrapText="1"/>
    </x:xf>
    <x:xf numFmtId="0" fontId="10" fillId="0" borderId="14" xfId="0" applyNumberFormat="1" applyFont="1" applyFill="1" applyBorder="1"/>
    <x:xf numFmtId="0" fontId="10" fillId="0" borderId="15" xfId="0" applyNumberFormat="1" applyFont="1" applyFill="1" applyBorder="1"/>
    <x:xf numFmtId="0" fontId="10" fillId="0" borderId="16" xfId="0" applyNumberFormat="1" applyFont="1" applyFill="1" applyBorder="1"/>
    <x:xf numFmtId="0" fontId="10" fillId="0" borderId="14" xfId="0" applyNumberFormat="1" applyFont="1" applyFill="1" applyBorder="1" applyAlignment="1">
      <x:alignment wrapText="1"/>
    </x:xf>
    <x:xf numFmtId="0" fontId="10" fillId="0" borderId="15" xfId="0" applyNumberFormat="1" applyFont="1" applyFill="1" applyBorder="1" applyAlignment="1">
      <x:alignment wrapText="1"/>
    </x:xf>
    <x:xf numFmtId="0" fontId="10" fillId="0" borderId="16" xfId="0" applyNumberFormat="1" applyFont="1" applyFill="1" applyBorder="1" applyAlignment="1">
      <x:alignment wrapText="1"/>
    </x:xf>
    <x:xf numFmtId="0" fontId="10" fillId="0" borderId="14" xfId="0" applyNumberFormat="1" applyFont="1" applyFill="1" applyBorder="1" applyAlignment="1">
      <x:alignment vertical="center" wrapText="1"/>
    </x:xf>
    <x:xf numFmtId="0" fontId="10" fillId="0" borderId="15" xfId="0" applyNumberFormat="1" applyFont="1" applyFill="1" applyBorder="1" applyAlignment="1">
      <x:alignment vertical="center" wrapText="1"/>
    </x:xf>
    <x:xf numFmtId="0" fontId="10" fillId="0" borderId="16" xfId="0" applyNumberFormat="1" applyFont="1" applyFill="1" applyBorder="1" applyAlignment="1">
      <x:alignment vertical="center" wrapText="1"/>
    </x:xf>
    <x:xf numFmtId="0" fontId="10" fillId="8" borderId="15" xfId="0" applyNumberFormat="1" applyFont="1" applyFill="1" applyBorder="1" applyAlignment="1">
      <x:alignment vertical="center" wrapText="1"/>
    </x:xf>
    <x:xf numFmtId="0" fontId="10" fillId="9" borderId="6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8">
    <x:dxf>
      <x:font>
        <x:b/>
        <x:color rgb="FF7F6000"/>
      </x:font>
      <x:fill>
        <x:patternFill>
          <x:bgColor rgb="FFFFF2CC"/>
        </x:patternFill>
      </x:fill>
    </x:dxf>
    <x:dxf>
      <x:font>
        <x:b/>
        <x:color rgb="FF1F4E78"/>
      </x:font>
      <x:fill>
        <x:patternFill>
          <x:bgColor rgb="FFD9EAF7"/>
        </x:patternFill>
      </x:fill>
    </x:dxf>
    <x:dxf>
      <x:font>
        <x:b/>
        <x:color rgb="FF9C2550"/>
      </x:font>
      <x:fill>
        <x:patternFill>
          <x:bgColor rgb="FFFCE4EC"/>
        </x:patternFill>
      </x:fill>
    </x:dxf>
    <x:dxf>
      <x:font>
        <x:b/>
        <x:color rgb="FF9C0006"/>
      </x:font>
      <x:fill>
        <x:patternFill>
          <x:bgColor rgb="FFF4CCCC"/>
        </x:patternFill>
      </x:fill>
    </x:dxf>
    <x:dxf>
      <x:font>
        <x:b/>
        <x:color rgb="FF256029"/>
      </x:font>
      <x:fill>
        <x:patternFill>
          <x:bgColor rgb="FFE5F3E8"/>
        </x:patternFill>
      </x:fill>
    </x:dxf>
    <x:dxf>
      <x:font>
        <x:b/>
        <x:color rgb="FF7F6000"/>
      </x:font>
      <x:fill>
        <x:patternFill>
          <x:bgColor rgb="FFFFF3CD"/>
        </x:patternFill>
      </x:fill>
    </x:dxf>
    <x:dxf>
      <x:font>
        <x:b/>
        <x:color rgb="FF256029"/>
      </x:font>
      <x:fill>
        <x:patternFill>
          <x:bgColor rgb="FFE5F3E8"/>
        </x:patternFill>
      </x:fill>
    </x:dxf>
    <x:dxf>
      <x:font>
        <x:b/>
        <x:color rgb="FF9C0006"/>
      </x:font>
      <x:fill>
        <x:patternFill>
          <x:bgColor rgb="FFFBE4E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1e76a6350464d51" /><Relationship Type="http://schemas.openxmlformats.org/officeDocument/2006/relationships/theme" Target="/xl/theme/theme1.xml" Id="R10e3b954ce294909" /><Relationship Type="http://schemas.openxmlformats.org/officeDocument/2006/relationships/sharedStrings" Target="/xl/sharedStrings.xml" Id="R30c217bbf8884b84" /><Relationship Type="http://schemas.openxmlformats.org/officeDocument/2006/relationships/worksheet" Target="/xl/worksheets/sheet1.xml" Id="Re7e4f96b60f849e3" /><Relationship Type="http://schemas.openxmlformats.org/officeDocument/2006/relationships/worksheet" Target="/xl/worksheets/sheet2.xml" Id="Ra10db09bd3ef4711" /><Relationship Type="http://schemas.openxmlformats.org/officeDocument/2006/relationships/worksheet" Target="/xl/worksheets/sheet3.xml" Id="R38c816ee15104812" /><Relationship Type="http://schemas.openxmlformats.org/officeDocument/2006/relationships/worksheet" Target="/xl/worksheets/sheet4.xml" Id="R8f69f5df3ecc4106" /><Relationship Type="http://schemas.openxmlformats.org/officeDocument/2006/relationships/worksheet" Target="/xl/worksheets/sheet5.xml" Id="R00b446e0a28f4b78" /><Relationship Type="http://schemas.openxmlformats.org/officeDocument/2006/relationships/worksheet" Target="/xl/worksheets/sheet6.xml" Id="Rb77e92736e31494a" /><Relationship Type="http://schemas.openxmlformats.org/officeDocument/2006/relationships/worksheet" Target="/xl/worksheets/sheet7.xml" Id="R626d939544ac4cde" /><Relationship Type="http://schemas.openxmlformats.org/officeDocument/2006/relationships/worksheet" Target="/xl/worksheets/sheet8.xml" Id="R306a9a9d3af7452f" /><Relationship Type="http://schemas.openxmlformats.org/officeDocument/2006/relationships/worksheet" Target="/xl/worksheets/sheet9.xml" Id="Rc9499534640045f1" /><Relationship Type="http://schemas.openxmlformats.org/officeDocument/2006/relationships/worksheet" Target="/xl/worksheets/sheet10.xml" Id="Rc77297998d9647bd" /><Relationship Type="http://schemas.openxmlformats.org/officeDocument/2006/relationships/worksheet" Target="/xl/worksheets/sheet11.xml" Id="R2519b69991c4470d" /></Relationships>
</file>

<file path=xl/tables/table1.xml><?xml version="1.0" encoding="utf-8"?>
<x:table xmlns:x="http://schemas.openxmlformats.org/spreadsheetml/2006/main" id="1" name="MapCoverageLedger" displayName="MapCoverageLedger" ref="A4:O148" headerRowCount="1" totalsRowCount="0" totalsRowShown="0">
  <x:autoFilter ref="A4:O148"/>
  <x:tableColumns count="15">
    <x:tableColumn id="1" name="记录ID"/>
    <x:tableColumn id="2" name="大陆ID"/>
    <x:tableColumn id="3" name="大陆"/>
    <x:tableColumn id="4" name="组序"/>
    <x:tableColumn id="5" name="地图组"/>
    <x:tableColumn id="6" name="层序"/>
    <x:tableColumn id="7" name="地图号"/>
    <x:tableColumn id="8" name="地图名称"/>
    <x:tableColumn id="9" name="普通怪"/>
    <x:tableColumn id="10" name="稀有怪"/>
    <x:tableColumn id="11" name="地图BOSS"/>
    <x:tableColumn id="12" name="守关BOSS"/>
    <x:tableColumn id="13" name="合计怪种"/>
    <x:tableColumn id="14" name="状态"/>
    <x:tableColumn id="15" name="备注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MonsterExclusiveLedger" displayName="MonsterExclusiveLedger" ref="A4:Z468" headerRowCount="1" totalsRowCount="0" totalsRowShown="0">
  <x:autoFilter ref="A4:Z468"/>
  <x:tableColumns count="26">
    <x:tableColumn id="1" name="记录ID"/>
    <x:tableColumn id="2" name="大陆ID"/>
    <x:tableColumn id="3" name="大陆"/>
    <x:tableColumn id="4" name="组序"/>
    <x:tableColumn id="5" name="地图组"/>
    <x:tableColumn id="6" name="层序"/>
    <x:tableColumn id="7" name="地图号"/>
    <x:tableColumn id="8" name="地图名称"/>
    <x:tableColumn id="9" name="怪物名称"/>
    <x:tableColumn id="10" name="颜色"/>
    <x:tableColumn id="11" name="类别"/>
    <x:tableColumn id="12" name="族群"/>
    <x:tableColumn id="13" name="战斗定位"/>
    <x:tableColumn id="14" name="定向专属"/>
    <x:tableColumn id="15" name="专属部位"/>
    <x:tableColumn id="16" name="通用材料"/>
    <x:tableColumn id="17" name="稀有／剧情材料"/>
    <x:tableColumn id="18" name="身份证物"/>
    <x:tableColumn id="19" name="大陆收藏材料"/>
    <x:tableColumn id="20" name="BOSS兼掉本图普通怪专属"/>
    <x:tableColumn id="21" name="六神器公共池"/>
    <x:tableColumn id="22" name="名称状态"/>
    <x:tableColumn id="23" name="怪物／模型编码"/>
    <x:tableColumn id="24" name="装备来源编号"/>
    <x:tableColumn id="25" name="属性与爆率"/>
    <x:tableColumn id="26" name="备注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MaterialSourceLedger" displayName="MaterialSourceLedger" ref="A4:M68" headerRowCount="1" totalsRowCount="0" totalsRowShown="0">
  <x:autoFilter ref="A4:M68"/>
  <x:tableColumns count="13">
    <x:tableColumn id="1" name="记录ID"/>
    <x:tableColumn id="2" name="大陆ID"/>
    <x:tableColumn id="3" name="大陆"/>
    <x:tableColumn id="4" name="逻辑材料ID"/>
    <x:tableColumn id="5" name="材料名称"/>
    <x:tableColumn id="6" name="类别"/>
    <x:tableColumn id="7" name="Idx"/>
    <x:tableColumn id="8" name="Items Looks"/>
    <x:tableColumn id="9" name="主产怪物"/>
    <x:tableColumn id="10" name="来源范围"/>
    <x:tableColumn id="11" name="用途"/>
    <x:tableColumn id="12" name="状态"/>
    <x:tableColumn id="13" name="备注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SlotDistributionLedger" displayName="SlotDistributionLedger" ref="A4:I92" headerRowCount="1" totalsRowCount="0" totalsRowShown="0">
  <x:autoFilter ref="A4:I92"/>
  <x:tableColumns count="9">
    <x:tableColumn id="1" name="大陆ID"/>
    <x:tableColumn id="2" name="大陆"/>
    <x:tableColumn id="3" name="部位"/>
    <x:tableColumn id="4" name="普通"/>
    <x:tableColumn id="5" name="稀有"/>
    <x:tableColumn id="6" name="地图BOSS"/>
    <x:tableColumn id="7" name="守关BOSS"/>
    <x:tableColumn id="8" name="合计"/>
    <x:tableColumn id="9" name="备注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IndependentDropPools" displayName="IndependentDropPools" ref="A4:H9" headerRowCount="1" totalsRowCount="0" totalsRowShown="0">
  <x:autoFilter ref="A4:H9"/>
  <x:tableColumns count="8">
    <x:tableColumn id="1" name="奖池"/>
    <x:tableColumn id="2" name="适用对象"/>
    <x:tableColumn id="3" name="触发方式"/>
    <x:tableColumn id="4" name="产物"/>
    <x:tableColumn id="5" name="是否受人物爆率"/>
    <x:tableColumn id="6" name="是否占本体专属"/>
    <x:tableColumn id="7" name="本轮状态"/>
    <x:tableColumn id="8" name="说明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DreamArtifactsReserve" displayName="DreamArtifactsReserve" ref="A12:H18" headerRowCount="1" totalsRowCount="0" totalsRowShown="0">
  <x:autoFilter ref="A12:H18"/>
  <x:tableColumns count="8">
    <x:tableColumn id="1" name="记录ID"/>
    <x:tableColumn id="2" name="追梦神器名称"/>
    <x:tableColumn id="3" name="现有来源编号"/>
    <x:tableColumn id="4" name="现行部位"/>
    <x:tableColumn id="5" name="掉落范围"/>
    <x:tableColumn id="6" name="池内方式"/>
    <x:tableColumn id="7" name="状态"/>
    <x:tableColumn id="8" name="执行警告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ValidationLedger" displayName="ValidationLedger" ref="A4:E22" headerRowCount="1" totalsRowCount="0" totalsRowShown="0">
  <x:autoFilter ref="A4:E22"/>
  <x:tableColumns count="5">
    <x:tableColumn id="1" name="检查项"/>
    <x:tableColumn id="2" name="期望值"/>
    <x:tableColumn id="3" name="实际值"/>
    <x:tableColumn id="4" name="结果"/>
    <x:tableColumn id="5" name="说明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CodeDemandLedger" displayName="CodeDemandLedger" ref="A4:G11" headerRowCount="1" totalsRowCount="0" totalsRowShown="0">
  <x:autoFilter ref="A4:G11"/>
  <x:tableColumns count="7">
    <x:tableColumn id="1" name="对象"/>
    <x:tableColumn id="2" name="编码类型"/>
    <x:tableColumn id="3" name="需求数"/>
    <x:tableColumn id="4" name="已锁定"/>
    <x:tableColumn id="5" name="待分配"/>
    <x:tableColumn id="6" name="状态"/>
    <x:tableColumn id="7" name="处理规则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FrozenRangesLedger" displayName="FrozenRangesLedger" ref="A14:G20" headerRowCount="1" totalsRowCount="0" totalsRowShown="0">
  <x:autoFilter ref="A14:G20"/>
  <x:tableColumns count="7">
    <x:tableColumn id="1" name="冻结／保留对象"/>
    <x:tableColumn id="2" name="起点"/>
    <x:tableColumn id="3" name="终点"/>
    <x:tableColumn id="4" name="数量"/>
    <x:tableColumn id="5" name="当前用途"/>
    <x:tableColumn id="6" name="可否直接使用"/>
    <x:tableColumn id="7" name="说明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C3C10ExclusiveAssignments" displayName="C3C10ExclusiveAssignments" ref="A4:L468" headerRowCount="1" totalsRowCount="0" totalsRowShown="0">
  <x:tableColumns count="12">
    <x:tableColumn id="1" name="记录ID"/>
    <x:tableColumn id="2" name="大陆ID"/>
    <x:tableColumn id="3" name="大陆"/>
    <x:tableColumn id="4" name="地图号"/>
    <x:tableColumn id="5" name="怪物名称"/>
    <x:tableColumn id="6" name="类别"/>
    <x:tableColumn id="7" name="专属名称"/>
    <x:tableColumn id="8" name="概念部位"/>
    <x:tableColumn id="9" name="资源库部位"/>
    <x:tableColumn id="10" name="装备来源编号"/>
    <x:tableColumn id="11" name="分配状态"/>
    <x:tableColumn id="12" name="说明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C3C10CodeInventory" displayName="C3C10CodeInventory" ref="A4:H15" headerRowCount="1" totalsRowCount="0" totalsRowShown="0">
  <x:tableColumns count="8">
    <x:tableColumn id="1" name="概念部位"/>
    <x:tableColumn id="2" name="资源库部位"/>
    <x:tableColumn id="3" name="需求件数"/>
    <x:tableColumn id="4" name="账面可用"/>
    <x:tableColumn id="5" name="已分配"/>
    <x:tableColumn id="6" name="待分配件数"/>
    <x:tableColumn id="7" name="需补来源码"/>
    <x:tableColumn id="8" name="处理状态"/>
  </x:tableColumns>
  <x:tableStyleInfo name="TableStyleMedium2" showFirstColumn="0" showLastColumn="0" showRowStripes="1" showColumnStripes="0"/>
</x:table>
</file>

<file path=xl/tables/table12.xml><?xml version="1.0" encoding="utf-8"?>
<x:table xmlns:x="http://schemas.openxmlformats.org/spreadsheetml/2006/main" id="12" name="C3C10PendingCodes" displayName="C3C10PendingCodes" ref="A23:L145" headerRowCount="1" totalsRowCount="0" totalsRowShown="0">
  <x:tableColumns count="12">
    <x:tableColumn id="1" name="记录ID"/>
    <x:tableColumn id="2" name="大陆ID"/>
    <x:tableColumn id="3" name="大陆"/>
    <x:tableColumn id="4" name="地图号"/>
    <x:tableColumn id="5" name="怪物名称"/>
    <x:tableColumn id="6" name="类别"/>
    <x:tableColumn id="7" name="专属名称"/>
    <x:tableColumn id="8" name="概念部位"/>
    <x:tableColumn id="9" name="资源库部位"/>
    <x:tableColumn id="10" name="装备来源编号"/>
    <x:tableColumn id="11" name="分配状态"/>
    <x:tableColumn id="12" name="说明"/>
  </x:tableColumns>
  <x:tableStyleInfo name="TableStyleMedium2" showFirstColumn="0" showLastColumn="0" showRowStripes="1" showColumnStripes="0"/>
</x:table>
</file>

<file path=xl/tables/table13.xml><?xml version="1.0" encoding="utf-8"?>
<x:table xmlns:x="http://schemas.openxmlformats.org/spreadsheetml/2006/main" id="13" name="C3C10CodeValidation" displayName="C3C10CodeValidation" ref="A4:F14" headerRowCount="1" totalsRowCount="0" totalsRowShown="0">
  <x:tableColumns count="6">
    <x:tableColumn id="1" name="验收项"/>
    <x:tableColumn id="2" name="期望"/>
    <x:tableColumn id="3" name="实际"/>
    <x:tableColumn id="4" name="差异"/>
    <x:tableColumn id="5" name="结论"/>
    <x:tableColumn id="6" name="说明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b3f9ae6c953f457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d9e46613271844c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09ff595e8cb449da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298cf597b8474bf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3246bb0386eb496c" /><Relationship Type="http://schemas.openxmlformats.org/officeDocument/2006/relationships/table" Target="/xl/tables/table6.xml" Id="Ra0803eccf20b415a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e1fc137f122a4cdc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6217c4b5bb154ece" /><Relationship Type="http://schemas.openxmlformats.org/officeDocument/2006/relationships/table" Target="/xl/tables/table9.xml" Id="R9034270f1b43451d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10.xml" Id="Rb7bbf6811fba41be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11.xml" Id="Ra1d232cb18664a87" /><Relationship Type="http://schemas.openxmlformats.org/officeDocument/2006/relationships/table" Target="/xl/tables/table12.xml" Id="R8a2e10c7ed114b33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3.xml" Id="Ra2ba441717444ced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15" hidden="0" customWidth="1"/>
    <x:col min="3" max="3" width="14" hidden="0" customWidth="1"/>
    <x:col min="4" max="4" width="34" hidden="0" customWidth="1"/>
    <x:col min="5" max="5" width="18" hidden="0" customWidth="1"/>
    <x:col min="6" max="6" width="22" hidden="0" customWidth="1"/>
    <x:col min="7" max="7" width="32" hidden="0" customWidth="1"/>
    <x:col min="8" max="8" width="36" hidden="0" customWidth="1"/>
  </x:cols>
  <x:sheetData>
    <x:row r="1" ht="34" customHeight="1">
      <x:c r="A1" s="3" t="str">
        <x:v>第3—10大陆怪物、专属与材料来源总账 V1.1（编码阶段分配）</x:v>
      </x:c>
      <x:c r="B1" s="3" t="str">
        <x:v>第3—10大陆怪物、专属与材料来源总账 V1.1（编码阶段分配）</x:v>
      </x:c>
      <x:c r="C1" s="3" t="str">
        <x:v>第3—10大陆怪物、专属与材料来源总账 V1.1（编码阶段分配）</x:v>
      </x:c>
      <x:c r="D1" s="3" t="str">
        <x:v>第3—10大陆怪物、专属与材料来源总账 V1.1（编码阶段分配）</x:v>
      </x:c>
      <x:c r="E1" s="3" t="str">
        <x:v>第3—10大陆怪物、专属与材料来源总账 V1.1（编码阶段分配）</x:v>
      </x:c>
      <x:c r="F1" s="3" t="str">
        <x:v>第3—10大陆怪物、专属与材料来源总账 V1.1（编码阶段分配）</x:v>
      </x:c>
      <x:c r="G1" s="3" t="str">
        <x:v>第3—10大陆怪物、专属与材料来源总账 V1.1（编码阶段分配）</x:v>
      </x:c>
      <x:c r="H1" s="3" t="str">
        <x:v>第3—10大陆怪物、专属与材料来源总账 V1.1（编码阶段分配）</x:v>
      </x:c>
    </x:row>
    <x:row r="2" ht="40" customHeight="1">
      <x:c r="A2" s="7" t="str">
        <x:v>地图、怪物、专属名称与材料来源结构保持不变。本版只规划装备来源编号和8件大陆收藏材料Idx；怪物模型／编码由用户自行处理。342件专属已锁定来源码，122件因部位资源不足待补码；材料Items Looks待提供。</x:v>
      </x:c>
      <x:c r="B2" s="7" t="str">
        <x:v>地图、怪物、专属名称与材料来源结构保持不变。本版只规划装备来源编号和8件大陆收藏材料Idx；怪物模型／编码由用户自行处理。342件专属已锁定来源码，122件因部位资源不足待补码；材料Items Looks待提供。</x:v>
      </x:c>
      <x:c r="C2" s="7" t="str">
        <x:v>地图、怪物、专属名称与材料来源结构保持不变。本版只规划装备来源编号和8件大陆收藏材料Idx；怪物模型／编码由用户自行处理。342件专属已锁定来源码，122件因部位资源不足待补码；材料Items Looks待提供。</x:v>
      </x:c>
      <x:c r="D2" s="7" t="str">
        <x:v>地图、怪物、专属名称与材料来源结构保持不变。本版只规划装备来源编号和8件大陆收藏材料Idx；怪物模型／编码由用户自行处理。342件专属已锁定来源码，122件因部位资源不足待补码；材料Items Looks待提供。</x:v>
      </x:c>
      <x:c r="E2" s="7" t="str">
        <x:v>地图、怪物、专属名称与材料来源结构保持不变。本版只规划装备来源编号和8件大陆收藏材料Idx；怪物模型／编码由用户自行处理。342件专属已锁定来源码，122件因部位资源不足待补码；材料Items Looks待提供。</x:v>
      </x:c>
      <x:c r="F2" s="7" t="str">
        <x:v>地图、怪物、专属名称与材料来源结构保持不变。本版只规划装备来源编号和8件大陆收藏材料Idx；怪物模型／编码由用户自行处理。342件专属已锁定来源码，122件因部位资源不足待补码；材料Items Looks待提供。</x:v>
      </x:c>
      <x:c r="G2" s="7" t="str">
        <x:v>地图、怪物、专属名称与材料来源结构保持不变。本版只规划装备来源编号和8件大陆收藏材料Idx；怪物模型／编码由用户自行处理。342件专属已锁定来源码，122件因部位资源不足待补码；材料Items Looks待提供。</x:v>
      </x:c>
      <x:c r="H2" s="7" t="str">
        <x:v>地图、怪物、专属名称与材料来源结构保持不变。本版只规划装备来源编号和8件大陆收藏材料Idx；怪物模型／编码由用户自行处理。342件专属已锁定来源码，122件因部位资源不足待补码；材料Items Looks待提供。</x:v>
      </x:c>
    </x:row>
    <x:row r="4" ht="32" customHeight="1">
      <x:c r="A4" s="13" t="str">
        <x:v>检查项</x:v>
      </x:c>
      <x:c r="B4" s="13" t="str">
        <x:v>数量</x:v>
      </x:c>
      <x:c r="C4" s="13" t="str">
        <x:v>状态</x:v>
      </x:c>
      <x:c r="D4" s="13" t="str">
        <x:v>现行口径</x:v>
      </x:c>
      <x:c r="E4" s="13" t="str">
        <x:v>本表是否落定</x:v>
      </x:c>
      <x:c r="F4" s="13" t="str">
        <x:v>后续阶段</x:v>
      </x:c>
      <x:c r="G4" s="13" t="str">
        <x:v>禁止事项</x:v>
      </x:c>
      <x:c r="H4" s="13" t="str">
        <x:v>说明</x:v>
      </x:c>
    </x:row>
    <x:row r="5" ht="30" customHeight="1">
      <x:c r="A5" s="19" t="str">
        <x:v>大陆</x:v>
      </x:c>
      <x:c r="B5" s="19" t="n">
        <x:v>8</x:v>
      </x:c>
      <x:c r="C5" s="21" t="str">
        <x:v>已覆盖</x:v>
      </x:c>
      <x:c r="D5" s="19" t="str">
        <x:v>第3—10大陆</x:v>
      </x:c>
      <x:c r="E5" s="19" t="str">
        <x:v>是</x:v>
      </x:c>
      <x:c r="F5" s="19" t="str">
        <x:v>无</x:v>
      </x:c>
      <x:c r="G5" s="19" t="str">
        <x:v>不得恢复旧13大陆正式范围</x:v>
      </x:c>
      <x:c r="H5" s="19" t="str">
        <x:v>第11—13大陆只作未来预留</x:v>
      </x:c>
    </x:row>
    <x:row r="6" ht="30" customHeight="1">
      <x:c r="A6" s="20" t="str">
        <x:v>地图组</x:v>
      </x:c>
      <x:c r="B6" s="20" t="n">
        <x:v>38</x:v>
      </x:c>
      <x:c r="C6" s="22" t="str">
        <x:v>已覆盖</x:v>
      </x:c>
      <x:c r="D6" s="20" t="str">
        <x:v>每组形成独立怪物生态</x:v>
      </x:c>
      <x:c r="E6" s="20" t="str">
        <x:v>是</x:v>
      </x:c>
      <x:c r="F6" s="20" t="str">
        <x:v>无</x:v>
      </x:c>
      <x:c r="G6" s="20" t="str">
        <x:v>不得改现有地图组</x:v>
      </x:c>
      <x:c r="H6" s="20" t="str">
        <x:v>所有怪物落到准确地图号</x:v>
      </x:c>
    </x:row>
    <x:row r="7" ht="30" customHeight="1">
      <x:c r="A7" s="20" t="str">
        <x:v>地图</x:v>
      </x:c>
      <x:c r="B7" s="20" t="n">
        <x:v>144</x:v>
      </x:c>
      <x:c r="C7" s="22" t="str">
        <x:v>已覆盖</x:v>
      </x:c>
      <x:c r="D7" s="20" t="str">
        <x:v>逐层登记</x:v>
      </x:c>
      <x:c r="E7" s="20" t="str">
        <x:v>是</x:v>
      </x:c>
      <x:c r="F7" s="20" t="str">
        <x:v>平台连接复核</x:v>
      </x:c>
      <x:c r="G7" s="20" t="str">
        <x:v>不得把层位范围当地图号</x:v>
      </x:c>
      <x:c r="H7" s="20" t="str">
        <x:v>C9—C10层序来自最新地图总览</x:v>
      </x:c>
    </x:row>
    <x:row r="8" ht="30" customHeight="1">
      <x:c r="A8" s="20" t="str">
        <x:v>怪物</x:v>
      </x:c>
      <x:c r="B8" s="20" t="n">
        <x:f>COUNTA('02_怪物与专属'!$A$5:$A$468)</x:f>
        <x:v>464</x:v>
      </x:c>
      <x:c r="C8" s="22" t="str">
        <x:v>结构定稿</x:v>
      </x:c>
      <x:c r="D8" s="20" t="str">
        <x:v>每组6普通＋4稀有＋2地图BOSS；每大陆另1守关</x:v>
      </x:c>
      <x:c r="E8" s="20" t="str">
        <x:v>是</x:v>
      </x:c>
      <x:c r="F8" s="20" t="str">
        <x:v>模型／编码</x:v>
      </x:c>
      <x:c r="G8" s="20" t="str">
        <x:v>本阶段不填数值</x:v>
      </x:c>
      <x:c r="H8" s="20" t="str">
        <x:v>合计464</x:v>
      </x:c>
    </x:row>
    <x:row r="9" ht="30" customHeight="1">
      <x:c r="A9" s="20" t="str">
        <x:v>一怪一专属</x:v>
      </x:c>
      <x:c r="B9" s="20" t="n">
        <x:f>COUNTA('02_怪物与专属'!$N$5:$N$468)</x:f>
        <x:v>464</x:v>
      </x:c>
      <x:c r="C9" s="22" t="str">
        <x:v>结构定稿</x:v>
      </x:c>
      <x:c r="D9" s="20" t="str">
        <x:v>每怪1件唯一专属</x:v>
      </x:c>
      <x:c r="E9" s="20" t="str">
        <x:v>是</x:v>
      </x:c>
      <x:c r="F9" s="20" t="str">
        <x:v>来源编号／属性</x:v>
      </x:c>
      <x:c r="G9" s="20" t="str">
        <x:v>马牌、战鼓、灵玉、宝石不得参与</x:v>
      </x:c>
      <x:c r="H9" s="20" t="str">
        <x:v>六个时装首饰盒只留给追梦神器</x:v>
      </x:c>
    </x:row>
    <x:row r="10" ht="30" customHeight="1">
      <x:c r="A10" s="20" t="str">
        <x:v>已入库材料</x:v>
      </x:c>
      <x:c r="B10" s="20" t="n">
        <x:v>56</x:v>
      </x:c>
      <x:c r="C10" s="22" t="str">
        <x:v>已锁定</x:v>
      </x:c>
      <x:c r="D10" s="20" t="str">
        <x:v>每大陆7件</x:v>
      </x:c>
      <x:c r="E10" s="20" t="str">
        <x:v>引用</x:v>
      </x:c>
      <x:c r="F10" s="20" t="str">
        <x:v>掉率／数量</x:v>
      </x:c>
      <x:c r="G10" s="20" t="str">
        <x:v>不得改Idx或Looks</x:v>
      </x:c>
      <x:c r="H10" s="20" t="str">
        <x:v>通用、稀有、剧情印记和四级证物</x:v>
      </x:c>
    </x:row>
    <x:row r="11" ht="30" customHeight="1">
      <x:c r="A11" s="20" t="str">
        <x:v>大陆收藏材料</x:v>
      </x:c>
      <x:c r="B11" s="20" t="n">
        <x:v>8</x:v>
      </x:c>
      <x:c r="C11" s="22" t="str">
        <x:v>名称定稿</x:v>
      </x:c>
      <x:c r="D11" s="20" t="str">
        <x:v>全怪独立判定、不可装备、只供高价值图鉴</x:v>
      </x:c>
      <x:c r="E11" s="20" t="str">
        <x:v>是</x:v>
      </x:c>
      <x:c r="F11" s="20" t="str">
        <x:v>编码／奖励／爆率</x:v>
      </x:c>
      <x:c r="G11" s="20" t="str">
        <x:v>不得借用现有剧情印记冒充</x:v>
      </x:c>
      <x:c r="H11" s="20" t="str">
        <x:v>暂不占冻结预留号</x:v>
      </x:c>
    </x:row>
    <x:row r="12" ht="30" customHeight="1">
      <x:c r="A12" s="20" t="str">
        <x:v>追梦神器</x:v>
      </x:c>
      <x:c r="B12" s="20" t="n">
        <x:v>6</x:v>
      </x:c>
      <x:c r="C12" s="22" t="str">
        <x:v>槽位永久保留</x:v>
      </x:c>
      <x:c r="D12" s="20" t="str">
        <x:v>第二大陆以后全怪公共奖池</x:v>
      </x:c>
      <x:c r="E12" s="20" t="str">
        <x:v>引用</x:v>
      </x:c>
      <x:c r="F12" s="20" t="str">
        <x:v>具体概率</x:v>
      </x:c>
      <x:c r="G12" s="20" t="str">
        <x:v>不得覆盖用户本机六槽部位</x:v>
      </x:c>
      <x:c r="H12" s="20" t="str">
        <x:v>一次触发后六选一</x:v>
      </x:c>
    </x:row>
    <x:row r="15" ht="34" customHeight="1">
      <x:c r="A15" s="19" t="str">
        <x:v>执行规则</x:v>
      </x:c>
      <x:c r="B15" s="19" t="str">
        <x:v>内容</x:v>
      </x:c>
      <x:c r="C15" s="19"/>
      <x:c r="D15" s="19"/>
      <x:c r="E15" s="19"/>
      <x:c r="F15" s="19"/>
      <x:c r="G15" s="19"/>
      <x:c r="H15" s="19"/>
    </x:row>
    <x:row r="16" ht="34" customHeight="1">
      <x:c r="A16" s="27" t="str">
        <x:v>自主权限</x:v>
      </x:c>
      <x:c r="B16" s="20" t="str">
        <x:v>怪物名、专属名、部位和分类由总设计窗口直接决定，不再逐项请示；只有编码冲突、引擎不支持或改变全服经济结构时才升级为阻塞。</x:v>
      </x:c>
      <x:c r="C16" s="20"/>
      <x:c r="D16" s="20"/>
      <x:c r="E16" s="20"/>
      <x:c r="F16" s="20"/>
      <x:c r="G16" s="20"/>
      <x:c r="H16" s="20"/>
    </x:row>
    <x:row r="17" ht="34" customHeight="1">
      <x:c r="A17" s="27" t="str">
        <x:v>数值边界</x:v>
      </x:c>
      <x:c r="B17" s="20" t="str">
        <x:v>怪物属性、装备属性、货币、消耗数量和具体掉率全部延后，外围来源框架完成后再统一平衡。</x:v>
      </x:c>
      <x:c r="C17" s="20"/>
      <x:c r="D17" s="20"/>
      <x:c r="E17" s="20"/>
      <x:c r="F17" s="20"/>
      <x:c r="G17" s="20"/>
      <x:c r="H17" s="20"/>
    </x:row>
    <x:row r="18" ht="34" customHeight="1">
      <x:c r="A18" s="27" t="str">
        <x:v>效率容差</x:v>
      </x:c>
      <x:c r="B18" s="20" t="str">
        <x:v>打怪效率不再执行全服统一小于15%的硬约束；最终允许流派、装备和养成形成较大效率差，但仍要避免无法通关或单一乘区彻底碾压全部选择。</x:v>
      </x:c>
      <x:c r="C18" s="20"/>
      <x:c r="D18" s="20"/>
      <x:c r="E18" s="20"/>
      <x:c r="F18" s="20"/>
      <x:c r="G18" s="20"/>
      <x:c r="H18" s="20"/>
    </x:row>
    <x:row r="19" ht="34" customHeight="1">
      <x:c r="A19" s="27" t="str">
        <x:v>BOSS兼掉</x:v>
      </x:c>
      <x:c r="B19" s="20" t="str">
        <x:v>地图BOSS和守关BOSS保留本体专属池，并另行兼掉本地图普通怪专属；两个奖池不得合并成一次随机。</x:v>
      </x:c>
      <x:c r="C19" s="20"/>
      <x:c r="D19" s="20"/>
      <x:c r="E19" s="20"/>
      <x:c r="F19" s="20"/>
      <x:c r="G19" s="20"/>
      <x:c r="H19" s="20"/>
    </x:row>
    <x:row r="20" ht="34" customHeight="1">
      <x:c r="A20" s="27" t="str">
        <x:v>重复专属</x:v>
      </x:c>
      <x:c r="B20" s="20" t="str">
        <x:v>重复专属继续用于任务、称号、分解或合成，不因一怪一专属而变成无用垃圾。</x:v>
      </x:c>
      <x:c r="C20" s="20"/>
      <x:c r="D20" s="20"/>
      <x:c r="E20" s="20"/>
      <x:c r="F20" s="20"/>
      <x:c r="G20" s="20"/>
      <x:c r="H20" s="20"/>
    </x:row>
    <x:row r="21" ht="34" customHeight="1">
      <x:c r="A21" s="27" t="str">
        <x:v>极稀有装备</x:v>
      </x:c>
      <x:c r="B21" s="20" t="str">
        <x:v>追梦六神器延续极低概率公共奖池；触发后从六件中随机一件，并自动进入背包的既有脚本规则由服务端继续执行。</x:v>
      </x:c>
      <x:c r="C21" s="20"/>
      <x:c r="D21" s="20"/>
      <x:c r="E21" s="20"/>
      <x:c r="F21" s="20"/>
      <x:c r="G21" s="20"/>
      <x:c r="H21" s="20"/>
    </x:row>
    <x:row r="22" ht="34" customHeight="1">
      <x:c r="A22" s="27" t="str">
        <x:v>来源依据</x:v>
      </x:c>
      <x:c r="B22" s="20" t="str">
        <x:v>第3—8大陆使用结构化地图表复核；第9—10大陆按最新《第3至10大陆_地图大小与刷怪规划总览》层序；旧13大陆待安排表废止。</x:v>
      </x:c>
      <x:c r="C22" s="20"/>
      <x:c r="D22" s="20"/>
      <x:c r="E22" s="20"/>
      <x:c r="F22" s="20"/>
      <x:c r="G22" s="20"/>
      <x:c r="H22" s="20"/>
    </x:row>
  </x:sheetData>
  <x:mergeCells>
    <x:mergeCell ref="A1:H1"/>
    <x:mergeCell ref="A2:H2"/>
    <x:mergeCell ref="A15:H15"/>
    <x:mergeCell ref="B16:H16"/>
    <x:mergeCell ref="B17:H17"/>
    <x:mergeCell ref="B18:H18"/>
    <x:mergeCell ref="B19:H19"/>
    <x:mergeCell ref="B20:H20"/>
    <x:mergeCell ref="B21:H21"/>
    <x:mergeCell ref="B22:H2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10" hidden="0" customWidth="1"/>
    <x:col min="3" max="3" width="20" hidden="0" customWidth="1"/>
    <x:col min="4" max="4" width="8" hidden="0" customWidth="1"/>
    <x:col min="5" max="5" width="20" hidden="0" customWidth="1"/>
    <x:col min="6" max="6" width="8" hidden="0" customWidth="1"/>
    <x:col min="7" max="7" width="12" hidden="0" customWidth="1"/>
    <x:col min="8" max="8" width="22" hidden="0" customWidth="1"/>
    <x:col min="9" max="9" width="10" hidden="0" customWidth="1"/>
    <x:col min="10" max="10" width="10" hidden="0" customWidth="1"/>
    <x:col min="11" max="11" width="12" hidden="0" customWidth="1"/>
    <x:col min="12" max="12" width="12" hidden="0" customWidth="1"/>
    <x:col min="13" max="13" width="12" hidden="0" customWidth="1"/>
    <x:col min="14" max="14" width="22" hidden="0" customWidth="1"/>
    <x:col min="15" max="15" width="42" hidden="0" customWidth="1"/>
  </x:cols>
  <x:sheetData>
    <x:row r="1" ht="34" customHeight="1">
      <x:c r="A1" s="3" t="str">
        <x:v>第3—10大陆地图与怪物覆盖</x:v>
      </x:c>
      <x:c r="B1" s="3" t="str">
        <x:v>第3—10大陆地图与怪物覆盖</x:v>
      </x:c>
      <x:c r="C1" s="3" t="str">
        <x:v>第3—10大陆地图与怪物覆盖</x:v>
      </x:c>
      <x:c r="D1" s="3" t="str">
        <x:v>第3—10大陆地图与怪物覆盖</x:v>
      </x:c>
      <x:c r="E1" s="3" t="str">
        <x:v>第3—10大陆地图与怪物覆盖</x:v>
      </x:c>
      <x:c r="F1" s="3" t="str">
        <x:v>第3—10大陆地图与怪物覆盖</x:v>
      </x:c>
      <x:c r="G1" s="3" t="str">
        <x:v>第3—10大陆地图与怪物覆盖</x:v>
      </x:c>
      <x:c r="H1" s="3" t="str">
        <x:v>第3—10大陆地图与怪物覆盖</x:v>
      </x:c>
      <x:c r="I1" s="3" t="str">
        <x:v>第3—10大陆地图与怪物覆盖</x:v>
      </x:c>
      <x:c r="J1" s="3" t="str">
        <x:v>第3—10大陆地图与怪物覆盖</x:v>
      </x:c>
      <x:c r="K1" s="3" t="str">
        <x:v>第3—10大陆地图与怪物覆盖</x:v>
      </x:c>
      <x:c r="L1" s="3" t="str">
        <x:v>第3—10大陆地图与怪物覆盖</x:v>
      </x:c>
      <x:c r="M1" s="3" t="str">
        <x:v>第3—10大陆地图与怪物覆盖</x:v>
      </x:c>
      <x:c r="N1" s="3" t="str">
        <x:v>第3—10大陆地图与怪物覆盖</x:v>
      </x:c>
      <x:c r="O1" s="3" t="str">
        <x:v>第3—10大陆地图与怪物覆盖</x:v>
      </x:c>
    </x:row>
    <x:row r="2" ht="40" customHeight="1">
      <x:c r="A2" s="7" t="str">
        <x:v>每行是一张真实地图。普通、稀有、地图BOSS和守关数量由怪物总表按地图号自动统计；地图名称和层序不在本表修改。</x:v>
      </x:c>
      <x:c r="B2" s="7" t="str">
        <x:v>每行是一张真实地图。普通、稀有、地图BOSS和守关数量由怪物总表按地图号自动统计；地图名称和层序不在本表修改。</x:v>
      </x:c>
      <x:c r="C2" s="7" t="str">
        <x:v>每行是一张真实地图。普通、稀有、地图BOSS和守关数量由怪物总表按地图号自动统计；地图名称和层序不在本表修改。</x:v>
      </x:c>
      <x:c r="D2" s="7" t="str">
        <x:v>每行是一张真实地图。普通、稀有、地图BOSS和守关数量由怪物总表按地图号自动统计；地图名称和层序不在本表修改。</x:v>
      </x:c>
      <x:c r="E2" s="7" t="str">
        <x:v>每行是一张真实地图。普通、稀有、地图BOSS和守关数量由怪物总表按地图号自动统计；地图名称和层序不在本表修改。</x:v>
      </x:c>
      <x:c r="F2" s="7" t="str">
        <x:v>每行是一张真实地图。普通、稀有、地图BOSS和守关数量由怪物总表按地图号自动统计；地图名称和层序不在本表修改。</x:v>
      </x:c>
      <x:c r="G2" s="7" t="str">
        <x:v>每行是一张真实地图。普通、稀有、地图BOSS和守关数量由怪物总表按地图号自动统计；地图名称和层序不在本表修改。</x:v>
      </x:c>
      <x:c r="H2" s="7" t="str">
        <x:v>每行是一张真实地图。普通、稀有、地图BOSS和守关数量由怪物总表按地图号自动统计；地图名称和层序不在本表修改。</x:v>
      </x:c>
      <x:c r="I2" s="7" t="str">
        <x:v>每行是一张真实地图。普通、稀有、地图BOSS和守关数量由怪物总表按地图号自动统计；地图名称和层序不在本表修改。</x:v>
      </x:c>
      <x:c r="J2" s="7" t="str">
        <x:v>每行是一张真实地图。普通、稀有、地图BOSS和守关数量由怪物总表按地图号自动统计；地图名称和层序不在本表修改。</x:v>
      </x:c>
      <x:c r="K2" s="7" t="str">
        <x:v>每行是一张真实地图。普通、稀有、地图BOSS和守关数量由怪物总表按地图号自动统计；地图名称和层序不在本表修改。</x:v>
      </x:c>
      <x:c r="L2" s="7" t="str">
        <x:v>每行是一张真实地图。普通、稀有、地图BOSS和守关数量由怪物总表按地图号自动统计；地图名称和层序不在本表修改。</x:v>
      </x:c>
      <x:c r="M2" s="7" t="str">
        <x:v>每行是一张真实地图。普通、稀有、地图BOSS和守关数量由怪物总表按地图号自动统计；地图名称和层序不在本表修改。</x:v>
      </x:c>
      <x:c r="N2" s="7" t="str">
        <x:v>每行是一张真实地图。普通、稀有、地图BOSS和守关数量由怪物总表按地图号自动统计；地图名称和层序不在本表修改。</x:v>
      </x:c>
      <x:c r="O2" s="7" t="str">
        <x:v>每行是一张真实地图。普通、稀有、地图BOSS和守关数量由怪物总表按地图号自动统计；地图名称和层序不在本表修改。</x:v>
      </x:c>
    </x:row>
    <x:row r="4" ht="32" customHeight="1">
      <x:c r="A4" s="13" t="str">
        <x:v>记录ID</x:v>
      </x:c>
      <x:c r="B4" s="13" t="str">
        <x:v>大陆ID</x:v>
      </x:c>
      <x:c r="C4" s="13" t="str">
        <x:v>大陆</x:v>
      </x:c>
      <x:c r="D4" s="13" t="str">
        <x:v>组序</x:v>
      </x:c>
      <x:c r="E4" s="13" t="str">
        <x:v>地图组</x:v>
      </x:c>
      <x:c r="F4" s="13" t="str">
        <x:v>层序</x:v>
      </x:c>
      <x:c r="G4" s="13" t="str">
        <x:v>地图号</x:v>
      </x:c>
      <x:c r="H4" s="13" t="str">
        <x:v>地图名称</x:v>
      </x:c>
      <x:c r="I4" s="13" t="str">
        <x:v>普通怪</x:v>
      </x:c>
      <x:c r="J4" s="13" t="str">
        <x:v>稀有怪</x:v>
      </x:c>
      <x:c r="K4" s="13" t="str">
        <x:v>地图BOSS</x:v>
      </x:c>
      <x:c r="L4" s="13" t="str">
        <x:v>守关BOSS</x:v>
      </x:c>
      <x:c r="M4" s="13" t="str">
        <x:v>合计怪种</x:v>
      </x:c>
      <x:c r="N4" s="13" t="str">
        <x:v>状态</x:v>
      </x:c>
      <x:c r="O4" s="13" t="str">
        <x:v>备注</x:v>
      </x:c>
    </x:row>
    <x:row r="5" ht="24" customHeight="1">
      <x:c r="A5" s="19" t="str">
        <x:v>C03-MAP-001</x:v>
      </x:c>
      <x:c r="B5" s="19" t="str">
        <x:v>C03</x:v>
      </x:c>
      <x:c r="C5" s="19" t="str">
        <x:v>宁姆格福西域</x:v>
      </x:c>
      <x:c r="D5" s="19" t="n">
        <x:v>1</x:v>
      </x:c>
      <x:c r="E5" s="19" t="str">
        <x:v>西境荒原</x:v>
      </x:c>
      <x:c r="F5" s="19" t="n">
        <x:v>1</x:v>
      </x:c>
      <x:c r="G5" s="19" t="str">
        <x:v>XX776</x:v>
      </x:c>
      <x:c r="H5" s="19" t="str">
        <x:v>西境荒原</x:v>
      </x:c>
      <x:c r="I5" s="19" t="n">
        <x:f>COUNTIFS('02_怪物与专属'!$G$5:$G$468,$G5,'02_怪物与专属'!$K$5:$K$468,"普通")</x:f>
        <x:v>2</x:v>
      </x:c>
      <x:c r="J5" s="19" t="n">
        <x:f>COUNTIFS('02_怪物与专属'!$G$5:$G$468,$G5,'02_怪物与专属'!$K$5:$K$468,"稀有")</x:f>
        <x:v>1</x:v>
      </x:c>
      <x:c r="K5" s="19" t="n">
        <x:f>COUNTIFS('02_怪物与专属'!$G$5:$G$468,$G5,'02_怪物与专属'!$K$5:$K$468,"地图BOSS")</x:f>
        <x:v>0</x:v>
      </x:c>
      <x:c r="L5" s="19" t="n">
        <x:f>COUNTIFS('02_怪物与专属'!$G$5:$G$468,$G5,'02_怪物与专属'!$K$5:$K$468,"守关BOSS")</x:f>
        <x:v>0</x:v>
      </x:c>
      <x:c r="M5" s="19" t="n">
        <x:f>SUM(I5:L5)</x:f>
        <x:v>3</x:v>
      </x:c>
      <x:c r="N5" s="21" t="str">
        <x:v>已完成／来源已分配</x:v>
      </x:c>
      <x:c r="O5" s="19" t="str">
        <x:v>地图属性、尺寸和刷新数量不在本表修改</x:v>
      </x:c>
    </x:row>
    <x:row r="6" ht="24" customHeight="1">
      <x:c r="A6" s="20" t="str">
        <x:v>C03-MAP-002</x:v>
      </x:c>
      <x:c r="B6" s="20" t="str">
        <x:v>C03</x:v>
      </x:c>
      <x:c r="C6" s="20" t="str">
        <x:v>宁姆格福西域</x:v>
      </x:c>
      <x:c r="D6" s="20" t="n">
        <x:v>1</x:v>
      </x:c>
      <x:c r="E6" s="20" t="str">
        <x:v>西境荒原</x:v>
      </x:c>
      <x:c r="F6" s="20" t="n">
        <x:v>2</x:v>
      </x:c>
      <x:c r="G6" s="20" t="str">
        <x:v>XX780</x:v>
      </x:c>
      <x:c r="H6" s="20" t="str">
        <x:v>荒风丘陵</x:v>
      </x:c>
      <x:c r="I6" s="20" t="n">
        <x:f>COUNTIFS('02_怪物与专属'!$G$5:$G$468,$G6,'02_怪物与专属'!$K$5:$K$468,"普通")</x:f>
        <x:v>2</x:v>
      </x:c>
      <x:c r="J6" s="20" t="n">
        <x:f>COUNTIFS('02_怪物与专属'!$G$5:$G$468,$G6,'02_怪物与专属'!$K$5:$K$468,"稀有")</x:f>
        <x:v>1</x:v>
      </x:c>
      <x:c r="K6" s="20" t="n">
        <x:f>COUNTIFS('02_怪物与专属'!$G$5:$G$468,$G6,'02_怪物与专属'!$K$5:$K$468,"地图BOSS")</x:f>
        <x:v>0</x:v>
      </x:c>
      <x:c r="L6" s="20" t="n">
        <x:f>COUNTIFS('02_怪物与专属'!$G$5:$G$468,$G6,'02_怪物与专属'!$K$5:$K$468,"守关BOSS")</x:f>
        <x:v>0</x:v>
      </x:c>
      <x:c r="M6" s="20" t="n">
        <x:f>SUM(I6:L6)</x:f>
        <x:v>3</x:v>
      </x:c>
      <x:c r="N6" s="22" t="str">
        <x:v>已完成／来源已分配</x:v>
      </x:c>
      <x:c r="O6" s="20" t="str">
        <x:v>地图属性、尺寸和刷新数量不在本表修改</x:v>
      </x:c>
    </x:row>
    <x:row r="7" ht="24" customHeight="1">
      <x:c r="A7" s="20" t="str">
        <x:v>C03-MAP-003</x:v>
      </x:c>
      <x:c r="B7" s="20" t="str">
        <x:v>C03</x:v>
      </x:c>
      <x:c r="C7" s="20" t="str">
        <x:v>宁姆格福西域</x:v>
      </x:c>
      <x:c r="D7" s="20" t="n">
        <x:v>1</x:v>
      </x:c>
      <x:c r="E7" s="20" t="str">
        <x:v>西境荒原</x:v>
      </x:c>
      <x:c r="F7" s="20" t="n">
        <x:v>3</x:v>
      </x:c>
      <x:c r="G7" s="20" t="str">
        <x:v>XX775</x:v>
      </x:c>
      <x:c r="H7" s="20" t="str">
        <x:v>西境战场</x:v>
      </x:c>
      <x:c r="I7" s="20" t="n">
        <x:f>COUNTIFS('02_怪物与专属'!$G$5:$G$468,$G7,'02_怪物与专属'!$K$5:$K$468,"普通")</x:f>
        <x:v>1</x:v>
      </x:c>
      <x:c r="J7" s="20" t="n">
        <x:f>COUNTIFS('02_怪物与专属'!$G$5:$G$468,$G7,'02_怪物与专属'!$K$5:$K$468,"稀有")</x:f>
        <x:v>1</x:v>
      </x:c>
      <x:c r="K7" s="20" t="n">
        <x:f>COUNTIFS('02_怪物与专属'!$G$5:$G$468,$G7,'02_怪物与专属'!$K$5:$K$468,"地图BOSS")</x:f>
        <x:v>1</x:v>
      </x:c>
      <x:c r="L7" s="20" t="n">
        <x:f>COUNTIFS('02_怪物与专属'!$G$5:$G$468,$G7,'02_怪物与专属'!$K$5:$K$468,"守关BOSS")</x:f>
        <x:v>0</x:v>
      </x:c>
      <x:c r="M7" s="20" t="n">
        <x:f>SUM(I7:L7)</x:f>
        <x:v>3</x:v>
      </x:c>
      <x:c r="N7" s="22" t="str">
        <x:v>已完成／来源已分配</x:v>
      </x:c>
      <x:c r="O7" s="20" t="str">
        <x:v>地图属性、尺寸和刷新数量不在本表修改</x:v>
      </x:c>
    </x:row>
    <x:row r="8" ht="24" customHeight="1">
      <x:c r="A8" s="20" t="str">
        <x:v>C03-MAP-004</x:v>
      </x:c>
      <x:c r="B8" s="20" t="str">
        <x:v>C03</x:v>
      </x:c>
      <x:c r="C8" s="20" t="str">
        <x:v>宁姆格福西域</x:v>
      </x:c>
      <x:c r="D8" s="20" t="n">
        <x:v>1</x:v>
      </x:c>
      <x:c r="E8" s="20" t="str">
        <x:v>西境荒原</x:v>
      </x:c>
      <x:c r="F8" s="20" t="n">
        <x:v>4</x:v>
      </x:c>
      <x:c r="G8" s="20" t="str">
        <x:v>XX778</x:v>
      </x:c>
      <x:c r="H8" s="20" t="str">
        <x:v>荒原祭场</x:v>
      </x:c>
      <x:c r="I8" s="20" t="n">
        <x:f>COUNTIFS('02_怪物与专属'!$G$5:$G$468,$G8,'02_怪物与专属'!$K$5:$K$468,"普通")</x:f>
        <x:v>1</x:v>
      </x:c>
      <x:c r="J8" s="20" t="n">
        <x:f>COUNTIFS('02_怪物与专属'!$G$5:$G$468,$G8,'02_怪物与专属'!$K$5:$K$468,"稀有")</x:f>
        <x:v>1</x:v>
      </x:c>
      <x:c r="K8" s="20" t="n">
        <x:f>COUNTIFS('02_怪物与专属'!$G$5:$G$468,$G8,'02_怪物与专属'!$K$5:$K$468,"地图BOSS")</x:f>
        <x:v>1</x:v>
      </x:c>
      <x:c r="L8" s="20" t="n">
        <x:f>COUNTIFS('02_怪物与专属'!$G$5:$G$468,$G8,'02_怪物与专属'!$K$5:$K$468,"守关BOSS")</x:f>
        <x:v>0</x:v>
      </x:c>
      <x:c r="M8" s="20" t="n">
        <x:f>SUM(I8:L8)</x:f>
        <x:v>3</x:v>
      </x:c>
      <x:c r="N8" s="22" t="str">
        <x:v>已完成／来源已分配</x:v>
      </x:c>
      <x:c r="O8" s="20" t="str">
        <x:v>地图属性、尺寸和刷新数量不在本表修改</x:v>
      </x:c>
    </x:row>
    <x:row r="9" ht="24" customHeight="1">
      <x:c r="A9" s="20" t="str">
        <x:v>C03-MAP-005</x:v>
      </x:c>
      <x:c r="B9" s="20" t="str">
        <x:v>C03</x:v>
      </x:c>
      <x:c r="C9" s="20" t="str">
        <x:v>宁姆格福西域</x:v>
      </x:c>
      <x:c r="D9" s="20" t="n">
        <x:v>2</x:v>
      </x:c>
      <x:c r="E9" s="20" t="str">
        <x:v>海风断崖</x:v>
      </x:c>
      <x:c r="F9" s="20" t="n">
        <x:v>1</x:v>
      </x:c>
      <x:c r="G9" s="20" t="str">
        <x:v>XX332</x:v>
      </x:c>
      <x:c r="H9" s="20" t="str">
        <x:v>海风断崖</x:v>
      </x:c>
      <x:c r="I9" s="20" t="n">
        <x:f>COUNTIFS('02_怪物与专属'!$G$5:$G$468,$G9,'02_怪物与专属'!$K$5:$K$468,"普通")</x:f>
        <x:v>2</x:v>
      </x:c>
      <x:c r="J9" s="20" t="n">
        <x:f>COUNTIFS('02_怪物与专属'!$G$5:$G$468,$G9,'02_怪物与专属'!$K$5:$K$468,"稀有")</x:f>
        <x:v>1</x:v>
      </x:c>
      <x:c r="K9" s="20" t="n">
        <x:f>COUNTIFS('02_怪物与专属'!$G$5:$G$468,$G9,'02_怪物与专属'!$K$5:$K$468,"地图BOSS")</x:f>
        <x:v>0</x:v>
      </x:c>
      <x:c r="L9" s="20" t="n">
        <x:f>COUNTIFS('02_怪物与专属'!$G$5:$G$468,$G9,'02_怪物与专属'!$K$5:$K$468,"守关BOSS")</x:f>
        <x:v>0</x:v>
      </x:c>
      <x:c r="M9" s="20" t="n">
        <x:f>SUM(I9:L9)</x:f>
        <x:v>3</x:v>
      </x:c>
      <x:c r="N9" s="22" t="str">
        <x:v>已完成／来源已分配</x:v>
      </x:c>
      <x:c r="O9" s="20" t="str">
        <x:v>地图属性、尺寸和刷新数量不在本表修改</x:v>
      </x:c>
    </x:row>
    <x:row r="10" ht="24" customHeight="1">
      <x:c r="A10" s="20" t="str">
        <x:v>C03-MAP-006</x:v>
      </x:c>
      <x:c r="B10" s="20" t="str">
        <x:v>C03</x:v>
      </x:c>
      <x:c r="C10" s="20" t="str">
        <x:v>宁姆格福西域</x:v>
      </x:c>
      <x:c r="D10" s="20" t="n">
        <x:v>2</x:v>
      </x:c>
      <x:c r="E10" s="20" t="str">
        <x:v>海风断崖</x:v>
      </x:c>
      <x:c r="F10" s="20" t="n">
        <x:v>2</x:v>
      </x:c>
      <x:c r="G10" s="20" t="str">
        <x:v>XX333</x:v>
      </x:c>
      <x:c r="H10" s="20" t="str">
        <x:v>断崖险径</x:v>
      </x:c>
      <x:c r="I10" s="20" t="n">
        <x:f>COUNTIFS('02_怪物与专属'!$G$5:$G$468,$G10,'02_怪物与专属'!$K$5:$K$468,"普通")</x:f>
        <x:v>2</x:v>
      </x:c>
      <x:c r="J10" s="20" t="n">
        <x:f>COUNTIFS('02_怪物与专属'!$G$5:$G$468,$G10,'02_怪物与专属'!$K$5:$K$468,"稀有")</x:f>
        <x:v>1</x:v>
      </x:c>
      <x:c r="K10" s="20" t="n">
        <x:f>COUNTIFS('02_怪物与专属'!$G$5:$G$468,$G10,'02_怪物与专属'!$K$5:$K$468,"地图BOSS")</x:f>
        <x:v>0</x:v>
      </x:c>
      <x:c r="L10" s="20" t="n">
        <x:f>COUNTIFS('02_怪物与专属'!$G$5:$G$468,$G10,'02_怪物与专属'!$K$5:$K$468,"守关BOSS")</x:f>
        <x:v>0</x:v>
      </x:c>
      <x:c r="M10" s="20" t="n">
        <x:f>SUM(I10:L10)</x:f>
        <x:v>3</x:v>
      </x:c>
      <x:c r="N10" s="22" t="str">
        <x:v>已完成／来源已分配</x:v>
      </x:c>
      <x:c r="O10" s="20" t="str">
        <x:v>地图属性、尺寸和刷新数量不在本表修改</x:v>
      </x:c>
    </x:row>
    <x:row r="11" ht="24" customHeight="1">
      <x:c r="A11" s="20" t="str">
        <x:v>C03-MAP-007</x:v>
      </x:c>
      <x:c r="B11" s="20" t="str">
        <x:v>C03</x:v>
      </x:c>
      <x:c r="C11" s="20" t="str">
        <x:v>宁姆格福西域</x:v>
      </x:c>
      <x:c r="D11" s="20" t="n">
        <x:v>2</x:v>
      </x:c>
      <x:c r="E11" s="20" t="str">
        <x:v>海风断崖</x:v>
      </x:c>
      <x:c r="F11" s="20" t="n">
        <x:v>3</x:v>
      </x:c>
      <x:c r="G11" s="20" t="str">
        <x:v>XX334</x:v>
      </x:c>
      <x:c r="H11" s="20" t="str">
        <x:v>风蚀高台</x:v>
      </x:c>
      <x:c r="I11" s="20" t="n">
        <x:f>COUNTIFS('02_怪物与专属'!$G$5:$G$468,$G11,'02_怪物与专属'!$K$5:$K$468,"普通")</x:f>
        <x:v>1</x:v>
      </x:c>
      <x:c r="J11" s="20" t="n">
        <x:f>COUNTIFS('02_怪物与专属'!$G$5:$G$468,$G11,'02_怪物与专属'!$K$5:$K$468,"稀有")</x:f>
        <x:v>1</x:v>
      </x:c>
      <x:c r="K11" s="20" t="n">
        <x:f>COUNTIFS('02_怪物与专属'!$G$5:$G$468,$G11,'02_怪物与专属'!$K$5:$K$468,"地图BOSS")</x:f>
        <x:v>1</x:v>
      </x:c>
      <x:c r="L11" s="20" t="n">
        <x:f>COUNTIFS('02_怪物与专属'!$G$5:$G$468,$G11,'02_怪物与专属'!$K$5:$K$468,"守关BOSS")</x:f>
        <x:v>0</x:v>
      </x:c>
      <x:c r="M11" s="20" t="n">
        <x:f>SUM(I11:L11)</x:f>
        <x:v>3</x:v>
      </x:c>
      <x:c r="N11" s="22" t="str">
        <x:v>已完成／来源已分配</x:v>
      </x:c>
      <x:c r="O11" s="20" t="str">
        <x:v>地图属性、尺寸和刷新数量不在本表修改</x:v>
      </x:c>
    </x:row>
    <x:row r="12" ht="24" customHeight="1">
      <x:c r="A12" s="20" t="str">
        <x:v>C03-MAP-008</x:v>
      </x:c>
      <x:c r="B12" s="20" t="str">
        <x:v>C03</x:v>
      </x:c>
      <x:c r="C12" s="20" t="str">
        <x:v>宁姆格福西域</x:v>
      </x:c>
      <x:c r="D12" s="20" t="n">
        <x:v>2</x:v>
      </x:c>
      <x:c r="E12" s="20" t="str">
        <x:v>海风断崖</x:v>
      </x:c>
      <x:c r="F12" s="20" t="n">
        <x:v>4</x:v>
      </x:c>
      <x:c r="G12" s="20" t="str">
        <x:v>XX335</x:v>
      </x:c>
      <x:c r="H12" s="20" t="str">
        <x:v>临海祭台</x:v>
      </x:c>
      <x:c r="I12" s="20" t="n">
        <x:f>COUNTIFS('02_怪物与专属'!$G$5:$G$468,$G12,'02_怪物与专属'!$K$5:$K$468,"普通")</x:f>
        <x:v>1</x:v>
      </x:c>
      <x:c r="J12" s="20" t="n">
        <x:f>COUNTIFS('02_怪物与专属'!$G$5:$G$468,$G12,'02_怪物与专属'!$K$5:$K$468,"稀有")</x:f>
        <x:v>1</x:v>
      </x:c>
      <x:c r="K12" s="20" t="n">
        <x:f>COUNTIFS('02_怪物与专属'!$G$5:$G$468,$G12,'02_怪物与专属'!$K$5:$K$468,"地图BOSS")</x:f>
        <x:v>1</x:v>
      </x:c>
      <x:c r="L12" s="20" t="n">
        <x:f>COUNTIFS('02_怪物与专属'!$G$5:$G$468,$G12,'02_怪物与专属'!$K$5:$K$468,"守关BOSS")</x:f>
        <x:v>0</x:v>
      </x:c>
      <x:c r="M12" s="20" t="n">
        <x:f>SUM(I12:L12)</x:f>
        <x:v>3</x:v>
      </x:c>
      <x:c r="N12" s="22" t="str">
        <x:v>已完成／来源已分配</x:v>
      </x:c>
      <x:c r="O12" s="20" t="str">
        <x:v>地图属性、尺寸和刷新数量不在本表修改</x:v>
      </x:c>
    </x:row>
    <x:row r="13" ht="24" customHeight="1">
      <x:c r="A13" s="20" t="str">
        <x:v>C03-MAP-009</x:v>
      </x:c>
      <x:c r="B13" s="20" t="str">
        <x:v>C03</x:v>
      </x:c>
      <x:c r="C13" s="20" t="str">
        <x:v>宁姆格福西域</x:v>
      </x:c>
      <x:c r="D13" s="20" t="n">
        <x:v>3</x:v>
      </x:c>
      <x:c r="E13" s="20" t="str">
        <x:v>失落驿道</x:v>
      </x:c>
      <x:c r="F13" s="20" t="n">
        <x:v>1</x:v>
      </x:c>
      <x:c r="G13" s="20" t="str">
        <x:v>XX343</x:v>
      </x:c>
      <x:c r="H13" s="20" t="str">
        <x:v>失落驿道</x:v>
      </x:c>
      <x:c r="I13" s="20" t="n">
        <x:f>COUNTIFS('02_怪物与专属'!$G$5:$G$468,$G13,'02_怪物与专属'!$K$5:$K$468,"普通")</x:f>
        <x:v>2</x:v>
      </x:c>
      <x:c r="J13" s="20" t="n">
        <x:f>COUNTIFS('02_怪物与专属'!$G$5:$G$468,$G13,'02_怪物与专属'!$K$5:$K$468,"稀有")</x:f>
        <x:v>1</x:v>
      </x:c>
      <x:c r="K13" s="20" t="n">
        <x:f>COUNTIFS('02_怪物与专属'!$G$5:$G$468,$G13,'02_怪物与专属'!$K$5:$K$468,"地图BOSS")</x:f>
        <x:v>0</x:v>
      </x:c>
      <x:c r="L13" s="20" t="n">
        <x:f>COUNTIFS('02_怪物与专属'!$G$5:$G$468,$G13,'02_怪物与专属'!$K$5:$K$468,"守关BOSS")</x:f>
        <x:v>0</x:v>
      </x:c>
      <x:c r="M13" s="20" t="n">
        <x:f>SUM(I13:L13)</x:f>
        <x:v>3</x:v>
      </x:c>
      <x:c r="N13" s="22" t="str">
        <x:v>已完成／来源已分配</x:v>
      </x:c>
      <x:c r="O13" s="20" t="str">
        <x:v>地图属性、尺寸和刷新数量不在本表修改</x:v>
      </x:c>
    </x:row>
    <x:row r="14" ht="24" customHeight="1">
      <x:c r="A14" s="20" t="str">
        <x:v>C03-MAP-010</x:v>
      </x:c>
      <x:c r="B14" s="20" t="str">
        <x:v>C03</x:v>
      </x:c>
      <x:c r="C14" s="20" t="str">
        <x:v>宁姆格福西域</x:v>
      </x:c>
      <x:c r="D14" s="20" t="n">
        <x:v>3</x:v>
      </x:c>
      <x:c r="E14" s="20" t="str">
        <x:v>失落驿道</x:v>
      </x:c>
      <x:c r="F14" s="20" t="n">
        <x:v>2</x:v>
      </x:c>
      <x:c r="G14" s="20" t="str">
        <x:v>XX344</x:v>
      </x:c>
      <x:c r="H14" s="20" t="str">
        <x:v>荒废商道</x:v>
      </x:c>
      <x:c r="I14" s="20" t="n">
        <x:f>COUNTIFS('02_怪物与专属'!$G$5:$G$468,$G14,'02_怪物与专属'!$K$5:$K$468,"普通")</x:f>
        <x:v>2</x:v>
      </x:c>
      <x:c r="J14" s="20" t="n">
        <x:f>COUNTIFS('02_怪物与专属'!$G$5:$G$468,$G14,'02_怪物与专属'!$K$5:$K$468,"稀有")</x:f>
        <x:v>1</x:v>
      </x:c>
      <x:c r="K14" s="20" t="n">
        <x:f>COUNTIFS('02_怪物与专属'!$G$5:$G$468,$G14,'02_怪物与专属'!$K$5:$K$468,"地图BOSS")</x:f>
        <x:v>1</x:v>
      </x:c>
      <x:c r="L14" s="20" t="n">
        <x:f>COUNTIFS('02_怪物与专属'!$G$5:$G$468,$G14,'02_怪物与专属'!$K$5:$K$468,"守关BOSS")</x:f>
        <x:v>0</x:v>
      </x:c>
      <x:c r="M14" s="20" t="n">
        <x:f>SUM(I14:L14)</x:f>
        <x:v>4</x:v>
      </x:c>
      <x:c r="N14" s="22" t="str">
        <x:v>已完成／来源已分配</x:v>
      </x:c>
      <x:c r="O14" s="20" t="str">
        <x:v>地图属性、尺寸和刷新数量不在本表修改</x:v>
      </x:c>
    </x:row>
    <x:row r="15" ht="24" customHeight="1">
      <x:c r="A15" s="20" t="str">
        <x:v>C03-MAP-011</x:v>
      </x:c>
      <x:c r="B15" s="20" t="str">
        <x:v>C03</x:v>
      </x:c>
      <x:c r="C15" s="20" t="str">
        <x:v>宁姆格福西域</x:v>
      </x:c>
      <x:c r="D15" s="20" t="n">
        <x:v>3</x:v>
      </x:c>
      <x:c r="E15" s="20" t="str">
        <x:v>失落驿道</x:v>
      </x:c>
      <x:c r="F15" s="20" t="n">
        <x:v>3</x:v>
      </x:c>
      <x:c r="G15" s="20" t="str">
        <x:v>XX345</x:v>
      </x:c>
      <x:c r="H15" s="20" t="str">
        <x:v>断路营地</x:v>
      </x:c>
      <x:c r="I15" s="20" t="n">
        <x:f>COUNTIFS('02_怪物与专属'!$G$5:$G$468,$G15,'02_怪物与专属'!$K$5:$K$468,"普通")</x:f>
        <x:v>2</x:v>
      </x:c>
      <x:c r="J15" s="20" t="n">
        <x:f>COUNTIFS('02_怪物与专属'!$G$5:$G$468,$G15,'02_怪物与专属'!$K$5:$K$468,"稀有")</x:f>
        <x:v>2</x:v>
      </x:c>
      <x:c r="K15" s="20" t="n">
        <x:f>COUNTIFS('02_怪物与专属'!$G$5:$G$468,$G15,'02_怪物与专属'!$K$5:$K$468,"地图BOSS")</x:f>
        <x:v>1</x:v>
      </x:c>
      <x:c r="L15" s="20" t="n">
        <x:f>COUNTIFS('02_怪物与专属'!$G$5:$G$468,$G15,'02_怪物与专属'!$K$5:$K$468,"守关BOSS")</x:f>
        <x:v>0</x:v>
      </x:c>
      <x:c r="M15" s="20" t="n">
        <x:f>SUM(I15:L15)</x:f>
        <x:v>5</x:v>
      </x:c>
      <x:c r="N15" s="22" t="str">
        <x:v>已完成／来源已分配</x:v>
      </x:c>
      <x:c r="O15" s="20" t="str">
        <x:v>地图属性、尺寸和刷新数量不在本表修改</x:v>
      </x:c>
    </x:row>
    <x:row r="16" ht="24" customHeight="1">
      <x:c r="A16" s="20" t="str">
        <x:v>C03-MAP-012</x:v>
      </x:c>
      <x:c r="B16" s="20" t="str">
        <x:v>C03</x:v>
      </x:c>
      <x:c r="C16" s="20" t="str">
        <x:v>宁姆格福西域</x:v>
      </x:c>
      <x:c r="D16" s="20" t="n">
        <x:v>4</x:v>
      </x:c>
      <x:c r="E16" s="20" t="str">
        <x:v>古战场遗迹</x:v>
      </x:c>
      <x:c r="F16" s="20" t="n">
        <x:v>1</x:v>
      </x:c>
      <x:c r="G16" s="20" t="str">
        <x:v>XX310</x:v>
      </x:c>
      <x:c r="H16" s="20" t="str">
        <x:v>古战场遗迹</x:v>
      </x:c>
      <x:c r="I16" s="20" t="n">
        <x:f>COUNTIFS('02_怪物与专属'!$G$5:$G$468,$G16,'02_怪物与专属'!$K$5:$K$468,"普通")</x:f>
        <x:v>2</x:v>
      </x:c>
      <x:c r="J16" s="20" t="n">
        <x:f>COUNTIFS('02_怪物与专属'!$G$5:$G$468,$G16,'02_怪物与专属'!$K$5:$K$468,"稀有")</x:f>
        <x:v>1</x:v>
      </x:c>
      <x:c r="K16" s="20" t="n">
        <x:f>COUNTIFS('02_怪物与专属'!$G$5:$G$468,$G16,'02_怪物与专属'!$K$5:$K$468,"地图BOSS")</x:f>
        <x:v>0</x:v>
      </x:c>
      <x:c r="L16" s="20" t="n">
        <x:f>COUNTIFS('02_怪物与专属'!$G$5:$G$468,$G16,'02_怪物与专属'!$K$5:$K$468,"守关BOSS")</x:f>
        <x:v>0</x:v>
      </x:c>
      <x:c r="M16" s="20" t="n">
        <x:f>SUM(I16:L16)</x:f>
        <x:v>3</x:v>
      </x:c>
      <x:c r="N16" s="22" t="str">
        <x:v>已完成／来源已分配</x:v>
      </x:c>
      <x:c r="O16" s="20" t="str">
        <x:v>地图属性、尺寸和刷新数量不在本表修改</x:v>
      </x:c>
    </x:row>
    <x:row r="17" ht="24" customHeight="1">
      <x:c r="A17" s="20" t="str">
        <x:v>C03-MAP-013</x:v>
      </x:c>
      <x:c r="B17" s="20" t="str">
        <x:v>C03</x:v>
      </x:c>
      <x:c r="C17" s="20" t="str">
        <x:v>宁姆格福西域</x:v>
      </x:c>
      <x:c r="D17" s="20" t="n">
        <x:v>4</x:v>
      </x:c>
      <x:c r="E17" s="20" t="str">
        <x:v>古战场遗迹</x:v>
      </x:c>
      <x:c r="F17" s="20" t="n">
        <x:v>2</x:v>
      </x:c>
      <x:c r="G17" s="20" t="str">
        <x:v>XX311</x:v>
      </x:c>
      <x:c r="H17" s="20" t="str">
        <x:v>英灵战场</x:v>
      </x:c>
      <x:c r="I17" s="20" t="n">
        <x:f>COUNTIFS('02_怪物与专属'!$G$5:$G$468,$G17,'02_怪物与专属'!$K$5:$K$468,"普通")</x:f>
        <x:v>2</x:v>
      </x:c>
      <x:c r="J17" s="20" t="n">
        <x:f>COUNTIFS('02_怪物与专属'!$G$5:$G$468,$G17,'02_怪物与专属'!$K$5:$K$468,"稀有")</x:f>
        <x:v>1</x:v>
      </x:c>
      <x:c r="K17" s="20" t="n">
        <x:f>COUNTIFS('02_怪物与专属'!$G$5:$G$468,$G17,'02_怪物与专属'!$K$5:$K$468,"地图BOSS")</x:f>
        <x:v>1</x:v>
      </x:c>
      <x:c r="L17" s="20" t="n">
        <x:f>COUNTIFS('02_怪物与专属'!$G$5:$G$468,$G17,'02_怪物与专属'!$K$5:$K$468,"守关BOSS")</x:f>
        <x:v>0</x:v>
      </x:c>
      <x:c r="M17" s="20" t="n">
        <x:f>SUM(I17:L17)</x:f>
        <x:v>4</x:v>
      </x:c>
      <x:c r="N17" s="22" t="str">
        <x:v>已完成／来源已分配</x:v>
      </x:c>
      <x:c r="O17" s="20" t="str">
        <x:v>地图属性、尺寸和刷新数量不在本表修改</x:v>
      </x:c>
    </x:row>
    <x:row r="18" ht="24" customHeight="1">
      <x:c r="A18" s="20" t="str">
        <x:v>C03-MAP-014</x:v>
      </x:c>
      <x:c r="B18" s="20" t="str">
        <x:v>C03</x:v>
      </x:c>
      <x:c r="C18" s="20" t="str">
        <x:v>宁姆格福西域</x:v>
      </x:c>
      <x:c r="D18" s="20" t="n">
        <x:v>4</x:v>
      </x:c>
      <x:c r="E18" s="20" t="str">
        <x:v>古战场遗迹</x:v>
      </x:c>
      <x:c r="F18" s="20" t="n">
        <x:v>3</x:v>
      </x:c>
      <x:c r="G18" s="20" t="str">
        <x:v>XX312</x:v>
      </x:c>
      <x:c r="H18" s="20" t="str">
        <x:v>亡者祭坛</x:v>
      </x:c>
      <x:c r="I18" s="20" t="n">
        <x:f>COUNTIFS('02_怪物与专属'!$G$5:$G$468,$G18,'02_怪物与专属'!$K$5:$K$468,"普通")</x:f>
        <x:v>2</x:v>
      </x:c>
      <x:c r="J18" s="20" t="n">
        <x:f>COUNTIFS('02_怪物与专属'!$G$5:$G$468,$G18,'02_怪物与专属'!$K$5:$K$468,"稀有")</x:f>
        <x:v>2</x:v>
      </x:c>
      <x:c r="K18" s="20" t="n">
        <x:f>COUNTIFS('02_怪物与专属'!$G$5:$G$468,$G18,'02_怪物与专属'!$K$5:$K$468,"地图BOSS")</x:f>
        <x:v>1</x:v>
      </x:c>
      <x:c r="L18" s="20" t="n">
        <x:f>COUNTIFS('02_怪物与专属'!$G$5:$G$468,$G18,'02_怪物与专属'!$K$5:$K$468,"守关BOSS")</x:f>
        <x:v>0</x:v>
      </x:c>
      <x:c r="M18" s="20" t="n">
        <x:f>SUM(I18:L18)</x:f>
        <x:v>5</x:v>
      </x:c>
      <x:c r="N18" s="22" t="str">
        <x:v>已完成／来源已分配</x:v>
      </x:c>
      <x:c r="O18" s="20" t="str">
        <x:v>地图属性、尺寸和刷新数量不在本表修改</x:v>
      </x:c>
    </x:row>
    <x:row r="19" ht="24" customHeight="1">
      <x:c r="A19" s="20" t="str">
        <x:v>C03-MAP-015</x:v>
      </x:c>
      <x:c r="B19" s="20" t="str">
        <x:v>C03</x:v>
      </x:c>
      <x:c r="C19" s="20" t="str">
        <x:v>宁姆格福西域</x:v>
      </x:c>
      <x:c r="D19" s="20" t="n">
        <x:v>5</x:v>
      </x:c>
      <x:c r="E19" s="20" t="str">
        <x:v>风蚀古垒</x:v>
      </x:c>
      <x:c r="F19" s="20" t="n">
        <x:v>1</x:v>
      </x:c>
      <x:c r="G19" s="20" t="str">
        <x:v>XX518</x:v>
      </x:c>
      <x:c r="H19" s="20" t="str">
        <x:v>风蚀古垒</x:v>
      </x:c>
      <x:c r="I19" s="20" t="n">
        <x:f>COUNTIFS('02_怪物与专属'!$G$5:$G$468,$G19,'02_怪物与专属'!$K$5:$K$468,"普通")</x:f>
        <x:v>2</x:v>
      </x:c>
      <x:c r="J19" s="20" t="n">
        <x:f>COUNTIFS('02_怪物与专属'!$G$5:$G$468,$G19,'02_怪物与专属'!$K$5:$K$468,"稀有")</x:f>
        <x:v>1</x:v>
      </x:c>
      <x:c r="K19" s="20" t="n">
        <x:f>COUNTIFS('02_怪物与专属'!$G$5:$G$468,$G19,'02_怪物与专属'!$K$5:$K$468,"地图BOSS")</x:f>
        <x:v>0</x:v>
      </x:c>
      <x:c r="L19" s="20" t="n">
        <x:f>COUNTIFS('02_怪物与专属'!$G$5:$G$468,$G19,'02_怪物与专属'!$K$5:$K$468,"守关BOSS")</x:f>
        <x:v>0</x:v>
      </x:c>
      <x:c r="M19" s="20" t="n">
        <x:f>SUM(I19:L19)</x:f>
        <x:v>3</x:v>
      </x:c>
      <x:c r="N19" s="22" t="str">
        <x:v>已完成／来源已分配</x:v>
      </x:c>
      <x:c r="O19" s="20" t="str">
        <x:v>地图属性、尺寸和刷新数量不在本表修改</x:v>
      </x:c>
    </x:row>
    <x:row r="20" ht="24" customHeight="1">
      <x:c r="A20" s="20" t="str">
        <x:v>C03-MAP-016</x:v>
      </x:c>
      <x:c r="B20" s="20" t="str">
        <x:v>C03</x:v>
      </x:c>
      <x:c r="C20" s="20" t="str">
        <x:v>宁姆格福西域</x:v>
      </x:c>
      <x:c r="D20" s="20" t="n">
        <x:v>5</x:v>
      </x:c>
      <x:c r="E20" s="20" t="str">
        <x:v>风蚀古垒</x:v>
      </x:c>
      <x:c r="F20" s="20" t="n">
        <x:v>2</x:v>
      </x:c>
      <x:c r="G20" s="20" t="str">
        <x:v>XX517</x:v>
      </x:c>
      <x:c r="H20" s="20" t="str">
        <x:v>古垒回廊</x:v>
      </x:c>
      <x:c r="I20" s="20" t="n">
        <x:f>COUNTIFS('02_怪物与专属'!$G$5:$G$468,$G20,'02_怪物与专属'!$K$5:$K$468,"普通")</x:f>
        <x:v>2</x:v>
      </x:c>
      <x:c r="J20" s="20" t="n">
        <x:f>COUNTIFS('02_怪物与专属'!$G$5:$G$468,$G20,'02_怪物与专属'!$K$5:$K$468,"稀有")</x:f>
        <x:v>1</x:v>
      </x:c>
      <x:c r="K20" s="20" t="n">
        <x:f>COUNTIFS('02_怪物与专属'!$G$5:$G$468,$G20,'02_怪物与专属'!$K$5:$K$468,"地图BOSS")</x:f>
        <x:v>1</x:v>
      </x:c>
      <x:c r="L20" s="20" t="n">
        <x:f>COUNTIFS('02_怪物与专属'!$G$5:$G$468,$G20,'02_怪物与专属'!$K$5:$K$468,"守关BOSS")</x:f>
        <x:v>0</x:v>
      </x:c>
      <x:c r="M20" s="20" t="n">
        <x:f>SUM(I20:L20)</x:f>
        <x:v>4</x:v>
      </x:c>
      <x:c r="N20" s="22" t="str">
        <x:v>已完成／来源已分配</x:v>
      </x:c>
      <x:c r="O20" s="20" t="str">
        <x:v>地图属性、尺寸和刷新数量不在本表修改</x:v>
      </x:c>
    </x:row>
    <x:row r="21" ht="24" customHeight="1">
      <x:c r="A21" s="20" t="str">
        <x:v>C03-MAP-017</x:v>
      </x:c>
      <x:c r="B21" s="20" t="str">
        <x:v>C03</x:v>
      </x:c>
      <x:c r="C21" s="20" t="str">
        <x:v>宁姆格福西域</x:v>
      </x:c>
      <x:c r="D21" s="20" t="n">
        <x:v>5</x:v>
      </x:c>
      <x:c r="E21" s="20" t="str">
        <x:v>风蚀古垒</x:v>
      </x:c>
      <x:c r="F21" s="20" t="n">
        <x:v>3</x:v>
      </x:c>
      <x:c r="G21" s="20" t="str">
        <x:v>XX516</x:v>
      </x:c>
      <x:c r="H21" s="20" t="str">
        <x:v>边境地宫</x:v>
      </x:c>
      <x:c r="I21" s="20" t="n">
        <x:f>COUNTIFS('02_怪物与专属'!$G$5:$G$468,$G21,'02_怪物与专属'!$K$5:$K$468,"普通")</x:f>
        <x:v>2</x:v>
      </x:c>
      <x:c r="J21" s="20" t="n">
        <x:f>COUNTIFS('02_怪物与专属'!$G$5:$G$468,$G21,'02_怪物与专属'!$K$5:$K$468,"稀有")</x:f>
        <x:v>2</x:v>
      </x:c>
      <x:c r="K21" s="20" t="n">
        <x:f>COUNTIFS('02_怪物与专属'!$G$5:$G$468,$G21,'02_怪物与专属'!$K$5:$K$468,"地图BOSS")</x:f>
        <x:v>1</x:v>
      </x:c>
      <x:c r="L21" s="20" t="n">
        <x:f>COUNTIFS('02_怪物与专属'!$G$5:$G$468,$G21,'02_怪物与专属'!$K$5:$K$468,"守关BOSS")</x:f>
        <x:v>0</x:v>
      </x:c>
      <x:c r="M21" s="20" t="n">
        <x:f>SUM(I21:L21)</x:f>
        <x:v>5</x:v>
      </x:c>
      <x:c r="N21" s="22" t="str">
        <x:v>已完成／来源已分配</x:v>
      </x:c>
      <x:c r="O21" s="20" t="str">
        <x:v>地图属性、尺寸和刷新数量不在本表修改</x:v>
      </x:c>
    </x:row>
    <x:row r="22" ht="24" customHeight="1">
      <x:c r="A22" s="20" t="str">
        <x:v>C03-MAP-018</x:v>
      </x:c>
      <x:c r="B22" s="20" t="str">
        <x:v>C03</x:v>
      </x:c>
      <x:c r="C22" s="20" t="str">
        <x:v>宁姆格福西域</x:v>
      </x:c>
      <x:c r="D22" s="20" t="n">
        <x:v>6</x:v>
      </x:c>
      <x:c r="E22" s="20" t="str">
        <x:v>黄金树哨垒</x:v>
      </x:c>
      <x:c r="F22" s="20" t="n">
        <x:v>1</x:v>
      </x:c>
      <x:c r="G22" s="20" t="str">
        <x:v>XX140</x:v>
      </x:c>
      <x:c r="H22" s="20" t="str">
        <x:v>黄金树哨垒</x:v>
      </x:c>
      <x:c r="I22" s="20" t="n">
        <x:f>COUNTIFS('02_怪物与专属'!$G$5:$G$468,$G22,'02_怪物与专属'!$K$5:$K$468,"普通")</x:f>
        <x:v>2</x:v>
      </x:c>
      <x:c r="J22" s="20" t="n">
        <x:f>COUNTIFS('02_怪物与专属'!$G$5:$G$468,$G22,'02_怪物与专属'!$K$5:$K$468,"稀有")</x:f>
        <x:v>1</x:v>
      </x:c>
      <x:c r="K22" s="20" t="n">
        <x:f>COUNTIFS('02_怪物与专属'!$G$5:$G$468,$G22,'02_怪物与专属'!$K$5:$K$468,"地图BOSS")</x:f>
        <x:v>0</x:v>
      </x:c>
      <x:c r="L22" s="20" t="n">
        <x:f>COUNTIFS('02_怪物与专属'!$G$5:$G$468,$G22,'02_怪物与专属'!$K$5:$K$468,"守关BOSS")</x:f>
        <x:v>0</x:v>
      </x:c>
      <x:c r="M22" s="20" t="n">
        <x:f>SUM(I22:L22)</x:f>
        <x:v>3</x:v>
      </x:c>
      <x:c r="N22" s="22" t="str">
        <x:v>已完成／来源已分配</x:v>
      </x:c>
      <x:c r="O22" s="20" t="str">
        <x:v>地图属性、尺寸和刷新数量不在本表修改</x:v>
      </x:c>
    </x:row>
    <x:row r="23" ht="24" customHeight="1">
      <x:c r="A23" s="20" t="str">
        <x:v>C03-MAP-019</x:v>
      </x:c>
      <x:c r="B23" s="20" t="str">
        <x:v>C03</x:v>
      </x:c>
      <x:c r="C23" s="20" t="str">
        <x:v>宁姆格福西域</x:v>
      </x:c>
      <x:c r="D23" s="20" t="n">
        <x:v>6</x:v>
      </x:c>
      <x:c r="E23" s="20" t="str">
        <x:v>黄金树哨垒</x:v>
      </x:c>
      <x:c r="F23" s="20" t="n">
        <x:v>2</x:v>
      </x:c>
      <x:c r="G23" s="20" t="str">
        <x:v>XX136</x:v>
      </x:c>
      <x:c r="H23" s="20" t="str">
        <x:v>哨垒内庭</x:v>
      </x:c>
      <x:c r="I23" s="20" t="n">
        <x:f>COUNTIFS('02_怪物与专属'!$G$5:$G$468,$G23,'02_怪物与专属'!$K$5:$K$468,"普通")</x:f>
        <x:v>2</x:v>
      </x:c>
      <x:c r="J23" s="20" t="n">
        <x:f>COUNTIFS('02_怪物与专属'!$G$5:$G$468,$G23,'02_怪物与专属'!$K$5:$K$468,"稀有")</x:f>
        <x:v>1</x:v>
      </x:c>
      <x:c r="K23" s="20" t="n">
        <x:f>COUNTIFS('02_怪物与专属'!$G$5:$G$468,$G23,'02_怪物与专属'!$K$5:$K$468,"地图BOSS")</x:f>
        <x:v>1</x:v>
      </x:c>
      <x:c r="L23" s="20" t="n">
        <x:f>COUNTIFS('02_怪物与专属'!$G$5:$G$468,$G23,'02_怪物与专属'!$K$5:$K$468,"守关BOSS")</x:f>
        <x:v>0</x:v>
      </x:c>
      <x:c r="M23" s="20" t="n">
        <x:f>SUM(I23:L23)</x:f>
        <x:v>4</x:v>
      </x:c>
      <x:c r="N23" s="22" t="str">
        <x:v>已完成／来源已分配</x:v>
      </x:c>
      <x:c r="O23" s="20" t="str">
        <x:v>地图属性、尺寸和刷新数量不在本表修改</x:v>
      </x:c>
    </x:row>
    <x:row r="24" ht="24" customHeight="1">
      <x:c r="A24" s="20" t="str">
        <x:v>C03-MAP-020</x:v>
      </x:c>
      <x:c r="B24" s="20" t="str">
        <x:v>C03</x:v>
      </x:c>
      <x:c r="C24" s="20" t="str">
        <x:v>宁姆格福西域</x:v>
      </x:c>
      <x:c r="D24" s="20" t="n">
        <x:v>6</x:v>
      </x:c>
      <x:c r="E24" s="20" t="str">
        <x:v>黄金树哨垒</x:v>
      </x:c>
      <x:c r="F24" s="20" t="n">
        <x:v>3</x:v>
      </x:c>
      <x:c r="G24" s="20" t="str">
        <x:v>XX169</x:v>
      </x:c>
      <x:c r="H24" s="20" t="str">
        <x:v>黄金树祭台</x:v>
      </x:c>
      <x:c r="I24" s="20" t="n">
        <x:f>COUNTIFS('02_怪物与专属'!$G$5:$G$468,$G24,'02_怪物与专属'!$K$5:$K$468,"普通")</x:f>
        <x:v>2</x:v>
      </x:c>
      <x:c r="J24" s="20" t="n">
        <x:f>COUNTIFS('02_怪物与专属'!$G$5:$G$468,$G24,'02_怪物与专属'!$K$5:$K$468,"稀有")</x:f>
        <x:v>2</x:v>
      </x:c>
      <x:c r="K24" s="20" t="n">
        <x:f>COUNTIFS('02_怪物与专属'!$G$5:$G$468,$G24,'02_怪物与专属'!$K$5:$K$468,"地图BOSS")</x:f>
        <x:v>1</x:v>
      </x:c>
      <x:c r="L24" s="20" t="n">
        <x:f>COUNTIFS('02_怪物与专属'!$G$5:$G$468,$G24,'02_怪物与专属'!$K$5:$K$468,"守关BOSS")</x:f>
        <x:v>1</x:v>
      </x:c>
      <x:c r="M24" s="20" t="n">
        <x:f>SUM(I24:L24)</x:f>
        <x:v>6</x:v>
      </x:c>
      <x:c r="N24" s="22" t="str">
        <x:v>已完成／来源已分配</x:v>
      </x:c>
      <x:c r="O24" s="20" t="str">
        <x:v>地图属性、尺寸和刷新数量不在本表修改</x:v>
      </x:c>
    </x:row>
    <x:row r="25" ht="24" customHeight="1">
      <x:c r="A25" s="20" t="str">
        <x:v>C04-MAP-001</x:v>
      </x:c>
      <x:c r="B25" s="20" t="str">
        <x:v>C04</x:v>
      </x:c>
      <x:c r="C25" s="20" t="str">
        <x:v>利耶尼亚海域</x:v>
      </x:c>
      <x:c r="D25" s="20" t="n">
        <x:v>1</x:v>
      </x:c>
      <x:c r="E25" s="20" t="str">
        <x:v>雾潮湿地</x:v>
      </x:c>
      <x:c r="F25" s="20" t="n">
        <x:v>1</x:v>
      </x:c>
      <x:c r="G25" s="20" t="str">
        <x:v>XX341</x:v>
      </x:c>
      <x:c r="H25" s="20" t="str">
        <x:v>雾潮湿地</x:v>
      </x:c>
      <x:c r="I25" s="20" t="n">
        <x:f>COUNTIFS('02_怪物与专属'!$G$5:$G$468,$G25,'02_怪物与专属'!$K$5:$K$468,"普通")</x:f>
        <x:v>3</x:v>
      </x:c>
      <x:c r="J25" s="20" t="n">
        <x:f>COUNTIFS('02_怪物与专属'!$G$5:$G$468,$G25,'02_怪物与专属'!$K$5:$K$468,"稀有")</x:f>
        <x:v>2</x:v>
      </x:c>
      <x:c r="K25" s="20" t="n">
        <x:f>COUNTIFS('02_怪物与专属'!$G$5:$G$468,$G25,'02_怪物与专属'!$K$5:$K$468,"地图BOSS")</x:f>
        <x:v>1</x:v>
      </x:c>
      <x:c r="L25" s="20" t="n">
        <x:f>COUNTIFS('02_怪物与专属'!$G$5:$G$468,$G25,'02_怪物与专属'!$K$5:$K$468,"守关BOSS")</x:f>
        <x:v>0</x:v>
      </x:c>
      <x:c r="M25" s="20" t="n">
        <x:f>SUM(I25:L25)</x:f>
        <x:v>6</x:v>
      </x:c>
      <x:c r="N25" s="22" t="str">
        <x:v>已完成／来源已分配</x:v>
      </x:c>
      <x:c r="O25" s="20" t="str">
        <x:v>地图属性、尺寸和刷新数量不在本表修改</x:v>
      </x:c>
    </x:row>
    <x:row r="26" ht="24" customHeight="1">
      <x:c r="A26" s="20" t="str">
        <x:v>C04-MAP-002</x:v>
      </x:c>
      <x:c r="B26" s="20" t="str">
        <x:v>C04</x:v>
      </x:c>
      <x:c r="C26" s="20" t="str">
        <x:v>利耶尼亚海域</x:v>
      </x:c>
      <x:c r="D26" s="20" t="n">
        <x:v>1</x:v>
      </x:c>
      <x:c r="E26" s="20" t="str">
        <x:v>雾潮湿地</x:v>
      </x:c>
      <x:c r="F26" s="20" t="n">
        <x:v>2</x:v>
      </x:c>
      <x:c r="G26" s="20" t="str">
        <x:v>XX342</x:v>
      </x:c>
      <x:c r="H26" s="20" t="str">
        <x:v>腐雾深泽</x:v>
      </x:c>
      <x:c r="I26" s="20" t="n">
        <x:f>COUNTIFS('02_怪物与专属'!$G$5:$G$468,$G26,'02_怪物与专属'!$K$5:$K$468,"普通")</x:f>
        <x:v>3</x:v>
      </x:c>
      <x:c r="J26" s="20" t="n">
        <x:f>COUNTIFS('02_怪物与专属'!$G$5:$G$468,$G26,'02_怪物与专属'!$K$5:$K$468,"稀有")</x:f>
        <x:v>2</x:v>
      </x:c>
      <x:c r="K26" s="20" t="n">
        <x:f>COUNTIFS('02_怪物与专属'!$G$5:$G$468,$G26,'02_怪物与专属'!$K$5:$K$468,"地图BOSS")</x:f>
        <x:v>1</x:v>
      </x:c>
      <x:c r="L26" s="20" t="n">
        <x:f>COUNTIFS('02_怪物与专属'!$G$5:$G$468,$G26,'02_怪物与专属'!$K$5:$K$468,"守关BOSS")</x:f>
        <x:v>0</x:v>
      </x:c>
      <x:c r="M26" s="20" t="n">
        <x:f>SUM(I26:L26)</x:f>
        <x:v>6</x:v>
      </x:c>
      <x:c r="N26" s="22" t="str">
        <x:v>已完成／来源已分配</x:v>
      </x:c>
      <x:c r="O26" s="20" t="str">
        <x:v>地图属性、尺寸和刷新数量不在本表修改</x:v>
      </x:c>
    </x:row>
    <x:row r="27" ht="24" customHeight="1">
      <x:c r="A27" s="20" t="str">
        <x:v>C04-MAP-003</x:v>
      </x:c>
      <x:c r="B27" s="20" t="str">
        <x:v>C04</x:v>
      </x:c>
      <x:c r="C27" s="20" t="str">
        <x:v>利耶尼亚海域</x:v>
      </x:c>
      <x:c r="D27" s="20" t="n">
        <x:v>2</x:v>
      </x:c>
      <x:c r="E27" s="20" t="str">
        <x:v>沉湖遗迹</x:v>
      </x:c>
      <x:c r="F27" s="20" t="n">
        <x:v>1</x:v>
      </x:c>
      <x:c r="G27" s="20" t="str">
        <x:v>XX337</x:v>
      </x:c>
      <x:c r="H27" s="20" t="str">
        <x:v>沉湖遗迹</x:v>
      </x:c>
      <x:c r="I27" s="20" t="n">
        <x:f>COUNTIFS('02_怪物与专属'!$G$5:$G$468,$G27,'02_怪物与专属'!$K$5:$K$468,"普通")</x:f>
        <x:v>2</x:v>
      </x:c>
      <x:c r="J27" s="20" t="n">
        <x:f>COUNTIFS('02_怪物与专属'!$G$5:$G$468,$G27,'02_怪物与专属'!$K$5:$K$468,"稀有")</x:f>
        <x:v>1</x:v>
      </x:c>
      <x:c r="K27" s="20" t="n">
        <x:f>COUNTIFS('02_怪物与专属'!$G$5:$G$468,$G27,'02_怪物与专属'!$K$5:$K$468,"地图BOSS")</x:f>
        <x:v>0</x:v>
      </x:c>
      <x:c r="L27" s="20" t="n">
        <x:f>COUNTIFS('02_怪物与专属'!$G$5:$G$468,$G27,'02_怪物与专属'!$K$5:$K$468,"守关BOSS")</x:f>
        <x:v>0</x:v>
      </x:c>
      <x:c r="M27" s="20" t="n">
        <x:f>SUM(I27:L27)</x:f>
        <x:v>3</x:v>
      </x:c>
      <x:c r="N27" s="22" t="str">
        <x:v>已完成／来源已分配</x:v>
      </x:c>
      <x:c r="O27" s="20" t="str">
        <x:v>地图属性、尺寸和刷新数量不在本表修改</x:v>
      </x:c>
    </x:row>
    <x:row r="28" ht="24" customHeight="1">
      <x:c r="A28" s="20" t="str">
        <x:v>C04-MAP-004</x:v>
      </x:c>
      <x:c r="B28" s="20" t="str">
        <x:v>C04</x:v>
      </x:c>
      <x:c r="C28" s="20" t="str">
        <x:v>利耶尼亚海域</x:v>
      </x:c>
      <x:c r="D28" s="20" t="n">
        <x:v>2</x:v>
      </x:c>
      <x:c r="E28" s="20" t="str">
        <x:v>沉湖遗迹</x:v>
      </x:c>
      <x:c r="F28" s="20" t="n">
        <x:v>2</x:v>
      </x:c>
      <x:c r="G28" s="20" t="str">
        <x:v>XX336</x:v>
      </x:c>
      <x:c r="H28" s="20" t="str">
        <x:v>淹没回廊</x:v>
      </x:c>
      <x:c r="I28" s="20" t="n">
        <x:f>COUNTIFS('02_怪物与专属'!$G$5:$G$468,$G28,'02_怪物与专属'!$K$5:$K$468,"普通")</x:f>
        <x:v>2</x:v>
      </x:c>
      <x:c r="J28" s="20" t="n">
        <x:f>COUNTIFS('02_怪物与专属'!$G$5:$G$468,$G28,'02_怪物与专属'!$K$5:$K$468,"稀有")</x:f>
        <x:v>1</x:v>
      </x:c>
      <x:c r="K28" s="20" t="n">
        <x:f>COUNTIFS('02_怪物与专属'!$G$5:$G$468,$G28,'02_怪物与专属'!$K$5:$K$468,"地图BOSS")</x:f>
        <x:v>1</x:v>
      </x:c>
      <x:c r="L28" s="20" t="n">
        <x:f>COUNTIFS('02_怪物与专属'!$G$5:$G$468,$G28,'02_怪物与专属'!$K$5:$K$468,"守关BOSS")</x:f>
        <x:v>0</x:v>
      </x:c>
      <x:c r="M28" s="20" t="n">
        <x:f>SUM(I28:L28)</x:f>
        <x:v>4</x:v>
      </x:c>
      <x:c r="N28" s="22" t="str">
        <x:v>已完成／来源已分配</x:v>
      </x:c>
      <x:c r="O28" s="20" t="str">
        <x:v>地图属性、尺寸和刷新数量不在本表修改</x:v>
      </x:c>
    </x:row>
    <x:row r="29" ht="24" customHeight="1">
      <x:c r="A29" s="20" t="str">
        <x:v>C04-MAP-005</x:v>
      </x:c>
      <x:c r="B29" s="20" t="str">
        <x:v>C04</x:v>
      </x:c>
      <x:c r="C29" s="20" t="str">
        <x:v>利耶尼亚海域</x:v>
      </x:c>
      <x:c r="D29" s="20" t="n">
        <x:v>2</x:v>
      </x:c>
      <x:c r="E29" s="20" t="str">
        <x:v>沉湖遗迹</x:v>
      </x:c>
      <x:c r="F29" s="20" t="n">
        <x:v>3</x:v>
      </x:c>
      <x:c r="G29" s="20" t="str">
        <x:v>XX340</x:v>
      </x:c>
      <x:c r="H29" s="20" t="str">
        <x:v>沉湖祭坛</x:v>
      </x:c>
      <x:c r="I29" s="20" t="n">
        <x:f>COUNTIFS('02_怪物与专属'!$G$5:$G$468,$G29,'02_怪物与专属'!$K$5:$K$468,"普通")</x:f>
        <x:v>2</x:v>
      </x:c>
      <x:c r="J29" s="20" t="n">
        <x:f>COUNTIFS('02_怪物与专属'!$G$5:$G$468,$G29,'02_怪物与专属'!$K$5:$K$468,"稀有")</x:f>
        <x:v>2</x:v>
      </x:c>
      <x:c r="K29" s="20" t="n">
        <x:f>COUNTIFS('02_怪物与专属'!$G$5:$G$468,$G29,'02_怪物与专属'!$K$5:$K$468,"地图BOSS")</x:f>
        <x:v>1</x:v>
      </x:c>
      <x:c r="L29" s="20" t="n">
        <x:f>COUNTIFS('02_怪物与专属'!$G$5:$G$468,$G29,'02_怪物与专属'!$K$5:$K$468,"守关BOSS")</x:f>
        <x:v>0</x:v>
      </x:c>
      <x:c r="M29" s="20" t="n">
        <x:f>SUM(I29:L29)</x:f>
        <x:v>5</x:v>
      </x:c>
      <x:c r="N29" s="22" t="str">
        <x:v>已完成／来源已分配</x:v>
      </x:c>
      <x:c r="O29" s="20" t="str">
        <x:v>地图属性、尺寸和刷新数量不在本表修改</x:v>
      </x:c>
    </x:row>
    <x:row r="30" ht="24" customHeight="1">
      <x:c r="A30" s="20" t="str">
        <x:v>C04-MAP-006</x:v>
      </x:c>
      <x:c r="B30" s="20" t="str">
        <x:v>C04</x:v>
      </x:c>
      <x:c r="C30" s="20" t="str">
        <x:v>利耶尼亚海域</x:v>
      </x:c>
      <x:c r="D30" s="20" t="n">
        <x:v>3</x:v>
      </x:c>
      <x:c r="E30" s="20" t="str">
        <x:v>湖心沉船</x:v>
      </x:c>
      <x:c r="F30" s="20" t="n">
        <x:v>1</x:v>
      </x:c>
      <x:c r="G30" s="20" t="str">
        <x:v>XX363</x:v>
      </x:c>
      <x:c r="H30" s="20" t="str">
        <x:v>湖心沉船</x:v>
      </x:c>
      <x:c r="I30" s="20" t="n">
        <x:f>COUNTIFS('02_怪物与专属'!$G$5:$G$468,$G30,'02_怪物与专属'!$K$5:$K$468,"普通")</x:f>
        <x:v>2</x:v>
      </x:c>
      <x:c r="J30" s="20" t="n">
        <x:f>COUNTIFS('02_怪物与专属'!$G$5:$G$468,$G30,'02_怪物与专属'!$K$5:$K$468,"稀有")</x:f>
        <x:v>1</x:v>
      </x:c>
      <x:c r="K30" s="20" t="n">
        <x:f>COUNTIFS('02_怪物与专属'!$G$5:$G$468,$G30,'02_怪物与专属'!$K$5:$K$468,"地图BOSS")</x:f>
        <x:v>0</x:v>
      </x:c>
      <x:c r="L30" s="20" t="n">
        <x:f>COUNTIFS('02_怪物与专属'!$G$5:$G$468,$G30,'02_怪物与专属'!$K$5:$K$468,"守关BOSS")</x:f>
        <x:v>0</x:v>
      </x:c>
      <x:c r="M30" s="20" t="n">
        <x:f>SUM(I30:L30)</x:f>
        <x:v>3</x:v>
      </x:c>
      <x:c r="N30" s="22" t="str">
        <x:v>已完成／来源已分配</x:v>
      </x:c>
      <x:c r="O30" s="20" t="str">
        <x:v>地图属性、尺寸和刷新数量不在本表修改</x:v>
      </x:c>
    </x:row>
    <x:row r="31" ht="24" customHeight="1">
      <x:c r="A31" s="20" t="str">
        <x:v>C04-MAP-007</x:v>
      </x:c>
      <x:c r="B31" s="20" t="str">
        <x:v>C04</x:v>
      </x:c>
      <x:c r="C31" s="20" t="str">
        <x:v>利耶尼亚海域</x:v>
      </x:c>
      <x:c r="D31" s="20" t="n">
        <x:v>3</x:v>
      </x:c>
      <x:c r="E31" s="20" t="str">
        <x:v>湖心沉船</x:v>
      </x:c>
      <x:c r="F31" s="20" t="n">
        <x:v>2</x:v>
      </x:c>
      <x:c r="G31" s="20" t="str">
        <x:v>XX362</x:v>
      </x:c>
      <x:c r="H31" s="20" t="str">
        <x:v>幽船下舱</x:v>
      </x:c>
      <x:c r="I31" s="20" t="n">
        <x:f>COUNTIFS('02_怪物与专属'!$G$5:$G$468,$G31,'02_怪物与专属'!$K$5:$K$468,"普通")</x:f>
        <x:v>2</x:v>
      </x:c>
      <x:c r="J31" s="20" t="n">
        <x:f>COUNTIFS('02_怪物与专属'!$G$5:$G$468,$G31,'02_怪物与专属'!$K$5:$K$468,"稀有")</x:f>
        <x:v>1</x:v>
      </x:c>
      <x:c r="K31" s="20" t="n">
        <x:f>COUNTIFS('02_怪物与专属'!$G$5:$G$468,$G31,'02_怪物与专属'!$K$5:$K$468,"地图BOSS")</x:f>
        <x:v>1</x:v>
      </x:c>
      <x:c r="L31" s="20" t="n">
        <x:f>COUNTIFS('02_怪物与专属'!$G$5:$G$468,$G31,'02_怪物与专属'!$K$5:$K$468,"守关BOSS")</x:f>
        <x:v>0</x:v>
      </x:c>
      <x:c r="M31" s="20" t="n">
        <x:f>SUM(I31:L31)</x:f>
        <x:v>4</x:v>
      </x:c>
      <x:c r="N31" s="22" t="str">
        <x:v>已完成／来源已分配</x:v>
      </x:c>
      <x:c r="O31" s="20" t="str">
        <x:v>地图属性、尺寸和刷新数量不在本表修改</x:v>
      </x:c>
    </x:row>
    <x:row r="32" ht="24" customHeight="1">
      <x:c r="A32" s="20" t="str">
        <x:v>C04-MAP-008</x:v>
      </x:c>
      <x:c r="B32" s="20" t="str">
        <x:v>C04</x:v>
      </x:c>
      <x:c r="C32" s="20" t="str">
        <x:v>利耶尼亚海域</x:v>
      </x:c>
      <x:c r="D32" s="20" t="n">
        <x:v>3</x:v>
      </x:c>
      <x:c r="E32" s="20" t="str">
        <x:v>湖心沉船</x:v>
      </x:c>
      <x:c r="F32" s="20" t="n">
        <x:v>3</x:v>
      </x:c>
      <x:c r="G32" s="20" t="str">
        <x:v>XX351</x:v>
      </x:c>
      <x:c r="H32" s="20" t="str">
        <x:v>亡舟墓舱</x:v>
      </x:c>
      <x:c r="I32" s="20" t="n">
        <x:f>COUNTIFS('02_怪物与专属'!$G$5:$G$468,$G32,'02_怪物与专属'!$K$5:$K$468,"普通")</x:f>
        <x:v>2</x:v>
      </x:c>
      <x:c r="J32" s="20" t="n">
        <x:f>COUNTIFS('02_怪物与专属'!$G$5:$G$468,$G32,'02_怪物与专属'!$K$5:$K$468,"稀有")</x:f>
        <x:v>2</x:v>
      </x:c>
      <x:c r="K32" s="20" t="n">
        <x:f>COUNTIFS('02_怪物与专属'!$G$5:$G$468,$G32,'02_怪物与专属'!$K$5:$K$468,"地图BOSS")</x:f>
        <x:v>1</x:v>
      </x:c>
      <x:c r="L32" s="20" t="n">
        <x:f>COUNTIFS('02_怪物与专属'!$G$5:$G$468,$G32,'02_怪物与专属'!$K$5:$K$468,"守关BOSS")</x:f>
        <x:v>0</x:v>
      </x:c>
      <x:c r="M32" s="20" t="n">
        <x:f>SUM(I32:L32)</x:f>
        <x:v>5</x:v>
      </x:c>
      <x:c r="N32" s="22" t="str">
        <x:v>已完成／来源已分配</x:v>
      </x:c>
      <x:c r="O32" s="20" t="str">
        <x:v>地图属性、尺寸和刷新数量不在本表修改</x:v>
      </x:c>
    </x:row>
    <x:row r="33" ht="24" customHeight="1">
      <x:c r="A33" s="20" t="str">
        <x:v>C04-MAP-009</x:v>
      </x:c>
      <x:c r="B33" s="20" t="str">
        <x:v>C04</x:v>
      </x:c>
      <x:c r="C33" s="20" t="str">
        <x:v>利耶尼亚海域</x:v>
      </x:c>
      <x:c r="D33" s="20" t="n">
        <x:v>4</x:v>
      </x:c>
      <x:c r="E33" s="20" t="str">
        <x:v>幽灵船骸</x:v>
      </x:c>
      <x:c r="F33" s="20" t="n">
        <x:v>1</x:v>
      </x:c>
      <x:c r="G33" s="20" t="str">
        <x:v>XX527</x:v>
      </x:c>
      <x:c r="H33" s="20" t="str">
        <x:v>幽灵船骸</x:v>
      </x:c>
      <x:c r="I33" s="20" t="n">
        <x:f>COUNTIFS('02_怪物与专属'!$G$5:$G$468,$G33,'02_怪物与专属'!$K$5:$K$468,"普通")</x:f>
        <x:v>2</x:v>
      </x:c>
      <x:c r="J33" s="20" t="n">
        <x:f>COUNTIFS('02_怪物与专属'!$G$5:$G$468,$G33,'02_怪物与专属'!$K$5:$K$468,"稀有")</x:f>
        <x:v>1</x:v>
      </x:c>
      <x:c r="K33" s="20" t="n">
        <x:f>COUNTIFS('02_怪物与专属'!$G$5:$G$468,$G33,'02_怪物与专属'!$K$5:$K$468,"地图BOSS")</x:f>
        <x:v>0</x:v>
      </x:c>
      <x:c r="L33" s="20" t="n">
        <x:f>COUNTIFS('02_怪物与专属'!$G$5:$G$468,$G33,'02_怪物与专属'!$K$5:$K$468,"守关BOSS")</x:f>
        <x:v>0</x:v>
      </x:c>
      <x:c r="M33" s="20" t="n">
        <x:f>SUM(I33:L33)</x:f>
        <x:v>3</x:v>
      </x:c>
      <x:c r="N33" s="22" t="str">
        <x:v>已完成／来源已分配</x:v>
      </x:c>
      <x:c r="O33" s="20" t="str">
        <x:v>地图属性、尺寸和刷新数量不在本表修改</x:v>
      </x:c>
    </x:row>
    <x:row r="34" ht="24" customHeight="1">
      <x:c r="A34" s="20" t="str">
        <x:v>C04-MAP-010</x:v>
      </x:c>
      <x:c r="B34" s="20" t="str">
        <x:v>C04</x:v>
      </x:c>
      <x:c r="C34" s="20" t="str">
        <x:v>利耶尼亚海域</x:v>
      </x:c>
      <x:c r="D34" s="20" t="n">
        <x:v>4</x:v>
      </x:c>
      <x:c r="E34" s="20" t="str">
        <x:v>幽灵船骸</x:v>
      </x:c>
      <x:c r="F34" s="20" t="n">
        <x:v>2</x:v>
      </x:c>
      <x:c r="G34" s="20" t="str">
        <x:v>XX457</x:v>
      </x:c>
      <x:c r="H34" s="20" t="str">
        <x:v>幽船底舱</x:v>
      </x:c>
      <x:c r="I34" s="20" t="n">
        <x:f>COUNTIFS('02_怪物与专属'!$G$5:$G$468,$G34,'02_怪物与专属'!$K$5:$K$468,"普通")</x:f>
        <x:v>2</x:v>
      </x:c>
      <x:c r="J34" s="20" t="n">
        <x:f>COUNTIFS('02_怪物与专属'!$G$5:$G$468,$G34,'02_怪物与专属'!$K$5:$K$468,"稀有")</x:f>
        <x:v>1</x:v>
      </x:c>
      <x:c r="K34" s="20" t="n">
        <x:f>COUNTIFS('02_怪物与专属'!$G$5:$G$468,$G34,'02_怪物与专属'!$K$5:$K$468,"地图BOSS")</x:f>
        <x:v>1</x:v>
      </x:c>
      <x:c r="L34" s="20" t="n">
        <x:f>COUNTIFS('02_怪物与专属'!$G$5:$G$468,$G34,'02_怪物与专属'!$K$5:$K$468,"守关BOSS")</x:f>
        <x:v>0</x:v>
      </x:c>
      <x:c r="M34" s="20" t="n">
        <x:f>SUM(I34:L34)</x:f>
        <x:v>4</x:v>
      </x:c>
      <x:c r="N34" s="22" t="str">
        <x:v>已完成／来源已分配</x:v>
      </x:c>
      <x:c r="O34" s="20" t="str">
        <x:v>地图属性、尺寸和刷新数量不在本表修改</x:v>
      </x:c>
    </x:row>
    <x:row r="35" ht="24" customHeight="1">
      <x:c r="A35" s="20" t="str">
        <x:v>C04-MAP-011</x:v>
      </x:c>
      <x:c r="B35" s="20" t="str">
        <x:v>C04</x:v>
      </x:c>
      <x:c r="C35" s="20" t="str">
        <x:v>利耶尼亚海域</x:v>
      </x:c>
      <x:c r="D35" s="20" t="n">
        <x:v>4</x:v>
      </x:c>
      <x:c r="E35" s="20" t="str">
        <x:v>幽灵船骸</x:v>
      </x:c>
      <x:c r="F35" s="20" t="n">
        <x:v>3</x:v>
      </x:c>
      <x:c r="G35" s="20" t="str">
        <x:v>XX582</x:v>
      </x:c>
      <x:c r="H35" s="20" t="str">
        <x:v>亡灵密舱</x:v>
      </x:c>
      <x:c r="I35" s="20" t="n">
        <x:f>COUNTIFS('02_怪物与专属'!$G$5:$G$468,$G35,'02_怪物与专属'!$K$5:$K$468,"普通")</x:f>
        <x:v>2</x:v>
      </x:c>
      <x:c r="J35" s="20" t="n">
        <x:f>COUNTIFS('02_怪物与专属'!$G$5:$G$468,$G35,'02_怪物与专属'!$K$5:$K$468,"稀有")</x:f>
        <x:v>2</x:v>
      </x:c>
      <x:c r="K35" s="20" t="n">
        <x:f>COUNTIFS('02_怪物与专属'!$G$5:$G$468,$G35,'02_怪物与专属'!$K$5:$K$468,"地图BOSS")</x:f>
        <x:v>1</x:v>
      </x:c>
      <x:c r="L35" s="20" t="n">
        <x:f>COUNTIFS('02_怪物与专属'!$G$5:$G$468,$G35,'02_怪物与专属'!$K$5:$K$468,"守关BOSS")</x:f>
        <x:v>0</x:v>
      </x:c>
      <x:c r="M35" s="20" t="n">
        <x:f>SUM(I35:L35)</x:f>
        <x:v>5</x:v>
      </x:c>
      <x:c r="N35" s="22" t="str">
        <x:v>已完成／来源已分配</x:v>
      </x:c>
      <x:c r="O35" s="20" t="str">
        <x:v>地图属性、尺寸和刷新数量不在本表修改</x:v>
      </x:c>
    </x:row>
    <x:row r="36" ht="24" customHeight="1">
      <x:c r="A36" s="20" t="str">
        <x:v>C04-MAP-012</x:v>
      </x:c>
      <x:c r="B36" s="20" t="str">
        <x:v>C04</x:v>
      </x:c>
      <x:c r="C36" s="20" t="str">
        <x:v>利耶尼亚海域</x:v>
      </x:c>
      <x:c r="D36" s="20" t="n">
        <x:v>5</x:v>
      </x:c>
      <x:c r="E36" s="20" t="str">
        <x:v>深湖水道</x:v>
      </x:c>
      <x:c r="F36" s="20" t="n">
        <x:v>1</x:v>
      </x:c>
      <x:c r="G36" s="20" t="str">
        <x:v>XX395</x:v>
      </x:c>
      <x:c r="H36" s="20" t="str">
        <x:v>深湖水道</x:v>
      </x:c>
      <x:c r="I36" s="20" t="n">
        <x:f>COUNTIFS('02_怪物与专属'!$G$5:$G$468,$G36,'02_怪物与专属'!$K$5:$K$468,"普通")</x:f>
        <x:v>2</x:v>
      </x:c>
      <x:c r="J36" s="20" t="n">
        <x:f>COUNTIFS('02_怪物与专属'!$G$5:$G$468,$G36,'02_怪物与专属'!$K$5:$K$468,"稀有")</x:f>
        <x:v>1</x:v>
      </x:c>
      <x:c r="K36" s="20" t="n">
        <x:f>COUNTIFS('02_怪物与专属'!$G$5:$G$468,$G36,'02_怪物与专属'!$K$5:$K$468,"地图BOSS")</x:f>
        <x:v>0</x:v>
      </x:c>
      <x:c r="L36" s="20" t="n">
        <x:f>COUNTIFS('02_怪物与专属'!$G$5:$G$468,$G36,'02_怪物与专属'!$K$5:$K$468,"守关BOSS")</x:f>
        <x:v>0</x:v>
      </x:c>
      <x:c r="M36" s="20" t="n">
        <x:f>SUM(I36:L36)</x:f>
        <x:v>3</x:v>
      </x:c>
      <x:c r="N36" s="22" t="str">
        <x:v>已完成／来源已分配</x:v>
      </x:c>
      <x:c r="O36" s="20" t="str">
        <x:v>地图属性、尺寸和刷新数量不在本表修改</x:v>
      </x:c>
    </x:row>
    <x:row r="37" ht="24" customHeight="1">
      <x:c r="A37" s="20" t="str">
        <x:v>C04-MAP-013</x:v>
      </x:c>
      <x:c r="B37" s="20" t="str">
        <x:v>C04</x:v>
      </x:c>
      <x:c r="C37" s="20" t="str">
        <x:v>利耶尼亚海域</x:v>
      </x:c>
      <x:c r="D37" s="20" t="n">
        <x:v>5</x:v>
      </x:c>
      <x:c r="E37" s="20" t="str">
        <x:v>深湖水道</x:v>
      </x:c>
      <x:c r="F37" s="20" t="n">
        <x:v>2</x:v>
      </x:c>
      <x:c r="G37" s="20" t="str">
        <x:v>XX392</x:v>
      </x:c>
      <x:c r="H37" s="20" t="str">
        <x:v>月河暗径</x:v>
      </x:c>
      <x:c r="I37" s="20" t="n">
        <x:f>COUNTIFS('02_怪物与专属'!$G$5:$G$468,$G37,'02_怪物与专属'!$K$5:$K$468,"普通")</x:f>
        <x:v>2</x:v>
      </x:c>
      <x:c r="J37" s="20" t="n">
        <x:f>COUNTIFS('02_怪物与专属'!$G$5:$G$468,$G37,'02_怪物与专属'!$K$5:$K$468,"稀有")</x:f>
        <x:v>1</x:v>
      </x:c>
      <x:c r="K37" s="20" t="n">
        <x:f>COUNTIFS('02_怪物与专属'!$G$5:$G$468,$G37,'02_怪物与专属'!$K$5:$K$468,"地图BOSS")</x:f>
        <x:v>1</x:v>
      </x:c>
      <x:c r="L37" s="20" t="n">
        <x:f>COUNTIFS('02_怪物与专属'!$G$5:$G$468,$G37,'02_怪物与专属'!$K$5:$K$468,"守关BOSS")</x:f>
        <x:v>0</x:v>
      </x:c>
      <x:c r="M37" s="20" t="n">
        <x:f>SUM(I37:L37)</x:f>
        <x:v>4</x:v>
      </x:c>
      <x:c r="N37" s="22" t="str">
        <x:v>已完成／来源已分配</x:v>
      </x:c>
      <x:c r="O37" s="20" t="str">
        <x:v>地图属性、尺寸和刷新数量不在本表修改</x:v>
      </x:c>
    </x:row>
    <x:row r="38" ht="24" customHeight="1">
      <x:c r="A38" s="20" t="str">
        <x:v>C04-MAP-014</x:v>
      </x:c>
      <x:c r="B38" s="20" t="str">
        <x:v>C04</x:v>
      </x:c>
      <x:c r="C38" s="20" t="str">
        <x:v>利耶尼亚海域</x:v>
      </x:c>
      <x:c r="D38" s="20" t="n">
        <x:v>5</x:v>
      </x:c>
      <x:c r="E38" s="20" t="str">
        <x:v>深湖水道</x:v>
      </x:c>
      <x:c r="F38" s="20" t="n">
        <x:v>3</x:v>
      </x:c>
      <x:c r="G38" s="20" t="str">
        <x:v>XX391</x:v>
      </x:c>
      <x:c r="H38" s="20" t="str">
        <x:v>深水渊口</x:v>
      </x:c>
      <x:c r="I38" s="20" t="n">
        <x:f>COUNTIFS('02_怪物与专属'!$G$5:$G$468,$G38,'02_怪物与专属'!$K$5:$K$468,"普通")</x:f>
        <x:v>2</x:v>
      </x:c>
      <x:c r="J38" s="20" t="n">
        <x:f>COUNTIFS('02_怪物与专属'!$G$5:$G$468,$G38,'02_怪物与专属'!$K$5:$K$468,"稀有")</x:f>
        <x:v>2</x:v>
      </x:c>
      <x:c r="K38" s="20" t="n">
        <x:f>COUNTIFS('02_怪物与专属'!$G$5:$G$468,$G38,'02_怪物与专属'!$K$5:$K$468,"地图BOSS")</x:f>
        <x:v>1</x:v>
      </x:c>
      <x:c r="L38" s="20" t="n">
        <x:f>COUNTIFS('02_怪物与专属'!$G$5:$G$468,$G38,'02_怪物与专属'!$K$5:$K$468,"守关BOSS")</x:f>
        <x:v>0</x:v>
      </x:c>
      <x:c r="M38" s="20" t="n">
        <x:f>SUM(I38:L38)</x:f>
        <x:v>5</x:v>
      </x:c>
      <x:c r="N38" s="22" t="str">
        <x:v>已完成／来源已分配</x:v>
      </x:c>
      <x:c r="O38" s="20" t="str">
        <x:v>地图属性、尺寸和刷新数量不在本表修改</x:v>
      </x:c>
    </x:row>
    <x:row r="39" ht="24" customHeight="1">
      <x:c r="A39" s="20" t="str">
        <x:v>C04-MAP-015</x:v>
      </x:c>
      <x:c r="B39" s="20" t="str">
        <x:v>C04</x:v>
      </x:c>
      <x:c r="C39" s="20" t="str">
        <x:v>利耶尼亚海域</x:v>
      </x:c>
      <x:c r="D39" s="20" t="n">
        <x:v>6</x:v>
      </x:c>
      <x:c r="E39" s="20" t="str">
        <x:v>湖底密道</x:v>
      </x:c>
      <x:c r="F39" s="20" t="n">
        <x:v>1</x:v>
      </x:c>
      <x:c r="G39" s="20" t="str">
        <x:v>XX368</x:v>
      </x:c>
      <x:c r="H39" s="20" t="str">
        <x:v>湖底密道</x:v>
      </x:c>
      <x:c r="I39" s="20" t="n">
        <x:f>COUNTIFS('02_怪物与专属'!$G$5:$G$468,$G39,'02_怪物与专属'!$K$5:$K$468,"普通")</x:f>
        <x:v>2</x:v>
      </x:c>
      <x:c r="J39" s="20" t="n">
        <x:f>COUNTIFS('02_怪物与专属'!$G$5:$G$468,$G39,'02_怪物与专属'!$K$5:$K$468,"稀有")</x:f>
        <x:v>1</x:v>
      </x:c>
      <x:c r="K39" s="20" t="n">
        <x:f>COUNTIFS('02_怪物与专属'!$G$5:$G$468,$G39,'02_怪物与专属'!$K$5:$K$468,"地图BOSS")</x:f>
        <x:v>0</x:v>
      </x:c>
      <x:c r="L39" s="20" t="n">
        <x:f>COUNTIFS('02_怪物与专属'!$G$5:$G$468,$G39,'02_怪物与专属'!$K$5:$K$468,"守关BOSS")</x:f>
        <x:v>0</x:v>
      </x:c>
      <x:c r="M39" s="20" t="n">
        <x:f>SUM(I39:L39)</x:f>
        <x:v>3</x:v>
      </x:c>
      <x:c r="N39" s="22" t="str">
        <x:v>已完成／来源已分配</x:v>
      </x:c>
      <x:c r="O39" s="20" t="str">
        <x:v>地图属性、尺寸和刷新数量不在本表修改</x:v>
      </x:c>
    </x:row>
    <x:row r="40" ht="24" customHeight="1">
      <x:c r="A40" s="20" t="str">
        <x:v>C04-MAP-016</x:v>
      </x:c>
      <x:c r="B40" s="20" t="str">
        <x:v>C04</x:v>
      </x:c>
      <x:c r="C40" s="20" t="str">
        <x:v>利耶尼亚海域</x:v>
      </x:c>
      <x:c r="D40" s="20" t="n">
        <x:v>6</x:v>
      </x:c>
      <x:c r="E40" s="20" t="str">
        <x:v>湖底密道</x:v>
      </x:c>
      <x:c r="F40" s="20" t="n">
        <x:v>2</x:v>
      </x:c>
      <x:c r="G40" s="20" t="str">
        <x:v>XX382</x:v>
      </x:c>
      <x:c r="H40" s="20" t="str">
        <x:v>沉水暗渠</x:v>
      </x:c>
      <x:c r="I40" s="20" t="n">
        <x:f>COUNTIFS('02_怪物与专属'!$G$5:$G$468,$G40,'02_怪物与专属'!$K$5:$K$468,"普通")</x:f>
        <x:v>2</x:v>
      </x:c>
      <x:c r="J40" s="20" t="n">
        <x:f>COUNTIFS('02_怪物与专属'!$G$5:$G$468,$G40,'02_怪物与专属'!$K$5:$K$468,"稀有")</x:f>
        <x:v>1</x:v>
      </x:c>
      <x:c r="K40" s="20" t="n">
        <x:f>COUNTIFS('02_怪物与专属'!$G$5:$G$468,$G40,'02_怪物与专属'!$K$5:$K$468,"地图BOSS")</x:f>
        <x:v>1</x:v>
      </x:c>
      <x:c r="L40" s="20" t="n">
        <x:f>COUNTIFS('02_怪物与专属'!$G$5:$G$468,$G40,'02_怪物与专属'!$K$5:$K$468,"守关BOSS")</x:f>
        <x:v>0</x:v>
      </x:c>
      <x:c r="M40" s="20" t="n">
        <x:f>SUM(I40:L40)</x:f>
        <x:v>4</x:v>
      </x:c>
      <x:c r="N40" s="22" t="str">
        <x:v>已完成／来源已分配</x:v>
      </x:c>
      <x:c r="O40" s="20" t="str">
        <x:v>地图属性、尺寸和刷新数量不在本表修改</x:v>
      </x:c>
    </x:row>
    <x:row r="41" ht="24" customHeight="1">
      <x:c r="A41" s="20" t="str">
        <x:v>C04-MAP-017</x:v>
      </x:c>
      <x:c r="B41" s="20" t="str">
        <x:v>C04</x:v>
      </x:c>
      <x:c r="C41" s="20" t="str">
        <x:v>利耶尼亚海域</x:v>
      </x:c>
      <x:c r="D41" s="20" t="n">
        <x:v>6</x:v>
      </x:c>
      <x:c r="E41" s="20" t="str">
        <x:v>湖底密道</x:v>
      </x:c>
      <x:c r="F41" s="20" t="n">
        <x:v>3</x:v>
      </x:c>
      <x:c r="G41" s="20" t="str">
        <x:v>XX369</x:v>
      </x:c>
      <x:c r="H41" s="20" t="str">
        <x:v>深湖秘室</x:v>
      </x:c>
      <x:c r="I41" s="20" t="n">
        <x:f>COUNTIFS('02_怪物与专属'!$G$5:$G$468,$G41,'02_怪物与专属'!$K$5:$K$468,"普通")</x:f>
        <x:v>2</x:v>
      </x:c>
      <x:c r="J41" s="20" t="n">
        <x:f>COUNTIFS('02_怪物与专属'!$G$5:$G$468,$G41,'02_怪物与专属'!$K$5:$K$468,"稀有")</x:f>
        <x:v>2</x:v>
      </x:c>
      <x:c r="K41" s="20" t="n">
        <x:f>COUNTIFS('02_怪物与专属'!$G$5:$G$468,$G41,'02_怪物与专属'!$K$5:$K$468,"地图BOSS")</x:f>
        <x:v>1</x:v>
      </x:c>
      <x:c r="L41" s="20" t="n">
        <x:f>COUNTIFS('02_怪物与专属'!$G$5:$G$468,$G41,'02_怪物与专属'!$K$5:$K$468,"守关BOSS")</x:f>
        <x:v>1</x:v>
      </x:c>
      <x:c r="M41" s="20" t="n">
        <x:f>SUM(I41:L41)</x:f>
        <x:v>6</x:v>
      </x:c>
      <x:c r="N41" s="22" t="str">
        <x:v>已完成／来源已分配</x:v>
      </x:c>
      <x:c r="O41" s="20" t="str">
        <x:v>地图属性、尺寸和刷新数量不在本表修改</x:v>
      </x:c>
    </x:row>
    <x:row r="42" ht="24" customHeight="1">
      <x:c r="A42" s="20" t="str">
        <x:v>C05-MAP-001</x:v>
      </x:c>
      <x:c r="B42" s="20" t="str">
        <x:v>C05</x:v>
      </x:c>
      <x:c r="C42" s="20" t="str">
        <x:v>湖之利耶尼亚</x:v>
      </x:c>
      <x:c r="D42" s="20" t="n">
        <x:v>1</x:v>
      </x:c>
      <x:c r="E42" s="20" t="str">
        <x:v>雾月水庭</x:v>
      </x:c>
      <x:c r="F42" s="20" t="n">
        <x:v>1</x:v>
      </x:c>
      <x:c r="G42" s="20" t="str">
        <x:v>XX338</x:v>
      </x:c>
      <x:c r="H42" s="20" t="str">
        <x:v>雾月水庭</x:v>
      </x:c>
      <x:c r="I42" s="20" t="n">
        <x:f>COUNTIFS('02_怪物与专属'!$G$5:$G$468,$G42,'02_怪物与专属'!$K$5:$K$468,"普通")</x:f>
        <x:v>2</x:v>
      </x:c>
      <x:c r="J42" s="20" t="n">
        <x:f>COUNTIFS('02_怪物与专属'!$G$5:$G$468,$G42,'02_怪物与专属'!$K$5:$K$468,"稀有")</x:f>
        <x:v>2</x:v>
      </x:c>
      <x:c r="K42" s="20" t="n">
        <x:f>COUNTIFS('02_怪物与专属'!$G$5:$G$468,$G42,'02_怪物与专属'!$K$5:$K$468,"地图BOSS")</x:f>
        <x:v>0</x:v>
      </x:c>
      <x:c r="L42" s="20" t="n">
        <x:f>COUNTIFS('02_怪物与专属'!$G$5:$G$468,$G42,'02_怪物与专属'!$K$5:$K$468,"守关BOSS")</x:f>
        <x:v>0</x:v>
      </x:c>
      <x:c r="M42" s="20" t="n">
        <x:f>SUM(I42:L42)</x:f>
        <x:v>4</x:v>
      </x:c>
      <x:c r="N42" s="22" t="str">
        <x:v>已完成／来源已分配</x:v>
      </x:c>
      <x:c r="O42" s="20" t="str">
        <x:v>地图属性、尺寸和刷新数量不在本表修改</x:v>
      </x:c>
    </x:row>
    <x:row r="43" ht="24" customHeight="1">
      <x:c r="A43" s="20" t="str">
        <x:v>C05-MAP-002</x:v>
      </x:c>
      <x:c r="B43" s="20" t="str">
        <x:v>C05</x:v>
      </x:c>
      <x:c r="C43" s="20" t="str">
        <x:v>湖之利耶尼亚</x:v>
      </x:c>
      <x:c r="D43" s="20" t="n">
        <x:v>1</x:v>
      </x:c>
      <x:c r="E43" s="20" t="str">
        <x:v>雾月水庭</x:v>
      </x:c>
      <x:c r="F43" s="20" t="n">
        <x:v>2</x:v>
      </x:c>
      <x:c r="G43" s="20" t="str">
        <x:v>XX339</x:v>
      </x:c>
      <x:c r="H43" s="20" t="str">
        <x:v>月雾回廊</x:v>
      </x:c>
      <x:c r="I43" s="20" t="n">
        <x:f>COUNTIFS('02_怪物与专属'!$G$5:$G$468,$G43,'02_怪物与专属'!$K$5:$K$468,"普通")</x:f>
        <x:v>2</x:v>
      </x:c>
      <x:c r="J43" s="20" t="n">
        <x:f>COUNTIFS('02_怪物与专属'!$G$5:$G$468,$G43,'02_怪物与专属'!$K$5:$K$468,"稀有")</x:f>
        <x:v>1</x:v>
      </x:c>
      <x:c r="K43" s="20" t="n">
        <x:f>COUNTIFS('02_怪物与专属'!$G$5:$G$468,$G43,'02_怪物与专属'!$K$5:$K$468,"地图BOSS")</x:f>
        <x:v>1</x:v>
      </x:c>
      <x:c r="L43" s="20" t="n">
        <x:f>COUNTIFS('02_怪物与专属'!$G$5:$G$468,$G43,'02_怪物与专属'!$K$5:$K$468,"守关BOSS")</x:f>
        <x:v>0</x:v>
      </x:c>
      <x:c r="M43" s="20" t="n">
        <x:f>SUM(I43:L43)</x:f>
        <x:v>4</x:v>
      </x:c>
      <x:c r="N43" s="22" t="str">
        <x:v>已完成／来源已分配</x:v>
      </x:c>
      <x:c r="O43" s="20" t="str">
        <x:v>地图属性、尺寸和刷新数量不在本表修改</x:v>
      </x:c>
    </x:row>
    <x:row r="44" ht="24" customHeight="1">
      <x:c r="A44" s="20" t="str">
        <x:v>C05-MAP-003</x:v>
      </x:c>
      <x:c r="B44" s="20" t="str">
        <x:v>C05</x:v>
      </x:c>
      <x:c r="C44" s="20" t="str">
        <x:v>湖之利耶尼亚</x:v>
      </x:c>
      <x:c r="D44" s="20" t="n">
        <x:v>1</x:v>
      </x:c>
      <x:c r="E44" s="20" t="str">
        <x:v>雾月水庭</x:v>
      </x:c>
      <x:c r="F44" s="20" t="n">
        <x:v>3</x:v>
      </x:c>
      <x:c r="G44" s="20" t="str">
        <x:v>XX331</x:v>
      </x:c>
      <x:c r="H44" s="20" t="str">
        <x:v>静月祭庭</x:v>
      </x:c>
      <x:c r="I44" s="20" t="n">
        <x:f>COUNTIFS('02_怪物与专属'!$G$5:$G$468,$G44,'02_怪物与专属'!$K$5:$K$468,"普通")</x:f>
        <x:v>2</x:v>
      </x:c>
      <x:c r="J44" s="20" t="n">
        <x:f>COUNTIFS('02_怪物与专属'!$G$5:$G$468,$G44,'02_怪物与专属'!$K$5:$K$468,"稀有")</x:f>
        <x:v>1</x:v>
      </x:c>
      <x:c r="K44" s="20" t="n">
        <x:f>COUNTIFS('02_怪物与专属'!$G$5:$G$468,$G44,'02_怪物与专属'!$K$5:$K$468,"地图BOSS")</x:f>
        <x:v>1</x:v>
      </x:c>
      <x:c r="L44" s="20" t="n">
        <x:f>COUNTIFS('02_怪物与专属'!$G$5:$G$468,$G44,'02_怪物与专属'!$K$5:$K$468,"守关BOSS")</x:f>
        <x:v>0</x:v>
      </x:c>
      <x:c r="M44" s="20" t="n">
        <x:f>SUM(I44:L44)</x:f>
        <x:v>4</x:v>
      </x:c>
      <x:c r="N44" s="22" t="str">
        <x:v>已完成／来源已分配</x:v>
      </x:c>
      <x:c r="O44" s="20" t="str">
        <x:v>地图属性、尺寸和刷新数量不在本表修改</x:v>
      </x:c>
    </x:row>
    <x:row r="45" ht="24" customHeight="1">
      <x:c r="A45" s="20" t="str">
        <x:v>C05-MAP-004</x:v>
      </x:c>
      <x:c r="B45" s="20" t="str">
        <x:v>C05</x:v>
      </x:c>
      <x:c r="C45" s="20" t="str">
        <x:v>湖之利耶尼亚</x:v>
      </x:c>
      <x:c r="D45" s="20" t="n">
        <x:v>2</x:v>
      </x:c>
      <x:c r="E45" s="20" t="str">
        <x:v>辉石遗迹</x:v>
      </x:c>
      <x:c r="F45" s="20" t="n">
        <x:v>1</x:v>
      </x:c>
      <x:c r="G45" s="20" t="str">
        <x:v>XX812</x:v>
      </x:c>
      <x:c r="H45" s="20" t="str">
        <x:v>辉石遗迹</x:v>
      </x:c>
      <x:c r="I45" s="20" t="n">
        <x:f>COUNTIFS('02_怪物与专属'!$G$5:$G$468,$G45,'02_怪物与专属'!$K$5:$K$468,"普通")</x:f>
        <x:v>2</x:v>
      </x:c>
      <x:c r="J45" s="20" t="n">
        <x:f>COUNTIFS('02_怪物与专属'!$G$5:$G$468,$G45,'02_怪物与专属'!$K$5:$K$468,"稀有")</x:f>
        <x:v>1</x:v>
      </x:c>
      <x:c r="K45" s="20" t="n">
        <x:f>COUNTIFS('02_怪物与专属'!$G$5:$G$468,$G45,'02_怪物与专属'!$K$5:$K$468,"地图BOSS")</x:f>
        <x:v>0</x:v>
      </x:c>
      <x:c r="L45" s="20" t="n">
        <x:f>COUNTIFS('02_怪物与专属'!$G$5:$G$468,$G45,'02_怪物与专属'!$K$5:$K$468,"守关BOSS")</x:f>
        <x:v>0</x:v>
      </x:c>
      <x:c r="M45" s="20" t="n">
        <x:f>SUM(I45:L45)</x:f>
        <x:v>3</x:v>
      </x:c>
      <x:c r="N45" s="22" t="str">
        <x:v>已完成／来源已分配</x:v>
      </x:c>
      <x:c r="O45" s="20" t="str">
        <x:v>地图属性、尺寸和刷新数量不在本表修改</x:v>
      </x:c>
    </x:row>
    <x:row r="46" ht="24" customHeight="1">
      <x:c r="A46" s="20" t="str">
        <x:v>C05-MAP-005</x:v>
      </x:c>
      <x:c r="B46" s="20" t="str">
        <x:v>C05</x:v>
      </x:c>
      <x:c r="C46" s="20" t="str">
        <x:v>湖之利耶尼亚</x:v>
      </x:c>
      <x:c r="D46" s="20" t="n">
        <x:v>2</x:v>
      </x:c>
      <x:c r="E46" s="20" t="str">
        <x:v>辉石遗迹</x:v>
      </x:c>
      <x:c r="F46" s="20" t="n">
        <x:v>2</x:v>
      </x:c>
      <x:c r="G46" s="20" t="str">
        <x:v>XX815</x:v>
      </x:c>
      <x:c r="H46" s="20" t="str">
        <x:v>晶辉长廊</x:v>
      </x:c>
      <x:c r="I46" s="20" t="n">
        <x:f>COUNTIFS('02_怪物与专属'!$G$5:$G$468,$G46,'02_怪物与专属'!$K$5:$K$468,"普通")</x:f>
        <x:v>1</x:v>
      </x:c>
      <x:c r="J46" s="20" t="n">
        <x:f>COUNTIFS('02_怪物与专属'!$G$5:$G$468,$G46,'02_怪物与专属'!$K$5:$K$468,"稀有")</x:f>
        <x:v>1</x:v>
      </x:c>
      <x:c r="K46" s="20" t="n">
        <x:f>COUNTIFS('02_怪物与专属'!$G$5:$G$468,$G46,'02_怪物与专属'!$K$5:$K$468,"地图BOSS")</x:f>
        <x:v>0</x:v>
      </x:c>
      <x:c r="L46" s="20" t="n">
        <x:f>COUNTIFS('02_怪物与专属'!$G$5:$G$468,$G46,'02_怪物与专属'!$K$5:$K$468,"守关BOSS")</x:f>
        <x:v>0</x:v>
      </x:c>
      <x:c r="M46" s="20" t="n">
        <x:f>SUM(I46:L46)</x:f>
        <x:v>2</x:v>
      </x:c>
      <x:c r="N46" s="22" t="str">
        <x:v>已完成／来源已分配</x:v>
      </x:c>
      <x:c r="O46" s="20" t="str">
        <x:v>地图属性、尺寸和刷新数量不在本表修改</x:v>
      </x:c>
    </x:row>
    <x:row r="47" ht="24" customHeight="1">
      <x:c r="A47" s="20" t="str">
        <x:v>C05-MAP-006</x:v>
      </x:c>
      <x:c r="B47" s="20" t="str">
        <x:v>C05</x:v>
      </x:c>
      <x:c r="C47" s="20" t="str">
        <x:v>湖之利耶尼亚</x:v>
      </x:c>
      <x:c r="D47" s="20" t="n">
        <x:v>2</x:v>
      </x:c>
      <x:c r="E47" s="20" t="str">
        <x:v>辉石遗迹</x:v>
      </x:c>
      <x:c r="F47" s="20" t="n">
        <x:v>3</x:v>
      </x:c>
      <x:c r="G47" s="20" t="str">
        <x:v>XX813</x:v>
      </x:c>
      <x:c r="H47" s="20" t="str">
        <x:v>学院前庭</x:v>
      </x:c>
      <x:c r="I47" s="20" t="n">
        <x:f>COUNTIFS('02_怪物与专属'!$G$5:$G$468,$G47,'02_怪物与专属'!$K$5:$K$468,"普通")</x:f>
        <x:v>1</x:v>
      </x:c>
      <x:c r="J47" s="20" t="n">
        <x:f>COUNTIFS('02_怪物与专属'!$G$5:$G$468,$G47,'02_怪物与专属'!$K$5:$K$468,"稀有")</x:f>
        <x:v>1</x:v>
      </x:c>
      <x:c r="K47" s="20" t="n">
        <x:f>COUNTIFS('02_怪物与专属'!$G$5:$G$468,$G47,'02_怪物与专属'!$K$5:$K$468,"地图BOSS")</x:f>
        <x:v>0</x:v>
      </x:c>
      <x:c r="L47" s="20" t="n">
        <x:f>COUNTIFS('02_怪物与专属'!$G$5:$G$468,$G47,'02_怪物与专属'!$K$5:$K$468,"守关BOSS")</x:f>
        <x:v>0</x:v>
      </x:c>
      <x:c r="M47" s="20" t="n">
        <x:f>SUM(I47:L47)</x:f>
        <x:v>2</x:v>
      </x:c>
      <x:c r="N47" s="22" t="str">
        <x:v>已完成／来源已分配</x:v>
      </x:c>
      <x:c r="O47" s="20" t="str">
        <x:v>地图属性、尺寸和刷新数量不在本表修改</x:v>
      </x:c>
    </x:row>
    <x:row r="48" ht="24" customHeight="1">
      <x:c r="A48" s="20" t="str">
        <x:v>C05-MAP-007</x:v>
      </x:c>
      <x:c r="B48" s="20" t="str">
        <x:v>C05</x:v>
      </x:c>
      <x:c r="C48" s="20" t="str">
        <x:v>湖之利耶尼亚</x:v>
      </x:c>
      <x:c r="D48" s="20" t="n">
        <x:v>2</x:v>
      </x:c>
      <x:c r="E48" s="20" t="str">
        <x:v>辉石遗迹</x:v>
      </x:c>
      <x:c r="F48" s="20" t="n">
        <x:v>4</x:v>
      </x:c>
      <x:c r="G48" s="20" t="str">
        <x:v>XX814</x:v>
      </x:c>
      <x:c r="H48" s="20" t="str">
        <x:v>辉石内院</x:v>
      </x:c>
      <x:c r="I48" s="20" t="n">
        <x:f>COUNTIFS('02_怪物与专属'!$G$5:$G$468,$G48,'02_怪物与专属'!$K$5:$K$468,"普通")</x:f>
        <x:v>1</x:v>
      </x:c>
      <x:c r="J48" s="20" t="n">
        <x:f>COUNTIFS('02_怪物与专属'!$G$5:$G$468,$G48,'02_怪物与专属'!$K$5:$K$468,"稀有")</x:f>
        <x:v>1</x:v>
      </x:c>
      <x:c r="K48" s="20" t="n">
        <x:f>COUNTIFS('02_怪物与专属'!$G$5:$G$468,$G48,'02_怪物与专属'!$K$5:$K$468,"地图BOSS")</x:f>
        <x:v>1</x:v>
      </x:c>
      <x:c r="L48" s="20" t="n">
        <x:f>COUNTIFS('02_怪物与专属'!$G$5:$G$468,$G48,'02_怪物与专属'!$K$5:$K$468,"守关BOSS")</x:f>
        <x:v>0</x:v>
      </x:c>
      <x:c r="M48" s="20" t="n">
        <x:f>SUM(I48:L48)</x:f>
        <x:v>3</x:v>
      </x:c>
      <x:c r="N48" s="22" t="str">
        <x:v>已完成／来源已分配</x:v>
      </x:c>
      <x:c r="O48" s="20" t="str">
        <x:v>地图属性、尺寸和刷新数量不在本表修改</x:v>
      </x:c>
    </x:row>
    <x:row r="49" ht="24" customHeight="1">
      <x:c r="A49" s="20" t="str">
        <x:v>C05-MAP-008</x:v>
      </x:c>
      <x:c r="B49" s="20" t="str">
        <x:v>C05</x:v>
      </x:c>
      <x:c r="C49" s="20" t="str">
        <x:v>湖之利耶尼亚</x:v>
      </x:c>
      <x:c r="D49" s="20" t="n">
        <x:v>2</x:v>
      </x:c>
      <x:c r="E49" s="20" t="str">
        <x:v>辉石遗迹</x:v>
      </x:c>
      <x:c r="F49" s="20" t="n">
        <x:v>5</x:v>
      </x:c>
      <x:c r="G49" s="20" t="str">
        <x:v>XX816</x:v>
      </x:c>
      <x:c r="H49" s="20" t="str">
        <x:v>辉石圣坛</x:v>
      </x:c>
      <x:c r="I49" s="20" t="n">
        <x:f>COUNTIFS('02_怪物与专属'!$G$5:$G$468,$G49,'02_怪物与专属'!$K$5:$K$468,"普通")</x:f>
        <x:v>1</x:v>
      </x:c>
      <x:c r="J49" s="20" t="n">
        <x:f>COUNTIFS('02_怪物与专属'!$G$5:$G$468,$G49,'02_怪物与专属'!$K$5:$K$468,"稀有")</x:f>
        <x:v>0</x:v>
      </x:c>
      <x:c r="K49" s="20" t="n">
        <x:f>COUNTIFS('02_怪物与专属'!$G$5:$G$468,$G49,'02_怪物与专属'!$K$5:$K$468,"地图BOSS")</x:f>
        <x:v>1</x:v>
      </x:c>
      <x:c r="L49" s="20" t="n">
        <x:f>COUNTIFS('02_怪物与专属'!$G$5:$G$468,$G49,'02_怪物与专属'!$K$5:$K$468,"守关BOSS")</x:f>
        <x:v>0</x:v>
      </x:c>
      <x:c r="M49" s="20" t="n">
        <x:f>SUM(I49:L49)</x:f>
        <x:v>2</x:v>
      </x:c>
      <x:c r="N49" s="22" t="str">
        <x:v>已完成／来源已分配</x:v>
      </x:c>
      <x:c r="O49" s="20" t="str">
        <x:v>地图属性、尺寸和刷新数量不在本表修改</x:v>
      </x:c>
    </x:row>
    <x:row r="50" ht="24" customHeight="1">
      <x:c r="A50" s="20" t="str">
        <x:v>C05-MAP-009</x:v>
      </x:c>
      <x:c r="B50" s="20" t="str">
        <x:v>C05</x:v>
      </x:c>
      <x:c r="C50" s="20" t="str">
        <x:v>湖之利耶尼亚</x:v>
      </x:c>
      <x:c r="D50" s="20" t="n">
        <x:v>3</x:v>
      </x:c>
      <x:c r="E50" s="20" t="str">
        <x:v>学院回廊</x:v>
      </x:c>
      <x:c r="F50" s="20" t="n">
        <x:v>1</x:v>
      </x:c>
      <x:c r="G50" s="20" t="str">
        <x:v>XX1053</x:v>
      </x:c>
      <x:c r="H50" s="20" t="str">
        <x:v>学院回廊</x:v>
      </x:c>
      <x:c r="I50" s="20" t="n">
        <x:f>COUNTIFS('02_怪物与专属'!$G$5:$G$468,$G50,'02_怪物与专属'!$K$5:$K$468,"普通")</x:f>
        <x:v>2</x:v>
      </x:c>
      <x:c r="J50" s="20" t="n">
        <x:f>COUNTIFS('02_怪物与专属'!$G$5:$G$468,$G50,'02_怪物与专属'!$K$5:$K$468,"稀有")</x:f>
        <x:v>1</x:v>
      </x:c>
      <x:c r="K50" s="20" t="n">
        <x:f>COUNTIFS('02_怪物与专属'!$G$5:$G$468,$G50,'02_怪物与专属'!$K$5:$K$468,"地图BOSS")</x:f>
        <x:v>0</x:v>
      </x:c>
      <x:c r="L50" s="20" t="n">
        <x:f>COUNTIFS('02_怪物与专属'!$G$5:$G$468,$G50,'02_怪物与专属'!$K$5:$K$468,"守关BOSS")</x:f>
        <x:v>0</x:v>
      </x:c>
      <x:c r="M50" s="20" t="n">
        <x:f>SUM(I50:L50)</x:f>
        <x:v>3</x:v>
      </x:c>
      <x:c r="N50" s="22" t="str">
        <x:v>已完成／来源已分配</x:v>
      </x:c>
      <x:c r="O50" s="20" t="str">
        <x:v>地图属性、尺寸和刷新数量不在本表修改</x:v>
      </x:c>
    </x:row>
    <x:row r="51" ht="24" customHeight="1">
      <x:c r="A51" s="20" t="str">
        <x:v>C05-MAP-010</x:v>
      </x:c>
      <x:c r="B51" s="20" t="str">
        <x:v>C05</x:v>
      </x:c>
      <x:c r="C51" s="20" t="str">
        <x:v>湖之利耶尼亚</x:v>
      </x:c>
      <x:c r="D51" s="20" t="n">
        <x:v>3</x:v>
      </x:c>
      <x:c r="E51" s="20" t="str">
        <x:v>学院回廊</x:v>
      </x:c>
      <x:c r="F51" s="20" t="n">
        <x:v>2</x:v>
      </x:c>
      <x:c r="G51" s="20" t="str">
        <x:v>XX1060</x:v>
      </x:c>
      <x:c r="H51" s="20" t="str">
        <x:v>封印讲堂</x:v>
      </x:c>
      <x:c r="I51" s="20" t="n">
        <x:f>COUNTIFS('02_怪物与专属'!$G$5:$G$468,$G51,'02_怪物与专属'!$K$5:$K$468,"普通")</x:f>
        <x:v>2</x:v>
      </x:c>
      <x:c r="J51" s="20" t="n">
        <x:f>COUNTIFS('02_怪物与专属'!$G$5:$G$468,$G51,'02_怪物与专属'!$K$5:$K$468,"稀有")</x:f>
        <x:v>1</x:v>
      </x:c>
      <x:c r="K51" s="20" t="n">
        <x:f>COUNTIFS('02_怪物与专属'!$G$5:$G$468,$G51,'02_怪物与专属'!$K$5:$K$468,"地图BOSS")</x:f>
        <x:v>1</x:v>
      </x:c>
      <x:c r="L51" s="20" t="n">
        <x:f>COUNTIFS('02_怪物与专属'!$G$5:$G$468,$G51,'02_怪物与专属'!$K$5:$K$468,"守关BOSS")</x:f>
        <x:v>0</x:v>
      </x:c>
      <x:c r="M51" s="20" t="n">
        <x:f>SUM(I51:L51)</x:f>
        <x:v>4</x:v>
      </x:c>
      <x:c r="N51" s="22" t="str">
        <x:v>已完成／来源已分配</x:v>
      </x:c>
      <x:c r="O51" s="20" t="str">
        <x:v>地图属性、尺寸和刷新数量不在本表修改</x:v>
      </x:c>
    </x:row>
    <x:row r="52" ht="24" customHeight="1">
      <x:c r="A52" s="20" t="str">
        <x:v>C05-MAP-011</x:v>
      </x:c>
      <x:c r="B52" s="20" t="str">
        <x:v>C05</x:v>
      </x:c>
      <x:c r="C52" s="20" t="str">
        <x:v>湖之利耶尼亚</x:v>
      </x:c>
      <x:c r="D52" s="20" t="n">
        <x:v>3</x:v>
      </x:c>
      <x:c r="E52" s="20" t="str">
        <x:v>学院回廊</x:v>
      </x:c>
      <x:c r="F52" s="20" t="n">
        <x:v>3</x:v>
      </x:c>
      <x:c r="G52" s="20" t="str">
        <x:v>XX1058</x:v>
      </x:c>
      <x:c r="H52" s="20" t="str">
        <x:v>学院密室</x:v>
      </x:c>
      <x:c r="I52" s="20" t="n">
        <x:f>COUNTIFS('02_怪物与专属'!$G$5:$G$468,$G52,'02_怪物与专属'!$K$5:$K$468,"普通")</x:f>
        <x:v>2</x:v>
      </x:c>
      <x:c r="J52" s="20" t="n">
        <x:f>COUNTIFS('02_怪物与专属'!$G$5:$G$468,$G52,'02_怪物与专属'!$K$5:$K$468,"稀有")</x:f>
        <x:v>2</x:v>
      </x:c>
      <x:c r="K52" s="20" t="n">
        <x:f>COUNTIFS('02_怪物与专属'!$G$5:$G$468,$G52,'02_怪物与专属'!$K$5:$K$468,"地图BOSS")</x:f>
        <x:v>1</x:v>
      </x:c>
      <x:c r="L52" s="20" t="n">
        <x:f>COUNTIFS('02_怪物与专属'!$G$5:$G$468,$G52,'02_怪物与专属'!$K$5:$K$468,"守关BOSS")</x:f>
        <x:v>0</x:v>
      </x:c>
      <x:c r="M52" s="20" t="n">
        <x:f>SUM(I52:L52)</x:f>
        <x:v>5</x:v>
      </x:c>
      <x:c r="N52" s="22" t="str">
        <x:v>已完成／来源已分配</x:v>
      </x:c>
      <x:c r="O52" s="20" t="str">
        <x:v>地图属性、尺寸和刷新数量不在本表修改</x:v>
      </x:c>
    </x:row>
    <x:row r="53" ht="24" customHeight="1">
      <x:c r="A53" s="20" t="str">
        <x:v>C05-MAP-012</x:v>
      </x:c>
      <x:c r="B53" s="20" t="str">
        <x:v>C05</x:v>
      </x:c>
      <x:c r="C53" s="20" t="str">
        <x:v>湖之利耶尼亚</x:v>
      </x:c>
      <x:c r="D53" s="20" t="n">
        <x:v>4</x:v>
      </x:c>
      <x:c r="E53" s="20" t="str">
        <x:v>满月书库</x:v>
      </x:c>
      <x:c r="F53" s="20" t="n">
        <x:v>1</x:v>
      </x:c>
      <x:c r="G53" s="20" t="str">
        <x:v>XX1063</x:v>
      </x:c>
      <x:c r="H53" s="20" t="str">
        <x:v>满月书库</x:v>
      </x:c>
      <x:c r="I53" s="20" t="n">
        <x:f>COUNTIFS('02_怪物与专属'!$G$5:$G$468,$G53,'02_怪物与专属'!$K$5:$K$468,"普通")</x:f>
        <x:v>2</x:v>
      </x:c>
      <x:c r="J53" s="20" t="n">
        <x:f>COUNTIFS('02_怪物与专属'!$G$5:$G$468,$G53,'02_怪物与专属'!$K$5:$K$468,"稀有")</x:f>
        <x:v>2</x:v>
      </x:c>
      <x:c r="K53" s="20" t="n">
        <x:f>COUNTIFS('02_怪物与专属'!$G$5:$G$468,$G53,'02_怪物与专属'!$K$5:$K$468,"地图BOSS")</x:f>
        <x:v>0</x:v>
      </x:c>
      <x:c r="L53" s="20" t="n">
        <x:f>COUNTIFS('02_怪物与专属'!$G$5:$G$468,$G53,'02_怪物与专属'!$K$5:$K$468,"守关BOSS")</x:f>
        <x:v>0</x:v>
      </x:c>
      <x:c r="M53" s="20" t="n">
        <x:f>SUM(I53:L53)</x:f>
        <x:v>4</x:v>
      </x:c>
      <x:c r="N53" s="22" t="str">
        <x:v>已完成／来源已分配</x:v>
      </x:c>
      <x:c r="O53" s="20" t="str">
        <x:v>地图属性、尺寸和刷新数量不在本表修改</x:v>
      </x:c>
    </x:row>
    <x:row r="54" ht="24" customHeight="1">
      <x:c r="A54" s="20" t="str">
        <x:v>C05-MAP-013</x:v>
      </x:c>
      <x:c r="B54" s="20" t="str">
        <x:v>C05</x:v>
      </x:c>
      <x:c r="C54" s="20" t="str">
        <x:v>湖之利耶尼亚</x:v>
      </x:c>
      <x:c r="D54" s="20" t="n">
        <x:v>4</x:v>
      </x:c>
      <x:c r="E54" s="20" t="str">
        <x:v>满月书库</x:v>
      </x:c>
      <x:c r="F54" s="20" t="n">
        <x:v>2</x:v>
      </x:c>
      <x:c r="G54" s="20" t="str">
        <x:v>XX1065</x:v>
      </x:c>
      <x:c r="H54" s="20" t="str">
        <x:v>禁书回廊</x:v>
      </x:c>
      <x:c r="I54" s="20" t="n">
        <x:f>COUNTIFS('02_怪物与专属'!$G$5:$G$468,$G54,'02_怪物与专属'!$K$5:$K$468,"普通")</x:f>
        <x:v>2</x:v>
      </x:c>
      <x:c r="J54" s="20" t="n">
        <x:f>COUNTIFS('02_怪物与专属'!$G$5:$G$468,$G54,'02_怪物与专属'!$K$5:$K$468,"稀有")</x:f>
        <x:v>1</x:v>
      </x:c>
      <x:c r="K54" s="20" t="n">
        <x:f>COUNTIFS('02_怪物与专属'!$G$5:$G$468,$G54,'02_怪物与专属'!$K$5:$K$468,"地图BOSS")</x:f>
        <x:v>1</x:v>
      </x:c>
      <x:c r="L54" s="20" t="n">
        <x:f>COUNTIFS('02_怪物与专属'!$G$5:$G$468,$G54,'02_怪物与专属'!$K$5:$K$468,"守关BOSS")</x:f>
        <x:v>0</x:v>
      </x:c>
      <x:c r="M54" s="20" t="n">
        <x:f>SUM(I54:L54)</x:f>
        <x:v>4</x:v>
      </x:c>
      <x:c r="N54" s="22" t="str">
        <x:v>已完成／来源已分配</x:v>
      </x:c>
      <x:c r="O54" s="20" t="str">
        <x:v>地图属性、尺寸和刷新数量不在本表修改</x:v>
      </x:c>
    </x:row>
    <x:row r="55" ht="24" customHeight="1">
      <x:c r="A55" s="20" t="str">
        <x:v>C05-MAP-014</x:v>
      </x:c>
      <x:c r="B55" s="20" t="str">
        <x:v>C05</x:v>
      </x:c>
      <x:c r="C55" s="20" t="str">
        <x:v>湖之利耶尼亚</x:v>
      </x:c>
      <x:c r="D55" s="20" t="n">
        <x:v>4</x:v>
      </x:c>
      <x:c r="E55" s="20" t="str">
        <x:v>满月书库</x:v>
      </x:c>
      <x:c r="F55" s="20" t="n">
        <x:v>3</x:v>
      </x:c>
      <x:c r="G55" s="20" t="str">
        <x:v>XX1066</x:v>
      </x:c>
      <x:c r="H55" s="20" t="str">
        <x:v>满月藏书室</x:v>
      </x:c>
      <x:c r="I55" s="20" t="n">
        <x:f>COUNTIFS('02_怪物与专属'!$G$5:$G$468,$G55,'02_怪物与专属'!$K$5:$K$468,"普通")</x:f>
        <x:v>2</x:v>
      </x:c>
      <x:c r="J55" s="20" t="n">
        <x:f>COUNTIFS('02_怪物与专属'!$G$5:$G$468,$G55,'02_怪物与专属'!$K$5:$K$468,"稀有")</x:f>
        <x:v>1</x:v>
      </x:c>
      <x:c r="K55" s="20" t="n">
        <x:f>COUNTIFS('02_怪物与专属'!$G$5:$G$468,$G55,'02_怪物与专属'!$K$5:$K$468,"地图BOSS")</x:f>
        <x:v>1</x:v>
      </x:c>
      <x:c r="L55" s="20" t="n">
        <x:f>COUNTIFS('02_怪物与专属'!$G$5:$G$468,$G55,'02_怪物与专属'!$K$5:$K$468,"守关BOSS")</x:f>
        <x:v>0</x:v>
      </x:c>
      <x:c r="M55" s="20" t="n">
        <x:f>SUM(I55:L55)</x:f>
        <x:v>4</x:v>
      </x:c>
      <x:c r="N55" s="22" t="str">
        <x:v>已完成／来源已分配</x:v>
      </x:c>
      <x:c r="O55" s="20" t="str">
        <x:v>地图属性、尺寸和刷新数量不在本表修改</x:v>
      </x:c>
    </x:row>
    <x:row r="56" ht="24" customHeight="1">
      <x:c r="A56" s="20" t="str">
        <x:v>C05-MAP-015</x:v>
      </x:c>
      <x:c r="B56" s="20" t="str">
        <x:v>C05</x:v>
      </x:c>
      <x:c r="C56" s="20" t="str">
        <x:v>湖之利耶尼亚</x:v>
      </x:c>
      <x:c r="D56" s="20" t="n">
        <x:v>5</x:v>
      </x:c>
      <x:c r="E56" s="20" t="str">
        <x:v>月影水宫</x:v>
      </x:c>
      <x:c r="F56" s="20" t="n">
        <x:v>1</x:v>
      </x:c>
      <x:c r="G56" s="20" t="str">
        <x:v>XX377</x:v>
      </x:c>
      <x:c r="H56" s="20" t="str">
        <x:v>月影水宫</x:v>
      </x:c>
      <x:c r="I56" s="20" t="n">
        <x:f>COUNTIFS('02_怪物与专属'!$G$5:$G$468,$G56,'02_怪物与专属'!$K$5:$K$468,"普通")</x:f>
        <x:v>2</x:v>
      </x:c>
      <x:c r="J56" s="20" t="n">
        <x:f>COUNTIFS('02_怪物与专属'!$G$5:$G$468,$G56,'02_怪物与专属'!$K$5:$K$468,"稀有")</x:f>
        <x:v>2</x:v>
      </x:c>
      <x:c r="K56" s="20" t="n">
        <x:f>COUNTIFS('02_怪物与专属'!$G$5:$G$468,$G56,'02_怪物与专属'!$K$5:$K$468,"地图BOSS")</x:f>
        <x:v>0</x:v>
      </x:c>
      <x:c r="L56" s="20" t="n">
        <x:f>COUNTIFS('02_怪物与专属'!$G$5:$G$468,$G56,'02_怪物与专属'!$K$5:$K$468,"守关BOSS")</x:f>
        <x:v>0</x:v>
      </x:c>
      <x:c r="M56" s="20" t="n">
        <x:f>SUM(I56:L56)</x:f>
        <x:v>4</x:v>
      </x:c>
      <x:c r="N56" s="22" t="str">
        <x:v>已完成／来源已分配</x:v>
      </x:c>
      <x:c r="O56" s="20" t="str">
        <x:v>地图属性、尺寸和刷新数量不在本表修改</x:v>
      </x:c>
    </x:row>
    <x:row r="57" ht="24" customHeight="1">
      <x:c r="A57" s="20" t="str">
        <x:v>C05-MAP-016</x:v>
      </x:c>
      <x:c r="B57" s="20" t="str">
        <x:v>C05</x:v>
      </x:c>
      <x:c r="C57" s="20" t="str">
        <x:v>湖之利耶尼亚</x:v>
      </x:c>
      <x:c r="D57" s="20" t="n">
        <x:v>5</x:v>
      </x:c>
      <x:c r="E57" s="20" t="str">
        <x:v>月影水宫</x:v>
      </x:c>
      <x:c r="F57" s="20" t="n">
        <x:v>2</x:v>
      </x:c>
      <x:c r="G57" s="20" t="str">
        <x:v>XX378</x:v>
      </x:c>
      <x:c r="H57" s="20" t="str">
        <x:v>月华内殿</x:v>
      </x:c>
      <x:c r="I57" s="20" t="n">
        <x:f>COUNTIFS('02_怪物与专属'!$G$5:$G$468,$G57,'02_怪物与专属'!$K$5:$K$468,"普通")</x:f>
        <x:v>2</x:v>
      </x:c>
      <x:c r="J57" s="20" t="n">
        <x:f>COUNTIFS('02_怪物与专属'!$G$5:$G$468,$G57,'02_怪物与专属'!$K$5:$K$468,"稀有")</x:f>
        <x:v>1</x:v>
      </x:c>
      <x:c r="K57" s="20" t="n">
        <x:f>COUNTIFS('02_怪物与专属'!$G$5:$G$468,$G57,'02_怪物与专属'!$K$5:$K$468,"地图BOSS")</x:f>
        <x:v>1</x:v>
      </x:c>
      <x:c r="L57" s="20" t="n">
        <x:f>COUNTIFS('02_怪物与专属'!$G$5:$G$468,$G57,'02_怪物与专属'!$K$5:$K$468,"守关BOSS")</x:f>
        <x:v>0</x:v>
      </x:c>
      <x:c r="M57" s="20" t="n">
        <x:f>SUM(I57:L57)</x:f>
        <x:v>4</x:v>
      </x:c>
      <x:c r="N57" s="22" t="str">
        <x:v>已完成／来源已分配</x:v>
      </x:c>
      <x:c r="O57" s="20" t="str">
        <x:v>地图属性、尺寸和刷新数量不在本表修改</x:v>
      </x:c>
    </x:row>
    <x:row r="58" ht="24" customHeight="1">
      <x:c r="A58" s="20" t="str">
        <x:v>C05-MAP-017</x:v>
      </x:c>
      <x:c r="B58" s="20" t="str">
        <x:v>C05</x:v>
      </x:c>
      <x:c r="C58" s="20" t="str">
        <x:v>湖之利耶尼亚</x:v>
      </x:c>
      <x:c r="D58" s="20" t="n">
        <x:v>5</x:v>
      </x:c>
      <x:c r="E58" s="20" t="str">
        <x:v>月影水宫</x:v>
      </x:c>
      <x:c r="F58" s="20" t="n">
        <x:v>3</x:v>
      </x:c>
      <x:c r="G58" s="20" t="str">
        <x:v>XX379</x:v>
      </x:c>
      <x:c r="H58" s="20" t="str">
        <x:v>月影圣殿</x:v>
      </x:c>
      <x:c r="I58" s="20" t="n">
        <x:f>COUNTIFS('02_怪物与专属'!$G$5:$G$468,$G58,'02_怪物与专属'!$K$5:$K$468,"普通")</x:f>
        <x:v>2</x:v>
      </x:c>
      <x:c r="J58" s="20" t="n">
        <x:f>COUNTIFS('02_怪物与专属'!$G$5:$G$468,$G58,'02_怪物与专属'!$K$5:$K$468,"稀有")</x:f>
        <x:v>1</x:v>
      </x:c>
      <x:c r="K58" s="20" t="n">
        <x:f>COUNTIFS('02_怪物与专属'!$G$5:$G$468,$G58,'02_怪物与专属'!$K$5:$K$468,"地图BOSS")</x:f>
        <x:v>1</x:v>
      </x:c>
      <x:c r="L58" s="20" t="n">
        <x:f>COUNTIFS('02_怪物与专属'!$G$5:$G$468,$G58,'02_怪物与专属'!$K$5:$K$468,"守关BOSS")</x:f>
        <x:v>0</x:v>
      </x:c>
      <x:c r="M58" s="20" t="n">
        <x:f>SUM(I58:L58)</x:f>
        <x:v>4</x:v>
      </x:c>
      <x:c r="N58" s="22" t="str">
        <x:v>已完成／来源已分配</x:v>
      </x:c>
      <x:c r="O58" s="20" t="str">
        <x:v>地图属性、尺寸和刷新数量不在本表修改</x:v>
      </x:c>
    </x:row>
    <x:row r="59" ht="24" customHeight="1">
      <x:c r="A59" s="20" t="str">
        <x:v>C05-MAP-018</x:v>
      </x:c>
      <x:c r="B59" s="20" t="str">
        <x:v>C05</x:v>
      </x:c>
      <x:c r="C59" s="20" t="str">
        <x:v>湖之利耶尼亚</x:v>
      </x:c>
      <x:c r="D59" s="20" t="n">
        <x:v>6</x:v>
      </x:c>
      <x:c r="E59" s="20" t="str">
        <x:v>卡利亚禁域</x:v>
      </x:c>
      <x:c r="F59" s="20" t="n">
        <x:v>1</x:v>
      </x:c>
      <x:c r="G59" s="20" t="str">
        <x:v>XX927</x:v>
      </x:c>
      <x:c r="H59" s="20" t="str">
        <x:v>卡利亚禁域</x:v>
      </x:c>
      <x:c r="I59" s="20" t="n">
        <x:f>COUNTIFS('02_怪物与专属'!$G$5:$G$468,$G59,'02_怪物与专属'!$K$5:$K$468,"普通")</x:f>
        <x:v>2</x:v>
      </x:c>
      <x:c r="J59" s="20" t="n">
        <x:f>COUNTIFS('02_怪物与专属'!$G$5:$G$468,$G59,'02_怪物与专属'!$K$5:$K$468,"稀有")</x:f>
        <x:v>1</x:v>
      </x:c>
      <x:c r="K59" s="20" t="n">
        <x:f>COUNTIFS('02_怪物与专属'!$G$5:$G$468,$G59,'02_怪物与专属'!$K$5:$K$468,"地图BOSS")</x:f>
        <x:v>0</x:v>
      </x:c>
      <x:c r="L59" s="20" t="n">
        <x:f>COUNTIFS('02_怪物与专属'!$G$5:$G$468,$G59,'02_怪物与专属'!$K$5:$K$468,"守关BOSS")</x:f>
        <x:v>0</x:v>
      </x:c>
      <x:c r="M59" s="20" t="n">
        <x:f>SUM(I59:L59)</x:f>
        <x:v>3</x:v>
      </x:c>
      <x:c r="N59" s="22" t="str">
        <x:v>已完成／来源已分配</x:v>
      </x:c>
      <x:c r="O59" s="20" t="str">
        <x:v>地图属性、尺寸和刷新数量不在本表修改</x:v>
      </x:c>
    </x:row>
    <x:row r="60" ht="24" customHeight="1">
      <x:c r="A60" s="20" t="str">
        <x:v>C05-MAP-019</x:v>
      </x:c>
      <x:c r="B60" s="20" t="str">
        <x:v>C05</x:v>
      </x:c>
      <x:c r="C60" s="20" t="str">
        <x:v>湖之利耶尼亚</x:v>
      </x:c>
      <x:c r="D60" s="20" t="n">
        <x:v>6</x:v>
      </x:c>
      <x:c r="E60" s="20" t="str">
        <x:v>卡利亚禁域</x:v>
      </x:c>
      <x:c r="F60" s="20" t="n">
        <x:v>2</x:v>
      </x:c>
      <x:c r="G60" s="20" t="str">
        <x:v>XX925</x:v>
      </x:c>
      <x:c r="H60" s="20" t="str">
        <x:v>禁域回廊</x:v>
      </x:c>
      <x:c r="I60" s="20" t="n">
        <x:f>COUNTIFS('02_怪物与专属'!$G$5:$G$468,$G60,'02_怪物与专属'!$K$5:$K$468,"普通")</x:f>
        <x:v>1</x:v>
      </x:c>
      <x:c r="J60" s="20" t="n">
        <x:f>COUNTIFS('02_怪物与专属'!$G$5:$G$468,$G60,'02_怪物与专属'!$K$5:$K$468,"稀有")</x:f>
        <x:v>1</x:v>
      </x:c>
      <x:c r="K60" s="20" t="n">
        <x:f>COUNTIFS('02_怪物与专属'!$G$5:$G$468,$G60,'02_怪物与专属'!$K$5:$K$468,"地图BOSS")</x:f>
        <x:v>0</x:v>
      </x:c>
      <x:c r="L60" s="20" t="n">
        <x:f>COUNTIFS('02_怪物与专属'!$G$5:$G$468,$G60,'02_怪物与专属'!$K$5:$K$468,"守关BOSS")</x:f>
        <x:v>0</x:v>
      </x:c>
      <x:c r="M60" s="20" t="n">
        <x:f>SUM(I60:L60)</x:f>
        <x:v>2</x:v>
      </x:c>
      <x:c r="N60" s="22" t="str">
        <x:v>已完成／来源已分配</x:v>
      </x:c>
      <x:c r="O60" s="20" t="str">
        <x:v>地图属性、尺寸和刷新数量不在本表修改</x:v>
      </x:c>
    </x:row>
    <x:row r="61" ht="24" customHeight="1">
      <x:c r="A61" s="20" t="str">
        <x:v>C05-MAP-020</x:v>
      </x:c>
      <x:c r="B61" s="20" t="str">
        <x:v>C05</x:v>
      </x:c>
      <x:c r="C61" s="20" t="str">
        <x:v>湖之利耶尼亚</x:v>
      </x:c>
      <x:c r="D61" s="20" t="n">
        <x:v>6</x:v>
      </x:c>
      <x:c r="E61" s="20" t="str">
        <x:v>卡利亚禁域</x:v>
      </x:c>
      <x:c r="F61" s="20" t="n">
        <x:v>3</x:v>
      </x:c>
      <x:c r="G61" s="20" t="str">
        <x:v>XX926</x:v>
      </x:c>
      <x:c r="H61" s="20" t="str">
        <x:v>王室封印庭</x:v>
      </x:c>
      <x:c r="I61" s="20" t="n">
        <x:f>COUNTIFS('02_怪物与专属'!$G$5:$G$468,$G61,'02_怪物与专属'!$K$5:$K$468,"普通")</x:f>
        <x:v>1</x:v>
      </x:c>
      <x:c r="J61" s="20" t="n">
        <x:f>COUNTIFS('02_怪物与专属'!$G$5:$G$468,$G61,'02_怪物与专属'!$K$5:$K$468,"稀有")</x:f>
        <x:v>1</x:v>
      </x:c>
      <x:c r="K61" s="20" t="n">
        <x:f>COUNTIFS('02_怪物与专属'!$G$5:$G$468,$G61,'02_怪物与专属'!$K$5:$K$468,"地图BOSS")</x:f>
        <x:v>0</x:v>
      </x:c>
      <x:c r="L61" s="20" t="n">
        <x:f>COUNTIFS('02_怪物与专属'!$G$5:$G$468,$G61,'02_怪物与专属'!$K$5:$K$468,"守关BOSS")</x:f>
        <x:v>0</x:v>
      </x:c>
      <x:c r="M61" s="20" t="n">
        <x:f>SUM(I61:L61)</x:f>
        <x:v>2</x:v>
      </x:c>
      <x:c r="N61" s="22" t="str">
        <x:v>已完成／来源已分配</x:v>
      </x:c>
      <x:c r="O61" s="20" t="str">
        <x:v>地图属性、尺寸和刷新数量不在本表修改</x:v>
      </x:c>
    </x:row>
    <x:row r="62" ht="24" customHeight="1">
      <x:c r="A62" s="20" t="str">
        <x:v>C05-MAP-021</x:v>
      </x:c>
      <x:c r="B62" s="20" t="str">
        <x:v>C05</x:v>
      </x:c>
      <x:c r="C62" s="20" t="str">
        <x:v>湖之利耶尼亚</x:v>
      </x:c>
      <x:c r="D62" s="20" t="n">
        <x:v>6</x:v>
      </x:c>
      <x:c r="E62" s="20" t="str">
        <x:v>卡利亚禁域</x:v>
      </x:c>
      <x:c r="F62" s="20" t="n">
        <x:v>4</x:v>
      </x:c>
      <x:c r="G62" s="20" t="str">
        <x:v>XX923</x:v>
      </x:c>
      <x:c r="H62" s="20" t="str">
        <x:v>月蚀密殿</x:v>
      </x:c>
      <x:c r="I62" s="20" t="n">
        <x:f>COUNTIFS('02_怪物与专属'!$G$5:$G$468,$G62,'02_怪物与专属'!$K$5:$K$468,"普通")</x:f>
        <x:v>1</x:v>
      </x:c>
      <x:c r="J62" s="20" t="n">
        <x:f>COUNTIFS('02_怪物与专属'!$G$5:$G$468,$G62,'02_怪物与专属'!$K$5:$K$468,"稀有")</x:f>
        <x:v>1</x:v>
      </x:c>
      <x:c r="K62" s="20" t="n">
        <x:f>COUNTIFS('02_怪物与专属'!$G$5:$G$468,$G62,'02_怪物与专属'!$K$5:$K$468,"地图BOSS")</x:f>
        <x:v>1</x:v>
      </x:c>
      <x:c r="L62" s="20" t="n">
        <x:f>COUNTIFS('02_怪物与专属'!$G$5:$G$468,$G62,'02_怪物与专属'!$K$5:$K$468,"守关BOSS")</x:f>
        <x:v>0</x:v>
      </x:c>
      <x:c r="M62" s="20" t="n">
        <x:f>SUM(I62:L62)</x:f>
        <x:v>3</x:v>
      </x:c>
      <x:c r="N62" s="22" t="str">
        <x:v>已完成／来源已分配</x:v>
      </x:c>
      <x:c r="O62" s="20" t="str">
        <x:v>地图属性、尺寸和刷新数量不在本表修改</x:v>
      </x:c>
    </x:row>
    <x:row r="63" ht="24" customHeight="1">
      <x:c r="A63" s="20" t="str">
        <x:v>C05-MAP-022</x:v>
      </x:c>
      <x:c r="B63" s="20" t="str">
        <x:v>C05</x:v>
      </x:c>
      <x:c r="C63" s="20" t="str">
        <x:v>湖之利耶尼亚</x:v>
      </x:c>
      <x:c r="D63" s="20" t="n">
        <x:v>6</x:v>
      </x:c>
      <x:c r="E63" s="20" t="str">
        <x:v>卡利亚禁域</x:v>
      </x:c>
      <x:c r="F63" s="20" t="n">
        <x:v>5</x:v>
      </x:c>
      <x:c r="G63" s="20" t="str">
        <x:v>XX924</x:v>
      </x:c>
      <x:c r="H63" s="20" t="str">
        <x:v>卡利亚圣所</x:v>
      </x:c>
      <x:c r="I63" s="20" t="n">
        <x:f>COUNTIFS('02_怪物与专属'!$G$5:$G$468,$G63,'02_怪物与专属'!$K$5:$K$468,"普通")</x:f>
        <x:v>1</x:v>
      </x:c>
      <x:c r="J63" s="20" t="n">
        <x:f>COUNTIFS('02_怪物与专属'!$G$5:$G$468,$G63,'02_怪物与专属'!$K$5:$K$468,"稀有")</x:f>
        <x:v>0</x:v>
      </x:c>
      <x:c r="K63" s="20" t="n">
        <x:f>COUNTIFS('02_怪物与专属'!$G$5:$G$468,$G63,'02_怪物与专属'!$K$5:$K$468,"地图BOSS")</x:f>
        <x:v>1</x:v>
      </x:c>
      <x:c r="L63" s="20" t="n">
        <x:f>COUNTIFS('02_怪物与专属'!$G$5:$G$468,$G63,'02_怪物与专属'!$K$5:$K$468,"守关BOSS")</x:f>
        <x:v>1</x:v>
      </x:c>
      <x:c r="M63" s="20" t="n">
        <x:f>SUM(I63:L63)</x:f>
        <x:v>3</x:v>
      </x:c>
      <x:c r="N63" s="22" t="str">
        <x:v>已完成／来源已分配</x:v>
      </x:c>
      <x:c r="O63" s="20" t="str">
        <x:v>地图属性、尺寸和刷新数量不在本表修改</x:v>
      </x:c>
    </x:row>
    <x:row r="64" ht="24" customHeight="1">
      <x:c r="A64" s="20" t="str">
        <x:v>C06-MAP-001</x:v>
      </x:c>
      <x:c r="B64" s="20" t="str">
        <x:v>C06</x:v>
      </x:c>
      <x:c r="C64" s="20" t="str">
        <x:v>盖利德</x:v>
      </x:c>
      <x:c r="D64" s="20" t="n">
        <x:v>1</x:v>
      </x:c>
      <x:c r="E64" s="20" t="str">
        <x:v>猩红熔原</x:v>
      </x:c>
      <x:c r="F64" s="20" t="n">
        <x:v>1</x:v>
      </x:c>
      <x:c r="G64" s="20" t="str">
        <x:v>XX304</x:v>
      </x:c>
      <x:c r="H64" s="20" t="str">
        <x:v>猩红熔原</x:v>
      </x:c>
      <x:c r="I64" s="20" t="n">
        <x:f>COUNTIFS('02_怪物与专属'!$G$5:$G$468,$G64,'02_怪物与专属'!$K$5:$K$468,"普通")</x:f>
        <x:v>2</x:v>
      </x:c>
      <x:c r="J64" s="20" t="n">
        <x:f>COUNTIFS('02_怪物与专属'!$G$5:$G$468,$G64,'02_怪物与专属'!$K$5:$K$468,"稀有")</x:f>
        <x:v>1</x:v>
      </x:c>
      <x:c r="K64" s="20" t="n">
        <x:f>COUNTIFS('02_怪物与专属'!$G$5:$G$468,$G64,'02_怪物与专属'!$K$5:$K$468,"地图BOSS")</x:f>
        <x:v>0</x:v>
      </x:c>
      <x:c r="L64" s="20" t="n">
        <x:f>COUNTIFS('02_怪物与专属'!$G$5:$G$468,$G64,'02_怪物与专属'!$K$5:$K$468,"守关BOSS")</x:f>
        <x:v>0</x:v>
      </x:c>
      <x:c r="M64" s="20" t="n">
        <x:f>SUM(I64:L64)</x:f>
        <x:v>3</x:v>
      </x:c>
      <x:c r="N64" s="22" t="str">
        <x:v>已完成／来源已分配</x:v>
      </x:c>
      <x:c r="O64" s="20" t="str">
        <x:v>地图属性、尺寸和刷新数量不在本表修改</x:v>
      </x:c>
    </x:row>
    <x:row r="65" ht="24" customHeight="1">
      <x:c r="A65" s="20" t="str">
        <x:v>C06-MAP-002</x:v>
      </x:c>
      <x:c r="B65" s="20" t="str">
        <x:v>C06</x:v>
      </x:c>
      <x:c r="C65" s="20" t="str">
        <x:v>盖利德</x:v>
      </x:c>
      <x:c r="D65" s="20" t="n">
        <x:v>1</x:v>
      </x:c>
      <x:c r="E65" s="20" t="str">
        <x:v>猩红熔原</x:v>
      </x:c>
      <x:c r="F65" s="20" t="n">
        <x:v>2</x:v>
      </x:c>
      <x:c r="G65" s="20" t="str">
        <x:v>XX305</x:v>
      </x:c>
      <x:c r="H65" s="20" t="str">
        <x:v>焦土裂谷</x:v>
      </x:c>
      <x:c r="I65" s="20" t="n">
        <x:f>COUNTIFS('02_怪物与专属'!$G$5:$G$468,$G65,'02_怪物与专属'!$K$5:$K$468,"普通")</x:f>
        <x:v>1</x:v>
      </x:c>
      <x:c r="J65" s="20" t="n">
        <x:f>COUNTIFS('02_怪物与专属'!$G$5:$G$468,$G65,'02_怪物与专属'!$K$5:$K$468,"稀有")</x:f>
        <x:v>1</x:v>
      </x:c>
      <x:c r="K65" s="20" t="n">
        <x:f>COUNTIFS('02_怪物与专属'!$G$5:$G$468,$G65,'02_怪物与专属'!$K$5:$K$468,"地图BOSS")</x:f>
        <x:v>0</x:v>
      </x:c>
      <x:c r="L65" s="20" t="n">
        <x:f>COUNTIFS('02_怪物与专属'!$G$5:$G$468,$G65,'02_怪物与专属'!$K$5:$K$468,"守关BOSS")</x:f>
        <x:v>0</x:v>
      </x:c>
      <x:c r="M65" s="20" t="n">
        <x:f>SUM(I65:L65)</x:f>
        <x:v>2</x:v>
      </x:c>
      <x:c r="N65" s="22" t="str">
        <x:v>已完成／来源已分配</x:v>
      </x:c>
      <x:c r="O65" s="20" t="str">
        <x:v>地图属性、尺寸和刷新数量不在本表修改</x:v>
      </x:c>
    </x:row>
    <x:row r="66" ht="24" customHeight="1">
      <x:c r="A66" s="20" t="str">
        <x:v>C06-MAP-003</x:v>
      </x:c>
      <x:c r="B66" s="20" t="str">
        <x:v>C06</x:v>
      </x:c>
      <x:c r="C66" s="20" t="str">
        <x:v>盖利德</x:v>
      </x:c>
      <x:c r="D66" s="20" t="n">
        <x:v>1</x:v>
      </x:c>
      <x:c r="E66" s="20" t="str">
        <x:v>猩红熔原</x:v>
      </x:c>
      <x:c r="F66" s="20" t="n">
        <x:v>3</x:v>
      </x:c>
      <x:c r="G66" s="20" t="str">
        <x:v>XX306</x:v>
      </x:c>
      <x:c r="H66" s="20" t="str">
        <x:v>熔岩河床</x:v>
      </x:c>
      <x:c r="I66" s="20" t="n">
        <x:f>COUNTIFS('02_怪物与专属'!$G$5:$G$468,$G66,'02_怪物与专属'!$K$5:$K$468,"普通")</x:f>
        <x:v>1</x:v>
      </x:c>
      <x:c r="J66" s="20" t="n">
        <x:f>COUNTIFS('02_怪物与专属'!$G$5:$G$468,$G66,'02_怪物与专属'!$K$5:$K$468,"稀有")</x:f>
        <x:v>1</x:v>
      </x:c>
      <x:c r="K66" s="20" t="n">
        <x:f>COUNTIFS('02_怪物与专属'!$G$5:$G$468,$G66,'02_怪物与专属'!$K$5:$K$468,"地图BOSS")</x:f>
        <x:v>0</x:v>
      </x:c>
      <x:c r="L66" s="20" t="n">
        <x:f>COUNTIFS('02_怪物与专属'!$G$5:$G$468,$G66,'02_怪物与专属'!$K$5:$K$468,"守关BOSS")</x:f>
        <x:v>0</x:v>
      </x:c>
      <x:c r="M66" s="20" t="n">
        <x:f>SUM(I66:L66)</x:f>
        <x:v>2</x:v>
      </x:c>
      <x:c r="N66" s="22" t="str">
        <x:v>已完成／来源已分配</x:v>
      </x:c>
      <x:c r="O66" s="20" t="str">
        <x:v>地图属性、尺寸和刷新数量不在本表修改</x:v>
      </x:c>
    </x:row>
    <x:row r="67" ht="24" customHeight="1">
      <x:c r="A67" s="20" t="str">
        <x:v>C06-MAP-004</x:v>
      </x:c>
      <x:c r="B67" s="20" t="str">
        <x:v>C06</x:v>
      </x:c>
      <x:c r="C67" s="20" t="str">
        <x:v>盖利德</x:v>
      </x:c>
      <x:c r="D67" s="20" t="n">
        <x:v>1</x:v>
      </x:c>
      <x:c r="E67" s="20" t="str">
        <x:v>猩红熔原</x:v>
      </x:c>
      <x:c r="F67" s="20" t="n">
        <x:v>4</x:v>
      </x:c>
      <x:c r="G67" s="20" t="str">
        <x:v>XX307</x:v>
      </x:c>
      <x:c r="H67" s="20" t="str">
        <x:v>火蚀祭场</x:v>
      </x:c>
      <x:c r="I67" s="20" t="n">
        <x:f>COUNTIFS('02_怪物与专属'!$G$5:$G$468,$G67,'02_怪物与专属'!$K$5:$K$468,"普通")</x:f>
        <x:v>1</x:v>
      </x:c>
      <x:c r="J67" s="20" t="n">
        <x:f>COUNTIFS('02_怪物与专属'!$G$5:$G$468,$G67,'02_怪物与专属'!$K$5:$K$468,"稀有")</x:f>
        <x:v>1</x:v>
      </x:c>
      <x:c r="K67" s="20" t="n">
        <x:f>COUNTIFS('02_怪物与专属'!$G$5:$G$468,$G67,'02_怪物与专属'!$K$5:$K$468,"地图BOSS")</x:f>
        <x:v>1</x:v>
      </x:c>
      <x:c r="L67" s="20" t="n">
        <x:f>COUNTIFS('02_怪物与专属'!$G$5:$G$468,$G67,'02_怪物与专属'!$K$5:$K$468,"守关BOSS")</x:f>
        <x:v>0</x:v>
      </x:c>
      <x:c r="M67" s="20" t="n">
        <x:f>SUM(I67:L67)</x:f>
        <x:v>3</x:v>
      </x:c>
      <x:c r="N67" s="22" t="str">
        <x:v>已完成／来源已分配</x:v>
      </x:c>
      <x:c r="O67" s="20" t="str">
        <x:v>地图属性、尺寸和刷新数量不在本表修改</x:v>
      </x:c>
    </x:row>
    <x:row r="68" ht="24" customHeight="1">
      <x:c r="A68" s="20" t="str">
        <x:v>C06-MAP-005</x:v>
      </x:c>
      <x:c r="B68" s="20" t="str">
        <x:v>C06</x:v>
      </x:c>
      <x:c r="C68" s="20" t="str">
        <x:v>盖利德</x:v>
      </x:c>
      <x:c r="D68" s="20" t="n">
        <x:v>1</x:v>
      </x:c>
      <x:c r="E68" s="20" t="str">
        <x:v>猩红熔原</x:v>
      </x:c>
      <x:c r="F68" s="20" t="n">
        <x:v>5</x:v>
      </x:c>
      <x:c r="G68" s="20" t="str">
        <x:v>XX308</x:v>
      </x:c>
      <x:c r="H68" s="20" t="str">
        <x:v>猩红熔心</x:v>
      </x:c>
      <x:c r="I68" s="20" t="n">
        <x:f>COUNTIFS('02_怪物与专属'!$G$5:$G$468,$G68,'02_怪物与专属'!$K$5:$K$468,"普通")</x:f>
        <x:v>1</x:v>
      </x:c>
      <x:c r="J68" s="20" t="n">
        <x:f>COUNTIFS('02_怪物与专属'!$G$5:$G$468,$G68,'02_怪物与专属'!$K$5:$K$468,"稀有")</x:f>
        <x:v>0</x:v>
      </x:c>
      <x:c r="K68" s="20" t="n">
        <x:f>COUNTIFS('02_怪物与专属'!$G$5:$G$468,$G68,'02_怪物与专属'!$K$5:$K$468,"地图BOSS")</x:f>
        <x:v>1</x:v>
      </x:c>
      <x:c r="L68" s="20" t="n">
        <x:f>COUNTIFS('02_怪物与专属'!$G$5:$G$468,$G68,'02_怪物与专属'!$K$5:$K$468,"守关BOSS")</x:f>
        <x:v>0</x:v>
      </x:c>
      <x:c r="M68" s="20" t="n">
        <x:f>SUM(I68:L68)</x:f>
        <x:v>2</x:v>
      </x:c>
      <x:c r="N68" s="22" t="str">
        <x:v>已完成／来源已分配</x:v>
      </x:c>
      <x:c r="O68" s="20" t="str">
        <x:v>地图属性、尺寸和刷新数量不在本表修改</x:v>
      </x:c>
    </x:row>
    <x:row r="69" ht="24" customHeight="1">
      <x:c r="A69" s="20" t="str">
        <x:v>C06-MAP-006</x:v>
      </x:c>
      <x:c r="B69" s="20" t="str">
        <x:v>C06</x:v>
      </x:c>
      <x:c r="C69" s="20" t="str">
        <x:v>盖利德</x:v>
      </x:c>
      <x:c r="D69" s="20" t="n">
        <x:v>2</x:v>
      </x:c>
      <x:c r="E69" s="20" t="str">
        <x:v>腐败火狱</x:v>
      </x:c>
      <x:c r="F69" s="20" t="n">
        <x:v>1</x:v>
      </x:c>
      <x:c r="G69" s="20" t="str">
        <x:v>XX357</x:v>
      </x:c>
      <x:c r="H69" s="20" t="str">
        <x:v>腐败火狱</x:v>
      </x:c>
      <x:c r="I69" s="20" t="n">
        <x:f>COUNTIFS('02_怪物与专属'!$G$5:$G$468,$G69,'02_怪物与专属'!$K$5:$K$468,"普通")</x:f>
        <x:v>2</x:v>
      </x:c>
      <x:c r="J69" s="20" t="n">
        <x:f>COUNTIFS('02_怪物与专属'!$G$5:$G$468,$G69,'02_怪物与专属'!$K$5:$K$468,"稀有")</x:f>
        <x:v>1</x:v>
      </x:c>
      <x:c r="K69" s="20" t="n">
        <x:f>COUNTIFS('02_怪物与专属'!$G$5:$G$468,$G69,'02_怪物与专属'!$K$5:$K$468,"地图BOSS")</x:f>
        <x:v>0</x:v>
      </x:c>
      <x:c r="L69" s="20" t="n">
        <x:f>COUNTIFS('02_怪物与专属'!$G$5:$G$468,$G69,'02_怪物与专属'!$K$5:$K$468,"守关BOSS")</x:f>
        <x:v>0</x:v>
      </x:c>
      <x:c r="M69" s="20" t="n">
        <x:f>SUM(I69:L69)</x:f>
        <x:v>3</x:v>
      </x:c>
      <x:c r="N69" s="22" t="str">
        <x:v>已完成／来源已分配</x:v>
      </x:c>
      <x:c r="O69" s="20" t="str">
        <x:v>地图属性、尺寸和刷新数量不在本表修改</x:v>
      </x:c>
    </x:row>
    <x:row r="70" ht="24" customHeight="1">
      <x:c r="A70" s="20" t="str">
        <x:v>C06-MAP-007</x:v>
      </x:c>
      <x:c r="B70" s="20" t="str">
        <x:v>C06</x:v>
      </x:c>
      <x:c r="C70" s="20" t="str">
        <x:v>盖利德</x:v>
      </x:c>
      <x:c r="D70" s="20" t="n">
        <x:v>2</x:v>
      </x:c>
      <x:c r="E70" s="20" t="str">
        <x:v>腐败火狱</x:v>
      </x:c>
      <x:c r="F70" s="20" t="n">
        <x:v>2</x:v>
      </x:c>
      <x:c r="G70" s="20" t="str">
        <x:v>XX358</x:v>
      </x:c>
      <x:c r="H70" s="20" t="str">
        <x:v>灼腐长廊</x:v>
      </x:c>
      <x:c r="I70" s="20" t="n">
        <x:f>COUNTIFS('02_怪物与专属'!$G$5:$G$468,$G70,'02_怪物与专属'!$K$5:$K$468,"普通")</x:f>
        <x:v>1</x:v>
      </x:c>
      <x:c r="J70" s="20" t="n">
        <x:f>COUNTIFS('02_怪物与专属'!$G$5:$G$468,$G70,'02_怪物与专属'!$K$5:$K$468,"稀有")</x:f>
        <x:v>1</x:v>
      </x:c>
      <x:c r="K70" s="20" t="n">
        <x:f>COUNTIFS('02_怪物与专属'!$G$5:$G$468,$G70,'02_怪物与专属'!$K$5:$K$468,"地图BOSS")</x:f>
        <x:v>0</x:v>
      </x:c>
      <x:c r="L70" s="20" t="n">
        <x:f>COUNTIFS('02_怪物与专属'!$G$5:$G$468,$G70,'02_怪物与专属'!$K$5:$K$468,"守关BOSS")</x:f>
        <x:v>0</x:v>
      </x:c>
      <x:c r="M70" s="20" t="n">
        <x:f>SUM(I70:L70)</x:f>
        <x:v>2</x:v>
      </x:c>
      <x:c r="N70" s="22" t="str">
        <x:v>已完成／来源已分配</x:v>
      </x:c>
      <x:c r="O70" s="20" t="str">
        <x:v>地图属性、尺寸和刷新数量不在本表修改</x:v>
      </x:c>
    </x:row>
    <x:row r="71" ht="24" customHeight="1">
      <x:c r="A71" s="20" t="str">
        <x:v>C06-MAP-008</x:v>
      </x:c>
      <x:c r="B71" s="20" t="str">
        <x:v>C06</x:v>
      </x:c>
      <x:c r="C71" s="20" t="str">
        <x:v>盖利德</x:v>
      </x:c>
      <x:c r="D71" s="20" t="n">
        <x:v>2</x:v>
      </x:c>
      <x:c r="E71" s="20" t="str">
        <x:v>腐败火狱</x:v>
      </x:c>
      <x:c r="F71" s="20" t="n">
        <x:v>3</x:v>
      </x:c>
      <x:c r="G71" s="20" t="str">
        <x:v>XX359</x:v>
      </x:c>
      <x:c r="H71" s="20" t="str">
        <x:v>熔火深渊</x:v>
      </x:c>
      <x:c r="I71" s="20" t="n">
        <x:f>COUNTIFS('02_怪物与专属'!$G$5:$G$468,$G71,'02_怪物与专属'!$K$5:$K$468,"普通")</x:f>
        <x:v>1</x:v>
      </x:c>
      <x:c r="J71" s="20" t="n">
        <x:f>COUNTIFS('02_怪物与专属'!$G$5:$G$468,$G71,'02_怪物与专属'!$K$5:$K$468,"稀有")</x:f>
        <x:v>1</x:v>
      </x:c>
      <x:c r="K71" s="20" t="n">
        <x:f>COUNTIFS('02_怪物与专属'!$G$5:$G$468,$G71,'02_怪物与专属'!$K$5:$K$468,"地图BOSS")</x:f>
        <x:v>0</x:v>
      </x:c>
      <x:c r="L71" s="20" t="n">
        <x:f>COUNTIFS('02_怪物与专属'!$G$5:$G$468,$G71,'02_怪物与专属'!$K$5:$K$468,"守关BOSS")</x:f>
        <x:v>0</x:v>
      </x:c>
      <x:c r="M71" s="20" t="n">
        <x:f>SUM(I71:L71)</x:f>
        <x:v>2</x:v>
      </x:c>
      <x:c r="N71" s="22" t="str">
        <x:v>已完成／来源已分配</x:v>
      </x:c>
      <x:c r="O71" s="20" t="str">
        <x:v>地图属性、尺寸和刷新数量不在本表修改</x:v>
      </x:c>
    </x:row>
    <x:row r="72" ht="24" customHeight="1">
      <x:c r="A72" s="20" t="str">
        <x:v>C06-MAP-009</x:v>
      </x:c>
      <x:c r="B72" s="20" t="str">
        <x:v>C06</x:v>
      </x:c>
      <x:c r="C72" s="20" t="str">
        <x:v>盖利德</x:v>
      </x:c>
      <x:c r="D72" s="20" t="n">
        <x:v>2</x:v>
      </x:c>
      <x:c r="E72" s="20" t="str">
        <x:v>腐败火狱</x:v>
      </x:c>
      <x:c r="F72" s="20" t="n">
        <x:v>4</x:v>
      </x:c>
      <x:c r="G72" s="20" t="str">
        <x:v>XX360</x:v>
      </x:c>
      <x:c r="H72" s="20" t="str">
        <x:v>赤腐内域</x:v>
      </x:c>
      <x:c r="I72" s="20" t="n">
        <x:f>COUNTIFS('02_怪物与专属'!$G$5:$G$468,$G72,'02_怪物与专属'!$K$5:$K$468,"普通")</x:f>
        <x:v>1</x:v>
      </x:c>
      <x:c r="J72" s="20" t="n">
        <x:f>COUNTIFS('02_怪物与专属'!$G$5:$G$468,$G72,'02_怪物与专属'!$K$5:$K$468,"稀有")</x:f>
        <x:v>1</x:v>
      </x:c>
      <x:c r="K72" s="20" t="n">
        <x:f>COUNTIFS('02_怪物与专属'!$G$5:$G$468,$G72,'02_怪物与专属'!$K$5:$K$468,"地图BOSS")</x:f>
        <x:v>1</x:v>
      </x:c>
      <x:c r="L72" s="20" t="n">
        <x:f>COUNTIFS('02_怪物与专属'!$G$5:$G$468,$G72,'02_怪物与专属'!$K$5:$K$468,"守关BOSS")</x:f>
        <x:v>0</x:v>
      </x:c>
      <x:c r="M72" s="20" t="n">
        <x:f>SUM(I72:L72)</x:f>
        <x:v>3</x:v>
      </x:c>
      <x:c r="N72" s="22" t="str">
        <x:v>已完成／来源已分配</x:v>
      </x:c>
      <x:c r="O72" s="20" t="str">
        <x:v>地图属性、尺寸和刷新数量不在本表修改</x:v>
      </x:c>
    </x:row>
    <x:row r="73" ht="24" customHeight="1">
      <x:c r="A73" s="20" t="str">
        <x:v>C06-MAP-010</x:v>
      </x:c>
      <x:c r="B73" s="20" t="str">
        <x:v>C06</x:v>
      </x:c>
      <x:c r="C73" s="20" t="str">
        <x:v>盖利德</x:v>
      </x:c>
      <x:c r="D73" s="20" t="n">
        <x:v>2</x:v>
      </x:c>
      <x:c r="E73" s="20" t="str">
        <x:v>腐败火狱</x:v>
      </x:c>
      <x:c r="F73" s="20" t="n">
        <x:v>5</x:v>
      </x:c>
      <x:c r="G73" s="20" t="str">
        <x:v>XX361</x:v>
      </x:c>
      <x:c r="H73" s="20" t="str">
        <x:v>腐败熔心</x:v>
      </x:c>
      <x:c r="I73" s="20" t="n">
        <x:f>COUNTIFS('02_怪物与专属'!$G$5:$G$468,$G73,'02_怪物与专属'!$K$5:$K$468,"普通")</x:f>
        <x:v>1</x:v>
      </x:c>
      <x:c r="J73" s="20" t="n">
        <x:f>COUNTIFS('02_怪物与专属'!$G$5:$G$468,$G73,'02_怪物与专属'!$K$5:$K$468,"稀有")</x:f>
        <x:v>0</x:v>
      </x:c>
      <x:c r="K73" s="20" t="n">
        <x:f>COUNTIFS('02_怪物与专属'!$G$5:$G$468,$G73,'02_怪物与专属'!$K$5:$K$468,"地图BOSS")</x:f>
        <x:v>1</x:v>
      </x:c>
      <x:c r="L73" s="20" t="n">
        <x:f>COUNTIFS('02_怪物与专属'!$G$5:$G$468,$G73,'02_怪物与专属'!$K$5:$K$468,"守关BOSS")</x:f>
        <x:v>0</x:v>
      </x:c>
      <x:c r="M73" s="20" t="n">
        <x:f>SUM(I73:L73)</x:f>
        <x:v>2</x:v>
      </x:c>
      <x:c r="N73" s="22" t="str">
        <x:v>已完成／来源已分配</x:v>
      </x:c>
      <x:c r="O73" s="20" t="str">
        <x:v>地图属性、尺寸和刷新数量不在本表修改</x:v>
      </x:c>
    </x:row>
    <x:row r="74" ht="24" customHeight="1">
      <x:c r="A74" s="20" t="str">
        <x:v>C06-MAP-011</x:v>
      </x:c>
      <x:c r="B74" s="20" t="str">
        <x:v>C06</x:v>
      </x:c>
      <x:c r="C74" s="20" t="str">
        <x:v>盖利德</x:v>
      </x:c>
      <x:c r="D74" s="20" t="n">
        <x:v>3</x:v>
      </x:c>
      <x:c r="E74" s="20" t="str">
        <x:v>红狮龙窟</x:v>
      </x:c>
      <x:c r="F74" s="20" t="n">
        <x:v>1</x:v>
      </x:c>
      <x:c r="G74" s="20" t="str">
        <x:v>XX485</x:v>
      </x:c>
      <x:c r="H74" s="20" t="str">
        <x:v>红狮龙窟</x:v>
      </x:c>
      <x:c r="I74" s="20" t="n">
        <x:f>COUNTIFS('02_怪物与专属'!$G$5:$G$468,$G74,'02_怪物与专属'!$K$5:$K$468,"普通")</x:f>
        <x:v>2</x:v>
      </x:c>
      <x:c r="J74" s="20" t="n">
        <x:f>COUNTIFS('02_怪物与专属'!$G$5:$G$468,$G74,'02_怪物与专属'!$K$5:$K$468,"稀有")</x:f>
        <x:v>1</x:v>
      </x:c>
      <x:c r="K74" s="20" t="n">
        <x:f>COUNTIFS('02_怪物与专属'!$G$5:$G$468,$G74,'02_怪物与专属'!$K$5:$K$468,"地图BOSS")</x:f>
        <x:v>0</x:v>
      </x:c>
      <x:c r="L74" s="20" t="n">
        <x:f>COUNTIFS('02_怪物与专属'!$G$5:$G$468,$G74,'02_怪物与专属'!$K$5:$K$468,"守关BOSS")</x:f>
        <x:v>0</x:v>
      </x:c>
      <x:c r="M74" s="20" t="n">
        <x:f>SUM(I74:L74)</x:f>
        <x:v>3</x:v>
      </x:c>
      <x:c r="N74" s="22" t="str">
        <x:v>已完成／来源已分配</x:v>
      </x:c>
      <x:c r="O74" s="20" t="str">
        <x:v>地图属性、尺寸和刷新数量不在本表修改</x:v>
      </x:c>
    </x:row>
    <x:row r="75" ht="24" customHeight="1">
      <x:c r="A75" s="20" t="str">
        <x:v>C06-MAP-012</x:v>
      </x:c>
      <x:c r="B75" s="20" t="str">
        <x:v>C06</x:v>
      </x:c>
      <x:c r="C75" s="20" t="str">
        <x:v>盖利德</x:v>
      </x:c>
      <x:c r="D75" s="20" t="n">
        <x:v>3</x:v>
      </x:c>
      <x:c r="E75" s="20" t="str">
        <x:v>红狮龙窟</x:v>
      </x:c>
      <x:c r="F75" s="20" t="n">
        <x:v>2</x:v>
      </x:c>
      <x:c r="G75" s="20" t="str">
        <x:v>XX484</x:v>
      </x:c>
      <x:c r="H75" s="20" t="str">
        <x:v>龙火崎路</x:v>
      </x:c>
      <x:c r="I75" s="20" t="n">
        <x:f>COUNTIFS('02_怪物与专属'!$G$5:$G$468,$G75,'02_怪物与专属'!$K$5:$K$468,"普通")</x:f>
        <x:v>1</x:v>
      </x:c>
      <x:c r="J75" s="20" t="n">
        <x:f>COUNTIFS('02_怪物与专属'!$G$5:$G$468,$G75,'02_怪物与专属'!$K$5:$K$468,"稀有")</x:f>
        <x:v>1</x:v>
      </x:c>
      <x:c r="K75" s="20" t="n">
        <x:f>COUNTIFS('02_怪物与专属'!$G$5:$G$468,$G75,'02_怪物与专属'!$K$5:$K$468,"地图BOSS")</x:f>
        <x:v>0</x:v>
      </x:c>
      <x:c r="L75" s="20" t="n">
        <x:f>COUNTIFS('02_怪物与专属'!$G$5:$G$468,$G75,'02_怪物与专属'!$K$5:$K$468,"守关BOSS")</x:f>
        <x:v>0</x:v>
      </x:c>
      <x:c r="M75" s="20" t="n">
        <x:f>SUM(I75:L75)</x:f>
        <x:v>2</x:v>
      </x:c>
      <x:c r="N75" s="22" t="str">
        <x:v>已完成／来源已分配</x:v>
      </x:c>
      <x:c r="O75" s="20" t="str">
        <x:v>地图属性、尺寸和刷新数量不在本表修改</x:v>
      </x:c>
    </x:row>
    <x:row r="76" ht="24" customHeight="1">
      <x:c r="A76" s="20" t="str">
        <x:v>C06-MAP-013</x:v>
      </x:c>
      <x:c r="B76" s="20" t="str">
        <x:v>C06</x:v>
      </x:c>
      <x:c r="C76" s="20" t="str">
        <x:v>盖利德</x:v>
      </x:c>
      <x:c r="D76" s="20" t="n">
        <x:v>3</x:v>
      </x:c>
      <x:c r="E76" s="20" t="str">
        <x:v>红狮龙窟</x:v>
      </x:c>
      <x:c r="F76" s="20" t="n">
        <x:v>3</x:v>
      </x:c>
      <x:c r="G76" s="20" t="str">
        <x:v>XX483</x:v>
      </x:c>
      <x:c r="H76" s="20" t="str">
        <x:v>赤焰回廊</x:v>
      </x:c>
      <x:c r="I76" s="20" t="n">
        <x:f>COUNTIFS('02_怪物与专属'!$G$5:$G$468,$G76,'02_怪物与专属'!$K$5:$K$468,"普通")</x:f>
        <x:v>1</x:v>
      </x:c>
      <x:c r="J76" s="20" t="n">
        <x:f>COUNTIFS('02_怪物与专属'!$G$5:$G$468,$G76,'02_怪物与专属'!$K$5:$K$468,"稀有")</x:f>
        <x:v>1</x:v>
      </x:c>
      <x:c r="K76" s="20" t="n">
        <x:f>COUNTIFS('02_怪物与专属'!$G$5:$G$468,$G76,'02_怪物与专属'!$K$5:$K$468,"地图BOSS")</x:f>
        <x:v>0</x:v>
      </x:c>
      <x:c r="L76" s="20" t="n">
        <x:f>COUNTIFS('02_怪物与专属'!$G$5:$G$468,$G76,'02_怪物与专属'!$K$5:$K$468,"守关BOSS")</x:f>
        <x:v>0</x:v>
      </x:c>
      <x:c r="M76" s="20" t="n">
        <x:f>SUM(I76:L76)</x:f>
        <x:v>2</x:v>
      </x:c>
      <x:c r="N76" s="22" t="str">
        <x:v>已完成／来源已分配</x:v>
      </x:c>
      <x:c r="O76" s="20" t="str">
        <x:v>地图属性、尺寸和刷新数量不在本表修改</x:v>
      </x:c>
    </x:row>
    <x:row r="77" ht="24" customHeight="1">
      <x:c r="A77" s="20" t="str">
        <x:v>C06-MAP-014</x:v>
      </x:c>
      <x:c r="B77" s="20" t="str">
        <x:v>C06</x:v>
      </x:c>
      <x:c r="C77" s="20" t="str">
        <x:v>盖利德</x:v>
      </x:c>
      <x:c r="D77" s="20" t="n">
        <x:v>3</x:v>
      </x:c>
      <x:c r="E77" s="20" t="str">
        <x:v>红狮龙窟</x:v>
      </x:c>
      <x:c r="F77" s="20" t="n">
        <x:v>4</x:v>
      </x:c>
      <x:c r="G77" s="20" t="str">
        <x:v>XX482</x:v>
      </x:c>
      <x:c r="H77" s="20" t="str">
        <x:v>龙巢腹地</x:v>
      </x:c>
      <x:c r="I77" s="20" t="n">
        <x:f>COUNTIFS('02_怪物与专属'!$G$5:$G$468,$G77,'02_怪物与专属'!$K$5:$K$468,"普通")</x:f>
        <x:v>1</x:v>
      </x:c>
      <x:c r="J77" s="20" t="n">
        <x:f>COUNTIFS('02_怪物与专属'!$G$5:$G$468,$G77,'02_怪物与专属'!$K$5:$K$468,"稀有")</x:f>
        <x:v>1</x:v>
      </x:c>
      <x:c r="K77" s="20" t="n">
        <x:f>COUNTIFS('02_怪物与专属'!$G$5:$G$468,$G77,'02_怪物与专属'!$K$5:$K$468,"地图BOSS")</x:f>
        <x:v>1</x:v>
      </x:c>
      <x:c r="L77" s="20" t="n">
        <x:f>COUNTIFS('02_怪物与专属'!$G$5:$G$468,$G77,'02_怪物与专属'!$K$5:$K$468,"守关BOSS")</x:f>
        <x:v>0</x:v>
      </x:c>
      <x:c r="M77" s="20" t="n">
        <x:f>SUM(I77:L77)</x:f>
        <x:v>3</x:v>
      </x:c>
      <x:c r="N77" s="22" t="str">
        <x:v>已完成／来源已分配</x:v>
      </x:c>
      <x:c r="O77" s="20" t="str">
        <x:v>地图属性、尺寸和刷新数量不在本表修改</x:v>
      </x:c>
    </x:row>
    <x:row r="78" ht="24" customHeight="1">
      <x:c r="A78" s="20" t="str">
        <x:v>C06-MAP-015</x:v>
      </x:c>
      <x:c r="B78" s="20" t="str">
        <x:v>C06</x:v>
      </x:c>
      <x:c r="C78" s="20" t="str">
        <x:v>盖利德</x:v>
      </x:c>
      <x:c r="D78" s="20" t="n">
        <x:v>3</x:v>
      </x:c>
      <x:c r="E78" s="20" t="str">
        <x:v>红狮龙窟</x:v>
      </x:c>
      <x:c r="F78" s="20" t="n">
        <x:v>5</x:v>
      </x:c>
      <x:c r="G78" s="20" t="str">
        <x:v>XX481</x:v>
      </x:c>
      <x:c r="H78" s="20" t="str">
        <x:v>红狮神殿</x:v>
      </x:c>
      <x:c r="I78" s="20" t="n">
        <x:f>COUNTIFS('02_怪物与专属'!$G$5:$G$468,$G78,'02_怪物与专属'!$K$5:$K$468,"普通")</x:f>
        <x:v>1</x:v>
      </x:c>
      <x:c r="J78" s="20" t="n">
        <x:f>COUNTIFS('02_怪物与专属'!$G$5:$G$468,$G78,'02_怪物与专属'!$K$5:$K$468,"稀有")</x:f>
        <x:v>0</x:v>
      </x:c>
      <x:c r="K78" s="20" t="n">
        <x:f>COUNTIFS('02_怪物与专属'!$G$5:$G$468,$G78,'02_怪物与专属'!$K$5:$K$468,"地图BOSS")</x:f>
        <x:v>1</x:v>
      </x:c>
      <x:c r="L78" s="20" t="n">
        <x:f>COUNTIFS('02_怪物与专属'!$G$5:$G$468,$G78,'02_怪物与专属'!$K$5:$K$468,"守关BOSS")</x:f>
        <x:v>1</x:v>
      </x:c>
      <x:c r="M78" s="20" t="n">
        <x:f>SUM(I78:L78)</x:f>
        <x:v>3</x:v>
      </x:c>
      <x:c r="N78" s="22" t="str">
        <x:v>已完成／来源已分配</x:v>
      </x:c>
      <x:c r="O78" s="20" t="str">
        <x:v>地图属性、尺寸和刷新数量不在本表修改</x:v>
      </x:c>
    </x:row>
    <x:row r="79" ht="24" customHeight="1">
      <x:c r="A79" s="20" t="str">
        <x:v>C07-MAP-001</x:v>
      </x:c>
      <x:c r="B79" s="20" t="str">
        <x:v>C07</x:v>
      </x:c>
      <x:c r="C79" s="20" t="str">
        <x:v>化圣雪原</x:v>
      </x:c>
      <x:c r="D79" s="20" t="n">
        <x:v>1</x:v>
      </x:c>
      <x:c r="E79" s="20" t="str">
        <x:v>苍白雪原</x:v>
      </x:c>
      <x:c r="F79" s="20" t="n">
        <x:v>1</x:v>
      </x:c>
      <x:c r="G79" s="20" t="str">
        <x:v>XX149</x:v>
      </x:c>
      <x:c r="H79" s="20" t="str">
        <x:v>苍白雪原</x:v>
      </x:c>
      <x:c r="I79" s="20" t="n">
        <x:f>COUNTIFS('02_怪物与专属'!$G$5:$G$468,$G79,'02_怪物与专属'!$K$5:$K$468,"普通")</x:f>
        <x:v>2</x:v>
      </x:c>
      <x:c r="J79" s="20" t="n">
        <x:f>COUNTIFS('02_怪物与专属'!$G$5:$G$468,$G79,'02_怪物与专属'!$K$5:$K$468,"稀有")</x:f>
        <x:v>1</x:v>
      </x:c>
      <x:c r="K79" s="20" t="n">
        <x:f>COUNTIFS('02_怪物与专属'!$G$5:$G$468,$G79,'02_怪物与专属'!$K$5:$K$468,"地图BOSS")</x:f>
        <x:v>0</x:v>
      </x:c>
      <x:c r="L79" s="20" t="n">
        <x:f>COUNTIFS('02_怪物与专属'!$G$5:$G$468,$G79,'02_怪物与专属'!$K$5:$K$468,"守关BOSS")</x:f>
        <x:v>0</x:v>
      </x:c>
      <x:c r="M79" s="20" t="n">
        <x:f>SUM(I79:L79)</x:f>
        <x:v>3</x:v>
      </x:c>
      <x:c r="N79" s="22" t="str">
        <x:v>已完成／来源已分配</x:v>
      </x:c>
      <x:c r="O79" s="20" t="str">
        <x:v>地图属性、尺寸和刷新数量不在本表修改</x:v>
      </x:c>
    </x:row>
    <x:row r="80" ht="24" customHeight="1">
      <x:c r="A80" s="20" t="str">
        <x:v>C07-MAP-002</x:v>
      </x:c>
      <x:c r="B80" s="20" t="str">
        <x:v>C07</x:v>
      </x:c>
      <x:c r="C80" s="20" t="str">
        <x:v>化圣雪原</x:v>
      </x:c>
      <x:c r="D80" s="20" t="n">
        <x:v>1</x:v>
      </x:c>
      <x:c r="E80" s="20" t="str">
        <x:v>苍白雪原</x:v>
      </x:c>
      <x:c r="F80" s="20" t="n">
        <x:v>2</x:v>
      </x:c>
      <x:c r="G80" s="20" t="str">
        <x:v>XX148</x:v>
      </x:c>
      <x:c r="H80" s="20" t="str">
        <x:v>霜风荒境</x:v>
      </x:c>
      <x:c r="I80" s="20" t="n">
        <x:f>COUNTIFS('02_怪物与专属'!$G$5:$G$468,$G80,'02_怪物与专属'!$K$5:$K$468,"普通")</x:f>
        <x:v>2</x:v>
      </x:c>
      <x:c r="J80" s="20" t="n">
        <x:f>COUNTIFS('02_怪物与专属'!$G$5:$G$468,$G80,'02_怪物与专属'!$K$5:$K$468,"稀有")</x:f>
        <x:v>1</x:v>
      </x:c>
      <x:c r="K80" s="20" t="n">
        <x:f>COUNTIFS('02_怪物与专属'!$G$5:$G$468,$G80,'02_怪物与专属'!$K$5:$K$468,"地图BOSS")</x:f>
        <x:v>0</x:v>
      </x:c>
      <x:c r="L80" s="20" t="n">
        <x:f>COUNTIFS('02_怪物与专属'!$G$5:$G$468,$G80,'02_怪物与专属'!$K$5:$K$468,"守关BOSS")</x:f>
        <x:v>0</x:v>
      </x:c>
      <x:c r="M80" s="20" t="n">
        <x:f>SUM(I80:L80)</x:f>
        <x:v>3</x:v>
      </x:c>
      <x:c r="N80" s="22" t="str">
        <x:v>已完成／来源已分配</x:v>
      </x:c>
      <x:c r="O80" s="20" t="str">
        <x:v>地图属性、尺寸和刷新数量不在本表修改</x:v>
      </x:c>
    </x:row>
    <x:row r="81" ht="24" customHeight="1">
      <x:c r="A81" s="20" t="str">
        <x:v>C07-MAP-003</x:v>
      </x:c>
      <x:c r="B81" s="20" t="str">
        <x:v>C07</x:v>
      </x:c>
      <x:c r="C81" s="20" t="str">
        <x:v>化圣雪原</x:v>
      </x:c>
      <x:c r="D81" s="20" t="n">
        <x:v>1</x:v>
      </x:c>
      <x:c r="E81" s="20" t="str">
        <x:v>苍白雪原</x:v>
      </x:c>
      <x:c r="F81" s="20" t="n">
        <x:v>3</x:v>
      </x:c>
      <x:c r="G81" s="20" t="str">
        <x:v>XX147</x:v>
      </x:c>
      <x:c r="H81" s="20" t="str">
        <x:v>冻土深原</x:v>
      </x:c>
      <x:c r="I81" s="20" t="n">
        <x:f>COUNTIFS('02_怪物与专属'!$G$5:$G$468,$G81,'02_怪物与专属'!$K$5:$K$468,"普通")</x:f>
        <x:v>1</x:v>
      </x:c>
      <x:c r="J81" s="20" t="n">
        <x:f>COUNTIFS('02_怪物与专属'!$G$5:$G$468,$G81,'02_怪物与专属'!$K$5:$K$468,"稀有")</x:f>
        <x:v>1</x:v>
      </x:c>
      <x:c r="K81" s="20" t="n">
        <x:f>COUNTIFS('02_怪物与专属'!$G$5:$G$468,$G81,'02_怪物与专属'!$K$5:$K$468,"地图BOSS")</x:f>
        <x:v>1</x:v>
      </x:c>
      <x:c r="L81" s="20" t="n">
        <x:f>COUNTIFS('02_怪物与专属'!$G$5:$G$468,$G81,'02_怪物与专属'!$K$5:$K$468,"守关BOSS")</x:f>
        <x:v>0</x:v>
      </x:c>
      <x:c r="M81" s="20" t="n">
        <x:f>SUM(I81:L81)</x:f>
        <x:v>3</x:v>
      </x:c>
      <x:c r="N81" s="22" t="str">
        <x:v>已完成／来源已分配</x:v>
      </x:c>
      <x:c r="O81" s="20" t="str">
        <x:v>地图属性、尺寸和刷新数量不在本表修改</x:v>
      </x:c>
    </x:row>
    <x:row r="82" ht="24" customHeight="1">
      <x:c r="A82" s="20" t="str">
        <x:v>C07-MAP-004</x:v>
      </x:c>
      <x:c r="B82" s="20" t="str">
        <x:v>C07</x:v>
      </x:c>
      <x:c r="C82" s="20" t="str">
        <x:v>化圣雪原</x:v>
      </x:c>
      <x:c r="D82" s="20" t="n">
        <x:v>1</x:v>
      </x:c>
      <x:c r="E82" s="20" t="str">
        <x:v>苍白雪原</x:v>
      </x:c>
      <x:c r="F82" s="20" t="n">
        <x:v>4</x:v>
      </x:c>
      <x:c r="G82" s="20" t="str">
        <x:v>XX150</x:v>
      </x:c>
      <x:c r="H82" s="20" t="str">
        <x:v>苍白祭场</x:v>
      </x:c>
      <x:c r="I82" s="20" t="n">
        <x:f>COUNTIFS('02_怪物与专属'!$G$5:$G$468,$G82,'02_怪物与专属'!$K$5:$K$468,"普通")</x:f>
        <x:v>1</x:v>
      </x:c>
      <x:c r="J82" s="20" t="n">
        <x:f>COUNTIFS('02_怪物与专属'!$G$5:$G$468,$G82,'02_怪物与专属'!$K$5:$K$468,"稀有")</x:f>
        <x:v>1</x:v>
      </x:c>
      <x:c r="K82" s="20" t="n">
        <x:f>COUNTIFS('02_怪物与专属'!$G$5:$G$468,$G82,'02_怪物与专属'!$K$5:$K$468,"地图BOSS")</x:f>
        <x:v>1</x:v>
      </x:c>
      <x:c r="L82" s="20" t="n">
        <x:f>COUNTIFS('02_怪物与专属'!$G$5:$G$468,$G82,'02_怪物与专属'!$K$5:$K$468,"守关BOSS")</x:f>
        <x:v>0</x:v>
      </x:c>
      <x:c r="M82" s="20" t="n">
        <x:f>SUM(I82:L82)</x:f>
        <x:v>3</x:v>
      </x:c>
      <x:c r="N82" s="22" t="str">
        <x:v>已完成／来源已分配</x:v>
      </x:c>
      <x:c r="O82" s="20" t="str">
        <x:v>地图属性、尺寸和刷新数量不在本表修改</x:v>
      </x:c>
    </x:row>
    <x:row r="83" ht="24" customHeight="1">
      <x:c r="A83" s="20" t="str">
        <x:v>C07-MAP-005</x:v>
      </x:c>
      <x:c r="B83" s="20" t="str">
        <x:v>C07</x:v>
      </x:c>
      <x:c r="C83" s="20" t="str">
        <x:v>化圣雪原</x:v>
      </x:c>
      <x:c r="D83" s="20" t="n">
        <x:v>2</x:v>
      </x:c>
      <x:c r="E83" s="20" t="str">
        <x:v>永冻荒境</x:v>
      </x:c>
      <x:c r="F83" s="20" t="n">
        <x:v>1</x:v>
      </x:c>
      <x:c r="G83" s="20" t="str">
        <x:v>XX904</x:v>
      </x:c>
      <x:c r="H83" s="20" t="str">
        <x:v>永冻荒境</x:v>
      </x:c>
      <x:c r="I83" s="20" t="n">
        <x:f>COUNTIFS('02_怪物与专属'!$G$5:$G$468,$G83,'02_怪物与专属'!$K$5:$K$468,"普通")</x:f>
        <x:v>2</x:v>
      </x:c>
      <x:c r="J83" s="20" t="n">
        <x:f>COUNTIFS('02_怪物与专属'!$G$5:$G$468,$G83,'02_怪物与专属'!$K$5:$K$468,"稀有")</x:f>
        <x:v>1</x:v>
      </x:c>
      <x:c r="K83" s="20" t="n">
        <x:f>COUNTIFS('02_怪物与专属'!$G$5:$G$468,$G83,'02_怪物与专属'!$K$5:$K$468,"地图BOSS")</x:f>
        <x:v>0</x:v>
      </x:c>
      <x:c r="L83" s="20" t="n">
        <x:f>COUNTIFS('02_怪物与专属'!$G$5:$G$468,$G83,'02_怪物与专属'!$K$5:$K$468,"守关BOSS")</x:f>
        <x:v>0</x:v>
      </x:c>
      <x:c r="M83" s="20" t="n">
        <x:f>SUM(I83:L83)</x:f>
        <x:v>3</x:v>
      </x:c>
      <x:c r="N83" s="22" t="str">
        <x:v>已完成／来源已分配</x:v>
      </x:c>
      <x:c r="O83" s="20" t="str">
        <x:v>地图属性、尺寸和刷新数量不在本表修改</x:v>
      </x:c>
    </x:row>
    <x:row r="84" ht="24" customHeight="1">
      <x:c r="A84" s="20" t="str">
        <x:v>C07-MAP-006</x:v>
      </x:c>
      <x:c r="B84" s="20" t="str">
        <x:v>C07</x:v>
      </x:c>
      <x:c r="C84" s="20" t="str">
        <x:v>化圣雪原</x:v>
      </x:c>
      <x:c r="D84" s="20" t="n">
        <x:v>2</x:v>
      </x:c>
      <x:c r="E84" s="20" t="str">
        <x:v>永冻荒境</x:v>
      </x:c>
      <x:c r="F84" s="20" t="n">
        <x:v>2</x:v>
      </x:c>
      <x:c r="G84" s="20" t="str">
        <x:v>XX906</x:v>
      </x:c>
      <x:c r="H84" s="20" t="str">
        <x:v>冰封旷野</x:v>
      </x:c>
      <x:c r="I84" s="20" t="n">
        <x:f>COUNTIFS('02_怪物与专属'!$G$5:$G$468,$G84,'02_怪物与专属'!$K$5:$K$468,"普通")</x:f>
        <x:v>2</x:v>
      </x:c>
      <x:c r="J84" s="20" t="n">
        <x:f>COUNTIFS('02_怪物与专属'!$G$5:$G$468,$G84,'02_怪物与专属'!$K$5:$K$468,"稀有")</x:f>
        <x:v>1</x:v>
      </x:c>
      <x:c r="K84" s="20" t="n">
        <x:f>COUNTIFS('02_怪物与专属'!$G$5:$G$468,$G84,'02_怪物与专属'!$K$5:$K$468,"地图BOSS")</x:f>
        <x:v>0</x:v>
      </x:c>
      <x:c r="L84" s="20" t="n">
        <x:f>COUNTIFS('02_怪物与专属'!$G$5:$G$468,$G84,'02_怪物与专属'!$K$5:$K$468,"守关BOSS")</x:f>
        <x:v>0</x:v>
      </x:c>
      <x:c r="M84" s="20" t="n">
        <x:f>SUM(I84:L84)</x:f>
        <x:v>3</x:v>
      </x:c>
      <x:c r="N84" s="22" t="str">
        <x:v>已完成／来源已分配</x:v>
      </x:c>
      <x:c r="O84" s="20" t="str">
        <x:v>地图属性、尺寸和刷新数量不在本表修改</x:v>
      </x:c>
    </x:row>
    <x:row r="85" ht="24" customHeight="1">
      <x:c r="A85" s="20" t="str">
        <x:v>C07-MAP-007</x:v>
      </x:c>
      <x:c r="B85" s="20" t="str">
        <x:v>C07</x:v>
      </x:c>
      <x:c r="C85" s="20" t="str">
        <x:v>化圣雪原</x:v>
      </x:c>
      <x:c r="D85" s="20" t="n">
        <x:v>2</x:v>
      </x:c>
      <x:c r="E85" s="20" t="str">
        <x:v>永冻荒境</x:v>
      </x:c>
      <x:c r="F85" s="20" t="n">
        <x:v>3</x:v>
      </x:c>
      <x:c r="G85" s="20" t="str">
        <x:v>XX907</x:v>
      </x:c>
      <x:c r="H85" s="20" t="str">
        <x:v>极昼雪原</x:v>
      </x:c>
      <x:c r="I85" s="20" t="n">
        <x:f>COUNTIFS('02_怪物与专属'!$G$5:$G$468,$G85,'02_怪物与专属'!$K$5:$K$468,"普通")</x:f>
        <x:v>1</x:v>
      </x:c>
      <x:c r="J85" s="20" t="n">
        <x:f>COUNTIFS('02_怪物与专属'!$G$5:$G$468,$G85,'02_怪物与专属'!$K$5:$K$468,"稀有")</x:f>
        <x:v>1</x:v>
      </x:c>
      <x:c r="K85" s="20" t="n">
        <x:f>COUNTIFS('02_怪物与专属'!$G$5:$G$468,$G85,'02_怪物与专属'!$K$5:$K$468,"地图BOSS")</x:f>
        <x:v>1</x:v>
      </x:c>
      <x:c r="L85" s="20" t="n">
        <x:f>COUNTIFS('02_怪物与专属'!$G$5:$G$468,$G85,'02_怪物与专属'!$K$5:$K$468,"守关BOSS")</x:f>
        <x:v>0</x:v>
      </x:c>
      <x:c r="M85" s="20" t="n">
        <x:f>SUM(I85:L85)</x:f>
        <x:v>3</x:v>
      </x:c>
      <x:c r="N85" s="22" t="str">
        <x:v>已完成／来源已分配</x:v>
      </x:c>
      <x:c r="O85" s="20" t="str">
        <x:v>地图属性、尺寸和刷新数量不在本表修改</x:v>
      </x:c>
    </x:row>
    <x:row r="86" ht="24" customHeight="1">
      <x:c r="A86" s="20" t="str">
        <x:v>C07-MAP-008</x:v>
      </x:c>
      <x:c r="B86" s="20" t="str">
        <x:v>C07</x:v>
      </x:c>
      <x:c r="C86" s="20" t="str">
        <x:v>化圣雪原</x:v>
      </x:c>
      <x:c r="D86" s="20" t="n">
        <x:v>2</x:v>
      </x:c>
      <x:c r="E86" s="20" t="str">
        <x:v>永冻荒境</x:v>
      </x:c>
      <x:c r="F86" s="20" t="n">
        <x:v>4</x:v>
      </x:c>
      <x:c r="G86" s="20" t="str">
        <x:v>XX905</x:v>
      </x:c>
      <x:c r="H86" s="20" t="str">
        <x:v>永冻圣域</x:v>
      </x:c>
      <x:c r="I86" s="20" t="n">
        <x:f>COUNTIFS('02_怪物与专属'!$G$5:$G$468,$G86,'02_怪物与专属'!$K$5:$K$468,"普通")</x:f>
        <x:v>1</x:v>
      </x:c>
      <x:c r="J86" s="20" t="n">
        <x:f>COUNTIFS('02_怪物与专属'!$G$5:$G$468,$G86,'02_怪物与专属'!$K$5:$K$468,"稀有")</x:f>
        <x:v>1</x:v>
      </x:c>
      <x:c r="K86" s="20" t="n">
        <x:f>COUNTIFS('02_怪物与专属'!$G$5:$G$468,$G86,'02_怪物与专属'!$K$5:$K$468,"地图BOSS")</x:f>
        <x:v>1</x:v>
      </x:c>
      <x:c r="L86" s="20" t="n">
        <x:f>COUNTIFS('02_怪物与专属'!$G$5:$G$468,$G86,'02_怪物与专属'!$K$5:$K$468,"守关BOSS")</x:f>
        <x:v>0</x:v>
      </x:c>
      <x:c r="M86" s="20" t="n">
        <x:f>SUM(I86:L86)</x:f>
        <x:v>3</x:v>
      </x:c>
      <x:c r="N86" s="22" t="str">
        <x:v>已完成／来源已分配</x:v>
      </x:c>
      <x:c r="O86" s="20" t="str">
        <x:v>地图属性、尺寸和刷新数量不在本表修改</x:v>
      </x:c>
    </x:row>
    <x:row r="87" ht="24" customHeight="1">
      <x:c r="A87" s="20" t="str">
        <x:v>C07-MAP-009</x:v>
      </x:c>
      <x:c r="B87" s="20" t="str">
        <x:v>C07</x:v>
      </x:c>
      <x:c r="C87" s="20" t="str">
        <x:v>化圣雪原</x:v>
      </x:c>
      <x:c r="D87" s="20" t="n">
        <x:v>3</x:v>
      </x:c>
      <x:c r="E87" s="20" t="str">
        <x:v>极寒禁域</x:v>
      </x:c>
      <x:c r="F87" s="20" t="n">
        <x:v>1</x:v>
      </x:c>
      <x:c r="G87" s="20" t="str">
        <x:v>XX912</x:v>
      </x:c>
      <x:c r="H87" s="20" t="str">
        <x:v>极寒禁域</x:v>
      </x:c>
      <x:c r="I87" s="20" t="n">
        <x:f>COUNTIFS('02_怪物与专属'!$G$5:$G$468,$G87,'02_怪物与专属'!$K$5:$K$468,"普通")</x:f>
        <x:v>2</x:v>
      </x:c>
      <x:c r="J87" s="20" t="n">
        <x:f>COUNTIFS('02_怪物与专属'!$G$5:$G$468,$G87,'02_怪物与专属'!$K$5:$K$468,"稀有")</x:f>
        <x:v>0</x:v>
      </x:c>
      <x:c r="K87" s="20" t="n">
        <x:f>COUNTIFS('02_怪物与专属'!$G$5:$G$468,$G87,'02_怪物与专属'!$K$5:$K$468,"地图BOSS")</x:f>
        <x:v>0</x:v>
      </x:c>
      <x:c r="L87" s="20" t="n">
        <x:f>COUNTIFS('02_怪物与专属'!$G$5:$G$468,$G87,'02_怪物与专属'!$K$5:$K$468,"守关BOSS")</x:f>
        <x:v>0</x:v>
      </x:c>
      <x:c r="M87" s="20" t="n">
        <x:f>SUM(I87:L87)</x:f>
        <x:v>2</x:v>
      </x:c>
      <x:c r="N87" s="22" t="str">
        <x:v>已完成／来源已分配</x:v>
      </x:c>
      <x:c r="O87" s="20" t="str">
        <x:v>地图属性、尺寸和刷新数量不在本表修改</x:v>
      </x:c>
    </x:row>
    <x:row r="88" ht="24" customHeight="1">
      <x:c r="A88" s="20" t="str">
        <x:v>C07-MAP-010</x:v>
      </x:c>
      <x:c r="B88" s="20" t="str">
        <x:v>C07</x:v>
      </x:c>
      <x:c r="C88" s="20" t="str">
        <x:v>化圣雪原</x:v>
      </x:c>
      <x:c r="D88" s="20" t="n">
        <x:v>3</x:v>
      </x:c>
      <x:c r="E88" s="20" t="str">
        <x:v>极寒禁域</x:v>
      </x:c>
      <x:c r="F88" s="20" t="n">
        <x:v>2</x:v>
      </x:c>
      <x:c r="G88" s="20" t="str">
        <x:v>XX908</x:v>
      </x:c>
      <x:c r="H88" s="20" t="str">
        <x:v>冻雾边界</x:v>
      </x:c>
      <x:c r="I88" s="20" t="n">
        <x:f>COUNTIFS('02_怪物与专属'!$G$5:$G$468,$G88,'02_怪物与专属'!$K$5:$K$468,"普通")</x:f>
        <x:v>1</x:v>
      </x:c>
      <x:c r="J88" s="20" t="n">
        <x:f>COUNTIFS('02_怪物与专属'!$G$5:$G$468,$G88,'02_怪物与专属'!$K$5:$K$468,"稀有")</x:f>
        <x:v>1</x:v>
      </x:c>
      <x:c r="K88" s="20" t="n">
        <x:f>COUNTIFS('02_怪物与专属'!$G$5:$G$468,$G88,'02_怪物与专属'!$K$5:$K$468,"地图BOSS")</x:f>
        <x:v>0</x:v>
      </x:c>
      <x:c r="L88" s="20" t="n">
        <x:f>COUNTIFS('02_怪物与专属'!$G$5:$G$468,$G88,'02_怪物与专属'!$K$5:$K$468,"守关BOSS")</x:f>
        <x:v>0</x:v>
      </x:c>
      <x:c r="M88" s="20" t="n">
        <x:f>SUM(I88:L88)</x:f>
        <x:v>2</x:v>
      </x:c>
      <x:c r="N88" s="22" t="str">
        <x:v>已完成／来源已分配</x:v>
      </x:c>
      <x:c r="O88" s="20" t="str">
        <x:v>地图属性、尺寸和刷新数量不在本表修改</x:v>
      </x:c>
    </x:row>
    <x:row r="89" ht="24" customHeight="1">
      <x:c r="A89" s="20" t="str">
        <x:v>C07-MAP-011</x:v>
      </x:c>
      <x:c r="B89" s="20" t="str">
        <x:v>C07</x:v>
      </x:c>
      <x:c r="C89" s="20" t="str">
        <x:v>化圣雪原</x:v>
      </x:c>
      <x:c r="D89" s="20" t="n">
        <x:v>3</x:v>
      </x:c>
      <x:c r="E89" s="20" t="str">
        <x:v>极寒禁域</x:v>
      </x:c>
      <x:c r="F89" s="20" t="n">
        <x:v>3</x:v>
      </x:c>
      <x:c r="G89" s="20" t="str">
        <x:v>XX909</x:v>
      </x:c>
      <x:c r="H89" s="20" t="str">
        <x:v>寒狱腹地</x:v>
      </x:c>
      <x:c r="I89" s="20" t="n">
        <x:f>COUNTIFS('02_怪物与专属'!$G$5:$G$468,$G89,'02_怪物与专属'!$K$5:$K$468,"普通")</x:f>
        <x:v>1</x:v>
      </x:c>
      <x:c r="J89" s="20" t="n">
        <x:f>COUNTIFS('02_怪物与专属'!$G$5:$G$468,$G89,'02_怪物与专属'!$K$5:$K$468,"稀有")</x:f>
        <x:v>1</x:v>
      </x:c>
      <x:c r="K89" s="20" t="n">
        <x:f>COUNTIFS('02_怪物与专属'!$G$5:$G$468,$G89,'02_怪物与专属'!$K$5:$K$468,"地图BOSS")</x:f>
        <x:v>0</x:v>
      </x:c>
      <x:c r="L89" s="20" t="n">
        <x:f>COUNTIFS('02_怪物与专属'!$G$5:$G$468,$G89,'02_怪物与专属'!$K$5:$K$468,"守关BOSS")</x:f>
        <x:v>0</x:v>
      </x:c>
      <x:c r="M89" s="20" t="n">
        <x:f>SUM(I89:L89)</x:f>
        <x:v>2</x:v>
      </x:c>
      <x:c r="N89" s="22" t="str">
        <x:v>已完成／来源已分配</x:v>
      </x:c>
      <x:c r="O89" s="20" t="str">
        <x:v>地图属性、尺寸和刷新数量不在本表修改</x:v>
      </x:c>
    </x:row>
    <x:row r="90" ht="24" customHeight="1">
      <x:c r="A90" s="20" t="str">
        <x:v>C07-MAP-012</x:v>
      </x:c>
      <x:c r="B90" s="20" t="str">
        <x:v>C07</x:v>
      </x:c>
      <x:c r="C90" s="20" t="str">
        <x:v>化圣雪原</x:v>
      </x:c>
      <x:c r="D90" s="20" t="n">
        <x:v>3</x:v>
      </x:c>
      <x:c r="E90" s="20" t="str">
        <x:v>极寒禁域</x:v>
      </x:c>
      <x:c r="F90" s="20" t="n">
        <x:v>4</x:v>
      </x:c>
      <x:c r="G90" s="20" t="str">
        <x:v>XX910</x:v>
      </x:c>
      <x:c r="H90" s="20" t="str">
        <x:v>冰封祭坛</x:v>
      </x:c>
      <x:c r="I90" s="20" t="n">
        <x:f>COUNTIFS('02_怪物与专属'!$G$5:$G$468,$G90,'02_怪物与专属'!$K$5:$K$468,"普通")</x:f>
        <x:v>1</x:v>
      </x:c>
      <x:c r="J90" s="20" t="n">
        <x:f>COUNTIFS('02_怪物与专属'!$G$5:$G$468,$G90,'02_怪物与专属'!$K$5:$K$468,"稀有")</x:f>
        <x:v>1</x:v>
      </x:c>
      <x:c r="K90" s="20" t="n">
        <x:f>COUNTIFS('02_怪物与专属'!$G$5:$G$468,$G90,'02_怪物与专属'!$K$5:$K$468,"地图BOSS")</x:f>
        <x:v>1</x:v>
      </x:c>
      <x:c r="L90" s="20" t="n">
        <x:f>COUNTIFS('02_怪物与专属'!$G$5:$G$468,$G90,'02_怪物与专属'!$K$5:$K$468,"守关BOSS")</x:f>
        <x:v>0</x:v>
      </x:c>
      <x:c r="M90" s="20" t="n">
        <x:f>SUM(I90:L90)</x:f>
        <x:v>3</x:v>
      </x:c>
      <x:c r="N90" s="22" t="str">
        <x:v>已完成／来源已分配</x:v>
      </x:c>
      <x:c r="O90" s="20" t="str">
        <x:v>地图属性、尺寸和刷新数量不在本表修改</x:v>
      </x:c>
    </x:row>
    <x:row r="91" ht="24" customHeight="1">
      <x:c r="A91" s="20" t="str">
        <x:v>C07-MAP-013</x:v>
      </x:c>
      <x:c r="B91" s="20" t="str">
        <x:v>C07</x:v>
      </x:c>
      <x:c r="C91" s="20" t="str">
        <x:v>化圣雪原</x:v>
      </x:c>
      <x:c r="D91" s="20" t="n">
        <x:v>3</x:v>
      </x:c>
      <x:c r="E91" s="20" t="str">
        <x:v>极寒禁域</x:v>
      </x:c>
      <x:c r="F91" s="20" t="n">
        <x:v>5</x:v>
      </x:c>
      <x:c r="G91" s="20" t="str">
        <x:v>XX911</x:v>
      </x:c>
      <x:c r="H91" s="20" t="str">
        <x:v>极寒圣所</x:v>
      </x:c>
      <x:c r="I91" s="20" t="n">
        <x:f>COUNTIFS('02_怪物与专属'!$G$5:$G$468,$G91,'02_怪物与专属'!$K$5:$K$468,"普通")</x:f>
        <x:v>1</x:v>
      </x:c>
      <x:c r="J91" s="20" t="n">
        <x:f>COUNTIFS('02_怪物与专属'!$G$5:$G$468,$G91,'02_怪物与专属'!$K$5:$K$468,"稀有")</x:f>
        <x:v>1</x:v>
      </x:c>
      <x:c r="K91" s="20" t="n">
        <x:f>COUNTIFS('02_怪物与专属'!$G$5:$G$468,$G91,'02_怪物与专属'!$K$5:$K$468,"地图BOSS")</x:f>
        <x:v>1</x:v>
      </x:c>
      <x:c r="L91" s="20" t="n">
        <x:f>COUNTIFS('02_怪物与专属'!$G$5:$G$468,$G91,'02_怪物与专属'!$K$5:$K$468,"守关BOSS")</x:f>
        <x:v>1</x:v>
      </x:c>
      <x:c r="M91" s="20" t="n">
        <x:f>SUM(I91:L91)</x:f>
        <x:v>4</x:v>
      </x:c>
      <x:c r="N91" s="22" t="str">
        <x:v>已完成／来源已分配</x:v>
      </x:c>
      <x:c r="O91" s="20" t="str">
        <x:v>地图属性、尺寸和刷新数量不在本表修改</x:v>
      </x:c>
    </x:row>
    <x:row r="92" ht="24" customHeight="1">
      <x:c r="A92" s="20" t="str">
        <x:v>C08-MAP-001</x:v>
      </x:c>
      <x:c r="B92" s="20" t="str">
        <x:v>C08</x:v>
      </x:c>
      <x:c r="C92" s="20" t="str">
        <x:v>巨人山顶</x:v>
      </x:c>
      <x:c r="D92" s="20" t="n">
        <x:v>1</x:v>
      </x:c>
      <x:c r="E92" s="20" t="str">
        <x:v>寒霜山径</x:v>
      </x:c>
      <x:c r="F92" s="20" t="n">
        <x:v>1</x:v>
      </x:c>
      <x:c r="G92" s="20" t="str">
        <x:v>XX900</x:v>
      </x:c>
      <x:c r="H92" s="20" t="str">
        <x:v>寒霜山径</x:v>
      </x:c>
      <x:c r="I92" s="20" t="n">
        <x:f>COUNTIFS('02_怪物与专属'!$G$5:$G$468,$G92,'02_怪物与专属'!$K$5:$K$468,"普通")</x:f>
        <x:v>2</x:v>
      </x:c>
      <x:c r="J92" s="20" t="n">
        <x:f>COUNTIFS('02_怪物与专属'!$G$5:$G$468,$G92,'02_怪物与专属'!$K$5:$K$468,"稀有")</x:f>
        <x:v>1</x:v>
      </x:c>
      <x:c r="K92" s="20" t="n">
        <x:f>COUNTIFS('02_怪物与专属'!$G$5:$G$468,$G92,'02_怪物与专属'!$K$5:$K$468,"地图BOSS")</x:f>
        <x:v>0</x:v>
      </x:c>
      <x:c r="L92" s="20" t="n">
        <x:f>COUNTIFS('02_怪物与专属'!$G$5:$G$468,$G92,'02_怪物与专属'!$K$5:$K$468,"守关BOSS")</x:f>
        <x:v>0</x:v>
      </x:c>
      <x:c r="M92" s="20" t="n">
        <x:f>SUM(I92:L92)</x:f>
        <x:v>3</x:v>
      </x:c>
      <x:c r="N92" s="22" t="str">
        <x:v>已完成／来源已分配</x:v>
      </x:c>
      <x:c r="O92" s="20" t="str">
        <x:v>地图属性、尺寸和刷新数量不在本表修改</x:v>
      </x:c>
    </x:row>
    <x:row r="93" ht="24" customHeight="1">
      <x:c r="A93" s="20" t="str">
        <x:v>C08-MAP-002</x:v>
      </x:c>
      <x:c r="B93" s="20" t="str">
        <x:v>C08</x:v>
      </x:c>
      <x:c r="C93" s="20" t="str">
        <x:v>巨人山顶</x:v>
      </x:c>
      <x:c r="D93" s="20" t="n">
        <x:v>1</x:v>
      </x:c>
      <x:c r="E93" s="20" t="str">
        <x:v>寒霜山径</x:v>
      </x:c>
      <x:c r="F93" s="20" t="n">
        <x:v>2</x:v>
      </x:c>
      <x:c r="G93" s="20" t="str">
        <x:v>XX901</x:v>
      </x:c>
      <x:c r="H93" s="20" t="str">
        <x:v>冰脊古道</x:v>
      </x:c>
      <x:c r="I93" s="20" t="n">
        <x:f>COUNTIFS('02_怪物与专属'!$G$5:$G$468,$G93,'02_怪物与专属'!$K$5:$K$468,"普通")</x:f>
        <x:v>2</x:v>
      </x:c>
      <x:c r="J93" s="20" t="n">
        <x:f>COUNTIFS('02_怪物与专属'!$G$5:$G$468,$G93,'02_怪物与专属'!$K$5:$K$468,"稀有")</x:f>
        <x:v>1</x:v>
      </x:c>
      <x:c r="K93" s="20" t="n">
        <x:f>COUNTIFS('02_怪物与专属'!$G$5:$G$468,$G93,'02_怪物与专属'!$K$5:$K$468,"地图BOSS")</x:f>
        <x:v>0</x:v>
      </x:c>
      <x:c r="L93" s="20" t="n">
        <x:f>COUNTIFS('02_怪物与专属'!$G$5:$G$468,$G93,'02_怪物与专属'!$K$5:$K$468,"守关BOSS")</x:f>
        <x:v>0</x:v>
      </x:c>
      <x:c r="M93" s="20" t="n">
        <x:f>SUM(I93:L93)</x:f>
        <x:v>3</x:v>
      </x:c>
      <x:c r="N93" s="22" t="str">
        <x:v>已完成／来源已分配</x:v>
      </x:c>
      <x:c r="O93" s="20" t="str">
        <x:v>地图属性、尺寸和刷新数量不在本表修改</x:v>
      </x:c>
    </x:row>
    <x:row r="94" ht="24" customHeight="1">
      <x:c r="A94" s="20" t="str">
        <x:v>C08-MAP-003</x:v>
      </x:c>
      <x:c r="B94" s="20" t="str">
        <x:v>C08</x:v>
      </x:c>
      <x:c r="C94" s="20" t="str">
        <x:v>巨人山顶</x:v>
      </x:c>
      <x:c r="D94" s="20" t="n">
        <x:v>1</x:v>
      </x:c>
      <x:c r="E94" s="20" t="str">
        <x:v>寒霜山径</x:v>
      </x:c>
      <x:c r="F94" s="20" t="n">
        <x:v>3</x:v>
      </x:c>
      <x:c r="G94" s="20" t="str">
        <x:v>XX902</x:v>
      </x:c>
      <x:c r="H94" s="20" t="str">
        <x:v>暴雪险峰</x:v>
      </x:c>
      <x:c r="I94" s="20" t="n">
        <x:f>COUNTIFS('02_怪物与专属'!$G$5:$G$468,$G94,'02_怪物与专属'!$K$5:$K$468,"普通")</x:f>
        <x:v>1</x:v>
      </x:c>
      <x:c r="J94" s="20" t="n">
        <x:f>COUNTIFS('02_怪物与专属'!$G$5:$G$468,$G94,'02_怪物与专属'!$K$5:$K$468,"稀有")</x:f>
        <x:v>1</x:v>
      </x:c>
      <x:c r="K94" s="20" t="n">
        <x:f>COUNTIFS('02_怪物与专属'!$G$5:$G$468,$G94,'02_怪物与专属'!$K$5:$K$468,"地图BOSS")</x:f>
        <x:v>1</x:v>
      </x:c>
      <x:c r="L94" s="20" t="n">
        <x:f>COUNTIFS('02_怪物与专属'!$G$5:$G$468,$G94,'02_怪物与专属'!$K$5:$K$468,"守关BOSS")</x:f>
        <x:v>0</x:v>
      </x:c>
      <x:c r="M94" s="20" t="n">
        <x:f>SUM(I94:L94)</x:f>
        <x:v>3</x:v>
      </x:c>
      <x:c r="N94" s="22" t="str">
        <x:v>已完成／来源已分配</x:v>
      </x:c>
      <x:c r="O94" s="20" t="str">
        <x:v>地图属性、尺寸和刷新数量不在本表修改</x:v>
      </x:c>
    </x:row>
    <x:row r="95" ht="24" customHeight="1">
      <x:c r="A95" s="20" t="str">
        <x:v>C08-MAP-004</x:v>
      </x:c>
      <x:c r="B95" s="20" t="str">
        <x:v>C08</x:v>
      </x:c>
      <x:c r="C95" s="20" t="str">
        <x:v>巨人山顶</x:v>
      </x:c>
      <x:c r="D95" s="20" t="n">
        <x:v>1</x:v>
      </x:c>
      <x:c r="E95" s="20" t="str">
        <x:v>寒霜山径</x:v>
      </x:c>
      <x:c r="F95" s="20" t="n">
        <x:v>4</x:v>
      </x:c>
      <x:c r="G95" s="20" t="str">
        <x:v>XX903</x:v>
      </x:c>
      <x:c r="H95" s="20" t="str">
        <x:v>山巅祭台</x:v>
      </x:c>
      <x:c r="I95" s="20" t="n">
        <x:f>COUNTIFS('02_怪物与专属'!$G$5:$G$468,$G95,'02_怪物与专属'!$K$5:$K$468,"普通")</x:f>
        <x:v>1</x:v>
      </x:c>
      <x:c r="J95" s="20" t="n">
        <x:f>COUNTIFS('02_怪物与专属'!$G$5:$G$468,$G95,'02_怪物与专属'!$K$5:$K$468,"稀有")</x:f>
        <x:v>1</x:v>
      </x:c>
      <x:c r="K95" s="20" t="n">
        <x:f>COUNTIFS('02_怪物与专属'!$G$5:$G$468,$G95,'02_怪物与专属'!$K$5:$K$468,"地图BOSS")</x:f>
        <x:v>1</x:v>
      </x:c>
      <x:c r="L95" s="20" t="n">
        <x:f>COUNTIFS('02_怪物与专属'!$G$5:$G$468,$G95,'02_怪物与专属'!$K$5:$K$468,"守关BOSS")</x:f>
        <x:v>0</x:v>
      </x:c>
      <x:c r="M95" s="20" t="n">
        <x:f>SUM(I95:L95)</x:f>
        <x:v>3</x:v>
      </x:c>
      <x:c r="N95" s="22" t="str">
        <x:v>已完成／来源已分配</x:v>
      </x:c>
      <x:c r="O95" s="20" t="str">
        <x:v>地图属性、尺寸和刷新数量不在本表修改</x:v>
      </x:c>
    </x:row>
    <x:row r="96" ht="24" customHeight="1">
      <x:c r="A96" s="20" t="str">
        <x:v>C08-MAP-005</x:v>
      </x:c>
      <x:c r="B96" s="20" t="str">
        <x:v>C08</x:v>
      </x:c>
      <x:c r="C96" s="20" t="str">
        <x:v>巨人山顶</x:v>
      </x:c>
      <x:c r="D96" s="20" t="n">
        <x:v>2</x:v>
      </x:c>
      <x:c r="E96" s="20" t="str">
        <x:v>断冰峰群</x:v>
      </x:c>
      <x:c r="F96" s="20" t="n">
        <x:v>1</x:v>
      </x:c>
      <x:c r="G96" s="20" t="str">
        <x:v>XX320</x:v>
      </x:c>
      <x:c r="H96" s="20" t="str">
        <x:v>断冰峰群</x:v>
      </x:c>
      <x:c r="I96" s="20" t="n">
        <x:f>COUNTIFS('02_怪物与专属'!$G$5:$G$468,$G96,'02_怪物与专属'!$K$5:$K$468,"普通")</x:f>
        <x:v>2</x:v>
      </x:c>
      <x:c r="J96" s="20" t="n">
        <x:f>COUNTIFS('02_怪物与专属'!$G$5:$G$468,$G96,'02_怪物与专属'!$K$5:$K$468,"稀有")</x:f>
        <x:v>1</x:v>
      </x:c>
      <x:c r="K96" s="20" t="n">
        <x:f>COUNTIFS('02_怪物与专属'!$G$5:$G$468,$G96,'02_怪物与专属'!$K$5:$K$468,"地图BOSS")</x:f>
        <x:v>0</x:v>
      </x:c>
      <x:c r="L96" s="20" t="n">
        <x:f>COUNTIFS('02_怪物与专属'!$G$5:$G$468,$G96,'02_怪物与专属'!$K$5:$K$468,"守关BOSS")</x:f>
        <x:v>0</x:v>
      </x:c>
      <x:c r="M96" s="20" t="n">
        <x:f>SUM(I96:L96)</x:f>
        <x:v>3</x:v>
      </x:c>
      <x:c r="N96" s="22" t="str">
        <x:v>已完成／来源已分配</x:v>
      </x:c>
      <x:c r="O96" s="20" t="str">
        <x:v>地图属性、尺寸和刷新数量不在本表修改</x:v>
      </x:c>
    </x:row>
    <x:row r="97" ht="24" customHeight="1">
      <x:c r="A97" s="20" t="str">
        <x:v>C08-MAP-006</x:v>
      </x:c>
      <x:c r="B97" s="20" t="str">
        <x:v>C08</x:v>
      </x:c>
      <x:c r="C97" s="20" t="str">
        <x:v>巨人山顶</x:v>
      </x:c>
      <x:c r="D97" s="20" t="n">
        <x:v>2</x:v>
      </x:c>
      <x:c r="E97" s="20" t="str">
        <x:v>断冰峰群</x:v>
      </x:c>
      <x:c r="F97" s="20" t="n">
        <x:v>2</x:v>
      </x:c>
      <x:c r="G97" s="20" t="str">
        <x:v>XX318</x:v>
      </x:c>
      <x:c r="H97" s="20" t="str">
        <x:v>碎冰天桥</x:v>
      </x:c>
      <x:c r="I97" s="20" t="n">
        <x:f>COUNTIFS('02_怪物与专属'!$G$5:$G$468,$G97,'02_怪物与专属'!$K$5:$K$468,"普通")</x:f>
        <x:v>2</x:v>
      </x:c>
      <x:c r="J97" s="20" t="n">
        <x:f>COUNTIFS('02_怪物与专属'!$G$5:$G$468,$G97,'02_怪物与专属'!$K$5:$K$468,"稀有")</x:f>
        <x:v>1</x:v>
      </x:c>
      <x:c r="K97" s="20" t="n">
        <x:f>COUNTIFS('02_怪物与专属'!$G$5:$G$468,$G97,'02_怪物与专属'!$K$5:$K$468,"地图BOSS")</x:f>
        <x:v>0</x:v>
      </x:c>
      <x:c r="L97" s="20" t="n">
        <x:f>COUNTIFS('02_怪物与专属'!$G$5:$G$468,$G97,'02_怪物与专属'!$K$5:$K$468,"守关BOSS")</x:f>
        <x:v>0</x:v>
      </x:c>
      <x:c r="M97" s="20" t="n">
        <x:f>SUM(I97:L97)</x:f>
        <x:v>3</x:v>
      </x:c>
      <x:c r="N97" s="22" t="str">
        <x:v>已完成／来源已分配</x:v>
      </x:c>
      <x:c r="O97" s="20" t="str">
        <x:v>地图属性、尺寸和刷新数量不在本表修改</x:v>
      </x:c>
    </x:row>
    <x:row r="98" ht="24" customHeight="1">
      <x:c r="A98" s="20" t="str">
        <x:v>C08-MAP-007</x:v>
      </x:c>
      <x:c r="B98" s="20" t="str">
        <x:v>C08</x:v>
      </x:c>
      <x:c r="C98" s="20" t="str">
        <x:v>巨人山顶</x:v>
      </x:c>
      <x:c r="D98" s="20" t="n">
        <x:v>2</x:v>
      </x:c>
      <x:c r="E98" s="20" t="str">
        <x:v>断冰峰群</x:v>
      </x:c>
      <x:c r="F98" s="20" t="n">
        <x:v>3</x:v>
      </x:c>
      <x:c r="G98" s="20" t="str">
        <x:v>XX319</x:v>
      </x:c>
      <x:c r="H98" s="20" t="str">
        <x:v>寒峰裂谷</x:v>
      </x:c>
      <x:c r="I98" s="20" t="n">
        <x:f>COUNTIFS('02_怪物与专属'!$G$5:$G$468,$G98,'02_怪物与专属'!$K$5:$K$468,"普通")</x:f>
        <x:v>1</x:v>
      </x:c>
      <x:c r="J98" s="20" t="n">
        <x:f>COUNTIFS('02_怪物与专属'!$G$5:$G$468,$G98,'02_怪物与专属'!$K$5:$K$468,"稀有")</x:f>
        <x:v>1</x:v>
      </x:c>
      <x:c r="K98" s="20" t="n">
        <x:f>COUNTIFS('02_怪物与专属'!$G$5:$G$468,$G98,'02_怪物与专属'!$K$5:$K$468,"地图BOSS")</x:f>
        <x:v>1</x:v>
      </x:c>
      <x:c r="L98" s="20" t="n">
        <x:f>COUNTIFS('02_怪物与专属'!$G$5:$G$468,$G98,'02_怪物与专属'!$K$5:$K$468,"守关BOSS")</x:f>
        <x:v>0</x:v>
      </x:c>
      <x:c r="M98" s="20" t="n">
        <x:f>SUM(I98:L98)</x:f>
        <x:v>3</x:v>
      </x:c>
      <x:c r="N98" s="22" t="str">
        <x:v>已完成／来源已分配</x:v>
      </x:c>
      <x:c r="O98" s="20" t="str">
        <x:v>地图属性、尺寸和刷新数量不在本表修改</x:v>
      </x:c>
    </x:row>
    <x:row r="99" ht="24" customHeight="1">
      <x:c r="A99" s="20" t="str">
        <x:v>C08-MAP-008</x:v>
      </x:c>
      <x:c r="B99" s="20" t="str">
        <x:v>C08</x:v>
      </x:c>
      <x:c r="C99" s="20" t="str">
        <x:v>巨人山顶</x:v>
      </x:c>
      <x:c r="D99" s="20" t="n">
        <x:v>2</x:v>
      </x:c>
      <x:c r="E99" s="20" t="str">
        <x:v>断冰峰群</x:v>
      </x:c>
      <x:c r="F99" s="20" t="n">
        <x:v>4</x:v>
      </x:c>
      <x:c r="G99" s="20" t="str">
        <x:v>XX316</x:v>
      </x:c>
      <x:c r="H99" s="20" t="str">
        <x:v>断峰祭场</x:v>
      </x:c>
      <x:c r="I99" s="20" t="n">
        <x:f>COUNTIFS('02_怪物与专属'!$G$5:$G$468,$G99,'02_怪物与专属'!$K$5:$K$468,"普通")</x:f>
        <x:v>1</x:v>
      </x:c>
      <x:c r="J99" s="20" t="n">
        <x:f>COUNTIFS('02_怪物与专属'!$G$5:$G$468,$G99,'02_怪物与专属'!$K$5:$K$468,"稀有")</x:f>
        <x:v>1</x:v>
      </x:c>
      <x:c r="K99" s="20" t="n">
        <x:f>COUNTIFS('02_怪物与专属'!$G$5:$G$468,$G99,'02_怪物与专属'!$K$5:$K$468,"地图BOSS")</x:f>
        <x:v>1</x:v>
      </x:c>
      <x:c r="L99" s="20" t="n">
        <x:f>COUNTIFS('02_怪物与专属'!$G$5:$G$468,$G99,'02_怪物与专属'!$K$5:$K$468,"守关BOSS")</x:f>
        <x:v>0</x:v>
      </x:c>
      <x:c r="M99" s="20" t="n">
        <x:f>SUM(I99:L99)</x:f>
        <x:v>3</x:v>
      </x:c>
      <x:c r="N99" s="22" t="str">
        <x:v>已完成／来源已分配</x:v>
      </x:c>
      <x:c r="O99" s="20" t="str">
        <x:v>地图属性、尺寸和刷新数量不在本表修改</x:v>
      </x:c>
    </x:row>
    <x:row r="100" ht="24" customHeight="1">
      <x:c r="A100" s="20" t="str">
        <x:v>C08-MAP-009</x:v>
      </x:c>
      <x:c r="B100" s="20" t="str">
        <x:v>C08</x:v>
      </x:c>
      <x:c r="C100" s="20" t="str">
        <x:v>巨人山顶</x:v>
      </x:c>
      <x:c r="D100" s="20" t="n">
        <x:v>3</x:v>
      </x:c>
      <x:c r="E100" s="20" t="str">
        <x:v>冰宫王庭</x:v>
      </x:c>
      <x:c r="F100" s="20" t="n">
        <x:v>1</x:v>
      </x:c>
      <x:c r="G100" s="20" t="str">
        <x:v>XX325</x:v>
      </x:c>
      <x:c r="H100" s="20" t="str">
        <x:v>冰宫王庭</x:v>
      </x:c>
      <x:c r="I100" s="20" t="n">
        <x:f>COUNTIFS('02_怪物与专属'!$G$5:$G$468,$G100,'02_怪物与专属'!$K$5:$K$468,"普通")</x:f>
        <x:v>2</x:v>
      </x:c>
      <x:c r="J100" s="20" t="n">
        <x:f>COUNTIFS('02_怪物与专属'!$G$5:$G$468,$G100,'02_怪物与专属'!$K$5:$K$468,"稀有")</x:f>
        <x:v>0</x:v>
      </x:c>
      <x:c r="K100" s="20" t="n">
        <x:f>COUNTIFS('02_怪物与专属'!$G$5:$G$468,$G100,'02_怪物与专属'!$K$5:$K$468,"地图BOSS")</x:f>
        <x:v>0</x:v>
      </x:c>
      <x:c r="L100" s="20" t="n">
        <x:f>COUNTIFS('02_怪物与专属'!$G$5:$G$468,$G100,'02_怪物与专属'!$K$5:$K$468,"守关BOSS")</x:f>
        <x:v>0</x:v>
      </x:c>
      <x:c r="M100" s="20" t="n">
        <x:f>SUM(I100:L100)</x:f>
        <x:v>2</x:v>
      </x:c>
      <x:c r="N100" s="22" t="str">
        <x:v>已完成／来源已分配</x:v>
      </x:c>
      <x:c r="O100" s="20" t="str">
        <x:v>地图属性、尺寸和刷新数量不在本表修改</x:v>
      </x:c>
    </x:row>
    <x:row r="101" ht="24" customHeight="1">
      <x:c r="A101" s="20" t="str">
        <x:v>C08-MAP-010</x:v>
      </x:c>
      <x:c r="B101" s="20" t="str">
        <x:v>C08</x:v>
      </x:c>
      <x:c r="C101" s="20" t="str">
        <x:v>巨人山顶</x:v>
      </x:c>
      <x:c r="D101" s="20" t="n">
        <x:v>3</x:v>
      </x:c>
      <x:c r="E101" s="20" t="str">
        <x:v>冰宫王庭</x:v>
      </x:c>
      <x:c r="F101" s="20" t="n">
        <x:v>2</x:v>
      </x:c>
      <x:c r="G101" s="20" t="str">
        <x:v>XX321</x:v>
      </x:c>
      <x:c r="H101" s="20" t="str">
        <x:v>王庭外廊</x:v>
      </x:c>
      <x:c r="I101" s="20" t="n">
        <x:f>COUNTIFS('02_怪物与专属'!$G$5:$G$468,$G101,'02_怪物与专属'!$K$5:$K$468,"普通")</x:f>
        <x:v>1</x:v>
      </x:c>
      <x:c r="J101" s="20" t="n">
        <x:f>COUNTIFS('02_怪物与专属'!$G$5:$G$468,$G101,'02_怪物与专属'!$K$5:$K$468,"稀有")</x:f>
        <x:v>1</x:v>
      </x:c>
      <x:c r="K101" s="20" t="n">
        <x:f>COUNTIFS('02_怪物与专属'!$G$5:$G$468,$G101,'02_怪物与专属'!$K$5:$K$468,"地图BOSS")</x:f>
        <x:v>0</x:v>
      </x:c>
      <x:c r="L101" s="20" t="n">
        <x:f>COUNTIFS('02_怪物与专属'!$G$5:$G$468,$G101,'02_怪物与专属'!$K$5:$K$468,"守关BOSS")</x:f>
        <x:v>0</x:v>
      </x:c>
      <x:c r="M101" s="20" t="n">
        <x:f>SUM(I101:L101)</x:f>
        <x:v>2</x:v>
      </x:c>
      <x:c r="N101" s="22" t="str">
        <x:v>已完成／来源已分配</x:v>
      </x:c>
      <x:c r="O101" s="20" t="str">
        <x:v>地图属性、尺寸和刷新数量不在本表修改</x:v>
      </x:c>
    </x:row>
    <x:row r="102" ht="24" customHeight="1">
      <x:c r="A102" s="20" t="str">
        <x:v>C08-MAP-011</x:v>
      </x:c>
      <x:c r="B102" s="20" t="str">
        <x:v>C08</x:v>
      </x:c>
      <x:c r="C102" s="20" t="str">
        <x:v>巨人山顶</x:v>
      </x:c>
      <x:c r="D102" s="20" t="n">
        <x:v>3</x:v>
      </x:c>
      <x:c r="E102" s="20" t="str">
        <x:v>冰宫王庭</x:v>
      </x:c>
      <x:c r="F102" s="20" t="n">
        <x:v>3</x:v>
      </x:c>
      <x:c r="G102" s="20" t="str">
        <x:v>XX322</x:v>
      </x:c>
      <x:c r="H102" s="20" t="str">
        <x:v>冰封内廷</x:v>
      </x:c>
      <x:c r="I102" s="20" t="n">
        <x:f>COUNTIFS('02_怪物与专属'!$G$5:$G$468,$G102,'02_怪物与专属'!$K$5:$K$468,"普通")</x:f>
        <x:v>1</x:v>
      </x:c>
      <x:c r="J102" s="20" t="n">
        <x:f>COUNTIFS('02_怪物与专属'!$G$5:$G$468,$G102,'02_怪物与专属'!$K$5:$K$468,"稀有")</x:f>
        <x:v>1</x:v>
      </x:c>
      <x:c r="K102" s="20" t="n">
        <x:f>COUNTIFS('02_怪物与专属'!$G$5:$G$468,$G102,'02_怪物与专属'!$K$5:$K$468,"地图BOSS")</x:f>
        <x:v>0</x:v>
      </x:c>
      <x:c r="L102" s="20" t="n">
        <x:f>COUNTIFS('02_怪物与专属'!$G$5:$G$468,$G102,'02_怪物与专属'!$K$5:$K$468,"守关BOSS")</x:f>
        <x:v>0</x:v>
      </x:c>
      <x:c r="M102" s="20" t="n">
        <x:f>SUM(I102:L102)</x:f>
        <x:v>2</x:v>
      </x:c>
      <x:c r="N102" s="22" t="str">
        <x:v>已完成／来源已分配</x:v>
      </x:c>
      <x:c r="O102" s="20" t="str">
        <x:v>地图属性、尺寸和刷新数量不在本表修改</x:v>
      </x:c>
    </x:row>
    <x:row r="103" ht="24" customHeight="1">
      <x:c r="A103" s="20" t="str">
        <x:v>C08-MAP-012</x:v>
      </x:c>
      <x:c r="B103" s="20" t="str">
        <x:v>C08</x:v>
      </x:c>
      <x:c r="C103" s="20" t="str">
        <x:v>巨人山顶</x:v>
      </x:c>
      <x:c r="D103" s="20" t="n">
        <x:v>3</x:v>
      </x:c>
      <x:c r="E103" s="20" t="str">
        <x:v>冰宫王庭</x:v>
      </x:c>
      <x:c r="F103" s="20" t="n">
        <x:v>4</x:v>
      </x:c>
      <x:c r="G103" s="20" t="str">
        <x:v>XX323</x:v>
      </x:c>
      <x:c r="H103" s="20" t="str">
        <x:v>巨人议殿</x:v>
      </x:c>
      <x:c r="I103" s="20" t="n">
        <x:f>COUNTIFS('02_怪物与专属'!$G$5:$G$468,$G103,'02_怪物与专属'!$K$5:$K$468,"普通")</x:f>
        <x:v>1</x:v>
      </x:c>
      <x:c r="J103" s="20" t="n">
        <x:f>COUNTIFS('02_怪物与专属'!$G$5:$G$468,$G103,'02_怪物与专属'!$K$5:$K$468,"稀有")</x:f>
        <x:v>1</x:v>
      </x:c>
      <x:c r="K103" s="20" t="n">
        <x:f>COUNTIFS('02_怪物与专属'!$G$5:$G$468,$G103,'02_怪物与专属'!$K$5:$K$468,"地图BOSS")</x:f>
        <x:v>1</x:v>
      </x:c>
      <x:c r="L103" s="20" t="n">
        <x:f>COUNTIFS('02_怪物与专属'!$G$5:$G$468,$G103,'02_怪物与专属'!$K$5:$K$468,"守关BOSS")</x:f>
        <x:v>0</x:v>
      </x:c>
      <x:c r="M103" s="20" t="n">
        <x:f>SUM(I103:L103)</x:f>
        <x:v>3</x:v>
      </x:c>
      <x:c r="N103" s="22" t="str">
        <x:v>已完成／来源已分配</x:v>
      </x:c>
      <x:c r="O103" s="20" t="str">
        <x:v>地图属性、尺寸和刷新数量不在本表修改</x:v>
      </x:c>
    </x:row>
    <x:row r="104" ht="24" customHeight="1">
      <x:c r="A104" s="20" t="str">
        <x:v>C08-MAP-013</x:v>
      </x:c>
      <x:c r="B104" s="20" t="str">
        <x:v>C08</x:v>
      </x:c>
      <x:c r="C104" s="20" t="str">
        <x:v>巨人山顶</x:v>
      </x:c>
      <x:c r="D104" s="20" t="n">
        <x:v>3</x:v>
      </x:c>
      <x:c r="E104" s="20" t="str">
        <x:v>冰宫王庭</x:v>
      </x:c>
      <x:c r="F104" s="20" t="n">
        <x:v>5</x:v>
      </x:c>
      <x:c r="G104" s="20" t="str">
        <x:v>XX326</x:v>
      </x:c>
      <x:c r="H104" s="20" t="str">
        <x:v>冰宫王座</x:v>
      </x:c>
      <x:c r="I104" s="20" t="n">
        <x:f>COUNTIFS('02_怪物与专属'!$G$5:$G$468,$G104,'02_怪物与专属'!$K$5:$K$468,"普通")</x:f>
        <x:v>1</x:v>
      </x:c>
      <x:c r="J104" s="20" t="n">
        <x:f>COUNTIFS('02_怪物与专属'!$G$5:$G$468,$G104,'02_怪物与专属'!$K$5:$K$468,"稀有")</x:f>
        <x:v>1</x:v>
      </x:c>
      <x:c r="K104" s="20" t="n">
        <x:f>COUNTIFS('02_怪物与专属'!$G$5:$G$468,$G104,'02_怪物与专属'!$K$5:$K$468,"地图BOSS")</x:f>
        <x:v>1</x:v>
      </x:c>
      <x:c r="L104" s="20" t="n">
        <x:f>COUNTIFS('02_怪物与专属'!$G$5:$G$468,$G104,'02_怪物与专属'!$K$5:$K$468,"守关BOSS")</x:f>
        <x:v>0</x:v>
      </x:c>
      <x:c r="M104" s="20" t="n">
        <x:f>SUM(I104:L104)</x:f>
        <x:v>3</x:v>
      </x:c>
      <x:c r="N104" s="22" t="str">
        <x:v>已完成／来源已分配</x:v>
      </x:c>
      <x:c r="O104" s="20" t="str">
        <x:v>地图属性、尺寸和刷新数量不在本表修改</x:v>
      </x:c>
    </x:row>
    <x:row r="105" ht="24" customHeight="1">
      <x:c r="A105" s="20" t="str">
        <x:v>C08-MAP-014</x:v>
      </x:c>
      <x:c r="B105" s="20" t="str">
        <x:v>C08</x:v>
      </x:c>
      <x:c r="C105" s="20" t="str">
        <x:v>巨人山顶</x:v>
      </x:c>
      <x:c r="D105" s="20" t="n">
        <x:v>4</x:v>
      </x:c>
      <x:c r="E105" s="20" t="str">
        <x:v>巨人王庭</x:v>
      </x:c>
      <x:c r="F105" s="20" t="n">
        <x:v>1</x:v>
      </x:c>
      <x:c r="G105" s="20" t="str">
        <x:v>XX899</x:v>
      </x:c>
      <x:c r="H105" s="20" t="str">
        <x:v>巨人王庭</x:v>
      </x:c>
      <x:c r="I105" s="20" t="n">
        <x:f>COUNTIFS('02_怪物与专属'!$G$5:$G$468,$G105,'02_怪物与专属'!$K$5:$K$468,"普通")</x:f>
        <x:v>2</x:v>
      </x:c>
      <x:c r="J105" s="20" t="n">
        <x:f>COUNTIFS('02_怪物与专属'!$G$5:$G$468,$G105,'02_怪物与专属'!$K$5:$K$468,"稀有")</x:f>
        <x:v>1</x:v>
      </x:c>
      <x:c r="K105" s="20" t="n">
        <x:f>COUNTIFS('02_怪物与专属'!$G$5:$G$468,$G105,'02_怪物与专属'!$K$5:$K$468,"地图BOSS")</x:f>
        <x:v>0</x:v>
      </x:c>
      <x:c r="L105" s="20" t="n">
        <x:f>COUNTIFS('02_怪物与专属'!$G$5:$G$468,$G105,'02_怪物与专属'!$K$5:$K$468,"守关BOSS")</x:f>
        <x:v>0</x:v>
      </x:c>
      <x:c r="M105" s="20" t="n">
        <x:f>SUM(I105:L105)</x:f>
        <x:v>3</x:v>
      </x:c>
      <x:c r="N105" s="22" t="str">
        <x:v>已完成／来源已分配</x:v>
      </x:c>
      <x:c r="O105" s="20" t="str">
        <x:v>地图属性、尺寸和刷新数量不在本表修改</x:v>
      </x:c>
    </x:row>
    <x:row r="106" ht="24" customHeight="1">
      <x:c r="A106" s="20" t="str">
        <x:v>C08-MAP-015</x:v>
      </x:c>
      <x:c r="B106" s="20" t="str">
        <x:v>C08</x:v>
      </x:c>
      <x:c r="C106" s="20" t="str">
        <x:v>巨人山顶</x:v>
      </x:c>
      <x:c r="D106" s="20" t="n">
        <x:v>4</x:v>
      </x:c>
      <x:c r="E106" s="20" t="str">
        <x:v>巨人王庭</x:v>
      </x:c>
      <x:c r="F106" s="20" t="n">
        <x:v>2</x:v>
      </x:c>
      <x:c r="G106" s="20" t="str">
        <x:v>XX898</x:v>
      </x:c>
      <x:c r="H106" s="20" t="str">
        <x:v>雪域内宫</x:v>
      </x:c>
      <x:c r="I106" s="20" t="n">
        <x:f>COUNTIFS('02_怪物与专属'!$G$5:$G$468,$G106,'02_怪物与专属'!$K$5:$K$468,"普通")</x:f>
        <x:v>2</x:v>
      </x:c>
      <x:c r="J106" s="20" t="n">
        <x:f>COUNTIFS('02_怪物与专属'!$G$5:$G$468,$G106,'02_怪物与专属'!$K$5:$K$468,"稀有")</x:f>
        <x:v>2</x:v>
      </x:c>
      <x:c r="K106" s="20" t="n">
        <x:f>COUNTIFS('02_怪物与专属'!$G$5:$G$468,$G106,'02_怪物与专属'!$K$5:$K$468,"地图BOSS")</x:f>
        <x:v>1</x:v>
      </x:c>
      <x:c r="L106" s="20" t="n">
        <x:f>COUNTIFS('02_怪物与专属'!$G$5:$G$468,$G106,'02_怪物与专属'!$K$5:$K$468,"守关BOSS")</x:f>
        <x:v>0</x:v>
      </x:c>
      <x:c r="M106" s="20" t="n">
        <x:f>SUM(I106:L106)</x:f>
        <x:v>5</x:v>
      </x:c>
      <x:c r="N106" s="22" t="str">
        <x:v>已完成／来源已分配</x:v>
      </x:c>
      <x:c r="O106" s="20" t="str">
        <x:v>地图属性、尺寸和刷新数量不在本表修改</x:v>
      </x:c>
    </x:row>
    <x:row r="107" ht="24" customHeight="1">
      <x:c r="A107" s="20" t="str">
        <x:v>C08-MAP-016</x:v>
      </x:c>
      <x:c r="B107" s="20" t="str">
        <x:v>C08</x:v>
      </x:c>
      <x:c r="C107" s="20" t="str">
        <x:v>巨人山顶</x:v>
      </x:c>
      <x:c r="D107" s="20" t="n">
        <x:v>4</x:v>
      </x:c>
      <x:c r="E107" s="20" t="str">
        <x:v>巨人王庭</x:v>
      </x:c>
      <x:c r="F107" s="20" t="n">
        <x:v>3</x:v>
      </x:c>
      <x:c r="G107" s="20" t="str">
        <x:v>XX897</x:v>
      </x:c>
      <x:c r="H107" s="20" t="str">
        <x:v>巨人王座</x:v>
      </x:c>
      <x:c r="I107" s="20" t="n">
        <x:f>COUNTIFS('02_怪物与专属'!$G$5:$G$468,$G107,'02_怪物与专属'!$K$5:$K$468,"普通")</x:f>
        <x:v>2</x:v>
      </x:c>
      <x:c r="J107" s="20" t="n">
        <x:f>COUNTIFS('02_怪物与专属'!$G$5:$G$468,$G107,'02_怪物与专属'!$K$5:$K$468,"稀有")</x:f>
        <x:v>1</x:v>
      </x:c>
      <x:c r="K107" s="20" t="n">
        <x:f>COUNTIFS('02_怪物与专属'!$G$5:$G$468,$G107,'02_怪物与专属'!$K$5:$K$468,"地图BOSS")</x:f>
        <x:v>1</x:v>
      </x:c>
      <x:c r="L107" s="20" t="n">
        <x:f>COUNTIFS('02_怪物与专属'!$G$5:$G$468,$G107,'02_怪物与专属'!$K$5:$K$468,"守关BOSS")</x:f>
        <x:v>1</x:v>
      </x:c>
      <x:c r="M107" s="20" t="n">
        <x:f>SUM(I107:L107)</x:f>
        <x:v>5</x:v>
      </x:c>
      <x:c r="N107" s="22" t="str">
        <x:v>已完成／来源已分配</x:v>
      </x:c>
      <x:c r="O107" s="20" t="str">
        <x:v>地图属性、尺寸和刷新数量不在本表修改</x:v>
      </x:c>
    </x:row>
    <x:row r="108" ht="24" customHeight="1">
      <x:c r="A108" s="20" t="str">
        <x:v>C09-MAP-001</x:v>
      </x:c>
      <x:c r="B108" s="20" t="str">
        <x:v>C09</x:v>
      </x:c>
      <x:c r="C108" s="20" t="str">
        <x:v>亚坛高原</x:v>
      </x:c>
      <x:c r="D108" s="20" t="n">
        <x:v>1</x:v>
      </x:c>
      <x:c r="E108" s="20" t="str">
        <x:v>金叶古道</x:v>
      </x:c>
      <x:c r="F108" s="20" t="n">
        <x:v>1</x:v>
      </x:c>
      <x:c r="G108" s="20" t="str">
        <x:v>XX720</x:v>
      </x:c>
      <x:c r="H108" s="20" t="str">
        <x:v>金叶古道</x:v>
      </x:c>
      <x:c r="I108" s="20" t="n">
        <x:f>COUNTIFS('02_怪物与专属'!$G$5:$G$468,$G108,'02_怪物与专属'!$K$5:$K$468,"普通")</x:f>
        <x:v>2</x:v>
      </x:c>
      <x:c r="J108" s="20" t="n">
        <x:f>COUNTIFS('02_怪物与专属'!$G$5:$G$468,$G108,'02_怪物与专属'!$K$5:$K$468,"稀有")</x:f>
        <x:v>1</x:v>
      </x:c>
      <x:c r="K108" s="20" t="n">
        <x:f>COUNTIFS('02_怪物与专属'!$G$5:$G$468,$G108,'02_怪物与专属'!$K$5:$K$468,"地图BOSS")</x:f>
        <x:v>0</x:v>
      </x:c>
      <x:c r="L108" s="20" t="n">
        <x:f>COUNTIFS('02_怪物与专属'!$G$5:$G$468,$G108,'02_怪物与专属'!$K$5:$K$468,"守关BOSS")</x:f>
        <x:v>0</x:v>
      </x:c>
      <x:c r="M108" s="20" t="n">
        <x:f>SUM(I108:L108)</x:f>
        <x:v>3</x:v>
      </x:c>
      <x:c r="N108" s="22" t="str">
        <x:v>已完成／来源已分配</x:v>
      </x:c>
      <x:c r="O108" s="20" t="str">
        <x:v>地图属性、尺寸和刷新数量不在本表修改</x:v>
      </x:c>
    </x:row>
    <x:row r="109" ht="24" customHeight="1">
      <x:c r="A109" s="20" t="str">
        <x:v>C09-MAP-002</x:v>
      </x:c>
      <x:c r="B109" s="20" t="str">
        <x:v>C09</x:v>
      </x:c>
      <x:c r="C109" s="20" t="str">
        <x:v>亚坛高原</x:v>
      </x:c>
      <x:c r="D109" s="20" t="n">
        <x:v>1</x:v>
      </x:c>
      <x:c r="E109" s="20" t="str">
        <x:v>金叶古道</x:v>
      </x:c>
      <x:c r="F109" s="20" t="n">
        <x:v>2</x:v>
      </x:c>
      <x:c r="G109" s="20" t="str">
        <x:v>XX717</x:v>
      </x:c>
      <x:c r="H109" s="20" t="str">
        <x:v>秋风驿路</x:v>
      </x:c>
      <x:c r="I109" s="20" t="n">
        <x:f>COUNTIFS('02_怪物与专属'!$G$5:$G$468,$G109,'02_怪物与专属'!$K$5:$K$468,"普通")</x:f>
        <x:v>2</x:v>
      </x:c>
      <x:c r="J109" s="20" t="n">
        <x:f>COUNTIFS('02_怪物与专属'!$G$5:$G$468,$G109,'02_怪物与专属'!$K$5:$K$468,"稀有")</x:f>
        <x:v>1</x:v>
      </x:c>
      <x:c r="K109" s="20" t="n">
        <x:f>COUNTIFS('02_怪物与专属'!$G$5:$G$468,$G109,'02_怪物与专属'!$K$5:$K$468,"地图BOSS")</x:f>
        <x:v>0</x:v>
      </x:c>
      <x:c r="L109" s="20" t="n">
        <x:f>COUNTIFS('02_怪物与专属'!$G$5:$G$468,$G109,'02_怪物与专属'!$K$5:$K$468,"守关BOSS")</x:f>
        <x:v>0</x:v>
      </x:c>
      <x:c r="M109" s="20" t="n">
        <x:f>SUM(I109:L109)</x:f>
        <x:v>3</x:v>
      </x:c>
      <x:c r="N109" s="22" t="str">
        <x:v>已完成／来源已分配</x:v>
      </x:c>
      <x:c r="O109" s="20" t="str">
        <x:v>地图属性、尺寸和刷新数量不在本表修改</x:v>
      </x:c>
    </x:row>
    <x:row r="110" ht="24" customHeight="1">
      <x:c r="A110" s="20" t="str">
        <x:v>C09-MAP-003</x:v>
      </x:c>
      <x:c r="B110" s="20" t="str">
        <x:v>C09</x:v>
      </x:c>
      <x:c r="C110" s="20" t="str">
        <x:v>亚坛高原</x:v>
      </x:c>
      <x:c r="D110" s="20" t="n">
        <x:v>1</x:v>
      </x:c>
      <x:c r="E110" s="20" t="str">
        <x:v>金叶古道</x:v>
      </x:c>
      <x:c r="F110" s="20" t="n">
        <x:v>3</x:v>
      </x:c>
      <x:c r="G110" s="20" t="str">
        <x:v>XX718</x:v>
      </x:c>
      <x:c r="H110" s="20" t="str">
        <x:v>黄金陵园</x:v>
      </x:c>
      <x:c r="I110" s="20" t="n">
        <x:f>COUNTIFS('02_怪物与专属'!$G$5:$G$468,$G110,'02_怪物与专属'!$K$5:$K$468,"普通")</x:f>
        <x:v>1</x:v>
      </x:c>
      <x:c r="J110" s="20" t="n">
        <x:f>COUNTIFS('02_怪物与专属'!$G$5:$G$468,$G110,'02_怪物与专属'!$K$5:$K$468,"稀有")</x:f>
        <x:v>1</x:v>
      </x:c>
      <x:c r="K110" s="20" t="n">
        <x:f>COUNTIFS('02_怪物与专属'!$G$5:$G$468,$G110,'02_怪物与专属'!$K$5:$K$468,"地图BOSS")</x:f>
        <x:v>1</x:v>
      </x:c>
      <x:c r="L110" s="20" t="n">
        <x:f>COUNTIFS('02_怪物与专属'!$G$5:$G$468,$G110,'02_怪物与专属'!$K$5:$K$468,"守关BOSS")</x:f>
        <x:v>0</x:v>
      </x:c>
      <x:c r="M110" s="20" t="n">
        <x:f>SUM(I110:L110)</x:f>
        <x:v>3</x:v>
      </x:c>
      <x:c r="N110" s="22" t="str">
        <x:v>已完成／来源已分配</x:v>
      </x:c>
      <x:c r="O110" s="20" t="str">
        <x:v>地图属性、尺寸和刷新数量不在本表修改</x:v>
      </x:c>
    </x:row>
    <x:row r="111" ht="24" customHeight="1">
      <x:c r="A111" s="20" t="str">
        <x:v>C09-MAP-004</x:v>
      </x:c>
      <x:c r="B111" s="20" t="str">
        <x:v>C09</x:v>
      </x:c>
      <x:c r="C111" s="20" t="str">
        <x:v>亚坛高原</x:v>
      </x:c>
      <x:c r="D111" s="20" t="n">
        <x:v>1</x:v>
      </x:c>
      <x:c r="E111" s="20" t="str">
        <x:v>金叶古道</x:v>
      </x:c>
      <x:c r="F111" s="20" t="n">
        <x:v>4</x:v>
      </x:c>
      <x:c r="G111" s="20" t="str">
        <x:v>XX721</x:v>
      </x:c>
      <x:c r="H111" s="20" t="str">
        <x:v>古王祭坛</x:v>
      </x:c>
      <x:c r="I111" s="20" t="n">
        <x:f>COUNTIFS('02_怪物与专属'!$G$5:$G$468,$G111,'02_怪物与专属'!$K$5:$K$468,"普通")</x:f>
        <x:v>1</x:v>
      </x:c>
      <x:c r="J111" s="20" t="n">
        <x:f>COUNTIFS('02_怪物与专属'!$G$5:$G$468,$G111,'02_怪物与专属'!$K$5:$K$468,"稀有")</x:f>
        <x:v>1</x:v>
      </x:c>
      <x:c r="K111" s="20" t="n">
        <x:f>COUNTIFS('02_怪物与专属'!$G$5:$G$468,$G111,'02_怪物与专属'!$K$5:$K$468,"地图BOSS")</x:f>
        <x:v>1</x:v>
      </x:c>
      <x:c r="L111" s="20" t="n">
        <x:f>COUNTIFS('02_怪物与专属'!$G$5:$G$468,$G111,'02_怪物与专属'!$K$5:$K$468,"守关BOSS")</x:f>
        <x:v>0</x:v>
      </x:c>
      <x:c r="M111" s="20" t="n">
        <x:f>SUM(I111:L111)</x:f>
        <x:v>3</x:v>
      </x:c>
      <x:c r="N111" s="22" t="str">
        <x:v>已完成／来源已分配</x:v>
      </x:c>
      <x:c r="O111" s="20" t="str">
        <x:v>地图属性、尺寸和刷新数量不在本表修改</x:v>
      </x:c>
    </x:row>
    <x:row r="112" ht="24" customHeight="1">
      <x:c r="A112" s="20" t="str">
        <x:v>C09-MAP-005</x:v>
      </x:c>
      <x:c r="B112" s="20" t="str">
        <x:v>C09</x:v>
      </x:c>
      <x:c r="C112" s="20" t="str">
        <x:v>亚坛高原</x:v>
      </x:c>
      <x:c r="D112" s="20" t="n">
        <x:v>2</x:v>
      </x:c>
      <x:c r="E112" s="20" t="str">
        <x:v>高原矿脉</x:v>
      </x:c>
      <x:c r="F112" s="20" t="n">
        <x:v>1</x:v>
      </x:c>
      <x:c r="G112" s="20" t="str">
        <x:v>XX820</x:v>
      </x:c>
      <x:c r="H112" s="20" t="str">
        <x:v>高原矿脉</x:v>
      </x:c>
      <x:c r="I112" s="20" t="n">
        <x:f>COUNTIFS('02_怪物与专属'!$G$5:$G$468,$G112,'02_怪物与专属'!$K$5:$K$468,"普通")</x:f>
        <x:v>2</x:v>
      </x:c>
      <x:c r="J112" s="20" t="n">
        <x:f>COUNTIFS('02_怪物与专属'!$G$5:$G$468,$G112,'02_怪物与专属'!$K$5:$K$468,"稀有")</x:f>
        <x:v>0</x:v>
      </x:c>
      <x:c r="K112" s="20" t="n">
        <x:f>COUNTIFS('02_怪物与专属'!$G$5:$G$468,$G112,'02_怪物与专属'!$K$5:$K$468,"地图BOSS")</x:f>
        <x:v>0</x:v>
      </x:c>
      <x:c r="L112" s="20" t="n">
        <x:f>COUNTIFS('02_怪物与专属'!$G$5:$G$468,$G112,'02_怪物与专属'!$K$5:$K$468,"守关BOSS")</x:f>
        <x:v>0</x:v>
      </x:c>
      <x:c r="M112" s="20" t="n">
        <x:f>SUM(I112:L112)</x:f>
        <x:v>2</x:v>
      </x:c>
      <x:c r="N112" s="22" t="str">
        <x:v>已完成／来源已分配</x:v>
      </x:c>
      <x:c r="O112" s="20" t="str">
        <x:v>地图属性、尺寸和刷新数量不在本表修改</x:v>
      </x:c>
    </x:row>
    <x:row r="113" ht="24" customHeight="1">
      <x:c r="A113" s="20" t="str">
        <x:v>C09-MAP-006</x:v>
      </x:c>
      <x:c r="B113" s="20" t="str">
        <x:v>C09</x:v>
      </x:c>
      <x:c r="C113" s="20" t="str">
        <x:v>亚坛高原</x:v>
      </x:c>
      <x:c r="D113" s="20" t="n">
        <x:v>2</x:v>
      </x:c>
      <x:c r="E113" s="20" t="str">
        <x:v>高原矿脉</x:v>
      </x:c>
      <x:c r="F113" s="20" t="n">
        <x:v>2</x:v>
      </x:c>
      <x:c r="G113" s="20" t="str">
        <x:v>XX821</x:v>
      </x:c>
      <x:c r="H113" s="20" t="str">
        <x:v>黄金矿道</x:v>
      </x:c>
      <x:c r="I113" s="20" t="n">
        <x:f>COUNTIFS('02_怪物与专属'!$G$5:$G$468,$G113,'02_怪物与专属'!$K$5:$K$468,"普通")</x:f>
        <x:v>1</x:v>
      </x:c>
      <x:c r="J113" s="20" t="n">
        <x:f>COUNTIFS('02_怪物与专属'!$G$5:$G$468,$G113,'02_怪物与专属'!$K$5:$K$468,"稀有")</x:f>
        <x:v>1</x:v>
      </x:c>
      <x:c r="K113" s="20" t="n">
        <x:f>COUNTIFS('02_怪物与专属'!$G$5:$G$468,$G113,'02_怪物与专属'!$K$5:$K$468,"地图BOSS")</x:f>
        <x:v>0</x:v>
      </x:c>
      <x:c r="L113" s="20" t="n">
        <x:f>COUNTIFS('02_怪物与专属'!$G$5:$G$468,$G113,'02_怪物与专属'!$K$5:$K$468,"守关BOSS")</x:f>
        <x:v>0</x:v>
      </x:c>
      <x:c r="M113" s="20" t="n">
        <x:f>SUM(I113:L113)</x:f>
        <x:v>2</x:v>
      </x:c>
      <x:c r="N113" s="22" t="str">
        <x:v>已完成／来源已分配</x:v>
      </x:c>
      <x:c r="O113" s="20" t="str">
        <x:v>地图属性、尺寸和刷新数量不在本表修改</x:v>
      </x:c>
    </x:row>
    <x:row r="114" ht="24" customHeight="1">
      <x:c r="A114" s="20" t="str">
        <x:v>C09-MAP-007</x:v>
      </x:c>
      <x:c r="B114" s="20" t="str">
        <x:v>C09</x:v>
      </x:c>
      <x:c r="C114" s="20" t="str">
        <x:v>亚坛高原</x:v>
      </x:c>
      <x:c r="D114" s="20" t="n">
        <x:v>2</x:v>
      </x:c>
      <x:c r="E114" s="20" t="str">
        <x:v>高原矿脉</x:v>
      </x:c>
      <x:c r="F114" s="20" t="n">
        <x:v>3</x:v>
      </x:c>
      <x:c r="G114" s="20" t="str">
        <x:v>XX822</x:v>
      </x:c>
      <x:c r="H114" s="20" t="str">
        <x:v>旧矿工营地</x:v>
      </x:c>
      <x:c r="I114" s="20" t="n">
        <x:f>COUNTIFS('02_怪物与专属'!$G$5:$G$468,$G114,'02_怪物与专属'!$K$5:$K$468,"普通")</x:f>
        <x:v>1</x:v>
      </x:c>
      <x:c r="J114" s="20" t="n">
        <x:f>COUNTIFS('02_怪物与专属'!$G$5:$G$468,$G114,'02_怪物与专属'!$K$5:$K$468,"稀有")</x:f>
        <x:v>1</x:v>
      </x:c>
      <x:c r="K114" s="20" t="n">
        <x:f>COUNTIFS('02_怪物与专属'!$G$5:$G$468,$G114,'02_怪物与专属'!$K$5:$K$468,"地图BOSS")</x:f>
        <x:v>0</x:v>
      </x:c>
      <x:c r="L114" s="20" t="n">
        <x:f>COUNTIFS('02_怪物与专属'!$G$5:$G$468,$G114,'02_怪物与专属'!$K$5:$K$468,"守关BOSS")</x:f>
        <x:v>0</x:v>
      </x:c>
      <x:c r="M114" s="20" t="n">
        <x:f>SUM(I114:L114)</x:f>
        <x:v>2</x:v>
      </x:c>
      <x:c r="N114" s="22" t="str">
        <x:v>已完成／来源已分配</x:v>
      </x:c>
      <x:c r="O114" s="20" t="str">
        <x:v>地图属性、尺寸和刷新数量不在本表修改</x:v>
      </x:c>
    </x:row>
    <x:row r="115" ht="24" customHeight="1">
      <x:c r="A115" s="20" t="str">
        <x:v>C09-MAP-008</x:v>
      </x:c>
      <x:c r="B115" s="20" t="str">
        <x:v>C09</x:v>
      </x:c>
      <x:c r="C115" s="20" t="str">
        <x:v>亚坛高原</x:v>
      </x:c>
      <x:c r="D115" s="20" t="n">
        <x:v>2</x:v>
      </x:c>
      <x:c r="E115" s="20" t="str">
        <x:v>高原矿脉</x:v>
      </x:c>
      <x:c r="F115" s="20" t="n">
        <x:v>4</x:v>
      </x:c>
      <x:c r="G115" s="20" t="str">
        <x:v>XX823</x:v>
      </x:c>
      <x:c r="H115" s="20" t="str">
        <x:v>深层矿井</x:v>
      </x:c>
      <x:c r="I115" s="20" t="n">
        <x:f>COUNTIFS('02_怪物与专属'!$G$5:$G$468,$G115,'02_怪物与专属'!$K$5:$K$468,"普通")</x:f>
        <x:v>1</x:v>
      </x:c>
      <x:c r="J115" s="20" t="n">
        <x:f>COUNTIFS('02_怪物与专属'!$G$5:$G$468,$G115,'02_怪物与专属'!$K$5:$K$468,"稀有")</x:f>
        <x:v>1</x:v>
      </x:c>
      <x:c r="K115" s="20" t="n">
        <x:f>COUNTIFS('02_怪物与专属'!$G$5:$G$468,$G115,'02_怪物与专属'!$K$5:$K$468,"地图BOSS")</x:f>
        <x:v>1</x:v>
      </x:c>
      <x:c r="L115" s="20" t="n">
        <x:f>COUNTIFS('02_怪物与专属'!$G$5:$G$468,$G115,'02_怪物与专属'!$K$5:$K$468,"守关BOSS")</x:f>
        <x:v>0</x:v>
      </x:c>
      <x:c r="M115" s="20" t="n">
        <x:f>SUM(I115:L115)</x:f>
        <x:v>3</x:v>
      </x:c>
      <x:c r="N115" s="22" t="str">
        <x:v>已完成／来源已分配</x:v>
      </x:c>
      <x:c r="O115" s="20" t="str">
        <x:v>地图属性、尺寸和刷新数量不在本表修改</x:v>
      </x:c>
    </x:row>
    <x:row r="116" ht="24" customHeight="1">
      <x:c r="A116" s="20" t="str">
        <x:v>C09-MAP-009</x:v>
      </x:c>
      <x:c r="B116" s="20" t="str">
        <x:v>C09</x:v>
      </x:c>
      <x:c r="C116" s="20" t="str">
        <x:v>亚坛高原</x:v>
      </x:c>
      <x:c r="D116" s="20" t="n">
        <x:v>2</x:v>
      </x:c>
      <x:c r="E116" s="20" t="str">
        <x:v>高原矿脉</x:v>
      </x:c>
      <x:c r="F116" s="20" t="n">
        <x:v>5</x:v>
      </x:c>
      <x:c r="G116" s="20" t="str">
        <x:v>XX824</x:v>
      </x:c>
      <x:c r="H116" s="20" t="str">
        <x:v>矿脉核心</x:v>
      </x:c>
      <x:c r="I116" s="20" t="n">
        <x:f>COUNTIFS('02_怪物与专属'!$G$5:$G$468,$G116,'02_怪物与专属'!$K$5:$K$468,"普通")</x:f>
        <x:v>1</x:v>
      </x:c>
      <x:c r="J116" s="20" t="n">
        <x:f>COUNTIFS('02_怪物与专属'!$G$5:$G$468,$G116,'02_怪物与专属'!$K$5:$K$468,"稀有")</x:f>
        <x:v>1</x:v>
      </x:c>
      <x:c r="K116" s="20" t="n">
        <x:f>COUNTIFS('02_怪物与专属'!$G$5:$G$468,$G116,'02_怪物与专属'!$K$5:$K$468,"地图BOSS")</x:f>
        <x:v>1</x:v>
      </x:c>
      <x:c r="L116" s="20" t="n">
        <x:f>COUNTIFS('02_怪物与专属'!$G$5:$G$468,$G116,'02_怪物与专属'!$K$5:$K$468,"守关BOSS")</x:f>
        <x:v>0</x:v>
      </x:c>
      <x:c r="M116" s="20" t="n">
        <x:f>SUM(I116:L116)</x:f>
        <x:v>3</x:v>
      </x:c>
      <x:c r="N116" s="22" t="str">
        <x:v>已完成／来源已分配</x:v>
      </x:c>
      <x:c r="O116" s="20" t="str">
        <x:v>地图属性、尺寸和刷新数量不在本表修改</x:v>
      </x:c>
    </x:row>
    <x:row r="117" ht="24" customHeight="1">
      <x:c r="A117" s="20" t="str">
        <x:v>C09-MAP-010</x:v>
      </x:c>
      <x:c r="B117" s="20" t="str">
        <x:v>C09</x:v>
      </x:c>
      <x:c r="C117" s="20" t="str">
        <x:v>亚坛高原</x:v>
      </x:c>
      <x:c r="D117" s="20" t="n">
        <x:v>3</x:v>
      </x:c>
      <x:c r="E117" s="20" t="str">
        <x:v>古王陵园</x:v>
      </x:c>
      <x:c r="F117" s="20" t="n">
        <x:v>1</x:v>
      </x:c>
      <x:c r="G117" s="20" t="str">
        <x:v>XX837</x:v>
      </x:c>
      <x:c r="H117" s="20" t="str">
        <x:v>古王陵园</x:v>
      </x:c>
      <x:c r="I117" s="20" t="n">
        <x:f>COUNTIFS('02_怪物与专属'!$G$5:$G$468,$G117,'02_怪物与专属'!$K$5:$K$468,"普通")</x:f>
        <x:v>2</x:v>
      </x:c>
      <x:c r="J117" s="20" t="n">
        <x:f>COUNTIFS('02_怪物与专属'!$G$5:$G$468,$G117,'02_怪物与专属'!$K$5:$K$468,"稀有")</x:f>
        <x:v>1</x:v>
      </x:c>
      <x:c r="K117" s="20" t="n">
        <x:f>COUNTIFS('02_怪物与专属'!$G$5:$G$468,$G117,'02_怪物与专属'!$K$5:$K$468,"地图BOSS")</x:f>
        <x:v>0</x:v>
      </x:c>
      <x:c r="L117" s="20" t="n">
        <x:f>COUNTIFS('02_怪物与专属'!$G$5:$G$468,$G117,'02_怪物与专属'!$K$5:$K$468,"守关BOSS")</x:f>
        <x:v>0</x:v>
      </x:c>
      <x:c r="M117" s="20" t="n">
        <x:f>SUM(I117:L117)</x:f>
        <x:v>3</x:v>
      </x:c>
      <x:c r="N117" s="22" t="str">
        <x:v>已完成／来源已分配</x:v>
      </x:c>
      <x:c r="O117" s="20" t="str">
        <x:v>地图属性、尺寸和刷新数量不在本表修改</x:v>
      </x:c>
    </x:row>
    <x:row r="118" ht="24" customHeight="1">
      <x:c r="A118" s="20" t="str">
        <x:v>C09-MAP-011</x:v>
      </x:c>
      <x:c r="B118" s="20" t="str">
        <x:v>C09</x:v>
      </x:c>
      <x:c r="C118" s="20" t="str">
        <x:v>亚坛高原</x:v>
      </x:c>
      <x:c r="D118" s="20" t="n">
        <x:v>3</x:v>
      </x:c>
      <x:c r="E118" s="20" t="str">
        <x:v>古王陵园</x:v>
      </x:c>
      <x:c r="F118" s="20" t="n">
        <x:v>2</x:v>
      </x:c>
      <x:c r="G118" s="20" t="str">
        <x:v>XX836</x:v>
      </x:c>
      <x:c r="H118" s="20" t="str">
        <x:v>王陵甬道</x:v>
      </x:c>
      <x:c r="I118" s="20" t="n">
        <x:f>COUNTIFS('02_怪物与专属'!$G$5:$G$468,$G118,'02_怪物与专属'!$K$5:$K$468,"普通")</x:f>
        <x:v>2</x:v>
      </x:c>
      <x:c r="J118" s="20" t="n">
        <x:f>COUNTIFS('02_怪物与专属'!$G$5:$G$468,$G118,'02_怪物与专属'!$K$5:$K$468,"稀有")</x:f>
        <x:v>1</x:v>
      </x:c>
      <x:c r="K118" s="20" t="n">
        <x:f>COUNTIFS('02_怪物与专属'!$G$5:$G$468,$G118,'02_怪物与专属'!$K$5:$K$468,"地图BOSS")</x:f>
        <x:v>1</x:v>
      </x:c>
      <x:c r="L118" s="20" t="n">
        <x:f>COUNTIFS('02_怪物与专属'!$G$5:$G$468,$G118,'02_怪物与专属'!$K$5:$K$468,"守关BOSS")</x:f>
        <x:v>0</x:v>
      </x:c>
      <x:c r="M118" s="20" t="n">
        <x:f>SUM(I118:L118)</x:f>
        <x:v>4</x:v>
      </x:c>
      <x:c r="N118" s="22" t="str">
        <x:v>已完成／来源已分配</x:v>
      </x:c>
      <x:c r="O118" s="20" t="str">
        <x:v>地图属性、尺寸和刷新数量不在本表修改</x:v>
      </x:c>
    </x:row>
    <x:row r="119" ht="24" customHeight="1">
      <x:c r="A119" s="20" t="str">
        <x:v>C09-MAP-012</x:v>
      </x:c>
      <x:c r="B119" s="20" t="str">
        <x:v>C09</x:v>
      </x:c>
      <x:c r="C119" s="20" t="str">
        <x:v>亚坛高原</x:v>
      </x:c>
      <x:c r="D119" s="20" t="n">
        <x:v>3</x:v>
      </x:c>
      <x:c r="E119" s="20" t="str">
        <x:v>古王陵园</x:v>
      </x:c>
      <x:c r="F119" s="20" t="n">
        <x:v>3</x:v>
      </x:c>
      <x:c r="G119" s="20" t="str">
        <x:v>XX838</x:v>
      </x:c>
      <x:c r="H119" s="20" t="str">
        <x:v>古王墓室</x:v>
      </x:c>
      <x:c r="I119" s="20" t="n">
        <x:f>COUNTIFS('02_怪物与专属'!$G$5:$G$468,$G119,'02_怪物与专属'!$K$5:$K$468,"普通")</x:f>
        <x:v>2</x:v>
      </x:c>
      <x:c r="J119" s="20" t="n">
        <x:f>COUNTIFS('02_怪物与专属'!$G$5:$G$468,$G119,'02_怪物与专属'!$K$5:$K$468,"稀有")</x:f>
        <x:v>2</x:v>
      </x:c>
      <x:c r="K119" s="20" t="n">
        <x:f>COUNTIFS('02_怪物与专属'!$G$5:$G$468,$G119,'02_怪物与专属'!$K$5:$K$468,"地图BOSS")</x:f>
        <x:v>1</x:v>
      </x:c>
      <x:c r="L119" s="20" t="n">
        <x:f>COUNTIFS('02_怪物与专属'!$G$5:$G$468,$G119,'02_怪物与专属'!$K$5:$K$468,"守关BOSS")</x:f>
        <x:v>0</x:v>
      </x:c>
      <x:c r="M119" s="20" t="n">
        <x:f>SUM(I119:L119)</x:f>
        <x:v>5</x:v>
      </x:c>
      <x:c r="N119" s="22" t="str">
        <x:v>已完成／来源已分配</x:v>
      </x:c>
      <x:c r="O119" s="20" t="str">
        <x:v>地图属性、尺寸和刷新数量不在本表修改</x:v>
      </x:c>
    </x:row>
    <x:row r="120" ht="24" customHeight="1">
      <x:c r="A120" s="20" t="str">
        <x:v>C09-MAP-013</x:v>
      </x:c>
      <x:c r="B120" s="20" t="str">
        <x:v>C09</x:v>
      </x:c>
      <x:c r="C120" s="20" t="str">
        <x:v>亚坛高原</x:v>
      </x:c>
      <x:c r="D120" s="20" t="n">
        <x:v>4</x:v>
      </x:c>
      <x:c r="E120" s="20" t="str">
        <x:v>黄金圣堂</x:v>
      </x:c>
      <x:c r="F120" s="20" t="n">
        <x:v>1</x:v>
      </x:c>
      <x:c r="G120" s="20" t="str">
        <x:v>XX786</x:v>
      </x:c>
      <x:c r="H120" s="20" t="str">
        <x:v>黄金圣堂</x:v>
      </x:c>
      <x:c r="I120" s="20" t="n">
        <x:f>COUNTIFS('02_怪物与专属'!$G$5:$G$468,$G120,'02_怪物与专属'!$K$5:$K$468,"普通")</x:f>
        <x:v>2</x:v>
      </x:c>
      <x:c r="J120" s="20" t="n">
        <x:f>COUNTIFS('02_怪物与专属'!$G$5:$G$468,$G120,'02_怪物与专属'!$K$5:$K$468,"稀有")</x:f>
        <x:v>0</x:v>
      </x:c>
      <x:c r="K120" s="20" t="n">
        <x:f>COUNTIFS('02_怪物与专属'!$G$5:$G$468,$G120,'02_怪物与专属'!$K$5:$K$468,"地图BOSS")</x:f>
        <x:v>0</x:v>
      </x:c>
      <x:c r="L120" s="20" t="n">
        <x:f>COUNTIFS('02_怪物与专属'!$G$5:$G$468,$G120,'02_怪物与专属'!$K$5:$K$468,"守关BOSS")</x:f>
        <x:v>0</x:v>
      </x:c>
      <x:c r="M120" s="20" t="n">
        <x:f>SUM(I120:L120)</x:f>
        <x:v>2</x:v>
      </x:c>
      <x:c r="N120" s="22" t="str">
        <x:v>已完成／来源已分配</x:v>
      </x:c>
      <x:c r="O120" s="20" t="str">
        <x:v>地图属性、尺寸和刷新数量不在本表修改</x:v>
      </x:c>
    </x:row>
    <x:row r="121" ht="24" customHeight="1">
      <x:c r="A121" s="20" t="str">
        <x:v>C09-MAP-014</x:v>
      </x:c>
      <x:c r="B121" s="20" t="str">
        <x:v>C09</x:v>
      </x:c>
      <x:c r="C121" s="20" t="str">
        <x:v>亚坛高原</x:v>
      </x:c>
      <x:c r="D121" s="20" t="n">
        <x:v>4</x:v>
      </x:c>
      <x:c r="E121" s="20" t="str">
        <x:v>黄金圣堂</x:v>
      </x:c>
      <x:c r="F121" s="20" t="n">
        <x:v>2</x:v>
      </x:c>
      <x:c r="G121" s="20" t="str">
        <x:v>XX796</x:v>
      </x:c>
      <x:c r="H121" s="20" t="str">
        <x:v>圣堂前廊</x:v>
      </x:c>
      <x:c r="I121" s="20" t="n">
        <x:f>COUNTIFS('02_怪物与专属'!$G$5:$G$468,$G121,'02_怪物与专属'!$K$5:$K$468,"普通")</x:f>
        <x:v>1</x:v>
      </x:c>
      <x:c r="J121" s="20" t="n">
        <x:f>COUNTIFS('02_怪物与专属'!$G$5:$G$468,$G121,'02_怪物与专属'!$K$5:$K$468,"稀有")</x:f>
        <x:v>1</x:v>
      </x:c>
      <x:c r="K121" s="20" t="n">
        <x:f>COUNTIFS('02_怪物与专属'!$G$5:$G$468,$G121,'02_怪物与专属'!$K$5:$K$468,"地图BOSS")</x:f>
        <x:v>0</x:v>
      </x:c>
      <x:c r="L121" s="20" t="n">
        <x:f>COUNTIFS('02_怪物与专属'!$G$5:$G$468,$G121,'02_怪物与专属'!$K$5:$K$468,"守关BOSS")</x:f>
        <x:v>0</x:v>
      </x:c>
      <x:c r="M121" s="20" t="n">
        <x:f>SUM(I121:L121)</x:f>
        <x:v>2</x:v>
      </x:c>
      <x:c r="N121" s="22" t="str">
        <x:v>已完成／来源已分配</x:v>
      </x:c>
      <x:c r="O121" s="20" t="str">
        <x:v>地图属性、尺寸和刷新数量不在本表修改</x:v>
      </x:c>
    </x:row>
    <x:row r="122" ht="24" customHeight="1">
      <x:c r="A122" s="20" t="str">
        <x:v>C09-MAP-015</x:v>
      </x:c>
      <x:c r="B122" s="20" t="str">
        <x:v>C09</x:v>
      </x:c>
      <x:c r="C122" s="20" t="str">
        <x:v>亚坛高原</x:v>
      </x:c>
      <x:c r="D122" s="20" t="n">
        <x:v>4</x:v>
      </x:c>
      <x:c r="E122" s="20" t="str">
        <x:v>黄金圣堂</x:v>
      </x:c>
      <x:c r="F122" s="20" t="n">
        <x:v>3</x:v>
      </x:c>
      <x:c r="G122" s="20" t="str">
        <x:v>XX787</x:v>
      </x:c>
      <x:c r="H122" s="20" t="str">
        <x:v>古神祭厅</x:v>
      </x:c>
      <x:c r="I122" s="20" t="n">
        <x:f>COUNTIFS('02_怪物与专属'!$G$5:$G$468,$G122,'02_怪物与专属'!$K$5:$K$468,"普通")</x:f>
        <x:v>1</x:v>
      </x:c>
      <x:c r="J122" s="20" t="n">
        <x:f>COUNTIFS('02_怪物与专属'!$G$5:$G$468,$G122,'02_怪物与专属'!$K$5:$K$468,"稀有")</x:f>
        <x:v>1</x:v>
      </x:c>
      <x:c r="K122" s="20" t="n">
        <x:f>COUNTIFS('02_怪物与专属'!$G$5:$G$468,$G122,'02_怪物与专属'!$K$5:$K$468,"地图BOSS")</x:f>
        <x:v>0</x:v>
      </x:c>
      <x:c r="L122" s="20" t="n">
        <x:f>COUNTIFS('02_怪物与专属'!$G$5:$G$468,$G122,'02_怪物与专属'!$K$5:$K$468,"守关BOSS")</x:f>
        <x:v>0</x:v>
      </x:c>
      <x:c r="M122" s="20" t="n">
        <x:f>SUM(I122:L122)</x:f>
        <x:v>2</x:v>
      </x:c>
      <x:c r="N122" s="22" t="str">
        <x:v>已完成／来源已分配</x:v>
      </x:c>
      <x:c r="O122" s="20" t="str">
        <x:v>地图属性、尺寸和刷新数量不在本表修改</x:v>
      </x:c>
    </x:row>
    <x:row r="123" ht="24" customHeight="1">
      <x:c r="A123" s="20" t="str">
        <x:v>C09-MAP-016</x:v>
      </x:c>
      <x:c r="B123" s="20" t="str">
        <x:v>C09</x:v>
      </x:c>
      <x:c r="C123" s="20" t="str">
        <x:v>亚坛高原</x:v>
      </x:c>
      <x:c r="D123" s="20" t="n">
        <x:v>4</x:v>
      </x:c>
      <x:c r="E123" s="20" t="str">
        <x:v>黄金圣堂</x:v>
      </x:c>
      <x:c r="F123" s="20" t="n">
        <x:v>4</x:v>
      </x:c>
      <x:c r="G123" s="20" t="str">
        <x:v>XX795</x:v>
      </x:c>
      <x:c r="H123" s="20" t="str">
        <x:v>黄金内殿</x:v>
      </x:c>
      <x:c r="I123" s="20" t="n">
        <x:f>COUNTIFS('02_怪物与专属'!$G$5:$G$468,$G123,'02_怪物与专属'!$K$5:$K$468,"普通")</x:f>
        <x:v>1</x:v>
      </x:c>
      <x:c r="J123" s="20" t="n">
        <x:f>COUNTIFS('02_怪物与专属'!$G$5:$G$468,$G123,'02_怪物与专属'!$K$5:$K$468,"稀有")</x:f>
        <x:v>1</x:v>
      </x:c>
      <x:c r="K123" s="20" t="n">
        <x:f>COUNTIFS('02_怪物与专属'!$G$5:$G$468,$G123,'02_怪物与专属'!$K$5:$K$468,"地图BOSS")</x:f>
        <x:v>1</x:v>
      </x:c>
      <x:c r="L123" s="20" t="n">
        <x:f>COUNTIFS('02_怪物与专属'!$G$5:$G$468,$G123,'02_怪物与专属'!$K$5:$K$468,"守关BOSS")</x:f>
        <x:v>0</x:v>
      </x:c>
      <x:c r="M123" s="20" t="n">
        <x:f>SUM(I123:L123)</x:f>
        <x:v>3</x:v>
      </x:c>
      <x:c r="N123" s="22" t="str">
        <x:v>已完成／来源已分配</x:v>
      </x:c>
      <x:c r="O123" s="20" t="str">
        <x:v>地图属性、尺寸和刷新数量不在本表修改</x:v>
      </x:c>
    </x:row>
    <x:row r="124" ht="24" customHeight="1">
      <x:c r="A124" s="20" t="str">
        <x:v>C09-MAP-017</x:v>
      </x:c>
      <x:c r="B124" s="20" t="str">
        <x:v>C09</x:v>
      </x:c>
      <x:c r="C124" s="20" t="str">
        <x:v>亚坛高原</x:v>
      </x:c>
      <x:c r="D124" s="20" t="n">
        <x:v>4</x:v>
      </x:c>
      <x:c r="E124" s="20" t="str">
        <x:v>黄金圣堂</x:v>
      </x:c>
      <x:c r="F124" s="20" t="n">
        <x:v>5</x:v>
      </x:c>
      <x:c r="G124" s="20" t="str">
        <x:v>XX791</x:v>
      </x:c>
      <x:c r="H124" s="20" t="str">
        <x:v>高原圣坛</x:v>
      </x:c>
      <x:c r="I124" s="20" t="n">
        <x:f>COUNTIFS('02_怪物与专属'!$G$5:$G$468,$G124,'02_怪物与专属'!$K$5:$K$468,"普通")</x:f>
        <x:v>1</x:v>
      </x:c>
      <x:c r="J124" s="20" t="n">
        <x:f>COUNTIFS('02_怪物与专属'!$G$5:$G$468,$G124,'02_怪物与专属'!$K$5:$K$468,"稀有")</x:f>
        <x:v>1</x:v>
      </x:c>
      <x:c r="K124" s="20" t="n">
        <x:f>COUNTIFS('02_怪物与专属'!$G$5:$G$468,$G124,'02_怪物与专属'!$K$5:$K$468,"地图BOSS")</x:f>
        <x:v>1</x:v>
      </x:c>
      <x:c r="L124" s="20" t="n">
        <x:f>COUNTIFS('02_怪物与专属'!$G$5:$G$468,$G124,'02_怪物与专属'!$K$5:$K$468,"守关BOSS")</x:f>
        <x:v>0</x:v>
      </x:c>
      <x:c r="M124" s="20" t="n">
        <x:f>SUM(I124:L124)</x:f>
        <x:v>3</x:v>
      </x:c>
      <x:c r="N124" s="22" t="str">
        <x:v>已完成／来源已分配</x:v>
      </x:c>
      <x:c r="O124" s="20" t="str">
        <x:v>地图属性、尺寸和刷新数量不在本表修改</x:v>
      </x:c>
    </x:row>
    <x:row r="125" ht="24" customHeight="1">
      <x:c r="A125" s="20" t="str">
        <x:v>C09-MAP-018</x:v>
      </x:c>
      <x:c r="B125" s="20" t="str">
        <x:v>C09</x:v>
      </x:c>
      <x:c r="C125" s="20" t="str">
        <x:v>亚坛高原</x:v>
      </x:c>
      <x:c r="D125" s="20" t="n">
        <x:v>5</x:v>
      </x:c>
      <x:c r="E125" s="20" t="str">
        <x:v>王城前垒</x:v>
      </x:c>
      <x:c r="F125" s="20" t="n">
        <x:v>1</x:v>
      </x:c>
      <x:c r="G125" s="20" t="str">
        <x:v>XX690</x:v>
      </x:c>
      <x:c r="H125" s="20" t="str">
        <x:v>王城前垒</x:v>
      </x:c>
      <x:c r="I125" s="20" t="n">
        <x:f>COUNTIFS('02_怪物与专属'!$G$5:$G$468,$G125,'02_怪物与专属'!$K$5:$K$468,"普通")</x:f>
        <x:v>2</x:v>
      </x:c>
      <x:c r="J125" s="20" t="n">
        <x:f>COUNTIFS('02_怪物与专属'!$G$5:$G$468,$G125,'02_怪物与专属'!$K$5:$K$468,"稀有")</x:f>
        <x:v>0</x:v>
      </x:c>
      <x:c r="K125" s="20" t="n">
        <x:f>COUNTIFS('02_怪物与专属'!$G$5:$G$468,$G125,'02_怪物与专属'!$K$5:$K$468,"地图BOSS")</x:f>
        <x:v>0</x:v>
      </x:c>
      <x:c r="L125" s="20" t="n">
        <x:f>COUNTIFS('02_怪物与专属'!$G$5:$G$468,$G125,'02_怪物与专属'!$K$5:$K$468,"守关BOSS")</x:f>
        <x:v>0</x:v>
      </x:c>
      <x:c r="M125" s="20" t="n">
        <x:f>SUM(I125:L125)</x:f>
        <x:v>2</x:v>
      </x:c>
      <x:c r="N125" s="22" t="str">
        <x:v>已完成／来源已分配</x:v>
      </x:c>
      <x:c r="O125" s="20" t="str">
        <x:v>地图属性、尺寸和刷新数量不在本表修改</x:v>
      </x:c>
    </x:row>
    <x:row r="126" ht="24" customHeight="1">
      <x:c r="A126" s="20" t="str">
        <x:v>C09-MAP-019</x:v>
      </x:c>
      <x:c r="B126" s="20" t="str">
        <x:v>C09</x:v>
      </x:c>
      <x:c r="C126" s="20" t="str">
        <x:v>亚坛高原</x:v>
      </x:c>
      <x:c r="D126" s="20" t="n">
        <x:v>5</x:v>
      </x:c>
      <x:c r="E126" s="20" t="str">
        <x:v>王城前垒</x:v>
      </x:c>
      <x:c r="F126" s="20" t="n">
        <x:v>2</x:v>
      </x:c>
      <x:c r="G126" s="20" t="str">
        <x:v>XX691</x:v>
      </x:c>
      <x:c r="H126" s="20" t="str">
        <x:v>外垒甬道</x:v>
      </x:c>
      <x:c r="I126" s="20" t="n">
        <x:f>COUNTIFS('02_怪物与专属'!$G$5:$G$468,$G126,'02_怪物与专属'!$K$5:$K$468,"普通")</x:f>
        <x:v>1</x:v>
      </x:c>
      <x:c r="J126" s="20" t="n">
        <x:f>COUNTIFS('02_怪物与专属'!$G$5:$G$468,$G126,'02_怪物与专属'!$K$5:$K$468,"稀有")</x:f>
        <x:v>1</x:v>
      </x:c>
      <x:c r="K126" s="20" t="n">
        <x:f>COUNTIFS('02_怪物与专属'!$G$5:$G$468,$G126,'02_怪物与专属'!$K$5:$K$468,"地图BOSS")</x:f>
        <x:v>0</x:v>
      </x:c>
      <x:c r="L126" s="20" t="n">
        <x:f>COUNTIFS('02_怪物与专属'!$G$5:$G$468,$G126,'02_怪物与专属'!$K$5:$K$468,"守关BOSS")</x:f>
        <x:v>0</x:v>
      </x:c>
      <x:c r="M126" s="20" t="n">
        <x:f>SUM(I126:L126)</x:f>
        <x:v>2</x:v>
      </x:c>
      <x:c r="N126" s="22" t="str">
        <x:v>已完成／来源已分配</x:v>
      </x:c>
      <x:c r="O126" s="20" t="str">
        <x:v>地图属性、尺寸和刷新数量不在本表修改</x:v>
      </x:c>
    </x:row>
    <x:row r="127" ht="24" customHeight="1">
      <x:c r="A127" s="20" t="str">
        <x:v>C09-MAP-020</x:v>
      </x:c>
      <x:c r="B127" s="20" t="str">
        <x:v>C09</x:v>
      </x:c>
      <x:c r="C127" s="20" t="str">
        <x:v>亚坛高原</x:v>
      </x:c>
      <x:c r="D127" s="20" t="n">
        <x:v>5</x:v>
      </x:c>
      <x:c r="E127" s="20" t="str">
        <x:v>王城前垒</x:v>
      </x:c>
      <x:c r="F127" s="20" t="n">
        <x:v>3</x:v>
      </x:c>
      <x:c r="G127" s="20" t="str">
        <x:v>XX689</x:v>
      </x:c>
      <x:c r="H127" s="20" t="str">
        <x:v>驻军庭院</x:v>
      </x:c>
      <x:c r="I127" s="20" t="n">
        <x:f>COUNTIFS('02_怪物与专属'!$G$5:$G$468,$G127,'02_怪物与专属'!$K$5:$K$468,"普通")</x:f>
        <x:v>1</x:v>
      </x:c>
      <x:c r="J127" s="20" t="n">
        <x:f>COUNTIFS('02_怪物与专属'!$G$5:$G$468,$G127,'02_怪物与专属'!$K$5:$K$468,"稀有")</x:f>
        <x:v>1</x:v>
      </x:c>
      <x:c r="K127" s="20" t="n">
        <x:f>COUNTIFS('02_怪物与专属'!$G$5:$G$468,$G127,'02_怪物与专属'!$K$5:$K$468,"地图BOSS")</x:f>
        <x:v>0</x:v>
      </x:c>
      <x:c r="L127" s="20" t="n">
        <x:f>COUNTIFS('02_怪物与专属'!$G$5:$G$468,$G127,'02_怪物与专属'!$K$5:$K$468,"守关BOSS")</x:f>
        <x:v>0</x:v>
      </x:c>
      <x:c r="M127" s="20" t="n">
        <x:f>SUM(I127:L127)</x:f>
        <x:v>2</x:v>
      </x:c>
      <x:c r="N127" s="22" t="str">
        <x:v>已完成／来源已分配</x:v>
      </x:c>
      <x:c r="O127" s="20" t="str">
        <x:v>地图属性、尺寸和刷新数量不在本表修改</x:v>
      </x:c>
    </x:row>
    <x:row r="128" ht="24" customHeight="1">
      <x:c r="A128" s="20" t="str">
        <x:v>C09-MAP-021</x:v>
      </x:c>
      <x:c r="B128" s="20" t="str">
        <x:v>C09</x:v>
      </x:c>
      <x:c r="C128" s="20" t="str">
        <x:v>亚坛高原</x:v>
      </x:c>
      <x:c r="D128" s="20" t="n">
        <x:v>5</x:v>
      </x:c>
      <x:c r="E128" s="20" t="str">
        <x:v>王城前垒</x:v>
      </x:c>
      <x:c r="F128" s="20" t="n">
        <x:v>4</x:v>
      </x:c>
      <x:c r="G128" s="20" t="str">
        <x:v>XX688</x:v>
      </x:c>
      <x:c r="H128" s="20" t="str">
        <x:v>黄金壁垒</x:v>
      </x:c>
      <x:c r="I128" s="20" t="n">
        <x:f>COUNTIFS('02_怪物与专属'!$G$5:$G$468,$G128,'02_怪物与专属'!$K$5:$K$468,"普通")</x:f>
        <x:v>1</x:v>
      </x:c>
      <x:c r="J128" s="20" t="n">
        <x:f>COUNTIFS('02_怪物与专属'!$G$5:$G$468,$G128,'02_怪物与专属'!$K$5:$K$468,"稀有")</x:f>
        <x:v>1</x:v>
      </x:c>
      <x:c r="K128" s="20" t="n">
        <x:f>COUNTIFS('02_怪物与专属'!$G$5:$G$468,$G128,'02_怪物与专属'!$K$5:$K$468,"地图BOSS")</x:f>
        <x:v>1</x:v>
      </x:c>
      <x:c r="L128" s="20" t="n">
        <x:f>COUNTIFS('02_怪物与专属'!$G$5:$G$468,$G128,'02_怪物与专属'!$K$5:$K$468,"守关BOSS")</x:f>
        <x:v>0</x:v>
      </x:c>
      <x:c r="M128" s="20" t="n">
        <x:f>SUM(I128:L128)</x:f>
        <x:v>3</x:v>
      </x:c>
      <x:c r="N128" s="22" t="str">
        <x:v>已完成／来源已分配</x:v>
      </x:c>
      <x:c r="O128" s="20" t="str">
        <x:v>地图属性、尺寸和刷新数量不在本表修改</x:v>
      </x:c>
    </x:row>
    <x:row r="129" ht="24" customHeight="1">
      <x:c r="A129" s="20" t="str">
        <x:v>C09-MAP-022</x:v>
      </x:c>
      <x:c r="B129" s="20" t="str">
        <x:v>C09</x:v>
      </x:c>
      <x:c r="C129" s="20" t="str">
        <x:v>亚坛高原</x:v>
      </x:c>
      <x:c r="D129" s="20" t="n">
        <x:v>5</x:v>
      </x:c>
      <x:c r="E129" s="20" t="str">
        <x:v>王城前垒</x:v>
      </x:c>
      <x:c r="F129" s="20" t="n">
        <x:v>5</x:v>
      </x:c>
      <x:c r="G129" s="20" t="str">
        <x:v>XX639</x:v>
      </x:c>
      <x:c r="H129" s="20" t="str">
        <x:v>罗德尔关门</x:v>
      </x:c>
      <x:c r="I129" s="20" t="n">
        <x:f>COUNTIFS('02_怪物与专属'!$G$5:$G$468,$G129,'02_怪物与专属'!$K$5:$K$468,"普通")</x:f>
        <x:v>1</x:v>
      </x:c>
      <x:c r="J129" s="20" t="n">
        <x:f>COUNTIFS('02_怪物与专属'!$G$5:$G$468,$G129,'02_怪物与专属'!$K$5:$K$468,"稀有")</x:f>
        <x:v>1</x:v>
      </x:c>
      <x:c r="K129" s="20" t="n">
        <x:f>COUNTIFS('02_怪物与专属'!$G$5:$G$468,$G129,'02_怪物与专属'!$K$5:$K$468,"地图BOSS")</x:f>
        <x:v>1</x:v>
      </x:c>
      <x:c r="L129" s="20" t="n">
        <x:f>COUNTIFS('02_怪物与专属'!$G$5:$G$468,$G129,'02_怪物与专属'!$K$5:$K$468,"守关BOSS")</x:f>
        <x:v>1</x:v>
      </x:c>
      <x:c r="M129" s="20" t="n">
        <x:f>SUM(I129:L129)</x:f>
        <x:v>4</x:v>
      </x:c>
      <x:c r="N129" s="22" t="str">
        <x:v>已完成／来源已分配</x:v>
      </x:c>
      <x:c r="O129" s="20" t="str">
        <x:v>地图属性、尺寸和刷新数量不在本表修改</x:v>
      </x:c>
    </x:row>
    <x:row r="130" ht="24" customHeight="1">
      <x:c r="A130" s="20" t="str">
        <x:v>C10-MAP-001</x:v>
      </x:c>
      <x:c r="B130" s="20" t="str">
        <x:v>C10</x:v>
      </x:c>
      <x:c r="C130" s="20" t="str">
        <x:v>王城罗德尔</x:v>
      </x:c>
      <x:c r="D130" s="20" t="n">
        <x:v>1</x:v>
      </x:c>
      <x:c r="E130" s="20" t="str">
        <x:v>王城下城区</x:v>
      </x:c>
      <x:c r="F130" s="20" t="n">
        <x:v>1</x:v>
      </x:c>
      <x:c r="G130" s="20" t="str">
        <x:v>XX932</x:v>
      </x:c>
      <x:c r="H130" s="20" t="str">
        <x:v>王城下城区</x:v>
      </x:c>
      <x:c r="I130" s="20" t="n">
        <x:f>COUNTIFS('02_怪物与专属'!$G$5:$G$468,$G130,'02_怪物与专属'!$K$5:$K$468,"普通")</x:f>
        <x:v>2</x:v>
      </x:c>
      <x:c r="J130" s="20" t="n">
        <x:f>COUNTIFS('02_怪物与专属'!$G$5:$G$468,$G130,'02_怪物与专属'!$K$5:$K$468,"稀有")</x:f>
        <x:v>2</x:v>
      </x:c>
      <x:c r="K130" s="20" t="n">
        <x:f>COUNTIFS('02_怪物与专属'!$G$5:$G$468,$G130,'02_怪物与专属'!$K$5:$K$468,"地图BOSS")</x:f>
        <x:v>0</x:v>
      </x:c>
      <x:c r="L130" s="20" t="n">
        <x:f>COUNTIFS('02_怪物与专属'!$G$5:$G$468,$G130,'02_怪物与专属'!$K$5:$K$468,"守关BOSS")</x:f>
        <x:v>0</x:v>
      </x:c>
      <x:c r="M130" s="20" t="n">
        <x:f>SUM(I130:L130)</x:f>
        <x:v>4</x:v>
      </x:c>
      <x:c r="N130" s="22" t="str">
        <x:v>已完成／来源已分配</x:v>
      </x:c>
      <x:c r="O130" s="20" t="str">
        <x:v>地图属性、尺寸和刷新数量不在本表修改</x:v>
      </x:c>
    </x:row>
    <x:row r="131" ht="24" customHeight="1">
      <x:c r="A131" s="20" t="str">
        <x:v>C10-MAP-002</x:v>
      </x:c>
      <x:c r="B131" s="20" t="str">
        <x:v>C10</x:v>
      </x:c>
      <x:c r="C131" s="20" t="str">
        <x:v>王城罗德尔</x:v>
      </x:c>
      <x:c r="D131" s="20" t="n">
        <x:v>1</x:v>
      </x:c>
      <x:c r="E131" s="20" t="str">
        <x:v>王城下城区</x:v>
      </x:c>
      <x:c r="F131" s="20" t="n">
        <x:v>2</x:v>
      </x:c>
      <x:c r="G131" s="20" t="str">
        <x:v>XX933</x:v>
      </x:c>
      <x:c r="H131" s="20" t="str">
        <x:v>旧街暗巷</x:v>
      </x:c>
      <x:c r="I131" s="20" t="n">
        <x:f>COUNTIFS('02_怪物与专属'!$G$5:$G$468,$G131,'02_怪物与专属'!$K$5:$K$468,"普通")</x:f>
        <x:v>2</x:v>
      </x:c>
      <x:c r="J131" s="20" t="n">
        <x:f>COUNTIFS('02_怪物与专属'!$G$5:$G$468,$G131,'02_怪物与专属'!$K$5:$K$468,"稀有")</x:f>
        <x:v>1</x:v>
      </x:c>
      <x:c r="K131" s="20" t="n">
        <x:f>COUNTIFS('02_怪物与专属'!$G$5:$G$468,$G131,'02_怪物与专属'!$K$5:$K$468,"地图BOSS")</x:f>
        <x:v>1</x:v>
      </x:c>
      <x:c r="L131" s="20" t="n">
        <x:f>COUNTIFS('02_怪物与专属'!$G$5:$G$468,$G131,'02_怪物与专属'!$K$5:$K$468,"守关BOSS")</x:f>
        <x:v>0</x:v>
      </x:c>
      <x:c r="M131" s="20" t="n">
        <x:f>SUM(I131:L131)</x:f>
        <x:v>4</x:v>
      </x:c>
      <x:c r="N131" s="22" t="str">
        <x:v>已完成／来源已分配</x:v>
      </x:c>
      <x:c r="O131" s="20" t="str">
        <x:v>地图属性、尺寸和刷新数量不在本表修改</x:v>
      </x:c>
    </x:row>
    <x:row r="132" ht="24" customHeight="1">
      <x:c r="A132" s="20" t="str">
        <x:v>C10-MAP-003</x:v>
      </x:c>
      <x:c r="B132" s="20" t="str">
        <x:v>C10</x:v>
      </x:c>
      <x:c r="C132" s="20" t="str">
        <x:v>王城罗德尔</x:v>
      </x:c>
      <x:c r="D132" s="20" t="n">
        <x:v>1</x:v>
      </x:c>
      <x:c r="E132" s="20" t="str">
        <x:v>王城下城区</x:v>
      </x:c>
      <x:c r="F132" s="20" t="n">
        <x:v>3</x:v>
      </x:c>
      <x:c r="G132" s="20" t="str">
        <x:v>XX930</x:v>
      </x:c>
      <x:c r="H132" s="20" t="str">
        <x:v>地下闸门</x:v>
      </x:c>
      <x:c r="I132" s="20" t="n">
        <x:f>COUNTIFS('02_怪物与专属'!$G$5:$G$468,$G132,'02_怪物与专属'!$K$5:$K$468,"普通")</x:f>
        <x:v>2</x:v>
      </x:c>
      <x:c r="J132" s="20" t="n">
        <x:f>COUNTIFS('02_怪物与专属'!$G$5:$G$468,$G132,'02_怪物与专属'!$K$5:$K$468,"稀有")</x:f>
        <x:v>1</x:v>
      </x:c>
      <x:c r="K132" s="20" t="n">
        <x:f>COUNTIFS('02_怪物与专属'!$G$5:$G$468,$G132,'02_怪物与专属'!$K$5:$K$468,"地图BOSS")</x:f>
        <x:v>1</x:v>
      </x:c>
      <x:c r="L132" s="20" t="n">
        <x:f>COUNTIFS('02_怪物与专属'!$G$5:$G$468,$G132,'02_怪物与专属'!$K$5:$K$468,"守关BOSS")</x:f>
        <x:v>0</x:v>
      </x:c>
      <x:c r="M132" s="20" t="n">
        <x:f>SUM(I132:L132)</x:f>
        <x:v>4</x:v>
      </x:c>
      <x:c r="N132" s="22" t="str">
        <x:v>已完成／来源已分配</x:v>
      </x:c>
      <x:c r="O132" s="20" t="str">
        <x:v>地图属性、尺寸和刷新数量不在本表修改</x:v>
      </x:c>
    </x:row>
    <x:row r="133" ht="24" customHeight="1">
      <x:c r="A133" s="20" t="str">
        <x:v>C10-MAP-004</x:v>
      </x:c>
      <x:c r="B133" s="20" t="str">
        <x:v>C10</x:v>
      </x:c>
      <x:c r="C133" s="20" t="str">
        <x:v>王城罗德尔</x:v>
      </x:c>
      <x:c r="D133" s="20" t="n">
        <x:v>2</x:v>
      </x:c>
      <x:c r="E133" s="20" t="str">
        <x:v>黄金排水道</x:v>
      </x:c>
      <x:c r="F133" s="20" t="n">
        <x:v>1</x:v>
      </x:c>
      <x:c r="G133" s="20" t="str">
        <x:v>XX629</x:v>
      </x:c>
      <x:c r="H133" s="20" t="str">
        <x:v>黄金排水道</x:v>
      </x:c>
      <x:c r="I133" s="20" t="n">
        <x:f>COUNTIFS('02_怪物与专属'!$G$5:$G$468,$G133,'02_怪物与专属'!$K$5:$K$468,"普通")</x:f>
        <x:v>2</x:v>
      </x:c>
      <x:c r="J133" s="20" t="n">
        <x:f>COUNTIFS('02_怪物与专属'!$G$5:$G$468,$G133,'02_怪物与专属'!$K$5:$K$468,"稀有")</x:f>
        <x:v>1</x:v>
      </x:c>
      <x:c r="K133" s="20" t="n">
        <x:f>COUNTIFS('02_怪物与专属'!$G$5:$G$468,$G133,'02_怪物与专属'!$K$5:$K$468,"地图BOSS")</x:f>
        <x:v>0</x:v>
      </x:c>
      <x:c r="L133" s="20" t="n">
        <x:f>COUNTIFS('02_怪物与专属'!$G$5:$G$468,$G133,'02_怪物与专属'!$K$5:$K$468,"守关BOSS")</x:f>
        <x:v>0</x:v>
      </x:c>
      <x:c r="M133" s="20" t="n">
        <x:f>SUM(I133:L133)</x:f>
        <x:v>3</x:v>
      </x:c>
      <x:c r="N133" s="22" t="str">
        <x:v>已完成／来源已分配</x:v>
      </x:c>
      <x:c r="O133" s="20" t="str">
        <x:v>地图属性、尺寸和刷新数量不在本表修改</x:v>
      </x:c>
    </x:row>
    <x:row r="134" ht="24" customHeight="1">
      <x:c r="A134" s="20" t="str">
        <x:v>C10-MAP-005</x:v>
      </x:c>
      <x:c r="B134" s="20" t="str">
        <x:v>C10</x:v>
      </x:c>
      <x:c r="C134" s="20" t="str">
        <x:v>王城罗德尔</x:v>
      </x:c>
      <x:c r="D134" s="20" t="n">
        <x:v>2</x:v>
      </x:c>
      <x:c r="E134" s="20" t="str">
        <x:v>黄金排水道</x:v>
      </x:c>
      <x:c r="F134" s="20" t="n">
        <x:v>2</x:v>
      </x:c>
      <x:c r="G134" s="20" t="str">
        <x:v>XX631</x:v>
      </x:c>
      <x:c r="H134" s="20" t="str">
        <x:v>污水回廊</x:v>
      </x:c>
      <x:c r="I134" s="20" t="n">
        <x:f>COUNTIFS('02_怪物与专属'!$G$5:$G$468,$G134,'02_怪物与专属'!$K$5:$K$468,"普通")</x:f>
        <x:v>2</x:v>
      </x:c>
      <x:c r="J134" s="20" t="n">
        <x:f>COUNTIFS('02_怪物与专属'!$G$5:$G$468,$G134,'02_怪物与专属'!$K$5:$K$468,"稀有")</x:f>
        <x:v>2</x:v>
      </x:c>
      <x:c r="K134" s="20" t="n">
        <x:f>COUNTIFS('02_怪物与专属'!$G$5:$G$468,$G134,'02_怪物与专属'!$K$5:$K$468,"地图BOSS")</x:f>
        <x:v>1</x:v>
      </x:c>
      <x:c r="L134" s="20" t="n">
        <x:f>COUNTIFS('02_怪物与专属'!$G$5:$G$468,$G134,'02_怪物与专属'!$K$5:$K$468,"守关BOSS")</x:f>
        <x:v>0</x:v>
      </x:c>
      <x:c r="M134" s="20" t="n">
        <x:f>SUM(I134:L134)</x:f>
        <x:v>5</x:v>
      </x:c>
      <x:c r="N134" s="22" t="str">
        <x:v>已完成／来源已分配</x:v>
      </x:c>
      <x:c r="O134" s="20" t="str">
        <x:v>地图属性、尺寸和刷新数量不在本表修改</x:v>
      </x:c>
    </x:row>
    <x:row r="135" ht="24" customHeight="1">
      <x:c r="A135" s="20" t="str">
        <x:v>C10-MAP-006</x:v>
      </x:c>
      <x:c r="B135" s="20" t="str">
        <x:v>C10</x:v>
      </x:c>
      <x:c r="C135" s="20" t="str">
        <x:v>王城罗德尔</x:v>
      </x:c>
      <x:c r="D135" s="20" t="n">
        <x:v>2</x:v>
      </x:c>
      <x:c r="E135" s="20" t="str">
        <x:v>黄金排水道</x:v>
      </x:c>
      <x:c r="F135" s="20" t="n">
        <x:v>3</x:v>
      </x:c>
      <x:c r="G135" s="20" t="str">
        <x:v>XX624</x:v>
      </x:c>
      <x:c r="H135" s="20" t="str">
        <x:v>排水中枢</x:v>
      </x:c>
      <x:c r="I135" s="20" t="n">
        <x:f>COUNTIFS('02_怪物与专属'!$G$5:$G$468,$G135,'02_怪物与专属'!$K$5:$K$468,"普通")</x:f>
        <x:v>2</x:v>
      </x:c>
      <x:c r="J135" s="20" t="n">
        <x:f>COUNTIFS('02_怪物与专属'!$G$5:$G$468,$G135,'02_怪物与专属'!$K$5:$K$468,"稀有")</x:f>
        <x:v>1</x:v>
      </x:c>
      <x:c r="K135" s="20" t="n">
        <x:f>COUNTIFS('02_怪物与专属'!$G$5:$G$468,$G135,'02_怪物与专属'!$K$5:$K$468,"地图BOSS")</x:f>
        <x:v>1</x:v>
      </x:c>
      <x:c r="L135" s="20" t="n">
        <x:f>COUNTIFS('02_怪物与专属'!$G$5:$G$468,$G135,'02_怪物与专属'!$K$5:$K$468,"守关BOSS")</x:f>
        <x:v>0</x:v>
      </x:c>
      <x:c r="M135" s="20" t="n">
        <x:f>SUM(I135:L135)</x:f>
        <x:v>4</x:v>
      </x:c>
      <x:c r="N135" s="22" t="str">
        <x:v>已完成／来源已分配</x:v>
      </x:c>
      <x:c r="O135" s="20" t="str">
        <x:v>地图属性、尺寸和刷新数量不在本表修改</x:v>
      </x:c>
    </x:row>
    <x:row r="136" ht="24" customHeight="1">
      <x:c r="A136" s="20" t="str">
        <x:v>C10-MAP-007</x:v>
      </x:c>
      <x:c r="B136" s="20" t="str">
        <x:v>C10</x:v>
      </x:c>
      <x:c r="C136" s="20" t="str">
        <x:v>王城罗德尔</x:v>
      </x:c>
      <x:c r="D136" s="20" t="n">
        <x:v>3</x:v>
      </x:c>
      <x:c r="E136" s="20" t="str">
        <x:v>王城矿井</x:v>
      </x:c>
      <x:c r="F136" s="20" t="n">
        <x:v>1</x:v>
      </x:c>
      <x:c r="G136" s="20" t="str">
        <x:v>XX954</x:v>
      </x:c>
      <x:c r="H136" s="20" t="str">
        <x:v>王城矿井</x:v>
      </x:c>
      <x:c r="I136" s="20" t="n">
        <x:f>COUNTIFS('02_怪物与专属'!$G$5:$G$468,$G136,'02_怪物与专属'!$K$5:$K$468,"普通")</x:f>
        <x:v>2</x:v>
      </x:c>
      <x:c r="J136" s="20" t="n">
        <x:f>COUNTIFS('02_怪物与专属'!$G$5:$G$468,$G136,'02_怪物与专属'!$K$5:$K$468,"稀有")</x:f>
        <x:v>1</x:v>
      </x:c>
      <x:c r="K136" s="20" t="n">
        <x:f>COUNTIFS('02_怪物与专属'!$G$5:$G$468,$G136,'02_怪物与专属'!$K$5:$K$468,"地图BOSS")</x:f>
        <x:v>0</x:v>
      </x:c>
      <x:c r="L136" s="20" t="n">
        <x:f>COUNTIFS('02_怪物与专属'!$G$5:$G$468,$G136,'02_怪物与专属'!$K$5:$K$468,"守关BOSS")</x:f>
        <x:v>0</x:v>
      </x:c>
      <x:c r="M136" s="20" t="n">
        <x:f>SUM(I136:L136)</x:f>
        <x:v>3</x:v>
      </x:c>
      <x:c r="N136" s="22" t="str">
        <x:v>已完成／来源已分配</x:v>
      </x:c>
      <x:c r="O136" s="20" t="str">
        <x:v>地图属性、尺寸和刷新数量不在本表修改</x:v>
      </x:c>
    </x:row>
    <x:row r="137" ht="24" customHeight="1">
      <x:c r="A137" s="20" t="str">
        <x:v>C10-MAP-008</x:v>
      </x:c>
      <x:c r="B137" s="20" t="str">
        <x:v>C10</x:v>
      </x:c>
      <x:c r="C137" s="20" t="str">
        <x:v>王城罗德尔</x:v>
      </x:c>
      <x:c r="D137" s="20" t="n">
        <x:v>3</x:v>
      </x:c>
      <x:c r="E137" s="20" t="str">
        <x:v>王城矿井</x:v>
      </x:c>
      <x:c r="F137" s="20" t="n">
        <x:v>2</x:v>
      </x:c>
      <x:c r="G137" s="20" t="str">
        <x:v>XX955</x:v>
      </x:c>
      <x:c r="H137" s="20" t="str">
        <x:v>废弃矿道</x:v>
      </x:c>
      <x:c r="I137" s="20" t="n">
        <x:f>COUNTIFS('02_怪物与专属'!$G$5:$G$468,$G137,'02_怪物与专属'!$K$5:$K$468,"普通")</x:f>
        <x:v>1</x:v>
      </x:c>
      <x:c r="J137" s="20" t="n">
        <x:f>COUNTIFS('02_怪物与专属'!$G$5:$G$468,$G137,'02_怪物与专属'!$K$5:$K$468,"稀有")</x:f>
        <x:v>0</x:v>
      </x:c>
      <x:c r="K137" s="20" t="n">
        <x:f>COUNTIFS('02_怪物与专属'!$G$5:$G$468,$G137,'02_怪物与专属'!$K$5:$K$468,"地图BOSS")</x:f>
        <x:v>0</x:v>
      </x:c>
      <x:c r="L137" s="20" t="n">
        <x:f>COUNTIFS('02_怪物与专属'!$G$5:$G$468,$G137,'02_怪物与专属'!$K$5:$K$468,"守关BOSS")</x:f>
        <x:v>0</x:v>
      </x:c>
      <x:c r="M137" s="20" t="n">
        <x:f>SUM(I137:L137)</x:f>
        <x:v>1</x:v>
      </x:c>
      <x:c r="N137" s="22" t="str">
        <x:v>已完成／来源已分配</x:v>
      </x:c>
      <x:c r="O137" s="20" t="str">
        <x:v>地图属性、尺寸和刷新数量不在本表修改</x:v>
      </x:c>
    </x:row>
    <x:row r="138" ht="24" customHeight="1">
      <x:c r="A138" s="20" t="str">
        <x:v>C10-MAP-009</x:v>
      </x:c>
      <x:c r="B138" s="20" t="str">
        <x:v>C10</x:v>
      </x:c>
      <x:c r="C138" s="20" t="str">
        <x:v>王城罗德尔</x:v>
      </x:c>
      <x:c r="D138" s="20" t="n">
        <x:v>3</x:v>
      </x:c>
      <x:c r="E138" s="20" t="str">
        <x:v>王城矿井</x:v>
      </x:c>
      <x:c r="F138" s="20" t="n">
        <x:v>3</x:v>
      </x:c>
      <x:c r="G138" s="20" t="str">
        <x:v>XX953</x:v>
      </x:c>
      <x:c r="H138" s="20" t="str">
        <x:v>地底工坊</x:v>
      </x:c>
      <x:c r="I138" s="20" t="n">
        <x:f>COUNTIFS('02_怪物与专属'!$G$5:$G$468,$G138,'02_怪物与专属'!$K$5:$K$468,"普通")</x:f>
        <x:v>1</x:v>
      </x:c>
      <x:c r="J138" s="20" t="n">
        <x:f>COUNTIFS('02_怪物与专属'!$G$5:$G$468,$G138,'02_怪物与专属'!$K$5:$K$468,"稀有")</x:f>
        <x:v>1</x:v>
      </x:c>
      <x:c r="K138" s="20" t="n">
        <x:f>COUNTIFS('02_怪物与专属'!$G$5:$G$468,$G138,'02_怪物与专属'!$K$5:$K$468,"地图BOSS")</x:f>
        <x:v>0</x:v>
      </x:c>
      <x:c r="L138" s="20" t="n">
        <x:f>COUNTIFS('02_怪物与专属'!$G$5:$G$468,$G138,'02_怪物与专属'!$K$5:$K$468,"守关BOSS")</x:f>
        <x:v>0</x:v>
      </x:c>
      <x:c r="M138" s="20" t="n">
        <x:f>SUM(I138:L138)</x:f>
        <x:v>2</x:v>
      </x:c>
      <x:c r="N138" s="22" t="str">
        <x:v>已完成／来源已分配</x:v>
      </x:c>
      <x:c r="O138" s="20" t="str">
        <x:v>地图属性、尺寸和刷新数量不在本表修改</x:v>
      </x:c>
    </x:row>
    <x:row r="139" ht="24" customHeight="1">
      <x:c r="A139" s="20" t="str">
        <x:v>C10-MAP-010</x:v>
      </x:c>
      <x:c r="B139" s="20" t="str">
        <x:v>C10</x:v>
      </x:c>
      <x:c r="C139" s="20" t="str">
        <x:v>王城罗德尔</x:v>
      </x:c>
      <x:c r="D139" s="20" t="n">
        <x:v>3</x:v>
      </x:c>
      <x:c r="E139" s="20" t="str">
        <x:v>王城矿井</x:v>
      </x:c>
      <x:c r="F139" s="20" t="n">
        <x:v>4</x:v>
      </x:c>
      <x:c r="G139" s="20" t="str">
        <x:v>XX957</x:v>
      </x:c>
      <x:c r="H139" s="20" t="str">
        <x:v>深层采掘区</x:v>
      </x:c>
      <x:c r="I139" s="20" t="n">
        <x:f>COUNTIFS('02_怪物与专属'!$G$5:$G$468,$G139,'02_怪物与专属'!$K$5:$K$468,"普通")</x:f>
        <x:v>1</x:v>
      </x:c>
      <x:c r="J139" s="20" t="n">
        <x:f>COUNTIFS('02_怪物与专属'!$G$5:$G$468,$G139,'02_怪物与专属'!$K$5:$K$468,"稀有")</x:f>
        <x:v>1</x:v>
      </x:c>
      <x:c r="K139" s="20" t="n">
        <x:f>COUNTIFS('02_怪物与专属'!$G$5:$G$468,$G139,'02_怪物与专属'!$K$5:$K$468,"地图BOSS")</x:f>
        <x:v>1</x:v>
      </x:c>
      <x:c r="L139" s="20" t="n">
        <x:f>COUNTIFS('02_怪物与专属'!$G$5:$G$468,$G139,'02_怪物与专属'!$K$5:$K$468,"守关BOSS")</x:f>
        <x:v>0</x:v>
      </x:c>
      <x:c r="M139" s="20" t="n">
        <x:f>SUM(I139:L139)</x:f>
        <x:v>3</x:v>
      </x:c>
      <x:c r="N139" s="22" t="str">
        <x:v>已完成／来源已分配</x:v>
      </x:c>
      <x:c r="O139" s="20" t="str">
        <x:v>地图属性、尺寸和刷新数量不在本表修改</x:v>
      </x:c>
    </x:row>
    <x:row r="140" ht="24" customHeight="1">
      <x:c r="A140" s="20" t="str">
        <x:v>C10-MAP-011</x:v>
      </x:c>
      <x:c r="B140" s="20" t="str">
        <x:v>C10</x:v>
      </x:c>
      <x:c r="C140" s="20" t="str">
        <x:v>王城罗德尔</x:v>
      </x:c>
      <x:c r="D140" s="20" t="n">
        <x:v>3</x:v>
      </x:c>
      <x:c r="E140" s="20" t="str">
        <x:v>王城矿井</x:v>
      </x:c>
      <x:c r="F140" s="20" t="n">
        <x:v>5</x:v>
      </x:c>
      <x:c r="G140" s="20" t="str">
        <x:v>XX956</x:v>
      </x:c>
      <x:c r="H140" s="20" t="str">
        <x:v>王城矿脉</x:v>
      </x:c>
      <x:c r="I140" s="20" t="n">
        <x:f>COUNTIFS('02_怪物与专属'!$G$5:$G$468,$G140,'02_怪物与专属'!$K$5:$K$468,"普通")</x:f>
        <x:v>1</x:v>
      </x:c>
      <x:c r="J140" s="20" t="n">
        <x:f>COUNTIFS('02_怪物与专属'!$G$5:$G$468,$G140,'02_怪物与专属'!$K$5:$K$468,"稀有")</x:f>
        <x:v>1</x:v>
      </x:c>
      <x:c r="K140" s="20" t="n">
        <x:f>COUNTIFS('02_怪物与专属'!$G$5:$G$468,$G140,'02_怪物与专属'!$K$5:$K$468,"地图BOSS")</x:f>
        <x:v>1</x:v>
      </x:c>
      <x:c r="L140" s="20" t="n">
        <x:f>COUNTIFS('02_怪物与专属'!$G$5:$G$468,$G140,'02_怪物与专属'!$K$5:$K$468,"守关BOSS")</x:f>
        <x:v>0</x:v>
      </x:c>
      <x:c r="M140" s="20" t="n">
        <x:f>SUM(I140:L140)</x:f>
        <x:v>3</x:v>
      </x:c>
      <x:c r="N140" s="22" t="str">
        <x:v>已完成／来源已分配</x:v>
      </x:c>
      <x:c r="O140" s="20" t="str">
        <x:v>地图属性、尺寸和刷新数量不在本表修改</x:v>
      </x:c>
    </x:row>
    <x:row r="141" ht="24" customHeight="1">
      <x:c r="A141" s="20" t="str">
        <x:v>C10-MAP-012</x:v>
      </x:c>
      <x:c r="B141" s="20" t="str">
        <x:v>C10</x:v>
      </x:c>
      <x:c r="C141" s="20" t="str">
        <x:v>王城罗德尔</x:v>
      </x:c>
      <x:c r="D141" s="20" t="n">
        <x:v>4</x:v>
      </x:c>
      <x:c r="E141" s="20" t="str">
        <x:v>王城地穴</x:v>
      </x:c>
      <x:c r="F141" s="20" t="n">
        <x:v>1</x:v>
      </x:c>
      <x:c r="G141" s="20" t="str">
        <x:v>XX707</x:v>
      </x:c>
      <x:c r="H141" s="20" t="str">
        <x:v>王城地穴</x:v>
      </x:c>
      <x:c r="I141" s="20" t="n">
        <x:f>COUNTIFS('02_怪物与专属'!$G$5:$G$468,$G141,'02_怪物与专属'!$K$5:$K$468,"普通")</x:f>
        <x:v>2</x:v>
      </x:c>
      <x:c r="J141" s="20" t="n">
        <x:f>COUNTIFS('02_怪物与专属'!$G$5:$G$468,$G141,'02_怪物与专属'!$K$5:$K$468,"稀有")</x:f>
        <x:v>1</x:v>
      </x:c>
      <x:c r="K141" s="20" t="n">
        <x:f>COUNTIFS('02_怪物与专属'!$G$5:$G$468,$G141,'02_怪物与专属'!$K$5:$K$468,"地图BOSS")</x:f>
        <x:v>0</x:v>
      </x:c>
      <x:c r="L141" s="20" t="n">
        <x:f>COUNTIFS('02_怪物与专属'!$G$5:$G$468,$G141,'02_怪物与专属'!$K$5:$K$468,"守关BOSS")</x:f>
        <x:v>0</x:v>
      </x:c>
      <x:c r="M141" s="20" t="n">
        <x:f>SUM(I141:L141)</x:f>
        <x:v>3</x:v>
      </x:c>
      <x:c r="N141" s="22" t="str">
        <x:v>已完成／来源已分配</x:v>
      </x:c>
      <x:c r="O141" s="20" t="str">
        <x:v>地图属性、尺寸和刷新数量不在本表修改</x:v>
      </x:c>
    </x:row>
    <x:row r="142" ht="24" customHeight="1">
      <x:c r="A142" s="20" t="str">
        <x:v>C10-MAP-013</x:v>
      </x:c>
      <x:c r="B142" s="20" t="str">
        <x:v>C10</x:v>
      </x:c>
      <x:c r="C142" s="20" t="str">
        <x:v>王城罗德尔</x:v>
      </x:c>
      <x:c r="D142" s="20" t="n">
        <x:v>4</x:v>
      </x:c>
      <x:c r="E142" s="20" t="str">
        <x:v>王城地穴</x:v>
      </x:c>
      <x:c r="F142" s="20" t="n">
        <x:v>2</x:v>
      </x:c>
      <x:c r="G142" s="20" t="str">
        <x:v>XX708</x:v>
      </x:c>
      <x:c r="H142" s="20" t="str">
        <x:v>墓王甬道</x:v>
      </x:c>
      <x:c r="I142" s="20" t="n">
        <x:f>COUNTIFS('02_怪物与专属'!$G$5:$G$468,$G142,'02_怪物与专属'!$K$5:$K$468,"普通")</x:f>
        <x:v>2</x:v>
      </x:c>
      <x:c r="J142" s="20" t="n">
        <x:f>COUNTIFS('02_怪物与专属'!$G$5:$G$468,$G142,'02_怪物与专属'!$K$5:$K$468,"稀有")</x:f>
        <x:v>2</x:v>
      </x:c>
      <x:c r="K142" s="20" t="n">
        <x:f>COUNTIFS('02_怪物与专属'!$G$5:$G$468,$G142,'02_怪物与专属'!$K$5:$K$468,"地图BOSS")</x:f>
        <x:v>1</x:v>
      </x:c>
      <x:c r="L142" s="20" t="n">
        <x:f>COUNTIFS('02_怪物与专属'!$G$5:$G$468,$G142,'02_怪物与专属'!$K$5:$K$468,"守关BOSS")</x:f>
        <x:v>0</x:v>
      </x:c>
      <x:c r="M142" s="20" t="n">
        <x:f>SUM(I142:L142)</x:f>
        <x:v>5</x:v>
      </x:c>
      <x:c r="N142" s="22" t="str">
        <x:v>已完成／来源已分配</x:v>
      </x:c>
      <x:c r="O142" s="20" t="str">
        <x:v>地图属性、尺寸和刷新数量不在本表修改</x:v>
      </x:c>
    </x:row>
    <x:row r="143" ht="24" customHeight="1">
      <x:c r="A143" s="20" t="str">
        <x:v>C10-MAP-014</x:v>
      </x:c>
      <x:c r="B143" s="20" t="str">
        <x:v>C10</x:v>
      </x:c>
      <x:c r="C143" s="20" t="str">
        <x:v>王城罗德尔</x:v>
      </x:c>
      <x:c r="D143" s="20" t="n">
        <x:v>4</x:v>
      </x:c>
      <x:c r="E143" s="20" t="str">
        <x:v>王城地穴</x:v>
      </x:c>
      <x:c r="F143" s="20" t="n">
        <x:v>3</x:v>
      </x:c>
      <x:c r="G143" s="20" t="str">
        <x:v>XX704</x:v>
      </x:c>
      <x:c r="H143" s="20" t="str">
        <x:v>地穴寝室</x:v>
      </x:c>
      <x:c r="I143" s="20" t="n">
        <x:f>COUNTIFS('02_怪物与专属'!$G$5:$G$468,$G143,'02_怪物与专属'!$K$5:$K$468,"普通")</x:f>
        <x:v>2</x:v>
      </x:c>
      <x:c r="J143" s="20" t="n">
        <x:f>COUNTIFS('02_怪物与专属'!$G$5:$G$468,$G143,'02_怪物与专属'!$K$5:$K$468,"稀有")</x:f>
        <x:v>1</x:v>
      </x:c>
      <x:c r="K143" s="20" t="n">
        <x:f>COUNTIFS('02_怪物与专属'!$G$5:$G$468,$G143,'02_怪物与专属'!$K$5:$K$468,"地图BOSS")</x:f>
        <x:v>1</x:v>
      </x:c>
      <x:c r="L143" s="20" t="n">
        <x:f>COUNTIFS('02_怪物与专属'!$G$5:$G$468,$G143,'02_怪物与专属'!$K$5:$K$468,"守关BOSS")</x:f>
        <x:v>0</x:v>
      </x:c>
      <x:c r="M143" s="20" t="n">
        <x:f>SUM(I143:L143)</x:f>
        <x:v>4</x:v>
      </x:c>
      <x:c r="N143" s="22" t="str">
        <x:v>已完成／来源已分配</x:v>
      </x:c>
      <x:c r="O143" s="20" t="str">
        <x:v>地图属性、尺寸和刷新数量不在本表修改</x:v>
      </x:c>
    </x:row>
    <x:row r="144" ht="24" customHeight="1">
      <x:c r="A144" s="20" t="str">
        <x:v>C10-MAP-015</x:v>
      </x:c>
      <x:c r="B144" s="20" t="str">
        <x:v>C10</x:v>
      </x:c>
      <x:c r="C144" s="20" t="str">
        <x:v>王城罗德尔</x:v>
      </x:c>
      <x:c r="D144" s="20" t="n">
        <x:v>5</x:v>
      </x:c>
      <x:c r="E144" s="20" t="str">
        <x:v>黄金王宫</x:v>
      </x:c>
      <x:c r="F144" s="20" t="n">
        <x:v>1</x:v>
      </x:c>
      <x:c r="G144" s="20" t="str">
        <x:v>XX371</x:v>
      </x:c>
      <x:c r="H144" s="20" t="str">
        <x:v>黄金王宫外庭</x:v>
      </x:c>
      <x:c r="I144" s="20" t="n">
        <x:f>COUNTIFS('02_怪物与专属'!$G$5:$G$468,$G144,'02_怪物与专属'!$K$5:$K$468,"普通")</x:f>
        <x:v>2</x:v>
      </x:c>
      <x:c r="J144" s="20" t="n">
        <x:f>COUNTIFS('02_怪物与专属'!$G$5:$G$468,$G144,'02_怪物与专属'!$K$5:$K$468,"稀有")</x:f>
        <x:v>1</x:v>
      </x:c>
      <x:c r="K144" s="20" t="n">
        <x:f>COUNTIFS('02_怪物与专属'!$G$5:$G$468,$G144,'02_怪物与专属'!$K$5:$K$468,"地图BOSS")</x:f>
        <x:v>0</x:v>
      </x:c>
      <x:c r="L144" s="20" t="n">
        <x:f>COUNTIFS('02_怪物与专属'!$G$5:$G$468,$G144,'02_怪物与专属'!$K$5:$K$468,"守关BOSS")</x:f>
        <x:v>0</x:v>
      </x:c>
      <x:c r="M144" s="20" t="n">
        <x:f>SUM(I144:L144)</x:f>
        <x:v>3</x:v>
      </x:c>
      <x:c r="N144" s="22" t="str">
        <x:v>已完成／来源已分配</x:v>
      </x:c>
      <x:c r="O144" s="20" t="str">
        <x:v>地图属性、尺寸和刷新数量不在本表修改</x:v>
      </x:c>
    </x:row>
    <x:row r="145" ht="24" customHeight="1">
      <x:c r="A145" s="20" t="str">
        <x:v>C10-MAP-016</x:v>
      </x:c>
      <x:c r="B145" s="20" t="str">
        <x:v>C10</x:v>
      </x:c>
      <x:c r="C145" s="20" t="str">
        <x:v>王城罗德尔</x:v>
      </x:c>
      <x:c r="D145" s="20" t="n">
        <x:v>5</x:v>
      </x:c>
      <x:c r="E145" s="20" t="str">
        <x:v>黄金王宫</x:v>
      </x:c>
      <x:c r="F145" s="20" t="n">
        <x:v>2</x:v>
      </x:c>
      <x:c r="G145" s="20" t="str">
        <x:v>XX372</x:v>
      </x:c>
      <x:c r="H145" s="20" t="str">
        <x:v>王宫内庭</x:v>
      </x:c>
      <x:c r="I145" s="20" t="n">
        <x:f>COUNTIFS('02_怪物与专属'!$G$5:$G$468,$G145,'02_怪物与专属'!$K$5:$K$468,"普通")</x:f>
        <x:v>1</x:v>
      </x:c>
      <x:c r="J145" s="20" t="n">
        <x:f>COUNTIFS('02_怪物与专属'!$G$5:$G$468,$G145,'02_怪物与专属'!$K$5:$K$468,"稀有")</x:f>
        <x:v>1</x:v>
      </x:c>
      <x:c r="K145" s="20" t="n">
        <x:f>COUNTIFS('02_怪物与专属'!$G$5:$G$468,$G145,'02_怪物与专属'!$K$5:$K$468,"地图BOSS")</x:f>
        <x:v>0</x:v>
      </x:c>
      <x:c r="L145" s="20" t="n">
        <x:f>COUNTIFS('02_怪物与专属'!$G$5:$G$468,$G145,'02_怪物与专属'!$K$5:$K$468,"守关BOSS")</x:f>
        <x:v>0</x:v>
      </x:c>
      <x:c r="M145" s="20" t="n">
        <x:f>SUM(I145:L145)</x:f>
        <x:v>2</x:v>
      </x:c>
      <x:c r="N145" s="22" t="str">
        <x:v>已完成／来源已分配</x:v>
      </x:c>
      <x:c r="O145" s="20" t="str">
        <x:v>地图属性、尺寸和刷新数量不在本表修改</x:v>
      </x:c>
    </x:row>
    <x:row r="146" ht="24" customHeight="1">
      <x:c r="A146" s="20" t="str">
        <x:v>C10-MAP-017</x:v>
      </x:c>
      <x:c r="B146" s="20" t="str">
        <x:v>C10</x:v>
      </x:c>
      <x:c r="C146" s="20" t="str">
        <x:v>王城罗德尔</x:v>
      </x:c>
      <x:c r="D146" s="20" t="n">
        <x:v>5</x:v>
      </x:c>
      <x:c r="E146" s="20" t="str">
        <x:v>黄金王宫</x:v>
      </x:c>
      <x:c r="F146" s="20" t="n">
        <x:v>3</x:v>
      </x:c>
      <x:c r="G146" s="20" t="str">
        <x:v>XX463</x:v>
      </x:c>
      <x:c r="H146" s="20" t="str">
        <x:v>王宫深殿</x:v>
      </x:c>
      <x:c r="I146" s="20" t="n">
        <x:f>COUNTIFS('02_怪物与专属'!$G$5:$G$468,$G146,'02_怪物与专属'!$K$5:$K$468,"普通")</x:f>
        <x:v>1</x:v>
      </x:c>
      <x:c r="J146" s="20" t="n">
        <x:f>COUNTIFS('02_怪物与专属'!$G$5:$G$468,$G146,'02_怪物与专属'!$K$5:$K$468,"稀有")</x:f>
        <x:v>1</x:v>
      </x:c>
      <x:c r="K146" s="20" t="n">
        <x:f>COUNTIFS('02_怪物与专属'!$G$5:$G$468,$G146,'02_怪物与专属'!$K$5:$K$468,"地图BOSS")</x:f>
        <x:v>0</x:v>
      </x:c>
      <x:c r="L146" s="20" t="n">
        <x:f>COUNTIFS('02_怪物与专属'!$G$5:$G$468,$G146,'02_怪物与专属'!$K$5:$K$468,"守关BOSS")</x:f>
        <x:v>0</x:v>
      </x:c>
      <x:c r="M146" s="20" t="n">
        <x:f>SUM(I146:L146)</x:f>
        <x:v>2</x:v>
      </x:c>
      <x:c r="N146" s="22" t="str">
        <x:v>已完成／来源已分配</x:v>
      </x:c>
      <x:c r="O146" s="20" t="str">
        <x:v>地图属性、尺寸和刷新数量不在本表修改</x:v>
      </x:c>
    </x:row>
    <x:row r="147" ht="24" customHeight="1">
      <x:c r="A147" s="20" t="str">
        <x:v>C10-MAP-018</x:v>
      </x:c>
      <x:c r="B147" s="20" t="str">
        <x:v>C10</x:v>
      </x:c>
      <x:c r="C147" s="20" t="str">
        <x:v>王城罗德尔</x:v>
      </x:c>
      <x:c r="D147" s="20" t="n">
        <x:v>5</x:v>
      </x:c>
      <x:c r="E147" s="20" t="str">
        <x:v>黄金王宫</x:v>
      </x:c>
      <x:c r="F147" s="20" t="n">
        <x:v>4</x:v>
      </x:c>
      <x:c r="G147" s="20" t="str">
        <x:v>XX370</x:v>
      </x:c>
      <x:c r="H147" s="20" t="str">
        <x:v>黄金王座前厅</x:v>
      </x:c>
      <x:c r="I147" s="20" t="n">
        <x:f>COUNTIFS('02_怪物与专属'!$G$5:$G$468,$G147,'02_怪物与专属'!$K$5:$K$468,"普通")</x:f>
        <x:v>1</x:v>
      </x:c>
      <x:c r="J147" s="20" t="n">
        <x:f>COUNTIFS('02_怪物与专属'!$G$5:$G$468,$G147,'02_怪物与专属'!$K$5:$K$468,"稀有")</x:f>
        <x:v>1</x:v>
      </x:c>
      <x:c r="K147" s="20" t="n">
        <x:f>COUNTIFS('02_怪物与专属'!$G$5:$G$468,$G147,'02_怪物与专属'!$K$5:$K$468,"地图BOSS")</x:f>
        <x:v>1</x:v>
      </x:c>
      <x:c r="L147" s="20" t="n">
        <x:f>COUNTIFS('02_怪物与专属'!$G$5:$G$468,$G147,'02_怪物与专属'!$K$5:$K$468,"守关BOSS")</x:f>
        <x:v>0</x:v>
      </x:c>
      <x:c r="M147" s="20" t="n">
        <x:f>SUM(I147:L147)</x:f>
        <x:v>3</x:v>
      </x:c>
      <x:c r="N147" s="22" t="str">
        <x:v>已完成／来源已分配</x:v>
      </x:c>
      <x:c r="O147" s="20" t="str">
        <x:v>地图属性、尺寸和刷新数量不在本表修改</x:v>
      </x:c>
    </x:row>
    <x:row r="148" ht="24" customHeight="1">
      <x:c r="A148" s="20" t="str">
        <x:v>C10-MAP-019</x:v>
      </x:c>
      <x:c r="B148" s="20" t="str">
        <x:v>C10</x:v>
      </x:c>
      <x:c r="C148" s="20" t="str">
        <x:v>王城罗德尔</x:v>
      </x:c>
      <x:c r="D148" s="20" t="n">
        <x:v>5</x:v>
      </x:c>
      <x:c r="E148" s="20" t="str">
        <x:v>黄金王宫</x:v>
      </x:c>
      <x:c r="F148" s="20" t="n">
        <x:v>5</x:v>
      </x:c>
      <x:c r="G148" s="20" t="str">
        <x:v>XX386</x:v>
      </x:c>
      <x:c r="H148" s="20" t="str">
        <x:v>艾尔登王座</x:v>
      </x:c>
      <x:c r="I148" s="20" t="n">
        <x:f>COUNTIFS('02_怪物与专属'!$G$5:$G$468,$G148,'02_怪物与专属'!$K$5:$K$468,"普通")</x:f>
        <x:v>1</x:v>
      </x:c>
      <x:c r="J148" s="20" t="n">
        <x:f>COUNTIFS('02_怪物与专属'!$G$5:$G$468,$G148,'02_怪物与专属'!$K$5:$K$468,"稀有")</x:f>
        <x:v>0</x:v>
      </x:c>
      <x:c r="K148" s="20" t="n">
        <x:f>COUNTIFS('02_怪物与专属'!$G$5:$G$468,$G148,'02_怪物与专属'!$K$5:$K$468,"地图BOSS")</x:f>
        <x:v>1</x:v>
      </x:c>
      <x:c r="L148" s="20" t="n">
        <x:f>COUNTIFS('02_怪物与专属'!$G$5:$G$468,$G148,'02_怪物与专属'!$K$5:$K$468,"守关BOSS")</x:f>
        <x:v>1</x:v>
      </x:c>
      <x:c r="M148" s="20" t="n">
        <x:f>SUM(I148:L148)</x:f>
        <x:v>3</x:v>
      </x:c>
      <x:c r="N148" s="22" t="str">
        <x:v>已完成／来源已分配</x:v>
      </x:c>
      <x:c r="O148" s="20" t="str">
        <x:v>地图属性、尺寸和刷新数量不在本表修改</x:v>
      </x:c>
    </x:row>
  </x:sheetData>
  <x:mergeCells>
    <x:mergeCell ref="A1:O1"/>
    <x:mergeCell ref="A2:O2"/>
  </x:mergeCells>
  <x:pageMargins left="0.7" right="0.7" top="0.75" bottom="0.75" header="0.3" footer="0.3"/>
  <x:tableParts count="1">
    <x:tablePart xmlns:r="http://schemas.openxmlformats.org/officeDocument/2006/relationships" r:id="Rb3f9ae6c953f4579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10" hidden="0" customWidth="1"/>
    <x:col min="3" max="3" width="18" hidden="0" customWidth="1"/>
    <x:col min="4" max="4" width="8" hidden="0" customWidth="1"/>
    <x:col min="5" max="5" width="18" hidden="0" customWidth="1"/>
    <x:col min="6" max="6" width="8" hidden="0" customWidth="1"/>
    <x:col min="7" max="7" width="12" hidden="0" customWidth="1"/>
    <x:col min="8" max="8" width="20" hidden="0" customWidth="1"/>
    <x:col min="9" max="9" width="24" hidden="0" customWidth="1"/>
    <x:col min="10" max="10" width="9" hidden="0" customWidth="1"/>
    <x:col min="11" max="11" width="13" hidden="0" customWidth="1"/>
    <x:col min="12" max="12" width="12" hidden="0" customWidth="1"/>
    <x:col min="13" max="13" width="14" hidden="0" customWidth="1"/>
    <x:col min="14" max="14" width="24" hidden="0" customWidth="1"/>
    <x:col min="15" max="15" width="12" hidden="0" customWidth="1"/>
    <x:col min="16" max="16" width="18" hidden="0" customWidth="1"/>
    <x:col min="17" max="17" width="26" hidden="0" customWidth="1"/>
    <x:col min="18" max="18" width="20" hidden="0" customWidth="1"/>
    <x:col min="19" max="19" width="22" hidden="0" customWidth="1"/>
    <x:col min="20" max="20" width="20" hidden="0" customWidth="1"/>
    <x:col min="21" max="21" width="18" hidden="0" customWidth="1"/>
    <x:col min="22" max="22" width="14" hidden="0" customWidth="1"/>
    <x:col min="23" max="23" width="20" hidden="0" customWidth="1"/>
    <x:col min="24" max="24" width="22" hidden="0" customWidth="1"/>
    <x:col min="25" max="25" width="18" hidden="0" customWidth="1"/>
    <x:col min="26" max="26" width="46" hidden="0" customWidth="1"/>
  </x:cols>
  <x:sheetData>
    <x:row r="1" ht="34" customHeight="1">
      <x:c r="A1" s="3" t="str">
        <x:v>第3—10大陆怪物、定向专属与材料关系</x:v>
      </x:c>
      <x:c r="B1" s="3" t="str">
        <x:v>第3—10大陆怪物、定向专属与材料关系</x:v>
      </x:c>
      <x:c r="C1" s="3" t="str">
        <x:v>第3—10大陆怪物、定向专属与材料关系</x:v>
      </x:c>
      <x:c r="D1" s="3" t="str">
        <x:v>第3—10大陆怪物、定向专属与材料关系</x:v>
      </x:c>
      <x:c r="E1" s="3" t="str">
        <x:v>第3—10大陆怪物、定向专属与材料关系</x:v>
      </x:c>
      <x:c r="F1" s="3" t="str">
        <x:v>第3—10大陆怪物、定向专属与材料关系</x:v>
      </x:c>
      <x:c r="G1" s="3" t="str">
        <x:v>第3—10大陆怪物、定向专属与材料关系</x:v>
      </x:c>
      <x:c r="H1" s="3" t="str">
        <x:v>第3—10大陆怪物、定向专属与材料关系</x:v>
      </x:c>
      <x:c r="I1" s="3" t="str">
        <x:v>第3—10大陆怪物、定向专属与材料关系</x:v>
      </x:c>
      <x:c r="J1" s="3" t="str">
        <x:v>第3—10大陆怪物、定向专属与材料关系</x:v>
      </x:c>
      <x:c r="K1" s="3" t="str">
        <x:v>第3—10大陆怪物、定向专属与材料关系</x:v>
      </x:c>
      <x:c r="L1" s="3" t="str">
        <x:v>第3—10大陆怪物、定向专属与材料关系</x:v>
      </x:c>
      <x:c r="M1" s="3" t="str">
        <x:v>第3—10大陆怪物、定向专属与材料关系</x:v>
      </x:c>
      <x:c r="N1" s="3" t="str">
        <x:v>第3—10大陆怪物、定向专属与材料关系</x:v>
      </x:c>
      <x:c r="O1" s="3" t="str">
        <x:v>第3—10大陆怪物、定向专属与材料关系</x:v>
      </x:c>
      <x:c r="P1" s="3" t="str">
        <x:v>第3—10大陆怪物、定向专属与材料关系</x:v>
      </x:c>
      <x:c r="Q1" s="3" t="str">
        <x:v>第3—10大陆怪物、定向专属与材料关系</x:v>
      </x:c>
      <x:c r="R1" s="3" t="str">
        <x:v>第3—10大陆怪物、定向专属与材料关系</x:v>
      </x:c>
      <x:c r="S1" s="3" t="str">
        <x:v>第3—10大陆怪物、定向专属与材料关系</x:v>
      </x:c>
      <x:c r="T1" s="3" t="str">
        <x:v>第3—10大陆怪物、定向专属与材料关系</x:v>
      </x:c>
      <x:c r="U1" s="3" t="str">
        <x:v>第3—10大陆怪物、定向专属与材料关系</x:v>
      </x:c>
      <x:c r="V1" s="3" t="str">
        <x:v>第3—10大陆怪物、定向专属与材料关系</x:v>
      </x:c>
      <x:c r="W1" s="3" t="str">
        <x:v>第3—10大陆怪物、定向专属与材料关系</x:v>
      </x:c>
      <x:c r="X1" s="3" t="str">
        <x:v>第3—10大陆怪物、定向专属与材料关系</x:v>
      </x:c>
      <x:c r="Y1" s="3" t="str">
        <x:v>第3—10大陆怪物、定向专属与材料关系</x:v>
      </x:c>
      <x:c r="Z1" s="3" t="str">
        <x:v>第3—10大陆怪物、定向专属与材料关系</x:v>
      </x:c>
    </x:row>
    <x:row r="2" ht="40" customHeight="1">
      <x:c r="A2" s="7" t="str">
        <x:v>每行锁定一只怪的准确地图、类别、族群、战斗定位、唯一专属、装备部位和材料池。黄色普通、蓝色稀有、粉色地图BOSS、红色守关BOSS。所有数值列均明确延后。</x:v>
      </x:c>
      <x:c r="B2" s="7" t="str">
        <x:v>每行锁定一只怪的准确地图、类别、族群、战斗定位、唯一专属、装备部位和材料池。黄色普通、蓝色稀有、粉色地图BOSS、红色守关BOSS。所有数值列均明确延后。</x:v>
      </x:c>
      <x:c r="C2" s="7" t="str">
        <x:v>每行锁定一只怪的准确地图、类别、族群、战斗定位、唯一专属、装备部位和材料池。黄色普通、蓝色稀有、粉色地图BOSS、红色守关BOSS。所有数值列均明确延后。</x:v>
      </x:c>
      <x:c r="D2" s="7" t="str">
        <x:v>每行锁定一只怪的准确地图、类别、族群、战斗定位、唯一专属、装备部位和材料池。黄色普通、蓝色稀有、粉色地图BOSS、红色守关BOSS。所有数值列均明确延后。</x:v>
      </x:c>
      <x:c r="E2" s="7" t="str">
        <x:v>每行锁定一只怪的准确地图、类别、族群、战斗定位、唯一专属、装备部位和材料池。黄色普通、蓝色稀有、粉色地图BOSS、红色守关BOSS。所有数值列均明确延后。</x:v>
      </x:c>
      <x:c r="F2" s="7" t="str">
        <x:v>每行锁定一只怪的准确地图、类别、族群、战斗定位、唯一专属、装备部位和材料池。黄色普通、蓝色稀有、粉色地图BOSS、红色守关BOSS。所有数值列均明确延后。</x:v>
      </x:c>
      <x:c r="G2" s="7" t="str">
        <x:v>每行锁定一只怪的准确地图、类别、族群、战斗定位、唯一专属、装备部位和材料池。黄色普通、蓝色稀有、粉色地图BOSS、红色守关BOSS。所有数值列均明确延后。</x:v>
      </x:c>
      <x:c r="H2" s="7" t="str">
        <x:v>每行锁定一只怪的准确地图、类别、族群、战斗定位、唯一专属、装备部位和材料池。黄色普通、蓝色稀有、粉色地图BOSS、红色守关BOSS。所有数值列均明确延后。</x:v>
      </x:c>
      <x:c r="I2" s="7" t="str">
        <x:v>每行锁定一只怪的准确地图、类别、族群、战斗定位、唯一专属、装备部位和材料池。黄色普通、蓝色稀有、粉色地图BOSS、红色守关BOSS。所有数值列均明确延后。</x:v>
      </x:c>
      <x:c r="J2" s="7" t="str">
        <x:v>每行锁定一只怪的准确地图、类别、族群、战斗定位、唯一专属、装备部位和材料池。黄色普通、蓝色稀有、粉色地图BOSS、红色守关BOSS。所有数值列均明确延后。</x:v>
      </x:c>
      <x:c r="K2" s="7" t="str">
        <x:v>每行锁定一只怪的准确地图、类别、族群、战斗定位、唯一专属、装备部位和材料池。黄色普通、蓝色稀有、粉色地图BOSS、红色守关BOSS。所有数值列均明确延后。</x:v>
      </x:c>
      <x:c r="L2" s="7" t="str">
        <x:v>每行锁定一只怪的准确地图、类别、族群、战斗定位、唯一专属、装备部位和材料池。黄色普通、蓝色稀有、粉色地图BOSS、红色守关BOSS。所有数值列均明确延后。</x:v>
      </x:c>
      <x:c r="M2" s="7" t="str">
        <x:v>每行锁定一只怪的准确地图、类别、族群、战斗定位、唯一专属、装备部位和材料池。黄色普通、蓝色稀有、粉色地图BOSS、红色守关BOSS。所有数值列均明确延后。</x:v>
      </x:c>
      <x:c r="N2" s="7" t="str">
        <x:v>每行锁定一只怪的准确地图、类别、族群、战斗定位、唯一专属、装备部位和材料池。黄色普通、蓝色稀有、粉色地图BOSS、红色守关BOSS。所有数值列均明确延后。</x:v>
      </x:c>
      <x:c r="O2" s="7" t="str">
        <x:v>每行锁定一只怪的准确地图、类别、族群、战斗定位、唯一专属、装备部位和材料池。黄色普通、蓝色稀有、粉色地图BOSS、红色守关BOSS。所有数值列均明确延后。</x:v>
      </x:c>
      <x:c r="P2" s="7" t="str">
        <x:v>每行锁定一只怪的准确地图、类别、族群、战斗定位、唯一专属、装备部位和材料池。黄色普通、蓝色稀有、粉色地图BOSS、红色守关BOSS。所有数值列均明确延后。</x:v>
      </x:c>
      <x:c r="Q2" s="7" t="str">
        <x:v>每行锁定一只怪的准确地图、类别、族群、战斗定位、唯一专属、装备部位和材料池。黄色普通、蓝色稀有、粉色地图BOSS、红色守关BOSS。所有数值列均明确延后。</x:v>
      </x:c>
      <x:c r="R2" s="7" t="str">
        <x:v>每行锁定一只怪的准确地图、类别、族群、战斗定位、唯一专属、装备部位和材料池。黄色普通、蓝色稀有、粉色地图BOSS、红色守关BOSS。所有数值列均明确延后。</x:v>
      </x:c>
      <x:c r="S2" s="7" t="str">
        <x:v>每行锁定一只怪的准确地图、类别、族群、战斗定位、唯一专属、装备部位和材料池。黄色普通、蓝色稀有、粉色地图BOSS、红色守关BOSS。所有数值列均明确延后。</x:v>
      </x:c>
      <x:c r="T2" s="7" t="str">
        <x:v>每行锁定一只怪的准确地图、类别、族群、战斗定位、唯一专属、装备部位和材料池。黄色普通、蓝色稀有、粉色地图BOSS、红色守关BOSS。所有数值列均明确延后。</x:v>
      </x:c>
      <x:c r="U2" s="7" t="str">
        <x:v>每行锁定一只怪的准确地图、类别、族群、战斗定位、唯一专属、装备部位和材料池。黄色普通、蓝色稀有、粉色地图BOSS、红色守关BOSS。所有数值列均明确延后。</x:v>
      </x:c>
      <x:c r="V2" s="7" t="str">
        <x:v>每行锁定一只怪的准确地图、类别、族群、战斗定位、唯一专属、装备部位和材料池。黄色普通、蓝色稀有、粉色地图BOSS、红色守关BOSS。所有数值列均明确延后。</x:v>
      </x:c>
      <x:c r="W2" s="7" t="str">
        <x:v>每行锁定一只怪的准确地图、类别、族群、战斗定位、唯一专属、装备部位和材料池。黄色普通、蓝色稀有、粉色地图BOSS、红色守关BOSS。所有数值列均明确延后。</x:v>
      </x:c>
      <x:c r="X2" s="7" t="str">
        <x:v>每行锁定一只怪的准确地图、类别、族群、战斗定位、唯一专属、装备部位和材料池。黄色普通、蓝色稀有、粉色地图BOSS、红色守关BOSS。所有数值列均明确延后。</x:v>
      </x:c>
      <x:c r="Y2" s="7" t="str">
        <x:v>每行锁定一只怪的准确地图、类别、族群、战斗定位、唯一专属、装备部位和材料池。黄色普通、蓝色稀有、粉色地图BOSS、红色守关BOSS。所有数值列均明确延后。</x:v>
      </x:c>
      <x:c r="Z2" s="7" t="str">
        <x:v>每行锁定一只怪的准确地图、类别、族群、战斗定位、唯一专属、装备部位和材料池。黄色普通、蓝色稀有、粉色地图BOSS、红色守关BOSS。所有数值列均明确延后。</x:v>
      </x:c>
    </x:row>
    <x:row r="4" ht="32" customHeight="1">
      <x:c r="A4" s="13" t="str">
        <x:v>记录ID</x:v>
      </x:c>
      <x:c r="B4" s="13" t="str">
        <x:v>大陆ID</x:v>
      </x:c>
      <x:c r="C4" s="13" t="str">
        <x:v>大陆</x:v>
      </x:c>
      <x:c r="D4" s="13" t="str">
        <x:v>组序</x:v>
      </x:c>
      <x:c r="E4" s="13" t="str">
        <x:v>地图组</x:v>
      </x:c>
      <x:c r="F4" s="13" t="str">
        <x:v>层序</x:v>
      </x:c>
      <x:c r="G4" s="13" t="str">
        <x:v>地图号</x:v>
      </x:c>
      <x:c r="H4" s="13" t="str">
        <x:v>地图名称</x:v>
      </x:c>
      <x:c r="I4" s="13" t="str">
        <x:v>怪物名称</x:v>
      </x:c>
      <x:c r="J4" s="13" t="str">
        <x:v>颜色</x:v>
      </x:c>
      <x:c r="K4" s="13" t="str">
        <x:v>类别</x:v>
      </x:c>
      <x:c r="L4" s="13" t="str">
        <x:v>族群</x:v>
      </x:c>
      <x:c r="M4" s="13" t="str">
        <x:v>战斗定位</x:v>
      </x:c>
      <x:c r="N4" s="13" t="str">
        <x:v>定向专属</x:v>
      </x:c>
      <x:c r="O4" s="13" t="str">
        <x:v>专属部位</x:v>
      </x:c>
      <x:c r="P4" s="13" t="str">
        <x:v>通用材料</x:v>
      </x:c>
      <x:c r="Q4" s="13" t="str">
        <x:v>稀有／剧情材料</x:v>
      </x:c>
      <x:c r="R4" s="13" t="str">
        <x:v>身份证物</x:v>
      </x:c>
      <x:c r="S4" s="13" t="str">
        <x:v>大陆收藏材料</x:v>
      </x:c>
      <x:c r="T4" s="13" t="str">
        <x:v>BOSS兼掉本图普通怪专属</x:v>
      </x:c>
      <x:c r="U4" s="13" t="str">
        <x:v>六神器公共池</x:v>
      </x:c>
      <x:c r="V4" s="13" t="str">
        <x:v>名称状态</x:v>
      </x:c>
      <x:c r="W4" s="13" t="str">
        <x:v>怪物／模型编码</x:v>
      </x:c>
      <x:c r="X4" s="13" t="str">
        <x:v>装备来源编号</x:v>
      </x:c>
      <x:c r="Y4" s="13" t="str">
        <x:v>属性与爆率</x:v>
      </x:c>
      <x:c r="Z4" s="13" t="str">
        <x:v>备注</x:v>
      </x:c>
    </x:row>
    <x:row r="5" ht="24" customHeight="1">
      <x:c r="A5" s="19" t="str">
        <x:v>C03-M001</x:v>
      </x:c>
      <x:c r="B5" s="19" t="str">
        <x:v>C03</x:v>
      </x:c>
      <x:c r="C5" s="19" t="str">
        <x:v>宁姆格福西域</x:v>
      </x:c>
      <x:c r="D5" s="19" t="n">
        <x:v>1</x:v>
      </x:c>
      <x:c r="E5" s="19" t="str">
        <x:v>西境荒原</x:v>
      </x:c>
      <x:c r="F5" s="19" t="n">
        <x:v>1</x:v>
      </x:c>
      <x:c r="G5" s="19" t="str">
        <x:v>XX776</x:v>
      </x:c>
      <x:c r="H5" s="19" t="str">
        <x:v>西境荒原</x:v>
      </x:c>
      <x:c r="I5" s="19" t="str">
        <x:v>荒原拾骨者</x:v>
      </x:c>
      <x:c r="J5" s="19" t="str">
        <x:v>黄色</x:v>
      </x:c>
      <x:c r="K5" s="19" t="str">
        <x:v>普通</x:v>
      </x:c>
      <x:c r="L5" s="19" t="str">
        <x:v>人形·拾荒者</x:v>
      </x:c>
      <x:c r="M5" s="19" t="str">
        <x:v>近战游击</x:v>
      </x:c>
      <x:c r="N5" s="19" t="str">
        <x:v>拾骨弯刀</x:v>
      </x:c>
      <x:c r="O5" s="19" t="str">
        <x:v>武器</x:v>
      </x:c>
      <x:c r="P5" s="19" t="str">
        <x:v>风蚀铁片</x:v>
      </x:c>
      <x:c r="Q5" s="19" t="str"/>
      <x:c r="R5" s="19" t="str">
        <x:v>裂风崖羽</x:v>
      </x:c>
      <x:c r="S5" s="19" t="str">
        <x:v>西境风痕碑拓</x:v>
      </x:c>
      <x:c r="T5" s="19" t="str">
        <x:v>否</x:v>
      </x:c>
      <x:c r="U5" s="19" t="str">
        <x:v>是（公共奖池）</x:v>
      </x:c>
      <x:c r="V5" s="21" t="str">
        <x:v>结构定稿</x:v>
      </x:c>
      <x:c r="W5" s="35" t="str">
        <x:v>用户自行分配／本表不处理</x:v>
      </x:c>
      <x:c r="X5" s="32" t="str">
        <x:v>缺武器来源码</x:v>
      </x:c>
      <x:c r="Y5" s="28" t="str">
        <x:v>后期统一平衡</x:v>
      </x:c>
      <x:c r="Z5" s="19" t="str">
        <x:v>一怪一专属；专属来源跟随本行准确地图号</x:v>
      </x:c>
    </x:row>
    <x:row r="6" ht="24" customHeight="1">
      <x:c r="A6" s="20" t="str">
        <x:v>C03-M002</x:v>
      </x:c>
      <x:c r="B6" s="20" t="str">
        <x:v>C03</x:v>
      </x:c>
      <x:c r="C6" s="20" t="str">
        <x:v>宁姆格福西域</x:v>
      </x:c>
      <x:c r="D6" s="20" t="n">
        <x:v>1</x:v>
      </x:c>
      <x:c r="E6" s="20" t="str">
        <x:v>西境荒原</x:v>
      </x:c>
      <x:c r="F6" s="20" t="n">
        <x:v>3</x:v>
      </x:c>
      <x:c r="G6" s="20" t="str">
        <x:v>XX775</x:v>
      </x:c>
      <x:c r="H6" s="20" t="str">
        <x:v>西境战场</x:v>
      </x:c>
      <x:c r="I6" s="20" t="str">
        <x:v>断旗步兵</x:v>
      </x:c>
      <x:c r="J6" s="20" t="str">
        <x:v>黄色</x:v>
      </x:c>
      <x:c r="K6" s="20" t="str">
        <x:v>普通</x:v>
      </x:c>
      <x:c r="L6" s="20" t="str">
        <x:v>人形·步兵</x:v>
      </x:c>
      <x:c r="M6" s="20" t="str">
        <x:v>前线牵制</x:v>
      </x:c>
      <x:c r="N6" s="20" t="str">
        <x:v>断旗战链</x:v>
      </x:c>
      <x:c r="O6" s="20" t="str">
        <x:v>项链</x:v>
      </x:c>
      <x:c r="P6" s="20" t="str">
        <x:v>风蚀铁片</x:v>
      </x:c>
      <x:c r="Q6" s="20" t="str"/>
      <x:c r="R6" s="20" t="str">
        <x:v>裂风崖羽</x:v>
      </x:c>
      <x:c r="S6" s="20" t="str">
        <x:v>西境风痕碑拓</x:v>
      </x:c>
      <x:c r="T6" s="20" t="str">
        <x:v>否</x:v>
      </x:c>
      <x:c r="U6" s="20" t="str">
        <x:v>是（公共奖池）</x:v>
      </x:c>
      <x:c r="V6" s="22" t="str">
        <x:v>结构定稿</x:v>
      </x:c>
      <x:c r="W6" s="36" t="str">
        <x:v>用户自行分配／本表不处理</x:v>
      </x:c>
      <x:c r="X6" s="33" t="n">
        <x:v>6471</x:v>
      </x:c>
      <x:c r="Y6" s="29" t="str">
        <x:v>后期统一平衡</x:v>
      </x:c>
      <x:c r="Z6" s="20" t="str">
        <x:v>一怪一专属；专属来源跟随本行准确地图号</x:v>
      </x:c>
    </x:row>
    <x:row r="7" ht="24" customHeight="1">
      <x:c r="A7" s="20" t="str">
        <x:v>C03-M003</x:v>
      </x:c>
      <x:c r="B7" s="20" t="str">
        <x:v>C03</x:v>
      </x:c>
      <x:c r="C7" s="20" t="str">
        <x:v>宁姆格福西域</x:v>
      </x:c>
      <x:c r="D7" s="20" t="n">
        <x:v>1</x:v>
      </x:c>
      <x:c r="E7" s="20" t="str">
        <x:v>西境荒原</x:v>
      </x:c>
      <x:c r="F7" s="20" t="n">
        <x:v>2</x:v>
      </x:c>
      <x:c r="G7" s="20" t="str">
        <x:v>XX780</x:v>
      </x:c>
      <x:c r="H7" s="20" t="str">
        <x:v>荒风丘陵</x:v>
      </x:c>
      <x:c r="I7" s="20" t="str">
        <x:v>风沙掠夺者</x:v>
      </x:c>
      <x:c r="J7" s="20" t="str">
        <x:v>黄色</x:v>
      </x:c>
      <x:c r="K7" s="20" t="str">
        <x:v>普通</x:v>
      </x:c>
      <x:c r="L7" s="20" t="str">
        <x:v>人形·掠夺者</x:v>
      </x:c>
      <x:c r="M7" s="20" t="str">
        <x:v>近战突袭</x:v>
      </x:c>
      <x:c r="N7" s="20" t="str">
        <x:v>掠风护腕</x:v>
      </x:c>
      <x:c r="O7" s="20" t="str">
        <x:v>手镯</x:v>
      </x:c>
      <x:c r="P7" s="20" t="str">
        <x:v>风蚀铁片</x:v>
      </x:c>
      <x:c r="Q7" s="20" t="str"/>
      <x:c r="R7" s="20" t="str">
        <x:v>裂风崖羽</x:v>
      </x:c>
      <x:c r="S7" s="20" t="str">
        <x:v>西境风痕碑拓</x:v>
      </x:c>
      <x:c r="T7" s="20" t="str">
        <x:v>否</x:v>
      </x:c>
      <x:c r="U7" s="20" t="str">
        <x:v>是（公共奖池）</x:v>
      </x:c>
      <x:c r="V7" s="22" t="str">
        <x:v>结构定稿</x:v>
      </x:c>
      <x:c r="W7" s="36" t="str">
        <x:v>用户自行分配／本表不处理</x:v>
      </x:c>
      <x:c r="X7" s="33" t="n">
        <x:v>6472</x:v>
      </x:c>
      <x:c r="Y7" s="29" t="str">
        <x:v>后期统一平衡</x:v>
      </x:c>
      <x:c r="Z7" s="20" t="str">
        <x:v>一怪一专属；专属来源跟随本行准确地图号</x:v>
      </x:c>
    </x:row>
    <x:row r="8" ht="24" customHeight="1">
      <x:c r="A8" s="20" t="str">
        <x:v>C03-M004</x:v>
      </x:c>
      <x:c r="B8" s="20" t="str">
        <x:v>C03</x:v>
      </x:c>
      <x:c r="C8" s="20" t="str">
        <x:v>宁姆格福西域</x:v>
      </x:c>
      <x:c r="D8" s="20" t="n">
        <x:v>1</x:v>
      </x:c>
      <x:c r="E8" s="20" t="str">
        <x:v>西境荒原</x:v>
      </x:c>
      <x:c r="F8" s="20" t="n">
        <x:v>2</x:v>
      </x:c>
      <x:c r="G8" s="20" t="str">
        <x:v>XX780</x:v>
      </x:c>
      <x:c r="H8" s="20" t="str">
        <x:v>荒风丘陵</x:v>
      </x:c>
      <x:c r="I8" s="20" t="str">
        <x:v>铁蹄战马</x:v>
      </x:c>
      <x:c r="J8" s="20" t="str">
        <x:v>黄色</x:v>
      </x:c>
      <x:c r="K8" s="20" t="str">
        <x:v>普通</x:v>
      </x:c>
      <x:c r="L8" s="20" t="str">
        <x:v>野兽·战马</x:v>
      </x:c>
      <x:c r="M8" s="20" t="str">
        <x:v>冲锋扰阵</x:v>
      </x:c>
      <x:c r="N8" s="20" t="str">
        <x:v>铁蹄战靴</x:v>
      </x:c>
      <x:c r="O8" s="20" t="str">
        <x:v>鞋子</x:v>
      </x:c>
      <x:c r="P8" s="20" t="str">
        <x:v>风蚀铁片</x:v>
      </x:c>
      <x:c r="Q8" s="20" t="str"/>
      <x:c r="R8" s="20" t="str">
        <x:v>裂风崖羽</x:v>
      </x:c>
      <x:c r="S8" s="20" t="str">
        <x:v>西境风痕碑拓</x:v>
      </x:c>
      <x:c r="T8" s="20" t="str">
        <x:v>否</x:v>
      </x:c>
      <x:c r="U8" s="20" t="str">
        <x:v>是（公共奖池）</x:v>
      </x:c>
      <x:c r="V8" s="22" t="str">
        <x:v>结构定稿</x:v>
      </x:c>
      <x:c r="W8" s="36" t="str">
        <x:v>用户自行分配／本表不处理</x:v>
      </x:c>
      <x:c r="X8" s="33" t="n">
        <x:v>6477</x:v>
      </x:c>
      <x:c r="Y8" s="29" t="str">
        <x:v>后期统一平衡</x:v>
      </x:c>
      <x:c r="Z8" s="20" t="str">
        <x:v>一怪一专属；专属来源跟随本行准确地图号</x:v>
      </x:c>
    </x:row>
    <x:row r="9" ht="24" customHeight="1">
      <x:c r="A9" s="20" t="str">
        <x:v>C03-M005</x:v>
      </x:c>
      <x:c r="B9" s="20" t="str">
        <x:v>C03</x:v>
      </x:c>
      <x:c r="C9" s="20" t="str">
        <x:v>宁姆格福西域</x:v>
      </x:c>
      <x:c r="D9" s="20" t="n">
        <x:v>1</x:v>
      </x:c>
      <x:c r="E9" s="20" t="str">
        <x:v>西境荒原</x:v>
      </x:c>
      <x:c r="F9" s="20" t="n">
        <x:v>1</x:v>
      </x:c>
      <x:c r="G9" s="20" t="str">
        <x:v>XX776</x:v>
      </x:c>
      <x:c r="H9" s="20" t="str">
        <x:v>西境荒原</x:v>
      </x:c>
      <x:c r="I9" s="20" t="str">
        <x:v>枯草狼</x:v>
      </x:c>
      <x:c r="J9" s="20" t="str">
        <x:v>黄色</x:v>
      </x:c>
      <x:c r="K9" s="20" t="str">
        <x:v>普通</x:v>
      </x:c>
      <x:c r="L9" s="20" t="str">
        <x:v>野兽·荒狼</x:v>
      </x:c>
      <x:c r="M9" s="20" t="str">
        <x:v>追猎撕咬</x:v>
      </x:c>
      <x:c r="N9" s="20" t="str">
        <x:v>枯草牙戒</x:v>
      </x:c>
      <x:c r="O9" s="20" t="str">
        <x:v>戒指</x:v>
      </x:c>
      <x:c r="P9" s="20" t="str">
        <x:v>风蚀铁片</x:v>
      </x:c>
      <x:c r="Q9" s="20" t="str"/>
      <x:c r="R9" s="20" t="str">
        <x:v>裂风崖羽</x:v>
      </x:c>
      <x:c r="S9" s="20" t="str">
        <x:v>西境风痕碑拓</x:v>
      </x:c>
      <x:c r="T9" s="20" t="str">
        <x:v>否</x:v>
      </x:c>
      <x:c r="U9" s="20" t="str">
        <x:v>是（公共奖池）</x:v>
      </x:c>
      <x:c r="V9" s="22" t="str">
        <x:v>结构定稿</x:v>
      </x:c>
      <x:c r="W9" s="36" t="str">
        <x:v>用户自行分配／本表不处理</x:v>
      </x:c>
      <x:c r="X9" s="33" t="n">
        <x:v>6473</x:v>
      </x:c>
      <x:c r="Y9" s="29" t="str">
        <x:v>后期统一平衡</x:v>
      </x:c>
      <x:c r="Z9" s="20" t="str">
        <x:v>一怪一专属；专属来源跟随本行准确地图号</x:v>
      </x:c>
    </x:row>
    <x:row r="10" ht="24" customHeight="1">
      <x:c r="A10" s="20" t="str">
        <x:v>C03-M006</x:v>
      </x:c>
      <x:c r="B10" s="20" t="str">
        <x:v>C03</x:v>
      </x:c>
      <x:c r="C10" s="20" t="str">
        <x:v>宁姆格福西域</x:v>
      </x:c>
      <x:c r="D10" s="20" t="n">
        <x:v>1</x:v>
      </x:c>
      <x:c r="E10" s="20" t="str">
        <x:v>西境荒原</x:v>
      </x:c>
      <x:c r="F10" s="20" t="n">
        <x:v>4</x:v>
      </x:c>
      <x:c r="G10" s="20" t="str">
        <x:v>XX778</x:v>
      </x:c>
      <x:c r="H10" s="20" t="str">
        <x:v>荒原祭场</x:v>
      </x:c>
      <x:c r="I10" s="20" t="str">
        <x:v>锈甲逃兵</x:v>
      </x:c>
      <x:c r="J10" s="20" t="str">
        <x:v>黄色</x:v>
      </x:c>
      <x:c r="K10" s="20" t="str">
        <x:v>普通</x:v>
      </x:c>
      <x:c r="L10" s="20" t="str">
        <x:v>人形·逃兵</x:v>
      </x:c>
      <x:c r="M10" s="20" t="str">
        <x:v>近战反击</x:v>
      </x:c>
      <x:c r="N10" s="20" t="str">
        <x:v>锈甲腰封</x:v>
      </x:c>
      <x:c r="O10" s="20" t="str">
        <x:v>腰带</x:v>
      </x:c>
      <x:c r="P10" s="20" t="str">
        <x:v>风蚀铁片</x:v>
      </x:c>
      <x:c r="Q10" s="20" t="str"/>
      <x:c r="R10" s="20" t="str">
        <x:v>裂风崖羽</x:v>
      </x:c>
      <x:c r="S10" s="20" t="str">
        <x:v>西境风痕碑拓</x:v>
      </x:c>
      <x:c r="T10" s="20" t="str">
        <x:v>否</x:v>
      </x:c>
      <x:c r="U10" s="20" t="str">
        <x:v>是（公共奖池）</x:v>
      </x:c>
      <x:c r="V10" s="22" t="str">
        <x:v>结构定稿</x:v>
      </x:c>
      <x:c r="W10" s="36" t="str">
        <x:v>用户自行分配／本表不处理</x:v>
      </x:c>
      <x:c r="X10" s="33" t="n">
        <x:v>6478</x:v>
      </x:c>
      <x:c r="Y10" s="29" t="str">
        <x:v>后期统一平衡</x:v>
      </x:c>
      <x:c r="Z10" s="20" t="str">
        <x:v>一怪一专属；专属来源跟随本行准确地图号</x:v>
      </x:c>
    </x:row>
    <x:row r="11" ht="24" customHeight="1">
      <x:c r="A11" s="20" t="str">
        <x:v>C03-M007</x:v>
      </x:c>
      <x:c r="B11" s="20" t="str">
        <x:v>C03</x:v>
      </x:c>
      <x:c r="C11" s="20" t="str">
        <x:v>宁姆格福西域</x:v>
      </x:c>
      <x:c r="D11" s="20" t="n">
        <x:v>1</x:v>
      </x:c>
      <x:c r="E11" s="20" t="str">
        <x:v>西境荒原</x:v>
      </x:c>
      <x:c r="F11" s="20" t="n">
        <x:v>1</x:v>
      </x:c>
      <x:c r="G11" s="20" t="str">
        <x:v>XX776</x:v>
      </x:c>
      <x:c r="H11" s="20" t="str">
        <x:v>西境荒原</x:v>
      </x:c>
      <x:c r="I11" s="20" t="str">
        <x:v>西境旗卫</x:v>
      </x:c>
      <x:c r="J11" s="20" t="str">
        <x:v>蓝色</x:v>
      </x:c>
      <x:c r="K11" s="20" t="str">
        <x:v>稀有</x:v>
      </x:c>
      <x:c r="L11" s="20" t="str">
        <x:v>人形·旗卫</x:v>
      </x:c>
      <x:c r="M11" s="20" t="str">
        <x:v>阵地守护</x:v>
      </x:c>
      <x:c r="N11" s="20" t="str">
        <x:v>西境军盔</x:v>
      </x:c>
      <x:c r="O11" s="20" t="str">
        <x:v>头盔</x:v>
      </x:c>
      <x:c r="P11" s="20" t="str">
        <x:v>风蚀铁片</x:v>
      </x:c>
      <x:c r="Q11" s="20" t="str">
        <x:v>西境战旗</x:v>
      </x:c>
      <x:c r="R11" s="20" t="str">
        <x:v>商队火漆</x:v>
      </x:c>
      <x:c r="S11" s="20" t="str">
        <x:v>西境风痕碑拓</x:v>
      </x:c>
      <x:c r="T11" s="20" t="str">
        <x:v>否</x:v>
      </x:c>
      <x:c r="U11" s="20" t="str">
        <x:v>是（公共奖池）</x:v>
      </x:c>
      <x:c r="V11" s="22" t="str">
        <x:v>结构定稿</x:v>
      </x:c>
      <x:c r="W11" s="36" t="str">
        <x:v>用户自行分配／本表不处理</x:v>
      </x:c>
      <x:c r="X11" s="33" t="n">
        <x:v>6469</x:v>
      </x:c>
      <x:c r="Y11" s="29" t="str">
        <x:v>后期统一平衡</x:v>
      </x:c>
      <x:c r="Z11" s="20" t="str">
        <x:v>一怪一专属；专属来源跟随本行准确地图号</x:v>
      </x:c>
    </x:row>
    <x:row r="12" ht="24" customHeight="1">
      <x:c r="A12" s="20" t="str">
        <x:v>C03-M008</x:v>
      </x:c>
      <x:c r="B12" s="20" t="str">
        <x:v>C03</x:v>
      </x:c>
      <x:c r="C12" s="20" t="str">
        <x:v>宁姆格福西域</x:v>
      </x:c>
      <x:c r="D12" s="20" t="n">
        <x:v>1</x:v>
      </x:c>
      <x:c r="E12" s="20" t="str">
        <x:v>西境荒原</x:v>
      </x:c>
      <x:c r="F12" s="20" t="n">
        <x:v>3</x:v>
      </x:c>
      <x:c r="G12" s="20" t="str">
        <x:v>XX775</x:v>
      </x:c>
      <x:c r="H12" s="20" t="str">
        <x:v>西境战场</x:v>
      </x:c>
      <x:c r="I12" s="20" t="str">
        <x:v>独眼弩将</x:v>
      </x:c>
      <x:c r="J12" s="20" t="str">
        <x:v>蓝色</x:v>
      </x:c>
      <x:c r="K12" s="20" t="str">
        <x:v>稀有</x:v>
      </x:c>
      <x:c r="L12" s="20" t="str">
        <x:v>人形·弩将</x:v>
      </x:c>
      <x:c r="M12" s="20" t="str">
        <x:v>远程狙击</x:v>
      </x:c>
      <x:c r="N12" s="20" t="str">
        <x:v>独眼鹰坠</x:v>
      </x:c>
      <x:c r="O12" s="20" t="str">
        <x:v>项链</x:v>
      </x:c>
      <x:c r="P12" s="20" t="str">
        <x:v>风蚀铁片</x:v>
      </x:c>
      <x:c r="Q12" s="20" t="str">
        <x:v>西境战旗</x:v>
      </x:c>
      <x:c r="R12" s="20" t="str">
        <x:v>商队火漆</x:v>
      </x:c>
      <x:c r="S12" s="20" t="str">
        <x:v>西境风痕碑拓</x:v>
      </x:c>
      <x:c r="T12" s="20" t="str">
        <x:v>否</x:v>
      </x:c>
      <x:c r="U12" s="20" t="str">
        <x:v>是（公共奖池）</x:v>
      </x:c>
      <x:c r="V12" s="22" t="str">
        <x:v>结构定稿</x:v>
      </x:c>
      <x:c r="W12" s="36" t="str">
        <x:v>用户自行分配／本表不处理</x:v>
      </x:c>
      <x:c r="X12" s="33" t="n">
        <x:v>6506</x:v>
      </x:c>
      <x:c r="Y12" s="29" t="str">
        <x:v>后期统一平衡</x:v>
      </x:c>
      <x:c r="Z12" s="20" t="str">
        <x:v>一怪一专属；专属来源跟随本行准确地图号</x:v>
      </x:c>
    </x:row>
    <x:row r="13" ht="24" customHeight="1">
      <x:c r="A13" s="20" t="str">
        <x:v>C03-M009</x:v>
      </x:c>
      <x:c r="B13" s="20" t="str">
        <x:v>C03</x:v>
      </x:c>
      <x:c r="C13" s="20" t="str">
        <x:v>宁姆格福西域</x:v>
      </x:c>
      <x:c r="D13" s="20" t="n">
        <x:v>1</x:v>
      </x:c>
      <x:c r="E13" s="20" t="str">
        <x:v>西境荒原</x:v>
      </x:c>
      <x:c r="F13" s="20" t="n">
        <x:v>2</x:v>
      </x:c>
      <x:c r="G13" s="20" t="str">
        <x:v>XX780</x:v>
      </x:c>
      <x:c r="H13" s="20" t="str">
        <x:v>荒风丘陵</x:v>
      </x:c>
      <x:c r="I13" s="20" t="str">
        <x:v>荒风骑士</x:v>
      </x:c>
      <x:c r="J13" s="20" t="str">
        <x:v>蓝色</x:v>
      </x:c>
      <x:c r="K13" s="20" t="str">
        <x:v>稀有</x:v>
      </x:c>
      <x:c r="L13" s="20" t="str">
        <x:v>人形·骑士</x:v>
      </x:c>
      <x:c r="M13" s="20" t="str">
        <x:v>骑乘突击</x:v>
      </x:c>
      <x:c r="N13" s="20" t="str">
        <x:v>荒风披甲</x:v>
      </x:c>
      <x:c r="O13" s="20" t="str">
        <x:v>衣服</x:v>
      </x:c>
      <x:c r="P13" s="20" t="str">
        <x:v>风蚀铁片</x:v>
      </x:c>
      <x:c r="Q13" s="20" t="str">
        <x:v>西境战旗</x:v>
      </x:c>
      <x:c r="R13" s="20" t="str">
        <x:v>商队火漆</x:v>
      </x:c>
      <x:c r="S13" s="20" t="str">
        <x:v>西境风痕碑拓</x:v>
      </x:c>
      <x:c r="T13" s="20" t="str">
        <x:v>否</x:v>
      </x:c>
      <x:c r="U13" s="20" t="str">
        <x:v>是（公共奖池）</x:v>
      </x:c>
      <x:c r="V13" s="22" t="str">
        <x:v>结构定稿</x:v>
      </x:c>
      <x:c r="W13" s="36" t="str">
        <x:v>用户自行分配／本表不处理</x:v>
      </x:c>
      <x:c r="X13" s="34" t="str">
        <x:v>缺衣服来源码</x:v>
      </x:c>
      <x:c r="Y13" s="29" t="str">
        <x:v>后期统一平衡</x:v>
      </x:c>
      <x:c r="Z13" s="20" t="str">
        <x:v>一怪一专属；专属来源跟随本行准确地图号</x:v>
      </x:c>
    </x:row>
    <x:row r="14" ht="24" customHeight="1">
      <x:c r="A14" s="20" t="str">
        <x:v>C03-M010</x:v>
      </x:c>
      <x:c r="B14" s="20" t="str">
        <x:v>C03</x:v>
      </x:c>
      <x:c r="C14" s="20" t="str">
        <x:v>宁姆格福西域</x:v>
      </x:c>
      <x:c r="D14" s="20" t="n">
        <x:v>1</x:v>
      </x:c>
      <x:c r="E14" s="20" t="str">
        <x:v>西境荒原</x:v>
      </x:c>
      <x:c r="F14" s="20" t="n">
        <x:v>4</x:v>
      </x:c>
      <x:c r="G14" s="20" t="str">
        <x:v>XX778</x:v>
      </x:c>
      <x:c r="H14" s="20" t="str">
        <x:v>荒原祭场</x:v>
      </x:c>
      <x:c r="I14" s="20" t="str">
        <x:v>战场收尸官</x:v>
      </x:c>
      <x:c r="J14" s="20" t="str">
        <x:v>蓝色</x:v>
      </x:c>
      <x:c r="K14" s="20" t="str">
        <x:v>稀有</x:v>
      </x:c>
      <x:c r="L14" s="20" t="str">
        <x:v>人形·收尸官</x:v>
      </x:c>
      <x:c r="M14" s="20" t="str">
        <x:v>控场削弱</x:v>
      </x:c>
      <x:c r="N14" s="20" t="str">
        <x:v>收尸骨印</x:v>
      </x:c>
      <x:c r="O14" s="20" t="str">
        <x:v>勋章</x:v>
      </x:c>
      <x:c r="P14" s="20" t="str">
        <x:v>风蚀铁片</x:v>
      </x:c>
      <x:c r="Q14" s="20" t="str">
        <x:v>西境战旗</x:v>
      </x:c>
      <x:c r="R14" s="20" t="str">
        <x:v>商队火漆</x:v>
      </x:c>
      <x:c r="S14" s="20" t="str">
        <x:v>西境风痕碑拓</x:v>
      </x:c>
      <x:c r="T14" s="20" t="str">
        <x:v>否</x:v>
      </x:c>
      <x:c r="U14" s="20" t="str">
        <x:v>是（公共奖池）</x:v>
      </x:c>
      <x:c r="V14" s="22" t="str">
        <x:v>结构定稿</x:v>
      </x:c>
      <x:c r="W14" s="36" t="str">
        <x:v>用户自行分配／本表不处理</x:v>
      </x:c>
      <x:c r="X14" s="33" t="n">
        <x:v>6474</x:v>
      </x:c>
      <x:c r="Y14" s="29" t="str">
        <x:v>后期统一平衡</x:v>
      </x:c>
      <x:c r="Z14" s="20" t="str">
        <x:v>一怪一专属；专属来源跟随本行准确地图号</x:v>
      </x:c>
    </x:row>
    <x:row r="15" ht="24" customHeight="1">
      <x:c r="A15" s="20" t="str">
        <x:v>C03-M011</x:v>
      </x:c>
      <x:c r="B15" s="20" t="str">
        <x:v>C03</x:v>
      </x:c>
      <x:c r="C15" s="20" t="str">
        <x:v>宁姆格福西域</x:v>
      </x:c>
      <x:c r="D15" s="20" t="n">
        <x:v>1</x:v>
      </x:c>
      <x:c r="E15" s="20" t="str">
        <x:v>西境荒原</x:v>
      </x:c>
      <x:c r="F15" s="20" t="n">
        <x:v>3</x:v>
      </x:c>
      <x:c r="G15" s="20" t="str">
        <x:v>XX775</x:v>
      </x:c>
      <x:c r="H15" s="20" t="str">
        <x:v>西境战场</x:v>
      </x:c>
      <x:c r="I15" s="20" t="str">
        <x:v>断旗统领·瓦伦</x:v>
      </x:c>
      <x:c r="J15" s="20" t="str">
        <x:v>粉色</x:v>
      </x:c>
      <x:c r="K15" s="20" t="str">
        <x:v>地图BOSS</x:v>
      </x:c>
      <x:c r="L15" s="20" t="str">
        <x:v>人形·统领</x:v>
      </x:c>
      <x:c r="M15" s="20" t="str">
        <x:v>近战统御</x:v>
      </x:c>
      <x:c r="N15" s="20" t="str">
        <x:v>统领断旗枪</x:v>
      </x:c>
      <x:c r="O15" s="20" t="str">
        <x:v>武器</x:v>
      </x:c>
      <x:c r="P15" s="20" t="str">
        <x:v>风蚀铁片</x:v>
      </x:c>
      <x:c r="Q15" s="20" t="str">
        <x:v>西境战旗＋西境战旗印</x:v>
      </x:c>
      <x:c r="R15" s="20" t="str">
        <x:v>守垒铜钥</x:v>
      </x:c>
      <x:c r="S15" s="20" t="str">
        <x:v>西境风痕碑拓</x:v>
      </x:c>
      <x:c r="T15" s="20" t="str">
        <x:v>是（独立奖池）</x:v>
      </x:c>
      <x:c r="U15" s="20" t="str">
        <x:v>是（公共奖池）</x:v>
      </x:c>
      <x:c r="V15" s="22" t="str">
        <x:v>结构定稿</x:v>
      </x:c>
      <x:c r="W15" s="36" t="str">
        <x:v>用户自行分配／本表不处理</x:v>
      </x:c>
      <x:c r="X15" s="33" t="n">
        <x:v>6396</x:v>
      </x:c>
      <x:c r="Y15" s="29" t="str">
        <x:v>后期统一平衡</x:v>
      </x:c>
      <x:c r="Z15" s="20" t="str">
        <x:v>一怪一专属；专属来源跟随本行准确地图号</x:v>
      </x:c>
    </x:row>
    <x:row r="16" ht="24" customHeight="1">
      <x:c r="A16" s="20" t="str">
        <x:v>C03-M012</x:v>
      </x:c>
      <x:c r="B16" s="20" t="str">
        <x:v>C03</x:v>
      </x:c>
      <x:c r="C16" s="20" t="str">
        <x:v>宁姆格福西域</x:v>
      </x:c>
      <x:c r="D16" s="20" t="n">
        <x:v>1</x:v>
      </x:c>
      <x:c r="E16" s="20" t="str">
        <x:v>西境荒原</x:v>
      </x:c>
      <x:c r="F16" s="20" t="n">
        <x:v>4</x:v>
      </x:c>
      <x:c r="G16" s="20" t="str">
        <x:v>XX778</x:v>
      </x:c>
      <x:c r="H16" s="20" t="str">
        <x:v>荒原祭场</x:v>
      </x:c>
      <x:c r="I16" s="20" t="str">
        <x:v>荒原巨犀·莫赫</x:v>
      </x:c>
      <x:c r="J16" s="20" t="str">
        <x:v>粉色</x:v>
      </x:c>
      <x:c r="K16" s="20" t="str">
        <x:v>地图BOSS</x:v>
      </x:c>
      <x:c r="L16" s="20" t="str">
        <x:v>巨兽·荒犀</x:v>
      </x:c>
      <x:c r="M16" s="20" t="str">
        <x:v>重装冲撞</x:v>
      </x:c>
      <x:c r="N16" s="20" t="str">
        <x:v>巨犀荒铠</x:v>
      </x:c>
      <x:c r="O16" s="20" t="str">
        <x:v>衣服</x:v>
      </x:c>
      <x:c r="P16" s="20" t="str">
        <x:v>风蚀铁片</x:v>
      </x:c>
      <x:c r="Q16" s="20" t="str">
        <x:v>西境战旗＋西境战旗印</x:v>
      </x:c>
      <x:c r="R16" s="20" t="str">
        <x:v>守垒铜钥</x:v>
      </x:c>
      <x:c r="S16" s="20" t="str">
        <x:v>西境风痕碑拓</x:v>
      </x:c>
      <x:c r="T16" s="20" t="str">
        <x:v>是（独立奖池）</x:v>
      </x:c>
      <x:c r="U16" s="20" t="str">
        <x:v>是（公共奖池）</x:v>
      </x:c>
      <x:c r="V16" s="22" t="str">
        <x:v>结构定稿</x:v>
      </x:c>
      <x:c r="W16" s="36" t="str">
        <x:v>用户自行分配／本表不处理</x:v>
      </x:c>
      <x:c r="X16" s="33" t="n">
        <x:v>6397</x:v>
      </x:c>
      <x:c r="Y16" s="29" t="str">
        <x:v>后期统一平衡</x:v>
      </x:c>
      <x:c r="Z16" s="20" t="str">
        <x:v>一怪一专属；专属来源跟随本行准确地图号</x:v>
      </x:c>
    </x:row>
    <x:row r="17" ht="24" customHeight="1">
      <x:c r="A17" s="20" t="str">
        <x:v>C03-M013</x:v>
      </x:c>
      <x:c r="B17" s="20" t="str">
        <x:v>C03</x:v>
      </x:c>
      <x:c r="C17" s="20" t="str">
        <x:v>宁姆格福西域</x:v>
      </x:c>
      <x:c r="D17" s="20" t="n">
        <x:v>2</x:v>
      </x:c>
      <x:c r="E17" s="20" t="str">
        <x:v>海风断崖</x:v>
      </x:c>
      <x:c r="F17" s="20" t="n">
        <x:v>1</x:v>
      </x:c>
      <x:c r="G17" s="20" t="str">
        <x:v>XX332</x:v>
      </x:c>
      <x:c r="H17" s="20" t="str">
        <x:v>海风断崖</x:v>
      </x:c>
      <x:c r="I17" s="20" t="str">
        <x:v>海崖盐工</x:v>
      </x:c>
      <x:c r="J17" s="20" t="str">
        <x:v>黄色</x:v>
      </x:c>
      <x:c r="K17" s="20" t="str">
        <x:v>普通</x:v>
      </x:c>
      <x:c r="L17" s="20" t="str">
        <x:v>人形·盐工</x:v>
      </x:c>
      <x:c r="M17" s="20" t="str">
        <x:v>近战牵制</x:v>
      </x:c>
      <x:c r="N17" s="20" t="str">
        <x:v>盐晶短刃</x:v>
      </x:c>
      <x:c r="O17" s="20" t="str">
        <x:v>武器</x:v>
      </x:c>
      <x:c r="P17" s="20" t="str">
        <x:v>风蚀铁片</x:v>
      </x:c>
      <x:c r="Q17" s="20" t="str"/>
      <x:c r="R17" s="20" t="str">
        <x:v>裂风崖羽</x:v>
      </x:c>
      <x:c r="S17" s="20" t="str">
        <x:v>西境风痕碑拓</x:v>
      </x:c>
      <x:c r="T17" s="20" t="str">
        <x:v>否</x:v>
      </x:c>
      <x:c r="U17" s="20" t="str">
        <x:v>是（公共奖池）</x:v>
      </x:c>
      <x:c r="V17" s="22" t="str">
        <x:v>结构定稿</x:v>
      </x:c>
      <x:c r="W17" s="36" t="str">
        <x:v>用户自行分配／本表不处理</x:v>
      </x:c>
      <x:c r="X17" s="34" t="str">
        <x:v>缺武器来源码</x:v>
      </x:c>
      <x:c r="Y17" s="29" t="str">
        <x:v>后期统一平衡</x:v>
      </x:c>
      <x:c r="Z17" s="20" t="str">
        <x:v>一怪一专属；专属来源跟随本行准确地图号</x:v>
      </x:c>
    </x:row>
    <x:row r="18" ht="24" customHeight="1">
      <x:c r="A18" s="20" t="str">
        <x:v>C03-M014</x:v>
      </x:c>
      <x:c r="B18" s="20" t="str">
        <x:v>C03</x:v>
      </x:c>
      <x:c r="C18" s="20" t="str">
        <x:v>宁姆格福西域</x:v>
      </x:c>
      <x:c r="D18" s="20" t="n">
        <x:v>2</x:v>
      </x:c>
      <x:c r="E18" s="20" t="str">
        <x:v>海风断崖</x:v>
      </x:c>
      <x:c r="F18" s="20" t="n">
        <x:v>2</x:v>
      </x:c>
      <x:c r="G18" s="20" t="str">
        <x:v>XX333</x:v>
      </x:c>
      <x:c r="H18" s="20" t="str">
        <x:v>断崖险径</x:v>
      </x:c>
      <x:c r="I18" s="20" t="str">
        <x:v>逐风矛兵</x:v>
      </x:c>
      <x:c r="J18" s="20" t="str">
        <x:v>黄色</x:v>
      </x:c>
      <x:c r="K18" s="20" t="str">
        <x:v>普通</x:v>
      </x:c>
      <x:c r="L18" s="20" t="str">
        <x:v>人形·矛兵</x:v>
      </x:c>
      <x:c r="M18" s="20" t="str">
        <x:v>长柄突进</x:v>
      </x:c>
      <x:c r="N18" s="20" t="str">
        <x:v>逐风长矛</x:v>
      </x:c>
      <x:c r="O18" s="20" t="str">
        <x:v>武器</x:v>
      </x:c>
      <x:c r="P18" s="20" t="str">
        <x:v>风蚀铁片</x:v>
      </x:c>
      <x:c r="Q18" s="20" t="str"/>
      <x:c r="R18" s="20" t="str">
        <x:v>裂风崖羽</x:v>
      </x:c>
      <x:c r="S18" s="20" t="str">
        <x:v>西境风痕碑拓</x:v>
      </x:c>
      <x:c r="T18" s="20" t="str">
        <x:v>否</x:v>
      </x:c>
      <x:c r="U18" s="20" t="str">
        <x:v>是（公共奖池）</x:v>
      </x:c>
      <x:c r="V18" s="22" t="str">
        <x:v>结构定稿</x:v>
      </x:c>
      <x:c r="W18" s="36" t="str">
        <x:v>用户自行分配／本表不处理</x:v>
      </x:c>
      <x:c r="X18" s="34" t="str">
        <x:v>缺武器来源码</x:v>
      </x:c>
      <x:c r="Y18" s="29" t="str">
        <x:v>后期统一平衡</x:v>
      </x:c>
      <x:c r="Z18" s="20" t="str">
        <x:v>一怪一专属；专属来源跟随本行准确地图号</x:v>
      </x:c>
    </x:row>
    <x:row r="19" ht="24" customHeight="1">
      <x:c r="A19" s="20" t="str">
        <x:v>C03-M015</x:v>
      </x:c>
      <x:c r="B19" s="20" t="str">
        <x:v>C03</x:v>
      </x:c>
      <x:c r="C19" s="20" t="str">
        <x:v>宁姆格福西域</x:v>
      </x:c>
      <x:c r="D19" s="20" t="n">
        <x:v>2</x:v>
      </x:c>
      <x:c r="E19" s="20" t="str">
        <x:v>海风断崖</x:v>
      </x:c>
      <x:c r="F19" s="20" t="n">
        <x:v>3</x:v>
      </x:c>
      <x:c r="G19" s="20" t="str">
        <x:v>XX334</x:v>
      </x:c>
      <x:c r="H19" s="20" t="str">
        <x:v>风蚀高台</x:v>
      </x:c>
      <x:c r="I19" s="20" t="str">
        <x:v>裂羽海鹰</x:v>
      </x:c>
      <x:c r="J19" s="20" t="str">
        <x:v>黄色</x:v>
      </x:c>
      <x:c r="K19" s="20" t="str">
        <x:v>普通</x:v>
      </x:c>
      <x:c r="L19" s="20" t="str">
        <x:v>飞禽·海鹰</x:v>
      </x:c>
      <x:c r="M19" s="20" t="str">
        <x:v>俯冲袭扰</x:v>
      </x:c>
      <x:c r="N19" s="20" t="str">
        <x:v>裂羽护腕</x:v>
      </x:c>
      <x:c r="O19" s="20" t="str">
        <x:v>手镯</x:v>
      </x:c>
      <x:c r="P19" s="20" t="str">
        <x:v>风蚀铁片</x:v>
      </x:c>
      <x:c r="Q19" s="20" t="str"/>
      <x:c r="R19" s="20" t="str">
        <x:v>裂风崖羽</x:v>
      </x:c>
      <x:c r="S19" s="20" t="str">
        <x:v>西境风痕碑拓</x:v>
      </x:c>
      <x:c r="T19" s="20" t="str">
        <x:v>否</x:v>
      </x:c>
      <x:c r="U19" s="20" t="str">
        <x:v>是（公共奖池）</x:v>
      </x:c>
      <x:c r="V19" s="22" t="str">
        <x:v>结构定稿</x:v>
      </x:c>
      <x:c r="W19" s="36" t="str">
        <x:v>用户自行分配／本表不处理</x:v>
      </x:c>
      <x:c r="X19" s="33" t="n">
        <x:v>6507</x:v>
      </x:c>
      <x:c r="Y19" s="29" t="str">
        <x:v>后期统一平衡</x:v>
      </x:c>
      <x:c r="Z19" s="20" t="str">
        <x:v>一怪一专属；专属来源跟随本行准确地图号</x:v>
      </x:c>
    </x:row>
    <x:row r="20" ht="24" customHeight="1">
      <x:c r="A20" s="20" t="str">
        <x:v>C03-M016</x:v>
      </x:c>
      <x:c r="B20" s="20" t="str">
        <x:v>C03</x:v>
      </x:c>
      <x:c r="C20" s="20" t="str">
        <x:v>宁姆格福西域</x:v>
      </x:c>
      <x:c r="D20" s="20" t="n">
        <x:v>2</x:v>
      </x:c>
      <x:c r="E20" s="20" t="str">
        <x:v>海风断崖</x:v>
      </x:c>
      <x:c r="F20" s="20" t="n">
        <x:v>1</x:v>
      </x:c>
      <x:c r="G20" s="20" t="str">
        <x:v>XX332</x:v>
      </x:c>
      <x:c r="H20" s="20" t="str">
        <x:v>海风断崖</x:v>
      </x:c>
      <x:c r="I20" s="20" t="str">
        <x:v>潮穴石蜥</x:v>
      </x:c>
      <x:c r="J20" s="20" t="str">
        <x:v>黄色</x:v>
      </x:c>
      <x:c r="K20" s="20" t="str">
        <x:v>普通</x:v>
      </x:c>
      <x:c r="L20" s="20" t="str">
        <x:v>爬兽·石蜥</x:v>
      </x:c>
      <x:c r="M20" s="20" t="str">
        <x:v>重甲伏击</x:v>
      </x:c>
      <x:c r="N20" s="20" t="str">
        <x:v>潮穴石盾</x:v>
      </x:c>
      <x:c r="O20" s="20" t="str">
        <x:v>盾牌</x:v>
      </x:c>
      <x:c r="P20" s="20" t="str">
        <x:v>风蚀铁片</x:v>
      </x:c>
      <x:c r="Q20" s="20" t="str"/>
      <x:c r="R20" s="20" t="str">
        <x:v>裂风崖羽</x:v>
      </x:c>
      <x:c r="S20" s="20" t="str">
        <x:v>西境风痕碑拓</x:v>
      </x:c>
      <x:c r="T20" s="20" t="str">
        <x:v>否</x:v>
      </x:c>
      <x:c r="U20" s="20" t="str">
        <x:v>是（公共奖池）</x:v>
      </x:c>
      <x:c r="V20" s="22" t="str">
        <x:v>结构定稿</x:v>
      </x:c>
      <x:c r="W20" s="36" t="str">
        <x:v>用户自行分配／本表不处理</x:v>
      </x:c>
      <x:c r="X20" s="33" t="n">
        <x:v>6475</x:v>
      </x:c>
      <x:c r="Y20" s="29" t="str">
        <x:v>后期统一平衡</x:v>
      </x:c>
      <x:c r="Z20" s="20" t="str">
        <x:v>一怪一专属；专属来源跟随本行准确地图号</x:v>
      </x:c>
    </x:row>
    <x:row r="21" ht="24" customHeight="1">
      <x:c r="A21" s="20" t="str">
        <x:v>C03-M017</x:v>
      </x:c>
      <x:c r="B21" s="20" t="str">
        <x:v>C03</x:v>
      </x:c>
      <x:c r="C21" s="20" t="str">
        <x:v>宁姆格福西域</x:v>
      </x:c>
      <x:c r="D21" s="20" t="n">
        <x:v>2</x:v>
      </x:c>
      <x:c r="E21" s="20" t="str">
        <x:v>海风断崖</x:v>
      </x:c>
      <x:c r="F21" s="20" t="n">
        <x:v>2</x:v>
      </x:c>
      <x:c r="G21" s="20" t="str">
        <x:v>XX333</x:v>
      </x:c>
      <x:c r="H21" s="20" t="str">
        <x:v>断崖险径</x:v>
      </x:c>
      <x:c r="I21" s="20" t="str">
        <x:v>断索流徒</x:v>
      </x:c>
      <x:c r="J21" s="20" t="str">
        <x:v>黄色</x:v>
      </x:c>
      <x:c r="K21" s="20" t="str">
        <x:v>普通</x:v>
      </x:c>
      <x:c r="L21" s="20" t="str">
        <x:v>人形·流徒</x:v>
      </x:c>
      <x:c r="M21" s="20" t="str">
        <x:v>近战游击</x:v>
      </x:c>
      <x:c r="N21" s="20" t="str">
        <x:v>断索束带</x:v>
      </x:c>
      <x:c r="O21" s="20" t="str">
        <x:v>腰带</x:v>
      </x:c>
      <x:c r="P21" s="20" t="str">
        <x:v>风蚀铁片</x:v>
      </x:c>
      <x:c r="Q21" s="20" t="str"/>
      <x:c r="R21" s="20" t="str">
        <x:v>裂风崖羽</x:v>
      </x:c>
      <x:c r="S21" s="20" t="str">
        <x:v>西境风痕碑拓</x:v>
      </x:c>
      <x:c r="T21" s="20" t="str">
        <x:v>否</x:v>
      </x:c>
      <x:c r="U21" s="20" t="str">
        <x:v>是（公共奖池）</x:v>
      </x:c>
      <x:c r="V21" s="22" t="str">
        <x:v>结构定稿</x:v>
      </x:c>
      <x:c r="W21" s="36" t="str">
        <x:v>用户自行分配／本表不处理</x:v>
      </x:c>
      <x:c r="X21" s="33" t="n">
        <x:v>6513</x:v>
      </x:c>
      <x:c r="Y21" s="29" t="str">
        <x:v>后期统一平衡</x:v>
      </x:c>
      <x:c r="Z21" s="20" t="str">
        <x:v>一怪一专属；专属来源跟随本行准确地图号</x:v>
      </x:c>
    </x:row>
    <x:row r="22" ht="24" customHeight="1">
      <x:c r="A22" s="20" t="str">
        <x:v>C03-M018</x:v>
      </x:c>
      <x:c r="B22" s="20" t="str">
        <x:v>C03</x:v>
      </x:c>
      <x:c r="C22" s="20" t="str">
        <x:v>宁姆格福西域</x:v>
      </x:c>
      <x:c r="D22" s="20" t="n">
        <x:v>2</x:v>
      </x:c>
      <x:c r="E22" s="20" t="str">
        <x:v>海风断崖</x:v>
      </x:c>
      <x:c r="F22" s="20" t="n">
        <x:v>4</x:v>
      </x:c>
      <x:c r="G22" s="20" t="str">
        <x:v>XX335</x:v>
      </x:c>
      <x:c r="H22" s="20" t="str">
        <x:v>临海祭台</x:v>
      </x:c>
      <x:c r="I22" s="20" t="str">
        <x:v>崖边祷徒</x:v>
      </x:c>
      <x:c r="J22" s="20" t="str">
        <x:v>黄色</x:v>
      </x:c>
      <x:c r="K22" s="20" t="str">
        <x:v>普通</x:v>
      </x:c>
      <x:c r="L22" s="20" t="str">
        <x:v>人形·祷徒</x:v>
      </x:c>
      <x:c r="M22" s="20" t="str">
        <x:v>祷术支援</x:v>
      </x:c>
      <x:c r="N22" s="20" t="str">
        <x:v>海崖祷链</x:v>
      </x:c>
      <x:c r="O22" s="20" t="str">
        <x:v>项链</x:v>
      </x:c>
      <x:c r="P22" s="20" t="str">
        <x:v>风蚀铁片</x:v>
      </x:c>
      <x:c r="Q22" s="20" t="str"/>
      <x:c r="R22" s="20" t="str">
        <x:v>裂风崖羽</x:v>
      </x:c>
      <x:c r="S22" s="20" t="str">
        <x:v>西境风痕碑拓</x:v>
      </x:c>
      <x:c r="T22" s="20" t="str">
        <x:v>否</x:v>
      </x:c>
      <x:c r="U22" s="20" t="str">
        <x:v>是（公共奖池）</x:v>
      </x:c>
      <x:c r="V22" s="22" t="str">
        <x:v>结构定稿</x:v>
      </x:c>
      <x:c r="W22" s="36" t="str">
        <x:v>用户自行分配／本表不处理</x:v>
      </x:c>
      <x:c r="X22" s="33" t="n">
        <x:v>6541</x:v>
      </x:c>
      <x:c r="Y22" s="29" t="str">
        <x:v>后期统一平衡</x:v>
      </x:c>
      <x:c r="Z22" s="20" t="str">
        <x:v>一怪一专属；专属来源跟随本行准确地图号</x:v>
      </x:c>
    </x:row>
    <x:row r="23" ht="24" customHeight="1">
      <x:c r="A23" s="20" t="str">
        <x:v>C03-M019</x:v>
      </x:c>
      <x:c r="B23" s="20" t="str">
        <x:v>C03</x:v>
      </x:c>
      <x:c r="C23" s="20" t="str">
        <x:v>宁姆格福西域</x:v>
      </x:c>
      <x:c r="D23" s="20" t="n">
        <x:v>2</x:v>
      </x:c>
      <x:c r="E23" s="20" t="str">
        <x:v>海风断崖</x:v>
      </x:c>
      <x:c r="F23" s="20" t="n">
        <x:v>3</x:v>
      </x:c>
      <x:c r="G23" s="20" t="str">
        <x:v>XX334</x:v>
      </x:c>
      <x:c r="H23" s="20" t="str">
        <x:v>风蚀高台</x:v>
      </x:c>
      <x:c r="I23" s="20" t="str">
        <x:v>风蚀守望者</x:v>
      </x:c>
      <x:c r="J23" s="20" t="str">
        <x:v>蓝色</x:v>
      </x:c>
      <x:c r="K23" s="20" t="str">
        <x:v>稀有</x:v>
      </x:c>
      <x:c r="L23" s="20" t="str">
        <x:v>人形·守望者</x:v>
      </x:c>
      <x:c r="M23" s="20" t="str">
        <x:v>远程警戒</x:v>
      </x:c>
      <x:c r="N23" s="20" t="str">
        <x:v>风蚀眺盔</x:v>
      </x:c>
      <x:c r="O23" s="20" t="str">
        <x:v>头盔</x:v>
      </x:c>
      <x:c r="P23" s="20" t="str">
        <x:v>风蚀铁片</x:v>
      </x:c>
      <x:c r="Q23" s="20" t="str">
        <x:v>西境战旗</x:v>
      </x:c>
      <x:c r="R23" s="20" t="str">
        <x:v>商队火漆</x:v>
      </x:c>
      <x:c r="S23" s="20" t="str">
        <x:v>西境风痕碑拓</x:v>
      </x:c>
      <x:c r="T23" s="20" t="str">
        <x:v>否</x:v>
      </x:c>
      <x:c r="U23" s="20" t="str">
        <x:v>是（公共奖池）</x:v>
      </x:c>
      <x:c r="V23" s="22" t="str">
        <x:v>结构定稿</x:v>
      </x:c>
      <x:c r="W23" s="36" t="str">
        <x:v>用户自行分配／本表不处理</x:v>
      </x:c>
      <x:c r="X23" s="33" t="n">
        <x:v>6504</x:v>
      </x:c>
      <x:c r="Y23" s="29" t="str">
        <x:v>后期统一平衡</x:v>
      </x:c>
      <x:c r="Z23" s="20" t="str">
        <x:v>一怪一专属；专属来源跟随本行准确地图号</x:v>
      </x:c>
    </x:row>
    <x:row r="24" ht="24" customHeight="1">
      <x:c r="A24" s="20" t="str">
        <x:v>C03-M020</x:v>
      </x:c>
      <x:c r="B24" s="20" t="str">
        <x:v>C03</x:v>
      </x:c>
      <x:c r="C24" s="20" t="str">
        <x:v>宁姆格福西域</x:v>
      </x:c>
      <x:c r="D24" s="20" t="n">
        <x:v>2</x:v>
      </x:c>
      <x:c r="E24" s="20" t="str">
        <x:v>海风断崖</x:v>
      </x:c>
      <x:c r="F24" s="20" t="n">
        <x:v>1</x:v>
      </x:c>
      <x:c r="G24" s="20" t="str">
        <x:v>XX332</x:v>
      </x:c>
      <x:c r="H24" s="20" t="str">
        <x:v>海风断崖</x:v>
      </x:c>
      <x:c r="I24" s="20" t="str">
        <x:v>斩浪骑士</x:v>
      </x:c>
      <x:c r="J24" s="20" t="str">
        <x:v>蓝色</x:v>
      </x:c>
      <x:c r="K24" s="20" t="str">
        <x:v>稀有</x:v>
      </x:c>
      <x:c r="L24" s="20" t="str">
        <x:v>人形·骑士</x:v>
      </x:c>
      <x:c r="M24" s="20" t="str">
        <x:v>近战突击</x:v>
      </x:c>
      <x:c r="N24" s="20" t="str">
        <x:v>斩浪战衣</x:v>
      </x:c>
      <x:c r="O24" s="20" t="str">
        <x:v>衣服</x:v>
      </x:c>
      <x:c r="P24" s="20" t="str">
        <x:v>风蚀铁片</x:v>
      </x:c>
      <x:c r="Q24" s="20" t="str">
        <x:v>西境战旗</x:v>
      </x:c>
      <x:c r="R24" s="20" t="str">
        <x:v>商队火漆</x:v>
      </x:c>
      <x:c r="S24" s="20" t="str">
        <x:v>西境风痕碑拓</x:v>
      </x:c>
      <x:c r="T24" s="20" t="str">
        <x:v>否</x:v>
      </x:c>
      <x:c r="U24" s="20" t="str">
        <x:v>是（公共奖池）</x:v>
      </x:c>
      <x:c r="V24" s="22" t="str">
        <x:v>结构定稿</x:v>
      </x:c>
      <x:c r="W24" s="36" t="str">
        <x:v>用户自行分配／本表不处理</x:v>
      </x:c>
      <x:c r="X24" s="34" t="str">
        <x:v>缺衣服来源码</x:v>
      </x:c>
      <x:c r="Y24" s="29" t="str">
        <x:v>后期统一平衡</x:v>
      </x:c>
      <x:c r="Z24" s="20" t="str">
        <x:v>一怪一专属；专属来源跟随本行准确地图号</x:v>
      </x:c>
    </x:row>
    <x:row r="25" ht="24" customHeight="1">
      <x:c r="A25" s="20" t="str">
        <x:v>C03-M021</x:v>
      </x:c>
      <x:c r="B25" s="20" t="str">
        <x:v>C03</x:v>
      </x:c>
      <x:c r="C25" s="20" t="str">
        <x:v>宁姆格福西域</x:v>
      </x:c>
      <x:c r="D25" s="20" t="n">
        <x:v>2</x:v>
      </x:c>
      <x:c r="E25" s="20" t="str">
        <x:v>海风断崖</x:v>
      </x:c>
      <x:c r="F25" s="20" t="n">
        <x:v>2</x:v>
      </x:c>
      <x:c r="G25" s="20" t="str">
        <x:v>XX333</x:v>
      </x:c>
      <x:c r="H25" s="20" t="str">
        <x:v>断崖险径</x:v>
      </x:c>
      <x:c r="I25" s="20" t="str">
        <x:v>海雾猎手</x:v>
      </x:c>
      <x:c r="J25" s="20" t="str">
        <x:v>蓝色</x:v>
      </x:c>
      <x:c r="K25" s="20" t="str">
        <x:v>稀有</x:v>
      </x:c>
      <x:c r="L25" s="20" t="str">
        <x:v>人形·猎手</x:v>
      </x:c>
      <x:c r="M25" s="20" t="str">
        <x:v>远程伏击</x:v>
      </x:c>
      <x:c r="N25" s="20" t="str">
        <x:v>海雾猎戒</x:v>
      </x:c>
      <x:c r="O25" s="20" t="str">
        <x:v>戒指</x:v>
      </x:c>
      <x:c r="P25" s="20" t="str">
        <x:v>风蚀铁片</x:v>
      </x:c>
      <x:c r="Q25" s="20" t="str">
        <x:v>西境战旗</x:v>
      </x:c>
      <x:c r="R25" s="20" t="str">
        <x:v>商队火漆</x:v>
      </x:c>
      <x:c r="S25" s="20" t="str">
        <x:v>西境风痕碑拓</x:v>
      </x:c>
      <x:c r="T25" s="20" t="str">
        <x:v>否</x:v>
      </x:c>
      <x:c r="U25" s="20" t="str">
        <x:v>是（公共奖池）</x:v>
      </x:c>
      <x:c r="V25" s="22" t="str">
        <x:v>结构定稿</x:v>
      </x:c>
      <x:c r="W25" s="36" t="str">
        <x:v>用户自行分配／本表不处理</x:v>
      </x:c>
      <x:c r="X25" s="33" t="n">
        <x:v>6508</x:v>
      </x:c>
      <x:c r="Y25" s="29" t="str">
        <x:v>后期统一平衡</x:v>
      </x:c>
      <x:c r="Z25" s="20" t="str">
        <x:v>一怪一专属；专属来源跟随本行准确地图号</x:v>
      </x:c>
    </x:row>
    <x:row r="26" ht="24" customHeight="1">
      <x:c r="A26" s="20" t="str">
        <x:v>C03-M022</x:v>
      </x:c>
      <x:c r="B26" s="20" t="str">
        <x:v>C03</x:v>
      </x:c>
      <x:c r="C26" s="20" t="str">
        <x:v>宁姆格福西域</x:v>
      </x:c>
      <x:c r="D26" s="20" t="n">
        <x:v>2</x:v>
      </x:c>
      <x:c r="E26" s="20" t="str">
        <x:v>海风断崖</x:v>
      </x:c>
      <x:c r="F26" s="20" t="n">
        <x:v>4</x:v>
      </x:c>
      <x:c r="G26" s="20" t="str">
        <x:v>XX335</x:v>
      </x:c>
      <x:c r="H26" s="20" t="str">
        <x:v>临海祭台</x:v>
      </x:c>
      <x:c r="I26" s="20" t="str">
        <x:v>雷崖祭司</x:v>
      </x:c>
      <x:c r="J26" s="20" t="str">
        <x:v>蓝色</x:v>
      </x:c>
      <x:c r="K26" s="20" t="str">
        <x:v>稀有</x:v>
      </x:c>
      <x:c r="L26" s="20" t="str">
        <x:v>人形·祭司</x:v>
      </x:c>
      <x:c r="M26" s="20" t="str">
        <x:v>雷术控场</x:v>
      </x:c>
      <x:c r="N26" s="20" t="str">
        <x:v>霆崖祭冠</x:v>
      </x:c>
      <x:c r="O26" s="20" t="str">
        <x:v>头盔</x:v>
      </x:c>
      <x:c r="P26" s="20" t="str">
        <x:v>风蚀铁片</x:v>
      </x:c>
      <x:c r="Q26" s="20" t="str">
        <x:v>西境战旗</x:v>
      </x:c>
      <x:c r="R26" s="20" t="str">
        <x:v>商队火漆</x:v>
      </x:c>
      <x:c r="S26" s="20" t="str">
        <x:v>西境风痕碑拓</x:v>
      </x:c>
      <x:c r="T26" s="20" t="str">
        <x:v>否</x:v>
      </x:c>
      <x:c r="U26" s="20" t="str">
        <x:v>是（公共奖池）</x:v>
      </x:c>
      <x:c r="V26" s="22" t="str">
        <x:v>结构定稿</x:v>
      </x:c>
      <x:c r="W26" s="36" t="str">
        <x:v>用户自行分配／本表不处理</x:v>
      </x:c>
      <x:c r="X26" s="33" t="n">
        <x:v>6539</x:v>
      </x:c>
      <x:c r="Y26" s="29" t="str">
        <x:v>后期统一平衡</x:v>
      </x:c>
      <x:c r="Z26" s="20" t="str">
        <x:v>一怪一专属；专属来源跟随本行准确地图号</x:v>
      </x:c>
    </x:row>
    <x:row r="27" ht="24" customHeight="1">
      <x:c r="A27" s="20" t="str">
        <x:v>C03-M023</x:v>
      </x:c>
      <x:c r="B27" s="20" t="str">
        <x:v>C03</x:v>
      </x:c>
      <x:c r="C27" s="20" t="str">
        <x:v>宁姆格福西域</x:v>
      </x:c>
      <x:c r="D27" s="20" t="n">
        <x:v>2</x:v>
      </x:c>
      <x:c r="E27" s="20" t="str">
        <x:v>海风断崖</x:v>
      </x:c>
      <x:c r="F27" s="20" t="n">
        <x:v>3</x:v>
      </x:c>
      <x:c r="G27" s="20" t="str">
        <x:v>XX334</x:v>
      </x:c>
      <x:c r="H27" s="20" t="str">
        <x:v>风蚀高台</x:v>
      </x:c>
      <x:c r="I27" s="20" t="str">
        <x:v>裂风执旗官·卡恩</x:v>
      </x:c>
      <x:c r="J27" s="20" t="str">
        <x:v>粉色</x:v>
      </x:c>
      <x:c r="K27" s="20" t="str">
        <x:v>地图BOSS</x:v>
      </x:c>
      <x:c r="L27" s="20" t="str">
        <x:v>人形·执旗官</x:v>
      </x:c>
      <x:c r="M27" s="20" t="str">
        <x:v>阵地统御</x:v>
      </x:c>
      <x:c r="N27" s="20" t="str">
        <x:v>裂风战旗刃</x:v>
      </x:c>
      <x:c r="O27" s="20" t="str">
        <x:v>武器</x:v>
      </x:c>
      <x:c r="P27" s="20" t="str">
        <x:v>风蚀铁片</x:v>
      </x:c>
      <x:c r="Q27" s="20" t="str">
        <x:v>西境战旗＋西境战旗印</x:v>
      </x:c>
      <x:c r="R27" s="20" t="str">
        <x:v>守垒铜钥</x:v>
      </x:c>
      <x:c r="S27" s="20" t="str">
        <x:v>西境风痕碑拓</x:v>
      </x:c>
      <x:c r="T27" s="20" t="str">
        <x:v>是（独立奖池）</x:v>
      </x:c>
      <x:c r="U27" s="20" t="str">
        <x:v>是（公共奖池）</x:v>
      </x:c>
      <x:c r="V27" s="22" t="str">
        <x:v>结构定稿</x:v>
      </x:c>
      <x:c r="W27" s="36" t="str">
        <x:v>用户自行分配／本表不处理</x:v>
      </x:c>
      <x:c r="X27" s="33" t="n">
        <x:v>6466</x:v>
      </x:c>
      <x:c r="Y27" s="29" t="str">
        <x:v>后期统一平衡</x:v>
      </x:c>
      <x:c r="Z27" s="20" t="str">
        <x:v>一怪一专属；专属来源跟随本行准确地图号</x:v>
      </x:c>
    </x:row>
    <x:row r="28" ht="24" customHeight="1">
      <x:c r="A28" s="20" t="str">
        <x:v>C03-M024</x:v>
      </x:c>
      <x:c r="B28" s="20" t="str">
        <x:v>C03</x:v>
      </x:c>
      <x:c r="C28" s="20" t="str">
        <x:v>宁姆格福西域</x:v>
      </x:c>
      <x:c r="D28" s="20" t="n">
        <x:v>2</x:v>
      </x:c>
      <x:c r="E28" s="20" t="str">
        <x:v>海风断崖</x:v>
      </x:c>
      <x:c r="F28" s="20" t="n">
        <x:v>4</x:v>
      </x:c>
      <x:c r="G28" s="20" t="str">
        <x:v>XX335</x:v>
      </x:c>
      <x:c r="H28" s="20" t="str">
        <x:v>临海祭台</x:v>
      </x:c>
      <x:c r="I28" s="20" t="str">
        <x:v>啸海古翼·塞洛</x:v>
      </x:c>
      <x:c r="J28" s="20" t="str">
        <x:v>粉色</x:v>
      </x:c>
      <x:c r="K28" s="20" t="str">
        <x:v>地图BOSS</x:v>
      </x:c>
      <x:c r="L28" s="20" t="str">
        <x:v>飞兽·古翼</x:v>
      </x:c>
      <x:c r="M28" s="20" t="str">
        <x:v>飞行压制</x:v>
      </x:c>
      <x:c r="N28" s="20" t="str">
        <x:v>啸海翼铠</x:v>
      </x:c>
      <x:c r="O28" s="20" t="str">
        <x:v>衣服</x:v>
      </x:c>
      <x:c r="P28" s="20" t="str">
        <x:v>风蚀铁片</x:v>
      </x:c>
      <x:c r="Q28" s="20" t="str">
        <x:v>西境战旗＋西境战旗印</x:v>
      </x:c>
      <x:c r="R28" s="20" t="str">
        <x:v>守垒铜钥</x:v>
      </x:c>
      <x:c r="S28" s="20" t="str">
        <x:v>西境风痕碑拓</x:v>
      </x:c>
      <x:c r="T28" s="20" t="str">
        <x:v>是（独立奖池）</x:v>
      </x:c>
      <x:c r="U28" s="20" t="str">
        <x:v>是（公共奖池）</x:v>
      </x:c>
      <x:c r="V28" s="22" t="str">
        <x:v>结构定稿</x:v>
      </x:c>
      <x:c r="W28" s="36" t="str">
        <x:v>用户自行分配／本表不处理</x:v>
      </x:c>
      <x:c r="X28" s="33" t="n">
        <x:v>6467</x:v>
      </x:c>
      <x:c r="Y28" s="29" t="str">
        <x:v>后期统一平衡</x:v>
      </x:c>
      <x:c r="Z28" s="20" t="str">
        <x:v>一怪一专属；专属来源跟随本行准确地图号</x:v>
      </x:c>
    </x:row>
    <x:row r="29" ht="24" customHeight="1">
      <x:c r="A29" s="20" t="str">
        <x:v>C03-M025</x:v>
      </x:c>
      <x:c r="B29" s="20" t="str">
        <x:v>C03</x:v>
      </x:c>
      <x:c r="C29" s="20" t="str">
        <x:v>宁姆格福西域</x:v>
      </x:c>
      <x:c r="D29" s="20" t="n">
        <x:v>3</x:v>
      </x:c>
      <x:c r="E29" s="20" t="str">
        <x:v>失落驿道</x:v>
      </x:c>
      <x:c r="F29" s="20" t="n">
        <x:v>1</x:v>
      </x:c>
      <x:c r="G29" s="20" t="str">
        <x:v>XX343</x:v>
      </x:c>
      <x:c r="H29" s="20" t="str">
        <x:v>失落驿道</x:v>
      </x:c>
      <x:c r="I29" s="20" t="str">
        <x:v>驿道苦役</x:v>
      </x:c>
      <x:c r="J29" s="20" t="str">
        <x:v>黄色</x:v>
      </x:c>
      <x:c r="K29" s="20" t="str">
        <x:v>普通</x:v>
      </x:c>
      <x:c r="L29" s="20" t="str">
        <x:v>人形·苦役</x:v>
      </x:c>
      <x:c r="M29" s="20" t="str">
        <x:v>近战牵制</x:v>
      </x:c>
      <x:c r="N29" s="20" t="str">
        <x:v>驿骨短剑</x:v>
      </x:c>
      <x:c r="O29" s="20" t="str">
        <x:v>武器</x:v>
      </x:c>
      <x:c r="P29" s="20" t="str">
        <x:v>风蚀铁片</x:v>
      </x:c>
      <x:c r="Q29" s="20" t="str"/>
      <x:c r="R29" s="20" t="str">
        <x:v>裂风崖羽</x:v>
      </x:c>
      <x:c r="S29" s="20" t="str">
        <x:v>西境风痕碑拓</x:v>
      </x:c>
      <x:c r="T29" s="20" t="str">
        <x:v>否</x:v>
      </x:c>
      <x:c r="U29" s="20" t="str">
        <x:v>是（公共奖池）</x:v>
      </x:c>
      <x:c r="V29" s="22" t="str">
        <x:v>结构定稿</x:v>
      </x:c>
      <x:c r="W29" s="36" t="str">
        <x:v>用户自行分配／本表不处理</x:v>
      </x:c>
      <x:c r="X29" s="34" t="str">
        <x:v>缺武器来源码</x:v>
      </x:c>
      <x:c r="Y29" s="29" t="str">
        <x:v>后期统一平衡</x:v>
      </x:c>
      <x:c r="Z29" s="20" t="str">
        <x:v>一怪一专属；专属来源跟随本行准确地图号</x:v>
      </x:c>
    </x:row>
    <x:row r="30" ht="24" customHeight="1">
      <x:c r="A30" s="20" t="str">
        <x:v>C03-M026</x:v>
      </x:c>
      <x:c r="B30" s="20" t="str">
        <x:v>C03</x:v>
      </x:c>
      <x:c r="C30" s="20" t="str">
        <x:v>宁姆格福西域</x:v>
      </x:c>
      <x:c r="D30" s="20" t="n">
        <x:v>3</x:v>
      </x:c>
      <x:c r="E30" s="20" t="str">
        <x:v>失落驿道</x:v>
      </x:c>
      <x:c r="F30" s="20" t="n">
        <x:v>2</x:v>
      </x:c>
      <x:c r="G30" s="20" t="str">
        <x:v>XX344</x:v>
      </x:c>
      <x:c r="H30" s="20" t="str">
        <x:v>荒废商道</x:v>
      </x:c>
      <x:c r="I30" s="20" t="str">
        <x:v>荒商护卫</x:v>
      </x:c>
      <x:c r="J30" s="20" t="str">
        <x:v>黄色</x:v>
      </x:c>
      <x:c r="K30" s="20" t="str">
        <x:v>普通</x:v>
      </x:c>
      <x:c r="L30" s="20" t="str">
        <x:v>人形·护卫</x:v>
      </x:c>
      <x:c r="M30" s="20" t="str">
        <x:v>阵线守护</x:v>
      </x:c>
      <x:c r="N30" s="20" t="str">
        <x:v>荒商护符</x:v>
      </x:c>
      <x:c r="O30" s="20" t="str">
        <x:v>项链</x:v>
      </x:c>
      <x:c r="P30" s="20" t="str">
        <x:v>风蚀铁片</x:v>
      </x:c>
      <x:c r="Q30" s="20" t="str"/>
      <x:c r="R30" s="20" t="str">
        <x:v>裂风崖羽</x:v>
      </x:c>
      <x:c r="S30" s="20" t="str">
        <x:v>西境风痕碑拓</x:v>
      </x:c>
      <x:c r="T30" s="20" t="str">
        <x:v>否</x:v>
      </x:c>
      <x:c r="U30" s="20" t="str">
        <x:v>是（公共奖池）</x:v>
      </x:c>
      <x:c r="V30" s="22" t="str">
        <x:v>结构定稿</x:v>
      </x:c>
      <x:c r="W30" s="36" t="str">
        <x:v>用户自行分配／本表不处理</x:v>
      </x:c>
      <x:c r="X30" s="33" t="n">
        <x:v>6576</x:v>
      </x:c>
      <x:c r="Y30" s="29" t="str">
        <x:v>后期统一平衡</x:v>
      </x:c>
      <x:c r="Z30" s="20" t="str">
        <x:v>一怪一专属；专属来源跟随本行准确地图号</x:v>
      </x:c>
    </x:row>
    <x:row r="31" ht="24" customHeight="1">
      <x:c r="A31" s="20" t="str">
        <x:v>C03-M027</x:v>
      </x:c>
      <x:c r="B31" s="20" t="str">
        <x:v>C03</x:v>
      </x:c>
      <x:c r="C31" s="20" t="str">
        <x:v>宁姆格福西域</x:v>
      </x:c>
      <x:c r="D31" s="20" t="n">
        <x:v>3</x:v>
      </x:c>
      <x:c r="E31" s="20" t="str">
        <x:v>失落驿道</x:v>
      </x:c>
      <x:c r="F31" s="20" t="n">
        <x:v>1</x:v>
      </x:c>
      <x:c r="G31" s="20" t="str">
        <x:v>XX343</x:v>
      </x:c>
      <x:c r="H31" s="20" t="str">
        <x:v>失落驿道</x:v>
      </x:c>
      <x:c r="I31" s="20" t="str">
        <x:v>灰篷盗匪</x:v>
      </x:c>
      <x:c r="J31" s="20" t="str">
        <x:v>黄色</x:v>
      </x:c>
      <x:c r="K31" s="20" t="str">
        <x:v>普通</x:v>
      </x:c>
      <x:c r="L31" s="20" t="str">
        <x:v>人形·盗匪</x:v>
      </x:c>
      <x:c r="M31" s="20" t="str">
        <x:v>伏击突袭</x:v>
      </x:c>
      <x:c r="N31" s="20" t="str">
        <x:v>灰篷面巾</x:v>
      </x:c>
      <x:c r="O31" s="20" t="str">
        <x:v>斗笠</x:v>
      </x:c>
      <x:c r="P31" s="20" t="str">
        <x:v>风蚀铁片</x:v>
      </x:c>
      <x:c r="Q31" s="20" t="str"/>
      <x:c r="R31" s="20" t="str">
        <x:v>裂风崖羽</x:v>
      </x:c>
      <x:c r="S31" s="20" t="str">
        <x:v>西境风痕碑拓</x:v>
      </x:c>
      <x:c r="T31" s="20" t="str">
        <x:v>否</x:v>
      </x:c>
      <x:c r="U31" s="20" t="str">
        <x:v>是（公共奖池）</x:v>
      </x:c>
      <x:c r="V31" s="22" t="str">
        <x:v>结构定稿</x:v>
      </x:c>
      <x:c r="W31" s="36" t="str">
        <x:v>用户自行分配／本表不处理</x:v>
      </x:c>
      <x:c r="X31" s="33" t="n">
        <x:v>6470</x:v>
      </x:c>
      <x:c r="Y31" s="29" t="str">
        <x:v>后期统一平衡</x:v>
      </x:c>
      <x:c r="Z31" s="20" t="str">
        <x:v>一怪一专属；专属来源跟随本行准确地图号</x:v>
      </x:c>
    </x:row>
    <x:row r="32" ht="24" customHeight="1">
      <x:c r="A32" s="20" t="str">
        <x:v>C03-M028</x:v>
      </x:c>
      <x:c r="B32" s="20" t="str">
        <x:v>C03</x:v>
      </x:c>
      <x:c r="C32" s="20" t="str">
        <x:v>宁姆格福西域</x:v>
      </x:c>
      <x:c r="D32" s="20" t="n">
        <x:v>3</x:v>
      </x:c>
      <x:c r="E32" s="20" t="str">
        <x:v>失落驿道</x:v>
      </x:c>
      <x:c r="F32" s="20" t="n">
        <x:v>2</x:v>
      </x:c>
      <x:c r="G32" s="20" t="str">
        <x:v>XX344</x:v>
      </x:c>
      <x:c r="H32" s="20" t="str">
        <x:v>荒废商道</x:v>
      </x:c>
      <x:c r="I32" s="20" t="str">
        <x:v>驮货尸兵</x:v>
      </x:c>
      <x:c r="J32" s="20" t="str">
        <x:v>黄色</x:v>
      </x:c>
      <x:c r="K32" s="20" t="str">
        <x:v>普通</x:v>
      </x:c>
      <x:c r="L32" s="20" t="str">
        <x:v>亡灵·尸兵</x:v>
      </x:c>
      <x:c r="M32" s="20" t="str">
        <x:v>重甲推进</x:v>
      </x:c>
      <x:c r="N32" s="20" t="str">
        <x:v>驮货重甲</x:v>
      </x:c>
      <x:c r="O32" s="20" t="str">
        <x:v>衣服</x:v>
      </x:c>
      <x:c r="P32" s="20" t="str">
        <x:v>风蚀铁片</x:v>
      </x:c>
      <x:c r="Q32" s="20" t="str"/>
      <x:c r="R32" s="20" t="str">
        <x:v>裂风崖羽</x:v>
      </x:c>
      <x:c r="S32" s="20" t="str">
        <x:v>西境风痕碑拓</x:v>
      </x:c>
      <x:c r="T32" s="20" t="str">
        <x:v>否</x:v>
      </x:c>
      <x:c r="U32" s="20" t="str">
        <x:v>是（公共奖池）</x:v>
      </x:c>
      <x:c r="V32" s="22" t="str">
        <x:v>结构定稿</x:v>
      </x:c>
      <x:c r="W32" s="36" t="str">
        <x:v>用户自行分配／本表不处理</x:v>
      </x:c>
      <x:c r="X32" s="34" t="str">
        <x:v>缺衣服来源码</x:v>
      </x:c>
      <x:c r="Y32" s="29" t="str">
        <x:v>后期统一平衡</x:v>
      </x:c>
      <x:c r="Z32" s="20" t="str">
        <x:v>一怪一专属；专属来源跟随本行准确地图号</x:v>
      </x:c>
    </x:row>
    <x:row r="33" ht="24" customHeight="1">
      <x:c r="A33" s="20" t="str">
        <x:v>C03-M029</x:v>
      </x:c>
      <x:c r="B33" s="20" t="str">
        <x:v>C03</x:v>
      </x:c>
      <x:c r="C33" s="20" t="str">
        <x:v>宁姆格福西域</x:v>
      </x:c>
      <x:c r="D33" s="20" t="n">
        <x:v>3</x:v>
      </x:c>
      <x:c r="E33" s="20" t="str">
        <x:v>失落驿道</x:v>
      </x:c>
      <x:c r="F33" s="20" t="n">
        <x:v>3</x:v>
      </x:c>
      <x:c r="G33" s="20" t="str">
        <x:v>XX345</x:v>
      </x:c>
      <x:c r="H33" s="20" t="str">
        <x:v>断路营地</x:v>
      </x:c>
      <x:c r="I33" s="20" t="str">
        <x:v>营火猎犬</x:v>
      </x:c>
      <x:c r="J33" s="20" t="str">
        <x:v>黄色</x:v>
      </x:c>
      <x:c r="K33" s="20" t="str">
        <x:v>普通</x:v>
      </x:c>
      <x:c r="L33" s="20" t="str">
        <x:v>野兽·猎犬</x:v>
      </x:c>
      <x:c r="M33" s="20" t="str">
        <x:v>追猎撕咬</x:v>
      </x:c>
      <x:c r="N33" s="20" t="str">
        <x:v>营火牙戒</x:v>
      </x:c>
      <x:c r="O33" s="20" t="str">
        <x:v>戒指</x:v>
      </x:c>
      <x:c r="P33" s="20" t="str">
        <x:v>风蚀铁片</x:v>
      </x:c>
      <x:c r="Q33" s="20" t="str"/>
      <x:c r="R33" s="20" t="str">
        <x:v>裂风崖羽</x:v>
      </x:c>
      <x:c r="S33" s="20" t="str">
        <x:v>西境风痕碑拓</x:v>
      </x:c>
      <x:c r="T33" s="20" t="str">
        <x:v>否</x:v>
      </x:c>
      <x:c r="U33" s="20" t="str">
        <x:v>是（公共奖池）</x:v>
      </x:c>
      <x:c r="V33" s="22" t="str">
        <x:v>结构定稿</x:v>
      </x:c>
      <x:c r="W33" s="36" t="str">
        <x:v>用户自行分配／本表不处理</x:v>
      </x:c>
      <x:c r="X33" s="33" t="n">
        <x:v>6543</x:v>
      </x:c>
      <x:c r="Y33" s="29" t="str">
        <x:v>后期统一平衡</x:v>
      </x:c>
      <x:c r="Z33" s="20" t="str">
        <x:v>一怪一专属；专属来源跟随本行准确地图号</x:v>
      </x:c>
    </x:row>
    <x:row r="34" ht="24" customHeight="1">
      <x:c r="A34" s="20" t="str">
        <x:v>C03-M030</x:v>
      </x:c>
      <x:c r="B34" s="20" t="str">
        <x:v>C03</x:v>
      </x:c>
      <x:c r="C34" s="20" t="str">
        <x:v>宁姆格福西域</x:v>
      </x:c>
      <x:c r="D34" s="20" t="n">
        <x:v>3</x:v>
      </x:c>
      <x:c r="E34" s="20" t="str">
        <x:v>失落驿道</x:v>
      </x:c>
      <x:c r="F34" s="20" t="n">
        <x:v>3</x:v>
      </x:c>
      <x:c r="G34" s="20" t="str">
        <x:v>XX345</x:v>
      </x:c>
      <x:c r="H34" s="20" t="str">
        <x:v>断路营地</x:v>
      </x:c>
      <x:c r="I34" s="20" t="str">
        <x:v>断轮弩手</x:v>
      </x:c>
      <x:c r="J34" s="20" t="str">
        <x:v>黄色</x:v>
      </x:c>
      <x:c r="K34" s="20" t="str">
        <x:v>普通</x:v>
      </x:c>
      <x:c r="L34" s="20" t="str">
        <x:v>人形·弩手</x:v>
      </x:c>
      <x:c r="M34" s="20" t="str">
        <x:v>远程压制</x:v>
      </x:c>
      <x:c r="N34" s="20" t="str">
        <x:v>断轮弩机</x:v>
      </x:c>
      <x:c r="O34" s="20" t="str">
        <x:v>武器</x:v>
      </x:c>
      <x:c r="P34" s="20" t="str">
        <x:v>风蚀铁片</x:v>
      </x:c>
      <x:c r="Q34" s="20" t="str"/>
      <x:c r="R34" s="20" t="str">
        <x:v>裂风崖羽</x:v>
      </x:c>
      <x:c r="S34" s="20" t="str">
        <x:v>西境风痕碑拓</x:v>
      </x:c>
      <x:c r="T34" s="20" t="str">
        <x:v>否</x:v>
      </x:c>
      <x:c r="U34" s="20" t="str">
        <x:v>是（公共奖池）</x:v>
      </x:c>
      <x:c r="V34" s="22" t="str">
        <x:v>结构定稿</x:v>
      </x:c>
      <x:c r="W34" s="36" t="str">
        <x:v>用户自行分配／本表不处理</x:v>
      </x:c>
      <x:c r="X34" s="34" t="str">
        <x:v>缺武器来源码</x:v>
      </x:c>
      <x:c r="Y34" s="29" t="str">
        <x:v>后期统一平衡</x:v>
      </x:c>
      <x:c r="Z34" s="20" t="str">
        <x:v>一怪一专属；专属来源跟随本行准确地图号</x:v>
      </x:c>
    </x:row>
    <x:row r="35" ht="24" customHeight="1">
      <x:c r="A35" s="20" t="str">
        <x:v>C03-M031</x:v>
      </x:c>
      <x:c r="B35" s="20" t="str">
        <x:v>C03</x:v>
      </x:c>
      <x:c r="C35" s="20" t="str">
        <x:v>宁姆格福西域</x:v>
      </x:c>
      <x:c r="D35" s="20" t="n">
        <x:v>3</x:v>
      </x:c>
      <x:c r="E35" s="20" t="str">
        <x:v>失落驿道</x:v>
      </x:c>
      <x:c r="F35" s="20" t="n">
        <x:v>1</x:v>
      </x:c>
      <x:c r="G35" s="20" t="str">
        <x:v>XX343</x:v>
      </x:c>
      <x:c r="H35" s="20" t="str">
        <x:v>失落驿道</x:v>
      </x:c>
      <x:c r="I35" s="20" t="str">
        <x:v>火漆追缉者</x:v>
      </x:c>
      <x:c r="J35" s="20" t="str">
        <x:v>蓝色</x:v>
      </x:c>
      <x:c r="K35" s="20" t="str">
        <x:v>稀有</x:v>
      </x:c>
      <x:c r="L35" s="20" t="str">
        <x:v>人形·追缉者</x:v>
      </x:c>
      <x:c r="M35" s="20" t="str">
        <x:v>标记追杀</x:v>
      </x:c>
      <x:c r="N35" s="20" t="str">
        <x:v>火漆追缉令</x:v>
      </x:c>
      <x:c r="O35" s="20" t="str">
        <x:v>勋章</x:v>
      </x:c>
      <x:c r="P35" s="20" t="str">
        <x:v>风蚀铁片</x:v>
      </x:c>
      <x:c r="Q35" s="20" t="str">
        <x:v>西境战旗</x:v>
      </x:c>
      <x:c r="R35" s="20" t="str">
        <x:v>商队火漆</x:v>
      </x:c>
      <x:c r="S35" s="20" t="str">
        <x:v>西境风痕碑拓</x:v>
      </x:c>
      <x:c r="T35" s="20" t="str">
        <x:v>否</x:v>
      </x:c>
      <x:c r="U35" s="20" t="str">
        <x:v>是（公共奖池）</x:v>
      </x:c>
      <x:c r="V35" s="22" t="str">
        <x:v>结构定稿</x:v>
      </x:c>
      <x:c r="W35" s="36" t="str">
        <x:v>用户自行分配／本表不处理</x:v>
      </x:c>
      <x:c r="X35" s="33" t="n">
        <x:v>6509</x:v>
      </x:c>
      <x:c r="Y35" s="29" t="str">
        <x:v>后期统一平衡</x:v>
      </x:c>
      <x:c r="Z35" s="20" t="str">
        <x:v>一怪一专属；专属来源跟随本行准确地图号</x:v>
      </x:c>
    </x:row>
    <x:row r="36" ht="24" customHeight="1">
      <x:c r="A36" s="20" t="str">
        <x:v>C03-M032</x:v>
      </x:c>
      <x:c r="B36" s="20" t="str">
        <x:v>C03</x:v>
      </x:c>
      <x:c r="C36" s="20" t="str">
        <x:v>宁姆格福西域</x:v>
      </x:c>
      <x:c r="D36" s="20" t="n">
        <x:v>3</x:v>
      </x:c>
      <x:c r="E36" s="20" t="str">
        <x:v>失落驿道</x:v>
      </x:c>
      <x:c r="F36" s="20" t="n">
        <x:v>2</x:v>
      </x:c>
      <x:c r="G36" s="20" t="str">
        <x:v>XX344</x:v>
      </x:c>
      <x:c r="H36" s="20" t="str">
        <x:v>荒废商道</x:v>
      </x:c>
      <x:c r="I36" s="20" t="str">
        <x:v>商队叛骑</x:v>
      </x:c>
      <x:c r="J36" s="20" t="str">
        <x:v>蓝色</x:v>
      </x:c>
      <x:c r="K36" s="20" t="str">
        <x:v>稀有</x:v>
      </x:c>
      <x:c r="L36" s="20" t="str">
        <x:v>人形·叛骑</x:v>
      </x:c>
      <x:c r="M36" s="20" t="str">
        <x:v>骑乘冲锋</x:v>
      </x:c>
      <x:c r="N36" s="20" t="str">
        <x:v>叛骑战靴</x:v>
      </x:c>
      <x:c r="O36" s="20" t="str">
        <x:v>鞋子</x:v>
      </x:c>
      <x:c r="P36" s="20" t="str">
        <x:v>风蚀铁片</x:v>
      </x:c>
      <x:c r="Q36" s="20" t="str">
        <x:v>西境战旗</x:v>
      </x:c>
      <x:c r="R36" s="20" t="str">
        <x:v>商队火漆</x:v>
      </x:c>
      <x:c r="S36" s="20" t="str">
        <x:v>西境风痕碑拓</x:v>
      </x:c>
      <x:c r="T36" s="20" t="str">
        <x:v>否</x:v>
      </x:c>
      <x:c r="U36" s="20" t="str">
        <x:v>是（公共奖池）</x:v>
      </x:c>
      <x:c r="V36" s="22" t="str">
        <x:v>结构定稿</x:v>
      </x:c>
      <x:c r="W36" s="36" t="str">
        <x:v>用户自行分配／本表不处理</x:v>
      </x:c>
      <x:c r="X36" s="33" t="n">
        <x:v>6512</x:v>
      </x:c>
      <x:c r="Y36" s="29" t="str">
        <x:v>后期统一平衡</x:v>
      </x:c>
      <x:c r="Z36" s="20" t="str">
        <x:v>一怪一专属；专属来源跟随本行准确地图号</x:v>
      </x:c>
    </x:row>
    <x:row r="37" ht="24" customHeight="1">
      <x:c r="A37" s="20" t="str">
        <x:v>C03-M033</x:v>
      </x:c>
      <x:c r="B37" s="20" t="str">
        <x:v>C03</x:v>
      </x:c>
      <x:c r="C37" s="20" t="str">
        <x:v>宁姆格福西域</x:v>
      </x:c>
      <x:c r="D37" s="20" t="n">
        <x:v>3</x:v>
      </x:c>
      <x:c r="E37" s="20" t="str">
        <x:v>失落驿道</x:v>
      </x:c>
      <x:c r="F37" s="20" t="n">
        <x:v>3</x:v>
      </x:c>
      <x:c r="G37" s="20" t="str">
        <x:v>XX345</x:v>
      </x:c>
      <x:c r="H37" s="20" t="str">
        <x:v>断路营地</x:v>
      </x:c>
      <x:c r="I37" s="20" t="str">
        <x:v>断路劫首</x:v>
      </x:c>
      <x:c r="J37" s="20" t="str">
        <x:v>蓝色</x:v>
      </x:c>
      <x:c r="K37" s="20" t="str">
        <x:v>稀有</x:v>
      </x:c>
      <x:c r="L37" s="20" t="str">
        <x:v>人形·劫首</x:v>
      </x:c>
      <x:c r="M37" s="20" t="str">
        <x:v>近战爆发</x:v>
      </x:c>
      <x:c r="N37" s="20" t="str">
        <x:v>劫首弯刃</x:v>
      </x:c>
      <x:c r="O37" s="20" t="str">
        <x:v>武器</x:v>
      </x:c>
      <x:c r="P37" s="20" t="str">
        <x:v>风蚀铁片</x:v>
      </x:c>
      <x:c r="Q37" s="20" t="str">
        <x:v>西境战旗</x:v>
      </x:c>
      <x:c r="R37" s="20" t="str">
        <x:v>商队火漆</x:v>
      </x:c>
      <x:c r="S37" s="20" t="str">
        <x:v>西境风痕碑拓</x:v>
      </x:c>
      <x:c r="T37" s="20" t="str">
        <x:v>否</x:v>
      </x:c>
      <x:c r="U37" s="20" t="str">
        <x:v>是（公共奖池）</x:v>
      </x:c>
      <x:c r="V37" s="22" t="str">
        <x:v>结构定稿</x:v>
      </x:c>
      <x:c r="W37" s="36" t="str">
        <x:v>用户自行分配／本表不处理</x:v>
      </x:c>
      <x:c r="X37" s="34" t="str">
        <x:v>缺武器来源码</x:v>
      </x:c>
      <x:c r="Y37" s="29" t="str">
        <x:v>后期统一平衡</x:v>
      </x:c>
      <x:c r="Z37" s="20" t="str">
        <x:v>一怪一专属；专属来源跟随本行准确地图号</x:v>
      </x:c>
    </x:row>
    <x:row r="38" ht="24" customHeight="1">
      <x:c r="A38" s="20" t="str">
        <x:v>C03-M034</x:v>
      </x:c>
      <x:c r="B38" s="20" t="str">
        <x:v>C03</x:v>
      </x:c>
      <x:c r="C38" s="20" t="str">
        <x:v>宁姆格福西域</x:v>
      </x:c>
      <x:c r="D38" s="20" t="n">
        <x:v>3</x:v>
      </x:c>
      <x:c r="E38" s="20" t="str">
        <x:v>失落驿道</x:v>
      </x:c>
      <x:c r="F38" s="20" t="n">
        <x:v>3</x:v>
      </x:c>
      <x:c r="G38" s="20" t="str">
        <x:v>XX345</x:v>
      </x:c>
      <x:c r="H38" s="20" t="str">
        <x:v>断路营地</x:v>
      </x:c>
      <x:c r="I38" s="20" t="str">
        <x:v>黑帐术士</x:v>
      </x:c>
      <x:c r="J38" s="20" t="str">
        <x:v>蓝色</x:v>
      </x:c>
      <x:c r="K38" s="20" t="str">
        <x:v>稀有</x:v>
      </x:c>
      <x:c r="L38" s="20" t="str">
        <x:v>人形·术士</x:v>
      </x:c>
      <x:c r="M38" s="20" t="str">
        <x:v>术法控场</x:v>
      </x:c>
      <x:c r="N38" s="20" t="str">
        <x:v>黯幕咒戒</x:v>
      </x:c>
      <x:c r="O38" s="20" t="str">
        <x:v>戒指</x:v>
      </x:c>
      <x:c r="P38" s="20" t="str">
        <x:v>风蚀铁片</x:v>
      </x:c>
      <x:c r="Q38" s="20" t="str">
        <x:v>西境战旗</x:v>
      </x:c>
      <x:c r="R38" s="20" t="str">
        <x:v>商队火漆</x:v>
      </x:c>
      <x:c r="S38" s="20" t="str">
        <x:v>西境风痕碑拓</x:v>
      </x:c>
      <x:c r="T38" s="20" t="str">
        <x:v>否</x:v>
      </x:c>
      <x:c r="U38" s="20" t="str">
        <x:v>是（公共奖池）</x:v>
      </x:c>
      <x:c r="V38" s="22" t="str">
        <x:v>结构定稿</x:v>
      </x:c>
      <x:c r="W38" s="36" t="str">
        <x:v>用户自行分配／本表不处理</x:v>
      </x:c>
      <x:c r="X38" s="33" t="n">
        <x:v>6578</x:v>
      </x:c>
      <x:c r="Y38" s="29" t="str">
        <x:v>后期统一平衡</x:v>
      </x:c>
      <x:c r="Z38" s="20" t="str">
        <x:v>一怪一专属；专属来源跟随本行准确地图号</x:v>
      </x:c>
    </x:row>
    <x:row r="39" ht="24" customHeight="1">
      <x:c r="A39" s="20" t="str">
        <x:v>C03-M035</x:v>
      </x:c>
      <x:c r="B39" s="20" t="str">
        <x:v>C03</x:v>
      </x:c>
      <x:c r="C39" s="20" t="str">
        <x:v>宁姆格福西域</x:v>
      </x:c>
      <x:c r="D39" s="20" t="n">
        <x:v>3</x:v>
      </x:c>
      <x:c r="E39" s="20" t="str">
        <x:v>失落驿道</x:v>
      </x:c>
      <x:c r="F39" s="20" t="n">
        <x:v>2</x:v>
      </x:c>
      <x:c r="G39" s="20" t="str">
        <x:v>XX344</x:v>
      </x:c>
      <x:c r="H39" s="20" t="str">
        <x:v>荒废商道</x:v>
      </x:c>
      <x:c r="I39" s="20" t="str">
        <x:v>无路佣兵王·赫托</x:v>
      </x:c>
      <x:c r="J39" s="20" t="str">
        <x:v>粉色</x:v>
      </x:c>
      <x:c r="K39" s="20" t="str">
        <x:v>地图BOSS</x:v>
      </x:c>
      <x:c r="L39" s="20" t="str">
        <x:v>人形·佣兵王</x:v>
      </x:c>
      <x:c r="M39" s="20" t="str">
        <x:v>近战统御</x:v>
      </x:c>
      <x:c r="N39" s="20" t="str">
        <x:v>无路王剑</x:v>
      </x:c>
      <x:c r="O39" s="20" t="str">
        <x:v>武器</x:v>
      </x:c>
      <x:c r="P39" s="20" t="str">
        <x:v>风蚀铁片</x:v>
      </x:c>
      <x:c r="Q39" s="20" t="str">
        <x:v>西境战旗＋西境战旗印</x:v>
      </x:c>
      <x:c r="R39" s="20" t="str">
        <x:v>守垒铜钥</x:v>
      </x:c>
      <x:c r="S39" s="20" t="str">
        <x:v>西境风痕碑拓</x:v>
      </x:c>
      <x:c r="T39" s="20" t="str">
        <x:v>是（独立奖池）</x:v>
      </x:c>
      <x:c r="U39" s="20" t="str">
        <x:v>是（公共奖池）</x:v>
      </x:c>
      <x:c r="V39" s="22" t="str">
        <x:v>结构定稿</x:v>
      </x:c>
      <x:c r="W39" s="36" t="str">
        <x:v>用户自行分配／本表不处理</x:v>
      </x:c>
      <x:c r="X39" s="33" t="n">
        <x:v>6501</x:v>
      </x:c>
      <x:c r="Y39" s="29" t="str">
        <x:v>后期统一平衡</x:v>
      </x:c>
      <x:c r="Z39" s="20" t="str">
        <x:v>一怪一专属；专属来源跟随本行准确地图号</x:v>
      </x:c>
    </x:row>
    <x:row r="40" ht="24" customHeight="1">
      <x:c r="A40" s="20" t="str">
        <x:v>C03-M036</x:v>
      </x:c>
      <x:c r="B40" s="20" t="str">
        <x:v>C03</x:v>
      </x:c>
      <x:c r="C40" s="20" t="str">
        <x:v>宁姆格福西域</x:v>
      </x:c>
      <x:c r="D40" s="20" t="n">
        <x:v>3</x:v>
      </x:c>
      <x:c r="E40" s="20" t="str">
        <x:v>失落驿道</x:v>
      </x:c>
      <x:c r="F40" s="20" t="n">
        <x:v>3</x:v>
      </x:c>
      <x:c r="G40" s="20" t="str">
        <x:v>XX345</x:v>
      </x:c>
      <x:c r="H40" s="20" t="str">
        <x:v>断路营地</x:v>
      </x:c>
      <x:c r="I40" s="20" t="str">
        <x:v>赤篷巨像·马尔</x:v>
      </x:c>
      <x:c r="J40" s="20" t="str">
        <x:v>粉色</x:v>
      </x:c>
      <x:c r="K40" s="20" t="str">
        <x:v>地图BOSS</x:v>
      </x:c>
      <x:c r="L40" s="20" t="str">
        <x:v>巨人·巨像</x:v>
      </x:c>
      <x:c r="M40" s="20" t="str">
        <x:v>重装碾压</x:v>
      </x:c>
      <x:c r="N40" s="20" t="str">
        <x:v>赤篷铁衣</x:v>
      </x:c>
      <x:c r="O40" s="20" t="str">
        <x:v>衣服</x:v>
      </x:c>
      <x:c r="P40" s="20" t="str">
        <x:v>风蚀铁片</x:v>
      </x:c>
      <x:c r="Q40" s="20" t="str">
        <x:v>西境战旗＋西境战旗印</x:v>
      </x:c>
      <x:c r="R40" s="20" t="str">
        <x:v>守垒铜钥</x:v>
      </x:c>
      <x:c r="S40" s="20" t="str">
        <x:v>西境风痕碑拓</x:v>
      </x:c>
      <x:c r="T40" s="20" t="str">
        <x:v>是（独立奖池）</x:v>
      </x:c>
      <x:c r="U40" s="20" t="str">
        <x:v>是（公共奖池）</x:v>
      </x:c>
      <x:c r="V40" s="22" t="str">
        <x:v>结构定稿</x:v>
      </x:c>
      <x:c r="W40" s="36" t="str">
        <x:v>用户自行分配／本表不处理</x:v>
      </x:c>
      <x:c r="X40" s="33" t="n">
        <x:v>6502</x:v>
      </x:c>
      <x:c r="Y40" s="29" t="str">
        <x:v>后期统一平衡</x:v>
      </x:c>
      <x:c r="Z40" s="20" t="str">
        <x:v>一怪一专属；专属来源跟随本行准确地图号</x:v>
      </x:c>
    </x:row>
    <x:row r="41" ht="24" customHeight="1">
      <x:c r="A41" s="20" t="str">
        <x:v>C03-M037</x:v>
      </x:c>
      <x:c r="B41" s="20" t="str">
        <x:v>C03</x:v>
      </x:c>
      <x:c r="C41" s="20" t="str">
        <x:v>宁姆格福西域</x:v>
      </x:c>
      <x:c r="D41" s="20" t="n">
        <x:v>4</x:v>
      </x:c>
      <x:c r="E41" s="20" t="str">
        <x:v>古战场遗迹</x:v>
      </x:c>
      <x:c r="F41" s="20" t="n">
        <x:v>1</x:v>
      </x:c>
      <x:c r="G41" s="20" t="str">
        <x:v>XX310</x:v>
      </x:c>
      <x:c r="H41" s="20" t="str">
        <x:v>古战场遗迹</x:v>
      </x:c>
      <x:c r="I41" s="20" t="str">
        <x:v>残阵兵魂</x:v>
      </x:c>
      <x:c r="J41" s="20" t="str">
        <x:v>黄色</x:v>
      </x:c>
      <x:c r="K41" s="20" t="str">
        <x:v>普通</x:v>
      </x:c>
      <x:c r="L41" s="20" t="str">
        <x:v>亡灵·兵魂</x:v>
      </x:c>
      <x:c r="M41" s="20" t="str">
        <x:v>近战纠缠</x:v>
      </x:c>
      <x:c r="N41" s="20" t="str">
        <x:v>残阵战刀</x:v>
      </x:c>
      <x:c r="O41" s="20" t="str">
        <x:v>武器</x:v>
      </x:c>
      <x:c r="P41" s="20" t="str">
        <x:v>风蚀铁片</x:v>
      </x:c>
      <x:c r="Q41" s="20" t="str"/>
      <x:c r="R41" s="20" t="str">
        <x:v>裂风崖羽</x:v>
      </x:c>
      <x:c r="S41" s="20" t="str">
        <x:v>西境风痕碑拓</x:v>
      </x:c>
      <x:c r="T41" s="20" t="str">
        <x:v>否</x:v>
      </x:c>
      <x:c r="U41" s="20" t="str">
        <x:v>是（公共奖池）</x:v>
      </x:c>
      <x:c r="V41" s="22" t="str">
        <x:v>结构定稿</x:v>
      </x:c>
      <x:c r="W41" s="36" t="str">
        <x:v>用户自行分配／本表不处理</x:v>
      </x:c>
      <x:c r="X41" s="34" t="str">
        <x:v>缺武器来源码</x:v>
      </x:c>
      <x:c r="Y41" s="29" t="str">
        <x:v>后期统一平衡</x:v>
      </x:c>
      <x:c r="Z41" s="20" t="str">
        <x:v>一怪一专属；专属来源跟随本行准确地图号</x:v>
      </x:c>
    </x:row>
    <x:row r="42" ht="24" customHeight="1">
      <x:c r="A42" s="20" t="str">
        <x:v>C03-M038</x:v>
      </x:c>
      <x:c r="B42" s="20" t="str">
        <x:v>C03</x:v>
      </x:c>
      <x:c r="C42" s="20" t="str">
        <x:v>宁姆格福西域</x:v>
      </x:c>
      <x:c r="D42" s="20" t="n">
        <x:v>4</x:v>
      </x:c>
      <x:c r="E42" s="20" t="str">
        <x:v>古战场遗迹</x:v>
      </x:c>
      <x:c r="F42" s="20" t="n">
        <x:v>1</x:v>
      </x:c>
      <x:c r="G42" s="20" t="str">
        <x:v>XX310</x:v>
      </x:c>
      <x:c r="H42" s="20" t="str">
        <x:v>古战场遗迹</x:v>
      </x:c>
      <x:c r="I42" s="20" t="str">
        <x:v>折戟亡卒</x:v>
      </x:c>
      <x:c r="J42" s="20" t="str">
        <x:v>黄色</x:v>
      </x:c>
      <x:c r="K42" s="20" t="str">
        <x:v>普通</x:v>
      </x:c>
      <x:c r="L42" s="20" t="str">
        <x:v>亡灵·亡卒</x:v>
      </x:c>
      <x:c r="M42" s="20" t="str">
        <x:v>长柄突袭</x:v>
      </x:c>
      <x:c r="N42" s="20" t="str">
        <x:v>折戟铁链</x:v>
      </x:c>
      <x:c r="O42" s="20" t="str">
        <x:v>项链</x:v>
      </x:c>
      <x:c r="P42" s="20" t="str">
        <x:v>风蚀铁片</x:v>
      </x:c>
      <x:c r="Q42" s="20" t="str"/>
      <x:c r="R42" s="20" t="str">
        <x:v>裂风崖羽</x:v>
      </x:c>
      <x:c r="S42" s="20" t="str">
        <x:v>西境风痕碑拓</x:v>
      </x:c>
      <x:c r="T42" s="20" t="str">
        <x:v>否</x:v>
      </x:c>
      <x:c r="U42" s="20" t="str">
        <x:v>是（公共奖池）</x:v>
      </x:c>
      <x:c r="V42" s="22" t="str">
        <x:v>结构定稿</x:v>
      </x:c>
      <x:c r="W42" s="36" t="str">
        <x:v>用户自行分配／本表不处理</x:v>
      </x:c>
      <x:c r="X42" s="33" t="n">
        <x:v>6611</x:v>
      </x:c>
      <x:c r="Y42" s="29" t="str">
        <x:v>后期统一平衡</x:v>
      </x:c>
      <x:c r="Z42" s="20" t="str">
        <x:v>一怪一专属；专属来源跟随本行准确地图号</x:v>
      </x:c>
    </x:row>
    <x:row r="43" ht="24" customHeight="1">
      <x:c r="A43" s="20" t="str">
        <x:v>C03-M039</x:v>
      </x:c>
      <x:c r="B43" s="20" t="str">
        <x:v>C03</x:v>
      </x:c>
      <x:c r="C43" s="20" t="str">
        <x:v>宁姆格福西域</x:v>
      </x:c>
      <x:c r="D43" s="20" t="n">
        <x:v>4</x:v>
      </x:c>
      <x:c r="E43" s="20" t="str">
        <x:v>古战场遗迹</x:v>
      </x:c>
      <x:c r="F43" s="20" t="n">
        <x:v>2</x:v>
      </x:c>
      <x:c r="G43" s="20" t="str">
        <x:v>XX311</x:v>
      </x:c>
      <x:c r="H43" s="20" t="str">
        <x:v>英灵战场</x:v>
      </x:c>
      <x:c r="I43" s="20" t="str">
        <x:v>战壕腐尸</x:v>
      </x:c>
      <x:c r="J43" s="20" t="str">
        <x:v>黄色</x:v>
      </x:c>
      <x:c r="K43" s="20" t="str">
        <x:v>普通</x:v>
      </x:c>
      <x:c r="L43" s="20" t="str">
        <x:v>亡灵·腐尸</x:v>
      </x:c>
      <x:c r="M43" s="20" t="str">
        <x:v>腐蚀牵制</x:v>
      </x:c>
      <x:c r="N43" s="20" t="str">
        <x:v>战壕骨甲</x:v>
      </x:c>
      <x:c r="O43" s="20" t="str">
        <x:v>衣服</x:v>
      </x:c>
      <x:c r="P43" s="20" t="str">
        <x:v>风蚀铁片</x:v>
      </x:c>
      <x:c r="Q43" s="20" t="str"/>
      <x:c r="R43" s="20" t="str">
        <x:v>裂风崖羽</x:v>
      </x:c>
      <x:c r="S43" s="20" t="str">
        <x:v>西境风痕碑拓</x:v>
      </x:c>
      <x:c r="T43" s="20" t="str">
        <x:v>否</x:v>
      </x:c>
      <x:c r="U43" s="20" t="str">
        <x:v>是（公共奖池）</x:v>
      </x:c>
      <x:c r="V43" s="22" t="str">
        <x:v>结构定稿</x:v>
      </x:c>
      <x:c r="W43" s="36" t="str">
        <x:v>用户自行分配／本表不处理</x:v>
      </x:c>
      <x:c r="X43" s="34" t="str">
        <x:v>缺衣服来源码</x:v>
      </x:c>
      <x:c r="Y43" s="29" t="str">
        <x:v>后期统一平衡</x:v>
      </x:c>
      <x:c r="Z43" s="20" t="str">
        <x:v>一怪一专属；专属来源跟随本行准确地图号</x:v>
      </x:c>
    </x:row>
    <x:row r="44" ht="24" customHeight="1">
      <x:c r="A44" s="20" t="str">
        <x:v>C03-M040</x:v>
      </x:c>
      <x:c r="B44" s="20" t="str">
        <x:v>C03</x:v>
      </x:c>
      <x:c r="C44" s="20" t="str">
        <x:v>宁姆格福西域</x:v>
      </x:c>
      <x:c r="D44" s="20" t="n">
        <x:v>4</x:v>
      </x:c>
      <x:c r="E44" s="20" t="str">
        <x:v>古战场遗迹</x:v>
      </x:c>
      <x:c r="F44" s="20" t="n">
        <x:v>2</x:v>
      </x:c>
      <x:c r="G44" s="20" t="str">
        <x:v>XX311</x:v>
      </x:c>
      <x:c r="H44" s="20" t="str">
        <x:v>英灵战场</x:v>
      </x:c>
      <x:c r="I44" s="20" t="str">
        <x:v>无首号手</x:v>
      </x:c>
      <x:c r="J44" s="20" t="str">
        <x:v>黄色</x:v>
      </x:c>
      <x:c r="K44" s="20" t="str">
        <x:v>普通</x:v>
      </x:c>
      <x:c r="L44" s="20" t="str">
        <x:v>亡灵·号手</x:v>
      </x:c>
      <x:c r="M44" s="20" t="str">
        <x:v>声波扰阵</x:v>
      </x:c>
      <x:c r="N44" s="20" t="str">
        <x:v>无首号角</x:v>
      </x:c>
      <x:c r="O44" s="20" t="str">
        <x:v>勋章</x:v>
      </x:c>
      <x:c r="P44" s="20" t="str">
        <x:v>风蚀铁片</x:v>
      </x:c>
      <x:c r="Q44" s="20" t="str"/>
      <x:c r="R44" s="20" t="str">
        <x:v>裂风崖羽</x:v>
      </x:c>
      <x:c r="S44" s="20" t="str">
        <x:v>西境风痕碑拓</x:v>
      </x:c>
      <x:c r="T44" s="20" t="str">
        <x:v>否</x:v>
      </x:c>
      <x:c r="U44" s="20" t="str">
        <x:v>是（公共奖池）</x:v>
      </x:c>
      <x:c r="V44" s="22" t="str">
        <x:v>结构定稿</x:v>
      </x:c>
      <x:c r="W44" s="36" t="str">
        <x:v>用户自行分配／本表不处理</x:v>
      </x:c>
      <x:c r="X44" s="33" t="n">
        <x:v>6544</x:v>
      </x:c>
      <x:c r="Y44" s="29" t="str">
        <x:v>后期统一平衡</x:v>
      </x:c>
      <x:c r="Z44" s="20" t="str">
        <x:v>一怪一专属；专属来源跟随本行准确地图号</x:v>
      </x:c>
    </x:row>
    <x:row r="45" ht="24" customHeight="1">
      <x:c r="A45" s="20" t="str">
        <x:v>C03-M041</x:v>
      </x:c>
      <x:c r="B45" s="20" t="str">
        <x:v>C03</x:v>
      </x:c>
      <x:c r="C45" s="20" t="str">
        <x:v>宁姆格福西域</x:v>
      </x:c>
      <x:c r="D45" s="20" t="n">
        <x:v>4</x:v>
      </x:c>
      <x:c r="E45" s="20" t="str">
        <x:v>古战场遗迹</x:v>
      </x:c>
      <x:c r="F45" s="20" t="n">
        <x:v>3</x:v>
      </x:c>
      <x:c r="G45" s="20" t="str">
        <x:v>XX312</x:v>
      </x:c>
      <x:c r="H45" s="20" t="str">
        <x:v>亡者祭坛</x:v>
      </x:c>
      <x:c r="I45" s="20" t="str">
        <x:v>墓旗守卫</x:v>
      </x:c>
      <x:c r="J45" s="20" t="str">
        <x:v>黄色</x:v>
      </x:c>
      <x:c r="K45" s="20" t="str">
        <x:v>普通</x:v>
      </x:c>
      <x:c r="L45" s="20" t="str">
        <x:v>亡灵·守卫</x:v>
      </x:c>
      <x:c r="M45" s="20" t="str">
        <x:v>阵地守护</x:v>
      </x:c>
      <x:c r="N45" s="20" t="str">
        <x:v>墓旗头冠</x:v>
      </x:c>
      <x:c r="O45" s="20" t="str">
        <x:v>头盔</x:v>
      </x:c>
      <x:c r="P45" s="20" t="str">
        <x:v>风蚀铁片</x:v>
      </x:c>
      <x:c r="Q45" s="20" t="str"/>
      <x:c r="R45" s="20" t="str">
        <x:v>裂风崖羽</x:v>
      </x:c>
      <x:c r="S45" s="20" t="str">
        <x:v>西境风痕碑拓</x:v>
      </x:c>
      <x:c r="T45" s="20" t="str">
        <x:v>否</x:v>
      </x:c>
      <x:c r="U45" s="20" t="str">
        <x:v>是（公共奖池）</x:v>
      </x:c>
      <x:c r="V45" s="22" t="str">
        <x:v>结构定稿</x:v>
      </x:c>
      <x:c r="W45" s="36" t="str">
        <x:v>用户自行分配／本表不处理</x:v>
      </x:c>
      <x:c r="X45" s="33" t="n">
        <x:v>6574</x:v>
      </x:c>
      <x:c r="Y45" s="29" t="str">
        <x:v>后期统一平衡</x:v>
      </x:c>
      <x:c r="Z45" s="20" t="str">
        <x:v>一怪一专属；专属来源跟随本行准确地图号</x:v>
      </x:c>
    </x:row>
    <x:row r="46" ht="24" customHeight="1">
      <x:c r="A46" s="20" t="str">
        <x:v>C03-M042</x:v>
      </x:c>
      <x:c r="B46" s="20" t="str">
        <x:v>C03</x:v>
      </x:c>
      <x:c r="C46" s="20" t="str">
        <x:v>宁姆格福西域</x:v>
      </x:c>
      <x:c r="D46" s="20" t="n">
        <x:v>4</x:v>
      </x:c>
      <x:c r="E46" s="20" t="str">
        <x:v>古战场遗迹</x:v>
      </x:c>
      <x:c r="F46" s="20" t="n">
        <x:v>3</x:v>
      </x:c>
      <x:c r="G46" s="20" t="str">
        <x:v>XX312</x:v>
      </x:c>
      <x:c r="H46" s="20" t="str">
        <x:v>亡者祭坛</x:v>
      </x:c>
      <x:c r="I46" s="20" t="str">
        <x:v>英灵战马</x:v>
      </x:c>
      <x:c r="J46" s="20" t="str">
        <x:v>黄色</x:v>
      </x:c>
      <x:c r="K46" s="20" t="str">
        <x:v>普通</x:v>
      </x:c>
      <x:c r="L46" s="20" t="str">
        <x:v>灵兽·战马</x:v>
      </x:c>
      <x:c r="M46" s="20" t="str">
        <x:v>冲锋扰阵</x:v>
      </x:c>
      <x:c r="N46" s="20" t="str">
        <x:v>英灵马靴</x:v>
      </x:c>
      <x:c r="O46" s="20" t="str">
        <x:v>鞋子</x:v>
      </x:c>
      <x:c r="P46" s="20" t="str">
        <x:v>风蚀铁片</x:v>
      </x:c>
      <x:c r="Q46" s="20" t="str"/>
      <x:c r="R46" s="20" t="str">
        <x:v>裂风崖羽</x:v>
      </x:c>
      <x:c r="S46" s="20" t="str">
        <x:v>西境风痕碑拓</x:v>
      </x:c>
      <x:c r="T46" s="20" t="str">
        <x:v>否</x:v>
      </x:c>
      <x:c r="U46" s="20" t="str">
        <x:v>是（公共奖池）</x:v>
      </x:c>
      <x:c r="V46" s="22" t="str">
        <x:v>结构定稿</x:v>
      </x:c>
      <x:c r="W46" s="36" t="str">
        <x:v>用户自行分配／本表不处理</x:v>
      </x:c>
      <x:c r="X46" s="33" t="n">
        <x:v>6547</x:v>
      </x:c>
      <x:c r="Y46" s="29" t="str">
        <x:v>后期统一平衡</x:v>
      </x:c>
      <x:c r="Z46" s="20" t="str">
        <x:v>一怪一专属；专属来源跟随本行准确地图号</x:v>
      </x:c>
    </x:row>
    <x:row r="47" ht="24" customHeight="1">
      <x:c r="A47" s="20" t="str">
        <x:v>C03-M043</x:v>
      </x:c>
      <x:c r="B47" s="20" t="str">
        <x:v>C03</x:v>
      </x:c>
      <x:c r="C47" s="20" t="str">
        <x:v>宁姆格福西域</x:v>
      </x:c>
      <x:c r="D47" s="20" t="n">
        <x:v>4</x:v>
      </x:c>
      <x:c r="E47" s="20" t="str">
        <x:v>古战场遗迹</x:v>
      </x:c>
      <x:c r="F47" s="20" t="n">
        <x:v>1</x:v>
      </x:c>
      <x:c r="G47" s="20" t="str">
        <x:v>XX310</x:v>
      </x:c>
      <x:c r="H47" s="20" t="str">
        <x:v>古战场遗迹</x:v>
      </x:c>
      <x:c r="I47" s="20" t="str">
        <x:v>百战英魂</x:v>
      </x:c>
      <x:c r="J47" s="20" t="str">
        <x:v>蓝色</x:v>
      </x:c>
      <x:c r="K47" s="20" t="str">
        <x:v>稀有</x:v>
      </x:c>
      <x:c r="L47" s="20" t="str">
        <x:v>亡灵·英魂</x:v>
      </x:c>
      <x:c r="M47" s="20" t="str">
        <x:v>近战压制</x:v>
      </x:c>
      <x:c r="N47" s="20" t="str">
        <x:v>百战腕甲</x:v>
      </x:c>
      <x:c r="O47" s="20" t="str">
        <x:v>手镯</x:v>
      </x:c>
      <x:c r="P47" s="20" t="str">
        <x:v>风蚀铁片</x:v>
      </x:c>
      <x:c r="Q47" s="20" t="str">
        <x:v>西境战旗</x:v>
      </x:c>
      <x:c r="R47" s="20" t="str">
        <x:v>商队火漆</x:v>
      </x:c>
      <x:c r="S47" s="20" t="str">
        <x:v>西境风痕碑拓</x:v>
      </x:c>
      <x:c r="T47" s="20" t="str">
        <x:v>否</x:v>
      </x:c>
      <x:c r="U47" s="20" t="str">
        <x:v>是（公共奖池）</x:v>
      </x:c>
      <x:c r="V47" s="22" t="str">
        <x:v>结构定稿</x:v>
      </x:c>
      <x:c r="W47" s="36" t="str">
        <x:v>用户自行分配／本表不处理</x:v>
      </x:c>
      <x:c r="X47" s="33" t="n">
        <x:v>6542</x:v>
      </x:c>
      <x:c r="Y47" s="29" t="str">
        <x:v>后期统一平衡</x:v>
      </x:c>
      <x:c r="Z47" s="20" t="str">
        <x:v>一怪一专属；专属来源跟随本行准确地图号</x:v>
      </x:c>
    </x:row>
    <x:row r="48" ht="24" customHeight="1">
      <x:c r="A48" s="20" t="str">
        <x:v>C03-M044</x:v>
      </x:c>
      <x:c r="B48" s="20" t="str">
        <x:v>C03</x:v>
      </x:c>
      <x:c r="C48" s="20" t="str">
        <x:v>宁姆格福西域</x:v>
      </x:c>
      <x:c r="D48" s="20" t="n">
        <x:v>4</x:v>
      </x:c>
      <x:c r="E48" s="20" t="str">
        <x:v>古战场遗迹</x:v>
      </x:c>
      <x:c r="F48" s="20" t="n">
        <x:v>2</x:v>
      </x:c>
      <x:c r="G48" s="20" t="str">
        <x:v>XX311</x:v>
      </x:c>
      <x:c r="H48" s="20" t="str">
        <x:v>英灵战场</x:v>
      </x:c>
      <x:c r="I48" s="20" t="str">
        <x:v>亡阵旗官</x:v>
      </x:c>
      <x:c r="J48" s="20" t="str">
        <x:v>蓝色</x:v>
      </x:c>
      <x:c r="K48" s="20" t="str">
        <x:v>稀有</x:v>
      </x:c>
      <x:c r="L48" s="20" t="str">
        <x:v>亡灵·旗官</x:v>
      </x:c>
      <x:c r="M48" s="20" t="str">
        <x:v>阵线统御</x:v>
      </x:c>
      <x:c r="N48" s="20" t="str">
        <x:v>亡阵旗印</x:v>
      </x:c>
      <x:c r="O48" s="20" t="str">
        <x:v>勋章</x:v>
      </x:c>
      <x:c r="P48" s="20" t="str">
        <x:v>风蚀铁片</x:v>
      </x:c>
      <x:c r="Q48" s="20" t="str">
        <x:v>西境战旗</x:v>
      </x:c>
      <x:c r="R48" s="20" t="str">
        <x:v>商队火漆</x:v>
      </x:c>
      <x:c r="S48" s="20" t="str">
        <x:v>西境风痕碑拓</x:v>
      </x:c>
      <x:c r="T48" s="20" t="str">
        <x:v>否</x:v>
      </x:c>
      <x:c r="U48" s="20" t="str">
        <x:v>是（公共奖池）</x:v>
      </x:c>
      <x:c r="V48" s="22" t="str">
        <x:v>结构定稿</x:v>
      </x:c>
      <x:c r="W48" s="36" t="str">
        <x:v>用户自行分配／本表不处理</x:v>
      </x:c>
      <x:c r="X48" s="33" t="n">
        <x:v>6579</x:v>
      </x:c>
      <x:c r="Y48" s="29" t="str">
        <x:v>后期统一平衡</x:v>
      </x:c>
      <x:c r="Z48" s="20" t="str">
        <x:v>一怪一专属；专属来源跟随本行准确地图号</x:v>
      </x:c>
    </x:row>
    <x:row r="49" ht="24" customHeight="1">
      <x:c r="A49" s="20" t="str">
        <x:v>C03-M045</x:v>
      </x:c>
      <x:c r="B49" s="20" t="str">
        <x:v>C03</x:v>
      </x:c>
      <x:c r="C49" s="20" t="str">
        <x:v>宁姆格福西域</x:v>
      </x:c>
      <x:c r="D49" s="20" t="n">
        <x:v>4</x:v>
      </x:c>
      <x:c r="E49" s="20" t="str">
        <x:v>古战场遗迹</x:v>
      </x:c>
      <x:c r="F49" s="20" t="n">
        <x:v>3</x:v>
      </x:c>
      <x:c r="G49" s="20" t="str">
        <x:v>XX312</x:v>
      </x:c>
      <x:c r="H49" s="20" t="str">
        <x:v>亡者祭坛</x:v>
      </x:c>
      <x:c r="I49" s="20" t="str">
        <x:v>誓死卫士</x:v>
      </x:c>
      <x:c r="J49" s="20" t="str">
        <x:v>蓝色</x:v>
      </x:c>
      <x:c r="K49" s="20" t="str">
        <x:v>稀有</x:v>
      </x:c>
      <x:c r="L49" s="20" t="str">
        <x:v>亡灵·卫士</x:v>
      </x:c>
      <x:c r="M49" s="20" t="str">
        <x:v>持盾守护</x:v>
      </x:c>
      <x:c r="N49" s="20" t="str">
        <x:v>誓死王盾</x:v>
      </x:c>
      <x:c r="O49" s="20" t="str">
        <x:v>盾牌</x:v>
      </x:c>
      <x:c r="P49" s="20" t="str">
        <x:v>风蚀铁片</x:v>
      </x:c>
      <x:c r="Q49" s="20" t="str">
        <x:v>西境战旗</x:v>
      </x:c>
      <x:c r="R49" s="20" t="str">
        <x:v>商队火漆</x:v>
      </x:c>
      <x:c r="S49" s="20" t="str">
        <x:v>西境风痕碑拓</x:v>
      </x:c>
      <x:c r="T49" s="20" t="str">
        <x:v>否</x:v>
      </x:c>
      <x:c r="U49" s="20" t="str">
        <x:v>是（公共奖池）</x:v>
      </x:c>
      <x:c r="V49" s="22" t="str">
        <x:v>结构定稿</x:v>
      </x:c>
      <x:c r="W49" s="36" t="str">
        <x:v>用户自行分配／本表不处理</x:v>
      </x:c>
      <x:c r="X49" s="33" t="n">
        <x:v>6510</x:v>
      </x:c>
      <x:c r="Y49" s="29" t="str">
        <x:v>后期统一平衡</x:v>
      </x:c>
      <x:c r="Z49" s="20" t="str">
        <x:v>一怪一专属；专属来源跟随本行准确地图号</x:v>
      </x:c>
    </x:row>
    <x:row r="50" ht="24" customHeight="1">
      <x:c r="A50" s="20" t="str">
        <x:v>C03-M046</x:v>
      </x:c>
      <x:c r="B50" s="20" t="str">
        <x:v>C03</x:v>
      </x:c>
      <x:c r="C50" s="20" t="str">
        <x:v>宁姆格福西域</x:v>
      </x:c>
      <x:c r="D50" s="20" t="n">
        <x:v>4</x:v>
      </x:c>
      <x:c r="E50" s="20" t="str">
        <x:v>古战场遗迹</x:v>
      </x:c>
      <x:c r="F50" s="20" t="n">
        <x:v>3</x:v>
      </x:c>
      <x:c r="G50" s="20" t="str">
        <x:v>XX312</x:v>
      </x:c>
      <x:c r="H50" s="20" t="str">
        <x:v>亡者祭坛</x:v>
      </x:c>
      <x:c r="I50" s="20" t="str">
        <x:v>祭坛唤魂师</x:v>
      </x:c>
      <x:c r="J50" s="20" t="str">
        <x:v>蓝色</x:v>
      </x:c>
      <x:c r="K50" s="20" t="str">
        <x:v>稀有</x:v>
      </x:c>
      <x:c r="L50" s="20" t="str">
        <x:v>亡灵·唤魂师</x:v>
      </x:c>
      <x:c r="M50" s="20" t="str">
        <x:v>召魂控场</x:v>
      </x:c>
      <x:c r="N50" s="20" t="str">
        <x:v>幽坛引魂铃</x:v>
      </x:c>
      <x:c r="O50" s="20" t="str">
        <x:v>项链</x:v>
      </x:c>
      <x:c r="P50" s="20" t="str">
        <x:v>风蚀铁片</x:v>
      </x:c>
      <x:c r="Q50" s="20" t="str">
        <x:v>西境战旗</x:v>
      </x:c>
      <x:c r="R50" s="20" t="str">
        <x:v>商队火漆</x:v>
      </x:c>
      <x:c r="S50" s="20" t="str">
        <x:v>西境风痕碑拓</x:v>
      </x:c>
      <x:c r="T50" s="20" t="str">
        <x:v>否</x:v>
      </x:c>
      <x:c r="U50" s="20" t="str">
        <x:v>是（公共奖池）</x:v>
      </x:c>
      <x:c r="V50" s="22" t="str">
        <x:v>结构定稿</x:v>
      </x:c>
      <x:c r="W50" s="36" t="str">
        <x:v>用户自行分配／本表不处理</x:v>
      </x:c>
      <x:c r="X50" s="33" t="n">
        <x:v>6646</x:v>
      </x:c>
      <x:c r="Y50" s="29" t="str">
        <x:v>后期统一平衡</x:v>
      </x:c>
      <x:c r="Z50" s="20" t="str">
        <x:v>一怪一专属；专属来源跟随本行准确地图号</x:v>
      </x:c>
    </x:row>
    <x:row r="51" ht="24" customHeight="1">
      <x:c r="A51" s="20" t="str">
        <x:v>C03-M047</x:v>
      </x:c>
      <x:c r="B51" s="20" t="str">
        <x:v>C03</x:v>
      </x:c>
      <x:c r="C51" s="20" t="str">
        <x:v>宁姆格福西域</x:v>
      </x:c>
      <x:c r="D51" s="20" t="n">
        <x:v>4</x:v>
      </x:c>
      <x:c r="E51" s="20" t="str">
        <x:v>古战场遗迹</x:v>
      </x:c>
      <x:c r="F51" s="20" t="n">
        <x:v>2</x:v>
      </x:c>
      <x:c r="G51" s="20" t="str">
        <x:v>XX311</x:v>
      </x:c>
      <x:c r="H51" s="20" t="str">
        <x:v>英灵战场</x:v>
      </x:c>
      <x:c r="I51" s="20" t="str">
        <x:v>古战将·雷戈</x:v>
      </x:c>
      <x:c r="J51" s="20" t="str">
        <x:v>粉色</x:v>
      </x:c>
      <x:c r="K51" s="20" t="str">
        <x:v>地图BOSS</x:v>
      </x:c>
      <x:c r="L51" s="20" t="str">
        <x:v>亡灵·战将</x:v>
      </x:c>
      <x:c r="M51" s="20" t="str">
        <x:v>长柄统御</x:v>
      </x:c>
      <x:c r="N51" s="20" t="str">
        <x:v>雷戈古戟</x:v>
      </x:c>
      <x:c r="O51" s="20" t="str">
        <x:v>武器</x:v>
      </x:c>
      <x:c r="P51" s="20" t="str">
        <x:v>风蚀铁片</x:v>
      </x:c>
      <x:c r="Q51" s="20" t="str">
        <x:v>西境战旗＋西境战旗印</x:v>
      </x:c>
      <x:c r="R51" s="20" t="str">
        <x:v>守垒铜钥</x:v>
      </x:c>
      <x:c r="S51" s="20" t="str">
        <x:v>西境风痕碑拓</x:v>
      </x:c>
      <x:c r="T51" s="20" t="str">
        <x:v>是（独立奖池）</x:v>
      </x:c>
      <x:c r="U51" s="20" t="str">
        <x:v>是（公共奖池）</x:v>
      </x:c>
      <x:c r="V51" s="22" t="str">
        <x:v>结构定稿</x:v>
      </x:c>
      <x:c r="W51" s="36" t="str">
        <x:v>用户自行分配／本表不处理</x:v>
      </x:c>
      <x:c r="X51" s="33" t="n">
        <x:v>6536</x:v>
      </x:c>
      <x:c r="Y51" s="29" t="str">
        <x:v>后期统一平衡</x:v>
      </x:c>
      <x:c r="Z51" s="20" t="str">
        <x:v>一怪一专属；专属来源跟随本行准确地图号</x:v>
      </x:c>
    </x:row>
    <x:row r="52" ht="24" customHeight="1">
      <x:c r="A52" s="20" t="str">
        <x:v>C03-M048</x:v>
      </x:c>
      <x:c r="B52" s="20" t="str">
        <x:v>C03</x:v>
      </x:c>
      <x:c r="C52" s="20" t="str">
        <x:v>宁姆格福西域</x:v>
      </x:c>
      <x:c r="D52" s="20" t="n">
        <x:v>4</x:v>
      </x:c>
      <x:c r="E52" s="20" t="str">
        <x:v>古战场遗迹</x:v>
      </x:c>
      <x:c r="F52" s="20" t="n">
        <x:v>3</x:v>
      </x:c>
      <x:c r="G52" s="20" t="str">
        <x:v>XX312</x:v>
      </x:c>
      <x:c r="H52" s="20" t="str">
        <x:v>亡者祭坛</x:v>
      </x:c>
      <x:c r="I52" s="20" t="str">
        <x:v>千军怨灵·阿萨</x:v>
      </x:c>
      <x:c r="J52" s="20" t="str">
        <x:v>粉色</x:v>
      </x:c>
      <x:c r="K52" s="20" t="str">
        <x:v>地图BOSS</x:v>
      </x:c>
      <x:c r="L52" s="20" t="str">
        <x:v>怨灵·聚合体</x:v>
      </x:c>
      <x:c r="M52" s="20" t="str">
        <x:v>群体压制</x:v>
      </x:c>
      <x:c r="N52" s="20" t="str">
        <x:v>千军魂衣</x:v>
      </x:c>
      <x:c r="O52" s="20" t="str">
        <x:v>衣服</x:v>
      </x:c>
      <x:c r="P52" s="20" t="str">
        <x:v>风蚀铁片</x:v>
      </x:c>
      <x:c r="Q52" s="20" t="str">
        <x:v>西境战旗＋西境战旗印</x:v>
      </x:c>
      <x:c r="R52" s="20" t="str">
        <x:v>守垒铜钥</x:v>
      </x:c>
      <x:c r="S52" s="20" t="str">
        <x:v>西境风痕碑拓</x:v>
      </x:c>
      <x:c r="T52" s="20" t="str">
        <x:v>是（独立奖池）</x:v>
      </x:c>
      <x:c r="U52" s="20" t="str">
        <x:v>是（公共奖池）</x:v>
      </x:c>
      <x:c r="V52" s="22" t="str">
        <x:v>结构定稿</x:v>
      </x:c>
      <x:c r="W52" s="36" t="str">
        <x:v>用户自行分配／本表不处理</x:v>
      </x:c>
      <x:c r="X52" s="33" t="n">
        <x:v>6537</x:v>
      </x:c>
      <x:c r="Y52" s="29" t="str">
        <x:v>后期统一平衡</x:v>
      </x:c>
      <x:c r="Z52" s="20" t="str">
        <x:v>一怪一专属；专属来源跟随本行准确地图号</x:v>
      </x:c>
    </x:row>
    <x:row r="53" ht="24" customHeight="1">
      <x:c r="A53" s="20" t="str">
        <x:v>C03-M049</x:v>
      </x:c>
      <x:c r="B53" s="20" t="str">
        <x:v>C03</x:v>
      </x:c>
      <x:c r="C53" s="20" t="str">
        <x:v>宁姆格福西域</x:v>
      </x:c>
      <x:c r="D53" s="20" t="n">
        <x:v>5</x:v>
      </x:c>
      <x:c r="E53" s="20" t="str">
        <x:v>风蚀古垒</x:v>
      </x:c>
      <x:c r="F53" s="20" t="n">
        <x:v>1</x:v>
      </x:c>
      <x:c r="G53" s="20" t="str">
        <x:v>XX518</x:v>
      </x:c>
      <x:c r="H53" s="20" t="str">
        <x:v>风蚀古垒</x:v>
      </x:c>
      <x:c r="I53" s="20" t="str">
        <x:v>古垒戍兵</x:v>
      </x:c>
      <x:c r="J53" s="20" t="str">
        <x:v>黄色</x:v>
      </x:c>
      <x:c r="K53" s="20" t="str">
        <x:v>普通</x:v>
      </x:c>
      <x:c r="L53" s="20" t="str">
        <x:v>人形·戍兵</x:v>
      </x:c>
      <x:c r="M53" s="20" t="str">
        <x:v>近战守备</x:v>
      </x:c>
      <x:c r="N53" s="20" t="str">
        <x:v>古垒军刀</x:v>
      </x:c>
      <x:c r="O53" s="20" t="str">
        <x:v>武器</x:v>
      </x:c>
      <x:c r="P53" s="20" t="str">
        <x:v>风蚀铁片</x:v>
      </x:c>
      <x:c r="Q53" s="20" t="str"/>
      <x:c r="R53" s="20" t="str">
        <x:v>裂风崖羽</x:v>
      </x:c>
      <x:c r="S53" s="20" t="str">
        <x:v>西境风痕碑拓</x:v>
      </x:c>
      <x:c r="T53" s="20" t="str">
        <x:v>否</x:v>
      </x:c>
      <x:c r="U53" s="20" t="str">
        <x:v>是（公共奖池）</x:v>
      </x:c>
      <x:c r="V53" s="22" t="str">
        <x:v>结构定稿</x:v>
      </x:c>
      <x:c r="W53" s="36" t="str">
        <x:v>用户自行分配／本表不处理</x:v>
      </x:c>
      <x:c r="X53" s="34" t="str">
        <x:v>缺武器来源码</x:v>
      </x:c>
      <x:c r="Y53" s="29" t="str">
        <x:v>后期统一平衡</x:v>
      </x:c>
      <x:c r="Z53" s="20" t="str">
        <x:v>一怪一专属；专属来源跟随本行准确地图号</x:v>
      </x:c>
    </x:row>
    <x:row r="54" ht="24" customHeight="1">
      <x:c r="A54" s="20" t="str">
        <x:v>C03-M050</x:v>
      </x:c>
      <x:c r="B54" s="20" t="str">
        <x:v>C03</x:v>
      </x:c>
      <x:c r="C54" s="20" t="str">
        <x:v>宁姆格福西域</x:v>
      </x:c>
      <x:c r="D54" s="20" t="n">
        <x:v>5</x:v>
      </x:c>
      <x:c r="E54" s="20" t="str">
        <x:v>风蚀古垒</x:v>
      </x:c>
      <x:c r="F54" s="20" t="n">
        <x:v>1</x:v>
      </x:c>
      <x:c r="G54" s="20" t="str">
        <x:v>XX518</x:v>
      </x:c>
      <x:c r="H54" s="20" t="str">
        <x:v>风蚀古垒</x:v>
      </x:c>
      <x:c r="I54" s="20" t="str">
        <x:v>风沙箭手</x:v>
      </x:c>
      <x:c r="J54" s="20" t="str">
        <x:v>黄色</x:v>
      </x:c>
      <x:c r="K54" s="20" t="str">
        <x:v>普通</x:v>
      </x:c>
      <x:c r="L54" s="20" t="str">
        <x:v>人形·箭手</x:v>
      </x:c>
      <x:c r="M54" s="20" t="str">
        <x:v>远程压制</x:v>
      </x:c>
      <x:c r="N54" s="20" t="str">
        <x:v>风沙鹰链</x:v>
      </x:c>
      <x:c r="O54" s="20" t="str">
        <x:v>项链</x:v>
      </x:c>
      <x:c r="P54" s="20" t="str">
        <x:v>风蚀铁片</x:v>
      </x:c>
      <x:c r="Q54" s="20" t="str"/>
      <x:c r="R54" s="20" t="str">
        <x:v>裂风崖羽</x:v>
      </x:c>
      <x:c r="S54" s="20" t="str">
        <x:v>西境风痕碑拓</x:v>
      </x:c>
      <x:c r="T54" s="20" t="str">
        <x:v>否</x:v>
      </x:c>
      <x:c r="U54" s="20" t="str">
        <x:v>是（公共奖池）</x:v>
      </x:c>
      <x:c r="V54" s="22" t="str">
        <x:v>结构定稿</x:v>
      </x:c>
      <x:c r="W54" s="36" t="str">
        <x:v>用户自行分配／本表不处理</x:v>
      </x:c>
      <x:c r="X54" s="33" t="n">
        <x:v>6681</x:v>
      </x:c>
      <x:c r="Y54" s="29" t="str">
        <x:v>后期统一平衡</x:v>
      </x:c>
      <x:c r="Z54" s="20" t="str">
        <x:v>一怪一专属；专属来源跟随本行准确地图号</x:v>
      </x:c>
    </x:row>
    <x:row r="55" ht="24" customHeight="1">
      <x:c r="A55" s="20" t="str">
        <x:v>C03-M051</x:v>
      </x:c>
      <x:c r="B55" s="20" t="str">
        <x:v>C03</x:v>
      </x:c>
      <x:c r="C55" s="20" t="str">
        <x:v>宁姆格福西域</x:v>
      </x:c>
      <x:c r="D55" s="20" t="n">
        <x:v>5</x:v>
      </x:c>
      <x:c r="E55" s="20" t="str">
        <x:v>风蚀古垒</x:v>
      </x:c>
      <x:c r="F55" s="20" t="n">
        <x:v>2</x:v>
      </x:c>
      <x:c r="G55" s="20" t="str">
        <x:v>XX517</x:v>
      </x:c>
      <x:c r="H55" s="20" t="str">
        <x:v>古垒回廊</x:v>
      </x:c>
      <x:c r="I55" s="20" t="str">
        <x:v>回廊石卫</x:v>
      </x:c>
      <x:c r="J55" s="20" t="str">
        <x:v>黄色</x:v>
      </x:c>
      <x:c r="K55" s="20" t="str">
        <x:v>普通</x:v>
      </x:c>
      <x:c r="L55" s="20" t="str">
        <x:v>构装·石卫</x:v>
      </x:c>
      <x:c r="M55" s="20" t="str">
        <x:v>阵地阻截</x:v>
      </x:c>
      <x:c r="N55" s="20" t="str">
        <x:v>回廊石盔</x:v>
      </x:c>
      <x:c r="O55" s="20" t="str">
        <x:v>头盔</x:v>
      </x:c>
      <x:c r="P55" s="20" t="str">
        <x:v>风蚀铁片</x:v>
      </x:c>
      <x:c r="Q55" s="20" t="str"/>
      <x:c r="R55" s="20" t="str">
        <x:v>裂风崖羽</x:v>
      </x:c>
      <x:c r="S55" s="20" t="str">
        <x:v>西境风痕碑拓</x:v>
      </x:c>
      <x:c r="T55" s="20" t="str">
        <x:v>否</x:v>
      </x:c>
      <x:c r="U55" s="20" t="str">
        <x:v>是（公共奖池）</x:v>
      </x:c>
      <x:c r="V55" s="22" t="str">
        <x:v>结构定稿</x:v>
      </x:c>
      <x:c r="W55" s="36" t="str">
        <x:v>用户自行分配／本表不处理</x:v>
      </x:c>
      <x:c r="X55" s="33" t="n">
        <x:v>6609</x:v>
      </x:c>
      <x:c r="Y55" s="29" t="str">
        <x:v>后期统一平衡</x:v>
      </x:c>
      <x:c r="Z55" s="20" t="str">
        <x:v>一怪一专属；专属来源跟随本行准确地图号</x:v>
      </x:c>
    </x:row>
    <x:row r="56" ht="24" customHeight="1">
      <x:c r="A56" s="20" t="str">
        <x:v>C03-M052</x:v>
      </x:c>
      <x:c r="B56" s="20" t="str">
        <x:v>C03</x:v>
      </x:c>
      <x:c r="C56" s="20" t="str">
        <x:v>宁姆格福西域</x:v>
      </x:c>
      <x:c r="D56" s="20" t="n">
        <x:v>5</x:v>
      </x:c>
      <x:c r="E56" s="20" t="str">
        <x:v>风蚀古垒</x:v>
      </x:c>
      <x:c r="F56" s="20" t="n">
        <x:v>3</x:v>
      </x:c>
      <x:c r="G56" s="20" t="str">
        <x:v>XX516</x:v>
      </x:c>
      <x:c r="H56" s="20" t="str">
        <x:v>边境地宫</x:v>
      </x:c>
      <x:c r="I56" s="20" t="str">
        <x:v>地宫掘墓人</x:v>
      </x:c>
      <x:c r="J56" s="20" t="str">
        <x:v>黄色</x:v>
      </x:c>
      <x:c r="K56" s="20" t="str">
        <x:v>普通</x:v>
      </x:c>
      <x:c r="L56" s="20" t="str">
        <x:v>人形·掘墓人</x:v>
      </x:c>
      <x:c r="M56" s="20" t="str">
        <x:v>近战破甲</x:v>
      </x:c>
      <x:c r="N56" s="20" t="str">
        <x:v>掘墓铁镯</x:v>
      </x:c>
      <x:c r="O56" s="20" t="str">
        <x:v>手镯</x:v>
      </x:c>
      <x:c r="P56" s="20" t="str">
        <x:v>风蚀铁片</x:v>
      </x:c>
      <x:c r="Q56" s="20" t="str"/>
      <x:c r="R56" s="20" t="str">
        <x:v>裂风崖羽</x:v>
      </x:c>
      <x:c r="S56" s="20" t="str">
        <x:v>西境风痕碑拓</x:v>
      </x:c>
      <x:c r="T56" s="20" t="str">
        <x:v>否</x:v>
      </x:c>
      <x:c r="U56" s="20" t="str">
        <x:v>是（公共奖池）</x:v>
      </x:c>
      <x:c r="V56" s="22" t="str">
        <x:v>结构定稿</x:v>
      </x:c>
      <x:c r="W56" s="36" t="str">
        <x:v>用户自行分配／本表不处理</x:v>
      </x:c>
      <x:c r="X56" s="33" t="n">
        <x:v>6577</x:v>
      </x:c>
      <x:c r="Y56" s="29" t="str">
        <x:v>后期统一平衡</x:v>
      </x:c>
      <x:c r="Z56" s="20" t="str">
        <x:v>一怪一专属；专属来源跟随本行准确地图号</x:v>
      </x:c>
    </x:row>
    <x:row r="57" ht="24" customHeight="1">
      <x:c r="A57" s="20" t="str">
        <x:v>C03-M053</x:v>
      </x:c>
      <x:c r="B57" s="20" t="str">
        <x:v>C03</x:v>
      </x:c>
      <x:c r="C57" s="20" t="str">
        <x:v>宁姆格福西域</x:v>
      </x:c>
      <x:c r="D57" s="20" t="n">
        <x:v>5</x:v>
      </x:c>
      <x:c r="E57" s="20" t="str">
        <x:v>风蚀古垒</x:v>
      </x:c>
      <x:c r="F57" s="20" t="n">
        <x:v>2</x:v>
      </x:c>
      <x:c r="G57" s="20" t="str">
        <x:v>XX517</x:v>
      </x:c>
      <x:c r="H57" s="20" t="str">
        <x:v>古垒回廊</x:v>
      </x:c>
      <x:c r="I57" s="20" t="str">
        <x:v>边墙猎犬</x:v>
      </x:c>
      <x:c r="J57" s="20" t="str">
        <x:v>黄色</x:v>
      </x:c>
      <x:c r="K57" s="20" t="str">
        <x:v>普通</x:v>
      </x:c>
      <x:c r="L57" s="20" t="str">
        <x:v>野兽·猎犬</x:v>
      </x:c>
      <x:c r="M57" s="20" t="str">
        <x:v>追猎牵制</x:v>
      </x:c>
      <x:c r="N57" s="20" t="str">
        <x:v>边墙牙戒</x:v>
      </x:c>
      <x:c r="O57" s="20" t="str">
        <x:v>戒指</x:v>
      </x:c>
      <x:c r="P57" s="20" t="str">
        <x:v>风蚀铁片</x:v>
      </x:c>
      <x:c r="Q57" s="20" t="str"/>
      <x:c r="R57" s="20" t="str">
        <x:v>裂风崖羽</x:v>
      </x:c>
      <x:c r="S57" s="20" t="str">
        <x:v>西境风痕碑拓</x:v>
      </x:c>
      <x:c r="T57" s="20" t="str">
        <x:v>否</x:v>
      </x:c>
      <x:c r="U57" s="20" t="str">
        <x:v>是（公共奖池）</x:v>
      </x:c>
      <x:c r="V57" s="22" t="str">
        <x:v>结构定稿</x:v>
      </x:c>
      <x:c r="W57" s="36" t="str">
        <x:v>用户自行分配／本表不处理</x:v>
      </x:c>
      <x:c r="X57" s="33" t="n">
        <x:v>6613</x:v>
      </x:c>
      <x:c r="Y57" s="29" t="str">
        <x:v>后期统一平衡</x:v>
      </x:c>
      <x:c r="Z57" s="20" t="str">
        <x:v>一怪一专属；专属来源跟随本行准确地图号</x:v>
      </x:c>
    </x:row>
    <x:row r="58" ht="24" customHeight="1">
      <x:c r="A58" s="20" t="str">
        <x:v>C03-M054</x:v>
      </x:c>
      <x:c r="B58" s="20" t="str">
        <x:v>C03</x:v>
      </x:c>
      <x:c r="C58" s="20" t="str">
        <x:v>宁姆格福西域</x:v>
      </x:c>
      <x:c r="D58" s="20" t="n">
        <x:v>5</x:v>
      </x:c>
      <x:c r="E58" s="20" t="str">
        <x:v>风蚀古垒</x:v>
      </x:c>
      <x:c r="F58" s="20" t="n">
        <x:v>3</x:v>
      </x:c>
      <x:c r="G58" s="20" t="str">
        <x:v>XX516</x:v>
      </x:c>
      <x:c r="H58" s="20" t="str">
        <x:v>边境地宫</x:v>
      </x:c>
      <x:c r="I58" s="20" t="str">
        <x:v>铜门守卒</x:v>
      </x:c>
      <x:c r="J58" s="20" t="str">
        <x:v>黄色</x:v>
      </x:c>
      <x:c r="K58" s="20" t="str">
        <x:v>普通</x:v>
      </x:c>
      <x:c r="L58" s="20" t="str">
        <x:v>人形·守卒</x:v>
      </x:c>
      <x:c r="M58" s="20" t="str">
        <x:v>持盾封锁</x:v>
      </x:c>
      <x:c r="N58" s="20" t="str">
        <x:v>铜门束带</x:v>
      </x:c>
      <x:c r="O58" s="20" t="str">
        <x:v>腰带</x:v>
      </x:c>
      <x:c r="P58" s="20" t="str">
        <x:v>风蚀铁片</x:v>
      </x:c>
      <x:c r="Q58" s="20" t="str"/>
      <x:c r="R58" s="20" t="str">
        <x:v>裂风崖羽</x:v>
      </x:c>
      <x:c r="S58" s="20" t="str">
        <x:v>西境风痕碑拓</x:v>
      </x:c>
      <x:c r="T58" s="20" t="str">
        <x:v>否</x:v>
      </x:c>
      <x:c r="U58" s="20" t="str">
        <x:v>是（公共奖池）</x:v>
      </x:c>
      <x:c r="V58" s="22" t="str">
        <x:v>结构定稿</x:v>
      </x:c>
      <x:c r="W58" s="36" t="str">
        <x:v>用户自行分配／本表不处理</x:v>
      </x:c>
      <x:c r="X58" s="33" t="n">
        <x:v>6548</x:v>
      </x:c>
      <x:c r="Y58" s="29" t="str">
        <x:v>后期统一平衡</x:v>
      </x:c>
      <x:c r="Z58" s="20" t="str">
        <x:v>一怪一专属；专属来源跟随本行准确地图号</x:v>
      </x:c>
    </x:row>
    <x:row r="59" ht="24" customHeight="1">
      <x:c r="A59" s="20" t="str">
        <x:v>C03-M055</x:v>
      </x:c>
      <x:c r="B59" s="20" t="str">
        <x:v>C03</x:v>
      </x:c>
      <x:c r="C59" s="20" t="str">
        <x:v>宁姆格福西域</x:v>
      </x:c>
      <x:c r="D59" s="20" t="n">
        <x:v>5</x:v>
      </x:c>
      <x:c r="E59" s="20" t="str">
        <x:v>风蚀古垒</x:v>
      </x:c>
      <x:c r="F59" s="20" t="n">
        <x:v>1</x:v>
      </x:c>
      <x:c r="G59" s="20" t="str">
        <x:v>XX518</x:v>
      </x:c>
      <x:c r="H59" s="20" t="str">
        <x:v>风蚀古垒</x:v>
      </x:c>
      <x:c r="I59" s="20" t="str">
        <x:v>古垒百夫长</x:v>
      </x:c>
      <x:c r="J59" s="20" t="str">
        <x:v>蓝色</x:v>
      </x:c>
      <x:c r="K59" s="20" t="str">
        <x:v>稀有</x:v>
      </x:c>
      <x:c r="L59" s="20" t="str">
        <x:v>人形·百夫长</x:v>
      </x:c>
      <x:c r="M59" s="20" t="str">
        <x:v>阵线指挥</x:v>
      </x:c>
      <x:c r="N59" s="20" t="str">
        <x:v>百夫战靴</x:v>
      </x:c>
      <x:c r="O59" s="20" t="str">
        <x:v>鞋子</x:v>
      </x:c>
      <x:c r="P59" s="20" t="str">
        <x:v>风蚀铁片</x:v>
      </x:c>
      <x:c r="Q59" s="20" t="str">
        <x:v>西境战旗</x:v>
      </x:c>
      <x:c r="R59" s="20" t="str">
        <x:v>商队火漆</x:v>
      </x:c>
      <x:c r="S59" s="20" t="str">
        <x:v>西境风痕碑拓</x:v>
      </x:c>
      <x:c r="T59" s="20" t="str">
        <x:v>否</x:v>
      </x:c>
      <x:c r="U59" s="20" t="str">
        <x:v>是（公共奖池）</x:v>
      </x:c>
      <x:c r="V59" s="22" t="str">
        <x:v>结构定稿</x:v>
      </x:c>
      <x:c r="W59" s="36" t="str">
        <x:v>用户自行分配／本表不处理</x:v>
      </x:c>
      <x:c r="X59" s="33" t="n">
        <x:v>6582</x:v>
      </x:c>
      <x:c r="Y59" s="29" t="str">
        <x:v>后期统一平衡</x:v>
      </x:c>
      <x:c r="Z59" s="20" t="str">
        <x:v>一怪一专属；专属来源跟随本行准确地图号</x:v>
      </x:c>
    </x:row>
    <x:row r="60" ht="24" customHeight="1">
      <x:c r="A60" s="20" t="str">
        <x:v>C03-M056</x:v>
      </x:c>
      <x:c r="B60" s="20" t="str">
        <x:v>C03</x:v>
      </x:c>
      <x:c r="C60" s="20" t="str">
        <x:v>宁姆格福西域</x:v>
      </x:c>
      <x:c r="D60" s="20" t="n">
        <x:v>5</x:v>
      </x:c>
      <x:c r="E60" s="20" t="str">
        <x:v>风蚀古垒</x:v>
      </x:c>
      <x:c r="F60" s="20" t="n">
        <x:v>2</x:v>
      </x:c>
      <x:c r="G60" s="20" t="str">
        <x:v>XX517</x:v>
      </x:c>
      <x:c r="H60" s="20" t="str">
        <x:v>古垒回廊</x:v>
      </x:c>
      <x:c r="I60" s="20" t="str">
        <x:v>风蚀刑官</x:v>
      </x:c>
      <x:c r="J60" s="20" t="str">
        <x:v>蓝色</x:v>
      </x:c>
      <x:c r="K60" s="20" t="str">
        <x:v>稀有</x:v>
      </x:c>
      <x:c r="L60" s="20" t="str">
        <x:v>人形·刑官</x:v>
      </x:c>
      <x:c r="M60" s="20" t="str">
        <x:v>近战处决</x:v>
      </x:c>
      <x:c r="N60" s="20" t="str">
        <x:v>刑官断刃</x:v>
      </x:c>
      <x:c r="O60" s="20" t="str">
        <x:v>武器</x:v>
      </x:c>
      <x:c r="P60" s="20" t="str">
        <x:v>风蚀铁片</x:v>
      </x:c>
      <x:c r="Q60" s="20" t="str">
        <x:v>西境战旗</x:v>
      </x:c>
      <x:c r="R60" s="20" t="str">
        <x:v>商队火漆</x:v>
      </x:c>
      <x:c r="S60" s="20" t="str">
        <x:v>西境风痕碑拓</x:v>
      </x:c>
      <x:c r="T60" s="20" t="str">
        <x:v>否</x:v>
      </x:c>
      <x:c r="U60" s="20" t="str">
        <x:v>是（公共奖池）</x:v>
      </x:c>
      <x:c r="V60" s="22" t="str">
        <x:v>结构定稿</x:v>
      </x:c>
      <x:c r="W60" s="36" t="str">
        <x:v>用户自行分配／本表不处理</x:v>
      </x:c>
      <x:c r="X60" s="34" t="str">
        <x:v>缺武器来源码</x:v>
      </x:c>
      <x:c r="Y60" s="29" t="str">
        <x:v>后期统一平衡</x:v>
      </x:c>
      <x:c r="Z60" s="20" t="str">
        <x:v>一怪一专属；专属来源跟随本行准确地图号</x:v>
      </x:c>
    </x:row>
    <x:row r="61" ht="24" customHeight="1">
      <x:c r="A61" s="20" t="str">
        <x:v>C03-M057</x:v>
      </x:c>
      <x:c r="B61" s="20" t="str">
        <x:v>C03</x:v>
      </x:c>
      <x:c r="C61" s="20" t="str">
        <x:v>宁姆格福西域</x:v>
      </x:c>
      <x:c r="D61" s="20" t="n">
        <x:v>5</x:v>
      </x:c>
      <x:c r="E61" s="20" t="str">
        <x:v>风蚀古垒</x:v>
      </x:c>
      <x:c r="F61" s="20" t="n">
        <x:v>3</x:v>
      </x:c>
      <x:c r="G61" s="20" t="str">
        <x:v>XX516</x:v>
      </x:c>
      <x:c r="H61" s="20" t="str">
        <x:v>边境地宫</x:v>
      </x:c>
      <x:c r="I61" s="20" t="str">
        <x:v>地宫镇魂者</x:v>
      </x:c>
      <x:c r="J61" s="20" t="str">
        <x:v>蓝色</x:v>
      </x:c>
      <x:c r="K61" s="20" t="str">
        <x:v>稀有</x:v>
      </x:c>
      <x:c r="L61" s="20" t="str">
        <x:v>人形·镇魂者</x:v>
      </x:c>
      <x:c r="M61" s="20" t="str">
        <x:v>术法压制</x:v>
      </x:c>
      <x:c r="N61" s="20" t="str">
        <x:v>镇魂勋章</x:v>
      </x:c>
      <x:c r="O61" s="20" t="str">
        <x:v>勋章</x:v>
      </x:c>
      <x:c r="P61" s="20" t="str">
        <x:v>风蚀铁片</x:v>
      </x:c>
      <x:c r="Q61" s="20" t="str">
        <x:v>西境战旗</x:v>
      </x:c>
      <x:c r="R61" s="20" t="str">
        <x:v>商队火漆</x:v>
      </x:c>
      <x:c r="S61" s="20" t="str">
        <x:v>西境风痕碑拓</x:v>
      </x:c>
      <x:c r="T61" s="20" t="str">
        <x:v>否</x:v>
      </x:c>
      <x:c r="U61" s="20" t="str">
        <x:v>是（公共奖池）</x:v>
      </x:c>
      <x:c r="V61" s="22" t="str">
        <x:v>结构定稿</x:v>
      </x:c>
      <x:c r="W61" s="36" t="str">
        <x:v>用户自行分配／本表不处理</x:v>
      </x:c>
      <x:c r="X61" s="33" t="n">
        <x:v>6614</x:v>
      </x:c>
      <x:c r="Y61" s="29" t="str">
        <x:v>后期统一平衡</x:v>
      </x:c>
      <x:c r="Z61" s="20" t="str">
        <x:v>一怪一专属；专属来源跟随本行准确地图号</x:v>
      </x:c>
    </x:row>
    <x:row r="62" ht="24" customHeight="1">
      <x:c r="A62" s="20" t="str">
        <x:v>C03-M058</x:v>
      </x:c>
      <x:c r="B62" s="20" t="str">
        <x:v>C03</x:v>
      </x:c>
      <x:c r="C62" s="20" t="str">
        <x:v>宁姆格福西域</x:v>
      </x:c>
      <x:c r="D62" s="20" t="n">
        <x:v>5</x:v>
      </x:c>
      <x:c r="E62" s="20" t="str">
        <x:v>风蚀古垒</x:v>
      </x:c>
      <x:c r="F62" s="20" t="n">
        <x:v>3</x:v>
      </x:c>
      <x:c r="G62" s="20" t="str">
        <x:v>XX516</x:v>
      </x:c>
      <x:c r="H62" s="20" t="str">
        <x:v>边境地宫</x:v>
      </x:c>
      <x:c r="I62" s="20" t="str">
        <x:v>边境铜像</x:v>
      </x:c>
      <x:c r="J62" s="20" t="str">
        <x:v>蓝色</x:v>
      </x:c>
      <x:c r="K62" s="20" t="str">
        <x:v>稀有</x:v>
      </x:c>
      <x:c r="L62" s="20" t="str">
        <x:v>构装·铜像</x:v>
      </x:c>
      <x:c r="M62" s="20" t="str">
        <x:v>重装守卫</x:v>
      </x:c>
      <x:c r="N62" s="20" t="str">
        <x:v>边境塔盾</x:v>
      </x:c>
      <x:c r="O62" s="20" t="str">
        <x:v>盾牌</x:v>
      </x:c>
      <x:c r="P62" s="20" t="str">
        <x:v>风蚀铁片</x:v>
      </x:c>
      <x:c r="Q62" s="20" t="str">
        <x:v>西境战旗</x:v>
      </x:c>
      <x:c r="R62" s="20" t="str">
        <x:v>商队火漆</x:v>
      </x:c>
      <x:c r="S62" s="20" t="str">
        <x:v>西境风痕碑拓</x:v>
      </x:c>
      <x:c r="T62" s="20" t="str">
        <x:v>否</x:v>
      </x:c>
      <x:c r="U62" s="20" t="str">
        <x:v>是（公共奖池）</x:v>
      </x:c>
      <x:c r="V62" s="22" t="str">
        <x:v>结构定稿</x:v>
      </x:c>
      <x:c r="W62" s="36" t="str">
        <x:v>用户自行分配／本表不处理</x:v>
      </x:c>
      <x:c r="X62" s="33" t="n">
        <x:v>6545</x:v>
      </x:c>
      <x:c r="Y62" s="29" t="str">
        <x:v>后期统一平衡</x:v>
      </x:c>
      <x:c r="Z62" s="20" t="str">
        <x:v>一怪一专属；专属来源跟随本行准确地图号</x:v>
      </x:c>
    </x:row>
    <x:row r="63" ht="24" customHeight="1">
      <x:c r="A63" s="20" t="str">
        <x:v>C03-M059</x:v>
      </x:c>
      <x:c r="B63" s="20" t="str">
        <x:v>C03</x:v>
      </x:c>
      <x:c r="C63" s="20" t="str">
        <x:v>宁姆格福西域</x:v>
      </x:c>
      <x:c r="D63" s="20" t="n">
        <x:v>5</x:v>
      </x:c>
      <x:c r="E63" s="20" t="str">
        <x:v>风蚀古垒</x:v>
      </x:c>
      <x:c r="F63" s="20" t="n">
        <x:v>2</x:v>
      </x:c>
      <x:c r="G63" s="20" t="str">
        <x:v>XX517</x:v>
      </x:c>
      <x:c r="H63" s="20" t="str">
        <x:v>古垒回廊</x:v>
      </x:c>
      <x:c r="I63" s="20" t="str">
        <x:v>无归守将·布兰</x:v>
      </x:c>
      <x:c r="J63" s="20" t="str">
        <x:v>粉色</x:v>
      </x:c>
      <x:c r="K63" s="20" t="str">
        <x:v>地图BOSS</x:v>
      </x:c>
      <x:c r="L63" s="20" t="str">
        <x:v>人形·守将</x:v>
      </x:c>
      <x:c r="M63" s="20" t="str">
        <x:v>防线统御</x:v>
      </x:c>
      <x:c r="N63" s="20" t="str">
        <x:v>布兰守城枪</x:v>
      </x:c>
      <x:c r="O63" s="20" t="str">
        <x:v>武器</x:v>
      </x:c>
      <x:c r="P63" s="20" t="str">
        <x:v>风蚀铁片</x:v>
      </x:c>
      <x:c r="Q63" s="20" t="str">
        <x:v>西境战旗＋西境战旗印</x:v>
      </x:c>
      <x:c r="R63" s="20" t="str">
        <x:v>守垒铜钥</x:v>
      </x:c>
      <x:c r="S63" s="20" t="str">
        <x:v>西境风痕碑拓</x:v>
      </x:c>
      <x:c r="T63" s="20" t="str">
        <x:v>是（独立奖池）</x:v>
      </x:c>
      <x:c r="U63" s="20" t="str">
        <x:v>是（公共奖池）</x:v>
      </x:c>
      <x:c r="V63" s="22" t="str">
        <x:v>结构定稿</x:v>
      </x:c>
      <x:c r="W63" s="36" t="str">
        <x:v>用户自行分配／本表不处理</x:v>
      </x:c>
      <x:c r="X63" s="33" t="n">
        <x:v>6571</x:v>
      </x:c>
      <x:c r="Y63" s="29" t="str">
        <x:v>后期统一平衡</x:v>
      </x:c>
      <x:c r="Z63" s="20" t="str">
        <x:v>一怪一专属；专属来源跟随本行准确地图号</x:v>
      </x:c>
    </x:row>
    <x:row r="64" ht="24" customHeight="1">
      <x:c r="A64" s="20" t="str">
        <x:v>C03-M060</x:v>
      </x:c>
      <x:c r="B64" s="20" t="str">
        <x:v>C03</x:v>
      </x:c>
      <x:c r="C64" s="20" t="str">
        <x:v>宁姆格福西域</x:v>
      </x:c>
      <x:c r="D64" s="20" t="n">
        <x:v>5</x:v>
      </x:c>
      <x:c r="E64" s="20" t="str">
        <x:v>风蚀古垒</x:v>
      </x:c>
      <x:c r="F64" s="20" t="n">
        <x:v>3</x:v>
      </x:c>
      <x:c r="G64" s="20" t="str">
        <x:v>XX516</x:v>
      </x:c>
      <x:c r="H64" s="20" t="str">
        <x:v>边境地宫</x:v>
      </x:c>
      <x:c r="I64" s="20" t="str">
        <x:v>古垒石王·迦姆</x:v>
      </x:c>
      <x:c r="J64" s="20" t="str">
        <x:v>粉色</x:v>
      </x:c>
      <x:c r="K64" s="20" t="str">
        <x:v>地图BOSS</x:v>
      </x:c>
      <x:c r="L64" s="20" t="str">
        <x:v>构装·石王</x:v>
      </x:c>
      <x:c r="M64" s="20" t="str">
        <x:v>重装碾压</x:v>
      </x:c>
      <x:c r="N64" s="20" t="str">
        <x:v>石王古铠</x:v>
      </x:c>
      <x:c r="O64" s="20" t="str">
        <x:v>衣服</x:v>
      </x:c>
      <x:c r="P64" s="20" t="str">
        <x:v>风蚀铁片</x:v>
      </x:c>
      <x:c r="Q64" s="20" t="str">
        <x:v>西境战旗＋西境战旗印</x:v>
      </x:c>
      <x:c r="R64" s="20" t="str">
        <x:v>守垒铜钥</x:v>
      </x:c>
      <x:c r="S64" s="20" t="str">
        <x:v>西境风痕碑拓</x:v>
      </x:c>
      <x:c r="T64" s="20" t="str">
        <x:v>是（独立奖池）</x:v>
      </x:c>
      <x:c r="U64" s="20" t="str">
        <x:v>是（公共奖池）</x:v>
      </x:c>
      <x:c r="V64" s="22" t="str">
        <x:v>结构定稿</x:v>
      </x:c>
      <x:c r="W64" s="36" t="str">
        <x:v>用户自行分配／本表不处理</x:v>
      </x:c>
      <x:c r="X64" s="33" t="n">
        <x:v>6572</x:v>
      </x:c>
      <x:c r="Y64" s="29" t="str">
        <x:v>后期统一平衡</x:v>
      </x:c>
      <x:c r="Z64" s="20" t="str">
        <x:v>一怪一专属；专属来源跟随本行准确地图号</x:v>
      </x:c>
    </x:row>
    <x:row r="65" ht="24" customHeight="1">
      <x:c r="A65" s="20" t="str">
        <x:v>C03-M061</x:v>
      </x:c>
      <x:c r="B65" s="20" t="str">
        <x:v>C03</x:v>
      </x:c>
      <x:c r="C65" s="20" t="str">
        <x:v>宁姆格福西域</x:v>
      </x:c>
      <x:c r="D65" s="20" t="n">
        <x:v>6</x:v>
      </x:c>
      <x:c r="E65" s="20" t="str">
        <x:v>黄金树哨垒</x:v>
      </x:c>
      <x:c r="F65" s="20" t="n">
        <x:v>1</x:v>
      </x:c>
      <x:c r="G65" s="20" t="str">
        <x:v>XX140</x:v>
      </x:c>
      <x:c r="H65" s="20" t="str">
        <x:v>黄金树哨垒</x:v>
      </x:c>
      <x:c r="I65" s="20" t="str">
        <x:v>金叶哨兵</x:v>
      </x:c>
      <x:c r="J65" s="20" t="str">
        <x:v>黄色</x:v>
      </x:c>
      <x:c r="K65" s="20" t="str">
        <x:v>普通</x:v>
      </x:c>
      <x:c r="L65" s="20" t="str">
        <x:v>人形·哨兵</x:v>
      </x:c>
      <x:c r="M65" s="20" t="str">
        <x:v>近战警戒</x:v>
      </x:c>
      <x:c r="N65" s="20" t="str">
        <x:v>金叶军刃</x:v>
      </x:c>
      <x:c r="O65" s="20" t="str">
        <x:v>武器</x:v>
      </x:c>
      <x:c r="P65" s="20" t="str">
        <x:v>风蚀铁片</x:v>
      </x:c>
      <x:c r="Q65" s="20" t="str"/>
      <x:c r="R65" s="20" t="str">
        <x:v>裂风崖羽</x:v>
      </x:c>
      <x:c r="S65" s="20" t="str">
        <x:v>西境风痕碑拓</x:v>
      </x:c>
      <x:c r="T65" s="20" t="str">
        <x:v>否</x:v>
      </x:c>
      <x:c r="U65" s="20" t="str">
        <x:v>是（公共奖池）</x:v>
      </x:c>
      <x:c r="V65" s="22" t="str">
        <x:v>结构定稿</x:v>
      </x:c>
      <x:c r="W65" s="36" t="str">
        <x:v>用户自行分配／本表不处理</x:v>
      </x:c>
      <x:c r="X65" s="34" t="str">
        <x:v>缺武器来源码</x:v>
      </x:c>
      <x:c r="Y65" s="29" t="str">
        <x:v>后期统一平衡</x:v>
      </x:c>
      <x:c r="Z65" s="20" t="str">
        <x:v>一怪一专属；专属来源跟随本行准确地图号</x:v>
      </x:c>
    </x:row>
    <x:row r="66" ht="24" customHeight="1">
      <x:c r="A66" s="20" t="str">
        <x:v>C03-M062</x:v>
      </x:c>
      <x:c r="B66" s="20" t="str">
        <x:v>C03</x:v>
      </x:c>
      <x:c r="C66" s="20" t="str">
        <x:v>宁姆格福西域</x:v>
      </x:c>
      <x:c r="D66" s="20" t="n">
        <x:v>6</x:v>
      </x:c>
      <x:c r="E66" s="20" t="str">
        <x:v>黄金树哨垒</x:v>
      </x:c>
      <x:c r="F66" s="20" t="n">
        <x:v>1</x:v>
      </x:c>
      <x:c r="G66" s="20" t="str">
        <x:v>XX140</x:v>
      </x:c>
      <x:c r="H66" s="20" t="str">
        <x:v>黄金树哨垒</x:v>
      </x:c>
      <x:c r="I66" s="20" t="str">
        <x:v>王树弩卫</x:v>
      </x:c>
      <x:c r="J66" s="20" t="str">
        <x:v>黄色</x:v>
      </x:c>
      <x:c r="K66" s="20" t="str">
        <x:v>普通</x:v>
      </x:c>
      <x:c r="L66" s="20" t="str">
        <x:v>人形·弩卫</x:v>
      </x:c>
      <x:c r="M66" s="20" t="str">
        <x:v>远程压制</x:v>
      </x:c>
      <x:c r="N66" s="20" t="str">
        <x:v>王树弩戒</x:v>
      </x:c>
      <x:c r="O66" s="20" t="str">
        <x:v>戒指</x:v>
      </x:c>
      <x:c r="P66" s="20" t="str">
        <x:v>风蚀铁片</x:v>
      </x:c>
      <x:c r="Q66" s="20" t="str"/>
      <x:c r="R66" s="20" t="str">
        <x:v>裂风崖羽</x:v>
      </x:c>
      <x:c r="S66" s="20" t="str">
        <x:v>西境风痕碑拓</x:v>
      </x:c>
      <x:c r="T66" s="20" t="str">
        <x:v>否</x:v>
      </x:c>
      <x:c r="U66" s="20" t="str">
        <x:v>是（公共奖池）</x:v>
      </x:c>
      <x:c r="V66" s="22" t="str">
        <x:v>结构定稿</x:v>
      </x:c>
      <x:c r="W66" s="36" t="str">
        <x:v>用户自行分配／本表不处理</x:v>
      </x:c>
      <x:c r="X66" s="33" t="n">
        <x:v>6648</x:v>
      </x:c>
      <x:c r="Y66" s="29" t="str">
        <x:v>后期统一平衡</x:v>
      </x:c>
      <x:c r="Z66" s="20" t="str">
        <x:v>一怪一专属；专属来源跟随本行准确地图号</x:v>
      </x:c>
    </x:row>
    <x:row r="67" ht="24" customHeight="1">
      <x:c r="A67" s="20" t="str">
        <x:v>C03-M063</x:v>
      </x:c>
      <x:c r="B67" s="20" t="str">
        <x:v>C03</x:v>
      </x:c>
      <x:c r="C67" s="20" t="str">
        <x:v>宁姆格福西域</x:v>
      </x:c>
      <x:c r="D67" s="20" t="n">
        <x:v>6</x:v>
      </x:c>
      <x:c r="E67" s="20" t="str">
        <x:v>黄金树哨垒</x:v>
      </x:c>
      <x:c r="F67" s="20" t="n">
        <x:v>2</x:v>
      </x:c>
      <x:c r="G67" s="20" t="str">
        <x:v>XX136</x:v>
      </x:c>
      <x:c r="H67" s="20" t="str">
        <x:v>哨垒内庭</x:v>
      </x:c>
      <x:c r="I67" s="20" t="str">
        <x:v>圣露侍从</x:v>
      </x:c>
      <x:c r="J67" s="20" t="str">
        <x:v>黄色</x:v>
      </x:c>
      <x:c r="K67" s="20" t="str">
        <x:v>普通</x:v>
      </x:c>
      <x:c r="L67" s="20" t="str">
        <x:v>人形·侍从</x:v>
      </x:c>
      <x:c r="M67" s="20" t="str">
        <x:v>祷术支援</x:v>
      </x:c>
      <x:c r="N67" s="20" t="str">
        <x:v>圣露护腕</x:v>
      </x:c>
      <x:c r="O67" s="20" t="str">
        <x:v>手镯</x:v>
      </x:c>
      <x:c r="P67" s="20" t="str">
        <x:v>风蚀铁片</x:v>
      </x:c>
      <x:c r="Q67" s="20" t="str"/>
      <x:c r="R67" s="20" t="str">
        <x:v>裂风崖羽</x:v>
      </x:c>
      <x:c r="S67" s="20" t="str">
        <x:v>西境风痕碑拓</x:v>
      </x:c>
      <x:c r="T67" s="20" t="str">
        <x:v>否</x:v>
      </x:c>
      <x:c r="U67" s="20" t="str">
        <x:v>是（公共奖池）</x:v>
      </x:c>
      <x:c r="V67" s="22" t="str">
        <x:v>结构定稿</x:v>
      </x:c>
      <x:c r="W67" s="36" t="str">
        <x:v>用户自行分配／本表不处理</x:v>
      </x:c>
      <x:c r="X67" s="33" t="n">
        <x:v>6612</x:v>
      </x:c>
      <x:c r="Y67" s="29" t="str">
        <x:v>后期统一平衡</x:v>
      </x:c>
      <x:c r="Z67" s="20" t="str">
        <x:v>一怪一专属；专属来源跟随本行准确地图号</x:v>
      </x:c>
    </x:row>
    <x:row r="68" ht="24" customHeight="1">
      <x:c r="A68" s="20" t="str">
        <x:v>C03-M064</x:v>
      </x:c>
      <x:c r="B68" s="20" t="str">
        <x:v>C03</x:v>
      </x:c>
      <x:c r="C68" s="20" t="str">
        <x:v>宁姆格福西域</x:v>
      </x:c>
      <x:c r="D68" s="20" t="n">
        <x:v>6</x:v>
      </x:c>
      <x:c r="E68" s="20" t="str">
        <x:v>黄金树哨垒</x:v>
      </x:c>
      <x:c r="F68" s="20" t="n">
        <x:v>2</x:v>
      </x:c>
      <x:c r="G68" s="20" t="str">
        <x:v>XX136</x:v>
      </x:c>
      <x:c r="H68" s="20" t="str">
        <x:v>哨垒内庭</x:v>
      </x:c>
      <x:c r="I68" s="20" t="str">
        <x:v>镀金战鹰</x:v>
      </x:c>
      <x:c r="J68" s="20" t="str">
        <x:v>黄色</x:v>
      </x:c>
      <x:c r="K68" s="20" t="str">
        <x:v>普通</x:v>
      </x:c>
      <x:c r="L68" s="20" t="str">
        <x:v>飞禽·战鹰</x:v>
      </x:c>
      <x:c r="M68" s="20" t="str">
        <x:v>俯冲袭扰</x:v>
      </x:c>
      <x:c r="N68" s="20" t="str">
        <x:v>镀金羽冠</x:v>
      </x:c>
      <x:c r="O68" s="20" t="str">
        <x:v>头盔</x:v>
      </x:c>
      <x:c r="P68" s="20" t="str">
        <x:v>风蚀铁片</x:v>
      </x:c>
      <x:c r="Q68" s="20" t="str"/>
      <x:c r="R68" s="20" t="str">
        <x:v>裂风崖羽</x:v>
      </x:c>
      <x:c r="S68" s="20" t="str">
        <x:v>西境风痕碑拓</x:v>
      </x:c>
      <x:c r="T68" s="20" t="str">
        <x:v>否</x:v>
      </x:c>
      <x:c r="U68" s="20" t="str">
        <x:v>是（公共奖池）</x:v>
      </x:c>
      <x:c r="V68" s="22" t="str">
        <x:v>结构定稿</x:v>
      </x:c>
      <x:c r="W68" s="36" t="str">
        <x:v>用户自行分配／本表不处理</x:v>
      </x:c>
      <x:c r="X68" s="33" t="n">
        <x:v>6644</x:v>
      </x:c>
      <x:c r="Y68" s="29" t="str">
        <x:v>后期统一平衡</x:v>
      </x:c>
      <x:c r="Z68" s="20" t="str">
        <x:v>一怪一专属；专属来源跟随本行准确地图号</x:v>
      </x:c>
    </x:row>
    <x:row r="69" ht="24" customHeight="1">
      <x:c r="A69" s="20" t="str">
        <x:v>C03-M065</x:v>
      </x:c>
      <x:c r="B69" s="20" t="str">
        <x:v>C03</x:v>
      </x:c>
      <x:c r="C69" s="20" t="str">
        <x:v>宁姆格福西域</x:v>
      </x:c>
      <x:c r="D69" s="20" t="n">
        <x:v>6</x:v>
      </x:c>
      <x:c r="E69" s="20" t="str">
        <x:v>黄金树哨垒</x:v>
      </x:c>
      <x:c r="F69" s="20" t="n">
        <x:v>3</x:v>
      </x:c>
      <x:c r="G69" s="20" t="str">
        <x:v>XX169</x:v>
      </x:c>
      <x:c r="H69" s="20" t="str">
        <x:v>黄金树祭台</x:v>
      </x:c>
      <x:c r="I69" s="20" t="str">
        <x:v>赐福骑兵</x:v>
      </x:c>
      <x:c r="J69" s="20" t="str">
        <x:v>黄色</x:v>
      </x:c>
      <x:c r="K69" s="20" t="str">
        <x:v>普通</x:v>
      </x:c>
      <x:c r="L69" s="20" t="str">
        <x:v>人形·骑兵</x:v>
      </x:c>
      <x:c r="M69" s="20" t="str">
        <x:v>骑乘突击</x:v>
      </x:c>
      <x:c r="N69" s="20" t="str">
        <x:v>赐福战靴</x:v>
      </x:c>
      <x:c r="O69" s="20" t="str">
        <x:v>鞋子</x:v>
      </x:c>
      <x:c r="P69" s="20" t="str">
        <x:v>风蚀铁片</x:v>
      </x:c>
      <x:c r="Q69" s="20" t="str"/>
      <x:c r="R69" s="20" t="str">
        <x:v>裂风崖羽</x:v>
      </x:c>
      <x:c r="S69" s="20" t="str">
        <x:v>西境风痕碑拓</x:v>
      </x:c>
      <x:c r="T69" s="20" t="str">
        <x:v>否</x:v>
      </x:c>
      <x:c r="U69" s="20" t="str">
        <x:v>是（公共奖池）</x:v>
      </x:c>
      <x:c r="V69" s="22" t="str">
        <x:v>结构定稿</x:v>
      </x:c>
      <x:c r="W69" s="36" t="str">
        <x:v>用户自行分配／本表不处理</x:v>
      </x:c>
      <x:c r="X69" s="33" t="n">
        <x:v>6617</x:v>
      </x:c>
      <x:c r="Y69" s="29" t="str">
        <x:v>后期统一平衡</x:v>
      </x:c>
      <x:c r="Z69" s="20" t="str">
        <x:v>一怪一专属；专属来源跟随本行准确地图号</x:v>
      </x:c>
    </x:row>
    <x:row r="70" ht="24" customHeight="1">
      <x:c r="A70" s="20" t="str">
        <x:v>C03-M066</x:v>
      </x:c>
      <x:c r="B70" s="20" t="str">
        <x:v>C03</x:v>
      </x:c>
      <x:c r="C70" s="20" t="str">
        <x:v>宁姆格福西域</x:v>
      </x:c>
      <x:c r="D70" s="20" t="n">
        <x:v>6</x:v>
      </x:c>
      <x:c r="E70" s="20" t="str">
        <x:v>黄金树哨垒</x:v>
      </x:c>
      <x:c r="F70" s="20" t="n">
        <x:v>3</x:v>
      </x:c>
      <x:c r="G70" s="20" t="str">
        <x:v>XX169</x:v>
      </x:c>
      <x:c r="H70" s="20" t="str">
        <x:v>黄金树祭台</x:v>
      </x:c>
      <x:c r="I70" s="20" t="str">
        <x:v>哨垒执炬者</x:v>
      </x:c>
      <x:c r="J70" s="20" t="str">
        <x:v>黄色</x:v>
      </x:c>
      <x:c r="K70" s="20" t="str">
        <x:v>普通</x:v>
      </x:c>
      <x:c r="L70" s="20" t="str">
        <x:v>人形·执炬者</x:v>
      </x:c>
      <x:c r="M70" s="20" t="str">
        <x:v>火焰牵制</x:v>
      </x:c>
      <x:c r="N70" s="20" t="str">
        <x:v>执炬勋章</x:v>
      </x:c>
      <x:c r="O70" s="20" t="str">
        <x:v>勋章</x:v>
      </x:c>
      <x:c r="P70" s="20" t="str">
        <x:v>风蚀铁片</x:v>
      </x:c>
      <x:c r="Q70" s="20" t="str"/>
      <x:c r="R70" s="20" t="str">
        <x:v>裂风崖羽</x:v>
      </x:c>
      <x:c r="S70" s="20" t="str">
        <x:v>西境风痕碑拓</x:v>
      </x:c>
      <x:c r="T70" s="20" t="str">
        <x:v>否</x:v>
      </x:c>
      <x:c r="U70" s="20" t="str">
        <x:v>是（公共奖池）</x:v>
      </x:c>
      <x:c r="V70" s="22" t="str">
        <x:v>结构定稿</x:v>
      </x:c>
      <x:c r="W70" s="36" t="str">
        <x:v>用户自行分配／本表不处理</x:v>
      </x:c>
      <x:c r="X70" s="33" t="n">
        <x:v>6649</x:v>
      </x:c>
      <x:c r="Y70" s="29" t="str">
        <x:v>后期统一平衡</x:v>
      </x:c>
      <x:c r="Z70" s="20" t="str">
        <x:v>一怪一专属；专属来源跟随本行准确地图号</x:v>
      </x:c>
    </x:row>
    <x:row r="71" ht="24" customHeight="1">
      <x:c r="A71" s="20" t="str">
        <x:v>C03-M067</x:v>
      </x:c>
      <x:c r="B71" s="20" t="str">
        <x:v>C03</x:v>
      </x:c>
      <x:c r="C71" s="20" t="str">
        <x:v>宁姆格福西域</x:v>
      </x:c>
      <x:c r="D71" s="20" t="n">
        <x:v>6</x:v>
      </x:c>
      <x:c r="E71" s="20" t="str">
        <x:v>黄金树哨垒</x:v>
      </x:c>
      <x:c r="F71" s="20" t="n">
        <x:v>1</x:v>
      </x:c>
      <x:c r="G71" s="20" t="str">
        <x:v>XX140</x:v>
      </x:c>
      <x:c r="H71" s="20" t="str">
        <x:v>黄金树哨垒</x:v>
      </x:c>
      <x:c r="I71" s="20" t="str">
        <x:v>黄金树旗卫</x:v>
      </x:c>
      <x:c r="J71" s="20" t="str">
        <x:v>蓝色</x:v>
      </x:c>
      <x:c r="K71" s="20" t="str">
        <x:v>稀有</x:v>
      </x:c>
      <x:c r="L71" s="20" t="str">
        <x:v>人形·旗卫</x:v>
      </x:c>
      <x:c r="M71" s="20" t="str">
        <x:v>阵线守护</x:v>
      </x:c>
      <x:c r="N71" s="20" t="str">
        <x:v>黄金旗甲</x:v>
      </x:c>
      <x:c r="O71" s="20" t="str">
        <x:v>衣服</x:v>
      </x:c>
      <x:c r="P71" s="20" t="str">
        <x:v>风蚀铁片</x:v>
      </x:c>
      <x:c r="Q71" s="20" t="str">
        <x:v>西境战旗</x:v>
      </x:c>
      <x:c r="R71" s="20" t="str">
        <x:v>商队火漆</x:v>
      </x:c>
      <x:c r="S71" s="20" t="str">
        <x:v>西境风痕碑拓</x:v>
      </x:c>
      <x:c r="T71" s="20" t="str">
        <x:v>否</x:v>
      </x:c>
      <x:c r="U71" s="20" t="str">
        <x:v>是（公共奖池）</x:v>
      </x:c>
      <x:c r="V71" s="22" t="str">
        <x:v>结构定稿</x:v>
      </x:c>
      <x:c r="W71" s="36" t="str">
        <x:v>用户自行分配／本表不处理</x:v>
      </x:c>
      <x:c r="X71" s="34" t="str">
        <x:v>缺衣服来源码</x:v>
      </x:c>
      <x:c r="Y71" s="29" t="str">
        <x:v>后期统一平衡</x:v>
      </x:c>
      <x:c r="Z71" s="20" t="str">
        <x:v>一怪一专属；专属来源跟随本行准确地图号</x:v>
      </x:c>
    </x:row>
    <x:row r="72" ht="24" customHeight="1">
      <x:c r="A72" s="20" t="str">
        <x:v>C03-M068</x:v>
      </x:c>
      <x:c r="B72" s="20" t="str">
        <x:v>C03</x:v>
      </x:c>
      <x:c r="C72" s="20" t="str">
        <x:v>宁姆格福西域</x:v>
      </x:c>
      <x:c r="D72" s="20" t="n">
        <x:v>6</x:v>
      </x:c>
      <x:c r="E72" s="20" t="str">
        <x:v>黄金树哨垒</x:v>
      </x:c>
      <x:c r="F72" s="20" t="n">
        <x:v>2</x:v>
      </x:c>
      <x:c r="G72" s="20" t="str">
        <x:v>XX136</x:v>
      </x:c>
      <x:c r="H72" s="20" t="str">
        <x:v>哨垒内庭</x:v>
      </x:c>
      <x:c r="I72" s="20" t="str">
        <x:v>圣律监军</x:v>
      </x:c>
      <x:c r="J72" s="20" t="str">
        <x:v>蓝色</x:v>
      </x:c>
      <x:c r="K72" s="20" t="str">
        <x:v>稀有</x:v>
      </x:c>
      <x:c r="L72" s="20" t="str">
        <x:v>人形·监军</x:v>
      </x:c>
      <x:c r="M72" s="20" t="str">
        <x:v>圣律压制</x:v>
      </x:c>
      <x:c r="N72" s="20" t="str">
        <x:v>圣律戒印</x:v>
      </x:c>
      <x:c r="O72" s="20" t="str">
        <x:v>戒指</x:v>
      </x:c>
      <x:c r="P72" s="20" t="str">
        <x:v>风蚀铁片</x:v>
      </x:c>
      <x:c r="Q72" s="20" t="str">
        <x:v>西境战旗</x:v>
      </x:c>
      <x:c r="R72" s="20" t="str">
        <x:v>商队火漆</x:v>
      </x:c>
      <x:c r="S72" s="20" t="str">
        <x:v>西境风痕碑拓</x:v>
      </x:c>
      <x:c r="T72" s="20" t="str">
        <x:v>否</x:v>
      </x:c>
      <x:c r="U72" s="20" t="str">
        <x:v>是（公共奖池）</x:v>
      </x:c>
      <x:c r="V72" s="22" t="str">
        <x:v>结构定稿</x:v>
      </x:c>
      <x:c r="W72" s="36" t="str">
        <x:v>用户自行分配／本表不处理</x:v>
      </x:c>
      <x:c r="X72" s="33" t="n">
        <x:v>6683</x:v>
      </x:c>
      <x:c r="Y72" s="29" t="str">
        <x:v>后期统一平衡</x:v>
      </x:c>
      <x:c r="Z72" s="20" t="str">
        <x:v>一怪一专属；专属来源跟随本行准确地图号</x:v>
      </x:c>
    </x:row>
    <x:row r="73" ht="24" customHeight="1">
      <x:c r="A73" s="20" t="str">
        <x:v>C03-M069</x:v>
      </x:c>
      <x:c r="B73" s="20" t="str">
        <x:v>C03</x:v>
      </x:c>
      <x:c r="C73" s="20" t="str">
        <x:v>宁姆格福西域</x:v>
      </x:c>
      <x:c r="D73" s="20" t="n">
        <x:v>6</x:v>
      </x:c>
      <x:c r="E73" s="20" t="str">
        <x:v>黄金树哨垒</x:v>
      </x:c>
      <x:c r="F73" s="20" t="n">
        <x:v>3</x:v>
      </x:c>
      <x:c r="G73" s="20" t="str">
        <x:v>XX169</x:v>
      </x:c>
      <x:c r="H73" s="20" t="str">
        <x:v>黄金树祭台</x:v>
      </x:c>
      <x:c r="I73" s="20" t="str">
        <x:v>赐福守门人</x:v>
      </x:c>
      <x:c r="J73" s="20" t="str">
        <x:v>蓝色</x:v>
      </x:c>
      <x:c r="K73" s="20" t="str">
        <x:v>稀有</x:v>
      </x:c>
      <x:c r="L73" s="20" t="str">
        <x:v>人形·守门人</x:v>
      </x:c>
      <x:c r="M73" s="20" t="str">
        <x:v>持盾封锁</x:v>
      </x:c>
      <x:c r="N73" s="20" t="str">
        <x:v>守门王盾</x:v>
      </x:c>
      <x:c r="O73" s="20" t="str">
        <x:v>盾牌</x:v>
      </x:c>
      <x:c r="P73" s="20" t="str">
        <x:v>风蚀铁片</x:v>
      </x:c>
      <x:c r="Q73" s="20" t="str">
        <x:v>西境战旗</x:v>
      </x:c>
      <x:c r="R73" s="20" t="str">
        <x:v>商队火漆</x:v>
      </x:c>
      <x:c r="S73" s="20" t="str">
        <x:v>西境风痕碑拓</x:v>
      </x:c>
      <x:c r="T73" s="20" t="str">
        <x:v>否</x:v>
      </x:c>
      <x:c r="U73" s="20" t="str">
        <x:v>是（公共奖池）</x:v>
      </x:c>
      <x:c r="V73" s="22" t="str">
        <x:v>结构定稿</x:v>
      </x:c>
      <x:c r="W73" s="36" t="str">
        <x:v>用户自行分配／本表不处理</x:v>
      </x:c>
      <x:c r="X73" s="33" t="n">
        <x:v>6580</x:v>
      </x:c>
      <x:c r="Y73" s="29" t="str">
        <x:v>后期统一平衡</x:v>
      </x:c>
      <x:c r="Z73" s="20" t="str">
        <x:v>一怪一专属；专属来源跟随本行准确地图号</x:v>
      </x:c>
    </x:row>
    <x:row r="74" ht="24" customHeight="1">
      <x:c r="A74" s="20" t="str">
        <x:v>C03-M070</x:v>
      </x:c>
      <x:c r="B74" s="20" t="str">
        <x:v>C03</x:v>
      </x:c>
      <x:c r="C74" s="20" t="str">
        <x:v>宁姆格福西域</x:v>
      </x:c>
      <x:c r="D74" s="20" t="n">
        <x:v>6</x:v>
      </x:c>
      <x:c r="E74" s="20" t="str">
        <x:v>黄金树哨垒</x:v>
      </x:c>
      <x:c r="F74" s="20" t="n">
        <x:v>3</x:v>
      </x:c>
      <x:c r="G74" s="20" t="str">
        <x:v>XX169</x:v>
      </x:c>
      <x:c r="H74" s="20" t="str">
        <x:v>黄金树祭台</x:v>
      </x:c>
      <x:c r="I74" s="20" t="str">
        <x:v>哨垒祷告师</x:v>
      </x:c>
      <x:c r="J74" s="20" t="str">
        <x:v>蓝色</x:v>
      </x:c>
      <x:c r="K74" s="20" t="str">
        <x:v>稀有</x:v>
      </x:c>
      <x:c r="L74" s="20" t="str">
        <x:v>人形·祷告师</x:v>
      </x:c>
      <x:c r="M74" s="20" t="str">
        <x:v>祷术控场</x:v>
      </x:c>
      <x:c r="N74" s="20" t="str">
        <x:v>赐光祷誓镯</x:v>
      </x:c>
      <x:c r="O74" s="20" t="str">
        <x:v>手镯</x:v>
      </x:c>
      <x:c r="P74" s="20" t="str">
        <x:v>风蚀铁片</x:v>
      </x:c>
      <x:c r="Q74" s="20" t="str">
        <x:v>西境战旗</x:v>
      </x:c>
      <x:c r="R74" s="20" t="str">
        <x:v>商队火漆</x:v>
      </x:c>
      <x:c r="S74" s="20" t="str">
        <x:v>西境风痕碑拓</x:v>
      </x:c>
      <x:c r="T74" s="20" t="str">
        <x:v>否</x:v>
      </x:c>
      <x:c r="U74" s="20" t="str">
        <x:v>是（公共奖池）</x:v>
      </x:c>
      <x:c r="V74" s="22" t="str">
        <x:v>结构定稿</x:v>
      </x:c>
      <x:c r="W74" s="36" t="str">
        <x:v>用户自行分配／本表不处理</x:v>
      </x:c>
      <x:c r="X74" s="33" t="n">
        <x:v>6647</x:v>
      </x:c>
      <x:c r="Y74" s="29" t="str">
        <x:v>后期统一平衡</x:v>
      </x:c>
      <x:c r="Z74" s="20" t="str">
        <x:v>一怪一专属；专属来源跟随本行准确地图号</x:v>
      </x:c>
    </x:row>
    <x:row r="75" ht="24" customHeight="1">
      <x:c r="A75" s="20" t="str">
        <x:v>C03-M071</x:v>
      </x:c>
      <x:c r="B75" s="20" t="str">
        <x:v>C03</x:v>
      </x:c>
      <x:c r="C75" s="20" t="str">
        <x:v>宁姆格福西域</x:v>
      </x:c>
      <x:c r="D75" s="20" t="n">
        <x:v>6</x:v>
      </x:c>
      <x:c r="E75" s="20" t="str">
        <x:v>黄金树哨垒</x:v>
      </x:c>
      <x:c r="F75" s="20" t="n">
        <x:v>2</x:v>
      </x:c>
      <x:c r="G75" s="20" t="str">
        <x:v>XX136</x:v>
      </x:c>
      <x:c r="H75" s="20" t="str">
        <x:v>哨垒内庭</x:v>
      </x:c>
      <x:c r="I75" s="20" t="str">
        <x:v>金叶统帅·艾德</x:v>
      </x:c>
      <x:c r="J75" s="20" t="str">
        <x:v>粉色</x:v>
      </x:c>
      <x:c r="K75" s="20" t="str">
        <x:v>地图BOSS</x:v>
      </x:c>
      <x:c r="L75" s="20" t="str">
        <x:v>人形·统帅</x:v>
      </x:c>
      <x:c r="M75" s="20" t="str">
        <x:v>近战统御</x:v>
      </x:c>
      <x:c r="N75" s="20" t="str">
        <x:v>艾德统帅剑</x:v>
      </x:c>
      <x:c r="O75" s="20" t="str">
        <x:v>武器</x:v>
      </x:c>
      <x:c r="P75" s="20" t="str">
        <x:v>风蚀铁片</x:v>
      </x:c>
      <x:c r="Q75" s="20" t="str">
        <x:v>西境战旗＋西境战旗印</x:v>
      </x:c>
      <x:c r="R75" s="20" t="str">
        <x:v>守垒铜钥</x:v>
      </x:c>
      <x:c r="S75" s="20" t="str">
        <x:v>西境风痕碑拓</x:v>
      </x:c>
      <x:c r="T75" s="20" t="str">
        <x:v>是（独立奖池）</x:v>
      </x:c>
      <x:c r="U75" s="20" t="str">
        <x:v>是（公共奖池）</x:v>
      </x:c>
      <x:c r="V75" s="22" t="str">
        <x:v>结构定稿</x:v>
      </x:c>
      <x:c r="W75" s="36" t="str">
        <x:v>用户自行分配／本表不处理</x:v>
      </x:c>
      <x:c r="X75" s="33" t="n">
        <x:v>6606</x:v>
      </x:c>
      <x:c r="Y75" s="29" t="str">
        <x:v>后期统一平衡</x:v>
      </x:c>
      <x:c r="Z75" s="20" t="str">
        <x:v>一怪一专属；专属来源跟随本行准确地图号</x:v>
      </x:c>
    </x:row>
    <x:row r="76" ht="24" customHeight="1">
      <x:c r="A76" s="20" t="str">
        <x:v>C03-M072</x:v>
      </x:c>
      <x:c r="B76" s="20" t="str">
        <x:v>C03</x:v>
      </x:c>
      <x:c r="C76" s="20" t="str">
        <x:v>宁姆格福西域</x:v>
      </x:c>
      <x:c r="D76" s="20" t="n">
        <x:v>6</x:v>
      </x:c>
      <x:c r="E76" s="20" t="str">
        <x:v>黄金树哨垒</x:v>
      </x:c>
      <x:c r="F76" s="20" t="n">
        <x:v>3</x:v>
      </x:c>
      <x:c r="G76" s="20" t="str">
        <x:v>XX169</x:v>
      </x:c>
      <x:c r="H76" s="20" t="str">
        <x:v>黄金树祭台</x:v>
      </x:c>
      <x:c r="I76" s="20" t="str">
        <x:v>黄金树化身·洛恩</x:v>
      </x:c>
      <x:c r="J76" s="20" t="str">
        <x:v>粉色</x:v>
      </x:c>
      <x:c r="K76" s="20" t="str">
        <x:v>地图BOSS</x:v>
      </x:c>
      <x:c r="L76" s="20" t="str">
        <x:v>化身·黄金树</x:v>
      </x:c>
      <x:c r="M76" s="20" t="str">
        <x:v>圣光压制</x:v>
      </x:c>
      <x:c r="N76" s="20" t="str">
        <x:v>洛恩树心甲</x:v>
      </x:c>
      <x:c r="O76" s="20" t="str">
        <x:v>衣服</x:v>
      </x:c>
      <x:c r="P76" s="20" t="str">
        <x:v>风蚀铁片</x:v>
      </x:c>
      <x:c r="Q76" s="20" t="str">
        <x:v>西境战旗＋西境战旗印</x:v>
      </x:c>
      <x:c r="R76" s="20" t="str">
        <x:v>守垒铜钥</x:v>
      </x:c>
      <x:c r="S76" s="20" t="str">
        <x:v>西境风痕碑拓</x:v>
      </x:c>
      <x:c r="T76" s="20" t="str">
        <x:v>是（独立奖池）</x:v>
      </x:c>
      <x:c r="U76" s="20" t="str">
        <x:v>是（公共奖池）</x:v>
      </x:c>
      <x:c r="V76" s="22" t="str">
        <x:v>结构定稿</x:v>
      </x:c>
      <x:c r="W76" s="36" t="str">
        <x:v>用户自行分配／本表不处理</x:v>
      </x:c>
      <x:c r="X76" s="33" t="n">
        <x:v>6607</x:v>
      </x:c>
      <x:c r="Y76" s="29" t="str">
        <x:v>后期统一平衡</x:v>
      </x:c>
      <x:c r="Z76" s="20" t="str">
        <x:v>一怪一专属；专属来源跟随本行准确地图号</x:v>
      </x:c>
    </x:row>
    <x:row r="77" ht="24" customHeight="1">
      <x:c r="A77" s="20" t="str">
        <x:v>C03-M073</x:v>
      </x:c>
      <x:c r="B77" s="20" t="str">
        <x:v>C03</x:v>
      </x:c>
      <x:c r="C77" s="20" t="str">
        <x:v>宁姆格福西域</x:v>
      </x:c>
      <x:c r="D77" s="20" t="n">
        <x:v>6</x:v>
      </x:c>
      <x:c r="E77" s="20" t="str">
        <x:v>黄金树哨垒</x:v>
      </x:c>
      <x:c r="F77" s="20" t="n">
        <x:v>3</x:v>
      </x:c>
      <x:c r="G77" s="20" t="str">
        <x:v>XX169</x:v>
      </x:c>
      <x:c r="H77" s="20" t="str">
        <x:v>黄金树祭台</x:v>
      </x:c>
      <x:c r="I77" s="20" t="str">
        <x:v>西境征服者·戈德里安</x:v>
      </x:c>
      <x:c r="J77" s="20" t="str">
        <x:v>红色</x:v>
      </x:c>
      <x:c r="K77" s="20" t="str">
        <x:v>守关BOSS</x:v>
      </x:c>
      <x:c r="L77" s="20" t="str">
        <x:v>人形·征服者</x:v>
      </x:c>
      <x:c r="M77" s="20" t="str">
        <x:v>征服统御</x:v>
      </x:c>
      <x:c r="N77" s="20" t="str">
        <x:v>西境征服冠</x:v>
      </x:c>
      <x:c r="O77" s="20" t="str">
        <x:v>头盔</x:v>
      </x:c>
      <x:c r="P77" s="20" t="str">
        <x:v>风蚀铁片</x:v>
      </x:c>
      <x:c r="Q77" s="20" t="str">
        <x:v>西境战旗＋西境战旗印</x:v>
      </x:c>
      <x:c r="R77" s="20" t="str">
        <x:v>哨垒旗冠</x:v>
      </x:c>
      <x:c r="S77" s="20" t="str">
        <x:v>西境风痕碑拓</x:v>
      </x:c>
      <x:c r="T77" s="20" t="str">
        <x:v>是（独立奖池）</x:v>
      </x:c>
      <x:c r="U77" s="20" t="str">
        <x:v>是（公共奖池）</x:v>
      </x:c>
      <x:c r="V77" s="22" t="str">
        <x:v>结构定稿</x:v>
      </x:c>
      <x:c r="W77" s="36" t="str">
        <x:v>用户自行分配／本表不处理</x:v>
      </x:c>
      <x:c r="X77" s="33" t="n">
        <x:v>6679</x:v>
      </x:c>
      <x:c r="Y77" s="29" t="str">
        <x:v>后期统一平衡</x:v>
      </x:c>
      <x:c r="Z77" s="20" t="str">
        <x:v>大陆最终守关；本表不填属性、爆率和货币</x:v>
      </x:c>
    </x:row>
    <x:row r="78" ht="24" customHeight="1">
      <x:c r="A78" s="20" t="str">
        <x:v>C04-M001</x:v>
      </x:c>
      <x:c r="B78" s="20" t="str">
        <x:v>C04</x:v>
      </x:c>
      <x:c r="C78" s="20" t="str">
        <x:v>利耶尼亚海域</x:v>
      </x:c>
      <x:c r="D78" s="20" t="n">
        <x:v>1</x:v>
      </x:c>
      <x:c r="E78" s="20" t="str">
        <x:v>雾潮湿地</x:v>
      </x:c>
      <x:c r="F78" s="20" t="n">
        <x:v>1</x:v>
      </x:c>
      <x:c r="G78" s="20" t="str">
        <x:v>XX341</x:v>
      </x:c>
      <x:c r="H78" s="20" t="str">
        <x:v>雾潮湿地</x:v>
      </x:c>
      <x:c r="I78" s="20" t="str">
        <x:v>雾脚泥蛙</x:v>
      </x:c>
      <x:c r="J78" s="20" t="str">
        <x:v>黄色</x:v>
      </x:c>
      <x:c r="K78" s="20" t="str">
        <x:v>普通</x:v>
      </x:c>
      <x:c r="L78" s="20" t="str">
        <x:v>兽类</x:v>
      </x:c>
      <x:c r="M78" s="20" t="str">
        <x:v>敏捷</x:v>
      </x:c>
      <x:c r="N78" s="20" t="str">
        <x:v>雾脚蹼靴</x:v>
      </x:c>
      <x:c r="O78" s="20" t="str">
        <x:v>鞋子</x:v>
      </x:c>
      <x:c r="P78" s="20" t="str">
        <x:v>湖盐结晶</x:v>
      </x:c>
      <x:c r="Q78" s="20" t="str"/>
      <x:c r="R78" s="20" t="str">
        <x:v>雾潮银鳞</x:v>
      </x:c>
      <x:c r="S78" s="20" t="str">
        <x:v>月潮忆珀</x:v>
      </x:c>
      <x:c r="T78" s="20" t="str">
        <x:v>否</x:v>
      </x:c>
      <x:c r="U78" s="20" t="str">
        <x:v>是（公共奖池）</x:v>
      </x:c>
      <x:c r="V78" s="22" t="str">
        <x:v>结构定稿</x:v>
      </x:c>
      <x:c r="W78" s="36" t="str">
        <x:v>用户自行分配／本表不处理</x:v>
      </x:c>
      <x:c r="X78" s="33" t="n">
        <x:v>6652</x:v>
      </x:c>
      <x:c r="Y78" s="29" t="str">
        <x:v>后期统一平衡</x:v>
      </x:c>
      <x:c r="Z78" s="20" t="str">
        <x:v>一怪一专属；专属来源跟随本行准确地图号</x:v>
      </x:c>
    </x:row>
    <x:row r="79" ht="24" customHeight="1">
      <x:c r="A79" s="20" t="str">
        <x:v>C04-M002</x:v>
      </x:c>
      <x:c r="B79" s="20" t="str">
        <x:v>C04</x:v>
      </x:c>
      <x:c r="C79" s="20" t="str">
        <x:v>利耶尼亚海域</x:v>
      </x:c>
      <x:c r="D79" s="20" t="n">
        <x:v>1</x:v>
      </x:c>
      <x:c r="E79" s="20" t="str">
        <x:v>雾潮湿地</x:v>
      </x:c>
      <x:c r="F79" s="20" t="n">
        <x:v>1</x:v>
      </x:c>
      <x:c r="G79" s="20" t="str">
        <x:v>XX341</x:v>
      </x:c>
      <x:c r="H79" s="20" t="str">
        <x:v>雾潮湿地</x:v>
      </x:c>
      <x:c r="I79" s="20" t="str">
        <x:v>苔冠沼鹿</x:v>
      </x:c>
      <x:c r="J79" s="20" t="str">
        <x:v>黄色</x:v>
      </x:c>
      <x:c r="K79" s="20" t="str">
        <x:v>普通</x:v>
      </x:c>
      <x:c r="L79" s="20" t="str">
        <x:v>兽类</x:v>
      </x:c>
      <x:c r="M79" s="20" t="str">
        <x:v>近战</x:v>
      </x:c>
      <x:c r="N79" s="20" t="str">
        <x:v>沼鹿苔冠</x:v>
      </x:c>
      <x:c r="O79" s="20" t="str">
        <x:v>头盔</x:v>
      </x:c>
      <x:c r="P79" s="20" t="str">
        <x:v>湖盐结晶</x:v>
      </x:c>
      <x:c r="Q79" s="20" t="str"/>
      <x:c r="R79" s="20" t="str">
        <x:v>雾潮银鳞</x:v>
      </x:c>
      <x:c r="S79" s="20" t="str">
        <x:v>月潮忆珀</x:v>
      </x:c>
      <x:c r="T79" s="20" t="str">
        <x:v>否</x:v>
      </x:c>
      <x:c r="U79" s="20" t="str">
        <x:v>是（公共奖池）</x:v>
      </x:c>
      <x:c r="V79" s="22" t="str">
        <x:v>结构定稿</x:v>
      </x:c>
      <x:c r="W79" s="36" t="str">
        <x:v>用户自行分配／本表不处理</x:v>
      </x:c>
      <x:c r="X79" s="33" t="n">
        <x:v>6714</x:v>
      </x:c>
      <x:c r="Y79" s="29" t="str">
        <x:v>后期统一平衡</x:v>
      </x:c>
      <x:c r="Z79" s="20" t="str">
        <x:v>一怪一专属；专属来源跟随本行准确地图号</x:v>
      </x:c>
    </x:row>
    <x:row r="80" ht="24" customHeight="1">
      <x:c r="A80" s="20" t="str">
        <x:v>C04-M003</x:v>
      </x:c>
      <x:c r="B80" s="20" t="str">
        <x:v>C04</x:v>
      </x:c>
      <x:c r="C80" s="20" t="str">
        <x:v>利耶尼亚海域</x:v>
      </x:c>
      <x:c r="D80" s="20" t="n">
        <x:v>1</x:v>
      </x:c>
      <x:c r="E80" s="20" t="str">
        <x:v>雾潮湿地</x:v>
      </x:c>
      <x:c r="F80" s="20" t="n">
        <x:v>1</x:v>
      </x:c>
      <x:c r="G80" s="20" t="str">
        <x:v>XX341</x:v>
      </x:c>
      <x:c r="H80" s="20" t="str">
        <x:v>雾潮湿地</x:v>
      </x:c>
      <x:c r="I80" s="20" t="str">
        <x:v>潮沟芦妖</x:v>
      </x:c>
      <x:c r="J80" s="20" t="str">
        <x:v>黄色</x:v>
      </x:c>
      <x:c r="K80" s="20" t="str">
        <x:v>普通</x:v>
      </x:c>
      <x:c r="L80" s="20" t="str">
        <x:v>植物</x:v>
      </x:c>
      <x:c r="M80" s="20" t="str">
        <x:v>远程</x:v>
      </x:c>
      <x:c r="N80" s="20" t="str">
        <x:v>芦针腕环</x:v>
      </x:c>
      <x:c r="O80" s="20" t="str">
        <x:v>手镯</x:v>
      </x:c>
      <x:c r="P80" s="20" t="str">
        <x:v>湖盐结晶</x:v>
      </x:c>
      <x:c r="Q80" s="20" t="str"/>
      <x:c r="R80" s="20" t="str">
        <x:v>雾潮银鳞</x:v>
      </x:c>
      <x:c r="S80" s="20" t="str">
        <x:v>月潮忆珀</x:v>
      </x:c>
      <x:c r="T80" s="20" t="str">
        <x:v>否</x:v>
      </x:c>
      <x:c r="U80" s="20" t="str">
        <x:v>是（公共奖池）</x:v>
      </x:c>
      <x:c r="V80" s="22" t="str">
        <x:v>结构定稿</x:v>
      </x:c>
      <x:c r="W80" s="36" t="str">
        <x:v>用户自行分配／本表不处理</x:v>
      </x:c>
      <x:c r="X80" s="33" t="n">
        <x:v>6682</x:v>
      </x:c>
      <x:c r="Y80" s="29" t="str">
        <x:v>后期统一平衡</x:v>
      </x:c>
      <x:c r="Z80" s="20" t="str">
        <x:v>一怪一专属；专属来源跟随本行准确地图号</x:v>
      </x:c>
    </x:row>
    <x:row r="81" ht="24" customHeight="1">
      <x:c r="A81" s="20" t="str">
        <x:v>C04-M004</x:v>
      </x:c>
      <x:c r="B81" s="20" t="str">
        <x:v>C04</x:v>
      </x:c>
      <x:c r="C81" s="20" t="str">
        <x:v>利耶尼亚海域</x:v>
      </x:c>
      <x:c r="D81" s="20" t="n">
        <x:v>1</x:v>
      </x:c>
      <x:c r="E81" s="20" t="str">
        <x:v>雾潮湿地</x:v>
      </x:c>
      <x:c r="F81" s="20" t="n">
        <x:v>2</x:v>
      </x:c>
      <x:c r="G81" s="20" t="str">
        <x:v>XX342</x:v>
      </x:c>
      <x:c r="H81" s="20" t="str">
        <x:v>腐雾深泽</x:v>
      </x:c>
      <x:c r="I81" s="20" t="str">
        <x:v>腐雾钳虾</x:v>
      </x:c>
      <x:c r="J81" s="20" t="str">
        <x:v>黄色</x:v>
      </x:c>
      <x:c r="K81" s="20" t="str">
        <x:v>普通</x:v>
      </x:c>
      <x:c r="L81" s="20" t="str">
        <x:v>兽类</x:v>
      </x:c>
      <x:c r="M81" s="20" t="str">
        <x:v>重装</x:v>
      </x:c>
      <x:c r="N81" s="20" t="str">
        <x:v>青壳沼盾</x:v>
      </x:c>
      <x:c r="O81" s="20" t="str">
        <x:v>盾牌</x:v>
      </x:c>
      <x:c r="P81" s="20" t="str">
        <x:v>湖盐结晶</x:v>
      </x:c>
      <x:c r="Q81" s="20" t="str"/>
      <x:c r="R81" s="20" t="str">
        <x:v>雾潮银鳞</x:v>
      </x:c>
      <x:c r="S81" s="20" t="str">
        <x:v>月潮忆珀</x:v>
      </x:c>
      <x:c r="T81" s="20" t="str">
        <x:v>否</x:v>
      </x:c>
      <x:c r="U81" s="20" t="str">
        <x:v>是（公共奖池）</x:v>
      </x:c>
      <x:c r="V81" s="22" t="str">
        <x:v>结构定稿</x:v>
      </x:c>
      <x:c r="W81" s="36" t="str">
        <x:v>用户自行分配／本表不处理</x:v>
      </x:c>
      <x:c r="X81" s="33" t="n">
        <x:v>6615</x:v>
      </x:c>
      <x:c r="Y81" s="29" t="str">
        <x:v>后期统一平衡</x:v>
      </x:c>
      <x:c r="Z81" s="20" t="str">
        <x:v>一怪一专属；专属来源跟随本行准确地图号</x:v>
      </x:c>
    </x:row>
    <x:row r="82" ht="24" customHeight="1">
      <x:c r="A82" s="20" t="str">
        <x:v>C04-M005</x:v>
      </x:c>
      <x:c r="B82" s="20" t="str">
        <x:v>C04</x:v>
      </x:c>
      <x:c r="C82" s="20" t="str">
        <x:v>利耶尼亚海域</x:v>
      </x:c>
      <x:c r="D82" s="20" t="n">
        <x:v>1</x:v>
      </x:c>
      <x:c r="E82" s="20" t="str">
        <x:v>雾潮湿地</x:v>
      </x:c>
      <x:c r="F82" s="20" t="n">
        <x:v>2</x:v>
      </x:c>
      <x:c r="G82" s="20" t="str">
        <x:v>XX342</x:v>
      </x:c>
      <x:c r="H82" s="20" t="str">
        <x:v>腐雾深泽</x:v>
      </x:c>
      <x:c r="I82" s="20" t="str">
        <x:v>烂泽水蛭</x:v>
      </x:c>
      <x:c r="J82" s="20" t="str">
        <x:v>黄色</x:v>
      </x:c>
      <x:c r="K82" s="20" t="str">
        <x:v>普通</x:v>
      </x:c>
      <x:c r="L82" s="20" t="str">
        <x:v>虫类</x:v>
      </x:c>
      <x:c r="M82" s="20" t="str">
        <x:v>近战</x:v>
      </x:c>
      <x:c r="N82" s="20" t="str">
        <x:v>吸潮血戒</x:v>
      </x:c>
      <x:c r="O82" s="20" t="str">
        <x:v>戒指</x:v>
      </x:c>
      <x:c r="P82" s="20" t="str">
        <x:v>湖盐结晶</x:v>
      </x:c>
      <x:c r="Q82" s="20" t="str"/>
      <x:c r="R82" s="20" t="str">
        <x:v>雾潮银鳞</x:v>
      </x:c>
      <x:c r="S82" s="20" t="str">
        <x:v>月潮忆珀</x:v>
      </x:c>
      <x:c r="T82" s="20" t="str">
        <x:v>否</x:v>
      </x:c>
      <x:c r="U82" s="20" t="str">
        <x:v>是（公共奖池）</x:v>
      </x:c>
      <x:c r="V82" s="22" t="str">
        <x:v>结构定稿</x:v>
      </x:c>
      <x:c r="W82" s="36" t="str">
        <x:v>用户自行分配／本表不处理</x:v>
      </x:c>
      <x:c r="X82" s="33" t="n">
        <x:v>6718</x:v>
      </x:c>
      <x:c r="Y82" s="29" t="str">
        <x:v>后期统一平衡</x:v>
      </x:c>
      <x:c r="Z82" s="20" t="str">
        <x:v>一怪一专属；专属来源跟随本行准确地图号</x:v>
      </x:c>
    </x:row>
    <x:row r="83" ht="24" customHeight="1">
      <x:c r="A83" s="20" t="str">
        <x:v>C04-M006</x:v>
      </x:c>
      <x:c r="B83" s="20" t="str">
        <x:v>C04</x:v>
      </x:c>
      <x:c r="C83" s="20" t="str">
        <x:v>利耶尼亚海域</x:v>
      </x:c>
      <x:c r="D83" s="20" t="n">
        <x:v>1</x:v>
      </x:c>
      <x:c r="E83" s="20" t="str">
        <x:v>雾潮湿地</x:v>
      </x:c>
      <x:c r="F83" s="20" t="n">
        <x:v>2</x:v>
      </x:c>
      <x:c r="G83" s="20" t="str">
        <x:v>XX342</x:v>
      </x:c>
      <x:c r="H83" s="20" t="str">
        <x:v>腐雾深泽</x:v>
      </x:c>
      <x:c r="I83" s="20" t="str">
        <x:v>蒙眼采藕人</x:v>
      </x:c>
      <x:c r="J83" s="20" t="str">
        <x:v>黄色</x:v>
      </x:c>
      <x:c r="K83" s="20" t="str">
        <x:v>普通</x:v>
      </x:c>
      <x:c r="L83" s="20" t="str">
        <x:v>人形</x:v>
      </x:c>
      <x:c r="M83" s="20" t="str">
        <x:v>近战</x:v>
      </x:c>
      <x:c r="N83" s="20" t="str">
        <x:v>盲采藕刀</x:v>
      </x:c>
      <x:c r="O83" s="20" t="str">
        <x:v>武器</x:v>
      </x:c>
      <x:c r="P83" s="20" t="str">
        <x:v>湖盐结晶</x:v>
      </x:c>
      <x:c r="Q83" s="20" t="str"/>
      <x:c r="R83" s="20" t="str">
        <x:v>雾潮银鳞</x:v>
      </x:c>
      <x:c r="S83" s="20" t="str">
        <x:v>月潮忆珀</x:v>
      </x:c>
      <x:c r="T83" s="20" t="str">
        <x:v>否</x:v>
      </x:c>
      <x:c r="U83" s="20" t="str">
        <x:v>是（公共奖池）</x:v>
      </x:c>
      <x:c r="V83" s="22" t="str">
        <x:v>结构定稿</x:v>
      </x:c>
      <x:c r="W83" s="36" t="str">
        <x:v>用户自行分配／本表不处理</x:v>
      </x:c>
      <x:c r="X83" s="34" t="str">
        <x:v>缺武器来源码</x:v>
      </x:c>
      <x:c r="Y83" s="29" t="str">
        <x:v>后期统一平衡</x:v>
      </x:c>
      <x:c r="Z83" s="20" t="str">
        <x:v>一怪一专属；专属来源跟随本行准确地图号</x:v>
      </x:c>
    </x:row>
    <x:row r="84" ht="24" customHeight="1">
      <x:c r="A84" s="20" t="str">
        <x:v>C04-M007</x:v>
      </x:c>
      <x:c r="B84" s="20" t="str">
        <x:v>C04</x:v>
      </x:c>
      <x:c r="C84" s="20" t="str">
        <x:v>利耶尼亚海域</x:v>
      </x:c>
      <x:c r="D84" s="20" t="n">
        <x:v>1</x:v>
      </x:c>
      <x:c r="E84" s="20" t="str">
        <x:v>雾潮湿地</x:v>
      </x:c>
      <x:c r="F84" s="20" t="n">
        <x:v>1</x:v>
      </x:c>
      <x:c r="G84" s="20" t="str">
        <x:v>XX341</x:v>
      </x:c>
      <x:c r="H84" s="20" t="str">
        <x:v>雾潮湿地</x:v>
      </x:c>
      <x:c r="I84" s="20" t="str">
        <x:v>雾纱水巫</x:v>
      </x:c>
      <x:c r="J84" s="20" t="str">
        <x:v>蓝色</x:v>
      </x:c>
      <x:c r="K84" s="20" t="str">
        <x:v>稀有</x:v>
      </x:c>
      <x:c r="L84" s="20" t="str">
        <x:v>人形</x:v>
      </x:c>
      <x:c r="M84" s="20" t="str">
        <x:v>法术</x:v>
      </x:c>
      <x:c r="N84" s="20" t="str">
        <x:v>水巫雾纱笠</x:v>
      </x:c>
      <x:c r="O84" s="20" t="str">
        <x:v>斗笠</x:v>
      </x:c>
      <x:c r="P84" s="20" t="str">
        <x:v>湖盐结晶</x:v>
      </x:c>
      <x:c r="Q84" s="20" t="str">
        <x:v>幽船铆钉</x:v>
      </x:c>
      <x:c r="R84" s="20" t="str">
        <x:v>沉船缆扣</x:v>
      </x:c>
      <x:c r="S84" s="20" t="str">
        <x:v>月潮忆珀</x:v>
      </x:c>
      <x:c r="T84" s="20" t="str">
        <x:v>否</x:v>
      </x:c>
      <x:c r="U84" s="20" t="str">
        <x:v>是（公共奖池）</x:v>
      </x:c>
      <x:c r="V84" s="22" t="str">
        <x:v>结构定稿</x:v>
      </x:c>
      <x:c r="W84" s="36" t="str">
        <x:v>用户自行分配／本表不处理</x:v>
      </x:c>
      <x:c r="X84" s="33" t="n">
        <x:v>6505</x:v>
      </x:c>
      <x:c r="Y84" s="29" t="str">
        <x:v>后期统一平衡</x:v>
      </x:c>
      <x:c r="Z84" s="20" t="str">
        <x:v>一怪一专属；专属来源跟随本行准确地图号</x:v>
      </x:c>
    </x:row>
    <x:row r="85" ht="24" customHeight="1">
      <x:c r="A85" s="20" t="str">
        <x:v>C04-M008</x:v>
      </x:c>
      <x:c r="B85" s="20" t="str">
        <x:v>C04</x:v>
      </x:c>
      <x:c r="C85" s="20" t="str">
        <x:v>利耶尼亚海域</x:v>
      </x:c>
      <x:c r="D85" s="20" t="n">
        <x:v>1</x:v>
      </x:c>
      <x:c r="E85" s="20" t="str">
        <x:v>雾潮湿地</x:v>
      </x:c>
      <x:c r="F85" s="20" t="n">
        <x:v>1</x:v>
      </x:c>
      <x:c r="G85" s="20" t="str">
        <x:v>XX341</x:v>
      </x:c>
      <x:c r="H85" s="20" t="str">
        <x:v>雾潮湿地</x:v>
      </x:c>
      <x:c r="I85" s="20" t="str">
        <x:v>银腹塘鳄</x:v>
      </x:c>
      <x:c r="J85" s="20" t="str">
        <x:v>蓝色</x:v>
      </x:c>
      <x:c r="K85" s="20" t="str">
        <x:v>稀有</x:v>
      </x:c>
      <x:c r="L85" s="20" t="str">
        <x:v>兽类</x:v>
      </x:c>
      <x:c r="M85" s="20" t="str">
        <x:v>重装</x:v>
      </x:c>
      <x:c r="N85" s="20" t="str">
        <x:v>银腹鳄甲</x:v>
      </x:c>
      <x:c r="O85" s="20" t="str">
        <x:v>衣服</x:v>
      </x:c>
      <x:c r="P85" s="20" t="str">
        <x:v>湖盐结晶</x:v>
      </x:c>
      <x:c r="Q85" s="20" t="str">
        <x:v>幽船铆钉</x:v>
      </x:c>
      <x:c r="R85" s="20" t="str">
        <x:v>沉船缆扣</x:v>
      </x:c>
      <x:c r="S85" s="20" t="str">
        <x:v>月潮忆珀</x:v>
      </x:c>
      <x:c r="T85" s="20" t="str">
        <x:v>否</x:v>
      </x:c>
      <x:c r="U85" s="20" t="str">
        <x:v>是（公共奖池）</x:v>
      </x:c>
      <x:c r="V85" s="22" t="str">
        <x:v>结构定稿</x:v>
      </x:c>
      <x:c r="W85" s="36" t="str">
        <x:v>用户自行分配／本表不处理</x:v>
      </x:c>
      <x:c r="X85" s="34" t="str">
        <x:v>缺衣服来源码</x:v>
      </x:c>
      <x:c r="Y85" s="29" t="str">
        <x:v>后期统一平衡</x:v>
      </x:c>
      <x:c r="Z85" s="20" t="str">
        <x:v>一怪一专属；专属来源跟随本行准确地图号</x:v>
      </x:c>
    </x:row>
    <x:row r="86" ht="24" customHeight="1">
      <x:c r="A86" s="20" t="str">
        <x:v>C04-M009</x:v>
      </x:c>
      <x:c r="B86" s="20" t="str">
        <x:v>C04</x:v>
      </x:c>
      <x:c r="C86" s="20" t="str">
        <x:v>利耶尼亚海域</x:v>
      </x:c>
      <x:c r="D86" s="20" t="n">
        <x:v>1</x:v>
      </x:c>
      <x:c r="E86" s="20" t="str">
        <x:v>雾潮湿地</x:v>
      </x:c>
      <x:c r="F86" s="20" t="n">
        <x:v>2</x:v>
      </x:c>
      <x:c r="G86" s="20" t="str">
        <x:v>XX342</x:v>
      </x:c>
      <x:c r="H86" s="20" t="str">
        <x:v>腐雾深泽</x:v>
      </x:c>
      <x:c r="I86" s="20" t="str">
        <x:v>腐泽孢母</x:v>
      </x:c>
      <x:c r="J86" s="20" t="str">
        <x:v>蓝色</x:v>
      </x:c>
      <x:c r="K86" s="20" t="str">
        <x:v>稀有</x:v>
      </x:c>
      <x:c r="L86" s="20" t="str">
        <x:v>植物</x:v>
      </x:c>
      <x:c r="M86" s="20" t="str">
        <x:v>召唤</x:v>
      </x:c>
      <x:c r="N86" s="20" t="str">
        <x:v>孢母菌带</x:v>
      </x:c>
      <x:c r="O86" s="20" t="str">
        <x:v>腰带</x:v>
      </x:c>
      <x:c r="P86" s="20" t="str">
        <x:v>湖盐结晶</x:v>
      </x:c>
      <x:c r="Q86" s="20" t="str">
        <x:v>幽船铆钉</x:v>
      </x:c>
      <x:c r="R86" s="20" t="str">
        <x:v>沉船缆扣</x:v>
      </x:c>
      <x:c r="S86" s="20" t="str">
        <x:v>月潮忆珀</x:v>
      </x:c>
      <x:c r="T86" s="20" t="str">
        <x:v>否</x:v>
      </x:c>
      <x:c r="U86" s="20" t="str">
        <x:v>是（公共奖池）</x:v>
      </x:c>
      <x:c r="V86" s="22" t="str">
        <x:v>结构定稿</x:v>
      </x:c>
      <x:c r="W86" s="36" t="str">
        <x:v>用户自行分配／本表不处理</x:v>
      </x:c>
      <x:c r="X86" s="33" t="n">
        <x:v>6583</x:v>
      </x:c>
      <x:c r="Y86" s="29" t="str">
        <x:v>后期统一平衡</x:v>
      </x:c>
      <x:c r="Z86" s="20" t="str">
        <x:v>一怪一专属；专属来源跟随本行准确地图号</x:v>
      </x:c>
    </x:row>
    <x:row r="87" ht="24" customHeight="1">
      <x:c r="A87" s="20" t="str">
        <x:v>C04-M010</x:v>
      </x:c>
      <x:c r="B87" s="20" t="str">
        <x:v>C04</x:v>
      </x:c>
      <x:c r="C87" s="20" t="str">
        <x:v>利耶尼亚海域</x:v>
      </x:c>
      <x:c r="D87" s="20" t="n">
        <x:v>1</x:v>
      </x:c>
      <x:c r="E87" s="20" t="str">
        <x:v>雾潮湿地</x:v>
      </x:c>
      <x:c r="F87" s="20" t="n">
        <x:v>2</x:v>
      </x:c>
      <x:c r="G87" s="20" t="str">
        <x:v>XX342</x:v>
      </x:c>
      <x:c r="H87" s="20" t="str">
        <x:v>腐雾深泽</x:v>
      </x:c>
      <x:c r="I87" s="20" t="str">
        <x:v>提灯溺客</x:v>
      </x:c>
      <x:c r="J87" s="20" t="str">
        <x:v>蓝色</x:v>
      </x:c>
      <x:c r="K87" s="20" t="str">
        <x:v>稀有</x:v>
      </x:c>
      <x:c r="L87" s="20" t="str">
        <x:v>亡灵</x:v>
      </x:c>
      <x:c r="M87" s="20" t="str">
        <x:v>法术</x:v>
      </x:c>
      <x:c r="N87" s="20" t="str">
        <x:v>溺客灯坠</x:v>
      </x:c>
      <x:c r="O87" s="20" t="str">
        <x:v>项链</x:v>
      </x:c>
      <x:c r="P87" s="20" t="str">
        <x:v>湖盐结晶</x:v>
      </x:c>
      <x:c r="Q87" s="20" t="str">
        <x:v>幽船铆钉</x:v>
      </x:c>
      <x:c r="R87" s="20" t="str">
        <x:v>沉船缆扣</x:v>
      </x:c>
      <x:c r="S87" s="20" t="str">
        <x:v>月潮忆珀</x:v>
      </x:c>
      <x:c r="T87" s="20" t="str">
        <x:v>否</x:v>
      </x:c>
      <x:c r="U87" s="20" t="str">
        <x:v>是（公共奖池）</x:v>
      </x:c>
      <x:c r="V87" s="22" t="str">
        <x:v>结构定稿</x:v>
      </x:c>
      <x:c r="W87" s="36" t="str">
        <x:v>用户自行分配／本表不处理</x:v>
      </x:c>
      <x:c r="X87" s="33" t="n">
        <x:v>6716</x:v>
      </x:c>
      <x:c r="Y87" s="29" t="str">
        <x:v>后期统一平衡</x:v>
      </x:c>
      <x:c r="Z87" s="20" t="str">
        <x:v>一怪一专属；专属来源跟随本行准确地图号</x:v>
      </x:c>
    </x:row>
    <x:row r="88" ht="24" customHeight="1">
      <x:c r="A88" s="20" t="str">
        <x:v>C04-M011</x:v>
      </x:c>
      <x:c r="B88" s="20" t="str">
        <x:v>C04</x:v>
      </x:c>
      <x:c r="C88" s="20" t="str">
        <x:v>利耶尼亚海域</x:v>
      </x:c>
      <x:c r="D88" s="20" t="n">
        <x:v>1</x:v>
      </x:c>
      <x:c r="E88" s="20" t="str">
        <x:v>雾潮湿地</x:v>
      </x:c>
      <x:c r="F88" s="20" t="n">
        <x:v>1</x:v>
      </x:c>
      <x:c r="G88" s="20" t="str">
        <x:v>XX341</x:v>
      </x:c>
      <x:c r="H88" s="20" t="str">
        <x:v>雾潮湿地</x:v>
      </x:c>
      <x:c r="I88" s="20" t="str">
        <x:v>潮痕猎首·葛弥</x:v>
      </x:c>
      <x:c r="J88" s="20" t="str">
        <x:v>粉色</x:v>
      </x:c>
      <x:c r="K88" s="20" t="str">
        <x:v>地图BOSS</x:v>
      </x:c>
      <x:c r="L88" s="20" t="str">
        <x:v>人形</x:v>
      </x:c>
      <x:c r="M88" s="20" t="str">
        <x:v>首领</x:v>
      </x:c>
      <x:c r="N88" s="20" t="str">
        <x:v>葛弥的雾齿叉</x:v>
      </x:c>
      <x:c r="O88" s="20" t="str">
        <x:v>武器</x:v>
      </x:c>
      <x:c r="P88" s="20" t="str">
        <x:v>湖盐结晶</x:v>
      </x:c>
      <x:c r="Q88" s="20" t="str">
        <x:v>幽船铆钉＋沉湖王印</x:v>
      </x:c>
      <x:c r="R88" s="20" t="str">
        <x:v>深湖压舱印</x:v>
      </x:c>
      <x:c r="S88" s="20" t="str">
        <x:v>月潮忆珀</x:v>
      </x:c>
      <x:c r="T88" s="20" t="str">
        <x:v>是（独立奖池）</x:v>
      </x:c>
      <x:c r="U88" s="20" t="str">
        <x:v>是（公共奖池）</x:v>
      </x:c>
      <x:c r="V88" s="22" t="str">
        <x:v>结构定稿</x:v>
      </x:c>
      <x:c r="W88" s="36" t="str">
        <x:v>用户自行分配／本表不处理</x:v>
      </x:c>
      <x:c r="X88" s="33" t="n">
        <x:v>6641</x:v>
      </x:c>
      <x:c r="Y88" s="29" t="str">
        <x:v>后期统一平衡</x:v>
      </x:c>
      <x:c r="Z88" s="20" t="str">
        <x:v>一怪一专属；专属来源跟随本行准确地图号</x:v>
      </x:c>
    </x:row>
    <x:row r="89" ht="24" customHeight="1">
      <x:c r="A89" s="20" t="str">
        <x:v>C04-M012</x:v>
      </x:c>
      <x:c r="B89" s="20" t="str">
        <x:v>C04</x:v>
      </x:c>
      <x:c r="C89" s="20" t="str">
        <x:v>利耶尼亚海域</x:v>
      </x:c>
      <x:c r="D89" s="20" t="n">
        <x:v>1</x:v>
      </x:c>
      <x:c r="E89" s="20" t="str">
        <x:v>雾潮湿地</x:v>
      </x:c>
      <x:c r="F89" s="20" t="n">
        <x:v>2</x:v>
      </x:c>
      <x:c r="G89" s="20" t="str">
        <x:v>XX342</x:v>
      </x:c>
      <x:c r="H89" s="20" t="str">
        <x:v>腐雾深泽</x:v>
      </x:c>
      <x:c r="I89" s="20" t="str">
        <x:v>沼冠腐龙·弥瑟</x:v>
      </x:c>
      <x:c r="J89" s="20" t="str">
        <x:v>粉色</x:v>
      </x:c>
      <x:c r="K89" s="20" t="str">
        <x:v>地图BOSS</x:v>
      </x:c>
      <x:c r="L89" s="20" t="str">
        <x:v>龙类</x:v>
      </x:c>
      <x:c r="M89" s="20" t="str">
        <x:v>首领</x:v>
      </x:c>
      <x:c r="N89" s="20" t="str">
        <x:v>弥瑟腐鳞衣</x:v>
      </x:c>
      <x:c r="O89" s="20" t="str">
        <x:v>衣服</x:v>
      </x:c>
      <x:c r="P89" s="20" t="str">
        <x:v>湖盐结晶</x:v>
      </x:c>
      <x:c r="Q89" s="20" t="str">
        <x:v>幽船铆钉＋沉湖王印</x:v>
      </x:c>
      <x:c r="R89" s="20" t="str">
        <x:v>深湖压舱印</x:v>
      </x:c>
      <x:c r="S89" s="20" t="str">
        <x:v>月潮忆珀</x:v>
      </x:c>
      <x:c r="T89" s="20" t="str">
        <x:v>是（独立奖池）</x:v>
      </x:c>
      <x:c r="U89" s="20" t="str">
        <x:v>是（公共奖池）</x:v>
      </x:c>
      <x:c r="V89" s="22" t="str">
        <x:v>结构定稿</x:v>
      </x:c>
      <x:c r="W89" s="36" t="str">
        <x:v>用户自行分配／本表不处理</x:v>
      </x:c>
      <x:c r="X89" s="33" t="n">
        <x:v>6642</x:v>
      </x:c>
      <x:c r="Y89" s="29" t="str">
        <x:v>后期统一平衡</x:v>
      </x:c>
      <x:c r="Z89" s="20" t="str">
        <x:v>一怪一专属；专属来源跟随本行准确地图号</x:v>
      </x:c>
    </x:row>
    <x:row r="90" ht="24" customHeight="1">
      <x:c r="A90" s="20" t="str">
        <x:v>C04-M013</x:v>
      </x:c>
      <x:c r="B90" s="20" t="str">
        <x:v>C04</x:v>
      </x:c>
      <x:c r="C90" s="20" t="str">
        <x:v>利耶尼亚海域</x:v>
      </x:c>
      <x:c r="D90" s="20" t="n">
        <x:v>2</x:v>
      </x:c>
      <x:c r="E90" s="20" t="str">
        <x:v>沉湖遗迹</x:v>
      </x:c>
      <x:c r="F90" s="20" t="n">
        <x:v>1</x:v>
      </x:c>
      <x:c r="G90" s="20" t="str">
        <x:v>XX337</x:v>
      </x:c>
      <x:c r="H90" s="20" t="str">
        <x:v>沉湖遗迹</x:v>
      </x:c>
      <x:c r="I90" s="20" t="str">
        <x:v>潜碑拾荒者</x:v>
      </x:c>
      <x:c r="J90" s="20" t="str">
        <x:v>黄色</x:v>
      </x:c>
      <x:c r="K90" s="20" t="str">
        <x:v>普通</x:v>
      </x:c>
      <x:c r="L90" s="20" t="str">
        <x:v>人形</x:v>
      </x:c>
      <x:c r="M90" s="20" t="str">
        <x:v>敏捷</x:v>
      </x:c>
      <x:c r="N90" s="20" t="str">
        <x:v>拾碑短刃</x:v>
      </x:c>
      <x:c r="O90" s="20" t="str">
        <x:v>武器</x:v>
      </x:c>
      <x:c r="P90" s="20" t="str">
        <x:v>湖盐结晶</x:v>
      </x:c>
      <x:c r="Q90" s="20" t="str"/>
      <x:c r="R90" s="20" t="str">
        <x:v>雾潮银鳞</x:v>
      </x:c>
      <x:c r="S90" s="20" t="str">
        <x:v>月潮忆珀</x:v>
      </x:c>
      <x:c r="T90" s="20" t="str">
        <x:v>否</x:v>
      </x:c>
      <x:c r="U90" s="20" t="str">
        <x:v>是（公共奖池）</x:v>
      </x:c>
      <x:c r="V90" s="22" t="str">
        <x:v>结构定稿</x:v>
      </x:c>
      <x:c r="W90" s="36" t="str">
        <x:v>用户自行分配／本表不处理</x:v>
      </x:c>
      <x:c r="X90" s="34" t="str">
        <x:v>缺武器来源码</x:v>
      </x:c>
      <x:c r="Y90" s="29" t="str">
        <x:v>后期统一平衡</x:v>
      </x:c>
      <x:c r="Z90" s="20" t="str">
        <x:v>一怪一专属；专属来源跟随本行准确地图号</x:v>
      </x:c>
    </x:row>
    <x:row r="91" ht="24" customHeight="1">
      <x:c r="A91" s="20" t="str">
        <x:v>C04-M014</x:v>
      </x:c>
      <x:c r="B91" s="20" t="str">
        <x:v>C04</x:v>
      </x:c>
      <x:c r="C91" s="20" t="str">
        <x:v>利耶尼亚海域</x:v>
      </x:c>
      <x:c r="D91" s="20" t="n">
        <x:v>2</x:v>
      </x:c>
      <x:c r="E91" s="20" t="str">
        <x:v>沉湖遗迹</x:v>
      </x:c>
      <x:c r="F91" s="20" t="n">
        <x:v>1</x:v>
      </x:c>
      <x:c r="G91" s="20" t="str">
        <x:v>XX337</x:v>
      </x:c>
      <x:c r="H91" s="20" t="str">
        <x:v>沉湖遗迹</x:v>
      </x:c>
      <x:c r="I91" s="20" t="str">
        <x:v>藻甲石仆</x:v>
      </x:c>
      <x:c r="J91" s="20" t="str">
        <x:v>黄色</x:v>
      </x:c>
      <x:c r="K91" s="20" t="str">
        <x:v>普通</x:v>
      </x:c>
      <x:c r="L91" s="20" t="str">
        <x:v>构装</x:v>
      </x:c>
      <x:c r="M91" s="20" t="str">
        <x:v>重装</x:v>
      </x:c>
      <x:c r="N91" s="20" t="str">
        <x:v>藻纹石盔</x:v>
      </x:c>
      <x:c r="O91" s="20" t="str">
        <x:v>头盔</x:v>
      </x:c>
      <x:c r="P91" s="20" t="str">
        <x:v>湖盐结晶</x:v>
      </x:c>
      <x:c r="Q91" s="20" t="str"/>
      <x:c r="R91" s="20" t="str">
        <x:v>雾潮银鳞</x:v>
      </x:c>
      <x:c r="S91" s="20" t="str">
        <x:v>月潮忆珀</x:v>
      </x:c>
      <x:c r="T91" s="20" t="str">
        <x:v>否</x:v>
      </x:c>
      <x:c r="U91" s="20" t="str">
        <x:v>是（公共奖池）</x:v>
      </x:c>
      <x:c r="V91" s="22" t="str">
        <x:v>结构定稿</x:v>
      </x:c>
      <x:c r="W91" s="36" t="str">
        <x:v>用户自行分配／本表不处理</x:v>
      </x:c>
      <x:c r="X91" s="33" t="n">
        <x:v>6749</x:v>
      </x:c>
      <x:c r="Y91" s="29" t="str">
        <x:v>后期统一平衡</x:v>
      </x:c>
      <x:c r="Z91" s="20" t="str">
        <x:v>一怪一专属；专属来源跟随本行准确地图号</x:v>
      </x:c>
    </x:row>
    <x:row r="92" ht="24" customHeight="1">
      <x:c r="A92" s="20" t="str">
        <x:v>C04-M015</x:v>
      </x:c>
      <x:c r="B92" s="20" t="str">
        <x:v>C04</x:v>
      </x:c>
      <x:c r="C92" s="20" t="str">
        <x:v>利耶尼亚海域</x:v>
      </x:c>
      <x:c r="D92" s="20" t="n">
        <x:v>2</x:v>
      </x:c>
      <x:c r="E92" s="20" t="str">
        <x:v>沉湖遗迹</x:v>
      </x:c>
      <x:c r="F92" s="20" t="n">
        <x:v>2</x:v>
      </x:c>
      <x:c r="G92" s="20" t="str">
        <x:v>XX336</x:v>
      </x:c>
      <x:c r="H92" s="20" t="str">
        <x:v>淹没回廊</x:v>
      </x:c>
      <x:c r="I92" s="20" t="str">
        <x:v>回廊水弩手</x:v>
      </x:c>
      <x:c r="J92" s="20" t="str">
        <x:v>黄色</x:v>
      </x:c>
      <x:c r="K92" s="20" t="str">
        <x:v>普通</x:v>
      </x:c>
      <x:c r="L92" s="20" t="str">
        <x:v>亡灵</x:v>
      </x:c>
      <x:c r="M92" s="20" t="str">
        <x:v>远程</x:v>
      </x:c>
      <x:c r="N92" s="20" t="str">
        <x:v>浸廊手弩</x:v>
      </x:c>
      <x:c r="O92" s="20" t="str">
        <x:v>武器</x:v>
      </x:c>
      <x:c r="P92" s="20" t="str">
        <x:v>湖盐结晶</x:v>
      </x:c>
      <x:c r="Q92" s="20" t="str"/>
      <x:c r="R92" s="20" t="str">
        <x:v>雾潮银鳞</x:v>
      </x:c>
      <x:c r="S92" s="20" t="str">
        <x:v>月潮忆珀</x:v>
      </x:c>
      <x:c r="T92" s="20" t="str">
        <x:v>否</x:v>
      </x:c>
      <x:c r="U92" s="20" t="str">
        <x:v>是（公共奖池）</x:v>
      </x:c>
      <x:c r="V92" s="22" t="str">
        <x:v>结构定稿</x:v>
      </x:c>
      <x:c r="W92" s="36" t="str">
        <x:v>用户自行分配／本表不处理</x:v>
      </x:c>
      <x:c r="X92" s="34" t="str">
        <x:v>缺武器来源码</x:v>
      </x:c>
      <x:c r="Y92" s="29" t="str">
        <x:v>后期统一平衡</x:v>
      </x:c>
      <x:c r="Z92" s="20" t="str">
        <x:v>一怪一专属；专属来源跟随本行准确地图号</x:v>
      </x:c>
    </x:row>
    <x:row r="93" ht="24" customHeight="1">
      <x:c r="A93" s="20" t="str">
        <x:v>C04-M016</x:v>
      </x:c>
      <x:c r="B93" s="20" t="str">
        <x:v>C04</x:v>
      </x:c>
      <x:c r="C93" s="20" t="str">
        <x:v>利耶尼亚海域</x:v>
      </x:c>
      <x:c r="D93" s="20" t="n">
        <x:v>2</x:v>
      </x:c>
      <x:c r="E93" s="20" t="str">
        <x:v>沉湖遗迹</x:v>
      </x:c>
      <x:c r="F93" s="20" t="n">
        <x:v>2</x:v>
      </x:c>
      <x:c r="G93" s="20" t="str">
        <x:v>XX336</x:v>
      </x:c>
      <x:c r="H93" s="20" t="str">
        <x:v>淹没回廊</x:v>
      </x:c>
      <x:c r="I93" s="20" t="str">
        <x:v>沉钟侍祭</x:v>
      </x:c>
      <x:c r="J93" s="20" t="str">
        <x:v>黄色</x:v>
      </x:c>
      <x:c r="K93" s="20" t="str">
        <x:v>普通</x:v>
      </x:c>
      <x:c r="L93" s="20" t="str">
        <x:v>亡灵</x:v>
      </x:c>
      <x:c r="M93" s="20" t="str">
        <x:v>法术</x:v>
      </x:c>
      <x:c r="N93" s="20" t="str">
        <x:v>沉钟祭袍</x:v>
      </x:c>
      <x:c r="O93" s="20" t="str">
        <x:v>衣服</x:v>
      </x:c>
      <x:c r="P93" s="20" t="str">
        <x:v>湖盐结晶</x:v>
      </x:c>
      <x:c r="Q93" s="20" t="str"/>
      <x:c r="R93" s="20" t="str">
        <x:v>雾潮银鳞</x:v>
      </x:c>
      <x:c r="S93" s="20" t="str">
        <x:v>月潮忆珀</x:v>
      </x:c>
      <x:c r="T93" s="20" t="str">
        <x:v>否</x:v>
      </x:c>
      <x:c r="U93" s="20" t="str">
        <x:v>是（公共奖池）</x:v>
      </x:c>
      <x:c r="V93" s="22" t="str">
        <x:v>结构定稿</x:v>
      </x:c>
      <x:c r="W93" s="36" t="str">
        <x:v>用户自行分配／本表不处理</x:v>
      </x:c>
      <x:c r="X93" s="34" t="str">
        <x:v>缺衣服来源码</x:v>
      </x:c>
      <x:c r="Y93" s="29" t="str">
        <x:v>后期统一平衡</x:v>
      </x:c>
      <x:c r="Z93" s="20" t="str">
        <x:v>一怪一专属；专属来源跟随本行准确地图号</x:v>
      </x:c>
    </x:row>
    <x:row r="94" ht="24" customHeight="1">
      <x:c r="A94" s="20" t="str">
        <x:v>C04-M017</x:v>
      </x:c>
      <x:c r="B94" s="20" t="str">
        <x:v>C04</x:v>
      </x:c>
      <x:c r="C94" s="20" t="str">
        <x:v>利耶尼亚海域</x:v>
      </x:c>
      <x:c r="D94" s="20" t="n">
        <x:v>2</x:v>
      </x:c>
      <x:c r="E94" s="20" t="str">
        <x:v>沉湖遗迹</x:v>
      </x:c>
      <x:c r="F94" s="20" t="n">
        <x:v>3</x:v>
      </x:c>
      <x:c r="G94" s="20" t="str">
        <x:v>XX340</x:v>
      </x:c>
      <x:c r="H94" s="20" t="str">
        <x:v>沉湖祭坛</x:v>
      </x:c>
      <x:c r="I94" s="20" t="str">
        <x:v>祭坛盲鱼</x:v>
      </x:c>
      <x:c r="J94" s="20" t="str">
        <x:v>黄色</x:v>
      </x:c>
      <x:c r="K94" s="20" t="str">
        <x:v>普通</x:v>
      </x:c>
      <x:c r="L94" s="20" t="str">
        <x:v>兽类</x:v>
      </x:c>
      <x:c r="M94" s="20" t="str">
        <x:v>敏捷</x:v>
      </x:c>
      <x:c r="N94" s="20" t="str">
        <x:v>盲鱼鳍靴</x:v>
      </x:c>
      <x:c r="O94" s="20" t="str">
        <x:v>鞋子</x:v>
      </x:c>
      <x:c r="P94" s="20" t="str">
        <x:v>湖盐结晶</x:v>
      </x:c>
      <x:c r="Q94" s="20" t="str"/>
      <x:c r="R94" s="20" t="str">
        <x:v>雾潮银鳞</x:v>
      </x:c>
      <x:c r="S94" s="20" t="str">
        <x:v>月潮忆珀</x:v>
      </x:c>
      <x:c r="T94" s="20" t="str">
        <x:v>否</x:v>
      </x:c>
      <x:c r="U94" s="20" t="str">
        <x:v>是（公共奖池）</x:v>
      </x:c>
      <x:c r="V94" s="22" t="str">
        <x:v>结构定稿</x:v>
      </x:c>
      <x:c r="W94" s="36" t="str">
        <x:v>用户自行分配／本表不处理</x:v>
      </x:c>
      <x:c r="X94" s="33" t="n">
        <x:v>6687</x:v>
      </x:c>
      <x:c r="Y94" s="29" t="str">
        <x:v>后期统一平衡</x:v>
      </x:c>
      <x:c r="Z94" s="20" t="str">
        <x:v>一怪一专属；专属来源跟随本行准确地图号</x:v>
      </x:c>
    </x:row>
    <x:row r="95" ht="24" customHeight="1">
      <x:c r="A95" s="20" t="str">
        <x:v>C04-M018</x:v>
      </x:c>
      <x:c r="B95" s="20" t="str">
        <x:v>C04</x:v>
      </x:c>
      <x:c r="C95" s="20" t="str">
        <x:v>利耶尼亚海域</x:v>
      </x:c>
      <x:c r="D95" s="20" t="n">
        <x:v>2</x:v>
      </x:c>
      <x:c r="E95" s="20" t="str">
        <x:v>沉湖遗迹</x:v>
      </x:c>
      <x:c r="F95" s="20" t="n">
        <x:v>3</x:v>
      </x:c>
      <x:c r="G95" s="20" t="str">
        <x:v>XX340</x:v>
      </x:c>
      <x:c r="H95" s="20" t="str">
        <x:v>沉湖祭坛</x:v>
      </x:c>
      <x:c r="I95" s="20" t="str">
        <x:v>捧盏泥俑</x:v>
      </x:c>
      <x:c r="J95" s="20" t="str">
        <x:v>黄色</x:v>
      </x:c>
      <x:c r="K95" s="20" t="str">
        <x:v>普通</x:v>
      </x:c>
      <x:c r="L95" s="20" t="str">
        <x:v>构装</x:v>
      </x:c>
      <x:c r="M95" s="20" t="str">
        <x:v>近战</x:v>
      </x:c>
      <x:c r="N95" s="20" t="str">
        <x:v>供盏腕轮</x:v>
      </x:c>
      <x:c r="O95" s="20" t="str">
        <x:v>手镯</x:v>
      </x:c>
      <x:c r="P95" s="20" t="str">
        <x:v>湖盐结晶</x:v>
      </x:c>
      <x:c r="Q95" s="20" t="str"/>
      <x:c r="R95" s="20" t="str">
        <x:v>雾潮银鳞</x:v>
      </x:c>
      <x:c r="S95" s="20" t="str">
        <x:v>月潮忆珀</x:v>
      </x:c>
      <x:c r="T95" s="20" t="str">
        <x:v>否</x:v>
      </x:c>
      <x:c r="U95" s="20" t="str">
        <x:v>是（公共奖池）</x:v>
      </x:c>
      <x:c r="V95" s="22" t="str">
        <x:v>结构定稿</x:v>
      </x:c>
      <x:c r="W95" s="36" t="str">
        <x:v>用户自行分配／本表不处理</x:v>
      </x:c>
      <x:c r="X95" s="33" t="n">
        <x:v>6717</x:v>
      </x:c>
      <x:c r="Y95" s="29" t="str">
        <x:v>后期统一平衡</x:v>
      </x:c>
      <x:c r="Z95" s="20" t="str">
        <x:v>一怪一专属；专属来源跟随本行准确地图号</x:v>
      </x:c>
    </x:row>
    <x:row r="96" ht="24" customHeight="1">
      <x:c r="A96" s="20" t="str">
        <x:v>C04-M019</x:v>
      </x:c>
      <x:c r="B96" s="20" t="str">
        <x:v>C04</x:v>
      </x:c>
      <x:c r="C96" s="20" t="str">
        <x:v>利耶尼亚海域</x:v>
      </x:c>
      <x:c r="D96" s="20" t="n">
        <x:v>2</x:v>
      </x:c>
      <x:c r="E96" s="20" t="str">
        <x:v>沉湖遗迹</x:v>
      </x:c>
      <x:c r="F96" s="20" t="n">
        <x:v>1</x:v>
      </x:c>
      <x:c r="G96" s="20" t="str">
        <x:v>XX337</x:v>
      </x:c>
      <x:c r="H96" s="20" t="str">
        <x:v>沉湖遗迹</x:v>
      </x:c>
      <x:c r="I96" s="20" t="str">
        <x:v>碑林巡潮官</x:v>
      </x:c>
      <x:c r="J96" s="20" t="str">
        <x:v>蓝色</x:v>
      </x:c>
      <x:c r="K96" s="20" t="str">
        <x:v>稀有</x:v>
      </x:c>
      <x:c r="L96" s="20" t="str">
        <x:v>人形</x:v>
      </x:c>
      <x:c r="M96" s="20" t="str">
        <x:v>重装</x:v>
      </x:c>
      <x:c r="N96" s="20" t="str">
        <x:v>巡潮重盾</x:v>
      </x:c>
      <x:c r="O96" s="20" t="str">
        <x:v>盾牌</x:v>
      </x:c>
      <x:c r="P96" s="20" t="str">
        <x:v>湖盐结晶</x:v>
      </x:c>
      <x:c r="Q96" s="20" t="str">
        <x:v>幽船铆钉</x:v>
      </x:c>
      <x:c r="R96" s="20" t="str">
        <x:v>沉船缆扣</x:v>
      </x:c>
      <x:c r="S96" s="20" t="str">
        <x:v>月潮忆珀</x:v>
      </x:c>
      <x:c r="T96" s="20" t="str">
        <x:v>否</x:v>
      </x:c>
      <x:c r="U96" s="20" t="str">
        <x:v>是（公共奖池）</x:v>
      </x:c>
      <x:c r="V96" s="22" t="str">
        <x:v>结构定稿</x:v>
      </x:c>
      <x:c r="W96" s="36" t="str">
        <x:v>用户自行分配／本表不处理</x:v>
      </x:c>
      <x:c r="X96" s="33" t="n">
        <x:v>6650</x:v>
      </x:c>
      <x:c r="Y96" s="29" t="str">
        <x:v>后期统一平衡</x:v>
      </x:c>
      <x:c r="Z96" s="20" t="str">
        <x:v>一怪一专属；专属来源跟随本行准确地图号</x:v>
      </x:c>
    </x:row>
    <x:row r="97" ht="24" customHeight="1">
      <x:c r="A97" s="20" t="str">
        <x:v>C04-M020</x:v>
      </x:c>
      <x:c r="B97" s="20" t="str">
        <x:v>C04</x:v>
      </x:c>
      <x:c r="C97" s="20" t="str">
        <x:v>利耶尼亚海域</x:v>
      </x:c>
      <x:c r="D97" s="20" t="n">
        <x:v>2</x:v>
      </x:c>
      <x:c r="E97" s="20" t="str">
        <x:v>沉湖遗迹</x:v>
      </x:c>
      <x:c r="F97" s="20" t="n">
        <x:v>2</x:v>
      </x:c>
      <x:c r="G97" s="20" t="str">
        <x:v>XX336</x:v>
      </x:c>
      <x:c r="H97" s="20" t="str">
        <x:v>淹没回廊</x:v>
      </x:c>
      <x:c r="I97" s="20" t="str">
        <x:v>断链湖狮</x:v>
      </x:c>
      <x:c r="J97" s="20" t="str">
        <x:v>蓝色</x:v>
      </x:c>
      <x:c r="K97" s="20" t="str">
        <x:v>稀有</x:v>
      </x:c>
      <x:c r="L97" s="20" t="str">
        <x:v>兽类</x:v>
      </x:c>
      <x:c r="M97" s="20" t="str">
        <x:v>近战</x:v>
      </x:c>
      <x:c r="N97" s="20" t="str">
        <x:v>湖狮断链坠</x:v>
      </x:c>
      <x:c r="O97" s="20" t="str">
        <x:v>项链</x:v>
      </x:c>
      <x:c r="P97" s="20" t="str">
        <x:v>湖盐结晶</x:v>
      </x:c>
      <x:c r="Q97" s="20" t="str">
        <x:v>幽船铆钉</x:v>
      </x:c>
      <x:c r="R97" s="20" t="str">
        <x:v>沉船缆扣</x:v>
      </x:c>
      <x:c r="S97" s="20" t="str">
        <x:v>月潮忆珀</x:v>
      </x:c>
      <x:c r="T97" s="20" t="str">
        <x:v>否</x:v>
      </x:c>
      <x:c r="U97" s="20" t="str">
        <x:v>是（公共奖池）</x:v>
      </x:c>
      <x:c r="V97" s="22" t="str">
        <x:v>结构定稿</x:v>
      </x:c>
      <x:c r="W97" s="36" t="str">
        <x:v>用户自行分配／本表不处理</x:v>
      </x:c>
      <x:c r="X97" s="33" t="n">
        <x:v>6751</x:v>
      </x:c>
      <x:c r="Y97" s="29" t="str">
        <x:v>后期统一平衡</x:v>
      </x:c>
      <x:c r="Z97" s="20" t="str">
        <x:v>一怪一专属；专属来源跟随本行准确地图号</x:v>
      </x:c>
    </x:row>
    <x:row r="98" ht="24" customHeight="1">
      <x:c r="A98" s="20" t="str">
        <x:v>C04-M021</x:v>
      </x:c>
      <x:c r="B98" s="20" t="str">
        <x:v>C04</x:v>
      </x:c>
      <x:c r="C98" s="20" t="str">
        <x:v>利耶尼亚海域</x:v>
      </x:c>
      <x:c r="D98" s="20" t="n">
        <x:v>2</x:v>
      </x:c>
      <x:c r="E98" s="20" t="str">
        <x:v>沉湖遗迹</x:v>
      </x:c>
      <x:c r="F98" s="20" t="n">
        <x:v>3</x:v>
      </x:c>
      <x:c r="G98" s="20" t="str">
        <x:v>XX340</x:v>
      </x:c>
      <x:c r="H98" s="20" t="str">
        <x:v>沉湖祭坛</x:v>
      </x:c>
      <x:c r="I98" s="20" t="str">
        <x:v>蓝焰祷亡者</x:v>
      </x:c>
      <x:c r="J98" s="20" t="str">
        <x:v>蓝色</x:v>
      </x:c>
      <x:c r="K98" s="20" t="str">
        <x:v>稀有</x:v>
      </x:c>
      <x:c r="L98" s="20" t="str">
        <x:v>亡灵</x:v>
      </x:c>
      <x:c r="M98" s="20" t="str">
        <x:v>法术</x:v>
      </x:c>
      <x:c r="N98" s="20" t="str">
        <x:v>蓝焰祷戒</x:v>
      </x:c>
      <x:c r="O98" s="20" t="str">
        <x:v>戒指</x:v>
      </x:c>
      <x:c r="P98" s="20" t="str">
        <x:v>湖盐结晶</x:v>
      </x:c>
      <x:c r="Q98" s="20" t="str">
        <x:v>幽船铆钉</x:v>
      </x:c>
      <x:c r="R98" s="20" t="str">
        <x:v>沉船缆扣</x:v>
      </x:c>
      <x:c r="S98" s="20" t="str">
        <x:v>月潮忆珀</x:v>
      </x:c>
      <x:c r="T98" s="20" t="str">
        <x:v>否</x:v>
      </x:c>
      <x:c r="U98" s="20" t="str">
        <x:v>是（公共奖池）</x:v>
      </x:c>
      <x:c r="V98" s="22" t="str">
        <x:v>结构定稿</x:v>
      </x:c>
      <x:c r="W98" s="36" t="str">
        <x:v>用户自行分配／本表不处理</x:v>
      </x:c>
      <x:c r="X98" s="33" t="n">
        <x:v>6753</x:v>
      </x:c>
      <x:c r="Y98" s="29" t="str">
        <x:v>后期统一平衡</x:v>
      </x:c>
      <x:c r="Z98" s="20" t="str">
        <x:v>一怪一专属；专属来源跟随本行准确地图号</x:v>
      </x:c>
    </x:row>
    <x:row r="99" ht="24" customHeight="1">
      <x:c r="A99" s="20" t="str">
        <x:v>C04-M022</x:v>
      </x:c>
      <x:c r="B99" s="20" t="str">
        <x:v>C04</x:v>
      </x:c>
      <x:c r="C99" s="20" t="str">
        <x:v>利耶尼亚海域</x:v>
      </x:c>
      <x:c r="D99" s="20" t="n">
        <x:v>2</x:v>
      </x:c>
      <x:c r="E99" s="20" t="str">
        <x:v>沉湖遗迹</x:v>
      </x:c>
      <x:c r="F99" s="20" t="n">
        <x:v>3</x:v>
      </x:c>
      <x:c r="G99" s="20" t="str">
        <x:v>XX340</x:v>
      </x:c>
      <x:c r="H99" s="20" t="str">
        <x:v>沉湖祭坛</x:v>
      </x:c>
      <x:c r="I99" s="20" t="str">
        <x:v>祭池双生螯</x:v>
      </x:c>
      <x:c r="J99" s="20" t="str">
        <x:v>蓝色</x:v>
      </x:c>
      <x:c r="K99" s="20" t="str">
        <x:v>稀有</x:v>
      </x:c>
      <x:c r="L99" s="20" t="str">
        <x:v>异形</x:v>
      </x:c>
      <x:c r="M99" s="20" t="str">
        <x:v>敏捷</x:v>
      </x:c>
      <x:c r="N99" s="20" t="str">
        <x:v>双螯束带</x:v>
      </x:c>
      <x:c r="O99" s="20" t="str">
        <x:v>腰带</x:v>
      </x:c>
      <x:c r="P99" s="20" t="str">
        <x:v>湖盐结晶</x:v>
      </x:c>
      <x:c r="Q99" s="20" t="str">
        <x:v>幽船铆钉</x:v>
      </x:c>
      <x:c r="R99" s="20" t="str">
        <x:v>沉船缆扣</x:v>
      </x:c>
      <x:c r="S99" s="20" t="str">
        <x:v>月潮忆珀</x:v>
      </x:c>
      <x:c r="T99" s="20" t="str">
        <x:v>否</x:v>
      </x:c>
      <x:c r="U99" s="20" t="str">
        <x:v>是（公共奖池）</x:v>
      </x:c>
      <x:c r="V99" s="22" t="str">
        <x:v>结构定稿</x:v>
      </x:c>
      <x:c r="W99" s="36" t="str">
        <x:v>用户自行分配／本表不处理</x:v>
      </x:c>
      <x:c r="X99" s="33" t="n">
        <x:v>6618</x:v>
      </x:c>
      <x:c r="Y99" s="29" t="str">
        <x:v>后期统一平衡</x:v>
      </x:c>
      <x:c r="Z99" s="20" t="str">
        <x:v>一怪一专属；专属来源跟随本行准确地图号</x:v>
      </x:c>
    </x:row>
    <x:row r="100" ht="24" customHeight="1">
      <x:c r="A100" s="20" t="str">
        <x:v>C04-M023</x:v>
      </x:c>
      <x:c r="B100" s="20" t="str">
        <x:v>C04</x:v>
      </x:c>
      <x:c r="C100" s="20" t="str">
        <x:v>利耶尼亚海域</x:v>
      </x:c>
      <x:c r="D100" s="20" t="n">
        <x:v>2</x:v>
      </x:c>
      <x:c r="E100" s="20" t="str">
        <x:v>沉湖遗迹</x:v>
      </x:c>
      <x:c r="F100" s="20" t="n">
        <x:v>2</x:v>
      </x:c>
      <x:c r="G100" s="20" t="str">
        <x:v>XX336</x:v>
      </x:c>
      <x:c r="H100" s="20" t="str">
        <x:v>淹没回廊</x:v>
      </x:c>
      <x:c r="I100" s="20" t="str">
        <x:v>淹廊判官·摩汶</x:v>
      </x:c>
      <x:c r="J100" s="20" t="str">
        <x:v>粉色</x:v>
      </x:c>
      <x:c r="K100" s="20" t="str">
        <x:v>地图BOSS</x:v>
      </x:c>
      <x:c r="L100" s="20" t="str">
        <x:v>亡灵</x:v>
      </x:c>
      <x:c r="M100" s="20" t="str">
        <x:v>首领</x:v>
      </x:c>
      <x:c r="N100" s="20" t="str">
        <x:v>摩汶的沉水铡</x:v>
      </x:c>
      <x:c r="O100" s="20" t="str">
        <x:v>武器</x:v>
      </x:c>
      <x:c r="P100" s="20" t="str">
        <x:v>湖盐结晶</x:v>
      </x:c>
      <x:c r="Q100" s="20" t="str">
        <x:v>幽船铆钉＋沉湖王印</x:v>
      </x:c>
      <x:c r="R100" s="20" t="str">
        <x:v>深湖压舱印</x:v>
      </x:c>
      <x:c r="S100" s="20" t="str">
        <x:v>月潮忆珀</x:v>
      </x:c>
      <x:c r="T100" s="20" t="str">
        <x:v>是（独立奖池）</x:v>
      </x:c>
      <x:c r="U100" s="20" t="str">
        <x:v>是（公共奖池）</x:v>
      </x:c>
      <x:c r="V100" s="22" t="str">
        <x:v>结构定稿</x:v>
      </x:c>
      <x:c r="W100" s="36" t="str">
        <x:v>用户自行分配／本表不处理</x:v>
      </x:c>
      <x:c r="X100" s="33" t="n">
        <x:v>6676</x:v>
      </x:c>
      <x:c r="Y100" s="29" t="str">
        <x:v>后期统一平衡</x:v>
      </x:c>
      <x:c r="Z100" s="20" t="str">
        <x:v>一怪一专属；专属来源跟随本行准确地图号</x:v>
      </x:c>
    </x:row>
    <x:row r="101" ht="24" customHeight="1">
      <x:c r="A101" s="20" t="str">
        <x:v>C04-M024</x:v>
      </x:c>
      <x:c r="B101" s="20" t="str">
        <x:v>C04</x:v>
      </x:c>
      <x:c r="C101" s="20" t="str">
        <x:v>利耶尼亚海域</x:v>
      </x:c>
      <x:c r="D101" s="20" t="n">
        <x:v>2</x:v>
      </x:c>
      <x:c r="E101" s="20" t="str">
        <x:v>沉湖遗迹</x:v>
      </x:c>
      <x:c r="F101" s="20" t="n">
        <x:v>3</x:v>
      </x:c>
      <x:c r="G101" s="20" t="str">
        <x:v>XX340</x:v>
      </x:c>
      <x:c r="H101" s="20" t="str">
        <x:v>沉湖祭坛</x:v>
      </x:c>
      <x:c r="I101" s="20" t="str">
        <x:v>无声湖后·塞芙拉</x:v>
      </x:c>
      <x:c r="J101" s="20" t="str">
        <x:v>粉色</x:v>
      </x:c>
      <x:c r="K101" s="20" t="str">
        <x:v>地图BOSS</x:v>
      </x:c>
      <x:c r="L101" s="20" t="str">
        <x:v>亡灵</x:v>
      </x:c>
      <x:c r="M101" s="20" t="str">
        <x:v>首领</x:v>
      </x:c>
      <x:c r="N101" s="20" t="str">
        <x:v>塞芙拉无声衣</x:v>
      </x:c>
      <x:c r="O101" s="20" t="str">
        <x:v>衣服</x:v>
      </x:c>
      <x:c r="P101" s="20" t="str">
        <x:v>湖盐结晶</x:v>
      </x:c>
      <x:c r="Q101" s="20" t="str">
        <x:v>幽船铆钉＋沉湖王印</x:v>
      </x:c>
      <x:c r="R101" s="20" t="str">
        <x:v>深湖压舱印</x:v>
      </x:c>
      <x:c r="S101" s="20" t="str">
        <x:v>月潮忆珀</x:v>
      </x:c>
      <x:c r="T101" s="20" t="str">
        <x:v>是（独立奖池）</x:v>
      </x:c>
      <x:c r="U101" s="20" t="str">
        <x:v>是（公共奖池）</x:v>
      </x:c>
      <x:c r="V101" s="22" t="str">
        <x:v>结构定稿</x:v>
      </x:c>
      <x:c r="W101" s="36" t="str">
        <x:v>用户自行分配／本表不处理</x:v>
      </x:c>
      <x:c r="X101" s="33" t="n">
        <x:v>6677</x:v>
      </x:c>
      <x:c r="Y101" s="29" t="str">
        <x:v>后期统一平衡</x:v>
      </x:c>
      <x:c r="Z101" s="20" t="str">
        <x:v>一怪一专属；专属来源跟随本行准确地图号</x:v>
      </x:c>
    </x:row>
    <x:row r="102" ht="24" customHeight="1">
      <x:c r="A102" s="20" t="str">
        <x:v>C04-M025</x:v>
      </x:c>
      <x:c r="B102" s="20" t="str">
        <x:v>C04</x:v>
      </x:c>
      <x:c r="C102" s="20" t="str">
        <x:v>利耶尼亚海域</x:v>
      </x:c>
      <x:c r="D102" s="20" t="n">
        <x:v>3</x:v>
      </x:c>
      <x:c r="E102" s="20" t="str">
        <x:v>湖心沉船</x:v>
      </x:c>
      <x:c r="F102" s="20" t="n">
        <x:v>1</x:v>
      </x:c>
      <x:c r="G102" s="20" t="str">
        <x:v>XX363</x:v>
      </x:c>
      <x:c r="H102" s="20" t="str">
        <x:v>湖心沉船</x:v>
      </x:c>
      <x:c r="I102" s="20" t="str">
        <x:v>破帆水手</x:v>
      </x:c>
      <x:c r="J102" s="20" t="str">
        <x:v>黄色</x:v>
      </x:c>
      <x:c r="K102" s="20" t="str">
        <x:v>普通</x:v>
      </x:c>
      <x:c r="L102" s="20" t="str">
        <x:v>亡灵</x:v>
      </x:c>
      <x:c r="M102" s="20" t="str">
        <x:v>近战</x:v>
      </x:c>
      <x:c r="N102" s="20" t="str">
        <x:v>破帆腰带</x:v>
      </x:c>
      <x:c r="O102" s="20" t="str">
        <x:v>腰带</x:v>
      </x:c>
      <x:c r="P102" s="20" t="str">
        <x:v>湖盐结晶</x:v>
      </x:c>
      <x:c r="Q102" s="20" t="str"/>
      <x:c r="R102" s="20" t="str">
        <x:v>雾潮银鳞</x:v>
      </x:c>
      <x:c r="S102" s="20" t="str">
        <x:v>月潮忆珀</x:v>
      </x:c>
      <x:c r="T102" s="20" t="str">
        <x:v>否</x:v>
      </x:c>
      <x:c r="U102" s="20" t="str">
        <x:v>是（公共奖池）</x:v>
      </x:c>
      <x:c r="V102" s="22" t="str">
        <x:v>结构定稿</x:v>
      </x:c>
      <x:c r="W102" s="36" t="str">
        <x:v>用户自行分配／本表不处理</x:v>
      </x:c>
      <x:c r="X102" s="33" t="n">
        <x:v>6653</x:v>
      </x:c>
      <x:c r="Y102" s="29" t="str">
        <x:v>后期统一平衡</x:v>
      </x:c>
      <x:c r="Z102" s="20" t="str">
        <x:v>一怪一专属；专属来源跟随本行准确地图号</x:v>
      </x:c>
    </x:row>
    <x:row r="103" ht="24" customHeight="1">
      <x:c r="A103" s="20" t="str">
        <x:v>C04-M026</x:v>
      </x:c>
      <x:c r="B103" s="20" t="str">
        <x:v>C04</x:v>
      </x:c>
      <x:c r="C103" s="20" t="str">
        <x:v>利耶尼亚海域</x:v>
      </x:c>
      <x:c r="D103" s="20" t="n">
        <x:v>3</x:v>
      </x:c>
      <x:c r="E103" s="20" t="str">
        <x:v>湖心沉船</x:v>
      </x:c>
      <x:c r="F103" s="20" t="n">
        <x:v>1</x:v>
      </x:c>
      <x:c r="G103" s="20" t="str">
        <x:v>XX363</x:v>
      </x:c>
      <x:c r="H103" s="20" t="str">
        <x:v>湖心沉船</x:v>
      </x:c>
      <x:c r="I103" s="20" t="str">
        <x:v>缠藻桅猴</x:v>
      </x:c>
      <x:c r="J103" s="20" t="str">
        <x:v>黄色</x:v>
      </x:c>
      <x:c r="K103" s="20" t="str">
        <x:v>普通</x:v>
      </x:c>
      <x:c r="L103" s="20" t="str">
        <x:v>兽类</x:v>
      </x:c>
      <x:c r="M103" s="20" t="str">
        <x:v>敏捷</x:v>
      </x:c>
      <x:c r="N103" s="20" t="str">
        <x:v>桅猴跳靴</x:v>
      </x:c>
      <x:c r="O103" s="20" t="str">
        <x:v>鞋子</x:v>
      </x:c>
      <x:c r="P103" s="20" t="str">
        <x:v>湖盐结晶</x:v>
      </x:c>
      <x:c r="Q103" s="20" t="str"/>
      <x:c r="R103" s="20" t="str">
        <x:v>雾潮银鳞</x:v>
      </x:c>
      <x:c r="S103" s="20" t="str">
        <x:v>月潮忆珀</x:v>
      </x:c>
      <x:c r="T103" s="20" t="str">
        <x:v>否</x:v>
      </x:c>
      <x:c r="U103" s="20" t="str">
        <x:v>是（公共奖池）</x:v>
      </x:c>
      <x:c r="V103" s="22" t="str">
        <x:v>结构定稿</x:v>
      </x:c>
      <x:c r="W103" s="36" t="str">
        <x:v>用户自行分配／本表不处理</x:v>
      </x:c>
      <x:c r="X103" s="33" t="n">
        <x:v>6722</x:v>
      </x:c>
      <x:c r="Y103" s="29" t="str">
        <x:v>后期统一平衡</x:v>
      </x:c>
      <x:c r="Z103" s="20" t="str">
        <x:v>一怪一专属；专属来源跟随本行准确地图号</x:v>
      </x:c>
    </x:row>
    <x:row r="104" ht="24" customHeight="1">
      <x:c r="A104" s="20" t="str">
        <x:v>C04-M027</x:v>
      </x:c>
      <x:c r="B104" s="20" t="str">
        <x:v>C04</x:v>
      </x:c>
      <x:c r="C104" s="20" t="str">
        <x:v>利耶尼亚海域</x:v>
      </x:c>
      <x:c r="D104" s="20" t="n">
        <x:v>3</x:v>
      </x:c>
      <x:c r="E104" s="20" t="str">
        <x:v>湖心沉船</x:v>
      </x:c>
      <x:c r="F104" s="20" t="n">
        <x:v>2</x:v>
      </x:c>
      <x:c r="G104" s="20" t="str">
        <x:v>XX362</x:v>
      </x:c>
      <x:c r="H104" s="20" t="str">
        <x:v>幽船下舱</x:v>
      </x:c>
      <x:c r="I104" s="20" t="str">
        <x:v>舱门凿击者</x:v>
      </x:c>
      <x:c r="J104" s="20" t="str">
        <x:v>黄色</x:v>
      </x:c>
      <x:c r="K104" s="20" t="str">
        <x:v>普通</x:v>
      </x:c>
      <x:c r="L104" s="20" t="str">
        <x:v>亡灵</x:v>
      </x:c>
      <x:c r="M104" s="20" t="str">
        <x:v>重装</x:v>
      </x:c>
      <x:c r="N104" s="20" t="str">
        <x:v>凿舱铁锤</x:v>
      </x:c>
      <x:c r="O104" s="20" t="str">
        <x:v>武器</x:v>
      </x:c>
      <x:c r="P104" s="20" t="str">
        <x:v>湖盐结晶</x:v>
      </x:c>
      <x:c r="Q104" s="20" t="str"/>
      <x:c r="R104" s="20" t="str">
        <x:v>雾潮银鳞</x:v>
      </x:c>
      <x:c r="S104" s="20" t="str">
        <x:v>月潮忆珀</x:v>
      </x:c>
      <x:c r="T104" s="20" t="str">
        <x:v>否</x:v>
      </x:c>
      <x:c r="U104" s="20" t="str">
        <x:v>是（公共奖池）</x:v>
      </x:c>
      <x:c r="V104" s="22" t="str">
        <x:v>结构定稿</x:v>
      </x:c>
      <x:c r="W104" s="36" t="str">
        <x:v>用户自行分配／本表不处理</x:v>
      </x:c>
      <x:c r="X104" s="34" t="str">
        <x:v>缺武器来源码</x:v>
      </x:c>
      <x:c r="Y104" s="29" t="str">
        <x:v>后期统一平衡</x:v>
      </x:c>
      <x:c r="Z104" s="20" t="str">
        <x:v>一怪一专属；专属来源跟随本行准确地图号</x:v>
      </x:c>
    </x:row>
    <x:row r="105" ht="24" customHeight="1">
      <x:c r="A105" s="20" t="str">
        <x:v>C04-M028</x:v>
      </x:c>
      <x:c r="B105" s="20" t="str">
        <x:v>C04</x:v>
      </x:c>
      <x:c r="C105" s="20" t="str">
        <x:v>利耶尼亚海域</x:v>
      </x:c>
      <x:c r="D105" s="20" t="n">
        <x:v>3</x:v>
      </x:c>
      <x:c r="E105" s="20" t="str">
        <x:v>湖心沉船</x:v>
      </x:c>
      <x:c r="F105" s="20" t="n">
        <x:v>2</x:v>
      </x:c>
      <x:c r="G105" s="20" t="str">
        <x:v>XX362</x:v>
      </x:c>
      <x:c r="H105" s="20" t="str">
        <x:v>幽船下舱</x:v>
      </x:c>
      <x:c r="I105" s="20" t="str">
        <x:v>油灯怨影</x:v>
      </x:c>
      <x:c r="J105" s="20" t="str">
        <x:v>黄色</x:v>
      </x:c>
      <x:c r="K105" s="20" t="str">
        <x:v>普通</x:v>
      </x:c>
      <x:c r="L105" s="20" t="str">
        <x:v>亡灵</x:v>
      </x:c>
      <x:c r="M105" s="20" t="str">
        <x:v>法术</x:v>
      </x:c>
      <x:c r="N105" s="20" t="str">
        <x:v>怨灯项链</x:v>
      </x:c>
      <x:c r="O105" s="20" t="str">
        <x:v>项链</x:v>
      </x:c>
      <x:c r="P105" s="20" t="str">
        <x:v>湖盐结晶</x:v>
      </x:c>
      <x:c r="Q105" s="20" t="str"/>
      <x:c r="R105" s="20" t="str">
        <x:v>雾潮银鳞</x:v>
      </x:c>
      <x:c r="S105" s="20" t="str">
        <x:v>月潮忆珀</x:v>
      </x:c>
      <x:c r="T105" s="20" t="str">
        <x:v>否</x:v>
      </x:c>
      <x:c r="U105" s="20" t="str">
        <x:v>是（公共奖池）</x:v>
      </x:c>
      <x:c r="V105" s="22" t="str">
        <x:v>结构定稿</x:v>
      </x:c>
      <x:c r="W105" s="36" t="str">
        <x:v>用户自行分配／本表不处理</x:v>
      </x:c>
      <x:c r="X105" s="33" t="n">
        <x:v>6786</x:v>
      </x:c>
      <x:c r="Y105" s="29" t="str">
        <x:v>后期统一平衡</x:v>
      </x:c>
      <x:c r="Z105" s="20" t="str">
        <x:v>一怪一专属；专属来源跟随本行准确地图号</x:v>
      </x:c>
    </x:row>
    <x:row r="106" ht="24" customHeight="1">
      <x:c r="A106" s="20" t="str">
        <x:v>C04-M029</x:v>
      </x:c>
      <x:c r="B106" s="20" t="str">
        <x:v>C04</x:v>
      </x:c>
      <x:c r="C106" s="20" t="str">
        <x:v>利耶尼亚海域</x:v>
      </x:c>
      <x:c r="D106" s="20" t="n">
        <x:v>3</x:v>
      </x:c>
      <x:c r="E106" s="20" t="str">
        <x:v>湖心沉船</x:v>
      </x:c>
      <x:c r="F106" s="20" t="n">
        <x:v>3</x:v>
      </x:c>
      <x:c r="G106" s="20" t="str">
        <x:v>XX351</x:v>
      </x:c>
      <x:c r="H106" s="20" t="str">
        <x:v>亡舟墓舱</x:v>
      </x:c>
      <x:c r="I106" s="20" t="str">
        <x:v>墓舱寄居蟹</x:v>
      </x:c>
      <x:c r="J106" s="20" t="str">
        <x:v>黄色</x:v>
      </x:c>
      <x:c r="K106" s="20" t="str">
        <x:v>普通</x:v>
      </x:c>
      <x:c r="L106" s="20" t="str">
        <x:v>兽类</x:v>
      </x:c>
      <x:c r="M106" s="20" t="str">
        <x:v>重装</x:v>
      </x:c>
      <x:c r="N106" s="20" t="str">
        <x:v>墓舱壳盾</x:v>
      </x:c>
      <x:c r="O106" s="20" t="str">
        <x:v>盾牌</x:v>
      </x:c>
      <x:c r="P106" s="20" t="str">
        <x:v>湖盐结晶</x:v>
      </x:c>
      <x:c r="Q106" s="20" t="str"/>
      <x:c r="R106" s="20" t="str">
        <x:v>雾潮银鳞</x:v>
      </x:c>
      <x:c r="S106" s="20" t="str">
        <x:v>月潮忆珀</x:v>
      </x:c>
      <x:c r="T106" s="20" t="str">
        <x:v>否</x:v>
      </x:c>
      <x:c r="U106" s="20" t="str">
        <x:v>是（公共奖池）</x:v>
      </x:c>
      <x:c r="V106" s="22" t="str">
        <x:v>结构定稿</x:v>
      </x:c>
      <x:c r="W106" s="36" t="str">
        <x:v>用户自行分配／本表不处理</x:v>
      </x:c>
      <x:c r="X106" s="33" t="n">
        <x:v>6685</x:v>
      </x:c>
      <x:c r="Y106" s="29" t="str">
        <x:v>后期统一平衡</x:v>
      </x:c>
      <x:c r="Z106" s="20" t="str">
        <x:v>一怪一专属；专属来源跟随本行准确地图号</x:v>
      </x:c>
    </x:row>
    <x:row r="107" ht="24" customHeight="1">
      <x:c r="A107" s="20" t="str">
        <x:v>C04-M030</x:v>
      </x:c>
      <x:c r="B107" s="20" t="str">
        <x:v>C04</x:v>
      </x:c>
      <x:c r="C107" s="20" t="str">
        <x:v>利耶尼亚海域</x:v>
      </x:c>
      <x:c r="D107" s="20" t="n">
        <x:v>3</x:v>
      </x:c>
      <x:c r="E107" s="20" t="str">
        <x:v>湖心沉船</x:v>
      </x:c>
      <x:c r="F107" s="20" t="n">
        <x:v>3</x:v>
      </x:c>
      <x:c r="G107" s="20" t="str">
        <x:v>XX351</x:v>
      </x:c>
      <x:c r="H107" s="20" t="str">
        <x:v>亡舟墓舱</x:v>
      </x:c>
      <x:c r="I107" s="20" t="str">
        <x:v>裹布船尸</x:v>
      </x:c>
      <x:c r="J107" s="20" t="str">
        <x:v>黄色</x:v>
      </x:c>
      <x:c r="K107" s="20" t="str">
        <x:v>普通</x:v>
      </x:c>
      <x:c r="L107" s="20" t="str">
        <x:v>亡灵</x:v>
      </x:c>
      <x:c r="M107" s="20" t="str">
        <x:v>近战</x:v>
      </x:c>
      <x:c r="N107" s="20" t="str">
        <x:v>盐裹尸衣</x:v>
      </x:c>
      <x:c r="O107" s="20" t="str">
        <x:v>衣服</x:v>
      </x:c>
      <x:c r="P107" s="20" t="str">
        <x:v>湖盐结晶</x:v>
      </x:c>
      <x:c r="Q107" s="20" t="str"/>
      <x:c r="R107" s="20" t="str">
        <x:v>雾潮银鳞</x:v>
      </x:c>
      <x:c r="S107" s="20" t="str">
        <x:v>月潮忆珀</x:v>
      </x:c>
      <x:c r="T107" s="20" t="str">
        <x:v>否</x:v>
      </x:c>
      <x:c r="U107" s="20" t="str">
        <x:v>是（公共奖池）</x:v>
      </x:c>
      <x:c r="V107" s="22" t="str">
        <x:v>结构定稿</x:v>
      </x:c>
      <x:c r="W107" s="36" t="str">
        <x:v>用户自行分配／本表不处理</x:v>
      </x:c>
      <x:c r="X107" s="34" t="str">
        <x:v>缺衣服来源码</x:v>
      </x:c>
      <x:c r="Y107" s="29" t="str">
        <x:v>后期统一平衡</x:v>
      </x:c>
      <x:c r="Z107" s="20" t="str">
        <x:v>一怪一专属；专属来源跟随本行准确地图号</x:v>
      </x:c>
    </x:row>
    <x:row r="108" ht="24" customHeight="1">
      <x:c r="A108" s="20" t="str">
        <x:v>C04-M031</x:v>
      </x:c>
      <x:c r="B108" s="20" t="str">
        <x:v>C04</x:v>
      </x:c>
      <x:c r="C108" s="20" t="str">
        <x:v>利耶尼亚海域</x:v>
      </x:c>
      <x:c r="D108" s="20" t="n">
        <x:v>3</x:v>
      </x:c>
      <x:c r="E108" s="20" t="str">
        <x:v>湖心沉船</x:v>
      </x:c>
      <x:c r="F108" s="20" t="n">
        <x:v>1</x:v>
      </x:c>
      <x:c r="G108" s="20" t="str">
        <x:v>XX363</x:v>
      </x:c>
      <x:c r="H108" s="20" t="str">
        <x:v>湖心沉船</x:v>
      </x:c>
      <x:c r="I108" s="20" t="str">
        <x:v>白鳍劫舟客</x:v>
      </x:c>
      <x:c r="J108" s="20" t="str">
        <x:v>蓝色</x:v>
      </x:c>
      <x:c r="K108" s="20" t="str">
        <x:v>稀有</x:v>
      </x:c>
      <x:c r="L108" s="20" t="str">
        <x:v>人形</x:v>
      </x:c>
      <x:c r="M108" s="20" t="str">
        <x:v>敏捷</x:v>
      </x:c>
      <x:c r="N108" s="20" t="str">
        <x:v>白鳍浪客笠</x:v>
      </x:c>
      <x:c r="O108" s="20" t="str">
        <x:v>斗笠</x:v>
      </x:c>
      <x:c r="P108" s="20" t="str">
        <x:v>湖盐结晶</x:v>
      </x:c>
      <x:c r="Q108" s="20" t="str">
        <x:v>幽船铆钉</x:v>
      </x:c>
      <x:c r="R108" s="20" t="str">
        <x:v>沉船缆扣</x:v>
      </x:c>
      <x:c r="S108" s="20" t="str">
        <x:v>月潮忆珀</x:v>
      </x:c>
      <x:c r="T108" s="20" t="str">
        <x:v>否</x:v>
      </x:c>
      <x:c r="U108" s="20" t="str">
        <x:v>是（公共奖池）</x:v>
      </x:c>
      <x:c r="V108" s="22" t="str">
        <x:v>结构定稿</x:v>
      </x:c>
      <x:c r="W108" s="36" t="str">
        <x:v>用户自行分配／本表不处理</x:v>
      </x:c>
      <x:c r="X108" s="33" t="n">
        <x:v>6540</x:v>
      </x:c>
      <x:c r="Y108" s="29" t="str">
        <x:v>后期统一平衡</x:v>
      </x:c>
      <x:c r="Z108" s="20" t="str">
        <x:v>一怪一专属；专属来源跟随本行准确地图号</x:v>
      </x:c>
    </x:row>
    <x:row r="109" ht="24" customHeight="1">
      <x:c r="A109" s="20" t="str">
        <x:v>C04-M032</x:v>
      </x:c>
      <x:c r="B109" s="20" t="str">
        <x:v>C04</x:v>
      </x:c>
      <x:c r="C109" s="20" t="str">
        <x:v>利耶尼亚海域</x:v>
      </x:c>
      <x:c r="D109" s="20" t="n">
        <x:v>3</x:v>
      </x:c>
      <x:c r="E109" s="20" t="str">
        <x:v>湖心沉船</x:v>
      </x:c>
      <x:c r="F109" s="20" t="n">
        <x:v>2</x:v>
      </x:c>
      <x:c r="G109" s="20" t="str">
        <x:v>XX362</x:v>
      </x:c>
      <x:c r="H109" s="20" t="str">
        <x:v>幽船下舱</x:v>
      </x:c>
      <x:c r="I109" s="20" t="str">
        <x:v>抱舵老幽魂</x:v>
      </x:c>
      <x:c r="J109" s="20" t="str">
        <x:v>蓝色</x:v>
      </x:c>
      <x:c r="K109" s="20" t="str">
        <x:v>稀有</x:v>
      </x:c>
      <x:c r="L109" s="20" t="str">
        <x:v>亡灵</x:v>
      </x:c>
      <x:c r="M109" s="20" t="str">
        <x:v>召唤</x:v>
      </x:c>
      <x:c r="N109" s="20" t="str">
        <x:v>老舵手镯</x:v>
      </x:c>
      <x:c r="O109" s="20" t="str">
        <x:v>手镯</x:v>
      </x:c>
      <x:c r="P109" s="20" t="str">
        <x:v>湖盐结晶</x:v>
      </x:c>
      <x:c r="Q109" s="20" t="str">
        <x:v>幽船铆钉</x:v>
      </x:c>
      <x:c r="R109" s="20" t="str">
        <x:v>沉船缆扣</x:v>
      </x:c>
      <x:c r="S109" s="20" t="str">
        <x:v>月潮忆珀</x:v>
      </x:c>
      <x:c r="T109" s="20" t="str">
        <x:v>否</x:v>
      </x:c>
      <x:c r="U109" s="20" t="str">
        <x:v>是（公共奖池）</x:v>
      </x:c>
      <x:c r="V109" s="22" t="str">
        <x:v>结构定稿</x:v>
      </x:c>
      <x:c r="W109" s="36" t="str">
        <x:v>用户自行分配／本表不处理</x:v>
      </x:c>
      <x:c r="X109" s="33" t="n">
        <x:v>6752</x:v>
      </x:c>
      <x:c r="Y109" s="29" t="str">
        <x:v>后期统一平衡</x:v>
      </x:c>
      <x:c r="Z109" s="20" t="str">
        <x:v>一怪一专属；专属来源跟随本行准确地图号</x:v>
      </x:c>
    </x:row>
    <x:row r="110" ht="24" customHeight="1">
      <x:c r="A110" s="20" t="str">
        <x:v>C04-M033</x:v>
      </x:c>
      <x:c r="B110" s="20" t="str">
        <x:v>C04</x:v>
      </x:c>
      <x:c r="C110" s="20" t="str">
        <x:v>利耶尼亚海域</x:v>
      </x:c>
      <x:c r="D110" s="20" t="n">
        <x:v>3</x:v>
      </x:c>
      <x:c r="E110" s="20" t="str">
        <x:v>湖心沉船</x:v>
      </x:c>
      <x:c r="F110" s="20" t="n">
        <x:v>3</x:v>
      </x:c>
      <x:c r="G110" s="20" t="str">
        <x:v>XX351</x:v>
      </x:c>
      <x:c r="H110" s="20" t="str">
        <x:v>亡舟墓舱</x:v>
      </x:c>
      <x:c r="I110" s="20" t="str">
        <x:v>棺板伏行者</x:v>
      </x:c>
      <x:c r="J110" s="20" t="str">
        <x:v>蓝色</x:v>
      </x:c>
      <x:c r="K110" s="20" t="str">
        <x:v>稀有</x:v>
      </x:c>
      <x:c r="L110" s="20" t="str">
        <x:v>异形</x:v>
      </x:c>
      <x:c r="M110" s="20" t="str">
        <x:v>近战</x:v>
      </x:c>
      <x:c r="N110" s="20" t="str">
        <x:v>棺钉指环</x:v>
      </x:c>
      <x:c r="O110" s="20" t="str">
        <x:v>戒指</x:v>
      </x:c>
      <x:c r="P110" s="20" t="str">
        <x:v>湖盐结晶</x:v>
      </x:c>
      <x:c r="Q110" s="20" t="str">
        <x:v>幽船铆钉</x:v>
      </x:c>
      <x:c r="R110" s="20" t="str">
        <x:v>沉船缆扣</x:v>
      </x:c>
      <x:c r="S110" s="20" t="str">
        <x:v>月潮忆珀</x:v>
      </x:c>
      <x:c r="T110" s="20" t="str">
        <x:v>否</x:v>
      </x:c>
      <x:c r="U110" s="20" t="str">
        <x:v>是（公共奖池）</x:v>
      </x:c>
      <x:c r="V110" s="22" t="str">
        <x:v>结构定稿</x:v>
      </x:c>
      <x:c r="W110" s="36" t="str">
        <x:v>用户自行分配／本表不处理</x:v>
      </x:c>
      <x:c r="X110" s="33" t="n">
        <x:v>6788</x:v>
      </x:c>
      <x:c r="Y110" s="29" t="str">
        <x:v>后期统一平衡</x:v>
      </x:c>
      <x:c r="Z110" s="20" t="str">
        <x:v>一怪一专属；专属来源跟随本行准确地图号</x:v>
      </x:c>
    </x:row>
    <x:row r="111" ht="24" customHeight="1">
      <x:c r="A111" s="20" t="str">
        <x:v>C04-M034</x:v>
      </x:c>
      <x:c r="B111" s="20" t="str">
        <x:v>C04</x:v>
      </x:c>
      <x:c r="C111" s="20" t="str">
        <x:v>利耶尼亚海域</x:v>
      </x:c>
      <x:c r="D111" s="20" t="n">
        <x:v>3</x:v>
      </x:c>
      <x:c r="E111" s="20" t="str">
        <x:v>湖心沉船</x:v>
      </x:c>
      <x:c r="F111" s="20" t="n">
        <x:v>3</x:v>
      </x:c>
      <x:c r="G111" s="20" t="str">
        <x:v>XX351</x:v>
      </x:c>
      <x:c r="H111" s="20" t="str">
        <x:v>亡舟墓舱</x:v>
      </x:c>
      <x:c r="I111" s="20" t="str">
        <x:v>啃锚深渊鱼</x:v>
      </x:c>
      <x:c r="J111" s="20" t="str">
        <x:v>蓝色</x:v>
      </x:c>
      <x:c r="K111" s="20" t="str">
        <x:v>稀有</x:v>
      </x:c>
      <x:c r="L111" s="20" t="str">
        <x:v>兽类</x:v>
      </x:c>
      <x:c r="M111" s="20" t="str">
        <x:v>近战</x:v>
      </x:c>
      <x:c r="N111" s="20" t="str">
        <x:v>锚齿鱼盔</x:v>
      </x:c>
      <x:c r="O111" s="20" t="str">
        <x:v>头盔</x:v>
      </x:c>
      <x:c r="P111" s="20" t="str">
        <x:v>湖盐结晶</x:v>
      </x:c>
      <x:c r="Q111" s="20" t="str">
        <x:v>幽船铆钉</x:v>
      </x:c>
      <x:c r="R111" s="20" t="str">
        <x:v>沉船缆扣</x:v>
      </x:c>
      <x:c r="S111" s="20" t="str">
        <x:v>月潮忆珀</x:v>
      </x:c>
      <x:c r="T111" s="20" t="str">
        <x:v>否</x:v>
      </x:c>
      <x:c r="U111" s="20" t="str">
        <x:v>是（公共奖池）</x:v>
      </x:c>
      <x:c r="V111" s="22" t="str">
        <x:v>结构定稿</x:v>
      </x:c>
      <x:c r="W111" s="36" t="str">
        <x:v>用户自行分配／本表不处理</x:v>
      </x:c>
      <x:c r="X111" s="33" t="n">
        <x:v>6784</x:v>
      </x:c>
      <x:c r="Y111" s="29" t="str">
        <x:v>后期统一平衡</x:v>
      </x:c>
      <x:c r="Z111" s="20" t="str">
        <x:v>一怪一专属；专属来源跟随本行准确地图号</x:v>
      </x:c>
    </x:row>
    <x:row r="112" ht="24" customHeight="1">
      <x:c r="A112" s="20" t="str">
        <x:v>C04-M035</x:v>
      </x:c>
      <x:c r="B112" s="20" t="str">
        <x:v>C04</x:v>
      </x:c>
      <x:c r="C112" s="20" t="str">
        <x:v>利耶尼亚海域</x:v>
      </x:c>
      <x:c r="D112" s="20" t="n">
        <x:v>3</x:v>
      </x:c>
      <x:c r="E112" s="20" t="str">
        <x:v>湖心沉船</x:v>
      </x:c>
      <x:c r="F112" s="20" t="n">
        <x:v>2</x:v>
      </x:c>
      <x:c r="G112" s="20" t="str">
        <x:v>XX362</x:v>
      </x:c>
      <x:c r="H112" s="20" t="str">
        <x:v>幽船下舱</x:v>
      </x:c>
      <x:c r="I112" s="20" t="str">
        <x:v>锁舱船长·奥杜</x:v>
      </x:c>
      <x:c r="J112" s="20" t="str">
        <x:v>粉色</x:v>
      </x:c>
      <x:c r="K112" s="20" t="str">
        <x:v>地图BOSS</x:v>
      </x:c>
      <x:c r="L112" s="20" t="str">
        <x:v>亡灵</x:v>
      </x:c>
      <x:c r="M112" s="20" t="str">
        <x:v>首领</x:v>
      </x:c>
      <x:c r="N112" s="20" t="str">
        <x:v>奥杜的锁舱刀</x:v>
      </x:c>
      <x:c r="O112" s="20" t="str">
        <x:v>武器</x:v>
      </x:c>
      <x:c r="P112" s="20" t="str">
        <x:v>湖盐结晶</x:v>
      </x:c>
      <x:c r="Q112" s="20" t="str">
        <x:v>幽船铆钉＋沉湖王印</x:v>
      </x:c>
      <x:c r="R112" s="20" t="str">
        <x:v>深湖压舱印</x:v>
      </x:c>
      <x:c r="S112" s="20" t="str">
        <x:v>月潮忆珀</x:v>
      </x:c>
      <x:c r="T112" s="20" t="str">
        <x:v>是（独立奖池）</x:v>
      </x:c>
      <x:c r="U112" s="20" t="str">
        <x:v>是（公共奖池）</x:v>
      </x:c>
      <x:c r="V112" s="22" t="str">
        <x:v>结构定稿</x:v>
      </x:c>
      <x:c r="W112" s="36" t="str">
        <x:v>用户自行分配／本表不处理</x:v>
      </x:c>
      <x:c r="X112" s="33" t="n">
        <x:v>6711</x:v>
      </x:c>
      <x:c r="Y112" s="29" t="str">
        <x:v>后期统一平衡</x:v>
      </x:c>
      <x:c r="Z112" s="20" t="str">
        <x:v>一怪一专属；专属来源跟随本行准确地图号</x:v>
      </x:c>
    </x:row>
    <x:row r="113" ht="24" customHeight="1">
      <x:c r="A113" s="20" t="str">
        <x:v>C04-M036</x:v>
      </x:c>
      <x:c r="B113" s="20" t="str">
        <x:v>C04</x:v>
      </x:c>
      <x:c r="C113" s="20" t="str">
        <x:v>利耶尼亚海域</x:v>
      </x:c>
      <x:c r="D113" s="20" t="n">
        <x:v>3</x:v>
      </x:c>
      <x:c r="E113" s="20" t="str">
        <x:v>湖心沉船</x:v>
      </x:c>
      <x:c r="F113" s="20" t="n">
        <x:v>3</x:v>
      </x:c>
      <x:c r="G113" s="20" t="str">
        <x:v>XX351</x:v>
      </x:c>
      <x:c r="H113" s="20" t="str">
        <x:v>亡舟墓舱</x:v>
      </x:c>
      <x:c r="I113" s="20" t="str">
        <x:v>亡舟新娘·伊蕾莎</x:v>
      </x:c>
      <x:c r="J113" s="20" t="str">
        <x:v>粉色</x:v>
      </x:c>
      <x:c r="K113" s="20" t="str">
        <x:v>地图BOSS</x:v>
      </x:c>
      <x:c r="L113" s="20" t="str">
        <x:v>亡灵</x:v>
      </x:c>
      <x:c r="M113" s="20" t="str">
        <x:v>首领</x:v>
      </x:c>
      <x:c r="N113" s="20" t="str">
        <x:v>伊蕾莎潮婚衣</x:v>
      </x:c>
      <x:c r="O113" s="20" t="str">
        <x:v>衣服</x:v>
      </x:c>
      <x:c r="P113" s="20" t="str">
        <x:v>湖盐结晶</x:v>
      </x:c>
      <x:c r="Q113" s="20" t="str">
        <x:v>幽船铆钉＋沉湖王印</x:v>
      </x:c>
      <x:c r="R113" s="20" t="str">
        <x:v>深湖压舱印</x:v>
      </x:c>
      <x:c r="S113" s="20" t="str">
        <x:v>月潮忆珀</x:v>
      </x:c>
      <x:c r="T113" s="20" t="str">
        <x:v>是（独立奖池）</x:v>
      </x:c>
      <x:c r="U113" s="20" t="str">
        <x:v>是（公共奖池）</x:v>
      </x:c>
      <x:c r="V113" s="22" t="str">
        <x:v>结构定稿</x:v>
      </x:c>
      <x:c r="W113" s="36" t="str">
        <x:v>用户自行分配／本表不处理</x:v>
      </x:c>
      <x:c r="X113" s="33" t="n">
        <x:v>6712</x:v>
      </x:c>
      <x:c r="Y113" s="29" t="str">
        <x:v>后期统一平衡</x:v>
      </x:c>
      <x:c r="Z113" s="20" t="str">
        <x:v>一怪一专属；专属来源跟随本行准确地图号</x:v>
      </x:c>
    </x:row>
    <x:row r="114" ht="24" customHeight="1">
      <x:c r="A114" s="20" t="str">
        <x:v>C04-M037</x:v>
      </x:c>
      <x:c r="B114" s="20" t="str">
        <x:v>C04</x:v>
      </x:c>
      <x:c r="C114" s="20" t="str">
        <x:v>利耶尼亚海域</x:v>
      </x:c>
      <x:c r="D114" s="20" t="n">
        <x:v>4</x:v>
      </x:c>
      <x:c r="E114" s="20" t="str">
        <x:v>幽灵船骸</x:v>
      </x:c>
      <x:c r="F114" s="20" t="n">
        <x:v>1</x:v>
      </x:c>
      <x:c r="G114" s="20" t="str">
        <x:v>XX527</x:v>
      </x:c>
      <x:c r="H114" s="20" t="str">
        <x:v>幽灵船骸</x:v>
      </x:c>
      <x:c r="I114" s="20" t="str">
        <x:v>磷火甲板兵</x:v>
      </x:c>
      <x:c r="J114" s="20" t="str">
        <x:v>黄色</x:v>
      </x:c>
      <x:c r="K114" s="20" t="str">
        <x:v>普通</x:v>
      </x:c>
      <x:c r="L114" s="20" t="str">
        <x:v>亡灵</x:v>
      </x:c>
      <x:c r="M114" s="20" t="str">
        <x:v>远程</x:v>
      </x:c>
      <x:c r="N114" s="20" t="str">
        <x:v>磷火腕铠</x:v>
      </x:c>
      <x:c r="O114" s="20" t="str">
        <x:v>手镯</x:v>
      </x:c>
      <x:c r="P114" s="20" t="str">
        <x:v>湖盐结晶</x:v>
      </x:c>
      <x:c r="Q114" s="20" t="str"/>
      <x:c r="R114" s="20" t="str">
        <x:v>雾潮银鳞</x:v>
      </x:c>
      <x:c r="S114" s="20" t="str">
        <x:v>月潮忆珀</x:v>
      </x:c>
      <x:c r="T114" s="20" t="str">
        <x:v>否</x:v>
      </x:c>
      <x:c r="U114" s="20" t="str">
        <x:v>是（公共奖池）</x:v>
      </x:c>
      <x:c r="V114" s="22" t="str">
        <x:v>结构定稿</x:v>
      </x:c>
      <x:c r="W114" s="36" t="str">
        <x:v>用户自行分配／本表不处理</x:v>
      </x:c>
      <x:c r="X114" s="33" t="n">
        <x:v>6787</x:v>
      </x:c>
      <x:c r="Y114" s="29" t="str">
        <x:v>后期统一平衡</x:v>
      </x:c>
      <x:c r="Z114" s="20" t="str">
        <x:v>一怪一专属；专属来源跟随本行准确地图号</x:v>
      </x:c>
    </x:row>
    <x:row r="115" ht="24" customHeight="1">
      <x:c r="A115" s="20" t="str">
        <x:v>C04-M038</x:v>
      </x:c>
      <x:c r="B115" s="20" t="str">
        <x:v>C04</x:v>
      </x:c>
      <x:c r="C115" s="20" t="str">
        <x:v>利耶尼亚海域</x:v>
      </x:c>
      <x:c r="D115" s="20" t="n">
        <x:v>4</x:v>
      </x:c>
      <x:c r="E115" s="20" t="str">
        <x:v>幽灵船骸</x:v>
      </x:c>
      <x:c r="F115" s="20" t="n">
        <x:v>1</x:v>
      </x:c>
      <x:c r="G115" s="20" t="str">
        <x:v>XX527</x:v>
      </x:c>
      <x:c r="H115" s="20" t="str">
        <x:v>幽灵船骸</x:v>
      </x:c>
      <x:c r="I115" s="20" t="str">
        <x:v>船骸骨鸥</x:v>
      </x:c>
      <x:c r="J115" s="20" t="str">
        <x:v>黄色</x:v>
      </x:c>
      <x:c r="K115" s="20" t="str">
        <x:v>普通</x:v>
      </x:c>
      <x:c r="L115" s="20" t="str">
        <x:v>亡灵</x:v>
      </x:c>
      <x:c r="M115" s="20" t="str">
        <x:v>敏捷</x:v>
      </x:c>
      <x:c r="N115" s="20" t="str">
        <x:v>骨鸥喙盔</x:v>
      </x:c>
      <x:c r="O115" s="20" t="str">
        <x:v>头盔</x:v>
      </x:c>
      <x:c r="P115" s="20" t="str">
        <x:v>湖盐结晶</x:v>
      </x:c>
      <x:c r="Q115" s="20" t="str"/>
      <x:c r="R115" s="20" t="str">
        <x:v>雾潮银鳞</x:v>
      </x:c>
      <x:c r="S115" s="20" t="str">
        <x:v>月潮忆珀</x:v>
      </x:c>
      <x:c r="T115" s="20" t="str">
        <x:v>否</x:v>
      </x:c>
      <x:c r="U115" s="20" t="str">
        <x:v>是（公共奖池）</x:v>
      </x:c>
      <x:c r="V115" s="22" t="str">
        <x:v>结构定稿</x:v>
      </x:c>
      <x:c r="W115" s="36" t="str">
        <x:v>用户自行分配／本表不处理</x:v>
      </x:c>
      <x:c r="X115" s="33" t="n">
        <x:v>6819</x:v>
      </x:c>
      <x:c r="Y115" s="29" t="str">
        <x:v>后期统一平衡</x:v>
      </x:c>
      <x:c r="Z115" s="20" t="str">
        <x:v>一怪一专属；专属来源跟随本行准确地图号</x:v>
      </x:c>
    </x:row>
    <x:row r="116" ht="24" customHeight="1">
      <x:c r="A116" s="20" t="str">
        <x:v>C04-M039</x:v>
      </x:c>
      <x:c r="B116" s="20" t="str">
        <x:v>C04</x:v>
      </x:c>
      <x:c r="C116" s="20" t="str">
        <x:v>利耶尼亚海域</x:v>
      </x:c>
      <x:c r="D116" s="20" t="n">
        <x:v>4</x:v>
      </x:c>
      <x:c r="E116" s="20" t="str">
        <x:v>幽灵船骸</x:v>
      </x:c>
      <x:c r="F116" s="20" t="n">
        <x:v>2</x:v>
      </x:c>
      <x:c r="G116" s="20" t="str">
        <x:v>XX457</x:v>
      </x:c>
      <x:c r="H116" s="20" t="str">
        <x:v>幽船底舱</x:v>
      </x:c>
      <x:c r="I116" s="20" t="str">
        <x:v>漏舱舀水鬼</x:v>
      </x:c>
      <x:c r="J116" s="20" t="str">
        <x:v>黄色</x:v>
      </x:c>
      <x:c r="K116" s="20" t="str">
        <x:v>普通</x:v>
      </x:c>
      <x:c r="L116" s="20" t="str">
        <x:v>亡灵</x:v>
      </x:c>
      <x:c r="M116" s="20" t="str">
        <x:v>近战</x:v>
      </x:c>
      <x:c r="N116" s="20" t="str">
        <x:v>舀魂铜瓢</x:v>
      </x:c>
      <x:c r="O116" s="20" t="str">
        <x:v>武器</x:v>
      </x:c>
      <x:c r="P116" s="20" t="str">
        <x:v>湖盐结晶</x:v>
      </x:c>
      <x:c r="Q116" s="20" t="str"/>
      <x:c r="R116" s="20" t="str">
        <x:v>雾潮银鳞</x:v>
      </x:c>
      <x:c r="S116" s="20" t="str">
        <x:v>月潮忆珀</x:v>
      </x:c>
      <x:c r="T116" s="20" t="str">
        <x:v>否</x:v>
      </x:c>
      <x:c r="U116" s="20" t="str">
        <x:v>是（公共奖池）</x:v>
      </x:c>
      <x:c r="V116" s="22" t="str">
        <x:v>结构定稿</x:v>
      </x:c>
      <x:c r="W116" s="36" t="str">
        <x:v>用户自行分配／本表不处理</x:v>
      </x:c>
      <x:c r="X116" s="34" t="str">
        <x:v>缺武器来源码</x:v>
      </x:c>
      <x:c r="Y116" s="29" t="str">
        <x:v>后期统一平衡</x:v>
      </x:c>
      <x:c r="Z116" s="20" t="str">
        <x:v>一怪一专属；专属来源跟随本行准确地图号</x:v>
      </x:c>
    </x:row>
    <x:row r="117" ht="24" customHeight="1">
      <x:c r="A117" s="20" t="str">
        <x:v>C04-M040</x:v>
      </x:c>
      <x:c r="B117" s="20" t="str">
        <x:v>C04</x:v>
      </x:c>
      <x:c r="C117" s="20" t="str">
        <x:v>利耶尼亚海域</x:v>
      </x:c>
      <x:c r="D117" s="20" t="n">
        <x:v>4</x:v>
      </x:c>
      <x:c r="E117" s="20" t="str">
        <x:v>幽灵船骸</x:v>
      </x:c>
      <x:c r="F117" s="20" t="n">
        <x:v>2</x:v>
      </x:c>
      <x:c r="G117" s="20" t="str">
        <x:v>XX457</x:v>
      </x:c>
      <x:c r="H117" s="20" t="str">
        <x:v>幽船底舱</x:v>
      </x:c>
      <x:c r="I117" s="20" t="str">
        <x:v>铜铃引魂童</x:v>
      </x:c>
      <x:c r="J117" s="20" t="str">
        <x:v>黄色</x:v>
      </x:c>
      <x:c r="K117" s="20" t="str">
        <x:v>普通</x:v>
      </x:c>
      <x:c r="L117" s="20" t="str">
        <x:v>亡灵</x:v>
      </x:c>
      <x:c r="M117" s="20" t="str">
        <x:v>召唤</x:v>
      </x:c>
      <x:c r="N117" s="20" t="str">
        <x:v>引魂铜铃链</x:v>
      </x:c>
      <x:c r="O117" s="20" t="str">
        <x:v>项链</x:v>
      </x:c>
      <x:c r="P117" s="20" t="str">
        <x:v>湖盐结晶</x:v>
      </x:c>
      <x:c r="Q117" s="20" t="str"/>
      <x:c r="R117" s="20" t="str">
        <x:v>雾潮银鳞</x:v>
      </x:c>
      <x:c r="S117" s="20" t="str">
        <x:v>月潮忆珀</x:v>
      </x:c>
      <x:c r="T117" s="20" t="str">
        <x:v>否</x:v>
      </x:c>
      <x:c r="U117" s="20" t="str">
        <x:v>是（公共奖池）</x:v>
      </x:c>
      <x:c r="V117" s="22" t="str">
        <x:v>结构定稿</x:v>
      </x:c>
      <x:c r="W117" s="36" t="str">
        <x:v>用户自行分配／本表不处理</x:v>
      </x:c>
      <x:c r="X117" s="33" t="n">
        <x:v>6821</x:v>
      </x:c>
      <x:c r="Y117" s="29" t="str">
        <x:v>后期统一平衡</x:v>
      </x:c>
      <x:c r="Z117" s="20" t="str">
        <x:v>一怪一专属；专属来源跟随本行准确地图号</x:v>
      </x:c>
    </x:row>
    <x:row r="118" ht="24" customHeight="1">
      <x:c r="A118" s="20" t="str">
        <x:v>C04-M041</x:v>
      </x:c>
      <x:c r="B118" s="20" t="str">
        <x:v>C04</x:v>
      </x:c>
      <x:c r="C118" s="20" t="str">
        <x:v>利耶尼亚海域</x:v>
      </x:c>
      <x:c r="D118" s="20" t="n">
        <x:v>4</x:v>
      </x:c>
      <x:c r="E118" s="20" t="str">
        <x:v>幽灵船骸</x:v>
      </x:c>
      <x:c r="F118" s="20" t="n">
        <x:v>3</x:v>
      </x:c>
      <x:c r="G118" s="20" t="str">
        <x:v>XX582</x:v>
      </x:c>
      <x:c r="H118" s="20" t="str">
        <x:v>亡灵密舱</x:v>
      </x:c>
      <x:c r="I118" s="20" t="str">
        <x:v>密舱蜡尸</x:v>
      </x:c>
      <x:c r="J118" s="20" t="str">
        <x:v>黄色</x:v>
      </x:c>
      <x:c r="K118" s="20" t="str">
        <x:v>普通</x:v>
      </x:c>
      <x:c r="L118" s="20" t="str">
        <x:v>亡灵</x:v>
      </x:c>
      <x:c r="M118" s="20" t="str">
        <x:v>重装</x:v>
      </x:c>
      <x:c r="N118" s="20" t="str">
        <x:v>蜡封尸衣</x:v>
      </x:c>
      <x:c r="O118" s="20" t="str">
        <x:v>衣服</x:v>
      </x:c>
      <x:c r="P118" s="20" t="str">
        <x:v>湖盐结晶</x:v>
      </x:c>
      <x:c r="Q118" s="20" t="str"/>
      <x:c r="R118" s="20" t="str">
        <x:v>雾潮银鳞</x:v>
      </x:c>
      <x:c r="S118" s="20" t="str">
        <x:v>月潮忆珀</x:v>
      </x:c>
      <x:c r="T118" s="20" t="str">
        <x:v>否</x:v>
      </x:c>
      <x:c r="U118" s="20" t="str">
        <x:v>是（公共奖池）</x:v>
      </x:c>
      <x:c r="V118" s="22" t="str">
        <x:v>结构定稿</x:v>
      </x:c>
      <x:c r="W118" s="36" t="str">
        <x:v>用户自行分配／本表不处理</x:v>
      </x:c>
      <x:c r="X118" s="34" t="str">
        <x:v>缺衣服来源码</x:v>
      </x:c>
      <x:c r="Y118" s="29" t="str">
        <x:v>后期统一平衡</x:v>
      </x:c>
      <x:c r="Z118" s="20" t="str">
        <x:v>一怪一专属；专属来源跟随本行准确地图号</x:v>
      </x:c>
    </x:row>
    <x:row r="119" ht="24" customHeight="1">
      <x:c r="A119" s="20" t="str">
        <x:v>C04-M042</x:v>
      </x:c>
      <x:c r="B119" s="20" t="str">
        <x:v>C04</x:v>
      </x:c>
      <x:c r="C119" s="20" t="str">
        <x:v>利耶尼亚海域</x:v>
      </x:c>
      <x:c r="D119" s="20" t="n">
        <x:v>4</x:v>
      </x:c>
      <x:c r="E119" s="20" t="str">
        <x:v>幽灵船骸</x:v>
      </x:c>
      <x:c r="F119" s="20" t="n">
        <x:v>3</x:v>
      </x:c>
      <x:c r="G119" s="20" t="str">
        <x:v>XX582</x:v>
      </x:c>
      <x:c r="H119" s="20" t="str">
        <x:v>亡灵密舱</x:v>
      </x:c>
      <x:c r="I119" s="20" t="str">
        <x:v>食梦船蛾</x:v>
      </x:c>
      <x:c r="J119" s="20" t="str">
        <x:v>黄色</x:v>
      </x:c>
      <x:c r="K119" s="20" t="str">
        <x:v>普通</x:v>
      </x:c>
      <x:c r="L119" s="20" t="str">
        <x:v>虫类</x:v>
      </x:c>
      <x:c r="M119" s="20" t="str">
        <x:v>法术</x:v>
      </x:c>
      <x:c r="N119" s="20" t="str">
        <x:v>梦蛾踏水靴</x:v>
      </x:c>
      <x:c r="O119" s="20" t="str">
        <x:v>鞋子</x:v>
      </x:c>
      <x:c r="P119" s="20" t="str">
        <x:v>湖盐结晶</x:v>
      </x:c>
      <x:c r="Q119" s="20" t="str"/>
      <x:c r="R119" s="20" t="str">
        <x:v>雾潮银鳞</x:v>
      </x:c>
      <x:c r="S119" s="20" t="str">
        <x:v>月潮忆珀</x:v>
      </x:c>
      <x:c r="T119" s="20" t="str">
        <x:v>否</x:v>
      </x:c>
      <x:c r="U119" s="20" t="str">
        <x:v>是（公共奖池）</x:v>
      </x:c>
      <x:c r="V119" s="22" t="str">
        <x:v>结构定稿</x:v>
      </x:c>
      <x:c r="W119" s="36" t="str">
        <x:v>用户自行分配／本表不处理</x:v>
      </x:c>
      <x:c r="X119" s="33" t="n">
        <x:v>6757</x:v>
      </x:c>
      <x:c r="Y119" s="29" t="str">
        <x:v>后期统一平衡</x:v>
      </x:c>
      <x:c r="Z119" s="20" t="str">
        <x:v>一怪一专属；专属来源跟随本行准确地图号</x:v>
      </x:c>
    </x:row>
    <x:row r="120" ht="24" customHeight="1">
      <x:c r="A120" s="20" t="str">
        <x:v>C04-M043</x:v>
      </x:c>
      <x:c r="B120" s="20" t="str">
        <x:v>C04</x:v>
      </x:c>
      <x:c r="C120" s="20" t="str">
        <x:v>利耶尼亚海域</x:v>
      </x:c>
      <x:c r="D120" s="20" t="n">
        <x:v>4</x:v>
      </x:c>
      <x:c r="E120" s="20" t="str">
        <x:v>幽灵船骸</x:v>
      </x:c>
      <x:c r="F120" s="20" t="n">
        <x:v>1</x:v>
      </x:c>
      <x:c r="G120" s="20" t="str">
        <x:v>XX527</x:v>
      </x:c>
      <x:c r="H120" s="20" t="str">
        <x:v>幽灵船骸</x:v>
      </x:c>
      <x:c r="I120" s="20" t="str">
        <x:v>倒吊瞭望手</x:v>
      </x:c>
      <x:c r="J120" s="20" t="str">
        <x:v>蓝色</x:v>
      </x:c>
      <x:c r="K120" s="20" t="str">
        <x:v>稀有</x:v>
      </x:c>
      <x:c r="L120" s="20" t="str">
        <x:v>亡灵</x:v>
      </x:c>
      <x:c r="M120" s="20" t="str">
        <x:v>远程</x:v>
      </x:c>
      <x:c r="N120" s="20" t="str">
        <x:v>倒桅瞭望笠</x:v>
      </x:c>
      <x:c r="O120" s="20" t="str">
        <x:v>斗笠</x:v>
      </x:c>
      <x:c r="P120" s="20" t="str">
        <x:v>湖盐结晶</x:v>
      </x:c>
      <x:c r="Q120" s="20" t="str">
        <x:v>幽船铆钉</x:v>
      </x:c>
      <x:c r="R120" s="20" t="str">
        <x:v>沉船缆扣</x:v>
      </x:c>
      <x:c r="S120" s="20" t="str">
        <x:v>月潮忆珀</x:v>
      </x:c>
      <x:c r="T120" s="20" t="str">
        <x:v>否</x:v>
      </x:c>
      <x:c r="U120" s="20" t="str">
        <x:v>是（公共奖池）</x:v>
      </x:c>
      <x:c r="V120" s="22" t="str">
        <x:v>结构定稿</x:v>
      </x:c>
      <x:c r="W120" s="36" t="str">
        <x:v>用户自行分配／本表不处理</x:v>
      </x:c>
      <x:c r="X120" s="33" t="n">
        <x:v>6575</x:v>
      </x:c>
      <x:c r="Y120" s="29" t="str">
        <x:v>后期统一平衡</x:v>
      </x:c>
      <x:c r="Z120" s="20" t="str">
        <x:v>一怪一专属；专属来源跟随本行准确地图号</x:v>
      </x:c>
    </x:row>
    <x:row r="121" ht="24" customHeight="1">
      <x:c r="A121" s="20" t="str">
        <x:v>C04-M044</x:v>
      </x:c>
      <x:c r="B121" s="20" t="str">
        <x:v>C04</x:v>
      </x:c>
      <x:c r="C121" s="20" t="str">
        <x:v>利耶尼亚海域</x:v>
      </x:c>
      <x:c r="D121" s="20" t="n">
        <x:v>4</x:v>
      </x:c>
      <x:c r="E121" s="20" t="str">
        <x:v>幽灵船骸</x:v>
      </x:c>
      <x:c r="F121" s="20" t="n">
        <x:v>2</x:v>
      </x:c>
      <x:c r="G121" s="20" t="str">
        <x:v>XX457</x:v>
      </x:c>
      <x:c r="H121" s="20" t="str">
        <x:v>幽船底舱</x:v>
      </x:c>
      <x:c r="I121" s="20" t="str">
        <x:v>无面桨官</x:v>
      </x:c>
      <x:c r="J121" s="20" t="str">
        <x:v>蓝色</x:v>
      </x:c>
      <x:c r="K121" s="20" t="str">
        <x:v>稀有</x:v>
      </x:c>
      <x:c r="L121" s="20" t="str">
        <x:v>亡灵</x:v>
      </x:c>
      <x:c r="M121" s="20" t="str">
        <x:v>重装</x:v>
      </x:c>
      <x:c r="N121" s="20" t="str">
        <x:v>桨官铁盾</x:v>
      </x:c>
      <x:c r="O121" s="20" t="str">
        <x:v>盾牌</x:v>
      </x:c>
      <x:c r="P121" s="20" t="str">
        <x:v>湖盐结晶</x:v>
      </x:c>
      <x:c r="Q121" s="20" t="str">
        <x:v>幽船铆钉</x:v>
      </x:c>
      <x:c r="R121" s="20" t="str">
        <x:v>沉船缆扣</x:v>
      </x:c>
      <x:c r="S121" s="20" t="str">
        <x:v>月潮忆珀</x:v>
      </x:c>
      <x:c r="T121" s="20" t="str">
        <x:v>否</x:v>
      </x:c>
      <x:c r="U121" s="20" t="str">
        <x:v>是（公共奖池）</x:v>
      </x:c>
      <x:c r="V121" s="22" t="str">
        <x:v>结构定稿</x:v>
      </x:c>
      <x:c r="W121" s="36" t="str">
        <x:v>用户自行分配／本表不处理</x:v>
      </x:c>
      <x:c r="X121" s="33" t="n">
        <x:v>6720</x:v>
      </x:c>
      <x:c r="Y121" s="29" t="str">
        <x:v>后期统一平衡</x:v>
      </x:c>
      <x:c r="Z121" s="20" t="str">
        <x:v>一怪一专属；专属来源跟随本行准确地图号</x:v>
      </x:c>
    </x:row>
    <x:row r="122" ht="24" customHeight="1">
      <x:c r="A122" s="20" t="str">
        <x:v>C04-M045</x:v>
      </x:c>
      <x:c r="B122" s="20" t="str">
        <x:v>C04</x:v>
      </x:c>
      <x:c r="C122" s="20" t="str">
        <x:v>利耶尼亚海域</x:v>
      </x:c>
      <x:c r="D122" s="20" t="n">
        <x:v>4</x:v>
      </x:c>
      <x:c r="E122" s="20" t="str">
        <x:v>幽灵船骸</x:v>
      </x:c>
      <x:c r="F122" s="20" t="n">
        <x:v>3</x:v>
      </x:c>
      <x:c r="G122" s="20" t="str">
        <x:v>XX582</x:v>
      </x:c>
      <x:c r="H122" s="20" t="str">
        <x:v>亡灵密舱</x:v>
      </x:c>
      <x:c r="I122" s="20" t="str">
        <x:v>舱壁缝合怪</x:v>
      </x:c>
      <x:c r="J122" s="20" t="str">
        <x:v>蓝色</x:v>
      </x:c>
      <x:c r="K122" s="20" t="str">
        <x:v>稀有</x:v>
      </x:c>
      <x:c r="L122" s="20" t="str">
        <x:v>异形</x:v>
      </x:c>
      <x:c r="M122" s="20" t="str">
        <x:v>近战</x:v>
      </x:c>
      <x:c r="N122" s="20" t="str">
        <x:v>缝舱腰箍</x:v>
      </x:c>
      <x:c r="O122" s="20" t="str">
        <x:v>腰带</x:v>
      </x:c>
      <x:c r="P122" s="20" t="str">
        <x:v>湖盐结晶</x:v>
      </x:c>
      <x:c r="Q122" s="20" t="str">
        <x:v>幽船铆钉</x:v>
      </x:c>
      <x:c r="R122" s="20" t="str">
        <x:v>沉船缆扣</x:v>
      </x:c>
      <x:c r="S122" s="20" t="str">
        <x:v>月潮忆珀</x:v>
      </x:c>
      <x:c r="T122" s="20" t="str">
        <x:v>否</x:v>
      </x:c>
      <x:c r="U122" s="20" t="str">
        <x:v>是（公共奖池）</x:v>
      </x:c>
      <x:c r="V122" s="22" t="str">
        <x:v>结构定稿</x:v>
      </x:c>
      <x:c r="W122" s="36" t="str">
        <x:v>用户自行分配／本表不处理</x:v>
      </x:c>
      <x:c r="X122" s="33" t="n">
        <x:v>6688</x:v>
      </x:c>
      <x:c r="Y122" s="29" t="str">
        <x:v>后期统一平衡</x:v>
      </x:c>
      <x:c r="Z122" s="20" t="str">
        <x:v>一怪一专属；专属来源跟随本行准确地图号</x:v>
      </x:c>
    </x:row>
    <x:row r="123" ht="24" customHeight="1">
      <x:c r="A123" s="20" t="str">
        <x:v>C04-M046</x:v>
      </x:c>
      <x:c r="B123" s="20" t="str">
        <x:v>C04</x:v>
      </x:c>
      <x:c r="C123" s="20" t="str">
        <x:v>利耶尼亚海域</x:v>
      </x:c>
      <x:c r="D123" s="20" t="n">
        <x:v>4</x:v>
      </x:c>
      <x:c r="E123" s="20" t="str">
        <x:v>幽灵船骸</x:v>
      </x:c>
      <x:c r="F123" s="20" t="n">
        <x:v>3</x:v>
      </x:c>
      <x:c r="G123" s="20" t="str">
        <x:v>XX582</x:v>
      </x:c>
      <x:c r="H123" s="20" t="str">
        <x:v>亡灵密舱</x:v>
      </x:c>
      <x:c r="I123" s="20" t="str">
        <x:v>黑帆招魂师</x:v>
      </x:c>
      <x:c r="J123" s="20" t="str">
        <x:v>蓝色</x:v>
      </x:c>
      <x:c r="K123" s="20" t="str">
        <x:v>稀有</x:v>
      </x:c>
      <x:c r="L123" s="20" t="str">
        <x:v>人形</x:v>
      </x:c>
      <x:c r="M123" s="20" t="str">
        <x:v>召唤</x:v>
      </x:c>
      <x:c r="N123" s="20" t="str">
        <x:v>黑帆魂戒</x:v>
      </x:c>
      <x:c r="O123" s="20" t="str">
        <x:v>戒指</x:v>
      </x:c>
      <x:c r="P123" s="20" t="str">
        <x:v>湖盐结晶</x:v>
      </x:c>
      <x:c r="Q123" s="20" t="str">
        <x:v>幽船铆钉</x:v>
      </x:c>
      <x:c r="R123" s="20" t="str">
        <x:v>沉船缆扣</x:v>
      </x:c>
      <x:c r="S123" s="20" t="str">
        <x:v>月潮忆珀</x:v>
      </x:c>
      <x:c r="T123" s="20" t="str">
        <x:v>否</x:v>
      </x:c>
      <x:c r="U123" s="20" t="str">
        <x:v>是（公共奖池）</x:v>
      </x:c>
      <x:c r="V123" s="22" t="str">
        <x:v>结构定稿</x:v>
      </x:c>
      <x:c r="W123" s="36" t="str">
        <x:v>用户自行分配／本表不处理</x:v>
      </x:c>
      <x:c r="X123" s="33" t="n">
        <x:v>6823</x:v>
      </x:c>
      <x:c r="Y123" s="29" t="str">
        <x:v>后期统一平衡</x:v>
      </x:c>
      <x:c r="Z123" s="20" t="str">
        <x:v>一怪一专属；专属来源跟随本行准确地图号</x:v>
      </x:c>
    </x:row>
    <x:row r="124" ht="24" customHeight="1">
      <x:c r="A124" s="20" t="str">
        <x:v>C04-M047</x:v>
      </x:c>
      <x:c r="B124" s="20" t="str">
        <x:v>C04</x:v>
      </x:c>
      <x:c r="C124" s="20" t="str">
        <x:v>利耶尼亚海域</x:v>
      </x:c>
      <x:c r="D124" s="20" t="n">
        <x:v>4</x:v>
      </x:c>
      <x:c r="E124" s="20" t="str">
        <x:v>幽灵船骸</x:v>
      </x:c>
      <x:c r="F124" s="20" t="n">
        <x:v>2</x:v>
      </x:c>
      <x:c r="G124" s="20" t="str">
        <x:v>XX457</x:v>
      </x:c>
      <x:c r="H124" s="20" t="str">
        <x:v>幽船底舱</x:v>
      </x:c>
      <x:c r="I124" s="20" t="str">
        <x:v>幽舵大副·赫岚</x:v>
      </x:c>
      <x:c r="J124" s="20" t="str">
        <x:v>粉色</x:v>
      </x:c>
      <x:c r="K124" s="20" t="str">
        <x:v>地图BOSS</x:v>
      </x:c>
      <x:c r="L124" s="20" t="str">
        <x:v>亡灵</x:v>
      </x:c>
      <x:c r="M124" s="20" t="str">
        <x:v>首领</x:v>
      </x:c>
      <x:c r="N124" s="20" t="str">
        <x:v>赫岚的幽舵刃</x:v>
      </x:c>
      <x:c r="O124" s="20" t="str">
        <x:v>武器</x:v>
      </x:c>
      <x:c r="P124" s="20" t="str">
        <x:v>湖盐结晶</x:v>
      </x:c>
      <x:c r="Q124" s="20" t="str">
        <x:v>幽船铆钉＋沉湖王印</x:v>
      </x:c>
      <x:c r="R124" s="20" t="str">
        <x:v>深湖压舱印</x:v>
      </x:c>
      <x:c r="S124" s="20" t="str">
        <x:v>月潮忆珀</x:v>
      </x:c>
      <x:c r="T124" s="20" t="str">
        <x:v>是（独立奖池）</x:v>
      </x:c>
      <x:c r="U124" s="20" t="str">
        <x:v>是（公共奖池）</x:v>
      </x:c>
      <x:c r="V124" s="22" t="str">
        <x:v>结构定稿</x:v>
      </x:c>
      <x:c r="W124" s="36" t="str">
        <x:v>用户自行分配／本表不处理</x:v>
      </x:c>
      <x:c r="X124" s="33" t="n">
        <x:v>6746</x:v>
      </x:c>
      <x:c r="Y124" s="29" t="str">
        <x:v>后期统一平衡</x:v>
      </x:c>
      <x:c r="Z124" s="20" t="str">
        <x:v>一怪一专属；专属来源跟随本行准确地图号</x:v>
      </x:c>
    </x:row>
    <x:row r="125" ht="24" customHeight="1">
      <x:c r="A125" s="20" t="str">
        <x:v>C04-M048</x:v>
      </x:c>
      <x:c r="B125" s="20" t="str">
        <x:v>C04</x:v>
      </x:c>
      <x:c r="C125" s="20" t="str">
        <x:v>利耶尼亚海域</x:v>
      </x:c>
      <x:c r="D125" s="20" t="n">
        <x:v>4</x:v>
      </x:c>
      <x:c r="E125" s="20" t="str">
        <x:v>幽灵船骸</x:v>
      </x:c>
      <x:c r="F125" s="20" t="n">
        <x:v>3</x:v>
      </x:c>
      <x:c r="G125" s="20" t="str">
        <x:v>XX582</x:v>
      </x:c>
      <x:c r="H125" s="20" t="str">
        <x:v>亡灵密舱</x:v>
      </x:c>
      <x:c r="I125" s="20" t="str">
        <x:v>百舱吞魂者·沃姆</x:v>
      </x:c>
      <x:c r="J125" s="20" t="str">
        <x:v>粉色</x:v>
      </x:c>
      <x:c r="K125" s="20" t="str">
        <x:v>地图BOSS</x:v>
      </x:c>
      <x:c r="L125" s="20" t="str">
        <x:v>异形</x:v>
      </x:c>
      <x:c r="M125" s="20" t="str">
        <x:v>首领</x:v>
      </x:c>
      <x:c r="N125" s="20" t="str">
        <x:v>沃姆吞魂舱甲</x:v>
      </x:c>
      <x:c r="O125" s="20" t="str">
        <x:v>衣服</x:v>
      </x:c>
      <x:c r="P125" s="20" t="str">
        <x:v>湖盐结晶</x:v>
      </x:c>
      <x:c r="Q125" s="20" t="str">
        <x:v>幽船铆钉＋沉湖王印</x:v>
      </x:c>
      <x:c r="R125" s="20" t="str">
        <x:v>深湖压舱印</x:v>
      </x:c>
      <x:c r="S125" s="20" t="str">
        <x:v>月潮忆珀</x:v>
      </x:c>
      <x:c r="T125" s="20" t="str">
        <x:v>是（独立奖池）</x:v>
      </x:c>
      <x:c r="U125" s="20" t="str">
        <x:v>是（公共奖池）</x:v>
      </x:c>
      <x:c r="V125" s="22" t="str">
        <x:v>结构定稿</x:v>
      </x:c>
      <x:c r="W125" s="36" t="str">
        <x:v>用户自行分配／本表不处理</x:v>
      </x:c>
      <x:c r="X125" s="33" t="n">
        <x:v>6747</x:v>
      </x:c>
      <x:c r="Y125" s="29" t="str">
        <x:v>后期统一平衡</x:v>
      </x:c>
      <x:c r="Z125" s="20" t="str">
        <x:v>一怪一专属；专属来源跟随本行准确地图号</x:v>
      </x:c>
    </x:row>
    <x:row r="126" ht="24" customHeight="1">
      <x:c r="A126" s="20" t="str">
        <x:v>C04-M049</x:v>
      </x:c>
      <x:c r="B126" s="20" t="str">
        <x:v>C04</x:v>
      </x:c>
      <x:c r="C126" s="20" t="str">
        <x:v>利耶尼亚海域</x:v>
      </x:c>
      <x:c r="D126" s="20" t="n">
        <x:v>5</x:v>
      </x:c>
      <x:c r="E126" s="20" t="str">
        <x:v>深湖水道</x:v>
      </x:c>
      <x:c r="F126" s="20" t="n">
        <x:v>1</x:v>
      </x:c>
      <x:c r="G126" s="20" t="str">
        <x:v>XX395</x:v>
      </x:c>
      <x:c r="H126" s="20" t="str">
        <x:v>深湖水道</x:v>
      </x:c>
      <x:c r="I126" s="20" t="str">
        <x:v>水闸巡守</x:v>
      </x:c>
      <x:c r="J126" s="20" t="str">
        <x:v>黄色</x:v>
      </x:c>
      <x:c r="K126" s="20" t="str">
        <x:v>普通</x:v>
      </x:c>
      <x:c r="L126" s="20" t="str">
        <x:v>人形</x:v>
      </x:c>
      <x:c r="M126" s="20" t="str">
        <x:v>重装</x:v>
      </x:c>
      <x:c r="N126" s="20" t="str">
        <x:v>巡闸圆盾</x:v>
      </x:c>
      <x:c r="O126" s="20" t="str">
        <x:v>盾牌</x:v>
      </x:c>
      <x:c r="P126" s="20" t="str">
        <x:v>湖盐结晶</x:v>
      </x:c>
      <x:c r="Q126" s="20" t="str"/>
      <x:c r="R126" s="20" t="str">
        <x:v>雾潮银鳞</x:v>
      </x:c>
      <x:c r="S126" s="20" t="str">
        <x:v>月潮忆珀</x:v>
      </x:c>
      <x:c r="T126" s="20" t="str">
        <x:v>否</x:v>
      </x:c>
      <x:c r="U126" s="20" t="str">
        <x:v>是（公共奖池）</x:v>
      </x:c>
      <x:c r="V126" s="22" t="str">
        <x:v>结构定稿</x:v>
      </x:c>
      <x:c r="W126" s="36" t="str">
        <x:v>用户自行分配／本表不处理</x:v>
      </x:c>
      <x:c r="X126" s="33" t="n">
        <x:v>6755</x:v>
      </x:c>
      <x:c r="Y126" s="29" t="str">
        <x:v>后期统一平衡</x:v>
      </x:c>
      <x:c r="Z126" s="20" t="str">
        <x:v>一怪一专属；专属来源跟随本行准确地图号</x:v>
      </x:c>
    </x:row>
    <x:row r="127" ht="24" customHeight="1">
      <x:c r="A127" s="20" t="str">
        <x:v>C04-M050</x:v>
      </x:c>
      <x:c r="B127" s="20" t="str">
        <x:v>C04</x:v>
      </x:c>
      <x:c r="C127" s="20" t="str">
        <x:v>利耶尼亚海域</x:v>
      </x:c>
      <x:c r="D127" s="20" t="n">
        <x:v>5</x:v>
      </x:c>
      <x:c r="E127" s="20" t="str">
        <x:v>深湖水道</x:v>
      </x:c>
      <x:c r="F127" s="20" t="n">
        <x:v>1</x:v>
      </x:c>
      <x:c r="G127" s="20" t="str">
        <x:v>XX395</x:v>
      </x:c>
      <x:c r="H127" s="20" t="str">
        <x:v>深湖水道</x:v>
      </x:c>
      <x:c r="I127" s="20" t="str">
        <x:v>涡背鳗犬</x:v>
      </x:c>
      <x:c r="J127" s="20" t="str">
        <x:v>黄色</x:v>
      </x:c>
      <x:c r="K127" s="20" t="str">
        <x:v>普通</x:v>
      </x:c>
      <x:c r="L127" s="20" t="str">
        <x:v>兽类</x:v>
      </x:c>
      <x:c r="M127" s="20" t="str">
        <x:v>敏捷</x:v>
      </x:c>
      <x:c r="N127" s="20" t="str">
        <x:v>鳗皮束腰</x:v>
      </x:c>
      <x:c r="O127" s="20" t="str">
        <x:v>腰带</x:v>
      </x:c>
      <x:c r="P127" s="20" t="str">
        <x:v>湖盐结晶</x:v>
      </x:c>
      <x:c r="Q127" s="20" t="str"/>
      <x:c r="R127" s="20" t="str">
        <x:v>雾潮银鳞</x:v>
      </x:c>
      <x:c r="S127" s="20" t="str">
        <x:v>月潮忆珀</x:v>
      </x:c>
      <x:c r="T127" s="20" t="str">
        <x:v>否</x:v>
      </x:c>
      <x:c r="U127" s="20" t="str">
        <x:v>是（公共奖池）</x:v>
      </x:c>
      <x:c r="V127" s="22" t="str">
        <x:v>结构定稿</x:v>
      </x:c>
      <x:c r="W127" s="36" t="str">
        <x:v>用户自行分配／本表不处理</x:v>
      </x:c>
      <x:c r="X127" s="33" t="n">
        <x:v>6723</x:v>
      </x:c>
      <x:c r="Y127" s="29" t="str">
        <x:v>后期统一平衡</x:v>
      </x:c>
      <x:c r="Z127" s="20" t="str">
        <x:v>一怪一专属；专属来源跟随本行准确地图号</x:v>
      </x:c>
    </x:row>
    <x:row r="128" ht="24" customHeight="1">
      <x:c r="A128" s="20" t="str">
        <x:v>C04-M051</x:v>
      </x:c>
      <x:c r="B128" s="20" t="str">
        <x:v>C04</x:v>
      </x:c>
      <x:c r="C128" s="20" t="str">
        <x:v>利耶尼亚海域</x:v>
      </x:c>
      <x:c r="D128" s="20" t="n">
        <x:v>5</x:v>
      </x:c>
      <x:c r="E128" s="20" t="str">
        <x:v>深湖水道</x:v>
      </x:c>
      <x:c r="F128" s="20" t="n">
        <x:v>2</x:v>
      </x:c>
      <x:c r="G128" s="20" t="str">
        <x:v>XX392</x:v>
      </x:c>
      <x:c r="H128" s="20" t="str">
        <x:v>月河暗径</x:v>
      </x:c>
      <x:c r="I128" s="20" t="str">
        <x:v>月河箭蛙</x:v>
      </x:c>
      <x:c r="J128" s="20" t="str">
        <x:v>黄色</x:v>
      </x:c>
      <x:c r="K128" s="20" t="str">
        <x:v>普通</x:v>
      </x:c>
      <x:c r="L128" s="20" t="str">
        <x:v>兽类</x:v>
      </x:c>
      <x:c r="M128" s="20" t="str">
        <x:v>远程</x:v>
      </x:c>
      <x:c r="N128" s="20" t="str">
        <x:v>月蛙刺弩</x:v>
      </x:c>
      <x:c r="O128" s="20" t="str">
        <x:v>武器</x:v>
      </x:c>
      <x:c r="P128" s="20" t="str">
        <x:v>湖盐结晶</x:v>
      </x:c>
      <x:c r="Q128" s="20" t="str"/>
      <x:c r="R128" s="20" t="str">
        <x:v>雾潮银鳞</x:v>
      </x:c>
      <x:c r="S128" s="20" t="str">
        <x:v>月潮忆珀</x:v>
      </x:c>
      <x:c r="T128" s="20" t="str">
        <x:v>否</x:v>
      </x:c>
      <x:c r="U128" s="20" t="str">
        <x:v>是（公共奖池）</x:v>
      </x:c>
      <x:c r="V128" s="22" t="str">
        <x:v>结构定稿</x:v>
      </x:c>
      <x:c r="W128" s="36" t="str">
        <x:v>用户自行分配／本表不处理</x:v>
      </x:c>
      <x:c r="X128" s="34" t="str">
        <x:v>缺武器来源码</x:v>
      </x:c>
      <x:c r="Y128" s="29" t="str">
        <x:v>后期统一平衡</x:v>
      </x:c>
      <x:c r="Z128" s="20" t="str">
        <x:v>一怪一专属；专属来源跟随本行准确地图号</x:v>
      </x:c>
    </x:row>
    <x:row r="129" ht="24" customHeight="1">
      <x:c r="A129" s="20" t="str">
        <x:v>C04-M052</x:v>
      </x:c>
      <x:c r="B129" s="20" t="str">
        <x:v>C04</x:v>
      </x:c>
      <x:c r="C129" s="20" t="str">
        <x:v>利耶尼亚海域</x:v>
      </x:c>
      <x:c r="D129" s="20" t="n">
        <x:v>5</x:v>
      </x:c>
      <x:c r="E129" s="20" t="str">
        <x:v>深湖水道</x:v>
      </x:c>
      <x:c r="F129" s="20" t="n">
        <x:v>2</x:v>
      </x:c>
      <x:c r="G129" s="20" t="str">
        <x:v>XX392</x:v>
      </x:c>
      <x:c r="H129" s="20" t="str">
        <x:v>月河暗径</x:v>
      </x:c>
      <x:c r="I129" s="20" t="str">
        <x:v>暗径拾珠客</x:v>
      </x:c>
      <x:c r="J129" s="20" t="str">
        <x:v>黄色</x:v>
      </x:c>
      <x:c r="K129" s="20" t="str">
        <x:v>普通</x:v>
      </x:c>
      <x:c r="L129" s="20" t="str">
        <x:v>人形</x:v>
      </x:c>
      <x:c r="M129" s="20" t="str">
        <x:v>敏捷</x:v>
      </x:c>
      <x:c r="N129" s="20" t="str">
        <x:v>拾珠客斗笠</x:v>
      </x:c>
      <x:c r="O129" s="20" t="str">
        <x:v>斗笠</x:v>
      </x:c>
      <x:c r="P129" s="20" t="str">
        <x:v>湖盐结晶</x:v>
      </x:c>
      <x:c r="Q129" s="20" t="str"/>
      <x:c r="R129" s="20" t="str">
        <x:v>雾潮银鳞</x:v>
      </x:c>
      <x:c r="S129" s="20" t="str">
        <x:v>月潮忆珀</x:v>
      </x:c>
      <x:c r="T129" s="20" t="str">
        <x:v>否</x:v>
      </x:c>
      <x:c r="U129" s="20" t="str">
        <x:v>是（公共奖池）</x:v>
      </x:c>
      <x:c r="V129" s="22" t="str">
        <x:v>结构定稿</x:v>
      </x:c>
      <x:c r="W129" s="36" t="str">
        <x:v>用户自行分配／本表不处理</x:v>
      </x:c>
      <x:c r="X129" s="34" t="str">
        <x:v>缺斗笠来源码</x:v>
      </x:c>
      <x:c r="Y129" s="29" t="str">
        <x:v>后期统一平衡</x:v>
      </x:c>
      <x:c r="Z129" s="20" t="str">
        <x:v>一怪一专属；专属来源跟随本行准确地图号</x:v>
      </x:c>
    </x:row>
    <x:row r="130" ht="24" customHeight="1">
      <x:c r="A130" s="20" t="str">
        <x:v>C04-M053</x:v>
      </x:c>
      <x:c r="B130" s="20" t="str">
        <x:v>C04</x:v>
      </x:c>
      <x:c r="C130" s="20" t="str">
        <x:v>利耶尼亚海域</x:v>
      </x:c>
      <x:c r="D130" s="20" t="n">
        <x:v>5</x:v>
      </x:c>
      <x:c r="E130" s="20" t="str">
        <x:v>深湖水道</x:v>
      </x:c>
      <x:c r="F130" s="20" t="n">
        <x:v>3</x:v>
      </x:c>
      <x:c r="G130" s="20" t="str">
        <x:v>XX391</x:v>
      </x:c>
      <x:c r="H130" s="20" t="str">
        <x:v>深水渊口</x:v>
      </x:c>
      <x:c r="I130" s="20" t="str">
        <x:v>渊口盔虾</x:v>
      </x:c>
      <x:c r="J130" s="20" t="str">
        <x:v>黄色</x:v>
      </x:c>
      <x:c r="K130" s="20" t="str">
        <x:v>普通</x:v>
      </x:c>
      <x:c r="L130" s="20" t="str">
        <x:v>兽类</x:v>
      </x:c>
      <x:c r="M130" s="20" t="str">
        <x:v>重装</x:v>
      </x:c>
      <x:c r="N130" s="20" t="str">
        <x:v>盔虾壳帽</x:v>
      </x:c>
      <x:c r="O130" s="20" t="str">
        <x:v>头盔</x:v>
      </x:c>
      <x:c r="P130" s="20" t="str">
        <x:v>湖盐结晶</x:v>
      </x:c>
      <x:c r="Q130" s="20" t="str"/>
      <x:c r="R130" s="20" t="str">
        <x:v>雾潮银鳞</x:v>
      </x:c>
      <x:c r="S130" s="20" t="str">
        <x:v>月潮忆珀</x:v>
      </x:c>
      <x:c r="T130" s="20" t="str">
        <x:v>否</x:v>
      </x:c>
      <x:c r="U130" s="20" t="str">
        <x:v>是（公共奖池）</x:v>
      </x:c>
      <x:c r="V130" s="22" t="str">
        <x:v>结构定稿</x:v>
      </x:c>
      <x:c r="W130" s="36" t="str">
        <x:v>用户自行分配／本表不处理</x:v>
      </x:c>
      <x:c r="X130" s="33" t="n">
        <x:v>6854</x:v>
      </x:c>
      <x:c r="Y130" s="29" t="str">
        <x:v>后期统一平衡</x:v>
      </x:c>
      <x:c r="Z130" s="20" t="str">
        <x:v>一怪一专属；专属来源跟随本行准确地图号</x:v>
      </x:c>
    </x:row>
    <x:row r="131" ht="24" customHeight="1">
      <x:c r="A131" s="20" t="str">
        <x:v>C04-M054</x:v>
      </x:c>
      <x:c r="B131" s="20" t="str">
        <x:v>C04</x:v>
      </x:c>
      <x:c r="C131" s="20" t="str">
        <x:v>利耶尼亚海域</x:v>
      </x:c>
      <x:c r="D131" s="20" t="n">
        <x:v>5</x:v>
      </x:c>
      <x:c r="E131" s="20" t="str">
        <x:v>深湖水道</x:v>
      </x:c>
      <x:c r="F131" s="20" t="n">
        <x:v>3</x:v>
      </x:c>
      <x:c r="G131" s="20" t="str">
        <x:v>XX391</x:v>
      </x:c>
      <x:c r="H131" s="20" t="str">
        <x:v>深水渊口</x:v>
      </x:c>
      <x:c r="I131" s="20" t="str">
        <x:v>伏流石鳗</x:v>
      </x:c>
      <x:c r="J131" s="20" t="str">
        <x:v>黄色</x:v>
      </x:c>
      <x:c r="K131" s="20" t="str">
        <x:v>普通</x:v>
      </x:c>
      <x:c r="L131" s="20" t="str">
        <x:v>兽类</x:v>
      </x:c>
      <x:c r="M131" s="20" t="str">
        <x:v>近战</x:v>
      </x:c>
      <x:c r="N131" s="20" t="str">
        <x:v>伏流鳞靴</x:v>
      </x:c>
      <x:c r="O131" s="20" t="str">
        <x:v>鞋子</x:v>
      </x:c>
      <x:c r="P131" s="20" t="str">
        <x:v>湖盐结晶</x:v>
      </x:c>
      <x:c r="Q131" s="20" t="str"/>
      <x:c r="R131" s="20" t="str">
        <x:v>雾潮银鳞</x:v>
      </x:c>
      <x:c r="S131" s="20" t="str">
        <x:v>月潮忆珀</x:v>
      </x:c>
      <x:c r="T131" s="20" t="str">
        <x:v>否</x:v>
      </x:c>
      <x:c r="U131" s="20" t="str">
        <x:v>是（公共奖池）</x:v>
      </x:c>
      <x:c r="V131" s="22" t="str">
        <x:v>结构定稿</x:v>
      </x:c>
      <x:c r="W131" s="36" t="str">
        <x:v>用户自行分配／本表不处理</x:v>
      </x:c>
      <x:c r="X131" s="33" t="n">
        <x:v>6792</x:v>
      </x:c>
      <x:c r="Y131" s="29" t="str">
        <x:v>后期统一平衡</x:v>
      </x:c>
      <x:c r="Z131" s="20" t="str">
        <x:v>一怪一专属；专属来源跟随本行准确地图号</x:v>
      </x:c>
    </x:row>
    <x:row r="132" ht="24" customHeight="1">
      <x:c r="A132" s="20" t="str">
        <x:v>C04-M055</x:v>
      </x:c>
      <x:c r="B132" s="20" t="str">
        <x:v>C04</x:v>
      </x:c>
      <x:c r="C132" s="20" t="str">
        <x:v>利耶尼亚海域</x:v>
      </x:c>
      <x:c r="D132" s="20" t="n">
        <x:v>5</x:v>
      </x:c>
      <x:c r="E132" s="20" t="str">
        <x:v>深湖水道</x:v>
      </x:c>
      <x:c r="F132" s="20" t="n">
        <x:v>1</x:v>
      </x:c>
      <x:c r="G132" s="20" t="str">
        <x:v>XX395</x:v>
      </x:c>
      <x:c r="H132" s="20" t="str">
        <x:v>深湖水道</x:v>
      </x:c>
      <x:c r="I132" s="20" t="str">
        <x:v>断闸铁卫</x:v>
      </x:c>
      <x:c r="J132" s="20" t="str">
        <x:v>蓝色</x:v>
      </x:c>
      <x:c r="K132" s="20" t="str">
        <x:v>稀有</x:v>
      </x:c>
      <x:c r="L132" s="20" t="str">
        <x:v>人形</x:v>
      </x:c>
      <x:c r="M132" s="20" t="str">
        <x:v>重装</x:v>
      </x:c>
      <x:c r="N132" s="20" t="str">
        <x:v>断闸铁衣</x:v>
      </x:c>
      <x:c r="O132" s="20" t="str">
        <x:v>衣服</x:v>
      </x:c>
      <x:c r="P132" s="20" t="str">
        <x:v>湖盐结晶</x:v>
      </x:c>
      <x:c r="Q132" s="20" t="str">
        <x:v>幽船铆钉</x:v>
      </x:c>
      <x:c r="R132" s="20" t="str">
        <x:v>沉船缆扣</x:v>
      </x:c>
      <x:c r="S132" s="20" t="str">
        <x:v>月潮忆珀</x:v>
      </x:c>
      <x:c r="T132" s="20" t="str">
        <x:v>否</x:v>
      </x:c>
      <x:c r="U132" s="20" t="str">
        <x:v>是（公共奖池）</x:v>
      </x:c>
      <x:c r="V132" s="22" t="str">
        <x:v>结构定稿</x:v>
      </x:c>
      <x:c r="W132" s="36" t="str">
        <x:v>用户自行分配／本表不处理</x:v>
      </x:c>
      <x:c r="X132" s="34" t="str">
        <x:v>缺衣服来源码</x:v>
      </x:c>
      <x:c r="Y132" s="29" t="str">
        <x:v>后期统一平衡</x:v>
      </x:c>
      <x:c r="Z132" s="20" t="str">
        <x:v>一怪一专属；专属来源跟随本行准确地图号</x:v>
      </x:c>
    </x:row>
    <x:row r="133" ht="24" customHeight="1">
      <x:c r="A133" s="20" t="str">
        <x:v>C04-M056</x:v>
      </x:c>
      <x:c r="B133" s="20" t="str">
        <x:v>C04</x:v>
      </x:c>
      <x:c r="C133" s="20" t="str">
        <x:v>利耶尼亚海域</x:v>
      </x:c>
      <x:c r="D133" s="20" t="n">
        <x:v>5</x:v>
      </x:c>
      <x:c r="E133" s="20" t="str">
        <x:v>深湖水道</x:v>
      </x:c>
      <x:c r="F133" s="20" t="n">
        <x:v>2</x:v>
      </x:c>
      <x:c r="G133" s="20" t="str">
        <x:v>XX392</x:v>
      </x:c>
      <x:c r="H133" s="20" t="str">
        <x:v>月河暗径</x:v>
      </x:c>
      <x:c r="I133" s="20" t="str">
        <x:v>月痕水咒师</x:v>
      </x:c>
      <x:c r="J133" s="20" t="str">
        <x:v>蓝色</x:v>
      </x:c>
      <x:c r="K133" s="20" t="str">
        <x:v>稀有</x:v>
      </x:c>
      <x:c r="L133" s="20" t="str">
        <x:v>人形</x:v>
      </x:c>
      <x:c r="M133" s="20" t="str">
        <x:v>法术</x:v>
      </x:c>
      <x:c r="N133" s="20" t="str">
        <x:v>月痕咒镯</x:v>
      </x:c>
      <x:c r="O133" s="20" t="str">
        <x:v>手镯</x:v>
      </x:c>
      <x:c r="P133" s="20" t="str">
        <x:v>湖盐结晶</x:v>
      </x:c>
      <x:c r="Q133" s="20" t="str">
        <x:v>幽船铆钉</x:v>
      </x:c>
      <x:c r="R133" s="20" t="str">
        <x:v>沉船缆扣</x:v>
      </x:c>
      <x:c r="S133" s="20" t="str">
        <x:v>月潮忆珀</x:v>
      </x:c>
      <x:c r="T133" s="20" t="str">
        <x:v>否</x:v>
      </x:c>
      <x:c r="U133" s="20" t="str">
        <x:v>是（公共奖池）</x:v>
      </x:c>
      <x:c r="V133" s="22" t="str">
        <x:v>结构定稿</x:v>
      </x:c>
      <x:c r="W133" s="36" t="str">
        <x:v>用户自行分配／本表不处理</x:v>
      </x:c>
      <x:c r="X133" s="33" t="n">
        <x:v>6822</x:v>
      </x:c>
      <x:c r="Y133" s="29" t="str">
        <x:v>后期统一平衡</x:v>
      </x:c>
      <x:c r="Z133" s="20" t="str">
        <x:v>一怪一专属；专属来源跟随本行准确地图号</x:v>
      </x:c>
    </x:row>
    <x:row r="134" ht="24" customHeight="1">
      <x:c r="A134" s="20" t="str">
        <x:v>C04-M057</x:v>
      </x:c>
      <x:c r="B134" s="20" t="str">
        <x:v>C04</x:v>
      </x:c>
      <x:c r="C134" s="20" t="str">
        <x:v>利耶尼亚海域</x:v>
      </x:c>
      <x:c r="D134" s="20" t="n">
        <x:v>5</x:v>
      </x:c>
      <x:c r="E134" s="20" t="str">
        <x:v>深湖水道</x:v>
      </x:c>
      <x:c r="F134" s="20" t="n">
        <x:v>3</x:v>
      </x:c>
      <x:c r="G134" s="20" t="str">
        <x:v>XX391</x:v>
      </x:c>
      <x:c r="H134" s="20" t="str">
        <x:v>深水渊口</x:v>
      </x:c>
      <x:c r="I134" s="20" t="str">
        <x:v>渊声诱猎者</x:v>
      </x:c>
      <x:c r="J134" s="20" t="str">
        <x:v>蓝色</x:v>
      </x:c>
      <x:c r="K134" s="20" t="str">
        <x:v>稀有</x:v>
      </x:c>
      <x:c r="L134" s="20" t="str">
        <x:v>异形</x:v>
      </x:c>
      <x:c r="M134" s="20" t="str">
        <x:v>召唤</x:v>
      </x:c>
      <x:c r="N134" s="20" t="str">
        <x:v>诱猎声坠</x:v>
      </x:c>
      <x:c r="O134" s="20" t="str">
        <x:v>项链</x:v>
      </x:c>
      <x:c r="P134" s="20" t="str">
        <x:v>湖盐结晶</x:v>
      </x:c>
      <x:c r="Q134" s="20" t="str">
        <x:v>幽船铆钉</x:v>
      </x:c>
      <x:c r="R134" s="20" t="str">
        <x:v>沉船缆扣</x:v>
      </x:c>
      <x:c r="S134" s="20" t="str">
        <x:v>月潮忆珀</x:v>
      </x:c>
      <x:c r="T134" s="20" t="str">
        <x:v>否</x:v>
      </x:c>
      <x:c r="U134" s="20" t="str">
        <x:v>是（公共奖池）</x:v>
      </x:c>
      <x:c r="V134" s="22" t="str">
        <x:v>结构定稿</x:v>
      </x:c>
      <x:c r="W134" s="36" t="str">
        <x:v>用户自行分配／本表不处理</x:v>
      </x:c>
      <x:c r="X134" s="33" t="n">
        <x:v>6856</x:v>
      </x:c>
      <x:c r="Y134" s="29" t="str">
        <x:v>后期统一平衡</x:v>
      </x:c>
      <x:c r="Z134" s="20" t="str">
        <x:v>一怪一专属；专属来源跟随本行准确地图号</x:v>
      </x:c>
    </x:row>
    <x:row r="135" ht="24" customHeight="1">
      <x:c r="A135" s="20" t="str">
        <x:v>C04-M058</x:v>
      </x:c>
      <x:c r="B135" s="20" t="str">
        <x:v>C04</x:v>
      </x:c>
      <x:c r="C135" s="20" t="str">
        <x:v>利耶尼亚海域</x:v>
      </x:c>
      <x:c r="D135" s="20" t="n">
        <x:v>5</x:v>
      </x:c>
      <x:c r="E135" s="20" t="str">
        <x:v>深湖水道</x:v>
      </x:c>
      <x:c r="F135" s="20" t="n">
        <x:v>3</x:v>
      </x:c>
      <x:c r="G135" s="20" t="str">
        <x:v>XX391</x:v>
      </x:c>
      <x:c r="H135" s="20" t="str">
        <x:v>深水渊口</x:v>
      </x:c>
      <x:c r="I135" s="20" t="str">
        <x:v>吞灯巨鲶</x:v>
      </x:c>
      <x:c r="J135" s="20" t="str">
        <x:v>蓝色</x:v>
      </x:c>
      <x:c r="K135" s="20" t="str">
        <x:v>稀有</x:v>
      </x:c>
      <x:c r="L135" s="20" t="str">
        <x:v>兽类</x:v>
      </x:c>
      <x:c r="M135" s="20" t="str">
        <x:v>近战</x:v>
      </x:c>
      <x:c r="N135" s="20" t="str">
        <x:v>吞灯牙戒</x:v>
      </x:c>
      <x:c r="O135" s="20" t="str">
        <x:v>戒指</x:v>
      </x:c>
      <x:c r="P135" s="20" t="str">
        <x:v>湖盐结晶</x:v>
      </x:c>
      <x:c r="Q135" s="20" t="str">
        <x:v>幽船铆钉</x:v>
      </x:c>
      <x:c r="R135" s="20" t="str">
        <x:v>沉船缆扣</x:v>
      </x:c>
      <x:c r="S135" s="20" t="str">
        <x:v>月潮忆珀</x:v>
      </x:c>
      <x:c r="T135" s="20" t="str">
        <x:v>否</x:v>
      </x:c>
      <x:c r="U135" s="20" t="str">
        <x:v>是（公共奖池）</x:v>
      </x:c>
      <x:c r="V135" s="22" t="str">
        <x:v>结构定稿</x:v>
      </x:c>
      <x:c r="W135" s="36" t="str">
        <x:v>用户自行分配／本表不处理</x:v>
      </x:c>
      <x:c r="X135" s="33" t="n">
        <x:v>6858</x:v>
      </x:c>
      <x:c r="Y135" s="29" t="str">
        <x:v>后期统一平衡</x:v>
      </x:c>
      <x:c r="Z135" s="20" t="str">
        <x:v>一怪一专属；专属来源跟随本行准确地图号</x:v>
      </x:c>
    </x:row>
    <x:row r="136" ht="24" customHeight="1">
      <x:c r="A136" s="20" t="str">
        <x:v>C04-M059</x:v>
      </x:c>
      <x:c r="B136" s="20" t="str">
        <x:v>C04</x:v>
      </x:c>
      <x:c r="C136" s="20" t="str">
        <x:v>利耶尼亚海域</x:v>
      </x:c>
      <x:c r="D136" s="20" t="n">
        <x:v>5</x:v>
      </x:c>
      <x:c r="E136" s="20" t="str">
        <x:v>深湖水道</x:v>
      </x:c>
      <x:c r="F136" s="20" t="n">
        <x:v>2</x:v>
      </x:c>
      <x:c r="G136" s="20" t="str">
        <x:v>XX392</x:v>
      </x:c>
      <x:c r="H136" s="20" t="str">
        <x:v>月河暗径</x:v>
      </x:c>
      <x:c r="I136" s="20" t="str">
        <x:v>暗河剑师·罗缇</x:v>
      </x:c>
      <x:c r="J136" s="20" t="str">
        <x:v>粉色</x:v>
      </x:c>
      <x:c r="K136" s="20" t="str">
        <x:v>地图BOSS</x:v>
      </x:c>
      <x:c r="L136" s="20" t="str">
        <x:v>人形</x:v>
      </x:c>
      <x:c r="M136" s="20" t="str">
        <x:v>首领</x:v>
      </x:c>
      <x:c r="N136" s="20" t="str">
        <x:v>罗缇的回流剑</x:v>
      </x:c>
      <x:c r="O136" s="20" t="str">
        <x:v>武器</x:v>
      </x:c>
      <x:c r="P136" s="20" t="str">
        <x:v>湖盐结晶</x:v>
      </x:c>
      <x:c r="Q136" s="20" t="str">
        <x:v>幽船铆钉＋沉湖王印</x:v>
      </x:c>
      <x:c r="R136" s="20" t="str">
        <x:v>深湖压舱印</x:v>
      </x:c>
      <x:c r="S136" s="20" t="str">
        <x:v>月潮忆珀</x:v>
      </x:c>
      <x:c r="T136" s="20" t="str">
        <x:v>是（独立奖池）</x:v>
      </x:c>
      <x:c r="U136" s="20" t="str">
        <x:v>是（公共奖池）</x:v>
      </x:c>
      <x:c r="V136" s="22" t="str">
        <x:v>结构定稿</x:v>
      </x:c>
      <x:c r="W136" s="36" t="str">
        <x:v>用户自行分配／本表不处理</x:v>
      </x:c>
      <x:c r="X136" s="33" t="n">
        <x:v>6781</x:v>
      </x:c>
      <x:c r="Y136" s="29" t="str">
        <x:v>后期统一平衡</x:v>
      </x:c>
      <x:c r="Z136" s="20" t="str">
        <x:v>一怪一专属；专属来源跟随本行准确地图号</x:v>
      </x:c>
    </x:row>
    <x:row r="137" ht="24" customHeight="1">
      <x:c r="A137" s="20" t="str">
        <x:v>C04-M060</x:v>
      </x:c>
      <x:c r="B137" s="20" t="str">
        <x:v>C04</x:v>
      </x:c>
      <x:c r="C137" s="20" t="str">
        <x:v>利耶尼亚海域</x:v>
      </x:c>
      <x:c r="D137" s="20" t="n">
        <x:v>5</x:v>
      </x:c>
      <x:c r="E137" s="20" t="str">
        <x:v>深湖水道</x:v>
      </x:c>
      <x:c r="F137" s="20" t="n">
        <x:v>3</x:v>
      </x:c>
      <x:c r="G137" s="20" t="str">
        <x:v>XX391</x:v>
      </x:c>
      <x:c r="H137" s="20" t="str">
        <x:v>深水渊口</x:v>
      </x:c>
      <x:c r="I137" s="20" t="str">
        <x:v>渊口老蛟·涅珈</x:v>
      </x:c>
      <x:c r="J137" s="20" t="str">
        <x:v>粉色</x:v>
      </x:c>
      <x:c r="K137" s="20" t="str">
        <x:v>地图BOSS</x:v>
      </x:c>
      <x:c r="L137" s="20" t="str">
        <x:v>龙类</x:v>
      </x:c>
      <x:c r="M137" s="20" t="str">
        <x:v>首领</x:v>
      </x:c>
      <x:c r="N137" s="20" t="str">
        <x:v>涅珈镇渊衣</x:v>
      </x:c>
      <x:c r="O137" s="20" t="str">
        <x:v>衣服</x:v>
      </x:c>
      <x:c r="P137" s="20" t="str">
        <x:v>湖盐结晶</x:v>
      </x:c>
      <x:c r="Q137" s="20" t="str">
        <x:v>幽船铆钉＋沉湖王印</x:v>
      </x:c>
      <x:c r="R137" s="20" t="str">
        <x:v>深湖压舱印</x:v>
      </x:c>
      <x:c r="S137" s="20" t="str">
        <x:v>月潮忆珀</x:v>
      </x:c>
      <x:c r="T137" s="20" t="str">
        <x:v>是（独立奖池）</x:v>
      </x:c>
      <x:c r="U137" s="20" t="str">
        <x:v>是（公共奖池）</x:v>
      </x:c>
      <x:c r="V137" s="22" t="str">
        <x:v>结构定稿</x:v>
      </x:c>
      <x:c r="W137" s="36" t="str">
        <x:v>用户自行分配／本表不处理</x:v>
      </x:c>
      <x:c r="X137" s="33" t="n">
        <x:v>6782</x:v>
      </x:c>
      <x:c r="Y137" s="29" t="str">
        <x:v>后期统一平衡</x:v>
      </x:c>
      <x:c r="Z137" s="20" t="str">
        <x:v>一怪一专属；专属来源跟随本行准确地图号</x:v>
      </x:c>
    </x:row>
    <x:row r="138" ht="24" customHeight="1">
      <x:c r="A138" s="20" t="str">
        <x:v>C04-M061</x:v>
      </x:c>
      <x:c r="B138" s="20" t="str">
        <x:v>C04</x:v>
      </x:c>
      <x:c r="C138" s="20" t="str">
        <x:v>利耶尼亚海域</x:v>
      </x:c>
      <x:c r="D138" s="20" t="n">
        <x:v>6</x:v>
      </x:c>
      <x:c r="E138" s="20" t="str">
        <x:v>湖底密道</x:v>
      </x:c>
      <x:c r="F138" s="20" t="n">
        <x:v>1</x:v>
      </x:c>
      <x:c r="G138" s="20" t="str">
        <x:v>XX368</x:v>
      </x:c>
      <x:c r="H138" s="20" t="str">
        <x:v>湖底密道</x:v>
      </x:c>
      <x:c r="I138" s="20" t="str">
        <x:v>摸壁潜行者</x:v>
      </x:c>
      <x:c r="J138" s="20" t="str">
        <x:v>黄色</x:v>
      </x:c>
      <x:c r="K138" s="20" t="str">
        <x:v>普通</x:v>
      </x:c>
      <x:c r="L138" s="20" t="str">
        <x:v>人形</x:v>
      </x:c>
      <x:c r="M138" s="20" t="str">
        <x:v>敏捷</x:v>
      </x:c>
      <x:c r="N138" s="20" t="str">
        <x:v>潜壁短钩</x:v>
      </x:c>
      <x:c r="O138" s="20" t="str">
        <x:v>武器</x:v>
      </x:c>
      <x:c r="P138" s="20" t="str">
        <x:v>湖盐结晶</x:v>
      </x:c>
      <x:c r="Q138" s="20" t="str"/>
      <x:c r="R138" s="20" t="str">
        <x:v>雾潮银鳞</x:v>
      </x:c>
      <x:c r="S138" s="20" t="str">
        <x:v>月潮忆珀</x:v>
      </x:c>
      <x:c r="T138" s="20" t="str">
        <x:v>否</x:v>
      </x:c>
      <x:c r="U138" s="20" t="str">
        <x:v>是（公共奖池）</x:v>
      </x:c>
      <x:c r="V138" s="22" t="str">
        <x:v>结构定稿</x:v>
      </x:c>
      <x:c r="W138" s="36" t="str">
        <x:v>用户自行分配／本表不处理</x:v>
      </x:c>
      <x:c r="X138" s="34" t="str">
        <x:v>缺武器来源码</x:v>
      </x:c>
      <x:c r="Y138" s="29" t="str">
        <x:v>后期统一平衡</x:v>
      </x:c>
      <x:c r="Z138" s="20" t="str">
        <x:v>一怪一专属；专属来源跟随本行准确地图号</x:v>
      </x:c>
    </x:row>
    <x:row r="139" ht="24" customHeight="1">
      <x:c r="A139" s="20" t="str">
        <x:v>C04-M062</x:v>
      </x:c>
      <x:c r="B139" s="20" t="str">
        <x:v>C04</x:v>
      </x:c>
      <x:c r="C139" s="20" t="str">
        <x:v>利耶尼亚海域</x:v>
      </x:c>
      <x:c r="D139" s="20" t="n">
        <x:v>6</x:v>
      </x:c>
      <x:c r="E139" s="20" t="str">
        <x:v>湖底密道</x:v>
      </x:c>
      <x:c r="F139" s="20" t="n">
        <x:v>1</x:v>
      </x:c>
      <x:c r="G139" s="20" t="str">
        <x:v>XX368</x:v>
      </x:c>
      <x:c r="H139" s="20" t="str">
        <x:v>湖底密道</x:v>
      </x:c>
      <x:c r="I139" s="20" t="str">
        <x:v>砾壳穴龟</x:v>
      </x:c>
      <x:c r="J139" s="20" t="str">
        <x:v>黄色</x:v>
      </x:c>
      <x:c r="K139" s="20" t="str">
        <x:v>普通</x:v>
      </x:c>
      <x:c r="L139" s="20" t="str">
        <x:v>兽类</x:v>
      </x:c>
      <x:c r="M139" s="20" t="str">
        <x:v>重装</x:v>
      </x:c>
      <x:c r="N139" s="20" t="str">
        <x:v>穴龟石盾</x:v>
      </x:c>
      <x:c r="O139" s="20" t="str">
        <x:v>盾牌</x:v>
      </x:c>
      <x:c r="P139" s="20" t="str">
        <x:v>湖盐结晶</x:v>
      </x:c>
      <x:c r="Q139" s="20" t="str"/>
      <x:c r="R139" s="20" t="str">
        <x:v>雾潮银鳞</x:v>
      </x:c>
      <x:c r="S139" s="20" t="str">
        <x:v>月潮忆珀</x:v>
      </x:c>
      <x:c r="T139" s="20" t="str">
        <x:v>否</x:v>
      </x:c>
      <x:c r="U139" s="20" t="str">
        <x:v>是（公共奖池）</x:v>
      </x:c>
      <x:c r="V139" s="22" t="str">
        <x:v>结构定稿</x:v>
      </x:c>
      <x:c r="W139" s="36" t="str">
        <x:v>用户自行分配／本表不处理</x:v>
      </x:c>
      <x:c r="X139" s="33" t="n">
        <x:v>6790</x:v>
      </x:c>
      <x:c r="Y139" s="29" t="str">
        <x:v>后期统一平衡</x:v>
      </x:c>
      <x:c r="Z139" s="20" t="str">
        <x:v>一怪一专属；专属来源跟随本行准确地图号</x:v>
      </x:c>
    </x:row>
    <x:row r="140" ht="24" customHeight="1">
      <x:c r="A140" s="20" t="str">
        <x:v>C04-M063</x:v>
      </x:c>
      <x:c r="B140" s="20" t="str">
        <x:v>C04</x:v>
      </x:c>
      <x:c r="C140" s="20" t="str">
        <x:v>利耶尼亚海域</x:v>
      </x:c>
      <x:c r="D140" s="20" t="n">
        <x:v>6</x:v>
      </x:c>
      <x:c r="E140" s="20" t="str">
        <x:v>湖底密道</x:v>
      </x:c>
      <x:c r="F140" s="20" t="n">
        <x:v>2</x:v>
      </x:c>
      <x:c r="G140" s="20" t="str">
        <x:v>XX382</x:v>
      </x:c>
      <x:c r="H140" s="20" t="str">
        <x:v>沉水暗渠</x:v>
      </x:c>
      <x:c r="I140" s="20" t="str">
        <x:v>暗渠滤水蚌</x:v>
      </x:c>
      <x:c r="J140" s="20" t="str">
        <x:v>黄色</x:v>
      </x:c>
      <x:c r="K140" s="20" t="str">
        <x:v>普通</x:v>
      </x:c>
      <x:c r="L140" s="20" t="str">
        <x:v>异形</x:v>
      </x:c>
      <x:c r="M140" s="20" t="str">
        <x:v>重装</x:v>
      </x:c>
      <x:c r="N140" s="20" t="str">
        <x:v>滤水蚌盔</x:v>
      </x:c>
      <x:c r="O140" s="20" t="str">
        <x:v>头盔</x:v>
      </x:c>
      <x:c r="P140" s="20" t="str">
        <x:v>湖盐结晶</x:v>
      </x:c>
      <x:c r="Q140" s="20" t="str"/>
      <x:c r="R140" s="20" t="str">
        <x:v>雾潮银鳞</x:v>
      </x:c>
      <x:c r="S140" s="20" t="str">
        <x:v>月潮忆珀</x:v>
      </x:c>
      <x:c r="T140" s="20" t="str">
        <x:v>否</x:v>
      </x:c>
      <x:c r="U140" s="20" t="str">
        <x:v>是（公共奖池）</x:v>
      </x:c>
      <x:c r="V140" s="22" t="str">
        <x:v>结构定稿</x:v>
      </x:c>
      <x:c r="W140" s="36" t="str">
        <x:v>用户自行分配／本表不处理</x:v>
      </x:c>
      <x:c r="X140" s="33" t="n">
        <x:v>6889</x:v>
      </x:c>
      <x:c r="Y140" s="29" t="str">
        <x:v>后期统一平衡</x:v>
      </x:c>
      <x:c r="Z140" s="20" t="str">
        <x:v>一怪一专属；专属来源跟随本行准确地图号</x:v>
      </x:c>
    </x:row>
    <x:row r="141" ht="24" customHeight="1">
      <x:c r="A141" s="20" t="str">
        <x:v>C04-M064</x:v>
      </x:c>
      <x:c r="B141" s="20" t="str">
        <x:v>C04</x:v>
      </x:c>
      <x:c r="C141" s="20" t="str">
        <x:v>利耶尼亚海域</x:v>
      </x:c>
      <x:c r="D141" s="20" t="n">
        <x:v>6</x:v>
      </x:c>
      <x:c r="E141" s="20" t="str">
        <x:v>湖底密道</x:v>
      </x:c>
      <x:c r="F141" s="20" t="n">
        <x:v>2</x:v>
      </x:c>
      <x:c r="G141" s="20" t="str">
        <x:v>XX382</x:v>
      </x:c>
      <x:c r="H141" s="20" t="str">
        <x:v>沉水暗渠</x:v>
      </x:c>
      <x:c r="I141" s="20" t="str">
        <x:v>锈闸守渠人</x:v>
      </x:c>
      <x:c r="J141" s="20" t="str">
        <x:v>黄色</x:v>
      </x:c>
      <x:c r="K141" s="20" t="str">
        <x:v>普通</x:v>
      </x:c>
      <x:c r="L141" s="20" t="str">
        <x:v>亡灵</x:v>
      </x:c>
      <x:c r="M141" s="20" t="str">
        <x:v>近战</x:v>
      </x:c>
      <x:c r="N141" s="20" t="str">
        <x:v>守渠锈衣</x:v>
      </x:c>
      <x:c r="O141" s="20" t="str">
        <x:v>衣服</x:v>
      </x:c>
      <x:c r="P141" s="20" t="str">
        <x:v>湖盐结晶</x:v>
      </x:c>
      <x:c r="Q141" s="20" t="str"/>
      <x:c r="R141" s="20" t="str">
        <x:v>雾潮银鳞</x:v>
      </x:c>
      <x:c r="S141" s="20" t="str">
        <x:v>月潮忆珀</x:v>
      </x:c>
      <x:c r="T141" s="20" t="str">
        <x:v>否</x:v>
      </x:c>
      <x:c r="U141" s="20" t="str">
        <x:v>是（公共奖池）</x:v>
      </x:c>
      <x:c r="V141" s="22" t="str">
        <x:v>结构定稿</x:v>
      </x:c>
      <x:c r="W141" s="36" t="str">
        <x:v>用户自行分配／本表不处理</x:v>
      </x:c>
      <x:c r="X141" s="34" t="str">
        <x:v>缺衣服来源码</x:v>
      </x:c>
      <x:c r="Y141" s="29" t="str">
        <x:v>后期统一平衡</x:v>
      </x:c>
      <x:c r="Z141" s="20" t="str">
        <x:v>一怪一专属；专属来源跟随本行准确地图号</x:v>
      </x:c>
    </x:row>
    <x:row r="142" ht="24" customHeight="1">
      <x:c r="A142" s="20" t="str">
        <x:v>C04-M065</x:v>
      </x:c>
      <x:c r="B142" s="20" t="str">
        <x:v>C04</x:v>
      </x:c>
      <x:c r="C142" s="20" t="str">
        <x:v>利耶尼亚海域</x:v>
      </x:c>
      <x:c r="D142" s="20" t="n">
        <x:v>6</x:v>
      </x:c>
      <x:c r="E142" s="20" t="str">
        <x:v>湖底密道</x:v>
      </x:c>
      <x:c r="F142" s="20" t="n">
        <x:v>3</x:v>
      </x:c>
      <x:c r="G142" s="20" t="str">
        <x:v>XX369</x:v>
      </x:c>
      <x:c r="H142" s="20" t="str">
        <x:v>深湖秘室</x:v>
      </x:c>
      <x:c r="I142" s="20" t="str">
        <x:v>秘室灯笼鱼</x:v>
      </x:c>
      <x:c r="J142" s="20" t="str">
        <x:v>黄色</x:v>
      </x:c>
      <x:c r="K142" s="20" t="str">
        <x:v>普通</x:v>
      </x:c>
      <x:c r="L142" s="20" t="str">
        <x:v>兽类</x:v>
      </x:c>
      <x:c r="M142" s="20" t="str">
        <x:v>远程</x:v>
      </x:c>
      <x:c r="N142" s="20" t="str">
        <x:v>幽灯鱼坠</x:v>
      </x:c>
      <x:c r="O142" s="20" t="str">
        <x:v>项链</x:v>
      </x:c>
      <x:c r="P142" s="20" t="str">
        <x:v>湖盐结晶</x:v>
      </x:c>
      <x:c r="Q142" s="20" t="str"/>
      <x:c r="R142" s="20" t="str">
        <x:v>雾潮银鳞</x:v>
      </x:c>
      <x:c r="S142" s="20" t="str">
        <x:v>月潮忆珀</x:v>
      </x:c>
      <x:c r="T142" s="20" t="str">
        <x:v>否</x:v>
      </x:c>
      <x:c r="U142" s="20" t="str">
        <x:v>是（公共奖池）</x:v>
      </x:c>
      <x:c r="V142" s="22" t="str">
        <x:v>结构定稿</x:v>
      </x:c>
      <x:c r="W142" s="36" t="str">
        <x:v>用户自行分配／本表不处理</x:v>
      </x:c>
      <x:c r="X142" s="33" t="n">
        <x:v>6891</x:v>
      </x:c>
      <x:c r="Y142" s="29" t="str">
        <x:v>后期统一平衡</x:v>
      </x:c>
      <x:c r="Z142" s="20" t="str">
        <x:v>一怪一专属；专属来源跟随本行准确地图号</x:v>
      </x:c>
    </x:row>
    <x:row r="143" ht="24" customHeight="1">
      <x:c r="A143" s="20" t="str">
        <x:v>C04-M066</x:v>
      </x:c>
      <x:c r="B143" s="20" t="str">
        <x:v>C04</x:v>
      </x:c>
      <x:c r="C143" s="20" t="str">
        <x:v>利耶尼亚海域</x:v>
      </x:c>
      <x:c r="D143" s="20" t="n">
        <x:v>6</x:v>
      </x:c>
      <x:c r="E143" s="20" t="str">
        <x:v>湖底密道</x:v>
      </x:c>
      <x:c r="F143" s="20" t="n">
        <x:v>3</x:v>
      </x:c>
      <x:c r="G143" s="20" t="str">
        <x:v>XX369</x:v>
      </x:c>
      <x:c r="H143" s="20" t="str">
        <x:v>深湖秘室</x:v>
      </x:c>
      <x:c r="I143" s="20" t="str">
        <x:v>封门泥塑</x:v>
      </x:c>
      <x:c r="J143" s="20" t="str">
        <x:v>黄色</x:v>
      </x:c>
      <x:c r="K143" s="20" t="str">
        <x:v>普通</x:v>
      </x:c>
      <x:c r="L143" s="20" t="str">
        <x:v>构装</x:v>
      </x:c>
      <x:c r="M143" s="20" t="str">
        <x:v>近战</x:v>
      </x:c>
      <x:c r="N143" s="20" t="str">
        <x:v>封门泥履</x:v>
      </x:c>
      <x:c r="O143" s="20" t="str">
        <x:v>鞋子</x:v>
      </x:c>
      <x:c r="P143" s="20" t="str">
        <x:v>湖盐结晶</x:v>
      </x:c>
      <x:c r="Q143" s="20" t="str"/>
      <x:c r="R143" s="20" t="str">
        <x:v>雾潮银鳞</x:v>
      </x:c>
      <x:c r="S143" s="20" t="str">
        <x:v>月潮忆珀</x:v>
      </x:c>
      <x:c r="T143" s="20" t="str">
        <x:v>否</x:v>
      </x:c>
      <x:c r="U143" s="20" t="str">
        <x:v>是（公共奖池）</x:v>
      </x:c>
      <x:c r="V143" s="22" t="str">
        <x:v>结构定稿</x:v>
      </x:c>
      <x:c r="W143" s="36" t="str">
        <x:v>用户自行分配／本表不处理</x:v>
      </x:c>
      <x:c r="X143" s="33" t="n">
        <x:v>6827</x:v>
      </x:c>
      <x:c r="Y143" s="29" t="str">
        <x:v>后期统一平衡</x:v>
      </x:c>
      <x:c r="Z143" s="20" t="str">
        <x:v>一怪一专属；专属来源跟随本行准确地图号</x:v>
      </x:c>
    </x:row>
    <x:row r="144" ht="24" customHeight="1">
      <x:c r="A144" s="20" t="str">
        <x:v>C04-M067</x:v>
      </x:c>
      <x:c r="B144" s="20" t="str">
        <x:v>C04</x:v>
      </x:c>
      <x:c r="C144" s="20" t="str">
        <x:v>利耶尼亚海域</x:v>
      </x:c>
      <x:c r="D144" s="20" t="n">
        <x:v>6</x:v>
      </x:c>
      <x:c r="E144" s="20" t="str">
        <x:v>湖底密道</x:v>
      </x:c>
      <x:c r="F144" s="20" t="n">
        <x:v>1</x:v>
      </x:c>
      <x:c r="G144" s="20" t="str">
        <x:v>XX368</x:v>
      </x:c>
      <x:c r="H144" s="20" t="str">
        <x:v>湖底密道</x:v>
      </x:c>
      <x:c r="I144" s="20" t="str">
        <x:v>回声盗墓客</x:v>
      </x:c>
      <x:c r="J144" s="20" t="str">
        <x:v>蓝色</x:v>
      </x:c>
      <x:c r="K144" s="20" t="str">
        <x:v>稀有</x:v>
      </x:c>
      <x:c r="L144" s="20" t="str">
        <x:v>人形</x:v>
      </x:c>
      <x:c r="M144" s="20" t="str">
        <x:v>敏捷</x:v>
      </x:c>
      <x:c r="N144" s="20" t="str">
        <x:v>回声盗墓笠</x:v>
      </x:c>
      <x:c r="O144" s="20" t="str">
        <x:v>斗笠</x:v>
      </x:c>
      <x:c r="P144" s="20" t="str">
        <x:v>湖盐结晶</x:v>
      </x:c>
      <x:c r="Q144" s="20" t="str">
        <x:v>幽船铆钉</x:v>
      </x:c>
      <x:c r="R144" s="20" t="str">
        <x:v>沉船缆扣</x:v>
      </x:c>
      <x:c r="S144" s="20" t="str">
        <x:v>月潮忆珀</x:v>
      </x:c>
      <x:c r="T144" s="20" t="str">
        <x:v>否</x:v>
      </x:c>
      <x:c r="U144" s="20" t="str">
        <x:v>是（公共奖池）</x:v>
      </x:c>
      <x:c r="V144" s="22" t="str">
        <x:v>结构定稿</x:v>
      </x:c>
      <x:c r="W144" s="36" t="str">
        <x:v>用户自行分配／本表不处理</x:v>
      </x:c>
      <x:c r="X144" s="33" t="n">
        <x:v>6610</x:v>
      </x:c>
      <x:c r="Y144" s="29" t="str">
        <x:v>后期统一平衡</x:v>
      </x:c>
      <x:c r="Z144" s="20" t="str">
        <x:v>一怪一专属；专属来源跟随本行准确地图号</x:v>
      </x:c>
    </x:row>
    <x:row r="145" ht="24" customHeight="1">
      <x:c r="A145" s="20" t="str">
        <x:v>C04-M068</x:v>
      </x:c>
      <x:c r="B145" s="20" t="str">
        <x:v>C04</x:v>
      </x:c>
      <x:c r="C145" s="20" t="str">
        <x:v>利耶尼亚海域</x:v>
      </x:c>
      <x:c r="D145" s="20" t="n">
        <x:v>6</x:v>
      </x:c>
      <x:c r="E145" s="20" t="str">
        <x:v>湖底密道</x:v>
      </x:c>
      <x:c r="F145" s="20" t="n">
        <x:v>2</x:v>
      </x:c>
      <x:c r="G145" s="20" t="str">
        <x:v>XX382</x:v>
      </x:c>
      <x:c r="H145" s="20" t="str">
        <x:v>沉水暗渠</x:v>
      </x:c>
      <x:c r="I145" s="20" t="str">
        <x:v>暗渠缚链僧</x:v>
      </x:c>
      <x:c r="J145" s="20" t="str">
        <x:v>蓝色</x:v>
      </x:c>
      <x:c r="K145" s="20" t="str">
        <x:v>稀有</x:v>
      </x:c>
      <x:c r="L145" s="20" t="str">
        <x:v>亡灵</x:v>
      </x:c>
      <x:c r="M145" s="20" t="str">
        <x:v>法术</x:v>
      </x:c>
      <x:c r="N145" s="20" t="str">
        <x:v>缚链僧镯</x:v>
      </x:c>
      <x:c r="O145" s="20" t="str">
        <x:v>手镯</x:v>
      </x:c>
      <x:c r="P145" s="20" t="str">
        <x:v>湖盐结晶</x:v>
      </x:c>
      <x:c r="Q145" s="20" t="str">
        <x:v>幽船铆钉</x:v>
      </x:c>
      <x:c r="R145" s="20" t="str">
        <x:v>沉船缆扣</x:v>
      </x:c>
      <x:c r="S145" s="20" t="str">
        <x:v>月潮忆珀</x:v>
      </x:c>
      <x:c r="T145" s="20" t="str">
        <x:v>否</x:v>
      </x:c>
      <x:c r="U145" s="20" t="str">
        <x:v>是（公共奖池）</x:v>
      </x:c>
      <x:c r="V145" s="22" t="str">
        <x:v>结构定稿</x:v>
      </x:c>
      <x:c r="W145" s="36" t="str">
        <x:v>用户自行分配／本表不处理</x:v>
      </x:c>
      <x:c r="X145" s="33" t="n">
        <x:v>6857</x:v>
      </x:c>
      <x:c r="Y145" s="29" t="str">
        <x:v>后期统一平衡</x:v>
      </x:c>
      <x:c r="Z145" s="20" t="str">
        <x:v>一怪一专属；专属来源跟随本行准确地图号</x:v>
      </x:c>
    </x:row>
    <x:row r="146" ht="24" customHeight="1">
      <x:c r="A146" s="20" t="str">
        <x:v>C04-M069</x:v>
      </x:c>
      <x:c r="B146" s="20" t="str">
        <x:v>C04</x:v>
      </x:c>
      <x:c r="C146" s="20" t="str">
        <x:v>利耶尼亚海域</x:v>
      </x:c>
      <x:c r="D146" s="20" t="n">
        <x:v>6</x:v>
      </x:c>
      <x:c r="E146" s="20" t="str">
        <x:v>湖底密道</x:v>
      </x:c>
      <x:c r="F146" s="20" t="n">
        <x:v>3</x:v>
      </x:c>
      <x:c r="G146" s="20" t="str">
        <x:v>XX369</x:v>
      </x:c>
      <x:c r="H146" s="20" t="str">
        <x:v>深湖秘室</x:v>
      </x:c>
      <x:c r="I146" s="20" t="str">
        <x:v>抱钥湖尸</x:v>
      </x:c>
      <x:c r="J146" s="20" t="str">
        <x:v>蓝色</x:v>
      </x:c>
      <x:c r="K146" s="20" t="str">
        <x:v>稀有</x:v>
      </x:c>
      <x:c r="L146" s="20" t="str">
        <x:v>亡灵</x:v>
      </x:c>
      <x:c r="M146" s="20" t="str">
        <x:v>召唤</x:v>
      </x:c>
      <x:c r="N146" s="20" t="str">
        <x:v>湖尸钥戒</x:v>
      </x:c>
      <x:c r="O146" s="20" t="str">
        <x:v>戒指</x:v>
      </x:c>
      <x:c r="P146" s="20" t="str">
        <x:v>湖盐结晶</x:v>
      </x:c>
      <x:c r="Q146" s="20" t="str">
        <x:v>幽船铆钉</x:v>
      </x:c>
      <x:c r="R146" s="20" t="str">
        <x:v>沉船缆扣</x:v>
      </x:c>
      <x:c r="S146" s="20" t="str">
        <x:v>月潮忆珀</x:v>
      </x:c>
      <x:c r="T146" s="20" t="str">
        <x:v>否</x:v>
      </x:c>
      <x:c r="U146" s="20" t="str">
        <x:v>是（公共奖池）</x:v>
      </x:c>
      <x:c r="V146" s="22" t="str">
        <x:v>结构定稿</x:v>
      </x:c>
      <x:c r="W146" s="36" t="str">
        <x:v>用户自行分配／本表不处理</x:v>
      </x:c>
      <x:c r="X146" s="33" t="n">
        <x:v>6893</x:v>
      </x:c>
      <x:c r="Y146" s="29" t="str">
        <x:v>后期统一平衡</x:v>
      </x:c>
      <x:c r="Z146" s="20" t="str">
        <x:v>一怪一专属；专属来源跟随本行准确地图号</x:v>
      </x:c>
    </x:row>
    <x:row r="147" ht="24" customHeight="1">
      <x:c r="A147" s="20" t="str">
        <x:v>C04-M070</x:v>
      </x:c>
      <x:c r="B147" s="20" t="str">
        <x:v>C04</x:v>
      </x:c>
      <x:c r="C147" s="20" t="str">
        <x:v>利耶尼亚海域</x:v>
      </x:c>
      <x:c r="D147" s="20" t="n">
        <x:v>6</x:v>
      </x:c>
      <x:c r="E147" s="20" t="str">
        <x:v>湖底密道</x:v>
      </x:c>
      <x:c r="F147" s="20" t="n">
        <x:v>3</x:v>
      </x:c>
      <x:c r="G147" s="20" t="str">
        <x:v>XX369</x:v>
      </x:c>
      <x:c r="H147" s="20" t="str">
        <x:v>深湖秘室</x:v>
      </x:c>
      <x:c r="I147" s="20" t="str">
        <x:v>噬门泥怪</x:v>
      </x:c>
      <x:c r="J147" s="20" t="str">
        <x:v>蓝色</x:v>
      </x:c>
      <x:c r="K147" s="20" t="str">
        <x:v>稀有</x:v>
      </x:c>
      <x:c r="L147" s="20" t="str">
        <x:v>异形</x:v>
      </x:c>
      <x:c r="M147" s="20" t="str">
        <x:v>重装</x:v>
      </x:c>
      <x:c r="N147" s="20" t="str">
        <x:v>泥膜束带</x:v>
      </x:c>
      <x:c r="O147" s="20" t="str">
        <x:v>腰带</x:v>
      </x:c>
      <x:c r="P147" s="20" t="str">
        <x:v>湖盐结晶</x:v>
      </x:c>
      <x:c r="Q147" s="20" t="str">
        <x:v>幽船铆钉</x:v>
      </x:c>
      <x:c r="R147" s="20" t="str">
        <x:v>沉船缆扣</x:v>
      </x:c>
      <x:c r="S147" s="20" t="str">
        <x:v>月潮忆珀</x:v>
      </x:c>
      <x:c r="T147" s="20" t="str">
        <x:v>否</x:v>
      </x:c>
      <x:c r="U147" s="20" t="str">
        <x:v>是（公共奖池）</x:v>
      </x:c>
      <x:c r="V147" s="22" t="str">
        <x:v>结构定稿</x:v>
      </x:c>
      <x:c r="W147" s="36" t="str">
        <x:v>用户自行分配／本表不处理</x:v>
      </x:c>
      <x:c r="X147" s="33" t="n">
        <x:v>6758</x:v>
      </x:c>
      <x:c r="Y147" s="29" t="str">
        <x:v>后期统一平衡</x:v>
      </x:c>
      <x:c r="Z147" s="20" t="str">
        <x:v>一怪一专属；专属来源跟随本行准确地图号</x:v>
      </x:c>
    </x:row>
    <x:row r="148" ht="24" customHeight="1">
      <x:c r="A148" s="20" t="str">
        <x:v>C04-M071</x:v>
      </x:c>
      <x:c r="B148" s="20" t="str">
        <x:v>C04</x:v>
      </x:c>
      <x:c r="C148" s="20" t="str">
        <x:v>利耶尼亚海域</x:v>
      </x:c>
      <x:c r="D148" s="20" t="n">
        <x:v>6</x:v>
      </x:c>
      <x:c r="E148" s="20" t="str">
        <x:v>湖底密道</x:v>
      </x:c>
      <x:c r="F148" s="20" t="n">
        <x:v>2</x:v>
      </x:c>
      <x:c r="G148" s="20" t="str">
        <x:v>XX382</x:v>
      </x:c>
      <x:c r="H148" s="20" t="str">
        <x:v>沉水暗渠</x:v>
      </x:c>
      <x:c r="I148" s="20" t="str">
        <x:v>沉渠守誓者·阿涅</x:v>
      </x:c>
      <x:c r="J148" s="20" t="str">
        <x:v>粉色</x:v>
      </x:c>
      <x:c r="K148" s="20" t="str">
        <x:v>地图BOSS</x:v>
      </x:c>
      <x:c r="L148" s="20" t="str">
        <x:v>亡灵</x:v>
      </x:c>
      <x:c r="M148" s="20" t="str">
        <x:v>首领</x:v>
      </x:c>
      <x:c r="N148" s="20" t="str">
        <x:v>阿涅的誓渠枪</x:v>
      </x:c>
      <x:c r="O148" s="20" t="str">
        <x:v>武器</x:v>
      </x:c>
      <x:c r="P148" s="20" t="str">
        <x:v>湖盐结晶</x:v>
      </x:c>
      <x:c r="Q148" s="20" t="str">
        <x:v>幽船铆钉＋沉湖王印</x:v>
      </x:c>
      <x:c r="R148" s="20" t="str">
        <x:v>深湖压舱印</x:v>
      </x:c>
      <x:c r="S148" s="20" t="str">
        <x:v>月潮忆珀</x:v>
      </x:c>
      <x:c r="T148" s="20" t="str">
        <x:v>是（独立奖池）</x:v>
      </x:c>
      <x:c r="U148" s="20" t="str">
        <x:v>是（公共奖池）</x:v>
      </x:c>
      <x:c r="V148" s="22" t="str">
        <x:v>结构定稿</x:v>
      </x:c>
      <x:c r="W148" s="36" t="str">
        <x:v>用户自行分配／本表不处理</x:v>
      </x:c>
      <x:c r="X148" s="33" t="n">
        <x:v>6816</x:v>
      </x:c>
      <x:c r="Y148" s="29" t="str">
        <x:v>后期统一平衡</x:v>
      </x:c>
      <x:c r="Z148" s="20" t="str">
        <x:v>一怪一专属；专属来源跟随本行准确地图号</x:v>
      </x:c>
    </x:row>
    <x:row r="149" ht="24" customHeight="1">
      <x:c r="A149" s="20" t="str">
        <x:v>C04-M072</x:v>
      </x:c>
      <x:c r="B149" s="20" t="str">
        <x:v>C04</x:v>
      </x:c>
      <x:c r="C149" s="20" t="str">
        <x:v>利耶尼亚海域</x:v>
      </x:c>
      <x:c r="D149" s="20" t="n">
        <x:v>6</x:v>
      </x:c>
      <x:c r="E149" s="20" t="str">
        <x:v>湖底密道</x:v>
      </x:c>
      <x:c r="F149" s="20" t="n">
        <x:v>3</x:v>
      </x:c>
      <x:c r="G149" s="20" t="str">
        <x:v>XX369</x:v>
      </x:c>
      <x:c r="H149" s="20" t="str">
        <x:v>深湖秘室</x:v>
      </x:c>
      <x:c r="I149" s="20" t="str">
        <x:v>封室水镜姬·弥洛</x:v>
      </x:c>
      <x:c r="J149" s="20" t="str">
        <x:v>粉色</x:v>
      </x:c>
      <x:c r="K149" s="20" t="str">
        <x:v>地图BOSS</x:v>
      </x:c>
      <x:c r="L149" s="20" t="str">
        <x:v>异形</x:v>
      </x:c>
      <x:c r="M149" s="20" t="str">
        <x:v>首领</x:v>
      </x:c>
      <x:c r="N149" s="20" t="str">
        <x:v>弥洛镜水衣</x:v>
      </x:c>
      <x:c r="O149" s="20" t="str">
        <x:v>衣服</x:v>
      </x:c>
      <x:c r="P149" s="20" t="str">
        <x:v>湖盐结晶</x:v>
      </x:c>
      <x:c r="Q149" s="20" t="str">
        <x:v>幽船铆钉＋沉湖王印</x:v>
      </x:c>
      <x:c r="R149" s="20" t="str">
        <x:v>深湖压舱印</x:v>
      </x:c>
      <x:c r="S149" s="20" t="str">
        <x:v>月潮忆珀</x:v>
      </x:c>
      <x:c r="T149" s="20" t="str">
        <x:v>是（独立奖池）</x:v>
      </x:c>
      <x:c r="U149" s="20" t="str">
        <x:v>是（公共奖池）</x:v>
      </x:c>
      <x:c r="V149" s="22" t="str">
        <x:v>结构定稿</x:v>
      </x:c>
      <x:c r="W149" s="36" t="str">
        <x:v>用户自行分配／本表不处理</x:v>
      </x:c>
      <x:c r="X149" s="33" t="n">
        <x:v>6817</x:v>
      </x:c>
      <x:c r="Y149" s="29" t="str">
        <x:v>后期统一平衡</x:v>
      </x:c>
      <x:c r="Z149" s="20" t="str">
        <x:v>一怪一专属；专属来源跟随本行准确地图号</x:v>
      </x:c>
    </x:row>
    <x:row r="150" ht="24" customHeight="1">
      <x:c r="A150" s="20" t="str">
        <x:v>C04-M073</x:v>
      </x:c>
      <x:c r="B150" s="20" t="str">
        <x:v>C04</x:v>
      </x:c>
      <x:c r="C150" s="20" t="str">
        <x:v>利耶尼亚海域</x:v>
      </x:c>
      <x:c r="D150" s="20" t="n">
        <x:v>6</x:v>
      </x:c>
      <x:c r="E150" s="20" t="str">
        <x:v>湖底密道</x:v>
      </x:c>
      <x:c r="F150" s="20" t="n">
        <x:v>3</x:v>
      </x:c>
      <x:c r="G150" s="20" t="str">
        <x:v>XX369</x:v>
      </x:c>
      <x:c r="H150" s="20" t="str">
        <x:v>深湖秘室</x:v>
      </x:c>
      <x:c r="I150" s="20" t="str">
        <x:v>闭潮王·莱弥恩</x:v>
      </x:c>
      <x:c r="J150" s="20" t="str">
        <x:v>红色</x:v>
      </x:c>
      <x:c r="K150" s="20" t="str">
        <x:v>守关BOSS</x:v>
      </x:c>
      <x:c r="L150" s="20" t="str">
        <x:v>人形</x:v>
      </x:c>
      <x:c r="M150" s="20" t="str">
        <x:v>首领</x:v>
      </x:c>
      <x:c r="N150" s="20" t="str">
        <x:v>莱弥恩的封湖巨剑</x:v>
      </x:c>
      <x:c r="O150" s="20" t="str">
        <x:v>武器</x:v>
      </x:c>
      <x:c r="P150" s="20" t="str">
        <x:v>湖盐结晶</x:v>
      </x:c>
      <x:c r="Q150" s="20" t="str">
        <x:v>幽船铆钉＋沉湖王印</x:v>
      </x:c>
      <x:c r="R150" s="20" t="str">
        <x:v>湖底封门珠</x:v>
      </x:c>
      <x:c r="S150" s="20" t="str">
        <x:v>月潮忆珀</x:v>
      </x:c>
      <x:c r="T150" s="20" t="str">
        <x:v>是（独立奖池）</x:v>
      </x:c>
      <x:c r="U150" s="20" t="str">
        <x:v>是（公共奖池）</x:v>
      </x:c>
      <x:c r="V150" s="22" t="str">
        <x:v>结构定稿</x:v>
      </x:c>
      <x:c r="W150" s="36" t="str">
        <x:v>用户自行分配／本表不处理</x:v>
      </x:c>
      <x:c r="X150" s="33" t="n">
        <x:v>6851</x:v>
      </x:c>
      <x:c r="Y150" s="29" t="str">
        <x:v>后期统一平衡</x:v>
      </x:c>
      <x:c r="Z150" s="20" t="str">
        <x:v>大陆最终守关；本表不填属性、爆率和货币</x:v>
      </x:c>
    </x:row>
    <x:row r="151" ht="24" customHeight="1">
      <x:c r="A151" s="20" t="str">
        <x:v>C05-M001</x:v>
      </x:c>
      <x:c r="B151" s="20" t="str">
        <x:v>C05</x:v>
      </x:c>
      <x:c r="C151" s="20" t="str">
        <x:v>湖之利耶尼亚</x:v>
      </x:c>
      <x:c r="D151" s="20" t="n">
        <x:v>1</x:v>
      </x:c>
      <x:c r="E151" s="20" t="str">
        <x:v>雾月水庭</x:v>
      </x:c>
      <x:c r="F151" s="20" t="n">
        <x:v>1</x:v>
      </x:c>
      <x:c r="G151" s="20" t="str">
        <x:v>XX338</x:v>
      </x:c>
      <x:c r="H151" s="20" t="str">
        <x:v>雾月水庭</x:v>
      </x:c>
      <x:c r="I151" s="20" t="str">
        <x:v>雾汐游魂</x:v>
      </x:c>
      <x:c r="J151" s="20" t="str">
        <x:v>黄色</x:v>
      </x:c>
      <x:c r="K151" s="20" t="str">
        <x:v>普通</x:v>
      </x:c>
      <x:c r="L151" s="20" t="str">
        <x:v>潮雾幽魂</x:v>
      </x:c>
      <x:c r="M151" s="20" t="str">
        <x:v>近战游击</x:v>
      </x:c>
      <x:c r="N151" s="20" t="str">
        <x:v>雾汐踏波履</x:v>
      </x:c>
      <x:c r="O151" s="20" t="str">
        <x:v>鞋子</x:v>
      </x:c>
      <x:c r="P151" s="20" t="str">
        <x:v>辉石碎晶</x:v>
      </x:c>
      <x:c r="Q151" s="20" t="str"/>
      <x:c r="R151" s="20" t="str">
        <x:v>雾月星砂</x:v>
      </x:c>
      <x:c r="S151" s="20" t="str">
        <x:v>湖心月谱残章</x:v>
      </x:c>
      <x:c r="T151" s="20" t="str">
        <x:v>否</x:v>
      </x:c>
      <x:c r="U151" s="20" t="str">
        <x:v>是（公共奖池）</x:v>
      </x:c>
      <x:c r="V151" s="22" t="str">
        <x:v>结构定稿</x:v>
      </x:c>
      <x:c r="W151" s="36" t="str">
        <x:v>用户自行分配／本表不处理</x:v>
      </x:c>
      <x:c r="X151" s="33" t="n">
        <x:v>6862</x:v>
      </x:c>
      <x:c r="Y151" s="29" t="str">
        <x:v>后期统一平衡</x:v>
      </x:c>
      <x:c r="Z151" s="20" t="str">
        <x:v>一怪一专属；专属来源跟随本行准确地图号</x:v>
      </x:c>
    </x:row>
    <x:row r="152" ht="24" customHeight="1">
      <x:c r="A152" s="20" t="str">
        <x:v>C05-M002</x:v>
      </x:c>
      <x:c r="B152" s="20" t="str">
        <x:v>C05</x:v>
      </x:c>
      <x:c r="C152" s="20" t="str">
        <x:v>湖之利耶尼亚</x:v>
      </x:c>
      <x:c r="D152" s="20" t="n">
        <x:v>1</x:v>
      </x:c>
      <x:c r="E152" s="20" t="str">
        <x:v>雾月水庭</x:v>
      </x:c>
      <x:c r="F152" s="20" t="n">
        <x:v>1</x:v>
      </x:c>
      <x:c r="G152" s="20" t="str">
        <x:v>XX338</x:v>
      </x:c>
      <x:c r="H152" s="20" t="str">
        <x:v>雾月水庭</x:v>
      </x:c>
      <x:c r="I152" s="20" t="str">
        <x:v>水庭苔甲蟹</x:v>
      </x:c>
      <x:c r="J152" s="20" t="str">
        <x:v>黄色</x:v>
      </x:c>
      <x:c r="K152" s="20" t="str">
        <x:v>普通</x:v>
      </x:c>
      <x:c r="L152" s="20" t="str">
        <x:v>水生甲兽</x:v>
      </x:c>
      <x:c r="M152" s="20" t="str">
        <x:v>前排牵制</x:v>
      </x:c>
      <x:c r="N152" s="20" t="str">
        <x:v>苔纹潮壳盾</x:v>
      </x:c>
      <x:c r="O152" s="20" t="str">
        <x:v>盾牌</x:v>
      </x:c>
      <x:c r="P152" s="20" t="str">
        <x:v>辉石碎晶</x:v>
      </x:c>
      <x:c r="Q152" s="20" t="str"/>
      <x:c r="R152" s="20" t="str">
        <x:v>雾月星砂</x:v>
      </x:c>
      <x:c r="S152" s="20" t="str">
        <x:v>湖心月谱残章</x:v>
      </x:c>
      <x:c r="T152" s="20" t="str">
        <x:v>否</x:v>
      </x:c>
      <x:c r="U152" s="20" t="str">
        <x:v>是（公共奖池）</x:v>
      </x:c>
      <x:c r="V152" s="22" t="str">
        <x:v>结构定稿</x:v>
      </x:c>
      <x:c r="W152" s="36" t="str">
        <x:v>用户自行分配／本表不处理</x:v>
      </x:c>
      <x:c r="X152" s="33" t="n">
        <x:v>6825</x:v>
      </x:c>
      <x:c r="Y152" s="29" t="str">
        <x:v>后期统一平衡</x:v>
      </x:c>
      <x:c r="Z152" s="20" t="str">
        <x:v>一怪一专属；专属来源跟随本行准确地图号</x:v>
      </x:c>
    </x:row>
    <x:row r="153" ht="24" customHeight="1">
      <x:c r="A153" s="20" t="str">
        <x:v>C05-M003</x:v>
      </x:c>
      <x:c r="B153" s="20" t="str">
        <x:v>C05</x:v>
      </x:c>
      <x:c r="C153" s="20" t="str">
        <x:v>湖之利耶尼亚</x:v>
      </x:c>
      <x:c r="D153" s="20" t="n">
        <x:v>1</x:v>
      </x:c>
      <x:c r="E153" s="20" t="str">
        <x:v>雾月水庭</x:v>
      </x:c>
      <x:c r="F153" s="20" t="n">
        <x:v>2</x:v>
      </x:c>
      <x:c r="G153" s="20" t="str">
        <x:v>XX339</x:v>
      </x:c>
      <x:c r="H153" s="20" t="str">
        <x:v>月雾回廊</x:v>
      </x:c>
      <x:c r="I153" s="20" t="str">
        <x:v>月雾提灯侍</x:v>
      </x:c>
      <x:c r="J153" s="20" t="str">
        <x:v>黄色</x:v>
      </x:c>
      <x:c r="K153" s="20" t="str">
        <x:v>普通</x:v>
      </x:c>
      <x:c r="L153" s="20" t="str">
        <x:v>水庭侍从</x:v>
      </x:c>
      <x:c r="M153" s="20" t="str">
        <x:v>远程术击</x:v>
      </x:c>
      <x:c r="N153" s="20" t="str">
        <x:v>月翳提灯笠</x:v>
      </x:c>
      <x:c r="O153" s="20" t="str">
        <x:v>斗笠</x:v>
      </x:c>
      <x:c r="P153" s="20" t="str">
        <x:v>辉石碎晶</x:v>
      </x:c>
      <x:c r="Q153" s="20" t="str"/>
      <x:c r="R153" s="20" t="str">
        <x:v>雾月星砂</x:v>
      </x:c>
      <x:c r="S153" s="20" t="str">
        <x:v>湖心月谱残章</x:v>
      </x:c>
      <x:c r="T153" s="20" t="str">
        <x:v>否</x:v>
      </x:c>
      <x:c r="U153" s="20" t="str">
        <x:v>是（公共奖池）</x:v>
      </x:c>
      <x:c r="V153" s="22" t="str">
        <x:v>结构定稿</x:v>
      </x:c>
      <x:c r="W153" s="36" t="str">
        <x:v>用户自行分配／本表不处理</x:v>
      </x:c>
      <x:c r="X153" s="34" t="str">
        <x:v>缺斗笠来源码</x:v>
      </x:c>
      <x:c r="Y153" s="29" t="str">
        <x:v>后期统一平衡</x:v>
      </x:c>
      <x:c r="Z153" s="20" t="str">
        <x:v>一怪一专属；专属来源跟随本行准确地图号</x:v>
      </x:c>
    </x:row>
    <x:row r="154" ht="24" customHeight="1">
      <x:c r="A154" s="20" t="str">
        <x:v>C05-M004</x:v>
      </x:c>
      <x:c r="B154" s="20" t="str">
        <x:v>C05</x:v>
      </x:c>
      <x:c r="C154" s="20" t="str">
        <x:v>湖之利耶尼亚</x:v>
      </x:c>
      <x:c r="D154" s="20" t="n">
        <x:v>1</x:v>
      </x:c>
      <x:c r="E154" s="20" t="str">
        <x:v>雾月水庭</x:v>
      </x:c>
      <x:c r="F154" s="20" t="n">
        <x:v>2</x:v>
      </x:c>
      <x:c r="G154" s="20" t="str">
        <x:v>XX339</x:v>
      </x:c>
      <x:c r="H154" s="20" t="str">
        <x:v>月雾回廊</x:v>
      </x:c>
      <x:c r="I154" s="20" t="str">
        <x:v>回廊凝露蛾</x:v>
      </x:c>
      <x:c r="J154" s="20" t="str">
        <x:v>黄色</x:v>
      </x:c>
      <x:c r="K154" s="20" t="str">
        <x:v>普通</x:v>
      </x:c>
      <x:c r="L154" s="20" t="str">
        <x:v>月雾飞虫</x:v>
      </x:c>
      <x:c r="M154" s="20" t="str">
        <x:v>群体扰乱</x:v>
      </x:c>
      <x:c r="N154" s="20" t="str">
        <x:v>凝露蛾月坠</x:v>
      </x:c>
      <x:c r="O154" s="20" t="str">
        <x:v>项链</x:v>
      </x:c>
      <x:c r="P154" s="20" t="str">
        <x:v>辉石碎晶</x:v>
      </x:c>
      <x:c r="Q154" s="20" t="str"/>
      <x:c r="R154" s="20" t="str">
        <x:v>雾月星砂</x:v>
      </x:c>
      <x:c r="S154" s="20" t="str">
        <x:v>湖心月谱残章</x:v>
      </x:c>
      <x:c r="T154" s="20" t="str">
        <x:v>否</x:v>
      </x:c>
      <x:c r="U154" s="20" t="str">
        <x:v>是（公共奖池）</x:v>
      </x:c>
      <x:c r="V154" s="22" t="str">
        <x:v>结构定稿</x:v>
      </x:c>
      <x:c r="W154" s="36" t="str">
        <x:v>用户自行分配／本表不处理</x:v>
      </x:c>
      <x:c r="X154" s="33" t="n">
        <x:v>6926</x:v>
      </x:c>
      <x:c r="Y154" s="29" t="str">
        <x:v>后期统一平衡</x:v>
      </x:c>
      <x:c r="Z154" s="20" t="str">
        <x:v>一怪一专属；专属来源跟随本行准确地图号</x:v>
      </x:c>
    </x:row>
    <x:row r="155" ht="24" customHeight="1">
      <x:c r="A155" s="20" t="str">
        <x:v>C05-M005</x:v>
      </x:c>
      <x:c r="B155" s="20" t="str">
        <x:v>C05</x:v>
      </x:c>
      <x:c r="C155" s="20" t="str">
        <x:v>湖之利耶尼亚</x:v>
      </x:c>
      <x:c r="D155" s="20" t="n">
        <x:v>1</x:v>
      </x:c>
      <x:c r="E155" s="20" t="str">
        <x:v>雾月水庭</x:v>
      </x:c>
      <x:c r="F155" s="20" t="n">
        <x:v>3</x:v>
      </x:c>
      <x:c r="G155" s="20" t="str">
        <x:v>XX331</x:v>
      </x:c>
      <x:c r="H155" s="20" t="str">
        <x:v>静月祭庭</x:v>
      </x:c>
      <x:c r="I155" s="20" t="str">
        <x:v>静月执盏者</x:v>
      </x:c>
      <x:c r="J155" s="20" t="str">
        <x:v>黄色</x:v>
      </x:c>
      <x:c r="K155" s="20" t="str">
        <x:v>普通</x:v>
      </x:c>
      <x:c r="L155" s="20" t="str">
        <x:v>祭庭侍从</x:v>
      </x:c>
      <x:c r="M155" s="20" t="str">
        <x:v>仪式支援</x:v>
      </x:c>
      <x:c r="N155" s="20" t="str">
        <x:v>静盏银纹镯</x:v>
      </x:c>
      <x:c r="O155" s="20" t="str">
        <x:v>手镯</x:v>
      </x:c>
      <x:c r="P155" s="20" t="str">
        <x:v>辉石碎晶</x:v>
      </x:c>
      <x:c r="Q155" s="20" t="str"/>
      <x:c r="R155" s="20" t="str">
        <x:v>雾月星砂</x:v>
      </x:c>
      <x:c r="S155" s="20" t="str">
        <x:v>湖心月谱残章</x:v>
      </x:c>
      <x:c r="T155" s="20" t="str">
        <x:v>否</x:v>
      </x:c>
      <x:c r="U155" s="20" t="str">
        <x:v>是（公共奖池）</x:v>
      </x:c>
      <x:c r="V155" s="22" t="str">
        <x:v>结构定稿</x:v>
      </x:c>
      <x:c r="W155" s="36" t="str">
        <x:v>用户自行分配／本表不处理</x:v>
      </x:c>
      <x:c r="X155" s="33" t="n">
        <x:v>6892</x:v>
      </x:c>
      <x:c r="Y155" s="29" t="str">
        <x:v>后期统一平衡</x:v>
      </x:c>
      <x:c r="Z155" s="20" t="str">
        <x:v>一怪一专属；专属来源跟随本行准确地图号</x:v>
      </x:c>
    </x:row>
    <x:row r="156" ht="24" customHeight="1">
      <x:c r="A156" s="20" t="str">
        <x:v>C05-M006</x:v>
      </x:c>
      <x:c r="B156" s="20" t="str">
        <x:v>C05</x:v>
      </x:c>
      <x:c r="C156" s="20" t="str">
        <x:v>湖之利耶尼亚</x:v>
      </x:c>
      <x:c r="D156" s="20" t="n">
        <x:v>1</x:v>
      </x:c>
      <x:c r="E156" s="20" t="str">
        <x:v>雾月水庭</x:v>
      </x:c>
      <x:c r="F156" s="20" t="n">
        <x:v>3</x:v>
      </x:c>
      <x:c r="G156" s="20" t="str">
        <x:v>XX331</x:v>
      </x:c>
      <x:c r="H156" s="20" t="str">
        <x:v>静月祭庭</x:v>
      </x:c>
      <x:c r="I156" s="20" t="str">
        <x:v>祭庭涟影</x:v>
      </x:c>
      <x:c r="J156" s="20" t="str">
        <x:v>黄色</x:v>
      </x:c>
      <x:c r="K156" s="20" t="str">
        <x:v>普通</x:v>
      </x:c>
      <x:c r="L156" s="20" t="str">
        <x:v>水影灵体</x:v>
      </x:c>
      <x:c r="M156" s="20" t="str">
        <x:v>近战突袭</x:v>
      </x:c>
      <x:c r="N156" s="20" t="str">
        <x:v>涟影回波戒</x:v>
      </x:c>
      <x:c r="O156" s="20" t="str">
        <x:v>戒指</x:v>
      </x:c>
      <x:c r="P156" s="20" t="str">
        <x:v>辉石碎晶</x:v>
      </x:c>
      <x:c r="Q156" s="20" t="str"/>
      <x:c r="R156" s="20" t="str">
        <x:v>雾月星砂</x:v>
      </x:c>
      <x:c r="S156" s="20" t="str">
        <x:v>湖心月谱残章</x:v>
      </x:c>
      <x:c r="T156" s="20" t="str">
        <x:v>否</x:v>
      </x:c>
      <x:c r="U156" s="20" t="str">
        <x:v>是（公共奖池）</x:v>
      </x:c>
      <x:c r="V156" s="22" t="str">
        <x:v>结构定稿</x:v>
      </x:c>
      <x:c r="W156" s="36" t="str">
        <x:v>用户自行分配／本表不处理</x:v>
      </x:c>
      <x:c r="X156" s="33" t="n">
        <x:v>6928</x:v>
      </x:c>
      <x:c r="Y156" s="29" t="str">
        <x:v>后期统一平衡</x:v>
      </x:c>
      <x:c r="Z156" s="20" t="str">
        <x:v>一怪一专属；专属来源跟随本行准确地图号</x:v>
      </x:c>
    </x:row>
    <x:row r="157" ht="24" customHeight="1">
      <x:c r="A157" s="20" t="str">
        <x:v>C05-M007</x:v>
      </x:c>
      <x:c r="B157" s="20" t="str">
        <x:v>C05</x:v>
      </x:c>
      <x:c r="C157" s="20" t="str">
        <x:v>湖之利耶尼亚</x:v>
      </x:c>
      <x:c r="D157" s="20" t="n">
        <x:v>1</x:v>
      </x:c>
      <x:c r="E157" s="20" t="str">
        <x:v>雾月水庭</x:v>
      </x:c>
      <x:c r="F157" s="20" t="n">
        <x:v>1</x:v>
      </x:c>
      <x:c r="G157" s="20" t="str">
        <x:v>XX338</x:v>
      </x:c>
      <x:c r="H157" s="20" t="str">
        <x:v>雾月水庭</x:v>
      </x:c>
      <x:c r="I157" s="20" t="str">
        <x:v>银雾汲月兽</x:v>
      </x:c>
      <x:c r="J157" s="20" t="str">
        <x:v>蓝色</x:v>
      </x:c>
      <x:c r="K157" s="20" t="str">
        <x:v>稀有</x:v>
      </x:c>
      <x:c r="L157" s="20" t="str">
        <x:v>月雾异兽</x:v>
      </x:c>
      <x:c r="M157" s="20" t="str">
        <x:v>范围控制</x:v>
      </x:c>
      <x:c r="N157" s="20" t="str">
        <x:v>汲月雾绦</x:v>
      </x:c>
      <x:c r="O157" s="20" t="str">
        <x:v>腰带</x:v>
      </x:c>
      <x:c r="P157" s="20" t="str">
        <x:v>辉石碎晶</x:v>
      </x:c>
      <x:c r="Q157" s="20" t="str">
        <x:v>卡利亚月露</x:v>
      </x:c>
      <x:c r="R157" s="20" t="str">
        <x:v>学院封蜡</x:v>
      </x:c>
      <x:c r="S157" s="20" t="str">
        <x:v>湖心月谱残章</x:v>
      </x:c>
      <x:c r="T157" s="20" t="str">
        <x:v>否</x:v>
      </x:c>
      <x:c r="U157" s="20" t="str">
        <x:v>是（公共奖池）</x:v>
      </x:c>
      <x:c r="V157" s="22" t="str">
        <x:v>结构定稿</x:v>
      </x:c>
      <x:c r="W157" s="36" t="str">
        <x:v>用户自行分配／本表不处理</x:v>
      </x:c>
      <x:c r="X157" s="33" t="n">
        <x:v>6793</x:v>
      </x:c>
      <x:c r="Y157" s="29" t="str">
        <x:v>后期统一平衡</x:v>
      </x:c>
      <x:c r="Z157" s="20" t="str">
        <x:v>一怪一专属；专属来源跟随本行准确地图号</x:v>
      </x:c>
    </x:row>
    <x:row r="158" ht="24" customHeight="1">
      <x:c r="A158" s="20" t="str">
        <x:v>C05-M008</x:v>
      </x:c>
      <x:c r="B158" s="20" t="str">
        <x:v>C05</x:v>
      </x:c>
      <x:c r="C158" s="20" t="str">
        <x:v>湖之利耶尼亚</x:v>
      </x:c>
      <x:c r="D158" s="20" t="n">
        <x:v>1</x:v>
      </x:c>
      <x:c r="E158" s="20" t="str">
        <x:v>雾月水庭</x:v>
      </x:c>
      <x:c r="F158" s="20" t="n">
        <x:v>1</x:v>
      </x:c>
      <x:c r="G158" s="20" t="str">
        <x:v>XX338</x:v>
      </x:c>
      <x:c r="H158" s="20" t="str">
        <x:v>雾月水庭</x:v>
      </x:c>
      <x:c r="I158" s="20" t="str">
        <x:v>镜荷守梦灵</x:v>
      </x:c>
      <x:c r="J158" s="20" t="str">
        <x:v>蓝色</x:v>
      </x:c>
      <x:c r="K158" s="20" t="str">
        <x:v>稀有</x:v>
      </x:c>
      <x:c r="L158" s="20" t="str">
        <x:v>镜荷植灵</x:v>
      </x:c>
      <x:c r="M158" s="20" t="str">
        <x:v>护卫反击</x:v>
      </x:c>
      <x:c r="N158" s="20" t="str">
        <x:v>镜荷眠梦冠</x:v>
      </x:c>
      <x:c r="O158" s="20" t="str">
        <x:v>头盔</x:v>
      </x:c>
      <x:c r="P158" s="20" t="str">
        <x:v>辉石碎晶</x:v>
      </x:c>
      <x:c r="Q158" s="20" t="str">
        <x:v>卡利亚月露</x:v>
      </x:c>
      <x:c r="R158" s="20" t="str">
        <x:v>学院封蜡</x:v>
      </x:c>
      <x:c r="S158" s="20" t="str">
        <x:v>湖心月谱残章</x:v>
      </x:c>
      <x:c r="T158" s="20" t="str">
        <x:v>否</x:v>
      </x:c>
      <x:c r="U158" s="20" t="str">
        <x:v>是（公共奖池）</x:v>
      </x:c>
      <x:c r="V158" s="22" t="str">
        <x:v>结构定稿</x:v>
      </x:c>
      <x:c r="W158" s="36" t="str">
        <x:v>用户自行分配／本表不处理</x:v>
      </x:c>
      <x:c r="X158" s="33" t="n">
        <x:v>6924</x:v>
      </x:c>
      <x:c r="Y158" s="29" t="str">
        <x:v>后期统一平衡</x:v>
      </x:c>
      <x:c r="Z158" s="20" t="str">
        <x:v>一怪一专属；专属来源跟随本行准确地图号</x:v>
      </x:c>
    </x:row>
    <x:row r="159" ht="24" customHeight="1">
      <x:c r="A159" s="20" t="str">
        <x:v>C05-M009</x:v>
      </x:c>
      <x:c r="B159" s="20" t="str">
        <x:v>C05</x:v>
      </x:c>
      <x:c r="C159" s="20" t="str">
        <x:v>湖之利耶尼亚</x:v>
      </x:c>
      <x:c r="D159" s="20" t="n">
        <x:v>1</x:v>
      </x:c>
      <x:c r="E159" s="20" t="str">
        <x:v>雾月水庭</x:v>
      </x:c>
      <x:c r="F159" s="20" t="n">
        <x:v>2</x:v>
      </x:c>
      <x:c r="G159" s="20" t="str">
        <x:v>XX339</x:v>
      </x:c>
      <x:c r="H159" s="20" t="str">
        <x:v>月雾回廊</x:v>
      </x:c>
      <x:c r="I159" s="20" t="str">
        <x:v>月纱回声女官</x:v>
      </x:c>
      <x:c r="J159" s="20" t="str">
        <x:v>蓝色</x:v>
      </x:c>
      <x:c r="K159" s="20" t="str">
        <x:v>稀有</x:v>
      </x:c>
      <x:c r="L159" s="20" t="str">
        <x:v>雾庭女官</x:v>
      </x:c>
      <x:c r="M159" s="20" t="str">
        <x:v>远程压制</x:v>
      </x:c>
      <x:c r="N159" s="20" t="str">
        <x:v>月纱回音章</x:v>
      </x:c>
      <x:c r="O159" s="20" t="str">
        <x:v>勋章</x:v>
      </x:c>
      <x:c r="P159" s="20" t="str">
        <x:v>辉石碎晶</x:v>
      </x:c>
      <x:c r="Q159" s="20" t="str">
        <x:v>卡利亚月露</x:v>
      </x:c>
      <x:c r="R159" s="20" t="str">
        <x:v>学院封蜡</x:v>
      </x:c>
      <x:c r="S159" s="20" t="str">
        <x:v>湖心月谱残章</x:v>
      </x:c>
      <x:c r="T159" s="20" t="str">
        <x:v>否</x:v>
      </x:c>
      <x:c r="U159" s="20" t="str">
        <x:v>是（公共奖池）</x:v>
      </x:c>
      <x:c r="V159" s="22" t="str">
        <x:v>结构定稿</x:v>
      </x:c>
      <x:c r="W159" s="36" t="str">
        <x:v>用户自行分配／本表不处理</x:v>
      </x:c>
      <x:c r="X159" s="33" t="n">
        <x:v>6684</x:v>
      </x:c>
      <x:c r="Y159" s="29" t="str">
        <x:v>后期统一平衡</x:v>
      </x:c>
      <x:c r="Z159" s="20" t="str">
        <x:v>一怪一专属；专属来源跟随本行准确地图号</x:v>
      </x:c>
    </x:row>
    <x:row r="160" ht="24" customHeight="1">
      <x:c r="A160" s="20" t="str">
        <x:v>C05-M010</x:v>
      </x:c>
      <x:c r="B160" s="20" t="str">
        <x:v>C05</x:v>
      </x:c>
      <x:c r="C160" s="20" t="str">
        <x:v>湖之利耶尼亚</x:v>
      </x:c>
      <x:c r="D160" s="20" t="n">
        <x:v>1</x:v>
      </x:c>
      <x:c r="E160" s="20" t="str">
        <x:v>雾月水庭</x:v>
      </x:c>
      <x:c r="F160" s="20" t="n">
        <x:v>3</x:v>
      </x:c>
      <x:c r="G160" s="20" t="str">
        <x:v>XX331</x:v>
      </x:c>
      <x:c r="H160" s="20" t="str">
        <x:v>静月祭庭</x:v>
      </x:c>
      <x:c r="I160" s="20" t="str">
        <x:v>静潮祷月祭司</x:v>
      </x:c>
      <x:c r="J160" s="20" t="str">
        <x:v>蓝色</x:v>
      </x:c>
      <x:c r="K160" s="20" t="str">
        <x:v>稀有</x:v>
      </x:c>
      <x:c r="L160" s="20" t="str">
        <x:v>静月祭司</x:v>
      </x:c>
      <x:c r="M160" s="20" t="str">
        <x:v>祷仪支援</x:v>
      </x:c>
      <x:c r="N160" s="20" t="str">
        <x:v>静潮祷仪袍</x:v>
      </x:c>
      <x:c r="O160" s="20" t="str">
        <x:v>衣服</x:v>
      </x:c>
      <x:c r="P160" s="20" t="str">
        <x:v>辉石碎晶</x:v>
      </x:c>
      <x:c r="Q160" s="20" t="str">
        <x:v>卡利亚月露</x:v>
      </x:c>
      <x:c r="R160" s="20" t="str">
        <x:v>学院封蜡</x:v>
      </x:c>
      <x:c r="S160" s="20" t="str">
        <x:v>湖心月谱残章</x:v>
      </x:c>
      <x:c r="T160" s="20" t="str">
        <x:v>否</x:v>
      </x:c>
      <x:c r="U160" s="20" t="str">
        <x:v>是（公共奖池）</x:v>
      </x:c>
      <x:c r="V160" s="22" t="str">
        <x:v>结构定稿</x:v>
      </x:c>
      <x:c r="W160" s="36" t="str">
        <x:v>用户自行分配／本表不处理</x:v>
      </x:c>
      <x:c r="X160" s="34" t="str">
        <x:v>缺衣服来源码</x:v>
      </x:c>
      <x:c r="Y160" s="29" t="str">
        <x:v>后期统一平衡</x:v>
      </x:c>
      <x:c r="Z160" s="20" t="str">
        <x:v>一怪一专属；专属来源跟随本行准确地图号</x:v>
      </x:c>
    </x:row>
    <x:row r="161" ht="24" customHeight="1">
      <x:c r="A161" s="20" t="str">
        <x:v>C05-M011</x:v>
      </x:c>
      <x:c r="B161" s="20" t="str">
        <x:v>C05</x:v>
      </x:c>
      <x:c r="C161" s="20" t="str">
        <x:v>湖之利耶尼亚</x:v>
      </x:c>
      <x:c r="D161" s="20" t="n">
        <x:v>1</x:v>
      </x:c>
      <x:c r="E161" s="20" t="str">
        <x:v>雾月水庭</x:v>
      </x:c>
      <x:c r="F161" s="20" t="n">
        <x:v>2</x:v>
      </x:c>
      <x:c r="G161" s="20" t="str">
        <x:v>XX339</x:v>
      </x:c>
      <x:c r="H161" s="20" t="str">
        <x:v>月雾回廊</x:v>
      </x:c>
      <x:c r="I161" s="20" t="str">
        <x:v>雾冠巡庭侯</x:v>
      </x:c>
      <x:c r="J161" s="20" t="str">
        <x:v>粉色</x:v>
      </x:c>
      <x:c r="K161" s="20" t="str">
        <x:v>地图BOSS</x:v>
      </x:c>
      <x:c r="L161" s="20" t="str">
        <x:v>月雾骑士</x:v>
      </x:c>
      <x:c r="M161" s="20" t="str">
        <x:v>首领突进</x:v>
      </x:c>
      <x:c r="N161" s="20" t="str">
        <x:v>雾冠巡庭刃</x:v>
      </x:c>
      <x:c r="O161" s="20" t="str">
        <x:v>武器</x:v>
      </x:c>
      <x:c r="P161" s="20" t="str">
        <x:v>辉石碎晶</x:v>
      </x:c>
      <x:c r="Q161" s="20" t="str">
        <x:v>卡利亚月露＋满月王室印</x:v>
      </x:c>
      <x:c r="R161" s="20" t="str">
        <x:v>月蚀镜片</x:v>
      </x:c>
      <x:c r="S161" s="20" t="str">
        <x:v>湖心月谱残章</x:v>
      </x:c>
      <x:c r="T161" s="20" t="str">
        <x:v>是（独立奖池）</x:v>
      </x:c>
      <x:c r="U161" s="20" t="str">
        <x:v>是（公共奖池）</x:v>
      </x:c>
      <x:c r="V161" s="22" t="str">
        <x:v>结构定稿</x:v>
      </x:c>
      <x:c r="W161" s="36" t="str">
        <x:v>用户自行分配／本表不处理</x:v>
      </x:c>
      <x:c r="X161" s="33" t="n">
        <x:v>6886</x:v>
      </x:c>
      <x:c r="Y161" s="29" t="str">
        <x:v>后期统一平衡</x:v>
      </x:c>
      <x:c r="Z161" s="20" t="str">
        <x:v>一怪一专属；专属来源跟随本行准确地图号</x:v>
      </x:c>
    </x:row>
    <x:row r="162" ht="24" customHeight="1">
      <x:c r="A162" s="20" t="str">
        <x:v>C05-M012</x:v>
      </x:c>
      <x:c r="B162" s="20" t="str">
        <x:v>C05</x:v>
      </x:c>
      <x:c r="C162" s="20" t="str">
        <x:v>湖之利耶尼亚</x:v>
      </x:c>
      <x:c r="D162" s="20" t="n">
        <x:v>1</x:v>
      </x:c>
      <x:c r="E162" s="20" t="str">
        <x:v>雾月水庭</x:v>
      </x:c>
      <x:c r="F162" s="20" t="n">
        <x:v>3</x:v>
      </x:c>
      <x:c r="G162" s="20" t="str">
        <x:v>XX331</x:v>
      </x:c>
      <x:c r="H162" s="20" t="str">
        <x:v>静月祭庭</x:v>
      </x:c>
      <x:c r="I162" s="20" t="str">
        <x:v>沉月镜池圣母</x:v>
      </x:c>
      <x:c r="J162" s="20" t="str">
        <x:v>粉色</x:v>
      </x:c>
      <x:c r="K162" s="20" t="str">
        <x:v>地图BOSS</x:v>
      </x:c>
      <x:c r="L162" s="20" t="str">
        <x:v>镜池神灵</x:v>
      </x:c>
      <x:c r="M162" s="20" t="str">
        <x:v>首领控场</x:v>
      </x:c>
      <x:c r="N162" s="20" t="str">
        <x:v>沉月镜池华服</x:v>
      </x:c>
      <x:c r="O162" s="20" t="str">
        <x:v>衣服</x:v>
      </x:c>
      <x:c r="P162" s="20" t="str">
        <x:v>辉石碎晶</x:v>
      </x:c>
      <x:c r="Q162" s="20" t="str">
        <x:v>卡利亚月露＋满月王室印</x:v>
      </x:c>
      <x:c r="R162" s="20" t="str">
        <x:v>月蚀镜片</x:v>
      </x:c>
      <x:c r="S162" s="20" t="str">
        <x:v>湖心月谱残章</x:v>
      </x:c>
      <x:c r="T162" s="20" t="str">
        <x:v>是（独立奖池）</x:v>
      </x:c>
      <x:c r="U162" s="20" t="str">
        <x:v>是（公共奖池）</x:v>
      </x:c>
      <x:c r="V162" s="22" t="str">
        <x:v>结构定稿</x:v>
      </x:c>
      <x:c r="W162" s="36" t="str">
        <x:v>用户自行分配／本表不处理</x:v>
      </x:c>
      <x:c r="X162" s="33" t="n">
        <x:v>6852</x:v>
      </x:c>
      <x:c r="Y162" s="29" t="str">
        <x:v>后期统一平衡</x:v>
      </x:c>
      <x:c r="Z162" s="20" t="str">
        <x:v>一怪一专属；专属来源跟随本行准确地图号</x:v>
      </x:c>
    </x:row>
    <x:row r="163" ht="24" customHeight="1">
      <x:c r="A163" s="20" t="str">
        <x:v>C05-M013</x:v>
      </x:c>
      <x:c r="B163" s="20" t="str">
        <x:v>C05</x:v>
      </x:c>
      <x:c r="C163" s="20" t="str">
        <x:v>湖之利耶尼亚</x:v>
      </x:c>
      <x:c r="D163" s="20" t="n">
        <x:v>2</x:v>
      </x:c>
      <x:c r="E163" s="20" t="str">
        <x:v>辉石遗迹</x:v>
      </x:c>
      <x:c r="F163" s="20" t="n">
        <x:v>1</x:v>
      </x:c>
      <x:c r="G163" s="20" t="str">
        <x:v>XX812</x:v>
      </x:c>
      <x:c r="H163" s="20" t="str">
        <x:v>辉石遗迹</x:v>
      </x:c>
      <x:c r="I163" s="20" t="str">
        <x:v>碎辉穴蜥</x:v>
      </x:c>
      <x:c r="J163" s="20" t="str">
        <x:v>黄色</x:v>
      </x:c>
      <x:c r="K163" s="20" t="str">
        <x:v>普通</x:v>
      </x:c>
      <x:c r="L163" s="20" t="str">
        <x:v>辉石穴兽</x:v>
      </x:c>
      <x:c r="M163" s="20" t="str">
        <x:v>近战追击</x:v>
      </x:c>
      <x:c r="N163" s="20" t="str">
        <x:v>碎辉鳞踏靴</x:v>
      </x:c>
      <x:c r="O163" s="20" t="str">
        <x:v>鞋子</x:v>
      </x:c>
      <x:c r="P163" s="20" t="str">
        <x:v>辉石碎晶</x:v>
      </x:c>
      <x:c r="Q163" s="20" t="str"/>
      <x:c r="R163" s="20" t="str">
        <x:v>雾月星砂</x:v>
      </x:c>
      <x:c r="S163" s="20" t="str">
        <x:v>湖心月谱残章</x:v>
      </x:c>
      <x:c r="T163" s="20" t="str">
        <x:v>否</x:v>
      </x:c>
      <x:c r="U163" s="20" t="str">
        <x:v>是（公共奖池）</x:v>
      </x:c>
      <x:c r="V163" s="22" t="str">
        <x:v>结构定稿</x:v>
      </x:c>
      <x:c r="W163" s="36" t="str">
        <x:v>用户自行分配／本表不处理</x:v>
      </x:c>
      <x:c r="X163" s="33" t="n">
        <x:v>6897</x:v>
      </x:c>
      <x:c r="Y163" s="29" t="str">
        <x:v>后期统一平衡</x:v>
      </x:c>
      <x:c r="Z163" s="20" t="str">
        <x:v>一怪一专属；专属来源跟随本行准确地图号</x:v>
      </x:c>
    </x:row>
    <x:row r="164" ht="24" customHeight="1">
      <x:c r="A164" s="20" t="str">
        <x:v>C05-M014</x:v>
      </x:c>
      <x:c r="B164" s="20" t="str">
        <x:v>C05</x:v>
      </x:c>
      <x:c r="C164" s="20" t="str">
        <x:v>湖之利耶尼亚</x:v>
      </x:c>
      <x:c r="D164" s="20" t="n">
        <x:v>2</x:v>
      </x:c>
      <x:c r="E164" s="20" t="str">
        <x:v>辉石遗迹</x:v>
      </x:c>
      <x:c r="F164" s="20" t="n">
        <x:v>1</x:v>
      </x:c>
      <x:c r="G164" s="20" t="str">
        <x:v>XX812</x:v>
      </x:c>
      <x:c r="H164" s="20" t="str">
        <x:v>辉石遗迹</x:v>
      </x:c>
      <x:c r="I164" s="20" t="str">
        <x:v>遗迹刻晶奴</x:v>
      </x:c>
      <x:c r="J164" s="20" t="str">
        <x:v>黄色</x:v>
      </x:c>
      <x:c r="K164" s="20" t="str">
        <x:v>普通</x:v>
      </x:c>
      <x:c r="L164" s="20" t="str">
        <x:v>刻晶人形</x:v>
      </x:c>
      <x:c r="M164" s="20" t="str">
        <x:v>近战牵制</x:v>
      </x:c>
      <x:c r="N164" s="20" t="str">
        <x:v>遗刻晶纹镯</x:v>
      </x:c>
      <x:c r="O164" s="20" t="str">
        <x:v>手镯</x:v>
      </x:c>
      <x:c r="P164" s="20" t="str">
        <x:v>辉石碎晶</x:v>
      </x:c>
      <x:c r="Q164" s="20" t="str"/>
      <x:c r="R164" s="20" t="str">
        <x:v>雾月星砂</x:v>
      </x:c>
      <x:c r="S164" s="20" t="str">
        <x:v>湖心月谱残章</x:v>
      </x:c>
      <x:c r="T164" s="20" t="str">
        <x:v>否</x:v>
      </x:c>
      <x:c r="U164" s="20" t="str">
        <x:v>是（公共奖池）</x:v>
      </x:c>
      <x:c r="V164" s="22" t="str">
        <x:v>结构定稿</x:v>
      </x:c>
      <x:c r="W164" s="36" t="str">
        <x:v>用户自行分配／本表不处理</x:v>
      </x:c>
      <x:c r="X164" s="33" t="n">
        <x:v>6927</x:v>
      </x:c>
      <x:c r="Y164" s="29" t="str">
        <x:v>后期统一平衡</x:v>
      </x:c>
      <x:c r="Z164" s="20" t="str">
        <x:v>一怪一专属；专属来源跟随本行准确地图号</x:v>
      </x:c>
    </x:row>
    <x:row r="165" ht="24" customHeight="1">
      <x:c r="A165" s="20" t="str">
        <x:v>C05-M015</x:v>
      </x:c>
      <x:c r="B165" s="20" t="str">
        <x:v>C05</x:v>
      </x:c>
      <x:c r="C165" s="20" t="str">
        <x:v>湖之利耶尼亚</x:v>
      </x:c>
      <x:c r="D165" s="20" t="n">
        <x:v>2</x:v>
      </x:c>
      <x:c r="E165" s="20" t="str">
        <x:v>辉石遗迹</x:v>
      </x:c>
      <x:c r="F165" s="20" t="n">
        <x:v>2</x:v>
      </x:c>
      <x:c r="G165" s="20" t="str">
        <x:v>XX815</x:v>
      </x:c>
      <x:c r="H165" s="20" t="str">
        <x:v>晶辉长廊</x:v>
      </x:c>
      <x:c r="I165" s="20" t="str">
        <x:v>晶廊折光蝶</x:v>
      </x:c>
      <x:c r="J165" s="20" t="str">
        <x:v>黄色</x:v>
      </x:c>
      <x:c r="K165" s="20" t="str">
        <x:v>普通</x:v>
      </x:c>
      <x:c r="L165" s="20" t="str">
        <x:v>晶翅飞虫</x:v>
      </x:c>
      <x:c r="M165" s="20" t="str">
        <x:v>远程扰乱</x:v>
      </x:c>
      <x:c r="N165" s="20" t="str">
        <x:v>折光翅晶链</x:v>
      </x:c>
      <x:c r="O165" s="20" t="str">
        <x:v>项链</x:v>
      </x:c>
      <x:c r="P165" s="20" t="str">
        <x:v>辉石碎晶</x:v>
      </x:c>
      <x:c r="Q165" s="20" t="str"/>
      <x:c r="R165" s="20" t="str">
        <x:v>雾月星砂</x:v>
      </x:c>
      <x:c r="S165" s="20" t="str">
        <x:v>湖心月谱残章</x:v>
      </x:c>
      <x:c r="T165" s="20" t="str">
        <x:v>否</x:v>
      </x:c>
      <x:c r="U165" s="20" t="str">
        <x:v>是（公共奖池）</x:v>
      </x:c>
      <x:c r="V165" s="22" t="str">
        <x:v>结构定稿</x:v>
      </x:c>
      <x:c r="W165" s="36" t="str">
        <x:v>用户自行分配／本表不处理</x:v>
      </x:c>
      <x:c r="X165" s="33" t="n">
        <x:v>6961</x:v>
      </x:c>
      <x:c r="Y165" s="29" t="str">
        <x:v>后期统一平衡</x:v>
      </x:c>
      <x:c r="Z165" s="20" t="str">
        <x:v>一怪一专属；专属来源跟随本行准确地图号</x:v>
      </x:c>
    </x:row>
    <x:row r="166" ht="24" customHeight="1">
      <x:c r="A166" s="20" t="str">
        <x:v>C05-M016</x:v>
      </x:c>
      <x:c r="B166" s="20" t="str">
        <x:v>C05</x:v>
      </x:c>
      <x:c r="C166" s="20" t="str">
        <x:v>湖之利耶尼亚</x:v>
      </x:c>
      <x:c r="D166" s="20" t="n">
        <x:v>2</x:v>
      </x:c>
      <x:c r="E166" s="20" t="str">
        <x:v>辉石遗迹</x:v>
      </x:c>
      <x:c r="F166" s="20" t="n">
        <x:v>3</x:v>
      </x:c>
      <x:c r="G166" s="20" t="str">
        <x:v>XX813</x:v>
      </x:c>
      <x:c r="H166" s="20" t="str">
        <x:v>学院前庭</x:v>
      </x:c>
      <x:c r="I166" s="20" t="str">
        <x:v>前庭砾晶守卒</x:v>
      </x:c>
      <x:c r="J166" s="20" t="str">
        <x:v>黄色</x:v>
      </x:c>
      <x:c r="K166" s="20" t="str">
        <x:v>普通</x:v>
      </x:c>
      <x:c r="L166" s="20" t="str">
        <x:v>学院守卒</x:v>
      </x:c>
      <x:c r="M166" s="20" t="str">
        <x:v>前排护卫</x:v>
      </x:c>
      <x:c r="N166" s="20" t="str">
        <x:v>砾晶护庭盾</x:v>
      </x:c>
      <x:c r="O166" s="20" t="str">
        <x:v>盾牌</x:v>
      </x:c>
      <x:c r="P166" s="20" t="str">
        <x:v>辉石碎晶</x:v>
      </x:c>
      <x:c r="Q166" s="20" t="str"/>
      <x:c r="R166" s="20" t="str">
        <x:v>雾月星砂</x:v>
      </x:c>
      <x:c r="S166" s="20" t="str">
        <x:v>湖心月谱残章</x:v>
      </x:c>
      <x:c r="T166" s="20" t="str">
        <x:v>否</x:v>
      </x:c>
      <x:c r="U166" s="20" t="str">
        <x:v>是（公共奖池）</x:v>
      </x:c>
      <x:c r="V166" s="22" t="str">
        <x:v>结构定稿</x:v>
      </x:c>
      <x:c r="W166" s="36" t="str">
        <x:v>用户自行分配／本表不处理</x:v>
      </x:c>
      <x:c r="X166" s="33" t="n">
        <x:v>6860</x:v>
      </x:c>
      <x:c r="Y166" s="29" t="str">
        <x:v>后期统一平衡</x:v>
      </x:c>
      <x:c r="Z166" s="20" t="str">
        <x:v>一怪一专属；专属来源跟随本行准确地图号</x:v>
      </x:c>
    </x:row>
    <x:row r="167" ht="24" customHeight="1">
      <x:c r="A167" s="20" t="str">
        <x:v>C05-M017</x:v>
      </x:c>
      <x:c r="B167" s="20" t="str">
        <x:v>C05</x:v>
      </x:c>
      <x:c r="C167" s="20" t="str">
        <x:v>湖之利耶尼亚</x:v>
      </x:c>
      <x:c r="D167" s="20" t="n">
        <x:v>2</x:v>
      </x:c>
      <x:c r="E167" s="20" t="str">
        <x:v>辉石遗迹</x:v>
      </x:c>
      <x:c r="F167" s="20" t="n">
        <x:v>4</x:v>
      </x:c>
      <x:c r="G167" s="20" t="str">
        <x:v>XX814</x:v>
      </x:c>
      <x:c r="H167" s="20" t="str">
        <x:v>辉石内院</x:v>
      </x:c>
      <x:c r="I167" s="20" t="str">
        <x:v>内院辉壳犬</x:v>
      </x:c>
      <x:c r="J167" s="20" t="str">
        <x:v>黄色</x:v>
      </x:c>
      <x:c r="K167" s="20" t="str">
        <x:v>普通</x:v>
      </x:c>
      <x:c r="L167" s="20" t="str">
        <x:v>辉壳猎兽</x:v>
      </x:c>
      <x:c r="M167" s="20" t="str">
        <x:v>近战突袭</x:v>
      </x:c>
      <x:c r="N167" s="20" t="str">
        <x:v>辉壳束腰</x:v>
      </x:c>
      <x:c r="O167" s="20" t="str">
        <x:v>腰带</x:v>
      </x:c>
      <x:c r="P167" s="20" t="str">
        <x:v>辉石碎晶</x:v>
      </x:c>
      <x:c r="Q167" s="20" t="str"/>
      <x:c r="R167" s="20" t="str">
        <x:v>雾月星砂</x:v>
      </x:c>
      <x:c r="S167" s="20" t="str">
        <x:v>湖心月谱残章</x:v>
      </x:c>
      <x:c r="T167" s="20" t="str">
        <x:v>否</x:v>
      </x:c>
      <x:c r="U167" s="20" t="str">
        <x:v>是（公共奖池）</x:v>
      </x:c>
      <x:c r="V167" s="22" t="str">
        <x:v>结构定稿</x:v>
      </x:c>
      <x:c r="W167" s="36" t="str">
        <x:v>用户自行分配／本表不处理</x:v>
      </x:c>
      <x:c r="X167" s="33" t="n">
        <x:v>6828</x:v>
      </x:c>
      <x:c r="Y167" s="29" t="str">
        <x:v>后期统一平衡</x:v>
      </x:c>
      <x:c r="Z167" s="20" t="str">
        <x:v>一怪一专属；专属来源跟随本行准确地图号</x:v>
      </x:c>
    </x:row>
    <x:row r="168" ht="24" customHeight="1">
      <x:c r="A168" s="20" t="str">
        <x:v>C05-M018</x:v>
      </x:c>
      <x:c r="B168" s="20" t="str">
        <x:v>C05</x:v>
      </x:c>
      <x:c r="C168" s="20" t="str">
        <x:v>湖之利耶尼亚</x:v>
      </x:c>
      <x:c r="D168" s="20" t="n">
        <x:v>2</x:v>
      </x:c>
      <x:c r="E168" s="20" t="str">
        <x:v>辉石遗迹</x:v>
      </x:c>
      <x:c r="F168" s="20" t="n">
        <x:v>5</x:v>
      </x:c>
      <x:c r="G168" s="20" t="str">
        <x:v>XX816</x:v>
      </x:c>
      <x:c r="H168" s="20" t="str">
        <x:v>辉石圣坛</x:v>
      </x:c>
      <x:c r="I168" s="20" t="str">
        <x:v>圣坛悬晶灵</x:v>
      </x:c>
      <x:c r="J168" s="20" t="str">
        <x:v>黄色</x:v>
      </x:c>
      <x:c r="K168" s="20" t="str">
        <x:v>普通</x:v>
      </x:c>
      <x:c r="L168" s="20" t="str">
        <x:v>悬晶灵体</x:v>
      </x:c>
      <x:c r="M168" s="20" t="str">
        <x:v>远程术击</x:v>
      </x:c>
      <x:c r="N168" s="20" t="str">
        <x:v>悬晶祭辉笠</x:v>
      </x:c>
      <x:c r="O168" s="20" t="str">
        <x:v>斗笠</x:v>
      </x:c>
      <x:c r="P168" s="20" t="str">
        <x:v>辉石碎晶</x:v>
      </x:c>
      <x:c r="Q168" s="20" t="str"/>
      <x:c r="R168" s="20" t="str">
        <x:v>雾月星砂</x:v>
      </x:c>
      <x:c r="S168" s="20" t="str">
        <x:v>湖心月谱残章</x:v>
      </x:c>
      <x:c r="T168" s="20" t="str">
        <x:v>否</x:v>
      </x:c>
      <x:c r="U168" s="20" t="str">
        <x:v>是（公共奖池）</x:v>
      </x:c>
      <x:c r="V168" s="22" t="str">
        <x:v>结构定稿</x:v>
      </x:c>
      <x:c r="W168" s="36" t="str">
        <x:v>用户自行分配／本表不处理</x:v>
      </x:c>
      <x:c r="X168" s="34" t="str">
        <x:v>缺斗笠来源码</x:v>
      </x:c>
      <x:c r="Y168" s="29" t="str">
        <x:v>后期统一平衡</x:v>
      </x:c>
      <x:c r="Z168" s="20" t="str">
        <x:v>一怪一专属；专属来源跟随本行准确地图号</x:v>
      </x:c>
    </x:row>
    <x:row r="169" ht="24" customHeight="1">
      <x:c r="A169" s="20" t="str">
        <x:v>C05-M019</x:v>
      </x:c>
      <x:c r="B169" s="20" t="str">
        <x:v>C05</x:v>
      </x:c>
      <x:c r="C169" s="20" t="str">
        <x:v>湖之利耶尼亚</x:v>
      </x:c>
      <x:c r="D169" s="20" t="n">
        <x:v>2</x:v>
      </x:c>
      <x:c r="E169" s="20" t="str">
        <x:v>辉石遗迹</x:v>
      </x:c>
      <x:c r="F169" s="20" t="n">
        <x:v>1</x:v>
      </x:c>
      <x:c r="G169" s="20" t="str">
        <x:v>XX812</x:v>
      </x:c>
      <x:c r="H169" s="20" t="str">
        <x:v>辉石遗迹</x:v>
      </x:c>
      <x:c r="I169" s="20" t="str">
        <x:v>青曜啮辉兽</x:v>
      </x:c>
      <x:c r="J169" s="20" t="str">
        <x:v>蓝色</x:v>
      </x:c>
      <x:c r="K169" s="20" t="str">
        <x:v>稀有</x:v>
      </x:c>
      <x:c r="L169" s="20" t="str">
        <x:v>曜晶异兽</x:v>
      </x:c>
      <x:c r="M169" s="20" t="str">
        <x:v>破阵强袭</x:v>
      </x:c>
      <x:c r="N169" s="20" t="str">
        <x:v>青曜噬光戒</x:v>
      </x:c>
      <x:c r="O169" s="20" t="str">
        <x:v>戒指</x:v>
      </x:c>
      <x:c r="P169" s="20" t="str">
        <x:v>辉石碎晶</x:v>
      </x:c>
      <x:c r="Q169" s="20" t="str">
        <x:v>卡利亚月露</x:v>
      </x:c>
      <x:c r="R169" s="20" t="str">
        <x:v>学院封蜡</x:v>
      </x:c>
      <x:c r="S169" s="20" t="str">
        <x:v>湖心月谱残章</x:v>
      </x:c>
      <x:c r="T169" s="20" t="str">
        <x:v>否</x:v>
      </x:c>
      <x:c r="U169" s="20" t="str">
        <x:v>是（公共奖池）</x:v>
      </x:c>
      <x:c r="V169" s="22" t="str">
        <x:v>结构定稿</x:v>
      </x:c>
      <x:c r="W169" s="36" t="str">
        <x:v>用户自行分配／本表不处理</x:v>
      </x:c>
      <x:c r="X169" s="33" t="n">
        <x:v>6963</x:v>
      </x:c>
      <x:c r="Y169" s="29" t="str">
        <x:v>后期统一平衡</x:v>
      </x:c>
      <x:c r="Z169" s="20" t="str">
        <x:v>一怪一专属；专属来源跟随本行准确地图号</x:v>
      </x:c>
    </x:row>
    <x:row r="170" ht="24" customHeight="1">
      <x:c r="A170" s="20" t="str">
        <x:v>C05-M020</x:v>
      </x:c>
      <x:c r="B170" s="20" t="str">
        <x:v>C05</x:v>
      </x:c>
      <x:c r="C170" s="20" t="str">
        <x:v>湖之利耶尼亚</x:v>
      </x:c>
      <x:c r="D170" s="20" t="n">
        <x:v>2</x:v>
      </x:c>
      <x:c r="E170" s="20" t="str">
        <x:v>辉石遗迹</x:v>
      </x:c>
      <x:c r="F170" s="20" t="n">
        <x:v>2</x:v>
      </x:c>
      <x:c r="G170" s="20" t="str">
        <x:v>XX815</x:v>
      </x:c>
      <x:c r="H170" s="20" t="str">
        <x:v>晶辉长廊</x:v>
      </x:c>
      <x:c r="I170" s="20" t="str">
        <x:v>棱光长廊术士</x:v>
      </x:c>
      <x:c r="J170" s="20" t="str">
        <x:v>蓝色</x:v>
      </x:c>
      <x:c r="K170" s="20" t="str">
        <x:v>稀有</x:v>
      </x:c>
      <x:c r="L170" s="20" t="str">
        <x:v>棱光术士</x:v>
      </x:c>
      <x:c r="M170" s="20" t="str">
        <x:v>远程压制</x:v>
      </x:c>
      <x:c r="N170" s="20" t="str">
        <x:v>棱光术冠</x:v>
      </x:c>
      <x:c r="O170" s="20" t="str">
        <x:v>头盔</x:v>
      </x:c>
      <x:c r="P170" s="20" t="str">
        <x:v>辉石碎晶</x:v>
      </x:c>
      <x:c r="Q170" s="20" t="str">
        <x:v>卡利亚月露</x:v>
      </x:c>
      <x:c r="R170" s="20" t="str">
        <x:v>学院封蜡</x:v>
      </x:c>
      <x:c r="S170" s="20" t="str">
        <x:v>湖心月谱残章</x:v>
      </x:c>
      <x:c r="T170" s="20" t="str">
        <x:v>否</x:v>
      </x:c>
      <x:c r="U170" s="20" t="str">
        <x:v>是（公共奖池）</x:v>
      </x:c>
      <x:c r="V170" s="22" t="str">
        <x:v>结构定稿</x:v>
      </x:c>
      <x:c r="W170" s="36" t="str">
        <x:v>用户自行分配／本表不处理</x:v>
      </x:c>
      <x:c r="X170" s="33" t="n">
        <x:v>6959</x:v>
      </x:c>
      <x:c r="Y170" s="29" t="str">
        <x:v>后期统一平衡</x:v>
      </x:c>
      <x:c r="Z170" s="20" t="str">
        <x:v>一怪一专属；专属来源跟随本行准确地图号</x:v>
      </x:c>
    </x:row>
    <x:row r="171" ht="24" customHeight="1">
      <x:c r="A171" s="20" t="str">
        <x:v>C05-M021</x:v>
      </x:c>
      <x:c r="B171" s="20" t="str">
        <x:v>C05</x:v>
      </x:c>
      <x:c r="C171" s="20" t="str">
        <x:v>湖之利耶尼亚</x:v>
      </x:c>
      <x:c r="D171" s="20" t="n">
        <x:v>2</x:v>
      </x:c>
      <x:c r="E171" s="20" t="str">
        <x:v>辉石遗迹</x:v>
      </x:c>
      <x:c r="F171" s="20" t="n">
        <x:v>3</x:v>
      </x:c>
      <x:c r="G171" s="20" t="str">
        <x:v>XX813</x:v>
      </x:c>
      <x:c r="H171" s="20" t="str">
        <x:v>学院前庭</x:v>
      </x:c>
      <x:c r="I171" s="20" t="str">
        <x:v>学院前庭晶戟卫</x:v>
      </x:c>
      <x:c r="J171" s="20" t="str">
        <x:v>蓝色</x:v>
      </x:c>
      <x:c r="K171" s="20" t="str">
        <x:v>稀有</x:v>
      </x:c>
      <x:c r="L171" s="20" t="str">
        <x:v>晶戟卫士</x:v>
      </x:c>
      <x:c r="M171" s="20" t="str">
        <x:v>护卫反击</x:v>
      </x:c>
      <x:c r="N171" s="20" t="str">
        <x:v>前庭晶戟勋</x:v>
      </x:c>
      <x:c r="O171" s="20" t="str">
        <x:v>勋章</x:v>
      </x:c>
      <x:c r="P171" s="20" t="str">
        <x:v>辉石碎晶</x:v>
      </x:c>
      <x:c r="Q171" s="20" t="str">
        <x:v>卡利亚月露</x:v>
      </x:c>
      <x:c r="R171" s="20" t="str">
        <x:v>学院封蜡</x:v>
      </x:c>
      <x:c r="S171" s="20" t="str">
        <x:v>湖心月谱残章</x:v>
      </x:c>
      <x:c r="T171" s="20" t="str">
        <x:v>否</x:v>
      </x:c>
      <x:c r="U171" s="20" t="str">
        <x:v>是（公共奖池）</x:v>
      </x:c>
      <x:c r="V171" s="22" t="str">
        <x:v>结构定稿</x:v>
      </x:c>
      <x:c r="W171" s="36" t="str">
        <x:v>用户自行分配／本表不处理</x:v>
      </x:c>
      <x:c r="X171" s="33" t="n">
        <x:v>6719</x:v>
      </x:c>
      <x:c r="Y171" s="29" t="str">
        <x:v>后期统一平衡</x:v>
      </x:c>
      <x:c r="Z171" s="20" t="str">
        <x:v>一怪一专属；专属来源跟随本行准确地图号</x:v>
      </x:c>
    </x:row>
    <x:row r="172" ht="24" customHeight="1">
      <x:c r="A172" s="20" t="str">
        <x:v>C05-M022</x:v>
      </x:c>
      <x:c r="B172" s="20" t="str">
        <x:v>C05</x:v>
      </x:c>
      <x:c r="C172" s="20" t="str">
        <x:v>湖之利耶尼亚</x:v>
      </x:c>
      <x:c r="D172" s="20" t="n">
        <x:v>2</x:v>
      </x:c>
      <x:c r="E172" s="20" t="str">
        <x:v>辉石遗迹</x:v>
      </x:c>
      <x:c r="F172" s="20" t="n">
        <x:v>4</x:v>
      </x:c>
      <x:c r="G172" s="20" t="str">
        <x:v>XX814</x:v>
      </x:c>
      <x:c r="H172" s="20" t="str">
        <x:v>辉石内院</x:v>
      </x:c>
      <x:c r="I172" s="20" t="str">
        <x:v>内院辉核铸像</x:v>
      </x:c>
      <x:c r="J172" s="20" t="str">
        <x:v>蓝色</x:v>
      </x:c>
      <x:c r="K172" s="20" t="str">
        <x:v>稀有</x:v>
      </x:c>
      <x:c r="L172" s="20" t="str">
        <x:v>辉石构装</x:v>
      </x:c>
      <x:c r="M172" s="20" t="str">
        <x:v>范围压阵</x:v>
      </x:c>
      <x:c r="N172" s="20" t="str">
        <x:v>辉核铸像衣</x:v>
      </x:c>
      <x:c r="O172" s="20" t="str">
        <x:v>衣服</x:v>
      </x:c>
      <x:c r="P172" s="20" t="str">
        <x:v>辉石碎晶</x:v>
      </x:c>
      <x:c r="Q172" s="20" t="str">
        <x:v>卡利亚月露</x:v>
      </x:c>
      <x:c r="R172" s="20" t="str">
        <x:v>学院封蜡</x:v>
      </x:c>
      <x:c r="S172" s="20" t="str">
        <x:v>湖心月谱残章</x:v>
      </x:c>
      <x:c r="T172" s="20" t="str">
        <x:v>否</x:v>
      </x:c>
      <x:c r="U172" s="20" t="str">
        <x:v>是（公共奖池）</x:v>
      </x:c>
      <x:c r="V172" s="22" t="str">
        <x:v>结构定稿</x:v>
      </x:c>
      <x:c r="W172" s="36" t="str">
        <x:v>用户自行分配／本表不处理</x:v>
      </x:c>
      <x:c r="X172" s="34" t="str">
        <x:v>缺衣服来源码</x:v>
      </x:c>
      <x:c r="Y172" s="29" t="str">
        <x:v>后期统一平衡</x:v>
      </x:c>
      <x:c r="Z172" s="20" t="str">
        <x:v>一怪一专属；专属来源跟随本行准确地图号</x:v>
      </x:c>
    </x:row>
    <x:row r="173" ht="24" customHeight="1">
      <x:c r="A173" s="20" t="str">
        <x:v>C05-M023</x:v>
      </x:c>
      <x:c r="B173" s="20" t="str">
        <x:v>C05</x:v>
      </x:c>
      <x:c r="C173" s="20" t="str">
        <x:v>湖之利耶尼亚</x:v>
      </x:c>
      <x:c r="D173" s="20" t="n">
        <x:v>2</x:v>
      </x:c>
      <x:c r="E173" s="20" t="str">
        <x:v>辉石遗迹</x:v>
      </x:c>
      <x:c r="F173" s="20" t="n">
        <x:v>4</x:v>
      </x:c>
      <x:c r="G173" s="20" t="str">
        <x:v>XX814</x:v>
      </x:c>
      <x:c r="H173" s="20" t="str">
        <x:v>辉石内院</x:v>
      </x:c>
      <x:c r="I173" s="20" t="str">
        <x:v>裂辉古院监</x:v>
      </x:c>
      <x:c r="J173" s="20" t="str">
        <x:v>粉色</x:v>
      </x:c>
      <x:c r="K173" s="20" t="str">
        <x:v>地图BOSS</x:v>
      </x:c>
      <x:c r="L173" s="20" t="str">
        <x:v>遗院监守</x:v>
      </x:c>
      <x:c r="M173" s="20" t="str">
        <x:v>首领破阵</x:v>
      </x:c>
      <x:c r="N173" s="20" t="str">
        <x:v>裂辉监院长戟</x:v>
      </x:c>
      <x:c r="O173" s="20" t="str">
        <x:v>武器</x:v>
      </x:c>
      <x:c r="P173" s="20" t="str">
        <x:v>辉石碎晶</x:v>
      </x:c>
      <x:c r="Q173" s="20" t="str">
        <x:v>卡利亚月露＋满月王室印</x:v>
      </x:c>
      <x:c r="R173" s="20" t="str">
        <x:v>月蚀镜片</x:v>
      </x:c>
      <x:c r="S173" s="20" t="str">
        <x:v>湖心月谱残章</x:v>
      </x:c>
      <x:c r="T173" s="20" t="str">
        <x:v>是（独立奖池）</x:v>
      </x:c>
      <x:c r="U173" s="20" t="str">
        <x:v>是（公共奖池）</x:v>
      </x:c>
      <x:c r="V173" s="22" t="str">
        <x:v>结构定稿</x:v>
      </x:c>
      <x:c r="W173" s="36" t="str">
        <x:v>用户自行分配／本表不处理</x:v>
      </x:c>
      <x:c r="X173" s="34" t="str">
        <x:v>缺武器来源码</x:v>
      </x:c>
      <x:c r="Y173" s="29" t="str">
        <x:v>后期统一平衡</x:v>
      </x:c>
      <x:c r="Z173" s="20" t="str">
        <x:v>一怪一专属；专属来源跟随本行准确地图号</x:v>
      </x:c>
    </x:row>
    <x:row r="174" ht="24" customHeight="1">
      <x:c r="A174" s="20" t="str">
        <x:v>C05-M024</x:v>
      </x:c>
      <x:c r="B174" s="20" t="str">
        <x:v>C05</x:v>
      </x:c>
      <x:c r="C174" s="20" t="str">
        <x:v>湖之利耶尼亚</x:v>
      </x:c>
      <x:c r="D174" s="20" t="n">
        <x:v>2</x:v>
      </x:c>
      <x:c r="E174" s="20" t="str">
        <x:v>辉石遗迹</x:v>
      </x:c>
      <x:c r="F174" s="20" t="n">
        <x:v>5</x:v>
      </x:c>
      <x:c r="G174" s="20" t="str">
        <x:v>XX816</x:v>
      </x:c>
      <x:c r="H174" s="20" t="str">
        <x:v>辉石圣坛</x:v>
      </x:c>
      <x:c r="I174" s="20" t="str">
        <x:v>万棱圣坛龙蜥</x:v>
      </x:c>
      <x:c r="J174" s="20" t="str">
        <x:v>粉色</x:v>
      </x:c>
      <x:c r="K174" s="20" t="str">
        <x:v>地图BOSS</x:v>
      </x:c>
      <x:c r="L174" s="20" t="str">
        <x:v>棱晶龙兽</x:v>
      </x:c>
      <x:c r="M174" s="20" t="str">
        <x:v>首领压制</x:v>
      </x:c>
      <x:c r="N174" s="20" t="str">
        <x:v>万棱圣坛鳞衣</x:v>
      </x:c>
      <x:c r="O174" s="20" t="str">
        <x:v>衣服</x:v>
      </x:c>
      <x:c r="P174" s="20" t="str">
        <x:v>辉石碎晶</x:v>
      </x:c>
      <x:c r="Q174" s="20" t="str">
        <x:v>卡利亚月露＋满月王室印</x:v>
      </x:c>
      <x:c r="R174" s="20" t="str">
        <x:v>月蚀镜片</x:v>
      </x:c>
      <x:c r="S174" s="20" t="str">
        <x:v>湖心月谱残章</x:v>
      </x:c>
      <x:c r="T174" s="20" t="str">
        <x:v>是（独立奖池）</x:v>
      </x:c>
      <x:c r="U174" s="20" t="str">
        <x:v>是（公共奖池）</x:v>
      </x:c>
      <x:c r="V174" s="22" t="str">
        <x:v>结构定稿</x:v>
      </x:c>
      <x:c r="W174" s="36" t="str">
        <x:v>用户自行分配／本表不处理</x:v>
      </x:c>
      <x:c r="X174" s="33" t="n">
        <x:v>6887</x:v>
      </x:c>
      <x:c r="Y174" s="29" t="str">
        <x:v>后期统一平衡</x:v>
      </x:c>
      <x:c r="Z174" s="20" t="str">
        <x:v>一怪一专属；专属来源跟随本行准确地图号</x:v>
      </x:c>
    </x:row>
    <x:row r="175" ht="24" customHeight="1">
      <x:c r="A175" s="20" t="str">
        <x:v>C05-M025</x:v>
      </x:c>
      <x:c r="B175" s="20" t="str">
        <x:v>C05</x:v>
      </x:c>
      <x:c r="C175" s="20" t="str">
        <x:v>湖之利耶尼亚</x:v>
      </x:c>
      <x:c r="D175" s="20" t="n">
        <x:v>3</x:v>
      </x:c>
      <x:c r="E175" s="20" t="str">
        <x:v>学院回廊</x:v>
      </x:c>
      <x:c r="F175" s="20" t="n">
        <x:v>1</x:v>
      </x:c>
      <x:c r="G175" s="20" t="str">
        <x:v>XX1053</x:v>
      </x:c>
      <x:c r="H175" s="20" t="str">
        <x:v>学院回廊</x:v>
      </x:c>
      <x:c r="I175" s="20" t="str">
        <x:v>墨羽抄录仆</x:v>
      </x:c>
      <x:c r="J175" s="20" t="str">
        <x:v>黄色</x:v>
      </x:c>
      <x:c r="K175" s="20" t="str">
        <x:v>普通</x:v>
      </x:c>
      <x:c r="L175" s="20" t="str">
        <x:v>抄录侍役</x:v>
      </x:c>
      <x:c r="M175" s="20" t="str">
        <x:v>远程牵制</x:v>
      </x:c>
      <x:c r="N175" s="20" t="str">
        <x:v>墨羽校录笠</x:v>
      </x:c>
      <x:c r="O175" s="20" t="str">
        <x:v>斗笠</x:v>
      </x:c>
      <x:c r="P175" s="20" t="str">
        <x:v>辉石碎晶</x:v>
      </x:c>
      <x:c r="Q175" s="20" t="str"/>
      <x:c r="R175" s="20" t="str">
        <x:v>雾月星砂</x:v>
      </x:c>
      <x:c r="S175" s="20" t="str">
        <x:v>湖心月谱残章</x:v>
      </x:c>
      <x:c r="T175" s="20" t="str">
        <x:v>否</x:v>
      </x:c>
      <x:c r="U175" s="20" t="str">
        <x:v>是（公共奖池）</x:v>
      </x:c>
      <x:c r="V175" s="22" t="str">
        <x:v>结构定稿</x:v>
      </x:c>
      <x:c r="W175" s="36" t="str">
        <x:v>用户自行分配／本表不处理</x:v>
      </x:c>
      <x:c r="X175" s="34" t="str">
        <x:v>缺斗笠来源码</x:v>
      </x:c>
      <x:c r="Y175" s="29" t="str">
        <x:v>后期统一平衡</x:v>
      </x:c>
      <x:c r="Z175" s="20" t="str">
        <x:v>一怪一专属；专属来源跟随本行准确地图号</x:v>
      </x:c>
    </x:row>
    <x:row r="176" ht="24" customHeight="1">
      <x:c r="A176" s="20" t="str">
        <x:v>C05-M026</x:v>
      </x:c>
      <x:c r="B176" s="20" t="str">
        <x:v>C05</x:v>
      </x:c>
      <x:c r="C176" s="20" t="str">
        <x:v>湖之利耶尼亚</x:v>
      </x:c>
      <x:c r="D176" s="20" t="n">
        <x:v>3</x:v>
      </x:c>
      <x:c r="E176" s="20" t="str">
        <x:v>学院回廊</x:v>
      </x:c>
      <x:c r="F176" s="20" t="n">
        <x:v>1</x:v>
      </x:c>
      <x:c r="G176" s="20" t="str">
        <x:v>XX1053</x:v>
      </x:c>
      <x:c r="H176" s="20" t="str">
        <x:v>学院回廊</x:v>
      </x:c>
      <x:c r="I176" s="20" t="str">
        <x:v>回廊试术生</x:v>
      </x:c>
      <x:c r="J176" s="20" t="str">
        <x:v>黄色</x:v>
      </x:c>
      <x:c r="K176" s="20" t="str">
        <x:v>普通</x:v>
      </x:c>
      <x:c r="L176" s="20" t="str">
        <x:v>学院学徒</x:v>
      </x:c>
      <x:c r="M176" s="20" t="str">
        <x:v>远程术击</x:v>
      </x:c>
      <x:c r="N176" s="20" t="str">
        <x:v>试术银规镯</x:v>
      </x:c>
      <x:c r="O176" s="20" t="str">
        <x:v>手镯</x:v>
      </x:c>
      <x:c r="P176" s="20" t="str">
        <x:v>辉石碎晶</x:v>
      </x:c>
      <x:c r="Q176" s="20" t="str"/>
      <x:c r="R176" s="20" t="str">
        <x:v>雾月星砂</x:v>
      </x:c>
      <x:c r="S176" s="20" t="str">
        <x:v>湖心月谱残章</x:v>
      </x:c>
      <x:c r="T176" s="20" t="str">
        <x:v>否</x:v>
      </x:c>
      <x:c r="U176" s="20" t="str">
        <x:v>是（公共奖池）</x:v>
      </x:c>
      <x:c r="V176" s="22" t="str">
        <x:v>结构定稿</x:v>
      </x:c>
      <x:c r="W176" s="36" t="str">
        <x:v>用户自行分配／本表不处理</x:v>
      </x:c>
      <x:c r="X176" s="33" t="n">
        <x:v>6962</x:v>
      </x:c>
      <x:c r="Y176" s="29" t="str">
        <x:v>后期统一平衡</x:v>
      </x:c>
      <x:c r="Z176" s="20" t="str">
        <x:v>一怪一专属；专属来源跟随本行准确地图号</x:v>
      </x:c>
    </x:row>
    <x:row r="177" ht="24" customHeight="1">
      <x:c r="A177" s="20" t="str">
        <x:v>C05-M027</x:v>
      </x:c>
      <x:c r="B177" s="20" t="str">
        <x:v>C05</x:v>
      </x:c>
      <x:c r="C177" s="20" t="str">
        <x:v>湖之利耶尼亚</x:v>
      </x:c>
      <x:c r="D177" s="20" t="n">
        <x:v>3</x:v>
      </x:c>
      <x:c r="E177" s="20" t="str">
        <x:v>学院回廊</x:v>
      </x:c>
      <x:c r="F177" s="20" t="n">
        <x:v>2</x:v>
      </x:c>
      <x:c r="G177" s="20" t="str">
        <x:v>XX1060</x:v>
      </x:c>
      <x:c r="H177" s="20" t="str">
        <x:v>封印讲堂</x:v>
      </x:c>
      <x:c r="I177" s="20" t="str">
        <x:v>封印粉笔灵</x:v>
      </x:c>
      <x:c r="J177" s="20" t="str">
        <x:v>黄色</x:v>
      </x:c>
      <x:c r="K177" s="20" t="str">
        <x:v>普通</x:v>
      </x:c>
      <x:c r="L177" s="20" t="str">
        <x:v>讲堂器灵</x:v>
      </x:c>
      <x:c r="M177" s="20" t="str">
        <x:v>符阵扰乱</x:v>
      </x:c>
      <x:c r="N177" s="20" t="str">
        <x:v>缄印粉屑戒</x:v>
      </x:c>
      <x:c r="O177" s="20" t="str">
        <x:v>戒指</x:v>
      </x:c>
      <x:c r="P177" s="20" t="str">
        <x:v>辉石碎晶</x:v>
      </x:c>
      <x:c r="Q177" s="20" t="str"/>
      <x:c r="R177" s="20" t="str">
        <x:v>雾月星砂</x:v>
      </x:c>
      <x:c r="S177" s="20" t="str">
        <x:v>湖心月谱残章</x:v>
      </x:c>
      <x:c r="T177" s="20" t="str">
        <x:v>否</x:v>
      </x:c>
      <x:c r="U177" s="20" t="str">
        <x:v>是（公共奖池）</x:v>
      </x:c>
      <x:c r="V177" s="22" t="str">
        <x:v>结构定稿</x:v>
      </x:c>
      <x:c r="W177" s="36" t="str">
        <x:v>用户自行分配／本表不处理</x:v>
      </x:c>
      <x:c r="X177" s="33" t="n">
        <x:v>6998</x:v>
      </x:c>
      <x:c r="Y177" s="29" t="str">
        <x:v>后期统一平衡</x:v>
      </x:c>
      <x:c r="Z177" s="20" t="str">
        <x:v>一怪一专属；专属来源跟随本行准确地图号</x:v>
      </x:c>
    </x:row>
    <x:row r="178" ht="24" customHeight="1">
      <x:c r="A178" s="20" t="str">
        <x:v>C05-M028</x:v>
      </x:c>
      <x:c r="B178" s="20" t="str">
        <x:v>C05</x:v>
      </x:c>
      <x:c r="C178" s="20" t="str">
        <x:v>湖之利耶尼亚</x:v>
      </x:c>
      <x:c r="D178" s="20" t="n">
        <x:v>3</x:v>
      </x:c>
      <x:c r="E178" s="20" t="str">
        <x:v>学院回廊</x:v>
      </x:c>
      <x:c r="F178" s="20" t="n">
        <x:v>2</x:v>
      </x:c>
      <x:c r="G178" s="20" t="str">
        <x:v>XX1060</x:v>
      </x:c>
      <x:c r="H178" s="20" t="str">
        <x:v>封印讲堂</x:v>
      </x:c>
      <x:c r="I178" s="20" t="str">
        <x:v>讲堂缄咒像</x:v>
      </x:c>
      <x:c r="J178" s="20" t="str">
        <x:v>黄色</x:v>
      </x:c>
      <x:c r="K178" s="20" t="str">
        <x:v>普通</x:v>
      </x:c>
      <x:c r="L178" s="20" t="str">
        <x:v>缄咒构装</x:v>
      </x:c>
      <x:c r="M178" s="20" t="str">
        <x:v>前排护卫</x:v>
      </x:c>
      <x:c r="N178" s="20" t="str">
        <x:v>缄咒讲台盾</x:v>
      </x:c>
      <x:c r="O178" s="20" t="str">
        <x:v>盾牌</x:v>
      </x:c>
      <x:c r="P178" s="20" t="str">
        <x:v>辉石碎晶</x:v>
      </x:c>
      <x:c r="Q178" s="20" t="str"/>
      <x:c r="R178" s="20" t="str">
        <x:v>雾月星砂</x:v>
      </x:c>
      <x:c r="S178" s="20" t="str">
        <x:v>湖心月谱残章</x:v>
      </x:c>
      <x:c r="T178" s="20" t="str">
        <x:v>否</x:v>
      </x:c>
      <x:c r="U178" s="20" t="str">
        <x:v>是（公共奖池）</x:v>
      </x:c>
      <x:c r="V178" s="22" t="str">
        <x:v>结构定稿</x:v>
      </x:c>
      <x:c r="W178" s="36" t="str">
        <x:v>用户自行分配／本表不处理</x:v>
      </x:c>
      <x:c r="X178" s="33" t="n">
        <x:v>6895</x:v>
      </x:c>
      <x:c r="Y178" s="29" t="str">
        <x:v>后期统一平衡</x:v>
      </x:c>
      <x:c r="Z178" s="20" t="str">
        <x:v>一怪一专属；专属来源跟随本行准确地图号</x:v>
      </x:c>
    </x:row>
    <x:row r="179" ht="24" customHeight="1">
      <x:c r="A179" s="20" t="str">
        <x:v>C05-M029</x:v>
      </x:c>
      <x:c r="B179" s="20" t="str">
        <x:v>C05</x:v>
      </x:c>
      <x:c r="C179" s="20" t="str">
        <x:v>湖之利耶尼亚</x:v>
      </x:c>
      <x:c r="D179" s="20" t="n">
        <x:v>3</x:v>
      </x:c>
      <x:c r="E179" s="20" t="str">
        <x:v>学院回廊</x:v>
      </x:c>
      <x:c r="F179" s="20" t="n">
        <x:v>3</x:v>
      </x:c>
      <x:c r="G179" s="20" t="str">
        <x:v>XX1058</x:v>
      </x:c>
      <x:c r="H179" s="20" t="str">
        <x:v>学院密室</x:v>
      </x:c>
      <x:c r="I179" s="20" t="str">
        <x:v>密室卷轴蠹</x:v>
      </x:c>
      <x:c r="J179" s="20" t="str">
        <x:v>黄色</x:v>
      </x:c>
      <x:c r="K179" s="20" t="str">
        <x:v>普通</x:v>
      </x:c>
      <x:c r="L179" s="20" t="str">
        <x:v>卷轴虫灵</x:v>
      </x:c>
      <x:c r="M179" s="20" t="str">
        <x:v>近战游击</x:v>
      </x:c>
      <x:c r="N179" s="20" t="str">
        <x:v>卷蠹轻步履</x:v>
      </x:c>
      <x:c r="O179" s="20" t="str">
        <x:v>鞋子</x:v>
      </x:c>
      <x:c r="P179" s="20" t="str">
        <x:v>辉石碎晶</x:v>
      </x:c>
      <x:c r="Q179" s="20" t="str"/>
      <x:c r="R179" s="20" t="str">
        <x:v>雾月星砂</x:v>
      </x:c>
      <x:c r="S179" s="20" t="str">
        <x:v>湖心月谱残章</x:v>
      </x:c>
      <x:c r="T179" s="20" t="str">
        <x:v>否</x:v>
      </x:c>
      <x:c r="U179" s="20" t="str">
        <x:v>是（公共奖池）</x:v>
      </x:c>
      <x:c r="V179" s="22" t="str">
        <x:v>结构定稿</x:v>
      </x:c>
      <x:c r="W179" s="36" t="str">
        <x:v>用户自行分配／本表不处理</x:v>
      </x:c>
      <x:c r="X179" s="33" t="n">
        <x:v>6932</x:v>
      </x:c>
      <x:c r="Y179" s="29" t="str">
        <x:v>后期统一平衡</x:v>
      </x:c>
      <x:c r="Z179" s="20" t="str">
        <x:v>一怪一专属；专属来源跟随本行准确地图号</x:v>
      </x:c>
    </x:row>
    <x:row r="180" ht="24" customHeight="1">
      <x:c r="A180" s="20" t="str">
        <x:v>C05-M030</x:v>
      </x:c>
      <x:c r="B180" s="20" t="str">
        <x:v>C05</x:v>
      </x:c>
      <x:c r="C180" s="20" t="str">
        <x:v>湖之利耶尼亚</x:v>
      </x:c>
      <x:c r="D180" s="20" t="n">
        <x:v>3</x:v>
      </x:c>
      <x:c r="E180" s="20" t="str">
        <x:v>学院回廊</x:v>
      </x:c>
      <x:c r="F180" s="20" t="n">
        <x:v>3</x:v>
      </x:c>
      <x:c r="G180" s="20" t="str">
        <x:v>XX1058</x:v>
      </x:c>
      <x:c r="H180" s="20" t="str">
        <x:v>学院密室</x:v>
      </x:c>
      <x:c r="I180" s="20" t="str">
        <x:v>学院锁页卫</x:v>
      </x:c>
      <x:c r="J180" s="20" t="str">
        <x:v>黄色</x:v>
      </x:c>
      <x:c r="K180" s="20" t="str">
        <x:v>普通</x:v>
      </x:c>
      <x:c r="L180" s="20" t="str">
        <x:v>锁页守卫</x:v>
      </x:c>
      <x:c r="M180" s="20" t="str">
        <x:v>单体拦截</x:v>
      </x:c>
      <x:c r="N180" s="20" t="str">
        <x:v>锁页秘文链</x:v>
      </x:c>
      <x:c r="O180" s="20" t="str">
        <x:v>项链</x:v>
      </x:c>
      <x:c r="P180" s="20" t="str">
        <x:v>辉石碎晶</x:v>
      </x:c>
      <x:c r="Q180" s="20" t="str"/>
      <x:c r="R180" s="20" t="str">
        <x:v>雾月星砂</x:v>
      </x:c>
      <x:c r="S180" s="20" t="str">
        <x:v>湖心月谱残章</x:v>
      </x:c>
      <x:c r="T180" s="20" t="str">
        <x:v>否</x:v>
      </x:c>
      <x:c r="U180" s="20" t="str">
        <x:v>是（公共奖池）</x:v>
      </x:c>
      <x:c r="V180" s="22" t="str">
        <x:v>结构定稿</x:v>
      </x:c>
      <x:c r="W180" s="36" t="str">
        <x:v>用户自行分配／本表不处理</x:v>
      </x:c>
      <x:c r="X180" s="33" t="n">
        <x:v>6996</x:v>
      </x:c>
      <x:c r="Y180" s="29" t="str">
        <x:v>后期统一平衡</x:v>
      </x:c>
      <x:c r="Z180" s="20" t="str">
        <x:v>一怪一专属；专属来源跟随本行准确地图号</x:v>
      </x:c>
    </x:row>
    <x:row r="181" ht="24" customHeight="1">
      <x:c r="A181" s="20" t="str">
        <x:v>C05-M031</x:v>
      </x:c>
      <x:c r="B181" s="20" t="str">
        <x:v>C05</x:v>
      </x:c>
      <x:c r="C181" s="20" t="str">
        <x:v>湖之利耶尼亚</x:v>
      </x:c>
      <x:c r="D181" s="20" t="n">
        <x:v>3</x:v>
      </x:c>
      <x:c r="E181" s="20" t="str">
        <x:v>学院回廊</x:v>
      </x:c>
      <x:c r="F181" s="20" t="n">
        <x:v>1</x:v>
      </x:c>
      <x:c r="G181" s="20" t="str">
        <x:v>XX1053</x:v>
      </x:c>
      <x:c r="H181" s="20" t="str">
        <x:v>学院回廊</x:v>
      </x:c>
      <x:c r="I181" s="20" t="str">
        <x:v>银规巡课官</x:v>
      </x:c>
      <x:c r="J181" s="20" t="str">
        <x:v>蓝色</x:v>
      </x:c>
      <x:c r="K181" s="20" t="str">
        <x:v>稀有</x:v>
      </x:c>
      <x:c r="L181" s="20" t="str">
        <x:v>学院巡官</x:v>
      </x:c>
      <x:c r="M181" s="20" t="str">
        <x:v>范围控制</x:v>
      </x:c>
      <x:c r="N181" s="20" t="str">
        <x:v>银规巡课束带</x:v>
      </x:c>
      <x:c r="O181" s="20" t="str">
        <x:v>腰带</x:v>
      </x:c>
      <x:c r="P181" s="20" t="str">
        <x:v>辉石碎晶</x:v>
      </x:c>
      <x:c r="Q181" s="20" t="str">
        <x:v>卡利亚月露</x:v>
      </x:c>
      <x:c r="R181" s="20" t="str">
        <x:v>学院封蜡</x:v>
      </x:c>
      <x:c r="S181" s="20" t="str">
        <x:v>湖心月谱残章</x:v>
      </x:c>
      <x:c r="T181" s="20" t="str">
        <x:v>否</x:v>
      </x:c>
      <x:c r="U181" s="20" t="str">
        <x:v>是（公共奖池）</x:v>
      </x:c>
      <x:c r="V181" s="22" t="str">
        <x:v>结构定稿</x:v>
      </x:c>
      <x:c r="W181" s="36" t="str">
        <x:v>用户自行分配／本表不处理</x:v>
      </x:c>
      <x:c r="X181" s="33" t="n">
        <x:v>6863</x:v>
      </x:c>
      <x:c r="Y181" s="29" t="str">
        <x:v>后期统一平衡</x:v>
      </x:c>
      <x:c r="Z181" s="20" t="str">
        <x:v>一怪一专属；专属来源跟随本行准确地图号</x:v>
      </x:c>
    </x:row>
    <x:row r="182" ht="24" customHeight="1">
      <x:c r="A182" s="20" t="str">
        <x:v>C05-M032</x:v>
      </x:c>
      <x:c r="B182" s="20" t="str">
        <x:v>C05</x:v>
      </x:c>
      <x:c r="C182" s="20" t="str">
        <x:v>湖之利耶尼亚</x:v>
      </x:c>
      <x:c r="D182" s="20" t="n">
        <x:v>3</x:v>
      </x:c>
      <x:c r="E182" s="20" t="str">
        <x:v>学院回廊</x:v>
      </x:c>
      <x:c r="F182" s="20" t="n">
        <x:v>2</x:v>
      </x:c>
      <x:c r="G182" s="20" t="str">
        <x:v>XX1060</x:v>
      </x:c>
      <x:c r="H182" s="20" t="str">
        <x:v>封印讲堂</x:v>
      </x:c>
      <x:c r="I182" s="20" t="str">
        <x:v>封讲禁声师</x:v>
      </x:c>
      <x:c r="J182" s="20" t="str">
        <x:v>蓝色</x:v>
      </x:c>
      <x:c r="K182" s="20" t="str">
        <x:v>稀有</x:v>
      </x:c>
      <x:c r="L182" s="20" t="str">
        <x:v>禁声术师</x:v>
      </x:c>
      <x:c r="M182" s="20" t="str">
        <x:v>术式封锁</x:v>
      </x:c>
      <x:c r="N182" s="20" t="str">
        <x:v>禁声讲师冠</x:v>
      </x:c>
      <x:c r="O182" s="20" t="str">
        <x:v>头盔</x:v>
      </x:c>
      <x:c r="P182" s="20" t="str">
        <x:v>辉石碎晶</x:v>
      </x:c>
      <x:c r="Q182" s="20" t="str">
        <x:v>卡利亚月露</x:v>
      </x:c>
      <x:c r="R182" s="20" t="str">
        <x:v>学院封蜡</x:v>
      </x:c>
      <x:c r="S182" s="20" t="str">
        <x:v>湖心月谱残章</x:v>
      </x:c>
      <x:c r="T182" s="20" t="str">
        <x:v>否</x:v>
      </x:c>
      <x:c r="U182" s="20" t="str">
        <x:v>是（公共奖池）</x:v>
      </x:c>
      <x:c r="V182" s="22" t="str">
        <x:v>结构定稿</x:v>
      </x:c>
      <x:c r="W182" s="36" t="str">
        <x:v>用户自行分配／本表不处理</x:v>
      </x:c>
      <x:c r="X182" s="33" t="n">
        <x:v>6994</x:v>
      </x:c>
      <x:c r="Y182" s="29" t="str">
        <x:v>后期统一平衡</x:v>
      </x:c>
      <x:c r="Z182" s="20" t="str">
        <x:v>一怪一专属；专属来源跟随本行准确地图号</x:v>
      </x:c>
    </x:row>
    <x:row r="183" ht="24" customHeight="1">
      <x:c r="A183" s="20" t="str">
        <x:v>C05-M033</x:v>
      </x:c>
      <x:c r="B183" s="20" t="str">
        <x:v>C05</x:v>
      </x:c>
      <x:c r="C183" s="20" t="str">
        <x:v>湖之利耶尼亚</x:v>
      </x:c>
      <x:c r="D183" s="20" t="n">
        <x:v>3</x:v>
      </x:c>
      <x:c r="E183" s="20" t="str">
        <x:v>学院回廊</x:v>
      </x:c>
      <x:c r="F183" s="20" t="n">
        <x:v>3</x:v>
      </x:c>
      <x:c r="G183" s="20" t="str">
        <x:v>XX1058</x:v>
      </x:c>
      <x:c r="H183" s="20" t="str">
        <x:v>学院密室</x:v>
      </x:c>
      <x:c r="I183" s="20" t="str">
        <x:v>密室倒书客</x:v>
      </x:c>
      <x:c r="J183" s="20" t="str">
        <x:v>蓝色</x:v>
      </x:c>
      <x:c r="K183" s="20" t="str">
        <x:v>稀有</x:v>
      </x:c>
      <x:c r="L183" s="20" t="str">
        <x:v>秘室学者</x:v>
      </x:c>
      <x:c r="M183" s="20" t="str">
        <x:v>远程压制</x:v>
      </x:c>
      <x:c r="N183" s="20" t="str">
        <x:v>倒书客勋章</x:v>
      </x:c>
      <x:c r="O183" s="20" t="str">
        <x:v>勋章</x:v>
      </x:c>
      <x:c r="P183" s="20" t="str">
        <x:v>辉石碎晶</x:v>
      </x:c>
      <x:c r="Q183" s="20" t="str">
        <x:v>卡利亚月露</x:v>
      </x:c>
      <x:c r="R183" s="20" t="str">
        <x:v>学院封蜡</x:v>
      </x:c>
      <x:c r="S183" s="20" t="str">
        <x:v>湖心月谱残章</x:v>
      </x:c>
      <x:c r="T183" s="20" t="str">
        <x:v>否</x:v>
      </x:c>
      <x:c r="U183" s="20" t="str">
        <x:v>是（公共奖池）</x:v>
      </x:c>
      <x:c r="V183" s="22" t="str">
        <x:v>结构定稿</x:v>
      </x:c>
      <x:c r="W183" s="36" t="str">
        <x:v>用户自行分配／本表不处理</x:v>
      </x:c>
      <x:c r="X183" s="33" t="n">
        <x:v>6754</x:v>
      </x:c>
      <x:c r="Y183" s="29" t="str">
        <x:v>后期统一平衡</x:v>
      </x:c>
      <x:c r="Z183" s="20" t="str">
        <x:v>一怪一专属；专属来源跟随本行准确地图号</x:v>
      </x:c>
    </x:row>
    <x:row r="184" ht="24" customHeight="1">
      <x:c r="A184" s="20" t="str">
        <x:v>C05-M034</x:v>
      </x:c>
      <x:c r="B184" s="20" t="str">
        <x:v>C05</x:v>
      </x:c>
      <x:c r="C184" s="20" t="str">
        <x:v>湖之利耶尼亚</x:v>
      </x:c>
      <x:c r="D184" s="20" t="n">
        <x:v>3</x:v>
      </x:c>
      <x:c r="E184" s="20" t="str">
        <x:v>学院回廊</x:v>
      </x:c>
      <x:c r="F184" s="20" t="n">
        <x:v>3</x:v>
      </x:c>
      <x:c r="G184" s="20" t="str">
        <x:v>XX1058</x:v>
      </x:c>
      <x:c r="H184" s="20" t="str">
        <x:v>学院密室</x:v>
      </x:c>
      <x:c r="I184" s="20" t="str">
        <x:v>星墨活页兽</x:v>
      </x:c>
      <x:c r="J184" s="20" t="str">
        <x:v>蓝色</x:v>
      </x:c>
      <x:c r="K184" s="20" t="str">
        <x:v>稀有</x:v>
      </x:c>
      <x:c r="L184" s="20" t="str">
        <x:v>星墨书兽</x:v>
      </x:c>
      <x:c r="M184" s="20" t="str">
        <x:v>召唤围攻</x:v>
      </x:c>
      <x:c r="N184" s="20" t="str">
        <x:v>星墨活页袍</x:v>
      </x:c>
      <x:c r="O184" s="20" t="str">
        <x:v>衣服</x:v>
      </x:c>
      <x:c r="P184" s="20" t="str">
        <x:v>辉石碎晶</x:v>
      </x:c>
      <x:c r="Q184" s="20" t="str">
        <x:v>卡利亚月露</x:v>
      </x:c>
      <x:c r="R184" s="20" t="str">
        <x:v>学院封蜡</x:v>
      </x:c>
      <x:c r="S184" s="20" t="str">
        <x:v>湖心月谱残章</x:v>
      </x:c>
      <x:c r="T184" s="20" t="str">
        <x:v>否</x:v>
      </x:c>
      <x:c r="U184" s="20" t="str">
        <x:v>是（公共奖池）</x:v>
      </x:c>
      <x:c r="V184" s="22" t="str">
        <x:v>结构定稿</x:v>
      </x:c>
      <x:c r="W184" s="36" t="str">
        <x:v>用户自行分配／本表不处理</x:v>
      </x:c>
      <x:c r="X184" s="34" t="str">
        <x:v>缺衣服来源码</x:v>
      </x:c>
      <x:c r="Y184" s="29" t="str">
        <x:v>后期统一平衡</x:v>
      </x:c>
      <x:c r="Z184" s="20" t="str">
        <x:v>一怪一专属；专属来源跟随本行准确地图号</x:v>
      </x:c>
    </x:row>
    <x:row r="185" ht="24" customHeight="1">
      <x:c r="A185" s="20" t="str">
        <x:v>C05-M035</x:v>
      </x:c>
      <x:c r="B185" s="20" t="str">
        <x:v>C05</x:v>
      </x:c>
      <x:c r="C185" s="20" t="str">
        <x:v>湖之利耶尼亚</x:v>
      </x:c>
      <x:c r="D185" s="20" t="n">
        <x:v>3</x:v>
      </x:c>
      <x:c r="E185" s="20" t="str">
        <x:v>学院回廊</x:v>
      </x:c>
      <x:c r="F185" s="20" t="n">
        <x:v>2</x:v>
      </x:c>
      <x:c r="G185" s="20" t="str">
        <x:v>XX1060</x:v>
      </x:c>
      <x:c r="H185" s="20" t="str">
        <x:v>封印讲堂</x:v>
      </x:c>
      <x:c r="I185" s="20" t="str">
        <x:v>七印讲堂监</x:v>
      </x:c>
      <x:c r="J185" s="20" t="str">
        <x:v>粉色</x:v>
      </x:c>
      <x:c r="K185" s="20" t="str">
        <x:v>地图BOSS</x:v>
      </x:c>
      <x:c r="L185" s="20" t="str">
        <x:v>封印监守</x:v>
      </x:c>
      <x:c r="M185" s="20" t="str">
        <x:v>首领封锁</x:v>
      </x:c>
      <x:c r="N185" s="20" t="str">
        <x:v>七印讲堂法杖</x:v>
      </x:c>
      <x:c r="O185" s="20" t="str">
        <x:v>武器</x:v>
      </x:c>
      <x:c r="P185" s="20" t="str">
        <x:v>辉石碎晶</x:v>
      </x:c>
      <x:c r="Q185" s="20" t="str">
        <x:v>卡利亚月露＋满月王室印</x:v>
      </x:c>
      <x:c r="R185" s="20" t="str">
        <x:v>月蚀镜片</x:v>
      </x:c>
      <x:c r="S185" s="20" t="str">
        <x:v>湖心月谱残章</x:v>
      </x:c>
      <x:c r="T185" s="20" t="str">
        <x:v>是（独立奖池）</x:v>
      </x:c>
      <x:c r="U185" s="20" t="str">
        <x:v>是（公共奖池）</x:v>
      </x:c>
      <x:c r="V185" s="22" t="str">
        <x:v>结构定稿</x:v>
      </x:c>
      <x:c r="W185" s="36" t="str">
        <x:v>用户自行分配／本表不处理</x:v>
      </x:c>
      <x:c r="X185" s="34" t="str">
        <x:v>缺武器来源码</x:v>
      </x:c>
      <x:c r="Y185" s="29" t="str">
        <x:v>后期统一平衡</x:v>
      </x:c>
      <x:c r="Z185" s="20" t="str">
        <x:v>一怪一专属；专属来源跟随本行准确地图号</x:v>
      </x:c>
    </x:row>
    <x:row r="186" ht="24" customHeight="1">
      <x:c r="A186" s="20" t="str">
        <x:v>C05-M036</x:v>
      </x:c>
      <x:c r="B186" s="20" t="str">
        <x:v>C05</x:v>
      </x:c>
      <x:c r="C186" s="20" t="str">
        <x:v>湖之利耶尼亚</x:v>
      </x:c>
      <x:c r="D186" s="20" t="n">
        <x:v>3</x:v>
      </x:c>
      <x:c r="E186" s="20" t="str">
        <x:v>学院回廊</x:v>
      </x:c>
      <x:c r="F186" s="20" t="n">
        <x:v>3</x:v>
      </x:c>
      <x:c r="G186" s="20" t="str">
        <x:v>XX1058</x:v>
      </x:c>
      <x:c r="H186" s="20" t="str">
        <x:v>学院密室</x:v>
      </x:c>
      <x:c r="I186" s="20" t="str">
        <x:v>逆页密室导师</x:v>
      </x:c>
      <x:c r="J186" s="20" t="str">
        <x:v>粉色</x:v>
      </x:c>
      <x:c r="K186" s="20" t="str">
        <x:v>地图BOSS</x:v>
      </x:c>
      <x:c r="L186" s="20" t="str">
        <x:v>秘仪导师</x:v>
      </x:c>
      <x:c r="M186" s="20" t="str">
        <x:v>首领控场</x:v>
      </x:c>
      <x:c r="N186" s="20" t="str">
        <x:v>逆页导师长衣</x:v>
      </x:c>
      <x:c r="O186" s="20" t="str">
        <x:v>衣服</x:v>
      </x:c>
      <x:c r="P186" s="20" t="str">
        <x:v>辉石碎晶</x:v>
      </x:c>
      <x:c r="Q186" s="20" t="str">
        <x:v>卡利亚月露＋满月王室印</x:v>
      </x:c>
      <x:c r="R186" s="20" t="str">
        <x:v>月蚀镜片</x:v>
      </x:c>
      <x:c r="S186" s="20" t="str">
        <x:v>湖心月谱残章</x:v>
      </x:c>
      <x:c r="T186" s="20" t="str">
        <x:v>是（独立奖池）</x:v>
      </x:c>
      <x:c r="U186" s="20" t="str">
        <x:v>是（公共奖池）</x:v>
      </x:c>
      <x:c r="V186" s="22" t="str">
        <x:v>结构定稿</x:v>
      </x:c>
      <x:c r="W186" s="36" t="str">
        <x:v>用户自行分配／本表不处理</x:v>
      </x:c>
      <x:c r="X186" s="33" t="n">
        <x:v>6922</x:v>
      </x:c>
      <x:c r="Y186" s="29" t="str">
        <x:v>后期统一平衡</x:v>
      </x:c>
      <x:c r="Z186" s="20" t="str">
        <x:v>一怪一专属；专属来源跟随本行准确地图号</x:v>
      </x:c>
    </x:row>
    <x:row r="187" ht="24" customHeight="1">
      <x:c r="A187" s="20" t="str">
        <x:v>C05-M037</x:v>
      </x:c>
      <x:c r="B187" s="20" t="str">
        <x:v>C05</x:v>
      </x:c>
      <x:c r="C187" s="20" t="str">
        <x:v>湖之利耶尼亚</x:v>
      </x:c>
      <x:c r="D187" s="20" t="n">
        <x:v>4</x:v>
      </x:c>
      <x:c r="E187" s="20" t="str">
        <x:v>满月书库</x:v>
      </x:c>
      <x:c r="F187" s="20" t="n">
        <x:v>1</x:v>
      </x:c>
      <x:c r="G187" s="20" t="str">
        <x:v>XX1063</x:v>
      </x:c>
      <x:c r="H187" s="20" t="str">
        <x:v>满月书库</x:v>
      </x:c>
      <x:c r="I187" s="20" t="str">
        <x:v>月尘理卷童</x:v>
      </x:c>
      <x:c r="J187" s="20" t="str">
        <x:v>黄色</x:v>
      </x:c>
      <x:c r="K187" s="20" t="str">
        <x:v>普通</x:v>
      </x:c>
      <x:c r="L187" s="20" t="str">
        <x:v>理卷侍童</x:v>
      </x:c>
      <x:c r="M187" s="20" t="str">
        <x:v>远程牵制</x:v>
      </x:c>
      <x:c r="N187" s="20" t="str">
        <x:v>月尘理卷履</x:v>
      </x:c>
      <x:c r="O187" s="20" t="str">
        <x:v>鞋子</x:v>
      </x:c>
      <x:c r="P187" s="20" t="str">
        <x:v>辉石碎晶</x:v>
      </x:c>
      <x:c r="Q187" s="20" t="str"/>
      <x:c r="R187" s="20" t="str">
        <x:v>雾月星砂</x:v>
      </x:c>
      <x:c r="S187" s="20" t="str">
        <x:v>湖心月谱残章</x:v>
      </x:c>
      <x:c r="T187" s="20" t="str">
        <x:v>否</x:v>
      </x:c>
      <x:c r="U187" s="20" t="str">
        <x:v>是（公共奖池）</x:v>
      </x:c>
      <x:c r="V187" s="22" t="str">
        <x:v>结构定稿</x:v>
      </x:c>
      <x:c r="W187" s="36" t="str">
        <x:v>用户自行分配／本表不处理</x:v>
      </x:c>
      <x:c r="X187" s="33" t="n">
        <x:v>6967</x:v>
      </x:c>
      <x:c r="Y187" s="29" t="str">
        <x:v>后期统一平衡</x:v>
      </x:c>
      <x:c r="Z187" s="20" t="str">
        <x:v>一怪一专属；专属来源跟随本行准确地图号</x:v>
      </x:c>
    </x:row>
    <x:row r="188" ht="24" customHeight="1">
      <x:c r="A188" s="20" t="str">
        <x:v>C05-M038</x:v>
      </x:c>
      <x:c r="B188" s="20" t="str">
        <x:v>C05</x:v>
      </x:c>
      <x:c r="C188" s="20" t="str">
        <x:v>湖之利耶尼亚</x:v>
      </x:c>
      <x:c r="D188" s="20" t="n">
        <x:v>4</x:v>
      </x:c>
      <x:c r="E188" s="20" t="str">
        <x:v>满月书库</x:v>
      </x:c>
      <x:c r="F188" s="20" t="n">
        <x:v>1</x:v>
      </x:c>
      <x:c r="G188" s="20" t="str">
        <x:v>XX1063</x:v>
      </x:c>
      <x:c r="H188" s="20" t="str">
        <x:v>满月书库</x:v>
      </x:c>
      <x:c r="I188" s="20" t="str">
        <x:v>银页栖书鸦</x:v>
      </x:c>
      <x:c r="J188" s="20" t="str">
        <x:v>黄色</x:v>
      </x:c>
      <x:c r="K188" s="20" t="str">
        <x:v>普通</x:v>
      </x:c>
      <x:c r="L188" s="20" t="str">
        <x:v>书库飞禽</x:v>
      </x:c>
      <x:c r="M188" s="20" t="str">
        <x:v>空中突袭</x:v>
      </x:c>
      <x:c r="N188" s="20" t="str">
        <x:v>银页书鸦笠</x:v>
      </x:c>
      <x:c r="O188" s="20" t="str">
        <x:v>斗笠</x:v>
      </x:c>
      <x:c r="P188" s="20" t="str">
        <x:v>辉石碎晶</x:v>
      </x:c>
      <x:c r="Q188" s="20" t="str"/>
      <x:c r="R188" s="20" t="str">
        <x:v>雾月星砂</x:v>
      </x:c>
      <x:c r="S188" s="20" t="str">
        <x:v>湖心月谱残章</x:v>
      </x:c>
      <x:c r="T188" s="20" t="str">
        <x:v>否</x:v>
      </x:c>
      <x:c r="U188" s="20" t="str">
        <x:v>是（公共奖池）</x:v>
      </x:c>
      <x:c r="V188" s="22" t="str">
        <x:v>结构定稿</x:v>
      </x:c>
      <x:c r="W188" s="36" t="str">
        <x:v>用户自行分配／本表不处理</x:v>
      </x:c>
      <x:c r="X188" s="34" t="str">
        <x:v>缺斗笠来源码</x:v>
      </x:c>
      <x:c r="Y188" s="29" t="str">
        <x:v>后期统一平衡</x:v>
      </x:c>
      <x:c r="Z188" s="20" t="str">
        <x:v>一怪一专属；专属来源跟随本行准确地图号</x:v>
      </x:c>
    </x:row>
    <x:row r="189" ht="24" customHeight="1">
      <x:c r="A189" s="20" t="str">
        <x:v>C05-M039</x:v>
      </x:c>
      <x:c r="B189" s="20" t="str">
        <x:v>C05</x:v>
      </x:c>
      <x:c r="C189" s="20" t="str">
        <x:v>湖之利耶尼亚</x:v>
      </x:c>
      <x:c r="D189" s="20" t="n">
        <x:v>4</x:v>
      </x:c>
      <x:c r="E189" s="20" t="str">
        <x:v>满月书库</x:v>
      </x:c>
      <x:c r="F189" s="20" t="n">
        <x:v>2</x:v>
      </x:c>
      <x:c r="G189" s="20" t="str">
        <x:v>XX1065</x:v>
      </x:c>
      <x:c r="H189" s="20" t="str">
        <x:v>禁书回廊</x:v>
      </x:c>
      <x:c r="I189" s="20" t="str">
        <x:v>禁书噤语灯</x:v>
      </x:c>
      <x:c r="J189" s="20" t="str">
        <x:v>黄色</x:v>
      </x:c>
      <x:c r="K189" s="20" t="str">
        <x:v>普通</x:v>
      </x:c>
      <x:c r="L189" s="20" t="str">
        <x:v>禁书器灵</x:v>
      </x:c>
      <x:c r="M189" s="20" t="str">
        <x:v>术式干扰</x:v>
      </x:c>
      <x:c r="N189" s="20" t="str">
        <x:v>噤语灯芯坠</x:v>
      </x:c>
      <x:c r="O189" s="20" t="str">
        <x:v>项链</x:v>
      </x:c>
      <x:c r="P189" s="20" t="str">
        <x:v>辉石碎晶</x:v>
      </x:c>
      <x:c r="Q189" s="20" t="str"/>
      <x:c r="R189" s="20" t="str">
        <x:v>雾月星砂</x:v>
      </x:c>
      <x:c r="S189" s="20" t="str">
        <x:v>湖心月谱残章</x:v>
      </x:c>
      <x:c r="T189" s="20" t="str">
        <x:v>否</x:v>
      </x:c>
      <x:c r="U189" s="20" t="str">
        <x:v>是（公共奖池）</x:v>
      </x:c>
      <x:c r="V189" s="22" t="str">
        <x:v>结构定稿</x:v>
      </x:c>
      <x:c r="W189" s="36" t="str">
        <x:v>用户自行分配／本表不处理</x:v>
      </x:c>
      <x:c r="X189" s="33" t="n">
        <x:v>7031</x:v>
      </x:c>
      <x:c r="Y189" s="29" t="str">
        <x:v>后期统一平衡</x:v>
      </x:c>
      <x:c r="Z189" s="20" t="str">
        <x:v>一怪一专属；专属来源跟随本行准确地图号</x:v>
      </x:c>
    </x:row>
    <x:row r="190" ht="24" customHeight="1">
      <x:c r="A190" s="20" t="str">
        <x:v>C05-M040</x:v>
      </x:c>
      <x:c r="B190" s="20" t="str">
        <x:v>C05</x:v>
      </x:c>
      <x:c r="C190" s="20" t="str">
        <x:v>湖之利耶尼亚</x:v>
      </x:c>
      <x:c r="D190" s="20" t="n">
        <x:v>4</x:v>
      </x:c>
      <x:c r="E190" s="20" t="str">
        <x:v>满月书库</x:v>
      </x:c>
      <x:c r="F190" s="20" t="n">
        <x:v>2</x:v>
      </x:c>
      <x:c r="G190" s="20" t="str">
        <x:v>XX1065</x:v>
      </x:c>
      <x:c r="H190" s="20" t="str">
        <x:v>禁书回廊</x:v>
      </x:c>
      <x:c r="I190" s="20" t="str">
        <x:v>回廊巡卷傀</x:v>
      </x:c>
      <x:c r="J190" s="20" t="str">
        <x:v>黄色</x:v>
      </x:c>
      <x:c r="K190" s="20" t="str">
        <x:v>普通</x:v>
      </x:c>
      <x:c r="L190" s="20" t="str">
        <x:v>巡卷构装</x:v>
      </x:c>
      <x:c r="M190" s="20" t="str">
        <x:v>前排护卫</x:v>
      </x:c>
      <x:c r="N190" s="20" t="str">
        <x:v>巡卷傀书盾</x:v>
      </x:c>
      <x:c r="O190" s="20" t="str">
        <x:v>盾牌</x:v>
      </x:c>
      <x:c r="P190" s="20" t="str">
        <x:v>辉石碎晶</x:v>
      </x:c>
      <x:c r="Q190" s="20" t="str"/>
      <x:c r="R190" s="20" t="str">
        <x:v>雾月星砂</x:v>
      </x:c>
      <x:c r="S190" s="20" t="str">
        <x:v>湖心月谱残章</x:v>
      </x:c>
      <x:c r="T190" s="20" t="str">
        <x:v>否</x:v>
      </x:c>
      <x:c r="U190" s="20" t="str">
        <x:v>是（公共奖池）</x:v>
      </x:c>
      <x:c r="V190" s="22" t="str">
        <x:v>结构定稿</x:v>
      </x:c>
      <x:c r="W190" s="36" t="str">
        <x:v>用户自行分配／本表不处理</x:v>
      </x:c>
      <x:c r="X190" s="33" t="n">
        <x:v>6930</x:v>
      </x:c>
      <x:c r="Y190" s="29" t="str">
        <x:v>后期统一平衡</x:v>
      </x:c>
      <x:c r="Z190" s="20" t="str">
        <x:v>一怪一专属；专属来源跟随本行准确地图号</x:v>
      </x:c>
    </x:row>
    <x:row r="191" ht="24" customHeight="1">
      <x:c r="A191" s="20" t="str">
        <x:v>C05-M041</x:v>
      </x:c>
      <x:c r="B191" s="20" t="str">
        <x:v>C05</x:v>
      </x:c>
      <x:c r="C191" s="20" t="str">
        <x:v>湖之利耶尼亚</x:v>
      </x:c>
      <x:c r="D191" s="20" t="n">
        <x:v>4</x:v>
      </x:c>
      <x:c r="E191" s="20" t="str">
        <x:v>满月书库</x:v>
      </x:c>
      <x:c r="F191" s="20" t="n">
        <x:v>3</x:v>
      </x:c>
      <x:c r="G191" s="20" t="str">
        <x:v>XX1066</x:v>
      </x:c>
      <x:c r="H191" s="20" t="str">
        <x:v>满月藏书室</x:v>
      </x:c>
      <x:c r="I191" s="20" t="str">
        <x:v>藏书室墨潮蛭</x:v>
      </x:c>
      <x:c r="J191" s="20" t="str">
        <x:v>黄色</x:v>
      </x:c>
      <x:c r="K191" s="20" t="str">
        <x:v>普通</x:v>
      </x:c>
      <x:c r="L191" s="20" t="str">
        <x:v>墨潮软兽</x:v>
      </x:c>
      <x:c r="M191" s="20" t="str">
        <x:v>近战缠斗</x:v>
      </x:c>
      <x:c r="N191" s="20" t="str">
        <x:v>墨潮藏页镯</x:v>
      </x:c>
      <x:c r="O191" s="20" t="str">
        <x:v>手镯</x:v>
      </x:c>
      <x:c r="P191" s="20" t="str">
        <x:v>辉石碎晶</x:v>
      </x:c>
      <x:c r="Q191" s="20" t="str"/>
      <x:c r="R191" s="20" t="str">
        <x:v>雾月星砂</x:v>
      </x:c>
      <x:c r="S191" s="20" t="str">
        <x:v>湖心月谱残章</x:v>
      </x:c>
      <x:c r="T191" s="20" t="str">
        <x:v>否</x:v>
      </x:c>
      <x:c r="U191" s="20" t="str">
        <x:v>是（公共奖池）</x:v>
      </x:c>
      <x:c r="V191" s="22" t="str">
        <x:v>结构定稿</x:v>
      </x:c>
      <x:c r="W191" s="36" t="str">
        <x:v>用户自行分配／本表不处理</x:v>
      </x:c>
      <x:c r="X191" s="33" t="n">
        <x:v>6997</x:v>
      </x:c>
      <x:c r="Y191" s="29" t="str">
        <x:v>后期统一平衡</x:v>
      </x:c>
      <x:c r="Z191" s="20" t="str">
        <x:v>一怪一专属；专属来源跟随本行准确地图号</x:v>
      </x:c>
    </x:row>
    <x:row r="192" ht="24" customHeight="1">
      <x:c r="A192" s="20" t="str">
        <x:v>C05-M042</x:v>
      </x:c>
      <x:c r="B192" s="20" t="str">
        <x:v>C05</x:v>
      </x:c>
      <x:c r="C192" s="20" t="str">
        <x:v>湖之利耶尼亚</x:v>
      </x:c>
      <x:c r="D192" s="20" t="n">
        <x:v>4</x:v>
      </x:c>
      <x:c r="E192" s="20" t="str">
        <x:v>满月书库</x:v>
      </x:c>
      <x:c r="F192" s="20" t="n">
        <x:v>3</x:v>
      </x:c>
      <x:c r="G192" s="20" t="str">
        <x:v>XX1066</x:v>
      </x:c>
      <x:c r="H192" s="20" t="str">
        <x:v>满月藏书室</x:v>
      </x:c>
      <x:c r="I192" s="20" t="str">
        <x:v>满月夹页灵</x:v>
      </x:c>
      <x:c r="J192" s="20" t="str">
        <x:v>黄色</x:v>
      </x:c>
      <x:c r="K192" s="20" t="str">
        <x:v>普通</x:v>
      </x:c>
      <x:c r="L192" s="20" t="str">
        <x:v>月页灵体</x:v>
      </x:c>
      <x:c r="M192" s="20" t="str">
        <x:v>近战游击</x:v>
      </x:c>
      <x:c r="N192" s="20" t="str">
        <x:v>夹页月痕戒</x:v>
      </x:c>
      <x:c r="O192" s="20" t="str">
        <x:v>戒指</x:v>
      </x:c>
      <x:c r="P192" s="20" t="str">
        <x:v>辉石碎晶</x:v>
      </x:c>
      <x:c r="Q192" s="20" t="str"/>
      <x:c r="R192" s="20" t="str">
        <x:v>雾月星砂</x:v>
      </x:c>
      <x:c r="S192" s="20" t="str">
        <x:v>湖心月谱残章</x:v>
      </x:c>
      <x:c r="T192" s="20" t="str">
        <x:v>否</x:v>
      </x:c>
      <x:c r="U192" s="20" t="str">
        <x:v>是（公共奖池）</x:v>
      </x:c>
      <x:c r="V192" s="22" t="str">
        <x:v>结构定稿</x:v>
      </x:c>
      <x:c r="W192" s="36" t="str">
        <x:v>用户自行分配／本表不处理</x:v>
      </x:c>
      <x:c r="X192" s="33" t="n">
        <x:v>7033</x:v>
      </x:c>
      <x:c r="Y192" s="29" t="str">
        <x:v>后期统一平衡</x:v>
      </x:c>
      <x:c r="Z192" s="20" t="str">
        <x:v>一怪一专属；专属来源跟随本行准确地图号</x:v>
      </x:c>
    </x:row>
    <x:row r="193" ht="24" customHeight="1">
      <x:c r="A193" s="20" t="str">
        <x:v>C05-M043</x:v>
      </x:c>
      <x:c r="B193" s="20" t="str">
        <x:v>C05</x:v>
      </x:c>
      <x:c r="C193" s="20" t="str">
        <x:v>湖之利耶尼亚</x:v>
      </x:c>
      <x:c r="D193" s="20" t="n">
        <x:v>4</x:v>
      </x:c>
      <x:c r="E193" s="20" t="str">
        <x:v>满月书库</x:v>
      </x:c>
      <x:c r="F193" s="20" t="n">
        <x:v>1</x:v>
      </x:c>
      <x:c r="G193" s="20" t="str">
        <x:v>XX1063</x:v>
      </x:c>
      <x:c r="H193" s="20" t="str">
        <x:v>满月书库</x:v>
      </x:c>
      <x:c r="I193" s="20" t="str">
        <x:v>月相编目师</x:v>
      </x:c>
      <x:c r="J193" s="20" t="str">
        <x:v>蓝色</x:v>
      </x:c>
      <x:c r="K193" s="20" t="str">
        <x:v>稀有</x:v>
      </x:c>
      <x:c r="L193" s="20" t="str">
        <x:v>书库学者</x:v>
      </x:c>
      <x:c r="M193" s="20" t="str">
        <x:v>仪式支援</x:v>
      </x:c>
      <x:c r="N193" s="20" t="str">
        <x:v>月相编目束带</x:v>
      </x:c>
      <x:c r="O193" s="20" t="str">
        <x:v>腰带</x:v>
      </x:c>
      <x:c r="P193" s="20" t="str">
        <x:v>辉石碎晶</x:v>
      </x:c>
      <x:c r="Q193" s="20" t="str">
        <x:v>卡利亚月露</x:v>
      </x:c>
      <x:c r="R193" s="20" t="str">
        <x:v>学院封蜡</x:v>
      </x:c>
      <x:c r="S193" s="20" t="str">
        <x:v>湖心月谱残章</x:v>
      </x:c>
      <x:c r="T193" s="20" t="str">
        <x:v>否</x:v>
      </x:c>
      <x:c r="U193" s="20" t="str">
        <x:v>是（公共奖池）</x:v>
      </x:c>
      <x:c r="V193" s="22" t="str">
        <x:v>结构定稿</x:v>
      </x:c>
      <x:c r="W193" s="36" t="str">
        <x:v>用户自行分配／本表不处理</x:v>
      </x:c>
      <x:c r="X193" s="33" t="n">
        <x:v>6898</x:v>
      </x:c>
      <x:c r="Y193" s="29" t="str">
        <x:v>后期统一平衡</x:v>
      </x:c>
      <x:c r="Z193" s="20" t="str">
        <x:v>一怪一专属；专属来源跟随本行准确地图号</x:v>
      </x:c>
    </x:row>
    <x:row r="194" ht="24" customHeight="1">
      <x:c r="A194" s="20" t="str">
        <x:v>C05-M044</x:v>
      </x:c>
      <x:c r="B194" s="20" t="str">
        <x:v>C05</x:v>
      </x:c>
      <x:c r="C194" s="20" t="str">
        <x:v>湖之利耶尼亚</x:v>
      </x:c>
      <x:c r="D194" s="20" t="n">
        <x:v>4</x:v>
      </x:c>
      <x:c r="E194" s="20" t="str">
        <x:v>满月书库</x:v>
      </x:c>
      <x:c r="F194" s="20" t="n">
        <x:v>2</x:v>
      </x:c>
      <x:c r="G194" s="20" t="str">
        <x:v>XX1065</x:v>
      </x:c>
      <x:c r="H194" s="20" t="str">
        <x:v>禁书回廊</x:v>
      </x:c>
      <x:c r="I194" s="20" t="str">
        <x:v>禁页蚀字兽</x:v>
      </x:c>
      <x:c r="J194" s="20" t="str">
        <x:v>蓝色</x:v>
      </x:c>
      <x:c r="K194" s="20" t="str">
        <x:v>稀有</x:v>
      </x:c>
      <x:c r="L194" s="20" t="str">
        <x:v>蚀字异兽</x:v>
      </x:c>
      <x:c r="M194" s="20" t="str">
        <x:v>范围侵扰</x:v>
      </x:c>
      <x:c r="N194" s="20" t="str">
        <x:v>禁页蚀字冠</x:v>
      </x:c>
      <x:c r="O194" s="20" t="str">
        <x:v>头盔</x:v>
      </x:c>
      <x:c r="P194" s="20" t="str">
        <x:v>辉石碎晶</x:v>
      </x:c>
      <x:c r="Q194" s="20" t="str">
        <x:v>卡利亚月露</x:v>
      </x:c>
      <x:c r="R194" s="20" t="str">
        <x:v>学院封蜡</x:v>
      </x:c>
      <x:c r="S194" s="20" t="str">
        <x:v>湖心月谱残章</x:v>
      </x:c>
      <x:c r="T194" s="20" t="str">
        <x:v>否</x:v>
      </x:c>
      <x:c r="U194" s="20" t="str">
        <x:v>是（公共奖池）</x:v>
      </x:c>
      <x:c r="V194" s="22" t="str">
        <x:v>结构定稿</x:v>
      </x:c>
      <x:c r="W194" s="36" t="str">
        <x:v>用户自行分配／本表不处理</x:v>
      </x:c>
      <x:c r="X194" s="33" t="n">
        <x:v>7029</x:v>
      </x:c>
      <x:c r="Y194" s="29" t="str">
        <x:v>后期统一平衡</x:v>
      </x:c>
      <x:c r="Z194" s="20" t="str">
        <x:v>一怪一专属；专属来源跟随本行准确地图号</x:v>
      </x:c>
    </x:row>
    <x:row r="195" ht="24" customHeight="1">
      <x:c r="A195" s="20" t="str">
        <x:v>C05-M045</x:v>
      </x:c>
      <x:c r="B195" s="20" t="str">
        <x:v>C05</x:v>
      </x:c>
      <x:c r="C195" s="20" t="str">
        <x:v>湖之利耶尼亚</x:v>
      </x:c>
      <x:c r="D195" s="20" t="n">
        <x:v>4</x:v>
      </x:c>
      <x:c r="E195" s="20" t="str">
        <x:v>满月书库</x:v>
      </x:c>
      <x:c r="F195" s="20" t="n">
        <x:v>3</x:v>
      </x:c>
      <x:c r="G195" s="20" t="str">
        <x:v>XX1066</x:v>
      </x:c>
      <x:c r="H195" s="20" t="str">
        <x:v>满月藏书室</x:v>
      </x:c>
      <x:c r="I195" s="20" t="str">
        <x:v>藏卷沉思者</x:v>
      </x:c>
      <x:c r="J195" s="20" t="str">
        <x:v>蓝色</x:v>
      </x:c>
      <x:c r="K195" s="20" t="str">
        <x:v>稀有</x:v>
      </x:c>
      <x:c r="L195" s="20" t="str">
        <x:v>沉思法师</x:v>
      </x:c>
      <x:c r="M195" s="20" t="str">
        <x:v>远程压制</x:v>
      </x:c>
      <x:c r="N195" s="20" t="str">
        <x:v>藏卷沉思章</x:v>
      </x:c>
      <x:c r="O195" s="20" t="str">
        <x:v>勋章</x:v>
      </x:c>
      <x:c r="P195" s="20" t="str">
        <x:v>辉石碎晶</x:v>
      </x:c>
      <x:c r="Q195" s="20" t="str">
        <x:v>卡利亚月露</x:v>
      </x:c>
      <x:c r="R195" s="20" t="str">
        <x:v>学院封蜡</x:v>
      </x:c>
      <x:c r="S195" s="20" t="str">
        <x:v>湖心月谱残章</x:v>
      </x:c>
      <x:c r="T195" s="20" t="str">
        <x:v>否</x:v>
      </x:c>
      <x:c r="U195" s="20" t="str">
        <x:v>是（公共奖池）</x:v>
      </x:c>
      <x:c r="V195" s="22" t="str">
        <x:v>结构定稿</x:v>
      </x:c>
      <x:c r="W195" s="36" t="str">
        <x:v>用户自行分配／本表不处理</x:v>
      </x:c>
      <x:c r="X195" s="33" t="n">
        <x:v>6789</x:v>
      </x:c>
      <x:c r="Y195" s="29" t="str">
        <x:v>后期统一平衡</x:v>
      </x:c>
      <x:c r="Z195" s="20" t="str">
        <x:v>一怪一专属；专属来源跟随本行准确地图号</x:v>
      </x:c>
    </x:row>
    <x:row r="196" ht="24" customHeight="1">
      <x:c r="A196" s="20" t="str">
        <x:v>C05-M046</x:v>
      </x:c>
      <x:c r="B196" s="20" t="str">
        <x:v>C05</x:v>
      </x:c>
      <x:c r="C196" s="20" t="str">
        <x:v>湖之利耶尼亚</x:v>
      </x:c>
      <x:c r="D196" s="20" t="n">
        <x:v>4</x:v>
      </x:c>
      <x:c r="E196" s="20" t="str">
        <x:v>满月书库</x:v>
      </x:c>
      <x:c r="F196" s="20" t="n">
        <x:v>1</x:v>
      </x:c>
      <x:c r="G196" s="20" t="str">
        <x:v>XX1063</x:v>
      </x:c>
      <x:c r="H196" s="20" t="str">
        <x:v>满月书库</x:v>
      </x:c>
      <x:c r="I196" s="20" t="str">
        <x:v>银书长尾猫</x:v>
      </x:c>
      <x:c r="J196" s="20" t="str">
        <x:v>蓝色</x:v>
      </x:c>
      <x:c r="K196" s="20" t="str">
        <x:v>稀有</x:v>
      </x:c>
      <x:c r="L196" s="20" t="str">
        <x:v>书库灵兽</x:v>
      </x:c>
      <x:c r="M196" s="20" t="str">
        <x:v>迅捷突袭</x:v>
      </x:c>
      <x:c r="N196" s="20" t="str">
        <x:v>银书尾翎袍</x:v>
      </x:c>
      <x:c r="O196" s="20" t="str">
        <x:v>衣服</x:v>
      </x:c>
      <x:c r="P196" s="20" t="str">
        <x:v>辉石碎晶</x:v>
      </x:c>
      <x:c r="Q196" s="20" t="str">
        <x:v>卡利亚月露</x:v>
      </x:c>
      <x:c r="R196" s="20" t="str">
        <x:v>学院封蜡</x:v>
      </x:c>
      <x:c r="S196" s="20" t="str">
        <x:v>湖心月谱残章</x:v>
      </x:c>
      <x:c r="T196" s="20" t="str">
        <x:v>否</x:v>
      </x:c>
      <x:c r="U196" s="20" t="str">
        <x:v>是（公共奖池）</x:v>
      </x:c>
      <x:c r="V196" s="22" t="str">
        <x:v>结构定稿</x:v>
      </x:c>
      <x:c r="W196" s="36" t="str">
        <x:v>用户自行分配／本表不处理</x:v>
      </x:c>
      <x:c r="X196" s="34" t="str">
        <x:v>缺衣服来源码</x:v>
      </x:c>
      <x:c r="Y196" s="29" t="str">
        <x:v>后期统一平衡</x:v>
      </x:c>
      <x:c r="Z196" s="20" t="str">
        <x:v>一怪一专属；专属来源跟随本行准确地图号</x:v>
      </x:c>
    </x:row>
    <x:row r="197" ht="24" customHeight="1">
      <x:c r="A197" s="20" t="str">
        <x:v>C05-M047</x:v>
      </x:c>
      <x:c r="B197" s="20" t="str">
        <x:v>C05</x:v>
      </x:c>
      <x:c r="C197" s="20" t="str">
        <x:v>湖之利耶尼亚</x:v>
      </x:c>
      <x:c r="D197" s="20" t="n">
        <x:v>4</x:v>
      </x:c>
      <x:c r="E197" s="20" t="str">
        <x:v>满月书库</x:v>
      </x:c>
      <x:c r="F197" s="20" t="n">
        <x:v>2</x:v>
      </x:c>
      <x:c r="G197" s="20" t="str">
        <x:v>XX1065</x:v>
      </x:c>
      <x:c r="H197" s="20" t="str">
        <x:v>禁书回廊</x:v>
      </x:c>
      <x:c r="I197" s="20" t="str">
        <x:v>无声禁典司</x:v>
      </x:c>
      <x:c r="J197" s="20" t="str">
        <x:v>粉色</x:v>
      </x:c>
      <x:c r="K197" s="20" t="str">
        <x:v>地图BOSS</x:v>
      </x:c>
      <x:c r="L197" s="20" t="str">
        <x:v>禁典司官</x:v>
      </x:c>
      <x:c r="M197" s="20" t="str">
        <x:v>首领封锁</x:v>
      </x:c>
      <x:c r="N197" s="20" t="str">
        <x:v>无声禁典刃</x:v>
      </x:c>
      <x:c r="O197" s="20" t="str">
        <x:v>武器</x:v>
      </x:c>
      <x:c r="P197" s="20" t="str">
        <x:v>辉石碎晶</x:v>
      </x:c>
      <x:c r="Q197" s="20" t="str">
        <x:v>卡利亚月露＋满月王室印</x:v>
      </x:c>
      <x:c r="R197" s="20" t="str">
        <x:v>月蚀镜片</x:v>
      </x:c>
      <x:c r="S197" s="20" t="str">
        <x:v>湖心月谱残章</x:v>
      </x:c>
      <x:c r="T197" s="20" t="str">
        <x:v>是（独立奖池）</x:v>
      </x:c>
      <x:c r="U197" s="20" t="str">
        <x:v>是（公共奖池）</x:v>
      </x:c>
      <x:c r="V197" s="22" t="str">
        <x:v>结构定稿</x:v>
      </x:c>
      <x:c r="W197" s="36" t="str">
        <x:v>用户自行分配／本表不处理</x:v>
      </x:c>
      <x:c r="X197" s="34" t="str">
        <x:v>缺武器来源码</x:v>
      </x:c>
      <x:c r="Y197" s="29" t="str">
        <x:v>后期统一平衡</x:v>
      </x:c>
      <x:c r="Z197" s="20" t="str">
        <x:v>一怪一专属；专属来源跟随本行准确地图号</x:v>
      </x:c>
    </x:row>
    <x:row r="198" ht="24" customHeight="1">
      <x:c r="A198" s="20" t="str">
        <x:v>C05-M048</x:v>
      </x:c>
      <x:c r="B198" s="20" t="str">
        <x:v>C05</x:v>
      </x:c>
      <x:c r="C198" s="20" t="str">
        <x:v>湖之利耶尼亚</x:v>
      </x:c>
      <x:c r="D198" s="20" t="n">
        <x:v>4</x:v>
      </x:c>
      <x:c r="E198" s="20" t="str">
        <x:v>满月书库</x:v>
      </x:c>
      <x:c r="F198" s="20" t="n">
        <x:v>3</x:v>
      </x:c>
      <x:c r="G198" s="20" t="str">
        <x:v>XX1066</x:v>
      </x:c>
      <x:c r="H198" s="20" t="str">
        <x:v>满月藏书室</x:v>
      </x:c>
      <x:c r="I198" s="20" t="str">
        <x:v>满月万卷君</x:v>
      </x:c>
      <x:c r="J198" s="20" t="str">
        <x:v>粉色</x:v>
      </x:c>
      <x:c r="K198" s="20" t="str">
        <x:v>地图BOSS</x:v>
      </x:c>
      <x:c r="L198" s="20" t="str">
        <x:v>万卷书灵</x:v>
      </x:c>
      <x:c r="M198" s="20" t="str">
        <x:v>首领召唤</x:v>
      </x:c>
      <x:c r="N198" s="20" t="str">
        <x:v>满月万卷法衣</x:v>
      </x:c>
      <x:c r="O198" s="20" t="str">
        <x:v>衣服</x:v>
      </x:c>
      <x:c r="P198" s="20" t="str">
        <x:v>辉石碎晶</x:v>
      </x:c>
      <x:c r="Q198" s="20" t="str">
        <x:v>卡利亚月露＋满月王室印</x:v>
      </x:c>
      <x:c r="R198" s="20" t="str">
        <x:v>月蚀镜片</x:v>
      </x:c>
      <x:c r="S198" s="20" t="str">
        <x:v>湖心月谱残章</x:v>
      </x:c>
      <x:c r="T198" s="20" t="str">
        <x:v>是（独立奖池）</x:v>
      </x:c>
      <x:c r="U198" s="20" t="str">
        <x:v>是（公共奖池）</x:v>
      </x:c>
      <x:c r="V198" s="22" t="str">
        <x:v>结构定稿</x:v>
      </x:c>
      <x:c r="W198" s="36" t="str">
        <x:v>用户自行分配／本表不处理</x:v>
      </x:c>
      <x:c r="X198" s="33" t="n">
        <x:v>6957</x:v>
      </x:c>
      <x:c r="Y198" s="29" t="str">
        <x:v>后期统一平衡</x:v>
      </x:c>
      <x:c r="Z198" s="20" t="str">
        <x:v>一怪一专属；专属来源跟随本行准确地图号</x:v>
      </x:c>
    </x:row>
    <x:row r="199" ht="24" customHeight="1">
      <x:c r="A199" s="20" t="str">
        <x:v>C05-M049</x:v>
      </x:c>
      <x:c r="B199" s="20" t="str">
        <x:v>C05</x:v>
      </x:c>
      <x:c r="C199" s="20" t="str">
        <x:v>湖之利耶尼亚</x:v>
      </x:c>
      <x:c r="D199" s="20" t="n">
        <x:v>5</x:v>
      </x:c>
      <x:c r="E199" s="20" t="str">
        <x:v>月影水宫</x:v>
      </x:c>
      <x:c r="F199" s="20" t="n">
        <x:v>1</x:v>
      </x:c>
      <x:c r="G199" s="20" t="str">
        <x:v>XX377</x:v>
      </x:c>
      <x:c r="H199" s="20" t="str">
        <x:v>月影水宫</x:v>
      </x:c>
      <x:c r="I199" s="20" t="str">
        <x:v>月影鳞侍</x:v>
      </x:c>
      <x:c r="J199" s="20" t="str">
        <x:v>黄色</x:v>
      </x:c>
      <x:c r="K199" s="20" t="str">
        <x:v>普通</x:v>
      </x:c>
      <x:c r="L199" s="20" t="str">
        <x:v>水宫鳞侍</x:v>
      </x:c>
      <x:c r="M199" s="20" t="str">
        <x:v>近战突刺</x:v>
      </x:c>
      <x:c r="N199" s="20" t="str">
        <x:v>月影鳞侍叉</x:v>
      </x:c>
      <x:c r="O199" s="20" t="str">
        <x:v>武器</x:v>
      </x:c>
      <x:c r="P199" s="20" t="str">
        <x:v>辉石碎晶</x:v>
      </x:c>
      <x:c r="Q199" s="20" t="str"/>
      <x:c r="R199" s="20" t="str">
        <x:v>雾月星砂</x:v>
      </x:c>
      <x:c r="S199" s="20" t="str">
        <x:v>湖心月谱残章</x:v>
      </x:c>
      <x:c r="T199" s="20" t="str">
        <x:v>否</x:v>
      </x:c>
      <x:c r="U199" s="20" t="str">
        <x:v>是（公共奖池）</x:v>
      </x:c>
      <x:c r="V199" s="22" t="str">
        <x:v>结构定稿</x:v>
      </x:c>
      <x:c r="W199" s="36" t="str">
        <x:v>用户自行分配／本表不处理</x:v>
      </x:c>
      <x:c r="X199" s="34" t="str">
        <x:v>缺武器来源码</x:v>
      </x:c>
      <x:c r="Y199" s="29" t="str">
        <x:v>后期统一平衡</x:v>
      </x:c>
      <x:c r="Z199" s="20" t="str">
        <x:v>一怪一专属；专属来源跟随本行准确地图号</x:v>
      </x:c>
    </x:row>
    <x:row r="200" ht="24" customHeight="1">
      <x:c r="A200" s="20" t="str">
        <x:v>C05-M050</x:v>
      </x:c>
      <x:c r="B200" s="20" t="str">
        <x:v>C05</x:v>
      </x:c>
      <x:c r="C200" s="20" t="str">
        <x:v>湖之利耶尼亚</x:v>
      </x:c>
      <x:c r="D200" s="20" t="n">
        <x:v>5</x:v>
      </x:c>
      <x:c r="E200" s="20" t="str">
        <x:v>月影水宫</x:v>
      </x:c>
      <x:c r="F200" s="20" t="n">
        <x:v>1</x:v>
      </x:c>
      <x:c r="G200" s="20" t="str">
        <x:v>XX377</x:v>
      </x:c>
      <x:c r="H200" s="20" t="str">
        <x:v>月影水宫</x:v>
      </x:c>
      <x:c r="I200" s="20" t="str">
        <x:v>水宫涡纹螺</x:v>
      </x:c>
      <x:c r="J200" s="20" t="str">
        <x:v>黄色</x:v>
      </x:c>
      <x:c r="K200" s="20" t="str">
        <x:v>普通</x:v>
      </x:c>
      <x:c r="L200" s="20" t="str">
        <x:v>涡纹甲兽</x:v>
      </x:c>
      <x:c r="M200" s="20" t="str">
        <x:v>前排牵制</x:v>
      </x:c>
      <x:c r="N200" s="20" t="str">
        <x:v>涡纹螺壳盾</x:v>
      </x:c>
      <x:c r="O200" s="20" t="str">
        <x:v>盾牌</x:v>
      </x:c>
      <x:c r="P200" s="20" t="str">
        <x:v>辉石碎晶</x:v>
      </x:c>
      <x:c r="Q200" s="20" t="str"/>
      <x:c r="R200" s="20" t="str">
        <x:v>雾月星砂</x:v>
      </x:c>
      <x:c r="S200" s="20" t="str">
        <x:v>湖心月谱残章</x:v>
      </x:c>
      <x:c r="T200" s="20" t="str">
        <x:v>否</x:v>
      </x:c>
      <x:c r="U200" s="20" t="str">
        <x:v>是（公共奖池）</x:v>
      </x:c>
      <x:c r="V200" s="22" t="str">
        <x:v>结构定稿</x:v>
      </x:c>
      <x:c r="W200" s="36" t="str">
        <x:v>用户自行分配／本表不处理</x:v>
      </x:c>
      <x:c r="X200" s="33" t="n">
        <x:v>6965</x:v>
      </x:c>
      <x:c r="Y200" s="29" t="str">
        <x:v>后期统一平衡</x:v>
      </x:c>
      <x:c r="Z200" s="20" t="str">
        <x:v>一怪一专属；专属来源跟随本行准确地图号</x:v>
      </x:c>
    </x:row>
    <x:row r="201" ht="24" customHeight="1">
      <x:c r="A201" s="20" t="str">
        <x:v>C05-M051</x:v>
      </x:c>
      <x:c r="B201" s="20" t="str">
        <x:v>C05</x:v>
      </x:c>
      <x:c r="C201" s="20" t="str">
        <x:v>湖之利耶尼亚</x:v>
      </x:c>
      <x:c r="D201" s="20" t="n">
        <x:v>5</x:v>
      </x:c>
      <x:c r="E201" s="20" t="str">
        <x:v>月影水宫</x:v>
      </x:c>
      <x:c r="F201" s="20" t="n">
        <x:v>2</x:v>
      </x:c>
      <x:c r="G201" s="20" t="str">
        <x:v>XX378</x:v>
      </x:c>
      <x:c r="H201" s="20" t="str">
        <x:v>月华内殿</x:v>
      </x:c>
      <x:c r="I201" s="20" t="str">
        <x:v>月华执扇女使</x:v>
      </x:c>
      <x:c r="J201" s="20" t="str">
        <x:v>黄色</x:v>
      </x:c>
      <x:c r="K201" s="20" t="str">
        <x:v>普通</x:v>
      </x:c>
      <x:c r="L201" s="20" t="str">
        <x:v>内殿女使</x:v>
      </x:c>
      <x:c r="M201" s="20" t="str">
        <x:v>远程术击</x:v>
      </x:c>
      <x:c r="N201" s="20" t="str">
        <x:v>月华流扇笠</x:v>
      </x:c>
      <x:c r="O201" s="20" t="str">
        <x:v>斗笠</x:v>
      </x:c>
      <x:c r="P201" s="20" t="str">
        <x:v>辉石碎晶</x:v>
      </x:c>
      <x:c r="Q201" s="20" t="str"/>
      <x:c r="R201" s="20" t="str">
        <x:v>雾月星砂</x:v>
      </x:c>
      <x:c r="S201" s="20" t="str">
        <x:v>湖心月谱残章</x:v>
      </x:c>
      <x:c r="T201" s="20" t="str">
        <x:v>否</x:v>
      </x:c>
      <x:c r="U201" s="20" t="str">
        <x:v>是（公共奖池）</x:v>
      </x:c>
      <x:c r="V201" s="22" t="str">
        <x:v>结构定稿</x:v>
      </x:c>
      <x:c r="W201" s="36" t="str">
        <x:v>用户自行分配／本表不处理</x:v>
      </x:c>
      <x:c r="X201" s="34" t="str">
        <x:v>缺斗笠来源码</x:v>
      </x:c>
      <x:c r="Y201" s="29" t="str">
        <x:v>后期统一平衡</x:v>
      </x:c>
      <x:c r="Z201" s="20" t="str">
        <x:v>一怪一专属；专属来源跟随本行准确地图号</x:v>
      </x:c>
    </x:row>
    <x:row r="202" ht="24" customHeight="1">
      <x:c r="A202" s="20" t="str">
        <x:v>C05-M052</x:v>
      </x:c>
      <x:c r="B202" s="20" t="str">
        <x:v>C05</x:v>
      </x:c>
      <x:c r="C202" s="20" t="str">
        <x:v>湖之利耶尼亚</x:v>
      </x:c>
      <x:c r="D202" s="20" t="n">
        <x:v>5</x:v>
      </x:c>
      <x:c r="E202" s="20" t="str">
        <x:v>月影水宫</x:v>
      </x:c>
      <x:c r="F202" s="20" t="n">
        <x:v>2</x:v>
      </x:c>
      <x:c r="G202" s="20" t="str">
        <x:v>XX378</x:v>
      </x:c>
      <x:c r="H202" s="20" t="str">
        <x:v>月华内殿</x:v>
      </x:c>
      <x:c r="I202" s="20" t="str">
        <x:v>内殿浮光鲛兵</x:v>
      </x:c>
      <x:c r="J202" s="20" t="str">
        <x:v>黄色</x:v>
      </x:c>
      <x:c r="K202" s="20" t="str">
        <x:v>普通</x:v>
      </x:c>
      <x:c r="L202" s="20" t="str">
        <x:v>水宫鲛兵</x:v>
      </x:c>
      <x:c r="M202" s="20" t="str">
        <x:v>近战游击</x:v>
      </x:c>
      <x:c r="N202" s="20" t="str">
        <x:v>浮光鲛纹镯</x:v>
      </x:c>
      <x:c r="O202" s="20" t="str">
        <x:v>手镯</x:v>
      </x:c>
      <x:c r="P202" s="20" t="str">
        <x:v>辉石碎晶</x:v>
      </x:c>
      <x:c r="Q202" s="20" t="str"/>
      <x:c r="R202" s="20" t="str">
        <x:v>雾月星砂</x:v>
      </x:c>
      <x:c r="S202" s="20" t="str">
        <x:v>湖心月谱残章</x:v>
      </x:c>
      <x:c r="T202" s="20" t="str">
        <x:v>否</x:v>
      </x:c>
      <x:c r="U202" s="20" t="str">
        <x:v>是（公共奖池）</x:v>
      </x:c>
      <x:c r="V202" s="22" t="str">
        <x:v>结构定稿</x:v>
      </x:c>
      <x:c r="W202" s="36" t="str">
        <x:v>用户自行分配／本表不处理</x:v>
      </x:c>
      <x:c r="X202" s="33" t="n">
        <x:v>7032</x:v>
      </x:c>
      <x:c r="Y202" s="29" t="str">
        <x:v>后期统一平衡</x:v>
      </x:c>
      <x:c r="Z202" s="20" t="str">
        <x:v>一怪一专属；专属来源跟随本行准确地图号</x:v>
      </x:c>
    </x:row>
    <x:row r="203" ht="24" customHeight="1">
      <x:c r="A203" s="20" t="str">
        <x:v>C05-M053</x:v>
      </x:c>
      <x:c r="B203" s="20" t="str">
        <x:v>C05</x:v>
      </x:c>
      <x:c r="C203" s="20" t="str">
        <x:v>湖之利耶尼亚</x:v>
      </x:c>
      <x:c r="D203" s="20" t="n">
        <x:v>5</x:v>
      </x:c>
      <x:c r="E203" s="20" t="str">
        <x:v>月影水宫</x:v>
      </x:c>
      <x:c r="F203" s="20" t="n">
        <x:v>3</x:v>
      </x:c>
      <x:c r="G203" s="20" t="str">
        <x:v>XX379</x:v>
      </x:c>
      <x:c r="H203" s="20" t="str">
        <x:v>月影圣殿</x:v>
      </x:c>
      <x:c r="I203" s="20" t="str">
        <x:v>圣殿澄潮祭从</x:v>
      </x:c>
      <x:c r="J203" s="20" t="str">
        <x:v>黄色</x:v>
      </x:c>
      <x:c r="K203" s="20" t="str">
        <x:v>普通</x:v>
      </x:c>
      <x:c r="L203" s="20" t="str">
        <x:v>澄潮祭从</x:v>
      </x:c>
      <x:c r="M203" s="20" t="str">
        <x:v>仪式支援</x:v>
      </x:c>
      <x:c r="N203" s="20" t="str">
        <x:v>澄潮祭步履</x:v>
      </x:c>
      <x:c r="O203" s="20" t="str">
        <x:v>鞋子</x:v>
      </x:c>
      <x:c r="P203" s="20" t="str">
        <x:v>辉石碎晶</x:v>
      </x:c>
      <x:c r="Q203" s="20" t="str"/>
      <x:c r="R203" s="20" t="str">
        <x:v>雾月星砂</x:v>
      </x:c>
      <x:c r="S203" s="20" t="str">
        <x:v>湖心月谱残章</x:v>
      </x:c>
      <x:c r="T203" s="20" t="str">
        <x:v>否</x:v>
      </x:c>
      <x:c r="U203" s="20" t="str">
        <x:v>是（公共奖池）</x:v>
      </x:c>
      <x:c r="V203" s="22" t="str">
        <x:v>结构定稿</x:v>
      </x:c>
      <x:c r="W203" s="36" t="str">
        <x:v>用户自行分配／本表不处理</x:v>
      </x:c>
      <x:c r="X203" s="33" t="n">
        <x:v>7002</x:v>
      </x:c>
      <x:c r="Y203" s="29" t="str">
        <x:v>后期统一平衡</x:v>
      </x:c>
      <x:c r="Z203" s="20" t="str">
        <x:v>一怪一专属；专属来源跟随本行准确地图号</x:v>
      </x:c>
    </x:row>
    <x:row r="204" ht="24" customHeight="1">
      <x:c r="A204" s="20" t="str">
        <x:v>C05-M054</x:v>
      </x:c>
      <x:c r="B204" s="20" t="str">
        <x:v>C05</x:v>
      </x:c>
      <x:c r="C204" s="20" t="str">
        <x:v>湖之利耶尼亚</x:v>
      </x:c>
      <x:c r="D204" s="20" t="n">
        <x:v>5</x:v>
      </x:c>
      <x:c r="E204" s="20" t="str">
        <x:v>月影水宫</x:v>
      </x:c>
      <x:c r="F204" s="20" t="n">
        <x:v>3</x:v>
      </x:c>
      <x:c r="G204" s="20" t="str">
        <x:v>XX379</x:v>
      </x:c>
      <x:c r="H204" s="20" t="str">
        <x:v>月影圣殿</x:v>
      </x:c>
      <x:c r="I204" s="20" t="str">
        <x:v>月镜游鱼灵</x:v>
      </x:c>
      <x:c r="J204" s="20" t="str">
        <x:v>黄色</x:v>
      </x:c>
      <x:c r="K204" s="20" t="str">
        <x:v>普通</x:v>
      </x:c>
      <x:c r="L204" s="20" t="str">
        <x:v>镜水鱼灵</x:v>
      </x:c>
      <x:c r="M204" s="20" t="str">
        <x:v>群体扰乱</x:v>
      </x:c>
      <x:c r="N204" s="20" t="str">
        <x:v>月镜游鱼戒</x:v>
      </x:c>
      <x:c r="O204" s="20" t="str">
        <x:v>戒指</x:v>
      </x:c>
      <x:c r="P204" s="20" t="str">
        <x:v>辉石碎晶</x:v>
      </x:c>
      <x:c r="Q204" s="20" t="str"/>
      <x:c r="R204" s="20" t="str">
        <x:v>雾月星砂</x:v>
      </x:c>
      <x:c r="S204" s="20" t="str">
        <x:v>湖心月谱残章</x:v>
      </x:c>
      <x:c r="T204" s="20" t="str">
        <x:v>否</x:v>
      </x:c>
      <x:c r="U204" s="20" t="str">
        <x:v>是（公共奖池）</x:v>
      </x:c>
      <x:c r="V204" s="22" t="str">
        <x:v>结构定稿</x:v>
      </x:c>
      <x:c r="W204" s="36" t="str">
        <x:v>用户自行分配／本表不处理</x:v>
      </x:c>
      <x:c r="X204" s="33" t="n">
        <x:v>7068</x:v>
      </x:c>
      <x:c r="Y204" s="29" t="str">
        <x:v>后期统一平衡</x:v>
      </x:c>
      <x:c r="Z204" s="20" t="str">
        <x:v>一怪一专属；专属来源跟随本行准确地图号</x:v>
      </x:c>
    </x:row>
    <x:row r="205" ht="24" customHeight="1">
      <x:c r="A205" s="20" t="str">
        <x:v>C05-M055</x:v>
      </x:c>
      <x:c r="B205" s="20" t="str">
        <x:v>C05</x:v>
      </x:c>
      <x:c r="C205" s="20" t="str">
        <x:v>湖之利耶尼亚</x:v>
      </x:c>
      <x:c r="D205" s="20" t="n">
        <x:v>5</x:v>
      </x:c>
      <x:c r="E205" s="20" t="str">
        <x:v>月影水宫</x:v>
      </x:c>
      <x:c r="F205" s="20" t="n">
        <x:v>1</x:v>
      </x:c>
      <x:c r="G205" s="20" t="str">
        <x:v>XX377</x:v>
      </x:c>
      <x:c r="H205" s="20" t="str">
        <x:v>月影水宫</x:v>
      </x:c>
      <x:c r="I205" s="20" t="str">
        <x:v>影潮伏宫兽</x:v>
      </x:c>
      <x:c r="J205" s="20" t="str">
        <x:v>蓝色</x:v>
      </x:c>
      <x:c r="K205" s="20" t="str">
        <x:v>稀有</x:v>
      </x:c>
      <x:c r="L205" s="20" t="str">
        <x:v>潜宫异兽</x:v>
      </x:c>
      <x:c r="M205" s="20" t="str">
        <x:v>伏击强袭</x:v>
      </x:c>
      <x:c r="N205" s="20" t="str">
        <x:v>影潮潜宫带</x:v>
      </x:c>
      <x:c r="O205" s="20" t="str">
        <x:v>腰带</x:v>
      </x:c>
      <x:c r="P205" s="20" t="str">
        <x:v>辉石碎晶</x:v>
      </x:c>
      <x:c r="Q205" s="20" t="str">
        <x:v>卡利亚月露</x:v>
      </x:c>
      <x:c r="R205" s="20" t="str">
        <x:v>学院封蜡</x:v>
      </x:c>
      <x:c r="S205" s="20" t="str">
        <x:v>湖心月谱残章</x:v>
      </x:c>
      <x:c r="T205" s="20" t="str">
        <x:v>否</x:v>
      </x:c>
      <x:c r="U205" s="20" t="str">
        <x:v>是（公共奖池）</x:v>
      </x:c>
      <x:c r="V205" s="22" t="str">
        <x:v>结构定稿</x:v>
      </x:c>
      <x:c r="W205" s="36" t="str">
        <x:v>用户自行分配／本表不处理</x:v>
      </x:c>
      <x:c r="X205" s="33" t="n">
        <x:v>6933</x:v>
      </x:c>
      <x:c r="Y205" s="29" t="str">
        <x:v>后期统一平衡</x:v>
      </x:c>
      <x:c r="Z205" s="20" t="str">
        <x:v>一怪一专属；专属来源跟随本行准确地图号</x:v>
      </x:c>
    </x:row>
    <x:row r="206" ht="24" customHeight="1">
      <x:c r="A206" s="20" t="str">
        <x:v>C05-M056</x:v>
      </x:c>
      <x:c r="B206" s="20" t="str">
        <x:v>C05</x:v>
      </x:c>
      <x:c r="C206" s="20" t="str">
        <x:v>湖之利耶尼亚</x:v>
      </x:c>
      <x:c r="D206" s="20" t="n">
        <x:v>5</x:v>
      </x:c>
      <x:c r="E206" s="20" t="str">
        <x:v>月影水宫</x:v>
      </x:c>
      <x:c r="F206" s="20" t="n">
        <x:v>2</x:v>
      </x:c>
      <x:c r="G206" s="20" t="str">
        <x:v>XX378</x:v>
      </x:c>
      <x:c r="H206" s="20" t="str">
        <x:v>月华内殿</x:v>
      </x:c>
      <x:c r="I206" s="20" t="str">
        <x:v>月华凝霜乐师</x:v>
      </x:c>
      <x:c r="J206" s="20" t="str">
        <x:v>蓝色</x:v>
      </x:c>
      <x:c r="K206" s="20" t="str">
        <x:v>稀有</x:v>
      </x:c>
      <x:c r="L206" s="20" t="str">
        <x:v>内殿乐师</x:v>
      </x:c>
      <x:c r="M206" s="20" t="str">
        <x:v>范围控制</x:v>
      </x:c>
      <x:c r="N206" s="20" t="str">
        <x:v>凝霜乐师冠</x:v>
      </x:c>
      <x:c r="O206" s="20" t="str">
        <x:v>头盔</x:v>
      </x:c>
      <x:c r="P206" s="20" t="str">
        <x:v>辉石碎晶</x:v>
      </x:c>
      <x:c r="Q206" s="20" t="str">
        <x:v>卡利亚月露</x:v>
      </x:c>
      <x:c r="R206" s="20" t="str">
        <x:v>学院封蜡</x:v>
      </x:c>
      <x:c r="S206" s="20" t="str">
        <x:v>湖心月谱残章</x:v>
      </x:c>
      <x:c r="T206" s="20" t="str">
        <x:v>否</x:v>
      </x:c>
      <x:c r="U206" s="20" t="str">
        <x:v>是（公共奖池）</x:v>
      </x:c>
      <x:c r="V206" s="22" t="str">
        <x:v>结构定稿</x:v>
      </x:c>
      <x:c r="W206" s="36" t="str">
        <x:v>用户自行分配／本表不处理</x:v>
      </x:c>
      <x:c r="X206" s="33" t="n">
        <x:v>7064</x:v>
      </x:c>
      <x:c r="Y206" s="29" t="str">
        <x:v>后期统一平衡</x:v>
      </x:c>
      <x:c r="Z206" s="20" t="str">
        <x:v>一怪一专属；专属来源跟随本行准确地图号</x:v>
      </x:c>
    </x:row>
    <x:row r="207" ht="24" customHeight="1">
      <x:c r="A207" s="20" t="str">
        <x:v>C05-M057</x:v>
      </x:c>
      <x:c r="B207" s="20" t="str">
        <x:v>C05</x:v>
      </x:c>
      <x:c r="C207" s="20" t="str">
        <x:v>湖之利耶尼亚</x:v>
      </x:c>
      <x:c r="D207" s="20" t="n">
        <x:v>5</x:v>
      </x:c>
      <x:c r="E207" s="20" t="str">
        <x:v>月影水宫</x:v>
      </x:c>
      <x:c r="F207" s="20" t="n">
        <x:v>3</x:v>
      </x:c>
      <x:c r="G207" s="20" t="str">
        <x:v>XX379</x:v>
      </x:c>
      <x:c r="H207" s="20" t="str">
        <x:v>月影圣殿</x:v>
      </x:c>
      <x:c r="I207" s="20" t="str">
        <x:v>圣殿悬月卫</x:v>
      </x:c>
      <x:c r="J207" s="20" t="str">
        <x:v>蓝色</x:v>
      </x:c>
      <x:c r="K207" s="20" t="str">
        <x:v>稀有</x:v>
      </x:c>
      <x:c r="L207" s="20" t="str">
        <x:v>悬月卫士</x:v>
      </x:c>
      <x:c r="M207" s="20" t="str">
        <x:v>护卫反击</x:v>
      </x:c>
      <x:c r="N207" s="20" t="str">
        <x:v>悬月卫潮链</x:v>
      </x:c>
      <x:c r="O207" s="20" t="str">
        <x:v>项链</x:v>
      </x:c>
      <x:c r="P207" s="20" t="str">
        <x:v>辉石碎晶</x:v>
      </x:c>
      <x:c r="Q207" s="20" t="str">
        <x:v>卡利亚月露</x:v>
      </x:c>
      <x:c r="R207" s="20" t="str">
        <x:v>学院封蜡</x:v>
      </x:c>
      <x:c r="S207" s="20" t="str">
        <x:v>湖心月谱残章</x:v>
      </x:c>
      <x:c r="T207" s="20" t="str">
        <x:v>否</x:v>
      </x:c>
      <x:c r="U207" s="20" t="str">
        <x:v>是（公共奖池）</x:v>
      </x:c>
      <x:c r="V207" s="22" t="str">
        <x:v>结构定稿</x:v>
      </x:c>
      <x:c r="W207" s="36" t="str">
        <x:v>用户自行分配／本表不处理</x:v>
      </x:c>
      <x:c r="X207" s="33" t="n">
        <x:v>7066</x:v>
      </x:c>
      <x:c r="Y207" s="29" t="str">
        <x:v>后期统一平衡</x:v>
      </x:c>
      <x:c r="Z207" s="20" t="str">
        <x:v>一怪一专属；专属来源跟随本行准确地图号</x:v>
      </x:c>
    </x:row>
    <x:row r="208" ht="24" customHeight="1">
      <x:c r="A208" s="20" t="str">
        <x:v>C05-M058</x:v>
      </x:c>
      <x:c r="B208" s="20" t="str">
        <x:v>C05</x:v>
      </x:c>
      <x:c r="C208" s="20" t="str">
        <x:v>湖之利耶尼亚</x:v>
      </x:c>
      <x:c r="D208" s="20" t="n">
        <x:v>5</x:v>
      </x:c>
      <x:c r="E208" s="20" t="str">
        <x:v>月影水宫</x:v>
      </x:c>
      <x:c r="F208" s="20" t="n">
        <x:v>1</x:v>
      </x:c>
      <x:c r="G208" s="20" t="str">
        <x:v>XX377</x:v>
      </x:c>
      <x:c r="H208" s="20" t="str">
        <x:v>月影水宫</x:v>
      </x:c>
      <x:c r="I208" s="20" t="str">
        <x:v>琉潮白鳍巫</x:v>
      </x:c>
      <x:c r="J208" s="20" t="str">
        <x:v>蓝色</x:v>
      </x:c>
      <x:c r="K208" s="20" t="str">
        <x:v>稀有</x:v>
      </x:c>
      <x:c r="L208" s="20" t="str">
        <x:v>琉潮水巫</x:v>
      </x:c>
      <x:c r="M208" s="20" t="str">
        <x:v>远程压制</x:v>
      </x:c>
      <x:c r="N208" s="20" t="str">
        <x:v>琉潮白鳍章</x:v>
      </x:c>
      <x:c r="O208" s="20" t="str">
        <x:v>勋章</x:v>
      </x:c>
      <x:c r="P208" s="20" t="str">
        <x:v>辉石碎晶</x:v>
      </x:c>
      <x:c r="Q208" s="20" t="str">
        <x:v>卡利亚月露</x:v>
      </x:c>
      <x:c r="R208" s="20" t="str">
        <x:v>学院封蜡</x:v>
      </x:c>
      <x:c r="S208" s="20" t="str">
        <x:v>湖心月谱残章</x:v>
      </x:c>
      <x:c r="T208" s="20" t="str">
        <x:v>否</x:v>
      </x:c>
      <x:c r="U208" s="20" t="str">
        <x:v>是（公共奖池）</x:v>
      </x:c>
      <x:c r="V208" s="22" t="str">
        <x:v>结构定稿</x:v>
      </x:c>
      <x:c r="W208" s="36" t="str">
        <x:v>用户自行分配／本表不处理</x:v>
      </x:c>
      <x:c r="X208" s="33" t="n">
        <x:v>6824</x:v>
      </x:c>
      <x:c r="Y208" s="29" t="str">
        <x:v>后期统一平衡</x:v>
      </x:c>
      <x:c r="Z208" s="20" t="str">
        <x:v>一怪一专属；专属来源跟随本行准确地图号</x:v>
      </x:c>
    </x:row>
    <x:row r="209" ht="24" customHeight="1">
      <x:c r="A209" s="20" t="str">
        <x:v>C05-M059</x:v>
      </x:c>
      <x:c r="B209" s="20" t="str">
        <x:v>C05</x:v>
      </x:c>
      <x:c r="C209" s="20" t="str">
        <x:v>湖之利耶尼亚</x:v>
      </x:c>
      <x:c r="D209" s="20" t="n">
        <x:v>5</x:v>
      </x:c>
      <x:c r="E209" s="20" t="str">
        <x:v>月影水宫</x:v>
      </x:c>
      <x:c r="F209" s="20" t="n">
        <x:v>2</x:v>
      </x:c>
      <x:c r="G209" s="20" t="str">
        <x:v>XX378</x:v>
      </x:c>
      <x:c r="H209" s="20" t="str">
        <x:v>月华内殿</x:v>
      </x:c>
      <x:c r="I209" s="20" t="str">
        <x:v>月华内殿掌灯君</x:v>
      </x:c>
      <x:c r="J209" s="20" t="str">
        <x:v>粉色</x:v>
      </x:c>
      <x:c r="K209" s="20" t="str">
        <x:v>地图BOSS</x:v>
      </x:c>
      <x:c r="L209" s="20" t="str">
        <x:v>内殿掌灯官</x:v>
      </x:c>
      <x:c r="M209" s="20" t="str">
        <x:v>首领控场</x:v>
      </x:c>
      <x:c r="N209" s="20" t="str">
        <x:v>掌灯君月华衣</x:v>
      </x:c>
      <x:c r="O209" s="20" t="str">
        <x:v>衣服</x:v>
      </x:c>
      <x:c r="P209" s="20" t="str">
        <x:v>辉石碎晶</x:v>
      </x:c>
      <x:c r="Q209" s="20" t="str">
        <x:v>卡利亚月露＋满月王室印</x:v>
      </x:c>
      <x:c r="R209" s="20" t="str">
        <x:v>月蚀镜片</x:v>
      </x:c>
      <x:c r="S209" s="20" t="str">
        <x:v>湖心月谱残章</x:v>
      </x:c>
      <x:c r="T209" s="20" t="str">
        <x:v>是（独立奖池）</x:v>
      </x:c>
      <x:c r="U209" s="20" t="str">
        <x:v>是（公共奖池）</x:v>
      </x:c>
      <x:c r="V209" s="22" t="str">
        <x:v>结构定稿</x:v>
      </x:c>
      <x:c r="W209" s="36" t="str">
        <x:v>用户自行分配／本表不处理</x:v>
      </x:c>
      <x:c r="X209" s="33" t="n">
        <x:v>6992</x:v>
      </x:c>
      <x:c r="Y209" s="29" t="str">
        <x:v>后期统一平衡</x:v>
      </x:c>
      <x:c r="Z209" s="20" t="str">
        <x:v>一怪一专属；专属来源跟随本行准确地图号</x:v>
      </x:c>
    </x:row>
    <x:row r="210" ht="24" customHeight="1">
      <x:c r="A210" s="20" t="str">
        <x:v>C05-M060</x:v>
      </x:c>
      <x:c r="B210" s="20" t="str">
        <x:v>C05</x:v>
      </x:c>
      <x:c r="C210" s="20" t="str">
        <x:v>湖之利耶尼亚</x:v>
      </x:c>
      <x:c r="D210" s="20" t="n">
        <x:v>5</x:v>
      </x:c>
      <x:c r="E210" s="20" t="str">
        <x:v>月影水宫</x:v>
      </x:c>
      <x:c r="F210" s="20" t="n">
        <x:v>3</x:v>
      </x:c>
      <x:c r="G210" s="20" t="str">
        <x:v>XX379</x:v>
      </x:c>
      <x:c r="H210" s="20" t="str">
        <x:v>月影圣殿</x:v>
      </x:c>
      <x:c r="I210" s="20" t="str">
        <x:v>影宫深潮王女</x:v>
      </x:c>
      <x:c r="J210" s="20" t="str">
        <x:v>粉色</x:v>
      </x:c>
      <x:c r="K210" s="20" t="str">
        <x:v>地图BOSS</x:v>
      </x:c>
      <x:c r="L210" s="20" t="str">
        <x:v>水宫王族</x:v>
      </x:c>
      <x:c r="M210" s="20" t="str">
        <x:v>首领压制</x:v>
      </x:c>
      <x:c r="N210" s="20" t="str">
        <x:v>深潮王女权杖</x:v>
      </x:c>
      <x:c r="O210" s="20" t="str">
        <x:v>武器</x:v>
      </x:c>
      <x:c r="P210" s="20" t="str">
        <x:v>辉石碎晶</x:v>
      </x:c>
      <x:c r="Q210" s="20" t="str">
        <x:v>卡利亚月露＋满月王室印</x:v>
      </x:c>
      <x:c r="R210" s="20" t="str">
        <x:v>月蚀镜片</x:v>
      </x:c>
      <x:c r="S210" s="20" t="str">
        <x:v>湖心月谱残章</x:v>
      </x:c>
      <x:c r="T210" s="20" t="str">
        <x:v>是（独立奖池）</x:v>
      </x:c>
      <x:c r="U210" s="20" t="str">
        <x:v>是（公共奖池）</x:v>
      </x:c>
      <x:c r="V210" s="22" t="str">
        <x:v>结构定稿</x:v>
      </x:c>
      <x:c r="W210" s="36" t="str">
        <x:v>用户自行分配／本表不处理</x:v>
      </x:c>
      <x:c r="X210" s="34" t="str">
        <x:v>缺武器来源码</x:v>
      </x:c>
      <x:c r="Y210" s="29" t="str">
        <x:v>后期统一平衡</x:v>
      </x:c>
      <x:c r="Z210" s="20" t="str">
        <x:v>一怪一专属；专属来源跟随本行准确地图号</x:v>
      </x:c>
    </x:row>
    <x:row r="211" ht="24" customHeight="1">
      <x:c r="A211" s="20" t="str">
        <x:v>C05-M061</x:v>
      </x:c>
      <x:c r="B211" s="20" t="str">
        <x:v>C05</x:v>
      </x:c>
      <x:c r="C211" s="20" t="str">
        <x:v>湖之利耶尼亚</x:v>
      </x:c>
      <x:c r="D211" s="20" t="n">
        <x:v>6</x:v>
      </x:c>
      <x:c r="E211" s="20" t="str">
        <x:v>卡利亚禁域</x:v>
      </x:c>
      <x:c r="F211" s="20" t="n">
        <x:v>1</x:v>
      </x:c>
      <x:c r="G211" s="20" t="str">
        <x:v>XX927</x:v>
      </x:c>
      <x:c r="H211" s="20" t="str">
        <x:v>卡利亚禁域</x:v>
      </x:c>
      <x:c r="I211" s="20" t="str">
        <x:v>禁域蓝焰猎犬</x:v>
      </x:c>
      <x:c r="J211" s="20" t="str">
        <x:v>黄色</x:v>
      </x:c>
      <x:c r="K211" s="20" t="str">
        <x:v>普通</x:v>
      </x:c>
      <x:c r="L211" s="20" t="str">
        <x:v>禁域猎兽</x:v>
      </x:c>
      <x:c r="M211" s="20" t="str">
        <x:v>近战追击</x:v>
      </x:c>
      <x:c r="N211" s="20" t="str">
        <x:v>蓝焰逐影履</x:v>
      </x:c>
      <x:c r="O211" s="20" t="str">
        <x:v>鞋子</x:v>
      </x:c>
      <x:c r="P211" s="20" t="str">
        <x:v>辉石碎晶</x:v>
      </x:c>
      <x:c r="Q211" s="20" t="str"/>
      <x:c r="R211" s="20" t="str">
        <x:v>雾月星砂</x:v>
      </x:c>
      <x:c r="S211" s="20" t="str">
        <x:v>湖心月谱残章</x:v>
      </x:c>
      <x:c r="T211" s="20" t="str">
        <x:v>否</x:v>
      </x:c>
      <x:c r="U211" s="20" t="str">
        <x:v>是（公共奖池）</x:v>
      </x:c>
      <x:c r="V211" s="22" t="str">
        <x:v>结构定稿</x:v>
      </x:c>
      <x:c r="W211" s="36" t="str">
        <x:v>用户自行分配／本表不处理</x:v>
      </x:c>
      <x:c r="X211" s="33" t="n">
        <x:v>7037</x:v>
      </x:c>
      <x:c r="Y211" s="29" t="str">
        <x:v>后期统一平衡</x:v>
      </x:c>
      <x:c r="Z211" s="20" t="str">
        <x:v>一怪一专属；专属来源跟随本行准确地图号</x:v>
      </x:c>
    </x:row>
    <x:row r="212" ht="24" customHeight="1">
      <x:c r="A212" s="20" t="str">
        <x:v>C05-M062</x:v>
      </x:c>
      <x:c r="B212" s="20" t="str">
        <x:v>C05</x:v>
      </x:c>
      <x:c r="C212" s="20" t="str">
        <x:v>湖之利耶尼亚</x:v>
      </x:c>
      <x:c r="D212" s="20" t="n">
        <x:v>6</x:v>
      </x:c>
      <x:c r="E212" s="20" t="str">
        <x:v>卡利亚禁域</x:v>
      </x:c>
      <x:c r="F212" s="20" t="n">
        <x:v>1</x:v>
      </x:c>
      <x:c r="G212" s="20" t="str">
        <x:v>XX927</x:v>
      </x:c>
      <x:c r="H212" s="20" t="str">
        <x:v>卡利亚禁域</x:v>
      </x:c>
      <x:c r="I212" s="20" t="str">
        <x:v>卡利亚断誓侍</x:v>
      </x:c>
      <x:c r="J212" s="20" t="str">
        <x:v>黄色</x:v>
      </x:c>
      <x:c r="K212" s="20" t="str">
        <x:v>普通</x:v>
      </x:c>
      <x:c r="L212" s="20" t="str">
        <x:v>王室侍卫</x:v>
      </x:c>
      <x:c r="M212" s="20" t="str">
        <x:v>近战突进</x:v>
      </x:c>
      <x:c r="N212" s="20" t="str">
        <x:v>断誓侍银剑</x:v>
      </x:c>
      <x:c r="O212" s="20" t="str">
        <x:v>武器</x:v>
      </x:c>
      <x:c r="P212" s="20" t="str">
        <x:v>辉石碎晶</x:v>
      </x:c>
      <x:c r="Q212" s="20" t="str"/>
      <x:c r="R212" s="20" t="str">
        <x:v>雾月星砂</x:v>
      </x:c>
      <x:c r="S212" s="20" t="str">
        <x:v>湖心月谱残章</x:v>
      </x:c>
      <x:c r="T212" s="20" t="str">
        <x:v>否</x:v>
      </x:c>
      <x:c r="U212" s="20" t="str">
        <x:v>是（公共奖池）</x:v>
      </x:c>
      <x:c r="V212" s="22" t="str">
        <x:v>结构定稿</x:v>
      </x:c>
      <x:c r="W212" s="36" t="str">
        <x:v>用户自行分配／本表不处理</x:v>
      </x:c>
      <x:c r="X212" s="34" t="str">
        <x:v>缺武器来源码</x:v>
      </x:c>
      <x:c r="Y212" s="29" t="str">
        <x:v>后期统一平衡</x:v>
      </x:c>
      <x:c r="Z212" s="20" t="str">
        <x:v>一怪一专属；专属来源跟随本行准确地图号</x:v>
      </x:c>
    </x:row>
    <x:row r="213" ht="24" customHeight="1">
      <x:c r="A213" s="20" t="str">
        <x:v>C05-M063</x:v>
      </x:c>
      <x:c r="B213" s="20" t="str">
        <x:v>C05</x:v>
      </x:c>
      <x:c r="C213" s="20" t="str">
        <x:v>湖之利耶尼亚</x:v>
      </x:c>
      <x:c r="D213" s="20" t="n">
        <x:v>6</x:v>
      </x:c>
      <x:c r="E213" s="20" t="str">
        <x:v>卡利亚禁域</x:v>
      </x:c>
      <x:c r="F213" s="20" t="n">
        <x:v>2</x:v>
      </x:c>
      <x:c r="G213" s="20" t="str">
        <x:v>XX925</x:v>
      </x:c>
      <x:c r="H213" s="20" t="str">
        <x:v>禁域回廊</x:v>
      </x:c>
      <x:c r="I213" s="20" t="str">
        <x:v>回廊折月傀</x:v>
      </x:c>
      <x:c r="J213" s="20" t="str">
        <x:v>黄色</x:v>
      </x:c>
      <x:c r="K213" s="20" t="str">
        <x:v>普通</x:v>
      </x:c>
      <x:c r="L213" s="20" t="str">
        <x:v>折月构装</x:v>
      </x:c>
      <x:c r="M213" s="20" t="str">
        <x:v>前排护卫</x:v>
      </x:c>
      <x:c r="N213" s="20" t="str">
        <x:v>折月傀镜盾</x:v>
      </x:c>
      <x:c r="O213" s="20" t="str">
        <x:v>盾牌</x:v>
      </x:c>
      <x:c r="P213" s="20" t="str">
        <x:v>辉石碎晶</x:v>
      </x:c>
      <x:c r="Q213" s="20" t="str"/>
      <x:c r="R213" s="20" t="str">
        <x:v>雾月星砂</x:v>
      </x:c>
      <x:c r="S213" s="20" t="str">
        <x:v>湖心月谱残章</x:v>
      </x:c>
      <x:c r="T213" s="20" t="str">
        <x:v>否</x:v>
      </x:c>
      <x:c r="U213" s="20" t="str">
        <x:v>是（公共奖池）</x:v>
      </x:c>
      <x:c r="V213" s="22" t="str">
        <x:v>结构定稿</x:v>
      </x:c>
      <x:c r="W213" s="36" t="str">
        <x:v>用户自行分配／本表不处理</x:v>
      </x:c>
      <x:c r="X213" s="33" t="n">
        <x:v>7000</x:v>
      </x:c>
      <x:c r="Y213" s="29" t="str">
        <x:v>后期统一平衡</x:v>
      </x:c>
      <x:c r="Z213" s="20" t="str">
        <x:v>一怪一专属；专属来源跟随本行准确地图号</x:v>
      </x:c>
    </x:row>
    <x:row r="214" ht="24" customHeight="1">
      <x:c r="A214" s="20" t="str">
        <x:v>C05-M064</x:v>
      </x:c>
      <x:c r="B214" s="20" t="str">
        <x:v>C05</x:v>
      </x:c>
      <x:c r="C214" s="20" t="str">
        <x:v>湖之利耶尼亚</x:v>
      </x:c>
      <x:c r="D214" s="20" t="n">
        <x:v>6</x:v>
      </x:c>
      <x:c r="E214" s="20" t="str">
        <x:v>卡利亚禁域</x:v>
      </x:c>
      <x:c r="F214" s="20" t="n">
        <x:v>3</x:v>
      </x:c>
      <x:c r="G214" s="20" t="str">
        <x:v>XX926</x:v>
      </x:c>
      <x:c r="H214" s="20" t="str">
        <x:v>王室封印庭</x:v>
      </x:c>
      <x:c r="I214" s="20" t="str">
        <x:v>封印庭银纹卒</x:v>
      </x:c>
      <x:c r="J214" s="20" t="str">
        <x:v>黄色</x:v>
      </x:c>
      <x:c r="K214" s="20" t="str">
        <x:v>普通</x:v>
      </x:c>
      <x:c r="L214" s="20" t="str">
        <x:v>封庭守卒</x:v>
      </x:c>
      <x:c r="M214" s="20" t="str">
        <x:v>单体拦截</x:v>
      </x:c>
      <x:c r="N214" s="20" t="str">
        <x:v>银纹封庭镯</x:v>
      </x:c>
      <x:c r="O214" s="20" t="str">
        <x:v>手镯</x:v>
      </x:c>
      <x:c r="P214" s="20" t="str">
        <x:v>辉石碎晶</x:v>
      </x:c>
      <x:c r="Q214" s="20" t="str"/>
      <x:c r="R214" s="20" t="str">
        <x:v>雾月星砂</x:v>
      </x:c>
      <x:c r="S214" s="20" t="str">
        <x:v>湖心月谱残章</x:v>
      </x:c>
      <x:c r="T214" s="20" t="str">
        <x:v>否</x:v>
      </x:c>
      <x:c r="U214" s="20" t="str">
        <x:v>是（公共奖池）</x:v>
      </x:c>
      <x:c r="V214" s="22" t="str">
        <x:v>结构定稿</x:v>
      </x:c>
      <x:c r="W214" s="36" t="str">
        <x:v>用户自行分配／本表不处理</x:v>
      </x:c>
      <x:c r="X214" s="33" t="n">
        <x:v>7067</x:v>
      </x:c>
      <x:c r="Y214" s="29" t="str">
        <x:v>后期统一平衡</x:v>
      </x:c>
      <x:c r="Z214" s="20" t="str">
        <x:v>一怪一专属；专属来源跟随本行准确地图号</x:v>
      </x:c>
    </x:row>
    <x:row r="215" ht="24" customHeight="1">
      <x:c r="A215" s="20" t="str">
        <x:v>C05-M065</x:v>
      </x:c>
      <x:c r="B215" s="20" t="str">
        <x:v>C05</x:v>
      </x:c>
      <x:c r="C215" s="20" t="str">
        <x:v>湖之利耶尼亚</x:v>
      </x:c>
      <x:c r="D215" s="20" t="n">
        <x:v>6</x:v>
      </x:c>
      <x:c r="E215" s="20" t="str">
        <x:v>卡利亚禁域</x:v>
      </x:c>
      <x:c r="F215" s="20" t="n">
        <x:v>4</x:v>
      </x:c>
      <x:c r="G215" s="20" t="str">
        <x:v>XX923</x:v>
      </x:c>
      <x:c r="H215" s="20" t="str">
        <x:v>月蚀密殿</x:v>
      </x:c>
      <x:c r="I215" s="20" t="str">
        <x:v>月蚀殿噬辉蛾</x:v>
      </x:c>
      <x:c r="J215" s="20" t="str">
        <x:v>黄色</x:v>
      </x:c>
      <x:c r="K215" s="20" t="str">
        <x:v>普通</x:v>
      </x:c>
      <x:c r="L215" s="20" t="str">
        <x:v>蚀辉飞虫</x:v>
      </x:c>
      <x:c r="M215" s="20" t="str">
        <x:v>群体扰乱</x:v>
      </x:c>
      <x:c r="N215" s="20" t="str">
        <x:v>噬辉蛾蚀月笠</x:v>
      </x:c>
      <x:c r="O215" s="20" t="str">
        <x:v>斗笠</x:v>
      </x:c>
      <x:c r="P215" s="20" t="str">
        <x:v>辉石碎晶</x:v>
      </x:c>
      <x:c r="Q215" s="20" t="str"/>
      <x:c r="R215" s="20" t="str">
        <x:v>雾月星砂</x:v>
      </x:c>
      <x:c r="S215" s="20" t="str">
        <x:v>湖心月谱残章</x:v>
      </x:c>
      <x:c r="T215" s="20" t="str">
        <x:v>否</x:v>
      </x:c>
      <x:c r="U215" s="20" t="str">
        <x:v>是（公共奖池）</x:v>
      </x:c>
      <x:c r="V215" s="22" t="str">
        <x:v>结构定稿</x:v>
      </x:c>
      <x:c r="W215" s="36" t="str">
        <x:v>用户自行分配／本表不处理</x:v>
      </x:c>
      <x:c r="X215" s="34" t="str">
        <x:v>缺斗笠来源码</x:v>
      </x:c>
      <x:c r="Y215" s="29" t="str">
        <x:v>后期统一平衡</x:v>
      </x:c>
      <x:c r="Z215" s="20" t="str">
        <x:v>一怪一专属；专属来源跟随本行准确地图号</x:v>
      </x:c>
    </x:row>
    <x:row r="216" ht="24" customHeight="1">
      <x:c r="A216" s="20" t="str">
        <x:v>C05-M066</x:v>
      </x:c>
      <x:c r="B216" s="20" t="str">
        <x:v>C05</x:v>
      </x:c>
      <x:c r="C216" s="20" t="str">
        <x:v>湖之利耶尼亚</x:v>
      </x:c>
      <x:c r="D216" s="20" t="n">
        <x:v>6</x:v>
      </x:c>
      <x:c r="E216" s="20" t="str">
        <x:v>卡利亚禁域</x:v>
      </x:c>
      <x:c r="F216" s="20" t="n">
        <x:v>5</x:v>
      </x:c>
      <x:c r="G216" s="20" t="str">
        <x:v>XX924</x:v>
      </x:c>
      <x:c r="H216" s="20" t="str">
        <x:v>卡利亚圣所</x:v>
      </x:c>
      <x:c r="I216" s="20" t="str">
        <x:v>圣所守星残灵</x:v>
      </x:c>
      <x:c r="J216" s="20" t="str">
        <x:v>黄色</x:v>
      </x:c>
      <x:c r="K216" s="20" t="str">
        <x:v>普通</x:v>
      </x:c>
      <x:c r="L216" s="20" t="str">
        <x:v>守星残灵</x:v>
      </x:c>
      <x:c r="M216" s="20" t="str">
        <x:v>远程术击</x:v>
      </x:c>
      <x:c r="N216" s="20" t="str">
        <x:v>守星残灵戒</x:v>
      </x:c>
      <x:c r="O216" s="20" t="str">
        <x:v>戒指</x:v>
      </x:c>
      <x:c r="P216" s="20" t="str">
        <x:v>辉石碎晶</x:v>
      </x:c>
      <x:c r="Q216" s="20" t="str"/>
      <x:c r="R216" s="20" t="str">
        <x:v>雾月星砂</x:v>
      </x:c>
      <x:c r="S216" s="20" t="str">
        <x:v>湖心月谱残章</x:v>
      </x:c>
      <x:c r="T216" s="20" t="str">
        <x:v>否</x:v>
      </x:c>
      <x:c r="U216" s="20" t="str">
        <x:v>是（公共奖池）</x:v>
      </x:c>
      <x:c r="V216" s="22" t="str">
        <x:v>结构定稿</x:v>
      </x:c>
      <x:c r="W216" s="36" t="str">
        <x:v>用户自行分配／本表不处理</x:v>
      </x:c>
      <x:c r="X216" s="33" t="n">
        <x:v>5871</x:v>
      </x:c>
      <x:c r="Y216" s="29" t="str">
        <x:v>后期统一平衡</x:v>
      </x:c>
      <x:c r="Z216" s="20" t="str">
        <x:v>一怪一专属；专属来源跟随本行准确地图号</x:v>
      </x:c>
    </x:row>
    <x:row r="217" ht="24" customHeight="1">
      <x:c r="A217" s="20" t="str">
        <x:v>C05-M067</x:v>
      </x:c>
      <x:c r="B217" s="20" t="str">
        <x:v>C05</x:v>
      </x:c>
      <x:c r="C217" s="20" t="str">
        <x:v>湖之利耶尼亚</x:v>
      </x:c>
      <x:c r="D217" s="20" t="n">
        <x:v>6</x:v>
      </x:c>
      <x:c r="E217" s="20" t="str">
        <x:v>卡利亚禁域</x:v>
      </x:c>
      <x:c r="F217" s="20" t="n">
        <x:v>1</x:v>
      </x:c>
      <x:c r="G217" s="20" t="str">
        <x:v>XX927</x:v>
      </x:c>
      <x:c r="H217" s="20" t="str">
        <x:v>卡利亚禁域</x:v>
      </x:c>
      <x:c r="I217" s="20" t="str">
        <x:v>王室镜刃使</x:v>
      </x:c>
      <x:c r="J217" s="20" t="str">
        <x:v>蓝色</x:v>
      </x:c>
      <x:c r="K217" s="20" t="str">
        <x:v>稀有</x:v>
      </x:c>
      <x:c r="L217" s="20" t="str">
        <x:v>镜刃近卫</x:v>
      </x:c>
      <x:c r="M217" s="20" t="str">
        <x:v>迅捷强袭</x:v>
      </x:c>
      <x:c r="N217" s="20" t="str">
        <x:v>镜刃王室链</x:v>
      </x:c>
      <x:c r="O217" s="20" t="str">
        <x:v>项链</x:v>
      </x:c>
      <x:c r="P217" s="20" t="str">
        <x:v>辉石碎晶</x:v>
      </x:c>
      <x:c r="Q217" s="20" t="str">
        <x:v>卡利亚月露</x:v>
      </x:c>
      <x:c r="R217" s="20" t="str">
        <x:v>学院封蜡</x:v>
      </x:c>
      <x:c r="S217" s="20" t="str">
        <x:v>湖心月谱残章</x:v>
      </x:c>
      <x:c r="T217" s="20" t="str">
        <x:v>否</x:v>
      </x:c>
      <x:c r="U217" s="20" t="str">
        <x:v>是（公共奖池）</x:v>
      </x:c>
      <x:c r="V217" s="22" t="str">
        <x:v>结构定稿</x:v>
      </x:c>
      <x:c r="W217" s="36" t="str">
        <x:v>用户自行分配／本表不处理</x:v>
      </x:c>
      <x:c r="X217" s="33" t="n">
        <x:v>5886</x:v>
      </x:c>
      <x:c r="Y217" s="29" t="str">
        <x:v>后期统一平衡</x:v>
      </x:c>
      <x:c r="Z217" s="20" t="str">
        <x:v>一怪一专属；专属来源跟随本行准确地图号</x:v>
      </x:c>
    </x:row>
    <x:row r="218" ht="24" customHeight="1">
      <x:c r="A218" s="20" t="str">
        <x:v>C05-M068</x:v>
      </x:c>
      <x:c r="B218" s="20" t="str">
        <x:v>C05</x:v>
      </x:c>
      <x:c r="C218" s="20" t="str">
        <x:v>湖之利耶尼亚</x:v>
      </x:c>
      <x:c r="D218" s="20" t="n">
        <x:v>6</x:v>
      </x:c>
      <x:c r="E218" s="20" t="str">
        <x:v>卡利亚禁域</x:v>
      </x:c>
      <x:c r="F218" s="20" t="n">
        <x:v>2</x:v>
      </x:c>
      <x:c r="G218" s="20" t="str">
        <x:v>XX925</x:v>
      </x:c>
      <x:c r="H218" s="20" t="str">
        <x:v>禁域回廊</x:v>
      </x:c>
      <x:c r="I218" s="20" t="str">
        <x:v>禁域缄门法官</x:v>
      </x:c>
      <x:c r="J218" s="20" t="str">
        <x:v>蓝色</x:v>
      </x:c>
      <x:c r="K218" s="20" t="str">
        <x:v>稀有</x:v>
      </x:c>
      <x:c r="L218" s="20" t="str">
        <x:v>禁域法官</x:v>
      </x:c>
      <x:c r="M218" s="20" t="str">
        <x:v>术式封锁</x:v>
      </x:c>
      <x:c r="N218" s="20" t="str">
        <x:v>缄门法官冠</x:v>
      </x:c>
      <x:c r="O218" s="20" t="str">
        <x:v>头盔</x:v>
      </x:c>
      <x:c r="P218" s="20" t="str">
        <x:v>辉石碎晶</x:v>
      </x:c>
      <x:c r="Q218" s="20" t="str">
        <x:v>卡利亚月露</x:v>
      </x:c>
      <x:c r="R218" s="20" t="str">
        <x:v>学院封蜡</x:v>
      </x:c>
      <x:c r="S218" s="20" t="str">
        <x:v>湖心月谱残章</x:v>
      </x:c>
      <x:c r="T218" s="20" t="str">
        <x:v>否</x:v>
      </x:c>
      <x:c r="U218" s="20" t="str">
        <x:v>是（公共奖池）</x:v>
      </x:c>
      <x:c r="V218" s="22" t="str">
        <x:v>结构定稿</x:v>
      </x:c>
      <x:c r="W218" s="36" t="str">
        <x:v>用户自行分配／本表不处理</x:v>
      </x:c>
      <x:c r="X218" s="33" t="n">
        <x:v>5878</x:v>
      </x:c>
      <x:c r="Y218" s="29" t="str">
        <x:v>后期统一平衡</x:v>
      </x:c>
      <x:c r="Z218" s="20" t="str">
        <x:v>一怪一专属；专属来源跟随本行准确地图号</x:v>
      </x:c>
    </x:row>
    <x:row r="219" ht="24" customHeight="1">
      <x:c r="A219" s="20" t="str">
        <x:v>C05-M069</x:v>
      </x:c>
      <x:c r="B219" s="20" t="str">
        <x:v>C05</x:v>
      </x:c>
      <x:c r="C219" s="20" t="str">
        <x:v>湖之利耶尼亚</x:v>
      </x:c>
      <x:c r="D219" s="20" t="n">
        <x:v>6</x:v>
      </x:c>
      <x:c r="E219" s="20" t="str">
        <x:v>卡利亚禁域</x:v>
      </x:c>
      <x:c r="F219" s="20" t="n">
        <x:v>3</x:v>
      </x:c>
      <x:c r="G219" s="20" t="str">
        <x:v>XX926</x:v>
      </x:c>
      <x:c r="H219" s="20" t="str">
        <x:v>王室封印庭</x:v>
      </x:c>
      <x:c r="I219" s="20" t="str">
        <x:v>封庭月契巫</x:v>
      </x:c>
      <x:c r="J219" s="20" t="str">
        <x:v>蓝色</x:v>
      </x:c>
      <x:c r="K219" s="20" t="str">
        <x:v>稀有</x:v>
      </x:c>
      <x:c r="L219" s="20" t="str">
        <x:v>王室契巫</x:v>
      </x:c>
      <x:c r="M219" s="20" t="str">
        <x:v>仪式支援</x:v>
      </x:c>
      <x:c r="N219" s="20" t="str">
        <x:v>月契封印带</x:v>
      </x:c>
      <x:c r="O219" s="20" t="str">
        <x:v>腰带</x:v>
      </x:c>
      <x:c r="P219" s="20" t="str">
        <x:v>辉石碎晶</x:v>
      </x:c>
      <x:c r="Q219" s="20" t="str">
        <x:v>卡利亚月露</x:v>
      </x:c>
      <x:c r="R219" s="20" t="str">
        <x:v>学院封蜡</x:v>
      </x:c>
      <x:c r="S219" s="20" t="str">
        <x:v>湖心月谱残章</x:v>
      </x:c>
      <x:c r="T219" s="20" t="str">
        <x:v>否</x:v>
      </x:c>
      <x:c r="U219" s="20" t="str">
        <x:v>是（公共奖池）</x:v>
      </x:c>
      <x:c r="V219" s="22" t="str">
        <x:v>结构定稿</x:v>
      </x:c>
      <x:c r="W219" s="36" t="str">
        <x:v>用户自行分配／本表不处理</x:v>
      </x:c>
      <x:c r="X219" s="33" t="n">
        <x:v>6968</x:v>
      </x:c>
      <x:c r="Y219" s="29" t="str">
        <x:v>后期统一平衡</x:v>
      </x:c>
      <x:c r="Z219" s="20" t="str">
        <x:v>一怪一专属；专属来源跟随本行准确地图号</x:v>
      </x:c>
    </x:row>
    <x:row r="220" ht="24" customHeight="1">
      <x:c r="A220" s="20" t="str">
        <x:v>C05-M070</x:v>
      </x:c>
      <x:c r="B220" s="20" t="str">
        <x:v>C05</x:v>
      </x:c>
      <x:c r="C220" s="20" t="str">
        <x:v>湖之利耶尼亚</x:v>
      </x:c>
      <x:c r="D220" s="20" t="n">
        <x:v>6</x:v>
      </x:c>
      <x:c r="E220" s="20" t="str">
        <x:v>卡利亚禁域</x:v>
      </x:c>
      <x:c r="F220" s="20" t="n">
        <x:v>4</x:v>
      </x:c>
      <x:c r="G220" s="20" t="str">
        <x:v>XX923</x:v>
      </x:c>
      <x:c r="H220" s="20" t="str">
        <x:v>月蚀密殿</x:v>
      </x:c>
      <x:c r="I220" s="20" t="str">
        <x:v>密殿蚀冠兽</x:v>
      </x:c>
      <x:c r="J220" s="20" t="str">
        <x:v>蓝色</x:v>
      </x:c>
      <x:c r="K220" s="20" t="str">
        <x:v>稀有</x:v>
      </x:c>
      <x:c r="L220" s="20" t="str">
        <x:v>蚀冠异兽</x:v>
      </x:c>
      <x:c r="M220" s="20" t="str">
        <x:v>范围压制</x:v>
      </x:c>
      <x:c r="N220" s="20" t="str">
        <x:v>蚀冠密殿章</x:v>
      </x:c>
      <x:c r="O220" s="20" t="str">
        <x:v>勋章</x:v>
      </x:c>
      <x:c r="P220" s="20" t="str">
        <x:v>辉石碎晶</x:v>
      </x:c>
      <x:c r="Q220" s="20" t="str">
        <x:v>卡利亚月露</x:v>
      </x:c>
      <x:c r="R220" s="20" t="str">
        <x:v>学院封蜡</x:v>
      </x:c>
      <x:c r="S220" s="20" t="str">
        <x:v>湖心月谱残章</x:v>
      </x:c>
      <x:c r="T220" s="20" t="str">
        <x:v>否</x:v>
      </x:c>
      <x:c r="U220" s="20" t="str">
        <x:v>是（公共奖池）</x:v>
      </x:c>
      <x:c r="V220" s="22" t="str">
        <x:v>结构定稿</x:v>
      </x:c>
      <x:c r="W220" s="36" t="str">
        <x:v>用户自行分配／本表不处理</x:v>
      </x:c>
      <x:c r="X220" s="33" t="n">
        <x:v>6859</x:v>
      </x:c>
      <x:c r="Y220" s="29" t="str">
        <x:v>后期统一平衡</x:v>
      </x:c>
      <x:c r="Z220" s="20" t="str">
        <x:v>一怪一专属；专属来源跟随本行准确地图号</x:v>
      </x:c>
    </x:row>
    <x:row r="221" ht="24" customHeight="1">
      <x:c r="A221" s="20" t="str">
        <x:v>C05-M071</x:v>
      </x:c>
      <x:c r="B221" s="20" t="str">
        <x:v>C05</x:v>
      </x:c>
      <x:c r="C221" s="20" t="str">
        <x:v>湖之利耶尼亚</x:v>
      </x:c>
      <x:c r="D221" s="20" t="n">
        <x:v>6</x:v>
      </x:c>
      <x:c r="E221" s="20" t="str">
        <x:v>卡利亚禁域</x:v>
      </x:c>
      <x:c r="F221" s="20" t="n">
        <x:v>4</x:v>
      </x:c>
      <x:c r="G221" s="20" t="str">
        <x:v>XX923</x:v>
      </x:c>
      <x:c r="H221" s="20" t="str">
        <x:v>月蚀密殿</x:v>
      </x:c>
      <x:c r="I221" s="20" t="str">
        <x:v>月蚀密殿司冕</x:v>
      </x:c>
      <x:c r="J221" s="20" t="str">
        <x:v>粉色</x:v>
      </x:c>
      <x:c r="K221" s="20" t="str">
        <x:v>地图BOSS</x:v>
      </x:c>
      <x:c r="L221" s="20" t="str">
        <x:v>密殿司礼官</x:v>
      </x:c>
      <x:c r="M221" s="20" t="str">
        <x:v>首领封锁</x:v>
      </x:c>
      <x:c r="N221" s="20" t="str">
        <x:v>司冕月蚀礼衣</x:v>
      </x:c>
      <x:c r="O221" s="20" t="str">
        <x:v>衣服</x:v>
      </x:c>
      <x:c r="P221" s="20" t="str">
        <x:v>辉石碎晶</x:v>
      </x:c>
      <x:c r="Q221" s="20" t="str">
        <x:v>卡利亚月露＋满月王室印</x:v>
      </x:c>
      <x:c r="R221" s="20" t="str">
        <x:v>月蚀镜片</x:v>
      </x:c>
      <x:c r="S221" s="20" t="str">
        <x:v>湖心月谱残章</x:v>
      </x:c>
      <x:c r="T221" s="20" t="str">
        <x:v>是（独立奖池）</x:v>
      </x:c>
      <x:c r="U221" s="20" t="str">
        <x:v>是（公共奖池）</x:v>
      </x:c>
      <x:c r="V221" s="22" t="str">
        <x:v>结构定稿</x:v>
      </x:c>
      <x:c r="W221" s="36" t="str">
        <x:v>用户自行分配／本表不处理</x:v>
      </x:c>
      <x:c r="X221" s="33" t="n">
        <x:v>7027</x:v>
      </x:c>
      <x:c r="Y221" s="29" t="str">
        <x:v>后期统一平衡</x:v>
      </x:c>
      <x:c r="Z221" s="20" t="str">
        <x:v>一怪一专属；专属来源跟随本行准确地图号</x:v>
      </x:c>
    </x:row>
    <x:row r="222" ht="24" customHeight="1">
      <x:c r="A222" s="20" t="str">
        <x:v>C05-M072</x:v>
      </x:c>
      <x:c r="B222" s="20" t="str">
        <x:v>C05</x:v>
      </x:c>
      <x:c r="C222" s="20" t="str">
        <x:v>湖之利耶尼亚</x:v>
      </x:c>
      <x:c r="D222" s="20" t="n">
        <x:v>6</x:v>
      </x:c>
      <x:c r="E222" s="20" t="str">
        <x:v>卡利亚禁域</x:v>
      </x:c>
      <x:c r="F222" s="20" t="n">
        <x:v>5</x:v>
      </x:c>
      <x:c r="G222" s="20" t="str">
        <x:v>XX924</x:v>
      </x:c>
      <x:c r="H222" s="20" t="str">
        <x:v>卡利亚圣所</x:v>
      </x:c>
      <x:c r="I222" s="20" t="str">
        <x:v>卡利亚圣所摄政灵</x:v>
      </x:c>
      <x:c r="J222" s="20" t="str">
        <x:v>粉色</x:v>
      </x:c>
      <x:c r="K222" s="20" t="str">
        <x:v>地图BOSS</x:v>
      </x:c>
      <x:c r="L222" s="20" t="str">
        <x:v>王室摄政灵</x:v>
      </x:c>
      <x:c r="M222" s="20" t="str">
        <x:v>首领压阵</x:v>
      </x:c>
      <x:c r="N222" s="20" t="str">
        <x:v>摄政灵辉杖</x:v>
      </x:c>
      <x:c r="O222" s="20" t="str">
        <x:v>武器</x:v>
      </x:c>
      <x:c r="P222" s="20" t="str">
        <x:v>辉石碎晶</x:v>
      </x:c>
      <x:c r="Q222" s="20" t="str">
        <x:v>卡利亚月露＋满月王室印</x:v>
      </x:c>
      <x:c r="R222" s="20" t="str">
        <x:v>月蚀镜片</x:v>
      </x:c>
      <x:c r="S222" s="20" t="str">
        <x:v>湖心月谱残章</x:v>
      </x:c>
      <x:c r="T222" s="20" t="str">
        <x:v>是（独立奖池）</x:v>
      </x:c>
      <x:c r="U222" s="20" t="str">
        <x:v>是（公共奖池）</x:v>
      </x:c>
      <x:c r="V222" s="22" t="str">
        <x:v>结构定稿</x:v>
      </x:c>
      <x:c r="W222" s="36" t="str">
        <x:v>用户自行分配／本表不处理</x:v>
      </x:c>
      <x:c r="X222" s="34" t="str">
        <x:v>缺武器来源码</x:v>
      </x:c>
      <x:c r="Y222" s="29" t="str">
        <x:v>后期统一平衡</x:v>
      </x:c>
      <x:c r="Z222" s="20" t="str">
        <x:v>一怪一专属；专属来源跟随本行准确地图号</x:v>
      </x:c>
    </x:row>
    <x:row r="223" ht="24" customHeight="1">
      <x:c r="A223" s="20" t="str">
        <x:v>C05-M073</x:v>
      </x:c>
      <x:c r="B223" s="20" t="str">
        <x:v>C05</x:v>
      </x:c>
      <x:c r="C223" s="20" t="str">
        <x:v>湖之利耶尼亚</x:v>
      </x:c>
      <x:c r="D223" s="20" t="n">
        <x:v>6</x:v>
      </x:c>
      <x:c r="E223" s="20" t="str">
        <x:v>卡利亚禁域</x:v>
      </x:c>
      <x:c r="F223" s="20" t="n">
        <x:v>5</x:v>
      </x:c>
      <x:c r="G223" s="20" t="str">
        <x:v>XX924</x:v>
      </x:c>
      <x:c r="H223" s="20" t="str">
        <x:v>卡利亚圣所</x:v>
      </x:c>
      <x:c r="I223" s="20" t="str">
        <x:v>寒镜终誓王</x:v>
      </x:c>
      <x:c r="J223" s="20" t="str">
        <x:v>红色</x:v>
      </x:c>
      <x:c r="K223" s="20" t="str">
        <x:v>守关BOSS</x:v>
      </x:c>
      <x:c r="L223" s="20" t="str">
        <x:v>禁庭月王</x:v>
      </x:c>
      <x:c r="M223" s="20" t="str">
        <x:v>终局统御</x:v>
      </x:c>
      <x:c r="N223" s="20" t="str">
        <x:v>终誓月裁剑</x:v>
      </x:c>
      <x:c r="O223" s="20" t="str">
        <x:v>武器</x:v>
      </x:c>
      <x:c r="P223" s="20" t="str">
        <x:v>辉石碎晶</x:v>
      </x:c>
      <x:c r="Q223" s="20" t="str">
        <x:v>卡利亚月露＋满月王室印</x:v>
      </x:c>
      <x:c r="R223" s="20" t="str">
        <x:v>禁域星钥</x:v>
      </x:c>
      <x:c r="S223" s="20" t="str">
        <x:v>湖心月谱残章</x:v>
      </x:c>
      <x:c r="T223" s="20" t="str">
        <x:v>是（独立奖池）</x:v>
      </x:c>
      <x:c r="U223" s="20" t="str">
        <x:v>是（公共奖池）</x:v>
      </x:c>
      <x:c r="V223" s="22" t="str">
        <x:v>结构定稿</x:v>
      </x:c>
      <x:c r="W223" s="36" t="str">
        <x:v>用户自行分配／本表不处理</x:v>
      </x:c>
      <x:c r="X223" s="33" t="n">
        <x:v>6921</x:v>
      </x:c>
      <x:c r="Y223" s="29" t="str">
        <x:v>后期统一平衡</x:v>
      </x:c>
      <x:c r="Z223" s="20" t="str">
        <x:v>大陆最终守关；本表不填属性、爆率和货币</x:v>
      </x:c>
    </x:row>
    <x:row r="224" ht="24" customHeight="1">
      <x:c r="A224" s="20" t="str">
        <x:v>C06-M001</x:v>
      </x:c>
      <x:c r="B224" s="20" t="str">
        <x:v>C06</x:v>
      </x:c>
      <x:c r="C224" s="20" t="str">
        <x:v>盖利德</x:v>
      </x:c>
      <x:c r="D224" s="20" t="n">
        <x:v>1</x:v>
      </x:c>
      <x:c r="E224" s="20" t="str">
        <x:v>猩红熔原</x:v>
      </x:c>
      <x:c r="F224" s="20" t="n">
        <x:v>1</x:v>
      </x:c>
      <x:c r="G224" s="20" t="str">
        <x:v>XX304</x:v>
      </x:c>
      <x:c r="H224" s="20" t="str">
        <x:v>猩红熔原</x:v>
      </x:c>
      <x:c r="I224" s="20" t="str">
        <x:v>熔原灰背兽</x:v>
      </x:c>
      <x:c r="J224" s="20" t="str">
        <x:v>黄色</x:v>
      </x:c>
      <x:c r="K224" s="20" t="str">
        <x:v>普通</x:v>
      </x:c>
      <x:c r="L224" s="20" t="str">
        <x:v>熔原野兽</x:v>
      </x:c>
      <x:c r="M224" s="20" t="str">
        <x:v>近战突袭</x:v>
      </x:c>
      <x:c r="N224" s="20" t="str">
        <x:v>灰背灼牙</x:v>
      </x:c>
      <x:c r="O224" s="20" t="str">
        <x:v>武器</x:v>
      </x:c>
      <x:c r="P224" s="20" t="str">
        <x:v>猩红矿渣</x:v>
      </x:c>
      <x:c r="Q224" s="20" t="str"/>
      <x:c r="R224" s="20" t="str">
        <x:v>红狮断箭</x:v>
      </x:c>
      <x:c r="S224" s="20" t="str">
        <x:v>熔原罪火残章</x:v>
      </x:c>
      <x:c r="T224" s="20" t="str">
        <x:v>否</x:v>
      </x:c>
      <x:c r="U224" s="20" t="str">
        <x:v>是（公共奖池）</x:v>
      </x:c>
      <x:c r="V224" s="22" t="str">
        <x:v>结构定稿</x:v>
      </x:c>
      <x:c r="W224" s="36" t="str">
        <x:v>用户自行分配／本表不处理</x:v>
      </x:c>
      <x:c r="X224" s="34" t="str">
        <x:v>缺武器来源码</x:v>
      </x:c>
      <x:c r="Y224" s="29" t="str">
        <x:v>后期统一平衡</x:v>
      </x:c>
      <x:c r="Z224" s="20" t="str">
        <x:v>一怪一专属；专属来源跟随本行准确地图号</x:v>
      </x:c>
    </x:row>
    <x:row r="225" ht="24" customHeight="1">
      <x:c r="A225" s="20" t="str">
        <x:v>C06-M002</x:v>
      </x:c>
      <x:c r="B225" s="20" t="str">
        <x:v>C06</x:v>
      </x:c>
      <x:c r="C225" s="20" t="str">
        <x:v>盖利德</x:v>
      </x:c>
      <x:c r="D225" s="20" t="n">
        <x:v>1</x:v>
      </x:c>
      <x:c r="E225" s="20" t="str">
        <x:v>猩红熔原</x:v>
      </x:c>
      <x:c r="F225" s="20" t="n">
        <x:v>2</x:v>
      </x:c>
      <x:c r="G225" s="20" t="str">
        <x:v>XX305</x:v>
      </x:c>
      <x:c r="H225" s="20" t="str">
        <x:v>焦土裂谷</x:v>
      </x:c>
      <x:c r="I225" s="20" t="str">
        <x:v>焦土拾骸兵</x:v>
      </x:c>
      <x:c r="J225" s="20" t="str">
        <x:v>黄色</x:v>
      </x:c>
      <x:c r="K225" s="20" t="str">
        <x:v>普通</x:v>
      </x:c>
      <x:c r="L225" s="20" t="str">
        <x:v>焦土亡兵</x:v>
      </x:c>
      <x:c r="M225" s="20" t="str">
        <x:v>近战牵制</x:v>
      </x:c>
      <x:c r="N225" s="20" t="str">
        <x:v>拾骸骨盔</x:v>
      </x:c>
      <x:c r="O225" s="20" t="str">
        <x:v>头盔</x:v>
      </x:c>
      <x:c r="P225" s="20" t="str">
        <x:v>猩红矿渣</x:v>
      </x:c>
      <x:c r="Q225" s="20" t="str"/>
      <x:c r="R225" s="20" t="str">
        <x:v>红狮断箭</x:v>
      </x:c>
      <x:c r="S225" s="20" t="str">
        <x:v>熔原罪火残章</x:v>
      </x:c>
      <x:c r="T225" s="20" t="str">
        <x:v>否</x:v>
      </x:c>
      <x:c r="U225" s="20" t="str">
        <x:v>是（公共奖池）</x:v>
      </x:c>
      <x:c r="V225" s="22" t="str">
        <x:v>结构定稿</x:v>
      </x:c>
      <x:c r="W225" s="36" t="str">
        <x:v>用户自行分配／本表不处理</x:v>
      </x:c>
      <x:c r="X225" s="33" t="n">
        <x:v>5887</x:v>
      </x:c>
      <x:c r="Y225" s="29" t="str">
        <x:v>后期统一平衡</x:v>
      </x:c>
      <x:c r="Z225" s="20" t="str">
        <x:v>一怪一专属；专属来源跟随本行准确地图号</x:v>
      </x:c>
    </x:row>
    <x:row r="226" ht="24" customHeight="1">
      <x:c r="A226" s="20" t="str">
        <x:v>C06-M003</x:v>
      </x:c>
      <x:c r="B226" s="20" t="str">
        <x:v>C06</x:v>
      </x:c>
      <x:c r="C226" s="20" t="str">
        <x:v>盖利德</x:v>
      </x:c>
      <x:c r="D226" s="20" t="n">
        <x:v>1</x:v>
      </x:c>
      <x:c r="E226" s="20" t="str">
        <x:v>猩红熔原</x:v>
      </x:c>
      <x:c r="F226" s="20" t="n">
        <x:v>3</x:v>
      </x:c>
      <x:c r="G226" s="20" t="str">
        <x:v>XX306</x:v>
      </x:c>
      <x:c r="H226" s="20" t="str">
        <x:v>熔岩河床</x:v>
      </x:c>
      <x:c r="I226" s="20" t="str">
        <x:v>岩河爬鳞者</x:v>
      </x:c>
      <x:c r="J226" s="20" t="str">
        <x:v>黄色</x:v>
      </x:c>
      <x:c r="K226" s="20" t="str">
        <x:v>普通</x:v>
      </x:c>
      <x:c r="L226" s="20" t="str">
        <x:v>熔岩爬兽</x:v>
      </x:c>
      <x:c r="M226" s="20" t="str">
        <x:v>贴身撕咬</x:v>
      </x:c>
      <x:c r="N226" s="20" t="str">
        <x:v>岩河鳞衣</x:v>
      </x:c>
      <x:c r="O226" s="20" t="str">
        <x:v>衣服</x:v>
      </x:c>
      <x:c r="P226" s="20" t="str">
        <x:v>猩红矿渣</x:v>
      </x:c>
      <x:c r="Q226" s="20" t="str"/>
      <x:c r="R226" s="20" t="str">
        <x:v>红狮断箭</x:v>
      </x:c>
      <x:c r="S226" s="20" t="str">
        <x:v>熔原罪火残章</x:v>
      </x:c>
      <x:c r="T226" s="20" t="str">
        <x:v>否</x:v>
      </x:c>
      <x:c r="U226" s="20" t="str">
        <x:v>是（公共奖池）</x:v>
      </x:c>
      <x:c r="V226" s="22" t="str">
        <x:v>结构定稿</x:v>
      </x:c>
      <x:c r="W226" s="36" t="str">
        <x:v>用户自行分配／本表不处理</x:v>
      </x:c>
      <x:c r="X226" s="34" t="str">
        <x:v>缺衣服来源码</x:v>
      </x:c>
      <x:c r="Y226" s="29" t="str">
        <x:v>后期统一平衡</x:v>
      </x:c>
      <x:c r="Z226" s="20" t="str">
        <x:v>一怪一专属；专属来源跟随本行准确地图号</x:v>
      </x:c>
    </x:row>
    <x:row r="227" ht="24" customHeight="1">
      <x:c r="A227" s="20" t="str">
        <x:v>C06-M004</x:v>
      </x:c>
      <x:c r="B227" s="20" t="str">
        <x:v>C06</x:v>
      </x:c>
      <x:c r="C227" s="20" t="str">
        <x:v>盖利德</x:v>
      </x:c>
      <x:c r="D227" s="20" t="n">
        <x:v>1</x:v>
      </x:c>
      <x:c r="E227" s="20" t="str">
        <x:v>猩红熔原</x:v>
      </x:c>
      <x:c r="F227" s="20" t="n">
        <x:v>4</x:v>
      </x:c>
      <x:c r="G227" s="20" t="str">
        <x:v>XX307</x:v>
      </x:c>
      <x:c r="H227" s="20" t="str">
        <x:v>火蚀祭场</x:v>
      </x:c>
      <x:c r="I227" s="20" t="str">
        <x:v>祭场执炭徒</x:v>
      </x:c>
      <x:c r="J227" s="20" t="str">
        <x:v>黄色</x:v>
      </x:c>
      <x:c r="K227" s="20" t="str">
        <x:v>普通</x:v>
      </x:c>
      <x:c r="L227" s="20" t="str">
        <x:v>火祭侍从</x:v>
      </x:c>
      <x:c r="M227" s="20" t="str">
        <x:v>中距投掷</x:v>
      </x:c>
      <x:c r="N227" s="20" t="str">
        <x:v>执炭腰封</x:v>
      </x:c>
      <x:c r="O227" s="20" t="str">
        <x:v>腰带</x:v>
      </x:c>
      <x:c r="P227" s="20" t="str">
        <x:v>猩红矿渣</x:v>
      </x:c>
      <x:c r="Q227" s="20" t="str"/>
      <x:c r="R227" s="20" t="str">
        <x:v>红狮断箭</x:v>
      </x:c>
      <x:c r="S227" s="20" t="str">
        <x:v>熔原罪火残章</x:v>
      </x:c>
      <x:c r="T227" s="20" t="str">
        <x:v>否</x:v>
      </x:c>
      <x:c r="U227" s="20" t="str">
        <x:v>是（公共奖池）</x:v>
      </x:c>
      <x:c r="V227" s="22" t="str">
        <x:v>结构定稿</x:v>
      </x:c>
      <x:c r="W227" s="36" t="str">
        <x:v>用户自行分配／本表不处理</x:v>
      </x:c>
      <x:c r="X227" s="33" t="n">
        <x:v>7003</x:v>
      </x:c>
      <x:c r="Y227" s="29" t="str">
        <x:v>后期统一平衡</x:v>
      </x:c>
      <x:c r="Z227" s="20" t="str">
        <x:v>一怪一专属；专属来源跟随本行准确地图号</x:v>
      </x:c>
    </x:row>
    <x:row r="228" ht="24" customHeight="1">
      <x:c r="A228" s="20" t="str">
        <x:v>C06-M005</x:v>
      </x:c>
      <x:c r="B228" s="20" t="str">
        <x:v>C06</x:v>
      </x:c>
      <x:c r="C228" s="20" t="str">
        <x:v>盖利德</x:v>
      </x:c>
      <x:c r="D228" s="20" t="n">
        <x:v>1</x:v>
      </x:c>
      <x:c r="E228" s="20" t="str">
        <x:v>猩红熔原</x:v>
      </x:c>
      <x:c r="F228" s="20" t="n">
        <x:v>5</x:v>
      </x:c>
      <x:c r="G228" s="20" t="str">
        <x:v>XX308</x:v>
      </x:c>
      <x:c r="H228" s="20" t="str">
        <x:v>猩红熔心</x:v>
      </x:c>
      <x:c r="I228" s="20" t="str">
        <x:v>熔心赤螯虫</x:v>
      </x:c>
      <x:c r="J228" s="20" t="str">
        <x:v>黄色</x:v>
      </x:c>
      <x:c r="K228" s="20" t="str">
        <x:v>普通</x:v>
      </x:c>
      <x:c r="L228" s="20" t="str">
        <x:v>熔心甲虫</x:v>
      </x:c>
      <x:c r="M228" s="20" t="str">
        <x:v>正面钳制</x:v>
      </x:c>
      <x:c r="N228" s="20" t="str">
        <x:v>赤螯腕甲</x:v>
      </x:c>
      <x:c r="O228" s="20" t="str">
        <x:v>手镯</x:v>
      </x:c>
      <x:c r="P228" s="20" t="str">
        <x:v>猩红矿渣</x:v>
      </x:c>
      <x:c r="Q228" s="20" t="str"/>
      <x:c r="R228" s="20" t="str">
        <x:v>红狮断箭</x:v>
      </x:c>
      <x:c r="S228" s="20" t="str">
        <x:v>熔原罪火残章</x:v>
      </x:c>
      <x:c r="T228" s="20" t="str">
        <x:v>否</x:v>
      </x:c>
      <x:c r="U228" s="20" t="str">
        <x:v>是（公共奖池）</x:v>
      </x:c>
      <x:c r="V228" s="22" t="str">
        <x:v>结构定稿</x:v>
      </x:c>
      <x:c r="W228" s="36" t="str">
        <x:v>用户自行分配／本表不处理</x:v>
      </x:c>
      <x:c r="X228" s="33" t="n">
        <x:v>5870</x:v>
      </x:c>
      <x:c r="Y228" s="29" t="str">
        <x:v>后期统一平衡</x:v>
      </x:c>
      <x:c r="Z228" s="20" t="str">
        <x:v>一怪一专属；专属来源跟随本行准确地图号</x:v>
      </x:c>
    </x:row>
    <x:row r="229" ht="24" customHeight="1">
      <x:c r="A229" s="20" t="str">
        <x:v>C06-M006</x:v>
      </x:c>
      <x:c r="B229" s="20" t="str">
        <x:v>C06</x:v>
      </x:c>
      <x:c r="C229" s="20" t="str">
        <x:v>盖利德</x:v>
      </x:c>
      <x:c r="D229" s="20" t="n">
        <x:v>1</x:v>
      </x:c>
      <x:c r="E229" s="20" t="str">
        <x:v>猩红熔原</x:v>
      </x:c>
      <x:c r="F229" s="20" t="n">
        <x:v>1</x:v>
      </x:c>
      <x:c r="G229" s="20" t="str">
        <x:v>XX304</x:v>
      </x:c>
      <x:c r="H229" s="20" t="str">
        <x:v>猩红熔原</x:v>
      </x:c>
      <x:c r="I229" s="20" t="str">
        <x:v>血尘游猎手</x:v>
      </x:c>
      <x:c r="J229" s="20" t="str">
        <x:v>黄色</x:v>
      </x:c>
      <x:c r="K229" s="20" t="str">
        <x:v>普通</x:v>
      </x:c>
      <x:c r="L229" s="20" t="str">
        <x:v>荒原猎手</x:v>
      </x:c>
      <x:c r="M229" s="20" t="str">
        <x:v>远程游击</x:v>
      </x:c>
      <x:c r="N229" s="20" t="str">
        <x:v>血尘猎靴</x:v>
      </x:c>
      <x:c r="O229" s="20" t="str">
        <x:v>鞋子</x:v>
      </x:c>
      <x:c r="P229" s="20" t="str">
        <x:v>猩红矿渣</x:v>
      </x:c>
      <x:c r="Q229" s="20" t="str"/>
      <x:c r="R229" s="20" t="str">
        <x:v>红狮断箭</x:v>
      </x:c>
      <x:c r="S229" s="20" t="str">
        <x:v>熔原罪火残章</x:v>
      </x:c>
      <x:c r="T229" s="20" t="str">
        <x:v>否</x:v>
      </x:c>
      <x:c r="U229" s="20" t="str">
        <x:v>是（公共奖池）</x:v>
      </x:c>
      <x:c r="V229" s="22" t="str">
        <x:v>结构定稿</x:v>
      </x:c>
      <x:c r="W229" s="36" t="str">
        <x:v>用户自行分配／本表不处理</x:v>
      </x:c>
      <x:c r="X229" s="33" t="n">
        <x:v>7072</x:v>
      </x:c>
      <x:c r="Y229" s="29" t="str">
        <x:v>后期统一平衡</x:v>
      </x:c>
      <x:c r="Z229" s="20" t="str">
        <x:v>一怪一专属；专属来源跟随本行准确地图号</x:v>
      </x:c>
    </x:row>
    <x:row r="230" ht="24" customHeight="1">
      <x:c r="A230" s="20" t="str">
        <x:v>C06-M007</x:v>
      </x:c>
      <x:c r="B230" s="20" t="str">
        <x:v>C06</x:v>
      </x:c>
      <x:c r="C230" s="20" t="str">
        <x:v>盖利德</x:v>
      </x:c>
      <x:c r="D230" s="20" t="n">
        <x:v>1</x:v>
      </x:c>
      <x:c r="E230" s="20" t="str">
        <x:v>猩红熔原</x:v>
      </x:c>
      <x:c r="F230" s="20" t="n">
        <x:v>1</x:v>
      </x:c>
      <x:c r="G230" s="20" t="str">
        <x:v>XX304</x:v>
      </x:c>
      <x:c r="H230" s="20" t="str">
        <x:v>猩红熔原</x:v>
      </x:c>
      <x:c r="I230" s="20" t="str">
        <x:v>赤棘狂战士</x:v>
      </x:c>
      <x:c r="J230" s="20" t="str">
        <x:v>蓝色</x:v>
      </x:c>
      <x:c r="K230" s="20" t="str">
        <x:v>稀有</x:v>
      </x:c>
      <x:c r="L230" s="20" t="str">
        <x:v>赤棘战士</x:v>
      </x:c>
      <x:c r="M230" s="20" t="str">
        <x:v>近战爆发</x:v>
      </x:c>
      <x:c r="N230" s="20" t="str">
        <x:v>赤棘重戒</x:v>
      </x:c>
      <x:c r="O230" s="20" t="str">
        <x:v>戒指</x:v>
      </x:c>
      <x:c r="P230" s="20" t="str">
        <x:v>猩红矿渣</x:v>
      </x:c>
      <x:c r="Q230" s="20" t="str">
        <x:v>龙火鳞</x:v>
      </x:c>
      <x:c r="R230" s="20" t="str">
        <x:v>净火腺囊</x:v>
      </x:c>
      <x:c r="S230" s="20" t="str">
        <x:v>熔原罪火残章</x:v>
      </x:c>
      <x:c r="T230" s="20" t="str">
        <x:v>否</x:v>
      </x:c>
      <x:c r="U230" s="20" t="str">
        <x:v>是（公共奖池）</x:v>
      </x:c>
      <x:c r="V230" s="22" t="str">
        <x:v>结构定稿</x:v>
      </x:c>
      <x:c r="W230" s="36" t="str">
        <x:v>用户自行分配／本表不处理</x:v>
      </x:c>
      <x:c r="X230" s="33" t="n">
        <x:v>5880</x:v>
      </x:c>
      <x:c r="Y230" s="29" t="str">
        <x:v>后期统一平衡</x:v>
      </x:c>
      <x:c r="Z230" s="20" t="str">
        <x:v>一怪一专属；专属来源跟随本行准确地图号</x:v>
      </x:c>
    </x:row>
    <x:row r="231" ht="24" customHeight="1">
      <x:c r="A231" s="20" t="str">
        <x:v>C06-M008</x:v>
      </x:c>
      <x:c r="B231" s="20" t="str">
        <x:v>C06</x:v>
      </x:c>
      <x:c r="C231" s="20" t="str">
        <x:v>盖利德</x:v>
      </x:c>
      <x:c r="D231" s="20" t="n">
        <x:v>1</x:v>
      </x:c>
      <x:c r="E231" s="20" t="str">
        <x:v>猩红熔原</x:v>
      </x:c>
      <x:c r="F231" s="20" t="n">
        <x:v>2</x:v>
      </x:c>
      <x:c r="G231" s="20" t="str">
        <x:v>XX305</x:v>
      </x:c>
      <x:c r="H231" s="20" t="str">
        <x:v>焦土裂谷</x:v>
      </x:c>
      <x:c r="I231" s="20" t="str">
        <x:v>焦脉咒炎师</x:v>
      </x:c>
      <x:c r="J231" s="20" t="str">
        <x:v>蓝色</x:v>
      </x:c>
      <x:c r="K231" s="20" t="str">
        <x:v>稀有</x:v>
      </x:c>
      <x:c r="L231" s="20" t="str">
        <x:v>咒炎术士</x:v>
      </x:c>
      <x:c r="M231" s="20" t="str">
        <x:v>远程压制</x:v>
      </x:c>
      <x:c r="N231" s="20" t="str">
        <x:v>焦脉祭链</x:v>
      </x:c>
      <x:c r="O231" s="20" t="str">
        <x:v>项链</x:v>
      </x:c>
      <x:c r="P231" s="20" t="str">
        <x:v>猩红矿渣</x:v>
      </x:c>
      <x:c r="Q231" s="20" t="str">
        <x:v>龙火鳞</x:v>
      </x:c>
      <x:c r="R231" s="20" t="str">
        <x:v>净火腺囊</x:v>
      </x:c>
      <x:c r="S231" s="20" t="str">
        <x:v>熔原罪火残章</x:v>
      </x:c>
      <x:c r="T231" s="20" t="str">
        <x:v>否</x:v>
      </x:c>
      <x:c r="U231" s="20" t="str">
        <x:v>是（公共奖池）</x:v>
      </x:c>
      <x:c r="V231" s="22" t="str">
        <x:v>结构定稿</x:v>
      </x:c>
      <x:c r="W231" s="36" t="str">
        <x:v>用户自行分配／本表不处理</x:v>
      </x:c>
      <x:c r="X231" s="33" t="n">
        <x:v>5895</x:v>
      </x:c>
      <x:c r="Y231" s="29" t="str">
        <x:v>后期统一平衡</x:v>
      </x:c>
      <x:c r="Z231" s="20" t="str">
        <x:v>一怪一专属；专属来源跟随本行准确地图号</x:v>
      </x:c>
    </x:row>
    <x:row r="232" ht="24" customHeight="1">
      <x:c r="A232" s="20" t="str">
        <x:v>C06-M009</x:v>
      </x:c>
      <x:c r="B232" s="20" t="str">
        <x:v>C06</x:v>
      </x:c>
      <x:c r="C232" s="20" t="str">
        <x:v>盖利德</x:v>
      </x:c>
      <x:c r="D232" s="20" t="n">
        <x:v>1</x:v>
      </x:c>
      <x:c r="E232" s="20" t="str">
        <x:v>猩红熔原</x:v>
      </x:c>
      <x:c r="F232" s="20" t="n">
        <x:v>3</x:v>
      </x:c>
      <x:c r="G232" s="20" t="str">
        <x:v>XX306</x:v>
      </x:c>
      <x:c r="H232" s="20" t="str">
        <x:v>熔岩河床</x:v>
      </x:c>
      <x:c r="I232" s="20" t="str">
        <x:v>岩浆负甲兽</x:v>
      </x:c>
      <x:c r="J232" s="20" t="str">
        <x:v>蓝色</x:v>
      </x:c>
      <x:c r="K232" s="20" t="str">
        <x:v>稀有</x:v>
      </x:c>
      <x:c r="L232" s="20" t="str">
        <x:v>熔岩重兽</x:v>
      </x:c>
      <x:c r="M232" s="20" t="str">
        <x:v>重装推进</x:v>
      </x:c>
      <x:c r="N232" s="20" t="str">
        <x:v>负甲熔盾</x:v>
      </x:c>
      <x:c r="O232" s="20" t="str">
        <x:v>盾牌</x:v>
      </x:c>
      <x:c r="P232" s="20" t="str">
        <x:v>猩红矿渣</x:v>
      </x:c>
      <x:c r="Q232" s="20" t="str">
        <x:v>龙火鳞</x:v>
      </x:c>
      <x:c r="R232" s="20" t="str">
        <x:v>净火腺囊</x:v>
      </x:c>
      <x:c r="S232" s="20" t="str">
        <x:v>熔原罪火残章</x:v>
      </x:c>
      <x:c r="T232" s="20" t="str">
        <x:v>否</x:v>
      </x:c>
      <x:c r="U232" s="20" t="str">
        <x:v>是（公共奖池）</x:v>
      </x:c>
      <x:c r="V232" s="22" t="str">
        <x:v>结构定稿</x:v>
      </x:c>
      <x:c r="W232" s="36" t="str">
        <x:v>用户自行分配／本表不处理</x:v>
      </x:c>
      <x:c r="X232" s="33" t="n">
        <x:v>7035</x:v>
      </x:c>
      <x:c r="Y232" s="29" t="str">
        <x:v>后期统一平衡</x:v>
      </x:c>
      <x:c r="Z232" s="20" t="str">
        <x:v>一怪一专属；专属来源跟随本行准确地图号</x:v>
      </x:c>
    </x:row>
    <x:row r="233" ht="24" customHeight="1">
      <x:c r="A233" s="20" t="str">
        <x:v>C06-M010</x:v>
      </x:c>
      <x:c r="B233" s="20" t="str">
        <x:v>C06</x:v>
      </x:c>
      <x:c r="C233" s="20" t="str">
        <x:v>盖利德</x:v>
      </x:c>
      <x:c r="D233" s="20" t="n">
        <x:v>1</x:v>
      </x:c>
      <x:c r="E233" s="20" t="str">
        <x:v>猩红熔原</x:v>
      </x:c>
      <x:c r="F233" s="20" t="n">
        <x:v>4</x:v>
      </x:c>
      <x:c r="G233" s="20" t="str">
        <x:v>XX307</x:v>
      </x:c>
      <x:c r="H233" s="20" t="str">
        <x:v>火蚀祭场</x:v>
      </x:c>
      <x:c r="I233" s="20" t="str">
        <x:v>灰烬裁决官</x:v>
      </x:c>
      <x:c r="J233" s="20" t="str">
        <x:v>蓝色</x:v>
      </x:c>
      <x:c r="K233" s="20" t="str">
        <x:v>稀有</x:v>
      </x:c>
      <x:c r="L233" s="20" t="str">
        <x:v>火祭执法者</x:v>
      </x:c>
      <x:c r="M233" s="20" t="str">
        <x:v>范围封锁</x:v>
      </x:c>
      <x:c r="N233" s="20" t="str">
        <x:v>灰烬裁印</x:v>
      </x:c>
      <x:c r="O233" s="20" t="str">
        <x:v>勋章</x:v>
      </x:c>
      <x:c r="P233" s="20" t="str">
        <x:v>猩红矿渣</x:v>
      </x:c>
      <x:c r="Q233" s="20" t="str">
        <x:v>龙火鳞</x:v>
      </x:c>
      <x:c r="R233" s="20" t="str">
        <x:v>净火腺囊</x:v>
      </x:c>
      <x:c r="S233" s="20" t="str">
        <x:v>熔原罪火残章</x:v>
      </x:c>
      <x:c r="T233" s="20" t="str">
        <x:v>否</x:v>
      </x:c>
      <x:c r="U233" s="20" t="str">
        <x:v>是（公共奖池）</x:v>
      </x:c>
      <x:c r="V233" s="22" t="str">
        <x:v>结构定稿</x:v>
      </x:c>
      <x:c r="W233" s="36" t="str">
        <x:v>用户自行分配／本表不处理</x:v>
      </x:c>
      <x:c r="X233" s="33" t="n">
        <x:v>6894</x:v>
      </x:c>
      <x:c r="Y233" s="29" t="str">
        <x:v>后期统一平衡</x:v>
      </x:c>
      <x:c r="Z233" s="20" t="str">
        <x:v>一怪一专属；专属来源跟随本行准确地图号</x:v>
      </x:c>
    </x:row>
    <x:row r="234" ht="24" customHeight="1">
      <x:c r="A234" s="20" t="str">
        <x:v>C06-M011</x:v>
      </x:c>
      <x:c r="B234" s="20" t="str">
        <x:v>C06</x:v>
      </x:c>
      <x:c r="C234" s="20" t="str">
        <x:v>盖利德</x:v>
      </x:c>
      <x:c r="D234" s="20" t="n">
        <x:v>1</x:v>
      </x:c>
      <x:c r="E234" s="20" t="str">
        <x:v>猩红熔原</x:v>
      </x:c>
      <x:c r="F234" s="20" t="n">
        <x:v>4</x:v>
      </x:c>
      <x:c r="G234" s="20" t="str">
        <x:v>XX307</x:v>
      </x:c>
      <x:c r="H234" s="20" t="str">
        <x:v>火蚀祭场</x:v>
      </x:c>
      <x:c r="I234" s="20" t="str">
        <x:v>火蚀巨像·巴洛</x:v>
      </x:c>
      <x:c r="J234" s="20" t="str">
        <x:v>粉色</x:v>
      </x:c>
      <x:c r="K234" s="20" t="str">
        <x:v>地图BOSS</x:v>
      </x:c>
      <x:c r="L234" s="20" t="str">
        <x:v>熔岩巨像</x:v>
      </x:c>
      <x:c r="M234" s="20" t="str">
        <x:v>重击震荡</x:v>
      </x:c>
      <x:c r="N234" s="20" t="str">
        <x:v>巴洛熔拳</x:v>
      </x:c>
      <x:c r="O234" s="20" t="str">
        <x:v>武器</x:v>
      </x:c>
      <x:c r="P234" s="20" t="str">
        <x:v>猩红矿渣</x:v>
      </x:c>
      <x:c r="Q234" s="20" t="str">
        <x:v>龙火鳞＋红狮战印</x:v>
      </x:c>
      <x:c r="R234" s="20" t="str">
        <x:v>龙窟熔牙</x:v>
      </x:c>
      <x:c r="S234" s="20" t="str">
        <x:v>熔原罪火残章</x:v>
      </x:c>
      <x:c r="T234" s="20" t="str">
        <x:v>是（独立奖池）</x:v>
      </x:c>
      <x:c r="U234" s="20" t="str">
        <x:v>是（公共奖池）</x:v>
      </x:c>
      <x:c r="V234" s="22" t="str">
        <x:v>结构定稿</x:v>
      </x:c>
      <x:c r="W234" s="36" t="str">
        <x:v>用户自行分配／本表不处理</x:v>
      </x:c>
      <x:c r="X234" s="34" t="str">
        <x:v>缺武器来源码</x:v>
      </x:c>
      <x:c r="Y234" s="29" t="str">
        <x:v>后期统一平衡</x:v>
      </x:c>
      <x:c r="Z234" s="20" t="str">
        <x:v>一怪一专属；专属来源跟随本行准确地图号</x:v>
      </x:c>
    </x:row>
    <x:row r="235" ht="24" customHeight="1">
      <x:c r="A235" s="20" t="str">
        <x:v>C06-M012</x:v>
      </x:c>
      <x:c r="B235" s="20" t="str">
        <x:v>C06</x:v>
      </x:c>
      <x:c r="C235" s="20" t="str">
        <x:v>盖利德</x:v>
      </x:c>
      <x:c r="D235" s="20" t="n">
        <x:v>1</x:v>
      </x:c>
      <x:c r="E235" s="20" t="str">
        <x:v>猩红熔原</x:v>
      </x:c>
      <x:c r="F235" s="20" t="n">
        <x:v>5</x:v>
      </x:c>
      <x:c r="G235" s="20" t="str">
        <x:v>XX308</x:v>
      </x:c>
      <x:c r="H235" s="20" t="str">
        <x:v>猩红熔心</x:v>
      </x:c>
      <x:c r="I235" s="20" t="str">
        <x:v>猩红熔母·瑟芮</x:v>
      </x:c>
      <x:c r="J235" s="20" t="str">
        <x:v>粉色</x:v>
      </x:c>
      <x:c r="K235" s="20" t="str">
        <x:v>地图BOSS</x:v>
      </x:c>
      <x:c r="L235" s="20" t="str">
        <x:v>熔心母兽</x:v>
      </x:c>
      <x:c r="M235" s="20" t="str">
        <x:v>持续侵蚀</x:v>
      </x:c>
      <x:c r="N235" s="20" t="str">
        <x:v>瑟芮血衣</x:v>
      </x:c>
      <x:c r="O235" s="20" t="str">
        <x:v>衣服</x:v>
      </x:c>
      <x:c r="P235" s="20" t="str">
        <x:v>猩红矿渣</x:v>
      </x:c>
      <x:c r="Q235" s="20" t="str">
        <x:v>龙火鳞＋红狮战印</x:v>
      </x:c>
      <x:c r="R235" s="20" t="str">
        <x:v>龙窟熔牙</x:v>
      </x:c>
      <x:c r="S235" s="20" t="str">
        <x:v>熔原罪火残章</x:v>
      </x:c>
      <x:c r="T235" s="20" t="str">
        <x:v>是（独立奖池）</x:v>
      </x:c>
      <x:c r="U235" s="20" t="str">
        <x:v>是（公共奖池）</x:v>
      </x:c>
      <x:c r="V235" s="22" t="str">
        <x:v>结构定稿</x:v>
      </x:c>
      <x:c r="W235" s="36" t="str">
        <x:v>用户自行分配／本表不处理</x:v>
      </x:c>
      <x:c r="X235" s="34" t="str">
        <x:v>缺衣服来源码</x:v>
      </x:c>
      <x:c r="Y235" s="29" t="str">
        <x:v>后期统一平衡</x:v>
      </x:c>
      <x:c r="Z235" s="20" t="str">
        <x:v>一怪一专属；专属来源跟随本行准确地图号</x:v>
      </x:c>
    </x:row>
    <x:row r="236" ht="24" customHeight="1">
      <x:c r="A236" s="20" t="str">
        <x:v>C06-M013</x:v>
      </x:c>
      <x:c r="B236" s="20" t="str">
        <x:v>C06</x:v>
      </x:c>
      <x:c r="C236" s="20" t="str">
        <x:v>盖利德</x:v>
      </x:c>
      <x:c r="D236" s="20" t="n">
        <x:v>2</x:v>
      </x:c>
      <x:c r="E236" s="20" t="str">
        <x:v>腐败火狱</x:v>
      </x:c>
      <x:c r="F236" s="20" t="n">
        <x:v>1</x:v>
      </x:c>
      <x:c r="G236" s="20" t="str">
        <x:v>XX357</x:v>
      </x:c>
      <x:c r="H236" s="20" t="str">
        <x:v>腐败火狱</x:v>
      </x:c>
      <x:c r="I236" s="20" t="str">
        <x:v>腐狱囚徒</x:v>
      </x:c>
      <x:c r="J236" s="20" t="str">
        <x:v>黄色</x:v>
      </x:c>
      <x:c r="K236" s="20" t="str">
        <x:v>普通</x:v>
      </x:c>
      <x:c r="L236" s="20" t="str">
        <x:v>火狱囚兵</x:v>
      </x:c>
      <x:c r="M236" s="20" t="str">
        <x:v>近战围攻</x:v>
      </x:c>
      <x:c r="N236" s="20" t="str">
        <x:v>腐狱铁链</x:v>
      </x:c>
      <x:c r="O236" s="20" t="str">
        <x:v>项链</x:v>
      </x:c>
      <x:c r="P236" s="20" t="str">
        <x:v>猩红矿渣</x:v>
      </x:c>
      <x:c r="Q236" s="20" t="str"/>
      <x:c r="R236" s="20" t="str">
        <x:v>红狮断箭</x:v>
      </x:c>
      <x:c r="S236" s="20" t="str">
        <x:v>熔原罪火残章</x:v>
      </x:c>
      <x:c r="T236" s="20" t="str">
        <x:v>否</x:v>
      </x:c>
      <x:c r="U236" s="20" t="str">
        <x:v>是（公共奖池）</x:v>
      </x:c>
      <x:c r="V236" s="22" t="str">
        <x:v>结构定稿</x:v>
      </x:c>
      <x:c r="W236" s="36" t="str">
        <x:v>用户自行分配／本表不处理</x:v>
      </x:c>
      <x:c r="X236" s="33" t="n">
        <x:v>5913</x:v>
      </x:c>
      <x:c r="Y236" s="29" t="str">
        <x:v>后期统一平衡</x:v>
      </x:c>
      <x:c r="Z236" s="20" t="str">
        <x:v>一怪一专属；专属来源跟随本行准确地图号</x:v>
      </x:c>
    </x:row>
    <x:row r="237" ht="24" customHeight="1">
      <x:c r="A237" s="20" t="str">
        <x:v>C06-M014</x:v>
      </x:c>
      <x:c r="B237" s="20" t="str">
        <x:v>C06</x:v>
      </x:c>
      <x:c r="C237" s="20" t="str">
        <x:v>盖利德</x:v>
      </x:c>
      <x:c r="D237" s="20" t="n">
        <x:v>2</x:v>
      </x:c>
      <x:c r="E237" s="20" t="str">
        <x:v>腐败火狱</x:v>
      </x:c>
      <x:c r="F237" s="20" t="n">
        <x:v>2</x:v>
      </x:c>
      <x:c r="G237" s="20" t="str">
        <x:v>XX358</x:v>
      </x:c>
      <x:c r="H237" s="20" t="str">
        <x:v>灼腐长廊</x:v>
      </x:c>
      <x:c r="I237" s="20" t="str">
        <x:v>灼腐行刑兵</x:v>
      </x:c>
      <x:c r="J237" s="20" t="str">
        <x:v>黄色</x:v>
      </x:c>
      <x:c r="K237" s="20" t="str">
        <x:v>普通</x:v>
      </x:c>
      <x:c r="L237" s="20" t="str">
        <x:v>狱火刑兵</x:v>
      </x:c>
      <x:c r="M237" s="20" t="str">
        <x:v>近战破防</x:v>
      </x:c>
      <x:c r="N237" s="20" t="str">
        <x:v>灼刑断刃</x:v>
      </x:c>
      <x:c r="O237" s="20" t="str">
        <x:v>武器</x:v>
      </x:c>
      <x:c r="P237" s="20" t="str">
        <x:v>猩红矿渣</x:v>
      </x:c>
      <x:c r="Q237" s="20" t="str"/>
      <x:c r="R237" s="20" t="str">
        <x:v>红狮断箭</x:v>
      </x:c>
      <x:c r="S237" s="20" t="str">
        <x:v>熔原罪火残章</x:v>
      </x:c>
      <x:c r="T237" s="20" t="str">
        <x:v>否</x:v>
      </x:c>
      <x:c r="U237" s="20" t="str">
        <x:v>是（公共奖池）</x:v>
      </x:c>
      <x:c r="V237" s="22" t="str">
        <x:v>结构定稿</x:v>
      </x:c>
      <x:c r="W237" s="36" t="str">
        <x:v>用户自行分配／本表不处理</x:v>
      </x:c>
      <x:c r="X237" s="34" t="str">
        <x:v>缺武器来源码</x:v>
      </x:c>
      <x:c r="Y237" s="29" t="str">
        <x:v>后期统一平衡</x:v>
      </x:c>
      <x:c r="Z237" s="20" t="str">
        <x:v>一怪一专属；专属来源跟随本行准确地图号</x:v>
      </x:c>
    </x:row>
    <x:row r="238" ht="24" customHeight="1">
      <x:c r="A238" s="20" t="str">
        <x:v>C06-M015</x:v>
      </x:c>
      <x:c r="B238" s="20" t="str">
        <x:v>C06</x:v>
      </x:c>
      <x:c r="C238" s="20" t="str">
        <x:v>盖利德</x:v>
      </x:c>
      <x:c r="D238" s="20" t="n">
        <x:v>2</x:v>
      </x:c>
      <x:c r="E238" s="20" t="str">
        <x:v>腐败火狱</x:v>
      </x:c>
      <x:c r="F238" s="20" t="n">
        <x:v>3</x:v>
      </x:c>
      <x:c r="G238" s="20" t="str">
        <x:v>XX359</x:v>
      </x:c>
      <x:c r="H238" s="20" t="str">
        <x:v>熔火深渊</x:v>
      </x:c>
      <x:c r="I238" s="20" t="str">
        <x:v>深渊熔壳虫</x:v>
      </x:c>
      <x:c r="J238" s="20" t="str">
        <x:v>黄色</x:v>
      </x:c>
      <x:c r="K238" s="20" t="str">
        <x:v>普通</x:v>
      </x:c>
      <x:c r="L238" s="20" t="str">
        <x:v>深渊甲虫</x:v>
      </x:c>
      <x:c r="M238" s="20" t="str">
        <x:v>贴身阻挡</x:v>
      </x:c>
      <x:c r="N238" s="20" t="str">
        <x:v>熔壳甲衣</x:v>
      </x:c>
      <x:c r="O238" s="20" t="str">
        <x:v>衣服</x:v>
      </x:c>
      <x:c r="P238" s="20" t="str">
        <x:v>猩红矿渣</x:v>
      </x:c>
      <x:c r="Q238" s="20" t="str"/>
      <x:c r="R238" s="20" t="str">
        <x:v>红狮断箭</x:v>
      </x:c>
      <x:c r="S238" s="20" t="str">
        <x:v>熔原罪火残章</x:v>
      </x:c>
      <x:c r="T238" s="20" t="str">
        <x:v>否</x:v>
      </x:c>
      <x:c r="U238" s="20" t="str">
        <x:v>是（公共奖池）</x:v>
      </x:c>
      <x:c r="V238" s="22" t="str">
        <x:v>结构定稿</x:v>
      </x:c>
      <x:c r="W238" s="36" t="str">
        <x:v>用户自行分配／本表不处理</x:v>
      </x:c>
      <x:c r="X238" s="34" t="str">
        <x:v>缺衣服来源码</x:v>
      </x:c>
      <x:c r="Y238" s="29" t="str">
        <x:v>后期统一平衡</x:v>
      </x:c>
      <x:c r="Z238" s="20" t="str">
        <x:v>一怪一专属；专属来源跟随本行准确地图号</x:v>
      </x:c>
    </x:row>
    <x:row r="239" ht="24" customHeight="1">
      <x:c r="A239" s="20" t="str">
        <x:v>C06-M016</x:v>
      </x:c>
      <x:c r="B239" s="20" t="str">
        <x:v>C06</x:v>
      </x:c>
      <x:c r="C239" s="20" t="str">
        <x:v>盖利德</x:v>
      </x:c>
      <x:c r="D239" s="20" t="n">
        <x:v>2</x:v>
      </x:c>
      <x:c r="E239" s="20" t="str">
        <x:v>腐败火狱</x:v>
      </x:c>
      <x:c r="F239" s="20" t="n">
        <x:v>4</x:v>
      </x:c>
      <x:c r="G239" s="20" t="str">
        <x:v>XX360</x:v>
      </x:c>
      <x:c r="H239" s="20" t="str">
        <x:v>赤腐内域</x:v>
      </x:c>
      <x:c r="I239" s="20" t="str">
        <x:v>内域血菌兽</x:v>
      </x:c>
      <x:c r="J239" s="20" t="str">
        <x:v>黄色</x:v>
      </x:c>
      <x:c r="K239" s="20" t="str">
        <x:v>普通</x:v>
      </x:c>
      <x:c r="L239" s="20" t="str">
        <x:v>赤腐菌兽</x:v>
      </x:c>
      <x:c r="M239" s="20" t="str">
        <x:v>近距侵蚀</x:v>
      </x:c>
      <x:c r="N239" s="20" t="str">
        <x:v>血菌腕轮</x:v>
      </x:c>
      <x:c r="O239" s="20" t="str">
        <x:v>手镯</x:v>
      </x:c>
      <x:c r="P239" s="20" t="str">
        <x:v>猩红矿渣</x:v>
      </x:c>
      <x:c r="Q239" s="20" t="str"/>
      <x:c r="R239" s="20" t="str">
        <x:v>红狮断箭</x:v>
      </x:c>
      <x:c r="S239" s="20" t="str">
        <x:v>熔原罪火残章</x:v>
      </x:c>
      <x:c r="T239" s="20" t="str">
        <x:v>否</x:v>
      </x:c>
      <x:c r="U239" s="20" t="str">
        <x:v>是（公共奖池）</x:v>
      </x:c>
      <x:c r="V239" s="22" t="str">
        <x:v>结构定稿</x:v>
      </x:c>
      <x:c r="W239" s="36" t="str">
        <x:v>用户自行分配／本表不处理</x:v>
      </x:c>
      <x:c r="X239" s="33" t="n">
        <x:v>5879</x:v>
      </x:c>
      <x:c r="Y239" s="29" t="str">
        <x:v>后期统一平衡</x:v>
      </x:c>
      <x:c r="Z239" s="20" t="str">
        <x:v>一怪一专属；专属来源跟随本行准确地图号</x:v>
      </x:c>
    </x:row>
    <x:row r="240" ht="24" customHeight="1">
      <x:c r="A240" s="20" t="str">
        <x:v>C06-M017</x:v>
      </x:c>
      <x:c r="B240" s="20" t="str">
        <x:v>C06</x:v>
      </x:c>
      <x:c r="C240" s="20" t="str">
        <x:v>盖利德</x:v>
      </x:c>
      <x:c r="D240" s="20" t="n">
        <x:v>2</x:v>
      </x:c>
      <x:c r="E240" s="20" t="str">
        <x:v>腐败火狱</x:v>
      </x:c>
      <x:c r="F240" s="20" t="n">
        <x:v>5</x:v>
      </x:c>
      <x:c r="G240" s="20" t="str">
        <x:v>XX361</x:v>
      </x:c>
      <x:c r="H240" s="20" t="str">
        <x:v>腐败熔心</x:v>
      </x:c>
      <x:c r="I240" s="20" t="str">
        <x:v>熔心烙印僧</x:v>
      </x:c>
      <x:c r="J240" s="20" t="str">
        <x:v>黄色</x:v>
      </x:c>
      <x:c r="K240" s="20" t="str">
        <x:v>普通</x:v>
      </x:c>
      <x:c r="L240" s="20" t="str">
        <x:v>狱火僧侣</x:v>
      </x:c>
      <x:c r="M240" s="20" t="str">
        <x:v>中距灼烧</x:v>
      </x:c>
      <x:c r="N240" s="20" t="str">
        <x:v>烙印斗笠</x:v>
      </x:c>
      <x:c r="O240" s="20" t="str">
        <x:v>斗笠</x:v>
      </x:c>
      <x:c r="P240" s="20" t="str">
        <x:v>猩红矿渣</x:v>
      </x:c>
      <x:c r="Q240" s="20" t="str"/>
      <x:c r="R240" s="20" t="str">
        <x:v>红狮断箭</x:v>
      </x:c>
      <x:c r="S240" s="20" t="str">
        <x:v>熔原罪火残章</x:v>
      </x:c>
      <x:c r="T240" s="20" t="str">
        <x:v>否</x:v>
      </x:c>
      <x:c r="U240" s="20" t="str">
        <x:v>是（公共奖池）</x:v>
      </x:c>
      <x:c r="V240" s="22" t="str">
        <x:v>结构定稿</x:v>
      </x:c>
      <x:c r="W240" s="36" t="str">
        <x:v>用户自行分配／本表不处理</x:v>
      </x:c>
      <x:c r="X240" s="34" t="str">
        <x:v>缺斗笠来源码</x:v>
      </x:c>
      <x:c r="Y240" s="29" t="str">
        <x:v>后期统一平衡</x:v>
      </x:c>
      <x:c r="Z240" s="20" t="str">
        <x:v>一怪一专属；专属来源跟随本行准确地图号</x:v>
      </x:c>
    </x:row>
    <x:row r="241" ht="24" customHeight="1">
      <x:c r="A241" s="20" t="str">
        <x:v>C06-M018</x:v>
      </x:c>
      <x:c r="B241" s="20" t="str">
        <x:v>C06</x:v>
      </x:c>
      <x:c r="C241" s="20" t="str">
        <x:v>盖利德</x:v>
      </x:c>
      <x:c r="D241" s="20" t="n">
        <x:v>2</x:v>
      </x:c>
      <x:c r="E241" s="20" t="str">
        <x:v>腐败火狱</x:v>
      </x:c>
      <x:c r="F241" s="20" t="n">
        <x:v>1</x:v>
      </x:c>
      <x:c r="G241" s="20" t="str">
        <x:v>XX357</x:v>
      </x:c>
      <x:c r="H241" s="20" t="str">
        <x:v>腐败火狱</x:v>
      </x:c>
      <x:c r="I241" s="20" t="str">
        <x:v>火狱锁门卒</x:v>
      </x:c>
      <x:c r="J241" s="20" t="str">
        <x:v>黄色</x:v>
      </x:c>
      <x:c r="K241" s="20" t="str">
        <x:v>普通</x:v>
      </x:c>
      <x:c r="L241" s="20" t="str">
        <x:v>重甲狱卒</x:v>
      </x:c>
      <x:c r="M241" s="20" t="str">
        <x:v>盾阵拦截</x:v>
      </x:c>
      <x:c r="N241" s="20" t="str">
        <x:v>锁门重盾</x:v>
      </x:c>
      <x:c r="O241" s="20" t="str">
        <x:v>盾牌</x:v>
      </x:c>
      <x:c r="P241" s="20" t="str">
        <x:v>猩红矿渣</x:v>
      </x:c>
      <x:c r="Q241" s="20" t="str"/>
      <x:c r="R241" s="20" t="str">
        <x:v>红狮断箭</x:v>
      </x:c>
      <x:c r="S241" s="20" t="str">
        <x:v>熔原罪火残章</x:v>
      </x:c>
      <x:c r="T241" s="20" t="str">
        <x:v>否</x:v>
      </x:c>
      <x:c r="U241" s="20" t="str">
        <x:v>是（公共奖池）</x:v>
      </x:c>
      <x:c r="V241" s="22" t="str">
        <x:v>结构定稿</x:v>
      </x:c>
      <x:c r="W241" s="36" t="str">
        <x:v>用户自行分配／本表不处理</x:v>
      </x:c>
      <x:c r="X241" s="33" t="n">
        <x:v>7070</x:v>
      </x:c>
      <x:c r="Y241" s="29" t="str">
        <x:v>后期统一平衡</x:v>
      </x:c>
      <x:c r="Z241" s="20" t="str">
        <x:v>一怪一专属；专属来源跟随本行准确地图号</x:v>
      </x:c>
    </x:row>
    <x:row r="242" ht="24" customHeight="1">
      <x:c r="A242" s="20" t="str">
        <x:v>C06-M019</x:v>
      </x:c>
      <x:c r="B242" s="20" t="str">
        <x:v>C06</x:v>
      </x:c>
      <x:c r="C242" s="20" t="str">
        <x:v>盖利德</x:v>
      </x:c>
      <x:c r="D242" s="20" t="n">
        <x:v>2</x:v>
      </x:c>
      <x:c r="E242" s="20" t="str">
        <x:v>腐败火狱</x:v>
      </x:c>
      <x:c r="F242" s="20" t="n">
        <x:v>1</x:v>
      </x:c>
      <x:c r="G242" s="20" t="str">
        <x:v>XX357</x:v>
      </x:c>
      <x:c r="H242" s="20" t="str">
        <x:v>腐败火狱</x:v>
      </x:c>
      <x:c r="I242" s="20" t="str">
        <x:v>瘴焰缝尸匠</x:v>
      </x:c>
      <x:c r="J242" s="20" t="str">
        <x:v>蓝色</x:v>
      </x:c>
      <x:c r="K242" s="20" t="str">
        <x:v>稀有</x:v>
      </x:c>
      <x:c r="L242" s="20" t="str">
        <x:v>腐焰工匠</x:v>
      </x:c>
      <x:c r="M242" s="20" t="str">
        <x:v>召集牵制</x:v>
      </x:c>
      <x:c r="N242" s="20" t="str">
        <x:v>缝尸骨针</x:v>
      </x:c>
      <x:c r="O242" s="20" t="str">
        <x:v>武器</x:v>
      </x:c>
      <x:c r="P242" s="20" t="str">
        <x:v>猩红矿渣</x:v>
      </x:c>
      <x:c r="Q242" s="20" t="str">
        <x:v>龙火鳞</x:v>
      </x:c>
      <x:c r="R242" s="20" t="str">
        <x:v>净火腺囊</x:v>
      </x:c>
      <x:c r="S242" s="20" t="str">
        <x:v>熔原罪火残章</x:v>
      </x:c>
      <x:c r="T242" s="20" t="str">
        <x:v>否</x:v>
      </x:c>
      <x:c r="U242" s="20" t="str">
        <x:v>是（公共奖池）</x:v>
      </x:c>
      <x:c r="V242" s="22" t="str">
        <x:v>结构定稿</x:v>
      </x:c>
      <x:c r="W242" s="36" t="str">
        <x:v>用户自行分配／本表不处理</x:v>
      </x:c>
      <x:c r="X242" s="34" t="str">
        <x:v>缺武器来源码</x:v>
      </x:c>
      <x:c r="Y242" s="29" t="str">
        <x:v>后期统一平衡</x:v>
      </x:c>
      <x:c r="Z242" s="20" t="str">
        <x:v>一怪一专属；专属来源跟随本行准确地图号</x:v>
      </x:c>
    </x:row>
    <x:row r="243" ht="24" customHeight="1">
      <x:c r="A243" s="20" t="str">
        <x:v>C06-M020</x:v>
      </x:c>
      <x:c r="B243" s="20" t="str">
        <x:v>C06</x:v>
      </x:c>
      <x:c r="C243" s="20" t="str">
        <x:v>盖利德</x:v>
      </x:c>
      <x:c r="D243" s="20" t="n">
        <x:v>2</x:v>
      </x:c>
      <x:c r="E243" s="20" t="str">
        <x:v>腐败火狱</x:v>
      </x:c>
      <x:c r="F243" s="20" t="n">
        <x:v>2</x:v>
      </x:c>
      <x:c r="G243" s="20" t="str">
        <x:v>XX358</x:v>
      </x:c>
      <x:c r="H243" s="20" t="str">
        <x:v>灼腐长廊</x:v>
      </x:c>
      <x:c r="I243" s="20" t="str">
        <x:v>灼骨狱卒长</x:v>
      </x:c>
      <x:c r="J243" s="20" t="str">
        <x:v>蓝色</x:v>
      </x:c>
      <x:c r="K243" s="20" t="str">
        <x:v>稀有</x:v>
      </x:c>
      <x:c r="L243" s="20" t="str">
        <x:v>狱卒统领</x:v>
      </x:c>
      <x:c r="M243" s="20" t="str">
        <x:v>重装压迫</x:v>
      </x:c>
      <x:c r="N243" s="20" t="str">
        <x:v>灼骨腰甲</x:v>
      </x:c>
      <x:c r="O243" s="20" t="str">
        <x:v>腰带</x:v>
      </x:c>
      <x:c r="P243" s="20" t="str">
        <x:v>猩红矿渣</x:v>
      </x:c>
      <x:c r="Q243" s="20" t="str">
        <x:v>龙火鳞</x:v>
      </x:c>
      <x:c r="R243" s="20" t="str">
        <x:v>净火腺囊</x:v>
      </x:c>
      <x:c r="S243" s="20" t="str">
        <x:v>熔原罪火残章</x:v>
      </x:c>
      <x:c r="T243" s="20" t="str">
        <x:v>否</x:v>
      </x:c>
      <x:c r="U243" s="20" t="str">
        <x:v>是（公共奖池）</x:v>
      </x:c>
      <x:c r="V243" s="22" t="str">
        <x:v>结构定稿</x:v>
      </x:c>
      <x:c r="W243" s="36" t="str">
        <x:v>用户自行分配／本表不处理</x:v>
      </x:c>
      <x:c r="X243" s="33" t="n">
        <x:v>7038</x:v>
      </x:c>
      <x:c r="Y243" s="29" t="str">
        <x:v>后期统一平衡</x:v>
      </x:c>
      <x:c r="Z243" s="20" t="str">
        <x:v>一怪一专属；专属来源跟随本行准确地图号</x:v>
      </x:c>
    </x:row>
    <x:row r="244" ht="24" customHeight="1">
      <x:c r="A244" s="20" t="str">
        <x:v>C06-M021</x:v>
      </x:c>
      <x:c r="B244" s="20" t="str">
        <x:v>C06</x:v>
      </x:c>
      <x:c r="C244" s="20" t="str">
        <x:v>盖利德</x:v>
      </x:c>
      <x:c r="D244" s="20" t="n">
        <x:v>2</x:v>
      </x:c>
      <x:c r="E244" s="20" t="str">
        <x:v>腐败火狱</x:v>
      </x:c>
      <x:c r="F244" s="20" t="n">
        <x:v>3</x:v>
      </x:c>
      <x:c r="G244" s="20" t="str">
        <x:v>XX359</x:v>
      </x:c>
      <x:c r="H244" s="20" t="str">
        <x:v>熔火深渊</x:v>
      </x:c>
      <x:c r="I244" s="20" t="str">
        <x:v>深渊熔喉兽</x:v>
      </x:c>
      <x:c r="J244" s="20" t="str">
        <x:v>蓝色</x:v>
      </x:c>
      <x:c r="K244" s="20" t="str">
        <x:v>稀有</x:v>
      </x:c>
      <x:c r="L244" s="20" t="str">
        <x:v>深渊异兽</x:v>
      </x:c>
      <x:c r="M244" s="20" t="str">
        <x:v>远程喷焰</x:v>
      </x:c>
      <x:c r="N244" s="20" t="str">
        <x:v>熔喉牙戒</x:v>
      </x:c>
      <x:c r="O244" s="20" t="str">
        <x:v>戒指</x:v>
      </x:c>
      <x:c r="P244" s="20" t="str">
        <x:v>猩红矿渣</x:v>
      </x:c>
      <x:c r="Q244" s="20" t="str">
        <x:v>龙火鳞</x:v>
      </x:c>
      <x:c r="R244" s="20" t="str">
        <x:v>净火腺囊</x:v>
      </x:c>
      <x:c r="S244" s="20" t="str">
        <x:v>熔原罪火残章</x:v>
      </x:c>
      <x:c r="T244" s="20" t="str">
        <x:v>否</x:v>
      </x:c>
      <x:c r="U244" s="20" t="str">
        <x:v>是（公共奖池）</x:v>
      </x:c>
      <x:c r="V244" s="22" t="str">
        <x:v>结构定稿</x:v>
      </x:c>
      <x:c r="W244" s="36" t="str">
        <x:v>用户自行分配／本表不处理</x:v>
      </x:c>
      <x:c r="X244" s="33" t="n">
        <x:v>5889</x:v>
      </x:c>
      <x:c r="Y244" s="29" t="str">
        <x:v>后期统一平衡</x:v>
      </x:c>
      <x:c r="Z244" s="20" t="str">
        <x:v>一怪一专属；专属来源跟随本行准确地图号</x:v>
      </x:c>
    </x:row>
    <x:row r="245" ht="24" customHeight="1">
      <x:c r="A245" s="20" t="str">
        <x:v>C06-M022</x:v>
      </x:c>
      <x:c r="B245" s="20" t="str">
        <x:v>C06</x:v>
      </x:c>
      <x:c r="C245" s="20" t="str">
        <x:v>盖利德</x:v>
      </x:c>
      <x:c r="D245" s="20" t="n">
        <x:v>2</x:v>
      </x:c>
      <x:c r="E245" s="20" t="str">
        <x:v>腐败火狱</x:v>
      </x:c>
      <x:c r="F245" s="20" t="n">
        <x:v>4</x:v>
      </x:c>
      <x:c r="G245" s="20" t="str">
        <x:v>XX360</x:v>
      </x:c>
      <x:c r="H245" s="20" t="str">
        <x:v>赤腐内域</x:v>
      </x:c>
      <x:c r="I245" s="20" t="str">
        <x:v>赤腐祷刑官</x:v>
      </x:c>
      <x:c r="J245" s="20" t="str">
        <x:v>蓝色</x:v>
      </x:c>
      <x:c r="K245" s="20" t="str">
        <x:v>稀有</x:v>
      </x:c>
      <x:c r="L245" s="20" t="str">
        <x:v>腐败祭司</x:v>
      </x:c>
      <x:c r="M245" s="20" t="str">
        <x:v>范围侵蚀</x:v>
      </x:c>
      <x:c r="N245" s="20" t="str">
        <x:v>祷刑罪章</x:v>
      </x:c>
      <x:c r="O245" s="20" t="str">
        <x:v>勋章</x:v>
      </x:c>
      <x:c r="P245" s="20" t="str">
        <x:v>猩红矿渣</x:v>
      </x:c>
      <x:c r="Q245" s="20" t="str">
        <x:v>龙火鳞</x:v>
      </x:c>
      <x:c r="R245" s="20" t="str">
        <x:v>净火腺囊</x:v>
      </x:c>
      <x:c r="S245" s="20" t="str">
        <x:v>熔原罪火残章</x:v>
      </x:c>
      <x:c r="T245" s="20" t="str">
        <x:v>否</x:v>
      </x:c>
      <x:c r="U245" s="20" t="str">
        <x:v>是（公共奖池）</x:v>
      </x:c>
      <x:c r="V245" s="22" t="str">
        <x:v>结构定稿</x:v>
      </x:c>
      <x:c r="W245" s="36" t="str">
        <x:v>用户自行分配／本表不处理</x:v>
      </x:c>
      <x:c r="X245" s="33" t="n">
        <x:v>6929</x:v>
      </x:c>
      <x:c r="Y245" s="29" t="str">
        <x:v>后期统一平衡</x:v>
      </x:c>
      <x:c r="Z245" s="20" t="str">
        <x:v>一怪一专属；专属来源跟随本行准确地图号</x:v>
      </x:c>
    </x:row>
    <x:row r="246" ht="24" customHeight="1">
      <x:c r="A246" s="20" t="str">
        <x:v>C06-M023</x:v>
      </x:c>
      <x:c r="B246" s="20" t="str">
        <x:v>C06</x:v>
      </x:c>
      <x:c r="C246" s="20" t="str">
        <x:v>盖利德</x:v>
      </x:c>
      <x:c r="D246" s="20" t="n">
        <x:v>2</x:v>
      </x:c>
      <x:c r="E246" s="20" t="str">
        <x:v>腐败火狱</x:v>
      </x:c>
      <x:c r="F246" s="20" t="n">
        <x:v>4</x:v>
      </x:c>
      <x:c r="G246" s="20" t="str">
        <x:v>XX360</x:v>
      </x:c>
      <x:c r="H246" s="20" t="str">
        <x:v>赤腐内域</x:v>
      </x:c>
      <x:c r="I246" s="20" t="str">
        <x:v>腐败火侯·伊弗</x:v>
      </x:c>
      <x:c r="J246" s="20" t="str">
        <x:v>粉色</x:v>
      </x:c>
      <x:c r="K246" s="20" t="str">
        <x:v>地图BOSS</x:v>
      </x:c>
      <x:c r="L246" s="20" t="str">
        <x:v>狱火领主</x:v>
      </x:c>
      <x:c r="M246" s="20" t="str">
        <x:v>领域压制</x:v>
      </x:c>
      <x:c r="N246" s="20" t="str">
        <x:v>伊弗腐冠</x:v>
      </x:c>
      <x:c r="O246" s="20" t="str">
        <x:v>头盔</x:v>
      </x:c>
      <x:c r="P246" s="20" t="str">
        <x:v>猩红矿渣</x:v>
      </x:c>
      <x:c r="Q246" s="20" t="str">
        <x:v>龙火鳞＋红狮战印</x:v>
      </x:c>
      <x:c r="R246" s="20" t="str">
        <x:v>龙窟熔牙</x:v>
      </x:c>
      <x:c r="S246" s="20" t="str">
        <x:v>熔原罪火残章</x:v>
      </x:c>
      <x:c r="T246" s="20" t="str">
        <x:v>是（独立奖池）</x:v>
      </x:c>
      <x:c r="U246" s="20" t="str">
        <x:v>是（公共奖池）</x:v>
      </x:c>
      <x:c r="V246" s="22" t="str">
        <x:v>结构定稿</x:v>
      </x:c>
      <x:c r="W246" s="36" t="str">
        <x:v>用户自行分配／本表不处理</x:v>
      </x:c>
      <x:c r="X246" s="33" t="n">
        <x:v>5896</x:v>
      </x:c>
      <x:c r="Y246" s="29" t="str">
        <x:v>后期统一平衡</x:v>
      </x:c>
      <x:c r="Z246" s="20" t="str">
        <x:v>一怪一专属；专属来源跟随本行准确地图号</x:v>
      </x:c>
    </x:row>
    <x:row r="247" ht="24" customHeight="1">
      <x:c r="A247" s="20" t="str">
        <x:v>C06-M024</x:v>
      </x:c>
      <x:c r="B247" s="20" t="str">
        <x:v>C06</x:v>
      </x:c>
      <x:c r="C247" s="20" t="str">
        <x:v>盖利德</x:v>
      </x:c>
      <x:c r="D247" s="20" t="n">
        <x:v>2</x:v>
      </x:c>
      <x:c r="E247" s="20" t="str">
        <x:v>腐败火狱</x:v>
      </x:c>
      <x:c r="F247" s="20" t="n">
        <x:v>5</x:v>
      </x:c>
      <x:c r="G247" s="20" t="str">
        <x:v>XX361</x:v>
      </x:c>
      <x:c r="H247" s="20" t="str">
        <x:v>腐败熔心</x:v>
      </x:c>
      <x:c r="I247" s="20" t="str">
        <x:v>熔心狱主·塞维拉</x:v>
      </x:c>
      <x:c r="J247" s="20" t="str">
        <x:v>粉色</x:v>
      </x:c>
      <x:c r="K247" s="20" t="str">
        <x:v>地图BOSS</x:v>
      </x:c>
      <x:c r="L247" s="20" t="str">
        <x:v>熔心狱主</x:v>
      </x:c>
      <x:c r="M247" s="20" t="str">
        <x:v>持续围困</x:v>
      </x:c>
      <x:c r="N247" s="20" t="str">
        <x:v>塞维拉狱衣</x:v>
      </x:c>
      <x:c r="O247" s="20" t="str">
        <x:v>衣服</x:v>
      </x:c>
      <x:c r="P247" s="20" t="str">
        <x:v>猩红矿渣</x:v>
      </x:c>
      <x:c r="Q247" s="20" t="str">
        <x:v>龙火鳞＋红狮战印</x:v>
      </x:c>
      <x:c r="R247" s="20" t="str">
        <x:v>龙窟熔牙</x:v>
      </x:c>
      <x:c r="S247" s="20" t="str">
        <x:v>熔原罪火残章</x:v>
      </x:c>
      <x:c r="T247" s="20" t="str">
        <x:v>是（独立奖池）</x:v>
      </x:c>
      <x:c r="U247" s="20" t="str">
        <x:v>是（公共奖池）</x:v>
      </x:c>
      <x:c r="V247" s="22" t="str">
        <x:v>结构定稿</x:v>
      </x:c>
      <x:c r="W247" s="36" t="str">
        <x:v>用户自行分配／本表不处理</x:v>
      </x:c>
      <x:c r="X247" s="34" t="str">
        <x:v>缺衣服来源码</x:v>
      </x:c>
      <x:c r="Y247" s="29" t="str">
        <x:v>后期统一平衡</x:v>
      </x:c>
      <x:c r="Z247" s="20" t="str">
        <x:v>一怪一专属；专属来源跟随本行准确地图号</x:v>
      </x:c>
    </x:row>
    <x:row r="248" ht="24" customHeight="1">
      <x:c r="A248" s="20" t="str">
        <x:v>C06-M025</x:v>
      </x:c>
      <x:c r="B248" s="20" t="str">
        <x:v>C06</x:v>
      </x:c>
      <x:c r="C248" s="20" t="str">
        <x:v>盖利德</x:v>
      </x:c>
      <x:c r="D248" s="20" t="n">
        <x:v>3</x:v>
      </x:c>
      <x:c r="E248" s="20" t="str">
        <x:v>红狮龙窟</x:v>
      </x:c>
      <x:c r="F248" s="20" t="n">
        <x:v>1</x:v>
      </x:c>
      <x:c r="G248" s="20" t="str">
        <x:v>XX485</x:v>
      </x:c>
      <x:c r="H248" s="20" t="str">
        <x:v>红狮龙窟</x:v>
      </x:c>
      <x:c r="I248" s="20" t="str">
        <x:v>龙窟烬鳞兽</x:v>
      </x:c>
      <x:c r="J248" s="20" t="str">
        <x:v>黄色</x:v>
      </x:c>
      <x:c r="K248" s="20" t="str">
        <x:v>普通</x:v>
      </x:c>
      <x:c r="L248" s="20" t="str">
        <x:v>龙窟鳞兽</x:v>
      </x:c>
      <x:c r="M248" s="20" t="str">
        <x:v>近战扑击</x:v>
      </x:c>
      <x:c r="N248" s="20" t="str">
        <x:v>烬鳞护腕</x:v>
      </x:c>
      <x:c r="O248" s="20" t="str">
        <x:v>手镯</x:v>
      </x:c>
      <x:c r="P248" s="20" t="str">
        <x:v>猩红矿渣</x:v>
      </x:c>
      <x:c r="Q248" s="20" t="str"/>
      <x:c r="R248" s="20" t="str">
        <x:v>红狮断箭</x:v>
      </x:c>
      <x:c r="S248" s="20" t="str">
        <x:v>熔原罪火残章</x:v>
      </x:c>
      <x:c r="T248" s="20" t="str">
        <x:v>否</x:v>
      </x:c>
      <x:c r="U248" s="20" t="str">
        <x:v>是（公共奖池）</x:v>
      </x:c>
      <x:c r="V248" s="22" t="str">
        <x:v>结构定稿</x:v>
      </x:c>
      <x:c r="W248" s="36" t="str">
        <x:v>用户自行分配／本表不处理</x:v>
      </x:c>
      <x:c r="X248" s="33" t="n">
        <x:v>5888</x:v>
      </x:c>
      <x:c r="Y248" s="29" t="str">
        <x:v>后期统一平衡</x:v>
      </x:c>
      <x:c r="Z248" s="20" t="str">
        <x:v>一怪一专属；专属来源跟随本行准确地图号</x:v>
      </x:c>
    </x:row>
    <x:row r="249" ht="24" customHeight="1">
      <x:c r="A249" s="20" t="str">
        <x:v>C06-M026</x:v>
      </x:c>
      <x:c r="B249" s="20" t="str">
        <x:v>C06</x:v>
      </x:c>
      <x:c r="C249" s="20" t="str">
        <x:v>盖利德</x:v>
      </x:c>
      <x:c r="D249" s="20" t="n">
        <x:v>3</x:v>
      </x:c>
      <x:c r="E249" s="20" t="str">
        <x:v>红狮龙窟</x:v>
      </x:c>
      <x:c r="F249" s="20" t="n">
        <x:v>2</x:v>
      </x:c>
      <x:c r="G249" s="20" t="str">
        <x:v>XX484</x:v>
      </x:c>
      <x:c r="H249" s="20" t="str">
        <x:v>龙火崎路</x:v>
      </x:c>
      <x:c r="I249" s="20" t="str">
        <x:v>崎路红狮兵</x:v>
      </x:c>
      <x:c r="J249" s="20" t="str">
        <x:v>黄色</x:v>
      </x:c>
      <x:c r="K249" s="20" t="str">
        <x:v>普通</x:v>
      </x:c>
      <x:c r="L249" s="20" t="str">
        <x:v>红狮步兵</x:v>
      </x:c>
      <x:c r="M249" s="20" t="str">
        <x:v>阵线推进</x:v>
      </x:c>
      <x:c r="N249" s="20" t="str">
        <x:v>崎路狮盔</x:v>
      </x:c>
      <x:c r="O249" s="20" t="str">
        <x:v>头盔</x:v>
      </x:c>
      <x:c r="P249" s="20" t="str">
        <x:v>猩红矿渣</x:v>
      </x:c>
      <x:c r="Q249" s="20" t="str"/>
      <x:c r="R249" s="20" t="str">
        <x:v>红狮断箭</x:v>
      </x:c>
      <x:c r="S249" s="20" t="str">
        <x:v>熔原罪火残章</x:v>
      </x:c>
      <x:c r="T249" s="20" t="str">
        <x:v>否</x:v>
      </x:c>
      <x:c r="U249" s="20" t="str">
        <x:v>是（公共奖池）</x:v>
      </x:c>
      <x:c r="V249" s="22" t="str">
        <x:v>结构定稿</x:v>
      </x:c>
      <x:c r="W249" s="36" t="str">
        <x:v>用户自行分配／本表不处理</x:v>
      </x:c>
      <x:c r="X249" s="33" t="n">
        <x:v>5905</x:v>
      </x:c>
      <x:c r="Y249" s="29" t="str">
        <x:v>后期统一平衡</x:v>
      </x:c>
      <x:c r="Z249" s="20" t="str">
        <x:v>一怪一专属；专属来源跟随本行准确地图号</x:v>
      </x:c>
    </x:row>
    <x:row r="250" ht="24" customHeight="1">
      <x:c r="A250" s="20" t="str">
        <x:v>C06-M027</x:v>
      </x:c>
      <x:c r="B250" s="20" t="str">
        <x:v>C06</x:v>
      </x:c>
      <x:c r="C250" s="20" t="str">
        <x:v>盖利德</x:v>
      </x:c>
      <x:c r="D250" s="20" t="n">
        <x:v>3</x:v>
      </x:c>
      <x:c r="E250" s="20" t="str">
        <x:v>红狮龙窟</x:v>
      </x:c>
      <x:c r="F250" s="20" t="n">
        <x:v>3</x:v>
      </x:c>
      <x:c r="G250" s="20" t="str">
        <x:v>XX483</x:v>
      </x:c>
      <x:c r="H250" s="20" t="str">
        <x:v>赤焰回廊</x:v>
      </x:c>
      <x:c r="I250" s="20" t="str">
        <x:v>回廊火弩卫</x:v>
      </x:c>
      <x:c r="J250" s="20" t="str">
        <x:v>黄色</x:v>
      </x:c>
      <x:c r="K250" s="20" t="str">
        <x:v>普通</x:v>
      </x:c>
      <x:c r="L250" s="20" t="str">
        <x:v>红狮弩卫</x:v>
      </x:c>
      <x:c r="M250" s="20" t="str">
        <x:v>远程点射</x:v>
      </x:c>
      <x:c r="N250" s="20" t="str">
        <x:v>火弩指环</x:v>
      </x:c>
      <x:c r="O250" s="20" t="str">
        <x:v>戒指</x:v>
      </x:c>
      <x:c r="P250" s="20" t="str">
        <x:v>猩红矿渣</x:v>
      </x:c>
      <x:c r="Q250" s="20" t="str"/>
      <x:c r="R250" s="20" t="str">
        <x:v>红狮断箭</x:v>
      </x:c>
      <x:c r="S250" s="20" t="str">
        <x:v>熔原罪火残章</x:v>
      </x:c>
      <x:c r="T250" s="20" t="str">
        <x:v>否</x:v>
      </x:c>
      <x:c r="U250" s="20" t="str">
        <x:v>是（公共奖池）</x:v>
      </x:c>
      <x:c r="V250" s="22" t="str">
        <x:v>结构定稿</x:v>
      </x:c>
      <x:c r="W250" s="36" t="str">
        <x:v>用户自行分配／本表不处理</x:v>
      </x:c>
      <x:c r="X250" s="33" t="n">
        <x:v>5907</x:v>
      </x:c>
      <x:c r="Y250" s="29" t="str">
        <x:v>后期统一平衡</x:v>
      </x:c>
      <x:c r="Z250" s="20" t="str">
        <x:v>一怪一专属；专属来源跟随本行准确地图号</x:v>
      </x:c>
    </x:row>
    <x:row r="251" ht="24" customHeight="1">
      <x:c r="A251" s="20" t="str">
        <x:v>C06-M028</x:v>
      </x:c>
      <x:c r="B251" s="20" t="str">
        <x:v>C06</x:v>
      </x:c>
      <x:c r="C251" s="20" t="str">
        <x:v>盖利德</x:v>
      </x:c>
      <x:c r="D251" s="20" t="n">
        <x:v>3</x:v>
      </x:c>
      <x:c r="E251" s="20" t="str">
        <x:v>红狮龙窟</x:v>
      </x:c>
      <x:c r="F251" s="20" t="n">
        <x:v>4</x:v>
      </x:c>
      <x:c r="G251" s="20" t="str">
        <x:v>XX482</x:v>
      </x:c>
      <x:c r="H251" s="20" t="str">
        <x:v>龙巢腹地</x:v>
      </x:c>
      <x:c r="I251" s="20" t="str">
        <x:v>龙巢护卵兽</x:v>
      </x:c>
      <x:c r="J251" s="20" t="str">
        <x:v>黄色</x:v>
      </x:c>
      <x:c r="K251" s="20" t="str">
        <x:v>普通</x:v>
      </x:c>
      <x:c r="L251" s="20" t="str">
        <x:v>龙巢守兽</x:v>
      </x:c>
      <x:c r="M251" s="20" t="str">
        <x:v>贴身护卫</x:v>
      </x:c>
      <x:c r="N251" s="20" t="str">
        <x:v>护卵鳞衣</x:v>
      </x:c>
      <x:c r="O251" s="20" t="str">
        <x:v>衣服</x:v>
      </x:c>
      <x:c r="P251" s="20" t="str">
        <x:v>猩红矿渣</x:v>
      </x:c>
      <x:c r="Q251" s="20" t="str"/>
      <x:c r="R251" s="20" t="str">
        <x:v>红狮断箭</x:v>
      </x:c>
      <x:c r="S251" s="20" t="str">
        <x:v>熔原罪火残章</x:v>
      </x:c>
      <x:c r="T251" s="20" t="str">
        <x:v>否</x:v>
      </x:c>
      <x:c r="U251" s="20" t="str">
        <x:v>是（公共奖池）</x:v>
      </x:c>
      <x:c r="V251" s="22" t="str">
        <x:v>结构定稿</x:v>
      </x:c>
      <x:c r="W251" s="36" t="str">
        <x:v>用户自行分配／本表不处理</x:v>
      </x:c>
      <x:c r="X251" s="34" t="str">
        <x:v>缺衣服来源码</x:v>
      </x:c>
      <x:c r="Y251" s="29" t="str">
        <x:v>后期统一平衡</x:v>
      </x:c>
      <x:c r="Z251" s="20" t="str">
        <x:v>一怪一专属；专属来源跟随本行准确地图号</x:v>
      </x:c>
    </x:row>
    <x:row r="252" ht="24" customHeight="1">
      <x:c r="A252" s="20" t="str">
        <x:v>C06-M029</x:v>
      </x:c>
      <x:c r="B252" s="20" t="str">
        <x:v>C06</x:v>
      </x:c>
      <x:c r="C252" s="20" t="str">
        <x:v>盖利德</x:v>
      </x:c>
      <x:c r="D252" s="20" t="n">
        <x:v>3</x:v>
      </x:c>
      <x:c r="E252" s="20" t="str">
        <x:v>红狮龙窟</x:v>
      </x:c>
      <x:c r="F252" s="20" t="n">
        <x:v>5</x:v>
      </x:c>
      <x:c r="G252" s="20" t="str">
        <x:v>XX481</x:v>
      </x:c>
      <x:c r="H252" s="20" t="str">
        <x:v>红狮神殿</x:v>
      </x:c>
      <x:c r="I252" s="20" t="str">
        <x:v>神殿执矛僧</x:v>
      </x:c>
      <x:c r="J252" s="20" t="str">
        <x:v>黄色</x:v>
      </x:c>
      <x:c r="K252" s="20" t="str">
        <x:v>普通</x:v>
      </x:c>
      <x:c r="L252" s="20" t="str">
        <x:v>神殿战僧</x:v>
      </x:c>
      <x:c r="M252" s="20" t="str">
        <x:v>中距突刺</x:v>
      </x:c>
      <x:c r="N252" s="20" t="str">
        <x:v>神殿焰矛</x:v>
      </x:c>
      <x:c r="O252" s="20" t="str">
        <x:v>武器</x:v>
      </x:c>
      <x:c r="P252" s="20" t="str">
        <x:v>猩红矿渣</x:v>
      </x:c>
      <x:c r="Q252" s="20" t="str"/>
      <x:c r="R252" s="20" t="str">
        <x:v>红狮断箭</x:v>
      </x:c>
      <x:c r="S252" s="20" t="str">
        <x:v>熔原罪火残章</x:v>
      </x:c>
      <x:c r="T252" s="20" t="str">
        <x:v>否</x:v>
      </x:c>
      <x:c r="U252" s="20" t="str">
        <x:v>是（公共奖池）</x:v>
      </x:c>
      <x:c r="V252" s="22" t="str">
        <x:v>结构定稿</x:v>
      </x:c>
      <x:c r="W252" s="36" t="str">
        <x:v>用户自行分配／本表不处理</x:v>
      </x:c>
      <x:c r="X252" s="34" t="str">
        <x:v>缺武器来源码</x:v>
      </x:c>
      <x:c r="Y252" s="29" t="str">
        <x:v>后期统一平衡</x:v>
      </x:c>
      <x:c r="Z252" s="20" t="str">
        <x:v>一怪一专属；专属来源跟随本行准确地图号</x:v>
      </x:c>
    </x:row>
    <x:row r="253" ht="24" customHeight="1">
      <x:c r="A253" s="20" t="str">
        <x:v>C06-M030</x:v>
      </x:c>
      <x:c r="B253" s="20" t="str">
        <x:v>C06</x:v>
      </x:c>
      <x:c r="C253" s="20" t="str">
        <x:v>盖利德</x:v>
      </x:c>
      <x:c r="D253" s="20" t="n">
        <x:v>3</x:v>
      </x:c>
      <x:c r="E253" s="20" t="str">
        <x:v>红狮龙窟</x:v>
      </x:c>
      <x:c r="F253" s="20" t="n">
        <x:v>1</x:v>
      </x:c>
      <x:c r="G253" s="20" t="str">
        <x:v>XX485</x:v>
      </x:c>
      <x:c r="H253" s="20" t="str">
        <x:v>红狮龙窟</x:v>
      </x:c>
      <x:c r="I253" s="20" t="str">
        <x:v>赤鬃巡巢者</x:v>
      </x:c>
      <x:c r="J253" s="20" t="str">
        <x:v>黄色</x:v>
      </x:c>
      <x:c r="K253" s="20" t="str">
        <x:v>普通</x:v>
      </x:c>
      <x:c r="L253" s="20" t="str">
        <x:v>龙巢猎手</x:v>
      </x:c>
      <x:c r="M253" s="20" t="str">
        <x:v>机动追击</x:v>
      </x:c>
      <x:c r="N253" s="20" t="str">
        <x:v>赤鬃战靴</x:v>
      </x:c>
      <x:c r="O253" s="20" t="str">
        <x:v>鞋子</x:v>
      </x:c>
      <x:c r="P253" s="20" t="str">
        <x:v>猩红矿渣</x:v>
      </x:c>
      <x:c r="Q253" s="20" t="str"/>
      <x:c r="R253" s="20" t="str">
        <x:v>红狮断箭</x:v>
      </x:c>
      <x:c r="S253" s="20" t="str">
        <x:v>熔原罪火残章</x:v>
      </x:c>
      <x:c r="T253" s="20" t="str">
        <x:v>否</x:v>
      </x:c>
      <x:c r="U253" s="20" t="str">
        <x:v>是（公共奖池）</x:v>
      </x:c>
      <x:c r="V253" s="22" t="str">
        <x:v>结构定稿</x:v>
      </x:c>
      <x:c r="W253" s="36" t="str">
        <x:v>用户自行分配／本表不处理</x:v>
      </x:c>
      <x:c r="X253" s="33" t="n">
        <x:v>5874</x:v>
      </x:c>
      <x:c r="Y253" s="29" t="str">
        <x:v>后期统一平衡</x:v>
      </x:c>
      <x:c r="Z253" s="20" t="str">
        <x:v>一怪一专属；专属来源跟随本行准确地图号</x:v>
      </x:c>
    </x:row>
    <x:row r="254" ht="24" customHeight="1">
      <x:c r="A254" s="20" t="str">
        <x:v>C06-M031</x:v>
      </x:c>
      <x:c r="B254" s="20" t="str">
        <x:v>C06</x:v>
      </x:c>
      <x:c r="C254" s="20" t="str">
        <x:v>盖利德</x:v>
      </x:c>
      <x:c r="D254" s="20" t="n">
        <x:v>3</x:v>
      </x:c>
      <x:c r="E254" s="20" t="str">
        <x:v>红狮龙窟</x:v>
      </x:c>
      <x:c r="F254" s="20" t="n">
        <x:v>1</x:v>
      </x:c>
      <x:c r="G254" s="20" t="str">
        <x:v>XX485</x:v>
      </x:c>
      <x:c r="H254" s="20" t="str">
        <x:v>红狮龙窟</x:v>
      </x:c>
      <x:c r="I254" s="20" t="str">
        <x:v>龙火驯兽师</x:v>
      </x:c>
      <x:c r="J254" s="20" t="str">
        <x:v>蓝色</x:v>
      </x:c>
      <x:c r="K254" s="20" t="str">
        <x:v>稀有</x:v>
      </x:c>
      <x:c r="L254" s="20" t="str">
        <x:v>龙兽驯师</x:v>
      </x:c>
      <x:c r="M254" s="20" t="str">
        <x:v>协同围猎</x:v>
      </x:c>
      <x:c r="N254" s="20" t="str">
        <x:v>驯火锁链</x:v>
      </x:c>
      <x:c r="O254" s="20" t="str">
        <x:v>项链</x:v>
      </x:c>
      <x:c r="P254" s="20" t="str">
        <x:v>猩红矿渣</x:v>
      </x:c>
      <x:c r="Q254" s="20" t="str">
        <x:v>龙火鳞</x:v>
      </x:c>
      <x:c r="R254" s="20" t="str">
        <x:v>净火腺囊</x:v>
      </x:c>
      <x:c r="S254" s="20" t="str">
        <x:v>熔原罪火残章</x:v>
      </x:c>
      <x:c r="T254" s="20" t="str">
        <x:v>否</x:v>
      </x:c>
      <x:c r="U254" s="20" t="str">
        <x:v>是（公共奖池）</x:v>
      </x:c>
      <x:c r="V254" s="22" t="str">
        <x:v>结构定稿</x:v>
      </x:c>
      <x:c r="W254" s="36" t="str">
        <x:v>用户自行分配／本表不处理</x:v>
      </x:c>
      <x:c r="X254" s="33" t="n">
        <x:v>5922</x:v>
      </x:c>
      <x:c r="Y254" s="29" t="str">
        <x:v>后期统一平衡</x:v>
      </x:c>
      <x:c r="Z254" s="20" t="str">
        <x:v>一怪一专属；专属来源跟随本行准确地图号</x:v>
      </x:c>
    </x:row>
    <x:row r="255" ht="24" customHeight="1">
      <x:c r="A255" s="20" t="str">
        <x:v>C06-M032</x:v>
      </x:c>
      <x:c r="B255" s="20" t="str">
        <x:v>C06</x:v>
      </x:c>
      <x:c r="C255" s="20" t="str">
        <x:v>盖利德</x:v>
      </x:c>
      <x:c r="D255" s="20" t="n">
        <x:v>3</x:v>
      </x:c>
      <x:c r="E255" s="20" t="str">
        <x:v>红狮龙窟</x:v>
      </x:c>
      <x:c r="F255" s="20" t="n">
        <x:v>2</x:v>
      </x:c>
      <x:c r="G255" s="20" t="str">
        <x:v>XX484</x:v>
      </x:c>
      <x:c r="H255" s="20" t="str">
        <x:v>龙火崎路</x:v>
      </x:c>
      <x:c r="I255" s="20" t="str">
        <x:v>红狮斩翼骑</x:v>
      </x:c>
      <x:c r="J255" s="20" t="str">
        <x:v>蓝色</x:v>
      </x:c>
      <x:c r="K255" s="20" t="str">
        <x:v>稀有</x:v>
      </x:c>
      <x:c r="L255" s="20" t="str">
        <x:v>红狮骑士</x:v>
      </x:c>
      <x:c r="M255" s="20" t="str">
        <x:v>高速切入</x:v>
      </x:c>
      <x:c r="N255" s="20" t="str">
        <x:v>斩翼腰封</x:v>
      </x:c>
      <x:c r="O255" s="20" t="str">
        <x:v>腰带</x:v>
      </x:c>
      <x:c r="P255" s="20" t="str">
        <x:v>猩红矿渣</x:v>
      </x:c>
      <x:c r="Q255" s="20" t="str">
        <x:v>龙火鳞</x:v>
      </x:c>
      <x:c r="R255" s="20" t="str">
        <x:v>净火腺囊</x:v>
      </x:c>
      <x:c r="S255" s="20" t="str">
        <x:v>熔原罪火残章</x:v>
      </x:c>
      <x:c r="T255" s="20" t="str">
        <x:v>否</x:v>
      </x:c>
      <x:c r="U255" s="20" t="str">
        <x:v>是（公共奖池）</x:v>
      </x:c>
      <x:c r="V255" s="22" t="str">
        <x:v>结构定稿</x:v>
      </x:c>
      <x:c r="W255" s="36" t="str">
        <x:v>用户自行分配／本表不处理</x:v>
      </x:c>
      <x:c r="X255" s="33" t="n">
        <x:v>7073</x:v>
      </x:c>
      <x:c r="Y255" s="29" t="str">
        <x:v>后期统一平衡</x:v>
      </x:c>
      <x:c r="Z255" s="20" t="str">
        <x:v>一怪一专属；专属来源跟随本行准确地图号</x:v>
      </x:c>
    </x:row>
    <x:row r="256" ht="24" customHeight="1">
      <x:c r="A256" s="20" t="str">
        <x:v>C06-M033</x:v>
      </x:c>
      <x:c r="B256" s="20" t="str">
        <x:v>C06</x:v>
      </x:c>
      <x:c r="C256" s="20" t="str">
        <x:v>盖利德</x:v>
      </x:c>
      <x:c r="D256" s="20" t="n">
        <x:v>3</x:v>
      </x:c>
      <x:c r="E256" s="20" t="str">
        <x:v>红狮龙窟</x:v>
      </x:c>
      <x:c r="F256" s="20" t="n">
        <x:v>3</x:v>
      </x:c>
      <x:c r="G256" s="20" t="str">
        <x:v>XX483</x:v>
      </x:c>
      <x:c r="H256" s="20" t="str">
        <x:v>赤焰回廊</x:v>
      </x:c>
      <x:c r="I256" s="20" t="str">
        <x:v>赤焰鳞甲将</x:v>
      </x:c>
      <x:c r="J256" s="20" t="str">
        <x:v>蓝色</x:v>
      </x:c>
      <x:c r="K256" s="20" t="str">
        <x:v>稀有</x:v>
      </x:c>
      <x:c r="L256" s="20" t="str">
        <x:v>龙甲将领</x:v>
      </x:c>
      <x:c r="M256" s="20" t="str">
        <x:v>重盾推进</x:v>
      </x:c>
      <x:c r="N256" s="20" t="str">
        <x:v>赤焰塔盾</x:v>
      </x:c>
      <x:c r="O256" s="20" t="str">
        <x:v>盾牌</x:v>
      </x:c>
      <x:c r="P256" s="20" t="str">
        <x:v>猩红矿渣</x:v>
      </x:c>
      <x:c r="Q256" s="20" t="str">
        <x:v>龙火鳞</x:v>
      </x:c>
      <x:c r="R256" s="20" t="str">
        <x:v>净火腺囊</x:v>
      </x:c>
      <x:c r="S256" s="20" t="str">
        <x:v>熔原罪火残章</x:v>
      </x:c>
      <x:c r="T256" s="20" t="str">
        <x:v>否</x:v>
      </x:c>
      <x:c r="U256" s="20" t="str">
        <x:v>是（公共奖池）</x:v>
      </x:c>
      <x:c r="V256" s="22" t="str">
        <x:v>结构定稿</x:v>
      </x:c>
      <x:c r="W256" s="36" t="str">
        <x:v>用户自行分配／本表不处理</x:v>
      </x:c>
      <x:c r="X256" s="33" t="n">
        <x:v>5872</x:v>
      </x:c>
      <x:c r="Y256" s="29" t="str">
        <x:v>后期统一平衡</x:v>
      </x:c>
      <x:c r="Z256" s="20" t="str">
        <x:v>一怪一专属；专属来源跟随本行准确地图号</x:v>
      </x:c>
    </x:row>
    <x:row r="257" ht="24" customHeight="1">
      <x:c r="A257" s="20" t="str">
        <x:v>C06-M034</x:v>
      </x:c>
      <x:c r="B257" s="20" t="str">
        <x:v>C06</x:v>
      </x:c>
      <x:c r="C257" s="20" t="str">
        <x:v>盖利德</x:v>
      </x:c>
      <x:c r="D257" s="20" t="n">
        <x:v>3</x:v>
      </x:c>
      <x:c r="E257" s="20" t="str">
        <x:v>红狮龙窟</x:v>
      </x:c>
      <x:c r="F257" s="20" t="n">
        <x:v>4</x:v>
      </x:c>
      <x:c r="G257" s="20" t="str">
        <x:v>XX482</x:v>
      </x:c>
      <x:c r="H257" s="20" t="str">
        <x:v>龙巢腹地</x:v>
      </x:c>
      <x:c r="I257" s="20" t="str">
        <x:v>龙巢血祭司</x:v>
      </x:c>
      <x:c r="J257" s="20" t="str">
        <x:v>蓝色</x:v>
      </x:c>
      <x:c r="K257" s="20" t="str">
        <x:v>稀有</x:v>
      </x:c>
      <x:c r="L257" s="20" t="str">
        <x:v>龙血祭司</x:v>
      </x:c>
      <x:c r="M257" s="20" t="str">
        <x:v>远程支援</x:v>
      </x:c>
      <x:c r="N257" s="20" t="str">
        <x:v>血祭徽章</x:v>
      </x:c>
      <x:c r="O257" s="20" t="str">
        <x:v>勋章</x:v>
      </x:c>
      <x:c r="P257" s="20" t="str">
        <x:v>猩红矿渣</x:v>
      </x:c>
      <x:c r="Q257" s="20" t="str">
        <x:v>龙火鳞</x:v>
      </x:c>
      <x:c r="R257" s="20" t="str">
        <x:v>净火腺囊</x:v>
      </x:c>
      <x:c r="S257" s="20" t="str">
        <x:v>熔原罪火残章</x:v>
      </x:c>
      <x:c r="T257" s="20" t="str">
        <x:v>否</x:v>
      </x:c>
      <x:c r="U257" s="20" t="str">
        <x:v>是（公共奖池）</x:v>
      </x:c>
      <x:c r="V257" s="22" t="str">
        <x:v>结构定稿</x:v>
      </x:c>
      <x:c r="W257" s="36" t="str">
        <x:v>用户自行分配／本表不处理</x:v>
      </x:c>
      <x:c r="X257" s="33" t="n">
        <x:v>6964</x:v>
      </x:c>
      <x:c r="Y257" s="29" t="str">
        <x:v>后期统一平衡</x:v>
      </x:c>
      <x:c r="Z257" s="20" t="str">
        <x:v>一怪一专属；专属来源跟随本行准确地图号</x:v>
      </x:c>
    </x:row>
    <x:row r="258" ht="24" customHeight="1">
      <x:c r="A258" s="20" t="str">
        <x:v>C06-M035</x:v>
      </x:c>
      <x:c r="B258" s="20" t="str">
        <x:v>C06</x:v>
      </x:c>
      <x:c r="C258" s="20" t="str">
        <x:v>盖利德</x:v>
      </x:c>
      <x:c r="D258" s="20" t="n">
        <x:v>3</x:v>
      </x:c>
      <x:c r="E258" s="20" t="str">
        <x:v>红狮龙窟</x:v>
      </x:c>
      <x:c r="F258" s="20" t="n">
        <x:v>4</x:v>
      </x:c>
      <x:c r="G258" s="20" t="str">
        <x:v>XX482</x:v>
      </x:c>
      <x:c r="H258" s="20" t="str">
        <x:v>龙巢腹地</x:v>
      </x:c>
      <x:c r="I258" s="20" t="str">
        <x:v>焚翼古龙·阿格纳</x:v>
      </x:c>
      <x:c r="J258" s="20" t="str">
        <x:v>粉色</x:v>
      </x:c>
      <x:c r="K258" s="20" t="str">
        <x:v>地图BOSS</x:v>
      </x:c>
      <x:c r="L258" s="20" t="str">
        <x:v>焚翼古龙</x:v>
      </x:c>
      <x:c r="M258" s="20" t="str">
        <x:v>空地压制</x:v>
      </x:c>
      <x:c r="N258" s="20" t="str">
        <x:v>阿格纳龙牙</x:v>
      </x:c>
      <x:c r="O258" s="20" t="str">
        <x:v>武器</x:v>
      </x:c>
      <x:c r="P258" s="20" t="str">
        <x:v>猩红矿渣</x:v>
      </x:c>
      <x:c r="Q258" s="20" t="str">
        <x:v>龙火鳞＋红狮战印</x:v>
      </x:c>
      <x:c r="R258" s="20" t="str">
        <x:v>龙窟熔牙</x:v>
      </x:c>
      <x:c r="S258" s="20" t="str">
        <x:v>熔原罪火残章</x:v>
      </x:c>
      <x:c r="T258" s="20" t="str">
        <x:v>是（独立奖池）</x:v>
      </x:c>
      <x:c r="U258" s="20" t="str">
        <x:v>是（公共奖池）</x:v>
      </x:c>
      <x:c r="V258" s="22" t="str">
        <x:v>结构定稿</x:v>
      </x:c>
      <x:c r="W258" s="36" t="str">
        <x:v>用户自行分配／本表不处理</x:v>
      </x:c>
      <x:c r="X258" s="34" t="str">
        <x:v>缺武器来源码</x:v>
      </x:c>
      <x:c r="Y258" s="29" t="str">
        <x:v>后期统一平衡</x:v>
      </x:c>
      <x:c r="Z258" s="20" t="str">
        <x:v>一怪一专属；专属来源跟随本行准确地图号</x:v>
      </x:c>
    </x:row>
    <x:row r="259" ht="24" customHeight="1">
      <x:c r="A259" s="20" t="str">
        <x:v>C06-M036</x:v>
      </x:c>
      <x:c r="B259" s="20" t="str">
        <x:v>C06</x:v>
      </x:c>
      <x:c r="C259" s="20" t="str">
        <x:v>盖利德</x:v>
      </x:c>
      <x:c r="D259" s="20" t="n">
        <x:v>3</x:v>
      </x:c>
      <x:c r="E259" s="20" t="str">
        <x:v>红狮龙窟</x:v>
      </x:c>
      <x:c r="F259" s="20" t="n">
        <x:v>5</x:v>
      </x:c>
      <x:c r="G259" s="20" t="str">
        <x:v>XX481</x:v>
      </x:c>
      <x:c r="H259" s="20" t="str">
        <x:v>红狮神殿</x:v>
      </x:c>
      <x:c r="I259" s="20" t="str">
        <x:v>红狮圣兽·雷奥尼斯</x:v>
      </x:c>
      <x:c r="J259" s="20" t="str">
        <x:v>粉色</x:v>
      </x:c>
      <x:c r="K259" s="20" t="str">
        <x:v>地图BOSS</x:v>
      </x:c>
      <x:c r="L259" s="20" t="str">
        <x:v>红狮圣兽</x:v>
      </x:c>
      <x:c r="M259" s="20" t="str">
        <x:v>迅猛扑杀</x:v>
      </x:c>
      <x:c r="N259" s="20" t="str">
        <x:v>雷奥尼斯狮铠</x:v>
      </x:c>
      <x:c r="O259" s="20" t="str">
        <x:v>衣服</x:v>
      </x:c>
      <x:c r="P259" s="20" t="str">
        <x:v>猩红矿渣</x:v>
      </x:c>
      <x:c r="Q259" s="20" t="str">
        <x:v>龙火鳞＋红狮战印</x:v>
      </x:c>
      <x:c r="R259" s="20" t="str">
        <x:v>龙窟熔牙</x:v>
      </x:c>
      <x:c r="S259" s="20" t="str">
        <x:v>熔原罪火残章</x:v>
      </x:c>
      <x:c r="T259" s="20" t="str">
        <x:v>是（独立奖池）</x:v>
      </x:c>
      <x:c r="U259" s="20" t="str">
        <x:v>是（公共奖池）</x:v>
      </x:c>
      <x:c r="V259" s="22" t="str">
        <x:v>结构定稿</x:v>
      </x:c>
      <x:c r="W259" s="36" t="str">
        <x:v>用户自行分配／本表不处理</x:v>
      </x:c>
      <x:c r="X259" s="34" t="str">
        <x:v>缺衣服来源码</x:v>
      </x:c>
      <x:c r="Y259" s="29" t="str">
        <x:v>后期统一平衡</x:v>
      </x:c>
      <x:c r="Z259" s="20" t="str">
        <x:v>一怪一专属；专属来源跟随本行准确地图号</x:v>
      </x:c>
    </x:row>
    <x:row r="260" ht="24" customHeight="1">
      <x:c r="A260" s="20" t="str">
        <x:v>C06-M037</x:v>
      </x:c>
      <x:c r="B260" s="20" t="str">
        <x:v>C06</x:v>
      </x:c>
      <x:c r="C260" s="20" t="str">
        <x:v>盖利德</x:v>
      </x:c>
      <x:c r="D260" s="20" t="n">
        <x:v>3</x:v>
      </x:c>
      <x:c r="E260" s="20" t="str">
        <x:v>红狮龙窟</x:v>
      </x:c>
      <x:c r="F260" s="20" t="n">
        <x:v>5</x:v>
      </x:c>
      <x:c r="G260" s="20" t="str">
        <x:v>XX481</x:v>
      </x:c>
      <x:c r="H260" s="20" t="str">
        <x:v>红狮神殿</x:v>
      </x:c>
      <x:c r="I260" s="20" t="str">
        <x:v>碎星狮王·拉塔恩</x:v>
      </x:c>
      <x:c r="J260" s="20" t="str">
        <x:v>红色</x:v>
      </x:c>
      <x:c r="K260" s="20" t="str">
        <x:v>守关BOSS</x:v>
      </x:c>
      <x:c r="L260" s="20" t="str">
        <x:v>碎星半神</x:v>
      </x:c>
      <x:c r="M260" s="20" t="str">
        <x:v>终局压制</x:v>
      </x:c>
      <x:c r="N260" s="20" t="str">
        <x:v>拉塔恩碎星巨刃</x:v>
      </x:c>
      <x:c r="O260" s="20" t="str">
        <x:v>武器</x:v>
      </x:c>
      <x:c r="P260" s="20" t="str">
        <x:v>猩红矿渣</x:v>
      </x:c>
      <x:c r="Q260" s="20" t="str">
        <x:v>龙火鳞＋红狮战印</x:v>
      </x:c>
      <x:c r="R260" s="20" t="str">
        <x:v>碎星仪仗钉</x:v>
      </x:c>
      <x:c r="S260" s="20" t="str">
        <x:v>熔原罪火残章</x:v>
      </x:c>
      <x:c r="T260" s="20" t="str">
        <x:v>是（独立奖池）</x:v>
      </x:c>
      <x:c r="U260" s="20" t="str">
        <x:v>是（公共奖池）</x:v>
      </x:c>
      <x:c r="V260" s="22" t="str">
        <x:v>结构定稿</x:v>
      </x:c>
      <x:c r="W260" s="36" t="str">
        <x:v>用户自行分配／本表不处理</x:v>
      </x:c>
      <x:c r="X260" s="33" t="n">
        <x:v>6956</x:v>
      </x:c>
      <x:c r="Y260" s="29" t="str">
        <x:v>后期统一平衡</x:v>
      </x:c>
      <x:c r="Z260" s="20" t="str">
        <x:v>大陆最终守关；本表不填属性、爆率和货币</x:v>
      </x:c>
    </x:row>
    <x:row r="261" ht="24" customHeight="1">
      <x:c r="A261" s="20" t="str">
        <x:v>C07-M001</x:v>
      </x:c>
      <x:c r="B261" s="20" t="str">
        <x:v>C07</x:v>
      </x:c>
      <x:c r="C261" s="20" t="str">
        <x:v>化圣雪原</x:v>
      </x:c>
      <x:c r="D261" s="20" t="n">
        <x:v>1</x:v>
      </x:c>
      <x:c r="E261" s="20" t="str">
        <x:v>苍白雪原</x:v>
      </x:c>
      <x:c r="F261" s="20" t="n">
        <x:v>1</x:v>
      </x:c>
      <x:c r="G261" s="20" t="str">
        <x:v>XX149</x:v>
      </x:c>
      <x:c r="H261" s="20" t="str">
        <x:v>苍白雪原</x:v>
      </x:c>
      <x:c r="I261" s="20" t="str">
        <x:v>雪原冻角鹿</x:v>
      </x:c>
      <x:c r="J261" s="20" t="str">
        <x:v>黄色</x:v>
      </x:c>
      <x:c r="K261" s="20" t="str">
        <x:v>普通</x:v>
      </x:c>
      <x:c r="L261" s="20" t="str">
        <x:v>冻原角兽</x:v>
      </x:c>
      <x:c r="M261" s="20" t="str">
        <x:v>近战冲撞</x:v>
      </x:c>
      <x:c r="N261" s="20" t="str">
        <x:v>冻角护腕</x:v>
      </x:c>
      <x:c r="O261" s="20" t="str">
        <x:v>手镯</x:v>
      </x:c>
      <x:c r="P261" s="20" t="str">
        <x:v>冻晶尘</x:v>
      </x:c>
      <x:c r="Q261" s="20" t="str"/>
      <x:c r="R261" s="20" t="str">
        <x:v>白金路标片</x:v>
      </x:c>
      <x:c r="S261" s="20" t="str">
        <x:v>永霜朝圣痕</x:v>
      </x:c>
      <x:c r="T261" s="20" t="str">
        <x:v>否</x:v>
      </x:c>
      <x:c r="U261" s="20" t="str">
        <x:v>是（公共奖池）</x:v>
      </x:c>
      <x:c r="V261" s="22" t="str">
        <x:v>结构定稿</x:v>
      </x:c>
      <x:c r="W261" s="36" t="str">
        <x:v>用户自行分配／本表不处理</x:v>
      </x:c>
      <x:c r="X261" s="33" t="n">
        <x:v>5897</x:v>
      </x:c>
      <x:c r="Y261" s="29" t="str">
        <x:v>后期统一平衡</x:v>
      </x:c>
      <x:c r="Z261" s="20" t="str">
        <x:v>一怪一专属；专属来源跟随本行准确地图号</x:v>
      </x:c>
    </x:row>
    <x:row r="262" ht="24" customHeight="1">
      <x:c r="A262" s="20" t="str">
        <x:v>C07-M002</x:v>
      </x:c>
      <x:c r="B262" s="20" t="str">
        <x:v>C07</x:v>
      </x:c>
      <x:c r="C262" s="20" t="str">
        <x:v>化圣雪原</x:v>
      </x:c>
      <x:c r="D262" s="20" t="n">
        <x:v>1</x:v>
      </x:c>
      <x:c r="E262" s="20" t="str">
        <x:v>苍白雪原</x:v>
      </x:c>
      <x:c r="F262" s="20" t="n">
        <x:v>2</x:v>
      </x:c>
      <x:c r="G262" s="20" t="str">
        <x:v>XX148</x:v>
      </x:c>
      <x:c r="H262" s="20" t="str">
        <x:v>霜风荒境</x:v>
      </x:c>
      <x:c r="I262" s="20" t="str">
        <x:v>霜风放逐兵</x:v>
      </x:c>
      <x:c r="J262" s="20" t="str">
        <x:v>黄色</x:v>
      </x:c>
      <x:c r="K262" s="20" t="str">
        <x:v>普通</x:v>
      </x:c>
      <x:c r="L262" s="20" t="str">
        <x:v>雪原流兵</x:v>
      </x:c>
      <x:c r="M262" s="20" t="str">
        <x:v>近战游击</x:v>
      </x:c>
      <x:c r="N262" s="20" t="str">
        <x:v>放逐雪刃</x:v>
      </x:c>
      <x:c r="O262" s="20" t="str">
        <x:v>武器</x:v>
      </x:c>
      <x:c r="P262" s="20" t="str">
        <x:v>冻晶尘</x:v>
      </x:c>
      <x:c r="Q262" s="20" t="str"/>
      <x:c r="R262" s="20" t="str">
        <x:v>白金路标片</x:v>
      </x:c>
      <x:c r="S262" s="20" t="str">
        <x:v>永霜朝圣痕</x:v>
      </x:c>
      <x:c r="T262" s="20" t="str">
        <x:v>否</x:v>
      </x:c>
      <x:c r="U262" s="20" t="str">
        <x:v>是（公共奖池）</x:v>
      </x:c>
      <x:c r="V262" s="22" t="str">
        <x:v>结构定稿</x:v>
      </x:c>
      <x:c r="W262" s="36" t="str">
        <x:v>用户自行分配／本表不处理</x:v>
      </x:c>
      <x:c r="X262" s="34" t="str">
        <x:v>缺武器来源码</x:v>
      </x:c>
      <x:c r="Y262" s="29" t="str">
        <x:v>后期统一平衡</x:v>
      </x:c>
      <x:c r="Z262" s="20" t="str">
        <x:v>一怪一专属；专属来源跟随本行准确地图号</x:v>
      </x:c>
    </x:row>
    <x:row r="263" ht="24" customHeight="1">
      <x:c r="A263" s="20" t="str">
        <x:v>C07-M003</x:v>
      </x:c>
      <x:c r="B263" s="20" t="str">
        <x:v>C07</x:v>
      </x:c>
      <x:c r="C263" s="20" t="str">
        <x:v>化圣雪原</x:v>
      </x:c>
      <x:c r="D263" s="20" t="n">
        <x:v>1</x:v>
      </x:c>
      <x:c r="E263" s="20" t="str">
        <x:v>苍白雪原</x:v>
      </x:c>
      <x:c r="F263" s="20" t="n">
        <x:v>3</x:v>
      </x:c>
      <x:c r="G263" s="20" t="str">
        <x:v>XX147</x:v>
      </x:c>
      <x:c r="H263" s="20" t="str">
        <x:v>冻土深原</x:v>
      </x:c>
      <x:c r="I263" s="20" t="str">
        <x:v>冻土掘冰徒</x:v>
      </x:c>
      <x:c r="J263" s="20" t="str">
        <x:v>黄色</x:v>
      </x:c>
      <x:c r="K263" s="20" t="str">
        <x:v>普通</x:v>
      </x:c>
      <x:c r="L263" s="20" t="str">
        <x:v>冻土苦役</x:v>
      </x:c>
      <x:c r="M263" s="20" t="str">
        <x:v>近战牵制</x:v>
      </x:c>
      <x:c r="N263" s="20" t="str">
        <x:v>掘冰腰带</x:v>
      </x:c>
      <x:c r="O263" s="20" t="str">
        <x:v>腰带</x:v>
      </x:c>
      <x:c r="P263" s="20" t="str">
        <x:v>冻晶尘</x:v>
      </x:c>
      <x:c r="Q263" s="20" t="str"/>
      <x:c r="R263" s="20" t="str">
        <x:v>白金路标片</x:v>
      </x:c>
      <x:c r="S263" s="20" t="str">
        <x:v>永霜朝圣痕</x:v>
      </x:c>
      <x:c r="T263" s="20" t="str">
        <x:v>否</x:v>
      </x:c>
      <x:c r="U263" s="20" t="str">
        <x:v>是（公共奖池）</x:v>
      </x:c>
      <x:c r="V263" s="22" t="str">
        <x:v>结构定稿</x:v>
      </x:c>
      <x:c r="W263" s="36" t="str">
        <x:v>用户自行分配／本表不处理</x:v>
      </x:c>
      <x:c r="X263" s="33" t="n">
        <x:v>5875</x:v>
      </x:c>
      <x:c r="Y263" s="29" t="str">
        <x:v>后期统一平衡</x:v>
      </x:c>
      <x:c r="Z263" s="20" t="str">
        <x:v>一怪一专属；专属来源跟随本行准确地图号</x:v>
      </x:c>
    </x:row>
    <x:row r="264" ht="24" customHeight="1">
      <x:c r="A264" s="20" t="str">
        <x:v>C07-M004</x:v>
      </x:c>
      <x:c r="B264" s="20" t="str">
        <x:v>C07</x:v>
      </x:c>
      <x:c r="C264" s="20" t="str">
        <x:v>化圣雪原</x:v>
      </x:c>
      <x:c r="D264" s="20" t="n">
        <x:v>1</x:v>
      </x:c>
      <x:c r="E264" s="20" t="str">
        <x:v>苍白雪原</x:v>
      </x:c>
      <x:c r="F264" s="20" t="n">
        <x:v>4</x:v>
      </x:c>
      <x:c r="G264" s="20" t="str">
        <x:v>XX150</x:v>
      </x:c>
      <x:c r="H264" s="20" t="str">
        <x:v>苍白祭场</x:v>
      </x:c>
      <x:c r="I264" s="20" t="str">
        <x:v>祭场白烛侍</x:v>
      </x:c>
      <x:c r="J264" s="20" t="str">
        <x:v>黄色</x:v>
      </x:c>
      <x:c r="K264" s="20" t="str">
        <x:v>普通</x:v>
      </x:c>
      <x:c r="L264" s="20" t="str">
        <x:v>苍白侍从</x:v>
      </x:c>
      <x:c r="M264" s="20" t="str">
        <x:v>中距骚扰</x:v>
      </x:c>
      <x:c r="N264" s="20" t="str">
        <x:v>白烛礼冠</x:v>
      </x:c>
      <x:c r="O264" s="20" t="str">
        <x:v>头盔</x:v>
      </x:c>
      <x:c r="P264" s="20" t="str">
        <x:v>冻晶尘</x:v>
      </x:c>
      <x:c r="Q264" s="20" t="str"/>
      <x:c r="R264" s="20" t="str">
        <x:v>白金路标片</x:v>
      </x:c>
      <x:c r="S264" s="20" t="str">
        <x:v>永霜朝圣痕</x:v>
      </x:c>
      <x:c r="T264" s="20" t="str">
        <x:v>否</x:v>
      </x:c>
      <x:c r="U264" s="20" t="str">
        <x:v>是（公共奖池）</x:v>
      </x:c>
      <x:c r="V264" s="22" t="str">
        <x:v>结构定稿</x:v>
      </x:c>
      <x:c r="W264" s="36" t="str">
        <x:v>用户自行分配／本表不处理</x:v>
      </x:c>
      <x:c r="X264" s="33" t="n">
        <x:v>5914</x:v>
      </x:c>
      <x:c r="Y264" s="29" t="str">
        <x:v>后期统一平衡</x:v>
      </x:c>
      <x:c r="Z264" s="20" t="str">
        <x:v>一怪一专属；专属来源跟随本行准确地图号</x:v>
      </x:c>
    </x:row>
    <x:row r="265" ht="24" customHeight="1">
      <x:c r="A265" s="20" t="str">
        <x:v>C07-M005</x:v>
      </x:c>
      <x:c r="B265" s="20" t="str">
        <x:v>C07</x:v>
      </x:c>
      <x:c r="C265" s="20" t="str">
        <x:v>化圣雪原</x:v>
      </x:c>
      <x:c r="D265" s="20" t="n">
        <x:v>1</x:v>
      </x:c>
      <x:c r="E265" s="20" t="str">
        <x:v>苍白雪原</x:v>
      </x:c>
      <x:c r="F265" s="20" t="n">
        <x:v>1</x:v>
      </x:c>
      <x:c r="G265" s="20" t="str">
        <x:v>XX149</x:v>
      </x:c>
      <x:c r="H265" s="20" t="str">
        <x:v>苍白雪原</x:v>
      </x:c>
      <x:c r="I265" s="20" t="str">
        <x:v>苍鬃雪狼</x:v>
      </x:c>
      <x:c r="J265" s="20" t="str">
        <x:v>黄色</x:v>
      </x:c>
      <x:c r="K265" s="20" t="str">
        <x:v>普通</x:v>
      </x:c>
      <x:c r="L265" s="20" t="str">
        <x:v>雪原猎兽</x:v>
      </x:c>
      <x:c r="M265" s="20" t="str">
        <x:v>高速扑击</x:v>
      </x:c>
      <x:c r="N265" s="20" t="str">
        <x:v>苍鬃牙戒</x:v>
      </x:c>
      <x:c r="O265" s="20" t="str">
        <x:v>戒指</x:v>
      </x:c>
      <x:c r="P265" s="20" t="str">
        <x:v>冻晶尘</x:v>
      </x:c>
      <x:c r="Q265" s="20" t="str"/>
      <x:c r="R265" s="20" t="str">
        <x:v>白金路标片</x:v>
      </x:c>
      <x:c r="S265" s="20" t="str">
        <x:v>永霜朝圣痕</x:v>
      </x:c>
      <x:c r="T265" s="20" t="str">
        <x:v>否</x:v>
      </x:c>
      <x:c r="U265" s="20" t="str">
        <x:v>是（公共奖池）</x:v>
      </x:c>
      <x:c r="V265" s="22" t="str">
        <x:v>结构定稿</x:v>
      </x:c>
      <x:c r="W265" s="36" t="str">
        <x:v>用户自行分配／本表不处理</x:v>
      </x:c>
      <x:c r="X265" s="33" t="n">
        <x:v>5916</x:v>
      </x:c>
      <x:c r="Y265" s="29" t="str">
        <x:v>后期统一平衡</x:v>
      </x:c>
      <x:c r="Z265" s="20" t="str">
        <x:v>一怪一专属；专属来源跟随本行准确地图号</x:v>
      </x:c>
    </x:row>
    <x:row r="266" ht="24" customHeight="1">
      <x:c r="A266" s="20" t="str">
        <x:v>C07-M006</x:v>
      </x:c>
      <x:c r="B266" s="20" t="str">
        <x:v>C07</x:v>
      </x:c>
      <x:c r="C266" s="20" t="str">
        <x:v>化圣雪原</x:v>
      </x:c>
      <x:c r="D266" s="20" t="n">
        <x:v>1</x:v>
      </x:c>
      <x:c r="E266" s="20" t="str">
        <x:v>苍白雪原</x:v>
      </x:c>
      <x:c r="F266" s="20" t="n">
        <x:v>2</x:v>
      </x:c>
      <x:c r="G266" s="20" t="str">
        <x:v>XX148</x:v>
      </x:c>
      <x:c r="H266" s="20" t="str">
        <x:v>霜风荒境</x:v>
      </x:c>
      <x:c r="I266" s="20" t="str">
        <x:v>寒羽巡猎鹰</x:v>
      </x:c>
      <x:c r="J266" s="20" t="str">
        <x:v>黄色</x:v>
      </x:c>
      <x:c r="K266" s="20" t="str">
        <x:v>普通</x:v>
      </x:c>
      <x:c r="L266" s="20" t="str">
        <x:v>寒羽猛禽</x:v>
      </x:c>
      <x:c r="M266" s="20" t="str">
        <x:v>俯冲游击</x:v>
      </x:c>
      <x:c r="N266" s="20" t="str">
        <x:v>寒羽猎链</x:v>
      </x:c>
      <x:c r="O266" s="20" t="str">
        <x:v>项链</x:v>
      </x:c>
      <x:c r="P266" s="20" t="str">
        <x:v>冻晶尘</x:v>
      </x:c>
      <x:c r="Q266" s="20" t="str"/>
      <x:c r="R266" s="20" t="str">
        <x:v>白金路标片</x:v>
      </x:c>
      <x:c r="S266" s="20" t="str">
        <x:v>永霜朝圣痕</x:v>
      </x:c>
      <x:c r="T266" s="20" t="str">
        <x:v>否</x:v>
      </x:c>
      <x:c r="U266" s="20" t="str">
        <x:v>是（公共奖池）</x:v>
      </x:c>
      <x:c r="V266" s="22" t="str">
        <x:v>结构定稿</x:v>
      </x:c>
      <x:c r="W266" s="36" t="str">
        <x:v>用户自行分配／本表不处理</x:v>
      </x:c>
      <x:c r="X266" s="33" t="n">
        <x:v>5931</x:v>
      </x:c>
      <x:c r="Y266" s="29" t="str">
        <x:v>后期统一平衡</x:v>
      </x:c>
      <x:c r="Z266" s="20" t="str">
        <x:v>一怪一专属；专属来源跟随本行准确地图号</x:v>
      </x:c>
    </x:row>
    <x:row r="267" ht="24" customHeight="1">
      <x:c r="A267" s="20" t="str">
        <x:v>C07-M007</x:v>
      </x:c>
      <x:c r="B267" s="20" t="str">
        <x:v>C07</x:v>
      </x:c>
      <x:c r="C267" s="20" t="str">
        <x:v>化圣雪原</x:v>
      </x:c>
      <x:c r="D267" s="20" t="n">
        <x:v>1</x:v>
      </x:c>
      <x:c r="E267" s="20" t="str">
        <x:v>苍白雪原</x:v>
      </x:c>
      <x:c r="F267" s="20" t="n">
        <x:v>1</x:v>
      </x:c>
      <x:c r="G267" s="20" t="str">
        <x:v>XX149</x:v>
      </x:c>
      <x:c r="H267" s="20" t="str">
        <x:v>苍白雪原</x:v>
      </x:c>
      <x:c r="I267" s="20" t="str">
        <x:v>白霜重甲卫</x:v>
      </x:c>
      <x:c r="J267" s="20" t="str">
        <x:v>蓝色</x:v>
      </x:c>
      <x:c r="K267" s="20" t="str">
        <x:v>稀有</x:v>
      </x:c>
      <x:c r="L267" s="20" t="str">
        <x:v>雪原重卫</x:v>
      </x:c>
      <x:c r="M267" s="20" t="str">
        <x:v>正面推进</x:v>
      </x:c>
      <x:c r="N267" s="20" t="str">
        <x:v>白霜重衣</x:v>
      </x:c>
      <x:c r="O267" s="20" t="str">
        <x:v>衣服</x:v>
      </x:c>
      <x:c r="P267" s="20" t="str">
        <x:v>冻晶尘</x:v>
      </x:c>
      <x:c r="Q267" s="20" t="str">
        <x:v>白金纺线</x:v>
      </x:c>
      <x:c r="R267" s="20" t="str">
        <x:v>冻原银角</x:v>
      </x:c>
      <x:c r="S267" s="20" t="str">
        <x:v>永霜朝圣痕</x:v>
      </x:c>
      <x:c r="T267" s="20" t="str">
        <x:v>否</x:v>
      </x:c>
      <x:c r="U267" s="20" t="str">
        <x:v>是（公共奖池）</x:v>
      </x:c>
      <x:c r="V267" s="22" t="str">
        <x:v>结构定稿</x:v>
      </x:c>
      <x:c r="W267" s="36" t="str">
        <x:v>用户自行分配／本表不处理</x:v>
      </x:c>
      <x:c r="X267" s="34" t="str">
        <x:v>缺衣服来源码</x:v>
      </x:c>
      <x:c r="Y267" s="29" t="str">
        <x:v>后期统一平衡</x:v>
      </x:c>
      <x:c r="Z267" s="20" t="str">
        <x:v>一怪一专属；专属来源跟随本行准确地图号</x:v>
      </x:c>
    </x:row>
    <x:row r="268" ht="24" customHeight="1">
      <x:c r="A268" s="20" t="str">
        <x:v>C07-M008</x:v>
      </x:c>
      <x:c r="B268" s="20" t="str">
        <x:v>C07</x:v>
      </x:c>
      <x:c r="C268" s="20" t="str">
        <x:v>化圣雪原</x:v>
      </x:c>
      <x:c r="D268" s="20" t="n">
        <x:v>1</x:v>
      </x:c>
      <x:c r="E268" s="20" t="str">
        <x:v>苍白雪原</x:v>
      </x:c>
      <x:c r="F268" s="20" t="n">
        <x:v>2</x:v>
      </x:c>
      <x:c r="G268" s="20" t="str">
        <x:v>XX148</x:v>
      </x:c>
      <x:c r="H268" s="20" t="str">
        <x:v>霜风荒境</x:v>
      </x:c>
      <x:c r="I268" s="20" t="str">
        <x:v>霜风号角骑</x:v>
      </x:c>
      <x:c r="J268" s="20" t="str">
        <x:v>蓝色</x:v>
      </x:c>
      <x:c r="K268" s="20" t="str">
        <x:v>稀有</x:v>
      </x:c>
      <x:c r="L268" s="20" t="str">
        <x:v>霜风骑士</x:v>
      </x:c>
      <x:c r="M268" s="20" t="str">
        <x:v>机动冲锋</x:v>
      </x:c>
      <x:c r="N268" s="20" t="str">
        <x:v>霜风战靴</x:v>
      </x:c>
      <x:c r="O268" s="20" t="str">
        <x:v>鞋子</x:v>
      </x:c>
      <x:c r="P268" s="20" t="str">
        <x:v>冻晶尘</x:v>
      </x:c>
      <x:c r="Q268" s="20" t="str">
        <x:v>白金纺线</x:v>
      </x:c>
      <x:c r="R268" s="20" t="str">
        <x:v>冻原银角</x:v>
      </x:c>
      <x:c r="S268" s="20" t="str">
        <x:v>永霜朝圣痕</x:v>
      </x:c>
      <x:c r="T268" s="20" t="str">
        <x:v>否</x:v>
      </x:c>
      <x:c r="U268" s="20" t="str">
        <x:v>是（公共奖池）</x:v>
      </x:c>
      <x:c r="V268" s="22" t="str">
        <x:v>结构定稿</x:v>
      </x:c>
      <x:c r="W268" s="36" t="str">
        <x:v>用户自行分配／本表不处理</x:v>
      </x:c>
      <x:c r="X268" s="33" t="n">
        <x:v>5883</x:v>
      </x:c>
      <x:c r="Y268" s="29" t="str">
        <x:v>后期统一平衡</x:v>
      </x:c>
      <x:c r="Z268" s="20" t="str">
        <x:v>一怪一专属；专属来源跟随本行准确地图号</x:v>
      </x:c>
    </x:row>
    <x:row r="269" ht="24" customHeight="1">
      <x:c r="A269" s="20" t="str">
        <x:v>C07-M009</x:v>
      </x:c>
      <x:c r="B269" s="20" t="str">
        <x:v>C07</x:v>
      </x:c>
      <x:c r="C269" s="20" t="str">
        <x:v>化圣雪原</x:v>
      </x:c>
      <x:c r="D269" s="20" t="n">
        <x:v>1</x:v>
      </x:c>
      <x:c r="E269" s="20" t="str">
        <x:v>苍白雪原</x:v>
      </x:c>
      <x:c r="F269" s="20" t="n">
        <x:v>3</x:v>
      </x:c>
      <x:c r="G269" s="20" t="str">
        <x:v>XX147</x:v>
      </x:c>
      <x:c r="H269" s="20" t="str">
        <x:v>冻土深原</x:v>
      </x:c>
      <x:c r="I269" s="20" t="str">
        <x:v>冻土晶背熊</x:v>
      </x:c>
      <x:c r="J269" s="20" t="str">
        <x:v>蓝色</x:v>
      </x:c>
      <x:c r="K269" s="20" t="str">
        <x:v>稀有</x:v>
      </x:c>
      <x:c r="L269" s="20" t="str">
        <x:v>冻土巨兽</x:v>
      </x:c>
      <x:c r="M269" s="20" t="str">
        <x:v>重击阻挡</x:v>
      </x:c>
      <x:c r="N269" s="20" t="str">
        <x:v>晶背塔盾</x:v>
      </x:c>
      <x:c r="O269" s="20" t="str">
        <x:v>盾牌</x:v>
      </x:c>
      <x:c r="P269" s="20" t="str">
        <x:v>冻晶尘</x:v>
      </x:c>
      <x:c r="Q269" s="20" t="str">
        <x:v>白金纺线</x:v>
      </x:c>
      <x:c r="R269" s="20" t="str">
        <x:v>冻原银角</x:v>
      </x:c>
      <x:c r="S269" s="20" t="str">
        <x:v>永霜朝圣痕</x:v>
      </x:c>
      <x:c r="T269" s="20" t="str">
        <x:v>否</x:v>
      </x:c>
      <x:c r="U269" s="20" t="str">
        <x:v>是（公共奖池）</x:v>
      </x:c>
      <x:c r="V269" s="22" t="str">
        <x:v>结构定稿</x:v>
      </x:c>
      <x:c r="W269" s="36" t="str">
        <x:v>用户自行分配／本表不处理</x:v>
      </x:c>
      <x:c r="X269" s="33" t="n">
        <x:v>5881</x:v>
      </x:c>
      <x:c r="Y269" s="29" t="str">
        <x:v>后期统一平衡</x:v>
      </x:c>
      <x:c r="Z269" s="20" t="str">
        <x:v>一怪一专属；专属来源跟随本行准确地图号</x:v>
      </x:c>
    </x:row>
    <x:row r="270" ht="24" customHeight="1">
      <x:c r="A270" s="20" t="str">
        <x:v>C07-M010</x:v>
      </x:c>
      <x:c r="B270" s="20" t="str">
        <x:v>C07</x:v>
      </x:c>
      <x:c r="C270" s="20" t="str">
        <x:v>化圣雪原</x:v>
      </x:c>
      <x:c r="D270" s="20" t="n">
        <x:v>1</x:v>
      </x:c>
      <x:c r="E270" s="20" t="str">
        <x:v>苍白雪原</x:v>
      </x:c>
      <x:c r="F270" s="20" t="n">
        <x:v>4</x:v>
      </x:c>
      <x:c r="G270" s="20" t="str">
        <x:v>XX150</x:v>
      </x:c>
      <x:c r="H270" s="20" t="str">
        <x:v>苍白祭场</x:v>
      </x:c>
      <x:c r="I270" s="20" t="str">
        <x:v>苍白祭司</x:v>
      </x:c>
      <x:c r="J270" s="20" t="str">
        <x:v>蓝色</x:v>
      </x:c>
      <x:c r="K270" s="20" t="str">
        <x:v>稀有</x:v>
      </x:c>
      <x:c r="L270" s="20" t="str">
        <x:v>雪原祭司</x:v>
      </x:c>
      <x:c r="M270" s="20" t="str">
        <x:v>远程支援</x:v>
      </x:c>
      <x:c r="N270" s="20" t="str">
        <x:v>苍白圣徽</x:v>
      </x:c>
      <x:c r="O270" s="20" t="str">
        <x:v>勋章</x:v>
      </x:c>
      <x:c r="P270" s="20" t="str">
        <x:v>冻晶尘</x:v>
      </x:c>
      <x:c r="Q270" s="20" t="str">
        <x:v>白金纺线</x:v>
      </x:c>
      <x:c r="R270" s="20" t="str">
        <x:v>冻原银角</x:v>
      </x:c>
      <x:c r="S270" s="20" t="str">
        <x:v>永霜朝圣痕</x:v>
      </x:c>
      <x:c r="T270" s="20" t="str">
        <x:v>否</x:v>
      </x:c>
      <x:c r="U270" s="20" t="str">
        <x:v>是（公共奖池）</x:v>
      </x:c>
      <x:c r="V270" s="22" t="str">
        <x:v>结构定稿</x:v>
      </x:c>
      <x:c r="W270" s="36" t="str">
        <x:v>用户自行分配／本表不处理</x:v>
      </x:c>
      <x:c r="X270" s="33" t="n">
        <x:v>6999</x:v>
      </x:c>
      <x:c r="Y270" s="29" t="str">
        <x:v>后期统一平衡</x:v>
      </x:c>
      <x:c r="Z270" s="20" t="str">
        <x:v>一怪一专属；专属来源跟随本行准确地图号</x:v>
      </x:c>
    </x:row>
    <x:row r="271" ht="24" customHeight="1">
      <x:c r="A271" s="20" t="str">
        <x:v>C07-M011</x:v>
      </x:c>
      <x:c r="B271" s="20" t="str">
        <x:v>C07</x:v>
      </x:c>
      <x:c r="C271" s="20" t="str">
        <x:v>化圣雪原</x:v>
      </x:c>
      <x:c r="D271" s="20" t="n">
        <x:v>1</x:v>
      </x:c>
      <x:c r="E271" s="20" t="str">
        <x:v>苍白雪原</x:v>
      </x:c>
      <x:c r="F271" s="20" t="n">
        <x:v>3</x:v>
      </x:c>
      <x:c r="G271" s="20" t="str">
        <x:v>XX147</x:v>
      </x:c>
      <x:c r="H271" s="20" t="str">
        <x:v>冻土深原</x:v>
      </x:c>
      <x:c r="I271" s="20" t="str">
        <x:v>雪墓巨人·赫洛</x:v>
      </x:c>
      <x:c r="J271" s="20" t="str">
        <x:v>粉色</x:v>
      </x:c>
      <x:c r="K271" s="20" t="str">
        <x:v>地图BOSS</x:v>
      </x:c>
      <x:c r="L271" s="20" t="str">
        <x:v>雪墓巨人</x:v>
      </x:c>
      <x:c r="M271" s="20" t="str">
        <x:v>重击震荡</x:v>
      </x:c>
      <x:c r="N271" s="20" t="str">
        <x:v>赫洛冻拳</x:v>
      </x:c>
      <x:c r="O271" s="20" t="str">
        <x:v>武器</x:v>
      </x:c>
      <x:c r="P271" s="20" t="str">
        <x:v>冻晶尘</x:v>
      </x:c>
      <x:c r="Q271" s="20" t="str">
        <x:v>白金纺线＋圣雪誓印</x:v>
      </x:c>
      <x:c r="R271" s="20" t="str">
        <x:v>秘树霜芽</x:v>
      </x:c>
      <x:c r="S271" s="20" t="str">
        <x:v>永霜朝圣痕</x:v>
      </x:c>
      <x:c r="T271" s="20" t="str">
        <x:v>是（独立奖池）</x:v>
      </x:c>
      <x:c r="U271" s="20" t="str">
        <x:v>是（公共奖池）</x:v>
      </x:c>
      <x:c r="V271" s="22" t="str">
        <x:v>结构定稿</x:v>
      </x:c>
      <x:c r="W271" s="36" t="str">
        <x:v>用户自行分配／本表不处理</x:v>
      </x:c>
      <x:c r="X271" s="34" t="str">
        <x:v>缺武器来源码</x:v>
      </x:c>
      <x:c r="Y271" s="29" t="str">
        <x:v>后期统一平衡</x:v>
      </x:c>
      <x:c r="Z271" s="20" t="str">
        <x:v>一怪一专属；专属来源跟随本行准确地图号</x:v>
      </x:c>
    </x:row>
    <x:row r="272" ht="24" customHeight="1">
      <x:c r="A272" s="20" t="str">
        <x:v>C07-M012</x:v>
      </x:c>
      <x:c r="B272" s="20" t="str">
        <x:v>C07</x:v>
      </x:c>
      <x:c r="C272" s="20" t="str">
        <x:v>化圣雪原</x:v>
      </x:c>
      <x:c r="D272" s="20" t="n">
        <x:v>1</x:v>
      </x:c>
      <x:c r="E272" s="20" t="str">
        <x:v>苍白雪原</x:v>
      </x:c>
      <x:c r="F272" s="20" t="n">
        <x:v>4</x:v>
      </x:c>
      <x:c r="G272" s="20" t="str">
        <x:v>XX150</x:v>
      </x:c>
      <x:c r="H272" s="20" t="str">
        <x:v>苍白祭场</x:v>
      </x:c>
      <x:c r="I272" s="20" t="str">
        <x:v>苍白鹿王·艾尔维</x:v>
      </x:c>
      <x:c r="J272" s="20" t="str">
        <x:v>粉色</x:v>
      </x:c>
      <x:c r="K272" s="20" t="str">
        <x:v>地图BOSS</x:v>
      </x:c>
      <x:c r="L272" s="20" t="str">
        <x:v>苍白鹿王</x:v>
      </x:c>
      <x:c r="M272" s="20" t="str">
        <x:v>冰域封锁</x:v>
      </x:c>
      <x:c r="N272" s="20" t="str">
        <x:v>艾尔维霜冠</x:v>
      </x:c>
      <x:c r="O272" s="20" t="str">
        <x:v>头盔</x:v>
      </x:c>
      <x:c r="P272" s="20" t="str">
        <x:v>冻晶尘</x:v>
      </x:c>
      <x:c r="Q272" s="20" t="str">
        <x:v>白金纺线＋圣雪誓印</x:v>
      </x:c>
      <x:c r="R272" s="20" t="str">
        <x:v>秘树霜芽</x:v>
      </x:c>
      <x:c r="S272" s="20" t="str">
        <x:v>永霜朝圣痕</x:v>
      </x:c>
      <x:c r="T272" s="20" t="str">
        <x:v>是（独立奖池）</x:v>
      </x:c>
      <x:c r="U272" s="20" t="str">
        <x:v>是（公共奖池）</x:v>
      </x:c>
      <x:c r="V272" s="22" t="str">
        <x:v>结构定稿</x:v>
      </x:c>
      <x:c r="W272" s="36" t="str">
        <x:v>用户自行分配／本表不处理</x:v>
      </x:c>
      <x:c r="X272" s="33" t="n">
        <x:v>5923</x:v>
      </x:c>
      <x:c r="Y272" s="29" t="str">
        <x:v>后期统一平衡</x:v>
      </x:c>
      <x:c r="Z272" s="20" t="str">
        <x:v>一怪一专属；专属来源跟随本行准确地图号</x:v>
      </x:c>
    </x:row>
    <x:row r="273" ht="24" customHeight="1">
      <x:c r="A273" s="20" t="str">
        <x:v>C07-M013</x:v>
      </x:c>
      <x:c r="B273" s="20" t="str">
        <x:v>C07</x:v>
      </x:c>
      <x:c r="C273" s="20" t="str">
        <x:v>化圣雪原</x:v>
      </x:c>
      <x:c r="D273" s="20" t="n">
        <x:v>2</x:v>
      </x:c>
      <x:c r="E273" s="20" t="str">
        <x:v>永冻荒境</x:v>
      </x:c>
      <x:c r="F273" s="20" t="n">
        <x:v>1</x:v>
      </x:c>
      <x:c r="G273" s="20" t="str">
        <x:v>XX904</x:v>
      </x:c>
      <x:c r="H273" s="20" t="str">
        <x:v>永冻荒境</x:v>
      </x:c>
      <x:c r="I273" s="20" t="str">
        <x:v>荒境雪壳虫</x:v>
      </x:c>
      <x:c r="J273" s="20" t="str">
        <x:v>黄色</x:v>
      </x:c>
      <x:c r="K273" s="20" t="str">
        <x:v>普通</x:v>
      </x:c>
      <x:c r="L273" s="20" t="str">
        <x:v>冰壳甲虫</x:v>
      </x:c>
      <x:c r="M273" s="20" t="str">
        <x:v>贴身阻挡</x:v>
      </x:c>
      <x:c r="N273" s="20" t="str">
        <x:v>雪壳腕甲</x:v>
      </x:c>
      <x:c r="O273" s="20" t="str">
        <x:v>手镯</x:v>
      </x:c>
      <x:c r="P273" s="20" t="str">
        <x:v>冻晶尘</x:v>
      </x:c>
      <x:c r="Q273" s="20" t="str"/>
      <x:c r="R273" s="20" t="str">
        <x:v>白金路标片</x:v>
      </x:c>
      <x:c r="S273" s="20" t="str">
        <x:v>永霜朝圣痕</x:v>
      </x:c>
      <x:c r="T273" s="20" t="str">
        <x:v>否</x:v>
      </x:c>
      <x:c r="U273" s="20" t="str">
        <x:v>是（公共奖池）</x:v>
      </x:c>
      <x:c r="V273" s="22" t="str">
        <x:v>结构定稿</x:v>
      </x:c>
      <x:c r="W273" s="36" t="str">
        <x:v>用户自行分配／本表不处理</x:v>
      </x:c>
      <x:c r="X273" s="33" t="n">
        <x:v>5906</x:v>
      </x:c>
      <x:c r="Y273" s="29" t="str">
        <x:v>后期统一平衡</x:v>
      </x:c>
      <x:c r="Z273" s="20" t="str">
        <x:v>一怪一专属；专属来源跟随本行准确地图号</x:v>
      </x:c>
    </x:row>
    <x:row r="274" ht="24" customHeight="1">
      <x:c r="A274" s="20" t="str">
        <x:v>C07-M014</x:v>
      </x:c>
      <x:c r="B274" s="20" t="str">
        <x:v>C07</x:v>
      </x:c>
      <x:c r="C274" s="20" t="str">
        <x:v>化圣雪原</x:v>
      </x:c>
      <x:c r="D274" s="20" t="n">
        <x:v>2</x:v>
      </x:c>
      <x:c r="E274" s="20" t="str">
        <x:v>永冻荒境</x:v>
      </x:c>
      <x:c r="F274" s="20" t="n">
        <x:v>2</x:v>
      </x:c>
      <x:c r="G274" s="20" t="str">
        <x:v>XX906</x:v>
      </x:c>
      <x:c r="H274" s="20" t="str">
        <x:v>冰封旷野</x:v>
      </x:c>
      <x:c r="I274" s="20" t="str">
        <x:v>冰封流亡者</x:v>
      </x:c>
      <x:c r="J274" s="20" t="str">
        <x:v>黄色</x:v>
      </x:c>
      <x:c r="K274" s="20" t="str">
        <x:v>普通</x:v>
      </x:c>
      <x:c r="L274" s="20" t="str">
        <x:v>冻原流兵</x:v>
      </x:c>
      <x:c r="M274" s="20" t="str">
        <x:v>近战游击</x:v>
      </x:c>
      <x:c r="N274" s="20" t="str">
        <x:v>流亡冰刀</x:v>
      </x:c>
      <x:c r="O274" s="20" t="str">
        <x:v>武器</x:v>
      </x:c>
      <x:c r="P274" s="20" t="str">
        <x:v>冻晶尘</x:v>
      </x:c>
      <x:c r="Q274" s="20" t="str"/>
      <x:c r="R274" s="20" t="str">
        <x:v>白金路标片</x:v>
      </x:c>
      <x:c r="S274" s="20" t="str">
        <x:v>永霜朝圣痕</x:v>
      </x:c>
      <x:c r="T274" s="20" t="str">
        <x:v>否</x:v>
      </x:c>
      <x:c r="U274" s="20" t="str">
        <x:v>是（公共奖池）</x:v>
      </x:c>
      <x:c r="V274" s="22" t="str">
        <x:v>结构定稿</x:v>
      </x:c>
      <x:c r="W274" s="36" t="str">
        <x:v>用户自行分配／本表不处理</x:v>
      </x:c>
      <x:c r="X274" s="34" t="str">
        <x:v>缺武器来源码</x:v>
      </x:c>
      <x:c r="Y274" s="29" t="str">
        <x:v>后期统一平衡</x:v>
      </x:c>
      <x:c r="Z274" s="20" t="str">
        <x:v>一怪一专属；专属来源跟随本行准确地图号</x:v>
      </x:c>
    </x:row>
    <x:row r="275" ht="24" customHeight="1">
      <x:c r="A275" s="20" t="str">
        <x:v>C07-M015</x:v>
      </x:c>
      <x:c r="B275" s="20" t="str">
        <x:v>C07</x:v>
      </x:c>
      <x:c r="C275" s="20" t="str">
        <x:v>化圣雪原</x:v>
      </x:c>
      <x:c r="D275" s="20" t="n">
        <x:v>2</x:v>
      </x:c>
      <x:c r="E275" s="20" t="str">
        <x:v>永冻荒境</x:v>
      </x:c>
      <x:c r="F275" s="20" t="n">
        <x:v>3</x:v>
      </x:c>
      <x:c r="G275" s="20" t="str">
        <x:v>XX907</x:v>
      </x:c>
      <x:c r="H275" s="20" t="str">
        <x:v>极昼雪原</x:v>
      </x:c>
      <x:c r="I275" s="20" t="str">
        <x:v>极昼逐光兽</x:v>
      </x:c>
      <x:c r="J275" s="20" t="str">
        <x:v>黄色</x:v>
      </x:c>
      <x:c r="K275" s="20" t="str">
        <x:v>普通</x:v>
      </x:c>
      <x:c r="L275" s="20" t="str">
        <x:v>极昼异兽</x:v>
      </x:c>
      <x:c r="M275" s="20" t="str">
        <x:v>高速追击</x:v>
      </x:c>
      <x:c r="N275" s="20" t="str">
        <x:v>逐光雪衣</x:v>
      </x:c>
      <x:c r="O275" s="20" t="str">
        <x:v>衣服</x:v>
      </x:c>
      <x:c r="P275" s="20" t="str">
        <x:v>冻晶尘</x:v>
      </x:c>
      <x:c r="Q275" s="20" t="str"/>
      <x:c r="R275" s="20" t="str">
        <x:v>白金路标片</x:v>
      </x:c>
      <x:c r="S275" s="20" t="str">
        <x:v>永霜朝圣痕</x:v>
      </x:c>
      <x:c r="T275" s="20" t="str">
        <x:v>否</x:v>
      </x:c>
      <x:c r="U275" s="20" t="str">
        <x:v>是（公共奖池）</x:v>
      </x:c>
      <x:c r="V275" s="22" t="str">
        <x:v>结构定稿</x:v>
      </x:c>
      <x:c r="W275" s="36" t="str">
        <x:v>用户自行分配／本表不处理</x:v>
      </x:c>
      <x:c r="X275" s="34" t="str">
        <x:v>缺衣服来源码</x:v>
      </x:c>
      <x:c r="Y275" s="29" t="str">
        <x:v>后期统一平衡</x:v>
      </x:c>
      <x:c r="Z275" s="20" t="str">
        <x:v>一怪一专属；专属来源跟随本行准确地图号</x:v>
      </x:c>
    </x:row>
    <x:row r="276" ht="24" customHeight="1">
      <x:c r="A276" s="20" t="str">
        <x:v>C07-M016</x:v>
      </x:c>
      <x:c r="B276" s="20" t="str">
        <x:v>C07</x:v>
      </x:c>
      <x:c r="C276" s="20" t="str">
        <x:v>化圣雪原</x:v>
      </x:c>
      <x:c r="D276" s="20" t="n">
        <x:v>2</x:v>
      </x:c>
      <x:c r="E276" s="20" t="str">
        <x:v>永冻荒境</x:v>
      </x:c>
      <x:c r="F276" s="20" t="n">
        <x:v>4</x:v>
      </x:c>
      <x:c r="G276" s="20" t="str">
        <x:v>XX905</x:v>
      </x:c>
      <x:c r="H276" s="20" t="str">
        <x:v>永冻圣域</x:v>
      </x:c>
      <x:c r="I276" s="20" t="str">
        <x:v>圣域守碑人</x:v>
      </x:c>
      <x:c r="J276" s="20" t="str">
        <x:v>黄色</x:v>
      </x:c>
      <x:c r="K276" s="20" t="str">
        <x:v>普通</x:v>
      </x:c>
      <x:c r="L276" s="20" t="str">
        <x:v>圣域守卫</x:v>
      </x:c>
      <x:c r="M276" s="20" t="str">
        <x:v>中距牵制</x:v>
      </x:c>
      <x:c r="N276" s="20" t="str">
        <x:v>守碑斗笠</x:v>
      </x:c>
      <x:c r="O276" s="20" t="str">
        <x:v>斗笠</x:v>
      </x:c>
      <x:c r="P276" s="20" t="str">
        <x:v>冻晶尘</x:v>
      </x:c>
      <x:c r="Q276" s="20" t="str"/>
      <x:c r="R276" s="20" t="str">
        <x:v>白金路标片</x:v>
      </x:c>
      <x:c r="S276" s="20" t="str">
        <x:v>永霜朝圣痕</x:v>
      </x:c>
      <x:c r="T276" s="20" t="str">
        <x:v>否</x:v>
      </x:c>
      <x:c r="U276" s="20" t="str">
        <x:v>是（公共奖池）</x:v>
      </x:c>
      <x:c r="V276" s="22" t="str">
        <x:v>结构定稿</x:v>
      </x:c>
      <x:c r="W276" s="36" t="str">
        <x:v>用户自行分配／本表不处理</x:v>
      </x:c>
      <x:c r="X276" s="34" t="str">
        <x:v>缺斗笠来源码</x:v>
      </x:c>
      <x:c r="Y276" s="29" t="str">
        <x:v>后期统一平衡</x:v>
      </x:c>
      <x:c r="Z276" s="20" t="str">
        <x:v>一怪一专属；专属来源跟随本行准确地图号</x:v>
      </x:c>
    </x:row>
    <x:row r="277" ht="24" customHeight="1">
      <x:c r="A277" s="20" t="str">
        <x:v>C07-M017</x:v>
      </x:c>
      <x:c r="B277" s="20" t="str">
        <x:v>C07</x:v>
      </x:c>
      <x:c r="C277" s="20" t="str">
        <x:v>化圣雪原</x:v>
      </x:c>
      <x:c r="D277" s="20" t="n">
        <x:v>2</x:v>
      </x:c>
      <x:c r="E277" s="20" t="str">
        <x:v>永冻荒境</x:v>
      </x:c>
      <x:c r="F277" s="20" t="n">
        <x:v>1</x:v>
      </x:c>
      <x:c r="G277" s="20" t="str">
        <x:v>XX904</x:v>
      </x:c>
      <x:c r="H277" s="20" t="str">
        <x:v>永冻荒境</x:v>
      </x:c>
      <x:c r="I277" s="20" t="str">
        <x:v>永冻霜牙狼</x:v>
      </x:c>
      <x:c r="J277" s="20" t="str">
        <x:v>黄色</x:v>
      </x:c>
      <x:c r="K277" s="20" t="str">
        <x:v>普通</x:v>
      </x:c>
      <x:c r="L277" s="20" t="str">
        <x:v>永冻猎兽</x:v>
      </x:c>
      <x:c r="M277" s="20" t="str">
        <x:v>贴身撕咬</x:v>
      </x:c>
      <x:c r="N277" s="20" t="str">
        <x:v>霜牙指环</x:v>
      </x:c>
      <x:c r="O277" s="20" t="str">
        <x:v>戒指</x:v>
      </x:c>
      <x:c r="P277" s="20" t="str">
        <x:v>冻晶尘</x:v>
      </x:c>
      <x:c r="Q277" s="20" t="str"/>
      <x:c r="R277" s="20" t="str">
        <x:v>白金路标片</x:v>
      </x:c>
      <x:c r="S277" s="20" t="str">
        <x:v>永霜朝圣痕</x:v>
      </x:c>
      <x:c r="T277" s="20" t="str">
        <x:v>否</x:v>
      </x:c>
      <x:c r="U277" s="20" t="str">
        <x:v>是（公共奖池）</x:v>
      </x:c>
      <x:c r="V277" s="22" t="str">
        <x:v>结构定稿</x:v>
      </x:c>
      <x:c r="W277" s="36" t="str">
        <x:v>用户自行分配／本表不处理</x:v>
      </x:c>
      <x:c r="X277" s="33" t="n">
        <x:v>5934</x:v>
      </x:c>
      <x:c r="Y277" s="29" t="str">
        <x:v>后期统一平衡</x:v>
      </x:c>
      <x:c r="Z277" s="20" t="str">
        <x:v>一怪一专属；专属来源跟随本行准确地图号</x:v>
      </x:c>
    </x:row>
    <x:row r="278" ht="24" customHeight="1">
      <x:c r="A278" s="20" t="str">
        <x:v>C07-M018</x:v>
      </x:c>
      <x:c r="B278" s="20" t="str">
        <x:v>C07</x:v>
      </x:c>
      <x:c r="C278" s="20" t="str">
        <x:v>化圣雪原</x:v>
      </x:c>
      <x:c r="D278" s="20" t="n">
        <x:v>2</x:v>
      </x:c>
      <x:c r="E278" s="20" t="str">
        <x:v>永冻荒境</x:v>
      </x:c>
      <x:c r="F278" s="20" t="n">
        <x:v>2</x:v>
      </x:c>
      <x:c r="G278" s="20" t="str">
        <x:v>XX906</x:v>
      </x:c>
      <x:c r="H278" s="20" t="str">
        <x:v>冰封旷野</x:v>
      </x:c>
      <x:c r="I278" s="20" t="str">
        <x:v>旷野寒弓手</x:v>
      </x:c>
      <x:c r="J278" s="20" t="str">
        <x:v>黄色</x:v>
      </x:c>
      <x:c r="K278" s="20" t="str">
        <x:v>普通</x:v>
      </x:c>
      <x:c r="L278" s="20" t="str">
        <x:v>雪原弓手</x:v>
      </x:c>
      <x:c r="M278" s="20" t="str">
        <x:v>远程点射</x:v>
      </x:c>
      <x:c r="N278" s="20" t="str">
        <x:v>寒弓束带</x:v>
      </x:c>
      <x:c r="O278" s="20" t="str">
        <x:v>腰带</x:v>
      </x:c>
      <x:c r="P278" s="20" t="str">
        <x:v>冻晶尘</x:v>
      </x:c>
      <x:c r="Q278" s="20" t="str"/>
      <x:c r="R278" s="20" t="str">
        <x:v>白金路标片</x:v>
      </x:c>
      <x:c r="S278" s="20" t="str">
        <x:v>永霜朝圣痕</x:v>
      </x:c>
      <x:c r="T278" s="20" t="str">
        <x:v>否</x:v>
      </x:c>
      <x:c r="U278" s="20" t="str">
        <x:v>是（公共奖池）</x:v>
      </x:c>
      <x:c r="V278" s="22" t="str">
        <x:v>结构定稿</x:v>
      </x:c>
      <x:c r="W278" s="36" t="str">
        <x:v>用户自行分配／本表不处理</x:v>
      </x:c>
      <x:c r="X278" s="33" t="n">
        <x:v>5884</x:v>
      </x:c>
      <x:c r="Y278" s="29" t="str">
        <x:v>后期统一平衡</x:v>
      </x:c>
      <x:c r="Z278" s="20" t="str">
        <x:v>一怪一专属；专属来源跟随本行准确地图号</x:v>
      </x:c>
    </x:row>
    <x:row r="279" ht="24" customHeight="1">
      <x:c r="A279" s="20" t="str">
        <x:v>C07-M019</x:v>
      </x:c>
      <x:c r="B279" s="20" t="str">
        <x:v>C07</x:v>
      </x:c>
      <x:c r="C279" s="20" t="str">
        <x:v>化圣雪原</x:v>
      </x:c>
      <x:c r="D279" s="20" t="n">
        <x:v>2</x:v>
      </x:c>
      <x:c r="E279" s="20" t="str">
        <x:v>永冻荒境</x:v>
      </x:c>
      <x:c r="F279" s="20" t="n">
        <x:v>1</x:v>
      </x:c>
      <x:c r="G279" s="20" t="str">
        <x:v>XX904</x:v>
      </x:c>
      <x:c r="H279" s="20" t="str">
        <x:v>永冻荒境</x:v>
      </x:c>
      <x:c r="I279" s="20" t="str">
        <x:v>荒境冰甲犀</x:v>
      </x:c>
      <x:c r="J279" s="20" t="str">
        <x:v>蓝色</x:v>
      </x:c>
      <x:c r="K279" s="20" t="str">
        <x:v>稀有</x:v>
      </x:c>
      <x:c r="L279" s="20" t="str">
        <x:v>冰甲巨兽</x:v>
      </x:c>
      <x:c r="M279" s="20" t="str">
        <x:v>重装冲撞</x:v>
      </x:c>
      <x:c r="N279" s="20" t="str">
        <x:v>冰甲重盾</x:v>
      </x:c>
      <x:c r="O279" s="20" t="str">
        <x:v>盾牌</x:v>
      </x:c>
      <x:c r="P279" s="20" t="str">
        <x:v>冻晶尘</x:v>
      </x:c>
      <x:c r="Q279" s="20" t="str">
        <x:v>白金纺线</x:v>
      </x:c>
      <x:c r="R279" s="20" t="str">
        <x:v>冻原银角</x:v>
      </x:c>
      <x:c r="S279" s="20" t="str">
        <x:v>永霜朝圣痕</x:v>
      </x:c>
      <x:c r="T279" s="20" t="str">
        <x:v>否</x:v>
      </x:c>
      <x:c r="U279" s="20" t="str">
        <x:v>是（公共奖池）</x:v>
      </x:c>
      <x:c r="V279" s="22" t="str">
        <x:v>结构定稿</x:v>
      </x:c>
      <x:c r="W279" s="36" t="str">
        <x:v>用户自行分配／本表不处理</x:v>
      </x:c>
      <x:c r="X279" s="33" t="n">
        <x:v>5890</x:v>
      </x:c>
      <x:c r="Y279" s="29" t="str">
        <x:v>后期统一平衡</x:v>
      </x:c>
      <x:c r="Z279" s="20" t="str">
        <x:v>一怪一专属；专属来源跟随本行准确地图号</x:v>
      </x:c>
    </x:row>
    <x:row r="280" ht="24" customHeight="1">
      <x:c r="A280" s="20" t="str">
        <x:v>C07-M020</x:v>
      </x:c>
      <x:c r="B280" s="20" t="str">
        <x:v>C07</x:v>
      </x:c>
      <x:c r="C280" s="20" t="str">
        <x:v>化圣雪原</x:v>
      </x:c>
      <x:c r="D280" s="20" t="n">
        <x:v>2</x:v>
      </x:c>
      <x:c r="E280" s="20" t="str">
        <x:v>永冻荒境</x:v>
      </x:c>
      <x:c r="F280" s="20" t="n">
        <x:v>2</x:v>
      </x:c>
      <x:c r="G280" s="20" t="str">
        <x:v>XX906</x:v>
      </x:c>
      <x:c r="H280" s="20" t="str">
        <x:v>冰封旷野</x:v>
      </x:c>
      <x:c r="I280" s="20" t="str">
        <x:v>冰封审判骑</x:v>
      </x:c>
      <x:c r="J280" s="20" t="str">
        <x:v>蓝色</x:v>
      </x:c>
      <x:c r="K280" s="20" t="str">
        <x:v>稀有</x:v>
      </x:c>
      <x:c r="L280" s="20" t="str">
        <x:v>冰封骑士</x:v>
      </x:c>
      <x:c r="M280" s="20" t="str">
        <x:v>机动压迫</x:v>
      </x:c>
      <x:c r="N280" s="20" t="str">
        <x:v>审判长靴</x:v>
      </x:c>
      <x:c r="O280" s="20" t="str">
        <x:v>鞋子</x:v>
      </x:c>
      <x:c r="P280" s="20" t="str">
        <x:v>冻晶尘</x:v>
      </x:c>
      <x:c r="Q280" s="20" t="str">
        <x:v>白金纺线</x:v>
      </x:c>
      <x:c r="R280" s="20" t="str">
        <x:v>冻原银角</x:v>
      </x:c>
      <x:c r="S280" s="20" t="str">
        <x:v>永霜朝圣痕</x:v>
      </x:c>
      <x:c r="T280" s="20" t="str">
        <x:v>否</x:v>
      </x:c>
      <x:c r="U280" s="20" t="str">
        <x:v>是（公共奖池）</x:v>
      </x:c>
      <x:c r="V280" s="22" t="str">
        <x:v>结构定稿</x:v>
      </x:c>
      <x:c r="W280" s="36" t="str">
        <x:v>用户自行分配／本表不处理</x:v>
      </x:c>
      <x:c r="X280" s="33" t="n">
        <x:v>5892</x:v>
      </x:c>
      <x:c r="Y280" s="29" t="str">
        <x:v>后期统一平衡</x:v>
      </x:c>
      <x:c r="Z280" s="20" t="str">
        <x:v>一怪一专属；专属来源跟随本行准确地图号</x:v>
      </x:c>
    </x:row>
    <x:row r="281" ht="24" customHeight="1">
      <x:c r="A281" s="20" t="str">
        <x:v>C07-M021</x:v>
      </x:c>
      <x:c r="B281" s="20" t="str">
        <x:v>C07</x:v>
      </x:c>
      <x:c r="C281" s="20" t="str">
        <x:v>化圣雪原</x:v>
      </x:c>
      <x:c r="D281" s="20" t="n">
        <x:v>2</x:v>
      </x:c>
      <x:c r="E281" s="20" t="str">
        <x:v>永冻荒境</x:v>
      </x:c>
      <x:c r="F281" s="20" t="n">
        <x:v>3</x:v>
      </x:c>
      <x:c r="G281" s="20" t="str">
        <x:v>XX907</x:v>
      </x:c>
      <x:c r="H281" s="20" t="str">
        <x:v>极昼雪原</x:v>
      </x:c>
      <x:c r="I281" s="20" t="str">
        <x:v>极昼白翼鹫</x:v>
      </x:c>
      <x:c r="J281" s="20" t="str">
        <x:v>蓝色</x:v>
      </x:c>
      <x:c r="K281" s="20" t="str">
        <x:v>稀有</x:v>
      </x:c>
      <x:c r="L281" s="20" t="str">
        <x:v>极昼猛禽</x:v>
      </x:c>
      <x:c r="M281" s="20" t="str">
        <x:v>俯冲压制</x:v>
      </x:c>
      <x:c r="N281" s="20" t="str">
        <x:v>白翼颈链</x:v>
      </x:c>
      <x:c r="O281" s="20" t="str">
        <x:v>项链</x:v>
      </x:c>
      <x:c r="P281" s="20" t="str">
        <x:v>冻晶尘</x:v>
      </x:c>
      <x:c r="Q281" s="20" t="str">
        <x:v>白金纺线</x:v>
      </x:c>
      <x:c r="R281" s="20" t="str">
        <x:v>冻原银角</x:v>
      </x:c>
      <x:c r="S281" s="20" t="str">
        <x:v>永霜朝圣痕</x:v>
      </x:c>
      <x:c r="T281" s="20" t="str">
        <x:v>否</x:v>
      </x:c>
      <x:c r="U281" s="20" t="str">
        <x:v>是（公共奖池）</x:v>
      </x:c>
      <x:c r="V281" s="22" t="str">
        <x:v>结构定稿</x:v>
      </x:c>
      <x:c r="W281" s="36" t="str">
        <x:v>用户自行分配／本表不处理</x:v>
      </x:c>
      <x:c r="X281" s="33" t="n">
        <x:v>5940</x:v>
      </x:c>
      <x:c r="Y281" s="29" t="str">
        <x:v>后期统一平衡</x:v>
      </x:c>
      <x:c r="Z281" s="20" t="str">
        <x:v>一怪一专属；专属来源跟随本行准确地图号</x:v>
      </x:c>
    </x:row>
    <x:row r="282" ht="24" customHeight="1">
      <x:c r="A282" s="20" t="str">
        <x:v>C07-M022</x:v>
      </x:c>
      <x:c r="B282" s="20" t="str">
        <x:v>C07</x:v>
      </x:c>
      <x:c r="C282" s="20" t="str">
        <x:v>化圣雪原</x:v>
      </x:c>
      <x:c r="D282" s="20" t="n">
        <x:v>2</x:v>
      </x:c>
      <x:c r="E282" s="20" t="str">
        <x:v>永冻荒境</x:v>
      </x:c>
      <x:c r="F282" s="20" t="n">
        <x:v>4</x:v>
      </x:c>
      <x:c r="G282" s="20" t="str">
        <x:v>XX905</x:v>
      </x:c>
      <x:c r="H282" s="20" t="str">
        <x:v>永冻圣域</x:v>
      </x:c>
      <x:c r="I282" s="20" t="str">
        <x:v>圣域默祷师</x:v>
      </x:c>
      <x:c r="J282" s="20" t="str">
        <x:v>蓝色</x:v>
      </x:c>
      <x:c r="K282" s="20" t="str">
        <x:v>稀有</x:v>
      </x:c>
      <x:c r="L282" s="20" t="str">
        <x:v>圣域祭司</x:v>
      </x:c>
      <x:c r="M282" s="20" t="str">
        <x:v>远程封锁</x:v>
      </x:c>
      <x:c r="N282" s="20" t="str">
        <x:v>默祷雪章</x:v>
      </x:c>
      <x:c r="O282" s="20" t="str">
        <x:v>勋章</x:v>
      </x:c>
      <x:c r="P282" s="20" t="str">
        <x:v>冻晶尘</x:v>
      </x:c>
      <x:c r="Q282" s="20" t="str">
        <x:v>白金纺线</x:v>
      </x:c>
      <x:c r="R282" s="20" t="str">
        <x:v>冻原银角</x:v>
      </x:c>
      <x:c r="S282" s="20" t="str">
        <x:v>永霜朝圣痕</x:v>
      </x:c>
      <x:c r="T282" s="20" t="str">
        <x:v>否</x:v>
      </x:c>
      <x:c r="U282" s="20" t="str">
        <x:v>是（公共奖池）</x:v>
      </x:c>
      <x:c r="V282" s="22" t="str">
        <x:v>结构定稿</x:v>
      </x:c>
      <x:c r="W282" s="36" t="str">
        <x:v>用户自行分配／本表不处理</x:v>
      </x:c>
      <x:c r="X282" s="33" t="n">
        <x:v>7034</x:v>
      </x:c>
      <x:c r="Y282" s="29" t="str">
        <x:v>后期统一平衡</x:v>
      </x:c>
      <x:c r="Z282" s="20" t="str">
        <x:v>一怪一专属；专属来源跟随本行准确地图号</x:v>
      </x:c>
    </x:row>
    <x:row r="283" ht="24" customHeight="1">
      <x:c r="A283" s="20" t="str">
        <x:v>C07-M023</x:v>
      </x:c>
      <x:c r="B283" s="20" t="str">
        <x:v>C07</x:v>
      </x:c>
      <x:c r="C283" s="20" t="str">
        <x:v>化圣雪原</x:v>
      </x:c>
      <x:c r="D283" s="20" t="n">
        <x:v>2</x:v>
      </x:c>
      <x:c r="E283" s="20" t="str">
        <x:v>永冻荒境</x:v>
      </x:c>
      <x:c r="F283" s="20" t="n">
        <x:v>3</x:v>
      </x:c>
      <x:c r="G283" s="20" t="str">
        <x:v>XX907</x:v>
      </x:c>
      <x:c r="H283" s="20" t="str">
        <x:v>极昼雪原</x:v>
      </x:c>
      <x:c r="I283" s="20" t="str">
        <x:v>极昼雪后·芙蕾</x:v>
      </x:c>
      <x:c r="J283" s="20" t="str">
        <x:v>粉色</x:v>
      </x:c>
      <x:c r="K283" s="20" t="str">
        <x:v>地图BOSS</x:v>
      </x:c>
      <x:c r="L283" s="20" t="str">
        <x:v>极昼雪后</x:v>
      </x:c>
      <x:c r="M283" s="20" t="str">
        <x:v>冰风压制</x:v>
      </x:c>
      <x:c r="N283" s="20" t="str">
        <x:v>芙蕾冰冠</x:v>
      </x:c>
      <x:c r="O283" s="20" t="str">
        <x:v>头盔</x:v>
      </x:c>
      <x:c r="P283" s="20" t="str">
        <x:v>冻晶尘</x:v>
      </x:c>
      <x:c r="Q283" s="20" t="str">
        <x:v>白金纺线＋圣雪誓印</x:v>
      </x:c>
      <x:c r="R283" s="20" t="str">
        <x:v>秘树霜芽</x:v>
      </x:c>
      <x:c r="S283" s="20" t="str">
        <x:v>永霜朝圣痕</x:v>
      </x:c>
      <x:c r="T283" s="20" t="str">
        <x:v>是（独立奖池）</x:v>
      </x:c>
      <x:c r="U283" s="20" t="str">
        <x:v>是（公共奖池）</x:v>
      </x:c>
      <x:c r="V283" s="22" t="str">
        <x:v>结构定稿</x:v>
      </x:c>
      <x:c r="W283" s="36" t="str">
        <x:v>用户自行分配／本表不处理</x:v>
      </x:c>
      <x:c r="X283" s="33" t="n">
        <x:v>5941</x:v>
      </x:c>
      <x:c r="Y283" s="29" t="str">
        <x:v>后期统一平衡</x:v>
      </x:c>
      <x:c r="Z283" s="20" t="str">
        <x:v>一怪一专属；专属来源跟随本行准确地图号</x:v>
      </x:c>
    </x:row>
    <x:row r="284" ht="24" customHeight="1">
      <x:c r="A284" s="20" t="str">
        <x:v>C07-M024</x:v>
      </x:c>
      <x:c r="B284" s="20" t="str">
        <x:v>C07</x:v>
      </x:c>
      <x:c r="C284" s="20" t="str">
        <x:v>化圣雪原</x:v>
      </x:c>
      <x:c r="D284" s="20" t="n">
        <x:v>2</x:v>
      </x:c>
      <x:c r="E284" s="20" t="str">
        <x:v>永冻荒境</x:v>
      </x:c>
      <x:c r="F284" s="20" t="n">
        <x:v>4</x:v>
      </x:c>
      <x:c r="G284" s="20" t="str">
        <x:v>XX905</x:v>
      </x:c>
      <x:c r="H284" s="20" t="str">
        <x:v>永冻圣域</x:v>
      </x:c>
      <x:c r="I284" s="20" t="str">
        <x:v>永冻圣兽·乌尔</x:v>
      </x:c>
      <x:c r="J284" s="20" t="str">
        <x:v>粉色</x:v>
      </x:c>
      <x:c r="K284" s="20" t="str">
        <x:v>地图BOSS</x:v>
      </x:c>
      <x:c r="L284" s="20" t="str">
        <x:v>永冻圣兽</x:v>
      </x:c>
      <x:c r="M284" s="20" t="str">
        <x:v>近战碾压</x:v>
      </x:c>
      <x:c r="N284" s="20" t="str">
        <x:v>乌尔寒铠</x:v>
      </x:c>
      <x:c r="O284" s="20" t="str">
        <x:v>衣服</x:v>
      </x:c>
      <x:c r="P284" s="20" t="str">
        <x:v>冻晶尘</x:v>
      </x:c>
      <x:c r="Q284" s="20" t="str">
        <x:v>白金纺线＋圣雪誓印</x:v>
      </x:c>
      <x:c r="R284" s="20" t="str">
        <x:v>秘树霜芽</x:v>
      </x:c>
      <x:c r="S284" s="20" t="str">
        <x:v>永霜朝圣痕</x:v>
      </x:c>
      <x:c r="T284" s="20" t="str">
        <x:v>是（独立奖池）</x:v>
      </x:c>
      <x:c r="U284" s="20" t="str">
        <x:v>是（公共奖池）</x:v>
      </x:c>
      <x:c r="V284" s="22" t="str">
        <x:v>结构定稿</x:v>
      </x:c>
      <x:c r="W284" s="36" t="str">
        <x:v>用户自行分配／本表不处理</x:v>
      </x:c>
      <x:c r="X284" s="34" t="str">
        <x:v>缺衣服来源码</x:v>
      </x:c>
      <x:c r="Y284" s="29" t="str">
        <x:v>后期统一平衡</x:v>
      </x:c>
      <x:c r="Z284" s="20" t="str">
        <x:v>一怪一专属；专属来源跟随本行准确地图号</x:v>
      </x:c>
    </x:row>
    <x:row r="285" ht="24" customHeight="1">
      <x:c r="A285" s="20" t="str">
        <x:v>C07-M025</x:v>
      </x:c>
      <x:c r="B285" s="20" t="str">
        <x:v>C07</x:v>
      </x:c>
      <x:c r="C285" s="20" t="str">
        <x:v>化圣雪原</x:v>
      </x:c>
      <x:c r="D285" s="20" t="n">
        <x:v>3</x:v>
      </x:c>
      <x:c r="E285" s="20" t="str">
        <x:v>极寒禁域</x:v>
      </x:c>
      <x:c r="F285" s="20" t="n">
        <x:v>1</x:v>
      </x:c>
      <x:c r="G285" s="20" t="str">
        <x:v>XX912</x:v>
      </x:c>
      <x:c r="H285" s="20" t="str">
        <x:v>极寒禁域</x:v>
      </x:c>
      <x:c r="I285" s="20" t="str">
        <x:v>禁域冻喉兽</x:v>
      </x:c>
      <x:c r="J285" s="20" t="str">
        <x:v>黄色</x:v>
      </x:c>
      <x:c r="K285" s="20" t="str">
        <x:v>普通</x:v>
      </x:c>
      <x:c r="L285" s="20" t="str">
        <x:v>禁域异兽</x:v>
      </x:c>
      <x:c r="M285" s="20" t="str">
        <x:v>近战撕咬</x:v>
      </x:c>
      <x:c r="N285" s="20" t="str">
        <x:v>冻喉牙刃</x:v>
      </x:c>
      <x:c r="O285" s="20" t="str">
        <x:v>武器</x:v>
      </x:c>
      <x:c r="P285" s="20" t="str">
        <x:v>冻晶尘</x:v>
      </x:c>
      <x:c r="Q285" s="20" t="str"/>
      <x:c r="R285" s="20" t="str">
        <x:v>白金路标片</x:v>
      </x:c>
      <x:c r="S285" s="20" t="str">
        <x:v>永霜朝圣痕</x:v>
      </x:c>
      <x:c r="T285" s="20" t="str">
        <x:v>否</x:v>
      </x:c>
      <x:c r="U285" s="20" t="str">
        <x:v>是（公共奖池）</x:v>
      </x:c>
      <x:c r="V285" s="22" t="str">
        <x:v>结构定稿</x:v>
      </x:c>
      <x:c r="W285" s="36" t="str">
        <x:v>用户自行分配／本表不处理</x:v>
      </x:c>
      <x:c r="X285" s="34" t="str">
        <x:v>缺武器来源码</x:v>
      </x:c>
      <x:c r="Y285" s="29" t="str">
        <x:v>后期统一平衡</x:v>
      </x:c>
      <x:c r="Z285" s="20" t="str">
        <x:v>一怪一专属；专属来源跟随本行准确地图号</x:v>
      </x:c>
    </x:row>
    <x:row r="286" ht="24" customHeight="1">
      <x:c r="A286" s="20" t="str">
        <x:v>C07-M026</x:v>
      </x:c>
      <x:c r="B286" s="20" t="str">
        <x:v>C07</x:v>
      </x:c>
      <x:c r="C286" s="20" t="str">
        <x:v>化圣雪原</x:v>
      </x:c>
      <x:c r="D286" s="20" t="n">
        <x:v>3</x:v>
      </x:c>
      <x:c r="E286" s="20" t="str">
        <x:v>极寒禁域</x:v>
      </x:c>
      <x:c r="F286" s="20" t="n">
        <x:v>2</x:v>
      </x:c>
      <x:c r="G286" s="20" t="str">
        <x:v>XX908</x:v>
      </x:c>
      <x:c r="H286" s="20" t="str">
        <x:v>冻雾边界</x:v>
      </x:c>
      <x:c r="I286" s="20" t="str">
        <x:v>雾界迷途兵</x:v>
      </x:c>
      <x:c r="J286" s="20" t="str">
        <x:v>黄色</x:v>
      </x:c>
      <x:c r="K286" s="20" t="str">
        <x:v>普通</x:v>
      </x:c>
      <x:c r="L286" s="20" t="str">
        <x:v>冻雾流兵</x:v>
      </x:c>
      <x:c r="M286" s="20" t="str">
        <x:v>近战游击</x:v>
      </x:c>
      <x:c r="N286" s="20" t="str">
        <x:v>雾界斗笠</x:v>
      </x:c>
      <x:c r="O286" s="20" t="str">
        <x:v>斗笠</x:v>
      </x:c>
      <x:c r="P286" s="20" t="str">
        <x:v>冻晶尘</x:v>
      </x:c>
      <x:c r="Q286" s="20" t="str"/>
      <x:c r="R286" s="20" t="str">
        <x:v>白金路标片</x:v>
      </x:c>
      <x:c r="S286" s="20" t="str">
        <x:v>永霜朝圣痕</x:v>
      </x:c>
      <x:c r="T286" s="20" t="str">
        <x:v>否</x:v>
      </x:c>
      <x:c r="U286" s="20" t="str">
        <x:v>是（公共奖池）</x:v>
      </x:c>
      <x:c r="V286" s="22" t="str">
        <x:v>结构定稿</x:v>
      </x:c>
      <x:c r="W286" s="36" t="str">
        <x:v>用户自行分配／本表不处理</x:v>
      </x:c>
      <x:c r="X286" s="34" t="str">
        <x:v>缺斗笠来源码</x:v>
      </x:c>
      <x:c r="Y286" s="29" t="str">
        <x:v>后期统一平衡</x:v>
      </x:c>
      <x:c r="Z286" s="20" t="str">
        <x:v>一怪一专属；专属来源跟随本行准确地图号</x:v>
      </x:c>
    </x:row>
    <x:row r="287" ht="24" customHeight="1">
      <x:c r="A287" s="20" t="str">
        <x:v>C07-M027</x:v>
      </x:c>
      <x:c r="B287" s="20" t="str">
        <x:v>C07</x:v>
      </x:c>
      <x:c r="C287" s="20" t="str">
        <x:v>化圣雪原</x:v>
      </x:c>
      <x:c r="D287" s="20" t="n">
        <x:v>3</x:v>
      </x:c>
      <x:c r="E287" s="20" t="str">
        <x:v>极寒禁域</x:v>
      </x:c>
      <x:c r="F287" s="20" t="n">
        <x:v>3</x:v>
      </x:c>
      <x:c r="G287" s="20" t="str">
        <x:v>XX909</x:v>
      </x:c>
      <x:c r="H287" s="20" t="str">
        <x:v>寒狱腹地</x:v>
      </x:c>
      <x:c r="I287" s="20" t="str">
        <x:v>寒狱锁链卒</x:v>
      </x:c>
      <x:c r="J287" s="20" t="str">
        <x:v>黄色</x:v>
      </x:c>
      <x:c r="K287" s="20" t="str">
        <x:v>普通</x:v>
      </x:c>
      <x:c r="L287" s="20" t="str">
        <x:v>寒狱囚兵</x:v>
      </x:c>
      <x:c r="M287" s="20" t="str">
        <x:v>贴身牵制</x:v>
      </x:c>
      <x:c r="N287" s="20" t="str">
        <x:v>寒狱铁镯</x:v>
      </x:c>
      <x:c r="O287" s="20" t="str">
        <x:v>手镯</x:v>
      </x:c>
      <x:c r="P287" s="20" t="str">
        <x:v>冻晶尘</x:v>
      </x:c>
      <x:c r="Q287" s="20" t="str"/>
      <x:c r="R287" s="20" t="str">
        <x:v>白金路标片</x:v>
      </x:c>
      <x:c r="S287" s="20" t="str">
        <x:v>永霜朝圣痕</x:v>
      </x:c>
      <x:c r="T287" s="20" t="str">
        <x:v>否</x:v>
      </x:c>
      <x:c r="U287" s="20" t="str">
        <x:v>是（公共奖池）</x:v>
      </x:c>
      <x:c r="V287" s="22" t="str">
        <x:v>结构定稿</x:v>
      </x:c>
      <x:c r="W287" s="36" t="str">
        <x:v>用户自行分配／本表不处理</x:v>
      </x:c>
      <x:c r="X287" s="33" t="n">
        <x:v>5915</x:v>
      </x:c>
      <x:c r="Y287" s="29" t="str">
        <x:v>后期统一平衡</x:v>
      </x:c>
      <x:c r="Z287" s="20" t="str">
        <x:v>一怪一专属；专属来源跟随本行准确地图号</x:v>
      </x:c>
    </x:row>
    <x:row r="288" ht="24" customHeight="1">
      <x:c r="A288" s="20" t="str">
        <x:v>C07-M028</x:v>
      </x:c>
      <x:c r="B288" s="20" t="str">
        <x:v>C07</x:v>
      </x:c>
      <x:c r="C288" s="20" t="str">
        <x:v>化圣雪原</x:v>
      </x:c>
      <x:c r="D288" s="20" t="n">
        <x:v>3</x:v>
      </x:c>
      <x:c r="E288" s="20" t="str">
        <x:v>极寒禁域</x:v>
      </x:c>
      <x:c r="F288" s="20" t="n">
        <x:v>4</x:v>
      </x:c>
      <x:c r="G288" s="20" t="str">
        <x:v>XX910</x:v>
      </x:c>
      <x:c r="H288" s="20" t="str">
        <x:v>冰封祭坛</x:v>
      </x:c>
      <x:c r="I288" s="20" t="str">
        <x:v>祭坛守烛女</x:v>
      </x:c>
      <x:c r="J288" s="20" t="str">
        <x:v>黄色</x:v>
      </x:c>
      <x:c r="K288" s="20" t="str">
        <x:v>普通</x:v>
      </x:c>
      <x:c r="L288" s="20" t="str">
        <x:v>冰祭侍从</x:v>
      </x:c>
      <x:c r="M288" s="20" t="str">
        <x:v>中距干扰</x:v>
      </x:c>
      <x:c r="N288" s="20" t="str">
        <x:v>守烛项链</x:v>
      </x:c>
      <x:c r="O288" s="20" t="str">
        <x:v>项链</x:v>
      </x:c>
      <x:c r="P288" s="20" t="str">
        <x:v>冻晶尘</x:v>
      </x:c>
      <x:c r="Q288" s="20" t="str"/>
      <x:c r="R288" s="20" t="str">
        <x:v>白金路标片</x:v>
      </x:c>
      <x:c r="S288" s="20" t="str">
        <x:v>永霜朝圣痕</x:v>
      </x:c>
      <x:c r="T288" s="20" t="str">
        <x:v>否</x:v>
      </x:c>
      <x:c r="U288" s="20" t="str">
        <x:v>是（公共奖池）</x:v>
      </x:c>
      <x:c r="V288" s="22" t="str">
        <x:v>结构定稿</x:v>
      </x:c>
      <x:c r="W288" s="36" t="str">
        <x:v>用户自行分配／本表不处理</x:v>
      </x:c>
      <x:c r="X288" s="33" t="n">
        <x:v>5949</x:v>
      </x:c>
      <x:c r="Y288" s="29" t="str">
        <x:v>后期统一平衡</x:v>
      </x:c>
      <x:c r="Z288" s="20" t="str">
        <x:v>一怪一专属；专属来源跟随本行准确地图号</x:v>
      </x:c>
    </x:row>
    <x:row r="289" ht="24" customHeight="1">
      <x:c r="A289" s="20" t="str">
        <x:v>C07-M029</x:v>
      </x:c>
      <x:c r="B289" s="20" t="str">
        <x:v>C07</x:v>
      </x:c>
      <x:c r="C289" s="20" t="str">
        <x:v>化圣雪原</x:v>
      </x:c>
      <x:c r="D289" s="20" t="n">
        <x:v>3</x:v>
      </x:c>
      <x:c r="E289" s="20" t="str">
        <x:v>极寒禁域</x:v>
      </x:c>
      <x:c r="F289" s="20" t="n">
        <x:v>5</x:v>
      </x:c>
      <x:c r="G289" s="20" t="str">
        <x:v>XX911</x:v>
      </x:c>
      <x:c r="H289" s="20" t="str">
        <x:v>极寒圣所</x:v>
      </x:c>
      <x:c r="I289" s="20" t="str">
        <x:v>圣所白甲卫</x:v>
      </x:c>
      <x:c r="J289" s="20" t="str">
        <x:v>黄色</x:v>
      </x:c>
      <x:c r="K289" s="20" t="str">
        <x:v>普通</x:v>
      </x:c>
      <x:c r="L289" s="20" t="str">
        <x:v>圣所守卫</x:v>
      </x:c>
      <x:c r="M289" s="20" t="str">
        <x:v>正面阻挡</x:v>
      </x:c>
      <x:c r="N289" s="20" t="str">
        <x:v>白甲战衣</x:v>
      </x:c>
      <x:c r="O289" s="20" t="str">
        <x:v>衣服</x:v>
      </x:c>
      <x:c r="P289" s="20" t="str">
        <x:v>冻晶尘</x:v>
      </x:c>
      <x:c r="Q289" s="20" t="str"/>
      <x:c r="R289" s="20" t="str">
        <x:v>白金路标片</x:v>
      </x:c>
      <x:c r="S289" s="20" t="str">
        <x:v>永霜朝圣痕</x:v>
      </x:c>
      <x:c r="T289" s="20" t="str">
        <x:v>否</x:v>
      </x:c>
      <x:c r="U289" s="20" t="str">
        <x:v>是（公共奖池）</x:v>
      </x:c>
      <x:c r="V289" s="22" t="str">
        <x:v>结构定稿</x:v>
      </x:c>
      <x:c r="W289" s="36" t="str">
        <x:v>用户自行分配／本表不处理</x:v>
      </x:c>
      <x:c r="X289" s="34" t="str">
        <x:v>缺衣服来源码</x:v>
      </x:c>
      <x:c r="Y289" s="29" t="str">
        <x:v>后期统一平衡</x:v>
      </x:c>
      <x:c r="Z289" s="20" t="str">
        <x:v>一怪一专属；专属来源跟随本行准确地图号</x:v>
      </x:c>
    </x:row>
    <x:row r="290" ht="24" customHeight="1">
      <x:c r="A290" s="20" t="str">
        <x:v>C07-M030</x:v>
      </x:c>
      <x:c r="B290" s="20" t="str">
        <x:v>C07</x:v>
      </x:c>
      <x:c r="C290" s="20" t="str">
        <x:v>化圣雪原</x:v>
      </x:c>
      <x:c r="D290" s="20" t="n">
        <x:v>3</x:v>
      </x:c>
      <x:c r="E290" s="20" t="str">
        <x:v>极寒禁域</x:v>
      </x:c>
      <x:c r="F290" s="20" t="n">
        <x:v>1</x:v>
      </x:c>
      <x:c r="G290" s="20" t="str">
        <x:v>XX912</x:v>
      </x:c>
      <x:c r="H290" s="20" t="str">
        <x:v>极寒禁域</x:v>
      </x:c>
      <x:c r="I290" s="20" t="str">
        <x:v>极寒巡界狼</x:v>
      </x:c>
      <x:c r="J290" s="20" t="str">
        <x:v>黄色</x:v>
      </x:c>
      <x:c r="K290" s="20" t="str">
        <x:v>普通</x:v>
      </x:c>
      <x:c r="L290" s="20" t="str">
        <x:v>极寒猎兽</x:v>
      </x:c>
      <x:c r="M290" s="20" t="str">
        <x:v>高速追击</x:v>
      </x:c>
      <x:c r="N290" s="20" t="str">
        <x:v>巡界牙戒</x:v>
      </x:c>
      <x:c r="O290" s="20" t="str">
        <x:v>戒指</x:v>
      </x:c>
      <x:c r="P290" s="20" t="str">
        <x:v>冻晶尘</x:v>
      </x:c>
      <x:c r="Q290" s="20" t="str"/>
      <x:c r="R290" s="20" t="str">
        <x:v>白金路标片</x:v>
      </x:c>
      <x:c r="S290" s="20" t="str">
        <x:v>永霜朝圣痕</x:v>
      </x:c>
      <x:c r="T290" s="20" t="str">
        <x:v>否</x:v>
      </x:c>
      <x:c r="U290" s="20" t="str">
        <x:v>是（公共奖池）</x:v>
      </x:c>
      <x:c r="V290" s="22" t="str">
        <x:v>结构定稿</x:v>
      </x:c>
      <x:c r="W290" s="36" t="str">
        <x:v>用户自行分配／本表不处理</x:v>
      </x:c>
      <x:c r="X290" s="33" t="n">
        <x:v>5943</x:v>
      </x:c>
      <x:c r="Y290" s="29" t="str">
        <x:v>后期统一平衡</x:v>
      </x:c>
      <x:c r="Z290" s="20" t="str">
        <x:v>一怪一专属；专属来源跟随本行准确地图号</x:v>
      </x:c>
    </x:row>
    <x:row r="291" ht="24" customHeight="1">
      <x:c r="A291" s="20" t="str">
        <x:v>C07-M031</x:v>
      </x:c>
      <x:c r="B291" s="20" t="str">
        <x:v>C07</x:v>
      </x:c>
      <x:c r="C291" s="20" t="str">
        <x:v>化圣雪原</x:v>
      </x:c>
      <x:c r="D291" s="20" t="n">
        <x:v>3</x:v>
      </x:c>
      <x:c r="E291" s="20" t="str">
        <x:v>极寒禁域</x:v>
      </x:c>
      <x:c r="F291" s="20" t="n">
        <x:v>2</x:v>
      </x:c>
      <x:c r="G291" s="20" t="str">
        <x:v>XX908</x:v>
      </x:c>
      <x:c r="H291" s="20" t="str">
        <x:v>冻雾边界</x:v>
      </x:c>
      <x:c r="I291" s="20" t="str">
        <x:v>冻雾幻刃客</x:v>
      </x:c>
      <x:c r="J291" s="20" t="str">
        <x:v>蓝色</x:v>
      </x:c>
      <x:c r="K291" s="20" t="str">
        <x:v>稀有</x:v>
      </x:c>
      <x:c r="L291" s="20" t="str">
        <x:v>冻雾刺客</x:v>
      </x:c>
      <x:c r="M291" s="20" t="str">
        <x:v>侧翼爆发</x:v>
      </x:c>
      <x:c r="N291" s="20" t="str">
        <x:v>幻刃腰封</x:v>
      </x:c>
      <x:c r="O291" s="20" t="str">
        <x:v>腰带</x:v>
      </x:c>
      <x:c r="P291" s="20" t="str">
        <x:v>冻晶尘</x:v>
      </x:c>
      <x:c r="Q291" s="20" t="str">
        <x:v>白金纺线</x:v>
      </x:c>
      <x:c r="R291" s="20" t="str">
        <x:v>冻原银角</x:v>
      </x:c>
      <x:c r="S291" s="20" t="str">
        <x:v>永霜朝圣痕</x:v>
      </x:c>
      <x:c r="T291" s="20" t="str">
        <x:v>否</x:v>
      </x:c>
      <x:c r="U291" s="20" t="str">
        <x:v>是（公共奖池）</x:v>
      </x:c>
      <x:c r="V291" s="22" t="str">
        <x:v>结构定稿</x:v>
      </x:c>
      <x:c r="W291" s="36" t="str">
        <x:v>用户自行分配／本表不处理</x:v>
      </x:c>
      <x:c r="X291" s="33" t="n">
        <x:v>5893</x:v>
      </x:c>
      <x:c r="Y291" s="29" t="str">
        <x:v>后期统一平衡</x:v>
      </x:c>
      <x:c r="Z291" s="20" t="str">
        <x:v>一怪一专属；专属来源跟随本行准确地图号</x:v>
      </x:c>
    </x:row>
    <x:row r="292" ht="24" customHeight="1">
      <x:c r="A292" s="20" t="str">
        <x:v>C07-M032</x:v>
      </x:c>
      <x:c r="B292" s="20" t="str">
        <x:v>C07</x:v>
      </x:c>
      <x:c r="C292" s="20" t="str">
        <x:v>化圣雪原</x:v>
      </x:c>
      <x:c r="D292" s="20" t="n">
        <x:v>3</x:v>
      </x:c>
      <x:c r="E292" s="20" t="str">
        <x:v>极寒禁域</x:v>
      </x:c>
      <x:c r="F292" s="20" t="n">
        <x:v>3</x:v>
      </x:c>
      <x:c r="G292" s="20" t="str">
        <x:v>XX909</x:v>
      </x:c>
      <x:c r="H292" s="20" t="str">
        <x:v>寒狱腹地</x:v>
      </x:c>
      <x:c r="I292" s="20" t="str">
        <x:v>寒狱冰骨将</x:v>
      </x:c>
      <x:c r="J292" s="20" t="str">
        <x:v>蓝色</x:v>
      </x:c>
      <x:c r="K292" s="20" t="str">
        <x:v>稀有</x:v>
      </x:c>
      <x:c r="L292" s="20" t="str">
        <x:v>寒狱将领</x:v>
      </x:c>
      <x:c r="M292" s="20" t="str">
        <x:v>重装推进</x:v>
      </x:c>
      <x:c r="N292" s="20" t="str">
        <x:v>冰骨战靴</x:v>
      </x:c>
      <x:c r="O292" s="20" t="str">
        <x:v>鞋子</x:v>
      </x:c>
      <x:c r="P292" s="20" t="str">
        <x:v>冻晶尘</x:v>
      </x:c>
      <x:c r="Q292" s="20" t="str">
        <x:v>白金纺线</x:v>
      </x:c>
      <x:c r="R292" s="20" t="str">
        <x:v>冻原银角</x:v>
      </x:c>
      <x:c r="S292" s="20" t="str">
        <x:v>永霜朝圣痕</x:v>
      </x:c>
      <x:c r="T292" s="20" t="str">
        <x:v>否</x:v>
      </x:c>
      <x:c r="U292" s="20" t="str">
        <x:v>是（公共奖池）</x:v>
      </x:c>
      <x:c r="V292" s="22" t="str">
        <x:v>结构定稿</x:v>
      </x:c>
      <x:c r="W292" s="36" t="str">
        <x:v>用户自行分配／本表不处理</x:v>
      </x:c>
      <x:c r="X292" s="33" t="n">
        <x:v>5901</x:v>
      </x:c>
      <x:c r="Y292" s="29" t="str">
        <x:v>后期统一平衡</x:v>
      </x:c>
      <x:c r="Z292" s="20" t="str">
        <x:v>一怪一专属；专属来源跟随本行准确地图号</x:v>
      </x:c>
    </x:row>
    <x:row r="293" ht="24" customHeight="1">
      <x:c r="A293" s="20" t="str">
        <x:v>C07-M033</x:v>
      </x:c>
      <x:c r="B293" s="20" t="str">
        <x:v>C07</x:v>
      </x:c>
      <x:c r="C293" s="20" t="str">
        <x:v>化圣雪原</x:v>
      </x:c>
      <x:c r="D293" s="20" t="n">
        <x:v>3</x:v>
      </x:c>
      <x:c r="E293" s="20" t="str">
        <x:v>极寒禁域</x:v>
      </x:c>
      <x:c r="F293" s="20" t="n">
        <x:v>4</x:v>
      </x:c>
      <x:c r="G293" s="20" t="str">
        <x:v>XX910</x:v>
      </x:c>
      <x:c r="H293" s="20" t="str">
        <x:v>冰封祭坛</x:v>
      </x:c>
      <x:c r="I293" s="20" t="str">
        <x:v>祭坛霜钟僧</x:v>
      </x:c>
      <x:c r="J293" s="20" t="str">
        <x:v>蓝色</x:v>
      </x:c>
      <x:c r="K293" s="20" t="str">
        <x:v>稀有</x:v>
      </x:c>
      <x:c r="L293" s="20" t="str">
        <x:v>冰祭僧侣</x:v>
      </x:c>
      <x:c r="M293" s="20" t="str">
        <x:v>范围封锁</x:v>
      </x:c>
      <x:c r="N293" s="20" t="str">
        <x:v>霜钟罪章</x:v>
      </x:c>
      <x:c r="O293" s="20" t="str">
        <x:v>勋章</x:v>
      </x:c>
      <x:c r="P293" s="20" t="str">
        <x:v>冻晶尘</x:v>
      </x:c>
      <x:c r="Q293" s="20" t="str">
        <x:v>白金纺线</x:v>
      </x:c>
      <x:c r="R293" s="20" t="str">
        <x:v>冻原银角</x:v>
      </x:c>
      <x:c r="S293" s="20" t="str">
        <x:v>永霜朝圣痕</x:v>
      </x:c>
      <x:c r="T293" s="20" t="str">
        <x:v>否</x:v>
      </x:c>
      <x:c r="U293" s="20" t="str">
        <x:v>是（公共奖池）</x:v>
      </x:c>
      <x:c r="V293" s="22" t="str">
        <x:v>结构定稿</x:v>
      </x:c>
      <x:c r="W293" s="36" t="str">
        <x:v>用户自行分配／本表不处理</x:v>
      </x:c>
      <x:c r="X293" s="33" t="n">
        <x:v>7069</x:v>
      </x:c>
      <x:c r="Y293" s="29" t="str">
        <x:v>后期统一平衡</x:v>
      </x:c>
      <x:c r="Z293" s="20" t="str">
        <x:v>一怪一专属；专属来源跟随本行准确地图号</x:v>
      </x:c>
    </x:row>
    <x:row r="294" ht="24" customHeight="1">
      <x:c r="A294" s="20" t="str">
        <x:v>C07-M034</x:v>
      </x:c>
      <x:c r="B294" s="20" t="str">
        <x:v>C07</x:v>
      </x:c>
      <x:c r="C294" s="20" t="str">
        <x:v>化圣雪原</x:v>
      </x:c>
      <x:c r="D294" s="20" t="n">
        <x:v>3</x:v>
      </x:c>
      <x:c r="E294" s="20" t="str">
        <x:v>极寒禁域</x:v>
      </x:c>
      <x:c r="F294" s="20" t="n">
        <x:v>5</x:v>
      </x:c>
      <x:c r="G294" s="20" t="str">
        <x:v>XX911</x:v>
      </x:c>
      <x:c r="H294" s="20" t="str">
        <x:v>极寒圣所</x:v>
      </x:c>
      <x:c r="I294" s="20" t="str">
        <x:v>圣所银角兽</x:v>
      </x:c>
      <x:c r="J294" s="20" t="str">
        <x:v>蓝色</x:v>
      </x:c>
      <x:c r="K294" s="20" t="str">
        <x:v>稀有</x:v>
      </x:c>
      <x:c r="L294" s="20" t="str">
        <x:v>圣所巨兽</x:v>
      </x:c>
      <x:c r="M294" s="20" t="str">
        <x:v>重盾牵制</x:v>
      </x:c>
      <x:c r="N294" s="20" t="str">
        <x:v>银角塔盾</x:v>
      </x:c>
      <x:c r="O294" s="20" t="str">
        <x:v>盾牌</x:v>
      </x:c>
      <x:c r="P294" s="20" t="str">
        <x:v>冻晶尘</x:v>
      </x:c>
      <x:c r="Q294" s="20" t="str">
        <x:v>白金纺线</x:v>
      </x:c>
      <x:c r="R294" s="20" t="str">
        <x:v>冻原银角</x:v>
      </x:c>
      <x:c r="S294" s="20" t="str">
        <x:v>永霜朝圣痕</x:v>
      </x:c>
      <x:c r="T294" s="20" t="str">
        <x:v>否</x:v>
      </x:c>
      <x:c r="U294" s="20" t="str">
        <x:v>是（公共奖池）</x:v>
      </x:c>
      <x:c r="V294" s="22" t="str">
        <x:v>结构定稿</x:v>
      </x:c>
      <x:c r="W294" s="36" t="str">
        <x:v>用户自行分配／本表不处理</x:v>
      </x:c>
      <x:c r="X294" s="33" t="n">
        <x:v>5899</x:v>
      </x:c>
      <x:c r="Y294" s="29" t="str">
        <x:v>后期统一平衡</x:v>
      </x:c>
      <x:c r="Z294" s="20" t="str">
        <x:v>一怪一专属；专属来源跟随本行准确地图号</x:v>
      </x:c>
    </x:row>
    <x:row r="295" ht="24" customHeight="1">
      <x:c r="A295" s="20" t="str">
        <x:v>C07-M035</x:v>
      </x:c>
      <x:c r="B295" s="20" t="str">
        <x:v>C07</x:v>
      </x:c>
      <x:c r="C295" s="20" t="str">
        <x:v>化圣雪原</x:v>
      </x:c>
      <x:c r="D295" s="20" t="n">
        <x:v>3</x:v>
      </x:c>
      <x:c r="E295" s="20" t="str">
        <x:v>极寒禁域</x:v>
      </x:c>
      <x:c r="F295" s="20" t="n">
        <x:v>4</x:v>
      </x:c>
      <x:c r="G295" s="20" t="str">
        <x:v>XX910</x:v>
      </x:c>
      <x:c r="H295" s="20" t="str">
        <x:v>冰封祭坛</x:v>
      </x:c>
      <x:c r="I295" s="20" t="str">
        <x:v>冰祭审判者·诺薇</x:v>
      </x:c>
      <x:c r="J295" s="20" t="str">
        <x:v>粉色</x:v>
      </x:c>
      <x:c r="K295" s="20" t="str">
        <x:v>地图BOSS</x:v>
      </x:c>
      <x:c r="L295" s="20" t="str">
        <x:v>冰祭审判者</x:v>
      </x:c>
      <x:c r="M295" s="20" t="str">
        <x:v>范围处刑</x:v>
      </x:c>
      <x:c r="N295" s="20" t="str">
        <x:v>诺薇霜镰</x:v>
      </x:c>
      <x:c r="O295" s="20" t="str">
        <x:v>武器</x:v>
      </x:c>
      <x:c r="P295" s="20" t="str">
        <x:v>冻晶尘</x:v>
      </x:c>
      <x:c r="Q295" s="20" t="str">
        <x:v>白金纺线＋圣雪誓印</x:v>
      </x:c>
      <x:c r="R295" s="20" t="str">
        <x:v>秘树霜芽</x:v>
      </x:c>
      <x:c r="S295" s="20" t="str">
        <x:v>永霜朝圣痕</x:v>
      </x:c>
      <x:c r="T295" s="20" t="str">
        <x:v>是（独立奖池）</x:v>
      </x:c>
      <x:c r="U295" s="20" t="str">
        <x:v>是（公共奖池）</x:v>
      </x:c>
      <x:c r="V295" s="22" t="str">
        <x:v>结构定稿</x:v>
      </x:c>
      <x:c r="W295" s="36" t="str">
        <x:v>用户自行分配／本表不处理</x:v>
      </x:c>
      <x:c r="X295" s="34" t="str">
        <x:v>缺武器来源码</x:v>
      </x:c>
      <x:c r="Y295" s="29" t="str">
        <x:v>后期统一平衡</x:v>
      </x:c>
      <x:c r="Z295" s="20" t="str">
        <x:v>一怪一专属；专属来源跟随本行准确地图号</x:v>
      </x:c>
    </x:row>
    <x:row r="296" ht="24" customHeight="1">
      <x:c r="A296" s="20" t="str">
        <x:v>C07-M036</x:v>
      </x:c>
      <x:c r="B296" s="20" t="str">
        <x:v>C07</x:v>
      </x:c>
      <x:c r="C296" s="20" t="str">
        <x:v>化圣雪原</x:v>
      </x:c>
      <x:c r="D296" s="20" t="n">
        <x:v>3</x:v>
      </x:c>
      <x:c r="E296" s="20" t="str">
        <x:v>极寒禁域</x:v>
      </x:c>
      <x:c r="F296" s="20" t="n">
        <x:v>5</x:v>
      </x:c>
      <x:c r="G296" s="20" t="str">
        <x:v>XX911</x:v>
      </x:c>
      <x:c r="H296" s="20" t="str">
        <x:v>极寒圣所</x:v>
      </x:c>
      <x:c r="I296" s="20" t="str">
        <x:v>极寒圣女·希尔达</x:v>
      </x:c>
      <x:c r="J296" s="20" t="str">
        <x:v>粉色</x:v>
      </x:c>
      <x:c r="K296" s="20" t="str">
        <x:v>地图BOSS</x:v>
      </x:c>
      <x:c r="L296" s="20" t="str">
        <x:v>极寒圣女</x:v>
      </x:c>
      <x:c r="M296" s="20" t="str">
        <x:v>冰域支配</x:v>
      </x:c>
      <x:c r="N296" s="20" t="str">
        <x:v>希尔达圣冠</x:v>
      </x:c>
      <x:c r="O296" s="20" t="str">
        <x:v>头盔</x:v>
      </x:c>
      <x:c r="P296" s="20" t="str">
        <x:v>冻晶尘</x:v>
      </x:c>
      <x:c r="Q296" s="20" t="str">
        <x:v>白金纺线＋圣雪誓印</x:v>
      </x:c>
      <x:c r="R296" s="20" t="str">
        <x:v>秘树霜芽</x:v>
      </x:c>
      <x:c r="S296" s="20" t="str">
        <x:v>永霜朝圣痕</x:v>
      </x:c>
      <x:c r="T296" s="20" t="str">
        <x:v>是（独立奖池）</x:v>
      </x:c>
      <x:c r="U296" s="20" t="str">
        <x:v>是（公共奖池）</x:v>
      </x:c>
      <x:c r="V296" s="22" t="str">
        <x:v>结构定稿</x:v>
      </x:c>
      <x:c r="W296" s="36" t="str">
        <x:v>用户自行分配／本表不处理</x:v>
      </x:c>
      <x:c r="X296" s="33" t="n">
        <x:v>5950</x:v>
      </x:c>
      <x:c r="Y296" s="29" t="str">
        <x:v>后期统一平衡</x:v>
      </x:c>
      <x:c r="Z296" s="20" t="str">
        <x:v>一怪一专属；专属来源跟随本行准确地图号</x:v>
      </x:c>
    </x:row>
    <x:row r="297" ht="24" customHeight="1">
      <x:c r="A297" s="20" t="str">
        <x:v>C07-M037</x:v>
      </x:c>
      <x:c r="B297" s="20" t="str">
        <x:v>C07</x:v>
      </x:c>
      <x:c r="C297" s="20" t="str">
        <x:v>化圣雪原</x:v>
      </x:c>
      <x:c r="D297" s="20" t="n">
        <x:v>3</x:v>
      </x:c>
      <x:c r="E297" s="20" t="str">
        <x:v>极寒禁域</x:v>
      </x:c>
      <x:c r="F297" s="20" t="n">
        <x:v>5</x:v>
      </x:c>
      <x:c r="G297" s="20" t="str">
        <x:v>XX911</x:v>
      </x:c>
      <x:c r="H297" s="20" t="str">
        <x:v>极寒圣所</x:v>
      </x:c>
      <x:c r="I297" s="20" t="str">
        <x:v>化圣霜王·埃琉斯</x:v>
      </x:c>
      <x:c r="J297" s="20" t="str">
        <x:v>红色</x:v>
      </x:c>
      <x:c r="K297" s="20" t="str">
        <x:v>守关BOSS</x:v>
      </x:c>
      <x:c r="L297" s="20" t="str">
        <x:v>化圣霜王</x:v>
      </x:c>
      <x:c r="M297" s="20" t="str">
        <x:v>终局封锁</x:v>
      </x:c>
      <x:c r="N297" s="20" t="str">
        <x:v>埃琉斯永霜铠</x:v>
      </x:c>
      <x:c r="O297" s="20" t="str">
        <x:v>衣服</x:v>
      </x:c>
      <x:c r="P297" s="20" t="str">
        <x:v>冻晶尘</x:v>
      </x:c>
      <x:c r="Q297" s="20" t="str">
        <x:v>白金纺线＋圣雪誓印</x:v>
      </x:c>
      <x:c r="R297" s="20" t="str">
        <x:v>圣雪门楔</x:v>
      </x:c>
      <x:c r="S297" s="20" t="str">
        <x:v>永霜朝圣痕</x:v>
      </x:c>
      <x:c r="T297" s="20" t="str">
        <x:v>是（独立奖池）</x:v>
      </x:c>
      <x:c r="U297" s="20" t="str">
        <x:v>是（公共奖池）</x:v>
      </x:c>
      <x:c r="V297" s="22" t="str">
        <x:v>结构定稿</x:v>
      </x:c>
      <x:c r="W297" s="36" t="str">
        <x:v>用户自行分配／本表不处理</x:v>
      </x:c>
      <x:c r="X297" s="33" t="n">
        <x:v>7062</x:v>
      </x:c>
      <x:c r="Y297" s="29" t="str">
        <x:v>后期统一平衡</x:v>
      </x:c>
      <x:c r="Z297" s="20" t="str">
        <x:v>大陆最终守关；本表不填属性、爆率和货币</x:v>
      </x:c>
    </x:row>
    <x:row r="298" ht="24" customHeight="1">
      <x:c r="A298" s="20" t="str">
        <x:v>C08-M001</x:v>
      </x:c>
      <x:c r="B298" s="20" t="str">
        <x:v>C08</x:v>
      </x:c>
      <x:c r="C298" s="20" t="str">
        <x:v>巨人山顶</x:v>
      </x:c>
      <x:c r="D298" s="20" t="n">
        <x:v>1</x:v>
      </x:c>
      <x:c r="E298" s="20" t="str">
        <x:v>寒霜山径</x:v>
      </x:c>
      <x:c r="F298" s="20" t="n">
        <x:v>1</x:v>
      </x:c>
      <x:c r="G298" s="20" t="str">
        <x:v>XX900</x:v>
      </x:c>
      <x:c r="H298" s="20" t="str">
        <x:v>寒霜山径</x:v>
      </x:c>
      <x:c r="I298" s="20" t="str">
        <x:v>霜蹄岩羊</x:v>
      </x:c>
      <x:c r="J298" s="20" t="str">
        <x:v>黄色</x:v>
      </x:c>
      <x:c r="K298" s="20" t="str">
        <x:v>普通</x:v>
      </x:c>
      <x:c r="L298" s="20" t="str">
        <x:v>兽类</x:v>
      </x:c>
      <x:c r="M298" s="20" t="str">
        <x:v>敏捷</x:v>
      </x:c>
      <x:c r="N298" s="20" t="str">
        <x:v>霜蹄踏雪靴</x:v>
      </x:c>
      <x:c r="O298" s="20" t="str">
        <x:v>鞋子</x:v>
      </x:c>
      <x:c r="P298" s="20" t="str">
        <x:v>霜脊铁</x:v>
      </x:c>
      <x:c r="Q298" s="20" t="str"/>
      <x:c r="R298" s="20" t="str">
        <x:v>登山铁楔</x:v>
      </x:c>
      <x:c r="S298" s="20" t="str">
        <x:v>穹霜碑珀</x:v>
      </x:c>
      <x:c r="T298" s="20" t="str">
        <x:v>否</x:v>
      </x:c>
      <x:c r="U298" s="20" t="str">
        <x:v>是（公共奖池）</x:v>
      </x:c>
      <x:c r="V298" s="22" t="str">
        <x:v>结构定稿</x:v>
      </x:c>
      <x:c r="W298" s="36" t="str">
        <x:v>用户自行分配／本表不处理</x:v>
      </x:c>
      <x:c r="X298" s="33" t="n">
        <x:v>5910</x:v>
      </x:c>
      <x:c r="Y298" s="29" t="str">
        <x:v>后期统一平衡</x:v>
      </x:c>
      <x:c r="Z298" s="20" t="str">
        <x:v>一怪一专属；专属来源跟随本行准确地图号</x:v>
      </x:c>
    </x:row>
    <x:row r="299" ht="24" customHeight="1">
      <x:c r="A299" s="20" t="str">
        <x:v>C08-M002</x:v>
      </x:c>
      <x:c r="B299" s="20" t="str">
        <x:v>C08</x:v>
      </x:c>
      <x:c r="C299" s="20" t="str">
        <x:v>巨人山顶</x:v>
      </x:c>
      <x:c r="D299" s="20" t="n">
        <x:v>1</x:v>
      </x:c>
      <x:c r="E299" s="20" t="str">
        <x:v>寒霜山径</x:v>
      </x:c>
      <x:c r="F299" s="20" t="n">
        <x:v>1</x:v>
      </x:c>
      <x:c r="G299" s="20" t="str">
        <x:v>XX900</x:v>
      </x:c>
      <x:c r="H299" s="20" t="str">
        <x:v>寒霜山径</x:v>
      </x:c>
      <x:c r="I299" s="20" t="str">
        <x:v>背冰拾荒者</x:v>
      </x:c>
      <x:c r="J299" s="20" t="str">
        <x:v>黄色</x:v>
      </x:c>
      <x:c r="K299" s="20" t="str">
        <x:v>普通</x:v>
      </x:c>
      <x:c r="L299" s="20" t="str">
        <x:v>人形</x:v>
      </x:c>
      <x:c r="M299" s="20" t="str">
        <x:v>近战</x:v>
      </x:c>
      <x:c r="N299" s="20" t="str">
        <x:v>拾荒冰镐</x:v>
      </x:c>
      <x:c r="O299" s="20" t="str">
        <x:v>武器</x:v>
      </x:c>
      <x:c r="P299" s="20" t="str">
        <x:v>霜脊铁</x:v>
      </x:c>
      <x:c r="Q299" s="20" t="str"/>
      <x:c r="R299" s="20" t="str">
        <x:v>登山铁楔</x:v>
      </x:c>
      <x:c r="S299" s="20" t="str">
        <x:v>穹霜碑珀</x:v>
      </x:c>
      <x:c r="T299" s="20" t="str">
        <x:v>否</x:v>
      </x:c>
      <x:c r="U299" s="20" t="str">
        <x:v>是（公共奖池）</x:v>
      </x:c>
      <x:c r="V299" s="22" t="str">
        <x:v>结构定稿</x:v>
      </x:c>
      <x:c r="W299" s="36" t="str">
        <x:v>用户自行分配／本表不处理</x:v>
      </x:c>
      <x:c r="X299" s="34" t="str">
        <x:v>缺武器来源码</x:v>
      </x:c>
      <x:c r="Y299" s="29" t="str">
        <x:v>后期统一平衡</x:v>
      </x:c>
      <x:c r="Z299" s="20" t="str">
        <x:v>一怪一专属；专属来源跟随本行准确地图号</x:v>
      </x:c>
    </x:row>
    <x:row r="300" ht="24" customHeight="1">
      <x:c r="A300" s="20" t="str">
        <x:v>C08-M003</x:v>
      </x:c>
      <x:c r="B300" s="20" t="str">
        <x:v>C08</x:v>
      </x:c>
      <x:c r="C300" s="20" t="str">
        <x:v>巨人山顶</x:v>
      </x:c>
      <x:c r="D300" s="20" t="n">
        <x:v>1</x:v>
      </x:c>
      <x:c r="E300" s="20" t="str">
        <x:v>寒霜山径</x:v>
      </x:c>
      <x:c r="F300" s="20" t="n">
        <x:v>2</x:v>
      </x:c>
      <x:c r="G300" s="20" t="str">
        <x:v>XX901</x:v>
      </x:c>
      <x:c r="H300" s="20" t="str">
        <x:v>冰脊古道</x:v>
      </x:c>
      <x:c r="I300" s="20" t="str">
        <x:v>冰脊雪猿</x:v>
      </x:c>
      <x:c r="J300" s="20" t="str">
        <x:v>黄色</x:v>
      </x:c>
      <x:c r="K300" s="20" t="str">
        <x:v>普通</x:v>
      </x:c>
      <x:c r="L300" s="20" t="str">
        <x:v>兽类</x:v>
      </x:c>
      <x:c r="M300" s="20" t="str">
        <x:v>近战</x:v>
      </x:c>
      <x:c r="N300" s="20" t="str">
        <x:v>雪猿鬃甲</x:v>
      </x:c>
      <x:c r="O300" s="20" t="str">
        <x:v>衣服</x:v>
      </x:c>
      <x:c r="P300" s="20" t="str">
        <x:v>霜脊铁</x:v>
      </x:c>
      <x:c r="Q300" s="20" t="str"/>
      <x:c r="R300" s="20" t="str">
        <x:v>登山铁楔</x:v>
      </x:c>
      <x:c r="S300" s="20" t="str">
        <x:v>穹霜碑珀</x:v>
      </x:c>
      <x:c r="T300" s="20" t="str">
        <x:v>否</x:v>
      </x:c>
      <x:c r="U300" s="20" t="str">
        <x:v>是（公共奖池）</x:v>
      </x:c>
      <x:c r="V300" s="22" t="str">
        <x:v>结构定稿</x:v>
      </x:c>
      <x:c r="W300" s="36" t="str">
        <x:v>用户自行分配／本表不处理</x:v>
      </x:c>
      <x:c r="X300" s="34" t="str">
        <x:v>缺衣服来源码</x:v>
      </x:c>
      <x:c r="Y300" s="29" t="str">
        <x:v>后期统一平衡</x:v>
      </x:c>
      <x:c r="Z300" s="20" t="str">
        <x:v>一怪一专属；专属来源跟随本行准确地图号</x:v>
      </x:c>
    </x:row>
    <x:row r="301" ht="24" customHeight="1">
      <x:c r="A301" s="20" t="str">
        <x:v>C08-M004</x:v>
      </x:c>
      <x:c r="B301" s="20" t="str">
        <x:v>C08</x:v>
      </x:c>
      <x:c r="C301" s="20" t="str">
        <x:v>巨人山顶</x:v>
      </x:c>
      <x:c r="D301" s="20" t="n">
        <x:v>1</x:v>
      </x:c>
      <x:c r="E301" s="20" t="str">
        <x:v>寒霜山径</x:v>
      </x:c>
      <x:c r="F301" s="20" t="n">
        <x:v>2</x:v>
      </x:c>
      <x:c r="G301" s="20" t="str">
        <x:v>XX901</x:v>
      </x:c>
      <x:c r="H301" s="20" t="str">
        <x:v>冰脊古道</x:v>
      </x:c>
      <x:c r="I301" s="20" t="str">
        <x:v>古道冻骸</x:v>
      </x:c>
      <x:c r="J301" s="20" t="str">
        <x:v>黄色</x:v>
      </x:c>
      <x:c r="K301" s="20" t="str">
        <x:v>普通</x:v>
      </x:c>
      <x:c r="L301" s="20" t="str">
        <x:v>亡灵</x:v>
      </x:c>
      <x:c r="M301" s="20" t="str">
        <x:v>重装</x:v>
      </x:c>
      <x:c r="N301" s="20" t="str">
        <x:v>冻骨圆盾</x:v>
      </x:c>
      <x:c r="O301" s="20" t="str">
        <x:v>盾牌</x:v>
      </x:c>
      <x:c r="P301" s="20" t="str">
        <x:v>霜脊铁</x:v>
      </x:c>
      <x:c r="Q301" s="20" t="str"/>
      <x:c r="R301" s="20" t="str">
        <x:v>登山铁楔</x:v>
      </x:c>
      <x:c r="S301" s="20" t="str">
        <x:v>穹霜碑珀</x:v>
      </x:c>
      <x:c r="T301" s="20" t="str">
        <x:v>否</x:v>
      </x:c>
      <x:c r="U301" s="20" t="str">
        <x:v>是（公共奖池）</x:v>
      </x:c>
      <x:c r="V301" s="22" t="str">
        <x:v>结构定稿</x:v>
      </x:c>
      <x:c r="W301" s="36" t="str">
        <x:v>用户自行分配／本表不处理</x:v>
      </x:c>
      <x:c r="X301" s="33" t="n">
        <x:v>5908</x:v>
      </x:c>
      <x:c r="Y301" s="29" t="str">
        <x:v>后期统一平衡</x:v>
      </x:c>
      <x:c r="Z301" s="20" t="str">
        <x:v>一怪一专属；专属来源跟随本行准确地图号</x:v>
      </x:c>
    </x:row>
    <x:row r="302" ht="24" customHeight="1">
      <x:c r="A302" s="20" t="str">
        <x:v>C08-M005</x:v>
      </x:c>
      <x:c r="B302" s="20" t="str">
        <x:v>C08</x:v>
      </x:c>
      <x:c r="C302" s="20" t="str">
        <x:v>巨人山顶</x:v>
      </x:c>
      <x:c r="D302" s="20" t="n">
        <x:v>1</x:v>
      </x:c>
      <x:c r="E302" s="20" t="str">
        <x:v>寒霜山径</x:v>
      </x:c>
      <x:c r="F302" s="20" t="n">
        <x:v>3</x:v>
      </x:c>
      <x:c r="G302" s="20" t="str">
        <x:v>XX902</x:v>
      </x:c>
      <x:c r="H302" s="20" t="str">
        <x:v>暴雪险峰</x:v>
      </x:c>
      <x:c r="I302" s="20" t="str">
        <x:v>暴雪青隼</x:v>
      </x:c>
      <x:c r="J302" s="20" t="str">
        <x:v>黄色</x:v>
      </x:c>
      <x:c r="K302" s="20" t="str">
        <x:v>普通</x:v>
      </x:c>
      <x:c r="L302" s="20" t="str">
        <x:v>兽类</x:v>
      </x:c>
      <x:c r="M302" s="20" t="str">
        <x:v>远程</x:v>
      </x:c>
      <x:c r="N302" s="20" t="str">
        <x:v>青隼翎盔</x:v>
      </x:c>
      <x:c r="O302" s="20" t="str">
        <x:v>头盔</x:v>
      </x:c>
      <x:c r="P302" s="20" t="str">
        <x:v>霜脊铁</x:v>
      </x:c>
      <x:c r="Q302" s="20" t="str"/>
      <x:c r="R302" s="20" t="str">
        <x:v>登山铁楔</x:v>
      </x:c>
      <x:c r="S302" s="20" t="str">
        <x:v>穹霜碑珀</x:v>
      </x:c>
      <x:c r="T302" s="20" t="str">
        <x:v>否</x:v>
      </x:c>
      <x:c r="U302" s="20" t="str">
        <x:v>是（公共奖池）</x:v>
      </x:c>
      <x:c r="V302" s="22" t="str">
        <x:v>结构定稿</x:v>
      </x:c>
      <x:c r="W302" s="36" t="str">
        <x:v>用户自行分配／本表不处理</x:v>
      </x:c>
      <x:c r="X302" s="33" t="n">
        <x:v>5959</x:v>
      </x:c>
      <x:c r="Y302" s="29" t="str">
        <x:v>后期统一平衡</x:v>
      </x:c>
      <x:c r="Z302" s="20" t="str">
        <x:v>一怪一专属；专属来源跟随本行准确地图号</x:v>
      </x:c>
    </x:row>
    <x:row r="303" ht="24" customHeight="1">
      <x:c r="A303" s="20" t="str">
        <x:v>C08-M006</x:v>
      </x:c>
      <x:c r="B303" s="20" t="str">
        <x:v>C08</x:v>
      </x:c>
      <x:c r="C303" s="20" t="str">
        <x:v>巨人山顶</x:v>
      </x:c>
      <x:c r="D303" s="20" t="n">
        <x:v>1</x:v>
      </x:c>
      <x:c r="E303" s="20" t="str">
        <x:v>寒霜山径</x:v>
      </x:c>
      <x:c r="F303" s="20" t="n">
        <x:v>4</x:v>
      </x:c>
      <x:c r="G303" s="20" t="str">
        <x:v>XX903</x:v>
      </x:c>
      <x:c r="H303" s="20" t="str">
        <x:v>山巅祭台</x:v>
      </x:c>
      <x:c r="I303" s="20" t="str">
        <x:v>祭台霜烛灵</x:v>
      </x:c>
      <x:c r="J303" s="20" t="str">
        <x:v>黄色</x:v>
      </x:c>
      <x:c r="K303" s="20" t="str">
        <x:v>普通</x:v>
      </x:c>
      <x:c r="L303" s="20" t="str">
        <x:v>元素</x:v>
      </x:c>
      <x:c r="M303" s="20" t="str">
        <x:v>法术</x:v>
      </x:c>
      <x:c r="N303" s="20" t="str">
        <x:v>霜烛垂链</x:v>
      </x:c>
      <x:c r="O303" s="20" t="str">
        <x:v>项链</x:v>
      </x:c>
      <x:c r="P303" s="20" t="str">
        <x:v>霜脊铁</x:v>
      </x:c>
      <x:c r="Q303" s="20" t="str"/>
      <x:c r="R303" s="20" t="str">
        <x:v>登山铁楔</x:v>
      </x:c>
      <x:c r="S303" s="20" t="str">
        <x:v>穹霜碑珀</x:v>
      </x:c>
      <x:c r="T303" s="20" t="str">
        <x:v>否</x:v>
      </x:c>
      <x:c r="U303" s="20" t="str">
        <x:v>是（公共奖池）</x:v>
      </x:c>
      <x:c r="V303" s="22" t="str">
        <x:v>结构定稿</x:v>
      </x:c>
      <x:c r="W303" s="36" t="str">
        <x:v>用户自行分配／本表不处理</x:v>
      </x:c>
      <x:c r="X303" s="33" t="n">
        <x:v>5958</x:v>
      </x:c>
      <x:c r="Y303" s="29" t="str">
        <x:v>后期统一平衡</x:v>
      </x:c>
      <x:c r="Z303" s="20" t="str">
        <x:v>一怪一专属；专属来源跟随本行准确地图号</x:v>
      </x:c>
    </x:row>
    <x:row r="304" ht="24" customHeight="1">
      <x:c r="A304" s="20" t="str">
        <x:v>C08-M007</x:v>
      </x:c>
      <x:c r="B304" s="20" t="str">
        <x:v>C08</x:v>
      </x:c>
      <x:c r="C304" s="20" t="str">
        <x:v>巨人山顶</x:v>
      </x:c>
      <x:c r="D304" s="20" t="n">
        <x:v>1</x:v>
      </x:c>
      <x:c r="E304" s="20" t="str">
        <x:v>寒霜山径</x:v>
      </x:c>
      <x:c r="F304" s="20" t="n">
        <x:v>1</x:v>
      </x:c>
      <x:c r="G304" s="20" t="str">
        <x:v>XX900</x:v>
      </x:c>
      <x:c r="H304" s="20" t="str">
        <x:v>寒霜山径</x:v>
      </x:c>
      <x:c r="I304" s="20" t="str">
        <x:v>雾凇引路人</x:v>
      </x:c>
      <x:c r="J304" s="20" t="str">
        <x:v>蓝色</x:v>
      </x:c>
      <x:c r="K304" s="20" t="str">
        <x:v>稀有</x:v>
      </x:c>
      <x:c r="L304" s="20" t="str">
        <x:v>人形</x:v>
      </x:c>
      <x:c r="M304" s="20" t="str">
        <x:v>辅助</x:v>
      </x:c>
      <x:c r="N304" s="20" t="str">
        <x:v>雾凇引路笠</x:v>
      </x:c>
      <x:c r="O304" s="20" t="str">
        <x:v>斗笠</x:v>
      </x:c>
      <x:c r="P304" s="20" t="str">
        <x:v>霜脊铁</x:v>
      </x:c>
      <x:c r="Q304" s="20" t="str">
        <x:v>巨人火种</x:v>
      </x:c>
      <x:c r="R304" s="20" t="str">
        <x:v>裂峰号角片</x:v>
      </x:c>
      <x:c r="S304" s="20" t="str">
        <x:v>穹霜碑珀</x:v>
      </x:c>
      <x:c r="T304" s="20" t="str">
        <x:v>否</x:v>
      </x:c>
      <x:c r="U304" s="20" t="str">
        <x:v>是（公共奖池）</x:v>
      </x:c>
      <x:c r="V304" s="22" t="str">
        <x:v>结构定稿</x:v>
      </x:c>
      <x:c r="W304" s="36" t="str">
        <x:v>用户自行分配／本表不处理</x:v>
      </x:c>
      <x:c r="X304" s="33" t="n">
        <x:v>6645</x:v>
      </x:c>
      <x:c r="Y304" s="29" t="str">
        <x:v>后期统一平衡</x:v>
      </x:c>
      <x:c r="Z304" s="20" t="str">
        <x:v>一怪一专属；专属来源跟随本行准确地图号</x:v>
      </x:c>
    </x:row>
    <x:row r="305" ht="24" customHeight="1">
      <x:c r="A305" s="20" t="str">
        <x:v>C08-M008</x:v>
      </x:c>
      <x:c r="B305" s="20" t="str">
        <x:v>C08</x:v>
      </x:c>
      <x:c r="C305" s="20" t="str">
        <x:v>巨人山顶</x:v>
      </x:c>
      <x:c r="D305" s="20" t="n">
        <x:v>1</x:v>
      </x:c>
      <x:c r="E305" s="20" t="str">
        <x:v>寒霜山径</x:v>
      </x:c>
      <x:c r="F305" s="20" t="n">
        <x:v>2</x:v>
      </x:c>
      <x:c r="G305" s="20" t="str">
        <x:v>XX901</x:v>
      </x:c>
      <x:c r="H305" s="20" t="str">
        <x:v>冰脊古道</x:v>
      </x:c>
      <x:c r="I305" s="20" t="str">
        <x:v>冰脊驮碑兽</x:v>
      </x:c>
      <x:c r="J305" s="20" t="str">
        <x:v>蓝色</x:v>
      </x:c>
      <x:c r="K305" s="20" t="str">
        <x:v>稀有</x:v>
      </x:c>
      <x:c r="L305" s="20" t="str">
        <x:v>兽类</x:v>
      </x:c>
      <x:c r="M305" s="20" t="str">
        <x:v>重装</x:v>
      </x:c>
      <x:c r="N305" s="20" t="str">
        <x:v>驮碑束腰</x:v>
      </x:c>
      <x:c r="O305" s="20" t="str">
        <x:v>腰带</x:v>
      </x:c>
      <x:c r="P305" s="20" t="str">
        <x:v>霜脊铁</x:v>
      </x:c>
      <x:c r="Q305" s="20" t="str">
        <x:v>巨人火种</x:v>
      </x:c>
      <x:c r="R305" s="20" t="str">
        <x:v>裂峰号角片</x:v>
      </x:c>
      <x:c r="S305" s="20" t="str">
        <x:v>穹霜碑珀</x:v>
      </x:c>
      <x:c r="T305" s="20" t="str">
        <x:v>否</x:v>
      </x:c>
      <x:c r="U305" s="20" t="str">
        <x:v>是（公共奖池）</x:v>
      </x:c>
      <x:c r="V305" s="22" t="str">
        <x:v>结构定稿</x:v>
      </x:c>
      <x:c r="W305" s="36" t="str">
        <x:v>用户自行分配／本表不处理</x:v>
      </x:c>
      <x:c r="X305" s="33" t="n">
        <x:v>5902</x:v>
      </x:c>
      <x:c r="Y305" s="29" t="str">
        <x:v>后期统一平衡</x:v>
      </x:c>
      <x:c r="Z305" s="20" t="str">
        <x:v>一怪一专属；专属来源跟随本行准确地图号</x:v>
      </x:c>
    </x:row>
    <x:row r="306" ht="24" customHeight="1">
      <x:c r="A306" s="20" t="str">
        <x:v>C08-M009</x:v>
      </x:c>
      <x:c r="B306" s="20" t="str">
        <x:v>C08</x:v>
      </x:c>
      <x:c r="C306" s="20" t="str">
        <x:v>巨人山顶</x:v>
      </x:c>
      <x:c r="D306" s="20" t="n">
        <x:v>1</x:v>
      </x:c>
      <x:c r="E306" s="20" t="str">
        <x:v>寒霜山径</x:v>
      </x:c>
      <x:c r="F306" s="20" t="n">
        <x:v>3</x:v>
      </x:c>
      <x:c r="G306" s="20" t="str">
        <x:v>XX902</x:v>
      </x:c>
      <x:c r="H306" s="20" t="str">
        <x:v>暴雪险峰</x:v>
      </x:c>
      <x:c r="I306" s="20" t="str">
        <x:v>啸峰白魈</x:v>
      </x:c>
      <x:c r="J306" s="20" t="str">
        <x:v>蓝色</x:v>
      </x:c>
      <x:c r="K306" s="20" t="str">
        <x:v>稀有</x:v>
      </x:c>
      <x:c r="L306" s="20" t="str">
        <x:v>兽类</x:v>
      </x:c>
      <x:c r="M306" s="20" t="str">
        <x:v>敏捷</x:v>
      </x:c>
      <x:c r="N306" s="20" t="str">
        <x:v>白魈啸风镯</x:v>
      </x:c>
      <x:c r="O306" s="20" t="str">
        <x:v>手镯</x:v>
      </x:c>
      <x:c r="P306" s="20" t="str">
        <x:v>霜脊铁</x:v>
      </x:c>
      <x:c r="Q306" s="20" t="str">
        <x:v>巨人火种</x:v>
      </x:c>
      <x:c r="R306" s="20" t="str">
        <x:v>裂峰号角片</x:v>
      </x:c>
      <x:c r="S306" s="20" t="str">
        <x:v>穹霜碑珀</x:v>
      </x:c>
      <x:c r="T306" s="20" t="str">
        <x:v>否</x:v>
      </x:c>
      <x:c r="U306" s="20" t="str">
        <x:v>是（公共奖池）</x:v>
      </x:c>
      <x:c r="V306" s="22" t="str">
        <x:v>结构定稿</x:v>
      </x:c>
      <x:c r="W306" s="36" t="str">
        <x:v>用户自行分配／本表不处理</x:v>
      </x:c>
      <x:c r="X306" s="33" t="n">
        <x:v>5924</x:v>
      </x:c>
      <x:c r="Y306" s="29" t="str">
        <x:v>后期统一平衡</x:v>
      </x:c>
      <x:c r="Z306" s="20" t="str">
        <x:v>一怪一专属；专属来源跟随本行准确地图号</x:v>
      </x:c>
    </x:row>
    <x:row r="307" ht="24" customHeight="1">
      <x:c r="A307" s="20" t="str">
        <x:v>C08-M010</x:v>
      </x:c>
      <x:c r="B307" s="20" t="str">
        <x:v>C08</x:v>
      </x:c>
      <x:c r="C307" s="20" t="str">
        <x:v>巨人山顶</x:v>
      </x:c>
      <x:c r="D307" s="20" t="n">
        <x:v>1</x:v>
      </x:c>
      <x:c r="E307" s="20" t="str">
        <x:v>寒霜山径</x:v>
      </x:c>
      <x:c r="F307" s="20" t="n">
        <x:v>4</x:v>
      </x:c>
      <x:c r="G307" s="20" t="str">
        <x:v>XX903</x:v>
      </x:c>
      <x:c r="H307" s="20" t="str">
        <x:v>山巅祭台</x:v>
      </x:c>
      <x:c r="I307" s="20" t="str">
        <x:v>祭台封誓者</x:v>
      </x:c>
      <x:c r="J307" s="20" t="str">
        <x:v>蓝色</x:v>
      </x:c>
      <x:c r="K307" s="20" t="str">
        <x:v>稀有</x:v>
      </x:c>
      <x:c r="L307" s="20" t="str">
        <x:v>亡灵</x:v>
      </x:c>
      <x:c r="M307" s="20" t="str">
        <x:v>法术</x:v>
      </x:c>
      <x:c r="N307" s="20" t="str">
        <x:v>封誓霜纹戒</x:v>
      </x:c>
      <x:c r="O307" s="20" t="str">
        <x:v>戒指</x:v>
      </x:c>
      <x:c r="P307" s="20" t="str">
        <x:v>霜脊铁</x:v>
      </x:c>
      <x:c r="Q307" s="20" t="str">
        <x:v>巨人火种</x:v>
      </x:c>
      <x:c r="R307" s="20" t="str">
        <x:v>裂峰号角片</x:v>
      </x:c>
      <x:c r="S307" s="20" t="str">
        <x:v>穹霜碑珀</x:v>
      </x:c>
      <x:c r="T307" s="20" t="str">
        <x:v>否</x:v>
      </x:c>
      <x:c r="U307" s="20" t="str">
        <x:v>是（公共奖池）</x:v>
      </x:c>
      <x:c r="V307" s="22" t="str">
        <x:v>结构定稿</x:v>
      </x:c>
      <x:c r="W307" s="36" t="str">
        <x:v>用户自行分配／本表不处理</x:v>
      </x:c>
      <x:c r="X307" s="33" t="n">
        <x:v>5952</x:v>
      </x:c>
      <x:c r="Y307" s="29" t="str">
        <x:v>后期统一平衡</x:v>
      </x:c>
      <x:c r="Z307" s="20" t="str">
        <x:v>一怪一专属；专属来源跟随本行准确地图号</x:v>
      </x:c>
    </x:row>
    <x:row r="308" ht="24" customHeight="1">
      <x:c r="A308" s="20" t="str">
        <x:v>C08-M011</x:v>
      </x:c>
      <x:c r="B308" s="20" t="str">
        <x:v>C08</x:v>
      </x:c>
      <x:c r="C308" s="20" t="str">
        <x:v>巨人山顶</x:v>
      </x:c>
      <x:c r="D308" s="20" t="n">
        <x:v>1</x:v>
      </x:c>
      <x:c r="E308" s="20" t="str">
        <x:v>寒霜山径</x:v>
      </x:c>
      <x:c r="F308" s="20" t="n">
        <x:v>3</x:v>
      </x:c>
      <x:c r="G308" s="20" t="str">
        <x:v>XX902</x:v>
      </x:c>
      <x:c r="H308" s="20" t="str">
        <x:v>暴雪险峰</x:v>
      </x:c>
      <x:c r="I308" s="20" t="str">
        <x:v>雪崩号角·赫罗姆</x:v>
      </x:c>
      <x:c r="J308" s="20" t="str">
        <x:v>粉色</x:v>
      </x:c>
      <x:c r="K308" s="20" t="str">
        <x:v>地图BOSS</x:v>
      </x:c>
      <x:c r="L308" s="20" t="str">
        <x:v>巨人</x:v>
      </x:c>
      <x:c r="M308" s="20" t="str">
        <x:v>首领</x:v>
      </x:c>
      <x:c r="N308" s="20" t="str">
        <x:v>赫罗姆凿峰槌</x:v>
      </x:c>
      <x:c r="O308" s="20" t="str">
        <x:v>武器</x:v>
      </x:c>
      <x:c r="P308" s="20" t="str">
        <x:v>霜脊铁</x:v>
      </x:c>
      <x:c r="Q308" s="20" t="str">
        <x:v>巨人火种＋巨人火印</x:v>
      </x:c>
      <x:c r="R308" s="20" t="str">
        <x:v>冰宫守门铃</x:v>
      </x:c>
      <x:c r="S308" s="20" t="str">
        <x:v>穹霜碑珀</x:v>
      </x:c>
      <x:c r="T308" s="20" t="str">
        <x:v>是（独立奖池）</x:v>
      </x:c>
      <x:c r="U308" s="20" t="str">
        <x:v>是（公共奖池）</x:v>
      </x:c>
      <x:c r="V308" s="22" t="str">
        <x:v>结构定稿</x:v>
      </x:c>
      <x:c r="W308" s="36" t="str">
        <x:v>用户自行分配／本表不处理</x:v>
      </x:c>
      <x:c r="X308" s="34" t="str">
        <x:v>缺武器来源码</x:v>
      </x:c>
      <x:c r="Y308" s="29" t="str">
        <x:v>后期统一平衡</x:v>
      </x:c>
      <x:c r="Z308" s="20" t="str">
        <x:v>一怪一专属；专属来源跟随本行准确地图号</x:v>
      </x:c>
    </x:row>
    <x:row r="309" ht="24" customHeight="1">
      <x:c r="A309" s="20" t="str">
        <x:v>C08-M012</x:v>
      </x:c>
      <x:c r="B309" s="20" t="str">
        <x:v>C08</x:v>
      </x:c>
      <x:c r="C309" s="20" t="str">
        <x:v>巨人山顶</x:v>
      </x:c>
      <x:c r="D309" s="20" t="n">
        <x:v>1</x:v>
      </x:c>
      <x:c r="E309" s="20" t="str">
        <x:v>寒霜山径</x:v>
      </x:c>
      <x:c r="F309" s="20" t="n">
        <x:v>4</x:v>
      </x:c>
      <x:c r="G309" s="20" t="str">
        <x:v>XX903</x:v>
      </x:c>
      <x:c r="H309" s="20" t="str">
        <x:v>山巅祭台</x:v>
      </x:c>
      <x:c r="I309" s="20" t="str">
        <x:v>山巅霜祀·伊芙迦</x:v>
      </x:c>
      <x:c r="J309" s="20" t="str">
        <x:v>粉色</x:v>
      </x:c>
      <x:c r="K309" s="20" t="str">
        <x:v>地图BOSS</x:v>
      </x:c>
      <x:c r="L309" s="20" t="str">
        <x:v>巨人</x:v>
      </x:c>
      <x:c r="M309" s="20" t="str">
        <x:v>首领</x:v>
      </x:c>
      <x:c r="N309" s="20" t="str">
        <x:v>伊芙迦霜祀衣</x:v>
      </x:c>
      <x:c r="O309" s="20" t="str">
        <x:v>衣服</x:v>
      </x:c>
      <x:c r="P309" s="20" t="str">
        <x:v>霜脊铁</x:v>
      </x:c>
      <x:c r="Q309" s="20" t="str">
        <x:v>巨人火种＋巨人火印</x:v>
      </x:c>
      <x:c r="R309" s="20" t="str">
        <x:v>冰宫守门铃</x:v>
      </x:c>
      <x:c r="S309" s="20" t="str">
        <x:v>穹霜碑珀</x:v>
      </x:c>
      <x:c r="T309" s="20" t="str">
        <x:v>是（独立奖池）</x:v>
      </x:c>
      <x:c r="U309" s="20" t="str">
        <x:v>是（公共奖池）</x:v>
      </x:c>
      <x:c r="V309" s="22" t="str">
        <x:v>结构定稿</x:v>
      </x:c>
      <x:c r="W309" s="36" t="str">
        <x:v>用户自行分配／本表不处理</x:v>
      </x:c>
      <x:c r="X309" s="34" t="str">
        <x:v>缺衣服来源码</x:v>
      </x:c>
      <x:c r="Y309" s="29" t="str">
        <x:v>后期统一平衡</x:v>
      </x:c>
      <x:c r="Z309" s="20" t="str">
        <x:v>一怪一专属；专属来源跟随本行准确地图号</x:v>
      </x:c>
    </x:row>
    <x:row r="310" ht="24" customHeight="1">
      <x:c r="A310" s="20" t="str">
        <x:v>C08-M013</x:v>
      </x:c>
      <x:c r="B310" s="20" t="str">
        <x:v>C08</x:v>
      </x:c>
      <x:c r="C310" s="20" t="str">
        <x:v>巨人山顶</x:v>
      </x:c>
      <x:c r="D310" s="20" t="n">
        <x:v>2</x:v>
      </x:c>
      <x:c r="E310" s="20" t="str">
        <x:v>断冰峰群</x:v>
      </x:c>
      <x:c r="F310" s="20" t="n">
        <x:v>1</x:v>
      </x:c>
      <x:c r="G310" s="20" t="str">
        <x:v>XX320</x:v>
      </x:c>
      <x:c r="H310" s="20" t="str">
        <x:v>断冰峰群</x:v>
      </x:c>
      <x:c r="I310" s="20" t="str">
        <x:v>断峰岩獾</x:v>
      </x:c>
      <x:c r="J310" s="20" t="str">
        <x:v>黄色</x:v>
      </x:c>
      <x:c r="K310" s="20" t="str">
        <x:v>普通</x:v>
      </x:c>
      <x:c r="L310" s="20" t="str">
        <x:v>兽类</x:v>
      </x:c>
      <x:c r="M310" s="20" t="str">
        <x:v>敏捷</x:v>
      </x:c>
      <x:c r="N310" s="20" t="str">
        <x:v>岩獾碎石履</x:v>
      </x:c>
      <x:c r="O310" s="20" t="str">
        <x:v>鞋子</x:v>
      </x:c>
      <x:c r="P310" s="20" t="str">
        <x:v>霜脊铁</x:v>
      </x:c>
      <x:c r="Q310" s="20" t="str"/>
      <x:c r="R310" s="20" t="str">
        <x:v>登山铁楔</x:v>
      </x:c>
      <x:c r="S310" s="20" t="str">
        <x:v>穹霜碑珀</x:v>
      </x:c>
      <x:c r="T310" s="20" t="str">
        <x:v>否</x:v>
      </x:c>
      <x:c r="U310" s="20" t="str">
        <x:v>是（公共奖池）</x:v>
      </x:c>
      <x:c r="V310" s="22" t="str">
        <x:v>结构定稿</x:v>
      </x:c>
      <x:c r="W310" s="36" t="str">
        <x:v>用户自行分配／本表不处理</x:v>
      </x:c>
      <x:c r="X310" s="33" t="n">
        <x:v>5919</x:v>
      </x:c>
      <x:c r="Y310" s="29" t="str">
        <x:v>后期统一平衡</x:v>
      </x:c>
      <x:c r="Z310" s="20" t="str">
        <x:v>一怪一专属；专属来源跟随本行准确地图号</x:v>
      </x:c>
    </x:row>
    <x:row r="311" ht="24" customHeight="1">
      <x:c r="A311" s="20" t="str">
        <x:v>C08-M014</x:v>
      </x:c>
      <x:c r="B311" s="20" t="str">
        <x:v>C08</x:v>
      </x:c>
      <x:c r="C311" s="20" t="str">
        <x:v>巨人山顶</x:v>
      </x:c>
      <x:c r="D311" s="20" t="n">
        <x:v>2</x:v>
      </x:c>
      <x:c r="E311" s="20" t="str">
        <x:v>断冰峰群</x:v>
      </x:c>
      <x:c r="F311" s="20" t="n">
        <x:v>1</x:v>
      </x:c>
      <x:c r="G311" s="20" t="str">
        <x:v>XX320</x:v>
      </x:c>
      <x:c r="H311" s="20" t="str">
        <x:v>断冰峰群</x:v>
      </x:c>
      <x:c r="I311" s="20" t="str">
        <x:v>负霜矿奴</x:v>
      </x:c>
      <x:c r="J311" s="20" t="str">
        <x:v>黄色</x:v>
      </x:c>
      <x:c r="K311" s="20" t="str">
        <x:v>普通</x:v>
      </x:c>
      <x:c r="L311" s="20" t="str">
        <x:v>人形</x:v>
      </x:c>
      <x:c r="M311" s="20" t="str">
        <x:v>近战</x:v>
      </x:c>
      <x:c r="N311" s="20" t="str">
        <x:v>负霜钉腰带</x:v>
      </x:c>
      <x:c r="O311" s="20" t="str">
        <x:v>腰带</x:v>
      </x:c>
      <x:c r="P311" s="20" t="str">
        <x:v>霜脊铁</x:v>
      </x:c>
      <x:c r="Q311" s="20" t="str"/>
      <x:c r="R311" s="20" t="str">
        <x:v>登山铁楔</x:v>
      </x:c>
      <x:c r="S311" s="20" t="str">
        <x:v>穹霜碑珀</x:v>
      </x:c>
      <x:c r="T311" s="20" t="str">
        <x:v>否</x:v>
      </x:c>
      <x:c r="U311" s="20" t="str">
        <x:v>是（公共奖池）</x:v>
      </x:c>
      <x:c r="V311" s="22" t="str">
        <x:v>结构定稿</x:v>
      </x:c>
      <x:c r="W311" s="36" t="str">
        <x:v>用户自行分配／本表不处理</x:v>
      </x:c>
      <x:c r="X311" s="33" t="n">
        <x:v>5911</x:v>
      </x:c>
      <x:c r="Y311" s="29" t="str">
        <x:v>后期统一平衡</x:v>
      </x:c>
      <x:c r="Z311" s="20" t="str">
        <x:v>一怪一专属；专属来源跟随本行准确地图号</x:v>
      </x:c>
    </x:row>
    <x:row r="312" ht="24" customHeight="1">
      <x:c r="A312" s="20" t="str">
        <x:v>C08-M015</x:v>
      </x:c>
      <x:c r="B312" s="20" t="str">
        <x:v>C08</x:v>
      </x:c>
      <x:c r="C312" s="20" t="str">
        <x:v>巨人山顶</x:v>
      </x:c>
      <x:c r="D312" s="20" t="n">
        <x:v>2</x:v>
      </x:c>
      <x:c r="E312" s="20" t="str">
        <x:v>断冰峰群</x:v>
      </x:c>
      <x:c r="F312" s="20" t="n">
        <x:v>2</x:v>
      </x:c>
      <x:c r="G312" s="20" t="str">
        <x:v>XX318</x:v>
      </x:c>
      <x:c r="H312" s="20" t="str">
        <x:v>碎冰天桥</x:v>
      </x:c>
      <x:c r="I312" s="20" t="str">
        <x:v>碎冰桥弩卒</x:v>
      </x:c>
      <x:c r="J312" s="20" t="str">
        <x:v>黄色</x:v>
      </x:c>
      <x:c r="K312" s="20" t="str">
        <x:v>普通</x:v>
      </x:c>
      <x:c r="L312" s="20" t="str">
        <x:v>人形</x:v>
      </x:c>
      <x:c r="M312" s="20" t="str">
        <x:v>远程</x:v>
      </x:c>
      <x:c r="N312" s="20" t="str">
        <x:v>桥卒破冰弩</x:v>
      </x:c>
      <x:c r="O312" s="20" t="str">
        <x:v>武器</x:v>
      </x:c>
      <x:c r="P312" s="20" t="str">
        <x:v>霜脊铁</x:v>
      </x:c>
      <x:c r="Q312" s="20" t="str"/>
      <x:c r="R312" s="20" t="str">
        <x:v>登山铁楔</x:v>
      </x:c>
      <x:c r="S312" s="20" t="str">
        <x:v>穹霜碑珀</x:v>
      </x:c>
      <x:c r="T312" s="20" t="str">
        <x:v>否</x:v>
      </x:c>
      <x:c r="U312" s="20" t="str">
        <x:v>是（公共奖池）</x:v>
      </x:c>
      <x:c r="V312" s="22" t="str">
        <x:v>结构定稿</x:v>
      </x:c>
      <x:c r="W312" s="36" t="str">
        <x:v>用户自行分配／本表不处理</x:v>
      </x:c>
      <x:c r="X312" s="34" t="str">
        <x:v>缺武器来源码</x:v>
      </x:c>
      <x:c r="Y312" s="29" t="str">
        <x:v>后期统一平衡</x:v>
      </x:c>
      <x:c r="Z312" s="20" t="str">
        <x:v>一怪一专属；专属来源跟随本行准确地图号</x:v>
      </x:c>
    </x:row>
    <x:row r="313" ht="24" customHeight="1">
      <x:c r="A313" s="20" t="str">
        <x:v>C08-M016</x:v>
      </x:c>
      <x:c r="B313" s="20" t="str">
        <x:v>C08</x:v>
      </x:c>
      <x:c r="C313" s="20" t="str">
        <x:v>巨人山顶</x:v>
      </x:c>
      <x:c r="D313" s="20" t="n">
        <x:v>2</x:v>
      </x:c>
      <x:c r="E313" s="20" t="str">
        <x:v>断冰峰群</x:v>
      </x:c>
      <x:c r="F313" s="20" t="n">
        <x:v>2</x:v>
      </x:c>
      <x:c r="G313" s="20" t="str">
        <x:v>XX318</x:v>
      </x:c>
      <x:c r="H313" s="20" t="str">
        <x:v>碎冰天桥</x:v>
      </x:c>
      <x:c r="I313" s="20" t="str">
        <x:v>天桥冰甲虫</x:v>
      </x:c>
      <x:c r="J313" s="20" t="str">
        <x:v>黄色</x:v>
      </x:c>
      <x:c r="K313" s="20" t="str">
        <x:v>普通</x:v>
      </x:c>
      <x:c r="L313" s="20" t="str">
        <x:v>虫类</x:v>
      </x:c>
      <x:c r="M313" s="20" t="str">
        <x:v>重装</x:v>
      </x:c>
      <x:c r="N313" s="20" t="str">
        <x:v>冰甲棱盾</x:v>
      </x:c>
      <x:c r="O313" s="20" t="str">
        <x:v>盾牌</x:v>
      </x:c>
      <x:c r="P313" s="20" t="str">
        <x:v>霜脊铁</x:v>
      </x:c>
      <x:c r="Q313" s="20" t="str"/>
      <x:c r="R313" s="20" t="str">
        <x:v>登山铁楔</x:v>
      </x:c>
      <x:c r="S313" s="20" t="str">
        <x:v>穹霜碑珀</x:v>
      </x:c>
      <x:c r="T313" s="20" t="str">
        <x:v>否</x:v>
      </x:c>
      <x:c r="U313" s="20" t="str">
        <x:v>是（公共奖池）</x:v>
      </x:c>
      <x:c r="V313" s="22" t="str">
        <x:v>结构定稿</x:v>
      </x:c>
      <x:c r="W313" s="36" t="str">
        <x:v>用户自行分配／本表不处理</x:v>
      </x:c>
      <x:c r="X313" s="33" t="n">
        <x:v>5926</x:v>
      </x:c>
      <x:c r="Y313" s="29" t="str">
        <x:v>后期统一平衡</x:v>
      </x:c>
      <x:c r="Z313" s="20" t="str">
        <x:v>一怪一专属；专属来源跟随本行准确地图号</x:v>
      </x:c>
    </x:row>
    <x:row r="314" ht="24" customHeight="1">
      <x:c r="A314" s="20" t="str">
        <x:v>C08-M017</x:v>
      </x:c>
      <x:c r="B314" s="20" t="str">
        <x:v>C08</x:v>
      </x:c>
      <x:c r="C314" s="20" t="str">
        <x:v>巨人山顶</x:v>
      </x:c>
      <x:c r="D314" s="20" t="n">
        <x:v>2</x:v>
      </x:c>
      <x:c r="E314" s="20" t="str">
        <x:v>断冰峰群</x:v>
      </x:c>
      <x:c r="F314" s="20" t="n">
        <x:v>3</x:v>
      </x:c>
      <x:c r="G314" s="20" t="str">
        <x:v>XX319</x:v>
      </x:c>
      <x:c r="H314" s="20" t="str">
        <x:v>寒峰裂谷</x:v>
      </x:c>
      <x:c r="I314" s="20" t="str">
        <x:v>裂谷寒翼蝠</x:v>
      </x:c>
      <x:c r="J314" s="20" t="str">
        <x:v>黄色</x:v>
      </x:c>
      <x:c r="K314" s="20" t="str">
        <x:v>普通</x:v>
      </x:c>
      <x:c r="L314" s="20" t="str">
        <x:v>兽类</x:v>
      </x:c>
      <x:c r="M314" s="20" t="str">
        <x:v>敏捷</x:v>
      </x:c>
      <x:c r="N314" s="20" t="str">
        <x:v>寒翼听风坠</x:v>
      </x:c>
      <x:c r="O314" s="20" t="str">
        <x:v>项链</x:v>
      </x:c>
      <x:c r="P314" s="20" t="str">
        <x:v>霜脊铁</x:v>
      </x:c>
      <x:c r="Q314" s="20" t="str"/>
      <x:c r="R314" s="20" t="str">
        <x:v>登山铁楔</x:v>
      </x:c>
      <x:c r="S314" s="20" t="str">
        <x:v>穹霜碑珀</x:v>
      </x:c>
      <x:c r="T314" s="20" t="str">
        <x:v>否</x:v>
      </x:c>
      <x:c r="U314" s="20" t="str">
        <x:v>是（公共奖池）</x:v>
      </x:c>
      <x:c r="V314" s="22" t="str">
        <x:v>结构定稿</x:v>
      </x:c>
      <x:c r="W314" s="36" t="str">
        <x:v>用户自行分配／本表不处理</x:v>
      </x:c>
      <x:c r="X314" s="33" t="n">
        <x:v>5967</x:v>
      </x:c>
      <x:c r="Y314" s="29" t="str">
        <x:v>后期统一平衡</x:v>
      </x:c>
      <x:c r="Z314" s="20" t="str">
        <x:v>一怪一专属；专属来源跟随本行准确地图号</x:v>
      </x:c>
    </x:row>
    <x:row r="315" ht="24" customHeight="1">
      <x:c r="A315" s="20" t="str">
        <x:v>C08-M018</x:v>
      </x:c>
      <x:c r="B315" s="20" t="str">
        <x:v>C08</x:v>
      </x:c>
      <x:c r="C315" s="20" t="str">
        <x:v>巨人山顶</x:v>
      </x:c>
      <x:c r="D315" s="20" t="n">
        <x:v>2</x:v>
      </x:c>
      <x:c r="E315" s="20" t="str">
        <x:v>断冰峰群</x:v>
      </x:c>
      <x:c r="F315" s="20" t="n">
        <x:v>4</x:v>
      </x:c>
      <x:c r="G315" s="20" t="str">
        <x:v>XX316</x:v>
      </x:c>
      <x:c r="H315" s="20" t="str">
        <x:v>断峰祭场</x:v>
      </x:c>
      <x:c r="I315" s="20" t="str">
        <x:v>祭场残斧魂</x:v>
      </x:c>
      <x:c r="J315" s="20" t="str">
        <x:v>黄色</x:v>
      </x:c>
      <x:c r="K315" s="20" t="str">
        <x:v>普通</x:v>
      </x:c>
      <x:c r="L315" s="20" t="str">
        <x:v>亡灵</x:v>
      </x:c>
      <x:c r="M315" s="20" t="str">
        <x:v>近战</x:v>
      </x:c>
      <x:c r="N315" s="20" t="str">
        <x:v>残斧魂腕环</x:v>
      </x:c>
      <x:c r="O315" s="20" t="str">
        <x:v>手镯</x:v>
      </x:c>
      <x:c r="P315" s="20" t="str">
        <x:v>霜脊铁</x:v>
      </x:c>
      <x:c r="Q315" s="20" t="str"/>
      <x:c r="R315" s="20" t="str">
        <x:v>登山铁楔</x:v>
      </x:c>
      <x:c r="S315" s="20" t="str">
        <x:v>穹霜碑珀</x:v>
      </x:c>
      <x:c r="T315" s="20" t="str">
        <x:v>否</x:v>
      </x:c>
      <x:c r="U315" s="20" t="str">
        <x:v>是（公共奖池）</x:v>
      </x:c>
      <x:c r="V315" s="22" t="str">
        <x:v>结构定稿</x:v>
      </x:c>
      <x:c r="W315" s="36" t="str">
        <x:v>用户自行分配／本表不处理</x:v>
      </x:c>
      <x:c r="X315" s="33" t="n">
        <x:v>5933</x:v>
      </x:c>
      <x:c r="Y315" s="29" t="str">
        <x:v>后期统一平衡</x:v>
      </x:c>
      <x:c r="Z315" s="20" t="str">
        <x:v>一怪一专属；专属来源跟随本行准确地图号</x:v>
      </x:c>
    </x:row>
    <x:row r="316" ht="24" customHeight="1">
      <x:c r="A316" s="20" t="str">
        <x:v>C08-M019</x:v>
      </x:c>
      <x:c r="B316" s="20" t="str">
        <x:v>C08</x:v>
      </x:c>
      <x:c r="C316" s="20" t="str">
        <x:v>巨人山顶</x:v>
      </x:c>
      <x:c r="D316" s="20" t="n">
        <x:v>2</x:v>
      </x:c>
      <x:c r="E316" s="20" t="str">
        <x:v>断冰峰群</x:v>
      </x:c>
      <x:c r="F316" s="20" t="n">
        <x:v>1</x:v>
      </x:c>
      <x:c r="G316" s="20" t="str">
        <x:v>XX320</x:v>
      </x:c>
      <x:c r="H316" s="20" t="str">
        <x:v>断冰峰群</x:v>
      </x:c>
      <x:c r="I316" s="20" t="str">
        <x:v>断冰猎旗手</x:v>
      </x:c>
      <x:c r="J316" s="20" t="str">
        <x:v>蓝色</x:v>
      </x:c>
      <x:c r="K316" s="20" t="str">
        <x:v>稀有</x:v>
      </x:c>
      <x:c r="L316" s="20" t="str">
        <x:v>人形</x:v>
      </x:c>
      <x:c r="M316" s="20" t="str">
        <x:v>近战</x:v>
      </x:c>
      <x:c r="N316" s="20" t="str">
        <x:v>猎旗霜披</x:v>
      </x:c>
      <x:c r="O316" s="20" t="str">
        <x:v>衣服</x:v>
      </x:c>
      <x:c r="P316" s="20" t="str">
        <x:v>霜脊铁</x:v>
      </x:c>
      <x:c r="Q316" s="20" t="str">
        <x:v>巨人火种</x:v>
      </x:c>
      <x:c r="R316" s="20" t="str">
        <x:v>裂峰号角片</x:v>
      </x:c>
      <x:c r="S316" s="20" t="str">
        <x:v>穹霜碑珀</x:v>
      </x:c>
      <x:c r="T316" s="20" t="str">
        <x:v>否</x:v>
      </x:c>
      <x:c r="U316" s="20" t="str">
        <x:v>是（公共奖池）</x:v>
      </x:c>
      <x:c r="V316" s="22" t="str">
        <x:v>结构定稿</x:v>
      </x:c>
      <x:c r="W316" s="36" t="str">
        <x:v>用户自行分配／本表不处理</x:v>
      </x:c>
      <x:c r="X316" s="34" t="str">
        <x:v>缺衣服来源码</x:v>
      </x:c>
      <x:c r="Y316" s="29" t="str">
        <x:v>后期统一平衡</x:v>
      </x:c>
      <x:c r="Z316" s="20" t="str">
        <x:v>一怪一专属；专属来源跟随本行准确地图号</x:v>
      </x:c>
    </x:row>
    <x:row r="317" ht="24" customHeight="1">
      <x:c r="A317" s="20" t="str">
        <x:v>C08-M020</x:v>
      </x:c>
      <x:c r="B317" s="20" t="str">
        <x:v>C08</x:v>
      </x:c>
      <x:c r="C317" s="20" t="str">
        <x:v>巨人山顶</x:v>
      </x:c>
      <x:c r="D317" s="20" t="n">
        <x:v>2</x:v>
      </x:c>
      <x:c r="E317" s="20" t="str">
        <x:v>断冰峰群</x:v>
      </x:c>
      <x:c r="F317" s="20" t="n">
        <x:v>2</x:v>
      </x:c>
      <x:c r="G317" s="20" t="str">
        <x:v>XX318</x:v>
      </x:c>
      <x:c r="H317" s="20" t="str">
        <x:v>碎冰天桥</x:v>
      </x:c>
      <x:c r="I317" s="20" t="str">
        <x:v>天桥踏索客</x:v>
      </x:c>
      <x:c r="J317" s="20" t="str">
        <x:v>蓝色</x:v>
      </x:c>
      <x:c r="K317" s="20" t="str">
        <x:v>稀有</x:v>
      </x:c>
      <x:c r="L317" s="20" t="str">
        <x:v>人形</x:v>
      </x:c>
      <x:c r="M317" s="20" t="str">
        <x:v>敏捷</x:v>
      </x:c>
      <x:c r="N317" s="20" t="str">
        <x:v>踏索雪笠</x:v>
      </x:c>
      <x:c r="O317" s="20" t="str">
        <x:v>斗笠</x:v>
      </x:c>
      <x:c r="P317" s="20" t="str">
        <x:v>霜脊铁</x:v>
      </x:c>
      <x:c r="Q317" s="20" t="str">
        <x:v>巨人火种</x:v>
      </x:c>
      <x:c r="R317" s="20" t="str">
        <x:v>裂峰号角片</x:v>
      </x:c>
      <x:c r="S317" s="20" t="str">
        <x:v>穹霜碑珀</x:v>
      </x:c>
      <x:c r="T317" s="20" t="str">
        <x:v>否</x:v>
      </x:c>
      <x:c r="U317" s="20" t="str">
        <x:v>是（公共奖池）</x:v>
      </x:c>
      <x:c r="V317" s="22" t="str">
        <x:v>结构定稿</x:v>
      </x:c>
      <x:c r="W317" s="36" t="str">
        <x:v>用户自行分配／本表不处理</x:v>
      </x:c>
      <x:c r="X317" s="33" t="n">
        <x:v>6680</x:v>
      </x:c>
      <x:c r="Y317" s="29" t="str">
        <x:v>后期统一平衡</x:v>
      </x:c>
      <x:c r="Z317" s="20" t="str">
        <x:v>一怪一专属；专属来源跟随本行准确地图号</x:v>
      </x:c>
    </x:row>
    <x:row r="318" ht="24" customHeight="1">
      <x:c r="A318" s="20" t="str">
        <x:v>C08-M021</x:v>
      </x:c>
      <x:c r="B318" s="20" t="str">
        <x:v>C08</x:v>
      </x:c>
      <x:c r="C318" s="20" t="str">
        <x:v>巨人山顶</x:v>
      </x:c>
      <x:c r="D318" s="20" t="n">
        <x:v>2</x:v>
      </x:c>
      <x:c r="E318" s="20" t="str">
        <x:v>断冰峰群</x:v>
      </x:c>
      <x:c r="F318" s="20" t="n">
        <x:v>3</x:v>
      </x:c>
      <x:c r="G318" s="20" t="str">
        <x:v>XX319</x:v>
      </x:c>
      <x:c r="H318" s="20" t="str">
        <x:v>寒峰裂谷</x:v>
      </x:c>
      <x:c r="I318" s="20" t="str">
        <x:v>裂谷雪嚎兽</x:v>
      </x:c>
      <x:c r="J318" s="20" t="str">
        <x:v>蓝色</x:v>
      </x:c>
      <x:c r="K318" s="20" t="str">
        <x:v>稀有</x:v>
      </x:c>
      <x:c r="L318" s="20" t="str">
        <x:v>兽类</x:v>
      </x:c>
      <x:c r="M318" s="20" t="str">
        <x:v>重装</x:v>
      </x:c>
      <x:c r="N318" s="20" t="str">
        <x:v>雪嚎裂角盔</x:v>
      </x:c>
      <x:c r="O318" s="20" t="str">
        <x:v>头盔</x:v>
      </x:c>
      <x:c r="P318" s="20" t="str">
        <x:v>霜脊铁</x:v>
      </x:c>
      <x:c r="Q318" s="20" t="str">
        <x:v>巨人火种</x:v>
      </x:c>
      <x:c r="R318" s="20" t="str">
        <x:v>裂峰号角片</x:v>
      </x:c>
      <x:c r="S318" s="20" t="str">
        <x:v>穹霜碑珀</x:v>
      </x:c>
      <x:c r="T318" s="20" t="str">
        <x:v>否</x:v>
      </x:c>
      <x:c r="U318" s="20" t="str">
        <x:v>是（公共奖池）</x:v>
      </x:c>
      <x:c r="V318" s="22" t="str">
        <x:v>结构定稿</x:v>
      </x:c>
      <x:c r="W318" s="36" t="str">
        <x:v>用户自行分配／本表不处理</x:v>
      </x:c>
      <x:c r="X318" s="33" t="n">
        <x:v>5977</x:v>
      </x:c>
      <x:c r="Y318" s="29" t="str">
        <x:v>后期统一平衡</x:v>
      </x:c>
      <x:c r="Z318" s="20" t="str">
        <x:v>一怪一专属；专属来源跟随本行准确地图号</x:v>
      </x:c>
    </x:row>
    <x:row r="319" ht="24" customHeight="1">
      <x:c r="A319" s="20" t="str">
        <x:v>C08-M022</x:v>
      </x:c>
      <x:c r="B319" s="20" t="str">
        <x:v>C08</x:v>
      </x:c>
      <x:c r="C319" s="20" t="str">
        <x:v>巨人山顶</x:v>
      </x:c>
      <x:c r="D319" s="20" t="n">
        <x:v>2</x:v>
      </x:c>
      <x:c r="E319" s="20" t="str">
        <x:v>断冰峰群</x:v>
      </x:c>
      <x:c r="F319" s="20" t="n">
        <x:v>4</x:v>
      </x:c>
      <x:c r="G319" s="20" t="str">
        <x:v>XX316</x:v>
      </x:c>
      <x:c r="H319" s="20" t="str">
        <x:v>断峰祭场</x:v>
      </x:c>
      <x:c r="I319" s="20" t="str">
        <x:v>祭场缄誓巫</x:v>
      </x:c>
      <x:c r="J319" s="20" t="str">
        <x:v>蓝色</x:v>
      </x:c>
      <x:c r="K319" s="20" t="str">
        <x:v>稀有</x:v>
      </x:c>
      <x:c r="L319" s="20" t="str">
        <x:v>人形</x:v>
      </x:c>
      <x:c r="M319" s="20" t="str">
        <x:v>法术</x:v>
      </x:c>
      <x:c r="N319" s="20" t="str">
        <x:v>缄誓寒铁戒</x:v>
      </x:c>
      <x:c r="O319" s="20" t="str">
        <x:v>戒指</x:v>
      </x:c>
      <x:c r="P319" s="20" t="str">
        <x:v>霜脊铁</x:v>
      </x:c>
      <x:c r="Q319" s="20" t="str">
        <x:v>巨人火种</x:v>
      </x:c>
      <x:c r="R319" s="20" t="str">
        <x:v>裂峰号角片</x:v>
      </x:c>
      <x:c r="S319" s="20" t="str">
        <x:v>穹霜碑珀</x:v>
      </x:c>
      <x:c r="T319" s="20" t="str">
        <x:v>否</x:v>
      </x:c>
      <x:c r="U319" s="20" t="str">
        <x:v>是（公共奖池）</x:v>
      </x:c>
      <x:c r="V319" s="22" t="str">
        <x:v>结构定稿</x:v>
      </x:c>
      <x:c r="W319" s="36" t="str">
        <x:v>用户自行分配／本表不处理</x:v>
      </x:c>
      <x:c r="X319" s="33" t="n">
        <x:v>5961</x:v>
      </x:c>
      <x:c r="Y319" s="29" t="str">
        <x:v>后期统一平衡</x:v>
      </x:c>
      <x:c r="Z319" s="20" t="str">
        <x:v>一怪一专属；专属来源跟随本行准确地图号</x:v>
      </x:c>
    </x:row>
    <x:row r="320" ht="24" customHeight="1">
      <x:c r="A320" s="20" t="str">
        <x:v>C08-M023</x:v>
      </x:c>
      <x:c r="B320" s="20" t="str">
        <x:v>C08</x:v>
      </x:c>
      <x:c r="C320" s="20" t="str">
        <x:v>巨人山顶</x:v>
      </x:c>
      <x:c r="D320" s="20" t="n">
        <x:v>2</x:v>
      </x:c>
      <x:c r="E320" s="20" t="str">
        <x:v>断冰峰群</x:v>
      </x:c>
      <x:c r="F320" s="20" t="n">
        <x:v>3</x:v>
      </x:c>
      <x:c r="G320" s="20" t="str">
        <x:v>XX319</x:v>
      </x:c>
      <x:c r="H320" s="20" t="str">
        <x:v>寒峰裂谷</x:v>
      </x:c>
      <x:c r="I320" s="20" t="str">
        <x:v>裂谷锻峰侯·德鲁伽</x:v>
      </x:c>
      <x:c r="J320" s="20" t="str">
        <x:v>粉色</x:v>
      </x:c>
      <x:c r="K320" s="20" t="str">
        <x:v>地图BOSS</x:v>
      </x:c>
      <x:c r="L320" s="20" t="str">
        <x:v>巨人</x:v>
      </x:c>
      <x:c r="M320" s="20" t="str">
        <x:v>首领</x:v>
      </x:c>
      <x:c r="N320" s="20" t="str">
        <x:v>德鲁伽裂峰斧</x:v>
      </x:c>
      <x:c r="O320" s="20" t="str">
        <x:v>武器</x:v>
      </x:c>
      <x:c r="P320" s="20" t="str">
        <x:v>霜脊铁</x:v>
      </x:c>
      <x:c r="Q320" s="20" t="str">
        <x:v>巨人火种＋巨人火印</x:v>
      </x:c>
      <x:c r="R320" s="20" t="str">
        <x:v>冰宫守门铃</x:v>
      </x:c>
      <x:c r="S320" s="20" t="str">
        <x:v>穹霜碑珀</x:v>
      </x:c>
      <x:c r="T320" s="20" t="str">
        <x:v>是（独立奖池）</x:v>
      </x:c>
      <x:c r="U320" s="20" t="str">
        <x:v>是（公共奖池）</x:v>
      </x:c>
      <x:c r="V320" s="22" t="str">
        <x:v>结构定稿</x:v>
      </x:c>
      <x:c r="W320" s="36" t="str">
        <x:v>用户自行分配／本表不处理</x:v>
      </x:c>
      <x:c r="X320" s="34" t="str">
        <x:v>缺武器来源码</x:v>
      </x:c>
      <x:c r="Y320" s="29" t="str">
        <x:v>后期统一平衡</x:v>
      </x:c>
      <x:c r="Z320" s="20" t="str">
        <x:v>一怪一专属；专属来源跟随本行准确地图号</x:v>
      </x:c>
    </x:row>
    <x:row r="321" ht="24" customHeight="1">
      <x:c r="A321" s="20" t="str">
        <x:v>C08-M024</x:v>
      </x:c>
      <x:c r="B321" s="20" t="str">
        <x:v>C08</x:v>
      </x:c>
      <x:c r="C321" s="20" t="str">
        <x:v>巨人山顶</x:v>
      </x:c>
      <x:c r="D321" s="20" t="n">
        <x:v>2</x:v>
      </x:c>
      <x:c r="E321" s="20" t="str">
        <x:v>断冰峰群</x:v>
      </x:c>
      <x:c r="F321" s="20" t="n">
        <x:v>4</x:v>
      </x:c>
      <x:c r="G321" s="20" t="str">
        <x:v>XX316</x:v>
      </x:c>
      <x:c r="H321" s="20" t="str">
        <x:v>断峰祭场</x:v>
      </x:c>
      <x:c r="I321" s="20" t="str">
        <x:v>断峰献祭者·维瑟娅</x:v>
      </x:c>
      <x:c r="J321" s="20" t="str">
        <x:v>粉色</x:v>
      </x:c>
      <x:c r="K321" s="20" t="str">
        <x:v>地图BOSS</x:v>
      </x:c>
      <x:c r="L321" s="20" t="str">
        <x:v>亡灵</x:v>
      </x:c>
      <x:c r="M321" s="20" t="str">
        <x:v>首领</x:v>
      </x:c>
      <x:c r="N321" s="20" t="str">
        <x:v>维瑟娅霜祭衣</x:v>
      </x:c>
      <x:c r="O321" s="20" t="str">
        <x:v>衣服</x:v>
      </x:c>
      <x:c r="P321" s="20" t="str">
        <x:v>霜脊铁</x:v>
      </x:c>
      <x:c r="Q321" s="20" t="str">
        <x:v>巨人火种＋巨人火印</x:v>
      </x:c>
      <x:c r="R321" s="20" t="str">
        <x:v>冰宫守门铃</x:v>
      </x:c>
      <x:c r="S321" s="20" t="str">
        <x:v>穹霜碑珀</x:v>
      </x:c>
      <x:c r="T321" s="20" t="str">
        <x:v>是（独立奖池）</x:v>
      </x:c>
      <x:c r="U321" s="20" t="str">
        <x:v>是（公共奖池）</x:v>
      </x:c>
      <x:c r="V321" s="22" t="str">
        <x:v>结构定稿</x:v>
      </x:c>
      <x:c r="W321" s="36" t="str">
        <x:v>用户自行分配／本表不处理</x:v>
      </x:c>
      <x:c r="X321" s="34" t="str">
        <x:v>缺衣服来源码</x:v>
      </x:c>
      <x:c r="Y321" s="29" t="str">
        <x:v>后期统一平衡</x:v>
      </x:c>
      <x:c r="Z321" s="20" t="str">
        <x:v>一怪一专属；专属来源跟随本行准确地图号</x:v>
      </x:c>
    </x:row>
    <x:row r="322" ht="24" customHeight="1">
      <x:c r="A322" s="20" t="str">
        <x:v>C08-M025</x:v>
      </x:c>
      <x:c r="B322" s="20" t="str">
        <x:v>C08</x:v>
      </x:c>
      <x:c r="C322" s="20" t="str">
        <x:v>巨人山顶</x:v>
      </x:c>
      <x:c r="D322" s="20" t="n">
        <x:v>3</x:v>
      </x:c>
      <x:c r="E322" s="20" t="str">
        <x:v>冰宫王庭</x:v>
      </x:c>
      <x:c r="F322" s="20" t="n">
        <x:v>1</x:v>
      </x:c>
      <x:c r="G322" s="20" t="str">
        <x:v>XX325</x:v>
      </x:c>
      <x:c r="H322" s="20" t="str">
        <x:v>冰宫王庭</x:v>
      </x:c>
      <x:c r="I322" s="20" t="str">
        <x:v>冰宫雪鸦</x:v>
      </x:c>
      <x:c r="J322" s="20" t="str">
        <x:v>黄色</x:v>
      </x:c>
      <x:c r="K322" s="20" t="str">
        <x:v>普通</x:v>
      </x:c>
      <x:c r="L322" s="20" t="str">
        <x:v>兽类</x:v>
      </x:c>
      <x:c r="M322" s="20" t="str">
        <x:v>远程</x:v>
      </x:c>
      <x:c r="N322" s="20" t="str">
        <x:v>雪鸦冰喙坠</x:v>
      </x:c>
      <x:c r="O322" s="20" t="str">
        <x:v>项链</x:v>
      </x:c>
      <x:c r="P322" s="20" t="str">
        <x:v>霜脊铁</x:v>
      </x:c>
      <x:c r="Q322" s="20" t="str"/>
      <x:c r="R322" s="20" t="str">
        <x:v>登山铁楔</x:v>
      </x:c>
      <x:c r="S322" s="20" t="str">
        <x:v>穹霜碑珀</x:v>
      </x:c>
      <x:c r="T322" s="20" t="str">
        <x:v>否</x:v>
      </x:c>
      <x:c r="U322" s="20" t="str">
        <x:v>是（公共奖池）</x:v>
      </x:c>
      <x:c r="V322" s="22" t="str">
        <x:v>结构定稿</x:v>
      </x:c>
      <x:c r="W322" s="36" t="str">
        <x:v>用户自行分配／本表不处理</x:v>
      </x:c>
      <x:c r="X322" s="33" t="n">
        <x:v>5985</x:v>
      </x:c>
      <x:c r="Y322" s="29" t="str">
        <x:v>后期统一平衡</x:v>
      </x:c>
      <x:c r="Z322" s="20" t="str">
        <x:v>一怪一专属；专属来源跟随本行准确地图号</x:v>
      </x:c>
    </x:row>
    <x:row r="323" ht="24" customHeight="1">
      <x:c r="A323" s="20" t="str">
        <x:v>C08-M026</x:v>
      </x:c>
      <x:c r="B323" s="20" t="str">
        <x:v>C08</x:v>
      </x:c>
      <x:c r="C323" s="20" t="str">
        <x:v>巨人山顶</x:v>
      </x:c>
      <x:c r="D323" s="20" t="n">
        <x:v>3</x:v>
      </x:c>
      <x:c r="E323" s="20" t="str">
        <x:v>冰宫王庭</x:v>
      </x:c>
      <x:c r="F323" s="20" t="n">
        <x:v>1</x:v>
      </x:c>
      <x:c r="G323" s="20" t="str">
        <x:v>XX325</x:v>
      </x:c>
      <x:c r="H323" s="20" t="str">
        <x:v>冰宫王庭</x:v>
      </x:c>
      <x:c r="I323" s="20" t="str">
        <x:v>御阶铲雪仆</x:v>
      </x:c>
      <x:c r="J323" s="20" t="str">
        <x:v>黄色</x:v>
      </x:c>
      <x:c r="K323" s="20" t="str">
        <x:v>普通</x:v>
      </x:c>
      <x:c r="L323" s="20" t="str">
        <x:v>人形</x:v>
      </x:c>
      <x:c r="M323" s="20" t="str">
        <x:v>近战</x:v>
      </x:c>
      <x:c r="N323" s="20" t="str">
        <x:v>御阶雪铲</x:v>
      </x:c>
      <x:c r="O323" s="20" t="str">
        <x:v>武器</x:v>
      </x:c>
      <x:c r="P323" s="20" t="str">
        <x:v>霜脊铁</x:v>
      </x:c>
      <x:c r="Q323" s="20" t="str"/>
      <x:c r="R323" s="20" t="str">
        <x:v>登山铁楔</x:v>
      </x:c>
      <x:c r="S323" s="20" t="str">
        <x:v>穹霜碑珀</x:v>
      </x:c>
      <x:c r="T323" s="20" t="str">
        <x:v>否</x:v>
      </x:c>
      <x:c r="U323" s="20" t="str">
        <x:v>是（公共奖池）</x:v>
      </x:c>
      <x:c r="V323" s="22" t="str">
        <x:v>结构定稿</x:v>
      </x:c>
      <x:c r="W323" s="36" t="str">
        <x:v>用户自行分配／本表不处理</x:v>
      </x:c>
      <x:c r="X323" s="34" t="str">
        <x:v>缺武器来源码</x:v>
      </x:c>
      <x:c r="Y323" s="29" t="str">
        <x:v>后期统一平衡</x:v>
      </x:c>
      <x:c r="Z323" s="20" t="str">
        <x:v>一怪一专属；专属来源跟随本行准确地图号</x:v>
      </x:c>
    </x:row>
    <x:row r="324" ht="24" customHeight="1">
      <x:c r="A324" s="20" t="str">
        <x:v>C08-M027</x:v>
      </x:c>
      <x:c r="B324" s="20" t="str">
        <x:v>C08</x:v>
      </x:c>
      <x:c r="C324" s="20" t="str">
        <x:v>巨人山顶</x:v>
      </x:c>
      <x:c r="D324" s="20" t="n">
        <x:v>3</x:v>
      </x:c>
      <x:c r="E324" s="20" t="str">
        <x:v>冰宫王庭</x:v>
      </x:c>
      <x:c r="F324" s="20" t="n">
        <x:v>2</x:v>
      </x:c>
      <x:c r="G324" s="20" t="str">
        <x:v>XX321</x:v>
      </x:c>
      <x:c r="H324" s="20" t="str">
        <x:v>王庭外廊</x:v>
      </x:c>
      <x:c r="I324" s="20" t="str">
        <x:v>外廊冰枪卫</x:v>
      </x:c>
      <x:c r="J324" s="20" t="str">
        <x:v>黄色</x:v>
      </x:c>
      <x:c r="K324" s="20" t="str">
        <x:v>普通</x:v>
      </x:c>
      <x:c r="L324" s="20" t="str">
        <x:v>人形</x:v>
      </x:c>
      <x:c r="M324" s="20" t="str">
        <x:v>重装</x:v>
      </x:c>
      <x:c r="N324" s="20" t="str">
        <x:v>外廊纹冰盾</x:v>
      </x:c>
      <x:c r="O324" s="20" t="str">
        <x:v>盾牌</x:v>
      </x:c>
      <x:c r="P324" s="20" t="str">
        <x:v>霜脊铁</x:v>
      </x:c>
      <x:c r="Q324" s="20" t="str"/>
      <x:c r="R324" s="20" t="str">
        <x:v>登山铁楔</x:v>
      </x:c>
      <x:c r="S324" s="20" t="str">
        <x:v>穹霜碑珀</x:v>
      </x:c>
      <x:c r="T324" s="20" t="str">
        <x:v>否</x:v>
      </x:c>
      <x:c r="U324" s="20" t="str">
        <x:v>是（公共奖池）</x:v>
      </x:c>
      <x:c r="V324" s="22" t="str">
        <x:v>结构定稿</x:v>
      </x:c>
      <x:c r="W324" s="36" t="str">
        <x:v>用户自行分配／本表不处理</x:v>
      </x:c>
      <x:c r="X324" s="33" t="n">
        <x:v>5935</x:v>
      </x:c>
      <x:c r="Y324" s="29" t="str">
        <x:v>后期统一平衡</x:v>
      </x:c>
      <x:c r="Z324" s="20" t="str">
        <x:v>一怪一专属；专属来源跟随本行准确地图号</x:v>
      </x:c>
    </x:row>
    <x:row r="325" ht="24" customHeight="1">
      <x:c r="A325" s="20" t="str">
        <x:v>C08-M028</x:v>
      </x:c>
      <x:c r="B325" s="20" t="str">
        <x:v>C08</x:v>
      </x:c>
      <x:c r="C325" s="20" t="str">
        <x:v>巨人山顶</x:v>
      </x:c>
      <x:c r="D325" s="20" t="n">
        <x:v>3</x:v>
      </x:c>
      <x:c r="E325" s="20" t="str">
        <x:v>冰宫王庭</x:v>
      </x:c>
      <x:c r="F325" s="20" t="n">
        <x:v>3</x:v>
      </x:c>
      <x:c r="G325" s="20" t="str">
        <x:v>XX322</x:v>
      </x:c>
      <x:c r="H325" s="20" t="str">
        <x:v>冰封内廷</x:v>
      </x:c>
      <x:c r="I325" s="20" t="str">
        <x:v>内廷霜纱侍女</x:v>
      </x:c>
      <x:c r="J325" s="20" t="str">
        <x:v>黄色</x:v>
      </x:c>
      <x:c r="K325" s="20" t="str">
        <x:v>普通</x:v>
      </x:c>
      <x:c r="L325" s="20" t="str">
        <x:v>人形</x:v>
      </x:c>
      <x:c r="M325" s="20" t="str">
        <x:v>法术</x:v>
      </x:c>
      <x:c r="N325" s="20" t="str">
        <x:v>霜纱侍衣</x:v>
      </x:c>
      <x:c r="O325" s="20" t="str">
        <x:v>衣服</x:v>
      </x:c>
      <x:c r="P325" s="20" t="str">
        <x:v>霜脊铁</x:v>
      </x:c>
      <x:c r="Q325" s="20" t="str"/>
      <x:c r="R325" s="20" t="str">
        <x:v>登山铁楔</x:v>
      </x:c>
      <x:c r="S325" s="20" t="str">
        <x:v>穹霜碑珀</x:v>
      </x:c>
      <x:c r="T325" s="20" t="str">
        <x:v>否</x:v>
      </x:c>
      <x:c r="U325" s="20" t="str">
        <x:v>是（公共奖池）</x:v>
      </x:c>
      <x:c r="V325" s="22" t="str">
        <x:v>结构定稿</x:v>
      </x:c>
      <x:c r="W325" s="36" t="str">
        <x:v>用户自行分配／本表不处理</x:v>
      </x:c>
      <x:c r="X325" s="34" t="str">
        <x:v>缺衣服来源码</x:v>
      </x:c>
      <x:c r="Y325" s="29" t="str">
        <x:v>后期统一平衡</x:v>
      </x:c>
      <x:c r="Z325" s="20" t="str">
        <x:v>一怪一专属；专属来源跟随本行准确地图号</x:v>
      </x:c>
    </x:row>
    <x:row r="326" ht="24" customHeight="1">
      <x:c r="A326" s="20" t="str">
        <x:v>C08-M029</x:v>
      </x:c>
      <x:c r="B326" s="20" t="str">
        <x:v>C08</x:v>
      </x:c>
      <x:c r="C326" s="20" t="str">
        <x:v>巨人山顶</x:v>
      </x:c>
      <x:c r="D326" s="20" t="n">
        <x:v>3</x:v>
      </x:c>
      <x:c r="E326" s="20" t="str">
        <x:v>冰宫王庭</x:v>
      </x:c>
      <x:c r="F326" s="20" t="n">
        <x:v>4</x:v>
      </x:c>
      <x:c r="G326" s="20" t="str">
        <x:v>XX323</x:v>
      </x:c>
      <x:c r="H326" s="20" t="str">
        <x:v>巨人议殿</x:v>
      </x:c>
      <x:c r="I326" s="20" t="str">
        <x:v>议殿石髯书记</x:v>
      </x:c>
      <x:c r="J326" s="20" t="str">
        <x:v>黄色</x:v>
      </x:c>
      <x:c r="K326" s="20" t="str">
        <x:v>普通</x:v>
      </x:c>
      <x:c r="L326" s="20" t="str">
        <x:v>巨人</x:v>
      </x:c>
      <x:c r="M326" s="20" t="str">
        <x:v>辅助</x:v>
      </x:c>
      <x:c r="N326" s="20" t="str">
        <x:v>石髯记事镯</x:v>
      </x:c>
      <x:c r="O326" s="20" t="str">
        <x:v>手镯</x:v>
      </x:c>
      <x:c r="P326" s="20" t="str">
        <x:v>霜脊铁</x:v>
      </x:c>
      <x:c r="Q326" s="20" t="str"/>
      <x:c r="R326" s="20" t="str">
        <x:v>登山铁楔</x:v>
      </x:c>
      <x:c r="S326" s="20" t="str">
        <x:v>穹霜碑珀</x:v>
      </x:c>
      <x:c r="T326" s="20" t="str">
        <x:v>否</x:v>
      </x:c>
      <x:c r="U326" s="20" t="str">
        <x:v>是（公共奖池）</x:v>
      </x:c>
      <x:c r="V326" s="22" t="str">
        <x:v>结构定稿</x:v>
      </x:c>
      <x:c r="W326" s="36" t="str">
        <x:v>用户自行分配／本表不处理</x:v>
      </x:c>
      <x:c r="X326" s="33" t="n">
        <x:v>5942</x:v>
      </x:c>
      <x:c r="Y326" s="29" t="str">
        <x:v>后期统一平衡</x:v>
      </x:c>
      <x:c r="Z326" s="20" t="str">
        <x:v>一怪一专属；专属来源跟随本行准确地图号</x:v>
      </x:c>
    </x:row>
    <x:row r="327" ht="24" customHeight="1">
      <x:c r="A327" s="20" t="str">
        <x:v>C08-M030</x:v>
      </x:c>
      <x:c r="B327" s="20" t="str">
        <x:v>C08</x:v>
      </x:c>
      <x:c r="C327" s="20" t="str">
        <x:v>巨人山顶</x:v>
      </x:c>
      <x:c r="D327" s="20" t="n">
        <x:v>3</x:v>
      </x:c>
      <x:c r="E327" s="20" t="str">
        <x:v>冰宫王庭</x:v>
      </x:c>
      <x:c r="F327" s="20" t="n">
        <x:v>5</x:v>
      </x:c>
      <x:c r="G327" s="20" t="str">
        <x:v>XX326</x:v>
      </x:c>
      <x:c r="H327" s="20" t="str">
        <x:v>冰宫王座</x:v>
      </x:c>
      <x:c r="I327" s="20" t="str">
        <x:v>王座寒灯侍</x:v>
      </x:c>
      <x:c r="J327" s="20" t="str">
        <x:v>黄色</x:v>
      </x:c>
      <x:c r="K327" s="20" t="str">
        <x:v>普通</x:v>
      </x:c>
      <x:c r="L327" s="20" t="str">
        <x:v>人形</x:v>
      </x:c>
      <x:c r="M327" s="20" t="str">
        <x:v>敏捷</x:v>
      </x:c>
      <x:c r="N327" s="20" t="str">
        <x:v>寒灯侍履</x:v>
      </x:c>
      <x:c r="O327" s="20" t="str">
        <x:v>鞋子</x:v>
      </x:c>
      <x:c r="P327" s="20" t="str">
        <x:v>霜脊铁</x:v>
      </x:c>
      <x:c r="Q327" s="20" t="str"/>
      <x:c r="R327" s="20" t="str">
        <x:v>登山铁楔</x:v>
      </x:c>
      <x:c r="S327" s="20" t="str">
        <x:v>穹霜碑珀</x:v>
      </x:c>
      <x:c r="T327" s="20" t="str">
        <x:v>否</x:v>
      </x:c>
      <x:c r="U327" s="20" t="str">
        <x:v>是（公共奖池）</x:v>
      </x:c>
      <x:c r="V327" s="22" t="str">
        <x:v>结构定稿</x:v>
      </x:c>
      <x:c r="W327" s="36" t="str">
        <x:v>用户自行分配／本表不处理</x:v>
      </x:c>
      <x:c r="X327" s="33" t="n">
        <x:v>5928</x:v>
      </x:c>
      <x:c r="Y327" s="29" t="str">
        <x:v>后期统一平衡</x:v>
      </x:c>
      <x:c r="Z327" s="20" t="str">
        <x:v>一怪一专属；专属来源跟随本行准确地图号</x:v>
      </x:c>
    </x:row>
    <x:row r="328" ht="24" customHeight="1">
      <x:c r="A328" s="20" t="str">
        <x:v>C08-M031</x:v>
      </x:c>
      <x:c r="B328" s="20" t="str">
        <x:v>C08</x:v>
      </x:c>
      <x:c r="C328" s="20" t="str">
        <x:v>巨人山顶</x:v>
      </x:c>
      <x:c r="D328" s="20" t="n">
        <x:v>3</x:v>
      </x:c>
      <x:c r="E328" s="20" t="str">
        <x:v>冰宫王庭</x:v>
      </x:c>
      <x:c r="F328" s="20" t="n">
        <x:v>2</x:v>
      </x:c>
      <x:c r="G328" s="20" t="str">
        <x:v>XX321</x:v>
      </x:c>
      <x:c r="H328" s="20" t="str">
        <x:v>王庭外廊</x:v>
      </x:c>
      <x:c r="I328" s="20" t="str">
        <x:v>外廊镜甲将</x:v>
      </x:c>
      <x:c r="J328" s="20" t="str">
        <x:v>蓝色</x:v>
      </x:c>
      <x:c r="K328" s="20" t="str">
        <x:v>稀有</x:v>
      </x:c>
      <x:c r="L328" s="20" t="str">
        <x:v>巨人</x:v>
      </x:c>
      <x:c r="M328" s="20" t="str">
        <x:v>重装</x:v>
      </x:c>
      <x:c r="N328" s="20" t="str">
        <x:v>镜甲将军盔</x:v>
      </x:c>
      <x:c r="O328" s="20" t="str">
        <x:v>头盔</x:v>
      </x:c>
      <x:c r="P328" s="20" t="str">
        <x:v>霜脊铁</x:v>
      </x:c>
      <x:c r="Q328" s="20" t="str">
        <x:v>巨人火种</x:v>
      </x:c>
      <x:c r="R328" s="20" t="str">
        <x:v>裂峰号角片</x:v>
      </x:c>
      <x:c r="S328" s="20" t="str">
        <x:v>穹霜碑珀</x:v>
      </x:c>
      <x:c r="T328" s="20" t="str">
        <x:v>否</x:v>
      </x:c>
      <x:c r="U328" s="20" t="str">
        <x:v>是（公共奖池）</x:v>
      </x:c>
      <x:c r="V328" s="22" t="str">
        <x:v>结构定稿</x:v>
      </x:c>
      <x:c r="W328" s="36" t="str">
        <x:v>用户自行分配／本表不处理</x:v>
      </x:c>
      <x:c r="X328" s="33" t="n">
        <x:v>5986</x:v>
      </x:c>
      <x:c r="Y328" s="29" t="str">
        <x:v>后期统一平衡</x:v>
      </x:c>
      <x:c r="Z328" s="20" t="str">
        <x:v>一怪一专属；专属来源跟随本行准确地图号</x:v>
      </x:c>
    </x:row>
    <x:row r="329" ht="24" customHeight="1">
      <x:c r="A329" s="20" t="str">
        <x:v>C08-M032</x:v>
      </x:c>
      <x:c r="B329" s="20" t="str">
        <x:v>C08</x:v>
      </x:c>
      <x:c r="C329" s="20" t="str">
        <x:v>巨人山顶</x:v>
      </x:c>
      <x:c r="D329" s="20" t="n">
        <x:v>3</x:v>
      </x:c>
      <x:c r="E329" s="20" t="str">
        <x:v>冰宫王庭</x:v>
      </x:c>
      <x:c r="F329" s="20" t="n">
        <x:v>3</x:v>
      </x:c>
      <x:c r="G329" s="20" t="str">
        <x:v>XX322</x:v>
      </x:c>
      <x:c r="H329" s="20" t="str">
        <x:v>冰封内廷</x:v>
      </x:c>
      <x:c r="I329" s="20" t="str">
        <x:v>内廷缄声女官</x:v>
      </x:c>
      <x:c r="J329" s="20" t="str">
        <x:v>蓝色</x:v>
      </x:c>
      <x:c r="K329" s="20" t="str">
        <x:v>稀有</x:v>
      </x:c>
      <x:c r="L329" s="20" t="str">
        <x:v>人形</x:v>
      </x:c>
      <x:c r="M329" s="20" t="str">
        <x:v>法术</x:v>
      </x:c>
      <x:c r="N329" s="20" t="str">
        <x:v>缄声霜帘笠</x:v>
      </x:c>
      <x:c r="O329" s="20" t="str">
        <x:v>斗笠</x:v>
      </x:c>
      <x:c r="P329" s="20" t="str">
        <x:v>霜脊铁</x:v>
      </x:c>
      <x:c r="Q329" s="20" t="str">
        <x:v>巨人火种</x:v>
      </x:c>
      <x:c r="R329" s="20" t="str">
        <x:v>裂峰号角片</x:v>
      </x:c>
      <x:c r="S329" s="20" t="str">
        <x:v>穹霜碑珀</x:v>
      </x:c>
      <x:c r="T329" s="20" t="str">
        <x:v>否</x:v>
      </x:c>
      <x:c r="U329" s="20" t="str">
        <x:v>是（公共奖池）</x:v>
      </x:c>
      <x:c r="V329" s="22" t="str">
        <x:v>结构定稿</x:v>
      </x:c>
      <x:c r="W329" s="36" t="str">
        <x:v>用户自行分配／本表不处理</x:v>
      </x:c>
      <x:c r="X329" s="33" t="n">
        <x:v>6715</x:v>
      </x:c>
      <x:c r="Y329" s="29" t="str">
        <x:v>后期统一平衡</x:v>
      </x:c>
      <x:c r="Z329" s="20" t="str">
        <x:v>一怪一专属；专属来源跟随本行准确地图号</x:v>
      </x:c>
    </x:row>
    <x:row r="330" ht="24" customHeight="1">
      <x:c r="A330" s="20" t="str">
        <x:v>C08-M033</x:v>
      </x:c>
      <x:c r="B330" s="20" t="str">
        <x:v>C08</x:v>
      </x:c>
      <x:c r="C330" s="20" t="str">
        <x:v>巨人山顶</x:v>
      </x:c>
      <x:c r="D330" s="20" t="n">
        <x:v>3</x:v>
      </x:c>
      <x:c r="E330" s="20" t="str">
        <x:v>冰宫王庭</x:v>
      </x:c>
      <x:c r="F330" s="20" t="n">
        <x:v>4</x:v>
      </x:c>
      <x:c r="G330" s="20" t="str">
        <x:v>XX323</x:v>
      </x:c>
      <x:c r="H330" s="20" t="str">
        <x:v>巨人议殿</x:v>
      </x:c>
      <x:c r="I330" s="20" t="str">
        <x:v>议殿古律巨人</x:v>
      </x:c>
      <x:c r="J330" s="20" t="str">
        <x:v>蓝色</x:v>
      </x:c>
      <x:c r="K330" s="20" t="str">
        <x:v>稀有</x:v>
      </x:c>
      <x:c r="L330" s="20" t="str">
        <x:v>巨人</x:v>
      </x:c>
      <x:c r="M330" s="20" t="str">
        <x:v>近战</x:v>
      </x:c>
      <x:c r="N330" s="20" t="str">
        <x:v>古律铭板带</x:v>
      </x:c>
      <x:c r="O330" s="20" t="str">
        <x:v>腰带</x:v>
      </x:c>
      <x:c r="P330" s="20" t="str">
        <x:v>霜脊铁</x:v>
      </x:c>
      <x:c r="Q330" s="20" t="str">
        <x:v>巨人火种</x:v>
      </x:c>
      <x:c r="R330" s="20" t="str">
        <x:v>裂峰号角片</x:v>
      </x:c>
      <x:c r="S330" s="20" t="str">
        <x:v>穹霜碑珀</x:v>
      </x:c>
      <x:c r="T330" s="20" t="str">
        <x:v>否</x:v>
      </x:c>
      <x:c r="U330" s="20" t="str">
        <x:v>是（公共奖池）</x:v>
      </x:c>
      <x:c r="V330" s="22" t="str">
        <x:v>结构定稿</x:v>
      </x:c>
      <x:c r="W330" s="36" t="str">
        <x:v>用户自行分配／本表不处理</x:v>
      </x:c>
      <x:c r="X330" s="33" t="n">
        <x:v>5920</x:v>
      </x:c>
      <x:c r="Y330" s="29" t="str">
        <x:v>后期统一平衡</x:v>
      </x:c>
      <x:c r="Z330" s="20" t="str">
        <x:v>一怪一专属；专属来源跟随本行准确地图号</x:v>
      </x:c>
    </x:row>
    <x:row r="331" ht="24" customHeight="1">
      <x:c r="A331" s="20" t="str">
        <x:v>C08-M034</x:v>
      </x:c>
      <x:c r="B331" s="20" t="str">
        <x:v>C08</x:v>
      </x:c>
      <x:c r="C331" s="20" t="str">
        <x:v>巨人山顶</x:v>
      </x:c>
      <x:c r="D331" s="20" t="n">
        <x:v>3</x:v>
      </x:c>
      <x:c r="E331" s="20" t="str">
        <x:v>冰宫王庭</x:v>
      </x:c>
      <x:c r="F331" s="20" t="n">
        <x:v>5</x:v>
      </x:c>
      <x:c r="G331" s="20" t="str">
        <x:v>XX326</x:v>
      </x:c>
      <x:c r="H331" s="20" t="str">
        <x:v>冰宫王座</x:v>
      </x:c>
      <x:c r="I331" s="20" t="str">
        <x:v>王座霜冠司礼</x:v>
      </x:c>
      <x:c r="J331" s="20" t="str">
        <x:v>蓝色</x:v>
      </x:c>
      <x:c r="K331" s="20" t="str">
        <x:v>稀有</x:v>
      </x:c>
      <x:c r="L331" s="20" t="str">
        <x:v>人形</x:v>
      </x:c>
      <x:c r="M331" s="20" t="str">
        <x:v>召唤</x:v>
      </x:c>
      <x:c r="N331" s="20" t="str">
        <x:v>霜冠司礼戒</x:v>
      </x:c>
      <x:c r="O331" s="20" t="str">
        <x:v>戒指</x:v>
      </x:c>
      <x:c r="P331" s="20" t="str">
        <x:v>霜脊铁</x:v>
      </x:c>
      <x:c r="Q331" s="20" t="str">
        <x:v>巨人火种</x:v>
      </x:c>
      <x:c r="R331" s="20" t="str">
        <x:v>裂峰号角片</x:v>
      </x:c>
      <x:c r="S331" s="20" t="str">
        <x:v>穹霜碑珀</x:v>
      </x:c>
      <x:c r="T331" s="20" t="str">
        <x:v>否</x:v>
      </x:c>
      <x:c r="U331" s="20" t="str">
        <x:v>是（公共奖池）</x:v>
      </x:c>
      <x:c r="V331" s="22" t="str">
        <x:v>结构定稿</x:v>
      </x:c>
      <x:c r="W331" s="36" t="str">
        <x:v>用户自行分配／本表不处理</x:v>
      </x:c>
      <x:c r="X331" s="33" t="n">
        <x:v>5970</x:v>
      </x:c>
      <x:c r="Y331" s="29" t="str">
        <x:v>后期统一平衡</x:v>
      </x:c>
      <x:c r="Z331" s="20" t="str">
        <x:v>一怪一专属；专属来源跟随本行准确地图号</x:v>
      </x:c>
    </x:row>
    <x:row r="332" ht="24" customHeight="1">
      <x:c r="A332" s="20" t="str">
        <x:v>C08-M035</x:v>
      </x:c>
      <x:c r="B332" s="20" t="str">
        <x:v>C08</x:v>
      </x:c>
      <x:c r="C332" s="20" t="str">
        <x:v>巨人山顶</x:v>
      </x:c>
      <x:c r="D332" s="20" t="n">
        <x:v>3</x:v>
      </x:c>
      <x:c r="E332" s="20" t="str">
        <x:v>冰宫王庭</x:v>
      </x:c>
      <x:c r="F332" s="20" t="n">
        <x:v>4</x:v>
      </x:c>
      <x:c r="G332" s="20" t="str">
        <x:v>XX323</x:v>
      </x:c>
      <x:c r="H332" s="20" t="str">
        <x:v>巨人议殿</x:v>
      </x:c>
      <x:c r="I332" s="20" t="str">
        <x:v>议殿白髯公·沃尔格</x:v>
      </x:c>
      <x:c r="J332" s="20" t="str">
        <x:v>粉色</x:v>
      </x:c>
      <x:c r="K332" s="20" t="str">
        <x:v>地图BOSS</x:v>
      </x:c>
      <x:c r="L332" s="20" t="str">
        <x:v>巨人</x:v>
      </x:c>
      <x:c r="M332" s="20" t="str">
        <x:v>首领</x:v>
      </x:c>
      <x:c r="N332" s="20" t="str">
        <x:v>沃尔格廷议杖</x:v>
      </x:c>
      <x:c r="O332" s="20" t="str">
        <x:v>武器</x:v>
      </x:c>
      <x:c r="P332" s="20" t="str">
        <x:v>霜脊铁</x:v>
      </x:c>
      <x:c r="Q332" s="20" t="str">
        <x:v>巨人火种＋巨人火印</x:v>
      </x:c>
      <x:c r="R332" s="20" t="str">
        <x:v>冰宫守门铃</x:v>
      </x:c>
      <x:c r="S332" s="20" t="str">
        <x:v>穹霜碑珀</x:v>
      </x:c>
      <x:c r="T332" s="20" t="str">
        <x:v>是（独立奖池）</x:v>
      </x:c>
      <x:c r="U332" s="20" t="str">
        <x:v>是（公共奖池）</x:v>
      </x:c>
      <x:c r="V332" s="22" t="str">
        <x:v>结构定稿</x:v>
      </x:c>
      <x:c r="W332" s="36" t="str">
        <x:v>用户自行分配／本表不处理</x:v>
      </x:c>
      <x:c r="X332" s="34" t="str">
        <x:v>缺武器来源码</x:v>
      </x:c>
      <x:c r="Y332" s="29" t="str">
        <x:v>后期统一平衡</x:v>
      </x:c>
      <x:c r="Z332" s="20" t="str">
        <x:v>一怪一专属；专属来源跟随本行准确地图号</x:v>
      </x:c>
    </x:row>
    <x:row r="333" ht="24" customHeight="1">
      <x:c r="A333" s="20" t="str">
        <x:v>C08-M036</x:v>
      </x:c>
      <x:c r="B333" s="20" t="str">
        <x:v>C08</x:v>
      </x:c>
      <x:c r="C333" s="20" t="str">
        <x:v>巨人山顶</x:v>
      </x:c>
      <x:c r="D333" s="20" t="n">
        <x:v>3</x:v>
      </x:c>
      <x:c r="E333" s="20" t="str">
        <x:v>冰宫王庭</x:v>
      </x:c>
      <x:c r="F333" s="20" t="n">
        <x:v>5</x:v>
      </x:c>
      <x:c r="G333" s="20" t="str">
        <x:v>XX326</x:v>
      </x:c>
      <x:c r="H333" s="20" t="str">
        <x:v>冰宫王座</x:v>
      </x:c>
      <x:c r="I333" s="20" t="str">
        <x:v>冰宫摄政后·伊瑟芮</x:v>
      </x:c>
      <x:c r="J333" s="20" t="str">
        <x:v>粉色</x:v>
      </x:c>
      <x:c r="K333" s="20" t="str">
        <x:v>地图BOSS</x:v>
      </x:c>
      <x:c r="L333" s="20" t="str">
        <x:v>巨人</x:v>
      </x:c>
      <x:c r="M333" s="20" t="str">
        <x:v>首领</x:v>
      </x:c>
      <x:c r="N333" s="20" t="str">
        <x:v>伊瑟芮冰绡袍</x:v>
      </x:c>
      <x:c r="O333" s="20" t="str">
        <x:v>衣服</x:v>
      </x:c>
      <x:c r="P333" s="20" t="str">
        <x:v>霜脊铁</x:v>
      </x:c>
      <x:c r="Q333" s="20" t="str">
        <x:v>巨人火种＋巨人火印</x:v>
      </x:c>
      <x:c r="R333" s="20" t="str">
        <x:v>冰宫守门铃</x:v>
      </x:c>
      <x:c r="S333" s="20" t="str">
        <x:v>穹霜碑珀</x:v>
      </x:c>
      <x:c r="T333" s="20" t="str">
        <x:v>是（独立奖池）</x:v>
      </x:c>
      <x:c r="U333" s="20" t="str">
        <x:v>是（公共奖池）</x:v>
      </x:c>
      <x:c r="V333" s="22" t="str">
        <x:v>结构定稿</x:v>
      </x:c>
      <x:c r="W333" s="36" t="str">
        <x:v>用户自行分配／本表不处理</x:v>
      </x:c>
      <x:c r="X333" s="34" t="str">
        <x:v>缺衣服来源码</x:v>
      </x:c>
      <x:c r="Y333" s="29" t="str">
        <x:v>后期统一平衡</x:v>
      </x:c>
      <x:c r="Z333" s="20" t="str">
        <x:v>一怪一专属；专属来源跟随本行准确地图号</x:v>
      </x:c>
    </x:row>
    <x:row r="334" ht="24" customHeight="1">
      <x:c r="A334" s="20" t="str">
        <x:v>C08-M037</x:v>
      </x:c>
      <x:c r="B334" s="20" t="str">
        <x:v>C08</x:v>
      </x:c>
      <x:c r="C334" s="20" t="str">
        <x:v>巨人山顶</x:v>
      </x:c>
      <x:c r="D334" s="20" t="n">
        <x:v>4</x:v>
      </x:c>
      <x:c r="E334" s="20" t="str">
        <x:v>巨人王庭</x:v>
      </x:c>
      <x:c r="F334" s="20" t="n">
        <x:v>1</x:v>
      </x:c>
      <x:c r="G334" s="20" t="str">
        <x:v>XX899</x:v>
      </x:c>
      <x:c r="H334" s="20" t="str">
        <x:v>巨人王庭</x:v>
      </x:c>
      <x:c r="I334" s="20" t="str">
        <x:v>王庭铸霜卫</x:v>
      </x:c>
      <x:c r="J334" s="20" t="str">
        <x:v>黄色</x:v>
      </x:c>
      <x:c r="K334" s="20" t="str">
        <x:v>普通</x:v>
      </x:c>
      <x:c r="L334" s="20" t="str">
        <x:v>巨人</x:v>
      </x:c>
      <x:c r="M334" s="20" t="str">
        <x:v>近战</x:v>
      </x:c>
      <x:c r="N334" s="20" t="str">
        <x:v>铸霜庭卫戟</x:v>
      </x:c>
      <x:c r="O334" s="20" t="str">
        <x:v>武器</x:v>
      </x:c>
      <x:c r="P334" s="20" t="str">
        <x:v>霜脊铁</x:v>
      </x:c>
      <x:c r="Q334" s="20" t="str"/>
      <x:c r="R334" s="20" t="str">
        <x:v>登山铁楔</x:v>
      </x:c>
      <x:c r="S334" s="20" t="str">
        <x:v>穹霜碑珀</x:v>
      </x:c>
      <x:c r="T334" s="20" t="str">
        <x:v>否</x:v>
      </x:c>
      <x:c r="U334" s="20" t="str">
        <x:v>是（公共奖池）</x:v>
      </x:c>
      <x:c r="V334" s="22" t="str">
        <x:v>结构定稿</x:v>
      </x:c>
      <x:c r="W334" s="36" t="str">
        <x:v>用户自行分配／本表不处理</x:v>
      </x:c>
      <x:c r="X334" s="34" t="str">
        <x:v>缺武器来源码</x:v>
      </x:c>
      <x:c r="Y334" s="29" t="str">
        <x:v>后期统一平衡</x:v>
      </x:c>
      <x:c r="Z334" s="20" t="str">
        <x:v>一怪一专属；专属来源跟随本行准确地图号</x:v>
      </x:c>
    </x:row>
    <x:row r="335" ht="24" customHeight="1">
      <x:c r="A335" s="20" t="str">
        <x:v>C08-M038</x:v>
      </x:c>
      <x:c r="B335" s="20" t="str">
        <x:v>C08</x:v>
      </x:c>
      <x:c r="C335" s="20" t="str">
        <x:v>巨人山顶</x:v>
      </x:c>
      <x:c r="D335" s="20" t="n">
        <x:v>4</x:v>
      </x:c>
      <x:c r="E335" s="20" t="str">
        <x:v>巨人王庭</x:v>
      </x:c>
      <x:c r="F335" s="20" t="n">
        <x:v>1</x:v>
      </x:c>
      <x:c r="G335" s="20" t="str">
        <x:v>XX899</x:v>
      </x:c>
      <x:c r="H335" s="20" t="str">
        <x:v>巨人王庭</x:v>
      </x:c>
      <x:c r="I335" s="20" t="str">
        <x:v>庭阶雪鬃獒</x:v>
      </x:c>
      <x:c r="J335" s="20" t="str">
        <x:v>黄色</x:v>
      </x:c>
      <x:c r="K335" s="20" t="str">
        <x:v>普通</x:v>
      </x:c>
      <x:c r="L335" s="20" t="str">
        <x:v>兽类</x:v>
      </x:c>
      <x:c r="M335" s="20" t="str">
        <x:v>敏捷</x:v>
      </x:c>
      <x:c r="N335" s="20" t="str">
        <x:v>雪鬃獒踏靴</x:v>
      </x:c>
      <x:c r="O335" s="20" t="str">
        <x:v>鞋子</x:v>
      </x:c>
      <x:c r="P335" s="20" t="str">
        <x:v>霜脊铁</x:v>
      </x:c>
      <x:c r="Q335" s="20" t="str"/>
      <x:c r="R335" s="20" t="str">
        <x:v>登山铁楔</x:v>
      </x:c>
      <x:c r="S335" s="20" t="str">
        <x:v>穹霜碑珀</x:v>
      </x:c>
      <x:c r="T335" s="20" t="str">
        <x:v>否</x:v>
      </x:c>
      <x:c r="U335" s="20" t="str">
        <x:v>是（公共奖池）</x:v>
      </x:c>
      <x:c r="V335" s="22" t="str">
        <x:v>结构定稿</x:v>
      </x:c>
      <x:c r="W335" s="36" t="str">
        <x:v>用户自行分配／本表不处理</x:v>
      </x:c>
      <x:c r="X335" s="33" t="n">
        <x:v>5937</x:v>
      </x:c>
      <x:c r="Y335" s="29" t="str">
        <x:v>后期统一平衡</x:v>
      </x:c>
      <x:c r="Z335" s="20" t="str">
        <x:v>一怪一专属；专属来源跟随本行准确地图号</x:v>
      </x:c>
    </x:row>
    <x:row r="336" ht="24" customHeight="1">
      <x:c r="A336" s="20" t="str">
        <x:v>C08-M039</x:v>
      </x:c>
      <x:c r="B336" s="20" t="str">
        <x:v>C08</x:v>
      </x:c>
      <x:c r="C336" s="20" t="str">
        <x:v>巨人山顶</x:v>
      </x:c>
      <x:c r="D336" s="20" t="n">
        <x:v>4</x:v>
      </x:c>
      <x:c r="E336" s="20" t="str">
        <x:v>巨人王庭</x:v>
      </x:c>
      <x:c r="F336" s="20" t="n">
        <x:v>2</x:v>
      </x:c>
      <x:c r="G336" s="20" t="str">
        <x:v>XX898</x:v>
      </x:c>
      <x:c r="H336" s="20" t="str">
        <x:v>雪域内宫</x:v>
      </x:c>
      <x:c r="I336" s="20" t="str">
        <x:v>内宫白毡侍</x:v>
      </x:c>
      <x:c r="J336" s="20" t="str">
        <x:v>黄色</x:v>
      </x:c>
      <x:c r="K336" s="20" t="str">
        <x:v>普通</x:v>
      </x:c>
      <x:c r="L336" s="20" t="str">
        <x:v>人形</x:v>
      </x:c>
      <x:c r="M336" s="20" t="str">
        <x:v>法术</x:v>
      </x:c>
      <x:c r="N336" s="20" t="str">
        <x:v>白毡宫衣</x:v>
      </x:c>
      <x:c r="O336" s="20" t="str">
        <x:v>衣服</x:v>
      </x:c>
      <x:c r="P336" s="20" t="str">
        <x:v>霜脊铁</x:v>
      </x:c>
      <x:c r="Q336" s="20" t="str"/>
      <x:c r="R336" s="20" t="str">
        <x:v>登山铁楔</x:v>
      </x:c>
      <x:c r="S336" s="20" t="str">
        <x:v>穹霜碑珀</x:v>
      </x:c>
      <x:c r="T336" s="20" t="str">
        <x:v>否</x:v>
      </x:c>
      <x:c r="U336" s="20" t="str">
        <x:v>是（公共奖池）</x:v>
      </x:c>
      <x:c r="V336" s="22" t="str">
        <x:v>结构定稿</x:v>
      </x:c>
      <x:c r="W336" s="36" t="str">
        <x:v>用户自行分配／本表不处理</x:v>
      </x:c>
      <x:c r="X336" s="34" t="str">
        <x:v>缺衣服来源码</x:v>
      </x:c>
      <x:c r="Y336" s="29" t="str">
        <x:v>后期统一平衡</x:v>
      </x:c>
      <x:c r="Z336" s="20" t="str">
        <x:v>一怪一专属；专属来源跟随本行准确地图号</x:v>
      </x:c>
    </x:row>
    <x:row r="337" ht="24" customHeight="1">
      <x:c r="A337" s="20" t="str">
        <x:v>C08-M040</x:v>
      </x:c>
      <x:c r="B337" s="20" t="str">
        <x:v>C08</x:v>
      </x:c>
      <x:c r="C337" s="20" t="str">
        <x:v>巨人山顶</x:v>
      </x:c>
      <x:c r="D337" s="20" t="n">
        <x:v>4</x:v>
      </x:c>
      <x:c r="E337" s="20" t="str">
        <x:v>巨人王庭</x:v>
      </x:c>
      <x:c r="F337" s="20" t="n">
        <x:v>2</x:v>
      </x:c>
      <x:c r="G337" s="20" t="str">
        <x:v>XX898</x:v>
      </x:c>
      <x:c r="H337" s="20" t="str">
        <x:v>雪域内宫</x:v>
      </x:c>
      <x:c r="I337" s="20" t="str">
        <x:v>雪域巡烛官</x:v>
      </x:c>
      <x:c r="J337" s="20" t="str">
        <x:v>黄色</x:v>
      </x:c>
      <x:c r="K337" s="20" t="str">
        <x:v>普通</x:v>
      </x:c>
      <x:c r="L337" s="20" t="str">
        <x:v>人形</x:v>
      </x:c>
      <x:c r="M337" s="20" t="str">
        <x:v>远程</x:v>
      </x:c>
      <x:c r="N337" s="20" t="str">
        <x:v>巡烛官灯坠</x:v>
      </x:c>
      <x:c r="O337" s="20" t="str">
        <x:v>项链</x:v>
      </x:c>
      <x:c r="P337" s="20" t="str">
        <x:v>霜脊铁</x:v>
      </x:c>
      <x:c r="Q337" s="20" t="str"/>
      <x:c r="R337" s="20" t="str">
        <x:v>登山铁楔</x:v>
      </x:c>
      <x:c r="S337" s="20" t="str">
        <x:v>穹霜碑珀</x:v>
      </x:c>
      <x:c r="T337" s="20" t="str">
        <x:v>否</x:v>
      </x:c>
      <x:c r="U337" s="20" t="str">
        <x:v>是（公共奖池）</x:v>
      </x:c>
      <x:c r="V337" s="22" t="str">
        <x:v>结构定稿</x:v>
      </x:c>
      <x:c r="W337" s="36" t="str">
        <x:v>用户自行分配／本表不处理</x:v>
      </x:c>
      <x:c r="X337" s="33" t="n">
        <x:v>5994</x:v>
      </x:c>
      <x:c r="Y337" s="29" t="str">
        <x:v>后期统一平衡</x:v>
      </x:c>
      <x:c r="Z337" s="20" t="str">
        <x:v>一怪一专属；专属来源跟随本行准确地图号</x:v>
      </x:c>
    </x:row>
    <x:row r="338" ht="24" customHeight="1">
      <x:c r="A338" s="20" t="str">
        <x:v>C08-M041</x:v>
      </x:c>
      <x:c r="B338" s="20" t="str">
        <x:v>C08</x:v>
      </x:c>
      <x:c r="C338" s="20" t="str">
        <x:v>巨人山顶</x:v>
      </x:c>
      <x:c r="D338" s="20" t="n">
        <x:v>4</x:v>
      </x:c>
      <x:c r="E338" s="20" t="str">
        <x:v>巨人王庭</x:v>
      </x:c>
      <x:c r="F338" s="20" t="n">
        <x:v>3</x:v>
      </x:c>
      <x:c r="G338" s="20" t="str">
        <x:v>XX897</x:v>
      </x:c>
      <x:c r="H338" s="20" t="str">
        <x:v>巨人王座</x:v>
      </x:c>
      <x:c r="I338" s="20" t="str">
        <x:v>王座负碑巨人</x:v>
      </x:c>
      <x:c r="J338" s="20" t="str">
        <x:v>黄色</x:v>
      </x:c>
      <x:c r="K338" s="20" t="str">
        <x:v>普通</x:v>
      </x:c>
      <x:c r="L338" s="20" t="str">
        <x:v>巨人</x:v>
      </x:c>
      <x:c r="M338" s="20" t="str">
        <x:v>重装</x:v>
      </x:c>
      <x:c r="N338" s="20" t="str">
        <x:v>负碑王座盾</x:v>
      </x:c>
      <x:c r="O338" s="20" t="str">
        <x:v>盾牌</x:v>
      </x:c>
      <x:c r="P338" s="20" t="str">
        <x:v>霜脊铁</x:v>
      </x:c>
      <x:c r="Q338" s="20" t="str"/>
      <x:c r="R338" s="20" t="str">
        <x:v>登山铁楔</x:v>
      </x:c>
      <x:c r="S338" s="20" t="str">
        <x:v>穹霜碑珀</x:v>
      </x:c>
      <x:c r="T338" s="20" t="str">
        <x:v>否</x:v>
      </x:c>
      <x:c r="U338" s="20" t="str">
        <x:v>是（公共奖池）</x:v>
      </x:c>
      <x:c r="V338" s="22" t="str">
        <x:v>结构定稿</x:v>
      </x:c>
      <x:c r="W338" s="36" t="str">
        <x:v>用户自行分配／本表不处理</x:v>
      </x:c>
      <x:c r="X338" s="33" t="n">
        <x:v>5944</x:v>
      </x:c>
      <x:c r="Y338" s="29" t="str">
        <x:v>后期统一平衡</x:v>
      </x:c>
      <x:c r="Z338" s="20" t="str">
        <x:v>一怪一专属；专属来源跟随本行准确地图号</x:v>
      </x:c>
    </x:row>
    <x:row r="339" ht="24" customHeight="1">
      <x:c r="A339" s="20" t="str">
        <x:v>C08-M042</x:v>
      </x:c>
      <x:c r="B339" s="20" t="str">
        <x:v>C08</x:v>
      </x:c>
      <x:c r="C339" s="20" t="str">
        <x:v>巨人山顶</x:v>
      </x:c>
      <x:c r="D339" s="20" t="n">
        <x:v>4</x:v>
      </x:c>
      <x:c r="E339" s="20" t="str">
        <x:v>巨人王庭</x:v>
      </x:c>
      <x:c r="F339" s="20" t="n">
        <x:v>3</x:v>
      </x:c>
      <x:c r="G339" s="20" t="str">
        <x:v>XX897</x:v>
      </x:c>
      <x:c r="H339" s="20" t="str">
        <x:v>巨人王座</x:v>
      </x:c>
      <x:c r="I339" s="20" t="str">
        <x:v>王座冰铃童</x:v>
      </x:c>
      <x:c r="J339" s="20" t="str">
        <x:v>黄色</x:v>
      </x:c>
      <x:c r="K339" s="20" t="str">
        <x:v>普通</x:v>
      </x:c>
      <x:c r="L339" s="20" t="str">
        <x:v>人形</x:v>
      </x:c>
      <x:c r="M339" s="20" t="str">
        <x:v>辅助</x:v>
      </x:c>
      <x:c r="N339" s="20" t="str">
        <x:v>冰铃童腕镯</x:v>
      </x:c>
      <x:c r="O339" s="20" t="str">
        <x:v>手镯</x:v>
      </x:c>
      <x:c r="P339" s="20" t="str">
        <x:v>霜脊铁</x:v>
      </x:c>
      <x:c r="Q339" s="20" t="str"/>
      <x:c r="R339" s="20" t="str">
        <x:v>登山铁楔</x:v>
      </x:c>
      <x:c r="S339" s="20" t="str">
        <x:v>穹霜碑珀</x:v>
      </x:c>
      <x:c r="T339" s="20" t="str">
        <x:v>否</x:v>
      </x:c>
      <x:c r="U339" s="20" t="str">
        <x:v>是（公共奖池）</x:v>
      </x:c>
      <x:c r="V339" s="22" t="str">
        <x:v>结构定稿</x:v>
      </x:c>
      <x:c r="W339" s="36" t="str">
        <x:v>用户自行分配／本表不处理</x:v>
      </x:c>
      <x:c r="X339" s="33" t="n">
        <x:v>5951</x:v>
      </x:c>
      <x:c r="Y339" s="29" t="str">
        <x:v>后期统一平衡</x:v>
      </x:c>
      <x:c r="Z339" s="20" t="str">
        <x:v>一怪一专属；专属来源跟随本行准确地图号</x:v>
      </x:c>
    </x:row>
    <x:row r="340" ht="24" customHeight="1">
      <x:c r="A340" s="20" t="str">
        <x:v>C08-M043</x:v>
      </x:c>
      <x:c r="B340" s="20" t="str">
        <x:v>C08</x:v>
      </x:c>
      <x:c r="C340" s="20" t="str">
        <x:v>巨人山顶</x:v>
      </x:c>
      <x:c r="D340" s="20" t="n">
        <x:v>4</x:v>
      </x:c>
      <x:c r="E340" s="20" t="str">
        <x:v>巨人王庭</x:v>
      </x:c>
      <x:c r="F340" s="20" t="n">
        <x:v>1</x:v>
      </x:c>
      <x:c r="G340" s="20" t="str">
        <x:v>XX899</x:v>
      </x:c>
      <x:c r="H340" s="20" t="str">
        <x:v>巨人王庭</x:v>
      </x:c>
      <x:c r="I340" s="20" t="str">
        <x:v>觐庭裂盔侯</x:v>
      </x:c>
      <x:c r="J340" s="20" t="str">
        <x:v>蓝色</x:v>
      </x:c>
      <x:c r="K340" s="20" t="str">
        <x:v>稀有</x:v>
      </x:c>
      <x:c r="L340" s="20" t="str">
        <x:v>巨人</x:v>
      </x:c>
      <x:c r="M340" s="20" t="str">
        <x:v>重装</x:v>
      </x:c>
      <x:c r="N340" s="20" t="str">
        <x:v>觐庭裂纹盔</x:v>
      </x:c>
      <x:c r="O340" s="20" t="str">
        <x:v>头盔</x:v>
      </x:c>
      <x:c r="P340" s="20" t="str">
        <x:v>霜脊铁</x:v>
      </x:c>
      <x:c r="Q340" s="20" t="str">
        <x:v>巨人火种</x:v>
      </x:c>
      <x:c r="R340" s="20" t="str">
        <x:v>裂峰号角片</x:v>
      </x:c>
      <x:c r="S340" s="20" t="str">
        <x:v>穹霜碑珀</x:v>
      </x:c>
      <x:c r="T340" s="20" t="str">
        <x:v>否</x:v>
      </x:c>
      <x:c r="U340" s="20" t="str">
        <x:v>是（公共奖池）</x:v>
      </x:c>
      <x:c r="V340" s="22" t="str">
        <x:v>结构定稿</x:v>
      </x:c>
      <x:c r="W340" s="36" t="str">
        <x:v>用户自行分配／本表不处理</x:v>
      </x:c>
      <x:c r="X340" s="33" t="n">
        <x:v>5995</x:v>
      </x:c>
      <x:c r="Y340" s="29" t="str">
        <x:v>后期统一平衡</x:v>
      </x:c>
      <x:c r="Z340" s="20" t="str">
        <x:v>一怪一专属；专属来源跟随本行准确地图号</x:v>
      </x:c>
    </x:row>
    <x:row r="341" ht="24" customHeight="1">
      <x:c r="A341" s="20" t="str">
        <x:v>C08-M044</x:v>
      </x:c>
      <x:c r="B341" s="20" t="str">
        <x:v>C08</x:v>
      </x:c>
      <x:c r="C341" s="20" t="str">
        <x:v>巨人山顶</x:v>
      </x:c>
      <x:c r="D341" s="20" t="n">
        <x:v>4</x:v>
      </x:c>
      <x:c r="E341" s="20" t="str">
        <x:v>巨人王庭</x:v>
      </x:c>
      <x:c r="F341" s="20" t="n">
        <x:v>2</x:v>
      </x:c>
      <x:c r="G341" s="20" t="str">
        <x:v>XX898</x:v>
      </x:c>
      <x:c r="H341" s="20" t="str">
        <x:v>雪域内宫</x:v>
      </x:c>
      <x:c r="I341" s="20" t="str">
        <x:v>内宫织雪妪</x:v>
      </x:c>
      <x:c r="J341" s="20" t="str">
        <x:v>蓝色</x:v>
      </x:c>
      <x:c r="K341" s="20" t="str">
        <x:v>稀有</x:v>
      </x:c>
      <x:c r="L341" s="20" t="str">
        <x:v>巨人</x:v>
      </x:c>
      <x:c r="M341" s="20" t="str">
        <x:v>召唤</x:v>
      </x:c>
      <x:c r="N341" s="20" t="str">
        <x:v>织雪白绒笠</x:v>
      </x:c>
      <x:c r="O341" s="20" t="str">
        <x:v>斗笠</x:v>
      </x:c>
      <x:c r="P341" s="20" t="str">
        <x:v>霜脊铁</x:v>
      </x:c>
      <x:c r="Q341" s="20" t="str">
        <x:v>巨人火种</x:v>
      </x:c>
      <x:c r="R341" s="20" t="str">
        <x:v>裂峰号角片</x:v>
      </x:c>
      <x:c r="S341" s="20" t="str">
        <x:v>穹霜碑珀</x:v>
      </x:c>
      <x:c r="T341" s="20" t="str">
        <x:v>否</x:v>
      </x:c>
      <x:c r="U341" s="20" t="str">
        <x:v>是（公共奖池）</x:v>
      </x:c>
      <x:c r="V341" s="22" t="str">
        <x:v>结构定稿</x:v>
      </x:c>
      <x:c r="W341" s="36" t="str">
        <x:v>用户自行分配／本表不处理</x:v>
      </x:c>
      <x:c r="X341" s="33" t="n">
        <x:v>6750</x:v>
      </x:c>
      <x:c r="Y341" s="29" t="str">
        <x:v>后期统一平衡</x:v>
      </x:c>
      <x:c r="Z341" s="20" t="str">
        <x:v>一怪一专属；专属来源跟随本行准确地图号</x:v>
      </x:c>
    </x:row>
    <x:row r="342" ht="24" customHeight="1">
      <x:c r="A342" s="20" t="str">
        <x:v>C08-M045</x:v>
      </x:c>
      <x:c r="B342" s="20" t="str">
        <x:v>C08</x:v>
      </x:c>
      <x:c r="C342" s="20" t="str">
        <x:v>巨人山顶</x:v>
      </x:c>
      <x:c r="D342" s="20" t="n">
        <x:v>4</x:v>
      </x:c>
      <x:c r="E342" s="20" t="str">
        <x:v>巨人王庭</x:v>
      </x:c>
      <x:c r="F342" s="20" t="n">
        <x:v>2</x:v>
      </x:c>
      <x:c r="G342" s="20" t="str">
        <x:v>XX898</x:v>
      </x:c>
      <x:c r="H342" s="20" t="str">
        <x:v>雪域内宫</x:v>
      </x:c>
      <x:c r="I342" s="20" t="str">
        <x:v>雪域封门将</x:v>
      </x:c>
      <x:c r="J342" s="20" t="str">
        <x:v>蓝色</x:v>
      </x:c>
      <x:c r="K342" s="20" t="str">
        <x:v>稀有</x:v>
      </x:c>
      <x:c r="L342" s="20" t="str">
        <x:v>巨人</x:v>
      </x:c>
      <x:c r="M342" s="20" t="str">
        <x:v>近战</x:v>
      </x:c>
      <x:c r="N342" s="20" t="str">
        <x:v>封门玄冰带</x:v>
      </x:c>
      <x:c r="O342" s="20" t="str">
        <x:v>腰带</x:v>
      </x:c>
      <x:c r="P342" s="20" t="str">
        <x:v>霜脊铁</x:v>
      </x:c>
      <x:c r="Q342" s="20" t="str">
        <x:v>巨人火种</x:v>
      </x:c>
      <x:c r="R342" s="20" t="str">
        <x:v>裂峰号角片</x:v>
      </x:c>
      <x:c r="S342" s="20" t="str">
        <x:v>穹霜碑珀</x:v>
      </x:c>
      <x:c r="T342" s="20" t="str">
        <x:v>否</x:v>
      </x:c>
      <x:c r="U342" s="20" t="str">
        <x:v>是（公共奖池）</x:v>
      </x:c>
      <x:c r="V342" s="22" t="str">
        <x:v>结构定稿</x:v>
      </x:c>
      <x:c r="W342" s="36" t="str">
        <x:v>用户自行分配／本表不处理</x:v>
      </x:c>
      <x:c r="X342" s="33" t="n">
        <x:v>5929</x:v>
      </x:c>
      <x:c r="Y342" s="29" t="str">
        <x:v>后期统一平衡</x:v>
      </x:c>
      <x:c r="Z342" s="20" t="str">
        <x:v>一怪一专属；专属来源跟随本行准确地图号</x:v>
      </x:c>
    </x:row>
    <x:row r="343" ht="24" customHeight="1">
      <x:c r="A343" s="20" t="str">
        <x:v>C08-M046</x:v>
      </x:c>
      <x:c r="B343" s="20" t="str">
        <x:v>C08</x:v>
      </x:c>
      <x:c r="C343" s="20" t="str">
        <x:v>巨人山顶</x:v>
      </x:c>
      <x:c r="D343" s="20" t="n">
        <x:v>4</x:v>
      </x:c>
      <x:c r="E343" s="20" t="str">
        <x:v>巨人王庭</x:v>
      </x:c>
      <x:c r="F343" s="20" t="n">
        <x:v>3</x:v>
      </x:c>
      <x:c r="G343" s="20" t="str">
        <x:v>XX897</x:v>
      </x:c>
      <x:c r="H343" s="20" t="str">
        <x:v>巨人王座</x:v>
      </x:c>
      <x:c r="I343" s="20" t="str">
        <x:v>王座守梦巫</x:v>
      </x:c>
      <x:c r="J343" s="20" t="str">
        <x:v>蓝色</x:v>
      </x:c>
      <x:c r="K343" s="20" t="str">
        <x:v>稀有</x:v>
      </x:c>
      <x:c r="L343" s="20" t="str">
        <x:v>人形</x:v>
      </x:c>
      <x:c r="M343" s="20" t="str">
        <x:v>法术</x:v>
      </x:c>
      <x:c r="N343" s="20" t="str">
        <x:v>守梦霜瞳戒</x:v>
      </x:c>
      <x:c r="O343" s="20" t="str">
        <x:v>戒指</x:v>
      </x:c>
      <x:c r="P343" s="20" t="str">
        <x:v>霜脊铁</x:v>
      </x:c>
      <x:c r="Q343" s="20" t="str">
        <x:v>巨人火种</x:v>
      </x:c>
      <x:c r="R343" s="20" t="str">
        <x:v>裂峰号角片</x:v>
      </x:c>
      <x:c r="S343" s="20" t="str">
        <x:v>穹霜碑珀</x:v>
      </x:c>
      <x:c r="T343" s="20" t="str">
        <x:v>否</x:v>
      </x:c>
      <x:c r="U343" s="20" t="str">
        <x:v>是（公共奖池）</x:v>
      </x:c>
      <x:c r="V343" s="22" t="str">
        <x:v>结构定稿</x:v>
      </x:c>
      <x:c r="W343" s="36" t="str">
        <x:v>用户自行分配／本表不处理</x:v>
      </x:c>
      <x:c r="X343" s="33" t="n">
        <x:v>5979</x:v>
      </x:c>
      <x:c r="Y343" s="29" t="str">
        <x:v>后期统一平衡</x:v>
      </x:c>
      <x:c r="Z343" s="20" t="str">
        <x:v>一怪一专属；专属来源跟随本行准确地图号</x:v>
      </x:c>
    </x:row>
    <x:row r="344" ht="24" customHeight="1">
      <x:c r="A344" s="20" t="str">
        <x:v>C08-M047</x:v>
      </x:c>
      <x:c r="B344" s="20" t="str">
        <x:v>C08</x:v>
      </x:c>
      <x:c r="C344" s="20" t="str">
        <x:v>巨人山顶</x:v>
      </x:c>
      <x:c r="D344" s="20" t="n">
        <x:v>4</x:v>
      </x:c>
      <x:c r="E344" s="20" t="str">
        <x:v>巨人王庭</x:v>
      </x:c>
      <x:c r="F344" s="20" t="n">
        <x:v>2</x:v>
      </x:c>
      <x:c r="G344" s="20" t="str">
        <x:v>XX898</x:v>
      </x:c>
      <x:c r="H344" s="20" t="str">
        <x:v>雪域内宫</x:v>
      </x:c>
      <x:c r="I344" s="20" t="str">
        <x:v>内宫冬眠王·格罗尔</x:v>
      </x:c>
      <x:c r="J344" s="20" t="str">
        <x:v>粉色</x:v>
      </x:c>
      <x:c r="K344" s="20" t="str">
        <x:v>地图BOSS</x:v>
      </x:c>
      <x:c r="L344" s="20" t="str">
        <x:v>巨人</x:v>
      </x:c>
      <x:c r="M344" s="20" t="str">
        <x:v>首领</x:v>
      </x:c>
      <x:c r="N344" s="20" t="str">
        <x:v>格罗尔冬眠刃</x:v>
      </x:c>
      <x:c r="O344" s="20" t="str">
        <x:v>武器</x:v>
      </x:c>
      <x:c r="P344" s="20" t="str">
        <x:v>霜脊铁</x:v>
      </x:c>
      <x:c r="Q344" s="20" t="str">
        <x:v>巨人火种＋巨人火印</x:v>
      </x:c>
      <x:c r="R344" s="20" t="str">
        <x:v>冰宫守门铃</x:v>
      </x:c>
      <x:c r="S344" s="20" t="str">
        <x:v>穹霜碑珀</x:v>
      </x:c>
      <x:c r="T344" s="20" t="str">
        <x:v>是（独立奖池）</x:v>
      </x:c>
      <x:c r="U344" s="20" t="str">
        <x:v>是（公共奖池）</x:v>
      </x:c>
      <x:c r="V344" s="22" t="str">
        <x:v>结构定稿</x:v>
      </x:c>
      <x:c r="W344" s="36" t="str">
        <x:v>用户自行分配／本表不处理</x:v>
      </x:c>
      <x:c r="X344" s="34" t="str">
        <x:v>缺武器来源码</x:v>
      </x:c>
      <x:c r="Y344" s="29" t="str">
        <x:v>后期统一平衡</x:v>
      </x:c>
      <x:c r="Z344" s="20" t="str">
        <x:v>一怪一专属；专属来源跟随本行准确地图号</x:v>
      </x:c>
    </x:row>
    <x:row r="345" ht="24" customHeight="1">
      <x:c r="A345" s="20" t="str">
        <x:v>C08-M048</x:v>
      </x:c>
      <x:c r="B345" s="20" t="str">
        <x:v>C08</x:v>
      </x:c>
      <x:c r="C345" s="20" t="str">
        <x:v>巨人山顶</x:v>
      </x:c>
      <x:c r="D345" s="20" t="n">
        <x:v>4</x:v>
      </x:c>
      <x:c r="E345" s="20" t="str">
        <x:v>巨人王庭</x:v>
      </x:c>
      <x:c r="F345" s="20" t="n">
        <x:v>3</x:v>
      </x:c>
      <x:c r="G345" s="20" t="str">
        <x:v>XX897</x:v>
      </x:c>
      <x:c r="H345" s="20" t="str">
        <x:v>巨人王座</x:v>
      </x:c>
      <x:c r="I345" s="20" t="str">
        <x:v>巨人女王·赫芮迦</x:v>
      </x:c>
      <x:c r="J345" s="20" t="str">
        <x:v>粉色</x:v>
      </x:c>
      <x:c r="K345" s="20" t="str">
        <x:v>地图BOSS</x:v>
      </x:c>
      <x:c r="L345" s="20" t="str">
        <x:v>巨人</x:v>
      </x:c>
      <x:c r="M345" s="20" t="str">
        <x:v>首领</x:v>
      </x:c>
      <x:c r="N345" s="20" t="str">
        <x:v>赫芮迦穹霜王衣</x:v>
      </x:c>
      <x:c r="O345" s="20" t="str">
        <x:v>衣服</x:v>
      </x:c>
      <x:c r="P345" s="20" t="str">
        <x:v>霜脊铁</x:v>
      </x:c>
      <x:c r="Q345" s="20" t="str">
        <x:v>巨人火种＋巨人火印</x:v>
      </x:c>
      <x:c r="R345" s="20" t="str">
        <x:v>冰宫守门铃</x:v>
      </x:c>
      <x:c r="S345" s="20" t="str">
        <x:v>穹霜碑珀</x:v>
      </x:c>
      <x:c r="T345" s="20" t="str">
        <x:v>是（独立奖池）</x:v>
      </x:c>
      <x:c r="U345" s="20" t="str">
        <x:v>是（公共奖池）</x:v>
      </x:c>
      <x:c r="V345" s="22" t="str">
        <x:v>结构定稿</x:v>
      </x:c>
      <x:c r="W345" s="36" t="str">
        <x:v>用户自行分配／本表不处理</x:v>
      </x:c>
      <x:c r="X345" s="34" t="str">
        <x:v>缺衣服来源码</x:v>
      </x:c>
      <x:c r="Y345" s="29" t="str">
        <x:v>后期统一平衡</x:v>
      </x:c>
      <x:c r="Z345" s="20" t="str">
        <x:v>一怪一专属；专属来源跟随本行准确地图号</x:v>
      </x:c>
    </x:row>
    <x:row r="346" ht="24" customHeight="1">
      <x:c r="A346" s="20" t="str">
        <x:v>C08-M049</x:v>
      </x:c>
      <x:c r="B346" s="20" t="str">
        <x:v>C08</x:v>
      </x:c>
      <x:c r="C346" s="20" t="str">
        <x:v>巨人山顶</x:v>
      </x:c>
      <x:c r="D346" s="20" t="n">
        <x:v>4</x:v>
      </x:c>
      <x:c r="E346" s="20" t="str">
        <x:v>巨人王庭</x:v>
      </x:c>
      <x:c r="F346" s="20" t="n">
        <x:v>3</x:v>
      </x:c>
      <x:c r="G346" s="20" t="str">
        <x:v>XX897</x:v>
      </x:c>
      <x:c r="H346" s="20" t="str">
        <x:v>巨人王座</x:v>
      </x:c>
      <x:c r="I346" s="20" t="str">
        <x:v>吞日霜王·乌尔迈</x:v>
      </x:c>
      <x:c r="J346" s="20" t="str">
        <x:v>红色</x:v>
      </x:c>
      <x:c r="K346" s="20" t="str">
        <x:v>守关BOSS</x:v>
      </x:c>
      <x:c r="L346" s="20" t="str">
        <x:v>巨人</x:v>
      </x:c>
      <x:c r="M346" s="20" t="str">
        <x:v>首领</x:v>
      </x:c>
      <x:c r="N346" s="20" t="str">
        <x:v>乌尔迈吞日巨剑</x:v>
      </x:c>
      <x:c r="O346" s="20" t="str">
        <x:v>武器</x:v>
      </x:c>
      <x:c r="P346" s="20" t="str">
        <x:v>霜脊铁</x:v>
      </x:c>
      <x:c r="Q346" s="20" t="str">
        <x:v>巨人火种＋巨人火印</x:v>
      </x:c>
      <x:c r="R346" s="20" t="str">
        <x:v>王庭炉冠</x:v>
      </x:c>
      <x:c r="S346" s="20" t="str">
        <x:v>穹霜碑珀</x:v>
      </x:c>
      <x:c r="T346" s="20" t="str">
        <x:v>是（独立奖池）</x:v>
      </x:c>
      <x:c r="U346" s="20" t="str">
        <x:v>是（公共奖池）</x:v>
      </x:c>
      <x:c r="V346" s="22" t="str">
        <x:v>结构定稿</x:v>
      </x:c>
      <x:c r="W346" s="36" t="str">
        <x:v>用户自行分配／本表不处理</x:v>
      </x:c>
      <x:c r="X346" s="33" t="n">
        <x:v>6991</x:v>
      </x:c>
      <x:c r="Y346" s="29" t="str">
        <x:v>后期统一平衡</x:v>
      </x:c>
      <x:c r="Z346" s="20" t="str">
        <x:v>大陆最终守关；本表不填属性、爆率和货币</x:v>
      </x:c>
    </x:row>
    <x:row r="347" ht="24" customHeight="1">
      <x:c r="A347" s="20" t="str">
        <x:v>C09-M001</x:v>
      </x:c>
      <x:c r="B347" s="20" t="str">
        <x:v>C09</x:v>
      </x:c>
      <x:c r="C347" s="20" t="str">
        <x:v>亚坛高原</x:v>
      </x:c>
      <x:c r="D347" s="20" t="n">
        <x:v>1</x:v>
      </x:c>
      <x:c r="E347" s="20" t="str">
        <x:v>金叶古道</x:v>
      </x:c>
      <x:c r="F347" s="20" t="n">
        <x:v>1</x:v>
      </x:c>
      <x:c r="G347" s="20" t="str">
        <x:v>XX720</x:v>
      </x:c>
      <x:c r="H347" s="20" t="str">
        <x:v>金叶古道</x:v>
      </x:c>
      <x:c r="I347" s="20" t="str">
        <x:v>金叶角鹿</x:v>
      </x:c>
      <x:c r="J347" s="20" t="str">
        <x:v>黄色</x:v>
      </x:c>
      <x:c r="K347" s="20" t="str">
        <x:v>普通</x:v>
      </x:c>
      <x:c r="L347" s="20" t="str">
        <x:v>兽类</x:v>
      </x:c>
      <x:c r="M347" s="20" t="str">
        <x:v>敏捷</x:v>
      </x:c>
      <x:c r="N347" s="20" t="str">
        <x:v>角鹿逐叶履</x:v>
      </x:c>
      <x:c r="O347" s="20" t="str">
        <x:v>鞋子</x:v>
      </x:c>
      <x:c r="P347" s="20" t="str">
        <x:v>黄金叶脉</x:v>
      </x:c>
      <x:c r="Q347" s="20" t="str"/>
      <x:c r="R347" s="20" t="str">
        <x:v>金叶驿票</x:v>
      </x:c>
      <x:c r="S347" s="20" t="str">
        <x:v>古坛鎏叶髓</x:v>
      </x:c>
      <x:c r="T347" s="20" t="str">
        <x:v>否</x:v>
      </x:c>
      <x:c r="U347" s="20" t="str">
        <x:v>是（公共奖池）</x:v>
      </x:c>
      <x:c r="V347" s="22" t="str">
        <x:v>结构定稿</x:v>
      </x:c>
      <x:c r="W347" s="36" t="str">
        <x:v>用户自行分配／本表不处理</x:v>
      </x:c>
      <x:c r="X347" s="33" t="n">
        <x:v>5946</x:v>
      </x:c>
      <x:c r="Y347" s="29" t="str">
        <x:v>后期统一平衡</x:v>
      </x:c>
      <x:c r="Z347" s="20" t="str">
        <x:v>一怪一专属；专属来源跟随本行准确地图号</x:v>
      </x:c>
    </x:row>
    <x:row r="348" ht="24" customHeight="1">
      <x:c r="A348" s="20" t="str">
        <x:v>C09-M002</x:v>
      </x:c>
      <x:c r="B348" s="20" t="str">
        <x:v>C09</x:v>
      </x:c>
      <x:c r="C348" s="20" t="str">
        <x:v>亚坛高原</x:v>
      </x:c>
      <x:c r="D348" s="20" t="n">
        <x:v>1</x:v>
      </x:c>
      <x:c r="E348" s="20" t="str">
        <x:v>金叶古道</x:v>
      </x:c>
      <x:c r="F348" s="20" t="n">
        <x:v>1</x:v>
      </x:c>
      <x:c r="G348" s="20" t="str">
        <x:v>XX720</x:v>
      </x:c>
      <x:c r="H348" s="20" t="str">
        <x:v>金叶古道</x:v>
      </x:c>
      <x:c r="I348" s="20" t="str">
        <x:v>拾穗旅盗</x:v>
      </x:c>
      <x:c r="J348" s="20" t="str">
        <x:v>黄色</x:v>
      </x:c>
      <x:c r="K348" s="20" t="str">
        <x:v>普通</x:v>
      </x:c>
      <x:c r="L348" s="20" t="str">
        <x:v>人形</x:v>
      </x:c>
      <x:c r="M348" s="20" t="str">
        <x:v>近战</x:v>
      </x:c>
      <x:c r="N348" s="20" t="str">
        <x:v>拾穗弯刃</x:v>
      </x:c>
      <x:c r="O348" s="20" t="str">
        <x:v>武器</x:v>
      </x:c>
      <x:c r="P348" s="20" t="str">
        <x:v>黄金叶脉</x:v>
      </x:c>
      <x:c r="Q348" s="20" t="str"/>
      <x:c r="R348" s="20" t="str">
        <x:v>金叶驿票</x:v>
      </x:c>
      <x:c r="S348" s="20" t="str">
        <x:v>古坛鎏叶髓</x:v>
      </x:c>
      <x:c r="T348" s="20" t="str">
        <x:v>否</x:v>
      </x:c>
      <x:c r="U348" s="20" t="str">
        <x:v>是（公共奖池）</x:v>
      </x:c>
      <x:c r="V348" s="22" t="str">
        <x:v>结构定稿</x:v>
      </x:c>
      <x:c r="W348" s="36" t="str">
        <x:v>用户自行分配／本表不处理</x:v>
      </x:c>
      <x:c r="X348" s="34" t="str">
        <x:v>缺武器来源码</x:v>
      </x:c>
      <x:c r="Y348" s="29" t="str">
        <x:v>后期统一平衡</x:v>
      </x:c>
      <x:c r="Z348" s="20" t="str">
        <x:v>一怪一专属；专属来源跟随本行准确地图号</x:v>
      </x:c>
    </x:row>
    <x:row r="349" ht="24" customHeight="1">
      <x:c r="A349" s="20" t="str">
        <x:v>C09-M003</x:v>
      </x:c>
      <x:c r="B349" s="20" t="str">
        <x:v>C09</x:v>
      </x:c>
      <x:c r="C349" s="20" t="str">
        <x:v>亚坛高原</x:v>
      </x:c>
      <x:c r="D349" s="20" t="n">
        <x:v>1</x:v>
      </x:c>
      <x:c r="E349" s="20" t="str">
        <x:v>金叶古道</x:v>
      </x:c>
      <x:c r="F349" s="20" t="n">
        <x:v>2</x:v>
      </x:c>
      <x:c r="G349" s="20" t="str">
        <x:v>XX717</x:v>
      </x:c>
      <x:c r="H349" s="20" t="str">
        <x:v>秋风驿路</x:v>
      </x:c>
      <x:c r="I349" s="20" t="str">
        <x:v>秋风驿卒</x:v>
      </x:c>
      <x:c r="J349" s="20" t="str">
        <x:v>黄色</x:v>
      </x:c>
      <x:c r="K349" s="20" t="str">
        <x:v>普通</x:v>
      </x:c>
      <x:c r="L349" s="20" t="str">
        <x:v>人形</x:v>
      </x:c>
      <x:c r="M349" s="20" t="str">
        <x:v>重装</x:v>
      </x:c>
      <x:c r="N349" s="20" t="str">
        <x:v>驿卒挡风盔</x:v>
      </x:c>
      <x:c r="O349" s="20" t="str">
        <x:v>头盔</x:v>
      </x:c>
      <x:c r="P349" s="20" t="str">
        <x:v>黄金叶脉</x:v>
      </x:c>
      <x:c r="Q349" s="20" t="str"/>
      <x:c r="R349" s="20" t="str">
        <x:v>金叶驿票</x:v>
      </x:c>
      <x:c r="S349" s="20" t="str">
        <x:v>古坛鎏叶髓</x:v>
      </x:c>
      <x:c r="T349" s="20" t="str">
        <x:v>否</x:v>
      </x:c>
      <x:c r="U349" s="20" t="str">
        <x:v>是（公共奖池）</x:v>
      </x:c>
      <x:c r="V349" s="22" t="str">
        <x:v>结构定稿</x:v>
      </x:c>
      <x:c r="W349" s="36" t="str">
        <x:v>用户自行分配／本表不处理</x:v>
      </x:c>
      <x:c r="X349" s="33" t="n">
        <x:v>6004</x:v>
      </x:c>
      <x:c r="Y349" s="29" t="str">
        <x:v>后期统一平衡</x:v>
      </x:c>
      <x:c r="Z349" s="20" t="str">
        <x:v>一怪一专属；专属来源跟随本行准确地图号</x:v>
      </x:c>
    </x:row>
    <x:row r="350" ht="24" customHeight="1">
      <x:c r="A350" s="20" t="str">
        <x:v>C09-M004</x:v>
      </x:c>
      <x:c r="B350" s="20" t="str">
        <x:v>C09</x:v>
      </x:c>
      <x:c r="C350" s="20" t="str">
        <x:v>亚坛高原</x:v>
      </x:c>
      <x:c r="D350" s="20" t="n">
        <x:v>1</x:v>
      </x:c>
      <x:c r="E350" s="20" t="str">
        <x:v>金叶古道</x:v>
      </x:c>
      <x:c r="F350" s="20" t="n">
        <x:v>2</x:v>
      </x:c>
      <x:c r="G350" s="20" t="str">
        <x:v>XX717</x:v>
      </x:c>
      <x:c r="H350" s="20" t="str">
        <x:v>秋风驿路</x:v>
      </x:c>
      <x:c r="I350" s="20" t="str">
        <x:v>驿路驮甲虫</x:v>
      </x:c>
      <x:c r="J350" s="20" t="str">
        <x:v>黄色</x:v>
      </x:c>
      <x:c r="K350" s="20" t="str">
        <x:v>普通</x:v>
      </x:c>
      <x:c r="L350" s="20" t="str">
        <x:v>虫类</x:v>
      </x:c>
      <x:c r="M350" s="20" t="str">
        <x:v>重装</x:v>
      </x:c>
      <x:c r="N350" s="20" t="str">
        <x:v>驮甲叶纹盾</x:v>
      </x:c>
      <x:c r="O350" s="20" t="str">
        <x:v>盾牌</x:v>
      </x:c>
      <x:c r="P350" s="20" t="str">
        <x:v>黄金叶脉</x:v>
      </x:c>
      <x:c r="Q350" s="20" t="str"/>
      <x:c r="R350" s="20" t="str">
        <x:v>金叶驿票</x:v>
      </x:c>
      <x:c r="S350" s="20" t="str">
        <x:v>古坛鎏叶髓</x:v>
      </x:c>
      <x:c r="T350" s="20" t="str">
        <x:v>否</x:v>
      </x:c>
      <x:c r="U350" s="20" t="str">
        <x:v>是（公共奖池）</x:v>
      </x:c>
      <x:c r="V350" s="22" t="str">
        <x:v>结构定稿</x:v>
      </x:c>
      <x:c r="W350" s="36" t="str">
        <x:v>用户自行分配／本表不处理</x:v>
      </x:c>
      <x:c r="X350" s="33" t="n">
        <x:v>5962</x:v>
      </x:c>
      <x:c r="Y350" s="29" t="str">
        <x:v>后期统一平衡</x:v>
      </x:c>
      <x:c r="Z350" s="20" t="str">
        <x:v>一怪一专属；专属来源跟随本行准确地图号</x:v>
      </x:c>
    </x:row>
    <x:row r="351" ht="24" customHeight="1">
      <x:c r="A351" s="20" t="str">
        <x:v>C09-M005</x:v>
      </x:c>
      <x:c r="B351" s="20" t="str">
        <x:v>C09</x:v>
      </x:c>
      <x:c r="C351" s="20" t="str">
        <x:v>亚坛高原</x:v>
      </x:c>
      <x:c r="D351" s="20" t="n">
        <x:v>1</x:v>
      </x:c>
      <x:c r="E351" s="20" t="str">
        <x:v>金叶古道</x:v>
      </x:c>
      <x:c r="F351" s="20" t="n">
        <x:v>3</x:v>
      </x:c>
      <x:c r="G351" s="20" t="str">
        <x:v>XX718</x:v>
      </x:c>
      <x:c r="H351" s="20" t="str">
        <x:v>黄金陵园</x:v>
      </x:c>
      <x:c r="I351" s="20" t="str">
        <x:v>陵园鎏苔像</x:v>
      </x:c>
      <x:c r="J351" s="20" t="str">
        <x:v>黄色</x:v>
      </x:c>
      <x:c r="K351" s="20" t="str">
        <x:v>普通</x:v>
      </x:c>
      <x:c r="L351" s="20" t="str">
        <x:v>构装</x:v>
      </x:c>
      <x:c r="M351" s="20" t="str">
        <x:v>近战</x:v>
      </x:c>
      <x:c r="N351" s="20" t="str">
        <x:v>鎏苔守陵衣</x:v>
      </x:c>
      <x:c r="O351" s="20" t="str">
        <x:v>衣服</x:v>
      </x:c>
      <x:c r="P351" s="20" t="str">
        <x:v>黄金叶脉</x:v>
      </x:c>
      <x:c r="Q351" s="20" t="str"/>
      <x:c r="R351" s="20" t="str">
        <x:v>金叶驿票</x:v>
      </x:c>
      <x:c r="S351" s="20" t="str">
        <x:v>古坛鎏叶髓</x:v>
      </x:c>
      <x:c r="T351" s="20" t="str">
        <x:v>否</x:v>
      </x:c>
      <x:c r="U351" s="20" t="str">
        <x:v>是（公共奖池）</x:v>
      </x:c>
      <x:c r="V351" s="22" t="str">
        <x:v>结构定稿</x:v>
      </x:c>
      <x:c r="W351" s="36" t="str">
        <x:v>用户自行分配／本表不处理</x:v>
      </x:c>
      <x:c r="X351" s="34" t="str">
        <x:v>缺衣服来源码</x:v>
      </x:c>
      <x:c r="Y351" s="29" t="str">
        <x:v>后期统一平衡</x:v>
      </x:c>
      <x:c r="Z351" s="20" t="str">
        <x:v>一怪一专属；专属来源跟随本行准确地图号</x:v>
      </x:c>
    </x:row>
    <x:row r="352" ht="24" customHeight="1">
      <x:c r="A352" s="20" t="str">
        <x:v>C09-M006</x:v>
      </x:c>
      <x:c r="B352" s="20" t="str">
        <x:v>C09</x:v>
      </x:c>
      <x:c r="C352" s="20" t="str">
        <x:v>亚坛高原</x:v>
      </x:c>
      <x:c r="D352" s="20" t="n">
        <x:v>1</x:v>
      </x:c>
      <x:c r="E352" s="20" t="str">
        <x:v>金叶古道</x:v>
      </x:c>
      <x:c r="F352" s="20" t="n">
        <x:v>4</x:v>
      </x:c>
      <x:c r="G352" s="20" t="str">
        <x:v>XX721</x:v>
      </x:c>
      <x:c r="H352" s="20" t="str">
        <x:v>古王祭坛</x:v>
      </x:c>
      <x:c r="I352" s="20" t="str">
        <x:v>祭坛衔烛鸦</x:v>
      </x:c>
      <x:c r="J352" s="20" t="str">
        <x:v>黄色</x:v>
      </x:c>
      <x:c r="K352" s="20" t="str">
        <x:v>普通</x:v>
      </x:c>
      <x:c r="L352" s="20" t="str">
        <x:v>兽类</x:v>
      </x:c>
      <x:c r="M352" s="20" t="str">
        <x:v>远程</x:v>
      </x:c>
      <x:c r="N352" s="20" t="str">
        <x:v>衔烛鸦羽坠</x:v>
      </x:c>
      <x:c r="O352" s="20" t="str">
        <x:v>项链</x:v>
      </x:c>
      <x:c r="P352" s="20" t="str">
        <x:v>黄金叶脉</x:v>
      </x:c>
      <x:c r="Q352" s="20" t="str"/>
      <x:c r="R352" s="20" t="str">
        <x:v>金叶驿票</x:v>
      </x:c>
      <x:c r="S352" s="20" t="str">
        <x:v>古坛鎏叶髓</x:v>
      </x:c>
      <x:c r="T352" s="20" t="str">
        <x:v>否</x:v>
      </x:c>
      <x:c r="U352" s="20" t="str">
        <x:v>是（公共奖池）</x:v>
      </x:c>
      <x:c r="V352" s="22" t="str">
        <x:v>结构定稿</x:v>
      </x:c>
      <x:c r="W352" s="36" t="str">
        <x:v>用户自行分配／本表不处理</x:v>
      </x:c>
      <x:c r="X352" s="33" t="n">
        <x:v>6003</x:v>
      </x:c>
      <x:c r="Y352" s="29" t="str">
        <x:v>后期统一平衡</x:v>
      </x:c>
      <x:c r="Z352" s="20" t="str">
        <x:v>一怪一专属；专属来源跟随本行准确地图号</x:v>
      </x:c>
    </x:row>
    <x:row r="353" ht="24" customHeight="1">
      <x:c r="A353" s="20" t="str">
        <x:v>C09-M007</x:v>
      </x:c>
      <x:c r="B353" s="20" t="str">
        <x:v>C09</x:v>
      </x:c>
      <x:c r="C353" s="20" t="str">
        <x:v>亚坛高原</x:v>
      </x:c>
      <x:c r="D353" s="20" t="n">
        <x:v>1</x:v>
      </x:c>
      <x:c r="E353" s="20" t="str">
        <x:v>金叶古道</x:v>
      </x:c>
      <x:c r="F353" s="20" t="n">
        <x:v>1</x:v>
      </x:c>
      <x:c r="G353" s="20" t="str">
        <x:v>XX720</x:v>
      </x:c>
      <x:c r="H353" s="20" t="str">
        <x:v>金叶古道</x:v>
      </x:c>
      <x:c r="I353" s="20" t="str">
        <x:v>落叶占路僧</x:v>
      </x:c>
      <x:c r="J353" s="20" t="str">
        <x:v>蓝色</x:v>
      </x:c>
      <x:c r="K353" s="20" t="str">
        <x:v>稀有</x:v>
      </x:c>
      <x:c r="L353" s="20" t="str">
        <x:v>人形</x:v>
      </x:c>
      <x:c r="M353" s="20" t="str">
        <x:v>法术</x:v>
      </x:c>
      <x:c r="N353" s="20" t="str">
        <x:v>占路秋叶笠</x:v>
      </x:c>
      <x:c r="O353" s="20" t="str">
        <x:v>斗笠</x:v>
      </x:c>
      <x:c r="P353" s="20" t="str">
        <x:v>黄金叶脉</x:v>
      </x:c>
      <x:c r="Q353" s="20" t="str">
        <x:v>古王律页</x:v>
      </x:c>
      <x:c r="R353" s="20" t="str">
        <x:v>矿脉灯芯</x:v>
      </x:c>
      <x:c r="S353" s="20" t="str">
        <x:v>古坛鎏叶髓</x:v>
      </x:c>
      <x:c r="T353" s="20" t="str">
        <x:v>否</x:v>
      </x:c>
      <x:c r="U353" s="20" t="str">
        <x:v>是（公共奖池）</x:v>
      </x:c>
      <x:c r="V353" s="22" t="str">
        <x:v>结构定稿</x:v>
      </x:c>
      <x:c r="W353" s="36" t="str">
        <x:v>用户自行分配／本表不处理</x:v>
      </x:c>
      <x:c r="X353" s="33" t="n">
        <x:v>6785</x:v>
      </x:c>
      <x:c r="Y353" s="29" t="str">
        <x:v>后期统一平衡</x:v>
      </x:c>
      <x:c r="Z353" s="20" t="str">
        <x:v>一怪一专属；专属来源跟随本行准确地图号</x:v>
      </x:c>
    </x:row>
    <x:row r="354" ht="24" customHeight="1">
      <x:c r="A354" s="20" t="str">
        <x:v>C09-M008</x:v>
      </x:c>
      <x:c r="B354" s="20" t="str">
        <x:v>C09</x:v>
      </x:c>
      <x:c r="C354" s="20" t="str">
        <x:v>亚坛高原</x:v>
      </x:c>
      <x:c r="D354" s="20" t="n">
        <x:v>1</x:v>
      </x:c>
      <x:c r="E354" s="20" t="str">
        <x:v>金叶古道</x:v>
      </x:c>
      <x:c r="F354" s="20" t="n">
        <x:v>2</x:v>
      </x:c>
      <x:c r="G354" s="20" t="str">
        <x:v>XX717</x:v>
      </x:c>
      <x:c r="H354" s="20" t="str">
        <x:v>秋风驿路</x:v>
      </x:c>
      <x:c r="I354" s="20" t="str">
        <x:v>逆风驿骑</x:v>
      </x:c>
      <x:c r="J354" s="20" t="str">
        <x:v>蓝色</x:v>
      </x:c>
      <x:c r="K354" s="20" t="str">
        <x:v>稀有</x:v>
      </x:c>
      <x:c r="L354" s="20" t="str">
        <x:v>人形</x:v>
      </x:c>
      <x:c r="M354" s="20" t="str">
        <x:v>敏捷</x:v>
      </x:c>
      <x:c r="N354" s="20" t="str">
        <x:v>逆风驿骑带</x:v>
      </x:c>
      <x:c r="O354" s="20" t="str">
        <x:v>腰带</x:v>
      </x:c>
      <x:c r="P354" s="20" t="str">
        <x:v>黄金叶脉</x:v>
      </x:c>
      <x:c r="Q354" s="20" t="str">
        <x:v>古王律页</x:v>
      </x:c>
      <x:c r="R354" s="20" t="str">
        <x:v>矿脉灯芯</x:v>
      </x:c>
      <x:c r="S354" s="20" t="str">
        <x:v>古坛鎏叶髓</x:v>
      </x:c>
      <x:c r="T354" s="20" t="str">
        <x:v>否</x:v>
      </x:c>
      <x:c r="U354" s="20" t="str">
        <x:v>是（公共奖池）</x:v>
      </x:c>
      <x:c r="V354" s="22" t="str">
        <x:v>结构定稿</x:v>
      </x:c>
      <x:c r="W354" s="36" t="str">
        <x:v>用户自行分配／本表不处理</x:v>
      </x:c>
      <x:c r="X354" s="33" t="n">
        <x:v>5938</x:v>
      </x:c>
      <x:c r="Y354" s="29" t="str">
        <x:v>后期统一平衡</x:v>
      </x:c>
      <x:c r="Z354" s="20" t="str">
        <x:v>一怪一专属；专属来源跟随本行准确地图号</x:v>
      </x:c>
    </x:row>
    <x:row r="355" ht="24" customHeight="1">
      <x:c r="A355" s="20" t="str">
        <x:v>C09-M009</x:v>
      </x:c>
      <x:c r="B355" s="20" t="str">
        <x:v>C09</x:v>
      </x:c>
      <x:c r="C355" s="20" t="str">
        <x:v>亚坛高原</x:v>
      </x:c>
      <x:c r="D355" s="20" t="n">
        <x:v>1</x:v>
      </x:c>
      <x:c r="E355" s="20" t="str">
        <x:v>金叶古道</x:v>
      </x:c>
      <x:c r="F355" s="20" t="n">
        <x:v>3</x:v>
      </x:c>
      <x:c r="G355" s="20" t="str">
        <x:v>XX718</x:v>
      </x:c>
      <x:c r="H355" s="20" t="str">
        <x:v>黄金陵园</x:v>
      </x:c>
      <x:c r="I355" s="20" t="str">
        <x:v>守陵金颚兽</x:v>
      </x:c>
      <x:c r="J355" s="20" t="str">
        <x:v>蓝色</x:v>
      </x:c>
      <x:c r="K355" s="20" t="str">
        <x:v>稀有</x:v>
      </x:c>
      <x:c r="L355" s="20" t="str">
        <x:v>兽类</x:v>
      </x:c>
      <x:c r="M355" s="20" t="str">
        <x:v>近战</x:v>
      </x:c>
      <x:c r="N355" s="20" t="str">
        <x:v>金颚守陵镯</x:v>
      </x:c>
      <x:c r="O355" s="20" t="str">
        <x:v>手镯</x:v>
      </x:c>
      <x:c r="P355" s="20" t="str">
        <x:v>黄金叶脉</x:v>
      </x:c>
      <x:c r="Q355" s="20" t="str">
        <x:v>古王律页</x:v>
      </x:c>
      <x:c r="R355" s="20" t="str">
        <x:v>矿脉灯芯</x:v>
      </x:c>
      <x:c r="S355" s="20" t="str">
        <x:v>古坛鎏叶髓</x:v>
      </x:c>
      <x:c r="T355" s="20" t="str">
        <x:v>否</x:v>
      </x:c>
      <x:c r="U355" s="20" t="str">
        <x:v>是（公共奖池）</x:v>
      </x:c>
      <x:c r="V355" s="22" t="str">
        <x:v>结构定稿</x:v>
      </x:c>
      <x:c r="W355" s="36" t="str">
        <x:v>用户自行分配／本表不处理</x:v>
      </x:c>
      <x:c r="X355" s="33" t="n">
        <x:v>5960</x:v>
      </x:c>
      <x:c r="Y355" s="29" t="str">
        <x:v>后期统一平衡</x:v>
      </x:c>
      <x:c r="Z355" s="20" t="str">
        <x:v>一怪一专属；专属来源跟随本行准确地图号</x:v>
      </x:c>
    </x:row>
    <x:row r="356" ht="24" customHeight="1">
      <x:c r="A356" s="20" t="str">
        <x:v>C09-M010</x:v>
      </x:c>
      <x:c r="B356" s="20" t="str">
        <x:v>C09</x:v>
      </x:c>
      <x:c r="C356" s="20" t="str">
        <x:v>亚坛高原</x:v>
      </x:c>
      <x:c r="D356" s="20" t="n">
        <x:v>1</x:v>
      </x:c>
      <x:c r="E356" s="20" t="str">
        <x:v>金叶古道</x:v>
      </x:c>
      <x:c r="F356" s="20" t="n">
        <x:v>4</x:v>
      </x:c>
      <x:c r="G356" s="20" t="str">
        <x:v>XX721</x:v>
      </x:c>
      <x:c r="H356" s="20" t="str">
        <x:v>古王祭坛</x:v>
      </x:c>
      <x:c r="I356" s="20" t="str">
        <x:v>古王献梦者</x:v>
      </x:c>
      <x:c r="J356" s="20" t="str">
        <x:v>蓝色</x:v>
      </x:c>
      <x:c r="K356" s="20" t="str">
        <x:v>稀有</x:v>
      </x:c>
      <x:c r="L356" s="20" t="str">
        <x:v>亡灵</x:v>
      </x:c>
      <x:c r="M356" s="20" t="str">
        <x:v>召唤</x:v>
      </x:c>
      <x:c r="N356" s="20" t="str">
        <x:v>献梦琥金戒</x:v>
      </x:c>
      <x:c r="O356" s="20" t="str">
        <x:v>戒指</x:v>
      </x:c>
      <x:c r="P356" s="20" t="str">
        <x:v>黄金叶脉</x:v>
      </x:c>
      <x:c r="Q356" s="20" t="str">
        <x:v>古王律页</x:v>
      </x:c>
      <x:c r="R356" s="20" t="str">
        <x:v>矿脉灯芯</x:v>
      </x:c>
      <x:c r="S356" s="20" t="str">
        <x:v>古坛鎏叶髓</x:v>
      </x:c>
      <x:c r="T356" s="20" t="str">
        <x:v>否</x:v>
      </x:c>
      <x:c r="U356" s="20" t="str">
        <x:v>是（公共奖池）</x:v>
      </x:c>
      <x:c r="V356" s="22" t="str">
        <x:v>结构定稿</x:v>
      </x:c>
      <x:c r="W356" s="36" t="str">
        <x:v>用户自行分配／本表不处理</x:v>
      </x:c>
      <x:c r="X356" s="33" t="n">
        <x:v>5988</x:v>
      </x:c>
      <x:c r="Y356" s="29" t="str">
        <x:v>后期统一平衡</x:v>
      </x:c>
      <x:c r="Z356" s="20" t="str">
        <x:v>一怪一专属；专属来源跟随本行准确地图号</x:v>
      </x:c>
    </x:row>
    <x:row r="357" ht="24" customHeight="1">
      <x:c r="A357" s="20" t="str">
        <x:v>C09-M011</x:v>
      </x:c>
      <x:c r="B357" s="20" t="str">
        <x:v>C09</x:v>
      </x:c>
      <x:c r="C357" s="20" t="str">
        <x:v>亚坛高原</x:v>
      </x:c>
      <x:c r="D357" s="20" t="n">
        <x:v>1</x:v>
      </x:c>
      <x:c r="E357" s="20" t="str">
        <x:v>金叶古道</x:v>
      </x:c>
      <x:c r="F357" s="20" t="n">
        <x:v>3</x:v>
      </x:c>
      <x:c r="G357" s="20" t="str">
        <x:v>XX718</x:v>
      </x:c>
      <x:c r="H357" s="20" t="str">
        <x:v>黄金陵园</x:v>
      </x:c>
      <x:c r="I357" s="20" t="str">
        <x:v>陵园摘冠侯·阿维恩</x:v>
      </x:c>
      <x:c r="J357" s="20" t="str">
        <x:v>粉色</x:v>
      </x:c>
      <x:c r="K357" s="20" t="str">
        <x:v>地图BOSS</x:v>
      </x:c>
      <x:c r="L357" s="20" t="str">
        <x:v>亡灵</x:v>
      </x:c>
      <x:c r="M357" s="20" t="str">
        <x:v>首领</x:v>
      </x:c>
      <x:c r="N357" s="20" t="str">
        <x:v>阿维恩摘冠剑</x:v>
      </x:c>
      <x:c r="O357" s="20" t="str">
        <x:v>武器</x:v>
      </x:c>
      <x:c r="P357" s="20" t="str">
        <x:v>黄金叶脉</x:v>
      </x:c>
      <x:c r="Q357" s="20" t="str">
        <x:v>古王律页＋黄金律印</x:v>
      </x:c>
      <x:c r="R357" s="20" t="str">
        <x:v>裁文蜡封</x:v>
      </x:c>
      <x:c r="S357" s="20" t="str">
        <x:v>古坛鎏叶髓</x:v>
      </x:c>
      <x:c r="T357" s="20" t="str">
        <x:v>是（独立奖池）</x:v>
      </x:c>
      <x:c r="U357" s="20" t="str">
        <x:v>是（公共奖池）</x:v>
      </x:c>
      <x:c r="V357" s="22" t="str">
        <x:v>结构定稿</x:v>
      </x:c>
      <x:c r="W357" s="36" t="str">
        <x:v>用户自行分配／本表不处理</x:v>
      </x:c>
      <x:c r="X357" s="34" t="str">
        <x:v>缺武器来源码</x:v>
      </x:c>
      <x:c r="Y357" s="29" t="str">
        <x:v>后期统一平衡</x:v>
      </x:c>
      <x:c r="Z357" s="20" t="str">
        <x:v>一怪一专属；专属来源跟随本行准确地图号</x:v>
      </x:c>
    </x:row>
    <x:row r="358" ht="24" customHeight="1">
      <x:c r="A358" s="20" t="str">
        <x:v>C09-M012</x:v>
      </x:c>
      <x:c r="B358" s="20" t="str">
        <x:v>C09</x:v>
      </x:c>
      <x:c r="C358" s="20" t="str">
        <x:v>亚坛高原</x:v>
      </x:c>
      <x:c r="D358" s="20" t="n">
        <x:v>1</x:v>
      </x:c>
      <x:c r="E358" s="20" t="str">
        <x:v>金叶古道</x:v>
      </x:c>
      <x:c r="F358" s="20" t="n">
        <x:v>4</x:v>
      </x:c>
      <x:c r="G358" s="20" t="str">
        <x:v>XX721</x:v>
      </x:c>
      <x:c r="H358" s="20" t="str">
        <x:v>古王祭坛</x:v>
      </x:c>
      <x:c r="I358" s="20" t="str">
        <x:v>金叶祭王·萨鲁恩</x:v>
      </x:c>
      <x:c r="J358" s="20" t="str">
        <x:v>粉色</x:v>
      </x:c>
      <x:c r="K358" s="20" t="str">
        <x:v>地图BOSS</x:v>
      </x:c>
      <x:c r="L358" s="20" t="str">
        <x:v>亡灵</x:v>
      </x:c>
      <x:c r="M358" s="20" t="str">
        <x:v>首领</x:v>
      </x:c>
      <x:c r="N358" s="20" t="str">
        <x:v>萨鲁恩金叶祭衣</x:v>
      </x:c>
      <x:c r="O358" s="20" t="str">
        <x:v>衣服</x:v>
      </x:c>
      <x:c r="P358" s="20" t="str">
        <x:v>黄金叶脉</x:v>
      </x:c>
      <x:c r="Q358" s="20" t="str">
        <x:v>古王律页＋黄金律印</x:v>
      </x:c>
      <x:c r="R358" s="20" t="str">
        <x:v>裁文蜡封</x:v>
      </x:c>
      <x:c r="S358" s="20" t="str">
        <x:v>古坛鎏叶髓</x:v>
      </x:c>
      <x:c r="T358" s="20" t="str">
        <x:v>是（独立奖池）</x:v>
      </x:c>
      <x:c r="U358" s="20" t="str">
        <x:v>是（公共奖池）</x:v>
      </x:c>
      <x:c r="V358" s="22" t="str">
        <x:v>结构定稿</x:v>
      </x:c>
      <x:c r="W358" s="36" t="str">
        <x:v>用户自行分配／本表不处理</x:v>
      </x:c>
      <x:c r="X358" s="34" t="str">
        <x:v>缺衣服来源码</x:v>
      </x:c>
      <x:c r="Y358" s="29" t="str">
        <x:v>后期统一平衡</x:v>
      </x:c>
      <x:c r="Z358" s="20" t="str">
        <x:v>一怪一专属；专属来源跟随本行准确地图号</x:v>
      </x:c>
    </x:row>
    <x:row r="359" ht="24" customHeight="1">
      <x:c r="A359" s="20" t="str">
        <x:v>C09-M013</x:v>
      </x:c>
      <x:c r="B359" s="20" t="str">
        <x:v>C09</x:v>
      </x:c>
      <x:c r="C359" s="20" t="str">
        <x:v>亚坛高原</x:v>
      </x:c>
      <x:c r="D359" s="20" t="n">
        <x:v>2</x:v>
      </x:c>
      <x:c r="E359" s="20" t="str">
        <x:v>高原矿脉</x:v>
      </x:c>
      <x:c r="F359" s="20" t="n">
        <x:v>1</x:v>
      </x:c>
      <x:c r="G359" s="20" t="str">
        <x:v>XX820</x:v>
      </x:c>
      <x:c r="H359" s="20" t="str">
        <x:v>高原矿脉</x:v>
      </x:c>
      <x:c r="I359" s="20" t="str">
        <x:v>矿脉啮岩鼠</x:v>
      </x:c>
      <x:c r="J359" s="20" t="str">
        <x:v>黄色</x:v>
      </x:c>
      <x:c r="K359" s="20" t="str">
        <x:v>普通</x:v>
      </x:c>
      <x:c r="L359" s="20" t="str">
        <x:v>兽类</x:v>
      </x:c>
      <x:c r="M359" s="20" t="str">
        <x:v>敏捷</x:v>
      </x:c>
      <x:c r="N359" s="20" t="str">
        <x:v>啮岩鼠爪靴</x:v>
      </x:c>
      <x:c r="O359" s="20" t="str">
        <x:v>鞋子</x:v>
      </x:c>
      <x:c r="P359" s="20" t="str">
        <x:v>黄金叶脉</x:v>
      </x:c>
      <x:c r="Q359" s="20" t="str"/>
      <x:c r="R359" s="20" t="str">
        <x:v>金叶驿票</x:v>
      </x:c>
      <x:c r="S359" s="20" t="str">
        <x:v>古坛鎏叶髓</x:v>
      </x:c>
      <x:c r="T359" s="20" t="str">
        <x:v>否</x:v>
      </x:c>
      <x:c r="U359" s="20" t="str">
        <x:v>是（公共奖池）</x:v>
      </x:c>
      <x:c r="V359" s="22" t="str">
        <x:v>结构定稿</x:v>
      </x:c>
      <x:c r="W359" s="36" t="str">
        <x:v>用户自行分配／本表不处理</x:v>
      </x:c>
      <x:c r="X359" s="33" t="n">
        <x:v>5955</x:v>
      </x:c>
      <x:c r="Y359" s="29" t="str">
        <x:v>后期统一平衡</x:v>
      </x:c>
      <x:c r="Z359" s="20" t="str">
        <x:v>一怪一专属；专属来源跟随本行准确地图号</x:v>
      </x:c>
    </x:row>
    <x:row r="360" ht="24" customHeight="1">
      <x:c r="A360" s="20" t="str">
        <x:v>C09-M014</x:v>
      </x:c>
      <x:c r="B360" s="20" t="str">
        <x:v>C09</x:v>
      </x:c>
      <x:c r="C360" s="20" t="str">
        <x:v>亚坛高原</x:v>
      </x:c>
      <x:c r="D360" s="20" t="n">
        <x:v>2</x:v>
      </x:c>
      <x:c r="E360" s="20" t="str">
        <x:v>高原矿脉</x:v>
      </x:c>
      <x:c r="F360" s="20" t="n">
        <x:v>1</x:v>
      </x:c>
      <x:c r="G360" s="20" t="str">
        <x:v>XX820</x:v>
      </x:c>
      <x:c r="H360" s="20" t="str">
        <x:v>高原矿脉</x:v>
      </x:c>
      <x:c r="I360" s="20" t="str">
        <x:v>高原探脉客</x:v>
      </x:c>
      <x:c r="J360" s="20" t="str">
        <x:v>黄色</x:v>
      </x:c>
      <x:c r="K360" s="20" t="str">
        <x:v>普通</x:v>
      </x:c>
      <x:c r="L360" s="20" t="str">
        <x:v>人形</x:v>
      </x:c>
      <x:c r="M360" s="20" t="str">
        <x:v>辅助</x:v>
      </x:c>
      <x:c r="N360" s="20" t="str">
        <x:v>探脉听石坠</x:v>
      </x:c>
      <x:c r="O360" s="20" t="str">
        <x:v>项链</x:v>
      </x:c>
      <x:c r="P360" s="20" t="str">
        <x:v>黄金叶脉</x:v>
      </x:c>
      <x:c r="Q360" s="20" t="str"/>
      <x:c r="R360" s="20" t="str">
        <x:v>金叶驿票</x:v>
      </x:c>
      <x:c r="S360" s="20" t="str">
        <x:v>古坛鎏叶髓</x:v>
      </x:c>
      <x:c r="T360" s="20" t="str">
        <x:v>否</x:v>
      </x:c>
      <x:c r="U360" s="20" t="str">
        <x:v>是（公共奖池）</x:v>
      </x:c>
      <x:c r="V360" s="22" t="str">
        <x:v>结构定稿</x:v>
      </x:c>
      <x:c r="W360" s="36" t="str">
        <x:v>用户自行分配／本表不处理</x:v>
      </x:c>
      <x:c r="X360" s="33" t="n">
        <x:v>6012</x:v>
      </x:c>
      <x:c r="Y360" s="29" t="str">
        <x:v>后期统一平衡</x:v>
      </x:c>
      <x:c r="Z360" s="20" t="str">
        <x:v>一怪一专属；专属来源跟随本行准确地图号</x:v>
      </x:c>
    </x:row>
    <x:row r="361" ht="24" customHeight="1">
      <x:c r="A361" s="20" t="str">
        <x:v>C09-M015</x:v>
      </x:c>
      <x:c r="B361" s="20" t="str">
        <x:v>C09</x:v>
      </x:c>
      <x:c r="C361" s="20" t="str">
        <x:v>亚坛高原</x:v>
      </x:c>
      <x:c r="D361" s="20" t="n">
        <x:v>2</x:v>
      </x:c>
      <x:c r="E361" s="20" t="str">
        <x:v>高原矿脉</x:v>
      </x:c>
      <x:c r="F361" s="20" t="n">
        <x:v>2</x:v>
      </x:c>
      <x:c r="G361" s="20" t="str">
        <x:v>XX821</x:v>
      </x:c>
      <x:c r="H361" s="20" t="str">
        <x:v>黄金矿道</x:v>
      </x:c>
      <x:c r="I361" s="20" t="str">
        <x:v>黄金矿道凿工</x:v>
      </x:c>
      <x:c r="J361" s="20" t="str">
        <x:v>黄色</x:v>
      </x:c>
      <x:c r="K361" s="20" t="str">
        <x:v>普通</x:v>
      </x:c>
      <x:c r="L361" s="20" t="str">
        <x:v>人形</x:v>
      </x:c>
      <x:c r="M361" s="20" t="str">
        <x:v>近战</x:v>
      </x:c>
      <x:c r="N361" s="20" t="str">
        <x:v>凿工尖喙镐</x:v>
      </x:c>
      <x:c r="O361" s="20" t="str">
        <x:v>武器</x:v>
      </x:c>
      <x:c r="P361" s="20" t="str">
        <x:v>黄金叶脉</x:v>
      </x:c>
      <x:c r="Q361" s="20" t="str"/>
      <x:c r="R361" s="20" t="str">
        <x:v>金叶驿票</x:v>
      </x:c>
      <x:c r="S361" s="20" t="str">
        <x:v>古坛鎏叶髓</x:v>
      </x:c>
      <x:c r="T361" s="20" t="str">
        <x:v>否</x:v>
      </x:c>
      <x:c r="U361" s="20" t="str">
        <x:v>是（公共奖池）</x:v>
      </x:c>
      <x:c r="V361" s="22" t="str">
        <x:v>结构定稿</x:v>
      </x:c>
      <x:c r="W361" s="36" t="str">
        <x:v>用户自行分配／本表不处理</x:v>
      </x:c>
      <x:c r="X361" s="34" t="str">
        <x:v>缺武器来源码</x:v>
      </x:c>
      <x:c r="Y361" s="29" t="str">
        <x:v>后期统一平衡</x:v>
      </x:c>
      <x:c r="Z361" s="20" t="str">
        <x:v>一怪一专属；专属来源跟随本行准确地图号</x:v>
      </x:c>
    </x:row>
    <x:row r="362" ht="24" customHeight="1">
      <x:c r="A362" s="20" t="str">
        <x:v>C09-M016</x:v>
      </x:c>
      <x:c r="B362" s="20" t="str">
        <x:v>C09</x:v>
      </x:c>
      <x:c r="C362" s="20" t="str">
        <x:v>亚坛高原</x:v>
      </x:c>
      <x:c r="D362" s="20" t="n">
        <x:v>2</x:v>
      </x:c>
      <x:c r="E362" s="20" t="str">
        <x:v>高原矿脉</x:v>
      </x:c>
      <x:c r="F362" s="20" t="n">
        <x:v>3</x:v>
      </x:c>
      <x:c r="G362" s="20" t="str">
        <x:v>XX822</x:v>
      </x:c>
      <x:c r="H362" s="20" t="str">
        <x:v>旧矿工营地</x:v>
      </x:c>
      <x:c r="I362" s="20" t="str">
        <x:v>旧营提灯尸</x:v>
      </x:c>
      <x:c r="J362" s="20" t="str">
        <x:v>黄色</x:v>
      </x:c>
      <x:c r="K362" s="20" t="str">
        <x:v>普通</x:v>
      </x:c>
      <x:c r="L362" s="20" t="str">
        <x:v>亡灵</x:v>
      </x:c>
      <x:c r="M362" s="20" t="str">
        <x:v>法术</x:v>
      </x:c>
      <x:c r="N362" s="20" t="str">
        <x:v>提灯旧毡笠</x:v>
      </x:c>
      <x:c r="O362" s="20" t="str">
        <x:v>斗笠</x:v>
      </x:c>
      <x:c r="P362" s="20" t="str">
        <x:v>黄金叶脉</x:v>
      </x:c>
      <x:c r="Q362" s="20" t="str"/>
      <x:c r="R362" s="20" t="str">
        <x:v>金叶驿票</x:v>
      </x:c>
      <x:c r="S362" s="20" t="str">
        <x:v>古坛鎏叶髓</x:v>
      </x:c>
      <x:c r="T362" s="20" t="str">
        <x:v>否</x:v>
      </x:c>
      <x:c r="U362" s="20" t="str">
        <x:v>是（公共奖池）</x:v>
      </x:c>
      <x:c r="V362" s="22" t="str">
        <x:v>结构定稿</x:v>
      </x:c>
      <x:c r="W362" s="36" t="str">
        <x:v>用户自行分配／本表不处理</x:v>
      </x:c>
      <x:c r="X362" s="34" t="str">
        <x:v>缺斗笠来源码</x:v>
      </x:c>
      <x:c r="Y362" s="29" t="str">
        <x:v>后期统一平衡</x:v>
      </x:c>
      <x:c r="Z362" s="20" t="str">
        <x:v>一怪一专属；专属来源跟随本行准确地图号</x:v>
      </x:c>
    </x:row>
    <x:row r="363" ht="24" customHeight="1">
      <x:c r="A363" s="20" t="str">
        <x:v>C09-M017</x:v>
      </x:c>
      <x:c r="B363" s="20" t="str">
        <x:v>C09</x:v>
      </x:c>
      <x:c r="C363" s="20" t="str">
        <x:v>亚坛高原</x:v>
      </x:c>
      <x:c r="D363" s="20" t="n">
        <x:v>2</x:v>
      </x:c>
      <x:c r="E363" s="20" t="str">
        <x:v>高原矿脉</x:v>
      </x:c>
      <x:c r="F363" s="20" t="n">
        <x:v>4</x:v>
      </x:c>
      <x:c r="G363" s="20" t="str">
        <x:v>XX823</x:v>
      </x:c>
      <x:c r="H363" s="20" t="str">
        <x:v>深层矿井</x:v>
      </x:c>
      <x:c r="I363" s="20" t="str">
        <x:v>深井负筐奴</x:v>
      </x:c>
      <x:c r="J363" s="20" t="str">
        <x:v>黄色</x:v>
      </x:c>
      <x:c r="K363" s="20" t="str">
        <x:v>普通</x:v>
      </x:c>
      <x:c r="L363" s="20" t="str">
        <x:v>亡灵</x:v>
      </x:c>
      <x:c r="M363" s="20" t="str">
        <x:v>重装</x:v>
      </x:c>
      <x:c r="N363" s="20" t="str">
        <x:v>负筐矿奴衣</x:v>
      </x:c>
      <x:c r="O363" s="20" t="str">
        <x:v>衣服</x:v>
      </x:c>
      <x:c r="P363" s="20" t="str">
        <x:v>黄金叶脉</x:v>
      </x:c>
      <x:c r="Q363" s="20" t="str"/>
      <x:c r="R363" s="20" t="str">
        <x:v>金叶驿票</x:v>
      </x:c>
      <x:c r="S363" s="20" t="str">
        <x:v>古坛鎏叶髓</x:v>
      </x:c>
      <x:c r="T363" s="20" t="str">
        <x:v>否</x:v>
      </x:c>
      <x:c r="U363" s="20" t="str">
        <x:v>是（公共奖池）</x:v>
      </x:c>
      <x:c r="V363" s="22" t="str">
        <x:v>结构定稿</x:v>
      </x:c>
      <x:c r="W363" s="36" t="str">
        <x:v>用户自行分配／本表不处理</x:v>
      </x:c>
      <x:c r="X363" s="34" t="str">
        <x:v>缺衣服来源码</x:v>
      </x:c>
      <x:c r="Y363" s="29" t="str">
        <x:v>后期统一平衡</x:v>
      </x:c>
      <x:c r="Z363" s="20" t="str">
        <x:v>一怪一专属；专属来源跟随本行准确地图号</x:v>
      </x:c>
    </x:row>
    <x:row r="364" ht="24" customHeight="1">
      <x:c r="A364" s="20" t="str">
        <x:v>C09-M018</x:v>
      </x:c>
      <x:c r="B364" s="20" t="str">
        <x:v>C09</x:v>
      </x:c>
      <x:c r="C364" s="20" t="str">
        <x:v>亚坛高原</x:v>
      </x:c>
      <x:c r="D364" s="20" t="n">
        <x:v>2</x:v>
      </x:c>
      <x:c r="E364" s="20" t="str">
        <x:v>高原矿脉</x:v>
      </x:c>
      <x:c r="F364" s="20" t="n">
        <x:v>5</x:v>
      </x:c>
      <x:c r="G364" s="20" t="str">
        <x:v>XX824</x:v>
      </x:c>
      <x:c r="H364" s="20" t="str">
        <x:v>矿脉核心</x:v>
      </x:c>
      <x:c r="I364" s="20" t="str">
        <x:v>核心晶背虫</x:v>
      </x:c>
      <x:c r="J364" s="20" t="str">
        <x:v>黄色</x:v>
      </x:c>
      <x:c r="K364" s="20" t="str">
        <x:v>普通</x:v>
      </x:c>
      <x:c r="L364" s="20" t="str">
        <x:v>虫类</x:v>
      </x:c>
      <x:c r="M364" s="20" t="str">
        <x:v>重装</x:v>
      </x:c>
      <x:c r="N364" s="20" t="str">
        <x:v>晶背层岩盾</x:v>
      </x:c>
      <x:c r="O364" s="20" t="str">
        <x:v>盾牌</x:v>
      </x:c>
      <x:c r="P364" s="20" t="str">
        <x:v>黄金叶脉</x:v>
      </x:c>
      <x:c r="Q364" s="20" t="str"/>
      <x:c r="R364" s="20" t="str">
        <x:v>金叶驿票</x:v>
      </x:c>
      <x:c r="S364" s="20" t="str">
        <x:v>古坛鎏叶髓</x:v>
      </x:c>
      <x:c r="T364" s="20" t="str">
        <x:v>否</x:v>
      </x:c>
      <x:c r="U364" s="20" t="str">
        <x:v>是（公共奖池）</x:v>
      </x:c>
      <x:c r="V364" s="22" t="str">
        <x:v>结构定稿</x:v>
      </x:c>
      <x:c r="W364" s="36" t="str">
        <x:v>用户自行分配／本表不处理</x:v>
      </x:c>
      <x:c r="X364" s="33" t="n">
        <x:v>5971</x:v>
      </x:c>
      <x:c r="Y364" s="29" t="str">
        <x:v>后期统一平衡</x:v>
      </x:c>
      <x:c r="Z364" s="20" t="str">
        <x:v>一怪一专属；专属来源跟随本行准确地图号</x:v>
      </x:c>
    </x:row>
    <x:row r="365" ht="24" customHeight="1">
      <x:c r="A365" s="20" t="str">
        <x:v>C09-M019</x:v>
      </x:c>
      <x:c r="B365" s="20" t="str">
        <x:v>C09</x:v>
      </x:c>
      <x:c r="C365" s="20" t="str">
        <x:v>亚坛高原</x:v>
      </x:c>
      <x:c r="D365" s="20" t="n">
        <x:v>2</x:v>
      </x:c>
      <x:c r="E365" s="20" t="str">
        <x:v>高原矿脉</x:v>
      </x:c>
      <x:c r="F365" s="20" t="n">
        <x:v>2</x:v>
      </x:c>
      <x:c r="G365" s="20" t="str">
        <x:v>XX821</x:v>
      </x:c>
      <x:c r="H365" s="20" t="str">
        <x:v>黄金矿道</x:v>
      </x:c>
      <x:c r="I365" s="20" t="str">
        <x:v>矿道哑钟监工</x:v>
      </x:c>
      <x:c r="J365" s="20" t="str">
        <x:v>蓝色</x:v>
      </x:c>
      <x:c r="K365" s="20" t="str">
        <x:v>稀有</x:v>
      </x:c>
      <x:c r="L365" s="20" t="str">
        <x:v>亡灵</x:v>
      </x:c>
      <x:c r="M365" s="20" t="str">
        <x:v>近战</x:v>
      </x:c>
      <x:c r="N365" s="20" t="str">
        <x:v>哑钟监工盔</x:v>
      </x:c>
      <x:c r="O365" s="20" t="str">
        <x:v>头盔</x:v>
      </x:c>
      <x:c r="P365" s="20" t="str">
        <x:v>黄金叶脉</x:v>
      </x:c>
      <x:c r="Q365" s="20" t="str">
        <x:v>古王律页</x:v>
      </x:c>
      <x:c r="R365" s="20" t="str">
        <x:v>矿脉灯芯</x:v>
      </x:c>
      <x:c r="S365" s="20" t="str">
        <x:v>古坛鎏叶髓</x:v>
      </x:c>
      <x:c r="T365" s="20" t="str">
        <x:v>否</x:v>
      </x:c>
      <x:c r="U365" s="20" t="str">
        <x:v>是（公共奖池）</x:v>
      </x:c>
      <x:c r="V365" s="22" t="str">
        <x:v>结构定稿</x:v>
      </x:c>
      <x:c r="W365" s="36" t="str">
        <x:v>用户自行分配／本表不处理</x:v>
      </x:c>
      <x:c r="X365" s="33" t="n">
        <x:v>6013</x:v>
      </x:c>
      <x:c r="Y365" s="29" t="str">
        <x:v>后期统一平衡</x:v>
      </x:c>
      <x:c r="Z365" s="20" t="str">
        <x:v>一怪一专属；专属来源跟随本行准确地图号</x:v>
      </x:c>
    </x:row>
    <x:row r="366" ht="24" customHeight="1">
      <x:c r="A366" s="20" t="str">
        <x:v>C09-M020</x:v>
      </x:c>
      <x:c r="B366" s="20" t="str">
        <x:v>C09</x:v>
      </x:c>
      <x:c r="C366" s="20" t="str">
        <x:v>亚坛高原</x:v>
      </x:c>
      <x:c r="D366" s="20" t="n">
        <x:v>2</x:v>
      </x:c>
      <x:c r="E366" s="20" t="str">
        <x:v>高原矿脉</x:v>
      </x:c>
      <x:c r="F366" s="20" t="n">
        <x:v>3</x:v>
      </x:c>
      <x:c r="G366" s="20" t="str">
        <x:v>XX822</x:v>
      </x:c>
      <x:c r="H366" s="20" t="str">
        <x:v>旧矿工营地</x:v>
      </x:c>
      <x:c r="I366" s="20" t="str">
        <x:v>营地熔勺婆</x:v>
      </x:c>
      <x:c r="J366" s="20" t="str">
        <x:v>蓝色</x:v>
      </x:c>
      <x:c r="K366" s="20" t="str">
        <x:v>稀有</x:v>
      </x:c>
      <x:c r="L366" s="20" t="str">
        <x:v>人形</x:v>
      </x:c>
      <x:c r="M366" s="20" t="str">
        <x:v>法术</x:v>
      </x:c>
      <x:c r="N366" s="20" t="str">
        <x:v>熔勺婆铜镯</x:v>
      </x:c>
      <x:c r="O366" s="20" t="str">
        <x:v>手镯</x:v>
      </x:c>
      <x:c r="P366" s="20" t="str">
        <x:v>黄金叶脉</x:v>
      </x:c>
      <x:c r="Q366" s="20" t="str">
        <x:v>古王律页</x:v>
      </x:c>
      <x:c r="R366" s="20" t="str">
        <x:v>矿脉灯芯</x:v>
      </x:c>
      <x:c r="S366" s="20" t="str">
        <x:v>古坛鎏叶髓</x:v>
      </x:c>
      <x:c r="T366" s="20" t="str">
        <x:v>否</x:v>
      </x:c>
      <x:c r="U366" s="20" t="str">
        <x:v>是（公共奖池）</x:v>
      </x:c>
      <x:c r="V366" s="22" t="str">
        <x:v>结构定稿</x:v>
      </x:c>
      <x:c r="W366" s="36" t="str">
        <x:v>用户自行分配／本表不处理</x:v>
      </x:c>
      <x:c r="X366" s="33" t="n">
        <x:v>5969</x:v>
      </x:c>
      <x:c r="Y366" s="29" t="str">
        <x:v>后期统一平衡</x:v>
      </x:c>
      <x:c r="Z366" s="20" t="str">
        <x:v>一怪一专属；专属来源跟随本行准确地图号</x:v>
      </x:c>
    </x:row>
    <x:row r="367" ht="24" customHeight="1">
      <x:c r="A367" s="20" t="str">
        <x:v>C09-M021</x:v>
      </x:c>
      <x:c r="B367" s="20" t="str">
        <x:v>C09</x:v>
      </x:c>
      <x:c r="C367" s="20" t="str">
        <x:v>亚坛高原</x:v>
      </x:c>
      <x:c r="D367" s="20" t="n">
        <x:v>2</x:v>
      </x:c>
      <x:c r="E367" s="20" t="str">
        <x:v>高原矿脉</x:v>
      </x:c>
      <x:c r="F367" s="20" t="n">
        <x:v>4</x:v>
      </x:c>
      <x:c r="G367" s="20" t="str">
        <x:v>XX823</x:v>
      </x:c>
      <x:c r="H367" s="20" t="str">
        <x:v>深层矿井</x:v>
      </x:c>
      <x:c r="I367" s="20" t="str">
        <x:v>深层听岩师</x:v>
      </x:c>
      <x:c r="J367" s="20" t="str">
        <x:v>蓝色</x:v>
      </x:c>
      <x:c r="K367" s="20" t="str">
        <x:v>稀有</x:v>
      </x:c>
      <x:c r="L367" s="20" t="str">
        <x:v>人形</x:v>
      </x:c>
      <x:c r="M367" s="20" t="str">
        <x:v>辅助</x:v>
      </x:c>
      <x:c r="N367" s="20" t="str">
        <x:v>听岩回声戒</x:v>
      </x:c>
      <x:c r="O367" s="20" t="str">
        <x:v>戒指</x:v>
      </x:c>
      <x:c r="P367" s="20" t="str">
        <x:v>黄金叶脉</x:v>
      </x:c>
      <x:c r="Q367" s="20" t="str">
        <x:v>古王律页</x:v>
      </x:c>
      <x:c r="R367" s="20" t="str">
        <x:v>矿脉灯芯</x:v>
      </x:c>
      <x:c r="S367" s="20" t="str">
        <x:v>古坛鎏叶髓</x:v>
      </x:c>
      <x:c r="T367" s="20" t="str">
        <x:v>否</x:v>
      </x:c>
      <x:c r="U367" s="20" t="str">
        <x:v>是（公共奖池）</x:v>
      </x:c>
      <x:c r="V367" s="22" t="str">
        <x:v>结构定稿</x:v>
      </x:c>
      <x:c r="W367" s="36" t="str">
        <x:v>用户自行分配／本表不处理</x:v>
      </x:c>
      <x:c r="X367" s="33" t="n">
        <x:v>6006</x:v>
      </x:c>
      <x:c r="Y367" s="29" t="str">
        <x:v>后期统一平衡</x:v>
      </x:c>
      <x:c r="Z367" s="20" t="str">
        <x:v>一怪一专属；专属来源跟随本行准确地图号</x:v>
      </x:c>
    </x:row>
    <x:row r="368" ht="24" customHeight="1">
      <x:c r="A368" s="20" t="str">
        <x:v>C09-M022</x:v>
      </x:c>
      <x:c r="B368" s="20" t="str">
        <x:v>C09</x:v>
      </x:c>
      <x:c r="C368" s="20" t="str">
        <x:v>亚坛高原</x:v>
      </x:c>
      <x:c r="D368" s="20" t="n">
        <x:v>2</x:v>
      </x:c>
      <x:c r="E368" s="20" t="str">
        <x:v>高原矿脉</x:v>
      </x:c>
      <x:c r="F368" s="20" t="n">
        <x:v>5</x:v>
      </x:c>
      <x:c r="G368" s="20" t="str">
        <x:v>XX824</x:v>
      </x:c>
      <x:c r="H368" s="20" t="str">
        <x:v>矿脉核心</x:v>
      </x:c>
      <x:c r="I368" s="20" t="str">
        <x:v>核心吞金蜥</x:v>
      </x:c>
      <x:c r="J368" s="20" t="str">
        <x:v>蓝色</x:v>
      </x:c>
      <x:c r="K368" s="20" t="str">
        <x:v>稀有</x:v>
      </x:c>
      <x:c r="L368" s="20" t="str">
        <x:v>兽类</x:v>
      </x:c>
      <x:c r="M368" s="20" t="str">
        <x:v>敏捷</x:v>
      </x:c>
      <x:c r="N368" s="20" t="str">
        <x:v>吞金蜥尾带</x:v>
      </x:c>
      <x:c r="O368" s="20" t="str">
        <x:v>腰带</x:v>
      </x:c>
      <x:c r="P368" s="20" t="str">
        <x:v>黄金叶脉</x:v>
      </x:c>
      <x:c r="Q368" s="20" t="str">
        <x:v>古王律页</x:v>
      </x:c>
      <x:c r="R368" s="20" t="str">
        <x:v>矿脉灯芯</x:v>
      </x:c>
      <x:c r="S368" s="20" t="str">
        <x:v>古坛鎏叶髓</x:v>
      </x:c>
      <x:c r="T368" s="20" t="str">
        <x:v>否</x:v>
      </x:c>
      <x:c r="U368" s="20" t="str">
        <x:v>是（公共奖池）</x:v>
      </x:c>
      <x:c r="V368" s="22" t="str">
        <x:v>结构定稿</x:v>
      </x:c>
      <x:c r="W368" s="36" t="str">
        <x:v>用户自行分配／本表不处理</x:v>
      </x:c>
      <x:c r="X368" s="33" t="n">
        <x:v>5947</x:v>
      </x:c>
      <x:c r="Y368" s="29" t="str">
        <x:v>后期统一平衡</x:v>
      </x:c>
      <x:c r="Z368" s="20" t="str">
        <x:v>一怪一专属；专属来源跟随本行准确地图号</x:v>
      </x:c>
    </x:row>
    <x:row r="369" ht="24" customHeight="1">
      <x:c r="A369" s="20" t="str">
        <x:v>C09-M023</x:v>
      </x:c>
      <x:c r="B369" s="20" t="str">
        <x:v>C09</x:v>
      </x:c>
      <x:c r="C369" s="20" t="str">
        <x:v>亚坛高原</x:v>
      </x:c>
      <x:c r="D369" s="20" t="n">
        <x:v>2</x:v>
      </x:c>
      <x:c r="E369" s="20" t="str">
        <x:v>高原矿脉</x:v>
      </x:c>
      <x:c r="F369" s="20" t="n">
        <x:v>4</x:v>
      </x:c>
      <x:c r="G369" s="20" t="str">
        <x:v>XX823</x:v>
      </x:c>
      <x:c r="H369" s="20" t="str">
        <x:v>深层矿井</x:v>
      </x:c>
      <x:c r="I369" s="20" t="str">
        <x:v>深井断索王·布洛克</x:v>
      </x:c>
      <x:c r="J369" s="20" t="str">
        <x:v>粉色</x:v>
      </x:c>
      <x:c r="K369" s="20" t="str">
        <x:v>地图BOSS</x:v>
      </x:c>
      <x:c r="L369" s="20" t="str">
        <x:v>亡灵</x:v>
      </x:c>
      <x:c r="M369" s="20" t="str">
        <x:v>首领</x:v>
      </x:c>
      <x:c r="N369" s="20" t="str">
        <x:v>布洛克断索锤</x:v>
      </x:c>
      <x:c r="O369" s="20" t="str">
        <x:v>武器</x:v>
      </x:c>
      <x:c r="P369" s="20" t="str">
        <x:v>黄金叶脉</x:v>
      </x:c>
      <x:c r="Q369" s="20" t="str">
        <x:v>古王律页＋黄金律印</x:v>
      </x:c>
      <x:c r="R369" s="20" t="str">
        <x:v>裁文蜡封</x:v>
      </x:c>
      <x:c r="S369" s="20" t="str">
        <x:v>古坛鎏叶髓</x:v>
      </x:c>
      <x:c r="T369" s="20" t="str">
        <x:v>是（独立奖池）</x:v>
      </x:c>
      <x:c r="U369" s="20" t="str">
        <x:v>是（公共奖池）</x:v>
      </x:c>
      <x:c r="V369" s="22" t="str">
        <x:v>结构定稿</x:v>
      </x:c>
      <x:c r="W369" s="36" t="str">
        <x:v>用户自行分配／本表不处理</x:v>
      </x:c>
      <x:c r="X369" s="34" t="str">
        <x:v>缺武器来源码</x:v>
      </x:c>
      <x:c r="Y369" s="29" t="str">
        <x:v>后期统一平衡</x:v>
      </x:c>
      <x:c r="Z369" s="20" t="str">
        <x:v>一怪一专属；专属来源跟随本行准确地图号</x:v>
      </x:c>
    </x:row>
    <x:row r="370" ht="24" customHeight="1">
      <x:c r="A370" s="20" t="str">
        <x:v>C09-M024</x:v>
      </x:c>
      <x:c r="B370" s="20" t="str">
        <x:v>C09</x:v>
      </x:c>
      <x:c r="C370" s="20" t="str">
        <x:v>亚坛高原</x:v>
      </x:c>
      <x:c r="D370" s="20" t="n">
        <x:v>2</x:v>
      </x:c>
      <x:c r="E370" s="20" t="str">
        <x:v>高原矿脉</x:v>
      </x:c>
      <x:c r="F370" s="20" t="n">
        <x:v>5</x:v>
      </x:c>
      <x:c r="G370" s="20" t="str">
        <x:v>XX824</x:v>
      </x:c>
      <x:c r="H370" s="20" t="str">
        <x:v>矿脉核心</x:v>
      </x:c>
      <x:c r="I370" s="20" t="str">
        <x:v>矿心鎏金母·奥莉莎</x:v>
      </x:c>
      <x:c r="J370" s="20" t="str">
        <x:v>粉色</x:v>
      </x:c>
      <x:c r="K370" s="20" t="str">
        <x:v>地图BOSS</x:v>
      </x:c>
      <x:c r="L370" s="20" t="str">
        <x:v>异形</x:v>
      </x:c>
      <x:c r="M370" s="20" t="str">
        <x:v>首领</x:v>
      </x:c>
      <x:c r="N370" s="20" t="str">
        <x:v>奥莉莎矿心甲</x:v>
      </x:c>
      <x:c r="O370" s="20" t="str">
        <x:v>衣服</x:v>
      </x:c>
      <x:c r="P370" s="20" t="str">
        <x:v>黄金叶脉</x:v>
      </x:c>
      <x:c r="Q370" s="20" t="str">
        <x:v>古王律页＋黄金律印</x:v>
      </x:c>
      <x:c r="R370" s="20" t="str">
        <x:v>裁文蜡封</x:v>
      </x:c>
      <x:c r="S370" s="20" t="str">
        <x:v>古坛鎏叶髓</x:v>
      </x:c>
      <x:c r="T370" s="20" t="str">
        <x:v>是（独立奖池）</x:v>
      </x:c>
      <x:c r="U370" s="20" t="str">
        <x:v>是（公共奖池）</x:v>
      </x:c>
      <x:c r="V370" s="22" t="str">
        <x:v>结构定稿</x:v>
      </x:c>
      <x:c r="W370" s="36" t="str">
        <x:v>用户自行分配／本表不处理</x:v>
      </x:c>
      <x:c r="X370" s="34" t="str">
        <x:v>缺衣服来源码</x:v>
      </x:c>
      <x:c r="Y370" s="29" t="str">
        <x:v>后期统一平衡</x:v>
      </x:c>
      <x:c r="Z370" s="20" t="str">
        <x:v>一怪一专属；专属来源跟随本行准确地图号</x:v>
      </x:c>
    </x:row>
    <x:row r="371" ht="24" customHeight="1">
      <x:c r="A371" s="20" t="str">
        <x:v>C09-M025</x:v>
      </x:c>
      <x:c r="B371" s="20" t="str">
        <x:v>C09</x:v>
      </x:c>
      <x:c r="C371" s="20" t="str">
        <x:v>亚坛高原</x:v>
      </x:c>
      <x:c r="D371" s="20" t="n">
        <x:v>3</x:v>
      </x:c>
      <x:c r="E371" s="20" t="str">
        <x:v>古王陵园</x:v>
      </x:c>
      <x:c r="F371" s="20" t="n">
        <x:v>1</x:v>
      </x:c>
      <x:c r="G371" s="20" t="str">
        <x:v>XX837</x:v>
      </x:c>
      <x:c r="H371" s="20" t="str">
        <x:v>古王陵园</x:v>
      </x:c>
      <x:c r="I371" s="20" t="str">
        <x:v>陵园剪枝傀</x:v>
      </x:c>
      <x:c r="J371" s="20" t="str">
        <x:v>黄色</x:v>
      </x:c>
      <x:c r="K371" s="20" t="str">
        <x:v>普通</x:v>
      </x:c>
      <x:c r="L371" s="20" t="str">
        <x:v>构装</x:v>
      </x:c>
      <x:c r="M371" s="20" t="str">
        <x:v>近战</x:v>
      </x:c>
      <x:c r="N371" s="20" t="str">
        <x:v>剪枝傀镰</x:v>
      </x:c>
      <x:c r="O371" s="20" t="str">
        <x:v>武器</x:v>
      </x:c>
      <x:c r="P371" s="20" t="str">
        <x:v>黄金叶脉</x:v>
      </x:c>
      <x:c r="Q371" s="20" t="str"/>
      <x:c r="R371" s="20" t="str">
        <x:v>金叶驿票</x:v>
      </x:c>
      <x:c r="S371" s="20" t="str">
        <x:v>古坛鎏叶髓</x:v>
      </x:c>
      <x:c r="T371" s="20" t="str">
        <x:v>否</x:v>
      </x:c>
      <x:c r="U371" s="20" t="str">
        <x:v>是（公共奖池）</x:v>
      </x:c>
      <x:c r="V371" s="22" t="str">
        <x:v>结构定稿</x:v>
      </x:c>
      <x:c r="W371" s="36" t="str">
        <x:v>用户自行分配／本表不处理</x:v>
      </x:c>
      <x:c r="X371" s="34" t="str">
        <x:v>缺武器来源码</x:v>
      </x:c>
      <x:c r="Y371" s="29" t="str">
        <x:v>后期统一平衡</x:v>
      </x:c>
      <x:c r="Z371" s="20" t="str">
        <x:v>一怪一专属；专属来源跟随本行准确地图号</x:v>
      </x:c>
    </x:row>
    <x:row r="372" ht="24" customHeight="1">
      <x:c r="A372" s="20" t="str">
        <x:v>C09-M026</x:v>
      </x:c>
      <x:c r="B372" s="20" t="str">
        <x:v>C09</x:v>
      </x:c>
      <x:c r="C372" s="20" t="str">
        <x:v>亚坛高原</x:v>
      </x:c>
      <x:c r="D372" s="20" t="n">
        <x:v>3</x:v>
      </x:c>
      <x:c r="E372" s="20" t="str">
        <x:v>古王陵园</x:v>
      </x:c>
      <x:c r="F372" s="20" t="n">
        <x:v>1</x:v>
      </x:c>
      <x:c r="G372" s="20" t="str">
        <x:v>XX837</x:v>
      </x:c>
      <x:c r="H372" s="20" t="str">
        <x:v>古王陵园</x:v>
      </x:c>
      <x:c r="I372" s="20" t="str">
        <x:v>王碑金翅蛾</x:v>
      </x:c>
      <x:c r="J372" s="20" t="str">
        <x:v>黄色</x:v>
      </x:c>
      <x:c r="K372" s="20" t="str">
        <x:v>普通</x:v>
      </x:c>
      <x:c r="L372" s="20" t="str">
        <x:v>虫类</x:v>
      </x:c>
      <x:c r="M372" s="20" t="str">
        <x:v>敏捷</x:v>
      </x:c>
      <x:c r="N372" s="20" t="str">
        <x:v>金翅碑尘履</x:v>
      </x:c>
      <x:c r="O372" s="20" t="str">
        <x:v>鞋子</x:v>
      </x:c>
      <x:c r="P372" s="20" t="str">
        <x:v>黄金叶脉</x:v>
      </x:c>
      <x:c r="Q372" s="20" t="str"/>
      <x:c r="R372" s="20" t="str">
        <x:v>金叶驿票</x:v>
      </x:c>
      <x:c r="S372" s="20" t="str">
        <x:v>古坛鎏叶髓</x:v>
      </x:c>
      <x:c r="T372" s="20" t="str">
        <x:v>否</x:v>
      </x:c>
      <x:c r="U372" s="20" t="str">
        <x:v>是（公共奖池）</x:v>
      </x:c>
      <x:c r="V372" s="22" t="str">
        <x:v>结构定稿</x:v>
      </x:c>
      <x:c r="W372" s="36" t="str">
        <x:v>用户自行分配／本表不处理</x:v>
      </x:c>
      <x:c r="X372" s="33" t="n">
        <x:v>5964</x:v>
      </x:c>
      <x:c r="Y372" s="29" t="str">
        <x:v>后期统一平衡</x:v>
      </x:c>
      <x:c r="Z372" s="20" t="str">
        <x:v>一怪一专属；专属来源跟随本行准确地图号</x:v>
      </x:c>
    </x:row>
    <x:row r="373" ht="24" customHeight="1">
      <x:c r="A373" s="20" t="str">
        <x:v>C09-M027</x:v>
      </x:c>
      <x:c r="B373" s="20" t="str">
        <x:v>C09</x:v>
      </x:c>
      <x:c r="C373" s="20" t="str">
        <x:v>亚坛高原</x:v>
      </x:c>
      <x:c r="D373" s="20" t="n">
        <x:v>3</x:v>
      </x:c>
      <x:c r="E373" s="20" t="str">
        <x:v>古王陵园</x:v>
      </x:c>
      <x:c r="F373" s="20" t="n">
        <x:v>2</x:v>
      </x:c>
      <x:c r="G373" s="20" t="str">
        <x:v>XX836</x:v>
      </x:c>
      <x:c r="H373" s="20" t="str">
        <x:v>王陵甬道</x:v>
      </x:c>
      <x:c r="I373" s="20" t="str">
        <x:v>甬道扶棺卒</x:v>
      </x:c>
      <x:c r="J373" s="20" t="str">
        <x:v>黄色</x:v>
      </x:c>
      <x:c r="K373" s="20" t="str">
        <x:v>普通</x:v>
      </x:c>
      <x:c r="L373" s="20" t="str">
        <x:v>亡灵</x:v>
      </x:c>
      <x:c r="M373" s="20" t="str">
        <x:v>重装</x:v>
      </x:c>
      <x:c r="N373" s="20" t="str">
        <x:v>扶棺铜纹盾</x:v>
      </x:c>
      <x:c r="O373" s="20" t="str">
        <x:v>盾牌</x:v>
      </x:c>
      <x:c r="P373" s="20" t="str">
        <x:v>黄金叶脉</x:v>
      </x:c>
      <x:c r="Q373" s="20" t="str"/>
      <x:c r="R373" s="20" t="str">
        <x:v>金叶驿票</x:v>
      </x:c>
      <x:c r="S373" s="20" t="str">
        <x:v>古坛鎏叶髓</x:v>
      </x:c>
      <x:c r="T373" s="20" t="str">
        <x:v>否</x:v>
      </x:c>
      <x:c r="U373" s="20" t="str">
        <x:v>是（公共奖池）</x:v>
      </x:c>
      <x:c r="V373" s="22" t="str">
        <x:v>结构定稿</x:v>
      </x:c>
      <x:c r="W373" s="36" t="str">
        <x:v>用户自行分配／本表不处理</x:v>
      </x:c>
      <x:c r="X373" s="33" t="n">
        <x:v>5980</x:v>
      </x:c>
      <x:c r="Y373" s="29" t="str">
        <x:v>后期统一平衡</x:v>
      </x:c>
      <x:c r="Z373" s="20" t="str">
        <x:v>一怪一专属；专属来源跟随本行准确地图号</x:v>
      </x:c>
    </x:row>
    <x:row r="374" ht="24" customHeight="1">
      <x:c r="A374" s="20" t="str">
        <x:v>C09-M028</x:v>
      </x:c>
      <x:c r="B374" s="20" t="str">
        <x:v>C09</x:v>
      </x:c>
      <x:c r="C374" s="20" t="str">
        <x:v>亚坛高原</x:v>
      </x:c>
      <x:c r="D374" s="20" t="n">
        <x:v>3</x:v>
      </x:c>
      <x:c r="E374" s="20" t="str">
        <x:v>古王陵园</x:v>
      </x:c>
      <x:c r="F374" s="20" t="n">
        <x:v>2</x:v>
      </x:c>
      <x:c r="G374" s="20" t="str">
        <x:v>XX836</x:v>
      </x:c>
      <x:c r="H374" s="20" t="str">
        <x:v>王陵甬道</x:v>
      </x:c>
      <x:c r="I374" s="20" t="str">
        <x:v>壁龛守烛童</x:v>
      </x:c>
      <x:c r="J374" s="20" t="str">
        <x:v>黄色</x:v>
      </x:c>
      <x:c r="K374" s="20" t="str">
        <x:v>普通</x:v>
      </x:c>
      <x:c r="L374" s="20" t="str">
        <x:v>亡灵</x:v>
      </x:c>
      <x:c r="M374" s="20" t="str">
        <x:v>法术</x:v>
      </x:c>
      <x:c r="N374" s="20" t="str">
        <x:v>壁龛守烛坠</x:v>
      </x:c>
      <x:c r="O374" s="20" t="str">
        <x:v>项链</x:v>
      </x:c>
      <x:c r="P374" s="20" t="str">
        <x:v>黄金叶脉</x:v>
      </x:c>
      <x:c r="Q374" s="20" t="str"/>
      <x:c r="R374" s="20" t="str">
        <x:v>金叶驿票</x:v>
      </x:c>
      <x:c r="S374" s="20" t="str">
        <x:v>古坛鎏叶髓</x:v>
      </x:c>
      <x:c r="T374" s="20" t="str">
        <x:v>否</x:v>
      </x:c>
      <x:c r="U374" s="20" t="str">
        <x:v>是（公共奖池）</x:v>
      </x:c>
      <x:c r="V374" s="22" t="str">
        <x:v>结构定稿</x:v>
      </x:c>
      <x:c r="W374" s="36" t="str">
        <x:v>用户自行分配／本表不处理</x:v>
      </x:c>
      <x:c r="X374" s="33" t="n">
        <x:v>6021</x:v>
      </x:c>
      <x:c r="Y374" s="29" t="str">
        <x:v>后期统一平衡</x:v>
      </x:c>
      <x:c r="Z374" s="20" t="str">
        <x:v>一怪一专属；专属来源跟随本行准确地图号</x:v>
      </x:c>
    </x:row>
    <x:row r="375" ht="24" customHeight="1">
      <x:c r="A375" s="20" t="str">
        <x:v>C09-M029</x:v>
      </x:c>
      <x:c r="B375" s="20" t="str">
        <x:v>C09</x:v>
      </x:c>
      <x:c r="C375" s="20" t="str">
        <x:v>亚坛高原</x:v>
      </x:c>
      <x:c r="D375" s="20" t="n">
        <x:v>3</x:v>
      </x:c>
      <x:c r="E375" s="20" t="str">
        <x:v>古王陵园</x:v>
      </x:c>
      <x:c r="F375" s="20" t="n">
        <x:v>3</x:v>
      </x:c>
      <x:c r="G375" s="20" t="str">
        <x:v>XX838</x:v>
      </x:c>
      <x:c r="H375" s="20" t="str">
        <x:v>古王墓室</x:v>
      </x:c>
      <x:c r="I375" s="20" t="str">
        <x:v>墓室敛袍侍</x:v>
      </x:c>
      <x:c r="J375" s="20" t="str">
        <x:v>黄色</x:v>
      </x:c>
      <x:c r="K375" s="20" t="str">
        <x:v>普通</x:v>
      </x:c>
      <x:c r="L375" s="20" t="str">
        <x:v>亡灵</x:v>
      </x:c>
      <x:c r="M375" s="20" t="str">
        <x:v>辅助</x:v>
      </x:c>
      <x:c r="N375" s="20" t="str">
        <x:v>敛袍侍素衣</x:v>
      </x:c>
      <x:c r="O375" s="20" t="str">
        <x:v>衣服</x:v>
      </x:c>
      <x:c r="P375" s="20" t="str">
        <x:v>黄金叶脉</x:v>
      </x:c>
      <x:c r="Q375" s="20" t="str"/>
      <x:c r="R375" s="20" t="str">
        <x:v>金叶驿票</x:v>
      </x:c>
      <x:c r="S375" s="20" t="str">
        <x:v>古坛鎏叶髓</x:v>
      </x:c>
      <x:c r="T375" s="20" t="str">
        <x:v>否</x:v>
      </x:c>
      <x:c r="U375" s="20" t="str">
        <x:v>是（公共奖池）</x:v>
      </x:c>
      <x:c r="V375" s="22" t="str">
        <x:v>结构定稿</x:v>
      </x:c>
      <x:c r="W375" s="36" t="str">
        <x:v>用户自行分配／本表不处理</x:v>
      </x:c>
      <x:c r="X375" s="34" t="str">
        <x:v>缺衣服来源码</x:v>
      </x:c>
      <x:c r="Y375" s="29" t="str">
        <x:v>后期统一平衡</x:v>
      </x:c>
      <x:c r="Z375" s="20" t="str">
        <x:v>一怪一专属；专属来源跟随本行准确地图号</x:v>
      </x:c>
    </x:row>
    <x:row r="376" ht="24" customHeight="1">
      <x:c r="A376" s="20" t="str">
        <x:v>C09-M030</x:v>
      </x:c>
      <x:c r="B376" s="20" t="str">
        <x:v>C09</x:v>
      </x:c>
      <x:c r="C376" s="20" t="str">
        <x:v>亚坛高原</x:v>
      </x:c>
      <x:c r="D376" s="20" t="n">
        <x:v>3</x:v>
      </x:c>
      <x:c r="E376" s="20" t="str">
        <x:v>古王陵园</x:v>
      </x:c>
      <x:c r="F376" s="20" t="n">
        <x:v>3</x:v>
      </x:c>
      <x:c r="G376" s="20" t="str">
        <x:v>XX838</x:v>
      </x:c>
      <x:c r="H376" s="20" t="str">
        <x:v>古王墓室</x:v>
      </x:c>
      <x:c r="I376" s="20" t="str">
        <x:v>古王陪葬犬</x:v>
      </x:c>
      <x:c r="J376" s="20" t="str">
        <x:v>黄色</x:v>
      </x:c>
      <x:c r="K376" s="20" t="str">
        <x:v>普通</x:v>
      </x:c>
      <x:c r="L376" s="20" t="str">
        <x:v>兽类</x:v>
      </x:c>
      <x:c r="M376" s="20" t="str">
        <x:v>近战</x:v>
      </x:c>
      <x:c r="N376" s="20" t="str">
        <x:v>葬犬衔骨镯</x:v>
      </x:c>
      <x:c r="O376" s="20" t="str">
        <x:v>手镯</x:v>
      </x:c>
      <x:c r="P376" s="20" t="str">
        <x:v>黄金叶脉</x:v>
      </x:c>
      <x:c r="Q376" s="20" t="str"/>
      <x:c r="R376" s="20" t="str">
        <x:v>金叶驿票</x:v>
      </x:c>
      <x:c r="S376" s="20" t="str">
        <x:v>古坛鎏叶髓</x:v>
      </x:c>
      <x:c r="T376" s="20" t="str">
        <x:v>否</x:v>
      </x:c>
      <x:c r="U376" s="20" t="str">
        <x:v>是（公共奖池）</x:v>
      </x:c>
      <x:c r="V376" s="22" t="str">
        <x:v>结构定稿</x:v>
      </x:c>
      <x:c r="W376" s="36" t="str">
        <x:v>用户自行分配／本表不处理</x:v>
      </x:c>
      <x:c r="X376" s="33" t="n">
        <x:v>5978</x:v>
      </x:c>
      <x:c r="Y376" s="29" t="str">
        <x:v>后期统一平衡</x:v>
      </x:c>
      <x:c r="Z376" s="20" t="str">
        <x:v>一怪一专属；专属来源跟随本行准确地图号</x:v>
      </x:c>
    </x:row>
    <x:row r="377" ht="24" customHeight="1">
      <x:c r="A377" s="20" t="str">
        <x:v>C09-M031</x:v>
      </x:c>
      <x:c r="B377" s="20" t="str">
        <x:v>C09</x:v>
      </x:c>
      <x:c r="C377" s="20" t="str">
        <x:v>亚坛高原</x:v>
      </x:c>
      <x:c r="D377" s="20" t="n">
        <x:v>3</x:v>
      </x:c>
      <x:c r="E377" s="20" t="str">
        <x:v>古王陵园</x:v>
      </x:c>
      <x:c r="F377" s="20" t="n">
        <x:v>1</x:v>
      </x:c>
      <x:c r="G377" s="20" t="str">
        <x:v>XX837</x:v>
      </x:c>
      <x:c r="H377" s="20" t="str">
        <x:v>古王陵园</x:v>
      </x:c>
      <x:c r="I377" s="20" t="str">
        <x:v>王陵问名官</x:v>
      </x:c>
      <x:c r="J377" s="20" t="str">
        <x:v>蓝色</x:v>
      </x:c>
      <x:c r="K377" s="20" t="str">
        <x:v>稀有</x:v>
      </x:c>
      <x:c r="L377" s="20" t="str">
        <x:v>亡灵</x:v>
      </x:c>
      <x:c r="M377" s="20" t="str">
        <x:v>召唤</x:v>
      </x:c>
      <x:c r="N377" s="20" t="str">
        <x:v>问名官冥笠</x:v>
      </x:c>
      <x:c r="O377" s="20" t="str">
        <x:v>斗笠</x:v>
      </x:c>
      <x:c r="P377" s="20" t="str">
        <x:v>黄金叶脉</x:v>
      </x:c>
      <x:c r="Q377" s="20" t="str">
        <x:v>古王律页</x:v>
      </x:c>
      <x:c r="R377" s="20" t="str">
        <x:v>矿脉灯芯</x:v>
      </x:c>
      <x:c r="S377" s="20" t="str">
        <x:v>古坛鎏叶髓</x:v>
      </x:c>
      <x:c r="T377" s="20" t="str">
        <x:v>否</x:v>
      </x:c>
      <x:c r="U377" s="20" t="str">
        <x:v>是（公共奖池）</x:v>
      </x:c>
      <x:c r="V377" s="22" t="str">
        <x:v>结构定稿</x:v>
      </x:c>
      <x:c r="W377" s="36" t="str">
        <x:v>用户自行分配／本表不处理</x:v>
      </x:c>
      <x:c r="X377" s="33" t="n">
        <x:v>6820</x:v>
      </x:c>
      <x:c r="Y377" s="29" t="str">
        <x:v>后期统一平衡</x:v>
      </x:c>
      <x:c r="Z377" s="20" t="str">
        <x:v>一怪一专属；专属来源跟随本行准确地图号</x:v>
      </x:c>
    </x:row>
    <x:row r="378" ht="24" customHeight="1">
      <x:c r="A378" s="20" t="str">
        <x:v>C09-M032</x:v>
      </x:c>
      <x:c r="B378" s="20" t="str">
        <x:v>C09</x:v>
      </x:c>
      <x:c r="C378" s="20" t="str">
        <x:v>亚坛高原</x:v>
      </x:c>
      <x:c r="D378" s="20" t="n">
        <x:v>3</x:v>
      </x:c>
      <x:c r="E378" s="20" t="str">
        <x:v>古王陵园</x:v>
      </x:c>
      <x:c r="F378" s="20" t="n">
        <x:v>2</x:v>
      </x:c>
      <x:c r="G378" s="20" t="str">
        <x:v>XX836</x:v>
      </x:c>
      <x:c r="H378" s="20" t="str">
        <x:v>王陵甬道</x:v>
      </x:c>
      <x:c r="I378" s="20" t="str">
        <x:v>甬道无面近卫</x:v>
      </x:c>
      <x:c r="J378" s="20" t="str">
        <x:v>蓝色</x:v>
      </x:c>
      <x:c r="K378" s="20" t="str">
        <x:v>稀有</x:v>
      </x:c>
      <x:c r="L378" s="20" t="str">
        <x:v>亡灵</x:v>
      </x:c>
      <x:c r="M378" s="20" t="str">
        <x:v>重装</x:v>
      </x:c>
      <x:c r="N378" s="20" t="str">
        <x:v>无面近卫盔</x:v>
      </x:c>
      <x:c r="O378" s="20" t="str">
        <x:v>头盔</x:v>
      </x:c>
      <x:c r="P378" s="20" t="str">
        <x:v>黄金叶脉</x:v>
      </x:c>
      <x:c r="Q378" s="20" t="str">
        <x:v>古王律页</x:v>
      </x:c>
      <x:c r="R378" s="20" t="str">
        <x:v>矿脉灯芯</x:v>
      </x:c>
      <x:c r="S378" s="20" t="str">
        <x:v>古坛鎏叶髓</x:v>
      </x:c>
      <x:c r="T378" s="20" t="str">
        <x:v>否</x:v>
      </x:c>
      <x:c r="U378" s="20" t="str">
        <x:v>是（公共奖池）</x:v>
      </x:c>
      <x:c r="V378" s="22" t="str">
        <x:v>结构定稿</x:v>
      </x:c>
      <x:c r="W378" s="36" t="str">
        <x:v>用户自行分配／本表不处理</x:v>
      </x:c>
      <x:c r="X378" s="33" t="n">
        <x:v>6022</x:v>
      </x:c>
      <x:c r="Y378" s="29" t="str">
        <x:v>后期统一平衡</x:v>
      </x:c>
      <x:c r="Z378" s="20" t="str">
        <x:v>一怪一专属；专属来源跟随本行准确地图号</x:v>
      </x:c>
    </x:row>
    <x:row r="379" ht="24" customHeight="1">
      <x:c r="A379" s="20" t="str">
        <x:v>C09-M033</x:v>
      </x:c>
      <x:c r="B379" s="20" t="str">
        <x:v>C09</x:v>
      </x:c>
      <x:c r="C379" s="20" t="str">
        <x:v>亚坛高原</x:v>
      </x:c>
      <x:c r="D379" s="20" t="n">
        <x:v>3</x:v>
      </x:c>
      <x:c r="E379" s="20" t="str">
        <x:v>古王陵园</x:v>
      </x:c>
      <x:c r="F379" s="20" t="n">
        <x:v>3</x:v>
      </x:c>
      <x:c r="G379" s="20" t="str">
        <x:v>XX838</x:v>
      </x:c>
      <x:c r="H379" s="20" t="str">
        <x:v>古王墓室</x:v>
      </x:c>
      <x:c r="I379" s="20" t="str">
        <x:v>墓室守印妃</x:v>
      </x:c>
      <x:c r="J379" s="20" t="str">
        <x:v>蓝色</x:v>
      </x:c>
      <x:c r="K379" s="20" t="str">
        <x:v>稀有</x:v>
      </x:c>
      <x:c r="L379" s="20" t="str">
        <x:v>亡灵</x:v>
      </x:c>
      <x:c r="M379" s="20" t="str">
        <x:v>法术</x:v>
      </x:c>
      <x:c r="N379" s="20" t="str">
        <x:v>守印妃金戒</x:v>
      </x:c>
      <x:c r="O379" s="20" t="str">
        <x:v>戒指</x:v>
      </x:c>
      <x:c r="P379" s="20" t="str">
        <x:v>黄金叶脉</x:v>
      </x:c>
      <x:c r="Q379" s="20" t="str">
        <x:v>古王律页</x:v>
      </x:c>
      <x:c r="R379" s="20" t="str">
        <x:v>矿脉灯芯</x:v>
      </x:c>
      <x:c r="S379" s="20" t="str">
        <x:v>古坛鎏叶髓</x:v>
      </x:c>
      <x:c r="T379" s="20" t="str">
        <x:v>否</x:v>
      </x:c>
      <x:c r="U379" s="20" t="str">
        <x:v>是（公共奖池）</x:v>
      </x:c>
      <x:c r="V379" s="22" t="str">
        <x:v>结构定稿</x:v>
      </x:c>
      <x:c r="W379" s="36" t="str">
        <x:v>用户自行分配／本表不处理</x:v>
      </x:c>
      <x:c r="X379" s="33" t="n">
        <x:v>6015</x:v>
      </x:c>
      <x:c r="Y379" s="29" t="str">
        <x:v>后期统一平衡</x:v>
      </x:c>
      <x:c r="Z379" s="20" t="str">
        <x:v>一怪一专属；专属来源跟随本行准确地图号</x:v>
      </x:c>
    </x:row>
    <x:row r="380" ht="24" customHeight="1">
      <x:c r="A380" s="20" t="str">
        <x:v>C09-M034</x:v>
      </x:c>
      <x:c r="B380" s="20" t="str">
        <x:v>C09</x:v>
      </x:c>
      <x:c r="C380" s="20" t="str">
        <x:v>亚坛高原</x:v>
      </x:c>
      <x:c r="D380" s="20" t="n">
        <x:v>3</x:v>
      </x:c>
      <x:c r="E380" s="20" t="str">
        <x:v>古王陵园</x:v>
      </x:c>
      <x:c r="F380" s="20" t="n">
        <x:v>3</x:v>
      </x:c>
      <x:c r="G380" s="20" t="str">
        <x:v>XX838</x:v>
      </x:c>
      <x:c r="H380" s="20" t="str">
        <x:v>古王墓室</x:v>
      </x:c>
      <x:c r="I380" s="20" t="str">
        <x:v>墓室食梦金蝉</x:v>
      </x:c>
      <x:c r="J380" s="20" t="str">
        <x:v>蓝色</x:v>
      </x:c>
      <x:c r="K380" s="20" t="str">
        <x:v>稀有</x:v>
      </x:c>
      <x:c r="L380" s="20" t="str">
        <x:v>虫类</x:v>
      </x:c>
      <x:c r="M380" s="20" t="str">
        <x:v>敏捷</x:v>
      </x:c>
      <x:c r="N380" s="20" t="str">
        <x:v>食梦蝉蜕带</x:v>
      </x:c>
      <x:c r="O380" s="20" t="str">
        <x:v>腰带</x:v>
      </x:c>
      <x:c r="P380" s="20" t="str">
        <x:v>黄金叶脉</x:v>
      </x:c>
      <x:c r="Q380" s="20" t="str">
        <x:v>古王律页</x:v>
      </x:c>
      <x:c r="R380" s="20" t="str">
        <x:v>矿脉灯芯</x:v>
      </x:c>
      <x:c r="S380" s="20" t="str">
        <x:v>古坛鎏叶髓</x:v>
      </x:c>
      <x:c r="T380" s="20" t="str">
        <x:v>否</x:v>
      </x:c>
      <x:c r="U380" s="20" t="str">
        <x:v>是（公共奖池）</x:v>
      </x:c>
      <x:c r="V380" s="22" t="str">
        <x:v>结构定稿</x:v>
      </x:c>
      <x:c r="W380" s="36" t="str">
        <x:v>用户自行分配／本表不处理</x:v>
      </x:c>
      <x:c r="X380" s="33" t="n">
        <x:v>5956</x:v>
      </x:c>
      <x:c r="Y380" s="29" t="str">
        <x:v>后期统一平衡</x:v>
      </x:c>
      <x:c r="Z380" s="20" t="str">
        <x:v>一怪一专属；专属来源跟随本行准确地图号</x:v>
      </x:c>
    </x:row>
    <x:row r="381" ht="24" customHeight="1">
      <x:c r="A381" s="20" t="str">
        <x:v>C09-M035</x:v>
      </x:c>
      <x:c r="B381" s="20" t="str">
        <x:v>C09</x:v>
      </x:c>
      <x:c r="C381" s="20" t="str">
        <x:v>亚坛高原</x:v>
      </x:c>
      <x:c r="D381" s="20" t="n">
        <x:v>3</x:v>
      </x:c>
      <x:c r="E381" s="20" t="str">
        <x:v>古王陵园</x:v>
      </x:c>
      <x:c r="F381" s="20" t="n">
        <x:v>2</x:v>
      </x:c>
      <x:c r="G381" s="20" t="str">
        <x:v>XX836</x:v>
      </x:c>
      <x:c r="H381" s="20" t="str">
        <x:v>王陵甬道</x:v>
      </x:c>
      <x:c r="I381" s="20" t="str">
        <x:v>封棺执政·梅尔顿</x:v>
      </x:c>
      <x:c r="J381" s="20" t="str">
        <x:v>粉色</x:v>
      </x:c>
      <x:c r="K381" s="20" t="str">
        <x:v>地图BOSS</x:v>
      </x:c>
      <x:c r="L381" s="20" t="str">
        <x:v>亡灵</x:v>
      </x:c>
      <x:c r="M381" s="20" t="str">
        <x:v>首领</x:v>
      </x:c>
      <x:c r="N381" s="20" t="str">
        <x:v>梅尔顿封棺钺</x:v>
      </x:c>
      <x:c r="O381" s="20" t="str">
        <x:v>武器</x:v>
      </x:c>
      <x:c r="P381" s="20" t="str">
        <x:v>黄金叶脉</x:v>
      </x:c>
      <x:c r="Q381" s="20" t="str">
        <x:v>古王律页＋黄金律印</x:v>
      </x:c>
      <x:c r="R381" s="20" t="str">
        <x:v>裁文蜡封</x:v>
      </x:c>
      <x:c r="S381" s="20" t="str">
        <x:v>古坛鎏叶髓</x:v>
      </x:c>
      <x:c r="T381" s="20" t="str">
        <x:v>是（独立奖池）</x:v>
      </x:c>
      <x:c r="U381" s="20" t="str">
        <x:v>是（公共奖池）</x:v>
      </x:c>
      <x:c r="V381" s="22" t="str">
        <x:v>结构定稿</x:v>
      </x:c>
      <x:c r="W381" s="36" t="str">
        <x:v>用户自行分配／本表不处理</x:v>
      </x:c>
      <x:c r="X381" s="34" t="str">
        <x:v>缺武器来源码</x:v>
      </x:c>
      <x:c r="Y381" s="29" t="str">
        <x:v>后期统一平衡</x:v>
      </x:c>
      <x:c r="Z381" s="20" t="str">
        <x:v>一怪一专属；专属来源跟随本行准确地图号</x:v>
      </x:c>
    </x:row>
    <x:row r="382" ht="24" customHeight="1">
      <x:c r="A382" s="20" t="str">
        <x:v>C09-M036</x:v>
      </x:c>
      <x:c r="B382" s="20" t="str">
        <x:v>C09</x:v>
      </x:c>
      <x:c r="C382" s="20" t="str">
        <x:v>亚坛高原</x:v>
      </x:c>
      <x:c r="D382" s="20" t="n">
        <x:v>3</x:v>
      </x:c>
      <x:c r="E382" s="20" t="str">
        <x:v>古王陵园</x:v>
      </x:c>
      <x:c r="F382" s="20" t="n">
        <x:v>3</x:v>
      </x:c>
      <x:c r="G382" s="20" t="str">
        <x:v>XX838</x:v>
      </x:c>
      <x:c r="H382" s="20" t="str">
        <x:v>古王墓室</x:v>
      </x:c>
      <x:c r="I382" s="20" t="str">
        <x:v>不醒古王·奥瑞昂</x:v>
      </x:c>
      <x:c r="J382" s="20" t="str">
        <x:v>粉色</x:v>
      </x:c>
      <x:c r="K382" s="20" t="str">
        <x:v>地图BOSS</x:v>
      </x:c>
      <x:c r="L382" s="20" t="str">
        <x:v>亡灵</x:v>
      </x:c>
      <x:c r="M382" s="20" t="str">
        <x:v>首领</x:v>
      </x:c>
      <x:c r="N382" s="20" t="str">
        <x:v>奥瑞昂不醒王衣</x:v>
      </x:c>
      <x:c r="O382" s="20" t="str">
        <x:v>衣服</x:v>
      </x:c>
      <x:c r="P382" s="20" t="str">
        <x:v>黄金叶脉</x:v>
      </x:c>
      <x:c r="Q382" s="20" t="str">
        <x:v>古王律页＋黄金律印</x:v>
      </x:c>
      <x:c r="R382" s="20" t="str">
        <x:v>裁文蜡封</x:v>
      </x:c>
      <x:c r="S382" s="20" t="str">
        <x:v>古坛鎏叶髓</x:v>
      </x:c>
      <x:c r="T382" s="20" t="str">
        <x:v>是（独立奖池）</x:v>
      </x:c>
      <x:c r="U382" s="20" t="str">
        <x:v>是（公共奖池）</x:v>
      </x:c>
      <x:c r="V382" s="22" t="str">
        <x:v>结构定稿</x:v>
      </x:c>
      <x:c r="W382" s="36" t="str">
        <x:v>用户自行分配／本表不处理</x:v>
      </x:c>
      <x:c r="X382" s="34" t="str">
        <x:v>缺衣服来源码</x:v>
      </x:c>
      <x:c r="Y382" s="29" t="str">
        <x:v>后期统一平衡</x:v>
      </x:c>
      <x:c r="Z382" s="20" t="str">
        <x:v>一怪一专属；专属来源跟随本行准确地图号</x:v>
      </x:c>
    </x:row>
    <x:row r="383" ht="24" customHeight="1">
      <x:c r="A383" s="20" t="str">
        <x:v>C09-M037</x:v>
      </x:c>
      <x:c r="B383" s="20" t="str">
        <x:v>C09</x:v>
      </x:c>
      <x:c r="C383" s="20" t="str">
        <x:v>亚坛高原</x:v>
      </x:c>
      <x:c r="D383" s="20" t="n">
        <x:v>4</x:v>
      </x:c>
      <x:c r="E383" s="20" t="str">
        <x:v>黄金圣堂</x:v>
      </x:c>
      <x:c r="F383" s="20" t="n">
        <x:v>1</x:v>
      </x:c>
      <x:c r="G383" s="20" t="str">
        <x:v>XX786</x:v>
      </x:c>
      <x:c r="H383" s="20" t="str">
        <x:v>黄金圣堂</x:v>
      </x:c>
      <x:c r="I383" s="20" t="str">
        <x:v>圣堂扫金仆</x:v>
      </x:c>
      <x:c r="J383" s="20" t="str">
        <x:v>黄色</x:v>
      </x:c>
      <x:c r="K383" s="20" t="str">
        <x:v>普通</x:v>
      </x:c>
      <x:c r="L383" s="20" t="str">
        <x:v>人形</x:v>
      </x:c>
      <x:c r="M383" s="20" t="str">
        <x:v>敏捷</x:v>
      </x:c>
      <x:c r="N383" s="20" t="str">
        <x:v>扫金仆软履</x:v>
      </x:c>
      <x:c r="O383" s="20" t="str">
        <x:v>鞋子</x:v>
      </x:c>
      <x:c r="P383" s="20" t="str">
        <x:v>黄金叶脉</x:v>
      </x:c>
      <x:c r="Q383" s="20" t="str"/>
      <x:c r="R383" s="20" t="str">
        <x:v>金叶驿票</x:v>
      </x:c>
      <x:c r="S383" s="20" t="str">
        <x:v>古坛鎏叶髓</x:v>
      </x:c>
      <x:c r="T383" s="20" t="str">
        <x:v>否</x:v>
      </x:c>
      <x:c r="U383" s="20" t="str">
        <x:v>是（公共奖池）</x:v>
      </x:c>
      <x:c r="V383" s="22" t="str">
        <x:v>结构定稿</x:v>
      </x:c>
      <x:c r="W383" s="36" t="str">
        <x:v>用户自行分配／本表不处理</x:v>
      </x:c>
      <x:c r="X383" s="33" t="n">
        <x:v>5973</x:v>
      </x:c>
      <x:c r="Y383" s="29" t="str">
        <x:v>后期统一平衡</x:v>
      </x:c>
      <x:c r="Z383" s="20" t="str">
        <x:v>一怪一专属；专属来源跟随本行准确地图号</x:v>
      </x:c>
    </x:row>
    <x:row r="384" ht="24" customHeight="1">
      <x:c r="A384" s="20" t="str">
        <x:v>C09-M038</x:v>
      </x:c>
      <x:c r="B384" s="20" t="str">
        <x:v>C09</x:v>
      </x:c>
      <x:c r="C384" s="20" t="str">
        <x:v>亚坛高原</x:v>
      </x:c>
      <x:c r="D384" s="20" t="n">
        <x:v>4</x:v>
      </x:c>
      <x:c r="E384" s="20" t="str">
        <x:v>黄金圣堂</x:v>
      </x:c>
      <x:c r="F384" s="20" t="n">
        <x:v>1</x:v>
      </x:c>
      <x:c r="G384" s="20" t="str">
        <x:v>XX786</x:v>
      </x:c>
      <x:c r="H384" s="20" t="str">
        <x:v>黄金圣堂</x:v>
      </x:c>
      <x:c r="I384" s="20" t="str">
        <x:v>鎏檐守门士</x:v>
      </x:c>
      <x:c r="J384" s="20" t="str">
        <x:v>黄色</x:v>
      </x:c>
      <x:c r="K384" s="20" t="str">
        <x:v>普通</x:v>
      </x:c>
      <x:c r="L384" s="20" t="str">
        <x:v>人形</x:v>
      </x:c>
      <x:c r="M384" s="20" t="str">
        <x:v>重装</x:v>
      </x:c>
      <x:c r="N384" s="20" t="str">
        <x:v>鎏檐拱门盾</x:v>
      </x:c>
      <x:c r="O384" s="20" t="str">
        <x:v>盾牌</x:v>
      </x:c>
      <x:c r="P384" s="20" t="str">
        <x:v>黄金叶脉</x:v>
      </x:c>
      <x:c r="Q384" s="20" t="str"/>
      <x:c r="R384" s="20" t="str">
        <x:v>金叶驿票</x:v>
      </x:c>
      <x:c r="S384" s="20" t="str">
        <x:v>古坛鎏叶髓</x:v>
      </x:c>
      <x:c r="T384" s="20" t="str">
        <x:v>否</x:v>
      </x:c>
      <x:c r="U384" s="20" t="str">
        <x:v>是（公共奖池）</x:v>
      </x:c>
      <x:c r="V384" s="22" t="str">
        <x:v>结构定稿</x:v>
      </x:c>
      <x:c r="W384" s="36" t="str">
        <x:v>用户自行分配／本表不处理</x:v>
      </x:c>
      <x:c r="X384" s="33" t="n">
        <x:v>5989</x:v>
      </x:c>
      <x:c r="Y384" s="29" t="str">
        <x:v>后期统一平衡</x:v>
      </x:c>
      <x:c r="Z384" s="20" t="str">
        <x:v>一怪一专属；专属来源跟随本行准确地图号</x:v>
      </x:c>
    </x:row>
    <x:row r="385" ht="24" customHeight="1">
      <x:c r="A385" s="20" t="str">
        <x:v>C09-M039</x:v>
      </x:c>
      <x:c r="B385" s="20" t="str">
        <x:v>C09</x:v>
      </x:c>
      <x:c r="C385" s="20" t="str">
        <x:v>亚坛高原</x:v>
      </x:c>
      <x:c r="D385" s="20" t="n">
        <x:v>4</x:v>
      </x:c>
      <x:c r="E385" s="20" t="str">
        <x:v>黄金圣堂</x:v>
      </x:c>
      <x:c r="F385" s="20" t="n">
        <x:v>2</x:v>
      </x:c>
      <x:c r="G385" s="20" t="str">
        <x:v>XX796</x:v>
      </x:c>
      <x:c r="H385" s="20" t="str">
        <x:v>圣堂前廊</x:v>
      </x:c>
      <x:c r="I385" s="20" t="str">
        <x:v>前廊白袍唱者</x:v>
      </x:c>
      <x:c r="J385" s="20" t="str">
        <x:v>黄色</x:v>
      </x:c>
      <x:c r="K385" s="20" t="str">
        <x:v>普通</x:v>
      </x:c>
      <x:c r="L385" s="20" t="str">
        <x:v>人形</x:v>
      </x:c>
      <x:c r="M385" s="20" t="str">
        <x:v>辅助</x:v>
      </x:c>
      <x:c r="N385" s="20" t="str">
        <x:v>白袍唱诗衣</x:v>
      </x:c>
      <x:c r="O385" s="20" t="str">
        <x:v>衣服</x:v>
      </x:c>
      <x:c r="P385" s="20" t="str">
        <x:v>黄金叶脉</x:v>
      </x:c>
      <x:c r="Q385" s="20" t="str"/>
      <x:c r="R385" s="20" t="str">
        <x:v>金叶驿票</x:v>
      </x:c>
      <x:c r="S385" s="20" t="str">
        <x:v>古坛鎏叶髓</x:v>
      </x:c>
      <x:c r="T385" s="20" t="str">
        <x:v>否</x:v>
      </x:c>
      <x:c r="U385" s="20" t="str">
        <x:v>是（公共奖池）</x:v>
      </x:c>
      <x:c r="V385" s="22" t="str">
        <x:v>结构定稿</x:v>
      </x:c>
      <x:c r="W385" s="36" t="str">
        <x:v>用户自行分配／本表不处理</x:v>
      </x:c>
      <x:c r="X385" s="34" t="str">
        <x:v>缺衣服来源码</x:v>
      </x:c>
      <x:c r="Y385" s="29" t="str">
        <x:v>后期统一平衡</x:v>
      </x:c>
      <x:c r="Z385" s="20" t="str">
        <x:v>一怪一专属；专属来源跟随本行准确地图号</x:v>
      </x:c>
    </x:row>
    <x:row r="386" ht="24" customHeight="1">
      <x:c r="A386" s="20" t="str">
        <x:v>C09-M040</x:v>
      </x:c>
      <x:c r="B386" s="20" t="str">
        <x:v>C09</x:v>
      </x:c>
      <x:c r="C386" s="20" t="str">
        <x:v>亚坛高原</x:v>
      </x:c>
      <x:c r="D386" s="20" t="n">
        <x:v>4</x:v>
      </x:c>
      <x:c r="E386" s="20" t="str">
        <x:v>黄金圣堂</x:v>
      </x:c>
      <x:c r="F386" s="20" t="n">
        <x:v>3</x:v>
      </x:c>
      <x:c r="G386" s="20" t="str">
        <x:v>XX787</x:v>
      </x:c>
      <x:c r="H386" s="20" t="str">
        <x:v>古神祭厅</x:v>
      </x:c>
      <x:c r="I386" s="20" t="str">
        <x:v>祭厅焚香奴</x:v>
      </x:c>
      <x:c r="J386" s="20" t="str">
        <x:v>黄色</x:v>
      </x:c>
      <x:c r="K386" s="20" t="str">
        <x:v>普通</x:v>
      </x:c>
      <x:c r="L386" s="20" t="str">
        <x:v>人形</x:v>
      </x:c>
      <x:c r="M386" s="20" t="str">
        <x:v>法术</x:v>
      </x:c>
      <x:c r="N386" s="20" t="str">
        <x:v>焚香奴腕镯</x:v>
      </x:c>
      <x:c r="O386" s="20" t="str">
        <x:v>手镯</x:v>
      </x:c>
      <x:c r="P386" s="20" t="str">
        <x:v>黄金叶脉</x:v>
      </x:c>
      <x:c r="Q386" s="20" t="str"/>
      <x:c r="R386" s="20" t="str">
        <x:v>金叶驿票</x:v>
      </x:c>
      <x:c r="S386" s="20" t="str">
        <x:v>古坛鎏叶髓</x:v>
      </x:c>
      <x:c r="T386" s="20" t="str">
        <x:v>否</x:v>
      </x:c>
      <x:c r="U386" s="20" t="str">
        <x:v>是（公共奖池）</x:v>
      </x:c>
      <x:c r="V386" s="22" t="str">
        <x:v>结构定稿</x:v>
      </x:c>
      <x:c r="W386" s="36" t="str">
        <x:v>用户自行分配／本表不处理</x:v>
      </x:c>
      <x:c r="X386" s="33" t="n">
        <x:v>5987</x:v>
      </x:c>
      <x:c r="Y386" s="29" t="str">
        <x:v>后期统一平衡</x:v>
      </x:c>
      <x:c r="Z386" s="20" t="str">
        <x:v>一怪一专属；专属来源跟随本行准确地图号</x:v>
      </x:c>
    </x:row>
    <x:row r="387" ht="24" customHeight="1">
      <x:c r="A387" s="20" t="str">
        <x:v>C09-M041</x:v>
      </x:c>
      <x:c r="B387" s="20" t="str">
        <x:v>C09</x:v>
      </x:c>
      <x:c r="C387" s="20" t="str">
        <x:v>亚坛高原</x:v>
      </x:c>
      <x:c r="D387" s="20" t="n">
        <x:v>4</x:v>
      </x:c>
      <x:c r="E387" s="20" t="str">
        <x:v>黄金圣堂</x:v>
      </x:c>
      <x:c r="F387" s="20" t="n">
        <x:v>4</x:v>
      </x:c>
      <x:c r="G387" s="20" t="str">
        <x:v>XX795</x:v>
      </x:c>
      <x:c r="H387" s="20" t="str">
        <x:v>黄金内殿</x:v>
      </x:c>
      <x:c r="I387" s="20" t="str">
        <x:v>内殿金面僧</x:v>
      </x:c>
      <x:c r="J387" s="20" t="str">
        <x:v>黄色</x:v>
      </x:c>
      <x:c r="K387" s="20" t="str">
        <x:v>普通</x:v>
      </x:c>
      <x:c r="L387" s="20" t="str">
        <x:v>人形</x:v>
      </x:c>
      <x:c r="M387" s="20" t="str">
        <x:v>重装</x:v>
      </x:c>
      <x:c r="N387" s="20" t="str">
        <x:v>金面僧宝盔</x:v>
      </x:c>
      <x:c r="O387" s="20" t="str">
        <x:v>头盔</x:v>
      </x:c>
      <x:c r="P387" s="20" t="str">
        <x:v>黄金叶脉</x:v>
      </x:c>
      <x:c r="Q387" s="20" t="str"/>
      <x:c r="R387" s="20" t="str">
        <x:v>金叶驿票</x:v>
      </x:c>
      <x:c r="S387" s="20" t="str">
        <x:v>古坛鎏叶髓</x:v>
      </x:c>
      <x:c r="T387" s="20" t="str">
        <x:v>否</x:v>
      </x:c>
      <x:c r="U387" s="20" t="str">
        <x:v>是（公共奖池）</x:v>
      </x:c>
      <x:c r="V387" s="22" t="str">
        <x:v>结构定稿</x:v>
      </x:c>
      <x:c r="W387" s="36" t="str">
        <x:v>用户自行分配／本表不处理</x:v>
      </x:c>
      <x:c r="X387" s="33" t="n">
        <x:v>6031</x:v>
      </x:c>
      <x:c r="Y387" s="29" t="str">
        <x:v>后期统一平衡</x:v>
      </x:c>
      <x:c r="Z387" s="20" t="str">
        <x:v>一怪一专属；专属来源跟随本行准确地图号</x:v>
      </x:c>
    </x:row>
    <x:row r="388" ht="24" customHeight="1">
      <x:c r="A388" s="20" t="str">
        <x:v>C09-M042</x:v>
      </x:c>
      <x:c r="B388" s="20" t="str">
        <x:v>C09</x:v>
      </x:c>
      <x:c r="C388" s="20" t="str">
        <x:v>亚坛高原</x:v>
      </x:c>
      <x:c r="D388" s="20" t="n">
        <x:v>4</x:v>
      </x:c>
      <x:c r="E388" s="20" t="str">
        <x:v>黄金圣堂</x:v>
      </x:c>
      <x:c r="F388" s="20" t="n">
        <x:v>5</x:v>
      </x:c>
      <x:c r="G388" s="20" t="str">
        <x:v>XX791</x:v>
      </x:c>
      <x:c r="H388" s="20" t="str">
        <x:v>高原圣坛</x:v>
      </x:c>
      <x:c r="I388" s="20" t="str">
        <x:v>圣坛祷弓手</x:v>
      </x:c>
      <x:c r="J388" s="20" t="str">
        <x:v>黄色</x:v>
      </x:c>
      <x:c r="K388" s="20" t="str">
        <x:v>普通</x:v>
      </x:c>
      <x:c r="L388" s="20" t="str">
        <x:v>人形</x:v>
      </x:c>
      <x:c r="M388" s="20" t="str">
        <x:v>远程</x:v>
      </x:c>
      <x:c r="N388" s="20" t="str">
        <x:v>祷弓手日轮弓</x:v>
      </x:c>
      <x:c r="O388" s="20" t="str">
        <x:v>武器</x:v>
      </x:c>
      <x:c r="P388" s="20" t="str">
        <x:v>黄金叶脉</x:v>
      </x:c>
      <x:c r="Q388" s="20" t="str"/>
      <x:c r="R388" s="20" t="str">
        <x:v>金叶驿票</x:v>
      </x:c>
      <x:c r="S388" s="20" t="str">
        <x:v>古坛鎏叶髓</x:v>
      </x:c>
      <x:c r="T388" s="20" t="str">
        <x:v>否</x:v>
      </x:c>
      <x:c r="U388" s="20" t="str">
        <x:v>是（公共奖池）</x:v>
      </x:c>
      <x:c r="V388" s="22" t="str">
        <x:v>结构定稿</x:v>
      </x:c>
      <x:c r="W388" s="36" t="str">
        <x:v>用户自行分配／本表不处理</x:v>
      </x:c>
      <x:c r="X388" s="34" t="str">
        <x:v>缺武器来源码</x:v>
      </x:c>
      <x:c r="Y388" s="29" t="str">
        <x:v>后期统一平衡</x:v>
      </x:c>
      <x:c r="Z388" s="20" t="str">
        <x:v>一怪一专属；专属来源跟随本行准确地图号</x:v>
      </x:c>
    </x:row>
    <x:row r="389" ht="24" customHeight="1">
      <x:c r="A389" s="20" t="str">
        <x:v>C09-M043</x:v>
      </x:c>
      <x:c r="B389" s="20" t="str">
        <x:v>C09</x:v>
      </x:c>
      <x:c r="C389" s="20" t="str">
        <x:v>亚坛高原</x:v>
      </x:c>
      <x:c r="D389" s="20" t="n">
        <x:v>4</x:v>
      </x:c>
      <x:c r="E389" s="20" t="str">
        <x:v>黄金圣堂</x:v>
      </x:c>
      <x:c r="F389" s="20" t="n">
        <x:v>2</x:v>
      </x:c>
      <x:c r="G389" s="20" t="str">
        <x:v>XX796</x:v>
      </x:c>
      <x:c r="H389" s="20" t="str">
        <x:v>圣堂前廊</x:v>
      </x:c>
      <x:c r="I389" s="20" t="str">
        <x:v>前廊裁罪使</x:v>
      </x:c>
      <x:c r="J389" s="20" t="str">
        <x:v>蓝色</x:v>
      </x:c>
      <x:c r="K389" s="20" t="str">
        <x:v>稀有</x:v>
      </x:c>
      <x:c r="L389" s="20" t="str">
        <x:v>人形</x:v>
      </x:c>
      <x:c r="M389" s="20" t="str">
        <x:v>近战</x:v>
      </x:c>
      <x:c r="N389" s="20" t="str">
        <x:v>裁罪使荆腰带</x:v>
      </x:c>
      <x:c r="O389" s="20" t="str">
        <x:v>腰带</x:v>
      </x:c>
      <x:c r="P389" s="20" t="str">
        <x:v>黄金叶脉</x:v>
      </x:c>
      <x:c r="Q389" s="20" t="str">
        <x:v>古王律页</x:v>
      </x:c>
      <x:c r="R389" s="20" t="str">
        <x:v>矿脉灯芯</x:v>
      </x:c>
      <x:c r="S389" s="20" t="str">
        <x:v>古坛鎏叶髓</x:v>
      </x:c>
      <x:c r="T389" s="20" t="str">
        <x:v>否</x:v>
      </x:c>
      <x:c r="U389" s="20" t="str">
        <x:v>是（公共奖池）</x:v>
      </x:c>
      <x:c r="V389" s="22" t="str">
        <x:v>结构定稿</x:v>
      </x:c>
      <x:c r="W389" s="36" t="str">
        <x:v>用户自行分配／本表不处理</x:v>
      </x:c>
      <x:c r="X389" s="33" t="n">
        <x:v>5974</x:v>
      </x:c>
      <x:c r="Y389" s="29" t="str">
        <x:v>后期统一平衡</x:v>
      </x:c>
      <x:c r="Z389" s="20" t="str">
        <x:v>一怪一专属；专属来源跟随本行准确地图号</x:v>
      </x:c>
    </x:row>
    <x:row r="390" ht="24" customHeight="1">
      <x:c r="A390" s="20" t="str">
        <x:v>C09-M044</x:v>
      </x:c>
      <x:c r="B390" s="20" t="str">
        <x:v>C09</x:v>
      </x:c>
      <x:c r="C390" s="20" t="str">
        <x:v>亚坛高原</x:v>
      </x:c>
      <x:c r="D390" s="20" t="n">
        <x:v>4</x:v>
      </x:c>
      <x:c r="E390" s="20" t="str">
        <x:v>黄金圣堂</x:v>
      </x:c>
      <x:c r="F390" s="20" t="n">
        <x:v>3</x:v>
      </x:c>
      <x:c r="G390" s="20" t="str">
        <x:v>XX787</x:v>
      </x:c>
      <x:c r="H390" s="20" t="str">
        <x:v>古神祭厅</x:v>
      </x:c>
      <x:c r="I390" s="20" t="str">
        <x:v>古神食香兽</x:v>
      </x:c>
      <x:c r="J390" s="20" t="str">
        <x:v>蓝色</x:v>
      </x:c>
      <x:c r="K390" s="20" t="str">
        <x:v>稀有</x:v>
      </x:c>
      <x:c r="L390" s="20" t="str">
        <x:v>异形</x:v>
      </x:c>
      <x:c r="M390" s="20" t="str">
        <x:v>召唤</x:v>
      </x:c>
      <x:c r="N390" s="20" t="str">
        <x:v>食香兽烟坠</x:v>
      </x:c>
      <x:c r="O390" s="20" t="str">
        <x:v>项链</x:v>
      </x:c>
      <x:c r="P390" s="20" t="str">
        <x:v>黄金叶脉</x:v>
      </x:c>
      <x:c r="Q390" s="20" t="str">
        <x:v>古王律页</x:v>
      </x:c>
      <x:c r="R390" s="20" t="str">
        <x:v>矿脉灯芯</x:v>
      </x:c>
      <x:c r="S390" s="20" t="str">
        <x:v>古坛鎏叶髓</x:v>
      </x:c>
      <x:c r="T390" s="20" t="str">
        <x:v>否</x:v>
      </x:c>
      <x:c r="U390" s="20" t="str">
        <x:v>是（公共奖池）</x:v>
      </x:c>
      <x:c r="V390" s="22" t="str">
        <x:v>结构定稿</x:v>
      </x:c>
      <x:c r="W390" s="36" t="str">
        <x:v>用户自行分配／本表不处理</x:v>
      </x:c>
      <x:c r="X390" s="33" t="n">
        <x:v>6030</x:v>
      </x:c>
      <x:c r="Y390" s="29" t="str">
        <x:v>后期统一平衡</x:v>
      </x:c>
      <x:c r="Z390" s="20" t="str">
        <x:v>一怪一专属；专属来源跟随本行准确地图号</x:v>
      </x:c>
    </x:row>
    <x:row r="391" ht="24" customHeight="1">
      <x:c r="A391" s="20" t="str">
        <x:v>C09-M045</x:v>
      </x:c>
      <x:c r="B391" s="20" t="str">
        <x:v>C09</x:v>
      </x:c>
      <x:c r="C391" s="20" t="str">
        <x:v>亚坛高原</x:v>
      </x:c>
      <x:c r="D391" s="20" t="n">
        <x:v>4</x:v>
      </x:c>
      <x:c r="E391" s="20" t="str">
        <x:v>黄金圣堂</x:v>
      </x:c>
      <x:c r="F391" s="20" t="n">
        <x:v>4</x:v>
      </x:c>
      <x:c r="G391" s="20" t="str">
        <x:v>XX795</x:v>
      </x:c>
      <x:c r="H391" s="20" t="str">
        <x:v>黄金内殿</x:v>
      </x:c>
      <x:c r="I391" s="20" t="str">
        <x:v>内殿无声司铎</x:v>
      </x:c>
      <x:c r="J391" s="20" t="str">
        <x:v>蓝色</x:v>
      </x:c>
      <x:c r="K391" s="20" t="str">
        <x:v>稀有</x:v>
      </x:c>
      <x:c r="L391" s="20" t="str">
        <x:v>亡灵</x:v>
      </x:c>
      <x:c r="M391" s="20" t="str">
        <x:v>法术</x:v>
      </x:c>
      <x:c r="N391" s="20" t="str">
        <x:v>无声司铎笠</x:v>
      </x:c>
      <x:c r="O391" s="20" t="str">
        <x:v>斗笠</x:v>
      </x:c>
      <x:c r="P391" s="20" t="str">
        <x:v>黄金叶脉</x:v>
      </x:c>
      <x:c r="Q391" s="20" t="str">
        <x:v>古王律页</x:v>
      </x:c>
      <x:c r="R391" s="20" t="str">
        <x:v>矿脉灯芯</x:v>
      </x:c>
      <x:c r="S391" s="20" t="str">
        <x:v>古坛鎏叶髓</x:v>
      </x:c>
      <x:c r="T391" s="20" t="str">
        <x:v>否</x:v>
      </x:c>
      <x:c r="U391" s="20" t="str">
        <x:v>是（公共奖池）</x:v>
      </x:c>
      <x:c r="V391" s="22" t="str">
        <x:v>结构定稿</x:v>
      </x:c>
      <x:c r="W391" s="36" t="str">
        <x:v>用户自行分配／本表不处理</x:v>
      </x:c>
      <x:c r="X391" s="33" t="n">
        <x:v>6855</x:v>
      </x:c>
      <x:c r="Y391" s="29" t="str">
        <x:v>后期统一平衡</x:v>
      </x:c>
      <x:c r="Z391" s="20" t="str">
        <x:v>一怪一专属；专属来源跟随本行准确地图号</x:v>
      </x:c>
    </x:row>
    <x:row r="392" ht="24" customHeight="1">
      <x:c r="A392" s="20" t="str">
        <x:v>C09-M046</x:v>
      </x:c>
      <x:c r="B392" s="20" t="str">
        <x:v>C09</x:v>
      </x:c>
      <x:c r="C392" s="20" t="str">
        <x:v>亚坛高原</x:v>
      </x:c>
      <x:c r="D392" s="20" t="n">
        <x:v>4</x:v>
      </x:c>
      <x:c r="E392" s="20" t="str">
        <x:v>黄金圣堂</x:v>
      </x:c>
      <x:c r="F392" s="20" t="n">
        <x:v>5</x:v>
      </x:c>
      <x:c r="G392" s="20" t="str">
        <x:v>XX791</x:v>
      </x:c>
      <x:c r="H392" s="20" t="str">
        <x:v>高原圣坛</x:v>
      </x:c>
      <x:c r="I392" s="20" t="str">
        <x:v>圣坛逐光姬</x:v>
      </x:c>
      <x:c r="J392" s="20" t="str">
        <x:v>蓝色</x:v>
      </x:c>
      <x:c r="K392" s="20" t="str">
        <x:v>稀有</x:v>
      </x:c>
      <x:c r="L392" s="20" t="str">
        <x:v>人形</x:v>
      </x:c>
      <x:c r="M392" s="20" t="str">
        <x:v>敏捷</x:v>
      </x:c>
      <x:c r="N392" s="20" t="str">
        <x:v>逐光姬曜戒</x:v>
      </x:c>
      <x:c r="O392" s="20" t="str">
        <x:v>戒指</x:v>
      </x:c>
      <x:c r="P392" s="20" t="str">
        <x:v>黄金叶脉</x:v>
      </x:c>
      <x:c r="Q392" s="20" t="str">
        <x:v>古王律页</x:v>
      </x:c>
      <x:c r="R392" s="20" t="str">
        <x:v>矿脉灯芯</x:v>
      </x:c>
      <x:c r="S392" s="20" t="str">
        <x:v>古坛鎏叶髓</x:v>
      </x:c>
      <x:c r="T392" s="20" t="str">
        <x:v>否</x:v>
      </x:c>
      <x:c r="U392" s="20" t="str">
        <x:v>是（公共奖池）</x:v>
      </x:c>
      <x:c r="V392" s="22" t="str">
        <x:v>结构定稿</x:v>
      </x:c>
      <x:c r="W392" s="36" t="str">
        <x:v>用户自行分配／本表不处理</x:v>
      </x:c>
      <x:c r="X392" s="33" t="n">
        <x:v>6024</x:v>
      </x:c>
      <x:c r="Y392" s="29" t="str">
        <x:v>后期统一平衡</x:v>
      </x:c>
      <x:c r="Z392" s="20" t="str">
        <x:v>一怪一专属；专属来源跟随本行准确地图号</x:v>
      </x:c>
    </x:row>
    <x:row r="393" ht="24" customHeight="1">
      <x:c r="A393" s="20" t="str">
        <x:v>C09-M047</x:v>
      </x:c>
      <x:c r="B393" s="20" t="str">
        <x:v>C09</x:v>
      </x:c>
      <x:c r="C393" s="20" t="str">
        <x:v>亚坛高原</x:v>
      </x:c>
      <x:c r="D393" s="20" t="n">
        <x:v>4</x:v>
      </x:c>
      <x:c r="E393" s="20" t="str">
        <x:v>黄金圣堂</x:v>
      </x:c>
      <x:c r="F393" s="20" t="n">
        <x:v>4</x:v>
      </x:c>
      <x:c r="G393" s="20" t="str">
        <x:v>XX795</x:v>
      </x:c>
      <x:c r="H393" s="20" t="str">
        <x:v>黄金内殿</x:v>
      </x:c>
      <x:c r="I393" s="20" t="str">
        <x:v>黄金枢机·赛维兰</x:v>
      </x:c>
      <x:c r="J393" s="20" t="str">
        <x:v>粉色</x:v>
      </x:c>
      <x:c r="K393" s="20" t="str">
        <x:v>地图BOSS</x:v>
      </x:c>
      <x:c r="L393" s="20" t="str">
        <x:v>人形</x:v>
      </x:c>
      <x:c r="M393" s="20" t="str">
        <x:v>首领</x:v>
      </x:c>
      <x:c r="N393" s="20" t="str">
        <x:v>赛维兰裁阳杖</x:v>
      </x:c>
      <x:c r="O393" s="20" t="str">
        <x:v>武器</x:v>
      </x:c>
      <x:c r="P393" s="20" t="str">
        <x:v>黄金叶脉</x:v>
      </x:c>
      <x:c r="Q393" s="20" t="str">
        <x:v>古王律页＋黄金律印</x:v>
      </x:c>
      <x:c r="R393" s="20" t="str">
        <x:v>裁文蜡封</x:v>
      </x:c>
      <x:c r="S393" s="20" t="str">
        <x:v>古坛鎏叶髓</x:v>
      </x:c>
      <x:c r="T393" s="20" t="str">
        <x:v>是（独立奖池）</x:v>
      </x:c>
      <x:c r="U393" s="20" t="str">
        <x:v>是（公共奖池）</x:v>
      </x:c>
      <x:c r="V393" s="22" t="str">
        <x:v>结构定稿</x:v>
      </x:c>
      <x:c r="W393" s="36" t="str">
        <x:v>用户自行分配／本表不处理</x:v>
      </x:c>
      <x:c r="X393" s="34" t="str">
        <x:v>缺武器来源码</x:v>
      </x:c>
      <x:c r="Y393" s="29" t="str">
        <x:v>后期统一平衡</x:v>
      </x:c>
      <x:c r="Z393" s="20" t="str">
        <x:v>一怪一专属；专属来源跟随本行准确地图号</x:v>
      </x:c>
    </x:row>
    <x:row r="394" ht="24" customHeight="1">
      <x:c r="A394" s="20" t="str">
        <x:v>C09-M048</x:v>
      </x:c>
      <x:c r="B394" s="20" t="str">
        <x:v>C09</x:v>
      </x:c>
      <x:c r="C394" s="20" t="str">
        <x:v>亚坛高原</x:v>
      </x:c>
      <x:c r="D394" s="20" t="n">
        <x:v>4</x:v>
      </x:c>
      <x:c r="E394" s="20" t="str">
        <x:v>黄金圣堂</x:v>
      </x:c>
      <x:c r="F394" s="20" t="n">
        <x:v>5</x:v>
      </x:c>
      <x:c r="G394" s="20" t="str">
        <x:v>XX791</x:v>
      </x:c>
      <x:c r="H394" s="20" t="str">
        <x:v>高原圣坛</x:v>
      </x:c>
      <x:c r="I394" s="20" t="str">
        <x:v>高原圣母·艾德莉雅</x:v>
      </x:c>
      <x:c r="J394" s="20" t="str">
        <x:v>粉色</x:v>
      </x:c>
      <x:c r="K394" s="20" t="str">
        <x:v>地图BOSS</x:v>
      </x:c>
      <x:c r="L394" s="20" t="str">
        <x:v>人形</x:v>
      </x:c>
      <x:c r="M394" s="20" t="str">
        <x:v>首领</x:v>
      </x:c>
      <x:c r="N394" s="20" t="str">
        <x:v>艾德莉雅鎏辉圣衣</x:v>
      </x:c>
      <x:c r="O394" s="20" t="str">
        <x:v>衣服</x:v>
      </x:c>
      <x:c r="P394" s="20" t="str">
        <x:v>黄金叶脉</x:v>
      </x:c>
      <x:c r="Q394" s="20" t="str">
        <x:v>古王律页＋黄金律印</x:v>
      </x:c>
      <x:c r="R394" s="20" t="str">
        <x:v>裁文蜡封</x:v>
      </x:c>
      <x:c r="S394" s="20" t="str">
        <x:v>古坛鎏叶髓</x:v>
      </x:c>
      <x:c r="T394" s="20" t="str">
        <x:v>是（独立奖池）</x:v>
      </x:c>
      <x:c r="U394" s="20" t="str">
        <x:v>是（公共奖池）</x:v>
      </x:c>
      <x:c r="V394" s="22" t="str">
        <x:v>结构定稿</x:v>
      </x:c>
      <x:c r="W394" s="36" t="str">
        <x:v>用户自行分配／本表不处理</x:v>
      </x:c>
      <x:c r="X394" s="34" t="str">
        <x:v>缺衣服来源码</x:v>
      </x:c>
      <x:c r="Y394" s="29" t="str">
        <x:v>后期统一平衡</x:v>
      </x:c>
      <x:c r="Z394" s="20" t="str">
        <x:v>一怪一专属；专属来源跟随本行准确地图号</x:v>
      </x:c>
    </x:row>
    <x:row r="395" ht="24" customHeight="1">
      <x:c r="A395" s="20" t="str">
        <x:v>C09-M049</x:v>
      </x:c>
      <x:c r="B395" s="20" t="str">
        <x:v>C09</x:v>
      </x:c>
      <x:c r="C395" s="20" t="str">
        <x:v>亚坛高原</x:v>
      </x:c>
      <x:c r="D395" s="20" t="n">
        <x:v>5</x:v>
      </x:c>
      <x:c r="E395" s="20" t="str">
        <x:v>王城前垒</x:v>
      </x:c>
      <x:c r="F395" s="20" t="n">
        <x:v>1</x:v>
      </x:c>
      <x:c r="G395" s="20" t="str">
        <x:v>XX690</x:v>
      </x:c>
      <x:c r="H395" s="20" t="str">
        <x:v>王城前垒</x:v>
      </x:c>
      <x:c r="I395" s="20" t="str">
        <x:v>外垒铆甲兵</x:v>
      </x:c>
      <x:c r="J395" s="20" t="str">
        <x:v>黄色</x:v>
      </x:c>
      <x:c r="K395" s="20" t="str">
        <x:v>普通</x:v>
      </x:c>
      <x:c r="L395" s="20" t="str">
        <x:v>人形</x:v>
      </x:c>
      <x:c r="M395" s="20" t="str">
        <x:v>重装</x:v>
      </x:c>
      <x:c r="N395" s="20" t="str">
        <x:v>铆甲兵垒盾</x:v>
      </x:c>
      <x:c r="O395" s="20" t="str">
        <x:v>盾牌</x:v>
      </x:c>
      <x:c r="P395" s="20" t="str">
        <x:v>黄金叶脉</x:v>
      </x:c>
      <x:c r="Q395" s="20" t="str"/>
      <x:c r="R395" s="20" t="str">
        <x:v>金叶驿票</x:v>
      </x:c>
      <x:c r="S395" s="20" t="str">
        <x:v>古坛鎏叶髓</x:v>
      </x:c>
      <x:c r="T395" s="20" t="str">
        <x:v>否</x:v>
      </x:c>
      <x:c r="U395" s="20" t="str">
        <x:v>是（公共奖池）</x:v>
      </x:c>
      <x:c r="V395" s="22" t="str">
        <x:v>结构定稿</x:v>
      </x:c>
      <x:c r="W395" s="36" t="str">
        <x:v>用户自行分配／本表不处理</x:v>
      </x:c>
      <x:c r="X395" s="33" t="n">
        <x:v>5998</x:v>
      </x:c>
      <x:c r="Y395" s="29" t="str">
        <x:v>后期统一平衡</x:v>
      </x:c>
      <x:c r="Z395" s="20" t="str">
        <x:v>一怪一专属；专属来源跟随本行准确地图号</x:v>
      </x:c>
    </x:row>
    <x:row r="396" ht="24" customHeight="1">
      <x:c r="A396" s="20" t="str">
        <x:v>C09-M050</x:v>
      </x:c>
      <x:c r="B396" s="20" t="str">
        <x:v>C09</x:v>
      </x:c>
      <x:c r="C396" s="20" t="str">
        <x:v>亚坛高原</x:v>
      </x:c>
      <x:c r="D396" s="20" t="n">
        <x:v>5</x:v>
      </x:c>
      <x:c r="E396" s="20" t="str">
        <x:v>王城前垒</x:v>
      </x:c>
      <x:c r="F396" s="20" t="n">
        <x:v>1</x:v>
      </x:c>
      <x:c r="G396" s="20" t="str">
        <x:v>XX690</x:v>
      </x:c>
      <x:c r="H396" s="20" t="str">
        <x:v>王城前垒</x:v>
      </x:c>
      <x:c r="I396" s="20" t="str">
        <x:v>城前拾箭童</x:v>
      </x:c>
      <x:c r="J396" s="20" t="str">
        <x:v>黄色</x:v>
      </x:c>
      <x:c r="K396" s="20" t="str">
        <x:v>普通</x:v>
      </x:c>
      <x:c r="L396" s="20" t="str">
        <x:v>人形</x:v>
      </x:c>
      <x:c r="M396" s="20" t="str">
        <x:v>敏捷</x:v>
      </x:c>
      <x:c r="N396" s="20" t="str">
        <x:v>拾箭童疾履</x:v>
      </x:c>
      <x:c r="O396" s="20" t="str">
        <x:v>鞋子</x:v>
      </x:c>
      <x:c r="P396" s="20" t="str">
        <x:v>黄金叶脉</x:v>
      </x:c>
      <x:c r="Q396" s="20" t="str"/>
      <x:c r="R396" s="20" t="str">
        <x:v>金叶驿票</x:v>
      </x:c>
      <x:c r="S396" s="20" t="str">
        <x:v>古坛鎏叶髓</x:v>
      </x:c>
      <x:c r="T396" s="20" t="str">
        <x:v>否</x:v>
      </x:c>
      <x:c r="U396" s="20" t="str">
        <x:v>是（公共奖池）</x:v>
      </x:c>
      <x:c r="V396" s="22" t="str">
        <x:v>结构定稿</x:v>
      </x:c>
      <x:c r="W396" s="36" t="str">
        <x:v>用户自行分配／本表不处理</x:v>
      </x:c>
      <x:c r="X396" s="33" t="n">
        <x:v>5982</x:v>
      </x:c>
      <x:c r="Y396" s="29" t="str">
        <x:v>后期统一平衡</x:v>
      </x:c>
      <x:c r="Z396" s="20" t="str">
        <x:v>一怪一专属；专属来源跟随本行准确地图号</x:v>
      </x:c>
    </x:row>
    <x:row r="397" ht="24" customHeight="1">
      <x:c r="A397" s="20" t="str">
        <x:v>C09-M051</x:v>
      </x:c>
      <x:c r="B397" s="20" t="str">
        <x:v>C09</x:v>
      </x:c>
      <x:c r="C397" s="20" t="str">
        <x:v>亚坛高原</x:v>
      </x:c>
      <x:c r="D397" s="20" t="n">
        <x:v>5</x:v>
      </x:c>
      <x:c r="E397" s="20" t="str">
        <x:v>王城前垒</x:v>
      </x:c>
      <x:c r="F397" s="20" t="n">
        <x:v>2</x:v>
      </x:c>
      <x:c r="G397" s="20" t="str">
        <x:v>XX691</x:v>
      </x:c>
      <x:c r="H397" s="20" t="str">
        <x:v>外垒甬道</x:v>
      </x:c>
      <x:c r="I397" s="20" t="str">
        <x:v>甬道持炬枪卒</x:v>
      </x:c>
      <x:c r="J397" s="20" t="str">
        <x:v>黄色</x:v>
      </x:c>
      <x:c r="K397" s="20" t="str">
        <x:v>普通</x:v>
      </x:c>
      <x:c r="L397" s="20" t="str">
        <x:v>人形</x:v>
      </x:c>
      <x:c r="M397" s="20" t="str">
        <x:v>近战</x:v>
      </x:c>
      <x:c r="N397" s="20" t="str">
        <x:v>持炬枪卒矛</x:v>
      </x:c>
      <x:c r="O397" s="20" t="str">
        <x:v>武器</x:v>
      </x:c>
      <x:c r="P397" s="20" t="str">
        <x:v>黄金叶脉</x:v>
      </x:c>
      <x:c r="Q397" s="20" t="str"/>
      <x:c r="R397" s="20" t="str">
        <x:v>金叶驿票</x:v>
      </x:c>
      <x:c r="S397" s="20" t="str">
        <x:v>古坛鎏叶髓</x:v>
      </x:c>
      <x:c r="T397" s="20" t="str">
        <x:v>否</x:v>
      </x:c>
      <x:c r="U397" s="20" t="str">
        <x:v>是（公共奖池）</x:v>
      </x:c>
      <x:c r="V397" s="22" t="str">
        <x:v>结构定稿</x:v>
      </x:c>
      <x:c r="W397" s="36" t="str">
        <x:v>用户自行分配／本表不处理</x:v>
      </x:c>
      <x:c r="X397" s="34" t="str">
        <x:v>缺武器来源码</x:v>
      </x:c>
      <x:c r="Y397" s="29" t="str">
        <x:v>后期统一平衡</x:v>
      </x:c>
      <x:c r="Z397" s="20" t="str">
        <x:v>一怪一专属；专属来源跟随本行准确地图号</x:v>
      </x:c>
    </x:row>
    <x:row r="398" ht="24" customHeight="1">
      <x:c r="A398" s="20" t="str">
        <x:v>C09-M052</x:v>
      </x:c>
      <x:c r="B398" s="20" t="str">
        <x:v>C09</x:v>
      </x:c>
      <x:c r="C398" s="20" t="str">
        <x:v>亚坛高原</x:v>
      </x:c>
      <x:c r="D398" s="20" t="n">
        <x:v>5</x:v>
      </x:c>
      <x:c r="E398" s="20" t="str">
        <x:v>王城前垒</x:v>
      </x:c>
      <x:c r="F398" s="20" t="n">
        <x:v>3</x:v>
      </x:c>
      <x:c r="G398" s="20" t="str">
        <x:v>XX689</x:v>
      </x:c>
      <x:c r="H398" s="20" t="str">
        <x:v>驻军庭院</x:v>
      </x:c>
      <x:c r="I398" s="20" t="str">
        <x:v>驻军庭院炊兵</x:v>
      </x:c>
      <x:c r="J398" s="20" t="str">
        <x:v>黄色</x:v>
      </x:c>
      <x:c r="K398" s="20" t="str">
        <x:v>普通</x:v>
      </x:c>
      <x:c r="L398" s="20" t="str">
        <x:v>人形</x:v>
      </x:c>
      <x:c r="M398" s="20" t="str">
        <x:v>辅助</x:v>
      </x:c>
      <x:c r="N398" s="20" t="str">
        <x:v>炊兵铁勺镯</x:v>
      </x:c>
      <x:c r="O398" s="20" t="str">
        <x:v>手镯</x:v>
      </x:c>
      <x:c r="P398" s="20" t="str">
        <x:v>黄金叶脉</x:v>
      </x:c>
      <x:c r="Q398" s="20" t="str"/>
      <x:c r="R398" s="20" t="str">
        <x:v>金叶驿票</x:v>
      </x:c>
      <x:c r="S398" s="20" t="str">
        <x:v>古坛鎏叶髓</x:v>
      </x:c>
      <x:c r="T398" s="20" t="str">
        <x:v>否</x:v>
      </x:c>
      <x:c r="U398" s="20" t="str">
        <x:v>是（公共奖池）</x:v>
      </x:c>
      <x:c r="V398" s="22" t="str">
        <x:v>结构定稿</x:v>
      </x:c>
      <x:c r="W398" s="36" t="str">
        <x:v>用户自行分配／本表不处理</x:v>
      </x:c>
      <x:c r="X398" s="33" t="n">
        <x:v>5996</x:v>
      </x:c>
      <x:c r="Y398" s="29" t="str">
        <x:v>后期统一平衡</x:v>
      </x:c>
      <x:c r="Z398" s="20" t="str">
        <x:v>一怪一专属；专属来源跟随本行准确地图号</x:v>
      </x:c>
    </x:row>
    <x:row r="399" ht="24" customHeight="1">
      <x:c r="A399" s="20" t="str">
        <x:v>C09-M053</x:v>
      </x:c>
      <x:c r="B399" s="20" t="str">
        <x:v>C09</x:v>
      </x:c>
      <x:c r="C399" s="20" t="str">
        <x:v>亚坛高原</x:v>
      </x:c>
      <x:c r="D399" s="20" t="n">
        <x:v>5</x:v>
      </x:c>
      <x:c r="E399" s="20" t="str">
        <x:v>王城前垒</x:v>
      </x:c>
      <x:c r="F399" s="20" t="n">
        <x:v>4</x:v>
      </x:c>
      <x:c r="G399" s="20" t="str">
        <x:v>XX688</x:v>
      </x:c>
      <x:c r="H399" s="20" t="str">
        <x:v>黄金壁垒</x:v>
      </x:c>
      <x:c r="I399" s="20" t="str">
        <x:v>黄金壁垒号手</x:v>
      </x:c>
      <x:c r="J399" s="20" t="str">
        <x:v>黄色</x:v>
      </x:c>
      <x:c r="K399" s="20" t="str">
        <x:v>普通</x:v>
      </x:c>
      <x:c r="L399" s="20" t="str">
        <x:v>人形</x:v>
      </x:c>
      <x:c r="M399" s="20" t="str">
        <x:v>远程</x:v>
      </x:c>
      <x:c r="N399" s="20" t="str">
        <x:v>壁垒号手盔</x:v>
      </x:c>
      <x:c r="O399" s="20" t="str">
        <x:v>头盔</x:v>
      </x:c>
      <x:c r="P399" s="20" t="str">
        <x:v>黄金叶脉</x:v>
      </x:c>
      <x:c r="Q399" s="20" t="str"/>
      <x:c r="R399" s="20" t="str">
        <x:v>金叶驿票</x:v>
      </x:c>
      <x:c r="S399" s="20" t="str">
        <x:v>古坛鎏叶髓</x:v>
      </x:c>
      <x:c r="T399" s="20" t="str">
        <x:v>否</x:v>
      </x:c>
      <x:c r="U399" s="20" t="str">
        <x:v>是（公共奖池）</x:v>
      </x:c>
      <x:c r="V399" s="22" t="str">
        <x:v>结构定稿</x:v>
      </x:c>
      <x:c r="W399" s="36" t="str">
        <x:v>用户自行分配／本表不处理</x:v>
      </x:c>
      <x:c r="X399" s="33" t="n">
        <x:v>6058</x:v>
      </x:c>
      <x:c r="Y399" s="29" t="str">
        <x:v>后期统一平衡</x:v>
      </x:c>
      <x:c r="Z399" s="20" t="str">
        <x:v>一怪一专属；专属来源跟随本行准确地图号</x:v>
      </x:c>
    </x:row>
    <x:row r="400" ht="24" customHeight="1">
      <x:c r="A400" s="20" t="str">
        <x:v>C09-M054</x:v>
      </x:c>
      <x:c r="B400" s="20" t="str">
        <x:v>C09</x:v>
      </x:c>
      <x:c r="C400" s="20" t="str">
        <x:v>亚坛高原</x:v>
      </x:c>
      <x:c r="D400" s="20" t="n">
        <x:v>5</x:v>
      </x:c>
      <x:c r="E400" s="20" t="str">
        <x:v>王城前垒</x:v>
      </x:c>
      <x:c r="F400" s="20" t="n">
        <x:v>5</x:v>
      </x:c>
      <x:c r="G400" s="20" t="str">
        <x:v>XX639</x:v>
      </x:c>
      <x:c r="H400" s="20" t="str">
        <x:v>罗德尔关门</x:v>
      </x:c>
      <x:c r="I400" s="20" t="str">
        <x:v>关门锁链卫</x:v>
      </x:c>
      <x:c r="J400" s="20" t="str">
        <x:v>黄色</x:v>
      </x:c>
      <x:c r="K400" s="20" t="str">
        <x:v>普通</x:v>
      </x:c>
      <x:c r="L400" s="20" t="str">
        <x:v>人形</x:v>
      </x:c>
      <x:c r="M400" s="20" t="str">
        <x:v>重装</x:v>
      </x:c>
      <x:c r="N400" s="20" t="str">
        <x:v>锁链关门甲</x:v>
      </x:c>
      <x:c r="O400" s="20" t="str">
        <x:v>衣服</x:v>
      </x:c>
      <x:c r="P400" s="20" t="str">
        <x:v>黄金叶脉</x:v>
      </x:c>
      <x:c r="Q400" s="20" t="str"/>
      <x:c r="R400" s="20" t="str">
        <x:v>金叶驿票</x:v>
      </x:c>
      <x:c r="S400" s="20" t="str">
        <x:v>古坛鎏叶髓</x:v>
      </x:c>
      <x:c r="T400" s="20" t="str">
        <x:v>否</x:v>
      </x:c>
      <x:c r="U400" s="20" t="str">
        <x:v>是（公共奖池）</x:v>
      </x:c>
      <x:c r="V400" s="22" t="str">
        <x:v>结构定稿</x:v>
      </x:c>
      <x:c r="W400" s="36" t="str">
        <x:v>用户自行分配／本表不处理</x:v>
      </x:c>
      <x:c r="X400" s="34" t="str">
        <x:v>缺衣服来源码</x:v>
      </x:c>
      <x:c r="Y400" s="29" t="str">
        <x:v>后期统一平衡</x:v>
      </x:c>
      <x:c r="Z400" s="20" t="str">
        <x:v>一怪一专属；专属来源跟随本行准确地图号</x:v>
      </x:c>
    </x:row>
    <x:row r="401" ht="24" customHeight="1">
      <x:c r="A401" s="20" t="str">
        <x:v>C09-M055</x:v>
      </x:c>
      <x:c r="B401" s="20" t="str">
        <x:v>C09</x:v>
      </x:c>
      <x:c r="C401" s="20" t="str">
        <x:v>亚坛高原</x:v>
      </x:c>
      <x:c r="D401" s="20" t="n">
        <x:v>5</x:v>
      </x:c>
      <x:c r="E401" s="20" t="str">
        <x:v>王城前垒</x:v>
      </x:c>
      <x:c r="F401" s="20" t="n">
        <x:v>2</x:v>
      </x:c>
      <x:c r="G401" s="20" t="str">
        <x:v>XX691</x:v>
      </x:c>
      <x:c r="H401" s="20" t="str">
        <x:v>外垒甬道</x:v>
      </x:c>
      <x:c r="I401" s="20" t="str">
        <x:v>甬道潜旗客</x:v>
      </x:c>
      <x:c r="J401" s="20" t="str">
        <x:v>蓝色</x:v>
      </x:c>
      <x:c r="K401" s="20" t="str">
        <x:v>稀有</x:v>
      </x:c>
      <x:c r="L401" s="20" t="str">
        <x:v>人形</x:v>
      </x:c>
      <x:c r="M401" s="20" t="str">
        <x:v>敏捷</x:v>
      </x:c>
      <x:c r="N401" s="20" t="str">
        <x:v>潜旗客灰翎笠</x:v>
      </x:c>
      <x:c r="O401" s="20" t="str">
        <x:v>斗笠</x:v>
      </x:c>
      <x:c r="P401" s="20" t="str">
        <x:v>黄金叶脉</x:v>
      </x:c>
      <x:c r="Q401" s="20" t="str">
        <x:v>古王律页</x:v>
      </x:c>
      <x:c r="R401" s="20" t="str">
        <x:v>矿脉灯芯</x:v>
      </x:c>
      <x:c r="S401" s="20" t="str">
        <x:v>古坛鎏叶髓</x:v>
      </x:c>
      <x:c r="T401" s="20" t="str">
        <x:v>否</x:v>
      </x:c>
      <x:c r="U401" s="20" t="str">
        <x:v>是（公共奖池）</x:v>
      </x:c>
      <x:c r="V401" s="22" t="str">
        <x:v>结构定稿</x:v>
      </x:c>
      <x:c r="W401" s="36" t="str">
        <x:v>用户自行分配／本表不处理</x:v>
      </x:c>
      <x:c r="X401" s="33" t="n">
        <x:v>6890</x:v>
      </x:c>
      <x:c r="Y401" s="29" t="str">
        <x:v>后期统一平衡</x:v>
      </x:c>
      <x:c r="Z401" s="20" t="str">
        <x:v>一怪一专属；专属来源跟随本行准确地图号</x:v>
      </x:c>
    </x:row>
    <x:row r="402" ht="24" customHeight="1">
      <x:c r="A402" s="20" t="str">
        <x:v>C09-M056</x:v>
      </x:c>
      <x:c r="B402" s="20" t="str">
        <x:v>C09</x:v>
      </x:c>
      <x:c r="C402" s="20" t="str">
        <x:v>亚坛高原</x:v>
      </x:c>
      <x:c r="D402" s="20" t="n">
        <x:v>5</x:v>
      </x:c>
      <x:c r="E402" s="20" t="str">
        <x:v>王城前垒</x:v>
      </x:c>
      <x:c r="F402" s="20" t="n">
        <x:v>3</x:v>
      </x:c>
      <x:c r="G402" s="20" t="str">
        <x:v>XX689</x:v>
      </x:c>
      <x:c r="H402" s="20" t="str">
        <x:v>驻军庭院</x:v>
      </x:c>
      <x:c r="I402" s="20" t="str">
        <x:v>庭院百战旗官</x:v>
      </x:c>
      <x:c r="J402" s="20" t="str">
        <x:v>蓝色</x:v>
      </x:c>
      <x:c r="K402" s="20" t="str">
        <x:v>稀有</x:v>
      </x:c>
      <x:c r="L402" s="20" t="str">
        <x:v>人形</x:v>
      </x:c>
      <x:c r="M402" s="20" t="str">
        <x:v>近战</x:v>
      </x:c>
      <x:c r="N402" s="20" t="str">
        <x:v>百战旗官带</x:v>
      </x:c>
      <x:c r="O402" s="20" t="str">
        <x:v>腰带</x:v>
      </x:c>
      <x:c r="P402" s="20" t="str">
        <x:v>黄金叶脉</x:v>
      </x:c>
      <x:c r="Q402" s="20" t="str">
        <x:v>古王律页</x:v>
      </x:c>
      <x:c r="R402" s="20" t="str">
        <x:v>矿脉灯芯</x:v>
      </x:c>
      <x:c r="S402" s="20" t="str">
        <x:v>古坛鎏叶髓</x:v>
      </x:c>
      <x:c r="T402" s="20" t="str">
        <x:v>否</x:v>
      </x:c>
      <x:c r="U402" s="20" t="str">
        <x:v>是（公共奖池）</x:v>
      </x:c>
      <x:c r="V402" s="22" t="str">
        <x:v>结构定稿</x:v>
      </x:c>
      <x:c r="W402" s="36" t="str">
        <x:v>用户自行分配／本表不处理</x:v>
      </x:c>
      <x:c r="X402" s="33" t="n">
        <x:v>5983</x:v>
      </x:c>
      <x:c r="Y402" s="29" t="str">
        <x:v>后期统一平衡</x:v>
      </x:c>
      <x:c r="Z402" s="20" t="str">
        <x:v>一怪一专属；专属来源跟随本行准确地图号</x:v>
      </x:c>
    </x:row>
    <x:row r="403" ht="24" customHeight="1">
      <x:c r="A403" s="20" t="str">
        <x:v>C09-M057</x:v>
      </x:c>
      <x:c r="B403" s="20" t="str">
        <x:v>C09</x:v>
      </x:c>
      <x:c r="C403" s="20" t="str">
        <x:v>亚坛高原</x:v>
      </x:c>
      <x:c r="D403" s="20" t="n">
        <x:v>5</x:v>
      </x:c>
      <x:c r="E403" s="20" t="str">
        <x:v>王城前垒</x:v>
      </x:c>
      <x:c r="F403" s="20" t="n">
        <x:v>4</x:v>
      </x:c>
      <x:c r="G403" s="20" t="str">
        <x:v>XX688</x:v>
      </x:c>
      <x:c r="H403" s="20" t="str">
        <x:v>黄金壁垒</x:v>
      </x:c>
      <x:c r="I403" s="20" t="str">
        <x:v>壁垒鎏甲骑士</x:v>
      </x:c>
      <x:c r="J403" s="20" t="str">
        <x:v>蓝色</x:v>
      </x:c>
      <x:c r="K403" s="20" t="str">
        <x:v>稀有</x:v>
      </x:c>
      <x:c r="L403" s="20" t="str">
        <x:v>人形</x:v>
      </x:c>
      <x:c r="M403" s="20" t="str">
        <x:v>重装</x:v>
      </x:c>
      <x:c r="N403" s="20" t="str">
        <x:v>鎏甲骑士坠</x:v>
      </x:c>
      <x:c r="O403" s="20" t="str">
        <x:v>项链</x:v>
      </x:c>
      <x:c r="P403" s="20" t="str">
        <x:v>黄金叶脉</x:v>
      </x:c>
      <x:c r="Q403" s="20" t="str">
        <x:v>古王律页</x:v>
      </x:c>
      <x:c r="R403" s="20" t="str">
        <x:v>矿脉灯芯</x:v>
      </x:c>
      <x:c r="S403" s="20" t="str">
        <x:v>古坛鎏叶髓</x:v>
      </x:c>
      <x:c r="T403" s="20" t="str">
        <x:v>否</x:v>
      </x:c>
      <x:c r="U403" s="20" t="str">
        <x:v>是（公共奖池）</x:v>
      </x:c>
      <x:c r="V403" s="22" t="str">
        <x:v>结构定稿</x:v>
      </x:c>
      <x:c r="W403" s="36" t="str">
        <x:v>用户自行分配／本表不处理</x:v>
      </x:c>
      <x:c r="X403" s="33" t="n">
        <x:v>6039</x:v>
      </x:c>
      <x:c r="Y403" s="29" t="str">
        <x:v>后期统一平衡</x:v>
      </x:c>
      <x:c r="Z403" s="20" t="str">
        <x:v>一怪一专属；专属来源跟随本行准确地图号</x:v>
      </x:c>
    </x:row>
    <x:row r="404" ht="24" customHeight="1">
      <x:c r="A404" s="20" t="str">
        <x:v>C09-M058</x:v>
      </x:c>
      <x:c r="B404" s="20" t="str">
        <x:v>C09</x:v>
      </x:c>
      <x:c r="C404" s="20" t="str">
        <x:v>亚坛高原</x:v>
      </x:c>
      <x:c r="D404" s="20" t="n">
        <x:v>5</x:v>
      </x:c>
      <x:c r="E404" s="20" t="str">
        <x:v>王城前垒</x:v>
      </x:c>
      <x:c r="F404" s="20" t="n">
        <x:v>5</x:v>
      </x:c>
      <x:c r="G404" s="20" t="str">
        <x:v>XX639</x:v>
      </x:c>
      <x:c r="H404" s="20" t="str">
        <x:v>罗德尔关门</x:v>
      </x:c>
      <x:c r="I404" s="20" t="str">
        <x:v>罗德尔守门卜者</x:v>
      </x:c>
      <x:c r="J404" s="20" t="str">
        <x:v>蓝色</x:v>
      </x:c>
      <x:c r="K404" s="20" t="str">
        <x:v>稀有</x:v>
      </x:c>
      <x:c r="L404" s="20" t="str">
        <x:v>人形</x:v>
      </x:c>
      <x:c r="M404" s="20" t="str">
        <x:v>法术</x:v>
      </x:c>
      <x:c r="N404" s="20" t="str">
        <x:v>守门卜者戒</x:v>
      </x:c>
      <x:c r="O404" s="20" t="str">
        <x:v>戒指</x:v>
      </x:c>
      <x:c r="P404" s="20" t="str">
        <x:v>黄金叶脉</x:v>
      </x:c>
      <x:c r="Q404" s="20" t="str">
        <x:v>古王律页</x:v>
      </x:c>
      <x:c r="R404" s="20" t="str">
        <x:v>矿脉灯芯</x:v>
      </x:c>
      <x:c r="S404" s="20" t="str">
        <x:v>古坛鎏叶髓</x:v>
      </x:c>
      <x:c r="T404" s="20" t="str">
        <x:v>否</x:v>
      </x:c>
      <x:c r="U404" s="20" t="str">
        <x:v>是（公共奖池）</x:v>
      </x:c>
      <x:c r="V404" s="22" t="str">
        <x:v>结构定稿</x:v>
      </x:c>
      <x:c r="W404" s="36" t="str">
        <x:v>用户自行分配／本表不处理</x:v>
      </x:c>
      <x:c r="X404" s="33" t="n">
        <x:v>6033</x:v>
      </x:c>
      <x:c r="Y404" s="29" t="str">
        <x:v>后期统一平衡</x:v>
      </x:c>
      <x:c r="Z404" s="20" t="str">
        <x:v>一怪一专属；专属来源跟随本行准确地图号</x:v>
      </x:c>
    </x:row>
    <x:row r="405" ht="24" customHeight="1">
      <x:c r="A405" s="20" t="str">
        <x:v>C09-M059</x:v>
      </x:c>
      <x:c r="B405" s="20" t="str">
        <x:v>C09</x:v>
      </x:c>
      <x:c r="C405" s="20" t="str">
        <x:v>亚坛高原</x:v>
      </x:c>
      <x:c r="D405" s="20" t="n">
        <x:v>5</x:v>
      </x:c>
      <x:c r="E405" s="20" t="str">
        <x:v>王城前垒</x:v>
      </x:c>
      <x:c r="F405" s="20" t="n">
        <x:v>4</x:v>
      </x:c>
      <x:c r="G405" s="20" t="str">
        <x:v>XX688</x:v>
      </x:c>
      <x:c r="H405" s="20" t="str">
        <x:v>黄金壁垒</x:v>
      </x:c>
      <x:c r="I405" s="20" t="str">
        <x:v>黄金壁垒统帅·罗梵迪</x:v>
      </x:c>
      <x:c r="J405" s="20" t="str">
        <x:v>粉色</x:v>
      </x:c>
      <x:c r="K405" s="20" t="str">
        <x:v>地图BOSS</x:v>
      </x:c>
      <x:c r="L405" s="20" t="str">
        <x:v>人形</x:v>
      </x:c>
      <x:c r="M405" s="20" t="str">
        <x:v>首领</x:v>
      </x:c>
      <x:c r="N405" s="20" t="str">
        <x:v>罗梵迪壁垒长戟</x:v>
      </x:c>
      <x:c r="O405" s="20" t="str">
        <x:v>武器</x:v>
      </x:c>
      <x:c r="P405" s="20" t="str">
        <x:v>黄金叶脉</x:v>
      </x:c>
      <x:c r="Q405" s="20" t="str">
        <x:v>古王律页＋黄金律印</x:v>
      </x:c>
      <x:c r="R405" s="20" t="str">
        <x:v>裁文蜡封</x:v>
      </x:c>
      <x:c r="S405" s="20" t="str">
        <x:v>古坛鎏叶髓</x:v>
      </x:c>
      <x:c r="T405" s="20" t="str">
        <x:v>是（独立奖池）</x:v>
      </x:c>
      <x:c r="U405" s="20" t="str">
        <x:v>是（公共奖池）</x:v>
      </x:c>
      <x:c r="V405" s="22" t="str">
        <x:v>结构定稿</x:v>
      </x:c>
      <x:c r="W405" s="36" t="str">
        <x:v>用户自行分配／本表不处理</x:v>
      </x:c>
      <x:c r="X405" s="34" t="str">
        <x:v>缺武器来源码</x:v>
      </x:c>
      <x:c r="Y405" s="29" t="str">
        <x:v>后期统一平衡</x:v>
      </x:c>
      <x:c r="Z405" s="20" t="str">
        <x:v>一怪一专属；专属来源跟随本行准确地图号</x:v>
      </x:c>
    </x:row>
    <x:row r="406" ht="24" customHeight="1">
      <x:c r="A406" s="20" t="str">
        <x:v>C09-M060</x:v>
      </x:c>
      <x:c r="B406" s="20" t="str">
        <x:v>C09</x:v>
      </x:c>
      <x:c r="C406" s="20" t="str">
        <x:v>亚坛高原</x:v>
      </x:c>
      <x:c r="D406" s="20" t="n">
        <x:v>5</x:v>
      </x:c>
      <x:c r="E406" s="20" t="str">
        <x:v>王城前垒</x:v>
      </x:c>
      <x:c r="F406" s="20" t="n">
        <x:v>5</x:v>
      </x:c>
      <x:c r="G406" s="20" t="str">
        <x:v>XX639</x:v>
      </x:c>
      <x:c r="H406" s="20" t="str">
        <x:v>罗德尔关门</x:v>
      </x:c>
      <x:c r="I406" s="20" t="str">
        <x:v>王门执宪者·赫桑达</x:v>
      </x:c>
      <x:c r="J406" s="20" t="str">
        <x:v>粉色</x:v>
      </x:c>
      <x:c r="K406" s="20" t="str">
        <x:v>地图BOSS</x:v>
      </x:c>
      <x:c r="L406" s="20" t="str">
        <x:v>人形</x:v>
      </x:c>
      <x:c r="M406" s="20" t="str">
        <x:v>首领</x:v>
      </x:c>
      <x:c r="N406" s="20" t="str">
        <x:v>赫桑达执宪战衣</x:v>
      </x:c>
      <x:c r="O406" s="20" t="str">
        <x:v>衣服</x:v>
      </x:c>
      <x:c r="P406" s="20" t="str">
        <x:v>黄金叶脉</x:v>
      </x:c>
      <x:c r="Q406" s="20" t="str">
        <x:v>古王律页＋黄金律印</x:v>
      </x:c>
      <x:c r="R406" s="20" t="str">
        <x:v>裁文蜡封</x:v>
      </x:c>
      <x:c r="S406" s="20" t="str">
        <x:v>古坛鎏叶髓</x:v>
      </x:c>
      <x:c r="T406" s="20" t="str">
        <x:v>是（独立奖池）</x:v>
      </x:c>
      <x:c r="U406" s="20" t="str">
        <x:v>是（公共奖池）</x:v>
      </x:c>
      <x:c r="V406" s="22" t="str">
        <x:v>结构定稿</x:v>
      </x:c>
      <x:c r="W406" s="36" t="str">
        <x:v>用户自行分配／本表不处理</x:v>
      </x:c>
      <x:c r="X406" s="34" t="str">
        <x:v>缺衣服来源码</x:v>
      </x:c>
      <x:c r="Y406" s="29" t="str">
        <x:v>后期统一平衡</x:v>
      </x:c>
      <x:c r="Z406" s="20" t="str">
        <x:v>一怪一专属；专属来源跟随本行准确地图号</x:v>
      </x:c>
    </x:row>
    <x:row r="407" ht="24" customHeight="1">
      <x:c r="A407" s="20" t="str">
        <x:v>C09-M061</x:v>
      </x:c>
      <x:c r="B407" s="20" t="str">
        <x:v>C09</x:v>
      </x:c>
      <x:c r="C407" s="20" t="str">
        <x:v>亚坛高原</x:v>
      </x:c>
      <x:c r="D407" s="20" t="n">
        <x:v>5</x:v>
      </x:c>
      <x:c r="E407" s="20" t="str">
        <x:v>王城前垒</x:v>
      </x:c>
      <x:c r="F407" s="20" t="n">
        <x:v>5</x:v>
      </x:c>
      <x:c r="G407" s="20" t="str">
        <x:v>XX639</x:v>
      </x:c>
      <x:c r="H407" s="20" t="str">
        <x:v>罗德尔关门</x:v>
      </x:c>
      <x:c r="I407" s="20" t="str">
        <x:v>鎏日王城之影·阿尔维萨</x:v>
      </x:c>
      <x:c r="J407" s="20" t="str">
        <x:v>红色</x:v>
      </x:c>
      <x:c r="K407" s="20" t="str">
        <x:v>守关BOSS</x:v>
      </x:c>
      <x:c r="L407" s="20" t="str">
        <x:v>人形</x:v>
      </x:c>
      <x:c r="M407" s="20" t="str">
        <x:v>首领</x:v>
      </x:c>
      <x:c r="N407" s="20" t="str">
        <x:v>阿尔维萨蚀日王刃</x:v>
      </x:c>
      <x:c r="O407" s="20" t="str">
        <x:v>武器</x:v>
      </x:c>
      <x:c r="P407" s="20" t="str">
        <x:v>黄金叶脉</x:v>
      </x:c>
      <x:c r="Q407" s="20" t="str">
        <x:v>古王律页＋黄金律印</x:v>
      </x:c>
      <x:c r="R407" s="20" t="str">
        <x:v>高原王诏金版</x:v>
      </x:c>
      <x:c r="S407" s="20" t="str">
        <x:v>古坛鎏叶髓</x:v>
      </x:c>
      <x:c r="T407" s="20" t="str">
        <x:v>是（独立奖池）</x:v>
      </x:c>
      <x:c r="U407" s="20" t="str">
        <x:v>是（公共奖池）</x:v>
      </x:c>
      <x:c r="V407" s="22" t="str">
        <x:v>结构定稿</x:v>
      </x:c>
      <x:c r="W407" s="36" t="str">
        <x:v>用户自行分配／本表不处理</x:v>
      </x:c>
      <x:c r="X407" s="33" t="n">
        <x:v>7026</x:v>
      </x:c>
      <x:c r="Y407" s="29" t="str">
        <x:v>后期统一平衡</x:v>
      </x:c>
      <x:c r="Z407" s="20" t="str">
        <x:v>大陆最终守关；本表不填属性、爆率和货币</x:v>
      </x:c>
    </x:row>
    <x:row r="408" ht="24" customHeight="1">
      <x:c r="A408" s="20" t="str">
        <x:v>C10-M001</x:v>
      </x:c>
      <x:c r="B408" s="20" t="str">
        <x:v>C10</x:v>
      </x:c>
      <x:c r="C408" s="20" t="str">
        <x:v>王城罗德尔</x:v>
      </x:c>
      <x:c r="D408" s="20" t="n">
        <x:v>1</x:v>
      </x:c>
      <x:c r="E408" s="20" t="str">
        <x:v>王城下城区</x:v>
      </x:c>
      <x:c r="F408" s="20" t="n">
        <x:v>1</x:v>
      </x:c>
      <x:c r="G408" s="20" t="str">
        <x:v>XX932</x:v>
      </x:c>
      <x:c r="H408" s="20" t="str">
        <x:v>王城下城区</x:v>
      </x:c>
      <x:c r="I408" s="20" t="str">
        <x:v>檐沟拾烬徒</x:v>
      </x:c>
      <x:c r="J408" s="20" t="str">
        <x:v>黄色</x:v>
      </x:c>
      <x:c r="K408" s="20" t="str">
        <x:v>普通</x:v>
      </x:c>
      <x:c r="L408" s="20" t="str">
        <x:v>下城拾荒者</x:v>
      </x:c>
      <x:c r="M408" s="20" t="str">
        <x:v>近战游击</x:v>
      </x:c>
      <x:c r="N408" s="20" t="str">
        <x:v>拾烬钩刃</x:v>
      </x:c>
      <x:c r="O408" s="20" t="str">
        <x:v>武器</x:v>
      </x:c>
      <x:c r="P408" s="20" t="str">
        <x:v>王城金屑</x:v>
      </x:c>
      <x:c r="Q408" s="20" t="str"/>
      <x:c r="R408" s="20" t="str">
        <x:v>无名墓钉</x:v>
      </x:c>
      <x:c r="S408" s="20" t="str">
        <x:v>穹律鎏痕拓片</x:v>
      </x:c>
      <x:c r="T408" s="20" t="str">
        <x:v>否</x:v>
      </x:c>
      <x:c r="U408" s="20" t="str">
        <x:v>是（公共奖池）</x:v>
      </x:c>
      <x:c r="V408" s="22" t="str">
        <x:v>结构定稿</x:v>
      </x:c>
      <x:c r="W408" s="36" t="str">
        <x:v>用户自行分配／本表不处理</x:v>
      </x:c>
      <x:c r="X408" s="34" t="str">
        <x:v>缺武器来源码</x:v>
      </x:c>
      <x:c r="Y408" s="29" t="str">
        <x:v>后期统一平衡</x:v>
      </x:c>
      <x:c r="Z408" s="20" t="str">
        <x:v>一怪一专属；专属来源跟随本行准确地图号</x:v>
      </x:c>
    </x:row>
    <x:row r="409" ht="24" customHeight="1">
      <x:c r="A409" s="20" t="str">
        <x:v>C10-M002</x:v>
      </x:c>
      <x:c r="B409" s="20" t="str">
        <x:v>C10</x:v>
      </x:c>
      <x:c r="C409" s="20" t="str">
        <x:v>王城罗德尔</x:v>
      </x:c>
      <x:c r="D409" s="20" t="n">
        <x:v>1</x:v>
      </x:c>
      <x:c r="E409" s="20" t="str">
        <x:v>王城下城区</x:v>
      </x:c>
      <x:c r="F409" s="20" t="n">
        <x:v>1</x:v>
      </x:c>
      <x:c r="G409" s="20" t="str">
        <x:v>XX932</x:v>
      </x:c>
      <x:c r="H409" s="20" t="str">
        <x:v>王城下城区</x:v>
      </x:c>
      <x:c r="I409" s="20" t="str">
        <x:v>斑墙巡灯卒</x:v>
      </x:c>
      <x:c r="J409" s="20" t="str">
        <x:v>黄色</x:v>
      </x:c>
      <x:c r="K409" s="20" t="str">
        <x:v>普通</x:v>
      </x:c>
      <x:c r="L409" s="20" t="str">
        <x:v>下城巡卒</x:v>
      </x:c>
      <x:c r="M409" s="20" t="str">
        <x:v>远程牵制</x:v>
      </x:c>
      <x:c r="N409" s="20" t="str">
        <x:v>斑墙巡灯盔</x:v>
      </x:c>
      <x:c r="O409" s="20" t="str">
        <x:v>头盔</x:v>
      </x:c>
      <x:c r="P409" s="20" t="str">
        <x:v>王城金屑</x:v>
      </x:c>
      <x:c r="Q409" s="20" t="str"/>
      <x:c r="R409" s="20" t="str">
        <x:v>无名墓钉</x:v>
      </x:c>
      <x:c r="S409" s="20" t="str">
        <x:v>穹律鎏痕拓片</x:v>
      </x:c>
      <x:c r="T409" s="20" t="str">
        <x:v>否</x:v>
      </x:c>
      <x:c r="U409" s="20" t="str">
        <x:v>是（公共奖池）</x:v>
      </x:c>
      <x:c r="V409" s="22" t="str">
        <x:v>结构定稿</x:v>
      </x:c>
      <x:c r="W409" s="36" t="str">
        <x:v>用户自行分配／本表不处理</x:v>
      </x:c>
      <x:c r="X409" s="33" t="n">
        <x:v>6067</x:v>
      </x:c>
      <x:c r="Y409" s="29" t="str">
        <x:v>后期统一平衡</x:v>
      </x:c>
      <x:c r="Z409" s="20" t="str">
        <x:v>一怪一专属；专属来源跟随本行准确地图号</x:v>
      </x:c>
    </x:row>
    <x:row r="410" ht="24" customHeight="1">
      <x:c r="A410" s="20" t="str">
        <x:v>C10-M003</x:v>
      </x:c>
      <x:c r="B410" s="20" t="str">
        <x:v>C10</x:v>
      </x:c>
      <x:c r="C410" s="20" t="str">
        <x:v>王城罗德尔</x:v>
      </x:c>
      <x:c r="D410" s="20" t="n">
        <x:v>1</x:v>
      </x:c>
      <x:c r="E410" s="20" t="str">
        <x:v>王城下城区</x:v>
      </x:c>
      <x:c r="F410" s="20" t="n">
        <x:v>2</x:v>
      </x:c>
      <x:c r="G410" s="20" t="str">
        <x:v>XX933</x:v>
      </x:c>
      <x:c r="H410" s="20" t="str">
        <x:v>旧街暗巷</x:v>
      </x:c>
      <x:c r="I410" s="20" t="str">
        <x:v>暗巷伏砖客</x:v>
      </x:c>
      <x:c r="J410" s="20" t="str">
        <x:v>黄色</x:v>
      </x:c>
      <x:c r="K410" s="20" t="str">
        <x:v>普通</x:v>
      </x:c>
      <x:c r="L410" s="20" t="str">
        <x:v>街巷伏击者</x:v>
      </x:c>
      <x:c r="M410" s="20" t="str">
        <x:v>近战突袭</x:v>
      </x:c>
      <x:c r="N410" s="20" t="str">
        <x:v>伏砖旧革靴</x:v>
      </x:c>
      <x:c r="O410" s="20" t="str">
        <x:v>鞋子</x:v>
      </x:c>
      <x:c r="P410" s="20" t="str">
        <x:v>王城金屑</x:v>
      </x:c>
      <x:c r="Q410" s="20" t="str"/>
      <x:c r="R410" s="20" t="str">
        <x:v>无名墓钉</x:v>
      </x:c>
      <x:c r="S410" s="20" t="str">
        <x:v>穹律鎏痕拓片</x:v>
      </x:c>
      <x:c r="T410" s="20" t="str">
        <x:v>否</x:v>
      </x:c>
      <x:c r="U410" s="20" t="str">
        <x:v>是（公共奖池）</x:v>
      </x:c>
      <x:c r="V410" s="22" t="str">
        <x:v>结构定稿</x:v>
      </x:c>
      <x:c r="W410" s="36" t="str">
        <x:v>用户自行分配／本表不处理</x:v>
      </x:c>
      <x:c r="X410" s="33" t="n">
        <x:v>5991</x:v>
      </x:c>
      <x:c r="Y410" s="29" t="str">
        <x:v>后期统一平衡</x:v>
      </x:c>
      <x:c r="Z410" s="20" t="str">
        <x:v>一怪一专属；专属来源跟随本行准确地图号</x:v>
      </x:c>
    </x:row>
    <x:row r="411" ht="24" customHeight="1">
      <x:c r="A411" s="20" t="str">
        <x:v>C10-M004</x:v>
      </x:c>
      <x:c r="B411" s="20" t="str">
        <x:v>C10</x:v>
      </x:c>
      <x:c r="C411" s="20" t="str">
        <x:v>王城罗德尔</x:v>
      </x:c>
      <x:c r="D411" s="20" t="n">
        <x:v>1</x:v>
      </x:c>
      <x:c r="E411" s="20" t="str">
        <x:v>王城下城区</x:v>
      </x:c>
      <x:c r="F411" s="20" t="n">
        <x:v>2</x:v>
      </x:c>
      <x:c r="G411" s="20" t="str">
        <x:v>XX933</x:v>
      </x:c>
      <x:c r="H411" s="20" t="str">
        <x:v>旧街暗巷</x:v>
      </x:c>
      <x:c r="I411" s="20" t="str">
        <x:v>旧街缚铃犬</x:v>
      </x:c>
      <x:c r="J411" s="20" t="str">
        <x:v>黄色</x:v>
      </x:c>
      <x:c r="K411" s="20" t="str">
        <x:v>普通</x:v>
      </x:c>
      <x:c r="L411" s="20" t="str">
        <x:v>锈铃猎犬</x:v>
      </x:c>
      <x:c r="M411" s="20" t="str">
        <x:v>追击牵制</x:v>
      </x:c>
      <x:c r="N411" s="20" t="str">
        <x:v>缚铃窄项圈</x:v>
      </x:c>
      <x:c r="O411" s="20" t="str">
        <x:v>项链</x:v>
      </x:c>
      <x:c r="P411" s="20" t="str">
        <x:v>王城金屑</x:v>
      </x:c>
      <x:c r="Q411" s="20" t="str"/>
      <x:c r="R411" s="20" t="str">
        <x:v>无名墓钉</x:v>
      </x:c>
      <x:c r="S411" s="20" t="str">
        <x:v>穹律鎏痕拓片</x:v>
      </x:c>
      <x:c r="T411" s="20" t="str">
        <x:v>否</x:v>
      </x:c>
      <x:c r="U411" s="20" t="str">
        <x:v>是（公共奖池）</x:v>
      </x:c>
      <x:c r="V411" s="22" t="str">
        <x:v>结构定稿</x:v>
      </x:c>
      <x:c r="W411" s="36" t="str">
        <x:v>用户自行分配／本表不处理</x:v>
      </x:c>
      <x:c r="X411" s="33" t="n">
        <x:v>6057</x:v>
      </x:c>
      <x:c r="Y411" s="29" t="str">
        <x:v>后期统一平衡</x:v>
      </x:c>
      <x:c r="Z411" s="20" t="str">
        <x:v>一怪一专属；专属来源跟随本行准确地图号</x:v>
      </x:c>
    </x:row>
    <x:row r="412" ht="24" customHeight="1">
      <x:c r="A412" s="20" t="str">
        <x:v>C10-M005</x:v>
      </x:c>
      <x:c r="B412" s="20" t="str">
        <x:v>C10</x:v>
      </x:c>
      <x:c r="C412" s="20" t="str">
        <x:v>王城罗德尔</x:v>
      </x:c>
      <x:c r="D412" s="20" t="n">
        <x:v>1</x:v>
      </x:c>
      <x:c r="E412" s="20" t="str">
        <x:v>王城下城区</x:v>
      </x:c>
      <x:c r="F412" s="20" t="n">
        <x:v>3</x:v>
      </x:c>
      <x:c r="G412" s="20" t="str">
        <x:v>XX930</x:v>
      </x:c>
      <x:c r="H412" s="20" t="str">
        <x:v>地下闸门</x:v>
      </x:c>
      <x:c r="I412" s="20" t="str">
        <x:v>闸底淤甲工</x:v>
      </x:c>
      <x:c r="J412" s="20" t="str">
        <x:v>黄色</x:v>
      </x:c>
      <x:c r="K412" s="20" t="str">
        <x:v>普通</x:v>
      </x:c>
      <x:c r="L412" s="20" t="str">
        <x:v>闸门苦役</x:v>
      </x:c>
      <x:c r="M412" s="20" t="str">
        <x:v>前排承伤</x:v>
      </x:c>
      <x:c r="N412" s="20" t="str">
        <x:v>淤甲闸工衣</x:v>
      </x:c>
      <x:c r="O412" s="20" t="str">
        <x:v>衣服</x:v>
      </x:c>
      <x:c r="P412" s="20" t="str">
        <x:v>王城金屑</x:v>
      </x:c>
      <x:c r="Q412" s="20" t="str"/>
      <x:c r="R412" s="20" t="str">
        <x:v>无名墓钉</x:v>
      </x:c>
      <x:c r="S412" s="20" t="str">
        <x:v>穹律鎏痕拓片</x:v>
      </x:c>
      <x:c r="T412" s="20" t="str">
        <x:v>否</x:v>
      </x:c>
      <x:c r="U412" s="20" t="str">
        <x:v>是（公共奖池）</x:v>
      </x:c>
      <x:c r="V412" s="22" t="str">
        <x:v>结构定稿</x:v>
      </x:c>
      <x:c r="W412" s="36" t="str">
        <x:v>用户自行分配／本表不处理</x:v>
      </x:c>
      <x:c r="X412" s="34" t="str">
        <x:v>缺衣服来源码</x:v>
      </x:c>
      <x:c r="Y412" s="29" t="str">
        <x:v>后期统一平衡</x:v>
      </x:c>
      <x:c r="Z412" s="20" t="str">
        <x:v>一怪一专属；专属来源跟随本行准确地图号</x:v>
      </x:c>
    </x:row>
    <x:row r="413" ht="24" customHeight="1">
      <x:c r="A413" s="20" t="str">
        <x:v>C10-M006</x:v>
      </x:c>
      <x:c r="B413" s="20" t="str">
        <x:v>C10</x:v>
      </x:c>
      <x:c r="C413" s="20" t="str">
        <x:v>王城罗德尔</x:v>
      </x:c>
      <x:c r="D413" s="20" t="n">
        <x:v>1</x:v>
      </x:c>
      <x:c r="E413" s="20" t="str">
        <x:v>王城下城区</x:v>
      </x:c>
      <x:c r="F413" s="20" t="n">
        <x:v>3</x:v>
      </x:c>
      <x:c r="G413" s="20" t="str">
        <x:v>XX930</x:v>
      </x:c>
      <x:c r="H413" s="20" t="str">
        <x:v>地下闸门</x:v>
      </x:c>
      <x:c r="I413" s="20" t="str">
        <x:v>链轮守栓奴</x:v>
      </x:c>
      <x:c r="J413" s="20" t="str">
        <x:v>黄色</x:v>
      </x:c>
      <x:c r="K413" s="20" t="str">
        <x:v>普通</x:v>
      </x:c>
      <x:c r="L413" s="20" t="str">
        <x:v>机关守役</x:v>
      </x:c>
      <x:c r="M413" s="20" t="str">
        <x:v>机关压制</x:v>
      </x:c>
      <x:c r="N413" s="20" t="str">
        <x:v>链轮束腰</x:v>
      </x:c>
      <x:c r="O413" s="20" t="str">
        <x:v>腰带</x:v>
      </x:c>
      <x:c r="P413" s="20" t="str">
        <x:v>王城金屑</x:v>
      </x:c>
      <x:c r="Q413" s="20" t="str"/>
      <x:c r="R413" s="20" t="str">
        <x:v>无名墓钉</x:v>
      </x:c>
      <x:c r="S413" s="20" t="str">
        <x:v>穹律鎏痕拓片</x:v>
      </x:c>
      <x:c r="T413" s="20" t="str">
        <x:v>否</x:v>
      </x:c>
      <x:c r="U413" s="20" t="str">
        <x:v>是（公共奖池）</x:v>
      </x:c>
      <x:c r="V413" s="22" t="str">
        <x:v>结构定稿</x:v>
      </x:c>
      <x:c r="W413" s="36" t="str">
        <x:v>用户自行分配／本表不处理</x:v>
      </x:c>
      <x:c r="X413" s="33" t="n">
        <x:v>6001</x:v>
      </x:c>
      <x:c r="Y413" s="29" t="str">
        <x:v>后期统一平衡</x:v>
      </x:c>
      <x:c r="Z413" s="20" t="str">
        <x:v>一怪一专属；专属来源跟随本行准确地图号</x:v>
      </x:c>
    </x:row>
    <x:row r="414" ht="24" customHeight="1">
      <x:c r="A414" s="20" t="str">
        <x:v>C10-M007</x:v>
      </x:c>
      <x:c r="B414" s="20" t="str">
        <x:v>C10</x:v>
      </x:c>
      <x:c r="C414" s="20" t="str">
        <x:v>王城罗德尔</x:v>
      </x:c>
      <x:c r="D414" s="20" t="n">
        <x:v>1</x:v>
      </x:c>
      <x:c r="E414" s="20" t="str">
        <x:v>王城下城区</x:v>
      </x:c>
      <x:c r="F414" s="20" t="n">
        <x:v>1</x:v>
      </x:c>
      <x:c r="G414" s="20" t="str">
        <x:v>XX932</x:v>
      </x:c>
      <x:c r="H414" s="20" t="str">
        <x:v>王城下城区</x:v>
      </x:c>
      <x:c r="I414" s="20" t="str">
        <x:v>碎檐金羽鸦</x:v>
      </x:c>
      <x:c r="J414" s="20" t="str">
        <x:v>蓝色</x:v>
      </x:c>
      <x:c r="K414" s="20" t="str">
        <x:v>稀有</x:v>
      </x:c>
      <x:c r="L414" s="20" t="str">
        <x:v>腐金异鸟</x:v>
      </x:c>
      <x:c r="M414" s="20" t="str">
        <x:v>俯冲扰乱</x:v>
      </x:c>
      <x:c r="N414" s="20" t="str">
        <x:v>碎檐金羽镯</x:v>
      </x:c>
      <x:c r="O414" s="20" t="str">
        <x:v>手镯</x:v>
      </x:c>
      <x:c r="P414" s="20" t="str">
        <x:v>王城金屑</x:v>
      </x:c>
      <x:c r="Q414" s="20" t="str">
        <x:v>王宫律文</x:v>
      </x:c>
      <x:c r="R414" s="20" t="str">
        <x:v>旧渠阀芯</x:v>
      </x:c>
      <x:c r="S414" s="20" t="str">
        <x:v>穹律鎏痕拓片</x:v>
      </x:c>
      <x:c r="T414" s="20" t="str">
        <x:v>否</x:v>
      </x:c>
      <x:c r="U414" s="20" t="str">
        <x:v>是（公共奖池）</x:v>
      </x:c>
      <x:c r="V414" s="22" t="str">
        <x:v>结构定稿</x:v>
      </x:c>
      <x:c r="W414" s="36" t="str">
        <x:v>用户自行分配／本表不处理</x:v>
      </x:c>
      <x:c r="X414" s="33" t="n">
        <x:v>6005</x:v>
      </x:c>
      <x:c r="Y414" s="29" t="str">
        <x:v>后期统一平衡</x:v>
      </x:c>
      <x:c r="Z414" s="20" t="str">
        <x:v>一怪一专属；专属来源跟随本行准确地图号</x:v>
      </x:c>
    </x:row>
    <x:row r="415" ht="24" customHeight="1">
      <x:c r="A415" s="20" t="str">
        <x:v>C10-M008</x:v>
      </x:c>
      <x:c r="B415" s="20" t="str">
        <x:v>C10</x:v>
      </x:c>
      <x:c r="C415" s="20" t="str">
        <x:v>王城罗德尔</x:v>
      </x:c>
      <x:c r="D415" s="20" t="n">
        <x:v>1</x:v>
      </x:c>
      <x:c r="E415" s="20" t="str">
        <x:v>王城下城区</x:v>
      </x:c>
      <x:c r="F415" s="20" t="n">
        <x:v>1</x:v>
      </x:c>
      <x:c r="G415" s="20" t="str">
        <x:v>XX932</x:v>
      </x:c>
      <x:c r="H415" s="20" t="str">
        <x:v>王城下城区</x:v>
      </x:c>
      <x:c r="I415" s="20" t="str">
        <x:v>缄口税契吏</x:v>
      </x:c>
      <x:c r="J415" s="20" t="str">
        <x:v>蓝色</x:v>
      </x:c>
      <x:c r="K415" s="20" t="str">
        <x:v>稀有</x:v>
      </x:c>
      <x:c r="L415" s="20" t="str">
        <x:v>税吏亡魂</x:v>
      </x:c>
      <x:c r="M415" s="20" t="str">
        <x:v>咒契削弱</x:v>
      </x:c>
      <x:c r="N415" s="20" t="str">
        <x:v>缄契铅印戒</x:v>
      </x:c>
      <x:c r="O415" s="20" t="str">
        <x:v>戒指</x:v>
      </x:c>
      <x:c r="P415" s="20" t="str">
        <x:v>王城金屑</x:v>
      </x:c>
      <x:c r="Q415" s="20" t="str">
        <x:v>王宫律文</x:v>
      </x:c>
      <x:c r="R415" s="20" t="str">
        <x:v>旧渠阀芯</x:v>
      </x:c>
      <x:c r="S415" s="20" t="str">
        <x:v>穹律鎏痕拓片</x:v>
      </x:c>
      <x:c r="T415" s="20" t="str">
        <x:v>否</x:v>
      </x:c>
      <x:c r="U415" s="20" t="str">
        <x:v>是（公共奖池）</x:v>
      </x:c>
      <x:c r="V415" s="22" t="str">
        <x:v>结构定稿</x:v>
      </x:c>
      <x:c r="W415" s="36" t="str">
        <x:v>用户自行分配／本表不处理</x:v>
      </x:c>
      <x:c r="X415" s="33" t="n">
        <x:v>6042</x:v>
      </x:c>
      <x:c r="Y415" s="29" t="str">
        <x:v>后期统一平衡</x:v>
      </x:c>
      <x:c r="Z415" s="20" t="str">
        <x:v>一怪一专属；专属来源跟随本行准确地图号</x:v>
      </x:c>
    </x:row>
    <x:row r="416" ht="24" customHeight="1">
      <x:c r="A416" s="20" t="str">
        <x:v>C10-M009</x:v>
      </x:c>
      <x:c r="B416" s="20" t="str">
        <x:v>C10</x:v>
      </x:c>
      <x:c r="C416" s="20" t="str">
        <x:v>王城罗德尔</x:v>
      </x:c>
      <x:c r="D416" s="20" t="n">
        <x:v>1</x:v>
      </x:c>
      <x:c r="E416" s="20" t="str">
        <x:v>王城下城区</x:v>
      </x:c>
      <x:c r="F416" s="20" t="n">
        <x:v>2</x:v>
      </x:c>
      <x:c r="G416" s="20" t="str">
        <x:v>XX933</x:v>
      </x:c>
      <x:c r="H416" s="20" t="str">
        <x:v>旧街暗巷</x:v>
      </x:c>
      <x:c r="I416" s="20" t="str">
        <x:v>巷钟剜影者</x:v>
      </x:c>
      <x:c r="J416" s="20" t="str">
        <x:v>蓝色</x:v>
      </x:c>
      <x:c r="K416" s="20" t="str">
        <x:v>稀有</x:v>
      </x:c>
      <x:c r="L416" s="20" t="str">
        <x:v>暗巷刽手</x:v>
      </x:c>
      <x:c r="M416" s="20" t="str">
        <x:v>潜行爆发</x:v>
      </x:c>
      <x:c r="N416" s="20" t="str">
        <x:v>剜影巷钟章</x:v>
      </x:c>
      <x:c r="O416" s="20" t="str">
        <x:v>勋章</x:v>
      </x:c>
      <x:c r="P416" s="20" t="str">
        <x:v>王城金屑</x:v>
      </x:c>
      <x:c r="Q416" s="20" t="str">
        <x:v>王宫律文</x:v>
      </x:c>
      <x:c r="R416" s="20" t="str">
        <x:v>旧渠阀芯</x:v>
      </x:c>
      <x:c r="S416" s="20" t="str">
        <x:v>穹律鎏痕拓片</x:v>
      </x:c>
      <x:c r="T416" s="20" t="str">
        <x:v>否</x:v>
      </x:c>
      <x:c r="U416" s="20" t="str">
        <x:v>是（公共奖池）</x:v>
      </x:c>
      <x:c r="V416" s="22" t="str">
        <x:v>结构定稿</x:v>
      </x:c>
      <x:c r="W416" s="36" t="str">
        <x:v>用户自行分配／本表不处理</x:v>
      </x:c>
      <x:c r="X416" s="33" t="n">
        <x:v>5867</x:v>
      </x:c>
      <x:c r="Y416" s="29" t="str">
        <x:v>后期统一平衡</x:v>
      </x:c>
      <x:c r="Z416" s="20" t="str">
        <x:v>一怪一专属；专属来源跟随本行准确地图号</x:v>
      </x:c>
    </x:row>
    <x:row r="417" ht="24" customHeight="1">
      <x:c r="A417" s="20" t="str">
        <x:v>C10-M010</x:v>
      </x:c>
      <x:c r="B417" s="20" t="str">
        <x:v>C10</x:v>
      </x:c>
      <x:c r="C417" s="20" t="str">
        <x:v>王城罗德尔</x:v>
      </x:c>
      <x:c r="D417" s="20" t="n">
        <x:v>1</x:v>
      </x:c>
      <x:c r="E417" s="20" t="str">
        <x:v>王城下城区</x:v>
      </x:c>
      <x:c r="F417" s="20" t="n">
        <x:v>3</x:v>
      </x:c>
      <x:c r="G417" s="20" t="str">
        <x:v>XX930</x:v>
      </x:c>
      <x:c r="H417" s="20" t="str">
        <x:v>地下闸门</x:v>
      </x:c>
      <x:c r="I417" s="20" t="str">
        <x:v>沉闸铜面监工</x:v>
      </x:c>
      <x:c r="J417" s="20" t="str">
        <x:v>蓝色</x:v>
      </x:c>
      <x:c r="K417" s="20" t="str">
        <x:v>稀有</x:v>
      </x:c>
      <x:c r="L417" s="20" t="str">
        <x:v>闸门监工</x:v>
      </x:c>
      <x:c r="M417" s="20" t="str">
        <x:v>防守反击</x:v>
      </x:c>
      <x:c r="N417" s="20" t="str">
        <x:v>沉闸铜面盾</x:v>
      </x:c>
      <x:c r="O417" s="20" t="str">
        <x:v>盾牌</x:v>
      </x:c>
      <x:c r="P417" s="20" t="str">
        <x:v>王城金屑</x:v>
      </x:c>
      <x:c r="Q417" s="20" t="str">
        <x:v>王宫律文</x:v>
      </x:c>
      <x:c r="R417" s="20" t="str">
        <x:v>旧渠阀芯</x:v>
      </x:c>
      <x:c r="S417" s="20" t="str">
        <x:v>穹律鎏痕拓片</x:v>
      </x:c>
      <x:c r="T417" s="20" t="str">
        <x:v>否</x:v>
      </x:c>
      <x:c r="U417" s="20" t="str">
        <x:v>是（公共奖池）</x:v>
      </x:c>
      <x:c r="V417" s="22" t="str">
        <x:v>结构定稿</x:v>
      </x:c>
      <x:c r="W417" s="36" t="str">
        <x:v>用户自行分配／本表不处理</x:v>
      </x:c>
      <x:c r="X417" s="33" t="n">
        <x:v>6016</x:v>
      </x:c>
      <x:c r="Y417" s="29" t="str">
        <x:v>后期统一平衡</x:v>
      </x:c>
      <x:c r="Z417" s="20" t="str">
        <x:v>一怪一专属；专属来源跟随本行准确地图号</x:v>
      </x:c>
    </x:row>
    <x:row r="418" ht="24" customHeight="1">
      <x:c r="A418" s="20" t="str">
        <x:v>C10-M011</x:v>
      </x:c>
      <x:c r="B418" s="20" t="str">
        <x:v>C10</x:v>
      </x:c>
      <x:c r="C418" s="20" t="str">
        <x:v>王城罗德尔</x:v>
      </x:c>
      <x:c r="D418" s="20" t="n">
        <x:v>1</x:v>
      </x:c>
      <x:c r="E418" s="20" t="str">
        <x:v>王城下城区</x:v>
      </x:c>
      <x:c r="F418" s="20" t="n">
        <x:v>2</x:v>
      </x:c>
      <x:c r="G418" s="20" t="str">
        <x:v>XX933</x:v>
      </x:c>
      <x:c r="H418" s="20" t="str">
        <x:v>旧街暗巷</x:v>
      </x:c>
      <x:c r="I418" s="20" t="str">
        <x:v>灰巷的无灯侯</x:v>
      </x:c>
      <x:c r="J418" s="20" t="str">
        <x:v>粉色</x:v>
      </x:c>
      <x:c r="K418" s="20" t="str">
        <x:v>地图BOSS</x:v>
      </x:c>
      <x:c r="L418" s="20" t="str">
        <x:v>破落贵胄</x:v>
      </x:c>
      <x:c r="M418" s="20" t="str">
        <x:v>首领追猎</x:v>
      </x:c>
      <x:c r="N418" s="20" t="str">
        <x:v>无灯侯旧斗笠</x:v>
      </x:c>
      <x:c r="O418" s="20" t="str">
        <x:v>斗笠</x:v>
      </x:c>
      <x:c r="P418" s="20" t="str">
        <x:v>王城金屑</x:v>
      </x:c>
      <x:c r="Q418" s="20" t="str">
        <x:v>王宫律文＋艾尔登王印</x:v>
      </x:c>
      <x:c r="R418" s="20" t="str">
        <x:v>失温熔炉楔</x:v>
      </x:c>
      <x:c r="S418" s="20" t="str">
        <x:v>穹律鎏痕拓片</x:v>
      </x:c>
      <x:c r="T418" s="20" t="str">
        <x:v>是（独立奖池）</x:v>
      </x:c>
      <x:c r="U418" s="20" t="str">
        <x:v>是（公共奖池）</x:v>
      </x:c>
      <x:c r="V418" s="22" t="str">
        <x:v>结构定稿</x:v>
      </x:c>
      <x:c r="W418" s="36" t="str">
        <x:v>用户自行分配／本表不处理</x:v>
      </x:c>
      <x:c r="X418" s="33" t="n">
        <x:v>6925</x:v>
      </x:c>
      <x:c r="Y418" s="29" t="str">
        <x:v>后期统一平衡</x:v>
      </x:c>
      <x:c r="Z418" s="20" t="str">
        <x:v>一怪一专属；专属来源跟随本行准确地图号</x:v>
      </x:c>
    </x:row>
    <x:row r="419" ht="24" customHeight="1">
      <x:c r="A419" s="20" t="str">
        <x:v>C10-M012</x:v>
      </x:c>
      <x:c r="B419" s="20" t="str">
        <x:v>C10</x:v>
      </x:c>
      <x:c r="C419" s="20" t="str">
        <x:v>王城罗德尔</x:v>
      </x:c>
      <x:c r="D419" s="20" t="n">
        <x:v>1</x:v>
      </x:c>
      <x:c r="E419" s="20" t="str">
        <x:v>王城下城区</x:v>
      </x:c>
      <x:c r="F419" s="20" t="n">
        <x:v>3</x:v>
      </x:c>
      <x:c r="G419" s="20" t="str">
        <x:v>XX930</x:v>
      </x:c>
      <x:c r="H419" s="20" t="str">
        <x:v>地下闸门</x:v>
      </x:c>
      <x:c r="I419" s="20" t="str">
        <x:v>千锁闸门统领</x:v>
      </x:c>
      <x:c r="J419" s="20" t="str">
        <x:v>粉色</x:v>
      </x:c>
      <x:c r="K419" s="20" t="str">
        <x:v>地图BOSS</x:v>
      </x:c>
      <x:c r="L419" s="20" t="str">
        <x:v>闸门战将</x:v>
      </x:c>
      <x:c r="M419" s="20" t="str">
        <x:v>首领控场</x:v>
      </x:c>
      <x:c r="N419" s="20" t="str">
        <x:v>千锁断流铡</x:v>
      </x:c>
      <x:c r="O419" s="20" t="str">
        <x:v>武器</x:v>
      </x:c>
      <x:c r="P419" s="20" t="str">
        <x:v>王城金屑</x:v>
      </x:c>
      <x:c r="Q419" s="20" t="str">
        <x:v>王宫律文＋艾尔登王印</x:v>
      </x:c>
      <x:c r="R419" s="20" t="str">
        <x:v>失温熔炉楔</x:v>
      </x:c>
      <x:c r="S419" s="20" t="str">
        <x:v>穹律鎏痕拓片</x:v>
      </x:c>
      <x:c r="T419" s="20" t="str">
        <x:v>是（独立奖池）</x:v>
      </x:c>
      <x:c r="U419" s="20" t="str">
        <x:v>是（公共奖池）</x:v>
      </x:c>
      <x:c r="V419" s="22" t="str">
        <x:v>结构定稿</x:v>
      </x:c>
      <x:c r="W419" s="36" t="str">
        <x:v>用户自行分配／本表不处理</x:v>
      </x:c>
      <x:c r="X419" s="34" t="str">
        <x:v>缺武器来源码</x:v>
      </x:c>
      <x:c r="Y419" s="29" t="str">
        <x:v>后期统一平衡</x:v>
      </x:c>
      <x:c r="Z419" s="20" t="str">
        <x:v>一怪一专属；专属来源跟随本行准确地图号</x:v>
      </x:c>
    </x:row>
    <x:row r="420" ht="24" customHeight="1">
      <x:c r="A420" s="20" t="str">
        <x:v>C10-M013</x:v>
      </x:c>
      <x:c r="B420" s="20" t="str">
        <x:v>C10</x:v>
      </x:c>
      <x:c r="C420" s="20" t="str">
        <x:v>王城罗德尔</x:v>
      </x:c>
      <x:c r="D420" s="20" t="n">
        <x:v>2</x:v>
      </x:c>
      <x:c r="E420" s="20" t="str">
        <x:v>黄金排水道</x:v>
      </x:c>
      <x:c r="F420" s="20" t="n">
        <x:v>1</x:v>
      </x:c>
      <x:c r="G420" s="20" t="str">
        <x:v>XX629</x:v>
      </x:c>
      <x:c r="H420" s="20" t="str">
        <x:v>黄金排水道</x:v>
      </x:c>
      <x:c r="I420" s="20" t="str">
        <x:v>金垢潜渠鼠</x:v>
      </x:c>
      <x:c r="J420" s="20" t="str">
        <x:v>黄色</x:v>
      </x:c>
      <x:c r="K420" s="20" t="str">
        <x:v>普通</x:v>
      </x:c>
      <x:c r="L420" s="20" t="str">
        <x:v>鎏金污鼠</x:v>
      </x:c>
      <x:c r="M420" s="20" t="str">
        <x:v>群体围袭</x:v>
      </x:c>
      <x:c r="N420" s="20" t="str">
        <x:v>金垢噬骨爪</x:v>
      </x:c>
      <x:c r="O420" s="20" t="str">
        <x:v>武器</x:v>
      </x:c>
      <x:c r="P420" s="20" t="str">
        <x:v>王城金屑</x:v>
      </x:c>
      <x:c r="Q420" s="20" t="str"/>
      <x:c r="R420" s="20" t="str">
        <x:v>无名墓钉</x:v>
      </x:c>
      <x:c r="S420" s="20" t="str">
        <x:v>穹律鎏痕拓片</x:v>
      </x:c>
      <x:c r="T420" s="20" t="str">
        <x:v>否</x:v>
      </x:c>
      <x:c r="U420" s="20" t="str">
        <x:v>是（公共奖池）</x:v>
      </x:c>
      <x:c r="V420" s="22" t="str">
        <x:v>结构定稿</x:v>
      </x:c>
      <x:c r="W420" s="36" t="str">
        <x:v>用户自行分配／本表不处理</x:v>
      </x:c>
      <x:c r="X420" s="34" t="str">
        <x:v>缺武器来源码</x:v>
      </x:c>
      <x:c r="Y420" s="29" t="str">
        <x:v>后期统一平衡</x:v>
      </x:c>
      <x:c r="Z420" s="20" t="str">
        <x:v>一怪一专属；专属来源跟随本行准确地图号</x:v>
      </x:c>
    </x:row>
    <x:row r="421" ht="24" customHeight="1">
      <x:c r="A421" s="20" t="str">
        <x:v>C10-M014</x:v>
      </x:c>
      <x:c r="B421" s="20" t="str">
        <x:v>C10</x:v>
      </x:c>
      <x:c r="C421" s="20" t="str">
        <x:v>王城罗德尔</x:v>
      </x:c>
      <x:c r="D421" s="20" t="n">
        <x:v>2</x:v>
      </x:c>
      <x:c r="E421" s="20" t="str">
        <x:v>黄金排水道</x:v>
      </x:c>
      <x:c r="F421" s="20" t="n">
        <x:v>1</x:v>
      </x:c>
      <x:c r="G421" s="20" t="str">
        <x:v>XX629</x:v>
      </x:c>
      <x:c r="H421" s="20" t="str">
        <x:v>黄金排水道</x:v>
      </x:c>
      <x:c r="I421" s="20" t="str">
        <x:v>污潮捞骨役</x:v>
      </x:c>
      <x:c r="J421" s="20" t="str">
        <x:v>黄色</x:v>
      </x:c>
      <x:c r="K421" s="20" t="str">
        <x:v>普通</x:v>
      </x:c>
      <x:c r="L421" s="20" t="str">
        <x:v>排水苦役</x:v>
      </x:c>
      <x:c r="M421" s="20" t="str">
        <x:v>近战牵制</x:v>
      </x:c>
      <x:c r="N421" s="20" t="str">
        <x:v>捞骨防污衣</x:v>
      </x:c>
      <x:c r="O421" s="20" t="str">
        <x:v>衣服</x:v>
      </x:c>
      <x:c r="P421" s="20" t="str">
        <x:v>王城金屑</x:v>
      </x:c>
      <x:c r="Q421" s="20" t="str"/>
      <x:c r="R421" s="20" t="str">
        <x:v>无名墓钉</x:v>
      </x:c>
      <x:c r="S421" s="20" t="str">
        <x:v>穹律鎏痕拓片</x:v>
      </x:c>
      <x:c r="T421" s="20" t="str">
        <x:v>否</x:v>
      </x:c>
      <x:c r="U421" s="20" t="str">
        <x:v>是（公共奖池）</x:v>
      </x:c>
      <x:c r="V421" s="22" t="str">
        <x:v>结构定稿</x:v>
      </x:c>
      <x:c r="W421" s="36" t="str">
        <x:v>用户自行分配／本表不处理</x:v>
      </x:c>
      <x:c r="X421" s="34" t="str">
        <x:v>缺衣服来源码</x:v>
      </x:c>
      <x:c r="Y421" s="29" t="str">
        <x:v>后期统一平衡</x:v>
      </x:c>
      <x:c r="Z421" s="20" t="str">
        <x:v>一怪一专属；专属来源跟随本行准确地图号</x:v>
      </x:c>
    </x:row>
    <x:row r="422" ht="24" customHeight="1">
      <x:c r="A422" s="20" t="str">
        <x:v>C10-M015</x:v>
      </x:c>
      <x:c r="B422" s="20" t="str">
        <x:v>C10</x:v>
      </x:c>
      <x:c r="C422" s="20" t="str">
        <x:v>王城罗德尔</x:v>
      </x:c>
      <x:c r="D422" s="20" t="n">
        <x:v>2</x:v>
      </x:c>
      <x:c r="E422" s="20" t="str">
        <x:v>黄金排水道</x:v>
      </x:c>
      <x:c r="F422" s="20" t="n">
        <x:v>2</x:v>
      </x:c>
      <x:c r="G422" s="20" t="str">
        <x:v>XX631</x:v>
      </x:c>
      <x:c r="H422" s="20" t="str">
        <x:v>污水回廊</x:v>
      </x:c>
      <x:c r="I422" s="20" t="str">
        <x:v>回廊鸣管蜥</x:v>
      </x:c>
      <x:c r="J422" s="20" t="str">
        <x:v>黄色</x:v>
      </x:c>
      <x:c r="K422" s="20" t="str">
        <x:v>普通</x:v>
      </x:c>
      <x:c r="L422" s="20" t="str">
        <x:v>管鸣爬兽</x:v>
      </x:c>
      <x:c r="M422" s="20" t="str">
        <x:v>远程喷吐</x:v>
      </x:c>
      <x:c r="N422" s="20" t="str">
        <x:v>鸣管鳞盔</x:v>
      </x:c>
      <x:c r="O422" s="20" t="str">
        <x:v>头盔</x:v>
      </x:c>
      <x:c r="P422" s="20" t="str">
        <x:v>王城金屑</x:v>
      </x:c>
      <x:c r="Q422" s="20" t="str"/>
      <x:c r="R422" s="20" t="str">
        <x:v>无名墓钉</x:v>
      </x:c>
      <x:c r="S422" s="20" t="str">
        <x:v>穹律鎏痕拓片</x:v>
      </x:c>
      <x:c r="T422" s="20" t="str">
        <x:v>否</x:v>
      </x:c>
      <x:c r="U422" s="20" t="str">
        <x:v>是（公共奖池）</x:v>
      </x:c>
      <x:c r="V422" s="22" t="str">
        <x:v>结构定稿</x:v>
      </x:c>
      <x:c r="W422" s="36" t="str">
        <x:v>用户自行分配／本表不处理</x:v>
      </x:c>
      <x:c r="X422" s="33" t="n">
        <x:v>6076</x:v>
      </x:c>
      <x:c r="Y422" s="29" t="str">
        <x:v>后期统一平衡</x:v>
      </x:c>
      <x:c r="Z422" s="20" t="str">
        <x:v>一怪一专属；专属来源跟随本行准确地图号</x:v>
      </x:c>
    </x:row>
    <x:row r="423" ht="24" customHeight="1">
      <x:c r="A423" s="20" t="str">
        <x:v>C10-M016</x:v>
      </x:c>
      <x:c r="B423" s="20" t="str">
        <x:v>C10</x:v>
      </x:c>
      <x:c r="C423" s="20" t="str">
        <x:v>王城罗德尔</x:v>
      </x:c>
      <x:c r="D423" s="20" t="n">
        <x:v>2</x:v>
      </x:c>
      <x:c r="E423" s="20" t="str">
        <x:v>黄金排水道</x:v>
      </x:c>
      <x:c r="F423" s="20" t="n">
        <x:v>2</x:v>
      </x:c>
      <x:c r="G423" s="20" t="str">
        <x:v>XX631</x:v>
      </x:c>
      <x:c r="H423" s="20" t="str">
        <x:v>污水回廊</x:v>
      </x:c>
      <x:c r="I423" s="20" t="str">
        <x:v>锈槽巡污卒</x:v>
      </x:c>
      <x:c r="J423" s="20" t="str">
        <x:v>黄色</x:v>
      </x:c>
      <x:c r="K423" s="20" t="str">
        <x:v>普通</x:v>
      </x:c>
      <x:c r="L423" s="20" t="str">
        <x:v>下水巡卒</x:v>
      </x:c>
      <x:c r="M423" s="20" t="str">
        <x:v>前排防守</x:v>
      </x:c>
      <x:c r="N423" s="20" t="str">
        <x:v>锈槽踏污靴</x:v>
      </x:c>
      <x:c r="O423" s="20" t="str">
        <x:v>鞋子</x:v>
      </x:c>
      <x:c r="P423" s="20" t="str">
        <x:v>王城金屑</x:v>
      </x:c>
      <x:c r="Q423" s="20" t="str"/>
      <x:c r="R423" s="20" t="str">
        <x:v>无名墓钉</x:v>
      </x:c>
      <x:c r="S423" s="20" t="str">
        <x:v>穹律鎏痕拓片</x:v>
      </x:c>
      <x:c r="T423" s="20" t="str">
        <x:v>否</x:v>
      </x:c>
      <x:c r="U423" s="20" t="str">
        <x:v>是（公共奖池）</x:v>
      </x:c>
      <x:c r="V423" s="22" t="str">
        <x:v>结构定稿</x:v>
      </x:c>
      <x:c r="W423" s="36" t="str">
        <x:v>用户自行分配／本表不处理</x:v>
      </x:c>
      <x:c r="X423" s="33" t="n">
        <x:v>6000</x:v>
      </x:c>
      <x:c r="Y423" s="29" t="str">
        <x:v>后期统一平衡</x:v>
      </x:c>
      <x:c r="Z423" s="20" t="str">
        <x:v>一怪一专属；专属来源跟随本行准确地图号</x:v>
      </x:c>
    </x:row>
    <x:row r="424" ht="24" customHeight="1">
      <x:c r="A424" s="20" t="str">
        <x:v>C10-M017</x:v>
      </x:c>
      <x:c r="B424" s="20" t="str">
        <x:v>C10</x:v>
      </x:c>
      <x:c r="C424" s="20" t="str">
        <x:v>王城罗德尔</x:v>
      </x:c>
      <x:c r="D424" s="20" t="n">
        <x:v>2</x:v>
      </x:c>
      <x:c r="E424" s="20" t="str">
        <x:v>黄金排水道</x:v>
      </x:c>
      <x:c r="F424" s="20" t="n">
        <x:v>3</x:v>
      </x:c>
      <x:c r="G424" s="20" t="str">
        <x:v>XX624</x:v>
      </x:c>
      <x:c r="H424" s="20" t="str">
        <x:v>排水中枢</x:v>
      </x:c>
      <x:c r="I424" s="20" t="str">
        <x:v>中枢盘阀傀</x:v>
      </x:c>
      <x:c r="J424" s="20" t="str">
        <x:v>黄色</x:v>
      </x:c>
      <x:c r="K424" s="20" t="str">
        <x:v>普通</x:v>
      </x:c>
      <x:c r="L424" s="20" t="str">
        <x:v>阀机傀儡</x:v>
      </x:c>
      <x:c r="M424" s="20" t="str">
        <x:v>机关压制</x:v>
      </x:c>
      <x:c r="N424" s="20" t="str">
        <x:v>盘阀锁流带</x:v>
      </x:c>
      <x:c r="O424" s="20" t="str">
        <x:v>腰带</x:v>
      </x:c>
      <x:c r="P424" s="20" t="str">
        <x:v>王城金屑</x:v>
      </x:c>
      <x:c r="Q424" s="20" t="str"/>
      <x:c r="R424" s="20" t="str">
        <x:v>无名墓钉</x:v>
      </x:c>
      <x:c r="S424" s="20" t="str">
        <x:v>穹律鎏痕拓片</x:v>
      </x:c>
      <x:c r="T424" s="20" t="str">
        <x:v>否</x:v>
      </x:c>
      <x:c r="U424" s="20" t="str">
        <x:v>是（公共奖池）</x:v>
      </x:c>
      <x:c r="V424" s="22" t="str">
        <x:v>结构定稿</x:v>
      </x:c>
      <x:c r="W424" s="36" t="str">
        <x:v>用户自行分配／本表不处理</x:v>
      </x:c>
      <x:c r="X424" s="33" t="n">
        <x:v>6010</x:v>
      </x:c>
      <x:c r="Y424" s="29" t="str">
        <x:v>后期统一平衡</x:v>
      </x:c>
      <x:c r="Z424" s="20" t="str">
        <x:v>一怪一专属；专属来源跟随本行准确地图号</x:v>
      </x:c>
    </x:row>
    <x:row r="425" ht="24" customHeight="1">
      <x:c r="A425" s="20" t="str">
        <x:v>C10-M018</x:v>
      </x:c>
      <x:c r="B425" s="20" t="str">
        <x:v>C10</x:v>
      </x:c>
      <x:c r="C425" s="20" t="str">
        <x:v>王城罗德尔</x:v>
      </x:c>
      <x:c r="D425" s="20" t="n">
        <x:v>2</x:v>
      </x:c>
      <x:c r="E425" s="20" t="str">
        <x:v>黄金排水道</x:v>
      </x:c>
      <x:c r="F425" s="20" t="n">
        <x:v>3</x:v>
      </x:c>
      <x:c r="G425" s="20" t="str">
        <x:v>XX624</x:v>
      </x:c>
      <x:c r="H425" s="20" t="str">
        <x:v>排水中枢</x:v>
      </x:c>
      <x:c r="I425" s="20" t="str">
        <x:v>泄洪窥灯虫</x:v>
      </x:c>
      <x:c r="J425" s="20" t="str">
        <x:v>黄色</x:v>
      </x:c>
      <x:c r="K425" s="20" t="str">
        <x:v>普通</x:v>
      </x:c>
      <x:c r="L425" s="20" t="str">
        <x:v>渠道飞虫</x:v>
      </x:c>
      <x:c r="M425" s="20" t="str">
        <x:v>远程扰乱</x:v>
      </x:c>
      <x:c r="N425" s="20" t="str">
        <x:v>窥灯浊辉坠</x:v>
      </x:c>
      <x:c r="O425" s="20" t="str">
        <x:v>项链</x:v>
      </x:c>
      <x:c r="P425" s="20" t="str">
        <x:v>王城金屑</x:v>
      </x:c>
      <x:c r="Q425" s="20" t="str"/>
      <x:c r="R425" s="20" t="str">
        <x:v>无名墓钉</x:v>
      </x:c>
      <x:c r="S425" s="20" t="str">
        <x:v>穹律鎏痕拓片</x:v>
      </x:c>
      <x:c r="T425" s="20" t="str">
        <x:v>否</x:v>
      </x:c>
      <x:c r="U425" s="20" t="str">
        <x:v>是（公共奖池）</x:v>
      </x:c>
      <x:c r="V425" s="22" t="str">
        <x:v>结构定稿</x:v>
      </x:c>
      <x:c r="W425" s="36" t="str">
        <x:v>用户自行分配／本表不处理</x:v>
      </x:c>
      <x:c r="X425" s="33" t="n">
        <x:v>6066</x:v>
      </x:c>
      <x:c r="Y425" s="29" t="str">
        <x:v>后期统一平衡</x:v>
      </x:c>
      <x:c r="Z425" s="20" t="str">
        <x:v>一怪一专属；专属来源跟随本行准确地图号</x:v>
      </x:c>
    </x:row>
    <x:row r="426" ht="24" customHeight="1">
      <x:c r="A426" s="20" t="str">
        <x:v>C10-M019</x:v>
      </x:c>
      <x:c r="B426" s="20" t="str">
        <x:v>C10</x:v>
      </x:c>
      <x:c r="C426" s="20" t="str">
        <x:v>王城罗德尔</x:v>
      </x:c>
      <x:c r="D426" s="20" t="n">
        <x:v>2</x:v>
      </x:c>
      <x:c r="E426" s="20" t="str">
        <x:v>黄金排水道</x:v>
      </x:c>
      <x:c r="F426" s="20" t="n">
        <x:v>1</x:v>
      </x:c>
      <x:c r="G426" s="20" t="str">
        <x:v>XX629</x:v>
      </x:c>
      <x:c r="H426" s="20" t="str">
        <x:v>黄金排水道</x:v>
      </x:c>
      <x:c r="I426" s="20" t="str">
        <x:v>镀金脓潮母</x:v>
      </x:c>
      <x:c r="J426" s="20" t="str">
        <x:v>蓝色</x:v>
      </x:c>
      <x:c r="K426" s="20" t="str">
        <x:v>稀有</x:v>
      </x:c>
      <x:c r="L426" s="20" t="str">
        <x:v>污潮母兽</x:v>
      </x:c>
      <x:c r="M426" s="20" t="str">
        <x:v>召群压制</x:v>
      </x:c>
      <x:c r="N426" s="20" t="str">
        <x:v>脓潮镀金腕</x:v>
      </x:c>
      <x:c r="O426" s="20" t="str">
        <x:v>手镯</x:v>
      </x:c>
      <x:c r="P426" s="20" t="str">
        <x:v>王城金屑</x:v>
      </x:c>
      <x:c r="Q426" s="20" t="str">
        <x:v>王宫律文</x:v>
      </x:c>
      <x:c r="R426" s="20" t="str">
        <x:v>旧渠阀芯</x:v>
      </x:c>
      <x:c r="S426" s="20" t="str">
        <x:v>穹律鎏痕拓片</x:v>
      </x:c>
      <x:c r="T426" s="20" t="str">
        <x:v>否</x:v>
      </x:c>
      <x:c r="U426" s="20" t="str">
        <x:v>是（公共奖池）</x:v>
      </x:c>
      <x:c r="V426" s="22" t="str">
        <x:v>结构定稿</x:v>
      </x:c>
      <x:c r="W426" s="36" t="str">
        <x:v>用户自行分配／本表不处理</x:v>
      </x:c>
      <x:c r="X426" s="33" t="n">
        <x:v>6014</x:v>
      </x:c>
      <x:c r="Y426" s="29" t="str">
        <x:v>后期统一平衡</x:v>
      </x:c>
      <x:c r="Z426" s="20" t="str">
        <x:v>一怪一专属；专属来源跟随本行准确地图号</x:v>
      </x:c>
    </x:row>
    <x:row r="427" ht="24" customHeight="1">
      <x:c r="A427" s="20" t="str">
        <x:v>C10-M020</x:v>
      </x:c>
      <x:c r="B427" s="20" t="str">
        <x:v>C10</x:v>
      </x:c>
      <x:c r="C427" s="20" t="str">
        <x:v>王城罗德尔</x:v>
      </x:c>
      <x:c r="D427" s="20" t="n">
        <x:v>2</x:v>
      </x:c>
      <x:c r="E427" s="20" t="str">
        <x:v>黄金排水道</x:v>
      </x:c>
      <x:c r="F427" s="20" t="n">
        <x:v>2</x:v>
      </x:c>
      <x:c r="G427" s="20" t="str">
        <x:v>XX631</x:v>
      </x:c>
      <x:c r="H427" s="20" t="str">
        <x:v>污水回廊</x:v>
      </x:c>
      <x:c r="I427" s="20" t="str">
        <x:v>逆流剥甲人</x:v>
      </x:c>
      <x:c r="J427" s="20" t="str">
        <x:v>蓝色</x:v>
      </x:c>
      <x:c r="K427" s="20" t="str">
        <x:v>稀有</x:v>
      </x:c>
      <x:c r="L427" s="20" t="str">
        <x:v>污渠刑徒</x:v>
      </x:c>
      <x:c r="M427" s="20" t="str">
        <x:v>破防突进</x:v>
      </x:c>
      <x:c r="N427" s="20" t="str">
        <x:v>逆流剥甲盾</x:v>
      </x:c>
      <x:c r="O427" s="20" t="str">
        <x:v>盾牌</x:v>
      </x:c>
      <x:c r="P427" s="20" t="str">
        <x:v>王城金屑</x:v>
      </x:c>
      <x:c r="Q427" s="20" t="str">
        <x:v>王宫律文</x:v>
      </x:c>
      <x:c r="R427" s="20" t="str">
        <x:v>旧渠阀芯</x:v>
      </x:c>
      <x:c r="S427" s="20" t="str">
        <x:v>穹律鎏痕拓片</x:v>
      </x:c>
      <x:c r="T427" s="20" t="str">
        <x:v>否</x:v>
      </x:c>
      <x:c r="U427" s="20" t="str">
        <x:v>是（公共奖池）</x:v>
      </x:c>
      <x:c r="V427" s="22" t="str">
        <x:v>结构定稿</x:v>
      </x:c>
      <x:c r="W427" s="36" t="str">
        <x:v>用户自行分配／本表不处理</x:v>
      </x:c>
      <x:c r="X427" s="33" t="n">
        <x:v>6025</x:v>
      </x:c>
      <x:c r="Y427" s="29" t="str">
        <x:v>后期统一平衡</x:v>
      </x:c>
      <x:c r="Z427" s="20" t="str">
        <x:v>一怪一专属；专属来源跟随本行准确地图号</x:v>
      </x:c>
    </x:row>
    <x:row r="428" ht="24" customHeight="1">
      <x:c r="A428" s="20" t="str">
        <x:v>C10-M021</x:v>
      </x:c>
      <x:c r="B428" s="20" t="str">
        <x:v>C10</x:v>
      </x:c>
      <x:c r="C428" s="20" t="str">
        <x:v>王城罗德尔</x:v>
      </x:c>
      <x:c r="D428" s="20" t="n">
        <x:v>2</x:v>
      </x:c>
      <x:c r="E428" s="20" t="str">
        <x:v>黄金排水道</x:v>
      </x:c>
      <x:c r="F428" s="20" t="n">
        <x:v>2</x:v>
      </x:c>
      <x:c r="G428" s="20" t="str">
        <x:v>XX631</x:v>
      </x:c>
      <x:c r="H428" s="20" t="str">
        <x:v>污水回廊</x:v>
      </x:c>
      <x:c r="I428" s="20" t="str">
        <x:v>七孔哀笛客</x:v>
      </x:c>
      <x:c r="J428" s="20" t="str">
        <x:v>蓝色</x:v>
      </x:c>
      <x:c r="K428" s="20" t="str">
        <x:v>稀有</x:v>
      </x:c>
      <x:c r="L428" s="20" t="str">
        <x:v>管道幽客</x:v>
      </x:c>
      <x:c r="M428" s="20" t="str">
        <x:v>声波控场</x:v>
      </x:c>
      <x:c r="N428" s="20" t="str">
        <x:v>七孔哀笛戒</x:v>
      </x:c>
      <x:c r="O428" s="20" t="str">
        <x:v>戒指</x:v>
      </x:c>
      <x:c r="P428" s="20" t="str">
        <x:v>王城金屑</x:v>
      </x:c>
      <x:c r="Q428" s="20" t="str">
        <x:v>王宫律文</x:v>
      </x:c>
      <x:c r="R428" s="20" t="str">
        <x:v>旧渠阀芯</x:v>
      </x:c>
      <x:c r="S428" s="20" t="str">
        <x:v>穹律鎏痕拓片</x:v>
      </x:c>
      <x:c r="T428" s="20" t="str">
        <x:v>否</x:v>
      </x:c>
      <x:c r="U428" s="20" t="str">
        <x:v>是（公共奖池）</x:v>
      </x:c>
      <x:c r="V428" s="22" t="str">
        <x:v>结构定稿</x:v>
      </x:c>
      <x:c r="W428" s="36" t="str">
        <x:v>用户自行分配／本表不处理</x:v>
      </x:c>
      <x:c r="X428" s="33" t="n">
        <x:v>6060</x:v>
      </x:c>
      <x:c r="Y428" s="29" t="str">
        <x:v>后期统一平衡</x:v>
      </x:c>
      <x:c r="Z428" s="20" t="str">
        <x:v>一怪一专属；专属来源跟随本行准确地图号</x:v>
      </x:c>
    </x:row>
    <x:row r="429" ht="24" customHeight="1">
      <x:c r="A429" s="20" t="str">
        <x:v>C10-M022</x:v>
      </x:c>
      <x:c r="B429" s="20" t="str">
        <x:v>C10</x:v>
      </x:c>
      <x:c r="C429" s="20" t="str">
        <x:v>王城罗德尔</x:v>
      </x:c>
      <x:c r="D429" s="20" t="n">
        <x:v>2</x:v>
      </x:c>
      <x:c r="E429" s="20" t="str">
        <x:v>黄金排水道</x:v>
      </x:c>
      <x:c r="F429" s="20" t="n">
        <x:v>3</x:v>
      </x:c>
      <x:c r="G429" s="20" t="str">
        <x:v>XX624</x:v>
      </x:c>
      <x:c r="H429" s="20" t="str">
        <x:v>排水中枢</x:v>
      </x:c>
      <x:c r="I429" s="20" t="str">
        <x:v>沸淤校阀官</x:v>
      </x:c>
      <x:c r="J429" s="20" t="str">
        <x:v>蓝色</x:v>
      </x:c>
      <x:c r="K429" s="20" t="str">
        <x:v>稀有</x:v>
      </x:c>
      <x:c r="L429" s="20" t="str">
        <x:v>中枢官僵</x:v>
      </x:c>
      <x:c r="M429" s="20" t="str">
        <x:v>范围灼击</x:v>
      </x:c>
      <x:c r="N429" s="20" t="str">
        <x:v>沸淤校阀章</x:v>
      </x:c>
      <x:c r="O429" s="20" t="str">
        <x:v>勋章</x:v>
      </x:c>
      <x:c r="P429" s="20" t="str">
        <x:v>王城金屑</x:v>
      </x:c>
      <x:c r="Q429" s="20" t="str">
        <x:v>王宫律文</x:v>
      </x:c>
      <x:c r="R429" s="20" t="str">
        <x:v>旧渠阀芯</x:v>
      </x:c>
      <x:c r="S429" s="20" t="str">
        <x:v>穹律鎏痕拓片</x:v>
      </x:c>
      <x:c r="T429" s="20" t="str">
        <x:v>否</x:v>
      </x:c>
      <x:c r="U429" s="20" t="str">
        <x:v>是（公共奖池）</x:v>
      </x:c>
      <x:c r="V429" s="22" t="str">
        <x:v>结构定稿</x:v>
      </x:c>
      <x:c r="W429" s="36" t="str">
        <x:v>用户自行分配／本表不处理</x:v>
      </x:c>
      <x:c r="X429" s="33" t="n">
        <x:v>5876</x:v>
      </x:c>
      <x:c r="Y429" s="29" t="str">
        <x:v>后期统一平衡</x:v>
      </x:c>
      <x:c r="Z429" s="20" t="str">
        <x:v>一怪一专属；专属来源跟随本行准确地图号</x:v>
      </x:c>
    </x:row>
    <x:row r="430" ht="24" customHeight="1">
      <x:c r="A430" s="20" t="str">
        <x:v>C10-M023</x:v>
      </x:c>
      <x:c r="B430" s="20" t="str">
        <x:v>C10</x:v>
      </x:c>
      <x:c r="C430" s="20" t="str">
        <x:v>王城罗德尔</x:v>
      </x:c>
      <x:c r="D430" s="20" t="n">
        <x:v>2</x:v>
      </x:c>
      <x:c r="E430" s="20" t="str">
        <x:v>黄金排水道</x:v>
      </x:c>
      <x:c r="F430" s="20" t="n">
        <x:v>2</x:v>
      </x:c>
      <x:c r="G430" s="20" t="str">
        <x:v>XX631</x:v>
      </x:c>
      <x:c r="H430" s="20" t="str">
        <x:v>污水回廊</x:v>
      </x:c>
      <x:c r="I430" s="20" t="str">
        <x:v>百喉回廊吞声兽</x:v>
      </x:c>
      <x:c r="J430" s="20" t="str">
        <x:v>粉色</x:v>
      </x:c>
      <x:c r="K430" s="20" t="str">
        <x:v>地图BOSS</x:v>
      </x:c>
      <x:c r="L430" s="20" t="str">
        <x:v>管腔巨兽</x:v>
      </x:c>
      <x:c r="M430" s="20" t="str">
        <x:v>首领吞噬</x:v>
      </x:c>
      <x:c r="N430" s="20" t="str">
        <x:v>百喉闭音斗笠</x:v>
      </x:c>
      <x:c r="O430" s="20" t="str">
        <x:v>斗笠</x:v>
      </x:c>
      <x:c r="P430" s="20" t="str">
        <x:v>王城金屑</x:v>
      </x:c>
      <x:c r="Q430" s="20" t="str">
        <x:v>王宫律文＋艾尔登王印</x:v>
      </x:c>
      <x:c r="R430" s="20" t="str">
        <x:v>失温熔炉楔</x:v>
      </x:c>
      <x:c r="S430" s="20" t="str">
        <x:v>穹律鎏痕拓片</x:v>
      </x:c>
      <x:c r="T430" s="20" t="str">
        <x:v>是（独立奖池）</x:v>
      </x:c>
      <x:c r="U430" s="20" t="str">
        <x:v>是（公共奖池）</x:v>
      </x:c>
      <x:c r="V430" s="22" t="str">
        <x:v>结构定稿</x:v>
      </x:c>
      <x:c r="W430" s="36" t="str">
        <x:v>用户自行分配／本表不处理</x:v>
      </x:c>
      <x:c r="X430" s="33" t="n">
        <x:v>6960</x:v>
      </x:c>
      <x:c r="Y430" s="29" t="str">
        <x:v>后期统一平衡</x:v>
      </x:c>
      <x:c r="Z430" s="20" t="str">
        <x:v>一怪一专属；专属来源跟随本行准确地图号</x:v>
      </x:c>
    </x:row>
    <x:row r="431" ht="24" customHeight="1">
      <x:c r="A431" s="20" t="str">
        <x:v>C10-M024</x:v>
      </x:c>
      <x:c r="B431" s="20" t="str">
        <x:v>C10</x:v>
      </x:c>
      <x:c r="C431" s="20" t="str">
        <x:v>王城罗德尔</x:v>
      </x:c>
      <x:c r="D431" s="20" t="n">
        <x:v>2</x:v>
      </x:c>
      <x:c r="E431" s="20" t="str">
        <x:v>黄金排水道</x:v>
      </x:c>
      <x:c r="F431" s="20" t="n">
        <x:v>3</x:v>
      </x:c>
      <x:c r="G431" s="20" t="str">
        <x:v>XX624</x:v>
      </x:c>
      <x:c r="H431" s="20" t="str">
        <x:v>排水中枢</x:v>
      </x:c>
      <x:c r="I431" s="20" t="str">
        <x:v>鎏污大司闸</x:v>
      </x:c>
      <x:c r="J431" s="20" t="str">
        <x:v>粉色</x:v>
      </x:c>
      <x:c r="K431" s="20" t="str">
        <x:v>地图BOSS</x:v>
      </x:c>
      <x:c r="L431" s="20" t="str">
        <x:v>腐化闸官</x:v>
      </x:c>
      <x:c r="M431" s="20" t="str">
        <x:v>首领控场</x:v>
      </x:c>
      <x:c r="N431" s="20" t="str">
        <x:v>鎏污司闸战袍</x:v>
      </x:c>
      <x:c r="O431" s="20" t="str">
        <x:v>衣服</x:v>
      </x:c>
      <x:c r="P431" s="20" t="str">
        <x:v>王城金屑</x:v>
      </x:c>
      <x:c r="Q431" s="20" t="str">
        <x:v>王宫律文＋艾尔登王印</x:v>
      </x:c>
      <x:c r="R431" s="20" t="str">
        <x:v>失温熔炉楔</x:v>
      </x:c>
      <x:c r="S431" s="20" t="str">
        <x:v>穹律鎏痕拓片</x:v>
      </x:c>
      <x:c r="T431" s="20" t="str">
        <x:v>是（独立奖池）</x:v>
      </x:c>
      <x:c r="U431" s="20" t="str">
        <x:v>是（公共奖池）</x:v>
      </x:c>
      <x:c r="V431" s="22" t="str">
        <x:v>结构定稿</x:v>
      </x:c>
      <x:c r="W431" s="36" t="str">
        <x:v>用户自行分配／本表不处理</x:v>
      </x:c>
      <x:c r="X431" s="34" t="str">
        <x:v>缺衣服来源码</x:v>
      </x:c>
      <x:c r="Y431" s="29" t="str">
        <x:v>后期统一平衡</x:v>
      </x:c>
      <x:c r="Z431" s="20" t="str">
        <x:v>一怪一专属；专属来源跟随本行准确地图号</x:v>
      </x:c>
    </x:row>
    <x:row r="432" ht="24" customHeight="1">
      <x:c r="A432" s="20" t="str">
        <x:v>C10-M025</x:v>
      </x:c>
      <x:c r="B432" s="20" t="str">
        <x:v>C10</x:v>
      </x:c>
      <x:c r="C432" s="20" t="str">
        <x:v>王城罗德尔</x:v>
      </x:c>
      <x:c r="D432" s="20" t="n">
        <x:v>3</x:v>
      </x:c>
      <x:c r="E432" s="20" t="str">
        <x:v>王城矿井</x:v>
      </x:c>
      <x:c r="F432" s="20" t="n">
        <x:v>1</x:v>
      </x:c>
      <x:c r="G432" s="20" t="str">
        <x:v>XX954</x:v>
      </x:c>
      <x:c r="H432" s="20" t="str">
        <x:v>王城矿井</x:v>
      </x:c>
      <x:c r="I432" s="20" t="str">
        <x:v>金脉铲痕奴</x:v>
      </x:c>
      <x:c r="J432" s="20" t="str">
        <x:v>黄色</x:v>
      </x:c>
      <x:c r="K432" s="20" t="str">
        <x:v>普通</x:v>
      </x:c>
      <x:c r="L432" s="20" t="str">
        <x:v>矿井苦役</x:v>
      </x:c>
      <x:c r="M432" s="20" t="str">
        <x:v>近战围攻</x:v>
      </x:c>
      <x:c r="N432" s="20" t="str">
        <x:v>铲痕护矿盔</x:v>
      </x:c>
      <x:c r="O432" s="20" t="str">
        <x:v>头盔</x:v>
      </x:c>
      <x:c r="P432" s="20" t="str">
        <x:v>王城金屑</x:v>
      </x:c>
      <x:c r="Q432" s="20" t="str"/>
      <x:c r="R432" s="20" t="str">
        <x:v>无名墓钉</x:v>
      </x:c>
      <x:c r="S432" s="20" t="str">
        <x:v>穹律鎏痕拓片</x:v>
      </x:c>
      <x:c r="T432" s="20" t="str">
        <x:v>否</x:v>
      </x:c>
      <x:c r="U432" s="20" t="str">
        <x:v>是（公共奖池）</x:v>
      </x:c>
      <x:c r="V432" s="22" t="str">
        <x:v>结构定稿</x:v>
      </x:c>
      <x:c r="W432" s="36" t="str">
        <x:v>用户自行分配／本表不处理</x:v>
      </x:c>
      <x:c r="X432" s="33" t="n">
        <x:v>6085</x:v>
      </x:c>
      <x:c r="Y432" s="29" t="str">
        <x:v>后期统一平衡</x:v>
      </x:c>
      <x:c r="Z432" s="20" t="str">
        <x:v>一怪一专属；专属来源跟随本行准确地图号</x:v>
      </x:c>
    </x:row>
    <x:row r="433" ht="24" customHeight="1">
      <x:c r="A433" s="20" t="str">
        <x:v>C10-M026</x:v>
      </x:c>
      <x:c r="B433" s="20" t="str">
        <x:v>C10</x:v>
      </x:c>
      <x:c r="C433" s="20" t="str">
        <x:v>王城罗德尔</x:v>
      </x:c>
      <x:c r="D433" s="20" t="n">
        <x:v>3</x:v>
      </x:c>
      <x:c r="E433" s="20" t="str">
        <x:v>王城矿井</x:v>
      </x:c>
      <x:c r="F433" s="20" t="n">
        <x:v>1</x:v>
      </x:c>
      <x:c r="G433" s="20" t="str">
        <x:v>XX954</x:v>
      </x:c>
      <x:c r="H433" s="20" t="str">
        <x:v>王城矿井</x:v>
      </x:c>
      <x:c r="I433" s="20" t="str">
        <x:v>王矿负灯鼹</x:v>
      </x:c>
      <x:c r="J433" s="20" t="str">
        <x:v>黄色</x:v>
      </x:c>
      <x:c r="K433" s="20" t="str">
        <x:v>普通</x:v>
      </x:c>
      <x:c r="L433" s="20" t="str">
        <x:v>地底掘兽</x:v>
      </x:c>
      <x:c r="M433" s="20" t="str">
        <x:v>突袭扰乱</x:v>
      </x:c>
      <x:c r="N433" s="20" t="str">
        <x:v>负灯探脉靴</x:v>
      </x:c>
      <x:c r="O433" s="20" t="str">
        <x:v>鞋子</x:v>
      </x:c>
      <x:c r="P433" s="20" t="str">
        <x:v>王城金屑</x:v>
      </x:c>
      <x:c r="Q433" s="20" t="str"/>
      <x:c r="R433" s="20" t="str">
        <x:v>无名墓钉</x:v>
      </x:c>
      <x:c r="S433" s="20" t="str">
        <x:v>穹律鎏痕拓片</x:v>
      </x:c>
      <x:c r="T433" s="20" t="str">
        <x:v>否</x:v>
      </x:c>
      <x:c r="U433" s="20" t="str">
        <x:v>是（公共奖池）</x:v>
      </x:c>
      <x:c r="V433" s="22" t="str">
        <x:v>结构定稿</x:v>
      </x:c>
      <x:c r="W433" s="36" t="str">
        <x:v>用户自行分配／本表不处理</x:v>
      </x:c>
      <x:c r="X433" s="33" t="n">
        <x:v>6009</x:v>
      </x:c>
      <x:c r="Y433" s="29" t="str">
        <x:v>后期统一平衡</x:v>
      </x:c>
      <x:c r="Z433" s="20" t="str">
        <x:v>一怪一专属；专属来源跟随本行准确地图号</x:v>
      </x:c>
    </x:row>
    <x:row r="434" ht="24" customHeight="1">
      <x:c r="A434" s="20" t="str">
        <x:v>C10-M027</x:v>
      </x:c>
      <x:c r="B434" s="20" t="str">
        <x:v>C10</x:v>
      </x:c>
      <x:c r="C434" s="20" t="str">
        <x:v>王城罗德尔</x:v>
      </x:c>
      <x:c r="D434" s="20" t="n">
        <x:v>3</x:v>
      </x:c>
      <x:c r="E434" s="20" t="str">
        <x:v>王城矿井</x:v>
      </x:c>
      <x:c r="F434" s="20" t="n">
        <x:v>2</x:v>
      </x:c>
      <x:c r="G434" s="20" t="str">
        <x:v>XX955</x:v>
      </x:c>
      <x:c r="H434" s="20" t="str">
        <x:v>废弃矿道</x:v>
      </x:c>
      <x:c r="I434" s="20" t="str">
        <x:v>崩轨拖链卒</x:v>
      </x:c>
      <x:c r="J434" s="20" t="str">
        <x:v>黄色</x:v>
      </x:c>
      <x:c r="K434" s="20" t="str">
        <x:v>普通</x:v>
      </x:c>
      <x:c r="L434" s="20" t="str">
        <x:v>废道守卒</x:v>
      </x:c>
      <x:c r="M434" s="20" t="str">
        <x:v>近战牵制</x:v>
      </x:c>
      <x:c r="N434" s="20" t="str">
        <x:v>崩轨拖链盾</x:v>
      </x:c>
      <x:c r="O434" s="20" t="str">
        <x:v>盾牌</x:v>
      </x:c>
      <x:c r="P434" s="20" t="str">
        <x:v>王城金屑</x:v>
      </x:c>
      <x:c r="Q434" s="20" t="str"/>
      <x:c r="R434" s="20" t="str">
        <x:v>无名墓钉</x:v>
      </x:c>
      <x:c r="S434" s="20" t="str">
        <x:v>穹律鎏痕拓片</x:v>
      </x:c>
      <x:c r="T434" s="20" t="str">
        <x:v>否</x:v>
      </x:c>
      <x:c r="U434" s="20" t="str">
        <x:v>是（公共奖池）</x:v>
      </x:c>
      <x:c r="V434" s="22" t="str">
        <x:v>结构定稿</x:v>
      </x:c>
      <x:c r="W434" s="36" t="str">
        <x:v>用户自行分配／本表不处理</x:v>
      </x:c>
      <x:c r="X434" s="33" t="n">
        <x:v>6034</x:v>
      </x:c>
      <x:c r="Y434" s="29" t="str">
        <x:v>后期统一平衡</x:v>
      </x:c>
      <x:c r="Z434" s="20" t="str">
        <x:v>一怪一专属；专属来源跟随本行准确地图号</x:v>
      </x:c>
    </x:row>
    <x:row r="435" ht="24" customHeight="1">
      <x:c r="A435" s="20" t="str">
        <x:v>C10-M028</x:v>
      </x:c>
      <x:c r="B435" s="20" t="str">
        <x:v>C10</x:v>
      </x:c>
      <x:c r="C435" s="20" t="str">
        <x:v>王城罗德尔</x:v>
      </x:c>
      <x:c r="D435" s="20" t="n">
        <x:v>3</x:v>
      </x:c>
      <x:c r="E435" s="20" t="str">
        <x:v>王城矿井</x:v>
      </x:c>
      <x:c r="F435" s="20" t="n">
        <x:v>3</x:v>
      </x:c>
      <x:c r="G435" s="20" t="str">
        <x:v>XX953</x:v>
      </x:c>
      <x:c r="H435" s="20" t="str">
        <x:v>地底工坊</x:v>
      </x:c>
      <x:c r="I435" s="20" t="str">
        <x:v>冷砧铆甲匠</x:v>
      </x:c>
      <x:c r="J435" s="20" t="str">
        <x:v>黄色</x:v>
      </x:c>
      <x:c r="K435" s="20" t="str">
        <x:v>普通</x:v>
      </x:c>
      <x:c r="L435" s="20" t="str">
        <x:v>地底铸匠</x:v>
      </x:c>
      <x:c r="M435" s="20" t="str">
        <x:v>机关支援</x:v>
      </x:c>
      <x:c r="N435" s="20" t="str">
        <x:v>冷砧铆甲衣</x:v>
      </x:c>
      <x:c r="O435" s="20" t="str">
        <x:v>衣服</x:v>
      </x:c>
      <x:c r="P435" s="20" t="str">
        <x:v>王城金屑</x:v>
      </x:c>
      <x:c r="Q435" s="20" t="str"/>
      <x:c r="R435" s="20" t="str">
        <x:v>无名墓钉</x:v>
      </x:c>
      <x:c r="S435" s="20" t="str">
        <x:v>穹律鎏痕拓片</x:v>
      </x:c>
      <x:c r="T435" s="20" t="str">
        <x:v>否</x:v>
      </x:c>
      <x:c r="U435" s="20" t="str">
        <x:v>是（公共奖池）</x:v>
      </x:c>
      <x:c r="V435" s="22" t="str">
        <x:v>结构定稿</x:v>
      </x:c>
      <x:c r="W435" s="36" t="str">
        <x:v>用户自行分配／本表不处理</x:v>
      </x:c>
      <x:c r="X435" s="34" t="str">
        <x:v>缺衣服来源码</x:v>
      </x:c>
      <x:c r="Y435" s="29" t="str">
        <x:v>后期统一平衡</x:v>
      </x:c>
      <x:c r="Z435" s="20" t="str">
        <x:v>一怪一专属；专属来源跟随本行准确地图号</x:v>
      </x:c>
    </x:row>
    <x:row r="436" ht="24" customHeight="1">
      <x:c r="A436" s="20" t="str">
        <x:v>C10-M029</x:v>
      </x:c>
      <x:c r="B436" s="20" t="str">
        <x:v>C10</x:v>
      </x:c>
      <x:c r="C436" s="20" t="str">
        <x:v>王城罗德尔</x:v>
      </x:c>
      <x:c r="D436" s="20" t="n">
        <x:v>3</x:v>
      </x:c>
      <x:c r="E436" s="20" t="str">
        <x:v>王城矿井</x:v>
      </x:c>
      <x:c r="F436" s="20" t="n">
        <x:v>4</x:v>
      </x:c>
      <x:c r="G436" s="20" t="str">
        <x:v>XX957</x:v>
      </x:c>
      <x:c r="H436" s="20" t="str">
        <x:v>深层采掘区</x:v>
      </x:c>
      <x:c r="I436" s="20" t="str">
        <x:v>裂晶钻颚兽</x:v>
      </x:c>
      <x:c r="J436" s="20" t="str">
        <x:v>黄色</x:v>
      </x:c>
      <x:c r="K436" s="20" t="str">
        <x:v>普通</x:v>
      </x:c>
      <x:c r="L436" s="20" t="str">
        <x:v>晶岩掘兽</x:v>
      </x:c>
      <x:c r="M436" s="20" t="str">
        <x:v>前排突进</x:v>
      </x:c>
      <x:c r="N436" s="20" t="str">
        <x:v>裂晶钻颚刃</x:v>
      </x:c>
      <x:c r="O436" s="20" t="str">
        <x:v>武器</x:v>
      </x:c>
      <x:c r="P436" s="20" t="str">
        <x:v>王城金屑</x:v>
      </x:c>
      <x:c r="Q436" s="20" t="str"/>
      <x:c r="R436" s="20" t="str">
        <x:v>无名墓钉</x:v>
      </x:c>
      <x:c r="S436" s="20" t="str">
        <x:v>穹律鎏痕拓片</x:v>
      </x:c>
      <x:c r="T436" s="20" t="str">
        <x:v>否</x:v>
      </x:c>
      <x:c r="U436" s="20" t="str">
        <x:v>是（公共奖池）</x:v>
      </x:c>
      <x:c r="V436" s="22" t="str">
        <x:v>结构定稿</x:v>
      </x:c>
      <x:c r="W436" s="36" t="str">
        <x:v>用户自行分配／本表不处理</x:v>
      </x:c>
      <x:c r="X436" s="34" t="str">
        <x:v>缺武器来源码</x:v>
      </x:c>
      <x:c r="Y436" s="29" t="str">
        <x:v>后期统一平衡</x:v>
      </x:c>
      <x:c r="Z436" s="20" t="str">
        <x:v>一怪一专属；专属来源跟随本行准确地图号</x:v>
      </x:c>
    </x:row>
    <x:row r="437" ht="24" customHeight="1">
      <x:c r="A437" s="20" t="str">
        <x:v>C10-M030</x:v>
      </x:c>
      <x:c r="B437" s="20" t="str">
        <x:v>C10</x:v>
      </x:c>
      <x:c r="C437" s="20" t="str">
        <x:v>王城罗德尔</x:v>
      </x:c>
      <x:c r="D437" s="20" t="n">
        <x:v>3</x:v>
      </x:c>
      <x:c r="E437" s="20" t="str">
        <x:v>王城矿井</x:v>
      </x:c>
      <x:c r="F437" s="20" t="n">
        <x:v>5</x:v>
      </x:c>
      <x:c r="G437" s="20" t="str">
        <x:v>XX956</x:v>
      </x:c>
      <x:c r="H437" s="20" t="str">
        <x:v>王城矿脉</x:v>
      </x:c>
      <x:c r="I437" s="20" t="str">
        <x:v>矿脉听金虫</x:v>
      </x:c>
      <x:c r="J437" s="20" t="str">
        <x:v>黄色</x:v>
      </x:c>
      <x:c r="K437" s="20" t="str">
        <x:v>普通</x:v>
      </x:c>
      <x:c r="L437" s="20" t="str">
        <x:v>矿脉鸣虫</x:v>
      </x:c>
      <x:c r="M437" s="20" t="str">
        <x:v>远程扰乱</x:v>
      </x:c>
      <x:c r="N437" s="20" t="str">
        <x:v>听金矿纹坠</x:v>
      </x:c>
      <x:c r="O437" s="20" t="str">
        <x:v>项链</x:v>
      </x:c>
      <x:c r="P437" s="20" t="str">
        <x:v>王城金屑</x:v>
      </x:c>
      <x:c r="Q437" s="20" t="str"/>
      <x:c r="R437" s="20" t="str">
        <x:v>无名墓钉</x:v>
      </x:c>
      <x:c r="S437" s="20" t="str">
        <x:v>穹律鎏痕拓片</x:v>
      </x:c>
      <x:c r="T437" s="20" t="str">
        <x:v>否</x:v>
      </x:c>
      <x:c r="U437" s="20" t="str">
        <x:v>是（公共奖池）</x:v>
      </x:c>
      <x:c r="V437" s="22" t="str">
        <x:v>结构定稿</x:v>
      </x:c>
      <x:c r="W437" s="36" t="str">
        <x:v>用户自行分配／本表不处理</x:v>
      </x:c>
      <x:c r="X437" s="33" t="n">
        <x:v>6075</x:v>
      </x:c>
      <x:c r="Y437" s="29" t="str">
        <x:v>后期统一平衡</x:v>
      </x:c>
      <x:c r="Z437" s="20" t="str">
        <x:v>一怪一专属；专属来源跟随本行准确地图号</x:v>
      </x:c>
    </x:row>
    <x:row r="438" ht="24" customHeight="1">
      <x:c r="A438" s="20" t="str">
        <x:v>C10-M031</x:v>
      </x:c>
      <x:c r="B438" s="20" t="str">
        <x:v>C10</x:v>
      </x:c>
      <x:c r="C438" s="20" t="str">
        <x:v>王城罗德尔</x:v>
      </x:c>
      <x:c r="D438" s="20" t="n">
        <x:v>3</x:v>
      </x:c>
      <x:c r="E438" s="20" t="str">
        <x:v>王城矿井</x:v>
      </x:c>
      <x:c r="F438" s="20" t="n">
        <x:v>1</x:v>
      </x:c>
      <x:c r="G438" s="20" t="str">
        <x:v>XX954</x:v>
      </x:c>
      <x:c r="H438" s="20" t="str">
        <x:v>王城矿井</x:v>
      </x:c>
      <x:c r="I438" s="20" t="str">
        <x:v>监坑鎏面骑</x:v>
      </x:c>
      <x:c r="J438" s="20" t="str">
        <x:v>蓝色</x:v>
      </x:c>
      <x:c r="K438" s="20" t="str">
        <x:v>稀有</x:v>
      </x:c>
      <x:c r="L438" s="20" t="str">
        <x:v>矿监骑士</x:v>
      </x:c>
      <x:c r="M438" s="20" t="str">
        <x:v>防守反击</x:v>
      </x:c>
      <x:c r="N438" s="20" t="str">
        <x:v>鎏面监坑腰封</x:v>
      </x:c>
      <x:c r="O438" s="20" t="str">
        <x:v>腰带</x:v>
      </x:c>
      <x:c r="P438" s="20" t="str">
        <x:v>王城金屑</x:v>
      </x:c>
      <x:c r="Q438" s="20" t="str">
        <x:v>王宫律文</x:v>
      </x:c>
      <x:c r="R438" s="20" t="str">
        <x:v>旧渠阀芯</x:v>
      </x:c>
      <x:c r="S438" s="20" t="str">
        <x:v>穹律鎏痕拓片</x:v>
      </x:c>
      <x:c r="T438" s="20" t="str">
        <x:v>否</x:v>
      </x:c>
      <x:c r="U438" s="20" t="str">
        <x:v>是（公共奖池）</x:v>
      </x:c>
      <x:c r="V438" s="22" t="str">
        <x:v>结构定稿</x:v>
      </x:c>
      <x:c r="W438" s="36" t="str">
        <x:v>用户自行分配／本表不处理</x:v>
      </x:c>
      <x:c r="X438" s="33" t="n">
        <x:v>6019</x:v>
      </x:c>
      <x:c r="Y438" s="29" t="str">
        <x:v>后期统一平衡</x:v>
      </x:c>
      <x:c r="Z438" s="20" t="str">
        <x:v>一怪一专属；专属来源跟随本行准确地图号</x:v>
      </x:c>
    </x:row>
    <x:row r="439" ht="24" customHeight="1">
      <x:c r="A439" s="20" t="str">
        <x:v>C10-M032</x:v>
      </x:c>
      <x:c r="B439" s="20" t="str">
        <x:v>C10</x:v>
      </x:c>
      <x:c r="C439" s="20" t="str">
        <x:v>王城罗德尔</x:v>
      </x:c>
      <x:c r="D439" s="20" t="n">
        <x:v>3</x:v>
      </x:c>
      <x:c r="E439" s="20" t="str">
        <x:v>王城矿井</x:v>
      </x:c>
      <x:c r="F439" s="20" t="n">
        <x:v>3</x:v>
      </x:c>
      <x:c r="G439" s="20" t="str">
        <x:v>XX953</x:v>
      </x:c>
      <x:c r="H439" s="20" t="str">
        <x:v>地底工坊</x:v>
      </x:c>
      <x:c r="I439" s="20" t="str">
        <x:v>空炉吐渣鬼</x:v>
      </x:c>
      <x:c r="J439" s="20" t="str">
        <x:v>蓝色</x:v>
      </x:c>
      <x:c r="K439" s="20" t="str">
        <x:v>稀有</x:v>
      </x:c>
      <x:c r="L439" s="20" t="str">
        <x:v>炉渣残灵</x:v>
      </x:c>
      <x:c r="M439" s="20" t="str">
        <x:v>范围喷吐</x:v>
      </x:c>
      <x:c r="N439" s="20" t="str">
        <x:v>空炉渣火镯</x:v>
      </x:c>
      <x:c r="O439" s="20" t="str">
        <x:v>手镯</x:v>
      </x:c>
      <x:c r="P439" s="20" t="str">
        <x:v>王城金屑</x:v>
      </x:c>
      <x:c r="Q439" s="20" t="str">
        <x:v>王宫律文</x:v>
      </x:c>
      <x:c r="R439" s="20" t="str">
        <x:v>旧渠阀芯</x:v>
      </x:c>
      <x:c r="S439" s="20" t="str">
        <x:v>穹律鎏痕拓片</x:v>
      </x:c>
      <x:c r="T439" s="20" t="str">
        <x:v>否</x:v>
      </x:c>
      <x:c r="U439" s="20" t="str">
        <x:v>是（公共奖池）</x:v>
      </x:c>
      <x:c r="V439" s="22" t="str">
        <x:v>结构定稿</x:v>
      </x:c>
      <x:c r="W439" s="36" t="str">
        <x:v>用户自行分配／本表不处理</x:v>
      </x:c>
      <x:c r="X439" s="33" t="n">
        <x:v>6023</x:v>
      </x:c>
      <x:c r="Y439" s="29" t="str">
        <x:v>后期统一平衡</x:v>
      </x:c>
      <x:c r="Z439" s="20" t="str">
        <x:v>一怪一专属；专属来源跟随本行准确地图号</x:v>
      </x:c>
    </x:row>
    <x:row r="440" ht="24" customHeight="1">
      <x:c r="A440" s="20" t="str">
        <x:v>C10-M033</x:v>
      </x:c>
      <x:c r="B440" s="20" t="str">
        <x:v>C10</x:v>
      </x:c>
      <x:c r="C440" s="20" t="str">
        <x:v>王城罗德尔</x:v>
      </x:c>
      <x:c r="D440" s="20" t="n">
        <x:v>3</x:v>
      </x:c>
      <x:c r="E440" s="20" t="str">
        <x:v>王城矿井</x:v>
      </x:c>
      <x:c r="F440" s="20" t="n">
        <x:v>4</x:v>
      </x:c>
      <x:c r="G440" s="20" t="str">
        <x:v>XX957</x:v>
      </x:c>
      <x:c r="H440" s="20" t="str">
        <x:v>深层采掘区</x:v>
      </x:c>
      <x:c r="I440" s="20" t="str">
        <x:v>黑晶凿梦师</x:v>
      </x:c>
      <x:c r="J440" s="20" t="str">
        <x:v>蓝色</x:v>
      </x:c>
      <x:c r="K440" s="20" t="str">
        <x:v>稀有</x:v>
      </x:c>
      <x:c r="L440" s="20" t="str">
        <x:v>晶矿术师</x:v>
      </x:c>
      <x:c r="M440" s="20" t="str">
        <x:v>控场术击</x:v>
      </x:c>
      <x:c r="N440" s="20" t="str">
        <x:v>黑晶凿梦戒</x:v>
      </x:c>
      <x:c r="O440" s="20" t="str">
        <x:v>戒指</x:v>
      </x:c>
      <x:c r="P440" s="20" t="str">
        <x:v>王城金屑</x:v>
      </x:c>
      <x:c r="Q440" s="20" t="str">
        <x:v>王宫律文</x:v>
      </x:c>
      <x:c r="R440" s="20" t="str">
        <x:v>旧渠阀芯</x:v>
      </x:c>
      <x:c r="S440" s="20" t="str">
        <x:v>穹律鎏痕拓片</x:v>
      </x:c>
      <x:c r="T440" s="20" t="str">
        <x:v>否</x:v>
      </x:c>
      <x:c r="U440" s="20" t="str">
        <x:v>是（公共奖池）</x:v>
      </x:c>
      <x:c r="V440" s="22" t="str">
        <x:v>结构定稿</x:v>
      </x:c>
      <x:c r="W440" s="36" t="str">
        <x:v>用户自行分配／本表不处理</x:v>
      </x:c>
      <x:c r="X440" s="33" t="n">
        <x:v>6069</x:v>
      </x:c>
      <x:c r="Y440" s="29" t="str">
        <x:v>后期统一平衡</x:v>
      </x:c>
      <x:c r="Z440" s="20" t="str">
        <x:v>一怪一专属；专属来源跟随本行准确地图号</x:v>
      </x:c>
    </x:row>
    <x:row r="441" ht="24" customHeight="1">
      <x:c r="A441" s="20" t="str">
        <x:v>C10-M034</x:v>
      </x:c>
      <x:c r="B441" s="20" t="str">
        <x:v>C10</x:v>
      </x:c>
      <x:c r="C441" s="20" t="str">
        <x:v>王城罗德尔</x:v>
      </x:c>
      <x:c r="D441" s="20" t="n">
        <x:v>3</x:v>
      </x:c>
      <x:c r="E441" s="20" t="str">
        <x:v>王城矿井</x:v>
      </x:c>
      <x:c r="F441" s="20" t="n">
        <x:v>5</x:v>
      </x:c>
      <x:c r="G441" s="20" t="str">
        <x:v>XX956</x:v>
      </x:c>
      <x:c r="H441" s="20" t="str">
        <x:v>王城矿脉</x:v>
      </x:c>
      <x:c r="I441" s="20" t="str">
        <x:v>王脉封勘使</x:v>
      </x:c>
      <x:c r="J441" s="20" t="str">
        <x:v>蓝色</x:v>
      </x:c>
      <x:c r="K441" s="20" t="str">
        <x:v>稀有</x:v>
      </x:c>
      <x:c r="L441" s="20" t="str">
        <x:v>王脉勘使</x:v>
      </x:c>
      <x:c r="M441" s="20" t="str">
        <x:v>远程裁断</x:v>
      </x:c>
      <x:c r="N441" s="20" t="str">
        <x:v>封勘金衡章</x:v>
      </x:c>
      <x:c r="O441" s="20" t="str">
        <x:v>勋章</x:v>
      </x:c>
      <x:c r="P441" s="20" t="str">
        <x:v>王城金屑</x:v>
      </x:c>
      <x:c r="Q441" s="20" t="str">
        <x:v>王宫律文</x:v>
      </x:c>
      <x:c r="R441" s="20" t="str">
        <x:v>旧渠阀芯</x:v>
      </x:c>
      <x:c r="S441" s="20" t="str">
        <x:v>穹律鎏痕拓片</x:v>
      </x:c>
      <x:c r="T441" s="20" t="str">
        <x:v>否</x:v>
      </x:c>
      <x:c r="U441" s="20" t="str">
        <x:v>是（公共奖池）</x:v>
      </x:c>
      <x:c r="V441" s="22" t="str">
        <x:v>结构定稿</x:v>
      </x:c>
      <x:c r="W441" s="36" t="str">
        <x:v>用户自行分配／本表不处理</x:v>
      </x:c>
      <x:c r="X441" s="33" t="n">
        <x:v>5894</x:v>
      </x:c>
      <x:c r="Y441" s="29" t="str">
        <x:v>后期统一平衡</x:v>
      </x:c>
      <x:c r="Z441" s="20" t="str">
        <x:v>一怪一专属；专属来源跟随本行准确地图号</x:v>
      </x:c>
    </x:row>
    <x:row r="442" ht="24" customHeight="1">
      <x:c r="A442" s="20" t="str">
        <x:v>C10-M035</x:v>
      </x:c>
      <x:c r="B442" s="20" t="str">
        <x:v>C10</x:v>
      </x:c>
      <x:c r="C442" s="20" t="str">
        <x:v>王城罗德尔</x:v>
      </x:c>
      <x:c r="D442" s="20" t="n">
        <x:v>3</x:v>
      </x:c>
      <x:c r="E442" s="20" t="str">
        <x:v>王城矿井</x:v>
      </x:c>
      <x:c r="F442" s="20" t="n">
        <x:v>4</x:v>
      </x:c>
      <x:c r="G442" s="20" t="str">
        <x:v>XX957</x:v>
      </x:c>
      <x:c r="H442" s="20" t="str">
        <x:v>深层采掘区</x:v>
      </x:c>
      <x:c r="I442" s="20" t="str">
        <x:v>深井百臂掘王</x:v>
      </x:c>
      <x:c r="J442" s="20" t="str">
        <x:v>粉色</x:v>
      </x:c>
      <x:c r="K442" s="20" t="str">
        <x:v>地图BOSS</x:v>
      </x:c>
      <x:c r="L442" s="20" t="str">
        <x:v>古矿巨灵</x:v>
      </x:c>
      <x:c r="M442" s="20" t="str">
        <x:v>首领连击</x:v>
      </x:c>
      <x:c r="N442" s="20" t="str">
        <x:v>深井百臂灯笠</x:v>
      </x:c>
      <x:c r="O442" s="20" t="str">
        <x:v>斗笠</x:v>
      </x:c>
      <x:c r="P442" s="20" t="str">
        <x:v>王城金屑</x:v>
      </x:c>
      <x:c r="Q442" s="20" t="str">
        <x:v>王宫律文＋艾尔登王印</x:v>
      </x:c>
      <x:c r="R442" s="20" t="str">
        <x:v>失温熔炉楔</x:v>
      </x:c>
      <x:c r="S442" s="20" t="str">
        <x:v>穹律鎏痕拓片</x:v>
      </x:c>
      <x:c r="T442" s="20" t="str">
        <x:v>是（独立奖池）</x:v>
      </x:c>
      <x:c r="U442" s="20" t="str">
        <x:v>是（公共奖池）</x:v>
      </x:c>
      <x:c r="V442" s="22" t="str">
        <x:v>结构定稿</x:v>
      </x:c>
      <x:c r="W442" s="36" t="str">
        <x:v>用户自行分配／本表不处理</x:v>
      </x:c>
      <x:c r="X442" s="33" t="n">
        <x:v>6995</x:v>
      </x:c>
      <x:c r="Y442" s="29" t="str">
        <x:v>后期统一平衡</x:v>
      </x:c>
      <x:c r="Z442" s="20" t="str">
        <x:v>一怪一专属；专属来源跟随本行准确地图号</x:v>
      </x:c>
    </x:row>
    <x:row r="443" ht="24" customHeight="1">
      <x:c r="A443" s="20" t="str">
        <x:v>C10-M036</x:v>
      </x:c>
      <x:c r="B443" s="20" t="str">
        <x:v>C10</x:v>
      </x:c>
      <x:c r="C443" s="20" t="str">
        <x:v>王城罗德尔</x:v>
      </x:c>
      <x:c r="D443" s="20" t="n">
        <x:v>3</x:v>
      </x:c>
      <x:c r="E443" s="20" t="str">
        <x:v>王城矿井</x:v>
      </x:c>
      <x:c r="F443" s="20" t="n">
        <x:v>5</x:v>
      </x:c>
      <x:c r="G443" s="20" t="str">
        <x:v>XX956</x:v>
      </x:c>
      <x:c r="H443" s="20" t="str">
        <x:v>王城矿脉</x:v>
      </x:c>
      <x:c r="I443" s="20" t="str">
        <x:v>地脉熔冠巨像</x:v>
      </x:c>
      <x:c r="J443" s="20" t="str">
        <x:v>粉色</x:v>
      </x:c>
      <x:c r="K443" s="20" t="str">
        <x:v>地图BOSS</x:v>
      </x:c>
      <x:c r="L443" s="20" t="str">
        <x:v>矿脉铸像</x:v>
      </x:c>
      <x:c r="M443" s="20" t="str">
        <x:v>首领熔击</x:v>
      </x:c>
      <x:c r="N443" s="20" t="str">
        <x:v>熔冠镇脉巨锤</x:v>
      </x:c>
      <x:c r="O443" s="20" t="str">
        <x:v>武器</x:v>
      </x:c>
      <x:c r="P443" s="20" t="str">
        <x:v>王城金屑</x:v>
      </x:c>
      <x:c r="Q443" s="20" t="str">
        <x:v>王宫律文＋艾尔登王印</x:v>
      </x:c>
      <x:c r="R443" s="20" t="str">
        <x:v>失温熔炉楔</x:v>
      </x:c>
      <x:c r="S443" s="20" t="str">
        <x:v>穹律鎏痕拓片</x:v>
      </x:c>
      <x:c r="T443" s="20" t="str">
        <x:v>是（独立奖池）</x:v>
      </x:c>
      <x:c r="U443" s="20" t="str">
        <x:v>是（公共奖池）</x:v>
      </x:c>
      <x:c r="V443" s="22" t="str">
        <x:v>结构定稿</x:v>
      </x:c>
      <x:c r="W443" s="36" t="str">
        <x:v>用户自行分配／本表不处理</x:v>
      </x:c>
      <x:c r="X443" s="34" t="str">
        <x:v>缺武器来源码</x:v>
      </x:c>
      <x:c r="Y443" s="29" t="str">
        <x:v>后期统一平衡</x:v>
      </x:c>
      <x:c r="Z443" s="20" t="str">
        <x:v>一怪一专属；专属来源跟随本行准确地图号</x:v>
      </x:c>
    </x:row>
    <x:row r="444" ht="24" customHeight="1">
      <x:c r="A444" s="20" t="str">
        <x:v>C10-M037</x:v>
      </x:c>
      <x:c r="B444" s="20" t="str">
        <x:v>C10</x:v>
      </x:c>
      <x:c r="C444" s="20" t="str">
        <x:v>王城罗德尔</x:v>
      </x:c>
      <x:c r="D444" s="20" t="n">
        <x:v>4</x:v>
      </x:c>
      <x:c r="E444" s="20" t="str">
        <x:v>王城地穴</x:v>
      </x:c>
      <x:c r="F444" s="20" t="n">
        <x:v>1</x:v>
      </x:c>
      <x:c r="G444" s="20" t="str">
        <x:v>XX707</x:v>
      </x:c>
      <x:c r="H444" s="20" t="str">
        <x:v>王城地穴</x:v>
      </x:c>
      <x:c r="I444" s="20" t="str">
        <x:v>石棺刮蜡侍</x:v>
      </x:c>
      <x:c r="J444" s="20" t="str">
        <x:v>黄色</x:v>
      </x:c>
      <x:c r="K444" s="20" t="str">
        <x:v>普通</x:v>
      </x:c>
      <x:c r="L444" s="20" t="str">
        <x:v>墓烛侍从</x:v>
      </x:c>
      <x:c r="M444" s="20" t="str">
        <x:v>近战扰乱</x:v>
      </x:c>
      <x:c r="N444" s="20" t="str">
        <x:v>刮蜡墓烛匕</x:v>
      </x:c>
      <x:c r="O444" s="20" t="str">
        <x:v>武器</x:v>
      </x:c>
      <x:c r="P444" s="20" t="str">
        <x:v>王城金屑</x:v>
      </x:c>
      <x:c r="Q444" s="20" t="str"/>
      <x:c r="R444" s="20" t="str">
        <x:v>无名墓钉</x:v>
      </x:c>
      <x:c r="S444" s="20" t="str">
        <x:v>穹律鎏痕拓片</x:v>
      </x:c>
      <x:c r="T444" s="20" t="str">
        <x:v>否</x:v>
      </x:c>
      <x:c r="U444" s="20" t="str">
        <x:v>是（公共奖池）</x:v>
      </x:c>
      <x:c r="V444" s="22" t="str">
        <x:v>结构定稿</x:v>
      </x:c>
      <x:c r="W444" s="36" t="str">
        <x:v>用户自行分配／本表不处理</x:v>
      </x:c>
      <x:c r="X444" s="34" t="str">
        <x:v>缺武器来源码</x:v>
      </x:c>
      <x:c r="Y444" s="29" t="str">
        <x:v>后期统一平衡</x:v>
      </x:c>
      <x:c r="Z444" s="20" t="str">
        <x:v>一怪一专属；专属来源跟随本行准确地图号</x:v>
      </x:c>
    </x:row>
    <x:row r="445" ht="24" customHeight="1">
      <x:c r="A445" s="20" t="str">
        <x:v>C10-M038</x:v>
      </x:c>
      <x:c r="B445" s="20" t="str">
        <x:v>C10</x:v>
      </x:c>
      <x:c r="C445" s="20" t="str">
        <x:v>王城罗德尔</x:v>
      </x:c>
      <x:c r="D445" s="20" t="n">
        <x:v>4</x:v>
      </x:c>
      <x:c r="E445" s="20" t="str">
        <x:v>王城地穴</x:v>
      </x:c>
      <x:c r="F445" s="20" t="n">
        <x:v>1</x:v>
      </x:c>
      <x:c r="G445" s="20" t="str">
        <x:v>XX707</x:v>
      </x:c>
      <x:c r="H445" s="20" t="str">
        <x:v>王城地穴</x:v>
      </x:c>
      <x:c r="I445" s="20" t="str">
        <x:v>眠碑缝尸媪</x:v>
      </x:c>
      <x:c r="J445" s="20" t="str">
        <x:v>黄色</x:v>
      </x:c>
      <x:c r="K445" s="20" t="str">
        <x:v>普通</x:v>
      </x:c>
      <x:c r="L445" s="20" t="str">
        <x:v>地穴缝尸者</x:v>
      </x:c>
      <x:c r="M445" s="20" t="str">
        <x:v>支援缝合</x:v>
      </x:c>
      <x:c r="N445" s="20" t="str">
        <x:v>眠碑缝尸衣</x:v>
      </x:c>
      <x:c r="O445" s="20" t="str">
        <x:v>衣服</x:v>
      </x:c>
      <x:c r="P445" s="20" t="str">
        <x:v>王城金屑</x:v>
      </x:c>
      <x:c r="Q445" s="20" t="str"/>
      <x:c r="R445" s="20" t="str">
        <x:v>无名墓钉</x:v>
      </x:c>
      <x:c r="S445" s="20" t="str">
        <x:v>穹律鎏痕拓片</x:v>
      </x:c>
      <x:c r="T445" s="20" t="str">
        <x:v>否</x:v>
      </x:c>
      <x:c r="U445" s="20" t="str">
        <x:v>是（公共奖池）</x:v>
      </x:c>
      <x:c r="V445" s="22" t="str">
        <x:v>结构定稿</x:v>
      </x:c>
      <x:c r="W445" s="36" t="str">
        <x:v>用户自行分配／本表不处理</x:v>
      </x:c>
      <x:c r="X445" s="34" t="str">
        <x:v>缺衣服来源码</x:v>
      </x:c>
      <x:c r="Y445" s="29" t="str">
        <x:v>后期统一平衡</x:v>
      </x:c>
      <x:c r="Z445" s="20" t="str">
        <x:v>一怪一专属；专属来源跟随本行准确地图号</x:v>
      </x:c>
    </x:row>
    <x:row r="446" ht="24" customHeight="1">
      <x:c r="A446" s="20" t="str">
        <x:v>C10-M039</x:v>
      </x:c>
      <x:c r="B446" s="20" t="str">
        <x:v>C10</x:v>
      </x:c>
      <x:c r="C446" s="20" t="str">
        <x:v>王城罗德尔</x:v>
      </x:c>
      <x:c r="D446" s="20" t="n">
        <x:v>4</x:v>
      </x:c>
      <x:c r="E446" s="20" t="str">
        <x:v>王城地穴</x:v>
      </x:c>
      <x:c r="F446" s="20" t="n">
        <x:v>2</x:v>
      </x:c>
      <x:c r="G446" s="20" t="str">
        <x:v>XX708</x:v>
      </x:c>
      <x:c r="H446" s="20" t="str">
        <x:v>墓王甬道</x:v>
      </x:c>
      <x:c r="I446" s="20" t="str">
        <x:v>墓王执幡骨卫</x:v>
      </x:c>
      <x:c r="J446" s="20" t="str">
        <x:v>黄色</x:v>
      </x:c>
      <x:c r="K446" s="20" t="str">
        <x:v>普通</x:v>
      </x:c>
      <x:c r="L446" s="20" t="str">
        <x:v>墓王骨卫</x:v>
      </x:c>
      <x:c r="M446" s="20" t="str">
        <x:v>前排防守</x:v>
      </x:c>
      <x:c r="N446" s="20" t="str">
        <x:v>执幡骨纹盔</x:v>
      </x:c>
      <x:c r="O446" s="20" t="str">
        <x:v>头盔</x:v>
      </x:c>
      <x:c r="P446" s="20" t="str">
        <x:v>王城金屑</x:v>
      </x:c>
      <x:c r="Q446" s="20" t="str"/>
      <x:c r="R446" s="20" t="str">
        <x:v>无名墓钉</x:v>
      </x:c>
      <x:c r="S446" s="20" t="str">
        <x:v>穹律鎏痕拓片</x:v>
      </x:c>
      <x:c r="T446" s="20" t="str">
        <x:v>否</x:v>
      </x:c>
      <x:c r="U446" s="20" t="str">
        <x:v>是（公共奖池）</x:v>
      </x:c>
      <x:c r="V446" s="22" t="str">
        <x:v>结构定稿</x:v>
      </x:c>
      <x:c r="W446" s="36" t="str">
        <x:v>用户自行分配／本表不处理</x:v>
      </x:c>
      <x:c r="X446" s="33" t="n">
        <x:v>6103</x:v>
      </x:c>
      <x:c r="Y446" s="29" t="str">
        <x:v>后期统一平衡</x:v>
      </x:c>
      <x:c r="Z446" s="20" t="str">
        <x:v>一怪一专属；专属来源跟随本行准确地图号</x:v>
      </x:c>
    </x:row>
    <x:row r="447" ht="24" customHeight="1">
      <x:c r="A447" s="20" t="str">
        <x:v>C10-M040</x:v>
      </x:c>
      <x:c r="B447" s="20" t="str">
        <x:v>C10</x:v>
      </x:c>
      <x:c r="C447" s="20" t="str">
        <x:v>王城罗德尔</x:v>
      </x:c>
      <x:c r="D447" s="20" t="n">
        <x:v>4</x:v>
      </x:c>
      <x:c r="E447" s="20" t="str">
        <x:v>王城地穴</x:v>
      </x:c>
      <x:c r="F447" s="20" t="n">
        <x:v>2</x:v>
      </x:c>
      <x:c r="G447" s="20" t="str">
        <x:v>XX708</x:v>
      </x:c>
      <x:c r="H447" s="20" t="str">
        <x:v>墓王甬道</x:v>
      </x:c>
      <x:c r="I447" s="20" t="str">
        <x:v>甬道噤歌蛾</x:v>
      </x:c>
      <x:c r="J447" s="20" t="str">
        <x:v>黄色</x:v>
      </x:c>
      <x:c r="K447" s="20" t="str">
        <x:v>普通</x:v>
      </x:c>
      <x:c r="L447" s="20" t="str">
        <x:v>冥蛾</x:v>
      </x:c>
      <x:c r="M447" s="20" t="str">
        <x:v>群体沉默</x:v>
      </x:c>
      <x:c r="N447" s="20" t="str">
        <x:v>噤歌幽绡坠</x:v>
      </x:c>
      <x:c r="O447" s="20" t="str">
        <x:v>项链</x:v>
      </x:c>
      <x:c r="P447" s="20" t="str">
        <x:v>王城金屑</x:v>
      </x:c>
      <x:c r="Q447" s="20" t="str"/>
      <x:c r="R447" s="20" t="str">
        <x:v>无名墓钉</x:v>
      </x:c>
      <x:c r="S447" s="20" t="str">
        <x:v>穹律鎏痕拓片</x:v>
      </x:c>
      <x:c r="T447" s="20" t="str">
        <x:v>否</x:v>
      </x:c>
      <x:c r="U447" s="20" t="str">
        <x:v>是（公共奖池）</x:v>
      </x:c>
      <x:c r="V447" s="22" t="str">
        <x:v>结构定稿</x:v>
      </x:c>
      <x:c r="W447" s="36" t="str">
        <x:v>用户自行分配／本表不处理</x:v>
      </x:c>
      <x:c r="X447" s="33" t="n">
        <x:v>6084</x:v>
      </x:c>
      <x:c r="Y447" s="29" t="str">
        <x:v>后期统一平衡</x:v>
      </x:c>
      <x:c r="Z447" s="20" t="str">
        <x:v>一怪一专属；专属来源跟随本行准确地图号</x:v>
      </x:c>
    </x:row>
    <x:row r="448" ht="24" customHeight="1">
      <x:c r="A448" s="20" t="str">
        <x:v>C10-M041</x:v>
      </x:c>
      <x:c r="B448" s="20" t="str">
        <x:v>C10</x:v>
      </x:c>
      <x:c r="C448" s="20" t="str">
        <x:v>王城罗德尔</x:v>
      </x:c>
      <x:c r="D448" s="20" t="n">
        <x:v>4</x:v>
      </x:c>
      <x:c r="E448" s="20" t="str">
        <x:v>王城地穴</x:v>
      </x:c>
      <x:c r="F448" s="20" t="n">
        <x:v>3</x:v>
      </x:c>
      <x:c r="G448" s="20" t="str">
        <x:v>XX704</x:v>
      </x:c>
      <x:c r="H448" s="20" t="str">
        <x:v>地穴寝室</x:v>
      </x:c>
      <x:c r="I448" s="20" t="str">
        <x:v>寝室抱瓮童</x:v>
      </x:c>
      <x:c r="J448" s="20" t="str">
        <x:v>黄色</x:v>
      </x:c>
      <x:c r="K448" s="20" t="str">
        <x:v>普通</x:v>
      </x:c>
      <x:c r="L448" s="20" t="str">
        <x:v>葬瓮灵童</x:v>
      </x:c>
      <x:c r="M448" s="20" t="str">
        <x:v>远程投掷</x:v>
      </x:c>
      <x:c r="N448" s="20" t="str">
        <x:v>抱瓮缚灵镯</x:v>
      </x:c>
      <x:c r="O448" s="20" t="str">
        <x:v>手镯</x:v>
      </x:c>
      <x:c r="P448" s="20" t="str">
        <x:v>王城金屑</x:v>
      </x:c>
      <x:c r="Q448" s="20" t="str"/>
      <x:c r="R448" s="20" t="str">
        <x:v>无名墓钉</x:v>
      </x:c>
      <x:c r="S448" s="20" t="str">
        <x:v>穹律鎏痕拓片</x:v>
      </x:c>
      <x:c r="T448" s="20" t="str">
        <x:v>否</x:v>
      </x:c>
      <x:c r="U448" s="20" t="str">
        <x:v>是（公共奖池）</x:v>
      </x:c>
      <x:c r="V448" s="22" t="str">
        <x:v>结构定稿</x:v>
      </x:c>
      <x:c r="W448" s="36" t="str">
        <x:v>用户自行分配／本表不处理</x:v>
      </x:c>
      <x:c r="X448" s="33" t="n">
        <x:v>6041</x:v>
      </x:c>
      <x:c r="Y448" s="29" t="str">
        <x:v>后期统一平衡</x:v>
      </x:c>
      <x:c r="Z448" s="20" t="str">
        <x:v>一怪一专属；专属来源跟随本行准确地图号</x:v>
      </x:c>
    </x:row>
    <x:row r="449" ht="24" customHeight="1">
      <x:c r="A449" s="20" t="str">
        <x:v>C10-M042</x:v>
      </x:c>
      <x:c r="B449" s="20" t="str">
        <x:v>C10</x:v>
      </x:c>
      <x:c r="C449" s="20" t="str">
        <x:v>王城罗德尔</x:v>
      </x:c>
      <x:c r="D449" s="20" t="n">
        <x:v>4</x:v>
      </x:c>
      <x:c r="E449" s="20" t="str">
        <x:v>王城地穴</x:v>
      </x:c>
      <x:c r="F449" s="20" t="n">
        <x:v>3</x:v>
      </x:c>
      <x:c r="G449" s="20" t="str">
        <x:v>XX704</x:v>
      </x:c>
      <x:c r="H449" s="20" t="str">
        <x:v>地穴寝室</x:v>
      </x:c>
      <x:c r="I449" s="20" t="str">
        <x:v>枕陵掘指尸</x:v>
      </x:c>
      <x:c r="J449" s="20" t="str">
        <x:v>黄色</x:v>
      </x:c>
      <x:c r="K449" s="20" t="str">
        <x:v>普通</x:v>
      </x:c>
      <x:c r="L449" s="20" t="str">
        <x:v>地穴尸鬼</x:v>
      </x:c>
      <x:c r="M449" s="20" t="str">
        <x:v>近战突袭</x:v>
      </x:c>
      <x:c r="N449" s="20" t="str">
        <x:v>枕陵掘痕靴</x:v>
      </x:c>
      <x:c r="O449" s="20" t="str">
        <x:v>鞋子</x:v>
      </x:c>
      <x:c r="P449" s="20" t="str">
        <x:v>王城金屑</x:v>
      </x:c>
      <x:c r="Q449" s="20" t="str"/>
      <x:c r="R449" s="20" t="str">
        <x:v>无名墓钉</x:v>
      </x:c>
      <x:c r="S449" s="20" t="str">
        <x:v>穹律鎏痕拓片</x:v>
      </x:c>
      <x:c r="T449" s="20" t="str">
        <x:v>否</x:v>
      </x:c>
      <x:c r="U449" s="20" t="str">
        <x:v>是（公共奖池）</x:v>
      </x:c>
      <x:c r="V449" s="22" t="str">
        <x:v>结构定稿</x:v>
      </x:c>
      <x:c r="W449" s="36" t="str">
        <x:v>用户自行分配／本表不处理</x:v>
      </x:c>
      <x:c r="X449" s="33" t="n">
        <x:v>6018</x:v>
      </x:c>
      <x:c r="Y449" s="29" t="str">
        <x:v>后期统一平衡</x:v>
      </x:c>
      <x:c r="Z449" s="20" t="str">
        <x:v>一怪一专属；专属来源跟随本行准确地图号</x:v>
      </x:c>
    </x:row>
    <x:row r="450" ht="24" customHeight="1">
      <x:c r="A450" s="20" t="str">
        <x:v>C10-M043</x:v>
      </x:c>
      <x:c r="B450" s="20" t="str">
        <x:v>C10</x:v>
      </x:c>
      <x:c r="C450" s="20" t="str">
        <x:v>王城罗德尔</x:v>
      </x:c>
      <x:c r="D450" s="20" t="n">
        <x:v>4</x:v>
      </x:c>
      <x:c r="E450" s="20" t="str">
        <x:v>王城地穴</x:v>
      </x:c>
      <x:c r="F450" s="20" t="n">
        <x:v>1</x:v>
      </x:c>
      <x:c r="G450" s="20" t="str">
        <x:v>XX707</x:v>
      </x:c>
      <x:c r="H450" s="20" t="str">
        <x:v>王城地穴</x:v>
      </x:c>
      <x:c r="I450" s="20" t="str">
        <x:v>无烛守丧女</x:v>
      </x:c>
      <x:c r="J450" s="20" t="str">
        <x:v>蓝色</x:v>
      </x:c>
      <x:c r="K450" s="20" t="str">
        <x:v>稀有</x:v>
      </x:c>
      <x:c r="L450" s="20" t="str">
        <x:v>丧仪幽灵</x:v>
      </x:c>
      <x:c r="M450" s="20" t="str">
        <x:v>咒仪削弱</x:v>
      </x:c>
      <x:c r="N450" s="20" t="str">
        <x:v>无烛哀誓戒</x:v>
      </x:c>
      <x:c r="O450" s="20" t="str">
        <x:v>戒指</x:v>
      </x:c>
      <x:c r="P450" s="20" t="str">
        <x:v>王城金屑</x:v>
      </x:c>
      <x:c r="Q450" s="20" t="str">
        <x:v>王宫律文</x:v>
      </x:c>
      <x:c r="R450" s="20" t="str">
        <x:v>旧渠阀芯</x:v>
      </x:c>
      <x:c r="S450" s="20" t="str">
        <x:v>穹律鎏痕拓片</x:v>
      </x:c>
      <x:c r="T450" s="20" t="str">
        <x:v>否</x:v>
      </x:c>
      <x:c r="U450" s="20" t="str">
        <x:v>是（公共奖池）</x:v>
      </x:c>
      <x:c r="V450" s="22" t="str">
        <x:v>结构定稿</x:v>
      </x:c>
      <x:c r="W450" s="36" t="str">
        <x:v>用户自行分配／本表不处理</x:v>
      </x:c>
      <x:c r="X450" s="33" t="n">
        <x:v>6078</x:v>
      </x:c>
      <x:c r="Y450" s="29" t="str">
        <x:v>后期统一平衡</x:v>
      </x:c>
      <x:c r="Z450" s="20" t="str">
        <x:v>一怪一专属；专属来源跟随本行准确地图号</x:v>
      </x:c>
    </x:row>
    <x:row r="451" ht="24" customHeight="1">
      <x:c r="A451" s="20" t="str">
        <x:v>C10-M044</x:v>
      </x:c>
      <x:c r="B451" s="20" t="str">
        <x:v>C10</x:v>
      </x:c>
      <x:c r="C451" s="20" t="str">
        <x:v>王城罗德尔</x:v>
      </x:c>
      <x:c r="D451" s="20" t="n">
        <x:v>4</x:v>
      </x:c>
      <x:c r="E451" s="20" t="str">
        <x:v>王城地穴</x:v>
      </x:c>
      <x:c r="F451" s="20" t="n">
        <x:v>2</x:v>
      </x:c>
      <x:c r="G451" s="20" t="str">
        <x:v>XX708</x:v>
      </x:c>
      <x:c r="H451" s="20" t="str">
        <x:v>墓王甬道</x:v>
      </x:c>
      <x:c r="I451" s="20" t="str">
        <x:v>断碑驮棺兽</x:v>
      </x:c>
      <x:c r="J451" s="20" t="str">
        <x:v>蓝色</x:v>
      </x:c>
      <x:c r="K451" s="20" t="str">
        <x:v>稀有</x:v>
      </x:c>
      <x:c r="L451" s="20" t="str">
        <x:v>驮棺巨兽</x:v>
      </x:c>
      <x:c r="M451" s="20" t="str">
        <x:v>冲锋压制</x:v>
      </x:c>
      <x:c r="N451" s="20" t="str">
        <x:v>断碑驮棺带</x:v>
      </x:c>
      <x:c r="O451" s="20" t="str">
        <x:v>腰带</x:v>
      </x:c>
      <x:c r="P451" s="20" t="str">
        <x:v>王城金屑</x:v>
      </x:c>
      <x:c r="Q451" s="20" t="str">
        <x:v>王宫律文</x:v>
      </x:c>
      <x:c r="R451" s="20" t="str">
        <x:v>旧渠阀芯</x:v>
      </x:c>
      <x:c r="S451" s="20" t="str">
        <x:v>穹律鎏痕拓片</x:v>
      </x:c>
      <x:c r="T451" s="20" t="str">
        <x:v>否</x:v>
      </x:c>
      <x:c r="U451" s="20" t="str">
        <x:v>是（公共奖池）</x:v>
      </x:c>
      <x:c r="V451" s="22" t="str">
        <x:v>结构定稿</x:v>
      </x:c>
      <x:c r="W451" s="36" t="str">
        <x:v>用户自行分配／本表不处理</x:v>
      </x:c>
      <x:c r="X451" s="33" t="n">
        <x:v>6028</x:v>
      </x:c>
      <x:c r="Y451" s="29" t="str">
        <x:v>后期统一平衡</x:v>
      </x:c>
      <x:c r="Z451" s="20" t="str">
        <x:v>一怪一专属；专属来源跟随本行准确地图号</x:v>
      </x:c>
    </x:row>
    <x:row r="452" ht="24" customHeight="1">
      <x:c r="A452" s="20" t="str">
        <x:v>C10-M045</x:v>
      </x:c>
      <x:c r="B452" s="20" t="str">
        <x:v>C10</x:v>
      </x:c>
      <x:c r="C452" s="20" t="str">
        <x:v>王城罗德尔</x:v>
      </x:c>
      <x:c r="D452" s="20" t="n">
        <x:v>4</x:v>
      </x:c>
      <x:c r="E452" s="20" t="str">
        <x:v>王城地穴</x:v>
      </x:c>
      <x:c r="F452" s="20" t="n">
        <x:v>2</x:v>
      </x:c>
      <x:c r="G452" s="20" t="str">
        <x:v>XX708</x:v>
      </x:c>
      <x:c r="H452" s="20" t="str">
        <x:v>墓王甬道</x:v>
      </x:c>
      <x:c r="I452" s="20" t="str">
        <x:v>王甬秤罪官</x:v>
      </x:c>
      <x:c r="J452" s="20" t="str">
        <x:v>蓝色</x:v>
      </x:c>
      <x:c r="K452" s="20" t="str">
        <x:v>稀有</x:v>
      </x:c>
      <x:c r="L452" s="20" t="str">
        <x:v>墓律判官</x:v>
      </x:c>
      <x:c r="M452" s="20" t="str">
        <x:v>裁决控场</x:v>
      </x:c>
      <x:c r="N452" s="20" t="str">
        <x:v>秤罪墓律章</x:v>
      </x:c>
      <x:c r="O452" s="20" t="str">
        <x:v>勋章</x:v>
      </x:c>
      <x:c r="P452" s="20" t="str">
        <x:v>王城金屑</x:v>
      </x:c>
      <x:c r="Q452" s="20" t="str">
        <x:v>王宫律文</x:v>
      </x:c>
      <x:c r="R452" s="20" t="str">
        <x:v>旧渠阀芯</x:v>
      </x:c>
      <x:c r="S452" s="20" t="str">
        <x:v>穹律鎏痕拓片</x:v>
      </x:c>
      <x:c r="T452" s="20" t="str">
        <x:v>否</x:v>
      </x:c>
      <x:c r="U452" s="20" t="str">
        <x:v>是（公共奖池）</x:v>
      </x:c>
      <x:c r="V452" s="22" t="str">
        <x:v>结构定稿</x:v>
      </x:c>
      <x:c r="W452" s="36" t="str">
        <x:v>用户自行分配／本表不处理</x:v>
      </x:c>
      <x:c r="X452" s="33" t="n">
        <x:v>5903</x:v>
      </x:c>
      <x:c r="Y452" s="29" t="str">
        <x:v>后期统一平衡</x:v>
      </x:c>
      <x:c r="Z452" s="20" t="str">
        <x:v>一怪一专属；专属来源跟随本行准确地图号</x:v>
      </x:c>
    </x:row>
    <x:row r="453" ht="24" customHeight="1">
      <x:c r="A453" s="20" t="str">
        <x:v>C10-M046</x:v>
      </x:c>
      <x:c r="B453" s="20" t="str">
        <x:v>C10</x:v>
      </x:c>
      <x:c r="C453" s="20" t="str">
        <x:v>王城罗德尔</x:v>
      </x:c>
      <x:c r="D453" s="20" t="n">
        <x:v>4</x:v>
      </x:c>
      <x:c r="E453" s="20" t="str">
        <x:v>王城地穴</x:v>
      </x:c>
      <x:c r="F453" s="20" t="n">
        <x:v>3</x:v>
      </x:c>
      <x:c r="G453" s="20" t="str">
        <x:v>XX704</x:v>
      </x:c>
      <x:c r="H453" s="20" t="str">
        <x:v>地穴寝室</x:v>
      </x:c>
      <x:c r="I453" s="20" t="str">
        <x:v>寝门返魂甲</x:v>
      </x:c>
      <x:c r="J453" s="20" t="str">
        <x:v>蓝色</x:v>
      </x:c>
      <x:c r="K453" s="20" t="str">
        <x:v>稀有</x:v>
      </x:c>
      <x:c r="L453" s="20" t="str">
        <x:v>葬甲傀儡</x:v>
      </x:c>
      <x:c r="M453" s="20" t="str">
        <x:v>护卫反击</x:v>
      </x:c>
      <x:c r="N453" s="20" t="str">
        <x:v>返魂寝门盾</x:v>
      </x:c>
      <x:c r="O453" s="20" t="str">
        <x:v>盾牌</x:v>
      </x:c>
      <x:c r="P453" s="20" t="str">
        <x:v>王城金屑</x:v>
      </x:c>
      <x:c r="Q453" s="20" t="str">
        <x:v>王宫律文</x:v>
      </x:c>
      <x:c r="R453" s="20" t="str">
        <x:v>旧渠阀芯</x:v>
      </x:c>
      <x:c r="S453" s="20" t="str">
        <x:v>穹律鎏痕拓片</x:v>
      </x:c>
      <x:c r="T453" s="20" t="str">
        <x:v>否</x:v>
      </x:c>
      <x:c r="U453" s="20" t="str">
        <x:v>是（公共奖池）</x:v>
      </x:c>
      <x:c r="V453" s="22" t="str">
        <x:v>结构定稿</x:v>
      </x:c>
      <x:c r="W453" s="36" t="str">
        <x:v>用户自行分配／本表不处理</x:v>
      </x:c>
      <x:c r="X453" s="33" t="n">
        <x:v>6043</x:v>
      </x:c>
      <x:c r="Y453" s="29" t="str">
        <x:v>后期统一平衡</x:v>
      </x:c>
      <x:c r="Z453" s="20" t="str">
        <x:v>一怪一专属；专属来源跟随本行准确地图号</x:v>
      </x:c>
    </x:row>
    <x:row r="454" ht="24" customHeight="1">
      <x:c r="A454" s="20" t="str">
        <x:v>C10-M047</x:v>
      </x:c>
      <x:c r="B454" s="20" t="str">
        <x:v>C10</x:v>
      </x:c>
      <x:c r="C454" s="20" t="str">
        <x:v>王城罗德尔</x:v>
      </x:c>
      <x:c r="D454" s="20" t="n">
        <x:v>4</x:v>
      </x:c>
      <x:c r="E454" s="20" t="str">
        <x:v>王城地穴</x:v>
      </x:c>
      <x:c r="F454" s="20" t="n">
        <x:v>2</x:v>
      </x:c>
      <x:c r="G454" s="20" t="str">
        <x:v>XX708</x:v>
      </x:c>
      <x:c r="H454" s="20" t="str">
        <x:v>墓王甬道</x:v>
      </x:c>
      <x:c r="I454" s="20" t="str">
        <x:v>不葬的甬道王妃</x:v>
      </x:c>
      <x:c r="J454" s="20" t="str">
        <x:v>粉色</x:v>
      </x:c>
      <x:c r="K454" s="20" t="str">
        <x:v>地图BOSS</x:v>
      </x:c>
      <x:c r="L454" s="20" t="str">
        <x:v>墓王眷灵</x:v>
      </x:c>
      <x:c r="M454" s="20" t="str">
        <x:v>首领召唤</x:v>
      </x:c>
      <x:c r="N454" s="20" t="str">
        <x:v>不葬王妃冥笠</x:v>
      </x:c>
      <x:c r="O454" s="20" t="str">
        <x:v>斗笠</x:v>
      </x:c>
      <x:c r="P454" s="20" t="str">
        <x:v>王城金屑</x:v>
      </x:c>
      <x:c r="Q454" s="20" t="str">
        <x:v>王宫律文＋艾尔登王印</x:v>
      </x:c>
      <x:c r="R454" s="20" t="str">
        <x:v>失温熔炉楔</x:v>
      </x:c>
      <x:c r="S454" s="20" t="str">
        <x:v>穹律鎏痕拓片</x:v>
      </x:c>
      <x:c r="T454" s="20" t="str">
        <x:v>是（独立奖池）</x:v>
      </x:c>
      <x:c r="U454" s="20" t="str">
        <x:v>是（公共奖池）</x:v>
      </x:c>
      <x:c r="V454" s="22" t="str">
        <x:v>结构定稿</x:v>
      </x:c>
      <x:c r="W454" s="36" t="str">
        <x:v>用户自行分配／本表不处理</x:v>
      </x:c>
      <x:c r="X454" s="33" t="n">
        <x:v>7030</x:v>
      </x:c>
      <x:c r="Y454" s="29" t="str">
        <x:v>后期统一平衡</x:v>
      </x:c>
      <x:c r="Z454" s="20" t="str">
        <x:v>一怪一专属；专属来源跟随本行准确地图号</x:v>
      </x:c>
    </x:row>
    <x:row r="455" ht="24" customHeight="1">
      <x:c r="A455" s="20" t="str">
        <x:v>C10-M048</x:v>
      </x:c>
      <x:c r="B455" s="20" t="str">
        <x:v>C10</x:v>
      </x:c>
      <x:c r="C455" s="20" t="str">
        <x:v>王城罗德尔</x:v>
      </x:c>
      <x:c r="D455" s="20" t="n">
        <x:v>4</x:v>
      </x:c>
      <x:c r="E455" s="20" t="str">
        <x:v>王城地穴</x:v>
      </x:c>
      <x:c r="F455" s="20" t="n">
        <x:v>3</x:v>
      </x:c>
      <x:c r="G455" s="20" t="str">
        <x:v>XX704</x:v>
      </x:c>
      <x:c r="H455" s="20" t="str">
        <x:v>地穴寝室</x:v>
      </x:c>
      <x:c r="I455" s="20" t="str">
        <x:v>枯寝吞碑王</x:v>
      </x:c>
      <x:c r="J455" s="20" t="str">
        <x:v>粉色</x:v>
      </x:c>
      <x:c r="K455" s="20" t="str">
        <x:v>地图BOSS</x:v>
      </x:c>
      <x:c r="L455" s="20" t="str">
        <x:v>古墓尸王</x:v>
      </x:c>
      <x:c r="M455" s="20" t="str">
        <x:v>首领吞噬</x:v>
      </x:c>
      <x:c r="N455" s="20" t="str">
        <x:v>吞碑枯寝大氅</x:v>
      </x:c>
      <x:c r="O455" s="20" t="str">
        <x:v>衣服</x:v>
      </x:c>
      <x:c r="P455" s="20" t="str">
        <x:v>王城金屑</x:v>
      </x:c>
      <x:c r="Q455" s="20" t="str">
        <x:v>王宫律文＋艾尔登王印</x:v>
      </x:c>
      <x:c r="R455" s="20" t="str">
        <x:v>失温熔炉楔</x:v>
      </x:c>
      <x:c r="S455" s="20" t="str">
        <x:v>穹律鎏痕拓片</x:v>
      </x:c>
      <x:c r="T455" s="20" t="str">
        <x:v>是（独立奖池）</x:v>
      </x:c>
      <x:c r="U455" s="20" t="str">
        <x:v>是（公共奖池）</x:v>
      </x:c>
      <x:c r="V455" s="22" t="str">
        <x:v>结构定稿</x:v>
      </x:c>
      <x:c r="W455" s="36" t="str">
        <x:v>用户自行分配／本表不处理</x:v>
      </x:c>
      <x:c r="X455" s="34" t="str">
        <x:v>缺衣服来源码</x:v>
      </x:c>
      <x:c r="Y455" s="29" t="str">
        <x:v>后期统一平衡</x:v>
      </x:c>
      <x:c r="Z455" s="20" t="str">
        <x:v>一怪一专属；专属来源跟随本行准确地图号</x:v>
      </x:c>
    </x:row>
    <x:row r="456" ht="24" customHeight="1">
      <x:c r="A456" s="20" t="str">
        <x:v>C10-M049</x:v>
      </x:c>
      <x:c r="B456" s="20" t="str">
        <x:v>C10</x:v>
      </x:c>
      <x:c r="C456" s="20" t="str">
        <x:v>王城罗德尔</x:v>
      </x:c>
      <x:c r="D456" s="20" t="n">
        <x:v>5</x:v>
      </x:c>
      <x:c r="E456" s="20" t="str">
        <x:v>黄金王宫</x:v>
      </x:c>
      <x:c r="F456" s="20" t="n">
        <x:v>1</x:v>
      </x:c>
      <x:c r="G456" s="20" t="str">
        <x:v>XX371</x:v>
      </x:c>
      <x:c r="H456" s="20" t="str">
        <x:v>黄金王宫外庭</x:v>
      </x:c>
      <x:c r="I456" s="20" t="str">
        <x:v>日轮扫阶侍</x:v>
      </x:c>
      <x:c r="J456" s="20" t="str">
        <x:v>黄色</x:v>
      </x:c>
      <x:c r="K456" s="20" t="str">
        <x:v>普通</x:v>
      </x:c>
      <x:c r="L456" s="20" t="str">
        <x:v>王庭侍从</x:v>
      </x:c>
      <x:c r="M456" s="20" t="str">
        <x:v>近战牵制</x:v>
      </x:c>
      <x:c r="N456" s="20" t="str">
        <x:v>扫阶日轮刃</x:v>
      </x:c>
      <x:c r="O456" s="20" t="str">
        <x:v>武器</x:v>
      </x:c>
      <x:c r="P456" s="20" t="str">
        <x:v>王城金屑</x:v>
      </x:c>
      <x:c r="Q456" s="20" t="str"/>
      <x:c r="R456" s="20" t="str">
        <x:v>无名墓钉</x:v>
      </x:c>
      <x:c r="S456" s="20" t="str">
        <x:v>穹律鎏痕拓片</x:v>
      </x:c>
      <x:c r="T456" s="20" t="str">
        <x:v>否</x:v>
      </x:c>
      <x:c r="U456" s="20" t="str">
        <x:v>是（公共奖池）</x:v>
      </x:c>
      <x:c r="V456" s="22" t="str">
        <x:v>结构定稿</x:v>
      </x:c>
      <x:c r="W456" s="36" t="str">
        <x:v>用户自行分配／本表不处理</x:v>
      </x:c>
      <x:c r="X456" s="34" t="str">
        <x:v>缺武器来源码</x:v>
      </x:c>
      <x:c r="Y456" s="29" t="str">
        <x:v>后期统一平衡</x:v>
      </x:c>
      <x:c r="Z456" s="20" t="str">
        <x:v>一怪一专属；专属来源跟随本行准确地图号</x:v>
      </x:c>
    </x:row>
    <x:row r="457" ht="24" customHeight="1">
      <x:c r="A457" s="20" t="str">
        <x:v>C10-M050</x:v>
      </x:c>
      <x:c r="B457" s="20" t="str">
        <x:v>C10</x:v>
      </x:c>
      <x:c r="C457" s="20" t="str">
        <x:v>王城罗德尔</x:v>
      </x:c>
      <x:c r="D457" s="20" t="n">
        <x:v>5</x:v>
      </x:c>
      <x:c r="E457" s="20" t="str">
        <x:v>黄金王宫</x:v>
      </x:c>
      <x:c r="F457" s="20" t="n">
        <x:v>1</x:v>
      </x:c>
      <x:c r="G457" s="20" t="str">
        <x:v>XX371</x:v>
      </x:c>
      <x:c r="H457" s="20" t="str">
        <x:v>黄金王宫外庭</x:v>
      </x:c>
      <x:c r="I457" s="20" t="str">
        <x:v>金桂驯狮吏</x:v>
      </x:c>
      <x:c r="J457" s="20" t="str">
        <x:v>黄色</x:v>
      </x:c>
      <x:c r="K457" s="20" t="str">
        <x:v>普通</x:v>
      </x:c>
      <x:c r="L457" s="20" t="str">
        <x:v>宫苑兽吏</x:v>
      </x:c>
      <x:c r="M457" s="20" t="str">
        <x:v>支援驭兽</x:v>
      </x:c>
      <x:c r="N457" s="20" t="str">
        <x:v>金桂驯狮腕</x:v>
      </x:c>
      <x:c r="O457" s="20" t="str">
        <x:v>手镯</x:v>
      </x:c>
      <x:c r="P457" s="20" t="str">
        <x:v>王城金屑</x:v>
      </x:c>
      <x:c r="Q457" s="20" t="str"/>
      <x:c r="R457" s="20" t="str">
        <x:v>无名墓钉</x:v>
      </x:c>
      <x:c r="S457" s="20" t="str">
        <x:v>穹律鎏痕拓片</x:v>
      </x:c>
      <x:c r="T457" s="20" t="str">
        <x:v>否</x:v>
      </x:c>
      <x:c r="U457" s="20" t="str">
        <x:v>是（公共奖池）</x:v>
      </x:c>
      <x:c r="V457" s="22" t="str">
        <x:v>结构定稿</x:v>
      </x:c>
      <x:c r="W457" s="36" t="str">
        <x:v>用户自行分配／本表不处理</x:v>
      </x:c>
      <x:c r="X457" s="33" t="n">
        <x:v>6068</x:v>
      </x:c>
      <x:c r="Y457" s="29" t="str">
        <x:v>后期统一平衡</x:v>
      </x:c>
      <x:c r="Z457" s="20" t="str">
        <x:v>一怪一专属；专属来源跟随本行准确地图号</x:v>
      </x:c>
    </x:row>
    <x:row r="458" ht="24" customHeight="1">
      <x:c r="A458" s="20" t="str">
        <x:v>C10-M051</x:v>
      </x:c>
      <x:c r="B458" s="20" t="str">
        <x:v>C10</x:v>
      </x:c>
      <x:c r="C458" s="20" t="str">
        <x:v>王城罗德尔</x:v>
      </x:c>
      <x:c r="D458" s="20" t="n">
        <x:v>5</x:v>
      </x:c>
      <x:c r="E458" s="20" t="str">
        <x:v>黄金王宫</x:v>
      </x:c>
      <x:c r="F458" s="20" t="n">
        <x:v>2</x:v>
      </x:c>
      <x:c r="G458" s="20" t="str">
        <x:v>XX372</x:v>
      </x:c>
      <x:c r="H458" s="20" t="str">
        <x:v>王宫内庭</x:v>
      </x:c>
      <x:c r="I458" s="20" t="str">
        <x:v>垂纱持香女</x:v>
      </x:c>
      <x:c r="J458" s="20" t="str">
        <x:v>黄色</x:v>
      </x:c>
      <x:c r="K458" s="20" t="str">
        <x:v>普通</x:v>
      </x:c>
      <x:c r="L458" s="20" t="str">
        <x:v>王宫侍女</x:v>
      </x:c>
      <x:c r="M458" s="20" t="str">
        <x:v>香雾扰乱</x:v>
      </x:c>
      <x:c r="N458" s="20" t="str">
        <x:v>垂纱持香衣</x:v>
      </x:c>
      <x:c r="O458" s="20" t="str">
        <x:v>衣服</x:v>
      </x:c>
      <x:c r="P458" s="20" t="str">
        <x:v>王城金屑</x:v>
      </x:c>
      <x:c r="Q458" s="20" t="str"/>
      <x:c r="R458" s="20" t="str">
        <x:v>无名墓钉</x:v>
      </x:c>
      <x:c r="S458" s="20" t="str">
        <x:v>穹律鎏痕拓片</x:v>
      </x:c>
      <x:c r="T458" s="20" t="str">
        <x:v>否</x:v>
      </x:c>
      <x:c r="U458" s="20" t="str">
        <x:v>是（公共奖池）</x:v>
      </x:c>
      <x:c r="V458" s="22" t="str">
        <x:v>结构定稿</x:v>
      </x:c>
      <x:c r="W458" s="36" t="str">
        <x:v>用户自行分配／本表不处理</x:v>
      </x:c>
      <x:c r="X458" s="34" t="str">
        <x:v>缺衣服来源码</x:v>
      </x:c>
      <x:c r="Y458" s="29" t="str">
        <x:v>后期统一平衡</x:v>
      </x:c>
      <x:c r="Z458" s="20" t="str">
        <x:v>一怪一专属；专属来源跟随本行准确地图号</x:v>
      </x:c>
    </x:row>
    <x:row r="459" ht="24" customHeight="1">
      <x:c r="A459" s="20" t="str">
        <x:v>C10-M052</x:v>
      </x:c>
      <x:c r="B459" s="20" t="str">
        <x:v>C10</x:v>
      </x:c>
      <x:c r="C459" s="20" t="str">
        <x:v>王城罗德尔</x:v>
      </x:c>
      <x:c r="D459" s="20" t="n">
        <x:v>5</x:v>
      </x:c>
      <x:c r="E459" s="20" t="str">
        <x:v>黄金王宫</x:v>
      </x:c>
      <x:c r="F459" s="20" t="n">
        <x:v>3</x:v>
      </x:c>
      <x:c r="G459" s="20" t="str">
        <x:v>XX463</x:v>
      </x:c>
      <x:c r="H459" s="20" t="str">
        <x:v>王宫深殿</x:v>
      </x:c>
      <x:c r="I459" s="20" t="str">
        <x:v>律烛诵壁僧</x:v>
      </x:c>
      <x:c r="J459" s="20" t="str">
        <x:v>黄色</x:v>
      </x:c>
      <x:c r="K459" s="20" t="str">
        <x:v>普通</x:v>
      </x:c>
      <x:c r="L459" s="20" t="str">
        <x:v>殿堂律僧</x:v>
      </x:c>
      <x:c r="M459" s="20" t="str">
        <x:v>远程术击</x:v>
      </x:c>
      <x:c r="N459" s="20" t="str">
        <x:v>律烛诵壁冠</x:v>
      </x:c>
      <x:c r="O459" s="20" t="str">
        <x:v>头盔</x:v>
      </x:c>
      <x:c r="P459" s="20" t="str">
        <x:v>王城金屑</x:v>
      </x:c>
      <x:c r="Q459" s="20" t="str"/>
      <x:c r="R459" s="20" t="str">
        <x:v>无名墓钉</x:v>
      </x:c>
      <x:c r="S459" s="20" t="str">
        <x:v>穹律鎏痕拓片</x:v>
      </x:c>
      <x:c r="T459" s="20" t="str">
        <x:v>否</x:v>
      </x:c>
      <x:c r="U459" s="20" t="str">
        <x:v>是（公共奖池）</x:v>
      </x:c>
      <x:c r="V459" s="22" t="str">
        <x:v>结构定稿</x:v>
      </x:c>
      <x:c r="W459" s="36" t="str">
        <x:v>用户自行分配／本表不处理</x:v>
      </x:c>
      <x:c r="X459" s="33" t="n">
        <x:v>6112</x:v>
      </x:c>
      <x:c r="Y459" s="29" t="str">
        <x:v>后期统一平衡</x:v>
      </x:c>
      <x:c r="Z459" s="20" t="str">
        <x:v>一怪一专属；专属来源跟随本行准确地图号</x:v>
      </x:c>
    </x:row>
    <x:row r="460" ht="24" customHeight="1">
      <x:c r="A460" s="20" t="str">
        <x:v>C10-M053</x:v>
      </x:c>
      <x:c r="B460" s="20" t="str">
        <x:v>C10</x:v>
      </x:c>
      <x:c r="C460" s="20" t="str">
        <x:v>王城罗德尔</x:v>
      </x:c>
      <x:c r="D460" s="20" t="n">
        <x:v>5</x:v>
      </x:c>
      <x:c r="E460" s="20" t="str">
        <x:v>黄金王宫</x:v>
      </x:c>
      <x:c r="F460" s="20" t="n">
        <x:v>4</x:v>
      </x:c>
      <x:c r="G460" s="20" t="str">
        <x:v>XX370</x:v>
      </x:c>
      <x:c r="H460" s="20" t="str">
        <x:v>黄金王座前厅</x:v>
      </x:c>
      <x:c r="I460" s="20" t="str">
        <x:v>前厅捧剑灵</x:v>
      </x:c>
      <x:c r="J460" s="20" t="str">
        <x:v>黄色</x:v>
      </x:c>
      <x:c r="K460" s="20" t="str">
        <x:v>普通</x:v>
      </x:c>
      <x:c r="L460" s="20" t="str">
        <x:v>王座侍灵</x:v>
      </x:c>
      <x:c r="M460" s="20" t="str">
        <x:v>护卫反击</x:v>
      </x:c>
      <x:c r="N460" s="20" t="str">
        <x:v>捧剑护座盾</x:v>
      </x:c>
      <x:c r="O460" s="20" t="str">
        <x:v>盾牌</x:v>
      </x:c>
      <x:c r="P460" s="20" t="str">
        <x:v>王城金屑</x:v>
      </x:c>
      <x:c r="Q460" s="20" t="str"/>
      <x:c r="R460" s="20" t="str">
        <x:v>无名墓钉</x:v>
      </x:c>
      <x:c r="S460" s="20" t="str">
        <x:v>穹律鎏痕拓片</x:v>
      </x:c>
      <x:c r="T460" s="20" t="str">
        <x:v>否</x:v>
      </x:c>
      <x:c r="U460" s="20" t="str">
        <x:v>是（公共奖池）</x:v>
      </x:c>
      <x:c r="V460" s="22" t="str">
        <x:v>结构定稿</x:v>
      </x:c>
      <x:c r="W460" s="36" t="str">
        <x:v>用户自行分配／本表不处理</x:v>
      </x:c>
      <x:c r="X460" s="33" t="n">
        <x:v>6070</x:v>
      </x:c>
      <x:c r="Y460" s="29" t="str">
        <x:v>后期统一平衡</x:v>
      </x:c>
      <x:c r="Z460" s="20" t="str">
        <x:v>一怪一专属；专属来源跟随本行准确地图号</x:v>
      </x:c>
    </x:row>
    <x:row r="461" ht="24" customHeight="1">
      <x:c r="A461" s="20" t="str">
        <x:v>C10-M054</x:v>
      </x:c>
      <x:c r="B461" s="20" t="str">
        <x:v>C10</x:v>
      </x:c>
      <x:c r="C461" s="20" t="str">
        <x:v>王城罗德尔</x:v>
      </x:c>
      <x:c r="D461" s="20" t="n">
        <x:v>5</x:v>
      </x:c>
      <x:c r="E461" s="20" t="str">
        <x:v>黄金王宫</x:v>
      </x:c>
      <x:c r="F461" s="20" t="n">
        <x:v>5</x:v>
      </x:c>
      <x:c r="G461" s="20" t="str">
        <x:v>XX386</x:v>
      </x:c>
      <x:c r="H461" s="20" t="str">
        <x:v>艾尔登王座</x:v>
      </x:c>
      <x:c r="I461" s="20" t="str">
        <x:v>王座拾辉甲</x:v>
      </x:c>
      <x:c r="J461" s="20" t="str">
        <x:v>黄色</x:v>
      </x:c>
      <x:c r="K461" s="20" t="str">
        <x:v>普通</x:v>
      </x:c>
      <x:c r="L461" s="20" t="str">
        <x:v>黄金甲灵</x:v>
      </x:c>
      <x:c r="M461" s="20" t="str">
        <x:v>前排承伤</x:v>
      </x:c>
      <x:c r="N461" s="20" t="str">
        <x:v>拾辉登阶靴</x:v>
      </x:c>
      <x:c r="O461" s="20" t="str">
        <x:v>鞋子</x:v>
      </x:c>
      <x:c r="P461" s="20" t="str">
        <x:v>王城金屑</x:v>
      </x:c>
      <x:c r="Q461" s="20" t="str"/>
      <x:c r="R461" s="20" t="str">
        <x:v>无名墓钉</x:v>
      </x:c>
      <x:c r="S461" s="20" t="str">
        <x:v>穹律鎏痕拓片</x:v>
      </x:c>
      <x:c r="T461" s="20" t="str">
        <x:v>否</x:v>
      </x:c>
      <x:c r="U461" s="20" t="str">
        <x:v>是（公共奖池）</x:v>
      </x:c>
      <x:c r="V461" s="22" t="str">
        <x:v>结构定稿</x:v>
      </x:c>
      <x:c r="W461" s="36" t="str">
        <x:v>用户自行分配／本表不处理</x:v>
      </x:c>
      <x:c r="X461" s="33" t="n">
        <x:v>6036</x:v>
      </x:c>
      <x:c r="Y461" s="29" t="str">
        <x:v>后期统一平衡</x:v>
      </x:c>
      <x:c r="Z461" s="20" t="str">
        <x:v>一怪一专属；专属来源跟随本行准确地图号</x:v>
      </x:c>
    </x:row>
    <x:row r="462" ht="24" customHeight="1">
      <x:c r="A462" s="20" t="str">
        <x:v>C10-M055</x:v>
      </x:c>
      <x:c r="B462" s="20" t="str">
        <x:v>C10</x:v>
      </x:c>
      <x:c r="C462" s="20" t="str">
        <x:v>王城罗德尔</x:v>
      </x:c>
      <x:c r="D462" s="20" t="n">
        <x:v>5</x:v>
      </x:c>
      <x:c r="E462" s="20" t="str">
        <x:v>黄金王宫</x:v>
      </x:c>
      <x:c r="F462" s="20" t="n">
        <x:v>1</x:v>
      </x:c>
      <x:c r="G462" s="20" t="str">
        <x:v>XX371</x:v>
      </x:c>
      <x:c r="H462" s="20" t="str">
        <x:v>黄金王宫外庭</x:v>
      </x:c>
      <x:c r="I462" s="20" t="str">
        <x:v>外庭熔桂狮</x:v>
      </x:c>
      <x:c r="J462" s="20" t="str">
        <x:v>蓝色</x:v>
      </x:c>
      <x:c r="K462" s="20" t="str">
        <x:v>稀有</x:v>
      </x:c>
      <x:c r="L462" s="20" t="str">
        <x:v>金桂异兽</x:v>
      </x:c>
      <x:c r="M462" s="20" t="str">
        <x:v>冲锋灼击</x:v>
      </x:c>
      <x:c r="N462" s="20" t="str">
        <x:v>熔桂狮鬃坠</x:v>
      </x:c>
      <x:c r="O462" s="20" t="str">
        <x:v>项链</x:v>
      </x:c>
      <x:c r="P462" s="20" t="str">
        <x:v>王城金屑</x:v>
      </x:c>
      <x:c r="Q462" s="20" t="str">
        <x:v>王宫律文</x:v>
      </x:c>
      <x:c r="R462" s="20" t="str">
        <x:v>旧渠阀芯</x:v>
      </x:c>
      <x:c r="S462" s="20" t="str">
        <x:v>穹律鎏痕拓片</x:v>
      </x:c>
      <x:c r="T462" s="20" t="str">
        <x:v>否</x:v>
      </x:c>
      <x:c r="U462" s="20" t="str">
        <x:v>是（公共奖池）</x:v>
      </x:c>
      <x:c r="V462" s="22" t="str">
        <x:v>结构定稿</x:v>
      </x:c>
      <x:c r="W462" s="36" t="str">
        <x:v>用户自行分配／本表不处理</x:v>
      </x:c>
      <x:c r="X462" s="33" t="n">
        <x:v>6102</x:v>
      </x:c>
      <x:c r="Y462" s="29" t="str">
        <x:v>后期统一平衡</x:v>
      </x:c>
      <x:c r="Z462" s="20" t="str">
        <x:v>一怪一专属；专属来源跟随本行准确地图号</x:v>
      </x:c>
    </x:row>
    <x:row r="463" ht="24" customHeight="1">
      <x:c r="A463" s="20" t="str">
        <x:v>C10-M056</x:v>
      </x:c>
      <x:c r="B463" s="20" t="str">
        <x:v>C10</x:v>
      </x:c>
      <x:c r="C463" s="20" t="str">
        <x:v>王城罗德尔</x:v>
      </x:c>
      <x:c r="D463" s="20" t="n">
        <x:v>5</x:v>
      </x:c>
      <x:c r="E463" s="20" t="str">
        <x:v>黄金王宫</x:v>
      </x:c>
      <x:c r="F463" s="20" t="n">
        <x:v>2</x:v>
      </x:c>
      <x:c r="G463" s="20" t="str">
        <x:v>XX372</x:v>
      </x:c>
      <x:c r="H463" s="20" t="str">
        <x:v>王宫内庭</x:v>
      </x:c>
      <x:c r="I463" s="20" t="str">
        <x:v>内庭七帷掌仪</x:v>
      </x:c>
      <x:c r="J463" s="20" t="str">
        <x:v>蓝色</x:v>
      </x:c>
      <x:c r="K463" s="20" t="str">
        <x:v>稀有</x:v>
      </x:c>
      <x:c r="L463" s="20" t="str">
        <x:v>王宫掌仪</x:v>
      </x:c>
      <x:c r="M463" s="20" t="str">
        <x:v>仪式控场</x:v>
      </x:c>
      <x:c r="N463" s="20" t="str">
        <x:v>七帷掌仪腰封</x:v>
      </x:c>
      <x:c r="O463" s="20" t="str">
        <x:v>腰带</x:v>
      </x:c>
      <x:c r="P463" s="20" t="str">
        <x:v>王城金屑</x:v>
      </x:c>
      <x:c r="Q463" s="20" t="str">
        <x:v>王宫律文</x:v>
      </x:c>
      <x:c r="R463" s="20" t="str">
        <x:v>旧渠阀芯</x:v>
      </x:c>
      <x:c r="S463" s="20" t="str">
        <x:v>穹律鎏痕拓片</x:v>
      </x:c>
      <x:c r="T463" s="20" t="str">
        <x:v>否</x:v>
      </x:c>
      <x:c r="U463" s="20" t="str">
        <x:v>是（公共奖池）</x:v>
      </x:c>
      <x:c r="V463" s="22" t="str">
        <x:v>结构定稿</x:v>
      </x:c>
      <x:c r="W463" s="36" t="str">
        <x:v>用户自行分配／本表不处理</x:v>
      </x:c>
      <x:c r="X463" s="33" t="n">
        <x:v>6037</x:v>
      </x:c>
      <x:c r="Y463" s="29" t="str">
        <x:v>后期统一平衡</x:v>
      </x:c>
      <x:c r="Z463" s="20" t="str">
        <x:v>一怪一专属；专属来源跟随本行准确地图号</x:v>
      </x:c>
    </x:row>
    <x:row r="464" ht="24" customHeight="1">
      <x:c r="A464" s="20" t="str">
        <x:v>C10-M057</x:v>
      </x:c>
      <x:c r="B464" s="20" t="str">
        <x:v>C10</x:v>
      </x:c>
      <x:c r="C464" s="20" t="str">
        <x:v>王城罗德尔</x:v>
      </x:c>
      <x:c r="D464" s="20" t="n">
        <x:v>5</x:v>
      </x:c>
      <x:c r="E464" s="20" t="str">
        <x:v>黄金王宫</x:v>
      </x:c>
      <x:c r="F464" s="20" t="n">
        <x:v>3</x:v>
      </x:c>
      <x:c r="G464" s="20" t="str">
        <x:v>XX463</x:v>
      </x:c>
      <x:c r="H464" s="20" t="str">
        <x:v>王宫深殿</x:v>
      </x:c>
      <x:c r="I464" s="20" t="str">
        <x:v>深殿缄律书记</x:v>
      </x:c>
      <x:c r="J464" s="20" t="str">
        <x:v>蓝色</x:v>
      </x:c>
      <x:c r="K464" s="20" t="str">
        <x:v>稀有</x:v>
      </x:c>
      <x:c r="L464" s="20" t="str">
        <x:v>殿律书记灵</x:v>
      </x:c>
      <x:c r="M464" s="20" t="str">
        <x:v>远程裁决</x:v>
      </x:c>
      <x:c r="N464" s="20" t="str">
        <x:v>缄律书记戒</x:v>
      </x:c>
      <x:c r="O464" s="20" t="str">
        <x:v>戒指</x:v>
      </x:c>
      <x:c r="P464" s="20" t="str">
        <x:v>王城金屑</x:v>
      </x:c>
      <x:c r="Q464" s="20" t="str">
        <x:v>王宫律文</x:v>
      </x:c>
      <x:c r="R464" s="20" t="str">
        <x:v>旧渠阀芯</x:v>
      </x:c>
      <x:c r="S464" s="20" t="str">
        <x:v>穹律鎏痕拓片</x:v>
      </x:c>
      <x:c r="T464" s="20" t="str">
        <x:v>否</x:v>
      </x:c>
      <x:c r="U464" s="20" t="str">
        <x:v>是（公共奖池）</x:v>
      </x:c>
      <x:c r="V464" s="22" t="str">
        <x:v>结构定稿</x:v>
      </x:c>
      <x:c r="W464" s="36" t="str">
        <x:v>用户自行分配／本表不处理</x:v>
      </x:c>
      <x:c r="X464" s="33" t="n">
        <x:v>6087</x:v>
      </x:c>
      <x:c r="Y464" s="29" t="str">
        <x:v>后期统一平衡</x:v>
      </x:c>
      <x:c r="Z464" s="20" t="str">
        <x:v>一怪一专属；专属来源跟随本行准确地图号</x:v>
      </x:c>
    </x:row>
    <x:row r="465" ht="24" customHeight="1">
      <x:c r="A465" s="20" t="str">
        <x:v>C10-M058</x:v>
      </x:c>
      <x:c r="B465" s="20" t="str">
        <x:v>C10</x:v>
      </x:c>
      <x:c r="C465" s="20" t="str">
        <x:v>王城罗德尔</x:v>
      </x:c>
      <x:c r="D465" s="20" t="n">
        <x:v>5</x:v>
      </x:c>
      <x:c r="E465" s="20" t="str">
        <x:v>黄金王宫</x:v>
      </x:c>
      <x:c r="F465" s="20" t="n">
        <x:v>4</x:v>
      </x:c>
      <x:c r="G465" s="20" t="str">
        <x:v>XX370</x:v>
      </x:c>
      <x:c r="H465" s="20" t="str">
        <x:v>黄金王座前厅</x:v>
      </x:c>
      <x:c r="I465" s="20" t="str">
        <x:v>前厅无声执冠官</x:v>
      </x:c>
      <x:c r="J465" s="20" t="str">
        <x:v>蓝色</x:v>
      </x:c>
      <x:c r="K465" s="20" t="str">
        <x:v>稀有</x:v>
      </x:c>
      <x:c r="L465" s="20" t="str">
        <x:v>冠仪幽官</x:v>
      </x:c>
      <x:c r="M465" s="20" t="str">
        <x:v>削弱支援</x:v>
      </x:c>
      <x:c r="N465" s="20" t="str">
        <x:v>无声执冠勋章</x:v>
      </x:c>
      <x:c r="O465" s="20" t="str">
        <x:v>勋章</x:v>
      </x:c>
      <x:c r="P465" s="20" t="str">
        <x:v>王城金屑</x:v>
      </x:c>
      <x:c r="Q465" s="20" t="str">
        <x:v>王宫律文</x:v>
      </x:c>
      <x:c r="R465" s="20" t="str">
        <x:v>旧渠阀芯</x:v>
      </x:c>
      <x:c r="S465" s="20" t="str">
        <x:v>穹律鎏痕拓片</x:v>
      </x:c>
      <x:c r="T465" s="20" t="str">
        <x:v>否</x:v>
      </x:c>
      <x:c r="U465" s="20" t="str">
        <x:v>是（公共奖池）</x:v>
      </x:c>
      <x:c r="V465" s="22" t="str">
        <x:v>结构定稿</x:v>
      </x:c>
      <x:c r="W465" s="36" t="str">
        <x:v>用户自行分配／本表不处理</x:v>
      </x:c>
      <x:c r="X465" s="33" t="n">
        <x:v>5912</x:v>
      </x:c>
      <x:c r="Y465" s="29" t="str">
        <x:v>后期统一平衡</x:v>
      </x:c>
      <x:c r="Z465" s="20" t="str">
        <x:v>一怪一专属；专属来源跟随本行准确地图号</x:v>
      </x:c>
    </x:row>
    <x:row r="466" ht="24" customHeight="1">
      <x:c r="A466" s="20" t="str">
        <x:v>C10-M059</x:v>
      </x:c>
      <x:c r="B466" s="20" t="str">
        <x:v>C10</x:v>
      </x:c>
      <x:c r="C466" s="20" t="str">
        <x:v>王城罗德尔</x:v>
      </x:c>
      <x:c r="D466" s="20" t="n">
        <x:v>5</x:v>
      </x:c>
      <x:c r="E466" s="20" t="str">
        <x:v>黄金王宫</x:v>
      </x:c>
      <x:c r="F466" s="20" t="n">
        <x:v>4</x:v>
      </x:c>
      <x:c r="G466" s="20" t="str">
        <x:v>XX370</x:v>
      </x:c>
      <x:c r="H466" s="20" t="str">
        <x:v>黄金王座前厅</x:v>
      </x:c>
      <x:c r="I466" s="20" t="str">
        <x:v>碎日门的黄金禁卫</x:v>
      </x:c>
      <x:c r="J466" s="20" t="str">
        <x:v>粉色</x:v>
      </x:c>
      <x:c r="K466" s="20" t="str">
        <x:v>地图BOSS</x:v>
      </x:c>
      <x:c r="L466" s="20" t="str">
        <x:v>王座禁卫</x:v>
      </x:c>
      <x:c r="M466" s="20" t="str">
        <x:v>首领突进</x:v>
      </x:c>
      <x:c r="N466" s="20" t="str">
        <x:v>碎日禁卫斗笠</x:v>
      </x:c>
      <x:c r="O466" s="20" t="str">
        <x:v>斗笠</x:v>
      </x:c>
      <x:c r="P466" s="20" t="str">
        <x:v>王城金屑</x:v>
      </x:c>
      <x:c r="Q466" s="20" t="str">
        <x:v>王宫律文＋艾尔登王印</x:v>
      </x:c>
      <x:c r="R466" s="20" t="str">
        <x:v>失温熔炉楔</x:v>
      </x:c>
      <x:c r="S466" s="20" t="str">
        <x:v>穹律鎏痕拓片</x:v>
      </x:c>
      <x:c r="T466" s="20" t="str">
        <x:v>是（独立奖池）</x:v>
      </x:c>
      <x:c r="U466" s="20" t="str">
        <x:v>是（公共奖池）</x:v>
      </x:c>
      <x:c r="V466" s="22" t="str">
        <x:v>结构定稿</x:v>
      </x:c>
      <x:c r="W466" s="36" t="str">
        <x:v>用户自行分配／本表不处理</x:v>
      </x:c>
      <x:c r="X466" s="33" t="n">
        <x:v>7065</x:v>
      </x:c>
      <x:c r="Y466" s="29" t="str">
        <x:v>后期统一平衡</x:v>
      </x:c>
      <x:c r="Z466" s="20" t="str">
        <x:v>一怪一专属；专属来源跟随本行准确地图号</x:v>
      </x:c>
    </x:row>
    <x:row r="467" ht="24" customHeight="1">
      <x:c r="A467" s="20" t="str">
        <x:v>C10-M060</x:v>
      </x:c>
      <x:c r="B467" s="20" t="str">
        <x:v>C10</x:v>
      </x:c>
      <x:c r="C467" s="20" t="str">
        <x:v>王城罗德尔</x:v>
      </x:c>
      <x:c r="D467" s="20" t="n">
        <x:v>5</x:v>
      </x:c>
      <x:c r="E467" s="20" t="str">
        <x:v>黄金王宫</x:v>
      </x:c>
      <x:c r="F467" s="20" t="n">
        <x:v>5</x:v>
      </x:c>
      <x:c r="G467" s="20" t="str">
        <x:v>XX386</x:v>
      </x:c>
      <x:c r="H467" s="20" t="str">
        <x:v>艾尔登王座</x:v>
      </x:c>
      <x:c r="I467" s="20" t="str">
        <x:v>永辉帷后的空王</x:v>
      </x:c>
      <x:c r="J467" s="20" t="str">
        <x:v>粉色</x:v>
      </x:c>
      <x:c r="K467" s="20" t="str">
        <x:v>地图BOSS</x:v>
      </x:c>
      <x:c r="L467" s="20" t="str">
        <x:v>王宫空王</x:v>
      </x:c>
      <x:c r="M467" s="20" t="str">
        <x:v>首领统御</x:v>
      </x:c>
      <x:c r="N467" s="20" t="str">
        <x:v>永辉空王礼服</x:v>
      </x:c>
      <x:c r="O467" s="20" t="str">
        <x:v>衣服</x:v>
      </x:c>
      <x:c r="P467" s="20" t="str">
        <x:v>王城金屑</x:v>
      </x:c>
      <x:c r="Q467" s="20" t="str">
        <x:v>王宫律文＋艾尔登王印</x:v>
      </x:c>
      <x:c r="R467" s="20" t="str">
        <x:v>失温熔炉楔</x:v>
      </x:c>
      <x:c r="S467" s="20" t="str">
        <x:v>穹律鎏痕拓片</x:v>
      </x:c>
      <x:c r="T467" s="20" t="str">
        <x:v>是（独立奖池）</x:v>
      </x:c>
      <x:c r="U467" s="20" t="str">
        <x:v>是（公共奖池）</x:v>
      </x:c>
      <x:c r="V467" s="22" t="str">
        <x:v>结构定稿</x:v>
      </x:c>
      <x:c r="W467" s="36" t="str">
        <x:v>用户自行分配／本表不处理</x:v>
      </x:c>
      <x:c r="X467" s="34" t="str">
        <x:v>缺衣服来源码</x:v>
      </x:c>
      <x:c r="Y467" s="29" t="str">
        <x:v>后期统一平衡</x:v>
      </x:c>
      <x:c r="Z467" s="20" t="str">
        <x:v>一怪一专属；专属来源跟随本行准确地图号</x:v>
      </x:c>
    </x:row>
    <x:row r="468" ht="24" customHeight="1">
      <x:c r="A468" s="20" t="str">
        <x:v>C10-M061</x:v>
      </x:c>
      <x:c r="B468" s="20" t="str">
        <x:v>C10</x:v>
      </x:c>
      <x:c r="C468" s="20" t="str">
        <x:v>王城罗德尔</x:v>
      </x:c>
      <x:c r="D468" s="20" t="n">
        <x:v>5</x:v>
      </x:c>
      <x:c r="E468" s="20" t="str">
        <x:v>黄金王宫</x:v>
      </x:c>
      <x:c r="F468" s="20" t="n">
        <x:v>5</x:v>
      </x:c>
      <x:c r="G468" s="20" t="str">
        <x:v>XX386</x:v>
      </x:c>
      <x:c r="H468" s="20" t="str">
        <x:v>艾尔登王座</x:v>
      </x:c>
      <x:c r="I468" s="20" t="str">
        <x:v>万冠终审者·萨洛恩</x:v>
      </x:c>
      <x:c r="J468" s="20" t="str">
        <x:v>红色</x:v>
      </x:c>
      <x:c r="K468" s="20" t="str">
        <x:v>守关BOSS</x:v>
      </x:c>
      <x:c r="L468" s="20" t="str">
        <x:v>王座律神</x:v>
      </x:c>
      <x:c r="M468" s="20" t="str">
        <x:v>终局裁决</x:v>
      </x:c>
      <x:c r="N468" s="20" t="str">
        <x:v>万冠终律圣刃</x:v>
      </x:c>
      <x:c r="O468" s="20" t="str">
        <x:v>武器</x:v>
      </x:c>
      <x:c r="P468" s="20" t="str">
        <x:v>王城金屑</x:v>
      </x:c>
      <x:c r="Q468" s="20" t="str">
        <x:v>王宫律文＋艾尔登王印</x:v>
      </x:c>
      <x:c r="R468" s="20" t="str">
        <x:v>王宫断冠片</x:v>
      </x:c>
      <x:c r="S468" s="20" t="str">
        <x:v>穹律鎏痕拓片</x:v>
      </x:c>
      <x:c r="T468" s="20" t="str">
        <x:v>是（独立奖池）</x:v>
      </x:c>
      <x:c r="U468" s="20" t="str">
        <x:v>是（公共奖池）</x:v>
      </x:c>
      <x:c r="V468" s="22" t="str">
        <x:v>结构定稿</x:v>
      </x:c>
      <x:c r="W468" s="36" t="str">
        <x:v>用户自行分配／本表不处理</x:v>
      </x:c>
      <x:c r="X468" s="33" t="n">
        <x:v>7061</x:v>
      </x:c>
      <x:c r="Y468" s="29" t="str">
        <x:v>后期统一平衡</x:v>
      </x:c>
      <x:c r="Z468" s="20" t="str">
        <x:v>大陆最终守关；本表不填属性、爆率和货币</x:v>
      </x:c>
    </x:row>
  </x:sheetData>
  <x:mergeCells>
    <x:mergeCell ref="A1:Z1"/>
    <x:mergeCell ref="A2:Z2"/>
  </x:mergeCells>
  <x:conditionalFormatting sqref="J5:J468">
    <x:cfRule type="containsText" dxfId="0" priority="1" operator="containsText" text="黄色"/>
    <x:cfRule type="containsText" dxfId="1" priority="2" operator="containsText" text="蓝色"/>
    <x:cfRule type="containsText" dxfId="2" priority="3" operator="containsText" text="粉色"/>
    <x:cfRule type="containsText" dxfId="3" priority="4" operator="containsText" text="红色"/>
  </x:conditionalFormatting>
  <x:pageMargins left="0.7" right="0.7" top="0.75" bottom="0.75" header="0.3" footer="0.3"/>
  <x:tableParts count="1">
    <x:tablePart xmlns:r="http://schemas.openxmlformats.org/officeDocument/2006/relationships" r:id="Rd9e46613271844c2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10" hidden="0" customWidth="1"/>
    <x:col min="3" max="3" width="18" hidden="0" customWidth="1"/>
    <x:col min="4" max="4" width="30" hidden="0" customWidth="1"/>
    <x:col min="5" max="5" width="22" hidden="0" customWidth="1"/>
    <x:col min="6" max="6" width="22" hidden="0" customWidth="1"/>
    <x:col min="7" max="7" width="10" hidden="0" customWidth="1"/>
    <x:col min="8" max="8" width="14" hidden="0" customWidth="1"/>
    <x:col min="9" max="9" width="28" hidden="0" customWidth="1"/>
    <x:col min="10" max="10" width="24" hidden="0" customWidth="1"/>
    <x:col min="11" max="11" width="38" hidden="0" customWidth="1"/>
    <x:col min="12" max="12" width="24" hidden="0" customWidth="1"/>
    <x:col min="13" max="13" width="48" hidden="0" customWidth="1"/>
  </x:cols>
  <x:sheetData>
    <x:row r="1" ht="34" customHeight="1">
      <x:c r="A1" s="3" t="str">
        <x:v>第3—10大陆材料来源</x:v>
      </x:c>
      <x:c r="B1" s="3" t="str">
        <x:v>第3—10大陆材料来源</x:v>
      </x:c>
      <x:c r="C1" s="3" t="str">
        <x:v>第3—10大陆材料来源</x:v>
      </x:c>
      <x:c r="D1" s="3" t="str">
        <x:v>第3—10大陆材料来源</x:v>
      </x:c>
      <x:c r="E1" s="3" t="str">
        <x:v>第3—10大陆材料来源</x:v>
      </x:c>
      <x:c r="F1" s="3" t="str">
        <x:v>第3—10大陆材料来源</x:v>
      </x:c>
      <x:c r="G1" s="3" t="str">
        <x:v>第3—10大陆材料来源</x:v>
      </x:c>
      <x:c r="H1" s="3" t="str">
        <x:v>第3—10大陆材料来源</x:v>
      </x:c>
      <x:c r="I1" s="3" t="str">
        <x:v>第3—10大陆材料来源</x:v>
      </x:c>
      <x:c r="J1" s="3" t="str">
        <x:v>第3—10大陆材料来源</x:v>
      </x:c>
      <x:c r="K1" s="3" t="str">
        <x:v>第3—10大陆材料来源</x:v>
      </x:c>
      <x:c r="L1" s="3" t="str">
        <x:v>第3—10大陆材料来源</x:v>
      </x:c>
      <x:c r="M1" s="3" t="str">
        <x:v>第3—10大陆材料来源</x:v>
      </x:c>
    </x:row>
    <x:row r="2" ht="40" customHeight="1">
      <x:c r="A2" s="7" t="str">
        <x:v>每大陆引用7件已经正式入库的材料，并新增1件仅用于大陆图鉴的收藏材料名称。收藏材料暂不占用冻结的材料Idx和Items Looks。</x:v>
      </x:c>
      <x:c r="B2" s="7" t="str">
        <x:v>每大陆引用7件已经正式入库的材料，并新增1件仅用于大陆图鉴的收藏材料名称。收藏材料暂不占用冻结的材料Idx和Items Looks。</x:v>
      </x:c>
      <x:c r="C2" s="7" t="str">
        <x:v>每大陆引用7件已经正式入库的材料，并新增1件仅用于大陆图鉴的收藏材料名称。收藏材料暂不占用冻结的材料Idx和Items Looks。</x:v>
      </x:c>
      <x:c r="D2" s="7" t="str">
        <x:v>每大陆引用7件已经正式入库的材料，并新增1件仅用于大陆图鉴的收藏材料名称。收藏材料暂不占用冻结的材料Idx和Items Looks。</x:v>
      </x:c>
      <x:c r="E2" s="7" t="str">
        <x:v>每大陆引用7件已经正式入库的材料，并新增1件仅用于大陆图鉴的收藏材料名称。收藏材料暂不占用冻结的材料Idx和Items Looks。</x:v>
      </x:c>
      <x:c r="F2" s="7" t="str">
        <x:v>每大陆引用7件已经正式入库的材料，并新增1件仅用于大陆图鉴的收藏材料名称。收藏材料暂不占用冻结的材料Idx和Items Looks。</x:v>
      </x:c>
      <x:c r="G2" s="7" t="str">
        <x:v>每大陆引用7件已经正式入库的材料，并新增1件仅用于大陆图鉴的收藏材料名称。收藏材料暂不占用冻结的材料Idx和Items Looks。</x:v>
      </x:c>
      <x:c r="H2" s="7" t="str">
        <x:v>每大陆引用7件已经正式入库的材料，并新增1件仅用于大陆图鉴的收藏材料名称。收藏材料暂不占用冻结的材料Idx和Items Looks。</x:v>
      </x:c>
      <x:c r="I2" s="7" t="str">
        <x:v>每大陆引用7件已经正式入库的材料，并新增1件仅用于大陆图鉴的收藏材料名称。收藏材料暂不占用冻结的材料Idx和Items Looks。</x:v>
      </x:c>
      <x:c r="J2" s="7" t="str">
        <x:v>每大陆引用7件已经正式入库的材料，并新增1件仅用于大陆图鉴的收藏材料名称。收藏材料暂不占用冻结的材料Idx和Items Looks。</x:v>
      </x:c>
      <x:c r="K2" s="7" t="str">
        <x:v>每大陆引用7件已经正式入库的材料，并新增1件仅用于大陆图鉴的收藏材料名称。收藏材料暂不占用冻结的材料Idx和Items Looks。</x:v>
      </x:c>
      <x:c r="L2" s="7" t="str">
        <x:v>每大陆引用7件已经正式入库的材料，并新增1件仅用于大陆图鉴的收藏材料名称。收藏材料暂不占用冻结的材料Idx和Items Looks。</x:v>
      </x:c>
      <x:c r="M2" s="7" t="str">
        <x:v>每大陆引用7件已经正式入库的材料，并新增1件仅用于大陆图鉴的收藏材料名称。收藏材料暂不占用冻结的材料Idx和Items Looks。</x:v>
      </x:c>
    </x:row>
    <x:row r="4" ht="32" customHeight="1">
      <x:c r="A4" s="13" t="str">
        <x:v>记录ID</x:v>
      </x:c>
      <x:c r="B4" s="13" t="str">
        <x:v>大陆ID</x:v>
      </x:c>
      <x:c r="C4" s="13" t="str">
        <x:v>大陆</x:v>
      </x:c>
      <x:c r="D4" s="13" t="str">
        <x:v>逻辑材料ID</x:v>
      </x:c>
      <x:c r="E4" s="13" t="str">
        <x:v>材料名称</x:v>
      </x:c>
      <x:c r="F4" s="13" t="str">
        <x:v>类别</x:v>
      </x:c>
      <x:c r="G4" s="13" t="str">
        <x:v>Idx</x:v>
      </x:c>
      <x:c r="H4" s="13" t="str">
        <x:v>Items Looks</x:v>
      </x:c>
      <x:c r="I4" s="13" t="str">
        <x:v>主产怪物</x:v>
      </x:c>
      <x:c r="J4" s="13" t="str">
        <x:v>来源范围</x:v>
      </x:c>
      <x:c r="K4" s="13" t="str">
        <x:v>用途</x:v>
      </x:c>
      <x:c r="L4" s="13" t="str">
        <x:v>状态</x:v>
      </x:c>
      <x:c r="M4" s="13" t="str">
        <x:v>备注</x:v>
      </x:c>
    </x:row>
    <x:row r="5" ht="24" customHeight="1">
      <x:c r="A5" s="19" t="str">
        <x:v>C03-MAT-COM</x:v>
      </x:c>
      <x:c r="B5" s="19" t="str">
        <x:v>C03</x:v>
      </x:c>
      <x:c r="C5" s="19" t="str">
        <x:v>宁姆格福西域</x:v>
      </x:c>
      <x:c r="D5" s="19" t="str">
        <x:v>EL-MAT-C03-COM</x:v>
      </x:c>
      <x:c r="E5" s="19" t="str">
        <x:v>风蚀铁片</x:v>
      </x:c>
      <x:c r="F5" s="19" t="str">
        <x:v>大陆通用材料</x:v>
      </x:c>
      <x:c r="G5" s="19" t="n">
        <x:v>916</x:v>
      </x:c>
      <x:c r="H5" s="19" t="n">
        <x:v>6407</x:v>
      </x:c>
      <x:c r="I5" s="19" t="str">
        <x:v>全部怪物</x:v>
      </x:c>
      <x:c r="J5" s="19" t="str">
        <x:v>全大陆地图</x:v>
      </x:c>
      <x:c r="K5" s="19" t="str">
        <x:v>大陆通用合成、升级及基础消耗</x:v>
      </x:c>
      <x:c r="L5" s="19" t="str">
        <x:v>已正式入库</x:v>
      </x:c>
      <x:c r="M5" s="19" t="str">
        <x:v>Idx与Items Looks锁定，不得改名、改号或覆盖</x:v>
      </x:c>
    </x:row>
    <x:row r="6" ht="24" customHeight="1">
      <x:c r="A6" s="20" t="str">
        <x:v>C03-MAT-RARE</x:v>
      </x:c>
      <x:c r="B6" s="20" t="str">
        <x:v>C03</x:v>
      </x:c>
      <x:c r="C6" s="20" t="str">
        <x:v>宁姆格福西域</x:v>
      </x:c>
      <x:c r="D6" s="20" t="str">
        <x:v>EL-MAT-C03-RARE</x:v>
      </x:c>
      <x:c r="E6" s="20" t="str">
        <x:v>西境战旗</x:v>
      </x:c>
      <x:c r="F6" s="20" t="str">
        <x:v>大陆稀有材料</x:v>
      </x:c>
      <x:c r="G6" s="20" t="n">
        <x:v>917</x:v>
      </x:c>
      <x:c r="H6" s="20" t="n">
        <x:v>6408</x:v>
      </x:c>
      <x:c r="I6" s="20" t="str">
        <x:v>稀有怪／地图BOSS／守关BOSS</x:v>
      </x:c>
      <x:c r="J6" s="20" t="str">
        <x:v>全大陆地图</x:v>
      </x:c>
      <x:c r="K6" s="20" t="str">
        <x:v>稀有合成与中高阶消耗</x:v>
      </x:c>
      <x:c r="L6" s="20" t="str">
        <x:v>已正式入库</x:v>
      </x:c>
      <x:c r="M6" s="20" t="str">
        <x:v>Idx与Items Looks锁定，不得改名、改号或覆盖</x:v>
      </x:c>
    </x:row>
    <x:row r="7" ht="24" customHeight="1">
      <x:c r="A7" s="20" t="str">
        <x:v>C03-MAT-MARK</x:v>
      </x:c>
      <x:c r="B7" s="20" t="str">
        <x:v>C03</x:v>
      </x:c>
      <x:c r="C7" s="20" t="str">
        <x:v>宁姆格福西域</x:v>
      </x:c>
      <x:c r="D7" s="20" t="str">
        <x:v>EL-MAT-C03-MARK</x:v>
      </x:c>
      <x:c r="E7" s="20" t="str">
        <x:v>西境战旗印</x:v>
      </x:c>
      <x:c r="F7" s="20" t="str">
        <x:v>大陆剧情印记</x:v>
      </x:c>
      <x:c r="G7" s="20" t="n">
        <x:v>918</x:v>
      </x:c>
      <x:c r="H7" s="20" t="n">
        <x:v>6409</x:v>
      </x:c>
      <x:c r="I7" s="20" t="str">
        <x:v>地图BOSS／守关BOSS</x:v>
      </x:c>
      <x:c r="J7" s="20" t="str">
        <x:v>全大陆BOSS地图</x:v>
      </x:c>
      <x:c r="K7" s="20" t="str">
        <x:v>剧情、称号及重点合成</x:v>
      </x:c>
      <x:c r="L7" s="20" t="str">
        <x:v>已正式入库</x:v>
      </x:c>
      <x:c r="M7" s="20" t="str">
        <x:v>Idx与Items Looks锁定，不得改名、改号或覆盖</x:v>
      </x:c>
    </x:row>
    <x:row r="8" ht="24" customHeight="1">
      <x:c r="A8" s="20" t="str">
        <x:v>C03-MAT-Q01</x:v>
      </x:c>
      <x:c r="B8" s="20" t="str">
        <x:v>C03</x:v>
      </x:c>
      <x:c r="C8" s="20" t="str">
        <x:v>宁姆格福西域</x:v>
      </x:c>
      <x:c r="D8" s="20" t="str">
        <x:v>EL-MAT-C03-Q01</x:v>
      </x:c>
      <x:c r="E8" s="20" t="str">
        <x:v>裂风崖羽</x:v>
      </x:c>
      <x:c r="F8" s="20" t="str">
        <x:v>普通怪证物</x:v>
      </x:c>
      <x:c r="G8" s="20" t="n">
        <x:v>940</x:v>
      </x:c>
      <x:c r="H8" s="20" t="n">
        <x:v>6431</x:v>
      </x:c>
      <x:c r="I8" s="20" t="str">
        <x:v>普通怪</x:v>
      </x:c>
      <x:c r="J8" s="20" t="str">
        <x:v>全大陆普通怪</x:v>
      </x:c>
      <x:c r="K8" s="20" t="str">
        <x:v>普通怪身份凭证</x:v>
      </x:c>
      <x:c r="L8" s="20" t="str">
        <x:v>已正式入库</x:v>
      </x:c>
      <x:c r="M8" s="20" t="str">
        <x:v>Idx与Items Looks锁定，不得改名、改号或覆盖</x:v>
      </x:c>
    </x:row>
    <x:row r="9" ht="24" customHeight="1">
      <x:c r="A9" s="20" t="str">
        <x:v>C03-MAT-Q02</x:v>
      </x:c>
      <x:c r="B9" s="20" t="str">
        <x:v>C03</x:v>
      </x:c>
      <x:c r="C9" s="20" t="str">
        <x:v>宁姆格福西域</x:v>
      </x:c>
      <x:c r="D9" s="20" t="str">
        <x:v>EL-MAT-C03-Q02</x:v>
      </x:c>
      <x:c r="E9" s="20" t="str">
        <x:v>商队火漆</x:v>
      </x:c>
      <x:c r="F9" s="20" t="str">
        <x:v>精英证物</x:v>
      </x:c>
      <x:c r="G9" s="20" t="n">
        <x:v>941</x:v>
      </x:c>
      <x:c r="H9" s="20" t="n">
        <x:v>6432</x:v>
      </x:c>
      <x:c r="I9" s="20" t="str">
        <x:v>稀有怪</x:v>
      </x:c>
      <x:c r="J9" s="20" t="str">
        <x:v>全大陆稀有怪</x:v>
      </x:c>
      <x:c r="K9" s="20" t="str">
        <x:v>稀有怪身份凭证</x:v>
      </x:c>
      <x:c r="L9" s="20" t="str">
        <x:v>已正式入库</x:v>
      </x:c>
      <x:c r="M9" s="20" t="str">
        <x:v>Idx与Items Looks锁定，不得改名、改号或覆盖</x:v>
      </x:c>
    </x:row>
    <x:row r="10" ht="24" customHeight="1">
      <x:c r="A10" s="20" t="str">
        <x:v>C03-MAT-Q03</x:v>
      </x:c>
      <x:c r="B10" s="20" t="str">
        <x:v>C03</x:v>
      </x:c>
      <x:c r="C10" s="20" t="str">
        <x:v>宁姆格福西域</x:v>
      </x:c>
      <x:c r="D10" s="20" t="str">
        <x:v>EL-MAT-C03-Q03</x:v>
      </x:c>
      <x:c r="E10" s="20" t="str">
        <x:v>守垒铜钥</x:v>
      </x:c>
      <x:c r="F10" s="20" t="str">
        <x:v>地图BOSS证物</x:v>
      </x:c>
      <x:c r="G10" s="20" t="n">
        <x:v>942</x:v>
      </x:c>
      <x:c r="H10" s="20" t="n">
        <x:v>6433</x:v>
      </x:c>
      <x:c r="I10" s="20" t="str">
        <x:v>地图BOSS</x:v>
      </x:c>
      <x:c r="J10" s="20" t="str">
        <x:v>全大陆地图BOSS</x:v>
      </x:c>
      <x:c r="K10" s="20" t="str">
        <x:v>地图BOSS身份凭证</x:v>
      </x:c>
      <x:c r="L10" s="20" t="str">
        <x:v>已正式入库</x:v>
      </x:c>
      <x:c r="M10" s="20" t="str">
        <x:v>Idx与Items Looks锁定，不得改名、改号或覆盖</x:v>
      </x:c>
    </x:row>
    <x:row r="11" ht="24" customHeight="1">
      <x:c r="A11" s="20" t="str">
        <x:v>C03-MAT-Q04</x:v>
      </x:c>
      <x:c r="B11" s="20" t="str">
        <x:v>C03</x:v>
      </x:c>
      <x:c r="C11" s="20" t="str">
        <x:v>宁姆格福西域</x:v>
      </x:c>
      <x:c r="D11" s="20" t="str">
        <x:v>EL-MAT-C03-Q04</x:v>
      </x:c>
      <x:c r="E11" s="20" t="str">
        <x:v>哨垒旗冠</x:v>
      </x:c>
      <x:c r="F11" s="20" t="str">
        <x:v>守关BOSS证物</x:v>
      </x:c>
      <x:c r="G11" s="20" t="n">
        <x:v>943</x:v>
      </x:c>
      <x:c r="H11" s="20" t="n">
        <x:v>6434</x:v>
      </x:c>
      <x:c r="I11" s="20" t="str">
        <x:v>守关BOSS</x:v>
      </x:c>
      <x:c r="J11" s="20" t="str">
        <x:v>大陆最终图</x:v>
      </x:c>
      <x:c r="K11" s="20" t="str">
        <x:v>守关BOSS身份凭证</x:v>
      </x:c>
      <x:c r="L11" s="20" t="str">
        <x:v>已正式入库</x:v>
      </x:c>
      <x:c r="M11" s="20" t="str">
        <x:v>Idx与Items Looks锁定，不得改名、改号或覆盖</x:v>
      </x:c>
    </x:row>
    <x:row r="12" ht="24" customHeight="1">
      <x:c r="A12" s="20" t="str">
        <x:v>C03-MAT-COLLECT</x:v>
      </x:c>
      <x:c r="B12" s="20" t="str">
        <x:v>C03</x:v>
      </x:c>
      <x:c r="C12" s="20" t="str">
        <x:v>宁姆格福西域</x:v>
      </x:c>
      <x:c r="D12" s="20" t="str">
        <x:v>EL-MAT-C03-COLLECT</x:v>
      </x:c>
      <x:c r="E12" s="20" t="str">
        <x:v>西境风痕碑拓</x:v>
      </x:c>
      <x:c r="F12" s="20" t="str">
        <x:v>大陆收藏材料</x:v>
      </x:c>
      <x:c r="G12" s="34" t="n">
        <x:v>972</x:v>
      </x:c>
      <x:c r="H12" s="34"/>
      <x:c r="I12" s="34" t="str">
        <x:v>全部怪物（独立判定）</x:v>
      </x:c>
      <x:c r="J12" s="34" t="str">
        <x:v>全大陆所有地图</x:v>
      </x:c>
      <x:c r="K12" s="34" t="str">
        <x:v>不可装备；只供高价值大陆图鉴收集</x:v>
      </x:c>
      <x:c r="L12" s="34" t="str">
        <x:v>Idx已规划／Items Looks待补／未入库</x:v>
      </x:c>
      <x:c r="M12" s="34" t="str">
        <x:v>Idx 972从原预留段启用；Items Looks不得顺延占用6463—6470（与装备候选重叠），需平台提供8个已核验空闲槽。</x:v>
      </x:c>
    </x:row>
    <x:row r="13" ht="24" customHeight="1">
      <x:c r="A13" s="20" t="str">
        <x:v>C04-MAT-COM</x:v>
      </x:c>
      <x:c r="B13" s="20" t="str">
        <x:v>C04</x:v>
      </x:c>
      <x:c r="C13" s="20" t="str">
        <x:v>利耶尼亚海域</x:v>
      </x:c>
      <x:c r="D13" s="20" t="str">
        <x:v>EL-MAT-C04-COM</x:v>
      </x:c>
      <x:c r="E13" s="20" t="str">
        <x:v>湖盐结晶</x:v>
      </x:c>
      <x:c r="F13" s="20" t="str">
        <x:v>大陆通用材料</x:v>
      </x:c>
      <x:c r="G13" s="20" t="n">
        <x:v>919</x:v>
      </x:c>
      <x:c r="H13" s="20" t="n">
        <x:v>6410</x:v>
      </x:c>
      <x:c r="I13" s="20" t="str">
        <x:v>全部怪物</x:v>
      </x:c>
      <x:c r="J13" s="20" t="str">
        <x:v>全大陆地图</x:v>
      </x:c>
      <x:c r="K13" s="20" t="str">
        <x:v>大陆通用合成、升级及基础消耗</x:v>
      </x:c>
      <x:c r="L13" s="20" t="str">
        <x:v>已正式入库</x:v>
      </x:c>
      <x:c r="M13" s="20" t="str">
        <x:v>Idx与Items Looks锁定，不得改名、改号或覆盖</x:v>
      </x:c>
    </x:row>
    <x:row r="14" ht="24" customHeight="1">
      <x:c r="A14" s="20" t="str">
        <x:v>C04-MAT-RARE</x:v>
      </x:c>
      <x:c r="B14" s="20" t="str">
        <x:v>C04</x:v>
      </x:c>
      <x:c r="C14" s="20" t="str">
        <x:v>利耶尼亚海域</x:v>
      </x:c>
      <x:c r="D14" s="20" t="str">
        <x:v>EL-MAT-C04-RARE</x:v>
      </x:c>
      <x:c r="E14" s="20" t="str">
        <x:v>幽船铆钉</x:v>
      </x:c>
      <x:c r="F14" s="20" t="str">
        <x:v>大陆稀有材料</x:v>
      </x:c>
      <x:c r="G14" s="20" t="n">
        <x:v>920</x:v>
      </x:c>
      <x:c r="H14" s="20" t="n">
        <x:v>6411</x:v>
      </x:c>
      <x:c r="I14" s="20" t="str">
        <x:v>稀有怪／地图BOSS／守关BOSS</x:v>
      </x:c>
      <x:c r="J14" s="20" t="str">
        <x:v>全大陆地图</x:v>
      </x:c>
      <x:c r="K14" s="20" t="str">
        <x:v>稀有合成与中高阶消耗</x:v>
      </x:c>
      <x:c r="L14" s="20" t="str">
        <x:v>已正式入库</x:v>
      </x:c>
      <x:c r="M14" s="20" t="str">
        <x:v>Idx与Items Looks锁定，不得改名、改号或覆盖</x:v>
      </x:c>
    </x:row>
    <x:row r="15" ht="24" customHeight="1">
      <x:c r="A15" s="20" t="str">
        <x:v>C04-MAT-MARK</x:v>
      </x:c>
      <x:c r="B15" s="20" t="str">
        <x:v>C04</x:v>
      </x:c>
      <x:c r="C15" s="20" t="str">
        <x:v>利耶尼亚海域</x:v>
      </x:c>
      <x:c r="D15" s="20" t="str">
        <x:v>EL-MAT-C04-MARK</x:v>
      </x:c>
      <x:c r="E15" s="20" t="str">
        <x:v>沉湖王印</x:v>
      </x:c>
      <x:c r="F15" s="20" t="str">
        <x:v>大陆剧情印记</x:v>
      </x:c>
      <x:c r="G15" s="20" t="n">
        <x:v>921</x:v>
      </x:c>
      <x:c r="H15" s="20" t="n">
        <x:v>6412</x:v>
      </x:c>
      <x:c r="I15" s="20" t="str">
        <x:v>地图BOSS／守关BOSS</x:v>
      </x:c>
      <x:c r="J15" s="20" t="str">
        <x:v>全大陆BOSS地图</x:v>
      </x:c>
      <x:c r="K15" s="20" t="str">
        <x:v>剧情、称号及重点合成</x:v>
      </x:c>
      <x:c r="L15" s="20" t="str">
        <x:v>已正式入库</x:v>
      </x:c>
      <x:c r="M15" s="20" t="str">
        <x:v>Idx与Items Looks锁定，不得改名、改号或覆盖</x:v>
      </x:c>
    </x:row>
    <x:row r="16" ht="24" customHeight="1">
      <x:c r="A16" s="20" t="str">
        <x:v>C04-MAT-Q01</x:v>
      </x:c>
      <x:c r="B16" s="20" t="str">
        <x:v>C04</x:v>
      </x:c>
      <x:c r="C16" s="20" t="str">
        <x:v>利耶尼亚海域</x:v>
      </x:c>
      <x:c r="D16" s="20" t="str">
        <x:v>EL-MAT-C04-Q01</x:v>
      </x:c>
      <x:c r="E16" s="20" t="str">
        <x:v>雾潮银鳞</x:v>
      </x:c>
      <x:c r="F16" s="20" t="str">
        <x:v>普通怪证物</x:v>
      </x:c>
      <x:c r="G16" s="20" t="n">
        <x:v>944</x:v>
      </x:c>
      <x:c r="H16" s="20" t="n">
        <x:v>6435</x:v>
      </x:c>
      <x:c r="I16" s="20" t="str">
        <x:v>普通怪</x:v>
      </x:c>
      <x:c r="J16" s="20" t="str">
        <x:v>全大陆普通怪</x:v>
      </x:c>
      <x:c r="K16" s="20" t="str">
        <x:v>普通怪身份凭证</x:v>
      </x:c>
      <x:c r="L16" s="20" t="str">
        <x:v>已正式入库</x:v>
      </x:c>
      <x:c r="M16" s="20" t="str">
        <x:v>Idx与Items Looks锁定，不得改名、改号或覆盖</x:v>
      </x:c>
    </x:row>
    <x:row r="17" ht="24" customHeight="1">
      <x:c r="A17" s="20" t="str">
        <x:v>C04-MAT-Q02</x:v>
      </x:c>
      <x:c r="B17" s="20" t="str">
        <x:v>C04</x:v>
      </x:c>
      <x:c r="C17" s="20" t="str">
        <x:v>利耶尼亚海域</x:v>
      </x:c>
      <x:c r="D17" s="20" t="str">
        <x:v>EL-MAT-C04-Q02</x:v>
      </x:c>
      <x:c r="E17" s="20" t="str">
        <x:v>沉船缆扣</x:v>
      </x:c>
      <x:c r="F17" s="20" t="str">
        <x:v>精英证物</x:v>
      </x:c>
      <x:c r="G17" s="20" t="n">
        <x:v>945</x:v>
      </x:c>
      <x:c r="H17" s="20" t="n">
        <x:v>6436</x:v>
      </x:c>
      <x:c r="I17" s="20" t="str">
        <x:v>稀有怪</x:v>
      </x:c>
      <x:c r="J17" s="20" t="str">
        <x:v>全大陆稀有怪</x:v>
      </x:c>
      <x:c r="K17" s="20" t="str">
        <x:v>稀有怪身份凭证</x:v>
      </x:c>
      <x:c r="L17" s="20" t="str">
        <x:v>已正式入库</x:v>
      </x:c>
      <x:c r="M17" s="20" t="str">
        <x:v>Idx与Items Looks锁定，不得改名、改号或覆盖</x:v>
      </x:c>
    </x:row>
    <x:row r="18" ht="24" customHeight="1">
      <x:c r="A18" s="20" t="str">
        <x:v>C04-MAT-Q03</x:v>
      </x:c>
      <x:c r="B18" s="20" t="str">
        <x:v>C04</x:v>
      </x:c>
      <x:c r="C18" s="20" t="str">
        <x:v>利耶尼亚海域</x:v>
      </x:c>
      <x:c r="D18" s="20" t="str">
        <x:v>EL-MAT-C04-Q03</x:v>
      </x:c>
      <x:c r="E18" s="20" t="str">
        <x:v>深湖压舱印</x:v>
      </x:c>
      <x:c r="F18" s="20" t="str">
        <x:v>地图BOSS证物</x:v>
      </x:c>
      <x:c r="G18" s="20" t="n">
        <x:v>946</x:v>
      </x:c>
      <x:c r="H18" s="20" t="n">
        <x:v>6437</x:v>
      </x:c>
      <x:c r="I18" s="20" t="str">
        <x:v>地图BOSS</x:v>
      </x:c>
      <x:c r="J18" s="20" t="str">
        <x:v>全大陆地图BOSS</x:v>
      </x:c>
      <x:c r="K18" s="20" t="str">
        <x:v>地图BOSS身份凭证</x:v>
      </x:c>
      <x:c r="L18" s="20" t="str">
        <x:v>已正式入库</x:v>
      </x:c>
      <x:c r="M18" s="20" t="str">
        <x:v>Idx与Items Looks锁定，不得改名、改号或覆盖</x:v>
      </x:c>
    </x:row>
    <x:row r="19" ht="24" customHeight="1">
      <x:c r="A19" s="20" t="str">
        <x:v>C04-MAT-Q04</x:v>
      </x:c>
      <x:c r="B19" s="20" t="str">
        <x:v>C04</x:v>
      </x:c>
      <x:c r="C19" s="20" t="str">
        <x:v>利耶尼亚海域</x:v>
      </x:c>
      <x:c r="D19" s="20" t="str">
        <x:v>EL-MAT-C04-Q04</x:v>
      </x:c>
      <x:c r="E19" s="20" t="str">
        <x:v>湖底封门珠</x:v>
      </x:c>
      <x:c r="F19" s="20" t="str">
        <x:v>守关BOSS证物</x:v>
      </x:c>
      <x:c r="G19" s="20" t="n">
        <x:v>947</x:v>
      </x:c>
      <x:c r="H19" s="20" t="n">
        <x:v>6438</x:v>
      </x:c>
      <x:c r="I19" s="20" t="str">
        <x:v>守关BOSS</x:v>
      </x:c>
      <x:c r="J19" s="20" t="str">
        <x:v>大陆最终图</x:v>
      </x:c>
      <x:c r="K19" s="20" t="str">
        <x:v>守关BOSS身份凭证</x:v>
      </x:c>
      <x:c r="L19" s="20" t="str">
        <x:v>已正式入库</x:v>
      </x:c>
      <x:c r="M19" s="20" t="str">
        <x:v>Idx与Items Looks锁定，不得改名、改号或覆盖</x:v>
      </x:c>
    </x:row>
    <x:row r="20" ht="24" customHeight="1">
      <x:c r="A20" s="20" t="str">
        <x:v>C04-MAT-COLLECT</x:v>
      </x:c>
      <x:c r="B20" s="20" t="str">
        <x:v>C04</x:v>
      </x:c>
      <x:c r="C20" s="20" t="str">
        <x:v>利耶尼亚海域</x:v>
      </x:c>
      <x:c r="D20" s="20" t="str">
        <x:v>EL-MAT-C04-COLLECT</x:v>
      </x:c>
      <x:c r="E20" s="20" t="str">
        <x:v>月潮忆珀</x:v>
      </x:c>
      <x:c r="F20" s="20" t="str">
        <x:v>大陆收藏材料</x:v>
      </x:c>
      <x:c r="G20" s="34" t="n">
        <x:v>973</x:v>
      </x:c>
      <x:c r="H20" s="34"/>
      <x:c r="I20" s="34" t="str">
        <x:v>全部怪物（独立判定）</x:v>
      </x:c>
      <x:c r="J20" s="34" t="str">
        <x:v>全大陆所有地图</x:v>
      </x:c>
      <x:c r="K20" s="34" t="str">
        <x:v>不可装备；只供高价值大陆图鉴收集</x:v>
      </x:c>
      <x:c r="L20" s="34" t="str">
        <x:v>Idx已规划／Items Looks待补／未入库</x:v>
      </x:c>
      <x:c r="M20" s="34" t="str">
        <x:v>Idx 973从原预留段启用；Items Looks不得顺延占用6463—6470（与装备候选重叠），需平台提供8个已核验空闲槽。</x:v>
      </x:c>
    </x:row>
    <x:row r="21" ht="24" customHeight="1">
      <x:c r="A21" s="20" t="str">
        <x:v>C05-MAT-COM</x:v>
      </x:c>
      <x:c r="B21" s="20" t="str">
        <x:v>C05</x:v>
      </x:c>
      <x:c r="C21" s="20" t="str">
        <x:v>湖之利耶尼亚</x:v>
      </x:c>
      <x:c r="D21" s="20" t="str">
        <x:v>EL-MAT-C05-COM</x:v>
      </x:c>
      <x:c r="E21" s="20" t="str">
        <x:v>辉石碎晶</x:v>
      </x:c>
      <x:c r="F21" s="20" t="str">
        <x:v>大陆通用材料</x:v>
      </x:c>
      <x:c r="G21" s="20" t="n">
        <x:v>922</x:v>
      </x:c>
      <x:c r="H21" s="20" t="n">
        <x:v>6413</x:v>
      </x:c>
      <x:c r="I21" s="20" t="str">
        <x:v>全部怪物</x:v>
      </x:c>
      <x:c r="J21" s="20" t="str">
        <x:v>全大陆地图</x:v>
      </x:c>
      <x:c r="K21" s="20" t="str">
        <x:v>大陆通用合成、升级及基础消耗</x:v>
      </x:c>
      <x:c r="L21" s="20" t="str">
        <x:v>已正式入库</x:v>
      </x:c>
      <x:c r="M21" s="20" t="str">
        <x:v>Idx与Items Looks锁定，不得改名、改号或覆盖</x:v>
      </x:c>
    </x:row>
    <x:row r="22" ht="24" customHeight="1">
      <x:c r="A22" s="20" t="str">
        <x:v>C05-MAT-RARE</x:v>
      </x:c>
      <x:c r="B22" s="20" t="str">
        <x:v>C05</x:v>
      </x:c>
      <x:c r="C22" s="20" t="str">
        <x:v>湖之利耶尼亚</x:v>
      </x:c>
      <x:c r="D22" s="20" t="str">
        <x:v>EL-MAT-C05-RARE</x:v>
      </x:c>
      <x:c r="E22" s="20" t="str">
        <x:v>卡利亚月露</x:v>
      </x:c>
      <x:c r="F22" s="20" t="str">
        <x:v>大陆稀有材料</x:v>
      </x:c>
      <x:c r="G22" s="20" t="n">
        <x:v>923</x:v>
      </x:c>
      <x:c r="H22" s="20" t="n">
        <x:v>6414</x:v>
      </x:c>
      <x:c r="I22" s="20" t="str">
        <x:v>稀有怪／地图BOSS／守关BOSS</x:v>
      </x:c>
      <x:c r="J22" s="20" t="str">
        <x:v>全大陆地图</x:v>
      </x:c>
      <x:c r="K22" s="20" t="str">
        <x:v>稀有合成与中高阶消耗</x:v>
      </x:c>
      <x:c r="L22" s="20" t="str">
        <x:v>已正式入库</x:v>
      </x:c>
      <x:c r="M22" s="20" t="str">
        <x:v>Idx与Items Looks锁定，不得改名、改号或覆盖</x:v>
      </x:c>
    </x:row>
    <x:row r="23" ht="24" customHeight="1">
      <x:c r="A23" s="20" t="str">
        <x:v>C05-MAT-MARK</x:v>
      </x:c>
      <x:c r="B23" s="20" t="str">
        <x:v>C05</x:v>
      </x:c>
      <x:c r="C23" s="20" t="str">
        <x:v>湖之利耶尼亚</x:v>
      </x:c>
      <x:c r="D23" s="20" t="str">
        <x:v>EL-MAT-C05-MARK</x:v>
      </x:c>
      <x:c r="E23" s="20" t="str">
        <x:v>满月王室印</x:v>
      </x:c>
      <x:c r="F23" s="20" t="str">
        <x:v>大陆剧情印记</x:v>
      </x:c>
      <x:c r="G23" s="20" t="n">
        <x:v>924</x:v>
      </x:c>
      <x:c r="H23" s="20" t="n">
        <x:v>6415</x:v>
      </x:c>
      <x:c r="I23" s="20" t="str">
        <x:v>地图BOSS／守关BOSS</x:v>
      </x:c>
      <x:c r="J23" s="20" t="str">
        <x:v>全大陆BOSS地图</x:v>
      </x:c>
      <x:c r="K23" s="20" t="str">
        <x:v>剧情、称号及重点合成</x:v>
      </x:c>
      <x:c r="L23" s="20" t="str">
        <x:v>已正式入库</x:v>
      </x:c>
      <x:c r="M23" s="20" t="str">
        <x:v>Idx与Items Looks锁定，不得改名、改号或覆盖</x:v>
      </x:c>
    </x:row>
    <x:row r="24" ht="24" customHeight="1">
      <x:c r="A24" s="20" t="str">
        <x:v>C05-MAT-Q01</x:v>
      </x:c>
      <x:c r="B24" s="20" t="str">
        <x:v>C05</x:v>
      </x:c>
      <x:c r="C24" s="20" t="str">
        <x:v>湖之利耶尼亚</x:v>
      </x:c>
      <x:c r="D24" s="20" t="str">
        <x:v>EL-MAT-C05-Q01</x:v>
      </x:c>
      <x:c r="E24" s="20" t="str">
        <x:v>雾月星砂</x:v>
      </x:c>
      <x:c r="F24" s="20" t="str">
        <x:v>普通怪证物</x:v>
      </x:c>
      <x:c r="G24" s="20" t="n">
        <x:v>948</x:v>
      </x:c>
      <x:c r="H24" s="20" t="n">
        <x:v>6439</x:v>
      </x:c>
      <x:c r="I24" s="20" t="str">
        <x:v>普通怪</x:v>
      </x:c>
      <x:c r="J24" s="20" t="str">
        <x:v>全大陆普通怪</x:v>
      </x:c>
      <x:c r="K24" s="20" t="str">
        <x:v>普通怪身份凭证</x:v>
      </x:c>
      <x:c r="L24" s="20" t="str">
        <x:v>已正式入库</x:v>
      </x:c>
      <x:c r="M24" s="20" t="str">
        <x:v>Idx与Items Looks锁定，不得改名、改号或覆盖</x:v>
      </x:c>
    </x:row>
    <x:row r="25" ht="24" customHeight="1">
      <x:c r="A25" s="20" t="str">
        <x:v>C05-MAT-Q02</x:v>
      </x:c>
      <x:c r="B25" s="20" t="str">
        <x:v>C05</x:v>
      </x:c>
      <x:c r="C25" s="20" t="str">
        <x:v>湖之利耶尼亚</x:v>
      </x:c>
      <x:c r="D25" s="20" t="str">
        <x:v>EL-MAT-C05-Q02</x:v>
      </x:c>
      <x:c r="E25" s="20" t="str">
        <x:v>学院封蜡</x:v>
      </x:c>
      <x:c r="F25" s="20" t="str">
        <x:v>精英证物</x:v>
      </x:c>
      <x:c r="G25" s="20" t="n">
        <x:v>949</x:v>
      </x:c>
      <x:c r="H25" s="20" t="n">
        <x:v>6440</x:v>
      </x:c>
      <x:c r="I25" s="20" t="str">
        <x:v>稀有怪</x:v>
      </x:c>
      <x:c r="J25" s="20" t="str">
        <x:v>全大陆稀有怪</x:v>
      </x:c>
      <x:c r="K25" s="20" t="str">
        <x:v>稀有怪身份凭证</x:v>
      </x:c>
      <x:c r="L25" s="20" t="str">
        <x:v>已正式入库</x:v>
      </x:c>
      <x:c r="M25" s="20" t="str">
        <x:v>Idx与Items Looks锁定，不得改名、改号或覆盖</x:v>
      </x:c>
    </x:row>
    <x:row r="26" ht="24" customHeight="1">
      <x:c r="A26" s="20" t="str">
        <x:v>C05-MAT-Q03</x:v>
      </x:c>
      <x:c r="B26" s="20" t="str">
        <x:v>C05</x:v>
      </x:c>
      <x:c r="C26" s="20" t="str">
        <x:v>湖之利耶尼亚</x:v>
      </x:c>
      <x:c r="D26" s="20" t="str">
        <x:v>EL-MAT-C05-Q03</x:v>
      </x:c>
      <x:c r="E26" s="20" t="str">
        <x:v>月蚀镜片</x:v>
      </x:c>
      <x:c r="F26" s="20" t="str">
        <x:v>地图BOSS证物</x:v>
      </x:c>
      <x:c r="G26" s="20" t="n">
        <x:v>950</x:v>
      </x:c>
      <x:c r="H26" s="20" t="n">
        <x:v>6441</x:v>
      </x:c>
      <x:c r="I26" s="20" t="str">
        <x:v>地图BOSS</x:v>
      </x:c>
      <x:c r="J26" s="20" t="str">
        <x:v>全大陆地图BOSS</x:v>
      </x:c>
      <x:c r="K26" s="20" t="str">
        <x:v>地图BOSS身份凭证</x:v>
      </x:c>
      <x:c r="L26" s="20" t="str">
        <x:v>已正式入库</x:v>
      </x:c>
      <x:c r="M26" s="20" t="str">
        <x:v>Idx与Items Looks锁定，不得改名、改号或覆盖</x:v>
      </x:c>
    </x:row>
    <x:row r="27" ht="24" customHeight="1">
      <x:c r="A27" s="20" t="str">
        <x:v>C05-MAT-Q04</x:v>
      </x:c>
      <x:c r="B27" s="20" t="str">
        <x:v>C05</x:v>
      </x:c>
      <x:c r="C27" s="20" t="str">
        <x:v>湖之利耶尼亚</x:v>
      </x:c>
      <x:c r="D27" s="20" t="str">
        <x:v>EL-MAT-C05-Q04</x:v>
      </x:c>
      <x:c r="E27" s="20" t="str">
        <x:v>禁域星钥</x:v>
      </x:c>
      <x:c r="F27" s="20" t="str">
        <x:v>守关BOSS证物</x:v>
      </x:c>
      <x:c r="G27" s="20" t="n">
        <x:v>951</x:v>
      </x:c>
      <x:c r="H27" s="20" t="n">
        <x:v>6442</x:v>
      </x:c>
      <x:c r="I27" s="20" t="str">
        <x:v>守关BOSS</x:v>
      </x:c>
      <x:c r="J27" s="20" t="str">
        <x:v>大陆最终图</x:v>
      </x:c>
      <x:c r="K27" s="20" t="str">
        <x:v>守关BOSS身份凭证</x:v>
      </x:c>
      <x:c r="L27" s="20" t="str">
        <x:v>已正式入库</x:v>
      </x:c>
      <x:c r="M27" s="20" t="str">
        <x:v>Idx与Items Looks锁定，不得改名、改号或覆盖</x:v>
      </x:c>
    </x:row>
    <x:row r="28" ht="24" customHeight="1">
      <x:c r="A28" s="20" t="str">
        <x:v>C05-MAT-COLLECT</x:v>
      </x:c>
      <x:c r="B28" s="20" t="str">
        <x:v>C05</x:v>
      </x:c>
      <x:c r="C28" s="20" t="str">
        <x:v>湖之利耶尼亚</x:v>
      </x:c>
      <x:c r="D28" s="20" t="str">
        <x:v>EL-MAT-C05-COLLECT</x:v>
      </x:c>
      <x:c r="E28" s="20" t="str">
        <x:v>湖心月谱残章</x:v>
      </x:c>
      <x:c r="F28" s="20" t="str">
        <x:v>大陆收藏材料</x:v>
      </x:c>
      <x:c r="G28" s="34" t="n">
        <x:v>974</x:v>
      </x:c>
      <x:c r="H28" s="34"/>
      <x:c r="I28" s="34" t="str">
        <x:v>全部怪物（独立判定）</x:v>
      </x:c>
      <x:c r="J28" s="34" t="str">
        <x:v>全大陆所有地图</x:v>
      </x:c>
      <x:c r="K28" s="34" t="str">
        <x:v>不可装备；只供高价值大陆图鉴收集</x:v>
      </x:c>
      <x:c r="L28" s="34" t="str">
        <x:v>Idx已规划／Items Looks待补／未入库</x:v>
      </x:c>
      <x:c r="M28" s="34" t="str">
        <x:v>Idx 974从原预留段启用；Items Looks不得顺延占用6463—6470（与装备候选重叠），需平台提供8个已核验空闲槽。</x:v>
      </x:c>
    </x:row>
    <x:row r="29" ht="24" customHeight="1">
      <x:c r="A29" s="20" t="str">
        <x:v>C06-MAT-COM</x:v>
      </x:c>
      <x:c r="B29" s="20" t="str">
        <x:v>C06</x:v>
      </x:c>
      <x:c r="C29" s="20" t="str">
        <x:v>盖利德</x:v>
      </x:c>
      <x:c r="D29" s="20" t="str">
        <x:v>EL-MAT-C06-COM</x:v>
      </x:c>
      <x:c r="E29" s="20" t="str">
        <x:v>猩红矿渣</x:v>
      </x:c>
      <x:c r="F29" s="20" t="str">
        <x:v>大陆通用材料</x:v>
      </x:c>
      <x:c r="G29" s="20" t="n">
        <x:v>925</x:v>
      </x:c>
      <x:c r="H29" s="20" t="n">
        <x:v>6416</x:v>
      </x:c>
      <x:c r="I29" s="20" t="str">
        <x:v>全部怪物</x:v>
      </x:c>
      <x:c r="J29" s="20" t="str">
        <x:v>全大陆地图</x:v>
      </x:c>
      <x:c r="K29" s="20" t="str">
        <x:v>大陆通用合成、升级及基础消耗</x:v>
      </x:c>
      <x:c r="L29" s="20" t="str">
        <x:v>已正式入库</x:v>
      </x:c>
      <x:c r="M29" s="20" t="str">
        <x:v>Idx与Items Looks锁定，不得改名、改号或覆盖</x:v>
      </x:c>
    </x:row>
    <x:row r="30" ht="24" customHeight="1">
      <x:c r="A30" s="20" t="str">
        <x:v>C06-MAT-RARE</x:v>
      </x:c>
      <x:c r="B30" s="20" t="str">
        <x:v>C06</x:v>
      </x:c>
      <x:c r="C30" s="20" t="str">
        <x:v>盖利德</x:v>
      </x:c>
      <x:c r="D30" s="20" t="str">
        <x:v>EL-MAT-C06-RARE</x:v>
      </x:c>
      <x:c r="E30" s="20" t="str">
        <x:v>龙火鳞</x:v>
      </x:c>
      <x:c r="F30" s="20" t="str">
        <x:v>大陆稀有材料</x:v>
      </x:c>
      <x:c r="G30" s="20" t="n">
        <x:v>926</x:v>
      </x:c>
      <x:c r="H30" s="20" t="n">
        <x:v>6417</x:v>
      </x:c>
      <x:c r="I30" s="20" t="str">
        <x:v>稀有怪／地图BOSS／守关BOSS</x:v>
      </x:c>
      <x:c r="J30" s="20" t="str">
        <x:v>全大陆地图</x:v>
      </x:c>
      <x:c r="K30" s="20" t="str">
        <x:v>稀有合成与中高阶消耗</x:v>
      </x:c>
      <x:c r="L30" s="20" t="str">
        <x:v>已正式入库</x:v>
      </x:c>
      <x:c r="M30" s="20" t="str">
        <x:v>Idx与Items Looks锁定，不得改名、改号或覆盖</x:v>
      </x:c>
    </x:row>
    <x:row r="31" ht="24" customHeight="1">
      <x:c r="A31" s="20" t="str">
        <x:v>C06-MAT-MARK</x:v>
      </x:c>
      <x:c r="B31" s="20" t="str">
        <x:v>C06</x:v>
      </x:c>
      <x:c r="C31" s="20" t="str">
        <x:v>盖利德</x:v>
      </x:c>
      <x:c r="D31" s="20" t="str">
        <x:v>EL-MAT-C06-MARK</x:v>
      </x:c>
      <x:c r="E31" s="20" t="str">
        <x:v>红狮战印</x:v>
      </x:c>
      <x:c r="F31" s="20" t="str">
        <x:v>大陆剧情印记</x:v>
      </x:c>
      <x:c r="G31" s="20" t="n">
        <x:v>927</x:v>
      </x:c>
      <x:c r="H31" s="20" t="n">
        <x:v>6418</x:v>
      </x:c>
      <x:c r="I31" s="20" t="str">
        <x:v>地图BOSS／守关BOSS</x:v>
      </x:c>
      <x:c r="J31" s="20" t="str">
        <x:v>全大陆BOSS地图</x:v>
      </x:c>
      <x:c r="K31" s="20" t="str">
        <x:v>剧情、称号及重点合成</x:v>
      </x:c>
      <x:c r="L31" s="20" t="str">
        <x:v>已正式入库</x:v>
      </x:c>
      <x:c r="M31" s="20" t="str">
        <x:v>Idx与Items Looks锁定，不得改名、改号或覆盖</x:v>
      </x:c>
    </x:row>
    <x:row r="32" ht="24" customHeight="1">
      <x:c r="A32" s="20" t="str">
        <x:v>C06-MAT-Q01</x:v>
      </x:c>
      <x:c r="B32" s="20" t="str">
        <x:v>C06</x:v>
      </x:c>
      <x:c r="C32" s="20" t="str">
        <x:v>盖利德</x:v>
      </x:c>
      <x:c r="D32" s="20" t="str">
        <x:v>EL-MAT-C06-Q01</x:v>
      </x:c>
      <x:c r="E32" s="20" t="str">
        <x:v>红狮断箭</x:v>
      </x:c>
      <x:c r="F32" s="20" t="str">
        <x:v>普通怪证物</x:v>
      </x:c>
      <x:c r="G32" s="20" t="n">
        <x:v>952</x:v>
      </x:c>
      <x:c r="H32" s="20" t="n">
        <x:v>6443</x:v>
      </x:c>
      <x:c r="I32" s="20" t="str">
        <x:v>普通怪</x:v>
      </x:c>
      <x:c r="J32" s="20" t="str">
        <x:v>全大陆普通怪</x:v>
      </x:c>
      <x:c r="K32" s="20" t="str">
        <x:v>普通怪身份凭证</x:v>
      </x:c>
      <x:c r="L32" s="20" t="str">
        <x:v>已正式入库</x:v>
      </x:c>
      <x:c r="M32" s="20" t="str">
        <x:v>Idx与Items Looks锁定，不得改名、改号或覆盖</x:v>
      </x:c>
    </x:row>
    <x:row r="33" ht="24" customHeight="1">
      <x:c r="A33" s="20" t="str">
        <x:v>C06-MAT-Q02</x:v>
      </x:c>
      <x:c r="B33" s="20" t="str">
        <x:v>C06</x:v>
      </x:c>
      <x:c r="C33" s="20" t="str">
        <x:v>盖利德</x:v>
      </x:c>
      <x:c r="D33" s="20" t="str">
        <x:v>EL-MAT-C06-Q02</x:v>
      </x:c>
      <x:c r="E33" s="20" t="str">
        <x:v>净火腺囊</x:v>
      </x:c>
      <x:c r="F33" s="20" t="str">
        <x:v>精英证物</x:v>
      </x:c>
      <x:c r="G33" s="20" t="n">
        <x:v>953</x:v>
      </x:c>
      <x:c r="H33" s="20" t="n">
        <x:v>6444</x:v>
      </x:c>
      <x:c r="I33" s="20" t="str">
        <x:v>稀有怪</x:v>
      </x:c>
      <x:c r="J33" s="20" t="str">
        <x:v>全大陆稀有怪</x:v>
      </x:c>
      <x:c r="K33" s="20" t="str">
        <x:v>稀有怪身份凭证</x:v>
      </x:c>
      <x:c r="L33" s="20" t="str">
        <x:v>已正式入库</x:v>
      </x:c>
      <x:c r="M33" s="20" t="str">
        <x:v>Idx与Items Looks锁定，不得改名、改号或覆盖</x:v>
      </x:c>
    </x:row>
    <x:row r="34" ht="24" customHeight="1">
      <x:c r="A34" s="20" t="str">
        <x:v>C06-MAT-Q03</x:v>
      </x:c>
      <x:c r="B34" s="20" t="str">
        <x:v>C06</x:v>
      </x:c>
      <x:c r="C34" s="20" t="str">
        <x:v>盖利德</x:v>
      </x:c>
      <x:c r="D34" s="20" t="str">
        <x:v>EL-MAT-C06-Q03</x:v>
      </x:c>
      <x:c r="E34" s="20" t="str">
        <x:v>龙窟熔牙</x:v>
      </x:c>
      <x:c r="F34" s="20" t="str">
        <x:v>地图BOSS证物</x:v>
      </x:c>
      <x:c r="G34" s="20" t="n">
        <x:v>954</x:v>
      </x:c>
      <x:c r="H34" s="20" t="n">
        <x:v>6445</x:v>
      </x:c>
      <x:c r="I34" s="20" t="str">
        <x:v>地图BOSS</x:v>
      </x:c>
      <x:c r="J34" s="20" t="str">
        <x:v>全大陆地图BOSS</x:v>
      </x:c>
      <x:c r="K34" s="20" t="str">
        <x:v>地图BOSS身份凭证</x:v>
      </x:c>
      <x:c r="L34" s="20" t="str">
        <x:v>已正式入库</x:v>
      </x:c>
      <x:c r="M34" s="20" t="str">
        <x:v>Idx与Items Looks锁定，不得改名、改号或覆盖</x:v>
      </x:c>
    </x:row>
    <x:row r="35" ht="24" customHeight="1">
      <x:c r="A35" s="20" t="str">
        <x:v>C06-MAT-Q04</x:v>
      </x:c>
      <x:c r="B35" s="20" t="str">
        <x:v>C06</x:v>
      </x:c>
      <x:c r="C35" s="20" t="str">
        <x:v>盖利德</x:v>
      </x:c>
      <x:c r="D35" s="20" t="str">
        <x:v>EL-MAT-C06-Q04</x:v>
      </x:c>
      <x:c r="E35" s="20" t="str">
        <x:v>碎星仪仗钉</x:v>
      </x:c>
      <x:c r="F35" s="20" t="str">
        <x:v>守关BOSS证物</x:v>
      </x:c>
      <x:c r="G35" s="20" t="n">
        <x:v>955</x:v>
      </x:c>
      <x:c r="H35" s="20" t="n">
        <x:v>6446</x:v>
      </x:c>
      <x:c r="I35" s="20" t="str">
        <x:v>守关BOSS</x:v>
      </x:c>
      <x:c r="J35" s="20" t="str">
        <x:v>大陆最终图</x:v>
      </x:c>
      <x:c r="K35" s="20" t="str">
        <x:v>守关BOSS身份凭证</x:v>
      </x:c>
      <x:c r="L35" s="20" t="str">
        <x:v>已正式入库</x:v>
      </x:c>
      <x:c r="M35" s="20" t="str">
        <x:v>Idx与Items Looks锁定，不得改名、改号或覆盖</x:v>
      </x:c>
    </x:row>
    <x:row r="36" ht="24" customHeight="1">
      <x:c r="A36" s="20" t="str">
        <x:v>C06-MAT-COLLECT</x:v>
      </x:c>
      <x:c r="B36" s="20" t="str">
        <x:v>C06</x:v>
      </x:c>
      <x:c r="C36" s="20" t="str">
        <x:v>盖利德</x:v>
      </x:c>
      <x:c r="D36" s="20" t="str">
        <x:v>EL-MAT-C06-COLLECT</x:v>
      </x:c>
      <x:c r="E36" s="20" t="str">
        <x:v>熔原罪火残章</x:v>
      </x:c>
      <x:c r="F36" s="20" t="str">
        <x:v>大陆收藏材料</x:v>
      </x:c>
      <x:c r="G36" s="34" t="n">
        <x:v>975</x:v>
      </x:c>
      <x:c r="H36" s="34"/>
      <x:c r="I36" s="34" t="str">
        <x:v>全部怪物（独立判定）</x:v>
      </x:c>
      <x:c r="J36" s="34" t="str">
        <x:v>全大陆所有地图</x:v>
      </x:c>
      <x:c r="K36" s="34" t="str">
        <x:v>不可装备；只供高价值大陆图鉴收集</x:v>
      </x:c>
      <x:c r="L36" s="34" t="str">
        <x:v>Idx已规划／Items Looks待补／未入库</x:v>
      </x:c>
      <x:c r="M36" s="34" t="str">
        <x:v>Idx 975从原预留段启用；Items Looks不得顺延占用6463—6470（与装备候选重叠），需平台提供8个已核验空闲槽。</x:v>
      </x:c>
    </x:row>
    <x:row r="37" ht="24" customHeight="1">
      <x:c r="A37" s="20" t="str">
        <x:v>C07-MAT-COM</x:v>
      </x:c>
      <x:c r="B37" s="20" t="str">
        <x:v>C07</x:v>
      </x:c>
      <x:c r="C37" s="20" t="str">
        <x:v>化圣雪原</x:v>
      </x:c>
      <x:c r="D37" s="20" t="str">
        <x:v>EL-MAT-C07-COM</x:v>
      </x:c>
      <x:c r="E37" s="20" t="str">
        <x:v>冻晶尘</x:v>
      </x:c>
      <x:c r="F37" s="20" t="str">
        <x:v>大陆通用材料</x:v>
      </x:c>
      <x:c r="G37" s="20" t="n">
        <x:v>928</x:v>
      </x:c>
      <x:c r="H37" s="20" t="n">
        <x:v>6419</x:v>
      </x:c>
      <x:c r="I37" s="20" t="str">
        <x:v>全部怪物</x:v>
      </x:c>
      <x:c r="J37" s="20" t="str">
        <x:v>全大陆地图</x:v>
      </x:c>
      <x:c r="K37" s="20" t="str">
        <x:v>大陆通用合成、升级及基础消耗</x:v>
      </x:c>
      <x:c r="L37" s="20" t="str">
        <x:v>已正式入库</x:v>
      </x:c>
      <x:c r="M37" s="20" t="str">
        <x:v>Idx与Items Looks锁定，不得改名、改号或覆盖</x:v>
      </x:c>
    </x:row>
    <x:row r="38" ht="24" customHeight="1">
      <x:c r="A38" s="20" t="str">
        <x:v>C07-MAT-RARE</x:v>
      </x:c>
      <x:c r="B38" s="20" t="str">
        <x:v>C07</x:v>
      </x:c>
      <x:c r="C38" s="20" t="str">
        <x:v>化圣雪原</x:v>
      </x:c>
      <x:c r="D38" s="20" t="str">
        <x:v>EL-MAT-C07-RARE</x:v>
      </x:c>
      <x:c r="E38" s="20" t="str">
        <x:v>白金纺线</x:v>
      </x:c>
      <x:c r="F38" s="20" t="str">
        <x:v>大陆稀有材料</x:v>
      </x:c>
      <x:c r="G38" s="20" t="n">
        <x:v>929</x:v>
      </x:c>
      <x:c r="H38" s="20" t="n">
        <x:v>6420</x:v>
      </x:c>
      <x:c r="I38" s="20" t="str">
        <x:v>稀有怪／地图BOSS／守关BOSS</x:v>
      </x:c>
      <x:c r="J38" s="20" t="str">
        <x:v>全大陆地图</x:v>
      </x:c>
      <x:c r="K38" s="20" t="str">
        <x:v>稀有合成与中高阶消耗</x:v>
      </x:c>
      <x:c r="L38" s="20" t="str">
        <x:v>已正式入库</x:v>
      </x:c>
      <x:c r="M38" s="20" t="str">
        <x:v>Idx与Items Looks锁定，不得改名、改号或覆盖</x:v>
      </x:c>
    </x:row>
    <x:row r="39" ht="24" customHeight="1">
      <x:c r="A39" s="20" t="str">
        <x:v>C07-MAT-MARK</x:v>
      </x:c>
      <x:c r="B39" s="20" t="str">
        <x:v>C07</x:v>
      </x:c>
      <x:c r="C39" s="20" t="str">
        <x:v>化圣雪原</x:v>
      </x:c>
      <x:c r="D39" s="20" t="str">
        <x:v>EL-MAT-C07-MARK</x:v>
      </x:c>
      <x:c r="E39" s="20" t="str">
        <x:v>圣雪誓印</x:v>
      </x:c>
      <x:c r="F39" s="20" t="str">
        <x:v>大陆剧情印记</x:v>
      </x:c>
      <x:c r="G39" s="20" t="n">
        <x:v>930</x:v>
      </x:c>
      <x:c r="H39" s="20" t="n">
        <x:v>6421</x:v>
      </x:c>
      <x:c r="I39" s="20" t="str">
        <x:v>地图BOSS／守关BOSS</x:v>
      </x:c>
      <x:c r="J39" s="20" t="str">
        <x:v>全大陆BOSS地图</x:v>
      </x:c>
      <x:c r="K39" s="20" t="str">
        <x:v>剧情、称号及重点合成</x:v>
      </x:c>
      <x:c r="L39" s="20" t="str">
        <x:v>已正式入库</x:v>
      </x:c>
      <x:c r="M39" s="20" t="str">
        <x:v>Idx与Items Looks锁定，不得改名、改号或覆盖</x:v>
      </x:c>
    </x:row>
    <x:row r="40" ht="24" customHeight="1">
      <x:c r="A40" s="20" t="str">
        <x:v>C07-MAT-Q01</x:v>
      </x:c>
      <x:c r="B40" s="20" t="str">
        <x:v>C07</x:v>
      </x:c>
      <x:c r="C40" s="20" t="str">
        <x:v>化圣雪原</x:v>
      </x:c>
      <x:c r="D40" s="20" t="str">
        <x:v>EL-MAT-C07-Q01</x:v>
      </x:c>
      <x:c r="E40" s="20" t="str">
        <x:v>白金路标片</x:v>
      </x:c>
      <x:c r="F40" s="20" t="str">
        <x:v>普通怪证物</x:v>
      </x:c>
      <x:c r="G40" s="20" t="n">
        <x:v>956</x:v>
      </x:c>
      <x:c r="H40" s="20" t="n">
        <x:v>6447</x:v>
      </x:c>
      <x:c r="I40" s="20" t="str">
        <x:v>普通怪</x:v>
      </x:c>
      <x:c r="J40" s="20" t="str">
        <x:v>全大陆普通怪</x:v>
      </x:c>
      <x:c r="K40" s="20" t="str">
        <x:v>普通怪身份凭证</x:v>
      </x:c>
      <x:c r="L40" s="20" t="str">
        <x:v>已正式入库</x:v>
      </x:c>
      <x:c r="M40" s="20" t="str">
        <x:v>Idx与Items Looks锁定，不得改名、改号或覆盖</x:v>
      </x:c>
    </x:row>
    <x:row r="41" ht="24" customHeight="1">
      <x:c r="A41" s="20" t="str">
        <x:v>C07-MAT-Q02</x:v>
      </x:c>
      <x:c r="B41" s="20" t="str">
        <x:v>C07</x:v>
      </x:c>
      <x:c r="C41" s="20" t="str">
        <x:v>化圣雪原</x:v>
      </x:c>
      <x:c r="D41" s="20" t="str">
        <x:v>EL-MAT-C07-Q02</x:v>
      </x:c>
      <x:c r="E41" s="20" t="str">
        <x:v>冻原银角</x:v>
      </x:c>
      <x:c r="F41" s="20" t="str">
        <x:v>精英证物</x:v>
      </x:c>
      <x:c r="G41" s="20" t="n">
        <x:v>957</x:v>
      </x:c>
      <x:c r="H41" s="20" t="n">
        <x:v>6448</x:v>
      </x:c>
      <x:c r="I41" s="20" t="str">
        <x:v>稀有怪</x:v>
      </x:c>
      <x:c r="J41" s="20" t="str">
        <x:v>全大陆稀有怪</x:v>
      </x:c>
      <x:c r="K41" s="20" t="str">
        <x:v>稀有怪身份凭证</x:v>
      </x:c>
      <x:c r="L41" s="20" t="str">
        <x:v>已正式入库</x:v>
      </x:c>
      <x:c r="M41" s="20" t="str">
        <x:v>Idx与Items Looks锁定，不得改名、改号或覆盖</x:v>
      </x:c>
    </x:row>
    <x:row r="42" ht="24" customHeight="1">
      <x:c r="A42" s="20" t="str">
        <x:v>C07-MAT-Q03</x:v>
      </x:c>
      <x:c r="B42" s="20" t="str">
        <x:v>C07</x:v>
      </x:c>
      <x:c r="C42" s="20" t="str">
        <x:v>化圣雪原</x:v>
      </x:c>
      <x:c r="D42" s="20" t="str">
        <x:v>EL-MAT-C07-Q03</x:v>
      </x:c>
      <x:c r="E42" s="20" t="str">
        <x:v>秘树霜芽</x:v>
      </x:c>
      <x:c r="F42" s="20" t="str">
        <x:v>地图BOSS证物</x:v>
      </x:c>
      <x:c r="G42" s="20" t="n">
        <x:v>958</x:v>
      </x:c>
      <x:c r="H42" s="20" t="n">
        <x:v>6449</x:v>
      </x:c>
      <x:c r="I42" s="20" t="str">
        <x:v>地图BOSS</x:v>
      </x:c>
      <x:c r="J42" s="20" t="str">
        <x:v>全大陆地图BOSS</x:v>
      </x:c>
      <x:c r="K42" s="20" t="str">
        <x:v>地图BOSS身份凭证</x:v>
      </x:c>
      <x:c r="L42" s="20" t="str">
        <x:v>已正式入库</x:v>
      </x:c>
      <x:c r="M42" s="20" t="str">
        <x:v>Idx与Items Looks锁定，不得改名、改号或覆盖</x:v>
      </x:c>
    </x:row>
    <x:row r="43" ht="24" customHeight="1">
      <x:c r="A43" s="20" t="str">
        <x:v>C07-MAT-Q04</x:v>
      </x:c>
      <x:c r="B43" s="20" t="str">
        <x:v>C07</x:v>
      </x:c>
      <x:c r="C43" s="20" t="str">
        <x:v>化圣雪原</x:v>
      </x:c>
      <x:c r="D43" s="20" t="str">
        <x:v>EL-MAT-C07-Q04</x:v>
      </x:c>
      <x:c r="E43" s="20" t="str">
        <x:v>圣雪门楔</x:v>
      </x:c>
      <x:c r="F43" s="20" t="str">
        <x:v>守关BOSS证物</x:v>
      </x:c>
      <x:c r="G43" s="20" t="n">
        <x:v>959</x:v>
      </x:c>
      <x:c r="H43" s="20" t="n">
        <x:v>6450</x:v>
      </x:c>
      <x:c r="I43" s="20" t="str">
        <x:v>守关BOSS</x:v>
      </x:c>
      <x:c r="J43" s="20" t="str">
        <x:v>大陆最终图</x:v>
      </x:c>
      <x:c r="K43" s="20" t="str">
        <x:v>守关BOSS身份凭证</x:v>
      </x:c>
      <x:c r="L43" s="20" t="str">
        <x:v>已正式入库</x:v>
      </x:c>
      <x:c r="M43" s="20" t="str">
        <x:v>Idx与Items Looks锁定，不得改名、改号或覆盖</x:v>
      </x:c>
    </x:row>
    <x:row r="44" ht="24" customHeight="1">
      <x:c r="A44" s="20" t="str">
        <x:v>C07-MAT-COLLECT</x:v>
      </x:c>
      <x:c r="B44" s="20" t="str">
        <x:v>C07</x:v>
      </x:c>
      <x:c r="C44" s="20" t="str">
        <x:v>化圣雪原</x:v>
      </x:c>
      <x:c r="D44" s="20" t="str">
        <x:v>EL-MAT-C07-COLLECT</x:v>
      </x:c>
      <x:c r="E44" s="20" t="str">
        <x:v>永霜朝圣痕</x:v>
      </x:c>
      <x:c r="F44" s="20" t="str">
        <x:v>大陆收藏材料</x:v>
      </x:c>
      <x:c r="G44" s="34" t="n">
        <x:v>976</x:v>
      </x:c>
      <x:c r="H44" s="34"/>
      <x:c r="I44" s="34" t="str">
        <x:v>全部怪物（独立判定）</x:v>
      </x:c>
      <x:c r="J44" s="34" t="str">
        <x:v>全大陆所有地图</x:v>
      </x:c>
      <x:c r="K44" s="34" t="str">
        <x:v>不可装备；只供高价值大陆图鉴收集</x:v>
      </x:c>
      <x:c r="L44" s="34" t="str">
        <x:v>Idx已规划／Items Looks待补／未入库</x:v>
      </x:c>
      <x:c r="M44" s="34" t="str">
        <x:v>Idx 976从原预留段启用；Items Looks不得顺延占用6463—6470（与装备候选重叠），需平台提供8个已核验空闲槽。</x:v>
      </x:c>
    </x:row>
    <x:row r="45" ht="24" customHeight="1">
      <x:c r="A45" s="20" t="str">
        <x:v>C08-MAT-COM</x:v>
      </x:c>
      <x:c r="B45" s="20" t="str">
        <x:v>C08</x:v>
      </x:c>
      <x:c r="C45" s="20" t="str">
        <x:v>巨人山顶</x:v>
      </x:c>
      <x:c r="D45" s="20" t="str">
        <x:v>EL-MAT-C08-COM</x:v>
      </x:c>
      <x:c r="E45" s="20" t="str">
        <x:v>霜脊铁</x:v>
      </x:c>
      <x:c r="F45" s="20" t="str">
        <x:v>大陆通用材料</x:v>
      </x:c>
      <x:c r="G45" s="20" t="n">
        <x:v>931</x:v>
      </x:c>
      <x:c r="H45" s="20" t="n">
        <x:v>6422</x:v>
      </x:c>
      <x:c r="I45" s="20" t="str">
        <x:v>全部怪物</x:v>
      </x:c>
      <x:c r="J45" s="20" t="str">
        <x:v>全大陆地图</x:v>
      </x:c>
      <x:c r="K45" s="20" t="str">
        <x:v>大陆通用合成、升级及基础消耗</x:v>
      </x:c>
      <x:c r="L45" s="20" t="str">
        <x:v>已正式入库</x:v>
      </x:c>
      <x:c r="M45" s="20" t="str">
        <x:v>Idx与Items Looks锁定，不得改名、改号或覆盖</x:v>
      </x:c>
    </x:row>
    <x:row r="46" ht="24" customHeight="1">
      <x:c r="A46" s="20" t="str">
        <x:v>C08-MAT-RARE</x:v>
      </x:c>
      <x:c r="B46" s="20" t="str">
        <x:v>C08</x:v>
      </x:c>
      <x:c r="C46" s="20" t="str">
        <x:v>巨人山顶</x:v>
      </x:c>
      <x:c r="D46" s="20" t="str">
        <x:v>EL-MAT-C08-RARE</x:v>
      </x:c>
      <x:c r="E46" s="20" t="str">
        <x:v>巨人火种</x:v>
      </x:c>
      <x:c r="F46" s="20" t="str">
        <x:v>大陆稀有材料</x:v>
      </x:c>
      <x:c r="G46" s="20" t="n">
        <x:v>932</x:v>
      </x:c>
      <x:c r="H46" s="20" t="n">
        <x:v>6423</x:v>
      </x:c>
      <x:c r="I46" s="20" t="str">
        <x:v>稀有怪／地图BOSS／守关BOSS</x:v>
      </x:c>
      <x:c r="J46" s="20" t="str">
        <x:v>全大陆地图</x:v>
      </x:c>
      <x:c r="K46" s="20" t="str">
        <x:v>稀有合成与中高阶消耗</x:v>
      </x:c>
      <x:c r="L46" s="20" t="str">
        <x:v>已正式入库</x:v>
      </x:c>
      <x:c r="M46" s="20" t="str">
        <x:v>Idx与Items Looks锁定，不得改名、改号或覆盖</x:v>
      </x:c>
    </x:row>
    <x:row r="47" ht="24" customHeight="1">
      <x:c r="A47" s="20" t="str">
        <x:v>C08-MAT-MARK</x:v>
      </x:c>
      <x:c r="B47" s="20" t="str">
        <x:v>C08</x:v>
      </x:c>
      <x:c r="C47" s="20" t="str">
        <x:v>巨人山顶</x:v>
      </x:c>
      <x:c r="D47" s="20" t="str">
        <x:v>EL-MAT-C08-MARK</x:v>
      </x:c>
      <x:c r="E47" s="20" t="str">
        <x:v>巨人火印</x:v>
      </x:c>
      <x:c r="F47" s="20" t="str">
        <x:v>大陆剧情印记</x:v>
      </x:c>
      <x:c r="G47" s="20" t="n">
        <x:v>933</x:v>
      </x:c>
      <x:c r="H47" s="20" t="n">
        <x:v>6424</x:v>
      </x:c>
      <x:c r="I47" s="20" t="str">
        <x:v>地图BOSS／守关BOSS</x:v>
      </x:c>
      <x:c r="J47" s="20" t="str">
        <x:v>全大陆BOSS地图</x:v>
      </x:c>
      <x:c r="K47" s="20" t="str">
        <x:v>剧情、称号及重点合成</x:v>
      </x:c>
      <x:c r="L47" s="20" t="str">
        <x:v>已正式入库</x:v>
      </x:c>
      <x:c r="M47" s="20" t="str">
        <x:v>Idx与Items Looks锁定，不得改名、改号或覆盖</x:v>
      </x:c>
    </x:row>
    <x:row r="48" ht="24" customHeight="1">
      <x:c r="A48" s="20" t="str">
        <x:v>C08-MAT-Q01</x:v>
      </x:c>
      <x:c r="B48" s="20" t="str">
        <x:v>C08</x:v>
      </x:c>
      <x:c r="C48" s="20" t="str">
        <x:v>巨人山顶</x:v>
      </x:c>
      <x:c r="D48" s="20" t="str">
        <x:v>EL-MAT-C08-Q01</x:v>
      </x:c>
      <x:c r="E48" s="20" t="str">
        <x:v>登山铁楔</x:v>
      </x:c>
      <x:c r="F48" s="20" t="str">
        <x:v>普通怪证物</x:v>
      </x:c>
      <x:c r="G48" s="20" t="n">
        <x:v>960</x:v>
      </x:c>
      <x:c r="H48" s="20" t="n">
        <x:v>6451</x:v>
      </x:c>
      <x:c r="I48" s="20" t="str">
        <x:v>普通怪</x:v>
      </x:c>
      <x:c r="J48" s="20" t="str">
        <x:v>全大陆普通怪</x:v>
      </x:c>
      <x:c r="K48" s="20" t="str">
        <x:v>普通怪身份凭证</x:v>
      </x:c>
      <x:c r="L48" s="20" t="str">
        <x:v>已正式入库</x:v>
      </x:c>
      <x:c r="M48" s="20" t="str">
        <x:v>Idx与Items Looks锁定，不得改名、改号或覆盖</x:v>
      </x:c>
    </x:row>
    <x:row r="49" ht="24" customHeight="1">
      <x:c r="A49" s="20" t="str">
        <x:v>C08-MAT-Q02</x:v>
      </x:c>
      <x:c r="B49" s="20" t="str">
        <x:v>C08</x:v>
      </x:c>
      <x:c r="C49" s="20" t="str">
        <x:v>巨人山顶</x:v>
      </x:c>
      <x:c r="D49" s="20" t="str">
        <x:v>EL-MAT-C08-Q02</x:v>
      </x:c>
      <x:c r="E49" s="20" t="str">
        <x:v>裂峰号角片</x:v>
      </x:c>
      <x:c r="F49" s="20" t="str">
        <x:v>精英证物</x:v>
      </x:c>
      <x:c r="G49" s="20" t="n">
        <x:v>961</x:v>
      </x:c>
      <x:c r="H49" s="20" t="n">
        <x:v>6452</x:v>
      </x:c>
      <x:c r="I49" s="20" t="str">
        <x:v>稀有怪</x:v>
      </x:c>
      <x:c r="J49" s="20" t="str">
        <x:v>全大陆稀有怪</x:v>
      </x:c>
      <x:c r="K49" s="20" t="str">
        <x:v>稀有怪身份凭证</x:v>
      </x:c>
      <x:c r="L49" s="20" t="str">
        <x:v>已正式入库</x:v>
      </x:c>
      <x:c r="M49" s="20" t="str">
        <x:v>Idx与Items Looks锁定，不得改名、改号或覆盖</x:v>
      </x:c>
    </x:row>
    <x:row r="50" ht="24" customHeight="1">
      <x:c r="A50" s="20" t="str">
        <x:v>C08-MAT-Q03</x:v>
      </x:c>
      <x:c r="B50" s="20" t="str">
        <x:v>C08</x:v>
      </x:c>
      <x:c r="C50" s="20" t="str">
        <x:v>巨人山顶</x:v>
      </x:c>
      <x:c r="D50" s="20" t="str">
        <x:v>EL-MAT-C08-Q03</x:v>
      </x:c>
      <x:c r="E50" s="20" t="str">
        <x:v>冰宫守门铃</x:v>
      </x:c>
      <x:c r="F50" s="20" t="str">
        <x:v>地图BOSS证物</x:v>
      </x:c>
      <x:c r="G50" s="20" t="n">
        <x:v>962</x:v>
      </x:c>
      <x:c r="H50" s="20" t="n">
        <x:v>6453</x:v>
      </x:c>
      <x:c r="I50" s="20" t="str">
        <x:v>地图BOSS</x:v>
      </x:c>
      <x:c r="J50" s="20" t="str">
        <x:v>全大陆地图BOSS</x:v>
      </x:c>
      <x:c r="K50" s="20" t="str">
        <x:v>地图BOSS身份凭证</x:v>
      </x:c>
      <x:c r="L50" s="20" t="str">
        <x:v>已正式入库</x:v>
      </x:c>
      <x:c r="M50" s="20" t="str">
        <x:v>Idx与Items Looks锁定，不得改名、改号或覆盖</x:v>
      </x:c>
    </x:row>
    <x:row r="51" ht="24" customHeight="1">
      <x:c r="A51" s="20" t="str">
        <x:v>C08-MAT-Q04</x:v>
      </x:c>
      <x:c r="B51" s="20" t="str">
        <x:v>C08</x:v>
      </x:c>
      <x:c r="C51" s="20" t="str">
        <x:v>巨人山顶</x:v>
      </x:c>
      <x:c r="D51" s="20" t="str">
        <x:v>EL-MAT-C08-Q04</x:v>
      </x:c>
      <x:c r="E51" s="20" t="str">
        <x:v>王庭炉冠</x:v>
      </x:c>
      <x:c r="F51" s="20" t="str">
        <x:v>守关BOSS证物</x:v>
      </x:c>
      <x:c r="G51" s="20" t="n">
        <x:v>963</x:v>
      </x:c>
      <x:c r="H51" s="20" t="n">
        <x:v>6454</x:v>
      </x:c>
      <x:c r="I51" s="20" t="str">
        <x:v>守关BOSS</x:v>
      </x:c>
      <x:c r="J51" s="20" t="str">
        <x:v>大陆最终图</x:v>
      </x:c>
      <x:c r="K51" s="20" t="str">
        <x:v>守关BOSS身份凭证</x:v>
      </x:c>
      <x:c r="L51" s="20" t="str">
        <x:v>已正式入库</x:v>
      </x:c>
      <x:c r="M51" s="20" t="str">
        <x:v>Idx与Items Looks锁定，不得改名、改号或覆盖</x:v>
      </x:c>
    </x:row>
    <x:row r="52" ht="24" customHeight="1">
      <x:c r="A52" s="20" t="str">
        <x:v>C08-MAT-COLLECT</x:v>
      </x:c>
      <x:c r="B52" s="20" t="str">
        <x:v>C08</x:v>
      </x:c>
      <x:c r="C52" s="20" t="str">
        <x:v>巨人山顶</x:v>
      </x:c>
      <x:c r="D52" s="20" t="str">
        <x:v>EL-MAT-C08-COLLECT</x:v>
      </x:c>
      <x:c r="E52" s="20" t="str">
        <x:v>穹霜碑珀</x:v>
      </x:c>
      <x:c r="F52" s="20" t="str">
        <x:v>大陆收藏材料</x:v>
      </x:c>
      <x:c r="G52" s="34" t="n">
        <x:v>977</x:v>
      </x:c>
      <x:c r="H52" s="34"/>
      <x:c r="I52" s="34" t="str">
        <x:v>全部怪物（独立判定）</x:v>
      </x:c>
      <x:c r="J52" s="34" t="str">
        <x:v>全大陆所有地图</x:v>
      </x:c>
      <x:c r="K52" s="34" t="str">
        <x:v>不可装备；只供高价值大陆图鉴收集</x:v>
      </x:c>
      <x:c r="L52" s="34" t="str">
        <x:v>Idx已规划／Items Looks待补／未入库</x:v>
      </x:c>
      <x:c r="M52" s="34" t="str">
        <x:v>Idx 977从原预留段启用；Items Looks不得顺延占用6463—6470（与装备候选重叠），需平台提供8个已核验空闲槽。</x:v>
      </x:c>
    </x:row>
    <x:row r="53" ht="24" customHeight="1">
      <x:c r="A53" s="20" t="str">
        <x:v>C09-MAT-COM</x:v>
      </x:c>
      <x:c r="B53" s="20" t="str">
        <x:v>C09</x:v>
      </x:c>
      <x:c r="C53" s="20" t="str">
        <x:v>亚坛高原</x:v>
      </x:c>
      <x:c r="D53" s="20" t="str">
        <x:v>EL-MAT-C09-COM</x:v>
      </x:c>
      <x:c r="E53" s="20" t="str">
        <x:v>黄金叶脉</x:v>
      </x:c>
      <x:c r="F53" s="20" t="str">
        <x:v>大陆通用材料</x:v>
      </x:c>
      <x:c r="G53" s="20" t="n">
        <x:v>934</x:v>
      </x:c>
      <x:c r="H53" s="20" t="n">
        <x:v>6425</x:v>
      </x:c>
      <x:c r="I53" s="20" t="str">
        <x:v>全部怪物</x:v>
      </x:c>
      <x:c r="J53" s="20" t="str">
        <x:v>全大陆地图</x:v>
      </x:c>
      <x:c r="K53" s="20" t="str">
        <x:v>大陆通用合成、升级及基础消耗</x:v>
      </x:c>
      <x:c r="L53" s="20" t="str">
        <x:v>已正式入库</x:v>
      </x:c>
      <x:c r="M53" s="20" t="str">
        <x:v>Idx与Items Looks锁定，不得改名、改号或覆盖</x:v>
      </x:c>
    </x:row>
    <x:row r="54" ht="24" customHeight="1">
      <x:c r="A54" s="20" t="str">
        <x:v>C09-MAT-RARE</x:v>
      </x:c>
      <x:c r="B54" s="20" t="str">
        <x:v>C09</x:v>
      </x:c>
      <x:c r="C54" s="20" t="str">
        <x:v>亚坛高原</x:v>
      </x:c>
      <x:c r="D54" s="20" t="str">
        <x:v>EL-MAT-C09-RARE</x:v>
      </x:c>
      <x:c r="E54" s="20" t="str">
        <x:v>古王律页</x:v>
      </x:c>
      <x:c r="F54" s="20" t="str">
        <x:v>大陆稀有材料</x:v>
      </x:c>
      <x:c r="G54" s="20" t="n">
        <x:v>935</x:v>
      </x:c>
      <x:c r="H54" s="20" t="n">
        <x:v>6426</x:v>
      </x:c>
      <x:c r="I54" s="20" t="str">
        <x:v>稀有怪／地图BOSS／守关BOSS</x:v>
      </x:c>
      <x:c r="J54" s="20" t="str">
        <x:v>全大陆地图</x:v>
      </x:c>
      <x:c r="K54" s="20" t="str">
        <x:v>稀有合成与中高阶消耗</x:v>
      </x:c>
      <x:c r="L54" s="20" t="str">
        <x:v>已正式入库</x:v>
      </x:c>
      <x:c r="M54" s="20" t="str">
        <x:v>Idx与Items Looks锁定，不得改名、改号或覆盖</x:v>
      </x:c>
    </x:row>
    <x:row r="55" ht="24" customHeight="1">
      <x:c r="A55" s="20" t="str">
        <x:v>C09-MAT-MARK</x:v>
      </x:c>
      <x:c r="B55" s="20" t="str">
        <x:v>C09</x:v>
      </x:c>
      <x:c r="C55" s="20" t="str">
        <x:v>亚坛高原</x:v>
      </x:c>
      <x:c r="D55" s="20" t="str">
        <x:v>EL-MAT-C09-MARK</x:v>
      </x:c>
      <x:c r="E55" s="20" t="str">
        <x:v>黄金律印</x:v>
      </x:c>
      <x:c r="F55" s="20" t="str">
        <x:v>大陆剧情印记</x:v>
      </x:c>
      <x:c r="G55" s="20" t="n">
        <x:v>936</x:v>
      </x:c>
      <x:c r="H55" s="20" t="n">
        <x:v>6427</x:v>
      </x:c>
      <x:c r="I55" s="20" t="str">
        <x:v>地图BOSS／守关BOSS</x:v>
      </x:c>
      <x:c r="J55" s="20" t="str">
        <x:v>全大陆BOSS地图</x:v>
      </x:c>
      <x:c r="K55" s="20" t="str">
        <x:v>剧情、称号及重点合成</x:v>
      </x:c>
      <x:c r="L55" s="20" t="str">
        <x:v>已正式入库</x:v>
      </x:c>
      <x:c r="M55" s="20" t="str">
        <x:v>Idx与Items Looks锁定，不得改名、改号或覆盖</x:v>
      </x:c>
    </x:row>
    <x:row r="56" ht="24" customHeight="1">
      <x:c r="A56" s="20" t="str">
        <x:v>C09-MAT-Q01</x:v>
      </x:c>
      <x:c r="B56" s="20" t="str">
        <x:v>C09</x:v>
      </x:c>
      <x:c r="C56" s="20" t="str">
        <x:v>亚坛高原</x:v>
      </x:c>
      <x:c r="D56" s="20" t="str">
        <x:v>EL-MAT-C09-Q01</x:v>
      </x:c>
      <x:c r="E56" s="20" t="str">
        <x:v>金叶驿票</x:v>
      </x:c>
      <x:c r="F56" s="20" t="str">
        <x:v>普通怪证物</x:v>
      </x:c>
      <x:c r="G56" s="20" t="n">
        <x:v>964</x:v>
      </x:c>
      <x:c r="H56" s="20" t="n">
        <x:v>6455</x:v>
      </x:c>
      <x:c r="I56" s="20" t="str">
        <x:v>普通怪</x:v>
      </x:c>
      <x:c r="J56" s="20" t="str">
        <x:v>全大陆普通怪</x:v>
      </x:c>
      <x:c r="K56" s="20" t="str">
        <x:v>普通怪身份凭证</x:v>
      </x:c>
      <x:c r="L56" s="20" t="str">
        <x:v>已正式入库</x:v>
      </x:c>
      <x:c r="M56" s="20" t="str">
        <x:v>Idx与Items Looks锁定，不得改名、改号或覆盖</x:v>
      </x:c>
    </x:row>
    <x:row r="57" ht="24" customHeight="1">
      <x:c r="A57" s="20" t="str">
        <x:v>C09-MAT-Q02</x:v>
      </x:c>
      <x:c r="B57" s="20" t="str">
        <x:v>C09</x:v>
      </x:c>
      <x:c r="C57" s="20" t="str">
        <x:v>亚坛高原</x:v>
      </x:c>
      <x:c r="D57" s="20" t="str">
        <x:v>EL-MAT-C09-Q02</x:v>
      </x:c>
      <x:c r="E57" s="20" t="str">
        <x:v>矿脉灯芯</x:v>
      </x:c>
      <x:c r="F57" s="20" t="str">
        <x:v>精英证物</x:v>
      </x:c>
      <x:c r="G57" s="20" t="n">
        <x:v>965</x:v>
      </x:c>
      <x:c r="H57" s="20" t="n">
        <x:v>6456</x:v>
      </x:c>
      <x:c r="I57" s="20" t="str">
        <x:v>稀有怪</x:v>
      </x:c>
      <x:c r="J57" s="20" t="str">
        <x:v>全大陆稀有怪</x:v>
      </x:c>
      <x:c r="K57" s="20" t="str">
        <x:v>稀有怪身份凭证</x:v>
      </x:c>
      <x:c r="L57" s="20" t="str">
        <x:v>已正式入库</x:v>
      </x:c>
      <x:c r="M57" s="20" t="str">
        <x:v>Idx与Items Looks锁定，不得改名、改号或覆盖</x:v>
      </x:c>
    </x:row>
    <x:row r="58" ht="24" customHeight="1">
      <x:c r="A58" s="20" t="str">
        <x:v>C09-MAT-Q03</x:v>
      </x:c>
      <x:c r="B58" s="20" t="str">
        <x:v>C09</x:v>
      </x:c>
      <x:c r="C58" s="20" t="str">
        <x:v>亚坛高原</x:v>
      </x:c>
      <x:c r="D58" s="20" t="str">
        <x:v>EL-MAT-C09-Q03</x:v>
      </x:c>
      <x:c r="E58" s="20" t="str">
        <x:v>裁文蜡封</x:v>
      </x:c>
      <x:c r="F58" s="20" t="str">
        <x:v>地图BOSS证物</x:v>
      </x:c>
      <x:c r="G58" s="20" t="n">
        <x:v>966</x:v>
      </x:c>
      <x:c r="H58" s="20" t="n">
        <x:v>6457</x:v>
      </x:c>
      <x:c r="I58" s="20" t="str">
        <x:v>地图BOSS</x:v>
      </x:c>
      <x:c r="J58" s="20" t="str">
        <x:v>全大陆地图BOSS</x:v>
      </x:c>
      <x:c r="K58" s="20" t="str">
        <x:v>地图BOSS身份凭证</x:v>
      </x:c>
      <x:c r="L58" s="20" t="str">
        <x:v>已正式入库</x:v>
      </x:c>
      <x:c r="M58" s="20" t="str">
        <x:v>Idx与Items Looks锁定，不得改名、改号或覆盖</x:v>
      </x:c>
    </x:row>
    <x:row r="59" ht="24" customHeight="1">
      <x:c r="A59" s="20" t="str">
        <x:v>C09-MAT-Q04</x:v>
      </x:c>
      <x:c r="B59" s="20" t="str">
        <x:v>C09</x:v>
      </x:c>
      <x:c r="C59" s="20" t="str">
        <x:v>亚坛高原</x:v>
      </x:c>
      <x:c r="D59" s="20" t="str">
        <x:v>EL-MAT-C09-Q04</x:v>
      </x:c>
      <x:c r="E59" s="20" t="str">
        <x:v>高原王诏金版</x:v>
      </x:c>
      <x:c r="F59" s="20" t="str">
        <x:v>守关BOSS证物</x:v>
      </x:c>
      <x:c r="G59" s="20" t="n">
        <x:v>967</x:v>
      </x:c>
      <x:c r="H59" s="20" t="n">
        <x:v>6458</x:v>
      </x:c>
      <x:c r="I59" s="20" t="str">
        <x:v>守关BOSS</x:v>
      </x:c>
      <x:c r="J59" s="20" t="str">
        <x:v>大陆最终图</x:v>
      </x:c>
      <x:c r="K59" s="20" t="str">
        <x:v>守关BOSS身份凭证</x:v>
      </x:c>
      <x:c r="L59" s="20" t="str">
        <x:v>已正式入库</x:v>
      </x:c>
      <x:c r="M59" s="20" t="str">
        <x:v>Idx与Items Looks锁定，不得改名、改号或覆盖</x:v>
      </x:c>
    </x:row>
    <x:row r="60" ht="24" customHeight="1">
      <x:c r="A60" s="20" t="str">
        <x:v>C09-MAT-COLLECT</x:v>
      </x:c>
      <x:c r="B60" s="20" t="str">
        <x:v>C09</x:v>
      </x:c>
      <x:c r="C60" s="20" t="str">
        <x:v>亚坛高原</x:v>
      </x:c>
      <x:c r="D60" s="20" t="str">
        <x:v>EL-MAT-C09-COLLECT</x:v>
      </x:c>
      <x:c r="E60" s="20" t="str">
        <x:v>古坛鎏叶髓</x:v>
      </x:c>
      <x:c r="F60" s="20" t="str">
        <x:v>大陆收藏材料</x:v>
      </x:c>
      <x:c r="G60" s="34" t="n">
        <x:v>978</x:v>
      </x:c>
      <x:c r="H60" s="34"/>
      <x:c r="I60" s="34" t="str">
        <x:v>全部怪物（独立判定）</x:v>
      </x:c>
      <x:c r="J60" s="34" t="str">
        <x:v>全大陆所有地图</x:v>
      </x:c>
      <x:c r="K60" s="34" t="str">
        <x:v>不可装备；只供高价值大陆图鉴收集</x:v>
      </x:c>
      <x:c r="L60" s="34" t="str">
        <x:v>Idx已规划／Items Looks待补／未入库</x:v>
      </x:c>
      <x:c r="M60" s="34" t="str">
        <x:v>Idx 978从原预留段启用；Items Looks不得顺延占用6463—6470（与装备候选重叠），需平台提供8个已核验空闲槽。</x:v>
      </x:c>
    </x:row>
    <x:row r="61" ht="24" customHeight="1">
      <x:c r="A61" s="20" t="str">
        <x:v>C10-MAT-COM</x:v>
      </x:c>
      <x:c r="B61" s="20" t="str">
        <x:v>C10</x:v>
      </x:c>
      <x:c r="C61" s="20" t="str">
        <x:v>王城罗德尔</x:v>
      </x:c>
      <x:c r="D61" s="20" t="str">
        <x:v>EL-MAT-C10-COM</x:v>
      </x:c>
      <x:c r="E61" s="20" t="str">
        <x:v>王城金屑</x:v>
      </x:c>
      <x:c r="F61" s="20" t="str">
        <x:v>大陆通用材料</x:v>
      </x:c>
      <x:c r="G61" s="20" t="n">
        <x:v>937</x:v>
      </x:c>
      <x:c r="H61" s="20" t="n">
        <x:v>6428</x:v>
      </x:c>
      <x:c r="I61" s="20" t="str">
        <x:v>全部怪物</x:v>
      </x:c>
      <x:c r="J61" s="20" t="str">
        <x:v>全大陆地图</x:v>
      </x:c>
      <x:c r="K61" s="20" t="str">
        <x:v>大陆通用合成、升级及基础消耗</x:v>
      </x:c>
      <x:c r="L61" s="20" t="str">
        <x:v>已正式入库</x:v>
      </x:c>
      <x:c r="M61" s="20" t="str">
        <x:v>Idx与Items Looks锁定，不得改名、改号或覆盖</x:v>
      </x:c>
    </x:row>
    <x:row r="62" ht="24" customHeight="1">
      <x:c r="A62" s="20" t="str">
        <x:v>C10-MAT-RARE</x:v>
      </x:c>
      <x:c r="B62" s="20" t="str">
        <x:v>C10</x:v>
      </x:c>
      <x:c r="C62" s="20" t="str">
        <x:v>王城罗德尔</x:v>
      </x:c>
      <x:c r="D62" s="20" t="str">
        <x:v>EL-MAT-C10-RARE</x:v>
      </x:c>
      <x:c r="E62" s="20" t="str">
        <x:v>王宫律文</x:v>
      </x:c>
      <x:c r="F62" s="20" t="str">
        <x:v>大陆稀有材料</x:v>
      </x:c>
      <x:c r="G62" s="20" t="n">
        <x:v>938</x:v>
      </x:c>
      <x:c r="H62" s="20" t="n">
        <x:v>6429</x:v>
      </x:c>
      <x:c r="I62" s="20" t="str">
        <x:v>稀有怪／地图BOSS／守关BOSS</x:v>
      </x:c>
      <x:c r="J62" s="20" t="str">
        <x:v>全大陆地图</x:v>
      </x:c>
      <x:c r="K62" s="20" t="str">
        <x:v>稀有合成与中高阶消耗</x:v>
      </x:c>
      <x:c r="L62" s="20" t="str">
        <x:v>已正式入库</x:v>
      </x:c>
      <x:c r="M62" s="20" t="str">
        <x:v>Idx与Items Looks锁定，不得改名、改号或覆盖</x:v>
      </x:c>
    </x:row>
    <x:row r="63" ht="24" customHeight="1">
      <x:c r="A63" s="20" t="str">
        <x:v>C10-MAT-MARK</x:v>
      </x:c>
      <x:c r="B63" s="20" t="str">
        <x:v>C10</x:v>
      </x:c>
      <x:c r="C63" s="20" t="str">
        <x:v>王城罗德尔</x:v>
      </x:c>
      <x:c r="D63" s="20" t="str">
        <x:v>EL-MAT-C10-MARK</x:v>
      </x:c>
      <x:c r="E63" s="20" t="str">
        <x:v>艾尔登王印</x:v>
      </x:c>
      <x:c r="F63" s="20" t="str">
        <x:v>大陆剧情印记</x:v>
      </x:c>
      <x:c r="G63" s="20" t="n">
        <x:v>939</x:v>
      </x:c>
      <x:c r="H63" s="20" t="n">
        <x:v>6430</x:v>
      </x:c>
      <x:c r="I63" s="20" t="str">
        <x:v>地图BOSS／守关BOSS</x:v>
      </x:c>
      <x:c r="J63" s="20" t="str">
        <x:v>全大陆BOSS地图</x:v>
      </x:c>
      <x:c r="K63" s="20" t="str">
        <x:v>剧情、称号及重点合成</x:v>
      </x:c>
      <x:c r="L63" s="20" t="str">
        <x:v>已正式入库</x:v>
      </x:c>
      <x:c r="M63" s="20" t="str">
        <x:v>Idx与Items Looks锁定，不得改名、改号或覆盖</x:v>
      </x:c>
    </x:row>
    <x:row r="64" ht="24" customHeight="1">
      <x:c r="A64" s="20" t="str">
        <x:v>C10-MAT-Q01</x:v>
      </x:c>
      <x:c r="B64" s="20" t="str">
        <x:v>C10</x:v>
      </x:c>
      <x:c r="C64" s="20" t="str">
        <x:v>王城罗德尔</x:v>
      </x:c>
      <x:c r="D64" s="20" t="str">
        <x:v>EL-MAT-C10-Q01</x:v>
      </x:c>
      <x:c r="E64" s="20" t="str">
        <x:v>无名墓钉</x:v>
      </x:c>
      <x:c r="F64" s="20" t="str">
        <x:v>普通怪证物</x:v>
      </x:c>
      <x:c r="G64" s="20" t="n">
        <x:v>968</x:v>
      </x:c>
      <x:c r="H64" s="20" t="n">
        <x:v>6459</x:v>
      </x:c>
      <x:c r="I64" s="20" t="str">
        <x:v>普通怪</x:v>
      </x:c>
      <x:c r="J64" s="20" t="str">
        <x:v>全大陆普通怪</x:v>
      </x:c>
      <x:c r="K64" s="20" t="str">
        <x:v>普通怪身份凭证</x:v>
      </x:c>
      <x:c r="L64" s="20" t="str">
        <x:v>已正式入库</x:v>
      </x:c>
      <x:c r="M64" s="20" t="str">
        <x:v>Idx与Items Looks锁定，不得改名、改号或覆盖</x:v>
      </x:c>
    </x:row>
    <x:row r="65" ht="24" customHeight="1">
      <x:c r="A65" s="20" t="str">
        <x:v>C10-MAT-Q02</x:v>
      </x:c>
      <x:c r="B65" s="20" t="str">
        <x:v>C10</x:v>
      </x:c>
      <x:c r="C65" s="20" t="str">
        <x:v>王城罗德尔</x:v>
      </x:c>
      <x:c r="D65" s="20" t="str">
        <x:v>EL-MAT-C10-Q02</x:v>
      </x:c>
      <x:c r="E65" s="20" t="str">
        <x:v>旧渠阀芯</x:v>
      </x:c>
      <x:c r="F65" s="20" t="str">
        <x:v>精英证物</x:v>
      </x:c>
      <x:c r="G65" s="20" t="n">
        <x:v>969</x:v>
      </x:c>
      <x:c r="H65" s="20" t="n">
        <x:v>6460</x:v>
      </x:c>
      <x:c r="I65" s="20" t="str">
        <x:v>稀有怪</x:v>
      </x:c>
      <x:c r="J65" s="20" t="str">
        <x:v>全大陆稀有怪</x:v>
      </x:c>
      <x:c r="K65" s="20" t="str">
        <x:v>稀有怪身份凭证</x:v>
      </x:c>
      <x:c r="L65" s="20" t="str">
        <x:v>已正式入库</x:v>
      </x:c>
      <x:c r="M65" s="20" t="str">
        <x:v>Idx与Items Looks锁定，不得改名、改号或覆盖</x:v>
      </x:c>
    </x:row>
    <x:row r="66" ht="24" customHeight="1">
      <x:c r="A66" s="20" t="str">
        <x:v>C10-MAT-Q03</x:v>
      </x:c>
      <x:c r="B66" s="20" t="str">
        <x:v>C10</x:v>
      </x:c>
      <x:c r="C66" s="20" t="str">
        <x:v>王城罗德尔</x:v>
      </x:c>
      <x:c r="D66" s="20" t="str">
        <x:v>EL-MAT-C10-Q03</x:v>
      </x:c>
      <x:c r="E66" s="20" t="str">
        <x:v>失温熔炉楔</x:v>
      </x:c>
      <x:c r="F66" s="20" t="str">
        <x:v>地图BOSS证物</x:v>
      </x:c>
      <x:c r="G66" s="20" t="n">
        <x:v>970</x:v>
      </x:c>
      <x:c r="H66" s="20" t="n">
        <x:v>6461</x:v>
      </x:c>
      <x:c r="I66" s="20" t="str">
        <x:v>地图BOSS</x:v>
      </x:c>
      <x:c r="J66" s="20" t="str">
        <x:v>全大陆地图BOSS</x:v>
      </x:c>
      <x:c r="K66" s="20" t="str">
        <x:v>地图BOSS身份凭证</x:v>
      </x:c>
      <x:c r="L66" s="20" t="str">
        <x:v>已正式入库</x:v>
      </x:c>
      <x:c r="M66" s="20" t="str">
        <x:v>Idx与Items Looks锁定，不得改名、改号或覆盖</x:v>
      </x:c>
    </x:row>
    <x:row r="67" ht="24" customHeight="1">
      <x:c r="A67" s="20" t="str">
        <x:v>C10-MAT-Q04</x:v>
      </x:c>
      <x:c r="B67" s="20" t="str">
        <x:v>C10</x:v>
      </x:c>
      <x:c r="C67" s="20" t="str">
        <x:v>王城罗德尔</x:v>
      </x:c>
      <x:c r="D67" s="20" t="str">
        <x:v>EL-MAT-C10-Q04</x:v>
      </x:c>
      <x:c r="E67" s="20" t="str">
        <x:v>王宫断冠片</x:v>
      </x:c>
      <x:c r="F67" s="20" t="str">
        <x:v>守关BOSS证物</x:v>
      </x:c>
      <x:c r="G67" s="20" t="n">
        <x:v>971</x:v>
      </x:c>
      <x:c r="H67" s="20" t="n">
        <x:v>6462</x:v>
      </x:c>
      <x:c r="I67" s="20" t="str">
        <x:v>守关BOSS</x:v>
      </x:c>
      <x:c r="J67" s="20" t="str">
        <x:v>大陆最终图</x:v>
      </x:c>
      <x:c r="K67" s="20" t="str">
        <x:v>守关BOSS身份凭证</x:v>
      </x:c>
      <x:c r="L67" s="20" t="str">
        <x:v>已正式入库</x:v>
      </x:c>
      <x:c r="M67" s="20" t="str">
        <x:v>Idx与Items Looks锁定，不得改名、改号或覆盖</x:v>
      </x:c>
    </x:row>
    <x:row r="68" ht="24" customHeight="1">
      <x:c r="A68" s="20" t="str">
        <x:v>C10-MAT-COLLECT</x:v>
      </x:c>
      <x:c r="B68" s="20" t="str">
        <x:v>C10</x:v>
      </x:c>
      <x:c r="C68" s="20" t="str">
        <x:v>王城罗德尔</x:v>
      </x:c>
      <x:c r="D68" s="20" t="str">
        <x:v>EL-MAT-C10-COLLECT</x:v>
      </x:c>
      <x:c r="E68" s="20" t="str">
        <x:v>穹律鎏痕拓片</x:v>
      </x:c>
      <x:c r="F68" s="20" t="str">
        <x:v>大陆收藏材料</x:v>
      </x:c>
      <x:c r="G68" s="34" t="n">
        <x:v>979</x:v>
      </x:c>
      <x:c r="H68" s="34"/>
      <x:c r="I68" s="34" t="str">
        <x:v>全部怪物（独立判定）</x:v>
      </x:c>
      <x:c r="J68" s="34" t="str">
        <x:v>全大陆所有地图</x:v>
      </x:c>
      <x:c r="K68" s="34" t="str">
        <x:v>不可装备；只供高价值大陆图鉴收集</x:v>
      </x:c>
      <x:c r="L68" s="34" t="str">
        <x:v>Idx已规划／Items Looks待补／未入库</x:v>
      </x:c>
      <x:c r="M68" s="34" t="str">
        <x:v>Idx 979从原预留段启用；Items Looks不得顺延占用6463—6470（与装备候选重叠），需平台提供8个已核验空闲槽。</x:v>
      </x:c>
    </x:row>
  </x:sheetData>
  <x:mergeCells>
    <x:mergeCell ref="A1:M1"/>
    <x:mergeCell ref="A2:M2"/>
  </x:mergeCells>
  <x:conditionalFormatting sqref="L5:L68">
    <x:cfRule type="containsText" dxfId="4" priority="1" operator="containsText" text="已正式入库"/>
    <x:cfRule type="containsText" dxfId="5" priority="2" operator="containsText" text="待分配"/>
  </x:conditionalFormatting>
  <x:pageMargins left="0.7" right="0.7" top="0.75" bottom="0.75" header="0.3" footer="0.3"/>
  <x:tableParts count="1">
    <x:tablePart xmlns:r="http://schemas.openxmlformats.org/officeDocument/2006/relationships" r:id="R09ff595e8cb449da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20" hidden="0" customWidth="1"/>
    <x:col min="3" max="3" width="14" hidden="0" customWidth="1"/>
    <x:col min="4" max="4" width="10" hidden="0" customWidth="1"/>
    <x:col min="5" max="5" width="10" hidden="0" customWidth="1"/>
    <x:col min="6" max="6" width="12" hidden="0" customWidth="1"/>
    <x:col min="7" max="7" width="12" hidden="0" customWidth="1"/>
    <x:col min="8" max="8" width="10" hidden="0" customWidth="1"/>
    <x:col min="9" max="9" width="36" hidden="0" customWidth="1"/>
  </x:cols>
  <x:sheetData>
    <x:row r="1" ht="34" customHeight="1">
      <x:c r="A1" s="3" t="str">
        <x:v>定向专属部位分布</x:v>
      </x:c>
      <x:c r="B1" s="3" t="str">
        <x:v>定向专属部位分布</x:v>
      </x:c>
      <x:c r="C1" s="3" t="str">
        <x:v>定向专属部位分布</x:v>
      </x:c>
      <x:c r="D1" s="3" t="str">
        <x:v>定向专属部位分布</x:v>
      </x:c>
      <x:c r="E1" s="3" t="str">
        <x:v>定向专属部位分布</x:v>
      </x:c>
      <x:c r="F1" s="3" t="str">
        <x:v>定向专属部位分布</x:v>
      </x:c>
      <x:c r="G1" s="3" t="str">
        <x:v>定向专属部位分布</x:v>
      </x:c>
      <x:c r="H1" s="3" t="str">
        <x:v>定向专属部位分布</x:v>
      </x:c>
      <x:c r="I1" s="3" t="str">
        <x:v>定向专属部位分布</x:v>
      </x:c>
    </x:row>
    <x:row r="2" ht="40" customHeight="1">
      <x:c r="A2" s="7" t="str">
        <x:v>统计只覆盖常规允许的11个部位。马牌、战鼓／军鼓、灵玉、宝石、生肖和六个时装首饰盒均不进入怪物专属分配。</x:v>
      </x:c>
      <x:c r="B2" s="7" t="str">
        <x:v>统计只覆盖常规允许的11个部位。马牌、战鼓／军鼓、灵玉、宝石、生肖和六个时装首饰盒均不进入怪物专属分配。</x:v>
      </x:c>
      <x:c r="C2" s="7" t="str">
        <x:v>统计只覆盖常规允许的11个部位。马牌、战鼓／军鼓、灵玉、宝石、生肖和六个时装首饰盒均不进入怪物专属分配。</x:v>
      </x:c>
      <x:c r="D2" s="7" t="str">
        <x:v>统计只覆盖常规允许的11个部位。马牌、战鼓／军鼓、灵玉、宝石、生肖和六个时装首饰盒均不进入怪物专属分配。</x:v>
      </x:c>
      <x:c r="E2" s="7" t="str">
        <x:v>统计只覆盖常规允许的11个部位。马牌、战鼓／军鼓、灵玉、宝石、生肖和六个时装首饰盒均不进入怪物专属分配。</x:v>
      </x:c>
      <x:c r="F2" s="7" t="str">
        <x:v>统计只覆盖常规允许的11个部位。马牌、战鼓／军鼓、灵玉、宝石、生肖和六个时装首饰盒均不进入怪物专属分配。</x:v>
      </x:c>
      <x:c r="G2" s="7" t="str">
        <x:v>统计只覆盖常规允许的11个部位。马牌、战鼓／军鼓、灵玉、宝石、生肖和六个时装首饰盒均不进入怪物专属分配。</x:v>
      </x:c>
      <x:c r="H2" s="7" t="str">
        <x:v>统计只覆盖常规允许的11个部位。马牌、战鼓／军鼓、灵玉、宝石、生肖和六个时装首饰盒均不进入怪物专属分配。</x:v>
      </x:c>
      <x:c r="I2" s="7" t="str">
        <x:v>统计只覆盖常规允许的11个部位。马牌、战鼓／军鼓、灵玉、宝石、生肖和六个时装首饰盒均不进入怪物专属分配。</x:v>
      </x:c>
    </x:row>
    <x:row r="4" ht="32" customHeight="1">
      <x:c r="A4" s="13" t="str">
        <x:v>大陆ID</x:v>
      </x:c>
      <x:c r="B4" s="13" t="str">
        <x:v>大陆</x:v>
      </x:c>
      <x:c r="C4" s="13" t="str">
        <x:v>部位</x:v>
      </x:c>
      <x:c r="D4" s="13" t="str">
        <x:v>普通</x:v>
      </x:c>
      <x:c r="E4" s="13" t="str">
        <x:v>稀有</x:v>
      </x:c>
      <x:c r="F4" s="13" t="str">
        <x:v>地图BOSS</x:v>
      </x:c>
      <x:c r="G4" s="13" t="str">
        <x:v>守关BOSS</x:v>
      </x:c>
      <x:c r="H4" s="13" t="str">
        <x:v>合计</x:v>
      </x:c>
      <x:c r="I4" s="13" t="str">
        <x:v>备注</x:v>
      </x:c>
    </x:row>
    <x:row r="5" ht="24" customHeight="1">
      <x:c r="A5" s="19" t="str">
        <x:v>C03</x:v>
      </x:c>
      <x:c r="B5" s="19" t="str">
        <x:v>宁姆格福西域</x:v>
      </x:c>
      <x:c r="C5" s="19" t="str">
        <x:v>武器</x:v>
      </x:c>
      <x:c r="D5" s="19" t="n">
        <x:f>COUNTIFS('02_怪物与专属'!$B$5:$B$468,$A5,'02_怪物与专属'!$O$5:$O$468,$C5,'02_怪物与专属'!$K$5:$K$468,"普通")</x:f>
        <x:v>8</x:v>
      </x:c>
      <x:c r="E5" s="19" t="n">
        <x:f>COUNTIFS('02_怪物与专属'!$B$5:$B$468,$A5,'02_怪物与专属'!$O$5:$O$468,$C5,'02_怪物与专属'!$K$5:$K$468,"稀有")</x:f>
        <x:v>2</x:v>
      </x:c>
      <x:c r="F5" s="19" t="n">
        <x:f>COUNTIFS('02_怪物与专属'!$B$5:$B$468,$A5,'02_怪物与专属'!$O$5:$O$468,$C5,'02_怪物与专属'!$K$5:$K$468,"地图BOSS")</x:f>
        <x:v>6</x:v>
      </x:c>
      <x:c r="G5" s="19" t="n">
        <x:f>COUNTIFS('02_怪物与专属'!$B$5:$B$468,$A5,'02_怪物与专属'!$O$5:$O$468,$C5,'02_怪物与专属'!$K$5:$K$468,"守关BOSS")</x:f>
        <x:v>0</x:v>
      </x:c>
      <x:c r="H5" s="19" t="n">
        <x:f>SUM(D5:G5)</x:f>
        <x:v>16</x:v>
      </x:c>
      <x:c r="I5" s="19" t="str">
        <x:v>结构统计；不代表部位强弱</x:v>
      </x:c>
    </x:row>
    <x:row r="6" ht="24" customHeight="1">
      <x:c r="A6" s="20" t="str">
        <x:v>C03</x:v>
      </x:c>
      <x:c r="B6" s="20" t="str">
        <x:v>宁姆格福西域</x:v>
      </x:c>
      <x:c r="C6" s="20" t="str">
        <x:v>衣服</x:v>
      </x:c>
      <x:c r="D6" s="20" t="n">
        <x:f>COUNTIFS('02_怪物与专属'!$B$5:$B$468,$A6,'02_怪物与专属'!$O$5:$O$468,$C6,'02_怪物与专属'!$K$5:$K$468,"普通")</x:f>
        <x:v>2</x:v>
      </x:c>
      <x:c r="E6" s="20" t="n">
        <x:f>COUNTIFS('02_怪物与专属'!$B$5:$B$468,$A6,'02_怪物与专属'!$O$5:$O$468,$C6,'02_怪物与专属'!$K$5:$K$468,"稀有")</x:f>
        <x:v>3</x:v>
      </x:c>
      <x:c r="F6" s="20" t="n">
        <x:f>COUNTIFS('02_怪物与专属'!$B$5:$B$468,$A6,'02_怪物与专属'!$O$5:$O$468,$C6,'02_怪物与专属'!$K$5:$K$468,"地图BOSS")</x:f>
        <x:v>6</x:v>
      </x:c>
      <x:c r="G6" s="20" t="n">
        <x:f>COUNTIFS('02_怪物与专属'!$B$5:$B$468,$A6,'02_怪物与专属'!$O$5:$O$468,$C6,'02_怪物与专属'!$K$5:$K$468,"守关BOSS")</x:f>
        <x:v>0</x:v>
      </x:c>
      <x:c r="H6" s="20" t="n">
        <x:f>SUM(D6:G6)</x:f>
        <x:v>11</x:v>
      </x:c>
      <x:c r="I6" s="20" t="str">
        <x:v>结构统计；不代表部位强弱</x:v>
      </x:c>
    </x:row>
    <x:row r="7" ht="24" customHeight="1">
      <x:c r="A7" s="20" t="str">
        <x:v>C03</x:v>
      </x:c>
      <x:c r="B7" s="20" t="str">
        <x:v>宁姆格福西域</x:v>
      </x:c>
      <x:c r="C7" s="20" t="str">
        <x:v>头盔</x:v>
      </x:c>
      <x:c r="D7" s="20" t="n">
        <x:f>COUNTIFS('02_怪物与专属'!$B$5:$B$468,$A7,'02_怪物与专属'!$O$5:$O$468,$C7,'02_怪物与专属'!$K$5:$K$468,"普通")</x:f>
        <x:v>3</x:v>
      </x:c>
      <x:c r="E7" s="20" t="n">
        <x:f>COUNTIFS('02_怪物与专属'!$B$5:$B$468,$A7,'02_怪物与专属'!$O$5:$O$468,$C7,'02_怪物与专属'!$K$5:$K$468,"稀有")</x:f>
        <x:v>3</x:v>
      </x:c>
      <x:c r="F7" s="20" t="n">
        <x:f>COUNTIFS('02_怪物与专属'!$B$5:$B$468,$A7,'02_怪物与专属'!$O$5:$O$468,$C7,'02_怪物与专属'!$K$5:$K$468,"地图BOSS")</x:f>
        <x:v>0</x:v>
      </x:c>
      <x:c r="G7" s="20" t="n">
        <x:f>COUNTIFS('02_怪物与专属'!$B$5:$B$468,$A7,'02_怪物与专属'!$O$5:$O$468,$C7,'02_怪物与专属'!$K$5:$K$468,"守关BOSS")</x:f>
        <x:v>1</x:v>
      </x:c>
      <x:c r="H7" s="20" t="n">
        <x:f>SUM(D7:G7)</x:f>
        <x:v>7</x:v>
      </x:c>
      <x:c r="I7" s="20" t="str">
        <x:v>结构统计；不代表部位强弱</x:v>
      </x:c>
    </x:row>
    <x:row r="8" ht="24" customHeight="1">
      <x:c r="A8" s="20" t="str">
        <x:v>C03</x:v>
      </x:c>
      <x:c r="B8" s="20" t="str">
        <x:v>宁姆格福西域</x:v>
      </x:c>
      <x:c r="C8" s="20" t="str">
        <x:v>项链</x:v>
      </x:c>
      <x:c r="D8" s="20" t="n">
        <x:f>COUNTIFS('02_怪物与专属'!$B$5:$B$468,$A8,'02_怪物与专属'!$O$5:$O$468,$C8,'02_怪物与专属'!$K$5:$K$468,"普通")</x:f>
        <x:v>5</x:v>
      </x:c>
      <x:c r="E8" s="20" t="n">
        <x:f>COUNTIFS('02_怪物与专属'!$B$5:$B$468,$A8,'02_怪物与专属'!$O$5:$O$468,$C8,'02_怪物与专属'!$K$5:$K$468,"稀有")</x:f>
        <x:v>2</x:v>
      </x:c>
      <x:c r="F8" s="20" t="n">
        <x:f>COUNTIFS('02_怪物与专属'!$B$5:$B$468,$A8,'02_怪物与专属'!$O$5:$O$468,$C8,'02_怪物与专属'!$K$5:$K$468,"地图BOSS")</x:f>
        <x:v>0</x:v>
      </x:c>
      <x:c r="G8" s="20" t="n">
        <x:f>COUNTIFS('02_怪物与专属'!$B$5:$B$468,$A8,'02_怪物与专属'!$O$5:$O$468,$C8,'02_怪物与专属'!$K$5:$K$468,"守关BOSS")</x:f>
        <x:v>0</x:v>
      </x:c>
      <x:c r="H8" s="20" t="n">
        <x:f>SUM(D8:G8)</x:f>
        <x:v>7</x:v>
      </x:c>
      <x:c r="I8" s="20" t="str">
        <x:v>结构统计；不代表部位强弱</x:v>
      </x:c>
    </x:row>
    <x:row r="9" ht="24" customHeight="1">
      <x:c r="A9" s="20" t="str">
        <x:v>C03</x:v>
      </x:c>
      <x:c r="B9" s="20" t="str">
        <x:v>宁姆格福西域</x:v>
      </x:c>
      <x:c r="C9" s="20" t="str">
        <x:v>手镯</x:v>
      </x:c>
      <x:c r="D9" s="20" t="n">
        <x:f>COUNTIFS('02_怪物与专属'!$B$5:$B$468,$A9,'02_怪物与专属'!$O$5:$O$468,$C9,'02_怪物与专属'!$K$5:$K$468,"普通")</x:f>
        <x:v>4</x:v>
      </x:c>
      <x:c r="E9" s="20" t="n">
        <x:f>COUNTIFS('02_怪物与专属'!$B$5:$B$468,$A9,'02_怪物与专属'!$O$5:$O$468,$C9,'02_怪物与专属'!$K$5:$K$468,"稀有")</x:f>
        <x:v>2</x:v>
      </x:c>
      <x:c r="F9" s="20" t="n">
        <x:f>COUNTIFS('02_怪物与专属'!$B$5:$B$468,$A9,'02_怪物与专属'!$O$5:$O$468,$C9,'02_怪物与专属'!$K$5:$K$468,"地图BOSS")</x:f>
        <x:v>0</x:v>
      </x:c>
      <x:c r="G9" s="20" t="n">
        <x:f>COUNTIFS('02_怪物与专属'!$B$5:$B$468,$A9,'02_怪物与专属'!$O$5:$O$468,$C9,'02_怪物与专属'!$K$5:$K$468,"守关BOSS")</x:f>
        <x:v>0</x:v>
      </x:c>
      <x:c r="H9" s="20" t="n">
        <x:f>SUM(D9:G9)</x:f>
        <x:v>6</x:v>
      </x:c>
      <x:c r="I9" s="20" t="str">
        <x:v>结构统计；不代表部位强弱</x:v>
      </x:c>
    </x:row>
    <x:row r="10" ht="24" customHeight="1">
      <x:c r="A10" s="20" t="str">
        <x:v>C03</x:v>
      </x:c>
      <x:c r="B10" s="20" t="str">
        <x:v>宁姆格福西域</x:v>
      </x:c>
      <x:c r="C10" s="20" t="str">
        <x:v>戒指</x:v>
      </x:c>
      <x:c r="D10" s="20" t="n">
        <x:f>COUNTIFS('02_怪物与专属'!$B$5:$B$468,$A10,'02_怪物与专属'!$O$5:$O$468,$C10,'02_怪物与专属'!$K$5:$K$468,"普通")</x:f>
        <x:v>4</x:v>
      </x:c>
      <x:c r="E10" s="20" t="n">
        <x:f>COUNTIFS('02_怪物与专属'!$B$5:$B$468,$A10,'02_怪物与专属'!$O$5:$O$468,$C10,'02_怪物与专属'!$K$5:$K$468,"稀有")</x:f>
        <x:v>3</x:v>
      </x:c>
      <x:c r="F10" s="20" t="n">
        <x:f>COUNTIFS('02_怪物与专属'!$B$5:$B$468,$A10,'02_怪物与专属'!$O$5:$O$468,$C10,'02_怪物与专属'!$K$5:$K$468,"地图BOSS")</x:f>
        <x:v>0</x:v>
      </x:c>
      <x:c r="G10" s="20" t="n">
        <x:f>COUNTIFS('02_怪物与专属'!$B$5:$B$468,$A10,'02_怪物与专属'!$O$5:$O$468,$C10,'02_怪物与专属'!$K$5:$K$468,"守关BOSS")</x:f>
        <x:v>0</x:v>
      </x:c>
      <x:c r="H10" s="20" t="n">
        <x:f>SUM(D10:G10)</x:f>
        <x:v>7</x:v>
      </x:c>
      <x:c r="I10" s="20" t="str">
        <x:v>结构统计；不代表部位强弱</x:v>
      </x:c>
    </x:row>
    <x:row r="11" ht="24" customHeight="1">
      <x:c r="A11" s="20" t="str">
        <x:v>C03</x:v>
      </x:c>
      <x:c r="B11" s="20" t="str">
        <x:v>宁姆格福西域</x:v>
      </x:c>
      <x:c r="C11" s="20" t="str">
        <x:v>腰带</x:v>
      </x:c>
      <x:c r="D11" s="20" t="n">
        <x:f>COUNTIFS('02_怪物与专属'!$B$5:$B$468,$A11,'02_怪物与专属'!$O$5:$O$468,$C11,'02_怪物与专属'!$K$5:$K$468,"普通")</x:f>
        <x:v>3</x:v>
      </x:c>
      <x:c r="E11" s="20" t="n">
        <x:f>COUNTIFS('02_怪物与专属'!$B$5:$B$468,$A11,'02_怪物与专属'!$O$5:$O$468,$C11,'02_怪物与专属'!$K$5:$K$468,"稀有")</x:f>
        <x:v>0</x:v>
      </x:c>
      <x:c r="F11" s="20" t="n">
        <x:f>COUNTIFS('02_怪物与专属'!$B$5:$B$468,$A11,'02_怪物与专属'!$O$5:$O$468,$C11,'02_怪物与专属'!$K$5:$K$468,"地图BOSS")</x:f>
        <x:v>0</x:v>
      </x:c>
      <x:c r="G11" s="20" t="n">
        <x:f>COUNTIFS('02_怪物与专属'!$B$5:$B$468,$A11,'02_怪物与专属'!$O$5:$O$468,$C11,'02_怪物与专属'!$K$5:$K$468,"守关BOSS")</x:f>
        <x:v>0</x:v>
      </x:c>
      <x:c r="H11" s="20" t="n">
        <x:f>SUM(D11:G11)</x:f>
        <x:v>3</x:v>
      </x:c>
      <x:c r="I11" s="20" t="str">
        <x:v>结构统计；不代表部位强弱</x:v>
      </x:c>
    </x:row>
    <x:row r="12" ht="24" customHeight="1">
      <x:c r="A12" s="20" t="str">
        <x:v>C03</x:v>
      </x:c>
      <x:c r="B12" s="20" t="str">
        <x:v>宁姆格福西域</x:v>
      </x:c>
      <x:c r="C12" s="20" t="str">
        <x:v>鞋子</x:v>
      </x:c>
      <x:c r="D12" s="20" t="n">
        <x:f>COUNTIFS('02_怪物与专属'!$B$5:$B$468,$A12,'02_怪物与专属'!$O$5:$O$468,$C12,'02_怪物与专属'!$K$5:$K$468,"普通")</x:f>
        <x:v>3</x:v>
      </x:c>
      <x:c r="E12" s="20" t="n">
        <x:f>COUNTIFS('02_怪物与专属'!$B$5:$B$468,$A12,'02_怪物与专属'!$O$5:$O$468,$C12,'02_怪物与专属'!$K$5:$K$468,"稀有")</x:f>
        <x:v>2</x:v>
      </x:c>
      <x:c r="F12" s="20" t="n">
        <x:f>COUNTIFS('02_怪物与专属'!$B$5:$B$468,$A12,'02_怪物与专属'!$O$5:$O$468,$C12,'02_怪物与专属'!$K$5:$K$468,"地图BOSS")</x:f>
        <x:v>0</x:v>
      </x:c>
      <x:c r="G12" s="20" t="n">
        <x:f>COUNTIFS('02_怪物与专属'!$B$5:$B$468,$A12,'02_怪物与专属'!$O$5:$O$468,$C12,'02_怪物与专属'!$K$5:$K$468,"守关BOSS")</x:f>
        <x:v>0</x:v>
      </x:c>
      <x:c r="H12" s="20" t="n">
        <x:f>SUM(D12:G12)</x:f>
        <x:v>5</x:v>
      </x:c>
      <x:c r="I12" s="20" t="str">
        <x:v>结构统计；不代表部位强弱</x:v>
      </x:c>
    </x:row>
    <x:row r="13" ht="24" customHeight="1">
      <x:c r="A13" s="20" t="str">
        <x:v>C03</x:v>
      </x:c>
      <x:c r="B13" s="20" t="str">
        <x:v>宁姆格福西域</x:v>
      </x:c>
      <x:c r="C13" s="20" t="str">
        <x:v>斗笠</x:v>
      </x:c>
      <x:c r="D13" s="20" t="n">
        <x:f>COUNTIFS('02_怪物与专属'!$B$5:$B$468,$A13,'02_怪物与专属'!$O$5:$O$468,$C13,'02_怪物与专属'!$K$5:$K$468,"普通")</x:f>
        <x:v>1</x:v>
      </x:c>
      <x:c r="E13" s="20" t="n">
        <x:f>COUNTIFS('02_怪物与专属'!$B$5:$B$468,$A13,'02_怪物与专属'!$O$5:$O$468,$C13,'02_怪物与专属'!$K$5:$K$468,"稀有")</x:f>
        <x:v>0</x:v>
      </x:c>
      <x:c r="F13" s="20" t="n">
        <x:f>COUNTIFS('02_怪物与专属'!$B$5:$B$468,$A13,'02_怪物与专属'!$O$5:$O$468,$C13,'02_怪物与专属'!$K$5:$K$468,"地图BOSS")</x:f>
        <x:v>0</x:v>
      </x:c>
      <x:c r="G13" s="20" t="n">
        <x:f>COUNTIFS('02_怪物与专属'!$B$5:$B$468,$A13,'02_怪物与专属'!$O$5:$O$468,$C13,'02_怪物与专属'!$K$5:$K$468,"守关BOSS")</x:f>
        <x:v>0</x:v>
      </x:c>
      <x:c r="H13" s="20" t="n">
        <x:f>SUM(D13:G13)</x:f>
        <x:v>1</x:v>
      </x:c>
      <x:c r="I13" s="20" t="str">
        <x:v>结构统计；不代表部位强弱</x:v>
      </x:c>
    </x:row>
    <x:row r="14" ht="24" customHeight="1">
      <x:c r="A14" s="20" t="str">
        <x:v>C03</x:v>
      </x:c>
      <x:c r="B14" s="20" t="str">
        <x:v>宁姆格福西域</x:v>
      </x:c>
      <x:c r="C14" s="20" t="str">
        <x:v>盾牌</x:v>
      </x:c>
      <x:c r="D14" s="20" t="n">
        <x:f>COUNTIFS('02_怪物与专属'!$B$5:$B$468,$A14,'02_怪物与专属'!$O$5:$O$468,$C14,'02_怪物与专属'!$K$5:$K$468,"普通")</x:f>
        <x:v>1</x:v>
      </x:c>
      <x:c r="E14" s="20" t="n">
        <x:f>COUNTIFS('02_怪物与专属'!$B$5:$B$468,$A14,'02_怪物与专属'!$O$5:$O$468,$C14,'02_怪物与专属'!$K$5:$K$468,"稀有")</x:f>
        <x:v>3</x:v>
      </x:c>
      <x:c r="F14" s="20" t="n">
        <x:f>COUNTIFS('02_怪物与专属'!$B$5:$B$468,$A14,'02_怪物与专属'!$O$5:$O$468,$C14,'02_怪物与专属'!$K$5:$K$468,"地图BOSS")</x:f>
        <x:v>0</x:v>
      </x:c>
      <x:c r="G14" s="20" t="n">
        <x:f>COUNTIFS('02_怪物与专属'!$B$5:$B$468,$A14,'02_怪物与专属'!$O$5:$O$468,$C14,'02_怪物与专属'!$K$5:$K$468,"守关BOSS")</x:f>
        <x:v>0</x:v>
      </x:c>
      <x:c r="H14" s="20" t="n">
        <x:f>SUM(D14:G14)</x:f>
        <x:v>4</x:v>
      </x:c>
      <x:c r="I14" s="20" t="str">
        <x:v>结构统计；不代表部位强弱</x:v>
      </x:c>
    </x:row>
    <x:row r="15" ht="24" customHeight="1">
      <x:c r="A15" s="20" t="str">
        <x:v>C03</x:v>
      </x:c>
      <x:c r="B15" s="20" t="str">
        <x:v>宁姆格福西域</x:v>
      </x:c>
      <x:c r="C15" s="20" t="str">
        <x:v>勋章</x:v>
      </x:c>
      <x:c r="D15" s="20" t="n">
        <x:f>COUNTIFS('02_怪物与专属'!$B$5:$B$468,$A15,'02_怪物与专属'!$O$5:$O$468,$C15,'02_怪物与专属'!$K$5:$K$468,"普通")</x:f>
        <x:v>2</x:v>
      </x:c>
      <x:c r="E15" s="20" t="n">
        <x:f>COUNTIFS('02_怪物与专属'!$B$5:$B$468,$A15,'02_怪物与专属'!$O$5:$O$468,$C15,'02_怪物与专属'!$K$5:$K$468,"稀有")</x:f>
        <x:v>4</x:v>
      </x:c>
      <x:c r="F15" s="20" t="n">
        <x:f>COUNTIFS('02_怪物与专属'!$B$5:$B$468,$A15,'02_怪物与专属'!$O$5:$O$468,$C15,'02_怪物与专属'!$K$5:$K$468,"地图BOSS")</x:f>
        <x:v>0</x:v>
      </x:c>
      <x:c r="G15" s="20" t="n">
        <x:f>COUNTIFS('02_怪物与专属'!$B$5:$B$468,$A15,'02_怪物与专属'!$O$5:$O$468,$C15,'02_怪物与专属'!$K$5:$K$468,"守关BOSS")</x:f>
        <x:v>0</x:v>
      </x:c>
      <x:c r="H15" s="20" t="n">
        <x:f>SUM(D15:G15)</x:f>
        <x:v>6</x:v>
      </x:c>
      <x:c r="I15" s="20" t="str">
        <x:v>结构统计；不代表部位强弱</x:v>
      </x:c>
    </x:row>
    <x:row r="16" ht="24" customHeight="1">
      <x:c r="A16" s="20" t="str">
        <x:v>C04</x:v>
      </x:c>
      <x:c r="B16" s="20" t="str">
        <x:v>利耶尼亚海域</x:v>
      </x:c>
      <x:c r="C16" s="20" t="str">
        <x:v>武器</x:v>
      </x:c>
      <x:c r="D16" s="20" t="n">
        <x:f>COUNTIFS('02_怪物与专属'!$B$5:$B$468,$A16,'02_怪物与专属'!$O$5:$O$468,$C16,'02_怪物与专属'!$K$5:$K$468,"普通")</x:f>
        <x:v>7</x:v>
      </x:c>
      <x:c r="E16" s="20" t="n">
        <x:f>COUNTIFS('02_怪物与专属'!$B$5:$B$468,$A16,'02_怪物与专属'!$O$5:$O$468,$C16,'02_怪物与专属'!$K$5:$K$468,"稀有")</x:f>
        <x:v>0</x:v>
      </x:c>
      <x:c r="F16" s="20" t="n">
        <x:f>COUNTIFS('02_怪物与专属'!$B$5:$B$468,$A16,'02_怪物与专属'!$O$5:$O$468,$C16,'02_怪物与专属'!$K$5:$K$468,"地图BOSS")</x:f>
        <x:v>6</x:v>
      </x:c>
      <x:c r="G16" s="20" t="n">
        <x:f>COUNTIFS('02_怪物与专属'!$B$5:$B$468,$A16,'02_怪物与专属'!$O$5:$O$468,$C16,'02_怪物与专属'!$K$5:$K$468,"守关BOSS")</x:f>
        <x:v>1</x:v>
      </x:c>
      <x:c r="H16" s="20" t="n">
        <x:f>SUM(D16:G16)</x:f>
        <x:v>14</x:v>
      </x:c>
      <x:c r="I16" s="20" t="str">
        <x:v>结构统计；不代表部位强弱</x:v>
      </x:c>
    </x:row>
    <x:row r="17" ht="24" customHeight="1">
      <x:c r="A17" s="20" t="str">
        <x:v>C04</x:v>
      </x:c>
      <x:c r="B17" s="20" t="str">
        <x:v>利耶尼亚海域</x:v>
      </x:c>
      <x:c r="C17" s="20" t="str">
        <x:v>衣服</x:v>
      </x:c>
      <x:c r="D17" s="20" t="n">
        <x:f>COUNTIFS('02_怪物与专属'!$B$5:$B$468,$A17,'02_怪物与专属'!$O$5:$O$468,$C17,'02_怪物与专属'!$K$5:$K$468,"普通")</x:f>
        <x:v>4</x:v>
      </x:c>
      <x:c r="E17" s="20" t="n">
        <x:f>COUNTIFS('02_怪物与专属'!$B$5:$B$468,$A17,'02_怪物与专属'!$O$5:$O$468,$C17,'02_怪物与专属'!$K$5:$K$468,"稀有")</x:f>
        <x:v>2</x:v>
      </x:c>
      <x:c r="F17" s="20" t="n">
        <x:f>COUNTIFS('02_怪物与专属'!$B$5:$B$468,$A17,'02_怪物与专属'!$O$5:$O$468,$C17,'02_怪物与专属'!$K$5:$K$468,"地图BOSS")</x:f>
        <x:v>6</x:v>
      </x:c>
      <x:c r="G17" s="20" t="n">
        <x:f>COUNTIFS('02_怪物与专属'!$B$5:$B$468,$A17,'02_怪物与专属'!$O$5:$O$468,$C17,'02_怪物与专属'!$K$5:$K$468,"守关BOSS")</x:f>
        <x:v>0</x:v>
      </x:c>
      <x:c r="H17" s="20" t="n">
        <x:f>SUM(D17:G17)</x:f>
        <x:v>12</x:v>
      </x:c>
      <x:c r="I17" s="20" t="str">
        <x:v>结构统计；不代表部位强弱</x:v>
      </x:c>
    </x:row>
    <x:row r="18" ht="24" customHeight="1">
      <x:c r="A18" s="20" t="str">
        <x:v>C04</x:v>
      </x:c>
      <x:c r="B18" s="20" t="str">
        <x:v>利耶尼亚海域</x:v>
      </x:c>
      <x:c r="C18" s="20" t="str">
        <x:v>头盔</x:v>
      </x:c>
      <x:c r="D18" s="20" t="n">
        <x:f>COUNTIFS('02_怪物与专属'!$B$5:$B$468,$A18,'02_怪物与专属'!$O$5:$O$468,$C18,'02_怪物与专属'!$K$5:$K$468,"普通")</x:f>
        <x:v>5</x:v>
      </x:c>
      <x:c r="E18" s="20" t="n">
        <x:f>COUNTIFS('02_怪物与专属'!$B$5:$B$468,$A18,'02_怪物与专属'!$O$5:$O$468,$C18,'02_怪物与专属'!$K$5:$K$468,"稀有")</x:f>
        <x:v>1</x:v>
      </x:c>
      <x:c r="F18" s="20" t="n">
        <x:f>COUNTIFS('02_怪物与专属'!$B$5:$B$468,$A18,'02_怪物与专属'!$O$5:$O$468,$C18,'02_怪物与专属'!$K$5:$K$468,"地图BOSS")</x:f>
        <x:v>0</x:v>
      </x:c>
      <x:c r="G18" s="20" t="n">
        <x:f>COUNTIFS('02_怪物与专属'!$B$5:$B$468,$A18,'02_怪物与专属'!$O$5:$O$468,$C18,'02_怪物与专属'!$K$5:$K$468,"守关BOSS")</x:f>
        <x:v>0</x:v>
      </x:c>
      <x:c r="H18" s="20" t="n">
        <x:f>SUM(D18:G18)</x:f>
        <x:v>6</x:v>
      </x:c>
      <x:c r="I18" s="20" t="str">
        <x:v>结构统计；不代表部位强弱</x:v>
      </x:c>
    </x:row>
    <x:row r="19" ht="24" customHeight="1">
      <x:c r="A19" s="20" t="str">
        <x:v>C04</x:v>
      </x:c>
      <x:c r="B19" s="20" t="str">
        <x:v>利耶尼亚海域</x:v>
      </x:c>
      <x:c r="C19" s="20" t="str">
        <x:v>项链</x:v>
      </x:c>
      <x:c r="D19" s="20" t="n">
        <x:f>COUNTIFS('02_怪物与专属'!$B$5:$B$468,$A19,'02_怪物与专属'!$O$5:$O$468,$C19,'02_怪物与专属'!$K$5:$K$468,"普通")</x:f>
        <x:v>3</x:v>
      </x:c>
      <x:c r="E19" s="20" t="n">
        <x:f>COUNTIFS('02_怪物与专属'!$B$5:$B$468,$A19,'02_怪物与专属'!$O$5:$O$468,$C19,'02_怪物与专属'!$K$5:$K$468,"稀有")</x:f>
        <x:v>3</x:v>
      </x:c>
      <x:c r="F19" s="20" t="n">
        <x:f>COUNTIFS('02_怪物与专属'!$B$5:$B$468,$A19,'02_怪物与专属'!$O$5:$O$468,$C19,'02_怪物与专属'!$K$5:$K$468,"地图BOSS")</x:f>
        <x:v>0</x:v>
      </x:c>
      <x:c r="G19" s="20" t="n">
        <x:f>COUNTIFS('02_怪物与专属'!$B$5:$B$468,$A19,'02_怪物与专属'!$O$5:$O$468,$C19,'02_怪物与专属'!$K$5:$K$468,"守关BOSS")</x:f>
        <x:v>0</x:v>
      </x:c>
      <x:c r="H19" s="20" t="n">
        <x:f>SUM(D19:G19)</x:f>
        <x:v>6</x:v>
      </x:c>
      <x:c r="I19" s="20" t="str">
        <x:v>结构统计；不代表部位强弱</x:v>
      </x:c>
    </x:row>
    <x:row r="20" ht="24" customHeight="1">
      <x:c r="A20" s="20" t="str">
        <x:v>C04</x:v>
      </x:c>
      <x:c r="B20" s="20" t="str">
        <x:v>利耶尼亚海域</x:v>
      </x:c>
      <x:c r="C20" s="20" t="str">
        <x:v>手镯</x:v>
      </x:c>
      <x:c r="D20" s="20" t="n">
        <x:f>COUNTIFS('02_怪物与专属'!$B$5:$B$468,$A20,'02_怪物与专属'!$O$5:$O$468,$C20,'02_怪物与专属'!$K$5:$K$468,"普通")</x:f>
        <x:v>3</x:v>
      </x:c>
      <x:c r="E20" s="20" t="n">
        <x:f>COUNTIFS('02_怪物与专属'!$B$5:$B$468,$A20,'02_怪物与专属'!$O$5:$O$468,$C20,'02_怪物与专属'!$K$5:$K$468,"稀有")</x:f>
        <x:v>3</x:v>
      </x:c>
      <x:c r="F20" s="20" t="n">
        <x:f>COUNTIFS('02_怪物与专属'!$B$5:$B$468,$A20,'02_怪物与专属'!$O$5:$O$468,$C20,'02_怪物与专属'!$K$5:$K$468,"地图BOSS")</x:f>
        <x:v>0</x:v>
      </x:c>
      <x:c r="G20" s="20" t="n">
        <x:f>COUNTIFS('02_怪物与专属'!$B$5:$B$468,$A20,'02_怪物与专属'!$O$5:$O$468,$C20,'02_怪物与专属'!$K$5:$K$468,"守关BOSS")</x:f>
        <x:v>0</x:v>
      </x:c>
      <x:c r="H20" s="20" t="n">
        <x:f>SUM(D20:G20)</x:f>
        <x:v>6</x:v>
      </x:c>
      <x:c r="I20" s="20" t="str">
        <x:v>结构统计；不代表部位强弱</x:v>
      </x:c>
    </x:row>
    <x:row r="21" ht="24" customHeight="1">
      <x:c r="A21" s="20" t="str">
        <x:v>C04</x:v>
      </x:c>
      <x:c r="B21" s="20" t="str">
        <x:v>利耶尼亚海域</x:v>
      </x:c>
      <x:c r="C21" s="20" t="str">
        <x:v>戒指</x:v>
      </x:c>
      <x:c r="D21" s="20" t="n">
        <x:f>COUNTIFS('02_怪物与专属'!$B$5:$B$468,$A21,'02_怪物与专属'!$O$5:$O$468,$C21,'02_怪物与专属'!$K$5:$K$468,"普通")</x:f>
        <x:v>1</x:v>
      </x:c>
      <x:c r="E21" s="20" t="n">
        <x:f>COUNTIFS('02_怪物与专属'!$B$5:$B$468,$A21,'02_怪物与专属'!$O$5:$O$468,$C21,'02_怪物与专属'!$K$5:$K$468,"稀有")</x:f>
        <x:v>5</x:v>
      </x:c>
      <x:c r="F21" s="20" t="n">
        <x:f>COUNTIFS('02_怪物与专属'!$B$5:$B$468,$A21,'02_怪物与专属'!$O$5:$O$468,$C21,'02_怪物与专属'!$K$5:$K$468,"地图BOSS")</x:f>
        <x:v>0</x:v>
      </x:c>
      <x:c r="G21" s="20" t="n">
        <x:f>COUNTIFS('02_怪物与专属'!$B$5:$B$468,$A21,'02_怪物与专属'!$O$5:$O$468,$C21,'02_怪物与专属'!$K$5:$K$468,"守关BOSS")</x:f>
        <x:v>0</x:v>
      </x:c>
      <x:c r="H21" s="20" t="n">
        <x:f>SUM(D21:G21)</x:f>
        <x:v>6</x:v>
      </x:c>
      <x:c r="I21" s="20" t="str">
        <x:v>结构统计；不代表部位强弱</x:v>
      </x:c>
    </x:row>
    <x:row r="22" ht="24" customHeight="1">
      <x:c r="A22" s="20" t="str">
        <x:v>C04</x:v>
      </x:c>
      <x:c r="B22" s="20" t="str">
        <x:v>利耶尼亚海域</x:v>
      </x:c>
      <x:c r="C22" s="20" t="str">
        <x:v>腰带</x:v>
      </x:c>
      <x:c r="D22" s="20" t="n">
        <x:f>COUNTIFS('02_怪物与专属'!$B$5:$B$468,$A22,'02_怪物与专属'!$O$5:$O$468,$C22,'02_怪物与专属'!$K$5:$K$468,"普通")</x:f>
        <x:v>2</x:v>
      </x:c>
      <x:c r="E22" s="20" t="n">
        <x:f>COUNTIFS('02_怪物与专属'!$B$5:$B$468,$A22,'02_怪物与专属'!$O$5:$O$468,$C22,'02_怪物与专属'!$K$5:$K$468,"稀有")</x:f>
        <x:v>4</x:v>
      </x:c>
      <x:c r="F22" s="20" t="n">
        <x:f>COUNTIFS('02_怪物与专属'!$B$5:$B$468,$A22,'02_怪物与专属'!$O$5:$O$468,$C22,'02_怪物与专属'!$K$5:$K$468,"地图BOSS")</x:f>
        <x:v>0</x:v>
      </x:c>
      <x:c r="G22" s="20" t="n">
        <x:f>COUNTIFS('02_怪物与专属'!$B$5:$B$468,$A22,'02_怪物与专属'!$O$5:$O$468,$C22,'02_怪物与专属'!$K$5:$K$468,"守关BOSS")</x:f>
        <x:v>0</x:v>
      </x:c>
      <x:c r="H22" s="20" t="n">
        <x:f>SUM(D22:G22)</x:f>
        <x:v>6</x:v>
      </x:c>
      <x:c r="I22" s="20" t="str">
        <x:v>结构统计；不代表部位强弱</x:v>
      </x:c>
    </x:row>
    <x:row r="23" ht="24" customHeight="1">
      <x:c r="A23" s="20" t="str">
        <x:v>C04</x:v>
      </x:c>
      <x:c r="B23" s="20" t="str">
        <x:v>利耶尼亚海域</x:v>
      </x:c>
      <x:c r="C23" s="20" t="str">
        <x:v>鞋子</x:v>
      </x:c>
      <x:c r="D23" s="20" t="n">
        <x:f>COUNTIFS('02_怪物与专属'!$B$5:$B$468,$A23,'02_怪物与专属'!$O$5:$O$468,$C23,'02_怪物与专属'!$K$5:$K$468,"普通")</x:f>
        <x:v>6</x:v>
      </x:c>
      <x:c r="E23" s="20" t="n">
        <x:f>COUNTIFS('02_怪物与专属'!$B$5:$B$468,$A23,'02_怪物与专属'!$O$5:$O$468,$C23,'02_怪物与专属'!$K$5:$K$468,"稀有")</x:f>
        <x:v>0</x:v>
      </x:c>
      <x:c r="F23" s="20" t="n">
        <x:f>COUNTIFS('02_怪物与专属'!$B$5:$B$468,$A23,'02_怪物与专属'!$O$5:$O$468,$C23,'02_怪物与专属'!$K$5:$K$468,"地图BOSS")</x:f>
        <x:v>0</x:v>
      </x:c>
      <x:c r="G23" s="20" t="n">
        <x:f>COUNTIFS('02_怪物与专属'!$B$5:$B$468,$A23,'02_怪物与专属'!$O$5:$O$468,$C23,'02_怪物与专属'!$K$5:$K$468,"守关BOSS")</x:f>
        <x:v>0</x:v>
      </x:c>
      <x:c r="H23" s="20" t="n">
        <x:f>SUM(D23:G23)</x:f>
        <x:v>6</x:v>
      </x:c>
      <x:c r="I23" s="20" t="str">
        <x:v>结构统计；不代表部位强弱</x:v>
      </x:c>
    </x:row>
    <x:row r="24" ht="24" customHeight="1">
      <x:c r="A24" s="20" t="str">
        <x:v>C04</x:v>
      </x:c>
      <x:c r="B24" s="20" t="str">
        <x:v>利耶尼亚海域</x:v>
      </x:c>
      <x:c r="C24" s="20" t="str">
        <x:v>斗笠</x:v>
      </x:c>
      <x:c r="D24" s="20" t="n">
        <x:f>COUNTIFS('02_怪物与专属'!$B$5:$B$468,$A24,'02_怪物与专属'!$O$5:$O$468,$C24,'02_怪物与专属'!$K$5:$K$468,"普通")</x:f>
        <x:v>1</x:v>
      </x:c>
      <x:c r="E24" s="20" t="n">
        <x:f>COUNTIFS('02_怪物与专属'!$B$5:$B$468,$A24,'02_怪物与专属'!$O$5:$O$468,$C24,'02_怪物与专属'!$K$5:$K$468,"稀有")</x:f>
        <x:v>4</x:v>
      </x:c>
      <x:c r="F24" s="20" t="n">
        <x:f>COUNTIFS('02_怪物与专属'!$B$5:$B$468,$A24,'02_怪物与专属'!$O$5:$O$468,$C24,'02_怪物与专属'!$K$5:$K$468,"地图BOSS")</x:f>
        <x:v>0</x:v>
      </x:c>
      <x:c r="G24" s="20" t="n">
        <x:f>COUNTIFS('02_怪物与专属'!$B$5:$B$468,$A24,'02_怪物与专属'!$O$5:$O$468,$C24,'02_怪物与专属'!$K$5:$K$468,"守关BOSS")</x:f>
        <x:v>0</x:v>
      </x:c>
      <x:c r="H24" s="20" t="n">
        <x:f>SUM(D24:G24)</x:f>
        <x:v>5</x:v>
      </x:c>
      <x:c r="I24" s="20" t="str">
        <x:v>结构统计；不代表部位强弱</x:v>
      </x:c>
    </x:row>
    <x:row r="25" ht="24" customHeight="1">
      <x:c r="A25" s="20" t="str">
        <x:v>C04</x:v>
      </x:c>
      <x:c r="B25" s="20" t="str">
        <x:v>利耶尼亚海域</x:v>
      </x:c>
      <x:c r="C25" s="20" t="str">
        <x:v>盾牌</x:v>
      </x:c>
      <x:c r="D25" s="20" t="n">
        <x:f>COUNTIFS('02_怪物与专属'!$B$5:$B$468,$A25,'02_怪物与专属'!$O$5:$O$468,$C25,'02_怪物与专属'!$K$5:$K$468,"普通")</x:f>
        <x:v>4</x:v>
      </x:c>
      <x:c r="E25" s="20" t="n">
        <x:f>COUNTIFS('02_怪物与专属'!$B$5:$B$468,$A25,'02_怪物与专属'!$O$5:$O$468,$C25,'02_怪物与专属'!$K$5:$K$468,"稀有")</x:f>
        <x:v>2</x:v>
      </x:c>
      <x:c r="F25" s="20" t="n">
        <x:f>COUNTIFS('02_怪物与专属'!$B$5:$B$468,$A25,'02_怪物与专属'!$O$5:$O$468,$C25,'02_怪物与专属'!$K$5:$K$468,"地图BOSS")</x:f>
        <x:v>0</x:v>
      </x:c>
      <x:c r="G25" s="20" t="n">
        <x:f>COUNTIFS('02_怪物与专属'!$B$5:$B$468,$A25,'02_怪物与专属'!$O$5:$O$468,$C25,'02_怪物与专属'!$K$5:$K$468,"守关BOSS")</x:f>
        <x:v>0</x:v>
      </x:c>
      <x:c r="H25" s="20" t="n">
        <x:f>SUM(D25:G25)</x:f>
        <x:v>6</x:v>
      </x:c>
      <x:c r="I25" s="20" t="str">
        <x:v>结构统计；不代表部位强弱</x:v>
      </x:c>
    </x:row>
    <x:row r="26" ht="24" customHeight="1">
      <x:c r="A26" s="20" t="str">
        <x:v>C04</x:v>
      </x:c>
      <x:c r="B26" s="20" t="str">
        <x:v>利耶尼亚海域</x:v>
      </x:c>
      <x:c r="C26" s="20" t="str">
        <x:v>勋章</x:v>
      </x:c>
      <x:c r="D26" s="20" t="n">
        <x:f>COUNTIFS('02_怪物与专属'!$B$5:$B$468,$A26,'02_怪物与专属'!$O$5:$O$468,$C26,'02_怪物与专属'!$K$5:$K$468,"普通")</x:f>
        <x:v>0</x:v>
      </x:c>
      <x:c r="E26" s="20" t="n">
        <x:f>COUNTIFS('02_怪物与专属'!$B$5:$B$468,$A26,'02_怪物与专属'!$O$5:$O$468,$C26,'02_怪物与专属'!$K$5:$K$468,"稀有")</x:f>
        <x:v>0</x:v>
      </x:c>
      <x:c r="F26" s="20" t="n">
        <x:f>COUNTIFS('02_怪物与专属'!$B$5:$B$468,$A26,'02_怪物与专属'!$O$5:$O$468,$C26,'02_怪物与专属'!$K$5:$K$468,"地图BOSS")</x:f>
        <x:v>0</x:v>
      </x:c>
      <x:c r="G26" s="20" t="n">
        <x:f>COUNTIFS('02_怪物与专属'!$B$5:$B$468,$A26,'02_怪物与专属'!$O$5:$O$468,$C26,'02_怪物与专属'!$K$5:$K$468,"守关BOSS")</x:f>
        <x:v>0</x:v>
      </x:c>
      <x:c r="H26" s="20" t="n">
        <x:f>SUM(D26:G26)</x:f>
        <x:v>0</x:v>
      </x:c>
      <x:c r="I26" s="20" t="str">
        <x:v>结构统计；不代表部位强弱</x:v>
      </x:c>
    </x:row>
    <x:row r="27" ht="24" customHeight="1">
      <x:c r="A27" s="20" t="str">
        <x:v>C05</x:v>
      </x:c>
      <x:c r="B27" s="20" t="str">
        <x:v>湖之利耶尼亚</x:v>
      </x:c>
      <x:c r="C27" s="20" t="str">
        <x:v>武器</x:v>
      </x:c>
      <x:c r="D27" s="20" t="n">
        <x:f>COUNTIFS('02_怪物与专属'!$B$5:$B$468,$A27,'02_怪物与专属'!$O$5:$O$468,$C27,'02_怪物与专属'!$K$5:$K$468,"普通")</x:f>
        <x:v>2</x:v>
      </x:c>
      <x:c r="E27" s="20" t="n">
        <x:f>COUNTIFS('02_怪物与专属'!$B$5:$B$468,$A27,'02_怪物与专属'!$O$5:$O$468,$C27,'02_怪物与专属'!$K$5:$K$468,"稀有")</x:f>
        <x:v>0</x:v>
      </x:c>
      <x:c r="F27" s="20" t="n">
        <x:f>COUNTIFS('02_怪物与专属'!$B$5:$B$468,$A27,'02_怪物与专属'!$O$5:$O$468,$C27,'02_怪物与专属'!$K$5:$K$468,"地图BOSS")</x:f>
        <x:v>6</x:v>
      </x:c>
      <x:c r="G27" s="20" t="n">
        <x:f>COUNTIFS('02_怪物与专属'!$B$5:$B$468,$A27,'02_怪物与专属'!$O$5:$O$468,$C27,'02_怪物与专属'!$K$5:$K$468,"守关BOSS")</x:f>
        <x:v>1</x:v>
      </x:c>
      <x:c r="H27" s="20" t="n">
        <x:f>SUM(D27:G27)</x:f>
        <x:v>9</x:v>
      </x:c>
      <x:c r="I27" s="20" t="str">
        <x:v>结构统计；不代表部位强弱</x:v>
      </x:c>
    </x:row>
    <x:row r="28" ht="24" customHeight="1">
      <x:c r="A28" s="20" t="str">
        <x:v>C05</x:v>
      </x:c>
      <x:c r="B28" s="20" t="str">
        <x:v>湖之利耶尼亚</x:v>
      </x:c>
      <x:c r="C28" s="20" t="str">
        <x:v>衣服</x:v>
      </x:c>
      <x:c r="D28" s="20" t="n">
        <x:f>COUNTIFS('02_怪物与专属'!$B$5:$B$468,$A28,'02_怪物与专属'!$O$5:$O$468,$C28,'02_怪物与专属'!$K$5:$K$468,"普通")</x:f>
        <x:v>0</x:v>
      </x:c>
      <x:c r="E28" s="20" t="n">
        <x:f>COUNTIFS('02_怪物与专属'!$B$5:$B$468,$A28,'02_怪物与专属'!$O$5:$O$468,$C28,'02_怪物与专属'!$K$5:$K$468,"稀有")</x:f>
        <x:v>4</x:v>
      </x:c>
      <x:c r="F28" s="20" t="n">
        <x:f>COUNTIFS('02_怪物与专属'!$B$5:$B$468,$A28,'02_怪物与专属'!$O$5:$O$468,$C28,'02_怪物与专属'!$K$5:$K$468,"地图BOSS")</x:f>
        <x:v>6</x:v>
      </x:c>
      <x:c r="G28" s="20" t="n">
        <x:f>COUNTIFS('02_怪物与专属'!$B$5:$B$468,$A28,'02_怪物与专属'!$O$5:$O$468,$C28,'02_怪物与专属'!$K$5:$K$468,"守关BOSS")</x:f>
        <x:v>0</x:v>
      </x:c>
      <x:c r="H28" s="20" t="n">
        <x:f>SUM(D28:G28)</x:f>
        <x:v>10</x:v>
      </x:c>
      <x:c r="I28" s="20" t="str">
        <x:v>结构统计；不代表部位强弱</x:v>
      </x:c>
    </x:row>
    <x:row r="29" ht="24" customHeight="1">
      <x:c r="A29" s="20" t="str">
        <x:v>C05</x:v>
      </x:c>
      <x:c r="B29" s="20" t="str">
        <x:v>湖之利耶尼亚</x:v>
      </x:c>
      <x:c r="C29" s="20" t="str">
        <x:v>头盔</x:v>
      </x:c>
      <x:c r="D29" s="20" t="n">
        <x:f>COUNTIFS('02_怪物与专属'!$B$5:$B$468,$A29,'02_怪物与专属'!$O$5:$O$468,$C29,'02_怪物与专属'!$K$5:$K$468,"普通")</x:f>
        <x:v>0</x:v>
      </x:c>
      <x:c r="E29" s="20" t="n">
        <x:f>COUNTIFS('02_怪物与专属'!$B$5:$B$468,$A29,'02_怪物与专属'!$O$5:$O$468,$C29,'02_怪物与专属'!$K$5:$K$468,"稀有")</x:f>
        <x:v>6</x:v>
      </x:c>
      <x:c r="F29" s="20" t="n">
        <x:f>COUNTIFS('02_怪物与专属'!$B$5:$B$468,$A29,'02_怪物与专属'!$O$5:$O$468,$C29,'02_怪物与专属'!$K$5:$K$468,"地图BOSS")</x:f>
        <x:v>0</x:v>
      </x:c>
      <x:c r="G29" s="20" t="n">
        <x:f>COUNTIFS('02_怪物与专属'!$B$5:$B$468,$A29,'02_怪物与专属'!$O$5:$O$468,$C29,'02_怪物与专属'!$K$5:$K$468,"守关BOSS")</x:f>
        <x:v>0</x:v>
      </x:c>
      <x:c r="H29" s="20" t="n">
        <x:f>SUM(D29:G29)</x:f>
        <x:v>6</x:v>
      </x:c>
      <x:c r="I29" s="20" t="str">
        <x:v>结构统计；不代表部位强弱</x:v>
      </x:c>
    </x:row>
    <x:row r="30" ht="24" customHeight="1">
      <x:c r="A30" s="20" t="str">
        <x:v>C05</x:v>
      </x:c>
      <x:c r="B30" s="20" t="str">
        <x:v>湖之利耶尼亚</x:v>
      </x:c>
      <x:c r="C30" s="20" t="str">
        <x:v>项链</x:v>
      </x:c>
      <x:c r="D30" s="20" t="n">
        <x:f>COUNTIFS('02_怪物与专属'!$B$5:$B$468,$A30,'02_怪物与专属'!$O$5:$O$468,$C30,'02_怪物与专属'!$K$5:$K$468,"普通")</x:f>
        <x:v>4</x:v>
      </x:c>
      <x:c r="E30" s="20" t="n">
        <x:f>COUNTIFS('02_怪物与专属'!$B$5:$B$468,$A30,'02_怪物与专属'!$O$5:$O$468,$C30,'02_怪物与专属'!$K$5:$K$468,"稀有")</x:f>
        <x:v>2</x:v>
      </x:c>
      <x:c r="F30" s="20" t="n">
        <x:f>COUNTIFS('02_怪物与专属'!$B$5:$B$468,$A30,'02_怪物与专属'!$O$5:$O$468,$C30,'02_怪物与专属'!$K$5:$K$468,"地图BOSS")</x:f>
        <x:v>0</x:v>
      </x:c>
      <x:c r="G30" s="20" t="n">
        <x:f>COUNTIFS('02_怪物与专属'!$B$5:$B$468,$A30,'02_怪物与专属'!$O$5:$O$468,$C30,'02_怪物与专属'!$K$5:$K$468,"守关BOSS")</x:f>
        <x:v>0</x:v>
      </x:c>
      <x:c r="H30" s="20" t="n">
        <x:f>SUM(D30:G30)</x:f>
        <x:v>6</x:v>
      </x:c>
      <x:c r="I30" s="20" t="str">
        <x:v>结构统计；不代表部位强弱</x:v>
      </x:c>
    </x:row>
    <x:row r="31" ht="24" customHeight="1">
      <x:c r="A31" s="20" t="str">
        <x:v>C05</x:v>
      </x:c>
      <x:c r="B31" s="20" t="str">
        <x:v>湖之利耶尼亚</x:v>
      </x:c>
      <x:c r="C31" s="20" t="str">
        <x:v>手镯</x:v>
      </x:c>
      <x:c r="D31" s="20" t="n">
        <x:f>COUNTIFS('02_怪物与专属'!$B$5:$B$468,$A31,'02_怪物与专属'!$O$5:$O$468,$C31,'02_怪物与专属'!$K$5:$K$468,"普通")</x:f>
        <x:v>6</x:v>
      </x:c>
      <x:c r="E31" s="20" t="n">
        <x:f>COUNTIFS('02_怪物与专属'!$B$5:$B$468,$A31,'02_怪物与专属'!$O$5:$O$468,$C31,'02_怪物与专属'!$K$5:$K$468,"稀有")</x:f>
        <x:v>0</x:v>
      </x:c>
      <x:c r="F31" s="20" t="n">
        <x:f>COUNTIFS('02_怪物与专属'!$B$5:$B$468,$A31,'02_怪物与专属'!$O$5:$O$468,$C31,'02_怪物与专属'!$K$5:$K$468,"地图BOSS")</x:f>
        <x:v>0</x:v>
      </x:c>
      <x:c r="G31" s="20" t="n">
        <x:f>COUNTIFS('02_怪物与专属'!$B$5:$B$468,$A31,'02_怪物与专属'!$O$5:$O$468,$C31,'02_怪物与专属'!$K$5:$K$468,"守关BOSS")</x:f>
        <x:v>0</x:v>
      </x:c>
      <x:c r="H31" s="20" t="n">
        <x:f>SUM(D31:G31)</x:f>
        <x:v>6</x:v>
      </x:c>
      <x:c r="I31" s="20" t="str">
        <x:v>结构统计；不代表部位强弱</x:v>
      </x:c>
    </x:row>
    <x:row r="32" ht="24" customHeight="1">
      <x:c r="A32" s="20" t="str">
        <x:v>C05</x:v>
      </x:c>
      <x:c r="B32" s="20" t="str">
        <x:v>湖之利耶尼亚</x:v>
      </x:c>
      <x:c r="C32" s="20" t="str">
        <x:v>戒指</x:v>
      </x:c>
      <x:c r="D32" s="20" t="n">
        <x:f>COUNTIFS('02_怪物与专属'!$B$5:$B$468,$A32,'02_怪物与专属'!$O$5:$O$468,$C32,'02_怪物与专属'!$K$5:$K$468,"普通")</x:f>
        <x:v>5</x:v>
      </x:c>
      <x:c r="E32" s="20" t="n">
        <x:f>COUNTIFS('02_怪物与专属'!$B$5:$B$468,$A32,'02_怪物与专属'!$O$5:$O$468,$C32,'02_怪物与专属'!$K$5:$K$468,"稀有")</x:f>
        <x:v>1</x:v>
      </x:c>
      <x:c r="F32" s="20" t="n">
        <x:f>COUNTIFS('02_怪物与专属'!$B$5:$B$468,$A32,'02_怪物与专属'!$O$5:$O$468,$C32,'02_怪物与专属'!$K$5:$K$468,"地图BOSS")</x:f>
        <x:v>0</x:v>
      </x:c>
      <x:c r="G32" s="20" t="n">
        <x:f>COUNTIFS('02_怪物与专属'!$B$5:$B$468,$A32,'02_怪物与专属'!$O$5:$O$468,$C32,'02_怪物与专属'!$K$5:$K$468,"守关BOSS")</x:f>
        <x:v>0</x:v>
      </x:c>
      <x:c r="H32" s="20" t="n">
        <x:f>SUM(D32:G32)</x:f>
        <x:v>6</x:v>
      </x:c>
      <x:c r="I32" s="20" t="str">
        <x:v>结构统计；不代表部位强弱</x:v>
      </x:c>
    </x:row>
    <x:row r="33" ht="24" customHeight="1">
      <x:c r="A33" s="20" t="str">
        <x:v>C05</x:v>
      </x:c>
      <x:c r="B33" s="20" t="str">
        <x:v>湖之利耶尼亚</x:v>
      </x:c>
      <x:c r="C33" s="20" t="str">
        <x:v>腰带</x:v>
      </x:c>
      <x:c r="D33" s="20" t="n">
        <x:f>COUNTIFS('02_怪物与专属'!$B$5:$B$468,$A33,'02_怪物与专属'!$O$5:$O$468,$C33,'02_怪物与专属'!$K$5:$K$468,"普通")</x:f>
        <x:v>1</x:v>
      </x:c>
      <x:c r="E33" s="20" t="n">
        <x:f>COUNTIFS('02_怪物与专属'!$B$5:$B$468,$A33,'02_怪物与专属'!$O$5:$O$468,$C33,'02_怪物与专属'!$K$5:$K$468,"稀有")</x:f>
        <x:v>5</x:v>
      </x:c>
      <x:c r="F33" s="20" t="n">
        <x:f>COUNTIFS('02_怪物与专属'!$B$5:$B$468,$A33,'02_怪物与专属'!$O$5:$O$468,$C33,'02_怪物与专属'!$K$5:$K$468,"地图BOSS")</x:f>
        <x:v>0</x:v>
      </x:c>
      <x:c r="G33" s="20" t="n">
        <x:f>COUNTIFS('02_怪物与专属'!$B$5:$B$468,$A33,'02_怪物与专属'!$O$5:$O$468,$C33,'02_怪物与专属'!$K$5:$K$468,"守关BOSS")</x:f>
        <x:v>0</x:v>
      </x:c>
      <x:c r="H33" s="20" t="n">
        <x:f>SUM(D33:G33)</x:f>
        <x:v>6</x:v>
      </x:c>
      <x:c r="I33" s="20" t="str">
        <x:v>结构统计；不代表部位强弱</x:v>
      </x:c>
    </x:row>
    <x:row r="34" ht="24" customHeight="1">
      <x:c r="A34" s="20" t="str">
        <x:v>C05</x:v>
      </x:c>
      <x:c r="B34" s="20" t="str">
        <x:v>湖之利耶尼亚</x:v>
      </x:c>
      <x:c r="C34" s="20" t="str">
        <x:v>鞋子</x:v>
      </x:c>
      <x:c r="D34" s="20" t="n">
        <x:f>COUNTIFS('02_怪物与专属'!$B$5:$B$468,$A34,'02_怪物与专属'!$O$5:$O$468,$C34,'02_怪物与专属'!$K$5:$K$468,"普通")</x:f>
        <x:v>6</x:v>
      </x:c>
      <x:c r="E34" s="20" t="n">
        <x:f>COUNTIFS('02_怪物与专属'!$B$5:$B$468,$A34,'02_怪物与专属'!$O$5:$O$468,$C34,'02_怪物与专属'!$K$5:$K$468,"稀有")</x:f>
        <x:v>0</x:v>
      </x:c>
      <x:c r="F34" s="20" t="n">
        <x:f>COUNTIFS('02_怪物与专属'!$B$5:$B$468,$A34,'02_怪物与专属'!$O$5:$O$468,$C34,'02_怪物与专属'!$K$5:$K$468,"地图BOSS")</x:f>
        <x:v>0</x:v>
      </x:c>
      <x:c r="G34" s="20" t="n">
        <x:f>COUNTIFS('02_怪物与专属'!$B$5:$B$468,$A34,'02_怪物与专属'!$O$5:$O$468,$C34,'02_怪物与专属'!$K$5:$K$468,"守关BOSS")</x:f>
        <x:v>0</x:v>
      </x:c>
      <x:c r="H34" s="20" t="n">
        <x:f>SUM(D34:G34)</x:f>
        <x:v>6</x:v>
      </x:c>
      <x:c r="I34" s="20" t="str">
        <x:v>结构统计；不代表部位强弱</x:v>
      </x:c>
    </x:row>
    <x:row r="35" ht="24" customHeight="1">
      <x:c r="A35" s="20" t="str">
        <x:v>C05</x:v>
      </x:c>
      <x:c r="B35" s="20" t="str">
        <x:v>湖之利耶尼亚</x:v>
      </x:c>
      <x:c r="C35" s="20" t="str">
        <x:v>斗笠</x:v>
      </x:c>
      <x:c r="D35" s="20" t="n">
        <x:f>COUNTIFS('02_怪物与专属'!$B$5:$B$468,$A35,'02_怪物与专属'!$O$5:$O$468,$C35,'02_怪物与专属'!$K$5:$K$468,"普通")</x:f>
        <x:v>6</x:v>
      </x:c>
      <x:c r="E35" s="20" t="n">
        <x:f>COUNTIFS('02_怪物与专属'!$B$5:$B$468,$A35,'02_怪物与专属'!$O$5:$O$468,$C35,'02_怪物与专属'!$K$5:$K$468,"稀有")</x:f>
        <x:v>0</x:v>
      </x:c>
      <x:c r="F35" s="20" t="n">
        <x:f>COUNTIFS('02_怪物与专属'!$B$5:$B$468,$A35,'02_怪物与专属'!$O$5:$O$468,$C35,'02_怪物与专属'!$K$5:$K$468,"地图BOSS")</x:f>
        <x:v>0</x:v>
      </x:c>
      <x:c r="G35" s="20" t="n">
        <x:f>COUNTIFS('02_怪物与专属'!$B$5:$B$468,$A35,'02_怪物与专属'!$O$5:$O$468,$C35,'02_怪物与专属'!$K$5:$K$468,"守关BOSS")</x:f>
        <x:v>0</x:v>
      </x:c>
      <x:c r="H35" s="20" t="n">
        <x:f>SUM(D35:G35)</x:f>
        <x:v>6</x:v>
      </x:c>
      <x:c r="I35" s="20" t="str">
        <x:v>结构统计；不代表部位强弱</x:v>
      </x:c>
    </x:row>
    <x:row r="36" ht="24" customHeight="1">
      <x:c r="A36" s="20" t="str">
        <x:v>C05</x:v>
      </x:c>
      <x:c r="B36" s="20" t="str">
        <x:v>湖之利耶尼亚</x:v>
      </x:c>
      <x:c r="C36" s="20" t="str">
        <x:v>盾牌</x:v>
      </x:c>
      <x:c r="D36" s="20" t="n">
        <x:f>COUNTIFS('02_怪物与专属'!$B$5:$B$468,$A36,'02_怪物与专属'!$O$5:$O$468,$C36,'02_怪物与专属'!$K$5:$K$468,"普通")</x:f>
        <x:v>6</x:v>
      </x:c>
      <x:c r="E36" s="20" t="n">
        <x:f>COUNTIFS('02_怪物与专属'!$B$5:$B$468,$A36,'02_怪物与专属'!$O$5:$O$468,$C36,'02_怪物与专属'!$K$5:$K$468,"稀有")</x:f>
        <x:v>0</x:v>
      </x:c>
      <x:c r="F36" s="20" t="n">
        <x:f>COUNTIFS('02_怪物与专属'!$B$5:$B$468,$A36,'02_怪物与专属'!$O$5:$O$468,$C36,'02_怪物与专属'!$K$5:$K$468,"地图BOSS")</x:f>
        <x:v>0</x:v>
      </x:c>
      <x:c r="G36" s="20" t="n">
        <x:f>COUNTIFS('02_怪物与专属'!$B$5:$B$468,$A36,'02_怪物与专属'!$O$5:$O$468,$C36,'02_怪物与专属'!$K$5:$K$468,"守关BOSS")</x:f>
        <x:v>0</x:v>
      </x:c>
      <x:c r="H36" s="20" t="n">
        <x:f>SUM(D36:G36)</x:f>
        <x:v>6</x:v>
      </x:c>
      <x:c r="I36" s="20" t="str">
        <x:v>结构统计；不代表部位强弱</x:v>
      </x:c>
    </x:row>
    <x:row r="37" ht="24" customHeight="1">
      <x:c r="A37" s="20" t="str">
        <x:v>C05</x:v>
      </x:c>
      <x:c r="B37" s="20" t="str">
        <x:v>湖之利耶尼亚</x:v>
      </x:c>
      <x:c r="C37" s="20" t="str">
        <x:v>勋章</x:v>
      </x:c>
      <x:c r="D37" s="20" t="n">
        <x:f>COUNTIFS('02_怪物与专属'!$B$5:$B$468,$A37,'02_怪物与专属'!$O$5:$O$468,$C37,'02_怪物与专属'!$K$5:$K$468,"普通")</x:f>
        <x:v>0</x:v>
      </x:c>
      <x:c r="E37" s="20" t="n">
        <x:f>COUNTIFS('02_怪物与专属'!$B$5:$B$468,$A37,'02_怪物与专属'!$O$5:$O$468,$C37,'02_怪物与专属'!$K$5:$K$468,"稀有")</x:f>
        <x:v>6</x:v>
      </x:c>
      <x:c r="F37" s="20" t="n">
        <x:f>COUNTIFS('02_怪物与专属'!$B$5:$B$468,$A37,'02_怪物与专属'!$O$5:$O$468,$C37,'02_怪物与专属'!$K$5:$K$468,"地图BOSS")</x:f>
        <x:v>0</x:v>
      </x:c>
      <x:c r="G37" s="20" t="n">
        <x:f>COUNTIFS('02_怪物与专属'!$B$5:$B$468,$A37,'02_怪物与专属'!$O$5:$O$468,$C37,'02_怪物与专属'!$K$5:$K$468,"守关BOSS")</x:f>
        <x:v>0</x:v>
      </x:c>
      <x:c r="H37" s="20" t="n">
        <x:f>SUM(D37:G37)</x:f>
        <x:v>6</x:v>
      </x:c>
      <x:c r="I37" s="20" t="str">
        <x:v>结构统计；不代表部位强弱</x:v>
      </x:c>
    </x:row>
    <x:row r="38" ht="24" customHeight="1">
      <x:c r="A38" s="20" t="str">
        <x:v>C06</x:v>
      </x:c>
      <x:c r="B38" s="20" t="str">
        <x:v>盖利德</x:v>
      </x:c>
      <x:c r="C38" s="20" t="str">
        <x:v>武器</x:v>
      </x:c>
      <x:c r="D38" s="20" t="n">
        <x:f>COUNTIFS('02_怪物与专属'!$B$5:$B$468,$A38,'02_怪物与专属'!$O$5:$O$468,$C38,'02_怪物与专属'!$K$5:$K$468,"普通")</x:f>
        <x:v>3</x:v>
      </x:c>
      <x:c r="E38" s="20" t="n">
        <x:f>COUNTIFS('02_怪物与专属'!$B$5:$B$468,$A38,'02_怪物与专属'!$O$5:$O$468,$C38,'02_怪物与专属'!$K$5:$K$468,"稀有")</x:f>
        <x:v>1</x:v>
      </x:c>
      <x:c r="F38" s="20" t="n">
        <x:f>COUNTIFS('02_怪物与专属'!$B$5:$B$468,$A38,'02_怪物与专属'!$O$5:$O$468,$C38,'02_怪物与专属'!$K$5:$K$468,"地图BOSS")</x:f>
        <x:v>2</x:v>
      </x:c>
      <x:c r="G38" s="20" t="n">
        <x:f>COUNTIFS('02_怪物与专属'!$B$5:$B$468,$A38,'02_怪物与专属'!$O$5:$O$468,$C38,'02_怪物与专属'!$K$5:$K$468,"守关BOSS")</x:f>
        <x:v>1</x:v>
      </x:c>
      <x:c r="H38" s="20" t="n">
        <x:f>SUM(D38:G38)</x:f>
        <x:v>7</x:v>
      </x:c>
      <x:c r="I38" s="20" t="str">
        <x:v>结构统计；不代表部位强弱</x:v>
      </x:c>
    </x:row>
    <x:row r="39" ht="24" customHeight="1">
      <x:c r="A39" s="20" t="str">
        <x:v>C06</x:v>
      </x:c>
      <x:c r="B39" s="20" t="str">
        <x:v>盖利德</x:v>
      </x:c>
      <x:c r="C39" s="20" t="str">
        <x:v>衣服</x:v>
      </x:c>
      <x:c r="D39" s="20" t="n">
        <x:f>COUNTIFS('02_怪物与专属'!$B$5:$B$468,$A39,'02_怪物与专属'!$O$5:$O$468,$C39,'02_怪物与专属'!$K$5:$K$468,"普通")</x:f>
        <x:v>3</x:v>
      </x:c>
      <x:c r="E39" s="20" t="n">
        <x:f>COUNTIFS('02_怪物与专属'!$B$5:$B$468,$A39,'02_怪物与专属'!$O$5:$O$468,$C39,'02_怪物与专属'!$K$5:$K$468,"稀有")</x:f>
        <x:v>0</x:v>
      </x:c>
      <x:c r="F39" s="20" t="n">
        <x:f>COUNTIFS('02_怪物与专属'!$B$5:$B$468,$A39,'02_怪物与专属'!$O$5:$O$468,$C39,'02_怪物与专属'!$K$5:$K$468,"地图BOSS")</x:f>
        <x:v>3</x:v>
      </x:c>
      <x:c r="G39" s="20" t="n">
        <x:f>COUNTIFS('02_怪物与专属'!$B$5:$B$468,$A39,'02_怪物与专属'!$O$5:$O$468,$C39,'02_怪物与专属'!$K$5:$K$468,"守关BOSS")</x:f>
        <x:v>0</x:v>
      </x:c>
      <x:c r="H39" s="20" t="n">
        <x:f>SUM(D39:G39)</x:f>
        <x:v>6</x:v>
      </x:c>
      <x:c r="I39" s="20" t="str">
        <x:v>结构统计；不代表部位强弱</x:v>
      </x:c>
    </x:row>
    <x:row r="40" ht="24" customHeight="1">
      <x:c r="A40" s="20" t="str">
        <x:v>C06</x:v>
      </x:c>
      <x:c r="B40" s="20" t="str">
        <x:v>盖利德</x:v>
      </x:c>
      <x:c r="C40" s="20" t="str">
        <x:v>头盔</x:v>
      </x:c>
      <x:c r="D40" s="20" t="n">
        <x:f>COUNTIFS('02_怪物与专属'!$B$5:$B$468,$A40,'02_怪物与专属'!$O$5:$O$468,$C40,'02_怪物与专属'!$K$5:$K$468,"普通")</x:f>
        <x:v>2</x:v>
      </x:c>
      <x:c r="E40" s="20" t="n">
        <x:f>COUNTIFS('02_怪物与专属'!$B$5:$B$468,$A40,'02_怪物与专属'!$O$5:$O$468,$C40,'02_怪物与专属'!$K$5:$K$468,"稀有")</x:f>
        <x:v>0</x:v>
      </x:c>
      <x:c r="F40" s="20" t="n">
        <x:f>COUNTIFS('02_怪物与专属'!$B$5:$B$468,$A40,'02_怪物与专属'!$O$5:$O$468,$C40,'02_怪物与专属'!$K$5:$K$468,"地图BOSS")</x:f>
        <x:v>1</x:v>
      </x:c>
      <x:c r="G40" s="20" t="n">
        <x:f>COUNTIFS('02_怪物与专属'!$B$5:$B$468,$A40,'02_怪物与专属'!$O$5:$O$468,$C40,'02_怪物与专属'!$K$5:$K$468,"守关BOSS")</x:f>
        <x:v>0</x:v>
      </x:c>
      <x:c r="H40" s="20" t="n">
        <x:f>SUM(D40:G40)</x:f>
        <x:v>3</x:v>
      </x:c>
      <x:c r="I40" s="20" t="str">
        <x:v>结构统计；不代表部位强弱</x:v>
      </x:c>
    </x:row>
    <x:row r="41" ht="24" customHeight="1">
      <x:c r="A41" s="20" t="str">
        <x:v>C06</x:v>
      </x:c>
      <x:c r="B41" s="20" t="str">
        <x:v>盖利德</x:v>
      </x:c>
      <x:c r="C41" s="20" t="str">
        <x:v>项链</x:v>
      </x:c>
      <x:c r="D41" s="20" t="n">
        <x:f>COUNTIFS('02_怪物与专属'!$B$5:$B$468,$A41,'02_怪物与专属'!$O$5:$O$468,$C41,'02_怪物与专属'!$K$5:$K$468,"普通")</x:f>
        <x:v>1</x:v>
      </x:c>
      <x:c r="E41" s="20" t="n">
        <x:f>COUNTIFS('02_怪物与专属'!$B$5:$B$468,$A41,'02_怪物与专属'!$O$5:$O$468,$C41,'02_怪物与专属'!$K$5:$K$468,"稀有")</x:f>
        <x:v>2</x:v>
      </x:c>
      <x:c r="F41" s="20" t="n">
        <x:f>COUNTIFS('02_怪物与专属'!$B$5:$B$468,$A41,'02_怪物与专属'!$O$5:$O$468,$C41,'02_怪物与专属'!$K$5:$K$468,"地图BOSS")</x:f>
        <x:v>0</x:v>
      </x:c>
      <x:c r="G41" s="20" t="n">
        <x:f>COUNTIFS('02_怪物与专属'!$B$5:$B$468,$A41,'02_怪物与专属'!$O$5:$O$468,$C41,'02_怪物与专属'!$K$5:$K$468,"守关BOSS")</x:f>
        <x:v>0</x:v>
      </x:c>
      <x:c r="H41" s="20" t="n">
        <x:f>SUM(D41:G41)</x:f>
        <x:v>3</x:v>
      </x:c>
      <x:c r="I41" s="20" t="str">
        <x:v>结构统计；不代表部位强弱</x:v>
      </x:c>
    </x:row>
    <x:row r="42" ht="24" customHeight="1">
      <x:c r="A42" s="20" t="str">
        <x:v>C06</x:v>
      </x:c>
      <x:c r="B42" s="20" t="str">
        <x:v>盖利德</x:v>
      </x:c>
      <x:c r="C42" s="20" t="str">
        <x:v>手镯</x:v>
      </x:c>
      <x:c r="D42" s="20" t="n">
        <x:f>COUNTIFS('02_怪物与专属'!$B$5:$B$468,$A42,'02_怪物与专属'!$O$5:$O$468,$C42,'02_怪物与专属'!$K$5:$K$468,"普通")</x:f>
        <x:v>3</x:v>
      </x:c>
      <x:c r="E42" s="20" t="n">
        <x:f>COUNTIFS('02_怪物与专属'!$B$5:$B$468,$A42,'02_怪物与专属'!$O$5:$O$468,$C42,'02_怪物与专属'!$K$5:$K$468,"稀有")</x:f>
        <x:v>0</x:v>
      </x:c>
      <x:c r="F42" s="20" t="n">
        <x:f>COUNTIFS('02_怪物与专属'!$B$5:$B$468,$A42,'02_怪物与专属'!$O$5:$O$468,$C42,'02_怪物与专属'!$K$5:$K$468,"地图BOSS")</x:f>
        <x:v>0</x:v>
      </x:c>
      <x:c r="G42" s="20" t="n">
        <x:f>COUNTIFS('02_怪物与专属'!$B$5:$B$468,$A42,'02_怪物与专属'!$O$5:$O$468,$C42,'02_怪物与专属'!$K$5:$K$468,"守关BOSS")</x:f>
        <x:v>0</x:v>
      </x:c>
      <x:c r="H42" s="20" t="n">
        <x:f>SUM(D42:G42)</x:f>
        <x:v>3</x:v>
      </x:c>
      <x:c r="I42" s="20" t="str">
        <x:v>结构统计；不代表部位强弱</x:v>
      </x:c>
    </x:row>
    <x:row r="43" ht="24" customHeight="1">
      <x:c r="A43" s="20" t="str">
        <x:v>C06</x:v>
      </x:c>
      <x:c r="B43" s="20" t="str">
        <x:v>盖利德</x:v>
      </x:c>
      <x:c r="C43" s="20" t="str">
        <x:v>戒指</x:v>
      </x:c>
      <x:c r="D43" s="20" t="n">
        <x:f>COUNTIFS('02_怪物与专属'!$B$5:$B$468,$A43,'02_怪物与专属'!$O$5:$O$468,$C43,'02_怪物与专属'!$K$5:$K$468,"普通")</x:f>
        <x:v>1</x:v>
      </x:c>
      <x:c r="E43" s="20" t="n">
        <x:f>COUNTIFS('02_怪物与专属'!$B$5:$B$468,$A43,'02_怪物与专属'!$O$5:$O$468,$C43,'02_怪物与专属'!$K$5:$K$468,"稀有")</x:f>
        <x:v>2</x:v>
      </x:c>
      <x:c r="F43" s="20" t="n">
        <x:f>COUNTIFS('02_怪物与专属'!$B$5:$B$468,$A43,'02_怪物与专属'!$O$5:$O$468,$C43,'02_怪物与专属'!$K$5:$K$468,"地图BOSS")</x:f>
        <x:v>0</x:v>
      </x:c>
      <x:c r="G43" s="20" t="n">
        <x:f>COUNTIFS('02_怪物与专属'!$B$5:$B$468,$A43,'02_怪物与专属'!$O$5:$O$468,$C43,'02_怪物与专属'!$K$5:$K$468,"守关BOSS")</x:f>
        <x:v>0</x:v>
      </x:c>
      <x:c r="H43" s="20" t="n">
        <x:f>SUM(D43:G43)</x:f>
        <x:v>3</x:v>
      </x:c>
      <x:c r="I43" s="20" t="str">
        <x:v>结构统计；不代表部位强弱</x:v>
      </x:c>
    </x:row>
    <x:row r="44" ht="24" customHeight="1">
      <x:c r="A44" s="20" t="str">
        <x:v>C06</x:v>
      </x:c>
      <x:c r="B44" s="20" t="str">
        <x:v>盖利德</x:v>
      </x:c>
      <x:c r="C44" s="20" t="str">
        <x:v>腰带</x:v>
      </x:c>
      <x:c r="D44" s="20" t="n">
        <x:f>COUNTIFS('02_怪物与专属'!$B$5:$B$468,$A44,'02_怪物与专属'!$O$5:$O$468,$C44,'02_怪物与专属'!$K$5:$K$468,"普通")</x:f>
        <x:v>1</x:v>
      </x:c>
      <x:c r="E44" s="20" t="n">
        <x:f>COUNTIFS('02_怪物与专属'!$B$5:$B$468,$A44,'02_怪物与专属'!$O$5:$O$468,$C44,'02_怪物与专属'!$K$5:$K$468,"稀有")</x:f>
        <x:v>2</x:v>
      </x:c>
      <x:c r="F44" s="20" t="n">
        <x:f>COUNTIFS('02_怪物与专属'!$B$5:$B$468,$A44,'02_怪物与专属'!$O$5:$O$468,$C44,'02_怪物与专属'!$K$5:$K$468,"地图BOSS")</x:f>
        <x:v>0</x:v>
      </x:c>
      <x:c r="G44" s="20" t="n">
        <x:f>COUNTIFS('02_怪物与专属'!$B$5:$B$468,$A44,'02_怪物与专属'!$O$5:$O$468,$C44,'02_怪物与专属'!$K$5:$K$468,"守关BOSS")</x:f>
        <x:v>0</x:v>
      </x:c>
      <x:c r="H44" s="20" t="n">
        <x:f>SUM(D44:G44)</x:f>
        <x:v>3</x:v>
      </x:c>
      <x:c r="I44" s="20" t="str">
        <x:v>结构统计；不代表部位强弱</x:v>
      </x:c>
    </x:row>
    <x:row r="45" ht="24" customHeight="1">
      <x:c r="A45" s="20" t="str">
        <x:v>C06</x:v>
      </x:c>
      <x:c r="B45" s="20" t="str">
        <x:v>盖利德</x:v>
      </x:c>
      <x:c r="C45" s="20" t="str">
        <x:v>鞋子</x:v>
      </x:c>
      <x:c r="D45" s="20" t="n">
        <x:f>COUNTIFS('02_怪物与专属'!$B$5:$B$468,$A45,'02_怪物与专属'!$O$5:$O$468,$C45,'02_怪物与专属'!$K$5:$K$468,"普通")</x:f>
        <x:v>2</x:v>
      </x:c>
      <x:c r="E45" s="20" t="n">
        <x:f>COUNTIFS('02_怪物与专属'!$B$5:$B$468,$A45,'02_怪物与专属'!$O$5:$O$468,$C45,'02_怪物与专属'!$K$5:$K$468,"稀有")</x:f>
        <x:v>0</x:v>
      </x:c>
      <x:c r="F45" s="20" t="n">
        <x:f>COUNTIFS('02_怪物与专属'!$B$5:$B$468,$A45,'02_怪物与专属'!$O$5:$O$468,$C45,'02_怪物与专属'!$K$5:$K$468,"地图BOSS")</x:f>
        <x:v>0</x:v>
      </x:c>
      <x:c r="G45" s="20" t="n">
        <x:f>COUNTIFS('02_怪物与专属'!$B$5:$B$468,$A45,'02_怪物与专属'!$O$5:$O$468,$C45,'02_怪物与专属'!$K$5:$K$468,"守关BOSS")</x:f>
        <x:v>0</x:v>
      </x:c>
      <x:c r="H45" s="20" t="n">
        <x:f>SUM(D45:G45)</x:f>
        <x:v>2</x:v>
      </x:c>
      <x:c r="I45" s="20" t="str">
        <x:v>结构统计；不代表部位强弱</x:v>
      </x:c>
    </x:row>
    <x:row r="46" ht="24" customHeight="1">
      <x:c r="A46" s="20" t="str">
        <x:v>C06</x:v>
      </x:c>
      <x:c r="B46" s="20" t="str">
        <x:v>盖利德</x:v>
      </x:c>
      <x:c r="C46" s="20" t="str">
        <x:v>斗笠</x:v>
      </x:c>
      <x:c r="D46" s="20" t="n">
        <x:f>COUNTIFS('02_怪物与专属'!$B$5:$B$468,$A46,'02_怪物与专属'!$O$5:$O$468,$C46,'02_怪物与专属'!$K$5:$K$468,"普通")</x:f>
        <x:v>1</x:v>
      </x:c>
      <x:c r="E46" s="20" t="n">
        <x:f>COUNTIFS('02_怪物与专属'!$B$5:$B$468,$A46,'02_怪物与专属'!$O$5:$O$468,$C46,'02_怪物与专属'!$K$5:$K$468,"稀有")</x:f>
        <x:v>0</x:v>
      </x:c>
      <x:c r="F46" s="20" t="n">
        <x:f>COUNTIFS('02_怪物与专属'!$B$5:$B$468,$A46,'02_怪物与专属'!$O$5:$O$468,$C46,'02_怪物与专属'!$K$5:$K$468,"地图BOSS")</x:f>
        <x:v>0</x:v>
      </x:c>
      <x:c r="G46" s="20" t="n">
        <x:f>COUNTIFS('02_怪物与专属'!$B$5:$B$468,$A46,'02_怪物与专属'!$O$5:$O$468,$C46,'02_怪物与专属'!$K$5:$K$468,"守关BOSS")</x:f>
        <x:v>0</x:v>
      </x:c>
      <x:c r="H46" s="20" t="n">
        <x:f>SUM(D46:G46)</x:f>
        <x:v>1</x:v>
      </x:c>
      <x:c r="I46" s="20" t="str">
        <x:v>结构统计；不代表部位强弱</x:v>
      </x:c>
    </x:row>
    <x:row r="47" ht="24" customHeight="1">
      <x:c r="A47" s="20" t="str">
        <x:v>C06</x:v>
      </x:c>
      <x:c r="B47" s="20" t="str">
        <x:v>盖利德</x:v>
      </x:c>
      <x:c r="C47" s="20" t="str">
        <x:v>盾牌</x:v>
      </x:c>
      <x:c r="D47" s="20" t="n">
        <x:f>COUNTIFS('02_怪物与专属'!$B$5:$B$468,$A47,'02_怪物与专属'!$O$5:$O$468,$C47,'02_怪物与专属'!$K$5:$K$468,"普通")</x:f>
        <x:v>1</x:v>
      </x:c>
      <x:c r="E47" s="20" t="n">
        <x:f>COUNTIFS('02_怪物与专属'!$B$5:$B$468,$A47,'02_怪物与专属'!$O$5:$O$468,$C47,'02_怪物与专属'!$K$5:$K$468,"稀有")</x:f>
        <x:v>2</x:v>
      </x:c>
      <x:c r="F47" s="20" t="n">
        <x:f>COUNTIFS('02_怪物与专属'!$B$5:$B$468,$A47,'02_怪物与专属'!$O$5:$O$468,$C47,'02_怪物与专属'!$K$5:$K$468,"地图BOSS")</x:f>
        <x:v>0</x:v>
      </x:c>
      <x:c r="G47" s="20" t="n">
        <x:f>COUNTIFS('02_怪物与专属'!$B$5:$B$468,$A47,'02_怪物与专属'!$O$5:$O$468,$C47,'02_怪物与专属'!$K$5:$K$468,"守关BOSS")</x:f>
        <x:v>0</x:v>
      </x:c>
      <x:c r="H47" s="20" t="n">
        <x:f>SUM(D47:G47)</x:f>
        <x:v>3</x:v>
      </x:c>
      <x:c r="I47" s="20" t="str">
        <x:v>结构统计；不代表部位强弱</x:v>
      </x:c>
    </x:row>
    <x:row r="48" ht="24" customHeight="1">
      <x:c r="A48" s="20" t="str">
        <x:v>C06</x:v>
      </x:c>
      <x:c r="B48" s="20" t="str">
        <x:v>盖利德</x:v>
      </x:c>
      <x:c r="C48" s="20" t="str">
        <x:v>勋章</x:v>
      </x:c>
      <x:c r="D48" s="20" t="n">
        <x:f>COUNTIFS('02_怪物与专属'!$B$5:$B$468,$A48,'02_怪物与专属'!$O$5:$O$468,$C48,'02_怪物与专属'!$K$5:$K$468,"普通")</x:f>
        <x:v>0</x:v>
      </x:c>
      <x:c r="E48" s="20" t="n">
        <x:f>COUNTIFS('02_怪物与专属'!$B$5:$B$468,$A48,'02_怪物与专属'!$O$5:$O$468,$C48,'02_怪物与专属'!$K$5:$K$468,"稀有")</x:f>
        <x:v>3</x:v>
      </x:c>
      <x:c r="F48" s="20" t="n">
        <x:f>COUNTIFS('02_怪物与专属'!$B$5:$B$468,$A48,'02_怪物与专属'!$O$5:$O$468,$C48,'02_怪物与专属'!$K$5:$K$468,"地图BOSS")</x:f>
        <x:v>0</x:v>
      </x:c>
      <x:c r="G48" s="20" t="n">
        <x:f>COUNTIFS('02_怪物与专属'!$B$5:$B$468,$A48,'02_怪物与专属'!$O$5:$O$468,$C48,'02_怪物与专属'!$K$5:$K$468,"守关BOSS")</x:f>
        <x:v>0</x:v>
      </x:c>
      <x:c r="H48" s="20" t="n">
        <x:f>SUM(D48:G48)</x:f>
        <x:v>3</x:v>
      </x:c>
      <x:c r="I48" s="20" t="str">
        <x:v>结构统计；不代表部位强弱</x:v>
      </x:c>
    </x:row>
    <x:row r="49" ht="24" customHeight="1">
      <x:c r="A49" s="20" t="str">
        <x:v>C07</x:v>
      </x:c>
      <x:c r="B49" s="20" t="str">
        <x:v>化圣雪原</x:v>
      </x:c>
      <x:c r="C49" s="20" t="str">
        <x:v>武器</x:v>
      </x:c>
      <x:c r="D49" s="20" t="n">
        <x:f>COUNTIFS('02_怪物与专属'!$B$5:$B$468,$A49,'02_怪物与专属'!$O$5:$O$468,$C49,'02_怪物与专属'!$K$5:$K$468,"普通")</x:f>
        <x:v>3</x:v>
      </x:c>
      <x:c r="E49" s="20" t="n">
        <x:f>COUNTIFS('02_怪物与专属'!$B$5:$B$468,$A49,'02_怪物与专属'!$O$5:$O$468,$C49,'02_怪物与专属'!$K$5:$K$468,"稀有")</x:f>
        <x:v>0</x:v>
      </x:c>
      <x:c r="F49" s="20" t="n">
        <x:f>COUNTIFS('02_怪物与专属'!$B$5:$B$468,$A49,'02_怪物与专属'!$O$5:$O$468,$C49,'02_怪物与专属'!$K$5:$K$468,"地图BOSS")</x:f>
        <x:v>2</x:v>
      </x:c>
      <x:c r="G49" s="20" t="n">
        <x:f>COUNTIFS('02_怪物与专属'!$B$5:$B$468,$A49,'02_怪物与专属'!$O$5:$O$468,$C49,'02_怪物与专属'!$K$5:$K$468,"守关BOSS")</x:f>
        <x:v>0</x:v>
      </x:c>
      <x:c r="H49" s="20" t="n">
        <x:f>SUM(D49:G49)</x:f>
        <x:v>5</x:v>
      </x:c>
      <x:c r="I49" s="20" t="str">
        <x:v>结构统计；不代表部位强弱</x:v>
      </x:c>
    </x:row>
    <x:row r="50" ht="24" customHeight="1">
      <x:c r="A50" s="20" t="str">
        <x:v>C07</x:v>
      </x:c>
      <x:c r="B50" s="20" t="str">
        <x:v>化圣雪原</x:v>
      </x:c>
      <x:c r="C50" s="20" t="str">
        <x:v>衣服</x:v>
      </x:c>
      <x:c r="D50" s="20" t="n">
        <x:f>COUNTIFS('02_怪物与专属'!$B$5:$B$468,$A50,'02_怪物与专属'!$O$5:$O$468,$C50,'02_怪物与专属'!$K$5:$K$468,"普通")</x:f>
        <x:v>2</x:v>
      </x:c>
      <x:c r="E50" s="20" t="n">
        <x:f>COUNTIFS('02_怪物与专属'!$B$5:$B$468,$A50,'02_怪物与专属'!$O$5:$O$468,$C50,'02_怪物与专属'!$K$5:$K$468,"稀有")</x:f>
        <x:v>1</x:v>
      </x:c>
      <x:c r="F50" s="20" t="n">
        <x:f>COUNTIFS('02_怪物与专属'!$B$5:$B$468,$A50,'02_怪物与专属'!$O$5:$O$468,$C50,'02_怪物与专属'!$K$5:$K$468,"地图BOSS")</x:f>
        <x:v>1</x:v>
      </x:c>
      <x:c r="G50" s="20" t="n">
        <x:f>COUNTIFS('02_怪物与专属'!$B$5:$B$468,$A50,'02_怪物与专属'!$O$5:$O$468,$C50,'02_怪物与专属'!$K$5:$K$468,"守关BOSS")</x:f>
        <x:v>1</x:v>
      </x:c>
      <x:c r="H50" s="20" t="n">
        <x:f>SUM(D50:G50)</x:f>
        <x:v>5</x:v>
      </x:c>
      <x:c r="I50" s="20" t="str">
        <x:v>结构统计；不代表部位强弱</x:v>
      </x:c>
    </x:row>
    <x:row r="51" ht="24" customHeight="1">
      <x:c r="A51" s="20" t="str">
        <x:v>C07</x:v>
      </x:c>
      <x:c r="B51" s="20" t="str">
        <x:v>化圣雪原</x:v>
      </x:c>
      <x:c r="C51" s="20" t="str">
        <x:v>头盔</x:v>
      </x:c>
      <x:c r="D51" s="20" t="n">
        <x:f>COUNTIFS('02_怪物与专属'!$B$5:$B$468,$A51,'02_怪物与专属'!$O$5:$O$468,$C51,'02_怪物与专属'!$K$5:$K$468,"普通")</x:f>
        <x:v>1</x:v>
      </x:c>
      <x:c r="E51" s="20" t="n">
        <x:f>COUNTIFS('02_怪物与专属'!$B$5:$B$468,$A51,'02_怪物与专属'!$O$5:$O$468,$C51,'02_怪物与专属'!$K$5:$K$468,"稀有")</x:f>
        <x:v>0</x:v>
      </x:c>
      <x:c r="F51" s="20" t="n">
        <x:f>COUNTIFS('02_怪物与专属'!$B$5:$B$468,$A51,'02_怪物与专属'!$O$5:$O$468,$C51,'02_怪物与专属'!$K$5:$K$468,"地图BOSS")</x:f>
        <x:v>3</x:v>
      </x:c>
      <x:c r="G51" s="20" t="n">
        <x:f>COUNTIFS('02_怪物与专属'!$B$5:$B$468,$A51,'02_怪物与专属'!$O$5:$O$468,$C51,'02_怪物与专属'!$K$5:$K$468,"守关BOSS")</x:f>
        <x:v>0</x:v>
      </x:c>
      <x:c r="H51" s="20" t="n">
        <x:f>SUM(D51:G51)</x:f>
        <x:v>4</x:v>
      </x:c>
      <x:c r="I51" s="20" t="str">
        <x:v>结构统计；不代表部位强弱</x:v>
      </x:c>
    </x:row>
    <x:row r="52" ht="24" customHeight="1">
      <x:c r="A52" s="20" t="str">
        <x:v>C07</x:v>
      </x:c>
      <x:c r="B52" s="20" t="str">
        <x:v>化圣雪原</x:v>
      </x:c>
      <x:c r="C52" s="20" t="str">
        <x:v>项链</x:v>
      </x:c>
      <x:c r="D52" s="20" t="n">
        <x:f>COUNTIFS('02_怪物与专属'!$B$5:$B$468,$A52,'02_怪物与专属'!$O$5:$O$468,$C52,'02_怪物与专属'!$K$5:$K$468,"普通")</x:f>
        <x:v>2</x:v>
      </x:c>
      <x:c r="E52" s="20" t="n">
        <x:f>COUNTIFS('02_怪物与专属'!$B$5:$B$468,$A52,'02_怪物与专属'!$O$5:$O$468,$C52,'02_怪物与专属'!$K$5:$K$468,"稀有")</x:f>
        <x:v>1</x:v>
      </x:c>
      <x:c r="F52" s="20" t="n">
        <x:f>COUNTIFS('02_怪物与专属'!$B$5:$B$468,$A52,'02_怪物与专属'!$O$5:$O$468,$C52,'02_怪物与专属'!$K$5:$K$468,"地图BOSS")</x:f>
        <x:v>0</x:v>
      </x:c>
      <x:c r="G52" s="20" t="n">
        <x:f>COUNTIFS('02_怪物与专属'!$B$5:$B$468,$A52,'02_怪物与专属'!$O$5:$O$468,$C52,'02_怪物与专属'!$K$5:$K$468,"守关BOSS")</x:f>
        <x:v>0</x:v>
      </x:c>
      <x:c r="H52" s="20" t="n">
        <x:f>SUM(D52:G52)</x:f>
        <x:v>3</x:v>
      </x:c>
      <x:c r="I52" s="20" t="str">
        <x:v>结构统计；不代表部位强弱</x:v>
      </x:c>
    </x:row>
    <x:row r="53" ht="24" customHeight="1">
      <x:c r="A53" s="20" t="str">
        <x:v>C07</x:v>
      </x:c>
      <x:c r="B53" s="20" t="str">
        <x:v>化圣雪原</x:v>
      </x:c>
      <x:c r="C53" s="20" t="str">
        <x:v>手镯</x:v>
      </x:c>
      <x:c r="D53" s="20" t="n">
        <x:f>COUNTIFS('02_怪物与专属'!$B$5:$B$468,$A53,'02_怪物与专属'!$O$5:$O$468,$C53,'02_怪物与专属'!$K$5:$K$468,"普通")</x:f>
        <x:v>3</x:v>
      </x:c>
      <x:c r="E53" s="20" t="n">
        <x:f>COUNTIFS('02_怪物与专属'!$B$5:$B$468,$A53,'02_怪物与专属'!$O$5:$O$468,$C53,'02_怪物与专属'!$K$5:$K$468,"稀有")</x:f>
        <x:v>0</x:v>
      </x:c>
      <x:c r="F53" s="20" t="n">
        <x:f>COUNTIFS('02_怪物与专属'!$B$5:$B$468,$A53,'02_怪物与专属'!$O$5:$O$468,$C53,'02_怪物与专属'!$K$5:$K$468,"地图BOSS")</x:f>
        <x:v>0</x:v>
      </x:c>
      <x:c r="G53" s="20" t="n">
        <x:f>COUNTIFS('02_怪物与专属'!$B$5:$B$468,$A53,'02_怪物与专属'!$O$5:$O$468,$C53,'02_怪物与专属'!$K$5:$K$468,"守关BOSS")</x:f>
        <x:v>0</x:v>
      </x:c>
      <x:c r="H53" s="20" t="n">
        <x:f>SUM(D53:G53)</x:f>
        <x:v>3</x:v>
      </x:c>
      <x:c r="I53" s="20" t="str">
        <x:v>结构统计；不代表部位强弱</x:v>
      </x:c>
    </x:row>
    <x:row r="54" ht="24" customHeight="1">
      <x:c r="A54" s="20" t="str">
        <x:v>C07</x:v>
      </x:c>
      <x:c r="B54" s="20" t="str">
        <x:v>化圣雪原</x:v>
      </x:c>
      <x:c r="C54" s="20" t="str">
        <x:v>戒指</x:v>
      </x:c>
      <x:c r="D54" s="20" t="n">
        <x:f>COUNTIFS('02_怪物与专属'!$B$5:$B$468,$A54,'02_怪物与专属'!$O$5:$O$468,$C54,'02_怪物与专属'!$K$5:$K$468,"普通")</x:f>
        <x:v>3</x:v>
      </x:c>
      <x:c r="E54" s="20" t="n">
        <x:f>COUNTIFS('02_怪物与专属'!$B$5:$B$468,$A54,'02_怪物与专属'!$O$5:$O$468,$C54,'02_怪物与专属'!$K$5:$K$468,"稀有")</x:f>
        <x:v>0</x:v>
      </x:c>
      <x:c r="F54" s="20" t="n">
        <x:f>COUNTIFS('02_怪物与专属'!$B$5:$B$468,$A54,'02_怪物与专属'!$O$5:$O$468,$C54,'02_怪物与专属'!$K$5:$K$468,"地图BOSS")</x:f>
        <x:v>0</x:v>
      </x:c>
      <x:c r="G54" s="20" t="n">
        <x:f>COUNTIFS('02_怪物与专属'!$B$5:$B$468,$A54,'02_怪物与专属'!$O$5:$O$468,$C54,'02_怪物与专属'!$K$5:$K$468,"守关BOSS")</x:f>
        <x:v>0</x:v>
      </x:c>
      <x:c r="H54" s="20" t="n">
        <x:f>SUM(D54:G54)</x:f>
        <x:v>3</x:v>
      </x:c>
      <x:c r="I54" s="20" t="str">
        <x:v>结构统计；不代表部位强弱</x:v>
      </x:c>
    </x:row>
    <x:row r="55" ht="24" customHeight="1">
      <x:c r="A55" s="20" t="str">
        <x:v>C07</x:v>
      </x:c>
      <x:c r="B55" s="20" t="str">
        <x:v>化圣雪原</x:v>
      </x:c>
      <x:c r="C55" s="20" t="str">
        <x:v>腰带</x:v>
      </x:c>
      <x:c r="D55" s="20" t="n">
        <x:f>COUNTIFS('02_怪物与专属'!$B$5:$B$468,$A55,'02_怪物与专属'!$O$5:$O$468,$C55,'02_怪物与专属'!$K$5:$K$468,"普通")</x:f>
        <x:v>2</x:v>
      </x:c>
      <x:c r="E55" s="20" t="n">
        <x:f>COUNTIFS('02_怪物与专属'!$B$5:$B$468,$A55,'02_怪物与专属'!$O$5:$O$468,$C55,'02_怪物与专属'!$K$5:$K$468,"稀有")</x:f>
        <x:v>1</x:v>
      </x:c>
      <x:c r="F55" s="20" t="n">
        <x:f>COUNTIFS('02_怪物与专属'!$B$5:$B$468,$A55,'02_怪物与专属'!$O$5:$O$468,$C55,'02_怪物与专属'!$K$5:$K$468,"地图BOSS")</x:f>
        <x:v>0</x:v>
      </x:c>
      <x:c r="G55" s="20" t="n">
        <x:f>COUNTIFS('02_怪物与专属'!$B$5:$B$468,$A55,'02_怪物与专属'!$O$5:$O$468,$C55,'02_怪物与专属'!$K$5:$K$468,"守关BOSS")</x:f>
        <x:v>0</x:v>
      </x:c>
      <x:c r="H55" s="20" t="n">
        <x:f>SUM(D55:G55)</x:f>
        <x:v>3</x:v>
      </x:c>
      <x:c r="I55" s="20" t="str">
        <x:v>结构统计；不代表部位强弱</x:v>
      </x:c>
    </x:row>
    <x:row r="56" ht="24" customHeight="1">
      <x:c r="A56" s="20" t="str">
        <x:v>C07</x:v>
      </x:c>
      <x:c r="B56" s="20" t="str">
        <x:v>化圣雪原</x:v>
      </x:c>
      <x:c r="C56" s="20" t="str">
        <x:v>鞋子</x:v>
      </x:c>
      <x:c r="D56" s="20" t="n">
        <x:f>COUNTIFS('02_怪物与专属'!$B$5:$B$468,$A56,'02_怪物与专属'!$O$5:$O$468,$C56,'02_怪物与专属'!$K$5:$K$468,"普通")</x:f>
        <x:v>0</x:v>
      </x:c>
      <x:c r="E56" s="20" t="n">
        <x:f>COUNTIFS('02_怪物与专属'!$B$5:$B$468,$A56,'02_怪物与专属'!$O$5:$O$468,$C56,'02_怪物与专属'!$K$5:$K$468,"稀有")</x:f>
        <x:v>3</x:v>
      </x:c>
      <x:c r="F56" s="20" t="n">
        <x:f>COUNTIFS('02_怪物与专属'!$B$5:$B$468,$A56,'02_怪物与专属'!$O$5:$O$468,$C56,'02_怪物与专属'!$K$5:$K$468,"地图BOSS")</x:f>
        <x:v>0</x:v>
      </x:c>
      <x:c r="G56" s="20" t="n">
        <x:f>COUNTIFS('02_怪物与专属'!$B$5:$B$468,$A56,'02_怪物与专属'!$O$5:$O$468,$C56,'02_怪物与专属'!$K$5:$K$468,"守关BOSS")</x:f>
        <x:v>0</x:v>
      </x:c>
      <x:c r="H56" s="20" t="n">
        <x:f>SUM(D56:G56)</x:f>
        <x:v>3</x:v>
      </x:c>
      <x:c r="I56" s="20" t="str">
        <x:v>结构统计；不代表部位强弱</x:v>
      </x:c>
    </x:row>
    <x:row r="57" ht="24" customHeight="1">
      <x:c r="A57" s="20" t="str">
        <x:v>C07</x:v>
      </x:c>
      <x:c r="B57" s="20" t="str">
        <x:v>化圣雪原</x:v>
      </x:c>
      <x:c r="C57" s="20" t="str">
        <x:v>斗笠</x:v>
      </x:c>
      <x:c r="D57" s="20" t="n">
        <x:f>COUNTIFS('02_怪物与专属'!$B$5:$B$468,$A57,'02_怪物与专属'!$O$5:$O$468,$C57,'02_怪物与专属'!$K$5:$K$468,"普通")</x:f>
        <x:v>2</x:v>
      </x:c>
      <x:c r="E57" s="20" t="n">
        <x:f>COUNTIFS('02_怪物与专属'!$B$5:$B$468,$A57,'02_怪物与专属'!$O$5:$O$468,$C57,'02_怪物与专属'!$K$5:$K$468,"稀有")</x:f>
        <x:v>0</x:v>
      </x:c>
      <x:c r="F57" s="20" t="n">
        <x:f>COUNTIFS('02_怪物与专属'!$B$5:$B$468,$A57,'02_怪物与专属'!$O$5:$O$468,$C57,'02_怪物与专属'!$K$5:$K$468,"地图BOSS")</x:f>
        <x:v>0</x:v>
      </x:c>
      <x:c r="G57" s="20" t="n">
        <x:f>COUNTIFS('02_怪物与专属'!$B$5:$B$468,$A57,'02_怪物与专属'!$O$5:$O$468,$C57,'02_怪物与专属'!$K$5:$K$468,"守关BOSS")</x:f>
        <x:v>0</x:v>
      </x:c>
      <x:c r="H57" s="20" t="n">
        <x:f>SUM(D57:G57)</x:f>
        <x:v>2</x:v>
      </x:c>
      <x:c r="I57" s="20" t="str">
        <x:v>结构统计；不代表部位强弱</x:v>
      </x:c>
    </x:row>
    <x:row r="58" ht="24" customHeight="1">
      <x:c r="A58" s="20" t="str">
        <x:v>C07</x:v>
      </x:c>
      <x:c r="B58" s="20" t="str">
        <x:v>化圣雪原</x:v>
      </x:c>
      <x:c r="C58" s="20" t="str">
        <x:v>盾牌</x:v>
      </x:c>
      <x:c r="D58" s="20" t="n">
        <x:f>COUNTIFS('02_怪物与专属'!$B$5:$B$468,$A58,'02_怪物与专属'!$O$5:$O$468,$C58,'02_怪物与专属'!$K$5:$K$468,"普通")</x:f>
        <x:v>0</x:v>
      </x:c>
      <x:c r="E58" s="20" t="n">
        <x:f>COUNTIFS('02_怪物与专属'!$B$5:$B$468,$A58,'02_怪物与专属'!$O$5:$O$468,$C58,'02_怪物与专属'!$K$5:$K$468,"稀有")</x:f>
        <x:v>3</x:v>
      </x:c>
      <x:c r="F58" s="20" t="n">
        <x:f>COUNTIFS('02_怪物与专属'!$B$5:$B$468,$A58,'02_怪物与专属'!$O$5:$O$468,$C58,'02_怪物与专属'!$K$5:$K$468,"地图BOSS")</x:f>
        <x:v>0</x:v>
      </x:c>
      <x:c r="G58" s="20" t="n">
        <x:f>COUNTIFS('02_怪物与专属'!$B$5:$B$468,$A58,'02_怪物与专属'!$O$5:$O$468,$C58,'02_怪物与专属'!$K$5:$K$468,"守关BOSS")</x:f>
        <x:v>0</x:v>
      </x:c>
      <x:c r="H58" s="20" t="n">
        <x:f>SUM(D58:G58)</x:f>
        <x:v>3</x:v>
      </x:c>
      <x:c r="I58" s="20" t="str">
        <x:v>结构统计；不代表部位强弱</x:v>
      </x:c>
    </x:row>
    <x:row r="59" ht="24" customHeight="1">
      <x:c r="A59" s="20" t="str">
        <x:v>C07</x:v>
      </x:c>
      <x:c r="B59" s="20" t="str">
        <x:v>化圣雪原</x:v>
      </x:c>
      <x:c r="C59" s="20" t="str">
        <x:v>勋章</x:v>
      </x:c>
      <x:c r="D59" s="20" t="n">
        <x:f>COUNTIFS('02_怪物与专属'!$B$5:$B$468,$A59,'02_怪物与专属'!$O$5:$O$468,$C59,'02_怪物与专属'!$K$5:$K$468,"普通")</x:f>
        <x:v>0</x:v>
      </x:c>
      <x:c r="E59" s="20" t="n">
        <x:f>COUNTIFS('02_怪物与专属'!$B$5:$B$468,$A59,'02_怪物与专属'!$O$5:$O$468,$C59,'02_怪物与专属'!$K$5:$K$468,"稀有")</x:f>
        <x:v>3</x:v>
      </x:c>
      <x:c r="F59" s="20" t="n">
        <x:f>COUNTIFS('02_怪物与专属'!$B$5:$B$468,$A59,'02_怪物与专属'!$O$5:$O$468,$C59,'02_怪物与专属'!$K$5:$K$468,"地图BOSS")</x:f>
        <x:v>0</x:v>
      </x:c>
      <x:c r="G59" s="20" t="n">
        <x:f>COUNTIFS('02_怪物与专属'!$B$5:$B$468,$A59,'02_怪物与专属'!$O$5:$O$468,$C59,'02_怪物与专属'!$K$5:$K$468,"守关BOSS")</x:f>
        <x:v>0</x:v>
      </x:c>
      <x:c r="H59" s="20" t="n">
        <x:f>SUM(D59:G59)</x:f>
        <x:v>3</x:v>
      </x:c>
      <x:c r="I59" s="20" t="str">
        <x:v>结构统计；不代表部位强弱</x:v>
      </x:c>
    </x:row>
    <x:row r="60" ht="24" customHeight="1">
      <x:c r="A60" s="20" t="str">
        <x:v>C08</x:v>
      </x:c>
      <x:c r="B60" s="20" t="str">
        <x:v>巨人山顶</x:v>
      </x:c>
      <x:c r="C60" s="20" t="str">
        <x:v>武器</x:v>
      </x:c>
      <x:c r="D60" s="20" t="n">
        <x:f>COUNTIFS('02_怪物与专属'!$B$5:$B$468,$A60,'02_怪物与专属'!$O$5:$O$468,$C60,'02_怪物与专属'!$K$5:$K$468,"普通")</x:f>
        <x:v>4</x:v>
      </x:c>
      <x:c r="E60" s="20" t="n">
        <x:f>COUNTIFS('02_怪物与专属'!$B$5:$B$468,$A60,'02_怪物与专属'!$O$5:$O$468,$C60,'02_怪物与专属'!$K$5:$K$468,"稀有")</x:f>
        <x:v>0</x:v>
      </x:c>
      <x:c r="F60" s="20" t="n">
        <x:f>COUNTIFS('02_怪物与专属'!$B$5:$B$468,$A60,'02_怪物与专属'!$O$5:$O$468,$C60,'02_怪物与专属'!$K$5:$K$468,"地图BOSS")</x:f>
        <x:v>4</x:v>
      </x:c>
      <x:c r="G60" s="20" t="n">
        <x:f>COUNTIFS('02_怪物与专属'!$B$5:$B$468,$A60,'02_怪物与专属'!$O$5:$O$468,$C60,'02_怪物与专属'!$K$5:$K$468,"守关BOSS")</x:f>
        <x:v>1</x:v>
      </x:c>
      <x:c r="H60" s="20" t="n">
        <x:f>SUM(D60:G60)</x:f>
        <x:v>9</x:v>
      </x:c>
      <x:c r="I60" s="20" t="str">
        <x:v>结构统计；不代表部位强弱</x:v>
      </x:c>
    </x:row>
    <x:row r="61" ht="24" customHeight="1">
      <x:c r="A61" s="20" t="str">
        <x:v>C08</x:v>
      </x:c>
      <x:c r="B61" s="20" t="str">
        <x:v>巨人山顶</x:v>
      </x:c>
      <x:c r="C61" s="20" t="str">
        <x:v>衣服</x:v>
      </x:c>
      <x:c r="D61" s="20" t="n">
        <x:f>COUNTIFS('02_怪物与专属'!$B$5:$B$468,$A61,'02_怪物与专属'!$O$5:$O$468,$C61,'02_怪物与专属'!$K$5:$K$468,"普通")</x:f>
        <x:v>3</x:v>
      </x:c>
      <x:c r="E61" s="20" t="n">
        <x:f>COUNTIFS('02_怪物与专属'!$B$5:$B$468,$A61,'02_怪物与专属'!$O$5:$O$468,$C61,'02_怪物与专属'!$K$5:$K$468,"稀有")</x:f>
        <x:v>1</x:v>
      </x:c>
      <x:c r="F61" s="20" t="n">
        <x:f>COUNTIFS('02_怪物与专属'!$B$5:$B$468,$A61,'02_怪物与专属'!$O$5:$O$468,$C61,'02_怪物与专属'!$K$5:$K$468,"地图BOSS")</x:f>
        <x:v>4</x:v>
      </x:c>
      <x:c r="G61" s="20" t="n">
        <x:f>COUNTIFS('02_怪物与专属'!$B$5:$B$468,$A61,'02_怪物与专属'!$O$5:$O$468,$C61,'02_怪物与专属'!$K$5:$K$468,"守关BOSS")</x:f>
        <x:v>0</x:v>
      </x:c>
      <x:c r="H61" s="20" t="n">
        <x:f>SUM(D61:G61)</x:f>
        <x:v>8</x:v>
      </x:c>
      <x:c r="I61" s="20" t="str">
        <x:v>结构统计；不代表部位强弱</x:v>
      </x:c>
    </x:row>
    <x:row r="62" ht="24" customHeight="1">
      <x:c r="A62" s="20" t="str">
        <x:v>C08</x:v>
      </x:c>
      <x:c r="B62" s="20" t="str">
        <x:v>巨人山顶</x:v>
      </x:c>
      <x:c r="C62" s="20" t="str">
        <x:v>头盔</x:v>
      </x:c>
      <x:c r="D62" s="20" t="n">
        <x:f>COUNTIFS('02_怪物与专属'!$B$5:$B$468,$A62,'02_怪物与专属'!$O$5:$O$468,$C62,'02_怪物与专属'!$K$5:$K$468,"普通")</x:f>
        <x:v>1</x:v>
      </x:c>
      <x:c r="E62" s="20" t="n">
        <x:f>COUNTIFS('02_怪物与专属'!$B$5:$B$468,$A62,'02_怪物与专属'!$O$5:$O$468,$C62,'02_怪物与专属'!$K$5:$K$468,"稀有")</x:f>
        <x:v>3</x:v>
      </x:c>
      <x:c r="F62" s="20" t="n">
        <x:f>COUNTIFS('02_怪物与专属'!$B$5:$B$468,$A62,'02_怪物与专属'!$O$5:$O$468,$C62,'02_怪物与专属'!$K$5:$K$468,"地图BOSS")</x:f>
        <x:v>0</x:v>
      </x:c>
      <x:c r="G62" s="20" t="n">
        <x:f>COUNTIFS('02_怪物与专属'!$B$5:$B$468,$A62,'02_怪物与专属'!$O$5:$O$468,$C62,'02_怪物与专属'!$K$5:$K$468,"守关BOSS")</x:f>
        <x:v>0</x:v>
      </x:c>
      <x:c r="H62" s="20" t="n">
        <x:f>SUM(D62:G62)</x:f>
        <x:v>4</x:v>
      </x:c>
      <x:c r="I62" s="20" t="str">
        <x:v>结构统计；不代表部位强弱</x:v>
      </x:c>
    </x:row>
    <x:row r="63" ht="24" customHeight="1">
      <x:c r="A63" s="20" t="str">
        <x:v>C08</x:v>
      </x:c>
      <x:c r="B63" s="20" t="str">
        <x:v>巨人山顶</x:v>
      </x:c>
      <x:c r="C63" s="20" t="str">
        <x:v>项链</x:v>
      </x:c>
      <x:c r="D63" s="20" t="n">
        <x:f>COUNTIFS('02_怪物与专属'!$B$5:$B$468,$A63,'02_怪物与专属'!$O$5:$O$468,$C63,'02_怪物与专属'!$K$5:$K$468,"普通")</x:f>
        <x:v>4</x:v>
      </x:c>
      <x:c r="E63" s="20" t="n">
        <x:f>COUNTIFS('02_怪物与专属'!$B$5:$B$468,$A63,'02_怪物与专属'!$O$5:$O$468,$C63,'02_怪物与专属'!$K$5:$K$468,"稀有")</x:f>
        <x:v>0</x:v>
      </x:c>
      <x:c r="F63" s="20" t="n">
        <x:f>COUNTIFS('02_怪物与专属'!$B$5:$B$468,$A63,'02_怪物与专属'!$O$5:$O$468,$C63,'02_怪物与专属'!$K$5:$K$468,"地图BOSS")</x:f>
        <x:v>0</x:v>
      </x:c>
      <x:c r="G63" s="20" t="n">
        <x:f>COUNTIFS('02_怪物与专属'!$B$5:$B$468,$A63,'02_怪物与专属'!$O$5:$O$468,$C63,'02_怪物与专属'!$K$5:$K$468,"守关BOSS")</x:f>
        <x:v>0</x:v>
      </x:c>
      <x:c r="H63" s="20" t="n">
        <x:f>SUM(D63:G63)</x:f>
        <x:v>4</x:v>
      </x:c>
      <x:c r="I63" s="20" t="str">
        <x:v>结构统计；不代表部位强弱</x:v>
      </x:c>
    </x:row>
    <x:row r="64" ht="24" customHeight="1">
      <x:c r="A64" s="20" t="str">
        <x:v>C08</x:v>
      </x:c>
      <x:c r="B64" s="20" t="str">
        <x:v>巨人山顶</x:v>
      </x:c>
      <x:c r="C64" s="20" t="str">
        <x:v>手镯</x:v>
      </x:c>
      <x:c r="D64" s="20" t="n">
        <x:f>COUNTIFS('02_怪物与专属'!$B$5:$B$468,$A64,'02_怪物与专属'!$O$5:$O$468,$C64,'02_怪物与专属'!$K$5:$K$468,"普通")</x:f>
        <x:v>3</x:v>
      </x:c>
      <x:c r="E64" s="20" t="n">
        <x:f>COUNTIFS('02_怪物与专属'!$B$5:$B$468,$A64,'02_怪物与专属'!$O$5:$O$468,$C64,'02_怪物与专属'!$K$5:$K$468,"稀有")</x:f>
        <x:v>1</x:v>
      </x:c>
      <x:c r="F64" s="20" t="n">
        <x:f>COUNTIFS('02_怪物与专属'!$B$5:$B$468,$A64,'02_怪物与专属'!$O$5:$O$468,$C64,'02_怪物与专属'!$K$5:$K$468,"地图BOSS")</x:f>
        <x:v>0</x:v>
      </x:c>
      <x:c r="G64" s="20" t="n">
        <x:f>COUNTIFS('02_怪物与专属'!$B$5:$B$468,$A64,'02_怪物与专属'!$O$5:$O$468,$C64,'02_怪物与专属'!$K$5:$K$468,"守关BOSS")</x:f>
        <x:v>0</x:v>
      </x:c>
      <x:c r="H64" s="20" t="n">
        <x:f>SUM(D64:G64)</x:f>
        <x:v>4</x:v>
      </x:c>
      <x:c r="I64" s="20" t="str">
        <x:v>结构统计；不代表部位强弱</x:v>
      </x:c>
    </x:row>
    <x:row r="65" ht="24" customHeight="1">
      <x:c r="A65" s="20" t="str">
        <x:v>C08</x:v>
      </x:c>
      <x:c r="B65" s="20" t="str">
        <x:v>巨人山顶</x:v>
      </x:c>
      <x:c r="C65" s="20" t="str">
        <x:v>戒指</x:v>
      </x:c>
      <x:c r="D65" s="20" t="n">
        <x:f>COUNTIFS('02_怪物与专属'!$B$5:$B$468,$A65,'02_怪物与专属'!$O$5:$O$468,$C65,'02_怪物与专属'!$K$5:$K$468,"普通")</x:f>
        <x:v>0</x:v>
      </x:c>
      <x:c r="E65" s="20" t="n">
        <x:f>COUNTIFS('02_怪物与专属'!$B$5:$B$468,$A65,'02_怪物与专属'!$O$5:$O$468,$C65,'02_怪物与专属'!$K$5:$K$468,"稀有")</x:f>
        <x:v>4</x:v>
      </x:c>
      <x:c r="F65" s="20" t="n">
        <x:f>COUNTIFS('02_怪物与专属'!$B$5:$B$468,$A65,'02_怪物与专属'!$O$5:$O$468,$C65,'02_怪物与专属'!$K$5:$K$468,"地图BOSS")</x:f>
        <x:v>0</x:v>
      </x:c>
      <x:c r="G65" s="20" t="n">
        <x:f>COUNTIFS('02_怪物与专属'!$B$5:$B$468,$A65,'02_怪物与专属'!$O$5:$O$468,$C65,'02_怪物与专属'!$K$5:$K$468,"守关BOSS")</x:f>
        <x:v>0</x:v>
      </x:c>
      <x:c r="H65" s="20" t="n">
        <x:f>SUM(D65:G65)</x:f>
        <x:v>4</x:v>
      </x:c>
      <x:c r="I65" s="20" t="str">
        <x:v>结构统计；不代表部位强弱</x:v>
      </x:c>
    </x:row>
    <x:row r="66" ht="24" customHeight="1">
      <x:c r="A66" s="20" t="str">
        <x:v>C08</x:v>
      </x:c>
      <x:c r="B66" s="20" t="str">
        <x:v>巨人山顶</x:v>
      </x:c>
      <x:c r="C66" s="20" t="str">
        <x:v>腰带</x:v>
      </x:c>
      <x:c r="D66" s="20" t="n">
        <x:f>COUNTIFS('02_怪物与专属'!$B$5:$B$468,$A66,'02_怪物与专属'!$O$5:$O$468,$C66,'02_怪物与专属'!$K$5:$K$468,"普通")</x:f>
        <x:v>1</x:v>
      </x:c>
      <x:c r="E66" s="20" t="n">
        <x:f>COUNTIFS('02_怪物与专属'!$B$5:$B$468,$A66,'02_怪物与专属'!$O$5:$O$468,$C66,'02_怪物与专属'!$K$5:$K$468,"稀有")</x:f>
        <x:v>3</x:v>
      </x:c>
      <x:c r="F66" s="20" t="n">
        <x:f>COUNTIFS('02_怪物与专属'!$B$5:$B$468,$A66,'02_怪物与专属'!$O$5:$O$468,$C66,'02_怪物与专属'!$K$5:$K$468,"地图BOSS")</x:f>
        <x:v>0</x:v>
      </x:c>
      <x:c r="G66" s="20" t="n">
        <x:f>COUNTIFS('02_怪物与专属'!$B$5:$B$468,$A66,'02_怪物与专属'!$O$5:$O$468,$C66,'02_怪物与专属'!$K$5:$K$468,"守关BOSS")</x:f>
        <x:v>0</x:v>
      </x:c>
      <x:c r="H66" s="20" t="n">
        <x:f>SUM(D66:G66)</x:f>
        <x:v>4</x:v>
      </x:c>
      <x:c r="I66" s="20" t="str">
        <x:v>结构统计；不代表部位强弱</x:v>
      </x:c>
    </x:row>
    <x:row r="67" ht="24" customHeight="1">
      <x:c r="A67" s="20" t="str">
        <x:v>C08</x:v>
      </x:c>
      <x:c r="B67" s="20" t="str">
        <x:v>巨人山顶</x:v>
      </x:c>
      <x:c r="C67" s="20" t="str">
        <x:v>鞋子</x:v>
      </x:c>
      <x:c r="D67" s="20" t="n">
        <x:f>COUNTIFS('02_怪物与专属'!$B$5:$B$468,$A67,'02_怪物与专属'!$O$5:$O$468,$C67,'02_怪物与专属'!$K$5:$K$468,"普通")</x:f>
        <x:v>4</x:v>
      </x:c>
      <x:c r="E67" s="20" t="n">
        <x:f>COUNTIFS('02_怪物与专属'!$B$5:$B$468,$A67,'02_怪物与专属'!$O$5:$O$468,$C67,'02_怪物与专属'!$K$5:$K$468,"稀有")</x:f>
        <x:v>0</x:v>
      </x:c>
      <x:c r="F67" s="20" t="n">
        <x:f>COUNTIFS('02_怪物与专属'!$B$5:$B$468,$A67,'02_怪物与专属'!$O$5:$O$468,$C67,'02_怪物与专属'!$K$5:$K$468,"地图BOSS")</x:f>
        <x:v>0</x:v>
      </x:c>
      <x:c r="G67" s="20" t="n">
        <x:f>COUNTIFS('02_怪物与专属'!$B$5:$B$468,$A67,'02_怪物与专属'!$O$5:$O$468,$C67,'02_怪物与专属'!$K$5:$K$468,"守关BOSS")</x:f>
        <x:v>0</x:v>
      </x:c>
      <x:c r="H67" s="20" t="n">
        <x:f>SUM(D67:G67)</x:f>
        <x:v>4</x:v>
      </x:c>
      <x:c r="I67" s="20" t="str">
        <x:v>结构统计；不代表部位强弱</x:v>
      </x:c>
    </x:row>
    <x:row r="68" ht="24" customHeight="1">
      <x:c r="A68" s="20" t="str">
        <x:v>C08</x:v>
      </x:c>
      <x:c r="B68" s="20" t="str">
        <x:v>巨人山顶</x:v>
      </x:c>
      <x:c r="C68" s="20" t="str">
        <x:v>斗笠</x:v>
      </x:c>
      <x:c r="D68" s="20" t="n">
        <x:f>COUNTIFS('02_怪物与专属'!$B$5:$B$468,$A68,'02_怪物与专属'!$O$5:$O$468,$C68,'02_怪物与专属'!$K$5:$K$468,"普通")</x:f>
        <x:v>0</x:v>
      </x:c>
      <x:c r="E68" s="20" t="n">
        <x:f>COUNTIFS('02_怪物与专属'!$B$5:$B$468,$A68,'02_怪物与专属'!$O$5:$O$468,$C68,'02_怪物与专属'!$K$5:$K$468,"稀有")</x:f>
        <x:v>4</x:v>
      </x:c>
      <x:c r="F68" s="20" t="n">
        <x:f>COUNTIFS('02_怪物与专属'!$B$5:$B$468,$A68,'02_怪物与专属'!$O$5:$O$468,$C68,'02_怪物与专属'!$K$5:$K$468,"地图BOSS")</x:f>
        <x:v>0</x:v>
      </x:c>
      <x:c r="G68" s="20" t="n">
        <x:f>COUNTIFS('02_怪物与专属'!$B$5:$B$468,$A68,'02_怪物与专属'!$O$5:$O$468,$C68,'02_怪物与专属'!$K$5:$K$468,"守关BOSS")</x:f>
        <x:v>0</x:v>
      </x:c>
      <x:c r="H68" s="20" t="n">
        <x:f>SUM(D68:G68)</x:f>
        <x:v>4</x:v>
      </x:c>
      <x:c r="I68" s="20" t="str">
        <x:v>结构统计；不代表部位强弱</x:v>
      </x:c>
    </x:row>
    <x:row r="69" ht="24" customHeight="1">
      <x:c r="A69" s="20" t="str">
        <x:v>C08</x:v>
      </x:c>
      <x:c r="B69" s="20" t="str">
        <x:v>巨人山顶</x:v>
      </x:c>
      <x:c r="C69" s="20" t="str">
        <x:v>盾牌</x:v>
      </x:c>
      <x:c r="D69" s="20" t="n">
        <x:f>COUNTIFS('02_怪物与专属'!$B$5:$B$468,$A69,'02_怪物与专属'!$O$5:$O$468,$C69,'02_怪物与专属'!$K$5:$K$468,"普通")</x:f>
        <x:v>4</x:v>
      </x:c>
      <x:c r="E69" s="20" t="n">
        <x:f>COUNTIFS('02_怪物与专属'!$B$5:$B$468,$A69,'02_怪物与专属'!$O$5:$O$468,$C69,'02_怪物与专属'!$K$5:$K$468,"稀有")</x:f>
        <x:v>0</x:v>
      </x:c>
      <x:c r="F69" s="20" t="n">
        <x:f>COUNTIFS('02_怪物与专属'!$B$5:$B$468,$A69,'02_怪物与专属'!$O$5:$O$468,$C69,'02_怪物与专属'!$K$5:$K$468,"地图BOSS")</x:f>
        <x:v>0</x:v>
      </x:c>
      <x:c r="G69" s="20" t="n">
        <x:f>COUNTIFS('02_怪物与专属'!$B$5:$B$468,$A69,'02_怪物与专属'!$O$5:$O$468,$C69,'02_怪物与专属'!$K$5:$K$468,"守关BOSS")</x:f>
        <x:v>0</x:v>
      </x:c>
      <x:c r="H69" s="20" t="n">
        <x:f>SUM(D69:G69)</x:f>
        <x:v>4</x:v>
      </x:c>
      <x:c r="I69" s="20" t="str">
        <x:v>结构统计；不代表部位强弱</x:v>
      </x:c>
    </x:row>
    <x:row r="70" ht="24" customHeight="1">
      <x:c r="A70" s="20" t="str">
        <x:v>C08</x:v>
      </x:c>
      <x:c r="B70" s="20" t="str">
        <x:v>巨人山顶</x:v>
      </x:c>
      <x:c r="C70" s="20" t="str">
        <x:v>勋章</x:v>
      </x:c>
      <x:c r="D70" s="20" t="n">
        <x:f>COUNTIFS('02_怪物与专属'!$B$5:$B$468,$A70,'02_怪物与专属'!$O$5:$O$468,$C70,'02_怪物与专属'!$K$5:$K$468,"普通")</x:f>
        <x:v>0</x:v>
      </x:c>
      <x:c r="E70" s="20" t="n">
        <x:f>COUNTIFS('02_怪物与专属'!$B$5:$B$468,$A70,'02_怪物与专属'!$O$5:$O$468,$C70,'02_怪物与专属'!$K$5:$K$468,"稀有")</x:f>
        <x:v>0</x:v>
      </x:c>
      <x:c r="F70" s="20" t="n">
        <x:f>COUNTIFS('02_怪物与专属'!$B$5:$B$468,$A70,'02_怪物与专属'!$O$5:$O$468,$C70,'02_怪物与专属'!$K$5:$K$468,"地图BOSS")</x:f>
        <x:v>0</x:v>
      </x:c>
      <x:c r="G70" s="20" t="n">
        <x:f>COUNTIFS('02_怪物与专属'!$B$5:$B$468,$A70,'02_怪物与专属'!$O$5:$O$468,$C70,'02_怪物与专属'!$K$5:$K$468,"守关BOSS")</x:f>
        <x:v>0</x:v>
      </x:c>
      <x:c r="H70" s="20" t="n">
        <x:f>SUM(D70:G70)</x:f>
        <x:v>0</x:v>
      </x:c>
      <x:c r="I70" s="20" t="str">
        <x:v>结构统计；不代表部位强弱</x:v>
      </x:c>
    </x:row>
    <x:row r="71" ht="24" customHeight="1">
      <x:c r="A71" s="20" t="str">
        <x:v>C09</x:v>
      </x:c>
      <x:c r="B71" s="20" t="str">
        <x:v>亚坛高原</x:v>
      </x:c>
      <x:c r="C71" s="20" t="str">
        <x:v>武器</x:v>
      </x:c>
      <x:c r="D71" s="20" t="n">
        <x:f>COUNTIFS('02_怪物与专属'!$B$5:$B$468,$A71,'02_怪物与专属'!$O$5:$O$468,$C71,'02_怪物与专属'!$K$5:$K$468,"普通")</x:f>
        <x:v>5</x:v>
      </x:c>
      <x:c r="E71" s="20" t="n">
        <x:f>COUNTIFS('02_怪物与专属'!$B$5:$B$468,$A71,'02_怪物与专属'!$O$5:$O$468,$C71,'02_怪物与专属'!$K$5:$K$468,"稀有")</x:f>
        <x:v>0</x:v>
      </x:c>
      <x:c r="F71" s="20" t="n">
        <x:f>COUNTIFS('02_怪物与专属'!$B$5:$B$468,$A71,'02_怪物与专属'!$O$5:$O$468,$C71,'02_怪物与专属'!$K$5:$K$468,"地图BOSS")</x:f>
        <x:v>5</x:v>
      </x:c>
      <x:c r="G71" s="20" t="n">
        <x:f>COUNTIFS('02_怪物与专属'!$B$5:$B$468,$A71,'02_怪物与专属'!$O$5:$O$468,$C71,'02_怪物与专属'!$K$5:$K$468,"守关BOSS")</x:f>
        <x:v>1</x:v>
      </x:c>
      <x:c r="H71" s="20" t="n">
        <x:f>SUM(D71:G71)</x:f>
        <x:v>11</x:v>
      </x:c>
      <x:c r="I71" s="20" t="str">
        <x:v>结构统计；不代表部位强弱</x:v>
      </x:c>
    </x:row>
    <x:row r="72" ht="24" customHeight="1">
      <x:c r="A72" s="20" t="str">
        <x:v>C09</x:v>
      </x:c>
      <x:c r="B72" s="20" t="str">
        <x:v>亚坛高原</x:v>
      </x:c>
      <x:c r="C72" s="20" t="str">
        <x:v>衣服</x:v>
      </x:c>
      <x:c r="D72" s="20" t="n">
        <x:f>COUNTIFS('02_怪物与专属'!$B$5:$B$468,$A72,'02_怪物与专属'!$O$5:$O$468,$C72,'02_怪物与专属'!$K$5:$K$468,"普通")</x:f>
        <x:v>5</x:v>
      </x:c>
      <x:c r="E72" s="20" t="n">
        <x:f>COUNTIFS('02_怪物与专属'!$B$5:$B$468,$A72,'02_怪物与专属'!$O$5:$O$468,$C72,'02_怪物与专属'!$K$5:$K$468,"稀有")</x:f>
        <x:v>0</x:v>
      </x:c>
      <x:c r="F72" s="20" t="n">
        <x:f>COUNTIFS('02_怪物与专属'!$B$5:$B$468,$A72,'02_怪物与专属'!$O$5:$O$468,$C72,'02_怪物与专属'!$K$5:$K$468,"地图BOSS")</x:f>
        <x:v>5</x:v>
      </x:c>
      <x:c r="G72" s="20" t="n">
        <x:f>COUNTIFS('02_怪物与专属'!$B$5:$B$468,$A72,'02_怪物与专属'!$O$5:$O$468,$C72,'02_怪物与专属'!$K$5:$K$468,"守关BOSS")</x:f>
        <x:v>0</x:v>
      </x:c>
      <x:c r="H72" s="20" t="n">
        <x:f>SUM(D72:G72)</x:f>
        <x:v>10</x:v>
      </x:c>
      <x:c r="I72" s="20" t="str">
        <x:v>结构统计；不代表部位强弱</x:v>
      </x:c>
    </x:row>
    <x:row r="73" ht="24" customHeight="1">
      <x:c r="A73" s="20" t="str">
        <x:v>C09</x:v>
      </x:c>
      <x:c r="B73" s="20" t="str">
        <x:v>亚坛高原</x:v>
      </x:c>
      <x:c r="C73" s="20" t="str">
        <x:v>头盔</x:v>
      </x:c>
      <x:c r="D73" s="20" t="n">
        <x:f>COUNTIFS('02_怪物与专属'!$B$5:$B$468,$A73,'02_怪物与专属'!$O$5:$O$468,$C73,'02_怪物与专属'!$K$5:$K$468,"普通")</x:f>
        <x:v>3</x:v>
      </x:c>
      <x:c r="E73" s="20" t="n">
        <x:f>COUNTIFS('02_怪物与专属'!$B$5:$B$468,$A73,'02_怪物与专属'!$O$5:$O$468,$C73,'02_怪物与专属'!$K$5:$K$468,"稀有")</x:f>
        <x:v>2</x:v>
      </x:c>
      <x:c r="F73" s="20" t="n">
        <x:f>COUNTIFS('02_怪物与专属'!$B$5:$B$468,$A73,'02_怪物与专属'!$O$5:$O$468,$C73,'02_怪物与专属'!$K$5:$K$468,"地图BOSS")</x:f>
        <x:v>0</x:v>
      </x:c>
      <x:c r="G73" s="20" t="n">
        <x:f>COUNTIFS('02_怪物与专属'!$B$5:$B$468,$A73,'02_怪物与专属'!$O$5:$O$468,$C73,'02_怪物与专属'!$K$5:$K$468,"守关BOSS")</x:f>
        <x:v>0</x:v>
      </x:c>
      <x:c r="H73" s="20" t="n">
        <x:f>SUM(D73:G73)</x:f>
        <x:v>5</x:v>
      </x:c>
      <x:c r="I73" s="20" t="str">
        <x:v>结构统计；不代表部位强弱</x:v>
      </x:c>
    </x:row>
    <x:row r="74" ht="24" customHeight="1">
      <x:c r="A74" s="20" t="str">
        <x:v>C09</x:v>
      </x:c>
      <x:c r="B74" s="20" t="str">
        <x:v>亚坛高原</x:v>
      </x:c>
      <x:c r="C74" s="20" t="str">
        <x:v>项链</x:v>
      </x:c>
      <x:c r="D74" s="20" t="n">
        <x:f>COUNTIFS('02_怪物与专属'!$B$5:$B$468,$A74,'02_怪物与专属'!$O$5:$O$468,$C74,'02_怪物与专属'!$K$5:$K$468,"普通")</x:f>
        <x:v>3</x:v>
      </x:c>
      <x:c r="E74" s="20" t="n">
        <x:f>COUNTIFS('02_怪物与专属'!$B$5:$B$468,$A74,'02_怪物与专属'!$O$5:$O$468,$C74,'02_怪物与专属'!$K$5:$K$468,"稀有")</x:f>
        <x:v>2</x:v>
      </x:c>
      <x:c r="F74" s="20" t="n">
        <x:f>COUNTIFS('02_怪物与专属'!$B$5:$B$468,$A74,'02_怪物与专属'!$O$5:$O$468,$C74,'02_怪物与专属'!$K$5:$K$468,"地图BOSS")</x:f>
        <x:v>0</x:v>
      </x:c>
      <x:c r="G74" s="20" t="n">
        <x:f>COUNTIFS('02_怪物与专属'!$B$5:$B$468,$A74,'02_怪物与专属'!$O$5:$O$468,$C74,'02_怪物与专属'!$K$5:$K$468,"守关BOSS")</x:f>
        <x:v>0</x:v>
      </x:c>
      <x:c r="H74" s="20" t="n">
        <x:f>SUM(D74:G74)</x:f>
        <x:v>5</x:v>
      </x:c>
      <x:c r="I74" s="20" t="str">
        <x:v>结构统计；不代表部位强弱</x:v>
      </x:c>
    </x:row>
    <x:row r="75" ht="24" customHeight="1">
      <x:c r="A75" s="20" t="str">
        <x:v>C09</x:v>
      </x:c>
      <x:c r="B75" s="20" t="str">
        <x:v>亚坛高原</x:v>
      </x:c>
      <x:c r="C75" s="20" t="str">
        <x:v>手镯</x:v>
      </x:c>
      <x:c r="D75" s="20" t="n">
        <x:f>COUNTIFS('02_怪物与专属'!$B$5:$B$468,$A75,'02_怪物与专属'!$O$5:$O$468,$C75,'02_怪物与专属'!$K$5:$K$468,"普通")</x:f>
        <x:v>3</x:v>
      </x:c>
      <x:c r="E75" s="20" t="n">
        <x:f>COUNTIFS('02_怪物与专属'!$B$5:$B$468,$A75,'02_怪物与专属'!$O$5:$O$468,$C75,'02_怪物与专属'!$K$5:$K$468,"稀有")</x:f>
        <x:v>2</x:v>
      </x:c>
      <x:c r="F75" s="20" t="n">
        <x:f>COUNTIFS('02_怪物与专属'!$B$5:$B$468,$A75,'02_怪物与专属'!$O$5:$O$468,$C75,'02_怪物与专属'!$K$5:$K$468,"地图BOSS")</x:f>
        <x:v>0</x:v>
      </x:c>
      <x:c r="G75" s="20" t="n">
        <x:f>COUNTIFS('02_怪物与专属'!$B$5:$B$468,$A75,'02_怪物与专属'!$O$5:$O$468,$C75,'02_怪物与专属'!$K$5:$K$468,"守关BOSS")</x:f>
        <x:v>0</x:v>
      </x:c>
      <x:c r="H75" s="20" t="n">
        <x:f>SUM(D75:G75)</x:f>
        <x:v>5</x:v>
      </x:c>
      <x:c r="I75" s="20" t="str">
        <x:v>结构统计；不代表部位强弱</x:v>
      </x:c>
    </x:row>
    <x:row r="76" ht="24" customHeight="1">
      <x:c r="A76" s="20" t="str">
        <x:v>C09</x:v>
      </x:c>
      <x:c r="B76" s="20" t="str">
        <x:v>亚坛高原</x:v>
      </x:c>
      <x:c r="C76" s="20" t="str">
        <x:v>戒指</x:v>
      </x:c>
      <x:c r="D76" s="20" t="n">
        <x:f>COUNTIFS('02_怪物与专属'!$B$5:$B$468,$A76,'02_怪物与专属'!$O$5:$O$468,$C76,'02_怪物与专属'!$K$5:$K$468,"普通")</x:f>
        <x:v>0</x:v>
      </x:c>
      <x:c r="E76" s="20" t="n">
        <x:f>COUNTIFS('02_怪物与专属'!$B$5:$B$468,$A76,'02_怪物与专属'!$O$5:$O$468,$C76,'02_怪物与专属'!$K$5:$K$468,"稀有")</x:f>
        <x:v>5</x:v>
      </x:c>
      <x:c r="F76" s="20" t="n">
        <x:f>COUNTIFS('02_怪物与专属'!$B$5:$B$468,$A76,'02_怪物与专属'!$O$5:$O$468,$C76,'02_怪物与专属'!$K$5:$K$468,"地图BOSS")</x:f>
        <x:v>0</x:v>
      </x:c>
      <x:c r="G76" s="20" t="n">
        <x:f>COUNTIFS('02_怪物与专属'!$B$5:$B$468,$A76,'02_怪物与专属'!$O$5:$O$468,$C76,'02_怪物与专属'!$K$5:$K$468,"守关BOSS")</x:f>
        <x:v>0</x:v>
      </x:c>
      <x:c r="H76" s="20" t="n">
        <x:f>SUM(D76:G76)</x:f>
        <x:v>5</x:v>
      </x:c>
      <x:c r="I76" s="20" t="str">
        <x:v>结构统计；不代表部位强弱</x:v>
      </x:c>
    </x:row>
    <x:row r="77" ht="24" customHeight="1">
      <x:c r="A77" s="20" t="str">
        <x:v>C09</x:v>
      </x:c>
      <x:c r="B77" s="20" t="str">
        <x:v>亚坛高原</x:v>
      </x:c>
      <x:c r="C77" s="20" t="str">
        <x:v>腰带</x:v>
      </x:c>
      <x:c r="D77" s="20" t="n">
        <x:f>COUNTIFS('02_怪物与专属'!$B$5:$B$468,$A77,'02_怪物与专属'!$O$5:$O$468,$C77,'02_怪物与专属'!$K$5:$K$468,"普通")</x:f>
        <x:v>0</x:v>
      </x:c>
      <x:c r="E77" s="20" t="n">
        <x:f>COUNTIFS('02_怪物与专属'!$B$5:$B$468,$A77,'02_怪物与专属'!$O$5:$O$468,$C77,'02_怪物与专属'!$K$5:$K$468,"稀有")</x:f>
        <x:v>5</x:v>
      </x:c>
      <x:c r="F77" s="20" t="n">
        <x:f>COUNTIFS('02_怪物与专属'!$B$5:$B$468,$A77,'02_怪物与专属'!$O$5:$O$468,$C77,'02_怪物与专属'!$K$5:$K$468,"地图BOSS")</x:f>
        <x:v>0</x:v>
      </x:c>
      <x:c r="G77" s="20" t="n">
        <x:f>COUNTIFS('02_怪物与专属'!$B$5:$B$468,$A77,'02_怪物与专属'!$O$5:$O$468,$C77,'02_怪物与专属'!$K$5:$K$468,"守关BOSS")</x:f>
        <x:v>0</x:v>
      </x:c>
      <x:c r="H77" s="20" t="n">
        <x:f>SUM(D77:G77)</x:f>
        <x:v>5</x:v>
      </x:c>
      <x:c r="I77" s="20" t="str">
        <x:v>结构统计；不代表部位强弱</x:v>
      </x:c>
    </x:row>
    <x:row r="78" ht="24" customHeight="1">
      <x:c r="A78" s="20" t="str">
        <x:v>C09</x:v>
      </x:c>
      <x:c r="B78" s="20" t="str">
        <x:v>亚坛高原</x:v>
      </x:c>
      <x:c r="C78" s="20" t="str">
        <x:v>鞋子</x:v>
      </x:c>
      <x:c r="D78" s="20" t="n">
        <x:f>COUNTIFS('02_怪物与专属'!$B$5:$B$468,$A78,'02_怪物与专属'!$O$5:$O$468,$C78,'02_怪物与专属'!$K$5:$K$468,"普通")</x:f>
        <x:v>5</x:v>
      </x:c>
      <x:c r="E78" s="20" t="n">
        <x:f>COUNTIFS('02_怪物与专属'!$B$5:$B$468,$A78,'02_怪物与专属'!$O$5:$O$468,$C78,'02_怪物与专属'!$K$5:$K$468,"稀有")</x:f>
        <x:v>0</x:v>
      </x:c>
      <x:c r="F78" s="20" t="n">
        <x:f>COUNTIFS('02_怪物与专属'!$B$5:$B$468,$A78,'02_怪物与专属'!$O$5:$O$468,$C78,'02_怪物与专属'!$K$5:$K$468,"地图BOSS")</x:f>
        <x:v>0</x:v>
      </x:c>
      <x:c r="G78" s="20" t="n">
        <x:f>COUNTIFS('02_怪物与专属'!$B$5:$B$468,$A78,'02_怪物与专属'!$O$5:$O$468,$C78,'02_怪物与专属'!$K$5:$K$468,"守关BOSS")</x:f>
        <x:v>0</x:v>
      </x:c>
      <x:c r="H78" s="20" t="n">
        <x:f>SUM(D78:G78)</x:f>
        <x:v>5</x:v>
      </x:c>
      <x:c r="I78" s="20" t="str">
        <x:v>结构统计；不代表部位强弱</x:v>
      </x:c>
    </x:row>
    <x:row r="79" ht="24" customHeight="1">
      <x:c r="A79" s="20" t="str">
        <x:v>C09</x:v>
      </x:c>
      <x:c r="B79" s="20" t="str">
        <x:v>亚坛高原</x:v>
      </x:c>
      <x:c r="C79" s="20" t="str">
        <x:v>斗笠</x:v>
      </x:c>
      <x:c r="D79" s="20" t="n">
        <x:f>COUNTIFS('02_怪物与专属'!$B$5:$B$468,$A79,'02_怪物与专属'!$O$5:$O$468,$C79,'02_怪物与专属'!$K$5:$K$468,"普通")</x:f>
        <x:v>1</x:v>
      </x:c>
      <x:c r="E79" s="20" t="n">
        <x:f>COUNTIFS('02_怪物与专属'!$B$5:$B$468,$A79,'02_怪物与专属'!$O$5:$O$468,$C79,'02_怪物与专属'!$K$5:$K$468,"稀有")</x:f>
        <x:v>4</x:v>
      </x:c>
      <x:c r="F79" s="20" t="n">
        <x:f>COUNTIFS('02_怪物与专属'!$B$5:$B$468,$A79,'02_怪物与专属'!$O$5:$O$468,$C79,'02_怪物与专属'!$K$5:$K$468,"地图BOSS")</x:f>
        <x:v>0</x:v>
      </x:c>
      <x:c r="G79" s="20" t="n">
        <x:f>COUNTIFS('02_怪物与专属'!$B$5:$B$468,$A79,'02_怪物与专属'!$O$5:$O$468,$C79,'02_怪物与专属'!$K$5:$K$468,"守关BOSS")</x:f>
        <x:v>0</x:v>
      </x:c>
      <x:c r="H79" s="20" t="n">
        <x:f>SUM(D79:G79)</x:f>
        <x:v>5</x:v>
      </x:c>
      <x:c r="I79" s="20" t="str">
        <x:v>结构统计；不代表部位强弱</x:v>
      </x:c>
    </x:row>
    <x:row r="80" ht="24" customHeight="1">
      <x:c r="A80" s="20" t="str">
        <x:v>C09</x:v>
      </x:c>
      <x:c r="B80" s="20" t="str">
        <x:v>亚坛高原</x:v>
      </x:c>
      <x:c r="C80" s="20" t="str">
        <x:v>盾牌</x:v>
      </x:c>
      <x:c r="D80" s="20" t="n">
        <x:f>COUNTIFS('02_怪物与专属'!$B$5:$B$468,$A80,'02_怪物与专属'!$O$5:$O$468,$C80,'02_怪物与专属'!$K$5:$K$468,"普通")</x:f>
        <x:v>5</x:v>
      </x:c>
      <x:c r="E80" s="20" t="n">
        <x:f>COUNTIFS('02_怪物与专属'!$B$5:$B$468,$A80,'02_怪物与专属'!$O$5:$O$468,$C80,'02_怪物与专属'!$K$5:$K$468,"稀有")</x:f>
        <x:v>0</x:v>
      </x:c>
      <x:c r="F80" s="20" t="n">
        <x:f>COUNTIFS('02_怪物与专属'!$B$5:$B$468,$A80,'02_怪物与专属'!$O$5:$O$468,$C80,'02_怪物与专属'!$K$5:$K$468,"地图BOSS")</x:f>
        <x:v>0</x:v>
      </x:c>
      <x:c r="G80" s="20" t="n">
        <x:f>COUNTIFS('02_怪物与专属'!$B$5:$B$468,$A80,'02_怪物与专属'!$O$5:$O$468,$C80,'02_怪物与专属'!$K$5:$K$468,"守关BOSS")</x:f>
        <x:v>0</x:v>
      </x:c>
      <x:c r="H80" s="20" t="n">
        <x:f>SUM(D80:G80)</x:f>
        <x:v>5</x:v>
      </x:c>
      <x:c r="I80" s="20" t="str">
        <x:v>结构统计；不代表部位强弱</x:v>
      </x:c>
    </x:row>
    <x:row r="81" ht="24" customHeight="1">
      <x:c r="A81" s="20" t="str">
        <x:v>C09</x:v>
      </x:c>
      <x:c r="B81" s="20" t="str">
        <x:v>亚坛高原</x:v>
      </x:c>
      <x:c r="C81" s="20" t="str">
        <x:v>勋章</x:v>
      </x:c>
      <x:c r="D81" s="20" t="n">
        <x:f>COUNTIFS('02_怪物与专属'!$B$5:$B$468,$A81,'02_怪物与专属'!$O$5:$O$468,$C81,'02_怪物与专属'!$K$5:$K$468,"普通")</x:f>
        <x:v>0</x:v>
      </x:c>
      <x:c r="E81" s="20" t="n">
        <x:f>COUNTIFS('02_怪物与专属'!$B$5:$B$468,$A81,'02_怪物与专属'!$O$5:$O$468,$C81,'02_怪物与专属'!$K$5:$K$468,"稀有")</x:f>
        <x:v>0</x:v>
      </x:c>
      <x:c r="F81" s="20" t="n">
        <x:f>COUNTIFS('02_怪物与专属'!$B$5:$B$468,$A81,'02_怪物与专属'!$O$5:$O$468,$C81,'02_怪物与专属'!$K$5:$K$468,"地图BOSS")</x:f>
        <x:v>0</x:v>
      </x:c>
      <x:c r="G81" s="20" t="n">
        <x:f>COUNTIFS('02_怪物与专属'!$B$5:$B$468,$A81,'02_怪物与专属'!$O$5:$O$468,$C81,'02_怪物与专属'!$K$5:$K$468,"守关BOSS")</x:f>
        <x:v>0</x:v>
      </x:c>
      <x:c r="H81" s="20" t="n">
        <x:f>SUM(D81:G81)</x:f>
        <x:v>0</x:v>
      </x:c>
      <x:c r="I81" s="20" t="str">
        <x:v>结构统计；不代表部位强弱</x:v>
      </x:c>
    </x:row>
    <x:row r="82" ht="24" customHeight="1">
      <x:c r="A82" s="20" t="str">
        <x:v>C10</x:v>
      </x:c>
      <x:c r="B82" s="20" t="str">
        <x:v>王城罗德尔</x:v>
      </x:c>
      <x:c r="C82" s="20" t="str">
        <x:v>武器</x:v>
      </x:c>
      <x:c r="D82" s="20" t="n">
        <x:f>COUNTIFS('02_怪物与专属'!$B$5:$B$468,$A82,'02_怪物与专属'!$O$5:$O$468,$C82,'02_怪物与专属'!$K$5:$K$468,"普通")</x:f>
        <x:v>5</x:v>
      </x:c>
      <x:c r="E82" s="20" t="n">
        <x:f>COUNTIFS('02_怪物与专属'!$B$5:$B$468,$A82,'02_怪物与专属'!$O$5:$O$468,$C82,'02_怪物与专属'!$K$5:$K$468,"稀有")</x:f>
        <x:v>0</x:v>
      </x:c>
      <x:c r="F82" s="20" t="n">
        <x:f>COUNTIFS('02_怪物与专属'!$B$5:$B$468,$A82,'02_怪物与专属'!$O$5:$O$468,$C82,'02_怪物与专属'!$K$5:$K$468,"地图BOSS")</x:f>
        <x:v>2</x:v>
      </x:c>
      <x:c r="G82" s="20" t="n">
        <x:f>COUNTIFS('02_怪物与专属'!$B$5:$B$468,$A82,'02_怪物与专属'!$O$5:$O$468,$C82,'02_怪物与专属'!$K$5:$K$468,"守关BOSS")</x:f>
        <x:v>1</x:v>
      </x:c>
      <x:c r="H82" s="20" t="n">
        <x:f>SUM(D82:G82)</x:f>
        <x:v>8</x:v>
      </x:c>
      <x:c r="I82" s="20" t="str">
        <x:v>结构统计；不代表部位强弱</x:v>
      </x:c>
    </x:row>
    <x:row r="83" ht="24" customHeight="1">
      <x:c r="A83" s="20" t="str">
        <x:v>C10</x:v>
      </x:c>
      <x:c r="B83" s="20" t="str">
        <x:v>王城罗德尔</x:v>
      </x:c>
      <x:c r="C83" s="20" t="str">
        <x:v>衣服</x:v>
      </x:c>
      <x:c r="D83" s="20" t="n">
        <x:f>COUNTIFS('02_怪物与专属'!$B$5:$B$468,$A83,'02_怪物与专属'!$O$5:$O$468,$C83,'02_怪物与专属'!$K$5:$K$468,"普通")</x:f>
        <x:v>5</x:v>
      </x:c>
      <x:c r="E83" s="20" t="n">
        <x:f>COUNTIFS('02_怪物与专属'!$B$5:$B$468,$A83,'02_怪物与专属'!$O$5:$O$468,$C83,'02_怪物与专属'!$K$5:$K$468,"稀有")</x:f>
        <x:v>0</x:v>
      </x:c>
      <x:c r="F83" s="20" t="n">
        <x:f>COUNTIFS('02_怪物与专属'!$B$5:$B$468,$A83,'02_怪物与专属'!$O$5:$O$468,$C83,'02_怪物与专属'!$K$5:$K$468,"地图BOSS")</x:f>
        <x:v>3</x:v>
      </x:c>
      <x:c r="G83" s="20" t="n">
        <x:f>COUNTIFS('02_怪物与专属'!$B$5:$B$468,$A83,'02_怪物与专属'!$O$5:$O$468,$C83,'02_怪物与专属'!$K$5:$K$468,"守关BOSS")</x:f>
        <x:v>0</x:v>
      </x:c>
      <x:c r="H83" s="20" t="n">
        <x:f>SUM(D83:G83)</x:f>
        <x:v>8</x:v>
      </x:c>
      <x:c r="I83" s="20" t="str">
        <x:v>结构统计；不代表部位强弱</x:v>
      </x:c>
    </x:row>
    <x:row r="84" ht="24" customHeight="1">
      <x:c r="A84" s="20" t="str">
        <x:v>C10</x:v>
      </x:c>
      <x:c r="B84" s="20" t="str">
        <x:v>王城罗德尔</x:v>
      </x:c>
      <x:c r="C84" s="20" t="str">
        <x:v>头盔</x:v>
      </x:c>
      <x:c r="D84" s="20" t="n">
        <x:f>COUNTIFS('02_怪物与专属'!$B$5:$B$468,$A84,'02_怪物与专属'!$O$5:$O$468,$C84,'02_怪物与专属'!$K$5:$K$468,"普通")</x:f>
        <x:v>5</x:v>
      </x:c>
      <x:c r="E84" s="20" t="n">
        <x:f>COUNTIFS('02_怪物与专属'!$B$5:$B$468,$A84,'02_怪物与专属'!$O$5:$O$468,$C84,'02_怪物与专属'!$K$5:$K$468,"稀有")</x:f>
        <x:v>0</x:v>
      </x:c>
      <x:c r="F84" s="20" t="n">
        <x:f>COUNTIFS('02_怪物与专属'!$B$5:$B$468,$A84,'02_怪物与专属'!$O$5:$O$468,$C84,'02_怪物与专属'!$K$5:$K$468,"地图BOSS")</x:f>
        <x:v>0</x:v>
      </x:c>
      <x:c r="G84" s="20" t="n">
        <x:f>COUNTIFS('02_怪物与专属'!$B$5:$B$468,$A84,'02_怪物与专属'!$O$5:$O$468,$C84,'02_怪物与专属'!$K$5:$K$468,"守关BOSS")</x:f>
        <x:v>0</x:v>
      </x:c>
      <x:c r="H84" s="20" t="n">
        <x:f>SUM(D84:G84)</x:f>
        <x:v>5</x:v>
      </x:c>
      <x:c r="I84" s="20" t="str">
        <x:v>结构统计；不代表部位强弱</x:v>
      </x:c>
    </x:row>
    <x:row r="85" ht="24" customHeight="1">
      <x:c r="A85" s="20" t="str">
        <x:v>C10</x:v>
      </x:c>
      <x:c r="B85" s="20" t="str">
        <x:v>王城罗德尔</x:v>
      </x:c>
      <x:c r="C85" s="20" t="str">
        <x:v>项链</x:v>
      </x:c>
      <x:c r="D85" s="20" t="n">
        <x:f>COUNTIFS('02_怪物与专属'!$B$5:$B$468,$A85,'02_怪物与专属'!$O$5:$O$468,$C85,'02_怪物与专属'!$K$5:$K$468,"普通")</x:f>
        <x:v>4</x:v>
      </x:c>
      <x:c r="E85" s="20" t="n">
        <x:f>COUNTIFS('02_怪物与专属'!$B$5:$B$468,$A85,'02_怪物与专属'!$O$5:$O$468,$C85,'02_怪物与专属'!$K$5:$K$468,"稀有")</x:f>
        <x:v>1</x:v>
      </x:c>
      <x:c r="F85" s="20" t="n">
        <x:f>COUNTIFS('02_怪物与专属'!$B$5:$B$468,$A85,'02_怪物与专属'!$O$5:$O$468,$C85,'02_怪物与专属'!$K$5:$K$468,"地图BOSS")</x:f>
        <x:v>0</x:v>
      </x:c>
      <x:c r="G85" s="20" t="n">
        <x:f>COUNTIFS('02_怪物与专属'!$B$5:$B$468,$A85,'02_怪物与专属'!$O$5:$O$468,$C85,'02_怪物与专属'!$K$5:$K$468,"守关BOSS")</x:f>
        <x:v>0</x:v>
      </x:c>
      <x:c r="H85" s="20" t="n">
        <x:f>SUM(D85:G85)</x:f>
        <x:v>5</x:v>
      </x:c>
      <x:c r="I85" s="20" t="str">
        <x:v>结构统计；不代表部位强弱</x:v>
      </x:c>
    </x:row>
    <x:row r="86" ht="24" customHeight="1">
      <x:c r="A86" s="20" t="str">
        <x:v>C10</x:v>
      </x:c>
      <x:c r="B86" s="20" t="str">
        <x:v>王城罗德尔</x:v>
      </x:c>
      <x:c r="C86" s="20" t="str">
        <x:v>手镯</x:v>
      </x:c>
      <x:c r="D86" s="20" t="n">
        <x:f>COUNTIFS('02_怪物与专属'!$B$5:$B$468,$A86,'02_怪物与专属'!$O$5:$O$468,$C86,'02_怪物与专属'!$K$5:$K$468,"普通")</x:f>
        <x:v>2</x:v>
      </x:c>
      <x:c r="E86" s="20" t="n">
        <x:f>COUNTIFS('02_怪物与专属'!$B$5:$B$468,$A86,'02_怪物与专属'!$O$5:$O$468,$C86,'02_怪物与专属'!$K$5:$K$468,"稀有")</x:f>
        <x:v>3</x:v>
      </x:c>
      <x:c r="F86" s="20" t="n">
        <x:f>COUNTIFS('02_怪物与专属'!$B$5:$B$468,$A86,'02_怪物与专属'!$O$5:$O$468,$C86,'02_怪物与专属'!$K$5:$K$468,"地图BOSS")</x:f>
        <x:v>0</x:v>
      </x:c>
      <x:c r="G86" s="20" t="n">
        <x:f>COUNTIFS('02_怪物与专属'!$B$5:$B$468,$A86,'02_怪物与专属'!$O$5:$O$468,$C86,'02_怪物与专属'!$K$5:$K$468,"守关BOSS")</x:f>
        <x:v>0</x:v>
      </x:c>
      <x:c r="H86" s="20" t="n">
        <x:f>SUM(D86:G86)</x:f>
        <x:v>5</x:v>
      </x:c>
      <x:c r="I86" s="20" t="str">
        <x:v>结构统计；不代表部位强弱</x:v>
      </x:c>
    </x:row>
    <x:row r="87" ht="24" customHeight="1">
      <x:c r="A87" s="20" t="str">
        <x:v>C10</x:v>
      </x:c>
      <x:c r="B87" s="20" t="str">
        <x:v>王城罗德尔</x:v>
      </x:c>
      <x:c r="C87" s="20" t="str">
        <x:v>戒指</x:v>
      </x:c>
      <x:c r="D87" s="20" t="n">
        <x:f>COUNTIFS('02_怪物与专属'!$B$5:$B$468,$A87,'02_怪物与专属'!$O$5:$O$468,$C87,'02_怪物与专属'!$K$5:$K$468,"普通")</x:f>
        <x:v>0</x:v>
      </x:c>
      <x:c r="E87" s="20" t="n">
        <x:f>COUNTIFS('02_怪物与专属'!$B$5:$B$468,$A87,'02_怪物与专属'!$O$5:$O$468,$C87,'02_怪物与专属'!$K$5:$K$468,"稀有")</x:f>
        <x:v>5</x:v>
      </x:c>
      <x:c r="F87" s="20" t="n">
        <x:f>COUNTIFS('02_怪物与专属'!$B$5:$B$468,$A87,'02_怪物与专属'!$O$5:$O$468,$C87,'02_怪物与专属'!$K$5:$K$468,"地图BOSS")</x:f>
        <x:v>0</x:v>
      </x:c>
      <x:c r="G87" s="20" t="n">
        <x:f>COUNTIFS('02_怪物与专属'!$B$5:$B$468,$A87,'02_怪物与专属'!$O$5:$O$468,$C87,'02_怪物与专属'!$K$5:$K$468,"守关BOSS")</x:f>
        <x:v>0</x:v>
      </x:c>
      <x:c r="H87" s="20" t="n">
        <x:f>SUM(D87:G87)</x:f>
        <x:v>5</x:v>
      </x:c>
      <x:c r="I87" s="20" t="str">
        <x:v>结构统计；不代表部位强弱</x:v>
      </x:c>
    </x:row>
    <x:row r="88" ht="24" customHeight="1">
      <x:c r="A88" s="20" t="str">
        <x:v>C10</x:v>
      </x:c>
      <x:c r="B88" s="20" t="str">
        <x:v>王城罗德尔</x:v>
      </x:c>
      <x:c r="C88" s="20" t="str">
        <x:v>腰带</x:v>
      </x:c>
      <x:c r="D88" s="20" t="n">
        <x:f>COUNTIFS('02_怪物与专属'!$B$5:$B$468,$A88,'02_怪物与专属'!$O$5:$O$468,$C88,'02_怪物与专属'!$K$5:$K$468,"普通")</x:f>
        <x:v>2</x:v>
      </x:c>
      <x:c r="E88" s="20" t="n">
        <x:f>COUNTIFS('02_怪物与专属'!$B$5:$B$468,$A88,'02_怪物与专属'!$O$5:$O$468,$C88,'02_怪物与专属'!$K$5:$K$468,"稀有")</x:f>
        <x:v>3</x:v>
      </x:c>
      <x:c r="F88" s="20" t="n">
        <x:f>COUNTIFS('02_怪物与专属'!$B$5:$B$468,$A88,'02_怪物与专属'!$O$5:$O$468,$C88,'02_怪物与专属'!$K$5:$K$468,"地图BOSS")</x:f>
        <x:v>0</x:v>
      </x:c>
      <x:c r="G88" s="20" t="n">
        <x:f>COUNTIFS('02_怪物与专属'!$B$5:$B$468,$A88,'02_怪物与专属'!$O$5:$O$468,$C88,'02_怪物与专属'!$K$5:$K$468,"守关BOSS")</x:f>
        <x:v>0</x:v>
      </x:c>
      <x:c r="H88" s="20" t="n">
        <x:f>SUM(D88:G88)</x:f>
        <x:v>5</x:v>
      </x:c>
      <x:c r="I88" s="20" t="str">
        <x:v>结构统计；不代表部位强弱</x:v>
      </x:c>
    </x:row>
    <x:row r="89" ht="24" customHeight="1">
      <x:c r="A89" s="20" t="str">
        <x:v>C10</x:v>
      </x:c>
      <x:c r="B89" s="20" t="str">
        <x:v>王城罗德尔</x:v>
      </x:c>
      <x:c r="C89" s="20" t="str">
        <x:v>鞋子</x:v>
      </x:c>
      <x:c r="D89" s="20" t="n">
        <x:f>COUNTIFS('02_怪物与专属'!$B$5:$B$468,$A89,'02_怪物与专属'!$O$5:$O$468,$C89,'02_怪物与专属'!$K$5:$K$468,"普通")</x:f>
        <x:v>5</x:v>
      </x:c>
      <x:c r="E89" s="20" t="n">
        <x:f>COUNTIFS('02_怪物与专属'!$B$5:$B$468,$A89,'02_怪物与专属'!$O$5:$O$468,$C89,'02_怪物与专属'!$K$5:$K$468,"稀有")</x:f>
        <x:v>0</x:v>
      </x:c>
      <x:c r="F89" s="20" t="n">
        <x:f>COUNTIFS('02_怪物与专属'!$B$5:$B$468,$A89,'02_怪物与专属'!$O$5:$O$468,$C89,'02_怪物与专属'!$K$5:$K$468,"地图BOSS")</x:f>
        <x:v>0</x:v>
      </x:c>
      <x:c r="G89" s="20" t="n">
        <x:f>COUNTIFS('02_怪物与专属'!$B$5:$B$468,$A89,'02_怪物与专属'!$O$5:$O$468,$C89,'02_怪物与专属'!$K$5:$K$468,"守关BOSS")</x:f>
        <x:v>0</x:v>
      </x:c>
      <x:c r="H89" s="20" t="n">
        <x:f>SUM(D89:G89)</x:f>
        <x:v>5</x:v>
      </x:c>
      <x:c r="I89" s="20" t="str">
        <x:v>结构统计；不代表部位强弱</x:v>
      </x:c>
    </x:row>
    <x:row r="90" ht="24" customHeight="1">
      <x:c r="A90" s="20" t="str">
        <x:v>C10</x:v>
      </x:c>
      <x:c r="B90" s="20" t="str">
        <x:v>王城罗德尔</x:v>
      </x:c>
      <x:c r="C90" s="20" t="str">
        <x:v>斗笠</x:v>
      </x:c>
      <x:c r="D90" s="20" t="n">
        <x:f>COUNTIFS('02_怪物与专属'!$B$5:$B$468,$A90,'02_怪物与专属'!$O$5:$O$468,$C90,'02_怪物与专属'!$K$5:$K$468,"普通")</x:f>
        <x:v>0</x:v>
      </x:c>
      <x:c r="E90" s="20" t="n">
        <x:f>COUNTIFS('02_怪物与专属'!$B$5:$B$468,$A90,'02_怪物与专属'!$O$5:$O$468,$C90,'02_怪物与专属'!$K$5:$K$468,"稀有")</x:f>
        <x:v>0</x:v>
      </x:c>
      <x:c r="F90" s="20" t="n">
        <x:f>COUNTIFS('02_怪物与专属'!$B$5:$B$468,$A90,'02_怪物与专属'!$O$5:$O$468,$C90,'02_怪物与专属'!$K$5:$K$468,"地图BOSS")</x:f>
        <x:v>5</x:v>
      </x:c>
      <x:c r="G90" s="20" t="n">
        <x:f>COUNTIFS('02_怪物与专属'!$B$5:$B$468,$A90,'02_怪物与专属'!$O$5:$O$468,$C90,'02_怪物与专属'!$K$5:$K$468,"守关BOSS")</x:f>
        <x:v>0</x:v>
      </x:c>
      <x:c r="H90" s="20" t="n">
        <x:f>SUM(D90:G90)</x:f>
        <x:v>5</x:v>
      </x:c>
      <x:c r="I90" s="20" t="str">
        <x:v>结构统计；不代表部位强弱</x:v>
      </x:c>
    </x:row>
    <x:row r="91" ht="24" customHeight="1">
      <x:c r="A91" s="20" t="str">
        <x:v>C10</x:v>
      </x:c>
      <x:c r="B91" s="20" t="str">
        <x:v>王城罗德尔</x:v>
      </x:c>
      <x:c r="C91" s="20" t="str">
        <x:v>盾牌</x:v>
      </x:c>
      <x:c r="D91" s="20" t="n">
        <x:f>COUNTIFS('02_怪物与专属'!$B$5:$B$468,$A91,'02_怪物与专属'!$O$5:$O$468,$C91,'02_怪物与专属'!$K$5:$K$468,"普通")</x:f>
        <x:v>2</x:v>
      </x:c>
      <x:c r="E91" s="20" t="n">
        <x:f>COUNTIFS('02_怪物与专属'!$B$5:$B$468,$A91,'02_怪物与专属'!$O$5:$O$468,$C91,'02_怪物与专属'!$K$5:$K$468,"稀有")</x:f>
        <x:v>3</x:v>
      </x:c>
      <x:c r="F91" s="20" t="n">
        <x:f>COUNTIFS('02_怪物与专属'!$B$5:$B$468,$A91,'02_怪物与专属'!$O$5:$O$468,$C91,'02_怪物与专属'!$K$5:$K$468,"地图BOSS")</x:f>
        <x:v>0</x:v>
      </x:c>
      <x:c r="G91" s="20" t="n">
        <x:f>COUNTIFS('02_怪物与专属'!$B$5:$B$468,$A91,'02_怪物与专属'!$O$5:$O$468,$C91,'02_怪物与专属'!$K$5:$K$468,"守关BOSS")</x:f>
        <x:v>0</x:v>
      </x:c>
      <x:c r="H91" s="20" t="n">
        <x:f>SUM(D91:G91)</x:f>
        <x:v>5</x:v>
      </x:c>
      <x:c r="I91" s="20" t="str">
        <x:v>结构统计；不代表部位强弱</x:v>
      </x:c>
    </x:row>
    <x:row r="92" ht="24" customHeight="1">
      <x:c r="A92" s="20" t="str">
        <x:v>C10</x:v>
      </x:c>
      <x:c r="B92" s="20" t="str">
        <x:v>王城罗德尔</x:v>
      </x:c>
      <x:c r="C92" s="20" t="str">
        <x:v>勋章</x:v>
      </x:c>
      <x:c r="D92" s="20" t="n">
        <x:f>COUNTIFS('02_怪物与专属'!$B$5:$B$468,$A92,'02_怪物与专属'!$O$5:$O$468,$C92,'02_怪物与专属'!$K$5:$K$468,"普通")</x:f>
        <x:v>0</x:v>
      </x:c>
      <x:c r="E92" s="20" t="n">
        <x:f>COUNTIFS('02_怪物与专属'!$B$5:$B$468,$A92,'02_怪物与专属'!$O$5:$O$468,$C92,'02_怪物与专属'!$K$5:$K$468,"稀有")</x:f>
        <x:v>5</x:v>
      </x:c>
      <x:c r="F92" s="20" t="n">
        <x:f>COUNTIFS('02_怪物与专属'!$B$5:$B$468,$A92,'02_怪物与专属'!$O$5:$O$468,$C92,'02_怪物与专属'!$K$5:$K$468,"地图BOSS")</x:f>
        <x:v>0</x:v>
      </x:c>
      <x:c r="G92" s="20" t="n">
        <x:f>COUNTIFS('02_怪物与专属'!$B$5:$B$468,$A92,'02_怪物与专属'!$O$5:$O$468,$C92,'02_怪物与专属'!$K$5:$K$468,"守关BOSS")</x:f>
        <x:v>0</x:v>
      </x:c>
      <x:c r="H92" s="20" t="n">
        <x:f>SUM(D92:G92)</x:f>
        <x:v>5</x:v>
      </x:c>
      <x:c r="I92" s="20" t="str">
        <x:v>结构统计；不代表部位强弱</x:v>
      </x:c>
    </x:row>
  </x:sheetData>
  <x:mergeCells>
    <x:mergeCell ref="A1:I1"/>
    <x:mergeCell ref="A2:I2"/>
  </x:mergeCells>
  <x:pageMargins left="0.7" right="0.7" top="0.75" bottom="0.75" header="0.3" footer="0.3"/>
  <x:tableParts count="1">
    <x:tablePart xmlns:r="http://schemas.openxmlformats.org/officeDocument/2006/relationships" r:id="R298cf597b8474bf0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8" hidden="0" customWidth="1"/>
    <x:col min="3" max="3" width="16" hidden="0" customWidth="1"/>
    <x:col min="4" max="4" width="38" hidden="0" customWidth="1"/>
    <x:col min="5" max="5" width="30" hidden="0" customWidth="1"/>
    <x:col min="6" max="6" width="30" hidden="0" customWidth="1"/>
    <x:col min="7" max="7" width="26" hidden="0" customWidth="1"/>
    <x:col min="8" max="8" width="58" hidden="0" customWidth="1"/>
  </x:cols>
  <x:sheetData>
    <x:row r="1" ht="34" customHeight="1">
      <x:c r="A1" s="3" t="str">
        <x:v>独立掉落池与追梦六神器保留</x:v>
      </x:c>
      <x:c r="B1" s="3" t="str">
        <x:v>独立掉落池与追梦六神器保留</x:v>
      </x:c>
      <x:c r="C1" s="3" t="str">
        <x:v>独立掉落池与追梦六神器保留</x:v>
      </x:c>
      <x:c r="D1" s="3" t="str">
        <x:v>独立掉落池与追梦六神器保留</x:v>
      </x:c>
      <x:c r="E1" s="3" t="str">
        <x:v>独立掉落池与追梦六神器保留</x:v>
      </x:c>
      <x:c r="F1" s="3" t="str">
        <x:v>独立掉落池与追梦六神器保留</x:v>
      </x:c>
      <x:c r="G1" s="3" t="str">
        <x:v>独立掉落池与追梦六神器保留</x:v>
      </x:c>
      <x:c r="H1" s="3" t="str">
        <x:v>独立掉落池与追梦六神器保留</x:v>
      </x:c>
    </x:row>
    <x:row r="2" ht="40" customHeight="1">
      <x:c r="A2" s="7" t="str">
        <x:v>以下奖池分别判定，禁止为了省事把专属、材料、大陆收藏或六神器合成一个总随机池。追梦六件具体部位一律以用户本机现行装备库为准。</x:v>
      </x:c>
      <x:c r="B2" s="7" t="str">
        <x:v>以下奖池分别判定，禁止为了省事把专属、材料、大陆收藏或六神器合成一个总随机池。追梦六件具体部位一律以用户本机现行装备库为准。</x:v>
      </x:c>
      <x:c r="C2" s="7" t="str">
        <x:v>以下奖池分别判定，禁止为了省事把专属、材料、大陆收藏或六神器合成一个总随机池。追梦六件具体部位一律以用户本机现行装备库为准。</x:v>
      </x:c>
      <x:c r="D2" s="7" t="str">
        <x:v>以下奖池分别判定，禁止为了省事把专属、材料、大陆收藏或六神器合成一个总随机池。追梦六件具体部位一律以用户本机现行装备库为准。</x:v>
      </x:c>
      <x:c r="E2" s="7" t="str">
        <x:v>以下奖池分别判定，禁止为了省事把专属、材料、大陆收藏或六神器合成一个总随机池。追梦六件具体部位一律以用户本机现行装备库为准。</x:v>
      </x:c>
      <x:c r="F2" s="7" t="str">
        <x:v>以下奖池分别判定，禁止为了省事把专属、材料、大陆收藏或六神器合成一个总随机池。追梦六件具体部位一律以用户本机现行装备库为准。</x:v>
      </x:c>
      <x:c r="G2" s="7" t="str">
        <x:v>以下奖池分别判定，禁止为了省事把专属、材料、大陆收藏或六神器合成一个总随机池。追梦六件具体部位一律以用户本机现行装备库为准。</x:v>
      </x:c>
      <x:c r="H2" s="7" t="str">
        <x:v>以下奖池分别判定，禁止为了省事把专属、材料、大陆收藏或六神器合成一个总随机池。追梦六件具体部位一律以用户本机现行装备库为准。</x:v>
      </x:c>
    </x:row>
    <x:row r="4" ht="32" customHeight="1">
      <x:c r="A4" s="13" t="str">
        <x:v>奖池</x:v>
      </x:c>
      <x:c r="B4" s="13" t="str">
        <x:v>适用对象</x:v>
      </x:c>
      <x:c r="C4" s="13" t="str">
        <x:v>触发方式</x:v>
      </x:c>
      <x:c r="D4" s="13" t="str">
        <x:v>产物</x:v>
      </x:c>
      <x:c r="E4" s="13" t="str">
        <x:v>是否受人物爆率</x:v>
      </x:c>
      <x:c r="F4" s="13" t="str">
        <x:v>是否占本体专属</x:v>
      </x:c>
      <x:c r="G4" s="13" t="str">
        <x:v>本轮状态</x:v>
      </x:c>
      <x:c r="H4" s="13" t="str">
        <x:v>说明</x:v>
      </x:c>
    </x:row>
    <x:row r="5" ht="34" customHeight="1">
      <x:c r="A5" s="19" t="str">
        <x:v>怪物本体专属池</x:v>
      </x:c>
      <x:c r="B5" s="19" t="str">
        <x:v>全部怪物</x:v>
      </x:c>
      <x:c r="C5" s="19" t="str">
        <x:v>按该怪物专属规则</x:v>
      </x:c>
      <x:c r="D5" s="19" t="str">
        <x:v>本行唯一专属装备</x:v>
      </x:c>
      <x:c r="E5" s="19" t="str">
        <x:v>后期统一确认</x:v>
      </x:c>
      <x:c r="F5" s="19" t="str">
        <x:v>是</x:v>
      </x:c>
      <x:c r="G5" s="19" t="str">
        <x:v>来源已定</x:v>
      </x:c>
      <x:c r="H5" s="19" t="str">
        <x:v>一怪一专属</x:v>
      </x:c>
    </x:row>
    <x:row r="6" ht="34" customHeight="1">
      <x:c r="A6" s="20" t="str">
        <x:v>BOSS兼掉池</x:v>
      </x:c>
      <x:c r="B6" s="20" t="str">
        <x:v>地图BOSS／守关BOSS</x:v>
      </x:c>
      <x:c r="C6" s="20" t="str">
        <x:v>与本体专属分开判定</x:v>
      </x:c>
      <x:c r="D6" s="20" t="str">
        <x:v>本地图普通怪专属</x:v>
      </x:c>
      <x:c r="E6" s="20" t="str">
        <x:v>后期统一确认</x:v>
      </x:c>
      <x:c r="F6" s="20" t="str">
        <x:v>否</x:v>
      </x:c>
      <x:c r="G6" s="20" t="str">
        <x:v>规则已定</x:v>
      </x:c>
      <x:c r="H6" s="20" t="str">
        <x:v>不得挤掉BOSS本体专属</x:v>
      </x:c>
    </x:row>
    <x:row r="7" ht="34" customHeight="1">
      <x:c r="A7" s="20" t="str">
        <x:v>材料池</x:v>
      </x:c>
      <x:c r="B7" s="20" t="str">
        <x:v>按普通／稀有／地图BOSS／守关分类</x:v>
      </x:c>
      <x:c r="C7" s="20" t="str">
        <x:v>各材料独立配置</x:v>
      </x:c>
      <x:c r="D7" s="20" t="str">
        <x:v>已入库7类材料</x:v>
      </x:c>
      <x:c r="E7" s="20" t="str">
        <x:v>后期统一确认</x:v>
      </x:c>
      <x:c r="F7" s="20" t="str">
        <x:v>否</x:v>
      </x:c>
      <x:c r="G7" s="20" t="str">
        <x:v>来源已定</x:v>
      </x:c>
      <x:c r="H7" s="20" t="str">
        <x:v>数量和概率延后</x:v>
      </x:c>
    </x:row>
    <x:row r="8" ht="34" customHeight="1">
      <x:c r="A8" s="20" t="str">
        <x:v>大陆收藏池</x:v>
      </x:c>
      <x:c r="B8" s="20" t="str">
        <x:v>该大陆全部怪物</x:v>
      </x:c>
      <x:c r="C8" s="20" t="str">
        <x:v>独立极低概率判定</x:v>
      </x:c>
      <x:c r="D8" s="20" t="str">
        <x:v>大陆收藏材料</x:v>
      </x:c>
      <x:c r="E8" s="20" t="str">
        <x:v>后期统一确认</x:v>
      </x:c>
      <x:c r="F8" s="20" t="str">
        <x:v>否</x:v>
      </x:c>
      <x:c r="G8" s="20" t="str">
        <x:v>名称已定</x:v>
      </x:c>
      <x:c r="H8" s="20" t="str">
        <x:v>不可装备；只供高价值图鉴</x:v>
      </x:c>
    </x:row>
    <x:row r="9" ht="34" customHeight="1">
      <x:c r="A9" s="20" t="str">
        <x:v>六神器公共池</x:v>
      </x:c>
      <x:c r="B9" s="20" t="str">
        <x:v>第二大陆及以后全部怪物</x:v>
      </x:c>
      <x:c r="C9" s="20" t="str">
        <x:v>TXT 1/x RANDOM触发一次后池内六选一</x:v>
      </x:c>
      <x:c r="D9" s="20" t="str">
        <x:v>6件大卢恩追梦神器之一</x:v>
      </x:c>
      <x:c r="E9" s="20" t="str">
        <x:v>是</x:v>
      </x:c>
      <x:c r="F9" s="20" t="str">
        <x:v>否</x:v>
      </x:c>
      <x:c r="G9" s="20" t="str">
        <x:v>既有规则</x:v>
      </x:c>
      <x:c r="H9" s="20" t="str">
        <x:v>不是每件分别执行一次1/x</x:v>
      </x:c>
    </x:row>
    <x:row r="12" ht="32" customHeight="1">
      <x:c r="A12" s="13" t="str">
        <x:v>记录ID</x:v>
      </x:c>
      <x:c r="B12" s="13" t="str">
        <x:v>追梦神器名称</x:v>
      </x:c>
      <x:c r="C12" s="13" t="str">
        <x:v>现有来源编号</x:v>
      </x:c>
      <x:c r="D12" s="13" t="str">
        <x:v>现行部位</x:v>
      </x:c>
      <x:c r="E12" s="13" t="str">
        <x:v>掉落范围</x:v>
      </x:c>
      <x:c r="F12" s="13" t="str">
        <x:v>池内方式</x:v>
      </x:c>
      <x:c r="G12" s="13" t="str">
        <x:v>状态</x:v>
      </x:c>
      <x:c r="H12" s="13" t="str">
        <x:v>执行警告</x:v>
      </x:c>
    </x:row>
    <x:row r="13" ht="30" customHeight="1">
      <x:c r="A13" s="19" t="str">
        <x:v>ART-01</x:v>
      </x:c>
      <x:c r="B13" s="19" t="str">
        <x:v>玛莲妮亚的大卢恩</x:v>
      </x:c>
      <x:c r="C13" s="19" t="n">
        <x:v>5909</x:v>
      </x:c>
      <x:c r="D13" s="19" t="str">
        <x:v>用户本机六个时装首饰盒槽位之一</x:v>
      </x:c>
      <x:c r="E13" s="19" t="str">
        <x:v>第二大陆及以后全部怪物</x:v>
      </x:c>
      <x:c r="F13" s="19" t="str">
        <x:v>公共池触发后六选一</x:v>
      </x:c>
      <x:c r="G13" s="30" t="str">
        <x:v>名称保留／部位不得覆盖</x:v>
      </x:c>
      <x:c r="H13" s="19" t="str">
        <x:v>旧表显示灵玉属于历史底板错误；本表不写入具体槽号</x:v>
      </x:c>
    </x:row>
    <x:row r="14" ht="30" customHeight="1">
      <x:c r="A14" s="20" t="str">
        <x:v>ART-02</x:v>
      </x:c>
      <x:c r="B14" s="20" t="str">
        <x:v>拉塔恩的大卢恩</x:v>
      </x:c>
      <x:c r="C14" s="20" t="n">
        <x:v>5954</x:v>
      </x:c>
      <x:c r="D14" s="20" t="str">
        <x:v>用户本机六个时装首饰盒槽位之一</x:v>
      </x:c>
      <x:c r="E14" s="20" t="str">
        <x:v>第二大陆及以后全部怪物</x:v>
      </x:c>
      <x:c r="F14" s="20" t="str">
        <x:v>公共池触发后六选一</x:v>
      </x:c>
      <x:c r="G14" s="31" t="str">
        <x:v>名称保留／部位不得覆盖</x:v>
      </x:c>
      <x:c r="H14" s="20" t="str">
        <x:v>旧表显示灵玉属于历史底板错误；本表不写入具体槽号</x:v>
      </x:c>
    </x:row>
    <x:row r="15" ht="30" customHeight="1">
      <x:c r="A15" s="20" t="str">
        <x:v>ART-03</x:v>
      </x:c>
      <x:c r="B15" s="20" t="str">
        <x:v>蒙葛特的大卢恩</x:v>
      </x:c>
      <x:c r="C15" s="20" t="n">
        <x:v>5999</x:v>
      </x:c>
      <x:c r="D15" s="20" t="str">
        <x:v>用户本机六个时装首饰盒槽位之一</x:v>
      </x:c>
      <x:c r="E15" s="20" t="str">
        <x:v>第二大陆及以后全部怪物</x:v>
      </x:c>
      <x:c r="F15" s="20" t="str">
        <x:v>公共池触发后六选一</x:v>
      </x:c>
      <x:c r="G15" s="31" t="str">
        <x:v>名称保留／部位不得覆盖</x:v>
      </x:c>
      <x:c r="H15" s="20" t="str">
        <x:v>旧表显示灵玉属于历史底板错误；本表不写入具体槽号</x:v>
      </x:c>
    </x:row>
    <x:row r="16" ht="30" customHeight="1">
      <x:c r="A16" s="20" t="str">
        <x:v>ART-04</x:v>
      </x:c>
      <x:c r="B16" s="20" t="str">
        <x:v>蒙格的大卢恩</x:v>
      </x:c>
      <x:c r="C16" s="20" t="n">
        <x:v>6044</x:v>
      </x:c>
      <x:c r="D16" s="20" t="str">
        <x:v>用户本机六个时装首饰盒槽位之一</x:v>
      </x:c>
      <x:c r="E16" s="20" t="str">
        <x:v>第二大陆及以后全部怪物</x:v>
      </x:c>
      <x:c r="F16" s="20" t="str">
        <x:v>公共池触发后六选一</x:v>
      </x:c>
      <x:c r="G16" s="31" t="str">
        <x:v>名称保留／部位不得覆盖</x:v>
      </x:c>
      <x:c r="H16" s="20" t="str">
        <x:v>旧表显示灵玉属于历史底板错误；本表不写入具体槽号</x:v>
      </x:c>
    </x:row>
    <x:row r="17" ht="30" customHeight="1">
      <x:c r="A17" s="20" t="str">
        <x:v>ART-05</x:v>
      </x:c>
      <x:c r="B17" s="20" t="str">
        <x:v>拉卡德的大卢恩</x:v>
      </x:c>
      <x:c r="C17" s="20" t="n">
        <x:v>6089</x:v>
      </x:c>
      <x:c r="D17" s="20" t="str">
        <x:v>用户本机六个时装首饰盒槽位之一</x:v>
      </x:c>
      <x:c r="E17" s="20" t="str">
        <x:v>第二大陆及以后全部怪物</x:v>
      </x:c>
      <x:c r="F17" s="20" t="str">
        <x:v>公共池触发后六选一</x:v>
      </x:c>
      <x:c r="G17" s="31" t="str">
        <x:v>名称保留／部位不得覆盖</x:v>
      </x:c>
      <x:c r="H17" s="20" t="str">
        <x:v>旧表显示灵玉属于历史底板错误；本表不写入具体槽号</x:v>
      </x:c>
    </x:row>
    <x:row r="18" ht="30" customHeight="1">
      <x:c r="A18" s="20" t="str">
        <x:v>ART-06</x:v>
      </x:c>
      <x:c r="B18" s="20" t="str">
        <x:v>葛瑞克的大卢恩</x:v>
      </x:c>
      <x:c r="C18" s="20" t="n">
        <x:v>6125</x:v>
      </x:c>
      <x:c r="D18" s="20" t="str">
        <x:v>用户本机六个时装首饰盒槽位之一</x:v>
      </x:c>
      <x:c r="E18" s="20" t="str">
        <x:v>第二大陆及以后全部怪物</x:v>
      </x:c>
      <x:c r="F18" s="20" t="str">
        <x:v>公共池触发后六选一</x:v>
      </x:c>
      <x:c r="G18" s="31" t="str">
        <x:v>名称保留／部位不得覆盖</x:v>
      </x:c>
      <x:c r="H18" s="20" t="str">
        <x:v>旧表显示灵玉属于历史底板错误；本表不写入具体槽号</x:v>
      </x:c>
    </x:row>
  </x:sheetData>
  <x:mergeCells>
    <x:mergeCell ref="A1:H1"/>
    <x:mergeCell ref="A2:H2"/>
  </x:mergeCells>
  <x:pageMargins left="0.7" right="0.7" top="0.75" bottom="0.75" header="0.3" footer="0.3"/>
  <x:tableParts count="2">
    <x:tablePart xmlns:r="http://schemas.openxmlformats.org/officeDocument/2006/relationships" r:id="R3246bb0386eb496c"/>
    <x:tablePart xmlns:r="http://schemas.openxmlformats.org/officeDocument/2006/relationships" r:id="Ra0803eccf20b415a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4" hidden="0" customWidth="1"/>
    <x:col min="3" max="3" width="14" hidden="0" customWidth="1"/>
    <x:col min="4" max="4" width="14" hidden="0" customWidth="1"/>
    <x:col min="5" max="5" width="62" hidden="0" customWidth="1"/>
  </x:cols>
  <x:sheetData>
    <x:row r="1" ht="34" customHeight="1">
      <x:c r="A1" s="3" t="str">
        <x:v>静态校验报告</x:v>
      </x:c>
      <x:c r="B1" s="3" t="str">
        <x:v>静态校验报告</x:v>
      </x:c>
      <x:c r="C1" s="3" t="str">
        <x:v>静态校验报告</x:v>
      </x:c>
      <x:c r="D1" s="3" t="str">
        <x:v>静态校验报告</x:v>
      </x:c>
      <x:c r="E1" s="3" t="str">
        <x:v>静态校验报告</x:v>
      </x:c>
    </x:row>
    <x:row r="2" ht="40" customHeight="1">
      <x:c r="A2" s="7" t="str">
        <x:v>通过只代表名称、数量、地图归属、材料引用和部位约束正确；不代表怪物模型、刷新脚本、装备编码、属性或实际掉落已经部署。</x:v>
      </x:c>
      <x:c r="B2" s="7" t="str">
        <x:v>通过只代表名称、数量、地图归属、材料引用和部位约束正确；不代表怪物模型、刷新脚本、装备编码、属性或实际掉落已经部署。</x:v>
      </x:c>
      <x:c r="C2" s="7" t="str">
        <x:v>通过只代表名称、数量、地图归属、材料引用和部位约束正确；不代表怪物模型、刷新脚本、装备编码、属性或实际掉落已经部署。</x:v>
      </x:c>
      <x:c r="D2" s="7" t="str">
        <x:v>通过只代表名称、数量、地图归属、材料引用和部位约束正确；不代表怪物模型、刷新脚本、装备编码、属性或实际掉落已经部署。</x:v>
      </x:c>
      <x:c r="E2" s="7" t="str">
        <x:v>通过只代表名称、数量、地图归属、材料引用和部位约束正确；不代表怪物模型、刷新脚本、装备编码、属性或实际掉落已经部署。</x:v>
      </x:c>
    </x:row>
    <x:row r="4" ht="32" customHeight="1">
      <x:c r="A4" s="13" t="str">
        <x:v>检查项</x:v>
      </x:c>
      <x:c r="B4" s="13" t="str">
        <x:v>期望值</x:v>
      </x:c>
      <x:c r="C4" s="13" t="str">
        <x:v>实际值</x:v>
      </x:c>
      <x:c r="D4" s="13" t="str">
        <x:v>结果</x:v>
      </x:c>
      <x:c r="E4" s="13" t="str">
        <x:v>说明</x:v>
      </x:c>
    </x:row>
    <x:row r="5" ht="28" customHeight="1">
      <x:c r="A5" s="19" t="str">
        <x:v>大陆数</x:v>
      </x:c>
      <x:c r="B5" s="19" t="n">
        <x:v>8</x:v>
      </x:c>
      <x:c r="C5" s="19" t="n">
        <x:v>8</x:v>
      </x:c>
      <x:c r="D5" s="19" t="str">
        <x:f>IF(B5=C5,"通过","异常")</x:f>
        <x:v>通过</x:v>
      </x:c>
      <x:c r="E5" s="19" t="str">
        <x:v>C03—C10</x:v>
      </x:c>
    </x:row>
    <x:row r="6" ht="28" customHeight="1">
      <x:c r="A6" s="20" t="str">
        <x:v>地图组数</x:v>
      </x:c>
      <x:c r="B6" s="20" t="n">
        <x:v>38</x:v>
      </x:c>
      <x:c r="C6" s="20" t="n">
        <x:v>38</x:v>
      </x:c>
      <x:c r="D6" s="20" t="str">
        <x:f>IF(B6=C6,"通过","异常")</x:f>
        <x:v>通过</x:v>
      </x:c>
      <x:c r="E6" s="20" t="str">
        <x:v>现行10大陆结构</x:v>
      </x:c>
    </x:row>
    <x:row r="7" ht="28" customHeight="1">
      <x:c r="A7" s="20" t="str">
        <x:v>地图数</x:v>
      </x:c>
      <x:c r="B7" s="20" t="n">
        <x:v>144</x:v>
      </x:c>
      <x:c r="C7" s="20" t="n">
        <x:f>COUNTA('01_地图总览'!$A$5:$A$148)</x:f>
        <x:v>144</x:v>
      </x:c>
      <x:c r="D7" s="20" t="str">
        <x:f>IF(B7=C7,"通过","异常")</x:f>
        <x:v>通过</x:v>
      </x:c>
      <x:c r="E7" s="20" t="str">
        <x:v>逐层唯一地图号</x:v>
      </x:c>
    </x:row>
    <x:row r="8" ht="28" customHeight="1">
      <x:c r="A8" s="20" t="str">
        <x:v>怪物总数</x:v>
      </x:c>
      <x:c r="B8" s="20" t="n">
        <x:v>464</x:v>
      </x:c>
      <x:c r="C8" s="20" t="n">
        <x:f>COUNTA('02_怪物与专属'!$A$5:$A$468)</x:f>
        <x:v>464</x:v>
      </x:c>
      <x:c r="D8" s="20" t="str">
        <x:f>IF(B8=C8,"通过","异常")</x:f>
        <x:v>通过</x:v>
      </x:c>
      <x:c r="E8" s="20" t="str">
        <x:v>38组×12＋8守关</x:v>
      </x:c>
    </x:row>
    <x:row r="9" ht="28" customHeight="1">
      <x:c r="A9" s="20" t="str">
        <x:v>普通怪</x:v>
      </x:c>
      <x:c r="B9" s="20" t="n">
        <x:v>228</x:v>
      </x:c>
      <x:c r="C9" s="20" t="n">
        <x:f>COUNTIF('02_怪物与专属'!$K$5:$K$468,"普通")</x:f>
        <x:v>228</x:v>
      </x:c>
      <x:c r="D9" s="20" t="str">
        <x:f>IF(B9=C9,"通过","异常")</x:f>
        <x:v>通过</x:v>
      </x:c>
      <x:c r="E9" s="20" t="str">
        <x:v>每组6只</x:v>
      </x:c>
    </x:row>
    <x:row r="10" ht="28" customHeight="1">
      <x:c r="A10" s="20" t="str">
        <x:v>稀有怪</x:v>
      </x:c>
      <x:c r="B10" s="20" t="n">
        <x:v>152</x:v>
      </x:c>
      <x:c r="C10" s="20" t="n">
        <x:f>COUNTIF('02_怪物与专属'!$K$5:$K$468,"稀有")</x:f>
        <x:v>152</x:v>
      </x:c>
      <x:c r="D10" s="20" t="str">
        <x:f>IF(B10=C10,"通过","异常")</x:f>
        <x:v>通过</x:v>
      </x:c>
      <x:c r="E10" s="20" t="str">
        <x:v>每组4只</x:v>
      </x:c>
    </x:row>
    <x:row r="11" ht="28" customHeight="1">
      <x:c r="A11" s="20" t="str">
        <x:v>地图BOSS</x:v>
      </x:c>
      <x:c r="B11" s="20" t="n">
        <x:v>76</x:v>
      </x:c>
      <x:c r="C11" s="20" t="n">
        <x:f>COUNTIF('02_怪物与专属'!$K$5:$K$468,"地图BOSS")</x:f>
        <x:v>76</x:v>
      </x:c>
      <x:c r="D11" s="20" t="str">
        <x:f>IF(B11=C11,"通过","异常")</x:f>
        <x:v>通过</x:v>
      </x:c>
      <x:c r="E11" s="20" t="str">
        <x:v>每组2只</x:v>
      </x:c>
    </x:row>
    <x:row r="12" ht="28" customHeight="1">
      <x:c r="A12" s="20" t="str">
        <x:v>守关BOSS</x:v>
      </x:c>
      <x:c r="B12" s="20" t="n">
        <x:v>8</x:v>
      </x:c>
      <x:c r="C12" s="20" t="n">
        <x:f>COUNTIF('02_怪物与专属'!$K$5:$K$468,"守关BOSS")</x:f>
        <x:v>8</x:v>
      </x:c>
      <x:c r="D12" s="20" t="str">
        <x:f>IF(B12=C12,"通过","异常")</x:f>
        <x:v>通过</x:v>
      </x:c>
      <x:c r="E12" s="20" t="str">
        <x:v>每大陆1只</x:v>
      </x:c>
    </x:row>
    <x:row r="13" ht="28" customHeight="1">
      <x:c r="A13" s="20" t="str">
        <x:v>一怪一专属</x:v>
      </x:c>
      <x:c r="B13" s="20" t="n">
        <x:v>464</x:v>
      </x:c>
      <x:c r="C13" s="20" t="n">
        <x:f>COUNTA('02_怪物与专属'!$N$5:$N$468)</x:f>
        <x:v>464</x:v>
      </x:c>
      <x:c r="D13" s="20" t="str">
        <x:f>IF(B13=C13,"通过","异常")</x:f>
        <x:v>通过</x:v>
      </x:c>
      <x:c r="E13" s="20" t="str">
        <x:v>专属名称唯一</x:v>
      </x:c>
    </x:row>
    <x:row r="14" ht="28" customHeight="1">
      <x:c r="A14" s="20" t="str">
        <x:v>已入库材料引用</x:v>
      </x:c>
      <x:c r="B14" s="20" t="n">
        <x:v>56</x:v>
      </x:c>
      <x:c r="C14" s="20" t="n">
        <x:f>COUNTIF('03_材料来源'!$L$5:$L$68,"已正式入库")</x:f>
        <x:v>56</x:v>
      </x:c>
      <x:c r="D14" s="20" t="str">
        <x:f>IF(B14=C14,"通过","异常")</x:f>
        <x:v>通过</x:v>
      </x:c>
      <x:c r="E14" s="20" t="str">
        <x:v>8大陆×7件</x:v>
      </x:c>
    </x:row>
    <x:row r="15" ht="28" customHeight="1">
      <x:c r="A15" s="20" t="str">
        <x:v>大陆收藏材料</x:v>
      </x:c>
      <x:c r="B15" s="20" t="n">
        <x:v>8</x:v>
      </x:c>
      <x:c r="C15" s="20" t="n">
        <x:f>COUNTIF('03_材料来源'!$F$5:$F$68,"大陆收藏材料")</x:f>
        <x:v>8</x:v>
      </x:c>
      <x:c r="D15" s="20" t="str">
        <x:f>IF(B15=C15,"通过","异常")</x:f>
        <x:v>通过</x:v>
      </x:c>
      <x:c r="E15" s="20" t="str">
        <x:v>名称定稿、编码待分配</x:v>
      </x:c>
    </x:row>
    <x:row r="16" ht="28" customHeight="1">
      <x:c r="A16" s="20" t="str">
        <x:v>怪物名称重复</x:v>
      </x:c>
      <x:c r="B16" s="20" t="n">
        <x:v>0</x:v>
      </x:c>
      <x:c r="C16" s="20" t="n">
        <x:v>0</x:v>
      </x:c>
      <x:c r="D16" s="20" t="str">
        <x:f>IF(B16=C16,"通过","异常")</x:f>
        <x:v>通过</x:v>
      </x:c>
      <x:c r="E16" s="20" t="str">
        <x:v>C3—C10内部</x:v>
      </x:c>
    </x:row>
    <x:row r="17" ht="28" customHeight="1">
      <x:c r="A17" s="20" t="str">
        <x:v>专属装备名称重复</x:v>
      </x:c>
      <x:c r="B17" s="20" t="n">
        <x:v>0</x:v>
      </x:c>
      <x:c r="C17" s="20" t="n">
        <x:v>0</x:v>
      </x:c>
      <x:c r="D17" s="20" t="str">
        <x:f>IF(B17=C17,"通过","异常")</x:f>
        <x:v>通过</x:v>
      </x:c>
      <x:c r="E17" s="20" t="str">
        <x:v>C3—C10内部</x:v>
      </x:c>
    </x:row>
    <x:row r="18" ht="28" customHeight="1">
      <x:c r="A18" s="20" t="str">
        <x:v>地图号重复</x:v>
      </x:c>
      <x:c r="B18" s="20" t="n">
        <x:v>0</x:v>
      </x:c>
      <x:c r="C18" s="20" t="n">
        <x:v>0</x:v>
      </x:c>
      <x:c r="D18" s="20" t="str">
        <x:f>IF(B18=C18,"通过","异常")</x:f>
        <x:v>通过</x:v>
      </x:c>
      <x:c r="E18" s="20" t="str">
        <x:v>C3—C10内部</x:v>
      </x:c>
    </x:row>
    <x:row r="19" ht="28" customHeight="1">
      <x:c r="A19" s="20" t="str">
        <x:v>第一二大陆怪名碰撞</x:v>
      </x:c>
      <x:c r="B19" s="20" t="n">
        <x:v>0</x:v>
      </x:c>
      <x:c r="C19" s="20" t="n">
        <x:v>0</x:v>
      </x:c>
      <x:c r="D19" s="20" t="str">
        <x:f>IF(B19=C19,"通过","异常")</x:f>
        <x:v>通过</x:v>
      </x:c>
      <x:c r="E19" s="20" t="str">
        <x:v>与现行97怪比对</x:v>
      </x:c>
    </x:row>
    <x:row r="20" ht="28" customHeight="1">
      <x:c r="A20" s="20" t="str">
        <x:v>现有装备名称碰撞</x:v>
      </x:c>
      <x:c r="B20" s="20" t="n">
        <x:v>0</x:v>
      </x:c>
      <x:c r="C20" s="20" t="n">
        <x:v>0</x:v>
      </x:c>
      <x:c r="D20" s="20" t="str">
        <x:f>IF(B20=C20,"通过","异常")</x:f>
        <x:v>通过</x:v>
      </x:c>
      <x:c r="E20" s="20" t="str">
        <x:v>与160制式＋105专属比对</x:v>
      </x:c>
    </x:row>
    <x:row r="21" ht="28" customHeight="1">
      <x:c r="A21" s="20" t="str">
        <x:v>禁用部位</x:v>
      </x:c>
      <x:c r="B21" s="20" t="n">
        <x:v>0</x:v>
      </x:c>
      <x:c r="C21" s="20" t="n">
        <x:v>0</x:v>
      </x:c>
      <x:c r="D21" s="20" t="str">
        <x:f>IF(B21=C21,"通过","异常")</x:f>
        <x:v>通过</x:v>
      </x:c>
      <x:c r="E21" s="20" t="str">
        <x:v>马牌／战鼓／军鼓／灵玉／宝石／时装首饰盒／生肖</x:v>
      </x:c>
    </x:row>
    <x:row r="22" ht="28" customHeight="1">
      <x:c r="A22" s="20" t="str">
        <x:v>大陆收藏材料重名</x:v>
      </x:c>
      <x:c r="B22" s="20" t="n">
        <x:v>0</x:v>
      </x:c>
      <x:c r="C22" s="20" t="n">
        <x:v>0</x:v>
      </x:c>
      <x:c r="D22" s="20" t="str">
        <x:f>IF(B22=C22,"通过","异常")</x:f>
        <x:v>通过</x:v>
      </x:c>
      <x:c r="E22" s="20" t="str">
        <x:v>含现有材料库碰撞检查</x:v>
      </x:c>
    </x:row>
    <x:row r="26" ht="32" customHeight="1">
      <x:c r="A26" s="13" t="str">
        <x:v>非阻塞提示</x:v>
      </x:c>
      <x:c r="B26" s="13" t="str">
        <x:v>内容</x:v>
      </x:c>
      <x:c r="C26" s="13"/>
      <x:c r="D26" s="13"/>
      <x:c r="E26" s="13"/>
    </x:row>
    <x:row r="27" ht="40" customHeight="1">
      <x:c r="A27" s="19" t="str">
        <x:v>部位覆盖</x:v>
      </x:c>
      <x:c r="B27" s="19" t="str">
        <x:v>C03/海风断崖仅覆盖8个部位；C03/失落驿道仅覆盖7个部位；C03/古战场遗迹仅覆盖8个部位；C03/黄金树哨垒仅覆盖8个部位</x:v>
      </x:c>
      <x:c r="C27" s="19"/>
      <x:c r="D27" s="19"/>
      <x:c r="E27" s="19"/>
    </x:row>
  </x:sheetData>
  <x:mergeCells>
    <x:mergeCell ref="A1:E1"/>
    <x:mergeCell ref="A2:E2"/>
    <x:mergeCell ref="B27:E27"/>
  </x:mergeCells>
  <x:conditionalFormatting sqref="D5:D22">
    <x:cfRule type="containsText" dxfId="6" priority="1" operator="containsText" text="通过"/>
    <x:cfRule type="containsText" dxfId="7" priority="2" operator="containsText" text="异常"/>
  </x:conditionalFormatting>
  <x:pageMargins left="0.7" right="0.7" top="0.75" bottom="0.75" header="0.3" footer="0.3"/>
  <x:tableParts count="1">
    <x:tablePart xmlns:r="http://schemas.openxmlformats.org/officeDocument/2006/relationships" r:id="Re1fc137f122a4cdc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16" hidden="0" customWidth="1"/>
    <x:col min="3" max="3" width="16" hidden="0" customWidth="1"/>
    <x:col min="4" max="4" width="12" hidden="0" customWidth="1"/>
    <x:col min="5" max="5" width="34" hidden="0" customWidth="1"/>
    <x:col min="6" max="6" width="22" hidden="0" customWidth="1"/>
    <x:col min="7" max="7" width="66" hidden="0" customWidth="1"/>
  </x:cols>
  <x:sheetData>
    <x:row r="1" ht="34" customHeight="1">
      <x:c r="A1" s="3" t="str">
        <x:v>编码需求、冻结范围与后续施工</x:v>
      </x:c>
      <x:c r="B1" s="3" t="str">
        <x:v>编码需求、冻结范围与后续施工</x:v>
      </x:c>
      <x:c r="C1" s="3" t="str">
        <x:v>编码需求、冻结范围与后续施工</x:v>
      </x:c>
      <x:c r="D1" s="3" t="str">
        <x:v>编码需求、冻结范围与后续施工</x:v>
      </x:c>
      <x:c r="E1" s="3" t="str">
        <x:v>编码需求、冻结范围与后续施工</x:v>
      </x:c>
      <x:c r="F1" s="3" t="str">
        <x:v>编码需求、冻结范围与后续施工</x:v>
      </x:c>
      <x:c r="G1" s="3" t="str">
        <x:v>编码需求、冻结范围与后续施工</x:v>
      </x:c>
    </x:row>
    <x:row r="2" ht="40" customHeight="1">
      <x:c r="A2" s="7" t="str">
        <x:v>本版完成阶段性来源码规划：按现行模板严格映射衣服→男衣服、斗笠→面巾（StdMode16/位置13），排除C1/C2现用编号及材料Items Looks 6398—6462。所有分配均为规划锁定，平台导入前仍需实库回读。</x:v>
      </x:c>
      <x:c r="B2" s="7" t="str">
        <x:v>本版完成阶段性来源码规划：按现行模板严格映射衣服→男衣服、斗笠→面巾（StdMode16/位置13），排除C1/C2现用编号及材料Items Looks 6398—6462。所有分配均为规划锁定，平台导入前仍需实库回读。</x:v>
      </x:c>
      <x:c r="C2" s="7" t="str">
        <x:v>本版完成阶段性来源码规划：按现行模板严格映射衣服→男衣服、斗笠→面巾（StdMode16/位置13），排除C1/C2现用编号及材料Items Looks 6398—6462。所有分配均为规划锁定，平台导入前仍需实库回读。</x:v>
      </x:c>
      <x:c r="D2" s="7" t="str">
        <x:v>本版完成阶段性来源码规划：按现行模板严格映射衣服→男衣服、斗笠→面巾（StdMode16/位置13），排除C1/C2现用编号及材料Items Looks 6398—6462。所有分配均为规划锁定，平台导入前仍需实库回读。</x:v>
      </x:c>
      <x:c r="E2" s="7" t="str">
        <x:v>本版完成阶段性来源码规划：按现行模板严格映射衣服→男衣服、斗笠→面巾（StdMode16/位置13），排除C1/C2现用编号及材料Items Looks 6398—6462。所有分配均为规划锁定，平台导入前仍需实库回读。</x:v>
      </x:c>
      <x:c r="F2" s="7" t="str">
        <x:v>本版完成阶段性来源码规划：按现行模板严格映射衣服→男衣服、斗笠→面巾（StdMode16/位置13），排除C1/C2现用编号及材料Items Looks 6398—6462。所有分配均为规划锁定，平台导入前仍需实库回读。</x:v>
      </x:c>
      <x:c r="G2" s="7" t="str">
        <x:v>本版完成阶段性来源码规划：按现行模板严格映射衣服→男衣服、斗笠→面巾（StdMode16/位置13），排除C1/C2现用编号及材料Items Looks 6398—6462。所有分配均为规划锁定，平台导入前仍需实库回读。</x:v>
      </x:c>
    </x:row>
    <x:row r="4" ht="32" customHeight="1">
      <x:c r="A4" s="13" t="str">
        <x:v>对象</x:v>
      </x:c>
      <x:c r="B4" s="13" t="str">
        <x:v>编码类型</x:v>
      </x:c>
      <x:c r="C4" s="13" t="str">
        <x:v>需求数</x:v>
      </x:c>
      <x:c r="D4" s="13" t="str">
        <x:v>已锁定</x:v>
      </x:c>
      <x:c r="E4" s="13" t="str">
        <x:v>待分配</x:v>
      </x:c>
      <x:c r="F4" s="13" t="str">
        <x:v>状态</x:v>
      </x:c>
      <x:c r="G4" s="13" t="str">
        <x:v>处理规则</x:v>
      </x:c>
    </x:row>
    <x:row r="5" ht="30" customHeight="1">
      <x:c r="A5" s="19" t="str">
        <x:v>C3—C10怪物</x:v>
      </x:c>
      <x:c r="B5" s="19" t="str">
        <x:v>怪物／模型编号</x:v>
      </x:c>
      <x:c r="C5" s="19" t="n">
        <x:v>464</x:v>
      </x:c>
      <x:c r="D5" s="19" t="n">
        <x:v>0</x:v>
      </x:c>
      <x:c r="E5" s="19" t="str">
        <x:v>用户侧处理</x:v>
      </x:c>
      <x:c r="F5" s="28" t="str">
        <x:v>不在本窗口分配</x:v>
      </x:c>
      <x:c r="G5" s="19" t="str">
        <x:v>用户自行选择模型与怪物编码；本表只维护名称、地图和来源关系</x:v>
      </x:c>
    </x:row>
    <x:row r="6" ht="30" customHeight="1">
      <x:c r="A6" s="20" t="str">
        <x:v>C3—C10一怪一专属</x:v>
      </x:c>
      <x:c r="B6" s="20" t="str">
        <x:v>装备来源编号</x:v>
      </x:c>
      <x:c r="C6" s="20" t="n">
        <x:v>464</x:v>
      </x:c>
      <x:c r="D6" s="20" t="n">
        <x:v>342</x:v>
      </x:c>
      <x:c r="E6" s="20" t="n">
        <x:v>122</x:v>
      </x:c>
      <x:c r="F6" s="29" t="str">
        <x:v>阶段分配完成</x:v>
      </x:c>
      <x:c r="G6" s="20" t="str">
        <x:v>已锁定342码；缺武器60、衣服51、斗笠11；平台导入前实库回读</x:v>
      </x:c>
    </x:row>
    <x:row r="7" ht="30" customHeight="1">
      <x:c r="A7" s="20" t="str">
        <x:v>既有大陆材料</x:v>
      </x:c>
      <x:c r="B7" s="20" t="str">
        <x:v>材料Idx</x:v>
      </x:c>
      <x:c r="C7" s="20" t="n">
        <x:v>56</x:v>
      </x:c>
      <x:c r="D7" s="20" t="n">
        <x:v>56</x:v>
      </x:c>
      <x:c r="E7" s="20" t="n">
        <x:v>0</x:v>
      </x:c>
      <x:c r="F7" s="22" t="str">
        <x:v>已锁定</x:v>
      </x:c>
      <x:c r="G7" s="20" t="str">
        <x:v>C3—C10现有Idx 916—971中的对应56件，不改号</x:v>
      </x:c>
    </x:row>
    <x:row r="8" ht="30" customHeight="1">
      <x:c r="A8" s="20" t="str">
        <x:v>既有材料图标</x:v>
      </x:c>
      <x:c r="B8" s="20" t="str">
        <x:v>Items Looks</x:v>
      </x:c>
      <x:c r="C8" s="20" t="n">
        <x:v>56</x:v>
      </x:c>
      <x:c r="D8" s="20" t="n">
        <x:v>56</x:v>
      </x:c>
      <x:c r="E8" s="20" t="n">
        <x:v>0</x:v>
      </x:c>
      <x:c r="F8" s="22" t="str">
        <x:v>已锁定</x:v>
      </x:c>
      <x:c r="G8" s="20" t="str">
        <x:v>对应Looks 6407—6462，不得分配给装备</x:v>
      </x:c>
    </x:row>
    <x:row r="9" ht="30" customHeight="1">
      <x:c r="A9" s="20" t="str">
        <x:v>大陆收藏材料</x:v>
      </x:c>
      <x:c r="B9" s="20" t="str">
        <x:v>材料Idx＋Items Looks</x:v>
      </x:c>
      <x:c r="C9" s="20" t="n">
        <x:v>8</x:v>
      </x:c>
      <x:c r="D9" s="20" t="str">
        <x:v>Idx 8／Looks 0</x:v>
      </x:c>
      <x:c r="E9" s="20" t="str">
        <x:v>Items Looks 8</x:v>
      </x:c>
      <x:c r="F9" s="29" t="str">
        <x:v>Idx已规划／Looks待补</x:v>
      </x:c>
      <x:c r="G9" s="20" t="str">
        <x:v>Idx 972—979启用；需8个不与装备库冲突的Items Looks；未写库</x:v>
      </x:c>
    </x:row>
    <x:row r="10" ht="30" customHeight="1">
      <x:c r="A10" s="20" t="str">
        <x:v>追梦六神器</x:v>
      </x:c>
      <x:c r="B10" s="20" t="str">
        <x:v>用户本机时装首饰盒部位</x:v>
      </x:c>
      <x:c r="C10" s="20" t="n">
        <x:v>6</x:v>
      </x:c>
      <x:c r="D10" s="20" t="n">
        <x:v>6</x:v>
      </x:c>
      <x:c r="E10" s="20" t="n">
        <x:v>0</x:v>
      </x:c>
      <x:c r="F10" s="29" t="str">
        <x:v>永久保留</x:v>
      </x:c>
      <x:c r="G10" s="20" t="str">
        <x:v>只按名称引用，任何导入表不得覆盖本机部位</x:v>
      </x:c>
    </x:row>
    <x:row r="11" ht="30" customHeight="1">
      <x:c r="A11" s="20" t="str">
        <x:v>怪物／装备属性</x:v>
      </x:c>
      <x:c r="B11" s="20" t="str">
        <x:v>数值字段</x:v>
      </x:c>
      <x:c r="C11" s="20" t="n">
        <x:v>464</x:v>
      </x:c>
      <x:c r="D11" s="20" t="n">
        <x:v>0</x:v>
      </x:c>
      <x:c r="E11" s="20" t="n">
        <x:v>464</x:v>
      </x:c>
      <x:c r="F11" s="29" t="str">
        <x:v>延后</x:v>
      </x:c>
      <x:c r="G11" s="20" t="str">
        <x:v>外围框架完成后统一平衡</x:v>
      </x:c>
    </x:row>
    <x:row r="14" ht="32" customHeight="1">
      <x:c r="A14" s="13" t="str">
        <x:v>冻结／保留对象</x:v>
      </x:c>
      <x:c r="B14" s="13" t="str">
        <x:v>起点</x:v>
      </x:c>
      <x:c r="C14" s="13" t="str">
        <x:v>终点</x:v>
      </x:c>
      <x:c r="D14" s="13" t="str">
        <x:v>数量</x:v>
      </x:c>
      <x:c r="E14" s="13" t="str">
        <x:v>当前用途</x:v>
      </x:c>
      <x:c r="F14" s="13" t="str">
        <x:v>可否直接使用</x:v>
      </x:c>
      <x:c r="G14" s="13" t="str">
        <x:v>说明</x:v>
      </x:c>
    </x:row>
    <x:row r="15" ht="30" customHeight="1">
      <x:c r="A15" s="19" t="str">
        <x:v>材料Idx预留</x:v>
      </x:c>
      <x:c r="B15" s="19" t="n">
        <x:v>972</x:v>
      </x:c>
      <x:c r="C15" s="19" t="n">
        <x:v>983</x:v>
      </x:c>
      <x:c r="D15" s="19" t="n">
        <x:v>12</x:v>
      </x:c>
      <x:c r="E15" s="19" t="str">
        <x:v>冻结预留</x:v>
      </x:c>
      <x:c r="F15" s="19" t="str">
        <x:v>否</x:v>
      </x:c>
      <x:c r="G15" s="19" t="str">
        <x:v>大陆收藏材料需要8个，但正式分配前仍需确认实库</x:v>
      </x:c>
    </x:row>
    <x:row r="16" ht="30" customHeight="1">
      <x:c r="A16" s="20" t="str">
        <x:v>材料Items Looks占用</x:v>
      </x:c>
      <x:c r="B16" s="20" t="n">
        <x:v>6398</x:v>
      </x:c>
      <x:c r="C16" s="20" t="n">
        <x:v>6462</x:v>
      </x:c>
      <x:c r="D16" s="20" t="n">
        <x:v>65</x:v>
      </x:c>
      <x:c r="E16" s="20" t="str">
        <x:v>65件批次A材料</x:v>
      </x:c>
      <x:c r="F16" s="20" t="str">
        <x:v>否</x:v>
      </x:c>
      <x:c r="G16" s="20" t="str">
        <x:v>与装备候选数字段重叠，材料写入优先</x:v>
      </x:c>
    </x:row>
    <x:row r="17" ht="30" customHeight="1">
      <x:c r="A17" s="20" t="str">
        <x:v>六个时装首饰盒</x:v>
      </x:c>
      <x:c r="B17" s="20"/>
      <x:c r="C17" s="20"/>
      <x:c r="D17" s="20" t="n">
        <x:v>6</x:v>
      </x:c>
      <x:c r="E17" s="20" t="str">
        <x:v>追梦神器</x:v>
      </x:c>
      <x:c r="F17" s="20" t="str">
        <x:v>否</x:v>
      </x:c>
      <x:c r="G17" s="20" t="str">
        <x:v>具体槽位以用户本机为最高依据</x:v>
      </x:c>
    </x:row>
    <x:row r="18" ht="30" customHeight="1">
      <x:c r="A18" s="20" t="str">
        <x:v>常规怪物专属禁配</x:v>
      </x:c>
      <x:c r="B18" s="20"/>
      <x:c r="C18" s="20"/>
      <x:c r="D18" s="20" t="n">
        <x:v>4</x:v>
      </x:c>
      <x:c r="E18" s="20" t="str">
        <x:v>马牌／战鼓／灵玉／宝石</x:v>
      </x:c>
      <x:c r="F18" s="20" t="str">
        <x:v>否</x:v>
      </x:c>
      <x:c r="G18" s="20" t="str">
        <x:v>不得通过改名规避禁配</x:v>
      </x:c>
    </x:row>
    <x:row r="19" ht="30" customHeight="1">
      <x:c r="A19" s="20" t="str">
        <x:v>第一二大陆成品</x:v>
      </x:c>
      <x:c r="B19" s="20"/>
      <x:c r="C19" s="20"/>
      <x:c r="D19" s="20" t="n">
        <x:v>5</x:v>
      </x:c>
      <x:c r="E19" s="20" t="str">
        <x:v>既有怪物／装备／爆率／资源表</x:v>
      </x:c>
      <x:c r="F19" s="20" t="str">
        <x:v>否</x:v>
      </x:c>
      <x:c r="G19" s="20" t="str">
        <x:v>本轮不修改其任何内容或哈希</x:v>
      </x:c>
    </x:row>
    <x:row r="20" ht="30" customHeight="1">
      <x:c r="A20" s="20" t="str">
        <x:v>数值平衡</x:v>
      </x:c>
      <x:c r="B20" s="20"/>
      <x:c r="C20" s="20"/>
      <x:c r="D20" s="20"/>
      <x:c r="E20" s="20" t="str">
        <x:v>后续集中施工</x:v>
      </x:c>
      <x:c r="F20" s="20" t="str">
        <x:v>否</x:v>
      </x:c>
      <x:c r="G20" s="20" t="str">
        <x:v>先完成NPC、怪物、装备、材料和来源框架</x:v>
      </x:c>
    </x:row>
  </x:sheetData>
  <x:mergeCells>
    <x:mergeCell ref="A1:G1"/>
    <x:mergeCell ref="A2:G2"/>
  </x:mergeCells>
  <x:pageMargins left="0.7" right="0.7" top="0.75" bottom="0.75" header="0.3" footer="0.3"/>
  <x:tableParts count="2">
    <x:tablePart xmlns:r="http://schemas.openxmlformats.org/officeDocument/2006/relationships" r:id="R6217c4b5bb154ece"/>
    <x:tablePart xmlns:r="http://schemas.openxmlformats.org/officeDocument/2006/relationships" r:id="R9034270f1b43451d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9" hidden="0" customWidth="1"/>
    <x:col min="3" max="3" width="16" hidden="0" customWidth="1"/>
    <x:col min="4" max="4" width="11" hidden="0" customWidth="1"/>
    <x:col min="5" max="5" width="20" hidden="0" customWidth="1"/>
    <x:col min="6" max="6" width="12" hidden="0" customWidth="1"/>
    <x:col min="7" max="7" width="22" hidden="0" customWidth="1"/>
    <x:col min="8" max="8" width="12" hidden="0" customWidth="1"/>
    <x:col min="9" max="9" width="28" hidden="0" customWidth="1"/>
    <x:col min="10" max="10" width="16" hidden="0" customWidth="1"/>
    <x:col min="11" max="11" width="32" hidden="0" customWidth="1"/>
    <x:col min="12" max="12" width="50" hidden="0" customWidth="1"/>
  </x:cols>
  <x:sheetData>
    <x:row r="1" ht="30" customHeight="1">
      <x:c r="A1" s="39" t="str">
        <x:v>第3—10大陆逐怪专属来源编号分配</x:v>
      </x:c>
      <x:c r="B1" s="39" t="str">
        <x:v>第3—10大陆逐怪专属来源编号分配</x:v>
      </x:c>
      <x:c r="C1" s="39" t="str">
        <x:v>第3—10大陆逐怪专属来源编号分配</x:v>
      </x:c>
      <x:c r="D1" s="39" t="str">
        <x:v>第3—10大陆逐怪专属来源编号分配</x:v>
      </x:c>
      <x:c r="E1" s="39" t="str">
        <x:v>第3—10大陆逐怪专属来源编号分配</x:v>
      </x:c>
      <x:c r="F1" s="39" t="str">
        <x:v>第3—10大陆逐怪专属来源编号分配</x:v>
      </x:c>
      <x:c r="G1" s="39" t="str">
        <x:v>第3—10大陆逐怪专属来源编号分配</x:v>
      </x:c>
      <x:c r="H1" s="39" t="str">
        <x:v>第3—10大陆逐怪专属来源编号分配</x:v>
      </x:c>
      <x:c r="I1" s="39" t="str">
        <x:v>第3—10大陆逐怪专属来源编号分配</x:v>
      </x:c>
      <x:c r="J1" s="39" t="str">
        <x:v>第3—10大陆逐怪专属来源编号分配</x:v>
      </x:c>
      <x:c r="K1" s="39" t="str">
        <x:v>第3—10大陆逐怪专属来源编号分配</x:v>
      </x:c>
      <x:c r="L1" s="39" t="str">
        <x:v>第3—10大陆逐怪专属来源编号分配</x:v>
      </x:c>
    </x:row>
    <x:row r="2" ht="38" customHeight="1">
      <x:c r="A2" s="43" t="str">
        <x:v>一行对应一件概念专属。来源编号为Items／StateItem／DnItems三库同码；空缺以明确缺码状态保留。旧资源只作规划锁定，正式入库前仍须回读。怪物模型与编码不在此表处理。</x:v>
      </x:c>
      <x:c r="B2" s="43" t="str">
        <x:v>一行对应一件概念专属。来源编号为Items／StateItem／DnItems三库同码；空缺以明确缺码状态保留。旧资源只作规划锁定，正式入库前仍须回读。怪物模型与编码不在此表处理。</x:v>
      </x:c>
      <x:c r="C2" s="43" t="str">
        <x:v>一行对应一件概念专属。来源编号为Items／StateItem／DnItems三库同码；空缺以明确缺码状态保留。旧资源只作规划锁定，正式入库前仍须回读。怪物模型与编码不在此表处理。</x:v>
      </x:c>
      <x:c r="D2" s="43" t="str">
        <x:v>一行对应一件概念专属。来源编号为Items／StateItem／DnItems三库同码；空缺以明确缺码状态保留。旧资源只作规划锁定，正式入库前仍须回读。怪物模型与编码不在此表处理。</x:v>
      </x:c>
      <x:c r="E2" s="43" t="str">
        <x:v>一行对应一件概念专属。来源编号为Items／StateItem／DnItems三库同码；空缺以明确缺码状态保留。旧资源只作规划锁定，正式入库前仍须回读。怪物模型与编码不在此表处理。</x:v>
      </x:c>
      <x:c r="F2" s="43" t="str">
        <x:v>一行对应一件概念专属。来源编号为Items／StateItem／DnItems三库同码；空缺以明确缺码状态保留。旧资源只作规划锁定，正式入库前仍须回读。怪物模型与编码不在此表处理。</x:v>
      </x:c>
      <x:c r="G2" s="43" t="str">
        <x:v>一行对应一件概念专属。来源编号为Items／StateItem／DnItems三库同码；空缺以明确缺码状态保留。旧资源只作规划锁定，正式入库前仍须回读。怪物模型与编码不在此表处理。</x:v>
      </x:c>
      <x:c r="H2" s="43" t="str">
        <x:v>一行对应一件概念专属。来源编号为Items／StateItem／DnItems三库同码；空缺以明确缺码状态保留。旧资源只作规划锁定，正式入库前仍须回读。怪物模型与编码不在此表处理。</x:v>
      </x:c>
      <x:c r="I2" s="43" t="str">
        <x:v>一行对应一件概念专属。来源编号为Items／StateItem／DnItems三库同码；空缺以明确缺码状态保留。旧资源只作规划锁定，正式入库前仍须回读。怪物模型与编码不在此表处理。</x:v>
      </x:c>
      <x:c r="J2" s="43" t="str">
        <x:v>一行对应一件概念专属。来源编号为Items／StateItem／DnItems三库同码；空缺以明确缺码状态保留。旧资源只作规划锁定，正式入库前仍须回读。怪物模型与编码不在此表处理。</x:v>
      </x:c>
      <x:c r="K2" s="43" t="str">
        <x:v>一行对应一件概念专属。来源编号为Items／StateItem／DnItems三库同码；空缺以明确缺码状态保留。旧资源只作规划锁定，正式入库前仍须回读。怪物模型与编码不在此表处理。</x:v>
      </x:c>
      <x:c r="L2" s="43" t="str">
        <x:v>一行对应一件概念专属。来源编号为Items／StateItem／DnItems三库同码；空缺以明确缺码状态保留。旧资源只作规划锁定，正式入库前仍须回读。怪物模型与编码不在此表处理。</x:v>
      </x:c>
    </x:row>
    <x:row r="4" ht="30" customHeight="1">
      <x:c r="A4" s="49" t="str">
        <x:v>记录ID</x:v>
      </x:c>
      <x:c r="B4" s="49" t="str">
        <x:v>大陆ID</x:v>
      </x:c>
      <x:c r="C4" s="49" t="str">
        <x:v>大陆</x:v>
      </x:c>
      <x:c r="D4" s="49" t="str">
        <x:v>地图号</x:v>
      </x:c>
      <x:c r="E4" s="49" t="str">
        <x:v>怪物名称</x:v>
      </x:c>
      <x:c r="F4" s="49" t="str">
        <x:v>类别</x:v>
      </x:c>
      <x:c r="G4" s="49" t="str">
        <x:v>专属名称</x:v>
      </x:c>
      <x:c r="H4" s="49" t="str">
        <x:v>概念部位</x:v>
      </x:c>
      <x:c r="I4" s="49" t="str">
        <x:v>资源库部位</x:v>
      </x:c>
      <x:c r="J4" s="49" t="str">
        <x:v>装备来源编号</x:v>
      </x:c>
      <x:c r="K4" s="49" t="str">
        <x:v>分配状态</x:v>
      </x:c>
      <x:c r="L4" s="49" t="str">
        <x:v>说明</x:v>
      </x:c>
    </x:row>
    <x:row r="5" ht="34" customHeight="1">
      <x:c r="A5" s="69" t="str">
        <x:v>C03-M001</x:v>
      </x:c>
      <x:c r="B5" s="70" t="str">
        <x:v>C03</x:v>
      </x:c>
      <x:c r="C5" s="70" t="str">
        <x:v>宁姆格福西域</x:v>
      </x:c>
      <x:c r="D5" s="70" t="str">
        <x:v>XX776</x:v>
      </x:c>
      <x:c r="E5" s="70" t="str">
        <x:v>荒原拾骨者</x:v>
      </x:c>
      <x:c r="F5" s="70" t="str">
        <x:v>普通</x:v>
      </x:c>
      <x:c r="G5" s="70" t="str">
        <x:v>拾骨弯刀</x:v>
      </x:c>
      <x:c r="H5" s="70" t="str">
        <x:v>武器</x:v>
      </x:c>
      <x:c r="I5" s="70" t="str">
        <x:v>武器</x:v>
      </x:c>
      <x:c r="J5" s="78"/>
      <x:c r="K5" s="70" t="str">
        <x:v>缺武器来源码</x:v>
      </x:c>
      <x:c r="L5" s="71" t="str">
        <x:v>需补同部位Items/StateItem/DnItems三库同码资源</x:v>
      </x:c>
    </x:row>
    <x:row r="6" ht="34" customHeight="1">
      <x:c r="A6" s="72" t="str">
        <x:v>C03-M002</x:v>
      </x:c>
      <x:c r="B6" s="73" t="str">
        <x:v>C03</x:v>
      </x:c>
      <x:c r="C6" s="73" t="str">
        <x:v>宁姆格福西域</x:v>
      </x:c>
      <x:c r="D6" s="73" t="str">
        <x:v>XX775</x:v>
      </x:c>
      <x:c r="E6" s="73" t="str">
        <x:v>断旗步兵</x:v>
      </x:c>
      <x:c r="F6" s="73" t="str">
        <x:v>普通</x:v>
      </x:c>
      <x:c r="G6" s="73" t="str">
        <x:v>断旗战链</x:v>
      </x:c>
      <x:c r="H6" s="73" t="str">
        <x:v>项链</x:v>
      </x:c>
      <x:c r="I6" s="73" t="str">
        <x:v>项链</x:v>
      </x:c>
      <x:c r="J6" s="79" t="n">
        <x:v>6471</x:v>
      </x:c>
      <x:c r="K6" s="73" t="str">
        <x:v>预检通过资源／规划锁定／待入库</x:v>
      </x:c>
      <x:c r="L6" s="74" t="str">
        <x:v>装备资源库黄金圣树·王权</x:v>
      </x:c>
    </x:row>
    <x:row r="7" ht="34" customHeight="1">
      <x:c r="A7" s="72" t="str">
        <x:v>C03-M003</x:v>
      </x:c>
      <x:c r="B7" s="73" t="str">
        <x:v>C03</x:v>
      </x:c>
      <x:c r="C7" s="73" t="str">
        <x:v>宁姆格福西域</x:v>
      </x:c>
      <x:c r="D7" s="73" t="str">
        <x:v>XX780</x:v>
      </x:c>
      <x:c r="E7" s="73" t="str">
        <x:v>风沙掠夺者</x:v>
      </x:c>
      <x:c r="F7" s="73" t="str">
        <x:v>普通</x:v>
      </x:c>
      <x:c r="G7" s="73" t="str">
        <x:v>掠风护腕</x:v>
      </x:c>
      <x:c r="H7" s="73" t="str">
        <x:v>手镯</x:v>
      </x:c>
      <x:c r="I7" s="73" t="str">
        <x:v>手镯</x:v>
      </x:c>
      <x:c r="J7" s="79" t="n">
        <x:v>6472</x:v>
      </x:c>
      <x:c r="K7" s="73" t="str">
        <x:v>预检通过资源／规划锁定／待入库</x:v>
      </x:c>
      <x:c r="L7" s="74" t="str">
        <x:v>装备资源库黄金圣树·王权</x:v>
      </x:c>
    </x:row>
    <x:row r="8" ht="34" customHeight="1">
      <x:c r="A8" s="72" t="str">
        <x:v>C03-M004</x:v>
      </x:c>
      <x:c r="B8" s="73" t="str">
        <x:v>C03</x:v>
      </x:c>
      <x:c r="C8" s="73" t="str">
        <x:v>宁姆格福西域</x:v>
      </x:c>
      <x:c r="D8" s="73" t="str">
        <x:v>XX780</x:v>
      </x:c>
      <x:c r="E8" s="73" t="str">
        <x:v>铁蹄战马</x:v>
      </x:c>
      <x:c r="F8" s="73" t="str">
        <x:v>普通</x:v>
      </x:c>
      <x:c r="G8" s="73" t="str">
        <x:v>铁蹄战靴</x:v>
      </x:c>
      <x:c r="H8" s="73" t="str">
        <x:v>鞋子</x:v>
      </x:c>
      <x:c r="I8" s="73" t="str">
        <x:v>鞋子</x:v>
      </x:c>
      <x:c r="J8" s="79" t="n">
        <x:v>6477</x:v>
      </x:c>
      <x:c r="K8" s="73" t="str">
        <x:v>预检通过资源／规划锁定／待入库</x:v>
      </x:c>
      <x:c r="L8" s="74" t="str">
        <x:v>装备资源库黄金圣树·王权</x:v>
      </x:c>
    </x:row>
    <x:row r="9" ht="34" customHeight="1">
      <x:c r="A9" s="72" t="str">
        <x:v>C03-M005</x:v>
      </x:c>
      <x:c r="B9" s="73" t="str">
        <x:v>C03</x:v>
      </x:c>
      <x:c r="C9" s="73" t="str">
        <x:v>宁姆格福西域</x:v>
      </x:c>
      <x:c r="D9" s="73" t="str">
        <x:v>XX776</x:v>
      </x:c>
      <x:c r="E9" s="73" t="str">
        <x:v>枯草狼</x:v>
      </x:c>
      <x:c r="F9" s="73" t="str">
        <x:v>普通</x:v>
      </x:c>
      <x:c r="G9" s="73" t="str">
        <x:v>枯草牙戒</x:v>
      </x:c>
      <x:c r="H9" s="73" t="str">
        <x:v>戒指</x:v>
      </x:c>
      <x:c r="I9" s="73" t="str">
        <x:v>戒指</x:v>
      </x:c>
      <x:c r="J9" s="79" t="n">
        <x:v>6473</x:v>
      </x:c>
      <x:c r="K9" s="73" t="str">
        <x:v>预检通过资源／规划锁定／待入库</x:v>
      </x:c>
      <x:c r="L9" s="74" t="str">
        <x:v>装备资源库黄金圣树·王权</x:v>
      </x:c>
    </x:row>
    <x:row r="10" ht="34" customHeight="1">
      <x:c r="A10" s="72" t="str">
        <x:v>C03-M006</x:v>
      </x:c>
      <x:c r="B10" s="73" t="str">
        <x:v>C03</x:v>
      </x:c>
      <x:c r="C10" s="73" t="str">
        <x:v>宁姆格福西域</x:v>
      </x:c>
      <x:c r="D10" s="73" t="str">
        <x:v>XX778</x:v>
      </x:c>
      <x:c r="E10" s="73" t="str">
        <x:v>锈甲逃兵</x:v>
      </x:c>
      <x:c r="F10" s="73" t="str">
        <x:v>普通</x:v>
      </x:c>
      <x:c r="G10" s="73" t="str">
        <x:v>锈甲腰封</x:v>
      </x:c>
      <x:c r="H10" s="73" t="str">
        <x:v>腰带</x:v>
      </x:c>
      <x:c r="I10" s="73" t="str">
        <x:v>腰带</x:v>
      </x:c>
      <x:c r="J10" s="79" t="n">
        <x:v>6478</x:v>
      </x:c>
      <x:c r="K10" s="73" t="str">
        <x:v>预检通过资源／规划锁定／待入库</x:v>
      </x:c>
      <x:c r="L10" s="74" t="str">
        <x:v>装备资源库黄金圣树·王权</x:v>
      </x:c>
    </x:row>
    <x:row r="11" ht="34" customHeight="1">
      <x:c r="A11" s="72" t="str">
        <x:v>C03-M007</x:v>
      </x:c>
      <x:c r="B11" s="73" t="str">
        <x:v>C03</x:v>
      </x:c>
      <x:c r="C11" s="73" t="str">
        <x:v>宁姆格福西域</x:v>
      </x:c>
      <x:c r="D11" s="73" t="str">
        <x:v>XX776</x:v>
      </x:c>
      <x:c r="E11" s="73" t="str">
        <x:v>西境旗卫</x:v>
      </x:c>
      <x:c r="F11" s="73" t="str">
        <x:v>稀有</x:v>
      </x:c>
      <x:c r="G11" s="73" t="str">
        <x:v>西境军盔</x:v>
      </x:c>
      <x:c r="H11" s="73" t="str">
        <x:v>头盔</x:v>
      </x:c>
      <x:c r="I11" s="73" t="str">
        <x:v>头盔</x:v>
      </x:c>
      <x:c r="J11" s="79" t="n">
        <x:v>6469</x:v>
      </x:c>
      <x:c r="K11" s="73" t="str">
        <x:v>预检通过资源／规划锁定／待入库</x:v>
      </x:c>
      <x:c r="L11" s="74" t="str">
        <x:v>装备资源库黄金圣树·王权</x:v>
      </x:c>
    </x:row>
    <x:row r="12" ht="34" customHeight="1">
      <x:c r="A12" s="72" t="str">
        <x:v>C03-M008</x:v>
      </x:c>
      <x:c r="B12" s="73" t="str">
        <x:v>C03</x:v>
      </x:c>
      <x:c r="C12" s="73" t="str">
        <x:v>宁姆格福西域</x:v>
      </x:c>
      <x:c r="D12" s="73" t="str">
        <x:v>XX775</x:v>
      </x:c>
      <x:c r="E12" s="73" t="str">
        <x:v>独眼弩将</x:v>
      </x:c>
      <x:c r="F12" s="73" t="str">
        <x:v>稀有</x:v>
      </x:c>
      <x:c r="G12" s="73" t="str">
        <x:v>独眼鹰坠</x:v>
      </x:c>
      <x:c r="H12" s="73" t="str">
        <x:v>项链</x:v>
      </x:c>
      <x:c r="I12" s="73" t="str">
        <x:v>项链</x:v>
      </x:c>
      <x:c r="J12" s="79" t="n">
        <x:v>6506</x:v>
      </x:c>
      <x:c r="K12" s="73" t="str">
        <x:v>预检通过资源／规划锁定／待入库</x:v>
      </x:c>
      <x:c r="L12" s="74" t="str">
        <x:v>装备资源库黄金圣树·律法</x:v>
      </x:c>
    </x:row>
    <x:row r="13" ht="34" customHeight="1">
      <x:c r="A13" s="72" t="str">
        <x:v>C03-M009</x:v>
      </x:c>
      <x:c r="B13" s="73" t="str">
        <x:v>C03</x:v>
      </x:c>
      <x:c r="C13" s="73" t="str">
        <x:v>宁姆格福西域</x:v>
      </x:c>
      <x:c r="D13" s="73" t="str">
        <x:v>XX780</x:v>
      </x:c>
      <x:c r="E13" s="73" t="str">
        <x:v>荒风骑士</x:v>
      </x:c>
      <x:c r="F13" s="73" t="str">
        <x:v>稀有</x:v>
      </x:c>
      <x:c r="G13" s="73" t="str">
        <x:v>荒风披甲</x:v>
      </x:c>
      <x:c r="H13" s="73" t="str">
        <x:v>衣服</x:v>
      </x:c>
      <x:c r="I13" s="73" t="str">
        <x:v>男衣服（现行模板的衣服映射）</x:v>
      </x:c>
      <x:c r="J13" s="80"/>
      <x:c r="K13" s="73" t="str">
        <x:v>缺衣服来源码</x:v>
      </x:c>
      <x:c r="L13" s="74" t="str">
        <x:v>需补男衣服StdMode10的三库同码资源；女衣服码未获准合池</x:v>
      </x:c>
    </x:row>
    <x:row r="14" ht="34" customHeight="1">
      <x:c r="A14" s="72" t="str">
        <x:v>C03-M010</x:v>
      </x:c>
      <x:c r="B14" s="73" t="str">
        <x:v>C03</x:v>
      </x:c>
      <x:c r="C14" s="73" t="str">
        <x:v>宁姆格福西域</x:v>
      </x:c>
      <x:c r="D14" s="73" t="str">
        <x:v>XX778</x:v>
      </x:c>
      <x:c r="E14" s="73" t="str">
        <x:v>战场收尸官</x:v>
      </x:c>
      <x:c r="F14" s="73" t="str">
        <x:v>稀有</x:v>
      </x:c>
      <x:c r="G14" s="73" t="str">
        <x:v>收尸骨印</x:v>
      </x:c>
      <x:c r="H14" s="73" t="str">
        <x:v>勋章</x:v>
      </x:c>
      <x:c r="I14" s="73" t="str">
        <x:v>勋章</x:v>
      </x:c>
      <x:c r="J14" s="79" t="n">
        <x:v>6474</x:v>
      </x:c>
      <x:c r="K14" s="73" t="str">
        <x:v>预检通过资源／规划锁定／待入库</x:v>
      </x:c>
      <x:c r="L14" s="74" t="str">
        <x:v>装备资源库黄金圣树·王权</x:v>
      </x:c>
    </x:row>
    <x:row r="15" ht="34" customHeight="1">
      <x:c r="A15" s="72" t="str">
        <x:v>C03-M011</x:v>
      </x:c>
      <x:c r="B15" s="73" t="str">
        <x:v>C03</x:v>
      </x:c>
      <x:c r="C15" s="73" t="str">
        <x:v>宁姆格福西域</x:v>
      </x:c>
      <x:c r="D15" s="73" t="str">
        <x:v>XX775</x:v>
      </x:c>
      <x:c r="E15" s="73" t="str">
        <x:v>断旗统领·瓦伦</x:v>
      </x:c>
      <x:c r="F15" s="73" t="str">
        <x:v>地图BOSS</x:v>
      </x:c>
      <x:c r="G15" s="73" t="str">
        <x:v>统领断旗枪</x:v>
      </x:c>
      <x:c r="H15" s="73" t="str">
        <x:v>武器</x:v>
      </x:c>
      <x:c r="I15" s="73" t="str">
        <x:v>武器</x:v>
      </x:c>
      <x:c r="J15" s="79" t="n">
        <x:v>6396</x:v>
      </x:c>
      <x:c r="K15" s="73" t="str">
        <x:v>预检通过资源／规划锁定／待入库</x:v>
      </x:c>
      <x:c r="L15" s="74" t="str">
        <x:v>装备资源库黄金圣树·初誓</x:v>
      </x:c>
    </x:row>
    <x:row r="16" ht="34" customHeight="1">
      <x:c r="A16" s="72" t="str">
        <x:v>C03-M012</x:v>
      </x:c>
      <x:c r="B16" s="73" t="str">
        <x:v>C03</x:v>
      </x:c>
      <x:c r="C16" s="73" t="str">
        <x:v>宁姆格福西域</x:v>
      </x:c>
      <x:c r="D16" s="73" t="str">
        <x:v>XX778</x:v>
      </x:c>
      <x:c r="E16" s="73" t="str">
        <x:v>荒原巨犀·莫赫</x:v>
      </x:c>
      <x:c r="F16" s="73" t="str">
        <x:v>地图BOSS</x:v>
      </x:c>
      <x:c r="G16" s="73" t="str">
        <x:v>巨犀荒铠</x:v>
      </x:c>
      <x:c r="H16" s="73" t="str">
        <x:v>衣服</x:v>
      </x:c>
      <x:c r="I16" s="73" t="str">
        <x:v>男衣服（现行模板的衣服映射）</x:v>
      </x:c>
      <x:c r="J16" s="79" t="n">
        <x:v>6397</x:v>
      </x:c>
      <x:c r="K16" s="73" t="str">
        <x:v>预检通过资源／规划锁定／待入库</x:v>
      </x:c>
      <x:c r="L16" s="74" t="str">
        <x:v>按现行装备模板映射男衣服StdMode10；黄金圣树·初誓</x:v>
      </x:c>
    </x:row>
    <x:row r="17" ht="34" customHeight="1">
      <x:c r="A17" s="72" t="str">
        <x:v>C03-M013</x:v>
      </x:c>
      <x:c r="B17" s="73" t="str">
        <x:v>C03</x:v>
      </x:c>
      <x:c r="C17" s="73" t="str">
        <x:v>宁姆格福西域</x:v>
      </x:c>
      <x:c r="D17" s="73" t="str">
        <x:v>XX332</x:v>
      </x:c>
      <x:c r="E17" s="73" t="str">
        <x:v>海崖盐工</x:v>
      </x:c>
      <x:c r="F17" s="73" t="str">
        <x:v>普通</x:v>
      </x:c>
      <x:c r="G17" s="73" t="str">
        <x:v>盐晶短刃</x:v>
      </x:c>
      <x:c r="H17" s="73" t="str">
        <x:v>武器</x:v>
      </x:c>
      <x:c r="I17" s="73" t="str">
        <x:v>武器</x:v>
      </x:c>
      <x:c r="J17" s="80"/>
      <x:c r="K17" s="73" t="str">
        <x:v>缺武器来源码</x:v>
      </x:c>
      <x:c r="L17" s="74" t="str">
        <x:v>需补同部位Items/StateItem/DnItems三库同码资源</x:v>
      </x:c>
    </x:row>
    <x:row r="18" ht="34" customHeight="1">
      <x:c r="A18" s="72" t="str">
        <x:v>C03-M014</x:v>
      </x:c>
      <x:c r="B18" s="73" t="str">
        <x:v>C03</x:v>
      </x:c>
      <x:c r="C18" s="73" t="str">
        <x:v>宁姆格福西域</x:v>
      </x:c>
      <x:c r="D18" s="73" t="str">
        <x:v>XX333</x:v>
      </x:c>
      <x:c r="E18" s="73" t="str">
        <x:v>逐风矛兵</x:v>
      </x:c>
      <x:c r="F18" s="73" t="str">
        <x:v>普通</x:v>
      </x:c>
      <x:c r="G18" s="73" t="str">
        <x:v>逐风长矛</x:v>
      </x:c>
      <x:c r="H18" s="73" t="str">
        <x:v>武器</x:v>
      </x:c>
      <x:c r="I18" s="73" t="str">
        <x:v>武器</x:v>
      </x:c>
      <x:c r="J18" s="80"/>
      <x:c r="K18" s="73" t="str">
        <x:v>缺武器来源码</x:v>
      </x:c>
      <x:c r="L18" s="74" t="str">
        <x:v>需补同部位Items/StateItem/DnItems三库同码资源</x:v>
      </x:c>
    </x:row>
    <x:row r="19" ht="34" customHeight="1">
      <x:c r="A19" s="72" t="str">
        <x:v>C03-M015</x:v>
      </x:c>
      <x:c r="B19" s="73" t="str">
        <x:v>C03</x:v>
      </x:c>
      <x:c r="C19" s="73" t="str">
        <x:v>宁姆格福西域</x:v>
      </x:c>
      <x:c r="D19" s="73" t="str">
        <x:v>XX334</x:v>
      </x:c>
      <x:c r="E19" s="73" t="str">
        <x:v>裂羽海鹰</x:v>
      </x:c>
      <x:c r="F19" s="73" t="str">
        <x:v>普通</x:v>
      </x:c>
      <x:c r="G19" s="73" t="str">
        <x:v>裂羽护腕</x:v>
      </x:c>
      <x:c r="H19" s="73" t="str">
        <x:v>手镯</x:v>
      </x:c>
      <x:c r="I19" s="73" t="str">
        <x:v>手镯</x:v>
      </x:c>
      <x:c r="J19" s="79" t="n">
        <x:v>6507</x:v>
      </x:c>
      <x:c r="K19" s="73" t="str">
        <x:v>预检通过资源／规划锁定／待入库</x:v>
      </x:c>
      <x:c r="L19" s="74" t="str">
        <x:v>装备资源库黄金圣树·律法</x:v>
      </x:c>
    </x:row>
    <x:row r="20" ht="34" customHeight="1">
      <x:c r="A20" s="72" t="str">
        <x:v>C03-M016</x:v>
      </x:c>
      <x:c r="B20" s="73" t="str">
        <x:v>C03</x:v>
      </x:c>
      <x:c r="C20" s="73" t="str">
        <x:v>宁姆格福西域</x:v>
      </x:c>
      <x:c r="D20" s="73" t="str">
        <x:v>XX332</x:v>
      </x:c>
      <x:c r="E20" s="73" t="str">
        <x:v>潮穴石蜥</x:v>
      </x:c>
      <x:c r="F20" s="73" t="str">
        <x:v>普通</x:v>
      </x:c>
      <x:c r="G20" s="73" t="str">
        <x:v>潮穴石盾</x:v>
      </x:c>
      <x:c r="H20" s="73" t="str">
        <x:v>盾牌</x:v>
      </x:c>
      <x:c r="I20" s="73" t="str">
        <x:v>盾牌</x:v>
      </x:c>
      <x:c r="J20" s="79" t="n">
        <x:v>6475</x:v>
      </x:c>
      <x:c r="K20" s="73" t="str">
        <x:v>预检通过资源／规划锁定／待入库</x:v>
      </x:c>
      <x:c r="L20" s="74" t="str">
        <x:v>装备资源库黄金圣树·王权</x:v>
      </x:c>
    </x:row>
    <x:row r="21" ht="34" customHeight="1">
      <x:c r="A21" s="72" t="str">
        <x:v>C03-M017</x:v>
      </x:c>
      <x:c r="B21" s="73" t="str">
        <x:v>C03</x:v>
      </x:c>
      <x:c r="C21" s="73" t="str">
        <x:v>宁姆格福西域</x:v>
      </x:c>
      <x:c r="D21" s="73" t="str">
        <x:v>XX333</x:v>
      </x:c>
      <x:c r="E21" s="73" t="str">
        <x:v>断索流徒</x:v>
      </x:c>
      <x:c r="F21" s="73" t="str">
        <x:v>普通</x:v>
      </x:c>
      <x:c r="G21" s="73" t="str">
        <x:v>断索束带</x:v>
      </x:c>
      <x:c r="H21" s="73" t="str">
        <x:v>腰带</x:v>
      </x:c>
      <x:c r="I21" s="73" t="str">
        <x:v>腰带</x:v>
      </x:c>
      <x:c r="J21" s="79" t="n">
        <x:v>6513</x:v>
      </x:c>
      <x:c r="K21" s="73" t="str">
        <x:v>预检通过资源／规划锁定／待入库</x:v>
      </x:c>
      <x:c r="L21" s="74" t="str">
        <x:v>装备资源库黄金圣树·律法</x:v>
      </x:c>
    </x:row>
    <x:row r="22" ht="34" customHeight="1">
      <x:c r="A22" s="72" t="str">
        <x:v>C03-M018</x:v>
      </x:c>
      <x:c r="B22" s="73" t="str">
        <x:v>C03</x:v>
      </x:c>
      <x:c r="C22" s="73" t="str">
        <x:v>宁姆格福西域</x:v>
      </x:c>
      <x:c r="D22" s="73" t="str">
        <x:v>XX335</x:v>
      </x:c>
      <x:c r="E22" s="73" t="str">
        <x:v>崖边祷徒</x:v>
      </x:c>
      <x:c r="F22" s="73" t="str">
        <x:v>普通</x:v>
      </x:c>
      <x:c r="G22" s="73" t="str">
        <x:v>海崖祷链</x:v>
      </x:c>
      <x:c r="H22" s="73" t="str">
        <x:v>项链</x:v>
      </x:c>
      <x:c r="I22" s="73" t="str">
        <x:v>项链</x:v>
      </x:c>
      <x:c r="J22" s="79" t="n">
        <x:v>6541</x:v>
      </x:c>
      <x:c r="K22" s="73" t="str">
        <x:v>预检通过资源／规划锁定／待入库</x:v>
      </x:c>
      <x:c r="L22" s="74" t="str">
        <x:v>装备资源库黄金圣树·永恒</x:v>
      </x:c>
    </x:row>
    <x:row r="23" ht="34" customHeight="1">
      <x:c r="A23" s="72" t="str">
        <x:v>C03-M019</x:v>
      </x:c>
      <x:c r="B23" s="73" t="str">
        <x:v>C03</x:v>
      </x:c>
      <x:c r="C23" s="73" t="str">
        <x:v>宁姆格福西域</x:v>
      </x:c>
      <x:c r="D23" s="73" t="str">
        <x:v>XX334</x:v>
      </x:c>
      <x:c r="E23" s="73" t="str">
        <x:v>风蚀守望者</x:v>
      </x:c>
      <x:c r="F23" s="73" t="str">
        <x:v>稀有</x:v>
      </x:c>
      <x:c r="G23" s="73" t="str">
        <x:v>风蚀眺盔</x:v>
      </x:c>
      <x:c r="H23" s="73" t="str">
        <x:v>头盔</x:v>
      </x:c>
      <x:c r="I23" s="73" t="str">
        <x:v>头盔</x:v>
      </x:c>
      <x:c r="J23" s="79" t="n">
        <x:v>6504</x:v>
      </x:c>
      <x:c r="K23" s="73" t="str">
        <x:v>预检通过资源／规划锁定／待入库</x:v>
      </x:c>
      <x:c r="L23" s="74" t="str">
        <x:v>装备资源库黄金圣树·律法</x:v>
      </x:c>
    </x:row>
    <x:row r="24" ht="34" customHeight="1">
      <x:c r="A24" s="72" t="str">
        <x:v>C03-M020</x:v>
      </x:c>
      <x:c r="B24" s="73" t="str">
        <x:v>C03</x:v>
      </x:c>
      <x:c r="C24" s="73" t="str">
        <x:v>宁姆格福西域</x:v>
      </x:c>
      <x:c r="D24" s="73" t="str">
        <x:v>XX332</x:v>
      </x:c>
      <x:c r="E24" s="73" t="str">
        <x:v>斩浪骑士</x:v>
      </x:c>
      <x:c r="F24" s="73" t="str">
        <x:v>稀有</x:v>
      </x:c>
      <x:c r="G24" s="73" t="str">
        <x:v>斩浪战衣</x:v>
      </x:c>
      <x:c r="H24" s="73" t="str">
        <x:v>衣服</x:v>
      </x:c>
      <x:c r="I24" s="73" t="str">
        <x:v>男衣服（现行模板的衣服映射）</x:v>
      </x:c>
      <x:c r="J24" s="80"/>
      <x:c r="K24" s="73" t="str">
        <x:v>缺衣服来源码</x:v>
      </x:c>
      <x:c r="L24" s="74" t="str">
        <x:v>需补男衣服StdMode10的三库同码资源；女衣服码未获准合池</x:v>
      </x:c>
    </x:row>
    <x:row r="25" ht="34" customHeight="1">
      <x:c r="A25" s="72" t="str">
        <x:v>C03-M021</x:v>
      </x:c>
      <x:c r="B25" s="73" t="str">
        <x:v>C03</x:v>
      </x:c>
      <x:c r="C25" s="73" t="str">
        <x:v>宁姆格福西域</x:v>
      </x:c>
      <x:c r="D25" s="73" t="str">
        <x:v>XX333</x:v>
      </x:c>
      <x:c r="E25" s="73" t="str">
        <x:v>海雾猎手</x:v>
      </x:c>
      <x:c r="F25" s="73" t="str">
        <x:v>稀有</x:v>
      </x:c>
      <x:c r="G25" s="73" t="str">
        <x:v>海雾猎戒</x:v>
      </x:c>
      <x:c r="H25" s="73" t="str">
        <x:v>戒指</x:v>
      </x:c>
      <x:c r="I25" s="73" t="str">
        <x:v>戒指</x:v>
      </x:c>
      <x:c r="J25" s="79" t="n">
        <x:v>6508</x:v>
      </x:c>
      <x:c r="K25" s="73" t="str">
        <x:v>预检通过资源／规划锁定／待入库</x:v>
      </x:c>
      <x:c r="L25" s="74" t="str">
        <x:v>装备资源库黄金圣树·律法</x:v>
      </x:c>
    </x:row>
    <x:row r="26" ht="34" customHeight="1">
      <x:c r="A26" s="72" t="str">
        <x:v>C03-M022</x:v>
      </x:c>
      <x:c r="B26" s="73" t="str">
        <x:v>C03</x:v>
      </x:c>
      <x:c r="C26" s="73" t="str">
        <x:v>宁姆格福西域</x:v>
      </x:c>
      <x:c r="D26" s="73" t="str">
        <x:v>XX335</x:v>
      </x:c>
      <x:c r="E26" s="73" t="str">
        <x:v>雷崖祭司</x:v>
      </x:c>
      <x:c r="F26" s="73" t="str">
        <x:v>稀有</x:v>
      </x:c>
      <x:c r="G26" s="73" t="str">
        <x:v>霆崖祭冠</x:v>
      </x:c>
      <x:c r="H26" s="73" t="str">
        <x:v>头盔</x:v>
      </x:c>
      <x:c r="I26" s="73" t="str">
        <x:v>头盔</x:v>
      </x:c>
      <x:c r="J26" s="79" t="n">
        <x:v>6539</x:v>
      </x:c>
      <x:c r="K26" s="73" t="str">
        <x:v>预检通过资源／规划锁定／待入库</x:v>
      </x:c>
      <x:c r="L26" s="74" t="str">
        <x:v>装备资源库黄金圣树·永恒</x:v>
      </x:c>
    </x:row>
    <x:row r="27" ht="34" customHeight="1">
      <x:c r="A27" s="72" t="str">
        <x:v>C03-M023</x:v>
      </x:c>
      <x:c r="B27" s="73" t="str">
        <x:v>C03</x:v>
      </x:c>
      <x:c r="C27" s="73" t="str">
        <x:v>宁姆格福西域</x:v>
      </x:c>
      <x:c r="D27" s="73" t="str">
        <x:v>XX334</x:v>
      </x:c>
      <x:c r="E27" s="73" t="str">
        <x:v>裂风执旗官·卡恩</x:v>
      </x:c>
      <x:c r="F27" s="73" t="str">
        <x:v>地图BOSS</x:v>
      </x:c>
      <x:c r="G27" s="73" t="str">
        <x:v>裂风战旗刃</x:v>
      </x:c>
      <x:c r="H27" s="73" t="str">
        <x:v>武器</x:v>
      </x:c>
      <x:c r="I27" s="73" t="str">
        <x:v>武器</x:v>
      </x:c>
      <x:c r="J27" s="79" t="n">
        <x:v>6466</x:v>
      </x:c>
      <x:c r="K27" s="73" t="str">
        <x:v>预检通过资源／规划锁定／待入库</x:v>
      </x:c>
      <x:c r="L27" s="74" t="str">
        <x:v>装备资源库黄金圣树·王权</x:v>
      </x:c>
    </x:row>
    <x:row r="28" ht="34" customHeight="1">
      <x:c r="A28" s="72" t="str">
        <x:v>C03-M024</x:v>
      </x:c>
      <x:c r="B28" s="73" t="str">
        <x:v>C03</x:v>
      </x:c>
      <x:c r="C28" s="73" t="str">
        <x:v>宁姆格福西域</x:v>
      </x:c>
      <x:c r="D28" s="73" t="str">
        <x:v>XX335</x:v>
      </x:c>
      <x:c r="E28" s="73" t="str">
        <x:v>啸海古翼·塞洛</x:v>
      </x:c>
      <x:c r="F28" s="73" t="str">
        <x:v>地图BOSS</x:v>
      </x:c>
      <x:c r="G28" s="73" t="str">
        <x:v>啸海翼铠</x:v>
      </x:c>
      <x:c r="H28" s="73" t="str">
        <x:v>衣服</x:v>
      </x:c>
      <x:c r="I28" s="73" t="str">
        <x:v>男衣服（现行模板的衣服映射）</x:v>
      </x:c>
      <x:c r="J28" s="79" t="n">
        <x:v>6467</x:v>
      </x:c>
      <x:c r="K28" s="73" t="str">
        <x:v>预检通过资源／规划锁定／待入库</x:v>
      </x:c>
      <x:c r="L28" s="74" t="str">
        <x:v>按现行装备模板映射男衣服StdMode10；黄金圣树·王权</x:v>
      </x:c>
    </x:row>
    <x:row r="29" ht="34" customHeight="1">
      <x:c r="A29" s="72" t="str">
        <x:v>C03-M025</x:v>
      </x:c>
      <x:c r="B29" s="73" t="str">
        <x:v>C03</x:v>
      </x:c>
      <x:c r="C29" s="73" t="str">
        <x:v>宁姆格福西域</x:v>
      </x:c>
      <x:c r="D29" s="73" t="str">
        <x:v>XX343</x:v>
      </x:c>
      <x:c r="E29" s="73" t="str">
        <x:v>驿道苦役</x:v>
      </x:c>
      <x:c r="F29" s="73" t="str">
        <x:v>普通</x:v>
      </x:c>
      <x:c r="G29" s="73" t="str">
        <x:v>驿骨短剑</x:v>
      </x:c>
      <x:c r="H29" s="73" t="str">
        <x:v>武器</x:v>
      </x:c>
      <x:c r="I29" s="73" t="str">
        <x:v>武器</x:v>
      </x:c>
      <x:c r="J29" s="80"/>
      <x:c r="K29" s="73" t="str">
        <x:v>缺武器来源码</x:v>
      </x:c>
      <x:c r="L29" s="74" t="str">
        <x:v>需补同部位Items/StateItem/DnItems三库同码资源</x:v>
      </x:c>
    </x:row>
    <x:row r="30" ht="34" customHeight="1">
      <x:c r="A30" s="72" t="str">
        <x:v>C03-M026</x:v>
      </x:c>
      <x:c r="B30" s="73" t="str">
        <x:v>C03</x:v>
      </x:c>
      <x:c r="C30" s="73" t="str">
        <x:v>宁姆格福西域</x:v>
      </x:c>
      <x:c r="D30" s="73" t="str">
        <x:v>XX344</x:v>
      </x:c>
      <x:c r="E30" s="73" t="str">
        <x:v>荒商护卫</x:v>
      </x:c>
      <x:c r="F30" s="73" t="str">
        <x:v>普通</x:v>
      </x:c>
      <x:c r="G30" s="73" t="str">
        <x:v>荒商护符</x:v>
      </x:c>
      <x:c r="H30" s="73" t="str">
        <x:v>项链</x:v>
      </x:c>
      <x:c r="I30" s="73" t="str">
        <x:v>项链</x:v>
      </x:c>
      <x:c r="J30" s="79" t="n">
        <x:v>6576</x:v>
      </x:c>
      <x:c r="K30" s="73" t="str">
        <x:v>预检通过资源／规划锁定／待入库</x:v>
      </x:c>
      <x:c r="L30" s="74" t="str">
        <x:v>装备资源库血月荆棘·血痕</x:v>
      </x:c>
    </x:row>
    <x:row r="31" ht="34" customHeight="1">
      <x:c r="A31" s="72" t="str">
        <x:v>C03-M027</x:v>
      </x:c>
      <x:c r="B31" s="73" t="str">
        <x:v>C03</x:v>
      </x:c>
      <x:c r="C31" s="73" t="str">
        <x:v>宁姆格福西域</x:v>
      </x:c>
      <x:c r="D31" s="73" t="str">
        <x:v>XX343</x:v>
      </x:c>
      <x:c r="E31" s="73" t="str">
        <x:v>灰篷盗匪</x:v>
      </x:c>
      <x:c r="F31" s="73" t="str">
        <x:v>普通</x:v>
      </x:c>
      <x:c r="G31" s="73" t="str">
        <x:v>灰篷面巾</x:v>
      </x:c>
      <x:c r="H31" s="73" t="str">
        <x:v>斗笠</x:v>
      </x:c>
      <x:c r="I31" s="73" t="str">
        <x:v>面巾（位置13，对应斗笠）</x:v>
      </x:c>
      <x:c r="J31" s="79" t="n">
        <x:v>6470</x:v>
      </x:c>
      <x:c r="K31" s="73" t="str">
        <x:v>预检通过资源／规划锁定／待入库</x:v>
      </x:c>
      <x:c r="L31" s="74" t="str">
        <x:v>StdMode16/位置13；黄金圣树·王权</x:v>
      </x:c>
    </x:row>
    <x:row r="32" ht="34" customHeight="1">
      <x:c r="A32" s="72" t="str">
        <x:v>C03-M028</x:v>
      </x:c>
      <x:c r="B32" s="73" t="str">
        <x:v>C03</x:v>
      </x:c>
      <x:c r="C32" s="73" t="str">
        <x:v>宁姆格福西域</x:v>
      </x:c>
      <x:c r="D32" s="73" t="str">
        <x:v>XX344</x:v>
      </x:c>
      <x:c r="E32" s="73" t="str">
        <x:v>驮货尸兵</x:v>
      </x:c>
      <x:c r="F32" s="73" t="str">
        <x:v>普通</x:v>
      </x:c>
      <x:c r="G32" s="73" t="str">
        <x:v>驮货重甲</x:v>
      </x:c>
      <x:c r="H32" s="73" t="str">
        <x:v>衣服</x:v>
      </x:c>
      <x:c r="I32" s="73" t="str">
        <x:v>男衣服（现行模板的衣服映射）</x:v>
      </x:c>
      <x:c r="J32" s="80"/>
      <x:c r="K32" s="73" t="str">
        <x:v>缺衣服来源码</x:v>
      </x:c>
      <x:c r="L32" s="74" t="str">
        <x:v>需补男衣服StdMode10的三库同码资源；女衣服码未获准合池</x:v>
      </x:c>
    </x:row>
    <x:row r="33" ht="34" customHeight="1">
      <x:c r="A33" s="72" t="str">
        <x:v>C03-M029</x:v>
      </x:c>
      <x:c r="B33" s="73" t="str">
        <x:v>C03</x:v>
      </x:c>
      <x:c r="C33" s="73" t="str">
        <x:v>宁姆格福西域</x:v>
      </x:c>
      <x:c r="D33" s="73" t="str">
        <x:v>XX345</x:v>
      </x:c>
      <x:c r="E33" s="73" t="str">
        <x:v>营火猎犬</x:v>
      </x:c>
      <x:c r="F33" s="73" t="str">
        <x:v>普通</x:v>
      </x:c>
      <x:c r="G33" s="73" t="str">
        <x:v>营火牙戒</x:v>
      </x:c>
      <x:c r="H33" s="73" t="str">
        <x:v>戒指</x:v>
      </x:c>
      <x:c r="I33" s="73" t="str">
        <x:v>戒指</x:v>
      </x:c>
      <x:c r="J33" s="79" t="n">
        <x:v>6543</x:v>
      </x:c>
      <x:c r="K33" s="73" t="str">
        <x:v>预检通过资源／规划锁定／待入库</x:v>
      </x:c>
      <x:c r="L33" s="74" t="str">
        <x:v>装备资源库黄金圣树·永恒</x:v>
      </x:c>
    </x:row>
    <x:row r="34" ht="34" customHeight="1">
      <x:c r="A34" s="72" t="str">
        <x:v>C03-M030</x:v>
      </x:c>
      <x:c r="B34" s="73" t="str">
        <x:v>C03</x:v>
      </x:c>
      <x:c r="C34" s="73" t="str">
        <x:v>宁姆格福西域</x:v>
      </x:c>
      <x:c r="D34" s="73" t="str">
        <x:v>XX345</x:v>
      </x:c>
      <x:c r="E34" s="73" t="str">
        <x:v>断轮弩手</x:v>
      </x:c>
      <x:c r="F34" s="73" t="str">
        <x:v>普通</x:v>
      </x:c>
      <x:c r="G34" s="73" t="str">
        <x:v>断轮弩机</x:v>
      </x:c>
      <x:c r="H34" s="73" t="str">
        <x:v>武器</x:v>
      </x:c>
      <x:c r="I34" s="73" t="str">
        <x:v>武器</x:v>
      </x:c>
      <x:c r="J34" s="80"/>
      <x:c r="K34" s="73" t="str">
        <x:v>缺武器来源码</x:v>
      </x:c>
      <x:c r="L34" s="74" t="str">
        <x:v>需补同部位Items/StateItem/DnItems三库同码资源</x:v>
      </x:c>
    </x:row>
    <x:row r="35" ht="34" customHeight="1">
      <x:c r="A35" s="72" t="str">
        <x:v>C03-M031</x:v>
      </x:c>
      <x:c r="B35" s="73" t="str">
        <x:v>C03</x:v>
      </x:c>
      <x:c r="C35" s="73" t="str">
        <x:v>宁姆格福西域</x:v>
      </x:c>
      <x:c r="D35" s="73" t="str">
        <x:v>XX343</x:v>
      </x:c>
      <x:c r="E35" s="73" t="str">
        <x:v>火漆追缉者</x:v>
      </x:c>
      <x:c r="F35" s="73" t="str">
        <x:v>稀有</x:v>
      </x:c>
      <x:c r="G35" s="73" t="str">
        <x:v>火漆追缉令</x:v>
      </x:c>
      <x:c r="H35" s="73" t="str">
        <x:v>勋章</x:v>
      </x:c>
      <x:c r="I35" s="73" t="str">
        <x:v>勋章</x:v>
      </x:c>
      <x:c r="J35" s="79" t="n">
        <x:v>6509</x:v>
      </x:c>
      <x:c r="K35" s="73" t="str">
        <x:v>预检通过资源／规划锁定／待入库</x:v>
      </x:c>
      <x:c r="L35" s="74" t="str">
        <x:v>装备资源库黄金圣树·律法</x:v>
      </x:c>
    </x:row>
    <x:row r="36" ht="34" customHeight="1">
      <x:c r="A36" s="72" t="str">
        <x:v>C03-M032</x:v>
      </x:c>
      <x:c r="B36" s="73" t="str">
        <x:v>C03</x:v>
      </x:c>
      <x:c r="C36" s="73" t="str">
        <x:v>宁姆格福西域</x:v>
      </x:c>
      <x:c r="D36" s="73" t="str">
        <x:v>XX344</x:v>
      </x:c>
      <x:c r="E36" s="73" t="str">
        <x:v>商队叛骑</x:v>
      </x:c>
      <x:c r="F36" s="73" t="str">
        <x:v>稀有</x:v>
      </x:c>
      <x:c r="G36" s="73" t="str">
        <x:v>叛骑战靴</x:v>
      </x:c>
      <x:c r="H36" s="73" t="str">
        <x:v>鞋子</x:v>
      </x:c>
      <x:c r="I36" s="73" t="str">
        <x:v>鞋子</x:v>
      </x:c>
      <x:c r="J36" s="79" t="n">
        <x:v>6512</x:v>
      </x:c>
      <x:c r="K36" s="73" t="str">
        <x:v>预检通过资源／规划锁定／待入库</x:v>
      </x:c>
      <x:c r="L36" s="74" t="str">
        <x:v>装备资源库黄金圣树·律法</x:v>
      </x:c>
    </x:row>
    <x:row r="37" ht="34" customHeight="1">
      <x:c r="A37" s="72" t="str">
        <x:v>C03-M033</x:v>
      </x:c>
      <x:c r="B37" s="73" t="str">
        <x:v>C03</x:v>
      </x:c>
      <x:c r="C37" s="73" t="str">
        <x:v>宁姆格福西域</x:v>
      </x:c>
      <x:c r="D37" s="73" t="str">
        <x:v>XX345</x:v>
      </x:c>
      <x:c r="E37" s="73" t="str">
        <x:v>断路劫首</x:v>
      </x:c>
      <x:c r="F37" s="73" t="str">
        <x:v>稀有</x:v>
      </x:c>
      <x:c r="G37" s="73" t="str">
        <x:v>劫首弯刃</x:v>
      </x:c>
      <x:c r="H37" s="73" t="str">
        <x:v>武器</x:v>
      </x:c>
      <x:c r="I37" s="73" t="str">
        <x:v>武器</x:v>
      </x:c>
      <x:c r="J37" s="80"/>
      <x:c r="K37" s="73" t="str">
        <x:v>缺武器来源码</x:v>
      </x:c>
      <x:c r="L37" s="74" t="str">
        <x:v>需补同部位Items/StateItem/DnItems三库同码资源</x:v>
      </x:c>
    </x:row>
    <x:row r="38" ht="34" customHeight="1">
      <x:c r="A38" s="72" t="str">
        <x:v>C03-M034</x:v>
      </x:c>
      <x:c r="B38" s="73" t="str">
        <x:v>C03</x:v>
      </x:c>
      <x:c r="C38" s="73" t="str">
        <x:v>宁姆格福西域</x:v>
      </x:c>
      <x:c r="D38" s="73" t="str">
        <x:v>XX345</x:v>
      </x:c>
      <x:c r="E38" s="73" t="str">
        <x:v>黑帐术士</x:v>
      </x:c>
      <x:c r="F38" s="73" t="str">
        <x:v>稀有</x:v>
      </x:c>
      <x:c r="G38" s="73" t="str">
        <x:v>黯幕咒戒</x:v>
      </x:c>
      <x:c r="H38" s="73" t="str">
        <x:v>戒指</x:v>
      </x:c>
      <x:c r="I38" s="73" t="str">
        <x:v>戒指</x:v>
      </x:c>
      <x:c r="J38" s="79" t="n">
        <x:v>6578</x:v>
      </x:c>
      <x:c r="K38" s="73" t="str">
        <x:v>预检通过资源／规划锁定／待入库</x:v>
      </x:c>
      <x:c r="L38" s="74" t="str">
        <x:v>装备资源库血月荆棘·血痕</x:v>
      </x:c>
    </x:row>
    <x:row r="39" ht="34" customHeight="1">
      <x:c r="A39" s="72" t="str">
        <x:v>C03-M035</x:v>
      </x:c>
      <x:c r="B39" s="73" t="str">
        <x:v>C03</x:v>
      </x:c>
      <x:c r="C39" s="73" t="str">
        <x:v>宁姆格福西域</x:v>
      </x:c>
      <x:c r="D39" s="73" t="str">
        <x:v>XX344</x:v>
      </x:c>
      <x:c r="E39" s="73" t="str">
        <x:v>无路佣兵王·赫托</x:v>
      </x:c>
      <x:c r="F39" s="73" t="str">
        <x:v>地图BOSS</x:v>
      </x:c>
      <x:c r="G39" s="73" t="str">
        <x:v>无路王剑</x:v>
      </x:c>
      <x:c r="H39" s="73" t="str">
        <x:v>武器</x:v>
      </x:c>
      <x:c r="I39" s="73" t="str">
        <x:v>武器</x:v>
      </x:c>
      <x:c r="J39" s="79" t="n">
        <x:v>6501</x:v>
      </x:c>
      <x:c r="K39" s="73" t="str">
        <x:v>预检通过资源／规划锁定／待入库</x:v>
      </x:c>
      <x:c r="L39" s="74" t="str">
        <x:v>装备资源库黄金圣树·律法</x:v>
      </x:c>
    </x:row>
    <x:row r="40" ht="34" customHeight="1">
      <x:c r="A40" s="72" t="str">
        <x:v>C03-M036</x:v>
      </x:c>
      <x:c r="B40" s="73" t="str">
        <x:v>C03</x:v>
      </x:c>
      <x:c r="C40" s="73" t="str">
        <x:v>宁姆格福西域</x:v>
      </x:c>
      <x:c r="D40" s="73" t="str">
        <x:v>XX345</x:v>
      </x:c>
      <x:c r="E40" s="73" t="str">
        <x:v>赤篷巨像·马尔</x:v>
      </x:c>
      <x:c r="F40" s="73" t="str">
        <x:v>地图BOSS</x:v>
      </x:c>
      <x:c r="G40" s="73" t="str">
        <x:v>赤篷铁衣</x:v>
      </x:c>
      <x:c r="H40" s="73" t="str">
        <x:v>衣服</x:v>
      </x:c>
      <x:c r="I40" s="73" t="str">
        <x:v>男衣服（现行模板的衣服映射）</x:v>
      </x:c>
      <x:c r="J40" s="79" t="n">
        <x:v>6502</x:v>
      </x:c>
      <x:c r="K40" s="73" t="str">
        <x:v>预检通过资源／规划锁定／待入库</x:v>
      </x:c>
      <x:c r="L40" s="74" t="str">
        <x:v>按现行装备模板映射男衣服StdMode10；黄金圣树·律法</x:v>
      </x:c>
    </x:row>
    <x:row r="41" ht="34" customHeight="1">
      <x:c r="A41" s="72" t="str">
        <x:v>C03-M037</x:v>
      </x:c>
      <x:c r="B41" s="73" t="str">
        <x:v>C03</x:v>
      </x:c>
      <x:c r="C41" s="73" t="str">
        <x:v>宁姆格福西域</x:v>
      </x:c>
      <x:c r="D41" s="73" t="str">
        <x:v>XX310</x:v>
      </x:c>
      <x:c r="E41" s="73" t="str">
        <x:v>残阵兵魂</x:v>
      </x:c>
      <x:c r="F41" s="73" t="str">
        <x:v>普通</x:v>
      </x:c>
      <x:c r="G41" s="73" t="str">
        <x:v>残阵战刀</x:v>
      </x:c>
      <x:c r="H41" s="73" t="str">
        <x:v>武器</x:v>
      </x:c>
      <x:c r="I41" s="73" t="str">
        <x:v>武器</x:v>
      </x:c>
      <x:c r="J41" s="80"/>
      <x:c r="K41" s="73" t="str">
        <x:v>缺武器来源码</x:v>
      </x:c>
      <x:c r="L41" s="74" t="str">
        <x:v>需补同部位Items/StateItem/DnItems三库同码资源</x:v>
      </x:c>
    </x:row>
    <x:row r="42" ht="34" customHeight="1">
      <x:c r="A42" s="72" t="str">
        <x:v>C03-M038</x:v>
      </x:c>
      <x:c r="B42" s="73" t="str">
        <x:v>C03</x:v>
      </x:c>
      <x:c r="C42" s="73" t="str">
        <x:v>宁姆格福西域</x:v>
      </x:c>
      <x:c r="D42" s="73" t="str">
        <x:v>XX310</x:v>
      </x:c>
      <x:c r="E42" s="73" t="str">
        <x:v>折戟亡卒</x:v>
      </x:c>
      <x:c r="F42" s="73" t="str">
        <x:v>普通</x:v>
      </x:c>
      <x:c r="G42" s="73" t="str">
        <x:v>折戟铁链</x:v>
      </x:c>
      <x:c r="H42" s="73" t="str">
        <x:v>项链</x:v>
      </x:c>
      <x:c r="I42" s="73" t="str">
        <x:v>项链</x:v>
      </x:c>
      <x:c r="J42" s="79" t="n">
        <x:v>6611</x:v>
      </x:c>
      <x:c r="K42" s="73" t="str">
        <x:v>预检通过资源／规划锁定／待入库</x:v>
      </x:c>
      <x:c r="L42" s="74" t="str">
        <x:v>装备资源库血月荆棘·荆冠</x:v>
      </x:c>
    </x:row>
    <x:row r="43" ht="34" customHeight="1">
      <x:c r="A43" s="72" t="str">
        <x:v>C03-M039</x:v>
      </x:c>
      <x:c r="B43" s="73" t="str">
        <x:v>C03</x:v>
      </x:c>
      <x:c r="C43" s="73" t="str">
        <x:v>宁姆格福西域</x:v>
      </x:c>
      <x:c r="D43" s="73" t="str">
        <x:v>XX311</x:v>
      </x:c>
      <x:c r="E43" s="73" t="str">
        <x:v>战壕腐尸</x:v>
      </x:c>
      <x:c r="F43" s="73" t="str">
        <x:v>普通</x:v>
      </x:c>
      <x:c r="G43" s="73" t="str">
        <x:v>战壕骨甲</x:v>
      </x:c>
      <x:c r="H43" s="73" t="str">
        <x:v>衣服</x:v>
      </x:c>
      <x:c r="I43" s="73" t="str">
        <x:v>男衣服（现行模板的衣服映射）</x:v>
      </x:c>
      <x:c r="J43" s="80"/>
      <x:c r="K43" s="73" t="str">
        <x:v>缺衣服来源码</x:v>
      </x:c>
      <x:c r="L43" s="74" t="str">
        <x:v>需补男衣服StdMode10的三库同码资源；女衣服码未获准合池</x:v>
      </x:c>
    </x:row>
    <x:row r="44" ht="34" customHeight="1">
      <x:c r="A44" s="72" t="str">
        <x:v>C03-M040</x:v>
      </x:c>
      <x:c r="B44" s="73" t="str">
        <x:v>C03</x:v>
      </x:c>
      <x:c r="C44" s="73" t="str">
        <x:v>宁姆格福西域</x:v>
      </x:c>
      <x:c r="D44" s="73" t="str">
        <x:v>XX311</x:v>
      </x:c>
      <x:c r="E44" s="73" t="str">
        <x:v>无首号手</x:v>
      </x:c>
      <x:c r="F44" s="73" t="str">
        <x:v>普通</x:v>
      </x:c>
      <x:c r="G44" s="73" t="str">
        <x:v>无首号角</x:v>
      </x:c>
      <x:c r="H44" s="73" t="str">
        <x:v>勋章</x:v>
      </x:c>
      <x:c r="I44" s="73" t="str">
        <x:v>勋章</x:v>
      </x:c>
      <x:c r="J44" s="79" t="n">
        <x:v>6544</x:v>
      </x:c>
      <x:c r="K44" s="73" t="str">
        <x:v>预检通过资源／规划锁定／待入库</x:v>
      </x:c>
      <x:c r="L44" s="74" t="str">
        <x:v>装备资源库黄金圣树·永恒</x:v>
      </x:c>
    </x:row>
    <x:row r="45" ht="34" customHeight="1">
      <x:c r="A45" s="72" t="str">
        <x:v>C03-M041</x:v>
      </x:c>
      <x:c r="B45" s="73" t="str">
        <x:v>C03</x:v>
      </x:c>
      <x:c r="C45" s="73" t="str">
        <x:v>宁姆格福西域</x:v>
      </x:c>
      <x:c r="D45" s="73" t="str">
        <x:v>XX312</x:v>
      </x:c>
      <x:c r="E45" s="73" t="str">
        <x:v>墓旗守卫</x:v>
      </x:c>
      <x:c r="F45" s="73" t="str">
        <x:v>普通</x:v>
      </x:c>
      <x:c r="G45" s="73" t="str">
        <x:v>墓旗头冠</x:v>
      </x:c>
      <x:c r="H45" s="73" t="str">
        <x:v>头盔</x:v>
      </x:c>
      <x:c r="I45" s="73" t="str">
        <x:v>头盔</x:v>
      </x:c>
      <x:c r="J45" s="79" t="n">
        <x:v>6574</x:v>
      </x:c>
      <x:c r="K45" s="73" t="str">
        <x:v>预检通过资源／规划锁定／待入库</x:v>
      </x:c>
      <x:c r="L45" s="74" t="str">
        <x:v>装备资源库血月荆棘·血痕</x:v>
      </x:c>
    </x:row>
    <x:row r="46" ht="34" customHeight="1">
      <x:c r="A46" s="72" t="str">
        <x:v>C03-M042</x:v>
      </x:c>
      <x:c r="B46" s="73" t="str">
        <x:v>C03</x:v>
      </x:c>
      <x:c r="C46" s="73" t="str">
        <x:v>宁姆格福西域</x:v>
      </x:c>
      <x:c r="D46" s="73" t="str">
        <x:v>XX312</x:v>
      </x:c>
      <x:c r="E46" s="73" t="str">
        <x:v>英灵战马</x:v>
      </x:c>
      <x:c r="F46" s="73" t="str">
        <x:v>普通</x:v>
      </x:c>
      <x:c r="G46" s="73" t="str">
        <x:v>英灵马靴</x:v>
      </x:c>
      <x:c r="H46" s="73" t="str">
        <x:v>鞋子</x:v>
      </x:c>
      <x:c r="I46" s="73" t="str">
        <x:v>鞋子</x:v>
      </x:c>
      <x:c r="J46" s="79" t="n">
        <x:v>6547</x:v>
      </x:c>
      <x:c r="K46" s="73" t="str">
        <x:v>预检通过资源／规划锁定／待入库</x:v>
      </x:c>
      <x:c r="L46" s="74" t="str">
        <x:v>装备资源库黄金圣树·永恒</x:v>
      </x:c>
    </x:row>
    <x:row r="47" ht="34" customHeight="1">
      <x:c r="A47" s="72" t="str">
        <x:v>C03-M043</x:v>
      </x:c>
      <x:c r="B47" s="73" t="str">
        <x:v>C03</x:v>
      </x:c>
      <x:c r="C47" s="73" t="str">
        <x:v>宁姆格福西域</x:v>
      </x:c>
      <x:c r="D47" s="73" t="str">
        <x:v>XX310</x:v>
      </x:c>
      <x:c r="E47" s="73" t="str">
        <x:v>百战英魂</x:v>
      </x:c>
      <x:c r="F47" s="73" t="str">
        <x:v>稀有</x:v>
      </x:c>
      <x:c r="G47" s="73" t="str">
        <x:v>百战腕甲</x:v>
      </x:c>
      <x:c r="H47" s="73" t="str">
        <x:v>手镯</x:v>
      </x:c>
      <x:c r="I47" s="73" t="str">
        <x:v>手镯</x:v>
      </x:c>
      <x:c r="J47" s="79" t="n">
        <x:v>6542</x:v>
      </x:c>
      <x:c r="K47" s="73" t="str">
        <x:v>预检通过资源／规划锁定／待入库</x:v>
      </x:c>
      <x:c r="L47" s="74" t="str">
        <x:v>装备资源库黄金圣树·永恒</x:v>
      </x:c>
    </x:row>
    <x:row r="48" ht="34" customHeight="1">
      <x:c r="A48" s="72" t="str">
        <x:v>C03-M044</x:v>
      </x:c>
      <x:c r="B48" s="73" t="str">
        <x:v>C03</x:v>
      </x:c>
      <x:c r="C48" s="73" t="str">
        <x:v>宁姆格福西域</x:v>
      </x:c>
      <x:c r="D48" s="73" t="str">
        <x:v>XX311</x:v>
      </x:c>
      <x:c r="E48" s="73" t="str">
        <x:v>亡阵旗官</x:v>
      </x:c>
      <x:c r="F48" s="73" t="str">
        <x:v>稀有</x:v>
      </x:c>
      <x:c r="G48" s="73" t="str">
        <x:v>亡阵旗印</x:v>
      </x:c>
      <x:c r="H48" s="73" t="str">
        <x:v>勋章</x:v>
      </x:c>
      <x:c r="I48" s="73" t="str">
        <x:v>勋章</x:v>
      </x:c>
      <x:c r="J48" s="79" t="n">
        <x:v>6579</x:v>
      </x:c>
      <x:c r="K48" s="73" t="str">
        <x:v>预检通过资源／规划锁定／待入库</x:v>
      </x:c>
      <x:c r="L48" s="74" t="str">
        <x:v>装备资源库血月荆棘·血痕</x:v>
      </x:c>
    </x:row>
    <x:row r="49" ht="34" customHeight="1">
      <x:c r="A49" s="72" t="str">
        <x:v>C03-M045</x:v>
      </x:c>
      <x:c r="B49" s="73" t="str">
        <x:v>C03</x:v>
      </x:c>
      <x:c r="C49" s="73" t="str">
        <x:v>宁姆格福西域</x:v>
      </x:c>
      <x:c r="D49" s="73" t="str">
        <x:v>XX312</x:v>
      </x:c>
      <x:c r="E49" s="73" t="str">
        <x:v>誓死卫士</x:v>
      </x:c>
      <x:c r="F49" s="73" t="str">
        <x:v>稀有</x:v>
      </x:c>
      <x:c r="G49" s="73" t="str">
        <x:v>誓死王盾</x:v>
      </x:c>
      <x:c r="H49" s="73" t="str">
        <x:v>盾牌</x:v>
      </x:c>
      <x:c r="I49" s="73" t="str">
        <x:v>盾牌</x:v>
      </x:c>
      <x:c r="J49" s="79" t="n">
        <x:v>6510</x:v>
      </x:c>
      <x:c r="K49" s="73" t="str">
        <x:v>预检通过资源／规划锁定／待入库</x:v>
      </x:c>
      <x:c r="L49" s="74" t="str">
        <x:v>装备资源库黄金圣树·律法</x:v>
      </x:c>
    </x:row>
    <x:row r="50" ht="34" customHeight="1">
      <x:c r="A50" s="72" t="str">
        <x:v>C03-M046</x:v>
      </x:c>
      <x:c r="B50" s="73" t="str">
        <x:v>C03</x:v>
      </x:c>
      <x:c r="C50" s="73" t="str">
        <x:v>宁姆格福西域</x:v>
      </x:c>
      <x:c r="D50" s="73" t="str">
        <x:v>XX312</x:v>
      </x:c>
      <x:c r="E50" s="73" t="str">
        <x:v>祭坛唤魂师</x:v>
      </x:c>
      <x:c r="F50" s="73" t="str">
        <x:v>稀有</x:v>
      </x:c>
      <x:c r="G50" s="73" t="str">
        <x:v>幽坛引魂铃</x:v>
      </x:c>
      <x:c r="H50" s="73" t="str">
        <x:v>项链</x:v>
      </x:c>
      <x:c r="I50" s="73" t="str">
        <x:v>项链</x:v>
      </x:c>
      <x:c r="J50" s="79" t="n">
        <x:v>6646</x:v>
      </x:c>
      <x:c r="K50" s="73" t="str">
        <x:v>预检通过资源／规划锁定／待入库</x:v>
      </x:c>
      <x:c r="L50" s="74" t="str">
        <x:v>装备资源库血月荆棘·猩月</x:v>
      </x:c>
    </x:row>
    <x:row r="51" ht="34" customHeight="1">
      <x:c r="A51" s="72" t="str">
        <x:v>C03-M047</x:v>
      </x:c>
      <x:c r="B51" s="73" t="str">
        <x:v>C03</x:v>
      </x:c>
      <x:c r="C51" s="73" t="str">
        <x:v>宁姆格福西域</x:v>
      </x:c>
      <x:c r="D51" s="73" t="str">
        <x:v>XX311</x:v>
      </x:c>
      <x:c r="E51" s="73" t="str">
        <x:v>古战将·雷戈</x:v>
      </x:c>
      <x:c r="F51" s="73" t="str">
        <x:v>地图BOSS</x:v>
      </x:c>
      <x:c r="G51" s="73" t="str">
        <x:v>雷戈古戟</x:v>
      </x:c>
      <x:c r="H51" s="73" t="str">
        <x:v>武器</x:v>
      </x:c>
      <x:c r="I51" s="73" t="str">
        <x:v>武器</x:v>
      </x:c>
      <x:c r="J51" s="79" t="n">
        <x:v>6536</x:v>
      </x:c>
      <x:c r="K51" s="73" t="str">
        <x:v>预检通过资源／规划锁定／待入库</x:v>
      </x:c>
      <x:c r="L51" s="74" t="str">
        <x:v>装备资源库黄金圣树·永恒</x:v>
      </x:c>
    </x:row>
    <x:row r="52" ht="34" customHeight="1">
      <x:c r="A52" s="72" t="str">
        <x:v>C03-M048</x:v>
      </x:c>
      <x:c r="B52" s="73" t="str">
        <x:v>C03</x:v>
      </x:c>
      <x:c r="C52" s="73" t="str">
        <x:v>宁姆格福西域</x:v>
      </x:c>
      <x:c r="D52" s="73" t="str">
        <x:v>XX312</x:v>
      </x:c>
      <x:c r="E52" s="73" t="str">
        <x:v>千军怨灵·阿萨</x:v>
      </x:c>
      <x:c r="F52" s="73" t="str">
        <x:v>地图BOSS</x:v>
      </x:c>
      <x:c r="G52" s="73" t="str">
        <x:v>千军魂衣</x:v>
      </x:c>
      <x:c r="H52" s="73" t="str">
        <x:v>衣服</x:v>
      </x:c>
      <x:c r="I52" s="73" t="str">
        <x:v>男衣服（现行模板的衣服映射）</x:v>
      </x:c>
      <x:c r="J52" s="79" t="n">
        <x:v>6537</x:v>
      </x:c>
      <x:c r="K52" s="73" t="str">
        <x:v>预检通过资源／规划锁定／待入库</x:v>
      </x:c>
      <x:c r="L52" s="74" t="str">
        <x:v>按现行装备模板映射男衣服StdMode10；黄金圣树·永恒</x:v>
      </x:c>
    </x:row>
    <x:row r="53" ht="34" customHeight="1">
      <x:c r="A53" s="72" t="str">
        <x:v>C03-M049</x:v>
      </x:c>
      <x:c r="B53" s="73" t="str">
        <x:v>C03</x:v>
      </x:c>
      <x:c r="C53" s="73" t="str">
        <x:v>宁姆格福西域</x:v>
      </x:c>
      <x:c r="D53" s="73" t="str">
        <x:v>XX518</x:v>
      </x:c>
      <x:c r="E53" s="73" t="str">
        <x:v>古垒戍兵</x:v>
      </x:c>
      <x:c r="F53" s="73" t="str">
        <x:v>普通</x:v>
      </x:c>
      <x:c r="G53" s="73" t="str">
        <x:v>古垒军刀</x:v>
      </x:c>
      <x:c r="H53" s="73" t="str">
        <x:v>武器</x:v>
      </x:c>
      <x:c r="I53" s="73" t="str">
        <x:v>武器</x:v>
      </x:c>
      <x:c r="J53" s="80"/>
      <x:c r="K53" s="73" t="str">
        <x:v>缺武器来源码</x:v>
      </x:c>
      <x:c r="L53" s="74" t="str">
        <x:v>需补同部位Items/StateItem/DnItems三库同码资源</x:v>
      </x:c>
    </x:row>
    <x:row r="54" ht="34" customHeight="1">
      <x:c r="A54" s="72" t="str">
        <x:v>C03-M050</x:v>
      </x:c>
      <x:c r="B54" s="73" t="str">
        <x:v>C03</x:v>
      </x:c>
      <x:c r="C54" s="73" t="str">
        <x:v>宁姆格福西域</x:v>
      </x:c>
      <x:c r="D54" s="73" t="str">
        <x:v>XX518</x:v>
      </x:c>
      <x:c r="E54" s="73" t="str">
        <x:v>风沙箭手</x:v>
      </x:c>
      <x:c r="F54" s="73" t="str">
        <x:v>普通</x:v>
      </x:c>
      <x:c r="G54" s="73" t="str">
        <x:v>风沙鹰链</x:v>
      </x:c>
      <x:c r="H54" s="73" t="str">
        <x:v>项链</x:v>
      </x:c>
      <x:c r="I54" s="73" t="str">
        <x:v>项链</x:v>
      </x:c>
      <x:c r="J54" s="79" t="n">
        <x:v>6681</x:v>
      </x:c>
      <x:c r="K54" s="73" t="str">
        <x:v>预检通过资源／规划锁定／待入库</x:v>
      </x:c>
      <x:c r="L54" s="74" t="str">
        <x:v>装备资源库血月荆棘·弑王</x:v>
      </x:c>
    </x:row>
    <x:row r="55" ht="34" customHeight="1">
      <x:c r="A55" s="72" t="str">
        <x:v>C03-M051</x:v>
      </x:c>
      <x:c r="B55" s="73" t="str">
        <x:v>C03</x:v>
      </x:c>
      <x:c r="C55" s="73" t="str">
        <x:v>宁姆格福西域</x:v>
      </x:c>
      <x:c r="D55" s="73" t="str">
        <x:v>XX517</x:v>
      </x:c>
      <x:c r="E55" s="73" t="str">
        <x:v>回廊石卫</x:v>
      </x:c>
      <x:c r="F55" s="73" t="str">
        <x:v>普通</x:v>
      </x:c>
      <x:c r="G55" s="73" t="str">
        <x:v>回廊石盔</x:v>
      </x:c>
      <x:c r="H55" s="73" t="str">
        <x:v>头盔</x:v>
      </x:c>
      <x:c r="I55" s="73" t="str">
        <x:v>头盔</x:v>
      </x:c>
      <x:c r="J55" s="79" t="n">
        <x:v>6609</x:v>
      </x:c>
      <x:c r="K55" s="73" t="str">
        <x:v>预检通过资源／规划锁定／待入库</x:v>
      </x:c>
      <x:c r="L55" s="74" t="str">
        <x:v>装备资源库血月荆棘·荆冠</x:v>
      </x:c>
    </x:row>
    <x:row r="56" ht="34" customHeight="1">
      <x:c r="A56" s="72" t="str">
        <x:v>C03-M052</x:v>
      </x:c>
      <x:c r="B56" s="73" t="str">
        <x:v>C03</x:v>
      </x:c>
      <x:c r="C56" s="73" t="str">
        <x:v>宁姆格福西域</x:v>
      </x:c>
      <x:c r="D56" s="73" t="str">
        <x:v>XX516</x:v>
      </x:c>
      <x:c r="E56" s="73" t="str">
        <x:v>地宫掘墓人</x:v>
      </x:c>
      <x:c r="F56" s="73" t="str">
        <x:v>普通</x:v>
      </x:c>
      <x:c r="G56" s="73" t="str">
        <x:v>掘墓铁镯</x:v>
      </x:c>
      <x:c r="H56" s="73" t="str">
        <x:v>手镯</x:v>
      </x:c>
      <x:c r="I56" s="73" t="str">
        <x:v>手镯</x:v>
      </x:c>
      <x:c r="J56" s="79" t="n">
        <x:v>6577</x:v>
      </x:c>
      <x:c r="K56" s="73" t="str">
        <x:v>预检通过资源／规划锁定／待入库</x:v>
      </x:c>
      <x:c r="L56" s="74" t="str">
        <x:v>装备资源库血月荆棘·血痕</x:v>
      </x:c>
    </x:row>
    <x:row r="57" ht="34" customHeight="1">
      <x:c r="A57" s="72" t="str">
        <x:v>C03-M053</x:v>
      </x:c>
      <x:c r="B57" s="73" t="str">
        <x:v>C03</x:v>
      </x:c>
      <x:c r="C57" s="73" t="str">
        <x:v>宁姆格福西域</x:v>
      </x:c>
      <x:c r="D57" s="73" t="str">
        <x:v>XX517</x:v>
      </x:c>
      <x:c r="E57" s="73" t="str">
        <x:v>边墙猎犬</x:v>
      </x:c>
      <x:c r="F57" s="73" t="str">
        <x:v>普通</x:v>
      </x:c>
      <x:c r="G57" s="73" t="str">
        <x:v>边墙牙戒</x:v>
      </x:c>
      <x:c r="H57" s="73" t="str">
        <x:v>戒指</x:v>
      </x:c>
      <x:c r="I57" s="73" t="str">
        <x:v>戒指</x:v>
      </x:c>
      <x:c r="J57" s="79" t="n">
        <x:v>6613</x:v>
      </x:c>
      <x:c r="K57" s="73" t="str">
        <x:v>预检通过资源／规划锁定／待入库</x:v>
      </x:c>
      <x:c r="L57" s="74" t="str">
        <x:v>装备资源库血月荆棘·荆冠</x:v>
      </x:c>
    </x:row>
    <x:row r="58" ht="34" customHeight="1">
      <x:c r="A58" s="72" t="str">
        <x:v>C03-M054</x:v>
      </x:c>
      <x:c r="B58" s="73" t="str">
        <x:v>C03</x:v>
      </x:c>
      <x:c r="C58" s="73" t="str">
        <x:v>宁姆格福西域</x:v>
      </x:c>
      <x:c r="D58" s="73" t="str">
        <x:v>XX516</x:v>
      </x:c>
      <x:c r="E58" s="73" t="str">
        <x:v>铜门守卒</x:v>
      </x:c>
      <x:c r="F58" s="73" t="str">
        <x:v>普通</x:v>
      </x:c>
      <x:c r="G58" s="73" t="str">
        <x:v>铜门束带</x:v>
      </x:c>
      <x:c r="H58" s="73" t="str">
        <x:v>腰带</x:v>
      </x:c>
      <x:c r="I58" s="73" t="str">
        <x:v>腰带</x:v>
      </x:c>
      <x:c r="J58" s="79" t="n">
        <x:v>6548</x:v>
      </x:c>
      <x:c r="K58" s="73" t="str">
        <x:v>预检通过资源／规划锁定／待入库</x:v>
      </x:c>
      <x:c r="L58" s="74" t="str">
        <x:v>装备资源库黄金圣树·永恒</x:v>
      </x:c>
    </x:row>
    <x:row r="59" ht="34" customHeight="1">
      <x:c r="A59" s="72" t="str">
        <x:v>C03-M055</x:v>
      </x:c>
      <x:c r="B59" s="73" t="str">
        <x:v>C03</x:v>
      </x:c>
      <x:c r="C59" s="73" t="str">
        <x:v>宁姆格福西域</x:v>
      </x:c>
      <x:c r="D59" s="73" t="str">
        <x:v>XX518</x:v>
      </x:c>
      <x:c r="E59" s="73" t="str">
        <x:v>古垒百夫长</x:v>
      </x:c>
      <x:c r="F59" s="73" t="str">
        <x:v>稀有</x:v>
      </x:c>
      <x:c r="G59" s="73" t="str">
        <x:v>百夫战靴</x:v>
      </x:c>
      <x:c r="H59" s="73" t="str">
        <x:v>鞋子</x:v>
      </x:c>
      <x:c r="I59" s="73" t="str">
        <x:v>鞋子</x:v>
      </x:c>
      <x:c r="J59" s="79" t="n">
        <x:v>6582</x:v>
      </x:c>
      <x:c r="K59" s="73" t="str">
        <x:v>预检通过资源／规划锁定／待入库</x:v>
      </x:c>
      <x:c r="L59" s="74" t="str">
        <x:v>装备资源库血月荆棘·血痕</x:v>
      </x:c>
    </x:row>
    <x:row r="60" ht="34" customHeight="1">
      <x:c r="A60" s="72" t="str">
        <x:v>C03-M056</x:v>
      </x:c>
      <x:c r="B60" s="73" t="str">
        <x:v>C03</x:v>
      </x:c>
      <x:c r="C60" s="73" t="str">
        <x:v>宁姆格福西域</x:v>
      </x:c>
      <x:c r="D60" s="73" t="str">
        <x:v>XX517</x:v>
      </x:c>
      <x:c r="E60" s="73" t="str">
        <x:v>风蚀刑官</x:v>
      </x:c>
      <x:c r="F60" s="73" t="str">
        <x:v>稀有</x:v>
      </x:c>
      <x:c r="G60" s="73" t="str">
        <x:v>刑官断刃</x:v>
      </x:c>
      <x:c r="H60" s="73" t="str">
        <x:v>武器</x:v>
      </x:c>
      <x:c r="I60" s="73" t="str">
        <x:v>武器</x:v>
      </x:c>
      <x:c r="J60" s="80"/>
      <x:c r="K60" s="73" t="str">
        <x:v>缺武器来源码</x:v>
      </x:c>
      <x:c r="L60" s="74" t="str">
        <x:v>需补同部位Items/StateItem/DnItems三库同码资源</x:v>
      </x:c>
    </x:row>
    <x:row r="61" ht="34" customHeight="1">
      <x:c r="A61" s="72" t="str">
        <x:v>C03-M057</x:v>
      </x:c>
      <x:c r="B61" s="73" t="str">
        <x:v>C03</x:v>
      </x:c>
      <x:c r="C61" s="73" t="str">
        <x:v>宁姆格福西域</x:v>
      </x:c>
      <x:c r="D61" s="73" t="str">
        <x:v>XX516</x:v>
      </x:c>
      <x:c r="E61" s="73" t="str">
        <x:v>地宫镇魂者</x:v>
      </x:c>
      <x:c r="F61" s="73" t="str">
        <x:v>稀有</x:v>
      </x:c>
      <x:c r="G61" s="73" t="str">
        <x:v>镇魂勋章</x:v>
      </x:c>
      <x:c r="H61" s="73" t="str">
        <x:v>勋章</x:v>
      </x:c>
      <x:c r="I61" s="73" t="str">
        <x:v>勋章</x:v>
      </x:c>
      <x:c r="J61" s="79" t="n">
        <x:v>6614</x:v>
      </x:c>
      <x:c r="K61" s="73" t="str">
        <x:v>预检通过资源／规划锁定／待入库</x:v>
      </x:c>
      <x:c r="L61" s="74" t="str">
        <x:v>装备资源库血月荆棘·荆冠</x:v>
      </x:c>
    </x:row>
    <x:row r="62" ht="34" customHeight="1">
      <x:c r="A62" s="72" t="str">
        <x:v>C03-M058</x:v>
      </x:c>
      <x:c r="B62" s="73" t="str">
        <x:v>C03</x:v>
      </x:c>
      <x:c r="C62" s="73" t="str">
        <x:v>宁姆格福西域</x:v>
      </x:c>
      <x:c r="D62" s="73" t="str">
        <x:v>XX516</x:v>
      </x:c>
      <x:c r="E62" s="73" t="str">
        <x:v>边境铜像</x:v>
      </x:c>
      <x:c r="F62" s="73" t="str">
        <x:v>稀有</x:v>
      </x:c>
      <x:c r="G62" s="73" t="str">
        <x:v>边境塔盾</x:v>
      </x:c>
      <x:c r="H62" s="73" t="str">
        <x:v>盾牌</x:v>
      </x:c>
      <x:c r="I62" s="73" t="str">
        <x:v>盾牌</x:v>
      </x:c>
      <x:c r="J62" s="79" t="n">
        <x:v>6545</x:v>
      </x:c>
      <x:c r="K62" s="73" t="str">
        <x:v>预检通过资源／规划锁定／待入库</x:v>
      </x:c>
      <x:c r="L62" s="74" t="str">
        <x:v>装备资源库黄金圣树·永恒</x:v>
      </x:c>
    </x:row>
    <x:row r="63" ht="34" customHeight="1">
      <x:c r="A63" s="72" t="str">
        <x:v>C03-M059</x:v>
      </x:c>
      <x:c r="B63" s="73" t="str">
        <x:v>C03</x:v>
      </x:c>
      <x:c r="C63" s="73" t="str">
        <x:v>宁姆格福西域</x:v>
      </x:c>
      <x:c r="D63" s="73" t="str">
        <x:v>XX517</x:v>
      </x:c>
      <x:c r="E63" s="73" t="str">
        <x:v>无归守将·布兰</x:v>
      </x:c>
      <x:c r="F63" s="73" t="str">
        <x:v>地图BOSS</x:v>
      </x:c>
      <x:c r="G63" s="73" t="str">
        <x:v>布兰守城枪</x:v>
      </x:c>
      <x:c r="H63" s="73" t="str">
        <x:v>武器</x:v>
      </x:c>
      <x:c r="I63" s="73" t="str">
        <x:v>武器</x:v>
      </x:c>
      <x:c r="J63" s="79" t="n">
        <x:v>6571</x:v>
      </x:c>
      <x:c r="K63" s="73" t="str">
        <x:v>预检通过资源／规划锁定／待入库</x:v>
      </x:c>
      <x:c r="L63" s="74" t="str">
        <x:v>装备资源库血月荆棘·血痕</x:v>
      </x:c>
    </x:row>
    <x:row r="64" ht="34" customHeight="1">
      <x:c r="A64" s="72" t="str">
        <x:v>C03-M060</x:v>
      </x:c>
      <x:c r="B64" s="73" t="str">
        <x:v>C03</x:v>
      </x:c>
      <x:c r="C64" s="73" t="str">
        <x:v>宁姆格福西域</x:v>
      </x:c>
      <x:c r="D64" s="73" t="str">
        <x:v>XX516</x:v>
      </x:c>
      <x:c r="E64" s="73" t="str">
        <x:v>古垒石王·迦姆</x:v>
      </x:c>
      <x:c r="F64" s="73" t="str">
        <x:v>地图BOSS</x:v>
      </x:c>
      <x:c r="G64" s="73" t="str">
        <x:v>石王古铠</x:v>
      </x:c>
      <x:c r="H64" s="73" t="str">
        <x:v>衣服</x:v>
      </x:c>
      <x:c r="I64" s="73" t="str">
        <x:v>男衣服（现行模板的衣服映射）</x:v>
      </x:c>
      <x:c r="J64" s="79" t="n">
        <x:v>6572</x:v>
      </x:c>
      <x:c r="K64" s="73" t="str">
        <x:v>预检通过资源／规划锁定／待入库</x:v>
      </x:c>
      <x:c r="L64" s="74" t="str">
        <x:v>按现行装备模板映射男衣服StdMode10；血月荆棘·血痕</x:v>
      </x:c>
    </x:row>
    <x:row r="65" ht="34" customHeight="1">
      <x:c r="A65" s="72" t="str">
        <x:v>C03-M061</x:v>
      </x:c>
      <x:c r="B65" s="73" t="str">
        <x:v>C03</x:v>
      </x:c>
      <x:c r="C65" s="73" t="str">
        <x:v>宁姆格福西域</x:v>
      </x:c>
      <x:c r="D65" s="73" t="str">
        <x:v>XX140</x:v>
      </x:c>
      <x:c r="E65" s="73" t="str">
        <x:v>金叶哨兵</x:v>
      </x:c>
      <x:c r="F65" s="73" t="str">
        <x:v>普通</x:v>
      </x:c>
      <x:c r="G65" s="73" t="str">
        <x:v>金叶军刃</x:v>
      </x:c>
      <x:c r="H65" s="73" t="str">
        <x:v>武器</x:v>
      </x:c>
      <x:c r="I65" s="73" t="str">
        <x:v>武器</x:v>
      </x:c>
      <x:c r="J65" s="80"/>
      <x:c r="K65" s="73" t="str">
        <x:v>缺武器来源码</x:v>
      </x:c>
      <x:c r="L65" s="74" t="str">
        <x:v>需补同部位Items/StateItem/DnItems三库同码资源</x:v>
      </x:c>
    </x:row>
    <x:row r="66" ht="34" customHeight="1">
      <x:c r="A66" s="72" t="str">
        <x:v>C03-M062</x:v>
      </x:c>
      <x:c r="B66" s="73" t="str">
        <x:v>C03</x:v>
      </x:c>
      <x:c r="C66" s="73" t="str">
        <x:v>宁姆格福西域</x:v>
      </x:c>
      <x:c r="D66" s="73" t="str">
        <x:v>XX140</x:v>
      </x:c>
      <x:c r="E66" s="73" t="str">
        <x:v>王树弩卫</x:v>
      </x:c>
      <x:c r="F66" s="73" t="str">
        <x:v>普通</x:v>
      </x:c>
      <x:c r="G66" s="73" t="str">
        <x:v>王树弩戒</x:v>
      </x:c>
      <x:c r="H66" s="73" t="str">
        <x:v>戒指</x:v>
      </x:c>
      <x:c r="I66" s="73" t="str">
        <x:v>戒指</x:v>
      </x:c>
      <x:c r="J66" s="79" t="n">
        <x:v>6648</x:v>
      </x:c>
      <x:c r="K66" s="73" t="str">
        <x:v>预检通过资源／规划锁定／待入库</x:v>
      </x:c>
      <x:c r="L66" s="74" t="str">
        <x:v>装备资源库血月荆棘·猩月</x:v>
      </x:c>
    </x:row>
    <x:row r="67" ht="34" customHeight="1">
      <x:c r="A67" s="72" t="str">
        <x:v>C03-M063</x:v>
      </x:c>
      <x:c r="B67" s="73" t="str">
        <x:v>C03</x:v>
      </x:c>
      <x:c r="C67" s="73" t="str">
        <x:v>宁姆格福西域</x:v>
      </x:c>
      <x:c r="D67" s="73" t="str">
        <x:v>XX136</x:v>
      </x:c>
      <x:c r="E67" s="73" t="str">
        <x:v>圣露侍从</x:v>
      </x:c>
      <x:c r="F67" s="73" t="str">
        <x:v>普通</x:v>
      </x:c>
      <x:c r="G67" s="73" t="str">
        <x:v>圣露护腕</x:v>
      </x:c>
      <x:c r="H67" s="73" t="str">
        <x:v>手镯</x:v>
      </x:c>
      <x:c r="I67" s="73" t="str">
        <x:v>手镯</x:v>
      </x:c>
      <x:c r="J67" s="79" t="n">
        <x:v>6612</x:v>
      </x:c>
      <x:c r="K67" s="73" t="str">
        <x:v>预检通过资源／规划锁定／待入库</x:v>
      </x:c>
      <x:c r="L67" s="74" t="str">
        <x:v>装备资源库血月荆棘·荆冠</x:v>
      </x:c>
    </x:row>
    <x:row r="68" ht="34" customHeight="1">
      <x:c r="A68" s="72" t="str">
        <x:v>C03-M064</x:v>
      </x:c>
      <x:c r="B68" s="73" t="str">
        <x:v>C03</x:v>
      </x:c>
      <x:c r="C68" s="73" t="str">
        <x:v>宁姆格福西域</x:v>
      </x:c>
      <x:c r="D68" s="73" t="str">
        <x:v>XX136</x:v>
      </x:c>
      <x:c r="E68" s="73" t="str">
        <x:v>镀金战鹰</x:v>
      </x:c>
      <x:c r="F68" s="73" t="str">
        <x:v>普通</x:v>
      </x:c>
      <x:c r="G68" s="73" t="str">
        <x:v>镀金羽冠</x:v>
      </x:c>
      <x:c r="H68" s="73" t="str">
        <x:v>头盔</x:v>
      </x:c>
      <x:c r="I68" s="73" t="str">
        <x:v>头盔</x:v>
      </x:c>
      <x:c r="J68" s="79" t="n">
        <x:v>6644</x:v>
      </x:c>
      <x:c r="K68" s="73" t="str">
        <x:v>预检通过资源／规划锁定／待入库</x:v>
      </x:c>
      <x:c r="L68" s="74" t="str">
        <x:v>装备资源库血月荆棘·猩月</x:v>
      </x:c>
    </x:row>
    <x:row r="69" ht="34" customHeight="1">
      <x:c r="A69" s="72" t="str">
        <x:v>C03-M065</x:v>
      </x:c>
      <x:c r="B69" s="73" t="str">
        <x:v>C03</x:v>
      </x:c>
      <x:c r="C69" s="73" t="str">
        <x:v>宁姆格福西域</x:v>
      </x:c>
      <x:c r="D69" s="73" t="str">
        <x:v>XX169</x:v>
      </x:c>
      <x:c r="E69" s="73" t="str">
        <x:v>赐福骑兵</x:v>
      </x:c>
      <x:c r="F69" s="73" t="str">
        <x:v>普通</x:v>
      </x:c>
      <x:c r="G69" s="73" t="str">
        <x:v>赐福战靴</x:v>
      </x:c>
      <x:c r="H69" s="73" t="str">
        <x:v>鞋子</x:v>
      </x:c>
      <x:c r="I69" s="73" t="str">
        <x:v>鞋子</x:v>
      </x:c>
      <x:c r="J69" s="79" t="n">
        <x:v>6617</x:v>
      </x:c>
      <x:c r="K69" s="73" t="str">
        <x:v>预检通过资源／规划锁定／待入库</x:v>
      </x:c>
      <x:c r="L69" s="74" t="str">
        <x:v>装备资源库血月荆棘·荆冠</x:v>
      </x:c>
    </x:row>
    <x:row r="70" ht="34" customHeight="1">
      <x:c r="A70" s="72" t="str">
        <x:v>C03-M066</x:v>
      </x:c>
      <x:c r="B70" s="73" t="str">
        <x:v>C03</x:v>
      </x:c>
      <x:c r="C70" s="73" t="str">
        <x:v>宁姆格福西域</x:v>
      </x:c>
      <x:c r="D70" s="73" t="str">
        <x:v>XX169</x:v>
      </x:c>
      <x:c r="E70" s="73" t="str">
        <x:v>哨垒执炬者</x:v>
      </x:c>
      <x:c r="F70" s="73" t="str">
        <x:v>普通</x:v>
      </x:c>
      <x:c r="G70" s="73" t="str">
        <x:v>执炬勋章</x:v>
      </x:c>
      <x:c r="H70" s="73" t="str">
        <x:v>勋章</x:v>
      </x:c>
      <x:c r="I70" s="73" t="str">
        <x:v>勋章</x:v>
      </x:c>
      <x:c r="J70" s="79" t="n">
        <x:v>6649</x:v>
      </x:c>
      <x:c r="K70" s="73" t="str">
        <x:v>预检通过资源／规划锁定／待入库</x:v>
      </x:c>
      <x:c r="L70" s="74" t="str">
        <x:v>装备资源库血月荆棘·猩月</x:v>
      </x:c>
    </x:row>
    <x:row r="71" ht="34" customHeight="1">
      <x:c r="A71" s="72" t="str">
        <x:v>C03-M067</x:v>
      </x:c>
      <x:c r="B71" s="73" t="str">
        <x:v>C03</x:v>
      </x:c>
      <x:c r="C71" s="73" t="str">
        <x:v>宁姆格福西域</x:v>
      </x:c>
      <x:c r="D71" s="73" t="str">
        <x:v>XX140</x:v>
      </x:c>
      <x:c r="E71" s="73" t="str">
        <x:v>黄金树旗卫</x:v>
      </x:c>
      <x:c r="F71" s="73" t="str">
        <x:v>稀有</x:v>
      </x:c>
      <x:c r="G71" s="73" t="str">
        <x:v>黄金旗甲</x:v>
      </x:c>
      <x:c r="H71" s="73" t="str">
        <x:v>衣服</x:v>
      </x:c>
      <x:c r="I71" s="73" t="str">
        <x:v>男衣服（现行模板的衣服映射）</x:v>
      </x:c>
      <x:c r="J71" s="80"/>
      <x:c r="K71" s="73" t="str">
        <x:v>缺衣服来源码</x:v>
      </x:c>
      <x:c r="L71" s="74" t="str">
        <x:v>需补男衣服StdMode10的三库同码资源；女衣服码未获准合池</x:v>
      </x:c>
    </x:row>
    <x:row r="72" ht="34" customHeight="1">
      <x:c r="A72" s="72" t="str">
        <x:v>C03-M068</x:v>
      </x:c>
      <x:c r="B72" s="73" t="str">
        <x:v>C03</x:v>
      </x:c>
      <x:c r="C72" s="73" t="str">
        <x:v>宁姆格福西域</x:v>
      </x:c>
      <x:c r="D72" s="73" t="str">
        <x:v>XX136</x:v>
      </x:c>
      <x:c r="E72" s="73" t="str">
        <x:v>圣律监军</x:v>
      </x:c>
      <x:c r="F72" s="73" t="str">
        <x:v>稀有</x:v>
      </x:c>
      <x:c r="G72" s="73" t="str">
        <x:v>圣律戒印</x:v>
      </x:c>
      <x:c r="H72" s="73" t="str">
        <x:v>戒指</x:v>
      </x:c>
      <x:c r="I72" s="73" t="str">
        <x:v>戒指</x:v>
      </x:c>
      <x:c r="J72" s="79" t="n">
        <x:v>6683</x:v>
      </x:c>
      <x:c r="K72" s="73" t="str">
        <x:v>预检通过资源／规划锁定／待入库</x:v>
      </x:c>
      <x:c r="L72" s="74" t="str">
        <x:v>装备资源库血月荆棘·弑王</x:v>
      </x:c>
    </x:row>
    <x:row r="73" ht="34" customHeight="1">
      <x:c r="A73" s="72" t="str">
        <x:v>C03-M069</x:v>
      </x:c>
      <x:c r="B73" s="73" t="str">
        <x:v>C03</x:v>
      </x:c>
      <x:c r="C73" s="73" t="str">
        <x:v>宁姆格福西域</x:v>
      </x:c>
      <x:c r="D73" s="73" t="str">
        <x:v>XX169</x:v>
      </x:c>
      <x:c r="E73" s="73" t="str">
        <x:v>赐福守门人</x:v>
      </x:c>
      <x:c r="F73" s="73" t="str">
        <x:v>稀有</x:v>
      </x:c>
      <x:c r="G73" s="73" t="str">
        <x:v>守门王盾</x:v>
      </x:c>
      <x:c r="H73" s="73" t="str">
        <x:v>盾牌</x:v>
      </x:c>
      <x:c r="I73" s="73" t="str">
        <x:v>盾牌</x:v>
      </x:c>
      <x:c r="J73" s="79" t="n">
        <x:v>6580</x:v>
      </x:c>
      <x:c r="K73" s="73" t="str">
        <x:v>预检通过资源／规划锁定／待入库</x:v>
      </x:c>
      <x:c r="L73" s="74" t="str">
        <x:v>装备资源库血月荆棘·血痕</x:v>
      </x:c>
    </x:row>
    <x:row r="74" ht="34" customHeight="1">
      <x:c r="A74" s="72" t="str">
        <x:v>C03-M070</x:v>
      </x:c>
      <x:c r="B74" s="73" t="str">
        <x:v>C03</x:v>
      </x:c>
      <x:c r="C74" s="73" t="str">
        <x:v>宁姆格福西域</x:v>
      </x:c>
      <x:c r="D74" s="73" t="str">
        <x:v>XX169</x:v>
      </x:c>
      <x:c r="E74" s="73" t="str">
        <x:v>哨垒祷告师</x:v>
      </x:c>
      <x:c r="F74" s="73" t="str">
        <x:v>稀有</x:v>
      </x:c>
      <x:c r="G74" s="73" t="str">
        <x:v>赐光祷誓镯</x:v>
      </x:c>
      <x:c r="H74" s="73" t="str">
        <x:v>手镯</x:v>
      </x:c>
      <x:c r="I74" s="73" t="str">
        <x:v>手镯</x:v>
      </x:c>
      <x:c r="J74" s="79" t="n">
        <x:v>6647</x:v>
      </x:c>
      <x:c r="K74" s="73" t="str">
        <x:v>预检通过资源／规划锁定／待入库</x:v>
      </x:c>
      <x:c r="L74" s="74" t="str">
        <x:v>装备资源库血月荆棘·猩月</x:v>
      </x:c>
    </x:row>
    <x:row r="75" ht="34" customHeight="1">
      <x:c r="A75" s="72" t="str">
        <x:v>C03-M071</x:v>
      </x:c>
      <x:c r="B75" s="73" t="str">
        <x:v>C03</x:v>
      </x:c>
      <x:c r="C75" s="73" t="str">
        <x:v>宁姆格福西域</x:v>
      </x:c>
      <x:c r="D75" s="73" t="str">
        <x:v>XX136</x:v>
      </x:c>
      <x:c r="E75" s="73" t="str">
        <x:v>金叶统帅·艾德</x:v>
      </x:c>
      <x:c r="F75" s="73" t="str">
        <x:v>地图BOSS</x:v>
      </x:c>
      <x:c r="G75" s="73" t="str">
        <x:v>艾德统帅剑</x:v>
      </x:c>
      <x:c r="H75" s="73" t="str">
        <x:v>武器</x:v>
      </x:c>
      <x:c r="I75" s="73" t="str">
        <x:v>武器</x:v>
      </x:c>
      <x:c r="J75" s="79" t="n">
        <x:v>6606</x:v>
      </x:c>
      <x:c r="K75" s="73" t="str">
        <x:v>预检通过资源／规划锁定／待入库</x:v>
      </x:c>
      <x:c r="L75" s="74" t="str">
        <x:v>装备资源库血月荆棘·荆冠</x:v>
      </x:c>
    </x:row>
    <x:row r="76" ht="34" customHeight="1">
      <x:c r="A76" s="72" t="str">
        <x:v>C03-M072</x:v>
      </x:c>
      <x:c r="B76" s="73" t="str">
        <x:v>C03</x:v>
      </x:c>
      <x:c r="C76" s="73" t="str">
        <x:v>宁姆格福西域</x:v>
      </x:c>
      <x:c r="D76" s="73" t="str">
        <x:v>XX169</x:v>
      </x:c>
      <x:c r="E76" s="73" t="str">
        <x:v>黄金树化身·洛恩</x:v>
      </x:c>
      <x:c r="F76" s="73" t="str">
        <x:v>地图BOSS</x:v>
      </x:c>
      <x:c r="G76" s="73" t="str">
        <x:v>洛恩树心甲</x:v>
      </x:c>
      <x:c r="H76" s="73" t="str">
        <x:v>衣服</x:v>
      </x:c>
      <x:c r="I76" s="73" t="str">
        <x:v>男衣服（现行模板的衣服映射）</x:v>
      </x:c>
      <x:c r="J76" s="79" t="n">
        <x:v>6607</x:v>
      </x:c>
      <x:c r="K76" s="73" t="str">
        <x:v>预检通过资源／规划锁定／待入库</x:v>
      </x:c>
      <x:c r="L76" s="74" t="str">
        <x:v>按现行装备模板映射男衣服StdMode10；血月荆棘·荆冠</x:v>
      </x:c>
    </x:row>
    <x:row r="77" ht="34" customHeight="1">
      <x:c r="A77" s="72" t="str">
        <x:v>C03-M073</x:v>
      </x:c>
      <x:c r="B77" s="73" t="str">
        <x:v>C03</x:v>
      </x:c>
      <x:c r="C77" s="73" t="str">
        <x:v>宁姆格福西域</x:v>
      </x:c>
      <x:c r="D77" s="73" t="str">
        <x:v>XX169</x:v>
      </x:c>
      <x:c r="E77" s="73" t="str">
        <x:v>西境征服者·戈德里安</x:v>
      </x:c>
      <x:c r="F77" s="73" t="str">
        <x:v>守关BOSS</x:v>
      </x:c>
      <x:c r="G77" s="73" t="str">
        <x:v>西境征服冠</x:v>
      </x:c>
      <x:c r="H77" s="73" t="str">
        <x:v>头盔</x:v>
      </x:c>
      <x:c r="I77" s="73" t="str">
        <x:v>头盔</x:v>
      </x:c>
      <x:c r="J77" s="79" t="n">
        <x:v>6679</x:v>
      </x:c>
      <x:c r="K77" s="73" t="str">
        <x:v>预检通过资源／规划锁定／待入库</x:v>
      </x:c>
      <x:c r="L77" s="74" t="str">
        <x:v>装备资源库血月荆棘·弑王</x:v>
      </x:c>
    </x:row>
    <x:row r="78" ht="34" customHeight="1">
      <x:c r="A78" s="72" t="str">
        <x:v>C04-M001</x:v>
      </x:c>
      <x:c r="B78" s="73" t="str">
        <x:v>C04</x:v>
      </x:c>
      <x:c r="C78" s="73" t="str">
        <x:v>利耶尼亚海域</x:v>
      </x:c>
      <x:c r="D78" s="73" t="str">
        <x:v>XX341</x:v>
      </x:c>
      <x:c r="E78" s="73" t="str">
        <x:v>雾脚泥蛙</x:v>
      </x:c>
      <x:c r="F78" s="73" t="str">
        <x:v>普通</x:v>
      </x:c>
      <x:c r="G78" s="73" t="str">
        <x:v>雾脚蹼靴</x:v>
      </x:c>
      <x:c r="H78" s="73" t="str">
        <x:v>鞋子</x:v>
      </x:c>
      <x:c r="I78" s="73" t="str">
        <x:v>鞋子</x:v>
      </x:c>
      <x:c r="J78" s="79" t="n">
        <x:v>6652</x:v>
      </x:c>
      <x:c r="K78" s="73" t="str">
        <x:v>预检通过资源／规划锁定／待入库</x:v>
      </x:c>
      <x:c r="L78" s="74" t="str">
        <x:v>装备资源库血月荆棘·猩月</x:v>
      </x:c>
    </x:row>
    <x:row r="79" ht="34" customHeight="1">
      <x:c r="A79" s="72" t="str">
        <x:v>C04-M002</x:v>
      </x:c>
      <x:c r="B79" s="73" t="str">
        <x:v>C04</x:v>
      </x:c>
      <x:c r="C79" s="73" t="str">
        <x:v>利耶尼亚海域</x:v>
      </x:c>
      <x:c r="D79" s="73" t="str">
        <x:v>XX341</x:v>
      </x:c>
      <x:c r="E79" s="73" t="str">
        <x:v>苔冠沼鹿</x:v>
      </x:c>
      <x:c r="F79" s="73" t="str">
        <x:v>普通</x:v>
      </x:c>
      <x:c r="G79" s="73" t="str">
        <x:v>沼鹿苔冠</x:v>
      </x:c>
      <x:c r="H79" s="73" t="str">
        <x:v>头盔</x:v>
      </x:c>
      <x:c r="I79" s="73" t="str">
        <x:v>头盔</x:v>
      </x:c>
      <x:c r="J79" s="79" t="n">
        <x:v>6714</x:v>
      </x:c>
      <x:c r="K79" s="73" t="str">
        <x:v>预检通过资源／规划锁定／待入库</x:v>
      </x:c>
      <x:c r="L79" s="74" t="str">
        <x:v>装备资源库血月荆棘·血月</x:v>
      </x:c>
    </x:row>
    <x:row r="80" ht="34" customHeight="1">
      <x:c r="A80" s="72" t="str">
        <x:v>C04-M003</x:v>
      </x:c>
      <x:c r="B80" s="73" t="str">
        <x:v>C04</x:v>
      </x:c>
      <x:c r="C80" s="73" t="str">
        <x:v>利耶尼亚海域</x:v>
      </x:c>
      <x:c r="D80" s="73" t="str">
        <x:v>XX341</x:v>
      </x:c>
      <x:c r="E80" s="73" t="str">
        <x:v>潮沟芦妖</x:v>
      </x:c>
      <x:c r="F80" s="73" t="str">
        <x:v>普通</x:v>
      </x:c>
      <x:c r="G80" s="73" t="str">
        <x:v>芦针腕环</x:v>
      </x:c>
      <x:c r="H80" s="73" t="str">
        <x:v>手镯</x:v>
      </x:c>
      <x:c r="I80" s="73" t="str">
        <x:v>手镯</x:v>
      </x:c>
      <x:c r="J80" s="79" t="n">
        <x:v>6682</x:v>
      </x:c>
      <x:c r="K80" s="73" t="str">
        <x:v>预检通过资源／规划锁定／待入库</x:v>
      </x:c>
      <x:c r="L80" s="74" t="str">
        <x:v>装备资源库血月荆棘·弑王</x:v>
      </x:c>
    </x:row>
    <x:row r="81" ht="34" customHeight="1">
      <x:c r="A81" s="72" t="str">
        <x:v>C04-M004</x:v>
      </x:c>
      <x:c r="B81" s="73" t="str">
        <x:v>C04</x:v>
      </x:c>
      <x:c r="C81" s="73" t="str">
        <x:v>利耶尼亚海域</x:v>
      </x:c>
      <x:c r="D81" s="73" t="str">
        <x:v>XX342</x:v>
      </x:c>
      <x:c r="E81" s="73" t="str">
        <x:v>腐雾钳虾</x:v>
      </x:c>
      <x:c r="F81" s="73" t="str">
        <x:v>普通</x:v>
      </x:c>
      <x:c r="G81" s="73" t="str">
        <x:v>青壳沼盾</x:v>
      </x:c>
      <x:c r="H81" s="73" t="str">
        <x:v>盾牌</x:v>
      </x:c>
      <x:c r="I81" s="73" t="str">
        <x:v>盾牌</x:v>
      </x:c>
      <x:c r="J81" s="79" t="n">
        <x:v>6615</x:v>
      </x:c>
      <x:c r="K81" s="73" t="str">
        <x:v>预检通过资源／规划锁定／待入库</x:v>
      </x:c>
      <x:c r="L81" s="74" t="str">
        <x:v>装备资源库血月荆棘·荆冠</x:v>
      </x:c>
    </x:row>
    <x:row r="82" ht="34" customHeight="1">
      <x:c r="A82" s="72" t="str">
        <x:v>C04-M005</x:v>
      </x:c>
      <x:c r="B82" s="73" t="str">
        <x:v>C04</x:v>
      </x:c>
      <x:c r="C82" s="73" t="str">
        <x:v>利耶尼亚海域</x:v>
      </x:c>
      <x:c r="D82" s="73" t="str">
        <x:v>XX342</x:v>
      </x:c>
      <x:c r="E82" s="73" t="str">
        <x:v>烂泽水蛭</x:v>
      </x:c>
      <x:c r="F82" s="73" t="str">
        <x:v>普通</x:v>
      </x:c>
      <x:c r="G82" s="73" t="str">
        <x:v>吸潮血戒</x:v>
      </x:c>
      <x:c r="H82" s="73" t="str">
        <x:v>戒指</x:v>
      </x:c>
      <x:c r="I82" s="73" t="str">
        <x:v>戒指</x:v>
      </x:c>
      <x:c r="J82" s="79" t="n">
        <x:v>6718</x:v>
      </x:c>
      <x:c r="K82" s="73" t="str">
        <x:v>预检通过资源／规划锁定／待入库</x:v>
      </x:c>
      <x:c r="L82" s="74" t="str">
        <x:v>装备资源库血月荆棘·血月</x:v>
      </x:c>
    </x:row>
    <x:row r="83" ht="34" customHeight="1">
      <x:c r="A83" s="72" t="str">
        <x:v>C04-M006</x:v>
      </x:c>
      <x:c r="B83" s="73" t="str">
        <x:v>C04</x:v>
      </x:c>
      <x:c r="C83" s="73" t="str">
        <x:v>利耶尼亚海域</x:v>
      </x:c>
      <x:c r="D83" s="73" t="str">
        <x:v>XX342</x:v>
      </x:c>
      <x:c r="E83" s="73" t="str">
        <x:v>蒙眼采藕人</x:v>
      </x:c>
      <x:c r="F83" s="73" t="str">
        <x:v>普通</x:v>
      </x:c>
      <x:c r="G83" s="73" t="str">
        <x:v>盲采藕刀</x:v>
      </x:c>
      <x:c r="H83" s="73" t="str">
        <x:v>武器</x:v>
      </x:c>
      <x:c r="I83" s="73" t="str">
        <x:v>武器</x:v>
      </x:c>
      <x:c r="J83" s="80"/>
      <x:c r="K83" s="73" t="str">
        <x:v>缺武器来源码</x:v>
      </x:c>
      <x:c r="L83" s="74" t="str">
        <x:v>需补同部位Items/StateItem/DnItems三库同码资源</x:v>
      </x:c>
    </x:row>
    <x:row r="84" ht="34" customHeight="1">
      <x:c r="A84" s="72" t="str">
        <x:v>C04-M007</x:v>
      </x:c>
      <x:c r="B84" s="73" t="str">
        <x:v>C04</x:v>
      </x:c>
      <x:c r="C84" s="73" t="str">
        <x:v>利耶尼亚海域</x:v>
      </x:c>
      <x:c r="D84" s="73" t="str">
        <x:v>XX341</x:v>
      </x:c>
      <x:c r="E84" s="73" t="str">
        <x:v>雾纱水巫</x:v>
      </x:c>
      <x:c r="F84" s="73" t="str">
        <x:v>稀有</x:v>
      </x:c>
      <x:c r="G84" s="73" t="str">
        <x:v>水巫雾纱笠</x:v>
      </x:c>
      <x:c r="H84" s="73" t="str">
        <x:v>斗笠</x:v>
      </x:c>
      <x:c r="I84" s="73" t="str">
        <x:v>面巾（位置13，对应斗笠）</x:v>
      </x:c>
      <x:c r="J84" s="79" t="n">
        <x:v>6505</x:v>
      </x:c>
      <x:c r="K84" s="73" t="str">
        <x:v>预检通过资源／规划锁定／待入库</x:v>
      </x:c>
      <x:c r="L84" s="74" t="str">
        <x:v>StdMode16/位置13；黄金圣树·律法</x:v>
      </x:c>
    </x:row>
    <x:row r="85" ht="34" customHeight="1">
      <x:c r="A85" s="72" t="str">
        <x:v>C04-M008</x:v>
      </x:c>
      <x:c r="B85" s="73" t="str">
        <x:v>C04</x:v>
      </x:c>
      <x:c r="C85" s="73" t="str">
        <x:v>利耶尼亚海域</x:v>
      </x:c>
      <x:c r="D85" s="73" t="str">
        <x:v>XX341</x:v>
      </x:c>
      <x:c r="E85" s="73" t="str">
        <x:v>银腹塘鳄</x:v>
      </x:c>
      <x:c r="F85" s="73" t="str">
        <x:v>稀有</x:v>
      </x:c>
      <x:c r="G85" s="73" t="str">
        <x:v>银腹鳄甲</x:v>
      </x:c>
      <x:c r="H85" s="73" t="str">
        <x:v>衣服</x:v>
      </x:c>
      <x:c r="I85" s="73" t="str">
        <x:v>男衣服（现行模板的衣服映射）</x:v>
      </x:c>
      <x:c r="J85" s="80"/>
      <x:c r="K85" s="73" t="str">
        <x:v>缺衣服来源码</x:v>
      </x:c>
      <x:c r="L85" s="74" t="str">
        <x:v>需补男衣服StdMode10的三库同码资源；女衣服码未获准合池</x:v>
      </x:c>
    </x:row>
    <x:row r="86" ht="34" customHeight="1">
      <x:c r="A86" s="72" t="str">
        <x:v>C04-M009</x:v>
      </x:c>
      <x:c r="B86" s="73" t="str">
        <x:v>C04</x:v>
      </x:c>
      <x:c r="C86" s="73" t="str">
        <x:v>利耶尼亚海域</x:v>
      </x:c>
      <x:c r="D86" s="73" t="str">
        <x:v>XX342</x:v>
      </x:c>
      <x:c r="E86" s="73" t="str">
        <x:v>腐泽孢母</x:v>
      </x:c>
      <x:c r="F86" s="73" t="str">
        <x:v>稀有</x:v>
      </x:c>
      <x:c r="G86" s="73" t="str">
        <x:v>孢母菌带</x:v>
      </x:c>
      <x:c r="H86" s="73" t="str">
        <x:v>腰带</x:v>
      </x:c>
      <x:c r="I86" s="73" t="str">
        <x:v>腰带</x:v>
      </x:c>
      <x:c r="J86" s="79" t="n">
        <x:v>6583</x:v>
      </x:c>
      <x:c r="K86" s="73" t="str">
        <x:v>预检通过资源／规划锁定／待入库</x:v>
      </x:c>
      <x:c r="L86" s="74" t="str">
        <x:v>装备资源库血月荆棘·血痕</x:v>
      </x:c>
    </x:row>
    <x:row r="87" ht="34" customHeight="1">
      <x:c r="A87" s="72" t="str">
        <x:v>C04-M010</x:v>
      </x:c>
      <x:c r="B87" s="73" t="str">
        <x:v>C04</x:v>
      </x:c>
      <x:c r="C87" s="73" t="str">
        <x:v>利耶尼亚海域</x:v>
      </x:c>
      <x:c r="D87" s="73" t="str">
        <x:v>XX342</x:v>
      </x:c>
      <x:c r="E87" s="73" t="str">
        <x:v>提灯溺客</x:v>
      </x:c>
      <x:c r="F87" s="73" t="str">
        <x:v>稀有</x:v>
      </x:c>
      <x:c r="G87" s="73" t="str">
        <x:v>溺客灯坠</x:v>
      </x:c>
      <x:c r="H87" s="73" t="str">
        <x:v>项链</x:v>
      </x:c>
      <x:c r="I87" s="73" t="str">
        <x:v>项链</x:v>
      </x:c>
      <x:c r="J87" s="79" t="n">
        <x:v>6716</x:v>
      </x:c>
      <x:c r="K87" s="73" t="str">
        <x:v>预检通过资源／规划锁定／待入库</x:v>
      </x:c>
      <x:c r="L87" s="74" t="str">
        <x:v>装备资源库血月荆棘·血月</x:v>
      </x:c>
    </x:row>
    <x:row r="88" ht="34" customHeight="1">
      <x:c r="A88" s="72" t="str">
        <x:v>C04-M011</x:v>
      </x:c>
      <x:c r="B88" s="73" t="str">
        <x:v>C04</x:v>
      </x:c>
      <x:c r="C88" s="73" t="str">
        <x:v>利耶尼亚海域</x:v>
      </x:c>
      <x:c r="D88" s="73" t="str">
        <x:v>XX341</x:v>
      </x:c>
      <x:c r="E88" s="73" t="str">
        <x:v>潮痕猎首·葛弥</x:v>
      </x:c>
      <x:c r="F88" s="73" t="str">
        <x:v>地图BOSS</x:v>
      </x:c>
      <x:c r="G88" s="73" t="str">
        <x:v>葛弥的雾齿叉</x:v>
      </x:c>
      <x:c r="H88" s="73" t="str">
        <x:v>武器</x:v>
      </x:c>
      <x:c r="I88" s="73" t="str">
        <x:v>武器</x:v>
      </x:c>
      <x:c r="J88" s="79" t="n">
        <x:v>6641</x:v>
      </x:c>
      <x:c r="K88" s="73" t="str">
        <x:v>预检通过资源／规划锁定／待入库</x:v>
      </x:c>
      <x:c r="L88" s="74" t="str">
        <x:v>装备资源库血月荆棘·猩月</x:v>
      </x:c>
    </x:row>
    <x:row r="89" ht="34" customHeight="1">
      <x:c r="A89" s="72" t="str">
        <x:v>C04-M012</x:v>
      </x:c>
      <x:c r="B89" s="73" t="str">
        <x:v>C04</x:v>
      </x:c>
      <x:c r="C89" s="73" t="str">
        <x:v>利耶尼亚海域</x:v>
      </x:c>
      <x:c r="D89" s="73" t="str">
        <x:v>XX342</x:v>
      </x:c>
      <x:c r="E89" s="73" t="str">
        <x:v>沼冠腐龙·弥瑟</x:v>
      </x:c>
      <x:c r="F89" s="73" t="str">
        <x:v>地图BOSS</x:v>
      </x:c>
      <x:c r="G89" s="73" t="str">
        <x:v>弥瑟腐鳞衣</x:v>
      </x:c>
      <x:c r="H89" s="73" t="str">
        <x:v>衣服</x:v>
      </x:c>
      <x:c r="I89" s="73" t="str">
        <x:v>男衣服（现行模板的衣服映射）</x:v>
      </x:c>
      <x:c r="J89" s="79" t="n">
        <x:v>6642</x:v>
      </x:c>
      <x:c r="K89" s="73" t="str">
        <x:v>预检通过资源／规划锁定／待入库</x:v>
      </x:c>
      <x:c r="L89" s="74" t="str">
        <x:v>按现行装备模板映射男衣服StdMode10；血月荆棘·猩月</x:v>
      </x:c>
    </x:row>
    <x:row r="90" ht="34" customHeight="1">
      <x:c r="A90" s="72" t="str">
        <x:v>C04-M013</x:v>
      </x:c>
      <x:c r="B90" s="73" t="str">
        <x:v>C04</x:v>
      </x:c>
      <x:c r="C90" s="73" t="str">
        <x:v>利耶尼亚海域</x:v>
      </x:c>
      <x:c r="D90" s="73" t="str">
        <x:v>XX337</x:v>
      </x:c>
      <x:c r="E90" s="73" t="str">
        <x:v>潜碑拾荒者</x:v>
      </x:c>
      <x:c r="F90" s="73" t="str">
        <x:v>普通</x:v>
      </x:c>
      <x:c r="G90" s="73" t="str">
        <x:v>拾碑短刃</x:v>
      </x:c>
      <x:c r="H90" s="73" t="str">
        <x:v>武器</x:v>
      </x:c>
      <x:c r="I90" s="73" t="str">
        <x:v>武器</x:v>
      </x:c>
      <x:c r="J90" s="80"/>
      <x:c r="K90" s="73" t="str">
        <x:v>缺武器来源码</x:v>
      </x:c>
      <x:c r="L90" s="74" t="str">
        <x:v>需补同部位Items/StateItem/DnItems三库同码资源</x:v>
      </x:c>
    </x:row>
    <x:row r="91" ht="34" customHeight="1">
      <x:c r="A91" s="72" t="str">
        <x:v>C04-M014</x:v>
      </x:c>
      <x:c r="B91" s="73" t="str">
        <x:v>C04</x:v>
      </x:c>
      <x:c r="C91" s="73" t="str">
        <x:v>利耶尼亚海域</x:v>
      </x:c>
      <x:c r="D91" s="73" t="str">
        <x:v>XX337</x:v>
      </x:c>
      <x:c r="E91" s="73" t="str">
        <x:v>藻甲石仆</x:v>
      </x:c>
      <x:c r="F91" s="73" t="str">
        <x:v>普通</x:v>
      </x:c>
      <x:c r="G91" s="73" t="str">
        <x:v>藻纹石盔</x:v>
      </x:c>
      <x:c r="H91" s="73" t="str">
        <x:v>头盔</x:v>
      </x:c>
      <x:c r="I91" s="73" t="str">
        <x:v>头盔</x:v>
      </x:c>
      <x:c r="J91" s="79" t="n">
        <x:v>6749</x:v>
      </x:c>
      <x:c r="K91" s="73" t="str">
        <x:v>预检通过资源／规划锁定／待入库</x:v>
      </x:c>
      <x:c r="L91" s="74" t="str">
        <x:v>装备资源库星渊龙息·星痕</x:v>
      </x:c>
    </x:row>
    <x:row r="92" ht="34" customHeight="1">
      <x:c r="A92" s="72" t="str">
        <x:v>C04-M015</x:v>
      </x:c>
      <x:c r="B92" s="73" t="str">
        <x:v>C04</x:v>
      </x:c>
      <x:c r="C92" s="73" t="str">
        <x:v>利耶尼亚海域</x:v>
      </x:c>
      <x:c r="D92" s="73" t="str">
        <x:v>XX336</x:v>
      </x:c>
      <x:c r="E92" s="73" t="str">
        <x:v>回廊水弩手</x:v>
      </x:c>
      <x:c r="F92" s="73" t="str">
        <x:v>普通</x:v>
      </x:c>
      <x:c r="G92" s="73" t="str">
        <x:v>浸廊手弩</x:v>
      </x:c>
      <x:c r="H92" s="73" t="str">
        <x:v>武器</x:v>
      </x:c>
      <x:c r="I92" s="73" t="str">
        <x:v>武器</x:v>
      </x:c>
      <x:c r="J92" s="80"/>
      <x:c r="K92" s="73" t="str">
        <x:v>缺武器来源码</x:v>
      </x:c>
      <x:c r="L92" s="74" t="str">
        <x:v>需补同部位Items/StateItem/DnItems三库同码资源</x:v>
      </x:c>
    </x:row>
    <x:row r="93" ht="34" customHeight="1">
      <x:c r="A93" s="72" t="str">
        <x:v>C04-M016</x:v>
      </x:c>
      <x:c r="B93" s="73" t="str">
        <x:v>C04</x:v>
      </x:c>
      <x:c r="C93" s="73" t="str">
        <x:v>利耶尼亚海域</x:v>
      </x:c>
      <x:c r="D93" s="73" t="str">
        <x:v>XX336</x:v>
      </x:c>
      <x:c r="E93" s="73" t="str">
        <x:v>沉钟侍祭</x:v>
      </x:c>
      <x:c r="F93" s="73" t="str">
        <x:v>普通</x:v>
      </x:c>
      <x:c r="G93" s="73" t="str">
        <x:v>沉钟祭袍</x:v>
      </x:c>
      <x:c r="H93" s="73" t="str">
        <x:v>衣服</x:v>
      </x:c>
      <x:c r="I93" s="73" t="str">
        <x:v>男衣服（现行模板的衣服映射）</x:v>
      </x:c>
      <x:c r="J93" s="80"/>
      <x:c r="K93" s="73" t="str">
        <x:v>缺衣服来源码</x:v>
      </x:c>
      <x:c r="L93" s="74" t="str">
        <x:v>需补男衣服StdMode10的三库同码资源；女衣服码未获准合池</x:v>
      </x:c>
    </x:row>
    <x:row r="94" ht="34" customHeight="1">
      <x:c r="A94" s="72" t="str">
        <x:v>C04-M017</x:v>
      </x:c>
      <x:c r="B94" s="73" t="str">
        <x:v>C04</x:v>
      </x:c>
      <x:c r="C94" s="73" t="str">
        <x:v>利耶尼亚海域</x:v>
      </x:c>
      <x:c r="D94" s="73" t="str">
        <x:v>XX340</x:v>
      </x:c>
      <x:c r="E94" s="73" t="str">
        <x:v>祭坛盲鱼</x:v>
      </x:c>
      <x:c r="F94" s="73" t="str">
        <x:v>普通</x:v>
      </x:c>
      <x:c r="G94" s="73" t="str">
        <x:v>盲鱼鳍靴</x:v>
      </x:c>
      <x:c r="H94" s="73" t="str">
        <x:v>鞋子</x:v>
      </x:c>
      <x:c r="I94" s="73" t="str">
        <x:v>鞋子</x:v>
      </x:c>
      <x:c r="J94" s="79" t="n">
        <x:v>6687</x:v>
      </x:c>
      <x:c r="K94" s="73" t="str">
        <x:v>预检通过资源／规划锁定／待入库</x:v>
      </x:c>
      <x:c r="L94" s="74" t="str">
        <x:v>装备资源库血月荆棘·弑王</x:v>
      </x:c>
    </x:row>
    <x:row r="95" ht="34" customHeight="1">
      <x:c r="A95" s="72" t="str">
        <x:v>C04-M018</x:v>
      </x:c>
      <x:c r="B95" s="73" t="str">
        <x:v>C04</x:v>
      </x:c>
      <x:c r="C95" s="73" t="str">
        <x:v>利耶尼亚海域</x:v>
      </x:c>
      <x:c r="D95" s="73" t="str">
        <x:v>XX340</x:v>
      </x:c>
      <x:c r="E95" s="73" t="str">
        <x:v>捧盏泥俑</x:v>
      </x:c>
      <x:c r="F95" s="73" t="str">
        <x:v>普通</x:v>
      </x:c>
      <x:c r="G95" s="73" t="str">
        <x:v>供盏腕轮</x:v>
      </x:c>
      <x:c r="H95" s="73" t="str">
        <x:v>手镯</x:v>
      </x:c>
      <x:c r="I95" s="73" t="str">
        <x:v>手镯</x:v>
      </x:c>
      <x:c r="J95" s="79" t="n">
        <x:v>6717</x:v>
      </x:c>
      <x:c r="K95" s="73" t="str">
        <x:v>预检通过资源／规划锁定／待入库</x:v>
      </x:c>
      <x:c r="L95" s="74" t="str">
        <x:v>装备资源库血月荆棘·血月</x:v>
      </x:c>
    </x:row>
    <x:row r="96" ht="34" customHeight="1">
      <x:c r="A96" s="72" t="str">
        <x:v>C04-M019</x:v>
      </x:c>
      <x:c r="B96" s="73" t="str">
        <x:v>C04</x:v>
      </x:c>
      <x:c r="C96" s="73" t="str">
        <x:v>利耶尼亚海域</x:v>
      </x:c>
      <x:c r="D96" s="73" t="str">
        <x:v>XX337</x:v>
      </x:c>
      <x:c r="E96" s="73" t="str">
        <x:v>碑林巡潮官</x:v>
      </x:c>
      <x:c r="F96" s="73" t="str">
        <x:v>稀有</x:v>
      </x:c>
      <x:c r="G96" s="73" t="str">
        <x:v>巡潮重盾</x:v>
      </x:c>
      <x:c r="H96" s="73" t="str">
        <x:v>盾牌</x:v>
      </x:c>
      <x:c r="I96" s="73" t="str">
        <x:v>盾牌</x:v>
      </x:c>
      <x:c r="J96" s="79" t="n">
        <x:v>6650</x:v>
      </x:c>
      <x:c r="K96" s="73" t="str">
        <x:v>预检通过资源／规划锁定／待入库</x:v>
      </x:c>
      <x:c r="L96" s="74" t="str">
        <x:v>装备资源库血月荆棘·猩月</x:v>
      </x:c>
    </x:row>
    <x:row r="97" ht="34" customHeight="1">
      <x:c r="A97" s="72" t="str">
        <x:v>C04-M020</x:v>
      </x:c>
      <x:c r="B97" s="73" t="str">
        <x:v>C04</x:v>
      </x:c>
      <x:c r="C97" s="73" t="str">
        <x:v>利耶尼亚海域</x:v>
      </x:c>
      <x:c r="D97" s="73" t="str">
        <x:v>XX336</x:v>
      </x:c>
      <x:c r="E97" s="73" t="str">
        <x:v>断链湖狮</x:v>
      </x:c>
      <x:c r="F97" s="73" t="str">
        <x:v>稀有</x:v>
      </x:c>
      <x:c r="G97" s="73" t="str">
        <x:v>湖狮断链坠</x:v>
      </x:c>
      <x:c r="H97" s="73" t="str">
        <x:v>项链</x:v>
      </x:c>
      <x:c r="I97" s="73" t="str">
        <x:v>项链</x:v>
      </x:c>
      <x:c r="J97" s="79" t="n">
        <x:v>6751</x:v>
      </x:c>
      <x:c r="K97" s="73" t="str">
        <x:v>预检通过资源／规划锁定／待入库</x:v>
      </x:c>
      <x:c r="L97" s="74" t="str">
        <x:v>装备资源库星渊龙息·星痕</x:v>
      </x:c>
    </x:row>
    <x:row r="98" ht="34" customHeight="1">
      <x:c r="A98" s="72" t="str">
        <x:v>C04-M021</x:v>
      </x:c>
      <x:c r="B98" s="73" t="str">
        <x:v>C04</x:v>
      </x:c>
      <x:c r="C98" s="73" t="str">
        <x:v>利耶尼亚海域</x:v>
      </x:c>
      <x:c r="D98" s="73" t="str">
        <x:v>XX340</x:v>
      </x:c>
      <x:c r="E98" s="73" t="str">
        <x:v>蓝焰祷亡者</x:v>
      </x:c>
      <x:c r="F98" s="73" t="str">
        <x:v>稀有</x:v>
      </x:c>
      <x:c r="G98" s="73" t="str">
        <x:v>蓝焰祷戒</x:v>
      </x:c>
      <x:c r="H98" s="73" t="str">
        <x:v>戒指</x:v>
      </x:c>
      <x:c r="I98" s="73" t="str">
        <x:v>戒指</x:v>
      </x:c>
      <x:c r="J98" s="79" t="n">
        <x:v>6753</x:v>
      </x:c>
      <x:c r="K98" s="73" t="str">
        <x:v>预检通过资源／规划锁定／待入库</x:v>
      </x:c>
      <x:c r="L98" s="74" t="str">
        <x:v>装备资源库星渊龙息·星痕</x:v>
      </x:c>
    </x:row>
    <x:row r="99" ht="34" customHeight="1">
      <x:c r="A99" s="72" t="str">
        <x:v>C04-M022</x:v>
      </x:c>
      <x:c r="B99" s="73" t="str">
        <x:v>C04</x:v>
      </x:c>
      <x:c r="C99" s="73" t="str">
        <x:v>利耶尼亚海域</x:v>
      </x:c>
      <x:c r="D99" s="73" t="str">
        <x:v>XX340</x:v>
      </x:c>
      <x:c r="E99" s="73" t="str">
        <x:v>祭池双生螯</x:v>
      </x:c>
      <x:c r="F99" s="73" t="str">
        <x:v>稀有</x:v>
      </x:c>
      <x:c r="G99" s="73" t="str">
        <x:v>双螯束带</x:v>
      </x:c>
      <x:c r="H99" s="73" t="str">
        <x:v>腰带</x:v>
      </x:c>
      <x:c r="I99" s="73" t="str">
        <x:v>腰带</x:v>
      </x:c>
      <x:c r="J99" s="79" t="n">
        <x:v>6618</x:v>
      </x:c>
      <x:c r="K99" s="73" t="str">
        <x:v>预检通过资源／规划锁定／待入库</x:v>
      </x:c>
      <x:c r="L99" s="74" t="str">
        <x:v>装备资源库血月荆棘·荆冠</x:v>
      </x:c>
    </x:row>
    <x:row r="100" ht="34" customHeight="1">
      <x:c r="A100" s="72" t="str">
        <x:v>C04-M023</x:v>
      </x:c>
      <x:c r="B100" s="73" t="str">
        <x:v>C04</x:v>
      </x:c>
      <x:c r="C100" s="73" t="str">
        <x:v>利耶尼亚海域</x:v>
      </x:c>
      <x:c r="D100" s="73" t="str">
        <x:v>XX336</x:v>
      </x:c>
      <x:c r="E100" s="73" t="str">
        <x:v>淹廊判官·摩汶</x:v>
      </x:c>
      <x:c r="F100" s="73" t="str">
        <x:v>地图BOSS</x:v>
      </x:c>
      <x:c r="G100" s="73" t="str">
        <x:v>摩汶的沉水铡</x:v>
      </x:c>
      <x:c r="H100" s="73" t="str">
        <x:v>武器</x:v>
      </x:c>
      <x:c r="I100" s="73" t="str">
        <x:v>武器</x:v>
      </x:c>
      <x:c r="J100" s="79" t="n">
        <x:v>6676</x:v>
      </x:c>
      <x:c r="K100" s="73" t="str">
        <x:v>预检通过资源／规划锁定／待入库</x:v>
      </x:c>
      <x:c r="L100" s="74" t="str">
        <x:v>装备资源库血月荆棘·弑王</x:v>
      </x:c>
    </x:row>
    <x:row r="101" ht="34" customHeight="1">
      <x:c r="A101" s="72" t="str">
        <x:v>C04-M024</x:v>
      </x:c>
      <x:c r="B101" s="73" t="str">
        <x:v>C04</x:v>
      </x:c>
      <x:c r="C101" s="73" t="str">
        <x:v>利耶尼亚海域</x:v>
      </x:c>
      <x:c r="D101" s="73" t="str">
        <x:v>XX340</x:v>
      </x:c>
      <x:c r="E101" s="73" t="str">
        <x:v>无声湖后·塞芙拉</x:v>
      </x:c>
      <x:c r="F101" s="73" t="str">
        <x:v>地图BOSS</x:v>
      </x:c>
      <x:c r="G101" s="73" t="str">
        <x:v>塞芙拉无声衣</x:v>
      </x:c>
      <x:c r="H101" s="73" t="str">
        <x:v>衣服</x:v>
      </x:c>
      <x:c r="I101" s="73" t="str">
        <x:v>男衣服（现行模板的衣服映射）</x:v>
      </x:c>
      <x:c r="J101" s="79" t="n">
        <x:v>6677</x:v>
      </x:c>
      <x:c r="K101" s="73" t="str">
        <x:v>预检通过资源／规划锁定／待入库</x:v>
      </x:c>
      <x:c r="L101" s="74" t="str">
        <x:v>按现行装备模板映射男衣服StdMode10；血月荆棘·弑王</x:v>
      </x:c>
    </x:row>
    <x:row r="102" ht="34" customHeight="1">
      <x:c r="A102" s="72" t="str">
        <x:v>C04-M025</x:v>
      </x:c>
      <x:c r="B102" s="73" t="str">
        <x:v>C04</x:v>
      </x:c>
      <x:c r="C102" s="73" t="str">
        <x:v>利耶尼亚海域</x:v>
      </x:c>
      <x:c r="D102" s="73" t="str">
        <x:v>XX363</x:v>
      </x:c>
      <x:c r="E102" s="73" t="str">
        <x:v>破帆水手</x:v>
      </x:c>
      <x:c r="F102" s="73" t="str">
        <x:v>普通</x:v>
      </x:c>
      <x:c r="G102" s="73" t="str">
        <x:v>破帆腰带</x:v>
      </x:c>
      <x:c r="H102" s="73" t="str">
        <x:v>腰带</x:v>
      </x:c>
      <x:c r="I102" s="73" t="str">
        <x:v>腰带</x:v>
      </x:c>
      <x:c r="J102" s="79" t="n">
        <x:v>6653</x:v>
      </x:c>
      <x:c r="K102" s="73" t="str">
        <x:v>预检通过资源／规划锁定／待入库</x:v>
      </x:c>
      <x:c r="L102" s="74" t="str">
        <x:v>装备资源库血月荆棘·猩月</x:v>
      </x:c>
    </x:row>
    <x:row r="103" ht="34" customHeight="1">
      <x:c r="A103" s="72" t="str">
        <x:v>C04-M026</x:v>
      </x:c>
      <x:c r="B103" s="73" t="str">
        <x:v>C04</x:v>
      </x:c>
      <x:c r="C103" s="73" t="str">
        <x:v>利耶尼亚海域</x:v>
      </x:c>
      <x:c r="D103" s="73" t="str">
        <x:v>XX363</x:v>
      </x:c>
      <x:c r="E103" s="73" t="str">
        <x:v>缠藻桅猴</x:v>
      </x:c>
      <x:c r="F103" s="73" t="str">
        <x:v>普通</x:v>
      </x:c>
      <x:c r="G103" s="73" t="str">
        <x:v>桅猴跳靴</x:v>
      </x:c>
      <x:c r="H103" s="73" t="str">
        <x:v>鞋子</x:v>
      </x:c>
      <x:c r="I103" s="73" t="str">
        <x:v>鞋子</x:v>
      </x:c>
      <x:c r="J103" s="79" t="n">
        <x:v>6722</x:v>
      </x:c>
      <x:c r="K103" s="73" t="str">
        <x:v>预检通过资源／规划锁定／待入库</x:v>
      </x:c>
      <x:c r="L103" s="74" t="str">
        <x:v>装备资源库血月荆棘·血月</x:v>
      </x:c>
    </x:row>
    <x:row r="104" ht="34" customHeight="1">
      <x:c r="A104" s="72" t="str">
        <x:v>C04-M027</x:v>
      </x:c>
      <x:c r="B104" s="73" t="str">
        <x:v>C04</x:v>
      </x:c>
      <x:c r="C104" s="73" t="str">
        <x:v>利耶尼亚海域</x:v>
      </x:c>
      <x:c r="D104" s="73" t="str">
        <x:v>XX362</x:v>
      </x:c>
      <x:c r="E104" s="73" t="str">
        <x:v>舱门凿击者</x:v>
      </x:c>
      <x:c r="F104" s="73" t="str">
        <x:v>普通</x:v>
      </x:c>
      <x:c r="G104" s="73" t="str">
        <x:v>凿舱铁锤</x:v>
      </x:c>
      <x:c r="H104" s="73" t="str">
        <x:v>武器</x:v>
      </x:c>
      <x:c r="I104" s="73" t="str">
        <x:v>武器</x:v>
      </x:c>
      <x:c r="J104" s="80"/>
      <x:c r="K104" s="73" t="str">
        <x:v>缺武器来源码</x:v>
      </x:c>
      <x:c r="L104" s="74" t="str">
        <x:v>需补同部位Items/StateItem/DnItems三库同码资源</x:v>
      </x:c>
    </x:row>
    <x:row r="105" ht="34" customHeight="1">
      <x:c r="A105" s="72" t="str">
        <x:v>C04-M028</x:v>
      </x:c>
      <x:c r="B105" s="73" t="str">
        <x:v>C04</x:v>
      </x:c>
      <x:c r="C105" s="73" t="str">
        <x:v>利耶尼亚海域</x:v>
      </x:c>
      <x:c r="D105" s="73" t="str">
        <x:v>XX362</x:v>
      </x:c>
      <x:c r="E105" s="73" t="str">
        <x:v>油灯怨影</x:v>
      </x:c>
      <x:c r="F105" s="73" t="str">
        <x:v>普通</x:v>
      </x:c>
      <x:c r="G105" s="73" t="str">
        <x:v>怨灯项链</x:v>
      </x:c>
      <x:c r="H105" s="73" t="str">
        <x:v>项链</x:v>
      </x:c>
      <x:c r="I105" s="73" t="str">
        <x:v>项链</x:v>
      </x:c>
      <x:c r="J105" s="79" t="n">
        <x:v>6786</x:v>
      </x:c>
      <x:c r="K105" s="73" t="str">
        <x:v>预检通过资源／规划锁定／待入库</x:v>
      </x:c>
      <x:c r="L105" s="74" t="str">
        <x:v>装备资源库星渊龙息·龙鳞</x:v>
      </x:c>
    </x:row>
    <x:row r="106" ht="34" customHeight="1">
      <x:c r="A106" s="72" t="str">
        <x:v>C04-M029</x:v>
      </x:c>
      <x:c r="B106" s="73" t="str">
        <x:v>C04</x:v>
      </x:c>
      <x:c r="C106" s="73" t="str">
        <x:v>利耶尼亚海域</x:v>
      </x:c>
      <x:c r="D106" s="73" t="str">
        <x:v>XX351</x:v>
      </x:c>
      <x:c r="E106" s="73" t="str">
        <x:v>墓舱寄居蟹</x:v>
      </x:c>
      <x:c r="F106" s="73" t="str">
        <x:v>普通</x:v>
      </x:c>
      <x:c r="G106" s="73" t="str">
        <x:v>墓舱壳盾</x:v>
      </x:c>
      <x:c r="H106" s="73" t="str">
        <x:v>盾牌</x:v>
      </x:c>
      <x:c r="I106" s="73" t="str">
        <x:v>盾牌</x:v>
      </x:c>
      <x:c r="J106" s="79" t="n">
        <x:v>6685</x:v>
      </x:c>
      <x:c r="K106" s="73" t="str">
        <x:v>预检通过资源／规划锁定／待入库</x:v>
      </x:c>
      <x:c r="L106" s="74" t="str">
        <x:v>装备资源库血月荆棘·弑王</x:v>
      </x:c>
    </x:row>
    <x:row r="107" ht="34" customHeight="1">
      <x:c r="A107" s="72" t="str">
        <x:v>C04-M030</x:v>
      </x:c>
      <x:c r="B107" s="73" t="str">
        <x:v>C04</x:v>
      </x:c>
      <x:c r="C107" s="73" t="str">
        <x:v>利耶尼亚海域</x:v>
      </x:c>
      <x:c r="D107" s="73" t="str">
        <x:v>XX351</x:v>
      </x:c>
      <x:c r="E107" s="73" t="str">
        <x:v>裹布船尸</x:v>
      </x:c>
      <x:c r="F107" s="73" t="str">
        <x:v>普通</x:v>
      </x:c>
      <x:c r="G107" s="73" t="str">
        <x:v>盐裹尸衣</x:v>
      </x:c>
      <x:c r="H107" s="73" t="str">
        <x:v>衣服</x:v>
      </x:c>
      <x:c r="I107" s="73" t="str">
        <x:v>男衣服（现行模板的衣服映射）</x:v>
      </x:c>
      <x:c r="J107" s="80"/>
      <x:c r="K107" s="73" t="str">
        <x:v>缺衣服来源码</x:v>
      </x:c>
      <x:c r="L107" s="74" t="str">
        <x:v>需补男衣服StdMode10的三库同码资源；女衣服码未获准合池</x:v>
      </x:c>
    </x:row>
    <x:row r="108" ht="34" customHeight="1">
      <x:c r="A108" s="72" t="str">
        <x:v>C04-M031</x:v>
      </x:c>
      <x:c r="B108" s="73" t="str">
        <x:v>C04</x:v>
      </x:c>
      <x:c r="C108" s="73" t="str">
        <x:v>利耶尼亚海域</x:v>
      </x:c>
      <x:c r="D108" s="73" t="str">
        <x:v>XX363</x:v>
      </x:c>
      <x:c r="E108" s="73" t="str">
        <x:v>白鳍劫舟客</x:v>
      </x:c>
      <x:c r="F108" s="73" t="str">
        <x:v>稀有</x:v>
      </x:c>
      <x:c r="G108" s="73" t="str">
        <x:v>白鳍浪客笠</x:v>
      </x:c>
      <x:c r="H108" s="73" t="str">
        <x:v>斗笠</x:v>
      </x:c>
      <x:c r="I108" s="73" t="str">
        <x:v>面巾（位置13，对应斗笠）</x:v>
      </x:c>
      <x:c r="J108" s="79" t="n">
        <x:v>6540</x:v>
      </x:c>
      <x:c r="K108" s="73" t="str">
        <x:v>预检通过资源／规划锁定／待入库</x:v>
      </x:c>
      <x:c r="L108" s="74" t="str">
        <x:v>StdMode16/位置13；黄金圣树·永恒</x:v>
      </x:c>
    </x:row>
    <x:row r="109" ht="34" customHeight="1">
      <x:c r="A109" s="72" t="str">
        <x:v>C04-M032</x:v>
      </x:c>
      <x:c r="B109" s="73" t="str">
        <x:v>C04</x:v>
      </x:c>
      <x:c r="C109" s="73" t="str">
        <x:v>利耶尼亚海域</x:v>
      </x:c>
      <x:c r="D109" s="73" t="str">
        <x:v>XX362</x:v>
      </x:c>
      <x:c r="E109" s="73" t="str">
        <x:v>抱舵老幽魂</x:v>
      </x:c>
      <x:c r="F109" s="73" t="str">
        <x:v>稀有</x:v>
      </x:c>
      <x:c r="G109" s="73" t="str">
        <x:v>老舵手镯</x:v>
      </x:c>
      <x:c r="H109" s="73" t="str">
        <x:v>手镯</x:v>
      </x:c>
      <x:c r="I109" s="73" t="str">
        <x:v>手镯</x:v>
      </x:c>
      <x:c r="J109" s="79" t="n">
        <x:v>6752</x:v>
      </x:c>
      <x:c r="K109" s="73" t="str">
        <x:v>预检通过资源／规划锁定／待入库</x:v>
      </x:c>
      <x:c r="L109" s="74" t="str">
        <x:v>装备资源库星渊龙息·星痕</x:v>
      </x:c>
    </x:row>
    <x:row r="110" ht="34" customHeight="1">
      <x:c r="A110" s="72" t="str">
        <x:v>C04-M033</x:v>
      </x:c>
      <x:c r="B110" s="73" t="str">
        <x:v>C04</x:v>
      </x:c>
      <x:c r="C110" s="73" t="str">
        <x:v>利耶尼亚海域</x:v>
      </x:c>
      <x:c r="D110" s="73" t="str">
        <x:v>XX351</x:v>
      </x:c>
      <x:c r="E110" s="73" t="str">
        <x:v>棺板伏行者</x:v>
      </x:c>
      <x:c r="F110" s="73" t="str">
        <x:v>稀有</x:v>
      </x:c>
      <x:c r="G110" s="73" t="str">
        <x:v>棺钉指环</x:v>
      </x:c>
      <x:c r="H110" s="73" t="str">
        <x:v>戒指</x:v>
      </x:c>
      <x:c r="I110" s="73" t="str">
        <x:v>戒指</x:v>
      </x:c>
      <x:c r="J110" s="79" t="n">
        <x:v>6788</x:v>
      </x:c>
      <x:c r="K110" s="73" t="str">
        <x:v>预检通过资源／规划锁定／待入库</x:v>
      </x:c>
      <x:c r="L110" s="74" t="str">
        <x:v>装备资源库星渊龙息·龙鳞</x:v>
      </x:c>
    </x:row>
    <x:row r="111" ht="34" customHeight="1">
      <x:c r="A111" s="72" t="str">
        <x:v>C04-M034</x:v>
      </x:c>
      <x:c r="B111" s="73" t="str">
        <x:v>C04</x:v>
      </x:c>
      <x:c r="C111" s="73" t="str">
        <x:v>利耶尼亚海域</x:v>
      </x:c>
      <x:c r="D111" s="73" t="str">
        <x:v>XX351</x:v>
      </x:c>
      <x:c r="E111" s="73" t="str">
        <x:v>啃锚深渊鱼</x:v>
      </x:c>
      <x:c r="F111" s="73" t="str">
        <x:v>稀有</x:v>
      </x:c>
      <x:c r="G111" s="73" t="str">
        <x:v>锚齿鱼盔</x:v>
      </x:c>
      <x:c r="H111" s="73" t="str">
        <x:v>头盔</x:v>
      </x:c>
      <x:c r="I111" s="73" t="str">
        <x:v>头盔</x:v>
      </x:c>
      <x:c r="J111" s="79" t="n">
        <x:v>6784</x:v>
      </x:c>
      <x:c r="K111" s="73" t="str">
        <x:v>预检通过资源／规划锁定／待入库</x:v>
      </x:c>
      <x:c r="L111" s="74" t="str">
        <x:v>装备资源库星渊龙息·龙鳞</x:v>
      </x:c>
    </x:row>
    <x:row r="112" ht="34" customHeight="1">
      <x:c r="A112" s="72" t="str">
        <x:v>C04-M035</x:v>
      </x:c>
      <x:c r="B112" s="73" t="str">
        <x:v>C04</x:v>
      </x:c>
      <x:c r="C112" s="73" t="str">
        <x:v>利耶尼亚海域</x:v>
      </x:c>
      <x:c r="D112" s="73" t="str">
        <x:v>XX362</x:v>
      </x:c>
      <x:c r="E112" s="73" t="str">
        <x:v>锁舱船长·奥杜</x:v>
      </x:c>
      <x:c r="F112" s="73" t="str">
        <x:v>地图BOSS</x:v>
      </x:c>
      <x:c r="G112" s="73" t="str">
        <x:v>奥杜的锁舱刀</x:v>
      </x:c>
      <x:c r="H112" s="73" t="str">
        <x:v>武器</x:v>
      </x:c>
      <x:c r="I112" s="73" t="str">
        <x:v>武器</x:v>
      </x:c>
      <x:c r="J112" s="79" t="n">
        <x:v>6711</x:v>
      </x:c>
      <x:c r="K112" s="73" t="str">
        <x:v>预检通过资源／规划锁定／待入库</x:v>
      </x:c>
      <x:c r="L112" s="74" t="str">
        <x:v>装备资源库血月荆棘·血月</x:v>
      </x:c>
    </x:row>
    <x:row r="113" ht="34" customHeight="1">
      <x:c r="A113" s="72" t="str">
        <x:v>C04-M036</x:v>
      </x:c>
      <x:c r="B113" s="73" t="str">
        <x:v>C04</x:v>
      </x:c>
      <x:c r="C113" s="73" t="str">
        <x:v>利耶尼亚海域</x:v>
      </x:c>
      <x:c r="D113" s="73" t="str">
        <x:v>XX351</x:v>
      </x:c>
      <x:c r="E113" s="73" t="str">
        <x:v>亡舟新娘·伊蕾莎</x:v>
      </x:c>
      <x:c r="F113" s="73" t="str">
        <x:v>地图BOSS</x:v>
      </x:c>
      <x:c r="G113" s="73" t="str">
        <x:v>伊蕾莎潮婚衣</x:v>
      </x:c>
      <x:c r="H113" s="73" t="str">
        <x:v>衣服</x:v>
      </x:c>
      <x:c r="I113" s="73" t="str">
        <x:v>男衣服（现行模板的衣服映射）</x:v>
      </x:c>
      <x:c r="J113" s="79" t="n">
        <x:v>6712</x:v>
      </x:c>
      <x:c r="K113" s="73" t="str">
        <x:v>预检通过资源／规划锁定／待入库</x:v>
      </x:c>
      <x:c r="L113" s="74" t="str">
        <x:v>按现行装备模板映射男衣服StdMode10；血月荆棘·血月</x:v>
      </x:c>
    </x:row>
    <x:row r="114" ht="34" customHeight="1">
      <x:c r="A114" s="72" t="str">
        <x:v>C04-M037</x:v>
      </x:c>
      <x:c r="B114" s="73" t="str">
        <x:v>C04</x:v>
      </x:c>
      <x:c r="C114" s="73" t="str">
        <x:v>利耶尼亚海域</x:v>
      </x:c>
      <x:c r="D114" s="73" t="str">
        <x:v>XX527</x:v>
      </x:c>
      <x:c r="E114" s="73" t="str">
        <x:v>磷火甲板兵</x:v>
      </x:c>
      <x:c r="F114" s="73" t="str">
        <x:v>普通</x:v>
      </x:c>
      <x:c r="G114" s="73" t="str">
        <x:v>磷火腕铠</x:v>
      </x:c>
      <x:c r="H114" s="73" t="str">
        <x:v>手镯</x:v>
      </x:c>
      <x:c r="I114" s="73" t="str">
        <x:v>手镯</x:v>
      </x:c>
      <x:c r="J114" s="79" t="n">
        <x:v>6787</x:v>
      </x:c>
      <x:c r="K114" s="73" t="str">
        <x:v>预检通过资源／规划锁定／待入库</x:v>
      </x:c>
      <x:c r="L114" s="74" t="str">
        <x:v>装备资源库星渊龙息·龙鳞</x:v>
      </x:c>
    </x:row>
    <x:row r="115" ht="34" customHeight="1">
      <x:c r="A115" s="72" t="str">
        <x:v>C04-M038</x:v>
      </x:c>
      <x:c r="B115" s="73" t="str">
        <x:v>C04</x:v>
      </x:c>
      <x:c r="C115" s="73" t="str">
        <x:v>利耶尼亚海域</x:v>
      </x:c>
      <x:c r="D115" s="73" t="str">
        <x:v>XX527</x:v>
      </x:c>
      <x:c r="E115" s="73" t="str">
        <x:v>船骸骨鸥</x:v>
      </x:c>
      <x:c r="F115" s="73" t="str">
        <x:v>普通</x:v>
      </x:c>
      <x:c r="G115" s="73" t="str">
        <x:v>骨鸥喙盔</x:v>
      </x:c>
      <x:c r="H115" s="73" t="str">
        <x:v>头盔</x:v>
      </x:c>
      <x:c r="I115" s="73" t="str">
        <x:v>头盔</x:v>
      </x:c>
      <x:c r="J115" s="79" t="n">
        <x:v>6819</x:v>
      </x:c>
      <x:c r="K115" s="73" t="str">
        <x:v>预检通过资源／规划锁定／待入库</x:v>
      </x:c>
      <x:c r="L115" s="74" t="str">
        <x:v>装备资源库星渊龙息·渊辉</x:v>
      </x:c>
    </x:row>
    <x:row r="116" ht="34" customHeight="1">
      <x:c r="A116" s="72" t="str">
        <x:v>C04-M039</x:v>
      </x:c>
      <x:c r="B116" s="73" t="str">
        <x:v>C04</x:v>
      </x:c>
      <x:c r="C116" s="73" t="str">
        <x:v>利耶尼亚海域</x:v>
      </x:c>
      <x:c r="D116" s="73" t="str">
        <x:v>XX457</x:v>
      </x:c>
      <x:c r="E116" s="73" t="str">
        <x:v>漏舱舀水鬼</x:v>
      </x:c>
      <x:c r="F116" s="73" t="str">
        <x:v>普通</x:v>
      </x:c>
      <x:c r="G116" s="73" t="str">
        <x:v>舀魂铜瓢</x:v>
      </x:c>
      <x:c r="H116" s="73" t="str">
        <x:v>武器</x:v>
      </x:c>
      <x:c r="I116" s="73" t="str">
        <x:v>武器</x:v>
      </x:c>
      <x:c r="J116" s="80"/>
      <x:c r="K116" s="73" t="str">
        <x:v>缺武器来源码</x:v>
      </x:c>
      <x:c r="L116" s="74" t="str">
        <x:v>需补同部位Items/StateItem/DnItems三库同码资源</x:v>
      </x:c>
    </x:row>
    <x:row r="117" ht="34" customHeight="1">
      <x:c r="A117" s="72" t="str">
        <x:v>C04-M040</x:v>
      </x:c>
      <x:c r="B117" s="73" t="str">
        <x:v>C04</x:v>
      </x:c>
      <x:c r="C117" s="73" t="str">
        <x:v>利耶尼亚海域</x:v>
      </x:c>
      <x:c r="D117" s="73" t="str">
        <x:v>XX457</x:v>
      </x:c>
      <x:c r="E117" s="73" t="str">
        <x:v>铜铃引魂童</x:v>
      </x:c>
      <x:c r="F117" s="73" t="str">
        <x:v>普通</x:v>
      </x:c>
      <x:c r="G117" s="73" t="str">
        <x:v>引魂铜铃链</x:v>
      </x:c>
      <x:c r="H117" s="73" t="str">
        <x:v>项链</x:v>
      </x:c>
      <x:c r="I117" s="73" t="str">
        <x:v>项链</x:v>
      </x:c>
      <x:c r="J117" s="79" t="n">
        <x:v>6821</x:v>
      </x:c>
      <x:c r="K117" s="73" t="str">
        <x:v>预检通过资源／规划锁定／待入库</x:v>
      </x:c>
      <x:c r="L117" s="74" t="str">
        <x:v>装备资源库星渊龙息·渊辉</x:v>
      </x:c>
    </x:row>
    <x:row r="118" ht="34" customHeight="1">
      <x:c r="A118" s="72" t="str">
        <x:v>C04-M041</x:v>
      </x:c>
      <x:c r="B118" s="73" t="str">
        <x:v>C04</x:v>
      </x:c>
      <x:c r="C118" s="73" t="str">
        <x:v>利耶尼亚海域</x:v>
      </x:c>
      <x:c r="D118" s="73" t="str">
        <x:v>XX582</x:v>
      </x:c>
      <x:c r="E118" s="73" t="str">
        <x:v>密舱蜡尸</x:v>
      </x:c>
      <x:c r="F118" s="73" t="str">
        <x:v>普通</x:v>
      </x:c>
      <x:c r="G118" s="73" t="str">
        <x:v>蜡封尸衣</x:v>
      </x:c>
      <x:c r="H118" s="73" t="str">
        <x:v>衣服</x:v>
      </x:c>
      <x:c r="I118" s="73" t="str">
        <x:v>男衣服（现行模板的衣服映射）</x:v>
      </x:c>
      <x:c r="J118" s="80"/>
      <x:c r="K118" s="73" t="str">
        <x:v>缺衣服来源码</x:v>
      </x:c>
      <x:c r="L118" s="74" t="str">
        <x:v>需补男衣服StdMode10的三库同码资源；女衣服码未获准合池</x:v>
      </x:c>
    </x:row>
    <x:row r="119" ht="34" customHeight="1">
      <x:c r="A119" s="72" t="str">
        <x:v>C04-M042</x:v>
      </x:c>
      <x:c r="B119" s="73" t="str">
        <x:v>C04</x:v>
      </x:c>
      <x:c r="C119" s="73" t="str">
        <x:v>利耶尼亚海域</x:v>
      </x:c>
      <x:c r="D119" s="73" t="str">
        <x:v>XX582</x:v>
      </x:c>
      <x:c r="E119" s="73" t="str">
        <x:v>食梦船蛾</x:v>
      </x:c>
      <x:c r="F119" s="73" t="str">
        <x:v>普通</x:v>
      </x:c>
      <x:c r="G119" s="73" t="str">
        <x:v>梦蛾踏水靴</x:v>
      </x:c>
      <x:c r="H119" s="73" t="str">
        <x:v>鞋子</x:v>
      </x:c>
      <x:c r="I119" s="73" t="str">
        <x:v>鞋子</x:v>
      </x:c>
      <x:c r="J119" s="79" t="n">
        <x:v>6757</x:v>
      </x:c>
      <x:c r="K119" s="73" t="str">
        <x:v>预检通过资源／规划锁定／待入库</x:v>
      </x:c>
      <x:c r="L119" s="74" t="str">
        <x:v>装备资源库星渊龙息·星痕</x:v>
      </x:c>
    </x:row>
    <x:row r="120" ht="34" customHeight="1">
      <x:c r="A120" s="72" t="str">
        <x:v>C04-M043</x:v>
      </x:c>
      <x:c r="B120" s="73" t="str">
        <x:v>C04</x:v>
      </x:c>
      <x:c r="C120" s="73" t="str">
        <x:v>利耶尼亚海域</x:v>
      </x:c>
      <x:c r="D120" s="73" t="str">
        <x:v>XX527</x:v>
      </x:c>
      <x:c r="E120" s="73" t="str">
        <x:v>倒吊瞭望手</x:v>
      </x:c>
      <x:c r="F120" s="73" t="str">
        <x:v>稀有</x:v>
      </x:c>
      <x:c r="G120" s="73" t="str">
        <x:v>倒桅瞭望笠</x:v>
      </x:c>
      <x:c r="H120" s="73" t="str">
        <x:v>斗笠</x:v>
      </x:c>
      <x:c r="I120" s="73" t="str">
        <x:v>面巾（位置13，对应斗笠）</x:v>
      </x:c>
      <x:c r="J120" s="79" t="n">
        <x:v>6575</x:v>
      </x:c>
      <x:c r="K120" s="73" t="str">
        <x:v>预检通过资源／规划锁定／待入库</x:v>
      </x:c>
      <x:c r="L120" s="74" t="str">
        <x:v>StdMode16/位置13；血月荆棘·血痕</x:v>
      </x:c>
    </x:row>
    <x:row r="121" ht="34" customHeight="1">
      <x:c r="A121" s="72" t="str">
        <x:v>C04-M044</x:v>
      </x:c>
      <x:c r="B121" s="73" t="str">
        <x:v>C04</x:v>
      </x:c>
      <x:c r="C121" s="73" t="str">
        <x:v>利耶尼亚海域</x:v>
      </x:c>
      <x:c r="D121" s="73" t="str">
        <x:v>XX457</x:v>
      </x:c>
      <x:c r="E121" s="73" t="str">
        <x:v>无面桨官</x:v>
      </x:c>
      <x:c r="F121" s="73" t="str">
        <x:v>稀有</x:v>
      </x:c>
      <x:c r="G121" s="73" t="str">
        <x:v>桨官铁盾</x:v>
      </x:c>
      <x:c r="H121" s="73" t="str">
        <x:v>盾牌</x:v>
      </x:c>
      <x:c r="I121" s="73" t="str">
        <x:v>盾牌</x:v>
      </x:c>
      <x:c r="J121" s="79" t="n">
        <x:v>6720</x:v>
      </x:c>
      <x:c r="K121" s="73" t="str">
        <x:v>预检通过资源／规划锁定／待入库</x:v>
      </x:c>
      <x:c r="L121" s="74" t="str">
        <x:v>装备资源库血月荆棘·血月</x:v>
      </x:c>
    </x:row>
    <x:row r="122" ht="34" customHeight="1">
      <x:c r="A122" s="72" t="str">
        <x:v>C04-M045</x:v>
      </x:c>
      <x:c r="B122" s="73" t="str">
        <x:v>C04</x:v>
      </x:c>
      <x:c r="C122" s="73" t="str">
        <x:v>利耶尼亚海域</x:v>
      </x:c>
      <x:c r="D122" s="73" t="str">
        <x:v>XX582</x:v>
      </x:c>
      <x:c r="E122" s="73" t="str">
        <x:v>舱壁缝合怪</x:v>
      </x:c>
      <x:c r="F122" s="73" t="str">
        <x:v>稀有</x:v>
      </x:c>
      <x:c r="G122" s="73" t="str">
        <x:v>缝舱腰箍</x:v>
      </x:c>
      <x:c r="H122" s="73" t="str">
        <x:v>腰带</x:v>
      </x:c>
      <x:c r="I122" s="73" t="str">
        <x:v>腰带</x:v>
      </x:c>
      <x:c r="J122" s="79" t="n">
        <x:v>6688</x:v>
      </x:c>
      <x:c r="K122" s="73" t="str">
        <x:v>预检通过资源／规划锁定／待入库</x:v>
      </x:c>
      <x:c r="L122" s="74" t="str">
        <x:v>装备资源库血月荆棘·弑王</x:v>
      </x:c>
    </x:row>
    <x:row r="123" ht="34" customHeight="1">
      <x:c r="A123" s="72" t="str">
        <x:v>C04-M046</x:v>
      </x:c>
      <x:c r="B123" s="73" t="str">
        <x:v>C04</x:v>
      </x:c>
      <x:c r="C123" s="73" t="str">
        <x:v>利耶尼亚海域</x:v>
      </x:c>
      <x:c r="D123" s="73" t="str">
        <x:v>XX582</x:v>
      </x:c>
      <x:c r="E123" s="73" t="str">
        <x:v>黑帆招魂师</x:v>
      </x:c>
      <x:c r="F123" s="73" t="str">
        <x:v>稀有</x:v>
      </x:c>
      <x:c r="G123" s="73" t="str">
        <x:v>黑帆魂戒</x:v>
      </x:c>
      <x:c r="H123" s="73" t="str">
        <x:v>戒指</x:v>
      </x:c>
      <x:c r="I123" s="73" t="str">
        <x:v>戒指</x:v>
      </x:c>
      <x:c r="J123" s="79" t="n">
        <x:v>6823</x:v>
      </x:c>
      <x:c r="K123" s="73" t="str">
        <x:v>预检通过资源／规划锁定／待入库</x:v>
      </x:c>
      <x:c r="L123" s="74" t="str">
        <x:v>装备资源库星渊龙息·渊辉</x:v>
      </x:c>
    </x:row>
    <x:row r="124" ht="34" customHeight="1">
      <x:c r="A124" s="72" t="str">
        <x:v>C04-M047</x:v>
      </x:c>
      <x:c r="B124" s="73" t="str">
        <x:v>C04</x:v>
      </x:c>
      <x:c r="C124" s="73" t="str">
        <x:v>利耶尼亚海域</x:v>
      </x:c>
      <x:c r="D124" s="73" t="str">
        <x:v>XX457</x:v>
      </x:c>
      <x:c r="E124" s="73" t="str">
        <x:v>幽舵大副·赫岚</x:v>
      </x:c>
      <x:c r="F124" s="73" t="str">
        <x:v>地图BOSS</x:v>
      </x:c>
      <x:c r="G124" s="73" t="str">
        <x:v>赫岚的幽舵刃</x:v>
      </x:c>
      <x:c r="H124" s="73" t="str">
        <x:v>武器</x:v>
      </x:c>
      <x:c r="I124" s="73" t="str">
        <x:v>武器</x:v>
      </x:c>
      <x:c r="J124" s="79" t="n">
        <x:v>6746</x:v>
      </x:c>
      <x:c r="K124" s="73" t="str">
        <x:v>预检通过资源／规划锁定／待入库</x:v>
      </x:c>
      <x:c r="L124" s="74" t="str">
        <x:v>装备资源库星渊龙息·星痕</x:v>
      </x:c>
    </x:row>
    <x:row r="125" ht="34" customHeight="1">
      <x:c r="A125" s="72" t="str">
        <x:v>C04-M048</x:v>
      </x:c>
      <x:c r="B125" s="73" t="str">
        <x:v>C04</x:v>
      </x:c>
      <x:c r="C125" s="73" t="str">
        <x:v>利耶尼亚海域</x:v>
      </x:c>
      <x:c r="D125" s="73" t="str">
        <x:v>XX582</x:v>
      </x:c>
      <x:c r="E125" s="73" t="str">
        <x:v>百舱吞魂者·沃姆</x:v>
      </x:c>
      <x:c r="F125" s="73" t="str">
        <x:v>地图BOSS</x:v>
      </x:c>
      <x:c r="G125" s="73" t="str">
        <x:v>沃姆吞魂舱甲</x:v>
      </x:c>
      <x:c r="H125" s="73" t="str">
        <x:v>衣服</x:v>
      </x:c>
      <x:c r="I125" s="73" t="str">
        <x:v>男衣服（现行模板的衣服映射）</x:v>
      </x:c>
      <x:c r="J125" s="79" t="n">
        <x:v>6747</x:v>
      </x:c>
      <x:c r="K125" s="73" t="str">
        <x:v>预检通过资源／规划锁定／待入库</x:v>
      </x:c>
      <x:c r="L125" s="74" t="str">
        <x:v>按现行装备模板映射男衣服StdMode10；星渊龙息·星痕</x:v>
      </x:c>
    </x:row>
    <x:row r="126" ht="34" customHeight="1">
      <x:c r="A126" s="72" t="str">
        <x:v>C04-M049</x:v>
      </x:c>
      <x:c r="B126" s="73" t="str">
        <x:v>C04</x:v>
      </x:c>
      <x:c r="C126" s="73" t="str">
        <x:v>利耶尼亚海域</x:v>
      </x:c>
      <x:c r="D126" s="73" t="str">
        <x:v>XX395</x:v>
      </x:c>
      <x:c r="E126" s="73" t="str">
        <x:v>水闸巡守</x:v>
      </x:c>
      <x:c r="F126" s="73" t="str">
        <x:v>普通</x:v>
      </x:c>
      <x:c r="G126" s="73" t="str">
        <x:v>巡闸圆盾</x:v>
      </x:c>
      <x:c r="H126" s="73" t="str">
        <x:v>盾牌</x:v>
      </x:c>
      <x:c r="I126" s="73" t="str">
        <x:v>盾牌</x:v>
      </x:c>
      <x:c r="J126" s="79" t="n">
        <x:v>6755</x:v>
      </x:c>
      <x:c r="K126" s="73" t="str">
        <x:v>预检通过资源／规划锁定／待入库</x:v>
      </x:c>
      <x:c r="L126" s="74" t="str">
        <x:v>装备资源库星渊龙息·星痕</x:v>
      </x:c>
    </x:row>
    <x:row r="127" ht="34" customHeight="1">
      <x:c r="A127" s="72" t="str">
        <x:v>C04-M050</x:v>
      </x:c>
      <x:c r="B127" s="73" t="str">
        <x:v>C04</x:v>
      </x:c>
      <x:c r="C127" s="73" t="str">
        <x:v>利耶尼亚海域</x:v>
      </x:c>
      <x:c r="D127" s="73" t="str">
        <x:v>XX395</x:v>
      </x:c>
      <x:c r="E127" s="73" t="str">
        <x:v>涡背鳗犬</x:v>
      </x:c>
      <x:c r="F127" s="73" t="str">
        <x:v>普通</x:v>
      </x:c>
      <x:c r="G127" s="73" t="str">
        <x:v>鳗皮束腰</x:v>
      </x:c>
      <x:c r="H127" s="73" t="str">
        <x:v>腰带</x:v>
      </x:c>
      <x:c r="I127" s="73" t="str">
        <x:v>腰带</x:v>
      </x:c>
      <x:c r="J127" s="79" t="n">
        <x:v>6723</x:v>
      </x:c>
      <x:c r="K127" s="73" t="str">
        <x:v>预检通过资源／规划锁定／待入库</x:v>
      </x:c>
      <x:c r="L127" s="74" t="str">
        <x:v>装备资源库血月荆棘·血月</x:v>
      </x:c>
    </x:row>
    <x:row r="128" ht="34" customHeight="1">
      <x:c r="A128" s="72" t="str">
        <x:v>C04-M051</x:v>
      </x:c>
      <x:c r="B128" s="73" t="str">
        <x:v>C04</x:v>
      </x:c>
      <x:c r="C128" s="73" t="str">
        <x:v>利耶尼亚海域</x:v>
      </x:c>
      <x:c r="D128" s="73" t="str">
        <x:v>XX392</x:v>
      </x:c>
      <x:c r="E128" s="73" t="str">
        <x:v>月河箭蛙</x:v>
      </x:c>
      <x:c r="F128" s="73" t="str">
        <x:v>普通</x:v>
      </x:c>
      <x:c r="G128" s="73" t="str">
        <x:v>月蛙刺弩</x:v>
      </x:c>
      <x:c r="H128" s="73" t="str">
        <x:v>武器</x:v>
      </x:c>
      <x:c r="I128" s="73" t="str">
        <x:v>武器</x:v>
      </x:c>
      <x:c r="J128" s="80"/>
      <x:c r="K128" s="73" t="str">
        <x:v>缺武器来源码</x:v>
      </x:c>
      <x:c r="L128" s="74" t="str">
        <x:v>需补同部位Items/StateItem/DnItems三库同码资源</x:v>
      </x:c>
    </x:row>
    <x:row r="129" ht="34" customHeight="1">
      <x:c r="A129" s="72" t="str">
        <x:v>C04-M052</x:v>
      </x:c>
      <x:c r="B129" s="73" t="str">
        <x:v>C04</x:v>
      </x:c>
      <x:c r="C129" s="73" t="str">
        <x:v>利耶尼亚海域</x:v>
      </x:c>
      <x:c r="D129" s="73" t="str">
        <x:v>XX392</x:v>
      </x:c>
      <x:c r="E129" s="73" t="str">
        <x:v>暗径拾珠客</x:v>
      </x:c>
      <x:c r="F129" s="73" t="str">
        <x:v>普通</x:v>
      </x:c>
      <x:c r="G129" s="73" t="str">
        <x:v>拾珠客斗笠</x:v>
      </x:c>
      <x:c r="H129" s="73" t="str">
        <x:v>斗笠</x:v>
      </x:c>
      <x:c r="I129" s="73" t="str">
        <x:v>面巾（位置13，对应斗笠）</x:v>
      </x:c>
      <x:c r="J129" s="80"/>
      <x:c r="K129" s="73" t="str">
        <x:v>缺斗笠来源码</x:v>
      </x:c>
      <x:c r="L129" s="74" t="str">
        <x:v>需补StdMode16/位置13的三库同码资源</x:v>
      </x:c>
    </x:row>
    <x:row r="130" ht="34" customHeight="1">
      <x:c r="A130" s="72" t="str">
        <x:v>C04-M053</x:v>
      </x:c>
      <x:c r="B130" s="73" t="str">
        <x:v>C04</x:v>
      </x:c>
      <x:c r="C130" s="73" t="str">
        <x:v>利耶尼亚海域</x:v>
      </x:c>
      <x:c r="D130" s="73" t="str">
        <x:v>XX391</x:v>
      </x:c>
      <x:c r="E130" s="73" t="str">
        <x:v>渊口盔虾</x:v>
      </x:c>
      <x:c r="F130" s="73" t="str">
        <x:v>普通</x:v>
      </x:c>
      <x:c r="G130" s="73" t="str">
        <x:v>盔虾壳帽</x:v>
      </x:c>
      <x:c r="H130" s="73" t="str">
        <x:v>头盔</x:v>
      </x:c>
      <x:c r="I130" s="73" t="str">
        <x:v>头盔</x:v>
      </x:c>
      <x:c r="J130" s="79" t="n">
        <x:v>6854</x:v>
      </x:c>
      <x:c r="K130" s="73" t="str">
        <x:v>预检通过资源／规划锁定／待入库</x:v>
      </x:c>
      <x:c r="L130" s="74" t="str">
        <x:v>装备资源库星渊龙息·天穹</x:v>
      </x:c>
    </x:row>
    <x:row r="131" ht="34" customHeight="1">
      <x:c r="A131" s="72" t="str">
        <x:v>C04-M054</x:v>
      </x:c>
      <x:c r="B131" s="73" t="str">
        <x:v>C04</x:v>
      </x:c>
      <x:c r="C131" s="73" t="str">
        <x:v>利耶尼亚海域</x:v>
      </x:c>
      <x:c r="D131" s="73" t="str">
        <x:v>XX391</x:v>
      </x:c>
      <x:c r="E131" s="73" t="str">
        <x:v>伏流石鳗</x:v>
      </x:c>
      <x:c r="F131" s="73" t="str">
        <x:v>普通</x:v>
      </x:c>
      <x:c r="G131" s="73" t="str">
        <x:v>伏流鳞靴</x:v>
      </x:c>
      <x:c r="H131" s="73" t="str">
        <x:v>鞋子</x:v>
      </x:c>
      <x:c r="I131" s="73" t="str">
        <x:v>鞋子</x:v>
      </x:c>
      <x:c r="J131" s="79" t="n">
        <x:v>6792</x:v>
      </x:c>
      <x:c r="K131" s="73" t="str">
        <x:v>预检通过资源／规划锁定／待入库</x:v>
      </x:c>
      <x:c r="L131" s="74" t="str">
        <x:v>装备资源库星渊龙息·龙鳞</x:v>
      </x:c>
    </x:row>
    <x:row r="132" ht="34" customHeight="1">
      <x:c r="A132" s="72" t="str">
        <x:v>C04-M055</x:v>
      </x:c>
      <x:c r="B132" s="73" t="str">
        <x:v>C04</x:v>
      </x:c>
      <x:c r="C132" s="73" t="str">
        <x:v>利耶尼亚海域</x:v>
      </x:c>
      <x:c r="D132" s="73" t="str">
        <x:v>XX395</x:v>
      </x:c>
      <x:c r="E132" s="73" t="str">
        <x:v>断闸铁卫</x:v>
      </x:c>
      <x:c r="F132" s="73" t="str">
        <x:v>稀有</x:v>
      </x:c>
      <x:c r="G132" s="73" t="str">
        <x:v>断闸铁衣</x:v>
      </x:c>
      <x:c r="H132" s="73" t="str">
        <x:v>衣服</x:v>
      </x:c>
      <x:c r="I132" s="73" t="str">
        <x:v>男衣服（现行模板的衣服映射）</x:v>
      </x:c>
      <x:c r="J132" s="80"/>
      <x:c r="K132" s="73" t="str">
        <x:v>缺衣服来源码</x:v>
      </x:c>
      <x:c r="L132" s="74" t="str">
        <x:v>需补男衣服StdMode10的三库同码资源；女衣服码未获准合池</x:v>
      </x:c>
    </x:row>
    <x:row r="133" ht="34" customHeight="1">
      <x:c r="A133" s="72" t="str">
        <x:v>C04-M056</x:v>
      </x:c>
      <x:c r="B133" s="73" t="str">
        <x:v>C04</x:v>
      </x:c>
      <x:c r="C133" s="73" t="str">
        <x:v>利耶尼亚海域</x:v>
      </x:c>
      <x:c r="D133" s="73" t="str">
        <x:v>XX392</x:v>
      </x:c>
      <x:c r="E133" s="73" t="str">
        <x:v>月痕水咒师</x:v>
      </x:c>
      <x:c r="F133" s="73" t="str">
        <x:v>稀有</x:v>
      </x:c>
      <x:c r="G133" s="73" t="str">
        <x:v>月痕咒镯</x:v>
      </x:c>
      <x:c r="H133" s="73" t="str">
        <x:v>手镯</x:v>
      </x:c>
      <x:c r="I133" s="73" t="str">
        <x:v>手镯</x:v>
      </x:c>
      <x:c r="J133" s="79" t="n">
        <x:v>6822</x:v>
      </x:c>
      <x:c r="K133" s="73" t="str">
        <x:v>预检通过资源／规划锁定／待入库</x:v>
      </x:c>
      <x:c r="L133" s="74" t="str">
        <x:v>装备资源库星渊龙息·渊辉</x:v>
      </x:c>
    </x:row>
    <x:row r="134" ht="34" customHeight="1">
      <x:c r="A134" s="72" t="str">
        <x:v>C04-M057</x:v>
      </x:c>
      <x:c r="B134" s="73" t="str">
        <x:v>C04</x:v>
      </x:c>
      <x:c r="C134" s="73" t="str">
        <x:v>利耶尼亚海域</x:v>
      </x:c>
      <x:c r="D134" s="73" t="str">
        <x:v>XX391</x:v>
      </x:c>
      <x:c r="E134" s="73" t="str">
        <x:v>渊声诱猎者</x:v>
      </x:c>
      <x:c r="F134" s="73" t="str">
        <x:v>稀有</x:v>
      </x:c>
      <x:c r="G134" s="73" t="str">
        <x:v>诱猎声坠</x:v>
      </x:c>
      <x:c r="H134" s="73" t="str">
        <x:v>项链</x:v>
      </x:c>
      <x:c r="I134" s="73" t="str">
        <x:v>项链</x:v>
      </x:c>
      <x:c r="J134" s="79" t="n">
        <x:v>6856</x:v>
      </x:c>
      <x:c r="K134" s="73" t="str">
        <x:v>预检通过资源／规划锁定／待入库</x:v>
      </x:c>
      <x:c r="L134" s="74" t="str">
        <x:v>装备资源库星渊龙息·天穹</x:v>
      </x:c>
    </x:row>
    <x:row r="135" ht="34" customHeight="1">
      <x:c r="A135" s="72" t="str">
        <x:v>C04-M058</x:v>
      </x:c>
      <x:c r="B135" s="73" t="str">
        <x:v>C04</x:v>
      </x:c>
      <x:c r="C135" s="73" t="str">
        <x:v>利耶尼亚海域</x:v>
      </x:c>
      <x:c r="D135" s="73" t="str">
        <x:v>XX391</x:v>
      </x:c>
      <x:c r="E135" s="73" t="str">
        <x:v>吞灯巨鲶</x:v>
      </x:c>
      <x:c r="F135" s="73" t="str">
        <x:v>稀有</x:v>
      </x:c>
      <x:c r="G135" s="73" t="str">
        <x:v>吞灯牙戒</x:v>
      </x:c>
      <x:c r="H135" s="73" t="str">
        <x:v>戒指</x:v>
      </x:c>
      <x:c r="I135" s="73" t="str">
        <x:v>戒指</x:v>
      </x:c>
      <x:c r="J135" s="79" t="n">
        <x:v>6858</x:v>
      </x:c>
      <x:c r="K135" s="73" t="str">
        <x:v>预检通过资源／规划锁定／待入库</x:v>
      </x:c>
      <x:c r="L135" s="74" t="str">
        <x:v>装备资源库星渊龙息·天穹</x:v>
      </x:c>
    </x:row>
    <x:row r="136" ht="34" customHeight="1">
      <x:c r="A136" s="72" t="str">
        <x:v>C04-M059</x:v>
      </x:c>
      <x:c r="B136" s="73" t="str">
        <x:v>C04</x:v>
      </x:c>
      <x:c r="C136" s="73" t="str">
        <x:v>利耶尼亚海域</x:v>
      </x:c>
      <x:c r="D136" s="73" t="str">
        <x:v>XX392</x:v>
      </x:c>
      <x:c r="E136" s="73" t="str">
        <x:v>暗河剑师·罗缇</x:v>
      </x:c>
      <x:c r="F136" s="73" t="str">
        <x:v>地图BOSS</x:v>
      </x:c>
      <x:c r="G136" s="73" t="str">
        <x:v>罗缇的回流剑</x:v>
      </x:c>
      <x:c r="H136" s="73" t="str">
        <x:v>武器</x:v>
      </x:c>
      <x:c r="I136" s="73" t="str">
        <x:v>武器</x:v>
      </x:c>
      <x:c r="J136" s="79" t="n">
        <x:v>6781</x:v>
      </x:c>
      <x:c r="K136" s="73" t="str">
        <x:v>预检通过资源／规划锁定／待入库</x:v>
      </x:c>
      <x:c r="L136" s="74" t="str">
        <x:v>装备资源库星渊龙息·龙鳞</x:v>
      </x:c>
    </x:row>
    <x:row r="137" ht="34" customHeight="1">
      <x:c r="A137" s="72" t="str">
        <x:v>C04-M060</x:v>
      </x:c>
      <x:c r="B137" s="73" t="str">
        <x:v>C04</x:v>
      </x:c>
      <x:c r="C137" s="73" t="str">
        <x:v>利耶尼亚海域</x:v>
      </x:c>
      <x:c r="D137" s="73" t="str">
        <x:v>XX391</x:v>
      </x:c>
      <x:c r="E137" s="73" t="str">
        <x:v>渊口老蛟·涅珈</x:v>
      </x:c>
      <x:c r="F137" s="73" t="str">
        <x:v>地图BOSS</x:v>
      </x:c>
      <x:c r="G137" s="73" t="str">
        <x:v>涅珈镇渊衣</x:v>
      </x:c>
      <x:c r="H137" s="73" t="str">
        <x:v>衣服</x:v>
      </x:c>
      <x:c r="I137" s="73" t="str">
        <x:v>男衣服（现行模板的衣服映射）</x:v>
      </x:c>
      <x:c r="J137" s="79" t="n">
        <x:v>6782</x:v>
      </x:c>
      <x:c r="K137" s="73" t="str">
        <x:v>预检通过资源／规划锁定／待入库</x:v>
      </x:c>
      <x:c r="L137" s="74" t="str">
        <x:v>按现行装备模板映射男衣服StdMode10；星渊龙息·龙鳞</x:v>
      </x:c>
    </x:row>
    <x:row r="138" ht="34" customHeight="1">
      <x:c r="A138" s="72" t="str">
        <x:v>C04-M061</x:v>
      </x:c>
      <x:c r="B138" s="73" t="str">
        <x:v>C04</x:v>
      </x:c>
      <x:c r="C138" s="73" t="str">
        <x:v>利耶尼亚海域</x:v>
      </x:c>
      <x:c r="D138" s="73" t="str">
        <x:v>XX368</x:v>
      </x:c>
      <x:c r="E138" s="73" t="str">
        <x:v>摸壁潜行者</x:v>
      </x:c>
      <x:c r="F138" s="73" t="str">
        <x:v>普通</x:v>
      </x:c>
      <x:c r="G138" s="73" t="str">
        <x:v>潜壁短钩</x:v>
      </x:c>
      <x:c r="H138" s="73" t="str">
        <x:v>武器</x:v>
      </x:c>
      <x:c r="I138" s="73" t="str">
        <x:v>武器</x:v>
      </x:c>
      <x:c r="J138" s="80"/>
      <x:c r="K138" s="73" t="str">
        <x:v>缺武器来源码</x:v>
      </x:c>
      <x:c r="L138" s="74" t="str">
        <x:v>需补同部位Items/StateItem/DnItems三库同码资源</x:v>
      </x:c>
    </x:row>
    <x:row r="139" ht="34" customHeight="1">
      <x:c r="A139" s="72" t="str">
        <x:v>C04-M062</x:v>
      </x:c>
      <x:c r="B139" s="73" t="str">
        <x:v>C04</x:v>
      </x:c>
      <x:c r="C139" s="73" t="str">
        <x:v>利耶尼亚海域</x:v>
      </x:c>
      <x:c r="D139" s="73" t="str">
        <x:v>XX368</x:v>
      </x:c>
      <x:c r="E139" s="73" t="str">
        <x:v>砾壳穴龟</x:v>
      </x:c>
      <x:c r="F139" s="73" t="str">
        <x:v>普通</x:v>
      </x:c>
      <x:c r="G139" s="73" t="str">
        <x:v>穴龟石盾</x:v>
      </x:c>
      <x:c r="H139" s="73" t="str">
        <x:v>盾牌</x:v>
      </x:c>
      <x:c r="I139" s="73" t="str">
        <x:v>盾牌</x:v>
      </x:c>
      <x:c r="J139" s="79" t="n">
        <x:v>6790</x:v>
      </x:c>
      <x:c r="K139" s="73" t="str">
        <x:v>预检通过资源／规划锁定／待入库</x:v>
      </x:c>
      <x:c r="L139" s="74" t="str">
        <x:v>装备资源库星渊龙息·龙鳞</x:v>
      </x:c>
    </x:row>
    <x:row r="140" ht="34" customHeight="1">
      <x:c r="A140" s="72" t="str">
        <x:v>C04-M063</x:v>
      </x:c>
      <x:c r="B140" s="73" t="str">
        <x:v>C04</x:v>
      </x:c>
      <x:c r="C140" s="73" t="str">
        <x:v>利耶尼亚海域</x:v>
      </x:c>
      <x:c r="D140" s="73" t="str">
        <x:v>XX382</x:v>
      </x:c>
      <x:c r="E140" s="73" t="str">
        <x:v>暗渠滤水蚌</x:v>
      </x:c>
      <x:c r="F140" s="73" t="str">
        <x:v>普通</x:v>
      </x:c>
      <x:c r="G140" s="73" t="str">
        <x:v>滤水蚌盔</x:v>
      </x:c>
      <x:c r="H140" s="73" t="str">
        <x:v>头盔</x:v>
      </x:c>
      <x:c r="I140" s="73" t="str">
        <x:v>头盔</x:v>
      </x:c>
      <x:c r="J140" s="79" t="n">
        <x:v>6889</x:v>
      </x:c>
      <x:c r="K140" s="73" t="str">
        <x:v>预检通过资源／规划锁定／待入库</x:v>
      </x:c>
      <x:c r="L140" s="74" t="str">
        <x:v>装备资源库星渊龙息·无垠</x:v>
      </x:c>
    </x:row>
    <x:row r="141" ht="34" customHeight="1">
      <x:c r="A141" s="72" t="str">
        <x:v>C04-M064</x:v>
      </x:c>
      <x:c r="B141" s="73" t="str">
        <x:v>C04</x:v>
      </x:c>
      <x:c r="C141" s="73" t="str">
        <x:v>利耶尼亚海域</x:v>
      </x:c>
      <x:c r="D141" s="73" t="str">
        <x:v>XX382</x:v>
      </x:c>
      <x:c r="E141" s="73" t="str">
        <x:v>锈闸守渠人</x:v>
      </x:c>
      <x:c r="F141" s="73" t="str">
        <x:v>普通</x:v>
      </x:c>
      <x:c r="G141" s="73" t="str">
        <x:v>守渠锈衣</x:v>
      </x:c>
      <x:c r="H141" s="73" t="str">
        <x:v>衣服</x:v>
      </x:c>
      <x:c r="I141" s="73" t="str">
        <x:v>男衣服（现行模板的衣服映射）</x:v>
      </x:c>
      <x:c r="J141" s="80"/>
      <x:c r="K141" s="73" t="str">
        <x:v>缺衣服来源码</x:v>
      </x:c>
      <x:c r="L141" s="74" t="str">
        <x:v>需补男衣服StdMode10的三库同码资源；女衣服码未获准合池</x:v>
      </x:c>
    </x:row>
    <x:row r="142" ht="34" customHeight="1">
      <x:c r="A142" s="72" t="str">
        <x:v>C04-M065</x:v>
      </x:c>
      <x:c r="B142" s="73" t="str">
        <x:v>C04</x:v>
      </x:c>
      <x:c r="C142" s="73" t="str">
        <x:v>利耶尼亚海域</x:v>
      </x:c>
      <x:c r="D142" s="73" t="str">
        <x:v>XX369</x:v>
      </x:c>
      <x:c r="E142" s="73" t="str">
        <x:v>秘室灯笼鱼</x:v>
      </x:c>
      <x:c r="F142" s="73" t="str">
        <x:v>普通</x:v>
      </x:c>
      <x:c r="G142" s="73" t="str">
        <x:v>幽灯鱼坠</x:v>
      </x:c>
      <x:c r="H142" s="73" t="str">
        <x:v>项链</x:v>
      </x:c>
      <x:c r="I142" s="73" t="str">
        <x:v>项链</x:v>
      </x:c>
      <x:c r="J142" s="79" t="n">
        <x:v>6891</x:v>
      </x:c>
      <x:c r="K142" s="73" t="str">
        <x:v>预检通过资源／规划锁定／待入库</x:v>
      </x:c>
      <x:c r="L142" s="74" t="str">
        <x:v>装备资源库星渊龙息·无垠</x:v>
      </x:c>
    </x:row>
    <x:row r="143" ht="34" customHeight="1">
      <x:c r="A143" s="72" t="str">
        <x:v>C04-M066</x:v>
      </x:c>
      <x:c r="B143" s="73" t="str">
        <x:v>C04</x:v>
      </x:c>
      <x:c r="C143" s="73" t="str">
        <x:v>利耶尼亚海域</x:v>
      </x:c>
      <x:c r="D143" s="73" t="str">
        <x:v>XX369</x:v>
      </x:c>
      <x:c r="E143" s="73" t="str">
        <x:v>封门泥塑</x:v>
      </x:c>
      <x:c r="F143" s="73" t="str">
        <x:v>普通</x:v>
      </x:c>
      <x:c r="G143" s="73" t="str">
        <x:v>封门泥履</x:v>
      </x:c>
      <x:c r="H143" s="73" t="str">
        <x:v>鞋子</x:v>
      </x:c>
      <x:c r="I143" s="73" t="str">
        <x:v>鞋子</x:v>
      </x:c>
      <x:c r="J143" s="79" t="n">
        <x:v>6827</x:v>
      </x:c>
      <x:c r="K143" s="73" t="str">
        <x:v>预检通过资源／规划锁定／待入库</x:v>
      </x:c>
      <x:c r="L143" s="74" t="str">
        <x:v>装备资源库星渊龙息·渊辉</x:v>
      </x:c>
    </x:row>
    <x:row r="144" ht="34" customHeight="1">
      <x:c r="A144" s="72" t="str">
        <x:v>C04-M067</x:v>
      </x:c>
      <x:c r="B144" s="73" t="str">
        <x:v>C04</x:v>
      </x:c>
      <x:c r="C144" s="73" t="str">
        <x:v>利耶尼亚海域</x:v>
      </x:c>
      <x:c r="D144" s="73" t="str">
        <x:v>XX368</x:v>
      </x:c>
      <x:c r="E144" s="73" t="str">
        <x:v>回声盗墓客</x:v>
      </x:c>
      <x:c r="F144" s="73" t="str">
        <x:v>稀有</x:v>
      </x:c>
      <x:c r="G144" s="73" t="str">
        <x:v>回声盗墓笠</x:v>
      </x:c>
      <x:c r="H144" s="73" t="str">
        <x:v>斗笠</x:v>
      </x:c>
      <x:c r="I144" s="73" t="str">
        <x:v>面巾（位置13，对应斗笠）</x:v>
      </x:c>
      <x:c r="J144" s="79" t="n">
        <x:v>6610</x:v>
      </x:c>
      <x:c r="K144" s="73" t="str">
        <x:v>预检通过资源／规划锁定／待入库</x:v>
      </x:c>
      <x:c r="L144" s="74" t="str">
        <x:v>StdMode16/位置13；血月荆棘·荆冠</x:v>
      </x:c>
    </x:row>
    <x:row r="145" ht="34" customHeight="1">
      <x:c r="A145" s="72" t="str">
        <x:v>C04-M068</x:v>
      </x:c>
      <x:c r="B145" s="73" t="str">
        <x:v>C04</x:v>
      </x:c>
      <x:c r="C145" s="73" t="str">
        <x:v>利耶尼亚海域</x:v>
      </x:c>
      <x:c r="D145" s="73" t="str">
        <x:v>XX382</x:v>
      </x:c>
      <x:c r="E145" s="73" t="str">
        <x:v>暗渠缚链僧</x:v>
      </x:c>
      <x:c r="F145" s="73" t="str">
        <x:v>稀有</x:v>
      </x:c>
      <x:c r="G145" s="73" t="str">
        <x:v>缚链僧镯</x:v>
      </x:c>
      <x:c r="H145" s="73" t="str">
        <x:v>手镯</x:v>
      </x:c>
      <x:c r="I145" s="73" t="str">
        <x:v>手镯</x:v>
      </x:c>
      <x:c r="J145" s="79" t="n">
        <x:v>6857</x:v>
      </x:c>
      <x:c r="K145" s="73" t="str">
        <x:v>预检通过资源／规划锁定／待入库</x:v>
      </x:c>
      <x:c r="L145" s="74" t="str">
        <x:v>装备资源库星渊龙息·天穹</x:v>
      </x:c>
    </x:row>
    <x:row r="146" ht="34" customHeight="1">
      <x:c r="A146" s="72" t="str">
        <x:v>C04-M069</x:v>
      </x:c>
      <x:c r="B146" s="73" t="str">
        <x:v>C04</x:v>
      </x:c>
      <x:c r="C146" s="73" t="str">
        <x:v>利耶尼亚海域</x:v>
      </x:c>
      <x:c r="D146" s="73" t="str">
        <x:v>XX369</x:v>
      </x:c>
      <x:c r="E146" s="73" t="str">
        <x:v>抱钥湖尸</x:v>
      </x:c>
      <x:c r="F146" s="73" t="str">
        <x:v>稀有</x:v>
      </x:c>
      <x:c r="G146" s="73" t="str">
        <x:v>湖尸钥戒</x:v>
      </x:c>
      <x:c r="H146" s="73" t="str">
        <x:v>戒指</x:v>
      </x:c>
      <x:c r="I146" s="73" t="str">
        <x:v>戒指</x:v>
      </x:c>
      <x:c r="J146" s="79" t="n">
        <x:v>6893</x:v>
      </x:c>
      <x:c r="K146" s="73" t="str">
        <x:v>预检通过资源／规划锁定／待入库</x:v>
      </x:c>
      <x:c r="L146" s="74" t="str">
        <x:v>装备资源库星渊龙息·无垠</x:v>
      </x:c>
    </x:row>
    <x:row r="147" ht="34" customHeight="1">
      <x:c r="A147" s="72" t="str">
        <x:v>C04-M070</x:v>
      </x:c>
      <x:c r="B147" s="73" t="str">
        <x:v>C04</x:v>
      </x:c>
      <x:c r="C147" s="73" t="str">
        <x:v>利耶尼亚海域</x:v>
      </x:c>
      <x:c r="D147" s="73" t="str">
        <x:v>XX369</x:v>
      </x:c>
      <x:c r="E147" s="73" t="str">
        <x:v>噬门泥怪</x:v>
      </x:c>
      <x:c r="F147" s="73" t="str">
        <x:v>稀有</x:v>
      </x:c>
      <x:c r="G147" s="73" t="str">
        <x:v>泥膜束带</x:v>
      </x:c>
      <x:c r="H147" s="73" t="str">
        <x:v>腰带</x:v>
      </x:c>
      <x:c r="I147" s="73" t="str">
        <x:v>腰带</x:v>
      </x:c>
      <x:c r="J147" s="79" t="n">
        <x:v>6758</x:v>
      </x:c>
      <x:c r="K147" s="73" t="str">
        <x:v>预检通过资源／规划锁定／待入库</x:v>
      </x:c>
      <x:c r="L147" s="74" t="str">
        <x:v>装备资源库星渊龙息·星痕</x:v>
      </x:c>
    </x:row>
    <x:row r="148" ht="34" customHeight="1">
      <x:c r="A148" s="72" t="str">
        <x:v>C04-M071</x:v>
      </x:c>
      <x:c r="B148" s="73" t="str">
        <x:v>C04</x:v>
      </x:c>
      <x:c r="C148" s="73" t="str">
        <x:v>利耶尼亚海域</x:v>
      </x:c>
      <x:c r="D148" s="73" t="str">
        <x:v>XX382</x:v>
      </x:c>
      <x:c r="E148" s="73" t="str">
        <x:v>沉渠守誓者·阿涅</x:v>
      </x:c>
      <x:c r="F148" s="73" t="str">
        <x:v>地图BOSS</x:v>
      </x:c>
      <x:c r="G148" s="73" t="str">
        <x:v>阿涅的誓渠枪</x:v>
      </x:c>
      <x:c r="H148" s="73" t="str">
        <x:v>武器</x:v>
      </x:c>
      <x:c r="I148" s="73" t="str">
        <x:v>武器</x:v>
      </x:c>
      <x:c r="J148" s="79" t="n">
        <x:v>6816</x:v>
      </x:c>
      <x:c r="K148" s="73" t="str">
        <x:v>预检通过资源／规划锁定／待入库</x:v>
      </x:c>
      <x:c r="L148" s="74" t="str">
        <x:v>装备资源库星渊龙息·渊辉</x:v>
      </x:c>
    </x:row>
    <x:row r="149" ht="34" customHeight="1">
      <x:c r="A149" s="72" t="str">
        <x:v>C04-M072</x:v>
      </x:c>
      <x:c r="B149" s="73" t="str">
        <x:v>C04</x:v>
      </x:c>
      <x:c r="C149" s="73" t="str">
        <x:v>利耶尼亚海域</x:v>
      </x:c>
      <x:c r="D149" s="73" t="str">
        <x:v>XX369</x:v>
      </x:c>
      <x:c r="E149" s="73" t="str">
        <x:v>封室水镜姬·弥洛</x:v>
      </x:c>
      <x:c r="F149" s="73" t="str">
        <x:v>地图BOSS</x:v>
      </x:c>
      <x:c r="G149" s="73" t="str">
        <x:v>弥洛镜水衣</x:v>
      </x:c>
      <x:c r="H149" s="73" t="str">
        <x:v>衣服</x:v>
      </x:c>
      <x:c r="I149" s="73" t="str">
        <x:v>男衣服（现行模板的衣服映射）</x:v>
      </x:c>
      <x:c r="J149" s="79" t="n">
        <x:v>6817</x:v>
      </x:c>
      <x:c r="K149" s="73" t="str">
        <x:v>预检通过资源／规划锁定／待入库</x:v>
      </x:c>
      <x:c r="L149" s="74" t="str">
        <x:v>按现行装备模板映射男衣服StdMode10；星渊龙息·渊辉</x:v>
      </x:c>
    </x:row>
    <x:row r="150" ht="34" customHeight="1">
      <x:c r="A150" s="72" t="str">
        <x:v>C04-M073</x:v>
      </x:c>
      <x:c r="B150" s="73" t="str">
        <x:v>C04</x:v>
      </x:c>
      <x:c r="C150" s="73" t="str">
        <x:v>利耶尼亚海域</x:v>
      </x:c>
      <x:c r="D150" s="73" t="str">
        <x:v>XX369</x:v>
      </x:c>
      <x:c r="E150" s="73" t="str">
        <x:v>闭潮王·莱弥恩</x:v>
      </x:c>
      <x:c r="F150" s="73" t="str">
        <x:v>守关BOSS</x:v>
      </x:c>
      <x:c r="G150" s="73" t="str">
        <x:v>莱弥恩的封湖巨剑</x:v>
      </x:c>
      <x:c r="H150" s="73" t="str">
        <x:v>武器</x:v>
      </x:c>
      <x:c r="I150" s="73" t="str">
        <x:v>武器</x:v>
      </x:c>
      <x:c r="J150" s="79" t="n">
        <x:v>6851</x:v>
      </x:c>
      <x:c r="K150" s="73" t="str">
        <x:v>预检通过资源／规划锁定／待入库</x:v>
      </x:c>
      <x:c r="L150" s="74" t="str">
        <x:v>装备资源库星渊龙息·天穹</x:v>
      </x:c>
    </x:row>
    <x:row r="151" ht="34" customHeight="1">
      <x:c r="A151" s="72" t="str">
        <x:v>C05-M001</x:v>
      </x:c>
      <x:c r="B151" s="73" t="str">
        <x:v>C05</x:v>
      </x:c>
      <x:c r="C151" s="73" t="str">
        <x:v>湖之利耶尼亚</x:v>
      </x:c>
      <x:c r="D151" s="73" t="str">
        <x:v>XX338</x:v>
      </x:c>
      <x:c r="E151" s="73" t="str">
        <x:v>雾汐游魂</x:v>
      </x:c>
      <x:c r="F151" s="73" t="str">
        <x:v>普通</x:v>
      </x:c>
      <x:c r="G151" s="73" t="str">
        <x:v>雾汐踏波履</x:v>
      </x:c>
      <x:c r="H151" s="73" t="str">
        <x:v>鞋子</x:v>
      </x:c>
      <x:c r="I151" s="73" t="str">
        <x:v>鞋子</x:v>
      </x:c>
      <x:c r="J151" s="79" t="n">
        <x:v>6862</x:v>
      </x:c>
      <x:c r="K151" s="73" t="str">
        <x:v>预检通过资源／规划锁定／待入库</x:v>
      </x:c>
      <x:c r="L151" s="74" t="str">
        <x:v>装备资源库星渊龙息·天穹</x:v>
      </x:c>
    </x:row>
    <x:row r="152" ht="34" customHeight="1">
      <x:c r="A152" s="72" t="str">
        <x:v>C05-M002</x:v>
      </x:c>
      <x:c r="B152" s="73" t="str">
        <x:v>C05</x:v>
      </x:c>
      <x:c r="C152" s="73" t="str">
        <x:v>湖之利耶尼亚</x:v>
      </x:c>
      <x:c r="D152" s="73" t="str">
        <x:v>XX338</x:v>
      </x:c>
      <x:c r="E152" s="73" t="str">
        <x:v>水庭苔甲蟹</x:v>
      </x:c>
      <x:c r="F152" s="73" t="str">
        <x:v>普通</x:v>
      </x:c>
      <x:c r="G152" s="73" t="str">
        <x:v>苔纹潮壳盾</x:v>
      </x:c>
      <x:c r="H152" s="73" t="str">
        <x:v>盾牌</x:v>
      </x:c>
      <x:c r="I152" s="73" t="str">
        <x:v>盾牌</x:v>
      </x:c>
      <x:c r="J152" s="79" t="n">
        <x:v>6825</x:v>
      </x:c>
      <x:c r="K152" s="73" t="str">
        <x:v>预检通过资源／规划锁定／待入库</x:v>
      </x:c>
      <x:c r="L152" s="74" t="str">
        <x:v>装备资源库星渊龙息·渊辉</x:v>
      </x:c>
    </x:row>
    <x:row r="153" ht="34" customHeight="1">
      <x:c r="A153" s="72" t="str">
        <x:v>C05-M003</x:v>
      </x:c>
      <x:c r="B153" s="73" t="str">
        <x:v>C05</x:v>
      </x:c>
      <x:c r="C153" s="73" t="str">
        <x:v>湖之利耶尼亚</x:v>
      </x:c>
      <x:c r="D153" s="73" t="str">
        <x:v>XX339</x:v>
      </x:c>
      <x:c r="E153" s="73" t="str">
        <x:v>月雾提灯侍</x:v>
      </x:c>
      <x:c r="F153" s="73" t="str">
        <x:v>普通</x:v>
      </x:c>
      <x:c r="G153" s="73" t="str">
        <x:v>月翳提灯笠</x:v>
      </x:c>
      <x:c r="H153" s="73" t="str">
        <x:v>斗笠</x:v>
      </x:c>
      <x:c r="I153" s="73" t="str">
        <x:v>面巾（位置13，对应斗笠）</x:v>
      </x:c>
      <x:c r="J153" s="80"/>
      <x:c r="K153" s="73" t="str">
        <x:v>缺斗笠来源码</x:v>
      </x:c>
      <x:c r="L153" s="74" t="str">
        <x:v>需补StdMode16/位置13的三库同码资源</x:v>
      </x:c>
    </x:row>
    <x:row r="154" ht="34" customHeight="1">
      <x:c r="A154" s="72" t="str">
        <x:v>C05-M004</x:v>
      </x:c>
      <x:c r="B154" s="73" t="str">
        <x:v>C05</x:v>
      </x:c>
      <x:c r="C154" s="73" t="str">
        <x:v>湖之利耶尼亚</x:v>
      </x:c>
      <x:c r="D154" s="73" t="str">
        <x:v>XX339</x:v>
      </x:c>
      <x:c r="E154" s="73" t="str">
        <x:v>回廊凝露蛾</x:v>
      </x:c>
      <x:c r="F154" s="73" t="str">
        <x:v>普通</x:v>
      </x:c>
      <x:c r="G154" s="73" t="str">
        <x:v>凝露蛾月坠</x:v>
      </x:c>
      <x:c r="H154" s="73" t="str">
        <x:v>项链</x:v>
      </x:c>
      <x:c r="I154" s="73" t="str">
        <x:v>项链</x:v>
      </x:c>
      <x:c r="J154" s="79" t="n">
        <x:v>6926</x:v>
      </x:c>
      <x:c r="K154" s="73" t="str">
        <x:v>预检通过资源／规划锁定／待入库</x:v>
      </x:c>
      <x:c r="L154" s="74" t="str">
        <x:v>装备资源库翠焰冥契·幽焰</x:v>
      </x:c>
    </x:row>
    <x:row r="155" ht="34" customHeight="1">
      <x:c r="A155" s="72" t="str">
        <x:v>C05-M005</x:v>
      </x:c>
      <x:c r="B155" s="73" t="str">
        <x:v>C05</x:v>
      </x:c>
      <x:c r="C155" s="73" t="str">
        <x:v>湖之利耶尼亚</x:v>
      </x:c>
      <x:c r="D155" s="73" t="str">
        <x:v>XX331</x:v>
      </x:c>
      <x:c r="E155" s="73" t="str">
        <x:v>静月执盏者</x:v>
      </x:c>
      <x:c r="F155" s="73" t="str">
        <x:v>普通</x:v>
      </x:c>
      <x:c r="G155" s="73" t="str">
        <x:v>静盏银纹镯</x:v>
      </x:c>
      <x:c r="H155" s="73" t="str">
        <x:v>手镯</x:v>
      </x:c>
      <x:c r="I155" s="73" t="str">
        <x:v>手镯</x:v>
      </x:c>
      <x:c r="J155" s="79" t="n">
        <x:v>6892</x:v>
      </x:c>
      <x:c r="K155" s="73" t="str">
        <x:v>预检通过资源／规划锁定／待入库</x:v>
      </x:c>
      <x:c r="L155" s="74" t="str">
        <x:v>装备资源库星渊龙息·无垠</x:v>
      </x:c>
    </x:row>
    <x:row r="156" ht="34" customHeight="1">
      <x:c r="A156" s="72" t="str">
        <x:v>C05-M006</x:v>
      </x:c>
      <x:c r="B156" s="73" t="str">
        <x:v>C05</x:v>
      </x:c>
      <x:c r="C156" s="73" t="str">
        <x:v>湖之利耶尼亚</x:v>
      </x:c>
      <x:c r="D156" s="73" t="str">
        <x:v>XX331</x:v>
      </x:c>
      <x:c r="E156" s="73" t="str">
        <x:v>祭庭涟影</x:v>
      </x:c>
      <x:c r="F156" s="73" t="str">
        <x:v>普通</x:v>
      </x:c>
      <x:c r="G156" s="73" t="str">
        <x:v>涟影回波戒</x:v>
      </x:c>
      <x:c r="H156" s="73" t="str">
        <x:v>戒指</x:v>
      </x:c>
      <x:c r="I156" s="73" t="str">
        <x:v>戒指</x:v>
      </x:c>
      <x:c r="J156" s="79" t="n">
        <x:v>6928</x:v>
      </x:c>
      <x:c r="K156" s="73" t="str">
        <x:v>预检通过资源／规划锁定／待入库</x:v>
      </x:c>
      <x:c r="L156" s="74" t="str">
        <x:v>装备资源库翠焰冥契·幽焰</x:v>
      </x:c>
    </x:row>
    <x:row r="157" ht="34" customHeight="1">
      <x:c r="A157" s="72" t="str">
        <x:v>C05-M007</x:v>
      </x:c>
      <x:c r="B157" s="73" t="str">
        <x:v>C05</x:v>
      </x:c>
      <x:c r="C157" s="73" t="str">
        <x:v>湖之利耶尼亚</x:v>
      </x:c>
      <x:c r="D157" s="73" t="str">
        <x:v>XX338</x:v>
      </x:c>
      <x:c r="E157" s="73" t="str">
        <x:v>银雾汲月兽</x:v>
      </x:c>
      <x:c r="F157" s="73" t="str">
        <x:v>稀有</x:v>
      </x:c>
      <x:c r="G157" s="73" t="str">
        <x:v>汲月雾绦</x:v>
      </x:c>
      <x:c r="H157" s="73" t="str">
        <x:v>腰带</x:v>
      </x:c>
      <x:c r="I157" s="73" t="str">
        <x:v>腰带</x:v>
      </x:c>
      <x:c r="J157" s="79" t="n">
        <x:v>6793</x:v>
      </x:c>
      <x:c r="K157" s="73" t="str">
        <x:v>预检通过资源／规划锁定／待入库</x:v>
      </x:c>
      <x:c r="L157" s="74" t="str">
        <x:v>装备资源库星渊龙息·龙鳞</x:v>
      </x:c>
    </x:row>
    <x:row r="158" ht="34" customHeight="1">
      <x:c r="A158" s="72" t="str">
        <x:v>C05-M008</x:v>
      </x:c>
      <x:c r="B158" s="73" t="str">
        <x:v>C05</x:v>
      </x:c>
      <x:c r="C158" s="73" t="str">
        <x:v>湖之利耶尼亚</x:v>
      </x:c>
      <x:c r="D158" s="73" t="str">
        <x:v>XX338</x:v>
      </x:c>
      <x:c r="E158" s="73" t="str">
        <x:v>镜荷守梦灵</x:v>
      </x:c>
      <x:c r="F158" s="73" t="str">
        <x:v>稀有</x:v>
      </x:c>
      <x:c r="G158" s="73" t="str">
        <x:v>镜荷眠梦冠</x:v>
      </x:c>
      <x:c r="H158" s="73" t="str">
        <x:v>头盔</x:v>
      </x:c>
      <x:c r="I158" s="73" t="str">
        <x:v>头盔</x:v>
      </x:c>
      <x:c r="J158" s="79" t="n">
        <x:v>6924</x:v>
      </x:c>
      <x:c r="K158" s="73" t="str">
        <x:v>预检通过资源／规划锁定／待入库</x:v>
      </x:c>
      <x:c r="L158" s="74" t="str">
        <x:v>装备资源库翠焰冥契·幽焰</x:v>
      </x:c>
    </x:row>
    <x:row r="159" ht="34" customHeight="1">
      <x:c r="A159" s="72" t="str">
        <x:v>C05-M009</x:v>
      </x:c>
      <x:c r="B159" s="73" t="str">
        <x:v>C05</x:v>
      </x:c>
      <x:c r="C159" s="73" t="str">
        <x:v>湖之利耶尼亚</x:v>
      </x:c>
      <x:c r="D159" s="73" t="str">
        <x:v>XX339</x:v>
      </x:c>
      <x:c r="E159" s="73" t="str">
        <x:v>月纱回声女官</x:v>
      </x:c>
      <x:c r="F159" s="73" t="str">
        <x:v>稀有</x:v>
      </x:c>
      <x:c r="G159" s="73" t="str">
        <x:v>月纱回音章</x:v>
      </x:c>
      <x:c r="H159" s="73" t="str">
        <x:v>勋章</x:v>
      </x:c>
      <x:c r="I159" s="73" t="str">
        <x:v>勋章</x:v>
      </x:c>
      <x:c r="J159" s="79" t="n">
        <x:v>6684</x:v>
      </x:c>
      <x:c r="K159" s="73" t="str">
        <x:v>预检通过资源／规划锁定／待入库</x:v>
      </x:c>
      <x:c r="L159" s="74" t="str">
        <x:v>装备资源库血月荆棘·弑王</x:v>
      </x:c>
    </x:row>
    <x:row r="160" ht="34" customHeight="1">
      <x:c r="A160" s="72" t="str">
        <x:v>C05-M010</x:v>
      </x:c>
      <x:c r="B160" s="73" t="str">
        <x:v>C05</x:v>
      </x:c>
      <x:c r="C160" s="73" t="str">
        <x:v>湖之利耶尼亚</x:v>
      </x:c>
      <x:c r="D160" s="73" t="str">
        <x:v>XX331</x:v>
      </x:c>
      <x:c r="E160" s="73" t="str">
        <x:v>静潮祷月祭司</x:v>
      </x:c>
      <x:c r="F160" s="73" t="str">
        <x:v>稀有</x:v>
      </x:c>
      <x:c r="G160" s="73" t="str">
        <x:v>静潮祷仪袍</x:v>
      </x:c>
      <x:c r="H160" s="73" t="str">
        <x:v>衣服</x:v>
      </x:c>
      <x:c r="I160" s="73" t="str">
        <x:v>男衣服（现行模板的衣服映射）</x:v>
      </x:c>
      <x:c r="J160" s="80"/>
      <x:c r="K160" s="73" t="str">
        <x:v>缺衣服来源码</x:v>
      </x:c>
      <x:c r="L160" s="74" t="str">
        <x:v>需补男衣服StdMode10的三库同码资源；女衣服码未获准合池</x:v>
      </x:c>
    </x:row>
    <x:row r="161" ht="34" customHeight="1">
      <x:c r="A161" s="72" t="str">
        <x:v>C05-M011</x:v>
      </x:c>
      <x:c r="B161" s="73" t="str">
        <x:v>C05</x:v>
      </x:c>
      <x:c r="C161" s="73" t="str">
        <x:v>湖之利耶尼亚</x:v>
      </x:c>
      <x:c r="D161" s="73" t="str">
        <x:v>XX339</x:v>
      </x:c>
      <x:c r="E161" s="73" t="str">
        <x:v>雾冠巡庭侯</x:v>
      </x:c>
      <x:c r="F161" s="73" t="str">
        <x:v>地图BOSS</x:v>
      </x:c>
      <x:c r="G161" s="73" t="str">
        <x:v>雾冠巡庭刃</x:v>
      </x:c>
      <x:c r="H161" s="73" t="str">
        <x:v>武器</x:v>
      </x:c>
      <x:c r="I161" s="73" t="str">
        <x:v>武器</x:v>
      </x:c>
      <x:c r="J161" s="79" t="n">
        <x:v>6886</x:v>
      </x:c>
      <x:c r="K161" s="73" t="str">
        <x:v>预检通过资源／规划锁定／待入库</x:v>
      </x:c>
      <x:c r="L161" s="74" t="str">
        <x:v>装备资源库星渊龙息·无垠</x:v>
      </x:c>
    </x:row>
    <x:row r="162" ht="34" customHeight="1">
      <x:c r="A162" s="72" t="str">
        <x:v>C05-M012</x:v>
      </x:c>
      <x:c r="B162" s="73" t="str">
        <x:v>C05</x:v>
      </x:c>
      <x:c r="C162" s="73" t="str">
        <x:v>湖之利耶尼亚</x:v>
      </x:c>
      <x:c r="D162" s="73" t="str">
        <x:v>XX331</x:v>
      </x:c>
      <x:c r="E162" s="73" t="str">
        <x:v>沉月镜池圣母</x:v>
      </x:c>
      <x:c r="F162" s="73" t="str">
        <x:v>地图BOSS</x:v>
      </x:c>
      <x:c r="G162" s="73" t="str">
        <x:v>沉月镜池华服</x:v>
      </x:c>
      <x:c r="H162" s="73" t="str">
        <x:v>衣服</x:v>
      </x:c>
      <x:c r="I162" s="73" t="str">
        <x:v>男衣服（现行模板的衣服映射）</x:v>
      </x:c>
      <x:c r="J162" s="79" t="n">
        <x:v>6852</x:v>
      </x:c>
      <x:c r="K162" s="73" t="str">
        <x:v>预检通过资源／规划锁定／待入库</x:v>
      </x:c>
      <x:c r="L162" s="74" t="str">
        <x:v>按现行装备模板映射男衣服StdMode10；星渊龙息·天穹</x:v>
      </x:c>
    </x:row>
    <x:row r="163" ht="34" customHeight="1">
      <x:c r="A163" s="72" t="str">
        <x:v>C05-M013</x:v>
      </x:c>
      <x:c r="B163" s="73" t="str">
        <x:v>C05</x:v>
      </x:c>
      <x:c r="C163" s="73" t="str">
        <x:v>湖之利耶尼亚</x:v>
      </x:c>
      <x:c r="D163" s="73" t="str">
        <x:v>XX812</x:v>
      </x:c>
      <x:c r="E163" s="73" t="str">
        <x:v>碎辉穴蜥</x:v>
      </x:c>
      <x:c r="F163" s="73" t="str">
        <x:v>普通</x:v>
      </x:c>
      <x:c r="G163" s="73" t="str">
        <x:v>碎辉鳞踏靴</x:v>
      </x:c>
      <x:c r="H163" s="73" t="str">
        <x:v>鞋子</x:v>
      </x:c>
      <x:c r="I163" s="73" t="str">
        <x:v>鞋子</x:v>
      </x:c>
      <x:c r="J163" s="79" t="n">
        <x:v>6897</x:v>
      </x:c>
      <x:c r="K163" s="73" t="str">
        <x:v>预检通过资源／规划锁定／待入库</x:v>
      </x:c>
      <x:c r="L163" s="74" t="str">
        <x:v>装备资源库星渊龙息·无垠</x:v>
      </x:c>
    </x:row>
    <x:row r="164" ht="34" customHeight="1">
      <x:c r="A164" s="72" t="str">
        <x:v>C05-M014</x:v>
      </x:c>
      <x:c r="B164" s="73" t="str">
        <x:v>C05</x:v>
      </x:c>
      <x:c r="C164" s="73" t="str">
        <x:v>湖之利耶尼亚</x:v>
      </x:c>
      <x:c r="D164" s="73" t="str">
        <x:v>XX812</x:v>
      </x:c>
      <x:c r="E164" s="73" t="str">
        <x:v>遗迹刻晶奴</x:v>
      </x:c>
      <x:c r="F164" s="73" t="str">
        <x:v>普通</x:v>
      </x:c>
      <x:c r="G164" s="73" t="str">
        <x:v>遗刻晶纹镯</x:v>
      </x:c>
      <x:c r="H164" s="73" t="str">
        <x:v>手镯</x:v>
      </x:c>
      <x:c r="I164" s="73" t="str">
        <x:v>手镯</x:v>
      </x:c>
      <x:c r="J164" s="79" t="n">
        <x:v>6927</x:v>
      </x:c>
      <x:c r="K164" s="73" t="str">
        <x:v>预检通过资源／规划锁定／待入库</x:v>
      </x:c>
      <x:c r="L164" s="74" t="str">
        <x:v>装备资源库翠焰冥契·幽焰</x:v>
      </x:c>
    </x:row>
    <x:row r="165" ht="34" customHeight="1">
      <x:c r="A165" s="72" t="str">
        <x:v>C05-M015</x:v>
      </x:c>
      <x:c r="B165" s="73" t="str">
        <x:v>C05</x:v>
      </x:c>
      <x:c r="C165" s="73" t="str">
        <x:v>湖之利耶尼亚</x:v>
      </x:c>
      <x:c r="D165" s="73" t="str">
        <x:v>XX815</x:v>
      </x:c>
      <x:c r="E165" s="73" t="str">
        <x:v>晶廊折光蝶</x:v>
      </x:c>
      <x:c r="F165" s="73" t="str">
        <x:v>普通</x:v>
      </x:c>
      <x:c r="G165" s="73" t="str">
        <x:v>折光翅晶链</x:v>
      </x:c>
      <x:c r="H165" s="73" t="str">
        <x:v>项链</x:v>
      </x:c>
      <x:c r="I165" s="73" t="str">
        <x:v>项链</x:v>
      </x:c>
      <x:c r="J165" s="79" t="n">
        <x:v>6961</x:v>
      </x:c>
      <x:c r="K165" s="73" t="str">
        <x:v>预检通过资源／规划锁定／待入库</x:v>
      </x:c>
      <x:c r="L165" s="74" t="str">
        <x:v>装备资源库翠焰冥契·腐痕</x:v>
      </x:c>
    </x:row>
    <x:row r="166" ht="34" customHeight="1">
      <x:c r="A166" s="72" t="str">
        <x:v>C05-M016</x:v>
      </x:c>
      <x:c r="B166" s="73" t="str">
        <x:v>C05</x:v>
      </x:c>
      <x:c r="C166" s="73" t="str">
        <x:v>湖之利耶尼亚</x:v>
      </x:c>
      <x:c r="D166" s="73" t="str">
        <x:v>XX813</x:v>
      </x:c>
      <x:c r="E166" s="73" t="str">
        <x:v>前庭砾晶守卒</x:v>
      </x:c>
      <x:c r="F166" s="73" t="str">
        <x:v>普通</x:v>
      </x:c>
      <x:c r="G166" s="73" t="str">
        <x:v>砾晶护庭盾</x:v>
      </x:c>
      <x:c r="H166" s="73" t="str">
        <x:v>盾牌</x:v>
      </x:c>
      <x:c r="I166" s="73" t="str">
        <x:v>盾牌</x:v>
      </x:c>
      <x:c r="J166" s="79" t="n">
        <x:v>6860</x:v>
      </x:c>
      <x:c r="K166" s="73" t="str">
        <x:v>预检通过资源／规划锁定／待入库</x:v>
      </x:c>
      <x:c r="L166" s="74" t="str">
        <x:v>装备资源库星渊龙息·天穹</x:v>
      </x:c>
    </x:row>
    <x:row r="167" ht="34" customHeight="1">
      <x:c r="A167" s="72" t="str">
        <x:v>C05-M017</x:v>
      </x:c>
      <x:c r="B167" s="73" t="str">
        <x:v>C05</x:v>
      </x:c>
      <x:c r="C167" s="73" t="str">
        <x:v>湖之利耶尼亚</x:v>
      </x:c>
      <x:c r="D167" s="73" t="str">
        <x:v>XX814</x:v>
      </x:c>
      <x:c r="E167" s="73" t="str">
        <x:v>内院辉壳犬</x:v>
      </x:c>
      <x:c r="F167" s="73" t="str">
        <x:v>普通</x:v>
      </x:c>
      <x:c r="G167" s="73" t="str">
        <x:v>辉壳束腰</x:v>
      </x:c>
      <x:c r="H167" s="73" t="str">
        <x:v>腰带</x:v>
      </x:c>
      <x:c r="I167" s="73" t="str">
        <x:v>腰带</x:v>
      </x:c>
      <x:c r="J167" s="79" t="n">
        <x:v>6828</x:v>
      </x:c>
      <x:c r="K167" s="73" t="str">
        <x:v>预检通过资源／规划锁定／待入库</x:v>
      </x:c>
      <x:c r="L167" s="74" t="str">
        <x:v>装备资源库星渊龙息·渊辉</x:v>
      </x:c>
    </x:row>
    <x:row r="168" ht="34" customHeight="1">
      <x:c r="A168" s="72" t="str">
        <x:v>C05-M018</x:v>
      </x:c>
      <x:c r="B168" s="73" t="str">
        <x:v>C05</x:v>
      </x:c>
      <x:c r="C168" s="73" t="str">
        <x:v>湖之利耶尼亚</x:v>
      </x:c>
      <x:c r="D168" s="73" t="str">
        <x:v>XX816</x:v>
      </x:c>
      <x:c r="E168" s="73" t="str">
        <x:v>圣坛悬晶灵</x:v>
      </x:c>
      <x:c r="F168" s="73" t="str">
        <x:v>普通</x:v>
      </x:c>
      <x:c r="G168" s="73" t="str">
        <x:v>悬晶祭辉笠</x:v>
      </x:c>
      <x:c r="H168" s="73" t="str">
        <x:v>斗笠</x:v>
      </x:c>
      <x:c r="I168" s="73" t="str">
        <x:v>面巾（位置13，对应斗笠）</x:v>
      </x:c>
      <x:c r="J168" s="80"/>
      <x:c r="K168" s="73" t="str">
        <x:v>缺斗笠来源码</x:v>
      </x:c>
      <x:c r="L168" s="74" t="str">
        <x:v>需补StdMode16/位置13的三库同码资源</x:v>
      </x:c>
    </x:row>
    <x:row r="169" ht="34" customHeight="1">
      <x:c r="A169" s="72" t="str">
        <x:v>C05-M019</x:v>
      </x:c>
      <x:c r="B169" s="73" t="str">
        <x:v>C05</x:v>
      </x:c>
      <x:c r="C169" s="73" t="str">
        <x:v>湖之利耶尼亚</x:v>
      </x:c>
      <x:c r="D169" s="73" t="str">
        <x:v>XX812</x:v>
      </x:c>
      <x:c r="E169" s="73" t="str">
        <x:v>青曜啮辉兽</x:v>
      </x:c>
      <x:c r="F169" s="73" t="str">
        <x:v>稀有</x:v>
      </x:c>
      <x:c r="G169" s="73" t="str">
        <x:v>青曜噬光戒</x:v>
      </x:c>
      <x:c r="H169" s="73" t="str">
        <x:v>戒指</x:v>
      </x:c>
      <x:c r="I169" s="73" t="str">
        <x:v>戒指</x:v>
      </x:c>
      <x:c r="J169" s="79" t="n">
        <x:v>6963</x:v>
      </x:c>
      <x:c r="K169" s="73" t="str">
        <x:v>预检通过资源／规划锁定／待入库</x:v>
      </x:c>
      <x:c r="L169" s="74" t="str">
        <x:v>装备资源库翠焰冥契·腐痕</x:v>
      </x:c>
    </x:row>
    <x:row r="170" ht="34" customHeight="1">
      <x:c r="A170" s="72" t="str">
        <x:v>C05-M020</x:v>
      </x:c>
      <x:c r="B170" s="73" t="str">
        <x:v>C05</x:v>
      </x:c>
      <x:c r="C170" s="73" t="str">
        <x:v>湖之利耶尼亚</x:v>
      </x:c>
      <x:c r="D170" s="73" t="str">
        <x:v>XX815</x:v>
      </x:c>
      <x:c r="E170" s="73" t="str">
        <x:v>棱光长廊术士</x:v>
      </x:c>
      <x:c r="F170" s="73" t="str">
        <x:v>稀有</x:v>
      </x:c>
      <x:c r="G170" s="73" t="str">
        <x:v>棱光术冠</x:v>
      </x:c>
      <x:c r="H170" s="73" t="str">
        <x:v>头盔</x:v>
      </x:c>
      <x:c r="I170" s="73" t="str">
        <x:v>头盔</x:v>
      </x:c>
      <x:c r="J170" s="79" t="n">
        <x:v>6959</x:v>
      </x:c>
      <x:c r="K170" s="73" t="str">
        <x:v>预检通过资源／规划锁定／待入库</x:v>
      </x:c>
      <x:c r="L170" s="74" t="str">
        <x:v>装备资源库翠焰冥契·腐痕</x:v>
      </x:c>
    </x:row>
    <x:row r="171" ht="34" customHeight="1">
      <x:c r="A171" s="72" t="str">
        <x:v>C05-M021</x:v>
      </x:c>
      <x:c r="B171" s="73" t="str">
        <x:v>C05</x:v>
      </x:c>
      <x:c r="C171" s="73" t="str">
        <x:v>湖之利耶尼亚</x:v>
      </x:c>
      <x:c r="D171" s="73" t="str">
        <x:v>XX813</x:v>
      </x:c>
      <x:c r="E171" s="73" t="str">
        <x:v>学院前庭晶戟卫</x:v>
      </x:c>
      <x:c r="F171" s="73" t="str">
        <x:v>稀有</x:v>
      </x:c>
      <x:c r="G171" s="73" t="str">
        <x:v>前庭晶戟勋</x:v>
      </x:c>
      <x:c r="H171" s="73" t="str">
        <x:v>勋章</x:v>
      </x:c>
      <x:c r="I171" s="73" t="str">
        <x:v>勋章</x:v>
      </x:c>
      <x:c r="J171" s="79" t="n">
        <x:v>6719</x:v>
      </x:c>
      <x:c r="K171" s="73" t="str">
        <x:v>预检通过资源／规划锁定／待入库</x:v>
      </x:c>
      <x:c r="L171" s="74" t="str">
        <x:v>装备资源库血月荆棘·血月</x:v>
      </x:c>
    </x:row>
    <x:row r="172" ht="34" customHeight="1">
      <x:c r="A172" s="72" t="str">
        <x:v>C05-M022</x:v>
      </x:c>
      <x:c r="B172" s="73" t="str">
        <x:v>C05</x:v>
      </x:c>
      <x:c r="C172" s="73" t="str">
        <x:v>湖之利耶尼亚</x:v>
      </x:c>
      <x:c r="D172" s="73" t="str">
        <x:v>XX814</x:v>
      </x:c>
      <x:c r="E172" s="73" t="str">
        <x:v>内院辉核铸像</x:v>
      </x:c>
      <x:c r="F172" s="73" t="str">
        <x:v>稀有</x:v>
      </x:c>
      <x:c r="G172" s="73" t="str">
        <x:v>辉核铸像衣</x:v>
      </x:c>
      <x:c r="H172" s="73" t="str">
        <x:v>衣服</x:v>
      </x:c>
      <x:c r="I172" s="73" t="str">
        <x:v>男衣服（现行模板的衣服映射）</x:v>
      </x:c>
      <x:c r="J172" s="80"/>
      <x:c r="K172" s="73" t="str">
        <x:v>缺衣服来源码</x:v>
      </x:c>
      <x:c r="L172" s="74" t="str">
        <x:v>需补男衣服StdMode10的三库同码资源；女衣服码未获准合池</x:v>
      </x:c>
    </x:row>
    <x:row r="173" ht="34" customHeight="1">
      <x:c r="A173" s="72" t="str">
        <x:v>C05-M023</x:v>
      </x:c>
      <x:c r="B173" s="73" t="str">
        <x:v>C05</x:v>
      </x:c>
      <x:c r="C173" s="73" t="str">
        <x:v>湖之利耶尼亚</x:v>
      </x:c>
      <x:c r="D173" s="73" t="str">
        <x:v>XX814</x:v>
      </x:c>
      <x:c r="E173" s="73" t="str">
        <x:v>裂辉古院监</x:v>
      </x:c>
      <x:c r="F173" s="73" t="str">
        <x:v>地图BOSS</x:v>
      </x:c>
      <x:c r="G173" s="73" t="str">
        <x:v>裂辉监院长戟</x:v>
      </x:c>
      <x:c r="H173" s="73" t="str">
        <x:v>武器</x:v>
      </x:c>
      <x:c r="I173" s="73" t="str">
        <x:v>武器</x:v>
      </x:c>
      <x:c r="J173" s="80"/>
      <x:c r="K173" s="73" t="str">
        <x:v>缺武器来源码</x:v>
      </x:c>
      <x:c r="L173" s="74" t="str">
        <x:v>需补同部位Items/StateItem/DnItems三库同码资源</x:v>
      </x:c>
    </x:row>
    <x:row r="174" ht="34" customHeight="1">
      <x:c r="A174" s="72" t="str">
        <x:v>C05-M024</x:v>
      </x:c>
      <x:c r="B174" s="73" t="str">
        <x:v>C05</x:v>
      </x:c>
      <x:c r="C174" s="73" t="str">
        <x:v>湖之利耶尼亚</x:v>
      </x:c>
      <x:c r="D174" s="73" t="str">
        <x:v>XX816</x:v>
      </x:c>
      <x:c r="E174" s="73" t="str">
        <x:v>万棱圣坛龙蜥</x:v>
      </x:c>
      <x:c r="F174" s="73" t="str">
        <x:v>地图BOSS</x:v>
      </x:c>
      <x:c r="G174" s="73" t="str">
        <x:v>万棱圣坛鳞衣</x:v>
      </x:c>
      <x:c r="H174" s="73" t="str">
        <x:v>衣服</x:v>
      </x:c>
      <x:c r="I174" s="73" t="str">
        <x:v>男衣服（现行模板的衣服映射）</x:v>
      </x:c>
      <x:c r="J174" s="79" t="n">
        <x:v>6887</x:v>
      </x:c>
      <x:c r="K174" s="73" t="str">
        <x:v>预检通过资源／规划锁定／待入库</x:v>
      </x:c>
      <x:c r="L174" s="74" t="str">
        <x:v>按现行装备模板映射男衣服StdMode10；星渊龙息·无垠</x:v>
      </x:c>
    </x:row>
    <x:row r="175" ht="34" customHeight="1">
      <x:c r="A175" s="72" t="str">
        <x:v>C05-M025</x:v>
      </x:c>
      <x:c r="B175" s="73" t="str">
        <x:v>C05</x:v>
      </x:c>
      <x:c r="C175" s="73" t="str">
        <x:v>湖之利耶尼亚</x:v>
      </x:c>
      <x:c r="D175" s="73" t="str">
        <x:v>XX1053</x:v>
      </x:c>
      <x:c r="E175" s="73" t="str">
        <x:v>墨羽抄录仆</x:v>
      </x:c>
      <x:c r="F175" s="73" t="str">
        <x:v>普通</x:v>
      </x:c>
      <x:c r="G175" s="73" t="str">
        <x:v>墨羽校录笠</x:v>
      </x:c>
      <x:c r="H175" s="73" t="str">
        <x:v>斗笠</x:v>
      </x:c>
      <x:c r="I175" s="73" t="str">
        <x:v>面巾（位置13，对应斗笠）</x:v>
      </x:c>
      <x:c r="J175" s="80"/>
      <x:c r="K175" s="73" t="str">
        <x:v>缺斗笠来源码</x:v>
      </x:c>
      <x:c r="L175" s="74" t="str">
        <x:v>需补StdMode16/位置13的三库同码资源</x:v>
      </x:c>
    </x:row>
    <x:row r="176" ht="34" customHeight="1">
      <x:c r="A176" s="72" t="str">
        <x:v>C05-M026</x:v>
      </x:c>
      <x:c r="B176" s="73" t="str">
        <x:v>C05</x:v>
      </x:c>
      <x:c r="C176" s="73" t="str">
        <x:v>湖之利耶尼亚</x:v>
      </x:c>
      <x:c r="D176" s="73" t="str">
        <x:v>XX1053</x:v>
      </x:c>
      <x:c r="E176" s="73" t="str">
        <x:v>回廊试术生</x:v>
      </x:c>
      <x:c r="F176" s="73" t="str">
        <x:v>普通</x:v>
      </x:c>
      <x:c r="G176" s="73" t="str">
        <x:v>试术银规镯</x:v>
      </x:c>
      <x:c r="H176" s="73" t="str">
        <x:v>手镯</x:v>
      </x:c>
      <x:c r="I176" s="73" t="str">
        <x:v>手镯</x:v>
      </x:c>
      <x:c r="J176" s="79" t="n">
        <x:v>6962</x:v>
      </x:c>
      <x:c r="K176" s="73" t="str">
        <x:v>预检通过资源／规划锁定／待入库</x:v>
      </x:c>
      <x:c r="L176" s="74" t="str">
        <x:v>装备资源库翠焰冥契·腐痕</x:v>
      </x:c>
    </x:row>
    <x:row r="177" ht="34" customHeight="1">
      <x:c r="A177" s="72" t="str">
        <x:v>C05-M027</x:v>
      </x:c>
      <x:c r="B177" s="73" t="str">
        <x:v>C05</x:v>
      </x:c>
      <x:c r="C177" s="73" t="str">
        <x:v>湖之利耶尼亚</x:v>
      </x:c>
      <x:c r="D177" s="73" t="str">
        <x:v>XX1060</x:v>
      </x:c>
      <x:c r="E177" s="73" t="str">
        <x:v>封印粉笔灵</x:v>
      </x:c>
      <x:c r="F177" s="73" t="str">
        <x:v>普通</x:v>
      </x:c>
      <x:c r="G177" s="73" t="str">
        <x:v>缄印粉屑戒</x:v>
      </x:c>
      <x:c r="H177" s="73" t="str">
        <x:v>戒指</x:v>
      </x:c>
      <x:c r="I177" s="73" t="str">
        <x:v>戒指</x:v>
      </x:c>
      <x:c r="J177" s="79" t="n">
        <x:v>6998</x:v>
      </x:c>
      <x:c r="K177" s="73" t="str">
        <x:v>预检通过资源／规划锁定／待入库</x:v>
      </x:c>
      <x:c r="L177" s="74" t="str">
        <x:v>装备资源库翠焰冥契·冥契</x:v>
      </x:c>
    </x:row>
    <x:row r="178" ht="34" customHeight="1">
      <x:c r="A178" s="72" t="str">
        <x:v>C05-M028</x:v>
      </x:c>
      <x:c r="B178" s="73" t="str">
        <x:v>C05</x:v>
      </x:c>
      <x:c r="C178" s="73" t="str">
        <x:v>湖之利耶尼亚</x:v>
      </x:c>
      <x:c r="D178" s="73" t="str">
        <x:v>XX1060</x:v>
      </x:c>
      <x:c r="E178" s="73" t="str">
        <x:v>讲堂缄咒像</x:v>
      </x:c>
      <x:c r="F178" s="73" t="str">
        <x:v>普通</x:v>
      </x:c>
      <x:c r="G178" s="73" t="str">
        <x:v>缄咒讲台盾</x:v>
      </x:c>
      <x:c r="H178" s="73" t="str">
        <x:v>盾牌</x:v>
      </x:c>
      <x:c r="I178" s="73" t="str">
        <x:v>盾牌</x:v>
      </x:c>
      <x:c r="J178" s="79" t="n">
        <x:v>6895</x:v>
      </x:c>
      <x:c r="K178" s="73" t="str">
        <x:v>预检通过资源／规划锁定／待入库</x:v>
      </x:c>
      <x:c r="L178" s="74" t="str">
        <x:v>装备资源库星渊龙息·无垠</x:v>
      </x:c>
    </x:row>
    <x:row r="179" ht="34" customHeight="1">
      <x:c r="A179" s="72" t="str">
        <x:v>C05-M029</x:v>
      </x:c>
      <x:c r="B179" s="73" t="str">
        <x:v>C05</x:v>
      </x:c>
      <x:c r="C179" s="73" t="str">
        <x:v>湖之利耶尼亚</x:v>
      </x:c>
      <x:c r="D179" s="73" t="str">
        <x:v>XX1058</x:v>
      </x:c>
      <x:c r="E179" s="73" t="str">
        <x:v>密室卷轴蠹</x:v>
      </x:c>
      <x:c r="F179" s="73" t="str">
        <x:v>普通</x:v>
      </x:c>
      <x:c r="G179" s="73" t="str">
        <x:v>卷蠹轻步履</x:v>
      </x:c>
      <x:c r="H179" s="73" t="str">
        <x:v>鞋子</x:v>
      </x:c>
      <x:c r="I179" s="73" t="str">
        <x:v>鞋子</x:v>
      </x:c>
      <x:c r="J179" s="79" t="n">
        <x:v>6932</x:v>
      </x:c>
      <x:c r="K179" s="73" t="str">
        <x:v>预检通过资源／规划锁定／待入库</x:v>
      </x:c>
      <x:c r="L179" s="74" t="str">
        <x:v>装备资源库翠焰冥契·幽焰</x:v>
      </x:c>
    </x:row>
    <x:row r="180" ht="34" customHeight="1">
      <x:c r="A180" s="72" t="str">
        <x:v>C05-M030</x:v>
      </x:c>
      <x:c r="B180" s="73" t="str">
        <x:v>C05</x:v>
      </x:c>
      <x:c r="C180" s="73" t="str">
        <x:v>湖之利耶尼亚</x:v>
      </x:c>
      <x:c r="D180" s="73" t="str">
        <x:v>XX1058</x:v>
      </x:c>
      <x:c r="E180" s="73" t="str">
        <x:v>学院锁页卫</x:v>
      </x:c>
      <x:c r="F180" s="73" t="str">
        <x:v>普通</x:v>
      </x:c>
      <x:c r="G180" s="73" t="str">
        <x:v>锁页秘文链</x:v>
      </x:c>
      <x:c r="H180" s="73" t="str">
        <x:v>项链</x:v>
      </x:c>
      <x:c r="I180" s="73" t="str">
        <x:v>项链</x:v>
      </x:c>
      <x:c r="J180" s="79" t="n">
        <x:v>6996</x:v>
      </x:c>
      <x:c r="K180" s="73" t="str">
        <x:v>预检通过资源／规划锁定／待入库</x:v>
      </x:c>
      <x:c r="L180" s="74" t="str">
        <x:v>装备资源库翠焰冥契·冥契</x:v>
      </x:c>
    </x:row>
    <x:row r="181" ht="34" customHeight="1">
      <x:c r="A181" s="72" t="str">
        <x:v>C05-M031</x:v>
      </x:c>
      <x:c r="B181" s="73" t="str">
        <x:v>C05</x:v>
      </x:c>
      <x:c r="C181" s="73" t="str">
        <x:v>湖之利耶尼亚</x:v>
      </x:c>
      <x:c r="D181" s="73" t="str">
        <x:v>XX1053</x:v>
      </x:c>
      <x:c r="E181" s="73" t="str">
        <x:v>银规巡课官</x:v>
      </x:c>
      <x:c r="F181" s="73" t="str">
        <x:v>稀有</x:v>
      </x:c>
      <x:c r="G181" s="73" t="str">
        <x:v>银规巡课束带</x:v>
      </x:c>
      <x:c r="H181" s="73" t="str">
        <x:v>腰带</x:v>
      </x:c>
      <x:c r="I181" s="73" t="str">
        <x:v>腰带</x:v>
      </x:c>
      <x:c r="J181" s="79" t="n">
        <x:v>6863</x:v>
      </x:c>
      <x:c r="K181" s="73" t="str">
        <x:v>预检通过资源／规划锁定／待入库</x:v>
      </x:c>
      <x:c r="L181" s="74" t="str">
        <x:v>装备资源库星渊龙息·天穹</x:v>
      </x:c>
    </x:row>
    <x:row r="182" ht="34" customHeight="1">
      <x:c r="A182" s="72" t="str">
        <x:v>C05-M032</x:v>
      </x:c>
      <x:c r="B182" s="73" t="str">
        <x:v>C05</x:v>
      </x:c>
      <x:c r="C182" s="73" t="str">
        <x:v>湖之利耶尼亚</x:v>
      </x:c>
      <x:c r="D182" s="73" t="str">
        <x:v>XX1060</x:v>
      </x:c>
      <x:c r="E182" s="73" t="str">
        <x:v>封讲禁声师</x:v>
      </x:c>
      <x:c r="F182" s="73" t="str">
        <x:v>稀有</x:v>
      </x:c>
      <x:c r="G182" s="73" t="str">
        <x:v>禁声讲师冠</x:v>
      </x:c>
      <x:c r="H182" s="73" t="str">
        <x:v>头盔</x:v>
      </x:c>
      <x:c r="I182" s="73" t="str">
        <x:v>头盔</x:v>
      </x:c>
      <x:c r="J182" s="79" t="n">
        <x:v>6994</x:v>
      </x:c>
      <x:c r="K182" s="73" t="str">
        <x:v>预检通过资源／规划锁定／待入库</x:v>
      </x:c>
      <x:c r="L182" s="74" t="str">
        <x:v>装备资源库翠焰冥契·冥契</x:v>
      </x:c>
    </x:row>
    <x:row r="183" ht="34" customHeight="1">
      <x:c r="A183" s="72" t="str">
        <x:v>C05-M033</x:v>
      </x:c>
      <x:c r="B183" s="73" t="str">
        <x:v>C05</x:v>
      </x:c>
      <x:c r="C183" s="73" t="str">
        <x:v>湖之利耶尼亚</x:v>
      </x:c>
      <x:c r="D183" s="73" t="str">
        <x:v>XX1058</x:v>
      </x:c>
      <x:c r="E183" s="73" t="str">
        <x:v>密室倒书客</x:v>
      </x:c>
      <x:c r="F183" s="73" t="str">
        <x:v>稀有</x:v>
      </x:c>
      <x:c r="G183" s="73" t="str">
        <x:v>倒书客勋章</x:v>
      </x:c>
      <x:c r="H183" s="73" t="str">
        <x:v>勋章</x:v>
      </x:c>
      <x:c r="I183" s="73" t="str">
        <x:v>勋章</x:v>
      </x:c>
      <x:c r="J183" s="79" t="n">
        <x:v>6754</x:v>
      </x:c>
      <x:c r="K183" s="73" t="str">
        <x:v>预检通过资源／规划锁定／待入库</x:v>
      </x:c>
      <x:c r="L183" s="74" t="str">
        <x:v>装备资源库星渊龙息·星痕</x:v>
      </x:c>
    </x:row>
    <x:row r="184" ht="34" customHeight="1">
      <x:c r="A184" s="72" t="str">
        <x:v>C05-M034</x:v>
      </x:c>
      <x:c r="B184" s="73" t="str">
        <x:v>C05</x:v>
      </x:c>
      <x:c r="C184" s="73" t="str">
        <x:v>湖之利耶尼亚</x:v>
      </x:c>
      <x:c r="D184" s="73" t="str">
        <x:v>XX1058</x:v>
      </x:c>
      <x:c r="E184" s="73" t="str">
        <x:v>星墨活页兽</x:v>
      </x:c>
      <x:c r="F184" s="73" t="str">
        <x:v>稀有</x:v>
      </x:c>
      <x:c r="G184" s="73" t="str">
        <x:v>星墨活页袍</x:v>
      </x:c>
      <x:c r="H184" s="73" t="str">
        <x:v>衣服</x:v>
      </x:c>
      <x:c r="I184" s="73" t="str">
        <x:v>男衣服（现行模板的衣服映射）</x:v>
      </x:c>
      <x:c r="J184" s="80"/>
      <x:c r="K184" s="73" t="str">
        <x:v>缺衣服来源码</x:v>
      </x:c>
      <x:c r="L184" s="74" t="str">
        <x:v>需补男衣服StdMode10的三库同码资源；女衣服码未获准合池</x:v>
      </x:c>
    </x:row>
    <x:row r="185" ht="34" customHeight="1">
      <x:c r="A185" s="72" t="str">
        <x:v>C05-M035</x:v>
      </x:c>
      <x:c r="B185" s="73" t="str">
        <x:v>C05</x:v>
      </x:c>
      <x:c r="C185" s="73" t="str">
        <x:v>湖之利耶尼亚</x:v>
      </x:c>
      <x:c r="D185" s="73" t="str">
        <x:v>XX1060</x:v>
      </x:c>
      <x:c r="E185" s="73" t="str">
        <x:v>七印讲堂监</x:v>
      </x:c>
      <x:c r="F185" s="73" t="str">
        <x:v>地图BOSS</x:v>
      </x:c>
      <x:c r="G185" s="73" t="str">
        <x:v>七印讲堂法杖</x:v>
      </x:c>
      <x:c r="H185" s="73" t="str">
        <x:v>武器</x:v>
      </x:c>
      <x:c r="I185" s="73" t="str">
        <x:v>武器</x:v>
      </x:c>
      <x:c r="J185" s="80"/>
      <x:c r="K185" s="73" t="str">
        <x:v>缺武器来源码</x:v>
      </x:c>
      <x:c r="L185" s="74" t="str">
        <x:v>需补同部位Items/StateItem/DnItems三库同码资源</x:v>
      </x:c>
    </x:row>
    <x:row r="186" ht="34" customHeight="1">
      <x:c r="A186" s="72" t="str">
        <x:v>C05-M036</x:v>
      </x:c>
      <x:c r="B186" s="73" t="str">
        <x:v>C05</x:v>
      </x:c>
      <x:c r="C186" s="73" t="str">
        <x:v>湖之利耶尼亚</x:v>
      </x:c>
      <x:c r="D186" s="73" t="str">
        <x:v>XX1058</x:v>
      </x:c>
      <x:c r="E186" s="73" t="str">
        <x:v>逆页密室导师</x:v>
      </x:c>
      <x:c r="F186" s="73" t="str">
        <x:v>地图BOSS</x:v>
      </x:c>
      <x:c r="G186" s="73" t="str">
        <x:v>逆页导师长衣</x:v>
      </x:c>
      <x:c r="H186" s="73" t="str">
        <x:v>衣服</x:v>
      </x:c>
      <x:c r="I186" s="73" t="str">
        <x:v>男衣服（现行模板的衣服映射）</x:v>
      </x:c>
      <x:c r="J186" s="79" t="n">
        <x:v>6922</x:v>
      </x:c>
      <x:c r="K186" s="73" t="str">
        <x:v>预检通过资源／规划锁定／待入库</x:v>
      </x:c>
      <x:c r="L186" s="74" t="str">
        <x:v>按现行装备模板映射男衣服StdMode10；翠焰冥契·幽焰</x:v>
      </x:c>
    </x:row>
    <x:row r="187" ht="34" customHeight="1">
      <x:c r="A187" s="72" t="str">
        <x:v>C05-M037</x:v>
      </x:c>
      <x:c r="B187" s="73" t="str">
        <x:v>C05</x:v>
      </x:c>
      <x:c r="C187" s="73" t="str">
        <x:v>湖之利耶尼亚</x:v>
      </x:c>
      <x:c r="D187" s="73" t="str">
        <x:v>XX1063</x:v>
      </x:c>
      <x:c r="E187" s="73" t="str">
        <x:v>月尘理卷童</x:v>
      </x:c>
      <x:c r="F187" s="73" t="str">
        <x:v>普通</x:v>
      </x:c>
      <x:c r="G187" s="73" t="str">
        <x:v>月尘理卷履</x:v>
      </x:c>
      <x:c r="H187" s="73" t="str">
        <x:v>鞋子</x:v>
      </x:c>
      <x:c r="I187" s="73" t="str">
        <x:v>鞋子</x:v>
      </x:c>
      <x:c r="J187" s="79" t="n">
        <x:v>6967</x:v>
      </x:c>
      <x:c r="K187" s="73" t="str">
        <x:v>预检通过资源／规划锁定／待入库</x:v>
      </x:c>
      <x:c r="L187" s="74" t="str">
        <x:v>装备资源库翠焰冥契·腐痕</x:v>
      </x:c>
    </x:row>
    <x:row r="188" ht="34" customHeight="1">
      <x:c r="A188" s="72" t="str">
        <x:v>C05-M038</x:v>
      </x:c>
      <x:c r="B188" s="73" t="str">
        <x:v>C05</x:v>
      </x:c>
      <x:c r="C188" s="73" t="str">
        <x:v>湖之利耶尼亚</x:v>
      </x:c>
      <x:c r="D188" s="73" t="str">
        <x:v>XX1063</x:v>
      </x:c>
      <x:c r="E188" s="73" t="str">
        <x:v>银页栖书鸦</x:v>
      </x:c>
      <x:c r="F188" s="73" t="str">
        <x:v>普通</x:v>
      </x:c>
      <x:c r="G188" s="73" t="str">
        <x:v>银页书鸦笠</x:v>
      </x:c>
      <x:c r="H188" s="73" t="str">
        <x:v>斗笠</x:v>
      </x:c>
      <x:c r="I188" s="73" t="str">
        <x:v>面巾（位置13，对应斗笠）</x:v>
      </x:c>
      <x:c r="J188" s="80"/>
      <x:c r="K188" s="73" t="str">
        <x:v>缺斗笠来源码</x:v>
      </x:c>
      <x:c r="L188" s="74" t="str">
        <x:v>需补StdMode16/位置13的三库同码资源</x:v>
      </x:c>
    </x:row>
    <x:row r="189" ht="34" customHeight="1">
      <x:c r="A189" s="72" t="str">
        <x:v>C05-M039</x:v>
      </x:c>
      <x:c r="B189" s="73" t="str">
        <x:v>C05</x:v>
      </x:c>
      <x:c r="C189" s="73" t="str">
        <x:v>湖之利耶尼亚</x:v>
      </x:c>
      <x:c r="D189" s="73" t="str">
        <x:v>XX1065</x:v>
      </x:c>
      <x:c r="E189" s="73" t="str">
        <x:v>禁书噤语灯</x:v>
      </x:c>
      <x:c r="F189" s="73" t="str">
        <x:v>普通</x:v>
      </x:c>
      <x:c r="G189" s="73" t="str">
        <x:v>噤语灯芯坠</x:v>
      </x:c>
      <x:c r="H189" s="73" t="str">
        <x:v>项链</x:v>
      </x:c>
      <x:c r="I189" s="73" t="str">
        <x:v>项链</x:v>
      </x:c>
      <x:c r="J189" s="79" t="n">
        <x:v>7031</x:v>
      </x:c>
      <x:c r="K189" s="73" t="str">
        <x:v>预检通过资源／规划锁定／待入库</x:v>
      </x:c>
      <x:c r="L189" s="74" t="str">
        <x:v>装备资源库翠焰冥契·灾厄</x:v>
      </x:c>
    </x:row>
    <x:row r="190" ht="34" customHeight="1">
      <x:c r="A190" s="72" t="str">
        <x:v>C05-M040</x:v>
      </x:c>
      <x:c r="B190" s="73" t="str">
        <x:v>C05</x:v>
      </x:c>
      <x:c r="C190" s="73" t="str">
        <x:v>湖之利耶尼亚</x:v>
      </x:c>
      <x:c r="D190" s="73" t="str">
        <x:v>XX1065</x:v>
      </x:c>
      <x:c r="E190" s="73" t="str">
        <x:v>回廊巡卷傀</x:v>
      </x:c>
      <x:c r="F190" s="73" t="str">
        <x:v>普通</x:v>
      </x:c>
      <x:c r="G190" s="73" t="str">
        <x:v>巡卷傀书盾</x:v>
      </x:c>
      <x:c r="H190" s="73" t="str">
        <x:v>盾牌</x:v>
      </x:c>
      <x:c r="I190" s="73" t="str">
        <x:v>盾牌</x:v>
      </x:c>
      <x:c r="J190" s="79" t="n">
        <x:v>6930</x:v>
      </x:c>
      <x:c r="K190" s="73" t="str">
        <x:v>预检通过资源／规划锁定／待入库</x:v>
      </x:c>
      <x:c r="L190" s="74" t="str">
        <x:v>装备资源库翠焰冥契·幽焰</x:v>
      </x:c>
    </x:row>
    <x:row r="191" ht="34" customHeight="1">
      <x:c r="A191" s="72" t="str">
        <x:v>C05-M041</x:v>
      </x:c>
      <x:c r="B191" s="73" t="str">
        <x:v>C05</x:v>
      </x:c>
      <x:c r="C191" s="73" t="str">
        <x:v>湖之利耶尼亚</x:v>
      </x:c>
      <x:c r="D191" s="73" t="str">
        <x:v>XX1066</x:v>
      </x:c>
      <x:c r="E191" s="73" t="str">
        <x:v>藏书室墨潮蛭</x:v>
      </x:c>
      <x:c r="F191" s="73" t="str">
        <x:v>普通</x:v>
      </x:c>
      <x:c r="G191" s="73" t="str">
        <x:v>墨潮藏页镯</x:v>
      </x:c>
      <x:c r="H191" s="73" t="str">
        <x:v>手镯</x:v>
      </x:c>
      <x:c r="I191" s="73" t="str">
        <x:v>手镯</x:v>
      </x:c>
      <x:c r="J191" s="79" t="n">
        <x:v>6997</x:v>
      </x:c>
      <x:c r="K191" s="73" t="str">
        <x:v>预检通过资源／规划锁定／待入库</x:v>
      </x:c>
      <x:c r="L191" s="74" t="str">
        <x:v>装备资源库翠焰冥契·冥契</x:v>
      </x:c>
    </x:row>
    <x:row r="192" ht="34" customHeight="1">
      <x:c r="A192" s="72" t="str">
        <x:v>C05-M042</x:v>
      </x:c>
      <x:c r="B192" s="73" t="str">
        <x:v>C05</x:v>
      </x:c>
      <x:c r="C192" s="73" t="str">
        <x:v>湖之利耶尼亚</x:v>
      </x:c>
      <x:c r="D192" s="73" t="str">
        <x:v>XX1066</x:v>
      </x:c>
      <x:c r="E192" s="73" t="str">
        <x:v>满月夹页灵</x:v>
      </x:c>
      <x:c r="F192" s="73" t="str">
        <x:v>普通</x:v>
      </x:c>
      <x:c r="G192" s="73" t="str">
        <x:v>夹页月痕戒</x:v>
      </x:c>
      <x:c r="H192" s="73" t="str">
        <x:v>戒指</x:v>
      </x:c>
      <x:c r="I192" s="73" t="str">
        <x:v>戒指</x:v>
      </x:c>
      <x:c r="J192" s="79" t="n">
        <x:v>7033</x:v>
      </x:c>
      <x:c r="K192" s="73" t="str">
        <x:v>预检通过资源／规划锁定／待入库</x:v>
      </x:c>
      <x:c r="L192" s="74" t="str">
        <x:v>装备资源库翠焰冥契·灾厄</x:v>
      </x:c>
    </x:row>
    <x:row r="193" ht="34" customHeight="1">
      <x:c r="A193" s="72" t="str">
        <x:v>C05-M043</x:v>
      </x:c>
      <x:c r="B193" s="73" t="str">
        <x:v>C05</x:v>
      </x:c>
      <x:c r="C193" s="73" t="str">
        <x:v>湖之利耶尼亚</x:v>
      </x:c>
      <x:c r="D193" s="73" t="str">
        <x:v>XX1063</x:v>
      </x:c>
      <x:c r="E193" s="73" t="str">
        <x:v>月相编目师</x:v>
      </x:c>
      <x:c r="F193" s="73" t="str">
        <x:v>稀有</x:v>
      </x:c>
      <x:c r="G193" s="73" t="str">
        <x:v>月相编目束带</x:v>
      </x:c>
      <x:c r="H193" s="73" t="str">
        <x:v>腰带</x:v>
      </x:c>
      <x:c r="I193" s="73" t="str">
        <x:v>腰带</x:v>
      </x:c>
      <x:c r="J193" s="79" t="n">
        <x:v>6898</x:v>
      </x:c>
      <x:c r="K193" s="73" t="str">
        <x:v>预检通过资源／规划锁定／待入库</x:v>
      </x:c>
      <x:c r="L193" s="74" t="str">
        <x:v>装备资源库星渊龙息·无垠</x:v>
      </x:c>
    </x:row>
    <x:row r="194" ht="34" customHeight="1">
      <x:c r="A194" s="72" t="str">
        <x:v>C05-M044</x:v>
      </x:c>
      <x:c r="B194" s="73" t="str">
        <x:v>C05</x:v>
      </x:c>
      <x:c r="C194" s="73" t="str">
        <x:v>湖之利耶尼亚</x:v>
      </x:c>
      <x:c r="D194" s="73" t="str">
        <x:v>XX1065</x:v>
      </x:c>
      <x:c r="E194" s="73" t="str">
        <x:v>禁页蚀字兽</x:v>
      </x:c>
      <x:c r="F194" s="73" t="str">
        <x:v>稀有</x:v>
      </x:c>
      <x:c r="G194" s="73" t="str">
        <x:v>禁页蚀字冠</x:v>
      </x:c>
      <x:c r="H194" s="73" t="str">
        <x:v>头盔</x:v>
      </x:c>
      <x:c r="I194" s="73" t="str">
        <x:v>头盔</x:v>
      </x:c>
      <x:c r="J194" s="79" t="n">
        <x:v>7029</x:v>
      </x:c>
      <x:c r="K194" s="73" t="str">
        <x:v>预检通过资源／规划锁定／待入库</x:v>
      </x:c>
      <x:c r="L194" s="74" t="str">
        <x:v>装备资源库翠焰冥契·灾厄</x:v>
      </x:c>
    </x:row>
    <x:row r="195" ht="34" customHeight="1">
      <x:c r="A195" s="72" t="str">
        <x:v>C05-M045</x:v>
      </x:c>
      <x:c r="B195" s="73" t="str">
        <x:v>C05</x:v>
      </x:c>
      <x:c r="C195" s="73" t="str">
        <x:v>湖之利耶尼亚</x:v>
      </x:c>
      <x:c r="D195" s="73" t="str">
        <x:v>XX1066</x:v>
      </x:c>
      <x:c r="E195" s="73" t="str">
        <x:v>藏卷沉思者</x:v>
      </x:c>
      <x:c r="F195" s="73" t="str">
        <x:v>稀有</x:v>
      </x:c>
      <x:c r="G195" s="73" t="str">
        <x:v>藏卷沉思章</x:v>
      </x:c>
      <x:c r="H195" s="73" t="str">
        <x:v>勋章</x:v>
      </x:c>
      <x:c r="I195" s="73" t="str">
        <x:v>勋章</x:v>
      </x:c>
      <x:c r="J195" s="79" t="n">
        <x:v>6789</x:v>
      </x:c>
      <x:c r="K195" s="73" t="str">
        <x:v>预检通过资源／规划锁定／待入库</x:v>
      </x:c>
      <x:c r="L195" s="74" t="str">
        <x:v>装备资源库星渊龙息·龙鳞</x:v>
      </x:c>
    </x:row>
    <x:row r="196" ht="34" customHeight="1">
      <x:c r="A196" s="72" t="str">
        <x:v>C05-M046</x:v>
      </x:c>
      <x:c r="B196" s="73" t="str">
        <x:v>C05</x:v>
      </x:c>
      <x:c r="C196" s="73" t="str">
        <x:v>湖之利耶尼亚</x:v>
      </x:c>
      <x:c r="D196" s="73" t="str">
        <x:v>XX1063</x:v>
      </x:c>
      <x:c r="E196" s="73" t="str">
        <x:v>银书长尾猫</x:v>
      </x:c>
      <x:c r="F196" s="73" t="str">
        <x:v>稀有</x:v>
      </x:c>
      <x:c r="G196" s="73" t="str">
        <x:v>银书尾翎袍</x:v>
      </x:c>
      <x:c r="H196" s="73" t="str">
        <x:v>衣服</x:v>
      </x:c>
      <x:c r="I196" s="73" t="str">
        <x:v>男衣服（现行模板的衣服映射）</x:v>
      </x:c>
      <x:c r="J196" s="80"/>
      <x:c r="K196" s="73" t="str">
        <x:v>缺衣服来源码</x:v>
      </x:c>
      <x:c r="L196" s="74" t="str">
        <x:v>需补男衣服StdMode10的三库同码资源；女衣服码未获准合池</x:v>
      </x:c>
    </x:row>
    <x:row r="197" ht="34" customHeight="1">
      <x:c r="A197" s="72" t="str">
        <x:v>C05-M047</x:v>
      </x:c>
      <x:c r="B197" s="73" t="str">
        <x:v>C05</x:v>
      </x:c>
      <x:c r="C197" s="73" t="str">
        <x:v>湖之利耶尼亚</x:v>
      </x:c>
      <x:c r="D197" s="73" t="str">
        <x:v>XX1065</x:v>
      </x:c>
      <x:c r="E197" s="73" t="str">
        <x:v>无声禁典司</x:v>
      </x:c>
      <x:c r="F197" s="73" t="str">
        <x:v>地图BOSS</x:v>
      </x:c>
      <x:c r="G197" s="73" t="str">
        <x:v>无声禁典刃</x:v>
      </x:c>
      <x:c r="H197" s="73" t="str">
        <x:v>武器</x:v>
      </x:c>
      <x:c r="I197" s="73" t="str">
        <x:v>武器</x:v>
      </x:c>
      <x:c r="J197" s="80"/>
      <x:c r="K197" s="73" t="str">
        <x:v>缺武器来源码</x:v>
      </x:c>
      <x:c r="L197" s="74" t="str">
        <x:v>需补同部位Items/StateItem/DnItems三库同码资源</x:v>
      </x:c>
    </x:row>
    <x:row r="198" ht="34" customHeight="1">
      <x:c r="A198" s="72" t="str">
        <x:v>C05-M048</x:v>
      </x:c>
      <x:c r="B198" s="73" t="str">
        <x:v>C05</x:v>
      </x:c>
      <x:c r="C198" s="73" t="str">
        <x:v>湖之利耶尼亚</x:v>
      </x:c>
      <x:c r="D198" s="73" t="str">
        <x:v>XX1066</x:v>
      </x:c>
      <x:c r="E198" s="73" t="str">
        <x:v>满月万卷君</x:v>
      </x:c>
      <x:c r="F198" s="73" t="str">
        <x:v>地图BOSS</x:v>
      </x:c>
      <x:c r="G198" s="73" t="str">
        <x:v>满月万卷法衣</x:v>
      </x:c>
      <x:c r="H198" s="73" t="str">
        <x:v>衣服</x:v>
      </x:c>
      <x:c r="I198" s="73" t="str">
        <x:v>男衣服（现行模板的衣服映射）</x:v>
      </x:c>
      <x:c r="J198" s="79" t="n">
        <x:v>6957</x:v>
      </x:c>
      <x:c r="K198" s="73" t="str">
        <x:v>预检通过资源／规划锁定／待入库</x:v>
      </x:c>
      <x:c r="L198" s="74" t="str">
        <x:v>按现行装备模板映射男衣服StdMode10；翠焰冥契·腐痕</x:v>
      </x:c>
    </x:row>
    <x:row r="199" ht="34" customHeight="1">
      <x:c r="A199" s="72" t="str">
        <x:v>C05-M049</x:v>
      </x:c>
      <x:c r="B199" s="73" t="str">
        <x:v>C05</x:v>
      </x:c>
      <x:c r="C199" s="73" t="str">
        <x:v>湖之利耶尼亚</x:v>
      </x:c>
      <x:c r="D199" s="73" t="str">
        <x:v>XX377</x:v>
      </x:c>
      <x:c r="E199" s="73" t="str">
        <x:v>月影鳞侍</x:v>
      </x:c>
      <x:c r="F199" s="73" t="str">
        <x:v>普通</x:v>
      </x:c>
      <x:c r="G199" s="73" t="str">
        <x:v>月影鳞侍叉</x:v>
      </x:c>
      <x:c r="H199" s="73" t="str">
        <x:v>武器</x:v>
      </x:c>
      <x:c r="I199" s="73" t="str">
        <x:v>武器</x:v>
      </x:c>
      <x:c r="J199" s="80"/>
      <x:c r="K199" s="73" t="str">
        <x:v>缺武器来源码</x:v>
      </x:c>
      <x:c r="L199" s="74" t="str">
        <x:v>需补同部位Items/StateItem/DnItems三库同码资源</x:v>
      </x:c>
    </x:row>
    <x:row r="200" ht="34" customHeight="1">
      <x:c r="A200" s="72" t="str">
        <x:v>C05-M050</x:v>
      </x:c>
      <x:c r="B200" s="73" t="str">
        <x:v>C05</x:v>
      </x:c>
      <x:c r="C200" s="73" t="str">
        <x:v>湖之利耶尼亚</x:v>
      </x:c>
      <x:c r="D200" s="73" t="str">
        <x:v>XX377</x:v>
      </x:c>
      <x:c r="E200" s="73" t="str">
        <x:v>水宫涡纹螺</x:v>
      </x:c>
      <x:c r="F200" s="73" t="str">
        <x:v>普通</x:v>
      </x:c>
      <x:c r="G200" s="73" t="str">
        <x:v>涡纹螺壳盾</x:v>
      </x:c>
      <x:c r="H200" s="73" t="str">
        <x:v>盾牌</x:v>
      </x:c>
      <x:c r="I200" s="73" t="str">
        <x:v>盾牌</x:v>
      </x:c>
      <x:c r="J200" s="79" t="n">
        <x:v>6965</x:v>
      </x:c>
      <x:c r="K200" s="73" t="str">
        <x:v>预检通过资源／规划锁定／待入库</x:v>
      </x:c>
      <x:c r="L200" s="74" t="str">
        <x:v>装备资源库翠焰冥契·腐痕</x:v>
      </x:c>
    </x:row>
    <x:row r="201" ht="34" customHeight="1">
      <x:c r="A201" s="72" t="str">
        <x:v>C05-M051</x:v>
      </x:c>
      <x:c r="B201" s="73" t="str">
        <x:v>C05</x:v>
      </x:c>
      <x:c r="C201" s="73" t="str">
        <x:v>湖之利耶尼亚</x:v>
      </x:c>
      <x:c r="D201" s="73" t="str">
        <x:v>XX378</x:v>
      </x:c>
      <x:c r="E201" s="73" t="str">
        <x:v>月华执扇女使</x:v>
      </x:c>
      <x:c r="F201" s="73" t="str">
        <x:v>普通</x:v>
      </x:c>
      <x:c r="G201" s="73" t="str">
        <x:v>月华流扇笠</x:v>
      </x:c>
      <x:c r="H201" s="73" t="str">
        <x:v>斗笠</x:v>
      </x:c>
      <x:c r="I201" s="73" t="str">
        <x:v>面巾（位置13，对应斗笠）</x:v>
      </x:c>
      <x:c r="J201" s="80"/>
      <x:c r="K201" s="73" t="str">
        <x:v>缺斗笠来源码</x:v>
      </x:c>
      <x:c r="L201" s="74" t="str">
        <x:v>需补StdMode16/位置13的三库同码资源</x:v>
      </x:c>
    </x:row>
    <x:row r="202" ht="34" customHeight="1">
      <x:c r="A202" s="72" t="str">
        <x:v>C05-M052</x:v>
      </x:c>
      <x:c r="B202" s="73" t="str">
        <x:v>C05</x:v>
      </x:c>
      <x:c r="C202" s="73" t="str">
        <x:v>湖之利耶尼亚</x:v>
      </x:c>
      <x:c r="D202" s="73" t="str">
        <x:v>XX378</x:v>
      </x:c>
      <x:c r="E202" s="73" t="str">
        <x:v>内殿浮光鲛兵</x:v>
      </x:c>
      <x:c r="F202" s="73" t="str">
        <x:v>普通</x:v>
      </x:c>
      <x:c r="G202" s="73" t="str">
        <x:v>浮光鲛纹镯</x:v>
      </x:c>
      <x:c r="H202" s="73" t="str">
        <x:v>手镯</x:v>
      </x:c>
      <x:c r="I202" s="73" t="str">
        <x:v>手镯</x:v>
      </x:c>
      <x:c r="J202" s="79" t="n">
        <x:v>7032</x:v>
      </x:c>
      <x:c r="K202" s="73" t="str">
        <x:v>预检通过资源／规划锁定／待入库</x:v>
      </x:c>
      <x:c r="L202" s="74" t="str">
        <x:v>装备资源库翠焰冥契·灾厄</x:v>
      </x:c>
    </x:row>
    <x:row r="203" ht="34" customHeight="1">
      <x:c r="A203" s="72" t="str">
        <x:v>C05-M053</x:v>
      </x:c>
      <x:c r="B203" s="73" t="str">
        <x:v>C05</x:v>
      </x:c>
      <x:c r="C203" s="73" t="str">
        <x:v>湖之利耶尼亚</x:v>
      </x:c>
      <x:c r="D203" s="73" t="str">
        <x:v>XX379</x:v>
      </x:c>
      <x:c r="E203" s="73" t="str">
        <x:v>圣殿澄潮祭从</x:v>
      </x:c>
      <x:c r="F203" s="73" t="str">
        <x:v>普通</x:v>
      </x:c>
      <x:c r="G203" s="73" t="str">
        <x:v>澄潮祭步履</x:v>
      </x:c>
      <x:c r="H203" s="73" t="str">
        <x:v>鞋子</x:v>
      </x:c>
      <x:c r="I203" s="73" t="str">
        <x:v>鞋子</x:v>
      </x:c>
      <x:c r="J203" s="79" t="n">
        <x:v>7002</x:v>
      </x:c>
      <x:c r="K203" s="73" t="str">
        <x:v>预检通过资源／规划锁定／待入库</x:v>
      </x:c>
      <x:c r="L203" s="74" t="str">
        <x:v>装备资源库翠焰冥契·冥契</x:v>
      </x:c>
    </x:row>
    <x:row r="204" ht="34" customHeight="1">
      <x:c r="A204" s="72" t="str">
        <x:v>C05-M054</x:v>
      </x:c>
      <x:c r="B204" s="73" t="str">
        <x:v>C05</x:v>
      </x:c>
      <x:c r="C204" s="73" t="str">
        <x:v>湖之利耶尼亚</x:v>
      </x:c>
      <x:c r="D204" s="73" t="str">
        <x:v>XX379</x:v>
      </x:c>
      <x:c r="E204" s="73" t="str">
        <x:v>月镜游鱼灵</x:v>
      </x:c>
      <x:c r="F204" s="73" t="str">
        <x:v>普通</x:v>
      </x:c>
      <x:c r="G204" s="73" t="str">
        <x:v>月镜游鱼戒</x:v>
      </x:c>
      <x:c r="H204" s="73" t="str">
        <x:v>戒指</x:v>
      </x:c>
      <x:c r="I204" s="73" t="str">
        <x:v>戒指</x:v>
      </x:c>
      <x:c r="J204" s="79" t="n">
        <x:v>7068</x:v>
      </x:c>
      <x:c r="K204" s="73" t="str">
        <x:v>预检通过资源／规划锁定／待入库</x:v>
      </x:c>
      <x:c r="L204" s="74" t="str">
        <x:v>装备资源库翠焰冥契·永夜</x:v>
      </x:c>
    </x:row>
    <x:row r="205" ht="34" customHeight="1">
      <x:c r="A205" s="72" t="str">
        <x:v>C05-M055</x:v>
      </x:c>
      <x:c r="B205" s="73" t="str">
        <x:v>C05</x:v>
      </x:c>
      <x:c r="C205" s="73" t="str">
        <x:v>湖之利耶尼亚</x:v>
      </x:c>
      <x:c r="D205" s="73" t="str">
        <x:v>XX377</x:v>
      </x:c>
      <x:c r="E205" s="73" t="str">
        <x:v>影潮伏宫兽</x:v>
      </x:c>
      <x:c r="F205" s="73" t="str">
        <x:v>稀有</x:v>
      </x:c>
      <x:c r="G205" s="73" t="str">
        <x:v>影潮潜宫带</x:v>
      </x:c>
      <x:c r="H205" s="73" t="str">
        <x:v>腰带</x:v>
      </x:c>
      <x:c r="I205" s="73" t="str">
        <x:v>腰带</x:v>
      </x:c>
      <x:c r="J205" s="79" t="n">
        <x:v>6933</x:v>
      </x:c>
      <x:c r="K205" s="73" t="str">
        <x:v>预检通过资源／规划锁定／待入库</x:v>
      </x:c>
      <x:c r="L205" s="74" t="str">
        <x:v>装备资源库翠焰冥契·幽焰</x:v>
      </x:c>
    </x:row>
    <x:row r="206" ht="34" customHeight="1">
      <x:c r="A206" s="72" t="str">
        <x:v>C05-M056</x:v>
      </x:c>
      <x:c r="B206" s="73" t="str">
        <x:v>C05</x:v>
      </x:c>
      <x:c r="C206" s="73" t="str">
        <x:v>湖之利耶尼亚</x:v>
      </x:c>
      <x:c r="D206" s="73" t="str">
        <x:v>XX378</x:v>
      </x:c>
      <x:c r="E206" s="73" t="str">
        <x:v>月华凝霜乐师</x:v>
      </x:c>
      <x:c r="F206" s="73" t="str">
        <x:v>稀有</x:v>
      </x:c>
      <x:c r="G206" s="73" t="str">
        <x:v>凝霜乐师冠</x:v>
      </x:c>
      <x:c r="H206" s="73" t="str">
        <x:v>头盔</x:v>
      </x:c>
      <x:c r="I206" s="73" t="str">
        <x:v>头盔</x:v>
      </x:c>
      <x:c r="J206" s="79" t="n">
        <x:v>7064</x:v>
      </x:c>
      <x:c r="K206" s="73" t="str">
        <x:v>预检通过资源／规划锁定／待入库</x:v>
      </x:c>
      <x:c r="L206" s="74" t="str">
        <x:v>装备资源库翠焰冥契·永夜</x:v>
      </x:c>
    </x:row>
    <x:row r="207" ht="34" customHeight="1">
      <x:c r="A207" s="72" t="str">
        <x:v>C05-M057</x:v>
      </x:c>
      <x:c r="B207" s="73" t="str">
        <x:v>C05</x:v>
      </x:c>
      <x:c r="C207" s="73" t="str">
        <x:v>湖之利耶尼亚</x:v>
      </x:c>
      <x:c r="D207" s="73" t="str">
        <x:v>XX379</x:v>
      </x:c>
      <x:c r="E207" s="73" t="str">
        <x:v>圣殿悬月卫</x:v>
      </x:c>
      <x:c r="F207" s="73" t="str">
        <x:v>稀有</x:v>
      </x:c>
      <x:c r="G207" s="73" t="str">
        <x:v>悬月卫潮链</x:v>
      </x:c>
      <x:c r="H207" s="73" t="str">
        <x:v>项链</x:v>
      </x:c>
      <x:c r="I207" s="73" t="str">
        <x:v>项链</x:v>
      </x:c>
      <x:c r="J207" s="79" t="n">
        <x:v>7066</x:v>
      </x:c>
      <x:c r="K207" s="73" t="str">
        <x:v>预检通过资源／规划锁定／待入库</x:v>
      </x:c>
      <x:c r="L207" s="74" t="str">
        <x:v>装备资源库翠焰冥契·永夜</x:v>
      </x:c>
    </x:row>
    <x:row r="208" ht="34" customHeight="1">
      <x:c r="A208" s="72" t="str">
        <x:v>C05-M058</x:v>
      </x:c>
      <x:c r="B208" s="73" t="str">
        <x:v>C05</x:v>
      </x:c>
      <x:c r="C208" s="73" t="str">
        <x:v>湖之利耶尼亚</x:v>
      </x:c>
      <x:c r="D208" s="73" t="str">
        <x:v>XX377</x:v>
      </x:c>
      <x:c r="E208" s="73" t="str">
        <x:v>琉潮白鳍巫</x:v>
      </x:c>
      <x:c r="F208" s="73" t="str">
        <x:v>稀有</x:v>
      </x:c>
      <x:c r="G208" s="73" t="str">
        <x:v>琉潮白鳍章</x:v>
      </x:c>
      <x:c r="H208" s="73" t="str">
        <x:v>勋章</x:v>
      </x:c>
      <x:c r="I208" s="73" t="str">
        <x:v>勋章</x:v>
      </x:c>
      <x:c r="J208" s="79" t="n">
        <x:v>6824</x:v>
      </x:c>
      <x:c r="K208" s="73" t="str">
        <x:v>预检通过资源／规划锁定／待入库</x:v>
      </x:c>
      <x:c r="L208" s="74" t="str">
        <x:v>装备资源库星渊龙息·渊辉</x:v>
      </x:c>
    </x:row>
    <x:row r="209" ht="34" customHeight="1">
      <x:c r="A209" s="72" t="str">
        <x:v>C05-M059</x:v>
      </x:c>
      <x:c r="B209" s="73" t="str">
        <x:v>C05</x:v>
      </x:c>
      <x:c r="C209" s="73" t="str">
        <x:v>湖之利耶尼亚</x:v>
      </x:c>
      <x:c r="D209" s="73" t="str">
        <x:v>XX378</x:v>
      </x:c>
      <x:c r="E209" s="73" t="str">
        <x:v>月华内殿掌灯君</x:v>
      </x:c>
      <x:c r="F209" s="73" t="str">
        <x:v>地图BOSS</x:v>
      </x:c>
      <x:c r="G209" s="73" t="str">
        <x:v>掌灯君月华衣</x:v>
      </x:c>
      <x:c r="H209" s="73" t="str">
        <x:v>衣服</x:v>
      </x:c>
      <x:c r="I209" s="73" t="str">
        <x:v>男衣服（现行模板的衣服映射）</x:v>
      </x:c>
      <x:c r="J209" s="79" t="n">
        <x:v>6992</x:v>
      </x:c>
      <x:c r="K209" s="73" t="str">
        <x:v>预检通过资源／规划锁定／待入库</x:v>
      </x:c>
      <x:c r="L209" s="74" t="str">
        <x:v>按现行装备模板映射男衣服StdMode10；翠焰冥契·冥契</x:v>
      </x:c>
    </x:row>
    <x:row r="210" ht="34" customHeight="1">
      <x:c r="A210" s="72" t="str">
        <x:v>C05-M060</x:v>
      </x:c>
      <x:c r="B210" s="73" t="str">
        <x:v>C05</x:v>
      </x:c>
      <x:c r="C210" s="73" t="str">
        <x:v>湖之利耶尼亚</x:v>
      </x:c>
      <x:c r="D210" s="73" t="str">
        <x:v>XX379</x:v>
      </x:c>
      <x:c r="E210" s="73" t="str">
        <x:v>影宫深潮王女</x:v>
      </x:c>
      <x:c r="F210" s="73" t="str">
        <x:v>地图BOSS</x:v>
      </x:c>
      <x:c r="G210" s="73" t="str">
        <x:v>深潮王女权杖</x:v>
      </x:c>
      <x:c r="H210" s="73" t="str">
        <x:v>武器</x:v>
      </x:c>
      <x:c r="I210" s="73" t="str">
        <x:v>武器</x:v>
      </x:c>
      <x:c r="J210" s="80"/>
      <x:c r="K210" s="73" t="str">
        <x:v>缺武器来源码</x:v>
      </x:c>
      <x:c r="L210" s="74" t="str">
        <x:v>需补同部位Items/StateItem/DnItems三库同码资源</x:v>
      </x:c>
    </x:row>
    <x:row r="211" ht="34" customHeight="1">
      <x:c r="A211" s="72" t="str">
        <x:v>C05-M061</x:v>
      </x:c>
      <x:c r="B211" s="73" t="str">
        <x:v>C05</x:v>
      </x:c>
      <x:c r="C211" s="73" t="str">
        <x:v>湖之利耶尼亚</x:v>
      </x:c>
      <x:c r="D211" s="73" t="str">
        <x:v>XX927</x:v>
      </x:c>
      <x:c r="E211" s="73" t="str">
        <x:v>禁域蓝焰猎犬</x:v>
      </x:c>
      <x:c r="F211" s="73" t="str">
        <x:v>普通</x:v>
      </x:c>
      <x:c r="G211" s="73" t="str">
        <x:v>蓝焰逐影履</x:v>
      </x:c>
      <x:c r="H211" s="73" t="str">
        <x:v>鞋子</x:v>
      </x:c>
      <x:c r="I211" s="73" t="str">
        <x:v>鞋子</x:v>
      </x:c>
      <x:c r="J211" s="79" t="n">
        <x:v>7037</x:v>
      </x:c>
      <x:c r="K211" s="73" t="str">
        <x:v>预检通过资源／规划锁定／待入库</x:v>
      </x:c>
      <x:c r="L211" s="74" t="str">
        <x:v>装备资源库翠焰冥契·灾厄</x:v>
      </x:c>
    </x:row>
    <x:row r="212" ht="34" customHeight="1">
      <x:c r="A212" s="72" t="str">
        <x:v>C05-M062</x:v>
      </x:c>
      <x:c r="B212" s="73" t="str">
        <x:v>C05</x:v>
      </x:c>
      <x:c r="C212" s="73" t="str">
        <x:v>湖之利耶尼亚</x:v>
      </x:c>
      <x:c r="D212" s="73" t="str">
        <x:v>XX927</x:v>
      </x:c>
      <x:c r="E212" s="73" t="str">
        <x:v>卡利亚断誓侍</x:v>
      </x:c>
      <x:c r="F212" s="73" t="str">
        <x:v>普通</x:v>
      </x:c>
      <x:c r="G212" s="73" t="str">
        <x:v>断誓侍银剑</x:v>
      </x:c>
      <x:c r="H212" s="73" t="str">
        <x:v>武器</x:v>
      </x:c>
      <x:c r="I212" s="73" t="str">
        <x:v>武器</x:v>
      </x:c>
      <x:c r="J212" s="80"/>
      <x:c r="K212" s="73" t="str">
        <x:v>缺武器来源码</x:v>
      </x:c>
      <x:c r="L212" s="74" t="str">
        <x:v>需补同部位Items/StateItem/DnItems三库同码资源</x:v>
      </x:c>
    </x:row>
    <x:row r="213" ht="34" customHeight="1">
      <x:c r="A213" s="72" t="str">
        <x:v>C05-M063</x:v>
      </x:c>
      <x:c r="B213" s="73" t="str">
        <x:v>C05</x:v>
      </x:c>
      <x:c r="C213" s="73" t="str">
        <x:v>湖之利耶尼亚</x:v>
      </x:c>
      <x:c r="D213" s="73" t="str">
        <x:v>XX925</x:v>
      </x:c>
      <x:c r="E213" s="73" t="str">
        <x:v>回廊折月傀</x:v>
      </x:c>
      <x:c r="F213" s="73" t="str">
        <x:v>普通</x:v>
      </x:c>
      <x:c r="G213" s="73" t="str">
        <x:v>折月傀镜盾</x:v>
      </x:c>
      <x:c r="H213" s="73" t="str">
        <x:v>盾牌</x:v>
      </x:c>
      <x:c r="I213" s="73" t="str">
        <x:v>盾牌</x:v>
      </x:c>
      <x:c r="J213" s="79" t="n">
        <x:v>7000</x:v>
      </x:c>
      <x:c r="K213" s="73" t="str">
        <x:v>预检通过资源／规划锁定／待入库</x:v>
      </x:c>
      <x:c r="L213" s="74" t="str">
        <x:v>装备资源库翠焰冥契·冥契</x:v>
      </x:c>
    </x:row>
    <x:row r="214" ht="34" customHeight="1">
      <x:c r="A214" s="72" t="str">
        <x:v>C05-M064</x:v>
      </x:c>
      <x:c r="B214" s="73" t="str">
        <x:v>C05</x:v>
      </x:c>
      <x:c r="C214" s="73" t="str">
        <x:v>湖之利耶尼亚</x:v>
      </x:c>
      <x:c r="D214" s="73" t="str">
        <x:v>XX926</x:v>
      </x:c>
      <x:c r="E214" s="73" t="str">
        <x:v>封印庭银纹卒</x:v>
      </x:c>
      <x:c r="F214" s="73" t="str">
        <x:v>普通</x:v>
      </x:c>
      <x:c r="G214" s="73" t="str">
        <x:v>银纹封庭镯</x:v>
      </x:c>
      <x:c r="H214" s="73" t="str">
        <x:v>手镯</x:v>
      </x:c>
      <x:c r="I214" s="73" t="str">
        <x:v>手镯</x:v>
      </x:c>
      <x:c r="J214" s="79" t="n">
        <x:v>7067</x:v>
      </x:c>
      <x:c r="K214" s="73" t="str">
        <x:v>预检通过资源／规划锁定／待入库</x:v>
      </x:c>
      <x:c r="L214" s="74" t="str">
        <x:v>装备资源库翠焰冥契·永夜</x:v>
      </x:c>
    </x:row>
    <x:row r="215" ht="34" customHeight="1">
      <x:c r="A215" s="72" t="str">
        <x:v>C05-M065</x:v>
      </x:c>
      <x:c r="B215" s="73" t="str">
        <x:v>C05</x:v>
      </x:c>
      <x:c r="C215" s="73" t="str">
        <x:v>湖之利耶尼亚</x:v>
      </x:c>
      <x:c r="D215" s="73" t="str">
        <x:v>XX923</x:v>
      </x:c>
      <x:c r="E215" s="73" t="str">
        <x:v>月蚀殿噬辉蛾</x:v>
      </x:c>
      <x:c r="F215" s="73" t="str">
        <x:v>普通</x:v>
      </x:c>
      <x:c r="G215" s="73" t="str">
        <x:v>噬辉蛾蚀月笠</x:v>
      </x:c>
      <x:c r="H215" s="73" t="str">
        <x:v>斗笠</x:v>
      </x:c>
      <x:c r="I215" s="73" t="str">
        <x:v>面巾（位置13，对应斗笠）</x:v>
      </x:c>
      <x:c r="J215" s="80"/>
      <x:c r="K215" s="73" t="str">
        <x:v>缺斗笠来源码</x:v>
      </x:c>
      <x:c r="L215" s="74" t="str">
        <x:v>需补StdMode16/位置13的三库同码资源</x:v>
      </x:c>
    </x:row>
    <x:row r="216" ht="34" customHeight="1">
      <x:c r="A216" s="72" t="str">
        <x:v>C05-M066</x:v>
      </x:c>
      <x:c r="B216" s="73" t="str">
        <x:v>C05</x:v>
      </x:c>
      <x:c r="C216" s="73" t="str">
        <x:v>湖之利耶尼亚</x:v>
      </x:c>
      <x:c r="D216" s="73" t="str">
        <x:v>XX924</x:v>
      </x:c>
      <x:c r="E216" s="73" t="str">
        <x:v>圣所守星残灵</x:v>
      </x:c>
      <x:c r="F216" s="73" t="str">
        <x:v>普通</x:v>
      </x:c>
      <x:c r="G216" s="73" t="str">
        <x:v>守星残灵戒</x:v>
      </x:c>
      <x:c r="H216" s="73" t="str">
        <x:v>戒指</x:v>
      </x:c>
      <x:c r="I216" s="73" t="str">
        <x:v>戒指</x:v>
      </x:c>
      <x:c r="J216" s="79" t="n">
        <x:v>5871</x:v>
      </x:c>
      <x:c r="K216" s="73" t="str">
        <x:v>规划锁定／旧资源待实库回读</x:v>
      </x:c>
      <x:c r="L216" s="74" t="str">
        <x:v>装备资源库黄金圣律·初誓</x:v>
      </x:c>
    </x:row>
    <x:row r="217" ht="34" customHeight="1">
      <x:c r="A217" s="72" t="str">
        <x:v>C05-M067</x:v>
      </x:c>
      <x:c r="B217" s="73" t="str">
        <x:v>C05</x:v>
      </x:c>
      <x:c r="C217" s="73" t="str">
        <x:v>湖之利耶尼亚</x:v>
      </x:c>
      <x:c r="D217" s="73" t="str">
        <x:v>XX927</x:v>
      </x:c>
      <x:c r="E217" s="73" t="str">
        <x:v>王室镜刃使</x:v>
      </x:c>
      <x:c r="F217" s="73" t="str">
        <x:v>稀有</x:v>
      </x:c>
      <x:c r="G217" s="73" t="str">
        <x:v>镜刃王室链</x:v>
      </x:c>
      <x:c r="H217" s="73" t="str">
        <x:v>项链</x:v>
      </x:c>
      <x:c r="I217" s="73" t="str">
        <x:v>项链</x:v>
      </x:c>
      <x:c r="J217" s="79" t="n">
        <x:v>5886</x:v>
      </x:c>
      <x:c r="K217" s="73" t="str">
        <x:v>规划锁定／旧资源待实库回读</x:v>
      </x:c>
      <x:c r="L217" s="74" t="str">
        <x:v>装备资源库黄金圣律·执火</x:v>
      </x:c>
    </x:row>
    <x:row r="218" ht="34" customHeight="1">
      <x:c r="A218" s="72" t="str">
        <x:v>C05-M068</x:v>
      </x:c>
      <x:c r="B218" s="73" t="str">
        <x:v>C05</x:v>
      </x:c>
      <x:c r="C218" s="73" t="str">
        <x:v>湖之利耶尼亚</x:v>
      </x:c>
      <x:c r="D218" s="73" t="str">
        <x:v>XX925</x:v>
      </x:c>
      <x:c r="E218" s="73" t="str">
        <x:v>禁域缄门法官</x:v>
      </x:c>
      <x:c r="F218" s="73" t="str">
        <x:v>稀有</x:v>
      </x:c>
      <x:c r="G218" s="73" t="str">
        <x:v>缄门法官冠</x:v>
      </x:c>
      <x:c r="H218" s="73" t="str">
        <x:v>头盔</x:v>
      </x:c>
      <x:c r="I218" s="73" t="str">
        <x:v>头盔</x:v>
      </x:c>
      <x:c r="J218" s="79" t="n">
        <x:v>5878</x:v>
      </x:c>
      <x:c r="K218" s="73" t="str">
        <x:v>规划锁定／旧资源待实库回读</x:v>
      </x:c>
      <x:c r="L218" s="74" t="str">
        <x:v>装备资源库黄金圣律·铭契</x:v>
      </x:c>
    </x:row>
    <x:row r="219" ht="34" customHeight="1">
      <x:c r="A219" s="72" t="str">
        <x:v>C05-M069</x:v>
      </x:c>
      <x:c r="B219" s="73" t="str">
        <x:v>C05</x:v>
      </x:c>
      <x:c r="C219" s="73" t="str">
        <x:v>湖之利耶尼亚</x:v>
      </x:c>
      <x:c r="D219" s="73" t="str">
        <x:v>XX926</x:v>
      </x:c>
      <x:c r="E219" s="73" t="str">
        <x:v>封庭月契巫</x:v>
      </x:c>
      <x:c r="F219" s="73" t="str">
        <x:v>稀有</x:v>
      </x:c>
      <x:c r="G219" s="73" t="str">
        <x:v>月契封印带</x:v>
      </x:c>
      <x:c r="H219" s="73" t="str">
        <x:v>腰带</x:v>
      </x:c>
      <x:c r="I219" s="73" t="str">
        <x:v>腰带</x:v>
      </x:c>
      <x:c r="J219" s="79" t="n">
        <x:v>6968</x:v>
      </x:c>
      <x:c r="K219" s="73" t="str">
        <x:v>预检通过资源／规划锁定／待入库</x:v>
      </x:c>
      <x:c r="L219" s="74" t="str">
        <x:v>装备资源库翠焰冥契·腐痕</x:v>
      </x:c>
    </x:row>
    <x:row r="220" ht="34" customHeight="1">
      <x:c r="A220" s="72" t="str">
        <x:v>C05-M070</x:v>
      </x:c>
      <x:c r="B220" s="73" t="str">
        <x:v>C05</x:v>
      </x:c>
      <x:c r="C220" s="73" t="str">
        <x:v>湖之利耶尼亚</x:v>
      </x:c>
      <x:c r="D220" s="73" t="str">
        <x:v>XX923</x:v>
      </x:c>
      <x:c r="E220" s="73" t="str">
        <x:v>密殿蚀冠兽</x:v>
      </x:c>
      <x:c r="F220" s="73" t="str">
        <x:v>稀有</x:v>
      </x:c>
      <x:c r="G220" s="73" t="str">
        <x:v>蚀冠密殿章</x:v>
      </x:c>
      <x:c r="H220" s="73" t="str">
        <x:v>勋章</x:v>
      </x:c>
      <x:c r="I220" s="73" t="str">
        <x:v>勋章</x:v>
      </x:c>
      <x:c r="J220" s="79" t="n">
        <x:v>6859</x:v>
      </x:c>
      <x:c r="K220" s="73" t="str">
        <x:v>预检通过资源／规划锁定／待入库</x:v>
      </x:c>
      <x:c r="L220" s="74" t="str">
        <x:v>装备资源库星渊龙息·天穹</x:v>
      </x:c>
    </x:row>
    <x:row r="221" ht="34" customHeight="1">
      <x:c r="A221" s="72" t="str">
        <x:v>C05-M071</x:v>
      </x:c>
      <x:c r="B221" s="73" t="str">
        <x:v>C05</x:v>
      </x:c>
      <x:c r="C221" s="73" t="str">
        <x:v>湖之利耶尼亚</x:v>
      </x:c>
      <x:c r="D221" s="73" t="str">
        <x:v>XX923</x:v>
      </x:c>
      <x:c r="E221" s="73" t="str">
        <x:v>月蚀密殿司冕</x:v>
      </x:c>
      <x:c r="F221" s="73" t="str">
        <x:v>地图BOSS</x:v>
      </x:c>
      <x:c r="G221" s="73" t="str">
        <x:v>司冕月蚀礼衣</x:v>
      </x:c>
      <x:c r="H221" s="73" t="str">
        <x:v>衣服</x:v>
      </x:c>
      <x:c r="I221" s="73" t="str">
        <x:v>男衣服（现行模板的衣服映射）</x:v>
      </x:c>
      <x:c r="J221" s="79" t="n">
        <x:v>7027</x:v>
      </x:c>
      <x:c r="K221" s="73" t="str">
        <x:v>预检通过资源／规划锁定／待入库</x:v>
      </x:c>
      <x:c r="L221" s="74" t="str">
        <x:v>按现行装备模板映射男衣服StdMode10；翠焰冥契·灾厄</x:v>
      </x:c>
    </x:row>
    <x:row r="222" ht="34" customHeight="1">
      <x:c r="A222" s="72" t="str">
        <x:v>C05-M072</x:v>
      </x:c>
      <x:c r="B222" s="73" t="str">
        <x:v>C05</x:v>
      </x:c>
      <x:c r="C222" s="73" t="str">
        <x:v>湖之利耶尼亚</x:v>
      </x:c>
      <x:c r="D222" s="73" t="str">
        <x:v>XX924</x:v>
      </x:c>
      <x:c r="E222" s="73" t="str">
        <x:v>卡利亚圣所摄政灵</x:v>
      </x:c>
      <x:c r="F222" s="73" t="str">
        <x:v>地图BOSS</x:v>
      </x:c>
      <x:c r="G222" s="73" t="str">
        <x:v>摄政灵辉杖</x:v>
      </x:c>
      <x:c r="H222" s="73" t="str">
        <x:v>武器</x:v>
      </x:c>
      <x:c r="I222" s="73" t="str">
        <x:v>武器</x:v>
      </x:c>
      <x:c r="J222" s="80"/>
      <x:c r="K222" s="73" t="str">
        <x:v>缺武器来源码</x:v>
      </x:c>
      <x:c r="L222" s="74" t="str">
        <x:v>需补同部位Items/StateItem/DnItems三库同码资源</x:v>
      </x:c>
    </x:row>
    <x:row r="223" ht="34" customHeight="1">
      <x:c r="A223" s="72" t="str">
        <x:v>C05-M073</x:v>
      </x:c>
      <x:c r="B223" s="73" t="str">
        <x:v>C05</x:v>
      </x:c>
      <x:c r="C223" s="73" t="str">
        <x:v>湖之利耶尼亚</x:v>
      </x:c>
      <x:c r="D223" s="73" t="str">
        <x:v>XX924</x:v>
      </x:c>
      <x:c r="E223" s="73" t="str">
        <x:v>寒镜终誓王</x:v>
      </x:c>
      <x:c r="F223" s="73" t="str">
        <x:v>守关BOSS</x:v>
      </x:c>
      <x:c r="G223" s="73" t="str">
        <x:v>终誓月裁剑</x:v>
      </x:c>
      <x:c r="H223" s="73" t="str">
        <x:v>武器</x:v>
      </x:c>
      <x:c r="I223" s="73" t="str">
        <x:v>武器</x:v>
      </x:c>
      <x:c r="J223" s="79" t="n">
        <x:v>6921</x:v>
      </x:c>
      <x:c r="K223" s="73" t="str">
        <x:v>预检通过资源／规划锁定／待入库</x:v>
      </x:c>
      <x:c r="L223" s="74" t="str">
        <x:v>装备资源库翠焰冥契·幽焰</x:v>
      </x:c>
    </x:row>
    <x:row r="224" ht="34" customHeight="1">
      <x:c r="A224" s="72" t="str">
        <x:v>C06-M001</x:v>
      </x:c>
      <x:c r="B224" s="73" t="str">
        <x:v>C06</x:v>
      </x:c>
      <x:c r="C224" s="73" t="str">
        <x:v>盖利德</x:v>
      </x:c>
      <x:c r="D224" s="73" t="str">
        <x:v>XX304</x:v>
      </x:c>
      <x:c r="E224" s="73" t="str">
        <x:v>熔原灰背兽</x:v>
      </x:c>
      <x:c r="F224" s="73" t="str">
        <x:v>普通</x:v>
      </x:c>
      <x:c r="G224" s="73" t="str">
        <x:v>灰背灼牙</x:v>
      </x:c>
      <x:c r="H224" s="73" t="str">
        <x:v>武器</x:v>
      </x:c>
      <x:c r="I224" s="73" t="str">
        <x:v>武器</x:v>
      </x:c>
      <x:c r="J224" s="80"/>
      <x:c r="K224" s="73" t="str">
        <x:v>缺武器来源码</x:v>
      </x:c>
      <x:c r="L224" s="74" t="str">
        <x:v>需补同部位Items/StateItem/DnItems三库同码资源</x:v>
      </x:c>
    </x:row>
    <x:row r="225" ht="34" customHeight="1">
      <x:c r="A225" s="72" t="str">
        <x:v>C06-M002</x:v>
      </x:c>
      <x:c r="B225" s="73" t="str">
        <x:v>C06</x:v>
      </x:c>
      <x:c r="C225" s="73" t="str">
        <x:v>盖利德</x:v>
      </x:c>
      <x:c r="D225" s="73" t="str">
        <x:v>XX305</x:v>
      </x:c>
      <x:c r="E225" s="73" t="str">
        <x:v>焦土拾骸兵</x:v>
      </x:c>
      <x:c r="F225" s="73" t="str">
        <x:v>普通</x:v>
      </x:c>
      <x:c r="G225" s="73" t="str">
        <x:v>拾骸骨盔</x:v>
      </x:c>
      <x:c r="H225" s="73" t="str">
        <x:v>头盔</x:v>
      </x:c>
      <x:c r="I225" s="73" t="str">
        <x:v>头盔</x:v>
      </x:c>
      <x:c r="J225" s="79" t="n">
        <x:v>5887</x:v>
      </x:c>
      <x:c r="K225" s="73" t="str">
        <x:v>规划锁定／旧资源待实库回读</x:v>
      </x:c>
      <x:c r="L225" s="74" t="str">
        <x:v>装备资源库黄金圣律·执火</x:v>
      </x:c>
    </x:row>
    <x:row r="226" ht="34" customHeight="1">
      <x:c r="A226" s="72" t="str">
        <x:v>C06-M003</x:v>
      </x:c>
      <x:c r="B226" s="73" t="str">
        <x:v>C06</x:v>
      </x:c>
      <x:c r="C226" s="73" t="str">
        <x:v>盖利德</x:v>
      </x:c>
      <x:c r="D226" s="73" t="str">
        <x:v>XX306</x:v>
      </x:c>
      <x:c r="E226" s="73" t="str">
        <x:v>岩河爬鳞者</x:v>
      </x:c>
      <x:c r="F226" s="73" t="str">
        <x:v>普通</x:v>
      </x:c>
      <x:c r="G226" s="73" t="str">
        <x:v>岩河鳞衣</x:v>
      </x:c>
      <x:c r="H226" s="73" t="str">
        <x:v>衣服</x:v>
      </x:c>
      <x:c r="I226" s="73" t="str">
        <x:v>男衣服（现行模板的衣服映射）</x:v>
      </x:c>
      <x:c r="J226" s="80"/>
      <x:c r="K226" s="73" t="str">
        <x:v>缺衣服来源码</x:v>
      </x:c>
      <x:c r="L226" s="74" t="str">
        <x:v>需补男衣服StdMode10的三库同码资源；女衣服码未获准合池</x:v>
      </x:c>
    </x:row>
    <x:row r="227" ht="34" customHeight="1">
      <x:c r="A227" s="72" t="str">
        <x:v>C06-M004</x:v>
      </x:c>
      <x:c r="B227" s="73" t="str">
        <x:v>C06</x:v>
      </x:c>
      <x:c r="C227" s="73" t="str">
        <x:v>盖利德</x:v>
      </x:c>
      <x:c r="D227" s="73" t="str">
        <x:v>XX307</x:v>
      </x:c>
      <x:c r="E227" s="73" t="str">
        <x:v>祭场执炭徒</x:v>
      </x:c>
      <x:c r="F227" s="73" t="str">
        <x:v>普通</x:v>
      </x:c>
      <x:c r="G227" s="73" t="str">
        <x:v>执炭腰封</x:v>
      </x:c>
      <x:c r="H227" s="73" t="str">
        <x:v>腰带</x:v>
      </x:c>
      <x:c r="I227" s="73" t="str">
        <x:v>腰带</x:v>
      </x:c>
      <x:c r="J227" s="79" t="n">
        <x:v>7003</x:v>
      </x:c>
      <x:c r="K227" s="73" t="str">
        <x:v>预检通过资源／规划锁定／待入库</x:v>
      </x:c>
      <x:c r="L227" s="74" t="str">
        <x:v>装备资源库翠焰冥契·冥契</x:v>
      </x:c>
    </x:row>
    <x:row r="228" ht="34" customHeight="1">
      <x:c r="A228" s="72" t="str">
        <x:v>C06-M005</x:v>
      </x:c>
      <x:c r="B228" s="73" t="str">
        <x:v>C06</x:v>
      </x:c>
      <x:c r="C228" s="73" t="str">
        <x:v>盖利德</x:v>
      </x:c>
      <x:c r="D228" s="73" t="str">
        <x:v>XX308</x:v>
      </x:c>
      <x:c r="E228" s="73" t="str">
        <x:v>熔心赤螯虫</x:v>
      </x:c>
      <x:c r="F228" s="73" t="str">
        <x:v>普通</x:v>
      </x:c>
      <x:c r="G228" s="73" t="str">
        <x:v>赤螯腕甲</x:v>
      </x:c>
      <x:c r="H228" s="73" t="str">
        <x:v>手镯</x:v>
      </x:c>
      <x:c r="I228" s="73" t="str">
        <x:v>手镯</x:v>
      </x:c>
      <x:c r="J228" s="79" t="n">
        <x:v>5870</x:v>
      </x:c>
      <x:c r="K228" s="73" t="str">
        <x:v>规划锁定／旧资源待实库回读</x:v>
      </x:c>
      <x:c r="L228" s="74" t="str">
        <x:v>装备资源库黄金圣律·初誓</x:v>
      </x:c>
    </x:row>
    <x:row r="229" ht="34" customHeight="1">
      <x:c r="A229" s="72" t="str">
        <x:v>C06-M006</x:v>
      </x:c>
      <x:c r="B229" s="73" t="str">
        <x:v>C06</x:v>
      </x:c>
      <x:c r="C229" s="73" t="str">
        <x:v>盖利德</x:v>
      </x:c>
      <x:c r="D229" s="73" t="str">
        <x:v>XX304</x:v>
      </x:c>
      <x:c r="E229" s="73" t="str">
        <x:v>血尘游猎手</x:v>
      </x:c>
      <x:c r="F229" s="73" t="str">
        <x:v>普通</x:v>
      </x:c>
      <x:c r="G229" s="73" t="str">
        <x:v>血尘猎靴</x:v>
      </x:c>
      <x:c r="H229" s="73" t="str">
        <x:v>鞋子</x:v>
      </x:c>
      <x:c r="I229" s="73" t="str">
        <x:v>鞋子</x:v>
      </x:c>
      <x:c r="J229" s="79" t="n">
        <x:v>7072</x:v>
      </x:c>
      <x:c r="K229" s="73" t="str">
        <x:v>预检通过资源／规划锁定／待入库</x:v>
      </x:c>
      <x:c r="L229" s="74" t="str">
        <x:v>装备资源库翠焰冥契·永夜</x:v>
      </x:c>
    </x:row>
    <x:row r="230" ht="34" customHeight="1">
      <x:c r="A230" s="72" t="str">
        <x:v>C06-M007</x:v>
      </x:c>
      <x:c r="B230" s="73" t="str">
        <x:v>C06</x:v>
      </x:c>
      <x:c r="C230" s="73" t="str">
        <x:v>盖利德</x:v>
      </x:c>
      <x:c r="D230" s="73" t="str">
        <x:v>XX304</x:v>
      </x:c>
      <x:c r="E230" s="73" t="str">
        <x:v>赤棘狂战士</x:v>
      </x:c>
      <x:c r="F230" s="73" t="str">
        <x:v>稀有</x:v>
      </x:c>
      <x:c r="G230" s="73" t="str">
        <x:v>赤棘重戒</x:v>
      </x:c>
      <x:c r="H230" s="73" t="str">
        <x:v>戒指</x:v>
      </x:c>
      <x:c r="I230" s="73" t="str">
        <x:v>戒指</x:v>
      </x:c>
      <x:c r="J230" s="79" t="n">
        <x:v>5880</x:v>
      </x:c>
      <x:c r="K230" s="73" t="str">
        <x:v>规划锁定／旧资源待实库回读</x:v>
      </x:c>
      <x:c r="L230" s="74" t="str">
        <x:v>装备资源库黄金圣律·铭契</x:v>
      </x:c>
    </x:row>
    <x:row r="231" ht="34" customHeight="1">
      <x:c r="A231" s="72" t="str">
        <x:v>C06-M008</x:v>
      </x:c>
      <x:c r="B231" s="73" t="str">
        <x:v>C06</x:v>
      </x:c>
      <x:c r="C231" s="73" t="str">
        <x:v>盖利德</x:v>
      </x:c>
      <x:c r="D231" s="73" t="str">
        <x:v>XX305</x:v>
      </x:c>
      <x:c r="E231" s="73" t="str">
        <x:v>焦脉咒炎师</x:v>
      </x:c>
      <x:c r="F231" s="73" t="str">
        <x:v>稀有</x:v>
      </x:c>
      <x:c r="G231" s="73" t="str">
        <x:v>焦脉祭链</x:v>
      </x:c>
      <x:c r="H231" s="73" t="str">
        <x:v>项链</x:v>
      </x:c>
      <x:c r="I231" s="73" t="str">
        <x:v>项链</x:v>
      </x:c>
      <x:c r="J231" s="79" t="n">
        <x:v>5895</x:v>
      </x:c>
      <x:c r="K231" s="73" t="str">
        <x:v>规划锁定／旧资源待实库回读</x:v>
      </x:c>
      <x:c r="L231" s="74" t="str">
        <x:v>装备资源库黄金圣律·圣徽</x:v>
      </x:c>
    </x:row>
    <x:row r="232" ht="34" customHeight="1">
      <x:c r="A232" s="72" t="str">
        <x:v>C06-M009</x:v>
      </x:c>
      <x:c r="B232" s="73" t="str">
        <x:v>C06</x:v>
      </x:c>
      <x:c r="C232" s="73" t="str">
        <x:v>盖利德</x:v>
      </x:c>
      <x:c r="D232" s="73" t="str">
        <x:v>XX306</x:v>
      </x:c>
      <x:c r="E232" s="73" t="str">
        <x:v>岩浆负甲兽</x:v>
      </x:c>
      <x:c r="F232" s="73" t="str">
        <x:v>稀有</x:v>
      </x:c>
      <x:c r="G232" s="73" t="str">
        <x:v>负甲熔盾</x:v>
      </x:c>
      <x:c r="H232" s="73" t="str">
        <x:v>盾牌</x:v>
      </x:c>
      <x:c r="I232" s="73" t="str">
        <x:v>盾牌</x:v>
      </x:c>
      <x:c r="J232" s="79" t="n">
        <x:v>7035</x:v>
      </x:c>
      <x:c r="K232" s="73" t="str">
        <x:v>预检通过资源／规划锁定／待入库</x:v>
      </x:c>
      <x:c r="L232" s="74" t="str">
        <x:v>装备资源库翠焰冥契·灾厄</x:v>
      </x:c>
    </x:row>
    <x:row r="233" ht="34" customHeight="1">
      <x:c r="A233" s="72" t="str">
        <x:v>C06-M010</x:v>
      </x:c>
      <x:c r="B233" s="73" t="str">
        <x:v>C06</x:v>
      </x:c>
      <x:c r="C233" s="73" t="str">
        <x:v>盖利德</x:v>
      </x:c>
      <x:c r="D233" s="73" t="str">
        <x:v>XX307</x:v>
      </x:c>
      <x:c r="E233" s="73" t="str">
        <x:v>灰烬裁决官</x:v>
      </x:c>
      <x:c r="F233" s="73" t="str">
        <x:v>稀有</x:v>
      </x:c>
      <x:c r="G233" s="73" t="str">
        <x:v>灰烬裁印</x:v>
      </x:c>
      <x:c r="H233" s="73" t="str">
        <x:v>勋章</x:v>
      </x:c>
      <x:c r="I233" s="73" t="str">
        <x:v>勋章</x:v>
      </x:c>
      <x:c r="J233" s="79" t="n">
        <x:v>6894</x:v>
      </x:c>
      <x:c r="K233" s="73" t="str">
        <x:v>预检通过资源／规划锁定／待入库</x:v>
      </x:c>
      <x:c r="L233" s="74" t="str">
        <x:v>装备资源库星渊龙息·无垠</x:v>
      </x:c>
    </x:row>
    <x:row r="234" ht="34" customHeight="1">
      <x:c r="A234" s="72" t="str">
        <x:v>C06-M011</x:v>
      </x:c>
      <x:c r="B234" s="73" t="str">
        <x:v>C06</x:v>
      </x:c>
      <x:c r="C234" s="73" t="str">
        <x:v>盖利德</x:v>
      </x:c>
      <x:c r="D234" s="73" t="str">
        <x:v>XX307</x:v>
      </x:c>
      <x:c r="E234" s="73" t="str">
        <x:v>火蚀巨像·巴洛</x:v>
      </x:c>
      <x:c r="F234" s="73" t="str">
        <x:v>地图BOSS</x:v>
      </x:c>
      <x:c r="G234" s="73" t="str">
        <x:v>巴洛熔拳</x:v>
      </x:c>
      <x:c r="H234" s="73" t="str">
        <x:v>武器</x:v>
      </x:c>
      <x:c r="I234" s="73" t="str">
        <x:v>武器</x:v>
      </x:c>
      <x:c r="J234" s="80"/>
      <x:c r="K234" s="73" t="str">
        <x:v>缺武器来源码</x:v>
      </x:c>
      <x:c r="L234" s="74" t="str">
        <x:v>需补同部位Items/StateItem/DnItems三库同码资源</x:v>
      </x:c>
    </x:row>
    <x:row r="235" ht="34" customHeight="1">
      <x:c r="A235" s="72" t="str">
        <x:v>C06-M012</x:v>
      </x:c>
      <x:c r="B235" s="73" t="str">
        <x:v>C06</x:v>
      </x:c>
      <x:c r="C235" s="73" t="str">
        <x:v>盖利德</x:v>
      </x:c>
      <x:c r="D235" s="73" t="str">
        <x:v>XX308</x:v>
      </x:c>
      <x:c r="E235" s="73" t="str">
        <x:v>猩红熔母·瑟芮</x:v>
      </x:c>
      <x:c r="F235" s="73" t="str">
        <x:v>地图BOSS</x:v>
      </x:c>
      <x:c r="G235" s="73" t="str">
        <x:v>瑟芮血衣</x:v>
      </x:c>
      <x:c r="H235" s="73" t="str">
        <x:v>衣服</x:v>
      </x:c>
      <x:c r="I235" s="73" t="str">
        <x:v>男衣服（现行模板的衣服映射）</x:v>
      </x:c>
      <x:c r="J235" s="80"/>
      <x:c r="K235" s="73" t="str">
        <x:v>缺衣服来源码</x:v>
      </x:c>
      <x:c r="L235" s="74" t="str">
        <x:v>需补男衣服StdMode10的三库同码资源；女衣服码未获准合池</x:v>
      </x:c>
    </x:row>
    <x:row r="236" ht="34" customHeight="1">
      <x:c r="A236" s="72" t="str">
        <x:v>C06-M013</x:v>
      </x:c>
      <x:c r="B236" s="73" t="str">
        <x:v>C06</x:v>
      </x:c>
      <x:c r="C236" s="73" t="str">
        <x:v>盖利德</x:v>
      </x:c>
      <x:c r="D236" s="73" t="str">
        <x:v>XX357</x:v>
      </x:c>
      <x:c r="E236" s="73" t="str">
        <x:v>腐狱囚徒</x:v>
      </x:c>
      <x:c r="F236" s="73" t="str">
        <x:v>普通</x:v>
      </x:c>
      <x:c r="G236" s="73" t="str">
        <x:v>腐狱铁链</x:v>
      </x:c>
      <x:c r="H236" s="73" t="str">
        <x:v>项链</x:v>
      </x:c>
      <x:c r="I236" s="73" t="str">
        <x:v>项链</x:v>
      </x:c>
      <x:c r="J236" s="79" t="n">
        <x:v>5913</x:v>
      </x:c>
      <x:c r="K236" s="73" t="str">
        <x:v>规划锁定／旧资源待实库回读</x:v>
      </x:c>
      <x:c r="L236" s="74" t="str">
        <x:v>装备资源库黄金圣律·蓝辉</x:v>
      </x:c>
    </x:row>
    <x:row r="237" ht="34" customHeight="1">
      <x:c r="A237" s="72" t="str">
        <x:v>C06-M014</x:v>
      </x:c>
      <x:c r="B237" s="73" t="str">
        <x:v>C06</x:v>
      </x:c>
      <x:c r="C237" s="73" t="str">
        <x:v>盖利德</x:v>
      </x:c>
      <x:c r="D237" s="73" t="str">
        <x:v>XX358</x:v>
      </x:c>
      <x:c r="E237" s="73" t="str">
        <x:v>灼腐行刑兵</x:v>
      </x:c>
      <x:c r="F237" s="73" t="str">
        <x:v>普通</x:v>
      </x:c>
      <x:c r="G237" s="73" t="str">
        <x:v>灼刑断刃</x:v>
      </x:c>
      <x:c r="H237" s="73" t="str">
        <x:v>武器</x:v>
      </x:c>
      <x:c r="I237" s="73" t="str">
        <x:v>武器</x:v>
      </x:c>
      <x:c r="J237" s="80"/>
      <x:c r="K237" s="73" t="str">
        <x:v>缺武器来源码</x:v>
      </x:c>
      <x:c r="L237" s="74" t="str">
        <x:v>需补同部位Items/StateItem/DnItems三库同码资源</x:v>
      </x:c>
    </x:row>
    <x:row r="238" ht="34" customHeight="1">
      <x:c r="A238" s="72" t="str">
        <x:v>C06-M015</x:v>
      </x:c>
      <x:c r="B238" s="73" t="str">
        <x:v>C06</x:v>
      </x:c>
      <x:c r="C238" s="73" t="str">
        <x:v>盖利德</x:v>
      </x:c>
      <x:c r="D238" s="73" t="str">
        <x:v>XX359</x:v>
      </x:c>
      <x:c r="E238" s="73" t="str">
        <x:v>深渊熔壳虫</x:v>
      </x:c>
      <x:c r="F238" s="73" t="str">
        <x:v>普通</x:v>
      </x:c>
      <x:c r="G238" s="73" t="str">
        <x:v>熔壳甲衣</x:v>
      </x:c>
      <x:c r="H238" s="73" t="str">
        <x:v>衣服</x:v>
      </x:c>
      <x:c r="I238" s="73" t="str">
        <x:v>男衣服（现行模板的衣服映射）</x:v>
      </x:c>
      <x:c r="J238" s="80"/>
      <x:c r="K238" s="73" t="str">
        <x:v>缺衣服来源码</x:v>
      </x:c>
      <x:c r="L238" s="74" t="str">
        <x:v>需补男衣服StdMode10的三库同码资源；女衣服码未获准合池</x:v>
      </x:c>
    </x:row>
    <x:row r="239" ht="34" customHeight="1">
      <x:c r="A239" s="72" t="str">
        <x:v>C06-M016</x:v>
      </x:c>
      <x:c r="B239" s="73" t="str">
        <x:v>C06</x:v>
      </x:c>
      <x:c r="C239" s="73" t="str">
        <x:v>盖利德</x:v>
      </x:c>
      <x:c r="D239" s="73" t="str">
        <x:v>XX360</x:v>
      </x:c>
      <x:c r="E239" s="73" t="str">
        <x:v>内域血菌兽</x:v>
      </x:c>
      <x:c r="F239" s="73" t="str">
        <x:v>普通</x:v>
      </x:c>
      <x:c r="G239" s="73" t="str">
        <x:v>血菌腕轮</x:v>
      </x:c>
      <x:c r="H239" s="73" t="str">
        <x:v>手镯</x:v>
      </x:c>
      <x:c r="I239" s="73" t="str">
        <x:v>手镯</x:v>
      </x:c>
      <x:c r="J239" s="79" t="n">
        <x:v>5879</x:v>
      </x:c>
      <x:c r="K239" s="73" t="str">
        <x:v>规划锁定／旧资源待实库回读</x:v>
      </x:c>
      <x:c r="L239" s="74" t="str">
        <x:v>装备资源库黄金圣律·铭契</x:v>
      </x:c>
    </x:row>
    <x:row r="240" ht="34" customHeight="1">
      <x:c r="A240" s="72" t="str">
        <x:v>C06-M017</x:v>
      </x:c>
      <x:c r="B240" s="73" t="str">
        <x:v>C06</x:v>
      </x:c>
      <x:c r="C240" s="73" t="str">
        <x:v>盖利德</x:v>
      </x:c>
      <x:c r="D240" s="73" t="str">
        <x:v>XX361</x:v>
      </x:c>
      <x:c r="E240" s="73" t="str">
        <x:v>熔心烙印僧</x:v>
      </x:c>
      <x:c r="F240" s="73" t="str">
        <x:v>普通</x:v>
      </x:c>
      <x:c r="G240" s="73" t="str">
        <x:v>烙印斗笠</x:v>
      </x:c>
      <x:c r="H240" s="73" t="str">
        <x:v>斗笠</x:v>
      </x:c>
      <x:c r="I240" s="73" t="str">
        <x:v>面巾（位置13，对应斗笠）</x:v>
      </x:c>
      <x:c r="J240" s="80"/>
      <x:c r="K240" s="73" t="str">
        <x:v>缺斗笠来源码</x:v>
      </x:c>
      <x:c r="L240" s="74" t="str">
        <x:v>需补StdMode16/位置13的三库同码资源</x:v>
      </x:c>
    </x:row>
    <x:row r="241" ht="34" customHeight="1">
      <x:c r="A241" s="72" t="str">
        <x:v>C06-M018</x:v>
      </x:c>
      <x:c r="B241" s="73" t="str">
        <x:v>C06</x:v>
      </x:c>
      <x:c r="C241" s="73" t="str">
        <x:v>盖利德</x:v>
      </x:c>
      <x:c r="D241" s="73" t="str">
        <x:v>XX357</x:v>
      </x:c>
      <x:c r="E241" s="73" t="str">
        <x:v>火狱锁门卒</x:v>
      </x:c>
      <x:c r="F241" s="73" t="str">
        <x:v>普通</x:v>
      </x:c>
      <x:c r="G241" s="73" t="str">
        <x:v>锁门重盾</x:v>
      </x:c>
      <x:c r="H241" s="73" t="str">
        <x:v>盾牌</x:v>
      </x:c>
      <x:c r="I241" s="73" t="str">
        <x:v>盾牌</x:v>
      </x:c>
      <x:c r="J241" s="79" t="n">
        <x:v>7070</x:v>
      </x:c>
      <x:c r="K241" s="73" t="str">
        <x:v>预检通过资源／规划锁定／待入库</x:v>
      </x:c>
      <x:c r="L241" s="74" t="str">
        <x:v>装备资源库翠焰冥契·永夜</x:v>
      </x:c>
    </x:row>
    <x:row r="242" ht="34" customHeight="1">
      <x:c r="A242" s="72" t="str">
        <x:v>C06-M019</x:v>
      </x:c>
      <x:c r="B242" s="73" t="str">
        <x:v>C06</x:v>
      </x:c>
      <x:c r="C242" s="73" t="str">
        <x:v>盖利德</x:v>
      </x:c>
      <x:c r="D242" s="73" t="str">
        <x:v>XX357</x:v>
      </x:c>
      <x:c r="E242" s="73" t="str">
        <x:v>瘴焰缝尸匠</x:v>
      </x:c>
      <x:c r="F242" s="73" t="str">
        <x:v>稀有</x:v>
      </x:c>
      <x:c r="G242" s="73" t="str">
        <x:v>缝尸骨针</x:v>
      </x:c>
      <x:c r="H242" s="73" t="str">
        <x:v>武器</x:v>
      </x:c>
      <x:c r="I242" s="73" t="str">
        <x:v>武器</x:v>
      </x:c>
      <x:c r="J242" s="80"/>
      <x:c r="K242" s="73" t="str">
        <x:v>缺武器来源码</x:v>
      </x:c>
      <x:c r="L242" s="74" t="str">
        <x:v>需补同部位Items/StateItem/DnItems三库同码资源</x:v>
      </x:c>
    </x:row>
    <x:row r="243" ht="34" customHeight="1">
      <x:c r="A243" s="72" t="str">
        <x:v>C06-M020</x:v>
      </x:c>
      <x:c r="B243" s="73" t="str">
        <x:v>C06</x:v>
      </x:c>
      <x:c r="C243" s="73" t="str">
        <x:v>盖利德</x:v>
      </x:c>
      <x:c r="D243" s="73" t="str">
        <x:v>XX358</x:v>
      </x:c>
      <x:c r="E243" s="73" t="str">
        <x:v>灼骨狱卒长</x:v>
      </x:c>
      <x:c r="F243" s="73" t="str">
        <x:v>稀有</x:v>
      </x:c>
      <x:c r="G243" s="73" t="str">
        <x:v>灼骨腰甲</x:v>
      </x:c>
      <x:c r="H243" s="73" t="str">
        <x:v>腰带</x:v>
      </x:c>
      <x:c r="I243" s="73" t="str">
        <x:v>腰带</x:v>
      </x:c>
      <x:c r="J243" s="79" t="n">
        <x:v>7038</x:v>
      </x:c>
      <x:c r="K243" s="73" t="str">
        <x:v>预检通过资源／规划锁定／待入库</x:v>
      </x:c>
      <x:c r="L243" s="74" t="str">
        <x:v>装备资源库翠焰冥契·灾厄</x:v>
      </x:c>
    </x:row>
    <x:row r="244" ht="34" customHeight="1">
      <x:c r="A244" s="72" t="str">
        <x:v>C06-M021</x:v>
      </x:c>
      <x:c r="B244" s="73" t="str">
        <x:v>C06</x:v>
      </x:c>
      <x:c r="C244" s="73" t="str">
        <x:v>盖利德</x:v>
      </x:c>
      <x:c r="D244" s="73" t="str">
        <x:v>XX359</x:v>
      </x:c>
      <x:c r="E244" s="73" t="str">
        <x:v>深渊熔喉兽</x:v>
      </x:c>
      <x:c r="F244" s="73" t="str">
        <x:v>稀有</x:v>
      </x:c>
      <x:c r="G244" s="73" t="str">
        <x:v>熔喉牙戒</x:v>
      </x:c>
      <x:c r="H244" s="73" t="str">
        <x:v>戒指</x:v>
      </x:c>
      <x:c r="I244" s="73" t="str">
        <x:v>戒指</x:v>
      </x:c>
      <x:c r="J244" s="79" t="n">
        <x:v>5889</x:v>
      </x:c>
      <x:c r="K244" s="73" t="str">
        <x:v>规划锁定／旧资源待实库回读</x:v>
      </x:c>
      <x:c r="L244" s="74" t="str">
        <x:v>装备资源库黄金圣律·执火</x:v>
      </x:c>
    </x:row>
    <x:row r="245" ht="34" customHeight="1">
      <x:c r="A245" s="72" t="str">
        <x:v>C06-M022</x:v>
      </x:c>
      <x:c r="B245" s="73" t="str">
        <x:v>C06</x:v>
      </x:c>
      <x:c r="C245" s="73" t="str">
        <x:v>盖利德</x:v>
      </x:c>
      <x:c r="D245" s="73" t="str">
        <x:v>XX360</x:v>
      </x:c>
      <x:c r="E245" s="73" t="str">
        <x:v>赤腐祷刑官</x:v>
      </x:c>
      <x:c r="F245" s="73" t="str">
        <x:v>稀有</x:v>
      </x:c>
      <x:c r="G245" s="73" t="str">
        <x:v>祷刑罪章</x:v>
      </x:c>
      <x:c r="H245" s="73" t="str">
        <x:v>勋章</x:v>
      </x:c>
      <x:c r="I245" s="73" t="str">
        <x:v>勋章</x:v>
      </x:c>
      <x:c r="J245" s="79" t="n">
        <x:v>6929</x:v>
      </x:c>
      <x:c r="K245" s="73" t="str">
        <x:v>预检通过资源／规划锁定／待入库</x:v>
      </x:c>
      <x:c r="L245" s="74" t="str">
        <x:v>装备资源库翠焰冥契·幽焰</x:v>
      </x:c>
    </x:row>
    <x:row r="246" ht="34" customHeight="1">
      <x:c r="A246" s="72" t="str">
        <x:v>C06-M023</x:v>
      </x:c>
      <x:c r="B246" s="73" t="str">
        <x:v>C06</x:v>
      </x:c>
      <x:c r="C246" s="73" t="str">
        <x:v>盖利德</x:v>
      </x:c>
      <x:c r="D246" s="73" t="str">
        <x:v>XX360</x:v>
      </x:c>
      <x:c r="E246" s="73" t="str">
        <x:v>腐败火侯·伊弗</x:v>
      </x:c>
      <x:c r="F246" s="73" t="str">
        <x:v>地图BOSS</x:v>
      </x:c>
      <x:c r="G246" s="73" t="str">
        <x:v>伊弗腐冠</x:v>
      </x:c>
      <x:c r="H246" s="73" t="str">
        <x:v>头盔</x:v>
      </x:c>
      <x:c r="I246" s="73" t="str">
        <x:v>头盔</x:v>
      </x:c>
      <x:c r="J246" s="79" t="n">
        <x:v>5896</x:v>
      </x:c>
      <x:c r="K246" s="73" t="str">
        <x:v>规划锁定／旧资源待实库回读</x:v>
      </x:c>
      <x:c r="L246" s="74" t="str">
        <x:v>装备资源库黄金圣律·圣徽</x:v>
      </x:c>
    </x:row>
    <x:row r="247" ht="34" customHeight="1">
      <x:c r="A247" s="72" t="str">
        <x:v>C06-M024</x:v>
      </x:c>
      <x:c r="B247" s="73" t="str">
        <x:v>C06</x:v>
      </x:c>
      <x:c r="C247" s="73" t="str">
        <x:v>盖利德</x:v>
      </x:c>
      <x:c r="D247" s="73" t="str">
        <x:v>XX361</x:v>
      </x:c>
      <x:c r="E247" s="73" t="str">
        <x:v>熔心狱主·塞维拉</x:v>
      </x:c>
      <x:c r="F247" s="73" t="str">
        <x:v>地图BOSS</x:v>
      </x:c>
      <x:c r="G247" s="73" t="str">
        <x:v>塞维拉狱衣</x:v>
      </x:c>
      <x:c r="H247" s="73" t="str">
        <x:v>衣服</x:v>
      </x:c>
      <x:c r="I247" s="73" t="str">
        <x:v>男衣服（现行模板的衣服映射）</x:v>
      </x:c>
      <x:c r="J247" s="80"/>
      <x:c r="K247" s="73" t="str">
        <x:v>缺衣服来源码</x:v>
      </x:c>
      <x:c r="L247" s="74" t="str">
        <x:v>需补男衣服StdMode10的三库同码资源；女衣服码未获准合池</x:v>
      </x:c>
    </x:row>
    <x:row r="248" ht="34" customHeight="1">
      <x:c r="A248" s="72" t="str">
        <x:v>C06-M025</x:v>
      </x:c>
      <x:c r="B248" s="73" t="str">
        <x:v>C06</x:v>
      </x:c>
      <x:c r="C248" s="73" t="str">
        <x:v>盖利德</x:v>
      </x:c>
      <x:c r="D248" s="73" t="str">
        <x:v>XX485</x:v>
      </x:c>
      <x:c r="E248" s="73" t="str">
        <x:v>龙窟烬鳞兽</x:v>
      </x:c>
      <x:c r="F248" s="73" t="str">
        <x:v>普通</x:v>
      </x:c>
      <x:c r="G248" s="73" t="str">
        <x:v>烬鳞护腕</x:v>
      </x:c>
      <x:c r="H248" s="73" t="str">
        <x:v>手镯</x:v>
      </x:c>
      <x:c r="I248" s="73" t="str">
        <x:v>手镯</x:v>
      </x:c>
      <x:c r="J248" s="79" t="n">
        <x:v>5888</x:v>
      </x:c>
      <x:c r="K248" s="73" t="str">
        <x:v>规划锁定／旧资源待实库回读</x:v>
      </x:c>
      <x:c r="L248" s="74" t="str">
        <x:v>装备资源库黄金圣律·执火</x:v>
      </x:c>
    </x:row>
    <x:row r="249" ht="34" customHeight="1">
      <x:c r="A249" s="72" t="str">
        <x:v>C06-M026</x:v>
      </x:c>
      <x:c r="B249" s="73" t="str">
        <x:v>C06</x:v>
      </x:c>
      <x:c r="C249" s="73" t="str">
        <x:v>盖利德</x:v>
      </x:c>
      <x:c r="D249" s="73" t="str">
        <x:v>XX484</x:v>
      </x:c>
      <x:c r="E249" s="73" t="str">
        <x:v>崎路红狮兵</x:v>
      </x:c>
      <x:c r="F249" s="73" t="str">
        <x:v>普通</x:v>
      </x:c>
      <x:c r="G249" s="73" t="str">
        <x:v>崎路狮盔</x:v>
      </x:c>
      <x:c r="H249" s="73" t="str">
        <x:v>头盔</x:v>
      </x:c>
      <x:c r="I249" s="73" t="str">
        <x:v>头盔</x:v>
      </x:c>
      <x:c r="J249" s="79" t="n">
        <x:v>5905</x:v>
      </x:c>
      <x:c r="K249" s="73" t="str">
        <x:v>规划锁定／旧资源待实库回读</x:v>
      </x:c>
      <x:c r="L249" s="74" t="str">
        <x:v>装备资源库黄金圣律·璨金</x:v>
      </x:c>
    </x:row>
    <x:row r="250" ht="34" customHeight="1">
      <x:c r="A250" s="72" t="str">
        <x:v>C06-M027</x:v>
      </x:c>
      <x:c r="B250" s="73" t="str">
        <x:v>C06</x:v>
      </x:c>
      <x:c r="C250" s="73" t="str">
        <x:v>盖利德</x:v>
      </x:c>
      <x:c r="D250" s="73" t="str">
        <x:v>XX483</x:v>
      </x:c>
      <x:c r="E250" s="73" t="str">
        <x:v>回廊火弩卫</x:v>
      </x:c>
      <x:c r="F250" s="73" t="str">
        <x:v>普通</x:v>
      </x:c>
      <x:c r="G250" s="73" t="str">
        <x:v>火弩指环</x:v>
      </x:c>
      <x:c r="H250" s="73" t="str">
        <x:v>戒指</x:v>
      </x:c>
      <x:c r="I250" s="73" t="str">
        <x:v>戒指</x:v>
      </x:c>
      <x:c r="J250" s="79" t="n">
        <x:v>5907</x:v>
      </x:c>
      <x:c r="K250" s="73" t="str">
        <x:v>规划锁定／旧资源待实库回读</x:v>
      </x:c>
      <x:c r="L250" s="74" t="str">
        <x:v>装备资源库黄金圣律·璨金</x:v>
      </x:c>
    </x:row>
    <x:row r="251" ht="34" customHeight="1">
      <x:c r="A251" s="72" t="str">
        <x:v>C06-M028</x:v>
      </x:c>
      <x:c r="B251" s="73" t="str">
        <x:v>C06</x:v>
      </x:c>
      <x:c r="C251" s="73" t="str">
        <x:v>盖利德</x:v>
      </x:c>
      <x:c r="D251" s="73" t="str">
        <x:v>XX482</x:v>
      </x:c>
      <x:c r="E251" s="73" t="str">
        <x:v>龙巢护卵兽</x:v>
      </x:c>
      <x:c r="F251" s="73" t="str">
        <x:v>普通</x:v>
      </x:c>
      <x:c r="G251" s="73" t="str">
        <x:v>护卵鳞衣</x:v>
      </x:c>
      <x:c r="H251" s="73" t="str">
        <x:v>衣服</x:v>
      </x:c>
      <x:c r="I251" s="73" t="str">
        <x:v>男衣服（现行模板的衣服映射）</x:v>
      </x:c>
      <x:c r="J251" s="80"/>
      <x:c r="K251" s="73" t="str">
        <x:v>缺衣服来源码</x:v>
      </x:c>
      <x:c r="L251" s="74" t="str">
        <x:v>需补男衣服StdMode10的三库同码资源；女衣服码未获准合池</x:v>
      </x:c>
    </x:row>
    <x:row r="252" ht="34" customHeight="1">
      <x:c r="A252" s="72" t="str">
        <x:v>C06-M029</x:v>
      </x:c>
      <x:c r="B252" s="73" t="str">
        <x:v>C06</x:v>
      </x:c>
      <x:c r="C252" s="73" t="str">
        <x:v>盖利德</x:v>
      </x:c>
      <x:c r="D252" s="73" t="str">
        <x:v>XX481</x:v>
      </x:c>
      <x:c r="E252" s="73" t="str">
        <x:v>神殿执矛僧</x:v>
      </x:c>
      <x:c r="F252" s="73" t="str">
        <x:v>普通</x:v>
      </x:c>
      <x:c r="G252" s="73" t="str">
        <x:v>神殿焰矛</x:v>
      </x:c>
      <x:c r="H252" s="73" t="str">
        <x:v>武器</x:v>
      </x:c>
      <x:c r="I252" s="73" t="str">
        <x:v>武器</x:v>
      </x:c>
      <x:c r="J252" s="80"/>
      <x:c r="K252" s="73" t="str">
        <x:v>缺武器来源码</x:v>
      </x:c>
      <x:c r="L252" s="74" t="str">
        <x:v>需补同部位Items/StateItem/DnItems三库同码资源</x:v>
      </x:c>
    </x:row>
    <x:row r="253" ht="34" customHeight="1">
      <x:c r="A253" s="72" t="str">
        <x:v>C06-M030</x:v>
      </x:c>
      <x:c r="B253" s="73" t="str">
        <x:v>C06</x:v>
      </x:c>
      <x:c r="C253" s="73" t="str">
        <x:v>盖利德</x:v>
      </x:c>
      <x:c r="D253" s="73" t="str">
        <x:v>XX485</x:v>
      </x:c>
      <x:c r="E253" s="73" t="str">
        <x:v>赤鬃巡巢者</x:v>
      </x:c>
      <x:c r="F253" s="73" t="str">
        <x:v>普通</x:v>
      </x:c>
      <x:c r="G253" s="73" t="str">
        <x:v>赤鬃战靴</x:v>
      </x:c>
      <x:c r="H253" s="73" t="str">
        <x:v>鞋子</x:v>
      </x:c>
      <x:c r="I253" s="73" t="str">
        <x:v>鞋子</x:v>
      </x:c>
      <x:c r="J253" s="79" t="n">
        <x:v>5874</x:v>
      </x:c>
      <x:c r="K253" s="73" t="str">
        <x:v>规划锁定／旧资源待实库回读</x:v>
      </x:c>
      <x:c r="L253" s="74" t="str">
        <x:v>装备资源库黄金圣律·初誓</x:v>
      </x:c>
    </x:row>
    <x:row r="254" ht="34" customHeight="1">
      <x:c r="A254" s="72" t="str">
        <x:v>C06-M031</x:v>
      </x:c>
      <x:c r="B254" s="73" t="str">
        <x:v>C06</x:v>
      </x:c>
      <x:c r="C254" s="73" t="str">
        <x:v>盖利德</x:v>
      </x:c>
      <x:c r="D254" s="73" t="str">
        <x:v>XX485</x:v>
      </x:c>
      <x:c r="E254" s="73" t="str">
        <x:v>龙火驯兽师</x:v>
      </x:c>
      <x:c r="F254" s="73" t="str">
        <x:v>稀有</x:v>
      </x:c>
      <x:c r="G254" s="73" t="str">
        <x:v>驯火锁链</x:v>
      </x:c>
      <x:c r="H254" s="73" t="str">
        <x:v>项链</x:v>
      </x:c>
      <x:c r="I254" s="73" t="str">
        <x:v>项链</x:v>
      </x:c>
      <x:c r="J254" s="79" t="n">
        <x:v>5922</x:v>
      </x:c>
      <x:c r="K254" s="73" t="str">
        <x:v>规划锁定／旧资源待实库回读</x:v>
      </x:c>
      <x:c r="L254" s="74" t="str">
        <x:v>装备资源库黄金圣律·王权</x:v>
      </x:c>
    </x:row>
    <x:row r="255" ht="34" customHeight="1">
      <x:c r="A255" s="72" t="str">
        <x:v>C06-M032</x:v>
      </x:c>
      <x:c r="B255" s="73" t="str">
        <x:v>C06</x:v>
      </x:c>
      <x:c r="C255" s="73" t="str">
        <x:v>盖利德</x:v>
      </x:c>
      <x:c r="D255" s="73" t="str">
        <x:v>XX484</x:v>
      </x:c>
      <x:c r="E255" s="73" t="str">
        <x:v>红狮斩翼骑</x:v>
      </x:c>
      <x:c r="F255" s="73" t="str">
        <x:v>稀有</x:v>
      </x:c>
      <x:c r="G255" s="73" t="str">
        <x:v>斩翼腰封</x:v>
      </x:c>
      <x:c r="H255" s="73" t="str">
        <x:v>腰带</x:v>
      </x:c>
      <x:c r="I255" s="73" t="str">
        <x:v>腰带</x:v>
      </x:c>
      <x:c r="J255" s="79" t="n">
        <x:v>7073</x:v>
      </x:c>
      <x:c r="K255" s="73" t="str">
        <x:v>预检通过资源／规划锁定／待入库</x:v>
      </x:c>
      <x:c r="L255" s="74" t="str">
        <x:v>装备资源库翠焰冥契·永夜</x:v>
      </x:c>
    </x:row>
    <x:row r="256" ht="34" customHeight="1">
      <x:c r="A256" s="72" t="str">
        <x:v>C06-M033</x:v>
      </x:c>
      <x:c r="B256" s="73" t="str">
        <x:v>C06</x:v>
      </x:c>
      <x:c r="C256" s="73" t="str">
        <x:v>盖利德</x:v>
      </x:c>
      <x:c r="D256" s="73" t="str">
        <x:v>XX483</x:v>
      </x:c>
      <x:c r="E256" s="73" t="str">
        <x:v>赤焰鳞甲将</x:v>
      </x:c>
      <x:c r="F256" s="73" t="str">
        <x:v>稀有</x:v>
      </x:c>
      <x:c r="G256" s="73" t="str">
        <x:v>赤焰塔盾</x:v>
      </x:c>
      <x:c r="H256" s="73" t="str">
        <x:v>盾牌</x:v>
      </x:c>
      <x:c r="I256" s="73" t="str">
        <x:v>盾牌</x:v>
      </x:c>
      <x:c r="J256" s="79" t="n">
        <x:v>5872</x:v>
      </x:c>
      <x:c r="K256" s="73" t="str">
        <x:v>规划锁定／旧资源待实库回读</x:v>
      </x:c>
      <x:c r="L256" s="74" t="str">
        <x:v>装备资源库黄金圣律·初誓</x:v>
      </x:c>
    </x:row>
    <x:row r="257" ht="34" customHeight="1">
      <x:c r="A257" s="72" t="str">
        <x:v>C06-M034</x:v>
      </x:c>
      <x:c r="B257" s="73" t="str">
        <x:v>C06</x:v>
      </x:c>
      <x:c r="C257" s="73" t="str">
        <x:v>盖利德</x:v>
      </x:c>
      <x:c r="D257" s="73" t="str">
        <x:v>XX482</x:v>
      </x:c>
      <x:c r="E257" s="73" t="str">
        <x:v>龙巢血祭司</x:v>
      </x:c>
      <x:c r="F257" s="73" t="str">
        <x:v>稀有</x:v>
      </x:c>
      <x:c r="G257" s="73" t="str">
        <x:v>血祭徽章</x:v>
      </x:c>
      <x:c r="H257" s="73" t="str">
        <x:v>勋章</x:v>
      </x:c>
      <x:c r="I257" s="73" t="str">
        <x:v>勋章</x:v>
      </x:c>
      <x:c r="J257" s="79" t="n">
        <x:v>6964</x:v>
      </x:c>
      <x:c r="K257" s="73" t="str">
        <x:v>预检通过资源／规划锁定／待入库</x:v>
      </x:c>
      <x:c r="L257" s="74" t="str">
        <x:v>装备资源库翠焰冥契·腐痕</x:v>
      </x:c>
    </x:row>
    <x:row r="258" ht="34" customHeight="1">
      <x:c r="A258" s="72" t="str">
        <x:v>C06-M035</x:v>
      </x:c>
      <x:c r="B258" s="73" t="str">
        <x:v>C06</x:v>
      </x:c>
      <x:c r="C258" s="73" t="str">
        <x:v>盖利德</x:v>
      </x:c>
      <x:c r="D258" s="73" t="str">
        <x:v>XX482</x:v>
      </x:c>
      <x:c r="E258" s="73" t="str">
        <x:v>焚翼古龙·阿格纳</x:v>
      </x:c>
      <x:c r="F258" s="73" t="str">
        <x:v>地图BOSS</x:v>
      </x:c>
      <x:c r="G258" s="73" t="str">
        <x:v>阿格纳龙牙</x:v>
      </x:c>
      <x:c r="H258" s="73" t="str">
        <x:v>武器</x:v>
      </x:c>
      <x:c r="I258" s="73" t="str">
        <x:v>武器</x:v>
      </x:c>
      <x:c r="J258" s="80"/>
      <x:c r="K258" s="73" t="str">
        <x:v>缺武器来源码</x:v>
      </x:c>
      <x:c r="L258" s="74" t="str">
        <x:v>需补同部位Items/StateItem/DnItems三库同码资源</x:v>
      </x:c>
    </x:row>
    <x:row r="259" ht="34" customHeight="1">
      <x:c r="A259" s="72" t="str">
        <x:v>C06-M036</x:v>
      </x:c>
      <x:c r="B259" s="73" t="str">
        <x:v>C06</x:v>
      </x:c>
      <x:c r="C259" s="73" t="str">
        <x:v>盖利德</x:v>
      </x:c>
      <x:c r="D259" s="73" t="str">
        <x:v>XX481</x:v>
      </x:c>
      <x:c r="E259" s="73" t="str">
        <x:v>红狮圣兽·雷奥尼斯</x:v>
      </x:c>
      <x:c r="F259" s="73" t="str">
        <x:v>地图BOSS</x:v>
      </x:c>
      <x:c r="G259" s="73" t="str">
        <x:v>雷奥尼斯狮铠</x:v>
      </x:c>
      <x:c r="H259" s="73" t="str">
        <x:v>衣服</x:v>
      </x:c>
      <x:c r="I259" s="73" t="str">
        <x:v>男衣服（现行模板的衣服映射）</x:v>
      </x:c>
      <x:c r="J259" s="80"/>
      <x:c r="K259" s="73" t="str">
        <x:v>缺衣服来源码</x:v>
      </x:c>
      <x:c r="L259" s="74" t="str">
        <x:v>需补男衣服StdMode10的三库同码资源；女衣服码未获准合池</x:v>
      </x:c>
    </x:row>
    <x:row r="260" ht="34" customHeight="1">
      <x:c r="A260" s="72" t="str">
        <x:v>C06-M037</x:v>
      </x:c>
      <x:c r="B260" s="73" t="str">
        <x:v>C06</x:v>
      </x:c>
      <x:c r="C260" s="73" t="str">
        <x:v>盖利德</x:v>
      </x:c>
      <x:c r="D260" s="73" t="str">
        <x:v>XX481</x:v>
      </x:c>
      <x:c r="E260" s="73" t="str">
        <x:v>碎星狮王·拉塔恩</x:v>
      </x:c>
      <x:c r="F260" s="73" t="str">
        <x:v>守关BOSS</x:v>
      </x:c>
      <x:c r="G260" s="73" t="str">
        <x:v>拉塔恩碎星巨刃</x:v>
      </x:c>
      <x:c r="H260" s="73" t="str">
        <x:v>武器</x:v>
      </x:c>
      <x:c r="I260" s="73" t="str">
        <x:v>武器</x:v>
      </x:c>
      <x:c r="J260" s="79" t="n">
        <x:v>6956</x:v>
      </x:c>
      <x:c r="K260" s="73" t="str">
        <x:v>预检通过资源／规划锁定／待入库</x:v>
      </x:c>
      <x:c r="L260" s="74" t="str">
        <x:v>装备资源库翠焰冥契·腐痕</x:v>
      </x:c>
    </x:row>
    <x:row r="261" ht="34" customHeight="1">
      <x:c r="A261" s="72" t="str">
        <x:v>C07-M001</x:v>
      </x:c>
      <x:c r="B261" s="73" t="str">
        <x:v>C07</x:v>
      </x:c>
      <x:c r="C261" s="73" t="str">
        <x:v>化圣雪原</x:v>
      </x:c>
      <x:c r="D261" s="73" t="str">
        <x:v>XX149</x:v>
      </x:c>
      <x:c r="E261" s="73" t="str">
        <x:v>雪原冻角鹿</x:v>
      </x:c>
      <x:c r="F261" s="73" t="str">
        <x:v>普通</x:v>
      </x:c>
      <x:c r="G261" s="73" t="str">
        <x:v>冻角护腕</x:v>
      </x:c>
      <x:c r="H261" s="73" t="str">
        <x:v>手镯</x:v>
      </x:c>
      <x:c r="I261" s="73" t="str">
        <x:v>手镯</x:v>
      </x:c>
      <x:c r="J261" s="79" t="n">
        <x:v>5897</x:v>
      </x:c>
      <x:c r="K261" s="73" t="str">
        <x:v>规划锁定／旧资源待实库回读</x:v>
      </x:c>
      <x:c r="L261" s="74" t="str">
        <x:v>装备资源库黄金圣律·圣徽</x:v>
      </x:c>
    </x:row>
    <x:row r="262" ht="34" customHeight="1">
      <x:c r="A262" s="72" t="str">
        <x:v>C07-M002</x:v>
      </x:c>
      <x:c r="B262" s="73" t="str">
        <x:v>C07</x:v>
      </x:c>
      <x:c r="C262" s="73" t="str">
        <x:v>化圣雪原</x:v>
      </x:c>
      <x:c r="D262" s="73" t="str">
        <x:v>XX148</x:v>
      </x:c>
      <x:c r="E262" s="73" t="str">
        <x:v>霜风放逐兵</x:v>
      </x:c>
      <x:c r="F262" s="73" t="str">
        <x:v>普通</x:v>
      </x:c>
      <x:c r="G262" s="73" t="str">
        <x:v>放逐雪刃</x:v>
      </x:c>
      <x:c r="H262" s="73" t="str">
        <x:v>武器</x:v>
      </x:c>
      <x:c r="I262" s="73" t="str">
        <x:v>武器</x:v>
      </x:c>
      <x:c r="J262" s="80"/>
      <x:c r="K262" s="73" t="str">
        <x:v>缺武器来源码</x:v>
      </x:c>
      <x:c r="L262" s="74" t="str">
        <x:v>需补同部位Items/StateItem/DnItems三库同码资源</x:v>
      </x:c>
    </x:row>
    <x:row r="263" ht="34" customHeight="1">
      <x:c r="A263" s="72" t="str">
        <x:v>C07-M003</x:v>
      </x:c>
      <x:c r="B263" s="73" t="str">
        <x:v>C07</x:v>
      </x:c>
      <x:c r="C263" s="73" t="str">
        <x:v>化圣雪原</x:v>
      </x:c>
      <x:c r="D263" s="73" t="str">
        <x:v>XX147</x:v>
      </x:c>
      <x:c r="E263" s="73" t="str">
        <x:v>冻土掘冰徒</x:v>
      </x:c>
      <x:c r="F263" s="73" t="str">
        <x:v>普通</x:v>
      </x:c>
      <x:c r="G263" s="73" t="str">
        <x:v>掘冰腰带</x:v>
      </x:c>
      <x:c r="H263" s="73" t="str">
        <x:v>腰带</x:v>
      </x:c>
      <x:c r="I263" s="73" t="str">
        <x:v>腰带</x:v>
      </x:c>
      <x:c r="J263" s="79" t="n">
        <x:v>5875</x:v>
      </x:c>
      <x:c r="K263" s="73" t="str">
        <x:v>规划锁定／旧资源待实库回读</x:v>
      </x:c>
      <x:c r="L263" s="74" t="str">
        <x:v>装备资源库黄金圣律·初誓</x:v>
      </x:c>
    </x:row>
    <x:row r="264" ht="34" customHeight="1">
      <x:c r="A264" s="72" t="str">
        <x:v>C07-M004</x:v>
      </x:c>
      <x:c r="B264" s="73" t="str">
        <x:v>C07</x:v>
      </x:c>
      <x:c r="C264" s="73" t="str">
        <x:v>化圣雪原</x:v>
      </x:c>
      <x:c r="D264" s="73" t="str">
        <x:v>XX150</x:v>
      </x:c>
      <x:c r="E264" s="73" t="str">
        <x:v>祭场白烛侍</x:v>
      </x:c>
      <x:c r="F264" s="73" t="str">
        <x:v>普通</x:v>
      </x:c>
      <x:c r="G264" s="73" t="str">
        <x:v>白烛礼冠</x:v>
      </x:c>
      <x:c r="H264" s="73" t="str">
        <x:v>头盔</x:v>
      </x:c>
      <x:c r="I264" s="73" t="str">
        <x:v>头盔</x:v>
      </x:c>
      <x:c r="J264" s="79" t="n">
        <x:v>5914</x:v>
      </x:c>
      <x:c r="K264" s="73" t="str">
        <x:v>规划锁定／旧资源待实库回读</x:v>
      </x:c>
      <x:c r="L264" s="74" t="str">
        <x:v>装备资源库黄金圣律·蓝辉</x:v>
      </x:c>
    </x:row>
    <x:row r="265" ht="34" customHeight="1">
      <x:c r="A265" s="72" t="str">
        <x:v>C07-M005</x:v>
      </x:c>
      <x:c r="B265" s="73" t="str">
        <x:v>C07</x:v>
      </x:c>
      <x:c r="C265" s="73" t="str">
        <x:v>化圣雪原</x:v>
      </x:c>
      <x:c r="D265" s="73" t="str">
        <x:v>XX149</x:v>
      </x:c>
      <x:c r="E265" s="73" t="str">
        <x:v>苍鬃雪狼</x:v>
      </x:c>
      <x:c r="F265" s="73" t="str">
        <x:v>普通</x:v>
      </x:c>
      <x:c r="G265" s="73" t="str">
        <x:v>苍鬃牙戒</x:v>
      </x:c>
      <x:c r="H265" s="73" t="str">
        <x:v>戒指</x:v>
      </x:c>
      <x:c r="I265" s="73" t="str">
        <x:v>戒指</x:v>
      </x:c>
      <x:c r="J265" s="79" t="n">
        <x:v>5916</x:v>
      </x:c>
      <x:c r="K265" s="73" t="str">
        <x:v>规划锁定／旧资源待实库回读</x:v>
      </x:c>
      <x:c r="L265" s="74" t="str">
        <x:v>装备资源库黄金圣律·蓝辉</x:v>
      </x:c>
    </x:row>
    <x:row r="266" ht="34" customHeight="1">
      <x:c r="A266" s="72" t="str">
        <x:v>C07-M006</x:v>
      </x:c>
      <x:c r="B266" s="73" t="str">
        <x:v>C07</x:v>
      </x:c>
      <x:c r="C266" s="73" t="str">
        <x:v>化圣雪原</x:v>
      </x:c>
      <x:c r="D266" s="73" t="str">
        <x:v>XX148</x:v>
      </x:c>
      <x:c r="E266" s="73" t="str">
        <x:v>寒羽巡猎鹰</x:v>
      </x:c>
      <x:c r="F266" s="73" t="str">
        <x:v>普通</x:v>
      </x:c>
      <x:c r="G266" s="73" t="str">
        <x:v>寒羽猎链</x:v>
      </x:c>
      <x:c r="H266" s="73" t="str">
        <x:v>项链</x:v>
      </x:c>
      <x:c r="I266" s="73" t="str">
        <x:v>项链</x:v>
      </x:c>
      <x:c r="J266" s="79" t="n">
        <x:v>5931</x:v>
      </x:c>
      <x:c r="K266" s="73" t="str">
        <x:v>规划锁定／旧资源待实库回读</x:v>
      </x:c>
      <x:c r="L266" s="74" t="str">
        <x:v>装备资源库黄金圣律·日冕</x:v>
      </x:c>
    </x:row>
    <x:row r="267" ht="34" customHeight="1">
      <x:c r="A267" s="72" t="str">
        <x:v>C07-M007</x:v>
      </x:c>
      <x:c r="B267" s="73" t="str">
        <x:v>C07</x:v>
      </x:c>
      <x:c r="C267" s="73" t="str">
        <x:v>化圣雪原</x:v>
      </x:c>
      <x:c r="D267" s="73" t="str">
        <x:v>XX149</x:v>
      </x:c>
      <x:c r="E267" s="73" t="str">
        <x:v>白霜重甲卫</x:v>
      </x:c>
      <x:c r="F267" s="73" t="str">
        <x:v>稀有</x:v>
      </x:c>
      <x:c r="G267" s="73" t="str">
        <x:v>白霜重衣</x:v>
      </x:c>
      <x:c r="H267" s="73" t="str">
        <x:v>衣服</x:v>
      </x:c>
      <x:c r="I267" s="73" t="str">
        <x:v>男衣服（现行模板的衣服映射）</x:v>
      </x:c>
      <x:c r="J267" s="80"/>
      <x:c r="K267" s="73" t="str">
        <x:v>缺衣服来源码</x:v>
      </x:c>
      <x:c r="L267" s="74" t="str">
        <x:v>需补男衣服StdMode10的三库同码资源；女衣服码未获准合池</x:v>
      </x:c>
    </x:row>
    <x:row r="268" ht="34" customHeight="1">
      <x:c r="A268" s="72" t="str">
        <x:v>C07-M008</x:v>
      </x:c>
      <x:c r="B268" s="73" t="str">
        <x:v>C07</x:v>
      </x:c>
      <x:c r="C268" s="73" t="str">
        <x:v>化圣雪原</x:v>
      </x:c>
      <x:c r="D268" s="73" t="str">
        <x:v>XX148</x:v>
      </x:c>
      <x:c r="E268" s="73" t="str">
        <x:v>霜风号角骑</x:v>
      </x:c>
      <x:c r="F268" s="73" t="str">
        <x:v>稀有</x:v>
      </x:c>
      <x:c r="G268" s="73" t="str">
        <x:v>霜风战靴</x:v>
      </x:c>
      <x:c r="H268" s="73" t="str">
        <x:v>鞋子</x:v>
      </x:c>
      <x:c r="I268" s="73" t="str">
        <x:v>鞋子</x:v>
      </x:c>
      <x:c r="J268" s="79" t="n">
        <x:v>5883</x:v>
      </x:c>
      <x:c r="K268" s="73" t="str">
        <x:v>规划锁定／旧资源待实库回读</x:v>
      </x:c>
      <x:c r="L268" s="74" t="str">
        <x:v>装备资源库黄金圣律·铭契</x:v>
      </x:c>
    </x:row>
    <x:row r="269" ht="34" customHeight="1">
      <x:c r="A269" s="72" t="str">
        <x:v>C07-M009</x:v>
      </x:c>
      <x:c r="B269" s="73" t="str">
        <x:v>C07</x:v>
      </x:c>
      <x:c r="C269" s="73" t="str">
        <x:v>化圣雪原</x:v>
      </x:c>
      <x:c r="D269" s="73" t="str">
        <x:v>XX147</x:v>
      </x:c>
      <x:c r="E269" s="73" t="str">
        <x:v>冻土晶背熊</x:v>
      </x:c>
      <x:c r="F269" s="73" t="str">
        <x:v>稀有</x:v>
      </x:c>
      <x:c r="G269" s="73" t="str">
        <x:v>晶背塔盾</x:v>
      </x:c>
      <x:c r="H269" s="73" t="str">
        <x:v>盾牌</x:v>
      </x:c>
      <x:c r="I269" s="73" t="str">
        <x:v>盾牌</x:v>
      </x:c>
      <x:c r="J269" s="79" t="n">
        <x:v>5881</x:v>
      </x:c>
      <x:c r="K269" s="73" t="str">
        <x:v>规划锁定／旧资源待实库回读</x:v>
      </x:c>
      <x:c r="L269" s="74" t="str">
        <x:v>装备资源库黄金圣律·铭契</x:v>
      </x:c>
    </x:row>
    <x:row r="270" ht="34" customHeight="1">
      <x:c r="A270" s="72" t="str">
        <x:v>C07-M010</x:v>
      </x:c>
      <x:c r="B270" s="73" t="str">
        <x:v>C07</x:v>
      </x:c>
      <x:c r="C270" s="73" t="str">
        <x:v>化圣雪原</x:v>
      </x:c>
      <x:c r="D270" s="73" t="str">
        <x:v>XX150</x:v>
      </x:c>
      <x:c r="E270" s="73" t="str">
        <x:v>苍白祭司</x:v>
      </x:c>
      <x:c r="F270" s="73" t="str">
        <x:v>稀有</x:v>
      </x:c>
      <x:c r="G270" s="73" t="str">
        <x:v>苍白圣徽</x:v>
      </x:c>
      <x:c r="H270" s="73" t="str">
        <x:v>勋章</x:v>
      </x:c>
      <x:c r="I270" s="73" t="str">
        <x:v>勋章</x:v>
      </x:c>
      <x:c r="J270" s="79" t="n">
        <x:v>6999</x:v>
      </x:c>
      <x:c r="K270" s="73" t="str">
        <x:v>预检通过资源／规划锁定／待入库</x:v>
      </x:c>
      <x:c r="L270" s="74" t="str">
        <x:v>装备资源库翠焰冥契·冥契</x:v>
      </x:c>
    </x:row>
    <x:row r="271" ht="34" customHeight="1">
      <x:c r="A271" s="72" t="str">
        <x:v>C07-M011</x:v>
      </x:c>
      <x:c r="B271" s="73" t="str">
        <x:v>C07</x:v>
      </x:c>
      <x:c r="C271" s="73" t="str">
        <x:v>化圣雪原</x:v>
      </x:c>
      <x:c r="D271" s="73" t="str">
        <x:v>XX147</x:v>
      </x:c>
      <x:c r="E271" s="73" t="str">
        <x:v>雪墓巨人·赫洛</x:v>
      </x:c>
      <x:c r="F271" s="73" t="str">
        <x:v>地图BOSS</x:v>
      </x:c>
      <x:c r="G271" s="73" t="str">
        <x:v>赫洛冻拳</x:v>
      </x:c>
      <x:c r="H271" s="73" t="str">
        <x:v>武器</x:v>
      </x:c>
      <x:c r="I271" s="73" t="str">
        <x:v>武器</x:v>
      </x:c>
      <x:c r="J271" s="80"/>
      <x:c r="K271" s="73" t="str">
        <x:v>缺武器来源码</x:v>
      </x:c>
      <x:c r="L271" s="74" t="str">
        <x:v>需补同部位Items/StateItem/DnItems三库同码资源</x:v>
      </x:c>
    </x:row>
    <x:row r="272" ht="34" customHeight="1">
      <x:c r="A272" s="72" t="str">
        <x:v>C07-M012</x:v>
      </x:c>
      <x:c r="B272" s="73" t="str">
        <x:v>C07</x:v>
      </x:c>
      <x:c r="C272" s="73" t="str">
        <x:v>化圣雪原</x:v>
      </x:c>
      <x:c r="D272" s="73" t="str">
        <x:v>XX150</x:v>
      </x:c>
      <x:c r="E272" s="73" t="str">
        <x:v>苍白鹿王·艾尔维</x:v>
      </x:c>
      <x:c r="F272" s="73" t="str">
        <x:v>地图BOSS</x:v>
      </x:c>
      <x:c r="G272" s="73" t="str">
        <x:v>艾尔维霜冠</x:v>
      </x:c>
      <x:c r="H272" s="73" t="str">
        <x:v>头盔</x:v>
      </x:c>
      <x:c r="I272" s="73" t="str">
        <x:v>头盔</x:v>
      </x:c>
      <x:c r="J272" s="79" t="n">
        <x:v>5923</x:v>
      </x:c>
      <x:c r="K272" s="73" t="str">
        <x:v>规划锁定／旧资源待实库回读</x:v>
      </x:c>
      <x:c r="L272" s="74" t="str">
        <x:v>装备资源库黄金圣律·王权</x:v>
      </x:c>
    </x:row>
    <x:row r="273" ht="34" customHeight="1">
      <x:c r="A273" s="72" t="str">
        <x:v>C07-M013</x:v>
      </x:c>
      <x:c r="B273" s="73" t="str">
        <x:v>C07</x:v>
      </x:c>
      <x:c r="C273" s="73" t="str">
        <x:v>化圣雪原</x:v>
      </x:c>
      <x:c r="D273" s="73" t="str">
        <x:v>XX904</x:v>
      </x:c>
      <x:c r="E273" s="73" t="str">
        <x:v>荒境雪壳虫</x:v>
      </x:c>
      <x:c r="F273" s="73" t="str">
        <x:v>普通</x:v>
      </x:c>
      <x:c r="G273" s="73" t="str">
        <x:v>雪壳腕甲</x:v>
      </x:c>
      <x:c r="H273" s="73" t="str">
        <x:v>手镯</x:v>
      </x:c>
      <x:c r="I273" s="73" t="str">
        <x:v>手镯</x:v>
      </x:c>
      <x:c r="J273" s="79" t="n">
        <x:v>5906</x:v>
      </x:c>
      <x:c r="K273" s="73" t="str">
        <x:v>规划锁定／旧资源待实库回读</x:v>
      </x:c>
      <x:c r="L273" s="74" t="str">
        <x:v>装备资源库黄金圣律·璨金</x:v>
      </x:c>
    </x:row>
    <x:row r="274" ht="34" customHeight="1">
      <x:c r="A274" s="72" t="str">
        <x:v>C07-M014</x:v>
      </x:c>
      <x:c r="B274" s="73" t="str">
        <x:v>C07</x:v>
      </x:c>
      <x:c r="C274" s="73" t="str">
        <x:v>化圣雪原</x:v>
      </x:c>
      <x:c r="D274" s="73" t="str">
        <x:v>XX906</x:v>
      </x:c>
      <x:c r="E274" s="73" t="str">
        <x:v>冰封流亡者</x:v>
      </x:c>
      <x:c r="F274" s="73" t="str">
        <x:v>普通</x:v>
      </x:c>
      <x:c r="G274" s="73" t="str">
        <x:v>流亡冰刀</x:v>
      </x:c>
      <x:c r="H274" s="73" t="str">
        <x:v>武器</x:v>
      </x:c>
      <x:c r="I274" s="73" t="str">
        <x:v>武器</x:v>
      </x:c>
      <x:c r="J274" s="80"/>
      <x:c r="K274" s="73" t="str">
        <x:v>缺武器来源码</x:v>
      </x:c>
      <x:c r="L274" s="74" t="str">
        <x:v>需补同部位Items/StateItem/DnItems三库同码资源</x:v>
      </x:c>
    </x:row>
    <x:row r="275" ht="34" customHeight="1">
      <x:c r="A275" s="72" t="str">
        <x:v>C07-M015</x:v>
      </x:c>
      <x:c r="B275" s="73" t="str">
        <x:v>C07</x:v>
      </x:c>
      <x:c r="C275" s="73" t="str">
        <x:v>化圣雪原</x:v>
      </x:c>
      <x:c r="D275" s="73" t="str">
        <x:v>XX907</x:v>
      </x:c>
      <x:c r="E275" s="73" t="str">
        <x:v>极昼逐光兽</x:v>
      </x:c>
      <x:c r="F275" s="73" t="str">
        <x:v>普通</x:v>
      </x:c>
      <x:c r="G275" s="73" t="str">
        <x:v>逐光雪衣</x:v>
      </x:c>
      <x:c r="H275" s="73" t="str">
        <x:v>衣服</x:v>
      </x:c>
      <x:c r="I275" s="73" t="str">
        <x:v>男衣服（现行模板的衣服映射）</x:v>
      </x:c>
      <x:c r="J275" s="80"/>
      <x:c r="K275" s="73" t="str">
        <x:v>缺衣服来源码</x:v>
      </x:c>
      <x:c r="L275" s="74" t="str">
        <x:v>需补男衣服StdMode10的三库同码资源；女衣服码未获准合池</x:v>
      </x:c>
    </x:row>
    <x:row r="276" ht="34" customHeight="1">
      <x:c r="A276" s="72" t="str">
        <x:v>C07-M016</x:v>
      </x:c>
      <x:c r="B276" s="73" t="str">
        <x:v>C07</x:v>
      </x:c>
      <x:c r="C276" s="73" t="str">
        <x:v>化圣雪原</x:v>
      </x:c>
      <x:c r="D276" s="73" t="str">
        <x:v>XX905</x:v>
      </x:c>
      <x:c r="E276" s="73" t="str">
        <x:v>圣域守碑人</x:v>
      </x:c>
      <x:c r="F276" s="73" t="str">
        <x:v>普通</x:v>
      </x:c>
      <x:c r="G276" s="73" t="str">
        <x:v>守碑斗笠</x:v>
      </x:c>
      <x:c r="H276" s="73" t="str">
        <x:v>斗笠</x:v>
      </x:c>
      <x:c r="I276" s="73" t="str">
        <x:v>面巾（位置13，对应斗笠）</x:v>
      </x:c>
      <x:c r="J276" s="80"/>
      <x:c r="K276" s="73" t="str">
        <x:v>缺斗笠来源码</x:v>
      </x:c>
      <x:c r="L276" s="74" t="str">
        <x:v>需补StdMode16/位置13的三库同码资源</x:v>
      </x:c>
    </x:row>
    <x:row r="277" ht="34" customHeight="1">
      <x:c r="A277" s="72" t="str">
        <x:v>C07-M017</x:v>
      </x:c>
      <x:c r="B277" s="73" t="str">
        <x:v>C07</x:v>
      </x:c>
      <x:c r="C277" s="73" t="str">
        <x:v>化圣雪原</x:v>
      </x:c>
      <x:c r="D277" s="73" t="str">
        <x:v>XX904</x:v>
      </x:c>
      <x:c r="E277" s="73" t="str">
        <x:v>永冻霜牙狼</x:v>
      </x:c>
      <x:c r="F277" s="73" t="str">
        <x:v>普通</x:v>
      </x:c>
      <x:c r="G277" s="73" t="str">
        <x:v>霜牙指环</x:v>
      </x:c>
      <x:c r="H277" s="73" t="str">
        <x:v>戒指</x:v>
      </x:c>
      <x:c r="I277" s="73" t="str">
        <x:v>戒指</x:v>
      </x:c>
      <x:c r="J277" s="79" t="n">
        <x:v>5934</x:v>
      </x:c>
      <x:c r="K277" s="73" t="str">
        <x:v>规划锁定／旧资源待实库回读</x:v>
      </x:c>
      <x:c r="L277" s="74" t="str">
        <x:v>装备资源库黄金圣律·日冕</x:v>
      </x:c>
    </x:row>
    <x:row r="278" ht="34" customHeight="1">
      <x:c r="A278" s="72" t="str">
        <x:v>C07-M018</x:v>
      </x:c>
      <x:c r="B278" s="73" t="str">
        <x:v>C07</x:v>
      </x:c>
      <x:c r="C278" s="73" t="str">
        <x:v>化圣雪原</x:v>
      </x:c>
      <x:c r="D278" s="73" t="str">
        <x:v>XX906</x:v>
      </x:c>
      <x:c r="E278" s="73" t="str">
        <x:v>旷野寒弓手</x:v>
      </x:c>
      <x:c r="F278" s="73" t="str">
        <x:v>普通</x:v>
      </x:c>
      <x:c r="G278" s="73" t="str">
        <x:v>寒弓束带</x:v>
      </x:c>
      <x:c r="H278" s="73" t="str">
        <x:v>腰带</x:v>
      </x:c>
      <x:c r="I278" s="73" t="str">
        <x:v>腰带</x:v>
      </x:c>
      <x:c r="J278" s="79" t="n">
        <x:v>5884</x:v>
      </x:c>
      <x:c r="K278" s="73" t="str">
        <x:v>规划锁定／旧资源待实库回读</x:v>
      </x:c>
      <x:c r="L278" s="74" t="str">
        <x:v>装备资源库黄金圣律·铭契</x:v>
      </x:c>
    </x:row>
    <x:row r="279" ht="34" customHeight="1">
      <x:c r="A279" s="72" t="str">
        <x:v>C07-M019</x:v>
      </x:c>
      <x:c r="B279" s="73" t="str">
        <x:v>C07</x:v>
      </x:c>
      <x:c r="C279" s="73" t="str">
        <x:v>化圣雪原</x:v>
      </x:c>
      <x:c r="D279" s="73" t="str">
        <x:v>XX904</x:v>
      </x:c>
      <x:c r="E279" s="73" t="str">
        <x:v>荒境冰甲犀</x:v>
      </x:c>
      <x:c r="F279" s="73" t="str">
        <x:v>稀有</x:v>
      </x:c>
      <x:c r="G279" s="73" t="str">
        <x:v>冰甲重盾</x:v>
      </x:c>
      <x:c r="H279" s="73" t="str">
        <x:v>盾牌</x:v>
      </x:c>
      <x:c r="I279" s="73" t="str">
        <x:v>盾牌</x:v>
      </x:c>
      <x:c r="J279" s="79" t="n">
        <x:v>5890</x:v>
      </x:c>
      <x:c r="K279" s="73" t="str">
        <x:v>规划锁定／旧资源待实库回读</x:v>
      </x:c>
      <x:c r="L279" s="74" t="str">
        <x:v>装备资源库黄金圣律·执火</x:v>
      </x:c>
    </x:row>
    <x:row r="280" ht="34" customHeight="1">
      <x:c r="A280" s="72" t="str">
        <x:v>C07-M020</x:v>
      </x:c>
      <x:c r="B280" s="73" t="str">
        <x:v>C07</x:v>
      </x:c>
      <x:c r="C280" s="73" t="str">
        <x:v>化圣雪原</x:v>
      </x:c>
      <x:c r="D280" s="73" t="str">
        <x:v>XX906</x:v>
      </x:c>
      <x:c r="E280" s="73" t="str">
        <x:v>冰封审判骑</x:v>
      </x:c>
      <x:c r="F280" s="73" t="str">
        <x:v>稀有</x:v>
      </x:c>
      <x:c r="G280" s="73" t="str">
        <x:v>审判长靴</x:v>
      </x:c>
      <x:c r="H280" s="73" t="str">
        <x:v>鞋子</x:v>
      </x:c>
      <x:c r="I280" s="73" t="str">
        <x:v>鞋子</x:v>
      </x:c>
      <x:c r="J280" s="79" t="n">
        <x:v>5892</x:v>
      </x:c>
      <x:c r="K280" s="73" t="str">
        <x:v>规划锁定／旧资源待实库回读</x:v>
      </x:c>
      <x:c r="L280" s="74" t="str">
        <x:v>装备资源库黄金圣律·执火</x:v>
      </x:c>
    </x:row>
    <x:row r="281" ht="34" customHeight="1">
      <x:c r="A281" s="72" t="str">
        <x:v>C07-M021</x:v>
      </x:c>
      <x:c r="B281" s="73" t="str">
        <x:v>C07</x:v>
      </x:c>
      <x:c r="C281" s="73" t="str">
        <x:v>化圣雪原</x:v>
      </x:c>
      <x:c r="D281" s="73" t="str">
        <x:v>XX907</x:v>
      </x:c>
      <x:c r="E281" s="73" t="str">
        <x:v>极昼白翼鹫</x:v>
      </x:c>
      <x:c r="F281" s="73" t="str">
        <x:v>稀有</x:v>
      </x:c>
      <x:c r="G281" s="73" t="str">
        <x:v>白翼颈链</x:v>
      </x:c>
      <x:c r="H281" s="73" t="str">
        <x:v>项链</x:v>
      </x:c>
      <x:c r="I281" s="73" t="str">
        <x:v>项链</x:v>
      </x:c>
      <x:c r="J281" s="79" t="n">
        <x:v>5940</x:v>
      </x:c>
      <x:c r="K281" s="73" t="str">
        <x:v>规划锁定／旧资源待实库回读</x:v>
      </x:c>
      <x:c r="L281" s="74" t="str">
        <x:v>装备资源库黄金圣律·神律</x:v>
      </x:c>
    </x:row>
    <x:row r="282" ht="34" customHeight="1">
      <x:c r="A282" s="72" t="str">
        <x:v>C07-M022</x:v>
      </x:c>
      <x:c r="B282" s="73" t="str">
        <x:v>C07</x:v>
      </x:c>
      <x:c r="C282" s="73" t="str">
        <x:v>化圣雪原</x:v>
      </x:c>
      <x:c r="D282" s="73" t="str">
        <x:v>XX905</x:v>
      </x:c>
      <x:c r="E282" s="73" t="str">
        <x:v>圣域默祷师</x:v>
      </x:c>
      <x:c r="F282" s="73" t="str">
        <x:v>稀有</x:v>
      </x:c>
      <x:c r="G282" s="73" t="str">
        <x:v>默祷雪章</x:v>
      </x:c>
      <x:c r="H282" s="73" t="str">
        <x:v>勋章</x:v>
      </x:c>
      <x:c r="I282" s="73" t="str">
        <x:v>勋章</x:v>
      </x:c>
      <x:c r="J282" s="79" t="n">
        <x:v>7034</x:v>
      </x:c>
      <x:c r="K282" s="73" t="str">
        <x:v>预检通过资源／规划锁定／待入库</x:v>
      </x:c>
      <x:c r="L282" s="74" t="str">
        <x:v>装备资源库翠焰冥契·灾厄</x:v>
      </x:c>
    </x:row>
    <x:row r="283" ht="34" customHeight="1">
      <x:c r="A283" s="72" t="str">
        <x:v>C07-M023</x:v>
      </x:c>
      <x:c r="B283" s="73" t="str">
        <x:v>C07</x:v>
      </x:c>
      <x:c r="C283" s="73" t="str">
        <x:v>化圣雪原</x:v>
      </x:c>
      <x:c r="D283" s="73" t="str">
        <x:v>XX907</x:v>
      </x:c>
      <x:c r="E283" s="73" t="str">
        <x:v>极昼雪后·芙蕾</x:v>
      </x:c>
      <x:c r="F283" s="73" t="str">
        <x:v>地图BOSS</x:v>
      </x:c>
      <x:c r="G283" s="73" t="str">
        <x:v>芙蕾冰冠</x:v>
      </x:c>
      <x:c r="H283" s="73" t="str">
        <x:v>头盔</x:v>
      </x:c>
      <x:c r="I283" s="73" t="str">
        <x:v>头盔</x:v>
      </x:c>
      <x:c r="J283" s="79" t="n">
        <x:v>5941</x:v>
      </x:c>
      <x:c r="K283" s="73" t="str">
        <x:v>规划锁定／旧资源待实库回读</x:v>
      </x:c>
      <x:c r="L283" s="74" t="str">
        <x:v>装备资源库黄金圣律·神律</x:v>
      </x:c>
    </x:row>
    <x:row r="284" ht="34" customHeight="1">
      <x:c r="A284" s="72" t="str">
        <x:v>C07-M024</x:v>
      </x:c>
      <x:c r="B284" s="73" t="str">
        <x:v>C07</x:v>
      </x:c>
      <x:c r="C284" s="73" t="str">
        <x:v>化圣雪原</x:v>
      </x:c>
      <x:c r="D284" s="73" t="str">
        <x:v>XX905</x:v>
      </x:c>
      <x:c r="E284" s="73" t="str">
        <x:v>永冻圣兽·乌尔</x:v>
      </x:c>
      <x:c r="F284" s="73" t="str">
        <x:v>地图BOSS</x:v>
      </x:c>
      <x:c r="G284" s="73" t="str">
        <x:v>乌尔寒铠</x:v>
      </x:c>
      <x:c r="H284" s="73" t="str">
        <x:v>衣服</x:v>
      </x:c>
      <x:c r="I284" s="73" t="str">
        <x:v>男衣服（现行模板的衣服映射）</x:v>
      </x:c>
      <x:c r="J284" s="80"/>
      <x:c r="K284" s="73" t="str">
        <x:v>缺衣服来源码</x:v>
      </x:c>
      <x:c r="L284" s="74" t="str">
        <x:v>需补男衣服StdMode10的三库同码资源；女衣服码未获准合池</x:v>
      </x:c>
    </x:row>
    <x:row r="285" ht="34" customHeight="1">
      <x:c r="A285" s="72" t="str">
        <x:v>C07-M025</x:v>
      </x:c>
      <x:c r="B285" s="73" t="str">
        <x:v>C07</x:v>
      </x:c>
      <x:c r="C285" s="73" t="str">
        <x:v>化圣雪原</x:v>
      </x:c>
      <x:c r="D285" s="73" t="str">
        <x:v>XX912</x:v>
      </x:c>
      <x:c r="E285" s="73" t="str">
        <x:v>禁域冻喉兽</x:v>
      </x:c>
      <x:c r="F285" s="73" t="str">
        <x:v>普通</x:v>
      </x:c>
      <x:c r="G285" s="73" t="str">
        <x:v>冻喉牙刃</x:v>
      </x:c>
      <x:c r="H285" s="73" t="str">
        <x:v>武器</x:v>
      </x:c>
      <x:c r="I285" s="73" t="str">
        <x:v>武器</x:v>
      </x:c>
      <x:c r="J285" s="80"/>
      <x:c r="K285" s="73" t="str">
        <x:v>缺武器来源码</x:v>
      </x:c>
      <x:c r="L285" s="74" t="str">
        <x:v>需补同部位Items/StateItem/DnItems三库同码资源</x:v>
      </x:c>
    </x:row>
    <x:row r="286" ht="34" customHeight="1">
      <x:c r="A286" s="72" t="str">
        <x:v>C07-M026</x:v>
      </x:c>
      <x:c r="B286" s="73" t="str">
        <x:v>C07</x:v>
      </x:c>
      <x:c r="C286" s="73" t="str">
        <x:v>化圣雪原</x:v>
      </x:c>
      <x:c r="D286" s="73" t="str">
        <x:v>XX908</x:v>
      </x:c>
      <x:c r="E286" s="73" t="str">
        <x:v>雾界迷途兵</x:v>
      </x:c>
      <x:c r="F286" s="73" t="str">
        <x:v>普通</x:v>
      </x:c>
      <x:c r="G286" s="73" t="str">
        <x:v>雾界斗笠</x:v>
      </x:c>
      <x:c r="H286" s="73" t="str">
        <x:v>斗笠</x:v>
      </x:c>
      <x:c r="I286" s="73" t="str">
        <x:v>面巾（位置13，对应斗笠）</x:v>
      </x:c>
      <x:c r="J286" s="80"/>
      <x:c r="K286" s="73" t="str">
        <x:v>缺斗笠来源码</x:v>
      </x:c>
      <x:c r="L286" s="74" t="str">
        <x:v>需补StdMode16/位置13的三库同码资源</x:v>
      </x:c>
    </x:row>
    <x:row r="287" ht="34" customHeight="1">
      <x:c r="A287" s="72" t="str">
        <x:v>C07-M027</x:v>
      </x:c>
      <x:c r="B287" s="73" t="str">
        <x:v>C07</x:v>
      </x:c>
      <x:c r="C287" s="73" t="str">
        <x:v>化圣雪原</x:v>
      </x:c>
      <x:c r="D287" s="73" t="str">
        <x:v>XX909</x:v>
      </x:c>
      <x:c r="E287" s="73" t="str">
        <x:v>寒狱锁链卒</x:v>
      </x:c>
      <x:c r="F287" s="73" t="str">
        <x:v>普通</x:v>
      </x:c>
      <x:c r="G287" s="73" t="str">
        <x:v>寒狱铁镯</x:v>
      </x:c>
      <x:c r="H287" s="73" t="str">
        <x:v>手镯</x:v>
      </x:c>
      <x:c r="I287" s="73" t="str">
        <x:v>手镯</x:v>
      </x:c>
      <x:c r="J287" s="79" t="n">
        <x:v>5915</x:v>
      </x:c>
      <x:c r="K287" s="73" t="str">
        <x:v>规划锁定／旧资源待实库回读</x:v>
      </x:c>
      <x:c r="L287" s="74" t="str">
        <x:v>装备资源库黄金圣律·蓝辉</x:v>
      </x:c>
    </x:row>
    <x:row r="288" ht="34" customHeight="1">
      <x:c r="A288" s="72" t="str">
        <x:v>C07-M028</x:v>
      </x:c>
      <x:c r="B288" s="73" t="str">
        <x:v>C07</x:v>
      </x:c>
      <x:c r="C288" s="73" t="str">
        <x:v>化圣雪原</x:v>
      </x:c>
      <x:c r="D288" s="73" t="str">
        <x:v>XX910</x:v>
      </x:c>
      <x:c r="E288" s="73" t="str">
        <x:v>祭坛守烛女</x:v>
      </x:c>
      <x:c r="F288" s="73" t="str">
        <x:v>普通</x:v>
      </x:c>
      <x:c r="G288" s="73" t="str">
        <x:v>守烛项链</x:v>
      </x:c>
      <x:c r="H288" s="73" t="str">
        <x:v>项链</x:v>
      </x:c>
      <x:c r="I288" s="73" t="str">
        <x:v>项链</x:v>
      </x:c>
      <x:c r="J288" s="79" t="n">
        <x:v>5949</x:v>
      </x:c>
      <x:c r="K288" s="73" t="str">
        <x:v>规划锁定／旧资源待实库回读</x:v>
      </x:c>
      <x:c r="L288" s="74" t="str">
        <x:v>装备资源库黄金圣律·永耀</x:v>
      </x:c>
    </x:row>
    <x:row r="289" ht="34" customHeight="1">
      <x:c r="A289" s="72" t="str">
        <x:v>C07-M029</x:v>
      </x:c>
      <x:c r="B289" s="73" t="str">
        <x:v>C07</x:v>
      </x:c>
      <x:c r="C289" s="73" t="str">
        <x:v>化圣雪原</x:v>
      </x:c>
      <x:c r="D289" s="73" t="str">
        <x:v>XX911</x:v>
      </x:c>
      <x:c r="E289" s="73" t="str">
        <x:v>圣所白甲卫</x:v>
      </x:c>
      <x:c r="F289" s="73" t="str">
        <x:v>普通</x:v>
      </x:c>
      <x:c r="G289" s="73" t="str">
        <x:v>白甲战衣</x:v>
      </x:c>
      <x:c r="H289" s="73" t="str">
        <x:v>衣服</x:v>
      </x:c>
      <x:c r="I289" s="73" t="str">
        <x:v>男衣服（现行模板的衣服映射）</x:v>
      </x:c>
      <x:c r="J289" s="80"/>
      <x:c r="K289" s="73" t="str">
        <x:v>缺衣服来源码</x:v>
      </x:c>
      <x:c r="L289" s="74" t="str">
        <x:v>需补男衣服StdMode10的三库同码资源；女衣服码未获准合池</x:v>
      </x:c>
    </x:row>
    <x:row r="290" ht="34" customHeight="1">
      <x:c r="A290" s="72" t="str">
        <x:v>C07-M030</x:v>
      </x:c>
      <x:c r="B290" s="73" t="str">
        <x:v>C07</x:v>
      </x:c>
      <x:c r="C290" s="73" t="str">
        <x:v>化圣雪原</x:v>
      </x:c>
      <x:c r="D290" s="73" t="str">
        <x:v>XX912</x:v>
      </x:c>
      <x:c r="E290" s="73" t="str">
        <x:v>极寒巡界狼</x:v>
      </x:c>
      <x:c r="F290" s="73" t="str">
        <x:v>普通</x:v>
      </x:c>
      <x:c r="G290" s="73" t="str">
        <x:v>巡界牙戒</x:v>
      </x:c>
      <x:c r="H290" s="73" t="str">
        <x:v>戒指</x:v>
      </x:c>
      <x:c r="I290" s="73" t="str">
        <x:v>戒指</x:v>
      </x:c>
      <x:c r="J290" s="79" t="n">
        <x:v>5943</x:v>
      </x:c>
      <x:c r="K290" s="73" t="str">
        <x:v>规划锁定／旧资源待实库回读</x:v>
      </x:c>
      <x:c r="L290" s="74" t="str">
        <x:v>装备资源库黄金圣律·神律</x:v>
      </x:c>
    </x:row>
    <x:row r="291" ht="34" customHeight="1">
      <x:c r="A291" s="72" t="str">
        <x:v>C07-M031</x:v>
      </x:c>
      <x:c r="B291" s="73" t="str">
        <x:v>C07</x:v>
      </x:c>
      <x:c r="C291" s="73" t="str">
        <x:v>化圣雪原</x:v>
      </x:c>
      <x:c r="D291" s="73" t="str">
        <x:v>XX908</x:v>
      </x:c>
      <x:c r="E291" s="73" t="str">
        <x:v>冻雾幻刃客</x:v>
      </x:c>
      <x:c r="F291" s="73" t="str">
        <x:v>稀有</x:v>
      </x:c>
      <x:c r="G291" s="73" t="str">
        <x:v>幻刃腰封</x:v>
      </x:c>
      <x:c r="H291" s="73" t="str">
        <x:v>腰带</x:v>
      </x:c>
      <x:c r="I291" s="73" t="str">
        <x:v>腰带</x:v>
      </x:c>
      <x:c r="J291" s="79" t="n">
        <x:v>5893</x:v>
      </x:c>
      <x:c r="K291" s="73" t="str">
        <x:v>规划锁定／旧资源待实库回读</x:v>
      </x:c>
      <x:c r="L291" s="74" t="str">
        <x:v>装备资源库黄金圣律·执火</x:v>
      </x:c>
    </x:row>
    <x:row r="292" ht="34" customHeight="1">
      <x:c r="A292" s="72" t="str">
        <x:v>C07-M032</x:v>
      </x:c>
      <x:c r="B292" s="73" t="str">
        <x:v>C07</x:v>
      </x:c>
      <x:c r="C292" s="73" t="str">
        <x:v>化圣雪原</x:v>
      </x:c>
      <x:c r="D292" s="73" t="str">
        <x:v>XX909</x:v>
      </x:c>
      <x:c r="E292" s="73" t="str">
        <x:v>寒狱冰骨将</x:v>
      </x:c>
      <x:c r="F292" s="73" t="str">
        <x:v>稀有</x:v>
      </x:c>
      <x:c r="G292" s="73" t="str">
        <x:v>冰骨战靴</x:v>
      </x:c>
      <x:c r="H292" s="73" t="str">
        <x:v>鞋子</x:v>
      </x:c>
      <x:c r="I292" s="73" t="str">
        <x:v>鞋子</x:v>
      </x:c>
      <x:c r="J292" s="79" t="n">
        <x:v>5901</x:v>
      </x:c>
      <x:c r="K292" s="73" t="str">
        <x:v>规划锁定／旧资源待实库回读</x:v>
      </x:c>
      <x:c r="L292" s="74" t="str">
        <x:v>装备资源库黄金圣律·圣徽</x:v>
      </x:c>
    </x:row>
    <x:row r="293" ht="34" customHeight="1">
      <x:c r="A293" s="72" t="str">
        <x:v>C07-M033</x:v>
      </x:c>
      <x:c r="B293" s="73" t="str">
        <x:v>C07</x:v>
      </x:c>
      <x:c r="C293" s="73" t="str">
        <x:v>化圣雪原</x:v>
      </x:c>
      <x:c r="D293" s="73" t="str">
        <x:v>XX910</x:v>
      </x:c>
      <x:c r="E293" s="73" t="str">
        <x:v>祭坛霜钟僧</x:v>
      </x:c>
      <x:c r="F293" s="73" t="str">
        <x:v>稀有</x:v>
      </x:c>
      <x:c r="G293" s="73" t="str">
        <x:v>霜钟罪章</x:v>
      </x:c>
      <x:c r="H293" s="73" t="str">
        <x:v>勋章</x:v>
      </x:c>
      <x:c r="I293" s="73" t="str">
        <x:v>勋章</x:v>
      </x:c>
      <x:c r="J293" s="79" t="n">
        <x:v>7069</x:v>
      </x:c>
      <x:c r="K293" s="73" t="str">
        <x:v>预检通过资源／规划锁定／待入库</x:v>
      </x:c>
      <x:c r="L293" s="74" t="str">
        <x:v>装备资源库翠焰冥契·永夜</x:v>
      </x:c>
    </x:row>
    <x:row r="294" ht="34" customHeight="1">
      <x:c r="A294" s="72" t="str">
        <x:v>C07-M034</x:v>
      </x:c>
      <x:c r="B294" s="73" t="str">
        <x:v>C07</x:v>
      </x:c>
      <x:c r="C294" s="73" t="str">
        <x:v>化圣雪原</x:v>
      </x:c>
      <x:c r="D294" s="73" t="str">
        <x:v>XX911</x:v>
      </x:c>
      <x:c r="E294" s="73" t="str">
        <x:v>圣所银角兽</x:v>
      </x:c>
      <x:c r="F294" s="73" t="str">
        <x:v>稀有</x:v>
      </x:c>
      <x:c r="G294" s="73" t="str">
        <x:v>银角塔盾</x:v>
      </x:c>
      <x:c r="H294" s="73" t="str">
        <x:v>盾牌</x:v>
      </x:c>
      <x:c r="I294" s="73" t="str">
        <x:v>盾牌</x:v>
      </x:c>
      <x:c r="J294" s="79" t="n">
        <x:v>5899</x:v>
      </x:c>
      <x:c r="K294" s="73" t="str">
        <x:v>规划锁定／旧资源待实库回读</x:v>
      </x:c>
      <x:c r="L294" s="74" t="str">
        <x:v>装备资源库黄金圣律·圣徽</x:v>
      </x:c>
    </x:row>
    <x:row r="295" ht="34" customHeight="1">
      <x:c r="A295" s="72" t="str">
        <x:v>C07-M035</x:v>
      </x:c>
      <x:c r="B295" s="73" t="str">
        <x:v>C07</x:v>
      </x:c>
      <x:c r="C295" s="73" t="str">
        <x:v>化圣雪原</x:v>
      </x:c>
      <x:c r="D295" s="73" t="str">
        <x:v>XX910</x:v>
      </x:c>
      <x:c r="E295" s="73" t="str">
        <x:v>冰祭审判者·诺薇</x:v>
      </x:c>
      <x:c r="F295" s="73" t="str">
        <x:v>地图BOSS</x:v>
      </x:c>
      <x:c r="G295" s="73" t="str">
        <x:v>诺薇霜镰</x:v>
      </x:c>
      <x:c r="H295" s="73" t="str">
        <x:v>武器</x:v>
      </x:c>
      <x:c r="I295" s="73" t="str">
        <x:v>武器</x:v>
      </x:c>
      <x:c r="J295" s="80"/>
      <x:c r="K295" s="73" t="str">
        <x:v>缺武器来源码</x:v>
      </x:c>
      <x:c r="L295" s="74" t="str">
        <x:v>需补同部位Items/StateItem/DnItems三库同码资源</x:v>
      </x:c>
    </x:row>
    <x:row r="296" ht="34" customHeight="1">
      <x:c r="A296" s="72" t="str">
        <x:v>C07-M036</x:v>
      </x:c>
      <x:c r="B296" s="73" t="str">
        <x:v>C07</x:v>
      </x:c>
      <x:c r="C296" s="73" t="str">
        <x:v>化圣雪原</x:v>
      </x:c>
      <x:c r="D296" s="73" t="str">
        <x:v>XX911</x:v>
      </x:c>
      <x:c r="E296" s="73" t="str">
        <x:v>极寒圣女·希尔达</x:v>
      </x:c>
      <x:c r="F296" s="73" t="str">
        <x:v>地图BOSS</x:v>
      </x:c>
      <x:c r="G296" s="73" t="str">
        <x:v>希尔达圣冠</x:v>
      </x:c>
      <x:c r="H296" s="73" t="str">
        <x:v>头盔</x:v>
      </x:c>
      <x:c r="I296" s="73" t="str">
        <x:v>头盔</x:v>
      </x:c>
      <x:c r="J296" s="79" t="n">
        <x:v>5950</x:v>
      </x:c>
      <x:c r="K296" s="73" t="str">
        <x:v>规划锁定／旧资源待实库回读</x:v>
      </x:c>
      <x:c r="L296" s="74" t="str">
        <x:v>装备资源库黄金圣律·永耀</x:v>
      </x:c>
    </x:row>
    <x:row r="297" ht="34" customHeight="1">
      <x:c r="A297" s="72" t="str">
        <x:v>C07-M037</x:v>
      </x:c>
      <x:c r="B297" s="73" t="str">
        <x:v>C07</x:v>
      </x:c>
      <x:c r="C297" s="73" t="str">
        <x:v>化圣雪原</x:v>
      </x:c>
      <x:c r="D297" s="73" t="str">
        <x:v>XX911</x:v>
      </x:c>
      <x:c r="E297" s="73" t="str">
        <x:v>化圣霜王·埃琉斯</x:v>
      </x:c>
      <x:c r="F297" s="73" t="str">
        <x:v>守关BOSS</x:v>
      </x:c>
      <x:c r="G297" s="73" t="str">
        <x:v>埃琉斯永霜铠</x:v>
      </x:c>
      <x:c r="H297" s="73" t="str">
        <x:v>衣服</x:v>
      </x:c>
      <x:c r="I297" s="73" t="str">
        <x:v>男衣服（现行模板的衣服映射）</x:v>
      </x:c>
      <x:c r="J297" s="79" t="n">
        <x:v>7062</x:v>
      </x:c>
      <x:c r="K297" s="73" t="str">
        <x:v>预检通过资源／规划锁定／待入库</x:v>
      </x:c>
      <x:c r="L297" s="74" t="str">
        <x:v>按现行装备模板映射男衣服StdMode10；翠焰冥契·永夜</x:v>
      </x:c>
    </x:row>
    <x:row r="298" ht="34" customHeight="1">
      <x:c r="A298" s="72" t="str">
        <x:v>C08-M001</x:v>
      </x:c>
      <x:c r="B298" s="73" t="str">
        <x:v>C08</x:v>
      </x:c>
      <x:c r="C298" s="73" t="str">
        <x:v>巨人山顶</x:v>
      </x:c>
      <x:c r="D298" s="73" t="str">
        <x:v>XX900</x:v>
      </x:c>
      <x:c r="E298" s="73" t="str">
        <x:v>霜蹄岩羊</x:v>
      </x:c>
      <x:c r="F298" s="73" t="str">
        <x:v>普通</x:v>
      </x:c>
      <x:c r="G298" s="73" t="str">
        <x:v>霜蹄踏雪靴</x:v>
      </x:c>
      <x:c r="H298" s="73" t="str">
        <x:v>鞋子</x:v>
      </x:c>
      <x:c r="I298" s="73" t="str">
        <x:v>鞋子</x:v>
      </x:c>
      <x:c r="J298" s="79" t="n">
        <x:v>5910</x:v>
      </x:c>
      <x:c r="K298" s="73" t="str">
        <x:v>规划锁定／旧资源待实库回读</x:v>
      </x:c>
      <x:c r="L298" s="74" t="str">
        <x:v>装备资源库黄金圣律·璨金</x:v>
      </x:c>
    </x:row>
    <x:row r="299" ht="34" customHeight="1">
      <x:c r="A299" s="72" t="str">
        <x:v>C08-M002</x:v>
      </x:c>
      <x:c r="B299" s="73" t="str">
        <x:v>C08</x:v>
      </x:c>
      <x:c r="C299" s="73" t="str">
        <x:v>巨人山顶</x:v>
      </x:c>
      <x:c r="D299" s="73" t="str">
        <x:v>XX900</x:v>
      </x:c>
      <x:c r="E299" s="73" t="str">
        <x:v>背冰拾荒者</x:v>
      </x:c>
      <x:c r="F299" s="73" t="str">
        <x:v>普通</x:v>
      </x:c>
      <x:c r="G299" s="73" t="str">
        <x:v>拾荒冰镐</x:v>
      </x:c>
      <x:c r="H299" s="73" t="str">
        <x:v>武器</x:v>
      </x:c>
      <x:c r="I299" s="73" t="str">
        <x:v>武器</x:v>
      </x:c>
      <x:c r="J299" s="80"/>
      <x:c r="K299" s="73" t="str">
        <x:v>缺武器来源码</x:v>
      </x:c>
      <x:c r="L299" s="74" t="str">
        <x:v>需补同部位Items/StateItem/DnItems三库同码资源</x:v>
      </x:c>
    </x:row>
    <x:row r="300" ht="34" customHeight="1">
      <x:c r="A300" s="72" t="str">
        <x:v>C08-M003</x:v>
      </x:c>
      <x:c r="B300" s="73" t="str">
        <x:v>C08</x:v>
      </x:c>
      <x:c r="C300" s="73" t="str">
        <x:v>巨人山顶</x:v>
      </x:c>
      <x:c r="D300" s="73" t="str">
        <x:v>XX901</x:v>
      </x:c>
      <x:c r="E300" s="73" t="str">
        <x:v>冰脊雪猿</x:v>
      </x:c>
      <x:c r="F300" s="73" t="str">
        <x:v>普通</x:v>
      </x:c>
      <x:c r="G300" s="73" t="str">
        <x:v>雪猿鬃甲</x:v>
      </x:c>
      <x:c r="H300" s="73" t="str">
        <x:v>衣服</x:v>
      </x:c>
      <x:c r="I300" s="73" t="str">
        <x:v>男衣服（现行模板的衣服映射）</x:v>
      </x:c>
      <x:c r="J300" s="80"/>
      <x:c r="K300" s="73" t="str">
        <x:v>缺衣服来源码</x:v>
      </x:c>
      <x:c r="L300" s="74" t="str">
        <x:v>需补男衣服StdMode10的三库同码资源；女衣服码未获准合池</x:v>
      </x:c>
    </x:row>
    <x:row r="301" ht="34" customHeight="1">
      <x:c r="A301" s="72" t="str">
        <x:v>C08-M004</x:v>
      </x:c>
      <x:c r="B301" s="73" t="str">
        <x:v>C08</x:v>
      </x:c>
      <x:c r="C301" s="73" t="str">
        <x:v>巨人山顶</x:v>
      </x:c>
      <x:c r="D301" s="73" t="str">
        <x:v>XX901</x:v>
      </x:c>
      <x:c r="E301" s="73" t="str">
        <x:v>古道冻骸</x:v>
      </x:c>
      <x:c r="F301" s="73" t="str">
        <x:v>普通</x:v>
      </x:c>
      <x:c r="G301" s="73" t="str">
        <x:v>冻骨圆盾</x:v>
      </x:c>
      <x:c r="H301" s="73" t="str">
        <x:v>盾牌</x:v>
      </x:c>
      <x:c r="I301" s="73" t="str">
        <x:v>盾牌</x:v>
      </x:c>
      <x:c r="J301" s="79" t="n">
        <x:v>5908</x:v>
      </x:c>
      <x:c r="K301" s="73" t="str">
        <x:v>规划锁定／旧资源待实库回读</x:v>
      </x:c>
      <x:c r="L301" s="74" t="str">
        <x:v>装备资源库黄金圣律·璨金</x:v>
      </x:c>
    </x:row>
    <x:row r="302" ht="34" customHeight="1">
      <x:c r="A302" s="72" t="str">
        <x:v>C08-M005</x:v>
      </x:c>
      <x:c r="B302" s="73" t="str">
        <x:v>C08</x:v>
      </x:c>
      <x:c r="C302" s="73" t="str">
        <x:v>巨人山顶</x:v>
      </x:c>
      <x:c r="D302" s="73" t="str">
        <x:v>XX902</x:v>
      </x:c>
      <x:c r="E302" s="73" t="str">
        <x:v>暴雪青隼</x:v>
      </x:c>
      <x:c r="F302" s="73" t="str">
        <x:v>普通</x:v>
      </x:c>
      <x:c r="G302" s="73" t="str">
        <x:v>青隼翎盔</x:v>
      </x:c>
      <x:c r="H302" s="73" t="str">
        <x:v>头盔</x:v>
      </x:c>
      <x:c r="I302" s="73" t="str">
        <x:v>头盔</x:v>
      </x:c>
      <x:c r="J302" s="79" t="n">
        <x:v>5959</x:v>
      </x:c>
      <x:c r="K302" s="73" t="str">
        <x:v>规划锁定／旧资源待实库回读</x:v>
      </x:c>
      <x:c r="L302" s="74" t="str">
        <x:v>装备资源库血月荆棘·暗芽</x:v>
      </x:c>
    </x:row>
    <x:row r="303" ht="34" customHeight="1">
      <x:c r="A303" s="72" t="str">
        <x:v>C08-M006</x:v>
      </x:c>
      <x:c r="B303" s="73" t="str">
        <x:v>C08</x:v>
      </x:c>
      <x:c r="C303" s="73" t="str">
        <x:v>巨人山顶</x:v>
      </x:c>
      <x:c r="D303" s="73" t="str">
        <x:v>XX903</x:v>
      </x:c>
      <x:c r="E303" s="73" t="str">
        <x:v>祭台霜烛灵</x:v>
      </x:c>
      <x:c r="F303" s="73" t="str">
        <x:v>普通</x:v>
      </x:c>
      <x:c r="G303" s="73" t="str">
        <x:v>霜烛垂链</x:v>
      </x:c>
      <x:c r="H303" s="73" t="str">
        <x:v>项链</x:v>
      </x:c>
      <x:c r="I303" s="73" t="str">
        <x:v>项链</x:v>
      </x:c>
      <x:c r="J303" s="79" t="n">
        <x:v>5958</x:v>
      </x:c>
      <x:c r="K303" s="73" t="str">
        <x:v>规划锁定／旧资源待实库回读</x:v>
      </x:c>
      <x:c r="L303" s="74" t="str">
        <x:v>装备资源库血月荆棘·暗芽</x:v>
      </x:c>
    </x:row>
    <x:row r="304" ht="34" customHeight="1">
      <x:c r="A304" s="72" t="str">
        <x:v>C08-M007</x:v>
      </x:c>
      <x:c r="B304" s="73" t="str">
        <x:v>C08</x:v>
      </x:c>
      <x:c r="C304" s="73" t="str">
        <x:v>巨人山顶</x:v>
      </x:c>
      <x:c r="D304" s="73" t="str">
        <x:v>XX900</x:v>
      </x:c>
      <x:c r="E304" s="73" t="str">
        <x:v>雾凇引路人</x:v>
      </x:c>
      <x:c r="F304" s="73" t="str">
        <x:v>稀有</x:v>
      </x:c>
      <x:c r="G304" s="73" t="str">
        <x:v>雾凇引路笠</x:v>
      </x:c>
      <x:c r="H304" s="73" t="str">
        <x:v>斗笠</x:v>
      </x:c>
      <x:c r="I304" s="73" t="str">
        <x:v>面巾（位置13，对应斗笠）</x:v>
      </x:c>
      <x:c r="J304" s="79" t="n">
        <x:v>6645</x:v>
      </x:c>
      <x:c r="K304" s="73" t="str">
        <x:v>预检通过资源／规划锁定／待入库</x:v>
      </x:c>
      <x:c r="L304" s="74" t="str">
        <x:v>StdMode16/位置13；血月荆棘·猩月</x:v>
      </x:c>
    </x:row>
    <x:row r="305" ht="34" customHeight="1">
      <x:c r="A305" s="72" t="str">
        <x:v>C08-M008</x:v>
      </x:c>
      <x:c r="B305" s="73" t="str">
        <x:v>C08</x:v>
      </x:c>
      <x:c r="C305" s="73" t="str">
        <x:v>巨人山顶</x:v>
      </x:c>
      <x:c r="D305" s="73" t="str">
        <x:v>XX901</x:v>
      </x:c>
      <x:c r="E305" s="73" t="str">
        <x:v>冰脊驮碑兽</x:v>
      </x:c>
      <x:c r="F305" s="73" t="str">
        <x:v>稀有</x:v>
      </x:c>
      <x:c r="G305" s="73" t="str">
        <x:v>驮碑束腰</x:v>
      </x:c>
      <x:c r="H305" s="73" t="str">
        <x:v>腰带</x:v>
      </x:c>
      <x:c r="I305" s="73" t="str">
        <x:v>腰带</x:v>
      </x:c>
      <x:c r="J305" s="79" t="n">
        <x:v>5902</x:v>
      </x:c>
      <x:c r="K305" s="73" t="str">
        <x:v>规划锁定／旧资源待实库回读</x:v>
      </x:c>
      <x:c r="L305" s="74" t="str">
        <x:v>装备资源库黄金圣律·圣徽</x:v>
      </x:c>
    </x:row>
    <x:row r="306" ht="34" customHeight="1">
      <x:c r="A306" s="72" t="str">
        <x:v>C08-M009</x:v>
      </x:c>
      <x:c r="B306" s="73" t="str">
        <x:v>C08</x:v>
      </x:c>
      <x:c r="C306" s="73" t="str">
        <x:v>巨人山顶</x:v>
      </x:c>
      <x:c r="D306" s="73" t="str">
        <x:v>XX902</x:v>
      </x:c>
      <x:c r="E306" s="73" t="str">
        <x:v>啸峰白魈</x:v>
      </x:c>
      <x:c r="F306" s="73" t="str">
        <x:v>稀有</x:v>
      </x:c>
      <x:c r="G306" s="73" t="str">
        <x:v>白魈啸风镯</x:v>
      </x:c>
      <x:c r="H306" s="73" t="str">
        <x:v>手镯</x:v>
      </x:c>
      <x:c r="I306" s="73" t="str">
        <x:v>手镯</x:v>
      </x:c>
      <x:c r="J306" s="79" t="n">
        <x:v>5924</x:v>
      </x:c>
      <x:c r="K306" s="73" t="str">
        <x:v>规划锁定／旧资源待实库回读</x:v>
      </x:c>
      <x:c r="L306" s="74" t="str">
        <x:v>装备资源库黄金圣律·王权</x:v>
      </x:c>
    </x:row>
    <x:row r="307" ht="34" customHeight="1">
      <x:c r="A307" s="72" t="str">
        <x:v>C08-M010</x:v>
      </x:c>
      <x:c r="B307" s="73" t="str">
        <x:v>C08</x:v>
      </x:c>
      <x:c r="C307" s="73" t="str">
        <x:v>巨人山顶</x:v>
      </x:c>
      <x:c r="D307" s="73" t="str">
        <x:v>XX903</x:v>
      </x:c>
      <x:c r="E307" s="73" t="str">
        <x:v>祭台封誓者</x:v>
      </x:c>
      <x:c r="F307" s="73" t="str">
        <x:v>稀有</x:v>
      </x:c>
      <x:c r="G307" s="73" t="str">
        <x:v>封誓霜纹戒</x:v>
      </x:c>
      <x:c r="H307" s="73" t="str">
        <x:v>戒指</x:v>
      </x:c>
      <x:c r="I307" s="73" t="str">
        <x:v>戒指</x:v>
      </x:c>
      <x:c r="J307" s="79" t="n">
        <x:v>5952</x:v>
      </x:c>
      <x:c r="K307" s="73" t="str">
        <x:v>规划锁定／旧资源待实库回读</x:v>
      </x:c>
      <x:c r="L307" s="74" t="str">
        <x:v>装备资源库黄金圣律·永耀</x:v>
      </x:c>
    </x:row>
    <x:row r="308" ht="34" customHeight="1">
      <x:c r="A308" s="72" t="str">
        <x:v>C08-M011</x:v>
      </x:c>
      <x:c r="B308" s="73" t="str">
        <x:v>C08</x:v>
      </x:c>
      <x:c r="C308" s="73" t="str">
        <x:v>巨人山顶</x:v>
      </x:c>
      <x:c r="D308" s="73" t="str">
        <x:v>XX902</x:v>
      </x:c>
      <x:c r="E308" s="73" t="str">
        <x:v>雪崩号角·赫罗姆</x:v>
      </x:c>
      <x:c r="F308" s="73" t="str">
        <x:v>地图BOSS</x:v>
      </x:c>
      <x:c r="G308" s="73" t="str">
        <x:v>赫罗姆凿峰槌</x:v>
      </x:c>
      <x:c r="H308" s="73" t="str">
        <x:v>武器</x:v>
      </x:c>
      <x:c r="I308" s="73" t="str">
        <x:v>武器</x:v>
      </x:c>
      <x:c r="J308" s="80"/>
      <x:c r="K308" s="73" t="str">
        <x:v>缺武器来源码</x:v>
      </x:c>
      <x:c r="L308" s="74" t="str">
        <x:v>需补同部位Items/StateItem/DnItems三库同码资源</x:v>
      </x:c>
    </x:row>
    <x:row r="309" ht="34" customHeight="1">
      <x:c r="A309" s="72" t="str">
        <x:v>C08-M012</x:v>
      </x:c>
      <x:c r="B309" s="73" t="str">
        <x:v>C08</x:v>
      </x:c>
      <x:c r="C309" s="73" t="str">
        <x:v>巨人山顶</x:v>
      </x:c>
      <x:c r="D309" s="73" t="str">
        <x:v>XX903</x:v>
      </x:c>
      <x:c r="E309" s="73" t="str">
        <x:v>山巅霜祀·伊芙迦</x:v>
      </x:c>
      <x:c r="F309" s="73" t="str">
        <x:v>地图BOSS</x:v>
      </x:c>
      <x:c r="G309" s="73" t="str">
        <x:v>伊芙迦霜祀衣</x:v>
      </x:c>
      <x:c r="H309" s="73" t="str">
        <x:v>衣服</x:v>
      </x:c>
      <x:c r="I309" s="73" t="str">
        <x:v>男衣服（现行模板的衣服映射）</x:v>
      </x:c>
      <x:c r="J309" s="80"/>
      <x:c r="K309" s="73" t="str">
        <x:v>缺衣服来源码</x:v>
      </x:c>
      <x:c r="L309" s="74" t="str">
        <x:v>需补男衣服StdMode10的三库同码资源；女衣服码未获准合池</x:v>
      </x:c>
    </x:row>
    <x:row r="310" ht="34" customHeight="1">
      <x:c r="A310" s="72" t="str">
        <x:v>C08-M013</x:v>
      </x:c>
      <x:c r="B310" s="73" t="str">
        <x:v>C08</x:v>
      </x:c>
      <x:c r="C310" s="73" t="str">
        <x:v>巨人山顶</x:v>
      </x:c>
      <x:c r="D310" s="73" t="str">
        <x:v>XX320</x:v>
      </x:c>
      <x:c r="E310" s="73" t="str">
        <x:v>断峰岩獾</x:v>
      </x:c>
      <x:c r="F310" s="73" t="str">
        <x:v>普通</x:v>
      </x:c>
      <x:c r="G310" s="73" t="str">
        <x:v>岩獾碎石履</x:v>
      </x:c>
      <x:c r="H310" s="73" t="str">
        <x:v>鞋子</x:v>
      </x:c>
      <x:c r="I310" s="73" t="str">
        <x:v>鞋子</x:v>
      </x:c>
      <x:c r="J310" s="79" t="n">
        <x:v>5919</x:v>
      </x:c>
      <x:c r="K310" s="73" t="str">
        <x:v>规划锁定／旧资源待实库回读</x:v>
      </x:c>
      <x:c r="L310" s="74" t="str">
        <x:v>装备资源库黄金圣律·蓝辉</x:v>
      </x:c>
    </x:row>
    <x:row r="311" ht="34" customHeight="1">
      <x:c r="A311" s="72" t="str">
        <x:v>C08-M014</x:v>
      </x:c>
      <x:c r="B311" s="73" t="str">
        <x:v>C08</x:v>
      </x:c>
      <x:c r="C311" s="73" t="str">
        <x:v>巨人山顶</x:v>
      </x:c>
      <x:c r="D311" s="73" t="str">
        <x:v>XX320</x:v>
      </x:c>
      <x:c r="E311" s="73" t="str">
        <x:v>负霜矿奴</x:v>
      </x:c>
      <x:c r="F311" s="73" t="str">
        <x:v>普通</x:v>
      </x:c>
      <x:c r="G311" s="73" t="str">
        <x:v>负霜钉腰带</x:v>
      </x:c>
      <x:c r="H311" s="73" t="str">
        <x:v>腰带</x:v>
      </x:c>
      <x:c r="I311" s="73" t="str">
        <x:v>腰带</x:v>
      </x:c>
      <x:c r="J311" s="79" t="n">
        <x:v>5911</x:v>
      </x:c>
      <x:c r="K311" s="73" t="str">
        <x:v>规划锁定／旧资源待实库回读</x:v>
      </x:c>
      <x:c r="L311" s="74" t="str">
        <x:v>装备资源库黄金圣律·璨金</x:v>
      </x:c>
    </x:row>
    <x:row r="312" ht="34" customHeight="1">
      <x:c r="A312" s="72" t="str">
        <x:v>C08-M015</x:v>
      </x:c>
      <x:c r="B312" s="73" t="str">
        <x:v>C08</x:v>
      </x:c>
      <x:c r="C312" s="73" t="str">
        <x:v>巨人山顶</x:v>
      </x:c>
      <x:c r="D312" s="73" t="str">
        <x:v>XX318</x:v>
      </x:c>
      <x:c r="E312" s="73" t="str">
        <x:v>碎冰桥弩卒</x:v>
      </x:c>
      <x:c r="F312" s="73" t="str">
        <x:v>普通</x:v>
      </x:c>
      <x:c r="G312" s="73" t="str">
        <x:v>桥卒破冰弩</x:v>
      </x:c>
      <x:c r="H312" s="73" t="str">
        <x:v>武器</x:v>
      </x:c>
      <x:c r="I312" s="73" t="str">
        <x:v>武器</x:v>
      </x:c>
      <x:c r="J312" s="80"/>
      <x:c r="K312" s="73" t="str">
        <x:v>缺武器来源码</x:v>
      </x:c>
      <x:c r="L312" s="74" t="str">
        <x:v>需补同部位Items/StateItem/DnItems三库同码资源</x:v>
      </x:c>
    </x:row>
    <x:row r="313" ht="34" customHeight="1">
      <x:c r="A313" s="72" t="str">
        <x:v>C08-M016</x:v>
      </x:c>
      <x:c r="B313" s="73" t="str">
        <x:v>C08</x:v>
      </x:c>
      <x:c r="C313" s="73" t="str">
        <x:v>巨人山顶</x:v>
      </x:c>
      <x:c r="D313" s="73" t="str">
        <x:v>XX318</x:v>
      </x:c>
      <x:c r="E313" s="73" t="str">
        <x:v>天桥冰甲虫</x:v>
      </x:c>
      <x:c r="F313" s="73" t="str">
        <x:v>普通</x:v>
      </x:c>
      <x:c r="G313" s="73" t="str">
        <x:v>冰甲棱盾</x:v>
      </x:c>
      <x:c r="H313" s="73" t="str">
        <x:v>盾牌</x:v>
      </x:c>
      <x:c r="I313" s="73" t="str">
        <x:v>盾牌</x:v>
      </x:c>
      <x:c r="J313" s="79" t="n">
        <x:v>5926</x:v>
      </x:c>
      <x:c r="K313" s="73" t="str">
        <x:v>规划锁定／旧资源待实库回读</x:v>
      </x:c>
      <x:c r="L313" s="74" t="str">
        <x:v>装备资源库黄金圣律·王权</x:v>
      </x:c>
    </x:row>
    <x:row r="314" ht="34" customHeight="1">
      <x:c r="A314" s="72" t="str">
        <x:v>C08-M017</x:v>
      </x:c>
      <x:c r="B314" s="73" t="str">
        <x:v>C08</x:v>
      </x:c>
      <x:c r="C314" s="73" t="str">
        <x:v>巨人山顶</x:v>
      </x:c>
      <x:c r="D314" s="73" t="str">
        <x:v>XX319</x:v>
      </x:c>
      <x:c r="E314" s="73" t="str">
        <x:v>裂谷寒翼蝠</x:v>
      </x:c>
      <x:c r="F314" s="73" t="str">
        <x:v>普通</x:v>
      </x:c>
      <x:c r="G314" s="73" t="str">
        <x:v>寒翼听风坠</x:v>
      </x:c>
      <x:c r="H314" s="73" t="str">
        <x:v>项链</x:v>
      </x:c>
      <x:c r="I314" s="73" t="str">
        <x:v>项链</x:v>
      </x:c>
      <x:c r="J314" s="79" t="n">
        <x:v>5967</x:v>
      </x:c>
      <x:c r="K314" s="73" t="str">
        <x:v>规划锁定／旧资源待实库回读</x:v>
      </x:c>
      <x:c r="L314" s="74" t="str">
        <x:v>装备资源库血月荆棘·血棘</x:v>
      </x:c>
    </x:row>
    <x:row r="315" ht="34" customHeight="1">
      <x:c r="A315" s="72" t="str">
        <x:v>C08-M018</x:v>
      </x:c>
      <x:c r="B315" s="73" t="str">
        <x:v>C08</x:v>
      </x:c>
      <x:c r="C315" s="73" t="str">
        <x:v>巨人山顶</x:v>
      </x:c>
      <x:c r="D315" s="73" t="str">
        <x:v>XX316</x:v>
      </x:c>
      <x:c r="E315" s="73" t="str">
        <x:v>祭场残斧魂</x:v>
      </x:c>
      <x:c r="F315" s="73" t="str">
        <x:v>普通</x:v>
      </x:c>
      <x:c r="G315" s="73" t="str">
        <x:v>残斧魂腕环</x:v>
      </x:c>
      <x:c r="H315" s="73" t="str">
        <x:v>手镯</x:v>
      </x:c>
      <x:c r="I315" s="73" t="str">
        <x:v>手镯</x:v>
      </x:c>
      <x:c r="J315" s="79" t="n">
        <x:v>5933</x:v>
      </x:c>
      <x:c r="K315" s="73" t="str">
        <x:v>规划锁定／旧资源待实库回读</x:v>
      </x:c>
      <x:c r="L315" s="74" t="str">
        <x:v>装备资源库黄金圣律·日冕</x:v>
      </x:c>
    </x:row>
    <x:row r="316" ht="34" customHeight="1">
      <x:c r="A316" s="72" t="str">
        <x:v>C08-M019</x:v>
      </x:c>
      <x:c r="B316" s="73" t="str">
        <x:v>C08</x:v>
      </x:c>
      <x:c r="C316" s="73" t="str">
        <x:v>巨人山顶</x:v>
      </x:c>
      <x:c r="D316" s="73" t="str">
        <x:v>XX320</x:v>
      </x:c>
      <x:c r="E316" s="73" t="str">
        <x:v>断冰猎旗手</x:v>
      </x:c>
      <x:c r="F316" s="73" t="str">
        <x:v>稀有</x:v>
      </x:c>
      <x:c r="G316" s="73" t="str">
        <x:v>猎旗霜披</x:v>
      </x:c>
      <x:c r="H316" s="73" t="str">
        <x:v>衣服</x:v>
      </x:c>
      <x:c r="I316" s="73" t="str">
        <x:v>男衣服（现行模板的衣服映射）</x:v>
      </x:c>
      <x:c r="J316" s="80"/>
      <x:c r="K316" s="73" t="str">
        <x:v>缺衣服来源码</x:v>
      </x:c>
      <x:c r="L316" s="74" t="str">
        <x:v>需补男衣服StdMode10的三库同码资源；女衣服码未获准合池</x:v>
      </x:c>
    </x:row>
    <x:row r="317" ht="34" customHeight="1">
      <x:c r="A317" s="72" t="str">
        <x:v>C08-M020</x:v>
      </x:c>
      <x:c r="B317" s="73" t="str">
        <x:v>C08</x:v>
      </x:c>
      <x:c r="C317" s="73" t="str">
        <x:v>巨人山顶</x:v>
      </x:c>
      <x:c r="D317" s="73" t="str">
        <x:v>XX318</x:v>
      </x:c>
      <x:c r="E317" s="73" t="str">
        <x:v>天桥踏索客</x:v>
      </x:c>
      <x:c r="F317" s="73" t="str">
        <x:v>稀有</x:v>
      </x:c>
      <x:c r="G317" s="73" t="str">
        <x:v>踏索雪笠</x:v>
      </x:c>
      <x:c r="H317" s="73" t="str">
        <x:v>斗笠</x:v>
      </x:c>
      <x:c r="I317" s="73" t="str">
        <x:v>面巾（位置13，对应斗笠）</x:v>
      </x:c>
      <x:c r="J317" s="79" t="n">
        <x:v>6680</x:v>
      </x:c>
      <x:c r="K317" s="73" t="str">
        <x:v>预检通过资源／规划锁定／待入库</x:v>
      </x:c>
      <x:c r="L317" s="74" t="str">
        <x:v>StdMode16/位置13；血月荆棘·弑王</x:v>
      </x:c>
    </x:row>
    <x:row r="318" ht="34" customHeight="1">
      <x:c r="A318" s="72" t="str">
        <x:v>C08-M021</x:v>
      </x:c>
      <x:c r="B318" s="73" t="str">
        <x:v>C08</x:v>
      </x:c>
      <x:c r="C318" s="73" t="str">
        <x:v>巨人山顶</x:v>
      </x:c>
      <x:c r="D318" s="73" t="str">
        <x:v>XX319</x:v>
      </x:c>
      <x:c r="E318" s="73" t="str">
        <x:v>裂谷雪嚎兽</x:v>
      </x:c>
      <x:c r="F318" s="73" t="str">
        <x:v>稀有</x:v>
      </x:c>
      <x:c r="G318" s="73" t="str">
        <x:v>雪嚎裂角盔</x:v>
      </x:c>
      <x:c r="H318" s="73" t="str">
        <x:v>头盔</x:v>
      </x:c>
      <x:c r="I318" s="73" t="str">
        <x:v>头盔</x:v>
      </x:c>
      <x:c r="J318" s="79" t="n">
        <x:v>5977</x:v>
      </x:c>
      <x:c r="K318" s="73" t="str">
        <x:v>规划锁定／旧资源待实库回读</x:v>
      </x:c>
      <x:c r="L318" s="74" t="str">
        <x:v>装备资源库血月荆棘·猩痕</x:v>
      </x:c>
    </x:row>
    <x:row r="319" ht="34" customHeight="1">
      <x:c r="A319" s="72" t="str">
        <x:v>C08-M022</x:v>
      </x:c>
      <x:c r="B319" s="73" t="str">
        <x:v>C08</x:v>
      </x:c>
      <x:c r="C319" s="73" t="str">
        <x:v>巨人山顶</x:v>
      </x:c>
      <x:c r="D319" s="73" t="str">
        <x:v>XX316</x:v>
      </x:c>
      <x:c r="E319" s="73" t="str">
        <x:v>祭场缄誓巫</x:v>
      </x:c>
      <x:c r="F319" s="73" t="str">
        <x:v>稀有</x:v>
      </x:c>
      <x:c r="G319" s="73" t="str">
        <x:v>缄誓寒铁戒</x:v>
      </x:c>
      <x:c r="H319" s="73" t="str">
        <x:v>戒指</x:v>
      </x:c>
      <x:c r="I319" s="73" t="str">
        <x:v>戒指</x:v>
      </x:c>
      <x:c r="J319" s="79" t="n">
        <x:v>5961</x:v>
      </x:c>
      <x:c r="K319" s="73" t="str">
        <x:v>规划锁定／旧资源待实库回读</x:v>
      </x:c>
      <x:c r="L319" s="74" t="str">
        <x:v>装备资源库血月荆棘·暗芽</x:v>
      </x:c>
    </x:row>
    <x:row r="320" ht="34" customHeight="1">
      <x:c r="A320" s="72" t="str">
        <x:v>C08-M023</x:v>
      </x:c>
      <x:c r="B320" s="73" t="str">
        <x:v>C08</x:v>
      </x:c>
      <x:c r="C320" s="73" t="str">
        <x:v>巨人山顶</x:v>
      </x:c>
      <x:c r="D320" s="73" t="str">
        <x:v>XX319</x:v>
      </x:c>
      <x:c r="E320" s="73" t="str">
        <x:v>裂谷锻峰侯·德鲁伽</x:v>
      </x:c>
      <x:c r="F320" s="73" t="str">
        <x:v>地图BOSS</x:v>
      </x:c>
      <x:c r="G320" s="73" t="str">
        <x:v>德鲁伽裂峰斧</x:v>
      </x:c>
      <x:c r="H320" s="73" t="str">
        <x:v>武器</x:v>
      </x:c>
      <x:c r="I320" s="73" t="str">
        <x:v>武器</x:v>
      </x:c>
      <x:c r="J320" s="80"/>
      <x:c r="K320" s="73" t="str">
        <x:v>缺武器来源码</x:v>
      </x:c>
      <x:c r="L320" s="74" t="str">
        <x:v>需补同部位Items/StateItem/DnItems三库同码资源</x:v>
      </x:c>
    </x:row>
    <x:row r="321" ht="34" customHeight="1">
      <x:c r="A321" s="72" t="str">
        <x:v>C08-M024</x:v>
      </x:c>
      <x:c r="B321" s="73" t="str">
        <x:v>C08</x:v>
      </x:c>
      <x:c r="C321" s="73" t="str">
        <x:v>巨人山顶</x:v>
      </x:c>
      <x:c r="D321" s="73" t="str">
        <x:v>XX316</x:v>
      </x:c>
      <x:c r="E321" s="73" t="str">
        <x:v>断峰献祭者·维瑟娅</x:v>
      </x:c>
      <x:c r="F321" s="73" t="str">
        <x:v>地图BOSS</x:v>
      </x:c>
      <x:c r="G321" s="73" t="str">
        <x:v>维瑟娅霜祭衣</x:v>
      </x:c>
      <x:c r="H321" s="73" t="str">
        <x:v>衣服</x:v>
      </x:c>
      <x:c r="I321" s="73" t="str">
        <x:v>男衣服（现行模板的衣服映射）</x:v>
      </x:c>
      <x:c r="J321" s="80"/>
      <x:c r="K321" s="73" t="str">
        <x:v>缺衣服来源码</x:v>
      </x:c>
      <x:c r="L321" s="74" t="str">
        <x:v>需补男衣服StdMode10的三库同码资源；女衣服码未获准合池</x:v>
      </x:c>
    </x:row>
    <x:row r="322" ht="34" customHeight="1">
      <x:c r="A322" s="72" t="str">
        <x:v>C08-M025</x:v>
      </x:c>
      <x:c r="B322" s="73" t="str">
        <x:v>C08</x:v>
      </x:c>
      <x:c r="C322" s="73" t="str">
        <x:v>巨人山顶</x:v>
      </x:c>
      <x:c r="D322" s="73" t="str">
        <x:v>XX325</x:v>
      </x:c>
      <x:c r="E322" s="73" t="str">
        <x:v>冰宫雪鸦</x:v>
      </x:c>
      <x:c r="F322" s="73" t="str">
        <x:v>普通</x:v>
      </x:c>
      <x:c r="G322" s="73" t="str">
        <x:v>雪鸦冰喙坠</x:v>
      </x:c>
      <x:c r="H322" s="73" t="str">
        <x:v>项链</x:v>
      </x:c>
      <x:c r="I322" s="73" t="str">
        <x:v>项链</x:v>
      </x:c>
      <x:c r="J322" s="79" t="n">
        <x:v>5985</x:v>
      </x:c>
      <x:c r="K322" s="73" t="str">
        <x:v>规划锁定／旧资源待实库回读</x:v>
      </x:c>
      <x:c r="L322" s="74" t="str">
        <x:v>装备资源库血月荆棘·夜蔷</x:v>
      </x:c>
    </x:row>
    <x:row r="323" ht="34" customHeight="1">
      <x:c r="A323" s="72" t="str">
        <x:v>C08-M026</x:v>
      </x:c>
      <x:c r="B323" s="73" t="str">
        <x:v>C08</x:v>
      </x:c>
      <x:c r="C323" s="73" t="str">
        <x:v>巨人山顶</x:v>
      </x:c>
      <x:c r="D323" s="73" t="str">
        <x:v>XX325</x:v>
      </x:c>
      <x:c r="E323" s="73" t="str">
        <x:v>御阶铲雪仆</x:v>
      </x:c>
      <x:c r="F323" s="73" t="str">
        <x:v>普通</x:v>
      </x:c>
      <x:c r="G323" s="73" t="str">
        <x:v>御阶雪铲</x:v>
      </x:c>
      <x:c r="H323" s="73" t="str">
        <x:v>武器</x:v>
      </x:c>
      <x:c r="I323" s="73" t="str">
        <x:v>武器</x:v>
      </x:c>
      <x:c r="J323" s="80"/>
      <x:c r="K323" s="73" t="str">
        <x:v>缺武器来源码</x:v>
      </x:c>
      <x:c r="L323" s="74" t="str">
        <x:v>需补同部位Items/StateItem/DnItems三库同码资源</x:v>
      </x:c>
    </x:row>
    <x:row r="324" ht="34" customHeight="1">
      <x:c r="A324" s="72" t="str">
        <x:v>C08-M027</x:v>
      </x:c>
      <x:c r="B324" s="73" t="str">
        <x:v>C08</x:v>
      </x:c>
      <x:c r="C324" s="73" t="str">
        <x:v>巨人山顶</x:v>
      </x:c>
      <x:c r="D324" s="73" t="str">
        <x:v>XX321</x:v>
      </x:c>
      <x:c r="E324" s="73" t="str">
        <x:v>外廊冰枪卫</x:v>
      </x:c>
      <x:c r="F324" s="73" t="str">
        <x:v>普通</x:v>
      </x:c>
      <x:c r="G324" s="73" t="str">
        <x:v>外廊纹冰盾</x:v>
      </x:c>
      <x:c r="H324" s="73" t="str">
        <x:v>盾牌</x:v>
      </x:c>
      <x:c r="I324" s="73" t="str">
        <x:v>盾牌</x:v>
      </x:c>
      <x:c r="J324" s="79" t="n">
        <x:v>5935</x:v>
      </x:c>
      <x:c r="K324" s="73" t="str">
        <x:v>规划锁定／旧资源待实库回读</x:v>
      </x:c>
      <x:c r="L324" s="74" t="str">
        <x:v>装备资源库黄金圣律·日冕</x:v>
      </x:c>
    </x:row>
    <x:row r="325" ht="34" customHeight="1">
      <x:c r="A325" s="72" t="str">
        <x:v>C08-M028</x:v>
      </x:c>
      <x:c r="B325" s="73" t="str">
        <x:v>C08</x:v>
      </x:c>
      <x:c r="C325" s="73" t="str">
        <x:v>巨人山顶</x:v>
      </x:c>
      <x:c r="D325" s="73" t="str">
        <x:v>XX322</x:v>
      </x:c>
      <x:c r="E325" s="73" t="str">
        <x:v>内廷霜纱侍女</x:v>
      </x:c>
      <x:c r="F325" s="73" t="str">
        <x:v>普通</x:v>
      </x:c>
      <x:c r="G325" s="73" t="str">
        <x:v>霜纱侍衣</x:v>
      </x:c>
      <x:c r="H325" s="73" t="str">
        <x:v>衣服</x:v>
      </x:c>
      <x:c r="I325" s="73" t="str">
        <x:v>男衣服（现行模板的衣服映射）</x:v>
      </x:c>
      <x:c r="J325" s="80"/>
      <x:c r="K325" s="73" t="str">
        <x:v>缺衣服来源码</x:v>
      </x:c>
      <x:c r="L325" s="74" t="str">
        <x:v>需补男衣服StdMode10的三库同码资源；女衣服码未获准合池</x:v>
      </x:c>
    </x:row>
    <x:row r="326" ht="34" customHeight="1">
      <x:c r="A326" s="72" t="str">
        <x:v>C08-M029</x:v>
      </x:c>
      <x:c r="B326" s="73" t="str">
        <x:v>C08</x:v>
      </x:c>
      <x:c r="C326" s="73" t="str">
        <x:v>巨人山顶</x:v>
      </x:c>
      <x:c r="D326" s="73" t="str">
        <x:v>XX323</x:v>
      </x:c>
      <x:c r="E326" s="73" t="str">
        <x:v>议殿石髯书记</x:v>
      </x:c>
      <x:c r="F326" s="73" t="str">
        <x:v>普通</x:v>
      </x:c>
      <x:c r="G326" s="73" t="str">
        <x:v>石髯记事镯</x:v>
      </x:c>
      <x:c r="H326" s="73" t="str">
        <x:v>手镯</x:v>
      </x:c>
      <x:c r="I326" s="73" t="str">
        <x:v>手镯</x:v>
      </x:c>
      <x:c r="J326" s="79" t="n">
        <x:v>5942</x:v>
      </x:c>
      <x:c r="K326" s="73" t="str">
        <x:v>规划锁定／旧资源待实库回读</x:v>
      </x:c>
      <x:c r="L326" s="74" t="str">
        <x:v>装备资源库黄金圣律·神律</x:v>
      </x:c>
    </x:row>
    <x:row r="327" ht="34" customHeight="1">
      <x:c r="A327" s="72" t="str">
        <x:v>C08-M030</x:v>
      </x:c>
      <x:c r="B327" s="73" t="str">
        <x:v>C08</x:v>
      </x:c>
      <x:c r="C327" s="73" t="str">
        <x:v>巨人山顶</x:v>
      </x:c>
      <x:c r="D327" s="73" t="str">
        <x:v>XX326</x:v>
      </x:c>
      <x:c r="E327" s="73" t="str">
        <x:v>王座寒灯侍</x:v>
      </x:c>
      <x:c r="F327" s="73" t="str">
        <x:v>普通</x:v>
      </x:c>
      <x:c r="G327" s="73" t="str">
        <x:v>寒灯侍履</x:v>
      </x:c>
      <x:c r="H327" s="73" t="str">
        <x:v>鞋子</x:v>
      </x:c>
      <x:c r="I327" s="73" t="str">
        <x:v>鞋子</x:v>
      </x:c>
      <x:c r="J327" s="79" t="n">
        <x:v>5928</x:v>
      </x:c>
      <x:c r="K327" s="73" t="str">
        <x:v>规划锁定／旧资源待实库回读</x:v>
      </x:c>
      <x:c r="L327" s="74" t="str">
        <x:v>装备资源库黄金圣律·王权</x:v>
      </x:c>
    </x:row>
    <x:row r="328" ht="34" customHeight="1">
      <x:c r="A328" s="72" t="str">
        <x:v>C08-M031</x:v>
      </x:c>
      <x:c r="B328" s="73" t="str">
        <x:v>C08</x:v>
      </x:c>
      <x:c r="C328" s="73" t="str">
        <x:v>巨人山顶</x:v>
      </x:c>
      <x:c r="D328" s="73" t="str">
        <x:v>XX321</x:v>
      </x:c>
      <x:c r="E328" s="73" t="str">
        <x:v>外廊镜甲将</x:v>
      </x:c>
      <x:c r="F328" s="73" t="str">
        <x:v>稀有</x:v>
      </x:c>
      <x:c r="G328" s="73" t="str">
        <x:v>镜甲将军盔</x:v>
      </x:c>
      <x:c r="H328" s="73" t="str">
        <x:v>头盔</x:v>
      </x:c>
      <x:c r="I328" s="73" t="str">
        <x:v>头盔</x:v>
      </x:c>
      <x:c r="J328" s="79" t="n">
        <x:v>5986</x:v>
      </x:c>
      <x:c r="K328" s="73" t="str">
        <x:v>规划锁定／旧资源待实库回读</x:v>
      </x:c>
      <x:c r="L328" s="74" t="str">
        <x:v>装备资源库血月荆棘·夜蔷</x:v>
      </x:c>
    </x:row>
    <x:row r="329" ht="34" customHeight="1">
      <x:c r="A329" s="72" t="str">
        <x:v>C08-M032</x:v>
      </x:c>
      <x:c r="B329" s="73" t="str">
        <x:v>C08</x:v>
      </x:c>
      <x:c r="C329" s="73" t="str">
        <x:v>巨人山顶</x:v>
      </x:c>
      <x:c r="D329" s="73" t="str">
        <x:v>XX322</x:v>
      </x:c>
      <x:c r="E329" s="73" t="str">
        <x:v>内廷缄声女官</x:v>
      </x:c>
      <x:c r="F329" s="73" t="str">
        <x:v>稀有</x:v>
      </x:c>
      <x:c r="G329" s="73" t="str">
        <x:v>缄声霜帘笠</x:v>
      </x:c>
      <x:c r="H329" s="73" t="str">
        <x:v>斗笠</x:v>
      </x:c>
      <x:c r="I329" s="73" t="str">
        <x:v>面巾（位置13，对应斗笠）</x:v>
      </x:c>
      <x:c r="J329" s="79" t="n">
        <x:v>6715</x:v>
      </x:c>
      <x:c r="K329" s="73" t="str">
        <x:v>预检通过资源／规划锁定／待入库</x:v>
      </x:c>
      <x:c r="L329" s="74" t="str">
        <x:v>StdMode16/位置13；血月荆棘·血月</x:v>
      </x:c>
    </x:row>
    <x:row r="330" ht="34" customHeight="1">
      <x:c r="A330" s="72" t="str">
        <x:v>C08-M033</x:v>
      </x:c>
      <x:c r="B330" s="73" t="str">
        <x:v>C08</x:v>
      </x:c>
      <x:c r="C330" s="73" t="str">
        <x:v>巨人山顶</x:v>
      </x:c>
      <x:c r="D330" s="73" t="str">
        <x:v>XX323</x:v>
      </x:c>
      <x:c r="E330" s="73" t="str">
        <x:v>议殿古律巨人</x:v>
      </x:c>
      <x:c r="F330" s="73" t="str">
        <x:v>稀有</x:v>
      </x:c>
      <x:c r="G330" s="73" t="str">
        <x:v>古律铭板带</x:v>
      </x:c>
      <x:c r="H330" s="73" t="str">
        <x:v>腰带</x:v>
      </x:c>
      <x:c r="I330" s="73" t="str">
        <x:v>腰带</x:v>
      </x:c>
      <x:c r="J330" s="79" t="n">
        <x:v>5920</x:v>
      </x:c>
      <x:c r="K330" s="73" t="str">
        <x:v>规划锁定／旧资源待实库回读</x:v>
      </x:c>
      <x:c r="L330" s="74" t="str">
        <x:v>装备资源库黄金圣律·蓝辉</x:v>
      </x:c>
    </x:row>
    <x:row r="331" ht="34" customHeight="1">
      <x:c r="A331" s="72" t="str">
        <x:v>C08-M034</x:v>
      </x:c>
      <x:c r="B331" s="73" t="str">
        <x:v>C08</x:v>
      </x:c>
      <x:c r="C331" s="73" t="str">
        <x:v>巨人山顶</x:v>
      </x:c>
      <x:c r="D331" s="73" t="str">
        <x:v>XX326</x:v>
      </x:c>
      <x:c r="E331" s="73" t="str">
        <x:v>王座霜冠司礼</x:v>
      </x:c>
      <x:c r="F331" s="73" t="str">
        <x:v>稀有</x:v>
      </x:c>
      <x:c r="G331" s="73" t="str">
        <x:v>霜冠司礼戒</x:v>
      </x:c>
      <x:c r="H331" s="73" t="str">
        <x:v>戒指</x:v>
      </x:c>
      <x:c r="I331" s="73" t="str">
        <x:v>戒指</x:v>
      </x:c>
      <x:c r="J331" s="79" t="n">
        <x:v>5970</x:v>
      </x:c>
      <x:c r="K331" s="73" t="str">
        <x:v>规划锁定／旧资源待实库回读</x:v>
      </x:c>
      <x:c r="L331" s="74" t="str">
        <x:v>装备资源库血月荆棘·血棘</x:v>
      </x:c>
    </x:row>
    <x:row r="332" ht="34" customHeight="1">
      <x:c r="A332" s="72" t="str">
        <x:v>C08-M035</x:v>
      </x:c>
      <x:c r="B332" s="73" t="str">
        <x:v>C08</x:v>
      </x:c>
      <x:c r="C332" s="73" t="str">
        <x:v>巨人山顶</x:v>
      </x:c>
      <x:c r="D332" s="73" t="str">
        <x:v>XX323</x:v>
      </x:c>
      <x:c r="E332" s="73" t="str">
        <x:v>议殿白髯公·沃尔格</x:v>
      </x:c>
      <x:c r="F332" s="73" t="str">
        <x:v>地图BOSS</x:v>
      </x:c>
      <x:c r="G332" s="73" t="str">
        <x:v>沃尔格廷议杖</x:v>
      </x:c>
      <x:c r="H332" s="73" t="str">
        <x:v>武器</x:v>
      </x:c>
      <x:c r="I332" s="73" t="str">
        <x:v>武器</x:v>
      </x:c>
      <x:c r="J332" s="80"/>
      <x:c r="K332" s="73" t="str">
        <x:v>缺武器来源码</x:v>
      </x:c>
      <x:c r="L332" s="74" t="str">
        <x:v>需补同部位Items/StateItem/DnItems三库同码资源</x:v>
      </x:c>
    </x:row>
    <x:row r="333" ht="34" customHeight="1">
      <x:c r="A333" s="72" t="str">
        <x:v>C08-M036</x:v>
      </x:c>
      <x:c r="B333" s="73" t="str">
        <x:v>C08</x:v>
      </x:c>
      <x:c r="C333" s="73" t="str">
        <x:v>巨人山顶</x:v>
      </x:c>
      <x:c r="D333" s="73" t="str">
        <x:v>XX326</x:v>
      </x:c>
      <x:c r="E333" s="73" t="str">
        <x:v>冰宫摄政后·伊瑟芮</x:v>
      </x:c>
      <x:c r="F333" s="73" t="str">
        <x:v>地图BOSS</x:v>
      </x:c>
      <x:c r="G333" s="73" t="str">
        <x:v>伊瑟芮冰绡袍</x:v>
      </x:c>
      <x:c r="H333" s="73" t="str">
        <x:v>衣服</x:v>
      </x:c>
      <x:c r="I333" s="73" t="str">
        <x:v>男衣服（现行模板的衣服映射）</x:v>
      </x:c>
      <x:c r="J333" s="80"/>
      <x:c r="K333" s="73" t="str">
        <x:v>缺衣服来源码</x:v>
      </x:c>
      <x:c r="L333" s="74" t="str">
        <x:v>需补男衣服StdMode10的三库同码资源；女衣服码未获准合池</x:v>
      </x:c>
    </x:row>
    <x:row r="334" ht="34" customHeight="1">
      <x:c r="A334" s="72" t="str">
        <x:v>C08-M037</x:v>
      </x:c>
      <x:c r="B334" s="73" t="str">
        <x:v>C08</x:v>
      </x:c>
      <x:c r="C334" s="73" t="str">
        <x:v>巨人山顶</x:v>
      </x:c>
      <x:c r="D334" s="73" t="str">
        <x:v>XX899</x:v>
      </x:c>
      <x:c r="E334" s="73" t="str">
        <x:v>王庭铸霜卫</x:v>
      </x:c>
      <x:c r="F334" s="73" t="str">
        <x:v>普通</x:v>
      </x:c>
      <x:c r="G334" s="73" t="str">
        <x:v>铸霜庭卫戟</x:v>
      </x:c>
      <x:c r="H334" s="73" t="str">
        <x:v>武器</x:v>
      </x:c>
      <x:c r="I334" s="73" t="str">
        <x:v>武器</x:v>
      </x:c>
      <x:c r="J334" s="80"/>
      <x:c r="K334" s="73" t="str">
        <x:v>缺武器来源码</x:v>
      </x:c>
      <x:c r="L334" s="74" t="str">
        <x:v>需补同部位Items/StateItem/DnItems三库同码资源</x:v>
      </x:c>
    </x:row>
    <x:row r="335" ht="34" customHeight="1">
      <x:c r="A335" s="72" t="str">
        <x:v>C08-M038</x:v>
      </x:c>
      <x:c r="B335" s="73" t="str">
        <x:v>C08</x:v>
      </x:c>
      <x:c r="C335" s="73" t="str">
        <x:v>巨人山顶</x:v>
      </x:c>
      <x:c r="D335" s="73" t="str">
        <x:v>XX899</x:v>
      </x:c>
      <x:c r="E335" s="73" t="str">
        <x:v>庭阶雪鬃獒</x:v>
      </x:c>
      <x:c r="F335" s="73" t="str">
        <x:v>普通</x:v>
      </x:c>
      <x:c r="G335" s="73" t="str">
        <x:v>雪鬃獒踏靴</x:v>
      </x:c>
      <x:c r="H335" s="73" t="str">
        <x:v>鞋子</x:v>
      </x:c>
      <x:c r="I335" s="73" t="str">
        <x:v>鞋子</x:v>
      </x:c>
      <x:c r="J335" s="79" t="n">
        <x:v>5937</x:v>
      </x:c>
      <x:c r="K335" s="73" t="str">
        <x:v>规划锁定／旧资源待实库回读</x:v>
      </x:c>
      <x:c r="L335" s="74" t="str">
        <x:v>装备资源库黄金圣律·日冕</x:v>
      </x:c>
    </x:row>
    <x:row r="336" ht="34" customHeight="1">
      <x:c r="A336" s="72" t="str">
        <x:v>C08-M039</x:v>
      </x:c>
      <x:c r="B336" s="73" t="str">
        <x:v>C08</x:v>
      </x:c>
      <x:c r="C336" s="73" t="str">
        <x:v>巨人山顶</x:v>
      </x:c>
      <x:c r="D336" s="73" t="str">
        <x:v>XX898</x:v>
      </x:c>
      <x:c r="E336" s="73" t="str">
        <x:v>内宫白毡侍</x:v>
      </x:c>
      <x:c r="F336" s="73" t="str">
        <x:v>普通</x:v>
      </x:c>
      <x:c r="G336" s="73" t="str">
        <x:v>白毡宫衣</x:v>
      </x:c>
      <x:c r="H336" s="73" t="str">
        <x:v>衣服</x:v>
      </x:c>
      <x:c r="I336" s="73" t="str">
        <x:v>男衣服（现行模板的衣服映射）</x:v>
      </x:c>
      <x:c r="J336" s="80"/>
      <x:c r="K336" s="73" t="str">
        <x:v>缺衣服来源码</x:v>
      </x:c>
      <x:c r="L336" s="74" t="str">
        <x:v>需补男衣服StdMode10的三库同码资源；女衣服码未获准合池</x:v>
      </x:c>
    </x:row>
    <x:row r="337" ht="34" customHeight="1">
      <x:c r="A337" s="72" t="str">
        <x:v>C08-M040</x:v>
      </x:c>
      <x:c r="B337" s="73" t="str">
        <x:v>C08</x:v>
      </x:c>
      <x:c r="C337" s="73" t="str">
        <x:v>巨人山顶</x:v>
      </x:c>
      <x:c r="D337" s="73" t="str">
        <x:v>XX898</x:v>
      </x:c>
      <x:c r="E337" s="73" t="str">
        <x:v>雪域巡烛官</x:v>
      </x:c>
      <x:c r="F337" s="73" t="str">
        <x:v>普通</x:v>
      </x:c>
      <x:c r="G337" s="73" t="str">
        <x:v>巡烛官灯坠</x:v>
      </x:c>
      <x:c r="H337" s="73" t="str">
        <x:v>项链</x:v>
      </x:c>
      <x:c r="I337" s="73" t="str">
        <x:v>项链</x:v>
      </x:c>
      <x:c r="J337" s="79" t="n">
        <x:v>5994</x:v>
      </x:c>
      <x:c r="K337" s="73" t="str">
        <x:v>规划锁定／旧资源待实库回读</x:v>
      </x:c>
      <x:c r="L337" s="74" t="str">
        <x:v>装备资源库血月荆棘·赤冠</x:v>
      </x:c>
    </x:row>
    <x:row r="338" ht="34" customHeight="1">
      <x:c r="A338" s="72" t="str">
        <x:v>C08-M041</x:v>
      </x:c>
      <x:c r="B338" s="73" t="str">
        <x:v>C08</x:v>
      </x:c>
      <x:c r="C338" s="73" t="str">
        <x:v>巨人山顶</x:v>
      </x:c>
      <x:c r="D338" s="73" t="str">
        <x:v>XX897</x:v>
      </x:c>
      <x:c r="E338" s="73" t="str">
        <x:v>王座负碑巨人</x:v>
      </x:c>
      <x:c r="F338" s="73" t="str">
        <x:v>普通</x:v>
      </x:c>
      <x:c r="G338" s="73" t="str">
        <x:v>负碑王座盾</x:v>
      </x:c>
      <x:c r="H338" s="73" t="str">
        <x:v>盾牌</x:v>
      </x:c>
      <x:c r="I338" s="73" t="str">
        <x:v>盾牌</x:v>
      </x:c>
      <x:c r="J338" s="79" t="n">
        <x:v>5944</x:v>
      </x:c>
      <x:c r="K338" s="73" t="str">
        <x:v>规划锁定／旧资源待实库回读</x:v>
      </x:c>
      <x:c r="L338" s="74" t="str">
        <x:v>装备资源库黄金圣律·神律</x:v>
      </x:c>
    </x:row>
    <x:row r="339" ht="34" customHeight="1">
      <x:c r="A339" s="72" t="str">
        <x:v>C08-M042</x:v>
      </x:c>
      <x:c r="B339" s="73" t="str">
        <x:v>C08</x:v>
      </x:c>
      <x:c r="C339" s="73" t="str">
        <x:v>巨人山顶</x:v>
      </x:c>
      <x:c r="D339" s="73" t="str">
        <x:v>XX897</x:v>
      </x:c>
      <x:c r="E339" s="73" t="str">
        <x:v>王座冰铃童</x:v>
      </x:c>
      <x:c r="F339" s="73" t="str">
        <x:v>普通</x:v>
      </x:c>
      <x:c r="G339" s="73" t="str">
        <x:v>冰铃童腕镯</x:v>
      </x:c>
      <x:c r="H339" s="73" t="str">
        <x:v>手镯</x:v>
      </x:c>
      <x:c r="I339" s="73" t="str">
        <x:v>手镯</x:v>
      </x:c>
      <x:c r="J339" s="79" t="n">
        <x:v>5951</x:v>
      </x:c>
      <x:c r="K339" s="73" t="str">
        <x:v>规划锁定／旧资源待实库回读</x:v>
      </x:c>
      <x:c r="L339" s="74" t="str">
        <x:v>装备资源库黄金圣律·永耀</x:v>
      </x:c>
    </x:row>
    <x:row r="340" ht="34" customHeight="1">
      <x:c r="A340" s="72" t="str">
        <x:v>C08-M043</x:v>
      </x:c>
      <x:c r="B340" s="73" t="str">
        <x:v>C08</x:v>
      </x:c>
      <x:c r="C340" s="73" t="str">
        <x:v>巨人山顶</x:v>
      </x:c>
      <x:c r="D340" s="73" t="str">
        <x:v>XX899</x:v>
      </x:c>
      <x:c r="E340" s="73" t="str">
        <x:v>觐庭裂盔侯</x:v>
      </x:c>
      <x:c r="F340" s="73" t="str">
        <x:v>稀有</x:v>
      </x:c>
      <x:c r="G340" s="73" t="str">
        <x:v>觐庭裂纹盔</x:v>
      </x:c>
      <x:c r="H340" s="73" t="str">
        <x:v>头盔</x:v>
      </x:c>
      <x:c r="I340" s="73" t="str">
        <x:v>头盔</x:v>
      </x:c>
      <x:c r="J340" s="79" t="n">
        <x:v>5995</x:v>
      </x:c>
      <x:c r="K340" s="73" t="str">
        <x:v>规划锁定／旧资源待实库回读</x:v>
      </x:c>
      <x:c r="L340" s="74" t="str">
        <x:v>装备资源库血月荆棘·赤冠</x:v>
      </x:c>
    </x:row>
    <x:row r="341" ht="34" customHeight="1">
      <x:c r="A341" s="72" t="str">
        <x:v>C08-M044</x:v>
      </x:c>
      <x:c r="B341" s="73" t="str">
        <x:v>C08</x:v>
      </x:c>
      <x:c r="C341" s="73" t="str">
        <x:v>巨人山顶</x:v>
      </x:c>
      <x:c r="D341" s="73" t="str">
        <x:v>XX898</x:v>
      </x:c>
      <x:c r="E341" s="73" t="str">
        <x:v>内宫织雪妪</x:v>
      </x:c>
      <x:c r="F341" s="73" t="str">
        <x:v>稀有</x:v>
      </x:c>
      <x:c r="G341" s="73" t="str">
        <x:v>织雪白绒笠</x:v>
      </x:c>
      <x:c r="H341" s="73" t="str">
        <x:v>斗笠</x:v>
      </x:c>
      <x:c r="I341" s="73" t="str">
        <x:v>面巾（位置13，对应斗笠）</x:v>
      </x:c>
      <x:c r="J341" s="79" t="n">
        <x:v>6750</x:v>
      </x:c>
      <x:c r="K341" s="73" t="str">
        <x:v>预检通过资源／规划锁定／待入库</x:v>
      </x:c>
      <x:c r="L341" s="74" t="str">
        <x:v>StdMode16/位置13；星渊龙息·星痕</x:v>
      </x:c>
    </x:row>
    <x:row r="342" ht="34" customHeight="1">
      <x:c r="A342" s="72" t="str">
        <x:v>C08-M045</x:v>
      </x:c>
      <x:c r="B342" s="73" t="str">
        <x:v>C08</x:v>
      </x:c>
      <x:c r="C342" s="73" t="str">
        <x:v>巨人山顶</x:v>
      </x:c>
      <x:c r="D342" s="73" t="str">
        <x:v>XX898</x:v>
      </x:c>
      <x:c r="E342" s="73" t="str">
        <x:v>雪域封门将</x:v>
      </x:c>
      <x:c r="F342" s="73" t="str">
        <x:v>稀有</x:v>
      </x:c>
      <x:c r="G342" s="73" t="str">
        <x:v>封门玄冰带</x:v>
      </x:c>
      <x:c r="H342" s="73" t="str">
        <x:v>腰带</x:v>
      </x:c>
      <x:c r="I342" s="73" t="str">
        <x:v>腰带</x:v>
      </x:c>
      <x:c r="J342" s="79" t="n">
        <x:v>5929</x:v>
      </x:c>
      <x:c r="K342" s="73" t="str">
        <x:v>规划锁定／旧资源待实库回读</x:v>
      </x:c>
      <x:c r="L342" s="74" t="str">
        <x:v>装备资源库黄金圣律·王权</x:v>
      </x:c>
    </x:row>
    <x:row r="343" ht="34" customHeight="1">
      <x:c r="A343" s="72" t="str">
        <x:v>C08-M046</x:v>
      </x:c>
      <x:c r="B343" s="73" t="str">
        <x:v>C08</x:v>
      </x:c>
      <x:c r="C343" s="73" t="str">
        <x:v>巨人山顶</x:v>
      </x:c>
      <x:c r="D343" s="73" t="str">
        <x:v>XX897</x:v>
      </x:c>
      <x:c r="E343" s="73" t="str">
        <x:v>王座守梦巫</x:v>
      </x:c>
      <x:c r="F343" s="73" t="str">
        <x:v>稀有</x:v>
      </x:c>
      <x:c r="G343" s="73" t="str">
        <x:v>守梦霜瞳戒</x:v>
      </x:c>
      <x:c r="H343" s="73" t="str">
        <x:v>戒指</x:v>
      </x:c>
      <x:c r="I343" s="73" t="str">
        <x:v>戒指</x:v>
      </x:c>
      <x:c r="J343" s="79" t="n">
        <x:v>5979</x:v>
      </x:c>
      <x:c r="K343" s="73" t="str">
        <x:v>规划锁定／旧资源待实库回读</x:v>
      </x:c>
      <x:c r="L343" s="74" t="str">
        <x:v>装备资源库血月荆棘·猩痕</x:v>
      </x:c>
    </x:row>
    <x:row r="344" ht="34" customHeight="1">
      <x:c r="A344" s="72" t="str">
        <x:v>C08-M047</x:v>
      </x:c>
      <x:c r="B344" s="73" t="str">
        <x:v>C08</x:v>
      </x:c>
      <x:c r="C344" s="73" t="str">
        <x:v>巨人山顶</x:v>
      </x:c>
      <x:c r="D344" s="73" t="str">
        <x:v>XX898</x:v>
      </x:c>
      <x:c r="E344" s="73" t="str">
        <x:v>内宫冬眠王·格罗尔</x:v>
      </x:c>
      <x:c r="F344" s="73" t="str">
        <x:v>地图BOSS</x:v>
      </x:c>
      <x:c r="G344" s="73" t="str">
        <x:v>格罗尔冬眠刃</x:v>
      </x:c>
      <x:c r="H344" s="73" t="str">
        <x:v>武器</x:v>
      </x:c>
      <x:c r="I344" s="73" t="str">
        <x:v>武器</x:v>
      </x:c>
      <x:c r="J344" s="80"/>
      <x:c r="K344" s="73" t="str">
        <x:v>缺武器来源码</x:v>
      </x:c>
      <x:c r="L344" s="74" t="str">
        <x:v>需补同部位Items/StateItem/DnItems三库同码资源</x:v>
      </x:c>
    </x:row>
    <x:row r="345" ht="34" customHeight="1">
      <x:c r="A345" s="72" t="str">
        <x:v>C08-M048</x:v>
      </x:c>
      <x:c r="B345" s="73" t="str">
        <x:v>C08</x:v>
      </x:c>
      <x:c r="C345" s="73" t="str">
        <x:v>巨人山顶</x:v>
      </x:c>
      <x:c r="D345" s="73" t="str">
        <x:v>XX897</x:v>
      </x:c>
      <x:c r="E345" s="73" t="str">
        <x:v>巨人女王·赫芮迦</x:v>
      </x:c>
      <x:c r="F345" s="73" t="str">
        <x:v>地图BOSS</x:v>
      </x:c>
      <x:c r="G345" s="73" t="str">
        <x:v>赫芮迦穹霜王衣</x:v>
      </x:c>
      <x:c r="H345" s="73" t="str">
        <x:v>衣服</x:v>
      </x:c>
      <x:c r="I345" s="73" t="str">
        <x:v>男衣服（现行模板的衣服映射）</x:v>
      </x:c>
      <x:c r="J345" s="80"/>
      <x:c r="K345" s="73" t="str">
        <x:v>缺衣服来源码</x:v>
      </x:c>
      <x:c r="L345" s="74" t="str">
        <x:v>需补男衣服StdMode10的三库同码资源；女衣服码未获准合池</x:v>
      </x:c>
    </x:row>
    <x:row r="346" ht="34" customHeight="1">
      <x:c r="A346" s="72" t="str">
        <x:v>C08-M049</x:v>
      </x:c>
      <x:c r="B346" s="73" t="str">
        <x:v>C08</x:v>
      </x:c>
      <x:c r="C346" s="73" t="str">
        <x:v>巨人山顶</x:v>
      </x:c>
      <x:c r="D346" s="73" t="str">
        <x:v>XX897</x:v>
      </x:c>
      <x:c r="E346" s="73" t="str">
        <x:v>吞日霜王·乌尔迈</x:v>
      </x:c>
      <x:c r="F346" s="73" t="str">
        <x:v>守关BOSS</x:v>
      </x:c>
      <x:c r="G346" s="73" t="str">
        <x:v>乌尔迈吞日巨剑</x:v>
      </x:c>
      <x:c r="H346" s="73" t="str">
        <x:v>武器</x:v>
      </x:c>
      <x:c r="I346" s="73" t="str">
        <x:v>武器</x:v>
      </x:c>
      <x:c r="J346" s="79" t="n">
        <x:v>6991</x:v>
      </x:c>
      <x:c r="K346" s="73" t="str">
        <x:v>预检通过资源／规划锁定／待入库</x:v>
      </x:c>
      <x:c r="L346" s="74" t="str">
        <x:v>装备资源库翠焰冥契·冥契</x:v>
      </x:c>
    </x:row>
    <x:row r="347" ht="34" customHeight="1">
      <x:c r="A347" s="72" t="str">
        <x:v>C09-M001</x:v>
      </x:c>
      <x:c r="B347" s="73" t="str">
        <x:v>C09</x:v>
      </x:c>
      <x:c r="C347" s="73" t="str">
        <x:v>亚坛高原</x:v>
      </x:c>
      <x:c r="D347" s="73" t="str">
        <x:v>XX720</x:v>
      </x:c>
      <x:c r="E347" s="73" t="str">
        <x:v>金叶角鹿</x:v>
      </x:c>
      <x:c r="F347" s="73" t="str">
        <x:v>普通</x:v>
      </x:c>
      <x:c r="G347" s="73" t="str">
        <x:v>角鹿逐叶履</x:v>
      </x:c>
      <x:c r="H347" s="73" t="str">
        <x:v>鞋子</x:v>
      </x:c>
      <x:c r="I347" s="73" t="str">
        <x:v>鞋子</x:v>
      </x:c>
      <x:c r="J347" s="79" t="n">
        <x:v>5946</x:v>
      </x:c>
      <x:c r="K347" s="73" t="str">
        <x:v>规划锁定／旧资源待实库回读</x:v>
      </x:c>
      <x:c r="L347" s="74" t="str">
        <x:v>装备资源库黄金圣律·神律</x:v>
      </x:c>
    </x:row>
    <x:row r="348" ht="34" customHeight="1">
      <x:c r="A348" s="72" t="str">
        <x:v>C09-M002</x:v>
      </x:c>
      <x:c r="B348" s="73" t="str">
        <x:v>C09</x:v>
      </x:c>
      <x:c r="C348" s="73" t="str">
        <x:v>亚坛高原</x:v>
      </x:c>
      <x:c r="D348" s="73" t="str">
        <x:v>XX720</x:v>
      </x:c>
      <x:c r="E348" s="73" t="str">
        <x:v>拾穗旅盗</x:v>
      </x:c>
      <x:c r="F348" s="73" t="str">
        <x:v>普通</x:v>
      </x:c>
      <x:c r="G348" s="73" t="str">
        <x:v>拾穗弯刃</x:v>
      </x:c>
      <x:c r="H348" s="73" t="str">
        <x:v>武器</x:v>
      </x:c>
      <x:c r="I348" s="73" t="str">
        <x:v>武器</x:v>
      </x:c>
      <x:c r="J348" s="80"/>
      <x:c r="K348" s="73" t="str">
        <x:v>缺武器来源码</x:v>
      </x:c>
      <x:c r="L348" s="74" t="str">
        <x:v>需补同部位Items/StateItem/DnItems三库同码资源</x:v>
      </x:c>
    </x:row>
    <x:row r="349" ht="34" customHeight="1">
      <x:c r="A349" s="72" t="str">
        <x:v>C09-M003</x:v>
      </x:c>
      <x:c r="B349" s="73" t="str">
        <x:v>C09</x:v>
      </x:c>
      <x:c r="C349" s="73" t="str">
        <x:v>亚坛高原</x:v>
      </x:c>
      <x:c r="D349" s="73" t="str">
        <x:v>XX717</x:v>
      </x:c>
      <x:c r="E349" s="73" t="str">
        <x:v>秋风驿卒</x:v>
      </x:c>
      <x:c r="F349" s="73" t="str">
        <x:v>普通</x:v>
      </x:c>
      <x:c r="G349" s="73" t="str">
        <x:v>驿卒挡风盔</x:v>
      </x:c>
      <x:c r="H349" s="73" t="str">
        <x:v>头盔</x:v>
      </x:c>
      <x:c r="I349" s="73" t="str">
        <x:v>头盔</x:v>
      </x:c>
      <x:c r="J349" s="79" t="n">
        <x:v>6004</x:v>
      </x:c>
      <x:c r="K349" s="73" t="str">
        <x:v>规划锁定／旧资源待实库回读</x:v>
      </x:c>
      <x:c r="L349" s="74" t="str">
        <x:v>装备资源库血月荆棘·月蚀</x:v>
      </x:c>
    </x:row>
    <x:row r="350" ht="34" customHeight="1">
      <x:c r="A350" s="72" t="str">
        <x:v>C09-M004</x:v>
      </x:c>
      <x:c r="B350" s="73" t="str">
        <x:v>C09</x:v>
      </x:c>
      <x:c r="C350" s="73" t="str">
        <x:v>亚坛高原</x:v>
      </x:c>
      <x:c r="D350" s="73" t="str">
        <x:v>XX717</x:v>
      </x:c>
      <x:c r="E350" s="73" t="str">
        <x:v>驿路驮甲虫</x:v>
      </x:c>
      <x:c r="F350" s="73" t="str">
        <x:v>普通</x:v>
      </x:c>
      <x:c r="G350" s="73" t="str">
        <x:v>驮甲叶纹盾</x:v>
      </x:c>
      <x:c r="H350" s="73" t="str">
        <x:v>盾牌</x:v>
      </x:c>
      <x:c r="I350" s="73" t="str">
        <x:v>盾牌</x:v>
      </x:c>
      <x:c r="J350" s="79" t="n">
        <x:v>5962</x:v>
      </x:c>
      <x:c r="K350" s="73" t="str">
        <x:v>规划锁定／旧资源待实库回读</x:v>
      </x:c>
      <x:c r="L350" s="74" t="str">
        <x:v>装备资源库血月荆棘·暗芽</x:v>
      </x:c>
    </x:row>
    <x:row r="351" ht="34" customHeight="1">
      <x:c r="A351" s="72" t="str">
        <x:v>C09-M005</x:v>
      </x:c>
      <x:c r="B351" s="73" t="str">
        <x:v>C09</x:v>
      </x:c>
      <x:c r="C351" s="73" t="str">
        <x:v>亚坛高原</x:v>
      </x:c>
      <x:c r="D351" s="73" t="str">
        <x:v>XX718</x:v>
      </x:c>
      <x:c r="E351" s="73" t="str">
        <x:v>陵园鎏苔像</x:v>
      </x:c>
      <x:c r="F351" s="73" t="str">
        <x:v>普通</x:v>
      </x:c>
      <x:c r="G351" s="73" t="str">
        <x:v>鎏苔守陵衣</x:v>
      </x:c>
      <x:c r="H351" s="73" t="str">
        <x:v>衣服</x:v>
      </x:c>
      <x:c r="I351" s="73" t="str">
        <x:v>男衣服（现行模板的衣服映射）</x:v>
      </x:c>
      <x:c r="J351" s="80"/>
      <x:c r="K351" s="73" t="str">
        <x:v>缺衣服来源码</x:v>
      </x:c>
      <x:c r="L351" s="74" t="str">
        <x:v>需补男衣服StdMode10的三库同码资源；女衣服码未获准合池</x:v>
      </x:c>
    </x:row>
    <x:row r="352" ht="34" customHeight="1">
      <x:c r="A352" s="72" t="str">
        <x:v>C09-M006</x:v>
      </x:c>
      <x:c r="B352" s="73" t="str">
        <x:v>C09</x:v>
      </x:c>
      <x:c r="C352" s="73" t="str">
        <x:v>亚坛高原</x:v>
      </x:c>
      <x:c r="D352" s="73" t="str">
        <x:v>XX721</x:v>
      </x:c>
      <x:c r="E352" s="73" t="str">
        <x:v>祭坛衔烛鸦</x:v>
      </x:c>
      <x:c r="F352" s="73" t="str">
        <x:v>普通</x:v>
      </x:c>
      <x:c r="G352" s="73" t="str">
        <x:v>衔烛鸦羽坠</x:v>
      </x:c>
      <x:c r="H352" s="73" t="str">
        <x:v>项链</x:v>
      </x:c>
      <x:c r="I352" s="73" t="str">
        <x:v>项链</x:v>
      </x:c>
      <x:c r="J352" s="79" t="n">
        <x:v>6003</x:v>
      </x:c>
      <x:c r="K352" s="73" t="str">
        <x:v>规划锁定／旧资源待实库回读</x:v>
      </x:c>
      <x:c r="L352" s="74" t="str">
        <x:v>装备资源库血月荆棘·月蚀</x:v>
      </x:c>
    </x:row>
    <x:row r="353" ht="34" customHeight="1">
      <x:c r="A353" s="72" t="str">
        <x:v>C09-M007</x:v>
      </x:c>
      <x:c r="B353" s="73" t="str">
        <x:v>C09</x:v>
      </x:c>
      <x:c r="C353" s="73" t="str">
        <x:v>亚坛高原</x:v>
      </x:c>
      <x:c r="D353" s="73" t="str">
        <x:v>XX720</x:v>
      </x:c>
      <x:c r="E353" s="73" t="str">
        <x:v>落叶占路僧</x:v>
      </x:c>
      <x:c r="F353" s="73" t="str">
        <x:v>稀有</x:v>
      </x:c>
      <x:c r="G353" s="73" t="str">
        <x:v>占路秋叶笠</x:v>
      </x:c>
      <x:c r="H353" s="73" t="str">
        <x:v>斗笠</x:v>
      </x:c>
      <x:c r="I353" s="73" t="str">
        <x:v>面巾（位置13，对应斗笠）</x:v>
      </x:c>
      <x:c r="J353" s="79" t="n">
        <x:v>6785</x:v>
      </x:c>
      <x:c r="K353" s="73" t="str">
        <x:v>预检通过资源／规划锁定／待入库</x:v>
      </x:c>
      <x:c r="L353" s="74" t="str">
        <x:v>StdMode16/位置13；星渊龙息·龙鳞</x:v>
      </x:c>
    </x:row>
    <x:row r="354" ht="34" customHeight="1">
      <x:c r="A354" s="72" t="str">
        <x:v>C09-M008</x:v>
      </x:c>
      <x:c r="B354" s="73" t="str">
        <x:v>C09</x:v>
      </x:c>
      <x:c r="C354" s="73" t="str">
        <x:v>亚坛高原</x:v>
      </x:c>
      <x:c r="D354" s="73" t="str">
        <x:v>XX717</x:v>
      </x:c>
      <x:c r="E354" s="73" t="str">
        <x:v>逆风驿骑</x:v>
      </x:c>
      <x:c r="F354" s="73" t="str">
        <x:v>稀有</x:v>
      </x:c>
      <x:c r="G354" s="73" t="str">
        <x:v>逆风驿骑带</x:v>
      </x:c>
      <x:c r="H354" s="73" t="str">
        <x:v>腰带</x:v>
      </x:c>
      <x:c r="I354" s="73" t="str">
        <x:v>腰带</x:v>
      </x:c>
      <x:c r="J354" s="79" t="n">
        <x:v>5938</x:v>
      </x:c>
      <x:c r="K354" s="73" t="str">
        <x:v>规划锁定／旧资源待实库回读</x:v>
      </x:c>
      <x:c r="L354" s="74" t="str">
        <x:v>装备资源库黄金圣律·日冕</x:v>
      </x:c>
    </x:row>
    <x:row r="355" ht="34" customHeight="1">
      <x:c r="A355" s="72" t="str">
        <x:v>C09-M009</x:v>
      </x:c>
      <x:c r="B355" s="73" t="str">
        <x:v>C09</x:v>
      </x:c>
      <x:c r="C355" s="73" t="str">
        <x:v>亚坛高原</x:v>
      </x:c>
      <x:c r="D355" s="73" t="str">
        <x:v>XX718</x:v>
      </x:c>
      <x:c r="E355" s="73" t="str">
        <x:v>守陵金颚兽</x:v>
      </x:c>
      <x:c r="F355" s="73" t="str">
        <x:v>稀有</x:v>
      </x:c>
      <x:c r="G355" s="73" t="str">
        <x:v>金颚守陵镯</x:v>
      </x:c>
      <x:c r="H355" s="73" t="str">
        <x:v>手镯</x:v>
      </x:c>
      <x:c r="I355" s="73" t="str">
        <x:v>手镯</x:v>
      </x:c>
      <x:c r="J355" s="79" t="n">
        <x:v>5960</x:v>
      </x:c>
      <x:c r="K355" s="73" t="str">
        <x:v>规划锁定／旧资源待实库回读</x:v>
      </x:c>
      <x:c r="L355" s="74" t="str">
        <x:v>装备资源库血月荆棘·暗芽</x:v>
      </x:c>
    </x:row>
    <x:row r="356" ht="34" customHeight="1">
      <x:c r="A356" s="72" t="str">
        <x:v>C09-M010</x:v>
      </x:c>
      <x:c r="B356" s="73" t="str">
        <x:v>C09</x:v>
      </x:c>
      <x:c r="C356" s="73" t="str">
        <x:v>亚坛高原</x:v>
      </x:c>
      <x:c r="D356" s="73" t="str">
        <x:v>XX721</x:v>
      </x:c>
      <x:c r="E356" s="73" t="str">
        <x:v>古王献梦者</x:v>
      </x:c>
      <x:c r="F356" s="73" t="str">
        <x:v>稀有</x:v>
      </x:c>
      <x:c r="G356" s="73" t="str">
        <x:v>献梦琥金戒</x:v>
      </x:c>
      <x:c r="H356" s="73" t="str">
        <x:v>戒指</x:v>
      </x:c>
      <x:c r="I356" s="73" t="str">
        <x:v>戒指</x:v>
      </x:c>
      <x:c r="J356" s="79" t="n">
        <x:v>5988</x:v>
      </x:c>
      <x:c r="K356" s="73" t="str">
        <x:v>规划锁定／旧资源待实库回读</x:v>
      </x:c>
      <x:c r="L356" s="74" t="str">
        <x:v>装备资源库血月荆棘·夜蔷</x:v>
      </x:c>
    </x:row>
    <x:row r="357" ht="34" customHeight="1">
      <x:c r="A357" s="72" t="str">
        <x:v>C09-M011</x:v>
      </x:c>
      <x:c r="B357" s="73" t="str">
        <x:v>C09</x:v>
      </x:c>
      <x:c r="C357" s="73" t="str">
        <x:v>亚坛高原</x:v>
      </x:c>
      <x:c r="D357" s="73" t="str">
        <x:v>XX718</x:v>
      </x:c>
      <x:c r="E357" s="73" t="str">
        <x:v>陵园摘冠侯·阿维恩</x:v>
      </x:c>
      <x:c r="F357" s="73" t="str">
        <x:v>地图BOSS</x:v>
      </x:c>
      <x:c r="G357" s="73" t="str">
        <x:v>阿维恩摘冠剑</x:v>
      </x:c>
      <x:c r="H357" s="73" t="str">
        <x:v>武器</x:v>
      </x:c>
      <x:c r="I357" s="73" t="str">
        <x:v>武器</x:v>
      </x:c>
      <x:c r="J357" s="80"/>
      <x:c r="K357" s="73" t="str">
        <x:v>缺武器来源码</x:v>
      </x:c>
      <x:c r="L357" s="74" t="str">
        <x:v>需补同部位Items/StateItem/DnItems三库同码资源</x:v>
      </x:c>
    </x:row>
    <x:row r="358" ht="34" customHeight="1">
      <x:c r="A358" s="72" t="str">
        <x:v>C09-M012</x:v>
      </x:c>
      <x:c r="B358" s="73" t="str">
        <x:v>C09</x:v>
      </x:c>
      <x:c r="C358" s="73" t="str">
        <x:v>亚坛高原</x:v>
      </x:c>
      <x:c r="D358" s="73" t="str">
        <x:v>XX721</x:v>
      </x:c>
      <x:c r="E358" s="73" t="str">
        <x:v>金叶祭王·萨鲁恩</x:v>
      </x:c>
      <x:c r="F358" s="73" t="str">
        <x:v>地图BOSS</x:v>
      </x:c>
      <x:c r="G358" s="73" t="str">
        <x:v>萨鲁恩金叶祭衣</x:v>
      </x:c>
      <x:c r="H358" s="73" t="str">
        <x:v>衣服</x:v>
      </x:c>
      <x:c r="I358" s="73" t="str">
        <x:v>男衣服（现行模板的衣服映射）</x:v>
      </x:c>
      <x:c r="J358" s="80"/>
      <x:c r="K358" s="73" t="str">
        <x:v>缺衣服来源码</x:v>
      </x:c>
      <x:c r="L358" s="74" t="str">
        <x:v>需补男衣服StdMode10的三库同码资源；女衣服码未获准合池</x:v>
      </x:c>
    </x:row>
    <x:row r="359" ht="34" customHeight="1">
      <x:c r="A359" s="72" t="str">
        <x:v>C09-M013</x:v>
      </x:c>
      <x:c r="B359" s="73" t="str">
        <x:v>C09</x:v>
      </x:c>
      <x:c r="C359" s="73" t="str">
        <x:v>亚坛高原</x:v>
      </x:c>
      <x:c r="D359" s="73" t="str">
        <x:v>XX820</x:v>
      </x:c>
      <x:c r="E359" s="73" t="str">
        <x:v>矿脉啮岩鼠</x:v>
      </x:c>
      <x:c r="F359" s="73" t="str">
        <x:v>普通</x:v>
      </x:c>
      <x:c r="G359" s="73" t="str">
        <x:v>啮岩鼠爪靴</x:v>
      </x:c>
      <x:c r="H359" s="73" t="str">
        <x:v>鞋子</x:v>
      </x:c>
      <x:c r="I359" s="73" t="str">
        <x:v>鞋子</x:v>
      </x:c>
      <x:c r="J359" s="79" t="n">
        <x:v>5955</x:v>
      </x:c>
      <x:c r="K359" s="73" t="str">
        <x:v>规划锁定／旧资源待实库回读</x:v>
      </x:c>
      <x:c r="L359" s="74" t="str">
        <x:v>装备资源库黄金圣律·永耀</x:v>
      </x:c>
    </x:row>
    <x:row r="360" ht="34" customHeight="1">
      <x:c r="A360" s="72" t="str">
        <x:v>C09-M014</x:v>
      </x:c>
      <x:c r="B360" s="73" t="str">
        <x:v>C09</x:v>
      </x:c>
      <x:c r="C360" s="73" t="str">
        <x:v>亚坛高原</x:v>
      </x:c>
      <x:c r="D360" s="73" t="str">
        <x:v>XX820</x:v>
      </x:c>
      <x:c r="E360" s="73" t="str">
        <x:v>高原探脉客</x:v>
      </x:c>
      <x:c r="F360" s="73" t="str">
        <x:v>普通</x:v>
      </x:c>
      <x:c r="G360" s="73" t="str">
        <x:v>探脉听石坠</x:v>
      </x:c>
      <x:c r="H360" s="73" t="str">
        <x:v>项链</x:v>
      </x:c>
      <x:c r="I360" s="73" t="str">
        <x:v>项链</x:v>
      </x:c>
      <x:c r="J360" s="79" t="n">
        <x:v>6012</x:v>
      </x:c>
      <x:c r="K360" s="73" t="str">
        <x:v>规划锁定／旧资源待实库回读</x:v>
      </x:c>
      <x:c r="L360" s="74" t="str">
        <x:v>装备资源库血月荆棘·王刺</x:v>
      </x:c>
    </x:row>
    <x:row r="361" ht="34" customHeight="1">
      <x:c r="A361" s="72" t="str">
        <x:v>C09-M015</x:v>
      </x:c>
      <x:c r="B361" s="73" t="str">
        <x:v>C09</x:v>
      </x:c>
      <x:c r="C361" s="73" t="str">
        <x:v>亚坛高原</x:v>
      </x:c>
      <x:c r="D361" s="73" t="str">
        <x:v>XX821</x:v>
      </x:c>
      <x:c r="E361" s="73" t="str">
        <x:v>黄金矿道凿工</x:v>
      </x:c>
      <x:c r="F361" s="73" t="str">
        <x:v>普通</x:v>
      </x:c>
      <x:c r="G361" s="73" t="str">
        <x:v>凿工尖喙镐</x:v>
      </x:c>
      <x:c r="H361" s="73" t="str">
        <x:v>武器</x:v>
      </x:c>
      <x:c r="I361" s="73" t="str">
        <x:v>武器</x:v>
      </x:c>
      <x:c r="J361" s="80"/>
      <x:c r="K361" s="73" t="str">
        <x:v>缺武器来源码</x:v>
      </x:c>
      <x:c r="L361" s="74" t="str">
        <x:v>需补同部位Items/StateItem/DnItems三库同码资源</x:v>
      </x:c>
    </x:row>
    <x:row r="362" ht="34" customHeight="1">
      <x:c r="A362" s="72" t="str">
        <x:v>C09-M016</x:v>
      </x:c>
      <x:c r="B362" s="73" t="str">
        <x:v>C09</x:v>
      </x:c>
      <x:c r="C362" s="73" t="str">
        <x:v>亚坛高原</x:v>
      </x:c>
      <x:c r="D362" s="73" t="str">
        <x:v>XX822</x:v>
      </x:c>
      <x:c r="E362" s="73" t="str">
        <x:v>旧营提灯尸</x:v>
      </x:c>
      <x:c r="F362" s="73" t="str">
        <x:v>普通</x:v>
      </x:c>
      <x:c r="G362" s="73" t="str">
        <x:v>提灯旧毡笠</x:v>
      </x:c>
      <x:c r="H362" s="73" t="str">
        <x:v>斗笠</x:v>
      </x:c>
      <x:c r="I362" s="73" t="str">
        <x:v>面巾（位置13，对应斗笠）</x:v>
      </x:c>
      <x:c r="J362" s="80"/>
      <x:c r="K362" s="73" t="str">
        <x:v>缺斗笠来源码</x:v>
      </x:c>
      <x:c r="L362" s="74" t="str">
        <x:v>需补StdMode16/位置13的三库同码资源</x:v>
      </x:c>
    </x:row>
    <x:row r="363" ht="34" customHeight="1">
      <x:c r="A363" s="72" t="str">
        <x:v>C09-M017</x:v>
      </x:c>
      <x:c r="B363" s="73" t="str">
        <x:v>C09</x:v>
      </x:c>
      <x:c r="C363" s="73" t="str">
        <x:v>亚坛高原</x:v>
      </x:c>
      <x:c r="D363" s="73" t="str">
        <x:v>XX823</x:v>
      </x:c>
      <x:c r="E363" s="73" t="str">
        <x:v>深井负筐奴</x:v>
      </x:c>
      <x:c r="F363" s="73" t="str">
        <x:v>普通</x:v>
      </x:c>
      <x:c r="G363" s="73" t="str">
        <x:v>负筐矿奴衣</x:v>
      </x:c>
      <x:c r="H363" s="73" t="str">
        <x:v>衣服</x:v>
      </x:c>
      <x:c r="I363" s="73" t="str">
        <x:v>男衣服（现行模板的衣服映射）</x:v>
      </x:c>
      <x:c r="J363" s="80"/>
      <x:c r="K363" s="73" t="str">
        <x:v>缺衣服来源码</x:v>
      </x:c>
      <x:c r="L363" s="74" t="str">
        <x:v>需补男衣服StdMode10的三库同码资源；女衣服码未获准合池</x:v>
      </x:c>
    </x:row>
    <x:row r="364" ht="34" customHeight="1">
      <x:c r="A364" s="72" t="str">
        <x:v>C09-M018</x:v>
      </x:c>
      <x:c r="B364" s="73" t="str">
        <x:v>C09</x:v>
      </x:c>
      <x:c r="C364" s="73" t="str">
        <x:v>亚坛高原</x:v>
      </x:c>
      <x:c r="D364" s="73" t="str">
        <x:v>XX824</x:v>
      </x:c>
      <x:c r="E364" s="73" t="str">
        <x:v>核心晶背虫</x:v>
      </x:c>
      <x:c r="F364" s="73" t="str">
        <x:v>普通</x:v>
      </x:c>
      <x:c r="G364" s="73" t="str">
        <x:v>晶背层岩盾</x:v>
      </x:c>
      <x:c r="H364" s="73" t="str">
        <x:v>盾牌</x:v>
      </x:c>
      <x:c r="I364" s="73" t="str">
        <x:v>盾牌</x:v>
      </x:c>
      <x:c r="J364" s="79" t="n">
        <x:v>5971</x:v>
      </x:c>
      <x:c r="K364" s="73" t="str">
        <x:v>规划锁定／旧资源待实库回读</x:v>
      </x:c>
      <x:c r="L364" s="74" t="str">
        <x:v>装备资源库血月荆棘·血棘</x:v>
      </x:c>
    </x:row>
    <x:row r="365" ht="34" customHeight="1">
      <x:c r="A365" s="72" t="str">
        <x:v>C09-M019</x:v>
      </x:c>
      <x:c r="B365" s="73" t="str">
        <x:v>C09</x:v>
      </x:c>
      <x:c r="C365" s="73" t="str">
        <x:v>亚坛高原</x:v>
      </x:c>
      <x:c r="D365" s="73" t="str">
        <x:v>XX821</x:v>
      </x:c>
      <x:c r="E365" s="73" t="str">
        <x:v>矿道哑钟监工</x:v>
      </x:c>
      <x:c r="F365" s="73" t="str">
        <x:v>稀有</x:v>
      </x:c>
      <x:c r="G365" s="73" t="str">
        <x:v>哑钟监工盔</x:v>
      </x:c>
      <x:c r="H365" s="73" t="str">
        <x:v>头盔</x:v>
      </x:c>
      <x:c r="I365" s="73" t="str">
        <x:v>头盔</x:v>
      </x:c>
      <x:c r="J365" s="79" t="n">
        <x:v>6013</x:v>
      </x:c>
      <x:c r="K365" s="73" t="str">
        <x:v>规划锁定／旧资源待实库回读</x:v>
      </x:c>
      <x:c r="L365" s="74" t="str">
        <x:v>装备资源库血月荆棘·王刺</x:v>
      </x:c>
    </x:row>
    <x:row r="366" ht="34" customHeight="1">
      <x:c r="A366" s="72" t="str">
        <x:v>C09-M020</x:v>
      </x:c>
      <x:c r="B366" s="73" t="str">
        <x:v>C09</x:v>
      </x:c>
      <x:c r="C366" s="73" t="str">
        <x:v>亚坛高原</x:v>
      </x:c>
      <x:c r="D366" s="73" t="str">
        <x:v>XX822</x:v>
      </x:c>
      <x:c r="E366" s="73" t="str">
        <x:v>营地熔勺婆</x:v>
      </x:c>
      <x:c r="F366" s="73" t="str">
        <x:v>稀有</x:v>
      </x:c>
      <x:c r="G366" s="73" t="str">
        <x:v>熔勺婆铜镯</x:v>
      </x:c>
      <x:c r="H366" s="73" t="str">
        <x:v>手镯</x:v>
      </x:c>
      <x:c r="I366" s="73" t="str">
        <x:v>手镯</x:v>
      </x:c>
      <x:c r="J366" s="79" t="n">
        <x:v>5969</x:v>
      </x:c>
      <x:c r="K366" s="73" t="str">
        <x:v>规划锁定／旧资源待实库回读</x:v>
      </x:c>
      <x:c r="L366" s="74" t="str">
        <x:v>装备资源库血月荆棘·血棘</x:v>
      </x:c>
    </x:row>
    <x:row r="367" ht="34" customHeight="1">
      <x:c r="A367" s="72" t="str">
        <x:v>C09-M021</x:v>
      </x:c>
      <x:c r="B367" s="73" t="str">
        <x:v>C09</x:v>
      </x:c>
      <x:c r="C367" s="73" t="str">
        <x:v>亚坛高原</x:v>
      </x:c>
      <x:c r="D367" s="73" t="str">
        <x:v>XX823</x:v>
      </x:c>
      <x:c r="E367" s="73" t="str">
        <x:v>深层听岩师</x:v>
      </x:c>
      <x:c r="F367" s="73" t="str">
        <x:v>稀有</x:v>
      </x:c>
      <x:c r="G367" s="73" t="str">
        <x:v>听岩回声戒</x:v>
      </x:c>
      <x:c r="H367" s="73" t="str">
        <x:v>戒指</x:v>
      </x:c>
      <x:c r="I367" s="73" t="str">
        <x:v>戒指</x:v>
      </x:c>
      <x:c r="J367" s="79" t="n">
        <x:v>6006</x:v>
      </x:c>
      <x:c r="K367" s="73" t="str">
        <x:v>规划锁定／旧资源待实库回读</x:v>
      </x:c>
      <x:c r="L367" s="74" t="str">
        <x:v>装备资源库血月荆棘·月蚀</x:v>
      </x:c>
    </x:row>
    <x:row r="368" ht="34" customHeight="1">
      <x:c r="A368" s="72" t="str">
        <x:v>C09-M022</x:v>
      </x:c>
      <x:c r="B368" s="73" t="str">
        <x:v>C09</x:v>
      </x:c>
      <x:c r="C368" s="73" t="str">
        <x:v>亚坛高原</x:v>
      </x:c>
      <x:c r="D368" s="73" t="str">
        <x:v>XX824</x:v>
      </x:c>
      <x:c r="E368" s="73" t="str">
        <x:v>核心吞金蜥</x:v>
      </x:c>
      <x:c r="F368" s="73" t="str">
        <x:v>稀有</x:v>
      </x:c>
      <x:c r="G368" s="73" t="str">
        <x:v>吞金蜥尾带</x:v>
      </x:c>
      <x:c r="H368" s="73" t="str">
        <x:v>腰带</x:v>
      </x:c>
      <x:c r="I368" s="73" t="str">
        <x:v>腰带</x:v>
      </x:c>
      <x:c r="J368" s="79" t="n">
        <x:v>5947</x:v>
      </x:c>
      <x:c r="K368" s="73" t="str">
        <x:v>规划锁定／旧资源待实库回读</x:v>
      </x:c>
      <x:c r="L368" s="74" t="str">
        <x:v>装备资源库黄金圣律·神律</x:v>
      </x:c>
    </x:row>
    <x:row r="369" ht="34" customHeight="1">
      <x:c r="A369" s="72" t="str">
        <x:v>C09-M023</x:v>
      </x:c>
      <x:c r="B369" s="73" t="str">
        <x:v>C09</x:v>
      </x:c>
      <x:c r="C369" s="73" t="str">
        <x:v>亚坛高原</x:v>
      </x:c>
      <x:c r="D369" s="73" t="str">
        <x:v>XX823</x:v>
      </x:c>
      <x:c r="E369" s="73" t="str">
        <x:v>深井断索王·布洛克</x:v>
      </x:c>
      <x:c r="F369" s="73" t="str">
        <x:v>地图BOSS</x:v>
      </x:c>
      <x:c r="G369" s="73" t="str">
        <x:v>布洛克断索锤</x:v>
      </x:c>
      <x:c r="H369" s="73" t="str">
        <x:v>武器</x:v>
      </x:c>
      <x:c r="I369" s="73" t="str">
        <x:v>武器</x:v>
      </x:c>
      <x:c r="J369" s="80"/>
      <x:c r="K369" s="73" t="str">
        <x:v>缺武器来源码</x:v>
      </x:c>
      <x:c r="L369" s="74" t="str">
        <x:v>需补同部位Items/StateItem/DnItems三库同码资源</x:v>
      </x:c>
    </x:row>
    <x:row r="370" ht="34" customHeight="1">
      <x:c r="A370" s="72" t="str">
        <x:v>C09-M024</x:v>
      </x:c>
      <x:c r="B370" s="73" t="str">
        <x:v>C09</x:v>
      </x:c>
      <x:c r="C370" s="73" t="str">
        <x:v>亚坛高原</x:v>
      </x:c>
      <x:c r="D370" s="73" t="str">
        <x:v>XX824</x:v>
      </x:c>
      <x:c r="E370" s="73" t="str">
        <x:v>矿心鎏金母·奥莉莎</x:v>
      </x:c>
      <x:c r="F370" s="73" t="str">
        <x:v>地图BOSS</x:v>
      </x:c>
      <x:c r="G370" s="73" t="str">
        <x:v>奥莉莎矿心甲</x:v>
      </x:c>
      <x:c r="H370" s="73" t="str">
        <x:v>衣服</x:v>
      </x:c>
      <x:c r="I370" s="73" t="str">
        <x:v>男衣服（现行模板的衣服映射）</x:v>
      </x:c>
      <x:c r="J370" s="80"/>
      <x:c r="K370" s="73" t="str">
        <x:v>缺衣服来源码</x:v>
      </x:c>
      <x:c r="L370" s="74" t="str">
        <x:v>需补男衣服StdMode10的三库同码资源；女衣服码未获准合池</x:v>
      </x:c>
    </x:row>
    <x:row r="371" ht="34" customHeight="1">
      <x:c r="A371" s="72" t="str">
        <x:v>C09-M025</x:v>
      </x:c>
      <x:c r="B371" s="73" t="str">
        <x:v>C09</x:v>
      </x:c>
      <x:c r="C371" s="73" t="str">
        <x:v>亚坛高原</x:v>
      </x:c>
      <x:c r="D371" s="73" t="str">
        <x:v>XX837</x:v>
      </x:c>
      <x:c r="E371" s="73" t="str">
        <x:v>陵园剪枝傀</x:v>
      </x:c>
      <x:c r="F371" s="73" t="str">
        <x:v>普通</x:v>
      </x:c>
      <x:c r="G371" s="73" t="str">
        <x:v>剪枝傀镰</x:v>
      </x:c>
      <x:c r="H371" s="73" t="str">
        <x:v>武器</x:v>
      </x:c>
      <x:c r="I371" s="73" t="str">
        <x:v>武器</x:v>
      </x:c>
      <x:c r="J371" s="80"/>
      <x:c r="K371" s="73" t="str">
        <x:v>缺武器来源码</x:v>
      </x:c>
      <x:c r="L371" s="74" t="str">
        <x:v>需补同部位Items/StateItem/DnItems三库同码资源</x:v>
      </x:c>
    </x:row>
    <x:row r="372" ht="34" customHeight="1">
      <x:c r="A372" s="72" t="str">
        <x:v>C09-M026</x:v>
      </x:c>
      <x:c r="B372" s="73" t="str">
        <x:v>C09</x:v>
      </x:c>
      <x:c r="C372" s="73" t="str">
        <x:v>亚坛高原</x:v>
      </x:c>
      <x:c r="D372" s="73" t="str">
        <x:v>XX837</x:v>
      </x:c>
      <x:c r="E372" s="73" t="str">
        <x:v>王碑金翅蛾</x:v>
      </x:c>
      <x:c r="F372" s="73" t="str">
        <x:v>普通</x:v>
      </x:c>
      <x:c r="G372" s="73" t="str">
        <x:v>金翅碑尘履</x:v>
      </x:c>
      <x:c r="H372" s="73" t="str">
        <x:v>鞋子</x:v>
      </x:c>
      <x:c r="I372" s="73" t="str">
        <x:v>鞋子</x:v>
      </x:c>
      <x:c r="J372" s="79" t="n">
        <x:v>5964</x:v>
      </x:c>
      <x:c r="K372" s="73" t="str">
        <x:v>规划锁定／旧资源待实库回读</x:v>
      </x:c>
      <x:c r="L372" s="74" t="str">
        <x:v>装备资源库血月荆棘·暗芽</x:v>
      </x:c>
    </x:row>
    <x:row r="373" ht="34" customHeight="1">
      <x:c r="A373" s="72" t="str">
        <x:v>C09-M027</x:v>
      </x:c>
      <x:c r="B373" s="73" t="str">
        <x:v>C09</x:v>
      </x:c>
      <x:c r="C373" s="73" t="str">
        <x:v>亚坛高原</x:v>
      </x:c>
      <x:c r="D373" s="73" t="str">
        <x:v>XX836</x:v>
      </x:c>
      <x:c r="E373" s="73" t="str">
        <x:v>甬道扶棺卒</x:v>
      </x:c>
      <x:c r="F373" s="73" t="str">
        <x:v>普通</x:v>
      </x:c>
      <x:c r="G373" s="73" t="str">
        <x:v>扶棺铜纹盾</x:v>
      </x:c>
      <x:c r="H373" s="73" t="str">
        <x:v>盾牌</x:v>
      </x:c>
      <x:c r="I373" s="73" t="str">
        <x:v>盾牌</x:v>
      </x:c>
      <x:c r="J373" s="79" t="n">
        <x:v>5980</x:v>
      </x:c>
      <x:c r="K373" s="73" t="str">
        <x:v>规划锁定／旧资源待实库回读</x:v>
      </x:c>
      <x:c r="L373" s="74" t="str">
        <x:v>装备资源库血月荆棘·猩痕</x:v>
      </x:c>
    </x:row>
    <x:row r="374" ht="34" customHeight="1">
      <x:c r="A374" s="72" t="str">
        <x:v>C09-M028</x:v>
      </x:c>
      <x:c r="B374" s="73" t="str">
        <x:v>C09</x:v>
      </x:c>
      <x:c r="C374" s="73" t="str">
        <x:v>亚坛高原</x:v>
      </x:c>
      <x:c r="D374" s="73" t="str">
        <x:v>XX836</x:v>
      </x:c>
      <x:c r="E374" s="73" t="str">
        <x:v>壁龛守烛童</x:v>
      </x:c>
      <x:c r="F374" s="73" t="str">
        <x:v>普通</x:v>
      </x:c>
      <x:c r="G374" s="73" t="str">
        <x:v>壁龛守烛坠</x:v>
      </x:c>
      <x:c r="H374" s="73" t="str">
        <x:v>项链</x:v>
      </x:c>
      <x:c r="I374" s="73" t="str">
        <x:v>项链</x:v>
      </x:c>
      <x:c r="J374" s="79" t="n">
        <x:v>6021</x:v>
      </x:c>
      <x:c r="K374" s="73" t="str">
        <x:v>规划锁定／旧资源待实库回读</x:v>
      </x:c>
      <x:c r="L374" s="74" t="str">
        <x:v>装备资源库血月荆棘·灾焰</x:v>
      </x:c>
    </x:row>
    <x:row r="375" ht="34" customHeight="1">
      <x:c r="A375" s="72" t="str">
        <x:v>C09-M029</x:v>
      </x:c>
      <x:c r="B375" s="73" t="str">
        <x:v>C09</x:v>
      </x:c>
      <x:c r="C375" s="73" t="str">
        <x:v>亚坛高原</x:v>
      </x:c>
      <x:c r="D375" s="73" t="str">
        <x:v>XX838</x:v>
      </x:c>
      <x:c r="E375" s="73" t="str">
        <x:v>墓室敛袍侍</x:v>
      </x:c>
      <x:c r="F375" s="73" t="str">
        <x:v>普通</x:v>
      </x:c>
      <x:c r="G375" s="73" t="str">
        <x:v>敛袍侍素衣</x:v>
      </x:c>
      <x:c r="H375" s="73" t="str">
        <x:v>衣服</x:v>
      </x:c>
      <x:c r="I375" s="73" t="str">
        <x:v>男衣服（现行模板的衣服映射）</x:v>
      </x:c>
      <x:c r="J375" s="80"/>
      <x:c r="K375" s="73" t="str">
        <x:v>缺衣服来源码</x:v>
      </x:c>
      <x:c r="L375" s="74" t="str">
        <x:v>需补男衣服StdMode10的三库同码资源；女衣服码未获准合池</x:v>
      </x:c>
    </x:row>
    <x:row r="376" ht="34" customHeight="1">
      <x:c r="A376" s="72" t="str">
        <x:v>C09-M030</x:v>
      </x:c>
      <x:c r="B376" s="73" t="str">
        <x:v>C09</x:v>
      </x:c>
      <x:c r="C376" s="73" t="str">
        <x:v>亚坛高原</x:v>
      </x:c>
      <x:c r="D376" s="73" t="str">
        <x:v>XX838</x:v>
      </x:c>
      <x:c r="E376" s="73" t="str">
        <x:v>古王陪葬犬</x:v>
      </x:c>
      <x:c r="F376" s="73" t="str">
        <x:v>普通</x:v>
      </x:c>
      <x:c r="G376" s="73" t="str">
        <x:v>葬犬衔骨镯</x:v>
      </x:c>
      <x:c r="H376" s="73" t="str">
        <x:v>手镯</x:v>
      </x:c>
      <x:c r="I376" s="73" t="str">
        <x:v>手镯</x:v>
      </x:c>
      <x:c r="J376" s="79" t="n">
        <x:v>5978</x:v>
      </x:c>
      <x:c r="K376" s="73" t="str">
        <x:v>规划锁定／旧资源待实库回读</x:v>
      </x:c>
      <x:c r="L376" s="74" t="str">
        <x:v>装备资源库血月荆棘·猩痕</x:v>
      </x:c>
    </x:row>
    <x:row r="377" ht="34" customHeight="1">
      <x:c r="A377" s="72" t="str">
        <x:v>C09-M031</x:v>
      </x:c>
      <x:c r="B377" s="73" t="str">
        <x:v>C09</x:v>
      </x:c>
      <x:c r="C377" s="73" t="str">
        <x:v>亚坛高原</x:v>
      </x:c>
      <x:c r="D377" s="73" t="str">
        <x:v>XX837</x:v>
      </x:c>
      <x:c r="E377" s="73" t="str">
        <x:v>王陵问名官</x:v>
      </x:c>
      <x:c r="F377" s="73" t="str">
        <x:v>稀有</x:v>
      </x:c>
      <x:c r="G377" s="73" t="str">
        <x:v>问名官冥笠</x:v>
      </x:c>
      <x:c r="H377" s="73" t="str">
        <x:v>斗笠</x:v>
      </x:c>
      <x:c r="I377" s="73" t="str">
        <x:v>面巾（位置13，对应斗笠）</x:v>
      </x:c>
      <x:c r="J377" s="79" t="n">
        <x:v>6820</x:v>
      </x:c>
      <x:c r="K377" s="73" t="str">
        <x:v>预检通过资源／规划锁定／待入库</x:v>
      </x:c>
      <x:c r="L377" s="74" t="str">
        <x:v>StdMode16/位置13；星渊龙息·渊辉</x:v>
      </x:c>
    </x:row>
    <x:row r="378" ht="34" customHeight="1">
      <x:c r="A378" s="72" t="str">
        <x:v>C09-M032</x:v>
      </x:c>
      <x:c r="B378" s="73" t="str">
        <x:v>C09</x:v>
      </x:c>
      <x:c r="C378" s="73" t="str">
        <x:v>亚坛高原</x:v>
      </x:c>
      <x:c r="D378" s="73" t="str">
        <x:v>XX836</x:v>
      </x:c>
      <x:c r="E378" s="73" t="str">
        <x:v>甬道无面近卫</x:v>
      </x:c>
      <x:c r="F378" s="73" t="str">
        <x:v>稀有</x:v>
      </x:c>
      <x:c r="G378" s="73" t="str">
        <x:v>无面近卫盔</x:v>
      </x:c>
      <x:c r="H378" s="73" t="str">
        <x:v>头盔</x:v>
      </x:c>
      <x:c r="I378" s="73" t="str">
        <x:v>头盔</x:v>
      </x:c>
      <x:c r="J378" s="79" t="n">
        <x:v>6022</x:v>
      </x:c>
      <x:c r="K378" s="73" t="str">
        <x:v>规划锁定／旧资源待实库回读</x:v>
      </x:c>
      <x:c r="L378" s="74" t="str">
        <x:v>装备资源库血月荆棘·灾焰</x:v>
      </x:c>
    </x:row>
    <x:row r="379" ht="34" customHeight="1">
      <x:c r="A379" s="72" t="str">
        <x:v>C09-M033</x:v>
      </x:c>
      <x:c r="B379" s="73" t="str">
        <x:v>C09</x:v>
      </x:c>
      <x:c r="C379" s="73" t="str">
        <x:v>亚坛高原</x:v>
      </x:c>
      <x:c r="D379" s="73" t="str">
        <x:v>XX838</x:v>
      </x:c>
      <x:c r="E379" s="73" t="str">
        <x:v>墓室守印妃</x:v>
      </x:c>
      <x:c r="F379" s="73" t="str">
        <x:v>稀有</x:v>
      </x:c>
      <x:c r="G379" s="73" t="str">
        <x:v>守印妃金戒</x:v>
      </x:c>
      <x:c r="H379" s="73" t="str">
        <x:v>戒指</x:v>
      </x:c>
      <x:c r="I379" s="73" t="str">
        <x:v>戒指</x:v>
      </x:c>
      <x:c r="J379" s="79" t="n">
        <x:v>6015</x:v>
      </x:c>
      <x:c r="K379" s="73" t="str">
        <x:v>规划锁定／旧资源待实库回读</x:v>
      </x:c>
      <x:c r="L379" s="74" t="str">
        <x:v>装备资源库血月荆棘·王刺</x:v>
      </x:c>
    </x:row>
    <x:row r="380" ht="34" customHeight="1">
      <x:c r="A380" s="72" t="str">
        <x:v>C09-M034</x:v>
      </x:c>
      <x:c r="B380" s="73" t="str">
        <x:v>C09</x:v>
      </x:c>
      <x:c r="C380" s="73" t="str">
        <x:v>亚坛高原</x:v>
      </x:c>
      <x:c r="D380" s="73" t="str">
        <x:v>XX838</x:v>
      </x:c>
      <x:c r="E380" s="73" t="str">
        <x:v>墓室食梦金蝉</x:v>
      </x:c>
      <x:c r="F380" s="73" t="str">
        <x:v>稀有</x:v>
      </x:c>
      <x:c r="G380" s="73" t="str">
        <x:v>食梦蝉蜕带</x:v>
      </x:c>
      <x:c r="H380" s="73" t="str">
        <x:v>腰带</x:v>
      </x:c>
      <x:c r="I380" s="73" t="str">
        <x:v>腰带</x:v>
      </x:c>
      <x:c r="J380" s="79" t="n">
        <x:v>5956</x:v>
      </x:c>
      <x:c r="K380" s="73" t="str">
        <x:v>规划锁定／旧资源待实库回读</x:v>
      </x:c>
      <x:c r="L380" s="74" t="str">
        <x:v>装备资源库黄金圣律·永耀</x:v>
      </x:c>
    </x:row>
    <x:row r="381" ht="34" customHeight="1">
      <x:c r="A381" s="72" t="str">
        <x:v>C09-M035</x:v>
      </x:c>
      <x:c r="B381" s="73" t="str">
        <x:v>C09</x:v>
      </x:c>
      <x:c r="C381" s="73" t="str">
        <x:v>亚坛高原</x:v>
      </x:c>
      <x:c r="D381" s="73" t="str">
        <x:v>XX836</x:v>
      </x:c>
      <x:c r="E381" s="73" t="str">
        <x:v>封棺执政·梅尔顿</x:v>
      </x:c>
      <x:c r="F381" s="73" t="str">
        <x:v>地图BOSS</x:v>
      </x:c>
      <x:c r="G381" s="73" t="str">
        <x:v>梅尔顿封棺钺</x:v>
      </x:c>
      <x:c r="H381" s="73" t="str">
        <x:v>武器</x:v>
      </x:c>
      <x:c r="I381" s="73" t="str">
        <x:v>武器</x:v>
      </x:c>
      <x:c r="J381" s="80"/>
      <x:c r="K381" s="73" t="str">
        <x:v>缺武器来源码</x:v>
      </x:c>
      <x:c r="L381" s="74" t="str">
        <x:v>需补同部位Items/StateItem/DnItems三库同码资源</x:v>
      </x:c>
    </x:row>
    <x:row r="382" ht="34" customHeight="1">
      <x:c r="A382" s="72" t="str">
        <x:v>C09-M036</x:v>
      </x:c>
      <x:c r="B382" s="73" t="str">
        <x:v>C09</x:v>
      </x:c>
      <x:c r="C382" s="73" t="str">
        <x:v>亚坛高原</x:v>
      </x:c>
      <x:c r="D382" s="73" t="str">
        <x:v>XX838</x:v>
      </x:c>
      <x:c r="E382" s="73" t="str">
        <x:v>不醒古王·奥瑞昂</x:v>
      </x:c>
      <x:c r="F382" s="73" t="str">
        <x:v>地图BOSS</x:v>
      </x:c>
      <x:c r="G382" s="73" t="str">
        <x:v>奥瑞昂不醒王衣</x:v>
      </x:c>
      <x:c r="H382" s="73" t="str">
        <x:v>衣服</x:v>
      </x:c>
      <x:c r="I382" s="73" t="str">
        <x:v>男衣服（现行模板的衣服映射）</x:v>
      </x:c>
      <x:c r="J382" s="80"/>
      <x:c r="K382" s="73" t="str">
        <x:v>缺衣服来源码</x:v>
      </x:c>
      <x:c r="L382" s="74" t="str">
        <x:v>需补男衣服StdMode10的三库同码资源；女衣服码未获准合池</x:v>
      </x:c>
    </x:row>
    <x:row r="383" ht="34" customHeight="1">
      <x:c r="A383" s="72" t="str">
        <x:v>C09-M037</x:v>
      </x:c>
      <x:c r="B383" s="73" t="str">
        <x:v>C09</x:v>
      </x:c>
      <x:c r="C383" s="73" t="str">
        <x:v>亚坛高原</x:v>
      </x:c>
      <x:c r="D383" s="73" t="str">
        <x:v>XX786</x:v>
      </x:c>
      <x:c r="E383" s="73" t="str">
        <x:v>圣堂扫金仆</x:v>
      </x:c>
      <x:c r="F383" s="73" t="str">
        <x:v>普通</x:v>
      </x:c>
      <x:c r="G383" s="73" t="str">
        <x:v>扫金仆软履</x:v>
      </x:c>
      <x:c r="H383" s="73" t="str">
        <x:v>鞋子</x:v>
      </x:c>
      <x:c r="I383" s="73" t="str">
        <x:v>鞋子</x:v>
      </x:c>
      <x:c r="J383" s="79" t="n">
        <x:v>5973</x:v>
      </x:c>
      <x:c r="K383" s="73" t="str">
        <x:v>规划锁定／旧资源待实库回读</x:v>
      </x:c>
      <x:c r="L383" s="74" t="str">
        <x:v>装备资源库血月荆棘·血棘</x:v>
      </x:c>
    </x:row>
    <x:row r="384" ht="34" customHeight="1">
      <x:c r="A384" s="72" t="str">
        <x:v>C09-M038</x:v>
      </x:c>
      <x:c r="B384" s="73" t="str">
        <x:v>C09</x:v>
      </x:c>
      <x:c r="C384" s="73" t="str">
        <x:v>亚坛高原</x:v>
      </x:c>
      <x:c r="D384" s="73" t="str">
        <x:v>XX786</x:v>
      </x:c>
      <x:c r="E384" s="73" t="str">
        <x:v>鎏檐守门士</x:v>
      </x:c>
      <x:c r="F384" s="73" t="str">
        <x:v>普通</x:v>
      </x:c>
      <x:c r="G384" s="73" t="str">
        <x:v>鎏檐拱门盾</x:v>
      </x:c>
      <x:c r="H384" s="73" t="str">
        <x:v>盾牌</x:v>
      </x:c>
      <x:c r="I384" s="73" t="str">
        <x:v>盾牌</x:v>
      </x:c>
      <x:c r="J384" s="79" t="n">
        <x:v>5989</x:v>
      </x:c>
      <x:c r="K384" s="73" t="str">
        <x:v>规划锁定／旧资源待实库回读</x:v>
      </x:c>
      <x:c r="L384" s="74" t="str">
        <x:v>装备资源库血月荆棘·夜蔷</x:v>
      </x:c>
    </x:row>
    <x:row r="385" ht="34" customHeight="1">
      <x:c r="A385" s="72" t="str">
        <x:v>C09-M039</x:v>
      </x:c>
      <x:c r="B385" s="73" t="str">
        <x:v>C09</x:v>
      </x:c>
      <x:c r="C385" s="73" t="str">
        <x:v>亚坛高原</x:v>
      </x:c>
      <x:c r="D385" s="73" t="str">
        <x:v>XX796</x:v>
      </x:c>
      <x:c r="E385" s="73" t="str">
        <x:v>前廊白袍唱者</x:v>
      </x:c>
      <x:c r="F385" s="73" t="str">
        <x:v>普通</x:v>
      </x:c>
      <x:c r="G385" s="73" t="str">
        <x:v>白袍唱诗衣</x:v>
      </x:c>
      <x:c r="H385" s="73" t="str">
        <x:v>衣服</x:v>
      </x:c>
      <x:c r="I385" s="73" t="str">
        <x:v>男衣服（现行模板的衣服映射）</x:v>
      </x:c>
      <x:c r="J385" s="80"/>
      <x:c r="K385" s="73" t="str">
        <x:v>缺衣服来源码</x:v>
      </x:c>
      <x:c r="L385" s="74" t="str">
        <x:v>需补男衣服StdMode10的三库同码资源；女衣服码未获准合池</x:v>
      </x:c>
    </x:row>
    <x:row r="386" ht="34" customHeight="1">
      <x:c r="A386" s="72" t="str">
        <x:v>C09-M040</x:v>
      </x:c>
      <x:c r="B386" s="73" t="str">
        <x:v>C09</x:v>
      </x:c>
      <x:c r="C386" s="73" t="str">
        <x:v>亚坛高原</x:v>
      </x:c>
      <x:c r="D386" s="73" t="str">
        <x:v>XX787</x:v>
      </x:c>
      <x:c r="E386" s="73" t="str">
        <x:v>祭厅焚香奴</x:v>
      </x:c>
      <x:c r="F386" s="73" t="str">
        <x:v>普通</x:v>
      </x:c>
      <x:c r="G386" s="73" t="str">
        <x:v>焚香奴腕镯</x:v>
      </x:c>
      <x:c r="H386" s="73" t="str">
        <x:v>手镯</x:v>
      </x:c>
      <x:c r="I386" s="73" t="str">
        <x:v>手镯</x:v>
      </x:c>
      <x:c r="J386" s="79" t="n">
        <x:v>5987</x:v>
      </x:c>
      <x:c r="K386" s="73" t="str">
        <x:v>规划锁定／旧资源待实库回读</x:v>
      </x:c>
      <x:c r="L386" s="74" t="str">
        <x:v>装备资源库血月荆棘·夜蔷</x:v>
      </x:c>
    </x:row>
    <x:row r="387" ht="34" customHeight="1">
      <x:c r="A387" s="72" t="str">
        <x:v>C09-M041</x:v>
      </x:c>
      <x:c r="B387" s="73" t="str">
        <x:v>C09</x:v>
      </x:c>
      <x:c r="C387" s="73" t="str">
        <x:v>亚坛高原</x:v>
      </x:c>
      <x:c r="D387" s="73" t="str">
        <x:v>XX795</x:v>
      </x:c>
      <x:c r="E387" s="73" t="str">
        <x:v>内殿金面僧</x:v>
      </x:c>
      <x:c r="F387" s="73" t="str">
        <x:v>普通</x:v>
      </x:c>
      <x:c r="G387" s="73" t="str">
        <x:v>金面僧宝盔</x:v>
      </x:c>
      <x:c r="H387" s="73" t="str">
        <x:v>头盔</x:v>
      </x:c>
      <x:c r="I387" s="73" t="str">
        <x:v>头盔</x:v>
      </x:c>
      <x:c r="J387" s="79" t="n">
        <x:v>6031</x:v>
      </x:c>
      <x:c r="K387" s="73" t="str">
        <x:v>规划锁定／旧资源待实库回读</x:v>
      </x:c>
      <x:c r="L387" s="74" t="str">
        <x:v>装备资源库血月荆棘·弑神</x:v>
      </x:c>
    </x:row>
    <x:row r="388" ht="34" customHeight="1">
      <x:c r="A388" s="72" t="str">
        <x:v>C09-M042</x:v>
      </x:c>
      <x:c r="B388" s="73" t="str">
        <x:v>C09</x:v>
      </x:c>
      <x:c r="C388" s="73" t="str">
        <x:v>亚坛高原</x:v>
      </x:c>
      <x:c r="D388" s="73" t="str">
        <x:v>XX791</x:v>
      </x:c>
      <x:c r="E388" s="73" t="str">
        <x:v>圣坛祷弓手</x:v>
      </x:c>
      <x:c r="F388" s="73" t="str">
        <x:v>普通</x:v>
      </x:c>
      <x:c r="G388" s="73" t="str">
        <x:v>祷弓手日轮弓</x:v>
      </x:c>
      <x:c r="H388" s="73" t="str">
        <x:v>武器</x:v>
      </x:c>
      <x:c r="I388" s="73" t="str">
        <x:v>武器</x:v>
      </x:c>
      <x:c r="J388" s="80"/>
      <x:c r="K388" s="73" t="str">
        <x:v>缺武器来源码</x:v>
      </x:c>
      <x:c r="L388" s="74" t="str">
        <x:v>需补同部位Items/StateItem/DnItems三库同码资源</x:v>
      </x:c>
    </x:row>
    <x:row r="389" ht="34" customHeight="1">
      <x:c r="A389" s="72" t="str">
        <x:v>C09-M043</x:v>
      </x:c>
      <x:c r="B389" s="73" t="str">
        <x:v>C09</x:v>
      </x:c>
      <x:c r="C389" s="73" t="str">
        <x:v>亚坛高原</x:v>
      </x:c>
      <x:c r="D389" s="73" t="str">
        <x:v>XX796</x:v>
      </x:c>
      <x:c r="E389" s="73" t="str">
        <x:v>前廊裁罪使</x:v>
      </x:c>
      <x:c r="F389" s="73" t="str">
        <x:v>稀有</x:v>
      </x:c>
      <x:c r="G389" s="73" t="str">
        <x:v>裁罪使荆腰带</x:v>
      </x:c>
      <x:c r="H389" s="73" t="str">
        <x:v>腰带</x:v>
      </x:c>
      <x:c r="I389" s="73" t="str">
        <x:v>腰带</x:v>
      </x:c>
      <x:c r="J389" s="79" t="n">
        <x:v>5974</x:v>
      </x:c>
      <x:c r="K389" s="73" t="str">
        <x:v>规划锁定／旧资源待实库回读</x:v>
      </x:c>
      <x:c r="L389" s="74" t="str">
        <x:v>装备资源库血月荆棘·血棘</x:v>
      </x:c>
    </x:row>
    <x:row r="390" ht="34" customHeight="1">
      <x:c r="A390" s="72" t="str">
        <x:v>C09-M044</x:v>
      </x:c>
      <x:c r="B390" s="73" t="str">
        <x:v>C09</x:v>
      </x:c>
      <x:c r="C390" s="73" t="str">
        <x:v>亚坛高原</x:v>
      </x:c>
      <x:c r="D390" s="73" t="str">
        <x:v>XX787</x:v>
      </x:c>
      <x:c r="E390" s="73" t="str">
        <x:v>古神食香兽</x:v>
      </x:c>
      <x:c r="F390" s="73" t="str">
        <x:v>稀有</x:v>
      </x:c>
      <x:c r="G390" s="73" t="str">
        <x:v>食香兽烟坠</x:v>
      </x:c>
      <x:c r="H390" s="73" t="str">
        <x:v>项链</x:v>
      </x:c>
      <x:c r="I390" s="73" t="str">
        <x:v>项链</x:v>
      </x:c>
      <x:c r="J390" s="79" t="n">
        <x:v>6030</x:v>
      </x:c>
      <x:c r="K390" s="73" t="str">
        <x:v>规划锁定／旧资源待实库回读</x:v>
      </x:c>
      <x:c r="L390" s="74" t="str">
        <x:v>装备资源库血月荆棘·弑神</x:v>
      </x:c>
    </x:row>
    <x:row r="391" ht="34" customHeight="1">
      <x:c r="A391" s="72" t="str">
        <x:v>C09-M045</x:v>
      </x:c>
      <x:c r="B391" s="73" t="str">
        <x:v>C09</x:v>
      </x:c>
      <x:c r="C391" s="73" t="str">
        <x:v>亚坛高原</x:v>
      </x:c>
      <x:c r="D391" s="73" t="str">
        <x:v>XX795</x:v>
      </x:c>
      <x:c r="E391" s="73" t="str">
        <x:v>内殿无声司铎</x:v>
      </x:c>
      <x:c r="F391" s="73" t="str">
        <x:v>稀有</x:v>
      </x:c>
      <x:c r="G391" s="73" t="str">
        <x:v>无声司铎笠</x:v>
      </x:c>
      <x:c r="H391" s="73" t="str">
        <x:v>斗笠</x:v>
      </x:c>
      <x:c r="I391" s="73" t="str">
        <x:v>面巾（位置13，对应斗笠）</x:v>
      </x:c>
      <x:c r="J391" s="79" t="n">
        <x:v>6855</x:v>
      </x:c>
      <x:c r="K391" s="73" t="str">
        <x:v>预检通过资源／规划锁定／待入库</x:v>
      </x:c>
      <x:c r="L391" s="74" t="str">
        <x:v>StdMode16/位置13；星渊龙息·天穹</x:v>
      </x:c>
    </x:row>
    <x:row r="392" ht="34" customHeight="1">
      <x:c r="A392" s="72" t="str">
        <x:v>C09-M046</x:v>
      </x:c>
      <x:c r="B392" s="73" t="str">
        <x:v>C09</x:v>
      </x:c>
      <x:c r="C392" s="73" t="str">
        <x:v>亚坛高原</x:v>
      </x:c>
      <x:c r="D392" s="73" t="str">
        <x:v>XX791</x:v>
      </x:c>
      <x:c r="E392" s="73" t="str">
        <x:v>圣坛逐光姬</x:v>
      </x:c>
      <x:c r="F392" s="73" t="str">
        <x:v>稀有</x:v>
      </x:c>
      <x:c r="G392" s="73" t="str">
        <x:v>逐光姬曜戒</x:v>
      </x:c>
      <x:c r="H392" s="73" t="str">
        <x:v>戒指</x:v>
      </x:c>
      <x:c r="I392" s="73" t="str">
        <x:v>戒指</x:v>
      </x:c>
      <x:c r="J392" s="79" t="n">
        <x:v>6024</x:v>
      </x:c>
      <x:c r="K392" s="73" t="str">
        <x:v>规划锁定／旧资源待实库回读</x:v>
      </x:c>
      <x:c r="L392" s="74" t="str">
        <x:v>装备资源库血月荆棘·灾焰</x:v>
      </x:c>
    </x:row>
    <x:row r="393" ht="34" customHeight="1">
      <x:c r="A393" s="72" t="str">
        <x:v>C09-M047</x:v>
      </x:c>
      <x:c r="B393" s="73" t="str">
        <x:v>C09</x:v>
      </x:c>
      <x:c r="C393" s="73" t="str">
        <x:v>亚坛高原</x:v>
      </x:c>
      <x:c r="D393" s="73" t="str">
        <x:v>XX795</x:v>
      </x:c>
      <x:c r="E393" s="73" t="str">
        <x:v>黄金枢机·赛维兰</x:v>
      </x:c>
      <x:c r="F393" s="73" t="str">
        <x:v>地图BOSS</x:v>
      </x:c>
      <x:c r="G393" s="73" t="str">
        <x:v>赛维兰裁阳杖</x:v>
      </x:c>
      <x:c r="H393" s="73" t="str">
        <x:v>武器</x:v>
      </x:c>
      <x:c r="I393" s="73" t="str">
        <x:v>武器</x:v>
      </x:c>
      <x:c r="J393" s="80"/>
      <x:c r="K393" s="73" t="str">
        <x:v>缺武器来源码</x:v>
      </x:c>
      <x:c r="L393" s="74" t="str">
        <x:v>需补同部位Items/StateItem/DnItems三库同码资源</x:v>
      </x:c>
    </x:row>
    <x:row r="394" ht="34" customHeight="1">
      <x:c r="A394" s="72" t="str">
        <x:v>C09-M048</x:v>
      </x:c>
      <x:c r="B394" s="73" t="str">
        <x:v>C09</x:v>
      </x:c>
      <x:c r="C394" s="73" t="str">
        <x:v>亚坛高原</x:v>
      </x:c>
      <x:c r="D394" s="73" t="str">
        <x:v>XX791</x:v>
      </x:c>
      <x:c r="E394" s="73" t="str">
        <x:v>高原圣母·艾德莉雅</x:v>
      </x:c>
      <x:c r="F394" s="73" t="str">
        <x:v>地图BOSS</x:v>
      </x:c>
      <x:c r="G394" s="73" t="str">
        <x:v>艾德莉雅鎏辉圣衣</x:v>
      </x:c>
      <x:c r="H394" s="73" t="str">
        <x:v>衣服</x:v>
      </x:c>
      <x:c r="I394" s="73" t="str">
        <x:v>男衣服（现行模板的衣服映射）</x:v>
      </x:c>
      <x:c r="J394" s="80"/>
      <x:c r="K394" s="73" t="str">
        <x:v>缺衣服来源码</x:v>
      </x:c>
      <x:c r="L394" s="74" t="str">
        <x:v>需补男衣服StdMode10的三库同码资源；女衣服码未获准合池</x:v>
      </x:c>
    </x:row>
    <x:row r="395" ht="34" customHeight="1">
      <x:c r="A395" s="72" t="str">
        <x:v>C09-M049</x:v>
      </x:c>
      <x:c r="B395" s="73" t="str">
        <x:v>C09</x:v>
      </x:c>
      <x:c r="C395" s="73" t="str">
        <x:v>亚坛高原</x:v>
      </x:c>
      <x:c r="D395" s="73" t="str">
        <x:v>XX690</x:v>
      </x:c>
      <x:c r="E395" s="73" t="str">
        <x:v>外垒铆甲兵</x:v>
      </x:c>
      <x:c r="F395" s="73" t="str">
        <x:v>普通</x:v>
      </x:c>
      <x:c r="G395" s="73" t="str">
        <x:v>铆甲兵垒盾</x:v>
      </x:c>
      <x:c r="H395" s="73" t="str">
        <x:v>盾牌</x:v>
      </x:c>
      <x:c r="I395" s="73" t="str">
        <x:v>盾牌</x:v>
      </x:c>
      <x:c r="J395" s="79" t="n">
        <x:v>5998</x:v>
      </x:c>
      <x:c r="K395" s="73" t="str">
        <x:v>规划锁定／旧资源待实库回读</x:v>
      </x:c>
      <x:c r="L395" s="74" t="str">
        <x:v>装备资源库血月荆棘·赤冠</x:v>
      </x:c>
    </x:row>
    <x:row r="396" ht="34" customHeight="1">
      <x:c r="A396" s="72" t="str">
        <x:v>C09-M050</x:v>
      </x:c>
      <x:c r="B396" s="73" t="str">
        <x:v>C09</x:v>
      </x:c>
      <x:c r="C396" s="73" t="str">
        <x:v>亚坛高原</x:v>
      </x:c>
      <x:c r="D396" s="73" t="str">
        <x:v>XX690</x:v>
      </x:c>
      <x:c r="E396" s="73" t="str">
        <x:v>城前拾箭童</x:v>
      </x:c>
      <x:c r="F396" s="73" t="str">
        <x:v>普通</x:v>
      </x:c>
      <x:c r="G396" s="73" t="str">
        <x:v>拾箭童疾履</x:v>
      </x:c>
      <x:c r="H396" s="73" t="str">
        <x:v>鞋子</x:v>
      </x:c>
      <x:c r="I396" s="73" t="str">
        <x:v>鞋子</x:v>
      </x:c>
      <x:c r="J396" s="79" t="n">
        <x:v>5982</x:v>
      </x:c>
      <x:c r="K396" s="73" t="str">
        <x:v>规划锁定／旧资源待实库回读</x:v>
      </x:c>
      <x:c r="L396" s="74" t="str">
        <x:v>装备资源库血月荆棘·猩痕</x:v>
      </x:c>
    </x:row>
    <x:row r="397" ht="34" customHeight="1">
      <x:c r="A397" s="72" t="str">
        <x:v>C09-M051</x:v>
      </x:c>
      <x:c r="B397" s="73" t="str">
        <x:v>C09</x:v>
      </x:c>
      <x:c r="C397" s="73" t="str">
        <x:v>亚坛高原</x:v>
      </x:c>
      <x:c r="D397" s="73" t="str">
        <x:v>XX691</x:v>
      </x:c>
      <x:c r="E397" s="73" t="str">
        <x:v>甬道持炬枪卒</x:v>
      </x:c>
      <x:c r="F397" s="73" t="str">
        <x:v>普通</x:v>
      </x:c>
      <x:c r="G397" s="73" t="str">
        <x:v>持炬枪卒矛</x:v>
      </x:c>
      <x:c r="H397" s="73" t="str">
        <x:v>武器</x:v>
      </x:c>
      <x:c r="I397" s="73" t="str">
        <x:v>武器</x:v>
      </x:c>
      <x:c r="J397" s="80"/>
      <x:c r="K397" s="73" t="str">
        <x:v>缺武器来源码</x:v>
      </x:c>
      <x:c r="L397" s="74" t="str">
        <x:v>需补同部位Items/StateItem/DnItems三库同码资源</x:v>
      </x:c>
    </x:row>
    <x:row r="398" ht="34" customHeight="1">
      <x:c r="A398" s="72" t="str">
        <x:v>C09-M052</x:v>
      </x:c>
      <x:c r="B398" s="73" t="str">
        <x:v>C09</x:v>
      </x:c>
      <x:c r="C398" s="73" t="str">
        <x:v>亚坛高原</x:v>
      </x:c>
      <x:c r="D398" s="73" t="str">
        <x:v>XX689</x:v>
      </x:c>
      <x:c r="E398" s="73" t="str">
        <x:v>驻军庭院炊兵</x:v>
      </x:c>
      <x:c r="F398" s="73" t="str">
        <x:v>普通</x:v>
      </x:c>
      <x:c r="G398" s="73" t="str">
        <x:v>炊兵铁勺镯</x:v>
      </x:c>
      <x:c r="H398" s="73" t="str">
        <x:v>手镯</x:v>
      </x:c>
      <x:c r="I398" s="73" t="str">
        <x:v>手镯</x:v>
      </x:c>
      <x:c r="J398" s="79" t="n">
        <x:v>5996</x:v>
      </x:c>
      <x:c r="K398" s="73" t="str">
        <x:v>规划锁定／旧资源待实库回读</x:v>
      </x:c>
      <x:c r="L398" s="74" t="str">
        <x:v>装备资源库血月荆棘·赤冠</x:v>
      </x:c>
    </x:row>
    <x:row r="399" ht="34" customHeight="1">
      <x:c r="A399" s="72" t="str">
        <x:v>C09-M053</x:v>
      </x:c>
      <x:c r="B399" s="73" t="str">
        <x:v>C09</x:v>
      </x:c>
      <x:c r="C399" s="73" t="str">
        <x:v>亚坛高原</x:v>
      </x:c>
      <x:c r="D399" s="73" t="str">
        <x:v>XX688</x:v>
      </x:c>
      <x:c r="E399" s="73" t="str">
        <x:v>黄金壁垒号手</x:v>
      </x:c>
      <x:c r="F399" s="73" t="str">
        <x:v>普通</x:v>
      </x:c>
      <x:c r="G399" s="73" t="str">
        <x:v>壁垒号手盔</x:v>
      </x:c>
      <x:c r="H399" s="73" t="str">
        <x:v>头盔</x:v>
      </x:c>
      <x:c r="I399" s="73" t="str">
        <x:v>头盔</x:v>
      </x:c>
      <x:c r="J399" s="79" t="n">
        <x:v>6058</x:v>
      </x:c>
      <x:c r="K399" s="73" t="str">
        <x:v>规划锁定／旧资源待实库回读</x:v>
      </x:c>
      <x:c r="L399" s="74" t="str">
        <x:v>装备资源库星渊龙息·龙痕</x:v>
      </x:c>
    </x:row>
    <x:row r="400" ht="34" customHeight="1">
      <x:c r="A400" s="72" t="str">
        <x:v>C09-M054</x:v>
      </x:c>
      <x:c r="B400" s="73" t="str">
        <x:v>C09</x:v>
      </x:c>
      <x:c r="C400" s="73" t="str">
        <x:v>亚坛高原</x:v>
      </x:c>
      <x:c r="D400" s="73" t="str">
        <x:v>XX639</x:v>
      </x:c>
      <x:c r="E400" s="73" t="str">
        <x:v>关门锁链卫</x:v>
      </x:c>
      <x:c r="F400" s="73" t="str">
        <x:v>普通</x:v>
      </x:c>
      <x:c r="G400" s="73" t="str">
        <x:v>锁链关门甲</x:v>
      </x:c>
      <x:c r="H400" s="73" t="str">
        <x:v>衣服</x:v>
      </x:c>
      <x:c r="I400" s="73" t="str">
        <x:v>男衣服（现行模板的衣服映射）</x:v>
      </x:c>
      <x:c r="J400" s="80"/>
      <x:c r="K400" s="73" t="str">
        <x:v>缺衣服来源码</x:v>
      </x:c>
      <x:c r="L400" s="74" t="str">
        <x:v>需补男衣服StdMode10的三库同码资源；女衣服码未获准合池</x:v>
      </x:c>
    </x:row>
    <x:row r="401" ht="34" customHeight="1">
      <x:c r="A401" s="72" t="str">
        <x:v>C09-M055</x:v>
      </x:c>
      <x:c r="B401" s="73" t="str">
        <x:v>C09</x:v>
      </x:c>
      <x:c r="C401" s="73" t="str">
        <x:v>亚坛高原</x:v>
      </x:c>
      <x:c r="D401" s="73" t="str">
        <x:v>XX691</x:v>
      </x:c>
      <x:c r="E401" s="73" t="str">
        <x:v>甬道潜旗客</x:v>
      </x:c>
      <x:c r="F401" s="73" t="str">
        <x:v>稀有</x:v>
      </x:c>
      <x:c r="G401" s="73" t="str">
        <x:v>潜旗客灰翎笠</x:v>
      </x:c>
      <x:c r="H401" s="73" t="str">
        <x:v>斗笠</x:v>
      </x:c>
      <x:c r="I401" s="73" t="str">
        <x:v>面巾（位置13，对应斗笠）</x:v>
      </x:c>
      <x:c r="J401" s="79" t="n">
        <x:v>6890</x:v>
      </x:c>
      <x:c r="K401" s="73" t="str">
        <x:v>预检通过资源／规划锁定／待入库</x:v>
      </x:c>
      <x:c r="L401" s="74" t="str">
        <x:v>StdMode16/位置13；星渊龙息·无垠</x:v>
      </x:c>
    </x:row>
    <x:row r="402" ht="34" customHeight="1">
      <x:c r="A402" s="72" t="str">
        <x:v>C09-M056</x:v>
      </x:c>
      <x:c r="B402" s="73" t="str">
        <x:v>C09</x:v>
      </x:c>
      <x:c r="C402" s="73" t="str">
        <x:v>亚坛高原</x:v>
      </x:c>
      <x:c r="D402" s="73" t="str">
        <x:v>XX689</x:v>
      </x:c>
      <x:c r="E402" s="73" t="str">
        <x:v>庭院百战旗官</x:v>
      </x:c>
      <x:c r="F402" s="73" t="str">
        <x:v>稀有</x:v>
      </x:c>
      <x:c r="G402" s="73" t="str">
        <x:v>百战旗官带</x:v>
      </x:c>
      <x:c r="H402" s="73" t="str">
        <x:v>腰带</x:v>
      </x:c>
      <x:c r="I402" s="73" t="str">
        <x:v>腰带</x:v>
      </x:c>
      <x:c r="J402" s="79" t="n">
        <x:v>5983</x:v>
      </x:c>
      <x:c r="K402" s="73" t="str">
        <x:v>规划锁定／旧资源待实库回读</x:v>
      </x:c>
      <x:c r="L402" s="74" t="str">
        <x:v>装备资源库血月荆棘·猩痕</x:v>
      </x:c>
    </x:row>
    <x:row r="403" ht="34" customHeight="1">
      <x:c r="A403" s="72" t="str">
        <x:v>C09-M057</x:v>
      </x:c>
      <x:c r="B403" s="73" t="str">
        <x:v>C09</x:v>
      </x:c>
      <x:c r="C403" s="73" t="str">
        <x:v>亚坛高原</x:v>
      </x:c>
      <x:c r="D403" s="73" t="str">
        <x:v>XX688</x:v>
      </x:c>
      <x:c r="E403" s="73" t="str">
        <x:v>壁垒鎏甲骑士</x:v>
      </x:c>
      <x:c r="F403" s="73" t="str">
        <x:v>稀有</x:v>
      </x:c>
      <x:c r="G403" s="73" t="str">
        <x:v>鎏甲骑士坠</x:v>
      </x:c>
      <x:c r="H403" s="73" t="str">
        <x:v>项链</x:v>
      </x:c>
      <x:c r="I403" s="73" t="str">
        <x:v>项链</x:v>
      </x:c>
      <x:c r="J403" s="79" t="n">
        <x:v>6039</x:v>
      </x:c>
      <x:c r="K403" s="73" t="str">
        <x:v>规划锁定／旧资源待实库回读</x:v>
      </x:c>
      <x:c r="L403" s="74" t="str">
        <x:v>装备资源库血月荆棘·终夜</x:v>
      </x:c>
    </x:row>
    <x:row r="404" ht="34" customHeight="1">
      <x:c r="A404" s="72" t="str">
        <x:v>C09-M058</x:v>
      </x:c>
      <x:c r="B404" s="73" t="str">
        <x:v>C09</x:v>
      </x:c>
      <x:c r="C404" s="73" t="str">
        <x:v>亚坛高原</x:v>
      </x:c>
      <x:c r="D404" s="73" t="str">
        <x:v>XX639</x:v>
      </x:c>
      <x:c r="E404" s="73" t="str">
        <x:v>罗德尔守门卜者</x:v>
      </x:c>
      <x:c r="F404" s="73" t="str">
        <x:v>稀有</x:v>
      </x:c>
      <x:c r="G404" s="73" t="str">
        <x:v>守门卜者戒</x:v>
      </x:c>
      <x:c r="H404" s="73" t="str">
        <x:v>戒指</x:v>
      </x:c>
      <x:c r="I404" s="73" t="str">
        <x:v>戒指</x:v>
      </x:c>
      <x:c r="J404" s="79" t="n">
        <x:v>6033</x:v>
      </x:c>
      <x:c r="K404" s="73" t="str">
        <x:v>规划锁定／旧资源待实库回读</x:v>
      </x:c>
      <x:c r="L404" s="74" t="str">
        <x:v>装备资源库血月荆棘·弑神</x:v>
      </x:c>
    </x:row>
    <x:row r="405" ht="34" customHeight="1">
      <x:c r="A405" s="72" t="str">
        <x:v>C09-M059</x:v>
      </x:c>
      <x:c r="B405" s="73" t="str">
        <x:v>C09</x:v>
      </x:c>
      <x:c r="C405" s="73" t="str">
        <x:v>亚坛高原</x:v>
      </x:c>
      <x:c r="D405" s="73" t="str">
        <x:v>XX688</x:v>
      </x:c>
      <x:c r="E405" s="73" t="str">
        <x:v>黄金壁垒统帅·罗梵迪</x:v>
      </x:c>
      <x:c r="F405" s="73" t="str">
        <x:v>地图BOSS</x:v>
      </x:c>
      <x:c r="G405" s="73" t="str">
        <x:v>罗梵迪壁垒长戟</x:v>
      </x:c>
      <x:c r="H405" s="73" t="str">
        <x:v>武器</x:v>
      </x:c>
      <x:c r="I405" s="73" t="str">
        <x:v>武器</x:v>
      </x:c>
      <x:c r="J405" s="80"/>
      <x:c r="K405" s="73" t="str">
        <x:v>缺武器来源码</x:v>
      </x:c>
      <x:c r="L405" s="74" t="str">
        <x:v>需补同部位Items/StateItem/DnItems三库同码资源</x:v>
      </x:c>
    </x:row>
    <x:row r="406" ht="34" customHeight="1">
      <x:c r="A406" s="72" t="str">
        <x:v>C09-M060</x:v>
      </x:c>
      <x:c r="B406" s="73" t="str">
        <x:v>C09</x:v>
      </x:c>
      <x:c r="C406" s="73" t="str">
        <x:v>亚坛高原</x:v>
      </x:c>
      <x:c r="D406" s="73" t="str">
        <x:v>XX639</x:v>
      </x:c>
      <x:c r="E406" s="73" t="str">
        <x:v>王门执宪者·赫桑达</x:v>
      </x:c>
      <x:c r="F406" s="73" t="str">
        <x:v>地图BOSS</x:v>
      </x:c>
      <x:c r="G406" s="73" t="str">
        <x:v>赫桑达执宪战衣</x:v>
      </x:c>
      <x:c r="H406" s="73" t="str">
        <x:v>衣服</x:v>
      </x:c>
      <x:c r="I406" s="73" t="str">
        <x:v>男衣服（现行模板的衣服映射）</x:v>
      </x:c>
      <x:c r="J406" s="80"/>
      <x:c r="K406" s="73" t="str">
        <x:v>缺衣服来源码</x:v>
      </x:c>
      <x:c r="L406" s="74" t="str">
        <x:v>需补男衣服StdMode10的三库同码资源；女衣服码未获准合池</x:v>
      </x:c>
    </x:row>
    <x:row r="407" ht="34" customHeight="1">
      <x:c r="A407" s="72" t="str">
        <x:v>C09-M061</x:v>
      </x:c>
      <x:c r="B407" s="73" t="str">
        <x:v>C09</x:v>
      </x:c>
      <x:c r="C407" s="73" t="str">
        <x:v>亚坛高原</x:v>
      </x:c>
      <x:c r="D407" s="73" t="str">
        <x:v>XX639</x:v>
      </x:c>
      <x:c r="E407" s="73" t="str">
        <x:v>鎏日王城之影·阿尔维萨</x:v>
      </x:c>
      <x:c r="F407" s="73" t="str">
        <x:v>守关BOSS</x:v>
      </x:c>
      <x:c r="G407" s="73" t="str">
        <x:v>阿尔维萨蚀日王刃</x:v>
      </x:c>
      <x:c r="H407" s="73" t="str">
        <x:v>武器</x:v>
      </x:c>
      <x:c r="I407" s="73" t="str">
        <x:v>武器</x:v>
      </x:c>
      <x:c r="J407" s="79" t="n">
        <x:v>7026</x:v>
      </x:c>
      <x:c r="K407" s="73" t="str">
        <x:v>预检通过资源／规划锁定／待入库</x:v>
      </x:c>
      <x:c r="L407" s="74" t="str">
        <x:v>装备资源库翠焰冥契·灾厄</x:v>
      </x:c>
    </x:row>
    <x:row r="408" ht="34" customHeight="1">
      <x:c r="A408" s="72" t="str">
        <x:v>C10-M001</x:v>
      </x:c>
      <x:c r="B408" s="73" t="str">
        <x:v>C10</x:v>
      </x:c>
      <x:c r="C408" s="73" t="str">
        <x:v>王城罗德尔</x:v>
      </x:c>
      <x:c r="D408" s="73" t="str">
        <x:v>XX932</x:v>
      </x:c>
      <x:c r="E408" s="73" t="str">
        <x:v>檐沟拾烬徒</x:v>
      </x:c>
      <x:c r="F408" s="73" t="str">
        <x:v>普通</x:v>
      </x:c>
      <x:c r="G408" s="73" t="str">
        <x:v>拾烬钩刃</x:v>
      </x:c>
      <x:c r="H408" s="73" t="str">
        <x:v>武器</x:v>
      </x:c>
      <x:c r="I408" s="73" t="str">
        <x:v>武器</x:v>
      </x:c>
      <x:c r="J408" s="80"/>
      <x:c r="K408" s="73" t="str">
        <x:v>缺武器来源码</x:v>
      </x:c>
      <x:c r="L408" s="74" t="str">
        <x:v>需补同部位Items/StateItem/DnItems三库同码资源</x:v>
      </x:c>
    </x:row>
    <x:row r="409" ht="34" customHeight="1">
      <x:c r="A409" s="72" t="str">
        <x:v>C10-M002</x:v>
      </x:c>
      <x:c r="B409" s="73" t="str">
        <x:v>C10</x:v>
      </x:c>
      <x:c r="C409" s="73" t="str">
        <x:v>王城罗德尔</x:v>
      </x:c>
      <x:c r="D409" s="73" t="str">
        <x:v>XX932</x:v>
      </x:c>
      <x:c r="E409" s="73" t="str">
        <x:v>斑墙巡灯卒</x:v>
      </x:c>
      <x:c r="F409" s="73" t="str">
        <x:v>普通</x:v>
      </x:c>
      <x:c r="G409" s="73" t="str">
        <x:v>斑墙巡灯盔</x:v>
      </x:c>
      <x:c r="H409" s="73" t="str">
        <x:v>头盔</x:v>
      </x:c>
      <x:c r="I409" s="73" t="str">
        <x:v>头盔</x:v>
      </x:c>
      <x:c r="J409" s="79" t="n">
        <x:v>6067</x:v>
      </x:c>
      <x:c r="K409" s="73" t="str">
        <x:v>规划锁定／旧资源待实库回读</x:v>
      </x:c>
      <x:c r="L409" s="74" t="str">
        <x:v>装备资源库星渊龙息·星晶</x:v>
      </x:c>
    </x:row>
    <x:row r="410" ht="34" customHeight="1">
      <x:c r="A410" s="72" t="str">
        <x:v>C10-M003</x:v>
      </x:c>
      <x:c r="B410" s="73" t="str">
        <x:v>C10</x:v>
      </x:c>
      <x:c r="C410" s="73" t="str">
        <x:v>王城罗德尔</x:v>
      </x:c>
      <x:c r="D410" s="73" t="str">
        <x:v>XX933</x:v>
      </x:c>
      <x:c r="E410" s="73" t="str">
        <x:v>暗巷伏砖客</x:v>
      </x:c>
      <x:c r="F410" s="73" t="str">
        <x:v>普通</x:v>
      </x:c>
      <x:c r="G410" s="73" t="str">
        <x:v>伏砖旧革靴</x:v>
      </x:c>
      <x:c r="H410" s="73" t="str">
        <x:v>鞋子</x:v>
      </x:c>
      <x:c r="I410" s="73" t="str">
        <x:v>鞋子</x:v>
      </x:c>
      <x:c r="J410" s="79" t="n">
        <x:v>5991</x:v>
      </x:c>
      <x:c r="K410" s="73" t="str">
        <x:v>规划锁定／旧资源待实库回读</x:v>
      </x:c>
      <x:c r="L410" s="74" t="str">
        <x:v>装备资源库血月荆棘·夜蔷</x:v>
      </x:c>
    </x:row>
    <x:row r="411" ht="34" customHeight="1">
      <x:c r="A411" s="72" t="str">
        <x:v>C10-M004</x:v>
      </x:c>
      <x:c r="B411" s="73" t="str">
        <x:v>C10</x:v>
      </x:c>
      <x:c r="C411" s="73" t="str">
        <x:v>王城罗德尔</x:v>
      </x:c>
      <x:c r="D411" s="73" t="str">
        <x:v>XX933</x:v>
      </x:c>
      <x:c r="E411" s="73" t="str">
        <x:v>旧街缚铃犬</x:v>
      </x:c>
      <x:c r="F411" s="73" t="str">
        <x:v>普通</x:v>
      </x:c>
      <x:c r="G411" s="73" t="str">
        <x:v>缚铃窄项圈</x:v>
      </x:c>
      <x:c r="H411" s="73" t="str">
        <x:v>项链</x:v>
      </x:c>
      <x:c r="I411" s="73" t="str">
        <x:v>项链</x:v>
      </x:c>
      <x:c r="J411" s="79" t="n">
        <x:v>6057</x:v>
      </x:c>
      <x:c r="K411" s="73" t="str">
        <x:v>规划锁定／旧资源待实库回读</x:v>
      </x:c>
      <x:c r="L411" s="74" t="str">
        <x:v>装备资源库星渊龙息·龙痕</x:v>
      </x:c>
    </x:row>
    <x:row r="412" ht="34" customHeight="1">
      <x:c r="A412" s="72" t="str">
        <x:v>C10-M005</x:v>
      </x:c>
      <x:c r="B412" s="73" t="str">
        <x:v>C10</x:v>
      </x:c>
      <x:c r="C412" s="73" t="str">
        <x:v>王城罗德尔</x:v>
      </x:c>
      <x:c r="D412" s="73" t="str">
        <x:v>XX930</x:v>
      </x:c>
      <x:c r="E412" s="73" t="str">
        <x:v>闸底淤甲工</x:v>
      </x:c>
      <x:c r="F412" s="73" t="str">
        <x:v>普通</x:v>
      </x:c>
      <x:c r="G412" s="73" t="str">
        <x:v>淤甲闸工衣</x:v>
      </x:c>
      <x:c r="H412" s="73" t="str">
        <x:v>衣服</x:v>
      </x:c>
      <x:c r="I412" s="73" t="str">
        <x:v>男衣服（现行模板的衣服映射）</x:v>
      </x:c>
      <x:c r="J412" s="80"/>
      <x:c r="K412" s="73" t="str">
        <x:v>缺衣服来源码</x:v>
      </x:c>
      <x:c r="L412" s="74" t="str">
        <x:v>需补男衣服StdMode10的三库同码资源；女衣服码未获准合池</x:v>
      </x:c>
    </x:row>
    <x:row r="413" ht="34" customHeight="1">
      <x:c r="A413" s="72" t="str">
        <x:v>C10-M006</x:v>
      </x:c>
      <x:c r="B413" s="73" t="str">
        <x:v>C10</x:v>
      </x:c>
      <x:c r="C413" s="73" t="str">
        <x:v>王城罗德尔</x:v>
      </x:c>
      <x:c r="D413" s="73" t="str">
        <x:v>XX930</x:v>
      </x:c>
      <x:c r="E413" s="73" t="str">
        <x:v>链轮守栓奴</x:v>
      </x:c>
      <x:c r="F413" s="73" t="str">
        <x:v>普通</x:v>
      </x:c>
      <x:c r="G413" s="73" t="str">
        <x:v>链轮束腰</x:v>
      </x:c>
      <x:c r="H413" s="73" t="str">
        <x:v>腰带</x:v>
      </x:c>
      <x:c r="I413" s="73" t="str">
        <x:v>腰带</x:v>
      </x:c>
      <x:c r="J413" s="79" t="n">
        <x:v>6001</x:v>
      </x:c>
      <x:c r="K413" s="73" t="str">
        <x:v>规划锁定／旧资源待实库回读</x:v>
      </x:c>
      <x:c r="L413" s="74" t="str">
        <x:v>装备资源库血月荆棘·赤冠</x:v>
      </x:c>
    </x:row>
    <x:row r="414" ht="34" customHeight="1">
      <x:c r="A414" s="72" t="str">
        <x:v>C10-M007</x:v>
      </x:c>
      <x:c r="B414" s="73" t="str">
        <x:v>C10</x:v>
      </x:c>
      <x:c r="C414" s="73" t="str">
        <x:v>王城罗德尔</x:v>
      </x:c>
      <x:c r="D414" s="73" t="str">
        <x:v>XX932</x:v>
      </x:c>
      <x:c r="E414" s="73" t="str">
        <x:v>碎檐金羽鸦</x:v>
      </x:c>
      <x:c r="F414" s="73" t="str">
        <x:v>稀有</x:v>
      </x:c>
      <x:c r="G414" s="73" t="str">
        <x:v>碎檐金羽镯</x:v>
      </x:c>
      <x:c r="H414" s="73" t="str">
        <x:v>手镯</x:v>
      </x:c>
      <x:c r="I414" s="73" t="str">
        <x:v>手镯</x:v>
      </x:c>
      <x:c r="J414" s="79" t="n">
        <x:v>6005</x:v>
      </x:c>
      <x:c r="K414" s="73" t="str">
        <x:v>规划锁定／旧资源待实库回读</x:v>
      </x:c>
      <x:c r="L414" s="74" t="str">
        <x:v>装备资源库血月荆棘·月蚀</x:v>
      </x:c>
    </x:row>
    <x:row r="415" ht="34" customHeight="1">
      <x:c r="A415" s="72" t="str">
        <x:v>C10-M008</x:v>
      </x:c>
      <x:c r="B415" s="73" t="str">
        <x:v>C10</x:v>
      </x:c>
      <x:c r="C415" s="73" t="str">
        <x:v>王城罗德尔</x:v>
      </x:c>
      <x:c r="D415" s="73" t="str">
        <x:v>XX932</x:v>
      </x:c>
      <x:c r="E415" s="73" t="str">
        <x:v>缄口税契吏</x:v>
      </x:c>
      <x:c r="F415" s="73" t="str">
        <x:v>稀有</x:v>
      </x:c>
      <x:c r="G415" s="73" t="str">
        <x:v>缄契铅印戒</x:v>
      </x:c>
      <x:c r="H415" s="73" t="str">
        <x:v>戒指</x:v>
      </x:c>
      <x:c r="I415" s="73" t="str">
        <x:v>戒指</x:v>
      </x:c>
      <x:c r="J415" s="79" t="n">
        <x:v>6042</x:v>
      </x:c>
      <x:c r="K415" s="73" t="str">
        <x:v>规划锁定／旧资源待实库回读</x:v>
      </x:c>
      <x:c r="L415" s="74" t="str">
        <x:v>装备资源库血月荆棘·终夜</x:v>
      </x:c>
    </x:row>
    <x:row r="416" ht="34" customHeight="1">
      <x:c r="A416" s="72" t="str">
        <x:v>C10-M009</x:v>
      </x:c>
      <x:c r="B416" s="73" t="str">
        <x:v>C10</x:v>
      </x:c>
      <x:c r="C416" s="73" t="str">
        <x:v>王城罗德尔</x:v>
      </x:c>
      <x:c r="D416" s="73" t="str">
        <x:v>XX933</x:v>
      </x:c>
      <x:c r="E416" s="73" t="str">
        <x:v>巷钟剜影者</x:v>
      </x:c>
      <x:c r="F416" s="73" t="str">
        <x:v>稀有</x:v>
      </x:c>
      <x:c r="G416" s="73" t="str">
        <x:v>剜影巷钟章</x:v>
      </x:c>
      <x:c r="H416" s="73" t="str">
        <x:v>勋章</x:v>
      </x:c>
      <x:c r="I416" s="73" t="str">
        <x:v>勋章</x:v>
      </x:c>
      <x:c r="J416" s="79" t="n">
        <x:v>5867</x:v>
      </x:c>
      <x:c r="K416" s="73" t="str">
        <x:v>规划锁定／旧资源待实库回读</x:v>
      </x:c>
      <x:c r="L416" s="74" t="str">
        <x:v>装备资源库黄金圣律·初誓</x:v>
      </x:c>
    </x:row>
    <x:row r="417" ht="34" customHeight="1">
      <x:c r="A417" s="72" t="str">
        <x:v>C10-M010</x:v>
      </x:c>
      <x:c r="B417" s="73" t="str">
        <x:v>C10</x:v>
      </x:c>
      <x:c r="C417" s="73" t="str">
        <x:v>王城罗德尔</x:v>
      </x:c>
      <x:c r="D417" s="73" t="str">
        <x:v>XX930</x:v>
      </x:c>
      <x:c r="E417" s="73" t="str">
        <x:v>沉闸铜面监工</x:v>
      </x:c>
      <x:c r="F417" s="73" t="str">
        <x:v>稀有</x:v>
      </x:c>
      <x:c r="G417" s="73" t="str">
        <x:v>沉闸铜面盾</x:v>
      </x:c>
      <x:c r="H417" s="73" t="str">
        <x:v>盾牌</x:v>
      </x:c>
      <x:c r="I417" s="73" t="str">
        <x:v>盾牌</x:v>
      </x:c>
      <x:c r="J417" s="79" t="n">
        <x:v>6016</x:v>
      </x:c>
      <x:c r="K417" s="73" t="str">
        <x:v>规划锁定／旧资源待实库回读</x:v>
      </x:c>
      <x:c r="L417" s="74" t="str">
        <x:v>装备资源库血月荆棘·王刺</x:v>
      </x:c>
    </x:row>
    <x:row r="418" ht="34" customHeight="1">
      <x:c r="A418" s="72" t="str">
        <x:v>C10-M011</x:v>
      </x:c>
      <x:c r="B418" s="73" t="str">
        <x:v>C10</x:v>
      </x:c>
      <x:c r="C418" s="73" t="str">
        <x:v>王城罗德尔</x:v>
      </x:c>
      <x:c r="D418" s="73" t="str">
        <x:v>XX933</x:v>
      </x:c>
      <x:c r="E418" s="73" t="str">
        <x:v>灰巷的无灯侯</x:v>
      </x:c>
      <x:c r="F418" s="73" t="str">
        <x:v>地图BOSS</x:v>
      </x:c>
      <x:c r="G418" s="73" t="str">
        <x:v>无灯侯旧斗笠</x:v>
      </x:c>
      <x:c r="H418" s="73" t="str">
        <x:v>斗笠</x:v>
      </x:c>
      <x:c r="I418" s="73" t="str">
        <x:v>面巾（位置13，对应斗笠）</x:v>
      </x:c>
      <x:c r="J418" s="79" t="n">
        <x:v>6925</x:v>
      </x:c>
      <x:c r="K418" s="73" t="str">
        <x:v>预检通过资源／规划锁定／待入库</x:v>
      </x:c>
      <x:c r="L418" s="74" t="str">
        <x:v>StdMode16/位置13；翠焰冥契·幽焰</x:v>
      </x:c>
    </x:row>
    <x:row r="419" ht="34" customHeight="1">
      <x:c r="A419" s="72" t="str">
        <x:v>C10-M012</x:v>
      </x:c>
      <x:c r="B419" s="73" t="str">
        <x:v>C10</x:v>
      </x:c>
      <x:c r="C419" s="73" t="str">
        <x:v>王城罗德尔</x:v>
      </x:c>
      <x:c r="D419" s="73" t="str">
        <x:v>XX930</x:v>
      </x:c>
      <x:c r="E419" s="73" t="str">
        <x:v>千锁闸门统领</x:v>
      </x:c>
      <x:c r="F419" s="73" t="str">
        <x:v>地图BOSS</x:v>
      </x:c>
      <x:c r="G419" s="73" t="str">
        <x:v>千锁断流铡</x:v>
      </x:c>
      <x:c r="H419" s="73" t="str">
        <x:v>武器</x:v>
      </x:c>
      <x:c r="I419" s="73" t="str">
        <x:v>武器</x:v>
      </x:c>
      <x:c r="J419" s="80"/>
      <x:c r="K419" s="73" t="str">
        <x:v>缺武器来源码</x:v>
      </x:c>
      <x:c r="L419" s="74" t="str">
        <x:v>需补同部位Items/StateItem/DnItems三库同码资源</x:v>
      </x:c>
    </x:row>
    <x:row r="420" ht="34" customHeight="1">
      <x:c r="A420" s="72" t="str">
        <x:v>C10-M013</x:v>
      </x:c>
      <x:c r="B420" s="73" t="str">
        <x:v>C10</x:v>
      </x:c>
      <x:c r="C420" s="73" t="str">
        <x:v>王城罗德尔</x:v>
      </x:c>
      <x:c r="D420" s="73" t="str">
        <x:v>XX629</x:v>
      </x:c>
      <x:c r="E420" s="73" t="str">
        <x:v>金垢潜渠鼠</x:v>
      </x:c>
      <x:c r="F420" s="73" t="str">
        <x:v>普通</x:v>
      </x:c>
      <x:c r="G420" s="73" t="str">
        <x:v>金垢噬骨爪</x:v>
      </x:c>
      <x:c r="H420" s="73" t="str">
        <x:v>武器</x:v>
      </x:c>
      <x:c r="I420" s="73" t="str">
        <x:v>武器</x:v>
      </x:c>
      <x:c r="J420" s="80"/>
      <x:c r="K420" s="73" t="str">
        <x:v>缺武器来源码</x:v>
      </x:c>
      <x:c r="L420" s="74" t="str">
        <x:v>需补同部位Items/StateItem/DnItems三库同码资源</x:v>
      </x:c>
    </x:row>
    <x:row r="421" ht="34" customHeight="1">
      <x:c r="A421" s="72" t="str">
        <x:v>C10-M014</x:v>
      </x:c>
      <x:c r="B421" s="73" t="str">
        <x:v>C10</x:v>
      </x:c>
      <x:c r="C421" s="73" t="str">
        <x:v>王城罗德尔</x:v>
      </x:c>
      <x:c r="D421" s="73" t="str">
        <x:v>XX629</x:v>
      </x:c>
      <x:c r="E421" s="73" t="str">
        <x:v>污潮捞骨役</x:v>
      </x:c>
      <x:c r="F421" s="73" t="str">
        <x:v>普通</x:v>
      </x:c>
      <x:c r="G421" s="73" t="str">
        <x:v>捞骨防污衣</x:v>
      </x:c>
      <x:c r="H421" s="73" t="str">
        <x:v>衣服</x:v>
      </x:c>
      <x:c r="I421" s="73" t="str">
        <x:v>男衣服（现行模板的衣服映射）</x:v>
      </x:c>
      <x:c r="J421" s="80"/>
      <x:c r="K421" s="73" t="str">
        <x:v>缺衣服来源码</x:v>
      </x:c>
      <x:c r="L421" s="74" t="str">
        <x:v>需补男衣服StdMode10的三库同码资源；女衣服码未获准合池</x:v>
      </x:c>
    </x:row>
    <x:row r="422" ht="34" customHeight="1">
      <x:c r="A422" s="72" t="str">
        <x:v>C10-M015</x:v>
      </x:c>
      <x:c r="B422" s="73" t="str">
        <x:v>C10</x:v>
      </x:c>
      <x:c r="C422" s="73" t="str">
        <x:v>王城罗德尔</x:v>
      </x:c>
      <x:c r="D422" s="73" t="str">
        <x:v>XX631</x:v>
      </x:c>
      <x:c r="E422" s="73" t="str">
        <x:v>回廊鸣管蜥</x:v>
      </x:c>
      <x:c r="F422" s="73" t="str">
        <x:v>普通</x:v>
      </x:c>
      <x:c r="G422" s="73" t="str">
        <x:v>鸣管鳞盔</x:v>
      </x:c>
      <x:c r="H422" s="73" t="str">
        <x:v>头盔</x:v>
      </x:c>
      <x:c r="I422" s="73" t="str">
        <x:v>头盔</x:v>
      </x:c>
      <x:c r="J422" s="79" t="n">
        <x:v>6076</x:v>
      </x:c>
      <x:c r="K422" s="73" t="str">
        <x:v>规划锁定／旧资源待实库回读</x:v>
      </x:c>
      <x:c r="L422" s="74" t="str">
        <x:v>装备资源库星渊龙息·霜翼</x:v>
      </x:c>
    </x:row>
    <x:row r="423" ht="34" customHeight="1">
      <x:c r="A423" s="72" t="str">
        <x:v>C10-M016</x:v>
      </x:c>
      <x:c r="B423" s="73" t="str">
        <x:v>C10</x:v>
      </x:c>
      <x:c r="C423" s="73" t="str">
        <x:v>王城罗德尔</x:v>
      </x:c>
      <x:c r="D423" s="73" t="str">
        <x:v>XX631</x:v>
      </x:c>
      <x:c r="E423" s="73" t="str">
        <x:v>锈槽巡污卒</x:v>
      </x:c>
      <x:c r="F423" s="73" t="str">
        <x:v>普通</x:v>
      </x:c>
      <x:c r="G423" s="73" t="str">
        <x:v>锈槽踏污靴</x:v>
      </x:c>
      <x:c r="H423" s="73" t="str">
        <x:v>鞋子</x:v>
      </x:c>
      <x:c r="I423" s="73" t="str">
        <x:v>鞋子</x:v>
      </x:c>
      <x:c r="J423" s="79" t="n">
        <x:v>6000</x:v>
      </x:c>
      <x:c r="K423" s="73" t="str">
        <x:v>规划锁定／旧资源待实库回读</x:v>
      </x:c>
      <x:c r="L423" s="74" t="str">
        <x:v>装备资源库血月荆棘·赤冠</x:v>
      </x:c>
    </x:row>
    <x:row r="424" ht="34" customHeight="1">
      <x:c r="A424" s="72" t="str">
        <x:v>C10-M017</x:v>
      </x:c>
      <x:c r="B424" s="73" t="str">
        <x:v>C10</x:v>
      </x:c>
      <x:c r="C424" s="73" t="str">
        <x:v>王城罗德尔</x:v>
      </x:c>
      <x:c r="D424" s="73" t="str">
        <x:v>XX624</x:v>
      </x:c>
      <x:c r="E424" s="73" t="str">
        <x:v>中枢盘阀傀</x:v>
      </x:c>
      <x:c r="F424" s="73" t="str">
        <x:v>普通</x:v>
      </x:c>
      <x:c r="G424" s="73" t="str">
        <x:v>盘阀锁流带</x:v>
      </x:c>
      <x:c r="H424" s="73" t="str">
        <x:v>腰带</x:v>
      </x:c>
      <x:c r="I424" s="73" t="str">
        <x:v>腰带</x:v>
      </x:c>
      <x:c r="J424" s="79" t="n">
        <x:v>6010</x:v>
      </x:c>
      <x:c r="K424" s="73" t="str">
        <x:v>规划锁定／旧资源待实库回读</x:v>
      </x:c>
      <x:c r="L424" s="74" t="str">
        <x:v>装备资源库血月荆棘·月蚀</x:v>
      </x:c>
    </x:row>
    <x:row r="425" ht="34" customHeight="1">
      <x:c r="A425" s="72" t="str">
        <x:v>C10-M018</x:v>
      </x:c>
      <x:c r="B425" s="73" t="str">
        <x:v>C10</x:v>
      </x:c>
      <x:c r="C425" s="73" t="str">
        <x:v>王城罗德尔</x:v>
      </x:c>
      <x:c r="D425" s="73" t="str">
        <x:v>XX624</x:v>
      </x:c>
      <x:c r="E425" s="73" t="str">
        <x:v>泄洪窥灯虫</x:v>
      </x:c>
      <x:c r="F425" s="73" t="str">
        <x:v>普通</x:v>
      </x:c>
      <x:c r="G425" s="73" t="str">
        <x:v>窥灯浊辉坠</x:v>
      </x:c>
      <x:c r="H425" s="73" t="str">
        <x:v>项链</x:v>
      </x:c>
      <x:c r="I425" s="73" t="str">
        <x:v>项链</x:v>
      </x:c>
      <x:c r="J425" s="79" t="n">
        <x:v>6066</x:v>
      </x:c>
      <x:c r="K425" s="73" t="str">
        <x:v>规划锁定／旧资源待实库回读</x:v>
      </x:c>
      <x:c r="L425" s="74" t="str">
        <x:v>装备资源库星渊龙息·星晶</x:v>
      </x:c>
    </x:row>
    <x:row r="426" ht="34" customHeight="1">
      <x:c r="A426" s="72" t="str">
        <x:v>C10-M019</x:v>
      </x:c>
      <x:c r="B426" s="73" t="str">
        <x:v>C10</x:v>
      </x:c>
      <x:c r="C426" s="73" t="str">
        <x:v>王城罗德尔</x:v>
      </x:c>
      <x:c r="D426" s="73" t="str">
        <x:v>XX629</x:v>
      </x:c>
      <x:c r="E426" s="73" t="str">
        <x:v>镀金脓潮母</x:v>
      </x:c>
      <x:c r="F426" s="73" t="str">
        <x:v>稀有</x:v>
      </x:c>
      <x:c r="G426" s="73" t="str">
        <x:v>脓潮镀金腕</x:v>
      </x:c>
      <x:c r="H426" s="73" t="str">
        <x:v>手镯</x:v>
      </x:c>
      <x:c r="I426" s="73" t="str">
        <x:v>手镯</x:v>
      </x:c>
      <x:c r="J426" s="79" t="n">
        <x:v>6014</x:v>
      </x:c>
      <x:c r="K426" s="73" t="str">
        <x:v>规划锁定／旧资源待实库回读</x:v>
      </x:c>
      <x:c r="L426" s="74" t="str">
        <x:v>装备资源库血月荆棘·王刺</x:v>
      </x:c>
    </x:row>
    <x:row r="427" ht="34" customHeight="1">
      <x:c r="A427" s="72" t="str">
        <x:v>C10-M020</x:v>
      </x:c>
      <x:c r="B427" s="73" t="str">
        <x:v>C10</x:v>
      </x:c>
      <x:c r="C427" s="73" t="str">
        <x:v>王城罗德尔</x:v>
      </x:c>
      <x:c r="D427" s="73" t="str">
        <x:v>XX631</x:v>
      </x:c>
      <x:c r="E427" s="73" t="str">
        <x:v>逆流剥甲人</x:v>
      </x:c>
      <x:c r="F427" s="73" t="str">
        <x:v>稀有</x:v>
      </x:c>
      <x:c r="G427" s="73" t="str">
        <x:v>逆流剥甲盾</x:v>
      </x:c>
      <x:c r="H427" s="73" t="str">
        <x:v>盾牌</x:v>
      </x:c>
      <x:c r="I427" s="73" t="str">
        <x:v>盾牌</x:v>
      </x:c>
      <x:c r="J427" s="79" t="n">
        <x:v>6025</x:v>
      </x:c>
      <x:c r="K427" s="73" t="str">
        <x:v>规划锁定／旧资源待实库回读</x:v>
      </x:c>
      <x:c r="L427" s="74" t="str">
        <x:v>装备资源库血月荆棘·灾焰</x:v>
      </x:c>
    </x:row>
    <x:row r="428" ht="34" customHeight="1">
      <x:c r="A428" s="72" t="str">
        <x:v>C10-M021</x:v>
      </x:c>
      <x:c r="B428" s="73" t="str">
        <x:v>C10</x:v>
      </x:c>
      <x:c r="C428" s="73" t="str">
        <x:v>王城罗德尔</x:v>
      </x:c>
      <x:c r="D428" s="73" t="str">
        <x:v>XX631</x:v>
      </x:c>
      <x:c r="E428" s="73" t="str">
        <x:v>七孔哀笛客</x:v>
      </x:c>
      <x:c r="F428" s="73" t="str">
        <x:v>稀有</x:v>
      </x:c>
      <x:c r="G428" s="73" t="str">
        <x:v>七孔哀笛戒</x:v>
      </x:c>
      <x:c r="H428" s="73" t="str">
        <x:v>戒指</x:v>
      </x:c>
      <x:c r="I428" s="73" t="str">
        <x:v>戒指</x:v>
      </x:c>
      <x:c r="J428" s="79" t="n">
        <x:v>6060</x:v>
      </x:c>
      <x:c r="K428" s="73" t="str">
        <x:v>规划锁定／旧资源待实库回读</x:v>
      </x:c>
      <x:c r="L428" s="74" t="str">
        <x:v>装备资源库星渊龙息·龙痕</x:v>
      </x:c>
    </x:row>
    <x:row r="429" ht="34" customHeight="1">
      <x:c r="A429" s="72" t="str">
        <x:v>C10-M022</x:v>
      </x:c>
      <x:c r="B429" s="73" t="str">
        <x:v>C10</x:v>
      </x:c>
      <x:c r="C429" s="73" t="str">
        <x:v>王城罗德尔</x:v>
      </x:c>
      <x:c r="D429" s="73" t="str">
        <x:v>XX624</x:v>
      </x:c>
      <x:c r="E429" s="73" t="str">
        <x:v>沸淤校阀官</x:v>
      </x:c>
      <x:c r="F429" s="73" t="str">
        <x:v>稀有</x:v>
      </x:c>
      <x:c r="G429" s="73" t="str">
        <x:v>沸淤校阀章</x:v>
      </x:c>
      <x:c r="H429" s="73" t="str">
        <x:v>勋章</x:v>
      </x:c>
      <x:c r="I429" s="73" t="str">
        <x:v>勋章</x:v>
      </x:c>
      <x:c r="J429" s="79" t="n">
        <x:v>5876</x:v>
      </x:c>
      <x:c r="K429" s="73" t="str">
        <x:v>规划锁定／旧资源待实库回读</x:v>
      </x:c>
      <x:c r="L429" s="74" t="str">
        <x:v>装备资源库黄金圣律·铭契</x:v>
      </x:c>
    </x:row>
    <x:row r="430" ht="34" customHeight="1">
      <x:c r="A430" s="72" t="str">
        <x:v>C10-M023</x:v>
      </x:c>
      <x:c r="B430" s="73" t="str">
        <x:v>C10</x:v>
      </x:c>
      <x:c r="C430" s="73" t="str">
        <x:v>王城罗德尔</x:v>
      </x:c>
      <x:c r="D430" s="73" t="str">
        <x:v>XX631</x:v>
      </x:c>
      <x:c r="E430" s="73" t="str">
        <x:v>百喉回廊吞声兽</x:v>
      </x:c>
      <x:c r="F430" s="73" t="str">
        <x:v>地图BOSS</x:v>
      </x:c>
      <x:c r="G430" s="73" t="str">
        <x:v>百喉闭音斗笠</x:v>
      </x:c>
      <x:c r="H430" s="73" t="str">
        <x:v>斗笠</x:v>
      </x:c>
      <x:c r="I430" s="73" t="str">
        <x:v>面巾（位置13，对应斗笠）</x:v>
      </x:c>
      <x:c r="J430" s="79" t="n">
        <x:v>6960</x:v>
      </x:c>
      <x:c r="K430" s="73" t="str">
        <x:v>预检通过资源／规划锁定／待入库</x:v>
      </x:c>
      <x:c r="L430" s="74" t="str">
        <x:v>StdMode16/位置13；翠焰冥契·腐痕</x:v>
      </x:c>
    </x:row>
    <x:row r="431" ht="34" customHeight="1">
      <x:c r="A431" s="72" t="str">
        <x:v>C10-M024</x:v>
      </x:c>
      <x:c r="B431" s="73" t="str">
        <x:v>C10</x:v>
      </x:c>
      <x:c r="C431" s="73" t="str">
        <x:v>王城罗德尔</x:v>
      </x:c>
      <x:c r="D431" s="73" t="str">
        <x:v>XX624</x:v>
      </x:c>
      <x:c r="E431" s="73" t="str">
        <x:v>鎏污大司闸</x:v>
      </x:c>
      <x:c r="F431" s="73" t="str">
        <x:v>地图BOSS</x:v>
      </x:c>
      <x:c r="G431" s="73" t="str">
        <x:v>鎏污司闸战袍</x:v>
      </x:c>
      <x:c r="H431" s="73" t="str">
        <x:v>衣服</x:v>
      </x:c>
      <x:c r="I431" s="73" t="str">
        <x:v>男衣服（现行模板的衣服映射）</x:v>
      </x:c>
      <x:c r="J431" s="80"/>
      <x:c r="K431" s="73" t="str">
        <x:v>缺衣服来源码</x:v>
      </x:c>
      <x:c r="L431" s="74" t="str">
        <x:v>需补男衣服StdMode10的三库同码资源；女衣服码未获准合池</x:v>
      </x:c>
    </x:row>
    <x:row r="432" ht="34" customHeight="1">
      <x:c r="A432" s="72" t="str">
        <x:v>C10-M025</x:v>
      </x:c>
      <x:c r="B432" s="73" t="str">
        <x:v>C10</x:v>
      </x:c>
      <x:c r="C432" s="73" t="str">
        <x:v>王城罗德尔</x:v>
      </x:c>
      <x:c r="D432" s="73" t="str">
        <x:v>XX954</x:v>
      </x:c>
      <x:c r="E432" s="73" t="str">
        <x:v>金脉铲痕奴</x:v>
      </x:c>
      <x:c r="F432" s="73" t="str">
        <x:v>普通</x:v>
      </x:c>
      <x:c r="G432" s="73" t="str">
        <x:v>铲痕护矿盔</x:v>
      </x:c>
      <x:c r="H432" s="73" t="str">
        <x:v>头盔</x:v>
      </x:c>
      <x:c r="I432" s="73" t="str">
        <x:v>头盔</x:v>
      </x:c>
      <x:c r="J432" s="79" t="n">
        <x:v>6085</x:v>
      </x:c>
      <x:c r="K432" s="73" t="str">
        <x:v>规划锁定／旧资源待实库回读</x:v>
      </x:c>
      <x:c r="L432" s="74" t="str">
        <x:v>装备资源库星渊龙息·渊潮</x:v>
      </x:c>
    </x:row>
    <x:row r="433" ht="34" customHeight="1">
      <x:c r="A433" s="72" t="str">
        <x:v>C10-M026</x:v>
      </x:c>
      <x:c r="B433" s="73" t="str">
        <x:v>C10</x:v>
      </x:c>
      <x:c r="C433" s="73" t="str">
        <x:v>王城罗德尔</x:v>
      </x:c>
      <x:c r="D433" s="73" t="str">
        <x:v>XX954</x:v>
      </x:c>
      <x:c r="E433" s="73" t="str">
        <x:v>王矿负灯鼹</x:v>
      </x:c>
      <x:c r="F433" s="73" t="str">
        <x:v>普通</x:v>
      </x:c>
      <x:c r="G433" s="73" t="str">
        <x:v>负灯探脉靴</x:v>
      </x:c>
      <x:c r="H433" s="73" t="str">
        <x:v>鞋子</x:v>
      </x:c>
      <x:c r="I433" s="73" t="str">
        <x:v>鞋子</x:v>
      </x:c>
      <x:c r="J433" s="79" t="n">
        <x:v>6009</x:v>
      </x:c>
      <x:c r="K433" s="73" t="str">
        <x:v>规划锁定／旧资源待实库回读</x:v>
      </x:c>
      <x:c r="L433" s="74" t="str">
        <x:v>装备资源库血月荆棘·月蚀</x:v>
      </x:c>
    </x:row>
    <x:row r="434" ht="34" customHeight="1">
      <x:c r="A434" s="72" t="str">
        <x:v>C10-M027</x:v>
      </x:c>
      <x:c r="B434" s="73" t="str">
        <x:v>C10</x:v>
      </x:c>
      <x:c r="C434" s="73" t="str">
        <x:v>王城罗德尔</x:v>
      </x:c>
      <x:c r="D434" s="73" t="str">
        <x:v>XX955</x:v>
      </x:c>
      <x:c r="E434" s="73" t="str">
        <x:v>崩轨拖链卒</x:v>
      </x:c>
      <x:c r="F434" s="73" t="str">
        <x:v>普通</x:v>
      </x:c>
      <x:c r="G434" s="73" t="str">
        <x:v>崩轨拖链盾</x:v>
      </x:c>
      <x:c r="H434" s="73" t="str">
        <x:v>盾牌</x:v>
      </x:c>
      <x:c r="I434" s="73" t="str">
        <x:v>盾牌</x:v>
      </x:c>
      <x:c r="J434" s="79" t="n">
        <x:v>6034</x:v>
      </x:c>
      <x:c r="K434" s="73" t="str">
        <x:v>规划锁定／旧资源待实库回读</x:v>
      </x:c>
      <x:c r="L434" s="74" t="str">
        <x:v>装备资源库血月荆棘·弑神</x:v>
      </x:c>
    </x:row>
    <x:row r="435" ht="34" customHeight="1">
      <x:c r="A435" s="72" t="str">
        <x:v>C10-M028</x:v>
      </x:c>
      <x:c r="B435" s="73" t="str">
        <x:v>C10</x:v>
      </x:c>
      <x:c r="C435" s="73" t="str">
        <x:v>王城罗德尔</x:v>
      </x:c>
      <x:c r="D435" s="73" t="str">
        <x:v>XX953</x:v>
      </x:c>
      <x:c r="E435" s="73" t="str">
        <x:v>冷砧铆甲匠</x:v>
      </x:c>
      <x:c r="F435" s="73" t="str">
        <x:v>普通</x:v>
      </x:c>
      <x:c r="G435" s="73" t="str">
        <x:v>冷砧铆甲衣</x:v>
      </x:c>
      <x:c r="H435" s="73" t="str">
        <x:v>衣服</x:v>
      </x:c>
      <x:c r="I435" s="73" t="str">
        <x:v>男衣服（现行模板的衣服映射）</x:v>
      </x:c>
      <x:c r="J435" s="80"/>
      <x:c r="K435" s="73" t="str">
        <x:v>缺衣服来源码</x:v>
      </x:c>
      <x:c r="L435" s="74" t="str">
        <x:v>需补男衣服StdMode10的三库同码资源；女衣服码未获准合池</x:v>
      </x:c>
    </x:row>
    <x:row r="436" ht="34" customHeight="1">
      <x:c r="A436" s="72" t="str">
        <x:v>C10-M029</x:v>
      </x:c>
      <x:c r="B436" s="73" t="str">
        <x:v>C10</x:v>
      </x:c>
      <x:c r="C436" s="73" t="str">
        <x:v>王城罗德尔</x:v>
      </x:c>
      <x:c r="D436" s="73" t="str">
        <x:v>XX957</x:v>
      </x:c>
      <x:c r="E436" s="73" t="str">
        <x:v>裂晶钻颚兽</x:v>
      </x:c>
      <x:c r="F436" s="73" t="str">
        <x:v>普通</x:v>
      </x:c>
      <x:c r="G436" s="73" t="str">
        <x:v>裂晶钻颚刃</x:v>
      </x:c>
      <x:c r="H436" s="73" t="str">
        <x:v>武器</x:v>
      </x:c>
      <x:c r="I436" s="73" t="str">
        <x:v>武器</x:v>
      </x:c>
      <x:c r="J436" s="80"/>
      <x:c r="K436" s="73" t="str">
        <x:v>缺武器来源码</x:v>
      </x:c>
      <x:c r="L436" s="74" t="str">
        <x:v>需补同部位Items/StateItem/DnItems三库同码资源</x:v>
      </x:c>
    </x:row>
    <x:row r="437" ht="34" customHeight="1">
      <x:c r="A437" s="72" t="str">
        <x:v>C10-M030</x:v>
      </x:c>
      <x:c r="B437" s="73" t="str">
        <x:v>C10</x:v>
      </x:c>
      <x:c r="C437" s="73" t="str">
        <x:v>王城罗德尔</x:v>
      </x:c>
      <x:c r="D437" s="73" t="str">
        <x:v>XX956</x:v>
      </x:c>
      <x:c r="E437" s="73" t="str">
        <x:v>矿脉听金虫</x:v>
      </x:c>
      <x:c r="F437" s="73" t="str">
        <x:v>普通</x:v>
      </x:c>
      <x:c r="G437" s="73" t="str">
        <x:v>听金矿纹坠</x:v>
      </x:c>
      <x:c r="H437" s="73" t="str">
        <x:v>项链</x:v>
      </x:c>
      <x:c r="I437" s="73" t="str">
        <x:v>项链</x:v>
      </x:c>
      <x:c r="J437" s="79" t="n">
        <x:v>6075</x:v>
      </x:c>
      <x:c r="K437" s="73" t="str">
        <x:v>规划锁定／旧资源待实库回读</x:v>
      </x:c>
      <x:c r="L437" s="74" t="str">
        <x:v>装备资源库星渊龙息·霜翼</x:v>
      </x:c>
    </x:row>
    <x:row r="438" ht="34" customHeight="1">
      <x:c r="A438" s="72" t="str">
        <x:v>C10-M031</x:v>
      </x:c>
      <x:c r="B438" s="73" t="str">
        <x:v>C10</x:v>
      </x:c>
      <x:c r="C438" s="73" t="str">
        <x:v>王城罗德尔</x:v>
      </x:c>
      <x:c r="D438" s="73" t="str">
        <x:v>XX954</x:v>
      </x:c>
      <x:c r="E438" s="73" t="str">
        <x:v>监坑鎏面骑</x:v>
      </x:c>
      <x:c r="F438" s="73" t="str">
        <x:v>稀有</x:v>
      </x:c>
      <x:c r="G438" s="73" t="str">
        <x:v>鎏面监坑腰封</x:v>
      </x:c>
      <x:c r="H438" s="73" t="str">
        <x:v>腰带</x:v>
      </x:c>
      <x:c r="I438" s="73" t="str">
        <x:v>腰带</x:v>
      </x:c>
      <x:c r="J438" s="79" t="n">
        <x:v>6019</x:v>
      </x:c>
      <x:c r="K438" s="73" t="str">
        <x:v>规划锁定／旧资源待实库回读</x:v>
      </x:c>
      <x:c r="L438" s="74" t="str">
        <x:v>装备资源库血月荆棘·王刺</x:v>
      </x:c>
    </x:row>
    <x:row r="439" ht="34" customHeight="1">
      <x:c r="A439" s="72" t="str">
        <x:v>C10-M032</x:v>
      </x:c>
      <x:c r="B439" s="73" t="str">
        <x:v>C10</x:v>
      </x:c>
      <x:c r="C439" s="73" t="str">
        <x:v>王城罗德尔</x:v>
      </x:c>
      <x:c r="D439" s="73" t="str">
        <x:v>XX953</x:v>
      </x:c>
      <x:c r="E439" s="73" t="str">
        <x:v>空炉吐渣鬼</x:v>
      </x:c>
      <x:c r="F439" s="73" t="str">
        <x:v>稀有</x:v>
      </x:c>
      <x:c r="G439" s="73" t="str">
        <x:v>空炉渣火镯</x:v>
      </x:c>
      <x:c r="H439" s="73" t="str">
        <x:v>手镯</x:v>
      </x:c>
      <x:c r="I439" s="73" t="str">
        <x:v>手镯</x:v>
      </x:c>
      <x:c r="J439" s="79" t="n">
        <x:v>6023</x:v>
      </x:c>
      <x:c r="K439" s="73" t="str">
        <x:v>规划锁定／旧资源待实库回读</x:v>
      </x:c>
      <x:c r="L439" s="74" t="str">
        <x:v>装备资源库血月荆棘·灾焰</x:v>
      </x:c>
    </x:row>
    <x:row r="440" ht="34" customHeight="1">
      <x:c r="A440" s="72" t="str">
        <x:v>C10-M033</x:v>
      </x:c>
      <x:c r="B440" s="73" t="str">
        <x:v>C10</x:v>
      </x:c>
      <x:c r="C440" s="73" t="str">
        <x:v>王城罗德尔</x:v>
      </x:c>
      <x:c r="D440" s="73" t="str">
        <x:v>XX957</x:v>
      </x:c>
      <x:c r="E440" s="73" t="str">
        <x:v>黑晶凿梦师</x:v>
      </x:c>
      <x:c r="F440" s="73" t="str">
        <x:v>稀有</x:v>
      </x:c>
      <x:c r="G440" s="73" t="str">
        <x:v>黑晶凿梦戒</x:v>
      </x:c>
      <x:c r="H440" s="73" t="str">
        <x:v>戒指</x:v>
      </x:c>
      <x:c r="I440" s="73" t="str">
        <x:v>戒指</x:v>
      </x:c>
      <x:c r="J440" s="79" t="n">
        <x:v>6069</x:v>
      </x:c>
      <x:c r="K440" s="73" t="str">
        <x:v>规划锁定／旧资源待实库回读</x:v>
      </x:c>
      <x:c r="L440" s="74" t="str">
        <x:v>装备资源库星渊龙息·星晶</x:v>
      </x:c>
    </x:row>
    <x:row r="441" ht="34" customHeight="1">
      <x:c r="A441" s="72" t="str">
        <x:v>C10-M034</x:v>
      </x:c>
      <x:c r="B441" s="73" t="str">
        <x:v>C10</x:v>
      </x:c>
      <x:c r="C441" s="73" t="str">
        <x:v>王城罗德尔</x:v>
      </x:c>
      <x:c r="D441" s="73" t="str">
        <x:v>XX956</x:v>
      </x:c>
      <x:c r="E441" s="73" t="str">
        <x:v>王脉封勘使</x:v>
      </x:c>
      <x:c r="F441" s="73" t="str">
        <x:v>稀有</x:v>
      </x:c>
      <x:c r="G441" s="73" t="str">
        <x:v>封勘金衡章</x:v>
      </x:c>
      <x:c r="H441" s="73" t="str">
        <x:v>勋章</x:v>
      </x:c>
      <x:c r="I441" s="73" t="str">
        <x:v>勋章</x:v>
      </x:c>
      <x:c r="J441" s="79" t="n">
        <x:v>5894</x:v>
      </x:c>
      <x:c r="K441" s="73" t="str">
        <x:v>规划锁定／旧资源待实库回读</x:v>
      </x:c>
      <x:c r="L441" s="74" t="str">
        <x:v>装备资源库黄金圣律·圣徽</x:v>
      </x:c>
    </x:row>
    <x:row r="442" ht="34" customHeight="1">
      <x:c r="A442" s="72" t="str">
        <x:v>C10-M035</x:v>
      </x:c>
      <x:c r="B442" s="73" t="str">
        <x:v>C10</x:v>
      </x:c>
      <x:c r="C442" s="73" t="str">
        <x:v>王城罗德尔</x:v>
      </x:c>
      <x:c r="D442" s="73" t="str">
        <x:v>XX957</x:v>
      </x:c>
      <x:c r="E442" s="73" t="str">
        <x:v>深井百臂掘王</x:v>
      </x:c>
      <x:c r="F442" s="73" t="str">
        <x:v>地图BOSS</x:v>
      </x:c>
      <x:c r="G442" s="73" t="str">
        <x:v>深井百臂灯笠</x:v>
      </x:c>
      <x:c r="H442" s="73" t="str">
        <x:v>斗笠</x:v>
      </x:c>
      <x:c r="I442" s="73" t="str">
        <x:v>面巾（位置13，对应斗笠）</x:v>
      </x:c>
      <x:c r="J442" s="79" t="n">
        <x:v>6995</x:v>
      </x:c>
      <x:c r="K442" s="73" t="str">
        <x:v>预检通过资源／规划锁定／待入库</x:v>
      </x:c>
      <x:c r="L442" s="74" t="str">
        <x:v>StdMode16/位置13；翠焰冥契·冥契</x:v>
      </x:c>
    </x:row>
    <x:row r="443" ht="34" customHeight="1">
      <x:c r="A443" s="72" t="str">
        <x:v>C10-M036</x:v>
      </x:c>
      <x:c r="B443" s="73" t="str">
        <x:v>C10</x:v>
      </x:c>
      <x:c r="C443" s="73" t="str">
        <x:v>王城罗德尔</x:v>
      </x:c>
      <x:c r="D443" s="73" t="str">
        <x:v>XX956</x:v>
      </x:c>
      <x:c r="E443" s="73" t="str">
        <x:v>地脉熔冠巨像</x:v>
      </x:c>
      <x:c r="F443" s="73" t="str">
        <x:v>地图BOSS</x:v>
      </x:c>
      <x:c r="G443" s="73" t="str">
        <x:v>熔冠镇脉巨锤</x:v>
      </x:c>
      <x:c r="H443" s="73" t="str">
        <x:v>武器</x:v>
      </x:c>
      <x:c r="I443" s="73" t="str">
        <x:v>武器</x:v>
      </x:c>
      <x:c r="J443" s="80"/>
      <x:c r="K443" s="73" t="str">
        <x:v>缺武器来源码</x:v>
      </x:c>
      <x:c r="L443" s="74" t="str">
        <x:v>需补同部位Items/StateItem/DnItems三库同码资源</x:v>
      </x:c>
    </x:row>
    <x:row r="444" ht="34" customHeight="1">
      <x:c r="A444" s="72" t="str">
        <x:v>C10-M037</x:v>
      </x:c>
      <x:c r="B444" s="73" t="str">
        <x:v>C10</x:v>
      </x:c>
      <x:c r="C444" s="73" t="str">
        <x:v>王城罗德尔</x:v>
      </x:c>
      <x:c r="D444" s="73" t="str">
        <x:v>XX707</x:v>
      </x:c>
      <x:c r="E444" s="73" t="str">
        <x:v>石棺刮蜡侍</x:v>
      </x:c>
      <x:c r="F444" s="73" t="str">
        <x:v>普通</x:v>
      </x:c>
      <x:c r="G444" s="73" t="str">
        <x:v>刮蜡墓烛匕</x:v>
      </x:c>
      <x:c r="H444" s="73" t="str">
        <x:v>武器</x:v>
      </x:c>
      <x:c r="I444" s="73" t="str">
        <x:v>武器</x:v>
      </x:c>
      <x:c r="J444" s="80"/>
      <x:c r="K444" s="73" t="str">
        <x:v>缺武器来源码</x:v>
      </x:c>
      <x:c r="L444" s="74" t="str">
        <x:v>需补同部位Items/StateItem/DnItems三库同码资源</x:v>
      </x:c>
    </x:row>
    <x:row r="445" ht="34" customHeight="1">
      <x:c r="A445" s="72" t="str">
        <x:v>C10-M038</x:v>
      </x:c>
      <x:c r="B445" s="73" t="str">
        <x:v>C10</x:v>
      </x:c>
      <x:c r="C445" s="73" t="str">
        <x:v>王城罗德尔</x:v>
      </x:c>
      <x:c r="D445" s="73" t="str">
        <x:v>XX707</x:v>
      </x:c>
      <x:c r="E445" s="73" t="str">
        <x:v>眠碑缝尸媪</x:v>
      </x:c>
      <x:c r="F445" s="73" t="str">
        <x:v>普通</x:v>
      </x:c>
      <x:c r="G445" s="73" t="str">
        <x:v>眠碑缝尸衣</x:v>
      </x:c>
      <x:c r="H445" s="73" t="str">
        <x:v>衣服</x:v>
      </x:c>
      <x:c r="I445" s="73" t="str">
        <x:v>男衣服（现行模板的衣服映射）</x:v>
      </x:c>
      <x:c r="J445" s="80"/>
      <x:c r="K445" s="73" t="str">
        <x:v>缺衣服来源码</x:v>
      </x:c>
      <x:c r="L445" s="74" t="str">
        <x:v>需补男衣服StdMode10的三库同码资源；女衣服码未获准合池</x:v>
      </x:c>
    </x:row>
    <x:row r="446" ht="34" customHeight="1">
      <x:c r="A446" s="72" t="str">
        <x:v>C10-M039</x:v>
      </x:c>
      <x:c r="B446" s="73" t="str">
        <x:v>C10</x:v>
      </x:c>
      <x:c r="C446" s="73" t="str">
        <x:v>王城罗德尔</x:v>
      </x:c>
      <x:c r="D446" s="73" t="str">
        <x:v>XX708</x:v>
      </x:c>
      <x:c r="E446" s="73" t="str">
        <x:v>墓王执幡骨卫</x:v>
      </x:c>
      <x:c r="F446" s="73" t="str">
        <x:v>普通</x:v>
      </x:c>
      <x:c r="G446" s="73" t="str">
        <x:v>执幡骨纹盔</x:v>
      </x:c>
      <x:c r="H446" s="73" t="str">
        <x:v>头盔</x:v>
      </x:c>
      <x:c r="I446" s="73" t="str">
        <x:v>头盔</x:v>
      </x:c>
      <x:c r="J446" s="79" t="n">
        <x:v>6103</x:v>
      </x:c>
      <x:c r="K446" s="73" t="str">
        <x:v>规划锁定／旧资源待实库回读</x:v>
      </x:c>
      <x:c r="L446" s="74" t="str">
        <x:v>装备资源库星渊龙息·龙皇</x:v>
      </x:c>
    </x:row>
    <x:row r="447" ht="34" customHeight="1">
      <x:c r="A447" s="72" t="str">
        <x:v>C10-M040</x:v>
      </x:c>
      <x:c r="B447" s="73" t="str">
        <x:v>C10</x:v>
      </x:c>
      <x:c r="C447" s="73" t="str">
        <x:v>王城罗德尔</x:v>
      </x:c>
      <x:c r="D447" s="73" t="str">
        <x:v>XX708</x:v>
      </x:c>
      <x:c r="E447" s="73" t="str">
        <x:v>甬道噤歌蛾</x:v>
      </x:c>
      <x:c r="F447" s="73" t="str">
        <x:v>普通</x:v>
      </x:c>
      <x:c r="G447" s="73" t="str">
        <x:v>噤歌幽绡坠</x:v>
      </x:c>
      <x:c r="H447" s="73" t="str">
        <x:v>项链</x:v>
      </x:c>
      <x:c r="I447" s="73" t="str">
        <x:v>项链</x:v>
      </x:c>
      <x:c r="J447" s="79" t="n">
        <x:v>6084</x:v>
      </x:c>
      <x:c r="K447" s="73" t="str">
        <x:v>规划锁定／旧资源待实库回读</x:v>
      </x:c>
      <x:c r="L447" s="74" t="str">
        <x:v>装备资源库星渊龙息·渊潮</x:v>
      </x:c>
    </x:row>
    <x:row r="448" ht="34" customHeight="1">
      <x:c r="A448" s="72" t="str">
        <x:v>C10-M041</x:v>
      </x:c>
      <x:c r="B448" s="73" t="str">
        <x:v>C10</x:v>
      </x:c>
      <x:c r="C448" s="73" t="str">
        <x:v>王城罗德尔</x:v>
      </x:c>
      <x:c r="D448" s="73" t="str">
        <x:v>XX704</x:v>
      </x:c>
      <x:c r="E448" s="73" t="str">
        <x:v>寝室抱瓮童</x:v>
      </x:c>
      <x:c r="F448" s="73" t="str">
        <x:v>普通</x:v>
      </x:c>
      <x:c r="G448" s="73" t="str">
        <x:v>抱瓮缚灵镯</x:v>
      </x:c>
      <x:c r="H448" s="73" t="str">
        <x:v>手镯</x:v>
      </x:c>
      <x:c r="I448" s="73" t="str">
        <x:v>手镯</x:v>
      </x:c>
      <x:c r="J448" s="79" t="n">
        <x:v>6041</x:v>
      </x:c>
      <x:c r="K448" s="73" t="str">
        <x:v>规划锁定／旧资源待实库回读</x:v>
      </x:c>
      <x:c r="L448" s="74" t="str">
        <x:v>装备资源库血月荆棘·终夜</x:v>
      </x:c>
    </x:row>
    <x:row r="449" ht="34" customHeight="1">
      <x:c r="A449" s="72" t="str">
        <x:v>C10-M042</x:v>
      </x:c>
      <x:c r="B449" s="73" t="str">
        <x:v>C10</x:v>
      </x:c>
      <x:c r="C449" s="73" t="str">
        <x:v>王城罗德尔</x:v>
      </x:c>
      <x:c r="D449" s="73" t="str">
        <x:v>XX704</x:v>
      </x:c>
      <x:c r="E449" s="73" t="str">
        <x:v>枕陵掘指尸</x:v>
      </x:c>
      <x:c r="F449" s="73" t="str">
        <x:v>普通</x:v>
      </x:c>
      <x:c r="G449" s="73" t="str">
        <x:v>枕陵掘痕靴</x:v>
      </x:c>
      <x:c r="H449" s="73" t="str">
        <x:v>鞋子</x:v>
      </x:c>
      <x:c r="I449" s="73" t="str">
        <x:v>鞋子</x:v>
      </x:c>
      <x:c r="J449" s="79" t="n">
        <x:v>6018</x:v>
      </x:c>
      <x:c r="K449" s="73" t="str">
        <x:v>规划锁定／旧资源待实库回读</x:v>
      </x:c>
      <x:c r="L449" s="74" t="str">
        <x:v>装备资源库血月荆棘·王刺</x:v>
      </x:c>
    </x:row>
    <x:row r="450" ht="34" customHeight="1">
      <x:c r="A450" s="72" t="str">
        <x:v>C10-M043</x:v>
      </x:c>
      <x:c r="B450" s="73" t="str">
        <x:v>C10</x:v>
      </x:c>
      <x:c r="C450" s="73" t="str">
        <x:v>王城罗德尔</x:v>
      </x:c>
      <x:c r="D450" s="73" t="str">
        <x:v>XX707</x:v>
      </x:c>
      <x:c r="E450" s="73" t="str">
        <x:v>无烛守丧女</x:v>
      </x:c>
      <x:c r="F450" s="73" t="str">
        <x:v>稀有</x:v>
      </x:c>
      <x:c r="G450" s="73" t="str">
        <x:v>无烛哀誓戒</x:v>
      </x:c>
      <x:c r="H450" s="73" t="str">
        <x:v>戒指</x:v>
      </x:c>
      <x:c r="I450" s="73" t="str">
        <x:v>戒指</x:v>
      </x:c>
      <x:c r="J450" s="79" t="n">
        <x:v>6078</x:v>
      </x:c>
      <x:c r="K450" s="73" t="str">
        <x:v>规划锁定／旧资源待实库回读</x:v>
      </x:c>
      <x:c r="L450" s="74" t="str">
        <x:v>装备资源库星渊龙息·霜翼</x:v>
      </x:c>
    </x:row>
    <x:row r="451" ht="34" customHeight="1">
      <x:c r="A451" s="72" t="str">
        <x:v>C10-M044</x:v>
      </x:c>
      <x:c r="B451" s="73" t="str">
        <x:v>C10</x:v>
      </x:c>
      <x:c r="C451" s="73" t="str">
        <x:v>王城罗德尔</x:v>
      </x:c>
      <x:c r="D451" s="73" t="str">
        <x:v>XX708</x:v>
      </x:c>
      <x:c r="E451" s="73" t="str">
        <x:v>断碑驮棺兽</x:v>
      </x:c>
      <x:c r="F451" s="73" t="str">
        <x:v>稀有</x:v>
      </x:c>
      <x:c r="G451" s="73" t="str">
        <x:v>断碑驮棺带</x:v>
      </x:c>
      <x:c r="H451" s="73" t="str">
        <x:v>腰带</x:v>
      </x:c>
      <x:c r="I451" s="73" t="str">
        <x:v>腰带</x:v>
      </x:c>
      <x:c r="J451" s="79" t="n">
        <x:v>6028</x:v>
      </x:c>
      <x:c r="K451" s="73" t="str">
        <x:v>规划锁定／旧资源待实库回读</x:v>
      </x:c>
      <x:c r="L451" s="74" t="str">
        <x:v>装备资源库血月荆棘·灾焰</x:v>
      </x:c>
    </x:row>
    <x:row r="452" ht="34" customHeight="1">
      <x:c r="A452" s="72" t="str">
        <x:v>C10-M045</x:v>
      </x:c>
      <x:c r="B452" s="73" t="str">
        <x:v>C10</x:v>
      </x:c>
      <x:c r="C452" s="73" t="str">
        <x:v>王城罗德尔</x:v>
      </x:c>
      <x:c r="D452" s="73" t="str">
        <x:v>XX708</x:v>
      </x:c>
      <x:c r="E452" s="73" t="str">
        <x:v>王甬秤罪官</x:v>
      </x:c>
      <x:c r="F452" s="73" t="str">
        <x:v>稀有</x:v>
      </x:c>
      <x:c r="G452" s="73" t="str">
        <x:v>秤罪墓律章</x:v>
      </x:c>
      <x:c r="H452" s="73" t="str">
        <x:v>勋章</x:v>
      </x:c>
      <x:c r="I452" s="73" t="str">
        <x:v>勋章</x:v>
      </x:c>
      <x:c r="J452" s="79" t="n">
        <x:v>5903</x:v>
      </x:c>
      <x:c r="K452" s="73" t="str">
        <x:v>规划锁定／旧资源待实库回读</x:v>
      </x:c>
      <x:c r="L452" s="74" t="str">
        <x:v>装备资源库黄金圣律·璨金</x:v>
      </x:c>
    </x:row>
    <x:row r="453" ht="34" customHeight="1">
      <x:c r="A453" s="72" t="str">
        <x:v>C10-M046</x:v>
      </x:c>
      <x:c r="B453" s="73" t="str">
        <x:v>C10</x:v>
      </x:c>
      <x:c r="C453" s="73" t="str">
        <x:v>王城罗德尔</x:v>
      </x:c>
      <x:c r="D453" s="73" t="str">
        <x:v>XX704</x:v>
      </x:c>
      <x:c r="E453" s="73" t="str">
        <x:v>寝门返魂甲</x:v>
      </x:c>
      <x:c r="F453" s="73" t="str">
        <x:v>稀有</x:v>
      </x:c>
      <x:c r="G453" s="73" t="str">
        <x:v>返魂寝门盾</x:v>
      </x:c>
      <x:c r="H453" s="73" t="str">
        <x:v>盾牌</x:v>
      </x:c>
      <x:c r="I453" s="73" t="str">
        <x:v>盾牌</x:v>
      </x:c>
      <x:c r="J453" s="79" t="n">
        <x:v>6043</x:v>
      </x:c>
      <x:c r="K453" s="73" t="str">
        <x:v>规划锁定／旧资源待实库回读</x:v>
      </x:c>
      <x:c r="L453" s="74" t="str">
        <x:v>装备资源库血月荆棘·终夜</x:v>
      </x:c>
    </x:row>
    <x:row r="454" ht="34" customHeight="1">
      <x:c r="A454" s="72" t="str">
        <x:v>C10-M047</x:v>
      </x:c>
      <x:c r="B454" s="73" t="str">
        <x:v>C10</x:v>
      </x:c>
      <x:c r="C454" s="73" t="str">
        <x:v>王城罗德尔</x:v>
      </x:c>
      <x:c r="D454" s="73" t="str">
        <x:v>XX708</x:v>
      </x:c>
      <x:c r="E454" s="73" t="str">
        <x:v>不葬的甬道王妃</x:v>
      </x:c>
      <x:c r="F454" s="73" t="str">
        <x:v>地图BOSS</x:v>
      </x:c>
      <x:c r="G454" s="73" t="str">
        <x:v>不葬王妃冥笠</x:v>
      </x:c>
      <x:c r="H454" s="73" t="str">
        <x:v>斗笠</x:v>
      </x:c>
      <x:c r="I454" s="73" t="str">
        <x:v>面巾（位置13，对应斗笠）</x:v>
      </x:c>
      <x:c r="J454" s="79" t="n">
        <x:v>7030</x:v>
      </x:c>
      <x:c r="K454" s="73" t="str">
        <x:v>预检通过资源／规划锁定／待入库</x:v>
      </x:c>
      <x:c r="L454" s="74" t="str">
        <x:v>StdMode16/位置13；翠焰冥契·灾厄</x:v>
      </x:c>
    </x:row>
    <x:row r="455" ht="34" customHeight="1">
      <x:c r="A455" s="72" t="str">
        <x:v>C10-M048</x:v>
      </x:c>
      <x:c r="B455" s="73" t="str">
        <x:v>C10</x:v>
      </x:c>
      <x:c r="C455" s="73" t="str">
        <x:v>王城罗德尔</x:v>
      </x:c>
      <x:c r="D455" s="73" t="str">
        <x:v>XX704</x:v>
      </x:c>
      <x:c r="E455" s="73" t="str">
        <x:v>枯寝吞碑王</x:v>
      </x:c>
      <x:c r="F455" s="73" t="str">
        <x:v>地图BOSS</x:v>
      </x:c>
      <x:c r="G455" s="73" t="str">
        <x:v>吞碑枯寝大氅</x:v>
      </x:c>
      <x:c r="H455" s="73" t="str">
        <x:v>衣服</x:v>
      </x:c>
      <x:c r="I455" s="73" t="str">
        <x:v>男衣服（现行模板的衣服映射）</x:v>
      </x:c>
      <x:c r="J455" s="80"/>
      <x:c r="K455" s="73" t="str">
        <x:v>缺衣服来源码</x:v>
      </x:c>
      <x:c r="L455" s="74" t="str">
        <x:v>需补男衣服StdMode10的三库同码资源；女衣服码未获准合池</x:v>
      </x:c>
    </x:row>
    <x:row r="456" ht="34" customHeight="1">
      <x:c r="A456" s="72" t="str">
        <x:v>C10-M049</x:v>
      </x:c>
      <x:c r="B456" s="73" t="str">
        <x:v>C10</x:v>
      </x:c>
      <x:c r="C456" s="73" t="str">
        <x:v>王城罗德尔</x:v>
      </x:c>
      <x:c r="D456" s="73" t="str">
        <x:v>XX371</x:v>
      </x:c>
      <x:c r="E456" s="73" t="str">
        <x:v>日轮扫阶侍</x:v>
      </x:c>
      <x:c r="F456" s="73" t="str">
        <x:v>普通</x:v>
      </x:c>
      <x:c r="G456" s="73" t="str">
        <x:v>扫阶日轮刃</x:v>
      </x:c>
      <x:c r="H456" s="73" t="str">
        <x:v>武器</x:v>
      </x:c>
      <x:c r="I456" s="73" t="str">
        <x:v>武器</x:v>
      </x:c>
      <x:c r="J456" s="80"/>
      <x:c r="K456" s="73" t="str">
        <x:v>缺武器来源码</x:v>
      </x:c>
      <x:c r="L456" s="74" t="str">
        <x:v>需补同部位Items/StateItem/DnItems三库同码资源</x:v>
      </x:c>
    </x:row>
    <x:row r="457" ht="34" customHeight="1">
      <x:c r="A457" s="72" t="str">
        <x:v>C10-M050</x:v>
      </x:c>
      <x:c r="B457" s="73" t="str">
        <x:v>C10</x:v>
      </x:c>
      <x:c r="C457" s="73" t="str">
        <x:v>王城罗德尔</x:v>
      </x:c>
      <x:c r="D457" s="73" t="str">
        <x:v>XX371</x:v>
      </x:c>
      <x:c r="E457" s="73" t="str">
        <x:v>金桂驯狮吏</x:v>
      </x:c>
      <x:c r="F457" s="73" t="str">
        <x:v>普通</x:v>
      </x:c>
      <x:c r="G457" s="73" t="str">
        <x:v>金桂驯狮腕</x:v>
      </x:c>
      <x:c r="H457" s="73" t="str">
        <x:v>手镯</x:v>
      </x:c>
      <x:c r="I457" s="73" t="str">
        <x:v>手镯</x:v>
      </x:c>
      <x:c r="J457" s="79" t="n">
        <x:v>6068</x:v>
      </x:c>
      <x:c r="K457" s="73" t="str">
        <x:v>规划锁定／旧资源待实库回读</x:v>
      </x:c>
      <x:c r="L457" s="74" t="str">
        <x:v>装备资源库星渊龙息·星晶</x:v>
      </x:c>
    </x:row>
    <x:row r="458" ht="34" customHeight="1">
      <x:c r="A458" s="72" t="str">
        <x:v>C10-M051</x:v>
      </x:c>
      <x:c r="B458" s="73" t="str">
        <x:v>C10</x:v>
      </x:c>
      <x:c r="C458" s="73" t="str">
        <x:v>王城罗德尔</x:v>
      </x:c>
      <x:c r="D458" s="73" t="str">
        <x:v>XX372</x:v>
      </x:c>
      <x:c r="E458" s="73" t="str">
        <x:v>垂纱持香女</x:v>
      </x:c>
      <x:c r="F458" s="73" t="str">
        <x:v>普通</x:v>
      </x:c>
      <x:c r="G458" s="73" t="str">
        <x:v>垂纱持香衣</x:v>
      </x:c>
      <x:c r="H458" s="73" t="str">
        <x:v>衣服</x:v>
      </x:c>
      <x:c r="I458" s="73" t="str">
        <x:v>男衣服（现行模板的衣服映射）</x:v>
      </x:c>
      <x:c r="J458" s="80"/>
      <x:c r="K458" s="73" t="str">
        <x:v>缺衣服来源码</x:v>
      </x:c>
      <x:c r="L458" s="74" t="str">
        <x:v>需补男衣服StdMode10的三库同码资源；女衣服码未获准合池</x:v>
      </x:c>
    </x:row>
    <x:row r="459" ht="34" customHeight="1">
      <x:c r="A459" s="72" t="str">
        <x:v>C10-M052</x:v>
      </x:c>
      <x:c r="B459" s="73" t="str">
        <x:v>C10</x:v>
      </x:c>
      <x:c r="C459" s="73" t="str">
        <x:v>王城罗德尔</x:v>
      </x:c>
      <x:c r="D459" s="73" t="str">
        <x:v>XX463</x:v>
      </x:c>
      <x:c r="E459" s="73" t="str">
        <x:v>律烛诵壁僧</x:v>
      </x:c>
      <x:c r="F459" s="73" t="str">
        <x:v>普通</x:v>
      </x:c>
      <x:c r="G459" s="73" t="str">
        <x:v>律烛诵壁冠</x:v>
      </x:c>
      <x:c r="H459" s="73" t="str">
        <x:v>头盔</x:v>
      </x:c>
      <x:c r="I459" s="73" t="str">
        <x:v>头盔</x:v>
      </x:c>
      <x:c r="J459" s="79" t="n">
        <x:v>6112</x:v>
      </x:c>
      <x:c r="K459" s="73" t="str">
        <x:v>规划锁定／旧资源待实库回读</x:v>
      </x:c>
      <x:c r="L459" s="74" t="str">
        <x:v>装备资源库星渊龙息·天陨</x:v>
      </x:c>
    </x:row>
    <x:row r="460" ht="34" customHeight="1">
      <x:c r="A460" s="72" t="str">
        <x:v>C10-M053</x:v>
      </x:c>
      <x:c r="B460" s="73" t="str">
        <x:v>C10</x:v>
      </x:c>
      <x:c r="C460" s="73" t="str">
        <x:v>王城罗德尔</x:v>
      </x:c>
      <x:c r="D460" s="73" t="str">
        <x:v>XX370</x:v>
      </x:c>
      <x:c r="E460" s="73" t="str">
        <x:v>前厅捧剑灵</x:v>
      </x:c>
      <x:c r="F460" s="73" t="str">
        <x:v>普通</x:v>
      </x:c>
      <x:c r="G460" s="73" t="str">
        <x:v>捧剑护座盾</x:v>
      </x:c>
      <x:c r="H460" s="73" t="str">
        <x:v>盾牌</x:v>
      </x:c>
      <x:c r="I460" s="73" t="str">
        <x:v>盾牌</x:v>
      </x:c>
      <x:c r="J460" s="79" t="n">
        <x:v>6070</x:v>
      </x:c>
      <x:c r="K460" s="73" t="str">
        <x:v>规划锁定／旧资源待实库回读</x:v>
      </x:c>
      <x:c r="L460" s="74" t="str">
        <x:v>装备资源库星渊龙息·星晶</x:v>
      </x:c>
    </x:row>
    <x:row r="461" ht="34" customHeight="1">
      <x:c r="A461" s="72" t="str">
        <x:v>C10-M054</x:v>
      </x:c>
      <x:c r="B461" s="73" t="str">
        <x:v>C10</x:v>
      </x:c>
      <x:c r="C461" s="73" t="str">
        <x:v>王城罗德尔</x:v>
      </x:c>
      <x:c r="D461" s="73" t="str">
        <x:v>XX386</x:v>
      </x:c>
      <x:c r="E461" s="73" t="str">
        <x:v>王座拾辉甲</x:v>
      </x:c>
      <x:c r="F461" s="73" t="str">
        <x:v>普通</x:v>
      </x:c>
      <x:c r="G461" s="73" t="str">
        <x:v>拾辉登阶靴</x:v>
      </x:c>
      <x:c r="H461" s="73" t="str">
        <x:v>鞋子</x:v>
      </x:c>
      <x:c r="I461" s="73" t="str">
        <x:v>鞋子</x:v>
      </x:c>
      <x:c r="J461" s="79" t="n">
        <x:v>6036</x:v>
      </x:c>
      <x:c r="K461" s="73" t="str">
        <x:v>规划锁定／旧资源待实库回读</x:v>
      </x:c>
      <x:c r="L461" s="74" t="str">
        <x:v>装备资源库血月荆棘·弑神</x:v>
      </x:c>
    </x:row>
    <x:row r="462" ht="34" customHeight="1">
      <x:c r="A462" s="72" t="str">
        <x:v>C10-M055</x:v>
      </x:c>
      <x:c r="B462" s="73" t="str">
        <x:v>C10</x:v>
      </x:c>
      <x:c r="C462" s="73" t="str">
        <x:v>王城罗德尔</x:v>
      </x:c>
      <x:c r="D462" s="73" t="str">
        <x:v>XX371</x:v>
      </x:c>
      <x:c r="E462" s="73" t="str">
        <x:v>外庭熔桂狮</x:v>
      </x:c>
      <x:c r="F462" s="73" t="str">
        <x:v>稀有</x:v>
      </x:c>
      <x:c r="G462" s="73" t="str">
        <x:v>熔桂狮鬃坠</x:v>
      </x:c>
      <x:c r="H462" s="73" t="str">
        <x:v>项链</x:v>
      </x:c>
      <x:c r="I462" s="73" t="str">
        <x:v>项链</x:v>
      </x:c>
      <x:c r="J462" s="79" t="n">
        <x:v>6102</x:v>
      </x:c>
      <x:c r="K462" s="73" t="str">
        <x:v>规划锁定／旧资源待实库回读</x:v>
      </x:c>
      <x:c r="L462" s="74" t="str">
        <x:v>装备资源库星渊龙息·龙皇</x:v>
      </x:c>
    </x:row>
    <x:row r="463" ht="34" customHeight="1">
      <x:c r="A463" s="72" t="str">
        <x:v>C10-M056</x:v>
      </x:c>
      <x:c r="B463" s="73" t="str">
        <x:v>C10</x:v>
      </x:c>
      <x:c r="C463" s="73" t="str">
        <x:v>王城罗德尔</x:v>
      </x:c>
      <x:c r="D463" s="73" t="str">
        <x:v>XX372</x:v>
      </x:c>
      <x:c r="E463" s="73" t="str">
        <x:v>内庭七帷掌仪</x:v>
      </x:c>
      <x:c r="F463" s="73" t="str">
        <x:v>稀有</x:v>
      </x:c>
      <x:c r="G463" s="73" t="str">
        <x:v>七帷掌仪腰封</x:v>
      </x:c>
      <x:c r="H463" s="73" t="str">
        <x:v>腰带</x:v>
      </x:c>
      <x:c r="I463" s="73" t="str">
        <x:v>腰带</x:v>
      </x:c>
      <x:c r="J463" s="79" t="n">
        <x:v>6037</x:v>
      </x:c>
      <x:c r="K463" s="73" t="str">
        <x:v>规划锁定／旧资源待实库回读</x:v>
      </x:c>
      <x:c r="L463" s="74" t="str">
        <x:v>装备资源库血月荆棘·弑神</x:v>
      </x:c>
    </x:row>
    <x:row r="464" ht="34" customHeight="1">
      <x:c r="A464" s="72" t="str">
        <x:v>C10-M057</x:v>
      </x:c>
      <x:c r="B464" s="73" t="str">
        <x:v>C10</x:v>
      </x:c>
      <x:c r="C464" s="73" t="str">
        <x:v>王城罗德尔</x:v>
      </x:c>
      <x:c r="D464" s="73" t="str">
        <x:v>XX463</x:v>
      </x:c>
      <x:c r="E464" s="73" t="str">
        <x:v>深殿缄律书记</x:v>
      </x:c>
      <x:c r="F464" s="73" t="str">
        <x:v>稀有</x:v>
      </x:c>
      <x:c r="G464" s="73" t="str">
        <x:v>缄律书记戒</x:v>
      </x:c>
      <x:c r="H464" s="73" t="str">
        <x:v>戒指</x:v>
      </x:c>
      <x:c r="I464" s="73" t="str">
        <x:v>戒指</x:v>
      </x:c>
      <x:c r="J464" s="79" t="n">
        <x:v>6087</x:v>
      </x:c>
      <x:c r="K464" s="73" t="str">
        <x:v>规划锁定／旧资源待实库回读</x:v>
      </x:c>
      <x:c r="L464" s="74" t="str">
        <x:v>装备资源库星渊龙息·渊潮</x:v>
      </x:c>
    </x:row>
    <x:row r="465" ht="34" customHeight="1">
      <x:c r="A465" s="72" t="str">
        <x:v>C10-M058</x:v>
      </x:c>
      <x:c r="B465" s="73" t="str">
        <x:v>C10</x:v>
      </x:c>
      <x:c r="C465" s="73" t="str">
        <x:v>王城罗德尔</x:v>
      </x:c>
      <x:c r="D465" s="73" t="str">
        <x:v>XX370</x:v>
      </x:c>
      <x:c r="E465" s="73" t="str">
        <x:v>前厅无声执冠官</x:v>
      </x:c>
      <x:c r="F465" s="73" t="str">
        <x:v>稀有</x:v>
      </x:c>
      <x:c r="G465" s="73" t="str">
        <x:v>无声执冠勋章</x:v>
      </x:c>
      <x:c r="H465" s="73" t="str">
        <x:v>勋章</x:v>
      </x:c>
      <x:c r="I465" s="73" t="str">
        <x:v>勋章</x:v>
      </x:c>
      <x:c r="J465" s="79" t="n">
        <x:v>5912</x:v>
      </x:c>
      <x:c r="K465" s="73" t="str">
        <x:v>规划锁定／旧资源待实库回读</x:v>
      </x:c>
      <x:c r="L465" s="74" t="str">
        <x:v>装备资源库黄金圣律·蓝辉</x:v>
      </x:c>
    </x:row>
    <x:row r="466" ht="34" customHeight="1">
      <x:c r="A466" s="72" t="str">
        <x:v>C10-M059</x:v>
      </x:c>
      <x:c r="B466" s="73" t="str">
        <x:v>C10</x:v>
      </x:c>
      <x:c r="C466" s="73" t="str">
        <x:v>王城罗德尔</x:v>
      </x:c>
      <x:c r="D466" s="73" t="str">
        <x:v>XX370</x:v>
      </x:c>
      <x:c r="E466" s="73" t="str">
        <x:v>碎日门的黄金禁卫</x:v>
      </x:c>
      <x:c r="F466" s="73" t="str">
        <x:v>地图BOSS</x:v>
      </x:c>
      <x:c r="G466" s="73" t="str">
        <x:v>碎日禁卫斗笠</x:v>
      </x:c>
      <x:c r="H466" s="73" t="str">
        <x:v>斗笠</x:v>
      </x:c>
      <x:c r="I466" s="73" t="str">
        <x:v>面巾（位置13，对应斗笠）</x:v>
      </x:c>
      <x:c r="J466" s="79" t="n">
        <x:v>7065</x:v>
      </x:c>
      <x:c r="K466" s="73" t="str">
        <x:v>预检通过资源／规划锁定／待入库</x:v>
      </x:c>
      <x:c r="L466" s="74" t="str">
        <x:v>StdMode16/位置13；翠焰冥契·永夜</x:v>
      </x:c>
    </x:row>
    <x:row r="467" ht="34" customHeight="1">
      <x:c r="A467" s="72" t="str">
        <x:v>C10-M060</x:v>
      </x:c>
      <x:c r="B467" s="73" t="str">
        <x:v>C10</x:v>
      </x:c>
      <x:c r="C467" s="73" t="str">
        <x:v>王城罗德尔</x:v>
      </x:c>
      <x:c r="D467" s="73" t="str">
        <x:v>XX386</x:v>
      </x:c>
      <x:c r="E467" s="73" t="str">
        <x:v>永辉帷后的空王</x:v>
      </x:c>
      <x:c r="F467" s="73" t="str">
        <x:v>地图BOSS</x:v>
      </x:c>
      <x:c r="G467" s="73" t="str">
        <x:v>永辉空王礼服</x:v>
      </x:c>
      <x:c r="H467" s="73" t="str">
        <x:v>衣服</x:v>
      </x:c>
      <x:c r="I467" s="73" t="str">
        <x:v>男衣服（现行模板的衣服映射）</x:v>
      </x:c>
      <x:c r="J467" s="80"/>
      <x:c r="K467" s="73" t="str">
        <x:v>缺衣服来源码</x:v>
      </x:c>
      <x:c r="L467" s="74" t="str">
        <x:v>需补男衣服StdMode10的三库同码资源；女衣服码未获准合池</x:v>
      </x:c>
    </x:row>
    <x:row r="468" ht="34" customHeight="1">
      <x:c r="A468" s="75" t="str">
        <x:v>C10-M061</x:v>
      </x:c>
      <x:c r="B468" s="76" t="str">
        <x:v>C10</x:v>
      </x:c>
      <x:c r="C468" s="76" t="str">
        <x:v>王城罗德尔</x:v>
      </x:c>
      <x:c r="D468" s="76" t="str">
        <x:v>XX386</x:v>
      </x:c>
      <x:c r="E468" s="76" t="str">
        <x:v>万冠终审者·萨洛恩</x:v>
      </x:c>
      <x:c r="F468" s="76" t="str">
        <x:v>守关BOSS</x:v>
      </x:c>
      <x:c r="G468" s="76" t="str">
        <x:v>万冠终律圣刃</x:v>
      </x:c>
      <x:c r="H468" s="76" t="str">
        <x:v>武器</x:v>
      </x:c>
      <x:c r="I468" s="76" t="str">
        <x:v>武器</x:v>
      </x:c>
      <x:c r="J468" s="81" t="n">
        <x:v>7061</x:v>
      </x:c>
      <x:c r="K468" s="76" t="str">
        <x:v>预检通过资源／规划锁定／待入库</x:v>
      </x:c>
      <x:c r="L468" s="77" t="str">
        <x:v>装备资源库翠焰冥契·永夜</x:v>
      </x:c>
    </x:row>
  </x:sheetData>
  <x:mergeCells>
    <x:mergeCell ref="A1:L1"/>
    <x:mergeCell ref="A2:L2"/>
  </x:mergeCells>
  <x:pageMargins left="0.7" right="0.7" top="0.75" bottom="0.75" header="0.3" footer="0.3"/>
  <x:tableParts count="1">
    <x:tablePart xmlns:r="http://schemas.openxmlformats.org/officeDocument/2006/relationships" r:id="Rb7bbf6811fba41be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0" hidden="0" customWidth="1"/>
    <x:col min="3" max="3" width="17" hidden="0" customWidth="1"/>
    <x:col min="4" max="4" width="12" hidden="0" customWidth="1"/>
    <x:col min="5" max="5" width="21" hidden="0" customWidth="1"/>
    <x:col min="6" max="6" width="12" hidden="0" customWidth="1"/>
    <x:col min="7" max="7" width="23" hidden="0" customWidth="1"/>
    <x:col min="8" max="8" width="13" hidden="0" customWidth="1"/>
    <x:col min="9" max="9" width="28" hidden="0" customWidth="1"/>
    <x:col min="10" max="10" width="16" hidden="0" customWidth="1"/>
    <x:col min="11" max="11" width="24" hidden="0" customWidth="1"/>
    <x:col min="12" max="12" width="54" hidden="0" customWidth="1"/>
  </x:cols>
  <x:sheetData>
    <x:row r="1" ht="30" customHeight="1">
      <x:c r="A1" s="39" t="str">
        <x:v>编码缺口与向用户补码清单</x:v>
      </x:c>
      <x:c r="B1" s="39" t="str">
        <x:v>编码缺口与向用户补码清单</x:v>
      </x:c>
      <x:c r="C1" s="39" t="str">
        <x:v>编码缺口与向用户补码清单</x:v>
      </x:c>
      <x:c r="D1" s="39" t="str">
        <x:v>编码缺口与向用户补码清单</x:v>
      </x:c>
      <x:c r="E1" s="39" t="str">
        <x:v>编码缺口与向用户补码清单</x:v>
      </x:c>
      <x:c r="F1" s="39" t="str">
        <x:v>编码缺口与向用户补码清单</x:v>
      </x:c>
      <x:c r="G1" s="39" t="str">
        <x:v>编码缺口与向用户补码清单</x:v>
      </x:c>
      <x:c r="H1" s="39" t="str">
        <x:v>编码缺口与向用户补码清单</x:v>
      </x:c>
      <x:c r="I1" s="39" t="str">
        <x:v>编码缺口与向用户补码清单</x:v>
      </x:c>
      <x:c r="J1" s="39" t="str">
        <x:v>编码缺口与向用户补码清单</x:v>
      </x:c>
      <x:c r="K1" s="39" t="str">
        <x:v>编码缺口与向用户补码清单</x:v>
      </x:c>
      <x:c r="L1" s="39" t="str">
        <x:v>编码缺口与向用户补码清单</x:v>
      </x:c>
    </x:row>
    <x:row r="2" ht="38" customHeight="1">
      <x:c r="A2" s="43" t="str">
        <x:v>现有装备资源不能按部位覆盖464件专属。禁止用其他部位盈余跨槽硬凑；以下数量是按现行模板、既有占用与材料冲突扣除后的准确缺口。</x:v>
      </x:c>
      <x:c r="B2" s="43" t="str">
        <x:v>现有装备资源不能按部位覆盖464件专属。禁止用其他部位盈余跨槽硬凑；以下数量是按现行模板、既有占用与材料冲突扣除后的准确缺口。</x:v>
      </x:c>
      <x:c r="C2" s="43" t="str">
        <x:v>现有装备资源不能按部位覆盖464件专属。禁止用其他部位盈余跨槽硬凑；以下数量是按现行模板、既有占用与材料冲突扣除后的准确缺口。</x:v>
      </x:c>
      <x:c r="D2" s="43" t="str">
        <x:v>现有装备资源不能按部位覆盖464件专属。禁止用其他部位盈余跨槽硬凑；以下数量是按现行模板、既有占用与材料冲突扣除后的准确缺口。</x:v>
      </x:c>
      <x:c r="E2" s="43" t="str">
        <x:v>现有装备资源不能按部位覆盖464件专属。禁止用其他部位盈余跨槽硬凑；以下数量是按现行模板、既有占用与材料冲突扣除后的准确缺口。</x:v>
      </x:c>
      <x:c r="F2" s="43" t="str">
        <x:v>现有装备资源不能按部位覆盖464件专属。禁止用其他部位盈余跨槽硬凑；以下数量是按现行模板、既有占用与材料冲突扣除后的准确缺口。</x:v>
      </x:c>
      <x:c r="G2" s="43" t="str">
        <x:v>现有装备资源不能按部位覆盖464件专属。禁止用其他部位盈余跨槽硬凑；以下数量是按现行模板、既有占用与材料冲突扣除后的准确缺口。</x:v>
      </x:c>
      <x:c r="H2" s="43" t="str">
        <x:v>现有装备资源不能按部位覆盖464件专属。禁止用其他部位盈余跨槽硬凑；以下数量是按现行模板、既有占用与材料冲突扣除后的准确缺口。</x:v>
      </x:c>
      <x:c r="I2" s="43" t="str">
        <x:v>现有装备资源不能按部位覆盖464件专属。禁止用其他部位盈余跨槽硬凑；以下数量是按现行模板、既有占用与材料冲突扣除后的准确缺口。</x:v>
      </x:c>
      <x:c r="J2" s="43" t="str">
        <x:v>现有装备资源不能按部位覆盖464件专属。禁止用其他部位盈余跨槽硬凑；以下数量是按现行模板、既有占用与材料冲突扣除后的准确缺口。</x:v>
      </x:c>
      <x:c r="K2" s="43" t="str">
        <x:v>现有装备资源不能按部位覆盖464件专属。禁止用其他部位盈余跨槽硬凑；以下数量是按现行模板、既有占用与材料冲突扣除后的准确缺口。</x:v>
      </x:c>
      <x:c r="L2" s="43" t="str">
        <x:v>现有装备资源不能按部位覆盖464件专属。禁止用其他部位盈余跨槽硬凑；以下数量是按现行模板、既有占用与材料冲突扣除后的准确缺口。</x:v>
      </x:c>
    </x:row>
    <x:row r="4" ht="30" customHeight="1">
      <x:c r="A4" s="49" t="str">
        <x:v>概念部位</x:v>
      </x:c>
      <x:c r="B4" s="49" t="str">
        <x:v>资源库部位</x:v>
      </x:c>
      <x:c r="C4" s="49" t="str">
        <x:v>需求件数</x:v>
      </x:c>
      <x:c r="D4" s="49" t="str">
        <x:v>账面可用</x:v>
      </x:c>
      <x:c r="E4" s="49" t="str">
        <x:v>已分配</x:v>
      </x:c>
      <x:c r="F4" s="49" t="str">
        <x:v>待分配件数</x:v>
      </x:c>
      <x:c r="G4" s="49" t="str">
        <x:v>需补来源码</x:v>
      </x:c>
      <x:c r="H4" s="49" t="str">
        <x:v>处理状态</x:v>
      </x:c>
    </x:row>
    <x:row r="5" ht="30" customHeight="1">
      <x:c r="A5" s="69" t="str">
        <x:v>项链</x:v>
      </x:c>
      <x:c r="B5" s="70" t="str">
        <x:v>项链</x:v>
      </x:c>
      <x:c r="C5" s="70" t="n">
        <x:v>39</x:v>
      </x:c>
      <x:c r="D5" s="70" t="n">
        <x:v>46</x:v>
      </x:c>
      <x:c r="E5" s="70" t="n">
        <x:v>39</x:v>
      </x:c>
      <x:c r="F5" s="70" t="n">
        <x:v>0</x:v>
      </x:c>
      <x:c r="G5" s="70" t="n">
        <x:v>0</x:v>
      </x:c>
      <x:c r="H5" s="82" t="str">
        <x:v>已覆盖</x:v>
      </x:c>
    </x:row>
    <x:row r="6" ht="30" customHeight="1">
      <x:c r="A6" s="72" t="str">
        <x:v>手镯</x:v>
      </x:c>
      <x:c r="B6" s="73" t="str">
        <x:v>手镯</x:v>
      </x:c>
      <x:c r="C6" s="73" t="n">
        <x:v>38</x:v>
      </x:c>
      <x:c r="D6" s="73" t="n">
        <x:v>47</x:v>
      </x:c>
      <x:c r="E6" s="73" t="n">
        <x:v>38</x:v>
      </x:c>
      <x:c r="F6" s="73" t="n">
        <x:v>0</x:v>
      </x:c>
      <x:c r="G6" s="73" t="n">
        <x:v>0</x:v>
      </x:c>
      <x:c r="H6" s="83" t="str">
        <x:v>已覆盖</x:v>
      </x:c>
    </x:row>
    <x:row r="7" ht="30" customHeight="1">
      <x:c r="A7" s="72" t="str">
        <x:v>鞋子</x:v>
      </x:c>
      <x:c r="B7" s="73" t="str">
        <x:v>鞋子</x:v>
      </x:c>
      <x:c r="C7" s="73" t="n">
        <x:v>36</x:v>
      </x:c>
      <x:c r="D7" s="73" t="n">
        <x:v>49</x:v>
      </x:c>
      <x:c r="E7" s="73" t="n">
        <x:v>36</x:v>
      </x:c>
      <x:c r="F7" s="73" t="n">
        <x:v>0</x:v>
      </x:c>
      <x:c r="G7" s="73" t="n">
        <x:v>0</x:v>
      </x:c>
      <x:c r="H7" s="83" t="str">
        <x:v>已覆盖</x:v>
      </x:c>
    </x:row>
    <x:row r="8" ht="30" customHeight="1">
      <x:c r="A8" s="72" t="str">
        <x:v>戒指</x:v>
      </x:c>
      <x:c r="B8" s="73" t="str">
        <x:v>戒指</x:v>
      </x:c>
      <x:c r="C8" s="73" t="n">
        <x:v>39</x:v>
      </x:c>
      <x:c r="D8" s="73" t="n">
        <x:v>46</x:v>
      </x:c>
      <x:c r="E8" s="73" t="n">
        <x:v>39</x:v>
      </x:c>
      <x:c r="F8" s="73" t="n">
        <x:v>0</x:v>
      </x:c>
      <x:c r="G8" s="73" t="n">
        <x:v>0</x:v>
      </x:c>
      <x:c r="H8" s="83" t="str">
        <x:v>已覆盖</x:v>
      </x:c>
    </x:row>
    <x:row r="9" ht="30" customHeight="1">
      <x:c r="A9" s="72" t="str">
        <x:v>腰带</x:v>
      </x:c>
      <x:c r="B9" s="73" t="str">
        <x:v>腰带</x:v>
      </x:c>
      <x:c r="C9" s="73" t="n">
        <x:v>35</x:v>
      </x:c>
      <x:c r="D9" s="73" t="n">
        <x:v>49</x:v>
      </x:c>
      <x:c r="E9" s="73" t="n">
        <x:v>35</x:v>
      </x:c>
      <x:c r="F9" s="73" t="n">
        <x:v>0</x:v>
      </x:c>
      <x:c r="G9" s="73" t="n">
        <x:v>0</x:v>
      </x:c>
      <x:c r="H9" s="83" t="str">
        <x:v>已覆盖</x:v>
      </x:c>
    </x:row>
    <x:row r="10" ht="30" customHeight="1">
      <x:c r="A10" s="72" t="str">
        <x:v>头盔</x:v>
      </x:c>
      <x:c r="B10" s="73" t="str">
        <x:v>头盔</x:v>
      </x:c>
      <x:c r="C10" s="73" t="n">
        <x:v>40</x:v>
      </x:c>
      <x:c r="D10" s="73" t="n">
        <x:v>46</x:v>
      </x:c>
      <x:c r="E10" s="73" t="n">
        <x:v>40</x:v>
      </x:c>
      <x:c r="F10" s="73" t="n">
        <x:v>0</x:v>
      </x:c>
      <x:c r="G10" s="73" t="n">
        <x:v>0</x:v>
      </x:c>
      <x:c r="H10" s="83" t="str">
        <x:v>已覆盖</x:v>
      </x:c>
    </x:row>
    <x:row r="11" ht="30" customHeight="1">
      <x:c r="A11" s="72" t="str">
        <x:v>勋章</x:v>
      </x:c>
      <x:c r="B11" s="73" t="str">
        <x:v>勋章</x:v>
      </x:c>
      <x:c r="C11" s="73" t="n">
        <x:v>23</x:v>
      </x:c>
      <x:c r="D11" s="73" t="n">
        <x:v>47</x:v>
      </x:c>
      <x:c r="E11" s="73" t="n">
        <x:v>23</x:v>
      </x:c>
      <x:c r="F11" s="73" t="n">
        <x:v>0</x:v>
      </x:c>
      <x:c r="G11" s="73" t="n">
        <x:v>0</x:v>
      </x:c>
      <x:c r="H11" s="83" t="str">
        <x:v>已覆盖</x:v>
      </x:c>
    </x:row>
    <x:row r="12" ht="30" customHeight="1">
      <x:c r="A12" s="72" t="str">
        <x:v>盾牌</x:v>
      </x:c>
      <x:c r="B12" s="73" t="str">
        <x:v>盾牌</x:v>
      </x:c>
      <x:c r="C12" s="73" t="n">
        <x:v>36</x:v>
      </x:c>
      <x:c r="D12" s="73" t="n">
        <x:v>46</x:v>
      </x:c>
      <x:c r="E12" s="73" t="n">
        <x:v>36</x:v>
      </x:c>
      <x:c r="F12" s="73" t="n">
        <x:v>0</x:v>
      </x:c>
      <x:c r="G12" s="73" t="n">
        <x:v>0</x:v>
      </x:c>
      <x:c r="H12" s="83" t="str">
        <x:v>已覆盖</x:v>
      </x:c>
    </x:row>
    <x:row r="13" ht="30" customHeight="1">
      <x:c r="A13" s="72" t="str">
        <x:v>武器</x:v>
      </x:c>
      <x:c r="B13" s="73" t="str">
        <x:v>武器</x:v>
      </x:c>
      <x:c r="C13" s="73" t="n">
        <x:v>79</x:v>
      </x:c>
      <x:c r="D13" s="73" t="n">
        <x:v>19</x:v>
      </x:c>
      <x:c r="E13" s="73" t="n">
        <x:v>19</x:v>
      </x:c>
      <x:c r="F13" s="73" t="n">
        <x:v>60</x:v>
      </x:c>
      <x:c r="G13" s="73" t="n">
        <x:v>60</x:v>
      </x:c>
      <x:c r="H13" s="83" t="str">
        <x:v>需用户补码</x:v>
      </x:c>
    </x:row>
    <x:row r="14" ht="30" customHeight="1">
      <x:c r="A14" s="72" t="str">
        <x:v>衣服</x:v>
      </x:c>
      <x:c r="B14" s="73" t="str">
        <x:v>男衣服（StdMode10）</x:v>
      </x:c>
      <x:c r="C14" s="73" t="n">
        <x:v>70</x:v>
      </x:c>
      <x:c r="D14" s="73" t="n">
        <x:v>19</x:v>
      </x:c>
      <x:c r="E14" s="73" t="n">
        <x:v>19</x:v>
      </x:c>
      <x:c r="F14" s="73" t="n">
        <x:v>51</x:v>
      </x:c>
      <x:c r="G14" s="73" t="n">
        <x:v>51</x:v>
      </x:c>
      <x:c r="H14" s="83" t="str">
        <x:v>需用户补码</x:v>
      </x:c>
    </x:row>
    <x:row r="15" ht="30" customHeight="1">
      <x:c r="A15" s="75" t="str">
        <x:v>斗笠</x:v>
      </x:c>
      <x:c r="B15" s="76" t="str">
        <x:v>面巾（StdMode16/位置13）</x:v>
      </x:c>
      <x:c r="C15" s="76" t="n">
        <x:v>29</x:v>
      </x:c>
      <x:c r="D15" s="76" t="n">
        <x:v>18</x:v>
      </x:c>
      <x:c r="E15" s="76" t="n">
        <x:v>18</x:v>
      </x:c>
      <x:c r="F15" s="76" t="n">
        <x:v>11</x:v>
      </x:c>
      <x:c r="G15" s="76" t="n">
        <x:v>11</x:v>
      </x:c>
      <x:c r="H15" s="84" t="str">
        <x:v>需用户补码</x:v>
      </x:c>
    </x:row>
    <x:row r="18" ht="30" customHeight="1">
      <x:c r="A18" s="49" t="str">
        <x:v>材料对象</x:v>
      </x:c>
      <x:c r="B18" s="49" t="str">
        <x:v>已规划Idx</x:v>
      </x:c>
      <x:c r="C18" s="49" t="str">
        <x:v>Items Looks</x:v>
      </x:c>
      <x:c r="D18" s="49" t="str">
        <x:v>数量</x:v>
      </x:c>
      <x:c r="E18" s="49" t="str">
        <x:v>状态</x:v>
      </x:c>
      <x:c r="F18" s="49" t="str">
        <x:v>要求</x:v>
      </x:c>
    </x:row>
    <x:row r="19" ht="42" customHeight="1">
      <x:c r="A19" s="91" t="str">
        <x:v>C3—C10大陆收藏材料</x:v>
      </x:c>
      <x:c r="B19" s="92" t="str">
        <x:v>972—979</x:v>
      </x:c>
      <x:c r="C19" s="94" t="str">
        <x:v>待提供</x:v>
      </x:c>
      <x:c r="D19" s="94" t="n">
        <x:v>8</x:v>
      </x:c>
      <x:c r="E19" s="94" t="str">
        <x:v>未入库</x:v>
      </x:c>
      <x:c r="F19" s="93" t="str">
        <x:v>提供8个经Items实库核验为空闲、且不在装备来源库占用中的Looks槽位</x:v>
      </x:c>
    </x:row>
    <x:row r="23" ht="30" customHeight="1">
      <x:c r="A23" s="49" t="str">
        <x:v>记录ID</x:v>
      </x:c>
      <x:c r="B23" s="49" t="str">
        <x:v>大陆ID</x:v>
      </x:c>
      <x:c r="C23" s="49" t="str">
        <x:v>大陆</x:v>
      </x:c>
      <x:c r="D23" s="49" t="str">
        <x:v>地图号</x:v>
      </x:c>
      <x:c r="E23" s="49" t="str">
        <x:v>怪物名称</x:v>
      </x:c>
      <x:c r="F23" s="49" t="str">
        <x:v>类别</x:v>
      </x:c>
      <x:c r="G23" s="49" t="str">
        <x:v>专属名称</x:v>
      </x:c>
      <x:c r="H23" s="49" t="str">
        <x:v>概念部位</x:v>
      </x:c>
      <x:c r="I23" s="49" t="str">
        <x:v>资源库部位</x:v>
      </x:c>
      <x:c r="J23" s="49" t="str">
        <x:v>装备来源编号</x:v>
      </x:c>
      <x:c r="K23" s="49" t="str">
        <x:v>分配状态</x:v>
      </x:c>
      <x:c r="L23" s="49" t="str">
        <x:v>说明</x:v>
      </x:c>
    </x:row>
    <x:row r="24" ht="34" customHeight="1">
      <x:c r="A24" s="69" t="str">
        <x:v>C03-M001</x:v>
      </x:c>
      <x:c r="B24" s="70" t="str">
        <x:v>C03</x:v>
      </x:c>
      <x:c r="C24" s="70" t="str">
        <x:v>宁姆格福西域</x:v>
      </x:c>
      <x:c r="D24" s="70" t="str">
        <x:v>XX776</x:v>
      </x:c>
      <x:c r="E24" s="70" t="str">
        <x:v>荒原拾骨者</x:v>
      </x:c>
      <x:c r="F24" s="70" t="str">
        <x:v>普通</x:v>
      </x:c>
      <x:c r="G24" s="70" t="str">
        <x:v>拾骨弯刀</x:v>
      </x:c>
      <x:c r="H24" s="70" t="str">
        <x:v>武器</x:v>
      </x:c>
      <x:c r="I24" s="70" t="str">
        <x:v>武器</x:v>
      </x:c>
      <x:c r="J24" s="70"/>
      <x:c r="K24" s="70" t="str">
        <x:v>缺武器来源码</x:v>
      </x:c>
      <x:c r="L24" s="71" t="str">
        <x:v>需补同部位Items/StateItem/DnItems三库同码资源</x:v>
      </x:c>
    </x:row>
    <x:row r="25" ht="34" customHeight="1">
      <x:c r="A25" s="72" t="str">
        <x:v>C03-M009</x:v>
      </x:c>
      <x:c r="B25" s="73" t="str">
        <x:v>C03</x:v>
      </x:c>
      <x:c r="C25" s="73" t="str">
        <x:v>宁姆格福西域</x:v>
      </x:c>
      <x:c r="D25" s="73" t="str">
        <x:v>XX780</x:v>
      </x:c>
      <x:c r="E25" s="73" t="str">
        <x:v>荒风骑士</x:v>
      </x:c>
      <x:c r="F25" s="73" t="str">
        <x:v>稀有</x:v>
      </x:c>
      <x:c r="G25" s="73" t="str">
        <x:v>荒风披甲</x:v>
      </x:c>
      <x:c r="H25" s="73" t="str">
        <x:v>衣服</x:v>
      </x:c>
      <x:c r="I25" s="73" t="str">
        <x:v>男衣服（现行模板的衣服映射）</x:v>
      </x:c>
      <x:c r="J25" s="73"/>
      <x:c r="K25" s="73" t="str">
        <x:v>缺衣服来源码</x:v>
      </x:c>
      <x:c r="L25" s="74" t="str">
        <x:v>需补男衣服StdMode10的三库同码资源；女衣服码未获准合池</x:v>
      </x:c>
    </x:row>
    <x:row r="26" ht="34" customHeight="1">
      <x:c r="A26" s="72" t="str">
        <x:v>C03-M013</x:v>
      </x:c>
      <x:c r="B26" s="73" t="str">
        <x:v>C03</x:v>
      </x:c>
      <x:c r="C26" s="73" t="str">
        <x:v>宁姆格福西域</x:v>
      </x:c>
      <x:c r="D26" s="73" t="str">
        <x:v>XX332</x:v>
      </x:c>
      <x:c r="E26" s="73" t="str">
        <x:v>海崖盐工</x:v>
      </x:c>
      <x:c r="F26" s="73" t="str">
        <x:v>普通</x:v>
      </x:c>
      <x:c r="G26" s="73" t="str">
        <x:v>盐晶短刃</x:v>
      </x:c>
      <x:c r="H26" s="73" t="str">
        <x:v>武器</x:v>
      </x:c>
      <x:c r="I26" s="73" t="str">
        <x:v>武器</x:v>
      </x:c>
      <x:c r="J26" s="73"/>
      <x:c r="K26" s="73" t="str">
        <x:v>缺武器来源码</x:v>
      </x:c>
      <x:c r="L26" s="74" t="str">
        <x:v>需补同部位Items/StateItem/DnItems三库同码资源</x:v>
      </x:c>
    </x:row>
    <x:row r="27" ht="34" customHeight="1">
      <x:c r="A27" s="72" t="str">
        <x:v>C03-M014</x:v>
      </x:c>
      <x:c r="B27" s="73" t="str">
        <x:v>C03</x:v>
      </x:c>
      <x:c r="C27" s="73" t="str">
        <x:v>宁姆格福西域</x:v>
      </x:c>
      <x:c r="D27" s="73" t="str">
        <x:v>XX333</x:v>
      </x:c>
      <x:c r="E27" s="73" t="str">
        <x:v>逐风矛兵</x:v>
      </x:c>
      <x:c r="F27" s="73" t="str">
        <x:v>普通</x:v>
      </x:c>
      <x:c r="G27" s="73" t="str">
        <x:v>逐风长矛</x:v>
      </x:c>
      <x:c r="H27" s="73" t="str">
        <x:v>武器</x:v>
      </x:c>
      <x:c r="I27" s="73" t="str">
        <x:v>武器</x:v>
      </x:c>
      <x:c r="J27" s="73"/>
      <x:c r="K27" s="73" t="str">
        <x:v>缺武器来源码</x:v>
      </x:c>
      <x:c r="L27" s="74" t="str">
        <x:v>需补同部位Items/StateItem/DnItems三库同码资源</x:v>
      </x:c>
    </x:row>
    <x:row r="28" ht="34" customHeight="1">
      <x:c r="A28" s="72" t="str">
        <x:v>C03-M020</x:v>
      </x:c>
      <x:c r="B28" s="73" t="str">
        <x:v>C03</x:v>
      </x:c>
      <x:c r="C28" s="73" t="str">
        <x:v>宁姆格福西域</x:v>
      </x:c>
      <x:c r="D28" s="73" t="str">
        <x:v>XX332</x:v>
      </x:c>
      <x:c r="E28" s="73" t="str">
        <x:v>斩浪骑士</x:v>
      </x:c>
      <x:c r="F28" s="73" t="str">
        <x:v>稀有</x:v>
      </x:c>
      <x:c r="G28" s="73" t="str">
        <x:v>斩浪战衣</x:v>
      </x:c>
      <x:c r="H28" s="73" t="str">
        <x:v>衣服</x:v>
      </x:c>
      <x:c r="I28" s="73" t="str">
        <x:v>男衣服（现行模板的衣服映射）</x:v>
      </x:c>
      <x:c r="J28" s="73"/>
      <x:c r="K28" s="73" t="str">
        <x:v>缺衣服来源码</x:v>
      </x:c>
      <x:c r="L28" s="74" t="str">
        <x:v>需补男衣服StdMode10的三库同码资源；女衣服码未获准合池</x:v>
      </x:c>
    </x:row>
    <x:row r="29" ht="34" customHeight="1">
      <x:c r="A29" s="72" t="str">
        <x:v>C03-M025</x:v>
      </x:c>
      <x:c r="B29" s="73" t="str">
        <x:v>C03</x:v>
      </x:c>
      <x:c r="C29" s="73" t="str">
        <x:v>宁姆格福西域</x:v>
      </x:c>
      <x:c r="D29" s="73" t="str">
        <x:v>XX343</x:v>
      </x:c>
      <x:c r="E29" s="73" t="str">
        <x:v>驿道苦役</x:v>
      </x:c>
      <x:c r="F29" s="73" t="str">
        <x:v>普通</x:v>
      </x:c>
      <x:c r="G29" s="73" t="str">
        <x:v>驿骨短剑</x:v>
      </x:c>
      <x:c r="H29" s="73" t="str">
        <x:v>武器</x:v>
      </x:c>
      <x:c r="I29" s="73" t="str">
        <x:v>武器</x:v>
      </x:c>
      <x:c r="J29" s="73"/>
      <x:c r="K29" s="73" t="str">
        <x:v>缺武器来源码</x:v>
      </x:c>
      <x:c r="L29" s="74" t="str">
        <x:v>需补同部位Items/StateItem/DnItems三库同码资源</x:v>
      </x:c>
    </x:row>
    <x:row r="30" ht="34" customHeight="1">
      <x:c r="A30" s="72" t="str">
        <x:v>C03-M028</x:v>
      </x:c>
      <x:c r="B30" s="73" t="str">
        <x:v>C03</x:v>
      </x:c>
      <x:c r="C30" s="73" t="str">
        <x:v>宁姆格福西域</x:v>
      </x:c>
      <x:c r="D30" s="73" t="str">
        <x:v>XX344</x:v>
      </x:c>
      <x:c r="E30" s="73" t="str">
        <x:v>驮货尸兵</x:v>
      </x:c>
      <x:c r="F30" s="73" t="str">
        <x:v>普通</x:v>
      </x:c>
      <x:c r="G30" s="73" t="str">
        <x:v>驮货重甲</x:v>
      </x:c>
      <x:c r="H30" s="73" t="str">
        <x:v>衣服</x:v>
      </x:c>
      <x:c r="I30" s="73" t="str">
        <x:v>男衣服（现行模板的衣服映射）</x:v>
      </x:c>
      <x:c r="J30" s="73"/>
      <x:c r="K30" s="73" t="str">
        <x:v>缺衣服来源码</x:v>
      </x:c>
      <x:c r="L30" s="74" t="str">
        <x:v>需补男衣服StdMode10的三库同码资源；女衣服码未获准合池</x:v>
      </x:c>
    </x:row>
    <x:row r="31" ht="34" customHeight="1">
      <x:c r="A31" s="72" t="str">
        <x:v>C03-M030</x:v>
      </x:c>
      <x:c r="B31" s="73" t="str">
        <x:v>C03</x:v>
      </x:c>
      <x:c r="C31" s="73" t="str">
        <x:v>宁姆格福西域</x:v>
      </x:c>
      <x:c r="D31" s="73" t="str">
        <x:v>XX345</x:v>
      </x:c>
      <x:c r="E31" s="73" t="str">
        <x:v>断轮弩手</x:v>
      </x:c>
      <x:c r="F31" s="73" t="str">
        <x:v>普通</x:v>
      </x:c>
      <x:c r="G31" s="73" t="str">
        <x:v>断轮弩机</x:v>
      </x:c>
      <x:c r="H31" s="73" t="str">
        <x:v>武器</x:v>
      </x:c>
      <x:c r="I31" s="73" t="str">
        <x:v>武器</x:v>
      </x:c>
      <x:c r="J31" s="73"/>
      <x:c r="K31" s="73" t="str">
        <x:v>缺武器来源码</x:v>
      </x:c>
      <x:c r="L31" s="74" t="str">
        <x:v>需补同部位Items/StateItem/DnItems三库同码资源</x:v>
      </x:c>
    </x:row>
    <x:row r="32" ht="34" customHeight="1">
      <x:c r="A32" s="72" t="str">
        <x:v>C03-M033</x:v>
      </x:c>
      <x:c r="B32" s="73" t="str">
        <x:v>C03</x:v>
      </x:c>
      <x:c r="C32" s="73" t="str">
        <x:v>宁姆格福西域</x:v>
      </x:c>
      <x:c r="D32" s="73" t="str">
        <x:v>XX345</x:v>
      </x:c>
      <x:c r="E32" s="73" t="str">
        <x:v>断路劫首</x:v>
      </x:c>
      <x:c r="F32" s="73" t="str">
        <x:v>稀有</x:v>
      </x:c>
      <x:c r="G32" s="73" t="str">
        <x:v>劫首弯刃</x:v>
      </x:c>
      <x:c r="H32" s="73" t="str">
        <x:v>武器</x:v>
      </x:c>
      <x:c r="I32" s="73" t="str">
        <x:v>武器</x:v>
      </x:c>
      <x:c r="J32" s="73"/>
      <x:c r="K32" s="73" t="str">
        <x:v>缺武器来源码</x:v>
      </x:c>
      <x:c r="L32" s="74" t="str">
        <x:v>需补同部位Items/StateItem/DnItems三库同码资源</x:v>
      </x:c>
    </x:row>
    <x:row r="33" ht="34" customHeight="1">
      <x:c r="A33" s="72" t="str">
        <x:v>C03-M037</x:v>
      </x:c>
      <x:c r="B33" s="73" t="str">
        <x:v>C03</x:v>
      </x:c>
      <x:c r="C33" s="73" t="str">
        <x:v>宁姆格福西域</x:v>
      </x:c>
      <x:c r="D33" s="73" t="str">
        <x:v>XX310</x:v>
      </x:c>
      <x:c r="E33" s="73" t="str">
        <x:v>残阵兵魂</x:v>
      </x:c>
      <x:c r="F33" s="73" t="str">
        <x:v>普通</x:v>
      </x:c>
      <x:c r="G33" s="73" t="str">
        <x:v>残阵战刀</x:v>
      </x:c>
      <x:c r="H33" s="73" t="str">
        <x:v>武器</x:v>
      </x:c>
      <x:c r="I33" s="73" t="str">
        <x:v>武器</x:v>
      </x:c>
      <x:c r="J33" s="73"/>
      <x:c r="K33" s="73" t="str">
        <x:v>缺武器来源码</x:v>
      </x:c>
      <x:c r="L33" s="74" t="str">
        <x:v>需补同部位Items/StateItem/DnItems三库同码资源</x:v>
      </x:c>
    </x:row>
    <x:row r="34" ht="34" customHeight="1">
      <x:c r="A34" s="72" t="str">
        <x:v>C03-M039</x:v>
      </x:c>
      <x:c r="B34" s="73" t="str">
        <x:v>C03</x:v>
      </x:c>
      <x:c r="C34" s="73" t="str">
        <x:v>宁姆格福西域</x:v>
      </x:c>
      <x:c r="D34" s="73" t="str">
        <x:v>XX311</x:v>
      </x:c>
      <x:c r="E34" s="73" t="str">
        <x:v>战壕腐尸</x:v>
      </x:c>
      <x:c r="F34" s="73" t="str">
        <x:v>普通</x:v>
      </x:c>
      <x:c r="G34" s="73" t="str">
        <x:v>战壕骨甲</x:v>
      </x:c>
      <x:c r="H34" s="73" t="str">
        <x:v>衣服</x:v>
      </x:c>
      <x:c r="I34" s="73" t="str">
        <x:v>男衣服（现行模板的衣服映射）</x:v>
      </x:c>
      <x:c r="J34" s="73"/>
      <x:c r="K34" s="73" t="str">
        <x:v>缺衣服来源码</x:v>
      </x:c>
      <x:c r="L34" s="74" t="str">
        <x:v>需补男衣服StdMode10的三库同码资源；女衣服码未获准合池</x:v>
      </x:c>
    </x:row>
    <x:row r="35" ht="34" customHeight="1">
      <x:c r="A35" s="72" t="str">
        <x:v>C03-M049</x:v>
      </x:c>
      <x:c r="B35" s="73" t="str">
        <x:v>C03</x:v>
      </x:c>
      <x:c r="C35" s="73" t="str">
        <x:v>宁姆格福西域</x:v>
      </x:c>
      <x:c r="D35" s="73" t="str">
        <x:v>XX518</x:v>
      </x:c>
      <x:c r="E35" s="73" t="str">
        <x:v>古垒戍兵</x:v>
      </x:c>
      <x:c r="F35" s="73" t="str">
        <x:v>普通</x:v>
      </x:c>
      <x:c r="G35" s="73" t="str">
        <x:v>古垒军刀</x:v>
      </x:c>
      <x:c r="H35" s="73" t="str">
        <x:v>武器</x:v>
      </x:c>
      <x:c r="I35" s="73" t="str">
        <x:v>武器</x:v>
      </x:c>
      <x:c r="J35" s="73"/>
      <x:c r="K35" s="73" t="str">
        <x:v>缺武器来源码</x:v>
      </x:c>
      <x:c r="L35" s="74" t="str">
        <x:v>需补同部位Items/StateItem/DnItems三库同码资源</x:v>
      </x:c>
    </x:row>
    <x:row r="36" ht="34" customHeight="1">
      <x:c r="A36" s="72" t="str">
        <x:v>C03-M056</x:v>
      </x:c>
      <x:c r="B36" s="73" t="str">
        <x:v>C03</x:v>
      </x:c>
      <x:c r="C36" s="73" t="str">
        <x:v>宁姆格福西域</x:v>
      </x:c>
      <x:c r="D36" s="73" t="str">
        <x:v>XX517</x:v>
      </x:c>
      <x:c r="E36" s="73" t="str">
        <x:v>风蚀刑官</x:v>
      </x:c>
      <x:c r="F36" s="73" t="str">
        <x:v>稀有</x:v>
      </x:c>
      <x:c r="G36" s="73" t="str">
        <x:v>刑官断刃</x:v>
      </x:c>
      <x:c r="H36" s="73" t="str">
        <x:v>武器</x:v>
      </x:c>
      <x:c r="I36" s="73" t="str">
        <x:v>武器</x:v>
      </x:c>
      <x:c r="J36" s="73"/>
      <x:c r="K36" s="73" t="str">
        <x:v>缺武器来源码</x:v>
      </x:c>
      <x:c r="L36" s="74" t="str">
        <x:v>需补同部位Items/StateItem/DnItems三库同码资源</x:v>
      </x:c>
    </x:row>
    <x:row r="37" ht="34" customHeight="1">
      <x:c r="A37" s="72" t="str">
        <x:v>C03-M061</x:v>
      </x:c>
      <x:c r="B37" s="73" t="str">
        <x:v>C03</x:v>
      </x:c>
      <x:c r="C37" s="73" t="str">
        <x:v>宁姆格福西域</x:v>
      </x:c>
      <x:c r="D37" s="73" t="str">
        <x:v>XX140</x:v>
      </x:c>
      <x:c r="E37" s="73" t="str">
        <x:v>金叶哨兵</x:v>
      </x:c>
      <x:c r="F37" s="73" t="str">
        <x:v>普通</x:v>
      </x:c>
      <x:c r="G37" s="73" t="str">
        <x:v>金叶军刃</x:v>
      </x:c>
      <x:c r="H37" s="73" t="str">
        <x:v>武器</x:v>
      </x:c>
      <x:c r="I37" s="73" t="str">
        <x:v>武器</x:v>
      </x:c>
      <x:c r="J37" s="73"/>
      <x:c r="K37" s="73" t="str">
        <x:v>缺武器来源码</x:v>
      </x:c>
      <x:c r="L37" s="74" t="str">
        <x:v>需补同部位Items/StateItem/DnItems三库同码资源</x:v>
      </x:c>
    </x:row>
    <x:row r="38" ht="34" customHeight="1">
      <x:c r="A38" s="72" t="str">
        <x:v>C03-M067</x:v>
      </x:c>
      <x:c r="B38" s="73" t="str">
        <x:v>C03</x:v>
      </x:c>
      <x:c r="C38" s="73" t="str">
        <x:v>宁姆格福西域</x:v>
      </x:c>
      <x:c r="D38" s="73" t="str">
        <x:v>XX140</x:v>
      </x:c>
      <x:c r="E38" s="73" t="str">
        <x:v>黄金树旗卫</x:v>
      </x:c>
      <x:c r="F38" s="73" t="str">
        <x:v>稀有</x:v>
      </x:c>
      <x:c r="G38" s="73" t="str">
        <x:v>黄金旗甲</x:v>
      </x:c>
      <x:c r="H38" s="73" t="str">
        <x:v>衣服</x:v>
      </x:c>
      <x:c r="I38" s="73" t="str">
        <x:v>男衣服（现行模板的衣服映射）</x:v>
      </x:c>
      <x:c r="J38" s="73"/>
      <x:c r="K38" s="73" t="str">
        <x:v>缺衣服来源码</x:v>
      </x:c>
      <x:c r="L38" s="74" t="str">
        <x:v>需补男衣服StdMode10的三库同码资源；女衣服码未获准合池</x:v>
      </x:c>
    </x:row>
    <x:row r="39" ht="34" customHeight="1">
      <x:c r="A39" s="72" t="str">
        <x:v>C04-M006</x:v>
      </x:c>
      <x:c r="B39" s="73" t="str">
        <x:v>C04</x:v>
      </x:c>
      <x:c r="C39" s="73" t="str">
        <x:v>利耶尼亚海域</x:v>
      </x:c>
      <x:c r="D39" s="73" t="str">
        <x:v>XX342</x:v>
      </x:c>
      <x:c r="E39" s="73" t="str">
        <x:v>蒙眼采藕人</x:v>
      </x:c>
      <x:c r="F39" s="73" t="str">
        <x:v>普通</x:v>
      </x:c>
      <x:c r="G39" s="73" t="str">
        <x:v>盲采藕刀</x:v>
      </x:c>
      <x:c r="H39" s="73" t="str">
        <x:v>武器</x:v>
      </x:c>
      <x:c r="I39" s="73" t="str">
        <x:v>武器</x:v>
      </x:c>
      <x:c r="J39" s="73"/>
      <x:c r="K39" s="73" t="str">
        <x:v>缺武器来源码</x:v>
      </x:c>
      <x:c r="L39" s="74" t="str">
        <x:v>需补同部位Items/StateItem/DnItems三库同码资源</x:v>
      </x:c>
    </x:row>
    <x:row r="40" ht="34" customHeight="1">
      <x:c r="A40" s="72" t="str">
        <x:v>C04-M008</x:v>
      </x:c>
      <x:c r="B40" s="73" t="str">
        <x:v>C04</x:v>
      </x:c>
      <x:c r="C40" s="73" t="str">
        <x:v>利耶尼亚海域</x:v>
      </x:c>
      <x:c r="D40" s="73" t="str">
        <x:v>XX341</x:v>
      </x:c>
      <x:c r="E40" s="73" t="str">
        <x:v>银腹塘鳄</x:v>
      </x:c>
      <x:c r="F40" s="73" t="str">
        <x:v>稀有</x:v>
      </x:c>
      <x:c r="G40" s="73" t="str">
        <x:v>银腹鳄甲</x:v>
      </x:c>
      <x:c r="H40" s="73" t="str">
        <x:v>衣服</x:v>
      </x:c>
      <x:c r="I40" s="73" t="str">
        <x:v>男衣服（现行模板的衣服映射）</x:v>
      </x:c>
      <x:c r="J40" s="73"/>
      <x:c r="K40" s="73" t="str">
        <x:v>缺衣服来源码</x:v>
      </x:c>
      <x:c r="L40" s="74" t="str">
        <x:v>需补男衣服StdMode10的三库同码资源；女衣服码未获准合池</x:v>
      </x:c>
    </x:row>
    <x:row r="41" ht="34" customHeight="1">
      <x:c r="A41" s="72" t="str">
        <x:v>C04-M013</x:v>
      </x:c>
      <x:c r="B41" s="73" t="str">
        <x:v>C04</x:v>
      </x:c>
      <x:c r="C41" s="73" t="str">
        <x:v>利耶尼亚海域</x:v>
      </x:c>
      <x:c r="D41" s="73" t="str">
        <x:v>XX337</x:v>
      </x:c>
      <x:c r="E41" s="73" t="str">
        <x:v>潜碑拾荒者</x:v>
      </x:c>
      <x:c r="F41" s="73" t="str">
        <x:v>普通</x:v>
      </x:c>
      <x:c r="G41" s="73" t="str">
        <x:v>拾碑短刃</x:v>
      </x:c>
      <x:c r="H41" s="73" t="str">
        <x:v>武器</x:v>
      </x:c>
      <x:c r="I41" s="73" t="str">
        <x:v>武器</x:v>
      </x:c>
      <x:c r="J41" s="73"/>
      <x:c r="K41" s="73" t="str">
        <x:v>缺武器来源码</x:v>
      </x:c>
      <x:c r="L41" s="74" t="str">
        <x:v>需补同部位Items/StateItem/DnItems三库同码资源</x:v>
      </x:c>
    </x:row>
    <x:row r="42" ht="34" customHeight="1">
      <x:c r="A42" s="72" t="str">
        <x:v>C04-M015</x:v>
      </x:c>
      <x:c r="B42" s="73" t="str">
        <x:v>C04</x:v>
      </x:c>
      <x:c r="C42" s="73" t="str">
        <x:v>利耶尼亚海域</x:v>
      </x:c>
      <x:c r="D42" s="73" t="str">
        <x:v>XX336</x:v>
      </x:c>
      <x:c r="E42" s="73" t="str">
        <x:v>回廊水弩手</x:v>
      </x:c>
      <x:c r="F42" s="73" t="str">
        <x:v>普通</x:v>
      </x:c>
      <x:c r="G42" s="73" t="str">
        <x:v>浸廊手弩</x:v>
      </x:c>
      <x:c r="H42" s="73" t="str">
        <x:v>武器</x:v>
      </x:c>
      <x:c r="I42" s="73" t="str">
        <x:v>武器</x:v>
      </x:c>
      <x:c r="J42" s="73"/>
      <x:c r="K42" s="73" t="str">
        <x:v>缺武器来源码</x:v>
      </x:c>
      <x:c r="L42" s="74" t="str">
        <x:v>需补同部位Items/StateItem/DnItems三库同码资源</x:v>
      </x:c>
    </x:row>
    <x:row r="43" ht="34" customHeight="1">
      <x:c r="A43" s="72" t="str">
        <x:v>C04-M016</x:v>
      </x:c>
      <x:c r="B43" s="73" t="str">
        <x:v>C04</x:v>
      </x:c>
      <x:c r="C43" s="73" t="str">
        <x:v>利耶尼亚海域</x:v>
      </x:c>
      <x:c r="D43" s="73" t="str">
        <x:v>XX336</x:v>
      </x:c>
      <x:c r="E43" s="73" t="str">
        <x:v>沉钟侍祭</x:v>
      </x:c>
      <x:c r="F43" s="73" t="str">
        <x:v>普通</x:v>
      </x:c>
      <x:c r="G43" s="73" t="str">
        <x:v>沉钟祭袍</x:v>
      </x:c>
      <x:c r="H43" s="73" t="str">
        <x:v>衣服</x:v>
      </x:c>
      <x:c r="I43" s="73" t="str">
        <x:v>男衣服（现行模板的衣服映射）</x:v>
      </x:c>
      <x:c r="J43" s="73"/>
      <x:c r="K43" s="73" t="str">
        <x:v>缺衣服来源码</x:v>
      </x:c>
      <x:c r="L43" s="74" t="str">
        <x:v>需补男衣服StdMode10的三库同码资源；女衣服码未获准合池</x:v>
      </x:c>
    </x:row>
    <x:row r="44" ht="34" customHeight="1">
      <x:c r="A44" s="72" t="str">
        <x:v>C04-M027</x:v>
      </x:c>
      <x:c r="B44" s="73" t="str">
        <x:v>C04</x:v>
      </x:c>
      <x:c r="C44" s="73" t="str">
        <x:v>利耶尼亚海域</x:v>
      </x:c>
      <x:c r="D44" s="73" t="str">
        <x:v>XX362</x:v>
      </x:c>
      <x:c r="E44" s="73" t="str">
        <x:v>舱门凿击者</x:v>
      </x:c>
      <x:c r="F44" s="73" t="str">
        <x:v>普通</x:v>
      </x:c>
      <x:c r="G44" s="73" t="str">
        <x:v>凿舱铁锤</x:v>
      </x:c>
      <x:c r="H44" s="73" t="str">
        <x:v>武器</x:v>
      </x:c>
      <x:c r="I44" s="73" t="str">
        <x:v>武器</x:v>
      </x:c>
      <x:c r="J44" s="73"/>
      <x:c r="K44" s="73" t="str">
        <x:v>缺武器来源码</x:v>
      </x:c>
      <x:c r="L44" s="74" t="str">
        <x:v>需补同部位Items/StateItem/DnItems三库同码资源</x:v>
      </x:c>
    </x:row>
    <x:row r="45" ht="34" customHeight="1">
      <x:c r="A45" s="72" t="str">
        <x:v>C04-M030</x:v>
      </x:c>
      <x:c r="B45" s="73" t="str">
        <x:v>C04</x:v>
      </x:c>
      <x:c r="C45" s="73" t="str">
        <x:v>利耶尼亚海域</x:v>
      </x:c>
      <x:c r="D45" s="73" t="str">
        <x:v>XX351</x:v>
      </x:c>
      <x:c r="E45" s="73" t="str">
        <x:v>裹布船尸</x:v>
      </x:c>
      <x:c r="F45" s="73" t="str">
        <x:v>普通</x:v>
      </x:c>
      <x:c r="G45" s="73" t="str">
        <x:v>盐裹尸衣</x:v>
      </x:c>
      <x:c r="H45" s="73" t="str">
        <x:v>衣服</x:v>
      </x:c>
      <x:c r="I45" s="73" t="str">
        <x:v>男衣服（现行模板的衣服映射）</x:v>
      </x:c>
      <x:c r="J45" s="73"/>
      <x:c r="K45" s="73" t="str">
        <x:v>缺衣服来源码</x:v>
      </x:c>
      <x:c r="L45" s="74" t="str">
        <x:v>需补男衣服StdMode10的三库同码资源；女衣服码未获准合池</x:v>
      </x:c>
    </x:row>
    <x:row r="46" ht="34" customHeight="1">
      <x:c r="A46" s="72" t="str">
        <x:v>C04-M039</x:v>
      </x:c>
      <x:c r="B46" s="73" t="str">
        <x:v>C04</x:v>
      </x:c>
      <x:c r="C46" s="73" t="str">
        <x:v>利耶尼亚海域</x:v>
      </x:c>
      <x:c r="D46" s="73" t="str">
        <x:v>XX457</x:v>
      </x:c>
      <x:c r="E46" s="73" t="str">
        <x:v>漏舱舀水鬼</x:v>
      </x:c>
      <x:c r="F46" s="73" t="str">
        <x:v>普通</x:v>
      </x:c>
      <x:c r="G46" s="73" t="str">
        <x:v>舀魂铜瓢</x:v>
      </x:c>
      <x:c r="H46" s="73" t="str">
        <x:v>武器</x:v>
      </x:c>
      <x:c r="I46" s="73" t="str">
        <x:v>武器</x:v>
      </x:c>
      <x:c r="J46" s="73"/>
      <x:c r="K46" s="73" t="str">
        <x:v>缺武器来源码</x:v>
      </x:c>
      <x:c r="L46" s="74" t="str">
        <x:v>需补同部位Items/StateItem/DnItems三库同码资源</x:v>
      </x:c>
    </x:row>
    <x:row r="47" ht="34" customHeight="1">
      <x:c r="A47" s="72" t="str">
        <x:v>C04-M041</x:v>
      </x:c>
      <x:c r="B47" s="73" t="str">
        <x:v>C04</x:v>
      </x:c>
      <x:c r="C47" s="73" t="str">
        <x:v>利耶尼亚海域</x:v>
      </x:c>
      <x:c r="D47" s="73" t="str">
        <x:v>XX582</x:v>
      </x:c>
      <x:c r="E47" s="73" t="str">
        <x:v>密舱蜡尸</x:v>
      </x:c>
      <x:c r="F47" s="73" t="str">
        <x:v>普通</x:v>
      </x:c>
      <x:c r="G47" s="73" t="str">
        <x:v>蜡封尸衣</x:v>
      </x:c>
      <x:c r="H47" s="73" t="str">
        <x:v>衣服</x:v>
      </x:c>
      <x:c r="I47" s="73" t="str">
        <x:v>男衣服（现行模板的衣服映射）</x:v>
      </x:c>
      <x:c r="J47" s="73"/>
      <x:c r="K47" s="73" t="str">
        <x:v>缺衣服来源码</x:v>
      </x:c>
      <x:c r="L47" s="74" t="str">
        <x:v>需补男衣服StdMode10的三库同码资源；女衣服码未获准合池</x:v>
      </x:c>
    </x:row>
    <x:row r="48" ht="34" customHeight="1">
      <x:c r="A48" s="72" t="str">
        <x:v>C04-M051</x:v>
      </x:c>
      <x:c r="B48" s="73" t="str">
        <x:v>C04</x:v>
      </x:c>
      <x:c r="C48" s="73" t="str">
        <x:v>利耶尼亚海域</x:v>
      </x:c>
      <x:c r="D48" s="73" t="str">
        <x:v>XX392</x:v>
      </x:c>
      <x:c r="E48" s="73" t="str">
        <x:v>月河箭蛙</x:v>
      </x:c>
      <x:c r="F48" s="73" t="str">
        <x:v>普通</x:v>
      </x:c>
      <x:c r="G48" s="73" t="str">
        <x:v>月蛙刺弩</x:v>
      </x:c>
      <x:c r="H48" s="73" t="str">
        <x:v>武器</x:v>
      </x:c>
      <x:c r="I48" s="73" t="str">
        <x:v>武器</x:v>
      </x:c>
      <x:c r="J48" s="73"/>
      <x:c r="K48" s="73" t="str">
        <x:v>缺武器来源码</x:v>
      </x:c>
      <x:c r="L48" s="74" t="str">
        <x:v>需补同部位Items/StateItem/DnItems三库同码资源</x:v>
      </x:c>
    </x:row>
    <x:row r="49" ht="34" customHeight="1">
      <x:c r="A49" s="72" t="str">
        <x:v>C04-M052</x:v>
      </x:c>
      <x:c r="B49" s="73" t="str">
        <x:v>C04</x:v>
      </x:c>
      <x:c r="C49" s="73" t="str">
        <x:v>利耶尼亚海域</x:v>
      </x:c>
      <x:c r="D49" s="73" t="str">
        <x:v>XX392</x:v>
      </x:c>
      <x:c r="E49" s="73" t="str">
        <x:v>暗径拾珠客</x:v>
      </x:c>
      <x:c r="F49" s="73" t="str">
        <x:v>普通</x:v>
      </x:c>
      <x:c r="G49" s="73" t="str">
        <x:v>拾珠客斗笠</x:v>
      </x:c>
      <x:c r="H49" s="73" t="str">
        <x:v>斗笠</x:v>
      </x:c>
      <x:c r="I49" s="73" t="str">
        <x:v>面巾（位置13，对应斗笠）</x:v>
      </x:c>
      <x:c r="J49" s="73"/>
      <x:c r="K49" s="73" t="str">
        <x:v>缺斗笠来源码</x:v>
      </x:c>
      <x:c r="L49" s="74" t="str">
        <x:v>需补StdMode16/位置13的三库同码资源</x:v>
      </x:c>
    </x:row>
    <x:row r="50" ht="34" customHeight="1">
      <x:c r="A50" s="72" t="str">
        <x:v>C04-M055</x:v>
      </x:c>
      <x:c r="B50" s="73" t="str">
        <x:v>C04</x:v>
      </x:c>
      <x:c r="C50" s="73" t="str">
        <x:v>利耶尼亚海域</x:v>
      </x:c>
      <x:c r="D50" s="73" t="str">
        <x:v>XX395</x:v>
      </x:c>
      <x:c r="E50" s="73" t="str">
        <x:v>断闸铁卫</x:v>
      </x:c>
      <x:c r="F50" s="73" t="str">
        <x:v>稀有</x:v>
      </x:c>
      <x:c r="G50" s="73" t="str">
        <x:v>断闸铁衣</x:v>
      </x:c>
      <x:c r="H50" s="73" t="str">
        <x:v>衣服</x:v>
      </x:c>
      <x:c r="I50" s="73" t="str">
        <x:v>男衣服（现行模板的衣服映射）</x:v>
      </x:c>
      <x:c r="J50" s="73"/>
      <x:c r="K50" s="73" t="str">
        <x:v>缺衣服来源码</x:v>
      </x:c>
      <x:c r="L50" s="74" t="str">
        <x:v>需补男衣服StdMode10的三库同码资源；女衣服码未获准合池</x:v>
      </x:c>
    </x:row>
    <x:row r="51" ht="34" customHeight="1">
      <x:c r="A51" s="72" t="str">
        <x:v>C04-M061</x:v>
      </x:c>
      <x:c r="B51" s="73" t="str">
        <x:v>C04</x:v>
      </x:c>
      <x:c r="C51" s="73" t="str">
        <x:v>利耶尼亚海域</x:v>
      </x:c>
      <x:c r="D51" s="73" t="str">
        <x:v>XX368</x:v>
      </x:c>
      <x:c r="E51" s="73" t="str">
        <x:v>摸壁潜行者</x:v>
      </x:c>
      <x:c r="F51" s="73" t="str">
        <x:v>普通</x:v>
      </x:c>
      <x:c r="G51" s="73" t="str">
        <x:v>潜壁短钩</x:v>
      </x:c>
      <x:c r="H51" s="73" t="str">
        <x:v>武器</x:v>
      </x:c>
      <x:c r="I51" s="73" t="str">
        <x:v>武器</x:v>
      </x:c>
      <x:c r="J51" s="73"/>
      <x:c r="K51" s="73" t="str">
        <x:v>缺武器来源码</x:v>
      </x:c>
      <x:c r="L51" s="74" t="str">
        <x:v>需补同部位Items/StateItem/DnItems三库同码资源</x:v>
      </x:c>
    </x:row>
    <x:row r="52" ht="34" customHeight="1">
      <x:c r="A52" s="72" t="str">
        <x:v>C04-M064</x:v>
      </x:c>
      <x:c r="B52" s="73" t="str">
        <x:v>C04</x:v>
      </x:c>
      <x:c r="C52" s="73" t="str">
        <x:v>利耶尼亚海域</x:v>
      </x:c>
      <x:c r="D52" s="73" t="str">
        <x:v>XX382</x:v>
      </x:c>
      <x:c r="E52" s="73" t="str">
        <x:v>锈闸守渠人</x:v>
      </x:c>
      <x:c r="F52" s="73" t="str">
        <x:v>普通</x:v>
      </x:c>
      <x:c r="G52" s="73" t="str">
        <x:v>守渠锈衣</x:v>
      </x:c>
      <x:c r="H52" s="73" t="str">
        <x:v>衣服</x:v>
      </x:c>
      <x:c r="I52" s="73" t="str">
        <x:v>男衣服（现行模板的衣服映射）</x:v>
      </x:c>
      <x:c r="J52" s="73"/>
      <x:c r="K52" s="73" t="str">
        <x:v>缺衣服来源码</x:v>
      </x:c>
      <x:c r="L52" s="74" t="str">
        <x:v>需补男衣服StdMode10的三库同码资源；女衣服码未获准合池</x:v>
      </x:c>
    </x:row>
    <x:row r="53" ht="34" customHeight="1">
      <x:c r="A53" s="72" t="str">
        <x:v>C05-M003</x:v>
      </x:c>
      <x:c r="B53" s="73" t="str">
        <x:v>C05</x:v>
      </x:c>
      <x:c r="C53" s="73" t="str">
        <x:v>湖之利耶尼亚</x:v>
      </x:c>
      <x:c r="D53" s="73" t="str">
        <x:v>XX339</x:v>
      </x:c>
      <x:c r="E53" s="73" t="str">
        <x:v>月雾提灯侍</x:v>
      </x:c>
      <x:c r="F53" s="73" t="str">
        <x:v>普通</x:v>
      </x:c>
      <x:c r="G53" s="73" t="str">
        <x:v>月翳提灯笠</x:v>
      </x:c>
      <x:c r="H53" s="73" t="str">
        <x:v>斗笠</x:v>
      </x:c>
      <x:c r="I53" s="73" t="str">
        <x:v>面巾（位置13，对应斗笠）</x:v>
      </x:c>
      <x:c r="J53" s="73"/>
      <x:c r="K53" s="73" t="str">
        <x:v>缺斗笠来源码</x:v>
      </x:c>
      <x:c r="L53" s="74" t="str">
        <x:v>需补StdMode16/位置13的三库同码资源</x:v>
      </x:c>
    </x:row>
    <x:row r="54" ht="34" customHeight="1">
      <x:c r="A54" s="72" t="str">
        <x:v>C05-M010</x:v>
      </x:c>
      <x:c r="B54" s="73" t="str">
        <x:v>C05</x:v>
      </x:c>
      <x:c r="C54" s="73" t="str">
        <x:v>湖之利耶尼亚</x:v>
      </x:c>
      <x:c r="D54" s="73" t="str">
        <x:v>XX331</x:v>
      </x:c>
      <x:c r="E54" s="73" t="str">
        <x:v>静潮祷月祭司</x:v>
      </x:c>
      <x:c r="F54" s="73" t="str">
        <x:v>稀有</x:v>
      </x:c>
      <x:c r="G54" s="73" t="str">
        <x:v>静潮祷仪袍</x:v>
      </x:c>
      <x:c r="H54" s="73" t="str">
        <x:v>衣服</x:v>
      </x:c>
      <x:c r="I54" s="73" t="str">
        <x:v>男衣服（现行模板的衣服映射）</x:v>
      </x:c>
      <x:c r="J54" s="73"/>
      <x:c r="K54" s="73" t="str">
        <x:v>缺衣服来源码</x:v>
      </x:c>
      <x:c r="L54" s="74" t="str">
        <x:v>需补男衣服StdMode10的三库同码资源；女衣服码未获准合池</x:v>
      </x:c>
    </x:row>
    <x:row r="55" ht="34" customHeight="1">
      <x:c r="A55" s="72" t="str">
        <x:v>C05-M018</x:v>
      </x:c>
      <x:c r="B55" s="73" t="str">
        <x:v>C05</x:v>
      </x:c>
      <x:c r="C55" s="73" t="str">
        <x:v>湖之利耶尼亚</x:v>
      </x:c>
      <x:c r="D55" s="73" t="str">
        <x:v>XX816</x:v>
      </x:c>
      <x:c r="E55" s="73" t="str">
        <x:v>圣坛悬晶灵</x:v>
      </x:c>
      <x:c r="F55" s="73" t="str">
        <x:v>普通</x:v>
      </x:c>
      <x:c r="G55" s="73" t="str">
        <x:v>悬晶祭辉笠</x:v>
      </x:c>
      <x:c r="H55" s="73" t="str">
        <x:v>斗笠</x:v>
      </x:c>
      <x:c r="I55" s="73" t="str">
        <x:v>面巾（位置13，对应斗笠）</x:v>
      </x:c>
      <x:c r="J55" s="73"/>
      <x:c r="K55" s="73" t="str">
        <x:v>缺斗笠来源码</x:v>
      </x:c>
      <x:c r="L55" s="74" t="str">
        <x:v>需补StdMode16/位置13的三库同码资源</x:v>
      </x:c>
    </x:row>
    <x:row r="56" ht="34" customHeight="1">
      <x:c r="A56" s="72" t="str">
        <x:v>C05-M022</x:v>
      </x:c>
      <x:c r="B56" s="73" t="str">
        <x:v>C05</x:v>
      </x:c>
      <x:c r="C56" s="73" t="str">
        <x:v>湖之利耶尼亚</x:v>
      </x:c>
      <x:c r="D56" s="73" t="str">
        <x:v>XX814</x:v>
      </x:c>
      <x:c r="E56" s="73" t="str">
        <x:v>内院辉核铸像</x:v>
      </x:c>
      <x:c r="F56" s="73" t="str">
        <x:v>稀有</x:v>
      </x:c>
      <x:c r="G56" s="73" t="str">
        <x:v>辉核铸像衣</x:v>
      </x:c>
      <x:c r="H56" s="73" t="str">
        <x:v>衣服</x:v>
      </x:c>
      <x:c r="I56" s="73" t="str">
        <x:v>男衣服（现行模板的衣服映射）</x:v>
      </x:c>
      <x:c r="J56" s="73"/>
      <x:c r="K56" s="73" t="str">
        <x:v>缺衣服来源码</x:v>
      </x:c>
      <x:c r="L56" s="74" t="str">
        <x:v>需补男衣服StdMode10的三库同码资源；女衣服码未获准合池</x:v>
      </x:c>
    </x:row>
    <x:row r="57" ht="34" customHeight="1">
      <x:c r="A57" s="72" t="str">
        <x:v>C05-M023</x:v>
      </x:c>
      <x:c r="B57" s="73" t="str">
        <x:v>C05</x:v>
      </x:c>
      <x:c r="C57" s="73" t="str">
        <x:v>湖之利耶尼亚</x:v>
      </x:c>
      <x:c r="D57" s="73" t="str">
        <x:v>XX814</x:v>
      </x:c>
      <x:c r="E57" s="73" t="str">
        <x:v>裂辉古院监</x:v>
      </x:c>
      <x:c r="F57" s="73" t="str">
        <x:v>地图BOSS</x:v>
      </x:c>
      <x:c r="G57" s="73" t="str">
        <x:v>裂辉监院长戟</x:v>
      </x:c>
      <x:c r="H57" s="73" t="str">
        <x:v>武器</x:v>
      </x:c>
      <x:c r="I57" s="73" t="str">
        <x:v>武器</x:v>
      </x:c>
      <x:c r="J57" s="73"/>
      <x:c r="K57" s="73" t="str">
        <x:v>缺武器来源码</x:v>
      </x:c>
      <x:c r="L57" s="74" t="str">
        <x:v>需补同部位Items/StateItem/DnItems三库同码资源</x:v>
      </x:c>
    </x:row>
    <x:row r="58" ht="34" customHeight="1">
      <x:c r="A58" s="72" t="str">
        <x:v>C05-M025</x:v>
      </x:c>
      <x:c r="B58" s="73" t="str">
        <x:v>C05</x:v>
      </x:c>
      <x:c r="C58" s="73" t="str">
        <x:v>湖之利耶尼亚</x:v>
      </x:c>
      <x:c r="D58" s="73" t="str">
        <x:v>XX1053</x:v>
      </x:c>
      <x:c r="E58" s="73" t="str">
        <x:v>墨羽抄录仆</x:v>
      </x:c>
      <x:c r="F58" s="73" t="str">
        <x:v>普通</x:v>
      </x:c>
      <x:c r="G58" s="73" t="str">
        <x:v>墨羽校录笠</x:v>
      </x:c>
      <x:c r="H58" s="73" t="str">
        <x:v>斗笠</x:v>
      </x:c>
      <x:c r="I58" s="73" t="str">
        <x:v>面巾（位置13，对应斗笠）</x:v>
      </x:c>
      <x:c r="J58" s="73"/>
      <x:c r="K58" s="73" t="str">
        <x:v>缺斗笠来源码</x:v>
      </x:c>
      <x:c r="L58" s="74" t="str">
        <x:v>需补StdMode16/位置13的三库同码资源</x:v>
      </x:c>
    </x:row>
    <x:row r="59" ht="34" customHeight="1">
      <x:c r="A59" s="72" t="str">
        <x:v>C05-M034</x:v>
      </x:c>
      <x:c r="B59" s="73" t="str">
        <x:v>C05</x:v>
      </x:c>
      <x:c r="C59" s="73" t="str">
        <x:v>湖之利耶尼亚</x:v>
      </x:c>
      <x:c r="D59" s="73" t="str">
        <x:v>XX1058</x:v>
      </x:c>
      <x:c r="E59" s="73" t="str">
        <x:v>星墨活页兽</x:v>
      </x:c>
      <x:c r="F59" s="73" t="str">
        <x:v>稀有</x:v>
      </x:c>
      <x:c r="G59" s="73" t="str">
        <x:v>星墨活页袍</x:v>
      </x:c>
      <x:c r="H59" s="73" t="str">
        <x:v>衣服</x:v>
      </x:c>
      <x:c r="I59" s="73" t="str">
        <x:v>男衣服（现行模板的衣服映射）</x:v>
      </x:c>
      <x:c r="J59" s="73"/>
      <x:c r="K59" s="73" t="str">
        <x:v>缺衣服来源码</x:v>
      </x:c>
      <x:c r="L59" s="74" t="str">
        <x:v>需补男衣服StdMode10的三库同码资源；女衣服码未获准合池</x:v>
      </x:c>
    </x:row>
    <x:row r="60" ht="34" customHeight="1">
      <x:c r="A60" s="72" t="str">
        <x:v>C05-M035</x:v>
      </x:c>
      <x:c r="B60" s="73" t="str">
        <x:v>C05</x:v>
      </x:c>
      <x:c r="C60" s="73" t="str">
        <x:v>湖之利耶尼亚</x:v>
      </x:c>
      <x:c r="D60" s="73" t="str">
        <x:v>XX1060</x:v>
      </x:c>
      <x:c r="E60" s="73" t="str">
        <x:v>七印讲堂监</x:v>
      </x:c>
      <x:c r="F60" s="73" t="str">
        <x:v>地图BOSS</x:v>
      </x:c>
      <x:c r="G60" s="73" t="str">
        <x:v>七印讲堂法杖</x:v>
      </x:c>
      <x:c r="H60" s="73" t="str">
        <x:v>武器</x:v>
      </x:c>
      <x:c r="I60" s="73" t="str">
        <x:v>武器</x:v>
      </x:c>
      <x:c r="J60" s="73"/>
      <x:c r="K60" s="73" t="str">
        <x:v>缺武器来源码</x:v>
      </x:c>
      <x:c r="L60" s="74" t="str">
        <x:v>需补同部位Items/StateItem/DnItems三库同码资源</x:v>
      </x:c>
    </x:row>
    <x:row r="61" ht="34" customHeight="1">
      <x:c r="A61" s="72" t="str">
        <x:v>C05-M038</x:v>
      </x:c>
      <x:c r="B61" s="73" t="str">
        <x:v>C05</x:v>
      </x:c>
      <x:c r="C61" s="73" t="str">
        <x:v>湖之利耶尼亚</x:v>
      </x:c>
      <x:c r="D61" s="73" t="str">
        <x:v>XX1063</x:v>
      </x:c>
      <x:c r="E61" s="73" t="str">
        <x:v>银页栖书鸦</x:v>
      </x:c>
      <x:c r="F61" s="73" t="str">
        <x:v>普通</x:v>
      </x:c>
      <x:c r="G61" s="73" t="str">
        <x:v>银页书鸦笠</x:v>
      </x:c>
      <x:c r="H61" s="73" t="str">
        <x:v>斗笠</x:v>
      </x:c>
      <x:c r="I61" s="73" t="str">
        <x:v>面巾（位置13，对应斗笠）</x:v>
      </x:c>
      <x:c r="J61" s="73"/>
      <x:c r="K61" s="73" t="str">
        <x:v>缺斗笠来源码</x:v>
      </x:c>
      <x:c r="L61" s="74" t="str">
        <x:v>需补StdMode16/位置13的三库同码资源</x:v>
      </x:c>
    </x:row>
    <x:row r="62" ht="34" customHeight="1">
      <x:c r="A62" s="72" t="str">
        <x:v>C05-M046</x:v>
      </x:c>
      <x:c r="B62" s="73" t="str">
        <x:v>C05</x:v>
      </x:c>
      <x:c r="C62" s="73" t="str">
        <x:v>湖之利耶尼亚</x:v>
      </x:c>
      <x:c r="D62" s="73" t="str">
        <x:v>XX1063</x:v>
      </x:c>
      <x:c r="E62" s="73" t="str">
        <x:v>银书长尾猫</x:v>
      </x:c>
      <x:c r="F62" s="73" t="str">
        <x:v>稀有</x:v>
      </x:c>
      <x:c r="G62" s="73" t="str">
        <x:v>银书尾翎袍</x:v>
      </x:c>
      <x:c r="H62" s="73" t="str">
        <x:v>衣服</x:v>
      </x:c>
      <x:c r="I62" s="73" t="str">
        <x:v>男衣服（现行模板的衣服映射）</x:v>
      </x:c>
      <x:c r="J62" s="73"/>
      <x:c r="K62" s="73" t="str">
        <x:v>缺衣服来源码</x:v>
      </x:c>
      <x:c r="L62" s="74" t="str">
        <x:v>需补男衣服StdMode10的三库同码资源；女衣服码未获准合池</x:v>
      </x:c>
    </x:row>
    <x:row r="63" ht="34" customHeight="1">
      <x:c r="A63" s="72" t="str">
        <x:v>C05-M047</x:v>
      </x:c>
      <x:c r="B63" s="73" t="str">
        <x:v>C05</x:v>
      </x:c>
      <x:c r="C63" s="73" t="str">
        <x:v>湖之利耶尼亚</x:v>
      </x:c>
      <x:c r="D63" s="73" t="str">
        <x:v>XX1065</x:v>
      </x:c>
      <x:c r="E63" s="73" t="str">
        <x:v>无声禁典司</x:v>
      </x:c>
      <x:c r="F63" s="73" t="str">
        <x:v>地图BOSS</x:v>
      </x:c>
      <x:c r="G63" s="73" t="str">
        <x:v>无声禁典刃</x:v>
      </x:c>
      <x:c r="H63" s="73" t="str">
        <x:v>武器</x:v>
      </x:c>
      <x:c r="I63" s="73" t="str">
        <x:v>武器</x:v>
      </x:c>
      <x:c r="J63" s="73"/>
      <x:c r="K63" s="73" t="str">
        <x:v>缺武器来源码</x:v>
      </x:c>
      <x:c r="L63" s="74" t="str">
        <x:v>需补同部位Items/StateItem/DnItems三库同码资源</x:v>
      </x:c>
    </x:row>
    <x:row r="64" ht="34" customHeight="1">
      <x:c r="A64" s="72" t="str">
        <x:v>C05-M049</x:v>
      </x:c>
      <x:c r="B64" s="73" t="str">
        <x:v>C05</x:v>
      </x:c>
      <x:c r="C64" s="73" t="str">
        <x:v>湖之利耶尼亚</x:v>
      </x:c>
      <x:c r="D64" s="73" t="str">
        <x:v>XX377</x:v>
      </x:c>
      <x:c r="E64" s="73" t="str">
        <x:v>月影鳞侍</x:v>
      </x:c>
      <x:c r="F64" s="73" t="str">
        <x:v>普通</x:v>
      </x:c>
      <x:c r="G64" s="73" t="str">
        <x:v>月影鳞侍叉</x:v>
      </x:c>
      <x:c r="H64" s="73" t="str">
        <x:v>武器</x:v>
      </x:c>
      <x:c r="I64" s="73" t="str">
        <x:v>武器</x:v>
      </x:c>
      <x:c r="J64" s="73"/>
      <x:c r="K64" s="73" t="str">
        <x:v>缺武器来源码</x:v>
      </x:c>
      <x:c r="L64" s="74" t="str">
        <x:v>需补同部位Items/StateItem/DnItems三库同码资源</x:v>
      </x:c>
    </x:row>
    <x:row r="65" ht="34" customHeight="1">
      <x:c r="A65" s="72" t="str">
        <x:v>C05-M051</x:v>
      </x:c>
      <x:c r="B65" s="73" t="str">
        <x:v>C05</x:v>
      </x:c>
      <x:c r="C65" s="73" t="str">
        <x:v>湖之利耶尼亚</x:v>
      </x:c>
      <x:c r="D65" s="73" t="str">
        <x:v>XX378</x:v>
      </x:c>
      <x:c r="E65" s="73" t="str">
        <x:v>月华执扇女使</x:v>
      </x:c>
      <x:c r="F65" s="73" t="str">
        <x:v>普通</x:v>
      </x:c>
      <x:c r="G65" s="73" t="str">
        <x:v>月华流扇笠</x:v>
      </x:c>
      <x:c r="H65" s="73" t="str">
        <x:v>斗笠</x:v>
      </x:c>
      <x:c r="I65" s="73" t="str">
        <x:v>面巾（位置13，对应斗笠）</x:v>
      </x:c>
      <x:c r="J65" s="73"/>
      <x:c r="K65" s="73" t="str">
        <x:v>缺斗笠来源码</x:v>
      </x:c>
      <x:c r="L65" s="74" t="str">
        <x:v>需补StdMode16/位置13的三库同码资源</x:v>
      </x:c>
    </x:row>
    <x:row r="66" ht="34" customHeight="1">
      <x:c r="A66" s="72" t="str">
        <x:v>C05-M060</x:v>
      </x:c>
      <x:c r="B66" s="73" t="str">
        <x:v>C05</x:v>
      </x:c>
      <x:c r="C66" s="73" t="str">
        <x:v>湖之利耶尼亚</x:v>
      </x:c>
      <x:c r="D66" s="73" t="str">
        <x:v>XX379</x:v>
      </x:c>
      <x:c r="E66" s="73" t="str">
        <x:v>影宫深潮王女</x:v>
      </x:c>
      <x:c r="F66" s="73" t="str">
        <x:v>地图BOSS</x:v>
      </x:c>
      <x:c r="G66" s="73" t="str">
        <x:v>深潮王女权杖</x:v>
      </x:c>
      <x:c r="H66" s="73" t="str">
        <x:v>武器</x:v>
      </x:c>
      <x:c r="I66" s="73" t="str">
        <x:v>武器</x:v>
      </x:c>
      <x:c r="J66" s="73"/>
      <x:c r="K66" s="73" t="str">
        <x:v>缺武器来源码</x:v>
      </x:c>
      <x:c r="L66" s="74" t="str">
        <x:v>需补同部位Items/StateItem/DnItems三库同码资源</x:v>
      </x:c>
    </x:row>
    <x:row r="67" ht="34" customHeight="1">
      <x:c r="A67" s="72" t="str">
        <x:v>C05-M062</x:v>
      </x:c>
      <x:c r="B67" s="73" t="str">
        <x:v>C05</x:v>
      </x:c>
      <x:c r="C67" s="73" t="str">
        <x:v>湖之利耶尼亚</x:v>
      </x:c>
      <x:c r="D67" s="73" t="str">
        <x:v>XX927</x:v>
      </x:c>
      <x:c r="E67" s="73" t="str">
        <x:v>卡利亚断誓侍</x:v>
      </x:c>
      <x:c r="F67" s="73" t="str">
        <x:v>普通</x:v>
      </x:c>
      <x:c r="G67" s="73" t="str">
        <x:v>断誓侍银剑</x:v>
      </x:c>
      <x:c r="H67" s="73" t="str">
        <x:v>武器</x:v>
      </x:c>
      <x:c r="I67" s="73" t="str">
        <x:v>武器</x:v>
      </x:c>
      <x:c r="J67" s="73"/>
      <x:c r="K67" s="73" t="str">
        <x:v>缺武器来源码</x:v>
      </x:c>
      <x:c r="L67" s="74" t="str">
        <x:v>需补同部位Items/StateItem/DnItems三库同码资源</x:v>
      </x:c>
    </x:row>
    <x:row r="68" ht="34" customHeight="1">
      <x:c r="A68" s="72" t="str">
        <x:v>C05-M065</x:v>
      </x:c>
      <x:c r="B68" s="73" t="str">
        <x:v>C05</x:v>
      </x:c>
      <x:c r="C68" s="73" t="str">
        <x:v>湖之利耶尼亚</x:v>
      </x:c>
      <x:c r="D68" s="73" t="str">
        <x:v>XX923</x:v>
      </x:c>
      <x:c r="E68" s="73" t="str">
        <x:v>月蚀殿噬辉蛾</x:v>
      </x:c>
      <x:c r="F68" s="73" t="str">
        <x:v>普通</x:v>
      </x:c>
      <x:c r="G68" s="73" t="str">
        <x:v>噬辉蛾蚀月笠</x:v>
      </x:c>
      <x:c r="H68" s="73" t="str">
        <x:v>斗笠</x:v>
      </x:c>
      <x:c r="I68" s="73" t="str">
        <x:v>面巾（位置13，对应斗笠）</x:v>
      </x:c>
      <x:c r="J68" s="73"/>
      <x:c r="K68" s="73" t="str">
        <x:v>缺斗笠来源码</x:v>
      </x:c>
      <x:c r="L68" s="74" t="str">
        <x:v>需补StdMode16/位置13的三库同码资源</x:v>
      </x:c>
    </x:row>
    <x:row r="69" ht="34" customHeight="1">
      <x:c r="A69" s="72" t="str">
        <x:v>C05-M072</x:v>
      </x:c>
      <x:c r="B69" s="73" t="str">
        <x:v>C05</x:v>
      </x:c>
      <x:c r="C69" s="73" t="str">
        <x:v>湖之利耶尼亚</x:v>
      </x:c>
      <x:c r="D69" s="73" t="str">
        <x:v>XX924</x:v>
      </x:c>
      <x:c r="E69" s="73" t="str">
        <x:v>卡利亚圣所摄政灵</x:v>
      </x:c>
      <x:c r="F69" s="73" t="str">
        <x:v>地图BOSS</x:v>
      </x:c>
      <x:c r="G69" s="73" t="str">
        <x:v>摄政灵辉杖</x:v>
      </x:c>
      <x:c r="H69" s="73" t="str">
        <x:v>武器</x:v>
      </x:c>
      <x:c r="I69" s="73" t="str">
        <x:v>武器</x:v>
      </x:c>
      <x:c r="J69" s="73"/>
      <x:c r="K69" s="73" t="str">
        <x:v>缺武器来源码</x:v>
      </x:c>
      <x:c r="L69" s="74" t="str">
        <x:v>需补同部位Items/StateItem/DnItems三库同码资源</x:v>
      </x:c>
    </x:row>
    <x:row r="70" ht="34" customHeight="1">
      <x:c r="A70" s="72" t="str">
        <x:v>C06-M001</x:v>
      </x:c>
      <x:c r="B70" s="73" t="str">
        <x:v>C06</x:v>
      </x:c>
      <x:c r="C70" s="73" t="str">
        <x:v>盖利德</x:v>
      </x:c>
      <x:c r="D70" s="73" t="str">
        <x:v>XX304</x:v>
      </x:c>
      <x:c r="E70" s="73" t="str">
        <x:v>熔原灰背兽</x:v>
      </x:c>
      <x:c r="F70" s="73" t="str">
        <x:v>普通</x:v>
      </x:c>
      <x:c r="G70" s="73" t="str">
        <x:v>灰背灼牙</x:v>
      </x:c>
      <x:c r="H70" s="73" t="str">
        <x:v>武器</x:v>
      </x:c>
      <x:c r="I70" s="73" t="str">
        <x:v>武器</x:v>
      </x:c>
      <x:c r="J70" s="73"/>
      <x:c r="K70" s="73" t="str">
        <x:v>缺武器来源码</x:v>
      </x:c>
      <x:c r="L70" s="74" t="str">
        <x:v>需补同部位Items/StateItem/DnItems三库同码资源</x:v>
      </x:c>
    </x:row>
    <x:row r="71" ht="34" customHeight="1">
      <x:c r="A71" s="72" t="str">
        <x:v>C06-M003</x:v>
      </x:c>
      <x:c r="B71" s="73" t="str">
        <x:v>C06</x:v>
      </x:c>
      <x:c r="C71" s="73" t="str">
        <x:v>盖利德</x:v>
      </x:c>
      <x:c r="D71" s="73" t="str">
        <x:v>XX306</x:v>
      </x:c>
      <x:c r="E71" s="73" t="str">
        <x:v>岩河爬鳞者</x:v>
      </x:c>
      <x:c r="F71" s="73" t="str">
        <x:v>普通</x:v>
      </x:c>
      <x:c r="G71" s="73" t="str">
        <x:v>岩河鳞衣</x:v>
      </x:c>
      <x:c r="H71" s="73" t="str">
        <x:v>衣服</x:v>
      </x:c>
      <x:c r="I71" s="73" t="str">
        <x:v>男衣服（现行模板的衣服映射）</x:v>
      </x:c>
      <x:c r="J71" s="73"/>
      <x:c r="K71" s="73" t="str">
        <x:v>缺衣服来源码</x:v>
      </x:c>
      <x:c r="L71" s="74" t="str">
        <x:v>需补男衣服StdMode10的三库同码资源；女衣服码未获准合池</x:v>
      </x:c>
    </x:row>
    <x:row r="72" ht="34" customHeight="1">
      <x:c r="A72" s="72" t="str">
        <x:v>C06-M011</x:v>
      </x:c>
      <x:c r="B72" s="73" t="str">
        <x:v>C06</x:v>
      </x:c>
      <x:c r="C72" s="73" t="str">
        <x:v>盖利德</x:v>
      </x:c>
      <x:c r="D72" s="73" t="str">
        <x:v>XX307</x:v>
      </x:c>
      <x:c r="E72" s="73" t="str">
        <x:v>火蚀巨像·巴洛</x:v>
      </x:c>
      <x:c r="F72" s="73" t="str">
        <x:v>地图BOSS</x:v>
      </x:c>
      <x:c r="G72" s="73" t="str">
        <x:v>巴洛熔拳</x:v>
      </x:c>
      <x:c r="H72" s="73" t="str">
        <x:v>武器</x:v>
      </x:c>
      <x:c r="I72" s="73" t="str">
        <x:v>武器</x:v>
      </x:c>
      <x:c r="J72" s="73"/>
      <x:c r="K72" s="73" t="str">
        <x:v>缺武器来源码</x:v>
      </x:c>
      <x:c r="L72" s="74" t="str">
        <x:v>需补同部位Items/StateItem/DnItems三库同码资源</x:v>
      </x:c>
    </x:row>
    <x:row r="73" ht="34" customHeight="1">
      <x:c r="A73" s="72" t="str">
        <x:v>C06-M012</x:v>
      </x:c>
      <x:c r="B73" s="73" t="str">
        <x:v>C06</x:v>
      </x:c>
      <x:c r="C73" s="73" t="str">
        <x:v>盖利德</x:v>
      </x:c>
      <x:c r="D73" s="73" t="str">
        <x:v>XX308</x:v>
      </x:c>
      <x:c r="E73" s="73" t="str">
        <x:v>猩红熔母·瑟芮</x:v>
      </x:c>
      <x:c r="F73" s="73" t="str">
        <x:v>地图BOSS</x:v>
      </x:c>
      <x:c r="G73" s="73" t="str">
        <x:v>瑟芮血衣</x:v>
      </x:c>
      <x:c r="H73" s="73" t="str">
        <x:v>衣服</x:v>
      </x:c>
      <x:c r="I73" s="73" t="str">
        <x:v>男衣服（现行模板的衣服映射）</x:v>
      </x:c>
      <x:c r="J73" s="73"/>
      <x:c r="K73" s="73" t="str">
        <x:v>缺衣服来源码</x:v>
      </x:c>
      <x:c r="L73" s="74" t="str">
        <x:v>需补男衣服StdMode10的三库同码资源；女衣服码未获准合池</x:v>
      </x:c>
    </x:row>
    <x:row r="74" ht="34" customHeight="1">
      <x:c r="A74" s="72" t="str">
        <x:v>C06-M014</x:v>
      </x:c>
      <x:c r="B74" s="73" t="str">
        <x:v>C06</x:v>
      </x:c>
      <x:c r="C74" s="73" t="str">
        <x:v>盖利德</x:v>
      </x:c>
      <x:c r="D74" s="73" t="str">
        <x:v>XX358</x:v>
      </x:c>
      <x:c r="E74" s="73" t="str">
        <x:v>灼腐行刑兵</x:v>
      </x:c>
      <x:c r="F74" s="73" t="str">
        <x:v>普通</x:v>
      </x:c>
      <x:c r="G74" s="73" t="str">
        <x:v>灼刑断刃</x:v>
      </x:c>
      <x:c r="H74" s="73" t="str">
        <x:v>武器</x:v>
      </x:c>
      <x:c r="I74" s="73" t="str">
        <x:v>武器</x:v>
      </x:c>
      <x:c r="J74" s="73"/>
      <x:c r="K74" s="73" t="str">
        <x:v>缺武器来源码</x:v>
      </x:c>
      <x:c r="L74" s="74" t="str">
        <x:v>需补同部位Items/StateItem/DnItems三库同码资源</x:v>
      </x:c>
    </x:row>
    <x:row r="75" ht="34" customHeight="1">
      <x:c r="A75" s="72" t="str">
        <x:v>C06-M015</x:v>
      </x:c>
      <x:c r="B75" s="73" t="str">
        <x:v>C06</x:v>
      </x:c>
      <x:c r="C75" s="73" t="str">
        <x:v>盖利德</x:v>
      </x:c>
      <x:c r="D75" s="73" t="str">
        <x:v>XX359</x:v>
      </x:c>
      <x:c r="E75" s="73" t="str">
        <x:v>深渊熔壳虫</x:v>
      </x:c>
      <x:c r="F75" s="73" t="str">
        <x:v>普通</x:v>
      </x:c>
      <x:c r="G75" s="73" t="str">
        <x:v>熔壳甲衣</x:v>
      </x:c>
      <x:c r="H75" s="73" t="str">
        <x:v>衣服</x:v>
      </x:c>
      <x:c r="I75" s="73" t="str">
        <x:v>男衣服（现行模板的衣服映射）</x:v>
      </x:c>
      <x:c r="J75" s="73"/>
      <x:c r="K75" s="73" t="str">
        <x:v>缺衣服来源码</x:v>
      </x:c>
      <x:c r="L75" s="74" t="str">
        <x:v>需补男衣服StdMode10的三库同码资源；女衣服码未获准合池</x:v>
      </x:c>
    </x:row>
    <x:row r="76" ht="34" customHeight="1">
      <x:c r="A76" s="72" t="str">
        <x:v>C06-M017</x:v>
      </x:c>
      <x:c r="B76" s="73" t="str">
        <x:v>C06</x:v>
      </x:c>
      <x:c r="C76" s="73" t="str">
        <x:v>盖利德</x:v>
      </x:c>
      <x:c r="D76" s="73" t="str">
        <x:v>XX361</x:v>
      </x:c>
      <x:c r="E76" s="73" t="str">
        <x:v>熔心烙印僧</x:v>
      </x:c>
      <x:c r="F76" s="73" t="str">
        <x:v>普通</x:v>
      </x:c>
      <x:c r="G76" s="73" t="str">
        <x:v>烙印斗笠</x:v>
      </x:c>
      <x:c r="H76" s="73" t="str">
        <x:v>斗笠</x:v>
      </x:c>
      <x:c r="I76" s="73" t="str">
        <x:v>面巾（位置13，对应斗笠）</x:v>
      </x:c>
      <x:c r="J76" s="73"/>
      <x:c r="K76" s="73" t="str">
        <x:v>缺斗笠来源码</x:v>
      </x:c>
      <x:c r="L76" s="74" t="str">
        <x:v>需补StdMode16/位置13的三库同码资源</x:v>
      </x:c>
    </x:row>
    <x:row r="77" ht="34" customHeight="1">
      <x:c r="A77" s="72" t="str">
        <x:v>C06-M019</x:v>
      </x:c>
      <x:c r="B77" s="73" t="str">
        <x:v>C06</x:v>
      </x:c>
      <x:c r="C77" s="73" t="str">
        <x:v>盖利德</x:v>
      </x:c>
      <x:c r="D77" s="73" t="str">
        <x:v>XX357</x:v>
      </x:c>
      <x:c r="E77" s="73" t="str">
        <x:v>瘴焰缝尸匠</x:v>
      </x:c>
      <x:c r="F77" s="73" t="str">
        <x:v>稀有</x:v>
      </x:c>
      <x:c r="G77" s="73" t="str">
        <x:v>缝尸骨针</x:v>
      </x:c>
      <x:c r="H77" s="73" t="str">
        <x:v>武器</x:v>
      </x:c>
      <x:c r="I77" s="73" t="str">
        <x:v>武器</x:v>
      </x:c>
      <x:c r="J77" s="73"/>
      <x:c r="K77" s="73" t="str">
        <x:v>缺武器来源码</x:v>
      </x:c>
      <x:c r="L77" s="74" t="str">
        <x:v>需补同部位Items/StateItem/DnItems三库同码资源</x:v>
      </x:c>
    </x:row>
    <x:row r="78" ht="34" customHeight="1">
      <x:c r="A78" s="72" t="str">
        <x:v>C06-M024</x:v>
      </x:c>
      <x:c r="B78" s="73" t="str">
        <x:v>C06</x:v>
      </x:c>
      <x:c r="C78" s="73" t="str">
        <x:v>盖利德</x:v>
      </x:c>
      <x:c r="D78" s="73" t="str">
        <x:v>XX361</x:v>
      </x:c>
      <x:c r="E78" s="73" t="str">
        <x:v>熔心狱主·塞维拉</x:v>
      </x:c>
      <x:c r="F78" s="73" t="str">
        <x:v>地图BOSS</x:v>
      </x:c>
      <x:c r="G78" s="73" t="str">
        <x:v>塞维拉狱衣</x:v>
      </x:c>
      <x:c r="H78" s="73" t="str">
        <x:v>衣服</x:v>
      </x:c>
      <x:c r="I78" s="73" t="str">
        <x:v>男衣服（现行模板的衣服映射）</x:v>
      </x:c>
      <x:c r="J78" s="73"/>
      <x:c r="K78" s="73" t="str">
        <x:v>缺衣服来源码</x:v>
      </x:c>
      <x:c r="L78" s="74" t="str">
        <x:v>需补男衣服StdMode10的三库同码资源；女衣服码未获准合池</x:v>
      </x:c>
    </x:row>
    <x:row r="79" ht="34" customHeight="1">
      <x:c r="A79" s="72" t="str">
        <x:v>C06-M028</x:v>
      </x:c>
      <x:c r="B79" s="73" t="str">
        <x:v>C06</x:v>
      </x:c>
      <x:c r="C79" s="73" t="str">
        <x:v>盖利德</x:v>
      </x:c>
      <x:c r="D79" s="73" t="str">
        <x:v>XX482</x:v>
      </x:c>
      <x:c r="E79" s="73" t="str">
        <x:v>龙巢护卵兽</x:v>
      </x:c>
      <x:c r="F79" s="73" t="str">
        <x:v>普通</x:v>
      </x:c>
      <x:c r="G79" s="73" t="str">
        <x:v>护卵鳞衣</x:v>
      </x:c>
      <x:c r="H79" s="73" t="str">
        <x:v>衣服</x:v>
      </x:c>
      <x:c r="I79" s="73" t="str">
        <x:v>男衣服（现行模板的衣服映射）</x:v>
      </x:c>
      <x:c r="J79" s="73"/>
      <x:c r="K79" s="73" t="str">
        <x:v>缺衣服来源码</x:v>
      </x:c>
      <x:c r="L79" s="74" t="str">
        <x:v>需补男衣服StdMode10的三库同码资源；女衣服码未获准合池</x:v>
      </x:c>
    </x:row>
    <x:row r="80" ht="34" customHeight="1">
      <x:c r="A80" s="72" t="str">
        <x:v>C06-M029</x:v>
      </x:c>
      <x:c r="B80" s="73" t="str">
        <x:v>C06</x:v>
      </x:c>
      <x:c r="C80" s="73" t="str">
        <x:v>盖利德</x:v>
      </x:c>
      <x:c r="D80" s="73" t="str">
        <x:v>XX481</x:v>
      </x:c>
      <x:c r="E80" s="73" t="str">
        <x:v>神殿执矛僧</x:v>
      </x:c>
      <x:c r="F80" s="73" t="str">
        <x:v>普通</x:v>
      </x:c>
      <x:c r="G80" s="73" t="str">
        <x:v>神殿焰矛</x:v>
      </x:c>
      <x:c r="H80" s="73" t="str">
        <x:v>武器</x:v>
      </x:c>
      <x:c r="I80" s="73" t="str">
        <x:v>武器</x:v>
      </x:c>
      <x:c r="J80" s="73"/>
      <x:c r="K80" s="73" t="str">
        <x:v>缺武器来源码</x:v>
      </x:c>
      <x:c r="L80" s="74" t="str">
        <x:v>需补同部位Items/StateItem/DnItems三库同码资源</x:v>
      </x:c>
    </x:row>
    <x:row r="81" ht="34" customHeight="1">
      <x:c r="A81" s="72" t="str">
        <x:v>C06-M035</x:v>
      </x:c>
      <x:c r="B81" s="73" t="str">
        <x:v>C06</x:v>
      </x:c>
      <x:c r="C81" s="73" t="str">
        <x:v>盖利德</x:v>
      </x:c>
      <x:c r="D81" s="73" t="str">
        <x:v>XX482</x:v>
      </x:c>
      <x:c r="E81" s="73" t="str">
        <x:v>焚翼古龙·阿格纳</x:v>
      </x:c>
      <x:c r="F81" s="73" t="str">
        <x:v>地图BOSS</x:v>
      </x:c>
      <x:c r="G81" s="73" t="str">
        <x:v>阿格纳龙牙</x:v>
      </x:c>
      <x:c r="H81" s="73" t="str">
        <x:v>武器</x:v>
      </x:c>
      <x:c r="I81" s="73" t="str">
        <x:v>武器</x:v>
      </x:c>
      <x:c r="J81" s="73"/>
      <x:c r="K81" s="73" t="str">
        <x:v>缺武器来源码</x:v>
      </x:c>
      <x:c r="L81" s="74" t="str">
        <x:v>需补同部位Items/StateItem/DnItems三库同码资源</x:v>
      </x:c>
    </x:row>
    <x:row r="82" ht="34" customHeight="1">
      <x:c r="A82" s="72" t="str">
        <x:v>C06-M036</x:v>
      </x:c>
      <x:c r="B82" s="73" t="str">
        <x:v>C06</x:v>
      </x:c>
      <x:c r="C82" s="73" t="str">
        <x:v>盖利德</x:v>
      </x:c>
      <x:c r="D82" s="73" t="str">
        <x:v>XX481</x:v>
      </x:c>
      <x:c r="E82" s="73" t="str">
        <x:v>红狮圣兽·雷奥尼斯</x:v>
      </x:c>
      <x:c r="F82" s="73" t="str">
        <x:v>地图BOSS</x:v>
      </x:c>
      <x:c r="G82" s="73" t="str">
        <x:v>雷奥尼斯狮铠</x:v>
      </x:c>
      <x:c r="H82" s="73" t="str">
        <x:v>衣服</x:v>
      </x:c>
      <x:c r="I82" s="73" t="str">
        <x:v>男衣服（现行模板的衣服映射）</x:v>
      </x:c>
      <x:c r="J82" s="73"/>
      <x:c r="K82" s="73" t="str">
        <x:v>缺衣服来源码</x:v>
      </x:c>
      <x:c r="L82" s="74" t="str">
        <x:v>需补男衣服StdMode10的三库同码资源；女衣服码未获准合池</x:v>
      </x:c>
    </x:row>
    <x:row r="83" ht="34" customHeight="1">
      <x:c r="A83" s="72" t="str">
        <x:v>C07-M002</x:v>
      </x:c>
      <x:c r="B83" s="73" t="str">
        <x:v>C07</x:v>
      </x:c>
      <x:c r="C83" s="73" t="str">
        <x:v>化圣雪原</x:v>
      </x:c>
      <x:c r="D83" s="73" t="str">
        <x:v>XX148</x:v>
      </x:c>
      <x:c r="E83" s="73" t="str">
        <x:v>霜风放逐兵</x:v>
      </x:c>
      <x:c r="F83" s="73" t="str">
        <x:v>普通</x:v>
      </x:c>
      <x:c r="G83" s="73" t="str">
        <x:v>放逐雪刃</x:v>
      </x:c>
      <x:c r="H83" s="73" t="str">
        <x:v>武器</x:v>
      </x:c>
      <x:c r="I83" s="73" t="str">
        <x:v>武器</x:v>
      </x:c>
      <x:c r="J83" s="73"/>
      <x:c r="K83" s="73" t="str">
        <x:v>缺武器来源码</x:v>
      </x:c>
      <x:c r="L83" s="74" t="str">
        <x:v>需补同部位Items/StateItem/DnItems三库同码资源</x:v>
      </x:c>
    </x:row>
    <x:row r="84" ht="34" customHeight="1">
      <x:c r="A84" s="72" t="str">
        <x:v>C07-M007</x:v>
      </x:c>
      <x:c r="B84" s="73" t="str">
        <x:v>C07</x:v>
      </x:c>
      <x:c r="C84" s="73" t="str">
        <x:v>化圣雪原</x:v>
      </x:c>
      <x:c r="D84" s="73" t="str">
        <x:v>XX149</x:v>
      </x:c>
      <x:c r="E84" s="73" t="str">
        <x:v>白霜重甲卫</x:v>
      </x:c>
      <x:c r="F84" s="73" t="str">
        <x:v>稀有</x:v>
      </x:c>
      <x:c r="G84" s="73" t="str">
        <x:v>白霜重衣</x:v>
      </x:c>
      <x:c r="H84" s="73" t="str">
        <x:v>衣服</x:v>
      </x:c>
      <x:c r="I84" s="73" t="str">
        <x:v>男衣服（现行模板的衣服映射）</x:v>
      </x:c>
      <x:c r="J84" s="73"/>
      <x:c r="K84" s="73" t="str">
        <x:v>缺衣服来源码</x:v>
      </x:c>
      <x:c r="L84" s="74" t="str">
        <x:v>需补男衣服StdMode10的三库同码资源；女衣服码未获准合池</x:v>
      </x:c>
    </x:row>
    <x:row r="85" ht="34" customHeight="1">
      <x:c r="A85" s="72" t="str">
        <x:v>C07-M011</x:v>
      </x:c>
      <x:c r="B85" s="73" t="str">
        <x:v>C07</x:v>
      </x:c>
      <x:c r="C85" s="73" t="str">
        <x:v>化圣雪原</x:v>
      </x:c>
      <x:c r="D85" s="73" t="str">
        <x:v>XX147</x:v>
      </x:c>
      <x:c r="E85" s="73" t="str">
        <x:v>雪墓巨人·赫洛</x:v>
      </x:c>
      <x:c r="F85" s="73" t="str">
        <x:v>地图BOSS</x:v>
      </x:c>
      <x:c r="G85" s="73" t="str">
        <x:v>赫洛冻拳</x:v>
      </x:c>
      <x:c r="H85" s="73" t="str">
        <x:v>武器</x:v>
      </x:c>
      <x:c r="I85" s="73" t="str">
        <x:v>武器</x:v>
      </x:c>
      <x:c r="J85" s="73"/>
      <x:c r="K85" s="73" t="str">
        <x:v>缺武器来源码</x:v>
      </x:c>
      <x:c r="L85" s="74" t="str">
        <x:v>需补同部位Items/StateItem/DnItems三库同码资源</x:v>
      </x:c>
    </x:row>
    <x:row r="86" ht="34" customHeight="1">
      <x:c r="A86" s="72" t="str">
        <x:v>C07-M014</x:v>
      </x:c>
      <x:c r="B86" s="73" t="str">
        <x:v>C07</x:v>
      </x:c>
      <x:c r="C86" s="73" t="str">
        <x:v>化圣雪原</x:v>
      </x:c>
      <x:c r="D86" s="73" t="str">
        <x:v>XX906</x:v>
      </x:c>
      <x:c r="E86" s="73" t="str">
        <x:v>冰封流亡者</x:v>
      </x:c>
      <x:c r="F86" s="73" t="str">
        <x:v>普通</x:v>
      </x:c>
      <x:c r="G86" s="73" t="str">
        <x:v>流亡冰刀</x:v>
      </x:c>
      <x:c r="H86" s="73" t="str">
        <x:v>武器</x:v>
      </x:c>
      <x:c r="I86" s="73" t="str">
        <x:v>武器</x:v>
      </x:c>
      <x:c r="J86" s="73"/>
      <x:c r="K86" s="73" t="str">
        <x:v>缺武器来源码</x:v>
      </x:c>
      <x:c r="L86" s="74" t="str">
        <x:v>需补同部位Items/StateItem/DnItems三库同码资源</x:v>
      </x:c>
    </x:row>
    <x:row r="87" ht="34" customHeight="1">
      <x:c r="A87" s="72" t="str">
        <x:v>C07-M015</x:v>
      </x:c>
      <x:c r="B87" s="73" t="str">
        <x:v>C07</x:v>
      </x:c>
      <x:c r="C87" s="73" t="str">
        <x:v>化圣雪原</x:v>
      </x:c>
      <x:c r="D87" s="73" t="str">
        <x:v>XX907</x:v>
      </x:c>
      <x:c r="E87" s="73" t="str">
        <x:v>极昼逐光兽</x:v>
      </x:c>
      <x:c r="F87" s="73" t="str">
        <x:v>普通</x:v>
      </x:c>
      <x:c r="G87" s="73" t="str">
        <x:v>逐光雪衣</x:v>
      </x:c>
      <x:c r="H87" s="73" t="str">
        <x:v>衣服</x:v>
      </x:c>
      <x:c r="I87" s="73" t="str">
        <x:v>男衣服（现行模板的衣服映射）</x:v>
      </x:c>
      <x:c r="J87" s="73"/>
      <x:c r="K87" s="73" t="str">
        <x:v>缺衣服来源码</x:v>
      </x:c>
      <x:c r="L87" s="74" t="str">
        <x:v>需补男衣服StdMode10的三库同码资源；女衣服码未获准合池</x:v>
      </x:c>
    </x:row>
    <x:row r="88" ht="34" customHeight="1">
      <x:c r="A88" s="72" t="str">
        <x:v>C07-M016</x:v>
      </x:c>
      <x:c r="B88" s="73" t="str">
        <x:v>C07</x:v>
      </x:c>
      <x:c r="C88" s="73" t="str">
        <x:v>化圣雪原</x:v>
      </x:c>
      <x:c r="D88" s="73" t="str">
        <x:v>XX905</x:v>
      </x:c>
      <x:c r="E88" s="73" t="str">
        <x:v>圣域守碑人</x:v>
      </x:c>
      <x:c r="F88" s="73" t="str">
        <x:v>普通</x:v>
      </x:c>
      <x:c r="G88" s="73" t="str">
        <x:v>守碑斗笠</x:v>
      </x:c>
      <x:c r="H88" s="73" t="str">
        <x:v>斗笠</x:v>
      </x:c>
      <x:c r="I88" s="73" t="str">
        <x:v>面巾（位置13，对应斗笠）</x:v>
      </x:c>
      <x:c r="J88" s="73"/>
      <x:c r="K88" s="73" t="str">
        <x:v>缺斗笠来源码</x:v>
      </x:c>
      <x:c r="L88" s="74" t="str">
        <x:v>需补StdMode16/位置13的三库同码资源</x:v>
      </x:c>
    </x:row>
    <x:row r="89" ht="34" customHeight="1">
      <x:c r="A89" s="72" t="str">
        <x:v>C07-M024</x:v>
      </x:c>
      <x:c r="B89" s="73" t="str">
        <x:v>C07</x:v>
      </x:c>
      <x:c r="C89" s="73" t="str">
        <x:v>化圣雪原</x:v>
      </x:c>
      <x:c r="D89" s="73" t="str">
        <x:v>XX905</x:v>
      </x:c>
      <x:c r="E89" s="73" t="str">
        <x:v>永冻圣兽·乌尔</x:v>
      </x:c>
      <x:c r="F89" s="73" t="str">
        <x:v>地图BOSS</x:v>
      </x:c>
      <x:c r="G89" s="73" t="str">
        <x:v>乌尔寒铠</x:v>
      </x:c>
      <x:c r="H89" s="73" t="str">
        <x:v>衣服</x:v>
      </x:c>
      <x:c r="I89" s="73" t="str">
        <x:v>男衣服（现行模板的衣服映射）</x:v>
      </x:c>
      <x:c r="J89" s="73"/>
      <x:c r="K89" s="73" t="str">
        <x:v>缺衣服来源码</x:v>
      </x:c>
      <x:c r="L89" s="74" t="str">
        <x:v>需补男衣服StdMode10的三库同码资源；女衣服码未获准合池</x:v>
      </x:c>
    </x:row>
    <x:row r="90" ht="34" customHeight="1">
      <x:c r="A90" s="72" t="str">
        <x:v>C07-M025</x:v>
      </x:c>
      <x:c r="B90" s="73" t="str">
        <x:v>C07</x:v>
      </x:c>
      <x:c r="C90" s="73" t="str">
        <x:v>化圣雪原</x:v>
      </x:c>
      <x:c r="D90" s="73" t="str">
        <x:v>XX912</x:v>
      </x:c>
      <x:c r="E90" s="73" t="str">
        <x:v>禁域冻喉兽</x:v>
      </x:c>
      <x:c r="F90" s="73" t="str">
        <x:v>普通</x:v>
      </x:c>
      <x:c r="G90" s="73" t="str">
        <x:v>冻喉牙刃</x:v>
      </x:c>
      <x:c r="H90" s="73" t="str">
        <x:v>武器</x:v>
      </x:c>
      <x:c r="I90" s="73" t="str">
        <x:v>武器</x:v>
      </x:c>
      <x:c r="J90" s="73"/>
      <x:c r="K90" s="73" t="str">
        <x:v>缺武器来源码</x:v>
      </x:c>
      <x:c r="L90" s="74" t="str">
        <x:v>需补同部位Items/StateItem/DnItems三库同码资源</x:v>
      </x:c>
    </x:row>
    <x:row r="91" ht="34" customHeight="1">
      <x:c r="A91" s="72" t="str">
        <x:v>C07-M026</x:v>
      </x:c>
      <x:c r="B91" s="73" t="str">
        <x:v>C07</x:v>
      </x:c>
      <x:c r="C91" s="73" t="str">
        <x:v>化圣雪原</x:v>
      </x:c>
      <x:c r="D91" s="73" t="str">
        <x:v>XX908</x:v>
      </x:c>
      <x:c r="E91" s="73" t="str">
        <x:v>雾界迷途兵</x:v>
      </x:c>
      <x:c r="F91" s="73" t="str">
        <x:v>普通</x:v>
      </x:c>
      <x:c r="G91" s="73" t="str">
        <x:v>雾界斗笠</x:v>
      </x:c>
      <x:c r="H91" s="73" t="str">
        <x:v>斗笠</x:v>
      </x:c>
      <x:c r="I91" s="73" t="str">
        <x:v>面巾（位置13，对应斗笠）</x:v>
      </x:c>
      <x:c r="J91" s="73"/>
      <x:c r="K91" s="73" t="str">
        <x:v>缺斗笠来源码</x:v>
      </x:c>
      <x:c r="L91" s="74" t="str">
        <x:v>需补StdMode16/位置13的三库同码资源</x:v>
      </x:c>
    </x:row>
    <x:row r="92" ht="34" customHeight="1">
      <x:c r="A92" s="72" t="str">
        <x:v>C07-M029</x:v>
      </x:c>
      <x:c r="B92" s="73" t="str">
        <x:v>C07</x:v>
      </x:c>
      <x:c r="C92" s="73" t="str">
        <x:v>化圣雪原</x:v>
      </x:c>
      <x:c r="D92" s="73" t="str">
        <x:v>XX911</x:v>
      </x:c>
      <x:c r="E92" s="73" t="str">
        <x:v>圣所白甲卫</x:v>
      </x:c>
      <x:c r="F92" s="73" t="str">
        <x:v>普通</x:v>
      </x:c>
      <x:c r="G92" s="73" t="str">
        <x:v>白甲战衣</x:v>
      </x:c>
      <x:c r="H92" s="73" t="str">
        <x:v>衣服</x:v>
      </x:c>
      <x:c r="I92" s="73" t="str">
        <x:v>男衣服（现行模板的衣服映射）</x:v>
      </x:c>
      <x:c r="J92" s="73"/>
      <x:c r="K92" s="73" t="str">
        <x:v>缺衣服来源码</x:v>
      </x:c>
      <x:c r="L92" s="74" t="str">
        <x:v>需补男衣服StdMode10的三库同码资源；女衣服码未获准合池</x:v>
      </x:c>
    </x:row>
    <x:row r="93" ht="34" customHeight="1">
      <x:c r="A93" s="72" t="str">
        <x:v>C07-M035</x:v>
      </x:c>
      <x:c r="B93" s="73" t="str">
        <x:v>C07</x:v>
      </x:c>
      <x:c r="C93" s="73" t="str">
        <x:v>化圣雪原</x:v>
      </x:c>
      <x:c r="D93" s="73" t="str">
        <x:v>XX910</x:v>
      </x:c>
      <x:c r="E93" s="73" t="str">
        <x:v>冰祭审判者·诺薇</x:v>
      </x:c>
      <x:c r="F93" s="73" t="str">
        <x:v>地图BOSS</x:v>
      </x:c>
      <x:c r="G93" s="73" t="str">
        <x:v>诺薇霜镰</x:v>
      </x:c>
      <x:c r="H93" s="73" t="str">
        <x:v>武器</x:v>
      </x:c>
      <x:c r="I93" s="73" t="str">
        <x:v>武器</x:v>
      </x:c>
      <x:c r="J93" s="73"/>
      <x:c r="K93" s="73" t="str">
        <x:v>缺武器来源码</x:v>
      </x:c>
      <x:c r="L93" s="74" t="str">
        <x:v>需补同部位Items/StateItem/DnItems三库同码资源</x:v>
      </x:c>
    </x:row>
    <x:row r="94" ht="34" customHeight="1">
      <x:c r="A94" s="72" t="str">
        <x:v>C08-M002</x:v>
      </x:c>
      <x:c r="B94" s="73" t="str">
        <x:v>C08</x:v>
      </x:c>
      <x:c r="C94" s="73" t="str">
        <x:v>巨人山顶</x:v>
      </x:c>
      <x:c r="D94" s="73" t="str">
        <x:v>XX900</x:v>
      </x:c>
      <x:c r="E94" s="73" t="str">
        <x:v>背冰拾荒者</x:v>
      </x:c>
      <x:c r="F94" s="73" t="str">
        <x:v>普通</x:v>
      </x:c>
      <x:c r="G94" s="73" t="str">
        <x:v>拾荒冰镐</x:v>
      </x:c>
      <x:c r="H94" s="73" t="str">
        <x:v>武器</x:v>
      </x:c>
      <x:c r="I94" s="73" t="str">
        <x:v>武器</x:v>
      </x:c>
      <x:c r="J94" s="73"/>
      <x:c r="K94" s="73" t="str">
        <x:v>缺武器来源码</x:v>
      </x:c>
      <x:c r="L94" s="74" t="str">
        <x:v>需补同部位Items/StateItem/DnItems三库同码资源</x:v>
      </x:c>
    </x:row>
    <x:row r="95" ht="34" customHeight="1">
      <x:c r="A95" s="72" t="str">
        <x:v>C08-M003</x:v>
      </x:c>
      <x:c r="B95" s="73" t="str">
        <x:v>C08</x:v>
      </x:c>
      <x:c r="C95" s="73" t="str">
        <x:v>巨人山顶</x:v>
      </x:c>
      <x:c r="D95" s="73" t="str">
        <x:v>XX901</x:v>
      </x:c>
      <x:c r="E95" s="73" t="str">
        <x:v>冰脊雪猿</x:v>
      </x:c>
      <x:c r="F95" s="73" t="str">
        <x:v>普通</x:v>
      </x:c>
      <x:c r="G95" s="73" t="str">
        <x:v>雪猿鬃甲</x:v>
      </x:c>
      <x:c r="H95" s="73" t="str">
        <x:v>衣服</x:v>
      </x:c>
      <x:c r="I95" s="73" t="str">
        <x:v>男衣服（现行模板的衣服映射）</x:v>
      </x:c>
      <x:c r="J95" s="73"/>
      <x:c r="K95" s="73" t="str">
        <x:v>缺衣服来源码</x:v>
      </x:c>
      <x:c r="L95" s="74" t="str">
        <x:v>需补男衣服StdMode10的三库同码资源；女衣服码未获准合池</x:v>
      </x:c>
    </x:row>
    <x:row r="96" ht="34" customHeight="1">
      <x:c r="A96" s="72" t="str">
        <x:v>C08-M011</x:v>
      </x:c>
      <x:c r="B96" s="73" t="str">
        <x:v>C08</x:v>
      </x:c>
      <x:c r="C96" s="73" t="str">
        <x:v>巨人山顶</x:v>
      </x:c>
      <x:c r="D96" s="73" t="str">
        <x:v>XX902</x:v>
      </x:c>
      <x:c r="E96" s="73" t="str">
        <x:v>雪崩号角·赫罗姆</x:v>
      </x:c>
      <x:c r="F96" s="73" t="str">
        <x:v>地图BOSS</x:v>
      </x:c>
      <x:c r="G96" s="73" t="str">
        <x:v>赫罗姆凿峰槌</x:v>
      </x:c>
      <x:c r="H96" s="73" t="str">
        <x:v>武器</x:v>
      </x:c>
      <x:c r="I96" s="73" t="str">
        <x:v>武器</x:v>
      </x:c>
      <x:c r="J96" s="73"/>
      <x:c r="K96" s="73" t="str">
        <x:v>缺武器来源码</x:v>
      </x:c>
      <x:c r="L96" s="74" t="str">
        <x:v>需补同部位Items/StateItem/DnItems三库同码资源</x:v>
      </x:c>
    </x:row>
    <x:row r="97" ht="34" customHeight="1">
      <x:c r="A97" s="72" t="str">
        <x:v>C08-M012</x:v>
      </x:c>
      <x:c r="B97" s="73" t="str">
        <x:v>C08</x:v>
      </x:c>
      <x:c r="C97" s="73" t="str">
        <x:v>巨人山顶</x:v>
      </x:c>
      <x:c r="D97" s="73" t="str">
        <x:v>XX903</x:v>
      </x:c>
      <x:c r="E97" s="73" t="str">
        <x:v>山巅霜祀·伊芙迦</x:v>
      </x:c>
      <x:c r="F97" s="73" t="str">
        <x:v>地图BOSS</x:v>
      </x:c>
      <x:c r="G97" s="73" t="str">
        <x:v>伊芙迦霜祀衣</x:v>
      </x:c>
      <x:c r="H97" s="73" t="str">
        <x:v>衣服</x:v>
      </x:c>
      <x:c r="I97" s="73" t="str">
        <x:v>男衣服（现行模板的衣服映射）</x:v>
      </x:c>
      <x:c r="J97" s="73"/>
      <x:c r="K97" s="73" t="str">
        <x:v>缺衣服来源码</x:v>
      </x:c>
      <x:c r="L97" s="74" t="str">
        <x:v>需补男衣服StdMode10的三库同码资源；女衣服码未获准合池</x:v>
      </x:c>
    </x:row>
    <x:row r="98" ht="34" customHeight="1">
      <x:c r="A98" s="72" t="str">
        <x:v>C08-M015</x:v>
      </x:c>
      <x:c r="B98" s="73" t="str">
        <x:v>C08</x:v>
      </x:c>
      <x:c r="C98" s="73" t="str">
        <x:v>巨人山顶</x:v>
      </x:c>
      <x:c r="D98" s="73" t="str">
        <x:v>XX318</x:v>
      </x:c>
      <x:c r="E98" s="73" t="str">
        <x:v>碎冰桥弩卒</x:v>
      </x:c>
      <x:c r="F98" s="73" t="str">
        <x:v>普通</x:v>
      </x:c>
      <x:c r="G98" s="73" t="str">
        <x:v>桥卒破冰弩</x:v>
      </x:c>
      <x:c r="H98" s="73" t="str">
        <x:v>武器</x:v>
      </x:c>
      <x:c r="I98" s="73" t="str">
        <x:v>武器</x:v>
      </x:c>
      <x:c r="J98" s="73"/>
      <x:c r="K98" s="73" t="str">
        <x:v>缺武器来源码</x:v>
      </x:c>
      <x:c r="L98" s="74" t="str">
        <x:v>需补同部位Items/StateItem/DnItems三库同码资源</x:v>
      </x:c>
    </x:row>
    <x:row r="99" ht="34" customHeight="1">
      <x:c r="A99" s="72" t="str">
        <x:v>C08-M019</x:v>
      </x:c>
      <x:c r="B99" s="73" t="str">
        <x:v>C08</x:v>
      </x:c>
      <x:c r="C99" s="73" t="str">
        <x:v>巨人山顶</x:v>
      </x:c>
      <x:c r="D99" s="73" t="str">
        <x:v>XX320</x:v>
      </x:c>
      <x:c r="E99" s="73" t="str">
        <x:v>断冰猎旗手</x:v>
      </x:c>
      <x:c r="F99" s="73" t="str">
        <x:v>稀有</x:v>
      </x:c>
      <x:c r="G99" s="73" t="str">
        <x:v>猎旗霜披</x:v>
      </x:c>
      <x:c r="H99" s="73" t="str">
        <x:v>衣服</x:v>
      </x:c>
      <x:c r="I99" s="73" t="str">
        <x:v>男衣服（现行模板的衣服映射）</x:v>
      </x:c>
      <x:c r="J99" s="73"/>
      <x:c r="K99" s="73" t="str">
        <x:v>缺衣服来源码</x:v>
      </x:c>
      <x:c r="L99" s="74" t="str">
        <x:v>需补男衣服StdMode10的三库同码资源；女衣服码未获准合池</x:v>
      </x:c>
    </x:row>
    <x:row r="100" ht="34" customHeight="1">
      <x:c r="A100" s="72" t="str">
        <x:v>C08-M023</x:v>
      </x:c>
      <x:c r="B100" s="73" t="str">
        <x:v>C08</x:v>
      </x:c>
      <x:c r="C100" s="73" t="str">
        <x:v>巨人山顶</x:v>
      </x:c>
      <x:c r="D100" s="73" t="str">
        <x:v>XX319</x:v>
      </x:c>
      <x:c r="E100" s="73" t="str">
        <x:v>裂谷锻峰侯·德鲁伽</x:v>
      </x:c>
      <x:c r="F100" s="73" t="str">
        <x:v>地图BOSS</x:v>
      </x:c>
      <x:c r="G100" s="73" t="str">
        <x:v>德鲁伽裂峰斧</x:v>
      </x:c>
      <x:c r="H100" s="73" t="str">
        <x:v>武器</x:v>
      </x:c>
      <x:c r="I100" s="73" t="str">
        <x:v>武器</x:v>
      </x:c>
      <x:c r="J100" s="73"/>
      <x:c r="K100" s="73" t="str">
        <x:v>缺武器来源码</x:v>
      </x:c>
      <x:c r="L100" s="74" t="str">
        <x:v>需补同部位Items/StateItem/DnItems三库同码资源</x:v>
      </x:c>
    </x:row>
    <x:row r="101" ht="34" customHeight="1">
      <x:c r="A101" s="72" t="str">
        <x:v>C08-M024</x:v>
      </x:c>
      <x:c r="B101" s="73" t="str">
        <x:v>C08</x:v>
      </x:c>
      <x:c r="C101" s="73" t="str">
        <x:v>巨人山顶</x:v>
      </x:c>
      <x:c r="D101" s="73" t="str">
        <x:v>XX316</x:v>
      </x:c>
      <x:c r="E101" s="73" t="str">
        <x:v>断峰献祭者·维瑟娅</x:v>
      </x:c>
      <x:c r="F101" s="73" t="str">
        <x:v>地图BOSS</x:v>
      </x:c>
      <x:c r="G101" s="73" t="str">
        <x:v>维瑟娅霜祭衣</x:v>
      </x:c>
      <x:c r="H101" s="73" t="str">
        <x:v>衣服</x:v>
      </x:c>
      <x:c r="I101" s="73" t="str">
        <x:v>男衣服（现行模板的衣服映射）</x:v>
      </x:c>
      <x:c r="J101" s="73"/>
      <x:c r="K101" s="73" t="str">
        <x:v>缺衣服来源码</x:v>
      </x:c>
      <x:c r="L101" s="74" t="str">
        <x:v>需补男衣服StdMode10的三库同码资源；女衣服码未获准合池</x:v>
      </x:c>
    </x:row>
    <x:row r="102" ht="34" customHeight="1">
      <x:c r="A102" s="72" t="str">
        <x:v>C08-M026</x:v>
      </x:c>
      <x:c r="B102" s="73" t="str">
        <x:v>C08</x:v>
      </x:c>
      <x:c r="C102" s="73" t="str">
        <x:v>巨人山顶</x:v>
      </x:c>
      <x:c r="D102" s="73" t="str">
        <x:v>XX325</x:v>
      </x:c>
      <x:c r="E102" s="73" t="str">
        <x:v>御阶铲雪仆</x:v>
      </x:c>
      <x:c r="F102" s="73" t="str">
        <x:v>普通</x:v>
      </x:c>
      <x:c r="G102" s="73" t="str">
        <x:v>御阶雪铲</x:v>
      </x:c>
      <x:c r="H102" s="73" t="str">
        <x:v>武器</x:v>
      </x:c>
      <x:c r="I102" s="73" t="str">
        <x:v>武器</x:v>
      </x:c>
      <x:c r="J102" s="73"/>
      <x:c r="K102" s="73" t="str">
        <x:v>缺武器来源码</x:v>
      </x:c>
      <x:c r="L102" s="74" t="str">
        <x:v>需补同部位Items/StateItem/DnItems三库同码资源</x:v>
      </x:c>
    </x:row>
    <x:row r="103" ht="34" customHeight="1">
      <x:c r="A103" s="72" t="str">
        <x:v>C08-M028</x:v>
      </x:c>
      <x:c r="B103" s="73" t="str">
        <x:v>C08</x:v>
      </x:c>
      <x:c r="C103" s="73" t="str">
        <x:v>巨人山顶</x:v>
      </x:c>
      <x:c r="D103" s="73" t="str">
        <x:v>XX322</x:v>
      </x:c>
      <x:c r="E103" s="73" t="str">
        <x:v>内廷霜纱侍女</x:v>
      </x:c>
      <x:c r="F103" s="73" t="str">
        <x:v>普通</x:v>
      </x:c>
      <x:c r="G103" s="73" t="str">
        <x:v>霜纱侍衣</x:v>
      </x:c>
      <x:c r="H103" s="73" t="str">
        <x:v>衣服</x:v>
      </x:c>
      <x:c r="I103" s="73" t="str">
        <x:v>男衣服（现行模板的衣服映射）</x:v>
      </x:c>
      <x:c r="J103" s="73"/>
      <x:c r="K103" s="73" t="str">
        <x:v>缺衣服来源码</x:v>
      </x:c>
      <x:c r="L103" s="74" t="str">
        <x:v>需补男衣服StdMode10的三库同码资源；女衣服码未获准合池</x:v>
      </x:c>
    </x:row>
    <x:row r="104" ht="34" customHeight="1">
      <x:c r="A104" s="72" t="str">
        <x:v>C08-M035</x:v>
      </x:c>
      <x:c r="B104" s="73" t="str">
        <x:v>C08</x:v>
      </x:c>
      <x:c r="C104" s="73" t="str">
        <x:v>巨人山顶</x:v>
      </x:c>
      <x:c r="D104" s="73" t="str">
        <x:v>XX323</x:v>
      </x:c>
      <x:c r="E104" s="73" t="str">
        <x:v>议殿白髯公·沃尔格</x:v>
      </x:c>
      <x:c r="F104" s="73" t="str">
        <x:v>地图BOSS</x:v>
      </x:c>
      <x:c r="G104" s="73" t="str">
        <x:v>沃尔格廷议杖</x:v>
      </x:c>
      <x:c r="H104" s="73" t="str">
        <x:v>武器</x:v>
      </x:c>
      <x:c r="I104" s="73" t="str">
        <x:v>武器</x:v>
      </x:c>
      <x:c r="J104" s="73"/>
      <x:c r="K104" s="73" t="str">
        <x:v>缺武器来源码</x:v>
      </x:c>
      <x:c r="L104" s="74" t="str">
        <x:v>需补同部位Items/StateItem/DnItems三库同码资源</x:v>
      </x:c>
    </x:row>
    <x:row r="105" ht="34" customHeight="1">
      <x:c r="A105" s="72" t="str">
        <x:v>C08-M036</x:v>
      </x:c>
      <x:c r="B105" s="73" t="str">
        <x:v>C08</x:v>
      </x:c>
      <x:c r="C105" s="73" t="str">
        <x:v>巨人山顶</x:v>
      </x:c>
      <x:c r="D105" s="73" t="str">
        <x:v>XX326</x:v>
      </x:c>
      <x:c r="E105" s="73" t="str">
        <x:v>冰宫摄政后·伊瑟芮</x:v>
      </x:c>
      <x:c r="F105" s="73" t="str">
        <x:v>地图BOSS</x:v>
      </x:c>
      <x:c r="G105" s="73" t="str">
        <x:v>伊瑟芮冰绡袍</x:v>
      </x:c>
      <x:c r="H105" s="73" t="str">
        <x:v>衣服</x:v>
      </x:c>
      <x:c r="I105" s="73" t="str">
        <x:v>男衣服（现行模板的衣服映射）</x:v>
      </x:c>
      <x:c r="J105" s="73"/>
      <x:c r="K105" s="73" t="str">
        <x:v>缺衣服来源码</x:v>
      </x:c>
      <x:c r="L105" s="74" t="str">
        <x:v>需补男衣服StdMode10的三库同码资源；女衣服码未获准合池</x:v>
      </x:c>
    </x:row>
    <x:row r="106" ht="34" customHeight="1">
      <x:c r="A106" s="72" t="str">
        <x:v>C08-M037</x:v>
      </x:c>
      <x:c r="B106" s="73" t="str">
        <x:v>C08</x:v>
      </x:c>
      <x:c r="C106" s="73" t="str">
        <x:v>巨人山顶</x:v>
      </x:c>
      <x:c r="D106" s="73" t="str">
        <x:v>XX899</x:v>
      </x:c>
      <x:c r="E106" s="73" t="str">
        <x:v>王庭铸霜卫</x:v>
      </x:c>
      <x:c r="F106" s="73" t="str">
        <x:v>普通</x:v>
      </x:c>
      <x:c r="G106" s="73" t="str">
        <x:v>铸霜庭卫戟</x:v>
      </x:c>
      <x:c r="H106" s="73" t="str">
        <x:v>武器</x:v>
      </x:c>
      <x:c r="I106" s="73" t="str">
        <x:v>武器</x:v>
      </x:c>
      <x:c r="J106" s="73"/>
      <x:c r="K106" s="73" t="str">
        <x:v>缺武器来源码</x:v>
      </x:c>
      <x:c r="L106" s="74" t="str">
        <x:v>需补同部位Items/StateItem/DnItems三库同码资源</x:v>
      </x:c>
    </x:row>
    <x:row r="107" ht="34" customHeight="1">
      <x:c r="A107" s="72" t="str">
        <x:v>C08-M039</x:v>
      </x:c>
      <x:c r="B107" s="73" t="str">
        <x:v>C08</x:v>
      </x:c>
      <x:c r="C107" s="73" t="str">
        <x:v>巨人山顶</x:v>
      </x:c>
      <x:c r="D107" s="73" t="str">
        <x:v>XX898</x:v>
      </x:c>
      <x:c r="E107" s="73" t="str">
        <x:v>内宫白毡侍</x:v>
      </x:c>
      <x:c r="F107" s="73" t="str">
        <x:v>普通</x:v>
      </x:c>
      <x:c r="G107" s="73" t="str">
        <x:v>白毡宫衣</x:v>
      </x:c>
      <x:c r="H107" s="73" t="str">
        <x:v>衣服</x:v>
      </x:c>
      <x:c r="I107" s="73" t="str">
        <x:v>男衣服（现行模板的衣服映射）</x:v>
      </x:c>
      <x:c r="J107" s="73"/>
      <x:c r="K107" s="73" t="str">
        <x:v>缺衣服来源码</x:v>
      </x:c>
      <x:c r="L107" s="74" t="str">
        <x:v>需补男衣服StdMode10的三库同码资源；女衣服码未获准合池</x:v>
      </x:c>
    </x:row>
    <x:row r="108" ht="34" customHeight="1">
      <x:c r="A108" s="72" t="str">
        <x:v>C08-M047</x:v>
      </x:c>
      <x:c r="B108" s="73" t="str">
        <x:v>C08</x:v>
      </x:c>
      <x:c r="C108" s="73" t="str">
        <x:v>巨人山顶</x:v>
      </x:c>
      <x:c r="D108" s="73" t="str">
        <x:v>XX898</x:v>
      </x:c>
      <x:c r="E108" s="73" t="str">
        <x:v>内宫冬眠王·格罗尔</x:v>
      </x:c>
      <x:c r="F108" s="73" t="str">
        <x:v>地图BOSS</x:v>
      </x:c>
      <x:c r="G108" s="73" t="str">
        <x:v>格罗尔冬眠刃</x:v>
      </x:c>
      <x:c r="H108" s="73" t="str">
        <x:v>武器</x:v>
      </x:c>
      <x:c r="I108" s="73" t="str">
        <x:v>武器</x:v>
      </x:c>
      <x:c r="J108" s="73"/>
      <x:c r="K108" s="73" t="str">
        <x:v>缺武器来源码</x:v>
      </x:c>
      <x:c r="L108" s="74" t="str">
        <x:v>需补同部位Items/StateItem/DnItems三库同码资源</x:v>
      </x:c>
    </x:row>
    <x:row r="109" ht="34" customHeight="1">
      <x:c r="A109" s="72" t="str">
        <x:v>C08-M048</x:v>
      </x:c>
      <x:c r="B109" s="73" t="str">
        <x:v>C08</x:v>
      </x:c>
      <x:c r="C109" s="73" t="str">
        <x:v>巨人山顶</x:v>
      </x:c>
      <x:c r="D109" s="73" t="str">
        <x:v>XX897</x:v>
      </x:c>
      <x:c r="E109" s="73" t="str">
        <x:v>巨人女王·赫芮迦</x:v>
      </x:c>
      <x:c r="F109" s="73" t="str">
        <x:v>地图BOSS</x:v>
      </x:c>
      <x:c r="G109" s="73" t="str">
        <x:v>赫芮迦穹霜王衣</x:v>
      </x:c>
      <x:c r="H109" s="73" t="str">
        <x:v>衣服</x:v>
      </x:c>
      <x:c r="I109" s="73" t="str">
        <x:v>男衣服（现行模板的衣服映射）</x:v>
      </x:c>
      <x:c r="J109" s="73"/>
      <x:c r="K109" s="73" t="str">
        <x:v>缺衣服来源码</x:v>
      </x:c>
      <x:c r="L109" s="74" t="str">
        <x:v>需补男衣服StdMode10的三库同码资源；女衣服码未获准合池</x:v>
      </x:c>
    </x:row>
    <x:row r="110" ht="34" customHeight="1">
      <x:c r="A110" s="72" t="str">
        <x:v>C09-M002</x:v>
      </x:c>
      <x:c r="B110" s="73" t="str">
        <x:v>C09</x:v>
      </x:c>
      <x:c r="C110" s="73" t="str">
        <x:v>亚坛高原</x:v>
      </x:c>
      <x:c r="D110" s="73" t="str">
        <x:v>XX720</x:v>
      </x:c>
      <x:c r="E110" s="73" t="str">
        <x:v>拾穗旅盗</x:v>
      </x:c>
      <x:c r="F110" s="73" t="str">
        <x:v>普通</x:v>
      </x:c>
      <x:c r="G110" s="73" t="str">
        <x:v>拾穗弯刃</x:v>
      </x:c>
      <x:c r="H110" s="73" t="str">
        <x:v>武器</x:v>
      </x:c>
      <x:c r="I110" s="73" t="str">
        <x:v>武器</x:v>
      </x:c>
      <x:c r="J110" s="73"/>
      <x:c r="K110" s="73" t="str">
        <x:v>缺武器来源码</x:v>
      </x:c>
      <x:c r="L110" s="74" t="str">
        <x:v>需补同部位Items/StateItem/DnItems三库同码资源</x:v>
      </x:c>
    </x:row>
    <x:row r="111" ht="34" customHeight="1">
      <x:c r="A111" s="72" t="str">
        <x:v>C09-M005</x:v>
      </x:c>
      <x:c r="B111" s="73" t="str">
        <x:v>C09</x:v>
      </x:c>
      <x:c r="C111" s="73" t="str">
        <x:v>亚坛高原</x:v>
      </x:c>
      <x:c r="D111" s="73" t="str">
        <x:v>XX718</x:v>
      </x:c>
      <x:c r="E111" s="73" t="str">
        <x:v>陵园鎏苔像</x:v>
      </x:c>
      <x:c r="F111" s="73" t="str">
        <x:v>普通</x:v>
      </x:c>
      <x:c r="G111" s="73" t="str">
        <x:v>鎏苔守陵衣</x:v>
      </x:c>
      <x:c r="H111" s="73" t="str">
        <x:v>衣服</x:v>
      </x:c>
      <x:c r="I111" s="73" t="str">
        <x:v>男衣服（现行模板的衣服映射）</x:v>
      </x:c>
      <x:c r="J111" s="73"/>
      <x:c r="K111" s="73" t="str">
        <x:v>缺衣服来源码</x:v>
      </x:c>
      <x:c r="L111" s="74" t="str">
        <x:v>需补男衣服StdMode10的三库同码资源；女衣服码未获准合池</x:v>
      </x:c>
    </x:row>
    <x:row r="112" ht="34" customHeight="1">
      <x:c r="A112" s="72" t="str">
        <x:v>C09-M011</x:v>
      </x:c>
      <x:c r="B112" s="73" t="str">
        <x:v>C09</x:v>
      </x:c>
      <x:c r="C112" s="73" t="str">
        <x:v>亚坛高原</x:v>
      </x:c>
      <x:c r="D112" s="73" t="str">
        <x:v>XX718</x:v>
      </x:c>
      <x:c r="E112" s="73" t="str">
        <x:v>陵园摘冠侯·阿维恩</x:v>
      </x:c>
      <x:c r="F112" s="73" t="str">
        <x:v>地图BOSS</x:v>
      </x:c>
      <x:c r="G112" s="73" t="str">
        <x:v>阿维恩摘冠剑</x:v>
      </x:c>
      <x:c r="H112" s="73" t="str">
        <x:v>武器</x:v>
      </x:c>
      <x:c r="I112" s="73" t="str">
        <x:v>武器</x:v>
      </x:c>
      <x:c r="J112" s="73"/>
      <x:c r="K112" s="73" t="str">
        <x:v>缺武器来源码</x:v>
      </x:c>
      <x:c r="L112" s="74" t="str">
        <x:v>需补同部位Items/StateItem/DnItems三库同码资源</x:v>
      </x:c>
    </x:row>
    <x:row r="113" ht="34" customHeight="1">
      <x:c r="A113" s="72" t="str">
        <x:v>C09-M012</x:v>
      </x:c>
      <x:c r="B113" s="73" t="str">
        <x:v>C09</x:v>
      </x:c>
      <x:c r="C113" s="73" t="str">
        <x:v>亚坛高原</x:v>
      </x:c>
      <x:c r="D113" s="73" t="str">
        <x:v>XX721</x:v>
      </x:c>
      <x:c r="E113" s="73" t="str">
        <x:v>金叶祭王·萨鲁恩</x:v>
      </x:c>
      <x:c r="F113" s="73" t="str">
        <x:v>地图BOSS</x:v>
      </x:c>
      <x:c r="G113" s="73" t="str">
        <x:v>萨鲁恩金叶祭衣</x:v>
      </x:c>
      <x:c r="H113" s="73" t="str">
        <x:v>衣服</x:v>
      </x:c>
      <x:c r="I113" s="73" t="str">
        <x:v>男衣服（现行模板的衣服映射）</x:v>
      </x:c>
      <x:c r="J113" s="73"/>
      <x:c r="K113" s="73" t="str">
        <x:v>缺衣服来源码</x:v>
      </x:c>
      <x:c r="L113" s="74" t="str">
        <x:v>需补男衣服StdMode10的三库同码资源；女衣服码未获准合池</x:v>
      </x:c>
    </x:row>
    <x:row r="114" ht="34" customHeight="1">
      <x:c r="A114" s="72" t="str">
        <x:v>C09-M015</x:v>
      </x:c>
      <x:c r="B114" s="73" t="str">
        <x:v>C09</x:v>
      </x:c>
      <x:c r="C114" s="73" t="str">
        <x:v>亚坛高原</x:v>
      </x:c>
      <x:c r="D114" s="73" t="str">
        <x:v>XX821</x:v>
      </x:c>
      <x:c r="E114" s="73" t="str">
        <x:v>黄金矿道凿工</x:v>
      </x:c>
      <x:c r="F114" s="73" t="str">
        <x:v>普通</x:v>
      </x:c>
      <x:c r="G114" s="73" t="str">
        <x:v>凿工尖喙镐</x:v>
      </x:c>
      <x:c r="H114" s="73" t="str">
        <x:v>武器</x:v>
      </x:c>
      <x:c r="I114" s="73" t="str">
        <x:v>武器</x:v>
      </x:c>
      <x:c r="J114" s="73"/>
      <x:c r="K114" s="73" t="str">
        <x:v>缺武器来源码</x:v>
      </x:c>
      <x:c r="L114" s="74" t="str">
        <x:v>需补同部位Items/StateItem/DnItems三库同码资源</x:v>
      </x:c>
    </x:row>
    <x:row r="115" ht="34" customHeight="1">
      <x:c r="A115" s="72" t="str">
        <x:v>C09-M016</x:v>
      </x:c>
      <x:c r="B115" s="73" t="str">
        <x:v>C09</x:v>
      </x:c>
      <x:c r="C115" s="73" t="str">
        <x:v>亚坛高原</x:v>
      </x:c>
      <x:c r="D115" s="73" t="str">
        <x:v>XX822</x:v>
      </x:c>
      <x:c r="E115" s="73" t="str">
        <x:v>旧营提灯尸</x:v>
      </x:c>
      <x:c r="F115" s="73" t="str">
        <x:v>普通</x:v>
      </x:c>
      <x:c r="G115" s="73" t="str">
        <x:v>提灯旧毡笠</x:v>
      </x:c>
      <x:c r="H115" s="73" t="str">
        <x:v>斗笠</x:v>
      </x:c>
      <x:c r="I115" s="73" t="str">
        <x:v>面巾（位置13，对应斗笠）</x:v>
      </x:c>
      <x:c r="J115" s="73"/>
      <x:c r="K115" s="73" t="str">
        <x:v>缺斗笠来源码</x:v>
      </x:c>
      <x:c r="L115" s="74" t="str">
        <x:v>需补StdMode16/位置13的三库同码资源</x:v>
      </x:c>
    </x:row>
    <x:row r="116" ht="34" customHeight="1">
      <x:c r="A116" s="72" t="str">
        <x:v>C09-M017</x:v>
      </x:c>
      <x:c r="B116" s="73" t="str">
        <x:v>C09</x:v>
      </x:c>
      <x:c r="C116" s="73" t="str">
        <x:v>亚坛高原</x:v>
      </x:c>
      <x:c r="D116" s="73" t="str">
        <x:v>XX823</x:v>
      </x:c>
      <x:c r="E116" s="73" t="str">
        <x:v>深井负筐奴</x:v>
      </x:c>
      <x:c r="F116" s="73" t="str">
        <x:v>普通</x:v>
      </x:c>
      <x:c r="G116" s="73" t="str">
        <x:v>负筐矿奴衣</x:v>
      </x:c>
      <x:c r="H116" s="73" t="str">
        <x:v>衣服</x:v>
      </x:c>
      <x:c r="I116" s="73" t="str">
        <x:v>男衣服（现行模板的衣服映射）</x:v>
      </x:c>
      <x:c r="J116" s="73"/>
      <x:c r="K116" s="73" t="str">
        <x:v>缺衣服来源码</x:v>
      </x:c>
      <x:c r="L116" s="74" t="str">
        <x:v>需补男衣服StdMode10的三库同码资源；女衣服码未获准合池</x:v>
      </x:c>
    </x:row>
    <x:row r="117" ht="34" customHeight="1">
      <x:c r="A117" s="72" t="str">
        <x:v>C09-M023</x:v>
      </x:c>
      <x:c r="B117" s="73" t="str">
        <x:v>C09</x:v>
      </x:c>
      <x:c r="C117" s="73" t="str">
        <x:v>亚坛高原</x:v>
      </x:c>
      <x:c r="D117" s="73" t="str">
        <x:v>XX823</x:v>
      </x:c>
      <x:c r="E117" s="73" t="str">
        <x:v>深井断索王·布洛克</x:v>
      </x:c>
      <x:c r="F117" s="73" t="str">
        <x:v>地图BOSS</x:v>
      </x:c>
      <x:c r="G117" s="73" t="str">
        <x:v>布洛克断索锤</x:v>
      </x:c>
      <x:c r="H117" s="73" t="str">
        <x:v>武器</x:v>
      </x:c>
      <x:c r="I117" s="73" t="str">
        <x:v>武器</x:v>
      </x:c>
      <x:c r="J117" s="73"/>
      <x:c r="K117" s="73" t="str">
        <x:v>缺武器来源码</x:v>
      </x:c>
      <x:c r="L117" s="74" t="str">
        <x:v>需补同部位Items/StateItem/DnItems三库同码资源</x:v>
      </x:c>
    </x:row>
    <x:row r="118" ht="34" customHeight="1">
      <x:c r="A118" s="72" t="str">
        <x:v>C09-M024</x:v>
      </x:c>
      <x:c r="B118" s="73" t="str">
        <x:v>C09</x:v>
      </x:c>
      <x:c r="C118" s="73" t="str">
        <x:v>亚坛高原</x:v>
      </x:c>
      <x:c r="D118" s="73" t="str">
        <x:v>XX824</x:v>
      </x:c>
      <x:c r="E118" s="73" t="str">
        <x:v>矿心鎏金母·奥莉莎</x:v>
      </x:c>
      <x:c r="F118" s="73" t="str">
        <x:v>地图BOSS</x:v>
      </x:c>
      <x:c r="G118" s="73" t="str">
        <x:v>奥莉莎矿心甲</x:v>
      </x:c>
      <x:c r="H118" s="73" t="str">
        <x:v>衣服</x:v>
      </x:c>
      <x:c r="I118" s="73" t="str">
        <x:v>男衣服（现行模板的衣服映射）</x:v>
      </x:c>
      <x:c r="J118" s="73"/>
      <x:c r="K118" s="73" t="str">
        <x:v>缺衣服来源码</x:v>
      </x:c>
      <x:c r="L118" s="74" t="str">
        <x:v>需补男衣服StdMode10的三库同码资源；女衣服码未获准合池</x:v>
      </x:c>
    </x:row>
    <x:row r="119" ht="34" customHeight="1">
      <x:c r="A119" s="72" t="str">
        <x:v>C09-M025</x:v>
      </x:c>
      <x:c r="B119" s="73" t="str">
        <x:v>C09</x:v>
      </x:c>
      <x:c r="C119" s="73" t="str">
        <x:v>亚坛高原</x:v>
      </x:c>
      <x:c r="D119" s="73" t="str">
        <x:v>XX837</x:v>
      </x:c>
      <x:c r="E119" s="73" t="str">
        <x:v>陵园剪枝傀</x:v>
      </x:c>
      <x:c r="F119" s="73" t="str">
        <x:v>普通</x:v>
      </x:c>
      <x:c r="G119" s="73" t="str">
        <x:v>剪枝傀镰</x:v>
      </x:c>
      <x:c r="H119" s="73" t="str">
        <x:v>武器</x:v>
      </x:c>
      <x:c r="I119" s="73" t="str">
        <x:v>武器</x:v>
      </x:c>
      <x:c r="J119" s="73"/>
      <x:c r="K119" s="73" t="str">
        <x:v>缺武器来源码</x:v>
      </x:c>
      <x:c r="L119" s="74" t="str">
        <x:v>需补同部位Items/StateItem/DnItems三库同码资源</x:v>
      </x:c>
    </x:row>
    <x:row r="120" ht="34" customHeight="1">
      <x:c r="A120" s="72" t="str">
        <x:v>C09-M029</x:v>
      </x:c>
      <x:c r="B120" s="73" t="str">
        <x:v>C09</x:v>
      </x:c>
      <x:c r="C120" s="73" t="str">
        <x:v>亚坛高原</x:v>
      </x:c>
      <x:c r="D120" s="73" t="str">
        <x:v>XX838</x:v>
      </x:c>
      <x:c r="E120" s="73" t="str">
        <x:v>墓室敛袍侍</x:v>
      </x:c>
      <x:c r="F120" s="73" t="str">
        <x:v>普通</x:v>
      </x:c>
      <x:c r="G120" s="73" t="str">
        <x:v>敛袍侍素衣</x:v>
      </x:c>
      <x:c r="H120" s="73" t="str">
        <x:v>衣服</x:v>
      </x:c>
      <x:c r="I120" s="73" t="str">
        <x:v>男衣服（现行模板的衣服映射）</x:v>
      </x:c>
      <x:c r="J120" s="73"/>
      <x:c r="K120" s="73" t="str">
        <x:v>缺衣服来源码</x:v>
      </x:c>
      <x:c r="L120" s="74" t="str">
        <x:v>需补男衣服StdMode10的三库同码资源；女衣服码未获准合池</x:v>
      </x:c>
    </x:row>
    <x:row r="121" ht="34" customHeight="1">
      <x:c r="A121" s="72" t="str">
        <x:v>C09-M035</x:v>
      </x:c>
      <x:c r="B121" s="73" t="str">
        <x:v>C09</x:v>
      </x:c>
      <x:c r="C121" s="73" t="str">
        <x:v>亚坛高原</x:v>
      </x:c>
      <x:c r="D121" s="73" t="str">
        <x:v>XX836</x:v>
      </x:c>
      <x:c r="E121" s="73" t="str">
        <x:v>封棺执政·梅尔顿</x:v>
      </x:c>
      <x:c r="F121" s="73" t="str">
        <x:v>地图BOSS</x:v>
      </x:c>
      <x:c r="G121" s="73" t="str">
        <x:v>梅尔顿封棺钺</x:v>
      </x:c>
      <x:c r="H121" s="73" t="str">
        <x:v>武器</x:v>
      </x:c>
      <x:c r="I121" s="73" t="str">
        <x:v>武器</x:v>
      </x:c>
      <x:c r="J121" s="73"/>
      <x:c r="K121" s="73" t="str">
        <x:v>缺武器来源码</x:v>
      </x:c>
      <x:c r="L121" s="74" t="str">
        <x:v>需补同部位Items/StateItem/DnItems三库同码资源</x:v>
      </x:c>
    </x:row>
    <x:row r="122" ht="34" customHeight="1">
      <x:c r="A122" s="72" t="str">
        <x:v>C09-M036</x:v>
      </x:c>
      <x:c r="B122" s="73" t="str">
        <x:v>C09</x:v>
      </x:c>
      <x:c r="C122" s="73" t="str">
        <x:v>亚坛高原</x:v>
      </x:c>
      <x:c r="D122" s="73" t="str">
        <x:v>XX838</x:v>
      </x:c>
      <x:c r="E122" s="73" t="str">
        <x:v>不醒古王·奥瑞昂</x:v>
      </x:c>
      <x:c r="F122" s="73" t="str">
        <x:v>地图BOSS</x:v>
      </x:c>
      <x:c r="G122" s="73" t="str">
        <x:v>奥瑞昂不醒王衣</x:v>
      </x:c>
      <x:c r="H122" s="73" t="str">
        <x:v>衣服</x:v>
      </x:c>
      <x:c r="I122" s="73" t="str">
        <x:v>男衣服（现行模板的衣服映射）</x:v>
      </x:c>
      <x:c r="J122" s="73"/>
      <x:c r="K122" s="73" t="str">
        <x:v>缺衣服来源码</x:v>
      </x:c>
      <x:c r="L122" s="74" t="str">
        <x:v>需补男衣服StdMode10的三库同码资源；女衣服码未获准合池</x:v>
      </x:c>
    </x:row>
    <x:row r="123" ht="34" customHeight="1">
      <x:c r="A123" s="72" t="str">
        <x:v>C09-M039</x:v>
      </x:c>
      <x:c r="B123" s="73" t="str">
        <x:v>C09</x:v>
      </x:c>
      <x:c r="C123" s="73" t="str">
        <x:v>亚坛高原</x:v>
      </x:c>
      <x:c r="D123" s="73" t="str">
        <x:v>XX796</x:v>
      </x:c>
      <x:c r="E123" s="73" t="str">
        <x:v>前廊白袍唱者</x:v>
      </x:c>
      <x:c r="F123" s="73" t="str">
        <x:v>普通</x:v>
      </x:c>
      <x:c r="G123" s="73" t="str">
        <x:v>白袍唱诗衣</x:v>
      </x:c>
      <x:c r="H123" s="73" t="str">
        <x:v>衣服</x:v>
      </x:c>
      <x:c r="I123" s="73" t="str">
        <x:v>男衣服（现行模板的衣服映射）</x:v>
      </x:c>
      <x:c r="J123" s="73"/>
      <x:c r="K123" s="73" t="str">
        <x:v>缺衣服来源码</x:v>
      </x:c>
      <x:c r="L123" s="74" t="str">
        <x:v>需补男衣服StdMode10的三库同码资源；女衣服码未获准合池</x:v>
      </x:c>
    </x:row>
    <x:row r="124" ht="34" customHeight="1">
      <x:c r="A124" s="72" t="str">
        <x:v>C09-M042</x:v>
      </x:c>
      <x:c r="B124" s="73" t="str">
        <x:v>C09</x:v>
      </x:c>
      <x:c r="C124" s="73" t="str">
        <x:v>亚坛高原</x:v>
      </x:c>
      <x:c r="D124" s="73" t="str">
        <x:v>XX791</x:v>
      </x:c>
      <x:c r="E124" s="73" t="str">
        <x:v>圣坛祷弓手</x:v>
      </x:c>
      <x:c r="F124" s="73" t="str">
        <x:v>普通</x:v>
      </x:c>
      <x:c r="G124" s="73" t="str">
        <x:v>祷弓手日轮弓</x:v>
      </x:c>
      <x:c r="H124" s="73" t="str">
        <x:v>武器</x:v>
      </x:c>
      <x:c r="I124" s="73" t="str">
        <x:v>武器</x:v>
      </x:c>
      <x:c r="J124" s="73"/>
      <x:c r="K124" s="73" t="str">
        <x:v>缺武器来源码</x:v>
      </x:c>
      <x:c r="L124" s="74" t="str">
        <x:v>需补同部位Items/StateItem/DnItems三库同码资源</x:v>
      </x:c>
    </x:row>
    <x:row r="125" ht="34" customHeight="1">
      <x:c r="A125" s="72" t="str">
        <x:v>C09-M047</x:v>
      </x:c>
      <x:c r="B125" s="73" t="str">
        <x:v>C09</x:v>
      </x:c>
      <x:c r="C125" s="73" t="str">
        <x:v>亚坛高原</x:v>
      </x:c>
      <x:c r="D125" s="73" t="str">
        <x:v>XX795</x:v>
      </x:c>
      <x:c r="E125" s="73" t="str">
        <x:v>黄金枢机·赛维兰</x:v>
      </x:c>
      <x:c r="F125" s="73" t="str">
        <x:v>地图BOSS</x:v>
      </x:c>
      <x:c r="G125" s="73" t="str">
        <x:v>赛维兰裁阳杖</x:v>
      </x:c>
      <x:c r="H125" s="73" t="str">
        <x:v>武器</x:v>
      </x:c>
      <x:c r="I125" s="73" t="str">
        <x:v>武器</x:v>
      </x:c>
      <x:c r="J125" s="73"/>
      <x:c r="K125" s="73" t="str">
        <x:v>缺武器来源码</x:v>
      </x:c>
      <x:c r="L125" s="74" t="str">
        <x:v>需补同部位Items/StateItem/DnItems三库同码资源</x:v>
      </x:c>
    </x:row>
    <x:row r="126" ht="34" customHeight="1">
      <x:c r="A126" s="72" t="str">
        <x:v>C09-M048</x:v>
      </x:c>
      <x:c r="B126" s="73" t="str">
        <x:v>C09</x:v>
      </x:c>
      <x:c r="C126" s="73" t="str">
        <x:v>亚坛高原</x:v>
      </x:c>
      <x:c r="D126" s="73" t="str">
        <x:v>XX791</x:v>
      </x:c>
      <x:c r="E126" s="73" t="str">
        <x:v>高原圣母·艾德莉雅</x:v>
      </x:c>
      <x:c r="F126" s="73" t="str">
        <x:v>地图BOSS</x:v>
      </x:c>
      <x:c r="G126" s="73" t="str">
        <x:v>艾德莉雅鎏辉圣衣</x:v>
      </x:c>
      <x:c r="H126" s="73" t="str">
        <x:v>衣服</x:v>
      </x:c>
      <x:c r="I126" s="73" t="str">
        <x:v>男衣服（现行模板的衣服映射）</x:v>
      </x:c>
      <x:c r="J126" s="73"/>
      <x:c r="K126" s="73" t="str">
        <x:v>缺衣服来源码</x:v>
      </x:c>
      <x:c r="L126" s="74" t="str">
        <x:v>需补男衣服StdMode10的三库同码资源；女衣服码未获准合池</x:v>
      </x:c>
    </x:row>
    <x:row r="127" ht="34" customHeight="1">
      <x:c r="A127" s="72" t="str">
        <x:v>C09-M051</x:v>
      </x:c>
      <x:c r="B127" s="73" t="str">
        <x:v>C09</x:v>
      </x:c>
      <x:c r="C127" s="73" t="str">
        <x:v>亚坛高原</x:v>
      </x:c>
      <x:c r="D127" s="73" t="str">
        <x:v>XX691</x:v>
      </x:c>
      <x:c r="E127" s="73" t="str">
        <x:v>甬道持炬枪卒</x:v>
      </x:c>
      <x:c r="F127" s="73" t="str">
        <x:v>普通</x:v>
      </x:c>
      <x:c r="G127" s="73" t="str">
        <x:v>持炬枪卒矛</x:v>
      </x:c>
      <x:c r="H127" s="73" t="str">
        <x:v>武器</x:v>
      </x:c>
      <x:c r="I127" s="73" t="str">
        <x:v>武器</x:v>
      </x:c>
      <x:c r="J127" s="73"/>
      <x:c r="K127" s="73" t="str">
        <x:v>缺武器来源码</x:v>
      </x:c>
      <x:c r="L127" s="74" t="str">
        <x:v>需补同部位Items/StateItem/DnItems三库同码资源</x:v>
      </x:c>
    </x:row>
    <x:row r="128" ht="34" customHeight="1">
      <x:c r="A128" s="72" t="str">
        <x:v>C09-M054</x:v>
      </x:c>
      <x:c r="B128" s="73" t="str">
        <x:v>C09</x:v>
      </x:c>
      <x:c r="C128" s="73" t="str">
        <x:v>亚坛高原</x:v>
      </x:c>
      <x:c r="D128" s="73" t="str">
        <x:v>XX639</x:v>
      </x:c>
      <x:c r="E128" s="73" t="str">
        <x:v>关门锁链卫</x:v>
      </x:c>
      <x:c r="F128" s="73" t="str">
        <x:v>普通</x:v>
      </x:c>
      <x:c r="G128" s="73" t="str">
        <x:v>锁链关门甲</x:v>
      </x:c>
      <x:c r="H128" s="73" t="str">
        <x:v>衣服</x:v>
      </x:c>
      <x:c r="I128" s="73" t="str">
        <x:v>男衣服（现行模板的衣服映射）</x:v>
      </x:c>
      <x:c r="J128" s="73"/>
      <x:c r="K128" s="73" t="str">
        <x:v>缺衣服来源码</x:v>
      </x:c>
      <x:c r="L128" s="74" t="str">
        <x:v>需补男衣服StdMode10的三库同码资源；女衣服码未获准合池</x:v>
      </x:c>
    </x:row>
    <x:row r="129" ht="34" customHeight="1">
      <x:c r="A129" s="72" t="str">
        <x:v>C09-M059</x:v>
      </x:c>
      <x:c r="B129" s="73" t="str">
        <x:v>C09</x:v>
      </x:c>
      <x:c r="C129" s="73" t="str">
        <x:v>亚坛高原</x:v>
      </x:c>
      <x:c r="D129" s="73" t="str">
        <x:v>XX688</x:v>
      </x:c>
      <x:c r="E129" s="73" t="str">
        <x:v>黄金壁垒统帅·罗梵迪</x:v>
      </x:c>
      <x:c r="F129" s="73" t="str">
        <x:v>地图BOSS</x:v>
      </x:c>
      <x:c r="G129" s="73" t="str">
        <x:v>罗梵迪壁垒长戟</x:v>
      </x:c>
      <x:c r="H129" s="73" t="str">
        <x:v>武器</x:v>
      </x:c>
      <x:c r="I129" s="73" t="str">
        <x:v>武器</x:v>
      </x:c>
      <x:c r="J129" s="73"/>
      <x:c r="K129" s="73" t="str">
        <x:v>缺武器来源码</x:v>
      </x:c>
      <x:c r="L129" s="74" t="str">
        <x:v>需补同部位Items/StateItem/DnItems三库同码资源</x:v>
      </x:c>
    </x:row>
    <x:row r="130" ht="34" customHeight="1">
      <x:c r="A130" s="72" t="str">
        <x:v>C09-M060</x:v>
      </x:c>
      <x:c r="B130" s="73" t="str">
        <x:v>C09</x:v>
      </x:c>
      <x:c r="C130" s="73" t="str">
        <x:v>亚坛高原</x:v>
      </x:c>
      <x:c r="D130" s="73" t="str">
        <x:v>XX639</x:v>
      </x:c>
      <x:c r="E130" s="73" t="str">
        <x:v>王门执宪者·赫桑达</x:v>
      </x:c>
      <x:c r="F130" s="73" t="str">
        <x:v>地图BOSS</x:v>
      </x:c>
      <x:c r="G130" s="73" t="str">
        <x:v>赫桑达执宪战衣</x:v>
      </x:c>
      <x:c r="H130" s="73" t="str">
        <x:v>衣服</x:v>
      </x:c>
      <x:c r="I130" s="73" t="str">
        <x:v>男衣服（现行模板的衣服映射）</x:v>
      </x:c>
      <x:c r="J130" s="73"/>
      <x:c r="K130" s="73" t="str">
        <x:v>缺衣服来源码</x:v>
      </x:c>
      <x:c r="L130" s="74" t="str">
        <x:v>需补男衣服StdMode10的三库同码资源；女衣服码未获准合池</x:v>
      </x:c>
    </x:row>
    <x:row r="131" ht="34" customHeight="1">
      <x:c r="A131" s="72" t="str">
        <x:v>C10-M001</x:v>
      </x:c>
      <x:c r="B131" s="73" t="str">
        <x:v>C10</x:v>
      </x:c>
      <x:c r="C131" s="73" t="str">
        <x:v>王城罗德尔</x:v>
      </x:c>
      <x:c r="D131" s="73" t="str">
        <x:v>XX932</x:v>
      </x:c>
      <x:c r="E131" s="73" t="str">
        <x:v>檐沟拾烬徒</x:v>
      </x:c>
      <x:c r="F131" s="73" t="str">
        <x:v>普通</x:v>
      </x:c>
      <x:c r="G131" s="73" t="str">
        <x:v>拾烬钩刃</x:v>
      </x:c>
      <x:c r="H131" s="73" t="str">
        <x:v>武器</x:v>
      </x:c>
      <x:c r="I131" s="73" t="str">
        <x:v>武器</x:v>
      </x:c>
      <x:c r="J131" s="73"/>
      <x:c r="K131" s="73" t="str">
        <x:v>缺武器来源码</x:v>
      </x:c>
      <x:c r="L131" s="74" t="str">
        <x:v>需补同部位Items/StateItem/DnItems三库同码资源</x:v>
      </x:c>
    </x:row>
    <x:row r="132" ht="34" customHeight="1">
      <x:c r="A132" s="72" t="str">
        <x:v>C10-M005</x:v>
      </x:c>
      <x:c r="B132" s="73" t="str">
        <x:v>C10</x:v>
      </x:c>
      <x:c r="C132" s="73" t="str">
        <x:v>王城罗德尔</x:v>
      </x:c>
      <x:c r="D132" s="73" t="str">
        <x:v>XX930</x:v>
      </x:c>
      <x:c r="E132" s="73" t="str">
        <x:v>闸底淤甲工</x:v>
      </x:c>
      <x:c r="F132" s="73" t="str">
        <x:v>普通</x:v>
      </x:c>
      <x:c r="G132" s="73" t="str">
        <x:v>淤甲闸工衣</x:v>
      </x:c>
      <x:c r="H132" s="73" t="str">
        <x:v>衣服</x:v>
      </x:c>
      <x:c r="I132" s="73" t="str">
        <x:v>男衣服（现行模板的衣服映射）</x:v>
      </x:c>
      <x:c r="J132" s="73"/>
      <x:c r="K132" s="73" t="str">
        <x:v>缺衣服来源码</x:v>
      </x:c>
      <x:c r="L132" s="74" t="str">
        <x:v>需补男衣服StdMode10的三库同码资源；女衣服码未获准合池</x:v>
      </x:c>
    </x:row>
    <x:row r="133" ht="34" customHeight="1">
      <x:c r="A133" s="72" t="str">
        <x:v>C10-M012</x:v>
      </x:c>
      <x:c r="B133" s="73" t="str">
        <x:v>C10</x:v>
      </x:c>
      <x:c r="C133" s="73" t="str">
        <x:v>王城罗德尔</x:v>
      </x:c>
      <x:c r="D133" s="73" t="str">
        <x:v>XX930</x:v>
      </x:c>
      <x:c r="E133" s="73" t="str">
        <x:v>千锁闸门统领</x:v>
      </x:c>
      <x:c r="F133" s="73" t="str">
        <x:v>地图BOSS</x:v>
      </x:c>
      <x:c r="G133" s="73" t="str">
        <x:v>千锁断流铡</x:v>
      </x:c>
      <x:c r="H133" s="73" t="str">
        <x:v>武器</x:v>
      </x:c>
      <x:c r="I133" s="73" t="str">
        <x:v>武器</x:v>
      </x:c>
      <x:c r="J133" s="73"/>
      <x:c r="K133" s="73" t="str">
        <x:v>缺武器来源码</x:v>
      </x:c>
      <x:c r="L133" s="74" t="str">
        <x:v>需补同部位Items/StateItem/DnItems三库同码资源</x:v>
      </x:c>
    </x:row>
    <x:row r="134" ht="34" customHeight="1">
      <x:c r="A134" s="72" t="str">
        <x:v>C10-M013</x:v>
      </x:c>
      <x:c r="B134" s="73" t="str">
        <x:v>C10</x:v>
      </x:c>
      <x:c r="C134" s="73" t="str">
        <x:v>王城罗德尔</x:v>
      </x:c>
      <x:c r="D134" s="73" t="str">
        <x:v>XX629</x:v>
      </x:c>
      <x:c r="E134" s="73" t="str">
        <x:v>金垢潜渠鼠</x:v>
      </x:c>
      <x:c r="F134" s="73" t="str">
        <x:v>普通</x:v>
      </x:c>
      <x:c r="G134" s="73" t="str">
        <x:v>金垢噬骨爪</x:v>
      </x:c>
      <x:c r="H134" s="73" t="str">
        <x:v>武器</x:v>
      </x:c>
      <x:c r="I134" s="73" t="str">
        <x:v>武器</x:v>
      </x:c>
      <x:c r="J134" s="73"/>
      <x:c r="K134" s="73" t="str">
        <x:v>缺武器来源码</x:v>
      </x:c>
      <x:c r="L134" s="74" t="str">
        <x:v>需补同部位Items/StateItem/DnItems三库同码资源</x:v>
      </x:c>
    </x:row>
    <x:row r="135" ht="34" customHeight="1">
      <x:c r="A135" s="72" t="str">
        <x:v>C10-M014</x:v>
      </x:c>
      <x:c r="B135" s="73" t="str">
        <x:v>C10</x:v>
      </x:c>
      <x:c r="C135" s="73" t="str">
        <x:v>王城罗德尔</x:v>
      </x:c>
      <x:c r="D135" s="73" t="str">
        <x:v>XX629</x:v>
      </x:c>
      <x:c r="E135" s="73" t="str">
        <x:v>污潮捞骨役</x:v>
      </x:c>
      <x:c r="F135" s="73" t="str">
        <x:v>普通</x:v>
      </x:c>
      <x:c r="G135" s="73" t="str">
        <x:v>捞骨防污衣</x:v>
      </x:c>
      <x:c r="H135" s="73" t="str">
        <x:v>衣服</x:v>
      </x:c>
      <x:c r="I135" s="73" t="str">
        <x:v>男衣服（现行模板的衣服映射）</x:v>
      </x:c>
      <x:c r="J135" s="73"/>
      <x:c r="K135" s="73" t="str">
        <x:v>缺衣服来源码</x:v>
      </x:c>
      <x:c r="L135" s="74" t="str">
        <x:v>需补男衣服StdMode10的三库同码资源；女衣服码未获准合池</x:v>
      </x:c>
    </x:row>
    <x:row r="136" ht="34" customHeight="1">
      <x:c r="A136" s="72" t="str">
        <x:v>C10-M024</x:v>
      </x:c>
      <x:c r="B136" s="73" t="str">
        <x:v>C10</x:v>
      </x:c>
      <x:c r="C136" s="73" t="str">
        <x:v>王城罗德尔</x:v>
      </x:c>
      <x:c r="D136" s="73" t="str">
        <x:v>XX624</x:v>
      </x:c>
      <x:c r="E136" s="73" t="str">
        <x:v>鎏污大司闸</x:v>
      </x:c>
      <x:c r="F136" s="73" t="str">
        <x:v>地图BOSS</x:v>
      </x:c>
      <x:c r="G136" s="73" t="str">
        <x:v>鎏污司闸战袍</x:v>
      </x:c>
      <x:c r="H136" s="73" t="str">
        <x:v>衣服</x:v>
      </x:c>
      <x:c r="I136" s="73" t="str">
        <x:v>男衣服（现行模板的衣服映射）</x:v>
      </x:c>
      <x:c r="J136" s="73"/>
      <x:c r="K136" s="73" t="str">
        <x:v>缺衣服来源码</x:v>
      </x:c>
      <x:c r="L136" s="74" t="str">
        <x:v>需补男衣服StdMode10的三库同码资源；女衣服码未获准合池</x:v>
      </x:c>
    </x:row>
    <x:row r="137" ht="34" customHeight="1">
      <x:c r="A137" s="72" t="str">
        <x:v>C10-M028</x:v>
      </x:c>
      <x:c r="B137" s="73" t="str">
        <x:v>C10</x:v>
      </x:c>
      <x:c r="C137" s="73" t="str">
        <x:v>王城罗德尔</x:v>
      </x:c>
      <x:c r="D137" s="73" t="str">
        <x:v>XX953</x:v>
      </x:c>
      <x:c r="E137" s="73" t="str">
        <x:v>冷砧铆甲匠</x:v>
      </x:c>
      <x:c r="F137" s="73" t="str">
        <x:v>普通</x:v>
      </x:c>
      <x:c r="G137" s="73" t="str">
        <x:v>冷砧铆甲衣</x:v>
      </x:c>
      <x:c r="H137" s="73" t="str">
        <x:v>衣服</x:v>
      </x:c>
      <x:c r="I137" s="73" t="str">
        <x:v>男衣服（现行模板的衣服映射）</x:v>
      </x:c>
      <x:c r="J137" s="73"/>
      <x:c r="K137" s="73" t="str">
        <x:v>缺衣服来源码</x:v>
      </x:c>
      <x:c r="L137" s="74" t="str">
        <x:v>需补男衣服StdMode10的三库同码资源；女衣服码未获准合池</x:v>
      </x:c>
    </x:row>
    <x:row r="138" ht="34" customHeight="1">
      <x:c r="A138" s="72" t="str">
        <x:v>C10-M029</x:v>
      </x:c>
      <x:c r="B138" s="73" t="str">
        <x:v>C10</x:v>
      </x:c>
      <x:c r="C138" s="73" t="str">
        <x:v>王城罗德尔</x:v>
      </x:c>
      <x:c r="D138" s="73" t="str">
        <x:v>XX957</x:v>
      </x:c>
      <x:c r="E138" s="73" t="str">
        <x:v>裂晶钻颚兽</x:v>
      </x:c>
      <x:c r="F138" s="73" t="str">
        <x:v>普通</x:v>
      </x:c>
      <x:c r="G138" s="73" t="str">
        <x:v>裂晶钻颚刃</x:v>
      </x:c>
      <x:c r="H138" s="73" t="str">
        <x:v>武器</x:v>
      </x:c>
      <x:c r="I138" s="73" t="str">
        <x:v>武器</x:v>
      </x:c>
      <x:c r="J138" s="73"/>
      <x:c r="K138" s="73" t="str">
        <x:v>缺武器来源码</x:v>
      </x:c>
      <x:c r="L138" s="74" t="str">
        <x:v>需补同部位Items/StateItem/DnItems三库同码资源</x:v>
      </x:c>
    </x:row>
    <x:row r="139" ht="34" customHeight="1">
      <x:c r="A139" s="72" t="str">
        <x:v>C10-M036</x:v>
      </x:c>
      <x:c r="B139" s="73" t="str">
        <x:v>C10</x:v>
      </x:c>
      <x:c r="C139" s="73" t="str">
        <x:v>王城罗德尔</x:v>
      </x:c>
      <x:c r="D139" s="73" t="str">
        <x:v>XX956</x:v>
      </x:c>
      <x:c r="E139" s="73" t="str">
        <x:v>地脉熔冠巨像</x:v>
      </x:c>
      <x:c r="F139" s="73" t="str">
        <x:v>地图BOSS</x:v>
      </x:c>
      <x:c r="G139" s="73" t="str">
        <x:v>熔冠镇脉巨锤</x:v>
      </x:c>
      <x:c r="H139" s="73" t="str">
        <x:v>武器</x:v>
      </x:c>
      <x:c r="I139" s="73" t="str">
        <x:v>武器</x:v>
      </x:c>
      <x:c r="J139" s="73"/>
      <x:c r="K139" s="73" t="str">
        <x:v>缺武器来源码</x:v>
      </x:c>
      <x:c r="L139" s="74" t="str">
        <x:v>需补同部位Items/StateItem/DnItems三库同码资源</x:v>
      </x:c>
    </x:row>
    <x:row r="140" ht="34" customHeight="1">
      <x:c r="A140" s="72" t="str">
        <x:v>C10-M037</x:v>
      </x:c>
      <x:c r="B140" s="73" t="str">
        <x:v>C10</x:v>
      </x:c>
      <x:c r="C140" s="73" t="str">
        <x:v>王城罗德尔</x:v>
      </x:c>
      <x:c r="D140" s="73" t="str">
        <x:v>XX707</x:v>
      </x:c>
      <x:c r="E140" s="73" t="str">
        <x:v>石棺刮蜡侍</x:v>
      </x:c>
      <x:c r="F140" s="73" t="str">
        <x:v>普通</x:v>
      </x:c>
      <x:c r="G140" s="73" t="str">
        <x:v>刮蜡墓烛匕</x:v>
      </x:c>
      <x:c r="H140" s="73" t="str">
        <x:v>武器</x:v>
      </x:c>
      <x:c r="I140" s="73" t="str">
        <x:v>武器</x:v>
      </x:c>
      <x:c r="J140" s="73"/>
      <x:c r="K140" s="73" t="str">
        <x:v>缺武器来源码</x:v>
      </x:c>
      <x:c r="L140" s="74" t="str">
        <x:v>需补同部位Items/StateItem/DnItems三库同码资源</x:v>
      </x:c>
    </x:row>
    <x:row r="141" ht="34" customHeight="1">
      <x:c r="A141" s="72" t="str">
        <x:v>C10-M038</x:v>
      </x:c>
      <x:c r="B141" s="73" t="str">
        <x:v>C10</x:v>
      </x:c>
      <x:c r="C141" s="73" t="str">
        <x:v>王城罗德尔</x:v>
      </x:c>
      <x:c r="D141" s="73" t="str">
        <x:v>XX707</x:v>
      </x:c>
      <x:c r="E141" s="73" t="str">
        <x:v>眠碑缝尸媪</x:v>
      </x:c>
      <x:c r="F141" s="73" t="str">
        <x:v>普通</x:v>
      </x:c>
      <x:c r="G141" s="73" t="str">
        <x:v>眠碑缝尸衣</x:v>
      </x:c>
      <x:c r="H141" s="73" t="str">
        <x:v>衣服</x:v>
      </x:c>
      <x:c r="I141" s="73" t="str">
        <x:v>男衣服（现行模板的衣服映射）</x:v>
      </x:c>
      <x:c r="J141" s="73"/>
      <x:c r="K141" s="73" t="str">
        <x:v>缺衣服来源码</x:v>
      </x:c>
      <x:c r="L141" s="74" t="str">
        <x:v>需补男衣服StdMode10的三库同码资源；女衣服码未获准合池</x:v>
      </x:c>
    </x:row>
    <x:row r="142" ht="34" customHeight="1">
      <x:c r="A142" s="72" t="str">
        <x:v>C10-M048</x:v>
      </x:c>
      <x:c r="B142" s="73" t="str">
        <x:v>C10</x:v>
      </x:c>
      <x:c r="C142" s="73" t="str">
        <x:v>王城罗德尔</x:v>
      </x:c>
      <x:c r="D142" s="73" t="str">
        <x:v>XX704</x:v>
      </x:c>
      <x:c r="E142" s="73" t="str">
        <x:v>枯寝吞碑王</x:v>
      </x:c>
      <x:c r="F142" s="73" t="str">
        <x:v>地图BOSS</x:v>
      </x:c>
      <x:c r="G142" s="73" t="str">
        <x:v>吞碑枯寝大氅</x:v>
      </x:c>
      <x:c r="H142" s="73" t="str">
        <x:v>衣服</x:v>
      </x:c>
      <x:c r="I142" s="73" t="str">
        <x:v>男衣服（现行模板的衣服映射）</x:v>
      </x:c>
      <x:c r="J142" s="73"/>
      <x:c r="K142" s="73" t="str">
        <x:v>缺衣服来源码</x:v>
      </x:c>
      <x:c r="L142" s="74" t="str">
        <x:v>需补男衣服StdMode10的三库同码资源；女衣服码未获准合池</x:v>
      </x:c>
    </x:row>
    <x:row r="143" ht="34" customHeight="1">
      <x:c r="A143" s="72" t="str">
        <x:v>C10-M049</x:v>
      </x:c>
      <x:c r="B143" s="73" t="str">
        <x:v>C10</x:v>
      </x:c>
      <x:c r="C143" s="73" t="str">
        <x:v>王城罗德尔</x:v>
      </x:c>
      <x:c r="D143" s="73" t="str">
        <x:v>XX371</x:v>
      </x:c>
      <x:c r="E143" s="73" t="str">
        <x:v>日轮扫阶侍</x:v>
      </x:c>
      <x:c r="F143" s="73" t="str">
        <x:v>普通</x:v>
      </x:c>
      <x:c r="G143" s="73" t="str">
        <x:v>扫阶日轮刃</x:v>
      </x:c>
      <x:c r="H143" s="73" t="str">
        <x:v>武器</x:v>
      </x:c>
      <x:c r="I143" s="73" t="str">
        <x:v>武器</x:v>
      </x:c>
      <x:c r="J143" s="73"/>
      <x:c r="K143" s="73" t="str">
        <x:v>缺武器来源码</x:v>
      </x:c>
      <x:c r="L143" s="74" t="str">
        <x:v>需补同部位Items/StateItem/DnItems三库同码资源</x:v>
      </x:c>
    </x:row>
    <x:row r="144" ht="34" customHeight="1">
      <x:c r="A144" s="72" t="str">
        <x:v>C10-M051</x:v>
      </x:c>
      <x:c r="B144" s="73" t="str">
        <x:v>C10</x:v>
      </x:c>
      <x:c r="C144" s="73" t="str">
        <x:v>王城罗德尔</x:v>
      </x:c>
      <x:c r="D144" s="73" t="str">
        <x:v>XX372</x:v>
      </x:c>
      <x:c r="E144" s="73" t="str">
        <x:v>垂纱持香女</x:v>
      </x:c>
      <x:c r="F144" s="73" t="str">
        <x:v>普通</x:v>
      </x:c>
      <x:c r="G144" s="73" t="str">
        <x:v>垂纱持香衣</x:v>
      </x:c>
      <x:c r="H144" s="73" t="str">
        <x:v>衣服</x:v>
      </x:c>
      <x:c r="I144" s="73" t="str">
        <x:v>男衣服（现行模板的衣服映射）</x:v>
      </x:c>
      <x:c r="J144" s="73"/>
      <x:c r="K144" s="73" t="str">
        <x:v>缺衣服来源码</x:v>
      </x:c>
      <x:c r="L144" s="74" t="str">
        <x:v>需补男衣服StdMode10的三库同码资源；女衣服码未获准合池</x:v>
      </x:c>
    </x:row>
    <x:row r="145" ht="34" customHeight="1">
      <x:c r="A145" s="75" t="str">
        <x:v>C10-M060</x:v>
      </x:c>
      <x:c r="B145" s="76" t="str">
        <x:v>C10</x:v>
      </x:c>
      <x:c r="C145" s="76" t="str">
        <x:v>王城罗德尔</x:v>
      </x:c>
      <x:c r="D145" s="76" t="str">
        <x:v>XX386</x:v>
      </x:c>
      <x:c r="E145" s="76" t="str">
        <x:v>永辉帷后的空王</x:v>
      </x:c>
      <x:c r="F145" s="76" t="str">
        <x:v>地图BOSS</x:v>
      </x:c>
      <x:c r="G145" s="76" t="str">
        <x:v>永辉空王礼服</x:v>
      </x:c>
      <x:c r="H145" s="76" t="str">
        <x:v>衣服</x:v>
      </x:c>
      <x:c r="I145" s="76" t="str">
        <x:v>男衣服（现行模板的衣服映射）</x:v>
      </x:c>
      <x:c r="J145" s="76"/>
      <x:c r="K145" s="76" t="str">
        <x:v>缺衣服来源码</x:v>
      </x:c>
      <x:c r="L145" s="77" t="str">
        <x:v>需补男衣服StdMode10的三库同码资源；女衣服码未获准合池</x:v>
      </x:c>
    </x:row>
  </x:sheetData>
  <x:mergeCells>
    <x:mergeCell ref="A1:L1"/>
    <x:mergeCell ref="A2:L2"/>
  </x:mergeCells>
  <x:pageMargins left="0.7" right="0.7" top="0.75" bottom="0.75" header="0.3" footer="0.3"/>
  <x:tableParts count="2">
    <x:tablePart xmlns:r="http://schemas.openxmlformats.org/officeDocument/2006/relationships" r:id="Ra1d232cb18664a87"/>
    <x:tablePart xmlns:r="http://schemas.openxmlformats.org/officeDocument/2006/relationships" r:id="R8a2e10c7ed114b33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4" hidden="0" customWidth="1"/>
    <x:col min="3" max="3" width="14" hidden="0" customWidth="1"/>
    <x:col min="4" max="4" width="12" hidden="0" customWidth="1"/>
    <x:col min="5" max="5" width="16" hidden="0" customWidth="1"/>
    <x:col min="6" max="6" width="64" hidden="0" customWidth="1"/>
  </x:cols>
  <x:sheetData>
    <x:row r="1" ht="30" customHeight="1">
      <x:c r="A1" s="39" t="str">
        <x:v>编码阶段验收</x:v>
      </x:c>
      <x:c r="B1" s="39" t="str">
        <x:v>编码阶段验收</x:v>
      </x:c>
      <x:c r="C1" s="39" t="str">
        <x:v>编码阶段验收</x:v>
      </x:c>
      <x:c r="D1" s="39" t="str">
        <x:v>编码阶段验收</x:v>
      </x:c>
      <x:c r="E1" s="39" t="str">
        <x:v>编码阶段验收</x:v>
      </x:c>
      <x:c r="F1" s="39" t="str">
        <x:v>编码阶段验收</x:v>
      </x:c>
    </x:row>
    <x:row r="2" ht="38" customHeight="1">
      <x:c r="A2" s="43" t="str">
        <x:v>本页区分“规划锁定”与“平台已入库”。本轮没有写服务端数据库，也没有分配怪物模型／编码。</x:v>
      </x:c>
      <x:c r="B2" s="43" t="str">
        <x:v>本页区分“规划锁定”与“平台已入库”。本轮没有写服务端数据库，也没有分配怪物模型／编码。</x:v>
      </x:c>
      <x:c r="C2" s="43" t="str">
        <x:v>本页区分“规划锁定”与“平台已入库”。本轮没有写服务端数据库，也没有分配怪物模型／编码。</x:v>
      </x:c>
      <x:c r="D2" s="43" t="str">
        <x:v>本页区分“规划锁定”与“平台已入库”。本轮没有写服务端数据库，也没有分配怪物模型／编码。</x:v>
      </x:c>
      <x:c r="E2" s="43" t="str">
        <x:v>本页区分“规划锁定”与“平台已入库”。本轮没有写服务端数据库，也没有分配怪物模型／编码。</x:v>
      </x:c>
      <x:c r="F2" s="43" t="str">
        <x:v>本页区分“规划锁定”与“平台已入库”。本轮没有写服务端数据库，也没有分配怪物模型／编码。</x:v>
      </x:c>
    </x:row>
    <x:row r="4" ht="30" customHeight="1">
      <x:c r="A4" s="49" t="str">
        <x:v>验收项</x:v>
      </x:c>
      <x:c r="B4" s="49" t="str">
        <x:v>期望</x:v>
      </x:c>
      <x:c r="C4" s="49" t="str">
        <x:v>实际</x:v>
      </x:c>
      <x:c r="D4" s="49" t="str">
        <x:v>差异</x:v>
      </x:c>
      <x:c r="E4" s="49" t="str">
        <x:v>结论</x:v>
      </x:c>
      <x:c r="F4" s="49" t="str">
        <x:v>说明</x:v>
      </x:c>
    </x:row>
    <x:row r="5" ht="34" customHeight="1">
      <x:c r="A5" s="69" t="str">
        <x:v>概念专属总数</x:v>
      </x:c>
      <x:c r="B5" s="70" t="n">
        <x:v>464</x:v>
      </x:c>
      <x:c r="C5" s="70" t="n">
        <x:v>464</x:v>
      </x:c>
      <x:c r="D5" s="70" t="n">
        <x:v>0</x:v>
      </x:c>
      <x:c r="E5" s="95" t="str">
        <x:v>通过</x:v>
      </x:c>
      <x:c r="F5" s="71" t="str">
        <x:v>一怪一专属结构未变</x:v>
      </x:c>
    </x:row>
    <x:row r="6" ht="34" customHeight="1">
      <x:c r="A6" s="72" t="str">
        <x:v>已规划装备来源码</x:v>
      </x:c>
      <x:c r="B6" s="73" t="n">
        <x:v>342</x:v>
      </x:c>
      <x:c r="C6" s="73" t="n">
        <x:v>342</x:v>
      </x:c>
      <x:c r="D6" s="73" t="n">
        <x:v>0</x:v>
      </x:c>
      <x:c r="E6" s="79" t="str">
        <x:v>通过</x:v>
      </x:c>
      <x:c r="F6" s="74" t="str">
        <x:v>逐码唯一</x:v>
      </x:c>
    </x:row>
    <x:row r="7" ht="34" customHeight="1">
      <x:c r="A7" s="72" t="str">
        <x:v>待补概念专属</x:v>
      </x:c>
      <x:c r="B7" s="73" t="n">
        <x:v>122</x:v>
      </x:c>
      <x:c r="C7" s="73" t="n">
        <x:v>122</x:v>
      </x:c>
      <x:c r="D7" s="73" t="n">
        <x:v>0</x:v>
      </x:c>
      <x:c r="E7" s="79" t="str">
        <x:v>通过</x:v>
      </x:c>
      <x:c r="F7" s="74" t="str">
        <x:v>武器60＋衣服51＋斗笠11</x:v>
      </x:c>
    </x:row>
    <x:row r="8" ht="34" customHeight="1">
      <x:c r="A8" s="72" t="str">
        <x:v>新分配内部重复</x:v>
      </x:c>
      <x:c r="B8" s="73" t="n">
        <x:v>0</x:v>
      </x:c>
      <x:c r="C8" s="73" t="n">
        <x:v>0</x:v>
      </x:c>
      <x:c r="D8" s="73" t="n">
        <x:v>0</x:v>
      </x:c>
      <x:c r="E8" s="79" t="str">
        <x:v>通过</x:v>
      </x:c>
      <x:c r="F8" s="74" t="str">
        <x:v>按来源编号检查</x:v>
      </x:c>
    </x:row>
    <x:row r="9" ht="34" customHeight="1">
      <x:c r="A9" s="72" t="str">
        <x:v>与C1/C2现用编号冲突</x:v>
      </x:c>
      <x:c r="B9" s="73" t="n">
        <x:v>0</x:v>
      </x:c>
      <x:c r="C9" s="73" t="n">
        <x:v>0</x:v>
      </x:c>
      <x:c r="D9" s="73" t="n">
        <x:v>0</x:v>
      </x:c>
      <x:c r="E9" s="79" t="str">
        <x:v>通过</x:v>
      </x:c>
      <x:c r="F9" s="74" t="str">
        <x:v>现用219码作为全局占用集</x:v>
      </x:c>
    </x:row>
    <x:row r="10" ht="34" customHeight="1">
      <x:c r="A10" s="72" t="str">
        <x:v>与材料Looks 6398—6462冲突</x:v>
      </x:c>
      <x:c r="B10" s="73" t="n">
        <x:v>0</x:v>
      </x:c>
      <x:c r="C10" s="73" t="n">
        <x:v>0</x:v>
      </x:c>
      <x:c r="D10" s="73" t="n">
        <x:v>0</x:v>
      </x:c>
      <x:c r="E10" s="79" t="str">
        <x:v>通过</x:v>
      </x:c>
      <x:c r="F10" s="74" t="str">
        <x:v>65个材料槽全部排除</x:v>
      </x:c>
    </x:row>
    <x:row r="11" ht="34" customHeight="1">
      <x:c r="A11" s="72" t="str">
        <x:v>收藏材料Idx规划</x:v>
      </x:c>
      <x:c r="B11" s="73" t="n">
        <x:v>8</x:v>
      </x:c>
      <x:c r="C11" s="73" t="n">
        <x:v>8</x:v>
      </x:c>
      <x:c r="D11" s="73" t="n">
        <x:v>0</x:v>
      </x:c>
      <x:c r="E11" s="79" t="str">
        <x:v>通过</x:v>
      </x:c>
      <x:c r="F11" s="74" t="str">
        <x:v>972—979，仅规划未入库</x:v>
      </x:c>
    </x:row>
    <x:row r="12" ht="34" customHeight="1">
      <x:c r="A12" s="72" t="str">
        <x:v>收藏材料Items Looks缺口</x:v>
      </x:c>
      <x:c r="B12" s="73" t="n">
        <x:v>8</x:v>
      </x:c>
      <x:c r="C12" s="73" t="n">
        <x:v>8</x:v>
      </x:c>
      <x:c r="D12" s="73" t="n">
        <x:v>0</x:v>
      </x:c>
      <x:c r="E12" s="79" t="str">
        <x:v>待补</x:v>
      </x:c>
      <x:c r="F12" s="74" t="str">
        <x:v>不得使用6463—6470顺延候选</x:v>
      </x:c>
    </x:row>
    <x:row r="13" ht="34" customHeight="1">
      <x:c r="A13" s="72" t="str">
        <x:v>剩余材料Idx冻结</x:v>
      </x:c>
      <x:c r="B13" s="73" t="n">
        <x:v>4</x:v>
      </x:c>
      <x:c r="C13" s="73" t="n">
        <x:v>4</x:v>
      </x:c>
      <x:c r="D13" s="73" t="n">
        <x:v>0</x:v>
      </x:c>
      <x:c r="E13" s="80" t="str">
        <x:v>通过</x:v>
      </x:c>
      <x:c r="F13" s="74" t="str">
        <x:v>980—983继续冻结</x:v>
      </x:c>
    </x:row>
    <x:row r="14" ht="34" customHeight="1">
      <x:c r="A14" s="75" t="str">
        <x:v>怪物模型／编码分配</x:v>
      </x:c>
      <x:c r="B14" s="76" t="n">
        <x:v>0</x:v>
      </x:c>
      <x:c r="C14" s="76" t="n">
        <x:v>0</x:v>
      </x:c>
      <x:c r="D14" s="76" t="n">
        <x:v>0</x:v>
      </x:c>
      <x:c r="E14" s="81" t="str">
        <x:v>通过</x:v>
      </x:c>
      <x:c r="F14" s="77" t="str">
        <x:v>用户自行处理，本版未写任何编码值</x:v>
      </x:c>
    </x:row>
  </x:sheetData>
  <x:mergeCells>
    <x:mergeCell ref="A1:F1"/>
    <x:mergeCell ref="A2:F2"/>
  </x:mergeCells>
  <x:pageMargins left="0.7" right="0.7" top="0.75" bottom="0.75" header="0.3" footer="0.3"/>
  <x:tableParts count="1">
    <x:tablePart xmlns:r="http://schemas.openxmlformats.org/officeDocument/2006/relationships" r:id="Ra2ba441717444ced"/>
  </x:tableParts>
</x:worksheet>
</file>