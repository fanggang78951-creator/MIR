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7a4ff0c718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套装代码表" sheetId="1" r:id="R9894af4071f54f76"/>
    <x:sheet xmlns:r="http://schemas.openxmlformats.org/officeDocument/2006/relationships" name="使用说明" sheetId="2" r:id="R2510f0ac6b9a4ed2"/>
    <x:sheet xmlns:r="http://schemas.openxmlformats.org/officeDocument/2006/relationships" name="生肖槽位代码表" sheetId="3" r:id="Reec23494b86c49a1"/>
    <x:sheet xmlns:r="http://schemas.openxmlformats.org/officeDocument/2006/relationships" name="新增20组全装备代码" sheetId="4" r:id="Racadce30a6d34224"/>
    <x:sheet xmlns:r="http://schemas.openxmlformats.org/officeDocument/2006/relationships" name="全资源索引" sheetId="5" r:id="Rc11ca762661b4b8a"/>
    <x:sheet xmlns:r="http://schemas.openxmlformats.org/officeDocument/2006/relationships" name="C3-C10专属分配" sheetId="6" r:id="R5b0f2b075bb54e0e"/>
    <x:sheet xmlns:r="http://schemas.openxmlformats.org/officeDocument/2006/relationships" name="C3-C10编码缺口" sheetId="7" r:id="Rb8994667f74f40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1">
    <x:font>
      <x:sz val="11"/>
      <x:name val="Carlito"/>
    </x:font>
    <x:font>
      <x:b/>
      <x:sz val="18"/>
      <x:color rgb="FFF5D17A"/>
      <x:name val="Microsoft YaHei"/>
    </x:font>
    <x:font>
      <x:sz val="10"/>
      <x:color rgb="FFE8D9B6"/>
      <x:name val="Microsoft YaHei"/>
    </x:font>
    <x:font>
      <x:i/>
      <x:sz val="9"/>
      <x:color rgb="FFBFB59E"/>
      <x:name val="Microsoft YaHei"/>
    </x:font>
    <x:font>
      <x:b/>
      <x:sz val="10"/>
      <x:color rgb="FFFFF4D3"/>
      <x:name val="Microsoft YaHei"/>
    </x:font>
    <x:font>
      <x:sz val="10"/>
      <x:color rgb="FFE8E3D6"/>
      <x:name val="Microsoft YaHei"/>
    </x:font>
    <x:font>
      <x:b/>
      <x:sz val="10"/>
      <x:color rgb="FFF5D17A"/>
      <x:name val="Microsoft YaHei"/>
    </x:font>
    <x:font>
      <x:b/>
      <x:sz val="10"/>
      <x:color rgb="FFF0A5A5"/>
      <x:name val="Microsoft YaHei"/>
    </x:font>
    <x:font>
      <x:b/>
      <x:sz val="10"/>
      <x:color rgb="FF9FD3F4"/>
      <x:name val="Microsoft YaHei"/>
    </x:font>
    <x:font>
      <x:b/>
      <x:sz val="16"/>
      <x:color rgb="FFF5D17A"/>
      <x:name val="Microsoft YaHei"/>
    </x:font>
    <x:font>
      <x:b/>
      <x:sz val="11"/>
      <x:color rgb="FFFFF4D3"/>
      <x:name val="Carlito"/>
    </x:font>
    <x:font>
      <x:sz val="11"/>
      <x:color rgb="FFE8E3D6"/>
      <x:name val="Carlito"/>
    </x:font>
    <x:font>
      <x:sz val="11"/>
      <x:color rgb="FFBDE3FA"/>
      <x:name val="Carlito"/>
    </x:font>
    <x:font>
      <x:sz val="11"/>
      <x:color rgb="FFF0B9B9"/>
      <x:name val="Carlito"/>
    </x:font>
    <x:font>
      <x:b/>
      <x:sz val="11"/>
      <x:color rgb="FFF5D17A"/>
      <x:name val="Carlito"/>
    </x:font>
    <x:font>
      <x:b/>
      <x:sz val="11"/>
      <x:color rgb="FFC9B9FF"/>
      <x:name val="Carlito"/>
    </x:font>
    <x:font>
      <x:b/>
      <x:sz val="11"/>
      <x:color rgb="FFA9E5BE"/>
      <x:name val="Carlito"/>
    </x:font>
    <x:font>
      <x:b/>
      <x:sz val="11"/>
      <x:color rgb="FFFFB3A3"/>
      <x:name val="Carlito"/>
    </x:font>
    <x:font>
      <x:b/>
      <x:sz val="11"/>
      <x:color rgb="FFD7B6FF"/>
      <x:name val="Carlito"/>
    </x:font>
    <x:font>
      <x:b/>
      <x:sz val="11"/>
      <x:color rgb="FFF5D17A"/>
      <x:name val="Microsoft YaHei"/>
    </x:font>
    <x:font>
      <x:sz val="11"/>
      <x:color rgb="FFE8D9B6"/>
      <x:name val="Microsoft YaHei"/>
    </x:font>
    <x:font>
      <x:b/>
      <x:sz val="11"/>
      <x:color rgb="FFFFF4D3"/>
      <x:name val="Microsoft YaHei"/>
    </x:font>
    <x:font>
      <x:sz val="11"/>
      <x:color rgb="FFE8E3D6"/>
      <x:name val="Microsoft YaHei"/>
    </x:font>
    <x:font>
      <x:i/>
      <x:sz val="11"/>
      <x:color rgb="FFBFB59E"/>
      <x:name val="Microsoft YaHei"/>
    </x:font>
    <x:font>
      <x:b/>
      <x:sz val="11"/>
      <x:color rgb="FFFFFFFF"/>
      <x:name val="Carlito"/>
    </x:font>
    <x:font>
      <x:sz val="11"/>
      <x:color rgb="FFF4EFE5"/>
      <x:name val="Carlito"/>
    </x:font>
    <x:font>
      <x:b/>
      <x:sz val="14"/>
      <x:color rgb="FFF4EFE5"/>
      <x:name val="Microsoft YaHei"/>
    </x:font>
    <x:font>
      <x:sz val="10"/>
      <x:color rgb="FF20242A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sz val="10"/>
      <x:color rgb="FF4B5563"/>
      <x:name val="Microsoft YaHei"/>
    </x:font>
  </x:fonts>
  <x:fills count="33">
    <x:fill>
      <x:patternFill patternType="none"/>
    </x:fill>
    <x:fill>
      <x:patternFill patternType="gray125"/>
    </x:fill>
    <x:fill>
      <x:patternFill patternType="solid">
        <x:fgColor rgb="FF11100D"/>
      </x:patternFill>
    </x:fill>
    <x:fill>
      <x:patternFill patternType="solid">
        <x:fgColor rgb="FF201D16"/>
      </x:patternFill>
    </x:fill>
    <x:fill>
      <x:patternFill patternType="solid">
        <x:fgColor rgb="FF2A261D"/>
      </x:patternFill>
    </x:fill>
    <x:fill>
      <x:patternFill patternType="solid">
        <x:fgColor rgb="FF6B4E18"/>
      </x:patternFill>
    </x:fill>
    <x:fill>
      <x:patternFill patternType="solid">
        <x:fgColor rgb="FF312713"/>
      </x:patternFill>
    </x:fill>
    <x:fill>
      <x:patternFill patternType="solid">
        <x:fgColor rgb="FF30191A"/>
      </x:patternFill>
    </x:fill>
    <x:fill>
      <x:patternFill patternType="solid">
        <x:fgColor rgb="FF172431"/>
      </x:patternFill>
    </x:fill>
    <x:fill>
      <x:patternFill patternType="solid">
        <x:fgColor rgb="FF211E18"/>
      </x:patternFill>
    </x:fill>
    <x:fill>
      <x:patternFill patternType="solid">
        <x:fgColor rgb="FF312713"/>
      </x:patternFill>
    </x:fill>
    <x:fill>
      <x:patternFill patternType="solid">
        <x:fgColor rgb="FF211B35"/>
      </x:patternFill>
    </x:fill>
    <x:fill>
      <x:patternFill patternType="solid">
        <x:fgColor rgb="FF172F27"/>
      </x:patternFill>
    </x:fill>
    <x:fill>
      <x:patternFill patternType="solid">
        <x:fgColor rgb="FF351B16"/>
      </x:patternFill>
    </x:fill>
    <x:fill>
      <x:patternFill patternType="solid">
        <x:fgColor rgb="FF281A38"/>
      </x:patternFill>
    </x:fill>
    <x:fill>
      <x:patternFill patternType="solid">
        <x:fgColor rgb="FF11100D"/>
      </x:patternFill>
    </x:fill>
    <x:fill>
      <x:patternFill patternType="solid">
        <x:fgColor rgb="FF201D16"/>
      </x:patternFill>
    </x:fill>
    <x:fill>
      <x:patternFill patternType="solid">
        <x:fgColor rgb="FF6B4E18"/>
      </x:patternFill>
    </x:fill>
    <x:fill>
      <x:patternFill patternType="solid">
        <x:fgColor rgb="FF2A261D"/>
      </x:patternFill>
    </x:fill>
    <x:fill>
      <x:patternFill patternType="solid">
        <x:fgColor rgb="FF281B2D"/>
      </x:patternFill>
    </x:fill>
    <x:fill>
      <x:patternFill patternType="solid">
        <x:fgColor rgb="FF173329"/>
      </x:patternFill>
    </x:fill>
    <x:fill>
      <x:patternFill patternType="solid">
        <x:fgColor rgb="FF3A1B18"/>
      </x:patternFill>
    </x:fill>
    <x:fill>
      <x:patternFill patternType="solid">
        <x:fgColor rgb="FF26172F"/>
      </x:patternFill>
    </x:fill>
    <x:fill>
      <x:patternFill patternType="solid">
        <x:fgColor rgb="FF78591B"/>
      </x:patternFill>
    </x:fill>
    <x:fill>
      <x:patternFill patternType="solid">
        <x:fgColor rgb="FF211F1A"/>
      </x:patternFill>
    </x:fill>
    <x:fill>
      <x:patternFill patternType="solid">
        <x:fgColor rgb="FF0F766E"/>
      </x:patternFill>
    </x:fill>
    <x:fill>
      <x:patternFill patternType="solid">
        <x:fgColor rgb="FF11110F"/>
      </x:patternFill>
    </x:fill>
    <x:fill>
      <x:patternFill patternType="solid">
        <x:fgColor rgb="FFE8EEF7"/>
      </x:patternFill>
    </x:fill>
    <x:fill>
      <x:patternFill patternType="solid">
        <x:fgColor rgb="FFFCE8E6"/>
      </x:patternFill>
    </x:fill>
    <x:fill>
      <x:patternFill patternType="solid">
        <x:fgColor rgb="FFFFF3CD"/>
      </x:patternFill>
    </x:fill>
    <x:fill>
      <x:patternFill patternType="solid">
        <x:fgColor rgb="FFC59B3B"/>
      </x:patternFill>
    </x:fill>
    <x:fill>
      <x:patternFill patternType="solid">
        <x:fgColor rgb="FF1F2937"/>
      </x:patternFill>
    </x:fill>
    <x:fill>
      <x:patternFill patternType="solid">
        <x:fgColor rgb="FFF3F4F6"/>
      </x:patternFill>
    </x:fill>
  </x:fills>
  <x:borders count="43">
    <x:border/>
    <x:border>
      <x:left style="medium">
        <x:color rgb="FF9A762C"/>
      </x:left>
      <x:top style="medium">
        <x:color rgb="FF9A762C"/>
      </x:top>
      <x:bottom style="medium">
        <x:color rgb="FF9A762C"/>
      </x:bottom>
    </x:border>
    <x:border>
      <x:top style="medium">
        <x:color rgb="FF9A762C"/>
      </x:top>
      <x:bottom style="medium">
        <x:color rgb="FF9A762C"/>
      </x:bottom>
    </x:border>
    <x:border>
      <x:right style="medium">
        <x:color rgb="FF9A762C"/>
      </x:right>
      <x:top style="medium">
        <x:color rgb="FF9A762C"/>
      </x:top>
      <x:bottom style="medium">
        <x:color rgb="FF9A762C"/>
      </x:bottom>
    </x:border>
    <x:border>
      <x:left style="thin">
        <x:color rgb="FFBA9244"/>
      </x:left>
      <x:right style="thin">
        <x:color rgb="FFBA9244"/>
      </x:right>
      <x:top style="thin">
        <x:color rgb="FFBA9244"/>
      </x:top>
      <x:bottom style="thin">
        <x:color rgb="FFBA9244"/>
      </x:bottom>
    </x:border>
    <x:border>
      <x:left style="thin">
        <x:color rgb="FF6D6558"/>
      </x:left>
      <x:top style="thin">
        <x:color rgb="FF8A806E"/>
      </x:top>
      <x:bottom style="thin">
        <x:color rgb="FF4A463E"/>
      </x:bottom>
    </x:border>
    <x:border>
      <x:top style="thin">
        <x:color rgb="FF8A806E"/>
      </x:top>
      <x:bottom style="thin">
        <x:color rgb="FF4A463E"/>
      </x:bottom>
    </x:border>
    <x:border>
      <x:right style="thin">
        <x:color rgb="FF6D6558"/>
      </x:right>
      <x:top style="thin">
        <x:color rgb="FF8A806E"/>
      </x:top>
      <x:bottom style="thin">
        <x:color rgb="FF4A463E"/>
      </x:bottom>
    </x:border>
    <x:border>
      <x:left style="thin">
        <x:color rgb="FF6D6558"/>
      </x:left>
      <x:top style="thin">
        <x:color rgb="FF4A463E"/>
      </x:top>
      <x:bottom style="thin">
        <x:color rgb="FF4A463E"/>
      </x:bottom>
    </x:border>
    <x:border>
      <x:top style="thin">
        <x:color rgb="FF4A463E"/>
      </x:top>
      <x:bottom style="thin">
        <x:color rgb="FF4A463E"/>
      </x:bottom>
    </x:border>
    <x:border>
      <x:right style="thin">
        <x:color rgb="FF6D6558"/>
      </x:right>
      <x:top style="thin">
        <x:color rgb="FF4A463E"/>
      </x:top>
      <x:bottom style="thin">
        <x:color rgb="FF4A463E"/>
      </x:bottom>
    </x:border>
    <x:border>
      <x:left style="thin">
        <x:color rgb="FF6D6558"/>
      </x:left>
      <x:top style="thin">
        <x:color rgb="FF4A463E"/>
      </x:top>
      <x:bottom style="medium">
        <x:color rgb="FF9A762C"/>
      </x:bottom>
    </x:border>
    <x:border>
      <x:top style="thin">
        <x:color rgb="FF4A463E"/>
      </x:top>
      <x:bottom style="medium">
        <x:color rgb="FF9A762C"/>
      </x:bottom>
    </x:border>
    <x:border>
      <x:right style="thin">
        <x:color rgb="FF6D6558"/>
      </x:right>
      <x:top style="thin">
        <x:color rgb="FF4A463E"/>
      </x:top>
      <x:bottom style="medium">
        <x:color rgb="FF9A762C"/>
      </x:bottom>
    </x:border>
    <x:border>
      <x:left style="thin">
        <x:color rgb="FF6D6558"/>
      </x:left>
      <x:right style="thin">
        <x:color rgb="FF6D6558"/>
      </x:right>
      <x:top style="thin">
        <x:color rgb="FF6D6558"/>
      </x:top>
      <x:bottom style="thin">
        <x:color rgb="FF6D6558"/>
      </x:bottom>
    </x:border>
    <x:border>
      <x:left style="thin">
        <x:color rgb="FF6D6558"/>
      </x:left>
      <x:top style="thin">
        <x:color rgb="FF6D6558"/>
      </x:top>
      <x:bottom style="thin">
        <x:color rgb="FF6D6558"/>
      </x:bottom>
    </x:border>
    <x:border>
      <x:top style="thin">
        <x:color rgb="FF6D6558"/>
      </x:top>
      <x:bottom style="thin">
        <x:color rgb="FF6D6558"/>
      </x:bottom>
    </x:border>
    <x:border>
      <x:right style="thin">
        <x:color rgb="FF6D6558"/>
      </x:right>
      <x:top style="thin">
        <x:color rgb="FF6D6558"/>
      </x:top>
      <x:bottom style="thin">
        <x:color rgb="FF6D6558"/>
      </x:bottom>
    </x:border>
    <x:border>
      <x:right style="thin">
        <x:color rgb="FF4A4337"/>
      </x:right>
      <x:bottom style="thin">
        <x:color rgb="FF4A4337"/>
      </x:bottom>
    </x:border>
    <x:border>
      <x:left style="thin">
        <x:color rgb="FF4A4337"/>
      </x:left>
      <x:right style="thin">
        <x:color rgb="FF4A4337"/>
      </x:right>
      <x:bottom style="thin">
        <x:color rgb="FF4A4337"/>
      </x:bottom>
    </x:border>
    <x:border>
      <x:left style="thin">
        <x:color rgb="FF4A4337"/>
      </x:left>
      <x:bottom style="thin">
        <x:color rgb="FF4A4337"/>
      </x:bottom>
    </x:border>
    <x:border>
      <x:right style="thin">
        <x:color rgb="FF4A4337"/>
      </x:right>
      <x:top style="thin">
        <x:color rgb="FF4A4337"/>
      </x:top>
      <x:bottom style="thin">
        <x:color rgb="FF4A4337"/>
      </x:bottom>
    </x:border>
    <x:border>
      <x:left style="thin">
        <x:color rgb="FF4A4337"/>
      </x:left>
      <x:right style="thin">
        <x:color rgb="FF4A4337"/>
      </x:right>
      <x:top style="thin">
        <x:color rgb="FF4A4337"/>
      </x:top>
      <x:bottom style="thin">
        <x:color rgb="FF4A4337"/>
      </x:bottom>
    </x:border>
    <x:border>
      <x:left style="thin">
        <x:color rgb="FF4A4337"/>
      </x:left>
      <x:top style="thin">
        <x:color rgb="FF4A4337"/>
      </x:top>
      <x:bottom style="thin">
        <x:color rgb="FF4A4337"/>
      </x:bottom>
    </x:border>
    <x:border>
      <x:right style="thin">
        <x:color rgb="FF4A4337"/>
      </x:right>
      <x:top style="thin">
        <x:color rgb="FF4A4337"/>
      </x:top>
    </x:border>
    <x:border>
      <x:left style="thin">
        <x:color rgb="FF4A4337"/>
      </x:left>
      <x:right style="thin">
        <x:color rgb="FF4A4337"/>
      </x:right>
      <x:top style="thin">
        <x:color rgb="FF4A4337"/>
      </x:top>
    </x:border>
    <x:border>
      <x:left style="thin">
        <x:color rgb="FF4A4337"/>
      </x:left>
      <x:top style="thin">
        <x:color rgb="FF4A4337"/>
      </x:top>
    </x:border>
    <x:border>
      <x:left style="thin">
        <x:color rgb="FF6D6558"/>
      </x:left>
      <x:right style="thin">
        <x:color rgb="FF4A4337"/>
      </x:right>
      <x:top style="thin">
        <x:color rgb="FF6D6558"/>
      </x:top>
      <x:bottom style="thin">
        <x:color rgb="FF4A4337"/>
      </x:bottom>
    </x:border>
    <x:border>
      <x:left style="thin">
        <x:color rgb="FF4A4337"/>
      </x:left>
      <x:right style="thin">
        <x:color rgb="FF6D6558"/>
      </x:right>
      <x:top style="thin">
        <x:color rgb="FF6D6558"/>
      </x:top>
      <x:bottom style="thin">
        <x:color rgb="FF4A4337"/>
      </x:bottom>
    </x:border>
    <x:border>
      <x:left style="thin">
        <x:color rgb="FF6D6558"/>
      </x:left>
      <x:right style="thin">
        <x:color rgb="FF4A4337"/>
      </x:right>
      <x:top style="thin">
        <x:color rgb="FF4A4337"/>
      </x:top>
      <x:bottom style="thin">
        <x:color rgb="FF4A4337"/>
      </x:bottom>
    </x:border>
    <x:border>
      <x:left style="thin">
        <x:color rgb="FF4A4337"/>
      </x:left>
      <x:right style="thin">
        <x:color rgb="FF6D6558"/>
      </x:right>
      <x:top style="thin">
        <x:color rgb="FF4A4337"/>
      </x:top>
      <x:bottom style="thin">
        <x:color rgb="FF4A4337"/>
      </x:bottom>
    </x:border>
    <x:border>
      <x:left style="thin">
        <x:color rgb="FF6D6558"/>
      </x:left>
      <x:right style="thin">
        <x:color rgb="FF4A4337"/>
      </x:right>
      <x:top style="thin">
        <x:color rgb="FF4A4337"/>
      </x:top>
      <x:bottom style="thin">
        <x:color rgb="FF6D6558"/>
      </x:bottom>
    </x:border>
    <x:border>
      <x:left style="thin">
        <x:color rgb="FF4A4337"/>
      </x:left>
      <x:right style="thin">
        <x:color rgb="FF6D6558"/>
      </x:right>
      <x:top style="thin">
        <x:color rgb="FF4A4337"/>
      </x:top>
      <x:bottom style="thin">
        <x:color rgb="FF6D6558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6D9DE"/>
      </x:left>
      <x:right style="thin">
        <x:color rgb="FFD6D9DE"/>
      </x:right>
      <x:top style="thin">
        <x:color rgb="FFD6D9DE"/>
      </x:top>
      <x:bottom style="thin">
        <x:color rgb="FFD6D9DE"/>
      </x:bottom>
    </x:border>
  </x:borders>
  <x:cellStyleXfs count="1">
    <x:xf numFmtId="0" fontId="0" fillId="0" borderId="0"/>
  </x:cellStyleXfs>
  <x:cellXfs count="37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/>
    <x:xf numFmtId="0" fontId="5" fillId="0" borderId="5" xfId="0" applyNumberFormat="1" applyFont="1" applyFill="1" applyBorder="1"/>
    <x:xf numFmtId="0" fontId="5" fillId="0" borderId="6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5" xfId="0" applyNumberFormat="1" applyFont="1" applyFill="1" applyBorder="1" applyAlignment="1">
      <x:alignment vertical="center"/>
    </x:xf>
    <x:xf numFmtId="0" fontId="5" fillId="0" borderId="6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5" fillId="0" borderId="11" xfId="0" applyNumberFormat="1" applyFont="1" applyFill="1" applyBorder="1" applyAlignment="1">
      <x:alignment vertical="center"/>
    </x:xf>
    <x:xf numFmtId="0" fontId="5" fillId="0" borderId="12" xfId="0" applyNumberFormat="1" applyFont="1" applyFill="1" applyBorder="1" applyAlignment="1">
      <x:alignment vertical="center"/>
    </x:xf>
    <x:xf numFmtId="0" fontId="5" fillId="0" borderId="13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horizontal="center" vertical="center"/>
    </x:xf>
    <x:xf numFmtId="0" fontId="5" fillId="0" borderId="8" xfId="0" applyNumberFormat="1" applyFont="1" applyFill="1" applyBorder="1" applyAlignment="1">
      <x:alignment horizontal="center" vertical="center"/>
    </x:xf>
    <x:xf numFmtId="0" fontId="5" fillId="0" borderId="11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0" fontId="5" fillId="0" borderId="9" xfId="0" applyNumberFormat="1" applyFont="1" applyFill="1" applyBorder="1" applyAlignment="1">
      <x:alignment horizontal="center" vertical="center"/>
    </x:xf>
    <x:xf numFmtId="0" fontId="5" fillId="0" borderId="12" xfId="0" applyNumberFormat="1" applyFont="1" applyFill="1" applyBorder="1" applyAlignment="1">
      <x:alignment horizontal="center" vertical="center"/>
    </x:xf>
    <x:xf numFmtId="200" fontId="5" fillId="0" borderId="6" xfId="0" applyNumberFormat="1" applyFont="1" applyFill="1" applyBorder="1" applyAlignment="1">
      <x:alignment horizontal="center" vertical="center"/>
    </x:xf>
    <x:xf numFmtId="200" fontId="5" fillId="0" borderId="9" xfId="0" applyNumberFormat="1" applyFont="1" applyFill="1" applyBorder="1" applyAlignment="1">
      <x:alignment horizontal="center" vertical="center"/>
    </x:xf>
    <x:xf numFmtId="200" fontId="5" fillId="0" borderId="12" xfId="0" applyNumberFormat="1" applyFont="1" applyFill="1" applyBorder="1" applyAlignment="1">
      <x:alignment horizontal="center" vertical="center"/>
    </x:xf>
    <x:xf numFmtId="0" fontId="5" fillId="0" borderId="7" xfId="0" applyNumberFormat="1" applyFont="1" applyFill="1" applyBorder="1" applyAlignment="1">
      <x:alignment horizontal="center" vertical="center"/>
    </x:xf>
    <x:xf numFmtId="0" fontId="5" fillId="0" borderId="10" xfId="0" applyNumberFormat="1" applyFont="1" applyFill="1" applyBorder="1" applyAlignment="1">
      <x:alignment horizontal="center" vertical="center"/>
    </x:xf>
    <x:xf numFmtId="0" fontId="5" fillId="0" borderId="13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vertical="center"/>
    </x:xf>
    <x:xf numFmtId="0" fontId="5" fillId="6" borderId="6" xfId="0" applyNumberFormat="1" applyFont="1" applyFill="1" applyBorder="1" applyAlignment="1">
      <x:alignment horizontal="center" vertical="center"/>
    </x:xf>
    <x:xf numFmtId="200" fontId="5" fillId="6" borderId="6" xfId="0" applyNumberFormat="1" applyFont="1" applyFill="1" applyBorder="1" applyAlignment="1">
      <x:alignment horizontal="center" vertic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6" fillId="6" borderId="6" xfId="0" applyNumberFormat="1" applyFont="1" applyFill="1" applyBorder="1" applyAlignment="1">
      <x:alignment vertical="center"/>
    </x:xf>
    <x:xf numFmtId="0" fontId="6" fillId="6" borderId="6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vertical="center"/>
    </x:xf>
    <x:xf numFmtId="0" fontId="5" fillId="6" borderId="9" xfId="0" applyNumberFormat="1" applyFont="1" applyFill="1" applyBorder="1" applyAlignment="1">
      <x:alignment horizontal="center" vertical="center"/>
    </x:xf>
    <x:xf numFmtId="200" fontId="5" fillId="6" borderId="9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6" fillId="6" borderId="9" xfId="0" applyNumberFormat="1" applyFont="1" applyFill="1" applyBorder="1" applyAlignment="1">
      <x:alignment vertical="center"/>
    </x:xf>
    <x:xf numFmtId="0" fontId="6" fillId="6" borderId="9" xfId="0" applyNumberFormat="1" applyFont="1" applyFill="1" applyBorder="1" applyAlignment="1">
      <x:alignment horizontal="center" vertical="center"/>
    </x:xf>
    <x:xf numFmtId="0" fontId="5" fillId="7" borderId="8" xfId="0" applyNumberFormat="1" applyFont="1" applyFill="1" applyBorder="1" applyAlignment="1">
      <x:alignment horizontal="center" vertical="center"/>
    </x:xf>
    <x:xf numFmtId="0" fontId="5" fillId="7" borderId="9" xfId="0" applyNumberFormat="1" applyFont="1" applyFill="1" applyBorder="1" applyAlignment="1">
      <x:alignment vertical="center"/>
    </x:xf>
    <x:xf numFmtId="0" fontId="5" fillId="7" borderId="9" xfId="0" applyNumberFormat="1" applyFont="1" applyFill="1" applyBorder="1" applyAlignment="1">
      <x:alignment horizontal="center" vertical="center"/>
    </x:xf>
    <x:xf numFmtId="200" fontId="5" fillId="7" borderId="9" xfId="0" applyNumberFormat="1" applyFont="1" applyFill="1" applyBorder="1" applyAlignment="1">
      <x:alignment horizontal="center" vertical="center"/>
    </x:xf>
    <x:xf numFmtId="0" fontId="5" fillId="7" borderId="10" xfId="0" applyNumberFormat="1" applyFont="1" applyFill="1" applyBorder="1" applyAlignment="1">
      <x:alignment horizontal="center" vertical="center"/>
    </x:xf>
    <x:xf numFmtId="0" fontId="7" fillId="7" borderId="9" xfId="0" applyNumberFormat="1" applyFont="1" applyFill="1" applyBorder="1" applyAlignment="1">
      <x:alignment vertical="center"/>
    </x:xf>
    <x:xf numFmtId="0" fontId="7" fillId="7" borderId="9" xfId="0" applyNumberFormat="1" applyFont="1" applyFill="1" applyBorder="1" applyAlignment="1">
      <x:alignment horizontal="center" vertical="center"/>
    </x:xf>
    <x:xf numFmtId="0" fontId="5" fillId="8" borderId="8" xfId="0" applyNumberFormat="1" applyFont="1" applyFill="1" applyBorder="1" applyAlignment="1">
      <x:alignment horizontal="center" vertical="center"/>
    </x:xf>
    <x:xf numFmtId="0" fontId="5" fillId="8" borderId="9" xfId="0" applyNumberFormat="1" applyFont="1" applyFill="1" applyBorder="1" applyAlignment="1">
      <x:alignment vertical="center"/>
    </x:xf>
    <x:xf numFmtId="0" fontId="5" fillId="8" borderId="9" xfId="0" applyNumberFormat="1" applyFont="1" applyFill="1" applyBorder="1" applyAlignment="1">
      <x:alignment horizontal="center" vertical="center"/>
    </x:xf>
    <x:xf numFmtId="200" fontId="5" fillId="8" borderId="9" xfId="0" applyNumberFormat="1" applyFont="1" applyFill="1" applyBorder="1" applyAlignment="1">
      <x:alignment horizontal="center" vertical="center"/>
    </x:xf>
    <x:xf numFmtId="0" fontId="5" fillId="8" borderId="10" xfId="0" applyNumberFormat="1" applyFont="1" applyFill="1" applyBorder="1" applyAlignment="1">
      <x:alignment horizontal="center" vertical="center"/>
    </x:xf>
    <x:xf numFmtId="0" fontId="8" fillId="8" borderId="9" xfId="0" applyNumberFormat="1" applyFont="1" applyFill="1" applyBorder="1" applyAlignment="1">
      <x:alignment vertical="center"/>
    </x:xf>
    <x:xf numFmtId="0" fontId="8" fillId="8" borderId="9" xfId="0" applyNumberFormat="1" applyFont="1" applyFill="1" applyBorder="1" applyAlignment="1">
      <x:alignment horizontal="center" vertical="center"/>
    </x:xf>
    <x:xf numFmtId="0" fontId="5" fillId="8" borderId="11" xfId="0" applyNumberFormat="1" applyFont="1" applyFill="1" applyBorder="1" applyAlignment="1">
      <x:alignment horizontal="center" vertical="center"/>
    </x:xf>
    <x:xf numFmtId="0" fontId="5" fillId="8" borderId="12" xfId="0" applyNumberFormat="1" applyFont="1" applyFill="1" applyBorder="1" applyAlignment="1">
      <x:alignment vertical="center"/>
    </x:xf>
    <x:xf numFmtId="0" fontId="5" fillId="8" borderId="12" xfId="0" applyNumberFormat="1" applyFont="1" applyFill="1" applyBorder="1" applyAlignment="1">
      <x:alignment horizontal="center" vertical="center"/>
    </x:xf>
    <x:xf numFmtId="200" fontId="5" fillId="8" borderId="12" xfId="0" applyNumberFormat="1" applyFont="1" applyFill="1" applyBorder="1" applyAlignment="1">
      <x:alignment horizontal="center" vertical="center"/>
    </x:xf>
    <x:xf numFmtId="0" fontId="5" fillId="8" borderId="13" xfId="0" applyNumberFormat="1" applyFont="1" applyFill="1" applyBorder="1" applyAlignment="1">
      <x:alignment horizontal="center" vertical="center"/>
    </x:xf>
    <x:xf numFmtId="0" fontId="8" fillId="8" borderId="12" xfId="0" applyNumberFormat="1" applyFont="1" applyFill="1" applyBorder="1" applyAlignment="1">
      <x:alignment vertical="center"/>
    </x:xf>
    <x:xf numFmtId="0" fontId="8" fillId="8" borderId="12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9" fillId="2" borderId="0" xfId="0" applyNumberFormat="1" applyFont="1" applyFill="1" applyBorder="1" applyAlignment="1">
      <x:alignment horizontal="center" vertical="center"/>
    </x:xf>
    <x:xf numFmtId="0" fontId="10" fillId="5" borderId="0" xfId="0" applyNumberFormat="1" applyFont="1" applyFill="1" applyBorder="1"/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0" fillId="5" borderId="14" xfId="0" applyNumberFormat="1" applyFont="1" applyFill="1" applyBorder="1"/>
    <x:xf numFmtId="0" fontId="11" fillId="9" borderId="14" xfId="0" applyNumberFormat="1" applyFont="1" applyFill="1" applyBorder="1"/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3" fillId="7" borderId="0" xfId="0" applyNumberFormat="1" applyFont="1" applyFill="1" applyBorder="1"/>
    <x:xf numFmtId="0" fontId="13" fillId="7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5" xfId="0" applyNumberFormat="1" applyFont="1" applyFill="1" applyBorder="1"/>
    <x:xf numFmtId="0" fontId="11" fillId="10" borderId="6" xfId="0" applyNumberFormat="1" applyFont="1" applyFill="1" applyBorder="1"/>
    <x:xf numFmtId="0" fontId="11" fillId="10" borderId="7" xfId="0" applyNumberFormat="1" applyFont="1" applyFill="1" applyBorder="1"/>
    <x:xf numFmtId="0" fontId="11" fillId="10" borderId="5" xfId="0" applyNumberFormat="1" applyFont="1" applyFill="1" applyBorder="1" applyAlignment="1">
      <x:alignment wrapText="0"/>
    </x:xf>
    <x:xf numFmtId="0" fontId="11" fillId="10" borderId="6" xfId="0" applyNumberFormat="1" applyFont="1" applyFill="1" applyBorder="1" applyAlignment="1">
      <x:alignment wrapText="0"/>
    </x:xf>
    <x:xf numFmtId="0" fontId="11" fillId="10" borderId="7" xfId="0" applyNumberFormat="1" applyFont="1" applyFill="1" applyBorder="1" applyAlignment="1">
      <x:alignment wrapText="0"/>
    </x:xf>
    <x:xf numFmtId="0" fontId="11" fillId="10" borderId="5" xfId="0" applyNumberFormat="1" applyFont="1" applyFill="1" applyBorder="1" applyAlignment="1">
      <x:alignment horizontal="center" wrapText="0"/>
    </x:xf>
    <x:xf numFmtId="0" fontId="11" fillId="10" borderId="6" xfId="0" applyNumberFormat="1" applyFont="1" applyFill="1" applyBorder="1" applyAlignment="1">
      <x:alignment horizontal="center" wrapText="0"/>
    </x:xf>
    <x:xf numFmtId="0" fontId="11" fillId="10" borderId="7" xfId="0" applyNumberFormat="1" applyFont="1" applyFill="1" applyBorder="1" applyAlignment="1">
      <x:alignment horizontal="center" wrapText="0"/>
    </x:xf>
    <x:xf numFmtId="0" fontId="11" fillId="10" borderId="5" xfId="0" applyNumberFormat="1" applyFont="1" applyFill="1" applyBorder="1" applyAlignment="1">
      <x:alignment horizontal="center" vertical="center" wrapText="0"/>
    </x:xf>
    <x:xf numFmtId="0" fontId="11" fillId="10" borderId="6" xfId="0" applyNumberFormat="1" applyFont="1" applyFill="1" applyBorder="1" applyAlignment="1">
      <x:alignment horizontal="center" vertical="center" wrapText="0"/>
    </x:xf>
    <x:xf numFmtId="0" fontId="11" fillId="10" borderId="7" xfId="0" applyNumberFormat="1" applyFont="1" applyFill="1" applyBorder="1" applyAlignment="1">
      <x:alignment horizontal="center" vertical="center" wrapText="0"/>
    </x:xf>
    <x:xf numFmtId="0" fontId="14" fillId="10" borderId="6" xfId="0" applyNumberFormat="1" applyFont="1" applyFill="1" applyBorder="1" applyAlignment="1">
      <x:alignment horizontal="center" vertical="center" wrapText="0"/>
    </x:xf>
    <x:xf numFmtId="0" fontId="14" fillId="10" borderId="6" xfId="0" applyNumberFormat="1" applyFont="1" applyFill="1" applyBorder="1" applyAlignment="1">
      <x:alignment horizontal="left" vertical="center" wrapText="0"/>
    </x:xf>
    <x:xf numFmtId="200" fontId="11" fillId="10" borderId="6" xfId="0" applyNumberFormat="1" applyFont="1" applyFill="1" applyBorder="1" applyAlignment="1">
      <x:alignment horizontal="center" vertical="center" wrapText="0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8" xfId="0" applyNumberFormat="1" applyFont="1" applyFill="1" applyBorder="1"/>
    <x:xf numFmtId="0" fontId="11" fillId="11" borderId="9" xfId="0" applyNumberFormat="1" applyFont="1" applyFill="1" applyBorder="1"/>
    <x:xf numFmtId="0" fontId="11" fillId="11" borderId="10" xfId="0" applyNumberFormat="1" applyFont="1" applyFill="1" applyBorder="1"/>
    <x:xf numFmtId="0" fontId="11" fillId="11" borderId="8" xfId="0" applyNumberFormat="1" applyFont="1" applyFill="1" applyBorder="1" applyAlignment="1">
      <x:alignment wrapText="0"/>
    </x:xf>
    <x:xf numFmtId="0" fontId="11" fillId="11" borderId="9" xfId="0" applyNumberFormat="1" applyFont="1" applyFill="1" applyBorder="1" applyAlignment="1">
      <x:alignment wrapText="0"/>
    </x:xf>
    <x:xf numFmtId="0" fontId="11" fillId="11" borderId="10" xfId="0" applyNumberFormat="1" applyFont="1" applyFill="1" applyBorder="1" applyAlignment="1">
      <x:alignment wrapText="0"/>
    </x:xf>
    <x:xf numFmtId="0" fontId="11" fillId="11" borderId="8" xfId="0" applyNumberFormat="1" applyFont="1" applyFill="1" applyBorder="1" applyAlignment="1">
      <x:alignment horizontal="center" wrapText="0"/>
    </x:xf>
    <x:xf numFmtId="0" fontId="11" fillId="11" borderId="9" xfId="0" applyNumberFormat="1" applyFont="1" applyFill="1" applyBorder="1" applyAlignment="1">
      <x:alignment horizontal="center" wrapText="0"/>
    </x:xf>
    <x:xf numFmtId="0" fontId="11" fillId="11" borderId="10" xfId="0" applyNumberFormat="1" applyFont="1" applyFill="1" applyBorder="1" applyAlignment="1">
      <x:alignment horizontal="center" wrapText="0"/>
    </x:xf>
    <x:xf numFmtId="0" fontId="11" fillId="11" borderId="8" xfId="0" applyNumberFormat="1" applyFont="1" applyFill="1" applyBorder="1" applyAlignment="1">
      <x:alignment horizontal="center" vertical="center" wrapText="0"/>
    </x:xf>
    <x:xf numFmtId="0" fontId="11" fillId="11" borderId="9" xfId="0" applyNumberFormat="1" applyFont="1" applyFill="1" applyBorder="1" applyAlignment="1">
      <x:alignment horizontal="center" vertical="center" wrapText="0"/>
    </x:xf>
    <x:xf numFmtId="0" fontId="11" fillId="11" borderId="10" xfId="0" applyNumberFormat="1" applyFont="1" applyFill="1" applyBorder="1" applyAlignment="1">
      <x:alignment horizontal="center" vertical="center" wrapText="0"/>
    </x:xf>
    <x:xf numFmtId="0" fontId="15" fillId="11" borderId="9" xfId="0" applyNumberFormat="1" applyFont="1" applyFill="1" applyBorder="1" applyAlignment="1">
      <x:alignment horizontal="center" vertical="center" wrapText="0"/>
    </x:xf>
    <x:xf numFmtId="0" fontId="15" fillId="11" borderId="9" xfId="0" applyNumberFormat="1" applyFont="1" applyFill="1" applyBorder="1" applyAlignment="1">
      <x:alignment horizontal="left" vertical="center" wrapText="0"/>
    </x:xf>
    <x:xf numFmtId="200" fontId="11" fillId="11" borderId="9" xfId="0" applyNumberFormat="1" applyFont="1" applyFill="1" applyBorder="1" applyAlignment="1">
      <x:alignment horizontal="center" vertical="center" wrapText="0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8" xfId="0" applyNumberFormat="1" applyFont="1" applyFill="1" applyBorder="1"/>
    <x:xf numFmtId="0" fontId="11" fillId="12" borderId="9" xfId="0" applyNumberFormat="1" applyFont="1" applyFill="1" applyBorder="1"/>
    <x:xf numFmtId="0" fontId="11" fillId="12" borderId="10" xfId="0" applyNumberFormat="1" applyFont="1" applyFill="1" applyBorder="1"/>
    <x:xf numFmtId="0" fontId="11" fillId="12" borderId="8" xfId="0" applyNumberFormat="1" applyFont="1" applyFill="1" applyBorder="1" applyAlignment="1">
      <x:alignment wrapText="0"/>
    </x:xf>
    <x:xf numFmtId="0" fontId="11" fillId="12" borderId="9" xfId="0" applyNumberFormat="1" applyFont="1" applyFill="1" applyBorder="1" applyAlignment="1">
      <x:alignment wrapText="0"/>
    </x:xf>
    <x:xf numFmtId="0" fontId="11" fillId="12" borderId="10" xfId="0" applyNumberFormat="1" applyFont="1" applyFill="1" applyBorder="1" applyAlignment="1">
      <x:alignment wrapText="0"/>
    </x:xf>
    <x:xf numFmtId="0" fontId="11" fillId="12" borderId="8" xfId="0" applyNumberFormat="1" applyFont="1" applyFill="1" applyBorder="1" applyAlignment="1">
      <x:alignment horizontal="center" wrapText="0"/>
    </x:xf>
    <x:xf numFmtId="0" fontId="11" fillId="12" borderId="9" xfId="0" applyNumberFormat="1" applyFont="1" applyFill="1" applyBorder="1" applyAlignment="1">
      <x:alignment horizontal="center" wrapText="0"/>
    </x:xf>
    <x:xf numFmtId="0" fontId="11" fillId="12" borderId="10" xfId="0" applyNumberFormat="1" applyFont="1" applyFill="1" applyBorder="1" applyAlignment="1">
      <x:alignment horizontal="center" wrapText="0"/>
    </x:xf>
    <x:xf numFmtId="0" fontId="11" fillId="12" borderId="8" xfId="0" applyNumberFormat="1" applyFont="1" applyFill="1" applyBorder="1" applyAlignment="1">
      <x:alignment horizontal="center" vertical="center" wrapText="0"/>
    </x:xf>
    <x:xf numFmtId="0" fontId="11" fillId="12" borderId="9" xfId="0" applyNumberFormat="1" applyFont="1" applyFill="1" applyBorder="1" applyAlignment="1">
      <x:alignment horizontal="center" vertical="center" wrapText="0"/>
    </x:xf>
    <x:xf numFmtId="0" fontId="11" fillId="12" borderId="10" xfId="0" applyNumberFormat="1" applyFont="1" applyFill="1" applyBorder="1" applyAlignment="1">
      <x:alignment horizontal="center" vertical="center" wrapText="0"/>
    </x:xf>
    <x:xf numFmtId="0" fontId="16" fillId="12" borderId="9" xfId="0" applyNumberFormat="1" applyFont="1" applyFill="1" applyBorder="1" applyAlignment="1">
      <x:alignment horizontal="center" vertical="center" wrapText="0"/>
    </x:xf>
    <x:xf numFmtId="0" fontId="16" fillId="12" borderId="9" xfId="0" applyNumberFormat="1" applyFont="1" applyFill="1" applyBorder="1" applyAlignment="1">
      <x:alignment horizontal="left" vertical="center" wrapText="0"/>
    </x:xf>
    <x:xf numFmtId="200" fontId="11" fillId="12" borderId="9" xfId="0" applyNumberFormat="1" applyFont="1" applyFill="1" applyBorder="1" applyAlignment="1">
      <x:alignment horizontal="center" vertical="center" wrapText="0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8" xfId="0" applyNumberFormat="1" applyFont="1" applyFill="1" applyBorder="1"/>
    <x:xf numFmtId="0" fontId="11" fillId="13" borderId="9" xfId="0" applyNumberFormat="1" applyFont="1" applyFill="1" applyBorder="1"/>
    <x:xf numFmtId="0" fontId="11" fillId="13" borderId="10" xfId="0" applyNumberFormat="1" applyFont="1" applyFill="1" applyBorder="1"/>
    <x:xf numFmtId="0" fontId="11" fillId="13" borderId="8" xfId="0" applyNumberFormat="1" applyFont="1" applyFill="1" applyBorder="1" applyAlignment="1">
      <x:alignment wrapText="0"/>
    </x:xf>
    <x:xf numFmtId="0" fontId="11" fillId="13" borderId="9" xfId="0" applyNumberFormat="1" applyFont="1" applyFill="1" applyBorder="1" applyAlignment="1">
      <x:alignment wrapText="0"/>
    </x:xf>
    <x:xf numFmtId="0" fontId="11" fillId="13" borderId="10" xfId="0" applyNumberFormat="1" applyFont="1" applyFill="1" applyBorder="1" applyAlignment="1">
      <x:alignment wrapText="0"/>
    </x:xf>
    <x:xf numFmtId="0" fontId="11" fillId="13" borderId="8" xfId="0" applyNumberFormat="1" applyFont="1" applyFill="1" applyBorder="1" applyAlignment="1">
      <x:alignment horizontal="center" wrapText="0"/>
    </x:xf>
    <x:xf numFmtId="0" fontId="11" fillId="13" borderId="9" xfId="0" applyNumberFormat="1" applyFont="1" applyFill="1" applyBorder="1" applyAlignment="1">
      <x:alignment horizontal="center" wrapText="0"/>
    </x:xf>
    <x:xf numFmtId="0" fontId="11" fillId="13" borderId="10" xfId="0" applyNumberFormat="1" applyFont="1" applyFill="1" applyBorder="1" applyAlignment="1">
      <x:alignment horizontal="center" wrapText="0"/>
    </x:xf>
    <x:xf numFmtId="0" fontId="11" fillId="13" borderId="8" xfId="0" applyNumberFormat="1" applyFont="1" applyFill="1" applyBorder="1" applyAlignment="1">
      <x:alignment horizontal="center" vertical="center" wrapText="0"/>
    </x:xf>
    <x:xf numFmtId="0" fontId="11" fillId="13" borderId="9" xfId="0" applyNumberFormat="1" applyFont="1" applyFill="1" applyBorder="1" applyAlignment="1">
      <x:alignment horizontal="center" vertical="center" wrapText="0"/>
    </x:xf>
    <x:xf numFmtId="0" fontId="11" fillId="13" borderId="10" xfId="0" applyNumberFormat="1" applyFont="1" applyFill="1" applyBorder="1" applyAlignment="1">
      <x:alignment horizontal="center" vertical="center" wrapText="0"/>
    </x:xf>
    <x:xf numFmtId="0" fontId="17" fillId="13" borderId="9" xfId="0" applyNumberFormat="1" applyFont="1" applyFill="1" applyBorder="1" applyAlignment="1">
      <x:alignment horizontal="center" vertical="center" wrapText="0"/>
    </x:xf>
    <x:xf numFmtId="0" fontId="17" fillId="13" borderId="9" xfId="0" applyNumberFormat="1" applyFont="1" applyFill="1" applyBorder="1" applyAlignment="1">
      <x:alignment horizontal="left" vertical="center" wrapText="0"/>
    </x:xf>
    <x:xf numFmtId="200" fontId="11" fillId="13" borderId="9" xfId="0" applyNumberFormat="1" applyFont="1" applyFill="1" applyBorder="1" applyAlignment="1">
      <x:alignment horizontal="center" vertical="center" wrapText="0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11" xfId="0" applyNumberFormat="1" applyFont="1" applyFill="1" applyBorder="1"/>
    <x:xf numFmtId="0" fontId="11" fillId="14" borderId="12" xfId="0" applyNumberFormat="1" applyFont="1" applyFill="1" applyBorder="1"/>
    <x:xf numFmtId="0" fontId="11" fillId="14" borderId="13" xfId="0" applyNumberFormat="1" applyFont="1" applyFill="1" applyBorder="1"/>
    <x:xf numFmtId="0" fontId="11" fillId="14" borderId="11" xfId="0" applyNumberFormat="1" applyFont="1" applyFill="1" applyBorder="1" applyAlignment="1">
      <x:alignment wrapText="0"/>
    </x:xf>
    <x:xf numFmtId="0" fontId="11" fillId="14" borderId="12" xfId="0" applyNumberFormat="1" applyFont="1" applyFill="1" applyBorder="1" applyAlignment="1">
      <x:alignment wrapText="0"/>
    </x:xf>
    <x:xf numFmtId="0" fontId="11" fillId="14" borderId="13" xfId="0" applyNumberFormat="1" applyFont="1" applyFill="1" applyBorder="1" applyAlignment="1">
      <x:alignment wrapText="0"/>
    </x:xf>
    <x:xf numFmtId="0" fontId="11" fillId="14" borderId="11" xfId="0" applyNumberFormat="1" applyFont="1" applyFill="1" applyBorder="1" applyAlignment="1">
      <x:alignment horizontal="center" wrapText="0"/>
    </x:xf>
    <x:xf numFmtId="0" fontId="11" fillId="14" borderId="12" xfId="0" applyNumberFormat="1" applyFont="1" applyFill="1" applyBorder="1" applyAlignment="1">
      <x:alignment horizontal="center" wrapText="0"/>
    </x:xf>
    <x:xf numFmtId="0" fontId="11" fillId="14" borderId="13" xfId="0" applyNumberFormat="1" applyFont="1" applyFill="1" applyBorder="1" applyAlignment="1">
      <x:alignment horizontal="center" wrapText="0"/>
    </x:xf>
    <x:xf numFmtId="0" fontId="11" fillId="14" borderId="11" xfId="0" applyNumberFormat="1" applyFont="1" applyFill="1" applyBorder="1" applyAlignment="1">
      <x:alignment horizontal="center" vertical="center" wrapText="0"/>
    </x:xf>
    <x:xf numFmtId="0" fontId="11" fillId="14" borderId="12" xfId="0" applyNumberFormat="1" applyFont="1" applyFill="1" applyBorder="1" applyAlignment="1">
      <x:alignment horizontal="center" vertical="center" wrapText="0"/>
    </x:xf>
    <x:xf numFmtId="0" fontId="11" fillId="14" borderId="13" xfId="0" applyNumberFormat="1" applyFont="1" applyFill="1" applyBorder="1" applyAlignment="1">
      <x:alignment horizontal="center" vertical="center" wrapText="0"/>
    </x:xf>
    <x:xf numFmtId="0" fontId="18" fillId="14" borderId="12" xfId="0" applyNumberFormat="1" applyFont="1" applyFill="1" applyBorder="1" applyAlignment="1">
      <x:alignment horizontal="center" vertical="center" wrapText="0"/>
    </x:xf>
    <x:xf numFmtId="0" fontId="18" fillId="14" borderId="12" xfId="0" applyNumberFormat="1" applyFont="1" applyFill="1" applyBorder="1" applyAlignment="1">
      <x:alignment horizontal="left" vertical="center" wrapText="0"/>
    </x:xf>
    <x:xf numFmtId="200" fontId="11" fillId="14" borderId="12" xfId="0" applyNumberFormat="1" applyFont="1" applyFill="1" applyBorder="1" applyAlignment="1">
      <x:alignment horizontal="center" vertical="center" wrapText="0"/>
    </x:xf>
    <x:xf numFmtId="0" fontId="0" fillId="15" borderId="0" xfId="0" applyNumberFormat="1" applyFont="1" applyFill="1" applyBorder="1"/>
    <x:xf numFmtId="0" fontId="19" fillId="15" borderId="0" xfId="0" applyNumberFormat="1" applyFont="1" applyFill="1" applyBorder="1"/>
    <x:xf numFmtId="0" fontId="19" fillId="15" borderId="1" xfId="0" applyNumberFormat="1" applyFont="1" applyFill="1" applyBorder="1"/>
    <x:xf numFmtId="0" fontId="19" fillId="15" borderId="2" xfId="0" applyNumberFormat="1" applyFont="1" applyFill="1" applyBorder="1"/>
    <x:xf numFmtId="0" fontId="19" fillId="15" borderId="3" xfId="0" applyNumberFormat="1" applyFont="1" applyFill="1" applyBorder="1"/>
    <x:xf numFmtId="0" fontId="19" fillId="15" borderId="1" xfId="0" applyNumberFormat="1" applyFont="1" applyFill="1" applyBorder="1" applyAlignment="1">
      <x:alignment horizontal="center"/>
    </x:xf>
    <x:xf numFmtId="0" fontId="19" fillId="15" borderId="2" xfId="0" applyNumberFormat="1" applyFont="1" applyFill="1" applyBorder="1" applyAlignment="1">
      <x:alignment horizontal="center"/>
    </x:xf>
    <x:xf numFmtId="0" fontId="19" fillId="15" borderId="3" xfId="0" applyNumberFormat="1" applyFont="1" applyFill="1" applyBorder="1" applyAlignment="1">
      <x:alignment horizontal="center"/>
    </x:xf>
    <x:xf numFmtId="0" fontId="19" fillId="15" borderId="1" xfId="0" applyNumberFormat="1" applyFont="1" applyFill="1" applyBorder="1" applyAlignment="1">
      <x:alignment horizontal="center" vertical="center"/>
    </x:xf>
    <x:xf numFmtId="0" fontId="19" fillId="15" borderId="2" xfId="0" applyNumberFormat="1" applyFont="1" applyFill="1" applyBorder="1" applyAlignment="1">
      <x:alignment horizontal="center" vertical="center"/>
    </x:xf>
    <x:xf numFmtId="0" fontId="19" fillId="15" borderId="3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20" fillId="16" borderId="0" xfId="0" applyNumberFormat="1" applyFont="1" applyFill="1" applyBorder="1"/>
    <x:xf numFmtId="0" fontId="20" fillId="16" borderId="0" xfId="0" applyNumberFormat="1" applyFont="1" applyFill="1" applyBorder="1" applyAlignment="1">
      <x:alignment horizontal="center"/>
    </x:xf>
    <x:xf numFmtId="0" fontId="20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21" fillId="17" borderId="0" xfId="0" applyNumberFormat="1" applyFont="1" applyFill="1" applyBorder="1"/>
    <x:xf numFmtId="0" fontId="21" fillId="17" borderId="4" xfId="0" applyNumberFormat="1" applyFont="1" applyFill="1" applyBorder="1"/>
    <x:xf numFmtId="0" fontId="21" fillId="17" borderId="4" xfId="0" applyNumberFormat="1" applyFont="1" applyFill="1" applyBorder="1" applyAlignment="1">
      <x:alignment horizontal="center"/>
    </x:xf>
    <x:xf numFmtId="0" fontId="21" fillId="17" borderId="4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22" fillId="18" borderId="0" xfId="0" applyNumberFormat="1" applyFont="1" applyFill="1" applyBorder="1"/>
    <x:xf numFmtId="0" fontId="22" fillId="18" borderId="14" xfId="0" applyNumberFormat="1" applyFont="1" applyFill="1" applyBorder="1"/>
    <x:xf numFmtId="0" fontId="22" fillId="18" borderId="14" xfId="0" applyNumberFormat="1" applyFont="1" applyFill="1" applyBorder="1" applyAlignment="1">
      <x:alignment horizontal="center"/>
    </x:xf>
    <x:xf numFmtId="0" fontId="22" fillId="18" borderId="14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22" fillId="19" borderId="0" xfId="0" applyNumberFormat="1" applyFont="1" applyFill="1" applyBorder="1"/>
    <x:xf numFmtId="0" fontId="22" fillId="19" borderId="14" xfId="0" applyNumberFormat="1" applyFont="1" applyFill="1" applyBorder="1"/>
    <x:xf numFmtId="0" fontId="22" fillId="19" borderId="14" xfId="0" applyNumberFormat="1" applyFont="1" applyFill="1" applyBorder="1" applyAlignment="1">
      <x:alignment horizontal="center"/>
    </x:xf>
    <x:xf numFmtId="0" fontId="22" fillId="19" borderId="14" xfId="0" applyNumberFormat="1" applyFont="1" applyFill="1" applyBorder="1" applyAlignment="1">
      <x:alignment horizontal="center" vertical="center"/>
    </x:xf>
    <x:xf numFmtId="0" fontId="0" fillId="20" borderId="0" xfId="0" applyNumberFormat="1" applyFont="1" applyFill="1" applyBorder="1"/>
    <x:xf numFmtId="0" fontId="22" fillId="20" borderId="0" xfId="0" applyNumberFormat="1" applyFont="1" applyFill="1" applyBorder="1"/>
    <x:xf numFmtId="0" fontId="22" fillId="20" borderId="14" xfId="0" applyNumberFormat="1" applyFont="1" applyFill="1" applyBorder="1"/>
    <x:xf numFmtId="0" fontId="22" fillId="20" borderId="14" xfId="0" applyNumberFormat="1" applyFont="1" applyFill="1" applyBorder="1" applyAlignment="1">
      <x:alignment horizontal="center"/>
    </x:xf>
    <x:xf numFmtId="0" fontId="22" fillId="20" borderId="14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22" fillId="21" borderId="0" xfId="0" applyNumberFormat="1" applyFont="1" applyFill="1" applyBorder="1"/>
    <x:xf numFmtId="0" fontId="22" fillId="21" borderId="14" xfId="0" applyNumberFormat="1" applyFont="1" applyFill="1" applyBorder="1"/>
    <x:xf numFmtId="0" fontId="22" fillId="21" borderId="14" xfId="0" applyNumberFormat="1" applyFont="1" applyFill="1" applyBorder="1" applyAlignment="1">
      <x:alignment horizontal="center"/>
    </x:xf>
    <x:xf numFmtId="0" fontId="22" fillId="21" borderId="14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/>
    <x:xf numFmtId="0" fontId="22" fillId="22" borderId="0" xfId="0" applyNumberFormat="1" applyFont="1" applyFill="1" applyBorder="1"/>
    <x:xf numFmtId="0" fontId="22" fillId="22" borderId="14" xfId="0" applyNumberFormat="1" applyFont="1" applyFill="1" applyBorder="1"/>
    <x:xf numFmtId="0" fontId="22" fillId="22" borderId="14" xfId="0" applyNumberFormat="1" applyFont="1" applyFill="1" applyBorder="1" applyAlignment="1">
      <x:alignment horizontal="center"/>
    </x:xf>
    <x:xf numFmtId="0" fontId="22" fillId="22" borderId="14" xfId="0" applyNumberFormat="1" applyFont="1" applyFill="1" applyBorder="1" applyAlignment="1">
      <x:alignment horizontal="center" vertical="center"/>
    </x:xf>
    <x:xf numFmtId="0" fontId="22" fillId="18" borderId="14" xfId="0" applyNumberFormat="1" applyFont="1" applyFill="1" applyBorder="1" applyAlignment="1">
      <x:alignment horizontal="left" vertical="center"/>
    </x:xf>
    <x:xf numFmtId="0" fontId="22" fillId="19" borderId="14" xfId="0" applyNumberFormat="1" applyFont="1" applyFill="1" applyBorder="1" applyAlignment="1">
      <x:alignment horizontal="left" vertical="center"/>
    </x:xf>
    <x:xf numFmtId="0" fontId="22" fillId="20" borderId="14" xfId="0" applyNumberFormat="1" applyFont="1" applyFill="1" applyBorder="1" applyAlignment="1">
      <x:alignment horizontal="left" vertical="center"/>
    </x:xf>
    <x:xf numFmtId="0" fontId="22" fillId="21" borderId="14" xfId="0" applyNumberFormat="1" applyFont="1" applyFill="1" applyBorder="1" applyAlignment="1">
      <x:alignment horizontal="left" vertical="center"/>
    </x:xf>
    <x:xf numFmtId="0" fontId="22" fillId="22" borderId="14" xfId="0" applyNumberFormat="1" applyFont="1" applyFill="1" applyBorder="1" applyAlignment="1">
      <x:alignment horizontal="left" vertical="center"/>
    </x:xf>
    <x:xf numFmtId="0" fontId="23" fillId="18" borderId="0" xfId="0" applyNumberFormat="1" applyFont="1" applyFill="1" applyBorder="1"/>
    <x:xf numFmtId="0" fontId="23" fillId="18" borderId="15" xfId="0" applyNumberFormat="1" applyFont="1" applyFill="1" applyBorder="1"/>
    <x:xf numFmtId="0" fontId="23" fillId="18" borderId="16" xfId="0" applyNumberFormat="1" applyFont="1" applyFill="1" applyBorder="1"/>
    <x:xf numFmtId="0" fontId="23" fillId="18" borderId="17" xfId="0" applyNumberFormat="1" applyFont="1" applyFill="1" applyBorder="1"/>
    <x:xf numFmtId="0" fontId="23" fillId="18" borderId="15" xfId="0" applyNumberFormat="1" applyFont="1" applyFill="1" applyBorder="1" applyAlignment="1">
      <x:alignment horizontal="center"/>
    </x:xf>
    <x:xf numFmtId="0" fontId="23" fillId="18" borderId="16" xfId="0" applyNumberFormat="1" applyFont="1" applyFill="1" applyBorder="1" applyAlignment="1">
      <x:alignment horizontal="center"/>
    </x:xf>
    <x:xf numFmtId="0" fontId="23" fillId="18" borderId="17" xfId="0" applyNumberFormat="1" applyFont="1" applyFill="1" applyBorder="1" applyAlignment="1">
      <x:alignment horizontal="center"/>
    </x:xf>
    <x:xf numFmtId="0" fontId="23" fillId="18" borderId="15" xfId="0" applyNumberFormat="1" applyFont="1" applyFill="1" applyBorder="1" applyAlignment="1">
      <x:alignment horizontal="center" vertical="center"/>
    </x:xf>
    <x:xf numFmtId="0" fontId="23" fillId="18" borderId="16" xfId="0" applyNumberFormat="1" applyFont="1" applyFill="1" applyBorder="1" applyAlignment="1">
      <x:alignment horizontal="center" vertical="center"/>
    </x:xf>
    <x:xf numFmtId="0" fontId="23" fillId="18" borderId="17" xfId="0" applyNumberFormat="1" applyFont="1" applyFill="1" applyBorder="1" applyAlignment="1">
      <x:alignment horizontal="center" vertical="center"/>
    </x:xf>
    <x:xf numFmtId="200" fontId="22" fillId="18" borderId="14" xfId="0" applyNumberFormat="1" applyFont="1" applyFill="1" applyBorder="1" applyAlignment="1">
      <x:alignment horizontal="center" vertical="center"/>
    </x:xf>
    <x:xf numFmtId="200" fontId="22" fillId="19" borderId="14" xfId="0" applyNumberFormat="1" applyFont="1" applyFill="1" applyBorder="1" applyAlignment="1">
      <x:alignment horizontal="center" vertical="center"/>
    </x:xf>
    <x:xf numFmtId="200" fontId="22" fillId="20" borderId="14" xfId="0" applyNumberFormat="1" applyFont="1" applyFill="1" applyBorder="1" applyAlignment="1">
      <x:alignment horizontal="center" vertical="center"/>
    </x:xf>
    <x:xf numFmtId="200" fontId="22" fillId="21" borderId="14" xfId="0" applyNumberFormat="1" applyFont="1" applyFill="1" applyBorder="1" applyAlignment="1">
      <x:alignment horizontal="center" vertical="center"/>
    </x:xf>
    <x:xf numFmtId="200" fontId="22" fillId="22" borderId="14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/>
    <x:xf numFmtId="0" fontId="24" fillId="23" borderId="0" xfId="0" applyNumberFormat="1" applyFont="1" applyFill="1" applyBorder="1"/>
    <x:xf numFmtId="0" fontId="24" fillId="23" borderId="0" xfId="0" applyNumberFormat="1" applyFont="1" applyFill="1" applyBorder="1" applyAlignment="1">
      <x:alignment wrapText="1"/>
    </x:xf>
    <x:xf numFmtId="0" fontId="24" fillId="23" borderId="0" xfId="0" applyNumberFormat="1" applyFont="1" applyFill="1" applyBorder="1" applyAlignment="1">
      <x:alignment horizontal="center" wrapText="1"/>
    </x:xf>
    <x:xf numFmtId="0" fontId="24" fillId="23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/>
    <x:xf numFmtId="0" fontId="25" fillId="24" borderId="0" xfId="0" applyNumberFormat="1" applyFont="1" applyFill="1" applyBorder="1"/>
    <x:xf numFmtId="0" fontId="25" fillId="24" borderId="18" xfId="0" applyNumberFormat="1" applyFont="1" applyFill="1" applyBorder="1"/>
    <x:xf numFmtId="0" fontId="25" fillId="24" borderId="19" xfId="0" applyNumberFormat="1" applyFont="1" applyFill="1" applyBorder="1"/>
    <x:xf numFmtId="0" fontId="25" fillId="24" borderId="20" xfId="0" applyNumberFormat="1" applyFont="1" applyFill="1" applyBorder="1"/>
    <x:xf numFmtId="0" fontId="25" fillId="24" borderId="21" xfId="0" applyNumberFormat="1" applyFont="1" applyFill="1" applyBorder="1"/>
    <x:xf numFmtId="0" fontId="25" fillId="24" borderId="22" xfId="0" applyNumberFormat="1" applyFont="1" applyFill="1" applyBorder="1"/>
    <x:xf numFmtId="0" fontId="25" fillId="24" borderId="23" xfId="0" applyNumberFormat="1" applyFont="1" applyFill="1" applyBorder="1"/>
    <x:xf numFmtId="0" fontId="25" fillId="24" borderId="24" xfId="0" applyNumberFormat="1" applyFont="1" applyFill="1" applyBorder="1"/>
    <x:xf numFmtId="0" fontId="25" fillId="24" borderId="25" xfId="0" applyNumberFormat="1" applyFont="1" applyFill="1" applyBorder="1"/>
    <x:xf numFmtId="0" fontId="25" fillId="24" borderId="26" xfId="0" applyNumberFormat="1" applyFont="1" applyFill="1" applyBorder="1"/>
    <x:xf numFmtId="0" fontId="25" fillId="24" borderId="18" xfId="0" applyNumberFormat="1" applyFont="1" applyFill="1" applyBorder="1" applyAlignment="1">
      <x:alignment horizontal="center"/>
    </x:xf>
    <x:xf numFmtId="0" fontId="25" fillId="24" borderId="19" xfId="0" applyNumberFormat="1" applyFont="1" applyFill="1" applyBorder="1" applyAlignment="1">
      <x:alignment horizontal="center"/>
    </x:xf>
    <x:xf numFmtId="0" fontId="25" fillId="24" borderId="20" xfId="0" applyNumberFormat="1" applyFont="1" applyFill="1" applyBorder="1" applyAlignment="1">
      <x:alignment horizontal="center"/>
    </x:xf>
    <x:xf numFmtId="0" fontId="25" fillId="24" borderId="21" xfId="0" applyNumberFormat="1" applyFont="1" applyFill="1" applyBorder="1" applyAlignment="1">
      <x:alignment horizontal="center"/>
    </x:xf>
    <x:xf numFmtId="0" fontId="25" fillId="24" borderId="22" xfId="0" applyNumberFormat="1" applyFont="1" applyFill="1" applyBorder="1" applyAlignment="1">
      <x:alignment horizontal="center"/>
    </x:xf>
    <x:xf numFmtId="0" fontId="25" fillId="24" borderId="23" xfId="0" applyNumberFormat="1" applyFont="1" applyFill="1" applyBorder="1" applyAlignment="1">
      <x:alignment horizontal="center"/>
    </x:xf>
    <x:xf numFmtId="0" fontId="25" fillId="24" borderId="24" xfId="0" applyNumberFormat="1" applyFont="1" applyFill="1" applyBorder="1" applyAlignment="1">
      <x:alignment horizontal="center"/>
    </x:xf>
    <x:xf numFmtId="0" fontId="25" fillId="24" borderId="25" xfId="0" applyNumberFormat="1" applyFont="1" applyFill="1" applyBorder="1" applyAlignment="1">
      <x:alignment horizontal="center"/>
    </x:xf>
    <x:xf numFmtId="0" fontId="25" fillId="24" borderId="26" xfId="0" applyNumberFormat="1" applyFont="1" applyFill="1" applyBorder="1" applyAlignment="1">
      <x:alignment horizontal="center"/>
    </x:xf>
    <x:xf numFmtId="0" fontId="25" fillId="24" borderId="18" xfId="0" applyNumberFormat="1" applyFont="1" applyFill="1" applyBorder="1" applyAlignment="1">
      <x:alignment horizontal="center" vertical="center"/>
    </x:xf>
    <x:xf numFmtId="0" fontId="25" fillId="24" borderId="19" xfId="0" applyNumberFormat="1" applyFont="1" applyFill="1" applyBorder="1" applyAlignment="1">
      <x:alignment horizontal="center" vertical="center"/>
    </x:xf>
    <x:xf numFmtId="0" fontId="25" fillId="24" borderId="20" xfId="0" applyNumberFormat="1" applyFont="1" applyFill="1" applyBorder="1" applyAlignment="1">
      <x:alignment horizontal="center" vertical="center"/>
    </x:xf>
    <x:xf numFmtId="0" fontId="25" fillId="24" borderId="21" xfId="0" applyNumberFormat="1" applyFont="1" applyFill="1" applyBorder="1" applyAlignment="1">
      <x:alignment horizontal="center" vertical="center"/>
    </x:xf>
    <x:xf numFmtId="0" fontId="25" fillId="24" borderId="22" xfId="0" applyNumberFormat="1" applyFont="1" applyFill="1" applyBorder="1" applyAlignment="1">
      <x:alignment horizontal="center" vertical="center"/>
    </x:xf>
    <x:xf numFmtId="0" fontId="25" fillId="24" borderId="23" xfId="0" applyNumberFormat="1" applyFont="1" applyFill="1" applyBorder="1" applyAlignment="1">
      <x:alignment horizontal="center" vertical="center"/>
    </x:xf>
    <x:xf numFmtId="0" fontId="25" fillId="24" borderId="24" xfId="0" applyNumberFormat="1" applyFont="1" applyFill="1" applyBorder="1" applyAlignment="1">
      <x:alignment horizontal="center" vertical="center"/>
    </x:xf>
    <x:xf numFmtId="0" fontId="25" fillId="24" borderId="25" xfId="0" applyNumberFormat="1" applyFont="1" applyFill="1" applyBorder="1" applyAlignment="1">
      <x:alignment horizontal="center" vertical="center"/>
    </x:xf>
    <x:xf numFmtId="0" fontId="25" fillId="24" borderId="2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5" borderId="0" xfId="0" applyNumberFormat="1" applyFont="1" applyFill="1" applyBorder="1"/>
    <x:xf numFmtId="0" fontId="24" fillId="25" borderId="0" xfId="0" applyNumberFormat="1" applyFont="1" applyFill="1" applyBorder="1"/>
    <x:xf numFmtId="0" fontId="24" fillId="25" borderId="0" xfId="0" applyNumberFormat="1" applyFont="1" applyFill="1" applyBorder="1" applyAlignment="1">
      <x:alignment wrapText="1"/>
    </x:xf>
    <x:xf numFmtId="0" fontId="24" fillId="25" borderId="0" xfId="0" applyNumberFormat="1" applyFont="1" applyFill="1" applyBorder="1" applyAlignment="1">
      <x:alignment horizontal="center" wrapText="1"/>
    </x:xf>
    <x:xf numFmtId="0" fontId="24" fillId="25" borderId="0" xfId="0" applyNumberFormat="1" applyFont="1" applyFill="1" applyBorder="1" applyAlignment="1">
      <x:alignment horizontal="center" vertical="center" wrapText="1"/>
    </x:xf>
    <x:xf numFmtId="0" fontId="10" fillId="23" borderId="14" xfId="0" applyNumberFormat="1" applyFont="1" applyFill="1" applyBorder="1"/>
    <x:xf numFmtId="0" fontId="12" fillId="23" borderId="0" xfId="0" applyNumberFormat="1" applyFont="1" applyFill="1" applyBorder="1" applyAlignment="1">
      <x:alignment wrapText="1"/>
    </x:xf>
    <x:xf numFmtId="0" fontId="13" fillId="23" borderId="0" xfId="0" applyNumberFormat="1" applyFont="1" applyFill="1" applyBorder="1" applyAlignment="1">
      <x:alignment wrapText="1"/>
    </x:xf>
    <x:xf numFmtId="0" fontId="24" fillId="23" borderId="14" xfId="0" applyNumberFormat="1" applyFont="1" applyFill="1" applyBorder="1"/>
    <x:xf numFmtId="0" fontId="24" fillId="23" borderId="14" xfId="0" applyNumberFormat="1" applyFont="1" applyFill="1" applyBorder="1" applyAlignment="1">
      <x:alignment vertical="center"/>
    </x:xf>
    <x:xf numFmtId="0" fontId="24" fillId="23" borderId="0" xfId="0" applyNumberFormat="1" applyFont="1" applyFill="1" applyBorder="1" applyAlignment="1">
      <x:alignment vertical="center"/>
    </x:xf>
    <x:xf numFmtId="0" fontId="24" fillId="23" borderId="0" xfId="0" applyNumberFormat="1" applyFont="1" applyFill="1" applyBorder="1" applyAlignment="1">
      <x:alignment vertical="center" wrapText="1"/>
    </x:xf>
    <x:xf numFmtId="0" fontId="11" fillId="24" borderId="14" xfId="0" applyNumberFormat="1" applyFont="1" applyFill="1" applyBorder="1"/>
    <x:xf numFmtId="0" fontId="12" fillId="24" borderId="0" xfId="0" applyNumberFormat="1" applyFont="1" applyFill="1" applyBorder="1" applyAlignment="1">
      <x:alignment wrapText="1"/>
    </x:xf>
    <x:xf numFmtId="0" fontId="13" fillId="24" borderId="0" xfId="0" applyNumberFormat="1" applyFont="1" applyFill="1" applyBorder="1" applyAlignment="1">
      <x:alignment wrapText="1"/>
    </x:xf>
    <x:xf numFmtId="0" fontId="25" fillId="24" borderId="14" xfId="0" applyNumberFormat="1" applyFont="1" applyFill="1" applyBorder="1"/>
    <x:xf numFmtId="0" fontId="25" fillId="24" borderId="0" xfId="0" applyNumberFormat="1" applyFont="1" applyFill="1" applyBorder="1" applyAlignment="1">
      <x:alignment wrapText="1"/>
    </x:xf>
    <x:xf numFmtId="0" fontId="25" fillId="24" borderId="14" xfId="0" applyNumberFormat="1" applyFont="1" applyFill="1" applyBorder="1" applyAlignment="1">
      <x:alignment wrapText="1"/>
    </x:xf>
    <x:xf numFmtId="0" fontId="25" fillId="24" borderId="14" xfId="0" applyNumberFormat="1" applyFont="1" applyFill="1" applyBorder="1" applyAlignment="1">
      <x:alignment vertical="center" wrapText="1"/>
    </x:xf>
    <x:xf numFmtId="0" fontId="25" fillId="24" borderId="0" xfId="0" applyNumberFormat="1" applyFont="1" applyFill="1" applyBorder="1" applyAlignment="1">
      <x:alignment vertical="center" wrapText="1"/>
    </x:xf>
    <x:xf numFmtId="0" fontId="24" fillId="23" borderId="27" xfId="0" applyNumberFormat="1" applyFont="1" applyFill="1" applyBorder="1" applyAlignment="1">
      <x:alignment vertical="center"/>
    </x:xf>
    <x:xf numFmtId="0" fontId="25" fillId="24" borderId="28" xfId="0" applyNumberFormat="1" applyFont="1" applyFill="1" applyBorder="1" applyAlignment="1">
      <x:alignment vertical="center" wrapText="1"/>
    </x:xf>
    <x:xf numFmtId="0" fontId="24" fillId="23" borderId="29" xfId="0" applyNumberFormat="1" applyFont="1" applyFill="1" applyBorder="1" applyAlignment="1">
      <x:alignment vertical="center"/>
    </x:xf>
    <x:xf numFmtId="0" fontId="25" fillId="24" borderId="30" xfId="0" applyNumberFormat="1" applyFont="1" applyFill="1" applyBorder="1" applyAlignment="1">
      <x:alignment vertical="center" wrapText="1"/>
    </x:xf>
    <x:xf numFmtId="0" fontId="24" fillId="23" borderId="29" xfId="0" applyNumberFormat="1" applyFont="1" applyFill="1" applyBorder="1" applyAlignment="1">
      <x:alignment vertical="center" wrapText="1"/>
    </x:xf>
    <x:xf numFmtId="0" fontId="24" fillId="23" borderId="31" xfId="0" applyNumberFormat="1" applyFont="1" applyFill="1" applyBorder="1" applyAlignment="1">
      <x:alignment vertical="center" wrapText="1"/>
    </x:xf>
    <x:xf numFmtId="0" fontId="25" fillId="24" borderId="32" xfId="0" applyNumberFormat="1" applyFont="1" applyFill="1" applyBorder="1" applyAlignment="1">
      <x:alignment vertical="center" wrapText="1"/>
    </x:xf>
    <x:xf numFmtId="0" fontId="9" fillId="26" borderId="0" xfId="0" applyNumberFormat="1" applyFont="1" applyFill="1" applyBorder="1" applyAlignment="1">
      <x:alignment horizontal="center" vertical="center"/>
    </x:xf>
    <x:xf numFmtId="0" fontId="26" fillId="26" borderId="0" xfId="0" applyNumberFormat="1" applyFont="1" applyFill="1" applyBorder="1" applyAlignment="1">
      <x:alignment horizontal="center" vertical="center"/>
    </x:xf>
    <x:xf numFmtId="0" fontId="0" fillId="27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0" fillId="29" borderId="0" xfId="0" applyNumberFormat="1" applyFont="1" applyFill="1" applyBorder="1" applyAlignment="1">
      <x:alignment vertical="center" wrapText="1"/>
    </x:xf>
    <x:xf numFmtId="0" fontId="27" fillId="0" borderId="0" xfId="0" applyNumberFormat="1" applyFont="1" applyFill="1" applyBorder="1"/>
    <x:xf numFmtId="0" fontId="27" fillId="0" borderId="33" xfId="0" applyNumberFormat="1" applyFont="1" applyFill="1" applyBorder="1"/>
    <x:xf numFmtId="0" fontId="27" fillId="0" borderId="34" xfId="0" applyNumberFormat="1" applyFont="1" applyFill="1" applyBorder="1"/>
    <x:xf numFmtId="0" fontId="27" fillId="0" borderId="35" xfId="0" applyNumberFormat="1" applyFont="1" applyFill="1" applyBorder="1"/>
    <x:xf numFmtId="0" fontId="27" fillId="0" borderId="36" xfId="0" applyNumberFormat="1" applyFont="1" applyFill="1" applyBorder="1"/>
    <x:xf numFmtId="0" fontId="27" fillId="0" borderId="37" xfId="0" applyNumberFormat="1" applyFont="1" applyFill="1" applyBorder="1"/>
    <x:xf numFmtId="0" fontId="27" fillId="0" borderId="38" xfId="0" applyNumberFormat="1" applyFont="1" applyFill="1" applyBorder="1"/>
    <x:xf numFmtId="0" fontId="27" fillId="0" borderId="39" xfId="0" applyNumberFormat="1" applyFont="1" applyFill="1" applyBorder="1"/>
    <x:xf numFmtId="0" fontId="27" fillId="0" borderId="40" xfId="0" applyNumberFormat="1" applyFont="1" applyFill="1" applyBorder="1"/>
    <x:xf numFmtId="0" fontId="27" fillId="0" borderId="41" xfId="0" applyNumberFormat="1" applyFont="1" applyFill="1" applyBorder="1"/>
    <x:xf numFmtId="0" fontId="27" fillId="0" borderId="33" xfId="0" applyNumberFormat="1" applyFont="1" applyFill="1" applyBorder="1" applyAlignment="1">
      <x:alignment wrapText="1"/>
    </x:xf>
    <x:xf numFmtId="0" fontId="27" fillId="0" borderId="34" xfId="0" applyNumberFormat="1" applyFont="1" applyFill="1" applyBorder="1" applyAlignment="1">
      <x:alignment wrapText="1"/>
    </x:xf>
    <x:xf numFmtId="0" fontId="27" fillId="0" borderId="35" xfId="0" applyNumberFormat="1" applyFont="1" applyFill="1" applyBorder="1" applyAlignment="1">
      <x:alignment wrapText="1"/>
    </x:xf>
    <x:xf numFmtId="0" fontId="27" fillId="0" borderId="36" xfId="0" applyNumberFormat="1" applyFont="1" applyFill="1" applyBorder="1" applyAlignment="1">
      <x:alignment wrapText="1"/>
    </x:xf>
    <x:xf numFmtId="0" fontId="27" fillId="0" borderId="37" xfId="0" applyNumberFormat="1" applyFont="1" applyFill="1" applyBorder="1" applyAlignment="1">
      <x:alignment wrapText="1"/>
    </x:xf>
    <x:xf numFmtId="0" fontId="27" fillId="0" borderId="38" xfId="0" applyNumberFormat="1" applyFont="1" applyFill="1" applyBorder="1" applyAlignment="1">
      <x:alignment wrapText="1"/>
    </x:xf>
    <x:xf numFmtId="0" fontId="27" fillId="0" borderId="39" xfId="0" applyNumberFormat="1" applyFont="1" applyFill="1" applyBorder="1" applyAlignment="1">
      <x:alignment wrapText="1"/>
    </x:xf>
    <x:xf numFmtId="0" fontId="27" fillId="0" borderId="40" xfId="0" applyNumberFormat="1" applyFont="1" applyFill="1" applyBorder="1" applyAlignment="1">
      <x:alignment wrapText="1"/>
    </x:xf>
    <x:xf numFmtId="0" fontId="27" fillId="0" borderId="41" xfId="0" applyNumberFormat="1" applyFont="1" applyFill="1" applyBorder="1" applyAlignment="1">
      <x:alignment wrapText="1"/>
    </x:xf>
    <x:xf numFmtId="0" fontId="27" fillId="0" borderId="33" xfId="0" applyNumberFormat="1" applyFont="1" applyFill="1" applyBorder="1" applyAlignment="1">
      <x:alignment vertical="center" wrapText="1"/>
    </x:xf>
    <x:xf numFmtId="0" fontId="27" fillId="0" borderId="34" xfId="0" applyNumberFormat="1" applyFont="1" applyFill="1" applyBorder="1" applyAlignment="1">
      <x:alignment vertical="center" wrapText="1"/>
    </x:xf>
    <x:xf numFmtId="0" fontId="27" fillId="0" borderId="35" xfId="0" applyNumberFormat="1" applyFont="1" applyFill="1" applyBorder="1" applyAlignment="1">
      <x:alignment vertical="center" wrapText="1"/>
    </x:xf>
    <x:xf numFmtId="0" fontId="27" fillId="0" borderId="36" xfId="0" applyNumberFormat="1" applyFont="1" applyFill="1" applyBorder="1" applyAlignment="1">
      <x:alignment vertical="center" wrapText="1"/>
    </x:xf>
    <x:xf numFmtId="0" fontId="27" fillId="0" borderId="37" xfId="0" applyNumberFormat="1" applyFont="1" applyFill="1" applyBorder="1" applyAlignment="1">
      <x:alignment vertical="center" wrapText="1"/>
    </x:xf>
    <x:xf numFmtId="0" fontId="27" fillId="0" borderId="38" xfId="0" applyNumberFormat="1" applyFont="1" applyFill="1" applyBorder="1" applyAlignment="1">
      <x:alignment vertical="center" wrapText="1"/>
    </x:xf>
    <x:xf numFmtId="0" fontId="27" fillId="0" borderId="39" xfId="0" applyNumberFormat="1" applyFont="1" applyFill="1" applyBorder="1" applyAlignment="1">
      <x:alignment vertical="center" wrapText="1"/>
    </x:xf>
    <x:xf numFmtId="0" fontId="27" fillId="0" borderId="40" xfId="0" applyNumberFormat="1" applyFont="1" applyFill="1" applyBorder="1" applyAlignment="1">
      <x:alignment vertical="center" wrapText="1"/>
    </x:xf>
    <x:xf numFmtId="0" fontId="27" fillId="0" borderId="41" xfId="0" applyNumberFormat="1" applyFont="1" applyFill="1" applyBorder="1" applyAlignment="1">
      <x:alignment vertical="center" wrapText="1"/>
    </x:xf>
    <x:xf numFmtId="0" fontId="27" fillId="30" borderId="33" xfId="0" applyNumberFormat="1" applyFont="1" applyFill="1" applyBorder="1" applyAlignment="1">
      <x:alignment vertical="center" wrapText="1"/>
    </x:xf>
    <x:xf numFmtId="0" fontId="27" fillId="30" borderId="36" xfId="0" applyNumberFormat="1" applyFont="1" applyFill="1" applyBorder="1" applyAlignment="1">
      <x:alignment vertical="center" wrapText="1"/>
    </x:xf>
    <x:xf numFmtId="0" fontId="27" fillId="30" borderId="39" xfId="0" applyNumberFormat="1" applyFont="1" applyFill="1" applyBorder="1" applyAlignment="1">
      <x:alignment vertical="center" wrapText="1"/>
    </x:xf>
    <x:xf numFmtId="0" fontId="28" fillId="30" borderId="33" xfId="0" applyNumberFormat="1" applyFont="1" applyFill="1" applyBorder="1" applyAlignment="1">
      <x:alignment vertical="center" wrapText="1"/>
    </x:xf>
    <x:xf numFmtId="0" fontId="28" fillId="30" borderId="36" xfId="0" applyNumberFormat="1" applyFont="1" applyFill="1" applyBorder="1" applyAlignment="1">
      <x:alignment vertical="center" wrapText="1"/>
    </x:xf>
    <x:xf numFmtId="0" fontId="28" fillId="30" borderId="39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/>
    <x:xf numFmtId="0" fontId="29" fillId="31" borderId="0" xfId="0" applyNumberFormat="1" applyFont="1" applyFill="1" applyBorder="1"/>
    <x:xf numFmtId="0" fontId="29" fillId="31" borderId="0" xfId="0" applyNumberFormat="1" applyFont="1" applyFill="1" applyBorder="1" applyAlignment="1">
      <x:alignment vertical="center"/>
    </x:xf>
    <x:xf numFmtId="0" fontId="0" fillId="32" borderId="0" xfId="0" applyNumberFormat="1" applyFont="1" applyFill="1" applyBorder="1"/>
    <x:xf numFmtId="0" fontId="30" fillId="32" borderId="0" xfId="0" applyNumberFormat="1" applyFont="1" applyFill="1" applyBorder="1"/>
    <x:xf numFmtId="0" fontId="30" fillId="32" borderId="0" xfId="0" applyNumberFormat="1" applyFont="1" applyFill="1" applyBorder="1" applyAlignment="1">
      <x:alignment wrapText="1"/>
    </x:xf>
    <x:xf numFmtId="0" fontId="30" fillId="32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/>
    <x:xf numFmtId="0" fontId="28" fillId="30" borderId="0" xfId="0" applyNumberFormat="1" applyFont="1" applyFill="1" applyBorder="1"/>
    <x:xf numFmtId="0" fontId="28" fillId="30" borderId="42" xfId="0" applyNumberFormat="1" applyFont="1" applyFill="1" applyBorder="1"/>
    <x:xf numFmtId="0" fontId="28" fillId="30" borderId="42" xfId="0" applyNumberFormat="1" applyFont="1" applyFill="1" applyBorder="1" applyAlignment="1">
      <x:alignment wrapText="1"/>
    </x:xf>
    <x:xf numFmtId="0" fontId="28" fillId="30" borderId="42" xfId="0" applyNumberFormat="1" applyFont="1" applyFill="1" applyBorder="1" applyAlignment="1">
      <x:alignment horizontal="center" wrapText="1"/>
    </x:xf>
    <x:xf numFmtId="0" fontId="28" fillId="30" borderId="4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991B1B"/>
      </x:font>
      <x:fill>
        <x:patternFill>
          <x:bgColor rgb="FFFECACA"/>
        </x:patternFill>
      </x:fill>
    </x:dxf>
    <x:dxf>
      <x:font>
        <x:b/>
        <x:color rgb="FF991B1B"/>
      </x:font>
      <x:fill>
        <x:patternFill>
          <x:bgColor rgb="FFFECACA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ce108c65b944f3" /><Relationship Type="http://schemas.openxmlformats.org/officeDocument/2006/relationships/theme" Target="/xl/theme/theme1.xml" Id="Rc81ef30151224da8" /><Relationship Type="http://schemas.openxmlformats.org/officeDocument/2006/relationships/sharedStrings" Target="/xl/sharedStrings.xml" Id="R2b3fef2591074102" /><Relationship Type="http://schemas.openxmlformats.org/officeDocument/2006/relationships/worksheet" Target="/xl/worksheets/sheet1.xml" Id="R9894af4071f54f76" /><Relationship Type="http://schemas.openxmlformats.org/officeDocument/2006/relationships/worksheet" Target="/xl/worksheets/sheet2.xml" Id="R2510f0ac6b9a4ed2" /><Relationship Type="http://schemas.openxmlformats.org/officeDocument/2006/relationships/worksheet" Target="/xl/worksheets/sheet3.xml" Id="Reec23494b86c49a1" /><Relationship Type="http://schemas.openxmlformats.org/officeDocument/2006/relationships/worksheet" Target="/xl/worksheets/sheet4.xml" Id="Racadce30a6d34224" /><Relationship Type="http://schemas.openxmlformats.org/officeDocument/2006/relationships/worksheet" Target="/xl/worksheets/sheet5.xml" Id="Rc11ca762661b4b8a" /><Relationship Type="http://schemas.openxmlformats.org/officeDocument/2006/relationships/worksheet" Target="/xl/worksheets/sheet6.xml" Id="R5b0f2b075bb54e0e" /><Relationship Type="http://schemas.openxmlformats.org/officeDocument/2006/relationships/worksheet" Target="/xl/worksheets/sheet7.xml" Id="Rb8994667f74f40da" /></Relationships>
</file>

<file path=xl/tables/table1.xml><?xml version="1.0" encoding="utf-8"?>
<x:table xmlns:x="http://schemas.openxmlformats.org/spreadsheetml/2006/main" id="6" name="EquipmentSetCodes" displayName="EquipmentSetCodes" ref="A4:N39" headerRowCount="1" totalsRowCount="0" totalsRowShown="0">
  <x:tableColumns count="14">
    <x:tableColumn id="1" name="套装序号"/>
    <x:tableColumn id="2" name="系列"/>
    <x:tableColumn id="3" name="层级"/>
    <x:tableColumn id="4" name="套装名称"/>
    <x:tableColumn id="5" name="勋章"/>
    <x:tableColumn id="6" name="项链"/>
    <x:tableColumn id="7" name="头盔"/>
    <x:tableColumn id="8" name="手镯"/>
    <x:tableColumn id="9" name="戒指"/>
    <x:tableColumn id="10" name="盾牌"/>
    <x:tableColumn id="11" name="灵玉"/>
    <x:tableColumn id="12" name="鞋子"/>
    <x:tableColumn id="13" name="腰带"/>
    <x:tableColumn id="14" name="代码范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ResourceGroups" displayName="NewResourceGroups" ref="A1:AQ21" headerRowCount="1" totalsRowCount="0" totalsRowShown="0">
  <x:tableColumns count="43">
    <x:tableColumn id="1" name="套装序号"/>
    <x:tableColumn id="2" name="系列"/>
    <x:tableColumn id="3" name="套装名称"/>
    <x:tableColumn id="4" name="层级"/>
    <x:tableColumn id="5" name="武器"/>
    <x:tableColumn id="6" name="男衣服"/>
    <x:tableColumn id="7" name="女衣服"/>
    <x:tableColumn id="8" name="头盔"/>
    <x:tableColumn id="9" name="面巾"/>
    <x:tableColumn id="10" name="项链"/>
    <x:tableColumn id="11" name="手镯"/>
    <x:tableColumn id="12" name="戒指"/>
    <x:tableColumn id="13" name="勋章"/>
    <x:tableColumn id="14" name="盾牌"/>
    <x:tableColumn id="15" name="灵玉"/>
    <x:tableColumn id="16" name="鞋子"/>
    <x:tableColumn id="17" name="腰带"/>
    <x:tableColumn id="18" name="护身符"/>
    <x:tableColumn id="19" name="宝石"/>
    <x:tableColumn id="20" name="军鼓"/>
    <x:tableColumn id="21" name="马牌"/>
    <x:tableColumn id="22" name="首饰盒1"/>
    <x:tableColumn id="23" name="首饰盒2"/>
    <x:tableColumn id="24" name="首饰盒3"/>
    <x:tableColumn id="25" name="首饰盒4"/>
    <x:tableColumn id="26" name="首饰盒5"/>
    <x:tableColumn id="27" name="首饰盒6"/>
    <x:tableColumn id="28" name="生肖1"/>
    <x:tableColumn id="29" name="生肖2"/>
    <x:tableColumn id="30" name="生肖3"/>
    <x:tableColumn id="31" name="生肖4"/>
    <x:tableColumn id="32" name="生肖5"/>
    <x:tableColumn id="33" name="生肖6"/>
    <x:tableColumn id="34" name="生肖7"/>
    <x:tableColumn id="35" name="生肖8"/>
    <x:tableColumn id="36" name="生肖9"/>
    <x:tableColumn id="37" name="生肖10"/>
    <x:tableColumn id="38" name="生肖11"/>
    <x:tableColumn id="39" name="生肖12"/>
    <x:tableColumn id="40" name="武器Shape"/>
    <x:tableColumn id="41" name="男衣Shape"/>
    <x:tableColumn id="42" name="女衣Shape"/>
    <x:tableColumn id="43" name="代码范围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EquipmentResources" displayName="AllEquipmentResources" ref="A1:V1076" headerRowCount="1" totalsRowCount="0" totalsRowShown="0">
  <x:tableColumns count="22">
    <x:tableColumn id="1" name="序号"/>
    <x:tableColumn id="2" name="来源编号"/>
    <x:tableColumn id="3" name="资源组"/>
    <x:tableColumn id="4" name="系列"/>
    <x:tableColumn id="5" name="层级"/>
    <x:tableColumn id="6" name="部位"/>
    <x:tableColumn id="7" name="StdMode"/>
    <x:tableColumn id="8" name="位置"/>
    <x:tableColumn id="9" name="Looks"/>
    <x:tableColumn id="10" name="Shape"/>
    <x:tableColumn id="11" name="OverLap"/>
    <x:tableColumn id="12" name="Expand1"/>
    <x:tableColumn id="13" name="Items"/>
    <x:tableColumn id="14" name="StateItem"/>
    <x:tableColumn id="15" name="DnItems"/>
    <x:tableColumn id="16" name="动作图库"/>
    <x:tableColumn id="17" name="源状态"/>
    <x:tableColumn id="18" name="已知占用"/>
    <x:tableColumn id="19" name="来源文件"/>
    <x:tableColumn id="20" name="备注"/>
    <x:tableColumn id="21" name="编码重复检查"/>
    <x:tableColumn id="22" name="三库同码检查"/>
  </x:tableColumns>
  <x:tableStyleInfo name="TableStyleMedium4" showFirstColumn="0" showLastColumn="0" showRowStripes="1" showColumnStripes="0"/>
</x:table>
</file>

<file path=xl/tables/table4.xml><?xml version="1.0" encoding="utf-8"?>
<x:table xmlns:x="http://schemas.openxmlformats.org/spreadsheetml/2006/main" id="4" name="EquipmentC3C10Assignments" displayName="EquipmentC3C10Assignments" ref="A4:L468" headerRowCount="1" totalsRowCount="0" totalsRowShown="0">
  <x:tableColumns count="12">
    <x:tableColumn id="1" name="记录ID"/>
    <x:tableColumn id="2" name="大陆ID"/>
    <x:tableColumn id="3" name="大陆"/>
    <x:tableColumn id="4" name="地图号"/>
    <x:tableColumn id="5" name="怪物名称"/>
    <x:tableColumn id="6" name="类别"/>
    <x:tableColumn id="7" name="专属名称"/>
    <x:tableColumn id="8" name="概念部位"/>
    <x:tableColumn id="9" name="资源库部位"/>
    <x:tableColumn id="10" name="装备来源编号"/>
    <x:tableColumn id="11" name="分配状态"/>
    <x:tableColumn id="12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quipmentC3C10Gaps" displayName="EquipmentC3C10Gaps" ref="A4:H15" headerRowCount="1" totalsRowCount="0" totalsRowShown="0">
  <x:tableColumns count="8">
    <x:tableColumn id="1" name="概念部位"/>
    <x:tableColumn id="2" name="资源库部位"/>
    <x:tableColumn id="3" name="需求件数"/>
    <x:tableColumn id="4" name="账面可用"/>
    <x:tableColumn id="5" name="已分配"/>
    <x:tableColumn id="6" name="待分配件数"/>
    <x:tableColumn id="7" name="需补来源码"/>
    <x:tableColumn id="8" name="处理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162151571df46b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98130623c97942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d73416ebac0f414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19b077cefda4d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fb571bcda0834c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3" hidden="0" customWidth="1"/>
    <x:col min="3" max="3" width="8" hidden="0" customWidth="1"/>
    <x:col min="4" max="4" width="2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4" hidden="0" customWidth="1"/>
  </x:cols>
  <x:sheetData>
    <x:row r="1" ht="30" customHeight="1">
      <x:c r="A1" s="9" t="str">
        <x:v>玄渊三十五套九部位装备素材代码表（生肖另表）</x:v>
      </x:c>
      <x:c r="B1" s="10"/>
      <x:c r="C1" s="10"/>
      <x:c r="D1" s="10"/>
      <x:c r="E1" s="10"/>
      <x:c r="F1" s="10"/>
      <x:c r="G1" s="10"/>
      <x:c r="H1" s="10"/>
      <x:c r="I1" s="10"/>
      <x:c r="J1" s="10"/>
      <x:c r="K1" s="10"/>
      <x:c r="L1" s="10"/>
      <x:c r="M1" s="10"/>
      <x:c r="N1" s="11"/>
    </x:row>
    <x:row r="2" ht="20" customHeight="1">
      <x:c r="A2" s="15" t="str">
        <x:v>九部位35套 / 315件 / 代码5867-6136、6201-6245；生肖5套 / 60件 / 代码6246-6305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3" ht="20" customHeight="1">
      <x:c r="A3" s="19" t="str">
        <x:v>同一代码同时用于 Items、StateItem、DnItems；装备表来源编号全局一对一，禁止重复使用。</x:v>
      </x:c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</x:row>
    <x:row r="4" ht="24" customHeight="1">
      <x:c r="A4" s="24" t="str">
        <x:v>套装序号</x:v>
      </x:c>
      <x:c r="B4" s="24" t="str">
        <x:v>系列</x:v>
      </x:c>
      <x:c r="C4" s="24" t="str">
        <x:v>层级</x:v>
      </x:c>
      <x:c r="D4" s="24" t="str">
        <x:v>套装名称</x:v>
      </x:c>
      <x:c r="E4" s="24" t="str">
        <x:v>勋章</x:v>
      </x:c>
      <x:c r="F4" s="24" t="str">
        <x:v>项链</x:v>
      </x:c>
      <x:c r="G4" s="24" t="str">
        <x:v>头盔</x:v>
      </x:c>
      <x:c r="H4" s="24" t="str">
        <x:v>手镯</x:v>
      </x:c>
      <x:c r="I4" s="24" t="str">
        <x:v>戒指</x:v>
      </x:c>
      <x:c r="J4" s="24" t="str">
        <x:v>盾牌</x:v>
      </x:c>
      <x:c r="K4" s="24" t="str">
        <x:v>灵玉</x:v>
      </x:c>
      <x:c r="L4" s="24" t="str">
        <x:v>鞋子</x:v>
      </x:c>
      <x:c r="M4" s="24" t="str">
        <x:v>腰带</x:v>
      </x:c>
      <x:c r="N4" s="24" t="str">
        <x:v>代码范围</x:v>
      </x:c>
    </x:row>
    <x:row r="5" ht="22" customHeight="1">
      <x:c r="A5" s="56" t="n">
        <x:v>1</x:v>
      </x:c>
      <x:c r="B5" s="61" t="str">
        <x:v>黄金圣律</x:v>
      </x:c>
      <x:c r="C5" s="62" t="n">
        <x:v>1</x:v>
      </x:c>
      <x:c r="D5" s="61" t="str">
        <x:v>黄金圣律·初誓</x:v>
      </x:c>
      <x:c r="E5" s="59" t="n">
        <x:v>5867</x:v>
      </x:c>
      <x:c r="F5" s="59" t="n">
        <x:v>5868</x:v>
      </x:c>
      <x:c r="G5" s="59" t="n">
        <x:v>5869</x:v>
      </x:c>
      <x:c r="H5" s="59" t="n">
        <x:v>5870</x:v>
      </x:c>
      <x:c r="I5" s="59" t="n">
        <x:v>5871</x:v>
      </x:c>
      <x:c r="J5" s="59" t="n">
        <x:v>5872</x:v>
      </x:c>
      <x:c r="K5" s="59" t="n">
        <x:v>5873</x:v>
      </x:c>
      <x:c r="L5" s="59" t="n">
        <x:v>5874</x:v>
      </x:c>
      <x:c r="M5" s="59" t="n">
        <x:v>5875</x:v>
      </x:c>
      <x:c r="N5" s="60" t="str">
        <x:v>5867-5875</x:v>
      </x:c>
    </x:row>
    <x:row r="6" ht="22" customHeight="1">
      <x:c r="A6" s="63" t="n">
        <x:v>2</x:v>
      </x:c>
      <x:c r="B6" s="68" t="str">
        <x:v>黄金圣律</x:v>
      </x:c>
      <x:c r="C6" s="69" t="n">
        <x:v>2</x:v>
      </x:c>
      <x:c r="D6" s="68" t="str">
        <x:v>黄金圣律·铭契</x:v>
      </x:c>
      <x:c r="E6" s="66" t="n">
        <x:v>5876</x:v>
      </x:c>
      <x:c r="F6" s="66" t="n">
        <x:v>5877</x:v>
      </x:c>
      <x:c r="G6" s="66" t="n">
        <x:v>5878</x:v>
      </x:c>
      <x:c r="H6" s="66" t="n">
        <x:v>5879</x:v>
      </x:c>
      <x:c r="I6" s="66" t="n">
        <x:v>5880</x:v>
      </x:c>
      <x:c r="J6" s="66" t="n">
        <x:v>5881</x:v>
      </x:c>
      <x:c r="K6" s="66" t="n">
        <x:v>5882</x:v>
      </x:c>
      <x:c r="L6" s="66" t="n">
        <x:v>5883</x:v>
      </x:c>
      <x:c r="M6" s="66" t="n">
        <x:v>5884</x:v>
      </x:c>
      <x:c r="N6" s="67" t="str">
        <x:v>5876-5884</x:v>
      </x:c>
    </x:row>
    <x:row r="7" ht="22" customHeight="1">
      <x:c r="A7" s="63" t="n">
        <x:v>3</x:v>
      </x:c>
      <x:c r="B7" s="68" t="str">
        <x:v>黄金圣律</x:v>
      </x:c>
      <x:c r="C7" s="69" t="n">
        <x:v>3</x:v>
      </x:c>
      <x:c r="D7" s="68" t="str">
        <x:v>黄金圣律·执火</x:v>
      </x:c>
      <x:c r="E7" s="66" t="n">
        <x:v>5885</x:v>
      </x:c>
      <x:c r="F7" s="66" t="n">
        <x:v>5886</x:v>
      </x:c>
      <x:c r="G7" s="66" t="n">
        <x:v>5887</x:v>
      </x:c>
      <x:c r="H7" s="66" t="n">
        <x:v>5888</x:v>
      </x:c>
      <x:c r="I7" s="66" t="n">
        <x:v>5889</x:v>
      </x:c>
      <x:c r="J7" s="66" t="n">
        <x:v>5890</x:v>
      </x:c>
      <x:c r="K7" s="66" t="n">
        <x:v>5891</x:v>
      </x:c>
      <x:c r="L7" s="66" t="n">
        <x:v>5892</x:v>
      </x:c>
      <x:c r="M7" s="66" t="n">
        <x:v>5893</x:v>
      </x:c>
      <x:c r="N7" s="67" t="str">
        <x:v>5885-5893</x:v>
      </x:c>
    </x:row>
    <x:row r="8" ht="22" customHeight="1">
      <x:c r="A8" s="63" t="n">
        <x:v>4</x:v>
      </x:c>
      <x:c r="B8" s="68" t="str">
        <x:v>黄金圣律</x:v>
      </x:c>
      <x:c r="C8" s="69" t="n">
        <x:v>4</x:v>
      </x:c>
      <x:c r="D8" s="68" t="str">
        <x:v>黄金圣律·圣徽</x:v>
      </x:c>
      <x:c r="E8" s="66" t="n">
        <x:v>5894</x:v>
      </x:c>
      <x:c r="F8" s="66" t="n">
        <x:v>5895</x:v>
      </x:c>
      <x:c r="G8" s="66" t="n">
        <x:v>5896</x:v>
      </x:c>
      <x:c r="H8" s="66" t="n">
        <x:v>5897</x:v>
      </x:c>
      <x:c r="I8" s="66" t="n">
        <x:v>5898</x:v>
      </x:c>
      <x:c r="J8" s="66" t="n">
        <x:v>5899</x:v>
      </x:c>
      <x:c r="K8" s="66" t="n">
        <x:v>5900</x:v>
      </x:c>
      <x:c r="L8" s="66" t="n">
        <x:v>5901</x:v>
      </x:c>
      <x:c r="M8" s="66" t="n">
        <x:v>5902</x:v>
      </x:c>
      <x:c r="N8" s="67" t="str">
        <x:v>5894-5902</x:v>
      </x:c>
    </x:row>
    <x:row r="9" ht="22" customHeight="1">
      <x:c r="A9" s="63" t="n">
        <x:v>5</x:v>
      </x:c>
      <x:c r="B9" s="68" t="str">
        <x:v>黄金圣律</x:v>
      </x:c>
      <x:c r="C9" s="69" t="n">
        <x:v>5</x:v>
      </x:c>
      <x:c r="D9" s="68" t="str">
        <x:v>黄金圣律·璨金</x:v>
      </x:c>
      <x:c r="E9" s="66" t="n">
        <x:v>5903</x:v>
      </x:c>
      <x:c r="F9" s="66" t="n">
        <x:v>5904</x:v>
      </x:c>
      <x:c r="G9" s="66" t="n">
        <x:v>5905</x:v>
      </x:c>
      <x:c r="H9" s="66" t="n">
        <x:v>5906</x:v>
      </x:c>
      <x:c r="I9" s="66" t="n">
        <x:v>5907</x:v>
      </x:c>
      <x:c r="J9" s="66" t="n">
        <x:v>5908</x:v>
      </x:c>
      <x:c r="K9" s="66" t="n">
        <x:v>5909</x:v>
      </x:c>
      <x:c r="L9" s="66" t="n">
        <x:v>5910</x:v>
      </x:c>
      <x:c r="M9" s="66" t="n">
        <x:v>5911</x:v>
      </x:c>
      <x:c r="N9" s="67" t="str">
        <x:v>5903-5911</x:v>
      </x:c>
    </x:row>
    <x:row r="10" ht="22" customHeight="1">
      <x:c r="A10" s="63" t="n">
        <x:v>6</x:v>
      </x:c>
      <x:c r="B10" s="68" t="str">
        <x:v>黄金圣律</x:v>
      </x:c>
      <x:c r="C10" s="69" t="n">
        <x:v>6</x:v>
      </x:c>
      <x:c r="D10" s="68" t="str">
        <x:v>黄金圣律·蓝辉</x:v>
      </x:c>
      <x:c r="E10" s="66" t="n">
        <x:v>5912</x:v>
      </x:c>
      <x:c r="F10" s="66" t="n">
        <x:v>5913</x:v>
      </x:c>
      <x:c r="G10" s="66" t="n">
        <x:v>5914</x:v>
      </x:c>
      <x:c r="H10" s="66" t="n">
        <x:v>5915</x:v>
      </x:c>
      <x:c r="I10" s="66" t="n">
        <x:v>5916</x:v>
      </x:c>
      <x:c r="J10" s="66" t="n">
        <x:v>5917</x:v>
      </x:c>
      <x:c r="K10" s="66" t="n">
        <x:v>5918</x:v>
      </x:c>
      <x:c r="L10" s="66" t="n">
        <x:v>5919</x:v>
      </x:c>
      <x:c r="M10" s="66" t="n">
        <x:v>5920</x:v>
      </x:c>
      <x:c r="N10" s="67" t="str">
        <x:v>5912-5920</x:v>
      </x:c>
    </x:row>
    <x:row r="11" ht="22" customHeight="1">
      <x:c r="A11" s="63" t="n">
        <x:v>7</x:v>
      </x:c>
      <x:c r="B11" s="68" t="str">
        <x:v>黄金圣律</x:v>
      </x:c>
      <x:c r="C11" s="69" t="n">
        <x:v>7</x:v>
      </x:c>
      <x:c r="D11" s="68" t="str">
        <x:v>黄金圣律·王权</x:v>
      </x:c>
      <x:c r="E11" s="66" t="n">
        <x:v>5921</x:v>
      </x:c>
      <x:c r="F11" s="66" t="n">
        <x:v>5922</x:v>
      </x:c>
      <x:c r="G11" s="66" t="n">
        <x:v>5923</x:v>
      </x:c>
      <x:c r="H11" s="66" t="n">
        <x:v>5924</x:v>
      </x:c>
      <x:c r="I11" s="66" t="n">
        <x:v>5925</x:v>
      </x:c>
      <x:c r="J11" s="66" t="n">
        <x:v>5926</x:v>
      </x:c>
      <x:c r="K11" s="66" t="n">
        <x:v>5927</x:v>
      </x:c>
      <x:c r="L11" s="66" t="n">
        <x:v>5928</x:v>
      </x:c>
      <x:c r="M11" s="66" t="n">
        <x:v>5929</x:v>
      </x:c>
      <x:c r="N11" s="67" t="str">
        <x:v>5921-5929</x:v>
      </x:c>
    </x:row>
    <x:row r="12" ht="22" customHeight="1">
      <x:c r="A12" s="63" t="n">
        <x:v>8</x:v>
      </x:c>
      <x:c r="B12" s="68" t="str">
        <x:v>黄金圣律</x:v>
      </x:c>
      <x:c r="C12" s="69" t="n">
        <x:v>8</x:v>
      </x:c>
      <x:c r="D12" s="68" t="str">
        <x:v>黄金圣律·日冕</x:v>
      </x:c>
      <x:c r="E12" s="66" t="n">
        <x:v>5930</x:v>
      </x:c>
      <x:c r="F12" s="66" t="n">
        <x:v>5931</x:v>
      </x:c>
      <x:c r="G12" s="66" t="n">
        <x:v>5932</x:v>
      </x:c>
      <x:c r="H12" s="66" t="n">
        <x:v>5933</x:v>
      </x:c>
      <x:c r="I12" s="66" t="n">
        <x:v>5934</x:v>
      </x:c>
      <x:c r="J12" s="66" t="n">
        <x:v>5935</x:v>
      </x:c>
      <x:c r="K12" s="66" t="n">
        <x:v>5936</x:v>
      </x:c>
      <x:c r="L12" s="66" t="n">
        <x:v>5937</x:v>
      </x:c>
      <x:c r="M12" s="66" t="n">
        <x:v>5938</x:v>
      </x:c>
      <x:c r="N12" s="67" t="str">
        <x:v>5930-5938</x:v>
      </x:c>
    </x:row>
    <x:row r="13" ht="22" customHeight="1">
      <x:c r="A13" s="63" t="n">
        <x:v>9</x:v>
      </x:c>
      <x:c r="B13" s="68" t="str">
        <x:v>黄金圣律</x:v>
      </x:c>
      <x:c r="C13" s="69" t="n">
        <x:v>9</x:v>
      </x:c>
      <x:c r="D13" s="68" t="str">
        <x:v>黄金圣律·神律</x:v>
      </x:c>
      <x:c r="E13" s="66" t="n">
        <x:v>5939</x:v>
      </x:c>
      <x:c r="F13" s="66" t="n">
        <x:v>5940</x:v>
      </x:c>
      <x:c r="G13" s="66" t="n">
        <x:v>5941</x:v>
      </x:c>
      <x:c r="H13" s="66" t="n">
        <x:v>5942</x:v>
      </x:c>
      <x:c r="I13" s="66" t="n">
        <x:v>5943</x:v>
      </x:c>
      <x:c r="J13" s="66" t="n">
        <x:v>5944</x:v>
      </x:c>
      <x:c r="K13" s="66" t="n">
        <x:v>5945</x:v>
      </x:c>
      <x:c r="L13" s="66" t="n">
        <x:v>5946</x:v>
      </x:c>
      <x:c r="M13" s="66" t="n">
        <x:v>5947</x:v>
      </x:c>
      <x:c r="N13" s="67" t="str">
        <x:v>5939-5947</x:v>
      </x:c>
    </x:row>
    <x:row r="14" ht="22" customHeight="1">
      <x:c r="A14" s="63" t="n">
        <x:v>10</x:v>
      </x:c>
      <x:c r="B14" s="68" t="str">
        <x:v>黄金圣律</x:v>
      </x:c>
      <x:c r="C14" s="69" t="n">
        <x:v>10</x:v>
      </x:c>
      <x:c r="D14" s="68" t="str">
        <x:v>黄金圣律·永耀</x:v>
      </x:c>
      <x:c r="E14" s="66" t="n">
        <x:v>5948</x:v>
      </x:c>
      <x:c r="F14" s="66" t="n">
        <x:v>5949</x:v>
      </x:c>
      <x:c r="G14" s="66" t="n">
        <x:v>5950</x:v>
      </x:c>
      <x:c r="H14" s="66" t="n">
        <x:v>5951</x:v>
      </x:c>
      <x:c r="I14" s="66" t="n">
        <x:v>5952</x:v>
      </x:c>
      <x:c r="J14" s="66" t="n">
        <x:v>5953</x:v>
      </x:c>
      <x:c r="K14" s="66" t="n">
        <x:v>5954</x:v>
      </x:c>
      <x:c r="L14" s="66" t="n">
        <x:v>5955</x:v>
      </x:c>
      <x:c r="M14" s="66" t="n">
        <x:v>5956</x:v>
      </x:c>
      <x:c r="N14" s="67" t="str">
        <x:v>5948-5956</x:v>
      </x:c>
    </x:row>
    <x:row r="15" ht="22" customHeight="1">
      <x:c r="A15" s="70" t="n">
        <x:v>11</x:v>
      </x:c>
      <x:c r="B15" s="75" t="str">
        <x:v>血月荆棘</x:v>
      </x:c>
      <x:c r="C15" s="76" t="n">
        <x:v>1</x:v>
      </x:c>
      <x:c r="D15" s="75" t="str">
        <x:v>血月荆棘·暗芽</x:v>
      </x:c>
      <x:c r="E15" s="73" t="n">
        <x:v>5957</x:v>
      </x:c>
      <x:c r="F15" s="73" t="n">
        <x:v>5958</x:v>
      </x:c>
      <x:c r="G15" s="73" t="n">
        <x:v>5959</x:v>
      </x:c>
      <x:c r="H15" s="73" t="n">
        <x:v>5960</x:v>
      </x:c>
      <x:c r="I15" s="73" t="n">
        <x:v>5961</x:v>
      </x:c>
      <x:c r="J15" s="73" t="n">
        <x:v>5962</x:v>
      </x:c>
      <x:c r="K15" s="73" t="n">
        <x:v>5963</x:v>
      </x:c>
      <x:c r="L15" s="73" t="n">
        <x:v>5964</x:v>
      </x:c>
      <x:c r="M15" s="73" t="n">
        <x:v>5965</x:v>
      </x:c>
      <x:c r="N15" s="74" t="str">
        <x:v>5957-5965</x:v>
      </x:c>
    </x:row>
    <x:row r="16" ht="22" customHeight="1">
      <x:c r="A16" s="70" t="n">
        <x:v>12</x:v>
      </x:c>
      <x:c r="B16" s="75" t="str">
        <x:v>血月荆棘</x:v>
      </x:c>
      <x:c r="C16" s="76" t="n">
        <x:v>2</x:v>
      </x:c>
      <x:c r="D16" s="75" t="str">
        <x:v>血月荆棘·血棘</x:v>
      </x:c>
      <x:c r="E16" s="73" t="n">
        <x:v>5966</x:v>
      </x:c>
      <x:c r="F16" s="73" t="n">
        <x:v>5967</x:v>
      </x:c>
      <x:c r="G16" s="73" t="n">
        <x:v>5968</x:v>
      </x:c>
      <x:c r="H16" s="73" t="n">
        <x:v>5969</x:v>
      </x:c>
      <x:c r="I16" s="73" t="n">
        <x:v>5970</x:v>
      </x:c>
      <x:c r="J16" s="73" t="n">
        <x:v>5971</x:v>
      </x:c>
      <x:c r="K16" s="73" t="n">
        <x:v>5972</x:v>
      </x:c>
      <x:c r="L16" s="73" t="n">
        <x:v>5973</x:v>
      </x:c>
      <x:c r="M16" s="73" t="n">
        <x:v>5974</x:v>
      </x:c>
      <x:c r="N16" s="74" t="str">
        <x:v>5966-5974</x:v>
      </x:c>
    </x:row>
    <x:row r="17" ht="22" customHeight="1">
      <x:c r="A17" s="70" t="n">
        <x:v>13</x:v>
      </x:c>
      <x:c r="B17" s="75" t="str">
        <x:v>血月荆棘</x:v>
      </x:c>
      <x:c r="C17" s="76" t="n">
        <x:v>3</x:v>
      </x:c>
      <x:c r="D17" s="75" t="str">
        <x:v>血月荆棘·猩痕</x:v>
      </x:c>
      <x:c r="E17" s="73" t="n">
        <x:v>5975</x:v>
      </x:c>
      <x:c r="F17" s="73" t="n">
        <x:v>5976</x:v>
      </x:c>
      <x:c r="G17" s="73" t="n">
        <x:v>5977</x:v>
      </x:c>
      <x:c r="H17" s="73" t="n">
        <x:v>5978</x:v>
      </x:c>
      <x:c r="I17" s="73" t="n">
        <x:v>5979</x:v>
      </x:c>
      <x:c r="J17" s="73" t="n">
        <x:v>5980</x:v>
      </x:c>
      <x:c r="K17" s="73" t="n">
        <x:v>5981</x:v>
      </x:c>
      <x:c r="L17" s="73" t="n">
        <x:v>5982</x:v>
      </x:c>
      <x:c r="M17" s="73" t="n">
        <x:v>5983</x:v>
      </x:c>
      <x:c r="N17" s="74" t="str">
        <x:v>5975-5983</x:v>
      </x:c>
    </x:row>
    <x:row r="18" ht="22" customHeight="1">
      <x:c r="A18" s="70" t="n">
        <x:v>14</x:v>
      </x:c>
      <x:c r="B18" s="75" t="str">
        <x:v>血月荆棘</x:v>
      </x:c>
      <x:c r="C18" s="76" t="n">
        <x:v>4</x:v>
      </x:c>
      <x:c r="D18" s="75" t="str">
        <x:v>血月荆棘·夜蔷</x:v>
      </x:c>
      <x:c r="E18" s="73" t="n">
        <x:v>5984</x:v>
      </x:c>
      <x:c r="F18" s="73" t="n">
        <x:v>5985</x:v>
      </x:c>
      <x:c r="G18" s="73" t="n">
        <x:v>5986</x:v>
      </x:c>
      <x:c r="H18" s="73" t="n">
        <x:v>5987</x:v>
      </x:c>
      <x:c r="I18" s="73" t="n">
        <x:v>5988</x:v>
      </x:c>
      <x:c r="J18" s="73" t="n">
        <x:v>5989</x:v>
      </x:c>
      <x:c r="K18" s="73" t="n">
        <x:v>5990</x:v>
      </x:c>
      <x:c r="L18" s="73" t="n">
        <x:v>5991</x:v>
      </x:c>
      <x:c r="M18" s="73" t="n">
        <x:v>5992</x:v>
      </x:c>
      <x:c r="N18" s="74" t="str">
        <x:v>5984-5992</x:v>
      </x:c>
    </x:row>
    <x:row r="19" ht="22" customHeight="1">
      <x:c r="A19" s="70" t="n">
        <x:v>15</x:v>
      </x:c>
      <x:c r="B19" s="75" t="str">
        <x:v>血月荆棘</x:v>
      </x:c>
      <x:c r="C19" s="76" t="n">
        <x:v>5</x:v>
      </x:c>
      <x:c r="D19" s="75" t="str">
        <x:v>血月荆棘·赤冠</x:v>
      </x:c>
      <x:c r="E19" s="73" t="n">
        <x:v>5993</x:v>
      </x:c>
      <x:c r="F19" s="73" t="n">
        <x:v>5994</x:v>
      </x:c>
      <x:c r="G19" s="73" t="n">
        <x:v>5995</x:v>
      </x:c>
      <x:c r="H19" s="73" t="n">
        <x:v>5996</x:v>
      </x:c>
      <x:c r="I19" s="73" t="n">
        <x:v>5997</x:v>
      </x:c>
      <x:c r="J19" s="73" t="n">
        <x:v>5998</x:v>
      </x:c>
      <x:c r="K19" s="73" t="n">
        <x:v>5999</x:v>
      </x:c>
      <x:c r="L19" s="73" t="n">
        <x:v>6000</x:v>
      </x:c>
      <x:c r="M19" s="73" t="n">
        <x:v>6001</x:v>
      </x:c>
      <x:c r="N19" s="74" t="str">
        <x:v>5993-6001</x:v>
      </x:c>
    </x:row>
    <x:row r="20" ht="22" customHeight="1">
      <x:c r="A20" s="70" t="n">
        <x:v>16</x:v>
      </x:c>
      <x:c r="B20" s="75" t="str">
        <x:v>血月荆棘</x:v>
      </x:c>
      <x:c r="C20" s="76" t="n">
        <x:v>6</x:v>
      </x:c>
      <x:c r="D20" s="75" t="str">
        <x:v>血月荆棘·月蚀</x:v>
      </x:c>
      <x:c r="E20" s="73" t="n">
        <x:v>6002</x:v>
      </x:c>
      <x:c r="F20" s="73" t="n">
        <x:v>6003</x:v>
      </x:c>
      <x:c r="G20" s="73" t="n">
        <x:v>6004</x:v>
      </x:c>
      <x:c r="H20" s="73" t="n">
        <x:v>6005</x:v>
      </x:c>
      <x:c r="I20" s="73" t="n">
        <x:v>6006</x:v>
      </x:c>
      <x:c r="J20" s="73" t="n">
        <x:v>6007</x:v>
      </x:c>
      <x:c r="K20" s="73" t="n">
        <x:v>6008</x:v>
      </x:c>
      <x:c r="L20" s="73" t="n">
        <x:v>6009</x:v>
      </x:c>
      <x:c r="M20" s="73" t="n">
        <x:v>6010</x:v>
      </x:c>
      <x:c r="N20" s="74" t="str">
        <x:v>6002-6010</x:v>
      </x:c>
    </x:row>
    <x:row r="21" ht="22" customHeight="1">
      <x:c r="A21" s="70" t="n">
        <x:v>17</x:v>
      </x:c>
      <x:c r="B21" s="75" t="str">
        <x:v>血月荆棘</x:v>
      </x:c>
      <x:c r="C21" s="76" t="n">
        <x:v>7</x:v>
      </x:c>
      <x:c r="D21" s="75" t="str">
        <x:v>血月荆棘·王刺</x:v>
      </x:c>
      <x:c r="E21" s="73" t="n">
        <x:v>6011</x:v>
      </x:c>
      <x:c r="F21" s="73" t="n">
        <x:v>6012</x:v>
      </x:c>
      <x:c r="G21" s="73" t="n">
        <x:v>6013</x:v>
      </x:c>
      <x:c r="H21" s="73" t="n">
        <x:v>6014</x:v>
      </x:c>
      <x:c r="I21" s="73" t="n">
        <x:v>6015</x:v>
      </x:c>
      <x:c r="J21" s="73" t="n">
        <x:v>6016</x:v>
      </x:c>
      <x:c r="K21" s="73" t="n">
        <x:v>6017</x:v>
      </x:c>
      <x:c r="L21" s="73" t="n">
        <x:v>6018</x:v>
      </x:c>
      <x:c r="M21" s="73" t="n">
        <x:v>6019</x:v>
      </x:c>
      <x:c r="N21" s="74" t="str">
        <x:v>6011-6019</x:v>
      </x:c>
    </x:row>
    <x:row r="22" ht="22" customHeight="1">
      <x:c r="A22" s="70" t="n">
        <x:v>18</x:v>
      </x:c>
      <x:c r="B22" s="75" t="str">
        <x:v>血月荆棘</x:v>
      </x:c>
      <x:c r="C22" s="76" t="n">
        <x:v>8</x:v>
      </x:c>
      <x:c r="D22" s="75" t="str">
        <x:v>血月荆棘·灾焰</x:v>
      </x:c>
      <x:c r="E22" s="73" t="n">
        <x:v>6020</x:v>
      </x:c>
      <x:c r="F22" s="73" t="n">
        <x:v>6021</x:v>
      </x:c>
      <x:c r="G22" s="73" t="n">
        <x:v>6022</x:v>
      </x:c>
      <x:c r="H22" s="73" t="n">
        <x:v>6023</x:v>
      </x:c>
      <x:c r="I22" s="73" t="n">
        <x:v>6024</x:v>
      </x:c>
      <x:c r="J22" s="73" t="n">
        <x:v>6025</x:v>
      </x:c>
      <x:c r="K22" s="73" t="n">
        <x:v>6026</x:v>
      </x:c>
      <x:c r="L22" s="73" t="n">
        <x:v>6027</x:v>
      </x:c>
      <x:c r="M22" s="73" t="n">
        <x:v>6028</x:v>
      </x:c>
      <x:c r="N22" s="74" t="str">
        <x:v>6020-6028</x:v>
      </x:c>
    </x:row>
    <x:row r="23" ht="22" customHeight="1">
      <x:c r="A23" s="70" t="n">
        <x:v>19</x:v>
      </x:c>
      <x:c r="B23" s="75" t="str">
        <x:v>血月荆棘</x:v>
      </x:c>
      <x:c r="C23" s="76" t="n">
        <x:v>9</x:v>
      </x:c>
      <x:c r="D23" s="75" t="str">
        <x:v>血月荆棘·弑神</x:v>
      </x:c>
      <x:c r="E23" s="73" t="n">
        <x:v>6029</x:v>
      </x:c>
      <x:c r="F23" s="73" t="n">
        <x:v>6030</x:v>
      </x:c>
      <x:c r="G23" s="73" t="n">
        <x:v>6031</x:v>
      </x:c>
      <x:c r="H23" s="73" t="n">
        <x:v>6032</x:v>
      </x:c>
      <x:c r="I23" s="73" t="n">
        <x:v>6033</x:v>
      </x:c>
      <x:c r="J23" s="73" t="n">
        <x:v>6034</x:v>
      </x:c>
      <x:c r="K23" s="73" t="n">
        <x:v>6035</x:v>
      </x:c>
      <x:c r="L23" s="73" t="n">
        <x:v>6036</x:v>
      </x:c>
      <x:c r="M23" s="73" t="n">
        <x:v>6037</x:v>
      </x:c>
      <x:c r="N23" s="74" t="str">
        <x:v>6029-6037</x:v>
      </x:c>
    </x:row>
    <x:row r="24" ht="22" customHeight="1">
      <x:c r="A24" s="70" t="n">
        <x:v>20</x:v>
      </x:c>
      <x:c r="B24" s="75" t="str">
        <x:v>血月荆棘</x:v>
      </x:c>
      <x:c r="C24" s="76" t="n">
        <x:v>10</x:v>
      </x:c>
      <x:c r="D24" s="75" t="str">
        <x:v>血月荆棘·终夜</x:v>
      </x:c>
      <x:c r="E24" s="73" t="n">
        <x:v>6038</x:v>
      </x:c>
      <x:c r="F24" s="73" t="n">
        <x:v>6039</x:v>
      </x:c>
      <x:c r="G24" s="73" t="n">
        <x:v>6040</x:v>
      </x:c>
      <x:c r="H24" s="73" t="n">
        <x:v>6041</x:v>
      </x:c>
      <x:c r="I24" s="73" t="n">
        <x:v>6042</x:v>
      </x:c>
      <x:c r="J24" s="73" t="n">
        <x:v>6043</x:v>
      </x:c>
      <x:c r="K24" s="73" t="n">
        <x:v>6044</x:v>
      </x:c>
      <x:c r="L24" s="73" t="n">
        <x:v>6045</x:v>
      </x:c>
      <x:c r="M24" s="73" t="n">
        <x:v>6046</x:v>
      </x:c>
      <x:c r="N24" s="74" t="str">
        <x:v>6038-6046</x:v>
      </x:c>
    </x:row>
    <x:row r="25" ht="22" customHeight="1">
      <x:c r="A25" s="77" t="n">
        <x:v>21</x:v>
      </x:c>
      <x:c r="B25" s="82" t="str">
        <x:v>星渊龙息</x:v>
      </x:c>
      <x:c r="C25" s="83" t="n">
        <x:v>1</x:v>
      </x:c>
      <x:c r="D25" s="82" t="str">
        <x:v>星渊龙息·寒鳞</x:v>
      </x:c>
      <x:c r="E25" s="80" t="n">
        <x:v>6047</x:v>
      </x:c>
      <x:c r="F25" s="80" t="n">
        <x:v>6048</x:v>
      </x:c>
      <x:c r="G25" s="80" t="n">
        <x:v>6049</x:v>
      </x:c>
      <x:c r="H25" s="80" t="n">
        <x:v>6050</x:v>
      </x:c>
      <x:c r="I25" s="80" t="n">
        <x:v>6051</x:v>
      </x:c>
      <x:c r="J25" s="80" t="n">
        <x:v>6052</x:v>
      </x:c>
      <x:c r="K25" s="80" t="n">
        <x:v>6053</x:v>
      </x:c>
      <x:c r="L25" s="80" t="n">
        <x:v>6054</x:v>
      </x:c>
      <x:c r="M25" s="80" t="n">
        <x:v>6055</x:v>
      </x:c>
      <x:c r="N25" s="81" t="str">
        <x:v>6047-6055</x:v>
      </x:c>
    </x:row>
    <x:row r="26" ht="22" customHeight="1">
      <x:c r="A26" s="77" t="n">
        <x:v>22</x:v>
      </x:c>
      <x:c r="B26" s="82" t="str">
        <x:v>星渊龙息</x:v>
      </x:c>
      <x:c r="C26" s="83" t="n">
        <x:v>2</x:v>
      </x:c>
      <x:c r="D26" s="82" t="str">
        <x:v>星渊龙息·龙痕</x:v>
      </x:c>
      <x:c r="E26" s="80" t="n">
        <x:v>6056</x:v>
      </x:c>
      <x:c r="F26" s="80" t="n">
        <x:v>6057</x:v>
      </x:c>
      <x:c r="G26" s="80" t="n">
        <x:v>6058</x:v>
      </x:c>
      <x:c r="H26" s="80" t="n">
        <x:v>6059</x:v>
      </x:c>
      <x:c r="I26" s="80" t="n">
        <x:v>6060</x:v>
      </x:c>
      <x:c r="J26" s="80" t="n">
        <x:v>6061</x:v>
      </x:c>
      <x:c r="K26" s="80" t="n">
        <x:v>6062</x:v>
      </x:c>
      <x:c r="L26" s="80" t="n">
        <x:v>6063</x:v>
      </x:c>
      <x:c r="M26" s="80" t="n">
        <x:v>6064</x:v>
      </x:c>
      <x:c r="N26" s="81" t="str">
        <x:v>6056-6064</x:v>
      </x:c>
    </x:row>
    <x:row r="27" ht="22" customHeight="1">
      <x:c r="A27" s="77" t="n">
        <x:v>23</x:v>
      </x:c>
      <x:c r="B27" s="82" t="str">
        <x:v>星渊龙息</x:v>
      </x:c>
      <x:c r="C27" s="83" t="n">
        <x:v>3</x:v>
      </x:c>
      <x:c r="D27" s="82" t="str">
        <x:v>星渊龙息·星晶</x:v>
      </x:c>
      <x:c r="E27" s="80" t="n">
        <x:v>6065</x:v>
      </x:c>
      <x:c r="F27" s="80" t="n">
        <x:v>6066</x:v>
      </x:c>
      <x:c r="G27" s="80" t="n">
        <x:v>6067</x:v>
      </x:c>
      <x:c r="H27" s="80" t="n">
        <x:v>6068</x:v>
      </x:c>
      <x:c r="I27" s="80" t="n">
        <x:v>6069</x:v>
      </x:c>
      <x:c r="J27" s="80" t="n">
        <x:v>6070</x:v>
      </x:c>
      <x:c r="K27" s="80" t="n">
        <x:v>6071</x:v>
      </x:c>
      <x:c r="L27" s="80" t="n">
        <x:v>6072</x:v>
      </x:c>
      <x:c r="M27" s="80" t="n">
        <x:v>6073</x:v>
      </x:c>
      <x:c r="N27" s="81" t="str">
        <x:v>6065-6073</x:v>
      </x:c>
    </x:row>
    <x:row r="28" ht="22" customHeight="1">
      <x:c r="A28" s="77" t="n">
        <x:v>24</x:v>
      </x:c>
      <x:c r="B28" s="82" t="str">
        <x:v>星渊龙息</x:v>
      </x:c>
      <x:c r="C28" s="83" t="n">
        <x:v>4</x:v>
      </x:c>
      <x:c r="D28" s="82" t="str">
        <x:v>星渊龙息·霜翼</x:v>
      </x:c>
      <x:c r="E28" s="80" t="n">
        <x:v>6074</x:v>
      </x:c>
      <x:c r="F28" s="80" t="n">
        <x:v>6075</x:v>
      </x:c>
      <x:c r="G28" s="80" t="n">
        <x:v>6076</x:v>
      </x:c>
      <x:c r="H28" s="80" t="n">
        <x:v>6077</x:v>
      </x:c>
      <x:c r="I28" s="80" t="n">
        <x:v>6078</x:v>
      </x:c>
      <x:c r="J28" s="80" t="n">
        <x:v>6079</x:v>
      </x:c>
      <x:c r="K28" s="80" t="n">
        <x:v>6080</x:v>
      </x:c>
      <x:c r="L28" s="80" t="n">
        <x:v>6081</x:v>
      </x:c>
      <x:c r="M28" s="80" t="n">
        <x:v>6082</x:v>
      </x:c>
      <x:c r="N28" s="81" t="str">
        <x:v>6074-6082</x:v>
      </x:c>
    </x:row>
    <x:row r="29" ht="22" customHeight="1">
      <x:c r="A29" s="77" t="n">
        <x:v>25</x:v>
      </x:c>
      <x:c r="B29" s="82" t="str">
        <x:v>星渊龙息</x:v>
      </x:c>
      <x:c r="C29" s="83" t="n">
        <x:v>5</x:v>
      </x:c>
      <x:c r="D29" s="82" t="str">
        <x:v>星渊龙息·渊潮</x:v>
      </x:c>
      <x:c r="E29" s="80" t="n">
        <x:v>6083</x:v>
      </x:c>
      <x:c r="F29" s="80" t="n">
        <x:v>6084</x:v>
      </x:c>
      <x:c r="G29" s="80" t="n">
        <x:v>6085</x:v>
      </x:c>
      <x:c r="H29" s="80" t="n">
        <x:v>6086</x:v>
      </x:c>
      <x:c r="I29" s="80" t="n">
        <x:v>6087</x:v>
      </x:c>
      <x:c r="J29" s="80" t="n">
        <x:v>6088</x:v>
      </x:c>
      <x:c r="K29" s="80" t="n">
        <x:v>6089</x:v>
      </x:c>
      <x:c r="L29" s="80" t="n">
        <x:v>6090</x:v>
      </x:c>
      <x:c r="M29" s="80" t="n">
        <x:v>6091</x:v>
      </x:c>
      <x:c r="N29" s="81" t="str">
        <x:v>6083-6091</x:v>
      </x:c>
    </x:row>
    <x:row r="30" ht="22" customHeight="1">
      <x:c r="A30" s="77" t="n">
        <x:v>26</x:v>
      </x:c>
      <x:c r="B30" s="82" t="str">
        <x:v>星渊龙息</x:v>
      </x:c>
      <x:c r="C30" s="83" t="n">
        <x:v>6</x:v>
      </x:c>
      <x:c r="D30" s="82" t="str">
        <x:v>星渊龙息·苍穹</x:v>
      </x:c>
      <x:c r="E30" s="80" t="n">
        <x:v>6092</x:v>
      </x:c>
      <x:c r="F30" s="80" t="n">
        <x:v>6093</x:v>
      </x:c>
      <x:c r="G30" s="80" t="n">
        <x:v>6094</x:v>
      </x:c>
      <x:c r="H30" s="80" t="n">
        <x:v>6095</x:v>
      </x:c>
      <x:c r="I30" s="80" t="n">
        <x:v>6096</x:v>
      </x:c>
      <x:c r="J30" s="80" t="n">
        <x:v>6097</x:v>
      </x:c>
      <x:c r="K30" s="80" t="n">
        <x:v>6098</x:v>
      </x:c>
      <x:c r="L30" s="80" t="n">
        <x:v>6099</x:v>
      </x:c>
      <x:c r="M30" s="80" t="n">
        <x:v>6100</x:v>
      </x:c>
      <x:c r="N30" s="81" t="str">
        <x:v>6092-6100</x:v>
      </x:c>
    </x:row>
    <x:row r="31" ht="22" customHeight="1">
      <x:c r="A31" s="77" t="n">
        <x:v>27</x:v>
      </x:c>
      <x:c r="B31" s="82" t="str">
        <x:v>星渊龙息</x:v>
      </x:c>
      <x:c r="C31" s="83" t="n">
        <x:v>7</x:v>
      </x:c>
      <x:c r="D31" s="82" t="str">
        <x:v>星渊龙息·龙皇</x:v>
      </x:c>
      <x:c r="E31" s="80" t="n">
        <x:v>6101</x:v>
      </x:c>
      <x:c r="F31" s="80" t="n">
        <x:v>6102</x:v>
      </x:c>
      <x:c r="G31" s="80" t="n">
        <x:v>6103</x:v>
      </x:c>
      <x:c r="H31" s="80" t="n">
        <x:v>6104</x:v>
      </x:c>
      <x:c r="I31" s="80" t="n">
        <x:v>6105</x:v>
      </x:c>
      <x:c r="J31" s="80" t="n">
        <x:v>6106</x:v>
      </x:c>
      <x:c r="K31" s="80" t="n">
        <x:v>6107</x:v>
      </x:c>
      <x:c r="L31" s="80" t="n">
        <x:v>6108</x:v>
      </x:c>
      <x:c r="M31" s="80" t="n">
        <x:v>6109</x:v>
      </x:c>
      <x:c r="N31" s="81" t="str">
        <x:v>6101-6109</x:v>
      </x:c>
    </x:row>
    <x:row r="32" ht="22" customHeight="1">
      <x:c r="A32" s="77" t="n">
        <x:v>28</x:v>
      </x:c>
      <x:c r="B32" s="82" t="str">
        <x:v>星渊龙息</x:v>
      </x:c>
      <x:c r="C32" s="83" t="n">
        <x:v>8</x:v>
      </x:c>
      <x:c r="D32" s="82" t="str">
        <x:v>星渊龙息·天陨</x:v>
      </x:c>
      <x:c r="E32" s="80" t="n">
        <x:v>6110</x:v>
      </x:c>
      <x:c r="F32" s="80" t="n">
        <x:v>6111</x:v>
      </x:c>
      <x:c r="G32" s="80" t="n">
        <x:v>6112</x:v>
      </x:c>
      <x:c r="H32" s="80" t="n">
        <x:v>6113</x:v>
      </x:c>
      <x:c r="I32" s="80" t="n">
        <x:v>6114</x:v>
      </x:c>
      <x:c r="J32" s="80" t="n">
        <x:v>6115</x:v>
      </x:c>
      <x:c r="K32" s="80" t="n">
        <x:v>6116</x:v>
      </x:c>
      <x:c r="L32" s="80" t="n">
        <x:v>6117</x:v>
      </x:c>
      <x:c r="M32" s="80" t="n">
        <x:v>6118</x:v>
      </x:c>
      <x:c r="N32" s="81" t="str">
        <x:v>6110-6118</x:v>
      </x:c>
    </x:row>
    <x:row r="33" ht="22" customHeight="1">
      <x:c r="A33" s="77" t="n">
        <x:v>29</x:v>
      </x:c>
      <x:c r="B33" s="82" t="str">
        <x:v>星渊龙息</x:v>
      </x:c>
      <x:c r="C33" s="83" t="n">
        <x:v>9</x:v>
      </x:c>
      <x:c r="D33" s="82" t="str">
        <x:v>星渊龙息·极星</x:v>
      </x:c>
      <x:c r="E33" s="80" t="n">
        <x:v>6119</x:v>
      </x:c>
      <x:c r="F33" s="80" t="n">
        <x:v>6120</x:v>
      </x:c>
      <x:c r="G33" s="80" t="n">
        <x:v>6121</x:v>
      </x:c>
      <x:c r="H33" s="80" t="n">
        <x:v>6122</x:v>
      </x:c>
      <x:c r="I33" s="80" t="n">
        <x:v>6123</x:v>
      </x:c>
      <x:c r="J33" s="80" t="n">
        <x:v>6124</x:v>
      </x:c>
      <x:c r="K33" s="80" t="n">
        <x:v>6125</x:v>
      </x:c>
      <x:c r="L33" s="80" t="n">
        <x:v>6126</x:v>
      </x:c>
      <x:c r="M33" s="80" t="n">
        <x:v>6127</x:v>
      </x:c>
      <x:c r="N33" s="81" t="str">
        <x:v>6119-6127</x:v>
      </x:c>
    </x:row>
    <x:row r="34" ht="22" customHeight="1">
      <x:c r="A34" s="84" t="n">
        <x:v>30</x:v>
      </x:c>
      <x:c r="B34" s="89" t="str">
        <x:v>星渊龙息</x:v>
      </x:c>
      <x:c r="C34" s="90" t="n">
        <x:v>10</x:v>
      </x:c>
      <x:c r="D34" s="89" t="str">
        <x:v>星渊龙息·无垠</x:v>
      </x:c>
      <x:c r="E34" s="87" t="n">
        <x:v>6128</x:v>
      </x:c>
      <x:c r="F34" s="87" t="n">
        <x:v>6129</x:v>
      </x:c>
      <x:c r="G34" s="87" t="n">
        <x:v>6130</x:v>
      </x:c>
      <x:c r="H34" s="87" t="n">
        <x:v>6131</x:v>
      </x:c>
      <x:c r="I34" s="87" t="n">
        <x:v>6132</x:v>
      </x:c>
      <x:c r="J34" s="87" t="n">
        <x:v>6133</x:v>
      </x:c>
      <x:c r="K34" s="87" t="n">
        <x:v>6134</x:v>
      </x:c>
      <x:c r="L34" s="87" t="n">
        <x:v>6135</x:v>
      </x:c>
      <x:c r="M34" s="87" t="n">
        <x:v>6136</x:v>
      </x:c>
      <x:c r="N34" s="88" t="str">
        <x:v>6128-6136</x:v>
      </x:c>
    </x:row>
    <x:row r="35" ht="21" customHeight="1">
      <x:c r="A35" s="116" t="n">
        <x:v>31</x:v>
      </x:c>
      <x:c r="B35" s="120" t="str">
        <x:v>太微金曜</x:v>
      </x:c>
      <x:c r="C35" s="119" t="n">
        <x:v>1</x:v>
      </x:c>
      <x:c r="D35" s="120" t="str">
        <x:v>太微金曜·曜仪</x:v>
      </x:c>
      <x:c r="E35" s="121" t="n">
        <x:v>6201</x:v>
      </x:c>
      <x:c r="F35" s="121" t="n">
        <x:v>6202</x:v>
      </x:c>
      <x:c r="G35" s="121" t="n">
        <x:v>6203</x:v>
      </x:c>
      <x:c r="H35" s="121" t="n">
        <x:v>6204</x:v>
      </x:c>
      <x:c r="I35" s="121" t="n">
        <x:v>6205</x:v>
      </x:c>
      <x:c r="J35" s="121" t="n">
        <x:v>6206</x:v>
      </x:c>
      <x:c r="K35" s="121" t="n">
        <x:v>6207</x:v>
      </x:c>
      <x:c r="L35" s="121" t="n">
        <x:v>6208</x:v>
      </x:c>
      <x:c r="M35" s="121" t="n">
        <x:v>6209</x:v>
      </x:c>
      <x:c r="N35" s="118" t="str">
        <x:v>6201-6209</x:v>
      </x:c>
    </x:row>
    <x:row r="36" ht="21" customHeight="1">
      <x:c r="A36" s="133" t="n">
        <x:v>32</x:v>
      </x:c>
      <x:c r="B36" s="137" t="str">
        <x:v>玄衡月蚀</x:v>
      </x:c>
      <x:c r="C36" s="136" t="n">
        <x:v>1</x:v>
      </x:c>
      <x:c r="D36" s="137" t="str">
        <x:v>玄衡月蚀·月轮</x:v>
      </x:c>
      <x:c r="E36" s="138" t="n">
        <x:v>6210</x:v>
      </x:c>
      <x:c r="F36" s="138" t="n">
        <x:v>6211</x:v>
      </x:c>
      <x:c r="G36" s="138" t="n">
        <x:v>6212</x:v>
      </x:c>
      <x:c r="H36" s="138" t="n">
        <x:v>6213</x:v>
      </x:c>
      <x:c r="I36" s="138" t="n">
        <x:v>6214</x:v>
      </x:c>
      <x:c r="J36" s="138" t="n">
        <x:v>6215</x:v>
      </x:c>
      <x:c r="K36" s="138" t="n">
        <x:v>6216</x:v>
      </x:c>
      <x:c r="L36" s="138" t="n">
        <x:v>6217</x:v>
      </x:c>
      <x:c r="M36" s="138" t="n">
        <x:v>6218</x:v>
      </x:c>
      <x:c r="N36" s="135" t="str">
        <x:v>6210-6218</x:v>
      </x:c>
    </x:row>
    <x:row r="37" ht="21" customHeight="1">
      <x:c r="A37" s="150" t="n">
        <x:v>33</x:v>
      </x:c>
      <x:c r="B37" s="154" t="str">
        <x:v>苍辰木火</x:v>
      </x:c>
      <x:c r="C37" s="153" t="n">
        <x:v>1</x:v>
      </x:c>
      <x:c r="D37" s="154" t="str">
        <x:v>苍辰木火·青焰</x:v>
      </x:c>
      <x:c r="E37" s="155" t="n">
        <x:v>6219</x:v>
      </x:c>
      <x:c r="F37" s="155" t="n">
        <x:v>6220</x:v>
      </x:c>
      <x:c r="G37" s="155" t="n">
        <x:v>6221</x:v>
      </x:c>
      <x:c r="H37" s="155" t="n">
        <x:v>6222</x:v>
      </x:c>
      <x:c r="I37" s="155" t="n">
        <x:v>6223</x:v>
      </x:c>
      <x:c r="J37" s="155" t="n">
        <x:v>6224</x:v>
      </x:c>
      <x:c r="K37" s="155" t="n">
        <x:v>6225</x:v>
      </x:c>
      <x:c r="L37" s="155" t="n">
        <x:v>6226</x:v>
      </x:c>
      <x:c r="M37" s="155" t="n">
        <x:v>6227</x:v>
      </x:c>
      <x:c r="N37" s="152" t="str">
        <x:v>6219-6227</x:v>
      </x:c>
    </x:row>
    <x:row r="38" ht="21" customHeight="1">
      <x:c r="A38" s="167" t="n">
        <x:v>34</x:v>
      </x:c>
      <x:c r="B38" s="171" t="str">
        <x:v>赤曜天穹</x:v>
      </x:c>
      <x:c r="C38" s="170" t="n">
        <x:v>1</x:v>
      </x:c>
      <x:c r="D38" s="171" t="str">
        <x:v>赤曜天穹·陨星</x:v>
      </x:c>
      <x:c r="E38" s="172" t="n">
        <x:v>6228</x:v>
      </x:c>
      <x:c r="F38" s="172" t="n">
        <x:v>6229</x:v>
      </x:c>
      <x:c r="G38" s="172" t="n">
        <x:v>6230</x:v>
      </x:c>
      <x:c r="H38" s="172" t="n">
        <x:v>6231</x:v>
      </x:c>
      <x:c r="I38" s="172" t="n">
        <x:v>6232</x:v>
      </x:c>
      <x:c r="J38" s="172" t="n">
        <x:v>6233</x:v>
      </x:c>
      <x:c r="K38" s="172" t="n">
        <x:v>6234</x:v>
      </x:c>
      <x:c r="L38" s="172" t="n">
        <x:v>6235</x:v>
      </x:c>
      <x:c r="M38" s="172" t="n">
        <x:v>6236</x:v>
      </x:c>
      <x:c r="N38" s="169" t="str">
        <x:v>6228-6236</x:v>
      </x:c>
    </x:row>
    <x:row r="39" ht="21" customHeight="1">
      <x:c r="A39" s="184" t="n">
        <x:v>35</x:v>
      </x:c>
      <x:c r="B39" s="188" t="str">
        <x:v>紫垣玄晶</x:v>
      </x:c>
      <x:c r="C39" s="187" t="n">
        <x:v>1</x:v>
      </x:c>
      <x:c r="D39" s="188" t="str">
        <x:v>紫垣玄晶·紫极</x:v>
      </x:c>
      <x:c r="E39" s="189" t="n">
        <x:v>6237</x:v>
      </x:c>
      <x:c r="F39" s="189" t="n">
        <x:v>6238</x:v>
      </x:c>
      <x:c r="G39" s="189" t="n">
        <x:v>6239</x:v>
      </x:c>
      <x:c r="H39" s="189" t="n">
        <x:v>6240</x:v>
      </x:c>
      <x:c r="I39" s="189" t="n">
        <x:v>6241</x:v>
      </x:c>
      <x:c r="J39" s="189" t="n">
        <x:v>6242</x:v>
      </x:c>
      <x:c r="K39" s="189" t="n">
        <x:v>6243</x:v>
      </x:c>
      <x:c r="L39" s="189" t="n">
        <x:v>6244</x:v>
      </x:c>
      <x:c r="M39" s="189" t="n">
        <x:v>6245</x:v>
      </x:c>
      <x:c r="N39" s="186" t="str">
        <x:v>6237-6245</x:v>
      </x:c>
    </x:row>
  </x:sheetData>
  <x:mergeCells>
    <x:mergeCell ref="A1:N1"/>
    <x:mergeCell ref="A2:N2"/>
    <x:mergeCell ref="A3:N3"/>
  </x:mergeCells>
  <x:pageMargins left="0.7" right="0.7" top="0.75" bottom="0.75" header="0.3" footer="0.3"/>
  <x:tableParts count="1">
    <x:tablePart xmlns:r="http://schemas.openxmlformats.org/officeDocument/2006/relationships" r:id="R4162151571df46b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321" t="str">
        <x:v>装备素材统一资源库使用说明</x:v>
      </x:c>
      <x:c r="B1" s="321"/>
      <x:c r="C1" s="321"/>
      <x:c r="D1" s="321"/>
      <x:c r="E1" s="321"/>
      <x:c r="F1" s="321"/>
    </x:row>
    <x:row r="3" ht="30" customHeight="1">
      <x:c r="A3" s="313" t="str">
        <x:v>原九部位资源</x:v>
      </x:c>
      <x:c r="B3" s="314" t="str">
        <x:v>35套 / 315件</x:v>
      </x:c>
    </x:row>
    <x:row r="4" ht="30" customHeight="1">
      <x:c r="A4" s="315" t="str">
        <x:v>原生肖资源</x:v>
      </x:c>
      <x:c r="B4" s="316" t="str">
        <x:v>5套 / 60件</x:v>
      </x:c>
    </x:row>
    <x:row r="5" ht="30" customHeight="1">
      <x:c r="A5" s="315" t="str">
        <x:v>新增全装备资源</x:v>
      </x:c>
      <x:c r="B5" s="316" t="str">
        <x:v>20组 / 700件</x:v>
      </x:c>
    </x:row>
    <x:row r="6" ht="30" customHeight="1">
      <x:c r="A6" s="315" t="str">
        <x:v>总资源代码</x:v>
      </x:c>
      <x:c r="B6" s="316" t="n">
        <x:f>COUNTA('全资源索引'!B2:B1076)</x:f>
        <x:v>1075</x:v>
      </x:c>
    </x:row>
    <x:row r="7" ht="30" customHeight="1">
      <x:c r="A7" s="315" t="str">
        <x:v>正式代码范围</x:v>
      </x:c>
      <x:c r="B7" s="316" t="str">
        <x:v>5867-6136、6201-6305、6396-7095</x:v>
      </x:c>
    </x:row>
    <x:row r="8" ht="30" customHeight="1">
      <x:c r="A8" s="315" t="str">
        <x:v>分类使用规则</x:v>
      </x:c>
      <x:c r="B8" s="316" t="str">
        <x:v>不按原表的制式、专属、神器分类限制使用；分类不进入正式检索逻辑。</x:v>
      </x:c>
    </x:row>
    <x:row r="9" ht="30" customHeight="1">
      <x:c r="A9" s="315" t="str">
        <x:v>已知占用</x:v>
      </x:c>
      <x:c r="B9" s="316" t="str">
        <x:v>6246-6257已分配给宁姆格福生肖1-12；其他占用以现行装备表复核为准。</x:v>
      </x:c>
    </x:row>
    <x:row r="10" ht="30" customHeight="1">
      <x:c r="A10" s="317" t="str">
        <x:v>一对一规则</x:v>
      </x:c>
      <x:c r="B10" s="316" t="str">
        <x:v>一个来源编号只允许对应一件正式装备；禁止跨装备重复使用。</x:v>
      </x:c>
      <x:c r="C10" s="101"/>
      <x:c r="D10" s="101"/>
      <x:c r="E10" s="101"/>
      <x:c r="F10" s="101"/>
    </x:row>
    <x:row r="11" ht="30" customHeight="1">
      <x:c r="A11" s="315" t="str">
        <x:v>后续使用入口</x:v>
      </x:c>
      <x:c r="B11" s="316" t="str">
        <x:v>以后制作装备先查“全资源索引”，再按部位、资源组和来源编号取用。</x:v>
      </x:c>
    </x:row>
    <x:row r="12" ht="30" customHeight="1">
      <x:c r="A12" s="318" t="str">
        <x:v>风险控制</x:v>
      </x:c>
      <x:c r="B12" s="319" t="str">
        <x:v>资源已收录不等于尚未占用；写入新装备前必须检查现行装备表中的来源编号。</x:v>
      </x:c>
      <x:c r="C12" s="104"/>
      <x:c r="D12" s="104"/>
      <x:c r="E12" s="104"/>
      <x:c r="F12" s="104"/>
    </x:row>
    <x:row r="13">
      <x:c r="A13" s="356" t="str">
        <x:v>本次分配日期</x:v>
      </x:c>
      <x:c r="B13" s="345" t="str">
        <x:v>2026-09-02</x:v>
      </x:c>
      <x:c r="C13" s="345" t="str">
        <x:v>阶段性规划</x:v>
      </x:c>
      <x:c r="D13" s="345"/>
      <x:c r="E13" s="345"/>
      <x:c r="F13" s="346"/>
    </x:row>
    <x:row r="14">
      <x:c r="A14" s="357" t="str">
        <x:v>C3—C10专属</x:v>
      </x:c>
      <x:c r="B14" s="348" t="str">
        <x:v>342／464件已锁定</x:v>
      </x:c>
      <x:c r="C14" s="348" t="str">
        <x:v>122件缺码</x:v>
      </x:c>
      <x:c r="D14" s="348" t="str">
        <x:v>武器60／衣服51／斗笠11</x:v>
      </x:c>
      <x:c r="E14" s="348"/>
      <x:c r="F14" s="349"/>
    </x:row>
    <x:row r="15">
      <x:c r="A15" s="357" t="str">
        <x:v>材料冲突段</x:v>
      </x:c>
      <x:c r="B15" s="348" t="str">
        <x:v>6398—6462</x:v>
      </x:c>
      <x:c r="C15" s="348" t="str">
        <x:v>65码禁止装备使用</x:v>
      </x:c>
      <x:c r="D15" s="348" t="str">
        <x:v>已在Items实际占用</x:v>
      </x:c>
      <x:c r="E15" s="348"/>
      <x:c r="F15" s="349"/>
    </x:row>
    <x:row r="16">
      <x:c r="A16" s="357" t="str">
        <x:v>衣服映射</x:v>
      </x:c>
      <x:c r="B16" s="348" t="str">
        <x:v>衣服→男衣服StdMode10</x:v>
      </x:c>
      <x:c r="C16" s="348" t="str">
        <x:v>女衣服未并入通用池</x:v>
      </x:c>
      <x:c r="D16" s="348" t="str">
        <x:v>未经平台确认不得挪用</x:v>
      </x:c>
      <x:c r="E16" s="348"/>
      <x:c r="F16" s="349"/>
    </x:row>
    <x:row r="17">
      <x:c r="A17" s="358" t="str">
        <x:v>怪物编码</x:v>
      </x:c>
      <x:c r="B17" s="351" t="str">
        <x:v>不在本资源库分配</x:v>
      </x:c>
      <x:c r="C17" s="351" t="str">
        <x:v>用户自行处理</x:v>
      </x:c>
      <x:c r="D17" s="351"/>
      <x:c r="E17" s="351"/>
      <x:c r="F17" s="352"/>
    </x:row>
  </x:sheetData>
  <x:mergeCells>
    <x:mergeCell ref="A1:F1"/>
    <x:mergeCell ref="A10:F10"/>
    <x:mergeCell ref="A12:F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6" hidden="0" customWidth="1"/>
    <x:col min="3" max="3" width="23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5" hidden="0" customWidth="1"/>
  </x:cols>
  <x:sheetData>
    <x:row r="1" ht="34" customHeight="1">
      <x:c r="A1" s="198" t="str">
        <x:v>玄渊五套十二星宫生肖槽位装备代码表</x:v>
      </x:c>
      <x:c r="B1" s="199"/>
      <x:c r="C1" s="199"/>
      <x:c r="D1" s="199"/>
      <x:c r="E1" s="199"/>
      <x:c r="F1" s="199"/>
      <x:c r="G1" s="199"/>
      <x:c r="H1" s="199"/>
      <x:c r="I1" s="199"/>
      <x:c r="J1" s="199"/>
      <x:c r="K1" s="199"/>
      <x:c r="L1" s="199"/>
      <x:c r="M1" s="199"/>
      <x:c r="N1" s="199"/>
      <x:c r="O1" s="199"/>
      <x:c r="P1" s="200"/>
    </x:row>
    <x:row r="2" ht="24" customHeight="1">
      <x:c r="A2" s="204" t="str">
        <x:v>共60件 / 6246-6305全部唯一 / 一个源码只对应一件装备 / 三库同码</x:v>
      </x:c>
      <x:c r="B2" s="204"/>
      <x:c r="C2" s="204"/>
      <x:c r="D2" s="204"/>
      <x:c r="E2" s="204"/>
      <x:c r="F2" s="204"/>
      <x:c r="G2" s="204"/>
      <x:c r="H2" s="204"/>
      <x:c r="I2" s="204"/>
      <x:c r="J2" s="204"/>
      <x:c r="K2" s="204"/>
      <x:c r="L2" s="204"/>
      <x:c r="M2" s="204"/>
      <x:c r="N2" s="204"/>
      <x:c r="O2" s="204"/>
      <x:c r="P2" s="204"/>
    </x:row>
    <x:row r="3" ht="28" customHeight="1">
      <x:c r="A3" s="209" t="str">
        <x:v>套装序号</x:v>
      </x:c>
      <x:c r="B3" s="209" t="str">
        <x:v>系列</x:v>
      </x:c>
      <x:c r="C3" s="209" t="str">
        <x:v>套装名称</x:v>
      </x:c>
      <x:c r="D3" s="209" t="str">
        <x:v>槽位01</x:v>
      </x:c>
      <x:c r="E3" s="209" t="str">
        <x:v>槽位02</x:v>
      </x:c>
      <x:c r="F3" s="209" t="str">
        <x:v>槽位03</x:v>
      </x:c>
      <x:c r="G3" s="209" t="str">
        <x:v>槽位04</x:v>
      </x:c>
      <x:c r="H3" s="209" t="str">
        <x:v>槽位05</x:v>
      </x:c>
      <x:c r="I3" s="209" t="str">
        <x:v>槽位06</x:v>
      </x:c>
      <x:c r="J3" s="209" t="str">
        <x:v>槽位07</x:v>
      </x:c>
      <x:c r="K3" s="209" t="str">
        <x:v>槽位08</x:v>
      </x:c>
      <x:c r="L3" s="209" t="str">
        <x:v>槽位09</x:v>
      </x:c>
      <x:c r="M3" s="209" t="str">
        <x:v>槽位10</x:v>
      </x:c>
      <x:c r="N3" s="209" t="str">
        <x:v>槽位11</x:v>
      </x:c>
      <x:c r="O3" s="209" t="str">
        <x:v>槽位12</x:v>
      </x:c>
      <x:c r="P3" s="209" t="str">
        <x:v>代码范围</x:v>
      </x:c>
    </x:row>
    <x:row r="4" ht="24" customHeight="1">
      <x:c r="A4" s="250" t="n">
        <x:v>1</x:v>
      </x:c>
      <x:c r="B4" s="235" t="str">
        <x:v>星宫</x:v>
      </x:c>
      <x:c r="C4" s="235" t="str">
        <x:v>十二星宫生肖槽位</x:v>
      </x:c>
      <x:c r="D4" s="250" t="n">
        <x:v>6246</x:v>
      </x:c>
      <x:c r="E4" s="250" t="n">
        <x:v>6247</x:v>
      </x:c>
      <x:c r="F4" s="250" t="n">
        <x:v>6248</x:v>
      </x:c>
      <x:c r="G4" s="250" t="n">
        <x:v>6249</x:v>
      </x:c>
      <x:c r="H4" s="250" t="n">
        <x:v>6250</x:v>
      </x:c>
      <x:c r="I4" s="250" t="n">
        <x:v>6251</x:v>
      </x:c>
      <x:c r="J4" s="250" t="n">
        <x:v>6252</x:v>
      </x:c>
      <x:c r="K4" s="250" t="n">
        <x:v>6253</x:v>
      </x:c>
      <x:c r="L4" s="250" t="n">
        <x:v>6254</x:v>
      </x:c>
      <x:c r="M4" s="250" t="n">
        <x:v>6255</x:v>
      </x:c>
      <x:c r="N4" s="250" t="n">
        <x:v>6256</x:v>
      </x:c>
      <x:c r="O4" s="250" t="n">
        <x:v>6257</x:v>
      </x:c>
      <x:c r="P4" s="214" t="str">
        <x:v>6246-6257</x:v>
      </x:c>
    </x:row>
    <x:row r="5" ht="24" customHeight="1">
      <x:c r="A5" s="251" t="n">
        <x:v>2</x:v>
      </x:c>
      <x:c r="B5" s="236" t="str">
        <x:v>玄衡月蚀</x:v>
      </x:c>
      <x:c r="C5" s="236" t="str">
        <x:v>玄衡月蚀·星宫</x:v>
      </x:c>
      <x:c r="D5" s="251" t="n">
        <x:v>6258</x:v>
      </x:c>
      <x:c r="E5" s="251" t="n">
        <x:v>6259</x:v>
      </x:c>
      <x:c r="F5" s="251" t="n">
        <x:v>6260</x:v>
      </x:c>
      <x:c r="G5" s="251" t="n">
        <x:v>6261</x:v>
      </x:c>
      <x:c r="H5" s="251" t="n">
        <x:v>6262</x:v>
      </x:c>
      <x:c r="I5" s="251" t="n">
        <x:v>6263</x:v>
      </x:c>
      <x:c r="J5" s="251" t="n">
        <x:v>6264</x:v>
      </x:c>
      <x:c r="K5" s="251" t="n">
        <x:v>6265</x:v>
      </x:c>
      <x:c r="L5" s="251" t="n">
        <x:v>6266</x:v>
      </x:c>
      <x:c r="M5" s="251" t="n">
        <x:v>6267</x:v>
      </x:c>
      <x:c r="N5" s="251" t="n">
        <x:v>6268</x:v>
      </x:c>
      <x:c r="O5" s="251" t="n">
        <x:v>6269</x:v>
      </x:c>
      <x:c r="P5" s="219" t="str">
        <x:v>6258-6269</x:v>
      </x:c>
    </x:row>
    <x:row r="6" ht="24" customHeight="1">
      <x:c r="A6" s="252" t="n">
        <x:v>3</x:v>
      </x:c>
      <x:c r="B6" s="237" t="str">
        <x:v>苍辰木火</x:v>
      </x:c>
      <x:c r="C6" s="237" t="str">
        <x:v>苍辰木火·星宫</x:v>
      </x:c>
      <x:c r="D6" s="252" t="n">
        <x:v>6270</x:v>
      </x:c>
      <x:c r="E6" s="252" t="n">
        <x:v>6271</x:v>
      </x:c>
      <x:c r="F6" s="252" t="n">
        <x:v>6272</x:v>
      </x:c>
      <x:c r="G6" s="252" t="n">
        <x:v>6273</x:v>
      </x:c>
      <x:c r="H6" s="252" t="n">
        <x:v>6274</x:v>
      </x:c>
      <x:c r="I6" s="252" t="n">
        <x:v>6275</x:v>
      </x:c>
      <x:c r="J6" s="252" t="n">
        <x:v>6276</x:v>
      </x:c>
      <x:c r="K6" s="252" t="n">
        <x:v>6277</x:v>
      </x:c>
      <x:c r="L6" s="252" t="n">
        <x:v>6278</x:v>
      </x:c>
      <x:c r="M6" s="252" t="n">
        <x:v>6279</x:v>
      </x:c>
      <x:c r="N6" s="252" t="n">
        <x:v>6280</x:v>
      </x:c>
      <x:c r="O6" s="252" t="n">
        <x:v>6281</x:v>
      </x:c>
      <x:c r="P6" s="224" t="str">
        <x:v>6270-6281</x:v>
      </x:c>
    </x:row>
    <x:row r="7" ht="24" customHeight="1">
      <x:c r="A7" s="253" t="n">
        <x:v>4</x:v>
      </x:c>
      <x:c r="B7" s="238" t="str">
        <x:v>赤曜天穹</x:v>
      </x:c>
      <x:c r="C7" s="238" t="str">
        <x:v>赤曜天穹·星宫</x:v>
      </x:c>
      <x:c r="D7" s="253" t="n">
        <x:v>6282</x:v>
      </x:c>
      <x:c r="E7" s="253" t="n">
        <x:v>6283</x:v>
      </x:c>
      <x:c r="F7" s="253" t="n">
        <x:v>6284</x:v>
      </x:c>
      <x:c r="G7" s="253" t="n">
        <x:v>6285</x:v>
      </x:c>
      <x:c r="H7" s="253" t="n">
        <x:v>6286</x:v>
      </x:c>
      <x:c r="I7" s="253" t="n">
        <x:v>6287</x:v>
      </x:c>
      <x:c r="J7" s="253" t="n">
        <x:v>6288</x:v>
      </x:c>
      <x:c r="K7" s="253" t="n">
        <x:v>6289</x:v>
      </x:c>
      <x:c r="L7" s="253" t="n">
        <x:v>6290</x:v>
      </x:c>
      <x:c r="M7" s="253" t="n">
        <x:v>6291</x:v>
      </x:c>
      <x:c r="N7" s="253" t="n">
        <x:v>6292</x:v>
      </x:c>
      <x:c r="O7" s="253" t="n">
        <x:v>6293</x:v>
      </x:c>
      <x:c r="P7" s="229" t="str">
        <x:v>6282-6293</x:v>
      </x:c>
    </x:row>
    <x:row r="8" ht="24" customHeight="1">
      <x:c r="A8" s="254" t="n">
        <x:v>5</x:v>
      </x:c>
      <x:c r="B8" s="239" t="str">
        <x:v>紫垣玄晶</x:v>
      </x:c>
      <x:c r="C8" s="239" t="str">
        <x:v>紫垣玄晶·星宫</x:v>
      </x:c>
      <x:c r="D8" s="254" t="n">
        <x:v>6294</x:v>
      </x:c>
      <x:c r="E8" s="254" t="n">
        <x:v>6295</x:v>
      </x:c>
      <x:c r="F8" s="254" t="n">
        <x:v>6296</x:v>
      </x:c>
      <x:c r="G8" s="254" t="n">
        <x:v>6297</x:v>
      </x:c>
      <x:c r="H8" s="254" t="n">
        <x:v>6298</x:v>
      </x:c>
      <x:c r="I8" s="254" t="n">
        <x:v>6299</x:v>
      </x:c>
      <x:c r="J8" s="254" t="n">
        <x:v>6300</x:v>
      </x:c>
      <x:c r="K8" s="254" t="n">
        <x:v>6301</x:v>
      </x:c>
      <x:c r="L8" s="254" t="n">
        <x:v>6302</x:v>
      </x:c>
      <x:c r="M8" s="254" t="n">
        <x:v>6303</x:v>
      </x:c>
      <x:c r="N8" s="254" t="n">
        <x:v>6304</x:v>
      </x:c>
      <x:c r="O8" s="254" t="n">
        <x:v>6305</x:v>
      </x:c>
      <x:c r="P8" s="234" t="str">
        <x:v>6294-6305</x:v>
      </x:c>
    </x:row>
    <x:row r="10" ht="24" customHeight="1">
      <x:c r="A10" s="247" t="str">
        <x:v>当前分配：6246-6257 → 宁姆格福生肖1-12；6258-6305未分配。新增装备必须从未使用编号中取号。</x:v>
      </x:c>
      <x:c r="B10" s="248"/>
      <x:c r="C10" s="248"/>
      <x:c r="D10" s="248"/>
      <x:c r="E10" s="248"/>
      <x:c r="F10" s="248"/>
      <x:c r="G10" s="248"/>
      <x:c r="H10" s="248"/>
      <x:c r="I10" s="248"/>
      <x:c r="J10" s="248"/>
      <x:c r="K10" s="248"/>
      <x:c r="L10" s="248"/>
      <x:c r="M10" s="248"/>
      <x:c r="N10" s="248"/>
      <x:c r="O10" s="248"/>
      <x:c r="P10" s="249"/>
    </x:row>
  </x:sheetData>
  <x:mergeCells>
    <x:mergeCell ref="A1:P1"/>
    <x:mergeCell ref="A2:P2"/>
    <x:mergeCell ref="A10:P1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6" hidden="0" customWidth="1"/>
    <x:col min="3" max="3" width="22" hidden="0" customWidth="1"/>
    <x:col min="4" max="4" width="8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1" hidden="0" customWidth="1"/>
    <x:col min="34" max="34" width="11" hidden="0" customWidth="1"/>
    <x:col min="35" max="35" width="11" hidden="0" customWidth="1"/>
    <x:col min="36" max="36" width="11" hidden="0" customWidth="1"/>
    <x:col min="37" max="37" width="11" hidden="0" customWidth="1"/>
    <x:col min="38" max="38" width="11" hidden="0" customWidth="1"/>
    <x:col min="39" max="39" width="11" hidden="0" customWidth="1"/>
    <x:col min="40" max="40" width="11" hidden="0" customWidth="1"/>
    <x:col min="41" max="41" width="11" hidden="0" customWidth="1"/>
    <x:col min="42" max="42" width="11" hidden="0" customWidth="1"/>
    <x:col min="43" max="43" width="11" hidden="0" customWidth="1"/>
  </x:cols>
  <x:sheetData>
    <x:row r="1" ht="22" customHeight="1">
      <x:c r="A1" s="259" t="str">
        <x:v>套装序号</x:v>
      </x:c>
      <x:c r="B1" s="259" t="str">
        <x:v>系列</x:v>
      </x:c>
      <x:c r="C1" s="259" t="str">
        <x:v>套装名称</x:v>
      </x:c>
      <x:c r="D1" s="259" t="str">
        <x:v>层级</x:v>
      </x:c>
      <x:c r="E1" s="259" t="str">
        <x:v>武器</x:v>
      </x:c>
      <x:c r="F1" s="259" t="str">
        <x:v>男衣服</x:v>
      </x:c>
      <x:c r="G1" s="259" t="str">
        <x:v>女衣服</x:v>
      </x:c>
      <x:c r="H1" s="259" t="str">
        <x:v>头盔</x:v>
      </x:c>
      <x:c r="I1" s="259" t="str">
        <x:v>面巾</x:v>
      </x:c>
      <x:c r="J1" s="259" t="str">
        <x:v>项链</x:v>
      </x:c>
      <x:c r="K1" s="259" t="str">
        <x:v>手镯</x:v>
      </x:c>
      <x:c r="L1" s="259" t="str">
        <x:v>戒指</x:v>
      </x:c>
      <x:c r="M1" s="259" t="str">
        <x:v>勋章</x:v>
      </x:c>
      <x:c r="N1" s="259" t="str">
        <x:v>盾牌</x:v>
      </x:c>
      <x:c r="O1" s="259" t="str">
        <x:v>灵玉</x:v>
      </x:c>
      <x:c r="P1" s="259" t="str">
        <x:v>鞋子</x:v>
      </x:c>
      <x:c r="Q1" s="259" t="str">
        <x:v>腰带</x:v>
      </x:c>
      <x:c r="R1" s="259" t="str">
        <x:v>护身符</x:v>
      </x:c>
      <x:c r="S1" s="259" t="str">
        <x:v>宝石</x:v>
      </x:c>
      <x:c r="T1" s="259" t="str">
        <x:v>军鼓</x:v>
      </x:c>
      <x:c r="U1" s="259" t="str">
        <x:v>马牌</x:v>
      </x:c>
      <x:c r="V1" s="259" t="str">
        <x:v>首饰盒1</x:v>
      </x:c>
      <x:c r="W1" s="259" t="str">
        <x:v>首饰盒2</x:v>
      </x:c>
      <x:c r="X1" s="259" t="str">
        <x:v>首饰盒3</x:v>
      </x:c>
      <x:c r="Y1" s="259" t="str">
        <x:v>首饰盒4</x:v>
      </x:c>
      <x:c r="Z1" s="259" t="str">
        <x:v>首饰盒5</x:v>
      </x:c>
      <x:c r="AA1" s="259" t="str">
        <x:v>首饰盒6</x:v>
      </x:c>
      <x:c r="AB1" s="259" t="str">
        <x:v>生肖1</x:v>
      </x:c>
      <x:c r="AC1" s="259" t="str">
        <x:v>生肖2</x:v>
      </x:c>
      <x:c r="AD1" s="259" t="str">
        <x:v>生肖3</x:v>
      </x:c>
      <x:c r="AE1" s="259" t="str">
        <x:v>生肖4</x:v>
      </x:c>
      <x:c r="AF1" s="259" t="str">
        <x:v>生肖5</x:v>
      </x:c>
      <x:c r="AG1" s="259" t="str">
        <x:v>生肖6</x:v>
      </x:c>
      <x:c r="AH1" s="259" t="str">
        <x:v>生肖7</x:v>
      </x:c>
      <x:c r="AI1" s="259" t="str">
        <x:v>生肖8</x:v>
      </x:c>
      <x:c r="AJ1" s="259" t="str">
        <x:v>生肖9</x:v>
      </x:c>
      <x:c r="AK1" s="259" t="str">
        <x:v>生肖10</x:v>
      </x:c>
      <x:c r="AL1" s="259" t="str">
        <x:v>生肖11</x:v>
      </x:c>
      <x:c r="AM1" s="259" t="str">
        <x:v>生肖12</x:v>
      </x:c>
      <x:c r="AN1" s="259" t="str">
        <x:v>武器Shape</x:v>
      </x:c>
      <x:c r="AO1" s="259" t="str">
        <x:v>男衣Shape</x:v>
      </x:c>
      <x:c r="AP1" s="259" t="str">
        <x:v>女衣Shape</x:v>
      </x:c>
      <x:c r="AQ1" s="259" t="str">
        <x:v>代码范围</x:v>
      </x:c>
    </x:row>
    <x:row r="2" ht="22" customHeight="1">
      <x:c r="A2" s="280" t="n">
        <x:v>1</x:v>
      </x:c>
      <x:c r="B2" s="281" t="str">
        <x:v>黄金圣树</x:v>
      </x:c>
      <x:c r="C2" s="281" t="str">
        <x:v>黄金圣树·初誓</x:v>
      </x:c>
      <x:c r="D2" s="281" t="n">
        <x:v>1</x:v>
      </x:c>
      <x:c r="E2" s="281" t="n">
        <x:v>6396</x:v>
      </x:c>
      <x:c r="F2" s="281" t="n">
        <x:v>6397</x:v>
      </x:c>
      <x:c r="G2" s="281" t="n">
        <x:v>6398</x:v>
      </x:c>
      <x:c r="H2" s="281" t="n">
        <x:v>6399</x:v>
      </x:c>
      <x:c r="I2" s="281" t="n">
        <x:v>6400</x:v>
      </x:c>
      <x:c r="J2" s="281" t="n">
        <x:v>6401</x:v>
      </x:c>
      <x:c r="K2" s="281" t="n">
        <x:v>6402</x:v>
      </x:c>
      <x:c r="L2" s="281" t="n">
        <x:v>6403</x:v>
      </x:c>
      <x:c r="M2" s="281" t="n">
        <x:v>6404</x:v>
      </x:c>
      <x:c r="N2" s="281" t="n">
        <x:v>6405</x:v>
      </x:c>
      <x:c r="O2" s="281" t="n">
        <x:v>6406</x:v>
      </x:c>
      <x:c r="P2" s="281" t="n">
        <x:v>6407</x:v>
      </x:c>
      <x:c r="Q2" s="281" t="n">
        <x:v>6408</x:v>
      </x:c>
      <x:c r="R2" s="281" t="n">
        <x:v>6409</x:v>
      </x:c>
      <x:c r="S2" s="281" t="n">
        <x:v>6410</x:v>
      </x:c>
      <x:c r="T2" s="281" t="n">
        <x:v>6411</x:v>
      </x:c>
      <x:c r="U2" s="281" t="n">
        <x:v>6412</x:v>
      </x:c>
      <x:c r="V2" s="281" t="n">
        <x:v>6413</x:v>
      </x:c>
      <x:c r="W2" s="281" t="n">
        <x:v>6414</x:v>
      </x:c>
      <x:c r="X2" s="281" t="n">
        <x:v>6415</x:v>
      </x:c>
      <x:c r="Y2" s="281" t="n">
        <x:v>6416</x:v>
      </x:c>
      <x:c r="Z2" s="281" t="n">
        <x:v>6417</x:v>
      </x:c>
      <x:c r="AA2" s="281" t="n">
        <x:v>6418</x:v>
      </x:c>
      <x:c r="AB2" s="281" t="n">
        <x:v>6419</x:v>
      </x:c>
      <x:c r="AC2" s="281" t="n">
        <x:v>6420</x:v>
      </x:c>
      <x:c r="AD2" s="281" t="n">
        <x:v>6421</x:v>
      </x:c>
      <x:c r="AE2" s="281" t="n">
        <x:v>6422</x:v>
      </x:c>
      <x:c r="AF2" s="281" t="n">
        <x:v>6423</x:v>
      </x:c>
      <x:c r="AG2" s="281" t="n">
        <x:v>6424</x:v>
      </x:c>
      <x:c r="AH2" s="281" t="n">
        <x:v>6425</x:v>
      </x:c>
      <x:c r="AI2" s="281" t="n">
        <x:v>6426</x:v>
      </x:c>
      <x:c r="AJ2" s="281" t="n">
        <x:v>6427</x:v>
      </x:c>
      <x:c r="AK2" s="281" t="n">
        <x:v>6428</x:v>
      </x:c>
      <x:c r="AL2" s="281" t="n">
        <x:v>6429</x:v>
      </x:c>
      <x:c r="AM2" s="281" t="n">
        <x:v>6430</x:v>
      </x:c>
      <x:c r="AN2" s="281" t="n">
        <x:v>14</x:v>
      </x:c>
      <x:c r="AO2" s="281" t="n">
        <x:v>1</x:v>
      </x:c>
      <x:c r="AP2" s="281" t="n">
        <x:v>1</x:v>
      </x:c>
      <x:c r="AQ2" s="282" t="str">
        <x:v>6396-6430</x:v>
      </x:c>
    </x:row>
    <x:row r="3" ht="22" customHeight="1">
      <x:c r="A3" s="283" t="n">
        <x:v>2</x:v>
      </x:c>
      <x:c r="B3" s="284" t="str">
        <x:v>黄金圣树</x:v>
      </x:c>
      <x:c r="C3" s="284" t="str">
        <x:v>黄金圣树·圣枝</x:v>
      </x:c>
      <x:c r="D3" s="284" t="n">
        <x:v>2</x:v>
      </x:c>
      <x:c r="E3" s="284" t="n">
        <x:v>6431</x:v>
      </x:c>
      <x:c r="F3" s="284" t="n">
        <x:v>6432</x:v>
      </x:c>
      <x:c r="G3" s="284" t="n">
        <x:v>6433</x:v>
      </x:c>
      <x:c r="H3" s="284" t="n">
        <x:v>6434</x:v>
      </x:c>
      <x:c r="I3" s="284" t="n">
        <x:v>6435</x:v>
      </x:c>
      <x:c r="J3" s="284" t="n">
        <x:v>6436</x:v>
      </x:c>
      <x:c r="K3" s="284" t="n">
        <x:v>6437</x:v>
      </x:c>
      <x:c r="L3" s="284" t="n">
        <x:v>6438</x:v>
      </x:c>
      <x:c r="M3" s="284" t="n">
        <x:v>6439</x:v>
      </x:c>
      <x:c r="N3" s="284" t="n">
        <x:v>6440</x:v>
      </x:c>
      <x:c r="O3" s="284" t="n">
        <x:v>6441</x:v>
      </x:c>
      <x:c r="P3" s="284" t="n">
        <x:v>6442</x:v>
      </x:c>
      <x:c r="Q3" s="284" t="n">
        <x:v>6443</x:v>
      </x:c>
      <x:c r="R3" s="284" t="n">
        <x:v>6444</x:v>
      </x:c>
      <x:c r="S3" s="284" t="n">
        <x:v>6445</x:v>
      </x:c>
      <x:c r="T3" s="284" t="n">
        <x:v>6446</x:v>
      </x:c>
      <x:c r="U3" s="284" t="n">
        <x:v>6447</x:v>
      </x:c>
      <x:c r="V3" s="284" t="n">
        <x:v>6448</x:v>
      </x:c>
      <x:c r="W3" s="284" t="n">
        <x:v>6449</x:v>
      </x:c>
      <x:c r="X3" s="284" t="n">
        <x:v>6450</x:v>
      </x:c>
      <x:c r="Y3" s="284" t="n">
        <x:v>6451</x:v>
      </x:c>
      <x:c r="Z3" s="284" t="n">
        <x:v>6452</x:v>
      </x:c>
      <x:c r="AA3" s="284" t="n">
        <x:v>6453</x:v>
      </x:c>
      <x:c r="AB3" s="284" t="n">
        <x:v>6454</x:v>
      </x:c>
      <x:c r="AC3" s="284" t="n">
        <x:v>6455</x:v>
      </x:c>
      <x:c r="AD3" s="284" t="n">
        <x:v>6456</x:v>
      </x:c>
      <x:c r="AE3" s="284" t="n">
        <x:v>6457</x:v>
      </x:c>
      <x:c r="AF3" s="284" t="n">
        <x:v>6458</x:v>
      </x:c>
      <x:c r="AG3" s="284" t="n">
        <x:v>6459</x:v>
      </x:c>
      <x:c r="AH3" s="284" t="n">
        <x:v>6460</x:v>
      </x:c>
      <x:c r="AI3" s="284" t="n">
        <x:v>6461</x:v>
      </x:c>
      <x:c r="AJ3" s="284" t="n">
        <x:v>6462</x:v>
      </x:c>
      <x:c r="AK3" s="284" t="n">
        <x:v>6463</x:v>
      </x:c>
      <x:c r="AL3" s="284" t="n">
        <x:v>6464</x:v>
      </x:c>
      <x:c r="AM3" s="284" t="n">
        <x:v>6465</x:v>
      </x:c>
      <x:c r="AN3" s="284" t="n">
        <x:v>15</x:v>
      </x:c>
      <x:c r="AO3" s="284" t="n">
        <x:v>2</x:v>
      </x:c>
      <x:c r="AP3" s="284" t="n">
        <x:v>2</x:v>
      </x:c>
      <x:c r="AQ3" s="285" t="str">
        <x:v>6431-6465</x:v>
      </x:c>
    </x:row>
    <x:row r="4" ht="22" customHeight="1">
      <x:c r="A4" s="283" t="n">
        <x:v>3</x:v>
      </x:c>
      <x:c r="B4" s="284" t="str">
        <x:v>黄金圣树</x:v>
      </x:c>
      <x:c r="C4" s="284" t="str">
        <x:v>黄金圣树·王权</x:v>
      </x:c>
      <x:c r="D4" s="284" t="n">
        <x:v>3</x:v>
      </x:c>
      <x:c r="E4" s="284" t="n">
        <x:v>6466</x:v>
      </x:c>
      <x:c r="F4" s="284" t="n">
        <x:v>6467</x:v>
      </x:c>
      <x:c r="G4" s="284" t="n">
        <x:v>6468</x:v>
      </x:c>
      <x:c r="H4" s="284" t="n">
        <x:v>6469</x:v>
      </x:c>
      <x:c r="I4" s="284" t="n">
        <x:v>6470</x:v>
      </x:c>
      <x:c r="J4" s="284" t="n">
        <x:v>6471</x:v>
      </x:c>
      <x:c r="K4" s="284" t="n">
        <x:v>6472</x:v>
      </x:c>
      <x:c r="L4" s="284" t="n">
        <x:v>6473</x:v>
      </x:c>
      <x:c r="M4" s="284" t="n">
        <x:v>6474</x:v>
      </x:c>
      <x:c r="N4" s="284" t="n">
        <x:v>6475</x:v>
      </x:c>
      <x:c r="O4" s="284" t="n">
        <x:v>6476</x:v>
      </x:c>
      <x:c r="P4" s="284" t="n">
        <x:v>6477</x:v>
      </x:c>
      <x:c r="Q4" s="284" t="n">
        <x:v>6478</x:v>
      </x:c>
      <x:c r="R4" s="284" t="n">
        <x:v>6479</x:v>
      </x:c>
      <x:c r="S4" s="284" t="n">
        <x:v>6480</x:v>
      </x:c>
      <x:c r="T4" s="284" t="n">
        <x:v>6481</x:v>
      </x:c>
      <x:c r="U4" s="284" t="n">
        <x:v>6482</x:v>
      </x:c>
      <x:c r="V4" s="284" t="n">
        <x:v>6483</x:v>
      </x:c>
      <x:c r="W4" s="284" t="n">
        <x:v>6484</x:v>
      </x:c>
      <x:c r="X4" s="284" t="n">
        <x:v>6485</x:v>
      </x:c>
      <x:c r="Y4" s="284" t="n">
        <x:v>6486</x:v>
      </x:c>
      <x:c r="Z4" s="284" t="n">
        <x:v>6487</x:v>
      </x:c>
      <x:c r="AA4" s="284" t="n">
        <x:v>6488</x:v>
      </x:c>
      <x:c r="AB4" s="284" t="n">
        <x:v>6489</x:v>
      </x:c>
      <x:c r="AC4" s="284" t="n">
        <x:v>6490</x:v>
      </x:c>
      <x:c r="AD4" s="284" t="n">
        <x:v>6491</x:v>
      </x:c>
      <x:c r="AE4" s="284" t="n">
        <x:v>6492</x:v>
      </x:c>
      <x:c r="AF4" s="284" t="n">
        <x:v>6493</x:v>
      </x:c>
      <x:c r="AG4" s="284" t="n">
        <x:v>6494</x:v>
      </x:c>
      <x:c r="AH4" s="284" t="n">
        <x:v>6495</x:v>
      </x:c>
      <x:c r="AI4" s="284" t="n">
        <x:v>6496</x:v>
      </x:c>
      <x:c r="AJ4" s="284" t="n">
        <x:v>6497</x:v>
      </x:c>
      <x:c r="AK4" s="284" t="n">
        <x:v>6498</x:v>
      </x:c>
      <x:c r="AL4" s="284" t="n">
        <x:v>6499</x:v>
      </x:c>
      <x:c r="AM4" s="284" t="n">
        <x:v>6500</x:v>
      </x:c>
      <x:c r="AN4" s="284" t="n">
        <x:v>16</x:v>
      </x:c>
      <x:c r="AO4" s="284" t="n">
        <x:v>3</x:v>
      </x:c>
      <x:c r="AP4" s="284" t="n">
        <x:v>3</x:v>
      </x:c>
      <x:c r="AQ4" s="285" t="str">
        <x:v>6466-6500</x:v>
      </x:c>
    </x:row>
    <x:row r="5" ht="22" customHeight="1">
      <x:c r="A5" s="283" t="n">
        <x:v>4</x:v>
      </x:c>
      <x:c r="B5" s="284" t="str">
        <x:v>黄金圣树</x:v>
      </x:c>
      <x:c r="C5" s="284" t="str">
        <x:v>黄金圣树·律法</x:v>
      </x:c>
      <x:c r="D5" s="284" t="n">
        <x:v>4</x:v>
      </x:c>
      <x:c r="E5" s="284" t="n">
        <x:v>6501</x:v>
      </x:c>
      <x:c r="F5" s="284" t="n">
        <x:v>6502</x:v>
      </x:c>
      <x:c r="G5" s="284" t="n">
        <x:v>6503</x:v>
      </x:c>
      <x:c r="H5" s="284" t="n">
        <x:v>6504</x:v>
      </x:c>
      <x:c r="I5" s="284" t="n">
        <x:v>6505</x:v>
      </x:c>
      <x:c r="J5" s="284" t="n">
        <x:v>6506</x:v>
      </x:c>
      <x:c r="K5" s="284" t="n">
        <x:v>6507</x:v>
      </x:c>
      <x:c r="L5" s="284" t="n">
        <x:v>6508</x:v>
      </x:c>
      <x:c r="M5" s="284" t="n">
        <x:v>6509</x:v>
      </x:c>
      <x:c r="N5" s="284" t="n">
        <x:v>6510</x:v>
      </x:c>
      <x:c r="O5" s="284" t="n">
        <x:v>6511</x:v>
      </x:c>
      <x:c r="P5" s="284" t="n">
        <x:v>6512</x:v>
      </x:c>
      <x:c r="Q5" s="284" t="n">
        <x:v>6513</x:v>
      </x:c>
      <x:c r="R5" s="284" t="n">
        <x:v>6514</x:v>
      </x:c>
      <x:c r="S5" s="284" t="n">
        <x:v>6515</x:v>
      </x:c>
      <x:c r="T5" s="284" t="n">
        <x:v>6516</x:v>
      </x:c>
      <x:c r="U5" s="284" t="n">
        <x:v>6517</x:v>
      </x:c>
      <x:c r="V5" s="284" t="n">
        <x:v>6518</x:v>
      </x:c>
      <x:c r="W5" s="284" t="n">
        <x:v>6519</x:v>
      </x:c>
      <x:c r="X5" s="284" t="n">
        <x:v>6520</x:v>
      </x:c>
      <x:c r="Y5" s="284" t="n">
        <x:v>6521</x:v>
      </x:c>
      <x:c r="Z5" s="284" t="n">
        <x:v>6522</x:v>
      </x:c>
      <x:c r="AA5" s="284" t="n">
        <x:v>6523</x:v>
      </x:c>
      <x:c r="AB5" s="284" t="n">
        <x:v>6524</x:v>
      </x:c>
      <x:c r="AC5" s="284" t="n">
        <x:v>6525</x:v>
      </x:c>
      <x:c r="AD5" s="284" t="n">
        <x:v>6526</x:v>
      </x:c>
      <x:c r="AE5" s="284" t="n">
        <x:v>6527</x:v>
      </x:c>
      <x:c r="AF5" s="284" t="n">
        <x:v>6528</x:v>
      </x:c>
      <x:c r="AG5" s="284" t="n">
        <x:v>6529</x:v>
      </x:c>
      <x:c r="AH5" s="284" t="n">
        <x:v>6530</x:v>
      </x:c>
      <x:c r="AI5" s="284" t="n">
        <x:v>6531</x:v>
      </x:c>
      <x:c r="AJ5" s="284" t="n">
        <x:v>6532</x:v>
      </x:c>
      <x:c r="AK5" s="284" t="n">
        <x:v>6533</x:v>
      </x:c>
      <x:c r="AL5" s="284" t="n">
        <x:v>6534</x:v>
      </x:c>
      <x:c r="AM5" s="284" t="n">
        <x:v>6535</x:v>
      </x:c>
      <x:c r="AN5" s="284" t="n">
        <x:v>17</x:v>
      </x:c>
      <x:c r="AO5" s="284" t="n">
        <x:v>4</x:v>
      </x:c>
      <x:c r="AP5" s="284" t="n">
        <x:v>4</x:v>
      </x:c>
      <x:c r="AQ5" s="285" t="str">
        <x:v>6501-6535</x:v>
      </x:c>
    </x:row>
    <x:row r="6" ht="22" customHeight="1">
      <x:c r="A6" s="283" t="n">
        <x:v>5</x:v>
      </x:c>
      <x:c r="B6" s="284" t="str">
        <x:v>黄金圣树</x:v>
      </x:c>
      <x:c r="C6" s="284" t="str">
        <x:v>黄金圣树·永恒</x:v>
      </x:c>
      <x:c r="D6" s="284" t="n">
        <x:v>5</x:v>
      </x:c>
      <x:c r="E6" s="284" t="n">
        <x:v>6536</x:v>
      </x:c>
      <x:c r="F6" s="284" t="n">
        <x:v>6537</x:v>
      </x:c>
      <x:c r="G6" s="284" t="n">
        <x:v>6538</x:v>
      </x:c>
      <x:c r="H6" s="284" t="n">
        <x:v>6539</x:v>
      </x:c>
      <x:c r="I6" s="284" t="n">
        <x:v>6540</x:v>
      </x:c>
      <x:c r="J6" s="284" t="n">
        <x:v>6541</x:v>
      </x:c>
      <x:c r="K6" s="284" t="n">
        <x:v>6542</x:v>
      </x:c>
      <x:c r="L6" s="284" t="n">
        <x:v>6543</x:v>
      </x:c>
      <x:c r="M6" s="284" t="n">
        <x:v>6544</x:v>
      </x:c>
      <x:c r="N6" s="284" t="n">
        <x:v>6545</x:v>
      </x:c>
      <x:c r="O6" s="284" t="n">
        <x:v>6546</x:v>
      </x:c>
      <x:c r="P6" s="284" t="n">
        <x:v>6547</x:v>
      </x:c>
      <x:c r="Q6" s="284" t="n">
        <x:v>6548</x:v>
      </x:c>
      <x:c r="R6" s="284" t="n">
        <x:v>6549</x:v>
      </x:c>
      <x:c r="S6" s="284" t="n">
        <x:v>6550</x:v>
      </x:c>
      <x:c r="T6" s="284" t="n">
        <x:v>6551</x:v>
      </x:c>
      <x:c r="U6" s="284" t="n">
        <x:v>6552</x:v>
      </x:c>
      <x:c r="V6" s="284" t="n">
        <x:v>6553</x:v>
      </x:c>
      <x:c r="W6" s="284" t="n">
        <x:v>6554</x:v>
      </x:c>
      <x:c r="X6" s="284" t="n">
        <x:v>6555</x:v>
      </x:c>
      <x:c r="Y6" s="284" t="n">
        <x:v>6556</x:v>
      </x:c>
      <x:c r="Z6" s="284" t="n">
        <x:v>6557</x:v>
      </x:c>
      <x:c r="AA6" s="284" t="n">
        <x:v>6558</x:v>
      </x:c>
      <x:c r="AB6" s="284" t="n">
        <x:v>6559</x:v>
      </x:c>
      <x:c r="AC6" s="284" t="n">
        <x:v>6560</x:v>
      </x:c>
      <x:c r="AD6" s="284" t="n">
        <x:v>6561</x:v>
      </x:c>
      <x:c r="AE6" s="284" t="n">
        <x:v>6562</x:v>
      </x:c>
      <x:c r="AF6" s="284" t="n">
        <x:v>6563</x:v>
      </x:c>
      <x:c r="AG6" s="284" t="n">
        <x:v>6564</x:v>
      </x:c>
      <x:c r="AH6" s="284" t="n">
        <x:v>6565</x:v>
      </x:c>
      <x:c r="AI6" s="284" t="n">
        <x:v>6566</x:v>
      </x:c>
      <x:c r="AJ6" s="284" t="n">
        <x:v>6567</x:v>
      </x:c>
      <x:c r="AK6" s="284" t="n">
        <x:v>6568</x:v>
      </x:c>
      <x:c r="AL6" s="284" t="n">
        <x:v>6569</x:v>
      </x:c>
      <x:c r="AM6" s="284" t="n">
        <x:v>6570</x:v>
      </x:c>
      <x:c r="AN6" s="284" t="n">
        <x:v>20</x:v>
      </x:c>
      <x:c r="AO6" s="284" t="n">
        <x:v>5</x:v>
      </x:c>
      <x:c r="AP6" s="284" t="n">
        <x:v>5</x:v>
      </x:c>
      <x:c r="AQ6" s="285" t="str">
        <x:v>6536-6570</x:v>
      </x:c>
    </x:row>
    <x:row r="7" ht="22" customHeight="1">
      <x:c r="A7" s="283" t="n">
        <x:v>6</x:v>
      </x:c>
      <x:c r="B7" s="284" t="str">
        <x:v>血月荆棘</x:v>
      </x:c>
      <x:c r="C7" s="284" t="str">
        <x:v>血月荆棘·血痕</x:v>
      </x:c>
      <x:c r="D7" s="284" t="n">
        <x:v>1</x:v>
      </x:c>
      <x:c r="E7" s="284" t="n">
        <x:v>6571</x:v>
      </x:c>
      <x:c r="F7" s="284" t="n">
        <x:v>6572</x:v>
      </x:c>
      <x:c r="G7" s="284" t="n">
        <x:v>6573</x:v>
      </x:c>
      <x:c r="H7" s="284" t="n">
        <x:v>6574</x:v>
      </x:c>
      <x:c r="I7" s="284" t="n">
        <x:v>6575</x:v>
      </x:c>
      <x:c r="J7" s="284" t="n">
        <x:v>6576</x:v>
      </x:c>
      <x:c r="K7" s="284" t="n">
        <x:v>6577</x:v>
      </x:c>
      <x:c r="L7" s="284" t="n">
        <x:v>6578</x:v>
      </x:c>
      <x:c r="M7" s="284" t="n">
        <x:v>6579</x:v>
      </x:c>
      <x:c r="N7" s="284" t="n">
        <x:v>6580</x:v>
      </x:c>
      <x:c r="O7" s="284" t="n">
        <x:v>6581</x:v>
      </x:c>
      <x:c r="P7" s="284" t="n">
        <x:v>6582</x:v>
      </x:c>
      <x:c r="Q7" s="284" t="n">
        <x:v>6583</x:v>
      </x:c>
      <x:c r="R7" s="284" t="n">
        <x:v>6584</x:v>
      </x:c>
      <x:c r="S7" s="284" t="n">
        <x:v>6585</x:v>
      </x:c>
      <x:c r="T7" s="284" t="n">
        <x:v>6586</x:v>
      </x:c>
      <x:c r="U7" s="284" t="n">
        <x:v>6587</x:v>
      </x:c>
      <x:c r="V7" s="284" t="n">
        <x:v>6588</x:v>
      </x:c>
      <x:c r="W7" s="284" t="n">
        <x:v>6589</x:v>
      </x:c>
      <x:c r="X7" s="284" t="n">
        <x:v>6590</x:v>
      </x:c>
      <x:c r="Y7" s="284" t="n">
        <x:v>6591</x:v>
      </x:c>
      <x:c r="Z7" s="284" t="n">
        <x:v>6592</x:v>
      </x:c>
      <x:c r="AA7" s="284" t="n">
        <x:v>6593</x:v>
      </x:c>
      <x:c r="AB7" s="284" t="n">
        <x:v>6594</x:v>
      </x:c>
      <x:c r="AC7" s="284" t="n">
        <x:v>6595</x:v>
      </x:c>
      <x:c r="AD7" s="284" t="n">
        <x:v>6596</x:v>
      </x:c>
      <x:c r="AE7" s="284" t="n">
        <x:v>6597</x:v>
      </x:c>
      <x:c r="AF7" s="284" t="n">
        <x:v>6598</x:v>
      </x:c>
      <x:c r="AG7" s="284" t="n">
        <x:v>6599</x:v>
      </x:c>
      <x:c r="AH7" s="284" t="n">
        <x:v>6600</x:v>
      </x:c>
      <x:c r="AI7" s="284" t="n">
        <x:v>6601</x:v>
      </x:c>
      <x:c r="AJ7" s="284" t="n">
        <x:v>6602</x:v>
      </x:c>
      <x:c r="AK7" s="284" t="n">
        <x:v>6603</x:v>
      </x:c>
      <x:c r="AL7" s="284" t="n">
        <x:v>6604</x:v>
      </x:c>
      <x:c r="AM7" s="284" t="n">
        <x:v>6605</x:v>
      </x:c>
      <x:c r="AN7" s="284" t="n">
        <x:v>21</x:v>
      </x:c>
      <x:c r="AO7" s="284" t="n">
        <x:v>6</x:v>
      </x:c>
      <x:c r="AP7" s="284" t="n">
        <x:v>6</x:v>
      </x:c>
      <x:c r="AQ7" s="285" t="str">
        <x:v>6571-6605</x:v>
      </x:c>
    </x:row>
    <x:row r="8" ht="22" customHeight="1">
      <x:c r="A8" s="283" t="n">
        <x:v>7</x:v>
      </x:c>
      <x:c r="B8" s="284" t="str">
        <x:v>血月荆棘</x:v>
      </x:c>
      <x:c r="C8" s="284" t="str">
        <x:v>血月荆棘·荆冠</x:v>
      </x:c>
      <x:c r="D8" s="284" t="n">
        <x:v>2</x:v>
      </x:c>
      <x:c r="E8" s="284" t="n">
        <x:v>6606</x:v>
      </x:c>
      <x:c r="F8" s="284" t="n">
        <x:v>6607</x:v>
      </x:c>
      <x:c r="G8" s="284" t="n">
        <x:v>6608</x:v>
      </x:c>
      <x:c r="H8" s="284" t="n">
        <x:v>6609</x:v>
      </x:c>
      <x:c r="I8" s="284" t="n">
        <x:v>6610</x:v>
      </x:c>
      <x:c r="J8" s="284" t="n">
        <x:v>6611</x:v>
      </x:c>
      <x:c r="K8" s="284" t="n">
        <x:v>6612</x:v>
      </x:c>
      <x:c r="L8" s="284" t="n">
        <x:v>6613</x:v>
      </x:c>
      <x:c r="M8" s="284" t="n">
        <x:v>6614</x:v>
      </x:c>
      <x:c r="N8" s="284" t="n">
        <x:v>6615</x:v>
      </x:c>
      <x:c r="O8" s="284" t="n">
        <x:v>6616</x:v>
      </x:c>
      <x:c r="P8" s="284" t="n">
        <x:v>6617</x:v>
      </x:c>
      <x:c r="Q8" s="284" t="n">
        <x:v>6618</x:v>
      </x:c>
      <x:c r="R8" s="284" t="n">
        <x:v>6619</x:v>
      </x:c>
      <x:c r="S8" s="284" t="n">
        <x:v>6620</x:v>
      </x:c>
      <x:c r="T8" s="284" t="n">
        <x:v>6621</x:v>
      </x:c>
      <x:c r="U8" s="284" t="n">
        <x:v>6622</x:v>
      </x:c>
      <x:c r="V8" s="284" t="n">
        <x:v>6623</x:v>
      </x:c>
      <x:c r="W8" s="284" t="n">
        <x:v>6624</x:v>
      </x:c>
      <x:c r="X8" s="284" t="n">
        <x:v>6625</x:v>
      </x:c>
      <x:c r="Y8" s="284" t="n">
        <x:v>6626</x:v>
      </x:c>
      <x:c r="Z8" s="284" t="n">
        <x:v>6627</x:v>
      </x:c>
      <x:c r="AA8" s="284" t="n">
        <x:v>6628</x:v>
      </x:c>
      <x:c r="AB8" s="284" t="n">
        <x:v>6629</x:v>
      </x:c>
      <x:c r="AC8" s="284" t="n">
        <x:v>6630</x:v>
      </x:c>
      <x:c r="AD8" s="284" t="n">
        <x:v>6631</x:v>
      </x:c>
      <x:c r="AE8" s="284" t="n">
        <x:v>6632</x:v>
      </x:c>
      <x:c r="AF8" s="284" t="n">
        <x:v>6633</x:v>
      </x:c>
      <x:c r="AG8" s="284" t="n">
        <x:v>6634</x:v>
      </x:c>
      <x:c r="AH8" s="284" t="n">
        <x:v>6635</x:v>
      </x:c>
      <x:c r="AI8" s="284" t="n">
        <x:v>6636</x:v>
      </x:c>
      <x:c r="AJ8" s="284" t="n">
        <x:v>6637</x:v>
      </x:c>
      <x:c r="AK8" s="284" t="n">
        <x:v>6638</x:v>
      </x:c>
      <x:c r="AL8" s="284" t="n">
        <x:v>6639</x:v>
      </x:c>
      <x:c r="AM8" s="284" t="n">
        <x:v>6640</x:v>
      </x:c>
      <x:c r="AN8" s="284" t="n">
        <x:v>22</x:v>
      </x:c>
      <x:c r="AO8" s="284" t="n">
        <x:v>7</x:v>
      </x:c>
      <x:c r="AP8" s="284" t="n">
        <x:v>7</x:v>
      </x:c>
      <x:c r="AQ8" s="285" t="str">
        <x:v>6606-6640</x:v>
      </x:c>
    </x:row>
    <x:row r="9" ht="22" customHeight="1">
      <x:c r="A9" s="283" t="n">
        <x:v>8</x:v>
      </x:c>
      <x:c r="B9" s="284" t="str">
        <x:v>血月荆棘</x:v>
      </x:c>
      <x:c r="C9" s="284" t="str">
        <x:v>血月荆棘·猩月</x:v>
      </x:c>
      <x:c r="D9" s="284" t="n">
        <x:v>3</x:v>
      </x:c>
      <x:c r="E9" s="284" t="n">
        <x:v>6641</x:v>
      </x:c>
      <x:c r="F9" s="284" t="n">
        <x:v>6642</x:v>
      </x:c>
      <x:c r="G9" s="284" t="n">
        <x:v>6643</x:v>
      </x:c>
      <x:c r="H9" s="284" t="n">
        <x:v>6644</x:v>
      </x:c>
      <x:c r="I9" s="284" t="n">
        <x:v>6645</x:v>
      </x:c>
      <x:c r="J9" s="284" t="n">
        <x:v>6646</x:v>
      </x:c>
      <x:c r="K9" s="284" t="n">
        <x:v>6647</x:v>
      </x:c>
      <x:c r="L9" s="284" t="n">
        <x:v>6648</x:v>
      </x:c>
      <x:c r="M9" s="284" t="n">
        <x:v>6649</x:v>
      </x:c>
      <x:c r="N9" s="284" t="n">
        <x:v>6650</x:v>
      </x:c>
      <x:c r="O9" s="284" t="n">
        <x:v>6651</x:v>
      </x:c>
      <x:c r="P9" s="284" t="n">
        <x:v>6652</x:v>
      </x:c>
      <x:c r="Q9" s="284" t="n">
        <x:v>6653</x:v>
      </x:c>
      <x:c r="R9" s="284" t="n">
        <x:v>6654</x:v>
      </x:c>
      <x:c r="S9" s="284" t="n">
        <x:v>6655</x:v>
      </x:c>
      <x:c r="T9" s="284" t="n">
        <x:v>6656</x:v>
      </x:c>
      <x:c r="U9" s="284" t="n">
        <x:v>6657</x:v>
      </x:c>
      <x:c r="V9" s="284" t="n">
        <x:v>6658</x:v>
      </x:c>
      <x:c r="W9" s="284" t="n">
        <x:v>6659</x:v>
      </x:c>
      <x:c r="X9" s="284" t="n">
        <x:v>6660</x:v>
      </x:c>
      <x:c r="Y9" s="284" t="n">
        <x:v>6661</x:v>
      </x:c>
      <x:c r="Z9" s="284" t="n">
        <x:v>6662</x:v>
      </x:c>
      <x:c r="AA9" s="284" t="n">
        <x:v>6663</x:v>
      </x:c>
      <x:c r="AB9" s="284" t="n">
        <x:v>6664</x:v>
      </x:c>
      <x:c r="AC9" s="284" t="n">
        <x:v>6665</x:v>
      </x:c>
      <x:c r="AD9" s="284" t="n">
        <x:v>6666</x:v>
      </x:c>
      <x:c r="AE9" s="284" t="n">
        <x:v>6667</x:v>
      </x:c>
      <x:c r="AF9" s="284" t="n">
        <x:v>6668</x:v>
      </x:c>
      <x:c r="AG9" s="284" t="n">
        <x:v>6669</x:v>
      </x:c>
      <x:c r="AH9" s="284" t="n">
        <x:v>6670</x:v>
      </x:c>
      <x:c r="AI9" s="284" t="n">
        <x:v>6671</x:v>
      </x:c>
      <x:c r="AJ9" s="284" t="n">
        <x:v>6672</x:v>
      </x:c>
      <x:c r="AK9" s="284" t="n">
        <x:v>6673</x:v>
      </x:c>
      <x:c r="AL9" s="284" t="n">
        <x:v>6674</x:v>
      </x:c>
      <x:c r="AM9" s="284" t="n">
        <x:v>6675</x:v>
      </x:c>
      <x:c r="AN9" s="284" t="n">
        <x:v>23</x:v>
      </x:c>
      <x:c r="AO9" s="284" t="n">
        <x:v>8</x:v>
      </x:c>
      <x:c r="AP9" s="284" t="n">
        <x:v>8</x:v>
      </x:c>
      <x:c r="AQ9" s="285" t="str">
        <x:v>6641-6675</x:v>
      </x:c>
    </x:row>
    <x:row r="10" ht="22" customHeight="1">
      <x:c r="A10" s="283" t="n">
        <x:v>9</x:v>
      </x:c>
      <x:c r="B10" s="284" t="str">
        <x:v>血月荆棘</x:v>
      </x:c>
      <x:c r="C10" s="284" t="str">
        <x:v>血月荆棘·弑王</x:v>
      </x:c>
      <x:c r="D10" s="284" t="n">
        <x:v>4</x:v>
      </x:c>
      <x:c r="E10" s="284" t="n">
        <x:v>6676</x:v>
      </x:c>
      <x:c r="F10" s="284" t="n">
        <x:v>6677</x:v>
      </x:c>
      <x:c r="G10" s="284" t="n">
        <x:v>6678</x:v>
      </x:c>
      <x:c r="H10" s="284" t="n">
        <x:v>6679</x:v>
      </x:c>
      <x:c r="I10" s="284" t="n">
        <x:v>6680</x:v>
      </x:c>
      <x:c r="J10" s="284" t="n">
        <x:v>6681</x:v>
      </x:c>
      <x:c r="K10" s="284" t="n">
        <x:v>6682</x:v>
      </x:c>
      <x:c r="L10" s="284" t="n">
        <x:v>6683</x:v>
      </x:c>
      <x:c r="M10" s="284" t="n">
        <x:v>6684</x:v>
      </x:c>
      <x:c r="N10" s="284" t="n">
        <x:v>6685</x:v>
      </x:c>
      <x:c r="O10" s="284" t="n">
        <x:v>6686</x:v>
      </x:c>
      <x:c r="P10" s="284" t="n">
        <x:v>6687</x:v>
      </x:c>
      <x:c r="Q10" s="284" t="n">
        <x:v>6688</x:v>
      </x:c>
      <x:c r="R10" s="284" t="n">
        <x:v>6689</x:v>
      </x:c>
      <x:c r="S10" s="284" t="n">
        <x:v>6690</x:v>
      </x:c>
      <x:c r="T10" s="284" t="n">
        <x:v>6691</x:v>
      </x:c>
      <x:c r="U10" s="284" t="n">
        <x:v>6692</x:v>
      </x:c>
      <x:c r="V10" s="284" t="n">
        <x:v>6693</x:v>
      </x:c>
      <x:c r="W10" s="284" t="n">
        <x:v>6694</x:v>
      </x:c>
      <x:c r="X10" s="284" t="n">
        <x:v>6695</x:v>
      </x:c>
      <x:c r="Y10" s="284" t="n">
        <x:v>6696</x:v>
      </x:c>
      <x:c r="Z10" s="284" t="n">
        <x:v>6697</x:v>
      </x:c>
      <x:c r="AA10" s="284" t="n">
        <x:v>6698</x:v>
      </x:c>
      <x:c r="AB10" s="284" t="n">
        <x:v>6699</x:v>
      </x:c>
      <x:c r="AC10" s="284" t="n">
        <x:v>6700</x:v>
      </x:c>
      <x:c r="AD10" s="284" t="n">
        <x:v>6701</x:v>
      </x:c>
      <x:c r="AE10" s="284" t="n">
        <x:v>6702</x:v>
      </x:c>
      <x:c r="AF10" s="284" t="n">
        <x:v>6703</x:v>
      </x:c>
      <x:c r="AG10" s="284" t="n">
        <x:v>6704</x:v>
      </x:c>
      <x:c r="AH10" s="284" t="n">
        <x:v>6705</x:v>
      </x:c>
      <x:c r="AI10" s="284" t="n">
        <x:v>6706</x:v>
      </x:c>
      <x:c r="AJ10" s="284" t="n">
        <x:v>6707</x:v>
      </x:c>
      <x:c r="AK10" s="284" t="n">
        <x:v>6708</x:v>
      </x:c>
      <x:c r="AL10" s="284" t="n">
        <x:v>6709</x:v>
      </x:c>
      <x:c r="AM10" s="284" t="n">
        <x:v>6710</x:v>
      </x:c>
      <x:c r="AN10" s="284" t="n">
        <x:v>24</x:v>
      </x:c>
      <x:c r="AO10" s="284" t="n">
        <x:v>1</x:v>
      </x:c>
      <x:c r="AP10" s="284" t="n">
        <x:v>1</x:v>
      </x:c>
      <x:c r="AQ10" s="285" t="str">
        <x:v>6676-6710</x:v>
      </x:c>
    </x:row>
    <x:row r="11" ht="22" customHeight="1">
      <x:c r="A11" s="283" t="n">
        <x:v>10</x:v>
      </x:c>
      <x:c r="B11" s="284" t="str">
        <x:v>血月荆棘</x:v>
      </x:c>
      <x:c r="C11" s="284" t="str">
        <x:v>血月荆棘·血月</x:v>
      </x:c>
      <x:c r="D11" s="284" t="n">
        <x:v>5</x:v>
      </x:c>
      <x:c r="E11" s="284" t="n">
        <x:v>6711</x:v>
      </x:c>
      <x:c r="F11" s="284" t="n">
        <x:v>6712</x:v>
      </x:c>
      <x:c r="G11" s="284" t="n">
        <x:v>6713</x:v>
      </x:c>
      <x:c r="H11" s="284" t="n">
        <x:v>6714</x:v>
      </x:c>
      <x:c r="I11" s="284" t="n">
        <x:v>6715</x:v>
      </x:c>
      <x:c r="J11" s="284" t="n">
        <x:v>6716</x:v>
      </x:c>
      <x:c r="K11" s="284" t="n">
        <x:v>6717</x:v>
      </x:c>
      <x:c r="L11" s="284" t="n">
        <x:v>6718</x:v>
      </x:c>
      <x:c r="M11" s="284" t="n">
        <x:v>6719</x:v>
      </x:c>
      <x:c r="N11" s="284" t="n">
        <x:v>6720</x:v>
      </x:c>
      <x:c r="O11" s="284" t="n">
        <x:v>6721</x:v>
      </x:c>
      <x:c r="P11" s="284" t="n">
        <x:v>6722</x:v>
      </x:c>
      <x:c r="Q11" s="284" t="n">
        <x:v>6723</x:v>
      </x:c>
      <x:c r="R11" s="284" t="n">
        <x:v>6724</x:v>
      </x:c>
      <x:c r="S11" s="284" t="n">
        <x:v>6725</x:v>
      </x:c>
      <x:c r="T11" s="284" t="n">
        <x:v>6726</x:v>
      </x:c>
      <x:c r="U11" s="284" t="n">
        <x:v>6727</x:v>
      </x:c>
      <x:c r="V11" s="284" t="n">
        <x:v>6728</x:v>
      </x:c>
      <x:c r="W11" s="284" t="n">
        <x:v>6729</x:v>
      </x:c>
      <x:c r="X11" s="284" t="n">
        <x:v>6730</x:v>
      </x:c>
      <x:c r="Y11" s="284" t="n">
        <x:v>6731</x:v>
      </x:c>
      <x:c r="Z11" s="284" t="n">
        <x:v>6732</x:v>
      </x:c>
      <x:c r="AA11" s="284" t="n">
        <x:v>6733</x:v>
      </x:c>
      <x:c r="AB11" s="284" t="n">
        <x:v>6734</x:v>
      </x:c>
      <x:c r="AC11" s="284" t="n">
        <x:v>6735</x:v>
      </x:c>
      <x:c r="AD11" s="284" t="n">
        <x:v>6736</x:v>
      </x:c>
      <x:c r="AE11" s="284" t="n">
        <x:v>6737</x:v>
      </x:c>
      <x:c r="AF11" s="284" t="n">
        <x:v>6738</x:v>
      </x:c>
      <x:c r="AG11" s="284" t="n">
        <x:v>6739</x:v>
      </x:c>
      <x:c r="AH11" s="284" t="n">
        <x:v>6740</x:v>
      </x:c>
      <x:c r="AI11" s="284" t="n">
        <x:v>6741</x:v>
      </x:c>
      <x:c r="AJ11" s="284" t="n">
        <x:v>6742</x:v>
      </x:c>
      <x:c r="AK11" s="284" t="n">
        <x:v>6743</x:v>
      </x:c>
      <x:c r="AL11" s="284" t="n">
        <x:v>6744</x:v>
      </x:c>
      <x:c r="AM11" s="284" t="n">
        <x:v>6745</x:v>
      </x:c>
      <x:c r="AN11" s="284" t="n">
        <x:v>25</x:v>
      </x:c>
      <x:c r="AO11" s="284" t="n">
        <x:v>2</x:v>
      </x:c>
      <x:c r="AP11" s="284" t="n">
        <x:v>2</x:v>
      </x:c>
      <x:c r="AQ11" s="285" t="str">
        <x:v>6711-6745</x:v>
      </x:c>
    </x:row>
    <x:row r="12" ht="22" customHeight="1">
      <x:c r="A12" s="283" t="n">
        <x:v>11</x:v>
      </x:c>
      <x:c r="B12" s="284" t="str">
        <x:v>星渊龙息</x:v>
      </x:c>
      <x:c r="C12" s="284" t="str">
        <x:v>星渊龙息·星痕</x:v>
      </x:c>
      <x:c r="D12" s="284" t="n">
        <x:v>1</x:v>
      </x:c>
      <x:c r="E12" s="284" t="n">
        <x:v>6746</x:v>
      </x:c>
      <x:c r="F12" s="284" t="n">
        <x:v>6747</x:v>
      </x:c>
      <x:c r="G12" s="284" t="n">
        <x:v>6748</x:v>
      </x:c>
      <x:c r="H12" s="284" t="n">
        <x:v>6749</x:v>
      </x:c>
      <x:c r="I12" s="284" t="n">
        <x:v>6750</x:v>
      </x:c>
      <x:c r="J12" s="284" t="n">
        <x:v>6751</x:v>
      </x:c>
      <x:c r="K12" s="284" t="n">
        <x:v>6752</x:v>
      </x:c>
      <x:c r="L12" s="284" t="n">
        <x:v>6753</x:v>
      </x:c>
      <x:c r="M12" s="284" t="n">
        <x:v>6754</x:v>
      </x:c>
      <x:c r="N12" s="284" t="n">
        <x:v>6755</x:v>
      </x:c>
      <x:c r="O12" s="284" t="n">
        <x:v>6756</x:v>
      </x:c>
      <x:c r="P12" s="284" t="n">
        <x:v>6757</x:v>
      </x:c>
      <x:c r="Q12" s="284" t="n">
        <x:v>6758</x:v>
      </x:c>
      <x:c r="R12" s="284" t="n">
        <x:v>6759</x:v>
      </x:c>
      <x:c r="S12" s="284" t="n">
        <x:v>6760</x:v>
      </x:c>
      <x:c r="T12" s="284" t="n">
        <x:v>6761</x:v>
      </x:c>
      <x:c r="U12" s="284" t="n">
        <x:v>6762</x:v>
      </x:c>
      <x:c r="V12" s="284" t="n">
        <x:v>6763</x:v>
      </x:c>
      <x:c r="W12" s="284" t="n">
        <x:v>6764</x:v>
      </x:c>
      <x:c r="X12" s="284" t="n">
        <x:v>6765</x:v>
      </x:c>
      <x:c r="Y12" s="284" t="n">
        <x:v>6766</x:v>
      </x:c>
      <x:c r="Z12" s="284" t="n">
        <x:v>6767</x:v>
      </x:c>
      <x:c r="AA12" s="284" t="n">
        <x:v>6768</x:v>
      </x:c>
      <x:c r="AB12" s="284" t="n">
        <x:v>6769</x:v>
      </x:c>
      <x:c r="AC12" s="284" t="n">
        <x:v>6770</x:v>
      </x:c>
      <x:c r="AD12" s="284" t="n">
        <x:v>6771</x:v>
      </x:c>
      <x:c r="AE12" s="284" t="n">
        <x:v>6772</x:v>
      </x:c>
      <x:c r="AF12" s="284" t="n">
        <x:v>6773</x:v>
      </x:c>
      <x:c r="AG12" s="284" t="n">
        <x:v>6774</x:v>
      </x:c>
      <x:c r="AH12" s="284" t="n">
        <x:v>6775</x:v>
      </x:c>
      <x:c r="AI12" s="284" t="n">
        <x:v>6776</x:v>
      </x:c>
      <x:c r="AJ12" s="284" t="n">
        <x:v>6777</x:v>
      </x:c>
      <x:c r="AK12" s="284" t="n">
        <x:v>6778</x:v>
      </x:c>
      <x:c r="AL12" s="284" t="n">
        <x:v>6779</x:v>
      </x:c>
      <x:c r="AM12" s="284" t="n">
        <x:v>6780</x:v>
      </x:c>
      <x:c r="AN12" s="284" t="n">
        <x:v>26</x:v>
      </x:c>
      <x:c r="AO12" s="284" t="n">
        <x:v>3</x:v>
      </x:c>
      <x:c r="AP12" s="284" t="n">
        <x:v>3</x:v>
      </x:c>
      <x:c r="AQ12" s="285" t="str">
        <x:v>6746-6780</x:v>
      </x:c>
    </x:row>
    <x:row r="13" ht="22" customHeight="1">
      <x:c r="A13" s="283" t="n">
        <x:v>12</x:v>
      </x:c>
      <x:c r="B13" s="284" t="str">
        <x:v>星渊龙息</x:v>
      </x:c>
      <x:c r="C13" s="284" t="str">
        <x:v>星渊龙息·龙鳞</x:v>
      </x:c>
      <x:c r="D13" s="284" t="n">
        <x:v>2</x:v>
      </x:c>
      <x:c r="E13" s="284" t="n">
        <x:v>6781</x:v>
      </x:c>
      <x:c r="F13" s="284" t="n">
        <x:v>6782</x:v>
      </x:c>
      <x:c r="G13" s="284" t="n">
        <x:v>6783</x:v>
      </x:c>
      <x:c r="H13" s="284" t="n">
        <x:v>6784</x:v>
      </x:c>
      <x:c r="I13" s="284" t="n">
        <x:v>6785</x:v>
      </x:c>
      <x:c r="J13" s="284" t="n">
        <x:v>6786</x:v>
      </x:c>
      <x:c r="K13" s="284" t="n">
        <x:v>6787</x:v>
      </x:c>
      <x:c r="L13" s="284" t="n">
        <x:v>6788</x:v>
      </x:c>
      <x:c r="M13" s="284" t="n">
        <x:v>6789</x:v>
      </x:c>
      <x:c r="N13" s="284" t="n">
        <x:v>6790</x:v>
      </x:c>
      <x:c r="O13" s="284" t="n">
        <x:v>6791</x:v>
      </x:c>
      <x:c r="P13" s="284" t="n">
        <x:v>6792</x:v>
      </x:c>
      <x:c r="Q13" s="284" t="n">
        <x:v>6793</x:v>
      </x:c>
      <x:c r="R13" s="284" t="n">
        <x:v>6794</x:v>
      </x:c>
      <x:c r="S13" s="284" t="n">
        <x:v>6795</x:v>
      </x:c>
      <x:c r="T13" s="284" t="n">
        <x:v>6796</x:v>
      </x:c>
      <x:c r="U13" s="284" t="n">
        <x:v>6797</x:v>
      </x:c>
      <x:c r="V13" s="284" t="n">
        <x:v>6798</x:v>
      </x:c>
      <x:c r="W13" s="284" t="n">
        <x:v>6799</x:v>
      </x:c>
      <x:c r="X13" s="284" t="n">
        <x:v>6800</x:v>
      </x:c>
      <x:c r="Y13" s="284" t="n">
        <x:v>6801</x:v>
      </x:c>
      <x:c r="Z13" s="284" t="n">
        <x:v>6802</x:v>
      </x:c>
      <x:c r="AA13" s="284" t="n">
        <x:v>6803</x:v>
      </x:c>
      <x:c r="AB13" s="284" t="n">
        <x:v>6804</x:v>
      </x:c>
      <x:c r="AC13" s="284" t="n">
        <x:v>6805</x:v>
      </x:c>
      <x:c r="AD13" s="284" t="n">
        <x:v>6806</x:v>
      </x:c>
      <x:c r="AE13" s="284" t="n">
        <x:v>6807</x:v>
      </x:c>
      <x:c r="AF13" s="284" t="n">
        <x:v>6808</x:v>
      </x:c>
      <x:c r="AG13" s="284" t="n">
        <x:v>6809</x:v>
      </x:c>
      <x:c r="AH13" s="284" t="n">
        <x:v>6810</x:v>
      </x:c>
      <x:c r="AI13" s="284" t="n">
        <x:v>6811</x:v>
      </x:c>
      <x:c r="AJ13" s="284" t="n">
        <x:v>6812</x:v>
      </x:c>
      <x:c r="AK13" s="284" t="n">
        <x:v>6813</x:v>
      </x:c>
      <x:c r="AL13" s="284" t="n">
        <x:v>6814</x:v>
      </x:c>
      <x:c r="AM13" s="284" t="n">
        <x:v>6815</x:v>
      </x:c>
      <x:c r="AN13" s="284" t="n">
        <x:v>27</x:v>
      </x:c>
      <x:c r="AO13" s="284" t="n">
        <x:v>4</x:v>
      </x:c>
      <x:c r="AP13" s="284" t="n">
        <x:v>4</x:v>
      </x:c>
      <x:c r="AQ13" s="285" t="str">
        <x:v>6781-6815</x:v>
      </x:c>
    </x:row>
    <x:row r="14" ht="22" customHeight="1">
      <x:c r="A14" s="283" t="n">
        <x:v>13</x:v>
      </x:c>
      <x:c r="B14" s="284" t="str">
        <x:v>星渊龙息</x:v>
      </x:c>
      <x:c r="C14" s="284" t="str">
        <x:v>星渊龙息·渊辉</x:v>
      </x:c>
      <x:c r="D14" s="284" t="n">
        <x:v>3</x:v>
      </x:c>
      <x:c r="E14" s="284" t="n">
        <x:v>6816</x:v>
      </x:c>
      <x:c r="F14" s="284" t="n">
        <x:v>6817</x:v>
      </x:c>
      <x:c r="G14" s="284" t="n">
        <x:v>6818</x:v>
      </x:c>
      <x:c r="H14" s="284" t="n">
        <x:v>6819</x:v>
      </x:c>
      <x:c r="I14" s="284" t="n">
        <x:v>6820</x:v>
      </x:c>
      <x:c r="J14" s="284" t="n">
        <x:v>6821</x:v>
      </x:c>
      <x:c r="K14" s="284" t="n">
        <x:v>6822</x:v>
      </x:c>
      <x:c r="L14" s="284" t="n">
        <x:v>6823</x:v>
      </x:c>
      <x:c r="M14" s="284" t="n">
        <x:v>6824</x:v>
      </x:c>
      <x:c r="N14" s="284" t="n">
        <x:v>6825</x:v>
      </x:c>
      <x:c r="O14" s="284" t="n">
        <x:v>6826</x:v>
      </x:c>
      <x:c r="P14" s="284" t="n">
        <x:v>6827</x:v>
      </x:c>
      <x:c r="Q14" s="284" t="n">
        <x:v>6828</x:v>
      </x:c>
      <x:c r="R14" s="284" t="n">
        <x:v>6829</x:v>
      </x:c>
      <x:c r="S14" s="284" t="n">
        <x:v>6830</x:v>
      </x:c>
      <x:c r="T14" s="284" t="n">
        <x:v>6831</x:v>
      </x:c>
      <x:c r="U14" s="284" t="n">
        <x:v>6832</x:v>
      </x:c>
      <x:c r="V14" s="284" t="n">
        <x:v>6833</x:v>
      </x:c>
      <x:c r="W14" s="284" t="n">
        <x:v>6834</x:v>
      </x:c>
      <x:c r="X14" s="284" t="n">
        <x:v>6835</x:v>
      </x:c>
      <x:c r="Y14" s="284" t="n">
        <x:v>6836</x:v>
      </x:c>
      <x:c r="Z14" s="284" t="n">
        <x:v>6837</x:v>
      </x:c>
      <x:c r="AA14" s="284" t="n">
        <x:v>6838</x:v>
      </x:c>
      <x:c r="AB14" s="284" t="n">
        <x:v>6839</x:v>
      </x:c>
      <x:c r="AC14" s="284" t="n">
        <x:v>6840</x:v>
      </x:c>
      <x:c r="AD14" s="284" t="n">
        <x:v>6841</x:v>
      </x:c>
      <x:c r="AE14" s="284" t="n">
        <x:v>6842</x:v>
      </x:c>
      <x:c r="AF14" s="284" t="n">
        <x:v>6843</x:v>
      </x:c>
      <x:c r="AG14" s="284" t="n">
        <x:v>6844</x:v>
      </x:c>
      <x:c r="AH14" s="284" t="n">
        <x:v>6845</x:v>
      </x:c>
      <x:c r="AI14" s="284" t="n">
        <x:v>6846</x:v>
      </x:c>
      <x:c r="AJ14" s="284" t="n">
        <x:v>6847</x:v>
      </x:c>
      <x:c r="AK14" s="284" t="n">
        <x:v>6848</x:v>
      </x:c>
      <x:c r="AL14" s="284" t="n">
        <x:v>6849</x:v>
      </x:c>
      <x:c r="AM14" s="284" t="n">
        <x:v>6850</x:v>
      </x:c>
      <x:c r="AN14" s="284" t="n">
        <x:v>28</x:v>
      </x:c>
      <x:c r="AO14" s="284" t="n">
        <x:v>5</x:v>
      </x:c>
      <x:c r="AP14" s="284" t="n">
        <x:v>5</x:v>
      </x:c>
      <x:c r="AQ14" s="285" t="str">
        <x:v>6816-6850</x:v>
      </x:c>
    </x:row>
    <x:row r="15" ht="22" customHeight="1">
      <x:c r="A15" s="283" t="n">
        <x:v>14</x:v>
      </x:c>
      <x:c r="B15" s="284" t="str">
        <x:v>星渊龙息</x:v>
      </x:c>
      <x:c r="C15" s="284" t="str">
        <x:v>星渊龙息·天穹</x:v>
      </x:c>
      <x:c r="D15" s="284" t="n">
        <x:v>4</x:v>
      </x:c>
      <x:c r="E15" s="284" t="n">
        <x:v>6851</x:v>
      </x:c>
      <x:c r="F15" s="284" t="n">
        <x:v>6852</x:v>
      </x:c>
      <x:c r="G15" s="284" t="n">
        <x:v>6853</x:v>
      </x:c>
      <x:c r="H15" s="284" t="n">
        <x:v>6854</x:v>
      </x:c>
      <x:c r="I15" s="284" t="n">
        <x:v>6855</x:v>
      </x:c>
      <x:c r="J15" s="284" t="n">
        <x:v>6856</x:v>
      </x:c>
      <x:c r="K15" s="284" t="n">
        <x:v>6857</x:v>
      </x:c>
      <x:c r="L15" s="284" t="n">
        <x:v>6858</x:v>
      </x:c>
      <x:c r="M15" s="284" t="n">
        <x:v>6859</x:v>
      </x:c>
      <x:c r="N15" s="284" t="n">
        <x:v>6860</x:v>
      </x:c>
      <x:c r="O15" s="284" t="n">
        <x:v>6861</x:v>
      </x:c>
      <x:c r="P15" s="284" t="n">
        <x:v>6862</x:v>
      </x:c>
      <x:c r="Q15" s="284" t="n">
        <x:v>6863</x:v>
      </x:c>
      <x:c r="R15" s="284" t="n">
        <x:v>6864</x:v>
      </x:c>
      <x:c r="S15" s="284" t="n">
        <x:v>6865</x:v>
      </x:c>
      <x:c r="T15" s="284" t="n">
        <x:v>6866</x:v>
      </x:c>
      <x:c r="U15" s="284" t="n">
        <x:v>6867</x:v>
      </x:c>
      <x:c r="V15" s="284" t="n">
        <x:v>6868</x:v>
      </x:c>
      <x:c r="W15" s="284" t="n">
        <x:v>6869</x:v>
      </x:c>
      <x:c r="X15" s="284" t="n">
        <x:v>6870</x:v>
      </x:c>
      <x:c r="Y15" s="284" t="n">
        <x:v>6871</x:v>
      </x:c>
      <x:c r="Z15" s="284" t="n">
        <x:v>6872</x:v>
      </x:c>
      <x:c r="AA15" s="284" t="n">
        <x:v>6873</x:v>
      </x:c>
      <x:c r="AB15" s="284" t="n">
        <x:v>6874</x:v>
      </x:c>
      <x:c r="AC15" s="284" t="n">
        <x:v>6875</x:v>
      </x:c>
      <x:c r="AD15" s="284" t="n">
        <x:v>6876</x:v>
      </x:c>
      <x:c r="AE15" s="284" t="n">
        <x:v>6877</x:v>
      </x:c>
      <x:c r="AF15" s="284" t="n">
        <x:v>6878</x:v>
      </x:c>
      <x:c r="AG15" s="284" t="n">
        <x:v>6879</x:v>
      </x:c>
      <x:c r="AH15" s="284" t="n">
        <x:v>6880</x:v>
      </x:c>
      <x:c r="AI15" s="284" t="n">
        <x:v>6881</x:v>
      </x:c>
      <x:c r="AJ15" s="284" t="n">
        <x:v>6882</x:v>
      </x:c>
      <x:c r="AK15" s="284" t="n">
        <x:v>6883</x:v>
      </x:c>
      <x:c r="AL15" s="284" t="n">
        <x:v>6884</x:v>
      </x:c>
      <x:c r="AM15" s="284" t="n">
        <x:v>6885</x:v>
      </x:c>
      <x:c r="AN15" s="284" t="n">
        <x:v>29</x:v>
      </x:c>
      <x:c r="AO15" s="284" t="n">
        <x:v>6</x:v>
      </x:c>
      <x:c r="AP15" s="284" t="n">
        <x:v>6</x:v>
      </x:c>
      <x:c r="AQ15" s="285" t="str">
        <x:v>6851-6885</x:v>
      </x:c>
    </x:row>
    <x:row r="16" ht="22" customHeight="1">
      <x:c r="A16" s="283" t="n">
        <x:v>15</x:v>
      </x:c>
      <x:c r="B16" s="284" t="str">
        <x:v>星渊龙息</x:v>
      </x:c>
      <x:c r="C16" s="284" t="str">
        <x:v>星渊龙息·无垠</x:v>
      </x:c>
      <x:c r="D16" s="284" t="n">
        <x:v>5</x:v>
      </x:c>
      <x:c r="E16" s="284" t="n">
        <x:v>6886</x:v>
      </x:c>
      <x:c r="F16" s="284" t="n">
        <x:v>6887</x:v>
      </x:c>
      <x:c r="G16" s="284" t="n">
        <x:v>6888</x:v>
      </x:c>
      <x:c r="H16" s="284" t="n">
        <x:v>6889</x:v>
      </x:c>
      <x:c r="I16" s="284" t="n">
        <x:v>6890</x:v>
      </x:c>
      <x:c r="J16" s="284" t="n">
        <x:v>6891</x:v>
      </x:c>
      <x:c r="K16" s="284" t="n">
        <x:v>6892</x:v>
      </x:c>
      <x:c r="L16" s="284" t="n">
        <x:v>6893</x:v>
      </x:c>
      <x:c r="M16" s="284" t="n">
        <x:v>6894</x:v>
      </x:c>
      <x:c r="N16" s="284" t="n">
        <x:v>6895</x:v>
      </x:c>
      <x:c r="O16" s="284" t="n">
        <x:v>6896</x:v>
      </x:c>
      <x:c r="P16" s="284" t="n">
        <x:v>6897</x:v>
      </x:c>
      <x:c r="Q16" s="284" t="n">
        <x:v>6898</x:v>
      </x:c>
      <x:c r="R16" s="284" t="n">
        <x:v>6899</x:v>
      </x:c>
      <x:c r="S16" s="284" t="n">
        <x:v>6900</x:v>
      </x:c>
      <x:c r="T16" s="284" t="n">
        <x:v>6901</x:v>
      </x:c>
      <x:c r="U16" s="284" t="n">
        <x:v>6902</x:v>
      </x:c>
      <x:c r="V16" s="284" t="n">
        <x:v>6903</x:v>
      </x:c>
      <x:c r="W16" s="284" t="n">
        <x:v>6904</x:v>
      </x:c>
      <x:c r="X16" s="284" t="n">
        <x:v>6905</x:v>
      </x:c>
      <x:c r="Y16" s="284" t="n">
        <x:v>6906</x:v>
      </x:c>
      <x:c r="Z16" s="284" t="n">
        <x:v>6907</x:v>
      </x:c>
      <x:c r="AA16" s="284" t="n">
        <x:v>6908</x:v>
      </x:c>
      <x:c r="AB16" s="284" t="n">
        <x:v>6909</x:v>
      </x:c>
      <x:c r="AC16" s="284" t="n">
        <x:v>6910</x:v>
      </x:c>
      <x:c r="AD16" s="284" t="n">
        <x:v>6911</x:v>
      </x:c>
      <x:c r="AE16" s="284" t="n">
        <x:v>6912</x:v>
      </x:c>
      <x:c r="AF16" s="284" t="n">
        <x:v>6913</x:v>
      </x:c>
      <x:c r="AG16" s="284" t="n">
        <x:v>6914</x:v>
      </x:c>
      <x:c r="AH16" s="284" t="n">
        <x:v>6915</x:v>
      </x:c>
      <x:c r="AI16" s="284" t="n">
        <x:v>6916</x:v>
      </x:c>
      <x:c r="AJ16" s="284" t="n">
        <x:v>6917</x:v>
      </x:c>
      <x:c r="AK16" s="284" t="n">
        <x:v>6918</x:v>
      </x:c>
      <x:c r="AL16" s="284" t="n">
        <x:v>6919</x:v>
      </x:c>
      <x:c r="AM16" s="284" t="n">
        <x:v>6920</x:v>
      </x:c>
      <x:c r="AN16" s="284" t="n">
        <x:v>30</x:v>
      </x:c>
      <x:c r="AO16" s="284" t="n">
        <x:v>7</x:v>
      </x:c>
      <x:c r="AP16" s="284" t="n">
        <x:v>7</x:v>
      </x:c>
      <x:c r="AQ16" s="285" t="str">
        <x:v>6886-6920</x:v>
      </x:c>
    </x:row>
    <x:row r="17" ht="22" customHeight="1">
      <x:c r="A17" s="283" t="n">
        <x:v>16</x:v>
      </x:c>
      <x:c r="B17" s="284" t="str">
        <x:v>翠焰冥契</x:v>
      </x:c>
      <x:c r="C17" s="284" t="str">
        <x:v>翠焰冥契·幽焰</x:v>
      </x:c>
      <x:c r="D17" s="284" t="n">
        <x:v>1</x:v>
      </x:c>
      <x:c r="E17" s="284" t="n">
        <x:v>6921</x:v>
      </x:c>
      <x:c r="F17" s="284" t="n">
        <x:v>6922</x:v>
      </x:c>
      <x:c r="G17" s="284" t="n">
        <x:v>6923</x:v>
      </x:c>
      <x:c r="H17" s="284" t="n">
        <x:v>6924</x:v>
      </x:c>
      <x:c r="I17" s="284" t="n">
        <x:v>6925</x:v>
      </x:c>
      <x:c r="J17" s="284" t="n">
        <x:v>6926</x:v>
      </x:c>
      <x:c r="K17" s="284" t="n">
        <x:v>6927</x:v>
      </x:c>
      <x:c r="L17" s="284" t="n">
        <x:v>6928</x:v>
      </x:c>
      <x:c r="M17" s="284" t="n">
        <x:v>6929</x:v>
      </x:c>
      <x:c r="N17" s="284" t="n">
        <x:v>6930</x:v>
      </x:c>
      <x:c r="O17" s="284" t="n">
        <x:v>6931</x:v>
      </x:c>
      <x:c r="P17" s="284" t="n">
        <x:v>6932</x:v>
      </x:c>
      <x:c r="Q17" s="284" t="n">
        <x:v>6933</x:v>
      </x:c>
      <x:c r="R17" s="284" t="n">
        <x:v>6934</x:v>
      </x:c>
      <x:c r="S17" s="284" t="n">
        <x:v>6935</x:v>
      </x:c>
      <x:c r="T17" s="284" t="n">
        <x:v>6936</x:v>
      </x:c>
      <x:c r="U17" s="284" t="n">
        <x:v>6937</x:v>
      </x:c>
      <x:c r="V17" s="284" t="n">
        <x:v>6938</x:v>
      </x:c>
      <x:c r="W17" s="284" t="n">
        <x:v>6939</x:v>
      </x:c>
      <x:c r="X17" s="284" t="n">
        <x:v>6940</x:v>
      </x:c>
      <x:c r="Y17" s="284" t="n">
        <x:v>6941</x:v>
      </x:c>
      <x:c r="Z17" s="284" t="n">
        <x:v>6942</x:v>
      </x:c>
      <x:c r="AA17" s="284" t="n">
        <x:v>6943</x:v>
      </x:c>
      <x:c r="AB17" s="284" t="n">
        <x:v>6944</x:v>
      </x:c>
      <x:c r="AC17" s="284" t="n">
        <x:v>6945</x:v>
      </x:c>
      <x:c r="AD17" s="284" t="n">
        <x:v>6946</x:v>
      </x:c>
      <x:c r="AE17" s="284" t="n">
        <x:v>6947</x:v>
      </x:c>
      <x:c r="AF17" s="284" t="n">
        <x:v>6948</x:v>
      </x:c>
      <x:c r="AG17" s="284" t="n">
        <x:v>6949</x:v>
      </x:c>
      <x:c r="AH17" s="284" t="n">
        <x:v>6950</x:v>
      </x:c>
      <x:c r="AI17" s="284" t="n">
        <x:v>6951</x:v>
      </x:c>
      <x:c r="AJ17" s="284" t="n">
        <x:v>6952</x:v>
      </x:c>
      <x:c r="AK17" s="284" t="n">
        <x:v>6953</x:v>
      </x:c>
      <x:c r="AL17" s="284" t="n">
        <x:v>6954</x:v>
      </x:c>
      <x:c r="AM17" s="284" t="n">
        <x:v>6955</x:v>
      </x:c>
      <x:c r="AN17" s="284" t="n">
        <x:v>31</x:v>
      </x:c>
      <x:c r="AO17" s="284" t="n">
        <x:v>8</x:v>
      </x:c>
      <x:c r="AP17" s="284" t="n">
        <x:v>8</x:v>
      </x:c>
      <x:c r="AQ17" s="285" t="str">
        <x:v>6921-6955</x:v>
      </x:c>
    </x:row>
    <x:row r="18" ht="22" customHeight="1">
      <x:c r="A18" s="283" t="n">
        <x:v>17</x:v>
      </x:c>
      <x:c r="B18" s="284" t="str">
        <x:v>翠焰冥契</x:v>
      </x:c>
      <x:c r="C18" s="284" t="str">
        <x:v>翠焰冥契·腐痕</x:v>
      </x:c>
      <x:c r="D18" s="284" t="n">
        <x:v>2</x:v>
      </x:c>
      <x:c r="E18" s="284" t="n">
        <x:v>6956</x:v>
      </x:c>
      <x:c r="F18" s="284" t="n">
        <x:v>6957</x:v>
      </x:c>
      <x:c r="G18" s="284" t="n">
        <x:v>6958</x:v>
      </x:c>
      <x:c r="H18" s="284" t="n">
        <x:v>6959</x:v>
      </x:c>
      <x:c r="I18" s="284" t="n">
        <x:v>6960</x:v>
      </x:c>
      <x:c r="J18" s="284" t="n">
        <x:v>6961</x:v>
      </x:c>
      <x:c r="K18" s="284" t="n">
        <x:v>6962</x:v>
      </x:c>
      <x:c r="L18" s="284" t="n">
        <x:v>6963</x:v>
      </x:c>
      <x:c r="M18" s="284" t="n">
        <x:v>6964</x:v>
      </x:c>
      <x:c r="N18" s="284" t="n">
        <x:v>6965</x:v>
      </x:c>
      <x:c r="O18" s="284" t="n">
        <x:v>6966</x:v>
      </x:c>
      <x:c r="P18" s="284" t="n">
        <x:v>6967</x:v>
      </x:c>
      <x:c r="Q18" s="284" t="n">
        <x:v>6968</x:v>
      </x:c>
      <x:c r="R18" s="284" t="n">
        <x:v>6969</x:v>
      </x:c>
      <x:c r="S18" s="284" t="n">
        <x:v>6970</x:v>
      </x:c>
      <x:c r="T18" s="284" t="n">
        <x:v>6971</x:v>
      </x:c>
      <x:c r="U18" s="284" t="n">
        <x:v>6972</x:v>
      </x:c>
      <x:c r="V18" s="284" t="n">
        <x:v>6973</x:v>
      </x:c>
      <x:c r="W18" s="284" t="n">
        <x:v>6974</x:v>
      </x:c>
      <x:c r="X18" s="284" t="n">
        <x:v>6975</x:v>
      </x:c>
      <x:c r="Y18" s="284" t="n">
        <x:v>6976</x:v>
      </x:c>
      <x:c r="Z18" s="284" t="n">
        <x:v>6977</x:v>
      </x:c>
      <x:c r="AA18" s="284" t="n">
        <x:v>6978</x:v>
      </x:c>
      <x:c r="AB18" s="284" t="n">
        <x:v>6979</x:v>
      </x:c>
      <x:c r="AC18" s="284" t="n">
        <x:v>6980</x:v>
      </x:c>
      <x:c r="AD18" s="284" t="n">
        <x:v>6981</x:v>
      </x:c>
      <x:c r="AE18" s="284" t="n">
        <x:v>6982</x:v>
      </x:c>
      <x:c r="AF18" s="284" t="n">
        <x:v>6983</x:v>
      </x:c>
      <x:c r="AG18" s="284" t="n">
        <x:v>6984</x:v>
      </x:c>
      <x:c r="AH18" s="284" t="n">
        <x:v>6985</x:v>
      </x:c>
      <x:c r="AI18" s="284" t="n">
        <x:v>6986</x:v>
      </x:c>
      <x:c r="AJ18" s="284" t="n">
        <x:v>6987</x:v>
      </x:c>
      <x:c r="AK18" s="284" t="n">
        <x:v>6988</x:v>
      </x:c>
      <x:c r="AL18" s="284" t="n">
        <x:v>6989</x:v>
      </x:c>
      <x:c r="AM18" s="284" t="n">
        <x:v>6990</x:v>
      </x:c>
      <x:c r="AN18" s="284" t="n">
        <x:v>32</x:v>
      </x:c>
      <x:c r="AO18" s="284" t="n">
        <x:v>1</x:v>
      </x:c>
      <x:c r="AP18" s="284" t="n">
        <x:v>1</x:v>
      </x:c>
      <x:c r="AQ18" s="285" t="str">
        <x:v>6956-6990</x:v>
      </x:c>
    </x:row>
    <x:row r="19" ht="22" customHeight="1">
      <x:c r="A19" s="283" t="n">
        <x:v>18</x:v>
      </x:c>
      <x:c r="B19" s="284" t="str">
        <x:v>翠焰冥契</x:v>
      </x:c>
      <x:c r="C19" s="284" t="str">
        <x:v>翠焰冥契·冥契</x:v>
      </x:c>
      <x:c r="D19" s="284" t="n">
        <x:v>3</x:v>
      </x:c>
      <x:c r="E19" s="284" t="n">
        <x:v>6991</x:v>
      </x:c>
      <x:c r="F19" s="284" t="n">
        <x:v>6992</x:v>
      </x:c>
      <x:c r="G19" s="284" t="n">
        <x:v>6993</x:v>
      </x:c>
      <x:c r="H19" s="284" t="n">
        <x:v>6994</x:v>
      </x:c>
      <x:c r="I19" s="284" t="n">
        <x:v>6995</x:v>
      </x:c>
      <x:c r="J19" s="284" t="n">
        <x:v>6996</x:v>
      </x:c>
      <x:c r="K19" s="284" t="n">
        <x:v>6997</x:v>
      </x:c>
      <x:c r="L19" s="284" t="n">
        <x:v>6998</x:v>
      </x:c>
      <x:c r="M19" s="284" t="n">
        <x:v>6999</x:v>
      </x:c>
      <x:c r="N19" s="284" t="n">
        <x:v>7000</x:v>
      </x:c>
      <x:c r="O19" s="284" t="n">
        <x:v>7001</x:v>
      </x:c>
      <x:c r="P19" s="284" t="n">
        <x:v>7002</x:v>
      </x:c>
      <x:c r="Q19" s="284" t="n">
        <x:v>7003</x:v>
      </x:c>
      <x:c r="R19" s="284" t="n">
        <x:v>7004</x:v>
      </x:c>
      <x:c r="S19" s="284" t="n">
        <x:v>7005</x:v>
      </x:c>
      <x:c r="T19" s="284" t="n">
        <x:v>7006</x:v>
      </x:c>
      <x:c r="U19" s="284" t="n">
        <x:v>7007</x:v>
      </x:c>
      <x:c r="V19" s="284" t="n">
        <x:v>7008</x:v>
      </x:c>
      <x:c r="W19" s="284" t="n">
        <x:v>7009</x:v>
      </x:c>
      <x:c r="X19" s="284" t="n">
        <x:v>7010</x:v>
      </x:c>
      <x:c r="Y19" s="284" t="n">
        <x:v>7011</x:v>
      </x:c>
      <x:c r="Z19" s="284" t="n">
        <x:v>7012</x:v>
      </x:c>
      <x:c r="AA19" s="284" t="n">
        <x:v>7013</x:v>
      </x:c>
      <x:c r="AB19" s="284" t="n">
        <x:v>7014</x:v>
      </x:c>
      <x:c r="AC19" s="284" t="n">
        <x:v>7015</x:v>
      </x:c>
      <x:c r="AD19" s="284" t="n">
        <x:v>7016</x:v>
      </x:c>
      <x:c r="AE19" s="284" t="n">
        <x:v>7017</x:v>
      </x:c>
      <x:c r="AF19" s="284" t="n">
        <x:v>7018</x:v>
      </x:c>
      <x:c r="AG19" s="284" t="n">
        <x:v>7019</x:v>
      </x:c>
      <x:c r="AH19" s="284" t="n">
        <x:v>7020</x:v>
      </x:c>
      <x:c r="AI19" s="284" t="n">
        <x:v>7021</x:v>
      </x:c>
      <x:c r="AJ19" s="284" t="n">
        <x:v>7022</x:v>
      </x:c>
      <x:c r="AK19" s="284" t="n">
        <x:v>7023</x:v>
      </x:c>
      <x:c r="AL19" s="284" t="n">
        <x:v>7024</x:v>
      </x:c>
      <x:c r="AM19" s="284" t="n">
        <x:v>7025</x:v>
      </x:c>
      <x:c r="AN19" s="284" t="n">
        <x:v>33</x:v>
      </x:c>
      <x:c r="AO19" s="284" t="n">
        <x:v>2</x:v>
      </x:c>
      <x:c r="AP19" s="284" t="n">
        <x:v>2</x:v>
      </x:c>
      <x:c r="AQ19" s="285" t="str">
        <x:v>6991-7025</x:v>
      </x:c>
    </x:row>
    <x:row r="20" ht="22" customHeight="1">
      <x:c r="A20" s="283" t="n">
        <x:v>19</x:v>
      </x:c>
      <x:c r="B20" s="284" t="str">
        <x:v>翠焰冥契</x:v>
      </x:c>
      <x:c r="C20" s="284" t="str">
        <x:v>翠焰冥契·灾厄</x:v>
      </x:c>
      <x:c r="D20" s="284" t="n">
        <x:v>4</x:v>
      </x:c>
      <x:c r="E20" s="284" t="n">
        <x:v>7026</x:v>
      </x:c>
      <x:c r="F20" s="284" t="n">
        <x:v>7027</x:v>
      </x:c>
      <x:c r="G20" s="284" t="n">
        <x:v>7028</x:v>
      </x:c>
      <x:c r="H20" s="284" t="n">
        <x:v>7029</x:v>
      </x:c>
      <x:c r="I20" s="284" t="n">
        <x:v>7030</x:v>
      </x:c>
      <x:c r="J20" s="284" t="n">
        <x:v>7031</x:v>
      </x:c>
      <x:c r="K20" s="284" t="n">
        <x:v>7032</x:v>
      </x:c>
      <x:c r="L20" s="284" t="n">
        <x:v>7033</x:v>
      </x:c>
      <x:c r="M20" s="284" t="n">
        <x:v>7034</x:v>
      </x:c>
      <x:c r="N20" s="284" t="n">
        <x:v>7035</x:v>
      </x:c>
      <x:c r="O20" s="284" t="n">
        <x:v>7036</x:v>
      </x:c>
      <x:c r="P20" s="284" t="n">
        <x:v>7037</x:v>
      </x:c>
      <x:c r="Q20" s="284" t="n">
        <x:v>7038</x:v>
      </x:c>
      <x:c r="R20" s="284" t="n">
        <x:v>7039</x:v>
      </x:c>
      <x:c r="S20" s="284" t="n">
        <x:v>7040</x:v>
      </x:c>
      <x:c r="T20" s="284" t="n">
        <x:v>7041</x:v>
      </x:c>
      <x:c r="U20" s="284" t="n">
        <x:v>7042</x:v>
      </x:c>
      <x:c r="V20" s="284" t="n">
        <x:v>7043</x:v>
      </x:c>
      <x:c r="W20" s="284" t="n">
        <x:v>7044</x:v>
      </x:c>
      <x:c r="X20" s="284" t="n">
        <x:v>7045</x:v>
      </x:c>
      <x:c r="Y20" s="284" t="n">
        <x:v>7046</x:v>
      </x:c>
      <x:c r="Z20" s="284" t="n">
        <x:v>7047</x:v>
      </x:c>
      <x:c r="AA20" s="284" t="n">
        <x:v>7048</x:v>
      </x:c>
      <x:c r="AB20" s="284" t="n">
        <x:v>7049</x:v>
      </x:c>
      <x:c r="AC20" s="284" t="n">
        <x:v>7050</x:v>
      </x:c>
      <x:c r="AD20" s="284" t="n">
        <x:v>7051</x:v>
      </x:c>
      <x:c r="AE20" s="284" t="n">
        <x:v>7052</x:v>
      </x:c>
      <x:c r="AF20" s="284" t="n">
        <x:v>7053</x:v>
      </x:c>
      <x:c r="AG20" s="284" t="n">
        <x:v>7054</x:v>
      </x:c>
      <x:c r="AH20" s="284" t="n">
        <x:v>7055</x:v>
      </x:c>
      <x:c r="AI20" s="284" t="n">
        <x:v>7056</x:v>
      </x:c>
      <x:c r="AJ20" s="284" t="n">
        <x:v>7057</x:v>
      </x:c>
      <x:c r="AK20" s="284" t="n">
        <x:v>7058</x:v>
      </x:c>
      <x:c r="AL20" s="284" t="n">
        <x:v>7059</x:v>
      </x:c>
      <x:c r="AM20" s="284" t="n">
        <x:v>7060</x:v>
      </x:c>
      <x:c r="AN20" s="284" t="n">
        <x:v>12</x:v>
      </x:c>
      <x:c r="AO20" s="284" t="n">
        <x:v>3</x:v>
      </x:c>
      <x:c r="AP20" s="284" t="n">
        <x:v>3</x:v>
      </x:c>
      <x:c r="AQ20" s="285" t="str">
        <x:v>7026-7060</x:v>
      </x:c>
    </x:row>
    <x:row r="21" ht="22" customHeight="1">
      <x:c r="A21" s="286" t="n">
        <x:v>20</x:v>
      </x:c>
      <x:c r="B21" s="287" t="str">
        <x:v>翠焰冥契</x:v>
      </x:c>
      <x:c r="C21" s="287" t="str">
        <x:v>翠焰冥契·永夜</x:v>
      </x:c>
      <x:c r="D21" s="287" t="n">
        <x:v>5</x:v>
      </x:c>
      <x:c r="E21" s="287" t="n">
        <x:v>7061</x:v>
      </x:c>
      <x:c r="F21" s="287" t="n">
        <x:v>7062</x:v>
      </x:c>
      <x:c r="G21" s="287" t="n">
        <x:v>7063</x:v>
      </x:c>
      <x:c r="H21" s="287" t="n">
        <x:v>7064</x:v>
      </x:c>
      <x:c r="I21" s="287" t="n">
        <x:v>7065</x:v>
      </x:c>
      <x:c r="J21" s="287" t="n">
        <x:v>7066</x:v>
      </x:c>
      <x:c r="K21" s="287" t="n">
        <x:v>7067</x:v>
      </x:c>
      <x:c r="L21" s="287" t="n">
        <x:v>7068</x:v>
      </x:c>
      <x:c r="M21" s="287" t="n">
        <x:v>7069</x:v>
      </x:c>
      <x:c r="N21" s="287" t="n">
        <x:v>7070</x:v>
      </x:c>
      <x:c r="O21" s="287" t="n">
        <x:v>7071</x:v>
      </x:c>
      <x:c r="P21" s="287" t="n">
        <x:v>7072</x:v>
      </x:c>
      <x:c r="Q21" s="287" t="n">
        <x:v>7073</x:v>
      </x:c>
      <x:c r="R21" s="287" t="n">
        <x:v>7074</x:v>
      </x:c>
      <x:c r="S21" s="287" t="n">
        <x:v>7075</x:v>
      </x:c>
      <x:c r="T21" s="287" t="n">
        <x:v>7076</x:v>
      </x:c>
      <x:c r="U21" s="287" t="n">
        <x:v>7077</x:v>
      </x:c>
      <x:c r="V21" s="287" t="n">
        <x:v>7078</x:v>
      </x:c>
      <x:c r="W21" s="287" t="n">
        <x:v>7079</x:v>
      </x:c>
      <x:c r="X21" s="287" t="n">
        <x:v>7080</x:v>
      </x:c>
      <x:c r="Y21" s="287" t="n">
        <x:v>7081</x:v>
      </x:c>
      <x:c r="Z21" s="287" t="n">
        <x:v>7082</x:v>
      </x:c>
      <x:c r="AA21" s="287" t="n">
        <x:v>7083</x:v>
      </x:c>
      <x:c r="AB21" s="287" t="n">
        <x:v>7084</x:v>
      </x:c>
      <x:c r="AC21" s="287" t="n">
        <x:v>7085</x:v>
      </x:c>
      <x:c r="AD21" s="287" t="n">
        <x:v>7086</x:v>
      </x:c>
      <x:c r="AE21" s="287" t="n">
        <x:v>7087</x:v>
      </x:c>
      <x:c r="AF21" s="287" t="n">
        <x:v>7088</x:v>
      </x:c>
      <x:c r="AG21" s="287" t="n">
        <x:v>7089</x:v>
      </x:c>
      <x:c r="AH21" s="287" t="n">
        <x:v>7090</x:v>
      </x:c>
      <x:c r="AI21" s="287" t="n">
        <x:v>7091</x:v>
      </x:c>
      <x:c r="AJ21" s="287" t="n">
        <x:v>7092</x:v>
      </x:c>
      <x:c r="AK21" s="287" t="n">
        <x:v>7093</x:v>
      </x:c>
      <x:c r="AL21" s="287" t="n">
        <x:v>7094</x:v>
      </x:c>
      <x:c r="AM21" s="287" t="n">
        <x:v>7095</x:v>
      </x:c>
      <x:c r="AN21" s="287" t="n">
        <x:v>11</x:v>
      </x:c>
      <x:c r="AO21" s="287" t="n">
        <x:v>4</x:v>
      </x:c>
      <x:c r="AP21" s="287" t="n">
        <x:v>4</x:v>
      </x:c>
      <x:c r="AQ21" s="288" t="str">
        <x:v>7061-7095</x:v>
      </x:c>
    </x:row>
  </x:sheetData>
  <x:pageMargins left="0.7" right="0.7" top="0.75" bottom="0.75" header="0.3" footer="0.3"/>
  <x:tableParts count="1">
    <x:tablePart xmlns:r="http://schemas.openxmlformats.org/officeDocument/2006/relationships" r:id="R98130623c97942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1" hidden="0" customWidth="1"/>
    <x:col min="3" max="3" width="23" hidden="0" customWidth="1"/>
    <x:col min="4" max="4" width="16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28" hidden="0" customWidth="1"/>
    <x:col min="17" max="17" width="22" hidden="0" customWidth="1"/>
    <x:col min="18" max="18" width="22" hidden="0" customWidth="1"/>
    <x:col min="19" max="19" width="32" hidden="0" customWidth="1"/>
    <x:col min="20" max="20" width="64" hidden="0" customWidth="1"/>
    <x:col min="21" max="21" width="14" hidden="0" customWidth="1"/>
    <x:col min="22" max="22" width="14" hidden="0" customWidth="1"/>
  </x:cols>
  <x:sheetData>
    <x:row r="1" ht="22" customHeight="1">
      <x:c r="A1" s="297" t="str">
        <x:v>序号</x:v>
      </x:c>
      <x:c r="B1" s="297" t="str">
        <x:v>来源编号</x:v>
      </x:c>
      <x:c r="C1" s="297" t="str">
        <x:v>资源组</x:v>
      </x:c>
      <x:c r="D1" s="297" t="str">
        <x:v>系列</x:v>
      </x:c>
      <x:c r="E1" s="297" t="str">
        <x:v>层级</x:v>
      </x:c>
      <x:c r="F1" s="297" t="str">
        <x:v>部位</x:v>
      </x:c>
      <x:c r="G1" s="297" t="str">
        <x:v>StdMode</x:v>
      </x:c>
      <x:c r="H1" s="297" t="str">
        <x:v>位置</x:v>
      </x:c>
      <x:c r="I1" s="297" t="str">
        <x:v>Looks</x:v>
      </x:c>
      <x:c r="J1" s="297" t="str">
        <x:v>Shape</x:v>
      </x:c>
      <x:c r="K1" s="297" t="str">
        <x:v>OverLap</x:v>
      </x:c>
      <x:c r="L1" s="297" t="str">
        <x:v>Expand1</x:v>
      </x:c>
      <x:c r="M1" s="297" t="str">
        <x:v>Items</x:v>
      </x:c>
      <x:c r="N1" s="297" t="str">
        <x:v>StateItem</x:v>
      </x:c>
      <x:c r="O1" s="297" t="str">
        <x:v>DnItems</x:v>
      </x:c>
      <x:c r="P1" s="297" t="str">
        <x:v>动作图库</x:v>
      </x:c>
      <x:c r="Q1" s="297" t="str">
        <x:v>源状态</x:v>
      </x:c>
      <x:c r="R1" s="297" t="str">
        <x:v>已知占用</x:v>
      </x:c>
      <x:c r="S1" s="297" t="str">
        <x:v>来源文件</x:v>
      </x:c>
      <x:c r="T1" s="297" t="str">
        <x:v>备注</x:v>
      </x:c>
      <x:c r="U1" s="297" t="str">
        <x:v>编码重复检查</x:v>
      </x:c>
      <x:c r="V1" s="297" t="str">
        <x:v>三库同码检查</x:v>
      </x:c>
    </x:row>
    <x:row r="2" ht="22" customHeight="1">
      <x:c r="A2" s="289" t="n">
        <x:v>1</x:v>
      </x:c>
      <x:c r="B2" s="289" t="n">
        <x:v>5867</x:v>
      </x:c>
      <x:c r="C2" s="290" t="str">
        <x:v>黄金圣律·初誓</x:v>
      </x:c>
      <x:c r="D2" s="290" t="str">
        <x:v>黄金圣律</x:v>
      </x:c>
      <x:c r="E2" s="290" t="n">
        <x:v>1</x:v>
      </x:c>
      <x:c r="F2" s="290" t="str">
        <x:v>勋章</x:v>
      </x:c>
      <x:c r="G2" s="289"/>
      <x:c r="H2" s="289"/>
      <x:c r="I2" s="289" t="n">
        <x:v>5867</x:v>
      </x:c>
      <x:c r="J2" s="289"/>
      <x:c r="K2" s="289"/>
      <x:c r="L2" s="289"/>
      <x:c r="M2" s="289" t="n">
        <x:v>5867</x:v>
      </x:c>
      <x:c r="N2" s="289" t="n">
        <x:v>5867</x:v>
      </x:c>
      <x:c r="O2" s="289" t="n">
        <x:v>5867</x:v>
      </x:c>
      <x:c r="P2" s="292"/>
      <x:c r="Q2" s="292" t="str">
        <x:v>原九部位资源库已登记</x:v>
      </x:c>
      <x:c r="R2" s="324" t="str">
        <x:v>C3-C10规划锁定：剜影巷钟章</x:v>
      </x:c>
      <x:c r="S2" s="292" t="str">
        <x:v>装备素材套装代码表.xlsx（原九部位）</x:v>
      </x:c>
      <x:c r="T2" s="292" t="str">
        <x:v>同一代码用于 Items / StateItem / DnItems；属性与掉落另表定义。</x:v>
      </x:c>
      <x:c r="U2" t="str">
        <x:f>IF(COUNTIF($B$2:$B$1076,B2)&gt;1,"重复","")</x:f>
      </x:c>
      <x:c r="V2" t="str">
        <x:f>IF(AND(OR(M2="",M2=B2),OR(N2="",N2=B2),OR(O2="",O2=B2)),"通过","不一致")</x:f>
        <x:v>通过</x:v>
      </x:c>
    </x:row>
    <x:row r="3" ht="22" customHeight="1">
      <x:c r="A3" s="289" t="n">
        <x:v>2</x:v>
      </x:c>
      <x:c r="B3" s="289" t="n">
        <x:v>5868</x:v>
      </x:c>
      <x:c r="C3" s="290" t="str">
        <x:v>黄金圣律·初誓</x:v>
      </x:c>
      <x:c r="D3" s="290" t="str">
        <x:v>黄金圣律</x:v>
      </x:c>
      <x:c r="E3" s="290" t="n">
        <x:v>1</x:v>
      </x:c>
      <x:c r="F3" s="290" t="str">
        <x:v>项链</x:v>
      </x:c>
      <x:c r="G3" s="289"/>
      <x:c r="H3" s="289"/>
      <x:c r="I3" s="289" t="n">
        <x:v>5868</x:v>
      </x:c>
      <x:c r="J3" s="289"/>
      <x:c r="K3" s="289"/>
      <x:c r="L3" s="289"/>
      <x:c r="M3" s="289" t="n">
        <x:v>5868</x:v>
      </x:c>
      <x:c r="N3" s="289" t="n">
        <x:v>5868</x:v>
      </x:c>
      <x:c r="O3" s="289" t="n">
        <x:v>5868</x:v>
      </x:c>
      <x:c r="P3" s="292"/>
      <x:c r="Q3" s="292" t="str">
        <x:v>原九部位资源库已登记</x:v>
      </x:c>
      <x:c r="R3" s="322" t="str">
        <x:v>C1/C2现用：尖牙骨链</x:v>
      </x:c>
      <x:c r="S3" s="292" t="str">
        <x:v>装备素材套装代码表.xlsx（原九部位）</x:v>
      </x:c>
      <x:c r="T3" s="292" t="str">
        <x:v>同一代码用于 Items / StateItem / DnItems；属性与掉落另表定义。</x:v>
      </x:c>
      <x:c r="U3" t="str">
        <x:f>IF(COUNTIF($B$2:$B$1076,B3)&gt;1,"重复","")</x:f>
      </x:c>
      <x:c r="V3" t="str">
        <x:f>IF(AND(OR(M3="",M3=B3),OR(N3="",N3=B3),OR(O3="",O3=B3)),"通过","不一致")</x:f>
        <x:v>通过</x:v>
      </x:c>
    </x:row>
    <x:row r="4" ht="22" customHeight="1">
      <x:c r="A4" s="289" t="n">
        <x:v>3</x:v>
      </x:c>
      <x:c r="B4" s="289" t="n">
        <x:v>5869</x:v>
      </x:c>
      <x:c r="C4" s="290" t="str">
        <x:v>黄金圣律·初誓</x:v>
      </x:c>
      <x:c r="D4" s="290" t="str">
        <x:v>黄金圣律</x:v>
      </x:c>
      <x:c r="E4" s="290" t="n">
        <x:v>1</x:v>
      </x:c>
      <x:c r="F4" s="290" t="str">
        <x:v>头盔</x:v>
      </x:c>
      <x:c r="G4" s="289"/>
      <x:c r="H4" s="289"/>
      <x:c r="I4" s="289" t="n">
        <x:v>5869</x:v>
      </x:c>
      <x:c r="J4" s="289"/>
      <x:c r="K4" s="289"/>
      <x:c r="L4" s="289"/>
      <x:c r="M4" s="289" t="n">
        <x:v>5869</x:v>
      </x:c>
      <x:c r="N4" s="289" t="n">
        <x:v>5869</x:v>
      </x:c>
      <x:c r="O4" s="289" t="n">
        <x:v>5869</x:v>
      </x:c>
      <x:c r="P4" s="292"/>
      <x:c r="Q4" s="292" t="str">
        <x:v>原九部位资源库已登记</x:v>
      </x:c>
      <x:c r="R4" s="322" t="str">
        <x:v>C1/C2现用：巨人铁盔</x:v>
      </x:c>
      <x:c r="S4" s="292" t="str">
        <x:v>装备素材套装代码表.xlsx（原九部位）</x:v>
      </x:c>
      <x:c r="T4" s="292" t="str">
        <x:v>同一代码用于 Items / StateItem / DnItems；属性与掉落另表定义。</x:v>
      </x:c>
      <x:c r="U4" t="str">
        <x:f>IF(COUNTIF($B$2:$B$1076,B4)&gt;1,"重复","")</x:f>
      </x:c>
      <x:c r="V4" t="str">
        <x:f>IF(AND(OR(M4="",M4=B4),OR(N4="",N4=B4),OR(O4="",O4=B4)),"通过","不一致")</x:f>
        <x:v>通过</x:v>
      </x:c>
    </x:row>
    <x:row r="5" ht="22" customHeight="1">
      <x:c r="A5" s="289" t="n">
        <x:v>4</x:v>
      </x:c>
      <x:c r="B5" s="289" t="n">
        <x:v>5870</x:v>
      </x:c>
      <x:c r="C5" s="290" t="str">
        <x:v>黄金圣律·初誓</x:v>
      </x:c>
      <x:c r="D5" s="290" t="str">
        <x:v>黄金圣律</x:v>
      </x:c>
      <x:c r="E5" s="290" t="n">
        <x:v>1</x:v>
      </x:c>
      <x:c r="F5" s="290" t="str">
        <x:v>手镯</x:v>
      </x:c>
      <x:c r="G5" s="289"/>
      <x:c r="H5" s="289"/>
      <x:c r="I5" s="289" t="n">
        <x:v>5870</x:v>
      </x:c>
      <x:c r="J5" s="289"/>
      <x:c r="K5" s="289"/>
      <x:c r="L5" s="289"/>
      <x:c r="M5" s="289" t="n">
        <x:v>5870</x:v>
      </x:c>
      <x:c r="N5" s="289" t="n">
        <x:v>5870</x:v>
      </x:c>
      <x:c r="O5" s="289" t="n">
        <x:v>5870</x:v>
      </x:c>
      <x:c r="P5" s="292"/>
      <x:c r="Q5" s="292" t="str">
        <x:v>原九部位资源库已登记</x:v>
      </x:c>
      <x:c r="R5" s="324" t="str">
        <x:v>C3-C10规划锁定：赤螯腕甲</x:v>
      </x:c>
      <x:c r="S5" s="292" t="str">
        <x:v>装备素材套装代码表.xlsx（原九部位）</x:v>
      </x:c>
      <x:c r="T5" s="292" t="str">
        <x:v>同一代码用于 Items / StateItem / DnItems；属性与掉落另表定义。</x:v>
      </x:c>
      <x:c r="U5" t="str">
        <x:f>IF(COUNTIF($B$2:$B$1076,B5)&gt;1,"重复","")</x:f>
      </x:c>
      <x:c r="V5" t="str">
        <x:f>IF(AND(OR(M5="",M5=B5),OR(N5="",N5=B5),OR(O5="",O5=B5)),"通过","不一致")</x:f>
        <x:v>通过</x:v>
      </x:c>
    </x:row>
    <x:row r="6" ht="22" customHeight="1">
      <x:c r="A6" s="289" t="n">
        <x:v>5</x:v>
      </x:c>
      <x:c r="B6" s="289" t="n">
        <x:v>5871</x:v>
      </x:c>
      <x:c r="C6" s="290" t="str">
        <x:v>黄金圣律·初誓</x:v>
      </x:c>
      <x:c r="D6" s="290" t="str">
        <x:v>黄金圣律</x:v>
      </x:c>
      <x:c r="E6" s="290" t="n">
        <x:v>1</x:v>
      </x:c>
      <x:c r="F6" s="290" t="str">
        <x:v>戒指</x:v>
      </x:c>
      <x:c r="G6" s="289"/>
      <x:c r="H6" s="289"/>
      <x:c r="I6" s="289" t="n">
        <x:v>5871</x:v>
      </x:c>
      <x:c r="J6" s="289"/>
      <x:c r="K6" s="289"/>
      <x:c r="L6" s="289"/>
      <x:c r="M6" s="289" t="n">
        <x:v>5871</x:v>
      </x:c>
      <x:c r="N6" s="289" t="n">
        <x:v>5871</x:v>
      </x:c>
      <x:c r="O6" s="289" t="n">
        <x:v>5871</x:v>
      </x:c>
      <x:c r="P6" s="292"/>
      <x:c r="Q6" s="292" t="str">
        <x:v>原九部位资源库已登记</x:v>
      </x:c>
      <x:c r="R6" s="324" t="str">
        <x:v>C3-C10规划锁定：守星残灵戒</x:v>
      </x:c>
      <x:c r="S6" s="292" t="str">
        <x:v>装备素材套装代码表.xlsx（原九部位）</x:v>
      </x:c>
      <x:c r="T6" s="292" t="str">
        <x:v>同一代码用于 Items / StateItem / DnItems；属性与掉落另表定义。</x:v>
      </x:c>
      <x:c r="U6" t="str">
        <x:f>IF(COUNTIF($B$2:$B$1076,B6)&gt;1,"重复","")</x:f>
      </x:c>
      <x:c r="V6" t="str">
        <x:f>IF(AND(OR(M6="",M6=B6),OR(N6="",N6=B6),OR(O6="",O6=B6)),"通过","不一致")</x:f>
        <x:v>通过</x:v>
      </x:c>
    </x:row>
    <x:row r="7" ht="22" customHeight="1">
      <x:c r="A7" s="289" t="n">
        <x:v>6</x:v>
      </x:c>
      <x:c r="B7" s="289" t="n">
        <x:v>5872</x:v>
      </x:c>
      <x:c r="C7" s="290" t="str">
        <x:v>黄金圣律·初誓</x:v>
      </x:c>
      <x:c r="D7" s="290" t="str">
        <x:v>黄金圣律</x:v>
      </x:c>
      <x:c r="E7" s="290" t="n">
        <x:v>1</x:v>
      </x:c>
      <x:c r="F7" s="290" t="str">
        <x:v>盾牌</x:v>
      </x:c>
      <x:c r="G7" s="289"/>
      <x:c r="H7" s="289"/>
      <x:c r="I7" s="289" t="n">
        <x:v>5872</x:v>
      </x:c>
      <x:c r="J7" s="289"/>
      <x:c r="K7" s="289"/>
      <x:c r="L7" s="289"/>
      <x:c r="M7" s="289" t="n">
        <x:v>5872</x:v>
      </x:c>
      <x:c r="N7" s="289" t="n">
        <x:v>5872</x:v>
      </x:c>
      <x:c r="O7" s="289" t="n">
        <x:v>5872</x:v>
      </x:c>
      <x:c r="P7" s="292"/>
      <x:c r="Q7" s="292" t="str">
        <x:v>原九部位资源库已登记</x:v>
      </x:c>
      <x:c r="R7" s="324" t="str">
        <x:v>C3-C10规划锁定：赤焰塔盾</x:v>
      </x:c>
      <x:c r="S7" s="292" t="str">
        <x:v>装备素材套装代码表.xlsx（原九部位）</x:v>
      </x:c>
      <x:c r="T7" s="292" t="str">
        <x:v>同一代码用于 Items / StateItem / DnItems；属性与掉落另表定义。</x:v>
      </x:c>
      <x:c r="U7" t="str">
        <x:f>IF(COUNTIF($B$2:$B$1076,B7)&gt;1,"重复","")</x:f>
      </x:c>
      <x:c r="V7" t="str">
        <x:f>IF(AND(OR(M7="",M7=B7),OR(N7="",N7=B7),OR(O7="",O7=B7)),"通过","不一致")</x:f>
        <x:v>通过</x:v>
      </x:c>
    </x:row>
    <x:row r="8" ht="22" customHeight="1">
      <x:c r="A8" s="289" t="n">
        <x:v>7</x:v>
      </x:c>
      <x:c r="B8" s="289" t="n">
        <x:v>5873</x:v>
      </x:c>
      <x:c r="C8" s="290" t="str">
        <x:v>黄金圣律·初誓</x:v>
      </x:c>
      <x:c r="D8" s="290" t="str">
        <x:v>黄金圣律</x:v>
      </x:c>
      <x:c r="E8" s="290" t="n">
        <x:v>1</x:v>
      </x:c>
      <x:c r="F8" s="290" t="str">
        <x:v>灵玉</x:v>
      </x:c>
      <x:c r="G8" s="289"/>
      <x:c r="H8" s="289"/>
      <x:c r="I8" s="289" t="n">
        <x:v>5873</x:v>
      </x:c>
      <x:c r="J8" s="289"/>
      <x:c r="K8" s="289"/>
      <x:c r="L8" s="289"/>
      <x:c r="M8" s="289" t="n">
        <x:v>5873</x:v>
      </x:c>
      <x:c r="N8" s="289" t="n">
        <x:v>5873</x:v>
      </x:c>
      <x:c r="O8" s="289" t="n">
        <x:v>5873</x:v>
      </x:c>
      <x:c r="P8" s="292"/>
      <x:c r="Q8" s="292" t="str">
        <x:v>原九部位资源库已登记</x:v>
      </x:c>
      <x:c r="R8" s="292" t="str"/>
      <x:c r="S8" s="292" t="str">
        <x:v>装备素材套装代码表.xlsx（原九部位）</x:v>
      </x:c>
      <x:c r="T8" s="292" t="str">
        <x:v>同一代码用于 Items / StateItem / DnItems；属性与掉落另表定义。</x:v>
      </x:c>
      <x:c r="U8" t="str">
        <x:f>IF(COUNTIF($B$2:$B$1076,B8)&gt;1,"重复","")</x:f>
      </x:c>
      <x:c r="V8" t="str">
        <x:f>IF(AND(OR(M8="",M8=B8),OR(N8="",N8=B8),OR(O8="",O8=B8)),"通过","不一致")</x:f>
        <x:v>通过</x:v>
      </x:c>
    </x:row>
    <x:row r="9" ht="22" customHeight="1">
      <x:c r="A9" s="289" t="n">
        <x:v>8</x:v>
      </x:c>
      <x:c r="B9" s="289" t="n">
        <x:v>5874</x:v>
      </x:c>
      <x:c r="C9" s="290" t="str">
        <x:v>黄金圣律·初誓</x:v>
      </x:c>
      <x:c r="D9" s="290" t="str">
        <x:v>黄金圣律</x:v>
      </x:c>
      <x:c r="E9" s="290" t="n">
        <x:v>1</x:v>
      </x:c>
      <x:c r="F9" s="290" t="str">
        <x:v>鞋子</x:v>
      </x:c>
      <x:c r="G9" s="289"/>
      <x:c r="H9" s="289"/>
      <x:c r="I9" s="289" t="n">
        <x:v>5874</x:v>
      </x:c>
      <x:c r="J9" s="289"/>
      <x:c r="K9" s="289"/>
      <x:c r="L9" s="289"/>
      <x:c r="M9" s="289" t="n">
        <x:v>5874</x:v>
      </x:c>
      <x:c r="N9" s="289" t="n">
        <x:v>5874</x:v>
      </x:c>
      <x:c r="O9" s="289" t="n">
        <x:v>5874</x:v>
      </x:c>
      <x:c r="P9" s="292"/>
      <x:c r="Q9" s="292" t="str">
        <x:v>原九部位资源库已登记</x:v>
      </x:c>
      <x:c r="R9" s="324" t="str">
        <x:v>C3-C10规划锁定：赤鬃战靴</x:v>
      </x:c>
      <x:c r="S9" s="292" t="str">
        <x:v>装备素材套装代码表.xlsx（原九部位）</x:v>
      </x:c>
      <x:c r="T9" s="292" t="str">
        <x:v>同一代码用于 Items / StateItem / DnItems；属性与掉落另表定义。</x:v>
      </x:c>
      <x:c r="U9" t="str">
        <x:f>IF(COUNTIF($B$2:$B$1076,B9)&gt;1,"重复","")</x:f>
      </x:c>
      <x:c r="V9" t="str">
        <x:f>IF(AND(OR(M9="",M9=B9),OR(N9="",N9=B9),OR(O9="",O9=B9)),"通过","不一致")</x:f>
        <x:v>通过</x:v>
      </x:c>
    </x:row>
    <x:row r="10" ht="22" customHeight="1">
      <x:c r="A10" s="289" t="n">
        <x:v>9</x:v>
      </x:c>
      <x:c r="B10" s="289" t="n">
        <x:v>5875</x:v>
      </x:c>
      <x:c r="C10" s="290" t="str">
        <x:v>黄金圣律·初誓</x:v>
      </x:c>
      <x:c r="D10" s="290" t="str">
        <x:v>黄金圣律</x:v>
      </x:c>
      <x:c r="E10" s="290" t="n">
        <x:v>1</x:v>
      </x:c>
      <x:c r="F10" s="290" t="str">
        <x:v>腰带</x:v>
      </x:c>
      <x:c r="G10" s="289"/>
      <x:c r="H10" s="289"/>
      <x:c r="I10" s="289" t="n">
        <x:v>5875</x:v>
      </x:c>
      <x:c r="J10" s="289"/>
      <x:c r="K10" s="289"/>
      <x:c r="L10" s="289"/>
      <x:c r="M10" s="289" t="n">
        <x:v>5875</x:v>
      </x:c>
      <x:c r="N10" s="289" t="n">
        <x:v>5875</x:v>
      </x:c>
      <x:c r="O10" s="289" t="n">
        <x:v>5875</x:v>
      </x:c>
      <x:c r="P10" s="292"/>
      <x:c r="Q10" s="292" t="str">
        <x:v>原九部位资源库已登记</x:v>
      </x:c>
      <x:c r="R10" s="324" t="str">
        <x:v>C3-C10规划锁定：掘冰腰带</x:v>
      </x:c>
      <x:c r="S10" s="292" t="str">
        <x:v>装备素材套装代码表.xlsx（原九部位）</x:v>
      </x:c>
      <x:c r="T10" s="292" t="str">
        <x:v>同一代码用于 Items / StateItem / DnItems；属性与掉落另表定义。</x:v>
      </x:c>
      <x:c r="U10" t="str">
        <x:f>IF(COUNTIF($B$2:$B$1076,B10)&gt;1,"重复","")</x:f>
      </x:c>
      <x:c r="V10" t="str">
        <x:f>IF(AND(OR(M10="",M10=B10),OR(N10="",N10=B10),OR(O10="",O10=B10)),"通过","不一致")</x:f>
        <x:v>通过</x:v>
      </x:c>
    </x:row>
    <x:row r="11" ht="22" customHeight="1">
      <x:c r="A11" s="289" t="n">
        <x:v>10</x:v>
      </x:c>
      <x:c r="B11" s="289" t="n">
        <x:v>5876</x:v>
      </x:c>
      <x:c r="C11" s="290" t="str">
        <x:v>黄金圣律·铭契</x:v>
      </x:c>
      <x:c r="D11" s="290" t="str">
        <x:v>黄金圣律</x:v>
      </x:c>
      <x:c r="E11" s="290" t="n">
        <x:v>2</x:v>
      </x:c>
      <x:c r="F11" s="290" t="str">
        <x:v>勋章</x:v>
      </x:c>
      <x:c r="G11" s="289"/>
      <x:c r="H11" s="289"/>
      <x:c r="I11" s="289" t="n">
        <x:v>5876</x:v>
      </x:c>
      <x:c r="J11" s="289"/>
      <x:c r="K11" s="289"/>
      <x:c r="L11" s="289"/>
      <x:c r="M11" s="289" t="n">
        <x:v>5876</x:v>
      </x:c>
      <x:c r="N11" s="289" t="n">
        <x:v>5876</x:v>
      </x:c>
      <x:c r="O11" s="289" t="n">
        <x:v>5876</x:v>
      </x:c>
      <x:c r="P11" s="292"/>
      <x:c r="Q11" s="292" t="str">
        <x:v>原九部位资源库已登记</x:v>
      </x:c>
      <x:c r="R11" s="324" t="str">
        <x:v>C3-C10规划锁定：沸淤校阀章</x:v>
      </x:c>
      <x:c r="S11" s="292" t="str">
        <x:v>装备素材套装代码表.xlsx（原九部位）</x:v>
      </x:c>
      <x:c r="T11" s="292" t="str">
        <x:v>同一代码用于 Items / StateItem / DnItems；属性与掉落另表定义。</x:v>
      </x:c>
      <x:c r="U11" t="str">
        <x:f>IF(COUNTIF($B$2:$B$1076,B11)&gt;1,"重复","")</x:f>
      </x:c>
      <x:c r="V11" t="str">
        <x:f>IF(AND(OR(M11="",M11=B11),OR(N11="",N11=B11),OR(O11="",O11=B11)),"通过","不一致")</x:f>
        <x:v>通过</x:v>
      </x:c>
    </x:row>
    <x:row r="12" ht="22" customHeight="1">
      <x:c r="A12" s="289" t="n">
        <x:v>11</x:v>
      </x:c>
      <x:c r="B12" s="289" t="n">
        <x:v>5877</x:v>
      </x:c>
      <x:c r="C12" s="290" t="str">
        <x:v>黄金圣律·铭契</x:v>
      </x:c>
      <x:c r="D12" s="290" t="str">
        <x:v>黄金圣律</x:v>
      </x:c>
      <x:c r="E12" s="290" t="n">
        <x:v>2</x:v>
      </x:c>
      <x:c r="F12" s="290" t="str">
        <x:v>项链</x:v>
      </x:c>
      <x:c r="G12" s="289"/>
      <x:c r="H12" s="289"/>
      <x:c r="I12" s="289" t="n">
        <x:v>5877</x:v>
      </x:c>
      <x:c r="J12" s="289"/>
      <x:c r="K12" s="289"/>
      <x:c r="L12" s="289"/>
      <x:c r="M12" s="289" t="n">
        <x:v>5877</x:v>
      </x:c>
      <x:c r="N12" s="289" t="n">
        <x:v>5877</x:v>
      </x:c>
      <x:c r="O12" s="289" t="n">
        <x:v>5877</x:v>
      </x:c>
      <x:c r="P12" s="292"/>
      <x:c r="Q12" s="292" t="str">
        <x:v>原九部位资源库已登记</x:v>
      </x:c>
      <x:c r="R12" s="322" t="str">
        <x:v>C1/C2现用：古树祷链</x:v>
      </x:c>
      <x:c r="S12" s="292" t="str">
        <x:v>装备素材套装代码表.xlsx（原九部位）</x:v>
      </x:c>
      <x:c r="T12" s="292" t="str">
        <x:v>同一代码用于 Items / StateItem / DnItems；属性与掉落另表定义。</x:v>
      </x:c>
      <x:c r="U12" t="str">
        <x:f>IF(COUNTIF($B$2:$B$1076,B12)&gt;1,"重复","")</x:f>
      </x:c>
      <x:c r="V12" t="str">
        <x:f>IF(AND(OR(M12="",M12=B12),OR(N12="",N12=B12),OR(O12="",O12=B12)),"通过","不一致")</x:f>
        <x:v>通过</x:v>
      </x:c>
    </x:row>
    <x:row r="13" ht="22" customHeight="1">
      <x:c r="A13" s="289" t="n">
        <x:v>12</x:v>
      </x:c>
      <x:c r="B13" s="289" t="n">
        <x:v>5878</x:v>
      </x:c>
      <x:c r="C13" s="290" t="str">
        <x:v>黄金圣律·铭契</x:v>
      </x:c>
      <x:c r="D13" s="290" t="str">
        <x:v>黄金圣律</x:v>
      </x:c>
      <x:c r="E13" s="290" t="n">
        <x:v>2</x:v>
      </x:c>
      <x:c r="F13" s="290" t="str">
        <x:v>头盔</x:v>
      </x:c>
      <x:c r="G13" s="289"/>
      <x:c r="H13" s="289"/>
      <x:c r="I13" s="289" t="n">
        <x:v>5878</x:v>
      </x:c>
      <x:c r="J13" s="289"/>
      <x:c r="K13" s="289"/>
      <x:c r="L13" s="289"/>
      <x:c r="M13" s="289" t="n">
        <x:v>5878</x:v>
      </x:c>
      <x:c r="N13" s="289" t="n">
        <x:v>5878</x:v>
      </x:c>
      <x:c r="O13" s="289" t="n">
        <x:v>5878</x:v>
      </x:c>
      <x:c r="P13" s="292"/>
      <x:c r="Q13" s="292" t="str">
        <x:v>原九部位资源库已登记</x:v>
      </x:c>
      <x:c r="R13" s="324" t="str">
        <x:v>C3-C10规划锁定：缄门法官冠</x:v>
      </x:c>
      <x:c r="S13" s="292" t="str">
        <x:v>装备素材套装代码表.xlsx（原九部位）</x:v>
      </x:c>
      <x:c r="T13" s="292" t="str">
        <x:v>同一代码用于 Items / StateItem / DnItems；属性与掉落另表定义。</x:v>
      </x:c>
      <x:c r="U13" t="str">
        <x:f>IF(COUNTIF($B$2:$B$1076,B13)&gt;1,"重复","")</x:f>
      </x:c>
      <x:c r="V13" t="str">
        <x:f>IF(AND(OR(M13="",M13=B13),OR(N13="",N13=B13),OR(O13="",O13=B13)),"通过","不一致")</x:f>
        <x:v>通过</x:v>
      </x:c>
    </x:row>
    <x:row r="14" ht="22" customHeight="1">
      <x:c r="A14" s="289" t="n">
        <x:v>13</x:v>
      </x:c>
      <x:c r="B14" s="289" t="n">
        <x:v>5879</x:v>
      </x:c>
      <x:c r="C14" s="290" t="str">
        <x:v>黄金圣律·铭契</x:v>
      </x:c>
      <x:c r="D14" s="290" t="str">
        <x:v>黄金圣律</x:v>
      </x:c>
      <x:c r="E14" s="290" t="n">
        <x:v>2</x:v>
      </x:c>
      <x:c r="F14" s="290" t="str">
        <x:v>手镯</x:v>
      </x:c>
      <x:c r="G14" s="289"/>
      <x:c r="H14" s="289"/>
      <x:c r="I14" s="289" t="n">
        <x:v>5879</x:v>
      </x:c>
      <x:c r="J14" s="289"/>
      <x:c r="K14" s="289"/>
      <x:c r="L14" s="289"/>
      <x:c r="M14" s="289" t="n">
        <x:v>5879</x:v>
      </x:c>
      <x:c r="N14" s="289" t="n">
        <x:v>5879</x:v>
      </x:c>
      <x:c r="O14" s="289" t="n">
        <x:v>5879</x:v>
      </x:c>
      <x:c r="P14" s="292"/>
      <x:c r="Q14" s="292" t="str">
        <x:v>原九部位资源库已登记</x:v>
      </x:c>
      <x:c r="R14" s="324" t="str">
        <x:v>C3-C10规划锁定：血菌腕轮</x:v>
      </x:c>
      <x:c r="S14" s="292" t="str">
        <x:v>装备素材套装代码表.xlsx（原九部位）</x:v>
      </x:c>
      <x:c r="T14" s="292" t="str">
        <x:v>同一代码用于 Items / StateItem / DnItems；属性与掉落另表定义。</x:v>
      </x:c>
      <x:c r="U14" t="str">
        <x:f>IF(COUNTIF($B$2:$B$1076,B14)&gt;1,"重复","")</x:f>
      </x:c>
      <x:c r="V14" t="str">
        <x:f>IF(AND(OR(M14="",M14=B14),OR(N14="",N14=B14),OR(O14="",O14=B14)),"通过","不一致")</x:f>
        <x:v>通过</x:v>
      </x:c>
    </x:row>
    <x:row r="15" ht="22" customHeight="1">
      <x:c r="A15" s="289" t="n">
        <x:v>14</x:v>
      </x:c>
      <x:c r="B15" s="289" t="n">
        <x:v>5880</x:v>
      </x:c>
      <x:c r="C15" s="290" t="str">
        <x:v>黄金圣律·铭契</x:v>
      </x:c>
      <x:c r="D15" s="290" t="str">
        <x:v>黄金圣律</x:v>
      </x:c>
      <x:c r="E15" s="290" t="n">
        <x:v>2</x:v>
      </x:c>
      <x:c r="F15" s="290" t="str">
        <x:v>戒指</x:v>
      </x:c>
      <x:c r="G15" s="289"/>
      <x:c r="H15" s="289"/>
      <x:c r="I15" s="289" t="n">
        <x:v>5880</x:v>
      </x:c>
      <x:c r="J15" s="289"/>
      <x:c r="K15" s="289"/>
      <x:c r="L15" s="289"/>
      <x:c r="M15" s="289" t="n">
        <x:v>5880</x:v>
      </x:c>
      <x:c r="N15" s="289" t="n">
        <x:v>5880</x:v>
      </x:c>
      <x:c r="O15" s="289" t="n">
        <x:v>5880</x:v>
      </x:c>
      <x:c r="P15" s="292"/>
      <x:c r="Q15" s="292" t="str">
        <x:v>原九部位资源库已登记</x:v>
      </x:c>
      <x:c r="R15" s="324" t="str">
        <x:v>C3-C10规划锁定：赤棘重戒</x:v>
      </x:c>
      <x:c r="S15" s="292" t="str">
        <x:v>装备素材套装代码表.xlsx（原九部位）</x:v>
      </x:c>
      <x:c r="T15" s="292" t="str">
        <x:v>同一代码用于 Items / StateItem / DnItems；属性与掉落另表定义。</x:v>
      </x:c>
      <x:c r="U15" t="str">
        <x:f>IF(COUNTIF($B$2:$B$1076,B15)&gt;1,"重复","")</x:f>
      </x:c>
      <x:c r="V15" t="str">
        <x:f>IF(AND(OR(M15="",M15=B15),OR(N15="",N15=B15),OR(O15="",O15=B15)),"通过","不一致")</x:f>
        <x:v>通过</x:v>
      </x:c>
    </x:row>
    <x:row r="16" ht="22" customHeight="1">
      <x:c r="A16" s="289" t="n">
        <x:v>15</x:v>
      </x:c>
      <x:c r="B16" s="289" t="n">
        <x:v>5881</x:v>
      </x:c>
      <x:c r="C16" s="290" t="str">
        <x:v>黄金圣律·铭契</x:v>
      </x:c>
      <x:c r="D16" s="290" t="str">
        <x:v>黄金圣律</x:v>
      </x:c>
      <x:c r="E16" s="290" t="n">
        <x:v>2</x:v>
      </x:c>
      <x:c r="F16" s="290" t="str">
        <x:v>盾牌</x:v>
      </x:c>
      <x:c r="G16" s="289"/>
      <x:c r="H16" s="289"/>
      <x:c r="I16" s="289" t="n">
        <x:v>5881</x:v>
      </x:c>
      <x:c r="J16" s="289"/>
      <x:c r="K16" s="289"/>
      <x:c r="L16" s="289"/>
      <x:c r="M16" s="289" t="n">
        <x:v>5881</x:v>
      </x:c>
      <x:c r="N16" s="289" t="n">
        <x:v>5881</x:v>
      </x:c>
      <x:c r="O16" s="289" t="n">
        <x:v>5881</x:v>
      </x:c>
      <x:c r="P16" s="292"/>
      <x:c r="Q16" s="292" t="str">
        <x:v>原九部位资源库已登记</x:v>
      </x:c>
      <x:c r="R16" s="324" t="str">
        <x:v>C3-C10规划锁定：晶背塔盾</x:v>
      </x:c>
      <x:c r="S16" s="292" t="str">
        <x:v>装备素材套装代码表.xlsx（原九部位）</x:v>
      </x:c>
      <x:c r="T16" s="292" t="str">
        <x:v>同一代码用于 Items / StateItem / DnItems；属性与掉落另表定义。</x:v>
      </x:c>
      <x:c r="U16" t="str">
        <x:f>IF(COUNTIF($B$2:$B$1076,B16)&gt;1,"重复","")</x:f>
      </x:c>
      <x:c r="V16" t="str">
        <x:f>IF(AND(OR(M16="",M16=B16),OR(N16="",N16=B16),OR(O16="",O16=B16)),"通过","不一致")</x:f>
        <x:v>通过</x:v>
      </x:c>
    </x:row>
    <x:row r="17" ht="22" customHeight="1">
      <x:c r="A17" s="289" t="n">
        <x:v>16</x:v>
      </x:c>
      <x:c r="B17" s="289" t="n">
        <x:v>5882</x:v>
      </x:c>
      <x:c r="C17" s="290" t="str">
        <x:v>黄金圣律·铭契</x:v>
      </x:c>
      <x:c r="D17" s="290" t="str">
        <x:v>黄金圣律</x:v>
      </x:c>
      <x:c r="E17" s="290" t="n">
        <x:v>2</x:v>
      </x:c>
      <x:c r="F17" s="290" t="str">
        <x:v>灵玉</x:v>
      </x:c>
      <x:c r="G17" s="289"/>
      <x:c r="H17" s="289"/>
      <x:c r="I17" s="289" t="n">
        <x:v>5882</x:v>
      </x:c>
      <x:c r="J17" s="289"/>
      <x:c r="K17" s="289"/>
      <x:c r="L17" s="289"/>
      <x:c r="M17" s="289" t="n">
        <x:v>5882</x:v>
      </x:c>
      <x:c r="N17" s="289" t="n">
        <x:v>5882</x:v>
      </x:c>
      <x:c r="O17" s="289" t="n">
        <x:v>5882</x:v>
      </x:c>
      <x:c r="P17" s="292"/>
      <x:c r="Q17" s="292" t="str">
        <x:v>原九部位资源库已登记</x:v>
      </x:c>
      <x:c r="R17" s="292" t="str"/>
      <x:c r="S17" s="292" t="str">
        <x:v>装备素材套装代码表.xlsx（原九部位）</x:v>
      </x:c>
      <x:c r="T17" s="292" t="str">
        <x:v>同一代码用于 Items / StateItem / DnItems；属性与掉落另表定义。</x:v>
      </x:c>
      <x:c r="U17" t="str">
        <x:f>IF(COUNTIF($B$2:$B$1076,B17)&gt;1,"重复","")</x:f>
      </x:c>
      <x:c r="V17" t="str">
        <x:f>IF(AND(OR(M17="",M17=B17),OR(N17="",N17=B17),OR(O17="",O17=B17)),"通过","不一致")</x:f>
        <x:v>通过</x:v>
      </x:c>
    </x:row>
    <x:row r="18" ht="22" customHeight="1">
      <x:c r="A18" s="289" t="n">
        <x:v>17</x:v>
      </x:c>
      <x:c r="B18" s="289" t="n">
        <x:v>5883</x:v>
      </x:c>
      <x:c r="C18" s="290" t="str">
        <x:v>黄金圣律·铭契</x:v>
      </x:c>
      <x:c r="D18" s="290" t="str">
        <x:v>黄金圣律</x:v>
      </x:c>
      <x:c r="E18" s="290" t="n">
        <x:v>2</x:v>
      </x:c>
      <x:c r="F18" s="290" t="str">
        <x:v>鞋子</x:v>
      </x:c>
      <x:c r="G18" s="289"/>
      <x:c r="H18" s="289"/>
      <x:c r="I18" s="289" t="n">
        <x:v>5883</x:v>
      </x:c>
      <x:c r="J18" s="289"/>
      <x:c r="K18" s="289"/>
      <x:c r="L18" s="289"/>
      <x:c r="M18" s="289" t="n">
        <x:v>5883</x:v>
      </x:c>
      <x:c r="N18" s="289" t="n">
        <x:v>5883</x:v>
      </x:c>
      <x:c r="O18" s="289" t="n">
        <x:v>5883</x:v>
      </x:c>
      <x:c r="P18" s="292"/>
      <x:c r="Q18" s="292" t="str">
        <x:v>原九部位资源库已登记</x:v>
      </x:c>
      <x:c r="R18" s="324" t="str">
        <x:v>C3-C10规划锁定：霜风战靴</x:v>
      </x:c>
      <x:c r="S18" s="292" t="str">
        <x:v>装备素材套装代码表.xlsx（原九部位）</x:v>
      </x:c>
      <x:c r="T18" s="292" t="str">
        <x:v>同一代码用于 Items / StateItem / DnItems；属性与掉落另表定义。</x:v>
      </x:c>
      <x:c r="U18" t="str">
        <x:f>IF(COUNTIF($B$2:$B$1076,B18)&gt;1,"重复","")</x:f>
      </x:c>
      <x:c r="V18" t="str">
        <x:f>IF(AND(OR(M18="",M18=B18),OR(N18="",N18=B18),OR(O18="",O18=B18)),"通过","不一致")</x:f>
        <x:v>通过</x:v>
      </x:c>
    </x:row>
    <x:row r="19" ht="22" customHeight="1">
      <x:c r="A19" s="289" t="n">
        <x:v>18</x:v>
      </x:c>
      <x:c r="B19" s="289" t="n">
        <x:v>5884</x:v>
      </x:c>
      <x:c r="C19" s="290" t="str">
        <x:v>黄金圣律·铭契</x:v>
      </x:c>
      <x:c r="D19" s="290" t="str">
        <x:v>黄金圣律</x:v>
      </x:c>
      <x:c r="E19" s="290" t="n">
        <x:v>2</x:v>
      </x:c>
      <x:c r="F19" s="290" t="str">
        <x:v>腰带</x:v>
      </x:c>
      <x:c r="G19" s="289"/>
      <x:c r="H19" s="289"/>
      <x:c r="I19" s="289" t="n">
        <x:v>5884</x:v>
      </x:c>
      <x:c r="J19" s="289"/>
      <x:c r="K19" s="289"/>
      <x:c r="L19" s="289"/>
      <x:c r="M19" s="289" t="n">
        <x:v>5884</x:v>
      </x:c>
      <x:c r="N19" s="289" t="n">
        <x:v>5884</x:v>
      </x:c>
      <x:c r="O19" s="289" t="n">
        <x:v>5884</x:v>
      </x:c>
      <x:c r="P19" s="292"/>
      <x:c r="Q19" s="292" t="str">
        <x:v>原九部位资源库已登记</x:v>
      </x:c>
      <x:c r="R19" s="324" t="str">
        <x:v>C3-C10规划锁定：寒弓束带</x:v>
      </x:c>
      <x:c r="S19" s="292" t="str">
        <x:v>装备素材套装代码表.xlsx（原九部位）</x:v>
      </x:c>
      <x:c r="T19" s="292" t="str">
        <x:v>同一代码用于 Items / StateItem / DnItems；属性与掉落另表定义。</x:v>
      </x:c>
      <x:c r="U19" t="str">
        <x:f>IF(COUNTIF($B$2:$B$1076,B19)&gt;1,"重复","")</x:f>
      </x:c>
      <x:c r="V19" t="str">
        <x:f>IF(AND(OR(M19="",M19=B19),OR(N19="",N19=B19),OR(O19="",O19=B19)),"通过","不一致")</x:f>
        <x:v>通过</x:v>
      </x:c>
    </x:row>
    <x:row r="20" ht="22" customHeight="1">
      <x:c r="A20" s="289" t="n">
        <x:v>19</x:v>
      </x:c>
      <x:c r="B20" s="289" t="n">
        <x:v>5885</x:v>
      </x:c>
      <x:c r="C20" s="290" t="str">
        <x:v>黄金圣律·执火</x:v>
      </x:c>
      <x:c r="D20" s="290" t="str">
        <x:v>黄金圣律</x:v>
      </x:c>
      <x:c r="E20" s="290" t="n">
        <x:v>3</x:v>
      </x:c>
      <x:c r="F20" s="290" t="str">
        <x:v>勋章</x:v>
      </x:c>
      <x:c r="G20" s="289"/>
      <x:c r="H20" s="289"/>
      <x:c r="I20" s="289" t="n">
        <x:v>5885</x:v>
      </x:c>
      <x:c r="J20" s="289"/>
      <x:c r="K20" s="289"/>
      <x:c r="L20" s="289"/>
      <x:c r="M20" s="289" t="n">
        <x:v>5885</x:v>
      </x:c>
      <x:c r="N20" s="289" t="n">
        <x:v>5885</x:v>
      </x:c>
      <x:c r="O20" s="289" t="n">
        <x:v>5885</x:v>
      </x:c>
      <x:c r="P20" s="292"/>
      <x:c r="Q20" s="292" t="str">
        <x:v>原九部位资源库已登记</x:v>
      </x:c>
      <x:c r="R20" s="322" t="str">
        <x:v>C1/C2现用：失乡统帅勋</x:v>
      </x:c>
      <x:c r="S20" s="292" t="str">
        <x:v>装备素材套装代码表.xlsx（原九部位）</x:v>
      </x:c>
      <x:c r="T20" s="292" t="str">
        <x:v>同一代码用于 Items / StateItem / DnItems；属性与掉落另表定义。</x:v>
      </x:c>
      <x:c r="U20" t="str">
        <x:f>IF(COUNTIF($B$2:$B$1076,B20)&gt;1,"重复","")</x:f>
      </x:c>
      <x:c r="V20" t="str">
        <x:f>IF(AND(OR(M20="",M20=B20),OR(N20="",N20=B20),OR(O20="",O20=B20)),"通过","不一致")</x:f>
        <x:v>通过</x:v>
      </x:c>
    </x:row>
    <x:row r="21" ht="22" customHeight="1">
      <x:c r="A21" s="289" t="n">
        <x:v>20</x:v>
      </x:c>
      <x:c r="B21" s="289" t="n">
        <x:v>5886</x:v>
      </x:c>
      <x:c r="C21" s="290" t="str">
        <x:v>黄金圣律·执火</x:v>
      </x:c>
      <x:c r="D21" s="290" t="str">
        <x:v>黄金圣律</x:v>
      </x:c>
      <x:c r="E21" s="290" t="n">
        <x:v>3</x:v>
      </x:c>
      <x:c r="F21" s="290" t="str">
        <x:v>项链</x:v>
      </x:c>
      <x:c r="G21" s="289"/>
      <x:c r="H21" s="289"/>
      <x:c r="I21" s="289" t="n">
        <x:v>5886</x:v>
      </x:c>
      <x:c r="J21" s="289"/>
      <x:c r="K21" s="289"/>
      <x:c r="L21" s="289"/>
      <x:c r="M21" s="289" t="n">
        <x:v>5886</x:v>
      </x:c>
      <x:c r="N21" s="289" t="n">
        <x:v>5886</x:v>
      </x:c>
      <x:c r="O21" s="289" t="n">
        <x:v>5886</x:v>
      </x:c>
      <x:c r="P21" s="292"/>
      <x:c r="Q21" s="292" t="str">
        <x:v>原九部位资源库已登记</x:v>
      </x:c>
      <x:c r="R21" s="324" t="str">
        <x:v>C3-C10规划锁定：镜刃王室链</x:v>
      </x:c>
      <x:c r="S21" s="292" t="str">
        <x:v>装备素材套装代码表.xlsx（原九部位）</x:v>
      </x:c>
      <x:c r="T21" s="292" t="str">
        <x:v>同一代码用于 Items / StateItem / DnItems；属性与掉落另表定义。</x:v>
      </x:c>
      <x:c r="U21" t="str">
        <x:f>IF(COUNTIF($B$2:$B$1076,B21)&gt;1,"重复","")</x:f>
      </x:c>
      <x:c r="V21" t="str">
        <x:f>IF(AND(OR(M21="",M21=B21),OR(N21="",N21=B21),OR(O21="",O21=B21)),"通过","不一致")</x:f>
        <x:v>通过</x:v>
      </x:c>
    </x:row>
    <x:row r="22" ht="22" customHeight="1">
      <x:c r="A22" s="289" t="n">
        <x:v>21</x:v>
      </x:c>
      <x:c r="B22" s="289" t="n">
        <x:v>5887</x:v>
      </x:c>
      <x:c r="C22" s="290" t="str">
        <x:v>黄金圣律·执火</x:v>
      </x:c>
      <x:c r="D22" s="290" t="str">
        <x:v>黄金圣律</x:v>
      </x:c>
      <x:c r="E22" s="290" t="n">
        <x:v>3</x:v>
      </x:c>
      <x:c r="F22" s="290" t="str">
        <x:v>头盔</x:v>
      </x:c>
      <x:c r="G22" s="289"/>
      <x:c r="H22" s="289"/>
      <x:c r="I22" s="289" t="n">
        <x:v>5887</x:v>
      </x:c>
      <x:c r="J22" s="289"/>
      <x:c r="K22" s="289"/>
      <x:c r="L22" s="289"/>
      <x:c r="M22" s="289" t="n">
        <x:v>5887</x:v>
      </x:c>
      <x:c r="N22" s="289" t="n">
        <x:v>5887</x:v>
      </x:c>
      <x:c r="O22" s="289" t="n">
        <x:v>5887</x:v>
      </x:c>
      <x:c r="P22" s="292"/>
      <x:c r="Q22" s="292" t="str">
        <x:v>原九部位资源库已登记</x:v>
      </x:c>
      <x:c r="R22" s="324" t="str">
        <x:v>C3-C10规划锁定：拾骸骨盔</x:v>
      </x:c>
      <x:c r="S22" s="292" t="str">
        <x:v>装备素材套装代码表.xlsx（原九部位）</x:v>
      </x:c>
      <x:c r="T22" s="292" t="str">
        <x:v>同一代码用于 Items / StateItem / DnItems；属性与掉落另表定义。</x:v>
      </x:c>
      <x:c r="U22" t="str">
        <x:f>IF(COUNTIF($B$2:$B$1076,B22)&gt;1,"重复","")</x:f>
      </x:c>
      <x:c r="V22" t="str">
        <x:f>IF(AND(OR(M22="",M22=B22),OR(N22="",N22=B22),OR(O22="",O22=B22)),"通过","不一致")</x:f>
        <x:v>通过</x:v>
      </x:c>
    </x:row>
    <x:row r="23" ht="22" customHeight="1">
      <x:c r="A23" s="289" t="n">
        <x:v>22</x:v>
      </x:c>
      <x:c r="B23" s="289" t="n">
        <x:v>5888</x:v>
      </x:c>
      <x:c r="C23" s="290" t="str">
        <x:v>黄金圣律·执火</x:v>
      </x:c>
      <x:c r="D23" s="290" t="str">
        <x:v>黄金圣律</x:v>
      </x:c>
      <x:c r="E23" s="290" t="n">
        <x:v>3</x:v>
      </x:c>
      <x:c r="F23" s="290" t="str">
        <x:v>手镯</x:v>
      </x:c>
      <x:c r="G23" s="289"/>
      <x:c r="H23" s="289"/>
      <x:c r="I23" s="289" t="n">
        <x:v>5888</x:v>
      </x:c>
      <x:c r="J23" s="289"/>
      <x:c r="K23" s="289"/>
      <x:c r="L23" s="289"/>
      <x:c r="M23" s="289" t="n">
        <x:v>5888</x:v>
      </x:c>
      <x:c r="N23" s="289" t="n">
        <x:v>5888</x:v>
      </x:c>
      <x:c r="O23" s="289" t="n">
        <x:v>5888</x:v>
      </x:c>
      <x:c r="P23" s="292"/>
      <x:c r="Q23" s="292" t="str">
        <x:v>原九部位资源库已登记</x:v>
      </x:c>
      <x:c r="R23" s="324" t="str">
        <x:v>C3-C10规划锁定：烬鳞护腕</x:v>
      </x:c>
      <x:c r="S23" s="292" t="str">
        <x:v>装备素材套装代码表.xlsx（原九部位）</x:v>
      </x:c>
      <x:c r="T23" s="292" t="str">
        <x:v>同一代码用于 Items / StateItem / DnItems；属性与掉落另表定义。</x:v>
      </x:c>
      <x:c r="U23" t="str">
        <x:f>IF(COUNTIF($B$2:$B$1076,B23)&gt;1,"重复","")</x:f>
      </x:c>
      <x:c r="V23" t="str">
        <x:f>IF(AND(OR(M23="",M23=B23),OR(N23="",N23=B23),OR(O23="",O23=B23)),"通过","不一致")</x:f>
        <x:v>通过</x:v>
      </x:c>
    </x:row>
    <x:row r="24" ht="22" customHeight="1">
      <x:c r="A24" s="289" t="n">
        <x:v>23</x:v>
      </x:c>
      <x:c r="B24" s="289" t="n">
        <x:v>5889</x:v>
      </x:c>
      <x:c r="C24" s="290" t="str">
        <x:v>黄金圣律·执火</x:v>
      </x:c>
      <x:c r="D24" s="290" t="str">
        <x:v>黄金圣律</x:v>
      </x:c>
      <x:c r="E24" s="290" t="n">
        <x:v>3</x:v>
      </x:c>
      <x:c r="F24" s="290" t="str">
        <x:v>戒指</x:v>
      </x:c>
      <x:c r="G24" s="289"/>
      <x:c r="H24" s="289"/>
      <x:c r="I24" s="289" t="n">
        <x:v>5889</x:v>
      </x:c>
      <x:c r="J24" s="289"/>
      <x:c r="K24" s="289"/>
      <x:c r="L24" s="289"/>
      <x:c r="M24" s="289" t="n">
        <x:v>5889</x:v>
      </x:c>
      <x:c r="N24" s="289" t="n">
        <x:v>5889</x:v>
      </x:c>
      <x:c r="O24" s="289" t="n">
        <x:v>5889</x:v>
      </x:c>
      <x:c r="P24" s="292"/>
      <x:c r="Q24" s="292" t="str">
        <x:v>原九部位资源库已登记</x:v>
      </x:c>
      <x:c r="R24" s="324" t="str">
        <x:v>C3-C10规划锁定：熔喉牙戒</x:v>
      </x:c>
      <x:c r="S24" s="292" t="str">
        <x:v>装备素材套装代码表.xlsx（原九部位）</x:v>
      </x:c>
      <x:c r="T24" s="292" t="str">
        <x:v>同一代码用于 Items / StateItem / DnItems；属性与掉落另表定义。</x:v>
      </x:c>
      <x:c r="U24" t="str">
        <x:f>IF(COUNTIF($B$2:$B$1076,B24)&gt;1,"重复","")</x:f>
      </x:c>
      <x:c r="V24" t="str">
        <x:f>IF(AND(OR(M24="",M24=B24),OR(N24="",N24=B24),OR(O24="",O24=B24)),"通过","不一致")</x:f>
        <x:v>通过</x:v>
      </x:c>
    </x:row>
    <x:row r="25" ht="22" customHeight="1">
      <x:c r="A25" s="289" t="n">
        <x:v>24</x:v>
      </x:c>
      <x:c r="B25" s="289" t="n">
        <x:v>5890</x:v>
      </x:c>
      <x:c r="C25" s="290" t="str">
        <x:v>黄金圣律·执火</x:v>
      </x:c>
      <x:c r="D25" s="290" t="str">
        <x:v>黄金圣律</x:v>
      </x:c>
      <x:c r="E25" s="290" t="n">
        <x:v>3</x:v>
      </x:c>
      <x:c r="F25" s="290" t="str">
        <x:v>盾牌</x:v>
      </x:c>
      <x:c r="G25" s="289"/>
      <x:c r="H25" s="289"/>
      <x:c r="I25" s="289" t="n">
        <x:v>5890</x:v>
      </x:c>
      <x:c r="J25" s="289"/>
      <x:c r="K25" s="289"/>
      <x:c r="L25" s="289"/>
      <x:c r="M25" s="289" t="n">
        <x:v>5890</x:v>
      </x:c>
      <x:c r="N25" s="289" t="n">
        <x:v>5890</x:v>
      </x:c>
      <x:c r="O25" s="289" t="n">
        <x:v>5890</x:v>
      </x:c>
      <x:c r="P25" s="292"/>
      <x:c r="Q25" s="292" t="str">
        <x:v>原九部位资源库已登记</x:v>
      </x:c>
      <x:c r="R25" s="324" t="str">
        <x:v>C3-C10规划锁定：冰甲重盾</x:v>
      </x:c>
      <x:c r="S25" s="292" t="str">
        <x:v>装备素材套装代码表.xlsx（原九部位）</x:v>
      </x:c>
      <x:c r="T25" s="292" t="str">
        <x:v>同一代码用于 Items / StateItem / DnItems；属性与掉落另表定义。</x:v>
      </x:c>
      <x:c r="U25" t="str">
        <x:f>IF(COUNTIF($B$2:$B$1076,B25)&gt;1,"重复","")</x:f>
      </x:c>
      <x:c r="V25" t="str">
        <x:f>IF(AND(OR(M25="",M25=B25),OR(N25="",N25=B25),OR(O25="",O25=B25)),"通过","不一致")</x:f>
        <x:v>通过</x:v>
      </x:c>
    </x:row>
    <x:row r="26" ht="22" customHeight="1">
      <x:c r="A26" s="289" t="n">
        <x:v>25</x:v>
      </x:c>
      <x:c r="B26" s="289" t="n">
        <x:v>5891</x:v>
      </x:c>
      <x:c r="C26" s="290" t="str">
        <x:v>黄金圣律·执火</x:v>
      </x:c>
      <x:c r="D26" s="290" t="str">
        <x:v>黄金圣律</x:v>
      </x:c>
      <x:c r="E26" s="290" t="n">
        <x:v>3</x:v>
      </x:c>
      <x:c r="F26" s="290" t="str">
        <x:v>灵玉</x:v>
      </x:c>
      <x:c r="G26" s="289"/>
      <x:c r="H26" s="289"/>
      <x:c r="I26" s="289" t="n">
        <x:v>5891</x:v>
      </x:c>
      <x:c r="J26" s="289"/>
      <x:c r="K26" s="289"/>
      <x:c r="L26" s="289"/>
      <x:c r="M26" s="289" t="n">
        <x:v>5891</x:v>
      </x:c>
      <x:c r="N26" s="289" t="n">
        <x:v>5891</x:v>
      </x:c>
      <x:c r="O26" s="289" t="n">
        <x:v>5891</x:v>
      </x:c>
      <x:c r="P26" s="292"/>
      <x:c r="Q26" s="292" t="str">
        <x:v>原九部位资源库已登记</x:v>
      </x:c>
      <x:c r="R26" s="292" t="str"/>
      <x:c r="S26" s="292" t="str">
        <x:v>装备素材套装代码表.xlsx（原九部位）</x:v>
      </x:c>
      <x:c r="T26" s="292" t="str">
        <x:v>同一代码用于 Items / StateItem / DnItems；属性与掉落另表定义。</x:v>
      </x:c>
      <x:c r="U26" t="str">
        <x:f>IF(COUNTIF($B$2:$B$1076,B26)&gt;1,"重复","")</x:f>
      </x:c>
      <x:c r="V26" t="str">
        <x:f>IF(AND(OR(M26="",M26=B26),OR(N26="",N26=B26),OR(O26="",O26=B26)),"通过","不一致")</x:f>
        <x:v>通过</x:v>
      </x:c>
    </x:row>
    <x:row r="27" ht="22" customHeight="1">
      <x:c r="A27" s="289" t="n">
        <x:v>26</x:v>
      </x:c>
      <x:c r="B27" s="289" t="n">
        <x:v>5892</x:v>
      </x:c>
      <x:c r="C27" s="290" t="str">
        <x:v>黄金圣律·执火</x:v>
      </x:c>
      <x:c r="D27" s="290" t="str">
        <x:v>黄金圣律</x:v>
      </x:c>
      <x:c r="E27" s="290" t="n">
        <x:v>3</x:v>
      </x:c>
      <x:c r="F27" s="290" t="str">
        <x:v>鞋子</x:v>
      </x:c>
      <x:c r="G27" s="289"/>
      <x:c r="H27" s="289"/>
      <x:c r="I27" s="289" t="n">
        <x:v>5892</x:v>
      </x:c>
      <x:c r="J27" s="289"/>
      <x:c r="K27" s="289"/>
      <x:c r="L27" s="289"/>
      <x:c r="M27" s="289" t="n">
        <x:v>5892</x:v>
      </x:c>
      <x:c r="N27" s="289" t="n">
        <x:v>5892</x:v>
      </x:c>
      <x:c r="O27" s="289" t="n">
        <x:v>5892</x:v>
      </x:c>
      <x:c r="P27" s="292"/>
      <x:c r="Q27" s="292" t="str">
        <x:v>原九部位资源库已登记</x:v>
      </x:c>
      <x:c r="R27" s="324" t="str">
        <x:v>C3-C10规划锁定：审判长靴</x:v>
      </x:c>
      <x:c r="S27" s="292" t="str">
        <x:v>装备素材套装代码表.xlsx（原九部位）</x:v>
      </x:c>
      <x:c r="T27" s="292" t="str">
        <x:v>同一代码用于 Items / StateItem / DnItems；属性与掉落另表定义。</x:v>
      </x:c>
      <x:c r="U27" t="str">
        <x:f>IF(COUNTIF($B$2:$B$1076,B27)&gt;1,"重复","")</x:f>
      </x:c>
      <x:c r="V27" t="str">
        <x:f>IF(AND(OR(M27="",M27=B27),OR(N27="",N27=B27),OR(O27="",O27=B27)),"通过","不一致")</x:f>
        <x:v>通过</x:v>
      </x:c>
    </x:row>
    <x:row r="28" ht="22" customHeight="1">
      <x:c r="A28" s="289" t="n">
        <x:v>27</x:v>
      </x:c>
      <x:c r="B28" s="289" t="n">
        <x:v>5893</x:v>
      </x:c>
      <x:c r="C28" s="290" t="str">
        <x:v>黄金圣律·执火</x:v>
      </x:c>
      <x:c r="D28" s="290" t="str">
        <x:v>黄金圣律</x:v>
      </x:c>
      <x:c r="E28" s="290" t="n">
        <x:v>3</x:v>
      </x:c>
      <x:c r="F28" s="290" t="str">
        <x:v>腰带</x:v>
      </x:c>
      <x:c r="G28" s="289"/>
      <x:c r="H28" s="289"/>
      <x:c r="I28" s="289" t="n">
        <x:v>5893</x:v>
      </x:c>
      <x:c r="J28" s="289"/>
      <x:c r="K28" s="289"/>
      <x:c r="L28" s="289"/>
      <x:c r="M28" s="289" t="n">
        <x:v>5893</x:v>
      </x:c>
      <x:c r="N28" s="289" t="n">
        <x:v>5893</x:v>
      </x:c>
      <x:c r="O28" s="289" t="n">
        <x:v>5893</x:v>
      </x:c>
      <x:c r="P28" s="292"/>
      <x:c r="Q28" s="292" t="str">
        <x:v>原九部位资源库已登记</x:v>
      </x:c>
      <x:c r="R28" s="324" t="str">
        <x:v>C3-C10规划锁定：幻刃腰封</x:v>
      </x:c>
      <x:c r="S28" s="292" t="str">
        <x:v>装备素材套装代码表.xlsx（原九部位）</x:v>
      </x:c>
      <x:c r="T28" s="292" t="str">
        <x:v>同一代码用于 Items / StateItem / DnItems；属性与掉落另表定义。</x:v>
      </x:c>
      <x:c r="U28" t="str">
        <x:f>IF(COUNTIF($B$2:$B$1076,B28)&gt;1,"重复","")</x:f>
      </x:c>
      <x:c r="V28" t="str">
        <x:f>IF(AND(OR(M28="",M28=B28),OR(N28="",N28=B28),OR(O28="",O28=B28)),"通过","不一致")</x:f>
        <x:v>通过</x:v>
      </x:c>
    </x:row>
    <x:row r="29" ht="22" customHeight="1">
      <x:c r="A29" s="289" t="n">
        <x:v>28</x:v>
      </x:c>
      <x:c r="B29" s="289" t="n">
        <x:v>5894</x:v>
      </x:c>
      <x:c r="C29" s="290" t="str">
        <x:v>黄金圣律·圣徽</x:v>
      </x:c>
      <x:c r="D29" s="290" t="str">
        <x:v>黄金圣律</x:v>
      </x:c>
      <x:c r="E29" s="290" t="n">
        <x:v>4</x:v>
      </x:c>
      <x:c r="F29" s="290" t="str">
        <x:v>勋章</x:v>
      </x:c>
      <x:c r="G29" s="289"/>
      <x:c r="H29" s="289"/>
      <x:c r="I29" s="289" t="n">
        <x:v>5894</x:v>
      </x:c>
      <x:c r="J29" s="289"/>
      <x:c r="K29" s="289"/>
      <x:c r="L29" s="289"/>
      <x:c r="M29" s="289" t="n">
        <x:v>5894</x:v>
      </x:c>
      <x:c r="N29" s="289" t="n">
        <x:v>5894</x:v>
      </x:c>
      <x:c r="O29" s="289" t="n">
        <x:v>5894</x:v>
      </x:c>
      <x:c r="P29" s="292"/>
      <x:c r="Q29" s="292" t="str">
        <x:v>原九部位资源库已登记</x:v>
      </x:c>
      <x:c r="R29" s="324" t="str">
        <x:v>C3-C10规划锁定：封勘金衡章</x:v>
      </x:c>
      <x:c r="S29" s="292" t="str">
        <x:v>装备素材套装代码表.xlsx（原九部位）</x:v>
      </x:c>
      <x:c r="T29" s="292" t="str">
        <x:v>同一代码用于 Items / StateItem / DnItems；属性与掉落另表定义。</x:v>
      </x:c>
      <x:c r="U29" t="str">
        <x:f>IF(COUNTIF($B$2:$B$1076,B29)&gt;1,"重复","")</x:f>
      </x:c>
      <x:c r="V29" t="str">
        <x:f>IF(AND(OR(M29="",M29=B29),OR(N29="",N29=B29),OR(O29="",O29=B29)),"通过","不一致")</x:f>
        <x:v>通过</x:v>
      </x:c>
    </x:row>
    <x:row r="30" ht="22" customHeight="1">
      <x:c r="A30" s="289" t="n">
        <x:v>29</x:v>
      </x:c>
      <x:c r="B30" s="289" t="n">
        <x:v>5895</x:v>
      </x:c>
      <x:c r="C30" s="290" t="str">
        <x:v>黄金圣律·圣徽</x:v>
      </x:c>
      <x:c r="D30" s="290" t="str">
        <x:v>黄金圣律</x:v>
      </x:c>
      <x:c r="E30" s="290" t="n">
        <x:v>4</x:v>
      </x:c>
      <x:c r="F30" s="290" t="str">
        <x:v>项链</x:v>
      </x:c>
      <x:c r="G30" s="289"/>
      <x:c r="H30" s="289"/>
      <x:c r="I30" s="289" t="n">
        <x:v>5895</x:v>
      </x:c>
      <x:c r="J30" s="289"/>
      <x:c r="K30" s="289"/>
      <x:c r="L30" s="289"/>
      <x:c r="M30" s="289" t="n">
        <x:v>5895</x:v>
      </x:c>
      <x:c r="N30" s="289" t="n">
        <x:v>5895</x:v>
      </x:c>
      <x:c r="O30" s="289" t="n">
        <x:v>5895</x:v>
      </x:c>
      <x:c r="P30" s="292"/>
      <x:c r="Q30" s="292" t="str">
        <x:v>原九部位资源库已登记</x:v>
      </x:c>
      <x:c r="R30" s="324" t="str">
        <x:v>C3-C10规划锁定：焦脉祭链</x:v>
      </x:c>
      <x:c r="S30" s="292" t="str">
        <x:v>装备素材套装代码表.xlsx（原九部位）</x:v>
      </x:c>
      <x:c r="T30" s="292" t="str">
        <x:v>同一代码用于 Items / StateItem / DnItems；属性与掉落另表定义。</x:v>
      </x:c>
      <x:c r="U30" t="str">
        <x:f>IF(COUNTIF($B$2:$B$1076,B30)&gt;1,"重复","")</x:f>
      </x:c>
      <x:c r="V30" t="str">
        <x:f>IF(AND(OR(M30="",M30=B30),OR(N30="",N30=B30),OR(O30="",O30=B30)),"通过","不一致")</x:f>
        <x:v>通过</x:v>
      </x:c>
    </x:row>
    <x:row r="31" ht="22" customHeight="1">
      <x:c r="A31" s="289" t="n">
        <x:v>30</x:v>
      </x:c>
      <x:c r="B31" s="289" t="n">
        <x:v>5896</x:v>
      </x:c>
      <x:c r="C31" s="290" t="str">
        <x:v>黄金圣律·圣徽</x:v>
      </x:c>
      <x:c r="D31" s="290" t="str">
        <x:v>黄金圣律</x:v>
      </x:c>
      <x:c r="E31" s="290" t="n">
        <x:v>4</x:v>
      </x:c>
      <x:c r="F31" s="290" t="str">
        <x:v>头盔</x:v>
      </x:c>
      <x:c r="G31" s="289"/>
      <x:c r="H31" s="289"/>
      <x:c r="I31" s="289" t="n">
        <x:v>5896</x:v>
      </x:c>
      <x:c r="J31" s="289"/>
      <x:c r="K31" s="289"/>
      <x:c r="L31" s="289"/>
      <x:c r="M31" s="289" t="n">
        <x:v>5896</x:v>
      </x:c>
      <x:c r="N31" s="289" t="n">
        <x:v>5896</x:v>
      </x:c>
      <x:c r="O31" s="289" t="n">
        <x:v>5896</x:v>
      </x:c>
      <x:c r="P31" s="292"/>
      <x:c r="Q31" s="292" t="str">
        <x:v>原九部位资源库已登记</x:v>
      </x:c>
      <x:c r="R31" s="324" t="str">
        <x:v>C3-C10规划锁定：伊弗腐冠</x:v>
      </x:c>
      <x:c r="S31" s="292" t="str">
        <x:v>装备素材套装代码表.xlsx（原九部位）</x:v>
      </x:c>
      <x:c r="T31" s="292" t="str">
        <x:v>同一代码用于 Items / StateItem / DnItems；属性与掉落另表定义。</x:v>
      </x:c>
      <x:c r="U31" t="str">
        <x:f>IF(COUNTIF($B$2:$B$1076,B31)&gt;1,"重复","")</x:f>
      </x:c>
      <x:c r="V31" t="str">
        <x:f>IF(AND(OR(M31="",M31=B31),OR(N31="",N31=B31),OR(O31="",O31=B31)),"通过","不一致")</x:f>
        <x:v>通过</x:v>
      </x:c>
    </x:row>
    <x:row r="32" ht="22" customHeight="1">
      <x:c r="A32" s="289" t="n">
        <x:v>31</x:v>
      </x:c>
      <x:c r="B32" s="289" t="n">
        <x:v>5897</x:v>
      </x:c>
      <x:c r="C32" s="290" t="str">
        <x:v>黄金圣律·圣徽</x:v>
      </x:c>
      <x:c r="D32" s="290" t="str">
        <x:v>黄金圣律</x:v>
      </x:c>
      <x:c r="E32" s="290" t="n">
        <x:v>4</x:v>
      </x:c>
      <x:c r="F32" s="290" t="str">
        <x:v>手镯</x:v>
      </x:c>
      <x:c r="G32" s="289"/>
      <x:c r="H32" s="289"/>
      <x:c r="I32" s="289" t="n">
        <x:v>5897</x:v>
      </x:c>
      <x:c r="J32" s="289"/>
      <x:c r="K32" s="289"/>
      <x:c r="L32" s="289"/>
      <x:c r="M32" s="289" t="n">
        <x:v>5897</x:v>
      </x:c>
      <x:c r="N32" s="289" t="n">
        <x:v>5897</x:v>
      </x:c>
      <x:c r="O32" s="289" t="n">
        <x:v>5897</x:v>
      </x:c>
      <x:c r="P32" s="292"/>
      <x:c r="Q32" s="292" t="str">
        <x:v>原九部位资源库已登记</x:v>
      </x:c>
      <x:c r="R32" s="324" t="str">
        <x:v>C3-C10规划锁定：冻角护腕</x:v>
      </x:c>
      <x:c r="S32" s="292" t="str">
        <x:v>装备素材套装代码表.xlsx（原九部位）</x:v>
      </x:c>
      <x:c r="T32" s="292" t="str">
        <x:v>同一代码用于 Items / StateItem / DnItems；属性与掉落另表定义。</x:v>
      </x:c>
      <x:c r="U32" t="str">
        <x:f>IF(COUNTIF($B$2:$B$1076,B32)&gt;1,"重复","")</x:f>
      </x:c>
      <x:c r="V32" t="str">
        <x:f>IF(AND(OR(M32="",M32=B32),OR(N32="",N32=B32),OR(O32="",O32=B32)),"通过","不一致")</x:f>
        <x:v>通过</x:v>
      </x:c>
    </x:row>
    <x:row r="33" ht="22" customHeight="1">
      <x:c r="A33" s="289" t="n">
        <x:v>32</x:v>
      </x:c>
      <x:c r="B33" s="289" t="n">
        <x:v>5898</x:v>
      </x:c>
      <x:c r="C33" s="290" t="str">
        <x:v>黄金圣律·圣徽</x:v>
      </x:c>
      <x:c r="D33" s="290" t="str">
        <x:v>黄金圣律</x:v>
      </x:c>
      <x:c r="E33" s="290" t="n">
        <x:v>4</x:v>
      </x:c>
      <x:c r="F33" s="290" t="str">
        <x:v>戒指</x:v>
      </x:c>
      <x:c r="G33" s="289"/>
      <x:c r="H33" s="289"/>
      <x:c r="I33" s="289" t="n">
        <x:v>5898</x:v>
      </x:c>
      <x:c r="J33" s="289"/>
      <x:c r="K33" s="289"/>
      <x:c r="L33" s="289"/>
      <x:c r="M33" s="289" t="n">
        <x:v>5898</x:v>
      </x:c>
      <x:c r="N33" s="289" t="n">
        <x:v>5898</x:v>
      </x:c>
      <x:c r="O33" s="289" t="n">
        <x:v>5898</x:v>
      </x:c>
      <x:c r="P33" s="292"/>
      <x:c r="Q33" s="292" t="str">
        <x:v>原九部位资源库已登记</x:v>
      </x:c>
      <x:c r="R33" s="322" t="str">
        <x:v>C1/C2现用：断旗马戒</x:v>
      </x:c>
      <x:c r="S33" s="292" t="str">
        <x:v>装备素材套装代码表.xlsx（原九部位）</x:v>
      </x:c>
      <x:c r="T33" s="292" t="str">
        <x:v>同一代码用于 Items / StateItem / DnItems；属性与掉落另表定义。</x:v>
      </x:c>
      <x:c r="U33" t="str">
        <x:f>IF(COUNTIF($B$2:$B$1076,B33)&gt;1,"重复","")</x:f>
      </x:c>
      <x:c r="V33" t="str">
        <x:f>IF(AND(OR(M33="",M33=B33),OR(N33="",N33=B33),OR(O33="",O33=B33)),"通过","不一致")</x:f>
        <x:v>通过</x:v>
      </x:c>
    </x:row>
    <x:row r="34" ht="22" customHeight="1">
      <x:c r="A34" s="289" t="n">
        <x:v>33</x:v>
      </x:c>
      <x:c r="B34" s="289" t="n">
        <x:v>5899</x:v>
      </x:c>
      <x:c r="C34" s="290" t="str">
        <x:v>黄金圣律·圣徽</x:v>
      </x:c>
      <x:c r="D34" s="290" t="str">
        <x:v>黄金圣律</x:v>
      </x:c>
      <x:c r="E34" s="290" t="n">
        <x:v>4</x:v>
      </x:c>
      <x:c r="F34" s="290" t="str">
        <x:v>盾牌</x:v>
      </x:c>
      <x:c r="G34" s="289"/>
      <x:c r="H34" s="289"/>
      <x:c r="I34" s="289" t="n">
        <x:v>5899</x:v>
      </x:c>
      <x:c r="J34" s="289"/>
      <x:c r="K34" s="289"/>
      <x:c r="L34" s="289"/>
      <x:c r="M34" s="289" t="n">
        <x:v>5899</x:v>
      </x:c>
      <x:c r="N34" s="289" t="n">
        <x:v>5899</x:v>
      </x:c>
      <x:c r="O34" s="289" t="n">
        <x:v>5899</x:v>
      </x:c>
      <x:c r="P34" s="292"/>
      <x:c r="Q34" s="292" t="str">
        <x:v>原九部位资源库已登记</x:v>
      </x:c>
      <x:c r="R34" s="324" t="str">
        <x:v>C3-C10规划锁定：银角塔盾</x:v>
      </x:c>
      <x:c r="S34" s="292" t="str">
        <x:v>装备素材套装代码表.xlsx（原九部位）</x:v>
      </x:c>
      <x:c r="T34" s="292" t="str">
        <x:v>同一代码用于 Items / StateItem / DnItems；属性与掉落另表定义。</x:v>
      </x:c>
      <x:c r="U34" t="str">
        <x:f>IF(COUNTIF($B$2:$B$1076,B34)&gt;1,"重复","")</x:f>
      </x:c>
      <x:c r="V34" t="str">
        <x:f>IF(AND(OR(M34="",M34=B34),OR(N34="",N34=B34),OR(O34="",O34=B34)),"通过","不一致")</x:f>
        <x:v>通过</x:v>
      </x:c>
    </x:row>
    <x:row r="35" ht="22" customHeight="1">
      <x:c r="A35" s="289" t="n">
        <x:v>34</x:v>
      </x:c>
      <x:c r="B35" s="289" t="n">
        <x:v>5900</x:v>
      </x:c>
      <x:c r="C35" s="290" t="str">
        <x:v>黄金圣律·圣徽</x:v>
      </x:c>
      <x:c r="D35" s="290" t="str">
        <x:v>黄金圣律</x:v>
      </x:c>
      <x:c r="E35" s="290" t="n">
        <x:v>4</x:v>
      </x:c>
      <x:c r="F35" s="290" t="str">
        <x:v>灵玉</x:v>
      </x:c>
      <x:c r="G35" s="289"/>
      <x:c r="H35" s="289"/>
      <x:c r="I35" s="289" t="n">
        <x:v>5900</x:v>
      </x:c>
      <x:c r="J35" s="289"/>
      <x:c r="K35" s="289"/>
      <x:c r="L35" s="289"/>
      <x:c r="M35" s="289" t="n">
        <x:v>5900</x:v>
      </x:c>
      <x:c r="N35" s="289" t="n">
        <x:v>5900</x:v>
      </x:c>
      <x:c r="O35" s="289" t="n">
        <x:v>5900</x:v>
      </x:c>
      <x:c r="P35" s="292"/>
      <x:c r="Q35" s="292" t="str">
        <x:v>原九部位资源库已登记</x:v>
      </x:c>
      <x:c r="R35" s="292" t="str"/>
      <x:c r="S35" s="292" t="str">
        <x:v>装备素材套装代码表.xlsx（原九部位）</x:v>
      </x:c>
      <x:c r="T35" s="292" t="str">
        <x:v>同一代码用于 Items / StateItem / DnItems；属性与掉落另表定义。</x:v>
      </x:c>
      <x:c r="U35" t="str">
        <x:f>IF(COUNTIF($B$2:$B$1076,B35)&gt;1,"重复","")</x:f>
      </x:c>
      <x:c r="V35" t="str">
        <x:f>IF(AND(OR(M35="",M35=B35),OR(N35="",N35=B35),OR(O35="",O35=B35)),"通过","不一致")</x:f>
        <x:v>通过</x:v>
      </x:c>
    </x:row>
    <x:row r="36" ht="22" customHeight="1">
      <x:c r="A36" s="289" t="n">
        <x:v>35</x:v>
      </x:c>
      <x:c r="B36" s="289" t="n">
        <x:v>5901</x:v>
      </x:c>
      <x:c r="C36" s="290" t="str">
        <x:v>黄金圣律·圣徽</x:v>
      </x:c>
      <x:c r="D36" s="290" t="str">
        <x:v>黄金圣律</x:v>
      </x:c>
      <x:c r="E36" s="290" t="n">
        <x:v>4</x:v>
      </x:c>
      <x:c r="F36" s="290" t="str">
        <x:v>鞋子</x:v>
      </x:c>
      <x:c r="G36" s="289"/>
      <x:c r="H36" s="289"/>
      <x:c r="I36" s="289" t="n">
        <x:v>5901</x:v>
      </x:c>
      <x:c r="J36" s="289"/>
      <x:c r="K36" s="289"/>
      <x:c r="L36" s="289"/>
      <x:c r="M36" s="289" t="n">
        <x:v>5901</x:v>
      </x:c>
      <x:c r="N36" s="289" t="n">
        <x:v>5901</x:v>
      </x:c>
      <x:c r="O36" s="289" t="n">
        <x:v>5901</x:v>
      </x:c>
      <x:c r="P36" s="292"/>
      <x:c r="Q36" s="292" t="str">
        <x:v>原九部位资源库已登记</x:v>
      </x:c>
      <x:c r="R36" s="324" t="str">
        <x:v>C3-C10规划锁定：冰骨战靴</x:v>
      </x:c>
      <x:c r="S36" s="292" t="str">
        <x:v>装备素材套装代码表.xlsx（原九部位）</x:v>
      </x:c>
      <x:c r="T36" s="292" t="str">
        <x:v>同一代码用于 Items / StateItem / DnItems；属性与掉落另表定义。</x:v>
      </x:c>
      <x:c r="U36" t="str">
        <x:f>IF(COUNTIF($B$2:$B$1076,B36)&gt;1,"重复","")</x:f>
      </x:c>
      <x:c r="V36" t="str">
        <x:f>IF(AND(OR(M36="",M36=B36),OR(N36="",N36=B36),OR(O36="",O36=B36)),"通过","不一致")</x:f>
        <x:v>通过</x:v>
      </x:c>
    </x:row>
    <x:row r="37" ht="22" customHeight="1">
      <x:c r="A37" s="289" t="n">
        <x:v>36</x:v>
      </x:c>
      <x:c r="B37" s="289" t="n">
        <x:v>5902</x:v>
      </x:c>
      <x:c r="C37" s="290" t="str">
        <x:v>黄金圣律·圣徽</x:v>
      </x:c>
      <x:c r="D37" s="290" t="str">
        <x:v>黄金圣律</x:v>
      </x:c>
      <x:c r="E37" s="290" t="n">
        <x:v>4</x:v>
      </x:c>
      <x:c r="F37" s="290" t="str">
        <x:v>腰带</x:v>
      </x:c>
      <x:c r="G37" s="289"/>
      <x:c r="H37" s="289"/>
      <x:c r="I37" s="289" t="n">
        <x:v>5902</x:v>
      </x:c>
      <x:c r="J37" s="289"/>
      <x:c r="K37" s="289"/>
      <x:c r="L37" s="289"/>
      <x:c r="M37" s="289" t="n">
        <x:v>5902</x:v>
      </x:c>
      <x:c r="N37" s="289" t="n">
        <x:v>5902</x:v>
      </x:c>
      <x:c r="O37" s="289" t="n">
        <x:v>5902</x:v>
      </x:c>
      <x:c r="P37" s="292"/>
      <x:c r="Q37" s="292" t="str">
        <x:v>原九部位资源库已登记</x:v>
      </x:c>
      <x:c r="R37" s="324" t="str">
        <x:v>C3-C10规划锁定：驮碑束腰</x:v>
      </x:c>
      <x:c r="S37" s="292" t="str">
        <x:v>装备素材套装代码表.xlsx（原九部位）</x:v>
      </x:c>
      <x:c r="T37" s="292" t="str">
        <x:v>同一代码用于 Items / StateItem / DnItems；属性与掉落另表定义。</x:v>
      </x:c>
      <x:c r="U37" t="str">
        <x:f>IF(COUNTIF($B$2:$B$1076,B37)&gt;1,"重复","")</x:f>
      </x:c>
      <x:c r="V37" t="str">
        <x:f>IF(AND(OR(M37="",M37=B37),OR(N37="",N37=B37),OR(O37="",O37=B37)),"通过","不一致")</x:f>
        <x:v>通过</x:v>
      </x:c>
    </x:row>
    <x:row r="38" ht="22" customHeight="1">
      <x:c r="A38" s="289" t="n">
        <x:v>37</x:v>
      </x:c>
      <x:c r="B38" s="289" t="n">
        <x:v>5903</x:v>
      </x:c>
      <x:c r="C38" s="290" t="str">
        <x:v>黄金圣律·璨金</x:v>
      </x:c>
      <x:c r="D38" s="290" t="str">
        <x:v>黄金圣律</x:v>
      </x:c>
      <x:c r="E38" s="290" t="n">
        <x:v>5</x:v>
      </x:c>
      <x:c r="F38" s="290" t="str">
        <x:v>勋章</x:v>
      </x:c>
      <x:c r="G38" s="289"/>
      <x:c r="H38" s="289"/>
      <x:c r="I38" s="289" t="n">
        <x:v>5903</x:v>
      </x:c>
      <x:c r="J38" s="289"/>
      <x:c r="K38" s="289"/>
      <x:c r="L38" s="289"/>
      <x:c r="M38" s="289" t="n">
        <x:v>5903</x:v>
      </x:c>
      <x:c r="N38" s="289" t="n">
        <x:v>5903</x:v>
      </x:c>
      <x:c r="O38" s="289" t="n">
        <x:v>5903</x:v>
      </x:c>
      <x:c r="P38" s="292"/>
      <x:c r="Q38" s="292" t="str">
        <x:v>原九部位资源库已登记</x:v>
      </x:c>
      <x:c r="R38" s="324" t="str">
        <x:v>C3-C10规划锁定：秤罪墓律章</x:v>
      </x:c>
      <x:c r="S38" s="292" t="str">
        <x:v>装备素材套装代码表.xlsx（原九部位）</x:v>
      </x:c>
      <x:c r="T38" s="292" t="str">
        <x:v>同一代码用于 Items / StateItem / DnItems；属性与掉落另表定义。</x:v>
      </x:c>
      <x:c r="U38" t="str">
        <x:f>IF(COUNTIF($B$2:$B$1076,B38)&gt;1,"重复","")</x:f>
      </x:c>
      <x:c r="V38" t="str">
        <x:f>IF(AND(OR(M38="",M38=B38),OR(N38="",N38=B38),OR(O38="",O38=B38)),"通过","不一致")</x:f>
        <x:v>通过</x:v>
      </x:c>
    </x:row>
    <x:row r="39" ht="22" customHeight="1">
      <x:c r="A39" s="289" t="n">
        <x:v>38</x:v>
      </x:c>
      <x:c r="B39" s="289" t="n">
        <x:v>5904</x:v>
      </x:c>
      <x:c r="C39" s="290" t="str">
        <x:v>黄金圣律·璨金</x:v>
      </x:c>
      <x:c r="D39" s="290" t="str">
        <x:v>黄金圣律</x:v>
      </x:c>
      <x:c r="E39" s="290" t="n">
        <x:v>5</x:v>
      </x:c>
      <x:c r="F39" s="290" t="str">
        <x:v>项链</x:v>
      </x:c>
      <x:c r="G39" s="289"/>
      <x:c r="H39" s="289"/>
      <x:c r="I39" s="289" t="n">
        <x:v>5904</x:v>
      </x:c>
      <x:c r="J39" s="289"/>
      <x:c r="K39" s="289"/>
      <x:c r="L39" s="289"/>
      <x:c r="M39" s="289" t="n">
        <x:v>5904</x:v>
      </x:c>
      <x:c r="N39" s="289" t="n">
        <x:v>5904</x:v>
      </x:c>
      <x:c r="O39" s="289" t="n">
        <x:v>5904</x:v>
      </x:c>
      <x:c r="P39" s="292"/>
      <x:c r="Q39" s="292" t="str">
        <x:v>原九部位资源库已登记</x:v>
      </x:c>
      <x:c r="R39" s="322" t="str">
        <x:v>C1/C2现用：火药锁链</x:v>
      </x:c>
      <x:c r="S39" s="292" t="str">
        <x:v>装备素材套装代码表.xlsx（原九部位）</x:v>
      </x:c>
      <x:c r="T39" s="292" t="str">
        <x:v>同一代码用于 Items / StateItem / DnItems；属性与掉落另表定义。</x:v>
      </x:c>
      <x:c r="U39" t="str">
        <x:f>IF(COUNTIF($B$2:$B$1076,B39)&gt;1,"重复","")</x:f>
      </x:c>
      <x:c r="V39" t="str">
        <x:f>IF(AND(OR(M39="",M39=B39),OR(N39="",N39=B39),OR(O39="",O39=B39)),"通过","不一致")</x:f>
        <x:v>通过</x:v>
      </x:c>
    </x:row>
    <x:row r="40" ht="22" customHeight="1">
      <x:c r="A40" s="289" t="n">
        <x:v>39</x:v>
      </x:c>
      <x:c r="B40" s="289" t="n">
        <x:v>5905</x:v>
      </x:c>
      <x:c r="C40" s="290" t="str">
        <x:v>黄金圣律·璨金</x:v>
      </x:c>
      <x:c r="D40" s="290" t="str">
        <x:v>黄金圣律</x:v>
      </x:c>
      <x:c r="E40" s="290" t="n">
        <x:v>5</x:v>
      </x:c>
      <x:c r="F40" s="290" t="str">
        <x:v>头盔</x:v>
      </x:c>
      <x:c r="G40" s="289"/>
      <x:c r="H40" s="289"/>
      <x:c r="I40" s="289" t="n">
        <x:v>5905</x:v>
      </x:c>
      <x:c r="J40" s="289"/>
      <x:c r="K40" s="289"/>
      <x:c r="L40" s="289"/>
      <x:c r="M40" s="289" t="n">
        <x:v>5905</x:v>
      </x:c>
      <x:c r="N40" s="289" t="n">
        <x:v>5905</x:v>
      </x:c>
      <x:c r="O40" s="289" t="n">
        <x:v>5905</x:v>
      </x:c>
      <x:c r="P40" s="292"/>
      <x:c r="Q40" s="292" t="str">
        <x:v>原九部位资源库已登记</x:v>
      </x:c>
      <x:c r="R40" s="324" t="str">
        <x:v>C3-C10规划锁定：崎路狮盔</x:v>
      </x:c>
      <x:c r="S40" s="292" t="str">
        <x:v>装备素材套装代码表.xlsx（原九部位）</x:v>
      </x:c>
      <x:c r="T40" s="292" t="str">
        <x:v>同一代码用于 Items / StateItem / DnItems；属性与掉落另表定义。</x:v>
      </x:c>
      <x:c r="U40" t="str">
        <x:f>IF(COUNTIF($B$2:$B$1076,B40)&gt;1,"重复","")</x:f>
      </x:c>
      <x:c r="V40" t="str">
        <x:f>IF(AND(OR(M40="",M40=B40),OR(N40="",N40=B40),OR(O40="",O40=B40)),"通过","不一致")</x:f>
        <x:v>通过</x:v>
      </x:c>
    </x:row>
    <x:row r="41" ht="22" customHeight="1">
      <x:c r="A41" s="289" t="n">
        <x:v>40</x:v>
      </x:c>
      <x:c r="B41" s="289" t="n">
        <x:v>5906</x:v>
      </x:c>
      <x:c r="C41" s="290" t="str">
        <x:v>黄金圣律·璨金</x:v>
      </x:c>
      <x:c r="D41" s="290" t="str">
        <x:v>黄金圣律</x:v>
      </x:c>
      <x:c r="E41" s="290" t="n">
        <x:v>5</x:v>
      </x:c>
      <x:c r="F41" s="290" t="str">
        <x:v>手镯</x:v>
      </x:c>
      <x:c r="G41" s="289"/>
      <x:c r="H41" s="289"/>
      <x:c r="I41" s="289" t="n">
        <x:v>5906</x:v>
      </x:c>
      <x:c r="J41" s="289"/>
      <x:c r="K41" s="289"/>
      <x:c r="L41" s="289"/>
      <x:c r="M41" s="289" t="n">
        <x:v>5906</x:v>
      </x:c>
      <x:c r="N41" s="289" t="n">
        <x:v>5906</x:v>
      </x:c>
      <x:c r="O41" s="289" t="n">
        <x:v>5906</x:v>
      </x:c>
      <x:c r="P41" s="292"/>
      <x:c r="Q41" s="292" t="str">
        <x:v>原九部位资源库已登记</x:v>
      </x:c>
      <x:c r="R41" s="324" t="str">
        <x:v>C3-C10规划锁定：雪壳腕甲</x:v>
      </x:c>
      <x:c r="S41" s="292" t="str">
        <x:v>装备素材套装代码表.xlsx（原九部位）</x:v>
      </x:c>
      <x:c r="T41" s="292" t="str">
        <x:v>同一代码用于 Items / StateItem / DnItems；属性与掉落另表定义。</x:v>
      </x:c>
      <x:c r="U41" t="str">
        <x:f>IF(COUNTIF($B$2:$B$1076,B41)&gt;1,"重复","")</x:f>
      </x:c>
      <x:c r="V41" t="str">
        <x:f>IF(AND(OR(M41="",M41=B41),OR(N41="",N41=B41),OR(O41="",O41=B41)),"通过","不一致")</x:f>
        <x:v>通过</x:v>
      </x:c>
    </x:row>
    <x:row r="42" ht="22" customHeight="1">
      <x:c r="A42" s="289" t="n">
        <x:v>41</x:v>
      </x:c>
      <x:c r="B42" s="289" t="n">
        <x:v>5907</x:v>
      </x:c>
      <x:c r="C42" s="290" t="str">
        <x:v>黄金圣律·璨金</x:v>
      </x:c>
      <x:c r="D42" s="290" t="str">
        <x:v>黄金圣律</x:v>
      </x:c>
      <x:c r="E42" s="290" t="n">
        <x:v>5</x:v>
      </x:c>
      <x:c r="F42" s="290" t="str">
        <x:v>戒指</x:v>
      </x:c>
      <x:c r="G42" s="289"/>
      <x:c r="H42" s="289"/>
      <x:c r="I42" s="289" t="n">
        <x:v>5907</x:v>
      </x:c>
      <x:c r="J42" s="289"/>
      <x:c r="K42" s="289"/>
      <x:c r="L42" s="289"/>
      <x:c r="M42" s="289" t="n">
        <x:v>5907</x:v>
      </x:c>
      <x:c r="N42" s="289" t="n">
        <x:v>5907</x:v>
      </x:c>
      <x:c r="O42" s="289" t="n">
        <x:v>5907</x:v>
      </x:c>
      <x:c r="P42" s="292"/>
      <x:c r="Q42" s="292" t="str">
        <x:v>原九部位资源库已登记</x:v>
      </x:c>
      <x:c r="R42" s="324" t="str">
        <x:v>C3-C10规划锁定：火弩指环</x:v>
      </x:c>
      <x:c r="S42" s="292" t="str">
        <x:v>装备素材套装代码表.xlsx（原九部位）</x:v>
      </x:c>
      <x:c r="T42" s="292" t="str">
        <x:v>同一代码用于 Items / StateItem / DnItems；属性与掉落另表定义。</x:v>
      </x:c>
      <x:c r="U42" t="str">
        <x:f>IF(COUNTIF($B$2:$B$1076,B42)&gt;1,"重复","")</x:f>
      </x:c>
      <x:c r="V42" t="str">
        <x:f>IF(AND(OR(M42="",M42=B42),OR(N42="",N42=B42),OR(O42="",O42=B42)),"通过","不一致")</x:f>
        <x:v>通过</x:v>
      </x:c>
    </x:row>
    <x:row r="43" ht="22" customHeight="1">
      <x:c r="A43" s="289" t="n">
        <x:v>42</x:v>
      </x:c>
      <x:c r="B43" s="289" t="n">
        <x:v>5908</x:v>
      </x:c>
      <x:c r="C43" s="290" t="str">
        <x:v>黄金圣律·璨金</x:v>
      </x:c>
      <x:c r="D43" s="290" t="str">
        <x:v>黄金圣律</x:v>
      </x:c>
      <x:c r="E43" s="290" t="n">
        <x:v>5</x:v>
      </x:c>
      <x:c r="F43" s="290" t="str">
        <x:v>盾牌</x:v>
      </x:c>
      <x:c r="G43" s="289"/>
      <x:c r="H43" s="289"/>
      <x:c r="I43" s="289" t="n">
        <x:v>5908</x:v>
      </x:c>
      <x:c r="J43" s="289"/>
      <x:c r="K43" s="289"/>
      <x:c r="L43" s="289"/>
      <x:c r="M43" s="289" t="n">
        <x:v>5908</x:v>
      </x:c>
      <x:c r="N43" s="289" t="n">
        <x:v>5908</x:v>
      </x:c>
      <x:c r="O43" s="289" t="n">
        <x:v>5908</x:v>
      </x:c>
      <x:c r="P43" s="292"/>
      <x:c r="Q43" s="292" t="str">
        <x:v>原九部位资源库已登记</x:v>
      </x:c>
      <x:c r="R43" s="324" t="str">
        <x:v>C3-C10规划锁定：冻骨圆盾</x:v>
      </x:c>
      <x:c r="S43" s="292" t="str">
        <x:v>装备素材套装代码表.xlsx（原九部位）</x:v>
      </x:c>
      <x:c r="T43" s="292" t="str">
        <x:v>同一代码用于 Items / StateItem / DnItems；属性与掉落另表定义。</x:v>
      </x:c>
      <x:c r="U43" t="str">
        <x:f>IF(COUNTIF($B$2:$B$1076,B43)&gt;1,"重复","")</x:f>
      </x:c>
      <x:c r="V43" t="str">
        <x:f>IF(AND(OR(M43="",M43=B43),OR(N43="",N43=B43),OR(O43="",O43=B43)),"通过","不一致")</x:f>
        <x:v>通过</x:v>
      </x:c>
    </x:row>
    <x:row r="44" ht="22" customHeight="1">
      <x:c r="A44" s="289" t="n">
        <x:v>43</x:v>
      </x:c>
      <x:c r="B44" s="289" t="n">
        <x:v>5909</x:v>
      </x:c>
      <x:c r="C44" s="290" t="str">
        <x:v>黄金圣律·璨金</x:v>
      </x:c>
      <x:c r="D44" s="290" t="str">
        <x:v>黄金圣律</x:v>
      </x:c>
      <x:c r="E44" s="290" t="n">
        <x:v>5</x:v>
      </x:c>
      <x:c r="F44" s="290" t="str">
        <x:v>灵玉</x:v>
      </x:c>
      <x:c r="G44" s="289"/>
      <x:c r="H44" s="289"/>
      <x:c r="I44" s="289" t="n">
        <x:v>5909</x:v>
      </x:c>
      <x:c r="J44" s="289"/>
      <x:c r="K44" s="289"/>
      <x:c r="L44" s="289"/>
      <x:c r="M44" s="289" t="n">
        <x:v>5909</x:v>
      </x:c>
      <x:c r="N44" s="289" t="n">
        <x:v>5909</x:v>
      </x:c>
      <x:c r="O44" s="289" t="n">
        <x:v>5909</x:v>
      </x:c>
      <x:c r="P44" s="292"/>
      <x:c r="Q44" s="292" t="str">
        <x:v>原九部位资源库已登记</x:v>
      </x:c>
      <x:c r="R44" s="322" t="str">
        <x:v>C1/C2现用：玛莲妮亚的大卢恩</x:v>
      </x:c>
      <x:c r="S44" s="292" t="str">
        <x:v>装备素材套装代码表.xlsx（原九部位）</x:v>
      </x:c>
      <x:c r="T44" s="292" t="str">
        <x:v>同一代码用于 Items / StateItem / DnItems；属性与掉落另表定义。</x:v>
      </x:c>
      <x:c r="U44" t="str">
        <x:f>IF(COUNTIF($B$2:$B$1076,B44)&gt;1,"重复","")</x:f>
      </x:c>
      <x:c r="V44" t="str">
        <x:f>IF(AND(OR(M44="",M44=B44),OR(N44="",N44=B44),OR(O44="",O44=B44)),"通过","不一致")</x:f>
        <x:v>通过</x:v>
      </x:c>
    </x:row>
    <x:row r="45" ht="22" customHeight="1">
      <x:c r="A45" s="289" t="n">
        <x:v>44</x:v>
      </x:c>
      <x:c r="B45" s="289" t="n">
        <x:v>5910</x:v>
      </x:c>
      <x:c r="C45" s="290" t="str">
        <x:v>黄金圣律·璨金</x:v>
      </x:c>
      <x:c r="D45" s="290" t="str">
        <x:v>黄金圣律</x:v>
      </x:c>
      <x:c r="E45" s="290" t="n">
        <x:v>5</x:v>
      </x:c>
      <x:c r="F45" s="290" t="str">
        <x:v>鞋子</x:v>
      </x:c>
      <x:c r="G45" s="289"/>
      <x:c r="H45" s="289"/>
      <x:c r="I45" s="289" t="n">
        <x:v>5910</x:v>
      </x:c>
      <x:c r="J45" s="289"/>
      <x:c r="K45" s="289"/>
      <x:c r="L45" s="289"/>
      <x:c r="M45" s="289" t="n">
        <x:v>5910</x:v>
      </x:c>
      <x:c r="N45" s="289" t="n">
        <x:v>5910</x:v>
      </x:c>
      <x:c r="O45" s="289" t="n">
        <x:v>5910</x:v>
      </x:c>
      <x:c r="P45" s="292"/>
      <x:c r="Q45" s="292" t="str">
        <x:v>原九部位资源库已登记</x:v>
      </x:c>
      <x:c r="R45" s="324" t="str">
        <x:v>C3-C10规划锁定：霜蹄踏雪靴</x:v>
      </x:c>
      <x:c r="S45" s="292" t="str">
        <x:v>装备素材套装代码表.xlsx（原九部位）</x:v>
      </x:c>
      <x:c r="T45" s="292" t="str">
        <x:v>同一代码用于 Items / StateItem / DnItems；属性与掉落另表定义。</x:v>
      </x:c>
      <x:c r="U45" t="str">
        <x:f>IF(COUNTIF($B$2:$B$1076,B45)&gt;1,"重复","")</x:f>
      </x:c>
      <x:c r="V45" t="str">
        <x:f>IF(AND(OR(M45="",M45=B45),OR(N45="",N45=B45),OR(O45="",O45=B45)),"通过","不一致")</x:f>
        <x:v>通过</x:v>
      </x:c>
    </x:row>
    <x:row r="46" ht="22" customHeight="1">
      <x:c r="A46" s="289" t="n">
        <x:v>45</x:v>
      </x:c>
      <x:c r="B46" s="289" t="n">
        <x:v>5911</x:v>
      </x:c>
      <x:c r="C46" s="290" t="str">
        <x:v>黄金圣律·璨金</x:v>
      </x:c>
      <x:c r="D46" s="290" t="str">
        <x:v>黄金圣律</x:v>
      </x:c>
      <x:c r="E46" s="290" t="n">
        <x:v>5</x:v>
      </x:c>
      <x:c r="F46" s="290" t="str">
        <x:v>腰带</x:v>
      </x:c>
      <x:c r="G46" s="289"/>
      <x:c r="H46" s="289"/>
      <x:c r="I46" s="289" t="n">
        <x:v>5911</x:v>
      </x:c>
      <x:c r="J46" s="289"/>
      <x:c r="K46" s="289"/>
      <x:c r="L46" s="289"/>
      <x:c r="M46" s="289" t="n">
        <x:v>5911</x:v>
      </x:c>
      <x:c r="N46" s="289" t="n">
        <x:v>5911</x:v>
      </x:c>
      <x:c r="O46" s="289" t="n">
        <x:v>5911</x:v>
      </x:c>
      <x:c r="P46" s="292"/>
      <x:c r="Q46" s="292" t="str">
        <x:v>原九部位资源库已登记</x:v>
      </x:c>
      <x:c r="R46" s="324" t="str">
        <x:v>C3-C10规划锁定：负霜钉腰带</x:v>
      </x:c>
      <x:c r="S46" s="292" t="str">
        <x:v>装备素材套装代码表.xlsx（原九部位）</x:v>
      </x:c>
      <x:c r="T46" s="292" t="str">
        <x:v>同一代码用于 Items / StateItem / DnItems；属性与掉落另表定义。</x:v>
      </x:c>
      <x:c r="U46" t="str">
        <x:f>IF(COUNTIF($B$2:$B$1076,B46)&gt;1,"重复","")</x:f>
      </x:c>
      <x:c r="V46" t="str">
        <x:f>IF(AND(OR(M46="",M46=B46),OR(N46="",N46=B46),OR(O46="",O46=B46)),"通过","不一致")</x:f>
        <x:v>通过</x:v>
      </x:c>
    </x:row>
    <x:row r="47" ht="22" customHeight="1">
      <x:c r="A47" s="289" t="n">
        <x:v>46</x:v>
      </x:c>
      <x:c r="B47" s="289" t="n">
        <x:v>5912</x:v>
      </x:c>
      <x:c r="C47" s="290" t="str">
        <x:v>黄金圣律·蓝辉</x:v>
      </x:c>
      <x:c r="D47" s="290" t="str">
        <x:v>黄金圣律</x:v>
      </x:c>
      <x:c r="E47" s="290" t="n">
        <x:v>6</x:v>
      </x:c>
      <x:c r="F47" s="290" t="str">
        <x:v>勋章</x:v>
      </x:c>
      <x:c r="G47" s="289"/>
      <x:c r="H47" s="289"/>
      <x:c r="I47" s="289" t="n">
        <x:v>5912</x:v>
      </x:c>
      <x:c r="J47" s="289"/>
      <x:c r="K47" s="289"/>
      <x:c r="L47" s="289"/>
      <x:c r="M47" s="289" t="n">
        <x:v>5912</x:v>
      </x:c>
      <x:c r="N47" s="289" t="n">
        <x:v>5912</x:v>
      </x:c>
      <x:c r="O47" s="289" t="n">
        <x:v>5912</x:v>
      </x:c>
      <x:c r="P47" s="292"/>
      <x:c r="Q47" s="292" t="str">
        <x:v>原九部位资源库已登记</x:v>
      </x:c>
      <x:c r="R47" s="324" t="str">
        <x:v>C3-C10规划锁定：无声执冠勋章</x:v>
      </x:c>
      <x:c r="S47" s="292" t="str">
        <x:v>装备素材套装代码表.xlsx（原九部位）</x:v>
      </x:c>
      <x:c r="T47" s="292" t="str">
        <x:v>同一代码用于 Items / StateItem / DnItems；属性与掉落另表定义。</x:v>
      </x:c>
      <x:c r="U47" t="str">
        <x:f>IF(COUNTIF($B$2:$B$1076,B47)&gt;1,"重复","")</x:f>
      </x:c>
      <x:c r="V47" t="str">
        <x:f>IF(AND(OR(M47="",M47=B47),OR(N47="",N47=B47),OR(O47="",O47=B47)),"通过","不一致")</x:f>
        <x:v>通过</x:v>
      </x:c>
    </x:row>
    <x:row r="48" ht="22" customHeight="1">
      <x:c r="A48" s="289" t="n">
        <x:v>47</x:v>
      </x:c>
      <x:c r="B48" s="289" t="n">
        <x:v>5913</x:v>
      </x:c>
      <x:c r="C48" s="290" t="str">
        <x:v>黄金圣律·蓝辉</x:v>
      </x:c>
      <x:c r="D48" s="290" t="str">
        <x:v>黄金圣律</x:v>
      </x:c>
      <x:c r="E48" s="290" t="n">
        <x:v>6</x:v>
      </x:c>
      <x:c r="F48" s="290" t="str">
        <x:v>项链</x:v>
      </x:c>
      <x:c r="G48" s="289"/>
      <x:c r="H48" s="289"/>
      <x:c r="I48" s="289" t="n">
        <x:v>5913</x:v>
      </x:c>
      <x:c r="J48" s="289"/>
      <x:c r="K48" s="289"/>
      <x:c r="L48" s="289"/>
      <x:c r="M48" s="289" t="n">
        <x:v>5913</x:v>
      </x:c>
      <x:c r="N48" s="289" t="n">
        <x:v>5913</x:v>
      </x:c>
      <x:c r="O48" s="289" t="n">
        <x:v>5913</x:v>
      </x:c>
      <x:c r="P48" s="292"/>
      <x:c r="Q48" s="292" t="str">
        <x:v>原九部位资源库已登记</x:v>
      </x:c>
      <x:c r="R48" s="324" t="str">
        <x:v>C3-C10规划锁定：腐狱铁链</x:v>
      </x:c>
      <x:c r="S48" s="292" t="str">
        <x:v>装备素材套装代码表.xlsx（原九部位）</x:v>
      </x:c>
      <x:c r="T48" s="292" t="str">
        <x:v>同一代码用于 Items / StateItem / DnItems；属性与掉落另表定义。</x:v>
      </x:c>
      <x:c r="U48" t="str">
        <x:f>IF(COUNTIF($B$2:$B$1076,B48)&gt;1,"重复","")</x:f>
      </x:c>
      <x:c r="V48" t="str">
        <x:f>IF(AND(OR(M48="",M48=B48),OR(N48="",N48=B48),OR(O48="",O48=B48)),"通过","不一致")</x:f>
        <x:v>通过</x:v>
      </x:c>
    </x:row>
    <x:row r="49" ht="22" customHeight="1">
      <x:c r="A49" s="289" t="n">
        <x:v>48</x:v>
      </x:c>
      <x:c r="B49" s="289" t="n">
        <x:v>5914</x:v>
      </x:c>
      <x:c r="C49" s="290" t="str">
        <x:v>黄金圣律·蓝辉</x:v>
      </x:c>
      <x:c r="D49" s="290" t="str">
        <x:v>黄金圣律</x:v>
      </x:c>
      <x:c r="E49" s="290" t="n">
        <x:v>6</x:v>
      </x:c>
      <x:c r="F49" s="290" t="str">
        <x:v>头盔</x:v>
      </x:c>
      <x:c r="G49" s="289"/>
      <x:c r="H49" s="289"/>
      <x:c r="I49" s="289" t="n">
        <x:v>5914</x:v>
      </x:c>
      <x:c r="J49" s="289"/>
      <x:c r="K49" s="289"/>
      <x:c r="L49" s="289"/>
      <x:c r="M49" s="289" t="n">
        <x:v>5914</x:v>
      </x:c>
      <x:c r="N49" s="289" t="n">
        <x:v>5914</x:v>
      </x:c>
      <x:c r="O49" s="289" t="n">
        <x:v>5914</x:v>
      </x:c>
      <x:c r="P49" s="292"/>
      <x:c r="Q49" s="292" t="str">
        <x:v>原九部位资源库已登记</x:v>
      </x:c>
      <x:c r="R49" s="324" t="str">
        <x:v>C3-C10规划锁定：白烛礼冠</x:v>
      </x:c>
      <x:c r="S49" s="292" t="str">
        <x:v>装备素材套装代码表.xlsx（原九部位）</x:v>
      </x:c>
      <x:c r="T49" s="292" t="str">
        <x:v>同一代码用于 Items / StateItem / DnItems；属性与掉落另表定义。</x:v>
      </x:c>
      <x:c r="U49" t="str">
        <x:f>IF(COUNTIF($B$2:$B$1076,B49)&gt;1,"重复","")</x:f>
      </x:c>
      <x:c r="V49" t="str">
        <x:f>IF(AND(OR(M49="",M49=B49),OR(N49="",N49=B49),OR(O49="",O49=B49)),"通过","不一致")</x:f>
        <x:v>通过</x:v>
      </x:c>
    </x:row>
    <x:row r="50" ht="22" customHeight="1">
      <x:c r="A50" s="289" t="n">
        <x:v>49</x:v>
      </x:c>
      <x:c r="B50" s="289" t="n">
        <x:v>5915</x:v>
      </x:c>
      <x:c r="C50" s="290" t="str">
        <x:v>黄金圣律·蓝辉</x:v>
      </x:c>
      <x:c r="D50" s="290" t="str">
        <x:v>黄金圣律</x:v>
      </x:c>
      <x:c r="E50" s="290" t="n">
        <x:v>6</x:v>
      </x:c>
      <x:c r="F50" s="290" t="str">
        <x:v>手镯</x:v>
      </x:c>
      <x:c r="G50" s="289"/>
      <x:c r="H50" s="289"/>
      <x:c r="I50" s="289" t="n">
        <x:v>5915</x:v>
      </x:c>
      <x:c r="J50" s="289"/>
      <x:c r="K50" s="289"/>
      <x:c r="L50" s="289"/>
      <x:c r="M50" s="289" t="n">
        <x:v>5915</x:v>
      </x:c>
      <x:c r="N50" s="289" t="n">
        <x:v>5915</x:v>
      </x:c>
      <x:c r="O50" s="289" t="n">
        <x:v>5915</x:v>
      </x:c>
      <x:c r="P50" s="292"/>
      <x:c r="Q50" s="292" t="str">
        <x:v>原九部位资源库已登记</x:v>
      </x:c>
      <x:c r="R50" s="324" t="str">
        <x:v>C3-C10规划锁定：寒狱铁镯</x:v>
      </x:c>
      <x:c r="S50" s="292" t="str">
        <x:v>装备素材套装代码表.xlsx（原九部位）</x:v>
      </x:c>
      <x:c r="T50" s="292" t="str">
        <x:v>同一代码用于 Items / StateItem / DnItems；属性与掉落另表定义。</x:v>
      </x:c>
      <x:c r="U50" t="str">
        <x:f>IF(COUNTIF($B$2:$B$1076,B50)&gt;1,"重复","")</x:f>
      </x:c>
      <x:c r="V50" t="str">
        <x:f>IF(AND(OR(M50="",M50=B50),OR(N50="",N50=B50),OR(O50="",O50=B50)),"通过","不一致")</x:f>
        <x:v>通过</x:v>
      </x:c>
    </x:row>
    <x:row r="51" ht="22" customHeight="1">
      <x:c r="A51" s="289" t="n">
        <x:v>50</x:v>
      </x:c>
      <x:c r="B51" s="289" t="n">
        <x:v>5916</x:v>
      </x:c>
      <x:c r="C51" s="290" t="str">
        <x:v>黄金圣律·蓝辉</x:v>
      </x:c>
      <x:c r="D51" s="290" t="str">
        <x:v>黄金圣律</x:v>
      </x:c>
      <x:c r="E51" s="290" t="n">
        <x:v>6</x:v>
      </x:c>
      <x:c r="F51" s="290" t="str">
        <x:v>戒指</x:v>
      </x:c>
      <x:c r="G51" s="289"/>
      <x:c r="H51" s="289"/>
      <x:c r="I51" s="289" t="n">
        <x:v>5916</x:v>
      </x:c>
      <x:c r="J51" s="289"/>
      <x:c r="K51" s="289"/>
      <x:c r="L51" s="289"/>
      <x:c r="M51" s="289" t="n">
        <x:v>5916</x:v>
      </x:c>
      <x:c r="N51" s="289" t="n">
        <x:v>5916</x:v>
      </x:c>
      <x:c r="O51" s="289" t="n">
        <x:v>5916</x:v>
      </x:c>
      <x:c r="P51" s="292"/>
      <x:c r="Q51" s="292" t="str">
        <x:v>原九部位资源库已登记</x:v>
      </x:c>
      <x:c r="R51" s="324" t="str">
        <x:v>C3-C10规划锁定：苍鬃牙戒</x:v>
      </x:c>
      <x:c r="S51" s="292" t="str">
        <x:v>装备素材套装代码表.xlsx（原九部位）</x:v>
      </x:c>
      <x:c r="T51" s="292" t="str">
        <x:v>同一代码用于 Items / StateItem / DnItems；属性与掉落另表定义。</x:v>
      </x:c>
      <x:c r="U51" t="str">
        <x:f>IF(COUNTIF($B$2:$B$1076,B51)&gt;1,"重复","")</x:f>
      </x:c>
      <x:c r="V51" t="str">
        <x:f>IF(AND(OR(M51="",M51=B51),OR(N51="",N51=B51),OR(O51="",O51=B51)),"通过","不一致")</x:f>
        <x:v>通过</x:v>
      </x:c>
    </x:row>
    <x:row r="52" ht="22" customHeight="1">
      <x:c r="A52" s="289" t="n">
        <x:v>51</x:v>
      </x:c>
      <x:c r="B52" s="289" t="n">
        <x:v>5917</x:v>
      </x:c>
      <x:c r="C52" s="290" t="str">
        <x:v>黄金圣律·蓝辉</x:v>
      </x:c>
      <x:c r="D52" s="290" t="str">
        <x:v>黄金圣律</x:v>
      </x:c>
      <x:c r="E52" s="290" t="n">
        <x:v>6</x:v>
      </x:c>
      <x:c r="F52" s="290" t="str">
        <x:v>盾牌</x:v>
      </x:c>
      <x:c r="G52" s="289"/>
      <x:c r="H52" s="289"/>
      <x:c r="I52" s="289" t="n">
        <x:v>5917</x:v>
      </x:c>
      <x:c r="J52" s="289"/>
      <x:c r="K52" s="289"/>
      <x:c r="L52" s="289"/>
      <x:c r="M52" s="289" t="n">
        <x:v>5917</x:v>
      </x:c>
      <x:c r="N52" s="289" t="n">
        <x:v>5917</x:v>
      </x:c>
      <x:c r="O52" s="289" t="n">
        <x:v>5917</x:v>
      </x:c>
      <x:c r="P52" s="292"/>
      <x:c r="Q52" s="292" t="str">
        <x:v>原九部位资源库已登记</x:v>
      </x:c>
      <x:c r="R52" s="322" t="str">
        <x:v>C1/C2现用：腐根塔盾</x:v>
      </x:c>
      <x:c r="S52" s="292" t="str">
        <x:v>装备素材套装代码表.xlsx（原九部位）</x:v>
      </x:c>
      <x:c r="T52" s="292" t="str">
        <x:v>同一代码用于 Items / StateItem / DnItems；属性与掉落另表定义。</x:v>
      </x:c>
      <x:c r="U52" t="str">
        <x:f>IF(COUNTIF($B$2:$B$1076,B52)&gt;1,"重复","")</x:f>
      </x:c>
      <x:c r="V52" t="str">
        <x:f>IF(AND(OR(M52="",M52=B52),OR(N52="",N52=B52),OR(O52="",O52=B52)),"通过","不一致")</x:f>
        <x:v>通过</x:v>
      </x:c>
    </x:row>
    <x:row r="53" ht="22" customHeight="1">
      <x:c r="A53" s="289" t="n">
        <x:v>52</x:v>
      </x:c>
      <x:c r="B53" s="289" t="n">
        <x:v>5918</x:v>
      </x:c>
      <x:c r="C53" s="290" t="str">
        <x:v>黄金圣律·蓝辉</x:v>
      </x:c>
      <x:c r="D53" s="290" t="str">
        <x:v>黄金圣律</x:v>
      </x:c>
      <x:c r="E53" s="290" t="n">
        <x:v>6</x:v>
      </x:c>
      <x:c r="F53" s="290" t="str">
        <x:v>灵玉</x:v>
      </x:c>
      <x:c r="G53" s="289"/>
      <x:c r="H53" s="289"/>
      <x:c r="I53" s="289" t="n">
        <x:v>5918</x:v>
      </x:c>
      <x:c r="J53" s="289"/>
      <x:c r="K53" s="289"/>
      <x:c r="L53" s="289"/>
      <x:c r="M53" s="289" t="n">
        <x:v>5918</x:v>
      </x:c>
      <x:c r="N53" s="289" t="n">
        <x:v>5918</x:v>
      </x:c>
      <x:c r="O53" s="289" t="n">
        <x:v>5918</x:v>
      </x:c>
      <x:c r="P53" s="292"/>
      <x:c r="Q53" s="292" t="str">
        <x:v>原九部位资源库已登记</x:v>
      </x:c>
      <x:c r="R53" s="292" t="str"/>
      <x:c r="S53" s="292" t="str">
        <x:v>装备素材套装代码表.xlsx（原九部位）</x:v>
      </x:c>
      <x:c r="T53" s="292" t="str">
        <x:v>同一代码用于 Items / StateItem / DnItems；属性与掉落另表定义。</x:v>
      </x:c>
      <x:c r="U53" t="str">
        <x:f>IF(COUNTIF($B$2:$B$1076,B53)&gt;1,"重复","")</x:f>
      </x:c>
      <x:c r="V53" t="str">
        <x:f>IF(AND(OR(M53="",M53=B53),OR(N53="",N53=B53),OR(O53="",O53=B53)),"通过","不一致")</x:f>
        <x:v>通过</x:v>
      </x:c>
    </x:row>
    <x:row r="54" ht="22" customHeight="1">
      <x:c r="A54" s="289" t="n">
        <x:v>53</x:v>
      </x:c>
      <x:c r="B54" s="289" t="n">
        <x:v>5919</x:v>
      </x:c>
      <x:c r="C54" s="290" t="str">
        <x:v>黄金圣律·蓝辉</x:v>
      </x:c>
      <x:c r="D54" s="290" t="str">
        <x:v>黄金圣律</x:v>
      </x:c>
      <x:c r="E54" s="290" t="n">
        <x:v>6</x:v>
      </x:c>
      <x:c r="F54" s="290" t="str">
        <x:v>鞋子</x:v>
      </x:c>
      <x:c r="G54" s="289"/>
      <x:c r="H54" s="289"/>
      <x:c r="I54" s="289" t="n">
        <x:v>5919</x:v>
      </x:c>
      <x:c r="J54" s="289"/>
      <x:c r="K54" s="289"/>
      <x:c r="L54" s="289"/>
      <x:c r="M54" s="289" t="n">
        <x:v>5919</x:v>
      </x:c>
      <x:c r="N54" s="289" t="n">
        <x:v>5919</x:v>
      </x:c>
      <x:c r="O54" s="289" t="n">
        <x:v>5919</x:v>
      </x:c>
      <x:c r="P54" s="292"/>
      <x:c r="Q54" s="292" t="str">
        <x:v>原九部位资源库已登记</x:v>
      </x:c>
      <x:c r="R54" s="324" t="str">
        <x:v>C3-C10规划锁定：岩獾碎石履</x:v>
      </x:c>
      <x:c r="S54" s="292" t="str">
        <x:v>装备素材套装代码表.xlsx（原九部位）</x:v>
      </x:c>
      <x:c r="T54" s="292" t="str">
        <x:v>同一代码用于 Items / StateItem / DnItems；属性与掉落另表定义。</x:v>
      </x:c>
      <x:c r="U54" t="str">
        <x:f>IF(COUNTIF($B$2:$B$1076,B54)&gt;1,"重复","")</x:f>
      </x:c>
      <x:c r="V54" t="str">
        <x:f>IF(AND(OR(M54="",M54=B54),OR(N54="",N54=B54),OR(O54="",O54=B54)),"通过","不一致")</x:f>
        <x:v>通过</x:v>
      </x:c>
    </x:row>
    <x:row r="55" ht="22" customHeight="1">
      <x:c r="A55" s="289" t="n">
        <x:v>54</x:v>
      </x:c>
      <x:c r="B55" s="289" t="n">
        <x:v>5920</x:v>
      </x:c>
      <x:c r="C55" s="290" t="str">
        <x:v>黄金圣律·蓝辉</x:v>
      </x:c>
      <x:c r="D55" s="290" t="str">
        <x:v>黄金圣律</x:v>
      </x:c>
      <x:c r="E55" s="290" t="n">
        <x:v>6</x:v>
      </x:c>
      <x:c r="F55" s="290" t="str">
        <x:v>腰带</x:v>
      </x:c>
      <x:c r="G55" s="289"/>
      <x:c r="H55" s="289"/>
      <x:c r="I55" s="289" t="n">
        <x:v>5920</x:v>
      </x:c>
      <x:c r="J55" s="289"/>
      <x:c r="K55" s="289"/>
      <x:c r="L55" s="289"/>
      <x:c r="M55" s="289" t="n">
        <x:v>5920</x:v>
      </x:c>
      <x:c r="N55" s="289" t="n">
        <x:v>5920</x:v>
      </x:c>
      <x:c r="O55" s="289" t="n">
        <x:v>5920</x:v>
      </x:c>
      <x:c r="P55" s="292"/>
      <x:c r="Q55" s="292" t="str">
        <x:v>原九部位资源库已登记</x:v>
      </x:c>
      <x:c r="R55" s="324" t="str">
        <x:v>C3-C10规划锁定：古律铭板带</x:v>
      </x:c>
      <x:c r="S55" s="292" t="str">
        <x:v>装备素材套装代码表.xlsx（原九部位）</x:v>
      </x:c>
      <x:c r="T55" s="292" t="str">
        <x:v>同一代码用于 Items / StateItem / DnItems；属性与掉落另表定义。</x:v>
      </x:c>
      <x:c r="U55" t="str">
        <x:f>IF(COUNTIF($B$2:$B$1076,B55)&gt;1,"重复","")</x:f>
      </x:c>
      <x:c r="V55" t="str">
        <x:f>IF(AND(OR(M55="",M55=B55),OR(N55="",N55=B55),OR(O55="",O55=B55)),"通过","不一致")</x:f>
        <x:v>通过</x:v>
      </x:c>
    </x:row>
    <x:row r="56" ht="22" customHeight="1">
      <x:c r="A56" s="289" t="n">
        <x:v>55</x:v>
      </x:c>
      <x:c r="B56" s="289" t="n">
        <x:v>5921</x:v>
      </x:c>
      <x:c r="C56" s="290" t="str">
        <x:v>黄金圣律·王权</x:v>
      </x:c>
      <x:c r="D56" s="290" t="str">
        <x:v>黄金圣律</x:v>
      </x:c>
      <x:c r="E56" s="290" t="n">
        <x:v>7</x:v>
      </x:c>
      <x:c r="F56" s="290" t="str">
        <x:v>勋章</x:v>
      </x:c>
      <x:c r="G56" s="289"/>
      <x:c r="H56" s="289"/>
      <x:c r="I56" s="289" t="n">
        <x:v>5921</x:v>
      </x:c>
      <x:c r="J56" s="289"/>
      <x:c r="K56" s="289"/>
      <x:c r="L56" s="289"/>
      <x:c r="M56" s="289" t="n">
        <x:v>5921</x:v>
      </x:c>
      <x:c r="N56" s="289" t="n">
        <x:v>5921</x:v>
      </x:c>
      <x:c r="O56" s="289" t="n">
        <x:v>5921</x:v>
      </x:c>
      <x:c r="P56" s="292"/>
      <x:c r="Q56" s="292" t="str">
        <x:v>原九部位资源库已登记</x:v>
      </x:c>
      <x:c r="R56" s="292" t="str"/>
      <x:c r="S56" s="292" t="str">
        <x:v>装备素材套装代码表.xlsx（原九部位）</x:v>
      </x:c>
      <x:c r="T56" s="292" t="str">
        <x:v>同一代码用于 Items / StateItem / DnItems；属性与掉落另表定义。</x:v>
      </x:c>
      <x:c r="U56" t="str">
        <x:f>IF(COUNTIF($B$2:$B$1076,B56)&gt;1,"重复","")</x:f>
      </x:c>
      <x:c r="V56" t="str">
        <x:f>IF(AND(OR(M56="",M56=B56),OR(N56="",N56=B56),OR(O56="",O56=B56)),"通过","不一致")</x:f>
        <x:v>通过</x:v>
      </x:c>
    </x:row>
    <x:row r="57" ht="22" customHeight="1">
      <x:c r="A57" s="289" t="n">
        <x:v>56</x:v>
      </x:c>
      <x:c r="B57" s="289" t="n">
        <x:v>5922</x:v>
      </x:c>
      <x:c r="C57" s="290" t="str">
        <x:v>黄金圣律·王权</x:v>
      </x:c>
      <x:c r="D57" s="290" t="str">
        <x:v>黄金圣律</x:v>
      </x:c>
      <x:c r="E57" s="290" t="n">
        <x:v>7</x:v>
      </x:c>
      <x:c r="F57" s="290" t="str">
        <x:v>项链</x:v>
      </x:c>
      <x:c r="G57" s="289"/>
      <x:c r="H57" s="289"/>
      <x:c r="I57" s="289" t="n">
        <x:v>5922</x:v>
      </x:c>
      <x:c r="J57" s="289"/>
      <x:c r="K57" s="289"/>
      <x:c r="L57" s="289"/>
      <x:c r="M57" s="289" t="n">
        <x:v>5922</x:v>
      </x:c>
      <x:c r="N57" s="289" t="n">
        <x:v>5922</x:v>
      </x:c>
      <x:c r="O57" s="289" t="n">
        <x:v>5922</x:v>
      </x:c>
      <x:c r="P57" s="292"/>
      <x:c r="Q57" s="292" t="str">
        <x:v>原九部位资源库已登记</x:v>
      </x:c>
      <x:c r="R57" s="324" t="str">
        <x:v>C3-C10规划锁定：驯火锁链</x:v>
      </x:c>
      <x:c r="S57" s="292" t="str">
        <x:v>装备素材套装代码表.xlsx（原九部位）</x:v>
      </x:c>
      <x:c r="T57" s="292" t="str">
        <x:v>同一代码用于 Items / StateItem / DnItems；属性与掉落另表定义。</x:v>
      </x:c>
      <x:c r="U57" t="str">
        <x:f>IF(COUNTIF($B$2:$B$1076,B57)&gt;1,"重复","")</x:f>
      </x:c>
      <x:c r="V57" t="str">
        <x:f>IF(AND(OR(M57="",M57=B57),OR(N57="",N57=B57),OR(O57="",O57=B57)),"通过","不一致")</x:f>
        <x:v>通过</x:v>
      </x:c>
    </x:row>
    <x:row r="58" ht="22" customHeight="1">
      <x:c r="A58" s="289" t="n">
        <x:v>57</x:v>
      </x:c>
      <x:c r="B58" s="289" t="n">
        <x:v>5923</x:v>
      </x:c>
      <x:c r="C58" s="290" t="str">
        <x:v>黄金圣律·王权</x:v>
      </x:c>
      <x:c r="D58" s="290" t="str">
        <x:v>黄金圣律</x:v>
      </x:c>
      <x:c r="E58" s="290" t="n">
        <x:v>7</x:v>
      </x:c>
      <x:c r="F58" s="290" t="str">
        <x:v>头盔</x:v>
      </x:c>
      <x:c r="G58" s="289"/>
      <x:c r="H58" s="289"/>
      <x:c r="I58" s="289" t="n">
        <x:v>5923</x:v>
      </x:c>
      <x:c r="J58" s="289"/>
      <x:c r="K58" s="289"/>
      <x:c r="L58" s="289"/>
      <x:c r="M58" s="289" t="n">
        <x:v>5923</x:v>
      </x:c>
      <x:c r="N58" s="289" t="n">
        <x:v>5923</x:v>
      </x:c>
      <x:c r="O58" s="289" t="n">
        <x:v>5923</x:v>
      </x:c>
      <x:c r="P58" s="292"/>
      <x:c r="Q58" s="292" t="str">
        <x:v>原九部位资源库已登记</x:v>
      </x:c>
      <x:c r="R58" s="324" t="str">
        <x:v>C3-C10规划锁定：艾尔维霜冠</x:v>
      </x:c>
      <x:c r="S58" s="292" t="str">
        <x:v>装备素材套装代码表.xlsx（原九部位）</x:v>
      </x:c>
      <x:c r="T58" s="292" t="str">
        <x:v>同一代码用于 Items / StateItem / DnItems；属性与掉落另表定义。</x:v>
      </x:c>
      <x:c r="U58" t="str">
        <x:f>IF(COUNTIF($B$2:$B$1076,B58)&gt;1,"重复","")</x:f>
      </x:c>
      <x:c r="V58" t="str">
        <x:f>IF(AND(OR(M58="",M58=B58),OR(N58="",N58=B58),OR(O58="",O58=B58)),"通过","不一致")</x:f>
        <x:v>通过</x:v>
      </x:c>
    </x:row>
    <x:row r="59" ht="22" customHeight="1">
      <x:c r="A59" s="289" t="n">
        <x:v>58</x:v>
      </x:c>
      <x:c r="B59" s="289" t="n">
        <x:v>5924</x:v>
      </x:c>
      <x:c r="C59" s="290" t="str">
        <x:v>黄金圣律·王权</x:v>
      </x:c>
      <x:c r="D59" s="290" t="str">
        <x:v>黄金圣律</x:v>
      </x:c>
      <x:c r="E59" s="290" t="n">
        <x:v>7</x:v>
      </x:c>
      <x:c r="F59" s="290" t="str">
        <x:v>手镯</x:v>
      </x:c>
      <x:c r="G59" s="289"/>
      <x:c r="H59" s="289"/>
      <x:c r="I59" s="289" t="n">
        <x:v>5924</x:v>
      </x:c>
      <x:c r="J59" s="289"/>
      <x:c r="K59" s="289"/>
      <x:c r="L59" s="289"/>
      <x:c r="M59" s="289" t="n">
        <x:v>5924</x:v>
      </x:c>
      <x:c r="N59" s="289" t="n">
        <x:v>5924</x:v>
      </x:c>
      <x:c r="O59" s="289" t="n">
        <x:v>5924</x:v>
      </x:c>
      <x:c r="P59" s="292"/>
      <x:c r="Q59" s="292" t="str">
        <x:v>原九部位资源库已登记</x:v>
      </x:c>
      <x:c r="R59" s="324" t="str">
        <x:v>C3-C10规划锁定：白魈啸风镯</x:v>
      </x:c>
      <x:c r="S59" s="292" t="str">
        <x:v>装备素材套装代码表.xlsx（原九部位）</x:v>
      </x:c>
      <x:c r="T59" s="292" t="str">
        <x:v>同一代码用于 Items / StateItem / DnItems；属性与掉落另表定义。</x:v>
      </x:c>
      <x:c r="U59" t="str">
        <x:f>IF(COUNTIF($B$2:$B$1076,B59)&gt;1,"重复","")</x:f>
      </x:c>
      <x:c r="V59" t="str">
        <x:f>IF(AND(OR(M59="",M59=B59),OR(N59="",N59=B59),OR(O59="",O59=B59)),"通过","不一致")</x:f>
        <x:v>通过</x:v>
      </x:c>
    </x:row>
    <x:row r="60" ht="22" customHeight="1">
      <x:c r="A60" s="289" t="n">
        <x:v>59</x:v>
      </x:c>
      <x:c r="B60" s="289" t="n">
        <x:v>5925</x:v>
      </x:c>
      <x:c r="C60" s="290" t="str">
        <x:v>黄金圣律·王权</x:v>
      </x:c>
      <x:c r="D60" s="290" t="str">
        <x:v>黄金圣律</x:v>
      </x:c>
      <x:c r="E60" s="290" t="n">
        <x:v>7</x:v>
      </x:c>
      <x:c r="F60" s="290" t="str">
        <x:v>戒指</x:v>
      </x:c>
      <x:c r="G60" s="289"/>
      <x:c r="H60" s="289"/>
      <x:c r="I60" s="289" t="n">
        <x:v>5925</x:v>
      </x:c>
      <x:c r="J60" s="289"/>
      <x:c r="K60" s="289"/>
      <x:c r="L60" s="289"/>
      <x:c r="M60" s="289" t="n">
        <x:v>5925</x:v>
      </x:c>
      <x:c r="N60" s="289" t="n">
        <x:v>5925</x:v>
      </x:c>
      <x:c r="O60" s="289" t="n">
        <x:v>5925</x:v>
      </x:c>
      <x:c r="P60" s="292"/>
      <x:c r="Q60" s="292" t="str">
        <x:v>原九部位资源库已登记</x:v>
      </x:c>
      <x:c r="R60" s="322" t="str">
        <x:v>C1/C2现用：风角骨戒</x:v>
      </x:c>
      <x:c r="S60" s="292" t="str">
        <x:v>装备素材套装代码表.xlsx（原九部位）</x:v>
      </x:c>
      <x:c r="T60" s="292" t="str">
        <x:v>同一代码用于 Items / StateItem / DnItems；属性与掉落另表定义。</x:v>
      </x:c>
      <x:c r="U60" t="str">
        <x:f>IF(COUNTIF($B$2:$B$1076,B60)&gt;1,"重复","")</x:f>
      </x:c>
      <x:c r="V60" t="str">
        <x:f>IF(AND(OR(M60="",M60=B60),OR(N60="",N60=B60),OR(O60="",O60=B60)),"通过","不一致")</x:f>
        <x:v>通过</x:v>
      </x:c>
    </x:row>
    <x:row r="61" ht="22" customHeight="1">
      <x:c r="A61" s="289" t="n">
        <x:v>60</x:v>
      </x:c>
      <x:c r="B61" s="289" t="n">
        <x:v>5926</x:v>
      </x:c>
      <x:c r="C61" s="290" t="str">
        <x:v>黄金圣律·王权</x:v>
      </x:c>
      <x:c r="D61" s="290" t="str">
        <x:v>黄金圣律</x:v>
      </x:c>
      <x:c r="E61" s="290" t="n">
        <x:v>7</x:v>
      </x:c>
      <x:c r="F61" s="290" t="str">
        <x:v>盾牌</x:v>
      </x:c>
      <x:c r="G61" s="289"/>
      <x:c r="H61" s="289"/>
      <x:c r="I61" s="289" t="n">
        <x:v>5926</x:v>
      </x:c>
      <x:c r="J61" s="289"/>
      <x:c r="K61" s="289"/>
      <x:c r="L61" s="289"/>
      <x:c r="M61" s="289" t="n">
        <x:v>5926</x:v>
      </x:c>
      <x:c r="N61" s="289" t="n">
        <x:v>5926</x:v>
      </x:c>
      <x:c r="O61" s="289" t="n">
        <x:v>5926</x:v>
      </x:c>
      <x:c r="P61" s="292"/>
      <x:c r="Q61" s="292" t="str">
        <x:v>原九部位资源库已登记</x:v>
      </x:c>
      <x:c r="R61" s="324" t="str">
        <x:v>C3-C10规划锁定：冰甲棱盾</x:v>
      </x:c>
      <x:c r="S61" s="292" t="str">
        <x:v>装备素材套装代码表.xlsx（原九部位）</x:v>
      </x:c>
      <x:c r="T61" s="292" t="str">
        <x:v>同一代码用于 Items / StateItem / DnItems；属性与掉落另表定义。</x:v>
      </x:c>
      <x:c r="U61" t="str">
        <x:f>IF(COUNTIF($B$2:$B$1076,B61)&gt;1,"重复","")</x:f>
      </x:c>
      <x:c r="V61" t="str">
        <x:f>IF(AND(OR(M61="",M61=B61),OR(N61="",N61=B61),OR(O61="",O61=B61)),"通过","不一致")</x:f>
        <x:v>通过</x:v>
      </x:c>
    </x:row>
    <x:row r="62" ht="22" customHeight="1">
      <x:c r="A62" s="289" t="n">
        <x:v>61</x:v>
      </x:c>
      <x:c r="B62" s="289" t="n">
        <x:v>5927</x:v>
      </x:c>
      <x:c r="C62" s="290" t="str">
        <x:v>黄金圣律·王权</x:v>
      </x:c>
      <x:c r="D62" s="290" t="str">
        <x:v>黄金圣律</x:v>
      </x:c>
      <x:c r="E62" s="290" t="n">
        <x:v>7</x:v>
      </x:c>
      <x:c r="F62" s="290" t="str">
        <x:v>灵玉</x:v>
      </x:c>
      <x:c r="G62" s="289"/>
      <x:c r="H62" s="289"/>
      <x:c r="I62" s="289" t="n">
        <x:v>5927</x:v>
      </x:c>
      <x:c r="J62" s="289"/>
      <x:c r="K62" s="289"/>
      <x:c r="L62" s="289"/>
      <x:c r="M62" s="289" t="n">
        <x:v>5927</x:v>
      </x:c>
      <x:c r="N62" s="289" t="n">
        <x:v>5927</x:v>
      </x:c>
      <x:c r="O62" s="289" t="n">
        <x:v>5927</x:v>
      </x:c>
      <x:c r="P62" s="292"/>
      <x:c r="Q62" s="292" t="str">
        <x:v>原九部位资源库已登记</x:v>
      </x:c>
      <x:c r="R62" s="292" t="str"/>
      <x:c r="S62" s="292" t="str">
        <x:v>装备素材套装代码表.xlsx（原九部位）</x:v>
      </x:c>
      <x:c r="T62" s="292" t="str">
        <x:v>同一代码用于 Items / StateItem / DnItems；属性与掉落另表定义。</x:v>
      </x:c>
      <x:c r="U62" t="str">
        <x:f>IF(COUNTIF($B$2:$B$1076,B62)&gt;1,"重复","")</x:f>
      </x:c>
      <x:c r="V62" t="str">
        <x:f>IF(AND(OR(M62="",M62=B62),OR(N62="",N62=B62),OR(O62="",O62=B62)),"通过","不一致")</x:f>
        <x:v>通过</x:v>
      </x:c>
    </x:row>
    <x:row r="63" ht="22" customHeight="1">
      <x:c r="A63" s="289" t="n">
        <x:v>62</x:v>
      </x:c>
      <x:c r="B63" s="289" t="n">
        <x:v>5928</x:v>
      </x:c>
      <x:c r="C63" s="290" t="str">
        <x:v>黄金圣律·王权</x:v>
      </x:c>
      <x:c r="D63" s="290" t="str">
        <x:v>黄金圣律</x:v>
      </x:c>
      <x:c r="E63" s="290" t="n">
        <x:v>7</x:v>
      </x:c>
      <x:c r="F63" s="290" t="str">
        <x:v>鞋子</x:v>
      </x:c>
      <x:c r="G63" s="289"/>
      <x:c r="H63" s="289"/>
      <x:c r="I63" s="289" t="n">
        <x:v>5928</x:v>
      </x:c>
      <x:c r="J63" s="289"/>
      <x:c r="K63" s="289"/>
      <x:c r="L63" s="289"/>
      <x:c r="M63" s="289" t="n">
        <x:v>5928</x:v>
      </x:c>
      <x:c r="N63" s="289" t="n">
        <x:v>5928</x:v>
      </x:c>
      <x:c r="O63" s="289" t="n">
        <x:v>5928</x:v>
      </x:c>
      <x:c r="P63" s="292"/>
      <x:c r="Q63" s="292" t="str">
        <x:v>原九部位资源库已登记</x:v>
      </x:c>
      <x:c r="R63" s="324" t="str">
        <x:v>C3-C10规划锁定：寒灯侍履</x:v>
      </x:c>
      <x:c r="S63" s="292" t="str">
        <x:v>装备素材套装代码表.xlsx（原九部位）</x:v>
      </x:c>
      <x:c r="T63" s="292" t="str">
        <x:v>同一代码用于 Items / StateItem / DnItems；属性与掉落另表定义。</x:v>
      </x:c>
      <x:c r="U63" t="str">
        <x:f>IF(COUNTIF($B$2:$B$1076,B63)&gt;1,"重复","")</x:f>
      </x:c>
      <x:c r="V63" t="str">
        <x:f>IF(AND(OR(M63="",M63=B63),OR(N63="",N63=B63),OR(O63="",O63=B63)),"通过","不一致")</x:f>
        <x:v>通过</x:v>
      </x:c>
    </x:row>
    <x:row r="64" ht="22" customHeight="1">
      <x:c r="A64" s="289" t="n">
        <x:v>63</x:v>
      </x:c>
      <x:c r="B64" s="289" t="n">
        <x:v>5929</x:v>
      </x:c>
      <x:c r="C64" s="290" t="str">
        <x:v>黄金圣律·王权</x:v>
      </x:c>
      <x:c r="D64" s="290" t="str">
        <x:v>黄金圣律</x:v>
      </x:c>
      <x:c r="E64" s="290" t="n">
        <x:v>7</x:v>
      </x:c>
      <x:c r="F64" s="290" t="str">
        <x:v>腰带</x:v>
      </x:c>
      <x:c r="G64" s="289"/>
      <x:c r="H64" s="289"/>
      <x:c r="I64" s="289" t="n">
        <x:v>5929</x:v>
      </x:c>
      <x:c r="J64" s="289"/>
      <x:c r="K64" s="289"/>
      <x:c r="L64" s="289"/>
      <x:c r="M64" s="289" t="n">
        <x:v>5929</x:v>
      </x:c>
      <x:c r="N64" s="289" t="n">
        <x:v>5929</x:v>
      </x:c>
      <x:c r="O64" s="289" t="n">
        <x:v>5929</x:v>
      </x:c>
      <x:c r="P64" s="292"/>
      <x:c r="Q64" s="292" t="str">
        <x:v>原九部位资源库已登记</x:v>
      </x:c>
      <x:c r="R64" s="324" t="str">
        <x:v>C3-C10规划锁定：封门玄冰带</x:v>
      </x:c>
      <x:c r="S64" s="292" t="str">
        <x:v>装备素材套装代码表.xlsx（原九部位）</x:v>
      </x:c>
      <x:c r="T64" s="292" t="str">
        <x:v>同一代码用于 Items / StateItem / DnItems；属性与掉落另表定义。</x:v>
      </x:c>
      <x:c r="U64" t="str">
        <x:f>IF(COUNTIF($B$2:$B$1076,B64)&gt;1,"重复","")</x:f>
      </x:c>
      <x:c r="V64" t="str">
        <x:f>IF(AND(OR(M64="",M64=B64),OR(N64="",N64=B64),OR(O64="",O64=B64)),"通过","不一致")</x:f>
        <x:v>通过</x:v>
      </x:c>
    </x:row>
    <x:row r="65" ht="22" customHeight="1">
      <x:c r="A65" s="289" t="n">
        <x:v>64</x:v>
      </x:c>
      <x:c r="B65" s="289" t="n">
        <x:v>5930</x:v>
      </x:c>
      <x:c r="C65" s="290" t="str">
        <x:v>黄金圣律·日冕</x:v>
      </x:c>
      <x:c r="D65" s="290" t="str">
        <x:v>黄金圣律</x:v>
      </x:c>
      <x:c r="E65" s="290" t="n">
        <x:v>8</x:v>
      </x:c>
      <x:c r="F65" s="290" t="str">
        <x:v>勋章</x:v>
      </x:c>
      <x:c r="G65" s="289"/>
      <x:c r="H65" s="289"/>
      <x:c r="I65" s="289" t="n">
        <x:v>5930</x:v>
      </x:c>
      <x:c r="J65" s="289"/>
      <x:c r="K65" s="289"/>
      <x:c r="L65" s="289"/>
      <x:c r="M65" s="289" t="n">
        <x:v>5930</x:v>
      </x:c>
      <x:c r="N65" s="289" t="n">
        <x:v>5930</x:v>
      </x:c>
      <x:c r="O65" s="289" t="n">
        <x:v>5930</x:v>
      </x:c>
      <x:c r="P65" s="292"/>
      <x:c r="Q65" s="292" t="str">
        <x:v>原九部位资源库已登记</x:v>
      </x:c>
      <x:c r="R65" s="292" t="str"/>
      <x:c r="S65" s="292" t="str">
        <x:v>装备素材套装代码表.xlsx（原九部位）</x:v>
      </x:c>
      <x:c r="T65" s="292" t="str">
        <x:v>同一代码用于 Items / StateItem / DnItems；属性与掉落另表定义。</x:v>
      </x:c>
      <x:c r="U65" t="str">
        <x:f>IF(COUNTIF($B$2:$B$1076,B65)&gt;1,"重复","")</x:f>
      </x:c>
      <x:c r="V65" t="str">
        <x:f>IF(AND(OR(M65="",M65=B65),OR(N65="",N65=B65),OR(O65="",O65=B65)),"通过","不一致")</x:f>
        <x:v>通过</x:v>
      </x:c>
    </x:row>
    <x:row r="66" ht="22" customHeight="1">
      <x:c r="A66" s="289" t="n">
        <x:v>65</x:v>
      </x:c>
      <x:c r="B66" s="289" t="n">
        <x:v>5931</x:v>
      </x:c>
      <x:c r="C66" s="290" t="str">
        <x:v>黄金圣律·日冕</x:v>
      </x:c>
      <x:c r="D66" s="290" t="str">
        <x:v>黄金圣律</x:v>
      </x:c>
      <x:c r="E66" s="290" t="n">
        <x:v>8</x:v>
      </x:c>
      <x:c r="F66" s="290" t="str">
        <x:v>项链</x:v>
      </x:c>
      <x:c r="G66" s="289"/>
      <x:c r="H66" s="289"/>
      <x:c r="I66" s="289" t="n">
        <x:v>5931</x:v>
      </x:c>
      <x:c r="J66" s="289"/>
      <x:c r="K66" s="289"/>
      <x:c r="L66" s="289"/>
      <x:c r="M66" s="289" t="n">
        <x:v>5931</x:v>
      </x:c>
      <x:c r="N66" s="289" t="n">
        <x:v>5931</x:v>
      </x:c>
      <x:c r="O66" s="289" t="n">
        <x:v>5931</x:v>
      </x:c>
      <x:c r="P66" s="292"/>
      <x:c r="Q66" s="292" t="str">
        <x:v>原九部位资源库已登记</x:v>
      </x:c>
      <x:c r="R66" s="324" t="str">
        <x:v>C3-C10规划锁定：寒羽猎链</x:v>
      </x:c>
      <x:c r="S66" s="292" t="str">
        <x:v>装备素材套装代码表.xlsx（原九部位）</x:v>
      </x:c>
      <x:c r="T66" s="292" t="str">
        <x:v>同一代码用于 Items / StateItem / DnItems；属性与掉落另表定义。</x:v>
      </x:c>
      <x:c r="U66" t="str">
        <x:f>IF(COUNTIF($B$2:$B$1076,B66)&gt;1,"重复","")</x:f>
      </x:c>
      <x:c r="V66" t="str">
        <x:f>IF(AND(OR(M66="",M66=B66),OR(N66="",N66=B66),OR(O66="",O66=B66)),"通过","不一致")</x:f>
        <x:v>通过</x:v>
      </x:c>
    </x:row>
    <x:row r="67" ht="22" customHeight="1">
      <x:c r="A67" s="289" t="n">
        <x:v>66</x:v>
      </x:c>
      <x:c r="B67" s="289" t="n">
        <x:v>5932</x:v>
      </x:c>
      <x:c r="C67" s="290" t="str">
        <x:v>黄金圣律·日冕</x:v>
      </x:c>
      <x:c r="D67" s="290" t="str">
        <x:v>黄金圣律</x:v>
      </x:c>
      <x:c r="E67" s="290" t="n">
        <x:v>8</x:v>
      </x:c>
      <x:c r="F67" s="290" t="str">
        <x:v>头盔</x:v>
      </x:c>
      <x:c r="G67" s="289"/>
      <x:c r="H67" s="289"/>
      <x:c r="I67" s="289" t="n">
        <x:v>5932</x:v>
      </x:c>
      <x:c r="J67" s="289"/>
      <x:c r="K67" s="289"/>
      <x:c r="L67" s="289"/>
      <x:c r="M67" s="289" t="n">
        <x:v>5932</x:v>
      </x:c>
      <x:c r="N67" s="289" t="n">
        <x:v>5932</x:v>
      </x:c>
      <x:c r="O67" s="289" t="n">
        <x:v>5932</x:v>
      </x:c>
      <x:c r="P67" s="292"/>
      <x:c r="Q67" s="292" t="str">
        <x:v>原九部位资源库已登记</x:v>
      </x:c>
      <x:c r="R67" s="322" t="str">
        <x:v>C1/C2现用：守墓石盔</x:v>
      </x:c>
      <x:c r="S67" s="292" t="str">
        <x:v>装备素材套装代码表.xlsx（原九部位）</x:v>
      </x:c>
      <x:c r="T67" s="292" t="str">
        <x:v>同一代码用于 Items / StateItem / DnItems；属性与掉落另表定义。</x:v>
      </x:c>
      <x:c r="U67" t="str">
        <x:f>IF(COUNTIF($B$2:$B$1076,B67)&gt;1,"重复","")</x:f>
      </x:c>
      <x:c r="V67" t="str">
        <x:f>IF(AND(OR(M67="",M67=B67),OR(N67="",N67=B67),OR(O67="",O67=B67)),"通过","不一致")</x:f>
        <x:v>通过</x:v>
      </x:c>
    </x:row>
    <x:row r="68" ht="22" customHeight="1">
      <x:c r="A68" s="289" t="n">
        <x:v>67</x:v>
      </x:c>
      <x:c r="B68" s="289" t="n">
        <x:v>5933</x:v>
      </x:c>
      <x:c r="C68" s="290" t="str">
        <x:v>黄金圣律·日冕</x:v>
      </x:c>
      <x:c r="D68" s="290" t="str">
        <x:v>黄金圣律</x:v>
      </x:c>
      <x:c r="E68" s="290" t="n">
        <x:v>8</x:v>
      </x:c>
      <x:c r="F68" s="290" t="str">
        <x:v>手镯</x:v>
      </x:c>
      <x:c r="G68" s="289"/>
      <x:c r="H68" s="289"/>
      <x:c r="I68" s="289" t="n">
        <x:v>5933</x:v>
      </x:c>
      <x:c r="J68" s="289"/>
      <x:c r="K68" s="289"/>
      <x:c r="L68" s="289"/>
      <x:c r="M68" s="289" t="n">
        <x:v>5933</x:v>
      </x:c>
      <x:c r="N68" s="289" t="n">
        <x:v>5933</x:v>
      </x:c>
      <x:c r="O68" s="289" t="n">
        <x:v>5933</x:v>
      </x:c>
      <x:c r="P68" s="292"/>
      <x:c r="Q68" s="292" t="str">
        <x:v>原九部位资源库已登记</x:v>
      </x:c>
      <x:c r="R68" s="324" t="str">
        <x:v>C3-C10规划锁定：残斧魂腕环</x:v>
      </x:c>
      <x:c r="S68" s="292" t="str">
        <x:v>装备素材套装代码表.xlsx（原九部位）</x:v>
      </x:c>
      <x:c r="T68" s="292" t="str">
        <x:v>同一代码用于 Items / StateItem / DnItems；属性与掉落另表定义。</x:v>
      </x:c>
      <x:c r="U68" t="str">
        <x:f>IF(COUNTIF($B$2:$B$1076,B68)&gt;1,"重复","")</x:f>
      </x:c>
      <x:c r="V68" t="str">
        <x:f>IF(AND(OR(M68="",M68=B68),OR(N68="",N68=B68),OR(O68="",O68=B68)),"通过","不一致")</x:f>
        <x:v>通过</x:v>
      </x:c>
    </x:row>
    <x:row r="69" ht="22" customHeight="1">
      <x:c r="A69" s="289" t="n">
        <x:v>68</x:v>
      </x:c>
      <x:c r="B69" s="289" t="n">
        <x:v>5934</x:v>
      </x:c>
      <x:c r="C69" s="290" t="str">
        <x:v>黄金圣律·日冕</x:v>
      </x:c>
      <x:c r="D69" s="290" t="str">
        <x:v>黄金圣律</x:v>
      </x:c>
      <x:c r="E69" s="290" t="n">
        <x:v>8</x:v>
      </x:c>
      <x:c r="F69" s="290" t="str">
        <x:v>戒指</x:v>
      </x:c>
      <x:c r="G69" s="289"/>
      <x:c r="H69" s="289"/>
      <x:c r="I69" s="289" t="n">
        <x:v>5934</x:v>
      </x:c>
      <x:c r="J69" s="289"/>
      <x:c r="K69" s="289"/>
      <x:c r="L69" s="289"/>
      <x:c r="M69" s="289" t="n">
        <x:v>5934</x:v>
      </x:c>
      <x:c r="N69" s="289" t="n">
        <x:v>5934</x:v>
      </x:c>
      <x:c r="O69" s="289" t="n">
        <x:v>5934</x:v>
      </x:c>
      <x:c r="P69" s="292"/>
      <x:c r="Q69" s="292" t="str">
        <x:v>原九部位资源库已登记</x:v>
      </x:c>
      <x:c r="R69" s="324" t="str">
        <x:v>C3-C10规划锁定：霜牙指环</x:v>
      </x:c>
      <x:c r="S69" s="292" t="str">
        <x:v>装备素材套装代码表.xlsx（原九部位）</x:v>
      </x:c>
      <x:c r="T69" s="292" t="str">
        <x:v>同一代码用于 Items / StateItem / DnItems；属性与掉落另表定义。</x:v>
      </x:c>
      <x:c r="U69" t="str">
        <x:f>IF(COUNTIF($B$2:$B$1076,B69)&gt;1,"重复","")</x:f>
      </x:c>
      <x:c r="V69" t="str">
        <x:f>IF(AND(OR(M69="",M69=B69),OR(N69="",N69=B69),OR(O69="",O69=B69)),"通过","不一致")</x:f>
        <x:v>通过</x:v>
      </x:c>
    </x:row>
    <x:row r="70" ht="22" customHeight="1">
      <x:c r="A70" s="289" t="n">
        <x:v>69</x:v>
      </x:c>
      <x:c r="B70" s="289" t="n">
        <x:v>5935</x:v>
      </x:c>
      <x:c r="C70" s="290" t="str">
        <x:v>黄金圣律·日冕</x:v>
      </x:c>
      <x:c r="D70" s="290" t="str">
        <x:v>黄金圣律</x:v>
      </x:c>
      <x:c r="E70" s="290" t="n">
        <x:v>8</x:v>
      </x:c>
      <x:c r="F70" s="290" t="str">
        <x:v>盾牌</x:v>
      </x:c>
      <x:c r="G70" s="289"/>
      <x:c r="H70" s="289"/>
      <x:c r="I70" s="289" t="n">
        <x:v>5935</x:v>
      </x:c>
      <x:c r="J70" s="289"/>
      <x:c r="K70" s="289"/>
      <x:c r="L70" s="289"/>
      <x:c r="M70" s="289" t="n">
        <x:v>5935</x:v>
      </x:c>
      <x:c r="N70" s="289" t="n">
        <x:v>5935</x:v>
      </x:c>
      <x:c r="O70" s="289" t="n">
        <x:v>5935</x:v>
      </x:c>
      <x:c r="P70" s="292"/>
      <x:c r="Q70" s="292" t="str">
        <x:v>原九部位资源库已登记</x:v>
      </x:c>
      <x:c r="R70" s="324" t="str">
        <x:v>C3-C10规划锁定：外廊纹冰盾</x:v>
      </x:c>
      <x:c r="S70" s="292" t="str">
        <x:v>装备素材套装代码表.xlsx（原九部位）</x:v>
      </x:c>
      <x:c r="T70" s="292" t="str">
        <x:v>同一代码用于 Items / StateItem / DnItems；属性与掉落另表定义。</x:v>
      </x:c>
      <x:c r="U70" t="str">
        <x:f>IF(COUNTIF($B$2:$B$1076,B70)&gt;1,"重复","")</x:f>
      </x:c>
      <x:c r="V70" t="str">
        <x:f>IF(AND(OR(M70="",M70=B70),OR(N70="",N70=B70),OR(O70="",O70=B70)),"通过","不一致")</x:f>
        <x:v>通过</x:v>
      </x:c>
    </x:row>
    <x:row r="71" ht="22" customHeight="1">
      <x:c r="A71" s="289" t="n">
        <x:v>70</x:v>
      </x:c>
      <x:c r="B71" s="289" t="n">
        <x:v>5936</x:v>
      </x:c>
      <x:c r="C71" s="290" t="str">
        <x:v>黄金圣律·日冕</x:v>
      </x:c>
      <x:c r="D71" s="290" t="str">
        <x:v>黄金圣律</x:v>
      </x:c>
      <x:c r="E71" s="290" t="n">
        <x:v>8</x:v>
      </x:c>
      <x:c r="F71" s="290" t="str">
        <x:v>灵玉</x:v>
      </x:c>
      <x:c r="G71" s="289"/>
      <x:c r="H71" s="289"/>
      <x:c r="I71" s="289" t="n">
        <x:v>5936</x:v>
      </x:c>
      <x:c r="J71" s="289"/>
      <x:c r="K71" s="289"/>
      <x:c r="L71" s="289"/>
      <x:c r="M71" s="289" t="n">
        <x:v>5936</x:v>
      </x:c>
      <x:c r="N71" s="289" t="n">
        <x:v>5936</x:v>
      </x:c>
      <x:c r="O71" s="289" t="n">
        <x:v>5936</x:v>
      </x:c>
      <x:c r="P71" s="292"/>
      <x:c r="Q71" s="292" t="str">
        <x:v>原九部位资源库已登记</x:v>
      </x:c>
      <x:c r="R71" s="292" t="str"/>
      <x:c r="S71" s="292" t="str">
        <x:v>装备素材套装代码表.xlsx（原九部位）</x:v>
      </x:c>
      <x:c r="T71" s="292" t="str">
        <x:v>同一代码用于 Items / StateItem / DnItems；属性与掉落另表定义。</x:v>
      </x:c>
      <x:c r="U71" t="str">
        <x:f>IF(COUNTIF($B$2:$B$1076,B71)&gt;1,"重复","")</x:f>
      </x:c>
      <x:c r="V71" t="str">
        <x:f>IF(AND(OR(M71="",M71=B71),OR(N71="",N71=B71),OR(O71="",O71=B71)),"通过","不一致")</x:f>
        <x:v>通过</x:v>
      </x:c>
    </x:row>
    <x:row r="72" ht="22" customHeight="1">
      <x:c r="A72" s="289" t="n">
        <x:v>71</x:v>
      </x:c>
      <x:c r="B72" s="289" t="n">
        <x:v>5937</x:v>
      </x:c>
      <x:c r="C72" s="290" t="str">
        <x:v>黄金圣律·日冕</x:v>
      </x:c>
      <x:c r="D72" s="290" t="str">
        <x:v>黄金圣律</x:v>
      </x:c>
      <x:c r="E72" s="290" t="n">
        <x:v>8</x:v>
      </x:c>
      <x:c r="F72" s="290" t="str">
        <x:v>鞋子</x:v>
      </x:c>
      <x:c r="G72" s="289"/>
      <x:c r="H72" s="289"/>
      <x:c r="I72" s="289" t="n">
        <x:v>5937</x:v>
      </x:c>
      <x:c r="J72" s="289"/>
      <x:c r="K72" s="289"/>
      <x:c r="L72" s="289"/>
      <x:c r="M72" s="289" t="n">
        <x:v>5937</x:v>
      </x:c>
      <x:c r="N72" s="289" t="n">
        <x:v>5937</x:v>
      </x:c>
      <x:c r="O72" s="289" t="n">
        <x:v>5937</x:v>
      </x:c>
      <x:c r="P72" s="292"/>
      <x:c r="Q72" s="292" t="str">
        <x:v>原九部位资源库已登记</x:v>
      </x:c>
      <x:c r="R72" s="324" t="str">
        <x:v>C3-C10规划锁定：雪鬃獒踏靴</x:v>
      </x:c>
      <x:c r="S72" s="292" t="str">
        <x:v>装备素材套装代码表.xlsx（原九部位）</x:v>
      </x:c>
      <x:c r="T72" s="292" t="str">
        <x:v>同一代码用于 Items / StateItem / DnItems；属性与掉落另表定义。</x:v>
      </x:c>
      <x:c r="U72" t="str">
        <x:f>IF(COUNTIF($B$2:$B$1076,B72)&gt;1,"重复","")</x:f>
      </x:c>
      <x:c r="V72" t="str">
        <x:f>IF(AND(OR(M72="",M72=B72),OR(N72="",N72=B72),OR(O72="",O72=B72)),"通过","不一致")</x:f>
        <x:v>通过</x:v>
      </x:c>
    </x:row>
    <x:row r="73" ht="22" customHeight="1">
      <x:c r="A73" s="289" t="n">
        <x:v>72</x:v>
      </x:c>
      <x:c r="B73" s="289" t="n">
        <x:v>5938</x:v>
      </x:c>
      <x:c r="C73" s="290" t="str">
        <x:v>黄金圣律·日冕</x:v>
      </x:c>
      <x:c r="D73" s="290" t="str">
        <x:v>黄金圣律</x:v>
      </x:c>
      <x:c r="E73" s="290" t="n">
        <x:v>8</x:v>
      </x:c>
      <x:c r="F73" s="290" t="str">
        <x:v>腰带</x:v>
      </x:c>
      <x:c r="G73" s="289"/>
      <x:c r="H73" s="289"/>
      <x:c r="I73" s="289" t="n">
        <x:v>5938</x:v>
      </x:c>
      <x:c r="J73" s="289"/>
      <x:c r="K73" s="289"/>
      <x:c r="L73" s="289"/>
      <x:c r="M73" s="289" t="n">
        <x:v>5938</x:v>
      </x:c>
      <x:c r="N73" s="289" t="n">
        <x:v>5938</x:v>
      </x:c>
      <x:c r="O73" s="289" t="n">
        <x:v>5938</x:v>
      </x:c>
      <x:c r="P73" s="292"/>
      <x:c r="Q73" s="292" t="str">
        <x:v>原九部位资源库已登记</x:v>
      </x:c>
      <x:c r="R73" s="324" t="str">
        <x:v>C3-C10规划锁定：逆风驿骑带</x:v>
      </x:c>
      <x:c r="S73" s="292" t="str">
        <x:v>装备素材套装代码表.xlsx（原九部位）</x:v>
      </x:c>
      <x:c r="T73" s="292" t="str">
        <x:v>同一代码用于 Items / StateItem / DnItems；属性与掉落另表定义。</x:v>
      </x:c>
      <x:c r="U73" t="str">
        <x:f>IF(COUNTIF($B$2:$B$1076,B73)&gt;1,"重复","")</x:f>
      </x:c>
      <x:c r="V73" t="str">
        <x:f>IF(AND(OR(M73="",M73=B73),OR(N73="",N73=B73),OR(O73="",O73=B73)),"通过","不一致")</x:f>
        <x:v>通过</x:v>
      </x:c>
    </x:row>
    <x:row r="74" ht="22" customHeight="1">
      <x:c r="A74" s="289" t="n">
        <x:v>73</x:v>
      </x:c>
      <x:c r="B74" s="289" t="n">
        <x:v>5939</x:v>
      </x:c>
      <x:c r="C74" s="290" t="str">
        <x:v>黄金圣律·神律</x:v>
      </x:c>
      <x:c r="D74" s="290" t="str">
        <x:v>黄金圣律</x:v>
      </x:c>
      <x:c r="E74" s="290" t="n">
        <x:v>9</x:v>
      </x:c>
      <x:c r="F74" s="290" t="str">
        <x:v>勋章</x:v>
      </x:c>
      <x:c r="G74" s="289"/>
      <x:c r="H74" s="289"/>
      <x:c r="I74" s="289" t="n">
        <x:v>5939</x:v>
      </x:c>
      <x:c r="J74" s="289"/>
      <x:c r="K74" s="289"/>
      <x:c r="L74" s="289"/>
      <x:c r="M74" s="289" t="n">
        <x:v>5939</x:v>
      </x:c>
      <x:c r="N74" s="289" t="n">
        <x:v>5939</x:v>
      </x:c>
      <x:c r="O74" s="289" t="n">
        <x:v>5939</x:v>
      </x:c>
      <x:c r="P74" s="292"/>
      <x:c r="Q74" s="292" t="str">
        <x:v>原九部位资源库已登记</x:v>
      </x:c>
      <x:c r="R74" s="322" t="str">
        <x:v>C1/C2现用：半兽战勋</x:v>
      </x:c>
      <x:c r="S74" s="292" t="str">
        <x:v>装备素材套装代码表.xlsx（原九部位）</x:v>
      </x:c>
      <x:c r="T74" s="292" t="str">
        <x:v>同一代码用于 Items / StateItem / DnItems；属性与掉落另表定义。</x:v>
      </x:c>
      <x:c r="U74" t="str">
        <x:f>IF(COUNTIF($B$2:$B$1076,B74)&gt;1,"重复","")</x:f>
      </x:c>
      <x:c r="V74" t="str">
        <x:f>IF(AND(OR(M74="",M74=B74),OR(N74="",N74=B74),OR(O74="",O74=B74)),"通过","不一致")</x:f>
        <x:v>通过</x:v>
      </x:c>
    </x:row>
    <x:row r="75" ht="22" customHeight="1">
      <x:c r="A75" s="289" t="n">
        <x:v>74</x:v>
      </x:c>
      <x:c r="B75" s="289" t="n">
        <x:v>5940</x:v>
      </x:c>
      <x:c r="C75" s="290" t="str">
        <x:v>黄金圣律·神律</x:v>
      </x:c>
      <x:c r="D75" s="290" t="str">
        <x:v>黄金圣律</x:v>
      </x:c>
      <x:c r="E75" s="290" t="n">
        <x:v>9</x:v>
      </x:c>
      <x:c r="F75" s="290" t="str">
        <x:v>项链</x:v>
      </x:c>
      <x:c r="G75" s="289"/>
      <x:c r="H75" s="289"/>
      <x:c r="I75" s="289" t="n">
        <x:v>5940</x:v>
      </x:c>
      <x:c r="J75" s="289"/>
      <x:c r="K75" s="289"/>
      <x:c r="L75" s="289"/>
      <x:c r="M75" s="289" t="n">
        <x:v>5940</x:v>
      </x:c>
      <x:c r="N75" s="289" t="n">
        <x:v>5940</x:v>
      </x:c>
      <x:c r="O75" s="289" t="n">
        <x:v>5940</x:v>
      </x:c>
      <x:c r="P75" s="292"/>
      <x:c r="Q75" s="292" t="str">
        <x:v>原九部位资源库已登记</x:v>
      </x:c>
      <x:c r="R75" s="324" t="str">
        <x:v>C3-C10规划锁定：白翼颈链</x:v>
      </x:c>
      <x:c r="S75" s="292" t="str">
        <x:v>装备素材套装代码表.xlsx（原九部位）</x:v>
      </x:c>
      <x:c r="T75" s="292" t="str">
        <x:v>同一代码用于 Items / StateItem / DnItems；属性与掉落另表定义。</x:v>
      </x:c>
      <x:c r="U75" t="str">
        <x:f>IF(COUNTIF($B$2:$B$1076,B75)&gt;1,"重复","")</x:f>
      </x:c>
      <x:c r="V75" t="str">
        <x:f>IF(AND(OR(M75="",M75=B75),OR(N75="",N75=B75),OR(O75="",O75=B75)),"通过","不一致")</x:f>
        <x:v>通过</x:v>
      </x:c>
    </x:row>
    <x:row r="76" ht="22" customHeight="1">
      <x:c r="A76" s="289" t="n">
        <x:v>75</x:v>
      </x:c>
      <x:c r="B76" s="289" t="n">
        <x:v>5941</x:v>
      </x:c>
      <x:c r="C76" s="290" t="str">
        <x:v>黄金圣律·神律</x:v>
      </x:c>
      <x:c r="D76" s="290" t="str">
        <x:v>黄金圣律</x:v>
      </x:c>
      <x:c r="E76" s="290" t="n">
        <x:v>9</x:v>
      </x:c>
      <x:c r="F76" s="290" t="str">
        <x:v>头盔</x:v>
      </x:c>
      <x:c r="G76" s="289"/>
      <x:c r="H76" s="289"/>
      <x:c r="I76" s="289" t="n">
        <x:v>5941</x:v>
      </x:c>
      <x:c r="J76" s="289"/>
      <x:c r="K76" s="289"/>
      <x:c r="L76" s="289"/>
      <x:c r="M76" s="289" t="n">
        <x:v>5941</x:v>
      </x:c>
      <x:c r="N76" s="289" t="n">
        <x:v>5941</x:v>
      </x:c>
      <x:c r="O76" s="289" t="n">
        <x:v>5941</x:v>
      </x:c>
      <x:c r="P76" s="292"/>
      <x:c r="Q76" s="292" t="str">
        <x:v>原九部位资源库已登记</x:v>
      </x:c>
      <x:c r="R76" s="324" t="str">
        <x:v>C3-C10规划锁定：芙蕾冰冠</x:v>
      </x:c>
      <x:c r="S76" s="292" t="str">
        <x:v>装备素材套装代码表.xlsx（原九部位）</x:v>
      </x:c>
      <x:c r="T76" s="292" t="str">
        <x:v>同一代码用于 Items / StateItem / DnItems；属性与掉落另表定义。</x:v>
      </x:c>
      <x:c r="U76" t="str">
        <x:f>IF(COUNTIF($B$2:$B$1076,B76)&gt;1,"重复","")</x:f>
      </x:c>
      <x:c r="V76" t="str">
        <x:f>IF(AND(OR(M76="",M76=B76),OR(N76="",N76=B76),OR(O76="",O76=B76)),"通过","不一致")</x:f>
        <x:v>通过</x:v>
      </x:c>
    </x:row>
    <x:row r="77" ht="22" customHeight="1">
      <x:c r="A77" s="289" t="n">
        <x:v>76</x:v>
      </x:c>
      <x:c r="B77" s="289" t="n">
        <x:v>5942</x:v>
      </x:c>
      <x:c r="C77" s="290" t="str">
        <x:v>黄金圣律·神律</x:v>
      </x:c>
      <x:c r="D77" s="290" t="str">
        <x:v>黄金圣律</x:v>
      </x:c>
      <x:c r="E77" s="290" t="n">
        <x:v>9</x:v>
      </x:c>
      <x:c r="F77" s="290" t="str">
        <x:v>手镯</x:v>
      </x:c>
      <x:c r="G77" s="289"/>
      <x:c r="H77" s="289"/>
      <x:c r="I77" s="289" t="n">
        <x:v>5942</x:v>
      </x:c>
      <x:c r="J77" s="289"/>
      <x:c r="K77" s="289"/>
      <x:c r="L77" s="289"/>
      <x:c r="M77" s="289" t="n">
        <x:v>5942</x:v>
      </x:c>
      <x:c r="N77" s="289" t="n">
        <x:v>5942</x:v>
      </x:c>
      <x:c r="O77" s="289" t="n">
        <x:v>5942</x:v>
      </x:c>
      <x:c r="P77" s="292"/>
      <x:c r="Q77" s="292" t="str">
        <x:v>原九部位资源库已登记</x:v>
      </x:c>
      <x:c r="R77" s="324" t="str">
        <x:v>C3-C10规划锁定：石髯记事镯</x:v>
      </x:c>
      <x:c r="S77" s="292" t="str">
        <x:v>装备素材套装代码表.xlsx（原九部位）</x:v>
      </x:c>
      <x:c r="T77" s="292" t="str">
        <x:v>同一代码用于 Items / StateItem / DnItems；属性与掉落另表定义。</x:v>
      </x:c>
      <x:c r="U77" t="str">
        <x:f>IF(COUNTIF($B$2:$B$1076,B77)&gt;1,"重复","")</x:f>
      </x:c>
      <x:c r="V77" t="str">
        <x:f>IF(AND(OR(M77="",M77=B77),OR(N77="",N77=B77),OR(O77="",O77=B77)),"通过","不一致")</x:f>
        <x:v>通过</x:v>
      </x:c>
    </x:row>
    <x:row r="78" ht="22" customHeight="1">
      <x:c r="A78" s="289" t="n">
        <x:v>77</x:v>
      </x:c>
      <x:c r="B78" s="289" t="n">
        <x:v>5943</x:v>
      </x:c>
      <x:c r="C78" s="290" t="str">
        <x:v>黄金圣律·神律</x:v>
      </x:c>
      <x:c r="D78" s="290" t="str">
        <x:v>黄金圣律</x:v>
      </x:c>
      <x:c r="E78" s="290" t="n">
        <x:v>9</x:v>
      </x:c>
      <x:c r="F78" s="290" t="str">
        <x:v>戒指</x:v>
      </x:c>
      <x:c r="G78" s="289"/>
      <x:c r="H78" s="289"/>
      <x:c r="I78" s="289" t="n">
        <x:v>5943</x:v>
      </x:c>
      <x:c r="J78" s="289"/>
      <x:c r="K78" s="289"/>
      <x:c r="L78" s="289"/>
      <x:c r="M78" s="289" t="n">
        <x:v>5943</x:v>
      </x:c>
      <x:c r="N78" s="289" t="n">
        <x:v>5943</x:v>
      </x:c>
      <x:c r="O78" s="289" t="n">
        <x:v>5943</x:v>
      </x:c>
      <x:c r="P78" s="292"/>
      <x:c r="Q78" s="292" t="str">
        <x:v>原九部位资源库已登记</x:v>
      </x:c>
      <x:c r="R78" s="324" t="str">
        <x:v>C3-C10规划锁定：巡界牙戒</x:v>
      </x:c>
      <x:c r="S78" s="292" t="str">
        <x:v>装备素材套装代码表.xlsx（原九部位）</x:v>
      </x:c>
      <x:c r="T78" s="292" t="str">
        <x:v>同一代码用于 Items / StateItem / DnItems；属性与掉落另表定义。</x:v>
      </x:c>
      <x:c r="U78" t="str">
        <x:f>IF(COUNTIF($B$2:$B$1076,B78)&gt;1,"重复","")</x:f>
      </x:c>
      <x:c r="V78" t="str">
        <x:f>IF(AND(OR(M78="",M78=B78),OR(N78="",N78=B78),OR(O78="",O78=B78)),"通过","不一致")</x:f>
        <x:v>通过</x:v>
      </x:c>
    </x:row>
    <x:row r="79" ht="22" customHeight="1">
      <x:c r="A79" s="289" t="n">
        <x:v>78</x:v>
      </x:c>
      <x:c r="B79" s="289" t="n">
        <x:v>5944</x:v>
      </x:c>
      <x:c r="C79" s="290" t="str">
        <x:v>黄金圣律·神律</x:v>
      </x:c>
      <x:c r="D79" s="290" t="str">
        <x:v>黄金圣律</x:v>
      </x:c>
      <x:c r="E79" s="290" t="n">
        <x:v>9</x:v>
      </x:c>
      <x:c r="F79" s="290" t="str">
        <x:v>盾牌</x:v>
      </x:c>
      <x:c r="G79" s="289"/>
      <x:c r="H79" s="289"/>
      <x:c r="I79" s="289" t="n">
        <x:v>5944</x:v>
      </x:c>
      <x:c r="J79" s="289"/>
      <x:c r="K79" s="289"/>
      <x:c r="L79" s="289"/>
      <x:c r="M79" s="289" t="n">
        <x:v>5944</x:v>
      </x:c>
      <x:c r="N79" s="289" t="n">
        <x:v>5944</x:v>
      </x:c>
      <x:c r="O79" s="289" t="n">
        <x:v>5944</x:v>
      </x:c>
      <x:c r="P79" s="292"/>
      <x:c r="Q79" s="292" t="str">
        <x:v>原九部位资源库已登记</x:v>
      </x:c>
      <x:c r="R79" s="324" t="str">
        <x:v>C3-C10规划锁定：负碑王座盾</x:v>
      </x:c>
      <x:c r="S79" s="292" t="str">
        <x:v>装备素材套装代码表.xlsx（原九部位）</x:v>
      </x:c>
      <x:c r="T79" s="292" t="str">
        <x:v>同一代码用于 Items / StateItem / DnItems；属性与掉落另表定义。</x:v>
      </x:c>
      <x:c r="U79" t="str">
        <x:f>IF(COUNTIF($B$2:$B$1076,B79)&gt;1,"重复","")</x:f>
      </x:c>
      <x:c r="V79" t="str">
        <x:f>IF(AND(OR(M79="",M79=B79),OR(N79="",N79=B79),OR(O79="",O79=B79)),"通过","不一致")</x:f>
        <x:v>通过</x:v>
      </x:c>
    </x:row>
    <x:row r="80" ht="22" customHeight="1">
      <x:c r="A80" s="289" t="n">
        <x:v>79</x:v>
      </x:c>
      <x:c r="B80" s="289" t="n">
        <x:v>5945</x:v>
      </x:c>
      <x:c r="C80" s="290" t="str">
        <x:v>黄金圣律·神律</x:v>
      </x:c>
      <x:c r="D80" s="290" t="str">
        <x:v>黄金圣律</x:v>
      </x:c>
      <x:c r="E80" s="290" t="n">
        <x:v>9</x:v>
      </x:c>
      <x:c r="F80" s="290" t="str">
        <x:v>灵玉</x:v>
      </x:c>
      <x:c r="G80" s="289"/>
      <x:c r="H80" s="289"/>
      <x:c r="I80" s="289" t="n">
        <x:v>5945</x:v>
      </x:c>
      <x:c r="J80" s="289"/>
      <x:c r="K80" s="289"/>
      <x:c r="L80" s="289"/>
      <x:c r="M80" s="289" t="n">
        <x:v>5945</x:v>
      </x:c>
      <x:c r="N80" s="289" t="n">
        <x:v>5945</x:v>
      </x:c>
      <x:c r="O80" s="289" t="n">
        <x:v>5945</x:v>
      </x:c>
      <x:c r="P80" s="292"/>
      <x:c r="Q80" s="292" t="str">
        <x:v>原九部位资源库已登记</x:v>
      </x:c>
      <x:c r="R80" s="292" t="str"/>
      <x:c r="S80" s="292" t="str">
        <x:v>装备素材套装代码表.xlsx（原九部位）</x:v>
      </x:c>
      <x:c r="T80" s="292" t="str">
        <x:v>同一代码用于 Items / StateItem / DnItems；属性与掉落另表定义。</x:v>
      </x:c>
      <x:c r="U80" t="str">
        <x:f>IF(COUNTIF($B$2:$B$1076,B80)&gt;1,"重复","")</x:f>
      </x:c>
      <x:c r="V80" t="str">
        <x:f>IF(AND(OR(M80="",M80=B80),OR(N80="",N80=B80),OR(O80="",O80=B80)),"通过","不一致")</x:f>
        <x:v>通过</x:v>
      </x:c>
    </x:row>
    <x:row r="81" ht="22" customHeight="1">
      <x:c r="A81" s="289" t="n">
        <x:v>80</x:v>
      </x:c>
      <x:c r="B81" s="289" t="n">
        <x:v>5946</x:v>
      </x:c>
      <x:c r="C81" s="290" t="str">
        <x:v>黄金圣律·神律</x:v>
      </x:c>
      <x:c r="D81" s="290" t="str">
        <x:v>黄金圣律</x:v>
      </x:c>
      <x:c r="E81" s="290" t="n">
        <x:v>9</x:v>
      </x:c>
      <x:c r="F81" s="290" t="str">
        <x:v>鞋子</x:v>
      </x:c>
      <x:c r="G81" s="289"/>
      <x:c r="H81" s="289"/>
      <x:c r="I81" s="289" t="n">
        <x:v>5946</x:v>
      </x:c>
      <x:c r="J81" s="289"/>
      <x:c r="K81" s="289"/>
      <x:c r="L81" s="289"/>
      <x:c r="M81" s="289" t="n">
        <x:v>5946</x:v>
      </x:c>
      <x:c r="N81" s="289" t="n">
        <x:v>5946</x:v>
      </x:c>
      <x:c r="O81" s="289" t="n">
        <x:v>5946</x:v>
      </x:c>
      <x:c r="P81" s="292"/>
      <x:c r="Q81" s="292" t="str">
        <x:v>原九部位资源库已登记</x:v>
      </x:c>
      <x:c r="R81" s="324" t="str">
        <x:v>C3-C10规划锁定：角鹿逐叶履</x:v>
      </x:c>
      <x:c r="S81" s="292" t="str">
        <x:v>装备素材套装代码表.xlsx（原九部位）</x:v>
      </x:c>
      <x:c r="T81" s="292" t="str">
        <x:v>同一代码用于 Items / StateItem / DnItems；属性与掉落另表定义。</x:v>
      </x:c>
      <x:c r="U81" t="str">
        <x:f>IF(COUNTIF($B$2:$B$1076,B81)&gt;1,"重复","")</x:f>
      </x:c>
      <x:c r="V81" t="str">
        <x:f>IF(AND(OR(M81="",M81=B81),OR(N81="",N81=B81),OR(O81="",O81=B81)),"通过","不一致")</x:f>
        <x:v>通过</x:v>
      </x:c>
    </x:row>
    <x:row r="82" ht="22" customHeight="1">
      <x:c r="A82" s="289" t="n">
        <x:v>81</x:v>
      </x:c>
      <x:c r="B82" s="289" t="n">
        <x:v>5947</x:v>
      </x:c>
      <x:c r="C82" s="290" t="str">
        <x:v>黄金圣律·神律</x:v>
      </x:c>
      <x:c r="D82" s="290" t="str">
        <x:v>黄金圣律</x:v>
      </x:c>
      <x:c r="E82" s="290" t="n">
        <x:v>9</x:v>
      </x:c>
      <x:c r="F82" s="290" t="str">
        <x:v>腰带</x:v>
      </x:c>
      <x:c r="G82" s="289"/>
      <x:c r="H82" s="289"/>
      <x:c r="I82" s="289" t="n">
        <x:v>5947</x:v>
      </x:c>
      <x:c r="J82" s="289"/>
      <x:c r="K82" s="289"/>
      <x:c r="L82" s="289"/>
      <x:c r="M82" s="289" t="n">
        <x:v>5947</x:v>
      </x:c>
      <x:c r="N82" s="289" t="n">
        <x:v>5947</x:v>
      </x:c>
      <x:c r="O82" s="289" t="n">
        <x:v>5947</x:v>
      </x:c>
      <x:c r="P82" s="292"/>
      <x:c r="Q82" s="292" t="str">
        <x:v>原九部位资源库已登记</x:v>
      </x:c>
      <x:c r="R82" s="324" t="str">
        <x:v>C3-C10规划锁定：吞金蜥尾带</x:v>
      </x:c>
      <x:c r="S82" s="292" t="str">
        <x:v>装备素材套装代码表.xlsx（原九部位）</x:v>
      </x:c>
      <x:c r="T82" s="292" t="str">
        <x:v>同一代码用于 Items / StateItem / DnItems；属性与掉落另表定义。</x:v>
      </x:c>
      <x:c r="U82" t="str">
        <x:f>IF(COUNTIF($B$2:$B$1076,B82)&gt;1,"重复","")</x:f>
      </x:c>
      <x:c r="V82" t="str">
        <x:f>IF(AND(OR(M82="",M82=B82),OR(N82="",N82=B82),OR(O82="",O82=B82)),"通过","不一致")</x:f>
        <x:v>通过</x:v>
      </x:c>
    </x:row>
    <x:row r="83" ht="22" customHeight="1">
      <x:c r="A83" s="289" t="n">
        <x:v>82</x:v>
      </x:c>
      <x:c r="B83" s="289" t="n">
        <x:v>5948</x:v>
      </x:c>
      <x:c r="C83" s="290" t="str">
        <x:v>黄金圣律·永耀</x:v>
      </x:c>
      <x:c r="D83" s="290" t="str">
        <x:v>黄金圣律</x:v>
      </x:c>
      <x:c r="E83" s="290" t="n">
        <x:v>10</x:v>
      </x:c>
      <x:c r="F83" s="290" t="str">
        <x:v>勋章</x:v>
      </x:c>
      <x:c r="G83" s="289"/>
      <x:c r="H83" s="289"/>
      <x:c r="I83" s="289" t="n">
        <x:v>5948</x:v>
      </x:c>
      <x:c r="J83" s="289"/>
      <x:c r="K83" s="289"/>
      <x:c r="L83" s="289"/>
      <x:c r="M83" s="289" t="n">
        <x:v>5948</x:v>
      </x:c>
      <x:c r="N83" s="289" t="n">
        <x:v>5948</x:v>
      </x:c>
      <x:c r="O83" s="289" t="n">
        <x:v>5948</x:v>
      </x:c>
      <x:c r="P83" s="292"/>
      <x:c r="Q83" s="292" t="str">
        <x:v>原九部位资源库已登记</x:v>
      </x:c>
      <x:c r="R83" s="292" t="str"/>
      <x:c r="S83" s="292" t="str">
        <x:v>装备素材套装代码表.xlsx（原九部位）</x:v>
      </x:c>
      <x:c r="T83" s="292" t="str">
        <x:v>同一代码用于 Items / StateItem / DnItems；属性与掉落另表定义。</x:v>
      </x:c>
      <x:c r="U83" t="str">
        <x:f>IF(COUNTIF($B$2:$B$1076,B83)&gt;1,"重复","")</x:f>
      </x:c>
      <x:c r="V83" t="str">
        <x:f>IF(AND(OR(M83="",M83=B83),OR(N83="",N83=B83),OR(O83="",O83=B83)),"通过","不一致")</x:f>
        <x:v>通过</x:v>
      </x:c>
    </x:row>
    <x:row r="84" ht="22" customHeight="1">
      <x:c r="A84" s="289" t="n">
        <x:v>83</x:v>
      </x:c>
      <x:c r="B84" s="289" t="n">
        <x:v>5949</x:v>
      </x:c>
      <x:c r="C84" s="290" t="str">
        <x:v>黄金圣律·永耀</x:v>
      </x:c>
      <x:c r="D84" s="290" t="str">
        <x:v>黄金圣律</x:v>
      </x:c>
      <x:c r="E84" s="290" t="n">
        <x:v>10</x:v>
      </x:c>
      <x:c r="F84" s="290" t="str">
        <x:v>项链</x:v>
      </x:c>
      <x:c r="G84" s="289"/>
      <x:c r="H84" s="289"/>
      <x:c r="I84" s="289" t="n">
        <x:v>5949</x:v>
      </x:c>
      <x:c r="J84" s="289"/>
      <x:c r="K84" s="289"/>
      <x:c r="L84" s="289"/>
      <x:c r="M84" s="289" t="n">
        <x:v>5949</x:v>
      </x:c>
      <x:c r="N84" s="289" t="n">
        <x:v>5949</x:v>
      </x:c>
      <x:c r="O84" s="289" t="n">
        <x:v>5949</x:v>
      </x:c>
      <x:c r="P84" s="292"/>
      <x:c r="Q84" s="292" t="str">
        <x:v>原九部位资源库已登记</x:v>
      </x:c>
      <x:c r="R84" s="324" t="str">
        <x:v>C3-C10规划锁定：守烛项链</x:v>
      </x:c>
      <x:c r="S84" s="292" t="str">
        <x:v>装备素材套装代码表.xlsx（原九部位）</x:v>
      </x:c>
      <x:c r="T84" s="292" t="str">
        <x:v>同一代码用于 Items / StateItem / DnItems；属性与掉落另表定义。</x:v>
      </x:c>
      <x:c r="U84" t="str">
        <x:f>IF(COUNTIF($B$2:$B$1076,B84)&gt;1,"重复","")</x:f>
      </x:c>
      <x:c r="V84" t="str">
        <x:f>IF(AND(OR(M84="",M84=B84),OR(N84="",N84=B84),OR(O84="",O84=B84)),"通过","不一致")</x:f>
        <x:v>通过</x:v>
      </x:c>
    </x:row>
    <x:row r="85" ht="22" customHeight="1">
      <x:c r="A85" s="289" t="n">
        <x:v>84</x:v>
      </x:c>
      <x:c r="B85" s="289" t="n">
        <x:v>5950</x:v>
      </x:c>
      <x:c r="C85" s="290" t="str">
        <x:v>黄金圣律·永耀</x:v>
      </x:c>
      <x:c r="D85" s="290" t="str">
        <x:v>黄金圣律</x:v>
      </x:c>
      <x:c r="E85" s="290" t="n">
        <x:v>10</x:v>
      </x:c>
      <x:c r="F85" s="290" t="str">
        <x:v>头盔</x:v>
      </x:c>
      <x:c r="G85" s="289"/>
      <x:c r="H85" s="289"/>
      <x:c r="I85" s="289" t="n">
        <x:v>5950</x:v>
      </x:c>
      <x:c r="J85" s="289"/>
      <x:c r="K85" s="289"/>
      <x:c r="L85" s="289"/>
      <x:c r="M85" s="289" t="n">
        <x:v>5950</x:v>
      </x:c>
      <x:c r="N85" s="289" t="n">
        <x:v>5950</x:v>
      </x:c>
      <x:c r="O85" s="289" t="n">
        <x:v>5950</x:v>
      </x:c>
      <x:c r="P85" s="292"/>
      <x:c r="Q85" s="292" t="str">
        <x:v>原九部位资源库已登记</x:v>
      </x:c>
      <x:c r="R85" s="324" t="str">
        <x:v>C3-C10规划锁定：希尔达圣冠</x:v>
      </x:c>
      <x:c r="S85" s="292" t="str">
        <x:v>装备素材套装代码表.xlsx（原九部位）</x:v>
      </x:c>
      <x:c r="T85" s="292" t="str">
        <x:v>同一代码用于 Items / StateItem / DnItems；属性与掉落另表定义。</x:v>
      </x:c>
      <x:c r="U85" t="str">
        <x:f>IF(COUNTIF($B$2:$B$1076,B85)&gt;1,"重复","")</x:f>
      </x:c>
      <x:c r="V85" t="str">
        <x:f>IF(AND(OR(M85="",M85=B85),OR(N85="",N85=B85),OR(O85="",O85=B85)),"通过","不一致")</x:f>
        <x:v>通过</x:v>
      </x:c>
    </x:row>
    <x:row r="86" ht="22" customHeight="1">
      <x:c r="A86" s="289" t="n">
        <x:v>85</x:v>
      </x:c>
      <x:c r="B86" s="289" t="n">
        <x:v>5951</x:v>
      </x:c>
      <x:c r="C86" s="290" t="str">
        <x:v>黄金圣律·永耀</x:v>
      </x:c>
      <x:c r="D86" s="290" t="str">
        <x:v>黄金圣律</x:v>
      </x:c>
      <x:c r="E86" s="290" t="n">
        <x:v>10</x:v>
      </x:c>
      <x:c r="F86" s="290" t="str">
        <x:v>手镯</x:v>
      </x:c>
      <x:c r="G86" s="289"/>
      <x:c r="H86" s="289"/>
      <x:c r="I86" s="289" t="n">
        <x:v>5951</x:v>
      </x:c>
      <x:c r="J86" s="289"/>
      <x:c r="K86" s="289"/>
      <x:c r="L86" s="289"/>
      <x:c r="M86" s="289" t="n">
        <x:v>5951</x:v>
      </x:c>
      <x:c r="N86" s="289" t="n">
        <x:v>5951</x:v>
      </x:c>
      <x:c r="O86" s="289" t="n">
        <x:v>5951</x:v>
      </x:c>
      <x:c r="P86" s="292"/>
      <x:c r="Q86" s="292" t="str">
        <x:v>原九部位资源库已登记</x:v>
      </x:c>
      <x:c r="R86" s="324" t="str">
        <x:v>C3-C10规划锁定：冰铃童腕镯</x:v>
      </x:c>
      <x:c r="S86" s="292" t="str">
        <x:v>装备素材套装代码表.xlsx（原九部位）</x:v>
      </x:c>
      <x:c r="T86" s="292" t="str">
        <x:v>同一代码用于 Items / StateItem / DnItems；属性与掉落另表定义。</x:v>
      </x:c>
      <x:c r="U86" t="str">
        <x:f>IF(COUNTIF($B$2:$B$1076,B86)&gt;1,"重复","")</x:f>
      </x:c>
      <x:c r="V86" t="str">
        <x:f>IF(AND(OR(M86="",M86=B86),OR(N86="",N86=B86),OR(O86="",O86=B86)),"通过","不一致")</x:f>
        <x:v>通过</x:v>
      </x:c>
    </x:row>
    <x:row r="87" ht="22" customHeight="1">
      <x:c r="A87" s="289" t="n">
        <x:v>86</x:v>
      </x:c>
      <x:c r="B87" s="289" t="n">
        <x:v>5952</x:v>
      </x:c>
      <x:c r="C87" s="290" t="str">
        <x:v>黄金圣律·永耀</x:v>
      </x:c>
      <x:c r="D87" s="290" t="str">
        <x:v>黄金圣律</x:v>
      </x:c>
      <x:c r="E87" s="290" t="n">
        <x:v>10</x:v>
      </x:c>
      <x:c r="F87" s="290" t="str">
        <x:v>戒指</x:v>
      </x:c>
      <x:c r="G87" s="289"/>
      <x:c r="H87" s="289"/>
      <x:c r="I87" s="289" t="n">
        <x:v>5952</x:v>
      </x:c>
      <x:c r="J87" s="289"/>
      <x:c r="K87" s="289"/>
      <x:c r="L87" s="289"/>
      <x:c r="M87" s="289" t="n">
        <x:v>5952</x:v>
      </x:c>
      <x:c r="N87" s="289" t="n">
        <x:v>5952</x:v>
      </x:c>
      <x:c r="O87" s="289" t="n">
        <x:v>5952</x:v>
      </x:c>
      <x:c r="P87" s="292"/>
      <x:c r="Q87" s="292" t="str">
        <x:v>原九部位资源库已登记</x:v>
      </x:c>
      <x:c r="R87" s="324" t="str">
        <x:v>C3-C10规划锁定：封誓霜纹戒</x:v>
      </x:c>
      <x:c r="S87" s="292" t="str">
        <x:v>装备素材套装代码表.xlsx（原九部位）</x:v>
      </x:c>
      <x:c r="T87" s="292" t="str">
        <x:v>同一代码用于 Items / StateItem / DnItems；属性与掉落另表定义。</x:v>
      </x:c>
      <x:c r="U87" t="str">
        <x:f>IF(COUNTIF($B$2:$B$1076,B87)&gt;1,"重复","")</x:f>
      </x:c>
      <x:c r="V87" t="str">
        <x:f>IF(AND(OR(M87="",M87=B87),OR(N87="",N87=B87),OR(O87="",O87=B87)),"通过","不一致")</x:f>
        <x:v>通过</x:v>
      </x:c>
    </x:row>
    <x:row r="88" ht="22" customHeight="1">
      <x:c r="A88" s="289" t="n">
        <x:v>87</x:v>
      </x:c>
      <x:c r="B88" s="289" t="n">
        <x:v>5953</x:v>
      </x:c>
      <x:c r="C88" s="290" t="str">
        <x:v>黄金圣律·永耀</x:v>
      </x:c>
      <x:c r="D88" s="290" t="str">
        <x:v>黄金圣律</x:v>
      </x:c>
      <x:c r="E88" s="290" t="n">
        <x:v>10</x:v>
      </x:c>
      <x:c r="F88" s="290" t="str">
        <x:v>盾牌</x:v>
      </x:c>
      <x:c r="G88" s="289"/>
      <x:c r="H88" s="289"/>
      <x:c r="I88" s="289" t="n">
        <x:v>5953</x:v>
      </x:c>
      <x:c r="J88" s="289"/>
      <x:c r="K88" s="289"/>
      <x:c r="L88" s="289"/>
      <x:c r="M88" s="289" t="n">
        <x:v>5953</x:v>
      </x:c>
      <x:c r="N88" s="289" t="n">
        <x:v>5953</x:v>
      </x:c>
      <x:c r="O88" s="289" t="n">
        <x:v>5953</x:v>
      </x:c>
      <x:c r="P88" s="292"/>
      <x:c r="Q88" s="292" t="str">
        <x:v>原九部位资源库已登记</x:v>
      </x:c>
      <x:c r="R88" s="322" t="str">
        <x:v>C1/C2现用：百骸狮盾</x:v>
      </x:c>
      <x:c r="S88" s="292" t="str">
        <x:v>装备素材套装代码表.xlsx（原九部位）</x:v>
      </x:c>
      <x:c r="T88" s="292" t="str">
        <x:v>同一代码用于 Items / StateItem / DnItems；属性与掉落另表定义。</x:v>
      </x:c>
      <x:c r="U88" t="str">
        <x:f>IF(COUNTIF($B$2:$B$1076,B88)&gt;1,"重复","")</x:f>
      </x:c>
      <x:c r="V88" t="str">
        <x:f>IF(AND(OR(M88="",M88=B88),OR(N88="",N88=B88),OR(O88="",O88=B88)),"通过","不一致")</x:f>
        <x:v>通过</x:v>
      </x:c>
    </x:row>
    <x:row r="89" ht="22" customHeight="1">
      <x:c r="A89" s="289" t="n">
        <x:v>88</x:v>
      </x:c>
      <x:c r="B89" s="289" t="n">
        <x:v>5954</x:v>
      </x:c>
      <x:c r="C89" s="290" t="str">
        <x:v>黄金圣律·永耀</x:v>
      </x:c>
      <x:c r="D89" s="290" t="str">
        <x:v>黄金圣律</x:v>
      </x:c>
      <x:c r="E89" s="290" t="n">
        <x:v>10</x:v>
      </x:c>
      <x:c r="F89" s="290" t="str">
        <x:v>灵玉</x:v>
      </x:c>
      <x:c r="G89" s="289"/>
      <x:c r="H89" s="289"/>
      <x:c r="I89" s="289" t="n">
        <x:v>5954</x:v>
      </x:c>
      <x:c r="J89" s="289"/>
      <x:c r="K89" s="289"/>
      <x:c r="L89" s="289"/>
      <x:c r="M89" s="289" t="n">
        <x:v>5954</x:v>
      </x:c>
      <x:c r="N89" s="289" t="n">
        <x:v>5954</x:v>
      </x:c>
      <x:c r="O89" s="289" t="n">
        <x:v>5954</x:v>
      </x:c>
      <x:c r="P89" s="292"/>
      <x:c r="Q89" s="292" t="str">
        <x:v>原九部位资源库已登记</x:v>
      </x:c>
      <x:c r="R89" s="322" t="str">
        <x:v>C1/C2现用：拉塔恩的大卢恩</x:v>
      </x:c>
      <x:c r="S89" s="292" t="str">
        <x:v>装备素材套装代码表.xlsx（原九部位）</x:v>
      </x:c>
      <x:c r="T89" s="292" t="str">
        <x:v>同一代码用于 Items / StateItem / DnItems；属性与掉落另表定义。</x:v>
      </x:c>
      <x:c r="U89" t="str">
        <x:f>IF(COUNTIF($B$2:$B$1076,B89)&gt;1,"重复","")</x:f>
      </x:c>
      <x:c r="V89" t="str">
        <x:f>IF(AND(OR(M89="",M89=B89),OR(N89="",N89=B89),OR(O89="",O89=B89)),"通过","不一致")</x:f>
        <x:v>通过</x:v>
      </x:c>
    </x:row>
    <x:row r="90" ht="22" customHeight="1">
      <x:c r="A90" s="289" t="n">
        <x:v>89</x:v>
      </x:c>
      <x:c r="B90" s="289" t="n">
        <x:v>5955</x:v>
      </x:c>
      <x:c r="C90" s="290" t="str">
        <x:v>黄金圣律·永耀</x:v>
      </x:c>
      <x:c r="D90" s="290" t="str">
        <x:v>黄金圣律</x:v>
      </x:c>
      <x:c r="E90" s="290" t="n">
        <x:v>10</x:v>
      </x:c>
      <x:c r="F90" s="290" t="str">
        <x:v>鞋子</x:v>
      </x:c>
      <x:c r="G90" s="289"/>
      <x:c r="H90" s="289"/>
      <x:c r="I90" s="289" t="n">
        <x:v>5955</x:v>
      </x:c>
      <x:c r="J90" s="289"/>
      <x:c r="K90" s="289"/>
      <x:c r="L90" s="289"/>
      <x:c r="M90" s="289" t="n">
        <x:v>5955</x:v>
      </x:c>
      <x:c r="N90" s="289" t="n">
        <x:v>5955</x:v>
      </x:c>
      <x:c r="O90" s="289" t="n">
        <x:v>5955</x:v>
      </x:c>
      <x:c r="P90" s="292"/>
      <x:c r="Q90" s="292" t="str">
        <x:v>原九部位资源库已登记</x:v>
      </x:c>
      <x:c r="R90" s="324" t="str">
        <x:v>C3-C10规划锁定：啮岩鼠爪靴</x:v>
      </x:c>
      <x:c r="S90" s="292" t="str">
        <x:v>装备素材套装代码表.xlsx（原九部位）</x:v>
      </x:c>
      <x:c r="T90" s="292" t="str">
        <x:v>同一代码用于 Items / StateItem / DnItems；属性与掉落另表定义。</x:v>
      </x:c>
      <x:c r="U90" t="str">
        <x:f>IF(COUNTIF($B$2:$B$1076,B90)&gt;1,"重复","")</x:f>
      </x:c>
      <x:c r="V90" t="str">
        <x:f>IF(AND(OR(M90="",M90=B90),OR(N90="",N90=B90),OR(O90="",O90=B90)),"通过","不一致")</x:f>
        <x:v>通过</x:v>
      </x:c>
    </x:row>
    <x:row r="91" ht="22" customHeight="1">
      <x:c r="A91" s="289" t="n">
        <x:v>90</x:v>
      </x:c>
      <x:c r="B91" s="289" t="n">
        <x:v>5956</x:v>
      </x:c>
      <x:c r="C91" s="290" t="str">
        <x:v>黄金圣律·永耀</x:v>
      </x:c>
      <x:c r="D91" s="290" t="str">
        <x:v>黄金圣律</x:v>
      </x:c>
      <x:c r="E91" s="290" t="n">
        <x:v>10</x:v>
      </x:c>
      <x:c r="F91" s="290" t="str">
        <x:v>腰带</x:v>
      </x:c>
      <x:c r="G91" s="289"/>
      <x:c r="H91" s="289"/>
      <x:c r="I91" s="289" t="n">
        <x:v>5956</x:v>
      </x:c>
      <x:c r="J91" s="289"/>
      <x:c r="K91" s="289"/>
      <x:c r="L91" s="289"/>
      <x:c r="M91" s="289" t="n">
        <x:v>5956</x:v>
      </x:c>
      <x:c r="N91" s="289" t="n">
        <x:v>5956</x:v>
      </x:c>
      <x:c r="O91" s="289" t="n">
        <x:v>5956</x:v>
      </x:c>
      <x:c r="P91" s="292"/>
      <x:c r="Q91" s="292" t="str">
        <x:v>原九部位资源库已登记</x:v>
      </x:c>
      <x:c r="R91" s="324" t="str">
        <x:v>C3-C10规划锁定：食梦蝉蜕带</x:v>
      </x:c>
      <x:c r="S91" s="292" t="str">
        <x:v>装备素材套装代码表.xlsx（原九部位）</x:v>
      </x:c>
      <x:c r="T91" s="292" t="str">
        <x:v>同一代码用于 Items / StateItem / DnItems；属性与掉落另表定义。</x:v>
      </x:c>
      <x:c r="U91" t="str">
        <x:f>IF(COUNTIF($B$2:$B$1076,B91)&gt;1,"重复","")</x:f>
      </x:c>
      <x:c r="V91" t="str">
        <x:f>IF(AND(OR(M91="",M91=B91),OR(N91="",N91=B91),OR(O91="",O91=B91)),"通过","不一致")</x:f>
        <x:v>通过</x:v>
      </x:c>
    </x:row>
    <x:row r="92" ht="22" customHeight="1">
      <x:c r="A92" s="289" t="n">
        <x:v>91</x:v>
      </x:c>
      <x:c r="B92" s="289" t="n">
        <x:v>5957</x:v>
      </x:c>
      <x:c r="C92" s="290" t="str">
        <x:v>血月荆棘·暗芽</x:v>
      </x:c>
      <x:c r="D92" s="290" t="str">
        <x:v>血月荆棘</x:v>
      </x:c>
      <x:c r="E92" s="290" t="n">
        <x:v>1</x:v>
      </x:c>
      <x:c r="F92" s="290" t="str">
        <x:v>勋章</x:v>
      </x:c>
      <x:c r="G92" s="289"/>
      <x:c r="H92" s="289"/>
      <x:c r="I92" s="289" t="n">
        <x:v>5957</x:v>
      </x:c>
      <x:c r="J92" s="289"/>
      <x:c r="K92" s="289"/>
      <x:c r="L92" s="289"/>
      <x:c r="M92" s="289" t="n">
        <x:v>5957</x:v>
      </x:c>
      <x:c r="N92" s="289" t="n">
        <x:v>5957</x:v>
      </x:c>
      <x:c r="O92" s="289" t="n">
        <x:v>5957</x:v>
      </x:c>
      <x:c r="P92" s="292"/>
      <x:c r="Q92" s="292" t="str">
        <x:v>原九部位资源库已登记</x:v>
      </x:c>
      <x:c r="R92" s="292" t="str"/>
      <x:c r="S92" s="292" t="str">
        <x:v>装备素材套装代码表.xlsx（原九部位）</x:v>
      </x:c>
      <x:c r="T92" s="292" t="str">
        <x:v>同一代码用于 Items / StateItem / DnItems；属性与掉落另表定义。</x:v>
      </x:c>
      <x:c r="U92" t="str">
        <x:f>IF(COUNTIF($B$2:$B$1076,B92)&gt;1,"重复","")</x:f>
      </x:c>
      <x:c r="V92" t="str">
        <x:f>IF(AND(OR(M92="",M92=B92),OR(N92="",N92=B92),OR(O92="",O92=B92)),"通过","不一致")</x:f>
        <x:v>通过</x:v>
      </x:c>
    </x:row>
    <x:row r="93" ht="22" customHeight="1">
      <x:c r="A93" s="289" t="n">
        <x:v>92</x:v>
      </x:c>
      <x:c r="B93" s="289" t="n">
        <x:v>5958</x:v>
      </x:c>
      <x:c r="C93" s="290" t="str">
        <x:v>血月荆棘·暗芽</x:v>
      </x:c>
      <x:c r="D93" s="290" t="str">
        <x:v>血月荆棘</x:v>
      </x:c>
      <x:c r="E93" s="290" t="n">
        <x:v>1</x:v>
      </x:c>
      <x:c r="F93" s="290" t="str">
        <x:v>项链</x:v>
      </x:c>
      <x:c r="G93" s="289"/>
      <x:c r="H93" s="289"/>
      <x:c r="I93" s="289" t="n">
        <x:v>5958</x:v>
      </x:c>
      <x:c r="J93" s="289"/>
      <x:c r="K93" s="289"/>
      <x:c r="L93" s="289"/>
      <x:c r="M93" s="289" t="n">
        <x:v>5958</x:v>
      </x:c>
      <x:c r="N93" s="289" t="n">
        <x:v>5958</x:v>
      </x:c>
      <x:c r="O93" s="289" t="n">
        <x:v>5958</x:v>
      </x:c>
      <x:c r="P93" s="292"/>
      <x:c r="Q93" s="292" t="str">
        <x:v>原九部位资源库已登记</x:v>
      </x:c>
      <x:c r="R93" s="324" t="str">
        <x:v>C3-C10规划锁定：霜烛垂链</x:v>
      </x:c>
      <x:c r="S93" s="292" t="str">
        <x:v>装备素材套装代码表.xlsx（原九部位）</x:v>
      </x:c>
      <x:c r="T93" s="292" t="str">
        <x:v>同一代码用于 Items / StateItem / DnItems；属性与掉落另表定义。</x:v>
      </x:c>
      <x:c r="U93" t="str">
        <x:f>IF(COUNTIF($B$2:$B$1076,B93)&gt;1,"重复","")</x:f>
      </x:c>
      <x:c r="V93" t="str">
        <x:f>IF(AND(OR(M93="",M93=B93),OR(N93="",N93=B93),OR(O93="",O93=B93)),"通过","不一致")</x:f>
        <x:v>通过</x:v>
      </x:c>
    </x:row>
    <x:row r="94" ht="22" customHeight="1">
      <x:c r="A94" s="289" t="n">
        <x:v>93</x:v>
      </x:c>
      <x:c r="B94" s="289" t="n">
        <x:v>5959</x:v>
      </x:c>
      <x:c r="C94" s="290" t="str">
        <x:v>血月荆棘·暗芽</x:v>
      </x:c>
      <x:c r="D94" s="290" t="str">
        <x:v>血月荆棘</x:v>
      </x:c>
      <x:c r="E94" s="290" t="n">
        <x:v>1</x:v>
      </x:c>
      <x:c r="F94" s="290" t="str">
        <x:v>头盔</x:v>
      </x:c>
      <x:c r="G94" s="289"/>
      <x:c r="H94" s="289"/>
      <x:c r="I94" s="289" t="n">
        <x:v>5959</x:v>
      </x:c>
      <x:c r="J94" s="289"/>
      <x:c r="K94" s="289"/>
      <x:c r="L94" s="289"/>
      <x:c r="M94" s="289" t="n">
        <x:v>5959</x:v>
      </x:c>
      <x:c r="N94" s="289" t="n">
        <x:v>5959</x:v>
      </x:c>
      <x:c r="O94" s="289" t="n">
        <x:v>5959</x:v>
      </x:c>
      <x:c r="P94" s="292"/>
      <x:c r="Q94" s="292" t="str">
        <x:v>原九部位资源库已登记</x:v>
      </x:c>
      <x:c r="R94" s="324" t="str">
        <x:v>C3-C10规划锁定：青隼翎盔</x:v>
      </x:c>
      <x:c r="S94" s="292" t="str">
        <x:v>装备素材套装代码表.xlsx（原九部位）</x:v>
      </x:c>
      <x:c r="T94" s="292" t="str">
        <x:v>同一代码用于 Items / StateItem / DnItems；属性与掉落另表定义。</x:v>
      </x:c>
      <x:c r="U94" t="str">
        <x:f>IF(COUNTIF($B$2:$B$1076,B94)&gt;1,"重复","")</x:f>
      </x:c>
      <x:c r="V94" t="str">
        <x:f>IF(AND(OR(M94="",M94=B94),OR(N94="",N94=B94),OR(O94="",O94=B94)),"通过","不一致")</x:f>
        <x:v>通过</x:v>
      </x:c>
    </x:row>
    <x:row r="95" ht="22" customHeight="1">
      <x:c r="A95" s="289" t="n">
        <x:v>94</x:v>
      </x:c>
      <x:c r="B95" s="289" t="n">
        <x:v>5960</x:v>
      </x:c>
      <x:c r="C95" s="290" t="str">
        <x:v>血月荆棘·暗芽</x:v>
      </x:c>
      <x:c r="D95" s="290" t="str">
        <x:v>血月荆棘</x:v>
      </x:c>
      <x:c r="E95" s="290" t="n">
        <x:v>1</x:v>
      </x:c>
      <x:c r="F95" s="290" t="str">
        <x:v>手镯</x:v>
      </x:c>
      <x:c r="G95" s="289"/>
      <x:c r="H95" s="289"/>
      <x:c r="I95" s="289" t="n">
        <x:v>5960</x:v>
      </x:c>
      <x:c r="J95" s="289"/>
      <x:c r="K95" s="289"/>
      <x:c r="L95" s="289"/>
      <x:c r="M95" s="289" t="n">
        <x:v>5960</x:v>
      </x:c>
      <x:c r="N95" s="289" t="n">
        <x:v>5960</x:v>
      </x:c>
      <x:c r="O95" s="289" t="n">
        <x:v>5960</x:v>
      </x:c>
      <x:c r="P95" s="292"/>
      <x:c r="Q95" s="292" t="str">
        <x:v>原九部位资源库已登记</x:v>
      </x:c>
      <x:c r="R95" s="324" t="str">
        <x:v>C3-C10规划锁定：金颚守陵镯</x:v>
      </x:c>
      <x:c r="S95" s="292" t="str">
        <x:v>装备素材套装代码表.xlsx（原九部位）</x:v>
      </x:c>
      <x:c r="T95" s="292" t="str">
        <x:v>同一代码用于 Items / StateItem / DnItems；属性与掉落另表定义。</x:v>
      </x:c>
      <x:c r="U95" t="str">
        <x:f>IF(COUNTIF($B$2:$B$1076,B95)&gt;1,"重复","")</x:f>
      </x:c>
      <x:c r="V95" t="str">
        <x:f>IF(AND(OR(M95="",M95=B95),OR(N95="",N95=B95),OR(O95="",O95=B95)),"通过","不一致")</x:f>
        <x:v>通过</x:v>
      </x:c>
    </x:row>
    <x:row r="96" ht="22" customHeight="1">
      <x:c r="A96" s="289" t="n">
        <x:v>95</x:v>
      </x:c>
      <x:c r="B96" s="289" t="n">
        <x:v>5961</x:v>
      </x:c>
      <x:c r="C96" s="290" t="str">
        <x:v>血月荆棘·暗芽</x:v>
      </x:c>
      <x:c r="D96" s="290" t="str">
        <x:v>血月荆棘</x:v>
      </x:c>
      <x:c r="E96" s="290" t="n">
        <x:v>1</x:v>
      </x:c>
      <x:c r="F96" s="290" t="str">
        <x:v>戒指</x:v>
      </x:c>
      <x:c r="G96" s="289"/>
      <x:c r="H96" s="289"/>
      <x:c r="I96" s="289" t="n">
        <x:v>5961</x:v>
      </x:c>
      <x:c r="J96" s="289"/>
      <x:c r="K96" s="289"/>
      <x:c r="L96" s="289"/>
      <x:c r="M96" s="289" t="n">
        <x:v>5961</x:v>
      </x:c>
      <x:c r="N96" s="289" t="n">
        <x:v>5961</x:v>
      </x:c>
      <x:c r="O96" s="289" t="n">
        <x:v>5961</x:v>
      </x:c>
      <x:c r="P96" s="292"/>
      <x:c r="Q96" s="292" t="str">
        <x:v>原九部位资源库已登记</x:v>
      </x:c>
      <x:c r="R96" s="324" t="str">
        <x:v>C3-C10规划锁定：缄誓寒铁戒</x:v>
      </x:c>
      <x:c r="S96" s="292" t="str">
        <x:v>装备素材套装代码表.xlsx（原九部位）</x:v>
      </x:c>
      <x:c r="T96" s="292" t="str">
        <x:v>同一代码用于 Items / StateItem / DnItems；属性与掉落另表定义。</x:v>
      </x:c>
      <x:c r="U96" t="str">
        <x:f>IF(COUNTIF($B$2:$B$1076,B96)&gt;1,"重复","")</x:f>
      </x:c>
      <x:c r="V96" t="str">
        <x:f>IF(AND(OR(M96="",M96=B96),OR(N96="",N96=B96),OR(O96="",O96=B96)),"通过","不一致")</x:f>
        <x:v>通过</x:v>
      </x:c>
    </x:row>
    <x:row r="97" ht="22" customHeight="1">
      <x:c r="A97" s="289" t="n">
        <x:v>96</x:v>
      </x:c>
      <x:c r="B97" s="289" t="n">
        <x:v>5962</x:v>
      </x:c>
      <x:c r="C97" s="290" t="str">
        <x:v>血月荆棘·暗芽</x:v>
      </x:c>
      <x:c r="D97" s="290" t="str">
        <x:v>血月荆棘</x:v>
      </x:c>
      <x:c r="E97" s="290" t="n">
        <x:v>1</x:v>
      </x:c>
      <x:c r="F97" s="290" t="str">
        <x:v>盾牌</x:v>
      </x:c>
      <x:c r="G97" s="289"/>
      <x:c r="H97" s="289"/>
      <x:c r="I97" s="289" t="n">
        <x:v>5962</x:v>
      </x:c>
      <x:c r="J97" s="289"/>
      <x:c r="K97" s="289"/>
      <x:c r="L97" s="289"/>
      <x:c r="M97" s="289" t="n">
        <x:v>5962</x:v>
      </x:c>
      <x:c r="N97" s="289" t="n">
        <x:v>5962</x:v>
      </x:c>
      <x:c r="O97" s="289" t="n">
        <x:v>5962</x:v>
      </x:c>
      <x:c r="P97" s="292"/>
      <x:c r="Q97" s="292" t="str">
        <x:v>原九部位资源库已登记</x:v>
      </x:c>
      <x:c r="R97" s="324" t="str">
        <x:v>C3-C10规划锁定：驮甲叶纹盾</x:v>
      </x:c>
      <x:c r="S97" s="292" t="str">
        <x:v>装备素材套装代码表.xlsx（原九部位）</x:v>
      </x:c>
      <x:c r="T97" s="292" t="str">
        <x:v>同一代码用于 Items / StateItem / DnItems；属性与掉落另表定义。</x:v>
      </x:c>
      <x:c r="U97" t="str">
        <x:f>IF(COUNTIF($B$2:$B$1076,B97)&gt;1,"重复","")</x:f>
      </x:c>
      <x:c r="V97" t="str">
        <x:f>IF(AND(OR(M97="",M97=B97),OR(N97="",N97=B97),OR(O97="",O97=B97)),"通过","不一致")</x:f>
        <x:v>通过</x:v>
      </x:c>
    </x:row>
    <x:row r="98" ht="22" customHeight="1">
      <x:c r="A98" s="289" t="n">
        <x:v>97</x:v>
      </x:c>
      <x:c r="B98" s="289" t="n">
        <x:v>5963</x:v>
      </x:c>
      <x:c r="C98" s="290" t="str">
        <x:v>血月荆棘·暗芽</x:v>
      </x:c>
      <x:c r="D98" s="290" t="str">
        <x:v>血月荆棘</x:v>
      </x:c>
      <x:c r="E98" s="290" t="n">
        <x:v>1</x:v>
      </x:c>
      <x:c r="F98" s="290" t="str">
        <x:v>灵玉</x:v>
      </x:c>
      <x:c r="G98" s="289"/>
      <x:c r="H98" s="289"/>
      <x:c r="I98" s="289" t="n">
        <x:v>5963</x:v>
      </x:c>
      <x:c r="J98" s="289"/>
      <x:c r="K98" s="289"/>
      <x:c r="L98" s="289"/>
      <x:c r="M98" s="289" t="n">
        <x:v>5963</x:v>
      </x:c>
      <x:c r="N98" s="289" t="n">
        <x:v>5963</x:v>
      </x:c>
      <x:c r="O98" s="289" t="n">
        <x:v>5963</x:v>
      </x:c>
      <x:c r="P98" s="292"/>
      <x:c r="Q98" s="292" t="str">
        <x:v>原九部位资源库已登记</x:v>
      </x:c>
      <x:c r="R98" s="292" t="str"/>
      <x:c r="S98" s="292" t="str">
        <x:v>装备素材套装代码表.xlsx（原九部位）</x:v>
      </x:c>
      <x:c r="T98" s="292" t="str">
        <x:v>同一代码用于 Items / StateItem / DnItems；属性与掉落另表定义。</x:v>
      </x:c>
      <x:c r="U98" t="str">
        <x:f>IF(COUNTIF($B$2:$B$1076,B98)&gt;1,"重复","")</x:f>
      </x:c>
      <x:c r="V98" t="str">
        <x:f>IF(AND(OR(M98="",M98=B98),OR(N98="",N98=B98),OR(O98="",O98=B98)),"通过","不一致")</x:f>
        <x:v>通过</x:v>
      </x:c>
    </x:row>
    <x:row r="99" ht="22" customHeight="1">
      <x:c r="A99" s="289" t="n">
        <x:v>98</x:v>
      </x:c>
      <x:c r="B99" s="289" t="n">
        <x:v>5964</x:v>
      </x:c>
      <x:c r="C99" s="290" t="str">
        <x:v>血月荆棘·暗芽</x:v>
      </x:c>
      <x:c r="D99" s="290" t="str">
        <x:v>血月荆棘</x:v>
      </x:c>
      <x:c r="E99" s="290" t="n">
        <x:v>1</x:v>
      </x:c>
      <x:c r="F99" s="290" t="str">
        <x:v>鞋子</x:v>
      </x:c>
      <x:c r="G99" s="289"/>
      <x:c r="H99" s="289"/>
      <x:c r="I99" s="289" t="n">
        <x:v>5964</x:v>
      </x:c>
      <x:c r="J99" s="289"/>
      <x:c r="K99" s="289"/>
      <x:c r="L99" s="289"/>
      <x:c r="M99" s="289" t="n">
        <x:v>5964</x:v>
      </x:c>
      <x:c r="N99" s="289" t="n">
        <x:v>5964</x:v>
      </x:c>
      <x:c r="O99" s="289" t="n">
        <x:v>5964</x:v>
      </x:c>
      <x:c r="P99" s="292"/>
      <x:c r="Q99" s="292" t="str">
        <x:v>原九部位资源库已登记</x:v>
      </x:c>
      <x:c r="R99" s="324" t="str">
        <x:v>C3-C10规划锁定：金翅碑尘履</x:v>
      </x:c>
      <x:c r="S99" s="292" t="str">
        <x:v>装备素材套装代码表.xlsx（原九部位）</x:v>
      </x:c>
      <x:c r="T99" s="292" t="str">
        <x:v>同一代码用于 Items / StateItem / DnItems；属性与掉落另表定义。</x:v>
      </x:c>
      <x:c r="U99" t="str">
        <x:f>IF(COUNTIF($B$2:$B$1076,B99)&gt;1,"重复","")</x:f>
      </x:c>
      <x:c r="V99" t="str">
        <x:f>IF(AND(OR(M99="",M99=B99),OR(N99="",N99=B99),OR(O99="",O99=B99)),"通过","不一致")</x:f>
        <x:v>通过</x:v>
      </x:c>
    </x:row>
    <x:row r="100" ht="22" customHeight="1">
      <x:c r="A100" s="289" t="n">
        <x:v>99</x:v>
      </x:c>
      <x:c r="B100" s="289" t="n">
        <x:v>5965</x:v>
      </x:c>
      <x:c r="C100" s="290" t="str">
        <x:v>血月荆棘·暗芽</x:v>
      </x:c>
      <x:c r="D100" s="290" t="str">
        <x:v>血月荆棘</x:v>
      </x:c>
      <x:c r="E100" s="290" t="n">
        <x:v>1</x:v>
      </x:c>
      <x:c r="F100" s="290" t="str">
        <x:v>腰带</x:v>
      </x:c>
      <x:c r="G100" s="289"/>
      <x:c r="H100" s="289"/>
      <x:c r="I100" s="289" t="n">
        <x:v>5965</x:v>
      </x:c>
      <x:c r="J100" s="289"/>
      <x:c r="K100" s="289"/>
      <x:c r="L100" s="289"/>
      <x:c r="M100" s="289" t="n">
        <x:v>5965</x:v>
      </x:c>
      <x:c r="N100" s="289" t="n">
        <x:v>5965</x:v>
      </x:c>
      <x:c r="O100" s="289" t="n">
        <x:v>5965</x:v>
      </x:c>
      <x:c r="P100" s="292"/>
      <x:c r="Q100" s="292" t="str">
        <x:v>原九部位资源库已登记</x:v>
      </x:c>
      <x:c r="R100" s="322" t="str">
        <x:v>C1/C2现用：黄金战带</x:v>
      </x:c>
      <x:c r="S100" s="292" t="str">
        <x:v>装备素材套装代码表.xlsx（原九部位）</x:v>
      </x:c>
      <x:c r="T100" s="292" t="str">
        <x:v>同一代码用于 Items / StateItem / DnItems；属性与掉落另表定义。</x:v>
      </x:c>
      <x:c r="U100" t="str">
        <x:f>IF(COUNTIF($B$2:$B$1076,B100)&gt;1,"重复","")</x:f>
      </x:c>
      <x:c r="V100" t="str">
        <x:f>IF(AND(OR(M100="",M100=B100),OR(N100="",N100=B100),OR(O100="",O100=B100)),"通过","不一致")</x:f>
        <x:v>通过</x:v>
      </x:c>
    </x:row>
    <x:row r="101" ht="22" customHeight="1">
      <x:c r="A101" s="289" t="n">
        <x:v>100</x:v>
      </x:c>
      <x:c r="B101" s="289" t="n">
        <x:v>5966</x:v>
      </x:c>
      <x:c r="C101" s="290" t="str">
        <x:v>血月荆棘·血棘</x:v>
      </x:c>
      <x:c r="D101" s="290" t="str">
        <x:v>血月荆棘</x:v>
      </x:c>
      <x:c r="E101" s="290" t="n">
        <x:v>2</x:v>
      </x:c>
      <x:c r="F101" s="290" t="str">
        <x:v>勋章</x:v>
      </x:c>
      <x:c r="G101" s="289"/>
      <x:c r="H101" s="289"/>
      <x:c r="I101" s="289" t="n">
        <x:v>5966</x:v>
      </x:c>
      <x:c r="J101" s="289"/>
      <x:c r="K101" s="289"/>
      <x:c r="L101" s="289"/>
      <x:c r="M101" s="289" t="n">
        <x:v>5966</x:v>
      </x:c>
      <x:c r="N101" s="289" t="n">
        <x:v>5966</x:v>
      </x:c>
      <x:c r="O101" s="289" t="n">
        <x:v>5966</x:v>
      </x:c>
      <x:c r="P101" s="292"/>
      <x:c r="Q101" s="292" t="str">
        <x:v>原九部位资源库已登记</x:v>
      </x:c>
      <x:c r="R101" s="292" t="str"/>
      <x:c r="S101" s="292" t="str">
        <x:v>装备素材套装代码表.xlsx（原九部位）</x:v>
      </x:c>
      <x:c r="T101" s="292" t="str">
        <x:v>同一代码用于 Items / StateItem / DnItems；属性与掉落另表定义。</x:v>
      </x:c>
      <x:c r="U101" t="str">
        <x:f>IF(COUNTIF($B$2:$B$1076,B101)&gt;1,"重复","")</x:f>
      </x:c>
      <x:c r="V101" t="str">
        <x:f>IF(AND(OR(M101="",M101=B101),OR(N101="",N101=B101),OR(O101="",O101=B101)),"通过","不一致")</x:f>
        <x:v>通过</x:v>
      </x:c>
    </x:row>
    <x:row r="102" ht="22" customHeight="1">
      <x:c r="A102" s="289" t="n">
        <x:v>101</x:v>
      </x:c>
      <x:c r="B102" s="289" t="n">
        <x:v>5967</x:v>
      </x:c>
      <x:c r="C102" s="290" t="str">
        <x:v>血月荆棘·血棘</x:v>
      </x:c>
      <x:c r="D102" s="290" t="str">
        <x:v>血月荆棘</x:v>
      </x:c>
      <x:c r="E102" s="290" t="n">
        <x:v>2</x:v>
      </x:c>
      <x:c r="F102" s="290" t="str">
        <x:v>项链</x:v>
      </x:c>
      <x:c r="G102" s="289"/>
      <x:c r="H102" s="289"/>
      <x:c r="I102" s="289" t="n">
        <x:v>5967</x:v>
      </x:c>
      <x:c r="J102" s="289"/>
      <x:c r="K102" s="289"/>
      <x:c r="L102" s="289"/>
      <x:c r="M102" s="289" t="n">
        <x:v>5967</x:v>
      </x:c>
      <x:c r="N102" s="289" t="n">
        <x:v>5967</x:v>
      </x:c>
      <x:c r="O102" s="289" t="n">
        <x:v>5967</x:v>
      </x:c>
      <x:c r="P102" s="292"/>
      <x:c r="Q102" s="292" t="str">
        <x:v>原九部位资源库已登记</x:v>
      </x:c>
      <x:c r="R102" s="324" t="str">
        <x:v>C3-C10规划锁定：寒翼听风坠</x:v>
      </x:c>
      <x:c r="S102" s="292" t="str">
        <x:v>装备素材套装代码表.xlsx（原九部位）</x:v>
      </x:c>
      <x:c r="T102" s="292" t="str">
        <x:v>同一代码用于 Items / StateItem / DnItems；属性与掉落另表定义。</x:v>
      </x:c>
      <x:c r="U102" t="str">
        <x:f>IF(COUNTIF($B$2:$B$1076,B102)&gt;1,"重复","")</x:f>
      </x:c>
      <x:c r="V102" t="str">
        <x:f>IF(AND(OR(M102="",M102=B102),OR(N102="",N102=B102),OR(O102="",O102=B102)),"通过","不一致")</x:f>
        <x:v>通过</x:v>
      </x:c>
    </x:row>
    <x:row r="103" ht="22" customHeight="1">
      <x:c r="A103" s="289" t="n">
        <x:v>102</x:v>
      </x:c>
      <x:c r="B103" s="289" t="n">
        <x:v>5968</x:v>
      </x:c>
      <x:c r="C103" s="290" t="str">
        <x:v>血月荆棘·血棘</x:v>
      </x:c>
      <x:c r="D103" s="290" t="str">
        <x:v>血月荆棘</x:v>
      </x:c>
      <x:c r="E103" s="290" t="n">
        <x:v>2</x:v>
      </x:c>
      <x:c r="F103" s="290" t="str">
        <x:v>头盔</x:v>
      </x:c>
      <x:c r="G103" s="289"/>
      <x:c r="H103" s="289"/>
      <x:c r="I103" s="289" t="n">
        <x:v>5968</x:v>
      </x:c>
      <x:c r="J103" s="289"/>
      <x:c r="K103" s="289"/>
      <x:c r="L103" s="289"/>
      <x:c r="M103" s="289" t="n">
        <x:v>5968</x:v>
      </x:c>
      <x:c r="N103" s="289" t="n">
        <x:v>5968</x:v>
      </x:c>
      <x:c r="O103" s="289" t="n">
        <x:v>5968</x:v>
      </x:c>
      <x:c r="P103" s="292"/>
      <x:c r="Q103" s="292" t="str">
        <x:v>原九部位资源库已登记</x:v>
      </x:c>
      <x:c r="R103" s="322" t="str">
        <x:v>C1/C2现用：刀翼王盔</x:v>
      </x:c>
      <x:c r="S103" s="292" t="str">
        <x:v>装备素材套装代码表.xlsx（原九部位）</x:v>
      </x:c>
      <x:c r="T103" s="292" t="str">
        <x:v>同一代码用于 Items / StateItem / DnItems；属性与掉落另表定义。</x:v>
      </x:c>
      <x:c r="U103" t="str">
        <x:f>IF(COUNTIF($B$2:$B$1076,B103)&gt;1,"重复","")</x:f>
      </x:c>
      <x:c r="V103" t="str">
        <x:f>IF(AND(OR(M103="",M103=B103),OR(N103="",N103=B103),OR(O103="",O103=B103)),"通过","不一致")</x:f>
        <x:v>通过</x:v>
      </x:c>
    </x:row>
    <x:row r="104" ht="22" customHeight="1">
      <x:c r="A104" s="289" t="n">
        <x:v>103</x:v>
      </x:c>
      <x:c r="B104" s="289" t="n">
        <x:v>5969</x:v>
      </x:c>
      <x:c r="C104" s="290" t="str">
        <x:v>血月荆棘·血棘</x:v>
      </x:c>
      <x:c r="D104" s="290" t="str">
        <x:v>血月荆棘</x:v>
      </x:c>
      <x:c r="E104" s="290" t="n">
        <x:v>2</x:v>
      </x:c>
      <x:c r="F104" s="290" t="str">
        <x:v>手镯</x:v>
      </x:c>
      <x:c r="G104" s="289"/>
      <x:c r="H104" s="289"/>
      <x:c r="I104" s="289" t="n">
        <x:v>5969</x:v>
      </x:c>
      <x:c r="J104" s="289"/>
      <x:c r="K104" s="289"/>
      <x:c r="L104" s="289"/>
      <x:c r="M104" s="289" t="n">
        <x:v>5969</x:v>
      </x:c>
      <x:c r="N104" s="289" t="n">
        <x:v>5969</x:v>
      </x:c>
      <x:c r="O104" s="289" t="n">
        <x:v>5969</x:v>
      </x:c>
      <x:c r="P104" s="292"/>
      <x:c r="Q104" s="292" t="str">
        <x:v>原九部位资源库已登记</x:v>
      </x:c>
      <x:c r="R104" s="324" t="str">
        <x:v>C3-C10规划锁定：熔勺婆铜镯</x:v>
      </x:c>
      <x:c r="S104" s="292" t="str">
        <x:v>装备素材套装代码表.xlsx（原九部位）</x:v>
      </x:c>
      <x:c r="T104" s="292" t="str">
        <x:v>同一代码用于 Items / StateItem / DnItems；属性与掉落另表定义。</x:v>
      </x:c>
      <x:c r="U104" t="str">
        <x:f>IF(COUNTIF($B$2:$B$1076,B104)&gt;1,"重复","")</x:f>
      </x:c>
      <x:c r="V104" t="str">
        <x:f>IF(AND(OR(M104="",M104=B104),OR(N104="",N104=B104),OR(O104="",O104=B104)),"通过","不一致")</x:f>
        <x:v>通过</x:v>
      </x:c>
    </x:row>
    <x:row r="105" ht="22" customHeight="1">
      <x:c r="A105" s="289" t="n">
        <x:v>104</x:v>
      </x:c>
      <x:c r="B105" s="289" t="n">
        <x:v>5970</x:v>
      </x:c>
      <x:c r="C105" s="290" t="str">
        <x:v>血月荆棘·血棘</x:v>
      </x:c>
      <x:c r="D105" s="290" t="str">
        <x:v>血月荆棘</x:v>
      </x:c>
      <x:c r="E105" s="290" t="n">
        <x:v>2</x:v>
      </x:c>
      <x:c r="F105" s="290" t="str">
        <x:v>戒指</x:v>
      </x:c>
      <x:c r="G105" s="289"/>
      <x:c r="H105" s="289"/>
      <x:c r="I105" s="289" t="n">
        <x:v>5970</x:v>
      </x:c>
      <x:c r="J105" s="289"/>
      <x:c r="K105" s="289"/>
      <x:c r="L105" s="289"/>
      <x:c r="M105" s="289" t="n">
        <x:v>5970</x:v>
      </x:c>
      <x:c r="N105" s="289" t="n">
        <x:v>5970</x:v>
      </x:c>
      <x:c r="O105" s="289" t="n">
        <x:v>5970</x:v>
      </x:c>
      <x:c r="P105" s="292"/>
      <x:c r="Q105" s="292" t="str">
        <x:v>原九部位资源库已登记</x:v>
      </x:c>
      <x:c r="R105" s="324" t="str">
        <x:v>C3-C10规划锁定：霜冠司礼戒</x:v>
      </x:c>
      <x:c r="S105" s="292" t="str">
        <x:v>装备素材套装代码表.xlsx（原九部位）</x:v>
      </x:c>
      <x:c r="T105" s="292" t="str">
        <x:v>同一代码用于 Items / StateItem / DnItems；属性与掉落另表定义。</x:v>
      </x:c>
      <x:c r="U105" t="str">
        <x:f>IF(COUNTIF($B$2:$B$1076,B105)&gt;1,"重复","")</x:f>
      </x:c>
      <x:c r="V105" t="str">
        <x:f>IF(AND(OR(M105="",M105=B105),OR(N105="",N105=B105),OR(O105="",O105=B105)),"通过","不一致")</x:f>
        <x:v>通过</x:v>
      </x:c>
    </x:row>
    <x:row r="106" ht="22" customHeight="1">
      <x:c r="A106" s="289" t="n">
        <x:v>105</x:v>
      </x:c>
      <x:c r="B106" s="289" t="n">
        <x:v>5971</x:v>
      </x:c>
      <x:c r="C106" s="290" t="str">
        <x:v>血月荆棘·血棘</x:v>
      </x:c>
      <x:c r="D106" s="290" t="str">
        <x:v>血月荆棘</x:v>
      </x:c>
      <x:c r="E106" s="290" t="n">
        <x:v>2</x:v>
      </x:c>
      <x:c r="F106" s="290" t="str">
        <x:v>盾牌</x:v>
      </x:c>
      <x:c r="G106" s="289"/>
      <x:c r="H106" s="289"/>
      <x:c r="I106" s="289" t="n">
        <x:v>5971</x:v>
      </x:c>
      <x:c r="J106" s="289"/>
      <x:c r="K106" s="289"/>
      <x:c r="L106" s="289"/>
      <x:c r="M106" s="289" t="n">
        <x:v>5971</x:v>
      </x:c>
      <x:c r="N106" s="289" t="n">
        <x:v>5971</x:v>
      </x:c>
      <x:c r="O106" s="289" t="n">
        <x:v>5971</x:v>
      </x:c>
      <x:c r="P106" s="292"/>
      <x:c r="Q106" s="292" t="str">
        <x:v>原九部位资源库已登记</x:v>
      </x:c>
      <x:c r="R106" s="324" t="str">
        <x:v>C3-C10规划锁定：晶背层岩盾</x:v>
      </x:c>
      <x:c r="S106" s="292" t="str">
        <x:v>装备素材套装代码表.xlsx（原九部位）</x:v>
      </x:c>
      <x:c r="T106" s="292" t="str">
        <x:v>同一代码用于 Items / StateItem / DnItems；属性与掉落另表定义。</x:v>
      </x:c>
      <x:c r="U106" t="str">
        <x:f>IF(COUNTIF($B$2:$B$1076,B106)&gt;1,"重复","")</x:f>
      </x:c>
      <x:c r="V106" t="str">
        <x:f>IF(AND(OR(M106="",M106=B106),OR(N106="",N106=B106),OR(O106="",O106=B106)),"通过","不一致")</x:f>
        <x:v>通过</x:v>
      </x:c>
    </x:row>
    <x:row r="107" ht="22" customHeight="1">
      <x:c r="A107" s="289" t="n">
        <x:v>106</x:v>
      </x:c>
      <x:c r="B107" s="289" t="n">
        <x:v>5972</x:v>
      </x:c>
      <x:c r="C107" s="290" t="str">
        <x:v>血月荆棘·血棘</x:v>
      </x:c>
      <x:c r="D107" s="290" t="str">
        <x:v>血月荆棘</x:v>
      </x:c>
      <x:c r="E107" s="290" t="n">
        <x:v>2</x:v>
      </x:c>
      <x:c r="F107" s="290" t="str">
        <x:v>灵玉</x:v>
      </x:c>
      <x:c r="G107" s="289"/>
      <x:c r="H107" s="289"/>
      <x:c r="I107" s="289" t="n">
        <x:v>5972</x:v>
      </x:c>
      <x:c r="J107" s="289"/>
      <x:c r="K107" s="289"/>
      <x:c r="L107" s="289"/>
      <x:c r="M107" s="289" t="n">
        <x:v>5972</x:v>
      </x:c>
      <x:c r="N107" s="289" t="n">
        <x:v>5972</x:v>
      </x:c>
      <x:c r="O107" s="289" t="n">
        <x:v>5972</x:v>
      </x:c>
      <x:c r="P107" s="292"/>
      <x:c r="Q107" s="292" t="str">
        <x:v>原九部位资源库已登记</x:v>
      </x:c>
      <x:c r="R107" s="292" t="str"/>
      <x:c r="S107" s="292" t="str">
        <x:v>装备素材套装代码表.xlsx（原九部位）</x:v>
      </x:c>
      <x:c r="T107" s="292" t="str">
        <x:v>同一代码用于 Items / StateItem / DnItems；属性与掉落另表定义。</x:v>
      </x:c>
      <x:c r="U107" t="str">
        <x:f>IF(COUNTIF($B$2:$B$1076,B107)&gt;1,"重复","")</x:f>
      </x:c>
      <x:c r="V107" t="str">
        <x:f>IF(AND(OR(M107="",M107=B107),OR(N107="",N107=B107),OR(O107="",O107=B107)),"通过","不一致")</x:f>
        <x:v>通过</x:v>
      </x:c>
    </x:row>
    <x:row r="108" ht="22" customHeight="1">
      <x:c r="A108" s="289" t="n">
        <x:v>107</x:v>
      </x:c>
      <x:c r="B108" s="289" t="n">
        <x:v>5973</x:v>
      </x:c>
      <x:c r="C108" s="290" t="str">
        <x:v>血月荆棘·血棘</x:v>
      </x:c>
      <x:c r="D108" s="290" t="str">
        <x:v>血月荆棘</x:v>
      </x:c>
      <x:c r="E108" s="290" t="n">
        <x:v>2</x:v>
      </x:c>
      <x:c r="F108" s="290" t="str">
        <x:v>鞋子</x:v>
      </x:c>
      <x:c r="G108" s="289"/>
      <x:c r="H108" s="289"/>
      <x:c r="I108" s="289" t="n">
        <x:v>5973</x:v>
      </x:c>
      <x:c r="J108" s="289"/>
      <x:c r="K108" s="289"/>
      <x:c r="L108" s="289"/>
      <x:c r="M108" s="289" t="n">
        <x:v>5973</x:v>
      </x:c>
      <x:c r="N108" s="289" t="n">
        <x:v>5973</x:v>
      </x:c>
      <x:c r="O108" s="289" t="n">
        <x:v>5973</x:v>
      </x:c>
      <x:c r="P108" s="292"/>
      <x:c r="Q108" s="292" t="str">
        <x:v>原九部位资源库已登记</x:v>
      </x:c>
      <x:c r="R108" s="324" t="str">
        <x:v>C3-C10规划锁定：扫金仆软履</x:v>
      </x:c>
      <x:c r="S108" s="292" t="str">
        <x:v>装备素材套装代码表.xlsx（原九部位）</x:v>
      </x:c>
      <x:c r="T108" s="292" t="str">
        <x:v>同一代码用于 Items / StateItem / DnItems；属性与掉落另表定义。</x:v>
      </x:c>
      <x:c r="U108" t="str">
        <x:f>IF(COUNTIF($B$2:$B$1076,B108)&gt;1,"重复","")</x:f>
      </x:c>
      <x:c r="V108" t="str">
        <x:f>IF(AND(OR(M108="",M108=B108),OR(N108="",N108=B108),OR(O108="",O108=B108)),"通过","不一致")</x:f>
        <x:v>通过</x:v>
      </x:c>
    </x:row>
    <x:row r="109" ht="22" customHeight="1">
      <x:c r="A109" s="289" t="n">
        <x:v>108</x:v>
      </x:c>
      <x:c r="B109" s="289" t="n">
        <x:v>5974</x:v>
      </x:c>
      <x:c r="C109" s="290" t="str">
        <x:v>血月荆棘·血棘</x:v>
      </x:c>
      <x:c r="D109" s="290" t="str">
        <x:v>血月荆棘</x:v>
      </x:c>
      <x:c r="E109" s="290" t="n">
        <x:v>2</x:v>
      </x:c>
      <x:c r="F109" s="290" t="str">
        <x:v>腰带</x:v>
      </x:c>
      <x:c r="G109" s="289"/>
      <x:c r="H109" s="289"/>
      <x:c r="I109" s="289" t="n">
        <x:v>5974</x:v>
      </x:c>
      <x:c r="J109" s="289"/>
      <x:c r="K109" s="289"/>
      <x:c r="L109" s="289"/>
      <x:c r="M109" s="289" t="n">
        <x:v>5974</x:v>
      </x:c>
      <x:c r="N109" s="289" t="n">
        <x:v>5974</x:v>
      </x:c>
      <x:c r="O109" s="289" t="n">
        <x:v>5974</x:v>
      </x:c>
      <x:c r="P109" s="292"/>
      <x:c r="Q109" s="292" t="str">
        <x:v>原九部位资源库已登记</x:v>
      </x:c>
      <x:c r="R109" s="324" t="str">
        <x:v>C3-C10规划锁定：裁罪使荆腰带</x:v>
      </x:c>
      <x:c r="S109" s="292" t="str">
        <x:v>装备素材套装代码表.xlsx（原九部位）</x:v>
      </x:c>
      <x:c r="T109" s="292" t="str">
        <x:v>同一代码用于 Items / StateItem / DnItems；属性与掉落另表定义。</x:v>
      </x:c>
      <x:c r="U109" t="str">
        <x:f>IF(COUNTIF($B$2:$B$1076,B109)&gt;1,"重复","")</x:f>
      </x:c>
      <x:c r="V109" t="str">
        <x:f>IF(AND(OR(M109="",M109=B109),OR(N109="",N109=B109),OR(O109="",O109=B109)),"通过","不一致")</x:f>
        <x:v>通过</x:v>
      </x:c>
    </x:row>
    <x:row r="110" ht="22" customHeight="1">
      <x:c r="A110" s="289" t="n">
        <x:v>109</x:v>
      </x:c>
      <x:c r="B110" s="289" t="n">
        <x:v>5975</x:v>
      </x:c>
      <x:c r="C110" s="290" t="str">
        <x:v>血月荆棘·猩痕</x:v>
      </x:c>
      <x:c r="D110" s="290" t="str">
        <x:v>血月荆棘</x:v>
      </x:c>
      <x:c r="E110" s="290" t="n">
        <x:v>3</x:v>
      </x:c>
      <x:c r="F110" s="290" t="str">
        <x:v>勋章</x:v>
      </x:c>
      <x:c r="G110" s="289"/>
      <x:c r="H110" s="289"/>
      <x:c r="I110" s="289" t="n">
        <x:v>5975</x:v>
      </x:c>
      <x:c r="J110" s="289"/>
      <x:c r="K110" s="289"/>
      <x:c r="L110" s="289"/>
      <x:c r="M110" s="289" t="n">
        <x:v>5975</x:v>
      </x:c>
      <x:c r="N110" s="289" t="n">
        <x:v>5975</x:v>
      </x:c>
      <x:c r="O110" s="289" t="n">
        <x:v>5975</x:v>
      </x:c>
      <x:c r="P110" s="292"/>
      <x:c r="Q110" s="292" t="str">
        <x:v>原九部位资源库已登记</x:v>
      </x:c>
      <x:c r="R110" s="292" t="str"/>
      <x:c r="S110" s="292" t="str">
        <x:v>装备素材套装代码表.xlsx（原九部位）</x:v>
      </x:c>
      <x:c r="T110" s="292" t="str">
        <x:v>同一代码用于 Items / StateItem / DnItems；属性与掉落另表定义。</x:v>
      </x:c>
      <x:c r="U110" t="str">
        <x:f>IF(COUNTIF($B$2:$B$1076,B110)&gt;1,"重复","")</x:f>
      </x:c>
      <x:c r="V110" t="str">
        <x:f>IF(AND(OR(M110="",M110=B110),OR(N110="",N110=B110),OR(O110="",O110=B110)),"通过","不一致")</x:f>
        <x:v>通过</x:v>
      </x:c>
    </x:row>
    <x:row r="111" ht="22" customHeight="1">
      <x:c r="A111" s="289" t="n">
        <x:v>110</x:v>
      </x:c>
      <x:c r="B111" s="289" t="n">
        <x:v>5976</x:v>
      </x:c>
      <x:c r="C111" s="290" t="str">
        <x:v>血月荆棘·猩痕</x:v>
      </x:c>
      <x:c r="D111" s="290" t="str">
        <x:v>血月荆棘</x:v>
      </x:c>
      <x:c r="E111" s="290" t="n">
        <x:v>3</x:v>
      </x:c>
      <x:c r="F111" s="290" t="str">
        <x:v>项链</x:v>
      </x:c>
      <x:c r="G111" s="289"/>
      <x:c r="H111" s="289"/>
      <x:c r="I111" s="289" t="n">
        <x:v>5976</x:v>
      </x:c>
      <x:c r="J111" s="289"/>
      <x:c r="K111" s="289"/>
      <x:c r="L111" s="289"/>
      <x:c r="M111" s="289" t="n">
        <x:v>5976</x:v>
      </x:c>
      <x:c r="N111" s="289" t="n">
        <x:v>5976</x:v>
      </x:c>
      <x:c r="O111" s="289" t="n">
        <x:v>5976</x:v>
      </x:c>
      <x:c r="P111" s="292"/>
      <x:c r="Q111" s="292" t="str">
        <x:v>原九部位资源库已登记</x:v>
      </x:c>
      <x:c r="R111" s="322" t="str">
        <x:v>C1/C2现用：破垒鹰链</x:v>
      </x:c>
      <x:c r="S111" s="292" t="str">
        <x:v>装备素材套装代码表.xlsx（原九部位）</x:v>
      </x:c>
      <x:c r="T111" s="292" t="str">
        <x:v>同一代码用于 Items / StateItem / DnItems；属性与掉落另表定义。</x:v>
      </x:c>
      <x:c r="U111" t="str">
        <x:f>IF(COUNTIF($B$2:$B$1076,B111)&gt;1,"重复","")</x:f>
      </x:c>
      <x:c r="V111" t="str">
        <x:f>IF(AND(OR(M111="",M111=B111),OR(N111="",N111=B111),OR(O111="",O111=B111)),"通过","不一致")</x:f>
        <x:v>通过</x:v>
      </x:c>
    </x:row>
    <x:row r="112" ht="22" customHeight="1">
      <x:c r="A112" s="289" t="n">
        <x:v>111</x:v>
      </x:c>
      <x:c r="B112" s="289" t="n">
        <x:v>5977</x:v>
      </x:c>
      <x:c r="C112" s="290" t="str">
        <x:v>血月荆棘·猩痕</x:v>
      </x:c>
      <x:c r="D112" s="290" t="str">
        <x:v>血月荆棘</x:v>
      </x:c>
      <x:c r="E112" s="290" t="n">
        <x:v>3</x:v>
      </x:c>
      <x:c r="F112" s="290" t="str">
        <x:v>头盔</x:v>
      </x:c>
      <x:c r="G112" s="289"/>
      <x:c r="H112" s="289"/>
      <x:c r="I112" s="289" t="n">
        <x:v>5977</x:v>
      </x:c>
      <x:c r="J112" s="289"/>
      <x:c r="K112" s="289"/>
      <x:c r="L112" s="289"/>
      <x:c r="M112" s="289" t="n">
        <x:v>5977</x:v>
      </x:c>
      <x:c r="N112" s="289" t="n">
        <x:v>5977</x:v>
      </x:c>
      <x:c r="O112" s="289" t="n">
        <x:v>5977</x:v>
      </x:c>
      <x:c r="P112" s="292"/>
      <x:c r="Q112" s="292" t="str">
        <x:v>原九部位资源库已登记</x:v>
      </x:c>
      <x:c r="R112" s="324" t="str">
        <x:v>C3-C10规划锁定：雪嚎裂角盔</x:v>
      </x:c>
      <x:c r="S112" s="292" t="str">
        <x:v>装备素材套装代码表.xlsx（原九部位）</x:v>
      </x:c>
      <x:c r="T112" s="292" t="str">
        <x:v>同一代码用于 Items / StateItem / DnItems；属性与掉落另表定义。</x:v>
      </x:c>
      <x:c r="U112" t="str">
        <x:f>IF(COUNTIF($B$2:$B$1076,B112)&gt;1,"重复","")</x:f>
      </x:c>
      <x:c r="V112" t="str">
        <x:f>IF(AND(OR(M112="",M112=B112),OR(N112="",N112=B112),OR(O112="",O112=B112)),"通过","不一致")</x:f>
        <x:v>通过</x:v>
      </x:c>
    </x:row>
    <x:row r="113" ht="22" customHeight="1">
      <x:c r="A113" s="289" t="n">
        <x:v>112</x:v>
      </x:c>
      <x:c r="B113" s="289" t="n">
        <x:v>5978</x:v>
      </x:c>
      <x:c r="C113" s="290" t="str">
        <x:v>血月荆棘·猩痕</x:v>
      </x:c>
      <x:c r="D113" s="290" t="str">
        <x:v>血月荆棘</x:v>
      </x:c>
      <x:c r="E113" s="290" t="n">
        <x:v>3</x:v>
      </x:c>
      <x:c r="F113" s="290" t="str">
        <x:v>手镯</x:v>
      </x:c>
      <x:c r="G113" s="289"/>
      <x:c r="H113" s="289"/>
      <x:c r="I113" s="289" t="n">
        <x:v>5978</x:v>
      </x:c>
      <x:c r="J113" s="289"/>
      <x:c r="K113" s="289"/>
      <x:c r="L113" s="289"/>
      <x:c r="M113" s="289" t="n">
        <x:v>5978</x:v>
      </x:c>
      <x:c r="N113" s="289" t="n">
        <x:v>5978</x:v>
      </x:c>
      <x:c r="O113" s="289" t="n">
        <x:v>5978</x:v>
      </x:c>
      <x:c r="P113" s="292"/>
      <x:c r="Q113" s="292" t="str">
        <x:v>原九部位资源库已登记</x:v>
      </x:c>
      <x:c r="R113" s="324" t="str">
        <x:v>C3-C10规划锁定：葬犬衔骨镯</x:v>
      </x:c>
      <x:c r="S113" s="292" t="str">
        <x:v>装备素材套装代码表.xlsx（原九部位）</x:v>
      </x:c>
      <x:c r="T113" s="292" t="str">
        <x:v>同一代码用于 Items / StateItem / DnItems；属性与掉落另表定义。</x:v>
      </x:c>
      <x:c r="U113" t="str">
        <x:f>IF(COUNTIF($B$2:$B$1076,B113)&gt;1,"重复","")</x:f>
      </x:c>
      <x:c r="V113" t="str">
        <x:f>IF(AND(OR(M113="",M113=B113),OR(N113="",N113=B113),OR(O113="",O113=B113)),"通过","不一致")</x:f>
        <x:v>通过</x:v>
      </x:c>
    </x:row>
    <x:row r="114" ht="22" customHeight="1">
      <x:c r="A114" s="289" t="n">
        <x:v>113</x:v>
      </x:c>
      <x:c r="B114" s="289" t="n">
        <x:v>5979</x:v>
      </x:c>
      <x:c r="C114" s="290" t="str">
        <x:v>血月荆棘·猩痕</x:v>
      </x:c>
      <x:c r="D114" s="290" t="str">
        <x:v>血月荆棘</x:v>
      </x:c>
      <x:c r="E114" s="290" t="n">
        <x:v>3</x:v>
      </x:c>
      <x:c r="F114" s="290" t="str">
        <x:v>戒指</x:v>
      </x:c>
      <x:c r="G114" s="289"/>
      <x:c r="H114" s="289"/>
      <x:c r="I114" s="289" t="n">
        <x:v>5979</x:v>
      </x:c>
      <x:c r="J114" s="289"/>
      <x:c r="K114" s="289"/>
      <x:c r="L114" s="289"/>
      <x:c r="M114" s="289" t="n">
        <x:v>5979</x:v>
      </x:c>
      <x:c r="N114" s="289" t="n">
        <x:v>5979</x:v>
      </x:c>
      <x:c r="O114" s="289" t="n">
        <x:v>5979</x:v>
      </x:c>
      <x:c r="P114" s="292"/>
      <x:c r="Q114" s="292" t="str">
        <x:v>原九部位资源库已登记</x:v>
      </x:c>
      <x:c r="R114" s="324" t="str">
        <x:v>C3-C10规划锁定：守梦霜瞳戒</x:v>
      </x:c>
      <x:c r="S114" s="292" t="str">
        <x:v>装备素材套装代码表.xlsx（原九部位）</x:v>
      </x:c>
      <x:c r="T114" s="292" t="str">
        <x:v>同一代码用于 Items / StateItem / DnItems；属性与掉落另表定义。</x:v>
      </x:c>
      <x:c r="U114" t="str">
        <x:f>IF(COUNTIF($B$2:$B$1076,B114)&gt;1,"重复","")</x:f>
      </x:c>
      <x:c r="V114" t="str">
        <x:f>IF(AND(OR(M114="",M114=B114),OR(N114="",N114=B114),OR(O114="",O114=B114)),"通过","不一致")</x:f>
        <x:v>通过</x:v>
      </x:c>
    </x:row>
    <x:row r="115" ht="22" customHeight="1">
      <x:c r="A115" s="289" t="n">
        <x:v>114</x:v>
      </x:c>
      <x:c r="B115" s="289" t="n">
        <x:v>5980</x:v>
      </x:c>
      <x:c r="C115" s="290" t="str">
        <x:v>血月荆棘·猩痕</x:v>
      </x:c>
      <x:c r="D115" s="290" t="str">
        <x:v>血月荆棘</x:v>
      </x:c>
      <x:c r="E115" s="290" t="n">
        <x:v>3</x:v>
      </x:c>
      <x:c r="F115" s="290" t="str">
        <x:v>盾牌</x:v>
      </x:c>
      <x:c r="G115" s="289"/>
      <x:c r="H115" s="289"/>
      <x:c r="I115" s="289" t="n">
        <x:v>5980</x:v>
      </x:c>
      <x:c r="J115" s="289"/>
      <x:c r="K115" s="289"/>
      <x:c r="L115" s="289"/>
      <x:c r="M115" s="289" t="n">
        <x:v>5980</x:v>
      </x:c>
      <x:c r="N115" s="289" t="n">
        <x:v>5980</x:v>
      </x:c>
      <x:c r="O115" s="289" t="n">
        <x:v>5980</x:v>
      </x:c>
      <x:c r="P115" s="292"/>
      <x:c r="Q115" s="292" t="str">
        <x:v>原九部位资源库已登记</x:v>
      </x:c>
      <x:c r="R115" s="324" t="str">
        <x:v>C3-C10规划锁定：扶棺铜纹盾</x:v>
      </x:c>
      <x:c r="S115" s="292" t="str">
        <x:v>装备素材套装代码表.xlsx（原九部位）</x:v>
      </x:c>
      <x:c r="T115" s="292" t="str">
        <x:v>同一代码用于 Items / StateItem / DnItems；属性与掉落另表定义。</x:v>
      </x:c>
      <x:c r="U115" t="str">
        <x:f>IF(COUNTIF($B$2:$B$1076,B115)&gt;1,"重复","")</x:f>
      </x:c>
      <x:c r="V115" t="str">
        <x:f>IF(AND(OR(M115="",M115=B115),OR(N115="",N115=B115),OR(O115="",O115=B115)),"通过","不一致")</x:f>
        <x:v>通过</x:v>
      </x:c>
    </x:row>
    <x:row r="116" ht="22" customHeight="1">
      <x:c r="A116" s="289" t="n">
        <x:v>115</x:v>
      </x:c>
      <x:c r="B116" s="289" t="n">
        <x:v>5981</x:v>
      </x:c>
      <x:c r="C116" s="290" t="str">
        <x:v>血月荆棘·猩痕</x:v>
      </x:c>
      <x:c r="D116" s="290" t="str">
        <x:v>血月荆棘</x:v>
      </x:c>
      <x:c r="E116" s="290" t="n">
        <x:v>3</x:v>
      </x:c>
      <x:c r="F116" s="290" t="str">
        <x:v>灵玉</x:v>
      </x:c>
      <x:c r="G116" s="289"/>
      <x:c r="H116" s="289"/>
      <x:c r="I116" s="289" t="n">
        <x:v>5981</x:v>
      </x:c>
      <x:c r="J116" s="289"/>
      <x:c r="K116" s="289"/>
      <x:c r="L116" s="289"/>
      <x:c r="M116" s="289" t="n">
        <x:v>5981</x:v>
      </x:c>
      <x:c r="N116" s="289" t="n">
        <x:v>5981</x:v>
      </x:c>
      <x:c r="O116" s="289" t="n">
        <x:v>5981</x:v>
      </x:c>
      <x:c r="P116" s="292"/>
      <x:c r="Q116" s="292" t="str">
        <x:v>原九部位资源库已登记</x:v>
      </x:c>
      <x:c r="R116" s="292" t="str"/>
      <x:c r="S116" s="292" t="str">
        <x:v>装备素材套装代码表.xlsx（原九部位）</x:v>
      </x:c>
      <x:c r="T116" s="292" t="str">
        <x:v>同一代码用于 Items / StateItem / DnItems；属性与掉落另表定义。</x:v>
      </x:c>
      <x:c r="U116" t="str">
        <x:f>IF(COUNTIF($B$2:$B$1076,B116)&gt;1,"重复","")</x:f>
      </x:c>
      <x:c r="V116" t="str">
        <x:f>IF(AND(OR(M116="",M116=B116),OR(N116="",N116=B116),OR(O116="",O116=B116)),"通过","不一致")</x:f>
        <x:v>通过</x:v>
      </x:c>
    </x:row>
    <x:row r="117" ht="22" customHeight="1">
      <x:c r="A117" s="289" t="n">
        <x:v>116</x:v>
      </x:c>
      <x:c r="B117" s="289" t="n">
        <x:v>5982</x:v>
      </x:c>
      <x:c r="C117" s="290" t="str">
        <x:v>血月荆棘·猩痕</x:v>
      </x:c>
      <x:c r="D117" s="290" t="str">
        <x:v>血月荆棘</x:v>
      </x:c>
      <x:c r="E117" s="290" t="n">
        <x:v>3</x:v>
      </x:c>
      <x:c r="F117" s="290" t="str">
        <x:v>鞋子</x:v>
      </x:c>
      <x:c r="G117" s="289"/>
      <x:c r="H117" s="289"/>
      <x:c r="I117" s="289" t="n">
        <x:v>5982</x:v>
      </x:c>
      <x:c r="J117" s="289"/>
      <x:c r="K117" s="289"/>
      <x:c r="L117" s="289"/>
      <x:c r="M117" s="289" t="n">
        <x:v>5982</x:v>
      </x:c>
      <x:c r="N117" s="289" t="n">
        <x:v>5982</x:v>
      </x:c>
      <x:c r="O117" s="289" t="n">
        <x:v>5982</x:v>
      </x:c>
      <x:c r="P117" s="292"/>
      <x:c r="Q117" s="292" t="str">
        <x:v>原九部位资源库已登记</x:v>
      </x:c>
      <x:c r="R117" s="324" t="str">
        <x:v>C3-C10规划锁定：拾箭童疾履</x:v>
      </x:c>
      <x:c r="S117" s="292" t="str">
        <x:v>装备素材套装代码表.xlsx（原九部位）</x:v>
      </x:c>
      <x:c r="T117" s="292" t="str">
        <x:v>同一代码用于 Items / StateItem / DnItems；属性与掉落另表定义。</x:v>
      </x:c>
      <x:c r="U117" t="str">
        <x:f>IF(COUNTIF($B$2:$B$1076,B117)&gt;1,"重复","")</x:f>
      </x:c>
      <x:c r="V117" t="str">
        <x:f>IF(AND(OR(M117="",M117=B117),OR(N117="",N117=B117),OR(O117="",O117=B117)),"通过","不一致")</x:f>
        <x:v>通过</x:v>
      </x:c>
    </x:row>
    <x:row r="118" ht="22" customHeight="1">
      <x:c r="A118" s="289" t="n">
        <x:v>117</x:v>
      </x:c>
      <x:c r="B118" s="289" t="n">
        <x:v>5983</x:v>
      </x:c>
      <x:c r="C118" s="290" t="str">
        <x:v>血月荆棘·猩痕</x:v>
      </x:c>
      <x:c r="D118" s="290" t="str">
        <x:v>血月荆棘</x:v>
      </x:c>
      <x:c r="E118" s="290" t="n">
        <x:v>3</x:v>
      </x:c>
      <x:c r="F118" s="290" t="str">
        <x:v>腰带</x:v>
      </x:c>
      <x:c r="G118" s="289"/>
      <x:c r="H118" s="289"/>
      <x:c r="I118" s="289" t="n">
        <x:v>5983</x:v>
      </x:c>
      <x:c r="J118" s="289"/>
      <x:c r="K118" s="289"/>
      <x:c r="L118" s="289"/>
      <x:c r="M118" s="289" t="n">
        <x:v>5983</x:v>
      </x:c>
      <x:c r="N118" s="289" t="n">
        <x:v>5983</x:v>
      </x:c>
      <x:c r="O118" s="289" t="n">
        <x:v>5983</x:v>
      </x:c>
      <x:c r="P118" s="292"/>
      <x:c r="Q118" s="292" t="str">
        <x:v>原九部位资源库已登记</x:v>
      </x:c>
      <x:c r="R118" s="324" t="str">
        <x:v>C3-C10规划锁定：百战旗官带</x:v>
      </x:c>
      <x:c r="S118" s="292" t="str">
        <x:v>装备素材套装代码表.xlsx（原九部位）</x:v>
      </x:c>
      <x:c r="T118" s="292" t="str">
        <x:v>同一代码用于 Items / StateItem / DnItems；属性与掉落另表定义。</x:v>
      </x:c>
      <x:c r="U118" t="str">
        <x:f>IF(COUNTIF($B$2:$B$1076,B118)&gt;1,"重复","")</x:f>
      </x:c>
      <x:c r="V118" t="str">
        <x:f>IF(AND(OR(M118="",M118=B118),OR(N118="",N118=B118),OR(O118="",O118=B118)),"通过","不一致")</x:f>
        <x:v>通过</x:v>
      </x:c>
    </x:row>
    <x:row r="119" ht="22" customHeight="1">
      <x:c r="A119" s="289" t="n">
        <x:v>118</x:v>
      </x:c>
      <x:c r="B119" s="289" t="n">
        <x:v>5984</x:v>
      </x:c>
      <x:c r="C119" s="290" t="str">
        <x:v>血月荆棘·夜蔷</x:v>
      </x:c>
      <x:c r="D119" s="290" t="str">
        <x:v>血月荆棘</x:v>
      </x:c>
      <x:c r="E119" s="290" t="n">
        <x:v>4</x:v>
      </x:c>
      <x:c r="F119" s="290" t="str">
        <x:v>勋章</x:v>
      </x:c>
      <x:c r="G119" s="289"/>
      <x:c r="H119" s="289"/>
      <x:c r="I119" s="289" t="n">
        <x:v>5984</x:v>
      </x:c>
      <x:c r="J119" s="289"/>
      <x:c r="K119" s="289"/>
      <x:c r="L119" s="289"/>
      <x:c r="M119" s="289" t="n">
        <x:v>5984</x:v>
      </x:c>
      <x:c r="N119" s="289" t="n">
        <x:v>5984</x:v>
      </x:c>
      <x:c r="O119" s="289" t="n">
        <x:v>5984</x:v>
      </x:c>
      <x:c r="P119" s="292"/>
      <x:c r="Q119" s="292" t="str">
        <x:v>原九部位资源库已登记</x:v>
      </x:c>
      <x:c r="R119" s="292" t="str"/>
      <x:c r="S119" s="292" t="str">
        <x:v>装备素材套装代码表.xlsx（原九部位）</x:v>
      </x:c>
      <x:c r="T119" s="292" t="str">
        <x:v>同一代码用于 Items / StateItem / DnItems；属性与掉落另表定义。</x:v>
      </x:c>
      <x:c r="U119" t="str">
        <x:f>IF(COUNTIF($B$2:$B$1076,B119)&gt;1,"重复","")</x:f>
      </x:c>
      <x:c r="V119" t="str">
        <x:f>IF(AND(OR(M119="",M119=B119),OR(N119="",N119=B119),OR(O119="",O119=B119)),"通过","不一致")</x:f>
        <x:v>通过</x:v>
      </x:c>
    </x:row>
    <x:row r="120" ht="22" customHeight="1">
      <x:c r="A120" s="289" t="n">
        <x:v>119</x:v>
      </x:c>
      <x:c r="B120" s="289" t="n">
        <x:v>5985</x:v>
      </x:c>
      <x:c r="C120" s="290" t="str">
        <x:v>血月荆棘·夜蔷</x:v>
      </x:c>
      <x:c r="D120" s="290" t="str">
        <x:v>血月荆棘</x:v>
      </x:c>
      <x:c r="E120" s="290" t="n">
        <x:v>4</x:v>
      </x:c>
      <x:c r="F120" s="290" t="str">
        <x:v>项链</x:v>
      </x:c>
      <x:c r="G120" s="289"/>
      <x:c r="H120" s="289"/>
      <x:c r="I120" s="289" t="n">
        <x:v>5985</x:v>
      </x:c>
      <x:c r="J120" s="289"/>
      <x:c r="K120" s="289"/>
      <x:c r="L120" s="289"/>
      <x:c r="M120" s="289" t="n">
        <x:v>5985</x:v>
      </x:c>
      <x:c r="N120" s="289" t="n">
        <x:v>5985</x:v>
      </x:c>
      <x:c r="O120" s="289" t="n">
        <x:v>5985</x:v>
      </x:c>
      <x:c r="P120" s="292"/>
      <x:c r="Q120" s="292" t="str">
        <x:v>原九部位资源库已登记</x:v>
      </x:c>
      <x:c r="R120" s="324" t="str">
        <x:v>C3-C10规划锁定：雪鸦冰喙坠</x:v>
      </x:c>
      <x:c r="S120" s="292" t="str">
        <x:v>装备素材套装代码表.xlsx（原九部位）</x:v>
      </x:c>
      <x:c r="T120" s="292" t="str">
        <x:v>同一代码用于 Items / StateItem / DnItems；属性与掉落另表定义。</x:v>
      </x:c>
      <x:c r="U120" t="str">
        <x:f>IF(COUNTIF($B$2:$B$1076,B120)&gt;1,"重复","")</x:f>
      </x:c>
      <x:c r="V120" t="str">
        <x:f>IF(AND(OR(M120="",M120=B120),OR(N120="",N120=B120),OR(O120="",O120=B120)),"通过","不一致")</x:f>
        <x:v>通过</x:v>
      </x:c>
    </x:row>
    <x:row r="121" ht="22" customHeight="1">
      <x:c r="A121" s="289" t="n">
        <x:v>120</x:v>
      </x:c>
      <x:c r="B121" s="289" t="n">
        <x:v>5986</x:v>
      </x:c>
      <x:c r="C121" s="290" t="str">
        <x:v>血月荆棘·夜蔷</x:v>
      </x:c>
      <x:c r="D121" s="290" t="str">
        <x:v>血月荆棘</x:v>
      </x:c>
      <x:c r="E121" s="290" t="n">
        <x:v>4</x:v>
      </x:c>
      <x:c r="F121" s="290" t="str">
        <x:v>头盔</x:v>
      </x:c>
      <x:c r="G121" s="289"/>
      <x:c r="H121" s="289"/>
      <x:c r="I121" s="289" t="n">
        <x:v>5986</x:v>
      </x:c>
      <x:c r="J121" s="289"/>
      <x:c r="K121" s="289"/>
      <x:c r="L121" s="289"/>
      <x:c r="M121" s="289" t="n">
        <x:v>5986</x:v>
      </x:c>
      <x:c r="N121" s="289" t="n">
        <x:v>5986</x:v>
      </x:c>
      <x:c r="O121" s="289" t="n">
        <x:v>5986</x:v>
      </x:c>
      <x:c r="P121" s="292"/>
      <x:c r="Q121" s="292" t="str">
        <x:v>原九部位资源库已登记</x:v>
      </x:c>
      <x:c r="R121" s="324" t="str">
        <x:v>C3-C10规划锁定：镜甲将军盔</x:v>
      </x:c>
      <x:c r="S121" s="292" t="str">
        <x:v>装备素材套装代码表.xlsx（原九部位）</x:v>
      </x:c>
      <x:c r="T121" s="292" t="str">
        <x:v>同一代码用于 Items / StateItem / DnItems；属性与掉落另表定义。</x:v>
      </x:c>
      <x:c r="U121" t="str">
        <x:f>IF(COUNTIF($B$2:$B$1076,B121)&gt;1,"重复","")</x:f>
      </x:c>
      <x:c r="V121" t="str">
        <x:f>IF(AND(OR(M121="",M121=B121),OR(N121="",N121=B121),OR(O121="",O121=B121)),"通过","不一致")</x:f>
        <x:v>通过</x:v>
      </x:c>
    </x:row>
    <x:row r="122" ht="22" customHeight="1">
      <x:c r="A122" s="289" t="n">
        <x:v>121</x:v>
      </x:c>
      <x:c r="B122" s="289" t="n">
        <x:v>5987</x:v>
      </x:c>
      <x:c r="C122" s="290" t="str">
        <x:v>血月荆棘·夜蔷</x:v>
      </x:c>
      <x:c r="D122" s="290" t="str">
        <x:v>血月荆棘</x:v>
      </x:c>
      <x:c r="E122" s="290" t="n">
        <x:v>4</x:v>
      </x:c>
      <x:c r="F122" s="290" t="str">
        <x:v>手镯</x:v>
      </x:c>
      <x:c r="G122" s="289"/>
      <x:c r="H122" s="289"/>
      <x:c r="I122" s="289" t="n">
        <x:v>5987</x:v>
      </x:c>
      <x:c r="J122" s="289"/>
      <x:c r="K122" s="289"/>
      <x:c r="L122" s="289"/>
      <x:c r="M122" s="289" t="n">
        <x:v>5987</x:v>
      </x:c>
      <x:c r="N122" s="289" t="n">
        <x:v>5987</x:v>
      </x:c>
      <x:c r="O122" s="289" t="n">
        <x:v>5987</x:v>
      </x:c>
      <x:c r="P122" s="292"/>
      <x:c r="Q122" s="292" t="str">
        <x:v>原九部位资源库已登记</x:v>
      </x:c>
      <x:c r="R122" s="324" t="str">
        <x:v>C3-C10规划锁定：焚香奴腕镯</x:v>
      </x:c>
      <x:c r="S122" s="292" t="str">
        <x:v>装备素材套装代码表.xlsx（原九部位）</x:v>
      </x:c>
      <x:c r="T122" s="292" t="str">
        <x:v>同一代码用于 Items / StateItem / DnItems；属性与掉落另表定义。</x:v>
      </x:c>
      <x:c r="U122" t="str">
        <x:f>IF(COUNTIF($B$2:$B$1076,B122)&gt;1,"重复","")</x:f>
      </x:c>
      <x:c r="V122" t="str">
        <x:f>IF(AND(OR(M122="",M122=B122),OR(N122="",N122=B122),OR(O122="",O122=B122)),"通过","不一致")</x:f>
        <x:v>通过</x:v>
      </x:c>
    </x:row>
    <x:row r="123" ht="22" customHeight="1">
      <x:c r="A123" s="289" t="n">
        <x:v>122</x:v>
      </x:c>
      <x:c r="B123" s="289" t="n">
        <x:v>5988</x:v>
      </x:c>
      <x:c r="C123" s="290" t="str">
        <x:v>血月荆棘·夜蔷</x:v>
      </x:c>
      <x:c r="D123" s="290" t="str">
        <x:v>血月荆棘</x:v>
      </x:c>
      <x:c r="E123" s="290" t="n">
        <x:v>4</x:v>
      </x:c>
      <x:c r="F123" s="290" t="str">
        <x:v>戒指</x:v>
      </x:c>
      <x:c r="G123" s="289"/>
      <x:c r="H123" s="289"/>
      <x:c r="I123" s="289" t="n">
        <x:v>5988</x:v>
      </x:c>
      <x:c r="J123" s="289"/>
      <x:c r="K123" s="289"/>
      <x:c r="L123" s="289"/>
      <x:c r="M123" s="289" t="n">
        <x:v>5988</x:v>
      </x:c>
      <x:c r="N123" s="289" t="n">
        <x:v>5988</x:v>
      </x:c>
      <x:c r="O123" s="289" t="n">
        <x:v>5988</x:v>
      </x:c>
      <x:c r="P123" s="292"/>
      <x:c r="Q123" s="292" t="str">
        <x:v>原九部位资源库已登记</x:v>
      </x:c>
      <x:c r="R123" s="324" t="str">
        <x:v>C3-C10规划锁定：献梦琥金戒</x:v>
      </x:c>
      <x:c r="S123" s="292" t="str">
        <x:v>装备素材套装代码表.xlsx（原九部位）</x:v>
      </x:c>
      <x:c r="T123" s="292" t="str">
        <x:v>同一代码用于 Items / StateItem / DnItems；属性与掉落另表定义。</x:v>
      </x:c>
      <x:c r="U123" t="str">
        <x:f>IF(COUNTIF($B$2:$B$1076,B123)&gt;1,"重复","")</x:f>
      </x:c>
      <x:c r="V123" t="str">
        <x:f>IF(AND(OR(M123="",M123=B123),OR(N123="",N123=B123),OR(O123="",O123=B123)),"通过","不一致")</x:f>
        <x:v>通过</x:v>
      </x:c>
    </x:row>
    <x:row r="124" ht="22" customHeight="1">
      <x:c r="A124" s="289" t="n">
        <x:v>123</x:v>
      </x:c>
      <x:c r="B124" s="289" t="n">
        <x:v>5989</x:v>
      </x:c>
      <x:c r="C124" s="290" t="str">
        <x:v>血月荆棘·夜蔷</x:v>
      </x:c>
      <x:c r="D124" s="290" t="str">
        <x:v>血月荆棘</x:v>
      </x:c>
      <x:c r="E124" s="290" t="n">
        <x:v>4</x:v>
      </x:c>
      <x:c r="F124" s="290" t="str">
        <x:v>盾牌</x:v>
      </x:c>
      <x:c r="G124" s="289"/>
      <x:c r="H124" s="289"/>
      <x:c r="I124" s="289" t="n">
        <x:v>5989</x:v>
      </x:c>
      <x:c r="J124" s="289"/>
      <x:c r="K124" s="289"/>
      <x:c r="L124" s="289"/>
      <x:c r="M124" s="289" t="n">
        <x:v>5989</x:v>
      </x:c>
      <x:c r="N124" s="289" t="n">
        <x:v>5989</x:v>
      </x:c>
      <x:c r="O124" s="289" t="n">
        <x:v>5989</x:v>
      </x:c>
      <x:c r="P124" s="292"/>
      <x:c r="Q124" s="292" t="str">
        <x:v>原九部位资源库已登记</x:v>
      </x:c>
      <x:c r="R124" s="324" t="str">
        <x:v>C3-C10规划锁定：鎏檐拱门盾</x:v>
      </x:c>
      <x:c r="S124" s="292" t="str">
        <x:v>装备素材套装代码表.xlsx（原九部位）</x:v>
      </x:c>
      <x:c r="T124" s="292" t="str">
        <x:v>同一代码用于 Items / StateItem / DnItems；属性与掉落另表定义。</x:v>
      </x:c>
      <x:c r="U124" t="str">
        <x:f>IF(COUNTIF($B$2:$B$1076,B124)&gt;1,"重复","")</x:f>
      </x:c>
      <x:c r="V124" t="str">
        <x:f>IF(AND(OR(M124="",M124=B124),OR(N124="",N124=B124),OR(O124="",O124=B124)),"通过","不一致")</x:f>
        <x:v>通过</x:v>
      </x:c>
    </x:row>
    <x:row r="125" ht="22" customHeight="1">
      <x:c r="A125" s="289" t="n">
        <x:v>124</x:v>
      </x:c>
      <x:c r="B125" s="289" t="n">
        <x:v>5990</x:v>
      </x:c>
      <x:c r="C125" s="290" t="str">
        <x:v>血月荆棘·夜蔷</x:v>
      </x:c>
      <x:c r="D125" s="290" t="str">
        <x:v>血月荆棘</x:v>
      </x:c>
      <x:c r="E125" s="290" t="n">
        <x:v>4</x:v>
      </x:c>
      <x:c r="F125" s="290" t="str">
        <x:v>灵玉</x:v>
      </x:c>
      <x:c r="G125" s="289"/>
      <x:c r="H125" s="289"/>
      <x:c r="I125" s="289" t="n">
        <x:v>5990</x:v>
      </x:c>
      <x:c r="J125" s="289"/>
      <x:c r="K125" s="289"/>
      <x:c r="L125" s="289"/>
      <x:c r="M125" s="289" t="n">
        <x:v>5990</x:v>
      </x:c>
      <x:c r="N125" s="289" t="n">
        <x:v>5990</x:v>
      </x:c>
      <x:c r="O125" s="289" t="n">
        <x:v>5990</x:v>
      </x:c>
      <x:c r="P125" s="292"/>
      <x:c r="Q125" s="292" t="str">
        <x:v>原九部位资源库已登记</x:v>
      </x:c>
      <x:c r="R125" s="292" t="str"/>
      <x:c r="S125" s="292" t="str">
        <x:v>装备素材套装代码表.xlsx（原九部位）</x:v>
      </x:c>
      <x:c r="T125" s="292" t="str">
        <x:v>同一代码用于 Items / StateItem / DnItems；属性与掉落另表定义。</x:v>
      </x:c>
      <x:c r="U125" t="str">
        <x:f>IF(COUNTIF($B$2:$B$1076,B125)&gt;1,"重复","")</x:f>
      </x:c>
      <x:c r="V125" t="str">
        <x:f>IF(AND(OR(M125="",M125=B125),OR(N125="",N125=B125),OR(O125="",O125=B125)),"通过","不一致")</x:f>
        <x:v>通过</x:v>
      </x:c>
    </x:row>
    <x:row r="126" ht="22" customHeight="1">
      <x:c r="A126" s="289" t="n">
        <x:v>125</x:v>
      </x:c>
      <x:c r="B126" s="289" t="n">
        <x:v>5991</x:v>
      </x:c>
      <x:c r="C126" s="290" t="str">
        <x:v>血月荆棘·夜蔷</x:v>
      </x:c>
      <x:c r="D126" s="290" t="str">
        <x:v>血月荆棘</x:v>
      </x:c>
      <x:c r="E126" s="290" t="n">
        <x:v>4</x:v>
      </x:c>
      <x:c r="F126" s="290" t="str">
        <x:v>鞋子</x:v>
      </x:c>
      <x:c r="G126" s="289"/>
      <x:c r="H126" s="289"/>
      <x:c r="I126" s="289" t="n">
        <x:v>5991</x:v>
      </x:c>
      <x:c r="J126" s="289"/>
      <x:c r="K126" s="289"/>
      <x:c r="L126" s="289"/>
      <x:c r="M126" s="289" t="n">
        <x:v>5991</x:v>
      </x:c>
      <x:c r="N126" s="289" t="n">
        <x:v>5991</x:v>
      </x:c>
      <x:c r="O126" s="289" t="n">
        <x:v>5991</x:v>
      </x:c>
      <x:c r="P126" s="292"/>
      <x:c r="Q126" s="292" t="str">
        <x:v>原九部位资源库已登记</x:v>
      </x:c>
      <x:c r="R126" s="324" t="str">
        <x:v>C3-C10规划锁定：伏砖旧革靴</x:v>
      </x:c>
      <x:c r="S126" s="292" t="str">
        <x:v>装备素材套装代码表.xlsx（原九部位）</x:v>
      </x:c>
      <x:c r="T126" s="292" t="str">
        <x:v>同一代码用于 Items / StateItem / DnItems；属性与掉落另表定义。</x:v>
      </x:c>
      <x:c r="U126" t="str">
        <x:f>IF(COUNTIF($B$2:$B$1076,B126)&gt;1,"重复","")</x:f>
      </x:c>
      <x:c r="V126" t="str">
        <x:f>IF(AND(OR(M126="",M126=B126),OR(N126="",N126=B126),OR(O126="",O126=B126)),"通过","不一致")</x:f>
        <x:v>通过</x:v>
      </x:c>
    </x:row>
    <x:row r="127" ht="22" customHeight="1">
      <x:c r="A127" s="289" t="n">
        <x:v>126</x:v>
      </x:c>
      <x:c r="B127" s="289" t="n">
        <x:v>5992</x:v>
      </x:c>
      <x:c r="C127" s="290" t="str">
        <x:v>血月荆棘·夜蔷</x:v>
      </x:c>
      <x:c r="D127" s="290" t="str">
        <x:v>血月荆棘</x:v>
      </x:c>
      <x:c r="E127" s="290" t="n">
        <x:v>4</x:v>
      </x:c>
      <x:c r="F127" s="290" t="str">
        <x:v>腰带</x:v>
      </x:c>
      <x:c r="G127" s="289"/>
      <x:c r="H127" s="289"/>
      <x:c r="I127" s="289" t="n">
        <x:v>5992</x:v>
      </x:c>
      <x:c r="J127" s="289"/>
      <x:c r="K127" s="289"/>
      <x:c r="L127" s="289"/>
      <x:c r="M127" s="289" t="n">
        <x:v>5992</x:v>
      </x:c>
      <x:c r="N127" s="289" t="n">
        <x:v>5992</x:v>
      </x:c>
      <x:c r="O127" s="289" t="n">
        <x:v>5992</x:v>
      </x:c>
      <x:c r="P127" s="292"/>
      <x:c r="Q127" s="292" t="str">
        <x:v>原九部位资源库已登记</x:v>
      </x:c>
      <x:c r="R127" s="322" t="str">
        <x:v>C1/C2现用：流寇束带</x:v>
      </x:c>
      <x:c r="S127" s="292" t="str">
        <x:v>装备素材套装代码表.xlsx（原九部位）</x:v>
      </x:c>
      <x:c r="T127" s="292" t="str">
        <x:v>同一代码用于 Items / StateItem / DnItems；属性与掉落另表定义。</x:v>
      </x:c>
      <x:c r="U127" t="str">
        <x:f>IF(COUNTIF($B$2:$B$1076,B127)&gt;1,"重复","")</x:f>
      </x:c>
      <x:c r="V127" t="str">
        <x:f>IF(AND(OR(M127="",M127=B127),OR(N127="",N127=B127),OR(O127="",O127=B127)),"通过","不一致")</x:f>
        <x:v>通过</x:v>
      </x:c>
    </x:row>
    <x:row r="128" ht="22" customHeight="1">
      <x:c r="A128" s="289" t="n">
        <x:v>127</x:v>
      </x:c>
      <x:c r="B128" s="289" t="n">
        <x:v>5993</x:v>
      </x:c>
      <x:c r="C128" s="290" t="str">
        <x:v>血月荆棘·赤冠</x:v>
      </x:c>
      <x:c r="D128" s="290" t="str">
        <x:v>血月荆棘</x:v>
      </x:c>
      <x:c r="E128" s="290" t="n">
        <x:v>5</x:v>
      </x:c>
      <x:c r="F128" s="290" t="str">
        <x:v>勋章</x:v>
      </x:c>
      <x:c r="G128" s="289"/>
      <x:c r="H128" s="289"/>
      <x:c r="I128" s="289" t="n">
        <x:v>5993</x:v>
      </x:c>
      <x:c r="J128" s="289"/>
      <x:c r="K128" s="289"/>
      <x:c r="L128" s="289"/>
      <x:c r="M128" s="289" t="n">
        <x:v>5993</x:v>
      </x:c>
      <x:c r="N128" s="289" t="n">
        <x:v>5993</x:v>
      </x:c>
      <x:c r="O128" s="289" t="n">
        <x:v>5993</x:v>
      </x:c>
      <x:c r="P128" s="292"/>
      <x:c r="Q128" s="292" t="str">
        <x:v>原九部位资源库已登记</x:v>
      </x:c>
      <x:c r="R128" s="292" t="str"/>
      <x:c r="S128" s="292" t="str">
        <x:v>装备素材套装代码表.xlsx（原九部位）</x:v>
      </x:c>
      <x:c r="T128" s="292" t="str">
        <x:v>同一代码用于 Items / StateItem / DnItems；属性与掉落另表定义。</x:v>
      </x:c>
      <x:c r="U128" t="str">
        <x:f>IF(COUNTIF($B$2:$B$1076,B128)&gt;1,"重复","")</x:f>
      </x:c>
      <x:c r="V128" t="str">
        <x:f>IF(AND(OR(M128="",M128=B128),OR(N128="",N128=B128),OR(O128="",O128=B128)),"通过","不一致")</x:f>
        <x:v>通过</x:v>
      </x:c>
    </x:row>
    <x:row r="129" ht="22" customHeight="1">
      <x:c r="A129" s="289" t="n">
        <x:v>128</x:v>
      </x:c>
      <x:c r="B129" s="289" t="n">
        <x:v>5994</x:v>
      </x:c>
      <x:c r="C129" s="290" t="str">
        <x:v>血月荆棘·赤冠</x:v>
      </x:c>
      <x:c r="D129" s="290" t="str">
        <x:v>血月荆棘</x:v>
      </x:c>
      <x:c r="E129" s="290" t="n">
        <x:v>5</x:v>
      </x:c>
      <x:c r="F129" s="290" t="str">
        <x:v>项链</x:v>
      </x:c>
      <x:c r="G129" s="289"/>
      <x:c r="H129" s="289"/>
      <x:c r="I129" s="289" t="n">
        <x:v>5994</x:v>
      </x:c>
      <x:c r="J129" s="289"/>
      <x:c r="K129" s="289"/>
      <x:c r="L129" s="289"/>
      <x:c r="M129" s="289" t="n">
        <x:v>5994</x:v>
      </x:c>
      <x:c r="N129" s="289" t="n">
        <x:v>5994</x:v>
      </x:c>
      <x:c r="O129" s="289" t="n">
        <x:v>5994</x:v>
      </x:c>
      <x:c r="P129" s="292"/>
      <x:c r="Q129" s="292" t="str">
        <x:v>原九部位资源库已登记</x:v>
      </x:c>
      <x:c r="R129" s="324" t="str">
        <x:v>C3-C10规划锁定：巡烛官灯坠</x:v>
      </x:c>
      <x:c r="S129" s="292" t="str">
        <x:v>装备素材套装代码表.xlsx（原九部位）</x:v>
      </x:c>
      <x:c r="T129" s="292" t="str">
        <x:v>同一代码用于 Items / StateItem / DnItems；属性与掉落另表定义。</x:v>
      </x:c>
      <x:c r="U129" t="str">
        <x:f>IF(COUNTIF($B$2:$B$1076,B129)&gt;1,"重复","")</x:f>
      </x:c>
      <x:c r="V129" t="str">
        <x:f>IF(AND(OR(M129="",M129=B129),OR(N129="",N129=B129),OR(O129="",O129=B129)),"通过","不一致")</x:f>
        <x:v>通过</x:v>
      </x:c>
    </x:row>
    <x:row r="130" ht="22" customHeight="1">
      <x:c r="A130" s="289" t="n">
        <x:v>129</x:v>
      </x:c>
      <x:c r="B130" s="289" t="n">
        <x:v>5995</x:v>
      </x:c>
      <x:c r="C130" s="290" t="str">
        <x:v>血月荆棘·赤冠</x:v>
      </x:c>
      <x:c r="D130" s="290" t="str">
        <x:v>血月荆棘</x:v>
      </x:c>
      <x:c r="E130" s="290" t="n">
        <x:v>5</x:v>
      </x:c>
      <x:c r="F130" s="290" t="str">
        <x:v>头盔</x:v>
      </x:c>
      <x:c r="G130" s="289"/>
      <x:c r="H130" s="289"/>
      <x:c r="I130" s="289" t="n">
        <x:v>5995</x:v>
      </x:c>
      <x:c r="J130" s="289"/>
      <x:c r="K130" s="289"/>
      <x:c r="L130" s="289"/>
      <x:c r="M130" s="289" t="n">
        <x:v>5995</x:v>
      </x:c>
      <x:c r="N130" s="289" t="n">
        <x:v>5995</x:v>
      </x:c>
      <x:c r="O130" s="289" t="n">
        <x:v>5995</x:v>
      </x:c>
      <x:c r="P130" s="292"/>
      <x:c r="Q130" s="292" t="str">
        <x:v>原九部位资源库已登记</x:v>
      </x:c>
      <x:c r="R130" s="324" t="str">
        <x:v>C3-C10规划锁定：觐庭裂纹盔</x:v>
      </x:c>
      <x:c r="S130" s="292" t="str">
        <x:v>装备素材套装代码表.xlsx（原九部位）</x:v>
      </x:c>
      <x:c r="T130" s="292" t="str">
        <x:v>同一代码用于 Items / StateItem / DnItems；属性与掉落另表定义。</x:v>
      </x:c>
      <x:c r="U130" t="str">
        <x:f>IF(COUNTIF($B$2:$B$1076,B130)&gt;1,"重复","")</x:f>
      </x:c>
      <x:c r="V130" t="str">
        <x:f>IF(AND(OR(M130="",M130=B130),OR(N130="",N130=B130),OR(O130="",O130=B130)),"通过","不一致")</x:f>
        <x:v>通过</x:v>
      </x:c>
    </x:row>
    <x:row r="131" ht="22" customHeight="1">
      <x:c r="A131" s="289" t="n">
        <x:v>130</x:v>
      </x:c>
      <x:c r="B131" s="289" t="n">
        <x:v>5996</x:v>
      </x:c>
      <x:c r="C131" s="290" t="str">
        <x:v>血月荆棘·赤冠</x:v>
      </x:c>
      <x:c r="D131" s="290" t="str">
        <x:v>血月荆棘</x:v>
      </x:c>
      <x:c r="E131" s="290" t="n">
        <x:v>5</x:v>
      </x:c>
      <x:c r="F131" s="290" t="str">
        <x:v>手镯</x:v>
      </x:c>
      <x:c r="G131" s="289"/>
      <x:c r="H131" s="289"/>
      <x:c r="I131" s="289" t="n">
        <x:v>5996</x:v>
      </x:c>
      <x:c r="J131" s="289"/>
      <x:c r="K131" s="289"/>
      <x:c r="L131" s="289"/>
      <x:c r="M131" s="289" t="n">
        <x:v>5996</x:v>
      </x:c>
      <x:c r="N131" s="289" t="n">
        <x:v>5996</x:v>
      </x:c>
      <x:c r="O131" s="289" t="n">
        <x:v>5996</x:v>
      </x:c>
      <x:c r="P131" s="292"/>
      <x:c r="Q131" s="292" t="str">
        <x:v>原九部位资源库已登记</x:v>
      </x:c>
      <x:c r="R131" s="324" t="str">
        <x:v>C3-C10规划锁定：炊兵铁勺镯</x:v>
      </x:c>
      <x:c r="S131" s="292" t="str">
        <x:v>装备素材套装代码表.xlsx（原九部位）</x:v>
      </x:c>
      <x:c r="T131" s="292" t="str">
        <x:v>同一代码用于 Items / StateItem / DnItems；属性与掉落另表定义。</x:v>
      </x:c>
      <x:c r="U131" t="str">
        <x:f>IF(COUNTIF($B$2:$B$1076,B131)&gt;1,"重复","")</x:f>
      </x:c>
      <x:c r="V131" t="str">
        <x:f>IF(AND(OR(M131="",M131=B131),OR(N131="",N131=B131),OR(O131="",O131=B131)),"通过","不一致")</x:f>
        <x:v>通过</x:v>
      </x:c>
    </x:row>
    <x:row r="132" ht="22" customHeight="1">
      <x:c r="A132" s="289" t="n">
        <x:v>131</x:v>
      </x:c>
      <x:c r="B132" s="289" t="n">
        <x:v>5997</x:v>
      </x:c>
      <x:c r="C132" s="290" t="str">
        <x:v>血月荆棘·赤冠</x:v>
      </x:c>
      <x:c r="D132" s="290" t="str">
        <x:v>血月荆棘</x:v>
      </x:c>
      <x:c r="E132" s="290" t="n">
        <x:v>5</x:v>
      </x:c>
      <x:c r="F132" s="290" t="str">
        <x:v>戒指</x:v>
      </x:c>
      <x:c r="G132" s="289"/>
      <x:c r="H132" s="289"/>
      <x:c r="I132" s="289" t="n">
        <x:v>5997</x:v>
      </x:c>
      <x:c r="J132" s="289"/>
      <x:c r="K132" s="289"/>
      <x:c r="L132" s="289"/>
      <x:c r="M132" s="289" t="n">
        <x:v>5997</x:v>
      </x:c>
      <x:c r="N132" s="289" t="n">
        <x:v>5997</x:v>
      </x:c>
      <x:c r="O132" s="289" t="n">
        <x:v>5997</x:v>
      </x:c>
      <x:c r="P132" s="292"/>
      <x:c r="Q132" s="292" t="str">
        <x:v>原九部位资源库已登记</x:v>
      </x:c>
      <x:c r="R132" s="322" t="str">
        <x:v>C1/C2现用：归乡弩戒</x:v>
      </x:c>
      <x:c r="S132" s="292" t="str">
        <x:v>装备素材套装代码表.xlsx（原九部位）</x:v>
      </x:c>
      <x:c r="T132" s="292" t="str">
        <x:v>同一代码用于 Items / StateItem / DnItems；属性与掉落另表定义。</x:v>
      </x:c>
      <x:c r="U132" t="str">
        <x:f>IF(COUNTIF($B$2:$B$1076,B132)&gt;1,"重复","")</x:f>
      </x:c>
      <x:c r="V132" t="str">
        <x:f>IF(AND(OR(M132="",M132=B132),OR(N132="",N132=B132),OR(O132="",O132=B132)),"通过","不一致")</x:f>
        <x:v>通过</x:v>
      </x:c>
    </x:row>
    <x:row r="133" ht="22" customHeight="1">
      <x:c r="A133" s="289" t="n">
        <x:v>132</x:v>
      </x:c>
      <x:c r="B133" s="289" t="n">
        <x:v>5998</x:v>
      </x:c>
      <x:c r="C133" s="290" t="str">
        <x:v>血月荆棘·赤冠</x:v>
      </x:c>
      <x:c r="D133" s="290" t="str">
        <x:v>血月荆棘</x:v>
      </x:c>
      <x:c r="E133" s="290" t="n">
        <x:v>5</x:v>
      </x:c>
      <x:c r="F133" s="290" t="str">
        <x:v>盾牌</x:v>
      </x:c>
      <x:c r="G133" s="289"/>
      <x:c r="H133" s="289"/>
      <x:c r="I133" s="289" t="n">
        <x:v>5998</x:v>
      </x:c>
      <x:c r="J133" s="289"/>
      <x:c r="K133" s="289"/>
      <x:c r="L133" s="289"/>
      <x:c r="M133" s="289" t="n">
        <x:v>5998</x:v>
      </x:c>
      <x:c r="N133" s="289" t="n">
        <x:v>5998</x:v>
      </x:c>
      <x:c r="O133" s="289" t="n">
        <x:v>5998</x:v>
      </x:c>
      <x:c r="P133" s="292"/>
      <x:c r="Q133" s="292" t="str">
        <x:v>原九部位资源库已登记</x:v>
      </x:c>
      <x:c r="R133" s="324" t="str">
        <x:v>C3-C10规划锁定：铆甲兵垒盾</x:v>
      </x:c>
      <x:c r="S133" s="292" t="str">
        <x:v>装备素材套装代码表.xlsx（原九部位）</x:v>
      </x:c>
      <x:c r="T133" s="292" t="str">
        <x:v>同一代码用于 Items / StateItem / DnItems；属性与掉落另表定义。</x:v>
      </x:c>
      <x:c r="U133" t="str">
        <x:f>IF(COUNTIF($B$2:$B$1076,B133)&gt;1,"重复","")</x:f>
      </x:c>
      <x:c r="V133" t="str">
        <x:f>IF(AND(OR(M133="",M133=B133),OR(N133="",N133=B133),OR(O133="",O133=B133)),"通过","不一致")</x:f>
        <x:v>通过</x:v>
      </x:c>
    </x:row>
    <x:row r="134" ht="22" customHeight="1">
      <x:c r="A134" s="289" t="n">
        <x:v>133</x:v>
      </x:c>
      <x:c r="B134" s="289" t="n">
        <x:v>5999</x:v>
      </x:c>
      <x:c r="C134" s="290" t="str">
        <x:v>血月荆棘·赤冠</x:v>
      </x:c>
      <x:c r="D134" s="290" t="str">
        <x:v>血月荆棘</x:v>
      </x:c>
      <x:c r="E134" s="290" t="n">
        <x:v>5</x:v>
      </x:c>
      <x:c r="F134" s="290" t="str">
        <x:v>灵玉</x:v>
      </x:c>
      <x:c r="G134" s="289"/>
      <x:c r="H134" s="289"/>
      <x:c r="I134" s="289" t="n">
        <x:v>5999</x:v>
      </x:c>
      <x:c r="J134" s="289"/>
      <x:c r="K134" s="289"/>
      <x:c r="L134" s="289"/>
      <x:c r="M134" s="289" t="n">
        <x:v>5999</x:v>
      </x:c>
      <x:c r="N134" s="289" t="n">
        <x:v>5999</x:v>
      </x:c>
      <x:c r="O134" s="289" t="n">
        <x:v>5999</x:v>
      </x:c>
      <x:c r="P134" s="292"/>
      <x:c r="Q134" s="292" t="str">
        <x:v>原九部位资源库已登记</x:v>
      </x:c>
      <x:c r="R134" s="322" t="str">
        <x:v>C1/C2现用：蒙葛特的大卢恩</x:v>
      </x:c>
      <x:c r="S134" s="292" t="str">
        <x:v>装备素材套装代码表.xlsx（原九部位）</x:v>
      </x:c>
      <x:c r="T134" s="292" t="str">
        <x:v>同一代码用于 Items / StateItem / DnItems；属性与掉落另表定义。</x:v>
      </x:c>
      <x:c r="U134" t="str">
        <x:f>IF(COUNTIF($B$2:$B$1076,B134)&gt;1,"重复","")</x:f>
      </x:c>
      <x:c r="V134" t="str">
        <x:f>IF(AND(OR(M134="",M134=B134),OR(N134="",N134=B134),OR(O134="",O134=B134)),"通过","不一致")</x:f>
        <x:v>通过</x:v>
      </x:c>
    </x:row>
    <x:row r="135" ht="22" customHeight="1">
      <x:c r="A135" s="289" t="n">
        <x:v>134</x:v>
      </x:c>
      <x:c r="B135" s="289" t="n">
        <x:v>6000</x:v>
      </x:c>
      <x:c r="C135" s="290" t="str">
        <x:v>血月荆棘·赤冠</x:v>
      </x:c>
      <x:c r="D135" s="290" t="str">
        <x:v>血月荆棘</x:v>
      </x:c>
      <x:c r="E135" s="290" t="n">
        <x:v>5</x:v>
      </x:c>
      <x:c r="F135" s="290" t="str">
        <x:v>鞋子</x:v>
      </x:c>
      <x:c r="G135" s="289"/>
      <x:c r="H135" s="289"/>
      <x:c r="I135" s="289" t="n">
        <x:v>6000</x:v>
      </x:c>
      <x:c r="J135" s="289"/>
      <x:c r="K135" s="289"/>
      <x:c r="L135" s="289"/>
      <x:c r="M135" s="289" t="n">
        <x:v>6000</x:v>
      </x:c>
      <x:c r="N135" s="289" t="n">
        <x:v>6000</x:v>
      </x:c>
      <x:c r="O135" s="289" t="n">
        <x:v>6000</x:v>
      </x:c>
      <x:c r="P135" s="292"/>
      <x:c r="Q135" s="292" t="str">
        <x:v>原九部位资源库已登记</x:v>
      </x:c>
      <x:c r="R135" s="324" t="str">
        <x:v>C3-C10规划锁定：锈槽踏污靴</x:v>
      </x:c>
      <x:c r="S135" s="292" t="str">
        <x:v>装备素材套装代码表.xlsx（原九部位）</x:v>
      </x:c>
      <x:c r="T135" s="292" t="str">
        <x:v>同一代码用于 Items / StateItem / DnItems；属性与掉落另表定义。</x:v>
      </x:c>
      <x:c r="U135" t="str">
        <x:f>IF(COUNTIF($B$2:$B$1076,B135)&gt;1,"重复","")</x:f>
      </x:c>
      <x:c r="V135" t="str">
        <x:f>IF(AND(OR(M135="",M135=B135),OR(N135="",N135=B135),OR(O135="",O135=B135)),"通过","不一致")</x:f>
        <x:v>通过</x:v>
      </x:c>
    </x:row>
    <x:row r="136" ht="22" customHeight="1">
      <x:c r="A136" s="289" t="n">
        <x:v>135</x:v>
      </x:c>
      <x:c r="B136" s="289" t="n">
        <x:v>6001</x:v>
      </x:c>
      <x:c r="C136" s="290" t="str">
        <x:v>血月荆棘·赤冠</x:v>
      </x:c>
      <x:c r="D136" s="290" t="str">
        <x:v>血月荆棘</x:v>
      </x:c>
      <x:c r="E136" s="290" t="n">
        <x:v>5</x:v>
      </x:c>
      <x:c r="F136" s="290" t="str">
        <x:v>腰带</x:v>
      </x:c>
      <x:c r="G136" s="289"/>
      <x:c r="H136" s="289"/>
      <x:c r="I136" s="289" t="n">
        <x:v>6001</x:v>
      </x:c>
      <x:c r="J136" s="289"/>
      <x:c r="K136" s="289"/>
      <x:c r="L136" s="289"/>
      <x:c r="M136" s="289" t="n">
        <x:v>6001</x:v>
      </x:c>
      <x:c r="N136" s="289" t="n">
        <x:v>6001</x:v>
      </x:c>
      <x:c r="O136" s="289" t="n">
        <x:v>6001</x:v>
      </x:c>
      <x:c r="P136" s="292"/>
      <x:c r="Q136" s="292" t="str">
        <x:v>原九部位资源库已登记</x:v>
      </x:c>
      <x:c r="R136" s="324" t="str">
        <x:v>C3-C10规划锁定：链轮束腰</x:v>
      </x:c>
      <x:c r="S136" s="292" t="str">
        <x:v>装备素材套装代码表.xlsx（原九部位）</x:v>
      </x:c>
      <x:c r="T136" s="292" t="str">
        <x:v>同一代码用于 Items / StateItem / DnItems；属性与掉落另表定义。</x:v>
      </x:c>
      <x:c r="U136" t="str">
        <x:f>IF(COUNTIF($B$2:$B$1076,B136)&gt;1,"重复","")</x:f>
      </x:c>
      <x:c r="V136" t="str">
        <x:f>IF(AND(OR(M136="",M136=B136),OR(N136="",N136=B136),OR(O136="",O136=B136)),"通过","不一致")</x:f>
        <x:v>通过</x:v>
      </x:c>
    </x:row>
    <x:row r="137" ht="22" customHeight="1">
      <x:c r="A137" s="289" t="n">
        <x:v>136</x:v>
      </x:c>
      <x:c r="B137" s="289" t="n">
        <x:v>6002</x:v>
      </x:c>
      <x:c r="C137" s="290" t="str">
        <x:v>血月荆棘·月蚀</x:v>
      </x:c>
      <x:c r="D137" s="290" t="str">
        <x:v>血月荆棘</x:v>
      </x:c>
      <x:c r="E137" s="290" t="n">
        <x:v>6</x:v>
      </x:c>
      <x:c r="F137" s="290" t="str">
        <x:v>勋章</x:v>
      </x:c>
      <x:c r="G137" s="289"/>
      <x:c r="H137" s="289"/>
      <x:c r="I137" s="289" t="n">
        <x:v>6002</x:v>
      </x:c>
      <x:c r="J137" s="289"/>
      <x:c r="K137" s="289"/>
      <x:c r="L137" s="289"/>
      <x:c r="M137" s="289" t="n">
        <x:v>6002</x:v>
      </x:c>
      <x:c r="N137" s="289" t="n">
        <x:v>6002</x:v>
      </x:c>
      <x:c r="O137" s="289" t="n">
        <x:v>6002</x:v>
      </x:c>
      <x:c r="P137" s="292"/>
      <x:c r="Q137" s="292" t="str">
        <x:v>原九部位资源库已登记</x:v>
      </x:c>
      <x:c r="R137" s="292" t="str"/>
      <x:c r="S137" s="292" t="str">
        <x:v>装备素材套装代码表.xlsx（原九部位）</x:v>
      </x:c>
      <x:c r="T137" s="292" t="str">
        <x:v>同一代码用于 Items / StateItem / DnItems；属性与掉落另表定义。</x:v>
      </x:c>
      <x:c r="U137" t="str">
        <x:f>IF(COUNTIF($B$2:$B$1076,B137)&gt;1,"重复","")</x:f>
      </x:c>
      <x:c r="V137" t="str">
        <x:f>IF(AND(OR(M137="",M137=B137),OR(N137="",N137=B137),OR(O137="",O137=B137)),"通过","不一致")</x:f>
        <x:v>通过</x:v>
      </x:c>
    </x:row>
    <x:row r="138" ht="22" customHeight="1">
      <x:c r="A138" s="289" t="n">
        <x:v>137</x:v>
      </x:c>
      <x:c r="B138" s="289" t="n">
        <x:v>6003</x:v>
      </x:c>
      <x:c r="C138" s="290" t="str">
        <x:v>血月荆棘·月蚀</x:v>
      </x:c>
      <x:c r="D138" s="290" t="str">
        <x:v>血月荆棘</x:v>
      </x:c>
      <x:c r="E138" s="290" t="n">
        <x:v>6</x:v>
      </x:c>
      <x:c r="F138" s="290" t="str">
        <x:v>项链</x:v>
      </x:c>
      <x:c r="G138" s="289"/>
      <x:c r="H138" s="289"/>
      <x:c r="I138" s="289" t="n">
        <x:v>6003</x:v>
      </x:c>
      <x:c r="J138" s="289"/>
      <x:c r="K138" s="289"/>
      <x:c r="L138" s="289"/>
      <x:c r="M138" s="289" t="n">
        <x:v>6003</x:v>
      </x:c>
      <x:c r="N138" s="289" t="n">
        <x:v>6003</x:v>
      </x:c>
      <x:c r="O138" s="289" t="n">
        <x:v>6003</x:v>
      </x:c>
      <x:c r="P138" s="292"/>
      <x:c r="Q138" s="292" t="str">
        <x:v>原九部位资源库已登记</x:v>
      </x:c>
      <x:c r="R138" s="324" t="str">
        <x:v>C3-C10规划锁定：衔烛鸦羽坠</x:v>
      </x:c>
      <x:c r="S138" s="292" t="str">
        <x:v>装备素材套装代码表.xlsx（原九部位）</x:v>
      </x:c>
      <x:c r="T138" s="292" t="str">
        <x:v>同一代码用于 Items / StateItem / DnItems；属性与掉落另表定义。</x:v>
      </x:c>
      <x:c r="U138" t="str">
        <x:f>IF(COUNTIF($B$2:$B$1076,B138)&gt;1,"重复","")</x:f>
      </x:c>
      <x:c r="V138" t="str">
        <x:f>IF(AND(OR(M138="",M138=B138),OR(N138="",N138=B138),OR(O138="",O138=B138)),"通过","不一致")</x:f>
        <x:v>通过</x:v>
      </x:c>
    </x:row>
    <x:row r="139" ht="22" customHeight="1">
      <x:c r="A139" s="289" t="n">
        <x:v>138</x:v>
      </x:c>
      <x:c r="B139" s="289" t="n">
        <x:v>6004</x:v>
      </x:c>
      <x:c r="C139" s="290" t="str">
        <x:v>血月荆棘·月蚀</x:v>
      </x:c>
      <x:c r="D139" s="290" t="str">
        <x:v>血月荆棘</x:v>
      </x:c>
      <x:c r="E139" s="290" t="n">
        <x:v>6</x:v>
      </x:c>
      <x:c r="F139" s="290" t="str">
        <x:v>头盔</x:v>
      </x:c>
      <x:c r="G139" s="289"/>
      <x:c r="H139" s="289"/>
      <x:c r="I139" s="289" t="n">
        <x:v>6004</x:v>
      </x:c>
      <x:c r="J139" s="289"/>
      <x:c r="K139" s="289"/>
      <x:c r="L139" s="289"/>
      <x:c r="M139" s="289" t="n">
        <x:v>6004</x:v>
      </x:c>
      <x:c r="N139" s="289" t="n">
        <x:v>6004</x:v>
      </x:c>
      <x:c r="O139" s="289" t="n">
        <x:v>6004</x:v>
      </x:c>
      <x:c r="P139" s="292"/>
      <x:c r="Q139" s="292" t="str">
        <x:v>原九部位资源库已登记</x:v>
      </x:c>
      <x:c r="R139" s="324" t="str">
        <x:v>C3-C10规划锁定：驿卒挡风盔</x:v>
      </x:c>
      <x:c r="S139" s="292" t="str">
        <x:v>装备素材套装代码表.xlsx（原九部位）</x:v>
      </x:c>
      <x:c r="T139" s="292" t="str">
        <x:v>同一代码用于 Items / StateItem / DnItems；属性与掉落另表定义。</x:v>
      </x:c>
      <x:c r="U139" t="str">
        <x:f>IF(COUNTIF($B$2:$B$1076,B139)&gt;1,"重复","")</x:f>
      </x:c>
      <x:c r="V139" t="str">
        <x:f>IF(AND(OR(M139="",M139=B139),OR(N139="",N139=B139),OR(O139="",O139=B139)),"通过","不一致")</x:f>
        <x:v>通过</x:v>
      </x:c>
    </x:row>
    <x:row r="140" ht="22" customHeight="1">
      <x:c r="A140" s="289" t="n">
        <x:v>139</x:v>
      </x:c>
      <x:c r="B140" s="289" t="n">
        <x:v>6005</x:v>
      </x:c>
      <x:c r="C140" s="290" t="str">
        <x:v>血月荆棘·月蚀</x:v>
      </x:c>
      <x:c r="D140" s="290" t="str">
        <x:v>血月荆棘</x:v>
      </x:c>
      <x:c r="E140" s="290" t="n">
        <x:v>6</x:v>
      </x:c>
      <x:c r="F140" s="290" t="str">
        <x:v>手镯</x:v>
      </x:c>
      <x:c r="G140" s="289"/>
      <x:c r="H140" s="289"/>
      <x:c r="I140" s="289" t="n">
        <x:v>6005</x:v>
      </x:c>
      <x:c r="J140" s="289"/>
      <x:c r="K140" s="289"/>
      <x:c r="L140" s="289"/>
      <x:c r="M140" s="289" t="n">
        <x:v>6005</x:v>
      </x:c>
      <x:c r="N140" s="289" t="n">
        <x:v>6005</x:v>
      </x:c>
      <x:c r="O140" s="289" t="n">
        <x:v>6005</x:v>
      </x:c>
      <x:c r="P140" s="292"/>
      <x:c r="Q140" s="292" t="str">
        <x:v>原九部位资源库已登记</x:v>
      </x:c>
      <x:c r="R140" s="324" t="str">
        <x:v>C3-C10规划锁定：碎檐金羽镯</x:v>
      </x:c>
      <x:c r="S140" s="292" t="str">
        <x:v>装备素材套装代码表.xlsx（原九部位）</x:v>
      </x:c>
      <x:c r="T140" s="292" t="str">
        <x:v>同一代码用于 Items / StateItem / DnItems；属性与掉落另表定义。</x:v>
      </x:c>
      <x:c r="U140" t="str">
        <x:f>IF(COUNTIF($B$2:$B$1076,B140)&gt;1,"重复","")</x:f>
      </x:c>
      <x:c r="V140" t="str">
        <x:f>IF(AND(OR(M140="",M140=B140),OR(N140="",N140=B140),OR(O140="",O140=B140)),"通过","不一致")</x:f>
        <x:v>通过</x:v>
      </x:c>
    </x:row>
    <x:row r="141" ht="22" customHeight="1">
      <x:c r="A141" s="289" t="n">
        <x:v>140</x:v>
      </x:c>
      <x:c r="B141" s="289" t="n">
        <x:v>6006</x:v>
      </x:c>
      <x:c r="C141" s="290" t="str">
        <x:v>血月荆棘·月蚀</x:v>
      </x:c>
      <x:c r="D141" s="290" t="str">
        <x:v>血月荆棘</x:v>
      </x:c>
      <x:c r="E141" s="290" t="n">
        <x:v>6</x:v>
      </x:c>
      <x:c r="F141" s="290" t="str">
        <x:v>戒指</x:v>
      </x:c>
      <x:c r="G141" s="289"/>
      <x:c r="H141" s="289"/>
      <x:c r="I141" s="289" t="n">
        <x:v>6006</x:v>
      </x:c>
      <x:c r="J141" s="289"/>
      <x:c r="K141" s="289"/>
      <x:c r="L141" s="289"/>
      <x:c r="M141" s="289" t="n">
        <x:v>6006</x:v>
      </x:c>
      <x:c r="N141" s="289" t="n">
        <x:v>6006</x:v>
      </x:c>
      <x:c r="O141" s="289" t="n">
        <x:v>6006</x:v>
      </x:c>
      <x:c r="P141" s="292"/>
      <x:c r="Q141" s="292" t="str">
        <x:v>原九部位资源库已登记</x:v>
      </x:c>
      <x:c r="R141" s="324" t="str">
        <x:v>C3-C10规划锁定：听岩回声戒</x:v>
      </x:c>
      <x:c r="S141" s="292" t="str">
        <x:v>装备素材套装代码表.xlsx（原九部位）</x:v>
      </x:c>
      <x:c r="T141" s="292" t="str">
        <x:v>同一代码用于 Items / StateItem / DnItems；属性与掉落另表定义。</x:v>
      </x:c>
      <x:c r="U141" t="str">
        <x:f>IF(COUNTIF($B$2:$B$1076,B141)&gt;1,"重复","")</x:f>
      </x:c>
      <x:c r="V141" t="str">
        <x:f>IF(AND(OR(M141="",M141=B141),OR(N141="",N141=B141),OR(O141="",O141=B141)),"通过","不一致")</x:f>
        <x:v>通过</x:v>
      </x:c>
    </x:row>
    <x:row r="142" ht="22" customHeight="1">
      <x:c r="A142" s="289" t="n">
        <x:v>141</x:v>
      </x:c>
      <x:c r="B142" s="289" t="n">
        <x:v>6007</x:v>
      </x:c>
      <x:c r="C142" s="290" t="str">
        <x:v>血月荆棘·月蚀</x:v>
      </x:c>
      <x:c r="D142" s="290" t="str">
        <x:v>血月荆棘</x:v>
      </x:c>
      <x:c r="E142" s="290" t="n">
        <x:v>6</x:v>
      </x:c>
      <x:c r="F142" s="290" t="str">
        <x:v>盾牌</x:v>
      </x:c>
      <x:c r="G142" s="289"/>
      <x:c r="H142" s="289"/>
      <x:c r="I142" s="289" t="n">
        <x:v>6007</x:v>
      </x:c>
      <x:c r="J142" s="289"/>
      <x:c r="K142" s="289"/>
      <x:c r="L142" s="289"/>
      <x:c r="M142" s="289" t="n">
        <x:v>6007</x:v>
      </x:c>
      <x:c r="N142" s="289" t="n">
        <x:v>6007</x:v>
      </x:c>
      <x:c r="O142" s="289" t="n">
        <x:v>6007</x:v>
      </x:c>
      <x:c r="P142" s="292"/>
      <x:c r="Q142" s="292" t="str">
        <x:v>原九部位资源库已登记</x:v>
      </x:c>
      <x:c r="R142" s="322" t="str">
        <x:v>C1/C2现用：毒花巨盾</x:v>
      </x:c>
      <x:c r="S142" s="292" t="str">
        <x:v>装备素材套装代码表.xlsx（原九部位）</x:v>
      </x:c>
      <x:c r="T142" s="292" t="str">
        <x:v>同一代码用于 Items / StateItem / DnItems；属性与掉落另表定义。</x:v>
      </x:c>
      <x:c r="U142" t="str">
        <x:f>IF(COUNTIF($B$2:$B$1076,B142)&gt;1,"重复","")</x:f>
      </x:c>
      <x:c r="V142" t="str">
        <x:f>IF(AND(OR(M142="",M142=B142),OR(N142="",N142=B142),OR(O142="",O142=B142)),"通过","不一致")</x:f>
        <x:v>通过</x:v>
      </x:c>
    </x:row>
    <x:row r="143" ht="22" customHeight="1">
      <x:c r="A143" s="289" t="n">
        <x:v>142</x:v>
      </x:c>
      <x:c r="B143" s="289" t="n">
        <x:v>6008</x:v>
      </x:c>
      <x:c r="C143" s="290" t="str">
        <x:v>血月荆棘·月蚀</x:v>
      </x:c>
      <x:c r="D143" s="290" t="str">
        <x:v>血月荆棘</x:v>
      </x:c>
      <x:c r="E143" s="290" t="n">
        <x:v>6</x:v>
      </x:c>
      <x:c r="F143" s="290" t="str">
        <x:v>灵玉</x:v>
      </x:c>
      <x:c r="G143" s="289"/>
      <x:c r="H143" s="289"/>
      <x:c r="I143" s="289" t="n">
        <x:v>6008</x:v>
      </x:c>
      <x:c r="J143" s="289"/>
      <x:c r="K143" s="289"/>
      <x:c r="L143" s="289"/>
      <x:c r="M143" s="289" t="n">
        <x:v>6008</x:v>
      </x:c>
      <x:c r="N143" s="289" t="n">
        <x:v>6008</x:v>
      </x:c>
      <x:c r="O143" s="289" t="n">
        <x:v>6008</x:v>
      </x:c>
      <x:c r="P143" s="292"/>
      <x:c r="Q143" s="292" t="str">
        <x:v>原九部位资源库已登记</x:v>
      </x:c>
      <x:c r="R143" s="292" t="str"/>
      <x:c r="S143" s="292" t="str">
        <x:v>装备素材套装代码表.xlsx（原九部位）</x:v>
      </x:c>
      <x:c r="T143" s="292" t="str">
        <x:v>同一代码用于 Items / StateItem / DnItems；属性与掉落另表定义。</x:v>
      </x:c>
      <x:c r="U143" t="str">
        <x:f>IF(COUNTIF($B$2:$B$1076,B143)&gt;1,"重复","")</x:f>
      </x:c>
      <x:c r="V143" t="str">
        <x:f>IF(AND(OR(M143="",M143=B143),OR(N143="",N143=B143),OR(O143="",O143=B143)),"通过","不一致")</x:f>
        <x:v>通过</x:v>
      </x:c>
    </x:row>
    <x:row r="144" ht="22" customHeight="1">
      <x:c r="A144" s="289" t="n">
        <x:v>143</x:v>
      </x:c>
      <x:c r="B144" s="289" t="n">
        <x:v>6009</x:v>
      </x:c>
      <x:c r="C144" s="290" t="str">
        <x:v>血月荆棘·月蚀</x:v>
      </x:c>
      <x:c r="D144" s="290" t="str">
        <x:v>血月荆棘</x:v>
      </x:c>
      <x:c r="E144" s="290" t="n">
        <x:v>6</x:v>
      </x:c>
      <x:c r="F144" s="290" t="str">
        <x:v>鞋子</x:v>
      </x:c>
      <x:c r="G144" s="289"/>
      <x:c r="H144" s="289"/>
      <x:c r="I144" s="289" t="n">
        <x:v>6009</x:v>
      </x:c>
      <x:c r="J144" s="289"/>
      <x:c r="K144" s="289"/>
      <x:c r="L144" s="289"/>
      <x:c r="M144" s="289" t="n">
        <x:v>6009</x:v>
      </x:c>
      <x:c r="N144" s="289" t="n">
        <x:v>6009</x:v>
      </x:c>
      <x:c r="O144" s="289" t="n">
        <x:v>6009</x:v>
      </x:c>
      <x:c r="P144" s="292"/>
      <x:c r="Q144" s="292" t="str">
        <x:v>原九部位资源库已登记</x:v>
      </x:c>
      <x:c r="R144" s="324" t="str">
        <x:v>C3-C10规划锁定：负灯探脉靴</x:v>
      </x:c>
      <x:c r="S144" s="292" t="str">
        <x:v>装备素材套装代码表.xlsx（原九部位）</x:v>
      </x:c>
      <x:c r="T144" s="292" t="str">
        <x:v>同一代码用于 Items / StateItem / DnItems；属性与掉落另表定义。</x:v>
      </x:c>
      <x:c r="U144" t="str">
        <x:f>IF(COUNTIF($B$2:$B$1076,B144)&gt;1,"重复","")</x:f>
      </x:c>
      <x:c r="V144" t="str">
        <x:f>IF(AND(OR(M144="",M144=B144),OR(N144="",N144=B144),OR(O144="",O144=B144)),"通过","不一致")</x:f>
        <x:v>通过</x:v>
      </x:c>
    </x:row>
    <x:row r="145" ht="22" customHeight="1">
      <x:c r="A145" s="289" t="n">
        <x:v>144</x:v>
      </x:c>
      <x:c r="B145" s="289" t="n">
        <x:v>6010</x:v>
      </x:c>
      <x:c r="C145" s="290" t="str">
        <x:v>血月荆棘·月蚀</x:v>
      </x:c>
      <x:c r="D145" s="290" t="str">
        <x:v>血月荆棘</x:v>
      </x:c>
      <x:c r="E145" s="290" t="n">
        <x:v>6</x:v>
      </x:c>
      <x:c r="F145" s="290" t="str">
        <x:v>腰带</x:v>
      </x:c>
      <x:c r="G145" s="289"/>
      <x:c r="H145" s="289"/>
      <x:c r="I145" s="289" t="n">
        <x:v>6010</x:v>
      </x:c>
      <x:c r="J145" s="289"/>
      <x:c r="K145" s="289"/>
      <x:c r="L145" s="289"/>
      <x:c r="M145" s="289" t="n">
        <x:v>6010</x:v>
      </x:c>
      <x:c r="N145" s="289" t="n">
        <x:v>6010</x:v>
      </x:c>
      <x:c r="O145" s="289" t="n">
        <x:v>6010</x:v>
      </x:c>
      <x:c r="P145" s="292"/>
      <x:c r="Q145" s="292" t="str">
        <x:v>原九部位资源库已登记</x:v>
      </x:c>
      <x:c r="R145" s="324" t="str">
        <x:v>C3-C10规划锁定：盘阀锁流带</x:v>
      </x:c>
      <x:c r="S145" s="292" t="str">
        <x:v>装备素材套装代码表.xlsx（原九部位）</x:v>
      </x:c>
      <x:c r="T145" s="292" t="str">
        <x:v>同一代码用于 Items / StateItem / DnItems；属性与掉落另表定义。</x:v>
      </x:c>
      <x:c r="U145" t="str">
        <x:f>IF(COUNTIF($B$2:$B$1076,B145)&gt;1,"重复","")</x:f>
      </x:c>
      <x:c r="V145" t="str">
        <x:f>IF(AND(OR(M145="",M145=B145),OR(N145="",N145=B145),OR(O145="",O145=B145)),"通过","不一致")</x:f>
        <x:v>通过</x:v>
      </x:c>
    </x:row>
    <x:row r="146" ht="22" customHeight="1">
      <x:c r="A146" s="289" t="n">
        <x:v>145</x:v>
      </x:c>
      <x:c r="B146" s="289" t="n">
        <x:v>6011</x:v>
      </x:c>
      <x:c r="C146" s="290" t="str">
        <x:v>血月荆棘·王刺</x:v>
      </x:c>
      <x:c r="D146" s="290" t="str">
        <x:v>血月荆棘</x:v>
      </x:c>
      <x:c r="E146" s="290" t="n">
        <x:v>7</x:v>
      </x:c>
      <x:c r="F146" s="290" t="str">
        <x:v>勋章</x:v>
      </x:c>
      <x:c r="G146" s="289"/>
      <x:c r="H146" s="289"/>
      <x:c r="I146" s="289" t="n">
        <x:v>6011</x:v>
      </x:c>
      <x:c r="J146" s="289"/>
      <x:c r="K146" s="289"/>
      <x:c r="L146" s="289"/>
      <x:c r="M146" s="289" t="n">
        <x:v>6011</x:v>
      </x:c>
      <x:c r="N146" s="289" t="n">
        <x:v>6011</x:v>
      </x:c>
      <x:c r="O146" s="289" t="n">
        <x:v>6011</x:v>
      </x:c>
      <x:c r="P146" s="292"/>
      <x:c r="Q146" s="292" t="str">
        <x:v>原九部位资源库已登记</x:v>
      </x:c>
      <x:c r="R146" s="292" t="str"/>
      <x:c r="S146" s="292" t="str">
        <x:v>装备素材套装代码表.xlsx（原九部位）</x:v>
      </x:c>
      <x:c r="T146" s="292" t="str">
        <x:v>同一代码用于 Items / StateItem / DnItems；属性与掉落另表定义。</x:v>
      </x:c>
      <x:c r="U146" t="str">
        <x:f>IF(COUNTIF($B$2:$B$1076,B146)&gt;1,"重复","")</x:f>
      </x:c>
      <x:c r="V146" t="str">
        <x:f>IF(AND(OR(M146="",M146=B146),OR(N146="",N146=B146),OR(O146="",O146=B146)),"通过","不一致")</x:f>
        <x:v>通过</x:v>
      </x:c>
    </x:row>
    <x:row r="147" ht="22" customHeight="1">
      <x:c r="A147" s="289" t="n">
        <x:v>146</x:v>
      </x:c>
      <x:c r="B147" s="289" t="n">
        <x:v>6012</x:v>
      </x:c>
      <x:c r="C147" s="290" t="str">
        <x:v>血月荆棘·王刺</x:v>
      </x:c>
      <x:c r="D147" s="290" t="str">
        <x:v>血月荆棘</x:v>
      </x:c>
      <x:c r="E147" s="290" t="n">
        <x:v>7</x:v>
      </x:c>
      <x:c r="F147" s="290" t="str">
        <x:v>项链</x:v>
      </x:c>
      <x:c r="G147" s="289"/>
      <x:c r="H147" s="289"/>
      <x:c r="I147" s="289" t="n">
        <x:v>6012</x:v>
      </x:c>
      <x:c r="J147" s="289"/>
      <x:c r="K147" s="289"/>
      <x:c r="L147" s="289"/>
      <x:c r="M147" s="289" t="n">
        <x:v>6012</x:v>
      </x:c>
      <x:c r="N147" s="289" t="n">
        <x:v>6012</x:v>
      </x:c>
      <x:c r="O147" s="289" t="n">
        <x:v>6012</x:v>
      </x:c>
      <x:c r="P147" s="292"/>
      <x:c r="Q147" s="292" t="str">
        <x:v>原九部位资源库已登记</x:v>
      </x:c>
      <x:c r="R147" s="324" t="str">
        <x:v>C3-C10规划锁定：探脉听石坠</x:v>
      </x:c>
      <x:c r="S147" s="292" t="str">
        <x:v>装备素材套装代码表.xlsx（原九部位）</x:v>
      </x:c>
      <x:c r="T147" s="292" t="str">
        <x:v>同一代码用于 Items / StateItem / DnItems；属性与掉落另表定义。</x:v>
      </x:c>
      <x:c r="U147" t="str">
        <x:f>IF(COUNTIF($B$2:$B$1076,B147)&gt;1,"重复","")</x:f>
      </x:c>
      <x:c r="V147" t="str">
        <x:f>IF(AND(OR(M147="",M147=B147),OR(N147="",N147=B147),OR(O147="",O147=B147)),"通过","不一致")</x:f>
        <x:v>通过</x:v>
      </x:c>
    </x:row>
    <x:row r="148" ht="22" customHeight="1">
      <x:c r="A148" s="289" t="n">
        <x:v>147</x:v>
      </x:c>
      <x:c r="B148" s="289" t="n">
        <x:v>6013</x:v>
      </x:c>
      <x:c r="C148" s="290" t="str">
        <x:v>血月荆棘·王刺</x:v>
      </x:c>
      <x:c r="D148" s="290" t="str">
        <x:v>血月荆棘</x:v>
      </x:c>
      <x:c r="E148" s="290" t="n">
        <x:v>7</x:v>
      </x:c>
      <x:c r="F148" s="290" t="str">
        <x:v>头盔</x:v>
      </x:c>
      <x:c r="G148" s="289"/>
      <x:c r="H148" s="289"/>
      <x:c r="I148" s="289" t="n">
        <x:v>6013</x:v>
      </x:c>
      <x:c r="J148" s="289"/>
      <x:c r="K148" s="289"/>
      <x:c r="L148" s="289"/>
      <x:c r="M148" s="289" t="n">
        <x:v>6013</x:v>
      </x:c>
      <x:c r="N148" s="289" t="n">
        <x:v>6013</x:v>
      </x:c>
      <x:c r="O148" s="289" t="n">
        <x:v>6013</x:v>
      </x:c>
      <x:c r="P148" s="292"/>
      <x:c r="Q148" s="292" t="str">
        <x:v>原九部位资源库已登记</x:v>
      </x:c>
      <x:c r="R148" s="324" t="str">
        <x:v>C3-C10规划锁定：哑钟监工盔</x:v>
      </x:c>
      <x:c r="S148" s="292" t="str">
        <x:v>装备素材套装代码表.xlsx（原九部位）</x:v>
      </x:c>
      <x:c r="T148" s="292" t="str">
        <x:v>同一代码用于 Items / StateItem / DnItems；属性与掉落另表定义。</x:v>
      </x:c>
      <x:c r="U148" t="str">
        <x:f>IF(COUNTIF($B$2:$B$1076,B148)&gt;1,"重复","")</x:f>
      </x:c>
      <x:c r="V148" t="str">
        <x:f>IF(AND(OR(M148="",M148=B148),OR(N148="",N148=B148),OR(O148="",O148=B148)),"通过","不一致")</x:f>
        <x:v>通过</x:v>
      </x:c>
    </x:row>
    <x:row r="149" ht="22" customHeight="1">
      <x:c r="A149" s="289" t="n">
        <x:v>148</x:v>
      </x:c>
      <x:c r="B149" s="289" t="n">
        <x:v>6014</x:v>
      </x:c>
      <x:c r="C149" s="290" t="str">
        <x:v>血月荆棘·王刺</x:v>
      </x:c>
      <x:c r="D149" s="290" t="str">
        <x:v>血月荆棘</x:v>
      </x:c>
      <x:c r="E149" s="290" t="n">
        <x:v>7</x:v>
      </x:c>
      <x:c r="F149" s="290" t="str">
        <x:v>手镯</x:v>
      </x:c>
      <x:c r="G149" s="289"/>
      <x:c r="H149" s="289"/>
      <x:c r="I149" s="289" t="n">
        <x:v>6014</x:v>
      </x:c>
      <x:c r="J149" s="289"/>
      <x:c r="K149" s="289"/>
      <x:c r="L149" s="289"/>
      <x:c r="M149" s="289" t="n">
        <x:v>6014</x:v>
      </x:c>
      <x:c r="N149" s="289" t="n">
        <x:v>6014</x:v>
      </x:c>
      <x:c r="O149" s="289" t="n">
        <x:v>6014</x:v>
      </x:c>
      <x:c r="P149" s="292"/>
      <x:c r="Q149" s="292" t="str">
        <x:v>原九部位资源库已登记</x:v>
      </x:c>
      <x:c r="R149" s="324" t="str">
        <x:v>C3-C10规划锁定：脓潮镀金腕</x:v>
      </x:c>
      <x:c r="S149" s="292" t="str">
        <x:v>装备素材套装代码表.xlsx（原九部位）</x:v>
      </x:c>
      <x:c r="T149" s="292" t="str">
        <x:v>同一代码用于 Items / StateItem / DnItems；属性与掉落另表定义。</x:v>
      </x:c>
      <x:c r="U149" t="str">
        <x:f>IF(COUNTIF($B$2:$B$1076,B149)&gt;1,"重复","")</x:f>
      </x:c>
      <x:c r="V149" t="str">
        <x:f>IF(AND(OR(M149="",M149=B149),OR(N149="",N149=B149),OR(O149="",O149=B149)),"通过","不一致")</x:f>
        <x:v>通过</x:v>
      </x:c>
    </x:row>
    <x:row r="150" ht="22" customHeight="1">
      <x:c r="A150" s="289" t="n">
        <x:v>149</x:v>
      </x:c>
      <x:c r="B150" s="289" t="n">
        <x:v>6015</x:v>
      </x:c>
      <x:c r="C150" s="290" t="str">
        <x:v>血月荆棘·王刺</x:v>
      </x:c>
      <x:c r="D150" s="290" t="str">
        <x:v>血月荆棘</x:v>
      </x:c>
      <x:c r="E150" s="290" t="n">
        <x:v>7</x:v>
      </x:c>
      <x:c r="F150" s="290" t="str">
        <x:v>戒指</x:v>
      </x:c>
      <x:c r="G150" s="289"/>
      <x:c r="H150" s="289"/>
      <x:c r="I150" s="289" t="n">
        <x:v>6015</x:v>
      </x:c>
      <x:c r="J150" s="289"/>
      <x:c r="K150" s="289"/>
      <x:c r="L150" s="289"/>
      <x:c r="M150" s="289" t="n">
        <x:v>6015</x:v>
      </x:c>
      <x:c r="N150" s="289" t="n">
        <x:v>6015</x:v>
      </x:c>
      <x:c r="O150" s="289" t="n">
        <x:v>6015</x:v>
      </x:c>
      <x:c r="P150" s="292"/>
      <x:c r="Q150" s="292" t="str">
        <x:v>原九部位资源库已登记</x:v>
      </x:c>
      <x:c r="R150" s="324" t="str">
        <x:v>C3-C10规划锁定：守印妃金戒</x:v>
      </x:c>
      <x:c r="S150" s="292" t="str">
        <x:v>装备素材套装代码表.xlsx（原九部位）</x:v>
      </x:c>
      <x:c r="T150" s="292" t="str">
        <x:v>同一代码用于 Items / StateItem / DnItems；属性与掉落另表定义。</x:v>
      </x:c>
      <x:c r="U150" t="str">
        <x:f>IF(COUNTIF($B$2:$B$1076,B150)&gt;1,"重复","")</x:f>
      </x:c>
      <x:c r="V150" t="str">
        <x:f>IF(AND(OR(M150="",M150=B150),OR(N150="",N150=B150),OR(O150="",O150=B150)),"通过","不一致")</x:f>
        <x:v>通过</x:v>
      </x:c>
    </x:row>
    <x:row r="151" ht="22" customHeight="1">
      <x:c r="A151" s="289" t="n">
        <x:v>150</x:v>
      </x:c>
      <x:c r="B151" s="289" t="n">
        <x:v>6016</x:v>
      </x:c>
      <x:c r="C151" s="290" t="str">
        <x:v>血月荆棘·王刺</x:v>
      </x:c>
      <x:c r="D151" s="290" t="str">
        <x:v>血月荆棘</x:v>
      </x:c>
      <x:c r="E151" s="290" t="n">
        <x:v>7</x:v>
      </x:c>
      <x:c r="F151" s="290" t="str">
        <x:v>盾牌</x:v>
      </x:c>
      <x:c r="G151" s="289"/>
      <x:c r="H151" s="289"/>
      <x:c r="I151" s="289" t="n">
        <x:v>6016</x:v>
      </x:c>
      <x:c r="J151" s="289"/>
      <x:c r="K151" s="289"/>
      <x:c r="L151" s="289"/>
      <x:c r="M151" s="289" t="n">
        <x:v>6016</x:v>
      </x:c>
      <x:c r="N151" s="289" t="n">
        <x:v>6016</x:v>
      </x:c>
      <x:c r="O151" s="289" t="n">
        <x:v>6016</x:v>
      </x:c>
      <x:c r="P151" s="292"/>
      <x:c r="Q151" s="292" t="str">
        <x:v>原九部位资源库已登记</x:v>
      </x:c>
      <x:c r="R151" s="324" t="str">
        <x:v>C3-C10规划锁定：沉闸铜面盾</x:v>
      </x:c>
      <x:c r="S151" s="292" t="str">
        <x:v>装备素材套装代码表.xlsx（原九部位）</x:v>
      </x:c>
      <x:c r="T151" s="292" t="str">
        <x:v>同一代码用于 Items / StateItem / DnItems；属性与掉落另表定义。</x:v>
      </x:c>
      <x:c r="U151" t="str">
        <x:f>IF(COUNTIF($B$2:$B$1076,B151)&gt;1,"重复","")</x:f>
      </x:c>
      <x:c r="V151" t="str">
        <x:f>IF(AND(OR(M151="",M151=B151),OR(N151="",N151=B151),OR(O151="",O151=B151)),"通过","不一致")</x:f>
        <x:v>通过</x:v>
      </x:c>
    </x:row>
    <x:row r="152" ht="22" customHeight="1">
      <x:c r="A152" s="289" t="n">
        <x:v>151</x:v>
      </x:c>
      <x:c r="B152" s="289" t="n">
        <x:v>6017</x:v>
      </x:c>
      <x:c r="C152" s="290" t="str">
        <x:v>血月荆棘·王刺</x:v>
      </x:c>
      <x:c r="D152" s="290" t="str">
        <x:v>血月荆棘</x:v>
      </x:c>
      <x:c r="E152" s="290" t="n">
        <x:v>7</x:v>
      </x:c>
      <x:c r="F152" s="290" t="str">
        <x:v>灵玉</x:v>
      </x:c>
      <x:c r="G152" s="289"/>
      <x:c r="H152" s="289"/>
      <x:c r="I152" s="289" t="n">
        <x:v>6017</x:v>
      </x:c>
      <x:c r="J152" s="289"/>
      <x:c r="K152" s="289"/>
      <x:c r="L152" s="289"/>
      <x:c r="M152" s="289" t="n">
        <x:v>6017</x:v>
      </x:c>
      <x:c r="N152" s="289" t="n">
        <x:v>6017</x:v>
      </x:c>
      <x:c r="O152" s="289" t="n">
        <x:v>6017</x:v>
      </x:c>
      <x:c r="P152" s="292"/>
      <x:c r="Q152" s="292" t="str">
        <x:v>原九部位资源库已登记</x:v>
      </x:c>
      <x:c r="R152" s="322" t="str">
        <x:v>C1/C2现用：黑焰王玉</x:v>
      </x:c>
      <x:c r="S152" s="292" t="str">
        <x:v>装备素材套装代码表.xlsx（原九部位）</x:v>
      </x:c>
      <x:c r="T152" s="292" t="str">
        <x:v>同一代码用于 Items / StateItem / DnItems；属性与掉落另表定义。</x:v>
      </x:c>
      <x:c r="U152" t="str">
        <x:f>IF(COUNTIF($B$2:$B$1076,B152)&gt;1,"重复","")</x:f>
      </x:c>
      <x:c r="V152" t="str">
        <x:f>IF(AND(OR(M152="",M152=B152),OR(N152="",N152=B152),OR(O152="",O152=B152)),"通过","不一致")</x:f>
        <x:v>通过</x:v>
      </x:c>
    </x:row>
    <x:row r="153" ht="22" customHeight="1">
      <x:c r="A153" s="289" t="n">
        <x:v>152</x:v>
      </x:c>
      <x:c r="B153" s="289" t="n">
        <x:v>6018</x:v>
      </x:c>
      <x:c r="C153" s="290" t="str">
        <x:v>血月荆棘·王刺</x:v>
      </x:c>
      <x:c r="D153" s="290" t="str">
        <x:v>血月荆棘</x:v>
      </x:c>
      <x:c r="E153" s="290" t="n">
        <x:v>7</x:v>
      </x:c>
      <x:c r="F153" s="290" t="str">
        <x:v>鞋子</x:v>
      </x:c>
      <x:c r="G153" s="289"/>
      <x:c r="H153" s="289"/>
      <x:c r="I153" s="289" t="n">
        <x:v>6018</x:v>
      </x:c>
      <x:c r="J153" s="289"/>
      <x:c r="K153" s="289"/>
      <x:c r="L153" s="289"/>
      <x:c r="M153" s="289" t="n">
        <x:v>6018</x:v>
      </x:c>
      <x:c r="N153" s="289" t="n">
        <x:v>6018</x:v>
      </x:c>
      <x:c r="O153" s="289" t="n">
        <x:v>6018</x:v>
      </x:c>
      <x:c r="P153" s="292"/>
      <x:c r="Q153" s="292" t="str">
        <x:v>原九部位资源库已登记</x:v>
      </x:c>
      <x:c r="R153" s="324" t="str">
        <x:v>C3-C10规划锁定：枕陵掘痕靴</x:v>
      </x:c>
      <x:c r="S153" s="292" t="str">
        <x:v>装备素材套装代码表.xlsx（原九部位）</x:v>
      </x:c>
      <x:c r="T153" s="292" t="str">
        <x:v>同一代码用于 Items / StateItem / DnItems；属性与掉落另表定义。</x:v>
      </x:c>
      <x:c r="U153" t="str">
        <x:f>IF(COUNTIF($B$2:$B$1076,B153)&gt;1,"重复","")</x:f>
      </x:c>
      <x:c r="V153" t="str">
        <x:f>IF(AND(OR(M153="",M153=B153),OR(N153="",N153=B153),OR(O153="",O153=B153)),"通过","不一致")</x:f>
        <x:v>通过</x:v>
      </x:c>
    </x:row>
    <x:row r="154" ht="22" customHeight="1">
      <x:c r="A154" s="289" t="n">
        <x:v>153</x:v>
      </x:c>
      <x:c r="B154" s="289" t="n">
        <x:v>6019</x:v>
      </x:c>
      <x:c r="C154" s="290" t="str">
        <x:v>血月荆棘·王刺</x:v>
      </x:c>
      <x:c r="D154" s="290" t="str">
        <x:v>血月荆棘</x:v>
      </x:c>
      <x:c r="E154" s="290" t="n">
        <x:v>7</x:v>
      </x:c>
      <x:c r="F154" s="290" t="str">
        <x:v>腰带</x:v>
      </x:c>
      <x:c r="G154" s="289"/>
      <x:c r="H154" s="289"/>
      <x:c r="I154" s="289" t="n">
        <x:v>6019</x:v>
      </x:c>
      <x:c r="J154" s="289"/>
      <x:c r="K154" s="289"/>
      <x:c r="L154" s="289"/>
      <x:c r="M154" s="289" t="n">
        <x:v>6019</x:v>
      </x:c>
      <x:c r="N154" s="289" t="n">
        <x:v>6019</x:v>
      </x:c>
      <x:c r="O154" s="289" t="n">
        <x:v>6019</x:v>
      </x:c>
      <x:c r="P154" s="292"/>
      <x:c r="Q154" s="292" t="str">
        <x:v>原九部位资源库已登记</x:v>
      </x:c>
      <x:c r="R154" s="324" t="str">
        <x:v>C3-C10规划锁定：鎏面监坑腰封</x:v>
      </x:c>
      <x:c r="S154" s="292" t="str">
        <x:v>装备素材套装代码表.xlsx（原九部位）</x:v>
      </x:c>
      <x:c r="T154" s="292" t="str">
        <x:v>同一代码用于 Items / StateItem / DnItems；属性与掉落另表定义。</x:v>
      </x:c>
      <x:c r="U154" t="str">
        <x:f>IF(COUNTIF($B$2:$B$1076,B154)&gt;1,"重复","")</x:f>
      </x:c>
      <x:c r="V154" t="str">
        <x:f>IF(AND(OR(M154="",M154=B154),OR(N154="",N154=B154),OR(O154="",O154=B154)),"通过","不一致")</x:f>
        <x:v>通过</x:v>
      </x:c>
    </x:row>
    <x:row r="155" ht="22" customHeight="1">
      <x:c r="A155" s="289" t="n">
        <x:v>154</x:v>
      </x:c>
      <x:c r="B155" s="289" t="n">
        <x:v>6020</x:v>
      </x:c>
      <x:c r="C155" s="290" t="str">
        <x:v>血月荆棘·灾焰</x:v>
      </x:c>
      <x:c r="D155" s="290" t="str">
        <x:v>血月荆棘</x:v>
      </x:c>
      <x:c r="E155" s="290" t="n">
        <x:v>8</x:v>
      </x:c>
      <x:c r="F155" s="290" t="str">
        <x:v>勋章</x:v>
      </x:c>
      <x:c r="G155" s="289"/>
      <x:c r="H155" s="289"/>
      <x:c r="I155" s="289" t="n">
        <x:v>6020</x:v>
      </x:c>
      <x:c r="J155" s="289"/>
      <x:c r="K155" s="289"/>
      <x:c r="L155" s="289"/>
      <x:c r="M155" s="289" t="n">
        <x:v>6020</x:v>
      </x:c>
      <x:c r="N155" s="289" t="n">
        <x:v>6020</x:v>
      </x:c>
      <x:c r="O155" s="289" t="n">
        <x:v>6020</x:v>
      </x:c>
      <x:c r="P155" s="292"/>
      <x:c r="Q155" s="292" t="str">
        <x:v>原九部位资源库已登记</x:v>
      </x:c>
      <x:c r="R155" s="292" t="str"/>
      <x:c r="S155" s="292" t="str">
        <x:v>装备素材套装代码表.xlsx（原九部位）</x:v>
      </x:c>
      <x:c r="T155" s="292" t="str">
        <x:v>同一代码用于 Items / StateItem / DnItems；属性与掉落另表定义。</x:v>
      </x:c>
      <x:c r="U155" t="str">
        <x:f>IF(COUNTIF($B$2:$B$1076,B155)&gt;1,"重复","")</x:f>
      </x:c>
      <x:c r="V155" t="str">
        <x:f>IF(AND(OR(M155="",M155=B155),OR(N155="",N155=B155),OR(O155="",O155=B155)),"通过","不一致")</x:f>
        <x:v>通过</x:v>
      </x:c>
    </x:row>
    <x:row r="156" ht="22" customHeight="1">
      <x:c r="A156" s="289" t="n">
        <x:v>155</x:v>
      </x:c>
      <x:c r="B156" s="289" t="n">
        <x:v>6021</x:v>
      </x:c>
      <x:c r="C156" s="290" t="str">
        <x:v>血月荆棘·灾焰</x:v>
      </x:c>
      <x:c r="D156" s="290" t="str">
        <x:v>血月荆棘</x:v>
      </x:c>
      <x:c r="E156" s="290" t="n">
        <x:v>8</x:v>
      </x:c>
      <x:c r="F156" s="290" t="str">
        <x:v>项链</x:v>
      </x:c>
      <x:c r="G156" s="289"/>
      <x:c r="H156" s="289"/>
      <x:c r="I156" s="289" t="n">
        <x:v>6021</x:v>
      </x:c>
      <x:c r="J156" s="289"/>
      <x:c r="K156" s="289"/>
      <x:c r="L156" s="289"/>
      <x:c r="M156" s="289" t="n">
        <x:v>6021</x:v>
      </x:c>
      <x:c r="N156" s="289" t="n">
        <x:v>6021</x:v>
      </x:c>
      <x:c r="O156" s="289" t="n">
        <x:v>6021</x:v>
      </x:c>
      <x:c r="P156" s="292"/>
      <x:c r="Q156" s="292" t="str">
        <x:v>原九部位资源库已登记</x:v>
      </x:c>
      <x:c r="R156" s="324" t="str">
        <x:v>C3-C10规划锁定：壁龛守烛坠</x:v>
      </x:c>
      <x:c r="S156" s="292" t="str">
        <x:v>装备素材套装代码表.xlsx（原九部位）</x:v>
      </x:c>
      <x:c r="T156" s="292" t="str">
        <x:v>同一代码用于 Items / StateItem / DnItems；属性与掉落另表定义。</x:v>
      </x:c>
      <x:c r="U156" t="str">
        <x:f>IF(COUNTIF($B$2:$B$1076,B156)&gt;1,"重复","")</x:f>
      </x:c>
      <x:c r="V156" t="str">
        <x:f>IF(AND(OR(M156="",M156=B156),OR(N156="",N156=B156),OR(O156="",O156=B156)),"通过","不一致")</x:f>
        <x:v>通过</x:v>
      </x:c>
    </x:row>
    <x:row r="157" ht="22" customHeight="1">
      <x:c r="A157" s="289" t="n">
        <x:v>156</x:v>
      </x:c>
      <x:c r="B157" s="289" t="n">
        <x:v>6022</x:v>
      </x:c>
      <x:c r="C157" s="290" t="str">
        <x:v>血月荆棘·灾焰</x:v>
      </x:c>
      <x:c r="D157" s="290" t="str">
        <x:v>血月荆棘</x:v>
      </x:c>
      <x:c r="E157" s="290" t="n">
        <x:v>8</x:v>
      </x:c>
      <x:c r="F157" s="290" t="str">
        <x:v>头盔</x:v>
      </x:c>
      <x:c r="G157" s="289"/>
      <x:c r="H157" s="289"/>
      <x:c r="I157" s="289" t="n">
        <x:v>6022</x:v>
      </x:c>
      <x:c r="J157" s="289"/>
      <x:c r="K157" s="289"/>
      <x:c r="L157" s="289"/>
      <x:c r="M157" s="289" t="n">
        <x:v>6022</x:v>
      </x:c>
      <x:c r="N157" s="289" t="n">
        <x:v>6022</x:v>
      </x:c>
      <x:c r="O157" s="289" t="n">
        <x:v>6022</x:v>
      </x:c>
      <x:c r="P157" s="292"/>
      <x:c r="Q157" s="292" t="str">
        <x:v>原九部位资源库已登记</x:v>
      </x:c>
      <x:c r="R157" s="324" t="str">
        <x:v>C3-C10规划锁定：无面近卫盔</x:v>
      </x:c>
      <x:c r="S157" s="292" t="str">
        <x:v>装备素材套装代码表.xlsx（原九部位）</x:v>
      </x:c>
      <x:c r="T157" s="292" t="str">
        <x:v>同一代码用于 Items / StateItem / DnItems；属性与掉落另表定义。</x:v>
      </x:c>
      <x:c r="U157" t="str">
        <x:f>IF(COUNTIF($B$2:$B$1076,B157)&gt;1,"重复","")</x:f>
      </x:c>
      <x:c r="V157" t="str">
        <x:f>IF(AND(OR(M157="",M157=B157),OR(N157="",N157=B157),OR(O157="",O157=B157)),"通过","不一致")</x:f>
        <x:v>通过</x:v>
      </x:c>
    </x:row>
    <x:row r="158" ht="22" customHeight="1">
      <x:c r="A158" s="289" t="n">
        <x:v>157</x:v>
      </x:c>
      <x:c r="B158" s="289" t="n">
        <x:v>6023</x:v>
      </x:c>
      <x:c r="C158" s="290" t="str">
        <x:v>血月荆棘·灾焰</x:v>
      </x:c>
      <x:c r="D158" s="290" t="str">
        <x:v>血月荆棘</x:v>
      </x:c>
      <x:c r="E158" s="290" t="n">
        <x:v>8</x:v>
      </x:c>
      <x:c r="F158" s="290" t="str">
        <x:v>手镯</x:v>
      </x:c>
      <x:c r="G158" s="289"/>
      <x:c r="H158" s="289"/>
      <x:c r="I158" s="289" t="n">
        <x:v>6023</x:v>
      </x:c>
      <x:c r="J158" s="289"/>
      <x:c r="K158" s="289"/>
      <x:c r="L158" s="289"/>
      <x:c r="M158" s="289" t="n">
        <x:v>6023</x:v>
      </x:c>
      <x:c r="N158" s="289" t="n">
        <x:v>6023</x:v>
      </x:c>
      <x:c r="O158" s="289" t="n">
        <x:v>6023</x:v>
      </x:c>
      <x:c r="P158" s="292"/>
      <x:c r="Q158" s="292" t="str">
        <x:v>原九部位资源库已登记</x:v>
      </x:c>
      <x:c r="R158" s="324" t="str">
        <x:v>C3-C10规划锁定：空炉渣火镯</x:v>
      </x:c>
      <x:c r="S158" s="292" t="str">
        <x:v>装备素材套装代码表.xlsx（原九部位）</x:v>
      </x:c>
      <x:c r="T158" s="292" t="str">
        <x:v>同一代码用于 Items / StateItem / DnItems；属性与掉落另表定义。</x:v>
      </x:c>
      <x:c r="U158" t="str">
        <x:f>IF(COUNTIF($B$2:$B$1076,B158)&gt;1,"重复","")</x:f>
      </x:c>
      <x:c r="V158" t="str">
        <x:f>IF(AND(OR(M158="",M158=B158),OR(N158="",N158=B158),OR(O158="",O158=B158)),"通过","不一致")</x:f>
        <x:v>通过</x:v>
      </x:c>
    </x:row>
    <x:row r="159" ht="22" customHeight="1">
      <x:c r="A159" s="289" t="n">
        <x:v>158</x:v>
      </x:c>
      <x:c r="B159" s="289" t="n">
        <x:v>6024</x:v>
      </x:c>
      <x:c r="C159" s="290" t="str">
        <x:v>血月荆棘·灾焰</x:v>
      </x:c>
      <x:c r="D159" s="290" t="str">
        <x:v>血月荆棘</x:v>
      </x:c>
      <x:c r="E159" s="290" t="n">
        <x:v>8</x:v>
      </x:c>
      <x:c r="F159" s="290" t="str">
        <x:v>戒指</x:v>
      </x:c>
      <x:c r="G159" s="289"/>
      <x:c r="H159" s="289"/>
      <x:c r="I159" s="289" t="n">
        <x:v>6024</x:v>
      </x:c>
      <x:c r="J159" s="289"/>
      <x:c r="K159" s="289"/>
      <x:c r="L159" s="289"/>
      <x:c r="M159" s="289" t="n">
        <x:v>6024</x:v>
      </x:c>
      <x:c r="N159" s="289" t="n">
        <x:v>6024</x:v>
      </x:c>
      <x:c r="O159" s="289" t="n">
        <x:v>6024</x:v>
      </x:c>
      <x:c r="P159" s="292"/>
      <x:c r="Q159" s="292" t="str">
        <x:v>原九部位资源库已登记</x:v>
      </x:c>
      <x:c r="R159" s="324" t="str">
        <x:v>C3-C10规划锁定：逐光姬曜戒</x:v>
      </x:c>
      <x:c r="S159" s="292" t="str">
        <x:v>装备素材套装代码表.xlsx（原九部位）</x:v>
      </x:c>
      <x:c r="T159" s="292" t="str">
        <x:v>同一代码用于 Items / StateItem / DnItems；属性与掉落另表定义。</x:v>
      </x:c>
      <x:c r="U159" t="str">
        <x:f>IF(COUNTIF($B$2:$B$1076,B159)&gt;1,"重复","")</x:f>
      </x:c>
      <x:c r="V159" t="str">
        <x:f>IF(AND(OR(M159="",M159=B159),OR(N159="",N159=B159),OR(O159="",O159=B159)),"通过","不一致")</x:f>
        <x:v>通过</x:v>
      </x:c>
    </x:row>
    <x:row r="160" ht="22" customHeight="1">
      <x:c r="A160" s="289" t="n">
        <x:v>159</x:v>
      </x:c>
      <x:c r="B160" s="289" t="n">
        <x:v>6025</x:v>
      </x:c>
      <x:c r="C160" s="290" t="str">
        <x:v>血月荆棘·灾焰</x:v>
      </x:c>
      <x:c r="D160" s="290" t="str">
        <x:v>血月荆棘</x:v>
      </x:c>
      <x:c r="E160" s="290" t="n">
        <x:v>8</x:v>
      </x:c>
      <x:c r="F160" s="290" t="str">
        <x:v>盾牌</x:v>
      </x:c>
      <x:c r="G160" s="289"/>
      <x:c r="H160" s="289"/>
      <x:c r="I160" s="289" t="n">
        <x:v>6025</x:v>
      </x:c>
      <x:c r="J160" s="289"/>
      <x:c r="K160" s="289"/>
      <x:c r="L160" s="289"/>
      <x:c r="M160" s="289" t="n">
        <x:v>6025</x:v>
      </x:c>
      <x:c r="N160" s="289" t="n">
        <x:v>6025</x:v>
      </x:c>
      <x:c r="O160" s="289" t="n">
        <x:v>6025</x:v>
      </x:c>
      <x:c r="P160" s="292"/>
      <x:c r="Q160" s="292" t="str">
        <x:v>原九部位资源库已登记</x:v>
      </x:c>
      <x:c r="R160" s="324" t="str">
        <x:v>C3-C10规划锁定：逆流剥甲盾</x:v>
      </x:c>
      <x:c r="S160" s="292" t="str">
        <x:v>装备素材套装代码表.xlsx（原九部位）</x:v>
      </x:c>
      <x:c r="T160" s="292" t="str">
        <x:v>同一代码用于 Items / StateItem / DnItems；属性与掉落另表定义。</x:v>
      </x:c>
      <x:c r="U160" t="str">
        <x:f>IF(COUNTIF($B$2:$B$1076,B160)&gt;1,"重复","")</x:f>
      </x:c>
      <x:c r="V160" t="str">
        <x:f>IF(AND(OR(M160="",M160=B160),OR(N160="",N160=B160),OR(O160="",O160=B160)),"通过","不一致")</x:f>
        <x:v>通过</x:v>
      </x:c>
    </x:row>
    <x:row r="161" ht="22" customHeight="1">
      <x:c r="A161" s="289" t="n">
        <x:v>160</x:v>
      </x:c>
      <x:c r="B161" s="289" t="n">
        <x:v>6026</x:v>
      </x:c>
      <x:c r="C161" s="290" t="str">
        <x:v>血月荆棘·灾焰</x:v>
      </x:c>
      <x:c r="D161" s="290" t="str">
        <x:v>血月荆棘</x:v>
      </x:c>
      <x:c r="E161" s="290" t="n">
        <x:v>8</x:v>
      </x:c>
      <x:c r="F161" s="290" t="str">
        <x:v>灵玉</x:v>
      </x:c>
      <x:c r="G161" s="289"/>
      <x:c r="H161" s="289"/>
      <x:c r="I161" s="289" t="n">
        <x:v>6026</x:v>
      </x:c>
      <x:c r="J161" s="289"/>
      <x:c r="K161" s="289"/>
      <x:c r="L161" s="289"/>
      <x:c r="M161" s="289" t="n">
        <x:v>6026</x:v>
      </x:c>
      <x:c r="N161" s="289" t="n">
        <x:v>6026</x:v>
      </x:c>
      <x:c r="O161" s="289" t="n">
        <x:v>6026</x:v>
      </x:c>
      <x:c r="P161" s="292"/>
      <x:c r="Q161" s="292" t="str">
        <x:v>原九部位资源库已登记</x:v>
      </x:c>
      <x:c r="R161" s="292" t="str"/>
      <x:c r="S161" s="292" t="str">
        <x:v>装备素材套装代码表.xlsx（原九部位）</x:v>
      </x:c>
      <x:c r="T161" s="292" t="str">
        <x:v>同一代码用于 Items / StateItem / DnItems；属性与掉落另表定义。</x:v>
      </x:c>
      <x:c r="U161" t="str">
        <x:f>IF(COUNTIF($B$2:$B$1076,B161)&gt;1,"重复","")</x:f>
      </x:c>
      <x:c r="V161" t="str">
        <x:f>IF(AND(OR(M161="",M161=B161),OR(N161="",N161=B161),OR(O161="",O161=B161)),"通过","不一致")</x:f>
        <x:v>通过</x:v>
      </x:c>
    </x:row>
    <x:row r="162" ht="22" customHeight="1">
      <x:c r="A162" s="289" t="n">
        <x:v>161</x:v>
      </x:c>
      <x:c r="B162" s="289" t="n">
        <x:v>6027</x:v>
      </x:c>
      <x:c r="C162" s="290" t="str">
        <x:v>血月荆棘·灾焰</x:v>
      </x:c>
      <x:c r="D162" s="290" t="str">
        <x:v>血月荆棘</x:v>
      </x:c>
      <x:c r="E162" s="290" t="n">
        <x:v>8</x:v>
      </x:c>
      <x:c r="F162" s="290" t="str">
        <x:v>鞋子</x:v>
      </x:c>
      <x:c r="G162" s="289"/>
      <x:c r="H162" s="289"/>
      <x:c r="I162" s="289" t="n">
        <x:v>6027</x:v>
      </x:c>
      <x:c r="J162" s="289"/>
      <x:c r="K162" s="289"/>
      <x:c r="L162" s="289"/>
      <x:c r="M162" s="289" t="n">
        <x:v>6027</x:v>
      </x:c>
      <x:c r="N162" s="289" t="n">
        <x:v>6027</x:v>
      </x:c>
      <x:c r="O162" s="289" t="n">
        <x:v>6027</x:v>
      </x:c>
      <x:c r="P162" s="292"/>
      <x:c r="Q162" s="292" t="str">
        <x:v>原九部位资源库已登记</x:v>
      </x:c>
      <x:c r="R162" s="322" t="str">
        <x:v>C1/C2现用：失乡战靴</x:v>
      </x:c>
      <x:c r="S162" s="292" t="str">
        <x:v>装备素材套装代码表.xlsx（原九部位）</x:v>
      </x:c>
      <x:c r="T162" s="292" t="str">
        <x:v>同一代码用于 Items / StateItem / DnItems；属性与掉落另表定义。</x:v>
      </x:c>
      <x:c r="U162" t="str">
        <x:f>IF(COUNTIF($B$2:$B$1076,B162)&gt;1,"重复","")</x:f>
      </x:c>
      <x:c r="V162" t="str">
        <x:f>IF(AND(OR(M162="",M162=B162),OR(N162="",N162=B162),OR(O162="",O162=B162)),"通过","不一致")</x:f>
        <x:v>通过</x:v>
      </x:c>
    </x:row>
    <x:row r="163" ht="22" customHeight="1">
      <x:c r="A163" s="289" t="n">
        <x:v>162</x:v>
      </x:c>
      <x:c r="B163" s="289" t="n">
        <x:v>6028</x:v>
      </x:c>
      <x:c r="C163" s="290" t="str">
        <x:v>血月荆棘·灾焰</x:v>
      </x:c>
      <x:c r="D163" s="290" t="str">
        <x:v>血月荆棘</x:v>
      </x:c>
      <x:c r="E163" s="290" t="n">
        <x:v>8</x:v>
      </x:c>
      <x:c r="F163" s="290" t="str">
        <x:v>腰带</x:v>
      </x:c>
      <x:c r="G163" s="289"/>
      <x:c r="H163" s="289"/>
      <x:c r="I163" s="289" t="n">
        <x:v>6028</x:v>
      </x:c>
      <x:c r="J163" s="289"/>
      <x:c r="K163" s="289"/>
      <x:c r="L163" s="289"/>
      <x:c r="M163" s="289" t="n">
        <x:v>6028</x:v>
      </x:c>
      <x:c r="N163" s="289" t="n">
        <x:v>6028</x:v>
      </x:c>
      <x:c r="O163" s="289" t="n">
        <x:v>6028</x:v>
      </x:c>
      <x:c r="P163" s="292"/>
      <x:c r="Q163" s="292" t="str">
        <x:v>原九部位资源库已登记</x:v>
      </x:c>
      <x:c r="R163" s="324" t="str">
        <x:v>C3-C10规划锁定：断碑驮棺带</x:v>
      </x:c>
      <x:c r="S163" s="292" t="str">
        <x:v>装备素材套装代码表.xlsx（原九部位）</x:v>
      </x:c>
      <x:c r="T163" s="292" t="str">
        <x:v>同一代码用于 Items / StateItem / DnItems；属性与掉落另表定义。</x:v>
      </x:c>
      <x:c r="U163" t="str">
        <x:f>IF(COUNTIF($B$2:$B$1076,B163)&gt;1,"重复","")</x:f>
      </x:c>
      <x:c r="V163" t="str">
        <x:f>IF(AND(OR(M163="",M163=B163),OR(N163="",N163=B163),OR(O163="",O163=B163)),"通过","不一致")</x:f>
        <x:v>通过</x:v>
      </x:c>
    </x:row>
    <x:row r="164" ht="22" customHeight="1">
      <x:c r="A164" s="289" t="n">
        <x:v>163</x:v>
      </x:c>
      <x:c r="B164" s="289" t="n">
        <x:v>6029</x:v>
      </x:c>
      <x:c r="C164" s="290" t="str">
        <x:v>血月荆棘·弑神</x:v>
      </x:c>
      <x:c r="D164" s="290" t="str">
        <x:v>血月荆棘</x:v>
      </x:c>
      <x:c r="E164" s="290" t="n">
        <x:v>9</x:v>
      </x:c>
      <x:c r="F164" s="290" t="str">
        <x:v>勋章</x:v>
      </x:c>
      <x:c r="G164" s="289"/>
      <x:c r="H164" s="289"/>
      <x:c r="I164" s="289" t="n">
        <x:v>6029</x:v>
      </x:c>
      <x:c r="J164" s="289"/>
      <x:c r="K164" s="289"/>
      <x:c r="L164" s="289"/>
      <x:c r="M164" s="289" t="n">
        <x:v>6029</x:v>
      </x:c>
      <x:c r="N164" s="289" t="n">
        <x:v>6029</x:v>
      </x:c>
      <x:c r="O164" s="289" t="n">
        <x:v>6029</x:v>
      </x:c>
      <x:c r="P164" s="292"/>
      <x:c r="Q164" s="292" t="str">
        <x:v>原九部位资源库已登记</x:v>
      </x:c>
      <x:c r="R164" s="292" t="str"/>
      <x:c r="S164" s="292" t="str">
        <x:v>装备素材套装代码表.xlsx（原九部位）</x:v>
      </x:c>
      <x:c r="T164" s="292" t="str">
        <x:v>同一代码用于 Items / StateItem / DnItems；属性与掉落另表定义。</x:v>
      </x:c>
      <x:c r="U164" t="str">
        <x:f>IF(COUNTIF($B$2:$B$1076,B164)&gt;1,"重复","")</x:f>
      </x:c>
      <x:c r="V164" t="str">
        <x:f>IF(AND(OR(M164="",M164=B164),OR(N164="",N164=B164),OR(O164="",O164=B164)),"通过","不一致")</x:f>
        <x:v>通过</x:v>
      </x:c>
    </x:row>
    <x:row r="165" ht="22" customHeight="1">
      <x:c r="A165" s="289" t="n">
        <x:v>164</x:v>
      </x:c>
      <x:c r="B165" s="289" t="n">
        <x:v>6030</x:v>
      </x:c>
      <x:c r="C165" s="290" t="str">
        <x:v>血月荆棘·弑神</x:v>
      </x:c>
      <x:c r="D165" s="290" t="str">
        <x:v>血月荆棘</x:v>
      </x:c>
      <x:c r="E165" s="290" t="n">
        <x:v>9</x:v>
      </x:c>
      <x:c r="F165" s="290" t="str">
        <x:v>项链</x:v>
      </x:c>
      <x:c r="G165" s="289"/>
      <x:c r="H165" s="289"/>
      <x:c r="I165" s="289" t="n">
        <x:v>6030</x:v>
      </x:c>
      <x:c r="J165" s="289"/>
      <x:c r="K165" s="289"/>
      <x:c r="L165" s="289"/>
      <x:c r="M165" s="289" t="n">
        <x:v>6030</x:v>
      </x:c>
      <x:c r="N165" s="289" t="n">
        <x:v>6030</x:v>
      </x:c>
      <x:c r="O165" s="289" t="n">
        <x:v>6030</x:v>
      </x:c>
      <x:c r="P165" s="292"/>
      <x:c r="Q165" s="292" t="str">
        <x:v>原九部位资源库已登记</x:v>
      </x:c>
      <x:c r="R165" s="324" t="str">
        <x:v>C3-C10规划锁定：食香兽烟坠</x:v>
      </x:c>
      <x:c r="S165" s="292" t="str">
        <x:v>装备素材套装代码表.xlsx（原九部位）</x:v>
      </x:c>
      <x:c r="T165" s="292" t="str">
        <x:v>同一代码用于 Items / StateItem / DnItems；属性与掉落另表定义。</x:v>
      </x:c>
      <x:c r="U165" t="str">
        <x:f>IF(COUNTIF($B$2:$B$1076,B165)&gt;1,"重复","")</x:f>
      </x:c>
      <x:c r="V165" t="str">
        <x:f>IF(AND(OR(M165="",M165=B165),OR(N165="",N165=B165),OR(O165="",O165=B165)),"通过","不一致")</x:f>
        <x:v>通过</x:v>
      </x:c>
    </x:row>
    <x:row r="166" ht="22" customHeight="1">
      <x:c r="A166" s="289" t="n">
        <x:v>165</x:v>
      </x:c>
      <x:c r="B166" s="289" t="n">
        <x:v>6031</x:v>
      </x:c>
      <x:c r="C166" s="290" t="str">
        <x:v>血月荆棘·弑神</x:v>
      </x:c>
      <x:c r="D166" s="290" t="str">
        <x:v>血月荆棘</x:v>
      </x:c>
      <x:c r="E166" s="290" t="n">
        <x:v>9</x:v>
      </x:c>
      <x:c r="F166" s="290" t="str">
        <x:v>头盔</x:v>
      </x:c>
      <x:c r="G166" s="289"/>
      <x:c r="H166" s="289"/>
      <x:c r="I166" s="289" t="n">
        <x:v>6031</x:v>
      </x:c>
      <x:c r="J166" s="289"/>
      <x:c r="K166" s="289"/>
      <x:c r="L166" s="289"/>
      <x:c r="M166" s="289" t="n">
        <x:v>6031</x:v>
      </x:c>
      <x:c r="N166" s="289" t="n">
        <x:v>6031</x:v>
      </x:c>
      <x:c r="O166" s="289" t="n">
        <x:v>6031</x:v>
      </x:c>
      <x:c r="P166" s="292"/>
      <x:c r="Q166" s="292" t="str">
        <x:v>原九部位资源库已登记</x:v>
      </x:c>
      <x:c r="R166" s="324" t="str">
        <x:v>C3-C10规划锁定：金面僧宝盔</x:v>
      </x:c>
      <x:c r="S166" s="292" t="str">
        <x:v>装备素材套装代码表.xlsx（原九部位）</x:v>
      </x:c>
      <x:c r="T166" s="292" t="str">
        <x:v>同一代码用于 Items / StateItem / DnItems；属性与掉落另表定义。</x:v>
      </x:c>
      <x:c r="U166" t="str">
        <x:f>IF(COUNTIF($B$2:$B$1076,B166)&gt;1,"重复","")</x:f>
      </x:c>
      <x:c r="V166" t="str">
        <x:f>IF(AND(OR(M166="",M166=B166),OR(N166="",N166=B166),OR(O166="",O166=B166)),"通过","不一致")</x:f>
        <x:v>通过</x:v>
      </x:c>
    </x:row>
    <x:row r="167" ht="22" customHeight="1">
      <x:c r="A167" s="289" t="n">
        <x:v>166</x:v>
      </x:c>
      <x:c r="B167" s="289" t="n">
        <x:v>6032</x:v>
      </x:c>
      <x:c r="C167" s="290" t="str">
        <x:v>血月荆棘·弑神</x:v>
      </x:c>
      <x:c r="D167" s="290" t="str">
        <x:v>血月荆棘</x:v>
      </x:c>
      <x:c r="E167" s="290" t="n">
        <x:v>9</x:v>
      </x:c>
      <x:c r="F167" s="290" t="str">
        <x:v>手镯</x:v>
      </x:c>
      <x:c r="G167" s="289"/>
      <x:c r="H167" s="289"/>
      <x:c r="I167" s="289" t="n">
        <x:v>6032</x:v>
      </x:c>
      <x:c r="J167" s="289"/>
      <x:c r="K167" s="289"/>
      <x:c r="L167" s="289"/>
      <x:c r="M167" s="289" t="n">
        <x:v>6032</x:v>
      </x:c>
      <x:c r="N167" s="289" t="n">
        <x:v>6032</x:v>
      </x:c>
      <x:c r="O167" s="289" t="n">
        <x:v>6032</x:v>
      </x:c>
      <x:c r="P167" s="292"/>
      <x:c r="Q167" s="292" t="str">
        <x:v>原九部位资源库已登记</x:v>
      </x:c>
      <x:c r="R167" s="322" t="str">
        <x:v>C1/C2现用：百指腕甲</x:v>
      </x:c>
      <x:c r="S167" s="292" t="str">
        <x:v>装备素材套装代码表.xlsx（原九部位）</x:v>
      </x:c>
      <x:c r="T167" s="292" t="str">
        <x:v>同一代码用于 Items / StateItem / DnItems；属性与掉落另表定义。</x:v>
      </x:c>
      <x:c r="U167" t="str">
        <x:f>IF(COUNTIF($B$2:$B$1076,B167)&gt;1,"重复","")</x:f>
      </x:c>
      <x:c r="V167" t="str">
        <x:f>IF(AND(OR(M167="",M167=B167),OR(N167="",N167=B167),OR(O167="",O167=B167)),"通过","不一致")</x:f>
        <x:v>通过</x:v>
      </x:c>
    </x:row>
    <x:row r="168" ht="22" customHeight="1">
      <x:c r="A168" s="289" t="n">
        <x:v>167</x:v>
      </x:c>
      <x:c r="B168" s="289" t="n">
        <x:v>6033</x:v>
      </x:c>
      <x:c r="C168" s="290" t="str">
        <x:v>血月荆棘·弑神</x:v>
      </x:c>
      <x:c r="D168" s="290" t="str">
        <x:v>血月荆棘</x:v>
      </x:c>
      <x:c r="E168" s="290" t="n">
        <x:v>9</x:v>
      </x:c>
      <x:c r="F168" s="290" t="str">
        <x:v>戒指</x:v>
      </x:c>
      <x:c r="G168" s="289"/>
      <x:c r="H168" s="289"/>
      <x:c r="I168" s="289" t="n">
        <x:v>6033</x:v>
      </x:c>
      <x:c r="J168" s="289"/>
      <x:c r="K168" s="289"/>
      <x:c r="L168" s="289"/>
      <x:c r="M168" s="289" t="n">
        <x:v>6033</x:v>
      </x:c>
      <x:c r="N168" s="289" t="n">
        <x:v>6033</x:v>
      </x:c>
      <x:c r="O168" s="289" t="n">
        <x:v>6033</x:v>
      </x:c>
      <x:c r="P168" s="292"/>
      <x:c r="Q168" s="292" t="str">
        <x:v>原九部位资源库已登记</x:v>
      </x:c>
      <x:c r="R168" s="324" t="str">
        <x:v>C3-C10规划锁定：守门卜者戒</x:v>
      </x:c>
      <x:c r="S168" s="292" t="str">
        <x:v>装备素材套装代码表.xlsx（原九部位）</x:v>
      </x:c>
      <x:c r="T168" s="292" t="str">
        <x:v>同一代码用于 Items / StateItem / DnItems；属性与掉落另表定义。</x:v>
      </x:c>
      <x:c r="U168" t="str">
        <x:f>IF(COUNTIF($B$2:$B$1076,B168)&gt;1,"重复","")</x:f>
      </x:c>
      <x:c r="V168" t="str">
        <x:f>IF(AND(OR(M168="",M168=B168),OR(N168="",N168=B168),OR(O168="",O168=B168)),"通过","不一致")</x:f>
        <x:v>通过</x:v>
      </x:c>
    </x:row>
    <x:row r="169" ht="22" customHeight="1">
      <x:c r="A169" s="289" t="n">
        <x:v>168</x:v>
      </x:c>
      <x:c r="B169" s="289" t="n">
        <x:v>6034</x:v>
      </x:c>
      <x:c r="C169" s="290" t="str">
        <x:v>血月荆棘·弑神</x:v>
      </x:c>
      <x:c r="D169" s="290" t="str">
        <x:v>血月荆棘</x:v>
      </x:c>
      <x:c r="E169" s="290" t="n">
        <x:v>9</x:v>
      </x:c>
      <x:c r="F169" s="290" t="str">
        <x:v>盾牌</x:v>
      </x:c>
      <x:c r="G169" s="289"/>
      <x:c r="H169" s="289"/>
      <x:c r="I169" s="289" t="n">
        <x:v>6034</x:v>
      </x:c>
      <x:c r="J169" s="289"/>
      <x:c r="K169" s="289"/>
      <x:c r="L169" s="289"/>
      <x:c r="M169" s="289" t="n">
        <x:v>6034</x:v>
      </x:c>
      <x:c r="N169" s="289" t="n">
        <x:v>6034</x:v>
      </x:c>
      <x:c r="O169" s="289" t="n">
        <x:v>6034</x:v>
      </x:c>
      <x:c r="P169" s="292"/>
      <x:c r="Q169" s="292" t="str">
        <x:v>原九部位资源库已登记</x:v>
      </x:c>
      <x:c r="R169" s="324" t="str">
        <x:v>C3-C10规划锁定：崩轨拖链盾</x:v>
      </x:c>
      <x:c r="S169" s="292" t="str">
        <x:v>装备素材套装代码表.xlsx（原九部位）</x:v>
      </x:c>
      <x:c r="T169" s="292" t="str">
        <x:v>同一代码用于 Items / StateItem / DnItems；属性与掉落另表定义。</x:v>
      </x:c>
      <x:c r="U169" t="str">
        <x:f>IF(COUNTIF($B$2:$B$1076,B169)&gt;1,"重复","")</x:f>
      </x:c>
      <x:c r="V169" t="str">
        <x:f>IF(AND(OR(M169="",M169=B169),OR(N169="",N169=B169),OR(O169="",O169=B169)),"通过","不一致")</x:f>
        <x:v>通过</x:v>
      </x:c>
    </x:row>
    <x:row r="170" ht="22" customHeight="1">
      <x:c r="A170" s="289" t="n">
        <x:v>169</x:v>
      </x:c>
      <x:c r="B170" s="289" t="n">
        <x:v>6035</x:v>
      </x:c>
      <x:c r="C170" s="290" t="str">
        <x:v>血月荆棘·弑神</x:v>
      </x:c>
      <x:c r="D170" s="290" t="str">
        <x:v>血月荆棘</x:v>
      </x:c>
      <x:c r="E170" s="290" t="n">
        <x:v>9</x:v>
      </x:c>
      <x:c r="F170" s="290" t="str">
        <x:v>灵玉</x:v>
      </x:c>
      <x:c r="G170" s="289"/>
      <x:c r="H170" s="289"/>
      <x:c r="I170" s="289" t="n">
        <x:v>6035</x:v>
      </x:c>
      <x:c r="J170" s="289"/>
      <x:c r="K170" s="289"/>
      <x:c r="L170" s="289"/>
      <x:c r="M170" s="289" t="n">
        <x:v>6035</x:v>
      </x:c>
      <x:c r="N170" s="289" t="n">
        <x:v>6035</x:v>
      </x:c>
      <x:c r="O170" s="289" t="n">
        <x:v>6035</x:v>
      </x:c>
      <x:c r="P170" s="292"/>
      <x:c r="Q170" s="292" t="str">
        <x:v>原九部位资源库已登记</x:v>
      </x:c>
      <x:c r="R170" s="292" t="str"/>
      <x:c r="S170" s="292" t="str">
        <x:v>装备素材套装代码表.xlsx（原九部位）</x:v>
      </x:c>
      <x:c r="T170" s="292" t="str">
        <x:v>同一代码用于 Items / StateItem / DnItems；属性与掉落另表定义。</x:v>
      </x:c>
      <x:c r="U170" t="str">
        <x:f>IF(COUNTIF($B$2:$B$1076,B170)&gt;1,"重复","")</x:f>
      </x:c>
      <x:c r="V170" t="str">
        <x:f>IF(AND(OR(M170="",M170=B170),OR(N170="",N170=B170),OR(O170="",O170=B170)),"通过","不一致")</x:f>
        <x:v>通过</x:v>
      </x:c>
    </x:row>
    <x:row r="171" ht="22" customHeight="1">
      <x:c r="A171" s="289" t="n">
        <x:v>170</x:v>
      </x:c>
      <x:c r="B171" s="289" t="n">
        <x:v>6036</x:v>
      </x:c>
      <x:c r="C171" s="290" t="str">
        <x:v>血月荆棘·弑神</x:v>
      </x:c>
      <x:c r="D171" s="290" t="str">
        <x:v>血月荆棘</x:v>
      </x:c>
      <x:c r="E171" s="290" t="n">
        <x:v>9</x:v>
      </x:c>
      <x:c r="F171" s="290" t="str">
        <x:v>鞋子</x:v>
      </x:c>
      <x:c r="G171" s="289"/>
      <x:c r="H171" s="289"/>
      <x:c r="I171" s="289" t="n">
        <x:v>6036</x:v>
      </x:c>
      <x:c r="J171" s="289"/>
      <x:c r="K171" s="289"/>
      <x:c r="L171" s="289"/>
      <x:c r="M171" s="289" t="n">
        <x:v>6036</x:v>
      </x:c>
      <x:c r="N171" s="289" t="n">
        <x:v>6036</x:v>
      </x:c>
      <x:c r="O171" s="289" t="n">
        <x:v>6036</x:v>
      </x:c>
      <x:c r="P171" s="292"/>
      <x:c r="Q171" s="292" t="str">
        <x:v>原九部位资源库已登记</x:v>
      </x:c>
      <x:c r="R171" s="324" t="str">
        <x:v>C3-C10规划锁定：拾辉登阶靴</x:v>
      </x:c>
      <x:c r="S171" s="292" t="str">
        <x:v>装备素材套装代码表.xlsx（原九部位）</x:v>
      </x:c>
      <x:c r="T171" s="292" t="str">
        <x:v>同一代码用于 Items / StateItem / DnItems；属性与掉落另表定义。</x:v>
      </x:c>
      <x:c r="U171" t="str">
        <x:f>IF(COUNTIF($B$2:$B$1076,B171)&gt;1,"重复","")</x:f>
      </x:c>
      <x:c r="V171" t="str">
        <x:f>IF(AND(OR(M171="",M171=B171),OR(N171="",N171=B171),OR(O171="",O171=B171)),"通过","不一致")</x:f>
        <x:v>通过</x:v>
      </x:c>
    </x:row>
    <x:row r="172" ht="22" customHeight="1">
      <x:c r="A172" s="289" t="n">
        <x:v>171</x:v>
      </x:c>
      <x:c r="B172" s="289" t="n">
        <x:v>6037</x:v>
      </x:c>
      <x:c r="C172" s="290" t="str">
        <x:v>血月荆棘·弑神</x:v>
      </x:c>
      <x:c r="D172" s="290" t="str">
        <x:v>血月荆棘</x:v>
      </x:c>
      <x:c r="E172" s="290" t="n">
        <x:v>9</x:v>
      </x:c>
      <x:c r="F172" s="290" t="str">
        <x:v>腰带</x:v>
      </x:c>
      <x:c r="G172" s="289"/>
      <x:c r="H172" s="289"/>
      <x:c r="I172" s="289" t="n">
        <x:v>6037</x:v>
      </x:c>
      <x:c r="J172" s="289"/>
      <x:c r="K172" s="289"/>
      <x:c r="L172" s="289"/>
      <x:c r="M172" s="289" t="n">
        <x:v>6037</x:v>
      </x:c>
      <x:c r="N172" s="289" t="n">
        <x:v>6037</x:v>
      </x:c>
      <x:c r="O172" s="289" t="n">
        <x:v>6037</x:v>
      </x:c>
      <x:c r="P172" s="292"/>
      <x:c r="Q172" s="292" t="str">
        <x:v>原九部位资源库已登记</x:v>
      </x:c>
      <x:c r="R172" s="324" t="str">
        <x:v>C3-C10规划锁定：七帷掌仪腰封</x:v>
      </x:c>
      <x:c r="S172" s="292" t="str">
        <x:v>装备素材套装代码表.xlsx（原九部位）</x:v>
      </x:c>
      <x:c r="T172" s="292" t="str">
        <x:v>同一代码用于 Items / StateItem / DnItems；属性与掉落另表定义。</x:v>
      </x:c>
      <x:c r="U172" t="str">
        <x:f>IF(COUNTIF($B$2:$B$1076,B172)&gt;1,"重复","")</x:f>
      </x:c>
      <x:c r="V172" t="str">
        <x:f>IF(AND(OR(M172="",M172=B172),OR(N172="",N172=B172),OR(O172="",O172=B172)),"通过","不一致")</x:f>
        <x:v>通过</x:v>
      </x:c>
    </x:row>
    <x:row r="173" ht="22" customHeight="1">
      <x:c r="A173" s="289" t="n">
        <x:v>172</x:v>
      </x:c>
      <x:c r="B173" s="289" t="n">
        <x:v>6038</x:v>
      </x:c>
      <x:c r="C173" s="290" t="str">
        <x:v>血月荆棘·终夜</x:v>
      </x:c>
      <x:c r="D173" s="290" t="str">
        <x:v>血月荆棘</x:v>
      </x:c>
      <x:c r="E173" s="290" t="n">
        <x:v>10</x:v>
      </x:c>
      <x:c r="F173" s="290" t="str">
        <x:v>勋章</x:v>
      </x:c>
      <x:c r="G173" s="289"/>
      <x:c r="H173" s="289"/>
      <x:c r="I173" s="289" t="n">
        <x:v>6038</x:v>
      </x:c>
      <x:c r="J173" s="289"/>
      <x:c r="K173" s="289"/>
      <x:c r="L173" s="289"/>
      <x:c r="M173" s="289" t="n">
        <x:v>6038</x:v>
      </x:c>
      <x:c r="N173" s="289" t="n">
        <x:v>6038</x:v>
      </x:c>
      <x:c r="O173" s="289" t="n">
        <x:v>6038</x:v>
      </x:c>
      <x:c r="P173" s="292"/>
      <x:c r="Q173" s="292" t="str">
        <x:v>原九部位资源库已登记</x:v>
      </x:c>
      <x:c r="R173" s="292" t="str"/>
      <x:c r="S173" s="292" t="str">
        <x:v>装备素材套装代码表.xlsx（原九部位）</x:v>
      </x:c>
      <x:c r="T173" s="292" t="str">
        <x:v>同一代码用于 Items / StateItem / DnItems；属性与掉落另表定义。</x:v>
      </x:c>
      <x:c r="U173" t="str">
        <x:f>IF(COUNTIF($B$2:$B$1076,B173)&gt;1,"重复","")</x:f>
      </x:c>
      <x:c r="V173" t="str">
        <x:f>IF(AND(OR(M173="",M173=B173),OR(N173="",N173=B173),OR(O173="",O173=B173)),"通过","不一致")</x:f>
        <x:v>通过</x:v>
      </x:c>
    </x:row>
    <x:row r="174" ht="22" customHeight="1">
      <x:c r="A174" s="289" t="n">
        <x:v>173</x:v>
      </x:c>
      <x:c r="B174" s="289" t="n">
        <x:v>6039</x:v>
      </x:c>
      <x:c r="C174" s="290" t="str">
        <x:v>血月荆棘·终夜</x:v>
      </x:c>
      <x:c r="D174" s="290" t="str">
        <x:v>血月荆棘</x:v>
      </x:c>
      <x:c r="E174" s="290" t="n">
        <x:v>10</x:v>
      </x:c>
      <x:c r="F174" s="290" t="str">
        <x:v>项链</x:v>
      </x:c>
      <x:c r="G174" s="289"/>
      <x:c r="H174" s="289"/>
      <x:c r="I174" s="289" t="n">
        <x:v>6039</x:v>
      </x:c>
      <x:c r="J174" s="289"/>
      <x:c r="K174" s="289"/>
      <x:c r="L174" s="289"/>
      <x:c r="M174" s="289" t="n">
        <x:v>6039</x:v>
      </x:c>
      <x:c r="N174" s="289" t="n">
        <x:v>6039</x:v>
      </x:c>
      <x:c r="O174" s="289" t="n">
        <x:v>6039</x:v>
      </x:c>
      <x:c r="P174" s="292"/>
      <x:c r="Q174" s="292" t="str">
        <x:v>原九部位资源库已登记</x:v>
      </x:c>
      <x:c r="R174" s="324" t="str">
        <x:v>C3-C10规划锁定：鎏甲骑士坠</x:v>
      </x:c>
      <x:c r="S174" s="292" t="str">
        <x:v>装备素材套装代码表.xlsx（原九部位）</x:v>
      </x:c>
      <x:c r="T174" s="292" t="str">
        <x:v>同一代码用于 Items / StateItem / DnItems；属性与掉落另表定义。</x:v>
      </x:c>
      <x:c r="U174" t="str">
        <x:f>IF(COUNTIF($B$2:$B$1076,B174)&gt;1,"重复","")</x:f>
      </x:c>
      <x:c r="V174" t="str">
        <x:f>IF(AND(OR(M174="",M174=B174),OR(N174="",N174=B174),OR(O174="",O174=B174)),"通过","不一致")</x:f>
        <x:v>通过</x:v>
      </x:c>
    </x:row>
    <x:row r="175" ht="22" customHeight="1">
      <x:c r="A175" s="289" t="n">
        <x:v>174</x:v>
      </x:c>
      <x:c r="B175" s="289" t="n">
        <x:v>6040</x:v>
      </x:c>
      <x:c r="C175" s="290" t="str">
        <x:v>血月荆棘·终夜</x:v>
      </x:c>
      <x:c r="D175" s="290" t="str">
        <x:v>血月荆棘</x:v>
      </x:c>
      <x:c r="E175" s="290" t="n">
        <x:v>10</x:v>
      </x:c>
      <x:c r="F175" s="290" t="str">
        <x:v>头盔</x:v>
      </x:c>
      <x:c r="G175" s="289"/>
      <x:c r="H175" s="289"/>
      <x:c r="I175" s="289" t="n">
        <x:v>6040</x:v>
      </x:c>
      <x:c r="J175" s="289"/>
      <x:c r="K175" s="289"/>
      <x:c r="L175" s="289"/>
      <x:c r="M175" s="289" t="n">
        <x:v>6040</x:v>
      </x:c>
      <x:c r="N175" s="289" t="n">
        <x:v>6040</x:v>
      </x:c>
      <x:c r="O175" s="289" t="n">
        <x:v>6040</x:v>
      </x:c>
      <x:c r="P175" s="292"/>
      <x:c r="Q175" s="292" t="str">
        <x:v>原九部位资源库已登记</x:v>
      </x:c>
      <x:c r="R175" s="322" t="str">
        <x:v>C1/C2现用：战狼铁盔</x:v>
      </x:c>
      <x:c r="S175" s="292" t="str">
        <x:v>装备素材套装代码表.xlsx（原九部位）</x:v>
      </x:c>
      <x:c r="T175" s="292" t="str">
        <x:v>同一代码用于 Items / StateItem / DnItems；属性与掉落另表定义。</x:v>
      </x:c>
      <x:c r="U175" t="str">
        <x:f>IF(COUNTIF($B$2:$B$1076,B175)&gt;1,"重复","")</x:f>
      </x:c>
      <x:c r="V175" t="str">
        <x:f>IF(AND(OR(M175="",M175=B175),OR(N175="",N175=B175),OR(O175="",O175=B175)),"通过","不一致")</x:f>
        <x:v>通过</x:v>
      </x:c>
    </x:row>
    <x:row r="176" ht="22" customHeight="1">
      <x:c r="A176" s="289" t="n">
        <x:v>175</x:v>
      </x:c>
      <x:c r="B176" s="289" t="n">
        <x:v>6041</x:v>
      </x:c>
      <x:c r="C176" s="290" t="str">
        <x:v>血月荆棘·终夜</x:v>
      </x:c>
      <x:c r="D176" s="290" t="str">
        <x:v>血月荆棘</x:v>
      </x:c>
      <x:c r="E176" s="290" t="n">
        <x:v>10</x:v>
      </x:c>
      <x:c r="F176" s="290" t="str">
        <x:v>手镯</x:v>
      </x:c>
      <x:c r="G176" s="289"/>
      <x:c r="H176" s="289"/>
      <x:c r="I176" s="289" t="n">
        <x:v>6041</x:v>
      </x:c>
      <x:c r="J176" s="289"/>
      <x:c r="K176" s="289"/>
      <x:c r="L176" s="289"/>
      <x:c r="M176" s="289" t="n">
        <x:v>6041</x:v>
      </x:c>
      <x:c r="N176" s="289" t="n">
        <x:v>6041</x:v>
      </x:c>
      <x:c r="O176" s="289" t="n">
        <x:v>6041</x:v>
      </x:c>
      <x:c r="P176" s="292"/>
      <x:c r="Q176" s="292" t="str">
        <x:v>原九部位资源库已登记</x:v>
      </x:c>
      <x:c r="R176" s="324" t="str">
        <x:v>C3-C10规划锁定：抱瓮缚灵镯</x:v>
      </x:c>
      <x:c r="S176" s="292" t="str">
        <x:v>装备素材套装代码表.xlsx（原九部位）</x:v>
      </x:c>
      <x:c r="T176" s="292" t="str">
        <x:v>同一代码用于 Items / StateItem / DnItems；属性与掉落另表定义。</x:v>
      </x:c>
      <x:c r="U176" t="str">
        <x:f>IF(COUNTIF($B$2:$B$1076,B176)&gt;1,"重复","")</x:f>
      </x:c>
      <x:c r="V176" t="str">
        <x:f>IF(AND(OR(M176="",M176=B176),OR(N176="",N176=B176),OR(O176="",O176=B176)),"通过","不一致")</x:f>
        <x:v>通过</x:v>
      </x:c>
    </x:row>
    <x:row r="177" ht="22" customHeight="1">
      <x:c r="A177" s="289" t="n">
        <x:v>176</x:v>
      </x:c>
      <x:c r="B177" s="289" t="n">
        <x:v>6042</x:v>
      </x:c>
      <x:c r="C177" s="290" t="str">
        <x:v>血月荆棘·终夜</x:v>
      </x:c>
      <x:c r="D177" s="290" t="str">
        <x:v>血月荆棘</x:v>
      </x:c>
      <x:c r="E177" s="290" t="n">
        <x:v>10</x:v>
      </x:c>
      <x:c r="F177" s="290" t="str">
        <x:v>戒指</x:v>
      </x:c>
      <x:c r="G177" s="289"/>
      <x:c r="H177" s="289"/>
      <x:c r="I177" s="289" t="n">
        <x:v>6042</x:v>
      </x:c>
      <x:c r="J177" s="289"/>
      <x:c r="K177" s="289"/>
      <x:c r="L177" s="289"/>
      <x:c r="M177" s="289" t="n">
        <x:v>6042</x:v>
      </x:c>
      <x:c r="N177" s="289" t="n">
        <x:v>6042</x:v>
      </x:c>
      <x:c r="O177" s="289" t="n">
        <x:v>6042</x:v>
      </x:c>
      <x:c r="P177" s="292"/>
      <x:c r="Q177" s="292" t="str">
        <x:v>原九部位资源库已登记</x:v>
      </x:c>
      <x:c r="R177" s="324" t="str">
        <x:v>C3-C10规划锁定：缄契铅印戒</x:v>
      </x:c>
      <x:c r="S177" s="292" t="str">
        <x:v>装备素材套装代码表.xlsx（原九部位）</x:v>
      </x:c>
      <x:c r="T177" s="292" t="str">
        <x:v>同一代码用于 Items / StateItem / DnItems；属性与掉落另表定义。</x:v>
      </x:c>
      <x:c r="U177" t="str">
        <x:f>IF(COUNTIF($B$2:$B$1076,B177)&gt;1,"重复","")</x:f>
      </x:c>
      <x:c r="V177" t="str">
        <x:f>IF(AND(OR(M177="",M177=B177),OR(N177="",N177=B177),OR(O177="",O177=B177)),"通过","不一致")</x:f>
        <x:v>通过</x:v>
      </x:c>
    </x:row>
    <x:row r="178" ht="22" customHeight="1">
      <x:c r="A178" s="289" t="n">
        <x:v>177</x:v>
      </x:c>
      <x:c r="B178" s="289" t="n">
        <x:v>6043</x:v>
      </x:c>
      <x:c r="C178" s="290" t="str">
        <x:v>血月荆棘·终夜</x:v>
      </x:c>
      <x:c r="D178" s="290" t="str">
        <x:v>血月荆棘</x:v>
      </x:c>
      <x:c r="E178" s="290" t="n">
        <x:v>10</x:v>
      </x:c>
      <x:c r="F178" s="290" t="str">
        <x:v>盾牌</x:v>
      </x:c>
      <x:c r="G178" s="289"/>
      <x:c r="H178" s="289"/>
      <x:c r="I178" s="289" t="n">
        <x:v>6043</x:v>
      </x:c>
      <x:c r="J178" s="289"/>
      <x:c r="K178" s="289"/>
      <x:c r="L178" s="289"/>
      <x:c r="M178" s="289" t="n">
        <x:v>6043</x:v>
      </x:c>
      <x:c r="N178" s="289" t="n">
        <x:v>6043</x:v>
      </x:c>
      <x:c r="O178" s="289" t="n">
        <x:v>6043</x:v>
      </x:c>
      <x:c r="P178" s="292"/>
      <x:c r="Q178" s="292" t="str">
        <x:v>原九部位资源库已登记</x:v>
      </x:c>
      <x:c r="R178" s="324" t="str">
        <x:v>C3-C10规划锁定：返魂寝门盾</x:v>
      </x:c>
      <x:c r="S178" s="292" t="str">
        <x:v>装备素材套装代码表.xlsx（原九部位）</x:v>
      </x:c>
      <x:c r="T178" s="292" t="str">
        <x:v>同一代码用于 Items / StateItem / DnItems；属性与掉落另表定义。</x:v>
      </x:c>
      <x:c r="U178" t="str">
        <x:f>IF(COUNTIF($B$2:$B$1076,B178)&gt;1,"重复","")</x:f>
      </x:c>
      <x:c r="V178" t="str">
        <x:f>IF(AND(OR(M178="",M178=B178),OR(N178="",N178=B178),OR(O178="",O178=B178)),"通过","不一致")</x:f>
        <x:v>通过</x:v>
      </x:c>
    </x:row>
    <x:row r="179" ht="22" customHeight="1">
      <x:c r="A179" s="289" t="n">
        <x:v>178</x:v>
      </x:c>
      <x:c r="B179" s="289" t="n">
        <x:v>6044</x:v>
      </x:c>
      <x:c r="C179" s="290" t="str">
        <x:v>血月荆棘·终夜</x:v>
      </x:c>
      <x:c r="D179" s="290" t="str">
        <x:v>血月荆棘</x:v>
      </x:c>
      <x:c r="E179" s="290" t="n">
        <x:v>10</x:v>
      </x:c>
      <x:c r="F179" s="290" t="str">
        <x:v>灵玉</x:v>
      </x:c>
      <x:c r="G179" s="289"/>
      <x:c r="H179" s="289"/>
      <x:c r="I179" s="289" t="n">
        <x:v>6044</x:v>
      </x:c>
      <x:c r="J179" s="289"/>
      <x:c r="K179" s="289"/>
      <x:c r="L179" s="289"/>
      <x:c r="M179" s="289" t="n">
        <x:v>6044</x:v>
      </x:c>
      <x:c r="N179" s="289" t="n">
        <x:v>6044</x:v>
      </x:c>
      <x:c r="O179" s="289" t="n">
        <x:v>6044</x:v>
      </x:c>
      <x:c r="P179" s="292"/>
      <x:c r="Q179" s="292" t="str">
        <x:v>原九部位资源库已登记</x:v>
      </x:c>
      <x:c r="R179" s="322" t="str">
        <x:v>C1/C2现用：蒙格的大卢恩</x:v>
      </x:c>
      <x:c r="S179" s="292" t="str">
        <x:v>装备素材套装代码表.xlsx（原九部位）</x:v>
      </x:c>
      <x:c r="T179" s="292" t="str">
        <x:v>同一代码用于 Items / StateItem / DnItems；属性与掉落另表定义。</x:v>
      </x:c>
      <x:c r="U179" t="str">
        <x:f>IF(COUNTIF($B$2:$B$1076,B179)&gt;1,"重复","")</x:f>
      </x:c>
      <x:c r="V179" t="str">
        <x:f>IF(AND(OR(M179="",M179=B179),OR(N179="",N179=B179),OR(O179="",O179=B179)),"通过","不一致")</x:f>
        <x:v>通过</x:v>
      </x:c>
    </x:row>
    <x:row r="180" ht="22" customHeight="1">
      <x:c r="A180" s="289" t="n">
        <x:v>179</x:v>
      </x:c>
      <x:c r="B180" s="289" t="n">
        <x:v>6045</x:v>
      </x:c>
      <x:c r="C180" s="290" t="str">
        <x:v>血月荆棘·终夜</x:v>
      </x:c>
      <x:c r="D180" s="290" t="str">
        <x:v>血月荆棘</x:v>
      </x:c>
      <x:c r="E180" s="290" t="n">
        <x:v>10</x:v>
      </x:c>
      <x:c r="F180" s="290" t="str">
        <x:v>鞋子</x:v>
      </x:c>
      <x:c r="G180" s="289"/>
      <x:c r="H180" s="289"/>
      <x:c r="I180" s="289" t="n">
        <x:v>6045</x:v>
      </x:c>
      <x:c r="J180" s="289"/>
      <x:c r="K180" s="289"/>
      <x:c r="L180" s="289"/>
      <x:c r="M180" s="289" t="n">
        <x:v>6045</x:v>
      </x:c>
      <x:c r="N180" s="289" t="n">
        <x:v>6045</x:v>
      </x:c>
      <x:c r="O180" s="289" t="n">
        <x:v>6045</x:v>
      </x:c>
      <x:c r="P180" s="292"/>
      <x:c r="Q180" s="292" t="str">
        <x:v>原九部位资源库已登记</x:v>
      </x:c>
      <x:c r="R180" s="292" t="str"/>
      <x:c r="S180" s="292" t="str">
        <x:v>装备素材套装代码表.xlsx（原九部位）</x:v>
      </x:c>
      <x:c r="T180" s="292" t="str">
        <x:v>同一代码用于 Items / StateItem / DnItems；属性与掉落另表定义。</x:v>
      </x:c>
      <x:c r="U180" t="str">
        <x:f>IF(COUNTIF($B$2:$B$1076,B180)&gt;1,"重复","")</x:f>
      </x:c>
      <x:c r="V180" t="str">
        <x:f>IF(AND(OR(M180="",M180=B180),OR(N180="",N180=B180),OR(O180="",O180=B180)),"通过","不一致")</x:f>
        <x:v>通过</x:v>
      </x:c>
    </x:row>
    <x:row r="181" ht="22" customHeight="1">
      <x:c r="A181" s="289" t="n">
        <x:v>180</x:v>
      </x:c>
      <x:c r="B181" s="289" t="n">
        <x:v>6046</x:v>
      </x:c>
      <x:c r="C181" s="290" t="str">
        <x:v>血月荆棘·终夜</x:v>
      </x:c>
      <x:c r="D181" s="290" t="str">
        <x:v>血月荆棘</x:v>
      </x:c>
      <x:c r="E181" s="290" t="n">
        <x:v>10</x:v>
      </x:c>
      <x:c r="F181" s="290" t="str">
        <x:v>腰带</x:v>
      </x:c>
      <x:c r="G181" s="289"/>
      <x:c r="H181" s="289"/>
      <x:c r="I181" s="289" t="n">
        <x:v>6046</x:v>
      </x:c>
      <x:c r="J181" s="289"/>
      <x:c r="K181" s="289"/>
      <x:c r="L181" s="289"/>
      <x:c r="M181" s="289" t="n">
        <x:v>6046</x:v>
      </x:c>
      <x:c r="N181" s="289" t="n">
        <x:v>6046</x:v>
      </x:c>
      <x:c r="O181" s="289" t="n">
        <x:v>6046</x:v>
      </x:c>
      <x:c r="P181" s="292"/>
      <x:c r="Q181" s="292" t="str">
        <x:v>原九部位资源库已登记</x:v>
      </x:c>
      <x:c r="R181" s="292" t="str"/>
      <x:c r="S181" s="292" t="str">
        <x:v>装备素材套装代码表.xlsx（原九部位）</x:v>
      </x:c>
      <x:c r="T181" s="292" t="str">
        <x:v>同一代码用于 Items / StateItem / DnItems；属性与掉落另表定义。</x:v>
      </x:c>
      <x:c r="U181" t="str">
        <x:f>IF(COUNTIF($B$2:$B$1076,B181)&gt;1,"重复","")</x:f>
      </x:c>
      <x:c r="V181" t="str">
        <x:f>IF(AND(OR(M181="",M181=B181),OR(N181="",N181=B181),OR(O181="",O181=B181)),"通过","不一致")</x:f>
        <x:v>通过</x:v>
      </x:c>
    </x:row>
    <x:row r="182" ht="22" customHeight="1">
      <x:c r="A182" s="289" t="n">
        <x:v>181</x:v>
      </x:c>
      <x:c r="B182" s="289" t="n">
        <x:v>6047</x:v>
      </x:c>
      <x:c r="C182" s="290" t="str">
        <x:v>星渊龙息·寒鳞</x:v>
      </x:c>
      <x:c r="D182" s="290" t="str">
        <x:v>星渊龙息</x:v>
      </x:c>
      <x:c r="E182" s="290" t="n">
        <x:v>1</x:v>
      </x:c>
      <x:c r="F182" s="290" t="str">
        <x:v>勋章</x:v>
      </x:c>
      <x:c r="G182" s="289"/>
      <x:c r="H182" s="289"/>
      <x:c r="I182" s="289" t="n">
        <x:v>6047</x:v>
      </x:c>
      <x:c r="J182" s="289"/>
      <x:c r="K182" s="289"/>
      <x:c r="L182" s="289"/>
      <x:c r="M182" s="289" t="n">
        <x:v>6047</x:v>
      </x:c>
      <x:c r="N182" s="289" t="n">
        <x:v>6047</x:v>
      </x:c>
      <x:c r="O182" s="289" t="n">
        <x:v>6047</x:v>
      </x:c>
      <x:c r="P182" s="292"/>
      <x:c r="Q182" s="292" t="str">
        <x:v>原九部位资源库已登记</x:v>
      </x:c>
      <x:c r="R182" s="322" t="str">
        <x:v>C1/C2现用：唤潮旧勋</x:v>
      </x:c>
      <x:c r="S182" s="292" t="str">
        <x:v>装备素材套装代码表.xlsx（原九部位）</x:v>
      </x:c>
      <x:c r="T182" s="292" t="str">
        <x:v>同一代码用于 Items / StateItem / DnItems；属性与掉落另表定义。</x:v>
      </x:c>
      <x:c r="U182" t="str">
        <x:f>IF(COUNTIF($B$2:$B$1076,B182)&gt;1,"重复","")</x:f>
      </x:c>
      <x:c r="V182" t="str">
        <x:f>IF(AND(OR(M182="",M182=B182),OR(N182="",N182=B182),OR(O182="",O182=B182)),"通过","不一致")</x:f>
        <x:v>通过</x:v>
      </x:c>
    </x:row>
    <x:row r="183" ht="22" customHeight="1">
      <x:c r="A183" s="289" t="n">
        <x:v>182</x:v>
      </x:c>
      <x:c r="B183" s="289" t="n">
        <x:v>6048</x:v>
      </x:c>
      <x:c r="C183" s="290" t="str">
        <x:v>星渊龙息·寒鳞</x:v>
      </x:c>
      <x:c r="D183" s="290" t="str">
        <x:v>星渊龙息</x:v>
      </x:c>
      <x:c r="E183" s="290" t="n">
        <x:v>1</x:v>
      </x:c>
      <x:c r="F183" s="290" t="str">
        <x:v>项链</x:v>
      </x:c>
      <x:c r="G183" s="289"/>
      <x:c r="H183" s="289"/>
      <x:c r="I183" s="289" t="n">
        <x:v>6048</x:v>
      </x:c>
      <x:c r="J183" s="289"/>
      <x:c r="K183" s="289"/>
      <x:c r="L183" s="289"/>
      <x:c r="M183" s="289" t="n">
        <x:v>6048</x:v>
      </x:c>
      <x:c r="N183" s="289" t="n">
        <x:v>6048</x:v>
      </x:c>
      <x:c r="O183" s="289" t="n">
        <x:v>6048</x:v>
      </x:c>
      <x:c r="P183" s="292"/>
      <x:c r="Q183" s="292" t="str">
        <x:v>原九部位资源库已登记</x:v>
      </x:c>
      <x:c r="R183" s="322" t="str">
        <x:v>C1/C2现用：断桨骨链</x:v>
      </x:c>
      <x:c r="S183" s="292" t="str">
        <x:v>装备素材套装代码表.xlsx（原九部位）</x:v>
      </x:c>
      <x:c r="T183" s="292" t="str">
        <x:v>同一代码用于 Items / StateItem / DnItems；属性与掉落另表定义。</x:v>
      </x:c>
      <x:c r="U183" t="str">
        <x:f>IF(COUNTIF($B$2:$B$1076,B183)&gt;1,"重复","")</x:f>
      </x:c>
      <x:c r="V183" t="str">
        <x:f>IF(AND(OR(M183="",M183=B183),OR(N183="",N183=B183),OR(O183="",O183=B183)),"通过","不一致")</x:f>
        <x:v>通过</x:v>
      </x:c>
    </x:row>
    <x:row r="184" ht="22" customHeight="1">
      <x:c r="A184" s="289" t="n">
        <x:v>183</x:v>
      </x:c>
      <x:c r="B184" s="289" t="n">
        <x:v>6049</x:v>
      </x:c>
      <x:c r="C184" s="290" t="str">
        <x:v>星渊龙息·寒鳞</x:v>
      </x:c>
      <x:c r="D184" s="290" t="str">
        <x:v>星渊龙息</x:v>
      </x:c>
      <x:c r="E184" s="290" t="n">
        <x:v>1</x:v>
      </x:c>
      <x:c r="F184" s="290" t="str">
        <x:v>头盔</x:v>
      </x:c>
      <x:c r="G184" s="289"/>
      <x:c r="H184" s="289"/>
      <x:c r="I184" s="289" t="n">
        <x:v>6049</x:v>
      </x:c>
      <x:c r="J184" s="289"/>
      <x:c r="K184" s="289"/>
      <x:c r="L184" s="289"/>
      <x:c r="M184" s="289" t="n">
        <x:v>6049</x:v>
      </x:c>
      <x:c r="N184" s="289" t="n">
        <x:v>6049</x:v>
      </x:c>
      <x:c r="O184" s="289" t="n">
        <x:v>6049</x:v>
      </x:c>
      <x:c r="P184" s="292"/>
      <x:c r="Q184" s="292" t="str">
        <x:v>原九部位资源库已登记</x:v>
      </x:c>
      <x:c r="R184" s="322" t="str">
        <x:v>C1/C2现用：沉金铁盔</x:v>
      </x:c>
      <x:c r="S184" s="292" t="str">
        <x:v>装备素材套装代码表.xlsx（原九部位）</x:v>
      </x:c>
      <x:c r="T184" s="292" t="str">
        <x:v>同一代码用于 Items / StateItem / DnItems；属性与掉落另表定义。</x:v>
      </x:c>
      <x:c r="U184" t="str">
        <x:f>IF(COUNTIF($B$2:$B$1076,B184)&gt;1,"重复","")</x:f>
      </x:c>
      <x:c r="V184" t="str">
        <x:f>IF(AND(OR(M184="",M184=B184),OR(N184="",N184=B184),OR(O184="",O184=B184)),"通过","不一致")</x:f>
        <x:v>通过</x:v>
      </x:c>
    </x:row>
    <x:row r="185" ht="22" customHeight="1">
      <x:c r="A185" s="289" t="n">
        <x:v>184</x:v>
      </x:c>
      <x:c r="B185" s="289" t="n">
        <x:v>6050</x:v>
      </x:c>
      <x:c r="C185" s="290" t="str">
        <x:v>星渊龙息·寒鳞</x:v>
      </x:c>
      <x:c r="D185" s="290" t="str">
        <x:v>星渊龙息</x:v>
      </x:c>
      <x:c r="E185" s="290" t="n">
        <x:v>1</x:v>
      </x:c>
      <x:c r="F185" s="290" t="str">
        <x:v>手镯</x:v>
      </x:c>
      <x:c r="G185" s="289"/>
      <x:c r="H185" s="289"/>
      <x:c r="I185" s="289" t="n">
        <x:v>6050</x:v>
      </x:c>
      <x:c r="J185" s="289"/>
      <x:c r="K185" s="289"/>
      <x:c r="L185" s="289"/>
      <x:c r="M185" s="289" t="n">
        <x:v>6050</x:v>
      </x:c>
      <x:c r="N185" s="289" t="n">
        <x:v>6050</x:v>
      </x:c>
      <x:c r="O185" s="289" t="n">
        <x:v>6050</x:v>
      </x:c>
      <x:c r="P185" s="292"/>
      <x:c r="Q185" s="292" t="str">
        <x:v>原九部位资源库已登记</x:v>
      </x:c>
      <x:c r="R185" s="322" t="str">
        <x:v>C1/C2现用：腐潮钳镯</x:v>
      </x:c>
      <x:c r="S185" s="292" t="str">
        <x:v>装备素材套装代码表.xlsx（原九部位）</x:v>
      </x:c>
      <x:c r="T185" s="292" t="str">
        <x:v>同一代码用于 Items / StateItem / DnItems；属性与掉落另表定义。</x:v>
      </x:c>
      <x:c r="U185" t="str">
        <x:f>IF(COUNTIF($B$2:$B$1076,B185)&gt;1,"重复","")</x:f>
      </x:c>
      <x:c r="V185" t="str">
        <x:f>IF(AND(OR(M185="",M185=B185),OR(N185="",N185=B185),OR(O185="",O185=B185)),"通过","不一致")</x:f>
        <x:v>通过</x:v>
      </x:c>
    </x:row>
    <x:row r="186" ht="22" customHeight="1">
      <x:c r="A186" s="289" t="n">
        <x:v>185</x:v>
      </x:c>
      <x:c r="B186" s="289" t="n">
        <x:v>6051</x:v>
      </x:c>
      <x:c r="C186" s="290" t="str">
        <x:v>星渊龙息·寒鳞</x:v>
      </x:c>
      <x:c r="D186" s="290" t="str">
        <x:v>星渊龙息</x:v>
      </x:c>
      <x:c r="E186" s="290" t="n">
        <x:v>1</x:v>
      </x:c>
      <x:c r="F186" s="290" t="str">
        <x:v>戒指</x:v>
      </x:c>
      <x:c r="G186" s="289"/>
      <x:c r="H186" s="289"/>
      <x:c r="I186" s="289" t="n">
        <x:v>6051</x:v>
      </x:c>
      <x:c r="J186" s="289"/>
      <x:c r="K186" s="289"/>
      <x:c r="L186" s="289"/>
      <x:c r="M186" s="289" t="n">
        <x:v>6051</x:v>
      </x:c>
      <x:c r="N186" s="289" t="n">
        <x:v>6051</x:v>
      </x:c>
      <x:c r="O186" s="289" t="n">
        <x:v>6051</x:v>
      </x:c>
      <x:c r="P186" s="292"/>
      <x:c r="Q186" s="292" t="str">
        <x:v>原九部位资源库已登记</x:v>
      </x:c>
      <x:c r="R186" s="322" t="str">
        <x:v>C1/C2现用：猎犬骨戒</x:v>
      </x:c>
      <x:c r="S186" s="292" t="str">
        <x:v>装备素材套装代码表.xlsx（原九部位）</x:v>
      </x:c>
      <x:c r="T186" s="292" t="str">
        <x:v>同一代码用于 Items / StateItem / DnItems；属性与掉落另表定义。</x:v>
      </x:c>
      <x:c r="U186" t="str">
        <x:f>IF(COUNTIF($B$2:$B$1076,B186)&gt;1,"重复","")</x:f>
      </x:c>
      <x:c r="V186" t="str">
        <x:f>IF(AND(OR(M186="",M186=B186),OR(N186="",N186=B186),OR(O186="",O186=B186)),"通过","不一致")</x:f>
        <x:v>通过</x:v>
      </x:c>
    </x:row>
    <x:row r="187" ht="22" customHeight="1">
      <x:c r="A187" s="289" t="n">
        <x:v>186</x:v>
      </x:c>
      <x:c r="B187" s="289" t="n">
        <x:v>6052</x:v>
      </x:c>
      <x:c r="C187" s="290" t="str">
        <x:v>星渊龙息·寒鳞</x:v>
      </x:c>
      <x:c r="D187" s="290" t="str">
        <x:v>星渊龙息</x:v>
      </x:c>
      <x:c r="E187" s="290" t="n">
        <x:v>1</x:v>
      </x:c>
      <x:c r="F187" s="290" t="str">
        <x:v>盾牌</x:v>
      </x:c>
      <x:c r="G187" s="289"/>
      <x:c r="H187" s="289"/>
      <x:c r="I187" s="289" t="n">
        <x:v>6052</x:v>
      </x:c>
      <x:c r="J187" s="289"/>
      <x:c r="K187" s="289"/>
      <x:c r="L187" s="289"/>
      <x:c r="M187" s="289" t="n">
        <x:v>6052</x:v>
      </x:c>
      <x:c r="N187" s="289" t="n">
        <x:v>6052</x:v>
      </x:c>
      <x:c r="O187" s="289" t="n">
        <x:v>6052</x:v>
      </x:c>
      <x:c r="P187" s="292"/>
      <x:c r="Q187" s="292" t="str">
        <x:v>原九部位资源库已登记</x:v>
      </x:c>
      <x:c r="R187" s="322" t="str">
        <x:v>C1/C2现用：海雾塔盾</x:v>
      </x:c>
      <x:c r="S187" s="292" t="str">
        <x:v>装备素材套装代码表.xlsx（原九部位）</x:v>
      </x:c>
      <x:c r="T187" s="292" t="str">
        <x:v>同一代码用于 Items / StateItem / DnItems；属性与掉落另表定义。</x:v>
      </x:c>
      <x:c r="U187" t="str">
        <x:f>IF(COUNTIF($B$2:$B$1076,B187)&gt;1,"重复","")</x:f>
      </x:c>
      <x:c r="V187" t="str">
        <x:f>IF(AND(OR(M187="",M187=B187),OR(N187="",N187=B187),OR(O187="",O187=B187)),"通过","不一致")</x:f>
        <x:v>通过</x:v>
      </x:c>
    </x:row>
    <x:row r="188" ht="22" customHeight="1">
      <x:c r="A188" s="289" t="n">
        <x:v>187</x:v>
      </x:c>
      <x:c r="B188" s="289" t="n">
        <x:v>6053</x:v>
      </x:c>
      <x:c r="C188" s="290" t="str">
        <x:v>星渊龙息·寒鳞</x:v>
      </x:c>
      <x:c r="D188" s="290" t="str">
        <x:v>星渊龙息</x:v>
      </x:c>
      <x:c r="E188" s="290" t="n">
        <x:v>1</x:v>
      </x:c>
      <x:c r="F188" s="290" t="str">
        <x:v>灵玉</x:v>
      </x:c>
      <x:c r="G188" s="289"/>
      <x:c r="H188" s="289"/>
      <x:c r="I188" s="289" t="n">
        <x:v>6053</x:v>
      </x:c>
      <x:c r="J188" s="289"/>
      <x:c r="K188" s="289"/>
      <x:c r="L188" s="289"/>
      <x:c r="M188" s="289" t="n">
        <x:v>6053</x:v>
      </x:c>
      <x:c r="N188" s="289" t="n">
        <x:v>6053</x:v>
      </x:c>
      <x:c r="O188" s="289" t="n">
        <x:v>6053</x:v>
      </x:c>
      <x:c r="P188" s="292"/>
      <x:c r="Q188" s="292" t="str">
        <x:v>原九部位资源库已登记</x:v>
      </x:c>
      <x:c r="R188" s="292" t="str"/>
      <x:c r="S188" s="292" t="str">
        <x:v>装备素材套装代码表.xlsx（原九部位）</x:v>
      </x:c>
      <x:c r="T188" s="292" t="str">
        <x:v>同一代码用于 Items / StateItem / DnItems；属性与掉落另表定义。</x:v>
      </x:c>
      <x:c r="U188" t="str">
        <x:f>IF(COUNTIF($B$2:$B$1076,B188)&gt;1,"重复","")</x:f>
      </x:c>
      <x:c r="V188" t="str">
        <x:f>IF(AND(OR(M188="",M188=B188),OR(N188="",N188=B188),OR(O188="",O188=B188)),"通过","不一致")</x:f>
        <x:v>通过</x:v>
      </x:c>
    </x:row>
    <x:row r="189" ht="22" customHeight="1">
      <x:c r="A189" s="289" t="n">
        <x:v>188</x:v>
      </x:c>
      <x:c r="B189" s="289" t="n">
        <x:v>6054</x:v>
      </x:c>
      <x:c r="C189" s="290" t="str">
        <x:v>星渊龙息·寒鳞</x:v>
      </x:c>
      <x:c r="D189" s="290" t="str">
        <x:v>星渊龙息</x:v>
      </x:c>
      <x:c r="E189" s="290" t="n">
        <x:v>1</x:v>
      </x:c>
      <x:c r="F189" s="290" t="str">
        <x:v>鞋子</x:v>
      </x:c>
      <x:c r="G189" s="289"/>
      <x:c r="H189" s="289"/>
      <x:c r="I189" s="289" t="n">
        <x:v>6054</x:v>
      </x:c>
      <x:c r="J189" s="289"/>
      <x:c r="K189" s="289"/>
      <x:c r="L189" s="289"/>
      <x:c r="M189" s="289" t="n">
        <x:v>6054</x:v>
      </x:c>
      <x:c r="N189" s="289" t="n">
        <x:v>6054</x:v>
      </x:c>
      <x:c r="O189" s="289" t="n">
        <x:v>6054</x:v>
      </x:c>
      <x:c r="P189" s="292"/>
      <x:c r="Q189" s="292" t="str">
        <x:v>原九部位资源库已登记</x:v>
      </x:c>
      <x:c r="R189" s="292" t="str"/>
      <x:c r="S189" s="292" t="str">
        <x:v>装备素材套装代码表.xlsx（原九部位）</x:v>
      </x:c>
      <x:c r="T189" s="292" t="str">
        <x:v>同一代码用于 Items / StateItem / DnItems；属性与掉落另表定义。</x:v>
      </x:c>
      <x:c r="U189" t="str">
        <x:f>IF(COUNTIF($B$2:$B$1076,B189)&gt;1,"重复","")</x:f>
      </x:c>
      <x:c r="V189" t="str">
        <x:f>IF(AND(OR(M189="",M189=B189),OR(N189="",N189=B189),OR(O189="",O189=B189)),"通过","不一致")</x:f>
        <x:v>通过</x:v>
      </x:c>
    </x:row>
    <x:row r="190" ht="22" customHeight="1">
      <x:c r="A190" s="289" t="n">
        <x:v>189</x:v>
      </x:c>
      <x:c r="B190" s="289" t="n">
        <x:v>6055</x:v>
      </x:c>
      <x:c r="C190" s="290" t="str">
        <x:v>星渊龙息·寒鳞</x:v>
      </x:c>
      <x:c r="D190" s="290" t="str">
        <x:v>星渊龙息</x:v>
      </x:c>
      <x:c r="E190" s="290" t="n">
        <x:v>1</x:v>
      </x:c>
      <x:c r="F190" s="290" t="str">
        <x:v>腰带</x:v>
      </x:c>
      <x:c r="G190" s="289"/>
      <x:c r="H190" s="289"/>
      <x:c r="I190" s="289" t="n">
        <x:v>6055</x:v>
      </x:c>
      <x:c r="J190" s="289"/>
      <x:c r="K190" s="289"/>
      <x:c r="L190" s="289"/>
      <x:c r="M190" s="289" t="n">
        <x:v>6055</x:v>
      </x:c>
      <x:c r="N190" s="289" t="n">
        <x:v>6055</x:v>
      </x:c>
      <x:c r="O190" s="289" t="n">
        <x:v>6055</x:v>
      </x:c>
      <x:c r="P190" s="292"/>
      <x:c r="Q190" s="292" t="str">
        <x:v>原九部位资源库已登记</x:v>
      </x:c>
      <x:c r="R190" s="292" t="str"/>
      <x:c r="S190" s="292" t="str">
        <x:v>装备素材套装代码表.xlsx（原九部位）</x:v>
      </x:c>
      <x:c r="T190" s="292" t="str">
        <x:v>同一代码用于 Items / StateItem / DnItems；属性与掉落另表定义。</x:v>
      </x:c>
      <x:c r="U190" t="str">
        <x:f>IF(COUNTIF($B$2:$B$1076,B190)&gt;1,"重复","")</x:f>
      </x:c>
      <x:c r="V190" t="str">
        <x:f>IF(AND(OR(M190="",M190=B190),OR(N190="",N190=B190),OR(O190="",O190=B190)),"通过","不一致")</x:f>
        <x:v>通过</x:v>
      </x:c>
    </x:row>
    <x:row r="191" ht="22" customHeight="1">
      <x:c r="A191" s="289" t="n">
        <x:v>190</x:v>
      </x:c>
      <x:c r="B191" s="289" t="n">
        <x:v>6056</x:v>
      </x:c>
      <x:c r="C191" s="290" t="str">
        <x:v>星渊龙息·龙痕</x:v>
      </x:c>
      <x:c r="D191" s="290" t="str">
        <x:v>星渊龙息</x:v>
      </x:c>
      <x:c r="E191" s="290" t="n">
        <x:v>2</x:v>
      </x:c>
      <x:c r="F191" s="290" t="str">
        <x:v>勋章</x:v>
      </x:c>
      <x:c r="G191" s="289"/>
      <x:c r="H191" s="289"/>
      <x:c r="I191" s="289" t="n">
        <x:v>6056</x:v>
      </x:c>
      <x:c r="J191" s="289"/>
      <x:c r="K191" s="289"/>
      <x:c r="L191" s="289"/>
      <x:c r="M191" s="289" t="n">
        <x:v>6056</x:v>
      </x:c>
      <x:c r="N191" s="289" t="n">
        <x:v>6056</x:v>
      </x:c>
      <x:c r="O191" s="289" t="n">
        <x:v>6056</x:v>
      </x:c>
      <x:c r="P191" s="292"/>
      <x:c r="Q191" s="292" t="str">
        <x:v>原九部位资源库已登记</x:v>
      </x:c>
      <x:c r="R191" s="292" t="str"/>
      <x:c r="S191" s="292" t="str">
        <x:v>装备素材套装代码表.xlsx（原九部位）</x:v>
      </x:c>
      <x:c r="T191" s="292" t="str">
        <x:v>同一代码用于 Items / StateItem / DnItems；属性与掉落另表定义。</x:v>
      </x:c>
      <x:c r="U191" t="str">
        <x:f>IF(COUNTIF($B$2:$B$1076,B191)&gt;1,"重复","")</x:f>
      </x:c>
      <x:c r="V191" t="str">
        <x:f>IF(AND(OR(M191="",M191=B191),OR(N191="",N191=B191),OR(O191="",O191=B191)),"通过","不一致")</x:f>
        <x:v>通过</x:v>
      </x:c>
    </x:row>
    <x:row r="192" ht="22" customHeight="1">
      <x:c r="A192" s="289" t="n">
        <x:v>191</x:v>
      </x:c>
      <x:c r="B192" s="289" t="n">
        <x:v>6057</x:v>
      </x:c>
      <x:c r="C192" s="290" t="str">
        <x:v>星渊龙息·龙痕</x:v>
      </x:c>
      <x:c r="D192" s="290" t="str">
        <x:v>星渊龙息</x:v>
      </x:c>
      <x:c r="E192" s="290" t="n">
        <x:v>2</x:v>
      </x:c>
      <x:c r="F192" s="290" t="str">
        <x:v>项链</x:v>
      </x:c>
      <x:c r="G192" s="289"/>
      <x:c r="H192" s="289"/>
      <x:c r="I192" s="289" t="n">
        <x:v>6057</x:v>
      </x:c>
      <x:c r="J192" s="289"/>
      <x:c r="K192" s="289"/>
      <x:c r="L192" s="289"/>
      <x:c r="M192" s="289" t="n">
        <x:v>6057</x:v>
      </x:c>
      <x:c r="N192" s="289" t="n">
        <x:v>6057</x:v>
      </x:c>
      <x:c r="O192" s="289" t="n">
        <x:v>6057</x:v>
      </x:c>
      <x:c r="P192" s="292"/>
      <x:c r="Q192" s="292" t="str">
        <x:v>原九部位资源库已登记</x:v>
      </x:c>
      <x:c r="R192" s="324" t="str">
        <x:v>C3-C10规划锁定：缚铃窄项圈</x:v>
      </x:c>
      <x:c r="S192" s="292" t="str">
        <x:v>装备素材套装代码表.xlsx（原九部位）</x:v>
      </x:c>
      <x:c r="T192" s="292" t="str">
        <x:v>同一代码用于 Items / StateItem / DnItems；属性与掉落另表定义。</x:v>
      </x:c>
      <x:c r="U192" t="str">
        <x:f>IF(COUNTIF($B$2:$B$1076,B192)&gt;1,"重复","")</x:f>
      </x:c>
      <x:c r="V192" t="str">
        <x:f>IF(AND(OR(M192="",M192=B192),OR(N192="",N192=B192),OR(O192="",O192=B192)),"通过","不一致")</x:f>
        <x:v>通过</x:v>
      </x:c>
    </x:row>
    <x:row r="193" ht="22" customHeight="1">
      <x:c r="A193" s="289" t="n">
        <x:v>192</x:v>
      </x:c>
      <x:c r="B193" s="289" t="n">
        <x:v>6058</x:v>
      </x:c>
      <x:c r="C193" s="290" t="str">
        <x:v>星渊龙息·龙痕</x:v>
      </x:c>
      <x:c r="D193" s="290" t="str">
        <x:v>星渊龙息</x:v>
      </x:c>
      <x:c r="E193" s="290" t="n">
        <x:v>2</x:v>
      </x:c>
      <x:c r="F193" s="290" t="str">
        <x:v>头盔</x:v>
      </x:c>
      <x:c r="G193" s="289"/>
      <x:c r="H193" s="289"/>
      <x:c r="I193" s="289" t="n">
        <x:v>6058</x:v>
      </x:c>
      <x:c r="J193" s="289"/>
      <x:c r="K193" s="289"/>
      <x:c r="L193" s="289"/>
      <x:c r="M193" s="289" t="n">
        <x:v>6058</x:v>
      </x:c>
      <x:c r="N193" s="289" t="n">
        <x:v>6058</x:v>
      </x:c>
      <x:c r="O193" s="289" t="n">
        <x:v>6058</x:v>
      </x:c>
      <x:c r="P193" s="292"/>
      <x:c r="Q193" s="292" t="str">
        <x:v>原九部位资源库已登记</x:v>
      </x:c>
      <x:c r="R193" s="324" t="str">
        <x:v>C3-C10规划锁定：壁垒号手盔</x:v>
      </x:c>
      <x:c r="S193" s="292" t="str">
        <x:v>装备素材套装代码表.xlsx（原九部位）</x:v>
      </x:c>
      <x:c r="T193" s="292" t="str">
        <x:v>同一代码用于 Items / StateItem / DnItems；属性与掉落另表定义。</x:v>
      </x:c>
      <x:c r="U193" t="str">
        <x:f>IF(COUNTIF($B$2:$B$1076,B193)&gt;1,"重复","")</x:f>
      </x:c>
      <x:c r="V193" t="str">
        <x:f>IF(AND(OR(M193="",M193=B193),OR(N193="",N193=B193),OR(O193="",O193=B193)),"通过","不一致")</x:f>
        <x:v>通过</x:v>
      </x:c>
    </x:row>
    <x:row r="194" ht="22" customHeight="1">
      <x:c r="A194" s="289" t="n">
        <x:v>193</x:v>
      </x:c>
      <x:c r="B194" s="289" t="n">
        <x:v>6059</x:v>
      </x:c>
      <x:c r="C194" s="290" t="str">
        <x:v>星渊龙息·龙痕</x:v>
      </x:c>
      <x:c r="D194" s="290" t="str">
        <x:v>星渊龙息</x:v>
      </x:c>
      <x:c r="E194" s="290" t="n">
        <x:v>2</x:v>
      </x:c>
      <x:c r="F194" s="290" t="str">
        <x:v>手镯</x:v>
      </x:c>
      <x:c r="G194" s="289"/>
      <x:c r="H194" s="289"/>
      <x:c r="I194" s="289" t="n">
        <x:v>6059</x:v>
      </x:c>
      <x:c r="J194" s="289"/>
      <x:c r="K194" s="289"/>
      <x:c r="L194" s="289"/>
      <x:c r="M194" s="289" t="n">
        <x:v>6059</x:v>
      </x:c>
      <x:c r="N194" s="289" t="n">
        <x:v>6059</x:v>
      </x:c>
      <x:c r="O194" s="289" t="n">
        <x:v>6059</x:v>
      </x:c>
      <x:c r="P194" s="292"/>
      <x:c r="Q194" s="292" t="str">
        <x:v>原九部位资源库已登记</x:v>
      </x:c>
      <x:c r="R194" s="322" t="str">
        <x:v>C1/C2现用：幽火鳞镯</x:v>
      </x:c>
      <x:c r="S194" s="292" t="str">
        <x:v>装备素材套装代码表.xlsx（原九部位）</x:v>
      </x:c>
      <x:c r="T194" s="292" t="str">
        <x:v>同一代码用于 Items / StateItem / DnItems；属性与掉落另表定义。</x:v>
      </x:c>
      <x:c r="U194" t="str">
        <x:f>IF(COUNTIF($B$2:$B$1076,B194)&gt;1,"重复","")</x:f>
      </x:c>
      <x:c r="V194" t="str">
        <x:f>IF(AND(OR(M194="",M194=B194),OR(N194="",N194=B194),OR(O194="",O194=B194)),"通过","不一致")</x:f>
        <x:v>通过</x:v>
      </x:c>
    </x:row>
    <x:row r="195" ht="22" customHeight="1">
      <x:c r="A195" s="289" t="n">
        <x:v>194</x:v>
      </x:c>
      <x:c r="B195" s="289" t="n">
        <x:v>6060</x:v>
      </x:c>
      <x:c r="C195" s="290" t="str">
        <x:v>星渊龙息·龙痕</x:v>
      </x:c>
      <x:c r="D195" s="290" t="str">
        <x:v>星渊龙息</x:v>
      </x:c>
      <x:c r="E195" s="290" t="n">
        <x:v>2</x:v>
      </x:c>
      <x:c r="F195" s="290" t="str">
        <x:v>戒指</x:v>
      </x:c>
      <x:c r="G195" s="289"/>
      <x:c r="H195" s="289"/>
      <x:c r="I195" s="289" t="n">
        <x:v>6060</x:v>
      </x:c>
      <x:c r="J195" s="289"/>
      <x:c r="K195" s="289"/>
      <x:c r="L195" s="289"/>
      <x:c r="M195" s="289" t="n">
        <x:v>6060</x:v>
      </x:c>
      <x:c r="N195" s="289" t="n">
        <x:v>6060</x:v>
      </x:c>
      <x:c r="O195" s="289" t="n">
        <x:v>6060</x:v>
      </x:c>
      <x:c r="P195" s="292"/>
      <x:c r="Q195" s="292" t="str">
        <x:v>原九部位资源库已登记</x:v>
      </x:c>
      <x:c r="R195" s="324" t="str">
        <x:v>C3-C10规划锁定：七孔哀笛戒</x:v>
      </x:c>
      <x:c r="S195" s="292" t="str">
        <x:v>装备素材套装代码表.xlsx（原九部位）</x:v>
      </x:c>
      <x:c r="T195" s="292" t="str">
        <x:v>同一代码用于 Items / StateItem / DnItems；属性与掉落另表定义。</x:v>
      </x:c>
      <x:c r="U195" t="str">
        <x:f>IF(COUNTIF($B$2:$B$1076,B195)&gt;1,"重复","")</x:f>
      </x:c>
      <x:c r="V195" t="str">
        <x:f>IF(AND(OR(M195="",M195=B195),OR(N195="",N195=B195),OR(O195="",O195=B195)),"通过","不一致")</x:f>
        <x:v>通过</x:v>
      </x:c>
    </x:row>
    <x:row r="196" ht="22" customHeight="1">
      <x:c r="A196" s="289" t="n">
        <x:v>195</x:v>
      </x:c>
      <x:c r="B196" s="289" t="n">
        <x:v>6061</x:v>
      </x:c>
      <x:c r="C196" s="290" t="str">
        <x:v>星渊龙息·龙痕</x:v>
      </x:c>
      <x:c r="D196" s="290" t="str">
        <x:v>星渊龙息</x:v>
      </x:c>
      <x:c r="E196" s="290" t="n">
        <x:v>2</x:v>
      </x:c>
      <x:c r="F196" s="290" t="str">
        <x:v>盾牌</x:v>
      </x:c>
      <x:c r="G196" s="289"/>
      <x:c r="H196" s="289"/>
      <x:c r="I196" s="289" t="n">
        <x:v>6061</x:v>
      </x:c>
      <x:c r="J196" s="289"/>
      <x:c r="K196" s="289"/>
      <x:c r="L196" s="289"/>
      <x:c r="M196" s="289" t="n">
        <x:v>6061</x:v>
      </x:c>
      <x:c r="N196" s="289" t="n">
        <x:v>6061</x:v>
      </x:c>
      <x:c r="O196" s="289" t="n">
        <x:v>6061</x:v>
      </x:c>
      <x:c r="P196" s="292"/>
      <x:c r="Q196" s="292" t="str">
        <x:v>原九部位资源库已登记</x:v>
      </x:c>
      <x:c r="R196" s="322" t="str">
        <x:v>C1/C2现用：雷痕石盾</x:v>
      </x:c>
      <x:c r="S196" s="292" t="str">
        <x:v>装备素材套装代码表.xlsx（原九部位）</x:v>
      </x:c>
      <x:c r="T196" s="292" t="str">
        <x:v>同一代码用于 Items / StateItem / DnItems；属性与掉落另表定义。</x:v>
      </x:c>
      <x:c r="U196" t="str">
        <x:f>IF(COUNTIF($B$2:$B$1076,B196)&gt;1,"重复","")</x:f>
      </x:c>
      <x:c r="V196" t="str">
        <x:f>IF(AND(OR(M196="",M196=B196),OR(N196="",N196=B196),OR(O196="",O196=B196)),"通过","不一致")</x:f>
        <x:v>通过</x:v>
      </x:c>
    </x:row>
    <x:row r="197" ht="22" customHeight="1">
      <x:c r="A197" s="289" t="n">
        <x:v>196</x:v>
      </x:c>
      <x:c r="B197" s="289" t="n">
        <x:v>6062</x:v>
      </x:c>
      <x:c r="C197" s="290" t="str">
        <x:v>星渊龙息·龙痕</x:v>
      </x:c>
      <x:c r="D197" s="290" t="str">
        <x:v>星渊龙息</x:v>
      </x:c>
      <x:c r="E197" s="290" t="n">
        <x:v>2</x:v>
      </x:c>
      <x:c r="F197" s="290" t="str">
        <x:v>灵玉</x:v>
      </x:c>
      <x:c r="G197" s="289"/>
      <x:c r="H197" s="289"/>
      <x:c r="I197" s="289" t="n">
        <x:v>6062</x:v>
      </x:c>
      <x:c r="J197" s="289"/>
      <x:c r="K197" s="289"/>
      <x:c r="L197" s="289"/>
      <x:c r="M197" s="289" t="n">
        <x:v>6062</x:v>
      </x:c>
      <x:c r="N197" s="289" t="n">
        <x:v>6062</x:v>
      </x:c>
      <x:c r="O197" s="289" t="n">
        <x:v>6062</x:v>
      </x:c>
      <x:c r="P197" s="292"/>
      <x:c r="Q197" s="292" t="str">
        <x:v>原九部位资源库已登记</x:v>
      </x:c>
      <x:c r="R197" s="292" t="str"/>
      <x:c r="S197" s="292" t="str">
        <x:v>装备素材套装代码表.xlsx（原九部位）</x:v>
      </x:c>
      <x:c r="T197" s="292" t="str">
        <x:v>同一代码用于 Items / StateItem / DnItems；属性与掉落另表定义。</x:v>
      </x:c>
      <x:c r="U197" t="str">
        <x:f>IF(COUNTIF($B$2:$B$1076,B197)&gt;1,"重复","")</x:f>
      </x:c>
      <x:c r="V197" t="str">
        <x:f>IF(AND(OR(M197="",M197=B197),OR(N197="",N197=B197),OR(O197="",O197=B197)),"通过","不一致")</x:f>
        <x:v>通过</x:v>
      </x:c>
    </x:row>
    <x:row r="198" ht="22" customHeight="1">
      <x:c r="A198" s="289" t="n">
        <x:v>197</x:v>
      </x:c>
      <x:c r="B198" s="289" t="n">
        <x:v>6063</x:v>
      </x:c>
      <x:c r="C198" s="290" t="str">
        <x:v>星渊龙息·龙痕</x:v>
      </x:c>
      <x:c r="D198" s="290" t="str">
        <x:v>星渊龙息</x:v>
      </x:c>
      <x:c r="E198" s="290" t="n">
        <x:v>2</x:v>
      </x:c>
      <x:c r="F198" s="290" t="str">
        <x:v>鞋子</x:v>
      </x:c>
      <x:c r="G198" s="289"/>
      <x:c r="H198" s="289"/>
      <x:c r="I198" s="289" t="n">
        <x:v>6063</x:v>
      </x:c>
      <x:c r="J198" s="289"/>
      <x:c r="K198" s="289"/>
      <x:c r="L198" s="289"/>
      <x:c r="M198" s="289" t="n">
        <x:v>6063</x:v>
      </x:c>
      <x:c r="N198" s="289" t="n">
        <x:v>6063</x:v>
      </x:c>
      <x:c r="O198" s="289" t="n">
        <x:v>6063</x:v>
      </x:c>
      <x:c r="P198" s="292"/>
      <x:c r="Q198" s="292" t="str">
        <x:v>原九部位资源库已登记</x:v>
      </x:c>
      <x:c r="R198" s="292" t="str"/>
      <x:c r="S198" s="292" t="str">
        <x:v>装备素材套装代码表.xlsx（原九部位）</x:v>
      </x:c>
      <x:c r="T198" s="292" t="str">
        <x:v>同一代码用于 Items / StateItem / DnItems；属性与掉落另表定义。</x:v>
      </x:c>
      <x:c r="U198" t="str">
        <x:f>IF(COUNTIF($B$2:$B$1076,B198)&gt;1,"重复","")</x:f>
      </x:c>
      <x:c r="V198" t="str">
        <x:f>IF(AND(OR(M198="",M198=B198),OR(N198="",N198=B198),OR(O198="",O198=B198)),"通过","不一致")</x:f>
        <x:v>通过</x:v>
      </x:c>
    </x:row>
    <x:row r="199" ht="22" customHeight="1">
      <x:c r="A199" s="289" t="n">
        <x:v>198</x:v>
      </x:c>
      <x:c r="B199" s="289" t="n">
        <x:v>6064</x:v>
      </x:c>
      <x:c r="C199" s="290" t="str">
        <x:v>星渊龙息·龙痕</x:v>
      </x:c>
      <x:c r="D199" s="290" t="str">
        <x:v>星渊龙息</x:v>
      </x:c>
      <x:c r="E199" s="290" t="n">
        <x:v>2</x:v>
      </x:c>
      <x:c r="F199" s="290" t="str">
        <x:v>腰带</x:v>
      </x:c>
      <x:c r="G199" s="289"/>
      <x:c r="H199" s="289"/>
      <x:c r="I199" s="289" t="n">
        <x:v>6064</x:v>
      </x:c>
      <x:c r="J199" s="289"/>
      <x:c r="K199" s="289"/>
      <x:c r="L199" s="289"/>
      <x:c r="M199" s="289" t="n">
        <x:v>6064</x:v>
      </x:c>
      <x:c r="N199" s="289" t="n">
        <x:v>6064</x:v>
      </x:c>
      <x:c r="O199" s="289" t="n">
        <x:v>6064</x:v>
      </x:c>
      <x:c r="P199" s="292"/>
      <x:c r="Q199" s="292" t="str">
        <x:v>原九部位资源库已登记</x:v>
      </x:c>
      <x:c r="R199" s="292" t="str"/>
      <x:c r="S199" s="292" t="str">
        <x:v>装备素材套装代码表.xlsx（原九部位）</x:v>
      </x:c>
      <x:c r="T199" s="292" t="str">
        <x:v>同一代码用于 Items / StateItem / DnItems；属性与掉落另表定义。</x:v>
      </x:c>
      <x:c r="U199" t="str">
        <x:f>IF(COUNTIF($B$2:$B$1076,B199)&gt;1,"重复","")</x:f>
      </x:c>
      <x:c r="V199" t="str">
        <x:f>IF(AND(OR(M199="",M199=B199),OR(N199="",N199=B199),OR(O199="",O199=B199)),"通过","不一致")</x:f>
        <x:v>通过</x:v>
      </x:c>
    </x:row>
    <x:row r="200" ht="22" customHeight="1">
      <x:c r="A200" s="289" t="n">
        <x:v>199</x:v>
      </x:c>
      <x:c r="B200" s="289" t="n">
        <x:v>6065</x:v>
      </x:c>
      <x:c r="C200" s="290" t="str">
        <x:v>星渊龙息·星晶</x:v>
      </x:c>
      <x:c r="D200" s="290" t="str">
        <x:v>星渊龙息</x:v>
      </x:c>
      <x:c r="E200" s="290" t="n">
        <x:v>3</x:v>
      </x:c>
      <x:c r="F200" s="290" t="str">
        <x:v>勋章</x:v>
      </x:c>
      <x:c r="G200" s="289"/>
      <x:c r="H200" s="289"/>
      <x:c r="I200" s="289" t="n">
        <x:v>6065</x:v>
      </x:c>
      <x:c r="J200" s="289"/>
      <x:c r="K200" s="289"/>
      <x:c r="L200" s="289"/>
      <x:c r="M200" s="289" t="n">
        <x:v>6065</x:v>
      </x:c>
      <x:c r="N200" s="289" t="n">
        <x:v>6065</x:v>
      </x:c>
      <x:c r="O200" s="289" t="n">
        <x:v>6065</x:v>
      </x:c>
      <x:c r="P200" s="292"/>
      <x:c r="Q200" s="292" t="str">
        <x:v>原九部位资源库已登记</x:v>
      </x:c>
      <x:c r="R200" s="292" t="str"/>
      <x:c r="S200" s="292" t="str">
        <x:v>装备素材套装代码表.xlsx（原九部位）</x:v>
      </x:c>
      <x:c r="T200" s="292" t="str">
        <x:v>同一代码用于 Items / StateItem / DnItems；属性与掉落另表定义。</x:v>
      </x:c>
      <x:c r="U200" t="str">
        <x:f>IF(COUNTIF($B$2:$B$1076,B200)&gt;1,"重复","")</x:f>
      </x:c>
      <x:c r="V200" t="str">
        <x:f>IF(AND(OR(M200="",M200=B200),OR(N200="",N200=B200),OR(O200="",O200=B200)),"通过","不一致")</x:f>
        <x:v>通过</x:v>
      </x:c>
    </x:row>
    <x:row r="201" ht="22" customHeight="1">
      <x:c r="A201" s="289" t="n">
        <x:v>200</x:v>
      </x:c>
      <x:c r="B201" s="289" t="n">
        <x:v>6066</x:v>
      </x:c>
      <x:c r="C201" s="290" t="str">
        <x:v>星渊龙息·星晶</x:v>
      </x:c>
      <x:c r="D201" s="290" t="str">
        <x:v>星渊龙息</x:v>
      </x:c>
      <x:c r="E201" s="290" t="n">
        <x:v>3</x:v>
      </x:c>
      <x:c r="F201" s="290" t="str">
        <x:v>项链</x:v>
      </x:c>
      <x:c r="G201" s="289"/>
      <x:c r="H201" s="289"/>
      <x:c r="I201" s="289" t="n">
        <x:v>6066</x:v>
      </x:c>
      <x:c r="J201" s="289"/>
      <x:c r="K201" s="289"/>
      <x:c r="L201" s="289"/>
      <x:c r="M201" s="289" t="n">
        <x:v>6066</x:v>
      </x:c>
      <x:c r="N201" s="289" t="n">
        <x:v>6066</x:v>
      </x:c>
      <x:c r="O201" s="289" t="n">
        <x:v>6066</x:v>
      </x:c>
      <x:c r="P201" s="292"/>
      <x:c r="Q201" s="292" t="str">
        <x:v>原九部位资源库已登记</x:v>
      </x:c>
      <x:c r="R201" s="324" t="str">
        <x:v>C3-C10规划锁定：窥灯浊辉坠</x:v>
      </x:c>
      <x:c r="S201" s="292" t="str">
        <x:v>装备素材套装代码表.xlsx（原九部位）</x:v>
      </x:c>
      <x:c r="T201" s="292" t="str">
        <x:v>同一代码用于 Items / StateItem / DnItems；属性与掉落另表定义。</x:v>
      </x:c>
      <x:c r="U201" t="str">
        <x:f>IF(COUNTIF($B$2:$B$1076,B201)&gt;1,"重复","")</x:f>
      </x:c>
      <x:c r="V201" t="str">
        <x:f>IF(AND(OR(M201="",M201=B201),OR(N201="",N201=B201),OR(O201="",O201=B201)),"通过","不一致")</x:f>
        <x:v>通过</x:v>
      </x:c>
    </x:row>
    <x:row r="202" ht="22" customHeight="1">
      <x:c r="A202" s="289" t="n">
        <x:v>201</x:v>
      </x:c>
      <x:c r="B202" s="289" t="n">
        <x:v>6067</x:v>
      </x:c>
      <x:c r="C202" s="290" t="str">
        <x:v>星渊龙息·星晶</x:v>
      </x:c>
      <x:c r="D202" s="290" t="str">
        <x:v>星渊龙息</x:v>
      </x:c>
      <x:c r="E202" s="290" t="n">
        <x:v>3</x:v>
      </x:c>
      <x:c r="F202" s="290" t="str">
        <x:v>头盔</x:v>
      </x:c>
      <x:c r="G202" s="289"/>
      <x:c r="H202" s="289"/>
      <x:c r="I202" s="289" t="n">
        <x:v>6067</x:v>
      </x:c>
      <x:c r="J202" s="289"/>
      <x:c r="K202" s="289"/>
      <x:c r="L202" s="289"/>
      <x:c r="M202" s="289" t="n">
        <x:v>6067</x:v>
      </x:c>
      <x:c r="N202" s="289" t="n">
        <x:v>6067</x:v>
      </x:c>
      <x:c r="O202" s="289" t="n">
        <x:v>6067</x:v>
      </x:c>
      <x:c r="P202" s="292"/>
      <x:c r="Q202" s="292" t="str">
        <x:v>原九部位资源库已登记</x:v>
      </x:c>
      <x:c r="R202" s="324" t="str">
        <x:v>C3-C10规划锁定：斑墙巡灯盔</x:v>
      </x:c>
      <x:c r="S202" s="292" t="str">
        <x:v>装备素材套装代码表.xlsx（原九部位）</x:v>
      </x:c>
      <x:c r="T202" s="292" t="str">
        <x:v>同一代码用于 Items / StateItem / DnItems；属性与掉落另表定义。</x:v>
      </x:c>
      <x:c r="U202" t="str">
        <x:f>IF(COUNTIF($B$2:$B$1076,B202)&gt;1,"重复","")</x:f>
      </x:c>
      <x:c r="V202" t="str">
        <x:f>IF(AND(OR(M202="",M202=B202),OR(N202="",N202=B202),OR(O202="",O202=B202)),"通过","不一致")</x:f>
        <x:v>通过</x:v>
      </x:c>
    </x:row>
    <x:row r="203" ht="22" customHeight="1">
      <x:c r="A203" s="289" t="n">
        <x:v>202</x:v>
      </x:c>
      <x:c r="B203" s="289" t="n">
        <x:v>6068</x:v>
      </x:c>
      <x:c r="C203" s="290" t="str">
        <x:v>星渊龙息·星晶</x:v>
      </x:c>
      <x:c r="D203" s="290" t="str">
        <x:v>星渊龙息</x:v>
      </x:c>
      <x:c r="E203" s="290" t="n">
        <x:v>3</x:v>
      </x:c>
      <x:c r="F203" s="290" t="str">
        <x:v>手镯</x:v>
      </x:c>
      <x:c r="G203" s="289"/>
      <x:c r="H203" s="289"/>
      <x:c r="I203" s="289" t="n">
        <x:v>6068</x:v>
      </x:c>
      <x:c r="J203" s="289"/>
      <x:c r="K203" s="289"/>
      <x:c r="L203" s="289"/>
      <x:c r="M203" s="289" t="n">
        <x:v>6068</x:v>
      </x:c>
      <x:c r="N203" s="289" t="n">
        <x:v>6068</x:v>
      </x:c>
      <x:c r="O203" s="289" t="n">
        <x:v>6068</x:v>
      </x:c>
      <x:c r="P203" s="292"/>
      <x:c r="Q203" s="292" t="str">
        <x:v>原九部位资源库已登记</x:v>
      </x:c>
      <x:c r="R203" s="324" t="str">
        <x:v>C3-C10规划锁定：金桂驯狮腕</x:v>
      </x:c>
      <x:c r="S203" s="292" t="str">
        <x:v>装备素材套装代码表.xlsx（原九部位）</x:v>
      </x:c>
      <x:c r="T203" s="292" t="str">
        <x:v>同一代码用于 Items / StateItem / DnItems；属性与掉落另表定义。</x:v>
      </x:c>
      <x:c r="U203" t="str">
        <x:f>IF(COUNTIF($B$2:$B$1076,B203)&gt;1,"重复","")</x:f>
      </x:c>
      <x:c r="V203" t="str">
        <x:f>IF(AND(OR(M203="",M203=B203),OR(N203="",N203=B203),OR(O203="",O203=B203)),"通过","不一致")</x:f>
        <x:v>通过</x:v>
      </x:c>
    </x:row>
    <x:row r="204" ht="22" customHeight="1">
      <x:c r="A204" s="289" t="n">
        <x:v>203</x:v>
      </x:c>
      <x:c r="B204" s="289" t="n">
        <x:v>6069</x:v>
      </x:c>
      <x:c r="C204" s="290" t="str">
        <x:v>星渊龙息·星晶</x:v>
      </x:c>
      <x:c r="D204" s="290" t="str">
        <x:v>星渊龙息</x:v>
      </x:c>
      <x:c r="E204" s="290" t="n">
        <x:v>3</x:v>
      </x:c>
      <x:c r="F204" s="290" t="str">
        <x:v>戒指</x:v>
      </x:c>
      <x:c r="G204" s="289"/>
      <x:c r="H204" s="289"/>
      <x:c r="I204" s="289" t="n">
        <x:v>6069</x:v>
      </x:c>
      <x:c r="J204" s="289"/>
      <x:c r="K204" s="289"/>
      <x:c r="L204" s="289"/>
      <x:c r="M204" s="289" t="n">
        <x:v>6069</x:v>
      </x:c>
      <x:c r="N204" s="289" t="n">
        <x:v>6069</x:v>
      </x:c>
      <x:c r="O204" s="289" t="n">
        <x:v>6069</x:v>
      </x:c>
      <x:c r="P204" s="292"/>
      <x:c r="Q204" s="292" t="str">
        <x:v>原九部位资源库已登记</x:v>
      </x:c>
      <x:c r="R204" s="324" t="str">
        <x:v>C3-C10规划锁定：黑晶凿梦戒</x:v>
      </x:c>
      <x:c r="S204" s="292" t="str">
        <x:v>装备素材套装代码表.xlsx（原九部位）</x:v>
      </x:c>
      <x:c r="T204" s="292" t="str">
        <x:v>同一代码用于 Items / StateItem / DnItems；属性与掉落另表定义。</x:v>
      </x:c>
      <x:c r="U204" t="str">
        <x:f>IF(COUNTIF($B$2:$B$1076,B204)&gt;1,"重复","")</x:f>
      </x:c>
      <x:c r="V204" t="str">
        <x:f>IF(AND(OR(M204="",M204=B204),OR(N204="",N204=B204),OR(O204="",O204=B204)),"通过","不一致")</x:f>
        <x:v>通过</x:v>
      </x:c>
    </x:row>
    <x:row r="205" ht="22" customHeight="1">
      <x:c r="A205" s="289" t="n">
        <x:v>204</x:v>
      </x:c>
      <x:c r="B205" s="289" t="n">
        <x:v>6070</x:v>
      </x:c>
      <x:c r="C205" s="290" t="str">
        <x:v>星渊龙息·星晶</x:v>
      </x:c>
      <x:c r="D205" s="290" t="str">
        <x:v>星渊龙息</x:v>
      </x:c>
      <x:c r="E205" s="290" t="n">
        <x:v>3</x:v>
      </x:c>
      <x:c r="F205" s="290" t="str">
        <x:v>盾牌</x:v>
      </x:c>
      <x:c r="G205" s="289"/>
      <x:c r="H205" s="289"/>
      <x:c r="I205" s="289" t="n">
        <x:v>6070</x:v>
      </x:c>
      <x:c r="J205" s="289"/>
      <x:c r="K205" s="289"/>
      <x:c r="L205" s="289"/>
      <x:c r="M205" s="289" t="n">
        <x:v>6070</x:v>
      </x:c>
      <x:c r="N205" s="289" t="n">
        <x:v>6070</x:v>
      </x:c>
      <x:c r="O205" s="289" t="n">
        <x:v>6070</x:v>
      </x:c>
      <x:c r="P205" s="292"/>
      <x:c r="Q205" s="292" t="str">
        <x:v>原九部位资源库已登记</x:v>
      </x:c>
      <x:c r="R205" s="324" t="str">
        <x:v>C3-C10规划锁定：捧剑护座盾</x:v>
      </x:c>
      <x:c r="S205" s="292" t="str">
        <x:v>装备素材套装代码表.xlsx（原九部位）</x:v>
      </x:c>
      <x:c r="T205" s="292" t="str">
        <x:v>同一代码用于 Items / StateItem / DnItems；属性与掉落另表定义。</x:v>
      </x:c>
      <x:c r="U205" t="str">
        <x:f>IF(COUNTIF($B$2:$B$1076,B205)&gt;1,"重复","")</x:f>
      </x:c>
      <x:c r="V205" t="str">
        <x:f>IF(AND(OR(M205="",M205=B205),OR(N205="",N205=B205),OR(O205="",O205=B205)),"通过","不一致")</x:f>
        <x:v>通过</x:v>
      </x:c>
    </x:row>
    <x:row r="206" ht="22" customHeight="1">
      <x:c r="A206" s="289" t="n">
        <x:v>205</x:v>
      </x:c>
      <x:c r="B206" s="289" t="n">
        <x:v>6071</x:v>
      </x:c>
      <x:c r="C206" s="290" t="str">
        <x:v>星渊龙息·星晶</x:v>
      </x:c>
      <x:c r="D206" s="290" t="str">
        <x:v>星渊龙息</x:v>
      </x:c>
      <x:c r="E206" s="290" t="n">
        <x:v>3</x:v>
      </x:c>
      <x:c r="F206" s="290" t="str">
        <x:v>灵玉</x:v>
      </x:c>
      <x:c r="G206" s="289"/>
      <x:c r="H206" s="289"/>
      <x:c r="I206" s="289" t="n">
        <x:v>6071</x:v>
      </x:c>
      <x:c r="J206" s="289"/>
      <x:c r="K206" s="289"/>
      <x:c r="L206" s="289"/>
      <x:c r="M206" s="289" t="n">
        <x:v>6071</x:v>
      </x:c>
      <x:c r="N206" s="289" t="n">
        <x:v>6071</x:v>
      </x:c>
      <x:c r="O206" s="289" t="n">
        <x:v>6071</x:v>
      </x:c>
      <x:c r="P206" s="292"/>
      <x:c r="Q206" s="292" t="str">
        <x:v>原九部位资源库已登记</x:v>
      </x:c>
      <x:c r="R206" s="322" t="str">
        <x:v>C1/C2现用：熔炉古玉</x:v>
      </x:c>
      <x:c r="S206" s="292" t="str">
        <x:v>装备素材套装代码表.xlsx（原九部位）</x:v>
      </x:c>
      <x:c r="T206" s="292" t="str">
        <x:v>同一代码用于 Items / StateItem / DnItems；属性与掉落另表定义。</x:v>
      </x:c>
      <x:c r="U206" t="str">
        <x:f>IF(COUNTIF($B$2:$B$1076,B206)&gt;1,"重复","")</x:f>
      </x:c>
      <x:c r="V206" t="str">
        <x:f>IF(AND(OR(M206="",M206=B206),OR(N206="",N206=B206),OR(O206="",O206=B206)),"通过","不一致")</x:f>
        <x:v>通过</x:v>
      </x:c>
    </x:row>
    <x:row r="207" ht="22" customHeight="1">
      <x:c r="A207" s="289" t="n">
        <x:v>206</x:v>
      </x:c>
      <x:c r="B207" s="289" t="n">
        <x:v>6072</x:v>
      </x:c>
      <x:c r="C207" s="290" t="str">
        <x:v>星渊龙息·星晶</x:v>
      </x:c>
      <x:c r="D207" s="290" t="str">
        <x:v>星渊龙息</x:v>
      </x:c>
      <x:c r="E207" s="290" t="n">
        <x:v>3</x:v>
      </x:c>
      <x:c r="F207" s="290" t="str">
        <x:v>鞋子</x:v>
      </x:c>
      <x:c r="G207" s="289"/>
      <x:c r="H207" s="289"/>
      <x:c r="I207" s="289" t="n">
        <x:v>6072</x:v>
      </x:c>
      <x:c r="J207" s="289"/>
      <x:c r="K207" s="289"/>
      <x:c r="L207" s="289"/>
      <x:c r="M207" s="289" t="n">
        <x:v>6072</x:v>
      </x:c>
      <x:c r="N207" s="289" t="n">
        <x:v>6072</x:v>
      </x:c>
      <x:c r="O207" s="289" t="n">
        <x:v>6072</x:v>
      </x:c>
      <x:c r="P207" s="292"/>
      <x:c r="Q207" s="292" t="str">
        <x:v>原九部位资源库已登记</x:v>
      </x:c>
      <x:c r="R207" s="292" t="str"/>
      <x:c r="S207" s="292" t="str">
        <x:v>装备素材套装代码表.xlsx（原九部位）</x:v>
      </x:c>
      <x:c r="T207" s="292" t="str">
        <x:v>同一代码用于 Items / StateItem / DnItems；属性与掉落另表定义。</x:v>
      </x:c>
      <x:c r="U207" t="str">
        <x:f>IF(COUNTIF($B$2:$B$1076,B207)&gt;1,"重复","")</x:f>
      </x:c>
      <x:c r="V207" t="str">
        <x:f>IF(AND(OR(M207="",M207=B207),OR(N207="",N207=B207),OR(O207="",O207=B207)),"通过","不一致")</x:f>
        <x:v>通过</x:v>
      </x:c>
    </x:row>
    <x:row r="208" ht="22" customHeight="1">
      <x:c r="A208" s="289" t="n">
        <x:v>207</x:v>
      </x:c>
      <x:c r="B208" s="289" t="n">
        <x:v>6073</x:v>
      </x:c>
      <x:c r="C208" s="290" t="str">
        <x:v>星渊龙息·星晶</x:v>
      </x:c>
      <x:c r="D208" s="290" t="str">
        <x:v>星渊龙息</x:v>
      </x:c>
      <x:c r="E208" s="290" t="n">
        <x:v>3</x:v>
      </x:c>
      <x:c r="F208" s="290" t="str">
        <x:v>腰带</x:v>
      </x:c>
      <x:c r="G208" s="289"/>
      <x:c r="H208" s="289"/>
      <x:c r="I208" s="289" t="n">
        <x:v>6073</x:v>
      </x:c>
      <x:c r="J208" s="289"/>
      <x:c r="K208" s="289"/>
      <x:c r="L208" s="289"/>
      <x:c r="M208" s="289" t="n">
        <x:v>6073</x:v>
      </x:c>
      <x:c r="N208" s="289" t="n">
        <x:v>6073</x:v>
      </x:c>
      <x:c r="O208" s="289" t="n">
        <x:v>6073</x:v>
      </x:c>
      <x:c r="P208" s="292"/>
      <x:c r="Q208" s="292" t="str">
        <x:v>原九部位资源库已登记</x:v>
      </x:c>
      <x:c r="R208" s="292" t="str"/>
      <x:c r="S208" s="292" t="str">
        <x:v>装备素材套装代码表.xlsx（原九部位）</x:v>
      </x:c>
      <x:c r="T208" s="292" t="str">
        <x:v>同一代码用于 Items / StateItem / DnItems；属性与掉落另表定义。</x:v>
      </x:c>
      <x:c r="U208" t="str">
        <x:f>IF(COUNTIF($B$2:$B$1076,B208)&gt;1,"重复","")</x:f>
      </x:c>
      <x:c r="V208" t="str">
        <x:f>IF(AND(OR(M208="",M208=B208),OR(N208="",N208=B208),OR(O208="",O208=B208)),"通过","不一致")</x:f>
        <x:v>通过</x:v>
      </x:c>
    </x:row>
    <x:row r="209" ht="22" customHeight="1">
      <x:c r="A209" s="289" t="n">
        <x:v>208</x:v>
      </x:c>
      <x:c r="B209" s="289" t="n">
        <x:v>6074</x:v>
      </x:c>
      <x:c r="C209" s="290" t="str">
        <x:v>星渊龙息·霜翼</x:v>
      </x:c>
      <x:c r="D209" s="290" t="str">
        <x:v>星渊龙息</x:v>
      </x:c>
      <x:c r="E209" s="290" t="n">
        <x:v>4</x:v>
      </x:c>
      <x:c r="F209" s="290" t="str">
        <x:v>勋章</x:v>
      </x:c>
      <x:c r="G209" s="289"/>
      <x:c r="H209" s="289"/>
      <x:c r="I209" s="289" t="n">
        <x:v>6074</x:v>
      </x:c>
      <x:c r="J209" s="289"/>
      <x:c r="K209" s="289"/>
      <x:c r="L209" s="289"/>
      <x:c r="M209" s="289" t="n">
        <x:v>6074</x:v>
      </x:c>
      <x:c r="N209" s="289" t="n">
        <x:v>6074</x:v>
      </x:c>
      <x:c r="O209" s="289" t="n">
        <x:v>6074</x:v>
      </x:c>
      <x:c r="P209" s="292"/>
      <x:c r="Q209" s="292" t="str">
        <x:v>原九部位资源库已登记</x:v>
      </x:c>
      <x:c r="R209" s="292" t="str"/>
      <x:c r="S209" s="292" t="str">
        <x:v>装备素材套装代码表.xlsx（原九部位）</x:v>
      </x:c>
      <x:c r="T209" s="292" t="str">
        <x:v>同一代码用于 Items / StateItem / DnItems；属性与掉落另表定义。</x:v>
      </x:c>
      <x:c r="U209" t="str">
        <x:f>IF(COUNTIF($B$2:$B$1076,B209)&gt;1,"重复","")</x:f>
      </x:c>
      <x:c r="V209" t="str">
        <x:f>IF(AND(OR(M209="",M209=B209),OR(N209="",N209=B209),OR(O209="",O209=B209)),"通过","不一致")</x:f>
        <x:v>通过</x:v>
      </x:c>
    </x:row>
    <x:row r="210" ht="22" customHeight="1">
      <x:c r="A210" s="289" t="n">
        <x:v>209</x:v>
      </x:c>
      <x:c r="B210" s="289" t="n">
        <x:v>6075</x:v>
      </x:c>
      <x:c r="C210" s="290" t="str">
        <x:v>星渊龙息·霜翼</x:v>
      </x:c>
      <x:c r="D210" s="290" t="str">
        <x:v>星渊龙息</x:v>
      </x:c>
      <x:c r="E210" s="290" t="n">
        <x:v>4</x:v>
      </x:c>
      <x:c r="F210" s="290" t="str">
        <x:v>项链</x:v>
      </x:c>
      <x:c r="G210" s="289"/>
      <x:c r="H210" s="289"/>
      <x:c r="I210" s="289" t="n">
        <x:v>6075</x:v>
      </x:c>
      <x:c r="J210" s="289"/>
      <x:c r="K210" s="289"/>
      <x:c r="L210" s="289"/>
      <x:c r="M210" s="289" t="n">
        <x:v>6075</x:v>
      </x:c>
      <x:c r="N210" s="289" t="n">
        <x:v>6075</x:v>
      </x:c>
      <x:c r="O210" s="289" t="n">
        <x:v>6075</x:v>
      </x:c>
      <x:c r="P210" s="292"/>
      <x:c r="Q210" s="292" t="str">
        <x:v>原九部位资源库已登记</x:v>
      </x:c>
      <x:c r="R210" s="324" t="str">
        <x:v>C3-C10规划锁定：听金矿纹坠</x:v>
      </x:c>
      <x:c r="S210" s="292" t="str">
        <x:v>装备素材套装代码表.xlsx（原九部位）</x:v>
      </x:c>
      <x:c r="T210" s="292" t="str">
        <x:v>同一代码用于 Items / StateItem / DnItems；属性与掉落另表定义。</x:v>
      </x:c>
      <x:c r="U210" t="str">
        <x:f>IF(COUNTIF($B$2:$B$1076,B210)&gt;1,"重复","")</x:f>
      </x:c>
      <x:c r="V210" t="str">
        <x:f>IF(AND(OR(M210="",M210=B210),OR(N210="",N210=B210),OR(O210="",O210=B210)),"通过","不一致")</x:f>
        <x:v>通过</x:v>
      </x:c>
    </x:row>
    <x:row r="211" ht="22" customHeight="1">
      <x:c r="A211" s="289" t="n">
        <x:v>210</x:v>
      </x:c>
      <x:c r="B211" s="289" t="n">
        <x:v>6076</x:v>
      </x:c>
      <x:c r="C211" s="290" t="str">
        <x:v>星渊龙息·霜翼</x:v>
      </x:c>
      <x:c r="D211" s="290" t="str">
        <x:v>星渊龙息</x:v>
      </x:c>
      <x:c r="E211" s="290" t="n">
        <x:v>4</x:v>
      </x:c>
      <x:c r="F211" s="290" t="str">
        <x:v>头盔</x:v>
      </x:c>
      <x:c r="G211" s="289"/>
      <x:c r="H211" s="289"/>
      <x:c r="I211" s="289" t="n">
        <x:v>6076</x:v>
      </x:c>
      <x:c r="J211" s="289"/>
      <x:c r="K211" s="289"/>
      <x:c r="L211" s="289"/>
      <x:c r="M211" s="289" t="n">
        <x:v>6076</x:v>
      </x:c>
      <x:c r="N211" s="289" t="n">
        <x:v>6076</x:v>
      </x:c>
      <x:c r="O211" s="289" t="n">
        <x:v>6076</x:v>
      </x:c>
      <x:c r="P211" s="292"/>
      <x:c r="Q211" s="292" t="str">
        <x:v>原九部位资源库已登记</x:v>
      </x:c>
      <x:c r="R211" s="324" t="str">
        <x:v>C3-C10规划锁定：鸣管鳞盔</x:v>
      </x:c>
      <x:c r="S211" s="292" t="str">
        <x:v>装备素材套装代码表.xlsx（原九部位）</x:v>
      </x:c>
      <x:c r="T211" s="292" t="str">
        <x:v>同一代码用于 Items / StateItem / DnItems；属性与掉落另表定义。</x:v>
      </x:c>
      <x:c r="U211" t="str">
        <x:f>IF(COUNTIF($B$2:$B$1076,B211)&gt;1,"重复","")</x:f>
      </x:c>
      <x:c r="V211" t="str">
        <x:f>IF(AND(OR(M211="",M211=B211),OR(N211="",N211=B211),OR(O211="",O211=B211)),"通过","不一致")</x:f>
        <x:v>通过</x:v>
      </x:c>
    </x:row>
    <x:row r="212" ht="22" customHeight="1">
      <x:c r="A212" s="289" t="n">
        <x:v>211</x:v>
      </x:c>
      <x:c r="B212" s="289" t="n">
        <x:v>6077</x:v>
      </x:c>
      <x:c r="C212" s="290" t="str">
        <x:v>星渊龙息·霜翼</x:v>
      </x:c>
      <x:c r="D212" s="290" t="str">
        <x:v>星渊龙息</x:v>
      </x:c>
      <x:c r="E212" s="290" t="n">
        <x:v>4</x:v>
      </x:c>
      <x:c r="F212" s="290" t="str">
        <x:v>手镯</x:v>
      </x:c>
      <x:c r="G212" s="289"/>
      <x:c r="H212" s="289"/>
      <x:c r="I212" s="289" t="n">
        <x:v>6077</x:v>
      </x:c>
      <x:c r="J212" s="289"/>
      <x:c r="K212" s="289"/>
      <x:c r="L212" s="289"/>
      <x:c r="M212" s="289" t="n">
        <x:v>6077</x:v>
      </x:c>
      <x:c r="N212" s="289" t="n">
        <x:v>6077</x:v>
      </x:c>
      <x:c r="O212" s="289" t="n">
        <x:v>6077</x:v>
      </x:c>
      <x:c r="P212" s="292"/>
      <x:c r="Q212" s="292" t="str">
        <x:v>原九部位资源库已登记</x:v>
      </x:c>
      <x:c r="R212" s="292" t="str"/>
      <x:c r="S212" s="292" t="str">
        <x:v>装备素材套装代码表.xlsx（原九部位）</x:v>
      </x:c>
      <x:c r="T212" s="292" t="str">
        <x:v>同一代码用于 Items / StateItem / DnItems；属性与掉落另表定义。</x:v>
      </x:c>
      <x:c r="U212" t="str">
        <x:f>IF(COUNTIF($B$2:$B$1076,B212)&gt;1,"重复","")</x:f>
      </x:c>
      <x:c r="V212" t="str">
        <x:f>IF(AND(OR(M212="",M212=B212),OR(N212="",N212=B212),OR(O212="",O212=B212)),"通过","不一致")</x:f>
        <x:v>通过</x:v>
      </x:c>
    </x:row>
    <x:row r="213" ht="22" customHeight="1">
      <x:c r="A213" s="289" t="n">
        <x:v>212</x:v>
      </x:c>
      <x:c r="B213" s="289" t="n">
        <x:v>6078</x:v>
      </x:c>
      <x:c r="C213" s="290" t="str">
        <x:v>星渊龙息·霜翼</x:v>
      </x:c>
      <x:c r="D213" s="290" t="str">
        <x:v>星渊龙息</x:v>
      </x:c>
      <x:c r="E213" s="290" t="n">
        <x:v>4</x:v>
      </x:c>
      <x:c r="F213" s="290" t="str">
        <x:v>戒指</x:v>
      </x:c>
      <x:c r="G213" s="289"/>
      <x:c r="H213" s="289"/>
      <x:c r="I213" s="289" t="n">
        <x:v>6078</x:v>
      </x:c>
      <x:c r="J213" s="289"/>
      <x:c r="K213" s="289"/>
      <x:c r="L213" s="289"/>
      <x:c r="M213" s="289" t="n">
        <x:v>6078</x:v>
      </x:c>
      <x:c r="N213" s="289" t="n">
        <x:v>6078</x:v>
      </x:c>
      <x:c r="O213" s="289" t="n">
        <x:v>6078</x:v>
      </x:c>
      <x:c r="P213" s="292"/>
      <x:c r="Q213" s="292" t="str">
        <x:v>原九部位资源库已登记</x:v>
      </x:c>
      <x:c r="R213" s="324" t="str">
        <x:v>C3-C10规划锁定：无烛哀誓戒</x:v>
      </x:c>
      <x:c r="S213" s="292" t="str">
        <x:v>装备素材套装代码表.xlsx（原九部位）</x:v>
      </x:c>
      <x:c r="T213" s="292" t="str">
        <x:v>同一代码用于 Items / StateItem / DnItems；属性与掉落另表定义。</x:v>
      </x:c>
      <x:c r="U213" t="str">
        <x:f>IF(COUNTIF($B$2:$B$1076,B213)&gt;1,"重复","")</x:f>
      </x:c>
      <x:c r="V213" t="str">
        <x:f>IF(AND(OR(M213="",M213=B213),OR(N213="",N213=B213),OR(O213="",O213=B213)),"通过","不一致")</x:f>
        <x:v>通过</x:v>
      </x:c>
    </x:row>
    <x:row r="214" ht="22" customHeight="1">
      <x:c r="A214" s="289" t="n">
        <x:v>213</x:v>
      </x:c>
      <x:c r="B214" s="289" t="n">
        <x:v>6079</x:v>
      </x:c>
      <x:c r="C214" s="290" t="str">
        <x:v>星渊龙息·霜翼</x:v>
      </x:c>
      <x:c r="D214" s="290" t="str">
        <x:v>星渊龙息</x:v>
      </x:c>
      <x:c r="E214" s="290" t="n">
        <x:v>4</x:v>
      </x:c>
      <x:c r="F214" s="290" t="str">
        <x:v>盾牌</x:v>
      </x:c>
      <x:c r="G214" s="289"/>
      <x:c r="H214" s="289"/>
      <x:c r="I214" s="289" t="n">
        <x:v>6079</x:v>
      </x:c>
      <x:c r="J214" s="289"/>
      <x:c r="K214" s="289"/>
      <x:c r="L214" s="289"/>
      <x:c r="M214" s="289" t="n">
        <x:v>6079</x:v>
      </x:c>
      <x:c r="N214" s="289" t="n">
        <x:v>6079</x:v>
      </x:c>
      <x:c r="O214" s="289" t="n">
        <x:v>6079</x:v>
      </x:c>
      <x:c r="P214" s="292"/>
      <x:c r="Q214" s="292" t="str">
        <x:v>原九部位资源库已登记</x:v>
      </x:c>
      <x:c r="R214" s="292" t="str"/>
      <x:c r="S214" s="292" t="str">
        <x:v>装备素材套装代码表.xlsx（原九部位）</x:v>
      </x:c>
      <x:c r="T214" s="292" t="str">
        <x:v>同一代码用于 Items / StateItem / DnItems；属性与掉落另表定义。</x:v>
      </x:c>
      <x:c r="U214" t="str">
        <x:f>IF(COUNTIF($B$2:$B$1076,B214)&gt;1,"重复","")</x:f>
      </x:c>
      <x:c r="V214" t="str">
        <x:f>IF(AND(OR(M214="",M214=B214),OR(N214="",N214=B214),OR(O214="",O214=B214)),"通过","不一致")</x:f>
        <x:v>通过</x:v>
      </x:c>
    </x:row>
    <x:row r="215" ht="22" customHeight="1">
      <x:c r="A215" s="289" t="n">
        <x:v>214</x:v>
      </x:c>
      <x:c r="B215" s="289" t="n">
        <x:v>6080</x:v>
      </x:c>
      <x:c r="C215" s="290" t="str">
        <x:v>星渊龙息·霜翼</x:v>
      </x:c>
      <x:c r="D215" s="290" t="str">
        <x:v>星渊龙息</x:v>
      </x:c>
      <x:c r="E215" s="290" t="n">
        <x:v>4</x:v>
      </x:c>
      <x:c r="F215" s="290" t="str">
        <x:v>灵玉</x:v>
      </x:c>
      <x:c r="G215" s="289"/>
      <x:c r="H215" s="289"/>
      <x:c r="I215" s="289" t="n">
        <x:v>6080</x:v>
      </x:c>
      <x:c r="J215" s="289"/>
      <x:c r="K215" s="289"/>
      <x:c r="L215" s="289"/>
      <x:c r="M215" s="289" t="n">
        <x:v>6080</x:v>
      </x:c>
      <x:c r="N215" s="289" t="n">
        <x:v>6080</x:v>
      </x:c>
      <x:c r="O215" s="289" t="n">
        <x:v>6080</x:v>
      </x:c>
      <x:c r="P215" s="292"/>
      <x:c r="Q215" s="292" t="str">
        <x:v>原九部位资源库已登记</x:v>
      </x:c>
      <x:c r="R215" s="292" t="str"/>
      <x:c r="S215" s="292" t="str">
        <x:v>装备素材套装代码表.xlsx（原九部位）</x:v>
      </x:c>
      <x:c r="T215" s="292" t="str">
        <x:v>同一代码用于 Items / StateItem / DnItems；属性与掉落另表定义。</x:v>
      </x:c>
      <x:c r="U215" t="str">
        <x:f>IF(COUNTIF($B$2:$B$1076,B215)&gt;1,"重复","")</x:f>
      </x:c>
      <x:c r="V215" t="str">
        <x:f>IF(AND(OR(M215="",M215=B215),OR(N215="",N215=B215),OR(O215="",O215=B215)),"通过","不一致")</x:f>
        <x:v>通过</x:v>
      </x:c>
    </x:row>
    <x:row r="216" ht="22" customHeight="1">
      <x:c r="A216" s="289" t="n">
        <x:v>215</x:v>
      </x:c>
      <x:c r="B216" s="289" t="n">
        <x:v>6081</x:v>
      </x:c>
      <x:c r="C216" s="290" t="str">
        <x:v>星渊龙息·霜翼</x:v>
      </x:c>
      <x:c r="D216" s="290" t="str">
        <x:v>星渊龙息</x:v>
      </x:c>
      <x:c r="E216" s="290" t="n">
        <x:v>4</x:v>
      </x:c>
      <x:c r="F216" s="290" t="str">
        <x:v>鞋子</x:v>
      </x:c>
      <x:c r="G216" s="289"/>
      <x:c r="H216" s="289"/>
      <x:c r="I216" s="289" t="n">
        <x:v>6081</x:v>
      </x:c>
      <x:c r="J216" s="289"/>
      <x:c r="K216" s="289"/>
      <x:c r="L216" s="289"/>
      <x:c r="M216" s="289" t="n">
        <x:v>6081</x:v>
      </x:c>
      <x:c r="N216" s="289" t="n">
        <x:v>6081</x:v>
      </x:c>
      <x:c r="O216" s="289" t="n">
        <x:v>6081</x:v>
      </x:c>
      <x:c r="P216" s="292"/>
      <x:c r="Q216" s="292" t="str">
        <x:v>原九部位资源库已登记</x:v>
      </x:c>
      <x:c r="R216" s="292" t="str"/>
      <x:c r="S216" s="292" t="str">
        <x:v>装备素材套装代码表.xlsx（原九部位）</x:v>
      </x:c>
      <x:c r="T216" s="292" t="str">
        <x:v>同一代码用于 Items / StateItem / DnItems；属性与掉落另表定义。</x:v>
      </x:c>
      <x:c r="U216" t="str">
        <x:f>IF(COUNTIF($B$2:$B$1076,B216)&gt;1,"重复","")</x:f>
      </x:c>
      <x:c r="V216" t="str">
        <x:f>IF(AND(OR(M216="",M216=B216),OR(N216="",N216=B216),OR(O216="",O216=B216)),"通过","不一致")</x:f>
        <x:v>通过</x:v>
      </x:c>
    </x:row>
    <x:row r="217" ht="22" customHeight="1">
      <x:c r="A217" s="289" t="n">
        <x:v>216</x:v>
      </x:c>
      <x:c r="B217" s="289" t="n">
        <x:v>6082</x:v>
      </x:c>
      <x:c r="C217" s="290" t="str">
        <x:v>星渊龙息·霜翼</x:v>
      </x:c>
      <x:c r="D217" s="290" t="str">
        <x:v>星渊龙息</x:v>
      </x:c>
      <x:c r="E217" s="290" t="n">
        <x:v>4</x:v>
      </x:c>
      <x:c r="F217" s="290" t="str">
        <x:v>腰带</x:v>
      </x:c>
      <x:c r="G217" s="289"/>
      <x:c r="H217" s="289"/>
      <x:c r="I217" s="289" t="n">
        <x:v>6082</x:v>
      </x:c>
      <x:c r="J217" s="289"/>
      <x:c r="K217" s="289"/>
      <x:c r="L217" s="289"/>
      <x:c r="M217" s="289" t="n">
        <x:v>6082</x:v>
      </x:c>
      <x:c r="N217" s="289" t="n">
        <x:v>6082</x:v>
      </x:c>
      <x:c r="O217" s="289" t="n">
        <x:v>6082</x:v>
      </x:c>
      <x:c r="P217" s="292"/>
      <x:c r="Q217" s="292" t="str">
        <x:v>原九部位资源库已登记</x:v>
      </x:c>
      <x:c r="R217" s="292" t="str"/>
      <x:c r="S217" s="292" t="str">
        <x:v>装备素材套装代码表.xlsx（原九部位）</x:v>
      </x:c>
      <x:c r="T217" s="292" t="str">
        <x:v>同一代码用于 Items / StateItem / DnItems；属性与掉落另表定义。</x:v>
      </x:c>
      <x:c r="U217" t="str">
        <x:f>IF(COUNTIF($B$2:$B$1076,B217)&gt;1,"重复","")</x:f>
      </x:c>
      <x:c r="V217" t="str">
        <x:f>IF(AND(OR(M217="",M217=B217),OR(N217="",N217=B217),OR(O217="",O217=B217)),"通过","不一致")</x:f>
        <x:v>通过</x:v>
      </x:c>
    </x:row>
    <x:row r="218" ht="22" customHeight="1">
      <x:c r="A218" s="289" t="n">
        <x:v>217</x:v>
      </x:c>
      <x:c r="B218" s="289" t="n">
        <x:v>6083</x:v>
      </x:c>
      <x:c r="C218" s="290" t="str">
        <x:v>星渊龙息·渊潮</x:v>
      </x:c>
      <x:c r="D218" s="290" t="str">
        <x:v>星渊龙息</x:v>
      </x:c>
      <x:c r="E218" s="290" t="n">
        <x:v>5</x:v>
      </x:c>
      <x:c r="F218" s="290" t="str">
        <x:v>勋章</x:v>
      </x:c>
      <x:c r="G218" s="289"/>
      <x:c r="H218" s="289"/>
      <x:c r="I218" s="289" t="n">
        <x:v>6083</x:v>
      </x:c>
      <x:c r="J218" s="289"/>
      <x:c r="K218" s="289"/>
      <x:c r="L218" s="289"/>
      <x:c r="M218" s="289" t="n">
        <x:v>6083</x:v>
      </x:c>
      <x:c r="N218" s="289" t="n">
        <x:v>6083</x:v>
      </x:c>
      <x:c r="O218" s="289" t="n">
        <x:v>6083</x:v>
      </x:c>
      <x:c r="P218" s="292"/>
      <x:c r="Q218" s="292" t="str">
        <x:v>原九部位资源库已登记</x:v>
      </x:c>
      <x:c r="R218" s="292" t="str"/>
      <x:c r="S218" s="292" t="str">
        <x:v>装备素材套装代码表.xlsx（原九部位）</x:v>
      </x:c>
      <x:c r="T218" s="292" t="str">
        <x:v>同一代码用于 Items / StateItem / DnItems；属性与掉落另表定义。</x:v>
      </x:c>
      <x:c r="U218" t="str">
        <x:f>IF(COUNTIF($B$2:$B$1076,B218)&gt;1,"重复","")</x:f>
      </x:c>
      <x:c r="V218" t="str">
        <x:f>IF(AND(OR(M218="",M218=B218),OR(N218="",N218=B218),OR(O218="",O218=B218)),"通过","不一致")</x:f>
        <x:v>通过</x:v>
      </x:c>
    </x:row>
    <x:row r="219" ht="22" customHeight="1">
      <x:c r="A219" s="289" t="n">
        <x:v>218</x:v>
      </x:c>
      <x:c r="B219" s="289" t="n">
        <x:v>6084</x:v>
      </x:c>
      <x:c r="C219" s="290" t="str">
        <x:v>星渊龙息·渊潮</x:v>
      </x:c>
      <x:c r="D219" s="290" t="str">
        <x:v>星渊龙息</x:v>
      </x:c>
      <x:c r="E219" s="290" t="n">
        <x:v>5</x:v>
      </x:c>
      <x:c r="F219" s="290" t="str">
        <x:v>项链</x:v>
      </x:c>
      <x:c r="G219" s="289"/>
      <x:c r="H219" s="289"/>
      <x:c r="I219" s="289" t="n">
        <x:v>6084</x:v>
      </x:c>
      <x:c r="J219" s="289"/>
      <x:c r="K219" s="289"/>
      <x:c r="L219" s="289"/>
      <x:c r="M219" s="289" t="n">
        <x:v>6084</x:v>
      </x:c>
      <x:c r="N219" s="289" t="n">
        <x:v>6084</x:v>
      </x:c>
      <x:c r="O219" s="289" t="n">
        <x:v>6084</x:v>
      </x:c>
      <x:c r="P219" s="292"/>
      <x:c r="Q219" s="292" t="str">
        <x:v>原九部位资源库已登记</x:v>
      </x:c>
      <x:c r="R219" s="324" t="str">
        <x:v>C3-C10规划锁定：噤歌幽绡坠</x:v>
      </x:c>
      <x:c r="S219" s="292" t="str">
        <x:v>装备素材套装代码表.xlsx（原九部位）</x:v>
      </x:c>
      <x:c r="T219" s="292" t="str">
        <x:v>同一代码用于 Items / StateItem / DnItems；属性与掉落另表定义。</x:v>
      </x:c>
      <x:c r="U219" t="str">
        <x:f>IF(COUNTIF($B$2:$B$1076,B219)&gt;1,"重复","")</x:f>
      </x:c>
      <x:c r="V219" t="str">
        <x:f>IF(AND(OR(M219="",M219=B219),OR(N219="",N219=B219),OR(O219="",O219=B219)),"通过","不一致")</x:f>
        <x:v>通过</x:v>
      </x:c>
    </x:row>
    <x:row r="220" ht="22" customHeight="1">
      <x:c r="A220" s="289" t="n">
        <x:v>219</x:v>
      </x:c>
      <x:c r="B220" s="289" t="n">
        <x:v>6085</x:v>
      </x:c>
      <x:c r="C220" s="290" t="str">
        <x:v>星渊龙息·渊潮</x:v>
      </x:c>
      <x:c r="D220" s="290" t="str">
        <x:v>星渊龙息</x:v>
      </x:c>
      <x:c r="E220" s="290" t="n">
        <x:v>5</x:v>
      </x:c>
      <x:c r="F220" s="290" t="str">
        <x:v>头盔</x:v>
      </x:c>
      <x:c r="G220" s="289"/>
      <x:c r="H220" s="289"/>
      <x:c r="I220" s="289" t="n">
        <x:v>6085</x:v>
      </x:c>
      <x:c r="J220" s="289"/>
      <x:c r="K220" s="289"/>
      <x:c r="L220" s="289"/>
      <x:c r="M220" s="289" t="n">
        <x:v>6085</x:v>
      </x:c>
      <x:c r="N220" s="289" t="n">
        <x:v>6085</x:v>
      </x:c>
      <x:c r="O220" s="289" t="n">
        <x:v>6085</x:v>
      </x:c>
      <x:c r="P220" s="292"/>
      <x:c r="Q220" s="292" t="str">
        <x:v>原九部位资源库已登记</x:v>
      </x:c>
      <x:c r="R220" s="324" t="str">
        <x:v>C3-C10规划锁定：铲痕护矿盔</x:v>
      </x:c>
      <x:c r="S220" s="292" t="str">
        <x:v>装备素材套装代码表.xlsx（原九部位）</x:v>
      </x:c>
      <x:c r="T220" s="292" t="str">
        <x:v>同一代码用于 Items / StateItem / DnItems；属性与掉落另表定义。</x:v>
      </x:c>
      <x:c r="U220" t="str">
        <x:f>IF(COUNTIF($B$2:$B$1076,B220)&gt;1,"重复","")</x:f>
      </x:c>
      <x:c r="V220" t="str">
        <x:f>IF(AND(OR(M220="",M220=B220),OR(N220="",N220=B220),OR(O220="",O220=B220)),"通过","不一致")</x:f>
        <x:v>通过</x:v>
      </x:c>
    </x:row>
    <x:row r="221" ht="22" customHeight="1">
      <x:c r="A221" s="289" t="n">
        <x:v>220</x:v>
      </x:c>
      <x:c r="B221" s="289" t="n">
        <x:v>6086</x:v>
      </x:c>
      <x:c r="C221" s="290" t="str">
        <x:v>星渊龙息·渊潮</x:v>
      </x:c>
      <x:c r="D221" s="290" t="str">
        <x:v>星渊龙息</x:v>
      </x:c>
      <x:c r="E221" s="290" t="n">
        <x:v>5</x:v>
      </x:c>
      <x:c r="F221" s="290" t="str">
        <x:v>手镯</x:v>
      </x:c>
      <x:c r="G221" s="289"/>
      <x:c r="H221" s="289"/>
      <x:c r="I221" s="289" t="n">
        <x:v>6086</x:v>
      </x:c>
      <x:c r="J221" s="289"/>
      <x:c r="K221" s="289"/>
      <x:c r="L221" s="289"/>
      <x:c r="M221" s="289" t="n">
        <x:v>6086</x:v>
      </x:c>
      <x:c r="N221" s="289" t="n">
        <x:v>6086</x:v>
      </x:c>
      <x:c r="O221" s="289" t="n">
        <x:v>6086</x:v>
      </x:c>
      <x:c r="P221" s="292"/>
      <x:c r="Q221" s="292" t="str">
        <x:v>原九部位资源库已登记</x:v>
      </x:c>
      <x:c r="R221" s="292" t="str"/>
      <x:c r="S221" s="292" t="str">
        <x:v>装备素材套装代码表.xlsx（原九部位）</x:v>
      </x:c>
      <x:c r="T221" s="292" t="str">
        <x:v>同一代码用于 Items / StateItem / DnItems；属性与掉落另表定义。</x:v>
      </x:c>
      <x:c r="U221" t="str">
        <x:f>IF(COUNTIF($B$2:$B$1076,B221)&gt;1,"重复","")</x:f>
      </x:c>
      <x:c r="V221" t="str">
        <x:f>IF(AND(OR(M221="",M221=B221),OR(N221="",N221=B221),OR(O221="",O221=B221)),"通过","不一致")</x:f>
        <x:v>通过</x:v>
      </x:c>
    </x:row>
    <x:row r="222" ht="22" customHeight="1">
      <x:c r="A222" s="289" t="n">
        <x:v>221</x:v>
      </x:c>
      <x:c r="B222" s="289" t="n">
        <x:v>6087</x:v>
      </x:c>
      <x:c r="C222" s="290" t="str">
        <x:v>星渊龙息·渊潮</x:v>
      </x:c>
      <x:c r="D222" s="290" t="str">
        <x:v>星渊龙息</x:v>
      </x:c>
      <x:c r="E222" s="290" t="n">
        <x:v>5</x:v>
      </x:c>
      <x:c r="F222" s="290" t="str">
        <x:v>戒指</x:v>
      </x:c>
      <x:c r="G222" s="289"/>
      <x:c r="H222" s="289"/>
      <x:c r="I222" s="289" t="n">
        <x:v>6087</x:v>
      </x:c>
      <x:c r="J222" s="289"/>
      <x:c r="K222" s="289"/>
      <x:c r="L222" s="289"/>
      <x:c r="M222" s="289" t="n">
        <x:v>6087</x:v>
      </x:c>
      <x:c r="N222" s="289" t="n">
        <x:v>6087</x:v>
      </x:c>
      <x:c r="O222" s="289" t="n">
        <x:v>6087</x:v>
      </x:c>
      <x:c r="P222" s="292"/>
      <x:c r="Q222" s="292" t="str">
        <x:v>原九部位资源库已登记</x:v>
      </x:c>
      <x:c r="R222" s="324" t="str">
        <x:v>C3-C10规划锁定：缄律书记戒</x:v>
      </x:c>
      <x:c r="S222" s="292" t="str">
        <x:v>装备素材套装代码表.xlsx（原九部位）</x:v>
      </x:c>
      <x:c r="T222" s="292" t="str">
        <x:v>同一代码用于 Items / StateItem / DnItems；属性与掉落另表定义。</x:v>
      </x:c>
      <x:c r="U222" t="str">
        <x:f>IF(COUNTIF($B$2:$B$1076,B222)&gt;1,"重复","")</x:f>
      </x:c>
      <x:c r="V222" t="str">
        <x:f>IF(AND(OR(M222="",M222=B222),OR(N222="",N222=B222),OR(O222="",O222=B222)),"通过","不一致")</x:f>
        <x:v>通过</x:v>
      </x:c>
    </x:row>
    <x:row r="223" ht="22" customHeight="1">
      <x:c r="A223" s="289" t="n">
        <x:v>222</x:v>
      </x:c>
      <x:c r="B223" s="289" t="n">
        <x:v>6088</x:v>
      </x:c>
      <x:c r="C223" s="290" t="str">
        <x:v>星渊龙息·渊潮</x:v>
      </x:c>
      <x:c r="D223" s="290" t="str">
        <x:v>星渊龙息</x:v>
      </x:c>
      <x:c r="E223" s="290" t="n">
        <x:v>5</x:v>
      </x:c>
      <x:c r="F223" s="290" t="str">
        <x:v>盾牌</x:v>
      </x:c>
      <x:c r="G223" s="289"/>
      <x:c r="H223" s="289"/>
      <x:c r="I223" s="289" t="n">
        <x:v>6088</x:v>
      </x:c>
      <x:c r="J223" s="289"/>
      <x:c r="K223" s="289"/>
      <x:c r="L223" s="289"/>
      <x:c r="M223" s="289" t="n">
        <x:v>6088</x:v>
      </x:c>
      <x:c r="N223" s="289" t="n">
        <x:v>6088</x:v>
      </x:c>
      <x:c r="O223" s="289" t="n">
        <x:v>6088</x:v>
      </x:c>
      <x:c r="P223" s="292"/>
      <x:c r="Q223" s="292" t="str">
        <x:v>原九部位资源库已登记</x:v>
      </x:c>
      <x:c r="R223" s="292" t="str"/>
      <x:c r="S223" s="292" t="str">
        <x:v>装备素材套装代码表.xlsx（原九部位）</x:v>
      </x:c>
      <x:c r="T223" s="292" t="str">
        <x:v>同一代码用于 Items / StateItem / DnItems；属性与掉落另表定义。</x:v>
      </x:c>
      <x:c r="U223" t="str">
        <x:f>IF(COUNTIF($B$2:$B$1076,B223)&gt;1,"重复","")</x:f>
      </x:c>
      <x:c r="V223" t="str">
        <x:f>IF(AND(OR(M223="",M223=B223),OR(N223="",N223=B223),OR(O223="",O223=B223)),"通过","不一致")</x:f>
        <x:v>通过</x:v>
      </x:c>
    </x:row>
    <x:row r="224" ht="22" customHeight="1">
      <x:c r="A224" s="289" t="n">
        <x:v>223</x:v>
      </x:c>
      <x:c r="B224" s="289" t="n">
        <x:v>6089</x:v>
      </x:c>
      <x:c r="C224" s="290" t="str">
        <x:v>星渊龙息·渊潮</x:v>
      </x:c>
      <x:c r="D224" s="290" t="str">
        <x:v>星渊龙息</x:v>
      </x:c>
      <x:c r="E224" s="290" t="n">
        <x:v>5</x:v>
      </x:c>
      <x:c r="F224" s="290" t="str">
        <x:v>灵玉</x:v>
      </x:c>
      <x:c r="G224" s="289"/>
      <x:c r="H224" s="289"/>
      <x:c r="I224" s="289" t="n">
        <x:v>6089</x:v>
      </x:c>
      <x:c r="J224" s="289"/>
      <x:c r="K224" s="289"/>
      <x:c r="L224" s="289"/>
      <x:c r="M224" s="289" t="n">
        <x:v>6089</x:v>
      </x:c>
      <x:c r="N224" s="289" t="n">
        <x:v>6089</x:v>
      </x:c>
      <x:c r="O224" s="289" t="n">
        <x:v>6089</x:v>
      </x:c>
      <x:c r="P224" s="292"/>
      <x:c r="Q224" s="292" t="str">
        <x:v>原九部位资源库已登记</x:v>
      </x:c>
      <x:c r="R224" s="322" t="str">
        <x:v>C1/C2现用：拉卡德的大卢恩</x:v>
      </x:c>
      <x:c r="S224" s="292" t="str">
        <x:v>装备素材套装代码表.xlsx（原九部位）</x:v>
      </x:c>
      <x:c r="T224" s="292" t="str">
        <x:v>同一代码用于 Items / StateItem / DnItems；属性与掉落另表定义。</x:v>
      </x:c>
      <x:c r="U224" t="str">
        <x:f>IF(COUNTIF($B$2:$B$1076,B224)&gt;1,"重复","")</x:f>
      </x:c>
      <x:c r="V224" t="str">
        <x:f>IF(AND(OR(M224="",M224=B224),OR(N224="",N224=B224),OR(O224="",O224=B224)),"通过","不一致")</x:f>
        <x:v>通过</x:v>
      </x:c>
    </x:row>
    <x:row r="225" ht="22" customHeight="1">
      <x:c r="A225" s="289" t="n">
        <x:v>224</x:v>
      </x:c>
      <x:c r="B225" s="289" t="n">
        <x:v>6090</x:v>
      </x:c>
      <x:c r="C225" s="290" t="str">
        <x:v>星渊龙息·渊潮</x:v>
      </x:c>
      <x:c r="D225" s="290" t="str">
        <x:v>星渊龙息</x:v>
      </x:c>
      <x:c r="E225" s="290" t="n">
        <x:v>5</x:v>
      </x:c>
      <x:c r="F225" s="290" t="str">
        <x:v>鞋子</x:v>
      </x:c>
      <x:c r="G225" s="289"/>
      <x:c r="H225" s="289"/>
      <x:c r="I225" s="289" t="n">
        <x:v>6090</x:v>
      </x:c>
      <x:c r="J225" s="289"/>
      <x:c r="K225" s="289"/>
      <x:c r="L225" s="289"/>
      <x:c r="M225" s="289" t="n">
        <x:v>6090</x:v>
      </x:c>
      <x:c r="N225" s="289" t="n">
        <x:v>6090</x:v>
      </x:c>
      <x:c r="O225" s="289" t="n">
        <x:v>6090</x:v>
      </x:c>
      <x:c r="P225" s="292"/>
      <x:c r="Q225" s="292" t="str">
        <x:v>原九部位资源库已登记</x:v>
      </x:c>
      <x:c r="R225" s="322" t="str">
        <x:v>C1/C2现用：熊王战靴</x:v>
      </x:c>
      <x:c r="S225" s="292" t="str">
        <x:v>装备素材套装代码表.xlsx（原九部位）</x:v>
      </x:c>
      <x:c r="T225" s="292" t="str">
        <x:v>同一代码用于 Items / StateItem / DnItems；属性与掉落另表定义。</x:v>
      </x:c>
      <x:c r="U225" t="str">
        <x:f>IF(COUNTIF($B$2:$B$1076,B225)&gt;1,"重复","")</x:f>
      </x:c>
      <x:c r="V225" t="str">
        <x:f>IF(AND(OR(M225="",M225=B225),OR(N225="",N225=B225),OR(O225="",O225=B225)),"通过","不一致")</x:f>
        <x:v>通过</x:v>
      </x:c>
    </x:row>
    <x:row r="226" ht="22" customHeight="1">
      <x:c r="A226" s="289" t="n">
        <x:v>225</x:v>
      </x:c>
      <x:c r="B226" s="289" t="n">
        <x:v>6091</x:v>
      </x:c>
      <x:c r="C226" s="290" t="str">
        <x:v>星渊龙息·渊潮</x:v>
      </x:c>
      <x:c r="D226" s="290" t="str">
        <x:v>星渊龙息</x:v>
      </x:c>
      <x:c r="E226" s="290" t="n">
        <x:v>5</x:v>
      </x:c>
      <x:c r="F226" s="290" t="str">
        <x:v>腰带</x:v>
      </x:c>
      <x:c r="G226" s="289"/>
      <x:c r="H226" s="289"/>
      <x:c r="I226" s="289" t="n">
        <x:v>6091</x:v>
      </x:c>
      <x:c r="J226" s="289"/>
      <x:c r="K226" s="289"/>
      <x:c r="L226" s="289"/>
      <x:c r="M226" s="289" t="n">
        <x:v>6091</x:v>
      </x:c>
      <x:c r="N226" s="289" t="n">
        <x:v>6091</x:v>
      </x:c>
      <x:c r="O226" s="289" t="n">
        <x:v>6091</x:v>
      </x:c>
      <x:c r="P226" s="292"/>
      <x:c r="Q226" s="292" t="str">
        <x:v>原九部位资源库已登记</x:v>
      </x:c>
      <x:c r="R226" s="292" t="str"/>
      <x:c r="S226" s="292" t="str">
        <x:v>装备素材套装代码表.xlsx（原九部位）</x:v>
      </x:c>
      <x:c r="T226" s="292" t="str">
        <x:v>同一代码用于 Items / StateItem / DnItems；属性与掉落另表定义。</x:v>
      </x:c>
      <x:c r="U226" t="str">
        <x:f>IF(COUNTIF($B$2:$B$1076,B226)&gt;1,"重复","")</x:f>
      </x:c>
      <x:c r="V226" t="str">
        <x:f>IF(AND(OR(M226="",M226=B226),OR(N226="",N226=B226),OR(O226="",O226=B226)),"通过","不一致")</x:f>
        <x:v>通过</x:v>
      </x:c>
    </x:row>
    <x:row r="227" ht="22" customHeight="1">
      <x:c r="A227" s="289" t="n">
        <x:v>226</x:v>
      </x:c>
      <x:c r="B227" s="289" t="n">
        <x:v>6092</x:v>
      </x:c>
      <x:c r="C227" s="290" t="str">
        <x:v>星渊龙息·苍穹</x:v>
      </x:c>
      <x:c r="D227" s="290" t="str">
        <x:v>星渊龙息</x:v>
      </x:c>
      <x:c r="E227" s="290" t="n">
        <x:v>6</x:v>
      </x:c>
      <x:c r="F227" s="290" t="str">
        <x:v>勋章</x:v>
      </x:c>
      <x:c r="G227" s="289"/>
      <x:c r="H227" s="289"/>
      <x:c r="I227" s="289" t="n">
        <x:v>6092</x:v>
      </x:c>
      <x:c r="J227" s="289"/>
      <x:c r="K227" s="289"/>
      <x:c r="L227" s="289"/>
      <x:c r="M227" s="289" t="n">
        <x:v>6092</x:v>
      </x:c>
      <x:c r="N227" s="289" t="n">
        <x:v>6092</x:v>
      </x:c>
      <x:c r="O227" s="289" t="n">
        <x:v>6092</x:v>
      </x:c>
      <x:c r="P227" s="292"/>
      <x:c r="Q227" s="292" t="str">
        <x:v>原九部位资源库已登记</x:v>
      </x:c>
      <x:c r="R227" s="322" t="str">
        <x:v>C1/C2现用：风暴勋章</x:v>
      </x:c>
      <x:c r="S227" s="292" t="str">
        <x:v>装备素材套装代码表.xlsx（原九部位）</x:v>
      </x:c>
      <x:c r="T227" s="292" t="str">
        <x:v>同一代码用于 Items / StateItem / DnItems；属性与掉落另表定义。</x:v>
      </x:c>
      <x:c r="U227" t="str">
        <x:f>IF(COUNTIF($B$2:$B$1076,B227)&gt;1,"重复","")</x:f>
      </x:c>
      <x:c r="V227" t="str">
        <x:f>IF(AND(OR(M227="",M227=B227),OR(N227="",N227=B227),OR(O227="",O227=B227)),"通过","不一致")</x:f>
        <x:v>通过</x:v>
      </x:c>
    </x:row>
    <x:row r="228" ht="22" customHeight="1">
      <x:c r="A228" s="289" t="n">
        <x:v>227</x:v>
      </x:c>
      <x:c r="B228" s="289" t="n">
        <x:v>6093</x:v>
      </x:c>
      <x:c r="C228" s="290" t="str">
        <x:v>星渊龙息·苍穹</x:v>
      </x:c>
      <x:c r="D228" s="290" t="str">
        <x:v>星渊龙息</x:v>
      </x:c>
      <x:c r="E228" s="290" t="n">
        <x:v>6</x:v>
      </x:c>
      <x:c r="F228" s="290" t="str">
        <x:v>项链</x:v>
      </x:c>
      <x:c r="G228" s="289"/>
      <x:c r="H228" s="289"/>
      <x:c r="I228" s="289" t="n">
        <x:v>6093</x:v>
      </x:c>
      <x:c r="J228" s="289"/>
      <x:c r="K228" s="289"/>
      <x:c r="L228" s="289"/>
      <x:c r="M228" s="289" t="n">
        <x:v>6093</x:v>
      </x:c>
      <x:c r="N228" s="289" t="n">
        <x:v>6093</x:v>
      </x:c>
      <x:c r="O228" s="289" t="n">
        <x:v>6093</x:v>
      </x:c>
      <x:c r="P228" s="292"/>
      <x:c r="Q228" s="292" t="str">
        <x:v>原九部位资源库已登记</x:v>
      </x:c>
      <x:c r="R228" s="322" t="str">
        <x:v>C1/C2现用：鹰眼链</x:v>
      </x:c>
      <x:c r="S228" s="292" t="str">
        <x:v>装备素材套装代码表.xlsx（原九部位）</x:v>
      </x:c>
      <x:c r="T228" s="292" t="str">
        <x:v>同一代码用于 Items / StateItem / DnItems；属性与掉落另表定义。</x:v>
      </x:c>
      <x:c r="U228" t="str">
        <x:f>IF(COUNTIF($B$2:$B$1076,B228)&gt;1,"重复","")</x:f>
      </x:c>
      <x:c r="V228" t="str">
        <x:f>IF(AND(OR(M228="",M228=B228),OR(N228="",N228=B228),OR(O228="",O228=B228)),"通过","不一致")</x:f>
        <x:v>通过</x:v>
      </x:c>
    </x:row>
    <x:row r="229" ht="22" customHeight="1">
      <x:c r="A229" s="289" t="n">
        <x:v>228</x:v>
      </x:c>
      <x:c r="B229" s="289" t="n">
        <x:v>6094</x:v>
      </x:c>
      <x:c r="C229" s="290" t="str">
        <x:v>星渊龙息·苍穹</x:v>
      </x:c>
      <x:c r="D229" s="290" t="str">
        <x:v>星渊龙息</x:v>
      </x:c>
      <x:c r="E229" s="290" t="n">
        <x:v>6</x:v>
      </x:c>
      <x:c r="F229" s="290" t="str">
        <x:v>头盔</x:v>
      </x:c>
      <x:c r="G229" s="289"/>
      <x:c r="H229" s="289"/>
      <x:c r="I229" s="289" t="n">
        <x:v>6094</x:v>
      </x:c>
      <x:c r="J229" s="289"/>
      <x:c r="K229" s="289"/>
      <x:c r="L229" s="289"/>
      <x:c r="M229" s="289" t="n">
        <x:v>6094</x:v>
      </x:c>
      <x:c r="N229" s="289" t="n">
        <x:v>6094</x:v>
      </x:c>
      <x:c r="O229" s="289" t="n">
        <x:v>6094</x:v>
      </x:c>
      <x:c r="P229" s="292"/>
      <x:c r="Q229" s="292" t="str">
        <x:v>原九部位资源库已登记</x:v>
      </x:c>
      <x:c r="R229" s="322" t="str">
        <x:v>C1/C2现用：风蚀盔</x:v>
      </x:c>
      <x:c r="S229" s="292" t="str">
        <x:v>装备素材套装代码表.xlsx（原九部位）</x:v>
      </x:c>
      <x:c r="T229" s="292" t="str">
        <x:v>同一代码用于 Items / StateItem / DnItems；属性与掉落另表定义。</x:v>
      </x:c>
      <x:c r="U229" t="str">
        <x:f>IF(COUNTIF($B$2:$B$1076,B229)&gt;1,"重复","")</x:f>
      </x:c>
      <x:c r="V229" t="str">
        <x:f>IF(AND(OR(M229="",M229=B229),OR(N229="",N229=B229),OR(O229="",O229=B229)),"通过","不一致")</x:f>
        <x:v>通过</x:v>
      </x:c>
    </x:row>
    <x:row r="230" ht="22" customHeight="1">
      <x:c r="A230" s="289" t="n">
        <x:v>229</x:v>
      </x:c>
      <x:c r="B230" s="289" t="n">
        <x:v>6095</x:v>
      </x:c>
      <x:c r="C230" s="290" t="str">
        <x:v>星渊龙息·苍穹</x:v>
      </x:c>
      <x:c r="D230" s="290" t="str">
        <x:v>星渊龙息</x:v>
      </x:c>
      <x:c r="E230" s="290" t="n">
        <x:v>6</x:v>
      </x:c>
      <x:c r="F230" s="290" t="str">
        <x:v>手镯</x:v>
      </x:c>
      <x:c r="G230" s="289"/>
      <x:c r="H230" s="289"/>
      <x:c r="I230" s="289" t="n">
        <x:v>6095</x:v>
      </x:c>
      <x:c r="J230" s="289"/>
      <x:c r="K230" s="289"/>
      <x:c r="L230" s="289"/>
      <x:c r="M230" s="289" t="n">
        <x:v>6095</x:v>
      </x:c>
      <x:c r="N230" s="289" t="n">
        <x:v>6095</x:v>
      </x:c>
      <x:c r="O230" s="289" t="n">
        <x:v>6095</x:v>
      </x:c>
      <x:c r="P230" s="292"/>
      <x:c r="Q230" s="292" t="str">
        <x:v>原九部位资源库已登记</x:v>
      </x:c>
      <x:c r="R230" s="322" t="str">
        <x:v>C1/C2现用：雷羽护腕</x:v>
      </x:c>
      <x:c r="S230" s="292" t="str">
        <x:v>装备素材套装代码表.xlsx（原九部位）</x:v>
      </x:c>
      <x:c r="T230" s="292" t="str">
        <x:v>同一代码用于 Items / StateItem / DnItems；属性与掉落另表定义。</x:v>
      </x:c>
      <x:c r="U230" t="str">
        <x:f>IF(COUNTIF($B$2:$B$1076,B230)&gt;1,"重复","")</x:f>
      </x:c>
      <x:c r="V230" t="str">
        <x:f>IF(AND(OR(M230="",M230=B230),OR(N230="",N230=B230),OR(O230="",O230=B230)),"通过","不一致")</x:f>
        <x:v>通过</x:v>
      </x:c>
    </x:row>
    <x:row r="231" ht="22" customHeight="1">
      <x:c r="A231" s="289" t="n">
        <x:v>230</x:v>
      </x:c>
      <x:c r="B231" s="289" t="n">
        <x:v>6096</x:v>
      </x:c>
      <x:c r="C231" s="290" t="str">
        <x:v>星渊龙息·苍穹</x:v>
      </x:c>
      <x:c r="D231" s="290" t="str">
        <x:v>星渊龙息</x:v>
      </x:c>
      <x:c r="E231" s="290" t="n">
        <x:v>6</x:v>
      </x:c>
      <x:c r="F231" s="290" t="str">
        <x:v>戒指</x:v>
      </x:c>
      <x:c r="G231" s="289"/>
      <x:c r="H231" s="289"/>
      <x:c r="I231" s="289" t="n">
        <x:v>6096</x:v>
      </x:c>
      <x:c r="J231" s="289"/>
      <x:c r="K231" s="289"/>
      <x:c r="L231" s="289"/>
      <x:c r="M231" s="289" t="n">
        <x:v>6096</x:v>
      </x:c>
      <x:c r="N231" s="289" t="n">
        <x:v>6096</x:v>
      </x:c>
      <x:c r="O231" s="289" t="n">
        <x:v>6096</x:v>
      </x:c>
      <x:c r="P231" s="292"/>
      <x:c r="Q231" s="292" t="str">
        <x:v>原九部位资源库已登记</x:v>
      </x:c>
      <x:c r="R231" s="322" t="str">
        <x:v>C1/C2现用：狂风骨戒</x:v>
      </x:c>
      <x:c r="S231" s="292" t="str">
        <x:v>装备素材套装代码表.xlsx（原九部位）</x:v>
      </x:c>
      <x:c r="T231" s="292" t="str">
        <x:v>同一代码用于 Items / StateItem / DnItems；属性与掉落另表定义。</x:v>
      </x:c>
      <x:c r="U231" t="str">
        <x:f>IF(COUNTIF($B$2:$B$1076,B231)&gt;1,"重复","")</x:f>
      </x:c>
      <x:c r="V231" t="str">
        <x:f>IF(AND(OR(M231="",M231=B231),OR(N231="",N231=B231),OR(O231="",O231=B231)),"通过","不一致")</x:f>
        <x:v>通过</x:v>
      </x:c>
    </x:row>
    <x:row r="232" ht="22" customHeight="1">
      <x:c r="A232" s="289" t="n">
        <x:v>231</x:v>
      </x:c>
      <x:c r="B232" s="289" t="n">
        <x:v>6097</x:v>
      </x:c>
      <x:c r="C232" s="290" t="str">
        <x:v>星渊龙息·苍穹</x:v>
      </x:c>
      <x:c r="D232" s="290" t="str">
        <x:v>星渊龙息</x:v>
      </x:c>
      <x:c r="E232" s="290" t="n">
        <x:v>6</x:v>
      </x:c>
      <x:c r="F232" s="290" t="str">
        <x:v>盾牌</x:v>
      </x:c>
      <x:c r="G232" s="289"/>
      <x:c r="H232" s="289"/>
      <x:c r="I232" s="289" t="n">
        <x:v>6097</x:v>
      </x:c>
      <x:c r="J232" s="289"/>
      <x:c r="K232" s="289"/>
      <x:c r="L232" s="289"/>
      <x:c r="M232" s="289" t="n">
        <x:v>6097</x:v>
      </x:c>
      <x:c r="N232" s="289" t="n">
        <x:v>6097</x:v>
      </x:c>
      <x:c r="O232" s="289" t="n">
        <x:v>6097</x:v>
      </x:c>
      <x:c r="P232" s="292"/>
      <x:c r="Q232" s="292" t="str">
        <x:v>原九部位资源库已登记</x:v>
      </x:c>
      <x:c r="R232" s="322" t="str">
        <x:v>C1/C2现用：裂岩巨盾</x:v>
      </x:c>
      <x:c r="S232" s="292" t="str">
        <x:v>装备素材套装代码表.xlsx（原九部位）</x:v>
      </x:c>
      <x:c r="T232" s="292" t="str">
        <x:v>同一代码用于 Items / StateItem / DnItems；属性与掉落另表定义。</x:v>
      </x:c>
      <x:c r="U232" t="str">
        <x:f>IF(COUNTIF($B$2:$B$1076,B232)&gt;1,"重复","")</x:f>
      </x:c>
      <x:c r="V232" t="str">
        <x:f>IF(AND(OR(M232="",M232=B232),OR(N232="",N232=B232),OR(O232="",O232=B232)),"通过","不一致")</x:f>
        <x:v>通过</x:v>
      </x:c>
    </x:row>
    <x:row r="233" ht="22" customHeight="1">
      <x:c r="A233" s="289" t="n">
        <x:v>232</x:v>
      </x:c>
      <x:c r="B233" s="289" t="n">
        <x:v>6098</x:v>
      </x:c>
      <x:c r="C233" s="290" t="str">
        <x:v>星渊龙息·苍穹</x:v>
      </x:c>
      <x:c r="D233" s="290" t="str">
        <x:v>星渊龙息</x:v>
      </x:c>
      <x:c r="E233" s="290" t="n">
        <x:v>6</x:v>
      </x:c>
      <x:c r="F233" s="290" t="str">
        <x:v>灵玉</x:v>
      </x:c>
      <x:c r="G233" s="289"/>
      <x:c r="H233" s="289"/>
      <x:c r="I233" s="289" t="n">
        <x:v>6098</x:v>
      </x:c>
      <x:c r="J233" s="289"/>
      <x:c r="K233" s="289"/>
      <x:c r="L233" s="289"/>
      <x:c r="M233" s="289" t="n">
        <x:v>6098</x:v>
      </x:c>
      <x:c r="N233" s="289" t="n">
        <x:v>6098</x:v>
      </x:c>
      <x:c r="O233" s="289" t="n">
        <x:v>6098</x:v>
      </x:c>
      <x:c r="P233" s="292"/>
      <x:c r="Q233" s="292" t="str">
        <x:v>原九部位资源库已登记</x:v>
      </x:c>
      <x:c r="R233" s="322" t="str">
        <x:v>C1/C2现用：黑翼灵玉</x:v>
      </x:c>
      <x:c r="S233" s="292" t="str">
        <x:v>装备素材套装代码表.xlsx（原九部位）</x:v>
      </x:c>
      <x:c r="T233" s="292" t="str">
        <x:v>同一代码用于 Items / StateItem / DnItems；属性与掉落另表定义。</x:v>
      </x:c>
      <x:c r="U233" t="str">
        <x:f>IF(COUNTIF($B$2:$B$1076,B233)&gt;1,"重复","")</x:f>
      </x:c>
      <x:c r="V233" t="str">
        <x:f>IF(AND(OR(M233="",M233=B233),OR(N233="",N233=B233),OR(O233="",O233=B233)),"通过","不一致")</x:f>
        <x:v>通过</x:v>
      </x:c>
    </x:row>
    <x:row r="234" ht="22" customHeight="1">
      <x:c r="A234" s="289" t="n">
        <x:v>233</x:v>
      </x:c>
      <x:c r="B234" s="289" t="n">
        <x:v>6099</x:v>
      </x:c>
      <x:c r="C234" s="290" t="str">
        <x:v>星渊龙息·苍穹</x:v>
      </x:c>
      <x:c r="D234" s="290" t="str">
        <x:v>星渊龙息</x:v>
      </x:c>
      <x:c r="E234" s="290" t="n">
        <x:v>6</x:v>
      </x:c>
      <x:c r="F234" s="290" t="str">
        <x:v>鞋子</x:v>
      </x:c>
      <x:c r="G234" s="289"/>
      <x:c r="H234" s="289"/>
      <x:c r="I234" s="289" t="n">
        <x:v>6099</x:v>
      </x:c>
      <x:c r="J234" s="289"/>
      <x:c r="K234" s="289"/>
      <x:c r="L234" s="289"/>
      <x:c r="M234" s="289" t="n">
        <x:v>6099</x:v>
      </x:c>
      <x:c r="N234" s="289" t="n">
        <x:v>6099</x:v>
      </x:c>
      <x:c r="O234" s="289" t="n">
        <x:v>6099</x:v>
      </x:c>
      <x:c r="P234" s="292"/>
      <x:c r="Q234" s="292" t="str">
        <x:v>原九部位资源库已登记</x:v>
      </x:c>
      <x:c r="R234" s="322" t="str">
        <x:v>C1/C2现用：逐雷战靴</x:v>
      </x:c>
      <x:c r="S234" s="292" t="str">
        <x:v>装备素材套装代码表.xlsx（原九部位）</x:v>
      </x:c>
      <x:c r="T234" s="292" t="str">
        <x:v>同一代码用于 Items / StateItem / DnItems；属性与掉落另表定义。</x:v>
      </x:c>
      <x:c r="U234" t="str">
        <x:f>IF(COUNTIF($B$2:$B$1076,B234)&gt;1,"重复","")</x:f>
      </x:c>
      <x:c r="V234" t="str">
        <x:f>IF(AND(OR(M234="",M234=B234),OR(N234="",N234=B234),OR(O234="",O234=B234)),"通过","不一致")</x:f>
        <x:v>通过</x:v>
      </x:c>
    </x:row>
    <x:row r="235" ht="22" customHeight="1">
      <x:c r="A235" s="289" t="n">
        <x:v>234</x:v>
      </x:c>
      <x:c r="B235" s="289" t="n">
        <x:v>6100</x:v>
      </x:c>
      <x:c r="C235" s="290" t="str">
        <x:v>星渊龙息·苍穹</x:v>
      </x:c>
      <x:c r="D235" s="290" t="str">
        <x:v>星渊龙息</x:v>
      </x:c>
      <x:c r="E235" s="290" t="n">
        <x:v>6</x:v>
      </x:c>
      <x:c r="F235" s="290" t="str">
        <x:v>腰带</x:v>
      </x:c>
      <x:c r="G235" s="289"/>
      <x:c r="H235" s="289"/>
      <x:c r="I235" s="289" t="n">
        <x:v>6100</x:v>
      </x:c>
      <x:c r="J235" s="289"/>
      <x:c r="K235" s="289"/>
      <x:c r="L235" s="289"/>
      <x:c r="M235" s="289" t="n">
        <x:v>6100</x:v>
      </x:c>
      <x:c r="N235" s="289" t="n">
        <x:v>6100</x:v>
      </x:c>
      <x:c r="O235" s="289" t="n">
        <x:v>6100</x:v>
      </x:c>
      <x:c r="P235" s="292"/>
      <x:c r="Q235" s="292" t="str">
        <x:v>原九部位资源库已登记</x:v>
      </x:c>
      <x:c r="R235" s="322" t="str">
        <x:v>C1/C2现用：断崖束带</x:v>
      </x:c>
      <x:c r="S235" s="292" t="str">
        <x:v>装备素材套装代码表.xlsx（原九部位）</x:v>
      </x:c>
      <x:c r="T235" s="292" t="str">
        <x:v>同一代码用于 Items / StateItem / DnItems；属性与掉落另表定义。</x:v>
      </x:c>
      <x:c r="U235" t="str">
        <x:f>IF(COUNTIF($B$2:$B$1076,B235)&gt;1,"重复","")</x:f>
      </x:c>
      <x:c r="V235" t="str">
        <x:f>IF(AND(OR(M235="",M235=B235),OR(N235="",N235=B235),OR(O235="",O235=B235)),"通过","不一致")</x:f>
        <x:v>通过</x:v>
      </x:c>
    </x:row>
    <x:row r="236" ht="22" customHeight="1">
      <x:c r="A236" s="289" t="n">
        <x:v>235</x:v>
      </x:c>
      <x:c r="B236" s="289" t="n">
        <x:v>6101</x:v>
      </x:c>
      <x:c r="C236" s="290" t="str">
        <x:v>星渊龙息·龙皇</x:v>
      </x:c>
      <x:c r="D236" s="290" t="str">
        <x:v>星渊龙息</x:v>
      </x:c>
      <x:c r="E236" s="290" t="n">
        <x:v>7</x:v>
      </x:c>
      <x:c r="F236" s="290" t="str">
        <x:v>勋章</x:v>
      </x:c>
      <x:c r="G236" s="289"/>
      <x:c r="H236" s="289"/>
      <x:c r="I236" s="289" t="n">
        <x:v>6101</x:v>
      </x:c>
      <x:c r="J236" s="289"/>
      <x:c r="K236" s="289"/>
      <x:c r="L236" s="289"/>
      <x:c r="M236" s="289" t="n">
        <x:v>6101</x:v>
      </x:c>
      <x:c r="N236" s="289" t="n">
        <x:v>6101</x:v>
      </x:c>
      <x:c r="O236" s="289" t="n">
        <x:v>6101</x:v>
      </x:c>
      <x:c r="P236" s="292"/>
      <x:c r="Q236" s="292" t="str">
        <x:v>原九部位资源库已登记</x:v>
      </x:c>
      <x:c r="R236" s="292" t="str"/>
      <x:c r="S236" s="292" t="str">
        <x:v>装备素材套装代码表.xlsx（原九部位）</x:v>
      </x:c>
      <x:c r="T236" s="292" t="str">
        <x:v>同一代码用于 Items / StateItem / DnItems；属性与掉落另表定义。</x:v>
      </x:c>
      <x:c r="U236" t="str">
        <x:f>IF(COUNTIF($B$2:$B$1076,B236)&gt;1,"重复","")</x:f>
      </x:c>
      <x:c r="V236" t="str">
        <x:f>IF(AND(OR(M236="",M236=B236),OR(N236="",N236=B236),OR(O236="",O236=B236)),"通过","不一致")</x:f>
        <x:v>通过</x:v>
      </x:c>
    </x:row>
    <x:row r="237" ht="22" customHeight="1">
      <x:c r="A237" s="289" t="n">
        <x:v>236</x:v>
      </x:c>
      <x:c r="B237" s="289" t="n">
        <x:v>6102</x:v>
      </x:c>
      <x:c r="C237" s="290" t="str">
        <x:v>星渊龙息·龙皇</x:v>
      </x:c>
      <x:c r="D237" s="290" t="str">
        <x:v>星渊龙息</x:v>
      </x:c>
      <x:c r="E237" s="290" t="n">
        <x:v>7</x:v>
      </x:c>
      <x:c r="F237" s="290" t="str">
        <x:v>项链</x:v>
      </x:c>
      <x:c r="G237" s="289"/>
      <x:c r="H237" s="289"/>
      <x:c r="I237" s="289" t="n">
        <x:v>6102</x:v>
      </x:c>
      <x:c r="J237" s="289"/>
      <x:c r="K237" s="289"/>
      <x:c r="L237" s="289"/>
      <x:c r="M237" s="289" t="n">
        <x:v>6102</x:v>
      </x:c>
      <x:c r="N237" s="289" t="n">
        <x:v>6102</x:v>
      </x:c>
      <x:c r="O237" s="289" t="n">
        <x:v>6102</x:v>
      </x:c>
      <x:c r="P237" s="292"/>
      <x:c r="Q237" s="292" t="str">
        <x:v>原九部位资源库已登记</x:v>
      </x:c>
      <x:c r="R237" s="324" t="str">
        <x:v>C3-C10规划锁定：熔桂狮鬃坠</x:v>
      </x:c>
      <x:c r="S237" s="292" t="str">
        <x:v>装备素材套装代码表.xlsx（原九部位）</x:v>
      </x:c>
      <x:c r="T237" s="292" t="str">
        <x:v>同一代码用于 Items / StateItem / DnItems；属性与掉落另表定义。</x:v>
      </x:c>
      <x:c r="U237" t="str">
        <x:f>IF(COUNTIF($B$2:$B$1076,B237)&gt;1,"重复","")</x:f>
      </x:c>
      <x:c r="V237" t="str">
        <x:f>IF(AND(OR(M237="",M237=B237),OR(N237="",N237=B237),OR(O237="",O237=B237)),"通过","不一致")</x:f>
        <x:v>通过</x:v>
      </x:c>
    </x:row>
    <x:row r="238" ht="22" customHeight="1">
      <x:c r="A238" s="289" t="n">
        <x:v>237</x:v>
      </x:c>
      <x:c r="B238" s="289" t="n">
        <x:v>6103</x:v>
      </x:c>
      <x:c r="C238" s="290" t="str">
        <x:v>星渊龙息·龙皇</x:v>
      </x:c>
      <x:c r="D238" s="290" t="str">
        <x:v>星渊龙息</x:v>
      </x:c>
      <x:c r="E238" s="290" t="n">
        <x:v>7</x:v>
      </x:c>
      <x:c r="F238" s="290" t="str">
        <x:v>头盔</x:v>
      </x:c>
      <x:c r="G238" s="289"/>
      <x:c r="H238" s="289"/>
      <x:c r="I238" s="289" t="n">
        <x:v>6103</x:v>
      </x:c>
      <x:c r="J238" s="289"/>
      <x:c r="K238" s="289"/>
      <x:c r="L238" s="289"/>
      <x:c r="M238" s="289" t="n">
        <x:v>6103</x:v>
      </x:c>
      <x:c r="N238" s="289" t="n">
        <x:v>6103</x:v>
      </x:c>
      <x:c r="O238" s="289" t="n">
        <x:v>6103</x:v>
      </x:c>
      <x:c r="P238" s="292"/>
      <x:c r="Q238" s="292" t="str">
        <x:v>原九部位资源库已登记</x:v>
      </x:c>
      <x:c r="R238" s="324" t="str">
        <x:v>C3-C10规划锁定：执幡骨纹盔</x:v>
      </x:c>
      <x:c r="S238" s="292" t="str">
        <x:v>装备素材套装代码表.xlsx（原九部位）</x:v>
      </x:c>
      <x:c r="T238" s="292" t="str">
        <x:v>同一代码用于 Items / StateItem / DnItems；属性与掉落另表定义。</x:v>
      </x:c>
      <x:c r="U238" t="str">
        <x:f>IF(COUNTIF($B$2:$B$1076,B238)&gt;1,"重复","")</x:f>
      </x:c>
      <x:c r="V238" t="str">
        <x:f>IF(AND(OR(M238="",M238=B238),OR(N238="",N238=B238),OR(O238="",O238=B238)),"通过","不一致")</x:f>
        <x:v>通过</x:v>
      </x:c>
    </x:row>
    <x:row r="239" ht="22" customHeight="1">
      <x:c r="A239" s="289" t="n">
        <x:v>238</x:v>
      </x:c>
      <x:c r="B239" s="289" t="n">
        <x:v>6104</x:v>
      </x:c>
      <x:c r="C239" s="290" t="str">
        <x:v>星渊龙息·龙皇</x:v>
      </x:c>
      <x:c r="D239" s="290" t="str">
        <x:v>星渊龙息</x:v>
      </x:c>
      <x:c r="E239" s="290" t="n">
        <x:v>7</x:v>
      </x:c>
      <x:c r="F239" s="290" t="str">
        <x:v>手镯</x:v>
      </x:c>
      <x:c r="G239" s="289"/>
      <x:c r="H239" s="289"/>
      <x:c r="I239" s="289" t="n">
        <x:v>6104</x:v>
      </x:c>
      <x:c r="J239" s="289"/>
      <x:c r="K239" s="289"/>
      <x:c r="L239" s="289"/>
      <x:c r="M239" s="289" t="n">
        <x:v>6104</x:v>
      </x:c>
      <x:c r="N239" s="289" t="n">
        <x:v>6104</x:v>
      </x:c>
      <x:c r="O239" s="289" t="n">
        <x:v>6104</x:v>
      </x:c>
      <x:c r="P239" s="292"/>
      <x:c r="Q239" s="292" t="str">
        <x:v>原九部位资源库已登记</x:v>
      </x:c>
      <x:c r="R239" s="322" t="str">
        <x:v>C1/C2现用：流放腕铠</x:v>
      </x:c>
      <x:c r="S239" s="292" t="str">
        <x:v>装备素材套装代码表.xlsx（原九部位）</x:v>
      </x:c>
      <x:c r="T239" s="292" t="str">
        <x:v>同一代码用于 Items / StateItem / DnItems；属性与掉落另表定义。</x:v>
      </x:c>
      <x:c r="U239" t="str">
        <x:f>IF(COUNTIF($B$2:$B$1076,B239)&gt;1,"重复","")</x:f>
      </x:c>
      <x:c r="V239" t="str">
        <x:f>IF(AND(OR(M239="",M239=B239),OR(N239="",N239=B239),OR(O239="",O239=B239)),"通过","不一致")</x:f>
        <x:v>通过</x:v>
      </x:c>
    </x:row>
    <x:row r="240" ht="22" customHeight="1">
      <x:c r="A240" s="289" t="n">
        <x:v>239</x:v>
      </x:c>
      <x:c r="B240" s="289" t="n">
        <x:v>6105</x:v>
      </x:c>
      <x:c r="C240" s="290" t="str">
        <x:v>星渊龙息·龙皇</x:v>
      </x:c>
      <x:c r="D240" s="290" t="str">
        <x:v>星渊龙息</x:v>
      </x:c>
      <x:c r="E240" s="290" t="n">
        <x:v>7</x:v>
      </x:c>
      <x:c r="F240" s="290" t="str">
        <x:v>戒指</x:v>
      </x:c>
      <x:c r="G240" s="289"/>
      <x:c r="H240" s="289"/>
      <x:c r="I240" s="289" t="n">
        <x:v>6105</x:v>
      </x:c>
      <x:c r="J240" s="289"/>
      <x:c r="K240" s="289"/>
      <x:c r="L240" s="289"/>
      <x:c r="M240" s="289" t="n">
        <x:v>6105</x:v>
      </x:c>
      <x:c r="N240" s="289" t="n">
        <x:v>6105</x:v>
      </x:c>
      <x:c r="O240" s="289" t="n">
        <x:v>6105</x:v>
      </x:c>
      <x:c r="P240" s="292"/>
      <x:c r="Q240" s="292" t="str">
        <x:v>原九部位资源库已登记</x:v>
      </x:c>
      <x:c r="R240" s="322" t="str">
        <x:v>C1/C2现用：禁卫誓戒</x:v>
      </x:c>
      <x:c r="S240" s="292" t="str">
        <x:v>装备素材套装代码表.xlsx（原九部位）</x:v>
      </x:c>
      <x:c r="T240" s="292" t="str">
        <x:v>同一代码用于 Items / StateItem / DnItems；属性与掉落另表定义。</x:v>
      </x:c>
      <x:c r="U240" t="str">
        <x:f>IF(COUNTIF($B$2:$B$1076,B240)&gt;1,"重复","")</x:f>
      </x:c>
      <x:c r="V240" t="str">
        <x:f>IF(AND(OR(M240="",M240=B240),OR(N240="",N240=B240),OR(O240="",O240=B240)),"通过","不一致")</x:f>
        <x:v>通过</x:v>
      </x:c>
    </x:row>
    <x:row r="241" ht="22" customHeight="1">
      <x:c r="A241" s="289" t="n">
        <x:v>240</x:v>
      </x:c>
      <x:c r="B241" s="289" t="n">
        <x:v>6106</x:v>
      </x:c>
      <x:c r="C241" s="290" t="str">
        <x:v>星渊龙息·龙皇</x:v>
      </x:c>
      <x:c r="D241" s="290" t="str">
        <x:v>星渊龙息</x:v>
      </x:c>
      <x:c r="E241" s="290" t="n">
        <x:v>7</x:v>
      </x:c>
      <x:c r="F241" s="290" t="str">
        <x:v>盾牌</x:v>
      </x:c>
      <x:c r="G241" s="289"/>
      <x:c r="H241" s="289"/>
      <x:c r="I241" s="289" t="n">
        <x:v>6106</x:v>
      </x:c>
      <x:c r="J241" s="289"/>
      <x:c r="K241" s="289"/>
      <x:c r="L241" s="289"/>
      <x:c r="M241" s="289" t="n">
        <x:v>6106</x:v>
      </x:c>
      <x:c r="N241" s="289" t="n">
        <x:v>6106</x:v>
      </x:c>
      <x:c r="O241" s="289" t="n">
        <x:v>6106</x:v>
      </x:c>
      <x:c r="P241" s="292"/>
      <x:c r="Q241" s="292" t="str">
        <x:v>原九部位资源库已登记</x:v>
      </x:c>
      <x:c r="R241" s="292" t="str"/>
      <x:c r="S241" s="292" t="str">
        <x:v>装备素材套装代码表.xlsx（原九部位）</x:v>
      </x:c>
      <x:c r="T241" s="292" t="str">
        <x:v>同一代码用于 Items / StateItem / DnItems；属性与掉落另表定义。</x:v>
      </x:c>
      <x:c r="U241" t="str">
        <x:f>IF(COUNTIF($B$2:$B$1076,B241)&gt;1,"重复","")</x:f>
      </x:c>
      <x:c r="V241" t="str">
        <x:f>IF(AND(OR(M241="",M241=B241),OR(N241="",N241=B241),OR(O241="",O241=B241)),"通过","不一致")</x:f>
        <x:v>通过</x:v>
      </x:c>
    </x:row>
    <x:row r="242" ht="22" customHeight="1">
      <x:c r="A242" s="289" t="n">
        <x:v>241</x:v>
      </x:c>
      <x:c r="B242" s="289" t="n">
        <x:v>6107</x:v>
      </x:c>
      <x:c r="C242" s="290" t="str">
        <x:v>星渊龙息·龙皇</x:v>
      </x:c>
      <x:c r="D242" s="290" t="str">
        <x:v>星渊龙息</x:v>
      </x:c>
      <x:c r="E242" s="290" t="n">
        <x:v>7</x:v>
      </x:c>
      <x:c r="F242" s="290" t="str">
        <x:v>灵玉</x:v>
      </x:c>
      <x:c r="G242" s="289"/>
      <x:c r="H242" s="289"/>
      <x:c r="I242" s="289" t="n">
        <x:v>6107</x:v>
      </x:c>
      <x:c r="J242" s="289"/>
      <x:c r="K242" s="289"/>
      <x:c r="L242" s="289"/>
      <x:c r="M242" s="289" t="n">
        <x:v>6107</x:v>
      </x:c>
      <x:c r="N242" s="289" t="n">
        <x:v>6107</x:v>
      </x:c>
      <x:c r="O242" s="289" t="n">
        <x:v>6107</x:v>
      </x:c>
      <x:c r="P242" s="292"/>
      <x:c r="Q242" s="292" t="str">
        <x:v>原九部位资源库已登记</x:v>
      </x:c>
      <x:c r="R242" s="292" t="str"/>
      <x:c r="S242" s="292" t="str">
        <x:v>装备素材套装代码表.xlsx（原九部位）</x:v>
      </x:c>
      <x:c r="T242" s="292" t="str">
        <x:v>同一代码用于 Items / StateItem / DnItems；属性与掉落另表定义。</x:v>
      </x:c>
      <x:c r="U242" t="str">
        <x:f>IF(COUNTIF($B$2:$B$1076,B242)&gt;1,"重复","")</x:f>
      </x:c>
      <x:c r="V242" t="str">
        <x:f>IF(AND(OR(M242="",M242=B242),OR(N242="",N242=B242),OR(O242="",O242=B242)),"通过","不一致")</x:f>
        <x:v>通过</x:v>
      </x:c>
    </x:row>
    <x:row r="243" ht="22" customHeight="1">
      <x:c r="A243" s="289" t="n">
        <x:v>242</x:v>
      </x:c>
      <x:c r="B243" s="289" t="n">
        <x:v>6108</x:v>
      </x:c>
      <x:c r="C243" s="290" t="str">
        <x:v>星渊龙息·龙皇</x:v>
      </x:c>
      <x:c r="D243" s="290" t="str">
        <x:v>星渊龙息</x:v>
      </x:c>
      <x:c r="E243" s="290" t="n">
        <x:v>7</x:v>
      </x:c>
      <x:c r="F243" s="290" t="str">
        <x:v>鞋子</x:v>
      </x:c>
      <x:c r="G243" s="289"/>
      <x:c r="H243" s="289"/>
      <x:c r="I243" s="289" t="n">
        <x:v>6108</x:v>
      </x:c>
      <x:c r="J243" s="289"/>
      <x:c r="K243" s="289"/>
      <x:c r="L243" s="289"/>
      <x:c r="M243" s="289" t="n">
        <x:v>6108</x:v>
      </x:c>
      <x:c r="N243" s="289" t="n">
        <x:v>6108</x:v>
      </x:c>
      <x:c r="O243" s="289" t="n">
        <x:v>6108</x:v>
      </x:c>
      <x:c r="P243" s="292"/>
      <x:c r="Q243" s="292" t="str">
        <x:v>原九部位资源库已登记</x:v>
      </x:c>
      <x:c r="R243" s="292" t="str"/>
      <x:c r="S243" s="292" t="str">
        <x:v>装备素材套装代码表.xlsx（原九部位）</x:v>
      </x:c>
      <x:c r="T243" s="292" t="str">
        <x:v>同一代码用于 Items / StateItem / DnItems；属性与掉落另表定义。</x:v>
      </x:c>
      <x:c r="U243" t="str">
        <x:f>IF(COUNTIF($B$2:$B$1076,B243)&gt;1,"重复","")</x:f>
      </x:c>
      <x:c r="V243" t="str">
        <x:f>IF(AND(OR(M243="",M243=B243),OR(N243="",N243=B243),OR(O243="",O243=B243)),"通过","不一致")</x:f>
        <x:v>通过</x:v>
      </x:c>
    </x:row>
    <x:row r="244" ht="22" customHeight="1">
      <x:c r="A244" s="289" t="n">
        <x:v>243</x:v>
      </x:c>
      <x:c r="B244" s="289" t="n">
        <x:v>6109</x:v>
      </x:c>
      <x:c r="C244" s="290" t="str">
        <x:v>星渊龙息·龙皇</x:v>
      </x:c>
      <x:c r="D244" s="290" t="str">
        <x:v>星渊龙息</x:v>
      </x:c>
      <x:c r="E244" s="290" t="n">
        <x:v>7</x:v>
      </x:c>
      <x:c r="F244" s="290" t="str">
        <x:v>腰带</x:v>
      </x:c>
      <x:c r="G244" s="289"/>
      <x:c r="H244" s="289"/>
      <x:c r="I244" s="289" t="n">
        <x:v>6109</x:v>
      </x:c>
      <x:c r="J244" s="289"/>
      <x:c r="K244" s="289"/>
      <x:c r="L244" s="289"/>
      <x:c r="M244" s="289" t="n">
        <x:v>6109</x:v>
      </x:c>
      <x:c r="N244" s="289" t="n">
        <x:v>6109</x:v>
      </x:c>
      <x:c r="O244" s="289" t="n">
        <x:v>6109</x:v>
      </x:c>
      <x:c r="P244" s="292"/>
      <x:c r="Q244" s="292" t="str">
        <x:v>原九部位资源库已登记</x:v>
      </x:c>
      <x:c r="R244" s="292" t="str"/>
      <x:c r="S244" s="292" t="str">
        <x:v>装备素材套装代码表.xlsx（原九部位）</x:v>
      </x:c>
      <x:c r="T244" s="292" t="str">
        <x:v>同一代码用于 Items / StateItem / DnItems；属性与掉落另表定义。</x:v>
      </x:c>
      <x:c r="U244" t="str">
        <x:f>IF(COUNTIF($B$2:$B$1076,B244)&gt;1,"重复","")</x:f>
      </x:c>
      <x:c r="V244" t="str">
        <x:f>IF(AND(OR(M244="",M244=B244),OR(N244="",N244=B244),OR(O244="",O244=B244)),"通过","不一致")</x:f>
        <x:v>通过</x:v>
      </x:c>
    </x:row>
    <x:row r="245" ht="22" customHeight="1">
      <x:c r="A245" s="289" t="n">
        <x:v>244</x:v>
      </x:c>
      <x:c r="B245" s="289" t="n">
        <x:v>6110</x:v>
      </x:c>
      <x:c r="C245" s="290" t="str">
        <x:v>星渊龙息·天陨</x:v>
      </x:c>
      <x:c r="D245" s="290" t="str">
        <x:v>星渊龙息</x:v>
      </x:c>
      <x:c r="E245" s="290" t="n">
        <x:v>8</x:v>
      </x:c>
      <x:c r="F245" s="290" t="str">
        <x:v>勋章</x:v>
      </x:c>
      <x:c r="G245" s="289"/>
      <x:c r="H245" s="289"/>
      <x:c r="I245" s="289" t="n">
        <x:v>6110</x:v>
      </x:c>
      <x:c r="J245" s="289"/>
      <x:c r="K245" s="289"/>
      <x:c r="L245" s="289"/>
      <x:c r="M245" s="289" t="n">
        <x:v>6110</x:v>
      </x:c>
      <x:c r="N245" s="289" t="n">
        <x:v>6110</x:v>
      </x:c>
      <x:c r="O245" s="289" t="n">
        <x:v>6110</x:v>
      </x:c>
      <x:c r="P245" s="292"/>
      <x:c r="Q245" s="292" t="str">
        <x:v>原九部位资源库已登记</x:v>
      </x:c>
      <x:c r="R245" s="292" t="str"/>
      <x:c r="S245" s="292" t="str">
        <x:v>装备素材套装代码表.xlsx（原九部位）</x:v>
      </x:c>
      <x:c r="T245" s="292" t="str">
        <x:v>同一代码用于 Items / StateItem / DnItems；属性与掉落另表定义。</x:v>
      </x:c>
      <x:c r="U245" t="str">
        <x:f>IF(COUNTIF($B$2:$B$1076,B245)&gt;1,"重复","")</x:f>
      </x:c>
      <x:c r="V245" t="str">
        <x:f>IF(AND(OR(M245="",M245=B245),OR(N245="",N245=B245),OR(O245="",O245=B245)),"通过","不一致")</x:f>
        <x:v>通过</x:v>
      </x:c>
    </x:row>
    <x:row r="246" ht="22" customHeight="1">
      <x:c r="A246" s="289" t="n">
        <x:v>245</x:v>
      </x:c>
      <x:c r="B246" s="289" t="n">
        <x:v>6111</x:v>
      </x:c>
      <x:c r="C246" s="290" t="str">
        <x:v>星渊龙息·天陨</x:v>
      </x:c>
      <x:c r="D246" s="290" t="str">
        <x:v>星渊龙息</x:v>
      </x:c>
      <x:c r="E246" s="290" t="n">
        <x:v>8</x:v>
      </x:c>
      <x:c r="F246" s="290" t="str">
        <x:v>项链</x:v>
      </x:c>
      <x:c r="G246" s="289"/>
      <x:c r="H246" s="289"/>
      <x:c r="I246" s="289" t="n">
        <x:v>6111</x:v>
      </x:c>
      <x:c r="J246" s="289"/>
      <x:c r="K246" s="289"/>
      <x:c r="L246" s="289"/>
      <x:c r="M246" s="289" t="n">
        <x:v>6111</x:v>
      </x:c>
      <x:c r="N246" s="289" t="n">
        <x:v>6111</x:v>
      </x:c>
      <x:c r="O246" s="289" t="n">
        <x:v>6111</x:v>
      </x:c>
      <x:c r="P246" s="292"/>
      <x:c r="Q246" s="292" t="str">
        <x:v>原九部位资源库已登记</x:v>
      </x:c>
      <x:c r="R246" s="292" t="str"/>
      <x:c r="S246" s="292" t="str">
        <x:v>装备素材套装代码表.xlsx（原九部位）</x:v>
      </x:c>
      <x:c r="T246" s="292" t="str">
        <x:v>同一代码用于 Items / StateItem / DnItems；属性与掉落另表定义。</x:v>
      </x:c>
      <x:c r="U246" t="str">
        <x:f>IF(COUNTIF($B$2:$B$1076,B246)&gt;1,"重复","")</x:f>
      </x:c>
      <x:c r="V246" t="str">
        <x:f>IF(AND(OR(M246="",M246=B246),OR(N246="",N246=B246),OR(O246="",O246=B246)),"通过","不一致")</x:f>
        <x:v>通过</x:v>
      </x:c>
    </x:row>
    <x:row r="247" ht="22" customHeight="1">
      <x:c r="A247" s="289" t="n">
        <x:v>246</x:v>
      </x:c>
      <x:c r="B247" s="289" t="n">
        <x:v>6112</x:v>
      </x:c>
      <x:c r="C247" s="290" t="str">
        <x:v>星渊龙息·天陨</x:v>
      </x:c>
      <x:c r="D247" s="290" t="str">
        <x:v>星渊龙息</x:v>
      </x:c>
      <x:c r="E247" s="290" t="n">
        <x:v>8</x:v>
      </x:c>
      <x:c r="F247" s="290" t="str">
        <x:v>头盔</x:v>
      </x:c>
      <x:c r="G247" s="289"/>
      <x:c r="H247" s="289"/>
      <x:c r="I247" s="289" t="n">
        <x:v>6112</x:v>
      </x:c>
      <x:c r="J247" s="289"/>
      <x:c r="K247" s="289"/>
      <x:c r="L247" s="289"/>
      <x:c r="M247" s="289" t="n">
        <x:v>6112</x:v>
      </x:c>
      <x:c r="N247" s="289" t="n">
        <x:v>6112</x:v>
      </x:c>
      <x:c r="O247" s="289" t="n">
        <x:v>6112</x:v>
      </x:c>
      <x:c r="P247" s="292"/>
      <x:c r="Q247" s="292" t="str">
        <x:v>原九部位资源库已登记</x:v>
      </x:c>
      <x:c r="R247" s="324" t="str">
        <x:v>C3-C10规划锁定：律烛诵壁冠</x:v>
      </x:c>
      <x:c r="S247" s="292" t="str">
        <x:v>装备素材套装代码表.xlsx（原九部位）</x:v>
      </x:c>
      <x:c r="T247" s="292" t="str">
        <x:v>同一代码用于 Items / StateItem / DnItems；属性与掉落另表定义。</x:v>
      </x:c>
      <x:c r="U247" t="str">
        <x:f>IF(COUNTIF($B$2:$B$1076,B247)&gt;1,"重复","")</x:f>
      </x:c>
      <x:c r="V247" t="str">
        <x:f>IF(AND(OR(M247="",M247=B247),OR(N247="",N247=B247),OR(O247="",O247=B247)),"通过","不一致")</x:f>
        <x:v>通过</x:v>
      </x:c>
    </x:row>
    <x:row r="248" ht="22" customHeight="1">
      <x:c r="A248" s="289" t="n">
        <x:v>247</x:v>
      </x:c>
      <x:c r="B248" s="289" t="n">
        <x:v>6113</x:v>
      </x:c>
      <x:c r="C248" s="290" t="str">
        <x:v>星渊龙息·天陨</x:v>
      </x:c>
      <x:c r="D248" s="290" t="str">
        <x:v>星渊龙息</x:v>
      </x:c>
      <x:c r="E248" s="290" t="n">
        <x:v>8</x:v>
      </x:c>
      <x:c r="F248" s="290" t="str">
        <x:v>手镯</x:v>
      </x:c>
      <x:c r="G248" s="289"/>
      <x:c r="H248" s="289"/>
      <x:c r="I248" s="289" t="n">
        <x:v>6113</x:v>
      </x:c>
      <x:c r="J248" s="289"/>
      <x:c r="K248" s="289"/>
      <x:c r="L248" s="289"/>
      <x:c r="M248" s="289" t="n">
        <x:v>6113</x:v>
      </x:c>
      <x:c r="N248" s="289" t="n">
        <x:v>6113</x:v>
      </x:c>
      <x:c r="O248" s="289" t="n">
        <x:v>6113</x:v>
      </x:c>
      <x:c r="P248" s="292"/>
      <x:c r="Q248" s="292" t="str">
        <x:v>原九部位资源库已登记</x:v>
      </x:c>
      <x:c r="R248" s="292" t="str"/>
      <x:c r="S248" s="292" t="str">
        <x:v>装备素材套装代码表.xlsx（原九部位）</x:v>
      </x:c>
      <x:c r="T248" s="292" t="str">
        <x:v>同一代码用于 Items / StateItem / DnItems；属性与掉落另表定义。</x:v>
      </x:c>
      <x:c r="U248" t="str">
        <x:f>IF(COUNTIF($B$2:$B$1076,B248)&gt;1,"重复","")</x:f>
      </x:c>
      <x:c r="V248" t="str">
        <x:f>IF(AND(OR(M248="",M248=B248),OR(N248="",N248=B248),OR(O248="",O248=B248)),"通过","不一致")</x:f>
        <x:v>通过</x:v>
      </x:c>
    </x:row>
    <x:row r="249" ht="22" customHeight="1">
      <x:c r="A249" s="289" t="n">
        <x:v>248</x:v>
      </x:c>
      <x:c r="B249" s="289" t="n">
        <x:v>6114</x:v>
      </x:c>
      <x:c r="C249" s="290" t="str">
        <x:v>星渊龙息·天陨</x:v>
      </x:c>
      <x:c r="D249" s="290" t="str">
        <x:v>星渊龙息</x:v>
      </x:c>
      <x:c r="E249" s="290" t="n">
        <x:v>8</x:v>
      </x:c>
      <x:c r="F249" s="290" t="str">
        <x:v>戒指</x:v>
      </x:c>
      <x:c r="G249" s="289"/>
      <x:c r="H249" s="289"/>
      <x:c r="I249" s="289" t="n">
        <x:v>6114</x:v>
      </x:c>
      <x:c r="J249" s="289"/>
      <x:c r="K249" s="289"/>
      <x:c r="L249" s="289"/>
      <x:c r="M249" s="289" t="n">
        <x:v>6114</x:v>
      </x:c>
      <x:c r="N249" s="289" t="n">
        <x:v>6114</x:v>
      </x:c>
      <x:c r="O249" s="289" t="n">
        <x:v>6114</x:v>
      </x:c>
      <x:c r="P249" s="292"/>
      <x:c r="Q249" s="292" t="str">
        <x:v>原九部位资源库已登记</x:v>
      </x:c>
      <x:c r="R249" s="292" t="str"/>
      <x:c r="S249" s="292" t="str">
        <x:v>装备素材套装代码表.xlsx（原九部位）</x:v>
      </x:c>
      <x:c r="T249" s="292" t="str">
        <x:v>同一代码用于 Items / StateItem / DnItems；属性与掉落另表定义。</x:v>
      </x:c>
      <x:c r="U249" t="str">
        <x:f>IF(COUNTIF($B$2:$B$1076,B249)&gt;1,"重复","")</x:f>
      </x:c>
      <x:c r="V249" t="str">
        <x:f>IF(AND(OR(M249="",M249=B249),OR(N249="",N249=B249),OR(O249="",O249=B249)),"通过","不一致")</x:f>
        <x:v>通过</x:v>
      </x:c>
    </x:row>
    <x:row r="250" ht="22" customHeight="1">
      <x:c r="A250" s="289" t="n">
        <x:v>249</x:v>
      </x:c>
      <x:c r="B250" s="289" t="n">
        <x:v>6115</x:v>
      </x:c>
      <x:c r="C250" s="290" t="str">
        <x:v>星渊龙息·天陨</x:v>
      </x:c>
      <x:c r="D250" s="290" t="str">
        <x:v>星渊龙息</x:v>
      </x:c>
      <x:c r="E250" s="290" t="n">
        <x:v>8</x:v>
      </x:c>
      <x:c r="F250" s="290" t="str">
        <x:v>盾牌</x:v>
      </x:c>
      <x:c r="G250" s="289"/>
      <x:c r="H250" s="289"/>
      <x:c r="I250" s="289" t="n">
        <x:v>6115</x:v>
      </x:c>
      <x:c r="J250" s="289"/>
      <x:c r="K250" s="289"/>
      <x:c r="L250" s="289"/>
      <x:c r="M250" s="289" t="n">
        <x:v>6115</x:v>
      </x:c>
      <x:c r="N250" s="289" t="n">
        <x:v>6115</x:v>
      </x:c>
      <x:c r="O250" s="289" t="n">
        <x:v>6115</x:v>
      </x:c>
      <x:c r="P250" s="292"/>
      <x:c r="Q250" s="292" t="str">
        <x:v>原九部位资源库已登记</x:v>
      </x:c>
      <x:c r="R250" s="292" t="str"/>
      <x:c r="S250" s="292" t="str">
        <x:v>装备素材套装代码表.xlsx（原九部位）</x:v>
      </x:c>
      <x:c r="T250" s="292" t="str">
        <x:v>同一代码用于 Items / StateItem / DnItems；属性与掉落另表定义。</x:v>
      </x:c>
      <x:c r="U250" t="str">
        <x:f>IF(COUNTIF($B$2:$B$1076,B250)&gt;1,"重复","")</x:f>
      </x:c>
      <x:c r="V250" t="str">
        <x:f>IF(AND(OR(M250="",M250=B250),OR(N250="",N250=B250),OR(O250="",O250=B250)),"通过","不一致")</x:f>
        <x:v>通过</x:v>
      </x:c>
    </x:row>
    <x:row r="251" ht="22" customHeight="1">
      <x:c r="A251" s="289" t="n">
        <x:v>250</x:v>
      </x:c>
      <x:c r="B251" s="289" t="n">
        <x:v>6116</x:v>
      </x:c>
      <x:c r="C251" s="290" t="str">
        <x:v>星渊龙息·天陨</x:v>
      </x:c>
      <x:c r="D251" s="290" t="str">
        <x:v>星渊龙息</x:v>
      </x:c>
      <x:c r="E251" s="290" t="n">
        <x:v>8</x:v>
      </x:c>
      <x:c r="F251" s="290" t="str">
        <x:v>灵玉</x:v>
      </x:c>
      <x:c r="G251" s="289"/>
      <x:c r="H251" s="289"/>
      <x:c r="I251" s="289" t="n">
        <x:v>6116</x:v>
      </x:c>
      <x:c r="J251" s="289"/>
      <x:c r="K251" s="289"/>
      <x:c r="L251" s="289"/>
      <x:c r="M251" s="289" t="n">
        <x:v>6116</x:v>
      </x:c>
      <x:c r="N251" s="289" t="n">
        <x:v>6116</x:v>
      </x:c>
      <x:c r="O251" s="289" t="n">
        <x:v>6116</x:v>
      </x:c>
      <x:c r="P251" s="292"/>
      <x:c r="Q251" s="292" t="str">
        <x:v>原九部位资源库已登记</x:v>
      </x:c>
      <x:c r="R251" s="322" t="str">
        <x:v>C1/C2现用：山妖魂玉</x:v>
      </x:c>
      <x:c r="S251" s="292" t="str">
        <x:v>装备素材套装代码表.xlsx（原九部位）</x:v>
      </x:c>
      <x:c r="T251" s="292" t="str">
        <x:v>同一代码用于 Items / StateItem / DnItems；属性与掉落另表定义。</x:v>
      </x:c>
      <x:c r="U251" t="str">
        <x:f>IF(COUNTIF($B$2:$B$1076,B251)&gt;1,"重复","")</x:f>
      </x:c>
      <x:c r="V251" t="str">
        <x:f>IF(AND(OR(M251="",M251=B251),OR(N251="",N251=B251),OR(O251="",O251=B251)),"通过","不一致")</x:f>
        <x:v>通过</x:v>
      </x:c>
    </x:row>
    <x:row r="252" ht="22" customHeight="1">
      <x:c r="A252" s="289" t="n">
        <x:v>251</x:v>
      </x:c>
      <x:c r="B252" s="289" t="n">
        <x:v>6117</x:v>
      </x:c>
      <x:c r="C252" s="290" t="str">
        <x:v>星渊龙息·天陨</x:v>
      </x:c>
      <x:c r="D252" s="290" t="str">
        <x:v>星渊龙息</x:v>
      </x:c>
      <x:c r="E252" s="290" t="n">
        <x:v>8</x:v>
      </x:c>
      <x:c r="F252" s="290" t="str">
        <x:v>鞋子</x:v>
      </x:c>
      <x:c r="G252" s="289"/>
      <x:c r="H252" s="289"/>
      <x:c r="I252" s="289" t="n">
        <x:v>6117</x:v>
      </x:c>
      <x:c r="J252" s="289"/>
      <x:c r="K252" s="289"/>
      <x:c r="L252" s="289"/>
      <x:c r="M252" s="289" t="n">
        <x:v>6117</x:v>
      </x:c>
      <x:c r="N252" s="289" t="n">
        <x:v>6117</x:v>
      </x:c>
      <x:c r="O252" s="289" t="n">
        <x:v>6117</x:v>
      </x:c>
      <x:c r="P252" s="292"/>
      <x:c r="Q252" s="292" t="str">
        <x:v>原九部位资源库已登记</x:v>
      </x:c>
      <x:c r="R252" s="292" t="str"/>
      <x:c r="S252" s="292" t="str">
        <x:v>装备素材套装代码表.xlsx（原九部位）</x:v>
      </x:c>
      <x:c r="T252" s="292" t="str">
        <x:v>同一代码用于 Items / StateItem / DnItems；属性与掉落另表定义。</x:v>
      </x:c>
      <x:c r="U252" t="str">
        <x:f>IF(COUNTIF($B$2:$B$1076,B252)&gt;1,"重复","")</x:f>
      </x:c>
      <x:c r="V252" t="str">
        <x:f>IF(AND(OR(M252="",M252=B252),OR(N252="",N252=B252),OR(O252="",O252=B252)),"通过","不一致")</x:f>
        <x:v>通过</x:v>
      </x:c>
    </x:row>
    <x:row r="253" ht="22" customHeight="1">
      <x:c r="A253" s="289" t="n">
        <x:v>252</x:v>
      </x:c>
      <x:c r="B253" s="289" t="n">
        <x:v>6118</x:v>
      </x:c>
      <x:c r="C253" s="290" t="str">
        <x:v>星渊龙息·天陨</x:v>
      </x:c>
      <x:c r="D253" s="290" t="str">
        <x:v>星渊龙息</x:v>
      </x:c>
      <x:c r="E253" s="290" t="n">
        <x:v>8</x:v>
      </x:c>
      <x:c r="F253" s="290" t="str">
        <x:v>腰带</x:v>
      </x:c>
      <x:c r="G253" s="289"/>
      <x:c r="H253" s="289"/>
      <x:c r="I253" s="289" t="n">
        <x:v>6118</x:v>
      </x:c>
      <x:c r="J253" s="289"/>
      <x:c r="K253" s="289"/>
      <x:c r="L253" s="289"/>
      <x:c r="M253" s="289" t="n">
        <x:v>6118</x:v>
      </x:c>
      <x:c r="N253" s="289" t="n">
        <x:v>6118</x:v>
      </x:c>
      <x:c r="O253" s="289" t="n">
        <x:v>6118</x:v>
      </x:c>
      <x:c r="P253" s="292"/>
      <x:c r="Q253" s="292" t="str">
        <x:v>原九部位资源库已登记</x:v>
      </x:c>
      <x:c r="R253" s="292" t="str"/>
      <x:c r="S253" s="292" t="str">
        <x:v>装备素材套装代码表.xlsx（原九部位）</x:v>
      </x:c>
      <x:c r="T253" s="292" t="str">
        <x:v>同一代码用于 Items / StateItem / DnItems；属性与掉落另表定义。</x:v>
      </x:c>
      <x:c r="U253" t="str">
        <x:f>IF(COUNTIF($B$2:$B$1076,B253)&gt;1,"重复","")</x:f>
      </x:c>
      <x:c r="V253" t="str">
        <x:f>IF(AND(OR(M253="",M253=B253),OR(N253="",N253=B253),OR(O253="",O253=B253)),"通过","不一致")</x:f>
        <x:v>通过</x:v>
      </x:c>
    </x:row>
    <x:row r="254" ht="22" customHeight="1">
      <x:c r="A254" s="289" t="n">
        <x:v>253</x:v>
      </x:c>
      <x:c r="B254" s="289" t="n">
        <x:v>6119</x:v>
      </x:c>
      <x:c r="C254" s="290" t="str">
        <x:v>星渊龙息·极星</x:v>
      </x:c>
      <x:c r="D254" s="290" t="str">
        <x:v>星渊龙息</x:v>
      </x:c>
      <x:c r="E254" s="290" t="n">
        <x:v>9</x:v>
      </x:c>
      <x:c r="F254" s="290" t="str">
        <x:v>勋章</x:v>
      </x:c>
      <x:c r="G254" s="289"/>
      <x:c r="H254" s="289"/>
      <x:c r="I254" s="289" t="n">
        <x:v>6119</x:v>
      </x:c>
      <x:c r="J254" s="289"/>
      <x:c r="K254" s="289"/>
      <x:c r="L254" s="289"/>
      <x:c r="M254" s="289" t="n">
        <x:v>6119</x:v>
      </x:c>
      <x:c r="N254" s="289" t="n">
        <x:v>6119</x:v>
      </x:c>
      <x:c r="O254" s="289" t="n">
        <x:v>6119</x:v>
      </x:c>
      <x:c r="P254" s="292"/>
      <x:c r="Q254" s="292" t="str">
        <x:v>原九部位资源库已登记</x:v>
      </x:c>
      <x:c r="R254" s="322" t="str">
        <x:v>C1/C2现用：归树犬徽</x:v>
      </x:c>
      <x:c r="S254" s="292" t="str">
        <x:v>装备素材套装代码表.xlsx（原九部位）</x:v>
      </x:c>
      <x:c r="T254" s="292" t="str">
        <x:v>同一代码用于 Items / StateItem / DnItems；属性与掉落另表定义。</x:v>
      </x:c>
      <x:c r="U254" t="str">
        <x:f>IF(COUNTIF($B$2:$B$1076,B254)&gt;1,"重复","")</x:f>
      </x:c>
      <x:c r="V254" t="str">
        <x:f>IF(AND(OR(M254="",M254=B254),OR(N254="",N254=B254),OR(O254="",O254=B254)),"通过","不一致")</x:f>
        <x:v>通过</x:v>
      </x:c>
    </x:row>
    <x:row r="255" ht="22" customHeight="1">
      <x:c r="A255" s="289" t="n">
        <x:v>254</x:v>
      </x:c>
      <x:c r="B255" s="289" t="n">
        <x:v>6120</x:v>
      </x:c>
      <x:c r="C255" s="290" t="str">
        <x:v>星渊龙息·极星</x:v>
      </x:c>
      <x:c r="D255" s="290" t="str">
        <x:v>星渊龙息</x:v>
      </x:c>
      <x:c r="E255" s="290" t="n">
        <x:v>9</x:v>
      </x:c>
      <x:c r="F255" s="290" t="str">
        <x:v>项链</x:v>
      </x:c>
      <x:c r="G255" s="289"/>
      <x:c r="H255" s="289"/>
      <x:c r="I255" s="289" t="n">
        <x:v>6120</x:v>
      </x:c>
      <x:c r="J255" s="289"/>
      <x:c r="K255" s="289"/>
      <x:c r="L255" s="289"/>
      <x:c r="M255" s="289" t="n">
        <x:v>6120</x:v>
      </x:c>
      <x:c r="N255" s="289" t="n">
        <x:v>6120</x:v>
      </x:c>
      <x:c r="O255" s="289" t="n">
        <x:v>6120</x:v>
      </x:c>
      <x:c r="P255" s="292"/>
      <x:c r="Q255" s="292" t="str">
        <x:v>原九部位资源库已登记</x:v>
      </x:c>
      <x:c r="R255" s="292" t="str"/>
      <x:c r="S255" s="292" t="str">
        <x:v>装备素材套装代码表.xlsx（原九部位）</x:v>
      </x:c>
      <x:c r="T255" s="292" t="str">
        <x:v>同一代码用于 Items / StateItem / DnItems；属性与掉落另表定义。</x:v>
      </x:c>
      <x:c r="U255" t="str">
        <x:f>IF(COUNTIF($B$2:$B$1076,B255)&gt;1,"重复","")</x:f>
      </x:c>
      <x:c r="V255" t="str">
        <x:f>IF(AND(OR(M255="",M255=B255),OR(N255="",N255=B255),OR(O255="",O255=B255)),"通过","不一致")</x:f>
        <x:v>通过</x:v>
      </x:c>
    </x:row>
    <x:row r="256" ht="22" customHeight="1">
      <x:c r="A256" s="289" t="n">
        <x:v>255</x:v>
      </x:c>
      <x:c r="B256" s="289" t="n">
        <x:v>6121</x:v>
      </x:c>
      <x:c r="C256" s="290" t="str">
        <x:v>星渊龙息·极星</x:v>
      </x:c>
      <x:c r="D256" s="290" t="str">
        <x:v>星渊龙息</x:v>
      </x:c>
      <x:c r="E256" s="290" t="n">
        <x:v>9</x:v>
      </x:c>
      <x:c r="F256" s="290" t="str">
        <x:v>头盔</x:v>
      </x:c>
      <x:c r="G256" s="289"/>
      <x:c r="H256" s="289"/>
      <x:c r="I256" s="289" t="n">
        <x:v>6121</x:v>
      </x:c>
      <x:c r="J256" s="289"/>
      <x:c r="K256" s="289"/>
      <x:c r="L256" s="289"/>
      <x:c r="M256" s="289" t="n">
        <x:v>6121</x:v>
      </x:c>
      <x:c r="N256" s="289" t="n">
        <x:v>6121</x:v>
      </x:c>
      <x:c r="O256" s="289" t="n">
        <x:v>6121</x:v>
      </x:c>
      <x:c r="P256" s="292"/>
      <x:c r="Q256" s="292" t="str">
        <x:v>原九部位资源库已登记</x:v>
      </x:c>
      <x:c r="R256" s="292" t="str"/>
      <x:c r="S256" s="292" t="str">
        <x:v>装备素材套装代码表.xlsx（原九部位）</x:v>
      </x:c>
      <x:c r="T256" s="292" t="str">
        <x:v>同一代码用于 Items / StateItem / DnItems；属性与掉落另表定义。</x:v>
      </x:c>
      <x:c r="U256" t="str">
        <x:f>IF(COUNTIF($B$2:$B$1076,B256)&gt;1,"重复","")</x:f>
      </x:c>
      <x:c r="V256" t="str">
        <x:f>IF(AND(OR(M256="",M256=B256),OR(N256="",N256=B256),OR(O256="",O256=B256)),"通过","不一致")</x:f>
        <x:v>通过</x:v>
      </x:c>
    </x:row>
    <x:row r="257" ht="22" customHeight="1">
      <x:c r="A257" s="289" t="n">
        <x:v>256</x:v>
      </x:c>
      <x:c r="B257" s="289" t="n">
        <x:v>6122</x:v>
      </x:c>
      <x:c r="C257" s="290" t="str">
        <x:v>星渊龙息·极星</x:v>
      </x:c>
      <x:c r="D257" s="290" t="str">
        <x:v>星渊龙息</x:v>
      </x:c>
      <x:c r="E257" s="290" t="n">
        <x:v>9</x:v>
      </x:c>
      <x:c r="F257" s="290" t="str">
        <x:v>手镯</x:v>
      </x:c>
      <x:c r="G257" s="289"/>
      <x:c r="H257" s="289"/>
      <x:c r="I257" s="289" t="n">
        <x:v>6122</x:v>
      </x:c>
      <x:c r="J257" s="289"/>
      <x:c r="K257" s="289"/>
      <x:c r="L257" s="289"/>
      <x:c r="M257" s="289" t="n">
        <x:v>6122</x:v>
      </x:c>
      <x:c r="N257" s="289" t="n">
        <x:v>6122</x:v>
      </x:c>
      <x:c r="O257" s="289" t="n">
        <x:v>6122</x:v>
      </x:c>
      <x:c r="P257" s="292"/>
      <x:c r="Q257" s="292" t="str">
        <x:v>原九部位资源库已登记</x:v>
      </x:c>
      <x:c r="R257" s="292" t="str"/>
      <x:c r="S257" s="292" t="str">
        <x:v>装备素材套装代码表.xlsx（原九部位）</x:v>
      </x:c>
      <x:c r="T257" s="292" t="str">
        <x:v>同一代码用于 Items / StateItem / DnItems；属性与掉落另表定义。</x:v>
      </x:c>
      <x:c r="U257" t="str">
        <x:f>IF(COUNTIF($B$2:$B$1076,B257)&gt;1,"重复","")</x:f>
      </x:c>
      <x:c r="V257" t="str">
        <x:f>IF(AND(OR(M257="",M257=B257),OR(N257="",N257=B257),OR(O257="",O257=B257)),"通过","不一致")</x:f>
        <x:v>通过</x:v>
      </x:c>
    </x:row>
    <x:row r="258" ht="22" customHeight="1">
      <x:c r="A258" s="289" t="n">
        <x:v>257</x:v>
      </x:c>
      <x:c r="B258" s="289" t="n">
        <x:v>6123</x:v>
      </x:c>
      <x:c r="C258" s="290" t="str">
        <x:v>星渊龙息·极星</x:v>
      </x:c>
      <x:c r="D258" s="290" t="str">
        <x:v>星渊龙息</x:v>
      </x:c>
      <x:c r="E258" s="290" t="n">
        <x:v>9</x:v>
      </x:c>
      <x:c r="F258" s="290" t="str">
        <x:v>戒指</x:v>
      </x:c>
      <x:c r="G258" s="289"/>
      <x:c r="H258" s="289"/>
      <x:c r="I258" s="289" t="n">
        <x:v>6123</x:v>
      </x:c>
      <x:c r="J258" s="289"/>
      <x:c r="K258" s="289"/>
      <x:c r="L258" s="289"/>
      <x:c r="M258" s="289" t="n">
        <x:v>6123</x:v>
      </x:c>
      <x:c r="N258" s="289" t="n">
        <x:v>6123</x:v>
      </x:c>
      <x:c r="O258" s="289" t="n">
        <x:v>6123</x:v>
      </x:c>
      <x:c r="P258" s="292"/>
      <x:c r="Q258" s="292" t="str">
        <x:v>原九部位资源库已登记</x:v>
      </x:c>
      <x:c r="R258" s="292" t="str"/>
      <x:c r="S258" s="292" t="str">
        <x:v>装备素材套装代码表.xlsx（原九部位）</x:v>
      </x:c>
      <x:c r="T258" s="292" t="str">
        <x:v>同一代码用于 Items / StateItem / DnItems；属性与掉落另表定义。</x:v>
      </x:c>
      <x:c r="U258" t="str">
        <x:f>IF(COUNTIF($B$2:$B$1076,B258)&gt;1,"重复","")</x:f>
      </x:c>
      <x:c r="V258" t="str">
        <x:f>IF(AND(OR(M258="",M258=B258),OR(N258="",N258=B258),OR(O258="",O258=B258)),"通过","不一致")</x:f>
        <x:v>通过</x:v>
      </x:c>
    </x:row>
    <x:row r="259" ht="22" customHeight="1">
      <x:c r="A259" s="289" t="n">
        <x:v>258</x:v>
      </x:c>
      <x:c r="B259" s="289" t="n">
        <x:v>6124</x:v>
      </x:c>
      <x:c r="C259" s="290" t="str">
        <x:v>星渊龙息·极星</x:v>
      </x:c>
      <x:c r="D259" s="290" t="str">
        <x:v>星渊龙息</x:v>
      </x:c>
      <x:c r="E259" s="290" t="n">
        <x:v>9</x:v>
      </x:c>
      <x:c r="F259" s="290" t="str">
        <x:v>盾牌</x:v>
      </x:c>
      <x:c r="G259" s="289"/>
      <x:c r="H259" s="289"/>
      <x:c r="I259" s="289" t="n">
        <x:v>6124</x:v>
      </x:c>
      <x:c r="J259" s="289"/>
      <x:c r="K259" s="289"/>
      <x:c r="L259" s="289"/>
      <x:c r="M259" s="289" t="n">
        <x:v>6124</x:v>
      </x:c>
      <x:c r="N259" s="289" t="n">
        <x:v>6124</x:v>
      </x:c>
      <x:c r="O259" s="289" t="n">
        <x:v>6124</x:v>
      </x:c>
      <x:c r="P259" s="292"/>
      <x:c r="Q259" s="292" t="str">
        <x:v>原九部位资源库已登记</x:v>
      </x:c>
      <x:c r="R259" s="292" t="str"/>
      <x:c r="S259" s="292" t="str">
        <x:v>装备素材套装代码表.xlsx（原九部位）</x:v>
      </x:c>
      <x:c r="T259" s="292" t="str">
        <x:v>同一代码用于 Items / StateItem / DnItems；属性与掉落另表定义。</x:v>
      </x:c>
      <x:c r="U259" t="str">
        <x:f>IF(COUNTIF($B$2:$B$1076,B259)&gt;1,"重复","")</x:f>
      </x:c>
      <x:c r="V259" t="str">
        <x:f>IF(AND(OR(M259="",M259=B259),OR(N259="",N259=B259),OR(O259="",O259=B259)),"通过","不一致")</x:f>
        <x:v>通过</x:v>
      </x:c>
    </x:row>
    <x:row r="260" ht="22" customHeight="1">
      <x:c r="A260" s="289" t="n">
        <x:v>259</x:v>
      </x:c>
      <x:c r="B260" s="289" t="n">
        <x:v>6125</x:v>
      </x:c>
      <x:c r="C260" s="290" t="str">
        <x:v>星渊龙息·极星</x:v>
      </x:c>
      <x:c r="D260" s="290" t="str">
        <x:v>星渊龙息</x:v>
      </x:c>
      <x:c r="E260" s="290" t="n">
        <x:v>9</x:v>
      </x:c>
      <x:c r="F260" s="290" t="str">
        <x:v>灵玉</x:v>
      </x:c>
      <x:c r="G260" s="289"/>
      <x:c r="H260" s="289"/>
      <x:c r="I260" s="289" t="n">
        <x:v>6125</x:v>
      </x:c>
      <x:c r="J260" s="289"/>
      <x:c r="K260" s="289"/>
      <x:c r="L260" s="289"/>
      <x:c r="M260" s="289" t="n">
        <x:v>6125</x:v>
      </x:c>
      <x:c r="N260" s="289" t="n">
        <x:v>6125</x:v>
      </x:c>
      <x:c r="O260" s="289" t="n">
        <x:v>6125</x:v>
      </x:c>
      <x:c r="P260" s="292"/>
      <x:c r="Q260" s="292" t="str">
        <x:v>原九部位资源库已登记</x:v>
      </x:c>
      <x:c r="R260" s="322" t="str">
        <x:v>C1/C2现用：葛瑞克的大卢恩</x:v>
      </x:c>
      <x:c r="S260" s="292" t="str">
        <x:v>装备素材套装代码表.xlsx（原九部位）</x:v>
      </x:c>
      <x:c r="T260" s="292" t="str">
        <x:v>同一代码用于 Items / StateItem / DnItems；属性与掉落另表定义。</x:v>
      </x:c>
      <x:c r="U260" t="str">
        <x:f>IF(COUNTIF($B$2:$B$1076,B260)&gt;1,"重复","")</x:f>
      </x:c>
      <x:c r="V260" t="str">
        <x:f>IF(AND(OR(M260="",M260=B260),OR(N260="",N260=B260),OR(O260="",O260=B260)),"通过","不一致")</x:f>
        <x:v>通过</x:v>
      </x:c>
    </x:row>
    <x:row r="261" ht="22" customHeight="1">
      <x:c r="A261" s="289" t="n">
        <x:v>260</x:v>
      </x:c>
      <x:c r="B261" s="289" t="n">
        <x:v>6126</x:v>
      </x:c>
      <x:c r="C261" s="290" t="str">
        <x:v>星渊龙息·极星</x:v>
      </x:c>
      <x:c r="D261" s="290" t="str">
        <x:v>星渊龙息</x:v>
      </x:c>
      <x:c r="E261" s="290" t="n">
        <x:v>9</x:v>
      </x:c>
      <x:c r="F261" s="290" t="str">
        <x:v>鞋子</x:v>
      </x:c>
      <x:c r="G261" s="289"/>
      <x:c r="H261" s="289"/>
      <x:c r="I261" s="289" t="n">
        <x:v>6126</x:v>
      </x:c>
      <x:c r="J261" s="289"/>
      <x:c r="K261" s="289"/>
      <x:c r="L261" s="289"/>
      <x:c r="M261" s="289" t="n">
        <x:v>6126</x:v>
      </x:c>
      <x:c r="N261" s="289" t="n">
        <x:v>6126</x:v>
      </x:c>
      <x:c r="O261" s="289" t="n">
        <x:v>6126</x:v>
      </x:c>
      <x:c r="P261" s="292"/>
      <x:c r="Q261" s="292" t="str">
        <x:v>原九部位资源库已登记</x:v>
      </x:c>
      <x:c r="R261" s="292" t="str"/>
      <x:c r="S261" s="292" t="str">
        <x:v>装备素材套装代码表.xlsx（原九部位）</x:v>
      </x:c>
      <x:c r="T261" s="292" t="str">
        <x:v>同一代码用于 Items / StateItem / DnItems；属性与掉落另表定义。</x:v>
      </x:c>
      <x:c r="U261" t="str">
        <x:f>IF(COUNTIF($B$2:$B$1076,B261)&gt;1,"重复","")</x:f>
      </x:c>
      <x:c r="V261" t="str">
        <x:f>IF(AND(OR(M261="",M261=B261),OR(N261="",N261=B261),OR(O261="",O261=B261)),"通过","不一致")</x:f>
        <x:v>通过</x:v>
      </x:c>
    </x:row>
    <x:row r="262" ht="22" customHeight="1">
      <x:c r="A262" s="289" t="n">
        <x:v>261</x:v>
      </x:c>
      <x:c r="B262" s="289" t="n">
        <x:v>6127</x:v>
      </x:c>
      <x:c r="C262" s="290" t="str">
        <x:v>星渊龙息·极星</x:v>
      </x:c>
      <x:c r="D262" s="290" t="str">
        <x:v>星渊龙息</x:v>
      </x:c>
      <x:c r="E262" s="290" t="n">
        <x:v>9</x:v>
      </x:c>
      <x:c r="F262" s="290" t="str">
        <x:v>腰带</x:v>
      </x:c>
      <x:c r="G262" s="289"/>
      <x:c r="H262" s="289"/>
      <x:c r="I262" s="289" t="n">
        <x:v>6127</x:v>
      </x:c>
      <x:c r="J262" s="289"/>
      <x:c r="K262" s="289"/>
      <x:c r="L262" s="289"/>
      <x:c r="M262" s="289" t="n">
        <x:v>6127</x:v>
      </x:c>
      <x:c r="N262" s="289" t="n">
        <x:v>6127</x:v>
      </x:c>
      <x:c r="O262" s="289" t="n">
        <x:v>6127</x:v>
      </x:c>
      <x:c r="P262" s="292"/>
      <x:c r="Q262" s="292" t="str">
        <x:v>原九部位资源库已登记</x:v>
      </x:c>
      <x:c r="R262" s="292" t="str"/>
      <x:c r="S262" s="292" t="str">
        <x:v>装备素材套装代码表.xlsx（原九部位）</x:v>
      </x:c>
      <x:c r="T262" s="292" t="str">
        <x:v>同一代码用于 Items / StateItem / DnItems；属性与掉落另表定义。</x:v>
      </x:c>
      <x:c r="U262" t="str">
        <x:f>IF(COUNTIF($B$2:$B$1076,B262)&gt;1,"重复","")</x:f>
      </x:c>
      <x:c r="V262" t="str">
        <x:f>IF(AND(OR(M262="",M262=B262),OR(N262="",N262=B262),OR(O262="",O262=B262)),"通过","不一致")</x:f>
        <x:v>通过</x:v>
      </x:c>
    </x:row>
    <x:row r="263" ht="22" customHeight="1">
      <x:c r="A263" s="289" t="n">
        <x:v>262</x:v>
      </x:c>
      <x:c r="B263" s="289" t="n">
        <x:v>6128</x:v>
      </x:c>
      <x:c r="C263" s="290" t="str">
        <x:v>星渊龙息·无垠</x:v>
      </x:c>
      <x:c r="D263" s="290" t="str">
        <x:v>星渊龙息</x:v>
      </x:c>
      <x:c r="E263" s="290" t="n">
        <x:v>10</x:v>
      </x:c>
      <x:c r="F263" s="290" t="str">
        <x:v>勋章</x:v>
      </x:c>
      <x:c r="G263" s="289"/>
      <x:c r="H263" s="289"/>
      <x:c r="I263" s="289" t="n">
        <x:v>6128</x:v>
      </x:c>
      <x:c r="J263" s="289"/>
      <x:c r="K263" s="289"/>
      <x:c r="L263" s="289"/>
      <x:c r="M263" s="289" t="n">
        <x:v>6128</x:v>
      </x:c>
      <x:c r="N263" s="289" t="n">
        <x:v>6128</x:v>
      </x:c>
      <x:c r="O263" s="289" t="n">
        <x:v>6128</x:v>
      </x:c>
      <x:c r="P263" s="292"/>
      <x:c r="Q263" s="292" t="str">
        <x:v>原九部位资源库已登记</x:v>
      </x:c>
      <x:c r="R263" s="322" t="str">
        <x:v>C1/C2现用：深渊勋章</x:v>
      </x:c>
      <x:c r="S263" s="292" t="str">
        <x:v>装备素材套装代码表.xlsx（原九部位）</x:v>
      </x:c>
      <x:c r="T263" s="292" t="str">
        <x:v>同一代码用于 Items / StateItem / DnItems；属性与掉落另表定义。</x:v>
      </x:c>
      <x:c r="U263" t="str">
        <x:f>IF(COUNTIF($B$2:$B$1076,B263)&gt;1,"重复","")</x:f>
      </x:c>
      <x:c r="V263" t="str">
        <x:f>IF(AND(OR(M263="",M263=B263),OR(N263="",N263=B263),OR(O263="",O263=B263)),"通过","不一致")</x:f>
        <x:v>通过</x:v>
      </x:c>
    </x:row>
    <x:row r="264" ht="22" customHeight="1">
      <x:c r="A264" s="289" t="n">
        <x:v>263</x:v>
      </x:c>
      <x:c r="B264" s="289" t="n">
        <x:v>6129</x:v>
      </x:c>
      <x:c r="C264" s="290" t="str">
        <x:v>星渊龙息·无垠</x:v>
      </x:c>
      <x:c r="D264" s="290" t="str">
        <x:v>星渊龙息</x:v>
      </x:c>
      <x:c r="E264" s="290" t="n">
        <x:v>10</x:v>
      </x:c>
      <x:c r="F264" s="290" t="str">
        <x:v>项链</x:v>
      </x:c>
      <x:c r="G264" s="289"/>
      <x:c r="H264" s="289"/>
      <x:c r="I264" s="289" t="n">
        <x:v>6129</x:v>
      </x:c>
      <x:c r="J264" s="289"/>
      <x:c r="K264" s="289"/>
      <x:c r="L264" s="289"/>
      <x:c r="M264" s="289" t="n">
        <x:v>6129</x:v>
      </x:c>
      <x:c r="N264" s="289" t="n">
        <x:v>6129</x:v>
      </x:c>
      <x:c r="O264" s="289" t="n">
        <x:v>6129</x:v>
      </x:c>
      <x:c r="P264" s="292"/>
      <x:c r="Q264" s="292" t="str">
        <x:v>原九部位资源库已登记</x:v>
      </x:c>
      <x:c r="R264" s="322" t="str">
        <x:v>C1/C2现用：沉宫项链</x:v>
      </x:c>
      <x:c r="S264" s="292" t="str">
        <x:v>装备素材套装代码表.xlsx（原九部位）</x:v>
      </x:c>
      <x:c r="T264" s="292" t="str">
        <x:v>同一代码用于 Items / StateItem / DnItems；属性与掉落另表定义。</x:v>
      </x:c>
      <x:c r="U264" t="str">
        <x:f>IF(COUNTIF($B$2:$B$1076,B264)&gt;1,"重复","")</x:f>
      </x:c>
      <x:c r="V264" t="str">
        <x:f>IF(AND(OR(M264="",M264=B264),OR(N264="",N264=B264),OR(O264="",O264=B264)),"通过","不一致")</x:f>
        <x:v>通过</x:v>
      </x:c>
    </x:row>
    <x:row r="265" ht="22" customHeight="1">
      <x:c r="A265" s="289" t="n">
        <x:v>264</x:v>
      </x:c>
      <x:c r="B265" s="289" t="n">
        <x:v>6130</x:v>
      </x:c>
      <x:c r="C265" s="290" t="str">
        <x:v>星渊龙息·无垠</x:v>
      </x:c>
      <x:c r="D265" s="290" t="str">
        <x:v>星渊龙息</x:v>
      </x:c>
      <x:c r="E265" s="290" t="n">
        <x:v>10</x:v>
      </x:c>
      <x:c r="F265" s="290" t="str">
        <x:v>头盔</x:v>
      </x:c>
      <x:c r="G265" s="289"/>
      <x:c r="H265" s="289"/>
      <x:c r="I265" s="289" t="n">
        <x:v>6130</x:v>
      </x:c>
      <x:c r="J265" s="289"/>
      <x:c r="K265" s="289"/>
      <x:c r="L265" s="289"/>
      <x:c r="M265" s="289" t="n">
        <x:v>6130</x:v>
      </x:c>
      <x:c r="N265" s="289" t="n">
        <x:v>6130</x:v>
      </x:c>
      <x:c r="O265" s="289" t="n">
        <x:v>6130</x:v>
      </x:c>
      <x:c r="P265" s="292"/>
      <x:c r="Q265" s="292" t="str">
        <x:v>原九部位资源库已登记</x:v>
      </x:c>
      <x:c r="R265" s="322" t="str">
        <x:v>C1/C2现用：溺亡王盔</x:v>
      </x:c>
      <x:c r="S265" s="292" t="str">
        <x:v>装备素材套装代码表.xlsx（原九部位）</x:v>
      </x:c>
      <x:c r="T265" s="292" t="str">
        <x:v>同一代码用于 Items / StateItem / DnItems；属性与掉落另表定义。</x:v>
      </x:c>
      <x:c r="U265" t="str">
        <x:f>IF(COUNTIF($B$2:$B$1076,B265)&gt;1,"重复","")</x:f>
      </x:c>
      <x:c r="V265" t="str">
        <x:f>IF(AND(OR(M265="",M265=B265),OR(N265="",N265=B265),OR(O265="",O265=B265)),"通过","不一致")</x:f>
        <x:v>通过</x:v>
      </x:c>
    </x:row>
    <x:row r="266" ht="22" customHeight="1">
      <x:c r="A266" s="289" t="n">
        <x:v>265</x:v>
      </x:c>
      <x:c r="B266" s="289" t="n">
        <x:v>6131</x:v>
      </x:c>
      <x:c r="C266" s="290" t="str">
        <x:v>星渊龙息·无垠</x:v>
      </x:c>
      <x:c r="D266" s="290" t="str">
        <x:v>星渊龙息</x:v>
      </x:c>
      <x:c r="E266" s="290" t="n">
        <x:v>10</x:v>
      </x:c>
      <x:c r="F266" s="290" t="str">
        <x:v>手镯</x:v>
      </x:c>
      <x:c r="G266" s="289"/>
      <x:c r="H266" s="289"/>
      <x:c r="I266" s="289" t="n">
        <x:v>6131</x:v>
      </x:c>
      <x:c r="J266" s="289"/>
      <x:c r="K266" s="289"/>
      <x:c r="L266" s="289"/>
      <x:c r="M266" s="289" t="n">
        <x:v>6131</x:v>
      </x:c>
      <x:c r="N266" s="289" t="n">
        <x:v>6131</x:v>
      </x:c>
      <x:c r="O266" s="289" t="n">
        <x:v>6131</x:v>
      </x:c>
      <x:c r="P266" s="292"/>
      <x:c r="Q266" s="292" t="str">
        <x:v>原九部位资源库已登记</x:v>
      </x:c>
      <x:c r="R266" s="322" t="str">
        <x:v>C1/C2现用：苔痕护腕</x:v>
      </x:c>
      <x:c r="S266" s="292" t="str">
        <x:v>装备素材套装代码表.xlsx（原九部位）</x:v>
      </x:c>
      <x:c r="T266" s="292" t="str">
        <x:v>同一代码用于 Items / StateItem / DnItems；属性与掉落另表定义。</x:v>
      </x:c>
      <x:c r="U266" t="str">
        <x:f>IF(COUNTIF($B$2:$B$1076,B266)&gt;1,"重复","")</x:f>
      </x:c>
      <x:c r="V266" t="str">
        <x:f>IF(AND(OR(M266="",M266=B266),OR(N266="",N266=B266),OR(O266="",O266=B266)),"通过","不一致")</x:f>
        <x:v>通过</x:v>
      </x:c>
    </x:row>
    <x:row r="267" ht="22" customHeight="1">
      <x:c r="A267" s="289" t="n">
        <x:v>266</x:v>
      </x:c>
      <x:c r="B267" s="289" t="n">
        <x:v>6132</x:v>
      </x:c>
      <x:c r="C267" s="290" t="str">
        <x:v>星渊龙息·无垠</x:v>
      </x:c>
      <x:c r="D267" s="290" t="str">
        <x:v>星渊龙息</x:v>
      </x:c>
      <x:c r="E267" s="290" t="n">
        <x:v>10</x:v>
      </x:c>
      <x:c r="F267" s="290" t="str">
        <x:v>戒指</x:v>
      </x:c>
      <x:c r="G267" s="289"/>
      <x:c r="H267" s="289"/>
      <x:c r="I267" s="289" t="n">
        <x:v>6132</x:v>
      </x:c>
      <x:c r="J267" s="289"/>
      <x:c r="K267" s="289"/>
      <x:c r="L267" s="289"/>
      <x:c r="M267" s="289" t="n">
        <x:v>6132</x:v>
      </x:c>
      <x:c r="N267" s="289" t="n">
        <x:v>6132</x:v>
      </x:c>
      <x:c r="O267" s="289" t="n">
        <x:v>6132</x:v>
      </x:c>
      <x:c r="P267" s="292"/>
      <x:c r="Q267" s="292" t="str">
        <x:v>原九部位资源库已登记</x:v>
      </x:c>
      <x:c r="R267" s="322" t="str">
        <x:v>C1/C2现用：王庭秘戒</x:v>
      </x:c>
      <x:c r="S267" s="292" t="str">
        <x:v>装备素材套装代码表.xlsx（原九部位）</x:v>
      </x:c>
      <x:c r="T267" s="292" t="str">
        <x:v>同一代码用于 Items / StateItem / DnItems；属性与掉落另表定义。</x:v>
      </x:c>
      <x:c r="U267" t="str">
        <x:f>IF(COUNTIF($B$2:$B$1076,B267)&gt;1,"重复","")</x:f>
      </x:c>
      <x:c r="V267" t="str">
        <x:f>IF(AND(OR(M267="",M267=B267),OR(N267="",N267=B267),OR(O267="",O267=B267)),"通过","不一致")</x:f>
        <x:v>通过</x:v>
      </x:c>
    </x:row>
    <x:row r="268" ht="22" customHeight="1">
      <x:c r="A268" s="289" t="n">
        <x:v>267</x:v>
      </x:c>
      <x:c r="B268" s="289" t="n">
        <x:v>6133</x:v>
      </x:c>
      <x:c r="C268" s="290" t="str">
        <x:v>星渊龙息·无垠</x:v>
      </x:c>
      <x:c r="D268" s="290" t="str">
        <x:v>星渊龙息</x:v>
      </x:c>
      <x:c r="E268" s="290" t="n">
        <x:v>10</x:v>
      </x:c>
      <x:c r="F268" s="290" t="str">
        <x:v>盾牌</x:v>
      </x:c>
      <x:c r="G268" s="289"/>
      <x:c r="H268" s="289"/>
      <x:c r="I268" s="289" t="n">
        <x:v>6133</x:v>
      </x:c>
      <x:c r="J268" s="289"/>
      <x:c r="K268" s="289"/>
      <x:c r="L268" s="289"/>
      <x:c r="M268" s="289" t="n">
        <x:v>6133</x:v>
      </x:c>
      <x:c r="N268" s="289" t="n">
        <x:v>6133</x:v>
      </x:c>
      <x:c r="O268" s="289" t="n">
        <x:v>6133</x:v>
      </x:c>
      <x:c r="P268" s="292"/>
      <x:c r="Q268" s="292" t="str">
        <x:v>原九部位资源库已登记</x:v>
      </x:c>
      <x:c r="R268" s="322" t="str">
        <x:v>C1/C2现用：裁决王盾</x:v>
      </x:c>
      <x:c r="S268" s="292" t="str">
        <x:v>装备素材套装代码表.xlsx（原九部位）</x:v>
      </x:c>
      <x:c r="T268" s="292" t="str">
        <x:v>同一代码用于 Items / StateItem / DnItems；属性与掉落另表定义。</x:v>
      </x:c>
      <x:c r="U268" t="str">
        <x:f>IF(COUNTIF($B$2:$B$1076,B268)&gt;1,"重复","")</x:f>
      </x:c>
      <x:c r="V268" t="str">
        <x:f>IF(AND(OR(M268="",M268=B268),OR(N268="",N268=B268),OR(O268="",O268=B268)),"通过","不一致")</x:f>
        <x:v>通过</x:v>
      </x:c>
    </x:row>
    <x:row r="269" ht="22" customHeight="1">
      <x:c r="A269" s="289" t="n">
        <x:v>268</x:v>
      </x:c>
      <x:c r="B269" s="289" t="n">
        <x:v>6134</x:v>
      </x:c>
      <x:c r="C269" s="290" t="str">
        <x:v>星渊龙息·无垠</x:v>
      </x:c>
      <x:c r="D269" s="290" t="str">
        <x:v>星渊龙息</x:v>
      </x:c>
      <x:c r="E269" s="290" t="n">
        <x:v>10</x:v>
      </x:c>
      <x:c r="F269" s="290" t="str">
        <x:v>灵玉</x:v>
      </x:c>
      <x:c r="G269" s="289"/>
      <x:c r="H269" s="289"/>
      <x:c r="I269" s="289" t="n">
        <x:v>6134</x:v>
      </x:c>
      <x:c r="J269" s="289"/>
      <x:c r="K269" s="289"/>
      <x:c r="L269" s="289"/>
      <x:c r="M269" s="289" t="n">
        <x:v>6134</x:v>
      </x:c>
      <x:c r="N269" s="289" t="n">
        <x:v>6134</x:v>
      </x:c>
      <x:c r="O269" s="289" t="n">
        <x:v>6134</x:v>
      </x:c>
      <x:c r="P269" s="292"/>
      <x:c r="Q269" s="292" t="str">
        <x:v>原九部位资源库已登记</x:v>
      </x:c>
      <x:c r="R269" s="322" t="str">
        <x:v>C1/C2现用：沉默灵玉</x:v>
      </x:c>
      <x:c r="S269" s="292" t="str">
        <x:v>装备素材套装代码表.xlsx（原九部位）</x:v>
      </x:c>
      <x:c r="T269" s="292" t="str">
        <x:v>同一代码用于 Items / StateItem / DnItems；属性与掉落另表定义。</x:v>
      </x:c>
      <x:c r="U269" t="str">
        <x:f>IF(COUNTIF($B$2:$B$1076,B269)&gt;1,"重复","")</x:f>
      </x:c>
      <x:c r="V269" t="str">
        <x:f>IF(AND(OR(M269="",M269=B269),OR(N269="",N269=B269),OR(O269="",O269=B269)),"通过","不一致")</x:f>
        <x:v>通过</x:v>
      </x:c>
    </x:row>
    <x:row r="270" ht="22" customHeight="1">
      <x:c r="A270" s="289" t="n">
        <x:v>269</x:v>
      </x:c>
      <x:c r="B270" s="289" t="n">
        <x:v>6135</x:v>
      </x:c>
      <x:c r="C270" s="290" t="str">
        <x:v>星渊龙息·无垠</x:v>
      </x:c>
      <x:c r="D270" s="290" t="str">
        <x:v>星渊龙息</x:v>
      </x:c>
      <x:c r="E270" s="290" t="n">
        <x:v>10</x:v>
      </x:c>
      <x:c r="F270" s="290" t="str">
        <x:v>鞋子</x:v>
      </x:c>
      <x:c r="G270" s="289"/>
      <x:c r="H270" s="289"/>
      <x:c r="I270" s="289" t="n">
        <x:v>6135</x:v>
      </x:c>
      <x:c r="J270" s="289"/>
      <x:c r="K270" s="289"/>
      <x:c r="L270" s="289"/>
      <x:c r="M270" s="289" t="n">
        <x:v>6135</x:v>
      </x:c>
      <x:c r="N270" s="289" t="n">
        <x:v>6135</x:v>
      </x:c>
      <x:c r="O270" s="289" t="n">
        <x:v>6135</x:v>
      </x:c>
      <x:c r="P270" s="292"/>
      <x:c r="Q270" s="292" t="str">
        <x:v>原九部位资源库已登记</x:v>
      </x:c>
      <x:c r="R270" s="322" t="str">
        <x:v>C1/C2现用：失冠战靴</x:v>
      </x:c>
      <x:c r="S270" s="292" t="str">
        <x:v>装备素材套装代码表.xlsx（原九部位）</x:v>
      </x:c>
      <x:c r="T270" s="292" t="str">
        <x:v>同一代码用于 Items / StateItem / DnItems；属性与掉落另表定义。</x:v>
      </x:c>
      <x:c r="U270" t="str">
        <x:f>IF(COUNTIF($B$2:$B$1076,B270)&gt;1,"重复","")</x:f>
      </x:c>
      <x:c r="V270" t="str">
        <x:f>IF(AND(OR(M270="",M270=B270),OR(N270="",N270=B270),OR(O270="",O270=B270)),"通过","不一致")</x:f>
        <x:v>通过</x:v>
      </x:c>
    </x:row>
    <x:row r="271" ht="22" customHeight="1">
      <x:c r="A271" s="289" t="n">
        <x:v>270</x:v>
      </x:c>
      <x:c r="B271" s="289" t="n">
        <x:v>6136</x:v>
      </x:c>
      <x:c r="C271" s="290" t="str">
        <x:v>星渊龙息·无垠</x:v>
      </x:c>
      <x:c r="D271" s="290" t="str">
        <x:v>星渊龙息</x:v>
      </x:c>
      <x:c r="E271" s="290" t="n">
        <x:v>10</x:v>
      </x:c>
      <x:c r="F271" s="290" t="str">
        <x:v>腰带</x:v>
      </x:c>
      <x:c r="G271" s="289"/>
      <x:c r="H271" s="289"/>
      <x:c r="I271" s="289" t="n">
        <x:v>6136</x:v>
      </x:c>
      <x:c r="J271" s="289"/>
      <x:c r="K271" s="289"/>
      <x:c r="L271" s="289"/>
      <x:c r="M271" s="289" t="n">
        <x:v>6136</x:v>
      </x:c>
      <x:c r="N271" s="289" t="n">
        <x:v>6136</x:v>
      </x:c>
      <x:c r="O271" s="289" t="n">
        <x:v>6136</x:v>
      </x:c>
      <x:c r="P271" s="292"/>
      <x:c r="Q271" s="292" t="str">
        <x:v>原九部位资源库已登记</x:v>
      </x:c>
      <x:c r="R271" s="322" t="str">
        <x:v>C1/C2现用：深水束带</x:v>
      </x:c>
      <x:c r="S271" s="292" t="str">
        <x:v>装备素材套装代码表.xlsx（原九部位）</x:v>
      </x:c>
      <x:c r="T271" s="292" t="str">
        <x:v>同一代码用于 Items / StateItem / DnItems；属性与掉落另表定义。</x:v>
      </x:c>
      <x:c r="U271" t="str">
        <x:f>IF(COUNTIF($B$2:$B$1076,B271)&gt;1,"重复","")</x:f>
      </x:c>
      <x:c r="V271" t="str">
        <x:f>IF(AND(OR(M271="",M271=B271),OR(N271="",N271=B271),OR(O271="",O271=B271)),"通过","不一致")</x:f>
        <x:v>通过</x:v>
      </x:c>
    </x:row>
    <x:row r="272" ht="22" customHeight="1">
      <x:c r="A272" s="289" t="n">
        <x:v>271</x:v>
      </x:c>
      <x:c r="B272" s="289" t="n">
        <x:v>6201</x:v>
      </x:c>
      <x:c r="C272" s="290" t="str">
        <x:v>太微金曜·曜仪</x:v>
      </x:c>
      <x:c r="D272" s="290" t="str">
        <x:v>太微金曜</x:v>
      </x:c>
      <x:c r="E272" s="290" t="n">
        <x:v>1</x:v>
      </x:c>
      <x:c r="F272" s="290" t="str">
        <x:v>勋章</x:v>
      </x:c>
      <x:c r="G272" s="289"/>
      <x:c r="H272" s="289"/>
      <x:c r="I272" s="289" t="n">
        <x:v>6201</x:v>
      </x:c>
      <x:c r="J272" s="289"/>
      <x:c r="K272" s="289"/>
      <x:c r="L272" s="289"/>
      <x:c r="M272" s="289" t="n">
        <x:v>6201</x:v>
      </x:c>
      <x:c r="N272" s="289" t="n">
        <x:v>6201</x:v>
      </x:c>
      <x:c r="O272" s="289" t="n">
        <x:v>6201</x:v>
      </x:c>
      <x:c r="P272" s="292"/>
      <x:c r="Q272" s="292" t="str">
        <x:v>原九部位资源库已登记</x:v>
      </x:c>
      <x:c r="R272" s="292" t="str"/>
      <x:c r="S272" s="292" t="str">
        <x:v>装备素材套装代码表.xlsx（原九部位）</x:v>
      </x:c>
      <x:c r="T272" s="292" t="str">
        <x:v>同一代码用于 Items / StateItem / DnItems；属性与掉落另表定义。</x:v>
      </x:c>
      <x:c r="U272" t="str">
        <x:f>IF(COUNTIF($B$2:$B$1076,B272)&gt;1,"重复","")</x:f>
      </x:c>
      <x:c r="V272" t="str">
        <x:f>IF(AND(OR(M272="",M272=B272),OR(N272="",N272=B272),OR(O272="",O272=B272)),"通过","不一致")</x:f>
        <x:v>通过</x:v>
      </x:c>
    </x:row>
    <x:row r="273" ht="22" customHeight="1">
      <x:c r="A273" s="289" t="n">
        <x:v>272</x:v>
      </x:c>
      <x:c r="B273" s="289" t="n">
        <x:v>6202</x:v>
      </x:c>
      <x:c r="C273" s="290" t="str">
        <x:v>太微金曜·曜仪</x:v>
      </x:c>
      <x:c r="D273" s="290" t="str">
        <x:v>太微金曜</x:v>
      </x:c>
      <x:c r="E273" s="290" t="n">
        <x:v>1</x:v>
      </x:c>
      <x:c r="F273" s="290" t="str">
        <x:v>项链</x:v>
      </x:c>
      <x:c r="G273" s="289"/>
      <x:c r="H273" s="289"/>
      <x:c r="I273" s="289" t="n">
        <x:v>6202</x:v>
      </x:c>
      <x:c r="J273" s="289"/>
      <x:c r="K273" s="289"/>
      <x:c r="L273" s="289"/>
      <x:c r="M273" s="289" t="n">
        <x:v>6202</x:v>
      </x:c>
      <x:c r="N273" s="289" t="n">
        <x:v>6202</x:v>
      </x:c>
      <x:c r="O273" s="289" t="n">
        <x:v>6202</x:v>
      </x:c>
      <x:c r="P273" s="292"/>
      <x:c r="Q273" s="292" t="str">
        <x:v>原九部位资源库已登记</x:v>
      </x:c>
      <x:c r="R273" s="292" t="str"/>
      <x:c r="S273" s="292" t="str">
        <x:v>装备素材套装代码表.xlsx（原九部位）</x:v>
      </x:c>
      <x:c r="T273" s="292" t="str">
        <x:v>同一代码用于 Items / StateItem / DnItems；属性与掉落另表定义。</x:v>
      </x:c>
      <x:c r="U273" t="str">
        <x:f>IF(COUNTIF($B$2:$B$1076,B273)&gt;1,"重复","")</x:f>
      </x:c>
      <x:c r="V273" t="str">
        <x:f>IF(AND(OR(M273="",M273=B273),OR(N273="",N273=B273),OR(O273="",O273=B273)),"通过","不一致")</x:f>
        <x:v>通过</x:v>
      </x:c>
    </x:row>
    <x:row r="274" ht="22" customHeight="1">
      <x:c r="A274" s="289" t="n">
        <x:v>273</x:v>
      </x:c>
      <x:c r="B274" s="289" t="n">
        <x:v>6203</x:v>
      </x:c>
      <x:c r="C274" s="290" t="str">
        <x:v>太微金曜·曜仪</x:v>
      </x:c>
      <x:c r="D274" s="290" t="str">
        <x:v>太微金曜</x:v>
      </x:c>
      <x:c r="E274" s="290" t="n">
        <x:v>1</x:v>
      </x:c>
      <x:c r="F274" s="290" t="str">
        <x:v>头盔</x:v>
      </x:c>
      <x:c r="G274" s="289"/>
      <x:c r="H274" s="289"/>
      <x:c r="I274" s="289" t="n">
        <x:v>6203</x:v>
      </x:c>
      <x:c r="J274" s="289"/>
      <x:c r="K274" s="289"/>
      <x:c r="L274" s="289"/>
      <x:c r="M274" s="289" t="n">
        <x:v>6203</x:v>
      </x:c>
      <x:c r="N274" s="289" t="n">
        <x:v>6203</x:v>
      </x:c>
      <x:c r="O274" s="289" t="n">
        <x:v>6203</x:v>
      </x:c>
      <x:c r="P274" s="292"/>
      <x:c r="Q274" s="292" t="str">
        <x:v>原九部位资源库已登记</x:v>
      </x:c>
      <x:c r="R274" s="292" t="str"/>
      <x:c r="S274" s="292" t="str">
        <x:v>装备素材套装代码表.xlsx（原九部位）</x:v>
      </x:c>
      <x:c r="T274" s="292" t="str">
        <x:v>同一代码用于 Items / StateItem / DnItems；属性与掉落另表定义。</x:v>
      </x:c>
      <x:c r="U274" t="str">
        <x:f>IF(COUNTIF($B$2:$B$1076,B274)&gt;1,"重复","")</x:f>
      </x:c>
      <x:c r="V274" t="str">
        <x:f>IF(AND(OR(M274="",M274=B274),OR(N274="",N274=B274),OR(O274="",O274=B274)),"通过","不一致")</x:f>
        <x:v>通过</x:v>
      </x:c>
    </x:row>
    <x:row r="275" ht="22" customHeight="1">
      <x:c r="A275" s="289" t="n">
        <x:v>274</x:v>
      </x:c>
      <x:c r="B275" s="289" t="n">
        <x:v>6204</x:v>
      </x:c>
      <x:c r="C275" s="290" t="str">
        <x:v>太微金曜·曜仪</x:v>
      </x:c>
      <x:c r="D275" s="290" t="str">
        <x:v>太微金曜</x:v>
      </x:c>
      <x:c r="E275" s="290" t="n">
        <x:v>1</x:v>
      </x:c>
      <x:c r="F275" s="290" t="str">
        <x:v>手镯</x:v>
      </x:c>
      <x:c r="G275" s="289"/>
      <x:c r="H275" s="289"/>
      <x:c r="I275" s="289" t="n">
        <x:v>6204</x:v>
      </x:c>
      <x:c r="J275" s="289"/>
      <x:c r="K275" s="289"/>
      <x:c r="L275" s="289"/>
      <x:c r="M275" s="289" t="n">
        <x:v>6204</x:v>
      </x:c>
      <x:c r="N275" s="289" t="n">
        <x:v>6204</x:v>
      </x:c>
      <x:c r="O275" s="289" t="n">
        <x:v>6204</x:v>
      </x:c>
      <x:c r="P275" s="292"/>
      <x:c r="Q275" s="292" t="str">
        <x:v>原九部位资源库已登记</x:v>
      </x:c>
      <x:c r="R275" s="292" t="str"/>
      <x:c r="S275" s="292" t="str">
        <x:v>装备素材套装代码表.xlsx（原九部位）</x:v>
      </x:c>
      <x:c r="T275" s="292" t="str">
        <x:v>同一代码用于 Items / StateItem / DnItems；属性与掉落另表定义。</x:v>
      </x:c>
      <x:c r="U275" t="str">
        <x:f>IF(COUNTIF($B$2:$B$1076,B275)&gt;1,"重复","")</x:f>
      </x:c>
      <x:c r="V275" t="str">
        <x:f>IF(AND(OR(M275="",M275=B275),OR(N275="",N275=B275),OR(O275="",O275=B275)),"通过","不一致")</x:f>
        <x:v>通过</x:v>
      </x:c>
    </x:row>
    <x:row r="276" ht="22" customHeight="1">
      <x:c r="A276" s="289" t="n">
        <x:v>275</x:v>
      </x:c>
      <x:c r="B276" s="289" t="n">
        <x:v>6205</x:v>
      </x:c>
      <x:c r="C276" s="290" t="str">
        <x:v>太微金曜·曜仪</x:v>
      </x:c>
      <x:c r="D276" s="290" t="str">
        <x:v>太微金曜</x:v>
      </x:c>
      <x:c r="E276" s="290" t="n">
        <x:v>1</x:v>
      </x:c>
      <x:c r="F276" s="290" t="str">
        <x:v>戒指</x:v>
      </x:c>
      <x:c r="G276" s="289"/>
      <x:c r="H276" s="289"/>
      <x:c r="I276" s="289" t="n">
        <x:v>6205</x:v>
      </x:c>
      <x:c r="J276" s="289"/>
      <x:c r="K276" s="289"/>
      <x:c r="L276" s="289"/>
      <x:c r="M276" s="289" t="n">
        <x:v>6205</x:v>
      </x:c>
      <x:c r="N276" s="289" t="n">
        <x:v>6205</x:v>
      </x:c>
      <x:c r="O276" s="289" t="n">
        <x:v>6205</x:v>
      </x:c>
      <x:c r="P276" s="292"/>
      <x:c r="Q276" s="292" t="str">
        <x:v>原九部位资源库已登记</x:v>
      </x:c>
      <x:c r="R276" s="292" t="str"/>
      <x:c r="S276" s="292" t="str">
        <x:v>装备素材套装代码表.xlsx（原九部位）</x:v>
      </x:c>
      <x:c r="T276" s="292" t="str">
        <x:v>同一代码用于 Items / StateItem / DnItems；属性与掉落另表定义。</x:v>
      </x:c>
      <x:c r="U276" t="str">
        <x:f>IF(COUNTIF($B$2:$B$1076,B276)&gt;1,"重复","")</x:f>
      </x:c>
      <x:c r="V276" t="str">
        <x:f>IF(AND(OR(M276="",M276=B276),OR(N276="",N276=B276),OR(O276="",O276=B276)),"通过","不一致")</x:f>
        <x:v>通过</x:v>
      </x:c>
    </x:row>
    <x:row r="277" ht="22" customHeight="1">
      <x:c r="A277" s="289" t="n">
        <x:v>276</x:v>
      </x:c>
      <x:c r="B277" s="289" t="n">
        <x:v>6206</x:v>
      </x:c>
      <x:c r="C277" s="290" t="str">
        <x:v>太微金曜·曜仪</x:v>
      </x:c>
      <x:c r="D277" s="290" t="str">
        <x:v>太微金曜</x:v>
      </x:c>
      <x:c r="E277" s="290" t="n">
        <x:v>1</x:v>
      </x:c>
      <x:c r="F277" s="290" t="str">
        <x:v>盾牌</x:v>
      </x:c>
      <x:c r="G277" s="289"/>
      <x:c r="H277" s="289"/>
      <x:c r="I277" s="289" t="n">
        <x:v>6206</x:v>
      </x:c>
      <x:c r="J277" s="289"/>
      <x:c r="K277" s="289"/>
      <x:c r="L277" s="289"/>
      <x:c r="M277" s="289" t="n">
        <x:v>6206</x:v>
      </x:c>
      <x:c r="N277" s="289" t="n">
        <x:v>6206</x:v>
      </x:c>
      <x:c r="O277" s="289" t="n">
        <x:v>6206</x:v>
      </x:c>
      <x:c r="P277" s="292"/>
      <x:c r="Q277" s="292" t="str">
        <x:v>原九部位资源库已登记</x:v>
      </x:c>
      <x:c r="R277" s="292" t="str"/>
      <x:c r="S277" s="292" t="str">
        <x:v>装备素材套装代码表.xlsx（原九部位）</x:v>
      </x:c>
      <x:c r="T277" s="292" t="str">
        <x:v>同一代码用于 Items / StateItem / DnItems；属性与掉落另表定义。</x:v>
      </x:c>
      <x:c r="U277" t="str">
        <x:f>IF(COUNTIF($B$2:$B$1076,B277)&gt;1,"重复","")</x:f>
      </x:c>
      <x:c r="V277" t="str">
        <x:f>IF(AND(OR(M277="",M277=B277),OR(N277="",N277=B277),OR(O277="",O277=B277)),"通过","不一致")</x:f>
        <x:v>通过</x:v>
      </x:c>
    </x:row>
    <x:row r="278" ht="22" customHeight="1">
      <x:c r="A278" s="289" t="n">
        <x:v>277</x:v>
      </x:c>
      <x:c r="B278" s="289" t="n">
        <x:v>6207</x:v>
      </x:c>
      <x:c r="C278" s="290" t="str">
        <x:v>太微金曜·曜仪</x:v>
      </x:c>
      <x:c r="D278" s="290" t="str">
        <x:v>太微金曜</x:v>
      </x:c>
      <x:c r="E278" s="290" t="n">
        <x:v>1</x:v>
      </x:c>
      <x:c r="F278" s="290" t="str">
        <x:v>灵玉</x:v>
      </x:c>
      <x:c r="G278" s="289"/>
      <x:c r="H278" s="289"/>
      <x:c r="I278" s="289" t="n">
        <x:v>6207</x:v>
      </x:c>
      <x:c r="J278" s="289"/>
      <x:c r="K278" s="289"/>
      <x:c r="L278" s="289"/>
      <x:c r="M278" s="289" t="n">
        <x:v>6207</x:v>
      </x:c>
      <x:c r="N278" s="289" t="n">
        <x:v>6207</x:v>
      </x:c>
      <x:c r="O278" s="289" t="n">
        <x:v>6207</x:v>
      </x:c>
      <x:c r="P278" s="292"/>
      <x:c r="Q278" s="292" t="str">
        <x:v>原九部位资源库已登记</x:v>
      </x:c>
      <x:c r="R278" s="292" t="str"/>
      <x:c r="S278" s="292" t="str">
        <x:v>装备素材套装代码表.xlsx（原九部位）</x:v>
      </x:c>
      <x:c r="T278" s="292" t="str">
        <x:v>同一代码用于 Items / StateItem / DnItems；属性与掉落另表定义。</x:v>
      </x:c>
      <x:c r="U278" t="str">
        <x:f>IF(COUNTIF($B$2:$B$1076,B278)&gt;1,"重复","")</x:f>
      </x:c>
      <x:c r="V278" t="str">
        <x:f>IF(AND(OR(M278="",M278=B278),OR(N278="",N278=B278),OR(O278="",O278=B278)),"通过","不一致")</x:f>
        <x:v>通过</x:v>
      </x:c>
    </x:row>
    <x:row r="279" ht="22" customHeight="1">
      <x:c r="A279" s="289" t="n">
        <x:v>278</x:v>
      </x:c>
      <x:c r="B279" s="289" t="n">
        <x:v>6208</x:v>
      </x:c>
      <x:c r="C279" s="290" t="str">
        <x:v>太微金曜·曜仪</x:v>
      </x:c>
      <x:c r="D279" s="290" t="str">
        <x:v>太微金曜</x:v>
      </x:c>
      <x:c r="E279" s="290" t="n">
        <x:v>1</x:v>
      </x:c>
      <x:c r="F279" s="290" t="str">
        <x:v>鞋子</x:v>
      </x:c>
      <x:c r="G279" s="289"/>
      <x:c r="H279" s="289"/>
      <x:c r="I279" s="289" t="n">
        <x:v>6208</x:v>
      </x:c>
      <x:c r="J279" s="289"/>
      <x:c r="K279" s="289"/>
      <x:c r="L279" s="289"/>
      <x:c r="M279" s="289" t="n">
        <x:v>6208</x:v>
      </x:c>
      <x:c r="N279" s="289" t="n">
        <x:v>6208</x:v>
      </x:c>
      <x:c r="O279" s="289" t="n">
        <x:v>6208</x:v>
      </x:c>
      <x:c r="P279" s="292"/>
      <x:c r="Q279" s="292" t="str">
        <x:v>原九部位资源库已登记</x:v>
      </x:c>
      <x:c r="R279" s="292" t="str"/>
      <x:c r="S279" s="292" t="str">
        <x:v>装备素材套装代码表.xlsx（原九部位）</x:v>
      </x:c>
      <x:c r="T279" s="292" t="str">
        <x:v>同一代码用于 Items / StateItem / DnItems；属性与掉落另表定义。</x:v>
      </x:c>
      <x:c r="U279" t="str">
        <x:f>IF(COUNTIF($B$2:$B$1076,B279)&gt;1,"重复","")</x:f>
      </x:c>
      <x:c r="V279" t="str">
        <x:f>IF(AND(OR(M279="",M279=B279),OR(N279="",N279=B279),OR(O279="",O279=B279)),"通过","不一致")</x:f>
        <x:v>通过</x:v>
      </x:c>
    </x:row>
    <x:row r="280" ht="22" customHeight="1">
      <x:c r="A280" s="289" t="n">
        <x:v>279</x:v>
      </x:c>
      <x:c r="B280" s="289" t="n">
        <x:v>6209</x:v>
      </x:c>
      <x:c r="C280" s="290" t="str">
        <x:v>太微金曜·曜仪</x:v>
      </x:c>
      <x:c r="D280" s="290" t="str">
        <x:v>太微金曜</x:v>
      </x:c>
      <x:c r="E280" s="290" t="n">
        <x:v>1</x:v>
      </x:c>
      <x:c r="F280" s="290" t="str">
        <x:v>腰带</x:v>
      </x:c>
      <x:c r="G280" s="289"/>
      <x:c r="H280" s="289"/>
      <x:c r="I280" s="289" t="n">
        <x:v>6209</x:v>
      </x:c>
      <x:c r="J280" s="289"/>
      <x:c r="K280" s="289"/>
      <x:c r="L280" s="289"/>
      <x:c r="M280" s="289" t="n">
        <x:v>6209</x:v>
      </x:c>
      <x:c r="N280" s="289" t="n">
        <x:v>6209</x:v>
      </x:c>
      <x:c r="O280" s="289" t="n">
        <x:v>6209</x:v>
      </x:c>
      <x:c r="P280" s="292"/>
      <x:c r="Q280" s="292" t="str">
        <x:v>原九部位资源库已登记</x:v>
      </x:c>
      <x:c r="R280" s="292" t="str"/>
      <x:c r="S280" s="292" t="str">
        <x:v>装备素材套装代码表.xlsx（原九部位）</x:v>
      </x:c>
      <x:c r="T280" s="292" t="str">
        <x:v>同一代码用于 Items / StateItem / DnItems；属性与掉落另表定义。</x:v>
      </x:c>
      <x:c r="U280" t="str">
        <x:f>IF(COUNTIF($B$2:$B$1076,B280)&gt;1,"重复","")</x:f>
      </x:c>
      <x:c r="V280" t="str">
        <x:f>IF(AND(OR(M280="",M280=B280),OR(N280="",N280=B280),OR(O280="",O280=B280)),"通过","不一致")</x:f>
        <x:v>通过</x:v>
      </x:c>
    </x:row>
    <x:row r="281" ht="22" customHeight="1">
      <x:c r="A281" s="289" t="n">
        <x:v>280</x:v>
      </x:c>
      <x:c r="B281" s="289" t="n">
        <x:v>6210</x:v>
      </x:c>
      <x:c r="C281" s="290" t="str">
        <x:v>玄衡月蚀·月轮</x:v>
      </x:c>
      <x:c r="D281" s="290" t="str">
        <x:v>玄衡月蚀</x:v>
      </x:c>
      <x:c r="E281" s="290" t="n">
        <x:v>1</x:v>
      </x:c>
      <x:c r="F281" s="290" t="str">
        <x:v>勋章</x:v>
      </x:c>
      <x:c r="G281" s="289"/>
      <x:c r="H281" s="289"/>
      <x:c r="I281" s="289" t="n">
        <x:v>6210</x:v>
      </x:c>
      <x:c r="J281" s="289"/>
      <x:c r="K281" s="289"/>
      <x:c r="L281" s="289"/>
      <x:c r="M281" s="289" t="n">
        <x:v>6210</x:v>
      </x:c>
      <x:c r="N281" s="289" t="n">
        <x:v>6210</x:v>
      </x:c>
      <x:c r="O281" s="289" t="n">
        <x:v>6210</x:v>
      </x:c>
      <x:c r="P281" s="292"/>
      <x:c r="Q281" s="292" t="str">
        <x:v>原九部位资源库已登记</x:v>
      </x:c>
      <x:c r="R281" s="292" t="str"/>
      <x:c r="S281" s="292" t="str">
        <x:v>装备素材套装代码表.xlsx（原九部位）</x:v>
      </x:c>
      <x:c r="T281" s="292" t="str">
        <x:v>同一代码用于 Items / StateItem / DnItems；属性与掉落另表定义。</x:v>
      </x:c>
      <x:c r="U281" t="str">
        <x:f>IF(COUNTIF($B$2:$B$1076,B281)&gt;1,"重复","")</x:f>
      </x:c>
      <x:c r="V281" t="str">
        <x:f>IF(AND(OR(M281="",M281=B281),OR(N281="",N281=B281),OR(O281="",O281=B281)),"通过","不一致")</x:f>
        <x:v>通过</x:v>
      </x:c>
    </x:row>
    <x:row r="282" ht="22" customHeight="1">
      <x:c r="A282" s="289" t="n">
        <x:v>281</x:v>
      </x:c>
      <x:c r="B282" s="289" t="n">
        <x:v>6211</x:v>
      </x:c>
      <x:c r="C282" s="290" t="str">
        <x:v>玄衡月蚀·月轮</x:v>
      </x:c>
      <x:c r="D282" s="290" t="str">
        <x:v>玄衡月蚀</x:v>
      </x:c>
      <x:c r="E282" s="290" t="n">
        <x:v>1</x:v>
      </x:c>
      <x:c r="F282" s="290" t="str">
        <x:v>项链</x:v>
      </x:c>
      <x:c r="G282" s="289"/>
      <x:c r="H282" s="289"/>
      <x:c r="I282" s="289" t="n">
        <x:v>6211</x:v>
      </x:c>
      <x:c r="J282" s="289"/>
      <x:c r="K282" s="289"/>
      <x:c r="L282" s="289"/>
      <x:c r="M282" s="289" t="n">
        <x:v>6211</x:v>
      </x:c>
      <x:c r="N282" s="289" t="n">
        <x:v>6211</x:v>
      </x:c>
      <x:c r="O282" s="289" t="n">
        <x:v>6211</x:v>
      </x:c>
      <x:c r="P282" s="292"/>
      <x:c r="Q282" s="292" t="str">
        <x:v>原九部位资源库已登记</x:v>
      </x:c>
      <x:c r="R282" s="292" t="str"/>
      <x:c r="S282" s="292" t="str">
        <x:v>装备素材套装代码表.xlsx（原九部位）</x:v>
      </x:c>
      <x:c r="T282" s="292" t="str">
        <x:v>同一代码用于 Items / StateItem / DnItems；属性与掉落另表定义。</x:v>
      </x:c>
      <x:c r="U282" t="str">
        <x:f>IF(COUNTIF($B$2:$B$1076,B282)&gt;1,"重复","")</x:f>
      </x:c>
      <x:c r="V282" t="str">
        <x:f>IF(AND(OR(M282="",M282=B282),OR(N282="",N282=B282),OR(O282="",O282=B282)),"通过","不一致")</x:f>
        <x:v>通过</x:v>
      </x:c>
    </x:row>
    <x:row r="283" ht="22" customHeight="1">
      <x:c r="A283" s="289" t="n">
        <x:v>282</x:v>
      </x:c>
      <x:c r="B283" s="289" t="n">
        <x:v>6212</x:v>
      </x:c>
      <x:c r="C283" s="290" t="str">
        <x:v>玄衡月蚀·月轮</x:v>
      </x:c>
      <x:c r="D283" s="290" t="str">
        <x:v>玄衡月蚀</x:v>
      </x:c>
      <x:c r="E283" s="290" t="n">
        <x:v>1</x:v>
      </x:c>
      <x:c r="F283" s="290" t="str">
        <x:v>头盔</x:v>
      </x:c>
      <x:c r="G283" s="289"/>
      <x:c r="H283" s="289"/>
      <x:c r="I283" s="289" t="n">
        <x:v>6212</x:v>
      </x:c>
      <x:c r="J283" s="289"/>
      <x:c r="K283" s="289"/>
      <x:c r="L283" s="289"/>
      <x:c r="M283" s="289" t="n">
        <x:v>6212</x:v>
      </x:c>
      <x:c r="N283" s="289" t="n">
        <x:v>6212</x:v>
      </x:c>
      <x:c r="O283" s="289" t="n">
        <x:v>6212</x:v>
      </x:c>
      <x:c r="P283" s="292"/>
      <x:c r="Q283" s="292" t="str">
        <x:v>原九部位资源库已登记</x:v>
      </x:c>
      <x:c r="R283" s="292" t="str"/>
      <x:c r="S283" s="292" t="str">
        <x:v>装备素材套装代码表.xlsx（原九部位）</x:v>
      </x:c>
      <x:c r="T283" s="292" t="str">
        <x:v>同一代码用于 Items / StateItem / DnItems；属性与掉落另表定义。</x:v>
      </x:c>
      <x:c r="U283" t="str">
        <x:f>IF(COUNTIF($B$2:$B$1076,B283)&gt;1,"重复","")</x:f>
      </x:c>
      <x:c r="V283" t="str">
        <x:f>IF(AND(OR(M283="",M283=B283),OR(N283="",N283=B283),OR(O283="",O283=B283)),"通过","不一致")</x:f>
        <x:v>通过</x:v>
      </x:c>
    </x:row>
    <x:row r="284" ht="22" customHeight="1">
      <x:c r="A284" s="289" t="n">
        <x:v>283</x:v>
      </x:c>
      <x:c r="B284" s="289" t="n">
        <x:v>6213</x:v>
      </x:c>
      <x:c r="C284" s="290" t="str">
        <x:v>玄衡月蚀·月轮</x:v>
      </x:c>
      <x:c r="D284" s="290" t="str">
        <x:v>玄衡月蚀</x:v>
      </x:c>
      <x:c r="E284" s="290" t="n">
        <x:v>1</x:v>
      </x:c>
      <x:c r="F284" s="290" t="str">
        <x:v>手镯</x:v>
      </x:c>
      <x:c r="G284" s="289"/>
      <x:c r="H284" s="289"/>
      <x:c r="I284" s="289" t="n">
        <x:v>6213</x:v>
      </x:c>
      <x:c r="J284" s="289"/>
      <x:c r="K284" s="289"/>
      <x:c r="L284" s="289"/>
      <x:c r="M284" s="289" t="n">
        <x:v>6213</x:v>
      </x:c>
      <x:c r="N284" s="289" t="n">
        <x:v>6213</x:v>
      </x:c>
      <x:c r="O284" s="289" t="n">
        <x:v>6213</x:v>
      </x:c>
      <x:c r="P284" s="292"/>
      <x:c r="Q284" s="292" t="str">
        <x:v>原九部位资源库已登记</x:v>
      </x:c>
      <x:c r="R284" s="292" t="str"/>
      <x:c r="S284" s="292" t="str">
        <x:v>装备素材套装代码表.xlsx（原九部位）</x:v>
      </x:c>
      <x:c r="T284" s="292" t="str">
        <x:v>同一代码用于 Items / StateItem / DnItems；属性与掉落另表定义。</x:v>
      </x:c>
      <x:c r="U284" t="str">
        <x:f>IF(COUNTIF($B$2:$B$1076,B284)&gt;1,"重复","")</x:f>
      </x:c>
      <x:c r="V284" t="str">
        <x:f>IF(AND(OR(M284="",M284=B284),OR(N284="",N284=B284),OR(O284="",O284=B284)),"通过","不一致")</x:f>
        <x:v>通过</x:v>
      </x:c>
    </x:row>
    <x:row r="285" ht="22" customHeight="1">
      <x:c r="A285" s="289" t="n">
        <x:v>284</x:v>
      </x:c>
      <x:c r="B285" s="289" t="n">
        <x:v>6214</x:v>
      </x:c>
      <x:c r="C285" s="290" t="str">
        <x:v>玄衡月蚀·月轮</x:v>
      </x:c>
      <x:c r="D285" s="290" t="str">
        <x:v>玄衡月蚀</x:v>
      </x:c>
      <x:c r="E285" s="290" t="n">
        <x:v>1</x:v>
      </x:c>
      <x:c r="F285" s="290" t="str">
        <x:v>戒指</x:v>
      </x:c>
      <x:c r="G285" s="289"/>
      <x:c r="H285" s="289"/>
      <x:c r="I285" s="289" t="n">
        <x:v>6214</x:v>
      </x:c>
      <x:c r="J285" s="289"/>
      <x:c r="K285" s="289"/>
      <x:c r="L285" s="289"/>
      <x:c r="M285" s="289" t="n">
        <x:v>6214</x:v>
      </x:c>
      <x:c r="N285" s="289" t="n">
        <x:v>6214</x:v>
      </x:c>
      <x:c r="O285" s="289" t="n">
        <x:v>6214</x:v>
      </x:c>
      <x:c r="P285" s="292"/>
      <x:c r="Q285" s="292" t="str">
        <x:v>原九部位资源库已登记</x:v>
      </x:c>
      <x:c r="R285" s="292" t="str"/>
      <x:c r="S285" s="292" t="str">
        <x:v>装备素材套装代码表.xlsx（原九部位）</x:v>
      </x:c>
      <x:c r="T285" s="292" t="str">
        <x:v>同一代码用于 Items / StateItem / DnItems；属性与掉落另表定义。</x:v>
      </x:c>
      <x:c r="U285" t="str">
        <x:f>IF(COUNTIF($B$2:$B$1076,B285)&gt;1,"重复","")</x:f>
      </x:c>
      <x:c r="V285" t="str">
        <x:f>IF(AND(OR(M285="",M285=B285),OR(N285="",N285=B285),OR(O285="",O285=B285)),"通过","不一致")</x:f>
        <x:v>通过</x:v>
      </x:c>
    </x:row>
    <x:row r="286" ht="22" customHeight="1">
      <x:c r="A286" s="289" t="n">
        <x:v>285</x:v>
      </x:c>
      <x:c r="B286" s="289" t="n">
        <x:v>6215</x:v>
      </x:c>
      <x:c r="C286" s="290" t="str">
        <x:v>玄衡月蚀·月轮</x:v>
      </x:c>
      <x:c r="D286" s="290" t="str">
        <x:v>玄衡月蚀</x:v>
      </x:c>
      <x:c r="E286" s="290" t="n">
        <x:v>1</x:v>
      </x:c>
      <x:c r="F286" s="290" t="str">
        <x:v>盾牌</x:v>
      </x:c>
      <x:c r="G286" s="289"/>
      <x:c r="H286" s="289"/>
      <x:c r="I286" s="289" t="n">
        <x:v>6215</x:v>
      </x:c>
      <x:c r="J286" s="289"/>
      <x:c r="K286" s="289"/>
      <x:c r="L286" s="289"/>
      <x:c r="M286" s="289" t="n">
        <x:v>6215</x:v>
      </x:c>
      <x:c r="N286" s="289" t="n">
        <x:v>6215</x:v>
      </x:c>
      <x:c r="O286" s="289" t="n">
        <x:v>6215</x:v>
      </x:c>
      <x:c r="P286" s="292"/>
      <x:c r="Q286" s="292" t="str">
        <x:v>原九部位资源库已登记</x:v>
      </x:c>
      <x:c r="R286" s="292" t="str"/>
      <x:c r="S286" s="292" t="str">
        <x:v>装备素材套装代码表.xlsx（原九部位）</x:v>
      </x:c>
      <x:c r="T286" s="292" t="str">
        <x:v>同一代码用于 Items / StateItem / DnItems；属性与掉落另表定义。</x:v>
      </x:c>
      <x:c r="U286" t="str">
        <x:f>IF(COUNTIF($B$2:$B$1076,B286)&gt;1,"重复","")</x:f>
      </x:c>
      <x:c r="V286" t="str">
        <x:f>IF(AND(OR(M286="",M286=B286),OR(N286="",N286=B286),OR(O286="",O286=B286)),"通过","不一致")</x:f>
        <x:v>通过</x:v>
      </x:c>
    </x:row>
    <x:row r="287" ht="22" customHeight="1">
      <x:c r="A287" s="289" t="n">
        <x:v>286</x:v>
      </x:c>
      <x:c r="B287" s="289" t="n">
        <x:v>6216</x:v>
      </x:c>
      <x:c r="C287" s="290" t="str">
        <x:v>玄衡月蚀·月轮</x:v>
      </x:c>
      <x:c r="D287" s="290" t="str">
        <x:v>玄衡月蚀</x:v>
      </x:c>
      <x:c r="E287" s="290" t="n">
        <x:v>1</x:v>
      </x:c>
      <x:c r="F287" s="290" t="str">
        <x:v>灵玉</x:v>
      </x:c>
      <x:c r="G287" s="289"/>
      <x:c r="H287" s="289"/>
      <x:c r="I287" s="289" t="n">
        <x:v>6216</x:v>
      </x:c>
      <x:c r="J287" s="289"/>
      <x:c r="K287" s="289"/>
      <x:c r="L287" s="289"/>
      <x:c r="M287" s="289" t="n">
        <x:v>6216</x:v>
      </x:c>
      <x:c r="N287" s="289" t="n">
        <x:v>6216</x:v>
      </x:c>
      <x:c r="O287" s="289" t="n">
        <x:v>6216</x:v>
      </x:c>
      <x:c r="P287" s="292"/>
      <x:c r="Q287" s="292" t="str">
        <x:v>原九部位资源库已登记</x:v>
      </x:c>
      <x:c r="R287" s="292" t="str"/>
      <x:c r="S287" s="292" t="str">
        <x:v>装备素材套装代码表.xlsx（原九部位）</x:v>
      </x:c>
      <x:c r="T287" s="292" t="str">
        <x:v>同一代码用于 Items / StateItem / DnItems；属性与掉落另表定义。</x:v>
      </x:c>
      <x:c r="U287" t="str">
        <x:f>IF(COUNTIF($B$2:$B$1076,B287)&gt;1,"重复","")</x:f>
      </x:c>
      <x:c r="V287" t="str">
        <x:f>IF(AND(OR(M287="",M287=B287),OR(N287="",N287=B287),OR(O287="",O287=B287)),"通过","不一致")</x:f>
        <x:v>通过</x:v>
      </x:c>
    </x:row>
    <x:row r="288" ht="22" customHeight="1">
      <x:c r="A288" s="289" t="n">
        <x:v>287</x:v>
      </x:c>
      <x:c r="B288" s="289" t="n">
        <x:v>6217</x:v>
      </x:c>
      <x:c r="C288" s="290" t="str">
        <x:v>玄衡月蚀·月轮</x:v>
      </x:c>
      <x:c r="D288" s="290" t="str">
        <x:v>玄衡月蚀</x:v>
      </x:c>
      <x:c r="E288" s="290" t="n">
        <x:v>1</x:v>
      </x:c>
      <x:c r="F288" s="290" t="str">
        <x:v>鞋子</x:v>
      </x:c>
      <x:c r="G288" s="289"/>
      <x:c r="H288" s="289"/>
      <x:c r="I288" s="289" t="n">
        <x:v>6217</x:v>
      </x:c>
      <x:c r="J288" s="289"/>
      <x:c r="K288" s="289"/>
      <x:c r="L288" s="289"/>
      <x:c r="M288" s="289" t="n">
        <x:v>6217</x:v>
      </x:c>
      <x:c r="N288" s="289" t="n">
        <x:v>6217</x:v>
      </x:c>
      <x:c r="O288" s="289" t="n">
        <x:v>6217</x:v>
      </x:c>
      <x:c r="P288" s="292"/>
      <x:c r="Q288" s="292" t="str">
        <x:v>原九部位资源库已登记</x:v>
      </x:c>
      <x:c r="R288" s="292" t="str"/>
      <x:c r="S288" s="292" t="str">
        <x:v>装备素材套装代码表.xlsx（原九部位）</x:v>
      </x:c>
      <x:c r="T288" s="292" t="str">
        <x:v>同一代码用于 Items / StateItem / DnItems；属性与掉落另表定义。</x:v>
      </x:c>
      <x:c r="U288" t="str">
        <x:f>IF(COUNTIF($B$2:$B$1076,B288)&gt;1,"重复","")</x:f>
      </x:c>
      <x:c r="V288" t="str">
        <x:f>IF(AND(OR(M288="",M288=B288),OR(N288="",N288=B288),OR(O288="",O288=B288)),"通过","不一致")</x:f>
        <x:v>通过</x:v>
      </x:c>
    </x:row>
    <x:row r="289" ht="22" customHeight="1">
      <x:c r="A289" s="289" t="n">
        <x:v>288</x:v>
      </x:c>
      <x:c r="B289" s="289" t="n">
        <x:v>6218</x:v>
      </x:c>
      <x:c r="C289" s="290" t="str">
        <x:v>玄衡月蚀·月轮</x:v>
      </x:c>
      <x:c r="D289" s="290" t="str">
        <x:v>玄衡月蚀</x:v>
      </x:c>
      <x:c r="E289" s="290" t="n">
        <x:v>1</x:v>
      </x:c>
      <x:c r="F289" s="290" t="str">
        <x:v>腰带</x:v>
      </x:c>
      <x:c r="G289" s="289"/>
      <x:c r="H289" s="289"/>
      <x:c r="I289" s="289" t="n">
        <x:v>6218</x:v>
      </x:c>
      <x:c r="J289" s="289"/>
      <x:c r="K289" s="289"/>
      <x:c r="L289" s="289"/>
      <x:c r="M289" s="289" t="n">
        <x:v>6218</x:v>
      </x:c>
      <x:c r="N289" s="289" t="n">
        <x:v>6218</x:v>
      </x:c>
      <x:c r="O289" s="289" t="n">
        <x:v>6218</x:v>
      </x:c>
      <x:c r="P289" s="292"/>
      <x:c r="Q289" s="292" t="str">
        <x:v>原九部位资源库已登记</x:v>
      </x:c>
      <x:c r="R289" s="292" t="str"/>
      <x:c r="S289" s="292" t="str">
        <x:v>装备素材套装代码表.xlsx（原九部位）</x:v>
      </x:c>
      <x:c r="T289" s="292" t="str">
        <x:v>同一代码用于 Items / StateItem / DnItems；属性与掉落另表定义。</x:v>
      </x:c>
      <x:c r="U289" t="str">
        <x:f>IF(COUNTIF($B$2:$B$1076,B289)&gt;1,"重复","")</x:f>
      </x:c>
      <x:c r="V289" t="str">
        <x:f>IF(AND(OR(M289="",M289=B289),OR(N289="",N289=B289),OR(O289="",O289=B289)),"通过","不一致")</x:f>
        <x:v>通过</x:v>
      </x:c>
    </x:row>
    <x:row r="290" ht="22" customHeight="1">
      <x:c r="A290" s="289" t="n">
        <x:v>289</x:v>
      </x:c>
      <x:c r="B290" s="289" t="n">
        <x:v>6219</x:v>
      </x:c>
      <x:c r="C290" s="290" t="str">
        <x:v>苍辰木火·青焰</x:v>
      </x:c>
      <x:c r="D290" s="290" t="str">
        <x:v>苍辰木火</x:v>
      </x:c>
      <x:c r="E290" s="290" t="n">
        <x:v>1</x:v>
      </x:c>
      <x:c r="F290" s="290" t="str">
        <x:v>勋章</x:v>
      </x:c>
      <x:c r="G290" s="289"/>
      <x:c r="H290" s="289"/>
      <x:c r="I290" s="289" t="n">
        <x:v>6219</x:v>
      </x:c>
      <x:c r="J290" s="289"/>
      <x:c r="K290" s="289"/>
      <x:c r="L290" s="289"/>
      <x:c r="M290" s="289" t="n">
        <x:v>6219</x:v>
      </x:c>
      <x:c r="N290" s="289" t="n">
        <x:v>6219</x:v>
      </x:c>
      <x:c r="O290" s="289" t="n">
        <x:v>6219</x:v>
      </x:c>
      <x:c r="P290" s="292"/>
      <x:c r="Q290" s="292" t="str">
        <x:v>原九部位资源库已登记</x:v>
      </x:c>
      <x:c r="R290" s="292" t="str"/>
      <x:c r="S290" s="292" t="str">
        <x:v>装备素材套装代码表.xlsx（原九部位）</x:v>
      </x:c>
      <x:c r="T290" s="292" t="str">
        <x:v>同一代码用于 Items / StateItem / DnItems；属性与掉落另表定义。</x:v>
      </x:c>
      <x:c r="U290" t="str">
        <x:f>IF(COUNTIF($B$2:$B$1076,B290)&gt;1,"重复","")</x:f>
      </x:c>
      <x:c r="V290" t="str">
        <x:f>IF(AND(OR(M290="",M290=B290),OR(N290="",N290=B290),OR(O290="",O290=B290)),"通过","不一致")</x:f>
        <x:v>通过</x:v>
      </x:c>
    </x:row>
    <x:row r="291" ht="22" customHeight="1">
      <x:c r="A291" s="289" t="n">
        <x:v>290</x:v>
      </x:c>
      <x:c r="B291" s="289" t="n">
        <x:v>6220</x:v>
      </x:c>
      <x:c r="C291" s="290" t="str">
        <x:v>苍辰木火·青焰</x:v>
      </x:c>
      <x:c r="D291" s="290" t="str">
        <x:v>苍辰木火</x:v>
      </x:c>
      <x:c r="E291" s="290" t="n">
        <x:v>1</x:v>
      </x:c>
      <x:c r="F291" s="290" t="str">
        <x:v>项链</x:v>
      </x:c>
      <x:c r="G291" s="289"/>
      <x:c r="H291" s="289"/>
      <x:c r="I291" s="289" t="n">
        <x:v>6220</x:v>
      </x:c>
      <x:c r="J291" s="289"/>
      <x:c r="K291" s="289"/>
      <x:c r="L291" s="289"/>
      <x:c r="M291" s="289" t="n">
        <x:v>6220</x:v>
      </x:c>
      <x:c r="N291" s="289" t="n">
        <x:v>6220</x:v>
      </x:c>
      <x:c r="O291" s="289" t="n">
        <x:v>6220</x:v>
      </x:c>
      <x:c r="P291" s="292"/>
      <x:c r="Q291" s="292" t="str">
        <x:v>原九部位资源库已登记</x:v>
      </x:c>
      <x:c r="R291" s="292" t="str"/>
      <x:c r="S291" s="292" t="str">
        <x:v>装备素材套装代码表.xlsx（原九部位）</x:v>
      </x:c>
      <x:c r="T291" s="292" t="str">
        <x:v>同一代码用于 Items / StateItem / DnItems；属性与掉落另表定义。</x:v>
      </x:c>
      <x:c r="U291" t="str">
        <x:f>IF(COUNTIF($B$2:$B$1076,B291)&gt;1,"重复","")</x:f>
      </x:c>
      <x:c r="V291" t="str">
        <x:f>IF(AND(OR(M291="",M291=B291),OR(N291="",N291=B291),OR(O291="",O291=B291)),"通过","不一致")</x:f>
        <x:v>通过</x:v>
      </x:c>
    </x:row>
    <x:row r="292" ht="22" customHeight="1">
      <x:c r="A292" s="289" t="n">
        <x:v>291</x:v>
      </x:c>
      <x:c r="B292" s="289" t="n">
        <x:v>6221</x:v>
      </x:c>
      <x:c r="C292" s="290" t="str">
        <x:v>苍辰木火·青焰</x:v>
      </x:c>
      <x:c r="D292" s="290" t="str">
        <x:v>苍辰木火</x:v>
      </x:c>
      <x:c r="E292" s="290" t="n">
        <x:v>1</x:v>
      </x:c>
      <x:c r="F292" s="290" t="str">
        <x:v>头盔</x:v>
      </x:c>
      <x:c r="G292" s="289"/>
      <x:c r="H292" s="289"/>
      <x:c r="I292" s="289" t="n">
        <x:v>6221</x:v>
      </x:c>
      <x:c r="J292" s="289"/>
      <x:c r="K292" s="289"/>
      <x:c r="L292" s="289"/>
      <x:c r="M292" s="289" t="n">
        <x:v>6221</x:v>
      </x:c>
      <x:c r="N292" s="289" t="n">
        <x:v>6221</x:v>
      </x:c>
      <x:c r="O292" s="289" t="n">
        <x:v>6221</x:v>
      </x:c>
      <x:c r="P292" s="292"/>
      <x:c r="Q292" s="292" t="str">
        <x:v>原九部位资源库已登记</x:v>
      </x:c>
      <x:c r="R292" s="292" t="str"/>
      <x:c r="S292" s="292" t="str">
        <x:v>装备素材套装代码表.xlsx（原九部位）</x:v>
      </x:c>
      <x:c r="T292" s="292" t="str">
        <x:v>同一代码用于 Items / StateItem / DnItems；属性与掉落另表定义。</x:v>
      </x:c>
      <x:c r="U292" t="str">
        <x:f>IF(COUNTIF($B$2:$B$1076,B292)&gt;1,"重复","")</x:f>
      </x:c>
      <x:c r="V292" t="str">
        <x:f>IF(AND(OR(M292="",M292=B292),OR(N292="",N292=B292),OR(O292="",O292=B292)),"通过","不一致")</x:f>
        <x:v>通过</x:v>
      </x:c>
    </x:row>
    <x:row r="293" ht="22" customHeight="1">
      <x:c r="A293" s="289" t="n">
        <x:v>292</x:v>
      </x:c>
      <x:c r="B293" s="289" t="n">
        <x:v>6222</x:v>
      </x:c>
      <x:c r="C293" s="290" t="str">
        <x:v>苍辰木火·青焰</x:v>
      </x:c>
      <x:c r="D293" s="290" t="str">
        <x:v>苍辰木火</x:v>
      </x:c>
      <x:c r="E293" s="290" t="n">
        <x:v>1</x:v>
      </x:c>
      <x:c r="F293" s="290" t="str">
        <x:v>手镯</x:v>
      </x:c>
      <x:c r="G293" s="289"/>
      <x:c r="H293" s="289"/>
      <x:c r="I293" s="289" t="n">
        <x:v>6222</x:v>
      </x:c>
      <x:c r="J293" s="289"/>
      <x:c r="K293" s="289"/>
      <x:c r="L293" s="289"/>
      <x:c r="M293" s="289" t="n">
        <x:v>6222</x:v>
      </x:c>
      <x:c r="N293" s="289" t="n">
        <x:v>6222</x:v>
      </x:c>
      <x:c r="O293" s="289" t="n">
        <x:v>6222</x:v>
      </x:c>
      <x:c r="P293" s="292"/>
      <x:c r="Q293" s="292" t="str">
        <x:v>原九部位资源库已登记</x:v>
      </x:c>
      <x:c r="R293" s="292" t="str"/>
      <x:c r="S293" s="292" t="str">
        <x:v>装备素材套装代码表.xlsx（原九部位）</x:v>
      </x:c>
      <x:c r="T293" s="292" t="str">
        <x:v>同一代码用于 Items / StateItem / DnItems；属性与掉落另表定义。</x:v>
      </x:c>
      <x:c r="U293" t="str">
        <x:f>IF(COUNTIF($B$2:$B$1076,B293)&gt;1,"重复","")</x:f>
      </x:c>
      <x:c r="V293" t="str">
        <x:f>IF(AND(OR(M293="",M293=B293),OR(N293="",N293=B293),OR(O293="",O293=B293)),"通过","不一致")</x:f>
        <x:v>通过</x:v>
      </x:c>
    </x:row>
    <x:row r="294" ht="22" customHeight="1">
      <x:c r="A294" s="289" t="n">
        <x:v>293</x:v>
      </x:c>
      <x:c r="B294" s="289" t="n">
        <x:v>6223</x:v>
      </x:c>
      <x:c r="C294" s="290" t="str">
        <x:v>苍辰木火·青焰</x:v>
      </x:c>
      <x:c r="D294" s="290" t="str">
        <x:v>苍辰木火</x:v>
      </x:c>
      <x:c r="E294" s="290" t="n">
        <x:v>1</x:v>
      </x:c>
      <x:c r="F294" s="290" t="str">
        <x:v>戒指</x:v>
      </x:c>
      <x:c r="G294" s="289"/>
      <x:c r="H294" s="289"/>
      <x:c r="I294" s="289" t="n">
        <x:v>6223</x:v>
      </x:c>
      <x:c r="J294" s="289"/>
      <x:c r="K294" s="289"/>
      <x:c r="L294" s="289"/>
      <x:c r="M294" s="289" t="n">
        <x:v>6223</x:v>
      </x:c>
      <x:c r="N294" s="289" t="n">
        <x:v>6223</x:v>
      </x:c>
      <x:c r="O294" s="289" t="n">
        <x:v>6223</x:v>
      </x:c>
      <x:c r="P294" s="292"/>
      <x:c r="Q294" s="292" t="str">
        <x:v>原九部位资源库已登记</x:v>
      </x:c>
      <x:c r="R294" s="292" t="str"/>
      <x:c r="S294" s="292" t="str">
        <x:v>装备素材套装代码表.xlsx（原九部位）</x:v>
      </x:c>
      <x:c r="T294" s="292" t="str">
        <x:v>同一代码用于 Items / StateItem / DnItems；属性与掉落另表定义。</x:v>
      </x:c>
      <x:c r="U294" t="str">
        <x:f>IF(COUNTIF($B$2:$B$1076,B294)&gt;1,"重复","")</x:f>
      </x:c>
      <x:c r="V294" t="str">
        <x:f>IF(AND(OR(M294="",M294=B294),OR(N294="",N294=B294),OR(O294="",O294=B294)),"通过","不一致")</x:f>
        <x:v>通过</x:v>
      </x:c>
    </x:row>
    <x:row r="295" ht="22" customHeight="1">
      <x:c r="A295" s="289" t="n">
        <x:v>294</x:v>
      </x:c>
      <x:c r="B295" s="289" t="n">
        <x:v>6224</x:v>
      </x:c>
      <x:c r="C295" s="290" t="str">
        <x:v>苍辰木火·青焰</x:v>
      </x:c>
      <x:c r="D295" s="290" t="str">
        <x:v>苍辰木火</x:v>
      </x:c>
      <x:c r="E295" s="290" t="n">
        <x:v>1</x:v>
      </x:c>
      <x:c r="F295" s="290" t="str">
        <x:v>盾牌</x:v>
      </x:c>
      <x:c r="G295" s="289"/>
      <x:c r="H295" s="289"/>
      <x:c r="I295" s="289" t="n">
        <x:v>6224</x:v>
      </x:c>
      <x:c r="J295" s="289"/>
      <x:c r="K295" s="289"/>
      <x:c r="L295" s="289"/>
      <x:c r="M295" s="289" t="n">
        <x:v>6224</x:v>
      </x:c>
      <x:c r="N295" s="289" t="n">
        <x:v>6224</x:v>
      </x:c>
      <x:c r="O295" s="289" t="n">
        <x:v>6224</x:v>
      </x:c>
      <x:c r="P295" s="292"/>
      <x:c r="Q295" s="292" t="str">
        <x:v>原九部位资源库已登记</x:v>
      </x:c>
      <x:c r="R295" s="292" t="str"/>
      <x:c r="S295" s="292" t="str">
        <x:v>装备素材套装代码表.xlsx（原九部位）</x:v>
      </x:c>
      <x:c r="T295" s="292" t="str">
        <x:v>同一代码用于 Items / StateItem / DnItems；属性与掉落另表定义。</x:v>
      </x:c>
      <x:c r="U295" t="str">
        <x:f>IF(COUNTIF($B$2:$B$1076,B295)&gt;1,"重复","")</x:f>
      </x:c>
      <x:c r="V295" t="str">
        <x:f>IF(AND(OR(M295="",M295=B295),OR(N295="",N295=B295),OR(O295="",O295=B295)),"通过","不一致")</x:f>
        <x:v>通过</x:v>
      </x:c>
    </x:row>
    <x:row r="296" ht="22" customHeight="1">
      <x:c r="A296" s="289" t="n">
        <x:v>295</x:v>
      </x:c>
      <x:c r="B296" s="289" t="n">
        <x:v>6225</x:v>
      </x:c>
      <x:c r="C296" s="290" t="str">
        <x:v>苍辰木火·青焰</x:v>
      </x:c>
      <x:c r="D296" s="290" t="str">
        <x:v>苍辰木火</x:v>
      </x:c>
      <x:c r="E296" s="290" t="n">
        <x:v>1</x:v>
      </x:c>
      <x:c r="F296" s="290" t="str">
        <x:v>灵玉</x:v>
      </x:c>
      <x:c r="G296" s="289"/>
      <x:c r="H296" s="289"/>
      <x:c r="I296" s="289" t="n">
        <x:v>6225</x:v>
      </x:c>
      <x:c r="J296" s="289"/>
      <x:c r="K296" s="289"/>
      <x:c r="L296" s="289"/>
      <x:c r="M296" s="289" t="n">
        <x:v>6225</x:v>
      </x:c>
      <x:c r="N296" s="289" t="n">
        <x:v>6225</x:v>
      </x:c>
      <x:c r="O296" s="289" t="n">
        <x:v>6225</x:v>
      </x:c>
      <x:c r="P296" s="292"/>
      <x:c r="Q296" s="292" t="str">
        <x:v>原九部位资源库已登记</x:v>
      </x:c>
      <x:c r="R296" s="292" t="str"/>
      <x:c r="S296" s="292" t="str">
        <x:v>装备素材套装代码表.xlsx（原九部位）</x:v>
      </x:c>
      <x:c r="T296" s="292" t="str">
        <x:v>同一代码用于 Items / StateItem / DnItems；属性与掉落另表定义。</x:v>
      </x:c>
      <x:c r="U296" t="str">
        <x:f>IF(COUNTIF($B$2:$B$1076,B296)&gt;1,"重复","")</x:f>
      </x:c>
      <x:c r="V296" t="str">
        <x:f>IF(AND(OR(M296="",M296=B296),OR(N296="",N296=B296),OR(O296="",O296=B296)),"通过","不一致")</x:f>
        <x:v>通过</x:v>
      </x:c>
    </x:row>
    <x:row r="297" ht="22" customHeight="1">
      <x:c r="A297" s="289" t="n">
        <x:v>296</x:v>
      </x:c>
      <x:c r="B297" s="289" t="n">
        <x:v>6226</x:v>
      </x:c>
      <x:c r="C297" s="290" t="str">
        <x:v>苍辰木火·青焰</x:v>
      </x:c>
      <x:c r="D297" s="290" t="str">
        <x:v>苍辰木火</x:v>
      </x:c>
      <x:c r="E297" s="290" t="n">
        <x:v>1</x:v>
      </x:c>
      <x:c r="F297" s="290" t="str">
        <x:v>鞋子</x:v>
      </x:c>
      <x:c r="G297" s="289"/>
      <x:c r="H297" s="289"/>
      <x:c r="I297" s="289" t="n">
        <x:v>6226</x:v>
      </x:c>
      <x:c r="J297" s="289"/>
      <x:c r="K297" s="289"/>
      <x:c r="L297" s="289"/>
      <x:c r="M297" s="289" t="n">
        <x:v>6226</x:v>
      </x:c>
      <x:c r="N297" s="289" t="n">
        <x:v>6226</x:v>
      </x:c>
      <x:c r="O297" s="289" t="n">
        <x:v>6226</x:v>
      </x:c>
      <x:c r="P297" s="292"/>
      <x:c r="Q297" s="292" t="str">
        <x:v>原九部位资源库已登记</x:v>
      </x:c>
      <x:c r="R297" s="292" t="str"/>
      <x:c r="S297" s="292" t="str">
        <x:v>装备素材套装代码表.xlsx（原九部位）</x:v>
      </x:c>
      <x:c r="T297" s="292" t="str">
        <x:v>同一代码用于 Items / StateItem / DnItems；属性与掉落另表定义。</x:v>
      </x:c>
      <x:c r="U297" t="str">
        <x:f>IF(COUNTIF($B$2:$B$1076,B297)&gt;1,"重复","")</x:f>
      </x:c>
      <x:c r="V297" t="str">
        <x:f>IF(AND(OR(M297="",M297=B297),OR(N297="",N297=B297),OR(O297="",O297=B297)),"通过","不一致")</x:f>
        <x:v>通过</x:v>
      </x:c>
    </x:row>
    <x:row r="298" ht="22" customHeight="1">
      <x:c r="A298" s="289" t="n">
        <x:v>297</x:v>
      </x:c>
      <x:c r="B298" s="289" t="n">
        <x:v>6227</x:v>
      </x:c>
      <x:c r="C298" s="290" t="str">
        <x:v>苍辰木火·青焰</x:v>
      </x:c>
      <x:c r="D298" s="290" t="str">
        <x:v>苍辰木火</x:v>
      </x:c>
      <x:c r="E298" s="290" t="n">
        <x:v>1</x:v>
      </x:c>
      <x:c r="F298" s="290" t="str">
        <x:v>腰带</x:v>
      </x:c>
      <x:c r="G298" s="289"/>
      <x:c r="H298" s="289"/>
      <x:c r="I298" s="289" t="n">
        <x:v>6227</x:v>
      </x:c>
      <x:c r="J298" s="289"/>
      <x:c r="K298" s="289"/>
      <x:c r="L298" s="289"/>
      <x:c r="M298" s="289" t="n">
        <x:v>6227</x:v>
      </x:c>
      <x:c r="N298" s="289" t="n">
        <x:v>6227</x:v>
      </x:c>
      <x:c r="O298" s="289" t="n">
        <x:v>6227</x:v>
      </x:c>
      <x:c r="P298" s="292"/>
      <x:c r="Q298" s="292" t="str">
        <x:v>原九部位资源库已登记</x:v>
      </x:c>
      <x:c r="R298" s="292" t="str"/>
      <x:c r="S298" s="292" t="str">
        <x:v>装备素材套装代码表.xlsx（原九部位）</x:v>
      </x:c>
      <x:c r="T298" s="292" t="str">
        <x:v>同一代码用于 Items / StateItem / DnItems；属性与掉落另表定义。</x:v>
      </x:c>
      <x:c r="U298" t="str">
        <x:f>IF(COUNTIF($B$2:$B$1076,B298)&gt;1,"重复","")</x:f>
      </x:c>
      <x:c r="V298" t="str">
        <x:f>IF(AND(OR(M298="",M298=B298),OR(N298="",N298=B298),OR(O298="",O298=B298)),"通过","不一致")</x:f>
        <x:v>通过</x:v>
      </x:c>
    </x:row>
    <x:row r="299" ht="22" customHeight="1">
      <x:c r="A299" s="289" t="n">
        <x:v>298</x:v>
      </x:c>
      <x:c r="B299" s="289" t="n">
        <x:v>6228</x:v>
      </x:c>
      <x:c r="C299" s="290" t="str">
        <x:v>赤曜天穹·陨星</x:v>
      </x:c>
      <x:c r="D299" s="290" t="str">
        <x:v>赤曜天穹</x:v>
      </x:c>
      <x:c r="E299" s="290" t="n">
        <x:v>1</x:v>
      </x:c>
      <x:c r="F299" s="290" t="str">
        <x:v>勋章</x:v>
      </x:c>
      <x:c r="G299" s="289"/>
      <x:c r="H299" s="289"/>
      <x:c r="I299" s="289" t="n">
        <x:v>6228</x:v>
      </x:c>
      <x:c r="J299" s="289"/>
      <x:c r="K299" s="289"/>
      <x:c r="L299" s="289"/>
      <x:c r="M299" s="289" t="n">
        <x:v>6228</x:v>
      </x:c>
      <x:c r="N299" s="289" t="n">
        <x:v>6228</x:v>
      </x:c>
      <x:c r="O299" s="289" t="n">
        <x:v>6228</x:v>
      </x:c>
      <x:c r="P299" s="292"/>
      <x:c r="Q299" s="292" t="str">
        <x:v>原九部位资源库已登记</x:v>
      </x:c>
      <x:c r="R299" s="292" t="str"/>
      <x:c r="S299" s="292" t="str">
        <x:v>装备素材套装代码表.xlsx（原九部位）</x:v>
      </x:c>
      <x:c r="T299" s="292" t="str">
        <x:v>同一代码用于 Items / StateItem / DnItems；属性与掉落另表定义。</x:v>
      </x:c>
      <x:c r="U299" t="str">
        <x:f>IF(COUNTIF($B$2:$B$1076,B299)&gt;1,"重复","")</x:f>
      </x:c>
      <x:c r="V299" t="str">
        <x:f>IF(AND(OR(M299="",M299=B299),OR(N299="",N299=B299),OR(O299="",O299=B299)),"通过","不一致")</x:f>
        <x:v>通过</x:v>
      </x:c>
    </x:row>
    <x:row r="300" ht="22" customHeight="1">
      <x:c r="A300" s="289" t="n">
        <x:v>299</x:v>
      </x:c>
      <x:c r="B300" s="289" t="n">
        <x:v>6229</x:v>
      </x:c>
      <x:c r="C300" s="290" t="str">
        <x:v>赤曜天穹·陨星</x:v>
      </x:c>
      <x:c r="D300" s="290" t="str">
        <x:v>赤曜天穹</x:v>
      </x:c>
      <x:c r="E300" s="290" t="n">
        <x:v>1</x:v>
      </x:c>
      <x:c r="F300" s="290" t="str">
        <x:v>项链</x:v>
      </x:c>
      <x:c r="G300" s="289"/>
      <x:c r="H300" s="289"/>
      <x:c r="I300" s="289" t="n">
        <x:v>6229</x:v>
      </x:c>
      <x:c r="J300" s="289"/>
      <x:c r="K300" s="289"/>
      <x:c r="L300" s="289"/>
      <x:c r="M300" s="289" t="n">
        <x:v>6229</x:v>
      </x:c>
      <x:c r="N300" s="289" t="n">
        <x:v>6229</x:v>
      </x:c>
      <x:c r="O300" s="289" t="n">
        <x:v>6229</x:v>
      </x:c>
      <x:c r="P300" s="292"/>
      <x:c r="Q300" s="292" t="str">
        <x:v>原九部位资源库已登记</x:v>
      </x:c>
      <x:c r="R300" s="292" t="str"/>
      <x:c r="S300" s="292" t="str">
        <x:v>装备素材套装代码表.xlsx（原九部位）</x:v>
      </x:c>
      <x:c r="T300" s="292" t="str">
        <x:v>同一代码用于 Items / StateItem / DnItems；属性与掉落另表定义。</x:v>
      </x:c>
      <x:c r="U300" t="str">
        <x:f>IF(COUNTIF($B$2:$B$1076,B300)&gt;1,"重复","")</x:f>
      </x:c>
      <x:c r="V300" t="str">
        <x:f>IF(AND(OR(M300="",M300=B300),OR(N300="",N300=B300),OR(O300="",O300=B300)),"通过","不一致")</x:f>
        <x:v>通过</x:v>
      </x:c>
    </x:row>
    <x:row r="301" ht="22" customHeight="1">
      <x:c r="A301" s="289" t="n">
        <x:v>300</x:v>
      </x:c>
      <x:c r="B301" s="289" t="n">
        <x:v>6230</x:v>
      </x:c>
      <x:c r="C301" s="290" t="str">
        <x:v>赤曜天穹·陨星</x:v>
      </x:c>
      <x:c r="D301" s="290" t="str">
        <x:v>赤曜天穹</x:v>
      </x:c>
      <x:c r="E301" s="290" t="n">
        <x:v>1</x:v>
      </x:c>
      <x:c r="F301" s="290" t="str">
        <x:v>头盔</x:v>
      </x:c>
      <x:c r="G301" s="289"/>
      <x:c r="H301" s="289"/>
      <x:c r="I301" s="289" t="n">
        <x:v>6230</x:v>
      </x:c>
      <x:c r="J301" s="289"/>
      <x:c r="K301" s="289"/>
      <x:c r="L301" s="289"/>
      <x:c r="M301" s="289" t="n">
        <x:v>6230</x:v>
      </x:c>
      <x:c r="N301" s="289" t="n">
        <x:v>6230</x:v>
      </x:c>
      <x:c r="O301" s="289" t="n">
        <x:v>6230</x:v>
      </x:c>
      <x:c r="P301" s="292"/>
      <x:c r="Q301" s="292" t="str">
        <x:v>原九部位资源库已登记</x:v>
      </x:c>
      <x:c r="R301" s="292" t="str"/>
      <x:c r="S301" s="292" t="str">
        <x:v>装备素材套装代码表.xlsx（原九部位）</x:v>
      </x:c>
      <x:c r="T301" s="292" t="str">
        <x:v>同一代码用于 Items / StateItem / DnItems；属性与掉落另表定义。</x:v>
      </x:c>
      <x:c r="U301" t="str">
        <x:f>IF(COUNTIF($B$2:$B$1076,B301)&gt;1,"重复","")</x:f>
      </x:c>
      <x:c r="V301" t="str">
        <x:f>IF(AND(OR(M301="",M301=B301),OR(N301="",N301=B301),OR(O301="",O301=B301)),"通过","不一致")</x:f>
        <x:v>通过</x:v>
      </x:c>
    </x:row>
    <x:row r="302" ht="22" customHeight="1">
      <x:c r="A302" s="289" t="n">
        <x:v>301</x:v>
      </x:c>
      <x:c r="B302" s="289" t="n">
        <x:v>6231</x:v>
      </x:c>
      <x:c r="C302" s="290" t="str">
        <x:v>赤曜天穹·陨星</x:v>
      </x:c>
      <x:c r="D302" s="290" t="str">
        <x:v>赤曜天穹</x:v>
      </x:c>
      <x:c r="E302" s="290" t="n">
        <x:v>1</x:v>
      </x:c>
      <x:c r="F302" s="290" t="str">
        <x:v>手镯</x:v>
      </x:c>
      <x:c r="G302" s="289"/>
      <x:c r="H302" s="289"/>
      <x:c r="I302" s="289" t="n">
        <x:v>6231</x:v>
      </x:c>
      <x:c r="J302" s="289"/>
      <x:c r="K302" s="289"/>
      <x:c r="L302" s="289"/>
      <x:c r="M302" s="289" t="n">
        <x:v>6231</x:v>
      </x:c>
      <x:c r="N302" s="289" t="n">
        <x:v>6231</x:v>
      </x:c>
      <x:c r="O302" s="289" t="n">
        <x:v>6231</x:v>
      </x:c>
      <x:c r="P302" s="292"/>
      <x:c r="Q302" s="292" t="str">
        <x:v>原九部位资源库已登记</x:v>
      </x:c>
      <x:c r="R302" s="292" t="str"/>
      <x:c r="S302" s="292" t="str">
        <x:v>装备素材套装代码表.xlsx（原九部位）</x:v>
      </x:c>
      <x:c r="T302" s="292" t="str">
        <x:v>同一代码用于 Items / StateItem / DnItems；属性与掉落另表定义。</x:v>
      </x:c>
      <x:c r="U302" t="str">
        <x:f>IF(COUNTIF($B$2:$B$1076,B302)&gt;1,"重复","")</x:f>
      </x:c>
      <x:c r="V302" t="str">
        <x:f>IF(AND(OR(M302="",M302=B302),OR(N302="",N302=B302),OR(O302="",O302=B302)),"通过","不一致")</x:f>
        <x:v>通过</x:v>
      </x:c>
    </x:row>
    <x:row r="303" ht="22" customHeight="1">
      <x:c r="A303" s="289" t="n">
        <x:v>302</x:v>
      </x:c>
      <x:c r="B303" s="289" t="n">
        <x:v>6232</x:v>
      </x:c>
      <x:c r="C303" s="290" t="str">
        <x:v>赤曜天穹·陨星</x:v>
      </x:c>
      <x:c r="D303" s="290" t="str">
        <x:v>赤曜天穹</x:v>
      </x:c>
      <x:c r="E303" s="290" t="n">
        <x:v>1</x:v>
      </x:c>
      <x:c r="F303" s="290" t="str">
        <x:v>戒指</x:v>
      </x:c>
      <x:c r="G303" s="289"/>
      <x:c r="H303" s="289"/>
      <x:c r="I303" s="289" t="n">
        <x:v>6232</x:v>
      </x:c>
      <x:c r="J303" s="289"/>
      <x:c r="K303" s="289"/>
      <x:c r="L303" s="289"/>
      <x:c r="M303" s="289" t="n">
        <x:v>6232</x:v>
      </x:c>
      <x:c r="N303" s="289" t="n">
        <x:v>6232</x:v>
      </x:c>
      <x:c r="O303" s="289" t="n">
        <x:v>6232</x:v>
      </x:c>
      <x:c r="P303" s="292"/>
      <x:c r="Q303" s="292" t="str">
        <x:v>原九部位资源库已登记</x:v>
      </x:c>
      <x:c r="R303" s="292" t="str"/>
      <x:c r="S303" s="292" t="str">
        <x:v>装备素材套装代码表.xlsx（原九部位）</x:v>
      </x:c>
      <x:c r="T303" s="292" t="str">
        <x:v>同一代码用于 Items / StateItem / DnItems；属性与掉落另表定义。</x:v>
      </x:c>
      <x:c r="U303" t="str">
        <x:f>IF(COUNTIF($B$2:$B$1076,B303)&gt;1,"重复","")</x:f>
      </x:c>
      <x:c r="V303" t="str">
        <x:f>IF(AND(OR(M303="",M303=B303),OR(N303="",N303=B303),OR(O303="",O303=B303)),"通过","不一致")</x:f>
        <x:v>通过</x:v>
      </x:c>
    </x:row>
    <x:row r="304" ht="22" customHeight="1">
      <x:c r="A304" s="289" t="n">
        <x:v>303</x:v>
      </x:c>
      <x:c r="B304" s="289" t="n">
        <x:v>6233</x:v>
      </x:c>
      <x:c r="C304" s="290" t="str">
        <x:v>赤曜天穹·陨星</x:v>
      </x:c>
      <x:c r="D304" s="290" t="str">
        <x:v>赤曜天穹</x:v>
      </x:c>
      <x:c r="E304" s="290" t="n">
        <x:v>1</x:v>
      </x:c>
      <x:c r="F304" s="290" t="str">
        <x:v>盾牌</x:v>
      </x:c>
      <x:c r="G304" s="289"/>
      <x:c r="H304" s="289"/>
      <x:c r="I304" s="289" t="n">
        <x:v>6233</x:v>
      </x:c>
      <x:c r="J304" s="289"/>
      <x:c r="K304" s="289"/>
      <x:c r="L304" s="289"/>
      <x:c r="M304" s="289" t="n">
        <x:v>6233</x:v>
      </x:c>
      <x:c r="N304" s="289" t="n">
        <x:v>6233</x:v>
      </x:c>
      <x:c r="O304" s="289" t="n">
        <x:v>6233</x:v>
      </x:c>
      <x:c r="P304" s="292"/>
      <x:c r="Q304" s="292" t="str">
        <x:v>原九部位资源库已登记</x:v>
      </x:c>
      <x:c r="R304" s="292" t="str"/>
      <x:c r="S304" s="292" t="str">
        <x:v>装备素材套装代码表.xlsx（原九部位）</x:v>
      </x:c>
      <x:c r="T304" s="292" t="str">
        <x:v>同一代码用于 Items / StateItem / DnItems；属性与掉落另表定义。</x:v>
      </x:c>
      <x:c r="U304" t="str">
        <x:f>IF(COUNTIF($B$2:$B$1076,B304)&gt;1,"重复","")</x:f>
      </x:c>
      <x:c r="V304" t="str">
        <x:f>IF(AND(OR(M304="",M304=B304),OR(N304="",N304=B304),OR(O304="",O304=B304)),"通过","不一致")</x:f>
        <x:v>通过</x:v>
      </x:c>
    </x:row>
    <x:row r="305" ht="22" customHeight="1">
      <x:c r="A305" s="289" t="n">
        <x:v>304</x:v>
      </x:c>
      <x:c r="B305" s="289" t="n">
        <x:v>6234</x:v>
      </x:c>
      <x:c r="C305" s="290" t="str">
        <x:v>赤曜天穹·陨星</x:v>
      </x:c>
      <x:c r="D305" s="290" t="str">
        <x:v>赤曜天穹</x:v>
      </x:c>
      <x:c r="E305" s="290" t="n">
        <x:v>1</x:v>
      </x:c>
      <x:c r="F305" s="290" t="str">
        <x:v>灵玉</x:v>
      </x:c>
      <x:c r="G305" s="289"/>
      <x:c r="H305" s="289"/>
      <x:c r="I305" s="289" t="n">
        <x:v>6234</x:v>
      </x:c>
      <x:c r="J305" s="289"/>
      <x:c r="K305" s="289"/>
      <x:c r="L305" s="289"/>
      <x:c r="M305" s="289" t="n">
        <x:v>6234</x:v>
      </x:c>
      <x:c r="N305" s="289" t="n">
        <x:v>6234</x:v>
      </x:c>
      <x:c r="O305" s="289" t="n">
        <x:v>6234</x:v>
      </x:c>
      <x:c r="P305" s="292"/>
      <x:c r="Q305" s="292" t="str">
        <x:v>原九部位资源库已登记</x:v>
      </x:c>
      <x:c r="R305" s="292" t="str"/>
      <x:c r="S305" s="292" t="str">
        <x:v>装备素材套装代码表.xlsx（原九部位）</x:v>
      </x:c>
      <x:c r="T305" s="292" t="str">
        <x:v>同一代码用于 Items / StateItem / DnItems；属性与掉落另表定义。</x:v>
      </x:c>
      <x:c r="U305" t="str">
        <x:f>IF(COUNTIF($B$2:$B$1076,B305)&gt;1,"重复","")</x:f>
      </x:c>
      <x:c r="V305" t="str">
        <x:f>IF(AND(OR(M305="",M305=B305),OR(N305="",N305=B305),OR(O305="",O305=B305)),"通过","不一致")</x:f>
        <x:v>通过</x:v>
      </x:c>
    </x:row>
    <x:row r="306" ht="22" customHeight="1">
      <x:c r="A306" s="289" t="n">
        <x:v>305</x:v>
      </x:c>
      <x:c r="B306" s="289" t="n">
        <x:v>6235</x:v>
      </x:c>
      <x:c r="C306" s="290" t="str">
        <x:v>赤曜天穹·陨星</x:v>
      </x:c>
      <x:c r="D306" s="290" t="str">
        <x:v>赤曜天穹</x:v>
      </x:c>
      <x:c r="E306" s="290" t="n">
        <x:v>1</x:v>
      </x:c>
      <x:c r="F306" s="290" t="str">
        <x:v>鞋子</x:v>
      </x:c>
      <x:c r="G306" s="289"/>
      <x:c r="H306" s="289"/>
      <x:c r="I306" s="289" t="n">
        <x:v>6235</x:v>
      </x:c>
      <x:c r="J306" s="289"/>
      <x:c r="K306" s="289"/>
      <x:c r="L306" s="289"/>
      <x:c r="M306" s="289" t="n">
        <x:v>6235</x:v>
      </x:c>
      <x:c r="N306" s="289" t="n">
        <x:v>6235</x:v>
      </x:c>
      <x:c r="O306" s="289" t="n">
        <x:v>6235</x:v>
      </x:c>
      <x:c r="P306" s="292"/>
      <x:c r="Q306" s="292" t="str">
        <x:v>原九部位资源库已登记</x:v>
      </x:c>
      <x:c r="R306" s="292" t="str"/>
      <x:c r="S306" s="292" t="str">
        <x:v>装备素材套装代码表.xlsx（原九部位）</x:v>
      </x:c>
      <x:c r="T306" s="292" t="str">
        <x:v>同一代码用于 Items / StateItem / DnItems；属性与掉落另表定义。</x:v>
      </x:c>
      <x:c r="U306" t="str">
        <x:f>IF(COUNTIF($B$2:$B$1076,B306)&gt;1,"重复","")</x:f>
      </x:c>
      <x:c r="V306" t="str">
        <x:f>IF(AND(OR(M306="",M306=B306),OR(N306="",N306=B306),OR(O306="",O306=B306)),"通过","不一致")</x:f>
        <x:v>通过</x:v>
      </x:c>
    </x:row>
    <x:row r="307" ht="22" customHeight="1">
      <x:c r="A307" s="289" t="n">
        <x:v>306</x:v>
      </x:c>
      <x:c r="B307" s="289" t="n">
        <x:v>6236</x:v>
      </x:c>
      <x:c r="C307" s="290" t="str">
        <x:v>赤曜天穹·陨星</x:v>
      </x:c>
      <x:c r="D307" s="290" t="str">
        <x:v>赤曜天穹</x:v>
      </x:c>
      <x:c r="E307" s="290" t="n">
        <x:v>1</x:v>
      </x:c>
      <x:c r="F307" s="290" t="str">
        <x:v>腰带</x:v>
      </x:c>
      <x:c r="G307" s="289"/>
      <x:c r="H307" s="289"/>
      <x:c r="I307" s="289" t="n">
        <x:v>6236</x:v>
      </x:c>
      <x:c r="J307" s="289"/>
      <x:c r="K307" s="289"/>
      <x:c r="L307" s="289"/>
      <x:c r="M307" s="289" t="n">
        <x:v>6236</x:v>
      </x:c>
      <x:c r="N307" s="289" t="n">
        <x:v>6236</x:v>
      </x:c>
      <x:c r="O307" s="289" t="n">
        <x:v>6236</x:v>
      </x:c>
      <x:c r="P307" s="292"/>
      <x:c r="Q307" s="292" t="str">
        <x:v>原九部位资源库已登记</x:v>
      </x:c>
      <x:c r="R307" s="292" t="str"/>
      <x:c r="S307" s="292" t="str">
        <x:v>装备素材套装代码表.xlsx（原九部位）</x:v>
      </x:c>
      <x:c r="T307" s="292" t="str">
        <x:v>同一代码用于 Items / StateItem / DnItems；属性与掉落另表定义。</x:v>
      </x:c>
      <x:c r="U307" t="str">
        <x:f>IF(COUNTIF($B$2:$B$1076,B307)&gt;1,"重复","")</x:f>
      </x:c>
      <x:c r="V307" t="str">
        <x:f>IF(AND(OR(M307="",M307=B307),OR(N307="",N307=B307),OR(O307="",O307=B307)),"通过","不一致")</x:f>
        <x:v>通过</x:v>
      </x:c>
    </x:row>
    <x:row r="308" ht="22" customHeight="1">
      <x:c r="A308" s="289" t="n">
        <x:v>307</x:v>
      </x:c>
      <x:c r="B308" s="289" t="n">
        <x:v>6237</x:v>
      </x:c>
      <x:c r="C308" s="290" t="str">
        <x:v>紫垣玄晶·紫极</x:v>
      </x:c>
      <x:c r="D308" s="290" t="str">
        <x:v>紫垣玄晶</x:v>
      </x:c>
      <x:c r="E308" s="290" t="n">
        <x:v>1</x:v>
      </x:c>
      <x:c r="F308" s="290" t="str">
        <x:v>勋章</x:v>
      </x:c>
      <x:c r="G308" s="289"/>
      <x:c r="H308" s="289"/>
      <x:c r="I308" s="289" t="n">
        <x:v>6237</x:v>
      </x:c>
      <x:c r="J308" s="289"/>
      <x:c r="K308" s="289"/>
      <x:c r="L308" s="289"/>
      <x:c r="M308" s="289" t="n">
        <x:v>6237</x:v>
      </x:c>
      <x:c r="N308" s="289" t="n">
        <x:v>6237</x:v>
      </x:c>
      <x:c r="O308" s="289" t="n">
        <x:v>6237</x:v>
      </x:c>
      <x:c r="P308" s="292"/>
      <x:c r="Q308" s="292" t="str">
        <x:v>原九部位资源库已登记</x:v>
      </x:c>
      <x:c r="R308" s="292" t="str"/>
      <x:c r="S308" s="292" t="str">
        <x:v>装备素材套装代码表.xlsx（原九部位）</x:v>
      </x:c>
      <x:c r="T308" s="292" t="str">
        <x:v>同一代码用于 Items / StateItem / DnItems；属性与掉落另表定义。</x:v>
      </x:c>
      <x:c r="U308" t="str">
        <x:f>IF(COUNTIF($B$2:$B$1076,B308)&gt;1,"重复","")</x:f>
      </x:c>
      <x:c r="V308" t="str">
        <x:f>IF(AND(OR(M308="",M308=B308),OR(N308="",N308=B308),OR(O308="",O308=B308)),"通过","不一致")</x:f>
        <x:v>通过</x:v>
      </x:c>
    </x:row>
    <x:row r="309" ht="22" customHeight="1">
      <x:c r="A309" s="289" t="n">
        <x:v>308</x:v>
      </x:c>
      <x:c r="B309" s="289" t="n">
        <x:v>6238</x:v>
      </x:c>
      <x:c r="C309" s="290" t="str">
        <x:v>紫垣玄晶·紫极</x:v>
      </x:c>
      <x:c r="D309" s="290" t="str">
        <x:v>紫垣玄晶</x:v>
      </x:c>
      <x:c r="E309" s="290" t="n">
        <x:v>1</x:v>
      </x:c>
      <x:c r="F309" s="290" t="str">
        <x:v>项链</x:v>
      </x:c>
      <x:c r="G309" s="289"/>
      <x:c r="H309" s="289"/>
      <x:c r="I309" s="289" t="n">
        <x:v>6238</x:v>
      </x:c>
      <x:c r="J309" s="289"/>
      <x:c r="K309" s="289"/>
      <x:c r="L309" s="289"/>
      <x:c r="M309" s="289" t="n">
        <x:v>6238</x:v>
      </x:c>
      <x:c r="N309" s="289" t="n">
        <x:v>6238</x:v>
      </x:c>
      <x:c r="O309" s="289" t="n">
        <x:v>6238</x:v>
      </x:c>
      <x:c r="P309" s="292"/>
      <x:c r="Q309" s="292" t="str">
        <x:v>原九部位资源库已登记</x:v>
      </x:c>
      <x:c r="R309" s="292" t="str"/>
      <x:c r="S309" s="292" t="str">
        <x:v>装备素材套装代码表.xlsx（原九部位）</x:v>
      </x:c>
      <x:c r="T309" s="292" t="str">
        <x:v>同一代码用于 Items / StateItem / DnItems；属性与掉落另表定义。</x:v>
      </x:c>
      <x:c r="U309" t="str">
        <x:f>IF(COUNTIF($B$2:$B$1076,B309)&gt;1,"重复","")</x:f>
      </x:c>
      <x:c r="V309" t="str">
        <x:f>IF(AND(OR(M309="",M309=B309),OR(N309="",N309=B309),OR(O309="",O309=B309)),"通过","不一致")</x:f>
        <x:v>通过</x:v>
      </x:c>
    </x:row>
    <x:row r="310" ht="22" customHeight="1">
      <x:c r="A310" s="289" t="n">
        <x:v>309</x:v>
      </x:c>
      <x:c r="B310" s="289" t="n">
        <x:v>6239</x:v>
      </x:c>
      <x:c r="C310" s="290" t="str">
        <x:v>紫垣玄晶·紫极</x:v>
      </x:c>
      <x:c r="D310" s="290" t="str">
        <x:v>紫垣玄晶</x:v>
      </x:c>
      <x:c r="E310" s="290" t="n">
        <x:v>1</x:v>
      </x:c>
      <x:c r="F310" s="290" t="str">
        <x:v>头盔</x:v>
      </x:c>
      <x:c r="G310" s="289"/>
      <x:c r="H310" s="289"/>
      <x:c r="I310" s="289" t="n">
        <x:v>6239</x:v>
      </x:c>
      <x:c r="J310" s="289"/>
      <x:c r="K310" s="289"/>
      <x:c r="L310" s="289"/>
      <x:c r="M310" s="289" t="n">
        <x:v>6239</x:v>
      </x:c>
      <x:c r="N310" s="289" t="n">
        <x:v>6239</x:v>
      </x:c>
      <x:c r="O310" s="289" t="n">
        <x:v>6239</x:v>
      </x:c>
      <x:c r="P310" s="292"/>
      <x:c r="Q310" s="292" t="str">
        <x:v>原九部位资源库已登记</x:v>
      </x:c>
      <x:c r="R310" s="292" t="str"/>
      <x:c r="S310" s="292" t="str">
        <x:v>装备素材套装代码表.xlsx（原九部位）</x:v>
      </x:c>
      <x:c r="T310" s="292" t="str">
        <x:v>同一代码用于 Items / StateItem / DnItems；属性与掉落另表定义。</x:v>
      </x:c>
      <x:c r="U310" t="str">
        <x:f>IF(COUNTIF($B$2:$B$1076,B310)&gt;1,"重复","")</x:f>
      </x:c>
      <x:c r="V310" t="str">
        <x:f>IF(AND(OR(M310="",M310=B310),OR(N310="",N310=B310),OR(O310="",O310=B310)),"通过","不一致")</x:f>
        <x:v>通过</x:v>
      </x:c>
    </x:row>
    <x:row r="311" ht="22" customHeight="1">
      <x:c r="A311" s="289" t="n">
        <x:v>310</x:v>
      </x:c>
      <x:c r="B311" s="289" t="n">
        <x:v>6240</x:v>
      </x:c>
      <x:c r="C311" s="290" t="str">
        <x:v>紫垣玄晶·紫极</x:v>
      </x:c>
      <x:c r="D311" s="290" t="str">
        <x:v>紫垣玄晶</x:v>
      </x:c>
      <x:c r="E311" s="290" t="n">
        <x:v>1</x:v>
      </x:c>
      <x:c r="F311" s="290" t="str">
        <x:v>手镯</x:v>
      </x:c>
      <x:c r="G311" s="289"/>
      <x:c r="H311" s="289"/>
      <x:c r="I311" s="289" t="n">
        <x:v>6240</x:v>
      </x:c>
      <x:c r="J311" s="289"/>
      <x:c r="K311" s="289"/>
      <x:c r="L311" s="289"/>
      <x:c r="M311" s="289" t="n">
        <x:v>6240</x:v>
      </x:c>
      <x:c r="N311" s="289" t="n">
        <x:v>6240</x:v>
      </x:c>
      <x:c r="O311" s="289" t="n">
        <x:v>6240</x:v>
      </x:c>
      <x:c r="P311" s="292"/>
      <x:c r="Q311" s="292" t="str">
        <x:v>原九部位资源库已登记</x:v>
      </x:c>
      <x:c r="R311" s="292" t="str"/>
      <x:c r="S311" s="292" t="str">
        <x:v>装备素材套装代码表.xlsx（原九部位）</x:v>
      </x:c>
      <x:c r="T311" s="292" t="str">
        <x:v>同一代码用于 Items / StateItem / DnItems；属性与掉落另表定义。</x:v>
      </x:c>
      <x:c r="U311" t="str">
        <x:f>IF(COUNTIF($B$2:$B$1076,B311)&gt;1,"重复","")</x:f>
      </x:c>
      <x:c r="V311" t="str">
        <x:f>IF(AND(OR(M311="",M311=B311),OR(N311="",N311=B311),OR(O311="",O311=B311)),"通过","不一致")</x:f>
        <x:v>通过</x:v>
      </x:c>
    </x:row>
    <x:row r="312" ht="22" customHeight="1">
      <x:c r="A312" s="289" t="n">
        <x:v>311</x:v>
      </x:c>
      <x:c r="B312" s="289" t="n">
        <x:v>6241</x:v>
      </x:c>
      <x:c r="C312" s="290" t="str">
        <x:v>紫垣玄晶·紫极</x:v>
      </x:c>
      <x:c r="D312" s="290" t="str">
        <x:v>紫垣玄晶</x:v>
      </x:c>
      <x:c r="E312" s="290" t="n">
        <x:v>1</x:v>
      </x:c>
      <x:c r="F312" s="290" t="str">
        <x:v>戒指</x:v>
      </x:c>
      <x:c r="G312" s="289"/>
      <x:c r="H312" s="289"/>
      <x:c r="I312" s="289" t="n">
        <x:v>6241</x:v>
      </x:c>
      <x:c r="J312" s="289"/>
      <x:c r="K312" s="289"/>
      <x:c r="L312" s="289"/>
      <x:c r="M312" s="289" t="n">
        <x:v>6241</x:v>
      </x:c>
      <x:c r="N312" s="289" t="n">
        <x:v>6241</x:v>
      </x:c>
      <x:c r="O312" s="289" t="n">
        <x:v>6241</x:v>
      </x:c>
      <x:c r="P312" s="292"/>
      <x:c r="Q312" s="292" t="str">
        <x:v>原九部位资源库已登记</x:v>
      </x:c>
      <x:c r="R312" s="292" t="str"/>
      <x:c r="S312" s="292" t="str">
        <x:v>装备素材套装代码表.xlsx（原九部位）</x:v>
      </x:c>
      <x:c r="T312" s="292" t="str">
        <x:v>同一代码用于 Items / StateItem / DnItems；属性与掉落另表定义。</x:v>
      </x:c>
      <x:c r="U312" t="str">
        <x:f>IF(COUNTIF($B$2:$B$1076,B312)&gt;1,"重复","")</x:f>
      </x:c>
      <x:c r="V312" t="str">
        <x:f>IF(AND(OR(M312="",M312=B312),OR(N312="",N312=B312),OR(O312="",O312=B312)),"通过","不一致")</x:f>
        <x:v>通过</x:v>
      </x:c>
    </x:row>
    <x:row r="313" ht="22" customHeight="1">
      <x:c r="A313" s="289" t="n">
        <x:v>312</x:v>
      </x:c>
      <x:c r="B313" s="289" t="n">
        <x:v>6242</x:v>
      </x:c>
      <x:c r="C313" s="290" t="str">
        <x:v>紫垣玄晶·紫极</x:v>
      </x:c>
      <x:c r="D313" s="290" t="str">
        <x:v>紫垣玄晶</x:v>
      </x:c>
      <x:c r="E313" s="290" t="n">
        <x:v>1</x:v>
      </x:c>
      <x:c r="F313" s="290" t="str">
        <x:v>盾牌</x:v>
      </x:c>
      <x:c r="G313" s="289"/>
      <x:c r="H313" s="289"/>
      <x:c r="I313" s="289" t="n">
        <x:v>6242</x:v>
      </x:c>
      <x:c r="J313" s="289"/>
      <x:c r="K313" s="289"/>
      <x:c r="L313" s="289"/>
      <x:c r="M313" s="289" t="n">
        <x:v>6242</x:v>
      </x:c>
      <x:c r="N313" s="289" t="n">
        <x:v>6242</x:v>
      </x:c>
      <x:c r="O313" s="289" t="n">
        <x:v>6242</x:v>
      </x:c>
      <x:c r="P313" s="292"/>
      <x:c r="Q313" s="292" t="str">
        <x:v>原九部位资源库已登记</x:v>
      </x:c>
      <x:c r="R313" s="292" t="str"/>
      <x:c r="S313" s="292" t="str">
        <x:v>装备素材套装代码表.xlsx（原九部位）</x:v>
      </x:c>
      <x:c r="T313" s="292" t="str">
        <x:v>同一代码用于 Items / StateItem / DnItems；属性与掉落另表定义。</x:v>
      </x:c>
      <x:c r="U313" t="str">
        <x:f>IF(COUNTIF($B$2:$B$1076,B313)&gt;1,"重复","")</x:f>
      </x:c>
      <x:c r="V313" t="str">
        <x:f>IF(AND(OR(M313="",M313=B313),OR(N313="",N313=B313),OR(O313="",O313=B313)),"通过","不一致")</x:f>
        <x:v>通过</x:v>
      </x:c>
    </x:row>
    <x:row r="314" ht="22" customHeight="1">
      <x:c r="A314" s="289" t="n">
        <x:v>313</x:v>
      </x:c>
      <x:c r="B314" s="289" t="n">
        <x:v>6243</x:v>
      </x:c>
      <x:c r="C314" s="290" t="str">
        <x:v>紫垣玄晶·紫极</x:v>
      </x:c>
      <x:c r="D314" s="290" t="str">
        <x:v>紫垣玄晶</x:v>
      </x:c>
      <x:c r="E314" s="290" t="n">
        <x:v>1</x:v>
      </x:c>
      <x:c r="F314" s="290" t="str">
        <x:v>灵玉</x:v>
      </x:c>
      <x:c r="G314" s="289"/>
      <x:c r="H314" s="289"/>
      <x:c r="I314" s="289" t="n">
        <x:v>6243</x:v>
      </x:c>
      <x:c r="J314" s="289"/>
      <x:c r="K314" s="289"/>
      <x:c r="L314" s="289"/>
      <x:c r="M314" s="289" t="n">
        <x:v>6243</x:v>
      </x:c>
      <x:c r="N314" s="289" t="n">
        <x:v>6243</x:v>
      </x:c>
      <x:c r="O314" s="289" t="n">
        <x:v>6243</x:v>
      </x:c>
      <x:c r="P314" s="292"/>
      <x:c r="Q314" s="292" t="str">
        <x:v>原九部位资源库已登记</x:v>
      </x:c>
      <x:c r="R314" s="292" t="str"/>
      <x:c r="S314" s="292" t="str">
        <x:v>装备素材套装代码表.xlsx（原九部位）</x:v>
      </x:c>
      <x:c r="T314" s="292" t="str">
        <x:v>同一代码用于 Items / StateItem / DnItems；属性与掉落另表定义。</x:v>
      </x:c>
      <x:c r="U314" t="str">
        <x:f>IF(COUNTIF($B$2:$B$1076,B314)&gt;1,"重复","")</x:f>
      </x:c>
      <x:c r="V314" t="str">
        <x:f>IF(AND(OR(M314="",M314=B314),OR(N314="",N314=B314),OR(O314="",O314=B314)),"通过","不一致")</x:f>
        <x:v>通过</x:v>
      </x:c>
    </x:row>
    <x:row r="315" ht="22" customHeight="1">
      <x:c r="A315" s="289" t="n">
        <x:v>314</x:v>
      </x:c>
      <x:c r="B315" s="289" t="n">
        <x:v>6244</x:v>
      </x:c>
      <x:c r="C315" s="290" t="str">
        <x:v>紫垣玄晶·紫极</x:v>
      </x:c>
      <x:c r="D315" s="290" t="str">
        <x:v>紫垣玄晶</x:v>
      </x:c>
      <x:c r="E315" s="290" t="n">
        <x:v>1</x:v>
      </x:c>
      <x:c r="F315" s="290" t="str">
        <x:v>鞋子</x:v>
      </x:c>
      <x:c r="G315" s="289"/>
      <x:c r="H315" s="289"/>
      <x:c r="I315" s="289" t="n">
        <x:v>6244</x:v>
      </x:c>
      <x:c r="J315" s="289"/>
      <x:c r="K315" s="289"/>
      <x:c r="L315" s="289"/>
      <x:c r="M315" s="289" t="n">
        <x:v>6244</x:v>
      </x:c>
      <x:c r="N315" s="289" t="n">
        <x:v>6244</x:v>
      </x:c>
      <x:c r="O315" s="289" t="n">
        <x:v>6244</x:v>
      </x:c>
      <x:c r="P315" s="292"/>
      <x:c r="Q315" s="292" t="str">
        <x:v>原九部位资源库已登记</x:v>
      </x:c>
      <x:c r="R315" s="292" t="str"/>
      <x:c r="S315" s="292" t="str">
        <x:v>装备素材套装代码表.xlsx（原九部位）</x:v>
      </x:c>
      <x:c r="T315" s="292" t="str">
        <x:v>同一代码用于 Items / StateItem / DnItems；属性与掉落另表定义。</x:v>
      </x:c>
      <x:c r="U315" t="str">
        <x:f>IF(COUNTIF($B$2:$B$1076,B315)&gt;1,"重复","")</x:f>
      </x:c>
      <x:c r="V315" t="str">
        <x:f>IF(AND(OR(M315="",M315=B315),OR(N315="",N315=B315),OR(O315="",O315=B315)),"通过","不一致")</x:f>
        <x:v>通过</x:v>
      </x:c>
    </x:row>
    <x:row r="316" ht="22" customHeight="1">
      <x:c r="A316" s="289" t="n">
        <x:v>315</x:v>
      </x:c>
      <x:c r="B316" s="289" t="n">
        <x:v>6245</x:v>
      </x:c>
      <x:c r="C316" s="290" t="str">
        <x:v>紫垣玄晶·紫极</x:v>
      </x:c>
      <x:c r="D316" s="290" t="str">
        <x:v>紫垣玄晶</x:v>
      </x:c>
      <x:c r="E316" s="290" t="n">
        <x:v>1</x:v>
      </x:c>
      <x:c r="F316" s="290" t="str">
        <x:v>腰带</x:v>
      </x:c>
      <x:c r="G316" s="289"/>
      <x:c r="H316" s="289"/>
      <x:c r="I316" s="289" t="n">
        <x:v>6245</x:v>
      </x:c>
      <x:c r="J316" s="289"/>
      <x:c r="K316" s="289"/>
      <x:c r="L316" s="289"/>
      <x:c r="M316" s="289" t="n">
        <x:v>6245</x:v>
      </x:c>
      <x:c r="N316" s="289" t="n">
        <x:v>6245</x:v>
      </x:c>
      <x:c r="O316" s="289" t="n">
        <x:v>6245</x:v>
      </x:c>
      <x:c r="P316" s="292"/>
      <x:c r="Q316" s="292" t="str">
        <x:v>原九部位资源库已登记</x:v>
      </x:c>
      <x:c r="R316" s="292" t="str"/>
      <x:c r="S316" s="292" t="str">
        <x:v>装备素材套装代码表.xlsx（原九部位）</x:v>
      </x:c>
      <x:c r="T316" s="292" t="str">
        <x:v>同一代码用于 Items / StateItem / DnItems；属性与掉落另表定义。</x:v>
      </x:c>
      <x:c r="U316" t="str">
        <x:f>IF(COUNTIF($B$2:$B$1076,B316)&gt;1,"重复","")</x:f>
      </x:c>
      <x:c r="V316" t="str">
        <x:f>IF(AND(OR(M316="",M316=B316),OR(N316="",N316=B316),OR(O316="",O316=B316)),"通过","不一致")</x:f>
        <x:v>通过</x:v>
      </x:c>
    </x:row>
    <x:row r="317" ht="22" customHeight="1">
      <x:c r="A317" s="289" t="n">
        <x:v>316</x:v>
      </x:c>
      <x:c r="B317" s="289" t="n">
        <x:v>6246</x:v>
      </x:c>
      <x:c r="C317" s="290" t="str">
        <x:v>十二星宫生肖槽位</x:v>
      </x:c>
      <x:c r="D317" s="290" t="str">
        <x:v>星宫</x:v>
      </x:c>
      <x:c r="E317" s="290" t="n">
        <x:v>1</x:v>
      </x:c>
      <x:c r="F317" s="290" t="str">
        <x:v>生肖1</x:v>
      </x:c>
      <x:c r="G317" s="289"/>
      <x:c r="H317" s="289"/>
      <x:c r="I317" s="289" t="n">
        <x:v>6246</x:v>
      </x:c>
      <x:c r="J317" s="289"/>
      <x:c r="K317" s="289"/>
      <x:c r="L317" s="289"/>
      <x:c r="M317" s="289" t="n">
        <x:v>6246</x:v>
      </x:c>
      <x:c r="N317" s="289" t="n">
        <x:v>6246</x:v>
      </x:c>
      <x:c r="O317" s="289" t="n">
        <x:v>6246</x:v>
      </x:c>
      <x:c r="P317" s="292"/>
      <x:c r="Q317" s="292" t="str">
        <x:v>原生肖资源库已登记</x:v>
      </x:c>
      <x:c r="R317" s="292" t="str">
        <x:v>已分配：宁姆格福生肖1</x:v>
      </x:c>
      <x:c r="S317" s="292" t="str">
        <x:v>装备素材套装代码表.xlsx（生肖槽位）</x:v>
      </x:c>
      <x:c r="T317" s="292" t="str">
        <x:v>同一代码用于 Items / StateItem / DnItems；属性与掉落另表定义。</x:v>
      </x:c>
      <x:c r="U317" t="str">
        <x:f>IF(COUNTIF($B$2:$B$1076,B317)&gt;1,"重复","")</x:f>
      </x:c>
      <x:c r="V317" t="str">
        <x:f>IF(AND(OR(M317="",M317=B317),OR(N317="",N317=B317),OR(O317="",O317=B317)),"通过","不一致")</x:f>
        <x:v>通过</x:v>
      </x:c>
    </x:row>
    <x:row r="318" ht="22" customHeight="1">
      <x:c r="A318" s="289" t="n">
        <x:v>317</x:v>
      </x:c>
      <x:c r="B318" s="289" t="n">
        <x:v>6247</x:v>
      </x:c>
      <x:c r="C318" s="290" t="str">
        <x:v>十二星宫生肖槽位</x:v>
      </x:c>
      <x:c r="D318" s="290" t="str">
        <x:v>星宫</x:v>
      </x:c>
      <x:c r="E318" s="290" t="n">
        <x:v>1</x:v>
      </x:c>
      <x:c r="F318" s="290" t="str">
        <x:v>生肖2</x:v>
      </x:c>
      <x:c r="G318" s="289"/>
      <x:c r="H318" s="289"/>
      <x:c r="I318" s="289" t="n">
        <x:v>6247</x:v>
      </x:c>
      <x:c r="J318" s="289"/>
      <x:c r="K318" s="289"/>
      <x:c r="L318" s="289"/>
      <x:c r="M318" s="289" t="n">
        <x:v>6247</x:v>
      </x:c>
      <x:c r="N318" s="289" t="n">
        <x:v>6247</x:v>
      </x:c>
      <x:c r="O318" s="289" t="n">
        <x:v>6247</x:v>
      </x:c>
      <x:c r="P318" s="292"/>
      <x:c r="Q318" s="292" t="str">
        <x:v>原生肖资源库已登记</x:v>
      </x:c>
      <x:c r="R318" s="292" t="str">
        <x:v>已分配：宁姆格福生肖2</x:v>
      </x:c>
      <x:c r="S318" s="292" t="str">
        <x:v>装备素材套装代码表.xlsx（生肖槽位）</x:v>
      </x:c>
      <x:c r="T318" s="292" t="str">
        <x:v>同一代码用于 Items / StateItem / DnItems；属性与掉落另表定义。</x:v>
      </x:c>
      <x:c r="U318" t="str">
        <x:f>IF(COUNTIF($B$2:$B$1076,B318)&gt;1,"重复","")</x:f>
      </x:c>
      <x:c r="V318" t="str">
        <x:f>IF(AND(OR(M318="",M318=B318),OR(N318="",N318=B318),OR(O318="",O318=B318)),"通过","不一致")</x:f>
        <x:v>通过</x:v>
      </x:c>
    </x:row>
    <x:row r="319" ht="22" customHeight="1">
      <x:c r="A319" s="289" t="n">
        <x:v>318</x:v>
      </x:c>
      <x:c r="B319" s="289" t="n">
        <x:v>6248</x:v>
      </x:c>
      <x:c r="C319" s="290" t="str">
        <x:v>十二星宫生肖槽位</x:v>
      </x:c>
      <x:c r="D319" s="290" t="str">
        <x:v>星宫</x:v>
      </x:c>
      <x:c r="E319" s="290" t="n">
        <x:v>1</x:v>
      </x:c>
      <x:c r="F319" s="290" t="str">
        <x:v>生肖3</x:v>
      </x:c>
      <x:c r="G319" s="289"/>
      <x:c r="H319" s="289"/>
      <x:c r="I319" s="289" t="n">
        <x:v>6248</x:v>
      </x:c>
      <x:c r="J319" s="289"/>
      <x:c r="K319" s="289"/>
      <x:c r="L319" s="289"/>
      <x:c r="M319" s="289" t="n">
        <x:v>6248</x:v>
      </x:c>
      <x:c r="N319" s="289" t="n">
        <x:v>6248</x:v>
      </x:c>
      <x:c r="O319" s="289" t="n">
        <x:v>6248</x:v>
      </x:c>
      <x:c r="P319" s="292"/>
      <x:c r="Q319" s="292" t="str">
        <x:v>原生肖资源库已登记</x:v>
      </x:c>
      <x:c r="R319" s="292" t="str">
        <x:v>已分配：宁姆格福生肖3</x:v>
      </x:c>
      <x:c r="S319" s="292" t="str">
        <x:v>装备素材套装代码表.xlsx（生肖槽位）</x:v>
      </x:c>
      <x:c r="T319" s="292" t="str">
        <x:v>同一代码用于 Items / StateItem / DnItems；属性与掉落另表定义。</x:v>
      </x:c>
      <x:c r="U319" t="str">
        <x:f>IF(COUNTIF($B$2:$B$1076,B319)&gt;1,"重复","")</x:f>
      </x:c>
      <x:c r="V319" t="str">
        <x:f>IF(AND(OR(M319="",M319=B319),OR(N319="",N319=B319),OR(O319="",O319=B319)),"通过","不一致")</x:f>
        <x:v>通过</x:v>
      </x:c>
    </x:row>
    <x:row r="320" ht="22" customHeight="1">
      <x:c r="A320" s="289" t="n">
        <x:v>319</x:v>
      </x:c>
      <x:c r="B320" s="289" t="n">
        <x:v>6249</x:v>
      </x:c>
      <x:c r="C320" s="290" t="str">
        <x:v>十二星宫生肖槽位</x:v>
      </x:c>
      <x:c r="D320" s="290" t="str">
        <x:v>星宫</x:v>
      </x:c>
      <x:c r="E320" s="290" t="n">
        <x:v>1</x:v>
      </x:c>
      <x:c r="F320" s="290" t="str">
        <x:v>生肖4</x:v>
      </x:c>
      <x:c r="G320" s="289"/>
      <x:c r="H320" s="289"/>
      <x:c r="I320" s="289" t="n">
        <x:v>6249</x:v>
      </x:c>
      <x:c r="J320" s="289"/>
      <x:c r="K320" s="289"/>
      <x:c r="L320" s="289"/>
      <x:c r="M320" s="289" t="n">
        <x:v>6249</x:v>
      </x:c>
      <x:c r="N320" s="289" t="n">
        <x:v>6249</x:v>
      </x:c>
      <x:c r="O320" s="289" t="n">
        <x:v>6249</x:v>
      </x:c>
      <x:c r="P320" s="292"/>
      <x:c r="Q320" s="292" t="str">
        <x:v>原生肖资源库已登记</x:v>
      </x:c>
      <x:c r="R320" s="292" t="str">
        <x:v>已分配：宁姆格福生肖4</x:v>
      </x:c>
      <x:c r="S320" s="292" t="str">
        <x:v>装备素材套装代码表.xlsx（生肖槽位）</x:v>
      </x:c>
      <x:c r="T320" s="292" t="str">
        <x:v>同一代码用于 Items / StateItem / DnItems；属性与掉落另表定义。</x:v>
      </x:c>
      <x:c r="U320" t="str">
        <x:f>IF(COUNTIF($B$2:$B$1076,B320)&gt;1,"重复","")</x:f>
      </x:c>
      <x:c r="V320" t="str">
        <x:f>IF(AND(OR(M320="",M320=B320),OR(N320="",N320=B320),OR(O320="",O320=B320)),"通过","不一致")</x:f>
        <x:v>通过</x:v>
      </x:c>
    </x:row>
    <x:row r="321" ht="22" customHeight="1">
      <x:c r="A321" s="289" t="n">
        <x:v>320</x:v>
      </x:c>
      <x:c r="B321" s="289" t="n">
        <x:v>6250</x:v>
      </x:c>
      <x:c r="C321" s="290" t="str">
        <x:v>十二星宫生肖槽位</x:v>
      </x:c>
      <x:c r="D321" s="290" t="str">
        <x:v>星宫</x:v>
      </x:c>
      <x:c r="E321" s="290" t="n">
        <x:v>1</x:v>
      </x:c>
      <x:c r="F321" s="290" t="str">
        <x:v>生肖5</x:v>
      </x:c>
      <x:c r="G321" s="289"/>
      <x:c r="H321" s="289"/>
      <x:c r="I321" s="289" t="n">
        <x:v>6250</x:v>
      </x:c>
      <x:c r="J321" s="289"/>
      <x:c r="K321" s="289"/>
      <x:c r="L321" s="289"/>
      <x:c r="M321" s="289" t="n">
        <x:v>6250</x:v>
      </x:c>
      <x:c r="N321" s="289" t="n">
        <x:v>6250</x:v>
      </x:c>
      <x:c r="O321" s="289" t="n">
        <x:v>6250</x:v>
      </x:c>
      <x:c r="P321" s="292"/>
      <x:c r="Q321" s="292" t="str">
        <x:v>原生肖资源库已登记</x:v>
      </x:c>
      <x:c r="R321" s="292" t="str">
        <x:v>已分配：宁姆格福生肖5</x:v>
      </x:c>
      <x:c r="S321" s="292" t="str">
        <x:v>装备素材套装代码表.xlsx（生肖槽位）</x:v>
      </x:c>
      <x:c r="T321" s="292" t="str">
        <x:v>同一代码用于 Items / StateItem / DnItems；属性与掉落另表定义。</x:v>
      </x:c>
      <x:c r="U321" t="str">
        <x:f>IF(COUNTIF($B$2:$B$1076,B321)&gt;1,"重复","")</x:f>
      </x:c>
      <x:c r="V321" t="str">
        <x:f>IF(AND(OR(M321="",M321=B321),OR(N321="",N321=B321),OR(O321="",O321=B321)),"通过","不一致")</x:f>
        <x:v>通过</x:v>
      </x:c>
    </x:row>
    <x:row r="322" ht="22" customHeight="1">
      <x:c r="A322" s="289" t="n">
        <x:v>321</x:v>
      </x:c>
      <x:c r="B322" s="289" t="n">
        <x:v>6251</x:v>
      </x:c>
      <x:c r="C322" s="290" t="str">
        <x:v>十二星宫生肖槽位</x:v>
      </x:c>
      <x:c r="D322" s="290" t="str">
        <x:v>星宫</x:v>
      </x:c>
      <x:c r="E322" s="290" t="n">
        <x:v>1</x:v>
      </x:c>
      <x:c r="F322" s="290" t="str">
        <x:v>生肖6</x:v>
      </x:c>
      <x:c r="G322" s="289"/>
      <x:c r="H322" s="289"/>
      <x:c r="I322" s="289" t="n">
        <x:v>6251</x:v>
      </x:c>
      <x:c r="J322" s="289"/>
      <x:c r="K322" s="289"/>
      <x:c r="L322" s="289"/>
      <x:c r="M322" s="289" t="n">
        <x:v>6251</x:v>
      </x:c>
      <x:c r="N322" s="289" t="n">
        <x:v>6251</x:v>
      </x:c>
      <x:c r="O322" s="289" t="n">
        <x:v>6251</x:v>
      </x:c>
      <x:c r="P322" s="292"/>
      <x:c r="Q322" s="292" t="str">
        <x:v>原生肖资源库已登记</x:v>
      </x:c>
      <x:c r="R322" s="292" t="str">
        <x:v>已分配：宁姆格福生肖6</x:v>
      </x:c>
      <x:c r="S322" s="292" t="str">
        <x:v>装备素材套装代码表.xlsx（生肖槽位）</x:v>
      </x:c>
      <x:c r="T322" s="292" t="str">
        <x:v>同一代码用于 Items / StateItem / DnItems；属性与掉落另表定义。</x:v>
      </x:c>
      <x:c r="U322" t="str">
        <x:f>IF(COUNTIF($B$2:$B$1076,B322)&gt;1,"重复","")</x:f>
      </x:c>
      <x:c r="V322" t="str">
        <x:f>IF(AND(OR(M322="",M322=B322),OR(N322="",N322=B322),OR(O322="",O322=B322)),"通过","不一致")</x:f>
        <x:v>通过</x:v>
      </x:c>
    </x:row>
    <x:row r="323" ht="22" customHeight="1">
      <x:c r="A323" s="289" t="n">
        <x:v>322</x:v>
      </x:c>
      <x:c r="B323" s="289" t="n">
        <x:v>6252</x:v>
      </x:c>
      <x:c r="C323" s="290" t="str">
        <x:v>十二星宫生肖槽位</x:v>
      </x:c>
      <x:c r="D323" s="290" t="str">
        <x:v>星宫</x:v>
      </x:c>
      <x:c r="E323" s="290" t="n">
        <x:v>1</x:v>
      </x:c>
      <x:c r="F323" s="290" t="str">
        <x:v>生肖7</x:v>
      </x:c>
      <x:c r="G323" s="289"/>
      <x:c r="H323" s="289"/>
      <x:c r="I323" s="289" t="n">
        <x:v>6252</x:v>
      </x:c>
      <x:c r="J323" s="289"/>
      <x:c r="K323" s="289"/>
      <x:c r="L323" s="289"/>
      <x:c r="M323" s="289" t="n">
        <x:v>6252</x:v>
      </x:c>
      <x:c r="N323" s="289" t="n">
        <x:v>6252</x:v>
      </x:c>
      <x:c r="O323" s="289" t="n">
        <x:v>6252</x:v>
      </x:c>
      <x:c r="P323" s="292"/>
      <x:c r="Q323" s="292" t="str">
        <x:v>原生肖资源库已登记</x:v>
      </x:c>
      <x:c r="R323" s="292" t="str">
        <x:v>已分配：宁姆格福生肖7</x:v>
      </x:c>
      <x:c r="S323" s="292" t="str">
        <x:v>装备素材套装代码表.xlsx（生肖槽位）</x:v>
      </x:c>
      <x:c r="T323" s="292" t="str">
        <x:v>同一代码用于 Items / StateItem / DnItems；属性与掉落另表定义。</x:v>
      </x:c>
      <x:c r="U323" t="str">
        <x:f>IF(COUNTIF($B$2:$B$1076,B323)&gt;1,"重复","")</x:f>
      </x:c>
      <x:c r="V323" t="str">
        <x:f>IF(AND(OR(M323="",M323=B323),OR(N323="",N323=B323),OR(O323="",O323=B323)),"通过","不一致")</x:f>
        <x:v>通过</x:v>
      </x:c>
    </x:row>
    <x:row r="324" ht="22" customHeight="1">
      <x:c r="A324" s="289" t="n">
        <x:v>323</x:v>
      </x:c>
      <x:c r="B324" s="289" t="n">
        <x:v>6253</x:v>
      </x:c>
      <x:c r="C324" s="290" t="str">
        <x:v>十二星宫生肖槽位</x:v>
      </x:c>
      <x:c r="D324" s="290" t="str">
        <x:v>星宫</x:v>
      </x:c>
      <x:c r="E324" s="290" t="n">
        <x:v>1</x:v>
      </x:c>
      <x:c r="F324" s="290" t="str">
        <x:v>生肖8</x:v>
      </x:c>
      <x:c r="G324" s="289"/>
      <x:c r="H324" s="289"/>
      <x:c r="I324" s="289" t="n">
        <x:v>6253</x:v>
      </x:c>
      <x:c r="J324" s="289"/>
      <x:c r="K324" s="289"/>
      <x:c r="L324" s="289"/>
      <x:c r="M324" s="289" t="n">
        <x:v>6253</x:v>
      </x:c>
      <x:c r="N324" s="289" t="n">
        <x:v>6253</x:v>
      </x:c>
      <x:c r="O324" s="289" t="n">
        <x:v>6253</x:v>
      </x:c>
      <x:c r="P324" s="292"/>
      <x:c r="Q324" s="292" t="str">
        <x:v>原生肖资源库已登记</x:v>
      </x:c>
      <x:c r="R324" s="292" t="str">
        <x:v>已分配：宁姆格福生肖8</x:v>
      </x:c>
      <x:c r="S324" s="292" t="str">
        <x:v>装备素材套装代码表.xlsx（生肖槽位）</x:v>
      </x:c>
      <x:c r="T324" s="292" t="str">
        <x:v>同一代码用于 Items / StateItem / DnItems；属性与掉落另表定义。</x:v>
      </x:c>
      <x:c r="U324" t="str">
        <x:f>IF(COUNTIF($B$2:$B$1076,B324)&gt;1,"重复","")</x:f>
      </x:c>
      <x:c r="V324" t="str">
        <x:f>IF(AND(OR(M324="",M324=B324),OR(N324="",N324=B324),OR(O324="",O324=B324)),"通过","不一致")</x:f>
        <x:v>通过</x:v>
      </x:c>
    </x:row>
    <x:row r="325" ht="22" customHeight="1">
      <x:c r="A325" s="289" t="n">
        <x:v>324</x:v>
      </x:c>
      <x:c r="B325" s="289" t="n">
        <x:v>6254</x:v>
      </x:c>
      <x:c r="C325" s="290" t="str">
        <x:v>十二星宫生肖槽位</x:v>
      </x:c>
      <x:c r="D325" s="290" t="str">
        <x:v>星宫</x:v>
      </x:c>
      <x:c r="E325" s="290" t="n">
        <x:v>1</x:v>
      </x:c>
      <x:c r="F325" s="290" t="str">
        <x:v>生肖9</x:v>
      </x:c>
      <x:c r="G325" s="289"/>
      <x:c r="H325" s="289"/>
      <x:c r="I325" s="289" t="n">
        <x:v>6254</x:v>
      </x:c>
      <x:c r="J325" s="289"/>
      <x:c r="K325" s="289"/>
      <x:c r="L325" s="289"/>
      <x:c r="M325" s="289" t="n">
        <x:v>6254</x:v>
      </x:c>
      <x:c r="N325" s="289" t="n">
        <x:v>6254</x:v>
      </x:c>
      <x:c r="O325" s="289" t="n">
        <x:v>6254</x:v>
      </x:c>
      <x:c r="P325" s="292"/>
      <x:c r="Q325" s="292" t="str">
        <x:v>原生肖资源库已登记</x:v>
      </x:c>
      <x:c r="R325" s="292" t="str">
        <x:v>已分配：宁姆格福生肖9</x:v>
      </x:c>
      <x:c r="S325" s="292" t="str">
        <x:v>装备素材套装代码表.xlsx（生肖槽位）</x:v>
      </x:c>
      <x:c r="T325" s="292" t="str">
        <x:v>同一代码用于 Items / StateItem / DnItems；属性与掉落另表定义。</x:v>
      </x:c>
      <x:c r="U325" t="str">
        <x:f>IF(COUNTIF($B$2:$B$1076,B325)&gt;1,"重复","")</x:f>
      </x:c>
      <x:c r="V325" t="str">
        <x:f>IF(AND(OR(M325="",M325=B325),OR(N325="",N325=B325),OR(O325="",O325=B325)),"通过","不一致")</x:f>
        <x:v>通过</x:v>
      </x:c>
    </x:row>
    <x:row r="326" ht="22" customHeight="1">
      <x:c r="A326" s="289" t="n">
        <x:v>325</x:v>
      </x:c>
      <x:c r="B326" s="289" t="n">
        <x:v>6255</x:v>
      </x:c>
      <x:c r="C326" s="290" t="str">
        <x:v>十二星宫生肖槽位</x:v>
      </x:c>
      <x:c r="D326" s="290" t="str">
        <x:v>星宫</x:v>
      </x:c>
      <x:c r="E326" s="290" t="n">
        <x:v>1</x:v>
      </x:c>
      <x:c r="F326" s="290" t="str">
        <x:v>生肖10</x:v>
      </x:c>
      <x:c r="G326" s="289"/>
      <x:c r="H326" s="289"/>
      <x:c r="I326" s="289" t="n">
        <x:v>6255</x:v>
      </x:c>
      <x:c r="J326" s="289"/>
      <x:c r="K326" s="289"/>
      <x:c r="L326" s="289"/>
      <x:c r="M326" s="289" t="n">
        <x:v>6255</x:v>
      </x:c>
      <x:c r="N326" s="289" t="n">
        <x:v>6255</x:v>
      </x:c>
      <x:c r="O326" s="289" t="n">
        <x:v>6255</x:v>
      </x:c>
      <x:c r="P326" s="292"/>
      <x:c r="Q326" s="292" t="str">
        <x:v>原生肖资源库已登记</x:v>
      </x:c>
      <x:c r="R326" s="292" t="str">
        <x:v>已分配：宁姆格福生肖10</x:v>
      </x:c>
      <x:c r="S326" s="292" t="str">
        <x:v>装备素材套装代码表.xlsx（生肖槽位）</x:v>
      </x:c>
      <x:c r="T326" s="292" t="str">
        <x:v>同一代码用于 Items / StateItem / DnItems；属性与掉落另表定义。</x:v>
      </x:c>
      <x:c r="U326" t="str">
        <x:f>IF(COUNTIF($B$2:$B$1076,B326)&gt;1,"重复","")</x:f>
      </x:c>
      <x:c r="V326" t="str">
        <x:f>IF(AND(OR(M326="",M326=B326),OR(N326="",N326=B326),OR(O326="",O326=B326)),"通过","不一致")</x:f>
        <x:v>通过</x:v>
      </x:c>
    </x:row>
    <x:row r="327" ht="22" customHeight="1">
      <x:c r="A327" s="289" t="n">
        <x:v>326</x:v>
      </x:c>
      <x:c r="B327" s="289" t="n">
        <x:v>6256</x:v>
      </x:c>
      <x:c r="C327" s="290" t="str">
        <x:v>十二星宫生肖槽位</x:v>
      </x:c>
      <x:c r="D327" s="290" t="str">
        <x:v>星宫</x:v>
      </x:c>
      <x:c r="E327" s="290" t="n">
        <x:v>1</x:v>
      </x:c>
      <x:c r="F327" s="290" t="str">
        <x:v>生肖11</x:v>
      </x:c>
      <x:c r="G327" s="289"/>
      <x:c r="H327" s="289"/>
      <x:c r="I327" s="289" t="n">
        <x:v>6256</x:v>
      </x:c>
      <x:c r="J327" s="289"/>
      <x:c r="K327" s="289"/>
      <x:c r="L327" s="289"/>
      <x:c r="M327" s="289" t="n">
        <x:v>6256</x:v>
      </x:c>
      <x:c r="N327" s="289" t="n">
        <x:v>6256</x:v>
      </x:c>
      <x:c r="O327" s="289" t="n">
        <x:v>6256</x:v>
      </x:c>
      <x:c r="P327" s="292"/>
      <x:c r="Q327" s="292" t="str">
        <x:v>原生肖资源库已登记</x:v>
      </x:c>
      <x:c r="R327" s="292" t="str">
        <x:v>已分配：宁姆格福生肖11</x:v>
      </x:c>
      <x:c r="S327" s="292" t="str">
        <x:v>装备素材套装代码表.xlsx（生肖槽位）</x:v>
      </x:c>
      <x:c r="T327" s="292" t="str">
        <x:v>同一代码用于 Items / StateItem / DnItems；属性与掉落另表定义。</x:v>
      </x:c>
      <x:c r="U327" t="str">
        <x:f>IF(COUNTIF($B$2:$B$1076,B327)&gt;1,"重复","")</x:f>
      </x:c>
      <x:c r="V327" t="str">
        <x:f>IF(AND(OR(M327="",M327=B327),OR(N327="",N327=B327),OR(O327="",O327=B327)),"通过","不一致")</x:f>
        <x:v>通过</x:v>
      </x:c>
    </x:row>
    <x:row r="328" ht="22" customHeight="1">
      <x:c r="A328" s="289" t="n">
        <x:v>327</x:v>
      </x:c>
      <x:c r="B328" s="289" t="n">
        <x:v>6257</x:v>
      </x:c>
      <x:c r="C328" s="290" t="str">
        <x:v>十二星宫生肖槽位</x:v>
      </x:c>
      <x:c r="D328" s="290" t="str">
        <x:v>星宫</x:v>
      </x:c>
      <x:c r="E328" s="290" t="n">
        <x:v>1</x:v>
      </x:c>
      <x:c r="F328" s="290" t="str">
        <x:v>生肖12</x:v>
      </x:c>
      <x:c r="G328" s="289"/>
      <x:c r="H328" s="289"/>
      <x:c r="I328" s="289" t="n">
        <x:v>6257</x:v>
      </x:c>
      <x:c r="J328" s="289"/>
      <x:c r="K328" s="289"/>
      <x:c r="L328" s="289"/>
      <x:c r="M328" s="289" t="n">
        <x:v>6257</x:v>
      </x:c>
      <x:c r="N328" s="289" t="n">
        <x:v>6257</x:v>
      </x:c>
      <x:c r="O328" s="289" t="n">
        <x:v>6257</x:v>
      </x:c>
      <x:c r="P328" s="292"/>
      <x:c r="Q328" s="292" t="str">
        <x:v>原生肖资源库已登记</x:v>
      </x:c>
      <x:c r="R328" s="292" t="str">
        <x:v>已分配：宁姆格福生肖12</x:v>
      </x:c>
      <x:c r="S328" s="292" t="str">
        <x:v>装备素材套装代码表.xlsx（生肖槽位）</x:v>
      </x:c>
      <x:c r="T328" s="292" t="str">
        <x:v>同一代码用于 Items / StateItem / DnItems；属性与掉落另表定义。</x:v>
      </x:c>
      <x:c r="U328" t="str">
        <x:f>IF(COUNTIF($B$2:$B$1076,B328)&gt;1,"重复","")</x:f>
      </x:c>
      <x:c r="V328" t="str">
        <x:f>IF(AND(OR(M328="",M328=B328),OR(N328="",N328=B328),OR(O328="",O328=B328)),"通过","不一致")</x:f>
        <x:v>通过</x:v>
      </x:c>
    </x:row>
    <x:row r="329" ht="22" customHeight="1">
      <x:c r="A329" s="289" t="n">
        <x:v>328</x:v>
      </x:c>
      <x:c r="B329" s="289" t="n">
        <x:v>6258</x:v>
      </x:c>
      <x:c r="C329" s="290" t="str">
        <x:v>玄衡月蚀·星宫</x:v>
      </x:c>
      <x:c r="D329" s="290" t="str">
        <x:v>玄衡月蚀</x:v>
      </x:c>
      <x:c r="E329" s="290" t="n">
        <x:v>2</x:v>
      </x:c>
      <x:c r="F329" s="290" t="str">
        <x:v>生肖1</x:v>
      </x:c>
      <x:c r="G329" s="289"/>
      <x:c r="H329" s="289"/>
      <x:c r="I329" s="289" t="n">
        <x:v>6258</x:v>
      </x:c>
      <x:c r="J329" s="289"/>
      <x:c r="K329" s="289"/>
      <x:c r="L329" s="289"/>
      <x:c r="M329" s="289" t="n">
        <x:v>6258</x:v>
      </x:c>
      <x:c r="N329" s="289" t="n">
        <x:v>6258</x:v>
      </x:c>
      <x:c r="O329" s="289" t="n">
        <x:v>6258</x:v>
      </x:c>
      <x:c r="P329" s="292"/>
      <x:c r="Q329" s="292" t="str">
        <x:v>原生肖资源库已登记</x:v>
      </x:c>
      <x:c r="R329" s="292" t="str"/>
      <x:c r="S329" s="292" t="str">
        <x:v>装备素材套装代码表.xlsx（生肖槽位）</x:v>
      </x:c>
      <x:c r="T329" s="292" t="str">
        <x:v>同一代码用于 Items / StateItem / DnItems；属性与掉落另表定义。</x:v>
      </x:c>
      <x:c r="U329" t="str">
        <x:f>IF(COUNTIF($B$2:$B$1076,B329)&gt;1,"重复","")</x:f>
      </x:c>
      <x:c r="V329" t="str">
        <x:f>IF(AND(OR(M329="",M329=B329),OR(N329="",N329=B329),OR(O329="",O329=B329)),"通过","不一致")</x:f>
        <x:v>通过</x:v>
      </x:c>
    </x:row>
    <x:row r="330" ht="22" customHeight="1">
      <x:c r="A330" s="289" t="n">
        <x:v>329</x:v>
      </x:c>
      <x:c r="B330" s="289" t="n">
        <x:v>6259</x:v>
      </x:c>
      <x:c r="C330" s="290" t="str">
        <x:v>玄衡月蚀·星宫</x:v>
      </x:c>
      <x:c r="D330" s="290" t="str">
        <x:v>玄衡月蚀</x:v>
      </x:c>
      <x:c r="E330" s="290" t="n">
        <x:v>2</x:v>
      </x:c>
      <x:c r="F330" s="290" t="str">
        <x:v>生肖2</x:v>
      </x:c>
      <x:c r="G330" s="289"/>
      <x:c r="H330" s="289"/>
      <x:c r="I330" s="289" t="n">
        <x:v>6259</x:v>
      </x:c>
      <x:c r="J330" s="289"/>
      <x:c r="K330" s="289"/>
      <x:c r="L330" s="289"/>
      <x:c r="M330" s="289" t="n">
        <x:v>6259</x:v>
      </x:c>
      <x:c r="N330" s="289" t="n">
        <x:v>6259</x:v>
      </x:c>
      <x:c r="O330" s="289" t="n">
        <x:v>6259</x:v>
      </x:c>
      <x:c r="P330" s="292"/>
      <x:c r="Q330" s="292" t="str">
        <x:v>原生肖资源库已登记</x:v>
      </x:c>
      <x:c r="R330" s="292" t="str"/>
      <x:c r="S330" s="292" t="str">
        <x:v>装备素材套装代码表.xlsx（生肖槽位）</x:v>
      </x:c>
      <x:c r="T330" s="292" t="str">
        <x:v>同一代码用于 Items / StateItem / DnItems；属性与掉落另表定义。</x:v>
      </x:c>
      <x:c r="U330" t="str">
        <x:f>IF(COUNTIF($B$2:$B$1076,B330)&gt;1,"重复","")</x:f>
      </x:c>
      <x:c r="V330" t="str">
        <x:f>IF(AND(OR(M330="",M330=B330),OR(N330="",N330=B330),OR(O330="",O330=B330)),"通过","不一致")</x:f>
        <x:v>通过</x:v>
      </x:c>
    </x:row>
    <x:row r="331" ht="22" customHeight="1">
      <x:c r="A331" s="289" t="n">
        <x:v>330</x:v>
      </x:c>
      <x:c r="B331" s="289" t="n">
        <x:v>6260</x:v>
      </x:c>
      <x:c r="C331" s="290" t="str">
        <x:v>玄衡月蚀·星宫</x:v>
      </x:c>
      <x:c r="D331" s="290" t="str">
        <x:v>玄衡月蚀</x:v>
      </x:c>
      <x:c r="E331" s="290" t="n">
        <x:v>2</x:v>
      </x:c>
      <x:c r="F331" s="290" t="str">
        <x:v>生肖3</x:v>
      </x:c>
      <x:c r="G331" s="289"/>
      <x:c r="H331" s="289"/>
      <x:c r="I331" s="289" t="n">
        <x:v>6260</x:v>
      </x:c>
      <x:c r="J331" s="289"/>
      <x:c r="K331" s="289"/>
      <x:c r="L331" s="289"/>
      <x:c r="M331" s="289" t="n">
        <x:v>6260</x:v>
      </x:c>
      <x:c r="N331" s="289" t="n">
        <x:v>6260</x:v>
      </x:c>
      <x:c r="O331" s="289" t="n">
        <x:v>6260</x:v>
      </x:c>
      <x:c r="P331" s="292"/>
      <x:c r="Q331" s="292" t="str">
        <x:v>原生肖资源库已登记</x:v>
      </x:c>
      <x:c r="R331" s="292" t="str"/>
      <x:c r="S331" s="292" t="str">
        <x:v>装备素材套装代码表.xlsx（生肖槽位）</x:v>
      </x:c>
      <x:c r="T331" s="292" t="str">
        <x:v>同一代码用于 Items / StateItem / DnItems；属性与掉落另表定义。</x:v>
      </x:c>
      <x:c r="U331" t="str">
        <x:f>IF(COUNTIF($B$2:$B$1076,B331)&gt;1,"重复","")</x:f>
      </x:c>
      <x:c r="V331" t="str">
        <x:f>IF(AND(OR(M331="",M331=B331),OR(N331="",N331=B331),OR(O331="",O331=B331)),"通过","不一致")</x:f>
        <x:v>通过</x:v>
      </x:c>
    </x:row>
    <x:row r="332" ht="22" customHeight="1">
      <x:c r="A332" s="289" t="n">
        <x:v>331</x:v>
      </x:c>
      <x:c r="B332" s="289" t="n">
        <x:v>6261</x:v>
      </x:c>
      <x:c r="C332" s="290" t="str">
        <x:v>玄衡月蚀·星宫</x:v>
      </x:c>
      <x:c r="D332" s="290" t="str">
        <x:v>玄衡月蚀</x:v>
      </x:c>
      <x:c r="E332" s="290" t="n">
        <x:v>2</x:v>
      </x:c>
      <x:c r="F332" s="290" t="str">
        <x:v>生肖4</x:v>
      </x:c>
      <x:c r="G332" s="289"/>
      <x:c r="H332" s="289"/>
      <x:c r="I332" s="289" t="n">
        <x:v>6261</x:v>
      </x:c>
      <x:c r="J332" s="289"/>
      <x:c r="K332" s="289"/>
      <x:c r="L332" s="289"/>
      <x:c r="M332" s="289" t="n">
        <x:v>6261</x:v>
      </x:c>
      <x:c r="N332" s="289" t="n">
        <x:v>6261</x:v>
      </x:c>
      <x:c r="O332" s="289" t="n">
        <x:v>6261</x:v>
      </x:c>
      <x:c r="P332" s="292"/>
      <x:c r="Q332" s="292" t="str">
        <x:v>原生肖资源库已登记</x:v>
      </x:c>
      <x:c r="R332" s="292" t="str"/>
      <x:c r="S332" s="292" t="str">
        <x:v>装备素材套装代码表.xlsx（生肖槽位）</x:v>
      </x:c>
      <x:c r="T332" s="292" t="str">
        <x:v>同一代码用于 Items / StateItem / DnItems；属性与掉落另表定义。</x:v>
      </x:c>
      <x:c r="U332" t="str">
        <x:f>IF(COUNTIF($B$2:$B$1076,B332)&gt;1,"重复","")</x:f>
      </x:c>
      <x:c r="V332" t="str">
        <x:f>IF(AND(OR(M332="",M332=B332),OR(N332="",N332=B332),OR(O332="",O332=B332)),"通过","不一致")</x:f>
        <x:v>通过</x:v>
      </x:c>
    </x:row>
    <x:row r="333" ht="22" customHeight="1">
      <x:c r="A333" s="289" t="n">
        <x:v>332</x:v>
      </x:c>
      <x:c r="B333" s="289" t="n">
        <x:v>6262</x:v>
      </x:c>
      <x:c r="C333" s="290" t="str">
        <x:v>玄衡月蚀·星宫</x:v>
      </x:c>
      <x:c r="D333" s="290" t="str">
        <x:v>玄衡月蚀</x:v>
      </x:c>
      <x:c r="E333" s="290" t="n">
        <x:v>2</x:v>
      </x:c>
      <x:c r="F333" s="290" t="str">
        <x:v>生肖5</x:v>
      </x:c>
      <x:c r="G333" s="289"/>
      <x:c r="H333" s="289"/>
      <x:c r="I333" s="289" t="n">
        <x:v>6262</x:v>
      </x:c>
      <x:c r="J333" s="289"/>
      <x:c r="K333" s="289"/>
      <x:c r="L333" s="289"/>
      <x:c r="M333" s="289" t="n">
        <x:v>6262</x:v>
      </x:c>
      <x:c r="N333" s="289" t="n">
        <x:v>6262</x:v>
      </x:c>
      <x:c r="O333" s="289" t="n">
        <x:v>6262</x:v>
      </x:c>
      <x:c r="P333" s="292"/>
      <x:c r="Q333" s="292" t="str">
        <x:v>原生肖资源库已登记</x:v>
      </x:c>
      <x:c r="R333" s="292" t="str"/>
      <x:c r="S333" s="292" t="str">
        <x:v>装备素材套装代码表.xlsx（生肖槽位）</x:v>
      </x:c>
      <x:c r="T333" s="292" t="str">
        <x:v>同一代码用于 Items / StateItem / DnItems；属性与掉落另表定义。</x:v>
      </x:c>
      <x:c r="U333" t="str">
        <x:f>IF(COUNTIF($B$2:$B$1076,B333)&gt;1,"重复","")</x:f>
      </x:c>
      <x:c r="V333" t="str">
        <x:f>IF(AND(OR(M333="",M333=B333),OR(N333="",N333=B333),OR(O333="",O333=B333)),"通过","不一致")</x:f>
        <x:v>通过</x:v>
      </x:c>
    </x:row>
    <x:row r="334" ht="22" customHeight="1">
      <x:c r="A334" s="289" t="n">
        <x:v>333</x:v>
      </x:c>
      <x:c r="B334" s="289" t="n">
        <x:v>6263</x:v>
      </x:c>
      <x:c r="C334" s="290" t="str">
        <x:v>玄衡月蚀·星宫</x:v>
      </x:c>
      <x:c r="D334" s="290" t="str">
        <x:v>玄衡月蚀</x:v>
      </x:c>
      <x:c r="E334" s="290" t="n">
        <x:v>2</x:v>
      </x:c>
      <x:c r="F334" s="290" t="str">
        <x:v>生肖6</x:v>
      </x:c>
      <x:c r="G334" s="289"/>
      <x:c r="H334" s="289"/>
      <x:c r="I334" s="289" t="n">
        <x:v>6263</x:v>
      </x:c>
      <x:c r="J334" s="289"/>
      <x:c r="K334" s="289"/>
      <x:c r="L334" s="289"/>
      <x:c r="M334" s="289" t="n">
        <x:v>6263</x:v>
      </x:c>
      <x:c r="N334" s="289" t="n">
        <x:v>6263</x:v>
      </x:c>
      <x:c r="O334" s="289" t="n">
        <x:v>6263</x:v>
      </x:c>
      <x:c r="P334" s="292"/>
      <x:c r="Q334" s="292" t="str">
        <x:v>原生肖资源库已登记</x:v>
      </x:c>
      <x:c r="R334" s="292" t="str"/>
      <x:c r="S334" s="292" t="str">
        <x:v>装备素材套装代码表.xlsx（生肖槽位）</x:v>
      </x:c>
      <x:c r="T334" s="292" t="str">
        <x:v>同一代码用于 Items / StateItem / DnItems；属性与掉落另表定义。</x:v>
      </x:c>
      <x:c r="U334" t="str">
        <x:f>IF(COUNTIF($B$2:$B$1076,B334)&gt;1,"重复","")</x:f>
      </x:c>
      <x:c r="V334" t="str">
        <x:f>IF(AND(OR(M334="",M334=B334),OR(N334="",N334=B334),OR(O334="",O334=B334)),"通过","不一致")</x:f>
        <x:v>通过</x:v>
      </x:c>
    </x:row>
    <x:row r="335" ht="22" customHeight="1">
      <x:c r="A335" s="289" t="n">
        <x:v>334</x:v>
      </x:c>
      <x:c r="B335" s="289" t="n">
        <x:v>6264</x:v>
      </x:c>
      <x:c r="C335" s="290" t="str">
        <x:v>玄衡月蚀·星宫</x:v>
      </x:c>
      <x:c r="D335" s="290" t="str">
        <x:v>玄衡月蚀</x:v>
      </x:c>
      <x:c r="E335" s="290" t="n">
        <x:v>2</x:v>
      </x:c>
      <x:c r="F335" s="290" t="str">
        <x:v>生肖7</x:v>
      </x:c>
      <x:c r="G335" s="289"/>
      <x:c r="H335" s="289"/>
      <x:c r="I335" s="289" t="n">
        <x:v>6264</x:v>
      </x:c>
      <x:c r="J335" s="289"/>
      <x:c r="K335" s="289"/>
      <x:c r="L335" s="289"/>
      <x:c r="M335" s="289" t="n">
        <x:v>6264</x:v>
      </x:c>
      <x:c r="N335" s="289" t="n">
        <x:v>6264</x:v>
      </x:c>
      <x:c r="O335" s="289" t="n">
        <x:v>6264</x:v>
      </x:c>
      <x:c r="P335" s="292"/>
      <x:c r="Q335" s="292" t="str">
        <x:v>原生肖资源库已登记</x:v>
      </x:c>
      <x:c r="R335" s="292" t="str"/>
      <x:c r="S335" s="292" t="str">
        <x:v>装备素材套装代码表.xlsx（生肖槽位）</x:v>
      </x:c>
      <x:c r="T335" s="292" t="str">
        <x:v>同一代码用于 Items / StateItem / DnItems；属性与掉落另表定义。</x:v>
      </x:c>
      <x:c r="U335" t="str">
        <x:f>IF(COUNTIF($B$2:$B$1076,B335)&gt;1,"重复","")</x:f>
      </x:c>
      <x:c r="V335" t="str">
        <x:f>IF(AND(OR(M335="",M335=B335),OR(N335="",N335=B335),OR(O335="",O335=B335)),"通过","不一致")</x:f>
        <x:v>通过</x:v>
      </x:c>
    </x:row>
    <x:row r="336" ht="22" customHeight="1">
      <x:c r="A336" s="289" t="n">
        <x:v>335</x:v>
      </x:c>
      <x:c r="B336" s="289" t="n">
        <x:v>6265</x:v>
      </x:c>
      <x:c r="C336" s="290" t="str">
        <x:v>玄衡月蚀·星宫</x:v>
      </x:c>
      <x:c r="D336" s="290" t="str">
        <x:v>玄衡月蚀</x:v>
      </x:c>
      <x:c r="E336" s="290" t="n">
        <x:v>2</x:v>
      </x:c>
      <x:c r="F336" s="290" t="str">
        <x:v>生肖8</x:v>
      </x:c>
      <x:c r="G336" s="289"/>
      <x:c r="H336" s="289"/>
      <x:c r="I336" s="289" t="n">
        <x:v>6265</x:v>
      </x:c>
      <x:c r="J336" s="289"/>
      <x:c r="K336" s="289"/>
      <x:c r="L336" s="289"/>
      <x:c r="M336" s="289" t="n">
        <x:v>6265</x:v>
      </x:c>
      <x:c r="N336" s="289" t="n">
        <x:v>6265</x:v>
      </x:c>
      <x:c r="O336" s="289" t="n">
        <x:v>6265</x:v>
      </x:c>
      <x:c r="P336" s="292"/>
      <x:c r="Q336" s="292" t="str">
        <x:v>原生肖资源库已登记</x:v>
      </x:c>
      <x:c r="R336" s="292" t="str"/>
      <x:c r="S336" s="292" t="str">
        <x:v>装备素材套装代码表.xlsx（生肖槽位）</x:v>
      </x:c>
      <x:c r="T336" s="292" t="str">
        <x:v>同一代码用于 Items / StateItem / DnItems；属性与掉落另表定义。</x:v>
      </x:c>
      <x:c r="U336" t="str">
        <x:f>IF(COUNTIF($B$2:$B$1076,B336)&gt;1,"重复","")</x:f>
      </x:c>
      <x:c r="V336" t="str">
        <x:f>IF(AND(OR(M336="",M336=B336),OR(N336="",N336=B336),OR(O336="",O336=B336)),"通过","不一致")</x:f>
        <x:v>通过</x:v>
      </x:c>
    </x:row>
    <x:row r="337" ht="22" customHeight="1">
      <x:c r="A337" s="289" t="n">
        <x:v>336</x:v>
      </x:c>
      <x:c r="B337" s="289" t="n">
        <x:v>6266</x:v>
      </x:c>
      <x:c r="C337" s="290" t="str">
        <x:v>玄衡月蚀·星宫</x:v>
      </x:c>
      <x:c r="D337" s="290" t="str">
        <x:v>玄衡月蚀</x:v>
      </x:c>
      <x:c r="E337" s="290" t="n">
        <x:v>2</x:v>
      </x:c>
      <x:c r="F337" s="290" t="str">
        <x:v>生肖9</x:v>
      </x:c>
      <x:c r="G337" s="289"/>
      <x:c r="H337" s="289"/>
      <x:c r="I337" s="289" t="n">
        <x:v>6266</x:v>
      </x:c>
      <x:c r="J337" s="289"/>
      <x:c r="K337" s="289"/>
      <x:c r="L337" s="289"/>
      <x:c r="M337" s="289" t="n">
        <x:v>6266</x:v>
      </x:c>
      <x:c r="N337" s="289" t="n">
        <x:v>6266</x:v>
      </x:c>
      <x:c r="O337" s="289" t="n">
        <x:v>6266</x:v>
      </x:c>
      <x:c r="P337" s="292"/>
      <x:c r="Q337" s="292" t="str">
        <x:v>原生肖资源库已登记</x:v>
      </x:c>
      <x:c r="R337" s="292" t="str"/>
      <x:c r="S337" s="292" t="str">
        <x:v>装备素材套装代码表.xlsx（生肖槽位）</x:v>
      </x:c>
      <x:c r="T337" s="292" t="str">
        <x:v>同一代码用于 Items / StateItem / DnItems；属性与掉落另表定义。</x:v>
      </x:c>
      <x:c r="U337" t="str">
        <x:f>IF(COUNTIF($B$2:$B$1076,B337)&gt;1,"重复","")</x:f>
      </x:c>
      <x:c r="V337" t="str">
        <x:f>IF(AND(OR(M337="",M337=B337),OR(N337="",N337=B337),OR(O337="",O337=B337)),"通过","不一致")</x:f>
        <x:v>通过</x:v>
      </x:c>
    </x:row>
    <x:row r="338" ht="22" customHeight="1">
      <x:c r="A338" s="289" t="n">
        <x:v>337</x:v>
      </x:c>
      <x:c r="B338" s="289" t="n">
        <x:v>6267</x:v>
      </x:c>
      <x:c r="C338" s="290" t="str">
        <x:v>玄衡月蚀·星宫</x:v>
      </x:c>
      <x:c r="D338" s="290" t="str">
        <x:v>玄衡月蚀</x:v>
      </x:c>
      <x:c r="E338" s="290" t="n">
        <x:v>2</x:v>
      </x:c>
      <x:c r="F338" s="290" t="str">
        <x:v>生肖10</x:v>
      </x:c>
      <x:c r="G338" s="289"/>
      <x:c r="H338" s="289"/>
      <x:c r="I338" s="289" t="n">
        <x:v>6267</x:v>
      </x:c>
      <x:c r="J338" s="289"/>
      <x:c r="K338" s="289"/>
      <x:c r="L338" s="289"/>
      <x:c r="M338" s="289" t="n">
        <x:v>6267</x:v>
      </x:c>
      <x:c r="N338" s="289" t="n">
        <x:v>6267</x:v>
      </x:c>
      <x:c r="O338" s="289" t="n">
        <x:v>6267</x:v>
      </x:c>
      <x:c r="P338" s="292"/>
      <x:c r="Q338" s="292" t="str">
        <x:v>原生肖资源库已登记</x:v>
      </x:c>
      <x:c r="R338" s="292" t="str"/>
      <x:c r="S338" s="292" t="str">
        <x:v>装备素材套装代码表.xlsx（生肖槽位）</x:v>
      </x:c>
      <x:c r="T338" s="292" t="str">
        <x:v>同一代码用于 Items / StateItem / DnItems；属性与掉落另表定义。</x:v>
      </x:c>
      <x:c r="U338" t="str">
        <x:f>IF(COUNTIF($B$2:$B$1076,B338)&gt;1,"重复","")</x:f>
      </x:c>
      <x:c r="V338" t="str">
        <x:f>IF(AND(OR(M338="",M338=B338),OR(N338="",N338=B338),OR(O338="",O338=B338)),"通过","不一致")</x:f>
        <x:v>通过</x:v>
      </x:c>
    </x:row>
    <x:row r="339" ht="22" customHeight="1">
      <x:c r="A339" s="289" t="n">
        <x:v>338</x:v>
      </x:c>
      <x:c r="B339" s="289" t="n">
        <x:v>6268</x:v>
      </x:c>
      <x:c r="C339" s="290" t="str">
        <x:v>玄衡月蚀·星宫</x:v>
      </x:c>
      <x:c r="D339" s="290" t="str">
        <x:v>玄衡月蚀</x:v>
      </x:c>
      <x:c r="E339" s="290" t="n">
        <x:v>2</x:v>
      </x:c>
      <x:c r="F339" s="290" t="str">
        <x:v>生肖11</x:v>
      </x:c>
      <x:c r="G339" s="289"/>
      <x:c r="H339" s="289"/>
      <x:c r="I339" s="289" t="n">
        <x:v>6268</x:v>
      </x:c>
      <x:c r="J339" s="289"/>
      <x:c r="K339" s="289"/>
      <x:c r="L339" s="289"/>
      <x:c r="M339" s="289" t="n">
        <x:v>6268</x:v>
      </x:c>
      <x:c r="N339" s="289" t="n">
        <x:v>6268</x:v>
      </x:c>
      <x:c r="O339" s="289" t="n">
        <x:v>6268</x:v>
      </x:c>
      <x:c r="P339" s="292"/>
      <x:c r="Q339" s="292" t="str">
        <x:v>原生肖资源库已登记</x:v>
      </x:c>
      <x:c r="R339" s="292" t="str"/>
      <x:c r="S339" s="292" t="str">
        <x:v>装备素材套装代码表.xlsx（生肖槽位）</x:v>
      </x:c>
      <x:c r="T339" s="292" t="str">
        <x:v>同一代码用于 Items / StateItem / DnItems；属性与掉落另表定义。</x:v>
      </x:c>
      <x:c r="U339" t="str">
        <x:f>IF(COUNTIF($B$2:$B$1076,B339)&gt;1,"重复","")</x:f>
      </x:c>
      <x:c r="V339" t="str">
        <x:f>IF(AND(OR(M339="",M339=B339),OR(N339="",N339=B339),OR(O339="",O339=B339)),"通过","不一致")</x:f>
        <x:v>通过</x:v>
      </x:c>
    </x:row>
    <x:row r="340" ht="22" customHeight="1">
      <x:c r="A340" s="289" t="n">
        <x:v>339</x:v>
      </x:c>
      <x:c r="B340" s="289" t="n">
        <x:v>6269</x:v>
      </x:c>
      <x:c r="C340" s="290" t="str">
        <x:v>玄衡月蚀·星宫</x:v>
      </x:c>
      <x:c r="D340" s="290" t="str">
        <x:v>玄衡月蚀</x:v>
      </x:c>
      <x:c r="E340" s="290" t="n">
        <x:v>2</x:v>
      </x:c>
      <x:c r="F340" s="290" t="str">
        <x:v>生肖12</x:v>
      </x:c>
      <x:c r="G340" s="289"/>
      <x:c r="H340" s="289"/>
      <x:c r="I340" s="289" t="n">
        <x:v>6269</x:v>
      </x:c>
      <x:c r="J340" s="289"/>
      <x:c r="K340" s="289"/>
      <x:c r="L340" s="289"/>
      <x:c r="M340" s="289" t="n">
        <x:v>6269</x:v>
      </x:c>
      <x:c r="N340" s="289" t="n">
        <x:v>6269</x:v>
      </x:c>
      <x:c r="O340" s="289" t="n">
        <x:v>6269</x:v>
      </x:c>
      <x:c r="P340" s="292"/>
      <x:c r="Q340" s="292" t="str">
        <x:v>原生肖资源库已登记</x:v>
      </x:c>
      <x:c r="R340" s="292" t="str"/>
      <x:c r="S340" s="292" t="str">
        <x:v>装备素材套装代码表.xlsx（生肖槽位）</x:v>
      </x:c>
      <x:c r="T340" s="292" t="str">
        <x:v>同一代码用于 Items / StateItem / DnItems；属性与掉落另表定义。</x:v>
      </x:c>
      <x:c r="U340" t="str">
        <x:f>IF(COUNTIF($B$2:$B$1076,B340)&gt;1,"重复","")</x:f>
      </x:c>
      <x:c r="V340" t="str">
        <x:f>IF(AND(OR(M340="",M340=B340),OR(N340="",N340=B340),OR(O340="",O340=B340)),"通过","不一致")</x:f>
        <x:v>通过</x:v>
      </x:c>
    </x:row>
    <x:row r="341" ht="22" customHeight="1">
      <x:c r="A341" s="289" t="n">
        <x:v>340</x:v>
      </x:c>
      <x:c r="B341" s="289" t="n">
        <x:v>6270</x:v>
      </x:c>
      <x:c r="C341" s="290" t="str">
        <x:v>苍辰木火·星宫</x:v>
      </x:c>
      <x:c r="D341" s="290" t="str">
        <x:v>苍辰木火</x:v>
      </x:c>
      <x:c r="E341" s="290" t="n">
        <x:v>3</x:v>
      </x:c>
      <x:c r="F341" s="290" t="str">
        <x:v>生肖1</x:v>
      </x:c>
      <x:c r="G341" s="289"/>
      <x:c r="H341" s="289"/>
      <x:c r="I341" s="289" t="n">
        <x:v>6270</x:v>
      </x:c>
      <x:c r="J341" s="289"/>
      <x:c r="K341" s="289"/>
      <x:c r="L341" s="289"/>
      <x:c r="M341" s="289" t="n">
        <x:v>6270</x:v>
      </x:c>
      <x:c r="N341" s="289" t="n">
        <x:v>6270</x:v>
      </x:c>
      <x:c r="O341" s="289" t="n">
        <x:v>6270</x:v>
      </x:c>
      <x:c r="P341" s="292"/>
      <x:c r="Q341" s="292" t="str">
        <x:v>原生肖资源库已登记</x:v>
      </x:c>
      <x:c r="R341" s="292" t="str"/>
      <x:c r="S341" s="292" t="str">
        <x:v>装备素材套装代码表.xlsx（生肖槽位）</x:v>
      </x:c>
      <x:c r="T341" s="292" t="str">
        <x:v>同一代码用于 Items / StateItem / DnItems；属性与掉落另表定义。</x:v>
      </x:c>
      <x:c r="U341" t="str">
        <x:f>IF(COUNTIF($B$2:$B$1076,B341)&gt;1,"重复","")</x:f>
      </x:c>
      <x:c r="V341" t="str">
        <x:f>IF(AND(OR(M341="",M341=B341),OR(N341="",N341=B341),OR(O341="",O341=B341)),"通过","不一致")</x:f>
        <x:v>通过</x:v>
      </x:c>
    </x:row>
    <x:row r="342" ht="22" customHeight="1">
      <x:c r="A342" s="289" t="n">
        <x:v>341</x:v>
      </x:c>
      <x:c r="B342" s="289" t="n">
        <x:v>6271</x:v>
      </x:c>
      <x:c r="C342" s="290" t="str">
        <x:v>苍辰木火·星宫</x:v>
      </x:c>
      <x:c r="D342" s="290" t="str">
        <x:v>苍辰木火</x:v>
      </x:c>
      <x:c r="E342" s="290" t="n">
        <x:v>3</x:v>
      </x:c>
      <x:c r="F342" s="290" t="str">
        <x:v>生肖2</x:v>
      </x:c>
      <x:c r="G342" s="289"/>
      <x:c r="H342" s="289"/>
      <x:c r="I342" s="289" t="n">
        <x:v>6271</x:v>
      </x:c>
      <x:c r="J342" s="289"/>
      <x:c r="K342" s="289"/>
      <x:c r="L342" s="289"/>
      <x:c r="M342" s="289" t="n">
        <x:v>6271</x:v>
      </x:c>
      <x:c r="N342" s="289" t="n">
        <x:v>6271</x:v>
      </x:c>
      <x:c r="O342" s="289" t="n">
        <x:v>6271</x:v>
      </x:c>
      <x:c r="P342" s="292"/>
      <x:c r="Q342" s="292" t="str">
        <x:v>原生肖资源库已登记</x:v>
      </x:c>
      <x:c r="R342" s="292" t="str"/>
      <x:c r="S342" s="292" t="str">
        <x:v>装备素材套装代码表.xlsx（生肖槽位）</x:v>
      </x:c>
      <x:c r="T342" s="292" t="str">
        <x:v>同一代码用于 Items / StateItem / DnItems；属性与掉落另表定义。</x:v>
      </x:c>
      <x:c r="U342" t="str">
        <x:f>IF(COUNTIF($B$2:$B$1076,B342)&gt;1,"重复","")</x:f>
      </x:c>
      <x:c r="V342" t="str">
        <x:f>IF(AND(OR(M342="",M342=B342),OR(N342="",N342=B342),OR(O342="",O342=B342)),"通过","不一致")</x:f>
        <x:v>通过</x:v>
      </x:c>
    </x:row>
    <x:row r="343" ht="22" customHeight="1">
      <x:c r="A343" s="289" t="n">
        <x:v>342</x:v>
      </x:c>
      <x:c r="B343" s="289" t="n">
        <x:v>6272</x:v>
      </x:c>
      <x:c r="C343" s="290" t="str">
        <x:v>苍辰木火·星宫</x:v>
      </x:c>
      <x:c r="D343" s="290" t="str">
        <x:v>苍辰木火</x:v>
      </x:c>
      <x:c r="E343" s="290" t="n">
        <x:v>3</x:v>
      </x:c>
      <x:c r="F343" s="290" t="str">
        <x:v>生肖3</x:v>
      </x:c>
      <x:c r="G343" s="289"/>
      <x:c r="H343" s="289"/>
      <x:c r="I343" s="289" t="n">
        <x:v>6272</x:v>
      </x:c>
      <x:c r="J343" s="289"/>
      <x:c r="K343" s="289"/>
      <x:c r="L343" s="289"/>
      <x:c r="M343" s="289" t="n">
        <x:v>6272</x:v>
      </x:c>
      <x:c r="N343" s="289" t="n">
        <x:v>6272</x:v>
      </x:c>
      <x:c r="O343" s="289" t="n">
        <x:v>6272</x:v>
      </x:c>
      <x:c r="P343" s="292"/>
      <x:c r="Q343" s="292" t="str">
        <x:v>原生肖资源库已登记</x:v>
      </x:c>
      <x:c r="R343" s="292" t="str"/>
      <x:c r="S343" s="292" t="str">
        <x:v>装备素材套装代码表.xlsx（生肖槽位）</x:v>
      </x:c>
      <x:c r="T343" s="292" t="str">
        <x:v>同一代码用于 Items / StateItem / DnItems；属性与掉落另表定义。</x:v>
      </x:c>
      <x:c r="U343" t="str">
        <x:f>IF(COUNTIF($B$2:$B$1076,B343)&gt;1,"重复","")</x:f>
      </x:c>
      <x:c r="V343" t="str">
        <x:f>IF(AND(OR(M343="",M343=B343),OR(N343="",N343=B343),OR(O343="",O343=B343)),"通过","不一致")</x:f>
        <x:v>通过</x:v>
      </x:c>
    </x:row>
    <x:row r="344" ht="22" customHeight="1">
      <x:c r="A344" s="289" t="n">
        <x:v>343</x:v>
      </x:c>
      <x:c r="B344" s="289" t="n">
        <x:v>6273</x:v>
      </x:c>
      <x:c r="C344" s="290" t="str">
        <x:v>苍辰木火·星宫</x:v>
      </x:c>
      <x:c r="D344" s="290" t="str">
        <x:v>苍辰木火</x:v>
      </x:c>
      <x:c r="E344" s="290" t="n">
        <x:v>3</x:v>
      </x:c>
      <x:c r="F344" s="290" t="str">
        <x:v>生肖4</x:v>
      </x:c>
      <x:c r="G344" s="289"/>
      <x:c r="H344" s="289"/>
      <x:c r="I344" s="289" t="n">
        <x:v>6273</x:v>
      </x:c>
      <x:c r="J344" s="289"/>
      <x:c r="K344" s="289"/>
      <x:c r="L344" s="289"/>
      <x:c r="M344" s="289" t="n">
        <x:v>6273</x:v>
      </x:c>
      <x:c r="N344" s="289" t="n">
        <x:v>6273</x:v>
      </x:c>
      <x:c r="O344" s="289" t="n">
        <x:v>6273</x:v>
      </x:c>
      <x:c r="P344" s="292"/>
      <x:c r="Q344" s="292" t="str">
        <x:v>原生肖资源库已登记</x:v>
      </x:c>
      <x:c r="R344" s="292" t="str"/>
      <x:c r="S344" s="292" t="str">
        <x:v>装备素材套装代码表.xlsx（生肖槽位）</x:v>
      </x:c>
      <x:c r="T344" s="292" t="str">
        <x:v>同一代码用于 Items / StateItem / DnItems；属性与掉落另表定义。</x:v>
      </x:c>
      <x:c r="U344" t="str">
        <x:f>IF(COUNTIF($B$2:$B$1076,B344)&gt;1,"重复","")</x:f>
      </x:c>
      <x:c r="V344" t="str">
        <x:f>IF(AND(OR(M344="",M344=B344),OR(N344="",N344=B344),OR(O344="",O344=B344)),"通过","不一致")</x:f>
        <x:v>通过</x:v>
      </x:c>
    </x:row>
    <x:row r="345" ht="22" customHeight="1">
      <x:c r="A345" s="289" t="n">
        <x:v>344</x:v>
      </x:c>
      <x:c r="B345" s="289" t="n">
        <x:v>6274</x:v>
      </x:c>
      <x:c r="C345" s="290" t="str">
        <x:v>苍辰木火·星宫</x:v>
      </x:c>
      <x:c r="D345" s="290" t="str">
        <x:v>苍辰木火</x:v>
      </x:c>
      <x:c r="E345" s="290" t="n">
        <x:v>3</x:v>
      </x:c>
      <x:c r="F345" s="290" t="str">
        <x:v>生肖5</x:v>
      </x:c>
      <x:c r="G345" s="289"/>
      <x:c r="H345" s="289"/>
      <x:c r="I345" s="289" t="n">
        <x:v>6274</x:v>
      </x:c>
      <x:c r="J345" s="289"/>
      <x:c r="K345" s="289"/>
      <x:c r="L345" s="289"/>
      <x:c r="M345" s="289" t="n">
        <x:v>6274</x:v>
      </x:c>
      <x:c r="N345" s="289" t="n">
        <x:v>6274</x:v>
      </x:c>
      <x:c r="O345" s="289" t="n">
        <x:v>6274</x:v>
      </x:c>
      <x:c r="P345" s="292"/>
      <x:c r="Q345" s="292" t="str">
        <x:v>原生肖资源库已登记</x:v>
      </x:c>
      <x:c r="R345" s="292" t="str"/>
      <x:c r="S345" s="292" t="str">
        <x:v>装备素材套装代码表.xlsx（生肖槽位）</x:v>
      </x:c>
      <x:c r="T345" s="292" t="str">
        <x:v>同一代码用于 Items / StateItem / DnItems；属性与掉落另表定义。</x:v>
      </x:c>
      <x:c r="U345" t="str">
        <x:f>IF(COUNTIF($B$2:$B$1076,B345)&gt;1,"重复","")</x:f>
      </x:c>
      <x:c r="V345" t="str">
        <x:f>IF(AND(OR(M345="",M345=B345),OR(N345="",N345=B345),OR(O345="",O345=B345)),"通过","不一致")</x:f>
        <x:v>通过</x:v>
      </x:c>
    </x:row>
    <x:row r="346" ht="22" customHeight="1">
      <x:c r="A346" s="289" t="n">
        <x:v>345</x:v>
      </x:c>
      <x:c r="B346" s="289" t="n">
        <x:v>6275</x:v>
      </x:c>
      <x:c r="C346" s="290" t="str">
        <x:v>苍辰木火·星宫</x:v>
      </x:c>
      <x:c r="D346" s="290" t="str">
        <x:v>苍辰木火</x:v>
      </x:c>
      <x:c r="E346" s="290" t="n">
        <x:v>3</x:v>
      </x:c>
      <x:c r="F346" s="290" t="str">
        <x:v>生肖6</x:v>
      </x:c>
      <x:c r="G346" s="289"/>
      <x:c r="H346" s="289"/>
      <x:c r="I346" s="289" t="n">
        <x:v>6275</x:v>
      </x:c>
      <x:c r="J346" s="289"/>
      <x:c r="K346" s="289"/>
      <x:c r="L346" s="289"/>
      <x:c r="M346" s="289" t="n">
        <x:v>6275</x:v>
      </x:c>
      <x:c r="N346" s="289" t="n">
        <x:v>6275</x:v>
      </x:c>
      <x:c r="O346" s="289" t="n">
        <x:v>6275</x:v>
      </x:c>
      <x:c r="P346" s="292"/>
      <x:c r="Q346" s="292" t="str">
        <x:v>原生肖资源库已登记</x:v>
      </x:c>
      <x:c r="R346" s="292" t="str"/>
      <x:c r="S346" s="292" t="str">
        <x:v>装备素材套装代码表.xlsx（生肖槽位）</x:v>
      </x:c>
      <x:c r="T346" s="292" t="str">
        <x:v>同一代码用于 Items / StateItem / DnItems；属性与掉落另表定义。</x:v>
      </x:c>
      <x:c r="U346" t="str">
        <x:f>IF(COUNTIF($B$2:$B$1076,B346)&gt;1,"重复","")</x:f>
      </x:c>
      <x:c r="V346" t="str">
        <x:f>IF(AND(OR(M346="",M346=B346),OR(N346="",N346=B346),OR(O346="",O346=B346)),"通过","不一致")</x:f>
        <x:v>通过</x:v>
      </x:c>
    </x:row>
    <x:row r="347" ht="22" customHeight="1">
      <x:c r="A347" s="289" t="n">
        <x:v>346</x:v>
      </x:c>
      <x:c r="B347" s="289" t="n">
        <x:v>6276</x:v>
      </x:c>
      <x:c r="C347" s="290" t="str">
        <x:v>苍辰木火·星宫</x:v>
      </x:c>
      <x:c r="D347" s="290" t="str">
        <x:v>苍辰木火</x:v>
      </x:c>
      <x:c r="E347" s="290" t="n">
        <x:v>3</x:v>
      </x:c>
      <x:c r="F347" s="290" t="str">
        <x:v>生肖7</x:v>
      </x:c>
      <x:c r="G347" s="289"/>
      <x:c r="H347" s="289"/>
      <x:c r="I347" s="289" t="n">
        <x:v>6276</x:v>
      </x:c>
      <x:c r="J347" s="289"/>
      <x:c r="K347" s="289"/>
      <x:c r="L347" s="289"/>
      <x:c r="M347" s="289" t="n">
        <x:v>6276</x:v>
      </x:c>
      <x:c r="N347" s="289" t="n">
        <x:v>6276</x:v>
      </x:c>
      <x:c r="O347" s="289" t="n">
        <x:v>6276</x:v>
      </x:c>
      <x:c r="P347" s="292"/>
      <x:c r="Q347" s="292" t="str">
        <x:v>原生肖资源库已登记</x:v>
      </x:c>
      <x:c r="R347" s="292" t="str"/>
      <x:c r="S347" s="292" t="str">
        <x:v>装备素材套装代码表.xlsx（生肖槽位）</x:v>
      </x:c>
      <x:c r="T347" s="292" t="str">
        <x:v>同一代码用于 Items / StateItem / DnItems；属性与掉落另表定义。</x:v>
      </x:c>
      <x:c r="U347" t="str">
        <x:f>IF(COUNTIF($B$2:$B$1076,B347)&gt;1,"重复","")</x:f>
      </x:c>
      <x:c r="V347" t="str">
        <x:f>IF(AND(OR(M347="",M347=B347),OR(N347="",N347=B347),OR(O347="",O347=B347)),"通过","不一致")</x:f>
        <x:v>通过</x:v>
      </x:c>
    </x:row>
    <x:row r="348" ht="22" customHeight="1">
      <x:c r="A348" s="289" t="n">
        <x:v>347</x:v>
      </x:c>
      <x:c r="B348" s="289" t="n">
        <x:v>6277</x:v>
      </x:c>
      <x:c r="C348" s="290" t="str">
        <x:v>苍辰木火·星宫</x:v>
      </x:c>
      <x:c r="D348" s="290" t="str">
        <x:v>苍辰木火</x:v>
      </x:c>
      <x:c r="E348" s="290" t="n">
        <x:v>3</x:v>
      </x:c>
      <x:c r="F348" s="290" t="str">
        <x:v>生肖8</x:v>
      </x:c>
      <x:c r="G348" s="289"/>
      <x:c r="H348" s="289"/>
      <x:c r="I348" s="289" t="n">
        <x:v>6277</x:v>
      </x:c>
      <x:c r="J348" s="289"/>
      <x:c r="K348" s="289"/>
      <x:c r="L348" s="289"/>
      <x:c r="M348" s="289" t="n">
        <x:v>6277</x:v>
      </x:c>
      <x:c r="N348" s="289" t="n">
        <x:v>6277</x:v>
      </x:c>
      <x:c r="O348" s="289" t="n">
        <x:v>6277</x:v>
      </x:c>
      <x:c r="P348" s="292"/>
      <x:c r="Q348" s="292" t="str">
        <x:v>原生肖资源库已登记</x:v>
      </x:c>
      <x:c r="R348" s="292" t="str"/>
      <x:c r="S348" s="292" t="str">
        <x:v>装备素材套装代码表.xlsx（生肖槽位）</x:v>
      </x:c>
      <x:c r="T348" s="292" t="str">
        <x:v>同一代码用于 Items / StateItem / DnItems；属性与掉落另表定义。</x:v>
      </x:c>
      <x:c r="U348" t="str">
        <x:f>IF(COUNTIF($B$2:$B$1076,B348)&gt;1,"重复","")</x:f>
      </x:c>
      <x:c r="V348" t="str">
        <x:f>IF(AND(OR(M348="",M348=B348),OR(N348="",N348=B348),OR(O348="",O348=B348)),"通过","不一致")</x:f>
        <x:v>通过</x:v>
      </x:c>
    </x:row>
    <x:row r="349" ht="22" customHeight="1">
      <x:c r="A349" s="289" t="n">
        <x:v>348</x:v>
      </x:c>
      <x:c r="B349" s="289" t="n">
        <x:v>6278</x:v>
      </x:c>
      <x:c r="C349" s="290" t="str">
        <x:v>苍辰木火·星宫</x:v>
      </x:c>
      <x:c r="D349" s="290" t="str">
        <x:v>苍辰木火</x:v>
      </x:c>
      <x:c r="E349" s="290" t="n">
        <x:v>3</x:v>
      </x:c>
      <x:c r="F349" s="290" t="str">
        <x:v>生肖9</x:v>
      </x:c>
      <x:c r="G349" s="289"/>
      <x:c r="H349" s="289"/>
      <x:c r="I349" s="289" t="n">
        <x:v>6278</x:v>
      </x:c>
      <x:c r="J349" s="289"/>
      <x:c r="K349" s="289"/>
      <x:c r="L349" s="289"/>
      <x:c r="M349" s="289" t="n">
        <x:v>6278</x:v>
      </x:c>
      <x:c r="N349" s="289" t="n">
        <x:v>6278</x:v>
      </x:c>
      <x:c r="O349" s="289" t="n">
        <x:v>6278</x:v>
      </x:c>
      <x:c r="P349" s="292"/>
      <x:c r="Q349" s="292" t="str">
        <x:v>原生肖资源库已登记</x:v>
      </x:c>
      <x:c r="R349" s="292" t="str"/>
      <x:c r="S349" s="292" t="str">
        <x:v>装备素材套装代码表.xlsx（生肖槽位）</x:v>
      </x:c>
      <x:c r="T349" s="292" t="str">
        <x:v>同一代码用于 Items / StateItem / DnItems；属性与掉落另表定义。</x:v>
      </x:c>
      <x:c r="U349" t="str">
        <x:f>IF(COUNTIF($B$2:$B$1076,B349)&gt;1,"重复","")</x:f>
      </x:c>
      <x:c r="V349" t="str">
        <x:f>IF(AND(OR(M349="",M349=B349),OR(N349="",N349=B349),OR(O349="",O349=B349)),"通过","不一致")</x:f>
        <x:v>通过</x:v>
      </x:c>
    </x:row>
    <x:row r="350" ht="22" customHeight="1">
      <x:c r="A350" s="289" t="n">
        <x:v>349</x:v>
      </x:c>
      <x:c r="B350" s="289" t="n">
        <x:v>6279</x:v>
      </x:c>
      <x:c r="C350" s="290" t="str">
        <x:v>苍辰木火·星宫</x:v>
      </x:c>
      <x:c r="D350" s="290" t="str">
        <x:v>苍辰木火</x:v>
      </x:c>
      <x:c r="E350" s="290" t="n">
        <x:v>3</x:v>
      </x:c>
      <x:c r="F350" s="290" t="str">
        <x:v>生肖10</x:v>
      </x:c>
      <x:c r="G350" s="289"/>
      <x:c r="H350" s="289"/>
      <x:c r="I350" s="289" t="n">
        <x:v>6279</x:v>
      </x:c>
      <x:c r="J350" s="289"/>
      <x:c r="K350" s="289"/>
      <x:c r="L350" s="289"/>
      <x:c r="M350" s="289" t="n">
        <x:v>6279</x:v>
      </x:c>
      <x:c r="N350" s="289" t="n">
        <x:v>6279</x:v>
      </x:c>
      <x:c r="O350" s="289" t="n">
        <x:v>6279</x:v>
      </x:c>
      <x:c r="P350" s="292"/>
      <x:c r="Q350" s="292" t="str">
        <x:v>原生肖资源库已登记</x:v>
      </x:c>
      <x:c r="R350" s="292" t="str"/>
      <x:c r="S350" s="292" t="str">
        <x:v>装备素材套装代码表.xlsx（生肖槽位）</x:v>
      </x:c>
      <x:c r="T350" s="292" t="str">
        <x:v>同一代码用于 Items / StateItem / DnItems；属性与掉落另表定义。</x:v>
      </x:c>
      <x:c r="U350" t="str">
        <x:f>IF(COUNTIF($B$2:$B$1076,B350)&gt;1,"重复","")</x:f>
      </x:c>
      <x:c r="V350" t="str">
        <x:f>IF(AND(OR(M350="",M350=B350),OR(N350="",N350=B350),OR(O350="",O350=B350)),"通过","不一致")</x:f>
        <x:v>通过</x:v>
      </x:c>
    </x:row>
    <x:row r="351" ht="22" customHeight="1">
      <x:c r="A351" s="289" t="n">
        <x:v>350</x:v>
      </x:c>
      <x:c r="B351" s="289" t="n">
        <x:v>6280</x:v>
      </x:c>
      <x:c r="C351" s="290" t="str">
        <x:v>苍辰木火·星宫</x:v>
      </x:c>
      <x:c r="D351" s="290" t="str">
        <x:v>苍辰木火</x:v>
      </x:c>
      <x:c r="E351" s="290" t="n">
        <x:v>3</x:v>
      </x:c>
      <x:c r="F351" s="290" t="str">
        <x:v>生肖11</x:v>
      </x:c>
      <x:c r="G351" s="289"/>
      <x:c r="H351" s="289"/>
      <x:c r="I351" s="289" t="n">
        <x:v>6280</x:v>
      </x:c>
      <x:c r="J351" s="289"/>
      <x:c r="K351" s="289"/>
      <x:c r="L351" s="289"/>
      <x:c r="M351" s="289" t="n">
        <x:v>6280</x:v>
      </x:c>
      <x:c r="N351" s="289" t="n">
        <x:v>6280</x:v>
      </x:c>
      <x:c r="O351" s="289" t="n">
        <x:v>6280</x:v>
      </x:c>
      <x:c r="P351" s="292"/>
      <x:c r="Q351" s="292" t="str">
        <x:v>原生肖资源库已登记</x:v>
      </x:c>
      <x:c r="R351" s="292" t="str"/>
      <x:c r="S351" s="292" t="str">
        <x:v>装备素材套装代码表.xlsx（生肖槽位）</x:v>
      </x:c>
      <x:c r="T351" s="292" t="str">
        <x:v>同一代码用于 Items / StateItem / DnItems；属性与掉落另表定义。</x:v>
      </x:c>
      <x:c r="U351" t="str">
        <x:f>IF(COUNTIF($B$2:$B$1076,B351)&gt;1,"重复","")</x:f>
      </x:c>
      <x:c r="V351" t="str">
        <x:f>IF(AND(OR(M351="",M351=B351),OR(N351="",N351=B351),OR(O351="",O351=B351)),"通过","不一致")</x:f>
        <x:v>通过</x:v>
      </x:c>
    </x:row>
    <x:row r="352" ht="22" customHeight="1">
      <x:c r="A352" s="289" t="n">
        <x:v>351</x:v>
      </x:c>
      <x:c r="B352" s="289" t="n">
        <x:v>6281</x:v>
      </x:c>
      <x:c r="C352" s="290" t="str">
        <x:v>苍辰木火·星宫</x:v>
      </x:c>
      <x:c r="D352" s="290" t="str">
        <x:v>苍辰木火</x:v>
      </x:c>
      <x:c r="E352" s="290" t="n">
        <x:v>3</x:v>
      </x:c>
      <x:c r="F352" s="290" t="str">
        <x:v>生肖12</x:v>
      </x:c>
      <x:c r="G352" s="289"/>
      <x:c r="H352" s="289"/>
      <x:c r="I352" s="289" t="n">
        <x:v>6281</x:v>
      </x:c>
      <x:c r="J352" s="289"/>
      <x:c r="K352" s="289"/>
      <x:c r="L352" s="289"/>
      <x:c r="M352" s="289" t="n">
        <x:v>6281</x:v>
      </x:c>
      <x:c r="N352" s="289" t="n">
        <x:v>6281</x:v>
      </x:c>
      <x:c r="O352" s="289" t="n">
        <x:v>6281</x:v>
      </x:c>
      <x:c r="P352" s="292"/>
      <x:c r="Q352" s="292" t="str">
        <x:v>原生肖资源库已登记</x:v>
      </x:c>
      <x:c r="R352" s="292" t="str"/>
      <x:c r="S352" s="292" t="str">
        <x:v>装备素材套装代码表.xlsx（生肖槽位）</x:v>
      </x:c>
      <x:c r="T352" s="292" t="str">
        <x:v>同一代码用于 Items / StateItem / DnItems；属性与掉落另表定义。</x:v>
      </x:c>
      <x:c r="U352" t="str">
        <x:f>IF(COUNTIF($B$2:$B$1076,B352)&gt;1,"重复","")</x:f>
      </x:c>
      <x:c r="V352" t="str">
        <x:f>IF(AND(OR(M352="",M352=B352),OR(N352="",N352=B352),OR(O352="",O352=B352)),"通过","不一致")</x:f>
        <x:v>通过</x:v>
      </x:c>
    </x:row>
    <x:row r="353" ht="22" customHeight="1">
      <x:c r="A353" s="289" t="n">
        <x:v>352</x:v>
      </x:c>
      <x:c r="B353" s="289" t="n">
        <x:v>6282</x:v>
      </x:c>
      <x:c r="C353" s="290" t="str">
        <x:v>赤曜天穹·星宫</x:v>
      </x:c>
      <x:c r="D353" s="290" t="str">
        <x:v>赤曜天穹</x:v>
      </x:c>
      <x:c r="E353" s="290" t="n">
        <x:v>4</x:v>
      </x:c>
      <x:c r="F353" s="290" t="str">
        <x:v>生肖1</x:v>
      </x:c>
      <x:c r="G353" s="289"/>
      <x:c r="H353" s="289"/>
      <x:c r="I353" s="289" t="n">
        <x:v>6282</x:v>
      </x:c>
      <x:c r="J353" s="289"/>
      <x:c r="K353" s="289"/>
      <x:c r="L353" s="289"/>
      <x:c r="M353" s="289" t="n">
        <x:v>6282</x:v>
      </x:c>
      <x:c r="N353" s="289" t="n">
        <x:v>6282</x:v>
      </x:c>
      <x:c r="O353" s="289" t="n">
        <x:v>6282</x:v>
      </x:c>
      <x:c r="P353" s="292"/>
      <x:c r="Q353" s="292" t="str">
        <x:v>原生肖资源库已登记</x:v>
      </x:c>
      <x:c r="R353" s="292" t="str"/>
      <x:c r="S353" s="292" t="str">
        <x:v>装备素材套装代码表.xlsx（生肖槽位）</x:v>
      </x:c>
      <x:c r="T353" s="292" t="str">
        <x:v>同一代码用于 Items / StateItem / DnItems；属性与掉落另表定义。</x:v>
      </x:c>
      <x:c r="U353" t="str">
        <x:f>IF(COUNTIF($B$2:$B$1076,B353)&gt;1,"重复","")</x:f>
      </x:c>
      <x:c r="V353" t="str">
        <x:f>IF(AND(OR(M353="",M353=B353),OR(N353="",N353=B353),OR(O353="",O353=B353)),"通过","不一致")</x:f>
        <x:v>通过</x:v>
      </x:c>
    </x:row>
    <x:row r="354" ht="22" customHeight="1">
      <x:c r="A354" s="289" t="n">
        <x:v>353</x:v>
      </x:c>
      <x:c r="B354" s="289" t="n">
        <x:v>6283</x:v>
      </x:c>
      <x:c r="C354" s="290" t="str">
        <x:v>赤曜天穹·星宫</x:v>
      </x:c>
      <x:c r="D354" s="290" t="str">
        <x:v>赤曜天穹</x:v>
      </x:c>
      <x:c r="E354" s="290" t="n">
        <x:v>4</x:v>
      </x:c>
      <x:c r="F354" s="290" t="str">
        <x:v>生肖2</x:v>
      </x:c>
      <x:c r="G354" s="289"/>
      <x:c r="H354" s="289"/>
      <x:c r="I354" s="289" t="n">
        <x:v>6283</x:v>
      </x:c>
      <x:c r="J354" s="289"/>
      <x:c r="K354" s="289"/>
      <x:c r="L354" s="289"/>
      <x:c r="M354" s="289" t="n">
        <x:v>6283</x:v>
      </x:c>
      <x:c r="N354" s="289" t="n">
        <x:v>6283</x:v>
      </x:c>
      <x:c r="O354" s="289" t="n">
        <x:v>6283</x:v>
      </x:c>
      <x:c r="P354" s="292"/>
      <x:c r="Q354" s="292" t="str">
        <x:v>原生肖资源库已登记</x:v>
      </x:c>
      <x:c r="R354" s="292" t="str"/>
      <x:c r="S354" s="292" t="str">
        <x:v>装备素材套装代码表.xlsx（生肖槽位）</x:v>
      </x:c>
      <x:c r="T354" s="292" t="str">
        <x:v>同一代码用于 Items / StateItem / DnItems；属性与掉落另表定义。</x:v>
      </x:c>
      <x:c r="U354" t="str">
        <x:f>IF(COUNTIF($B$2:$B$1076,B354)&gt;1,"重复","")</x:f>
      </x:c>
      <x:c r="V354" t="str">
        <x:f>IF(AND(OR(M354="",M354=B354),OR(N354="",N354=B354),OR(O354="",O354=B354)),"通过","不一致")</x:f>
        <x:v>通过</x:v>
      </x:c>
    </x:row>
    <x:row r="355" ht="22" customHeight="1">
      <x:c r="A355" s="289" t="n">
        <x:v>354</x:v>
      </x:c>
      <x:c r="B355" s="289" t="n">
        <x:v>6284</x:v>
      </x:c>
      <x:c r="C355" s="290" t="str">
        <x:v>赤曜天穹·星宫</x:v>
      </x:c>
      <x:c r="D355" s="290" t="str">
        <x:v>赤曜天穹</x:v>
      </x:c>
      <x:c r="E355" s="290" t="n">
        <x:v>4</x:v>
      </x:c>
      <x:c r="F355" s="290" t="str">
        <x:v>生肖3</x:v>
      </x:c>
      <x:c r="G355" s="289"/>
      <x:c r="H355" s="289"/>
      <x:c r="I355" s="289" t="n">
        <x:v>6284</x:v>
      </x:c>
      <x:c r="J355" s="289"/>
      <x:c r="K355" s="289"/>
      <x:c r="L355" s="289"/>
      <x:c r="M355" s="289" t="n">
        <x:v>6284</x:v>
      </x:c>
      <x:c r="N355" s="289" t="n">
        <x:v>6284</x:v>
      </x:c>
      <x:c r="O355" s="289" t="n">
        <x:v>6284</x:v>
      </x:c>
      <x:c r="P355" s="292"/>
      <x:c r="Q355" s="292" t="str">
        <x:v>原生肖资源库已登记</x:v>
      </x:c>
      <x:c r="R355" s="292" t="str"/>
      <x:c r="S355" s="292" t="str">
        <x:v>装备素材套装代码表.xlsx（生肖槽位）</x:v>
      </x:c>
      <x:c r="T355" s="292" t="str">
        <x:v>同一代码用于 Items / StateItem / DnItems；属性与掉落另表定义。</x:v>
      </x:c>
      <x:c r="U355" t="str">
        <x:f>IF(COUNTIF($B$2:$B$1076,B355)&gt;1,"重复","")</x:f>
      </x:c>
      <x:c r="V355" t="str">
        <x:f>IF(AND(OR(M355="",M355=B355),OR(N355="",N355=B355),OR(O355="",O355=B355)),"通过","不一致")</x:f>
        <x:v>通过</x:v>
      </x:c>
    </x:row>
    <x:row r="356" ht="22" customHeight="1">
      <x:c r="A356" s="289" t="n">
        <x:v>355</x:v>
      </x:c>
      <x:c r="B356" s="289" t="n">
        <x:v>6285</x:v>
      </x:c>
      <x:c r="C356" s="290" t="str">
        <x:v>赤曜天穹·星宫</x:v>
      </x:c>
      <x:c r="D356" s="290" t="str">
        <x:v>赤曜天穹</x:v>
      </x:c>
      <x:c r="E356" s="290" t="n">
        <x:v>4</x:v>
      </x:c>
      <x:c r="F356" s="290" t="str">
        <x:v>生肖4</x:v>
      </x:c>
      <x:c r="G356" s="289"/>
      <x:c r="H356" s="289"/>
      <x:c r="I356" s="289" t="n">
        <x:v>6285</x:v>
      </x:c>
      <x:c r="J356" s="289"/>
      <x:c r="K356" s="289"/>
      <x:c r="L356" s="289"/>
      <x:c r="M356" s="289" t="n">
        <x:v>6285</x:v>
      </x:c>
      <x:c r="N356" s="289" t="n">
        <x:v>6285</x:v>
      </x:c>
      <x:c r="O356" s="289" t="n">
        <x:v>6285</x:v>
      </x:c>
      <x:c r="P356" s="292"/>
      <x:c r="Q356" s="292" t="str">
        <x:v>原生肖资源库已登记</x:v>
      </x:c>
      <x:c r="R356" s="292" t="str"/>
      <x:c r="S356" s="292" t="str">
        <x:v>装备素材套装代码表.xlsx（生肖槽位）</x:v>
      </x:c>
      <x:c r="T356" s="292" t="str">
        <x:v>同一代码用于 Items / StateItem / DnItems；属性与掉落另表定义。</x:v>
      </x:c>
      <x:c r="U356" t="str">
        <x:f>IF(COUNTIF($B$2:$B$1076,B356)&gt;1,"重复","")</x:f>
      </x:c>
      <x:c r="V356" t="str">
        <x:f>IF(AND(OR(M356="",M356=B356),OR(N356="",N356=B356),OR(O356="",O356=B356)),"通过","不一致")</x:f>
        <x:v>通过</x:v>
      </x:c>
    </x:row>
    <x:row r="357" ht="22" customHeight="1">
      <x:c r="A357" s="289" t="n">
        <x:v>356</x:v>
      </x:c>
      <x:c r="B357" s="289" t="n">
        <x:v>6286</x:v>
      </x:c>
      <x:c r="C357" s="290" t="str">
        <x:v>赤曜天穹·星宫</x:v>
      </x:c>
      <x:c r="D357" s="290" t="str">
        <x:v>赤曜天穹</x:v>
      </x:c>
      <x:c r="E357" s="290" t="n">
        <x:v>4</x:v>
      </x:c>
      <x:c r="F357" s="290" t="str">
        <x:v>生肖5</x:v>
      </x:c>
      <x:c r="G357" s="289"/>
      <x:c r="H357" s="289"/>
      <x:c r="I357" s="289" t="n">
        <x:v>6286</x:v>
      </x:c>
      <x:c r="J357" s="289"/>
      <x:c r="K357" s="289"/>
      <x:c r="L357" s="289"/>
      <x:c r="M357" s="289" t="n">
        <x:v>6286</x:v>
      </x:c>
      <x:c r="N357" s="289" t="n">
        <x:v>6286</x:v>
      </x:c>
      <x:c r="O357" s="289" t="n">
        <x:v>6286</x:v>
      </x:c>
      <x:c r="P357" s="292"/>
      <x:c r="Q357" s="292" t="str">
        <x:v>原生肖资源库已登记</x:v>
      </x:c>
      <x:c r="R357" s="292" t="str"/>
      <x:c r="S357" s="292" t="str">
        <x:v>装备素材套装代码表.xlsx（生肖槽位）</x:v>
      </x:c>
      <x:c r="T357" s="292" t="str">
        <x:v>同一代码用于 Items / StateItem / DnItems；属性与掉落另表定义。</x:v>
      </x:c>
      <x:c r="U357" t="str">
        <x:f>IF(COUNTIF($B$2:$B$1076,B357)&gt;1,"重复","")</x:f>
      </x:c>
      <x:c r="V357" t="str">
        <x:f>IF(AND(OR(M357="",M357=B357),OR(N357="",N357=B357),OR(O357="",O357=B357)),"通过","不一致")</x:f>
        <x:v>通过</x:v>
      </x:c>
    </x:row>
    <x:row r="358" ht="22" customHeight="1">
      <x:c r="A358" s="289" t="n">
        <x:v>357</x:v>
      </x:c>
      <x:c r="B358" s="289" t="n">
        <x:v>6287</x:v>
      </x:c>
      <x:c r="C358" s="290" t="str">
        <x:v>赤曜天穹·星宫</x:v>
      </x:c>
      <x:c r="D358" s="290" t="str">
        <x:v>赤曜天穹</x:v>
      </x:c>
      <x:c r="E358" s="290" t="n">
        <x:v>4</x:v>
      </x:c>
      <x:c r="F358" s="290" t="str">
        <x:v>生肖6</x:v>
      </x:c>
      <x:c r="G358" s="289"/>
      <x:c r="H358" s="289"/>
      <x:c r="I358" s="289" t="n">
        <x:v>6287</x:v>
      </x:c>
      <x:c r="J358" s="289"/>
      <x:c r="K358" s="289"/>
      <x:c r="L358" s="289"/>
      <x:c r="M358" s="289" t="n">
        <x:v>6287</x:v>
      </x:c>
      <x:c r="N358" s="289" t="n">
        <x:v>6287</x:v>
      </x:c>
      <x:c r="O358" s="289" t="n">
        <x:v>6287</x:v>
      </x:c>
      <x:c r="P358" s="292"/>
      <x:c r="Q358" s="292" t="str">
        <x:v>原生肖资源库已登记</x:v>
      </x:c>
      <x:c r="R358" s="292" t="str"/>
      <x:c r="S358" s="292" t="str">
        <x:v>装备素材套装代码表.xlsx（生肖槽位）</x:v>
      </x:c>
      <x:c r="T358" s="292" t="str">
        <x:v>同一代码用于 Items / StateItem / DnItems；属性与掉落另表定义。</x:v>
      </x:c>
      <x:c r="U358" t="str">
        <x:f>IF(COUNTIF($B$2:$B$1076,B358)&gt;1,"重复","")</x:f>
      </x:c>
      <x:c r="V358" t="str">
        <x:f>IF(AND(OR(M358="",M358=B358),OR(N358="",N358=B358),OR(O358="",O358=B358)),"通过","不一致")</x:f>
        <x:v>通过</x:v>
      </x:c>
    </x:row>
    <x:row r="359" ht="22" customHeight="1">
      <x:c r="A359" s="289" t="n">
        <x:v>358</x:v>
      </x:c>
      <x:c r="B359" s="289" t="n">
        <x:v>6288</x:v>
      </x:c>
      <x:c r="C359" s="290" t="str">
        <x:v>赤曜天穹·星宫</x:v>
      </x:c>
      <x:c r="D359" s="290" t="str">
        <x:v>赤曜天穹</x:v>
      </x:c>
      <x:c r="E359" s="290" t="n">
        <x:v>4</x:v>
      </x:c>
      <x:c r="F359" s="290" t="str">
        <x:v>生肖7</x:v>
      </x:c>
      <x:c r="G359" s="289"/>
      <x:c r="H359" s="289"/>
      <x:c r="I359" s="289" t="n">
        <x:v>6288</x:v>
      </x:c>
      <x:c r="J359" s="289"/>
      <x:c r="K359" s="289"/>
      <x:c r="L359" s="289"/>
      <x:c r="M359" s="289" t="n">
        <x:v>6288</x:v>
      </x:c>
      <x:c r="N359" s="289" t="n">
        <x:v>6288</x:v>
      </x:c>
      <x:c r="O359" s="289" t="n">
        <x:v>6288</x:v>
      </x:c>
      <x:c r="P359" s="292"/>
      <x:c r="Q359" s="292" t="str">
        <x:v>原生肖资源库已登记</x:v>
      </x:c>
      <x:c r="R359" s="292" t="str"/>
      <x:c r="S359" s="292" t="str">
        <x:v>装备素材套装代码表.xlsx（生肖槽位）</x:v>
      </x:c>
      <x:c r="T359" s="292" t="str">
        <x:v>同一代码用于 Items / StateItem / DnItems；属性与掉落另表定义。</x:v>
      </x:c>
      <x:c r="U359" t="str">
        <x:f>IF(COUNTIF($B$2:$B$1076,B359)&gt;1,"重复","")</x:f>
      </x:c>
      <x:c r="V359" t="str">
        <x:f>IF(AND(OR(M359="",M359=B359),OR(N359="",N359=B359),OR(O359="",O359=B359)),"通过","不一致")</x:f>
        <x:v>通过</x:v>
      </x:c>
    </x:row>
    <x:row r="360" ht="22" customHeight="1">
      <x:c r="A360" s="289" t="n">
        <x:v>359</x:v>
      </x:c>
      <x:c r="B360" s="289" t="n">
        <x:v>6289</x:v>
      </x:c>
      <x:c r="C360" s="290" t="str">
        <x:v>赤曜天穹·星宫</x:v>
      </x:c>
      <x:c r="D360" s="290" t="str">
        <x:v>赤曜天穹</x:v>
      </x:c>
      <x:c r="E360" s="290" t="n">
        <x:v>4</x:v>
      </x:c>
      <x:c r="F360" s="290" t="str">
        <x:v>生肖8</x:v>
      </x:c>
      <x:c r="G360" s="289"/>
      <x:c r="H360" s="289"/>
      <x:c r="I360" s="289" t="n">
        <x:v>6289</x:v>
      </x:c>
      <x:c r="J360" s="289"/>
      <x:c r="K360" s="289"/>
      <x:c r="L360" s="289"/>
      <x:c r="M360" s="289" t="n">
        <x:v>6289</x:v>
      </x:c>
      <x:c r="N360" s="289" t="n">
        <x:v>6289</x:v>
      </x:c>
      <x:c r="O360" s="289" t="n">
        <x:v>6289</x:v>
      </x:c>
      <x:c r="P360" s="292"/>
      <x:c r="Q360" s="292" t="str">
        <x:v>原生肖资源库已登记</x:v>
      </x:c>
      <x:c r="R360" s="292" t="str"/>
      <x:c r="S360" s="292" t="str">
        <x:v>装备素材套装代码表.xlsx（生肖槽位）</x:v>
      </x:c>
      <x:c r="T360" s="292" t="str">
        <x:v>同一代码用于 Items / StateItem / DnItems；属性与掉落另表定义。</x:v>
      </x:c>
      <x:c r="U360" t="str">
        <x:f>IF(COUNTIF($B$2:$B$1076,B360)&gt;1,"重复","")</x:f>
      </x:c>
      <x:c r="V360" t="str">
        <x:f>IF(AND(OR(M360="",M360=B360),OR(N360="",N360=B360),OR(O360="",O360=B360)),"通过","不一致")</x:f>
        <x:v>通过</x:v>
      </x:c>
    </x:row>
    <x:row r="361" ht="22" customHeight="1">
      <x:c r="A361" s="289" t="n">
        <x:v>360</x:v>
      </x:c>
      <x:c r="B361" s="289" t="n">
        <x:v>6290</x:v>
      </x:c>
      <x:c r="C361" s="290" t="str">
        <x:v>赤曜天穹·星宫</x:v>
      </x:c>
      <x:c r="D361" s="290" t="str">
        <x:v>赤曜天穹</x:v>
      </x:c>
      <x:c r="E361" s="290" t="n">
        <x:v>4</x:v>
      </x:c>
      <x:c r="F361" s="290" t="str">
        <x:v>生肖9</x:v>
      </x:c>
      <x:c r="G361" s="289"/>
      <x:c r="H361" s="289"/>
      <x:c r="I361" s="289" t="n">
        <x:v>6290</x:v>
      </x:c>
      <x:c r="J361" s="289"/>
      <x:c r="K361" s="289"/>
      <x:c r="L361" s="289"/>
      <x:c r="M361" s="289" t="n">
        <x:v>6290</x:v>
      </x:c>
      <x:c r="N361" s="289" t="n">
        <x:v>6290</x:v>
      </x:c>
      <x:c r="O361" s="289" t="n">
        <x:v>6290</x:v>
      </x:c>
      <x:c r="P361" s="292"/>
      <x:c r="Q361" s="292" t="str">
        <x:v>原生肖资源库已登记</x:v>
      </x:c>
      <x:c r="R361" s="292" t="str"/>
      <x:c r="S361" s="292" t="str">
        <x:v>装备素材套装代码表.xlsx（生肖槽位）</x:v>
      </x:c>
      <x:c r="T361" s="292" t="str">
        <x:v>同一代码用于 Items / StateItem / DnItems；属性与掉落另表定义。</x:v>
      </x:c>
      <x:c r="U361" t="str">
        <x:f>IF(COUNTIF($B$2:$B$1076,B361)&gt;1,"重复","")</x:f>
      </x:c>
      <x:c r="V361" t="str">
        <x:f>IF(AND(OR(M361="",M361=B361),OR(N361="",N361=B361),OR(O361="",O361=B361)),"通过","不一致")</x:f>
        <x:v>通过</x:v>
      </x:c>
    </x:row>
    <x:row r="362" ht="22" customHeight="1">
      <x:c r="A362" s="289" t="n">
        <x:v>361</x:v>
      </x:c>
      <x:c r="B362" s="289" t="n">
        <x:v>6291</x:v>
      </x:c>
      <x:c r="C362" s="290" t="str">
        <x:v>赤曜天穹·星宫</x:v>
      </x:c>
      <x:c r="D362" s="290" t="str">
        <x:v>赤曜天穹</x:v>
      </x:c>
      <x:c r="E362" s="290" t="n">
        <x:v>4</x:v>
      </x:c>
      <x:c r="F362" s="290" t="str">
        <x:v>生肖10</x:v>
      </x:c>
      <x:c r="G362" s="289"/>
      <x:c r="H362" s="289"/>
      <x:c r="I362" s="289" t="n">
        <x:v>6291</x:v>
      </x:c>
      <x:c r="J362" s="289"/>
      <x:c r="K362" s="289"/>
      <x:c r="L362" s="289"/>
      <x:c r="M362" s="289" t="n">
        <x:v>6291</x:v>
      </x:c>
      <x:c r="N362" s="289" t="n">
        <x:v>6291</x:v>
      </x:c>
      <x:c r="O362" s="289" t="n">
        <x:v>6291</x:v>
      </x:c>
      <x:c r="P362" s="292"/>
      <x:c r="Q362" s="292" t="str">
        <x:v>原生肖资源库已登记</x:v>
      </x:c>
      <x:c r="R362" s="292" t="str"/>
      <x:c r="S362" s="292" t="str">
        <x:v>装备素材套装代码表.xlsx（生肖槽位）</x:v>
      </x:c>
      <x:c r="T362" s="292" t="str">
        <x:v>同一代码用于 Items / StateItem / DnItems；属性与掉落另表定义。</x:v>
      </x:c>
      <x:c r="U362" t="str">
        <x:f>IF(COUNTIF($B$2:$B$1076,B362)&gt;1,"重复","")</x:f>
      </x:c>
      <x:c r="V362" t="str">
        <x:f>IF(AND(OR(M362="",M362=B362),OR(N362="",N362=B362),OR(O362="",O362=B362)),"通过","不一致")</x:f>
        <x:v>通过</x:v>
      </x:c>
    </x:row>
    <x:row r="363" ht="22" customHeight="1">
      <x:c r="A363" s="289" t="n">
        <x:v>362</x:v>
      </x:c>
      <x:c r="B363" s="289" t="n">
        <x:v>6292</x:v>
      </x:c>
      <x:c r="C363" s="290" t="str">
        <x:v>赤曜天穹·星宫</x:v>
      </x:c>
      <x:c r="D363" s="290" t="str">
        <x:v>赤曜天穹</x:v>
      </x:c>
      <x:c r="E363" s="290" t="n">
        <x:v>4</x:v>
      </x:c>
      <x:c r="F363" s="290" t="str">
        <x:v>生肖11</x:v>
      </x:c>
      <x:c r="G363" s="289"/>
      <x:c r="H363" s="289"/>
      <x:c r="I363" s="289" t="n">
        <x:v>6292</x:v>
      </x:c>
      <x:c r="J363" s="289"/>
      <x:c r="K363" s="289"/>
      <x:c r="L363" s="289"/>
      <x:c r="M363" s="289" t="n">
        <x:v>6292</x:v>
      </x:c>
      <x:c r="N363" s="289" t="n">
        <x:v>6292</x:v>
      </x:c>
      <x:c r="O363" s="289" t="n">
        <x:v>6292</x:v>
      </x:c>
      <x:c r="P363" s="292"/>
      <x:c r="Q363" s="292" t="str">
        <x:v>原生肖资源库已登记</x:v>
      </x:c>
      <x:c r="R363" s="292" t="str"/>
      <x:c r="S363" s="292" t="str">
        <x:v>装备素材套装代码表.xlsx（生肖槽位）</x:v>
      </x:c>
      <x:c r="T363" s="292" t="str">
        <x:v>同一代码用于 Items / StateItem / DnItems；属性与掉落另表定义。</x:v>
      </x:c>
      <x:c r="U363" t="str">
        <x:f>IF(COUNTIF($B$2:$B$1076,B363)&gt;1,"重复","")</x:f>
      </x:c>
      <x:c r="V363" t="str">
        <x:f>IF(AND(OR(M363="",M363=B363),OR(N363="",N363=B363),OR(O363="",O363=B363)),"通过","不一致")</x:f>
        <x:v>通过</x:v>
      </x:c>
    </x:row>
    <x:row r="364" ht="22" customHeight="1">
      <x:c r="A364" s="289" t="n">
        <x:v>363</x:v>
      </x:c>
      <x:c r="B364" s="289" t="n">
        <x:v>6293</x:v>
      </x:c>
      <x:c r="C364" s="290" t="str">
        <x:v>赤曜天穹·星宫</x:v>
      </x:c>
      <x:c r="D364" s="290" t="str">
        <x:v>赤曜天穹</x:v>
      </x:c>
      <x:c r="E364" s="290" t="n">
        <x:v>4</x:v>
      </x:c>
      <x:c r="F364" s="290" t="str">
        <x:v>生肖12</x:v>
      </x:c>
      <x:c r="G364" s="289"/>
      <x:c r="H364" s="289"/>
      <x:c r="I364" s="289" t="n">
        <x:v>6293</x:v>
      </x:c>
      <x:c r="J364" s="289"/>
      <x:c r="K364" s="289"/>
      <x:c r="L364" s="289"/>
      <x:c r="M364" s="289" t="n">
        <x:v>6293</x:v>
      </x:c>
      <x:c r="N364" s="289" t="n">
        <x:v>6293</x:v>
      </x:c>
      <x:c r="O364" s="289" t="n">
        <x:v>6293</x:v>
      </x:c>
      <x:c r="P364" s="292"/>
      <x:c r="Q364" s="292" t="str">
        <x:v>原生肖资源库已登记</x:v>
      </x:c>
      <x:c r="R364" s="292" t="str"/>
      <x:c r="S364" s="292" t="str">
        <x:v>装备素材套装代码表.xlsx（生肖槽位）</x:v>
      </x:c>
      <x:c r="T364" s="292" t="str">
        <x:v>同一代码用于 Items / StateItem / DnItems；属性与掉落另表定义。</x:v>
      </x:c>
      <x:c r="U364" t="str">
        <x:f>IF(COUNTIF($B$2:$B$1076,B364)&gt;1,"重复","")</x:f>
      </x:c>
      <x:c r="V364" t="str">
        <x:f>IF(AND(OR(M364="",M364=B364),OR(N364="",N364=B364),OR(O364="",O364=B364)),"通过","不一致")</x:f>
        <x:v>通过</x:v>
      </x:c>
    </x:row>
    <x:row r="365" ht="22" customHeight="1">
      <x:c r="A365" s="289" t="n">
        <x:v>364</x:v>
      </x:c>
      <x:c r="B365" s="289" t="n">
        <x:v>6294</x:v>
      </x:c>
      <x:c r="C365" s="290" t="str">
        <x:v>紫垣玄晶·星宫</x:v>
      </x:c>
      <x:c r="D365" s="290" t="str">
        <x:v>紫垣玄晶</x:v>
      </x:c>
      <x:c r="E365" s="290" t="n">
        <x:v>5</x:v>
      </x:c>
      <x:c r="F365" s="290" t="str">
        <x:v>生肖1</x:v>
      </x:c>
      <x:c r="G365" s="289"/>
      <x:c r="H365" s="289"/>
      <x:c r="I365" s="289" t="n">
        <x:v>6294</x:v>
      </x:c>
      <x:c r="J365" s="289"/>
      <x:c r="K365" s="289"/>
      <x:c r="L365" s="289"/>
      <x:c r="M365" s="289" t="n">
        <x:v>6294</x:v>
      </x:c>
      <x:c r="N365" s="289" t="n">
        <x:v>6294</x:v>
      </x:c>
      <x:c r="O365" s="289" t="n">
        <x:v>6294</x:v>
      </x:c>
      <x:c r="P365" s="292"/>
      <x:c r="Q365" s="292" t="str">
        <x:v>原生肖资源库已登记</x:v>
      </x:c>
      <x:c r="R365" s="292" t="str"/>
      <x:c r="S365" s="292" t="str">
        <x:v>装备素材套装代码表.xlsx（生肖槽位）</x:v>
      </x:c>
      <x:c r="T365" s="292" t="str">
        <x:v>同一代码用于 Items / StateItem / DnItems；属性与掉落另表定义。</x:v>
      </x:c>
      <x:c r="U365" t="str">
        <x:f>IF(COUNTIF($B$2:$B$1076,B365)&gt;1,"重复","")</x:f>
      </x:c>
      <x:c r="V365" t="str">
        <x:f>IF(AND(OR(M365="",M365=B365),OR(N365="",N365=B365),OR(O365="",O365=B365)),"通过","不一致")</x:f>
        <x:v>通过</x:v>
      </x:c>
    </x:row>
    <x:row r="366" ht="22" customHeight="1">
      <x:c r="A366" s="289" t="n">
        <x:v>365</x:v>
      </x:c>
      <x:c r="B366" s="289" t="n">
        <x:v>6295</x:v>
      </x:c>
      <x:c r="C366" s="290" t="str">
        <x:v>紫垣玄晶·星宫</x:v>
      </x:c>
      <x:c r="D366" s="290" t="str">
        <x:v>紫垣玄晶</x:v>
      </x:c>
      <x:c r="E366" s="290" t="n">
        <x:v>5</x:v>
      </x:c>
      <x:c r="F366" s="290" t="str">
        <x:v>生肖2</x:v>
      </x:c>
      <x:c r="G366" s="289"/>
      <x:c r="H366" s="289"/>
      <x:c r="I366" s="289" t="n">
        <x:v>6295</x:v>
      </x:c>
      <x:c r="J366" s="289"/>
      <x:c r="K366" s="289"/>
      <x:c r="L366" s="289"/>
      <x:c r="M366" s="289" t="n">
        <x:v>6295</x:v>
      </x:c>
      <x:c r="N366" s="289" t="n">
        <x:v>6295</x:v>
      </x:c>
      <x:c r="O366" s="289" t="n">
        <x:v>6295</x:v>
      </x:c>
      <x:c r="P366" s="292"/>
      <x:c r="Q366" s="292" t="str">
        <x:v>原生肖资源库已登记</x:v>
      </x:c>
      <x:c r="R366" s="292" t="str"/>
      <x:c r="S366" s="292" t="str">
        <x:v>装备素材套装代码表.xlsx（生肖槽位）</x:v>
      </x:c>
      <x:c r="T366" s="292" t="str">
        <x:v>同一代码用于 Items / StateItem / DnItems；属性与掉落另表定义。</x:v>
      </x:c>
      <x:c r="U366" t="str">
        <x:f>IF(COUNTIF($B$2:$B$1076,B366)&gt;1,"重复","")</x:f>
      </x:c>
      <x:c r="V366" t="str">
        <x:f>IF(AND(OR(M366="",M366=B366),OR(N366="",N366=B366),OR(O366="",O366=B366)),"通过","不一致")</x:f>
        <x:v>通过</x:v>
      </x:c>
    </x:row>
    <x:row r="367" ht="22" customHeight="1">
      <x:c r="A367" s="289" t="n">
        <x:v>366</x:v>
      </x:c>
      <x:c r="B367" s="289" t="n">
        <x:v>6296</x:v>
      </x:c>
      <x:c r="C367" s="290" t="str">
        <x:v>紫垣玄晶·星宫</x:v>
      </x:c>
      <x:c r="D367" s="290" t="str">
        <x:v>紫垣玄晶</x:v>
      </x:c>
      <x:c r="E367" s="290" t="n">
        <x:v>5</x:v>
      </x:c>
      <x:c r="F367" s="290" t="str">
        <x:v>生肖3</x:v>
      </x:c>
      <x:c r="G367" s="289"/>
      <x:c r="H367" s="289"/>
      <x:c r="I367" s="289" t="n">
        <x:v>6296</x:v>
      </x:c>
      <x:c r="J367" s="289"/>
      <x:c r="K367" s="289"/>
      <x:c r="L367" s="289"/>
      <x:c r="M367" s="289" t="n">
        <x:v>6296</x:v>
      </x:c>
      <x:c r="N367" s="289" t="n">
        <x:v>6296</x:v>
      </x:c>
      <x:c r="O367" s="289" t="n">
        <x:v>6296</x:v>
      </x:c>
      <x:c r="P367" s="292"/>
      <x:c r="Q367" s="292" t="str">
        <x:v>原生肖资源库已登记</x:v>
      </x:c>
      <x:c r="R367" s="292" t="str"/>
      <x:c r="S367" s="292" t="str">
        <x:v>装备素材套装代码表.xlsx（生肖槽位）</x:v>
      </x:c>
      <x:c r="T367" s="292" t="str">
        <x:v>同一代码用于 Items / StateItem / DnItems；属性与掉落另表定义。</x:v>
      </x:c>
      <x:c r="U367" t="str">
        <x:f>IF(COUNTIF($B$2:$B$1076,B367)&gt;1,"重复","")</x:f>
      </x:c>
      <x:c r="V367" t="str">
        <x:f>IF(AND(OR(M367="",M367=B367),OR(N367="",N367=B367),OR(O367="",O367=B367)),"通过","不一致")</x:f>
        <x:v>通过</x:v>
      </x:c>
    </x:row>
    <x:row r="368" ht="22" customHeight="1">
      <x:c r="A368" s="289" t="n">
        <x:v>367</x:v>
      </x:c>
      <x:c r="B368" s="289" t="n">
        <x:v>6297</x:v>
      </x:c>
      <x:c r="C368" s="290" t="str">
        <x:v>紫垣玄晶·星宫</x:v>
      </x:c>
      <x:c r="D368" s="290" t="str">
        <x:v>紫垣玄晶</x:v>
      </x:c>
      <x:c r="E368" s="290" t="n">
        <x:v>5</x:v>
      </x:c>
      <x:c r="F368" s="290" t="str">
        <x:v>生肖4</x:v>
      </x:c>
      <x:c r="G368" s="289"/>
      <x:c r="H368" s="289"/>
      <x:c r="I368" s="289" t="n">
        <x:v>6297</x:v>
      </x:c>
      <x:c r="J368" s="289"/>
      <x:c r="K368" s="289"/>
      <x:c r="L368" s="289"/>
      <x:c r="M368" s="289" t="n">
        <x:v>6297</x:v>
      </x:c>
      <x:c r="N368" s="289" t="n">
        <x:v>6297</x:v>
      </x:c>
      <x:c r="O368" s="289" t="n">
        <x:v>6297</x:v>
      </x:c>
      <x:c r="P368" s="292"/>
      <x:c r="Q368" s="292" t="str">
        <x:v>原生肖资源库已登记</x:v>
      </x:c>
      <x:c r="R368" s="292" t="str"/>
      <x:c r="S368" s="292" t="str">
        <x:v>装备素材套装代码表.xlsx（生肖槽位）</x:v>
      </x:c>
      <x:c r="T368" s="292" t="str">
        <x:v>同一代码用于 Items / StateItem / DnItems；属性与掉落另表定义。</x:v>
      </x:c>
      <x:c r="U368" t="str">
        <x:f>IF(COUNTIF($B$2:$B$1076,B368)&gt;1,"重复","")</x:f>
      </x:c>
      <x:c r="V368" t="str">
        <x:f>IF(AND(OR(M368="",M368=B368),OR(N368="",N368=B368),OR(O368="",O368=B368)),"通过","不一致")</x:f>
        <x:v>通过</x:v>
      </x:c>
    </x:row>
    <x:row r="369" ht="22" customHeight="1">
      <x:c r="A369" s="289" t="n">
        <x:v>368</x:v>
      </x:c>
      <x:c r="B369" s="289" t="n">
        <x:v>6298</x:v>
      </x:c>
      <x:c r="C369" s="290" t="str">
        <x:v>紫垣玄晶·星宫</x:v>
      </x:c>
      <x:c r="D369" s="290" t="str">
        <x:v>紫垣玄晶</x:v>
      </x:c>
      <x:c r="E369" s="290" t="n">
        <x:v>5</x:v>
      </x:c>
      <x:c r="F369" s="290" t="str">
        <x:v>生肖5</x:v>
      </x:c>
      <x:c r="G369" s="289"/>
      <x:c r="H369" s="289"/>
      <x:c r="I369" s="289" t="n">
        <x:v>6298</x:v>
      </x:c>
      <x:c r="J369" s="289"/>
      <x:c r="K369" s="289"/>
      <x:c r="L369" s="289"/>
      <x:c r="M369" s="289" t="n">
        <x:v>6298</x:v>
      </x:c>
      <x:c r="N369" s="289" t="n">
        <x:v>6298</x:v>
      </x:c>
      <x:c r="O369" s="289" t="n">
        <x:v>6298</x:v>
      </x:c>
      <x:c r="P369" s="292"/>
      <x:c r="Q369" s="292" t="str">
        <x:v>原生肖资源库已登记</x:v>
      </x:c>
      <x:c r="R369" s="292" t="str"/>
      <x:c r="S369" s="292" t="str">
        <x:v>装备素材套装代码表.xlsx（生肖槽位）</x:v>
      </x:c>
      <x:c r="T369" s="292" t="str">
        <x:v>同一代码用于 Items / StateItem / DnItems；属性与掉落另表定义。</x:v>
      </x:c>
      <x:c r="U369" t="str">
        <x:f>IF(COUNTIF($B$2:$B$1076,B369)&gt;1,"重复","")</x:f>
      </x:c>
      <x:c r="V369" t="str">
        <x:f>IF(AND(OR(M369="",M369=B369),OR(N369="",N369=B369),OR(O369="",O369=B369)),"通过","不一致")</x:f>
        <x:v>通过</x:v>
      </x:c>
    </x:row>
    <x:row r="370" ht="22" customHeight="1">
      <x:c r="A370" s="289" t="n">
        <x:v>369</x:v>
      </x:c>
      <x:c r="B370" s="289" t="n">
        <x:v>6299</x:v>
      </x:c>
      <x:c r="C370" s="290" t="str">
        <x:v>紫垣玄晶·星宫</x:v>
      </x:c>
      <x:c r="D370" s="290" t="str">
        <x:v>紫垣玄晶</x:v>
      </x:c>
      <x:c r="E370" s="290" t="n">
        <x:v>5</x:v>
      </x:c>
      <x:c r="F370" s="290" t="str">
        <x:v>生肖6</x:v>
      </x:c>
      <x:c r="G370" s="289"/>
      <x:c r="H370" s="289"/>
      <x:c r="I370" s="289" t="n">
        <x:v>6299</x:v>
      </x:c>
      <x:c r="J370" s="289"/>
      <x:c r="K370" s="289"/>
      <x:c r="L370" s="289"/>
      <x:c r="M370" s="289" t="n">
        <x:v>6299</x:v>
      </x:c>
      <x:c r="N370" s="289" t="n">
        <x:v>6299</x:v>
      </x:c>
      <x:c r="O370" s="289" t="n">
        <x:v>6299</x:v>
      </x:c>
      <x:c r="P370" s="292"/>
      <x:c r="Q370" s="292" t="str">
        <x:v>原生肖资源库已登记</x:v>
      </x:c>
      <x:c r="R370" s="292" t="str"/>
      <x:c r="S370" s="292" t="str">
        <x:v>装备素材套装代码表.xlsx（生肖槽位）</x:v>
      </x:c>
      <x:c r="T370" s="292" t="str">
        <x:v>同一代码用于 Items / StateItem / DnItems；属性与掉落另表定义。</x:v>
      </x:c>
      <x:c r="U370" t="str">
        <x:f>IF(COUNTIF($B$2:$B$1076,B370)&gt;1,"重复","")</x:f>
      </x:c>
      <x:c r="V370" t="str">
        <x:f>IF(AND(OR(M370="",M370=B370),OR(N370="",N370=B370),OR(O370="",O370=B370)),"通过","不一致")</x:f>
        <x:v>通过</x:v>
      </x:c>
    </x:row>
    <x:row r="371" ht="22" customHeight="1">
      <x:c r="A371" s="289" t="n">
        <x:v>370</x:v>
      </x:c>
      <x:c r="B371" s="289" t="n">
        <x:v>6300</x:v>
      </x:c>
      <x:c r="C371" s="290" t="str">
        <x:v>紫垣玄晶·星宫</x:v>
      </x:c>
      <x:c r="D371" s="290" t="str">
        <x:v>紫垣玄晶</x:v>
      </x:c>
      <x:c r="E371" s="290" t="n">
        <x:v>5</x:v>
      </x:c>
      <x:c r="F371" s="290" t="str">
        <x:v>生肖7</x:v>
      </x:c>
      <x:c r="G371" s="289"/>
      <x:c r="H371" s="289"/>
      <x:c r="I371" s="289" t="n">
        <x:v>6300</x:v>
      </x:c>
      <x:c r="J371" s="289"/>
      <x:c r="K371" s="289"/>
      <x:c r="L371" s="289"/>
      <x:c r="M371" s="289" t="n">
        <x:v>6300</x:v>
      </x:c>
      <x:c r="N371" s="289" t="n">
        <x:v>6300</x:v>
      </x:c>
      <x:c r="O371" s="289" t="n">
        <x:v>6300</x:v>
      </x:c>
      <x:c r="P371" s="292"/>
      <x:c r="Q371" s="292" t="str">
        <x:v>原生肖资源库已登记</x:v>
      </x:c>
      <x:c r="R371" s="292" t="str"/>
      <x:c r="S371" s="292" t="str">
        <x:v>装备素材套装代码表.xlsx（生肖槽位）</x:v>
      </x:c>
      <x:c r="T371" s="292" t="str">
        <x:v>同一代码用于 Items / StateItem / DnItems；属性与掉落另表定义。</x:v>
      </x:c>
      <x:c r="U371" t="str">
        <x:f>IF(COUNTIF($B$2:$B$1076,B371)&gt;1,"重复","")</x:f>
      </x:c>
      <x:c r="V371" t="str">
        <x:f>IF(AND(OR(M371="",M371=B371),OR(N371="",N371=B371),OR(O371="",O371=B371)),"通过","不一致")</x:f>
        <x:v>通过</x:v>
      </x:c>
    </x:row>
    <x:row r="372" ht="22" customHeight="1">
      <x:c r="A372" s="289" t="n">
        <x:v>371</x:v>
      </x:c>
      <x:c r="B372" s="289" t="n">
        <x:v>6301</x:v>
      </x:c>
      <x:c r="C372" s="290" t="str">
        <x:v>紫垣玄晶·星宫</x:v>
      </x:c>
      <x:c r="D372" s="290" t="str">
        <x:v>紫垣玄晶</x:v>
      </x:c>
      <x:c r="E372" s="290" t="n">
        <x:v>5</x:v>
      </x:c>
      <x:c r="F372" s="290" t="str">
        <x:v>生肖8</x:v>
      </x:c>
      <x:c r="G372" s="289"/>
      <x:c r="H372" s="289"/>
      <x:c r="I372" s="289" t="n">
        <x:v>6301</x:v>
      </x:c>
      <x:c r="J372" s="289"/>
      <x:c r="K372" s="289"/>
      <x:c r="L372" s="289"/>
      <x:c r="M372" s="289" t="n">
        <x:v>6301</x:v>
      </x:c>
      <x:c r="N372" s="289" t="n">
        <x:v>6301</x:v>
      </x:c>
      <x:c r="O372" s="289" t="n">
        <x:v>6301</x:v>
      </x:c>
      <x:c r="P372" s="292"/>
      <x:c r="Q372" s="292" t="str">
        <x:v>原生肖资源库已登记</x:v>
      </x:c>
      <x:c r="R372" s="292" t="str"/>
      <x:c r="S372" s="292" t="str">
        <x:v>装备素材套装代码表.xlsx（生肖槽位）</x:v>
      </x:c>
      <x:c r="T372" s="292" t="str">
        <x:v>同一代码用于 Items / StateItem / DnItems；属性与掉落另表定义。</x:v>
      </x:c>
      <x:c r="U372" t="str">
        <x:f>IF(COUNTIF($B$2:$B$1076,B372)&gt;1,"重复","")</x:f>
      </x:c>
      <x:c r="V372" t="str">
        <x:f>IF(AND(OR(M372="",M372=B372),OR(N372="",N372=B372),OR(O372="",O372=B372)),"通过","不一致")</x:f>
        <x:v>通过</x:v>
      </x:c>
    </x:row>
    <x:row r="373" ht="22" customHeight="1">
      <x:c r="A373" s="289" t="n">
        <x:v>372</x:v>
      </x:c>
      <x:c r="B373" s="289" t="n">
        <x:v>6302</x:v>
      </x:c>
      <x:c r="C373" s="290" t="str">
        <x:v>紫垣玄晶·星宫</x:v>
      </x:c>
      <x:c r="D373" s="290" t="str">
        <x:v>紫垣玄晶</x:v>
      </x:c>
      <x:c r="E373" s="290" t="n">
        <x:v>5</x:v>
      </x:c>
      <x:c r="F373" s="290" t="str">
        <x:v>生肖9</x:v>
      </x:c>
      <x:c r="G373" s="289"/>
      <x:c r="H373" s="289"/>
      <x:c r="I373" s="289" t="n">
        <x:v>6302</x:v>
      </x:c>
      <x:c r="J373" s="289"/>
      <x:c r="K373" s="289"/>
      <x:c r="L373" s="289"/>
      <x:c r="M373" s="289" t="n">
        <x:v>6302</x:v>
      </x:c>
      <x:c r="N373" s="289" t="n">
        <x:v>6302</x:v>
      </x:c>
      <x:c r="O373" s="289" t="n">
        <x:v>6302</x:v>
      </x:c>
      <x:c r="P373" s="292"/>
      <x:c r="Q373" s="292" t="str">
        <x:v>原生肖资源库已登记</x:v>
      </x:c>
      <x:c r="R373" s="292" t="str"/>
      <x:c r="S373" s="292" t="str">
        <x:v>装备素材套装代码表.xlsx（生肖槽位）</x:v>
      </x:c>
      <x:c r="T373" s="292" t="str">
        <x:v>同一代码用于 Items / StateItem / DnItems；属性与掉落另表定义。</x:v>
      </x:c>
      <x:c r="U373" t="str">
        <x:f>IF(COUNTIF($B$2:$B$1076,B373)&gt;1,"重复","")</x:f>
      </x:c>
      <x:c r="V373" t="str">
        <x:f>IF(AND(OR(M373="",M373=B373),OR(N373="",N373=B373),OR(O373="",O373=B373)),"通过","不一致")</x:f>
        <x:v>通过</x:v>
      </x:c>
    </x:row>
    <x:row r="374" ht="22" customHeight="1">
      <x:c r="A374" s="289" t="n">
        <x:v>373</x:v>
      </x:c>
      <x:c r="B374" s="289" t="n">
        <x:v>6303</x:v>
      </x:c>
      <x:c r="C374" s="290" t="str">
        <x:v>紫垣玄晶·星宫</x:v>
      </x:c>
      <x:c r="D374" s="290" t="str">
        <x:v>紫垣玄晶</x:v>
      </x:c>
      <x:c r="E374" s="290" t="n">
        <x:v>5</x:v>
      </x:c>
      <x:c r="F374" s="290" t="str">
        <x:v>生肖10</x:v>
      </x:c>
      <x:c r="G374" s="289"/>
      <x:c r="H374" s="289"/>
      <x:c r="I374" s="289" t="n">
        <x:v>6303</x:v>
      </x:c>
      <x:c r="J374" s="289"/>
      <x:c r="K374" s="289"/>
      <x:c r="L374" s="289"/>
      <x:c r="M374" s="289" t="n">
        <x:v>6303</x:v>
      </x:c>
      <x:c r="N374" s="289" t="n">
        <x:v>6303</x:v>
      </x:c>
      <x:c r="O374" s="289" t="n">
        <x:v>6303</x:v>
      </x:c>
      <x:c r="P374" s="292"/>
      <x:c r="Q374" s="292" t="str">
        <x:v>原生肖资源库已登记</x:v>
      </x:c>
      <x:c r="R374" s="292" t="str"/>
      <x:c r="S374" s="292" t="str">
        <x:v>装备素材套装代码表.xlsx（生肖槽位）</x:v>
      </x:c>
      <x:c r="T374" s="292" t="str">
        <x:v>同一代码用于 Items / StateItem / DnItems；属性与掉落另表定义。</x:v>
      </x:c>
      <x:c r="U374" t="str">
        <x:f>IF(COUNTIF($B$2:$B$1076,B374)&gt;1,"重复","")</x:f>
      </x:c>
      <x:c r="V374" t="str">
        <x:f>IF(AND(OR(M374="",M374=B374),OR(N374="",N374=B374),OR(O374="",O374=B374)),"通过","不一致")</x:f>
        <x:v>通过</x:v>
      </x:c>
    </x:row>
    <x:row r="375" ht="22" customHeight="1">
      <x:c r="A375" s="289" t="n">
        <x:v>374</x:v>
      </x:c>
      <x:c r="B375" s="289" t="n">
        <x:v>6304</x:v>
      </x:c>
      <x:c r="C375" s="290" t="str">
        <x:v>紫垣玄晶·星宫</x:v>
      </x:c>
      <x:c r="D375" s="290" t="str">
        <x:v>紫垣玄晶</x:v>
      </x:c>
      <x:c r="E375" s="290" t="n">
        <x:v>5</x:v>
      </x:c>
      <x:c r="F375" s="290" t="str">
        <x:v>生肖11</x:v>
      </x:c>
      <x:c r="G375" s="289"/>
      <x:c r="H375" s="289"/>
      <x:c r="I375" s="289" t="n">
        <x:v>6304</x:v>
      </x:c>
      <x:c r="J375" s="289"/>
      <x:c r="K375" s="289"/>
      <x:c r="L375" s="289"/>
      <x:c r="M375" s="289" t="n">
        <x:v>6304</x:v>
      </x:c>
      <x:c r="N375" s="289" t="n">
        <x:v>6304</x:v>
      </x:c>
      <x:c r="O375" s="289" t="n">
        <x:v>6304</x:v>
      </x:c>
      <x:c r="P375" s="292"/>
      <x:c r="Q375" s="292" t="str">
        <x:v>原生肖资源库已登记</x:v>
      </x:c>
      <x:c r="R375" s="292" t="str"/>
      <x:c r="S375" s="292" t="str">
        <x:v>装备素材套装代码表.xlsx（生肖槽位）</x:v>
      </x:c>
      <x:c r="T375" s="292" t="str">
        <x:v>同一代码用于 Items / StateItem / DnItems；属性与掉落另表定义。</x:v>
      </x:c>
      <x:c r="U375" t="str">
        <x:f>IF(COUNTIF($B$2:$B$1076,B375)&gt;1,"重复","")</x:f>
      </x:c>
      <x:c r="V375" t="str">
        <x:f>IF(AND(OR(M375="",M375=B375),OR(N375="",N375=B375),OR(O375="",O375=B375)),"通过","不一致")</x:f>
        <x:v>通过</x:v>
      </x:c>
    </x:row>
    <x:row r="376" ht="22" customHeight="1">
      <x:c r="A376" s="289" t="n">
        <x:v>375</x:v>
      </x:c>
      <x:c r="B376" s="289" t="n">
        <x:v>6305</x:v>
      </x:c>
      <x:c r="C376" s="290" t="str">
        <x:v>紫垣玄晶·星宫</x:v>
      </x:c>
      <x:c r="D376" s="290" t="str">
        <x:v>紫垣玄晶</x:v>
      </x:c>
      <x:c r="E376" s="290" t="n">
        <x:v>5</x:v>
      </x:c>
      <x:c r="F376" s="290" t="str">
        <x:v>生肖12</x:v>
      </x:c>
      <x:c r="G376" s="289"/>
      <x:c r="H376" s="289"/>
      <x:c r="I376" s="289" t="n">
        <x:v>6305</x:v>
      </x:c>
      <x:c r="J376" s="289"/>
      <x:c r="K376" s="289"/>
      <x:c r="L376" s="289"/>
      <x:c r="M376" s="289" t="n">
        <x:v>6305</x:v>
      </x:c>
      <x:c r="N376" s="289" t="n">
        <x:v>6305</x:v>
      </x:c>
      <x:c r="O376" s="289" t="n">
        <x:v>6305</x:v>
      </x:c>
      <x:c r="P376" s="292"/>
      <x:c r="Q376" s="292" t="str">
        <x:v>原生肖资源库已登记</x:v>
      </x:c>
      <x:c r="R376" s="292" t="str"/>
      <x:c r="S376" s="292" t="str">
        <x:v>装备素材套装代码表.xlsx（生肖槽位）</x:v>
      </x:c>
      <x:c r="T376" s="292" t="str">
        <x:v>同一代码用于 Items / StateItem / DnItems；属性与掉落另表定义。</x:v>
      </x:c>
      <x:c r="U376" t="str">
        <x:f>IF(COUNTIF($B$2:$B$1076,B376)&gt;1,"重复","")</x:f>
      </x:c>
      <x:c r="V376" t="str">
        <x:f>IF(AND(OR(M376="",M376=B376),OR(N376="",N376=B376),OR(O376="",O376=B376)),"通过","不一致")</x:f>
        <x:v>通过</x:v>
      </x:c>
    </x:row>
    <x:row r="377" ht="22" customHeight="1">
      <x:c r="A377" s="289" t="n">
        <x:v>376</x:v>
      </x:c>
      <x:c r="B377" s="289" t="n">
        <x:v>6396</x:v>
      </x:c>
      <x:c r="C377" s="290" t="str">
        <x:v>黄金圣树·初誓</x:v>
      </x:c>
      <x:c r="D377" s="290" t="str">
        <x:v>黄金圣树</x:v>
      </x:c>
      <x:c r="E377" s="290" t="n">
        <x:v>1</x:v>
      </x:c>
      <x:c r="F377" s="290" t="str">
        <x:v>武器</x:v>
      </x:c>
      <x:c r="G377" s="289" t="n">
        <x:v>5</x:v>
      </x:c>
      <x:c r="H377" s="289" t="n">
        <x:v>1</x:v>
      </x:c>
      <x:c r="I377" s="289" t="n">
        <x:v>6396</x:v>
      </x:c>
      <x:c r="J377" s="289" t="n">
        <x:v>14</x:v>
      </x:c>
      <x:c r="K377" s="289" t="n">
        <x:v>0</x:v>
      </x:c>
      <x:c r="L377" s="289" t="n">
        <x:v>0</x:v>
      </x:c>
      <x:c r="M377" s="289" t="n">
        <x:v>6396</x:v>
      </x:c>
      <x:c r="N377" s="289" t="n">
        <x:v>6396</x:v>
      </x:c>
      <x:c r="O377" s="289" t="n">
        <x:v>6396</x:v>
      </x:c>
      <x:c r="P377" s="292" t="str">
        <x:v>Weapon.wzl/wzx（复用现有真实动作）</x:v>
      </x:c>
      <x:c r="Q377" s="292" t="str">
        <x:v>candidate-preflight-passed</x:v>
      </x:c>
      <x:c r="R377" s="324" t="str">
        <x:v>C3-C10规划锁定：统领断旗枪</x:v>
      </x:c>
      <x:c r="S377" s="292" t="str">
        <x:v>玄渊二十套全装备代码总表.xlsx</x:v>
      </x:c>
      <x:c r="T377" s="292" t="str">
        <x:v>玄渊20套全装备视觉候选；Items/StateItem/DnItems三库同码；属性待策划填写；Weapon Shape=14</x:v>
      </x:c>
      <x:c r="U377" t="str">
        <x:f>IF(COUNTIF($B$2:$B$1076,B377)&gt;1,"重复","")</x:f>
      </x:c>
      <x:c r="V377" t="str">
        <x:f>IF(AND(OR(M377="",M377=B377),OR(N377="",N377=B377),OR(O377="",O377=B377)),"通过","不一致")</x:f>
        <x:v>通过</x:v>
      </x:c>
    </x:row>
    <x:row r="378" ht="22" customHeight="1">
      <x:c r="A378" s="289" t="n">
        <x:v>377</x:v>
      </x:c>
      <x:c r="B378" s="289" t="n">
        <x:v>6397</x:v>
      </x:c>
      <x:c r="C378" s="290" t="str">
        <x:v>黄金圣树·初誓</x:v>
      </x:c>
      <x:c r="D378" s="290" t="str">
        <x:v>黄金圣树</x:v>
      </x:c>
      <x:c r="E378" s="290" t="n">
        <x:v>1</x:v>
      </x:c>
      <x:c r="F378" s="290" t="str">
        <x:v>男衣服</x:v>
      </x:c>
      <x:c r="G378" s="289" t="n">
        <x:v>10</x:v>
      </x:c>
      <x:c r="H378" s="289" t="n">
        <x:v>0</x:v>
      </x:c>
      <x:c r="I378" s="289" t="n">
        <x:v>6397</x:v>
      </x:c>
      <x:c r="J378" s="289" t="n">
        <x:v>1</x:v>
      </x:c>
      <x:c r="K378" s="289" t="n">
        <x:v>0</x:v>
      </x:c>
      <x:c r="L378" s="289" t="n">
        <x:v>0</x:v>
      </x:c>
      <x:c r="M378" s="289" t="n">
        <x:v>6397</x:v>
      </x:c>
      <x:c r="N378" s="289" t="n">
        <x:v>6397</x:v>
      </x:c>
      <x:c r="O378" s="289" t="n">
        <x:v>6397</x:v>
      </x:c>
      <x:c r="P378" s="292" t="str">
        <x:v>Hum.wzl/wzx（复用现有真实动作）</x:v>
      </x:c>
      <x:c r="Q378" s="292" t="str">
        <x:v>candidate-preflight-passed</x:v>
      </x:c>
      <x:c r="R378" s="324" t="str">
        <x:v>C3-C10规划锁定：巨犀荒铠</x:v>
      </x:c>
      <x:c r="S378" s="292" t="str">
        <x:v>玄渊二十套全装备代码总表.xlsx</x:v>
      </x:c>
      <x:c r="T378" s="292" t="str">
        <x:v>玄渊20套全装备视觉候选；Items/StateItem/DnItems三库同码；属性待策划填写；Hum Shape=1</x:v>
      </x:c>
      <x:c r="U378" t="str">
        <x:f>IF(COUNTIF($B$2:$B$1076,B378)&gt;1,"重复","")</x:f>
      </x:c>
      <x:c r="V378" t="str">
        <x:f>IF(AND(OR(M378="",M378=B378),OR(N378="",N378=B378),OR(O378="",O378=B378)),"通过","不一致")</x:f>
        <x:v>通过</x:v>
      </x:c>
    </x:row>
    <x:row r="379" ht="22" customHeight="1">
      <x:c r="A379" s="289" t="n">
        <x:v>378</x:v>
      </x:c>
      <x:c r="B379" s="289" t="n">
        <x:v>6398</x:v>
      </x:c>
      <x:c r="C379" s="290" t="str">
        <x:v>黄金圣树·初誓</x:v>
      </x:c>
      <x:c r="D379" s="290" t="str">
        <x:v>黄金圣树</x:v>
      </x:c>
      <x:c r="E379" s="290" t="n">
        <x:v>1</x:v>
      </x:c>
      <x:c r="F379" s="290" t="str">
        <x:v>女衣服</x:v>
      </x:c>
      <x:c r="G379" s="289" t="n">
        <x:v>11</x:v>
      </x:c>
      <x:c r="H379" s="289" t="n">
        <x:v>0</x:v>
      </x:c>
      <x:c r="I379" s="289" t="n">
        <x:v>6398</x:v>
      </x:c>
      <x:c r="J379" s="289" t="n">
        <x:v>1</x:v>
      </x:c>
      <x:c r="K379" s="289" t="n">
        <x:v>0</x:v>
      </x:c>
      <x:c r="L379" s="289" t="n">
        <x:v>0</x:v>
      </x:c>
      <x:c r="M379" s="289" t="n">
        <x:v>6398</x:v>
      </x:c>
      <x:c r="N379" s="289" t="n">
        <x:v>6398</x:v>
      </x:c>
      <x:c r="O379" s="289" t="n">
        <x:v>6398</x:v>
      </x:c>
      <x:c r="P379" s="292" t="str">
        <x:v>Hum.wzl/wzx（复用现有真实动作）</x:v>
      </x:c>
      <x:c r="Q379" s="292" t="str">
        <x:v>candidate-preflight-passed</x:v>
      </x:c>
      <x:c r="R379" s="323" t="str">
        <x:v>材料Items已占用：漂流见证·潮</x:v>
      </x:c>
      <x:c r="S379" s="292" t="str">
        <x:v>玄渊二十套全装备代码总表.xlsx</x:v>
      </x:c>
      <x:c r="T379" s="292" t="str">
        <x:v>玄渊20套全装备视觉候选；Items/StateItem/DnItems三库同码；属性待策划填写；Hum Shape=1</x:v>
      </x:c>
      <x:c r="U379" t="str">
        <x:f>IF(COUNTIF($B$2:$B$1076,B379)&gt;1,"重复","")</x:f>
      </x:c>
      <x:c r="V379" t="str">
        <x:f>IF(AND(OR(M379="",M379=B379),OR(N379="",N379=B379),OR(O379="",O379=B379)),"通过","不一致")</x:f>
        <x:v>通过</x:v>
      </x:c>
    </x:row>
    <x:row r="380" ht="22" customHeight="1">
      <x:c r="A380" s="289" t="n">
        <x:v>379</x:v>
      </x:c>
      <x:c r="B380" s="289" t="n">
        <x:v>6399</x:v>
      </x:c>
      <x:c r="C380" s="290" t="str">
        <x:v>黄金圣树·初誓</x:v>
      </x:c>
      <x:c r="D380" s="290" t="str">
        <x:v>黄金圣树</x:v>
      </x:c>
      <x:c r="E380" s="290" t="n">
        <x:v>1</x:v>
      </x:c>
      <x:c r="F380" s="290" t="str">
        <x:v>头盔</x:v>
      </x:c>
      <x:c r="G380" s="289" t="n">
        <x:v>15</x:v>
      </x:c>
      <x:c r="H380" s="289" t="n">
        <x:v>4</x:v>
      </x:c>
      <x:c r="I380" s="289" t="n">
        <x:v>6399</x:v>
      </x:c>
      <x:c r="J380" s="289" t="n">
        <x:v>0</x:v>
      </x:c>
      <x:c r="K380" s="289" t="n">
        <x:v>0</x:v>
      </x:c>
      <x:c r="L380" s="289" t="n">
        <x:v>0</x:v>
      </x:c>
      <x:c r="M380" s="289" t="n">
        <x:v>6399</x:v>
      </x:c>
      <x:c r="N380" s="289" t="n">
        <x:v>6399</x:v>
      </x:c>
      <x:c r="O380" s="289" t="n">
        <x:v>6399</x:v>
      </x:c>
      <x:c r="P380" s="292"/>
      <x:c r="Q380" s="292" t="str">
        <x:v>candidate-preflight-passed</x:v>
      </x:c>
      <x:c r="R380" s="323" t="str">
        <x:v>材料Items已占用：漂流见证·雷</x:v>
      </x:c>
      <x:c r="S380" s="292" t="str">
        <x:v>玄渊二十套全装备代码总表.xlsx</x:v>
      </x:c>
      <x:c r="T380" s="292" t="str">
        <x:v>玄渊20套全装备视觉候选；Items/StateItem/DnItems三库同码；属性待策划填写</x:v>
      </x:c>
      <x:c r="U380" t="str">
        <x:f>IF(COUNTIF($B$2:$B$1076,B380)&gt;1,"重复","")</x:f>
      </x:c>
      <x:c r="V380" t="str">
        <x:f>IF(AND(OR(M380="",M380=B380),OR(N380="",N380=B380),OR(O380="",O380=B380)),"通过","不一致")</x:f>
        <x:v>通过</x:v>
      </x:c>
    </x:row>
    <x:row r="381" ht="22" customHeight="1">
      <x:c r="A381" s="289" t="n">
        <x:v>380</x:v>
      </x:c>
      <x:c r="B381" s="289" t="n">
        <x:v>6400</x:v>
      </x:c>
      <x:c r="C381" s="290" t="str">
        <x:v>黄金圣树·初誓</x:v>
      </x:c>
      <x:c r="D381" s="290" t="str">
        <x:v>黄金圣树</x:v>
      </x:c>
      <x:c r="E381" s="290" t="n">
        <x:v>1</x:v>
      </x:c>
      <x:c r="F381" s="290" t="str">
        <x:v>面巾</x:v>
      </x:c>
      <x:c r="G381" s="289" t="n">
        <x:v>16</x:v>
      </x:c>
      <x:c r="H381" s="289" t="n">
        <x:v>13</x:v>
      </x:c>
      <x:c r="I381" s="289" t="n">
        <x:v>6400</x:v>
      </x:c>
      <x:c r="J381" s="289" t="n">
        <x:v>0</x:v>
      </x:c>
      <x:c r="K381" s="289" t="n">
        <x:v>0</x:v>
      </x:c>
      <x:c r="L381" s="289" t="n">
        <x:v>0</x:v>
      </x:c>
      <x:c r="M381" s="289" t="n">
        <x:v>6400</x:v>
      </x:c>
      <x:c r="N381" s="289" t="n">
        <x:v>6400</x:v>
      </x:c>
      <x:c r="O381" s="289" t="n">
        <x:v>6400</x:v>
      </x:c>
      <x:c r="P381" s="292"/>
      <x:c r="Q381" s="292" t="str">
        <x:v>candidate-preflight-passed</x:v>
      </x:c>
      <x:c r="R381" s="323" t="str">
        <x:v>材料Items已占用：宁姆格福誓页</x:v>
      </x:c>
      <x:c r="S381" s="292" t="str">
        <x:v>玄渊二十套全装备代码总表.xlsx</x:v>
      </x:c>
      <x:c r="T381" s="292" t="str">
        <x:v>玄渊20套全装备视觉候选；Items/StateItem/DnItems三库同码；属性待策划填写</x:v>
      </x:c>
      <x:c r="U381" t="str">
        <x:f>IF(COUNTIF($B$2:$B$1076,B381)&gt;1,"重复","")</x:f>
      </x:c>
      <x:c r="V381" t="str">
        <x:f>IF(AND(OR(M381="",M381=B381),OR(N381="",N381=B381),OR(O381="",O381=B381)),"通过","不一致")</x:f>
        <x:v>通过</x:v>
      </x:c>
    </x:row>
    <x:row r="382" ht="22" customHeight="1">
      <x:c r="A382" s="289" t="n">
        <x:v>381</x:v>
      </x:c>
      <x:c r="B382" s="289" t="n">
        <x:v>6401</x:v>
      </x:c>
      <x:c r="C382" s="290" t="str">
        <x:v>黄金圣树·初誓</x:v>
      </x:c>
      <x:c r="D382" s="290" t="str">
        <x:v>黄金圣树</x:v>
      </x:c>
      <x:c r="E382" s="290" t="n">
        <x:v>1</x:v>
      </x:c>
      <x:c r="F382" s="290" t="str">
        <x:v>项链</x:v>
      </x:c>
      <x:c r="G382" s="289" t="n">
        <x:v>19</x:v>
      </x:c>
      <x:c r="H382" s="289" t="n">
        <x:v>3</x:v>
      </x:c>
      <x:c r="I382" s="289" t="n">
        <x:v>6401</x:v>
      </x:c>
      <x:c r="J382" s="289" t="n">
        <x:v>0</x:v>
      </x:c>
      <x:c r="K382" s="289" t="n">
        <x:v>0</x:v>
      </x:c>
      <x:c r="L382" s="289" t="n">
        <x:v>0</x:v>
      </x:c>
      <x:c r="M382" s="289" t="n">
        <x:v>6401</x:v>
      </x:c>
      <x:c r="N382" s="289" t="n">
        <x:v>6401</x:v>
      </x:c>
      <x:c r="O382" s="289" t="n">
        <x:v>6401</x:v>
      </x:c>
      <x:c r="P382" s="292"/>
      <x:c r="Q382" s="292" t="str">
        <x:v>candidate-preflight-passed</x:v>
      </x:c>
      <x:c r="R382" s="323" t="str">
        <x:v>材料Items已占用：海蚀铁片</x:v>
      </x:c>
      <x:c r="S382" s="292" t="str">
        <x:v>玄渊二十套全装备代码总表.xlsx</x:v>
      </x:c>
      <x:c r="T382" s="292" t="str">
        <x:v>玄渊20套全装备视觉候选；Items/StateItem/DnItems三库同码；属性待策划填写</x:v>
      </x:c>
      <x:c r="U382" t="str">
        <x:f>IF(COUNTIF($B$2:$B$1076,B382)&gt;1,"重复","")</x:f>
      </x:c>
      <x:c r="V382" t="str">
        <x:f>IF(AND(OR(M382="",M382=B382),OR(N382="",N382=B382),OR(O382="",O382=B382)),"通过","不一致")</x:f>
        <x:v>通过</x:v>
      </x:c>
    </x:row>
    <x:row r="383" ht="22" customHeight="1">
      <x:c r="A383" s="289" t="n">
        <x:v>382</x:v>
      </x:c>
      <x:c r="B383" s="289" t="n">
        <x:v>6402</x:v>
      </x:c>
      <x:c r="C383" s="290" t="str">
        <x:v>黄金圣树·初誓</x:v>
      </x:c>
      <x:c r="D383" s="290" t="str">
        <x:v>黄金圣树</x:v>
      </x:c>
      <x:c r="E383" s="290" t="n">
        <x:v>1</x:v>
      </x:c>
      <x:c r="F383" s="290" t="str">
        <x:v>手镯</x:v>
      </x:c>
      <x:c r="G383" s="289" t="n">
        <x:v>26</x:v>
      </x:c>
      <x:c r="H383" s="289" t="n">
        <x:v>5</x:v>
      </x:c>
      <x:c r="I383" s="289" t="n">
        <x:v>6402</x:v>
      </x:c>
      <x:c r="J383" s="289" t="n">
        <x:v>0</x:v>
      </x:c>
      <x:c r="K383" s="289" t="n">
        <x:v>0</x:v>
      </x:c>
      <x:c r="L383" s="289" t="n">
        <x:v>0</x:v>
      </x:c>
      <x:c r="M383" s="289" t="n">
        <x:v>6402</x:v>
      </x:c>
      <x:c r="N383" s="289" t="n">
        <x:v>6402</x:v>
      </x:c>
      <x:c r="O383" s="289" t="n">
        <x:v>6402</x:v>
      </x:c>
      <x:c r="P383" s="292"/>
      <x:c r="Q383" s="292" t="str">
        <x:v>candidate-preflight-passed</x:v>
      </x:c>
      <x:c r="R383" s="323" t="str">
        <x:v>材料Items已占用：潮痕结晶</x:v>
      </x:c>
      <x:c r="S383" s="292" t="str">
        <x:v>玄渊二十套全装备代码总表.xlsx</x:v>
      </x:c>
      <x:c r="T383" s="292" t="str">
        <x:v>玄渊20套全装备视觉候选；Items/StateItem/DnItems三库同码；属性待策划填写</x:v>
      </x:c>
      <x:c r="U383" t="str">
        <x:f>IF(COUNTIF($B$2:$B$1076,B383)&gt;1,"重复","")</x:f>
      </x:c>
      <x:c r="V383" t="str">
        <x:f>IF(AND(OR(M383="",M383=B383),OR(N383="",N383=B383),OR(O383="",O383=B383)),"通过","不一致")</x:f>
        <x:v>通过</x:v>
      </x:c>
    </x:row>
    <x:row r="384" ht="22" customHeight="1">
      <x:c r="A384" s="289" t="n">
        <x:v>383</x:v>
      </x:c>
      <x:c r="B384" s="289" t="n">
        <x:v>6403</x:v>
      </x:c>
      <x:c r="C384" s="290" t="str">
        <x:v>黄金圣树·初誓</x:v>
      </x:c>
      <x:c r="D384" s="290" t="str">
        <x:v>黄金圣树</x:v>
      </x:c>
      <x:c r="E384" s="290" t="n">
        <x:v>1</x:v>
      </x:c>
      <x:c r="F384" s="290" t="str">
        <x:v>戒指</x:v>
      </x:c>
      <x:c r="G384" s="289" t="n">
        <x:v>22</x:v>
      </x:c>
      <x:c r="H384" s="289" t="n">
        <x:v>7</x:v>
      </x:c>
      <x:c r="I384" s="289" t="n">
        <x:v>6403</x:v>
      </x:c>
      <x:c r="J384" s="289" t="n">
        <x:v>0</x:v>
      </x:c>
      <x:c r="K384" s="289" t="n">
        <x:v>0</x:v>
      </x:c>
      <x:c r="L384" s="289" t="n">
        <x:v>0</x:v>
      </x:c>
      <x:c r="M384" s="289" t="n">
        <x:v>6403</x:v>
      </x:c>
      <x:c r="N384" s="289" t="n">
        <x:v>6403</x:v>
      </x:c>
      <x:c r="O384" s="289" t="n">
        <x:v>6403</x:v>
      </x:c>
      <x:c r="P384" s="292"/>
      <x:c r="Q384" s="292" t="str">
        <x:v>candidate-preflight-passed</x:v>
      </x:c>
      <x:c r="R384" s="323" t="str">
        <x:v>材料Items已占用：漂流大陆印记</x:v>
      </x:c>
      <x:c r="S384" s="292" t="str">
        <x:v>玄渊二十套全装备代码总表.xlsx</x:v>
      </x:c>
      <x:c r="T384" s="292" t="str">
        <x:v>玄渊20套全装备视觉候选；Items/StateItem/DnItems三库同码；属性待策划填写</x:v>
      </x:c>
      <x:c r="U384" t="str">
        <x:f>IF(COUNTIF($B$2:$B$1076,B384)&gt;1,"重复","")</x:f>
      </x:c>
      <x:c r="V384" t="str">
        <x:f>IF(AND(OR(M384="",M384=B384),OR(N384="",N384=B384),OR(O384="",O384=B384)),"通过","不一致")</x:f>
        <x:v>通过</x:v>
      </x:c>
    </x:row>
    <x:row r="385" ht="22" customHeight="1">
      <x:c r="A385" s="289" t="n">
        <x:v>384</x:v>
      </x:c>
      <x:c r="B385" s="289" t="n">
        <x:v>6404</x:v>
      </x:c>
      <x:c r="C385" s="290" t="str">
        <x:v>黄金圣树·初誓</x:v>
      </x:c>
      <x:c r="D385" s="290" t="str">
        <x:v>黄金圣树</x:v>
      </x:c>
      <x:c r="E385" s="290" t="n">
        <x:v>1</x:v>
      </x:c>
      <x:c r="F385" s="290" t="str">
        <x:v>勋章</x:v>
      </x:c>
      <x:c r="G385" s="289" t="n">
        <x:v>30</x:v>
      </x:c>
      <x:c r="H385" s="289" t="n">
        <x:v>2</x:v>
      </x:c>
      <x:c r="I385" s="289" t="n">
        <x:v>6404</x:v>
      </x:c>
      <x:c r="J385" s="289" t="n">
        <x:v>0</x:v>
      </x:c>
      <x:c r="K385" s="289" t="n">
        <x:v>0</x:v>
      </x:c>
      <x:c r="L385" s="289" t="n">
        <x:v>0</x:v>
      </x:c>
      <x:c r="M385" s="289" t="n">
        <x:v>6404</x:v>
      </x:c>
      <x:c r="N385" s="289" t="n">
        <x:v>6404</x:v>
      </x:c>
      <x:c r="O385" s="289" t="n">
        <x:v>6404</x:v>
      </x:c>
      <x:c r="P385" s="292"/>
      <x:c r="Q385" s="292" t="str">
        <x:v>candidate-preflight-passed</x:v>
      </x:c>
      <x:c r="R385" s="323" t="str">
        <x:v>材料Items已占用：风暴石片</x:v>
      </x:c>
      <x:c r="S385" s="292" t="str">
        <x:v>玄渊二十套全装备代码总表.xlsx</x:v>
      </x:c>
      <x:c r="T385" s="292" t="str">
        <x:v>玄渊20套全装备视觉候选；Items/StateItem/DnItems三库同码；属性待策划填写</x:v>
      </x:c>
      <x:c r="U385" t="str">
        <x:f>IF(COUNTIF($B$2:$B$1076,B385)&gt;1,"重复","")</x:f>
      </x:c>
      <x:c r="V385" t="str">
        <x:f>IF(AND(OR(M385="",M385=B385),OR(N385="",N385=B385),OR(O385="",O385=B385)),"通过","不一致")</x:f>
        <x:v>通过</x:v>
      </x:c>
    </x:row>
    <x:row r="386" ht="22" customHeight="1">
      <x:c r="A386" s="289" t="n">
        <x:v>385</x:v>
      </x:c>
      <x:c r="B386" s="289" t="n">
        <x:v>6405</x:v>
      </x:c>
      <x:c r="C386" s="290" t="str">
        <x:v>黄金圣树·初誓</x:v>
      </x:c>
      <x:c r="D386" s="290" t="str">
        <x:v>黄金圣树</x:v>
      </x:c>
      <x:c r="E386" s="290" t="n">
        <x:v>1</x:v>
      </x:c>
      <x:c r="F386" s="290" t="str">
        <x:v>盾牌</x:v>
      </x:c>
      <x:c r="G386" s="289" t="n">
        <x:v>12</x:v>
      </x:c>
      <x:c r="H386" s="289" t="n">
        <x:v>16</x:v>
      </x:c>
      <x:c r="I386" s="289" t="n">
        <x:v>6405</x:v>
      </x:c>
      <x:c r="J386" s="289" t="n">
        <x:v>0</x:v>
      </x:c>
      <x:c r="K386" s="289" t="n">
        <x:v>0</x:v>
      </x:c>
      <x:c r="L386" s="289" t="n">
        <x:v>0</x:v>
      </x:c>
      <x:c r="M386" s="289" t="n">
        <x:v>6405</x:v>
      </x:c>
      <x:c r="N386" s="289" t="n">
        <x:v>6405</x:v>
      </x:c>
      <x:c r="O386" s="289" t="n">
        <x:v>6405</x:v>
      </x:c>
      <x:c r="P386" s="292"/>
      <x:c r="Q386" s="292" t="str">
        <x:v>candidate-preflight-passed</x:v>
      </x:c>
      <x:c r="R386" s="323" t="str">
        <x:v>材料Items已占用：黄金树芽</x:v>
      </x:c>
      <x:c r="S386" s="292" t="str">
        <x:v>玄渊二十套全装备代码总表.xlsx</x:v>
      </x:c>
      <x:c r="T386" s="292" t="str">
        <x:v>玄渊20套全装备视觉候选；Items/StateItem/DnItems三库同码；属性待策划填写</x:v>
      </x:c>
      <x:c r="U386" t="str">
        <x:f>IF(COUNTIF($B$2:$B$1076,B386)&gt;1,"重复","")</x:f>
      </x:c>
      <x:c r="V386" t="str">
        <x:f>IF(AND(OR(M386="",M386=B386),OR(N386="",N386=B386),OR(O386="",O386=B386)),"通过","不一致")</x:f>
        <x:v>通过</x:v>
      </x:c>
    </x:row>
    <x:row r="387" ht="22" customHeight="1">
      <x:c r="A387" s="289" t="n">
        <x:v>386</x:v>
      </x:c>
      <x:c r="B387" s="289" t="n">
        <x:v>6406</x:v>
      </x:c>
      <x:c r="C387" s="290" t="str">
        <x:v>黄金圣树·初誓</x:v>
      </x:c>
      <x:c r="D387" s="290" t="str">
        <x:v>黄金圣树</x:v>
      </x:c>
      <x:c r="E387" s="290" t="n">
        <x:v>1</x:v>
      </x:c>
      <x:c r="F387" s="290" t="str">
        <x:v>灵玉</x:v>
      </x:c>
      <x:c r="G387" s="289" t="n">
        <x:v>90</x:v>
      </x:c>
      <x:c r="H387" s="289" t="n">
        <x:v>17</x:v>
      </x:c>
      <x:c r="I387" s="289" t="n">
        <x:v>6406</x:v>
      </x:c>
      <x:c r="J387" s="289" t="n">
        <x:v>0</x:v>
      </x:c>
      <x:c r="K387" s="289" t="n">
        <x:v>0</x:v>
      </x:c>
      <x:c r="L387" s="289" t="n">
        <x:v>0</x:v>
      </x:c>
      <x:c r="M387" s="289" t="n">
        <x:v>6406</x:v>
      </x:c>
      <x:c r="N387" s="289" t="n">
        <x:v>6406</x:v>
      </x:c>
      <x:c r="O387" s="289" t="n">
        <x:v>6406</x:v>
      </x:c>
      <x:c r="P387" s="292"/>
      <x:c r="Q387" s="292" t="str">
        <x:v>candidate-preflight-passed</x:v>
      </x:c>
      <x:c r="R387" s="323" t="str">
        <x:v>材料Items已占用：接肢王印</x:v>
      </x:c>
      <x:c r="S387" s="292" t="str">
        <x:v>玄渊二十套全装备代码总表.xlsx</x:v>
      </x:c>
      <x:c r="T387" s="292" t="str">
        <x:v>玄渊20套全装备视觉候选；Items/StateItem/DnItems三库同码；属性待策划填写</x:v>
      </x:c>
      <x:c r="U387" t="str">
        <x:f>IF(COUNTIF($B$2:$B$1076,B387)&gt;1,"重复","")</x:f>
      </x:c>
      <x:c r="V387" t="str">
        <x:f>IF(AND(OR(M387="",M387=B387),OR(N387="",N387=B387),OR(O387="",O387=B387)),"通过","不一致")</x:f>
        <x:v>通过</x:v>
      </x:c>
    </x:row>
    <x:row r="388" ht="22" customHeight="1">
      <x:c r="A388" s="289" t="n">
        <x:v>387</x:v>
      </x:c>
      <x:c r="B388" s="289" t="n">
        <x:v>6407</x:v>
      </x:c>
      <x:c r="C388" s="290" t="str">
        <x:v>黄金圣树·初誓</x:v>
      </x:c>
      <x:c r="D388" s="290" t="str">
        <x:v>黄金圣树</x:v>
      </x:c>
      <x:c r="E388" s="290" t="n">
        <x:v>1</x:v>
      </x:c>
      <x:c r="F388" s="290" t="str">
        <x:v>鞋子</x:v>
      </x:c>
      <x:c r="G388" s="289" t="n">
        <x:v>62</x:v>
      </x:c>
      <x:c r="H388" s="289" t="n">
        <x:v>11</x:v>
      </x:c>
      <x:c r="I388" s="289" t="n">
        <x:v>6407</x:v>
      </x:c>
      <x:c r="J388" s="289" t="n">
        <x:v>0</x:v>
      </x:c>
      <x:c r="K388" s="289" t="n">
        <x:v>0</x:v>
      </x:c>
      <x:c r="L388" s="289" t="n">
        <x:v>0</x:v>
      </x:c>
      <x:c r="M388" s="289" t="n">
        <x:v>6407</x:v>
      </x:c>
      <x:c r="N388" s="289" t="n">
        <x:v>6407</x:v>
      </x:c>
      <x:c r="O388" s="289" t="n">
        <x:v>6407</x:v>
      </x:c>
      <x:c r="P388" s="292"/>
      <x:c r="Q388" s="292" t="str">
        <x:v>candidate-preflight-passed</x:v>
      </x:c>
      <x:c r="R388" s="323" t="str">
        <x:v>材料Items已占用：风蚀铁片</x:v>
      </x:c>
      <x:c r="S388" s="292" t="str">
        <x:v>玄渊二十套全装备代码总表.xlsx</x:v>
      </x:c>
      <x:c r="T388" s="292" t="str">
        <x:v>玄渊20套全装备视觉候选；Items/StateItem/DnItems三库同码；属性待策划填写</x:v>
      </x:c>
      <x:c r="U388" t="str">
        <x:f>IF(COUNTIF($B$2:$B$1076,B388)&gt;1,"重复","")</x:f>
      </x:c>
      <x:c r="V388" t="str">
        <x:f>IF(AND(OR(M388="",M388=B388),OR(N388="",N388=B388),OR(O388="",O388=B388)),"通过","不一致")</x:f>
        <x:v>通过</x:v>
      </x:c>
    </x:row>
    <x:row r="389" ht="22" customHeight="1">
      <x:c r="A389" s="289" t="n">
        <x:v>388</x:v>
      </x:c>
      <x:c r="B389" s="289" t="n">
        <x:v>6408</x:v>
      </x:c>
      <x:c r="C389" s="290" t="str">
        <x:v>黄金圣树·初誓</x:v>
      </x:c>
      <x:c r="D389" s="290" t="str">
        <x:v>黄金圣树</x:v>
      </x:c>
      <x:c r="E389" s="290" t="n">
        <x:v>1</x:v>
      </x:c>
      <x:c r="F389" s="290" t="str">
        <x:v>腰带</x:v>
      </x:c>
      <x:c r="G389" s="289" t="n">
        <x:v>64</x:v>
      </x:c>
      <x:c r="H389" s="289" t="n">
        <x:v>10</x:v>
      </x:c>
      <x:c r="I389" s="289" t="n">
        <x:v>6408</x:v>
      </x:c>
      <x:c r="J389" s="289" t="n">
        <x:v>0</x:v>
      </x:c>
      <x:c r="K389" s="289" t="n">
        <x:v>0</x:v>
      </x:c>
      <x:c r="L389" s="289" t="n">
        <x:v>0</x:v>
      </x:c>
      <x:c r="M389" s="289" t="n">
        <x:v>6408</x:v>
      </x:c>
      <x:c r="N389" s="289" t="n">
        <x:v>6408</x:v>
      </x:c>
      <x:c r="O389" s="289" t="n">
        <x:v>6408</x:v>
      </x:c>
      <x:c r="P389" s="292"/>
      <x:c r="Q389" s="292" t="str">
        <x:v>candidate-preflight-passed</x:v>
      </x:c>
      <x:c r="R389" s="323" t="str">
        <x:v>材料Items已占用：西境战旗</x:v>
      </x:c>
      <x:c r="S389" s="292" t="str">
        <x:v>玄渊二十套全装备代码总表.xlsx</x:v>
      </x:c>
      <x:c r="T389" s="292" t="str">
        <x:v>玄渊20套全装备视觉候选；Items/StateItem/DnItems三库同码；属性待策划填写</x:v>
      </x:c>
      <x:c r="U389" t="str">
        <x:f>IF(COUNTIF($B$2:$B$1076,B389)&gt;1,"重复","")</x:f>
      </x:c>
      <x:c r="V389" t="str">
        <x:f>IF(AND(OR(M389="",M389=B389),OR(N389="",N389=B389),OR(O389="",O389=B389)),"通过","不一致")</x:f>
        <x:v>通过</x:v>
      </x:c>
    </x:row>
    <x:row r="390" ht="22" customHeight="1">
      <x:c r="A390" s="289" t="n">
        <x:v>389</x:v>
      </x:c>
      <x:c r="B390" s="289" t="n">
        <x:v>6409</x:v>
      </x:c>
      <x:c r="C390" s="290" t="str">
        <x:v>黄金圣树·初誓</x:v>
      </x:c>
      <x:c r="D390" s="290" t="str">
        <x:v>黄金圣树</x:v>
      </x:c>
      <x:c r="E390" s="290" t="n">
        <x:v>1</x:v>
      </x:c>
      <x:c r="F390" s="290" t="str">
        <x:v>护身符</x:v>
      </x:c>
      <x:c r="G390" s="289" t="n">
        <x:v>25</x:v>
      </x:c>
      <x:c r="H390" s="289" t="n">
        <x:v>9</x:v>
      </x:c>
      <x:c r="I390" s="289" t="n">
        <x:v>6409</x:v>
      </x:c>
      <x:c r="J390" s="289" t="n">
        <x:v>0</x:v>
      </x:c>
      <x:c r="K390" s="289" t="n">
        <x:v>0</x:v>
      </x:c>
      <x:c r="L390" s="289" t="n">
        <x:v>0</x:v>
      </x:c>
      <x:c r="M390" s="289" t="n">
        <x:v>6409</x:v>
      </x:c>
      <x:c r="N390" s="289" t="n">
        <x:v>6409</x:v>
      </x:c>
      <x:c r="O390" s="289" t="n">
        <x:v>6409</x:v>
      </x:c>
      <x:c r="P390" s="292"/>
      <x:c r="Q390" s="292" t="str">
        <x:v>candidate-preflight-passed</x:v>
      </x:c>
      <x:c r="R390" s="323" t="str">
        <x:v>材料Items已占用：西境战旗印</x:v>
      </x:c>
      <x:c r="S390" s="292" t="str">
        <x:v>玄渊二十套全装备代码总表.xlsx</x:v>
      </x:c>
      <x:c r="T390" s="292" t="str">
        <x:v>玄渊20套全装备视觉候选；Items/StateItem/DnItems三库同码；属性待策划填写</x:v>
      </x:c>
      <x:c r="U390" t="str">
        <x:f>IF(COUNTIF($B$2:$B$1076,B390)&gt;1,"重复","")</x:f>
      </x:c>
      <x:c r="V390" t="str">
        <x:f>IF(AND(OR(M390="",M390=B390),OR(N390="",N390=B390),OR(O390="",O390=B390)),"通过","不一致")</x:f>
        <x:v>通过</x:v>
      </x:c>
    </x:row>
    <x:row r="391" ht="22" customHeight="1">
      <x:c r="A391" s="289" t="n">
        <x:v>390</x:v>
      </x:c>
      <x:c r="B391" s="289" t="n">
        <x:v>6410</x:v>
      </x:c>
      <x:c r="C391" s="290" t="str">
        <x:v>黄金圣树·初誓</x:v>
      </x:c>
      <x:c r="D391" s="290" t="str">
        <x:v>黄金圣树</x:v>
      </x:c>
      <x:c r="E391" s="290" t="n">
        <x:v>1</x:v>
      </x:c>
      <x:c r="F391" s="290" t="str">
        <x:v>宝石</x:v>
      </x:c>
      <x:c r="G391" s="289" t="n">
        <x:v>63</x:v>
      </x:c>
      <x:c r="H391" s="289" t="n">
        <x:v>12</x:v>
      </x:c>
      <x:c r="I391" s="289" t="n">
        <x:v>6410</x:v>
      </x:c>
      <x:c r="J391" s="289" t="n">
        <x:v>0</x:v>
      </x:c>
      <x:c r="K391" s="289" t="n">
        <x:v>0</x:v>
      </x:c>
      <x:c r="L391" s="289" t="n">
        <x:v>0</x:v>
      </x:c>
      <x:c r="M391" s="289" t="n">
        <x:v>6410</x:v>
      </x:c>
      <x:c r="N391" s="289" t="n">
        <x:v>6410</x:v>
      </x:c>
      <x:c r="O391" s="289" t="n">
        <x:v>6410</x:v>
      </x:c>
      <x:c r="P391" s="292"/>
      <x:c r="Q391" s="292" t="str">
        <x:v>candidate-preflight-passed</x:v>
      </x:c>
      <x:c r="R391" s="323" t="str">
        <x:v>材料Items已占用：湖盐结晶</x:v>
      </x:c>
      <x:c r="S391" s="292" t="str">
        <x:v>玄渊二十套全装备代码总表.xlsx</x:v>
      </x:c>
      <x:c r="T391" s="292" t="str">
        <x:v>玄渊20套全装备视觉候选；Items/StateItem/DnItems三库同码；属性待策划填写</x:v>
      </x:c>
      <x:c r="U391" t="str">
        <x:f>IF(COUNTIF($B$2:$B$1076,B391)&gt;1,"重复","")</x:f>
      </x:c>
      <x:c r="V391" t="str">
        <x:f>IF(AND(OR(M391="",M391=B391),OR(N391="",N391=B391),OR(O391="",O391=B391)),"通过","不一致")</x:f>
        <x:v>通过</x:v>
      </x:c>
    </x:row>
    <x:row r="392" ht="22" customHeight="1">
      <x:c r="A392" s="289" t="n">
        <x:v>391</x:v>
      </x:c>
      <x:c r="B392" s="289" t="n">
        <x:v>6411</x:v>
      </x:c>
      <x:c r="C392" s="290" t="str">
        <x:v>黄金圣树·初誓</x:v>
      </x:c>
      <x:c r="D392" s="290" t="str">
        <x:v>黄金圣树</x:v>
      </x:c>
      <x:c r="E392" s="290" t="n">
        <x:v>1</x:v>
      </x:c>
      <x:c r="F392" s="290" t="str">
        <x:v>军鼓</x:v>
      </x:c>
      <x:c r="G392" s="289" t="n">
        <x:v>65</x:v>
      </x:c>
      <x:c r="H392" s="289" t="n">
        <x:v>14</x:v>
      </x:c>
      <x:c r="I392" s="289" t="n">
        <x:v>6411</x:v>
      </x:c>
      <x:c r="J392" s="289" t="n">
        <x:v>0</x:v>
      </x:c>
      <x:c r="K392" s="289" t="n">
        <x:v>0</x:v>
      </x:c>
      <x:c r="L392" s="289" t="n">
        <x:v>0</x:v>
      </x:c>
      <x:c r="M392" s="289" t="n">
        <x:v>6411</x:v>
      </x:c>
      <x:c r="N392" s="289" t="n">
        <x:v>6411</x:v>
      </x:c>
      <x:c r="O392" s="289" t="n">
        <x:v>6411</x:v>
      </x:c>
      <x:c r="P392" s="292"/>
      <x:c r="Q392" s="292" t="str">
        <x:v>candidate-preflight-passed</x:v>
      </x:c>
      <x:c r="R392" s="323" t="str">
        <x:v>材料Items已占用：幽船铆钉</x:v>
      </x:c>
      <x:c r="S392" s="292" t="str">
        <x:v>玄渊二十套全装备代码总表.xlsx</x:v>
      </x:c>
      <x:c r="T392" s="292" t="str">
        <x:v>玄渊20套全装备视觉候选；Items/StateItem/DnItems三库同码；属性待策划填写</x:v>
      </x:c>
      <x:c r="U392" t="str">
        <x:f>IF(COUNTIF($B$2:$B$1076,B392)&gt;1,"重复","")</x:f>
      </x:c>
      <x:c r="V392" t="str">
        <x:f>IF(AND(OR(M392="",M392=B392),OR(N392="",N392=B392),OR(O392="",O392=B392)),"通过","不一致")</x:f>
        <x:v>通过</x:v>
      </x:c>
    </x:row>
    <x:row r="393" ht="22" customHeight="1">
      <x:c r="A393" s="289" t="n">
        <x:v>392</x:v>
      </x:c>
      <x:c r="B393" s="289" t="n">
        <x:v>6412</x:v>
      </x:c>
      <x:c r="C393" s="290" t="str">
        <x:v>黄金圣树·初誓</x:v>
      </x:c>
      <x:c r="D393" s="290" t="str">
        <x:v>黄金圣树</x:v>
      </x:c>
      <x:c r="E393" s="290" t="n">
        <x:v>1</x:v>
      </x:c>
      <x:c r="F393" s="290" t="str">
        <x:v>马牌</x:v>
      </x:c>
      <x:c r="G393" s="289" t="n">
        <x:v>28</x:v>
      </x:c>
      <x:c r="H393" s="289" t="n">
        <x:v>15</x:v>
      </x:c>
      <x:c r="I393" s="289" t="n">
        <x:v>6412</x:v>
      </x:c>
      <x:c r="J393" s="289" t="n">
        <x:v>0</x:v>
      </x:c>
      <x:c r="K393" s="289" t="n">
        <x:v>0</x:v>
      </x:c>
      <x:c r="L393" s="289" t="n">
        <x:v>0</x:v>
      </x:c>
      <x:c r="M393" s="289" t="n">
        <x:v>6412</x:v>
      </x:c>
      <x:c r="N393" s="289" t="n">
        <x:v>6412</x:v>
      </x:c>
      <x:c r="O393" s="289" t="n">
        <x:v>6412</x:v>
      </x:c>
      <x:c r="P393" s="292"/>
      <x:c r="Q393" s="292" t="str">
        <x:v>candidate-preflight-passed</x:v>
      </x:c>
      <x:c r="R393" s="323" t="str">
        <x:v>材料Items已占用：沉湖王印</x:v>
      </x:c>
      <x:c r="S393" s="292" t="str">
        <x:v>玄渊二十套全装备代码总表.xlsx</x:v>
      </x:c>
      <x:c r="T393" s="292" t="str">
        <x:v>玄渊20套全装备视觉候选；Items/StateItem/DnItems三库同码；属性待策划填写</x:v>
      </x:c>
      <x:c r="U393" t="str">
        <x:f>IF(COUNTIF($B$2:$B$1076,B393)&gt;1,"重复","")</x:f>
      </x:c>
      <x:c r="V393" t="str">
        <x:f>IF(AND(OR(M393="",M393=B393),OR(N393="",N393=B393),OR(O393="",O393=B393)),"通过","不一致")</x:f>
        <x:v>通过</x:v>
      </x:c>
    </x:row>
    <x:row r="394" ht="22" customHeight="1">
      <x:c r="A394" s="289" t="n">
        <x:v>393</x:v>
      </x:c>
      <x:c r="B394" s="289" t="n">
        <x:v>6413</x:v>
      </x:c>
      <x:c r="C394" s="290" t="str">
        <x:v>黄金圣树·初誓</x:v>
      </x:c>
      <x:c r="D394" s="290" t="str">
        <x:v>黄金圣树</x:v>
      </x:c>
      <x:c r="E394" s="290" t="n">
        <x:v>1</x:v>
      </x:c>
      <x:c r="F394" s="290" t="str">
        <x:v>首饰盒1</x:v>
      </x:c>
      <x:c r="G394" s="289" t="n">
        <x:v>22</x:v>
      </x:c>
      <x:c r="H394" s="289" t="n">
        <x:v>30</x:v>
      </x:c>
      <x:c r="I394" s="289" t="n">
        <x:v>6413</x:v>
      </x:c>
      <x:c r="J394" s="289" t="n">
        <x:v>0</x:v>
      </x:c>
      <x:c r="K394" s="289" t="n">
        <x:v>2</x:v>
      </x:c>
      <x:c r="L394" s="289" t="n">
        <x:v>1</x:v>
      </x:c>
      <x:c r="M394" s="289" t="n">
        <x:v>6413</x:v>
      </x:c>
      <x:c r="N394" s="289" t="n">
        <x:v>6413</x:v>
      </x:c>
      <x:c r="O394" s="289" t="n">
        <x:v>6413</x:v>
      </x:c>
      <x:c r="P394" s="292"/>
      <x:c r="Q394" s="292" t="str">
        <x:v>candidate-preflight-passed</x:v>
      </x:c>
      <x:c r="R394" s="323" t="str">
        <x:v>材料Items已占用：辉石碎晶</x:v>
      </x:c>
      <x:c r="S394" s="292" t="str">
        <x:v>玄渊二十套全装备代码总表.xlsx</x:v>
      </x:c>
      <x:c r="T394" s="292" t="str">
        <x:v>玄渊20套全装备视觉候选；Items/StateItem/DnItems三库同码；属性待策划填写；OverLap=2; Expand1=1</x:v>
      </x:c>
      <x:c r="U394" t="str">
        <x:f>IF(COUNTIF($B$2:$B$1076,B394)&gt;1,"重复","")</x:f>
      </x:c>
      <x:c r="V394" t="str">
        <x:f>IF(AND(OR(M394="",M394=B394),OR(N394="",N394=B394),OR(O394="",O394=B394)),"通过","不一致")</x:f>
        <x:v>通过</x:v>
      </x:c>
    </x:row>
    <x:row r="395" ht="22" customHeight="1">
      <x:c r="A395" s="289" t="n">
        <x:v>394</x:v>
      </x:c>
      <x:c r="B395" s="289" t="n">
        <x:v>6414</x:v>
      </x:c>
      <x:c r="C395" s="290" t="str">
        <x:v>黄金圣树·初誓</x:v>
      </x:c>
      <x:c r="D395" s="290" t="str">
        <x:v>黄金圣树</x:v>
      </x:c>
      <x:c r="E395" s="290" t="n">
        <x:v>1</x:v>
      </x:c>
      <x:c r="F395" s="290" t="str">
        <x:v>首饰盒2</x:v>
      </x:c>
      <x:c r="G395" s="289" t="n">
        <x:v>22</x:v>
      </x:c>
      <x:c r="H395" s="289" t="n">
        <x:v>31</x:v>
      </x:c>
      <x:c r="I395" s="289" t="n">
        <x:v>6414</x:v>
      </x:c>
      <x:c r="J395" s="289" t="n">
        <x:v>0</x:v>
      </x:c>
      <x:c r="K395" s="289" t="n">
        <x:v>2</x:v>
      </x:c>
      <x:c r="L395" s="289" t="n">
        <x:v>2</x:v>
      </x:c>
      <x:c r="M395" s="289" t="n">
        <x:v>6414</x:v>
      </x:c>
      <x:c r="N395" s="289" t="n">
        <x:v>6414</x:v>
      </x:c>
      <x:c r="O395" s="289" t="n">
        <x:v>6414</x:v>
      </x:c>
      <x:c r="P395" s="292"/>
      <x:c r="Q395" s="292" t="str">
        <x:v>candidate-preflight-passed</x:v>
      </x:c>
      <x:c r="R395" s="323" t="str">
        <x:v>材料Items已占用：卡利亚月露</x:v>
      </x:c>
      <x:c r="S395" s="292" t="str">
        <x:v>玄渊二十套全装备代码总表.xlsx</x:v>
      </x:c>
      <x:c r="T395" s="292" t="str">
        <x:v>玄渊20套全装备视觉候选；Items/StateItem/DnItems三库同码；属性待策划填写；OverLap=2; Expand1=2</x:v>
      </x:c>
      <x:c r="U395" t="str">
        <x:f>IF(COUNTIF($B$2:$B$1076,B395)&gt;1,"重复","")</x:f>
      </x:c>
      <x:c r="V395" t="str">
        <x:f>IF(AND(OR(M395="",M395=B395),OR(N395="",N395=B395),OR(O395="",O395=B395)),"通过","不一致")</x:f>
        <x:v>通过</x:v>
      </x:c>
    </x:row>
    <x:row r="396" ht="22" customHeight="1">
      <x:c r="A396" s="289" t="n">
        <x:v>395</x:v>
      </x:c>
      <x:c r="B396" s="289" t="n">
        <x:v>6415</x:v>
      </x:c>
      <x:c r="C396" s="290" t="str">
        <x:v>黄金圣树·初誓</x:v>
      </x:c>
      <x:c r="D396" s="290" t="str">
        <x:v>黄金圣树</x:v>
      </x:c>
      <x:c r="E396" s="290" t="n">
        <x:v>1</x:v>
      </x:c>
      <x:c r="F396" s="290" t="str">
        <x:v>首饰盒3</x:v>
      </x:c>
      <x:c r="G396" s="289" t="n">
        <x:v>22</x:v>
      </x:c>
      <x:c r="H396" s="289" t="n">
        <x:v>32</x:v>
      </x:c>
      <x:c r="I396" s="289" t="n">
        <x:v>6415</x:v>
      </x:c>
      <x:c r="J396" s="289" t="n">
        <x:v>0</x:v>
      </x:c>
      <x:c r="K396" s="289" t="n">
        <x:v>2</x:v>
      </x:c>
      <x:c r="L396" s="289" t="n">
        <x:v>3</x:v>
      </x:c>
      <x:c r="M396" s="289" t="n">
        <x:v>6415</x:v>
      </x:c>
      <x:c r="N396" s="289" t="n">
        <x:v>6415</x:v>
      </x:c>
      <x:c r="O396" s="289" t="n">
        <x:v>6415</x:v>
      </x:c>
      <x:c r="P396" s="292"/>
      <x:c r="Q396" s="292" t="str">
        <x:v>candidate-preflight-passed</x:v>
      </x:c>
      <x:c r="R396" s="323" t="str">
        <x:v>材料Items已占用：满月王室印</x:v>
      </x:c>
      <x:c r="S396" s="292" t="str">
        <x:v>玄渊二十套全装备代码总表.xlsx</x:v>
      </x:c>
      <x:c r="T396" s="292" t="str">
        <x:v>玄渊20套全装备视觉候选；Items/StateItem/DnItems三库同码；属性待策划填写；OverLap=2; Expand1=3</x:v>
      </x:c>
      <x:c r="U396" t="str">
        <x:f>IF(COUNTIF($B$2:$B$1076,B396)&gt;1,"重复","")</x:f>
      </x:c>
      <x:c r="V396" t="str">
        <x:f>IF(AND(OR(M396="",M396=B396),OR(N396="",N396=B396),OR(O396="",O396=B396)),"通过","不一致")</x:f>
        <x:v>通过</x:v>
      </x:c>
    </x:row>
    <x:row r="397" ht="22" customHeight="1">
      <x:c r="A397" s="289" t="n">
        <x:v>396</x:v>
      </x:c>
      <x:c r="B397" s="289" t="n">
        <x:v>6416</x:v>
      </x:c>
      <x:c r="C397" s="290" t="str">
        <x:v>黄金圣树·初誓</x:v>
      </x:c>
      <x:c r="D397" s="290" t="str">
        <x:v>黄金圣树</x:v>
      </x:c>
      <x:c r="E397" s="290" t="n">
        <x:v>1</x:v>
      </x:c>
      <x:c r="F397" s="290" t="str">
        <x:v>首饰盒4</x:v>
      </x:c>
      <x:c r="G397" s="289" t="n">
        <x:v>22</x:v>
      </x:c>
      <x:c r="H397" s="289" t="n">
        <x:v>33</x:v>
      </x:c>
      <x:c r="I397" s="289" t="n">
        <x:v>6416</x:v>
      </x:c>
      <x:c r="J397" s="289" t="n">
        <x:v>0</x:v>
      </x:c>
      <x:c r="K397" s="289" t="n">
        <x:v>2</x:v>
      </x:c>
      <x:c r="L397" s="289" t="n">
        <x:v>4</x:v>
      </x:c>
      <x:c r="M397" s="289" t="n">
        <x:v>6416</x:v>
      </x:c>
      <x:c r="N397" s="289" t="n">
        <x:v>6416</x:v>
      </x:c>
      <x:c r="O397" s="289" t="n">
        <x:v>6416</x:v>
      </x:c>
      <x:c r="P397" s="292"/>
      <x:c r="Q397" s="292" t="str">
        <x:v>candidate-preflight-passed</x:v>
      </x:c>
      <x:c r="R397" s="323" t="str">
        <x:v>材料Items已占用：猩红矿渣</x:v>
      </x:c>
      <x:c r="S397" s="292" t="str">
        <x:v>玄渊二十套全装备代码总表.xlsx</x:v>
      </x:c>
      <x:c r="T397" s="292" t="str">
        <x:v>玄渊20套全装备视觉候选；Items/StateItem/DnItems三库同码；属性待策划填写；OverLap=2; Expand1=4</x:v>
      </x:c>
      <x:c r="U397" t="str">
        <x:f>IF(COUNTIF($B$2:$B$1076,B397)&gt;1,"重复","")</x:f>
      </x:c>
      <x:c r="V397" t="str">
        <x:f>IF(AND(OR(M397="",M397=B397),OR(N397="",N397=B397),OR(O397="",O397=B397)),"通过","不一致")</x:f>
        <x:v>通过</x:v>
      </x:c>
    </x:row>
    <x:row r="398" ht="22" customHeight="1">
      <x:c r="A398" s="289" t="n">
        <x:v>397</x:v>
      </x:c>
      <x:c r="B398" s="289" t="n">
        <x:v>6417</x:v>
      </x:c>
      <x:c r="C398" s="290" t="str">
        <x:v>黄金圣树·初誓</x:v>
      </x:c>
      <x:c r="D398" s="290" t="str">
        <x:v>黄金圣树</x:v>
      </x:c>
      <x:c r="E398" s="290" t="n">
        <x:v>1</x:v>
      </x:c>
      <x:c r="F398" s="290" t="str">
        <x:v>首饰盒5</x:v>
      </x:c>
      <x:c r="G398" s="289" t="n">
        <x:v>22</x:v>
      </x:c>
      <x:c r="H398" s="289" t="n">
        <x:v>34</x:v>
      </x:c>
      <x:c r="I398" s="289" t="n">
        <x:v>6417</x:v>
      </x:c>
      <x:c r="J398" s="289" t="n">
        <x:v>0</x:v>
      </x:c>
      <x:c r="K398" s="289" t="n">
        <x:v>2</x:v>
      </x:c>
      <x:c r="L398" s="289" t="n">
        <x:v>5</x:v>
      </x:c>
      <x:c r="M398" s="289" t="n">
        <x:v>6417</x:v>
      </x:c>
      <x:c r="N398" s="289" t="n">
        <x:v>6417</x:v>
      </x:c>
      <x:c r="O398" s="289" t="n">
        <x:v>6417</x:v>
      </x:c>
      <x:c r="P398" s="292"/>
      <x:c r="Q398" s="292" t="str">
        <x:v>candidate-preflight-passed</x:v>
      </x:c>
      <x:c r="R398" s="323" t="str">
        <x:v>材料Items已占用：龙火鳞</x:v>
      </x:c>
      <x:c r="S398" s="292" t="str">
        <x:v>玄渊二十套全装备代码总表.xlsx</x:v>
      </x:c>
      <x:c r="T398" s="292" t="str">
        <x:v>玄渊20套全装备视觉候选；Items/StateItem/DnItems三库同码；属性待策划填写；OverLap=2; Expand1=5</x:v>
      </x:c>
      <x:c r="U398" t="str">
        <x:f>IF(COUNTIF($B$2:$B$1076,B398)&gt;1,"重复","")</x:f>
      </x:c>
      <x:c r="V398" t="str">
        <x:f>IF(AND(OR(M398="",M398=B398),OR(N398="",N398=B398),OR(O398="",O398=B398)),"通过","不一致")</x:f>
        <x:v>通过</x:v>
      </x:c>
    </x:row>
    <x:row r="399" ht="22" customHeight="1">
      <x:c r="A399" s="289" t="n">
        <x:v>398</x:v>
      </x:c>
      <x:c r="B399" s="289" t="n">
        <x:v>6418</x:v>
      </x:c>
      <x:c r="C399" s="290" t="str">
        <x:v>黄金圣树·初誓</x:v>
      </x:c>
      <x:c r="D399" s="290" t="str">
        <x:v>黄金圣树</x:v>
      </x:c>
      <x:c r="E399" s="290" t="n">
        <x:v>1</x:v>
      </x:c>
      <x:c r="F399" s="290" t="str">
        <x:v>首饰盒6</x:v>
      </x:c>
      <x:c r="G399" s="289" t="n">
        <x:v>22</x:v>
      </x:c>
      <x:c r="H399" s="289" t="n">
        <x:v>35</x:v>
      </x:c>
      <x:c r="I399" s="289" t="n">
        <x:v>6418</x:v>
      </x:c>
      <x:c r="J399" s="289" t="n">
        <x:v>0</x:v>
      </x:c>
      <x:c r="K399" s="289" t="n">
        <x:v>2</x:v>
      </x:c>
      <x:c r="L399" s="289" t="n">
        <x:v>6</x:v>
      </x:c>
      <x:c r="M399" s="289" t="n">
        <x:v>6418</x:v>
      </x:c>
      <x:c r="N399" s="289" t="n">
        <x:v>6418</x:v>
      </x:c>
      <x:c r="O399" s="289" t="n">
        <x:v>6418</x:v>
      </x:c>
      <x:c r="P399" s="292"/>
      <x:c r="Q399" s="292" t="str">
        <x:v>candidate-preflight-passed</x:v>
      </x:c>
      <x:c r="R399" s="323" t="str">
        <x:v>材料Items已占用：红狮战印</x:v>
      </x:c>
      <x:c r="S399" s="292" t="str">
        <x:v>玄渊二十套全装备代码总表.xlsx</x:v>
      </x:c>
      <x:c r="T399" s="292" t="str">
        <x:v>玄渊20套全装备视觉候选；Items/StateItem/DnItems三库同码；属性待策划填写；OverLap=2; Expand1=6</x:v>
      </x:c>
      <x:c r="U399" t="str">
        <x:f>IF(COUNTIF($B$2:$B$1076,B399)&gt;1,"重复","")</x:f>
      </x:c>
      <x:c r="V399" t="str">
        <x:f>IF(AND(OR(M399="",M399=B399),OR(N399="",N399=B399),OR(O399="",O399=B399)),"通过","不一致")</x:f>
        <x:v>通过</x:v>
      </x:c>
    </x:row>
    <x:row r="400" ht="22" customHeight="1">
      <x:c r="A400" s="289" t="n">
        <x:v>399</x:v>
      </x:c>
      <x:c r="B400" s="289" t="n">
        <x:v>6419</x:v>
      </x:c>
      <x:c r="C400" s="290" t="str">
        <x:v>黄金圣树·初誓</x:v>
      </x:c>
      <x:c r="D400" s="290" t="str">
        <x:v>黄金圣树</x:v>
      </x:c>
      <x:c r="E400" s="290" t="n">
        <x:v>1</x:v>
      </x:c>
      <x:c r="F400" s="290" t="str">
        <x:v>生肖1</x:v>
      </x:c>
      <x:c r="G400" s="289" t="n">
        <x:v>22</x:v>
      </x:c>
      <x:c r="H400" s="289" t="n">
        <x:v>40</x:v>
      </x:c>
      <x:c r="I400" s="289" t="n">
        <x:v>6419</x:v>
      </x:c>
      <x:c r="J400" s="289" t="n">
        <x:v>0</x:v>
      </x:c>
      <x:c r="K400" s="289" t="n">
        <x:v>4</x:v>
      </x:c>
      <x:c r="L400" s="289" t="n">
        <x:v>1</x:v>
      </x:c>
      <x:c r="M400" s="289" t="n">
        <x:v>6419</x:v>
      </x:c>
      <x:c r="N400" s="289" t="n">
        <x:v>6419</x:v>
      </x:c>
      <x:c r="O400" s="289" t="n">
        <x:v>6419</x:v>
      </x:c>
      <x:c r="P400" s="292"/>
      <x:c r="Q400" s="292" t="str">
        <x:v>candidate-preflight-passed</x:v>
      </x:c>
      <x:c r="R400" s="323" t="str">
        <x:v>材料Items已占用：冻晶尘</x:v>
      </x:c>
      <x:c r="S400" s="292" t="str">
        <x:v>玄渊二十套全装备代码总表.xlsx</x:v>
      </x:c>
      <x:c r="T400" s="292" t="str">
        <x:v>玄渊20套全装备视觉候选；Items/StateItem/DnItems三库同码；属性待策划填写；OverLap=4; Expand1=1</x:v>
      </x:c>
      <x:c r="U400" t="str">
        <x:f>IF(COUNTIF($B$2:$B$1076,B400)&gt;1,"重复","")</x:f>
      </x:c>
      <x:c r="V400" t="str">
        <x:f>IF(AND(OR(M400="",M400=B400),OR(N400="",N400=B400),OR(O400="",O400=B400)),"通过","不一致")</x:f>
        <x:v>通过</x:v>
      </x:c>
    </x:row>
    <x:row r="401" ht="22" customHeight="1">
      <x:c r="A401" s="289" t="n">
        <x:v>400</x:v>
      </x:c>
      <x:c r="B401" s="289" t="n">
        <x:v>6420</x:v>
      </x:c>
      <x:c r="C401" s="290" t="str">
        <x:v>黄金圣树·初誓</x:v>
      </x:c>
      <x:c r="D401" s="290" t="str">
        <x:v>黄金圣树</x:v>
      </x:c>
      <x:c r="E401" s="290" t="n">
        <x:v>1</x:v>
      </x:c>
      <x:c r="F401" s="290" t="str">
        <x:v>生肖2</x:v>
      </x:c>
      <x:c r="G401" s="289" t="n">
        <x:v>22</x:v>
      </x:c>
      <x:c r="H401" s="289" t="n">
        <x:v>41</x:v>
      </x:c>
      <x:c r="I401" s="289" t="n">
        <x:v>6420</x:v>
      </x:c>
      <x:c r="J401" s="289" t="n">
        <x:v>0</x:v>
      </x:c>
      <x:c r="K401" s="289" t="n">
        <x:v>4</x:v>
      </x:c>
      <x:c r="L401" s="289" t="n">
        <x:v>2</x:v>
      </x:c>
      <x:c r="M401" s="289" t="n">
        <x:v>6420</x:v>
      </x:c>
      <x:c r="N401" s="289" t="n">
        <x:v>6420</x:v>
      </x:c>
      <x:c r="O401" s="289" t="n">
        <x:v>6420</x:v>
      </x:c>
      <x:c r="P401" s="292"/>
      <x:c r="Q401" s="292" t="str">
        <x:v>candidate-preflight-passed</x:v>
      </x:c>
      <x:c r="R401" s="323" t="str">
        <x:v>材料Items已占用：白金纺线</x:v>
      </x:c>
      <x:c r="S401" s="292" t="str">
        <x:v>玄渊二十套全装备代码总表.xlsx</x:v>
      </x:c>
      <x:c r="T401" s="292" t="str">
        <x:v>玄渊20套全装备视觉候选；Items/StateItem/DnItems三库同码；属性待策划填写；OverLap=4; Expand1=2</x:v>
      </x:c>
      <x:c r="U401" t="str">
        <x:f>IF(COUNTIF($B$2:$B$1076,B401)&gt;1,"重复","")</x:f>
      </x:c>
      <x:c r="V401" t="str">
        <x:f>IF(AND(OR(M401="",M401=B401),OR(N401="",N401=B401),OR(O401="",O401=B401)),"通过","不一致")</x:f>
        <x:v>通过</x:v>
      </x:c>
    </x:row>
    <x:row r="402" ht="22" customHeight="1">
      <x:c r="A402" s="289" t="n">
        <x:v>401</x:v>
      </x:c>
      <x:c r="B402" s="289" t="n">
        <x:v>6421</x:v>
      </x:c>
      <x:c r="C402" s="290" t="str">
        <x:v>黄金圣树·初誓</x:v>
      </x:c>
      <x:c r="D402" s="290" t="str">
        <x:v>黄金圣树</x:v>
      </x:c>
      <x:c r="E402" s="290" t="n">
        <x:v>1</x:v>
      </x:c>
      <x:c r="F402" s="290" t="str">
        <x:v>生肖3</x:v>
      </x:c>
      <x:c r="G402" s="289" t="n">
        <x:v>22</x:v>
      </x:c>
      <x:c r="H402" s="289" t="n">
        <x:v>42</x:v>
      </x:c>
      <x:c r="I402" s="289" t="n">
        <x:v>6421</x:v>
      </x:c>
      <x:c r="J402" s="289" t="n">
        <x:v>0</x:v>
      </x:c>
      <x:c r="K402" s="289" t="n">
        <x:v>4</x:v>
      </x:c>
      <x:c r="L402" s="289" t="n">
        <x:v>3</x:v>
      </x:c>
      <x:c r="M402" s="289" t="n">
        <x:v>6421</x:v>
      </x:c>
      <x:c r="N402" s="289" t="n">
        <x:v>6421</x:v>
      </x:c>
      <x:c r="O402" s="289" t="n">
        <x:v>6421</x:v>
      </x:c>
      <x:c r="P402" s="292"/>
      <x:c r="Q402" s="292" t="str">
        <x:v>candidate-preflight-passed</x:v>
      </x:c>
      <x:c r="R402" s="323" t="str">
        <x:v>材料Items已占用：圣雪誓印</x:v>
      </x:c>
      <x:c r="S402" s="292" t="str">
        <x:v>玄渊二十套全装备代码总表.xlsx</x:v>
      </x:c>
      <x:c r="T402" s="292" t="str">
        <x:v>玄渊20套全装备视觉候选；Items/StateItem/DnItems三库同码；属性待策划填写；OverLap=4; Expand1=3</x:v>
      </x:c>
      <x:c r="U402" t="str">
        <x:f>IF(COUNTIF($B$2:$B$1076,B402)&gt;1,"重复","")</x:f>
      </x:c>
      <x:c r="V402" t="str">
        <x:f>IF(AND(OR(M402="",M402=B402),OR(N402="",N402=B402),OR(O402="",O402=B402)),"通过","不一致")</x:f>
        <x:v>通过</x:v>
      </x:c>
    </x:row>
    <x:row r="403" ht="22" customHeight="1">
      <x:c r="A403" s="289" t="n">
        <x:v>402</x:v>
      </x:c>
      <x:c r="B403" s="289" t="n">
        <x:v>6422</x:v>
      </x:c>
      <x:c r="C403" s="290" t="str">
        <x:v>黄金圣树·初誓</x:v>
      </x:c>
      <x:c r="D403" s="290" t="str">
        <x:v>黄金圣树</x:v>
      </x:c>
      <x:c r="E403" s="290" t="n">
        <x:v>1</x:v>
      </x:c>
      <x:c r="F403" s="290" t="str">
        <x:v>生肖4</x:v>
      </x:c>
      <x:c r="G403" s="289" t="n">
        <x:v>22</x:v>
      </x:c>
      <x:c r="H403" s="289" t="n">
        <x:v>43</x:v>
      </x:c>
      <x:c r="I403" s="289" t="n">
        <x:v>6422</x:v>
      </x:c>
      <x:c r="J403" s="289" t="n">
        <x:v>0</x:v>
      </x:c>
      <x:c r="K403" s="289" t="n">
        <x:v>4</x:v>
      </x:c>
      <x:c r="L403" s="289" t="n">
        <x:v>4</x:v>
      </x:c>
      <x:c r="M403" s="289" t="n">
        <x:v>6422</x:v>
      </x:c>
      <x:c r="N403" s="289" t="n">
        <x:v>6422</x:v>
      </x:c>
      <x:c r="O403" s="289" t="n">
        <x:v>6422</x:v>
      </x:c>
      <x:c r="P403" s="292"/>
      <x:c r="Q403" s="292" t="str">
        <x:v>candidate-preflight-passed</x:v>
      </x:c>
      <x:c r="R403" s="323" t="str">
        <x:v>材料Items已占用：霜脊铁</x:v>
      </x:c>
      <x:c r="S403" s="292" t="str">
        <x:v>玄渊二十套全装备代码总表.xlsx</x:v>
      </x:c>
      <x:c r="T403" s="292" t="str">
        <x:v>玄渊20套全装备视觉候选；Items/StateItem/DnItems三库同码；属性待策划填写；OverLap=4; Expand1=4</x:v>
      </x:c>
      <x:c r="U403" t="str">
        <x:f>IF(COUNTIF($B$2:$B$1076,B403)&gt;1,"重复","")</x:f>
      </x:c>
      <x:c r="V403" t="str">
        <x:f>IF(AND(OR(M403="",M403=B403),OR(N403="",N403=B403),OR(O403="",O403=B403)),"通过","不一致")</x:f>
        <x:v>通过</x:v>
      </x:c>
    </x:row>
    <x:row r="404" ht="22" customHeight="1">
      <x:c r="A404" s="289" t="n">
        <x:v>403</x:v>
      </x:c>
      <x:c r="B404" s="289" t="n">
        <x:v>6423</x:v>
      </x:c>
      <x:c r="C404" s="290" t="str">
        <x:v>黄金圣树·初誓</x:v>
      </x:c>
      <x:c r="D404" s="290" t="str">
        <x:v>黄金圣树</x:v>
      </x:c>
      <x:c r="E404" s="290" t="n">
        <x:v>1</x:v>
      </x:c>
      <x:c r="F404" s="290" t="str">
        <x:v>生肖5</x:v>
      </x:c>
      <x:c r="G404" s="289" t="n">
        <x:v>22</x:v>
      </x:c>
      <x:c r="H404" s="289" t="n">
        <x:v>44</x:v>
      </x:c>
      <x:c r="I404" s="289" t="n">
        <x:v>6423</x:v>
      </x:c>
      <x:c r="J404" s="289" t="n">
        <x:v>0</x:v>
      </x:c>
      <x:c r="K404" s="289" t="n">
        <x:v>4</x:v>
      </x:c>
      <x:c r="L404" s="289" t="n">
        <x:v>5</x:v>
      </x:c>
      <x:c r="M404" s="289" t="n">
        <x:v>6423</x:v>
      </x:c>
      <x:c r="N404" s="289" t="n">
        <x:v>6423</x:v>
      </x:c>
      <x:c r="O404" s="289" t="n">
        <x:v>6423</x:v>
      </x:c>
      <x:c r="P404" s="292"/>
      <x:c r="Q404" s="292" t="str">
        <x:v>candidate-preflight-passed</x:v>
      </x:c>
      <x:c r="R404" s="323" t="str">
        <x:v>材料Items已占用：巨人火种</x:v>
      </x:c>
      <x:c r="S404" s="292" t="str">
        <x:v>玄渊二十套全装备代码总表.xlsx</x:v>
      </x:c>
      <x:c r="T404" s="292" t="str">
        <x:v>玄渊20套全装备视觉候选；Items/StateItem/DnItems三库同码；属性待策划填写；OverLap=4; Expand1=5</x:v>
      </x:c>
      <x:c r="U404" t="str">
        <x:f>IF(COUNTIF($B$2:$B$1076,B404)&gt;1,"重复","")</x:f>
      </x:c>
      <x:c r="V404" t="str">
        <x:f>IF(AND(OR(M404="",M404=B404),OR(N404="",N404=B404),OR(O404="",O404=B404)),"通过","不一致")</x:f>
        <x:v>通过</x:v>
      </x:c>
    </x:row>
    <x:row r="405" ht="22" customHeight="1">
      <x:c r="A405" s="289" t="n">
        <x:v>404</x:v>
      </x:c>
      <x:c r="B405" s="289" t="n">
        <x:v>6424</x:v>
      </x:c>
      <x:c r="C405" s="290" t="str">
        <x:v>黄金圣树·初誓</x:v>
      </x:c>
      <x:c r="D405" s="290" t="str">
        <x:v>黄金圣树</x:v>
      </x:c>
      <x:c r="E405" s="290" t="n">
        <x:v>1</x:v>
      </x:c>
      <x:c r="F405" s="290" t="str">
        <x:v>生肖6</x:v>
      </x:c>
      <x:c r="G405" s="289" t="n">
        <x:v>22</x:v>
      </x:c>
      <x:c r="H405" s="289" t="n">
        <x:v>45</x:v>
      </x:c>
      <x:c r="I405" s="289" t="n">
        <x:v>6424</x:v>
      </x:c>
      <x:c r="J405" s="289" t="n">
        <x:v>0</x:v>
      </x:c>
      <x:c r="K405" s="289" t="n">
        <x:v>4</x:v>
      </x:c>
      <x:c r="L405" s="289" t="n">
        <x:v>6</x:v>
      </x:c>
      <x:c r="M405" s="289" t="n">
        <x:v>6424</x:v>
      </x:c>
      <x:c r="N405" s="289" t="n">
        <x:v>6424</x:v>
      </x:c>
      <x:c r="O405" s="289" t="n">
        <x:v>6424</x:v>
      </x:c>
      <x:c r="P405" s="292"/>
      <x:c r="Q405" s="292" t="str">
        <x:v>candidate-preflight-passed</x:v>
      </x:c>
      <x:c r="R405" s="323" t="str">
        <x:v>材料Items已占用：巨人火印</x:v>
      </x:c>
      <x:c r="S405" s="292" t="str">
        <x:v>玄渊二十套全装备代码总表.xlsx</x:v>
      </x:c>
      <x:c r="T405" s="292" t="str">
        <x:v>玄渊20套全装备视觉候选；Items/StateItem/DnItems三库同码；属性待策划填写；OverLap=4; Expand1=6</x:v>
      </x:c>
      <x:c r="U405" t="str">
        <x:f>IF(COUNTIF($B$2:$B$1076,B405)&gt;1,"重复","")</x:f>
      </x:c>
      <x:c r="V405" t="str">
        <x:f>IF(AND(OR(M405="",M405=B405),OR(N405="",N405=B405),OR(O405="",O405=B405)),"通过","不一致")</x:f>
        <x:v>通过</x:v>
      </x:c>
    </x:row>
    <x:row r="406" ht="22" customHeight="1">
      <x:c r="A406" s="289" t="n">
        <x:v>405</x:v>
      </x:c>
      <x:c r="B406" s="289" t="n">
        <x:v>6425</x:v>
      </x:c>
      <x:c r="C406" s="290" t="str">
        <x:v>黄金圣树·初誓</x:v>
      </x:c>
      <x:c r="D406" s="290" t="str">
        <x:v>黄金圣树</x:v>
      </x:c>
      <x:c r="E406" s="290" t="n">
        <x:v>1</x:v>
      </x:c>
      <x:c r="F406" s="290" t="str">
        <x:v>生肖7</x:v>
      </x:c>
      <x:c r="G406" s="289" t="n">
        <x:v>22</x:v>
      </x:c>
      <x:c r="H406" s="289" t="n">
        <x:v>46</x:v>
      </x:c>
      <x:c r="I406" s="289" t="n">
        <x:v>6425</x:v>
      </x:c>
      <x:c r="J406" s="289" t="n">
        <x:v>0</x:v>
      </x:c>
      <x:c r="K406" s="289" t="n">
        <x:v>4</x:v>
      </x:c>
      <x:c r="L406" s="289" t="n">
        <x:v>7</x:v>
      </x:c>
      <x:c r="M406" s="289" t="n">
        <x:v>6425</x:v>
      </x:c>
      <x:c r="N406" s="289" t="n">
        <x:v>6425</x:v>
      </x:c>
      <x:c r="O406" s="289" t="n">
        <x:v>6425</x:v>
      </x:c>
      <x:c r="P406" s="292"/>
      <x:c r="Q406" s="292" t="str">
        <x:v>candidate-preflight-passed</x:v>
      </x:c>
      <x:c r="R406" s="323" t="str">
        <x:v>材料Items已占用：黄金叶脉</x:v>
      </x:c>
      <x:c r="S406" s="292" t="str">
        <x:v>玄渊二十套全装备代码总表.xlsx</x:v>
      </x:c>
      <x:c r="T406" s="292" t="str">
        <x:v>玄渊20套全装备视觉候选；Items/StateItem/DnItems三库同码；属性待策划填写；OverLap=4; Expand1=7</x:v>
      </x:c>
      <x:c r="U406" t="str">
        <x:f>IF(COUNTIF($B$2:$B$1076,B406)&gt;1,"重复","")</x:f>
      </x:c>
      <x:c r="V406" t="str">
        <x:f>IF(AND(OR(M406="",M406=B406),OR(N406="",N406=B406),OR(O406="",O406=B406)),"通过","不一致")</x:f>
        <x:v>通过</x:v>
      </x:c>
    </x:row>
    <x:row r="407" ht="22" customHeight="1">
      <x:c r="A407" s="289" t="n">
        <x:v>406</x:v>
      </x:c>
      <x:c r="B407" s="289" t="n">
        <x:v>6426</x:v>
      </x:c>
      <x:c r="C407" s="290" t="str">
        <x:v>黄金圣树·初誓</x:v>
      </x:c>
      <x:c r="D407" s="290" t="str">
        <x:v>黄金圣树</x:v>
      </x:c>
      <x:c r="E407" s="290" t="n">
        <x:v>1</x:v>
      </x:c>
      <x:c r="F407" s="290" t="str">
        <x:v>生肖8</x:v>
      </x:c>
      <x:c r="G407" s="289" t="n">
        <x:v>22</x:v>
      </x:c>
      <x:c r="H407" s="289" t="n">
        <x:v>47</x:v>
      </x:c>
      <x:c r="I407" s="289" t="n">
        <x:v>6426</x:v>
      </x:c>
      <x:c r="J407" s="289" t="n">
        <x:v>0</x:v>
      </x:c>
      <x:c r="K407" s="289" t="n">
        <x:v>4</x:v>
      </x:c>
      <x:c r="L407" s="289" t="n">
        <x:v>8</x:v>
      </x:c>
      <x:c r="M407" s="289" t="n">
        <x:v>6426</x:v>
      </x:c>
      <x:c r="N407" s="289" t="n">
        <x:v>6426</x:v>
      </x:c>
      <x:c r="O407" s="289" t="n">
        <x:v>6426</x:v>
      </x:c>
      <x:c r="P407" s="292"/>
      <x:c r="Q407" s="292" t="str">
        <x:v>candidate-preflight-passed</x:v>
      </x:c>
      <x:c r="R407" s="323" t="str">
        <x:v>材料Items已占用：古王律页</x:v>
      </x:c>
      <x:c r="S407" s="292" t="str">
        <x:v>玄渊二十套全装备代码总表.xlsx</x:v>
      </x:c>
      <x:c r="T407" s="292" t="str">
        <x:v>玄渊20套全装备视觉候选；Items/StateItem/DnItems三库同码；属性待策划填写；OverLap=4; Expand1=8</x:v>
      </x:c>
      <x:c r="U407" t="str">
        <x:f>IF(COUNTIF($B$2:$B$1076,B407)&gt;1,"重复","")</x:f>
      </x:c>
      <x:c r="V407" t="str">
        <x:f>IF(AND(OR(M407="",M407=B407),OR(N407="",N407=B407),OR(O407="",O407=B407)),"通过","不一致")</x:f>
        <x:v>通过</x:v>
      </x:c>
    </x:row>
    <x:row r="408" ht="22" customHeight="1">
      <x:c r="A408" s="289" t="n">
        <x:v>407</x:v>
      </x:c>
      <x:c r="B408" s="289" t="n">
        <x:v>6427</x:v>
      </x:c>
      <x:c r="C408" s="290" t="str">
        <x:v>黄金圣树·初誓</x:v>
      </x:c>
      <x:c r="D408" s="290" t="str">
        <x:v>黄金圣树</x:v>
      </x:c>
      <x:c r="E408" s="290" t="n">
        <x:v>1</x:v>
      </x:c>
      <x:c r="F408" s="290" t="str">
        <x:v>生肖9</x:v>
      </x:c>
      <x:c r="G408" s="289" t="n">
        <x:v>22</x:v>
      </x:c>
      <x:c r="H408" s="289" t="n">
        <x:v>48</x:v>
      </x:c>
      <x:c r="I408" s="289" t="n">
        <x:v>6427</x:v>
      </x:c>
      <x:c r="J408" s="289" t="n">
        <x:v>0</x:v>
      </x:c>
      <x:c r="K408" s="289" t="n">
        <x:v>4</x:v>
      </x:c>
      <x:c r="L408" s="289" t="n">
        <x:v>9</x:v>
      </x:c>
      <x:c r="M408" s="289" t="n">
        <x:v>6427</x:v>
      </x:c>
      <x:c r="N408" s="289" t="n">
        <x:v>6427</x:v>
      </x:c>
      <x:c r="O408" s="289" t="n">
        <x:v>6427</x:v>
      </x:c>
      <x:c r="P408" s="292"/>
      <x:c r="Q408" s="292" t="str">
        <x:v>candidate-preflight-passed</x:v>
      </x:c>
      <x:c r="R408" s="323" t="str">
        <x:v>材料Items已占用：黄金律印</x:v>
      </x:c>
      <x:c r="S408" s="292" t="str">
        <x:v>玄渊二十套全装备代码总表.xlsx</x:v>
      </x:c>
      <x:c r="T408" s="292" t="str">
        <x:v>玄渊20套全装备视觉候选；Items/StateItem/DnItems三库同码；属性待策划填写；OverLap=4; Expand1=9</x:v>
      </x:c>
      <x:c r="U408" t="str">
        <x:f>IF(COUNTIF($B$2:$B$1076,B408)&gt;1,"重复","")</x:f>
      </x:c>
      <x:c r="V408" t="str">
        <x:f>IF(AND(OR(M408="",M408=B408),OR(N408="",N408=B408),OR(O408="",O408=B408)),"通过","不一致")</x:f>
        <x:v>通过</x:v>
      </x:c>
    </x:row>
    <x:row r="409" ht="22" customHeight="1">
      <x:c r="A409" s="289" t="n">
        <x:v>408</x:v>
      </x:c>
      <x:c r="B409" s="289" t="n">
        <x:v>6428</x:v>
      </x:c>
      <x:c r="C409" s="290" t="str">
        <x:v>黄金圣树·初誓</x:v>
      </x:c>
      <x:c r="D409" s="290" t="str">
        <x:v>黄金圣树</x:v>
      </x:c>
      <x:c r="E409" s="290" t="n">
        <x:v>1</x:v>
      </x:c>
      <x:c r="F409" s="290" t="str">
        <x:v>生肖10</x:v>
      </x:c>
      <x:c r="G409" s="289" t="n">
        <x:v>22</x:v>
      </x:c>
      <x:c r="H409" s="289" t="n">
        <x:v>49</x:v>
      </x:c>
      <x:c r="I409" s="289" t="n">
        <x:v>6428</x:v>
      </x:c>
      <x:c r="J409" s="289" t="n">
        <x:v>0</x:v>
      </x:c>
      <x:c r="K409" s="289" t="n">
        <x:v>4</x:v>
      </x:c>
      <x:c r="L409" s="289" t="n">
        <x:v>10</x:v>
      </x:c>
      <x:c r="M409" s="289" t="n">
        <x:v>6428</x:v>
      </x:c>
      <x:c r="N409" s="289" t="n">
        <x:v>6428</x:v>
      </x:c>
      <x:c r="O409" s="289" t="n">
        <x:v>6428</x:v>
      </x:c>
      <x:c r="P409" s="292"/>
      <x:c r="Q409" s="292" t="str">
        <x:v>candidate-preflight-passed</x:v>
      </x:c>
      <x:c r="R409" s="323" t="str">
        <x:v>材料Items已占用：王城金屑</x:v>
      </x:c>
      <x:c r="S409" s="292" t="str">
        <x:v>玄渊二十套全装备代码总表.xlsx</x:v>
      </x:c>
      <x:c r="T409" s="292" t="str">
        <x:v>玄渊20套全装备视觉候选；Items/StateItem/DnItems三库同码；属性待策划填写；OverLap=4; Expand1=10</x:v>
      </x:c>
      <x:c r="U409" t="str">
        <x:f>IF(COUNTIF($B$2:$B$1076,B409)&gt;1,"重复","")</x:f>
      </x:c>
      <x:c r="V409" t="str">
        <x:f>IF(AND(OR(M409="",M409=B409),OR(N409="",N409=B409),OR(O409="",O409=B409)),"通过","不一致")</x:f>
        <x:v>通过</x:v>
      </x:c>
    </x:row>
    <x:row r="410" ht="22" customHeight="1">
      <x:c r="A410" s="289" t="n">
        <x:v>409</x:v>
      </x:c>
      <x:c r="B410" s="289" t="n">
        <x:v>6429</x:v>
      </x:c>
      <x:c r="C410" s="290" t="str">
        <x:v>黄金圣树·初誓</x:v>
      </x:c>
      <x:c r="D410" s="290" t="str">
        <x:v>黄金圣树</x:v>
      </x:c>
      <x:c r="E410" s="290" t="n">
        <x:v>1</x:v>
      </x:c>
      <x:c r="F410" s="290" t="str">
        <x:v>生肖11</x:v>
      </x:c>
      <x:c r="G410" s="289" t="n">
        <x:v>22</x:v>
      </x:c>
      <x:c r="H410" s="289" t="n">
        <x:v>50</x:v>
      </x:c>
      <x:c r="I410" s="289" t="n">
        <x:v>6429</x:v>
      </x:c>
      <x:c r="J410" s="289" t="n">
        <x:v>0</x:v>
      </x:c>
      <x:c r="K410" s="289" t="n">
        <x:v>4</x:v>
      </x:c>
      <x:c r="L410" s="289" t="n">
        <x:v>11</x:v>
      </x:c>
      <x:c r="M410" s="289" t="n">
        <x:v>6429</x:v>
      </x:c>
      <x:c r="N410" s="289" t="n">
        <x:v>6429</x:v>
      </x:c>
      <x:c r="O410" s="289" t="n">
        <x:v>6429</x:v>
      </x:c>
      <x:c r="P410" s="292"/>
      <x:c r="Q410" s="292" t="str">
        <x:v>candidate-preflight-passed</x:v>
      </x:c>
      <x:c r="R410" s="323" t="str">
        <x:v>材料Items已占用：王宫律文</x:v>
      </x:c>
      <x:c r="S410" s="292" t="str">
        <x:v>玄渊二十套全装备代码总表.xlsx</x:v>
      </x:c>
      <x:c r="T410" s="292" t="str">
        <x:v>玄渊20套全装备视觉候选；Items/StateItem/DnItems三库同码；属性待策划填写；OverLap=4; Expand1=11</x:v>
      </x:c>
      <x:c r="U410" t="str">
        <x:f>IF(COUNTIF($B$2:$B$1076,B410)&gt;1,"重复","")</x:f>
      </x:c>
      <x:c r="V410" t="str">
        <x:f>IF(AND(OR(M410="",M410=B410),OR(N410="",N410=B410),OR(O410="",O410=B410)),"通过","不一致")</x:f>
        <x:v>通过</x:v>
      </x:c>
    </x:row>
    <x:row r="411" ht="22" customHeight="1">
      <x:c r="A411" s="289" t="n">
        <x:v>410</x:v>
      </x:c>
      <x:c r="B411" s="289" t="n">
        <x:v>6430</x:v>
      </x:c>
      <x:c r="C411" s="290" t="str">
        <x:v>黄金圣树·初誓</x:v>
      </x:c>
      <x:c r="D411" s="290" t="str">
        <x:v>黄金圣树</x:v>
      </x:c>
      <x:c r="E411" s="290" t="n">
        <x:v>1</x:v>
      </x:c>
      <x:c r="F411" s="290" t="str">
        <x:v>生肖12</x:v>
      </x:c>
      <x:c r="G411" s="289" t="n">
        <x:v>22</x:v>
      </x:c>
      <x:c r="H411" s="289" t="n">
        <x:v>51</x:v>
      </x:c>
      <x:c r="I411" s="289" t="n">
        <x:v>6430</x:v>
      </x:c>
      <x:c r="J411" s="289" t="n">
        <x:v>0</x:v>
      </x:c>
      <x:c r="K411" s="289" t="n">
        <x:v>4</x:v>
      </x:c>
      <x:c r="L411" s="289" t="n">
        <x:v>12</x:v>
      </x:c>
      <x:c r="M411" s="289" t="n">
        <x:v>6430</x:v>
      </x:c>
      <x:c r="N411" s="289" t="n">
        <x:v>6430</x:v>
      </x:c>
      <x:c r="O411" s="289" t="n">
        <x:v>6430</x:v>
      </x:c>
      <x:c r="P411" s="292"/>
      <x:c r="Q411" s="292" t="str">
        <x:v>candidate-preflight-passed</x:v>
      </x:c>
      <x:c r="R411" s="323" t="str">
        <x:v>材料Items已占用：艾尔登王印</x:v>
      </x:c>
      <x:c r="S411" s="292" t="str">
        <x:v>玄渊二十套全装备代码总表.xlsx</x:v>
      </x:c>
      <x:c r="T411" s="292" t="str">
        <x:v>玄渊20套全装备视觉候选；Items/StateItem/DnItems三库同码；属性待策划填写；OverLap=4; Expand1=12</x:v>
      </x:c>
      <x:c r="U411" t="str">
        <x:f>IF(COUNTIF($B$2:$B$1076,B411)&gt;1,"重复","")</x:f>
      </x:c>
      <x:c r="V411" t="str">
        <x:f>IF(AND(OR(M411="",M411=B411),OR(N411="",N411=B411),OR(O411="",O411=B411)),"通过","不一致")</x:f>
        <x:v>通过</x:v>
      </x:c>
    </x:row>
    <x:row r="412" ht="22" customHeight="1">
      <x:c r="A412" s="289" t="n">
        <x:v>411</x:v>
      </x:c>
      <x:c r="B412" s="289" t="n">
        <x:v>6431</x:v>
      </x:c>
      <x:c r="C412" s="290" t="str">
        <x:v>黄金圣树·圣枝</x:v>
      </x:c>
      <x:c r="D412" s="290" t="str">
        <x:v>黄金圣树</x:v>
      </x:c>
      <x:c r="E412" s="290" t="n">
        <x:v>2</x:v>
      </x:c>
      <x:c r="F412" s="290" t="str">
        <x:v>武器</x:v>
      </x:c>
      <x:c r="G412" s="289" t="n">
        <x:v>5</x:v>
      </x:c>
      <x:c r="H412" s="289" t="n">
        <x:v>1</x:v>
      </x:c>
      <x:c r="I412" s="289" t="n">
        <x:v>6431</x:v>
      </x:c>
      <x:c r="J412" s="289" t="n">
        <x:v>15</x:v>
      </x:c>
      <x:c r="K412" s="289" t="n">
        <x:v>0</x:v>
      </x:c>
      <x:c r="L412" s="289" t="n">
        <x:v>0</x:v>
      </x:c>
      <x:c r="M412" s="289" t="n">
        <x:v>6431</x:v>
      </x:c>
      <x:c r="N412" s="289" t="n">
        <x:v>6431</x:v>
      </x:c>
      <x:c r="O412" s="289" t="n">
        <x:v>6431</x:v>
      </x:c>
      <x:c r="P412" s="292" t="str">
        <x:v>Weapon.wzl/wzx（复用现有真实动作）</x:v>
      </x:c>
      <x:c r="Q412" s="292" t="str">
        <x:v>candidate-preflight-passed</x:v>
      </x:c>
      <x:c r="R412" s="323" t="str">
        <x:v>材料Items已占用：裂风崖羽</x:v>
      </x:c>
      <x:c r="S412" s="292" t="str">
        <x:v>玄渊二十套全装备代码总表.xlsx</x:v>
      </x:c>
      <x:c r="T412" s="292" t="str">
        <x:v>玄渊20套全装备视觉候选；Items/StateItem/DnItems三库同码；属性待策划填写；Weapon Shape=15</x:v>
      </x:c>
      <x:c r="U412" t="str">
        <x:f>IF(COUNTIF($B$2:$B$1076,B412)&gt;1,"重复","")</x:f>
      </x:c>
      <x:c r="V412" t="str">
        <x:f>IF(AND(OR(M412="",M412=B412),OR(N412="",N412=B412),OR(O412="",O412=B412)),"通过","不一致")</x:f>
        <x:v>通过</x:v>
      </x:c>
    </x:row>
    <x:row r="413" ht="22" customHeight="1">
      <x:c r="A413" s="289" t="n">
        <x:v>412</x:v>
      </x:c>
      <x:c r="B413" s="289" t="n">
        <x:v>6432</x:v>
      </x:c>
      <x:c r="C413" s="290" t="str">
        <x:v>黄金圣树·圣枝</x:v>
      </x:c>
      <x:c r="D413" s="290" t="str">
        <x:v>黄金圣树</x:v>
      </x:c>
      <x:c r="E413" s="290" t="n">
        <x:v>2</x:v>
      </x:c>
      <x:c r="F413" s="290" t="str">
        <x:v>男衣服</x:v>
      </x:c>
      <x:c r="G413" s="289" t="n">
        <x:v>10</x:v>
      </x:c>
      <x:c r="H413" s="289" t="n">
        <x:v>0</x:v>
      </x:c>
      <x:c r="I413" s="289" t="n">
        <x:v>6432</x:v>
      </x:c>
      <x:c r="J413" s="289" t="n">
        <x:v>2</x:v>
      </x:c>
      <x:c r="K413" s="289" t="n">
        <x:v>0</x:v>
      </x:c>
      <x:c r="L413" s="289" t="n">
        <x:v>0</x:v>
      </x:c>
      <x:c r="M413" s="289" t="n">
        <x:v>6432</x:v>
      </x:c>
      <x:c r="N413" s="289" t="n">
        <x:v>6432</x:v>
      </x:c>
      <x:c r="O413" s="289" t="n">
        <x:v>6432</x:v>
      </x:c>
      <x:c r="P413" s="292" t="str">
        <x:v>Hum.wzl/wzx（复用现有真实动作）</x:v>
      </x:c>
      <x:c r="Q413" s="292" t="str">
        <x:v>candidate-preflight-passed</x:v>
      </x:c>
      <x:c r="R413" s="323" t="str">
        <x:v>材料Items已占用：商队火漆</x:v>
      </x:c>
      <x:c r="S413" s="292" t="str">
        <x:v>玄渊二十套全装备代码总表.xlsx</x:v>
      </x:c>
      <x:c r="T413" s="292" t="str">
        <x:v>玄渊20套全装备视觉候选；Items/StateItem/DnItems三库同码；属性待策划填写；Hum Shape=2</x:v>
      </x:c>
      <x:c r="U413" t="str">
        <x:f>IF(COUNTIF($B$2:$B$1076,B413)&gt;1,"重复","")</x:f>
      </x:c>
      <x:c r="V413" t="str">
        <x:f>IF(AND(OR(M413="",M413=B413),OR(N413="",N413=B413),OR(O413="",O413=B413)),"通过","不一致")</x:f>
        <x:v>通过</x:v>
      </x:c>
    </x:row>
    <x:row r="414" ht="22" customHeight="1">
      <x:c r="A414" s="289" t="n">
        <x:v>413</x:v>
      </x:c>
      <x:c r="B414" s="289" t="n">
        <x:v>6433</x:v>
      </x:c>
      <x:c r="C414" s="290" t="str">
        <x:v>黄金圣树·圣枝</x:v>
      </x:c>
      <x:c r="D414" s="290" t="str">
        <x:v>黄金圣树</x:v>
      </x:c>
      <x:c r="E414" s="290" t="n">
        <x:v>2</x:v>
      </x:c>
      <x:c r="F414" s="290" t="str">
        <x:v>女衣服</x:v>
      </x:c>
      <x:c r="G414" s="289" t="n">
        <x:v>11</x:v>
      </x:c>
      <x:c r="H414" s="289" t="n">
        <x:v>0</x:v>
      </x:c>
      <x:c r="I414" s="289" t="n">
        <x:v>6433</x:v>
      </x:c>
      <x:c r="J414" s="289" t="n">
        <x:v>2</x:v>
      </x:c>
      <x:c r="K414" s="289" t="n">
        <x:v>0</x:v>
      </x:c>
      <x:c r="L414" s="289" t="n">
        <x:v>0</x:v>
      </x:c>
      <x:c r="M414" s="289" t="n">
        <x:v>6433</x:v>
      </x:c>
      <x:c r="N414" s="289" t="n">
        <x:v>6433</x:v>
      </x:c>
      <x:c r="O414" s="289" t="n">
        <x:v>6433</x:v>
      </x:c>
      <x:c r="P414" s="292" t="str">
        <x:v>Hum.wzl/wzx（复用现有真实动作）</x:v>
      </x:c>
      <x:c r="Q414" s="292" t="str">
        <x:v>candidate-preflight-passed</x:v>
      </x:c>
      <x:c r="R414" s="323" t="str">
        <x:v>材料Items已占用：守垒铜钥</x:v>
      </x:c>
      <x:c r="S414" s="292" t="str">
        <x:v>玄渊二十套全装备代码总表.xlsx</x:v>
      </x:c>
      <x:c r="T414" s="292" t="str">
        <x:v>玄渊20套全装备视觉候选；Items/StateItem/DnItems三库同码；属性待策划填写；Hum Shape=2</x:v>
      </x:c>
      <x:c r="U414" t="str">
        <x:f>IF(COUNTIF($B$2:$B$1076,B414)&gt;1,"重复","")</x:f>
      </x:c>
      <x:c r="V414" t="str">
        <x:f>IF(AND(OR(M414="",M414=B414),OR(N414="",N414=B414),OR(O414="",O414=B414)),"通过","不一致")</x:f>
        <x:v>通过</x:v>
      </x:c>
    </x:row>
    <x:row r="415" ht="22" customHeight="1">
      <x:c r="A415" s="289" t="n">
        <x:v>414</x:v>
      </x:c>
      <x:c r="B415" s="289" t="n">
        <x:v>6434</x:v>
      </x:c>
      <x:c r="C415" s="290" t="str">
        <x:v>黄金圣树·圣枝</x:v>
      </x:c>
      <x:c r="D415" s="290" t="str">
        <x:v>黄金圣树</x:v>
      </x:c>
      <x:c r="E415" s="290" t="n">
        <x:v>2</x:v>
      </x:c>
      <x:c r="F415" s="290" t="str">
        <x:v>头盔</x:v>
      </x:c>
      <x:c r="G415" s="289" t="n">
        <x:v>15</x:v>
      </x:c>
      <x:c r="H415" s="289" t="n">
        <x:v>4</x:v>
      </x:c>
      <x:c r="I415" s="289" t="n">
        <x:v>6434</x:v>
      </x:c>
      <x:c r="J415" s="289" t="n">
        <x:v>0</x:v>
      </x:c>
      <x:c r="K415" s="289" t="n">
        <x:v>0</x:v>
      </x:c>
      <x:c r="L415" s="289" t="n">
        <x:v>0</x:v>
      </x:c>
      <x:c r="M415" s="289" t="n">
        <x:v>6434</x:v>
      </x:c>
      <x:c r="N415" s="289" t="n">
        <x:v>6434</x:v>
      </x:c>
      <x:c r="O415" s="289" t="n">
        <x:v>6434</x:v>
      </x:c>
      <x:c r="P415" s="292"/>
      <x:c r="Q415" s="292" t="str">
        <x:v>candidate-preflight-passed</x:v>
      </x:c>
      <x:c r="R415" s="323" t="str">
        <x:v>材料Items已占用：哨垒旗冠</x:v>
      </x:c>
      <x:c r="S415" s="292" t="str">
        <x:v>玄渊二十套全装备代码总表.xlsx</x:v>
      </x:c>
      <x:c r="T415" s="292" t="str">
        <x:v>玄渊20套全装备视觉候选；Items/StateItem/DnItems三库同码；属性待策划填写</x:v>
      </x:c>
      <x:c r="U415" t="str">
        <x:f>IF(COUNTIF($B$2:$B$1076,B415)&gt;1,"重复","")</x:f>
      </x:c>
      <x:c r="V415" t="str">
        <x:f>IF(AND(OR(M415="",M415=B415),OR(N415="",N415=B415),OR(O415="",O415=B415)),"通过","不一致")</x:f>
        <x:v>通过</x:v>
      </x:c>
    </x:row>
    <x:row r="416" ht="22" customHeight="1">
      <x:c r="A416" s="289" t="n">
        <x:v>415</x:v>
      </x:c>
      <x:c r="B416" s="289" t="n">
        <x:v>6435</x:v>
      </x:c>
      <x:c r="C416" s="290" t="str">
        <x:v>黄金圣树·圣枝</x:v>
      </x:c>
      <x:c r="D416" s="290" t="str">
        <x:v>黄金圣树</x:v>
      </x:c>
      <x:c r="E416" s="290" t="n">
        <x:v>2</x:v>
      </x:c>
      <x:c r="F416" s="290" t="str">
        <x:v>面巾</x:v>
      </x:c>
      <x:c r="G416" s="289" t="n">
        <x:v>16</x:v>
      </x:c>
      <x:c r="H416" s="289" t="n">
        <x:v>13</x:v>
      </x:c>
      <x:c r="I416" s="289" t="n">
        <x:v>6435</x:v>
      </x:c>
      <x:c r="J416" s="289" t="n">
        <x:v>0</x:v>
      </x:c>
      <x:c r="K416" s="289" t="n">
        <x:v>0</x:v>
      </x:c>
      <x:c r="L416" s="289" t="n">
        <x:v>0</x:v>
      </x:c>
      <x:c r="M416" s="289" t="n">
        <x:v>6435</x:v>
      </x:c>
      <x:c r="N416" s="289" t="n">
        <x:v>6435</x:v>
      </x:c>
      <x:c r="O416" s="289" t="n">
        <x:v>6435</x:v>
      </x:c>
      <x:c r="P416" s="292"/>
      <x:c r="Q416" s="292" t="str">
        <x:v>candidate-preflight-passed</x:v>
      </x:c>
      <x:c r="R416" s="323" t="str">
        <x:v>材料Items已占用：雾潮银鳞</x:v>
      </x:c>
      <x:c r="S416" s="292" t="str">
        <x:v>玄渊二十套全装备代码总表.xlsx</x:v>
      </x:c>
      <x:c r="T416" s="292" t="str">
        <x:v>玄渊20套全装备视觉候选；Items/StateItem/DnItems三库同码；属性待策划填写</x:v>
      </x:c>
      <x:c r="U416" t="str">
        <x:f>IF(COUNTIF($B$2:$B$1076,B416)&gt;1,"重复","")</x:f>
      </x:c>
      <x:c r="V416" t="str">
        <x:f>IF(AND(OR(M416="",M416=B416),OR(N416="",N416=B416),OR(O416="",O416=B416)),"通过","不一致")</x:f>
        <x:v>通过</x:v>
      </x:c>
    </x:row>
    <x:row r="417" ht="22" customHeight="1">
      <x:c r="A417" s="289" t="n">
        <x:v>416</x:v>
      </x:c>
      <x:c r="B417" s="289" t="n">
        <x:v>6436</x:v>
      </x:c>
      <x:c r="C417" s="290" t="str">
        <x:v>黄金圣树·圣枝</x:v>
      </x:c>
      <x:c r="D417" s="290" t="str">
        <x:v>黄金圣树</x:v>
      </x:c>
      <x:c r="E417" s="290" t="n">
        <x:v>2</x:v>
      </x:c>
      <x:c r="F417" s="290" t="str">
        <x:v>项链</x:v>
      </x:c>
      <x:c r="G417" s="289" t="n">
        <x:v>19</x:v>
      </x:c>
      <x:c r="H417" s="289" t="n">
        <x:v>3</x:v>
      </x:c>
      <x:c r="I417" s="289" t="n">
        <x:v>6436</x:v>
      </x:c>
      <x:c r="J417" s="289" t="n">
        <x:v>0</x:v>
      </x:c>
      <x:c r="K417" s="289" t="n">
        <x:v>0</x:v>
      </x:c>
      <x:c r="L417" s="289" t="n">
        <x:v>0</x:v>
      </x:c>
      <x:c r="M417" s="289" t="n">
        <x:v>6436</x:v>
      </x:c>
      <x:c r="N417" s="289" t="n">
        <x:v>6436</x:v>
      </x:c>
      <x:c r="O417" s="289" t="n">
        <x:v>6436</x:v>
      </x:c>
      <x:c r="P417" s="292"/>
      <x:c r="Q417" s="292" t="str">
        <x:v>candidate-preflight-passed</x:v>
      </x:c>
      <x:c r="R417" s="323" t="str">
        <x:v>材料Items已占用：沉船缆扣</x:v>
      </x:c>
      <x:c r="S417" s="292" t="str">
        <x:v>玄渊二十套全装备代码总表.xlsx</x:v>
      </x:c>
      <x:c r="T417" s="292" t="str">
        <x:v>玄渊20套全装备视觉候选；Items/StateItem/DnItems三库同码；属性待策划填写</x:v>
      </x:c>
      <x:c r="U417" t="str">
        <x:f>IF(COUNTIF($B$2:$B$1076,B417)&gt;1,"重复","")</x:f>
      </x:c>
      <x:c r="V417" t="str">
        <x:f>IF(AND(OR(M417="",M417=B417),OR(N417="",N417=B417),OR(O417="",O417=B417)),"通过","不一致")</x:f>
        <x:v>通过</x:v>
      </x:c>
    </x:row>
    <x:row r="418" ht="22" customHeight="1">
      <x:c r="A418" s="289" t="n">
        <x:v>417</x:v>
      </x:c>
      <x:c r="B418" s="289" t="n">
        <x:v>6437</x:v>
      </x:c>
      <x:c r="C418" s="290" t="str">
        <x:v>黄金圣树·圣枝</x:v>
      </x:c>
      <x:c r="D418" s="290" t="str">
        <x:v>黄金圣树</x:v>
      </x:c>
      <x:c r="E418" s="290" t="n">
        <x:v>2</x:v>
      </x:c>
      <x:c r="F418" s="290" t="str">
        <x:v>手镯</x:v>
      </x:c>
      <x:c r="G418" s="289" t="n">
        <x:v>26</x:v>
      </x:c>
      <x:c r="H418" s="289" t="n">
        <x:v>5</x:v>
      </x:c>
      <x:c r="I418" s="289" t="n">
        <x:v>6437</x:v>
      </x:c>
      <x:c r="J418" s="289" t="n">
        <x:v>0</x:v>
      </x:c>
      <x:c r="K418" s="289" t="n">
        <x:v>0</x:v>
      </x:c>
      <x:c r="L418" s="289" t="n">
        <x:v>0</x:v>
      </x:c>
      <x:c r="M418" s="289" t="n">
        <x:v>6437</x:v>
      </x:c>
      <x:c r="N418" s="289" t="n">
        <x:v>6437</x:v>
      </x:c>
      <x:c r="O418" s="289" t="n">
        <x:v>6437</x:v>
      </x:c>
      <x:c r="P418" s="292"/>
      <x:c r="Q418" s="292" t="str">
        <x:v>candidate-preflight-passed</x:v>
      </x:c>
      <x:c r="R418" s="323" t="str">
        <x:v>材料Items已占用：深湖压舱印</x:v>
      </x:c>
      <x:c r="S418" s="292" t="str">
        <x:v>玄渊二十套全装备代码总表.xlsx</x:v>
      </x:c>
      <x:c r="T418" s="292" t="str">
        <x:v>玄渊20套全装备视觉候选；Items/StateItem/DnItems三库同码；属性待策划填写</x:v>
      </x:c>
      <x:c r="U418" t="str">
        <x:f>IF(COUNTIF($B$2:$B$1076,B418)&gt;1,"重复","")</x:f>
      </x:c>
      <x:c r="V418" t="str">
        <x:f>IF(AND(OR(M418="",M418=B418),OR(N418="",N418=B418),OR(O418="",O418=B418)),"通过","不一致")</x:f>
        <x:v>通过</x:v>
      </x:c>
    </x:row>
    <x:row r="419" ht="22" customHeight="1">
      <x:c r="A419" s="289" t="n">
        <x:v>418</x:v>
      </x:c>
      <x:c r="B419" s="289" t="n">
        <x:v>6438</x:v>
      </x:c>
      <x:c r="C419" s="290" t="str">
        <x:v>黄金圣树·圣枝</x:v>
      </x:c>
      <x:c r="D419" s="290" t="str">
        <x:v>黄金圣树</x:v>
      </x:c>
      <x:c r="E419" s="290" t="n">
        <x:v>2</x:v>
      </x:c>
      <x:c r="F419" s="290" t="str">
        <x:v>戒指</x:v>
      </x:c>
      <x:c r="G419" s="289" t="n">
        <x:v>22</x:v>
      </x:c>
      <x:c r="H419" s="289" t="n">
        <x:v>7</x:v>
      </x:c>
      <x:c r="I419" s="289" t="n">
        <x:v>6438</x:v>
      </x:c>
      <x:c r="J419" s="289" t="n">
        <x:v>0</x:v>
      </x:c>
      <x:c r="K419" s="289" t="n">
        <x:v>0</x:v>
      </x:c>
      <x:c r="L419" s="289" t="n">
        <x:v>0</x:v>
      </x:c>
      <x:c r="M419" s="289" t="n">
        <x:v>6438</x:v>
      </x:c>
      <x:c r="N419" s="289" t="n">
        <x:v>6438</x:v>
      </x:c>
      <x:c r="O419" s="289" t="n">
        <x:v>6438</x:v>
      </x:c>
      <x:c r="P419" s="292"/>
      <x:c r="Q419" s="292" t="str">
        <x:v>candidate-preflight-passed</x:v>
      </x:c>
      <x:c r="R419" s="323" t="str">
        <x:v>材料Items已占用：湖底封门珠</x:v>
      </x:c>
      <x:c r="S419" s="292" t="str">
        <x:v>玄渊二十套全装备代码总表.xlsx</x:v>
      </x:c>
      <x:c r="T419" s="292" t="str">
        <x:v>玄渊20套全装备视觉候选；Items/StateItem/DnItems三库同码；属性待策划填写</x:v>
      </x:c>
      <x:c r="U419" t="str">
        <x:f>IF(COUNTIF($B$2:$B$1076,B419)&gt;1,"重复","")</x:f>
      </x:c>
      <x:c r="V419" t="str">
        <x:f>IF(AND(OR(M419="",M419=B419),OR(N419="",N419=B419),OR(O419="",O419=B419)),"通过","不一致")</x:f>
        <x:v>通过</x:v>
      </x:c>
    </x:row>
    <x:row r="420" ht="22" customHeight="1">
      <x:c r="A420" s="289" t="n">
        <x:v>419</x:v>
      </x:c>
      <x:c r="B420" s="289" t="n">
        <x:v>6439</x:v>
      </x:c>
      <x:c r="C420" s="290" t="str">
        <x:v>黄金圣树·圣枝</x:v>
      </x:c>
      <x:c r="D420" s="290" t="str">
        <x:v>黄金圣树</x:v>
      </x:c>
      <x:c r="E420" s="290" t="n">
        <x:v>2</x:v>
      </x:c>
      <x:c r="F420" s="290" t="str">
        <x:v>勋章</x:v>
      </x:c>
      <x:c r="G420" s="289" t="n">
        <x:v>30</x:v>
      </x:c>
      <x:c r="H420" s="289" t="n">
        <x:v>2</x:v>
      </x:c>
      <x:c r="I420" s="289" t="n">
        <x:v>6439</x:v>
      </x:c>
      <x:c r="J420" s="289" t="n">
        <x:v>0</x:v>
      </x:c>
      <x:c r="K420" s="289" t="n">
        <x:v>0</x:v>
      </x:c>
      <x:c r="L420" s="289" t="n">
        <x:v>0</x:v>
      </x:c>
      <x:c r="M420" s="289" t="n">
        <x:v>6439</x:v>
      </x:c>
      <x:c r="N420" s="289" t="n">
        <x:v>6439</x:v>
      </x:c>
      <x:c r="O420" s="289" t="n">
        <x:v>6439</x:v>
      </x:c>
      <x:c r="P420" s="292"/>
      <x:c r="Q420" s="292" t="str">
        <x:v>candidate-preflight-passed</x:v>
      </x:c>
      <x:c r="R420" s="323" t="str">
        <x:v>材料Items已占用：雾月星砂</x:v>
      </x:c>
      <x:c r="S420" s="292" t="str">
        <x:v>玄渊二十套全装备代码总表.xlsx</x:v>
      </x:c>
      <x:c r="T420" s="292" t="str">
        <x:v>玄渊20套全装备视觉候选；Items/StateItem/DnItems三库同码；属性待策划填写</x:v>
      </x:c>
      <x:c r="U420" t="str">
        <x:f>IF(COUNTIF($B$2:$B$1076,B420)&gt;1,"重复","")</x:f>
      </x:c>
      <x:c r="V420" t="str">
        <x:f>IF(AND(OR(M420="",M420=B420),OR(N420="",N420=B420),OR(O420="",O420=B420)),"通过","不一致")</x:f>
        <x:v>通过</x:v>
      </x:c>
    </x:row>
    <x:row r="421" ht="22" customHeight="1">
      <x:c r="A421" s="289" t="n">
        <x:v>420</x:v>
      </x:c>
      <x:c r="B421" s="289" t="n">
        <x:v>6440</x:v>
      </x:c>
      <x:c r="C421" s="290" t="str">
        <x:v>黄金圣树·圣枝</x:v>
      </x:c>
      <x:c r="D421" s="290" t="str">
        <x:v>黄金圣树</x:v>
      </x:c>
      <x:c r="E421" s="290" t="n">
        <x:v>2</x:v>
      </x:c>
      <x:c r="F421" s="290" t="str">
        <x:v>盾牌</x:v>
      </x:c>
      <x:c r="G421" s="289" t="n">
        <x:v>12</x:v>
      </x:c>
      <x:c r="H421" s="289" t="n">
        <x:v>16</x:v>
      </x:c>
      <x:c r="I421" s="289" t="n">
        <x:v>6440</x:v>
      </x:c>
      <x:c r="J421" s="289" t="n">
        <x:v>0</x:v>
      </x:c>
      <x:c r="K421" s="289" t="n">
        <x:v>0</x:v>
      </x:c>
      <x:c r="L421" s="289" t="n">
        <x:v>0</x:v>
      </x:c>
      <x:c r="M421" s="289" t="n">
        <x:v>6440</x:v>
      </x:c>
      <x:c r="N421" s="289" t="n">
        <x:v>6440</x:v>
      </x:c>
      <x:c r="O421" s="289" t="n">
        <x:v>6440</x:v>
      </x:c>
      <x:c r="P421" s="292"/>
      <x:c r="Q421" s="292" t="str">
        <x:v>candidate-preflight-passed</x:v>
      </x:c>
      <x:c r="R421" s="323" t="str">
        <x:v>材料Items已占用：学院封蜡</x:v>
      </x:c>
      <x:c r="S421" s="292" t="str">
        <x:v>玄渊二十套全装备代码总表.xlsx</x:v>
      </x:c>
      <x:c r="T421" s="292" t="str">
        <x:v>玄渊20套全装备视觉候选；Items/StateItem/DnItems三库同码；属性待策划填写</x:v>
      </x:c>
      <x:c r="U421" t="str">
        <x:f>IF(COUNTIF($B$2:$B$1076,B421)&gt;1,"重复","")</x:f>
      </x:c>
      <x:c r="V421" t="str">
        <x:f>IF(AND(OR(M421="",M421=B421),OR(N421="",N421=B421),OR(O421="",O421=B421)),"通过","不一致")</x:f>
        <x:v>通过</x:v>
      </x:c>
    </x:row>
    <x:row r="422" ht="22" customHeight="1">
      <x:c r="A422" s="289" t="n">
        <x:v>421</x:v>
      </x:c>
      <x:c r="B422" s="289" t="n">
        <x:v>6441</x:v>
      </x:c>
      <x:c r="C422" s="290" t="str">
        <x:v>黄金圣树·圣枝</x:v>
      </x:c>
      <x:c r="D422" s="290" t="str">
        <x:v>黄金圣树</x:v>
      </x:c>
      <x:c r="E422" s="290" t="n">
        <x:v>2</x:v>
      </x:c>
      <x:c r="F422" s="290" t="str">
        <x:v>灵玉</x:v>
      </x:c>
      <x:c r="G422" s="289" t="n">
        <x:v>90</x:v>
      </x:c>
      <x:c r="H422" s="289" t="n">
        <x:v>17</x:v>
      </x:c>
      <x:c r="I422" s="289" t="n">
        <x:v>6441</x:v>
      </x:c>
      <x:c r="J422" s="289" t="n">
        <x:v>0</x:v>
      </x:c>
      <x:c r="K422" s="289" t="n">
        <x:v>0</x:v>
      </x:c>
      <x:c r="L422" s="289" t="n">
        <x:v>0</x:v>
      </x:c>
      <x:c r="M422" s="289" t="n">
        <x:v>6441</x:v>
      </x:c>
      <x:c r="N422" s="289" t="n">
        <x:v>6441</x:v>
      </x:c>
      <x:c r="O422" s="289" t="n">
        <x:v>6441</x:v>
      </x:c>
      <x:c r="P422" s="292"/>
      <x:c r="Q422" s="292" t="str">
        <x:v>candidate-preflight-passed</x:v>
      </x:c>
      <x:c r="R422" s="323" t="str">
        <x:v>材料Items已占用：月蚀镜片</x:v>
      </x:c>
      <x:c r="S422" s="292" t="str">
        <x:v>玄渊二十套全装备代码总表.xlsx</x:v>
      </x:c>
      <x:c r="T422" s="292" t="str">
        <x:v>玄渊20套全装备视觉候选；Items/StateItem/DnItems三库同码；属性待策划填写</x:v>
      </x:c>
      <x:c r="U422" t="str">
        <x:f>IF(COUNTIF($B$2:$B$1076,B422)&gt;1,"重复","")</x:f>
      </x:c>
      <x:c r="V422" t="str">
        <x:f>IF(AND(OR(M422="",M422=B422),OR(N422="",N422=B422),OR(O422="",O422=B422)),"通过","不一致")</x:f>
        <x:v>通过</x:v>
      </x:c>
    </x:row>
    <x:row r="423" ht="22" customHeight="1">
      <x:c r="A423" s="289" t="n">
        <x:v>422</x:v>
      </x:c>
      <x:c r="B423" s="289" t="n">
        <x:v>6442</x:v>
      </x:c>
      <x:c r="C423" s="290" t="str">
        <x:v>黄金圣树·圣枝</x:v>
      </x:c>
      <x:c r="D423" s="290" t="str">
        <x:v>黄金圣树</x:v>
      </x:c>
      <x:c r="E423" s="290" t="n">
        <x:v>2</x:v>
      </x:c>
      <x:c r="F423" s="290" t="str">
        <x:v>鞋子</x:v>
      </x:c>
      <x:c r="G423" s="289" t="n">
        <x:v>62</x:v>
      </x:c>
      <x:c r="H423" s="289" t="n">
        <x:v>11</x:v>
      </x:c>
      <x:c r="I423" s="289" t="n">
        <x:v>6442</x:v>
      </x:c>
      <x:c r="J423" s="289" t="n">
        <x:v>0</x:v>
      </x:c>
      <x:c r="K423" s="289" t="n">
        <x:v>0</x:v>
      </x:c>
      <x:c r="L423" s="289" t="n">
        <x:v>0</x:v>
      </x:c>
      <x:c r="M423" s="289" t="n">
        <x:v>6442</x:v>
      </x:c>
      <x:c r="N423" s="289" t="n">
        <x:v>6442</x:v>
      </x:c>
      <x:c r="O423" s="289" t="n">
        <x:v>6442</x:v>
      </x:c>
      <x:c r="P423" s="292"/>
      <x:c r="Q423" s="292" t="str">
        <x:v>candidate-preflight-passed</x:v>
      </x:c>
      <x:c r="R423" s="323" t="str">
        <x:v>材料Items已占用：禁域星钥</x:v>
      </x:c>
      <x:c r="S423" s="292" t="str">
        <x:v>玄渊二十套全装备代码总表.xlsx</x:v>
      </x:c>
      <x:c r="T423" s="292" t="str">
        <x:v>玄渊20套全装备视觉候选；Items/StateItem/DnItems三库同码；属性待策划填写</x:v>
      </x:c>
      <x:c r="U423" t="str">
        <x:f>IF(COUNTIF($B$2:$B$1076,B423)&gt;1,"重复","")</x:f>
      </x:c>
      <x:c r="V423" t="str">
        <x:f>IF(AND(OR(M423="",M423=B423),OR(N423="",N423=B423),OR(O423="",O423=B423)),"通过","不一致")</x:f>
        <x:v>通过</x:v>
      </x:c>
    </x:row>
    <x:row r="424" ht="22" customHeight="1">
      <x:c r="A424" s="289" t="n">
        <x:v>423</x:v>
      </x:c>
      <x:c r="B424" s="289" t="n">
        <x:v>6443</x:v>
      </x:c>
      <x:c r="C424" s="290" t="str">
        <x:v>黄金圣树·圣枝</x:v>
      </x:c>
      <x:c r="D424" s="290" t="str">
        <x:v>黄金圣树</x:v>
      </x:c>
      <x:c r="E424" s="290" t="n">
        <x:v>2</x:v>
      </x:c>
      <x:c r="F424" s="290" t="str">
        <x:v>腰带</x:v>
      </x:c>
      <x:c r="G424" s="289" t="n">
        <x:v>64</x:v>
      </x:c>
      <x:c r="H424" s="289" t="n">
        <x:v>10</x:v>
      </x:c>
      <x:c r="I424" s="289" t="n">
        <x:v>6443</x:v>
      </x:c>
      <x:c r="J424" s="289" t="n">
        <x:v>0</x:v>
      </x:c>
      <x:c r="K424" s="289" t="n">
        <x:v>0</x:v>
      </x:c>
      <x:c r="L424" s="289" t="n">
        <x:v>0</x:v>
      </x:c>
      <x:c r="M424" s="289" t="n">
        <x:v>6443</x:v>
      </x:c>
      <x:c r="N424" s="289" t="n">
        <x:v>6443</x:v>
      </x:c>
      <x:c r="O424" s="289" t="n">
        <x:v>6443</x:v>
      </x:c>
      <x:c r="P424" s="292"/>
      <x:c r="Q424" s="292" t="str">
        <x:v>candidate-preflight-passed</x:v>
      </x:c>
      <x:c r="R424" s="323" t="str">
        <x:v>材料Items已占用：红狮断箭</x:v>
      </x:c>
      <x:c r="S424" s="292" t="str">
        <x:v>玄渊二十套全装备代码总表.xlsx</x:v>
      </x:c>
      <x:c r="T424" s="292" t="str">
        <x:v>玄渊20套全装备视觉候选；Items/StateItem/DnItems三库同码；属性待策划填写</x:v>
      </x:c>
      <x:c r="U424" t="str">
        <x:f>IF(COUNTIF($B$2:$B$1076,B424)&gt;1,"重复","")</x:f>
      </x:c>
      <x:c r="V424" t="str">
        <x:f>IF(AND(OR(M424="",M424=B424),OR(N424="",N424=B424),OR(O424="",O424=B424)),"通过","不一致")</x:f>
        <x:v>通过</x:v>
      </x:c>
    </x:row>
    <x:row r="425" ht="22" customHeight="1">
      <x:c r="A425" s="289" t="n">
        <x:v>424</x:v>
      </x:c>
      <x:c r="B425" s="289" t="n">
        <x:v>6444</x:v>
      </x:c>
      <x:c r="C425" s="290" t="str">
        <x:v>黄金圣树·圣枝</x:v>
      </x:c>
      <x:c r="D425" s="290" t="str">
        <x:v>黄金圣树</x:v>
      </x:c>
      <x:c r="E425" s="290" t="n">
        <x:v>2</x:v>
      </x:c>
      <x:c r="F425" s="290" t="str">
        <x:v>护身符</x:v>
      </x:c>
      <x:c r="G425" s="289" t="n">
        <x:v>25</x:v>
      </x:c>
      <x:c r="H425" s="289" t="n">
        <x:v>9</x:v>
      </x:c>
      <x:c r="I425" s="289" t="n">
        <x:v>6444</x:v>
      </x:c>
      <x:c r="J425" s="289" t="n">
        <x:v>0</x:v>
      </x:c>
      <x:c r="K425" s="289" t="n">
        <x:v>0</x:v>
      </x:c>
      <x:c r="L425" s="289" t="n">
        <x:v>0</x:v>
      </x:c>
      <x:c r="M425" s="289" t="n">
        <x:v>6444</x:v>
      </x:c>
      <x:c r="N425" s="289" t="n">
        <x:v>6444</x:v>
      </x:c>
      <x:c r="O425" s="289" t="n">
        <x:v>6444</x:v>
      </x:c>
      <x:c r="P425" s="292"/>
      <x:c r="Q425" s="292" t="str">
        <x:v>candidate-preflight-passed</x:v>
      </x:c>
      <x:c r="R425" s="323" t="str">
        <x:v>材料Items已占用：净火腺囊</x:v>
      </x:c>
      <x:c r="S425" s="292" t="str">
        <x:v>玄渊二十套全装备代码总表.xlsx</x:v>
      </x:c>
      <x:c r="T425" s="292" t="str">
        <x:v>玄渊20套全装备视觉候选；Items/StateItem/DnItems三库同码；属性待策划填写</x:v>
      </x:c>
      <x:c r="U425" t="str">
        <x:f>IF(COUNTIF($B$2:$B$1076,B425)&gt;1,"重复","")</x:f>
      </x:c>
      <x:c r="V425" t="str">
        <x:f>IF(AND(OR(M425="",M425=B425),OR(N425="",N425=B425),OR(O425="",O425=B425)),"通过","不一致")</x:f>
        <x:v>通过</x:v>
      </x:c>
    </x:row>
    <x:row r="426" ht="22" customHeight="1">
      <x:c r="A426" s="289" t="n">
        <x:v>425</x:v>
      </x:c>
      <x:c r="B426" s="289" t="n">
        <x:v>6445</x:v>
      </x:c>
      <x:c r="C426" s="290" t="str">
        <x:v>黄金圣树·圣枝</x:v>
      </x:c>
      <x:c r="D426" s="290" t="str">
        <x:v>黄金圣树</x:v>
      </x:c>
      <x:c r="E426" s="290" t="n">
        <x:v>2</x:v>
      </x:c>
      <x:c r="F426" s="290" t="str">
        <x:v>宝石</x:v>
      </x:c>
      <x:c r="G426" s="289" t="n">
        <x:v>63</x:v>
      </x:c>
      <x:c r="H426" s="289" t="n">
        <x:v>12</x:v>
      </x:c>
      <x:c r="I426" s="289" t="n">
        <x:v>6445</x:v>
      </x:c>
      <x:c r="J426" s="289" t="n">
        <x:v>0</x:v>
      </x:c>
      <x:c r="K426" s="289" t="n">
        <x:v>0</x:v>
      </x:c>
      <x:c r="L426" s="289" t="n">
        <x:v>0</x:v>
      </x:c>
      <x:c r="M426" s="289" t="n">
        <x:v>6445</x:v>
      </x:c>
      <x:c r="N426" s="289" t="n">
        <x:v>6445</x:v>
      </x:c>
      <x:c r="O426" s="289" t="n">
        <x:v>6445</x:v>
      </x:c>
      <x:c r="P426" s="292"/>
      <x:c r="Q426" s="292" t="str">
        <x:v>candidate-preflight-passed</x:v>
      </x:c>
      <x:c r="R426" s="323" t="str">
        <x:v>材料Items已占用：龙窟熔牙</x:v>
      </x:c>
      <x:c r="S426" s="292" t="str">
        <x:v>玄渊二十套全装备代码总表.xlsx</x:v>
      </x:c>
      <x:c r="T426" s="292" t="str">
        <x:v>玄渊20套全装备视觉候选；Items/StateItem/DnItems三库同码；属性待策划填写</x:v>
      </x:c>
      <x:c r="U426" t="str">
        <x:f>IF(COUNTIF($B$2:$B$1076,B426)&gt;1,"重复","")</x:f>
      </x:c>
      <x:c r="V426" t="str">
        <x:f>IF(AND(OR(M426="",M426=B426),OR(N426="",N426=B426),OR(O426="",O426=B426)),"通过","不一致")</x:f>
        <x:v>通过</x:v>
      </x:c>
    </x:row>
    <x:row r="427" ht="22" customHeight="1">
      <x:c r="A427" s="289" t="n">
        <x:v>426</x:v>
      </x:c>
      <x:c r="B427" s="289" t="n">
        <x:v>6446</x:v>
      </x:c>
      <x:c r="C427" s="290" t="str">
        <x:v>黄金圣树·圣枝</x:v>
      </x:c>
      <x:c r="D427" s="290" t="str">
        <x:v>黄金圣树</x:v>
      </x:c>
      <x:c r="E427" s="290" t="n">
        <x:v>2</x:v>
      </x:c>
      <x:c r="F427" s="290" t="str">
        <x:v>军鼓</x:v>
      </x:c>
      <x:c r="G427" s="289" t="n">
        <x:v>65</x:v>
      </x:c>
      <x:c r="H427" s="289" t="n">
        <x:v>14</x:v>
      </x:c>
      <x:c r="I427" s="289" t="n">
        <x:v>6446</x:v>
      </x:c>
      <x:c r="J427" s="289" t="n">
        <x:v>0</x:v>
      </x:c>
      <x:c r="K427" s="289" t="n">
        <x:v>0</x:v>
      </x:c>
      <x:c r="L427" s="289" t="n">
        <x:v>0</x:v>
      </x:c>
      <x:c r="M427" s="289" t="n">
        <x:v>6446</x:v>
      </x:c>
      <x:c r="N427" s="289" t="n">
        <x:v>6446</x:v>
      </x:c>
      <x:c r="O427" s="289" t="n">
        <x:v>6446</x:v>
      </x:c>
      <x:c r="P427" s="292"/>
      <x:c r="Q427" s="292" t="str">
        <x:v>candidate-preflight-passed</x:v>
      </x:c>
      <x:c r="R427" s="323" t="str">
        <x:v>材料Items已占用：碎星仪仗钉</x:v>
      </x:c>
      <x:c r="S427" s="292" t="str">
        <x:v>玄渊二十套全装备代码总表.xlsx</x:v>
      </x:c>
      <x:c r="T427" s="292" t="str">
        <x:v>玄渊20套全装备视觉候选；Items/StateItem/DnItems三库同码；属性待策划填写</x:v>
      </x:c>
      <x:c r="U427" t="str">
        <x:f>IF(COUNTIF($B$2:$B$1076,B427)&gt;1,"重复","")</x:f>
      </x:c>
      <x:c r="V427" t="str">
        <x:f>IF(AND(OR(M427="",M427=B427),OR(N427="",N427=B427),OR(O427="",O427=B427)),"通过","不一致")</x:f>
        <x:v>通过</x:v>
      </x:c>
    </x:row>
    <x:row r="428" ht="22" customHeight="1">
      <x:c r="A428" s="289" t="n">
        <x:v>427</x:v>
      </x:c>
      <x:c r="B428" s="289" t="n">
        <x:v>6447</x:v>
      </x:c>
      <x:c r="C428" s="290" t="str">
        <x:v>黄金圣树·圣枝</x:v>
      </x:c>
      <x:c r="D428" s="290" t="str">
        <x:v>黄金圣树</x:v>
      </x:c>
      <x:c r="E428" s="290" t="n">
        <x:v>2</x:v>
      </x:c>
      <x:c r="F428" s="290" t="str">
        <x:v>马牌</x:v>
      </x:c>
      <x:c r="G428" s="289" t="n">
        <x:v>28</x:v>
      </x:c>
      <x:c r="H428" s="289" t="n">
        <x:v>15</x:v>
      </x:c>
      <x:c r="I428" s="289" t="n">
        <x:v>6447</x:v>
      </x:c>
      <x:c r="J428" s="289" t="n">
        <x:v>0</x:v>
      </x:c>
      <x:c r="K428" s="289" t="n">
        <x:v>0</x:v>
      </x:c>
      <x:c r="L428" s="289" t="n">
        <x:v>0</x:v>
      </x:c>
      <x:c r="M428" s="289" t="n">
        <x:v>6447</x:v>
      </x:c>
      <x:c r="N428" s="289" t="n">
        <x:v>6447</x:v>
      </x:c>
      <x:c r="O428" s="289" t="n">
        <x:v>6447</x:v>
      </x:c>
      <x:c r="P428" s="292"/>
      <x:c r="Q428" s="292" t="str">
        <x:v>candidate-preflight-passed</x:v>
      </x:c>
      <x:c r="R428" s="323" t="str">
        <x:v>材料Items已占用：白金路标片</x:v>
      </x:c>
      <x:c r="S428" s="292" t="str">
        <x:v>玄渊二十套全装备代码总表.xlsx</x:v>
      </x:c>
      <x:c r="T428" s="292" t="str">
        <x:v>玄渊20套全装备视觉候选；Items/StateItem/DnItems三库同码；属性待策划填写</x:v>
      </x:c>
      <x:c r="U428" t="str">
        <x:f>IF(COUNTIF($B$2:$B$1076,B428)&gt;1,"重复","")</x:f>
      </x:c>
      <x:c r="V428" t="str">
        <x:f>IF(AND(OR(M428="",M428=B428),OR(N428="",N428=B428),OR(O428="",O428=B428)),"通过","不一致")</x:f>
        <x:v>通过</x:v>
      </x:c>
    </x:row>
    <x:row r="429" ht="22" customHeight="1">
      <x:c r="A429" s="289" t="n">
        <x:v>428</x:v>
      </x:c>
      <x:c r="B429" s="289" t="n">
        <x:v>6448</x:v>
      </x:c>
      <x:c r="C429" s="290" t="str">
        <x:v>黄金圣树·圣枝</x:v>
      </x:c>
      <x:c r="D429" s="290" t="str">
        <x:v>黄金圣树</x:v>
      </x:c>
      <x:c r="E429" s="290" t="n">
        <x:v>2</x:v>
      </x:c>
      <x:c r="F429" s="290" t="str">
        <x:v>首饰盒1</x:v>
      </x:c>
      <x:c r="G429" s="289" t="n">
        <x:v>22</x:v>
      </x:c>
      <x:c r="H429" s="289" t="n">
        <x:v>30</x:v>
      </x:c>
      <x:c r="I429" s="289" t="n">
        <x:v>6448</x:v>
      </x:c>
      <x:c r="J429" s="289" t="n">
        <x:v>0</x:v>
      </x:c>
      <x:c r="K429" s="289" t="n">
        <x:v>2</x:v>
      </x:c>
      <x:c r="L429" s="289" t="n">
        <x:v>1</x:v>
      </x:c>
      <x:c r="M429" s="289" t="n">
        <x:v>6448</x:v>
      </x:c>
      <x:c r="N429" s="289" t="n">
        <x:v>6448</x:v>
      </x:c>
      <x:c r="O429" s="289" t="n">
        <x:v>6448</x:v>
      </x:c>
      <x:c r="P429" s="292"/>
      <x:c r="Q429" s="292" t="str">
        <x:v>candidate-preflight-passed</x:v>
      </x:c>
      <x:c r="R429" s="323" t="str">
        <x:v>材料Items已占用：冻原银角</x:v>
      </x:c>
      <x:c r="S429" s="292" t="str">
        <x:v>玄渊二十套全装备代码总表.xlsx</x:v>
      </x:c>
      <x:c r="T429" s="292" t="str">
        <x:v>玄渊20套全装备视觉候选；Items/StateItem/DnItems三库同码；属性待策划填写；OverLap=2; Expand1=1</x:v>
      </x:c>
      <x:c r="U429" t="str">
        <x:f>IF(COUNTIF($B$2:$B$1076,B429)&gt;1,"重复","")</x:f>
      </x:c>
      <x:c r="V429" t="str">
        <x:f>IF(AND(OR(M429="",M429=B429),OR(N429="",N429=B429),OR(O429="",O429=B429)),"通过","不一致")</x:f>
        <x:v>通过</x:v>
      </x:c>
    </x:row>
    <x:row r="430" ht="22" customHeight="1">
      <x:c r="A430" s="289" t="n">
        <x:v>429</x:v>
      </x:c>
      <x:c r="B430" s="289" t="n">
        <x:v>6449</x:v>
      </x:c>
      <x:c r="C430" s="290" t="str">
        <x:v>黄金圣树·圣枝</x:v>
      </x:c>
      <x:c r="D430" s="290" t="str">
        <x:v>黄金圣树</x:v>
      </x:c>
      <x:c r="E430" s="290" t="n">
        <x:v>2</x:v>
      </x:c>
      <x:c r="F430" s="290" t="str">
        <x:v>首饰盒2</x:v>
      </x:c>
      <x:c r="G430" s="289" t="n">
        <x:v>22</x:v>
      </x:c>
      <x:c r="H430" s="289" t="n">
        <x:v>31</x:v>
      </x:c>
      <x:c r="I430" s="289" t="n">
        <x:v>6449</x:v>
      </x:c>
      <x:c r="J430" s="289" t="n">
        <x:v>0</x:v>
      </x:c>
      <x:c r="K430" s="289" t="n">
        <x:v>2</x:v>
      </x:c>
      <x:c r="L430" s="289" t="n">
        <x:v>2</x:v>
      </x:c>
      <x:c r="M430" s="289" t="n">
        <x:v>6449</x:v>
      </x:c>
      <x:c r="N430" s="289" t="n">
        <x:v>6449</x:v>
      </x:c>
      <x:c r="O430" s="289" t="n">
        <x:v>6449</x:v>
      </x:c>
      <x:c r="P430" s="292"/>
      <x:c r="Q430" s="292" t="str">
        <x:v>candidate-preflight-passed</x:v>
      </x:c>
      <x:c r="R430" s="323" t="str">
        <x:v>材料Items已占用：秘树霜芽</x:v>
      </x:c>
      <x:c r="S430" s="292" t="str">
        <x:v>玄渊二十套全装备代码总表.xlsx</x:v>
      </x:c>
      <x:c r="T430" s="292" t="str">
        <x:v>玄渊20套全装备视觉候选；Items/StateItem/DnItems三库同码；属性待策划填写；OverLap=2; Expand1=2</x:v>
      </x:c>
      <x:c r="U430" t="str">
        <x:f>IF(COUNTIF($B$2:$B$1076,B430)&gt;1,"重复","")</x:f>
      </x:c>
      <x:c r="V430" t="str">
        <x:f>IF(AND(OR(M430="",M430=B430),OR(N430="",N430=B430),OR(O430="",O430=B430)),"通过","不一致")</x:f>
        <x:v>通过</x:v>
      </x:c>
    </x:row>
    <x:row r="431" ht="22" customHeight="1">
      <x:c r="A431" s="289" t="n">
        <x:v>430</x:v>
      </x:c>
      <x:c r="B431" s="289" t="n">
        <x:v>6450</x:v>
      </x:c>
      <x:c r="C431" s="290" t="str">
        <x:v>黄金圣树·圣枝</x:v>
      </x:c>
      <x:c r="D431" s="290" t="str">
        <x:v>黄金圣树</x:v>
      </x:c>
      <x:c r="E431" s="290" t="n">
        <x:v>2</x:v>
      </x:c>
      <x:c r="F431" s="290" t="str">
        <x:v>首饰盒3</x:v>
      </x:c>
      <x:c r="G431" s="289" t="n">
        <x:v>22</x:v>
      </x:c>
      <x:c r="H431" s="289" t="n">
        <x:v>32</x:v>
      </x:c>
      <x:c r="I431" s="289" t="n">
        <x:v>6450</x:v>
      </x:c>
      <x:c r="J431" s="289" t="n">
        <x:v>0</x:v>
      </x:c>
      <x:c r="K431" s="289" t="n">
        <x:v>2</x:v>
      </x:c>
      <x:c r="L431" s="289" t="n">
        <x:v>3</x:v>
      </x:c>
      <x:c r="M431" s="289" t="n">
        <x:v>6450</x:v>
      </x:c>
      <x:c r="N431" s="289" t="n">
        <x:v>6450</x:v>
      </x:c>
      <x:c r="O431" s="289" t="n">
        <x:v>6450</x:v>
      </x:c>
      <x:c r="P431" s="292"/>
      <x:c r="Q431" s="292" t="str">
        <x:v>candidate-preflight-passed</x:v>
      </x:c>
      <x:c r="R431" s="323" t="str">
        <x:v>材料Items已占用：圣雪门楔</x:v>
      </x:c>
      <x:c r="S431" s="292" t="str">
        <x:v>玄渊二十套全装备代码总表.xlsx</x:v>
      </x:c>
      <x:c r="T431" s="292" t="str">
        <x:v>玄渊20套全装备视觉候选；Items/StateItem/DnItems三库同码；属性待策划填写；OverLap=2; Expand1=3</x:v>
      </x:c>
      <x:c r="U431" t="str">
        <x:f>IF(COUNTIF($B$2:$B$1076,B431)&gt;1,"重复","")</x:f>
      </x:c>
      <x:c r="V431" t="str">
        <x:f>IF(AND(OR(M431="",M431=B431),OR(N431="",N431=B431),OR(O431="",O431=B431)),"通过","不一致")</x:f>
        <x:v>通过</x:v>
      </x:c>
    </x:row>
    <x:row r="432" ht="22" customHeight="1">
      <x:c r="A432" s="289" t="n">
        <x:v>431</x:v>
      </x:c>
      <x:c r="B432" s="289" t="n">
        <x:v>6451</x:v>
      </x:c>
      <x:c r="C432" s="290" t="str">
        <x:v>黄金圣树·圣枝</x:v>
      </x:c>
      <x:c r="D432" s="290" t="str">
        <x:v>黄金圣树</x:v>
      </x:c>
      <x:c r="E432" s="290" t="n">
        <x:v>2</x:v>
      </x:c>
      <x:c r="F432" s="290" t="str">
        <x:v>首饰盒4</x:v>
      </x:c>
      <x:c r="G432" s="289" t="n">
        <x:v>22</x:v>
      </x:c>
      <x:c r="H432" s="289" t="n">
        <x:v>33</x:v>
      </x:c>
      <x:c r="I432" s="289" t="n">
        <x:v>6451</x:v>
      </x:c>
      <x:c r="J432" s="289" t="n">
        <x:v>0</x:v>
      </x:c>
      <x:c r="K432" s="289" t="n">
        <x:v>2</x:v>
      </x:c>
      <x:c r="L432" s="289" t="n">
        <x:v>4</x:v>
      </x:c>
      <x:c r="M432" s="289" t="n">
        <x:v>6451</x:v>
      </x:c>
      <x:c r="N432" s="289" t="n">
        <x:v>6451</x:v>
      </x:c>
      <x:c r="O432" s="289" t="n">
        <x:v>6451</x:v>
      </x:c>
      <x:c r="P432" s="292"/>
      <x:c r="Q432" s="292" t="str">
        <x:v>candidate-preflight-passed</x:v>
      </x:c>
      <x:c r="R432" s="323" t="str">
        <x:v>材料Items已占用：登山铁楔</x:v>
      </x:c>
      <x:c r="S432" s="292" t="str">
        <x:v>玄渊二十套全装备代码总表.xlsx</x:v>
      </x:c>
      <x:c r="T432" s="292" t="str">
        <x:v>玄渊20套全装备视觉候选；Items/StateItem/DnItems三库同码；属性待策划填写；OverLap=2; Expand1=4</x:v>
      </x:c>
      <x:c r="U432" t="str">
        <x:f>IF(COUNTIF($B$2:$B$1076,B432)&gt;1,"重复","")</x:f>
      </x:c>
      <x:c r="V432" t="str">
        <x:f>IF(AND(OR(M432="",M432=B432),OR(N432="",N432=B432),OR(O432="",O432=B432)),"通过","不一致")</x:f>
        <x:v>通过</x:v>
      </x:c>
    </x:row>
    <x:row r="433" ht="22" customHeight="1">
      <x:c r="A433" s="289" t="n">
        <x:v>432</x:v>
      </x:c>
      <x:c r="B433" s="289" t="n">
        <x:v>6452</x:v>
      </x:c>
      <x:c r="C433" s="290" t="str">
        <x:v>黄金圣树·圣枝</x:v>
      </x:c>
      <x:c r="D433" s="290" t="str">
        <x:v>黄金圣树</x:v>
      </x:c>
      <x:c r="E433" s="290" t="n">
        <x:v>2</x:v>
      </x:c>
      <x:c r="F433" s="290" t="str">
        <x:v>首饰盒5</x:v>
      </x:c>
      <x:c r="G433" s="289" t="n">
        <x:v>22</x:v>
      </x:c>
      <x:c r="H433" s="289" t="n">
        <x:v>34</x:v>
      </x:c>
      <x:c r="I433" s="289" t="n">
        <x:v>6452</x:v>
      </x:c>
      <x:c r="J433" s="289" t="n">
        <x:v>0</x:v>
      </x:c>
      <x:c r="K433" s="289" t="n">
        <x:v>2</x:v>
      </x:c>
      <x:c r="L433" s="289" t="n">
        <x:v>5</x:v>
      </x:c>
      <x:c r="M433" s="289" t="n">
        <x:v>6452</x:v>
      </x:c>
      <x:c r="N433" s="289" t="n">
        <x:v>6452</x:v>
      </x:c>
      <x:c r="O433" s="289" t="n">
        <x:v>6452</x:v>
      </x:c>
      <x:c r="P433" s="292"/>
      <x:c r="Q433" s="292" t="str">
        <x:v>candidate-preflight-passed</x:v>
      </x:c>
      <x:c r="R433" s="323" t="str">
        <x:v>材料Items已占用：裂峰号角片</x:v>
      </x:c>
      <x:c r="S433" s="292" t="str">
        <x:v>玄渊二十套全装备代码总表.xlsx</x:v>
      </x:c>
      <x:c r="T433" s="292" t="str">
        <x:v>玄渊20套全装备视觉候选；Items/StateItem/DnItems三库同码；属性待策划填写；OverLap=2; Expand1=5</x:v>
      </x:c>
      <x:c r="U433" t="str">
        <x:f>IF(COUNTIF($B$2:$B$1076,B433)&gt;1,"重复","")</x:f>
      </x:c>
      <x:c r="V433" t="str">
        <x:f>IF(AND(OR(M433="",M433=B433),OR(N433="",N433=B433),OR(O433="",O433=B433)),"通过","不一致")</x:f>
        <x:v>通过</x:v>
      </x:c>
    </x:row>
    <x:row r="434" ht="22" customHeight="1">
      <x:c r="A434" s="289" t="n">
        <x:v>433</x:v>
      </x:c>
      <x:c r="B434" s="289" t="n">
        <x:v>6453</x:v>
      </x:c>
      <x:c r="C434" s="290" t="str">
        <x:v>黄金圣树·圣枝</x:v>
      </x:c>
      <x:c r="D434" s="290" t="str">
        <x:v>黄金圣树</x:v>
      </x:c>
      <x:c r="E434" s="290" t="n">
        <x:v>2</x:v>
      </x:c>
      <x:c r="F434" s="290" t="str">
        <x:v>首饰盒6</x:v>
      </x:c>
      <x:c r="G434" s="289" t="n">
        <x:v>22</x:v>
      </x:c>
      <x:c r="H434" s="289" t="n">
        <x:v>35</x:v>
      </x:c>
      <x:c r="I434" s="289" t="n">
        <x:v>6453</x:v>
      </x:c>
      <x:c r="J434" s="289" t="n">
        <x:v>0</x:v>
      </x:c>
      <x:c r="K434" s="289" t="n">
        <x:v>2</x:v>
      </x:c>
      <x:c r="L434" s="289" t="n">
        <x:v>6</x:v>
      </x:c>
      <x:c r="M434" s="289" t="n">
        <x:v>6453</x:v>
      </x:c>
      <x:c r="N434" s="289" t="n">
        <x:v>6453</x:v>
      </x:c>
      <x:c r="O434" s="289" t="n">
        <x:v>6453</x:v>
      </x:c>
      <x:c r="P434" s="292"/>
      <x:c r="Q434" s="292" t="str">
        <x:v>candidate-preflight-passed</x:v>
      </x:c>
      <x:c r="R434" s="323" t="str">
        <x:v>材料Items已占用：冰宫守门铃</x:v>
      </x:c>
      <x:c r="S434" s="292" t="str">
        <x:v>玄渊二十套全装备代码总表.xlsx</x:v>
      </x:c>
      <x:c r="T434" s="292" t="str">
        <x:v>玄渊20套全装备视觉候选；Items/StateItem/DnItems三库同码；属性待策划填写；OverLap=2; Expand1=6</x:v>
      </x:c>
      <x:c r="U434" t="str">
        <x:f>IF(COUNTIF($B$2:$B$1076,B434)&gt;1,"重复","")</x:f>
      </x:c>
      <x:c r="V434" t="str">
        <x:f>IF(AND(OR(M434="",M434=B434),OR(N434="",N434=B434),OR(O434="",O434=B434)),"通过","不一致")</x:f>
        <x:v>通过</x:v>
      </x:c>
    </x:row>
    <x:row r="435" ht="22" customHeight="1">
      <x:c r="A435" s="289" t="n">
        <x:v>434</x:v>
      </x:c>
      <x:c r="B435" s="289" t="n">
        <x:v>6454</x:v>
      </x:c>
      <x:c r="C435" s="290" t="str">
        <x:v>黄金圣树·圣枝</x:v>
      </x:c>
      <x:c r="D435" s="290" t="str">
        <x:v>黄金圣树</x:v>
      </x:c>
      <x:c r="E435" s="290" t="n">
        <x:v>2</x:v>
      </x:c>
      <x:c r="F435" s="290" t="str">
        <x:v>生肖1</x:v>
      </x:c>
      <x:c r="G435" s="289" t="n">
        <x:v>22</x:v>
      </x:c>
      <x:c r="H435" s="289" t="n">
        <x:v>40</x:v>
      </x:c>
      <x:c r="I435" s="289" t="n">
        <x:v>6454</x:v>
      </x:c>
      <x:c r="J435" s="289" t="n">
        <x:v>0</x:v>
      </x:c>
      <x:c r="K435" s="289" t="n">
        <x:v>4</x:v>
      </x:c>
      <x:c r="L435" s="289" t="n">
        <x:v>1</x:v>
      </x:c>
      <x:c r="M435" s="289" t="n">
        <x:v>6454</x:v>
      </x:c>
      <x:c r="N435" s="289" t="n">
        <x:v>6454</x:v>
      </x:c>
      <x:c r="O435" s="289" t="n">
        <x:v>6454</x:v>
      </x:c>
      <x:c r="P435" s="292"/>
      <x:c r="Q435" s="292" t="str">
        <x:v>candidate-preflight-passed</x:v>
      </x:c>
      <x:c r="R435" s="323" t="str">
        <x:v>材料Items已占用：王庭炉冠</x:v>
      </x:c>
      <x:c r="S435" s="292" t="str">
        <x:v>玄渊二十套全装备代码总表.xlsx</x:v>
      </x:c>
      <x:c r="T435" s="292" t="str">
        <x:v>玄渊20套全装备视觉候选；Items/StateItem/DnItems三库同码；属性待策划填写；OverLap=4; Expand1=1</x:v>
      </x:c>
      <x:c r="U435" t="str">
        <x:f>IF(COUNTIF($B$2:$B$1076,B435)&gt;1,"重复","")</x:f>
      </x:c>
      <x:c r="V435" t="str">
        <x:f>IF(AND(OR(M435="",M435=B435),OR(N435="",N435=B435),OR(O435="",O435=B435)),"通过","不一致")</x:f>
        <x:v>通过</x:v>
      </x:c>
    </x:row>
    <x:row r="436" ht="22" customHeight="1">
      <x:c r="A436" s="289" t="n">
        <x:v>435</x:v>
      </x:c>
      <x:c r="B436" s="289" t="n">
        <x:v>6455</x:v>
      </x:c>
      <x:c r="C436" s="290" t="str">
        <x:v>黄金圣树·圣枝</x:v>
      </x:c>
      <x:c r="D436" s="290" t="str">
        <x:v>黄金圣树</x:v>
      </x:c>
      <x:c r="E436" s="290" t="n">
        <x:v>2</x:v>
      </x:c>
      <x:c r="F436" s="290" t="str">
        <x:v>生肖2</x:v>
      </x:c>
      <x:c r="G436" s="289" t="n">
        <x:v>22</x:v>
      </x:c>
      <x:c r="H436" s="289" t="n">
        <x:v>41</x:v>
      </x:c>
      <x:c r="I436" s="289" t="n">
        <x:v>6455</x:v>
      </x:c>
      <x:c r="J436" s="289" t="n">
        <x:v>0</x:v>
      </x:c>
      <x:c r="K436" s="289" t="n">
        <x:v>4</x:v>
      </x:c>
      <x:c r="L436" s="289" t="n">
        <x:v>2</x:v>
      </x:c>
      <x:c r="M436" s="289" t="n">
        <x:v>6455</x:v>
      </x:c>
      <x:c r="N436" s="289" t="n">
        <x:v>6455</x:v>
      </x:c>
      <x:c r="O436" s="289" t="n">
        <x:v>6455</x:v>
      </x:c>
      <x:c r="P436" s="292"/>
      <x:c r="Q436" s="292" t="str">
        <x:v>candidate-preflight-passed</x:v>
      </x:c>
      <x:c r="R436" s="323" t="str">
        <x:v>材料Items已占用：金叶驿票</x:v>
      </x:c>
      <x:c r="S436" s="292" t="str">
        <x:v>玄渊二十套全装备代码总表.xlsx</x:v>
      </x:c>
      <x:c r="T436" s="292" t="str">
        <x:v>玄渊20套全装备视觉候选；Items/StateItem/DnItems三库同码；属性待策划填写；OverLap=4; Expand1=2</x:v>
      </x:c>
      <x:c r="U436" t="str">
        <x:f>IF(COUNTIF($B$2:$B$1076,B436)&gt;1,"重复","")</x:f>
      </x:c>
      <x:c r="V436" t="str">
        <x:f>IF(AND(OR(M436="",M436=B436),OR(N436="",N436=B436),OR(O436="",O436=B436)),"通过","不一致")</x:f>
        <x:v>通过</x:v>
      </x:c>
    </x:row>
    <x:row r="437" ht="22" customHeight="1">
      <x:c r="A437" s="289" t="n">
        <x:v>436</x:v>
      </x:c>
      <x:c r="B437" s="289" t="n">
        <x:v>6456</x:v>
      </x:c>
      <x:c r="C437" s="290" t="str">
        <x:v>黄金圣树·圣枝</x:v>
      </x:c>
      <x:c r="D437" s="290" t="str">
        <x:v>黄金圣树</x:v>
      </x:c>
      <x:c r="E437" s="290" t="n">
        <x:v>2</x:v>
      </x:c>
      <x:c r="F437" s="290" t="str">
        <x:v>生肖3</x:v>
      </x:c>
      <x:c r="G437" s="289" t="n">
        <x:v>22</x:v>
      </x:c>
      <x:c r="H437" s="289" t="n">
        <x:v>42</x:v>
      </x:c>
      <x:c r="I437" s="289" t="n">
        <x:v>6456</x:v>
      </x:c>
      <x:c r="J437" s="289" t="n">
        <x:v>0</x:v>
      </x:c>
      <x:c r="K437" s="289" t="n">
        <x:v>4</x:v>
      </x:c>
      <x:c r="L437" s="289" t="n">
        <x:v>3</x:v>
      </x:c>
      <x:c r="M437" s="289" t="n">
        <x:v>6456</x:v>
      </x:c>
      <x:c r="N437" s="289" t="n">
        <x:v>6456</x:v>
      </x:c>
      <x:c r="O437" s="289" t="n">
        <x:v>6456</x:v>
      </x:c>
      <x:c r="P437" s="292"/>
      <x:c r="Q437" s="292" t="str">
        <x:v>candidate-preflight-passed</x:v>
      </x:c>
      <x:c r="R437" s="323" t="str">
        <x:v>材料Items已占用：矿脉灯芯</x:v>
      </x:c>
      <x:c r="S437" s="292" t="str">
        <x:v>玄渊二十套全装备代码总表.xlsx</x:v>
      </x:c>
      <x:c r="T437" s="292" t="str">
        <x:v>玄渊20套全装备视觉候选；Items/StateItem/DnItems三库同码；属性待策划填写；OverLap=4; Expand1=3</x:v>
      </x:c>
      <x:c r="U437" t="str">
        <x:f>IF(COUNTIF($B$2:$B$1076,B437)&gt;1,"重复","")</x:f>
      </x:c>
      <x:c r="V437" t="str">
        <x:f>IF(AND(OR(M437="",M437=B437),OR(N437="",N437=B437),OR(O437="",O437=B437)),"通过","不一致")</x:f>
        <x:v>通过</x:v>
      </x:c>
    </x:row>
    <x:row r="438" ht="22" customHeight="1">
      <x:c r="A438" s="289" t="n">
        <x:v>437</x:v>
      </x:c>
      <x:c r="B438" s="289" t="n">
        <x:v>6457</x:v>
      </x:c>
      <x:c r="C438" s="290" t="str">
        <x:v>黄金圣树·圣枝</x:v>
      </x:c>
      <x:c r="D438" s="290" t="str">
        <x:v>黄金圣树</x:v>
      </x:c>
      <x:c r="E438" s="290" t="n">
        <x:v>2</x:v>
      </x:c>
      <x:c r="F438" s="290" t="str">
        <x:v>生肖4</x:v>
      </x:c>
      <x:c r="G438" s="289" t="n">
        <x:v>22</x:v>
      </x:c>
      <x:c r="H438" s="289" t="n">
        <x:v>43</x:v>
      </x:c>
      <x:c r="I438" s="289" t="n">
        <x:v>6457</x:v>
      </x:c>
      <x:c r="J438" s="289" t="n">
        <x:v>0</x:v>
      </x:c>
      <x:c r="K438" s="289" t="n">
        <x:v>4</x:v>
      </x:c>
      <x:c r="L438" s="289" t="n">
        <x:v>4</x:v>
      </x:c>
      <x:c r="M438" s="289" t="n">
        <x:v>6457</x:v>
      </x:c>
      <x:c r="N438" s="289" t="n">
        <x:v>6457</x:v>
      </x:c>
      <x:c r="O438" s="289" t="n">
        <x:v>6457</x:v>
      </x:c>
      <x:c r="P438" s="292"/>
      <x:c r="Q438" s="292" t="str">
        <x:v>candidate-preflight-passed</x:v>
      </x:c>
      <x:c r="R438" s="323" t="str">
        <x:v>材料Items已占用：裁文蜡封</x:v>
      </x:c>
      <x:c r="S438" s="292" t="str">
        <x:v>玄渊二十套全装备代码总表.xlsx</x:v>
      </x:c>
      <x:c r="T438" s="292" t="str">
        <x:v>玄渊20套全装备视觉候选；Items/StateItem/DnItems三库同码；属性待策划填写；OverLap=4; Expand1=4</x:v>
      </x:c>
      <x:c r="U438" t="str">
        <x:f>IF(COUNTIF($B$2:$B$1076,B438)&gt;1,"重复","")</x:f>
      </x:c>
      <x:c r="V438" t="str">
        <x:f>IF(AND(OR(M438="",M438=B438),OR(N438="",N438=B438),OR(O438="",O438=B438)),"通过","不一致")</x:f>
        <x:v>通过</x:v>
      </x:c>
    </x:row>
    <x:row r="439" ht="22" customHeight="1">
      <x:c r="A439" s="289" t="n">
        <x:v>438</x:v>
      </x:c>
      <x:c r="B439" s="289" t="n">
        <x:v>6458</x:v>
      </x:c>
      <x:c r="C439" s="290" t="str">
        <x:v>黄金圣树·圣枝</x:v>
      </x:c>
      <x:c r="D439" s="290" t="str">
        <x:v>黄金圣树</x:v>
      </x:c>
      <x:c r="E439" s="290" t="n">
        <x:v>2</x:v>
      </x:c>
      <x:c r="F439" s="290" t="str">
        <x:v>生肖5</x:v>
      </x:c>
      <x:c r="G439" s="289" t="n">
        <x:v>22</x:v>
      </x:c>
      <x:c r="H439" s="289" t="n">
        <x:v>44</x:v>
      </x:c>
      <x:c r="I439" s="289" t="n">
        <x:v>6458</x:v>
      </x:c>
      <x:c r="J439" s="289" t="n">
        <x:v>0</x:v>
      </x:c>
      <x:c r="K439" s="289" t="n">
        <x:v>4</x:v>
      </x:c>
      <x:c r="L439" s="289" t="n">
        <x:v>5</x:v>
      </x:c>
      <x:c r="M439" s="289" t="n">
        <x:v>6458</x:v>
      </x:c>
      <x:c r="N439" s="289" t="n">
        <x:v>6458</x:v>
      </x:c>
      <x:c r="O439" s="289" t="n">
        <x:v>6458</x:v>
      </x:c>
      <x:c r="P439" s="292"/>
      <x:c r="Q439" s="292" t="str">
        <x:v>candidate-preflight-passed</x:v>
      </x:c>
      <x:c r="R439" s="323" t="str">
        <x:v>材料Items已占用：高原王诏金版</x:v>
      </x:c>
      <x:c r="S439" s="292" t="str">
        <x:v>玄渊二十套全装备代码总表.xlsx</x:v>
      </x:c>
      <x:c r="T439" s="292" t="str">
        <x:v>玄渊20套全装备视觉候选；Items/StateItem/DnItems三库同码；属性待策划填写；OverLap=4; Expand1=5</x:v>
      </x:c>
      <x:c r="U439" t="str">
        <x:f>IF(COUNTIF($B$2:$B$1076,B439)&gt;1,"重复","")</x:f>
      </x:c>
      <x:c r="V439" t="str">
        <x:f>IF(AND(OR(M439="",M439=B439),OR(N439="",N439=B439),OR(O439="",O439=B439)),"通过","不一致")</x:f>
        <x:v>通过</x:v>
      </x:c>
    </x:row>
    <x:row r="440" ht="22" customHeight="1">
      <x:c r="A440" s="289" t="n">
        <x:v>439</x:v>
      </x:c>
      <x:c r="B440" s="289" t="n">
        <x:v>6459</x:v>
      </x:c>
      <x:c r="C440" s="290" t="str">
        <x:v>黄金圣树·圣枝</x:v>
      </x:c>
      <x:c r="D440" s="290" t="str">
        <x:v>黄金圣树</x:v>
      </x:c>
      <x:c r="E440" s="290" t="n">
        <x:v>2</x:v>
      </x:c>
      <x:c r="F440" s="290" t="str">
        <x:v>生肖6</x:v>
      </x:c>
      <x:c r="G440" s="289" t="n">
        <x:v>22</x:v>
      </x:c>
      <x:c r="H440" s="289" t="n">
        <x:v>45</x:v>
      </x:c>
      <x:c r="I440" s="289" t="n">
        <x:v>6459</x:v>
      </x:c>
      <x:c r="J440" s="289" t="n">
        <x:v>0</x:v>
      </x:c>
      <x:c r="K440" s="289" t="n">
        <x:v>4</x:v>
      </x:c>
      <x:c r="L440" s="289" t="n">
        <x:v>6</x:v>
      </x:c>
      <x:c r="M440" s="289" t="n">
        <x:v>6459</x:v>
      </x:c>
      <x:c r="N440" s="289" t="n">
        <x:v>6459</x:v>
      </x:c>
      <x:c r="O440" s="289" t="n">
        <x:v>6459</x:v>
      </x:c>
      <x:c r="P440" s="292"/>
      <x:c r="Q440" s="292" t="str">
        <x:v>candidate-preflight-passed</x:v>
      </x:c>
      <x:c r="R440" s="323" t="str">
        <x:v>材料Items已占用：无名墓钉</x:v>
      </x:c>
      <x:c r="S440" s="292" t="str">
        <x:v>玄渊二十套全装备代码总表.xlsx</x:v>
      </x:c>
      <x:c r="T440" s="292" t="str">
        <x:v>玄渊20套全装备视觉候选；Items/StateItem/DnItems三库同码；属性待策划填写；OverLap=4; Expand1=6</x:v>
      </x:c>
      <x:c r="U440" t="str">
        <x:f>IF(COUNTIF($B$2:$B$1076,B440)&gt;1,"重复","")</x:f>
      </x:c>
      <x:c r="V440" t="str">
        <x:f>IF(AND(OR(M440="",M440=B440),OR(N440="",N440=B440),OR(O440="",O440=B440)),"通过","不一致")</x:f>
        <x:v>通过</x:v>
      </x:c>
    </x:row>
    <x:row r="441" ht="22" customHeight="1">
      <x:c r="A441" s="289" t="n">
        <x:v>440</x:v>
      </x:c>
      <x:c r="B441" s="289" t="n">
        <x:v>6460</x:v>
      </x:c>
      <x:c r="C441" s="290" t="str">
        <x:v>黄金圣树·圣枝</x:v>
      </x:c>
      <x:c r="D441" s="290" t="str">
        <x:v>黄金圣树</x:v>
      </x:c>
      <x:c r="E441" s="290" t="n">
        <x:v>2</x:v>
      </x:c>
      <x:c r="F441" s="290" t="str">
        <x:v>生肖7</x:v>
      </x:c>
      <x:c r="G441" s="289" t="n">
        <x:v>22</x:v>
      </x:c>
      <x:c r="H441" s="289" t="n">
        <x:v>46</x:v>
      </x:c>
      <x:c r="I441" s="289" t="n">
        <x:v>6460</x:v>
      </x:c>
      <x:c r="J441" s="289" t="n">
        <x:v>0</x:v>
      </x:c>
      <x:c r="K441" s="289" t="n">
        <x:v>4</x:v>
      </x:c>
      <x:c r="L441" s="289" t="n">
        <x:v>7</x:v>
      </x:c>
      <x:c r="M441" s="289" t="n">
        <x:v>6460</x:v>
      </x:c>
      <x:c r="N441" s="289" t="n">
        <x:v>6460</x:v>
      </x:c>
      <x:c r="O441" s="289" t="n">
        <x:v>6460</x:v>
      </x:c>
      <x:c r="P441" s="292"/>
      <x:c r="Q441" s="292" t="str">
        <x:v>candidate-preflight-passed</x:v>
      </x:c>
      <x:c r="R441" s="323" t="str">
        <x:v>材料Items已占用：旧渠阀芯</x:v>
      </x:c>
      <x:c r="S441" s="292" t="str">
        <x:v>玄渊二十套全装备代码总表.xlsx</x:v>
      </x:c>
      <x:c r="T441" s="292" t="str">
        <x:v>玄渊20套全装备视觉候选；Items/StateItem/DnItems三库同码；属性待策划填写；OverLap=4; Expand1=7</x:v>
      </x:c>
      <x:c r="U441" t="str">
        <x:f>IF(COUNTIF($B$2:$B$1076,B441)&gt;1,"重复","")</x:f>
      </x:c>
      <x:c r="V441" t="str">
        <x:f>IF(AND(OR(M441="",M441=B441),OR(N441="",N441=B441),OR(O441="",O441=B441)),"通过","不一致")</x:f>
        <x:v>通过</x:v>
      </x:c>
    </x:row>
    <x:row r="442" ht="22" customHeight="1">
      <x:c r="A442" s="289" t="n">
        <x:v>441</x:v>
      </x:c>
      <x:c r="B442" s="289" t="n">
        <x:v>6461</x:v>
      </x:c>
      <x:c r="C442" s="290" t="str">
        <x:v>黄金圣树·圣枝</x:v>
      </x:c>
      <x:c r="D442" s="290" t="str">
        <x:v>黄金圣树</x:v>
      </x:c>
      <x:c r="E442" s="290" t="n">
        <x:v>2</x:v>
      </x:c>
      <x:c r="F442" s="290" t="str">
        <x:v>生肖8</x:v>
      </x:c>
      <x:c r="G442" s="289" t="n">
        <x:v>22</x:v>
      </x:c>
      <x:c r="H442" s="289" t="n">
        <x:v>47</x:v>
      </x:c>
      <x:c r="I442" s="289" t="n">
        <x:v>6461</x:v>
      </x:c>
      <x:c r="J442" s="289" t="n">
        <x:v>0</x:v>
      </x:c>
      <x:c r="K442" s="289" t="n">
        <x:v>4</x:v>
      </x:c>
      <x:c r="L442" s="289" t="n">
        <x:v>8</x:v>
      </x:c>
      <x:c r="M442" s="289" t="n">
        <x:v>6461</x:v>
      </x:c>
      <x:c r="N442" s="289" t="n">
        <x:v>6461</x:v>
      </x:c>
      <x:c r="O442" s="289" t="n">
        <x:v>6461</x:v>
      </x:c>
      <x:c r="P442" s="292"/>
      <x:c r="Q442" s="292" t="str">
        <x:v>candidate-preflight-passed</x:v>
      </x:c>
      <x:c r="R442" s="323" t="str">
        <x:v>材料Items已占用：失温熔炉楔</x:v>
      </x:c>
      <x:c r="S442" s="292" t="str">
        <x:v>玄渊二十套全装备代码总表.xlsx</x:v>
      </x:c>
      <x:c r="T442" s="292" t="str">
        <x:v>玄渊20套全装备视觉候选；Items/StateItem/DnItems三库同码；属性待策划填写；OverLap=4; Expand1=8</x:v>
      </x:c>
      <x:c r="U442" t="str">
        <x:f>IF(COUNTIF($B$2:$B$1076,B442)&gt;1,"重复","")</x:f>
      </x:c>
      <x:c r="V442" t="str">
        <x:f>IF(AND(OR(M442="",M442=B442),OR(N442="",N442=B442),OR(O442="",O442=B442)),"通过","不一致")</x:f>
        <x:v>通过</x:v>
      </x:c>
    </x:row>
    <x:row r="443" ht="22" customHeight="1">
      <x:c r="A443" s="289" t="n">
        <x:v>442</x:v>
      </x:c>
      <x:c r="B443" s="289" t="n">
        <x:v>6462</x:v>
      </x:c>
      <x:c r="C443" s="290" t="str">
        <x:v>黄金圣树·圣枝</x:v>
      </x:c>
      <x:c r="D443" s="290" t="str">
        <x:v>黄金圣树</x:v>
      </x:c>
      <x:c r="E443" s="290" t="n">
        <x:v>2</x:v>
      </x:c>
      <x:c r="F443" s="290" t="str">
        <x:v>生肖9</x:v>
      </x:c>
      <x:c r="G443" s="289" t="n">
        <x:v>22</x:v>
      </x:c>
      <x:c r="H443" s="289" t="n">
        <x:v>48</x:v>
      </x:c>
      <x:c r="I443" s="289" t="n">
        <x:v>6462</x:v>
      </x:c>
      <x:c r="J443" s="289" t="n">
        <x:v>0</x:v>
      </x:c>
      <x:c r="K443" s="289" t="n">
        <x:v>4</x:v>
      </x:c>
      <x:c r="L443" s="289" t="n">
        <x:v>9</x:v>
      </x:c>
      <x:c r="M443" s="289" t="n">
        <x:v>6462</x:v>
      </x:c>
      <x:c r="N443" s="289" t="n">
        <x:v>6462</x:v>
      </x:c>
      <x:c r="O443" s="289" t="n">
        <x:v>6462</x:v>
      </x:c>
      <x:c r="P443" s="292"/>
      <x:c r="Q443" s="292" t="str">
        <x:v>candidate-preflight-passed</x:v>
      </x:c>
      <x:c r="R443" s="323" t="str">
        <x:v>材料Items已占用：王宫断冠片</x:v>
      </x:c>
      <x:c r="S443" s="292" t="str">
        <x:v>玄渊二十套全装备代码总表.xlsx</x:v>
      </x:c>
      <x:c r="T443" s="292" t="str">
        <x:v>玄渊20套全装备视觉候选；Items/StateItem/DnItems三库同码；属性待策划填写；OverLap=4; Expand1=9</x:v>
      </x:c>
      <x:c r="U443" t="str">
        <x:f>IF(COUNTIF($B$2:$B$1076,B443)&gt;1,"重复","")</x:f>
      </x:c>
      <x:c r="V443" t="str">
        <x:f>IF(AND(OR(M443="",M443=B443),OR(N443="",N443=B443),OR(O443="",O443=B443)),"通过","不一致")</x:f>
        <x:v>通过</x:v>
      </x:c>
    </x:row>
    <x:row r="444" ht="22" customHeight="1">
      <x:c r="A444" s="289" t="n">
        <x:v>443</x:v>
      </x:c>
      <x:c r="B444" s="289" t="n">
        <x:v>6463</x:v>
      </x:c>
      <x:c r="C444" s="290" t="str">
        <x:v>黄金圣树·圣枝</x:v>
      </x:c>
      <x:c r="D444" s="290" t="str">
        <x:v>黄金圣树</x:v>
      </x:c>
      <x:c r="E444" s="290" t="n">
        <x:v>2</x:v>
      </x:c>
      <x:c r="F444" s="290" t="str">
        <x:v>生肖10</x:v>
      </x:c>
      <x:c r="G444" s="289" t="n">
        <x:v>22</x:v>
      </x:c>
      <x:c r="H444" s="289" t="n">
        <x:v>49</x:v>
      </x:c>
      <x:c r="I444" s="289" t="n">
        <x:v>6463</x:v>
      </x:c>
      <x:c r="J444" s="289" t="n">
        <x:v>0</x:v>
      </x:c>
      <x:c r="K444" s="289" t="n">
        <x:v>4</x:v>
      </x:c>
      <x:c r="L444" s="289" t="n">
        <x:v>10</x:v>
      </x:c>
      <x:c r="M444" s="289" t="n">
        <x:v>6463</x:v>
      </x:c>
      <x:c r="N444" s="289" t="n">
        <x:v>6463</x:v>
      </x:c>
      <x:c r="O444" s="289" t="n">
        <x:v>6463</x:v>
      </x:c>
      <x:c r="P444" s="292"/>
      <x:c r="Q444" s="292" t="str">
        <x:v>candidate-preflight-passed</x:v>
      </x:c>
      <x:c r="R444" s="292" t="str"/>
      <x:c r="S444" s="292" t="str">
        <x:v>玄渊二十套全装备代码总表.xlsx</x:v>
      </x:c>
      <x:c r="T444" s="292" t="str">
        <x:v>玄渊20套全装备视觉候选；Items/StateItem/DnItems三库同码；属性待策划填写；OverLap=4; Expand1=10</x:v>
      </x:c>
      <x:c r="U444" t="str">
        <x:f>IF(COUNTIF($B$2:$B$1076,B444)&gt;1,"重复","")</x:f>
      </x:c>
      <x:c r="V444" t="str">
        <x:f>IF(AND(OR(M444="",M444=B444),OR(N444="",N444=B444),OR(O444="",O444=B444)),"通过","不一致")</x:f>
        <x:v>通过</x:v>
      </x:c>
    </x:row>
    <x:row r="445" ht="22" customHeight="1">
      <x:c r="A445" s="289" t="n">
        <x:v>444</x:v>
      </x:c>
      <x:c r="B445" s="289" t="n">
        <x:v>6464</x:v>
      </x:c>
      <x:c r="C445" s="290" t="str">
        <x:v>黄金圣树·圣枝</x:v>
      </x:c>
      <x:c r="D445" s="290" t="str">
        <x:v>黄金圣树</x:v>
      </x:c>
      <x:c r="E445" s="290" t="n">
        <x:v>2</x:v>
      </x:c>
      <x:c r="F445" s="290" t="str">
        <x:v>生肖11</x:v>
      </x:c>
      <x:c r="G445" s="289" t="n">
        <x:v>22</x:v>
      </x:c>
      <x:c r="H445" s="289" t="n">
        <x:v>50</x:v>
      </x:c>
      <x:c r="I445" s="289" t="n">
        <x:v>6464</x:v>
      </x:c>
      <x:c r="J445" s="289" t="n">
        <x:v>0</x:v>
      </x:c>
      <x:c r="K445" s="289" t="n">
        <x:v>4</x:v>
      </x:c>
      <x:c r="L445" s="289" t="n">
        <x:v>11</x:v>
      </x:c>
      <x:c r="M445" s="289" t="n">
        <x:v>6464</x:v>
      </x:c>
      <x:c r="N445" s="289" t="n">
        <x:v>6464</x:v>
      </x:c>
      <x:c r="O445" s="289" t="n">
        <x:v>6464</x:v>
      </x:c>
      <x:c r="P445" s="292"/>
      <x:c r="Q445" s="292" t="str">
        <x:v>candidate-preflight-passed</x:v>
      </x:c>
      <x:c r="R445" s="292" t="str"/>
      <x:c r="S445" s="292" t="str">
        <x:v>玄渊二十套全装备代码总表.xlsx</x:v>
      </x:c>
      <x:c r="T445" s="292" t="str">
        <x:v>玄渊20套全装备视觉候选；Items/StateItem/DnItems三库同码；属性待策划填写；OverLap=4; Expand1=11</x:v>
      </x:c>
      <x:c r="U445" t="str">
        <x:f>IF(COUNTIF($B$2:$B$1076,B445)&gt;1,"重复","")</x:f>
      </x:c>
      <x:c r="V445" t="str">
        <x:f>IF(AND(OR(M445="",M445=B445),OR(N445="",N445=B445),OR(O445="",O445=B445)),"通过","不一致")</x:f>
        <x:v>通过</x:v>
      </x:c>
    </x:row>
    <x:row r="446" ht="22" customHeight="1">
      <x:c r="A446" s="289" t="n">
        <x:v>445</x:v>
      </x:c>
      <x:c r="B446" s="289" t="n">
        <x:v>6465</x:v>
      </x:c>
      <x:c r="C446" s="290" t="str">
        <x:v>黄金圣树·圣枝</x:v>
      </x:c>
      <x:c r="D446" s="290" t="str">
        <x:v>黄金圣树</x:v>
      </x:c>
      <x:c r="E446" s="290" t="n">
        <x:v>2</x:v>
      </x:c>
      <x:c r="F446" s="290" t="str">
        <x:v>生肖12</x:v>
      </x:c>
      <x:c r="G446" s="289" t="n">
        <x:v>22</x:v>
      </x:c>
      <x:c r="H446" s="289" t="n">
        <x:v>51</x:v>
      </x:c>
      <x:c r="I446" s="289" t="n">
        <x:v>6465</x:v>
      </x:c>
      <x:c r="J446" s="289" t="n">
        <x:v>0</x:v>
      </x:c>
      <x:c r="K446" s="289" t="n">
        <x:v>4</x:v>
      </x:c>
      <x:c r="L446" s="289" t="n">
        <x:v>12</x:v>
      </x:c>
      <x:c r="M446" s="289" t="n">
        <x:v>6465</x:v>
      </x:c>
      <x:c r="N446" s="289" t="n">
        <x:v>6465</x:v>
      </x:c>
      <x:c r="O446" s="289" t="n">
        <x:v>6465</x:v>
      </x:c>
      <x:c r="P446" s="292"/>
      <x:c r="Q446" s="292" t="str">
        <x:v>candidate-preflight-passed</x:v>
      </x:c>
      <x:c r="R446" s="292" t="str"/>
      <x:c r="S446" s="292" t="str">
        <x:v>玄渊二十套全装备代码总表.xlsx</x:v>
      </x:c>
      <x:c r="T446" s="292" t="str">
        <x:v>玄渊20套全装备视觉候选；Items/StateItem/DnItems三库同码；属性待策划填写；OverLap=4; Expand1=12</x:v>
      </x:c>
      <x:c r="U446" t="str">
        <x:f>IF(COUNTIF($B$2:$B$1076,B446)&gt;1,"重复","")</x:f>
      </x:c>
      <x:c r="V446" t="str">
        <x:f>IF(AND(OR(M446="",M446=B446),OR(N446="",N446=B446),OR(O446="",O446=B446)),"通过","不一致")</x:f>
        <x:v>通过</x:v>
      </x:c>
    </x:row>
    <x:row r="447" ht="22" customHeight="1">
      <x:c r="A447" s="289" t="n">
        <x:v>446</x:v>
      </x:c>
      <x:c r="B447" s="289" t="n">
        <x:v>6466</x:v>
      </x:c>
      <x:c r="C447" s="290" t="str">
        <x:v>黄金圣树·王权</x:v>
      </x:c>
      <x:c r="D447" s="290" t="str">
        <x:v>黄金圣树</x:v>
      </x:c>
      <x:c r="E447" s="290" t="n">
        <x:v>3</x:v>
      </x:c>
      <x:c r="F447" s="290" t="str">
        <x:v>武器</x:v>
      </x:c>
      <x:c r="G447" s="289" t="n">
        <x:v>5</x:v>
      </x:c>
      <x:c r="H447" s="289" t="n">
        <x:v>1</x:v>
      </x:c>
      <x:c r="I447" s="289" t="n">
        <x:v>6466</x:v>
      </x:c>
      <x:c r="J447" s="289" t="n">
        <x:v>16</x:v>
      </x:c>
      <x:c r="K447" s="289" t="n">
        <x:v>0</x:v>
      </x:c>
      <x:c r="L447" s="289" t="n">
        <x:v>0</x:v>
      </x:c>
      <x:c r="M447" s="289" t="n">
        <x:v>6466</x:v>
      </x:c>
      <x:c r="N447" s="289" t="n">
        <x:v>6466</x:v>
      </x:c>
      <x:c r="O447" s="289" t="n">
        <x:v>6466</x:v>
      </x:c>
      <x:c r="P447" s="292" t="str">
        <x:v>Weapon.wzl/wzx（复用现有真实动作）</x:v>
      </x:c>
      <x:c r="Q447" s="292" t="str">
        <x:v>candidate-preflight-passed</x:v>
      </x:c>
      <x:c r="R447" s="324" t="str">
        <x:v>C3-C10规划锁定：裂风战旗刃</x:v>
      </x:c>
      <x:c r="S447" s="292" t="str">
        <x:v>玄渊二十套全装备代码总表.xlsx</x:v>
      </x:c>
      <x:c r="T447" s="292" t="str">
        <x:v>玄渊20套全装备视觉候选；Items/StateItem/DnItems三库同码；属性待策划填写；Weapon Shape=16</x:v>
      </x:c>
      <x:c r="U447" t="str">
        <x:f>IF(COUNTIF($B$2:$B$1076,B447)&gt;1,"重复","")</x:f>
      </x:c>
      <x:c r="V447" t="str">
        <x:f>IF(AND(OR(M447="",M447=B447),OR(N447="",N447=B447),OR(O447="",O447=B447)),"通过","不一致")</x:f>
        <x:v>通过</x:v>
      </x:c>
    </x:row>
    <x:row r="448" ht="22" customHeight="1">
      <x:c r="A448" s="289" t="n">
        <x:v>447</x:v>
      </x:c>
      <x:c r="B448" s="289" t="n">
        <x:v>6467</x:v>
      </x:c>
      <x:c r="C448" s="290" t="str">
        <x:v>黄金圣树·王权</x:v>
      </x:c>
      <x:c r="D448" s="290" t="str">
        <x:v>黄金圣树</x:v>
      </x:c>
      <x:c r="E448" s="290" t="n">
        <x:v>3</x:v>
      </x:c>
      <x:c r="F448" s="290" t="str">
        <x:v>男衣服</x:v>
      </x:c>
      <x:c r="G448" s="289" t="n">
        <x:v>10</x:v>
      </x:c>
      <x:c r="H448" s="289" t="n">
        <x:v>0</x:v>
      </x:c>
      <x:c r="I448" s="289" t="n">
        <x:v>6467</x:v>
      </x:c>
      <x:c r="J448" s="289" t="n">
        <x:v>3</x:v>
      </x:c>
      <x:c r="K448" s="289" t="n">
        <x:v>0</x:v>
      </x:c>
      <x:c r="L448" s="289" t="n">
        <x:v>0</x:v>
      </x:c>
      <x:c r="M448" s="289" t="n">
        <x:v>6467</x:v>
      </x:c>
      <x:c r="N448" s="289" t="n">
        <x:v>6467</x:v>
      </x:c>
      <x:c r="O448" s="289" t="n">
        <x:v>6467</x:v>
      </x:c>
      <x:c r="P448" s="292" t="str">
        <x:v>Hum.wzl/wzx（复用现有真实动作）</x:v>
      </x:c>
      <x:c r="Q448" s="292" t="str">
        <x:v>candidate-preflight-passed</x:v>
      </x:c>
      <x:c r="R448" s="324" t="str">
        <x:v>C3-C10规划锁定：啸海翼铠</x:v>
      </x:c>
      <x:c r="S448" s="292" t="str">
        <x:v>玄渊二十套全装备代码总表.xlsx</x:v>
      </x:c>
      <x:c r="T448" s="292" t="str">
        <x:v>玄渊20套全装备视觉候选；Items/StateItem/DnItems三库同码；属性待策划填写；Hum Shape=3</x:v>
      </x:c>
      <x:c r="U448" t="str">
        <x:f>IF(COUNTIF($B$2:$B$1076,B448)&gt;1,"重复","")</x:f>
      </x:c>
      <x:c r="V448" t="str">
        <x:f>IF(AND(OR(M448="",M448=B448),OR(N448="",N448=B448),OR(O448="",O448=B448)),"通过","不一致")</x:f>
        <x:v>通过</x:v>
      </x:c>
    </x:row>
    <x:row r="449" ht="22" customHeight="1">
      <x:c r="A449" s="289" t="n">
        <x:v>448</x:v>
      </x:c>
      <x:c r="B449" s="289" t="n">
        <x:v>6468</x:v>
      </x:c>
      <x:c r="C449" s="290" t="str">
        <x:v>黄金圣树·王权</x:v>
      </x:c>
      <x:c r="D449" s="290" t="str">
        <x:v>黄金圣树</x:v>
      </x:c>
      <x:c r="E449" s="290" t="n">
        <x:v>3</x:v>
      </x:c>
      <x:c r="F449" s="290" t="str">
        <x:v>女衣服</x:v>
      </x:c>
      <x:c r="G449" s="289" t="n">
        <x:v>11</x:v>
      </x:c>
      <x:c r="H449" s="289" t="n">
        <x:v>0</x:v>
      </x:c>
      <x:c r="I449" s="289" t="n">
        <x:v>6468</x:v>
      </x:c>
      <x:c r="J449" s="289" t="n">
        <x:v>3</x:v>
      </x:c>
      <x:c r="K449" s="289" t="n">
        <x:v>0</x:v>
      </x:c>
      <x:c r="L449" s="289" t="n">
        <x:v>0</x:v>
      </x:c>
      <x:c r="M449" s="289" t="n">
        <x:v>6468</x:v>
      </x:c>
      <x:c r="N449" s="289" t="n">
        <x:v>6468</x:v>
      </x:c>
      <x:c r="O449" s="289" t="n">
        <x:v>6468</x:v>
      </x:c>
      <x:c r="P449" s="292" t="str">
        <x:v>Hum.wzl/wzx（复用现有真实动作）</x:v>
      </x:c>
      <x:c r="Q449" s="292" t="str">
        <x:v>candidate-preflight-passed</x:v>
      </x:c>
      <x:c r="R449" s="292" t="str"/>
      <x:c r="S449" s="292" t="str">
        <x:v>玄渊二十套全装备代码总表.xlsx</x:v>
      </x:c>
      <x:c r="T449" s="292" t="str">
        <x:v>玄渊20套全装备视觉候选；Items/StateItem/DnItems三库同码；属性待策划填写；Hum Shape=3</x:v>
      </x:c>
      <x:c r="U449" t="str">
        <x:f>IF(COUNTIF($B$2:$B$1076,B449)&gt;1,"重复","")</x:f>
      </x:c>
      <x:c r="V449" t="str">
        <x:f>IF(AND(OR(M449="",M449=B449),OR(N449="",N449=B449),OR(O449="",O449=B449)),"通过","不一致")</x:f>
        <x:v>通过</x:v>
      </x:c>
    </x:row>
    <x:row r="450" ht="22" customHeight="1">
      <x:c r="A450" s="289" t="n">
        <x:v>449</x:v>
      </x:c>
      <x:c r="B450" s="289" t="n">
        <x:v>6469</x:v>
      </x:c>
      <x:c r="C450" s="290" t="str">
        <x:v>黄金圣树·王权</x:v>
      </x:c>
      <x:c r="D450" s="290" t="str">
        <x:v>黄金圣树</x:v>
      </x:c>
      <x:c r="E450" s="290" t="n">
        <x:v>3</x:v>
      </x:c>
      <x:c r="F450" s="290" t="str">
        <x:v>头盔</x:v>
      </x:c>
      <x:c r="G450" s="289" t="n">
        <x:v>15</x:v>
      </x:c>
      <x:c r="H450" s="289" t="n">
        <x:v>4</x:v>
      </x:c>
      <x:c r="I450" s="289" t="n">
        <x:v>6469</x:v>
      </x:c>
      <x:c r="J450" s="289" t="n">
        <x:v>0</x:v>
      </x:c>
      <x:c r="K450" s="289" t="n">
        <x:v>0</x:v>
      </x:c>
      <x:c r="L450" s="289" t="n">
        <x:v>0</x:v>
      </x:c>
      <x:c r="M450" s="289" t="n">
        <x:v>6469</x:v>
      </x:c>
      <x:c r="N450" s="289" t="n">
        <x:v>6469</x:v>
      </x:c>
      <x:c r="O450" s="289" t="n">
        <x:v>6469</x:v>
      </x:c>
      <x:c r="P450" s="292"/>
      <x:c r="Q450" s="292" t="str">
        <x:v>candidate-preflight-passed</x:v>
      </x:c>
      <x:c r="R450" s="324" t="str">
        <x:v>C3-C10规划锁定：西境军盔</x:v>
      </x:c>
      <x:c r="S450" s="292" t="str">
        <x:v>玄渊二十套全装备代码总表.xlsx</x:v>
      </x:c>
      <x:c r="T450" s="292" t="str">
        <x:v>玄渊20套全装备视觉候选；Items/StateItem/DnItems三库同码；属性待策划填写</x:v>
      </x:c>
      <x:c r="U450" t="str">
        <x:f>IF(COUNTIF($B$2:$B$1076,B450)&gt;1,"重复","")</x:f>
      </x:c>
      <x:c r="V450" t="str">
        <x:f>IF(AND(OR(M450="",M450=B450),OR(N450="",N450=B450),OR(O450="",O450=B450)),"通过","不一致")</x:f>
        <x:v>通过</x:v>
      </x:c>
    </x:row>
    <x:row r="451" ht="22" customHeight="1">
      <x:c r="A451" s="289" t="n">
        <x:v>450</x:v>
      </x:c>
      <x:c r="B451" s="289" t="n">
        <x:v>6470</x:v>
      </x:c>
      <x:c r="C451" s="290" t="str">
        <x:v>黄金圣树·王权</x:v>
      </x:c>
      <x:c r="D451" s="290" t="str">
        <x:v>黄金圣树</x:v>
      </x:c>
      <x:c r="E451" s="290" t="n">
        <x:v>3</x:v>
      </x:c>
      <x:c r="F451" s="290" t="str">
        <x:v>面巾</x:v>
      </x:c>
      <x:c r="G451" s="289" t="n">
        <x:v>16</x:v>
      </x:c>
      <x:c r="H451" s="289" t="n">
        <x:v>13</x:v>
      </x:c>
      <x:c r="I451" s="289" t="n">
        <x:v>6470</x:v>
      </x:c>
      <x:c r="J451" s="289" t="n">
        <x:v>0</x:v>
      </x:c>
      <x:c r="K451" s="289" t="n">
        <x:v>0</x:v>
      </x:c>
      <x:c r="L451" s="289" t="n">
        <x:v>0</x:v>
      </x:c>
      <x:c r="M451" s="289" t="n">
        <x:v>6470</x:v>
      </x:c>
      <x:c r="N451" s="289" t="n">
        <x:v>6470</x:v>
      </x:c>
      <x:c r="O451" s="289" t="n">
        <x:v>6470</x:v>
      </x:c>
      <x:c r="P451" s="292"/>
      <x:c r="Q451" s="292" t="str">
        <x:v>candidate-preflight-passed</x:v>
      </x:c>
      <x:c r="R451" s="324" t="str">
        <x:v>C3-C10规划锁定：灰篷面巾</x:v>
      </x:c>
      <x:c r="S451" s="292" t="str">
        <x:v>玄渊二十套全装备代码总表.xlsx</x:v>
      </x:c>
      <x:c r="T451" s="292" t="str">
        <x:v>玄渊20套全装备视觉候选；Items/StateItem/DnItems三库同码；属性待策划填写</x:v>
      </x:c>
      <x:c r="U451" t="str">
        <x:f>IF(COUNTIF($B$2:$B$1076,B451)&gt;1,"重复","")</x:f>
      </x:c>
      <x:c r="V451" t="str">
        <x:f>IF(AND(OR(M451="",M451=B451),OR(N451="",N451=B451),OR(O451="",O451=B451)),"通过","不一致")</x:f>
        <x:v>通过</x:v>
      </x:c>
    </x:row>
    <x:row r="452" ht="22" customHeight="1">
      <x:c r="A452" s="289" t="n">
        <x:v>451</x:v>
      </x:c>
      <x:c r="B452" s="289" t="n">
        <x:v>6471</x:v>
      </x:c>
      <x:c r="C452" s="290" t="str">
        <x:v>黄金圣树·王权</x:v>
      </x:c>
      <x:c r="D452" s="290" t="str">
        <x:v>黄金圣树</x:v>
      </x:c>
      <x:c r="E452" s="290" t="n">
        <x:v>3</x:v>
      </x:c>
      <x:c r="F452" s="290" t="str">
        <x:v>项链</x:v>
      </x:c>
      <x:c r="G452" s="289" t="n">
        <x:v>19</x:v>
      </x:c>
      <x:c r="H452" s="289" t="n">
        <x:v>3</x:v>
      </x:c>
      <x:c r="I452" s="289" t="n">
        <x:v>6471</x:v>
      </x:c>
      <x:c r="J452" s="289" t="n">
        <x:v>0</x:v>
      </x:c>
      <x:c r="K452" s="289" t="n">
        <x:v>0</x:v>
      </x:c>
      <x:c r="L452" s="289" t="n">
        <x:v>0</x:v>
      </x:c>
      <x:c r="M452" s="289" t="n">
        <x:v>6471</x:v>
      </x:c>
      <x:c r="N452" s="289" t="n">
        <x:v>6471</x:v>
      </x:c>
      <x:c r="O452" s="289" t="n">
        <x:v>6471</x:v>
      </x:c>
      <x:c r="P452" s="292"/>
      <x:c r="Q452" s="292" t="str">
        <x:v>candidate-preflight-passed</x:v>
      </x:c>
      <x:c r="R452" s="324" t="str">
        <x:v>C3-C10规划锁定：断旗战链</x:v>
      </x:c>
      <x:c r="S452" s="292" t="str">
        <x:v>玄渊二十套全装备代码总表.xlsx</x:v>
      </x:c>
      <x:c r="T452" s="292" t="str">
        <x:v>玄渊20套全装备视觉候选；Items/StateItem/DnItems三库同码；属性待策划填写</x:v>
      </x:c>
      <x:c r="U452" t="str">
        <x:f>IF(COUNTIF($B$2:$B$1076,B452)&gt;1,"重复","")</x:f>
      </x:c>
      <x:c r="V452" t="str">
        <x:f>IF(AND(OR(M452="",M452=B452),OR(N452="",N452=B452),OR(O452="",O452=B452)),"通过","不一致")</x:f>
        <x:v>通过</x:v>
      </x:c>
    </x:row>
    <x:row r="453" ht="22" customHeight="1">
      <x:c r="A453" s="289" t="n">
        <x:v>452</x:v>
      </x:c>
      <x:c r="B453" s="289" t="n">
        <x:v>6472</x:v>
      </x:c>
      <x:c r="C453" s="290" t="str">
        <x:v>黄金圣树·王权</x:v>
      </x:c>
      <x:c r="D453" s="290" t="str">
        <x:v>黄金圣树</x:v>
      </x:c>
      <x:c r="E453" s="290" t="n">
        <x:v>3</x:v>
      </x:c>
      <x:c r="F453" s="290" t="str">
        <x:v>手镯</x:v>
      </x:c>
      <x:c r="G453" s="289" t="n">
        <x:v>26</x:v>
      </x:c>
      <x:c r="H453" s="289" t="n">
        <x:v>5</x:v>
      </x:c>
      <x:c r="I453" s="289" t="n">
        <x:v>6472</x:v>
      </x:c>
      <x:c r="J453" s="289" t="n">
        <x:v>0</x:v>
      </x:c>
      <x:c r="K453" s="289" t="n">
        <x:v>0</x:v>
      </x:c>
      <x:c r="L453" s="289" t="n">
        <x:v>0</x:v>
      </x:c>
      <x:c r="M453" s="289" t="n">
        <x:v>6472</x:v>
      </x:c>
      <x:c r="N453" s="289" t="n">
        <x:v>6472</x:v>
      </x:c>
      <x:c r="O453" s="289" t="n">
        <x:v>6472</x:v>
      </x:c>
      <x:c r="P453" s="292"/>
      <x:c r="Q453" s="292" t="str">
        <x:v>candidate-preflight-passed</x:v>
      </x:c>
      <x:c r="R453" s="324" t="str">
        <x:v>C3-C10规划锁定：掠风护腕</x:v>
      </x:c>
      <x:c r="S453" s="292" t="str">
        <x:v>玄渊二十套全装备代码总表.xlsx</x:v>
      </x:c>
      <x:c r="T453" s="292" t="str">
        <x:v>玄渊20套全装备视觉候选；Items/StateItem/DnItems三库同码；属性待策划填写</x:v>
      </x:c>
      <x:c r="U453" t="str">
        <x:f>IF(COUNTIF($B$2:$B$1076,B453)&gt;1,"重复","")</x:f>
      </x:c>
      <x:c r="V453" t="str">
        <x:f>IF(AND(OR(M453="",M453=B453),OR(N453="",N453=B453),OR(O453="",O453=B453)),"通过","不一致")</x:f>
        <x:v>通过</x:v>
      </x:c>
    </x:row>
    <x:row r="454" ht="22" customHeight="1">
      <x:c r="A454" s="289" t="n">
        <x:v>453</x:v>
      </x:c>
      <x:c r="B454" s="289" t="n">
        <x:v>6473</x:v>
      </x:c>
      <x:c r="C454" s="290" t="str">
        <x:v>黄金圣树·王权</x:v>
      </x:c>
      <x:c r="D454" s="290" t="str">
        <x:v>黄金圣树</x:v>
      </x:c>
      <x:c r="E454" s="290" t="n">
        <x:v>3</x:v>
      </x:c>
      <x:c r="F454" s="290" t="str">
        <x:v>戒指</x:v>
      </x:c>
      <x:c r="G454" s="289" t="n">
        <x:v>22</x:v>
      </x:c>
      <x:c r="H454" s="289" t="n">
        <x:v>7</x:v>
      </x:c>
      <x:c r="I454" s="289" t="n">
        <x:v>6473</x:v>
      </x:c>
      <x:c r="J454" s="289" t="n">
        <x:v>0</x:v>
      </x:c>
      <x:c r="K454" s="289" t="n">
        <x:v>0</x:v>
      </x:c>
      <x:c r="L454" s="289" t="n">
        <x:v>0</x:v>
      </x:c>
      <x:c r="M454" s="289" t="n">
        <x:v>6473</x:v>
      </x:c>
      <x:c r="N454" s="289" t="n">
        <x:v>6473</x:v>
      </x:c>
      <x:c r="O454" s="289" t="n">
        <x:v>6473</x:v>
      </x:c>
      <x:c r="P454" s="292"/>
      <x:c r="Q454" s="292" t="str">
        <x:v>candidate-preflight-passed</x:v>
      </x:c>
      <x:c r="R454" s="324" t="str">
        <x:v>C3-C10规划锁定：枯草牙戒</x:v>
      </x:c>
      <x:c r="S454" s="292" t="str">
        <x:v>玄渊二十套全装备代码总表.xlsx</x:v>
      </x:c>
      <x:c r="T454" s="292" t="str">
        <x:v>玄渊20套全装备视觉候选；Items/StateItem/DnItems三库同码；属性待策划填写</x:v>
      </x:c>
      <x:c r="U454" t="str">
        <x:f>IF(COUNTIF($B$2:$B$1076,B454)&gt;1,"重复","")</x:f>
      </x:c>
      <x:c r="V454" t="str">
        <x:f>IF(AND(OR(M454="",M454=B454),OR(N454="",N454=B454),OR(O454="",O454=B454)),"通过","不一致")</x:f>
        <x:v>通过</x:v>
      </x:c>
    </x:row>
    <x:row r="455" ht="22" customHeight="1">
      <x:c r="A455" s="289" t="n">
        <x:v>454</x:v>
      </x:c>
      <x:c r="B455" s="289" t="n">
        <x:v>6474</x:v>
      </x:c>
      <x:c r="C455" s="290" t="str">
        <x:v>黄金圣树·王权</x:v>
      </x:c>
      <x:c r="D455" s="290" t="str">
        <x:v>黄金圣树</x:v>
      </x:c>
      <x:c r="E455" s="290" t="n">
        <x:v>3</x:v>
      </x:c>
      <x:c r="F455" s="290" t="str">
        <x:v>勋章</x:v>
      </x:c>
      <x:c r="G455" s="289" t="n">
        <x:v>30</x:v>
      </x:c>
      <x:c r="H455" s="289" t="n">
        <x:v>2</x:v>
      </x:c>
      <x:c r="I455" s="289" t="n">
        <x:v>6474</x:v>
      </x:c>
      <x:c r="J455" s="289" t="n">
        <x:v>0</x:v>
      </x:c>
      <x:c r="K455" s="289" t="n">
        <x:v>0</x:v>
      </x:c>
      <x:c r="L455" s="289" t="n">
        <x:v>0</x:v>
      </x:c>
      <x:c r="M455" s="289" t="n">
        <x:v>6474</x:v>
      </x:c>
      <x:c r="N455" s="289" t="n">
        <x:v>6474</x:v>
      </x:c>
      <x:c r="O455" s="289" t="n">
        <x:v>6474</x:v>
      </x:c>
      <x:c r="P455" s="292"/>
      <x:c r="Q455" s="292" t="str">
        <x:v>candidate-preflight-passed</x:v>
      </x:c>
      <x:c r="R455" s="324" t="str">
        <x:v>C3-C10规划锁定：收尸骨印</x:v>
      </x:c>
      <x:c r="S455" s="292" t="str">
        <x:v>玄渊二十套全装备代码总表.xlsx</x:v>
      </x:c>
      <x:c r="T455" s="292" t="str">
        <x:v>玄渊20套全装备视觉候选；Items/StateItem/DnItems三库同码；属性待策划填写</x:v>
      </x:c>
      <x:c r="U455" t="str">
        <x:f>IF(COUNTIF($B$2:$B$1076,B455)&gt;1,"重复","")</x:f>
      </x:c>
      <x:c r="V455" t="str">
        <x:f>IF(AND(OR(M455="",M455=B455),OR(N455="",N455=B455),OR(O455="",O455=B455)),"通过","不一致")</x:f>
        <x:v>通过</x:v>
      </x:c>
    </x:row>
    <x:row r="456" ht="22" customHeight="1">
      <x:c r="A456" s="289" t="n">
        <x:v>455</x:v>
      </x:c>
      <x:c r="B456" s="289" t="n">
        <x:v>6475</x:v>
      </x:c>
      <x:c r="C456" s="290" t="str">
        <x:v>黄金圣树·王权</x:v>
      </x:c>
      <x:c r="D456" s="290" t="str">
        <x:v>黄金圣树</x:v>
      </x:c>
      <x:c r="E456" s="290" t="n">
        <x:v>3</x:v>
      </x:c>
      <x:c r="F456" s="290" t="str">
        <x:v>盾牌</x:v>
      </x:c>
      <x:c r="G456" s="289" t="n">
        <x:v>12</x:v>
      </x:c>
      <x:c r="H456" s="289" t="n">
        <x:v>16</x:v>
      </x:c>
      <x:c r="I456" s="289" t="n">
        <x:v>6475</x:v>
      </x:c>
      <x:c r="J456" s="289" t="n">
        <x:v>0</x:v>
      </x:c>
      <x:c r="K456" s="289" t="n">
        <x:v>0</x:v>
      </x:c>
      <x:c r="L456" s="289" t="n">
        <x:v>0</x:v>
      </x:c>
      <x:c r="M456" s="289" t="n">
        <x:v>6475</x:v>
      </x:c>
      <x:c r="N456" s="289" t="n">
        <x:v>6475</x:v>
      </x:c>
      <x:c r="O456" s="289" t="n">
        <x:v>6475</x:v>
      </x:c>
      <x:c r="P456" s="292"/>
      <x:c r="Q456" s="292" t="str">
        <x:v>candidate-preflight-passed</x:v>
      </x:c>
      <x:c r="R456" s="324" t="str">
        <x:v>C3-C10规划锁定：潮穴石盾</x:v>
      </x:c>
      <x:c r="S456" s="292" t="str">
        <x:v>玄渊二十套全装备代码总表.xlsx</x:v>
      </x:c>
      <x:c r="T456" s="292" t="str">
        <x:v>玄渊20套全装备视觉候选；Items/StateItem/DnItems三库同码；属性待策划填写</x:v>
      </x:c>
      <x:c r="U456" t="str">
        <x:f>IF(COUNTIF($B$2:$B$1076,B456)&gt;1,"重复","")</x:f>
      </x:c>
      <x:c r="V456" t="str">
        <x:f>IF(AND(OR(M456="",M456=B456),OR(N456="",N456=B456),OR(O456="",O456=B456)),"通过","不一致")</x:f>
        <x:v>通过</x:v>
      </x:c>
    </x:row>
    <x:row r="457" ht="22" customHeight="1">
      <x:c r="A457" s="289" t="n">
        <x:v>456</x:v>
      </x:c>
      <x:c r="B457" s="289" t="n">
        <x:v>6476</x:v>
      </x:c>
      <x:c r="C457" s="290" t="str">
        <x:v>黄金圣树·王权</x:v>
      </x:c>
      <x:c r="D457" s="290" t="str">
        <x:v>黄金圣树</x:v>
      </x:c>
      <x:c r="E457" s="290" t="n">
        <x:v>3</x:v>
      </x:c>
      <x:c r="F457" s="290" t="str">
        <x:v>灵玉</x:v>
      </x:c>
      <x:c r="G457" s="289" t="n">
        <x:v>90</x:v>
      </x:c>
      <x:c r="H457" s="289" t="n">
        <x:v>17</x:v>
      </x:c>
      <x:c r="I457" s="289" t="n">
        <x:v>6476</x:v>
      </x:c>
      <x:c r="J457" s="289" t="n">
        <x:v>0</x:v>
      </x:c>
      <x:c r="K457" s="289" t="n">
        <x:v>0</x:v>
      </x:c>
      <x:c r="L457" s="289" t="n">
        <x:v>0</x:v>
      </x:c>
      <x:c r="M457" s="289" t="n">
        <x:v>6476</x:v>
      </x:c>
      <x:c r="N457" s="289" t="n">
        <x:v>6476</x:v>
      </x:c>
      <x:c r="O457" s="289" t="n">
        <x:v>6476</x:v>
      </x:c>
      <x:c r="P457" s="292"/>
      <x:c r="Q457" s="292" t="str">
        <x:v>candidate-preflight-passed</x:v>
      </x:c>
      <x:c r="R457" s="292" t="str"/>
      <x:c r="S457" s="292" t="str">
        <x:v>玄渊二十套全装备代码总表.xlsx</x:v>
      </x:c>
      <x:c r="T457" s="292" t="str">
        <x:v>玄渊20套全装备视觉候选；Items/StateItem/DnItems三库同码；属性待策划填写</x:v>
      </x:c>
      <x:c r="U457" t="str">
        <x:f>IF(COUNTIF($B$2:$B$1076,B457)&gt;1,"重复","")</x:f>
      </x:c>
      <x:c r="V457" t="str">
        <x:f>IF(AND(OR(M457="",M457=B457),OR(N457="",N457=B457),OR(O457="",O457=B457)),"通过","不一致")</x:f>
        <x:v>通过</x:v>
      </x:c>
    </x:row>
    <x:row r="458" ht="22" customHeight="1">
      <x:c r="A458" s="289" t="n">
        <x:v>457</x:v>
      </x:c>
      <x:c r="B458" s="289" t="n">
        <x:v>6477</x:v>
      </x:c>
      <x:c r="C458" s="290" t="str">
        <x:v>黄金圣树·王权</x:v>
      </x:c>
      <x:c r="D458" s="290" t="str">
        <x:v>黄金圣树</x:v>
      </x:c>
      <x:c r="E458" s="290" t="n">
        <x:v>3</x:v>
      </x:c>
      <x:c r="F458" s="290" t="str">
        <x:v>鞋子</x:v>
      </x:c>
      <x:c r="G458" s="289" t="n">
        <x:v>62</x:v>
      </x:c>
      <x:c r="H458" s="289" t="n">
        <x:v>11</x:v>
      </x:c>
      <x:c r="I458" s="289" t="n">
        <x:v>6477</x:v>
      </x:c>
      <x:c r="J458" s="289" t="n">
        <x:v>0</x:v>
      </x:c>
      <x:c r="K458" s="289" t="n">
        <x:v>0</x:v>
      </x:c>
      <x:c r="L458" s="289" t="n">
        <x:v>0</x:v>
      </x:c>
      <x:c r="M458" s="289" t="n">
        <x:v>6477</x:v>
      </x:c>
      <x:c r="N458" s="289" t="n">
        <x:v>6477</x:v>
      </x:c>
      <x:c r="O458" s="289" t="n">
        <x:v>6477</x:v>
      </x:c>
      <x:c r="P458" s="292"/>
      <x:c r="Q458" s="292" t="str">
        <x:v>candidate-preflight-passed</x:v>
      </x:c>
      <x:c r="R458" s="324" t="str">
        <x:v>C3-C10规划锁定：铁蹄战靴</x:v>
      </x:c>
      <x:c r="S458" s="292" t="str">
        <x:v>玄渊二十套全装备代码总表.xlsx</x:v>
      </x:c>
      <x:c r="T458" s="292" t="str">
        <x:v>玄渊20套全装备视觉候选；Items/StateItem/DnItems三库同码；属性待策划填写</x:v>
      </x:c>
      <x:c r="U458" t="str">
        <x:f>IF(COUNTIF($B$2:$B$1076,B458)&gt;1,"重复","")</x:f>
      </x:c>
      <x:c r="V458" t="str">
        <x:f>IF(AND(OR(M458="",M458=B458),OR(N458="",N458=B458),OR(O458="",O458=B458)),"通过","不一致")</x:f>
        <x:v>通过</x:v>
      </x:c>
    </x:row>
    <x:row r="459" ht="22" customHeight="1">
      <x:c r="A459" s="289" t="n">
        <x:v>458</x:v>
      </x:c>
      <x:c r="B459" s="289" t="n">
        <x:v>6478</x:v>
      </x:c>
      <x:c r="C459" s="290" t="str">
        <x:v>黄金圣树·王权</x:v>
      </x:c>
      <x:c r="D459" s="290" t="str">
        <x:v>黄金圣树</x:v>
      </x:c>
      <x:c r="E459" s="290" t="n">
        <x:v>3</x:v>
      </x:c>
      <x:c r="F459" s="290" t="str">
        <x:v>腰带</x:v>
      </x:c>
      <x:c r="G459" s="289" t="n">
        <x:v>64</x:v>
      </x:c>
      <x:c r="H459" s="289" t="n">
        <x:v>10</x:v>
      </x:c>
      <x:c r="I459" s="289" t="n">
        <x:v>6478</x:v>
      </x:c>
      <x:c r="J459" s="289" t="n">
        <x:v>0</x:v>
      </x:c>
      <x:c r="K459" s="289" t="n">
        <x:v>0</x:v>
      </x:c>
      <x:c r="L459" s="289" t="n">
        <x:v>0</x:v>
      </x:c>
      <x:c r="M459" s="289" t="n">
        <x:v>6478</x:v>
      </x:c>
      <x:c r="N459" s="289" t="n">
        <x:v>6478</x:v>
      </x:c>
      <x:c r="O459" s="289" t="n">
        <x:v>6478</x:v>
      </x:c>
      <x:c r="P459" s="292"/>
      <x:c r="Q459" s="292" t="str">
        <x:v>candidate-preflight-passed</x:v>
      </x:c>
      <x:c r="R459" s="324" t="str">
        <x:v>C3-C10规划锁定：锈甲腰封</x:v>
      </x:c>
      <x:c r="S459" s="292" t="str">
        <x:v>玄渊二十套全装备代码总表.xlsx</x:v>
      </x:c>
      <x:c r="T459" s="292" t="str">
        <x:v>玄渊20套全装备视觉候选；Items/StateItem/DnItems三库同码；属性待策划填写</x:v>
      </x:c>
      <x:c r="U459" t="str">
        <x:f>IF(COUNTIF($B$2:$B$1076,B459)&gt;1,"重复","")</x:f>
      </x:c>
      <x:c r="V459" t="str">
        <x:f>IF(AND(OR(M459="",M459=B459),OR(N459="",N459=B459),OR(O459="",O459=B459)),"通过","不一致")</x:f>
        <x:v>通过</x:v>
      </x:c>
    </x:row>
    <x:row r="460" ht="22" customHeight="1">
      <x:c r="A460" s="289" t="n">
        <x:v>459</x:v>
      </x:c>
      <x:c r="B460" s="289" t="n">
        <x:v>6479</x:v>
      </x:c>
      <x:c r="C460" s="290" t="str">
        <x:v>黄金圣树·王权</x:v>
      </x:c>
      <x:c r="D460" s="290" t="str">
        <x:v>黄金圣树</x:v>
      </x:c>
      <x:c r="E460" s="290" t="n">
        <x:v>3</x:v>
      </x:c>
      <x:c r="F460" s="290" t="str">
        <x:v>护身符</x:v>
      </x:c>
      <x:c r="G460" s="289" t="n">
        <x:v>25</x:v>
      </x:c>
      <x:c r="H460" s="289" t="n">
        <x:v>9</x:v>
      </x:c>
      <x:c r="I460" s="289" t="n">
        <x:v>6479</x:v>
      </x:c>
      <x:c r="J460" s="289" t="n">
        <x:v>0</x:v>
      </x:c>
      <x:c r="K460" s="289" t="n">
        <x:v>0</x:v>
      </x:c>
      <x:c r="L460" s="289" t="n">
        <x:v>0</x:v>
      </x:c>
      <x:c r="M460" s="289" t="n">
        <x:v>6479</x:v>
      </x:c>
      <x:c r="N460" s="289" t="n">
        <x:v>6479</x:v>
      </x:c>
      <x:c r="O460" s="289" t="n">
        <x:v>6479</x:v>
      </x:c>
      <x:c r="P460" s="292"/>
      <x:c r="Q460" s="292" t="str">
        <x:v>candidate-preflight-passed</x:v>
      </x:c>
      <x:c r="R460" s="292" t="str"/>
      <x:c r="S460" s="292" t="str">
        <x:v>玄渊二十套全装备代码总表.xlsx</x:v>
      </x:c>
      <x:c r="T460" s="292" t="str">
        <x:v>玄渊20套全装备视觉候选；Items/StateItem/DnItems三库同码；属性待策划填写</x:v>
      </x:c>
      <x:c r="U460" t="str">
        <x:f>IF(COUNTIF($B$2:$B$1076,B460)&gt;1,"重复","")</x:f>
      </x:c>
      <x:c r="V460" t="str">
        <x:f>IF(AND(OR(M460="",M460=B460),OR(N460="",N460=B460),OR(O460="",O460=B460)),"通过","不一致")</x:f>
        <x:v>通过</x:v>
      </x:c>
    </x:row>
    <x:row r="461" ht="22" customHeight="1">
      <x:c r="A461" s="289" t="n">
        <x:v>460</x:v>
      </x:c>
      <x:c r="B461" s="289" t="n">
        <x:v>6480</x:v>
      </x:c>
      <x:c r="C461" s="290" t="str">
        <x:v>黄金圣树·王权</x:v>
      </x:c>
      <x:c r="D461" s="290" t="str">
        <x:v>黄金圣树</x:v>
      </x:c>
      <x:c r="E461" s="290" t="n">
        <x:v>3</x:v>
      </x:c>
      <x:c r="F461" s="290" t="str">
        <x:v>宝石</x:v>
      </x:c>
      <x:c r="G461" s="289" t="n">
        <x:v>63</x:v>
      </x:c>
      <x:c r="H461" s="289" t="n">
        <x:v>12</x:v>
      </x:c>
      <x:c r="I461" s="289" t="n">
        <x:v>6480</x:v>
      </x:c>
      <x:c r="J461" s="289" t="n">
        <x:v>0</x:v>
      </x:c>
      <x:c r="K461" s="289" t="n">
        <x:v>0</x:v>
      </x:c>
      <x:c r="L461" s="289" t="n">
        <x:v>0</x:v>
      </x:c>
      <x:c r="M461" s="289" t="n">
        <x:v>6480</x:v>
      </x:c>
      <x:c r="N461" s="289" t="n">
        <x:v>6480</x:v>
      </x:c>
      <x:c r="O461" s="289" t="n">
        <x:v>6480</x:v>
      </x:c>
      <x:c r="P461" s="292"/>
      <x:c r="Q461" s="292" t="str">
        <x:v>candidate-preflight-passed</x:v>
      </x:c>
      <x:c r="R461" s="292" t="str"/>
      <x:c r="S461" s="292" t="str">
        <x:v>玄渊二十套全装备代码总表.xlsx</x:v>
      </x:c>
      <x:c r="T461" s="292" t="str">
        <x:v>玄渊20套全装备视觉候选；Items/StateItem/DnItems三库同码；属性待策划填写</x:v>
      </x:c>
      <x:c r="U461" t="str">
        <x:f>IF(COUNTIF($B$2:$B$1076,B461)&gt;1,"重复","")</x:f>
      </x:c>
      <x:c r="V461" t="str">
        <x:f>IF(AND(OR(M461="",M461=B461),OR(N461="",N461=B461),OR(O461="",O461=B461)),"通过","不一致")</x:f>
        <x:v>通过</x:v>
      </x:c>
    </x:row>
    <x:row r="462" ht="22" customHeight="1">
      <x:c r="A462" s="289" t="n">
        <x:v>461</x:v>
      </x:c>
      <x:c r="B462" s="289" t="n">
        <x:v>6481</x:v>
      </x:c>
      <x:c r="C462" s="290" t="str">
        <x:v>黄金圣树·王权</x:v>
      </x:c>
      <x:c r="D462" s="290" t="str">
        <x:v>黄金圣树</x:v>
      </x:c>
      <x:c r="E462" s="290" t="n">
        <x:v>3</x:v>
      </x:c>
      <x:c r="F462" s="290" t="str">
        <x:v>军鼓</x:v>
      </x:c>
      <x:c r="G462" s="289" t="n">
        <x:v>65</x:v>
      </x:c>
      <x:c r="H462" s="289" t="n">
        <x:v>14</x:v>
      </x:c>
      <x:c r="I462" s="289" t="n">
        <x:v>6481</x:v>
      </x:c>
      <x:c r="J462" s="289" t="n">
        <x:v>0</x:v>
      </x:c>
      <x:c r="K462" s="289" t="n">
        <x:v>0</x:v>
      </x:c>
      <x:c r="L462" s="289" t="n">
        <x:v>0</x:v>
      </x:c>
      <x:c r="M462" s="289" t="n">
        <x:v>6481</x:v>
      </x:c>
      <x:c r="N462" s="289" t="n">
        <x:v>6481</x:v>
      </x:c>
      <x:c r="O462" s="289" t="n">
        <x:v>6481</x:v>
      </x:c>
      <x:c r="P462" s="292"/>
      <x:c r="Q462" s="292" t="str">
        <x:v>candidate-preflight-passed</x:v>
      </x:c>
      <x:c r="R462" s="292" t="str"/>
      <x:c r="S462" s="292" t="str">
        <x:v>玄渊二十套全装备代码总表.xlsx</x:v>
      </x:c>
      <x:c r="T462" s="292" t="str">
        <x:v>玄渊20套全装备视觉候选；Items/StateItem/DnItems三库同码；属性待策划填写</x:v>
      </x:c>
      <x:c r="U462" t="str">
        <x:f>IF(COUNTIF($B$2:$B$1076,B462)&gt;1,"重复","")</x:f>
      </x:c>
      <x:c r="V462" t="str">
        <x:f>IF(AND(OR(M462="",M462=B462),OR(N462="",N462=B462),OR(O462="",O462=B462)),"通过","不一致")</x:f>
        <x:v>通过</x:v>
      </x:c>
    </x:row>
    <x:row r="463" ht="22" customHeight="1">
      <x:c r="A463" s="289" t="n">
        <x:v>462</x:v>
      </x:c>
      <x:c r="B463" s="289" t="n">
        <x:v>6482</x:v>
      </x:c>
      <x:c r="C463" s="290" t="str">
        <x:v>黄金圣树·王权</x:v>
      </x:c>
      <x:c r="D463" s="290" t="str">
        <x:v>黄金圣树</x:v>
      </x:c>
      <x:c r="E463" s="290" t="n">
        <x:v>3</x:v>
      </x:c>
      <x:c r="F463" s="290" t="str">
        <x:v>马牌</x:v>
      </x:c>
      <x:c r="G463" s="289" t="n">
        <x:v>28</x:v>
      </x:c>
      <x:c r="H463" s="289" t="n">
        <x:v>15</x:v>
      </x:c>
      <x:c r="I463" s="289" t="n">
        <x:v>6482</x:v>
      </x:c>
      <x:c r="J463" s="289" t="n">
        <x:v>0</x:v>
      </x:c>
      <x:c r="K463" s="289" t="n">
        <x:v>0</x:v>
      </x:c>
      <x:c r="L463" s="289" t="n">
        <x:v>0</x:v>
      </x:c>
      <x:c r="M463" s="289" t="n">
        <x:v>6482</x:v>
      </x:c>
      <x:c r="N463" s="289" t="n">
        <x:v>6482</x:v>
      </x:c>
      <x:c r="O463" s="289" t="n">
        <x:v>6482</x:v>
      </x:c>
      <x:c r="P463" s="292"/>
      <x:c r="Q463" s="292" t="str">
        <x:v>candidate-preflight-passed</x:v>
      </x:c>
      <x:c r="R463" s="292" t="str"/>
      <x:c r="S463" s="292" t="str">
        <x:v>玄渊二十套全装备代码总表.xlsx</x:v>
      </x:c>
      <x:c r="T463" s="292" t="str">
        <x:v>玄渊20套全装备视觉候选；Items/StateItem/DnItems三库同码；属性待策划填写</x:v>
      </x:c>
      <x:c r="U463" t="str">
        <x:f>IF(COUNTIF($B$2:$B$1076,B463)&gt;1,"重复","")</x:f>
      </x:c>
      <x:c r="V463" t="str">
        <x:f>IF(AND(OR(M463="",M463=B463),OR(N463="",N463=B463),OR(O463="",O463=B463)),"通过","不一致")</x:f>
        <x:v>通过</x:v>
      </x:c>
    </x:row>
    <x:row r="464" ht="22" customHeight="1">
      <x:c r="A464" s="289" t="n">
        <x:v>463</x:v>
      </x:c>
      <x:c r="B464" s="289" t="n">
        <x:v>6483</x:v>
      </x:c>
      <x:c r="C464" s="290" t="str">
        <x:v>黄金圣树·王权</x:v>
      </x:c>
      <x:c r="D464" s="290" t="str">
        <x:v>黄金圣树</x:v>
      </x:c>
      <x:c r="E464" s="290" t="n">
        <x:v>3</x:v>
      </x:c>
      <x:c r="F464" s="290" t="str">
        <x:v>首饰盒1</x:v>
      </x:c>
      <x:c r="G464" s="289" t="n">
        <x:v>22</x:v>
      </x:c>
      <x:c r="H464" s="289" t="n">
        <x:v>30</x:v>
      </x:c>
      <x:c r="I464" s="289" t="n">
        <x:v>6483</x:v>
      </x:c>
      <x:c r="J464" s="289" t="n">
        <x:v>0</x:v>
      </x:c>
      <x:c r="K464" s="289" t="n">
        <x:v>2</x:v>
      </x:c>
      <x:c r="L464" s="289" t="n">
        <x:v>1</x:v>
      </x:c>
      <x:c r="M464" s="289" t="n">
        <x:v>6483</x:v>
      </x:c>
      <x:c r="N464" s="289" t="n">
        <x:v>6483</x:v>
      </x:c>
      <x:c r="O464" s="289" t="n">
        <x:v>6483</x:v>
      </x:c>
      <x:c r="P464" s="292"/>
      <x:c r="Q464" s="292" t="str">
        <x:v>candidate-preflight-passed</x:v>
      </x:c>
      <x:c r="R464" s="292" t="str"/>
      <x:c r="S464" s="292" t="str">
        <x:v>玄渊二十套全装备代码总表.xlsx</x:v>
      </x:c>
      <x:c r="T464" s="292" t="str">
        <x:v>玄渊20套全装备视觉候选；Items/StateItem/DnItems三库同码；属性待策划填写；OverLap=2; Expand1=1</x:v>
      </x:c>
      <x:c r="U464" t="str">
        <x:f>IF(COUNTIF($B$2:$B$1076,B464)&gt;1,"重复","")</x:f>
      </x:c>
      <x:c r="V464" t="str">
        <x:f>IF(AND(OR(M464="",M464=B464),OR(N464="",N464=B464),OR(O464="",O464=B464)),"通过","不一致")</x:f>
        <x:v>通过</x:v>
      </x:c>
    </x:row>
    <x:row r="465" ht="22" customHeight="1">
      <x:c r="A465" s="289" t="n">
        <x:v>464</x:v>
      </x:c>
      <x:c r="B465" s="289" t="n">
        <x:v>6484</x:v>
      </x:c>
      <x:c r="C465" s="290" t="str">
        <x:v>黄金圣树·王权</x:v>
      </x:c>
      <x:c r="D465" s="290" t="str">
        <x:v>黄金圣树</x:v>
      </x:c>
      <x:c r="E465" s="290" t="n">
        <x:v>3</x:v>
      </x:c>
      <x:c r="F465" s="290" t="str">
        <x:v>首饰盒2</x:v>
      </x:c>
      <x:c r="G465" s="289" t="n">
        <x:v>22</x:v>
      </x:c>
      <x:c r="H465" s="289" t="n">
        <x:v>31</x:v>
      </x:c>
      <x:c r="I465" s="289" t="n">
        <x:v>6484</x:v>
      </x:c>
      <x:c r="J465" s="289" t="n">
        <x:v>0</x:v>
      </x:c>
      <x:c r="K465" s="289" t="n">
        <x:v>2</x:v>
      </x:c>
      <x:c r="L465" s="289" t="n">
        <x:v>2</x:v>
      </x:c>
      <x:c r="M465" s="289" t="n">
        <x:v>6484</x:v>
      </x:c>
      <x:c r="N465" s="289" t="n">
        <x:v>6484</x:v>
      </x:c>
      <x:c r="O465" s="289" t="n">
        <x:v>6484</x:v>
      </x:c>
      <x:c r="P465" s="292"/>
      <x:c r="Q465" s="292" t="str">
        <x:v>candidate-preflight-passed</x:v>
      </x:c>
      <x:c r="R465" s="292" t="str"/>
      <x:c r="S465" s="292" t="str">
        <x:v>玄渊二十套全装备代码总表.xlsx</x:v>
      </x:c>
      <x:c r="T465" s="292" t="str">
        <x:v>玄渊20套全装备视觉候选；Items/StateItem/DnItems三库同码；属性待策划填写；OverLap=2; Expand1=2</x:v>
      </x:c>
      <x:c r="U465" t="str">
        <x:f>IF(COUNTIF($B$2:$B$1076,B465)&gt;1,"重复","")</x:f>
      </x:c>
      <x:c r="V465" t="str">
        <x:f>IF(AND(OR(M465="",M465=B465),OR(N465="",N465=B465),OR(O465="",O465=B465)),"通过","不一致")</x:f>
        <x:v>通过</x:v>
      </x:c>
    </x:row>
    <x:row r="466" ht="22" customHeight="1">
      <x:c r="A466" s="289" t="n">
        <x:v>465</x:v>
      </x:c>
      <x:c r="B466" s="289" t="n">
        <x:v>6485</x:v>
      </x:c>
      <x:c r="C466" s="290" t="str">
        <x:v>黄金圣树·王权</x:v>
      </x:c>
      <x:c r="D466" s="290" t="str">
        <x:v>黄金圣树</x:v>
      </x:c>
      <x:c r="E466" s="290" t="n">
        <x:v>3</x:v>
      </x:c>
      <x:c r="F466" s="290" t="str">
        <x:v>首饰盒3</x:v>
      </x:c>
      <x:c r="G466" s="289" t="n">
        <x:v>22</x:v>
      </x:c>
      <x:c r="H466" s="289" t="n">
        <x:v>32</x:v>
      </x:c>
      <x:c r="I466" s="289" t="n">
        <x:v>6485</x:v>
      </x:c>
      <x:c r="J466" s="289" t="n">
        <x:v>0</x:v>
      </x:c>
      <x:c r="K466" s="289" t="n">
        <x:v>2</x:v>
      </x:c>
      <x:c r="L466" s="289" t="n">
        <x:v>3</x:v>
      </x:c>
      <x:c r="M466" s="289" t="n">
        <x:v>6485</x:v>
      </x:c>
      <x:c r="N466" s="289" t="n">
        <x:v>6485</x:v>
      </x:c>
      <x:c r="O466" s="289" t="n">
        <x:v>6485</x:v>
      </x:c>
      <x:c r="P466" s="292"/>
      <x:c r="Q466" s="292" t="str">
        <x:v>candidate-preflight-passed</x:v>
      </x:c>
      <x:c r="R466" s="292" t="str"/>
      <x:c r="S466" s="292" t="str">
        <x:v>玄渊二十套全装备代码总表.xlsx</x:v>
      </x:c>
      <x:c r="T466" s="292" t="str">
        <x:v>玄渊20套全装备视觉候选；Items/StateItem/DnItems三库同码；属性待策划填写；OverLap=2; Expand1=3</x:v>
      </x:c>
      <x:c r="U466" t="str">
        <x:f>IF(COUNTIF($B$2:$B$1076,B466)&gt;1,"重复","")</x:f>
      </x:c>
      <x:c r="V466" t="str">
        <x:f>IF(AND(OR(M466="",M466=B466),OR(N466="",N466=B466),OR(O466="",O466=B466)),"通过","不一致")</x:f>
        <x:v>通过</x:v>
      </x:c>
    </x:row>
    <x:row r="467" ht="22" customHeight="1">
      <x:c r="A467" s="289" t="n">
        <x:v>466</x:v>
      </x:c>
      <x:c r="B467" s="289" t="n">
        <x:v>6486</x:v>
      </x:c>
      <x:c r="C467" s="290" t="str">
        <x:v>黄金圣树·王权</x:v>
      </x:c>
      <x:c r="D467" s="290" t="str">
        <x:v>黄金圣树</x:v>
      </x:c>
      <x:c r="E467" s="290" t="n">
        <x:v>3</x:v>
      </x:c>
      <x:c r="F467" s="290" t="str">
        <x:v>首饰盒4</x:v>
      </x:c>
      <x:c r="G467" s="289" t="n">
        <x:v>22</x:v>
      </x:c>
      <x:c r="H467" s="289" t="n">
        <x:v>33</x:v>
      </x:c>
      <x:c r="I467" s="289" t="n">
        <x:v>6486</x:v>
      </x:c>
      <x:c r="J467" s="289" t="n">
        <x:v>0</x:v>
      </x:c>
      <x:c r="K467" s="289" t="n">
        <x:v>2</x:v>
      </x:c>
      <x:c r="L467" s="289" t="n">
        <x:v>4</x:v>
      </x:c>
      <x:c r="M467" s="289" t="n">
        <x:v>6486</x:v>
      </x:c>
      <x:c r="N467" s="289" t="n">
        <x:v>6486</x:v>
      </x:c>
      <x:c r="O467" s="289" t="n">
        <x:v>6486</x:v>
      </x:c>
      <x:c r="P467" s="292"/>
      <x:c r="Q467" s="292" t="str">
        <x:v>candidate-preflight-passed</x:v>
      </x:c>
      <x:c r="R467" s="292" t="str"/>
      <x:c r="S467" s="292" t="str">
        <x:v>玄渊二十套全装备代码总表.xlsx</x:v>
      </x:c>
      <x:c r="T467" s="292" t="str">
        <x:v>玄渊20套全装备视觉候选；Items/StateItem/DnItems三库同码；属性待策划填写；OverLap=2; Expand1=4</x:v>
      </x:c>
      <x:c r="U467" t="str">
        <x:f>IF(COUNTIF($B$2:$B$1076,B467)&gt;1,"重复","")</x:f>
      </x:c>
      <x:c r="V467" t="str">
        <x:f>IF(AND(OR(M467="",M467=B467),OR(N467="",N467=B467),OR(O467="",O467=B467)),"通过","不一致")</x:f>
        <x:v>通过</x:v>
      </x:c>
    </x:row>
    <x:row r="468" ht="22" customHeight="1">
      <x:c r="A468" s="289" t="n">
        <x:v>467</x:v>
      </x:c>
      <x:c r="B468" s="289" t="n">
        <x:v>6487</x:v>
      </x:c>
      <x:c r="C468" s="290" t="str">
        <x:v>黄金圣树·王权</x:v>
      </x:c>
      <x:c r="D468" s="290" t="str">
        <x:v>黄金圣树</x:v>
      </x:c>
      <x:c r="E468" s="290" t="n">
        <x:v>3</x:v>
      </x:c>
      <x:c r="F468" s="290" t="str">
        <x:v>首饰盒5</x:v>
      </x:c>
      <x:c r="G468" s="289" t="n">
        <x:v>22</x:v>
      </x:c>
      <x:c r="H468" s="289" t="n">
        <x:v>34</x:v>
      </x:c>
      <x:c r="I468" s="289" t="n">
        <x:v>6487</x:v>
      </x:c>
      <x:c r="J468" s="289" t="n">
        <x:v>0</x:v>
      </x:c>
      <x:c r="K468" s="289" t="n">
        <x:v>2</x:v>
      </x:c>
      <x:c r="L468" s="289" t="n">
        <x:v>5</x:v>
      </x:c>
      <x:c r="M468" s="289" t="n">
        <x:v>6487</x:v>
      </x:c>
      <x:c r="N468" s="289" t="n">
        <x:v>6487</x:v>
      </x:c>
      <x:c r="O468" s="289" t="n">
        <x:v>6487</x:v>
      </x:c>
      <x:c r="P468" s="292"/>
      <x:c r="Q468" s="292" t="str">
        <x:v>candidate-preflight-passed</x:v>
      </x:c>
      <x:c r="R468" s="292" t="str"/>
      <x:c r="S468" s="292" t="str">
        <x:v>玄渊二十套全装备代码总表.xlsx</x:v>
      </x:c>
      <x:c r="T468" s="292" t="str">
        <x:v>玄渊20套全装备视觉候选；Items/StateItem/DnItems三库同码；属性待策划填写；OverLap=2; Expand1=5</x:v>
      </x:c>
      <x:c r="U468" t="str">
        <x:f>IF(COUNTIF($B$2:$B$1076,B468)&gt;1,"重复","")</x:f>
      </x:c>
      <x:c r="V468" t="str">
        <x:f>IF(AND(OR(M468="",M468=B468),OR(N468="",N468=B468),OR(O468="",O468=B468)),"通过","不一致")</x:f>
        <x:v>通过</x:v>
      </x:c>
    </x:row>
    <x:row r="469" ht="22" customHeight="1">
      <x:c r="A469" s="289" t="n">
        <x:v>468</x:v>
      </x:c>
      <x:c r="B469" s="289" t="n">
        <x:v>6488</x:v>
      </x:c>
      <x:c r="C469" s="290" t="str">
        <x:v>黄金圣树·王权</x:v>
      </x:c>
      <x:c r="D469" s="290" t="str">
        <x:v>黄金圣树</x:v>
      </x:c>
      <x:c r="E469" s="290" t="n">
        <x:v>3</x:v>
      </x:c>
      <x:c r="F469" s="290" t="str">
        <x:v>首饰盒6</x:v>
      </x:c>
      <x:c r="G469" s="289" t="n">
        <x:v>22</x:v>
      </x:c>
      <x:c r="H469" s="289" t="n">
        <x:v>35</x:v>
      </x:c>
      <x:c r="I469" s="289" t="n">
        <x:v>6488</x:v>
      </x:c>
      <x:c r="J469" s="289" t="n">
        <x:v>0</x:v>
      </x:c>
      <x:c r="K469" s="289" t="n">
        <x:v>2</x:v>
      </x:c>
      <x:c r="L469" s="289" t="n">
        <x:v>6</x:v>
      </x:c>
      <x:c r="M469" s="289" t="n">
        <x:v>6488</x:v>
      </x:c>
      <x:c r="N469" s="289" t="n">
        <x:v>6488</x:v>
      </x:c>
      <x:c r="O469" s="289" t="n">
        <x:v>6488</x:v>
      </x:c>
      <x:c r="P469" s="292"/>
      <x:c r="Q469" s="292" t="str">
        <x:v>candidate-preflight-passed</x:v>
      </x:c>
      <x:c r="R469" s="292" t="str"/>
      <x:c r="S469" s="292" t="str">
        <x:v>玄渊二十套全装备代码总表.xlsx</x:v>
      </x:c>
      <x:c r="T469" s="292" t="str">
        <x:v>玄渊20套全装备视觉候选；Items/StateItem/DnItems三库同码；属性待策划填写；OverLap=2; Expand1=6</x:v>
      </x:c>
      <x:c r="U469" t="str">
        <x:f>IF(COUNTIF($B$2:$B$1076,B469)&gt;1,"重复","")</x:f>
      </x:c>
      <x:c r="V469" t="str">
        <x:f>IF(AND(OR(M469="",M469=B469),OR(N469="",N469=B469),OR(O469="",O469=B469)),"通过","不一致")</x:f>
        <x:v>通过</x:v>
      </x:c>
    </x:row>
    <x:row r="470" ht="22" customHeight="1">
      <x:c r="A470" s="289" t="n">
        <x:v>469</x:v>
      </x:c>
      <x:c r="B470" s="289" t="n">
        <x:v>6489</x:v>
      </x:c>
      <x:c r="C470" s="290" t="str">
        <x:v>黄金圣树·王权</x:v>
      </x:c>
      <x:c r="D470" s="290" t="str">
        <x:v>黄金圣树</x:v>
      </x:c>
      <x:c r="E470" s="290" t="n">
        <x:v>3</x:v>
      </x:c>
      <x:c r="F470" s="290" t="str">
        <x:v>生肖1</x:v>
      </x:c>
      <x:c r="G470" s="289" t="n">
        <x:v>22</x:v>
      </x:c>
      <x:c r="H470" s="289" t="n">
        <x:v>40</x:v>
      </x:c>
      <x:c r="I470" s="289" t="n">
        <x:v>6489</x:v>
      </x:c>
      <x:c r="J470" s="289" t="n">
        <x:v>0</x:v>
      </x:c>
      <x:c r="K470" s="289" t="n">
        <x:v>4</x:v>
      </x:c>
      <x:c r="L470" s="289" t="n">
        <x:v>1</x:v>
      </x:c>
      <x:c r="M470" s="289" t="n">
        <x:v>6489</x:v>
      </x:c>
      <x:c r="N470" s="289" t="n">
        <x:v>6489</x:v>
      </x:c>
      <x:c r="O470" s="289" t="n">
        <x:v>6489</x:v>
      </x:c>
      <x:c r="P470" s="292"/>
      <x:c r="Q470" s="292" t="str">
        <x:v>candidate-preflight-passed</x:v>
      </x:c>
      <x:c r="R470" s="292" t="str"/>
      <x:c r="S470" s="292" t="str">
        <x:v>玄渊二十套全装备代码总表.xlsx</x:v>
      </x:c>
      <x:c r="T470" s="292" t="str">
        <x:v>玄渊20套全装备视觉候选；Items/StateItem/DnItems三库同码；属性待策划填写；OverLap=4; Expand1=1</x:v>
      </x:c>
      <x:c r="U470" t="str">
        <x:f>IF(COUNTIF($B$2:$B$1076,B470)&gt;1,"重复","")</x:f>
      </x:c>
      <x:c r="V470" t="str">
        <x:f>IF(AND(OR(M470="",M470=B470),OR(N470="",N470=B470),OR(O470="",O470=B470)),"通过","不一致")</x:f>
        <x:v>通过</x:v>
      </x:c>
    </x:row>
    <x:row r="471" ht="22" customHeight="1">
      <x:c r="A471" s="289" t="n">
        <x:v>470</x:v>
      </x:c>
      <x:c r="B471" s="289" t="n">
        <x:v>6490</x:v>
      </x:c>
      <x:c r="C471" s="290" t="str">
        <x:v>黄金圣树·王权</x:v>
      </x:c>
      <x:c r="D471" s="290" t="str">
        <x:v>黄金圣树</x:v>
      </x:c>
      <x:c r="E471" s="290" t="n">
        <x:v>3</x:v>
      </x:c>
      <x:c r="F471" s="290" t="str">
        <x:v>生肖2</x:v>
      </x:c>
      <x:c r="G471" s="289" t="n">
        <x:v>22</x:v>
      </x:c>
      <x:c r="H471" s="289" t="n">
        <x:v>41</x:v>
      </x:c>
      <x:c r="I471" s="289" t="n">
        <x:v>6490</x:v>
      </x:c>
      <x:c r="J471" s="289" t="n">
        <x:v>0</x:v>
      </x:c>
      <x:c r="K471" s="289" t="n">
        <x:v>4</x:v>
      </x:c>
      <x:c r="L471" s="289" t="n">
        <x:v>2</x:v>
      </x:c>
      <x:c r="M471" s="289" t="n">
        <x:v>6490</x:v>
      </x:c>
      <x:c r="N471" s="289" t="n">
        <x:v>6490</x:v>
      </x:c>
      <x:c r="O471" s="289" t="n">
        <x:v>6490</x:v>
      </x:c>
      <x:c r="P471" s="292"/>
      <x:c r="Q471" s="292" t="str">
        <x:v>candidate-preflight-passed</x:v>
      </x:c>
      <x:c r="R471" s="292" t="str"/>
      <x:c r="S471" s="292" t="str">
        <x:v>玄渊二十套全装备代码总表.xlsx</x:v>
      </x:c>
      <x:c r="T471" s="292" t="str">
        <x:v>玄渊20套全装备视觉候选；Items/StateItem/DnItems三库同码；属性待策划填写；OverLap=4; Expand1=2</x:v>
      </x:c>
      <x:c r="U471" t="str">
        <x:f>IF(COUNTIF($B$2:$B$1076,B471)&gt;1,"重复","")</x:f>
      </x:c>
      <x:c r="V471" t="str">
        <x:f>IF(AND(OR(M471="",M471=B471),OR(N471="",N471=B471),OR(O471="",O471=B471)),"通过","不一致")</x:f>
        <x:v>通过</x:v>
      </x:c>
    </x:row>
    <x:row r="472" ht="22" customHeight="1">
      <x:c r="A472" s="289" t="n">
        <x:v>471</x:v>
      </x:c>
      <x:c r="B472" s="289" t="n">
        <x:v>6491</x:v>
      </x:c>
      <x:c r="C472" s="290" t="str">
        <x:v>黄金圣树·王权</x:v>
      </x:c>
      <x:c r="D472" s="290" t="str">
        <x:v>黄金圣树</x:v>
      </x:c>
      <x:c r="E472" s="290" t="n">
        <x:v>3</x:v>
      </x:c>
      <x:c r="F472" s="290" t="str">
        <x:v>生肖3</x:v>
      </x:c>
      <x:c r="G472" s="289" t="n">
        <x:v>22</x:v>
      </x:c>
      <x:c r="H472" s="289" t="n">
        <x:v>42</x:v>
      </x:c>
      <x:c r="I472" s="289" t="n">
        <x:v>6491</x:v>
      </x:c>
      <x:c r="J472" s="289" t="n">
        <x:v>0</x:v>
      </x:c>
      <x:c r="K472" s="289" t="n">
        <x:v>4</x:v>
      </x:c>
      <x:c r="L472" s="289" t="n">
        <x:v>3</x:v>
      </x:c>
      <x:c r="M472" s="289" t="n">
        <x:v>6491</x:v>
      </x:c>
      <x:c r="N472" s="289" t="n">
        <x:v>6491</x:v>
      </x:c>
      <x:c r="O472" s="289" t="n">
        <x:v>6491</x:v>
      </x:c>
      <x:c r="P472" s="292"/>
      <x:c r="Q472" s="292" t="str">
        <x:v>candidate-preflight-passed</x:v>
      </x:c>
      <x:c r="R472" s="292" t="str"/>
      <x:c r="S472" s="292" t="str">
        <x:v>玄渊二十套全装备代码总表.xlsx</x:v>
      </x:c>
      <x:c r="T472" s="292" t="str">
        <x:v>玄渊20套全装备视觉候选；Items/StateItem/DnItems三库同码；属性待策划填写；OverLap=4; Expand1=3</x:v>
      </x:c>
      <x:c r="U472" t="str">
        <x:f>IF(COUNTIF($B$2:$B$1076,B472)&gt;1,"重复","")</x:f>
      </x:c>
      <x:c r="V472" t="str">
        <x:f>IF(AND(OR(M472="",M472=B472),OR(N472="",N472=B472),OR(O472="",O472=B472)),"通过","不一致")</x:f>
        <x:v>通过</x:v>
      </x:c>
    </x:row>
    <x:row r="473" ht="22" customHeight="1">
      <x:c r="A473" s="289" t="n">
        <x:v>472</x:v>
      </x:c>
      <x:c r="B473" s="289" t="n">
        <x:v>6492</x:v>
      </x:c>
      <x:c r="C473" s="290" t="str">
        <x:v>黄金圣树·王权</x:v>
      </x:c>
      <x:c r="D473" s="290" t="str">
        <x:v>黄金圣树</x:v>
      </x:c>
      <x:c r="E473" s="290" t="n">
        <x:v>3</x:v>
      </x:c>
      <x:c r="F473" s="290" t="str">
        <x:v>生肖4</x:v>
      </x:c>
      <x:c r="G473" s="289" t="n">
        <x:v>22</x:v>
      </x:c>
      <x:c r="H473" s="289" t="n">
        <x:v>43</x:v>
      </x:c>
      <x:c r="I473" s="289" t="n">
        <x:v>6492</x:v>
      </x:c>
      <x:c r="J473" s="289" t="n">
        <x:v>0</x:v>
      </x:c>
      <x:c r="K473" s="289" t="n">
        <x:v>4</x:v>
      </x:c>
      <x:c r="L473" s="289" t="n">
        <x:v>4</x:v>
      </x:c>
      <x:c r="M473" s="289" t="n">
        <x:v>6492</x:v>
      </x:c>
      <x:c r="N473" s="289" t="n">
        <x:v>6492</x:v>
      </x:c>
      <x:c r="O473" s="289" t="n">
        <x:v>6492</x:v>
      </x:c>
      <x:c r="P473" s="292"/>
      <x:c r="Q473" s="292" t="str">
        <x:v>candidate-preflight-passed</x:v>
      </x:c>
      <x:c r="R473" s="292" t="str"/>
      <x:c r="S473" s="292" t="str">
        <x:v>玄渊二十套全装备代码总表.xlsx</x:v>
      </x:c>
      <x:c r="T473" s="292" t="str">
        <x:v>玄渊20套全装备视觉候选；Items/StateItem/DnItems三库同码；属性待策划填写；OverLap=4; Expand1=4</x:v>
      </x:c>
      <x:c r="U473" t="str">
        <x:f>IF(COUNTIF($B$2:$B$1076,B473)&gt;1,"重复","")</x:f>
      </x:c>
      <x:c r="V473" t="str">
        <x:f>IF(AND(OR(M473="",M473=B473),OR(N473="",N473=B473),OR(O473="",O473=B473)),"通过","不一致")</x:f>
        <x:v>通过</x:v>
      </x:c>
    </x:row>
    <x:row r="474" ht="22" customHeight="1">
      <x:c r="A474" s="289" t="n">
        <x:v>473</x:v>
      </x:c>
      <x:c r="B474" s="289" t="n">
        <x:v>6493</x:v>
      </x:c>
      <x:c r="C474" s="290" t="str">
        <x:v>黄金圣树·王权</x:v>
      </x:c>
      <x:c r="D474" s="290" t="str">
        <x:v>黄金圣树</x:v>
      </x:c>
      <x:c r="E474" s="290" t="n">
        <x:v>3</x:v>
      </x:c>
      <x:c r="F474" s="290" t="str">
        <x:v>生肖5</x:v>
      </x:c>
      <x:c r="G474" s="289" t="n">
        <x:v>22</x:v>
      </x:c>
      <x:c r="H474" s="289" t="n">
        <x:v>44</x:v>
      </x:c>
      <x:c r="I474" s="289" t="n">
        <x:v>6493</x:v>
      </x:c>
      <x:c r="J474" s="289" t="n">
        <x:v>0</x:v>
      </x:c>
      <x:c r="K474" s="289" t="n">
        <x:v>4</x:v>
      </x:c>
      <x:c r="L474" s="289" t="n">
        <x:v>5</x:v>
      </x:c>
      <x:c r="M474" s="289" t="n">
        <x:v>6493</x:v>
      </x:c>
      <x:c r="N474" s="289" t="n">
        <x:v>6493</x:v>
      </x:c>
      <x:c r="O474" s="289" t="n">
        <x:v>6493</x:v>
      </x:c>
      <x:c r="P474" s="292"/>
      <x:c r="Q474" s="292" t="str">
        <x:v>candidate-preflight-passed</x:v>
      </x:c>
      <x:c r="R474" s="292" t="str"/>
      <x:c r="S474" s="292" t="str">
        <x:v>玄渊二十套全装备代码总表.xlsx</x:v>
      </x:c>
      <x:c r="T474" s="292" t="str">
        <x:v>玄渊20套全装备视觉候选；Items/StateItem/DnItems三库同码；属性待策划填写；OverLap=4; Expand1=5</x:v>
      </x:c>
      <x:c r="U474" t="str">
        <x:f>IF(COUNTIF($B$2:$B$1076,B474)&gt;1,"重复","")</x:f>
      </x:c>
      <x:c r="V474" t="str">
        <x:f>IF(AND(OR(M474="",M474=B474),OR(N474="",N474=B474),OR(O474="",O474=B474)),"通过","不一致")</x:f>
        <x:v>通过</x:v>
      </x:c>
    </x:row>
    <x:row r="475" ht="22" customHeight="1">
      <x:c r="A475" s="289" t="n">
        <x:v>474</x:v>
      </x:c>
      <x:c r="B475" s="289" t="n">
        <x:v>6494</x:v>
      </x:c>
      <x:c r="C475" s="290" t="str">
        <x:v>黄金圣树·王权</x:v>
      </x:c>
      <x:c r="D475" s="290" t="str">
        <x:v>黄金圣树</x:v>
      </x:c>
      <x:c r="E475" s="290" t="n">
        <x:v>3</x:v>
      </x:c>
      <x:c r="F475" s="290" t="str">
        <x:v>生肖6</x:v>
      </x:c>
      <x:c r="G475" s="289" t="n">
        <x:v>22</x:v>
      </x:c>
      <x:c r="H475" s="289" t="n">
        <x:v>45</x:v>
      </x:c>
      <x:c r="I475" s="289" t="n">
        <x:v>6494</x:v>
      </x:c>
      <x:c r="J475" s="289" t="n">
        <x:v>0</x:v>
      </x:c>
      <x:c r="K475" s="289" t="n">
        <x:v>4</x:v>
      </x:c>
      <x:c r="L475" s="289" t="n">
        <x:v>6</x:v>
      </x:c>
      <x:c r="M475" s="289" t="n">
        <x:v>6494</x:v>
      </x:c>
      <x:c r="N475" s="289" t="n">
        <x:v>6494</x:v>
      </x:c>
      <x:c r="O475" s="289" t="n">
        <x:v>6494</x:v>
      </x:c>
      <x:c r="P475" s="292"/>
      <x:c r="Q475" s="292" t="str">
        <x:v>candidate-preflight-passed</x:v>
      </x:c>
      <x:c r="R475" s="292" t="str"/>
      <x:c r="S475" s="292" t="str">
        <x:v>玄渊二十套全装备代码总表.xlsx</x:v>
      </x:c>
      <x:c r="T475" s="292" t="str">
        <x:v>玄渊20套全装备视觉候选；Items/StateItem/DnItems三库同码；属性待策划填写；OverLap=4; Expand1=6</x:v>
      </x:c>
      <x:c r="U475" t="str">
        <x:f>IF(COUNTIF($B$2:$B$1076,B475)&gt;1,"重复","")</x:f>
      </x:c>
      <x:c r="V475" t="str">
        <x:f>IF(AND(OR(M475="",M475=B475),OR(N475="",N475=B475),OR(O475="",O475=B475)),"通过","不一致")</x:f>
        <x:v>通过</x:v>
      </x:c>
    </x:row>
    <x:row r="476" ht="22" customHeight="1">
      <x:c r="A476" s="289" t="n">
        <x:v>475</x:v>
      </x:c>
      <x:c r="B476" s="289" t="n">
        <x:v>6495</x:v>
      </x:c>
      <x:c r="C476" s="290" t="str">
        <x:v>黄金圣树·王权</x:v>
      </x:c>
      <x:c r="D476" s="290" t="str">
        <x:v>黄金圣树</x:v>
      </x:c>
      <x:c r="E476" s="290" t="n">
        <x:v>3</x:v>
      </x:c>
      <x:c r="F476" s="290" t="str">
        <x:v>生肖7</x:v>
      </x:c>
      <x:c r="G476" s="289" t="n">
        <x:v>22</x:v>
      </x:c>
      <x:c r="H476" s="289" t="n">
        <x:v>46</x:v>
      </x:c>
      <x:c r="I476" s="289" t="n">
        <x:v>6495</x:v>
      </x:c>
      <x:c r="J476" s="289" t="n">
        <x:v>0</x:v>
      </x:c>
      <x:c r="K476" s="289" t="n">
        <x:v>4</x:v>
      </x:c>
      <x:c r="L476" s="289" t="n">
        <x:v>7</x:v>
      </x:c>
      <x:c r="M476" s="289" t="n">
        <x:v>6495</x:v>
      </x:c>
      <x:c r="N476" s="289" t="n">
        <x:v>6495</x:v>
      </x:c>
      <x:c r="O476" s="289" t="n">
        <x:v>6495</x:v>
      </x:c>
      <x:c r="P476" s="292"/>
      <x:c r="Q476" s="292" t="str">
        <x:v>candidate-preflight-passed</x:v>
      </x:c>
      <x:c r="R476" s="292" t="str"/>
      <x:c r="S476" s="292" t="str">
        <x:v>玄渊二十套全装备代码总表.xlsx</x:v>
      </x:c>
      <x:c r="T476" s="292" t="str">
        <x:v>玄渊20套全装备视觉候选；Items/StateItem/DnItems三库同码；属性待策划填写；OverLap=4; Expand1=7</x:v>
      </x:c>
      <x:c r="U476" t="str">
        <x:f>IF(COUNTIF($B$2:$B$1076,B476)&gt;1,"重复","")</x:f>
      </x:c>
      <x:c r="V476" t="str">
        <x:f>IF(AND(OR(M476="",M476=B476),OR(N476="",N476=B476),OR(O476="",O476=B476)),"通过","不一致")</x:f>
        <x:v>通过</x:v>
      </x:c>
    </x:row>
    <x:row r="477" ht="22" customHeight="1">
      <x:c r="A477" s="289" t="n">
        <x:v>476</x:v>
      </x:c>
      <x:c r="B477" s="289" t="n">
        <x:v>6496</x:v>
      </x:c>
      <x:c r="C477" s="290" t="str">
        <x:v>黄金圣树·王权</x:v>
      </x:c>
      <x:c r="D477" s="290" t="str">
        <x:v>黄金圣树</x:v>
      </x:c>
      <x:c r="E477" s="290" t="n">
        <x:v>3</x:v>
      </x:c>
      <x:c r="F477" s="290" t="str">
        <x:v>生肖8</x:v>
      </x:c>
      <x:c r="G477" s="289" t="n">
        <x:v>22</x:v>
      </x:c>
      <x:c r="H477" s="289" t="n">
        <x:v>47</x:v>
      </x:c>
      <x:c r="I477" s="289" t="n">
        <x:v>6496</x:v>
      </x:c>
      <x:c r="J477" s="289" t="n">
        <x:v>0</x:v>
      </x:c>
      <x:c r="K477" s="289" t="n">
        <x:v>4</x:v>
      </x:c>
      <x:c r="L477" s="289" t="n">
        <x:v>8</x:v>
      </x:c>
      <x:c r="M477" s="289" t="n">
        <x:v>6496</x:v>
      </x:c>
      <x:c r="N477" s="289" t="n">
        <x:v>6496</x:v>
      </x:c>
      <x:c r="O477" s="289" t="n">
        <x:v>6496</x:v>
      </x:c>
      <x:c r="P477" s="292"/>
      <x:c r="Q477" s="292" t="str">
        <x:v>candidate-preflight-passed</x:v>
      </x:c>
      <x:c r="R477" s="292" t="str"/>
      <x:c r="S477" s="292" t="str">
        <x:v>玄渊二十套全装备代码总表.xlsx</x:v>
      </x:c>
      <x:c r="T477" s="292" t="str">
        <x:v>玄渊20套全装备视觉候选；Items/StateItem/DnItems三库同码；属性待策划填写；OverLap=4; Expand1=8</x:v>
      </x:c>
      <x:c r="U477" t="str">
        <x:f>IF(COUNTIF($B$2:$B$1076,B477)&gt;1,"重复","")</x:f>
      </x:c>
      <x:c r="V477" t="str">
        <x:f>IF(AND(OR(M477="",M477=B477),OR(N477="",N477=B477),OR(O477="",O477=B477)),"通过","不一致")</x:f>
        <x:v>通过</x:v>
      </x:c>
    </x:row>
    <x:row r="478" ht="22" customHeight="1">
      <x:c r="A478" s="289" t="n">
        <x:v>477</x:v>
      </x:c>
      <x:c r="B478" s="289" t="n">
        <x:v>6497</x:v>
      </x:c>
      <x:c r="C478" s="290" t="str">
        <x:v>黄金圣树·王权</x:v>
      </x:c>
      <x:c r="D478" s="290" t="str">
        <x:v>黄金圣树</x:v>
      </x:c>
      <x:c r="E478" s="290" t="n">
        <x:v>3</x:v>
      </x:c>
      <x:c r="F478" s="290" t="str">
        <x:v>生肖9</x:v>
      </x:c>
      <x:c r="G478" s="289" t="n">
        <x:v>22</x:v>
      </x:c>
      <x:c r="H478" s="289" t="n">
        <x:v>48</x:v>
      </x:c>
      <x:c r="I478" s="289" t="n">
        <x:v>6497</x:v>
      </x:c>
      <x:c r="J478" s="289" t="n">
        <x:v>0</x:v>
      </x:c>
      <x:c r="K478" s="289" t="n">
        <x:v>4</x:v>
      </x:c>
      <x:c r="L478" s="289" t="n">
        <x:v>9</x:v>
      </x:c>
      <x:c r="M478" s="289" t="n">
        <x:v>6497</x:v>
      </x:c>
      <x:c r="N478" s="289" t="n">
        <x:v>6497</x:v>
      </x:c>
      <x:c r="O478" s="289" t="n">
        <x:v>6497</x:v>
      </x:c>
      <x:c r="P478" s="292"/>
      <x:c r="Q478" s="292" t="str">
        <x:v>candidate-preflight-passed</x:v>
      </x:c>
      <x:c r="R478" s="292" t="str"/>
      <x:c r="S478" s="292" t="str">
        <x:v>玄渊二十套全装备代码总表.xlsx</x:v>
      </x:c>
      <x:c r="T478" s="292" t="str">
        <x:v>玄渊20套全装备视觉候选；Items/StateItem/DnItems三库同码；属性待策划填写；OverLap=4; Expand1=9</x:v>
      </x:c>
      <x:c r="U478" t="str">
        <x:f>IF(COUNTIF($B$2:$B$1076,B478)&gt;1,"重复","")</x:f>
      </x:c>
      <x:c r="V478" t="str">
        <x:f>IF(AND(OR(M478="",M478=B478),OR(N478="",N478=B478),OR(O478="",O478=B478)),"通过","不一致")</x:f>
        <x:v>通过</x:v>
      </x:c>
    </x:row>
    <x:row r="479" ht="22" customHeight="1">
      <x:c r="A479" s="289" t="n">
        <x:v>478</x:v>
      </x:c>
      <x:c r="B479" s="289" t="n">
        <x:v>6498</x:v>
      </x:c>
      <x:c r="C479" s="290" t="str">
        <x:v>黄金圣树·王权</x:v>
      </x:c>
      <x:c r="D479" s="290" t="str">
        <x:v>黄金圣树</x:v>
      </x:c>
      <x:c r="E479" s="290" t="n">
        <x:v>3</x:v>
      </x:c>
      <x:c r="F479" s="290" t="str">
        <x:v>生肖10</x:v>
      </x:c>
      <x:c r="G479" s="289" t="n">
        <x:v>22</x:v>
      </x:c>
      <x:c r="H479" s="289" t="n">
        <x:v>49</x:v>
      </x:c>
      <x:c r="I479" s="289" t="n">
        <x:v>6498</x:v>
      </x:c>
      <x:c r="J479" s="289" t="n">
        <x:v>0</x:v>
      </x:c>
      <x:c r="K479" s="289" t="n">
        <x:v>4</x:v>
      </x:c>
      <x:c r="L479" s="289" t="n">
        <x:v>10</x:v>
      </x:c>
      <x:c r="M479" s="289" t="n">
        <x:v>6498</x:v>
      </x:c>
      <x:c r="N479" s="289" t="n">
        <x:v>6498</x:v>
      </x:c>
      <x:c r="O479" s="289" t="n">
        <x:v>6498</x:v>
      </x:c>
      <x:c r="P479" s="292"/>
      <x:c r="Q479" s="292" t="str">
        <x:v>candidate-preflight-passed</x:v>
      </x:c>
      <x:c r="R479" s="292" t="str"/>
      <x:c r="S479" s="292" t="str">
        <x:v>玄渊二十套全装备代码总表.xlsx</x:v>
      </x:c>
      <x:c r="T479" s="292" t="str">
        <x:v>玄渊20套全装备视觉候选；Items/StateItem/DnItems三库同码；属性待策划填写；OverLap=4; Expand1=10</x:v>
      </x:c>
      <x:c r="U479" t="str">
        <x:f>IF(COUNTIF($B$2:$B$1076,B479)&gt;1,"重复","")</x:f>
      </x:c>
      <x:c r="V479" t="str">
        <x:f>IF(AND(OR(M479="",M479=B479),OR(N479="",N479=B479),OR(O479="",O479=B479)),"通过","不一致")</x:f>
        <x:v>通过</x:v>
      </x:c>
    </x:row>
    <x:row r="480" ht="22" customHeight="1">
      <x:c r="A480" s="289" t="n">
        <x:v>479</x:v>
      </x:c>
      <x:c r="B480" s="289" t="n">
        <x:v>6499</x:v>
      </x:c>
      <x:c r="C480" s="290" t="str">
        <x:v>黄金圣树·王权</x:v>
      </x:c>
      <x:c r="D480" s="290" t="str">
        <x:v>黄金圣树</x:v>
      </x:c>
      <x:c r="E480" s="290" t="n">
        <x:v>3</x:v>
      </x:c>
      <x:c r="F480" s="290" t="str">
        <x:v>生肖11</x:v>
      </x:c>
      <x:c r="G480" s="289" t="n">
        <x:v>22</x:v>
      </x:c>
      <x:c r="H480" s="289" t="n">
        <x:v>50</x:v>
      </x:c>
      <x:c r="I480" s="289" t="n">
        <x:v>6499</x:v>
      </x:c>
      <x:c r="J480" s="289" t="n">
        <x:v>0</x:v>
      </x:c>
      <x:c r="K480" s="289" t="n">
        <x:v>4</x:v>
      </x:c>
      <x:c r="L480" s="289" t="n">
        <x:v>11</x:v>
      </x:c>
      <x:c r="M480" s="289" t="n">
        <x:v>6499</x:v>
      </x:c>
      <x:c r="N480" s="289" t="n">
        <x:v>6499</x:v>
      </x:c>
      <x:c r="O480" s="289" t="n">
        <x:v>6499</x:v>
      </x:c>
      <x:c r="P480" s="292"/>
      <x:c r="Q480" s="292" t="str">
        <x:v>candidate-preflight-passed</x:v>
      </x:c>
      <x:c r="R480" s="292" t="str"/>
      <x:c r="S480" s="292" t="str">
        <x:v>玄渊二十套全装备代码总表.xlsx</x:v>
      </x:c>
      <x:c r="T480" s="292" t="str">
        <x:v>玄渊20套全装备视觉候选；Items/StateItem/DnItems三库同码；属性待策划填写；OverLap=4; Expand1=11</x:v>
      </x:c>
      <x:c r="U480" t="str">
        <x:f>IF(COUNTIF($B$2:$B$1076,B480)&gt;1,"重复","")</x:f>
      </x:c>
      <x:c r="V480" t="str">
        <x:f>IF(AND(OR(M480="",M480=B480),OR(N480="",N480=B480),OR(O480="",O480=B480)),"通过","不一致")</x:f>
        <x:v>通过</x:v>
      </x:c>
    </x:row>
    <x:row r="481" ht="22" customHeight="1">
      <x:c r="A481" s="289" t="n">
        <x:v>480</x:v>
      </x:c>
      <x:c r="B481" s="289" t="n">
        <x:v>6500</x:v>
      </x:c>
      <x:c r="C481" s="290" t="str">
        <x:v>黄金圣树·王权</x:v>
      </x:c>
      <x:c r="D481" s="290" t="str">
        <x:v>黄金圣树</x:v>
      </x:c>
      <x:c r="E481" s="290" t="n">
        <x:v>3</x:v>
      </x:c>
      <x:c r="F481" s="290" t="str">
        <x:v>生肖12</x:v>
      </x:c>
      <x:c r="G481" s="289" t="n">
        <x:v>22</x:v>
      </x:c>
      <x:c r="H481" s="289" t="n">
        <x:v>51</x:v>
      </x:c>
      <x:c r="I481" s="289" t="n">
        <x:v>6500</x:v>
      </x:c>
      <x:c r="J481" s="289" t="n">
        <x:v>0</x:v>
      </x:c>
      <x:c r="K481" s="289" t="n">
        <x:v>4</x:v>
      </x:c>
      <x:c r="L481" s="289" t="n">
        <x:v>12</x:v>
      </x:c>
      <x:c r="M481" s="289" t="n">
        <x:v>6500</x:v>
      </x:c>
      <x:c r="N481" s="289" t="n">
        <x:v>6500</x:v>
      </x:c>
      <x:c r="O481" s="289" t="n">
        <x:v>6500</x:v>
      </x:c>
      <x:c r="P481" s="292"/>
      <x:c r="Q481" s="292" t="str">
        <x:v>candidate-preflight-passed</x:v>
      </x:c>
      <x:c r="R481" s="292" t="str"/>
      <x:c r="S481" s="292" t="str">
        <x:v>玄渊二十套全装备代码总表.xlsx</x:v>
      </x:c>
      <x:c r="T481" s="292" t="str">
        <x:v>玄渊20套全装备视觉候选；Items/StateItem/DnItems三库同码；属性待策划填写；OverLap=4; Expand1=12</x:v>
      </x:c>
      <x:c r="U481" t="str">
        <x:f>IF(COUNTIF($B$2:$B$1076,B481)&gt;1,"重复","")</x:f>
      </x:c>
      <x:c r="V481" t="str">
        <x:f>IF(AND(OR(M481="",M481=B481),OR(N481="",N481=B481),OR(O481="",O481=B481)),"通过","不一致")</x:f>
        <x:v>通过</x:v>
      </x:c>
    </x:row>
    <x:row r="482" ht="22" customHeight="1">
      <x:c r="A482" s="289" t="n">
        <x:v>481</x:v>
      </x:c>
      <x:c r="B482" s="289" t="n">
        <x:v>6501</x:v>
      </x:c>
      <x:c r="C482" s="290" t="str">
        <x:v>黄金圣树·律法</x:v>
      </x:c>
      <x:c r="D482" s="290" t="str">
        <x:v>黄金圣树</x:v>
      </x:c>
      <x:c r="E482" s="290" t="n">
        <x:v>4</x:v>
      </x:c>
      <x:c r="F482" s="290" t="str">
        <x:v>武器</x:v>
      </x:c>
      <x:c r="G482" s="289" t="n">
        <x:v>5</x:v>
      </x:c>
      <x:c r="H482" s="289" t="n">
        <x:v>1</x:v>
      </x:c>
      <x:c r="I482" s="289" t="n">
        <x:v>6501</x:v>
      </x:c>
      <x:c r="J482" s="289" t="n">
        <x:v>17</x:v>
      </x:c>
      <x:c r="K482" s="289" t="n">
        <x:v>0</x:v>
      </x:c>
      <x:c r="L482" s="289" t="n">
        <x:v>0</x:v>
      </x:c>
      <x:c r="M482" s="289" t="n">
        <x:v>6501</x:v>
      </x:c>
      <x:c r="N482" s="289" t="n">
        <x:v>6501</x:v>
      </x:c>
      <x:c r="O482" s="289" t="n">
        <x:v>6501</x:v>
      </x:c>
      <x:c r="P482" s="292" t="str">
        <x:v>Weapon.wzl/wzx（复用现有真实动作）</x:v>
      </x:c>
      <x:c r="Q482" s="292" t="str">
        <x:v>candidate-preflight-passed</x:v>
      </x:c>
      <x:c r="R482" s="324" t="str">
        <x:v>C3-C10规划锁定：无路王剑</x:v>
      </x:c>
      <x:c r="S482" s="292" t="str">
        <x:v>玄渊二十套全装备代码总表.xlsx</x:v>
      </x:c>
      <x:c r="T482" s="292" t="str">
        <x:v>玄渊20套全装备视觉候选；Items/StateItem/DnItems三库同码；属性待策划填写；Weapon Shape=17</x:v>
      </x:c>
      <x:c r="U482" t="str">
        <x:f>IF(COUNTIF($B$2:$B$1076,B482)&gt;1,"重复","")</x:f>
      </x:c>
      <x:c r="V482" t="str">
        <x:f>IF(AND(OR(M482="",M482=B482),OR(N482="",N482=B482),OR(O482="",O482=B482)),"通过","不一致")</x:f>
        <x:v>通过</x:v>
      </x:c>
    </x:row>
    <x:row r="483" ht="22" customHeight="1">
      <x:c r="A483" s="289" t="n">
        <x:v>482</x:v>
      </x:c>
      <x:c r="B483" s="289" t="n">
        <x:v>6502</x:v>
      </x:c>
      <x:c r="C483" s="290" t="str">
        <x:v>黄金圣树·律法</x:v>
      </x:c>
      <x:c r="D483" s="290" t="str">
        <x:v>黄金圣树</x:v>
      </x:c>
      <x:c r="E483" s="290" t="n">
        <x:v>4</x:v>
      </x:c>
      <x:c r="F483" s="290" t="str">
        <x:v>男衣服</x:v>
      </x:c>
      <x:c r="G483" s="289" t="n">
        <x:v>10</x:v>
      </x:c>
      <x:c r="H483" s="289" t="n">
        <x:v>0</x:v>
      </x:c>
      <x:c r="I483" s="289" t="n">
        <x:v>6502</x:v>
      </x:c>
      <x:c r="J483" s="289" t="n">
        <x:v>4</x:v>
      </x:c>
      <x:c r="K483" s="289" t="n">
        <x:v>0</x:v>
      </x:c>
      <x:c r="L483" s="289" t="n">
        <x:v>0</x:v>
      </x:c>
      <x:c r="M483" s="289" t="n">
        <x:v>6502</x:v>
      </x:c>
      <x:c r="N483" s="289" t="n">
        <x:v>6502</x:v>
      </x:c>
      <x:c r="O483" s="289" t="n">
        <x:v>6502</x:v>
      </x:c>
      <x:c r="P483" s="292" t="str">
        <x:v>Hum.wzl/wzx（复用现有真实动作）</x:v>
      </x:c>
      <x:c r="Q483" s="292" t="str">
        <x:v>candidate-preflight-passed</x:v>
      </x:c>
      <x:c r="R483" s="324" t="str">
        <x:v>C3-C10规划锁定：赤篷铁衣</x:v>
      </x:c>
      <x:c r="S483" s="292" t="str">
        <x:v>玄渊二十套全装备代码总表.xlsx</x:v>
      </x:c>
      <x:c r="T483" s="292" t="str">
        <x:v>玄渊20套全装备视觉候选；Items/StateItem/DnItems三库同码；属性待策划填写；Hum Shape=4</x:v>
      </x:c>
      <x:c r="U483" t="str">
        <x:f>IF(COUNTIF($B$2:$B$1076,B483)&gt;1,"重复","")</x:f>
      </x:c>
      <x:c r="V483" t="str">
        <x:f>IF(AND(OR(M483="",M483=B483),OR(N483="",N483=B483),OR(O483="",O483=B483)),"通过","不一致")</x:f>
        <x:v>通过</x:v>
      </x:c>
    </x:row>
    <x:row r="484" ht="22" customHeight="1">
      <x:c r="A484" s="289" t="n">
        <x:v>483</x:v>
      </x:c>
      <x:c r="B484" s="289" t="n">
        <x:v>6503</x:v>
      </x:c>
      <x:c r="C484" s="290" t="str">
        <x:v>黄金圣树·律法</x:v>
      </x:c>
      <x:c r="D484" s="290" t="str">
        <x:v>黄金圣树</x:v>
      </x:c>
      <x:c r="E484" s="290" t="n">
        <x:v>4</x:v>
      </x:c>
      <x:c r="F484" s="290" t="str">
        <x:v>女衣服</x:v>
      </x:c>
      <x:c r="G484" s="289" t="n">
        <x:v>11</x:v>
      </x:c>
      <x:c r="H484" s="289" t="n">
        <x:v>0</x:v>
      </x:c>
      <x:c r="I484" s="289" t="n">
        <x:v>6503</x:v>
      </x:c>
      <x:c r="J484" s="289" t="n">
        <x:v>4</x:v>
      </x:c>
      <x:c r="K484" s="289" t="n">
        <x:v>0</x:v>
      </x:c>
      <x:c r="L484" s="289" t="n">
        <x:v>0</x:v>
      </x:c>
      <x:c r="M484" s="289" t="n">
        <x:v>6503</x:v>
      </x:c>
      <x:c r="N484" s="289" t="n">
        <x:v>6503</x:v>
      </x:c>
      <x:c r="O484" s="289" t="n">
        <x:v>6503</x:v>
      </x:c>
      <x:c r="P484" s="292" t="str">
        <x:v>Hum.wzl/wzx（复用现有真实动作）</x:v>
      </x:c>
      <x:c r="Q484" s="292" t="str">
        <x:v>candidate-preflight-passed</x:v>
      </x:c>
      <x:c r="R484" s="292" t="str"/>
      <x:c r="S484" s="292" t="str">
        <x:v>玄渊二十套全装备代码总表.xlsx</x:v>
      </x:c>
      <x:c r="T484" s="292" t="str">
        <x:v>玄渊20套全装备视觉候选；Items/StateItem/DnItems三库同码；属性待策划填写；Hum Shape=4</x:v>
      </x:c>
      <x:c r="U484" t="str">
        <x:f>IF(COUNTIF($B$2:$B$1076,B484)&gt;1,"重复","")</x:f>
      </x:c>
      <x:c r="V484" t="str">
        <x:f>IF(AND(OR(M484="",M484=B484),OR(N484="",N484=B484),OR(O484="",O484=B484)),"通过","不一致")</x:f>
        <x:v>通过</x:v>
      </x:c>
    </x:row>
    <x:row r="485" ht="22" customHeight="1">
      <x:c r="A485" s="289" t="n">
        <x:v>484</x:v>
      </x:c>
      <x:c r="B485" s="289" t="n">
        <x:v>6504</x:v>
      </x:c>
      <x:c r="C485" s="290" t="str">
        <x:v>黄金圣树·律法</x:v>
      </x:c>
      <x:c r="D485" s="290" t="str">
        <x:v>黄金圣树</x:v>
      </x:c>
      <x:c r="E485" s="290" t="n">
        <x:v>4</x:v>
      </x:c>
      <x:c r="F485" s="290" t="str">
        <x:v>头盔</x:v>
      </x:c>
      <x:c r="G485" s="289" t="n">
        <x:v>15</x:v>
      </x:c>
      <x:c r="H485" s="289" t="n">
        <x:v>4</x:v>
      </x:c>
      <x:c r="I485" s="289" t="n">
        <x:v>6504</x:v>
      </x:c>
      <x:c r="J485" s="289" t="n">
        <x:v>0</x:v>
      </x:c>
      <x:c r="K485" s="289" t="n">
        <x:v>0</x:v>
      </x:c>
      <x:c r="L485" s="289" t="n">
        <x:v>0</x:v>
      </x:c>
      <x:c r="M485" s="289" t="n">
        <x:v>6504</x:v>
      </x:c>
      <x:c r="N485" s="289" t="n">
        <x:v>6504</x:v>
      </x:c>
      <x:c r="O485" s="289" t="n">
        <x:v>6504</x:v>
      </x:c>
      <x:c r="P485" s="292"/>
      <x:c r="Q485" s="292" t="str">
        <x:v>candidate-preflight-passed</x:v>
      </x:c>
      <x:c r="R485" s="324" t="str">
        <x:v>C3-C10规划锁定：风蚀眺盔</x:v>
      </x:c>
      <x:c r="S485" s="292" t="str">
        <x:v>玄渊二十套全装备代码总表.xlsx</x:v>
      </x:c>
      <x:c r="T485" s="292" t="str">
        <x:v>玄渊20套全装备视觉候选；Items/StateItem/DnItems三库同码；属性待策划填写</x:v>
      </x:c>
      <x:c r="U485" t="str">
        <x:f>IF(COUNTIF($B$2:$B$1076,B485)&gt;1,"重复","")</x:f>
      </x:c>
      <x:c r="V485" t="str">
        <x:f>IF(AND(OR(M485="",M485=B485),OR(N485="",N485=B485),OR(O485="",O485=B485)),"通过","不一致")</x:f>
        <x:v>通过</x:v>
      </x:c>
    </x:row>
    <x:row r="486" ht="22" customHeight="1">
      <x:c r="A486" s="289" t="n">
        <x:v>485</x:v>
      </x:c>
      <x:c r="B486" s="289" t="n">
        <x:v>6505</x:v>
      </x:c>
      <x:c r="C486" s="290" t="str">
        <x:v>黄金圣树·律法</x:v>
      </x:c>
      <x:c r="D486" s="290" t="str">
        <x:v>黄金圣树</x:v>
      </x:c>
      <x:c r="E486" s="290" t="n">
        <x:v>4</x:v>
      </x:c>
      <x:c r="F486" s="290" t="str">
        <x:v>面巾</x:v>
      </x:c>
      <x:c r="G486" s="289" t="n">
        <x:v>16</x:v>
      </x:c>
      <x:c r="H486" s="289" t="n">
        <x:v>13</x:v>
      </x:c>
      <x:c r="I486" s="289" t="n">
        <x:v>6505</x:v>
      </x:c>
      <x:c r="J486" s="289" t="n">
        <x:v>0</x:v>
      </x:c>
      <x:c r="K486" s="289" t="n">
        <x:v>0</x:v>
      </x:c>
      <x:c r="L486" s="289" t="n">
        <x:v>0</x:v>
      </x:c>
      <x:c r="M486" s="289" t="n">
        <x:v>6505</x:v>
      </x:c>
      <x:c r="N486" s="289" t="n">
        <x:v>6505</x:v>
      </x:c>
      <x:c r="O486" s="289" t="n">
        <x:v>6505</x:v>
      </x:c>
      <x:c r="P486" s="292"/>
      <x:c r="Q486" s="292" t="str">
        <x:v>candidate-preflight-passed</x:v>
      </x:c>
      <x:c r="R486" s="324" t="str">
        <x:v>C3-C10规划锁定：水巫雾纱笠</x:v>
      </x:c>
      <x:c r="S486" s="292" t="str">
        <x:v>玄渊二十套全装备代码总表.xlsx</x:v>
      </x:c>
      <x:c r="T486" s="292" t="str">
        <x:v>玄渊20套全装备视觉候选；Items/StateItem/DnItems三库同码；属性待策划填写</x:v>
      </x:c>
      <x:c r="U486" t="str">
        <x:f>IF(COUNTIF($B$2:$B$1076,B486)&gt;1,"重复","")</x:f>
      </x:c>
      <x:c r="V486" t="str">
        <x:f>IF(AND(OR(M486="",M486=B486),OR(N486="",N486=B486),OR(O486="",O486=B486)),"通过","不一致")</x:f>
        <x:v>通过</x:v>
      </x:c>
    </x:row>
    <x:row r="487" ht="22" customHeight="1">
      <x:c r="A487" s="289" t="n">
        <x:v>486</x:v>
      </x:c>
      <x:c r="B487" s="289" t="n">
        <x:v>6506</x:v>
      </x:c>
      <x:c r="C487" s="290" t="str">
        <x:v>黄金圣树·律法</x:v>
      </x:c>
      <x:c r="D487" s="290" t="str">
        <x:v>黄金圣树</x:v>
      </x:c>
      <x:c r="E487" s="290" t="n">
        <x:v>4</x:v>
      </x:c>
      <x:c r="F487" s="290" t="str">
        <x:v>项链</x:v>
      </x:c>
      <x:c r="G487" s="289" t="n">
        <x:v>19</x:v>
      </x:c>
      <x:c r="H487" s="289" t="n">
        <x:v>3</x:v>
      </x:c>
      <x:c r="I487" s="289" t="n">
        <x:v>6506</x:v>
      </x:c>
      <x:c r="J487" s="289" t="n">
        <x:v>0</x:v>
      </x:c>
      <x:c r="K487" s="289" t="n">
        <x:v>0</x:v>
      </x:c>
      <x:c r="L487" s="289" t="n">
        <x:v>0</x:v>
      </x:c>
      <x:c r="M487" s="289" t="n">
        <x:v>6506</x:v>
      </x:c>
      <x:c r="N487" s="289" t="n">
        <x:v>6506</x:v>
      </x:c>
      <x:c r="O487" s="289" t="n">
        <x:v>6506</x:v>
      </x:c>
      <x:c r="P487" s="292"/>
      <x:c r="Q487" s="292" t="str">
        <x:v>candidate-preflight-passed</x:v>
      </x:c>
      <x:c r="R487" s="324" t="str">
        <x:v>C3-C10规划锁定：独眼鹰坠</x:v>
      </x:c>
      <x:c r="S487" s="292" t="str">
        <x:v>玄渊二十套全装备代码总表.xlsx</x:v>
      </x:c>
      <x:c r="T487" s="292" t="str">
        <x:v>玄渊20套全装备视觉候选；Items/StateItem/DnItems三库同码；属性待策划填写</x:v>
      </x:c>
      <x:c r="U487" t="str">
        <x:f>IF(COUNTIF($B$2:$B$1076,B487)&gt;1,"重复","")</x:f>
      </x:c>
      <x:c r="V487" t="str">
        <x:f>IF(AND(OR(M487="",M487=B487),OR(N487="",N487=B487),OR(O487="",O487=B487)),"通过","不一致")</x:f>
        <x:v>通过</x:v>
      </x:c>
    </x:row>
    <x:row r="488" ht="22" customHeight="1">
      <x:c r="A488" s="289" t="n">
        <x:v>487</x:v>
      </x:c>
      <x:c r="B488" s="289" t="n">
        <x:v>6507</x:v>
      </x:c>
      <x:c r="C488" s="290" t="str">
        <x:v>黄金圣树·律法</x:v>
      </x:c>
      <x:c r="D488" s="290" t="str">
        <x:v>黄金圣树</x:v>
      </x:c>
      <x:c r="E488" s="290" t="n">
        <x:v>4</x:v>
      </x:c>
      <x:c r="F488" s="290" t="str">
        <x:v>手镯</x:v>
      </x:c>
      <x:c r="G488" s="289" t="n">
        <x:v>26</x:v>
      </x:c>
      <x:c r="H488" s="289" t="n">
        <x:v>5</x:v>
      </x:c>
      <x:c r="I488" s="289" t="n">
        <x:v>6507</x:v>
      </x:c>
      <x:c r="J488" s="289" t="n">
        <x:v>0</x:v>
      </x:c>
      <x:c r="K488" s="289" t="n">
        <x:v>0</x:v>
      </x:c>
      <x:c r="L488" s="289" t="n">
        <x:v>0</x:v>
      </x:c>
      <x:c r="M488" s="289" t="n">
        <x:v>6507</x:v>
      </x:c>
      <x:c r="N488" s="289" t="n">
        <x:v>6507</x:v>
      </x:c>
      <x:c r="O488" s="289" t="n">
        <x:v>6507</x:v>
      </x:c>
      <x:c r="P488" s="292"/>
      <x:c r="Q488" s="292" t="str">
        <x:v>candidate-preflight-passed</x:v>
      </x:c>
      <x:c r="R488" s="324" t="str">
        <x:v>C3-C10规划锁定：裂羽护腕</x:v>
      </x:c>
      <x:c r="S488" s="292" t="str">
        <x:v>玄渊二十套全装备代码总表.xlsx</x:v>
      </x:c>
      <x:c r="T488" s="292" t="str">
        <x:v>玄渊20套全装备视觉候选；Items/StateItem/DnItems三库同码；属性待策划填写</x:v>
      </x:c>
      <x:c r="U488" t="str">
        <x:f>IF(COUNTIF($B$2:$B$1076,B488)&gt;1,"重复","")</x:f>
      </x:c>
      <x:c r="V488" t="str">
        <x:f>IF(AND(OR(M488="",M488=B488),OR(N488="",N488=B488),OR(O488="",O488=B488)),"通过","不一致")</x:f>
        <x:v>通过</x:v>
      </x:c>
    </x:row>
    <x:row r="489" ht="22" customHeight="1">
      <x:c r="A489" s="289" t="n">
        <x:v>488</x:v>
      </x:c>
      <x:c r="B489" s="289" t="n">
        <x:v>6508</x:v>
      </x:c>
      <x:c r="C489" s="290" t="str">
        <x:v>黄金圣树·律法</x:v>
      </x:c>
      <x:c r="D489" s="290" t="str">
        <x:v>黄金圣树</x:v>
      </x:c>
      <x:c r="E489" s="290" t="n">
        <x:v>4</x:v>
      </x:c>
      <x:c r="F489" s="290" t="str">
        <x:v>戒指</x:v>
      </x:c>
      <x:c r="G489" s="289" t="n">
        <x:v>22</x:v>
      </x:c>
      <x:c r="H489" s="289" t="n">
        <x:v>7</x:v>
      </x:c>
      <x:c r="I489" s="289" t="n">
        <x:v>6508</x:v>
      </x:c>
      <x:c r="J489" s="289" t="n">
        <x:v>0</x:v>
      </x:c>
      <x:c r="K489" s="289" t="n">
        <x:v>0</x:v>
      </x:c>
      <x:c r="L489" s="289" t="n">
        <x:v>0</x:v>
      </x:c>
      <x:c r="M489" s="289" t="n">
        <x:v>6508</x:v>
      </x:c>
      <x:c r="N489" s="289" t="n">
        <x:v>6508</x:v>
      </x:c>
      <x:c r="O489" s="289" t="n">
        <x:v>6508</x:v>
      </x:c>
      <x:c r="P489" s="292"/>
      <x:c r="Q489" s="292" t="str">
        <x:v>candidate-preflight-passed</x:v>
      </x:c>
      <x:c r="R489" s="324" t="str">
        <x:v>C3-C10规划锁定：海雾猎戒</x:v>
      </x:c>
      <x:c r="S489" s="292" t="str">
        <x:v>玄渊二十套全装备代码总表.xlsx</x:v>
      </x:c>
      <x:c r="T489" s="292" t="str">
        <x:v>玄渊20套全装备视觉候选；Items/StateItem/DnItems三库同码；属性待策划填写</x:v>
      </x:c>
      <x:c r="U489" t="str">
        <x:f>IF(COUNTIF($B$2:$B$1076,B489)&gt;1,"重复","")</x:f>
      </x:c>
      <x:c r="V489" t="str">
        <x:f>IF(AND(OR(M489="",M489=B489),OR(N489="",N489=B489),OR(O489="",O489=B489)),"通过","不一致")</x:f>
        <x:v>通过</x:v>
      </x:c>
    </x:row>
    <x:row r="490" ht="22" customHeight="1">
      <x:c r="A490" s="289" t="n">
        <x:v>489</x:v>
      </x:c>
      <x:c r="B490" s="289" t="n">
        <x:v>6509</x:v>
      </x:c>
      <x:c r="C490" s="290" t="str">
        <x:v>黄金圣树·律法</x:v>
      </x:c>
      <x:c r="D490" s="290" t="str">
        <x:v>黄金圣树</x:v>
      </x:c>
      <x:c r="E490" s="290" t="n">
        <x:v>4</x:v>
      </x:c>
      <x:c r="F490" s="290" t="str">
        <x:v>勋章</x:v>
      </x:c>
      <x:c r="G490" s="289" t="n">
        <x:v>30</x:v>
      </x:c>
      <x:c r="H490" s="289" t="n">
        <x:v>2</x:v>
      </x:c>
      <x:c r="I490" s="289" t="n">
        <x:v>6509</x:v>
      </x:c>
      <x:c r="J490" s="289" t="n">
        <x:v>0</x:v>
      </x:c>
      <x:c r="K490" s="289" t="n">
        <x:v>0</x:v>
      </x:c>
      <x:c r="L490" s="289" t="n">
        <x:v>0</x:v>
      </x:c>
      <x:c r="M490" s="289" t="n">
        <x:v>6509</x:v>
      </x:c>
      <x:c r="N490" s="289" t="n">
        <x:v>6509</x:v>
      </x:c>
      <x:c r="O490" s="289" t="n">
        <x:v>6509</x:v>
      </x:c>
      <x:c r="P490" s="292"/>
      <x:c r="Q490" s="292" t="str">
        <x:v>candidate-preflight-passed</x:v>
      </x:c>
      <x:c r="R490" s="324" t="str">
        <x:v>C3-C10规划锁定：火漆追缉令</x:v>
      </x:c>
      <x:c r="S490" s="292" t="str">
        <x:v>玄渊二十套全装备代码总表.xlsx</x:v>
      </x:c>
      <x:c r="T490" s="292" t="str">
        <x:v>玄渊20套全装备视觉候选；Items/StateItem/DnItems三库同码；属性待策划填写</x:v>
      </x:c>
      <x:c r="U490" t="str">
        <x:f>IF(COUNTIF($B$2:$B$1076,B490)&gt;1,"重复","")</x:f>
      </x:c>
      <x:c r="V490" t="str">
        <x:f>IF(AND(OR(M490="",M490=B490),OR(N490="",N490=B490),OR(O490="",O490=B490)),"通过","不一致")</x:f>
        <x:v>通过</x:v>
      </x:c>
    </x:row>
    <x:row r="491" ht="22" customHeight="1">
      <x:c r="A491" s="289" t="n">
        <x:v>490</x:v>
      </x:c>
      <x:c r="B491" s="289" t="n">
        <x:v>6510</x:v>
      </x:c>
      <x:c r="C491" s="290" t="str">
        <x:v>黄金圣树·律法</x:v>
      </x:c>
      <x:c r="D491" s="290" t="str">
        <x:v>黄金圣树</x:v>
      </x:c>
      <x:c r="E491" s="290" t="n">
        <x:v>4</x:v>
      </x:c>
      <x:c r="F491" s="290" t="str">
        <x:v>盾牌</x:v>
      </x:c>
      <x:c r="G491" s="289" t="n">
        <x:v>12</x:v>
      </x:c>
      <x:c r="H491" s="289" t="n">
        <x:v>16</x:v>
      </x:c>
      <x:c r="I491" s="289" t="n">
        <x:v>6510</x:v>
      </x:c>
      <x:c r="J491" s="289" t="n">
        <x:v>0</x:v>
      </x:c>
      <x:c r="K491" s="289" t="n">
        <x:v>0</x:v>
      </x:c>
      <x:c r="L491" s="289" t="n">
        <x:v>0</x:v>
      </x:c>
      <x:c r="M491" s="289" t="n">
        <x:v>6510</x:v>
      </x:c>
      <x:c r="N491" s="289" t="n">
        <x:v>6510</x:v>
      </x:c>
      <x:c r="O491" s="289" t="n">
        <x:v>6510</x:v>
      </x:c>
      <x:c r="P491" s="292"/>
      <x:c r="Q491" s="292" t="str">
        <x:v>candidate-preflight-passed</x:v>
      </x:c>
      <x:c r="R491" s="324" t="str">
        <x:v>C3-C10规划锁定：誓死王盾</x:v>
      </x:c>
      <x:c r="S491" s="292" t="str">
        <x:v>玄渊二十套全装备代码总表.xlsx</x:v>
      </x:c>
      <x:c r="T491" s="292" t="str">
        <x:v>玄渊20套全装备视觉候选；Items/StateItem/DnItems三库同码；属性待策划填写</x:v>
      </x:c>
      <x:c r="U491" t="str">
        <x:f>IF(COUNTIF($B$2:$B$1076,B491)&gt;1,"重复","")</x:f>
      </x:c>
      <x:c r="V491" t="str">
        <x:f>IF(AND(OR(M491="",M491=B491),OR(N491="",N491=B491),OR(O491="",O491=B491)),"通过","不一致")</x:f>
        <x:v>通过</x:v>
      </x:c>
    </x:row>
    <x:row r="492" ht="22" customHeight="1">
      <x:c r="A492" s="289" t="n">
        <x:v>491</x:v>
      </x:c>
      <x:c r="B492" s="289" t="n">
        <x:v>6511</x:v>
      </x:c>
      <x:c r="C492" s="290" t="str">
        <x:v>黄金圣树·律法</x:v>
      </x:c>
      <x:c r="D492" s="290" t="str">
        <x:v>黄金圣树</x:v>
      </x:c>
      <x:c r="E492" s="290" t="n">
        <x:v>4</x:v>
      </x:c>
      <x:c r="F492" s="290" t="str">
        <x:v>灵玉</x:v>
      </x:c>
      <x:c r="G492" s="289" t="n">
        <x:v>90</x:v>
      </x:c>
      <x:c r="H492" s="289" t="n">
        <x:v>17</x:v>
      </x:c>
      <x:c r="I492" s="289" t="n">
        <x:v>6511</x:v>
      </x:c>
      <x:c r="J492" s="289" t="n">
        <x:v>0</x:v>
      </x:c>
      <x:c r="K492" s="289" t="n">
        <x:v>0</x:v>
      </x:c>
      <x:c r="L492" s="289" t="n">
        <x:v>0</x:v>
      </x:c>
      <x:c r="M492" s="289" t="n">
        <x:v>6511</x:v>
      </x:c>
      <x:c r="N492" s="289" t="n">
        <x:v>6511</x:v>
      </x:c>
      <x:c r="O492" s="289" t="n">
        <x:v>6511</x:v>
      </x:c>
      <x:c r="P492" s="292"/>
      <x:c r="Q492" s="292" t="str">
        <x:v>candidate-preflight-passed</x:v>
      </x:c>
      <x:c r="R492" s="292" t="str"/>
      <x:c r="S492" s="292" t="str">
        <x:v>玄渊二十套全装备代码总表.xlsx</x:v>
      </x:c>
      <x:c r="T492" s="292" t="str">
        <x:v>玄渊20套全装备视觉候选；Items/StateItem/DnItems三库同码；属性待策划填写</x:v>
      </x:c>
      <x:c r="U492" t="str">
        <x:f>IF(COUNTIF($B$2:$B$1076,B492)&gt;1,"重复","")</x:f>
      </x:c>
      <x:c r="V492" t="str">
        <x:f>IF(AND(OR(M492="",M492=B492),OR(N492="",N492=B492),OR(O492="",O492=B492)),"通过","不一致")</x:f>
        <x:v>通过</x:v>
      </x:c>
    </x:row>
    <x:row r="493" ht="22" customHeight="1">
      <x:c r="A493" s="289" t="n">
        <x:v>492</x:v>
      </x:c>
      <x:c r="B493" s="289" t="n">
        <x:v>6512</x:v>
      </x:c>
      <x:c r="C493" s="290" t="str">
        <x:v>黄金圣树·律法</x:v>
      </x:c>
      <x:c r="D493" s="290" t="str">
        <x:v>黄金圣树</x:v>
      </x:c>
      <x:c r="E493" s="290" t="n">
        <x:v>4</x:v>
      </x:c>
      <x:c r="F493" s="290" t="str">
        <x:v>鞋子</x:v>
      </x:c>
      <x:c r="G493" s="289" t="n">
        <x:v>62</x:v>
      </x:c>
      <x:c r="H493" s="289" t="n">
        <x:v>11</x:v>
      </x:c>
      <x:c r="I493" s="289" t="n">
        <x:v>6512</x:v>
      </x:c>
      <x:c r="J493" s="289" t="n">
        <x:v>0</x:v>
      </x:c>
      <x:c r="K493" s="289" t="n">
        <x:v>0</x:v>
      </x:c>
      <x:c r="L493" s="289" t="n">
        <x:v>0</x:v>
      </x:c>
      <x:c r="M493" s="289" t="n">
        <x:v>6512</x:v>
      </x:c>
      <x:c r="N493" s="289" t="n">
        <x:v>6512</x:v>
      </x:c>
      <x:c r="O493" s="289" t="n">
        <x:v>6512</x:v>
      </x:c>
      <x:c r="P493" s="292"/>
      <x:c r="Q493" s="292" t="str">
        <x:v>candidate-preflight-passed</x:v>
      </x:c>
      <x:c r="R493" s="324" t="str">
        <x:v>C3-C10规划锁定：叛骑战靴</x:v>
      </x:c>
      <x:c r="S493" s="292" t="str">
        <x:v>玄渊二十套全装备代码总表.xlsx</x:v>
      </x:c>
      <x:c r="T493" s="292" t="str">
        <x:v>玄渊20套全装备视觉候选；Items/StateItem/DnItems三库同码；属性待策划填写</x:v>
      </x:c>
      <x:c r="U493" t="str">
        <x:f>IF(COUNTIF($B$2:$B$1076,B493)&gt;1,"重复","")</x:f>
      </x:c>
      <x:c r="V493" t="str">
        <x:f>IF(AND(OR(M493="",M493=B493),OR(N493="",N493=B493),OR(O493="",O493=B493)),"通过","不一致")</x:f>
        <x:v>通过</x:v>
      </x:c>
    </x:row>
    <x:row r="494" ht="22" customHeight="1">
      <x:c r="A494" s="289" t="n">
        <x:v>493</x:v>
      </x:c>
      <x:c r="B494" s="289" t="n">
        <x:v>6513</x:v>
      </x:c>
      <x:c r="C494" s="290" t="str">
        <x:v>黄金圣树·律法</x:v>
      </x:c>
      <x:c r="D494" s="290" t="str">
        <x:v>黄金圣树</x:v>
      </x:c>
      <x:c r="E494" s="290" t="n">
        <x:v>4</x:v>
      </x:c>
      <x:c r="F494" s="290" t="str">
        <x:v>腰带</x:v>
      </x:c>
      <x:c r="G494" s="289" t="n">
        <x:v>64</x:v>
      </x:c>
      <x:c r="H494" s="289" t="n">
        <x:v>10</x:v>
      </x:c>
      <x:c r="I494" s="289" t="n">
        <x:v>6513</x:v>
      </x:c>
      <x:c r="J494" s="289" t="n">
        <x:v>0</x:v>
      </x:c>
      <x:c r="K494" s="289" t="n">
        <x:v>0</x:v>
      </x:c>
      <x:c r="L494" s="289" t="n">
        <x:v>0</x:v>
      </x:c>
      <x:c r="M494" s="289" t="n">
        <x:v>6513</x:v>
      </x:c>
      <x:c r="N494" s="289" t="n">
        <x:v>6513</x:v>
      </x:c>
      <x:c r="O494" s="289" t="n">
        <x:v>6513</x:v>
      </x:c>
      <x:c r="P494" s="292"/>
      <x:c r="Q494" s="292" t="str">
        <x:v>candidate-preflight-passed</x:v>
      </x:c>
      <x:c r="R494" s="324" t="str">
        <x:v>C3-C10规划锁定：断索束带</x:v>
      </x:c>
      <x:c r="S494" s="292" t="str">
        <x:v>玄渊二十套全装备代码总表.xlsx</x:v>
      </x:c>
      <x:c r="T494" s="292" t="str">
        <x:v>玄渊20套全装备视觉候选；Items/StateItem/DnItems三库同码；属性待策划填写</x:v>
      </x:c>
      <x:c r="U494" t="str">
        <x:f>IF(COUNTIF($B$2:$B$1076,B494)&gt;1,"重复","")</x:f>
      </x:c>
      <x:c r="V494" t="str">
        <x:f>IF(AND(OR(M494="",M494=B494),OR(N494="",N494=B494),OR(O494="",O494=B494)),"通过","不一致")</x:f>
        <x:v>通过</x:v>
      </x:c>
    </x:row>
    <x:row r="495" ht="22" customHeight="1">
      <x:c r="A495" s="289" t="n">
        <x:v>494</x:v>
      </x:c>
      <x:c r="B495" s="289" t="n">
        <x:v>6514</x:v>
      </x:c>
      <x:c r="C495" s="290" t="str">
        <x:v>黄金圣树·律法</x:v>
      </x:c>
      <x:c r="D495" s="290" t="str">
        <x:v>黄金圣树</x:v>
      </x:c>
      <x:c r="E495" s="290" t="n">
        <x:v>4</x:v>
      </x:c>
      <x:c r="F495" s="290" t="str">
        <x:v>护身符</x:v>
      </x:c>
      <x:c r="G495" s="289" t="n">
        <x:v>25</x:v>
      </x:c>
      <x:c r="H495" s="289" t="n">
        <x:v>9</x:v>
      </x:c>
      <x:c r="I495" s="289" t="n">
        <x:v>6514</x:v>
      </x:c>
      <x:c r="J495" s="289" t="n">
        <x:v>0</x:v>
      </x:c>
      <x:c r="K495" s="289" t="n">
        <x:v>0</x:v>
      </x:c>
      <x:c r="L495" s="289" t="n">
        <x:v>0</x:v>
      </x:c>
      <x:c r="M495" s="289" t="n">
        <x:v>6514</x:v>
      </x:c>
      <x:c r="N495" s="289" t="n">
        <x:v>6514</x:v>
      </x:c>
      <x:c r="O495" s="289" t="n">
        <x:v>6514</x:v>
      </x:c>
      <x:c r="P495" s="292"/>
      <x:c r="Q495" s="292" t="str">
        <x:v>candidate-preflight-passed</x:v>
      </x:c>
      <x:c r="R495" s="292" t="str"/>
      <x:c r="S495" s="292" t="str">
        <x:v>玄渊二十套全装备代码总表.xlsx</x:v>
      </x:c>
      <x:c r="T495" s="292" t="str">
        <x:v>玄渊20套全装备视觉候选；Items/StateItem/DnItems三库同码；属性待策划填写</x:v>
      </x:c>
      <x:c r="U495" t="str">
        <x:f>IF(COUNTIF($B$2:$B$1076,B495)&gt;1,"重复","")</x:f>
      </x:c>
      <x:c r="V495" t="str">
        <x:f>IF(AND(OR(M495="",M495=B495),OR(N495="",N495=B495),OR(O495="",O495=B495)),"通过","不一致")</x:f>
        <x:v>通过</x:v>
      </x:c>
    </x:row>
    <x:row r="496" ht="22" customHeight="1">
      <x:c r="A496" s="289" t="n">
        <x:v>495</x:v>
      </x:c>
      <x:c r="B496" s="289" t="n">
        <x:v>6515</x:v>
      </x:c>
      <x:c r="C496" s="290" t="str">
        <x:v>黄金圣树·律法</x:v>
      </x:c>
      <x:c r="D496" s="290" t="str">
        <x:v>黄金圣树</x:v>
      </x:c>
      <x:c r="E496" s="290" t="n">
        <x:v>4</x:v>
      </x:c>
      <x:c r="F496" s="290" t="str">
        <x:v>宝石</x:v>
      </x:c>
      <x:c r="G496" s="289" t="n">
        <x:v>63</x:v>
      </x:c>
      <x:c r="H496" s="289" t="n">
        <x:v>12</x:v>
      </x:c>
      <x:c r="I496" s="289" t="n">
        <x:v>6515</x:v>
      </x:c>
      <x:c r="J496" s="289" t="n">
        <x:v>0</x:v>
      </x:c>
      <x:c r="K496" s="289" t="n">
        <x:v>0</x:v>
      </x:c>
      <x:c r="L496" s="289" t="n">
        <x:v>0</x:v>
      </x:c>
      <x:c r="M496" s="289" t="n">
        <x:v>6515</x:v>
      </x:c>
      <x:c r="N496" s="289" t="n">
        <x:v>6515</x:v>
      </x:c>
      <x:c r="O496" s="289" t="n">
        <x:v>6515</x:v>
      </x:c>
      <x:c r="P496" s="292"/>
      <x:c r="Q496" s="292" t="str">
        <x:v>candidate-preflight-passed</x:v>
      </x:c>
      <x:c r="R496" s="292" t="str"/>
      <x:c r="S496" s="292" t="str">
        <x:v>玄渊二十套全装备代码总表.xlsx</x:v>
      </x:c>
      <x:c r="T496" s="292" t="str">
        <x:v>玄渊20套全装备视觉候选；Items/StateItem/DnItems三库同码；属性待策划填写</x:v>
      </x:c>
      <x:c r="U496" t="str">
        <x:f>IF(COUNTIF($B$2:$B$1076,B496)&gt;1,"重复","")</x:f>
      </x:c>
      <x:c r="V496" t="str">
        <x:f>IF(AND(OR(M496="",M496=B496),OR(N496="",N496=B496),OR(O496="",O496=B496)),"通过","不一致")</x:f>
        <x:v>通过</x:v>
      </x:c>
    </x:row>
    <x:row r="497" ht="22" customHeight="1">
      <x:c r="A497" s="289" t="n">
        <x:v>496</x:v>
      </x:c>
      <x:c r="B497" s="289" t="n">
        <x:v>6516</x:v>
      </x:c>
      <x:c r="C497" s="290" t="str">
        <x:v>黄金圣树·律法</x:v>
      </x:c>
      <x:c r="D497" s="290" t="str">
        <x:v>黄金圣树</x:v>
      </x:c>
      <x:c r="E497" s="290" t="n">
        <x:v>4</x:v>
      </x:c>
      <x:c r="F497" s="290" t="str">
        <x:v>军鼓</x:v>
      </x:c>
      <x:c r="G497" s="289" t="n">
        <x:v>65</x:v>
      </x:c>
      <x:c r="H497" s="289" t="n">
        <x:v>14</x:v>
      </x:c>
      <x:c r="I497" s="289" t="n">
        <x:v>6516</x:v>
      </x:c>
      <x:c r="J497" s="289" t="n">
        <x:v>0</x:v>
      </x:c>
      <x:c r="K497" s="289" t="n">
        <x:v>0</x:v>
      </x:c>
      <x:c r="L497" s="289" t="n">
        <x:v>0</x:v>
      </x:c>
      <x:c r="M497" s="289" t="n">
        <x:v>6516</x:v>
      </x:c>
      <x:c r="N497" s="289" t="n">
        <x:v>6516</x:v>
      </x:c>
      <x:c r="O497" s="289" t="n">
        <x:v>6516</x:v>
      </x:c>
      <x:c r="P497" s="292"/>
      <x:c r="Q497" s="292" t="str">
        <x:v>candidate-preflight-passed</x:v>
      </x:c>
      <x:c r="R497" s="292" t="str"/>
      <x:c r="S497" s="292" t="str">
        <x:v>玄渊二十套全装备代码总表.xlsx</x:v>
      </x:c>
      <x:c r="T497" s="292" t="str">
        <x:v>玄渊20套全装备视觉候选；Items/StateItem/DnItems三库同码；属性待策划填写</x:v>
      </x:c>
      <x:c r="U497" t="str">
        <x:f>IF(COUNTIF($B$2:$B$1076,B497)&gt;1,"重复","")</x:f>
      </x:c>
      <x:c r="V497" t="str">
        <x:f>IF(AND(OR(M497="",M497=B497),OR(N497="",N497=B497),OR(O497="",O497=B497)),"通过","不一致")</x:f>
        <x:v>通过</x:v>
      </x:c>
    </x:row>
    <x:row r="498" ht="22" customHeight="1">
      <x:c r="A498" s="289" t="n">
        <x:v>497</x:v>
      </x:c>
      <x:c r="B498" s="289" t="n">
        <x:v>6517</x:v>
      </x:c>
      <x:c r="C498" s="290" t="str">
        <x:v>黄金圣树·律法</x:v>
      </x:c>
      <x:c r="D498" s="290" t="str">
        <x:v>黄金圣树</x:v>
      </x:c>
      <x:c r="E498" s="290" t="n">
        <x:v>4</x:v>
      </x:c>
      <x:c r="F498" s="290" t="str">
        <x:v>马牌</x:v>
      </x:c>
      <x:c r="G498" s="289" t="n">
        <x:v>28</x:v>
      </x:c>
      <x:c r="H498" s="289" t="n">
        <x:v>15</x:v>
      </x:c>
      <x:c r="I498" s="289" t="n">
        <x:v>6517</x:v>
      </x:c>
      <x:c r="J498" s="289" t="n">
        <x:v>0</x:v>
      </x:c>
      <x:c r="K498" s="289" t="n">
        <x:v>0</x:v>
      </x:c>
      <x:c r="L498" s="289" t="n">
        <x:v>0</x:v>
      </x:c>
      <x:c r="M498" s="289" t="n">
        <x:v>6517</x:v>
      </x:c>
      <x:c r="N498" s="289" t="n">
        <x:v>6517</x:v>
      </x:c>
      <x:c r="O498" s="289" t="n">
        <x:v>6517</x:v>
      </x:c>
      <x:c r="P498" s="292"/>
      <x:c r="Q498" s="292" t="str">
        <x:v>candidate-preflight-passed</x:v>
      </x:c>
      <x:c r="R498" s="292" t="str"/>
      <x:c r="S498" s="292" t="str">
        <x:v>玄渊二十套全装备代码总表.xlsx</x:v>
      </x:c>
      <x:c r="T498" s="292" t="str">
        <x:v>玄渊20套全装备视觉候选；Items/StateItem/DnItems三库同码；属性待策划填写</x:v>
      </x:c>
      <x:c r="U498" t="str">
        <x:f>IF(COUNTIF($B$2:$B$1076,B498)&gt;1,"重复","")</x:f>
      </x:c>
      <x:c r="V498" t="str">
        <x:f>IF(AND(OR(M498="",M498=B498),OR(N498="",N498=B498),OR(O498="",O498=B498)),"通过","不一致")</x:f>
        <x:v>通过</x:v>
      </x:c>
    </x:row>
    <x:row r="499" ht="22" customHeight="1">
      <x:c r="A499" s="289" t="n">
        <x:v>498</x:v>
      </x:c>
      <x:c r="B499" s="289" t="n">
        <x:v>6518</x:v>
      </x:c>
      <x:c r="C499" s="290" t="str">
        <x:v>黄金圣树·律法</x:v>
      </x:c>
      <x:c r="D499" s="290" t="str">
        <x:v>黄金圣树</x:v>
      </x:c>
      <x:c r="E499" s="290" t="n">
        <x:v>4</x:v>
      </x:c>
      <x:c r="F499" s="290" t="str">
        <x:v>首饰盒1</x:v>
      </x:c>
      <x:c r="G499" s="289" t="n">
        <x:v>22</x:v>
      </x:c>
      <x:c r="H499" s="289" t="n">
        <x:v>30</x:v>
      </x:c>
      <x:c r="I499" s="289" t="n">
        <x:v>6518</x:v>
      </x:c>
      <x:c r="J499" s="289" t="n">
        <x:v>0</x:v>
      </x:c>
      <x:c r="K499" s="289" t="n">
        <x:v>2</x:v>
      </x:c>
      <x:c r="L499" s="289" t="n">
        <x:v>1</x:v>
      </x:c>
      <x:c r="M499" s="289" t="n">
        <x:v>6518</x:v>
      </x:c>
      <x:c r="N499" s="289" t="n">
        <x:v>6518</x:v>
      </x:c>
      <x:c r="O499" s="289" t="n">
        <x:v>6518</x:v>
      </x:c>
      <x:c r="P499" s="292"/>
      <x:c r="Q499" s="292" t="str">
        <x:v>candidate-preflight-passed</x:v>
      </x:c>
      <x:c r="R499" s="292" t="str"/>
      <x:c r="S499" s="292" t="str">
        <x:v>玄渊二十套全装备代码总表.xlsx</x:v>
      </x:c>
      <x:c r="T499" s="292" t="str">
        <x:v>玄渊20套全装备视觉候选；Items/StateItem/DnItems三库同码；属性待策划填写；OverLap=2; Expand1=1</x:v>
      </x:c>
      <x:c r="U499" t="str">
        <x:f>IF(COUNTIF($B$2:$B$1076,B499)&gt;1,"重复","")</x:f>
      </x:c>
      <x:c r="V499" t="str">
        <x:f>IF(AND(OR(M499="",M499=B499),OR(N499="",N499=B499),OR(O499="",O499=B499)),"通过","不一致")</x:f>
        <x:v>通过</x:v>
      </x:c>
    </x:row>
    <x:row r="500" ht="22" customHeight="1">
      <x:c r="A500" s="289" t="n">
        <x:v>499</x:v>
      </x:c>
      <x:c r="B500" s="289" t="n">
        <x:v>6519</x:v>
      </x:c>
      <x:c r="C500" s="290" t="str">
        <x:v>黄金圣树·律法</x:v>
      </x:c>
      <x:c r="D500" s="290" t="str">
        <x:v>黄金圣树</x:v>
      </x:c>
      <x:c r="E500" s="290" t="n">
        <x:v>4</x:v>
      </x:c>
      <x:c r="F500" s="290" t="str">
        <x:v>首饰盒2</x:v>
      </x:c>
      <x:c r="G500" s="289" t="n">
        <x:v>22</x:v>
      </x:c>
      <x:c r="H500" s="289" t="n">
        <x:v>31</x:v>
      </x:c>
      <x:c r="I500" s="289" t="n">
        <x:v>6519</x:v>
      </x:c>
      <x:c r="J500" s="289" t="n">
        <x:v>0</x:v>
      </x:c>
      <x:c r="K500" s="289" t="n">
        <x:v>2</x:v>
      </x:c>
      <x:c r="L500" s="289" t="n">
        <x:v>2</x:v>
      </x:c>
      <x:c r="M500" s="289" t="n">
        <x:v>6519</x:v>
      </x:c>
      <x:c r="N500" s="289" t="n">
        <x:v>6519</x:v>
      </x:c>
      <x:c r="O500" s="289" t="n">
        <x:v>6519</x:v>
      </x:c>
      <x:c r="P500" s="292"/>
      <x:c r="Q500" s="292" t="str">
        <x:v>candidate-preflight-passed</x:v>
      </x:c>
      <x:c r="R500" s="292" t="str"/>
      <x:c r="S500" s="292" t="str">
        <x:v>玄渊二十套全装备代码总表.xlsx</x:v>
      </x:c>
      <x:c r="T500" s="292" t="str">
        <x:v>玄渊20套全装备视觉候选；Items/StateItem/DnItems三库同码；属性待策划填写；OverLap=2; Expand1=2</x:v>
      </x:c>
      <x:c r="U500" t="str">
        <x:f>IF(COUNTIF($B$2:$B$1076,B500)&gt;1,"重复","")</x:f>
      </x:c>
      <x:c r="V500" t="str">
        <x:f>IF(AND(OR(M500="",M500=B500),OR(N500="",N500=B500),OR(O500="",O500=B500)),"通过","不一致")</x:f>
        <x:v>通过</x:v>
      </x:c>
    </x:row>
    <x:row r="501" ht="22" customHeight="1">
      <x:c r="A501" s="289" t="n">
        <x:v>500</x:v>
      </x:c>
      <x:c r="B501" s="289" t="n">
        <x:v>6520</x:v>
      </x:c>
      <x:c r="C501" s="290" t="str">
        <x:v>黄金圣树·律法</x:v>
      </x:c>
      <x:c r="D501" s="290" t="str">
        <x:v>黄金圣树</x:v>
      </x:c>
      <x:c r="E501" s="290" t="n">
        <x:v>4</x:v>
      </x:c>
      <x:c r="F501" s="290" t="str">
        <x:v>首饰盒3</x:v>
      </x:c>
      <x:c r="G501" s="289" t="n">
        <x:v>22</x:v>
      </x:c>
      <x:c r="H501" s="289" t="n">
        <x:v>32</x:v>
      </x:c>
      <x:c r="I501" s="289" t="n">
        <x:v>6520</x:v>
      </x:c>
      <x:c r="J501" s="289" t="n">
        <x:v>0</x:v>
      </x:c>
      <x:c r="K501" s="289" t="n">
        <x:v>2</x:v>
      </x:c>
      <x:c r="L501" s="289" t="n">
        <x:v>3</x:v>
      </x:c>
      <x:c r="M501" s="289" t="n">
        <x:v>6520</x:v>
      </x:c>
      <x:c r="N501" s="289" t="n">
        <x:v>6520</x:v>
      </x:c>
      <x:c r="O501" s="289" t="n">
        <x:v>6520</x:v>
      </x:c>
      <x:c r="P501" s="292"/>
      <x:c r="Q501" s="292" t="str">
        <x:v>candidate-preflight-passed</x:v>
      </x:c>
      <x:c r="R501" s="292" t="str"/>
      <x:c r="S501" s="292" t="str">
        <x:v>玄渊二十套全装备代码总表.xlsx</x:v>
      </x:c>
      <x:c r="T501" s="292" t="str">
        <x:v>玄渊20套全装备视觉候选；Items/StateItem/DnItems三库同码；属性待策划填写；OverLap=2; Expand1=3</x:v>
      </x:c>
      <x:c r="U501" t="str">
        <x:f>IF(COUNTIF($B$2:$B$1076,B501)&gt;1,"重复","")</x:f>
      </x:c>
      <x:c r="V501" t="str">
        <x:f>IF(AND(OR(M501="",M501=B501),OR(N501="",N501=B501),OR(O501="",O501=B501)),"通过","不一致")</x:f>
        <x:v>通过</x:v>
      </x:c>
    </x:row>
    <x:row r="502" ht="22" customHeight="1">
      <x:c r="A502" s="289" t="n">
        <x:v>501</x:v>
      </x:c>
      <x:c r="B502" s="289" t="n">
        <x:v>6521</x:v>
      </x:c>
      <x:c r="C502" s="290" t="str">
        <x:v>黄金圣树·律法</x:v>
      </x:c>
      <x:c r="D502" s="290" t="str">
        <x:v>黄金圣树</x:v>
      </x:c>
      <x:c r="E502" s="290" t="n">
        <x:v>4</x:v>
      </x:c>
      <x:c r="F502" s="290" t="str">
        <x:v>首饰盒4</x:v>
      </x:c>
      <x:c r="G502" s="289" t="n">
        <x:v>22</x:v>
      </x:c>
      <x:c r="H502" s="289" t="n">
        <x:v>33</x:v>
      </x:c>
      <x:c r="I502" s="289" t="n">
        <x:v>6521</x:v>
      </x:c>
      <x:c r="J502" s="289" t="n">
        <x:v>0</x:v>
      </x:c>
      <x:c r="K502" s="289" t="n">
        <x:v>2</x:v>
      </x:c>
      <x:c r="L502" s="289" t="n">
        <x:v>4</x:v>
      </x:c>
      <x:c r="M502" s="289" t="n">
        <x:v>6521</x:v>
      </x:c>
      <x:c r="N502" s="289" t="n">
        <x:v>6521</x:v>
      </x:c>
      <x:c r="O502" s="289" t="n">
        <x:v>6521</x:v>
      </x:c>
      <x:c r="P502" s="292"/>
      <x:c r="Q502" s="292" t="str">
        <x:v>candidate-preflight-passed</x:v>
      </x:c>
      <x:c r="R502" s="292" t="str"/>
      <x:c r="S502" s="292" t="str">
        <x:v>玄渊二十套全装备代码总表.xlsx</x:v>
      </x:c>
      <x:c r="T502" s="292" t="str">
        <x:v>玄渊20套全装备视觉候选；Items/StateItem/DnItems三库同码；属性待策划填写；OverLap=2; Expand1=4</x:v>
      </x:c>
      <x:c r="U502" t="str">
        <x:f>IF(COUNTIF($B$2:$B$1076,B502)&gt;1,"重复","")</x:f>
      </x:c>
      <x:c r="V502" t="str">
        <x:f>IF(AND(OR(M502="",M502=B502),OR(N502="",N502=B502),OR(O502="",O502=B502)),"通过","不一致")</x:f>
        <x:v>通过</x:v>
      </x:c>
    </x:row>
    <x:row r="503" ht="22" customHeight="1">
      <x:c r="A503" s="289" t="n">
        <x:v>502</x:v>
      </x:c>
      <x:c r="B503" s="289" t="n">
        <x:v>6522</x:v>
      </x:c>
      <x:c r="C503" s="290" t="str">
        <x:v>黄金圣树·律法</x:v>
      </x:c>
      <x:c r="D503" s="290" t="str">
        <x:v>黄金圣树</x:v>
      </x:c>
      <x:c r="E503" s="290" t="n">
        <x:v>4</x:v>
      </x:c>
      <x:c r="F503" s="290" t="str">
        <x:v>首饰盒5</x:v>
      </x:c>
      <x:c r="G503" s="289" t="n">
        <x:v>22</x:v>
      </x:c>
      <x:c r="H503" s="289" t="n">
        <x:v>34</x:v>
      </x:c>
      <x:c r="I503" s="289" t="n">
        <x:v>6522</x:v>
      </x:c>
      <x:c r="J503" s="289" t="n">
        <x:v>0</x:v>
      </x:c>
      <x:c r="K503" s="289" t="n">
        <x:v>2</x:v>
      </x:c>
      <x:c r="L503" s="289" t="n">
        <x:v>5</x:v>
      </x:c>
      <x:c r="M503" s="289" t="n">
        <x:v>6522</x:v>
      </x:c>
      <x:c r="N503" s="289" t="n">
        <x:v>6522</x:v>
      </x:c>
      <x:c r="O503" s="289" t="n">
        <x:v>6522</x:v>
      </x:c>
      <x:c r="P503" s="292"/>
      <x:c r="Q503" s="292" t="str">
        <x:v>candidate-preflight-passed</x:v>
      </x:c>
      <x:c r="R503" s="292" t="str"/>
      <x:c r="S503" s="292" t="str">
        <x:v>玄渊二十套全装备代码总表.xlsx</x:v>
      </x:c>
      <x:c r="T503" s="292" t="str">
        <x:v>玄渊20套全装备视觉候选；Items/StateItem/DnItems三库同码；属性待策划填写；OverLap=2; Expand1=5</x:v>
      </x:c>
      <x:c r="U503" t="str">
        <x:f>IF(COUNTIF($B$2:$B$1076,B503)&gt;1,"重复","")</x:f>
      </x:c>
      <x:c r="V503" t="str">
        <x:f>IF(AND(OR(M503="",M503=B503),OR(N503="",N503=B503),OR(O503="",O503=B503)),"通过","不一致")</x:f>
        <x:v>通过</x:v>
      </x:c>
    </x:row>
    <x:row r="504" ht="22" customHeight="1">
      <x:c r="A504" s="289" t="n">
        <x:v>503</x:v>
      </x:c>
      <x:c r="B504" s="289" t="n">
        <x:v>6523</x:v>
      </x:c>
      <x:c r="C504" s="290" t="str">
        <x:v>黄金圣树·律法</x:v>
      </x:c>
      <x:c r="D504" s="290" t="str">
        <x:v>黄金圣树</x:v>
      </x:c>
      <x:c r="E504" s="290" t="n">
        <x:v>4</x:v>
      </x:c>
      <x:c r="F504" s="290" t="str">
        <x:v>首饰盒6</x:v>
      </x:c>
      <x:c r="G504" s="289" t="n">
        <x:v>22</x:v>
      </x:c>
      <x:c r="H504" s="289" t="n">
        <x:v>35</x:v>
      </x:c>
      <x:c r="I504" s="289" t="n">
        <x:v>6523</x:v>
      </x:c>
      <x:c r="J504" s="289" t="n">
        <x:v>0</x:v>
      </x:c>
      <x:c r="K504" s="289" t="n">
        <x:v>2</x:v>
      </x:c>
      <x:c r="L504" s="289" t="n">
        <x:v>6</x:v>
      </x:c>
      <x:c r="M504" s="289" t="n">
        <x:v>6523</x:v>
      </x:c>
      <x:c r="N504" s="289" t="n">
        <x:v>6523</x:v>
      </x:c>
      <x:c r="O504" s="289" t="n">
        <x:v>6523</x:v>
      </x:c>
      <x:c r="P504" s="292"/>
      <x:c r="Q504" s="292" t="str">
        <x:v>candidate-preflight-passed</x:v>
      </x:c>
      <x:c r="R504" s="292" t="str"/>
      <x:c r="S504" s="292" t="str">
        <x:v>玄渊二十套全装备代码总表.xlsx</x:v>
      </x:c>
      <x:c r="T504" s="292" t="str">
        <x:v>玄渊20套全装备视觉候选；Items/StateItem/DnItems三库同码；属性待策划填写；OverLap=2; Expand1=6</x:v>
      </x:c>
      <x:c r="U504" t="str">
        <x:f>IF(COUNTIF($B$2:$B$1076,B504)&gt;1,"重复","")</x:f>
      </x:c>
      <x:c r="V504" t="str">
        <x:f>IF(AND(OR(M504="",M504=B504),OR(N504="",N504=B504),OR(O504="",O504=B504)),"通过","不一致")</x:f>
        <x:v>通过</x:v>
      </x:c>
    </x:row>
    <x:row r="505" ht="22" customHeight="1">
      <x:c r="A505" s="289" t="n">
        <x:v>504</x:v>
      </x:c>
      <x:c r="B505" s="289" t="n">
        <x:v>6524</x:v>
      </x:c>
      <x:c r="C505" s="290" t="str">
        <x:v>黄金圣树·律法</x:v>
      </x:c>
      <x:c r="D505" s="290" t="str">
        <x:v>黄金圣树</x:v>
      </x:c>
      <x:c r="E505" s="290" t="n">
        <x:v>4</x:v>
      </x:c>
      <x:c r="F505" s="290" t="str">
        <x:v>生肖1</x:v>
      </x:c>
      <x:c r="G505" s="289" t="n">
        <x:v>22</x:v>
      </x:c>
      <x:c r="H505" s="289" t="n">
        <x:v>40</x:v>
      </x:c>
      <x:c r="I505" s="289" t="n">
        <x:v>6524</x:v>
      </x:c>
      <x:c r="J505" s="289" t="n">
        <x:v>0</x:v>
      </x:c>
      <x:c r="K505" s="289" t="n">
        <x:v>4</x:v>
      </x:c>
      <x:c r="L505" s="289" t="n">
        <x:v>1</x:v>
      </x:c>
      <x:c r="M505" s="289" t="n">
        <x:v>6524</x:v>
      </x:c>
      <x:c r="N505" s="289" t="n">
        <x:v>6524</x:v>
      </x:c>
      <x:c r="O505" s="289" t="n">
        <x:v>6524</x:v>
      </x:c>
      <x:c r="P505" s="292"/>
      <x:c r="Q505" s="292" t="str">
        <x:v>candidate-preflight-passed</x:v>
      </x:c>
      <x:c r="R505" s="292" t="str"/>
      <x:c r="S505" s="292" t="str">
        <x:v>玄渊二十套全装备代码总表.xlsx</x:v>
      </x:c>
      <x:c r="T505" s="292" t="str">
        <x:v>玄渊20套全装备视觉候选；Items/StateItem/DnItems三库同码；属性待策划填写；OverLap=4; Expand1=1</x:v>
      </x:c>
      <x:c r="U505" t="str">
        <x:f>IF(COUNTIF($B$2:$B$1076,B505)&gt;1,"重复","")</x:f>
      </x:c>
      <x:c r="V505" t="str">
        <x:f>IF(AND(OR(M505="",M505=B505),OR(N505="",N505=B505),OR(O505="",O505=B505)),"通过","不一致")</x:f>
        <x:v>通过</x:v>
      </x:c>
    </x:row>
    <x:row r="506" ht="22" customHeight="1">
      <x:c r="A506" s="289" t="n">
        <x:v>505</x:v>
      </x:c>
      <x:c r="B506" s="289" t="n">
        <x:v>6525</x:v>
      </x:c>
      <x:c r="C506" s="290" t="str">
        <x:v>黄金圣树·律法</x:v>
      </x:c>
      <x:c r="D506" s="290" t="str">
        <x:v>黄金圣树</x:v>
      </x:c>
      <x:c r="E506" s="290" t="n">
        <x:v>4</x:v>
      </x:c>
      <x:c r="F506" s="290" t="str">
        <x:v>生肖2</x:v>
      </x:c>
      <x:c r="G506" s="289" t="n">
        <x:v>22</x:v>
      </x:c>
      <x:c r="H506" s="289" t="n">
        <x:v>41</x:v>
      </x:c>
      <x:c r="I506" s="289" t="n">
        <x:v>6525</x:v>
      </x:c>
      <x:c r="J506" s="289" t="n">
        <x:v>0</x:v>
      </x:c>
      <x:c r="K506" s="289" t="n">
        <x:v>4</x:v>
      </x:c>
      <x:c r="L506" s="289" t="n">
        <x:v>2</x:v>
      </x:c>
      <x:c r="M506" s="289" t="n">
        <x:v>6525</x:v>
      </x:c>
      <x:c r="N506" s="289" t="n">
        <x:v>6525</x:v>
      </x:c>
      <x:c r="O506" s="289" t="n">
        <x:v>6525</x:v>
      </x:c>
      <x:c r="P506" s="292"/>
      <x:c r="Q506" s="292" t="str">
        <x:v>candidate-preflight-passed</x:v>
      </x:c>
      <x:c r="R506" s="292" t="str"/>
      <x:c r="S506" s="292" t="str">
        <x:v>玄渊二十套全装备代码总表.xlsx</x:v>
      </x:c>
      <x:c r="T506" s="292" t="str">
        <x:v>玄渊20套全装备视觉候选；Items/StateItem/DnItems三库同码；属性待策划填写；OverLap=4; Expand1=2</x:v>
      </x:c>
      <x:c r="U506" t="str">
        <x:f>IF(COUNTIF($B$2:$B$1076,B506)&gt;1,"重复","")</x:f>
      </x:c>
      <x:c r="V506" t="str">
        <x:f>IF(AND(OR(M506="",M506=B506),OR(N506="",N506=B506),OR(O506="",O506=B506)),"通过","不一致")</x:f>
        <x:v>通过</x:v>
      </x:c>
    </x:row>
    <x:row r="507" ht="22" customHeight="1">
      <x:c r="A507" s="289" t="n">
        <x:v>506</x:v>
      </x:c>
      <x:c r="B507" s="289" t="n">
        <x:v>6526</x:v>
      </x:c>
      <x:c r="C507" s="290" t="str">
        <x:v>黄金圣树·律法</x:v>
      </x:c>
      <x:c r="D507" s="290" t="str">
        <x:v>黄金圣树</x:v>
      </x:c>
      <x:c r="E507" s="290" t="n">
        <x:v>4</x:v>
      </x:c>
      <x:c r="F507" s="290" t="str">
        <x:v>生肖3</x:v>
      </x:c>
      <x:c r="G507" s="289" t="n">
        <x:v>22</x:v>
      </x:c>
      <x:c r="H507" s="289" t="n">
        <x:v>42</x:v>
      </x:c>
      <x:c r="I507" s="289" t="n">
        <x:v>6526</x:v>
      </x:c>
      <x:c r="J507" s="289" t="n">
        <x:v>0</x:v>
      </x:c>
      <x:c r="K507" s="289" t="n">
        <x:v>4</x:v>
      </x:c>
      <x:c r="L507" s="289" t="n">
        <x:v>3</x:v>
      </x:c>
      <x:c r="M507" s="289" t="n">
        <x:v>6526</x:v>
      </x:c>
      <x:c r="N507" s="289" t="n">
        <x:v>6526</x:v>
      </x:c>
      <x:c r="O507" s="289" t="n">
        <x:v>6526</x:v>
      </x:c>
      <x:c r="P507" s="292"/>
      <x:c r="Q507" s="292" t="str">
        <x:v>candidate-preflight-passed</x:v>
      </x:c>
      <x:c r="R507" s="292" t="str"/>
      <x:c r="S507" s="292" t="str">
        <x:v>玄渊二十套全装备代码总表.xlsx</x:v>
      </x:c>
      <x:c r="T507" s="292" t="str">
        <x:v>玄渊20套全装备视觉候选；Items/StateItem/DnItems三库同码；属性待策划填写；OverLap=4; Expand1=3</x:v>
      </x:c>
      <x:c r="U507" t="str">
        <x:f>IF(COUNTIF($B$2:$B$1076,B507)&gt;1,"重复","")</x:f>
      </x:c>
      <x:c r="V507" t="str">
        <x:f>IF(AND(OR(M507="",M507=B507),OR(N507="",N507=B507),OR(O507="",O507=B507)),"通过","不一致")</x:f>
        <x:v>通过</x:v>
      </x:c>
    </x:row>
    <x:row r="508" ht="22" customHeight="1">
      <x:c r="A508" s="289" t="n">
        <x:v>507</x:v>
      </x:c>
      <x:c r="B508" s="289" t="n">
        <x:v>6527</x:v>
      </x:c>
      <x:c r="C508" s="290" t="str">
        <x:v>黄金圣树·律法</x:v>
      </x:c>
      <x:c r="D508" s="290" t="str">
        <x:v>黄金圣树</x:v>
      </x:c>
      <x:c r="E508" s="290" t="n">
        <x:v>4</x:v>
      </x:c>
      <x:c r="F508" s="290" t="str">
        <x:v>生肖4</x:v>
      </x:c>
      <x:c r="G508" s="289" t="n">
        <x:v>22</x:v>
      </x:c>
      <x:c r="H508" s="289" t="n">
        <x:v>43</x:v>
      </x:c>
      <x:c r="I508" s="289" t="n">
        <x:v>6527</x:v>
      </x:c>
      <x:c r="J508" s="289" t="n">
        <x:v>0</x:v>
      </x:c>
      <x:c r="K508" s="289" t="n">
        <x:v>4</x:v>
      </x:c>
      <x:c r="L508" s="289" t="n">
        <x:v>4</x:v>
      </x:c>
      <x:c r="M508" s="289" t="n">
        <x:v>6527</x:v>
      </x:c>
      <x:c r="N508" s="289" t="n">
        <x:v>6527</x:v>
      </x:c>
      <x:c r="O508" s="289" t="n">
        <x:v>6527</x:v>
      </x:c>
      <x:c r="P508" s="292"/>
      <x:c r="Q508" s="292" t="str">
        <x:v>candidate-preflight-passed</x:v>
      </x:c>
      <x:c r="R508" s="292" t="str"/>
      <x:c r="S508" s="292" t="str">
        <x:v>玄渊二十套全装备代码总表.xlsx</x:v>
      </x:c>
      <x:c r="T508" s="292" t="str">
        <x:v>玄渊20套全装备视觉候选；Items/StateItem/DnItems三库同码；属性待策划填写；OverLap=4; Expand1=4</x:v>
      </x:c>
      <x:c r="U508" t="str">
        <x:f>IF(COUNTIF($B$2:$B$1076,B508)&gt;1,"重复","")</x:f>
      </x:c>
      <x:c r="V508" t="str">
        <x:f>IF(AND(OR(M508="",M508=B508),OR(N508="",N508=B508),OR(O508="",O508=B508)),"通过","不一致")</x:f>
        <x:v>通过</x:v>
      </x:c>
    </x:row>
    <x:row r="509" ht="22" customHeight="1">
      <x:c r="A509" s="289" t="n">
        <x:v>508</x:v>
      </x:c>
      <x:c r="B509" s="289" t="n">
        <x:v>6528</x:v>
      </x:c>
      <x:c r="C509" s="290" t="str">
        <x:v>黄金圣树·律法</x:v>
      </x:c>
      <x:c r="D509" s="290" t="str">
        <x:v>黄金圣树</x:v>
      </x:c>
      <x:c r="E509" s="290" t="n">
        <x:v>4</x:v>
      </x:c>
      <x:c r="F509" s="290" t="str">
        <x:v>生肖5</x:v>
      </x:c>
      <x:c r="G509" s="289" t="n">
        <x:v>22</x:v>
      </x:c>
      <x:c r="H509" s="289" t="n">
        <x:v>44</x:v>
      </x:c>
      <x:c r="I509" s="289" t="n">
        <x:v>6528</x:v>
      </x:c>
      <x:c r="J509" s="289" t="n">
        <x:v>0</x:v>
      </x:c>
      <x:c r="K509" s="289" t="n">
        <x:v>4</x:v>
      </x:c>
      <x:c r="L509" s="289" t="n">
        <x:v>5</x:v>
      </x:c>
      <x:c r="M509" s="289" t="n">
        <x:v>6528</x:v>
      </x:c>
      <x:c r="N509" s="289" t="n">
        <x:v>6528</x:v>
      </x:c>
      <x:c r="O509" s="289" t="n">
        <x:v>6528</x:v>
      </x:c>
      <x:c r="P509" s="292"/>
      <x:c r="Q509" s="292" t="str">
        <x:v>candidate-preflight-passed</x:v>
      </x:c>
      <x:c r="R509" s="292" t="str"/>
      <x:c r="S509" s="292" t="str">
        <x:v>玄渊二十套全装备代码总表.xlsx</x:v>
      </x:c>
      <x:c r="T509" s="292" t="str">
        <x:v>玄渊20套全装备视觉候选；Items/StateItem/DnItems三库同码；属性待策划填写；OverLap=4; Expand1=5</x:v>
      </x:c>
      <x:c r="U509" t="str">
        <x:f>IF(COUNTIF($B$2:$B$1076,B509)&gt;1,"重复","")</x:f>
      </x:c>
      <x:c r="V509" t="str">
        <x:f>IF(AND(OR(M509="",M509=B509),OR(N509="",N509=B509),OR(O509="",O509=B509)),"通过","不一致")</x:f>
        <x:v>通过</x:v>
      </x:c>
    </x:row>
    <x:row r="510" ht="22" customHeight="1">
      <x:c r="A510" s="289" t="n">
        <x:v>509</x:v>
      </x:c>
      <x:c r="B510" s="289" t="n">
        <x:v>6529</x:v>
      </x:c>
      <x:c r="C510" s="290" t="str">
        <x:v>黄金圣树·律法</x:v>
      </x:c>
      <x:c r="D510" s="290" t="str">
        <x:v>黄金圣树</x:v>
      </x:c>
      <x:c r="E510" s="290" t="n">
        <x:v>4</x:v>
      </x:c>
      <x:c r="F510" s="290" t="str">
        <x:v>生肖6</x:v>
      </x:c>
      <x:c r="G510" s="289" t="n">
        <x:v>22</x:v>
      </x:c>
      <x:c r="H510" s="289" t="n">
        <x:v>45</x:v>
      </x:c>
      <x:c r="I510" s="289" t="n">
        <x:v>6529</x:v>
      </x:c>
      <x:c r="J510" s="289" t="n">
        <x:v>0</x:v>
      </x:c>
      <x:c r="K510" s="289" t="n">
        <x:v>4</x:v>
      </x:c>
      <x:c r="L510" s="289" t="n">
        <x:v>6</x:v>
      </x:c>
      <x:c r="M510" s="289" t="n">
        <x:v>6529</x:v>
      </x:c>
      <x:c r="N510" s="289" t="n">
        <x:v>6529</x:v>
      </x:c>
      <x:c r="O510" s="289" t="n">
        <x:v>6529</x:v>
      </x:c>
      <x:c r="P510" s="292"/>
      <x:c r="Q510" s="292" t="str">
        <x:v>candidate-preflight-passed</x:v>
      </x:c>
      <x:c r="R510" s="292" t="str"/>
      <x:c r="S510" s="292" t="str">
        <x:v>玄渊二十套全装备代码总表.xlsx</x:v>
      </x:c>
      <x:c r="T510" s="292" t="str">
        <x:v>玄渊20套全装备视觉候选；Items/StateItem/DnItems三库同码；属性待策划填写；OverLap=4; Expand1=6</x:v>
      </x:c>
      <x:c r="U510" t="str">
        <x:f>IF(COUNTIF($B$2:$B$1076,B510)&gt;1,"重复","")</x:f>
      </x:c>
      <x:c r="V510" t="str">
        <x:f>IF(AND(OR(M510="",M510=B510),OR(N510="",N510=B510),OR(O510="",O510=B510)),"通过","不一致")</x:f>
        <x:v>通过</x:v>
      </x:c>
    </x:row>
    <x:row r="511" ht="22" customHeight="1">
      <x:c r="A511" s="289" t="n">
        <x:v>510</x:v>
      </x:c>
      <x:c r="B511" s="289" t="n">
        <x:v>6530</x:v>
      </x:c>
      <x:c r="C511" s="290" t="str">
        <x:v>黄金圣树·律法</x:v>
      </x:c>
      <x:c r="D511" s="290" t="str">
        <x:v>黄金圣树</x:v>
      </x:c>
      <x:c r="E511" s="290" t="n">
        <x:v>4</x:v>
      </x:c>
      <x:c r="F511" s="290" t="str">
        <x:v>生肖7</x:v>
      </x:c>
      <x:c r="G511" s="289" t="n">
        <x:v>22</x:v>
      </x:c>
      <x:c r="H511" s="289" t="n">
        <x:v>46</x:v>
      </x:c>
      <x:c r="I511" s="289" t="n">
        <x:v>6530</x:v>
      </x:c>
      <x:c r="J511" s="289" t="n">
        <x:v>0</x:v>
      </x:c>
      <x:c r="K511" s="289" t="n">
        <x:v>4</x:v>
      </x:c>
      <x:c r="L511" s="289" t="n">
        <x:v>7</x:v>
      </x:c>
      <x:c r="M511" s="289" t="n">
        <x:v>6530</x:v>
      </x:c>
      <x:c r="N511" s="289" t="n">
        <x:v>6530</x:v>
      </x:c>
      <x:c r="O511" s="289" t="n">
        <x:v>6530</x:v>
      </x:c>
      <x:c r="P511" s="292"/>
      <x:c r="Q511" s="292" t="str">
        <x:v>candidate-preflight-passed</x:v>
      </x:c>
      <x:c r="R511" s="292" t="str"/>
      <x:c r="S511" s="292" t="str">
        <x:v>玄渊二十套全装备代码总表.xlsx</x:v>
      </x:c>
      <x:c r="T511" s="292" t="str">
        <x:v>玄渊20套全装备视觉候选；Items/StateItem/DnItems三库同码；属性待策划填写；OverLap=4; Expand1=7</x:v>
      </x:c>
      <x:c r="U511" t="str">
        <x:f>IF(COUNTIF($B$2:$B$1076,B511)&gt;1,"重复","")</x:f>
      </x:c>
      <x:c r="V511" t="str">
        <x:f>IF(AND(OR(M511="",M511=B511),OR(N511="",N511=B511),OR(O511="",O511=B511)),"通过","不一致")</x:f>
        <x:v>通过</x:v>
      </x:c>
    </x:row>
    <x:row r="512" ht="22" customHeight="1">
      <x:c r="A512" s="289" t="n">
        <x:v>511</x:v>
      </x:c>
      <x:c r="B512" s="289" t="n">
        <x:v>6531</x:v>
      </x:c>
      <x:c r="C512" s="290" t="str">
        <x:v>黄金圣树·律法</x:v>
      </x:c>
      <x:c r="D512" s="290" t="str">
        <x:v>黄金圣树</x:v>
      </x:c>
      <x:c r="E512" s="290" t="n">
        <x:v>4</x:v>
      </x:c>
      <x:c r="F512" s="290" t="str">
        <x:v>生肖8</x:v>
      </x:c>
      <x:c r="G512" s="289" t="n">
        <x:v>22</x:v>
      </x:c>
      <x:c r="H512" s="289" t="n">
        <x:v>47</x:v>
      </x:c>
      <x:c r="I512" s="289" t="n">
        <x:v>6531</x:v>
      </x:c>
      <x:c r="J512" s="289" t="n">
        <x:v>0</x:v>
      </x:c>
      <x:c r="K512" s="289" t="n">
        <x:v>4</x:v>
      </x:c>
      <x:c r="L512" s="289" t="n">
        <x:v>8</x:v>
      </x:c>
      <x:c r="M512" s="289" t="n">
        <x:v>6531</x:v>
      </x:c>
      <x:c r="N512" s="289" t="n">
        <x:v>6531</x:v>
      </x:c>
      <x:c r="O512" s="289" t="n">
        <x:v>6531</x:v>
      </x:c>
      <x:c r="P512" s="292"/>
      <x:c r="Q512" s="292" t="str">
        <x:v>candidate-preflight-passed</x:v>
      </x:c>
      <x:c r="R512" s="292" t="str"/>
      <x:c r="S512" s="292" t="str">
        <x:v>玄渊二十套全装备代码总表.xlsx</x:v>
      </x:c>
      <x:c r="T512" s="292" t="str">
        <x:v>玄渊20套全装备视觉候选；Items/StateItem/DnItems三库同码；属性待策划填写；OverLap=4; Expand1=8</x:v>
      </x:c>
      <x:c r="U512" t="str">
        <x:f>IF(COUNTIF($B$2:$B$1076,B512)&gt;1,"重复","")</x:f>
      </x:c>
      <x:c r="V512" t="str">
        <x:f>IF(AND(OR(M512="",M512=B512),OR(N512="",N512=B512),OR(O512="",O512=B512)),"通过","不一致")</x:f>
        <x:v>通过</x:v>
      </x:c>
    </x:row>
    <x:row r="513" ht="22" customHeight="1">
      <x:c r="A513" s="289" t="n">
        <x:v>512</x:v>
      </x:c>
      <x:c r="B513" s="289" t="n">
        <x:v>6532</x:v>
      </x:c>
      <x:c r="C513" s="290" t="str">
        <x:v>黄金圣树·律法</x:v>
      </x:c>
      <x:c r="D513" s="290" t="str">
        <x:v>黄金圣树</x:v>
      </x:c>
      <x:c r="E513" s="290" t="n">
        <x:v>4</x:v>
      </x:c>
      <x:c r="F513" s="290" t="str">
        <x:v>生肖9</x:v>
      </x:c>
      <x:c r="G513" s="289" t="n">
        <x:v>22</x:v>
      </x:c>
      <x:c r="H513" s="289" t="n">
        <x:v>48</x:v>
      </x:c>
      <x:c r="I513" s="289" t="n">
        <x:v>6532</x:v>
      </x:c>
      <x:c r="J513" s="289" t="n">
        <x:v>0</x:v>
      </x:c>
      <x:c r="K513" s="289" t="n">
        <x:v>4</x:v>
      </x:c>
      <x:c r="L513" s="289" t="n">
        <x:v>9</x:v>
      </x:c>
      <x:c r="M513" s="289" t="n">
        <x:v>6532</x:v>
      </x:c>
      <x:c r="N513" s="289" t="n">
        <x:v>6532</x:v>
      </x:c>
      <x:c r="O513" s="289" t="n">
        <x:v>6532</x:v>
      </x:c>
      <x:c r="P513" s="292"/>
      <x:c r="Q513" s="292" t="str">
        <x:v>candidate-preflight-passed</x:v>
      </x:c>
      <x:c r="R513" s="292" t="str"/>
      <x:c r="S513" s="292" t="str">
        <x:v>玄渊二十套全装备代码总表.xlsx</x:v>
      </x:c>
      <x:c r="T513" s="292" t="str">
        <x:v>玄渊20套全装备视觉候选；Items/StateItem/DnItems三库同码；属性待策划填写；OverLap=4; Expand1=9</x:v>
      </x:c>
      <x:c r="U513" t="str">
        <x:f>IF(COUNTIF($B$2:$B$1076,B513)&gt;1,"重复","")</x:f>
      </x:c>
      <x:c r="V513" t="str">
        <x:f>IF(AND(OR(M513="",M513=B513),OR(N513="",N513=B513),OR(O513="",O513=B513)),"通过","不一致")</x:f>
        <x:v>通过</x:v>
      </x:c>
    </x:row>
    <x:row r="514" ht="22" customHeight="1">
      <x:c r="A514" s="289" t="n">
        <x:v>513</x:v>
      </x:c>
      <x:c r="B514" s="289" t="n">
        <x:v>6533</x:v>
      </x:c>
      <x:c r="C514" s="290" t="str">
        <x:v>黄金圣树·律法</x:v>
      </x:c>
      <x:c r="D514" s="290" t="str">
        <x:v>黄金圣树</x:v>
      </x:c>
      <x:c r="E514" s="290" t="n">
        <x:v>4</x:v>
      </x:c>
      <x:c r="F514" s="290" t="str">
        <x:v>生肖10</x:v>
      </x:c>
      <x:c r="G514" s="289" t="n">
        <x:v>22</x:v>
      </x:c>
      <x:c r="H514" s="289" t="n">
        <x:v>49</x:v>
      </x:c>
      <x:c r="I514" s="289" t="n">
        <x:v>6533</x:v>
      </x:c>
      <x:c r="J514" s="289" t="n">
        <x:v>0</x:v>
      </x:c>
      <x:c r="K514" s="289" t="n">
        <x:v>4</x:v>
      </x:c>
      <x:c r="L514" s="289" t="n">
        <x:v>10</x:v>
      </x:c>
      <x:c r="M514" s="289" t="n">
        <x:v>6533</x:v>
      </x:c>
      <x:c r="N514" s="289" t="n">
        <x:v>6533</x:v>
      </x:c>
      <x:c r="O514" s="289" t="n">
        <x:v>6533</x:v>
      </x:c>
      <x:c r="P514" s="292"/>
      <x:c r="Q514" s="292" t="str">
        <x:v>candidate-preflight-passed</x:v>
      </x:c>
      <x:c r="R514" s="292" t="str"/>
      <x:c r="S514" s="292" t="str">
        <x:v>玄渊二十套全装备代码总表.xlsx</x:v>
      </x:c>
      <x:c r="T514" s="292" t="str">
        <x:v>玄渊20套全装备视觉候选；Items/StateItem/DnItems三库同码；属性待策划填写；OverLap=4; Expand1=10</x:v>
      </x:c>
      <x:c r="U514" t="str">
        <x:f>IF(COUNTIF($B$2:$B$1076,B514)&gt;1,"重复","")</x:f>
      </x:c>
      <x:c r="V514" t="str">
        <x:f>IF(AND(OR(M514="",M514=B514),OR(N514="",N514=B514),OR(O514="",O514=B514)),"通过","不一致")</x:f>
        <x:v>通过</x:v>
      </x:c>
    </x:row>
    <x:row r="515" ht="22" customHeight="1">
      <x:c r="A515" s="289" t="n">
        <x:v>514</x:v>
      </x:c>
      <x:c r="B515" s="289" t="n">
        <x:v>6534</x:v>
      </x:c>
      <x:c r="C515" s="290" t="str">
        <x:v>黄金圣树·律法</x:v>
      </x:c>
      <x:c r="D515" s="290" t="str">
        <x:v>黄金圣树</x:v>
      </x:c>
      <x:c r="E515" s="290" t="n">
        <x:v>4</x:v>
      </x:c>
      <x:c r="F515" s="290" t="str">
        <x:v>生肖11</x:v>
      </x:c>
      <x:c r="G515" s="289" t="n">
        <x:v>22</x:v>
      </x:c>
      <x:c r="H515" s="289" t="n">
        <x:v>50</x:v>
      </x:c>
      <x:c r="I515" s="289" t="n">
        <x:v>6534</x:v>
      </x:c>
      <x:c r="J515" s="289" t="n">
        <x:v>0</x:v>
      </x:c>
      <x:c r="K515" s="289" t="n">
        <x:v>4</x:v>
      </x:c>
      <x:c r="L515" s="289" t="n">
        <x:v>11</x:v>
      </x:c>
      <x:c r="M515" s="289" t="n">
        <x:v>6534</x:v>
      </x:c>
      <x:c r="N515" s="289" t="n">
        <x:v>6534</x:v>
      </x:c>
      <x:c r="O515" s="289" t="n">
        <x:v>6534</x:v>
      </x:c>
      <x:c r="P515" s="292"/>
      <x:c r="Q515" s="292" t="str">
        <x:v>candidate-preflight-passed</x:v>
      </x:c>
      <x:c r="R515" s="292" t="str"/>
      <x:c r="S515" s="292" t="str">
        <x:v>玄渊二十套全装备代码总表.xlsx</x:v>
      </x:c>
      <x:c r="T515" s="292" t="str">
        <x:v>玄渊20套全装备视觉候选；Items/StateItem/DnItems三库同码；属性待策划填写；OverLap=4; Expand1=11</x:v>
      </x:c>
      <x:c r="U515" t="str">
        <x:f>IF(COUNTIF($B$2:$B$1076,B515)&gt;1,"重复","")</x:f>
      </x:c>
      <x:c r="V515" t="str">
        <x:f>IF(AND(OR(M515="",M515=B515),OR(N515="",N515=B515),OR(O515="",O515=B515)),"通过","不一致")</x:f>
        <x:v>通过</x:v>
      </x:c>
    </x:row>
    <x:row r="516" ht="22" customHeight="1">
      <x:c r="A516" s="289" t="n">
        <x:v>515</x:v>
      </x:c>
      <x:c r="B516" s="289" t="n">
        <x:v>6535</x:v>
      </x:c>
      <x:c r="C516" s="290" t="str">
        <x:v>黄金圣树·律法</x:v>
      </x:c>
      <x:c r="D516" s="290" t="str">
        <x:v>黄金圣树</x:v>
      </x:c>
      <x:c r="E516" s="290" t="n">
        <x:v>4</x:v>
      </x:c>
      <x:c r="F516" s="290" t="str">
        <x:v>生肖12</x:v>
      </x:c>
      <x:c r="G516" s="289" t="n">
        <x:v>22</x:v>
      </x:c>
      <x:c r="H516" s="289" t="n">
        <x:v>51</x:v>
      </x:c>
      <x:c r="I516" s="289" t="n">
        <x:v>6535</x:v>
      </x:c>
      <x:c r="J516" s="289" t="n">
        <x:v>0</x:v>
      </x:c>
      <x:c r="K516" s="289" t="n">
        <x:v>4</x:v>
      </x:c>
      <x:c r="L516" s="289" t="n">
        <x:v>12</x:v>
      </x:c>
      <x:c r="M516" s="289" t="n">
        <x:v>6535</x:v>
      </x:c>
      <x:c r="N516" s="289" t="n">
        <x:v>6535</x:v>
      </x:c>
      <x:c r="O516" s="289" t="n">
        <x:v>6535</x:v>
      </x:c>
      <x:c r="P516" s="292"/>
      <x:c r="Q516" s="292" t="str">
        <x:v>candidate-preflight-passed</x:v>
      </x:c>
      <x:c r="R516" s="292" t="str"/>
      <x:c r="S516" s="292" t="str">
        <x:v>玄渊二十套全装备代码总表.xlsx</x:v>
      </x:c>
      <x:c r="T516" s="292" t="str">
        <x:v>玄渊20套全装备视觉候选；Items/StateItem/DnItems三库同码；属性待策划填写；OverLap=4; Expand1=12</x:v>
      </x:c>
      <x:c r="U516" t="str">
        <x:f>IF(COUNTIF($B$2:$B$1076,B516)&gt;1,"重复","")</x:f>
      </x:c>
      <x:c r="V516" t="str">
        <x:f>IF(AND(OR(M516="",M516=B516),OR(N516="",N516=B516),OR(O516="",O516=B516)),"通过","不一致")</x:f>
        <x:v>通过</x:v>
      </x:c>
    </x:row>
    <x:row r="517" ht="22" customHeight="1">
      <x:c r="A517" s="289" t="n">
        <x:v>516</x:v>
      </x:c>
      <x:c r="B517" s="289" t="n">
        <x:v>6536</x:v>
      </x:c>
      <x:c r="C517" s="290" t="str">
        <x:v>黄金圣树·永恒</x:v>
      </x:c>
      <x:c r="D517" s="290" t="str">
        <x:v>黄金圣树</x:v>
      </x:c>
      <x:c r="E517" s="290" t="n">
        <x:v>5</x:v>
      </x:c>
      <x:c r="F517" s="290" t="str">
        <x:v>武器</x:v>
      </x:c>
      <x:c r="G517" s="289" t="n">
        <x:v>5</x:v>
      </x:c>
      <x:c r="H517" s="289" t="n">
        <x:v>1</x:v>
      </x:c>
      <x:c r="I517" s="289" t="n">
        <x:v>6536</x:v>
      </x:c>
      <x:c r="J517" s="289" t="n">
        <x:v>20</x:v>
      </x:c>
      <x:c r="K517" s="289" t="n">
        <x:v>0</x:v>
      </x:c>
      <x:c r="L517" s="289" t="n">
        <x:v>0</x:v>
      </x:c>
      <x:c r="M517" s="289" t="n">
        <x:v>6536</x:v>
      </x:c>
      <x:c r="N517" s="289" t="n">
        <x:v>6536</x:v>
      </x:c>
      <x:c r="O517" s="289" t="n">
        <x:v>6536</x:v>
      </x:c>
      <x:c r="P517" s="292" t="str">
        <x:v>Weapon.wzl/wzx（复用现有真实动作）</x:v>
      </x:c>
      <x:c r="Q517" s="292" t="str">
        <x:v>candidate-preflight-passed</x:v>
      </x:c>
      <x:c r="R517" s="324" t="str">
        <x:v>C3-C10规划锁定：雷戈古戟</x:v>
      </x:c>
      <x:c r="S517" s="292" t="str">
        <x:v>玄渊二十套全装备代码总表.xlsx</x:v>
      </x:c>
      <x:c r="T517" s="292" t="str">
        <x:v>玄渊20套全装备视觉候选；Items/StateItem/DnItems三库同码；属性待策划填写；Weapon Shape=20</x:v>
      </x:c>
      <x:c r="U517" t="str">
        <x:f>IF(COUNTIF($B$2:$B$1076,B517)&gt;1,"重复","")</x:f>
      </x:c>
      <x:c r="V517" t="str">
        <x:f>IF(AND(OR(M517="",M517=B517),OR(N517="",N517=B517),OR(O517="",O517=B517)),"通过","不一致")</x:f>
        <x:v>通过</x:v>
      </x:c>
    </x:row>
    <x:row r="518" ht="22" customHeight="1">
      <x:c r="A518" s="289" t="n">
        <x:v>517</x:v>
      </x:c>
      <x:c r="B518" s="289" t="n">
        <x:v>6537</x:v>
      </x:c>
      <x:c r="C518" s="290" t="str">
        <x:v>黄金圣树·永恒</x:v>
      </x:c>
      <x:c r="D518" s="290" t="str">
        <x:v>黄金圣树</x:v>
      </x:c>
      <x:c r="E518" s="290" t="n">
        <x:v>5</x:v>
      </x:c>
      <x:c r="F518" s="290" t="str">
        <x:v>男衣服</x:v>
      </x:c>
      <x:c r="G518" s="289" t="n">
        <x:v>10</x:v>
      </x:c>
      <x:c r="H518" s="289" t="n">
        <x:v>0</x:v>
      </x:c>
      <x:c r="I518" s="289" t="n">
        <x:v>6537</x:v>
      </x:c>
      <x:c r="J518" s="289" t="n">
        <x:v>5</x:v>
      </x:c>
      <x:c r="K518" s="289" t="n">
        <x:v>0</x:v>
      </x:c>
      <x:c r="L518" s="289" t="n">
        <x:v>0</x:v>
      </x:c>
      <x:c r="M518" s="289" t="n">
        <x:v>6537</x:v>
      </x:c>
      <x:c r="N518" s="289" t="n">
        <x:v>6537</x:v>
      </x:c>
      <x:c r="O518" s="289" t="n">
        <x:v>6537</x:v>
      </x:c>
      <x:c r="P518" s="292" t="str">
        <x:v>Hum.wzl/wzx（复用现有真实动作）</x:v>
      </x:c>
      <x:c r="Q518" s="292" t="str">
        <x:v>candidate-preflight-passed</x:v>
      </x:c>
      <x:c r="R518" s="324" t="str">
        <x:v>C3-C10规划锁定：千军魂衣</x:v>
      </x:c>
      <x:c r="S518" s="292" t="str">
        <x:v>玄渊二十套全装备代码总表.xlsx</x:v>
      </x:c>
      <x:c r="T518" s="292" t="str">
        <x:v>玄渊20套全装备视觉候选；Items/StateItem/DnItems三库同码；属性待策划填写；Hum Shape=5</x:v>
      </x:c>
      <x:c r="U518" t="str">
        <x:f>IF(COUNTIF($B$2:$B$1076,B518)&gt;1,"重复","")</x:f>
      </x:c>
      <x:c r="V518" t="str">
        <x:f>IF(AND(OR(M518="",M518=B518),OR(N518="",N518=B518),OR(O518="",O518=B518)),"通过","不一致")</x:f>
        <x:v>通过</x:v>
      </x:c>
    </x:row>
    <x:row r="519" ht="22" customHeight="1">
      <x:c r="A519" s="289" t="n">
        <x:v>518</x:v>
      </x:c>
      <x:c r="B519" s="289" t="n">
        <x:v>6538</x:v>
      </x:c>
      <x:c r="C519" s="290" t="str">
        <x:v>黄金圣树·永恒</x:v>
      </x:c>
      <x:c r="D519" s="290" t="str">
        <x:v>黄金圣树</x:v>
      </x:c>
      <x:c r="E519" s="290" t="n">
        <x:v>5</x:v>
      </x:c>
      <x:c r="F519" s="290" t="str">
        <x:v>女衣服</x:v>
      </x:c>
      <x:c r="G519" s="289" t="n">
        <x:v>11</x:v>
      </x:c>
      <x:c r="H519" s="289" t="n">
        <x:v>0</x:v>
      </x:c>
      <x:c r="I519" s="289" t="n">
        <x:v>6538</x:v>
      </x:c>
      <x:c r="J519" s="289" t="n">
        <x:v>5</x:v>
      </x:c>
      <x:c r="K519" s="289" t="n">
        <x:v>0</x:v>
      </x:c>
      <x:c r="L519" s="289" t="n">
        <x:v>0</x:v>
      </x:c>
      <x:c r="M519" s="289" t="n">
        <x:v>6538</x:v>
      </x:c>
      <x:c r="N519" s="289" t="n">
        <x:v>6538</x:v>
      </x:c>
      <x:c r="O519" s="289" t="n">
        <x:v>6538</x:v>
      </x:c>
      <x:c r="P519" s="292" t="str">
        <x:v>Hum.wzl/wzx（复用现有真实动作）</x:v>
      </x:c>
      <x:c r="Q519" s="292" t="str">
        <x:v>candidate-preflight-passed</x:v>
      </x:c>
      <x:c r="R519" s="292" t="str"/>
      <x:c r="S519" s="292" t="str">
        <x:v>玄渊二十套全装备代码总表.xlsx</x:v>
      </x:c>
      <x:c r="T519" s="292" t="str">
        <x:v>玄渊20套全装备视觉候选；Items/StateItem/DnItems三库同码；属性待策划填写；Hum Shape=5</x:v>
      </x:c>
      <x:c r="U519" t="str">
        <x:f>IF(COUNTIF($B$2:$B$1076,B519)&gt;1,"重复","")</x:f>
      </x:c>
      <x:c r="V519" t="str">
        <x:f>IF(AND(OR(M519="",M519=B519),OR(N519="",N519=B519),OR(O519="",O519=B519)),"通过","不一致")</x:f>
        <x:v>通过</x:v>
      </x:c>
    </x:row>
    <x:row r="520" ht="22" customHeight="1">
      <x:c r="A520" s="289" t="n">
        <x:v>519</x:v>
      </x:c>
      <x:c r="B520" s="289" t="n">
        <x:v>6539</x:v>
      </x:c>
      <x:c r="C520" s="290" t="str">
        <x:v>黄金圣树·永恒</x:v>
      </x:c>
      <x:c r="D520" s="290" t="str">
        <x:v>黄金圣树</x:v>
      </x:c>
      <x:c r="E520" s="290" t="n">
        <x:v>5</x:v>
      </x:c>
      <x:c r="F520" s="290" t="str">
        <x:v>头盔</x:v>
      </x:c>
      <x:c r="G520" s="289" t="n">
        <x:v>15</x:v>
      </x:c>
      <x:c r="H520" s="289" t="n">
        <x:v>4</x:v>
      </x:c>
      <x:c r="I520" s="289" t="n">
        <x:v>6539</x:v>
      </x:c>
      <x:c r="J520" s="289" t="n">
        <x:v>0</x:v>
      </x:c>
      <x:c r="K520" s="289" t="n">
        <x:v>0</x:v>
      </x:c>
      <x:c r="L520" s="289" t="n">
        <x:v>0</x:v>
      </x:c>
      <x:c r="M520" s="289" t="n">
        <x:v>6539</x:v>
      </x:c>
      <x:c r="N520" s="289" t="n">
        <x:v>6539</x:v>
      </x:c>
      <x:c r="O520" s="289" t="n">
        <x:v>6539</x:v>
      </x:c>
      <x:c r="P520" s="292"/>
      <x:c r="Q520" s="292" t="str">
        <x:v>candidate-preflight-passed</x:v>
      </x:c>
      <x:c r="R520" s="324" t="str">
        <x:v>C3-C10规划锁定：霆崖祭冠</x:v>
      </x:c>
      <x:c r="S520" s="292" t="str">
        <x:v>玄渊二十套全装备代码总表.xlsx</x:v>
      </x:c>
      <x:c r="T520" s="292" t="str">
        <x:v>玄渊20套全装备视觉候选；Items/StateItem/DnItems三库同码；属性待策划填写</x:v>
      </x:c>
      <x:c r="U520" t="str">
        <x:f>IF(COUNTIF($B$2:$B$1076,B520)&gt;1,"重复","")</x:f>
      </x:c>
      <x:c r="V520" t="str">
        <x:f>IF(AND(OR(M520="",M520=B520),OR(N520="",N520=B520),OR(O520="",O520=B520)),"通过","不一致")</x:f>
        <x:v>通过</x:v>
      </x:c>
    </x:row>
    <x:row r="521" ht="22" customHeight="1">
      <x:c r="A521" s="289" t="n">
        <x:v>520</x:v>
      </x:c>
      <x:c r="B521" s="289" t="n">
        <x:v>6540</x:v>
      </x:c>
      <x:c r="C521" s="290" t="str">
        <x:v>黄金圣树·永恒</x:v>
      </x:c>
      <x:c r="D521" s="290" t="str">
        <x:v>黄金圣树</x:v>
      </x:c>
      <x:c r="E521" s="290" t="n">
        <x:v>5</x:v>
      </x:c>
      <x:c r="F521" s="290" t="str">
        <x:v>面巾</x:v>
      </x:c>
      <x:c r="G521" s="289" t="n">
        <x:v>16</x:v>
      </x:c>
      <x:c r="H521" s="289" t="n">
        <x:v>13</x:v>
      </x:c>
      <x:c r="I521" s="289" t="n">
        <x:v>6540</x:v>
      </x:c>
      <x:c r="J521" s="289" t="n">
        <x:v>0</x:v>
      </x:c>
      <x:c r="K521" s="289" t="n">
        <x:v>0</x:v>
      </x:c>
      <x:c r="L521" s="289" t="n">
        <x:v>0</x:v>
      </x:c>
      <x:c r="M521" s="289" t="n">
        <x:v>6540</x:v>
      </x:c>
      <x:c r="N521" s="289" t="n">
        <x:v>6540</x:v>
      </x:c>
      <x:c r="O521" s="289" t="n">
        <x:v>6540</x:v>
      </x:c>
      <x:c r="P521" s="292"/>
      <x:c r="Q521" s="292" t="str">
        <x:v>candidate-preflight-passed</x:v>
      </x:c>
      <x:c r="R521" s="324" t="str">
        <x:v>C3-C10规划锁定：白鳍浪客笠</x:v>
      </x:c>
      <x:c r="S521" s="292" t="str">
        <x:v>玄渊二十套全装备代码总表.xlsx</x:v>
      </x:c>
      <x:c r="T521" s="292" t="str">
        <x:v>玄渊20套全装备视觉候选；Items/StateItem/DnItems三库同码；属性待策划填写</x:v>
      </x:c>
      <x:c r="U521" t="str">
        <x:f>IF(COUNTIF($B$2:$B$1076,B521)&gt;1,"重复","")</x:f>
      </x:c>
      <x:c r="V521" t="str">
        <x:f>IF(AND(OR(M521="",M521=B521),OR(N521="",N521=B521),OR(O521="",O521=B521)),"通过","不一致")</x:f>
        <x:v>通过</x:v>
      </x:c>
    </x:row>
    <x:row r="522" ht="22" customHeight="1">
      <x:c r="A522" s="289" t="n">
        <x:v>521</x:v>
      </x:c>
      <x:c r="B522" s="289" t="n">
        <x:v>6541</x:v>
      </x:c>
      <x:c r="C522" s="290" t="str">
        <x:v>黄金圣树·永恒</x:v>
      </x:c>
      <x:c r="D522" s="290" t="str">
        <x:v>黄金圣树</x:v>
      </x:c>
      <x:c r="E522" s="290" t="n">
        <x:v>5</x:v>
      </x:c>
      <x:c r="F522" s="290" t="str">
        <x:v>项链</x:v>
      </x:c>
      <x:c r="G522" s="289" t="n">
        <x:v>19</x:v>
      </x:c>
      <x:c r="H522" s="289" t="n">
        <x:v>3</x:v>
      </x:c>
      <x:c r="I522" s="289" t="n">
        <x:v>6541</x:v>
      </x:c>
      <x:c r="J522" s="289" t="n">
        <x:v>0</x:v>
      </x:c>
      <x:c r="K522" s="289" t="n">
        <x:v>0</x:v>
      </x:c>
      <x:c r="L522" s="289" t="n">
        <x:v>0</x:v>
      </x:c>
      <x:c r="M522" s="289" t="n">
        <x:v>6541</x:v>
      </x:c>
      <x:c r="N522" s="289" t="n">
        <x:v>6541</x:v>
      </x:c>
      <x:c r="O522" s="289" t="n">
        <x:v>6541</x:v>
      </x:c>
      <x:c r="P522" s="292"/>
      <x:c r="Q522" s="292" t="str">
        <x:v>candidate-preflight-passed</x:v>
      </x:c>
      <x:c r="R522" s="324" t="str">
        <x:v>C3-C10规划锁定：海崖祷链</x:v>
      </x:c>
      <x:c r="S522" s="292" t="str">
        <x:v>玄渊二十套全装备代码总表.xlsx</x:v>
      </x:c>
      <x:c r="T522" s="292" t="str">
        <x:v>玄渊20套全装备视觉候选；Items/StateItem/DnItems三库同码；属性待策划填写</x:v>
      </x:c>
      <x:c r="U522" t="str">
        <x:f>IF(COUNTIF($B$2:$B$1076,B522)&gt;1,"重复","")</x:f>
      </x:c>
      <x:c r="V522" t="str">
        <x:f>IF(AND(OR(M522="",M522=B522),OR(N522="",N522=B522),OR(O522="",O522=B522)),"通过","不一致")</x:f>
        <x:v>通过</x:v>
      </x:c>
    </x:row>
    <x:row r="523" ht="22" customHeight="1">
      <x:c r="A523" s="289" t="n">
        <x:v>522</x:v>
      </x:c>
      <x:c r="B523" s="289" t="n">
        <x:v>6542</x:v>
      </x:c>
      <x:c r="C523" s="290" t="str">
        <x:v>黄金圣树·永恒</x:v>
      </x:c>
      <x:c r="D523" s="290" t="str">
        <x:v>黄金圣树</x:v>
      </x:c>
      <x:c r="E523" s="290" t="n">
        <x:v>5</x:v>
      </x:c>
      <x:c r="F523" s="290" t="str">
        <x:v>手镯</x:v>
      </x:c>
      <x:c r="G523" s="289" t="n">
        <x:v>26</x:v>
      </x:c>
      <x:c r="H523" s="289" t="n">
        <x:v>5</x:v>
      </x:c>
      <x:c r="I523" s="289" t="n">
        <x:v>6542</x:v>
      </x:c>
      <x:c r="J523" s="289" t="n">
        <x:v>0</x:v>
      </x:c>
      <x:c r="K523" s="289" t="n">
        <x:v>0</x:v>
      </x:c>
      <x:c r="L523" s="289" t="n">
        <x:v>0</x:v>
      </x:c>
      <x:c r="M523" s="289" t="n">
        <x:v>6542</x:v>
      </x:c>
      <x:c r="N523" s="289" t="n">
        <x:v>6542</x:v>
      </x:c>
      <x:c r="O523" s="289" t="n">
        <x:v>6542</x:v>
      </x:c>
      <x:c r="P523" s="292"/>
      <x:c r="Q523" s="292" t="str">
        <x:v>candidate-preflight-passed</x:v>
      </x:c>
      <x:c r="R523" s="324" t="str">
        <x:v>C3-C10规划锁定：百战腕甲</x:v>
      </x:c>
      <x:c r="S523" s="292" t="str">
        <x:v>玄渊二十套全装备代码总表.xlsx</x:v>
      </x:c>
      <x:c r="T523" s="292" t="str">
        <x:v>玄渊20套全装备视觉候选；Items/StateItem/DnItems三库同码；属性待策划填写</x:v>
      </x:c>
      <x:c r="U523" t="str">
        <x:f>IF(COUNTIF($B$2:$B$1076,B523)&gt;1,"重复","")</x:f>
      </x:c>
      <x:c r="V523" t="str">
        <x:f>IF(AND(OR(M523="",M523=B523),OR(N523="",N523=B523),OR(O523="",O523=B523)),"通过","不一致")</x:f>
        <x:v>通过</x:v>
      </x:c>
    </x:row>
    <x:row r="524" ht="22" customHeight="1">
      <x:c r="A524" s="289" t="n">
        <x:v>523</x:v>
      </x:c>
      <x:c r="B524" s="289" t="n">
        <x:v>6543</x:v>
      </x:c>
      <x:c r="C524" s="290" t="str">
        <x:v>黄金圣树·永恒</x:v>
      </x:c>
      <x:c r="D524" s="290" t="str">
        <x:v>黄金圣树</x:v>
      </x:c>
      <x:c r="E524" s="290" t="n">
        <x:v>5</x:v>
      </x:c>
      <x:c r="F524" s="290" t="str">
        <x:v>戒指</x:v>
      </x:c>
      <x:c r="G524" s="289" t="n">
        <x:v>22</x:v>
      </x:c>
      <x:c r="H524" s="289" t="n">
        <x:v>7</x:v>
      </x:c>
      <x:c r="I524" s="289" t="n">
        <x:v>6543</x:v>
      </x:c>
      <x:c r="J524" s="289" t="n">
        <x:v>0</x:v>
      </x:c>
      <x:c r="K524" s="289" t="n">
        <x:v>0</x:v>
      </x:c>
      <x:c r="L524" s="289" t="n">
        <x:v>0</x:v>
      </x:c>
      <x:c r="M524" s="289" t="n">
        <x:v>6543</x:v>
      </x:c>
      <x:c r="N524" s="289" t="n">
        <x:v>6543</x:v>
      </x:c>
      <x:c r="O524" s="289" t="n">
        <x:v>6543</x:v>
      </x:c>
      <x:c r="P524" s="292"/>
      <x:c r="Q524" s="292" t="str">
        <x:v>candidate-preflight-passed</x:v>
      </x:c>
      <x:c r="R524" s="324" t="str">
        <x:v>C3-C10规划锁定：营火牙戒</x:v>
      </x:c>
      <x:c r="S524" s="292" t="str">
        <x:v>玄渊二十套全装备代码总表.xlsx</x:v>
      </x:c>
      <x:c r="T524" s="292" t="str">
        <x:v>玄渊20套全装备视觉候选；Items/StateItem/DnItems三库同码；属性待策划填写</x:v>
      </x:c>
      <x:c r="U524" t="str">
        <x:f>IF(COUNTIF($B$2:$B$1076,B524)&gt;1,"重复","")</x:f>
      </x:c>
      <x:c r="V524" t="str">
        <x:f>IF(AND(OR(M524="",M524=B524),OR(N524="",N524=B524),OR(O524="",O524=B524)),"通过","不一致")</x:f>
        <x:v>通过</x:v>
      </x:c>
    </x:row>
    <x:row r="525" ht="22" customHeight="1">
      <x:c r="A525" s="289" t="n">
        <x:v>524</x:v>
      </x:c>
      <x:c r="B525" s="289" t="n">
        <x:v>6544</x:v>
      </x:c>
      <x:c r="C525" s="290" t="str">
        <x:v>黄金圣树·永恒</x:v>
      </x:c>
      <x:c r="D525" s="290" t="str">
        <x:v>黄金圣树</x:v>
      </x:c>
      <x:c r="E525" s="290" t="n">
        <x:v>5</x:v>
      </x:c>
      <x:c r="F525" s="290" t="str">
        <x:v>勋章</x:v>
      </x:c>
      <x:c r="G525" s="289" t="n">
        <x:v>30</x:v>
      </x:c>
      <x:c r="H525" s="289" t="n">
        <x:v>2</x:v>
      </x:c>
      <x:c r="I525" s="289" t="n">
        <x:v>6544</x:v>
      </x:c>
      <x:c r="J525" s="289" t="n">
        <x:v>0</x:v>
      </x:c>
      <x:c r="K525" s="289" t="n">
        <x:v>0</x:v>
      </x:c>
      <x:c r="L525" s="289" t="n">
        <x:v>0</x:v>
      </x:c>
      <x:c r="M525" s="289" t="n">
        <x:v>6544</x:v>
      </x:c>
      <x:c r="N525" s="289" t="n">
        <x:v>6544</x:v>
      </x:c>
      <x:c r="O525" s="289" t="n">
        <x:v>6544</x:v>
      </x:c>
      <x:c r="P525" s="292"/>
      <x:c r="Q525" s="292" t="str">
        <x:v>candidate-preflight-passed</x:v>
      </x:c>
      <x:c r="R525" s="324" t="str">
        <x:v>C3-C10规划锁定：无首号角</x:v>
      </x:c>
      <x:c r="S525" s="292" t="str">
        <x:v>玄渊二十套全装备代码总表.xlsx</x:v>
      </x:c>
      <x:c r="T525" s="292" t="str">
        <x:v>玄渊20套全装备视觉候选；Items/StateItem/DnItems三库同码；属性待策划填写</x:v>
      </x:c>
      <x:c r="U525" t="str">
        <x:f>IF(COUNTIF($B$2:$B$1076,B525)&gt;1,"重复","")</x:f>
      </x:c>
      <x:c r="V525" t="str">
        <x:f>IF(AND(OR(M525="",M525=B525),OR(N525="",N525=B525),OR(O525="",O525=B525)),"通过","不一致")</x:f>
        <x:v>通过</x:v>
      </x:c>
    </x:row>
    <x:row r="526" ht="22" customHeight="1">
      <x:c r="A526" s="289" t="n">
        <x:v>525</x:v>
      </x:c>
      <x:c r="B526" s="289" t="n">
        <x:v>6545</x:v>
      </x:c>
      <x:c r="C526" s="290" t="str">
        <x:v>黄金圣树·永恒</x:v>
      </x:c>
      <x:c r="D526" s="290" t="str">
        <x:v>黄金圣树</x:v>
      </x:c>
      <x:c r="E526" s="290" t="n">
        <x:v>5</x:v>
      </x:c>
      <x:c r="F526" s="290" t="str">
        <x:v>盾牌</x:v>
      </x:c>
      <x:c r="G526" s="289" t="n">
        <x:v>12</x:v>
      </x:c>
      <x:c r="H526" s="289" t="n">
        <x:v>16</x:v>
      </x:c>
      <x:c r="I526" s="289" t="n">
        <x:v>6545</x:v>
      </x:c>
      <x:c r="J526" s="289" t="n">
        <x:v>0</x:v>
      </x:c>
      <x:c r="K526" s="289" t="n">
        <x:v>0</x:v>
      </x:c>
      <x:c r="L526" s="289" t="n">
        <x:v>0</x:v>
      </x:c>
      <x:c r="M526" s="289" t="n">
        <x:v>6545</x:v>
      </x:c>
      <x:c r="N526" s="289" t="n">
        <x:v>6545</x:v>
      </x:c>
      <x:c r="O526" s="289" t="n">
        <x:v>6545</x:v>
      </x:c>
      <x:c r="P526" s="292"/>
      <x:c r="Q526" s="292" t="str">
        <x:v>candidate-preflight-passed</x:v>
      </x:c>
      <x:c r="R526" s="324" t="str">
        <x:v>C3-C10规划锁定：边境塔盾</x:v>
      </x:c>
      <x:c r="S526" s="292" t="str">
        <x:v>玄渊二十套全装备代码总表.xlsx</x:v>
      </x:c>
      <x:c r="T526" s="292" t="str">
        <x:v>玄渊20套全装备视觉候选；Items/StateItem/DnItems三库同码；属性待策划填写</x:v>
      </x:c>
      <x:c r="U526" t="str">
        <x:f>IF(COUNTIF($B$2:$B$1076,B526)&gt;1,"重复","")</x:f>
      </x:c>
      <x:c r="V526" t="str">
        <x:f>IF(AND(OR(M526="",M526=B526),OR(N526="",N526=B526),OR(O526="",O526=B526)),"通过","不一致")</x:f>
        <x:v>通过</x:v>
      </x:c>
    </x:row>
    <x:row r="527" ht="22" customHeight="1">
      <x:c r="A527" s="289" t="n">
        <x:v>526</x:v>
      </x:c>
      <x:c r="B527" s="289" t="n">
        <x:v>6546</x:v>
      </x:c>
      <x:c r="C527" s="290" t="str">
        <x:v>黄金圣树·永恒</x:v>
      </x:c>
      <x:c r="D527" s="290" t="str">
        <x:v>黄金圣树</x:v>
      </x:c>
      <x:c r="E527" s="290" t="n">
        <x:v>5</x:v>
      </x:c>
      <x:c r="F527" s="290" t="str">
        <x:v>灵玉</x:v>
      </x:c>
      <x:c r="G527" s="289" t="n">
        <x:v>90</x:v>
      </x:c>
      <x:c r="H527" s="289" t="n">
        <x:v>17</x:v>
      </x:c>
      <x:c r="I527" s="289" t="n">
        <x:v>6546</x:v>
      </x:c>
      <x:c r="J527" s="289" t="n">
        <x:v>0</x:v>
      </x:c>
      <x:c r="K527" s="289" t="n">
        <x:v>0</x:v>
      </x:c>
      <x:c r="L527" s="289" t="n">
        <x:v>0</x:v>
      </x:c>
      <x:c r="M527" s="289" t="n">
        <x:v>6546</x:v>
      </x:c>
      <x:c r="N527" s="289" t="n">
        <x:v>6546</x:v>
      </x:c>
      <x:c r="O527" s="289" t="n">
        <x:v>6546</x:v>
      </x:c>
      <x:c r="P527" s="292"/>
      <x:c r="Q527" s="292" t="str">
        <x:v>candidate-preflight-passed</x:v>
      </x:c>
      <x:c r="R527" s="292" t="str"/>
      <x:c r="S527" s="292" t="str">
        <x:v>玄渊二十套全装备代码总表.xlsx</x:v>
      </x:c>
      <x:c r="T527" s="292" t="str">
        <x:v>玄渊20套全装备视觉候选；Items/StateItem/DnItems三库同码；属性待策划填写</x:v>
      </x:c>
      <x:c r="U527" t="str">
        <x:f>IF(COUNTIF($B$2:$B$1076,B527)&gt;1,"重复","")</x:f>
      </x:c>
      <x:c r="V527" t="str">
        <x:f>IF(AND(OR(M527="",M527=B527),OR(N527="",N527=B527),OR(O527="",O527=B527)),"通过","不一致")</x:f>
        <x:v>通过</x:v>
      </x:c>
    </x:row>
    <x:row r="528" ht="22" customHeight="1">
      <x:c r="A528" s="289" t="n">
        <x:v>527</x:v>
      </x:c>
      <x:c r="B528" s="289" t="n">
        <x:v>6547</x:v>
      </x:c>
      <x:c r="C528" s="290" t="str">
        <x:v>黄金圣树·永恒</x:v>
      </x:c>
      <x:c r="D528" s="290" t="str">
        <x:v>黄金圣树</x:v>
      </x:c>
      <x:c r="E528" s="290" t="n">
        <x:v>5</x:v>
      </x:c>
      <x:c r="F528" s="290" t="str">
        <x:v>鞋子</x:v>
      </x:c>
      <x:c r="G528" s="289" t="n">
        <x:v>62</x:v>
      </x:c>
      <x:c r="H528" s="289" t="n">
        <x:v>11</x:v>
      </x:c>
      <x:c r="I528" s="289" t="n">
        <x:v>6547</x:v>
      </x:c>
      <x:c r="J528" s="289" t="n">
        <x:v>0</x:v>
      </x:c>
      <x:c r="K528" s="289" t="n">
        <x:v>0</x:v>
      </x:c>
      <x:c r="L528" s="289" t="n">
        <x:v>0</x:v>
      </x:c>
      <x:c r="M528" s="289" t="n">
        <x:v>6547</x:v>
      </x:c>
      <x:c r="N528" s="289" t="n">
        <x:v>6547</x:v>
      </x:c>
      <x:c r="O528" s="289" t="n">
        <x:v>6547</x:v>
      </x:c>
      <x:c r="P528" s="292"/>
      <x:c r="Q528" s="292" t="str">
        <x:v>candidate-preflight-passed</x:v>
      </x:c>
      <x:c r="R528" s="324" t="str">
        <x:v>C3-C10规划锁定：英灵马靴</x:v>
      </x:c>
      <x:c r="S528" s="292" t="str">
        <x:v>玄渊二十套全装备代码总表.xlsx</x:v>
      </x:c>
      <x:c r="T528" s="292" t="str">
        <x:v>玄渊20套全装备视觉候选；Items/StateItem/DnItems三库同码；属性待策划填写</x:v>
      </x:c>
      <x:c r="U528" t="str">
        <x:f>IF(COUNTIF($B$2:$B$1076,B528)&gt;1,"重复","")</x:f>
      </x:c>
      <x:c r="V528" t="str">
        <x:f>IF(AND(OR(M528="",M528=B528),OR(N528="",N528=B528),OR(O528="",O528=B528)),"通过","不一致")</x:f>
        <x:v>通过</x:v>
      </x:c>
    </x:row>
    <x:row r="529" ht="22" customHeight="1">
      <x:c r="A529" s="289" t="n">
        <x:v>528</x:v>
      </x:c>
      <x:c r="B529" s="289" t="n">
        <x:v>6548</x:v>
      </x:c>
      <x:c r="C529" s="290" t="str">
        <x:v>黄金圣树·永恒</x:v>
      </x:c>
      <x:c r="D529" s="290" t="str">
        <x:v>黄金圣树</x:v>
      </x:c>
      <x:c r="E529" s="290" t="n">
        <x:v>5</x:v>
      </x:c>
      <x:c r="F529" s="290" t="str">
        <x:v>腰带</x:v>
      </x:c>
      <x:c r="G529" s="289" t="n">
        <x:v>64</x:v>
      </x:c>
      <x:c r="H529" s="289" t="n">
        <x:v>10</x:v>
      </x:c>
      <x:c r="I529" s="289" t="n">
        <x:v>6548</x:v>
      </x:c>
      <x:c r="J529" s="289" t="n">
        <x:v>0</x:v>
      </x:c>
      <x:c r="K529" s="289" t="n">
        <x:v>0</x:v>
      </x:c>
      <x:c r="L529" s="289" t="n">
        <x:v>0</x:v>
      </x:c>
      <x:c r="M529" s="289" t="n">
        <x:v>6548</x:v>
      </x:c>
      <x:c r="N529" s="289" t="n">
        <x:v>6548</x:v>
      </x:c>
      <x:c r="O529" s="289" t="n">
        <x:v>6548</x:v>
      </x:c>
      <x:c r="P529" s="292"/>
      <x:c r="Q529" s="292" t="str">
        <x:v>candidate-preflight-passed</x:v>
      </x:c>
      <x:c r="R529" s="324" t="str">
        <x:v>C3-C10规划锁定：铜门束带</x:v>
      </x:c>
      <x:c r="S529" s="292" t="str">
        <x:v>玄渊二十套全装备代码总表.xlsx</x:v>
      </x:c>
      <x:c r="T529" s="292" t="str">
        <x:v>玄渊20套全装备视觉候选；Items/StateItem/DnItems三库同码；属性待策划填写</x:v>
      </x:c>
      <x:c r="U529" t="str">
        <x:f>IF(COUNTIF($B$2:$B$1076,B529)&gt;1,"重复","")</x:f>
      </x:c>
      <x:c r="V529" t="str">
        <x:f>IF(AND(OR(M529="",M529=B529),OR(N529="",N529=B529),OR(O529="",O529=B529)),"通过","不一致")</x:f>
        <x:v>通过</x:v>
      </x:c>
    </x:row>
    <x:row r="530" ht="22" customHeight="1">
      <x:c r="A530" s="289" t="n">
        <x:v>529</x:v>
      </x:c>
      <x:c r="B530" s="289" t="n">
        <x:v>6549</x:v>
      </x:c>
      <x:c r="C530" s="290" t="str">
        <x:v>黄金圣树·永恒</x:v>
      </x:c>
      <x:c r="D530" s="290" t="str">
        <x:v>黄金圣树</x:v>
      </x:c>
      <x:c r="E530" s="290" t="n">
        <x:v>5</x:v>
      </x:c>
      <x:c r="F530" s="290" t="str">
        <x:v>护身符</x:v>
      </x:c>
      <x:c r="G530" s="289" t="n">
        <x:v>25</x:v>
      </x:c>
      <x:c r="H530" s="289" t="n">
        <x:v>9</x:v>
      </x:c>
      <x:c r="I530" s="289" t="n">
        <x:v>6549</x:v>
      </x:c>
      <x:c r="J530" s="289" t="n">
        <x:v>0</x:v>
      </x:c>
      <x:c r="K530" s="289" t="n">
        <x:v>0</x:v>
      </x:c>
      <x:c r="L530" s="289" t="n">
        <x:v>0</x:v>
      </x:c>
      <x:c r="M530" s="289" t="n">
        <x:v>6549</x:v>
      </x:c>
      <x:c r="N530" s="289" t="n">
        <x:v>6549</x:v>
      </x:c>
      <x:c r="O530" s="289" t="n">
        <x:v>6549</x:v>
      </x:c>
      <x:c r="P530" s="292"/>
      <x:c r="Q530" s="292" t="str">
        <x:v>candidate-preflight-passed</x:v>
      </x:c>
      <x:c r="R530" s="292" t="str"/>
      <x:c r="S530" s="292" t="str">
        <x:v>玄渊二十套全装备代码总表.xlsx</x:v>
      </x:c>
      <x:c r="T530" s="292" t="str">
        <x:v>玄渊20套全装备视觉候选；Items/StateItem/DnItems三库同码；属性待策划填写</x:v>
      </x:c>
      <x:c r="U530" t="str">
        <x:f>IF(COUNTIF($B$2:$B$1076,B530)&gt;1,"重复","")</x:f>
      </x:c>
      <x:c r="V530" t="str">
        <x:f>IF(AND(OR(M530="",M530=B530),OR(N530="",N530=B530),OR(O530="",O530=B530)),"通过","不一致")</x:f>
        <x:v>通过</x:v>
      </x:c>
    </x:row>
    <x:row r="531" ht="22" customHeight="1">
      <x:c r="A531" s="289" t="n">
        <x:v>530</x:v>
      </x:c>
      <x:c r="B531" s="289" t="n">
        <x:v>6550</x:v>
      </x:c>
      <x:c r="C531" s="290" t="str">
        <x:v>黄金圣树·永恒</x:v>
      </x:c>
      <x:c r="D531" s="290" t="str">
        <x:v>黄金圣树</x:v>
      </x:c>
      <x:c r="E531" s="290" t="n">
        <x:v>5</x:v>
      </x:c>
      <x:c r="F531" s="290" t="str">
        <x:v>宝石</x:v>
      </x:c>
      <x:c r="G531" s="289" t="n">
        <x:v>63</x:v>
      </x:c>
      <x:c r="H531" s="289" t="n">
        <x:v>12</x:v>
      </x:c>
      <x:c r="I531" s="289" t="n">
        <x:v>6550</x:v>
      </x:c>
      <x:c r="J531" s="289" t="n">
        <x:v>0</x:v>
      </x:c>
      <x:c r="K531" s="289" t="n">
        <x:v>0</x:v>
      </x:c>
      <x:c r="L531" s="289" t="n">
        <x:v>0</x:v>
      </x:c>
      <x:c r="M531" s="289" t="n">
        <x:v>6550</x:v>
      </x:c>
      <x:c r="N531" s="289" t="n">
        <x:v>6550</x:v>
      </x:c>
      <x:c r="O531" s="289" t="n">
        <x:v>6550</x:v>
      </x:c>
      <x:c r="P531" s="292"/>
      <x:c r="Q531" s="292" t="str">
        <x:v>candidate-preflight-passed</x:v>
      </x:c>
      <x:c r="R531" s="292" t="str"/>
      <x:c r="S531" s="292" t="str">
        <x:v>玄渊二十套全装备代码总表.xlsx</x:v>
      </x:c>
      <x:c r="T531" s="292" t="str">
        <x:v>玄渊20套全装备视觉候选；Items/StateItem/DnItems三库同码；属性待策划填写</x:v>
      </x:c>
      <x:c r="U531" t="str">
        <x:f>IF(COUNTIF($B$2:$B$1076,B531)&gt;1,"重复","")</x:f>
      </x:c>
      <x:c r="V531" t="str">
        <x:f>IF(AND(OR(M531="",M531=B531),OR(N531="",N531=B531),OR(O531="",O531=B531)),"通过","不一致")</x:f>
        <x:v>通过</x:v>
      </x:c>
    </x:row>
    <x:row r="532" ht="22" customHeight="1">
      <x:c r="A532" s="289" t="n">
        <x:v>531</x:v>
      </x:c>
      <x:c r="B532" s="289" t="n">
        <x:v>6551</x:v>
      </x:c>
      <x:c r="C532" s="290" t="str">
        <x:v>黄金圣树·永恒</x:v>
      </x:c>
      <x:c r="D532" s="290" t="str">
        <x:v>黄金圣树</x:v>
      </x:c>
      <x:c r="E532" s="290" t="n">
        <x:v>5</x:v>
      </x:c>
      <x:c r="F532" s="290" t="str">
        <x:v>军鼓</x:v>
      </x:c>
      <x:c r="G532" s="289" t="n">
        <x:v>65</x:v>
      </x:c>
      <x:c r="H532" s="289" t="n">
        <x:v>14</x:v>
      </x:c>
      <x:c r="I532" s="289" t="n">
        <x:v>6551</x:v>
      </x:c>
      <x:c r="J532" s="289" t="n">
        <x:v>0</x:v>
      </x:c>
      <x:c r="K532" s="289" t="n">
        <x:v>0</x:v>
      </x:c>
      <x:c r="L532" s="289" t="n">
        <x:v>0</x:v>
      </x:c>
      <x:c r="M532" s="289" t="n">
        <x:v>6551</x:v>
      </x:c>
      <x:c r="N532" s="289" t="n">
        <x:v>6551</x:v>
      </x:c>
      <x:c r="O532" s="289" t="n">
        <x:v>6551</x:v>
      </x:c>
      <x:c r="P532" s="292"/>
      <x:c r="Q532" s="292" t="str">
        <x:v>candidate-preflight-passed</x:v>
      </x:c>
      <x:c r="R532" s="292" t="str"/>
      <x:c r="S532" s="292" t="str">
        <x:v>玄渊二十套全装备代码总表.xlsx</x:v>
      </x:c>
      <x:c r="T532" s="292" t="str">
        <x:v>玄渊20套全装备视觉候选；Items/StateItem/DnItems三库同码；属性待策划填写</x:v>
      </x:c>
      <x:c r="U532" t="str">
        <x:f>IF(COUNTIF($B$2:$B$1076,B532)&gt;1,"重复","")</x:f>
      </x:c>
      <x:c r="V532" t="str">
        <x:f>IF(AND(OR(M532="",M532=B532),OR(N532="",N532=B532),OR(O532="",O532=B532)),"通过","不一致")</x:f>
        <x:v>通过</x:v>
      </x:c>
    </x:row>
    <x:row r="533" ht="22" customHeight="1">
      <x:c r="A533" s="289" t="n">
        <x:v>532</x:v>
      </x:c>
      <x:c r="B533" s="289" t="n">
        <x:v>6552</x:v>
      </x:c>
      <x:c r="C533" s="290" t="str">
        <x:v>黄金圣树·永恒</x:v>
      </x:c>
      <x:c r="D533" s="290" t="str">
        <x:v>黄金圣树</x:v>
      </x:c>
      <x:c r="E533" s="290" t="n">
        <x:v>5</x:v>
      </x:c>
      <x:c r="F533" s="290" t="str">
        <x:v>马牌</x:v>
      </x:c>
      <x:c r="G533" s="289" t="n">
        <x:v>28</x:v>
      </x:c>
      <x:c r="H533" s="289" t="n">
        <x:v>15</x:v>
      </x:c>
      <x:c r="I533" s="289" t="n">
        <x:v>6552</x:v>
      </x:c>
      <x:c r="J533" s="289" t="n">
        <x:v>0</x:v>
      </x:c>
      <x:c r="K533" s="289" t="n">
        <x:v>0</x:v>
      </x:c>
      <x:c r="L533" s="289" t="n">
        <x:v>0</x:v>
      </x:c>
      <x:c r="M533" s="289" t="n">
        <x:v>6552</x:v>
      </x:c>
      <x:c r="N533" s="289" t="n">
        <x:v>6552</x:v>
      </x:c>
      <x:c r="O533" s="289" t="n">
        <x:v>6552</x:v>
      </x:c>
      <x:c r="P533" s="292"/>
      <x:c r="Q533" s="292" t="str">
        <x:v>candidate-preflight-passed</x:v>
      </x:c>
      <x:c r="R533" s="292" t="str"/>
      <x:c r="S533" s="292" t="str">
        <x:v>玄渊二十套全装备代码总表.xlsx</x:v>
      </x:c>
      <x:c r="T533" s="292" t="str">
        <x:v>玄渊20套全装备视觉候选；Items/StateItem/DnItems三库同码；属性待策划填写</x:v>
      </x:c>
      <x:c r="U533" t="str">
        <x:f>IF(COUNTIF($B$2:$B$1076,B533)&gt;1,"重复","")</x:f>
      </x:c>
      <x:c r="V533" t="str">
        <x:f>IF(AND(OR(M533="",M533=B533),OR(N533="",N533=B533),OR(O533="",O533=B533)),"通过","不一致")</x:f>
        <x:v>通过</x:v>
      </x:c>
    </x:row>
    <x:row r="534" ht="22" customHeight="1">
      <x:c r="A534" s="289" t="n">
        <x:v>533</x:v>
      </x:c>
      <x:c r="B534" s="289" t="n">
        <x:v>6553</x:v>
      </x:c>
      <x:c r="C534" s="290" t="str">
        <x:v>黄金圣树·永恒</x:v>
      </x:c>
      <x:c r="D534" s="290" t="str">
        <x:v>黄金圣树</x:v>
      </x:c>
      <x:c r="E534" s="290" t="n">
        <x:v>5</x:v>
      </x:c>
      <x:c r="F534" s="290" t="str">
        <x:v>首饰盒1</x:v>
      </x:c>
      <x:c r="G534" s="289" t="n">
        <x:v>22</x:v>
      </x:c>
      <x:c r="H534" s="289" t="n">
        <x:v>30</x:v>
      </x:c>
      <x:c r="I534" s="289" t="n">
        <x:v>6553</x:v>
      </x:c>
      <x:c r="J534" s="289" t="n">
        <x:v>0</x:v>
      </x:c>
      <x:c r="K534" s="289" t="n">
        <x:v>2</x:v>
      </x:c>
      <x:c r="L534" s="289" t="n">
        <x:v>1</x:v>
      </x:c>
      <x:c r="M534" s="289" t="n">
        <x:v>6553</x:v>
      </x:c>
      <x:c r="N534" s="289" t="n">
        <x:v>6553</x:v>
      </x:c>
      <x:c r="O534" s="289" t="n">
        <x:v>6553</x:v>
      </x:c>
      <x:c r="P534" s="292"/>
      <x:c r="Q534" s="292" t="str">
        <x:v>candidate-preflight-passed</x:v>
      </x:c>
      <x:c r="R534" s="292" t="str"/>
      <x:c r="S534" s="292" t="str">
        <x:v>玄渊二十套全装备代码总表.xlsx</x:v>
      </x:c>
      <x:c r="T534" s="292" t="str">
        <x:v>玄渊20套全装备视觉候选；Items/StateItem/DnItems三库同码；属性待策划填写；OverLap=2; Expand1=1</x:v>
      </x:c>
      <x:c r="U534" t="str">
        <x:f>IF(COUNTIF($B$2:$B$1076,B534)&gt;1,"重复","")</x:f>
      </x:c>
      <x:c r="V534" t="str">
        <x:f>IF(AND(OR(M534="",M534=B534),OR(N534="",N534=B534),OR(O534="",O534=B534)),"通过","不一致")</x:f>
        <x:v>通过</x:v>
      </x:c>
    </x:row>
    <x:row r="535" ht="22" customHeight="1">
      <x:c r="A535" s="289" t="n">
        <x:v>534</x:v>
      </x:c>
      <x:c r="B535" s="289" t="n">
        <x:v>6554</x:v>
      </x:c>
      <x:c r="C535" s="290" t="str">
        <x:v>黄金圣树·永恒</x:v>
      </x:c>
      <x:c r="D535" s="290" t="str">
        <x:v>黄金圣树</x:v>
      </x:c>
      <x:c r="E535" s="290" t="n">
        <x:v>5</x:v>
      </x:c>
      <x:c r="F535" s="290" t="str">
        <x:v>首饰盒2</x:v>
      </x:c>
      <x:c r="G535" s="289" t="n">
        <x:v>22</x:v>
      </x:c>
      <x:c r="H535" s="289" t="n">
        <x:v>31</x:v>
      </x:c>
      <x:c r="I535" s="289" t="n">
        <x:v>6554</x:v>
      </x:c>
      <x:c r="J535" s="289" t="n">
        <x:v>0</x:v>
      </x:c>
      <x:c r="K535" s="289" t="n">
        <x:v>2</x:v>
      </x:c>
      <x:c r="L535" s="289" t="n">
        <x:v>2</x:v>
      </x:c>
      <x:c r="M535" s="289" t="n">
        <x:v>6554</x:v>
      </x:c>
      <x:c r="N535" s="289" t="n">
        <x:v>6554</x:v>
      </x:c>
      <x:c r="O535" s="289" t="n">
        <x:v>6554</x:v>
      </x:c>
      <x:c r="P535" s="292"/>
      <x:c r="Q535" s="292" t="str">
        <x:v>candidate-preflight-passed</x:v>
      </x:c>
      <x:c r="R535" s="292" t="str"/>
      <x:c r="S535" s="292" t="str">
        <x:v>玄渊二十套全装备代码总表.xlsx</x:v>
      </x:c>
      <x:c r="T535" s="292" t="str">
        <x:v>玄渊20套全装备视觉候选；Items/StateItem/DnItems三库同码；属性待策划填写；OverLap=2; Expand1=2</x:v>
      </x:c>
      <x:c r="U535" t="str">
        <x:f>IF(COUNTIF($B$2:$B$1076,B535)&gt;1,"重复","")</x:f>
      </x:c>
      <x:c r="V535" t="str">
        <x:f>IF(AND(OR(M535="",M535=B535),OR(N535="",N535=B535),OR(O535="",O535=B535)),"通过","不一致")</x:f>
        <x:v>通过</x:v>
      </x:c>
    </x:row>
    <x:row r="536" ht="22" customHeight="1">
      <x:c r="A536" s="289" t="n">
        <x:v>535</x:v>
      </x:c>
      <x:c r="B536" s="289" t="n">
        <x:v>6555</x:v>
      </x:c>
      <x:c r="C536" s="290" t="str">
        <x:v>黄金圣树·永恒</x:v>
      </x:c>
      <x:c r="D536" s="290" t="str">
        <x:v>黄金圣树</x:v>
      </x:c>
      <x:c r="E536" s="290" t="n">
        <x:v>5</x:v>
      </x:c>
      <x:c r="F536" s="290" t="str">
        <x:v>首饰盒3</x:v>
      </x:c>
      <x:c r="G536" s="289" t="n">
        <x:v>22</x:v>
      </x:c>
      <x:c r="H536" s="289" t="n">
        <x:v>32</x:v>
      </x:c>
      <x:c r="I536" s="289" t="n">
        <x:v>6555</x:v>
      </x:c>
      <x:c r="J536" s="289" t="n">
        <x:v>0</x:v>
      </x:c>
      <x:c r="K536" s="289" t="n">
        <x:v>2</x:v>
      </x:c>
      <x:c r="L536" s="289" t="n">
        <x:v>3</x:v>
      </x:c>
      <x:c r="M536" s="289" t="n">
        <x:v>6555</x:v>
      </x:c>
      <x:c r="N536" s="289" t="n">
        <x:v>6555</x:v>
      </x:c>
      <x:c r="O536" s="289" t="n">
        <x:v>6555</x:v>
      </x:c>
      <x:c r="P536" s="292"/>
      <x:c r="Q536" s="292" t="str">
        <x:v>candidate-preflight-passed</x:v>
      </x:c>
      <x:c r="R536" s="292" t="str"/>
      <x:c r="S536" s="292" t="str">
        <x:v>玄渊二十套全装备代码总表.xlsx</x:v>
      </x:c>
      <x:c r="T536" s="292" t="str">
        <x:v>玄渊20套全装备视觉候选；Items/StateItem/DnItems三库同码；属性待策划填写；OverLap=2; Expand1=3</x:v>
      </x:c>
      <x:c r="U536" t="str">
        <x:f>IF(COUNTIF($B$2:$B$1076,B536)&gt;1,"重复","")</x:f>
      </x:c>
      <x:c r="V536" t="str">
        <x:f>IF(AND(OR(M536="",M536=B536),OR(N536="",N536=B536),OR(O536="",O536=B536)),"通过","不一致")</x:f>
        <x:v>通过</x:v>
      </x:c>
    </x:row>
    <x:row r="537" ht="22" customHeight="1">
      <x:c r="A537" s="289" t="n">
        <x:v>536</x:v>
      </x:c>
      <x:c r="B537" s="289" t="n">
        <x:v>6556</x:v>
      </x:c>
      <x:c r="C537" s="290" t="str">
        <x:v>黄金圣树·永恒</x:v>
      </x:c>
      <x:c r="D537" s="290" t="str">
        <x:v>黄金圣树</x:v>
      </x:c>
      <x:c r="E537" s="290" t="n">
        <x:v>5</x:v>
      </x:c>
      <x:c r="F537" s="290" t="str">
        <x:v>首饰盒4</x:v>
      </x:c>
      <x:c r="G537" s="289" t="n">
        <x:v>22</x:v>
      </x:c>
      <x:c r="H537" s="289" t="n">
        <x:v>33</x:v>
      </x:c>
      <x:c r="I537" s="289" t="n">
        <x:v>6556</x:v>
      </x:c>
      <x:c r="J537" s="289" t="n">
        <x:v>0</x:v>
      </x:c>
      <x:c r="K537" s="289" t="n">
        <x:v>2</x:v>
      </x:c>
      <x:c r="L537" s="289" t="n">
        <x:v>4</x:v>
      </x:c>
      <x:c r="M537" s="289" t="n">
        <x:v>6556</x:v>
      </x:c>
      <x:c r="N537" s="289" t="n">
        <x:v>6556</x:v>
      </x:c>
      <x:c r="O537" s="289" t="n">
        <x:v>6556</x:v>
      </x:c>
      <x:c r="P537" s="292"/>
      <x:c r="Q537" s="292" t="str">
        <x:v>candidate-preflight-passed</x:v>
      </x:c>
      <x:c r="R537" s="292" t="str"/>
      <x:c r="S537" s="292" t="str">
        <x:v>玄渊二十套全装备代码总表.xlsx</x:v>
      </x:c>
      <x:c r="T537" s="292" t="str">
        <x:v>玄渊20套全装备视觉候选；Items/StateItem/DnItems三库同码；属性待策划填写；OverLap=2; Expand1=4</x:v>
      </x:c>
      <x:c r="U537" t="str">
        <x:f>IF(COUNTIF($B$2:$B$1076,B537)&gt;1,"重复","")</x:f>
      </x:c>
      <x:c r="V537" t="str">
        <x:f>IF(AND(OR(M537="",M537=B537),OR(N537="",N537=B537),OR(O537="",O537=B537)),"通过","不一致")</x:f>
        <x:v>通过</x:v>
      </x:c>
    </x:row>
    <x:row r="538" ht="22" customHeight="1">
      <x:c r="A538" s="289" t="n">
        <x:v>537</x:v>
      </x:c>
      <x:c r="B538" s="289" t="n">
        <x:v>6557</x:v>
      </x:c>
      <x:c r="C538" s="290" t="str">
        <x:v>黄金圣树·永恒</x:v>
      </x:c>
      <x:c r="D538" s="290" t="str">
        <x:v>黄金圣树</x:v>
      </x:c>
      <x:c r="E538" s="290" t="n">
        <x:v>5</x:v>
      </x:c>
      <x:c r="F538" s="290" t="str">
        <x:v>首饰盒5</x:v>
      </x:c>
      <x:c r="G538" s="289" t="n">
        <x:v>22</x:v>
      </x:c>
      <x:c r="H538" s="289" t="n">
        <x:v>34</x:v>
      </x:c>
      <x:c r="I538" s="289" t="n">
        <x:v>6557</x:v>
      </x:c>
      <x:c r="J538" s="289" t="n">
        <x:v>0</x:v>
      </x:c>
      <x:c r="K538" s="289" t="n">
        <x:v>2</x:v>
      </x:c>
      <x:c r="L538" s="289" t="n">
        <x:v>5</x:v>
      </x:c>
      <x:c r="M538" s="289" t="n">
        <x:v>6557</x:v>
      </x:c>
      <x:c r="N538" s="289" t="n">
        <x:v>6557</x:v>
      </x:c>
      <x:c r="O538" s="289" t="n">
        <x:v>6557</x:v>
      </x:c>
      <x:c r="P538" s="292"/>
      <x:c r="Q538" s="292" t="str">
        <x:v>candidate-preflight-passed</x:v>
      </x:c>
      <x:c r="R538" s="292" t="str"/>
      <x:c r="S538" s="292" t="str">
        <x:v>玄渊二十套全装备代码总表.xlsx</x:v>
      </x:c>
      <x:c r="T538" s="292" t="str">
        <x:v>玄渊20套全装备视觉候选；Items/StateItem/DnItems三库同码；属性待策划填写；OverLap=2; Expand1=5</x:v>
      </x:c>
      <x:c r="U538" t="str">
        <x:f>IF(COUNTIF($B$2:$B$1076,B538)&gt;1,"重复","")</x:f>
      </x:c>
      <x:c r="V538" t="str">
        <x:f>IF(AND(OR(M538="",M538=B538),OR(N538="",N538=B538),OR(O538="",O538=B538)),"通过","不一致")</x:f>
        <x:v>通过</x:v>
      </x:c>
    </x:row>
    <x:row r="539" ht="22" customHeight="1">
      <x:c r="A539" s="289" t="n">
        <x:v>538</x:v>
      </x:c>
      <x:c r="B539" s="289" t="n">
        <x:v>6558</x:v>
      </x:c>
      <x:c r="C539" s="290" t="str">
        <x:v>黄金圣树·永恒</x:v>
      </x:c>
      <x:c r="D539" s="290" t="str">
        <x:v>黄金圣树</x:v>
      </x:c>
      <x:c r="E539" s="290" t="n">
        <x:v>5</x:v>
      </x:c>
      <x:c r="F539" s="290" t="str">
        <x:v>首饰盒6</x:v>
      </x:c>
      <x:c r="G539" s="289" t="n">
        <x:v>22</x:v>
      </x:c>
      <x:c r="H539" s="289" t="n">
        <x:v>35</x:v>
      </x:c>
      <x:c r="I539" s="289" t="n">
        <x:v>6558</x:v>
      </x:c>
      <x:c r="J539" s="289" t="n">
        <x:v>0</x:v>
      </x:c>
      <x:c r="K539" s="289" t="n">
        <x:v>2</x:v>
      </x:c>
      <x:c r="L539" s="289" t="n">
        <x:v>6</x:v>
      </x:c>
      <x:c r="M539" s="289" t="n">
        <x:v>6558</x:v>
      </x:c>
      <x:c r="N539" s="289" t="n">
        <x:v>6558</x:v>
      </x:c>
      <x:c r="O539" s="289" t="n">
        <x:v>6558</x:v>
      </x:c>
      <x:c r="P539" s="292"/>
      <x:c r="Q539" s="292" t="str">
        <x:v>candidate-preflight-passed</x:v>
      </x:c>
      <x:c r="R539" s="292" t="str"/>
      <x:c r="S539" s="292" t="str">
        <x:v>玄渊二十套全装备代码总表.xlsx</x:v>
      </x:c>
      <x:c r="T539" s="292" t="str">
        <x:v>玄渊20套全装备视觉候选；Items/StateItem/DnItems三库同码；属性待策划填写；OverLap=2; Expand1=6</x:v>
      </x:c>
      <x:c r="U539" t="str">
        <x:f>IF(COUNTIF($B$2:$B$1076,B539)&gt;1,"重复","")</x:f>
      </x:c>
      <x:c r="V539" t="str">
        <x:f>IF(AND(OR(M539="",M539=B539),OR(N539="",N539=B539),OR(O539="",O539=B539)),"通过","不一致")</x:f>
        <x:v>通过</x:v>
      </x:c>
    </x:row>
    <x:row r="540" ht="22" customHeight="1">
      <x:c r="A540" s="289" t="n">
        <x:v>539</x:v>
      </x:c>
      <x:c r="B540" s="289" t="n">
        <x:v>6559</x:v>
      </x:c>
      <x:c r="C540" s="290" t="str">
        <x:v>黄金圣树·永恒</x:v>
      </x:c>
      <x:c r="D540" s="290" t="str">
        <x:v>黄金圣树</x:v>
      </x:c>
      <x:c r="E540" s="290" t="n">
        <x:v>5</x:v>
      </x:c>
      <x:c r="F540" s="290" t="str">
        <x:v>生肖1</x:v>
      </x:c>
      <x:c r="G540" s="289" t="n">
        <x:v>22</x:v>
      </x:c>
      <x:c r="H540" s="289" t="n">
        <x:v>40</x:v>
      </x:c>
      <x:c r="I540" s="289" t="n">
        <x:v>6559</x:v>
      </x:c>
      <x:c r="J540" s="289" t="n">
        <x:v>0</x:v>
      </x:c>
      <x:c r="K540" s="289" t="n">
        <x:v>4</x:v>
      </x:c>
      <x:c r="L540" s="289" t="n">
        <x:v>1</x:v>
      </x:c>
      <x:c r="M540" s="289" t="n">
        <x:v>6559</x:v>
      </x:c>
      <x:c r="N540" s="289" t="n">
        <x:v>6559</x:v>
      </x:c>
      <x:c r="O540" s="289" t="n">
        <x:v>6559</x:v>
      </x:c>
      <x:c r="P540" s="292"/>
      <x:c r="Q540" s="292" t="str">
        <x:v>candidate-preflight-passed</x:v>
      </x:c>
      <x:c r="R540" s="292" t="str"/>
      <x:c r="S540" s="292" t="str">
        <x:v>玄渊二十套全装备代码总表.xlsx</x:v>
      </x:c>
      <x:c r="T540" s="292" t="str">
        <x:v>玄渊20套全装备视觉候选；Items/StateItem/DnItems三库同码；属性待策划填写；OverLap=4; Expand1=1</x:v>
      </x:c>
      <x:c r="U540" t="str">
        <x:f>IF(COUNTIF($B$2:$B$1076,B540)&gt;1,"重复","")</x:f>
      </x:c>
      <x:c r="V540" t="str">
        <x:f>IF(AND(OR(M540="",M540=B540),OR(N540="",N540=B540),OR(O540="",O540=B540)),"通过","不一致")</x:f>
        <x:v>通过</x:v>
      </x:c>
    </x:row>
    <x:row r="541" ht="22" customHeight="1">
      <x:c r="A541" s="289" t="n">
        <x:v>540</x:v>
      </x:c>
      <x:c r="B541" s="289" t="n">
        <x:v>6560</x:v>
      </x:c>
      <x:c r="C541" s="290" t="str">
        <x:v>黄金圣树·永恒</x:v>
      </x:c>
      <x:c r="D541" s="290" t="str">
        <x:v>黄金圣树</x:v>
      </x:c>
      <x:c r="E541" s="290" t="n">
        <x:v>5</x:v>
      </x:c>
      <x:c r="F541" s="290" t="str">
        <x:v>生肖2</x:v>
      </x:c>
      <x:c r="G541" s="289" t="n">
        <x:v>22</x:v>
      </x:c>
      <x:c r="H541" s="289" t="n">
        <x:v>41</x:v>
      </x:c>
      <x:c r="I541" s="289" t="n">
        <x:v>6560</x:v>
      </x:c>
      <x:c r="J541" s="289" t="n">
        <x:v>0</x:v>
      </x:c>
      <x:c r="K541" s="289" t="n">
        <x:v>4</x:v>
      </x:c>
      <x:c r="L541" s="289" t="n">
        <x:v>2</x:v>
      </x:c>
      <x:c r="M541" s="289" t="n">
        <x:v>6560</x:v>
      </x:c>
      <x:c r="N541" s="289" t="n">
        <x:v>6560</x:v>
      </x:c>
      <x:c r="O541" s="289" t="n">
        <x:v>6560</x:v>
      </x:c>
      <x:c r="P541" s="292"/>
      <x:c r="Q541" s="292" t="str">
        <x:v>candidate-preflight-passed</x:v>
      </x:c>
      <x:c r="R541" s="292" t="str"/>
      <x:c r="S541" s="292" t="str">
        <x:v>玄渊二十套全装备代码总表.xlsx</x:v>
      </x:c>
      <x:c r="T541" s="292" t="str">
        <x:v>玄渊20套全装备视觉候选；Items/StateItem/DnItems三库同码；属性待策划填写；OverLap=4; Expand1=2</x:v>
      </x:c>
      <x:c r="U541" t="str">
        <x:f>IF(COUNTIF($B$2:$B$1076,B541)&gt;1,"重复","")</x:f>
      </x:c>
      <x:c r="V541" t="str">
        <x:f>IF(AND(OR(M541="",M541=B541),OR(N541="",N541=B541),OR(O541="",O541=B541)),"通过","不一致")</x:f>
        <x:v>通过</x:v>
      </x:c>
    </x:row>
    <x:row r="542" ht="22" customHeight="1">
      <x:c r="A542" s="289" t="n">
        <x:v>541</x:v>
      </x:c>
      <x:c r="B542" s="289" t="n">
        <x:v>6561</x:v>
      </x:c>
      <x:c r="C542" s="290" t="str">
        <x:v>黄金圣树·永恒</x:v>
      </x:c>
      <x:c r="D542" s="290" t="str">
        <x:v>黄金圣树</x:v>
      </x:c>
      <x:c r="E542" s="290" t="n">
        <x:v>5</x:v>
      </x:c>
      <x:c r="F542" s="290" t="str">
        <x:v>生肖3</x:v>
      </x:c>
      <x:c r="G542" s="289" t="n">
        <x:v>22</x:v>
      </x:c>
      <x:c r="H542" s="289" t="n">
        <x:v>42</x:v>
      </x:c>
      <x:c r="I542" s="289" t="n">
        <x:v>6561</x:v>
      </x:c>
      <x:c r="J542" s="289" t="n">
        <x:v>0</x:v>
      </x:c>
      <x:c r="K542" s="289" t="n">
        <x:v>4</x:v>
      </x:c>
      <x:c r="L542" s="289" t="n">
        <x:v>3</x:v>
      </x:c>
      <x:c r="M542" s="289" t="n">
        <x:v>6561</x:v>
      </x:c>
      <x:c r="N542" s="289" t="n">
        <x:v>6561</x:v>
      </x:c>
      <x:c r="O542" s="289" t="n">
        <x:v>6561</x:v>
      </x:c>
      <x:c r="P542" s="292"/>
      <x:c r="Q542" s="292" t="str">
        <x:v>candidate-preflight-passed</x:v>
      </x:c>
      <x:c r="R542" s="292" t="str"/>
      <x:c r="S542" s="292" t="str">
        <x:v>玄渊二十套全装备代码总表.xlsx</x:v>
      </x:c>
      <x:c r="T542" s="292" t="str">
        <x:v>玄渊20套全装备视觉候选；Items/StateItem/DnItems三库同码；属性待策划填写；OverLap=4; Expand1=3</x:v>
      </x:c>
      <x:c r="U542" t="str">
        <x:f>IF(COUNTIF($B$2:$B$1076,B542)&gt;1,"重复","")</x:f>
      </x:c>
      <x:c r="V542" t="str">
        <x:f>IF(AND(OR(M542="",M542=B542),OR(N542="",N542=B542),OR(O542="",O542=B542)),"通过","不一致")</x:f>
        <x:v>通过</x:v>
      </x:c>
    </x:row>
    <x:row r="543" ht="22" customHeight="1">
      <x:c r="A543" s="289" t="n">
        <x:v>542</x:v>
      </x:c>
      <x:c r="B543" s="289" t="n">
        <x:v>6562</x:v>
      </x:c>
      <x:c r="C543" s="290" t="str">
        <x:v>黄金圣树·永恒</x:v>
      </x:c>
      <x:c r="D543" s="290" t="str">
        <x:v>黄金圣树</x:v>
      </x:c>
      <x:c r="E543" s="290" t="n">
        <x:v>5</x:v>
      </x:c>
      <x:c r="F543" s="290" t="str">
        <x:v>生肖4</x:v>
      </x:c>
      <x:c r="G543" s="289" t="n">
        <x:v>22</x:v>
      </x:c>
      <x:c r="H543" s="289" t="n">
        <x:v>43</x:v>
      </x:c>
      <x:c r="I543" s="289" t="n">
        <x:v>6562</x:v>
      </x:c>
      <x:c r="J543" s="289" t="n">
        <x:v>0</x:v>
      </x:c>
      <x:c r="K543" s="289" t="n">
        <x:v>4</x:v>
      </x:c>
      <x:c r="L543" s="289" t="n">
        <x:v>4</x:v>
      </x:c>
      <x:c r="M543" s="289" t="n">
        <x:v>6562</x:v>
      </x:c>
      <x:c r="N543" s="289" t="n">
        <x:v>6562</x:v>
      </x:c>
      <x:c r="O543" s="289" t="n">
        <x:v>6562</x:v>
      </x:c>
      <x:c r="P543" s="292"/>
      <x:c r="Q543" s="292" t="str">
        <x:v>candidate-preflight-passed</x:v>
      </x:c>
      <x:c r="R543" s="292" t="str"/>
      <x:c r="S543" s="292" t="str">
        <x:v>玄渊二十套全装备代码总表.xlsx</x:v>
      </x:c>
      <x:c r="T543" s="292" t="str">
        <x:v>玄渊20套全装备视觉候选；Items/StateItem/DnItems三库同码；属性待策划填写；OverLap=4; Expand1=4</x:v>
      </x:c>
      <x:c r="U543" t="str">
        <x:f>IF(COUNTIF($B$2:$B$1076,B543)&gt;1,"重复","")</x:f>
      </x:c>
      <x:c r="V543" t="str">
        <x:f>IF(AND(OR(M543="",M543=B543),OR(N543="",N543=B543),OR(O543="",O543=B543)),"通过","不一致")</x:f>
        <x:v>通过</x:v>
      </x:c>
    </x:row>
    <x:row r="544" ht="22" customHeight="1">
      <x:c r="A544" s="289" t="n">
        <x:v>543</x:v>
      </x:c>
      <x:c r="B544" s="289" t="n">
        <x:v>6563</x:v>
      </x:c>
      <x:c r="C544" s="290" t="str">
        <x:v>黄金圣树·永恒</x:v>
      </x:c>
      <x:c r="D544" s="290" t="str">
        <x:v>黄金圣树</x:v>
      </x:c>
      <x:c r="E544" s="290" t="n">
        <x:v>5</x:v>
      </x:c>
      <x:c r="F544" s="290" t="str">
        <x:v>生肖5</x:v>
      </x:c>
      <x:c r="G544" s="289" t="n">
        <x:v>22</x:v>
      </x:c>
      <x:c r="H544" s="289" t="n">
        <x:v>44</x:v>
      </x:c>
      <x:c r="I544" s="289" t="n">
        <x:v>6563</x:v>
      </x:c>
      <x:c r="J544" s="289" t="n">
        <x:v>0</x:v>
      </x:c>
      <x:c r="K544" s="289" t="n">
        <x:v>4</x:v>
      </x:c>
      <x:c r="L544" s="289" t="n">
        <x:v>5</x:v>
      </x:c>
      <x:c r="M544" s="289" t="n">
        <x:v>6563</x:v>
      </x:c>
      <x:c r="N544" s="289" t="n">
        <x:v>6563</x:v>
      </x:c>
      <x:c r="O544" s="289" t="n">
        <x:v>6563</x:v>
      </x:c>
      <x:c r="P544" s="292"/>
      <x:c r="Q544" s="292" t="str">
        <x:v>candidate-preflight-passed</x:v>
      </x:c>
      <x:c r="R544" s="292" t="str"/>
      <x:c r="S544" s="292" t="str">
        <x:v>玄渊二十套全装备代码总表.xlsx</x:v>
      </x:c>
      <x:c r="T544" s="292" t="str">
        <x:v>玄渊20套全装备视觉候选；Items/StateItem/DnItems三库同码；属性待策划填写；OverLap=4; Expand1=5</x:v>
      </x:c>
      <x:c r="U544" t="str">
        <x:f>IF(COUNTIF($B$2:$B$1076,B544)&gt;1,"重复","")</x:f>
      </x:c>
      <x:c r="V544" t="str">
        <x:f>IF(AND(OR(M544="",M544=B544),OR(N544="",N544=B544),OR(O544="",O544=B544)),"通过","不一致")</x:f>
        <x:v>通过</x:v>
      </x:c>
    </x:row>
    <x:row r="545" ht="22" customHeight="1">
      <x:c r="A545" s="289" t="n">
        <x:v>544</x:v>
      </x:c>
      <x:c r="B545" s="289" t="n">
        <x:v>6564</x:v>
      </x:c>
      <x:c r="C545" s="290" t="str">
        <x:v>黄金圣树·永恒</x:v>
      </x:c>
      <x:c r="D545" s="290" t="str">
        <x:v>黄金圣树</x:v>
      </x:c>
      <x:c r="E545" s="290" t="n">
        <x:v>5</x:v>
      </x:c>
      <x:c r="F545" s="290" t="str">
        <x:v>生肖6</x:v>
      </x:c>
      <x:c r="G545" s="289" t="n">
        <x:v>22</x:v>
      </x:c>
      <x:c r="H545" s="289" t="n">
        <x:v>45</x:v>
      </x:c>
      <x:c r="I545" s="289" t="n">
        <x:v>6564</x:v>
      </x:c>
      <x:c r="J545" s="289" t="n">
        <x:v>0</x:v>
      </x:c>
      <x:c r="K545" s="289" t="n">
        <x:v>4</x:v>
      </x:c>
      <x:c r="L545" s="289" t="n">
        <x:v>6</x:v>
      </x:c>
      <x:c r="M545" s="289" t="n">
        <x:v>6564</x:v>
      </x:c>
      <x:c r="N545" s="289" t="n">
        <x:v>6564</x:v>
      </x:c>
      <x:c r="O545" s="289" t="n">
        <x:v>6564</x:v>
      </x:c>
      <x:c r="P545" s="292"/>
      <x:c r="Q545" s="292" t="str">
        <x:v>candidate-preflight-passed</x:v>
      </x:c>
      <x:c r="R545" s="292" t="str"/>
      <x:c r="S545" s="292" t="str">
        <x:v>玄渊二十套全装备代码总表.xlsx</x:v>
      </x:c>
      <x:c r="T545" s="292" t="str">
        <x:v>玄渊20套全装备视觉候选；Items/StateItem/DnItems三库同码；属性待策划填写；OverLap=4; Expand1=6</x:v>
      </x:c>
      <x:c r="U545" t="str">
        <x:f>IF(COUNTIF($B$2:$B$1076,B545)&gt;1,"重复","")</x:f>
      </x:c>
      <x:c r="V545" t="str">
        <x:f>IF(AND(OR(M545="",M545=B545),OR(N545="",N545=B545),OR(O545="",O545=B545)),"通过","不一致")</x:f>
        <x:v>通过</x:v>
      </x:c>
    </x:row>
    <x:row r="546" ht="22" customHeight="1">
      <x:c r="A546" s="289" t="n">
        <x:v>545</x:v>
      </x:c>
      <x:c r="B546" s="289" t="n">
        <x:v>6565</x:v>
      </x:c>
      <x:c r="C546" s="290" t="str">
        <x:v>黄金圣树·永恒</x:v>
      </x:c>
      <x:c r="D546" s="290" t="str">
        <x:v>黄金圣树</x:v>
      </x:c>
      <x:c r="E546" s="290" t="n">
        <x:v>5</x:v>
      </x:c>
      <x:c r="F546" s="290" t="str">
        <x:v>生肖7</x:v>
      </x:c>
      <x:c r="G546" s="289" t="n">
        <x:v>22</x:v>
      </x:c>
      <x:c r="H546" s="289" t="n">
        <x:v>46</x:v>
      </x:c>
      <x:c r="I546" s="289" t="n">
        <x:v>6565</x:v>
      </x:c>
      <x:c r="J546" s="289" t="n">
        <x:v>0</x:v>
      </x:c>
      <x:c r="K546" s="289" t="n">
        <x:v>4</x:v>
      </x:c>
      <x:c r="L546" s="289" t="n">
        <x:v>7</x:v>
      </x:c>
      <x:c r="M546" s="289" t="n">
        <x:v>6565</x:v>
      </x:c>
      <x:c r="N546" s="289" t="n">
        <x:v>6565</x:v>
      </x:c>
      <x:c r="O546" s="289" t="n">
        <x:v>6565</x:v>
      </x:c>
      <x:c r="P546" s="292"/>
      <x:c r="Q546" s="292" t="str">
        <x:v>candidate-preflight-passed</x:v>
      </x:c>
      <x:c r="R546" s="292" t="str"/>
      <x:c r="S546" s="292" t="str">
        <x:v>玄渊二十套全装备代码总表.xlsx</x:v>
      </x:c>
      <x:c r="T546" s="292" t="str">
        <x:v>玄渊20套全装备视觉候选；Items/StateItem/DnItems三库同码；属性待策划填写；OverLap=4; Expand1=7</x:v>
      </x:c>
      <x:c r="U546" t="str">
        <x:f>IF(COUNTIF($B$2:$B$1076,B546)&gt;1,"重复","")</x:f>
      </x:c>
      <x:c r="V546" t="str">
        <x:f>IF(AND(OR(M546="",M546=B546),OR(N546="",N546=B546),OR(O546="",O546=B546)),"通过","不一致")</x:f>
        <x:v>通过</x:v>
      </x:c>
    </x:row>
    <x:row r="547" ht="22" customHeight="1">
      <x:c r="A547" s="289" t="n">
        <x:v>546</x:v>
      </x:c>
      <x:c r="B547" s="289" t="n">
        <x:v>6566</x:v>
      </x:c>
      <x:c r="C547" s="290" t="str">
        <x:v>黄金圣树·永恒</x:v>
      </x:c>
      <x:c r="D547" s="290" t="str">
        <x:v>黄金圣树</x:v>
      </x:c>
      <x:c r="E547" s="290" t="n">
        <x:v>5</x:v>
      </x:c>
      <x:c r="F547" s="290" t="str">
        <x:v>生肖8</x:v>
      </x:c>
      <x:c r="G547" s="289" t="n">
        <x:v>22</x:v>
      </x:c>
      <x:c r="H547" s="289" t="n">
        <x:v>47</x:v>
      </x:c>
      <x:c r="I547" s="289" t="n">
        <x:v>6566</x:v>
      </x:c>
      <x:c r="J547" s="289" t="n">
        <x:v>0</x:v>
      </x:c>
      <x:c r="K547" s="289" t="n">
        <x:v>4</x:v>
      </x:c>
      <x:c r="L547" s="289" t="n">
        <x:v>8</x:v>
      </x:c>
      <x:c r="M547" s="289" t="n">
        <x:v>6566</x:v>
      </x:c>
      <x:c r="N547" s="289" t="n">
        <x:v>6566</x:v>
      </x:c>
      <x:c r="O547" s="289" t="n">
        <x:v>6566</x:v>
      </x:c>
      <x:c r="P547" s="292"/>
      <x:c r="Q547" s="292" t="str">
        <x:v>candidate-preflight-passed</x:v>
      </x:c>
      <x:c r="R547" s="292" t="str"/>
      <x:c r="S547" s="292" t="str">
        <x:v>玄渊二十套全装备代码总表.xlsx</x:v>
      </x:c>
      <x:c r="T547" s="292" t="str">
        <x:v>玄渊20套全装备视觉候选；Items/StateItem/DnItems三库同码；属性待策划填写；OverLap=4; Expand1=8</x:v>
      </x:c>
      <x:c r="U547" t="str">
        <x:f>IF(COUNTIF($B$2:$B$1076,B547)&gt;1,"重复","")</x:f>
      </x:c>
      <x:c r="V547" t="str">
        <x:f>IF(AND(OR(M547="",M547=B547),OR(N547="",N547=B547),OR(O547="",O547=B547)),"通过","不一致")</x:f>
        <x:v>通过</x:v>
      </x:c>
    </x:row>
    <x:row r="548" ht="22" customHeight="1">
      <x:c r="A548" s="289" t="n">
        <x:v>547</x:v>
      </x:c>
      <x:c r="B548" s="289" t="n">
        <x:v>6567</x:v>
      </x:c>
      <x:c r="C548" s="290" t="str">
        <x:v>黄金圣树·永恒</x:v>
      </x:c>
      <x:c r="D548" s="290" t="str">
        <x:v>黄金圣树</x:v>
      </x:c>
      <x:c r="E548" s="290" t="n">
        <x:v>5</x:v>
      </x:c>
      <x:c r="F548" s="290" t="str">
        <x:v>生肖9</x:v>
      </x:c>
      <x:c r="G548" s="289" t="n">
        <x:v>22</x:v>
      </x:c>
      <x:c r="H548" s="289" t="n">
        <x:v>48</x:v>
      </x:c>
      <x:c r="I548" s="289" t="n">
        <x:v>6567</x:v>
      </x:c>
      <x:c r="J548" s="289" t="n">
        <x:v>0</x:v>
      </x:c>
      <x:c r="K548" s="289" t="n">
        <x:v>4</x:v>
      </x:c>
      <x:c r="L548" s="289" t="n">
        <x:v>9</x:v>
      </x:c>
      <x:c r="M548" s="289" t="n">
        <x:v>6567</x:v>
      </x:c>
      <x:c r="N548" s="289" t="n">
        <x:v>6567</x:v>
      </x:c>
      <x:c r="O548" s="289" t="n">
        <x:v>6567</x:v>
      </x:c>
      <x:c r="P548" s="292"/>
      <x:c r="Q548" s="292" t="str">
        <x:v>candidate-preflight-passed</x:v>
      </x:c>
      <x:c r="R548" s="292" t="str"/>
      <x:c r="S548" s="292" t="str">
        <x:v>玄渊二十套全装备代码总表.xlsx</x:v>
      </x:c>
      <x:c r="T548" s="292" t="str">
        <x:v>玄渊20套全装备视觉候选；Items/StateItem/DnItems三库同码；属性待策划填写；OverLap=4; Expand1=9</x:v>
      </x:c>
      <x:c r="U548" t="str">
        <x:f>IF(COUNTIF($B$2:$B$1076,B548)&gt;1,"重复","")</x:f>
      </x:c>
      <x:c r="V548" t="str">
        <x:f>IF(AND(OR(M548="",M548=B548),OR(N548="",N548=B548),OR(O548="",O548=B548)),"通过","不一致")</x:f>
        <x:v>通过</x:v>
      </x:c>
    </x:row>
    <x:row r="549" ht="22" customHeight="1">
      <x:c r="A549" s="289" t="n">
        <x:v>548</x:v>
      </x:c>
      <x:c r="B549" s="289" t="n">
        <x:v>6568</x:v>
      </x:c>
      <x:c r="C549" s="290" t="str">
        <x:v>黄金圣树·永恒</x:v>
      </x:c>
      <x:c r="D549" s="290" t="str">
        <x:v>黄金圣树</x:v>
      </x:c>
      <x:c r="E549" s="290" t="n">
        <x:v>5</x:v>
      </x:c>
      <x:c r="F549" s="290" t="str">
        <x:v>生肖10</x:v>
      </x:c>
      <x:c r="G549" s="289" t="n">
        <x:v>22</x:v>
      </x:c>
      <x:c r="H549" s="289" t="n">
        <x:v>49</x:v>
      </x:c>
      <x:c r="I549" s="289" t="n">
        <x:v>6568</x:v>
      </x:c>
      <x:c r="J549" s="289" t="n">
        <x:v>0</x:v>
      </x:c>
      <x:c r="K549" s="289" t="n">
        <x:v>4</x:v>
      </x:c>
      <x:c r="L549" s="289" t="n">
        <x:v>10</x:v>
      </x:c>
      <x:c r="M549" s="289" t="n">
        <x:v>6568</x:v>
      </x:c>
      <x:c r="N549" s="289" t="n">
        <x:v>6568</x:v>
      </x:c>
      <x:c r="O549" s="289" t="n">
        <x:v>6568</x:v>
      </x:c>
      <x:c r="P549" s="292"/>
      <x:c r="Q549" s="292" t="str">
        <x:v>candidate-preflight-passed</x:v>
      </x:c>
      <x:c r="R549" s="292" t="str"/>
      <x:c r="S549" s="292" t="str">
        <x:v>玄渊二十套全装备代码总表.xlsx</x:v>
      </x:c>
      <x:c r="T549" s="292" t="str">
        <x:v>玄渊20套全装备视觉候选；Items/StateItem/DnItems三库同码；属性待策划填写；OverLap=4; Expand1=10</x:v>
      </x:c>
      <x:c r="U549" t="str">
        <x:f>IF(COUNTIF($B$2:$B$1076,B549)&gt;1,"重复","")</x:f>
      </x:c>
      <x:c r="V549" t="str">
        <x:f>IF(AND(OR(M549="",M549=B549),OR(N549="",N549=B549),OR(O549="",O549=B549)),"通过","不一致")</x:f>
        <x:v>通过</x:v>
      </x:c>
    </x:row>
    <x:row r="550" ht="22" customHeight="1">
      <x:c r="A550" s="289" t="n">
        <x:v>549</x:v>
      </x:c>
      <x:c r="B550" s="289" t="n">
        <x:v>6569</x:v>
      </x:c>
      <x:c r="C550" s="290" t="str">
        <x:v>黄金圣树·永恒</x:v>
      </x:c>
      <x:c r="D550" s="290" t="str">
        <x:v>黄金圣树</x:v>
      </x:c>
      <x:c r="E550" s="290" t="n">
        <x:v>5</x:v>
      </x:c>
      <x:c r="F550" s="290" t="str">
        <x:v>生肖11</x:v>
      </x:c>
      <x:c r="G550" s="289" t="n">
        <x:v>22</x:v>
      </x:c>
      <x:c r="H550" s="289" t="n">
        <x:v>50</x:v>
      </x:c>
      <x:c r="I550" s="289" t="n">
        <x:v>6569</x:v>
      </x:c>
      <x:c r="J550" s="289" t="n">
        <x:v>0</x:v>
      </x:c>
      <x:c r="K550" s="289" t="n">
        <x:v>4</x:v>
      </x:c>
      <x:c r="L550" s="289" t="n">
        <x:v>11</x:v>
      </x:c>
      <x:c r="M550" s="289" t="n">
        <x:v>6569</x:v>
      </x:c>
      <x:c r="N550" s="289" t="n">
        <x:v>6569</x:v>
      </x:c>
      <x:c r="O550" s="289" t="n">
        <x:v>6569</x:v>
      </x:c>
      <x:c r="P550" s="292"/>
      <x:c r="Q550" s="292" t="str">
        <x:v>candidate-preflight-passed</x:v>
      </x:c>
      <x:c r="R550" s="292" t="str"/>
      <x:c r="S550" s="292" t="str">
        <x:v>玄渊二十套全装备代码总表.xlsx</x:v>
      </x:c>
      <x:c r="T550" s="292" t="str">
        <x:v>玄渊20套全装备视觉候选；Items/StateItem/DnItems三库同码；属性待策划填写；OverLap=4; Expand1=11</x:v>
      </x:c>
      <x:c r="U550" t="str">
        <x:f>IF(COUNTIF($B$2:$B$1076,B550)&gt;1,"重复","")</x:f>
      </x:c>
      <x:c r="V550" t="str">
        <x:f>IF(AND(OR(M550="",M550=B550),OR(N550="",N550=B550),OR(O550="",O550=B550)),"通过","不一致")</x:f>
        <x:v>通过</x:v>
      </x:c>
    </x:row>
    <x:row r="551" ht="22" customHeight="1">
      <x:c r="A551" s="289" t="n">
        <x:v>550</x:v>
      </x:c>
      <x:c r="B551" s="289" t="n">
        <x:v>6570</x:v>
      </x:c>
      <x:c r="C551" s="290" t="str">
        <x:v>黄金圣树·永恒</x:v>
      </x:c>
      <x:c r="D551" s="290" t="str">
        <x:v>黄金圣树</x:v>
      </x:c>
      <x:c r="E551" s="290" t="n">
        <x:v>5</x:v>
      </x:c>
      <x:c r="F551" s="290" t="str">
        <x:v>生肖12</x:v>
      </x:c>
      <x:c r="G551" s="289" t="n">
        <x:v>22</x:v>
      </x:c>
      <x:c r="H551" s="289" t="n">
        <x:v>51</x:v>
      </x:c>
      <x:c r="I551" s="289" t="n">
        <x:v>6570</x:v>
      </x:c>
      <x:c r="J551" s="289" t="n">
        <x:v>0</x:v>
      </x:c>
      <x:c r="K551" s="289" t="n">
        <x:v>4</x:v>
      </x:c>
      <x:c r="L551" s="289" t="n">
        <x:v>12</x:v>
      </x:c>
      <x:c r="M551" s="289" t="n">
        <x:v>6570</x:v>
      </x:c>
      <x:c r="N551" s="289" t="n">
        <x:v>6570</x:v>
      </x:c>
      <x:c r="O551" s="289" t="n">
        <x:v>6570</x:v>
      </x:c>
      <x:c r="P551" s="292"/>
      <x:c r="Q551" s="292" t="str">
        <x:v>candidate-preflight-passed</x:v>
      </x:c>
      <x:c r="R551" s="292" t="str"/>
      <x:c r="S551" s="292" t="str">
        <x:v>玄渊二十套全装备代码总表.xlsx</x:v>
      </x:c>
      <x:c r="T551" s="292" t="str">
        <x:v>玄渊20套全装备视觉候选；Items/StateItem/DnItems三库同码；属性待策划填写；OverLap=4; Expand1=12</x:v>
      </x:c>
      <x:c r="U551" t="str">
        <x:f>IF(COUNTIF($B$2:$B$1076,B551)&gt;1,"重复","")</x:f>
      </x:c>
      <x:c r="V551" t="str">
        <x:f>IF(AND(OR(M551="",M551=B551),OR(N551="",N551=B551),OR(O551="",O551=B551)),"通过","不一致")</x:f>
        <x:v>通过</x:v>
      </x:c>
    </x:row>
    <x:row r="552" ht="22" customHeight="1">
      <x:c r="A552" s="289" t="n">
        <x:v>551</x:v>
      </x:c>
      <x:c r="B552" s="289" t="n">
        <x:v>6571</x:v>
      </x:c>
      <x:c r="C552" s="290" t="str">
        <x:v>血月荆棘·血痕</x:v>
      </x:c>
      <x:c r="D552" s="290" t="str">
        <x:v>血月荆棘</x:v>
      </x:c>
      <x:c r="E552" s="290" t="n">
        <x:v>1</x:v>
      </x:c>
      <x:c r="F552" s="290" t="str">
        <x:v>武器</x:v>
      </x:c>
      <x:c r="G552" s="289" t="n">
        <x:v>5</x:v>
      </x:c>
      <x:c r="H552" s="289" t="n">
        <x:v>1</x:v>
      </x:c>
      <x:c r="I552" s="289" t="n">
        <x:v>6571</x:v>
      </x:c>
      <x:c r="J552" s="289" t="n">
        <x:v>21</x:v>
      </x:c>
      <x:c r="K552" s="289" t="n">
        <x:v>0</x:v>
      </x:c>
      <x:c r="L552" s="289" t="n">
        <x:v>0</x:v>
      </x:c>
      <x:c r="M552" s="289" t="n">
        <x:v>6571</x:v>
      </x:c>
      <x:c r="N552" s="289" t="n">
        <x:v>6571</x:v>
      </x:c>
      <x:c r="O552" s="289" t="n">
        <x:v>6571</x:v>
      </x:c>
      <x:c r="P552" s="292" t="str">
        <x:v>Weapon.wzl/wzx（复用现有真实动作）</x:v>
      </x:c>
      <x:c r="Q552" s="292" t="str">
        <x:v>candidate-preflight-passed</x:v>
      </x:c>
      <x:c r="R552" s="324" t="str">
        <x:v>C3-C10规划锁定：布兰守城枪</x:v>
      </x:c>
      <x:c r="S552" s="292" t="str">
        <x:v>玄渊二十套全装备代码总表.xlsx</x:v>
      </x:c>
      <x:c r="T552" s="292" t="str">
        <x:v>玄渊20套全装备视觉候选；Items/StateItem/DnItems三库同码；属性待策划填写；Weapon Shape=21</x:v>
      </x:c>
      <x:c r="U552" t="str">
        <x:f>IF(COUNTIF($B$2:$B$1076,B552)&gt;1,"重复","")</x:f>
      </x:c>
      <x:c r="V552" t="str">
        <x:f>IF(AND(OR(M552="",M552=B552),OR(N552="",N552=B552),OR(O552="",O552=B552)),"通过","不一致")</x:f>
        <x:v>通过</x:v>
      </x:c>
    </x:row>
    <x:row r="553" ht="22" customHeight="1">
      <x:c r="A553" s="289" t="n">
        <x:v>552</x:v>
      </x:c>
      <x:c r="B553" s="289" t="n">
        <x:v>6572</x:v>
      </x:c>
      <x:c r="C553" s="290" t="str">
        <x:v>血月荆棘·血痕</x:v>
      </x:c>
      <x:c r="D553" s="290" t="str">
        <x:v>血月荆棘</x:v>
      </x:c>
      <x:c r="E553" s="290" t="n">
        <x:v>1</x:v>
      </x:c>
      <x:c r="F553" s="290" t="str">
        <x:v>男衣服</x:v>
      </x:c>
      <x:c r="G553" s="289" t="n">
        <x:v>10</x:v>
      </x:c>
      <x:c r="H553" s="289" t="n">
        <x:v>0</x:v>
      </x:c>
      <x:c r="I553" s="289" t="n">
        <x:v>6572</x:v>
      </x:c>
      <x:c r="J553" s="289" t="n">
        <x:v>6</x:v>
      </x:c>
      <x:c r="K553" s="289" t="n">
        <x:v>0</x:v>
      </x:c>
      <x:c r="L553" s="289" t="n">
        <x:v>0</x:v>
      </x:c>
      <x:c r="M553" s="289" t="n">
        <x:v>6572</x:v>
      </x:c>
      <x:c r="N553" s="289" t="n">
        <x:v>6572</x:v>
      </x:c>
      <x:c r="O553" s="289" t="n">
        <x:v>6572</x:v>
      </x:c>
      <x:c r="P553" s="292" t="str">
        <x:v>Hum.wzl/wzx（复用现有真实动作）</x:v>
      </x:c>
      <x:c r="Q553" s="292" t="str">
        <x:v>candidate-preflight-passed</x:v>
      </x:c>
      <x:c r="R553" s="324" t="str">
        <x:v>C3-C10规划锁定：石王古铠</x:v>
      </x:c>
      <x:c r="S553" s="292" t="str">
        <x:v>玄渊二十套全装备代码总表.xlsx</x:v>
      </x:c>
      <x:c r="T553" s="292" t="str">
        <x:v>玄渊20套全装备视觉候选；Items/StateItem/DnItems三库同码；属性待策划填写；Hum Shape=6</x:v>
      </x:c>
      <x:c r="U553" t="str">
        <x:f>IF(COUNTIF($B$2:$B$1076,B553)&gt;1,"重复","")</x:f>
      </x:c>
      <x:c r="V553" t="str">
        <x:f>IF(AND(OR(M553="",M553=B553),OR(N553="",N553=B553),OR(O553="",O553=B553)),"通过","不一致")</x:f>
        <x:v>通过</x:v>
      </x:c>
    </x:row>
    <x:row r="554" ht="22" customHeight="1">
      <x:c r="A554" s="289" t="n">
        <x:v>553</x:v>
      </x:c>
      <x:c r="B554" s="289" t="n">
        <x:v>6573</x:v>
      </x:c>
      <x:c r="C554" s="290" t="str">
        <x:v>血月荆棘·血痕</x:v>
      </x:c>
      <x:c r="D554" s="290" t="str">
        <x:v>血月荆棘</x:v>
      </x:c>
      <x:c r="E554" s="290" t="n">
        <x:v>1</x:v>
      </x:c>
      <x:c r="F554" s="290" t="str">
        <x:v>女衣服</x:v>
      </x:c>
      <x:c r="G554" s="289" t="n">
        <x:v>11</x:v>
      </x:c>
      <x:c r="H554" s="289" t="n">
        <x:v>0</x:v>
      </x:c>
      <x:c r="I554" s="289" t="n">
        <x:v>6573</x:v>
      </x:c>
      <x:c r="J554" s="289" t="n">
        <x:v>6</x:v>
      </x:c>
      <x:c r="K554" s="289" t="n">
        <x:v>0</x:v>
      </x:c>
      <x:c r="L554" s="289" t="n">
        <x:v>0</x:v>
      </x:c>
      <x:c r="M554" s="289" t="n">
        <x:v>6573</x:v>
      </x:c>
      <x:c r="N554" s="289" t="n">
        <x:v>6573</x:v>
      </x:c>
      <x:c r="O554" s="289" t="n">
        <x:v>6573</x:v>
      </x:c>
      <x:c r="P554" s="292" t="str">
        <x:v>Hum.wzl/wzx（复用现有真实动作）</x:v>
      </x:c>
      <x:c r="Q554" s="292" t="str">
        <x:v>candidate-preflight-passed</x:v>
      </x:c>
      <x:c r="R554" s="292" t="str"/>
      <x:c r="S554" s="292" t="str">
        <x:v>玄渊二十套全装备代码总表.xlsx</x:v>
      </x:c>
      <x:c r="T554" s="292" t="str">
        <x:v>玄渊20套全装备视觉候选；Items/StateItem/DnItems三库同码；属性待策划填写；Hum Shape=6</x:v>
      </x:c>
      <x:c r="U554" t="str">
        <x:f>IF(COUNTIF($B$2:$B$1076,B554)&gt;1,"重复","")</x:f>
      </x:c>
      <x:c r="V554" t="str">
        <x:f>IF(AND(OR(M554="",M554=B554),OR(N554="",N554=B554),OR(O554="",O554=B554)),"通过","不一致")</x:f>
        <x:v>通过</x:v>
      </x:c>
    </x:row>
    <x:row r="555" ht="22" customHeight="1">
      <x:c r="A555" s="289" t="n">
        <x:v>554</x:v>
      </x:c>
      <x:c r="B555" s="289" t="n">
        <x:v>6574</x:v>
      </x:c>
      <x:c r="C555" s="290" t="str">
        <x:v>血月荆棘·血痕</x:v>
      </x:c>
      <x:c r="D555" s="290" t="str">
        <x:v>血月荆棘</x:v>
      </x:c>
      <x:c r="E555" s="290" t="n">
        <x:v>1</x:v>
      </x:c>
      <x:c r="F555" s="290" t="str">
        <x:v>头盔</x:v>
      </x:c>
      <x:c r="G555" s="289" t="n">
        <x:v>15</x:v>
      </x:c>
      <x:c r="H555" s="289" t="n">
        <x:v>4</x:v>
      </x:c>
      <x:c r="I555" s="289" t="n">
        <x:v>6574</x:v>
      </x:c>
      <x:c r="J555" s="289" t="n">
        <x:v>0</x:v>
      </x:c>
      <x:c r="K555" s="289" t="n">
        <x:v>0</x:v>
      </x:c>
      <x:c r="L555" s="289" t="n">
        <x:v>0</x:v>
      </x:c>
      <x:c r="M555" s="289" t="n">
        <x:v>6574</x:v>
      </x:c>
      <x:c r="N555" s="289" t="n">
        <x:v>6574</x:v>
      </x:c>
      <x:c r="O555" s="289" t="n">
        <x:v>6574</x:v>
      </x:c>
      <x:c r="P555" s="292"/>
      <x:c r="Q555" s="292" t="str">
        <x:v>candidate-preflight-passed</x:v>
      </x:c>
      <x:c r="R555" s="324" t="str">
        <x:v>C3-C10规划锁定：墓旗头冠</x:v>
      </x:c>
      <x:c r="S555" s="292" t="str">
        <x:v>玄渊二十套全装备代码总表.xlsx</x:v>
      </x:c>
      <x:c r="T555" s="292" t="str">
        <x:v>玄渊20套全装备视觉候选；Items/StateItem/DnItems三库同码；属性待策划填写</x:v>
      </x:c>
      <x:c r="U555" t="str">
        <x:f>IF(COUNTIF($B$2:$B$1076,B555)&gt;1,"重复","")</x:f>
      </x:c>
      <x:c r="V555" t="str">
        <x:f>IF(AND(OR(M555="",M555=B555),OR(N555="",N555=B555),OR(O555="",O555=B555)),"通过","不一致")</x:f>
        <x:v>通过</x:v>
      </x:c>
    </x:row>
    <x:row r="556" ht="22" customHeight="1">
      <x:c r="A556" s="289" t="n">
        <x:v>555</x:v>
      </x:c>
      <x:c r="B556" s="289" t="n">
        <x:v>6575</x:v>
      </x:c>
      <x:c r="C556" s="290" t="str">
        <x:v>血月荆棘·血痕</x:v>
      </x:c>
      <x:c r="D556" s="290" t="str">
        <x:v>血月荆棘</x:v>
      </x:c>
      <x:c r="E556" s="290" t="n">
        <x:v>1</x:v>
      </x:c>
      <x:c r="F556" s="290" t="str">
        <x:v>面巾</x:v>
      </x:c>
      <x:c r="G556" s="289" t="n">
        <x:v>16</x:v>
      </x:c>
      <x:c r="H556" s="289" t="n">
        <x:v>13</x:v>
      </x:c>
      <x:c r="I556" s="289" t="n">
        <x:v>6575</x:v>
      </x:c>
      <x:c r="J556" s="289" t="n">
        <x:v>0</x:v>
      </x:c>
      <x:c r="K556" s="289" t="n">
        <x:v>0</x:v>
      </x:c>
      <x:c r="L556" s="289" t="n">
        <x:v>0</x:v>
      </x:c>
      <x:c r="M556" s="289" t="n">
        <x:v>6575</x:v>
      </x:c>
      <x:c r="N556" s="289" t="n">
        <x:v>6575</x:v>
      </x:c>
      <x:c r="O556" s="289" t="n">
        <x:v>6575</x:v>
      </x:c>
      <x:c r="P556" s="292"/>
      <x:c r="Q556" s="292" t="str">
        <x:v>candidate-preflight-passed</x:v>
      </x:c>
      <x:c r="R556" s="324" t="str">
        <x:v>C3-C10规划锁定：倒桅瞭望笠</x:v>
      </x:c>
      <x:c r="S556" s="292" t="str">
        <x:v>玄渊二十套全装备代码总表.xlsx</x:v>
      </x:c>
      <x:c r="T556" s="292" t="str">
        <x:v>玄渊20套全装备视觉候选；Items/StateItem/DnItems三库同码；属性待策划填写</x:v>
      </x:c>
      <x:c r="U556" t="str">
        <x:f>IF(COUNTIF($B$2:$B$1076,B556)&gt;1,"重复","")</x:f>
      </x:c>
      <x:c r="V556" t="str">
        <x:f>IF(AND(OR(M556="",M556=B556),OR(N556="",N556=B556),OR(O556="",O556=B556)),"通过","不一致")</x:f>
        <x:v>通过</x:v>
      </x:c>
    </x:row>
    <x:row r="557" ht="22" customHeight="1">
      <x:c r="A557" s="289" t="n">
        <x:v>556</x:v>
      </x:c>
      <x:c r="B557" s="289" t="n">
        <x:v>6576</x:v>
      </x:c>
      <x:c r="C557" s="290" t="str">
        <x:v>血月荆棘·血痕</x:v>
      </x:c>
      <x:c r="D557" s="290" t="str">
        <x:v>血月荆棘</x:v>
      </x:c>
      <x:c r="E557" s="290" t="n">
        <x:v>1</x:v>
      </x:c>
      <x:c r="F557" s="290" t="str">
        <x:v>项链</x:v>
      </x:c>
      <x:c r="G557" s="289" t="n">
        <x:v>19</x:v>
      </x:c>
      <x:c r="H557" s="289" t="n">
        <x:v>3</x:v>
      </x:c>
      <x:c r="I557" s="289" t="n">
        <x:v>6576</x:v>
      </x:c>
      <x:c r="J557" s="289" t="n">
        <x:v>0</x:v>
      </x:c>
      <x:c r="K557" s="289" t="n">
        <x:v>0</x:v>
      </x:c>
      <x:c r="L557" s="289" t="n">
        <x:v>0</x:v>
      </x:c>
      <x:c r="M557" s="289" t="n">
        <x:v>6576</x:v>
      </x:c>
      <x:c r="N557" s="289" t="n">
        <x:v>6576</x:v>
      </x:c>
      <x:c r="O557" s="289" t="n">
        <x:v>6576</x:v>
      </x:c>
      <x:c r="P557" s="292"/>
      <x:c r="Q557" s="292" t="str">
        <x:v>candidate-preflight-passed</x:v>
      </x:c>
      <x:c r="R557" s="324" t="str">
        <x:v>C3-C10规划锁定：荒商护符</x:v>
      </x:c>
      <x:c r="S557" s="292" t="str">
        <x:v>玄渊二十套全装备代码总表.xlsx</x:v>
      </x:c>
      <x:c r="T557" s="292" t="str">
        <x:v>玄渊20套全装备视觉候选；Items/StateItem/DnItems三库同码；属性待策划填写</x:v>
      </x:c>
      <x:c r="U557" t="str">
        <x:f>IF(COUNTIF($B$2:$B$1076,B557)&gt;1,"重复","")</x:f>
      </x:c>
      <x:c r="V557" t="str">
        <x:f>IF(AND(OR(M557="",M557=B557),OR(N557="",N557=B557),OR(O557="",O557=B557)),"通过","不一致")</x:f>
        <x:v>通过</x:v>
      </x:c>
    </x:row>
    <x:row r="558" ht="22" customHeight="1">
      <x:c r="A558" s="289" t="n">
        <x:v>557</x:v>
      </x:c>
      <x:c r="B558" s="289" t="n">
        <x:v>6577</x:v>
      </x:c>
      <x:c r="C558" s="290" t="str">
        <x:v>血月荆棘·血痕</x:v>
      </x:c>
      <x:c r="D558" s="290" t="str">
        <x:v>血月荆棘</x:v>
      </x:c>
      <x:c r="E558" s="290" t="n">
        <x:v>1</x:v>
      </x:c>
      <x:c r="F558" s="290" t="str">
        <x:v>手镯</x:v>
      </x:c>
      <x:c r="G558" s="289" t="n">
        <x:v>26</x:v>
      </x:c>
      <x:c r="H558" s="289" t="n">
        <x:v>5</x:v>
      </x:c>
      <x:c r="I558" s="289" t="n">
        <x:v>6577</x:v>
      </x:c>
      <x:c r="J558" s="289" t="n">
        <x:v>0</x:v>
      </x:c>
      <x:c r="K558" s="289" t="n">
        <x:v>0</x:v>
      </x:c>
      <x:c r="L558" s="289" t="n">
        <x:v>0</x:v>
      </x:c>
      <x:c r="M558" s="289" t="n">
        <x:v>6577</x:v>
      </x:c>
      <x:c r="N558" s="289" t="n">
        <x:v>6577</x:v>
      </x:c>
      <x:c r="O558" s="289" t="n">
        <x:v>6577</x:v>
      </x:c>
      <x:c r="P558" s="292"/>
      <x:c r="Q558" s="292" t="str">
        <x:v>candidate-preflight-passed</x:v>
      </x:c>
      <x:c r="R558" s="324" t="str">
        <x:v>C3-C10规划锁定：掘墓铁镯</x:v>
      </x:c>
      <x:c r="S558" s="292" t="str">
        <x:v>玄渊二十套全装备代码总表.xlsx</x:v>
      </x:c>
      <x:c r="T558" s="292" t="str">
        <x:v>玄渊20套全装备视觉候选；Items/StateItem/DnItems三库同码；属性待策划填写</x:v>
      </x:c>
      <x:c r="U558" t="str">
        <x:f>IF(COUNTIF($B$2:$B$1076,B558)&gt;1,"重复","")</x:f>
      </x:c>
      <x:c r="V558" t="str">
        <x:f>IF(AND(OR(M558="",M558=B558),OR(N558="",N558=B558),OR(O558="",O558=B558)),"通过","不一致")</x:f>
        <x:v>通过</x:v>
      </x:c>
    </x:row>
    <x:row r="559" ht="22" customHeight="1">
      <x:c r="A559" s="289" t="n">
        <x:v>558</x:v>
      </x:c>
      <x:c r="B559" s="289" t="n">
        <x:v>6578</x:v>
      </x:c>
      <x:c r="C559" s="290" t="str">
        <x:v>血月荆棘·血痕</x:v>
      </x:c>
      <x:c r="D559" s="290" t="str">
        <x:v>血月荆棘</x:v>
      </x:c>
      <x:c r="E559" s="290" t="n">
        <x:v>1</x:v>
      </x:c>
      <x:c r="F559" s="290" t="str">
        <x:v>戒指</x:v>
      </x:c>
      <x:c r="G559" s="289" t="n">
        <x:v>22</x:v>
      </x:c>
      <x:c r="H559" s="289" t="n">
        <x:v>7</x:v>
      </x:c>
      <x:c r="I559" s="289" t="n">
        <x:v>6578</x:v>
      </x:c>
      <x:c r="J559" s="289" t="n">
        <x:v>0</x:v>
      </x:c>
      <x:c r="K559" s="289" t="n">
        <x:v>0</x:v>
      </x:c>
      <x:c r="L559" s="289" t="n">
        <x:v>0</x:v>
      </x:c>
      <x:c r="M559" s="289" t="n">
        <x:v>6578</x:v>
      </x:c>
      <x:c r="N559" s="289" t="n">
        <x:v>6578</x:v>
      </x:c>
      <x:c r="O559" s="289" t="n">
        <x:v>6578</x:v>
      </x:c>
      <x:c r="P559" s="292"/>
      <x:c r="Q559" s="292" t="str">
        <x:v>candidate-preflight-passed</x:v>
      </x:c>
      <x:c r="R559" s="324" t="str">
        <x:v>C3-C10规划锁定：黯幕咒戒</x:v>
      </x:c>
      <x:c r="S559" s="292" t="str">
        <x:v>玄渊二十套全装备代码总表.xlsx</x:v>
      </x:c>
      <x:c r="T559" s="292" t="str">
        <x:v>玄渊20套全装备视觉候选；Items/StateItem/DnItems三库同码；属性待策划填写</x:v>
      </x:c>
      <x:c r="U559" t="str">
        <x:f>IF(COUNTIF($B$2:$B$1076,B559)&gt;1,"重复","")</x:f>
      </x:c>
      <x:c r="V559" t="str">
        <x:f>IF(AND(OR(M559="",M559=B559),OR(N559="",N559=B559),OR(O559="",O559=B559)),"通过","不一致")</x:f>
        <x:v>通过</x:v>
      </x:c>
    </x:row>
    <x:row r="560" ht="22" customHeight="1">
      <x:c r="A560" s="289" t="n">
        <x:v>559</x:v>
      </x:c>
      <x:c r="B560" s="289" t="n">
        <x:v>6579</x:v>
      </x:c>
      <x:c r="C560" s="290" t="str">
        <x:v>血月荆棘·血痕</x:v>
      </x:c>
      <x:c r="D560" s="290" t="str">
        <x:v>血月荆棘</x:v>
      </x:c>
      <x:c r="E560" s="290" t="n">
        <x:v>1</x:v>
      </x:c>
      <x:c r="F560" s="290" t="str">
        <x:v>勋章</x:v>
      </x:c>
      <x:c r="G560" s="289" t="n">
        <x:v>30</x:v>
      </x:c>
      <x:c r="H560" s="289" t="n">
        <x:v>2</x:v>
      </x:c>
      <x:c r="I560" s="289" t="n">
        <x:v>6579</x:v>
      </x:c>
      <x:c r="J560" s="289" t="n">
        <x:v>0</x:v>
      </x:c>
      <x:c r="K560" s="289" t="n">
        <x:v>0</x:v>
      </x:c>
      <x:c r="L560" s="289" t="n">
        <x:v>0</x:v>
      </x:c>
      <x:c r="M560" s="289" t="n">
        <x:v>6579</x:v>
      </x:c>
      <x:c r="N560" s="289" t="n">
        <x:v>6579</x:v>
      </x:c>
      <x:c r="O560" s="289" t="n">
        <x:v>6579</x:v>
      </x:c>
      <x:c r="P560" s="292"/>
      <x:c r="Q560" s="292" t="str">
        <x:v>candidate-preflight-passed</x:v>
      </x:c>
      <x:c r="R560" s="324" t="str">
        <x:v>C3-C10规划锁定：亡阵旗印</x:v>
      </x:c>
      <x:c r="S560" s="292" t="str">
        <x:v>玄渊二十套全装备代码总表.xlsx</x:v>
      </x:c>
      <x:c r="T560" s="292" t="str">
        <x:v>玄渊20套全装备视觉候选；Items/StateItem/DnItems三库同码；属性待策划填写</x:v>
      </x:c>
      <x:c r="U560" t="str">
        <x:f>IF(COUNTIF($B$2:$B$1076,B560)&gt;1,"重复","")</x:f>
      </x:c>
      <x:c r="V560" t="str">
        <x:f>IF(AND(OR(M560="",M560=B560),OR(N560="",N560=B560),OR(O560="",O560=B560)),"通过","不一致")</x:f>
        <x:v>通过</x:v>
      </x:c>
    </x:row>
    <x:row r="561" ht="22" customHeight="1">
      <x:c r="A561" s="289" t="n">
        <x:v>560</x:v>
      </x:c>
      <x:c r="B561" s="289" t="n">
        <x:v>6580</x:v>
      </x:c>
      <x:c r="C561" s="290" t="str">
        <x:v>血月荆棘·血痕</x:v>
      </x:c>
      <x:c r="D561" s="290" t="str">
        <x:v>血月荆棘</x:v>
      </x:c>
      <x:c r="E561" s="290" t="n">
        <x:v>1</x:v>
      </x:c>
      <x:c r="F561" s="290" t="str">
        <x:v>盾牌</x:v>
      </x:c>
      <x:c r="G561" s="289" t="n">
        <x:v>12</x:v>
      </x:c>
      <x:c r="H561" s="289" t="n">
        <x:v>16</x:v>
      </x:c>
      <x:c r="I561" s="289" t="n">
        <x:v>6580</x:v>
      </x:c>
      <x:c r="J561" s="289" t="n">
        <x:v>0</x:v>
      </x:c>
      <x:c r="K561" s="289" t="n">
        <x:v>0</x:v>
      </x:c>
      <x:c r="L561" s="289" t="n">
        <x:v>0</x:v>
      </x:c>
      <x:c r="M561" s="289" t="n">
        <x:v>6580</x:v>
      </x:c>
      <x:c r="N561" s="289" t="n">
        <x:v>6580</x:v>
      </x:c>
      <x:c r="O561" s="289" t="n">
        <x:v>6580</x:v>
      </x:c>
      <x:c r="P561" s="292"/>
      <x:c r="Q561" s="292" t="str">
        <x:v>candidate-preflight-passed</x:v>
      </x:c>
      <x:c r="R561" s="324" t="str">
        <x:v>C3-C10规划锁定：守门王盾</x:v>
      </x:c>
      <x:c r="S561" s="292" t="str">
        <x:v>玄渊二十套全装备代码总表.xlsx</x:v>
      </x:c>
      <x:c r="T561" s="292" t="str">
        <x:v>玄渊20套全装备视觉候选；Items/StateItem/DnItems三库同码；属性待策划填写</x:v>
      </x:c>
      <x:c r="U561" t="str">
        <x:f>IF(COUNTIF($B$2:$B$1076,B561)&gt;1,"重复","")</x:f>
      </x:c>
      <x:c r="V561" t="str">
        <x:f>IF(AND(OR(M561="",M561=B561),OR(N561="",N561=B561),OR(O561="",O561=B561)),"通过","不一致")</x:f>
        <x:v>通过</x:v>
      </x:c>
    </x:row>
    <x:row r="562" ht="22" customHeight="1">
      <x:c r="A562" s="289" t="n">
        <x:v>561</x:v>
      </x:c>
      <x:c r="B562" s="289" t="n">
        <x:v>6581</x:v>
      </x:c>
      <x:c r="C562" s="290" t="str">
        <x:v>血月荆棘·血痕</x:v>
      </x:c>
      <x:c r="D562" s="290" t="str">
        <x:v>血月荆棘</x:v>
      </x:c>
      <x:c r="E562" s="290" t="n">
        <x:v>1</x:v>
      </x:c>
      <x:c r="F562" s="290" t="str">
        <x:v>灵玉</x:v>
      </x:c>
      <x:c r="G562" s="289" t="n">
        <x:v>90</x:v>
      </x:c>
      <x:c r="H562" s="289" t="n">
        <x:v>17</x:v>
      </x:c>
      <x:c r="I562" s="289" t="n">
        <x:v>6581</x:v>
      </x:c>
      <x:c r="J562" s="289" t="n">
        <x:v>0</x:v>
      </x:c>
      <x:c r="K562" s="289" t="n">
        <x:v>0</x:v>
      </x:c>
      <x:c r="L562" s="289" t="n">
        <x:v>0</x:v>
      </x:c>
      <x:c r="M562" s="289" t="n">
        <x:v>6581</x:v>
      </x:c>
      <x:c r="N562" s="289" t="n">
        <x:v>6581</x:v>
      </x:c>
      <x:c r="O562" s="289" t="n">
        <x:v>6581</x:v>
      </x:c>
      <x:c r="P562" s="292"/>
      <x:c r="Q562" s="292" t="str">
        <x:v>candidate-preflight-passed</x:v>
      </x:c>
      <x:c r="R562" s="292" t="str"/>
      <x:c r="S562" s="292" t="str">
        <x:v>玄渊二十套全装备代码总表.xlsx</x:v>
      </x:c>
      <x:c r="T562" s="292" t="str">
        <x:v>玄渊20套全装备视觉候选；Items/StateItem/DnItems三库同码；属性待策划填写</x:v>
      </x:c>
      <x:c r="U562" t="str">
        <x:f>IF(COUNTIF($B$2:$B$1076,B562)&gt;1,"重复","")</x:f>
      </x:c>
      <x:c r="V562" t="str">
        <x:f>IF(AND(OR(M562="",M562=B562),OR(N562="",N562=B562),OR(O562="",O562=B562)),"通过","不一致")</x:f>
        <x:v>通过</x:v>
      </x:c>
    </x:row>
    <x:row r="563" ht="22" customHeight="1">
      <x:c r="A563" s="289" t="n">
        <x:v>562</x:v>
      </x:c>
      <x:c r="B563" s="289" t="n">
        <x:v>6582</x:v>
      </x:c>
      <x:c r="C563" s="290" t="str">
        <x:v>血月荆棘·血痕</x:v>
      </x:c>
      <x:c r="D563" s="290" t="str">
        <x:v>血月荆棘</x:v>
      </x:c>
      <x:c r="E563" s="290" t="n">
        <x:v>1</x:v>
      </x:c>
      <x:c r="F563" s="290" t="str">
        <x:v>鞋子</x:v>
      </x:c>
      <x:c r="G563" s="289" t="n">
        <x:v>62</x:v>
      </x:c>
      <x:c r="H563" s="289" t="n">
        <x:v>11</x:v>
      </x:c>
      <x:c r="I563" s="289" t="n">
        <x:v>6582</x:v>
      </x:c>
      <x:c r="J563" s="289" t="n">
        <x:v>0</x:v>
      </x:c>
      <x:c r="K563" s="289" t="n">
        <x:v>0</x:v>
      </x:c>
      <x:c r="L563" s="289" t="n">
        <x:v>0</x:v>
      </x:c>
      <x:c r="M563" s="289" t="n">
        <x:v>6582</x:v>
      </x:c>
      <x:c r="N563" s="289" t="n">
        <x:v>6582</x:v>
      </x:c>
      <x:c r="O563" s="289" t="n">
        <x:v>6582</x:v>
      </x:c>
      <x:c r="P563" s="292"/>
      <x:c r="Q563" s="292" t="str">
        <x:v>candidate-preflight-passed</x:v>
      </x:c>
      <x:c r="R563" s="324" t="str">
        <x:v>C3-C10规划锁定：百夫战靴</x:v>
      </x:c>
      <x:c r="S563" s="292" t="str">
        <x:v>玄渊二十套全装备代码总表.xlsx</x:v>
      </x:c>
      <x:c r="T563" s="292" t="str">
        <x:v>玄渊20套全装备视觉候选；Items/StateItem/DnItems三库同码；属性待策划填写</x:v>
      </x:c>
      <x:c r="U563" t="str">
        <x:f>IF(COUNTIF($B$2:$B$1076,B563)&gt;1,"重复","")</x:f>
      </x:c>
      <x:c r="V563" t="str">
        <x:f>IF(AND(OR(M563="",M563=B563),OR(N563="",N563=B563),OR(O563="",O563=B563)),"通过","不一致")</x:f>
        <x:v>通过</x:v>
      </x:c>
    </x:row>
    <x:row r="564" ht="22" customHeight="1">
      <x:c r="A564" s="289" t="n">
        <x:v>563</x:v>
      </x:c>
      <x:c r="B564" s="289" t="n">
        <x:v>6583</x:v>
      </x:c>
      <x:c r="C564" s="290" t="str">
        <x:v>血月荆棘·血痕</x:v>
      </x:c>
      <x:c r="D564" s="290" t="str">
        <x:v>血月荆棘</x:v>
      </x:c>
      <x:c r="E564" s="290" t="n">
        <x:v>1</x:v>
      </x:c>
      <x:c r="F564" s="290" t="str">
        <x:v>腰带</x:v>
      </x:c>
      <x:c r="G564" s="289" t="n">
        <x:v>64</x:v>
      </x:c>
      <x:c r="H564" s="289" t="n">
        <x:v>10</x:v>
      </x:c>
      <x:c r="I564" s="289" t="n">
        <x:v>6583</x:v>
      </x:c>
      <x:c r="J564" s="289" t="n">
        <x:v>0</x:v>
      </x:c>
      <x:c r="K564" s="289" t="n">
        <x:v>0</x:v>
      </x:c>
      <x:c r="L564" s="289" t="n">
        <x:v>0</x:v>
      </x:c>
      <x:c r="M564" s="289" t="n">
        <x:v>6583</x:v>
      </x:c>
      <x:c r="N564" s="289" t="n">
        <x:v>6583</x:v>
      </x:c>
      <x:c r="O564" s="289" t="n">
        <x:v>6583</x:v>
      </x:c>
      <x:c r="P564" s="292"/>
      <x:c r="Q564" s="292" t="str">
        <x:v>candidate-preflight-passed</x:v>
      </x:c>
      <x:c r="R564" s="324" t="str">
        <x:v>C3-C10规划锁定：孢母菌带</x:v>
      </x:c>
      <x:c r="S564" s="292" t="str">
        <x:v>玄渊二十套全装备代码总表.xlsx</x:v>
      </x:c>
      <x:c r="T564" s="292" t="str">
        <x:v>玄渊20套全装备视觉候选；Items/StateItem/DnItems三库同码；属性待策划填写</x:v>
      </x:c>
      <x:c r="U564" t="str">
        <x:f>IF(COUNTIF($B$2:$B$1076,B564)&gt;1,"重复","")</x:f>
      </x:c>
      <x:c r="V564" t="str">
        <x:f>IF(AND(OR(M564="",M564=B564),OR(N564="",N564=B564),OR(O564="",O564=B564)),"通过","不一致")</x:f>
        <x:v>通过</x:v>
      </x:c>
    </x:row>
    <x:row r="565" ht="22" customHeight="1">
      <x:c r="A565" s="289" t="n">
        <x:v>564</x:v>
      </x:c>
      <x:c r="B565" s="289" t="n">
        <x:v>6584</x:v>
      </x:c>
      <x:c r="C565" s="290" t="str">
        <x:v>血月荆棘·血痕</x:v>
      </x:c>
      <x:c r="D565" s="290" t="str">
        <x:v>血月荆棘</x:v>
      </x:c>
      <x:c r="E565" s="290" t="n">
        <x:v>1</x:v>
      </x:c>
      <x:c r="F565" s="290" t="str">
        <x:v>护身符</x:v>
      </x:c>
      <x:c r="G565" s="289" t="n">
        <x:v>25</x:v>
      </x:c>
      <x:c r="H565" s="289" t="n">
        <x:v>9</x:v>
      </x:c>
      <x:c r="I565" s="289" t="n">
        <x:v>6584</x:v>
      </x:c>
      <x:c r="J565" s="289" t="n">
        <x:v>0</x:v>
      </x:c>
      <x:c r="K565" s="289" t="n">
        <x:v>0</x:v>
      </x:c>
      <x:c r="L565" s="289" t="n">
        <x:v>0</x:v>
      </x:c>
      <x:c r="M565" s="289" t="n">
        <x:v>6584</x:v>
      </x:c>
      <x:c r="N565" s="289" t="n">
        <x:v>6584</x:v>
      </x:c>
      <x:c r="O565" s="289" t="n">
        <x:v>6584</x:v>
      </x:c>
      <x:c r="P565" s="292"/>
      <x:c r="Q565" s="292" t="str">
        <x:v>candidate-preflight-passed</x:v>
      </x:c>
      <x:c r="R565" s="292" t="str"/>
      <x:c r="S565" s="292" t="str">
        <x:v>玄渊二十套全装备代码总表.xlsx</x:v>
      </x:c>
      <x:c r="T565" s="292" t="str">
        <x:v>玄渊20套全装备视觉候选；Items/StateItem/DnItems三库同码；属性待策划填写</x:v>
      </x:c>
      <x:c r="U565" t="str">
        <x:f>IF(COUNTIF($B$2:$B$1076,B565)&gt;1,"重复","")</x:f>
      </x:c>
      <x:c r="V565" t="str">
        <x:f>IF(AND(OR(M565="",M565=B565),OR(N565="",N565=B565),OR(O565="",O565=B565)),"通过","不一致")</x:f>
        <x:v>通过</x:v>
      </x:c>
    </x:row>
    <x:row r="566" ht="22" customHeight="1">
      <x:c r="A566" s="289" t="n">
        <x:v>565</x:v>
      </x:c>
      <x:c r="B566" s="289" t="n">
        <x:v>6585</x:v>
      </x:c>
      <x:c r="C566" s="290" t="str">
        <x:v>血月荆棘·血痕</x:v>
      </x:c>
      <x:c r="D566" s="290" t="str">
        <x:v>血月荆棘</x:v>
      </x:c>
      <x:c r="E566" s="290" t="n">
        <x:v>1</x:v>
      </x:c>
      <x:c r="F566" s="290" t="str">
        <x:v>宝石</x:v>
      </x:c>
      <x:c r="G566" s="289" t="n">
        <x:v>63</x:v>
      </x:c>
      <x:c r="H566" s="289" t="n">
        <x:v>12</x:v>
      </x:c>
      <x:c r="I566" s="289" t="n">
        <x:v>6585</x:v>
      </x:c>
      <x:c r="J566" s="289" t="n">
        <x:v>0</x:v>
      </x:c>
      <x:c r="K566" s="289" t="n">
        <x:v>0</x:v>
      </x:c>
      <x:c r="L566" s="289" t="n">
        <x:v>0</x:v>
      </x:c>
      <x:c r="M566" s="289" t="n">
        <x:v>6585</x:v>
      </x:c>
      <x:c r="N566" s="289" t="n">
        <x:v>6585</x:v>
      </x:c>
      <x:c r="O566" s="289" t="n">
        <x:v>6585</x:v>
      </x:c>
      <x:c r="P566" s="292"/>
      <x:c r="Q566" s="292" t="str">
        <x:v>candidate-preflight-passed</x:v>
      </x:c>
      <x:c r="R566" s="292" t="str"/>
      <x:c r="S566" s="292" t="str">
        <x:v>玄渊二十套全装备代码总表.xlsx</x:v>
      </x:c>
      <x:c r="T566" s="292" t="str">
        <x:v>玄渊20套全装备视觉候选；Items/StateItem/DnItems三库同码；属性待策划填写</x:v>
      </x:c>
      <x:c r="U566" t="str">
        <x:f>IF(COUNTIF($B$2:$B$1076,B566)&gt;1,"重复","")</x:f>
      </x:c>
      <x:c r="V566" t="str">
        <x:f>IF(AND(OR(M566="",M566=B566),OR(N566="",N566=B566),OR(O566="",O566=B566)),"通过","不一致")</x:f>
        <x:v>通过</x:v>
      </x:c>
    </x:row>
    <x:row r="567" ht="22" customHeight="1">
      <x:c r="A567" s="289" t="n">
        <x:v>566</x:v>
      </x:c>
      <x:c r="B567" s="289" t="n">
        <x:v>6586</x:v>
      </x:c>
      <x:c r="C567" s="290" t="str">
        <x:v>血月荆棘·血痕</x:v>
      </x:c>
      <x:c r="D567" s="290" t="str">
        <x:v>血月荆棘</x:v>
      </x:c>
      <x:c r="E567" s="290" t="n">
        <x:v>1</x:v>
      </x:c>
      <x:c r="F567" s="290" t="str">
        <x:v>军鼓</x:v>
      </x:c>
      <x:c r="G567" s="289" t="n">
        <x:v>65</x:v>
      </x:c>
      <x:c r="H567" s="289" t="n">
        <x:v>14</x:v>
      </x:c>
      <x:c r="I567" s="289" t="n">
        <x:v>6586</x:v>
      </x:c>
      <x:c r="J567" s="289" t="n">
        <x:v>0</x:v>
      </x:c>
      <x:c r="K567" s="289" t="n">
        <x:v>0</x:v>
      </x:c>
      <x:c r="L567" s="289" t="n">
        <x:v>0</x:v>
      </x:c>
      <x:c r="M567" s="289" t="n">
        <x:v>6586</x:v>
      </x:c>
      <x:c r="N567" s="289" t="n">
        <x:v>6586</x:v>
      </x:c>
      <x:c r="O567" s="289" t="n">
        <x:v>6586</x:v>
      </x:c>
      <x:c r="P567" s="292"/>
      <x:c r="Q567" s="292" t="str">
        <x:v>candidate-preflight-passed</x:v>
      </x:c>
      <x:c r="R567" s="292" t="str"/>
      <x:c r="S567" s="292" t="str">
        <x:v>玄渊二十套全装备代码总表.xlsx</x:v>
      </x:c>
      <x:c r="T567" s="292" t="str">
        <x:v>玄渊20套全装备视觉候选；Items/StateItem/DnItems三库同码；属性待策划填写</x:v>
      </x:c>
      <x:c r="U567" t="str">
        <x:f>IF(COUNTIF($B$2:$B$1076,B567)&gt;1,"重复","")</x:f>
      </x:c>
      <x:c r="V567" t="str">
        <x:f>IF(AND(OR(M567="",M567=B567),OR(N567="",N567=B567),OR(O567="",O567=B567)),"通过","不一致")</x:f>
        <x:v>通过</x:v>
      </x:c>
    </x:row>
    <x:row r="568" ht="22" customHeight="1">
      <x:c r="A568" s="289" t="n">
        <x:v>567</x:v>
      </x:c>
      <x:c r="B568" s="289" t="n">
        <x:v>6587</x:v>
      </x:c>
      <x:c r="C568" s="290" t="str">
        <x:v>血月荆棘·血痕</x:v>
      </x:c>
      <x:c r="D568" s="290" t="str">
        <x:v>血月荆棘</x:v>
      </x:c>
      <x:c r="E568" s="290" t="n">
        <x:v>1</x:v>
      </x:c>
      <x:c r="F568" s="290" t="str">
        <x:v>马牌</x:v>
      </x:c>
      <x:c r="G568" s="289" t="n">
        <x:v>28</x:v>
      </x:c>
      <x:c r="H568" s="289" t="n">
        <x:v>15</x:v>
      </x:c>
      <x:c r="I568" s="289" t="n">
        <x:v>6587</x:v>
      </x:c>
      <x:c r="J568" s="289" t="n">
        <x:v>0</x:v>
      </x:c>
      <x:c r="K568" s="289" t="n">
        <x:v>0</x:v>
      </x:c>
      <x:c r="L568" s="289" t="n">
        <x:v>0</x:v>
      </x:c>
      <x:c r="M568" s="289" t="n">
        <x:v>6587</x:v>
      </x:c>
      <x:c r="N568" s="289" t="n">
        <x:v>6587</x:v>
      </x:c>
      <x:c r="O568" s="289" t="n">
        <x:v>6587</x:v>
      </x:c>
      <x:c r="P568" s="292"/>
      <x:c r="Q568" s="292" t="str">
        <x:v>candidate-preflight-passed</x:v>
      </x:c>
      <x:c r="R568" s="292" t="str"/>
      <x:c r="S568" s="292" t="str">
        <x:v>玄渊二十套全装备代码总表.xlsx</x:v>
      </x:c>
      <x:c r="T568" s="292" t="str">
        <x:v>玄渊20套全装备视觉候选；Items/StateItem/DnItems三库同码；属性待策划填写</x:v>
      </x:c>
      <x:c r="U568" t="str">
        <x:f>IF(COUNTIF($B$2:$B$1076,B568)&gt;1,"重复","")</x:f>
      </x:c>
      <x:c r="V568" t="str">
        <x:f>IF(AND(OR(M568="",M568=B568),OR(N568="",N568=B568),OR(O568="",O568=B568)),"通过","不一致")</x:f>
        <x:v>通过</x:v>
      </x:c>
    </x:row>
    <x:row r="569" ht="22" customHeight="1">
      <x:c r="A569" s="289" t="n">
        <x:v>568</x:v>
      </x:c>
      <x:c r="B569" s="289" t="n">
        <x:v>6588</x:v>
      </x:c>
      <x:c r="C569" s="290" t="str">
        <x:v>血月荆棘·血痕</x:v>
      </x:c>
      <x:c r="D569" s="290" t="str">
        <x:v>血月荆棘</x:v>
      </x:c>
      <x:c r="E569" s="290" t="n">
        <x:v>1</x:v>
      </x:c>
      <x:c r="F569" s="290" t="str">
        <x:v>首饰盒1</x:v>
      </x:c>
      <x:c r="G569" s="289" t="n">
        <x:v>22</x:v>
      </x:c>
      <x:c r="H569" s="289" t="n">
        <x:v>30</x:v>
      </x:c>
      <x:c r="I569" s="289" t="n">
        <x:v>6588</x:v>
      </x:c>
      <x:c r="J569" s="289" t="n">
        <x:v>0</x:v>
      </x:c>
      <x:c r="K569" s="289" t="n">
        <x:v>2</x:v>
      </x:c>
      <x:c r="L569" s="289" t="n">
        <x:v>1</x:v>
      </x:c>
      <x:c r="M569" s="289" t="n">
        <x:v>6588</x:v>
      </x:c>
      <x:c r="N569" s="289" t="n">
        <x:v>6588</x:v>
      </x:c>
      <x:c r="O569" s="289" t="n">
        <x:v>6588</x:v>
      </x:c>
      <x:c r="P569" s="292"/>
      <x:c r="Q569" s="292" t="str">
        <x:v>candidate-preflight-passed</x:v>
      </x:c>
      <x:c r="R569" s="292" t="str"/>
      <x:c r="S569" s="292" t="str">
        <x:v>玄渊二十套全装备代码总表.xlsx</x:v>
      </x:c>
      <x:c r="T569" s="292" t="str">
        <x:v>玄渊20套全装备视觉候选；Items/StateItem/DnItems三库同码；属性待策划填写；OverLap=2; Expand1=1</x:v>
      </x:c>
      <x:c r="U569" t="str">
        <x:f>IF(COUNTIF($B$2:$B$1076,B569)&gt;1,"重复","")</x:f>
      </x:c>
      <x:c r="V569" t="str">
        <x:f>IF(AND(OR(M569="",M569=B569),OR(N569="",N569=B569),OR(O569="",O569=B569)),"通过","不一致")</x:f>
        <x:v>通过</x:v>
      </x:c>
    </x:row>
    <x:row r="570" ht="22" customHeight="1">
      <x:c r="A570" s="289" t="n">
        <x:v>569</x:v>
      </x:c>
      <x:c r="B570" s="289" t="n">
        <x:v>6589</x:v>
      </x:c>
      <x:c r="C570" s="290" t="str">
        <x:v>血月荆棘·血痕</x:v>
      </x:c>
      <x:c r="D570" s="290" t="str">
        <x:v>血月荆棘</x:v>
      </x:c>
      <x:c r="E570" s="290" t="n">
        <x:v>1</x:v>
      </x:c>
      <x:c r="F570" s="290" t="str">
        <x:v>首饰盒2</x:v>
      </x:c>
      <x:c r="G570" s="289" t="n">
        <x:v>22</x:v>
      </x:c>
      <x:c r="H570" s="289" t="n">
        <x:v>31</x:v>
      </x:c>
      <x:c r="I570" s="289" t="n">
        <x:v>6589</x:v>
      </x:c>
      <x:c r="J570" s="289" t="n">
        <x:v>0</x:v>
      </x:c>
      <x:c r="K570" s="289" t="n">
        <x:v>2</x:v>
      </x:c>
      <x:c r="L570" s="289" t="n">
        <x:v>2</x:v>
      </x:c>
      <x:c r="M570" s="289" t="n">
        <x:v>6589</x:v>
      </x:c>
      <x:c r="N570" s="289" t="n">
        <x:v>6589</x:v>
      </x:c>
      <x:c r="O570" s="289" t="n">
        <x:v>6589</x:v>
      </x:c>
      <x:c r="P570" s="292"/>
      <x:c r="Q570" s="292" t="str">
        <x:v>candidate-preflight-passed</x:v>
      </x:c>
      <x:c r="R570" s="292" t="str"/>
      <x:c r="S570" s="292" t="str">
        <x:v>玄渊二十套全装备代码总表.xlsx</x:v>
      </x:c>
      <x:c r="T570" s="292" t="str">
        <x:v>玄渊20套全装备视觉候选；Items/StateItem/DnItems三库同码；属性待策划填写；OverLap=2; Expand1=2</x:v>
      </x:c>
      <x:c r="U570" t="str">
        <x:f>IF(COUNTIF($B$2:$B$1076,B570)&gt;1,"重复","")</x:f>
      </x:c>
      <x:c r="V570" t="str">
        <x:f>IF(AND(OR(M570="",M570=B570),OR(N570="",N570=B570),OR(O570="",O570=B570)),"通过","不一致")</x:f>
        <x:v>通过</x:v>
      </x:c>
    </x:row>
    <x:row r="571" ht="22" customHeight="1">
      <x:c r="A571" s="289" t="n">
        <x:v>570</x:v>
      </x:c>
      <x:c r="B571" s="289" t="n">
        <x:v>6590</x:v>
      </x:c>
      <x:c r="C571" s="290" t="str">
        <x:v>血月荆棘·血痕</x:v>
      </x:c>
      <x:c r="D571" s="290" t="str">
        <x:v>血月荆棘</x:v>
      </x:c>
      <x:c r="E571" s="290" t="n">
        <x:v>1</x:v>
      </x:c>
      <x:c r="F571" s="290" t="str">
        <x:v>首饰盒3</x:v>
      </x:c>
      <x:c r="G571" s="289" t="n">
        <x:v>22</x:v>
      </x:c>
      <x:c r="H571" s="289" t="n">
        <x:v>32</x:v>
      </x:c>
      <x:c r="I571" s="289" t="n">
        <x:v>6590</x:v>
      </x:c>
      <x:c r="J571" s="289" t="n">
        <x:v>0</x:v>
      </x:c>
      <x:c r="K571" s="289" t="n">
        <x:v>2</x:v>
      </x:c>
      <x:c r="L571" s="289" t="n">
        <x:v>3</x:v>
      </x:c>
      <x:c r="M571" s="289" t="n">
        <x:v>6590</x:v>
      </x:c>
      <x:c r="N571" s="289" t="n">
        <x:v>6590</x:v>
      </x:c>
      <x:c r="O571" s="289" t="n">
        <x:v>6590</x:v>
      </x:c>
      <x:c r="P571" s="292"/>
      <x:c r="Q571" s="292" t="str">
        <x:v>candidate-preflight-passed</x:v>
      </x:c>
      <x:c r="R571" s="292" t="str"/>
      <x:c r="S571" s="292" t="str">
        <x:v>玄渊二十套全装备代码总表.xlsx</x:v>
      </x:c>
      <x:c r="T571" s="292" t="str">
        <x:v>玄渊20套全装备视觉候选；Items/StateItem/DnItems三库同码；属性待策划填写；OverLap=2; Expand1=3</x:v>
      </x:c>
      <x:c r="U571" t="str">
        <x:f>IF(COUNTIF($B$2:$B$1076,B571)&gt;1,"重复","")</x:f>
      </x:c>
      <x:c r="V571" t="str">
        <x:f>IF(AND(OR(M571="",M571=B571),OR(N571="",N571=B571),OR(O571="",O571=B571)),"通过","不一致")</x:f>
        <x:v>通过</x:v>
      </x:c>
    </x:row>
    <x:row r="572" ht="22" customHeight="1">
      <x:c r="A572" s="289" t="n">
        <x:v>571</x:v>
      </x:c>
      <x:c r="B572" s="289" t="n">
        <x:v>6591</x:v>
      </x:c>
      <x:c r="C572" s="290" t="str">
        <x:v>血月荆棘·血痕</x:v>
      </x:c>
      <x:c r="D572" s="290" t="str">
        <x:v>血月荆棘</x:v>
      </x:c>
      <x:c r="E572" s="290" t="n">
        <x:v>1</x:v>
      </x:c>
      <x:c r="F572" s="290" t="str">
        <x:v>首饰盒4</x:v>
      </x:c>
      <x:c r="G572" s="289" t="n">
        <x:v>22</x:v>
      </x:c>
      <x:c r="H572" s="289" t="n">
        <x:v>33</x:v>
      </x:c>
      <x:c r="I572" s="289" t="n">
        <x:v>6591</x:v>
      </x:c>
      <x:c r="J572" s="289" t="n">
        <x:v>0</x:v>
      </x:c>
      <x:c r="K572" s="289" t="n">
        <x:v>2</x:v>
      </x:c>
      <x:c r="L572" s="289" t="n">
        <x:v>4</x:v>
      </x:c>
      <x:c r="M572" s="289" t="n">
        <x:v>6591</x:v>
      </x:c>
      <x:c r="N572" s="289" t="n">
        <x:v>6591</x:v>
      </x:c>
      <x:c r="O572" s="289" t="n">
        <x:v>6591</x:v>
      </x:c>
      <x:c r="P572" s="292"/>
      <x:c r="Q572" s="292" t="str">
        <x:v>candidate-preflight-passed</x:v>
      </x:c>
      <x:c r="R572" s="292" t="str"/>
      <x:c r="S572" s="292" t="str">
        <x:v>玄渊二十套全装备代码总表.xlsx</x:v>
      </x:c>
      <x:c r="T572" s="292" t="str">
        <x:v>玄渊20套全装备视觉候选；Items/StateItem/DnItems三库同码；属性待策划填写；OverLap=2; Expand1=4</x:v>
      </x:c>
      <x:c r="U572" t="str">
        <x:f>IF(COUNTIF($B$2:$B$1076,B572)&gt;1,"重复","")</x:f>
      </x:c>
      <x:c r="V572" t="str">
        <x:f>IF(AND(OR(M572="",M572=B572),OR(N572="",N572=B572),OR(O572="",O572=B572)),"通过","不一致")</x:f>
        <x:v>通过</x:v>
      </x:c>
    </x:row>
    <x:row r="573" ht="22" customHeight="1">
      <x:c r="A573" s="289" t="n">
        <x:v>572</x:v>
      </x:c>
      <x:c r="B573" s="289" t="n">
        <x:v>6592</x:v>
      </x:c>
      <x:c r="C573" s="290" t="str">
        <x:v>血月荆棘·血痕</x:v>
      </x:c>
      <x:c r="D573" s="290" t="str">
        <x:v>血月荆棘</x:v>
      </x:c>
      <x:c r="E573" s="290" t="n">
        <x:v>1</x:v>
      </x:c>
      <x:c r="F573" s="290" t="str">
        <x:v>首饰盒5</x:v>
      </x:c>
      <x:c r="G573" s="289" t="n">
        <x:v>22</x:v>
      </x:c>
      <x:c r="H573" s="289" t="n">
        <x:v>34</x:v>
      </x:c>
      <x:c r="I573" s="289" t="n">
        <x:v>6592</x:v>
      </x:c>
      <x:c r="J573" s="289" t="n">
        <x:v>0</x:v>
      </x:c>
      <x:c r="K573" s="289" t="n">
        <x:v>2</x:v>
      </x:c>
      <x:c r="L573" s="289" t="n">
        <x:v>5</x:v>
      </x:c>
      <x:c r="M573" s="289" t="n">
        <x:v>6592</x:v>
      </x:c>
      <x:c r="N573" s="289" t="n">
        <x:v>6592</x:v>
      </x:c>
      <x:c r="O573" s="289" t="n">
        <x:v>6592</x:v>
      </x:c>
      <x:c r="P573" s="292"/>
      <x:c r="Q573" s="292" t="str">
        <x:v>candidate-preflight-passed</x:v>
      </x:c>
      <x:c r="R573" s="292" t="str"/>
      <x:c r="S573" s="292" t="str">
        <x:v>玄渊二十套全装备代码总表.xlsx</x:v>
      </x:c>
      <x:c r="T573" s="292" t="str">
        <x:v>玄渊20套全装备视觉候选；Items/StateItem/DnItems三库同码；属性待策划填写；OverLap=2; Expand1=5</x:v>
      </x:c>
      <x:c r="U573" t="str">
        <x:f>IF(COUNTIF($B$2:$B$1076,B573)&gt;1,"重复","")</x:f>
      </x:c>
      <x:c r="V573" t="str">
        <x:f>IF(AND(OR(M573="",M573=B573),OR(N573="",N573=B573),OR(O573="",O573=B573)),"通过","不一致")</x:f>
        <x:v>通过</x:v>
      </x:c>
    </x:row>
    <x:row r="574" ht="22" customHeight="1">
      <x:c r="A574" s="289" t="n">
        <x:v>573</x:v>
      </x:c>
      <x:c r="B574" s="289" t="n">
        <x:v>6593</x:v>
      </x:c>
      <x:c r="C574" s="290" t="str">
        <x:v>血月荆棘·血痕</x:v>
      </x:c>
      <x:c r="D574" s="290" t="str">
        <x:v>血月荆棘</x:v>
      </x:c>
      <x:c r="E574" s="290" t="n">
        <x:v>1</x:v>
      </x:c>
      <x:c r="F574" s="290" t="str">
        <x:v>首饰盒6</x:v>
      </x:c>
      <x:c r="G574" s="289" t="n">
        <x:v>22</x:v>
      </x:c>
      <x:c r="H574" s="289" t="n">
        <x:v>35</x:v>
      </x:c>
      <x:c r="I574" s="289" t="n">
        <x:v>6593</x:v>
      </x:c>
      <x:c r="J574" s="289" t="n">
        <x:v>0</x:v>
      </x:c>
      <x:c r="K574" s="289" t="n">
        <x:v>2</x:v>
      </x:c>
      <x:c r="L574" s="289" t="n">
        <x:v>6</x:v>
      </x:c>
      <x:c r="M574" s="289" t="n">
        <x:v>6593</x:v>
      </x:c>
      <x:c r="N574" s="289" t="n">
        <x:v>6593</x:v>
      </x:c>
      <x:c r="O574" s="289" t="n">
        <x:v>6593</x:v>
      </x:c>
      <x:c r="P574" s="292"/>
      <x:c r="Q574" s="292" t="str">
        <x:v>candidate-preflight-passed</x:v>
      </x:c>
      <x:c r="R574" s="292" t="str"/>
      <x:c r="S574" s="292" t="str">
        <x:v>玄渊二十套全装备代码总表.xlsx</x:v>
      </x:c>
      <x:c r="T574" s="292" t="str">
        <x:v>玄渊20套全装备视觉候选；Items/StateItem/DnItems三库同码；属性待策划填写；OverLap=2; Expand1=6</x:v>
      </x:c>
      <x:c r="U574" t="str">
        <x:f>IF(COUNTIF($B$2:$B$1076,B574)&gt;1,"重复","")</x:f>
      </x:c>
      <x:c r="V574" t="str">
        <x:f>IF(AND(OR(M574="",M574=B574),OR(N574="",N574=B574),OR(O574="",O574=B574)),"通过","不一致")</x:f>
        <x:v>通过</x:v>
      </x:c>
    </x:row>
    <x:row r="575" ht="22" customHeight="1">
      <x:c r="A575" s="289" t="n">
        <x:v>574</x:v>
      </x:c>
      <x:c r="B575" s="289" t="n">
        <x:v>6594</x:v>
      </x:c>
      <x:c r="C575" s="290" t="str">
        <x:v>血月荆棘·血痕</x:v>
      </x:c>
      <x:c r="D575" s="290" t="str">
        <x:v>血月荆棘</x:v>
      </x:c>
      <x:c r="E575" s="290" t="n">
        <x:v>1</x:v>
      </x:c>
      <x:c r="F575" s="290" t="str">
        <x:v>生肖1</x:v>
      </x:c>
      <x:c r="G575" s="289" t="n">
        <x:v>22</x:v>
      </x:c>
      <x:c r="H575" s="289" t="n">
        <x:v>40</x:v>
      </x:c>
      <x:c r="I575" s="289" t="n">
        <x:v>6594</x:v>
      </x:c>
      <x:c r="J575" s="289" t="n">
        <x:v>0</x:v>
      </x:c>
      <x:c r="K575" s="289" t="n">
        <x:v>4</x:v>
      </x:c>
      <x:c r="L575" s="289" t="n">
        <x:v>1</x:v>
      </x:c>
      <x:c r="M575" s="289" t="n">
        <x:v>6594</x:v>
      </x:c>
      <x:c r="N575" s="289" t="n">
        <x:v>6594</x:v>
      </x:c>
      <x:c r="O575" s="289" t="n">
        <x:v>6594</x:v>
      </x:c>
      <x:c r="P575" s="292"/>
      <x:c r="Q575" s="292" t="str">
        <x:v>candidate-preflight-passed</x:v>
      </x:c>
      <x:c r="R575" s="292" t="str"/>
      <x:c r="S575" s="292" t="str">
        <x:v>玄渊二十套全装备代码总表.xlsx</x:v>
      </x:c>
      <x:c r="T575" s="292" t="str">
        <x:v>玄渊20套全装备视觉候选；Items/StateItem/DnItems三库同码；属性待策划填写；OverLap=4; Expand1=1</x:v>
      </x:c>
      <x:c r="U575" t="str">
        <x:f>IF(COUNTIF($B$2:$B$1076,B575)&gt;1,"重复","")</x:f>
      </x:c>
      <x:c r="V575" t="str">
        <x:f>IF(AND(OR(M575="",M575=B575),OR(N575="",N575=B575),OR(O575="",O575=B575)),"通过","不一致")</x:f>
        <x:v>通过</x:v>
      </x:c>
    </x:row>
    <x:row r="576" ht="22" customHeight="1">
      <x:c r="A576" s="289" t="n">
        <x:v>575</x:v>
      </x:c>
      <x:c r="B576" s="289" t="n">
        <x:v>6595</x:v>
      </x:c>
      <x:c r="C576" s="290" t="str">
        <x:v>血月荆棘·血痕</x:v>
      </x:c>
      <x:c r="D576" s="290" t="str">
        <x:v>血月荆棘</x:v>
      </x:c>
      <x:c r="E576" s="290" t="n">
        <x:v>1</x:v>
      </x:c>
      <x:c r="F576" s="290" t="str">
        <x:v>生肖2</x:v>
      </x:c>
      <x:c r="G576" s="289" t="n">
        <x:v>22</x:v>
      </x:c>
      <x:c r="H576" s="289" t="n">
        <x:v>41</x:v>
      </x:c>
      <x:c r="I576" s="289" t="n">
        <x:v>6595</x:v>
      </x:c>
      <x:c r="J576" s="289" t="n">
        <x:v>0</x:v>
      </x:c>
      <x:c r="K576" s="289" t="n">
        <x:v>4</x:v>
      </x:c>
      <x:c r="L576" s="289" t="n">
        <x:v>2</x:v>
      </x:c>
      <x:c r="M576" s="289" t="n">
        <x:v>6595</x:v>
      </x:c>
      <x:c r="N576" s="289" t="n">
        <x:v>6595</x:v>
      </x:c>
      <x:c r="O576" s="289" t="n">
        <x:v>6595</x:v>
      </x:c>
      <x:c r="P576" s="292"/>
      <x:c r="Q576" s="292" t="str">
        <x:v>candidate-preflight-passed</x:v>
      </x:c>
      <x:c r="R576" s="292" t="str"/>
      <x:c r="S576" s="292" t="str">
        <x:v>玄渊二十套全装备代码总表.xlsx</x:v>
      </x:c>
      <x:c r="T576" s="292" t="str">
        <x:v>玄渊20套全装备视觉候选；Items/StateItem/DnItems三库同码；属性待策划填写；OverLap=4; Expand1=2</x:v>
      </x:c>
      <x:c r="U576" t="str">
        <x:f>IF(COUNTIF($B$2:$B$1076,B576)&gt;1,"重复","")</x:f>
      </x:c>
      <x:c r="V576" t="str">
        <x:f>IF(AND(OR(M576="",M576=B576),OR(N576="",N576=B576),OR(O576="",O576=B576)),"通过","不一致")</x:f>
        <x:v>通过</x:v>
      </x:c>
    </x:row>
    <x:row r="577" ht="22" customHeight="1">
      <x:c r="A577" s="289" t="n">
        <x:v>576</x:v>
      </x:c>
      <x:c r="B577" s="289" t="n">
        <x:v>6596</x:v>
      </x:c>
      <x:c r="C577" s="290" t="str">
        <x:v>血月荆棘·血痕</x:v>
      </x:c>
      <x:c r="D577" s="290" t="str">
        <x:v>血月荆棘</x:v>
      </x:c>
      <x:c r="E577" s="290" t="n">
        <x:v>1</x:v>
      </x:c>
      <x:c r="F577" s="290" t="str">
        <x:v>生肖3</x:v>
      </x:c>
      <x:c r="G577" s="289" t="n">
        <x:v>22</x:v>
      </x:c>
      <x:c r="H577" s="289" t="n">
        <x:v>42</x:v>
      </x:c>
      <x:c r="I577" s="289" t="n">
        <x:v>6596</x:v>
      </x:c>
      <x:c r="J577" s="289" t="n">
        <x:v>0</x:v>
      </x:c>
      <x:c r="K577" s="289" t="n">
        <x:v>4</x:v>
      </x:c>
      <x:c r="L577" s="289" t="n">
        <x:v>3</x:v>
      </x:c>
      <x:c r="M577" s="289" t="n">
        <x:v>6596</x:v>
      </x:c>
      <x:c r="N577" s="289" t="n">
        <x:v>6596</x:v>
      </x:c>
      <x:c r="O577" s="289" t="n">
        <x:v>6596</x:v>
      </x:c>
      <x:c r="P577" s="292"/>
      <x:c r="Q577" s="292" t="str">
        <x:v>candidate-preflight-passed</x:v>
      </x:c>
      <x:c r="R577" s="292" t="str"/>
      <x:c r="S577" s="292" t="str">
        <x:v>玄渊二十套全装备代码总表.xlsx</x:v>
      </x:c>
      <x:c r="T577" s="292" t="str">
        <x:v>玄渊20套全装备视觉候选；Items/StateItem/DnItems三库同码；属性待策划填写；OverLap=4; Expand1=3</x:v>
      </x:c>
      <x:c r="U577" t="str">
        <x:f>IF(COUNTIF($B$2:$B$1076,B577)&gt;1,"重复","")</x:f>
      </x:c>
      <x:c r="V577" t="str">
        <x:f>IF(AND(OR(M577="",M577=B577),OR(N577="",N577=B577),OR(O577="",O577=B577)),"通过","不一致")</x:f>
        <x:v>通过</x:v>
      </x:c>
    </x:row>
    <x:row r="578" ht="22" customHeight="1">
      <x:c r="A578" s="289" t="n">
        <x:v>577</x:v>
      </x:c>
      <x:c r="B578" s="289" t="n">
        <x:v>6597</x:v>
      </x:c>
      <x:c r="C578" s="290" t="str">
        <x:v>血月荆棘·血痕</x:v>
      </x:c>
      <x:c r="D578" s="290" t="str">
        <x:v>血月荆棘</x:v>
      </x:c>
      <x:c r="E578" s="290" t="n">
        <x:v>1</x:v>
      </x:c>
      <x:c r="F578" s="290" t="str">
        <x:v>生肖4</x:v>
      </x:c>
      <x:c r="G578" s="289" t="n">
        <x:v>22</x:v>
      </x:c>
      <x:c r="H578" s="289" t="n">
        <x:v>43</x:v>
      </x:c>
      <x:c r="I578" s="289" t="n">
        <x:v>6597</x:v>
      </x:c>
      <x:c r="J578" s="289" t="n">
        <x:v>0</x:v>
      </x:c>
      <x:c r="K578" s="289" t="n">
        <x:v>4</x:v>
      </x:c>
      <x:c r="L578" s="289" t="n">
        <x:v>4</x:v>
      </x:c>
      <x:c r="M578" s="289" t="n">
        <x:v>6597</x:v>
      </x:c>
      <x:c r="N578" s="289" t="n">
        <x:v>6597</x:v>
      </x:c>
      <x:c r="O578" s="289" t="n">
        <x:v>6597</x:v>
      </x:c>
      <x:c r="P578" s="292"/>
      <x:c r="Q578" s="292" t="str">
        <x:v>candidate-preflight-passed</x:v>
      </x:c>
      <x:c r="R578" s="292" t="str"/>
      <x:c r="S578" s="292" t="str">
        <x:v>玄渊二十套全装备代码总表.xlsx</x:v>
      </x:c>
      <x:c r="T578" s="292" t="str">
        <x:v>玄渊20套全装备视觉候选；Items/StateItem/DnItems三库同码；属性待策划填写；OverLap=4; Expand1=4</x:v>
      </x:c>
      <x:c r="U578" t="str">
        <x:f>IF(COUNTIF($B$2:$B$1076,B578)&gt;1,"重复","")</x:f>
      </x:c>
      <x:c r="V578" t="str">
        <x:f>IF(AND(OR(M578="",M578=B578),OR(N578="",N578=B578),OR(O578="",O578=B578)),"通过","不一致")</x:f>
        <x:v>通过</x:v>
      </x:c>
    </x:row>
    <x:row r="579" ht="22" customHeight="1">
      <x:c r="A579" s="289" t="n">
        <x:v>578</x:v>
      </x:c>
      <x:c r="B579" s="289" t="n">
        <x:v>6598</x:v>
      </x:c>
      <x:c r="C579" s="290" t="str">
        <x:v>血月荆棘·血痕</x:v>
      </x:c>
      <x:c r="D579" s="290" t="str">
        <x:v>血月荆棘</x:v>
      </x:c>
      <x:c r="E579" s="290" t="n">
        <x:v>1</x:v>
      </x:c>
      <x:c r="F579" s="290" t="str">
        <x:v>生肖5</x:v>
      </x:c>
      <x:c r="G579" s="289" t="n">
        <x:v>22</x:v>
      </x:c>
      <x:c r="H579" s="289" t="n">
        <x:v>44</x:v>
      </x:c>
      <x:c r="I579" s="289" t="n">
        <x:v>6598</x:v>
      </x:c>
      <x:c r="J579" s="289" t="n">
        <x:v>0</x:v>
      </x:c>
      <x:c r="K579" s="289" t="n">
        <x:v>4</x:v>
      </x:c>
      <x:c r="L579" s="289" t="n">
        <x:v>5</x:v>
      </x:c>
      <x:c r="M579" s="289" t="n">
        <x:v>6598</x:v>
      </x:c>
      <x:c r="N579" s="289" t="n">
        <x:v>6598</x:v>
      </x:c>
      <x:c r="O579" s="289" t="n">
        <x:v>6598</x:v>
      </x:c>
      <x:c r="P579" s="292"/>
      <x:c r="Q579" s="292" t="str">
        <x:v>candidate-preflight-passed</x:v>
      </x:c>
      <x:c r="R579" s="292" t="str"/>
      <x:c r="S579" s="292" t="str">
        <x:v>玄渊二十套全装备代码总表.xlsx</x:v>
      </x:c>
      <x:c r="T579" s="292" t="str">
        <x:v>玄渊20套全装备视觉候选；Items/StateItem/DnItems三库同码；属性待策划填写；OverLap=4; Expand1=5</x:v>
      </x:c>
      <x:c r="U579" t="str">
        <x:f>IF(COUNTIF($B$2:$B$1076,B579)&gt;1,"重复","")</x:f>
      </x:c>
      <x:c r="V579" t="str">
        <x:f>IF(AND(OR(M579="",M579=B579),OR(N579="",N579=B579),OR(O579="",O579=B579)),"通过","不一致")</x:f>
        <x:v>通过</x:v>
      </x:c>
    </x:row>
    <x:row r="580" ht="22" customHeight="1">
      <x:c r="A580" s="289" t="n">
        <x:v>579</x:v>
      </x:c>
      <x:c r="B580" s="289" t="n">
        <x:v>6599</x:v>
      </x:c>
      <x:c r="C580" s="290" t="str">
        <x:v>血月荆棘·血痕</x:v>
      </x:c>
      <x:c r="D580" s="290" t="str">
        <x:v>血月荆棘</x:v>
      </x:c>
      <x:c r="E580" s="290" t="n">
        <x:v>1</x:v>
      </x:c>
      <x:c r="F580" s="290" t="str">
        <x:v>生肖6</x:v>
      </x:c>
      <x:c r="G580" s="289" t="n">
        <x:v>22</x:v>
      </x:c>
      <x:c r="H580" s="289" t="n">
        <x:v>45</x:v>
      </x:c>
      <x:c r="I580" s="289" t="n">
        <x:v>6599</x:v>
      </x:c>
      <x:c r="J580" s="289" t="n">
        <x:v>0</x:v>
      </x:c>
      <x:c r="K580" s="289" t="n">
        <x:v>4</x:v>
      </x:c>
      <x:c r="L580" s="289" t="n">
        <x:v>6</x:v>
      </x:c>
      <x:c r="M580" s="289" t="n">
        <x:v>6599</x:v>
      </x:c>
      <x:c r="N580" s="289" t="n">
        <x:v>6599</x:v>
      </x:c>
      <x:c r="O580" s="289" t="n">
        <x:v>6599</x:v>
      </x:c>
      <x:c r="P580" s="292"/>
      <x:c r="Q580" s="292" t="str">
        <x:v>candidate-preflight-passed</x:v>
      </x:c>
      <x:c r="R580" s="292" t="str"/>
      <x:c r="S580" s="292" t="str">
        <x:v>玄渊二十套全装备代码总表.xlsx</x:v>
      </x:c>
      <x:c r="T580" s="292" t="str">
        <x:v>玄渊20套全装备视觉候选；Items/StateItem/DnItems三库同码；属性待策划填写；OverLap=4; Expand1=6</x:v>
      </x:c>
      <x:c r="U580" t="str">
        <x:f>IF(COUNTIF($B$2:$B$1076,B580)&gt;1,"重复","")</x:f>
      </x:c>
      <x:c r="V580" t="str">
        <x:f>IF(AND(OR(M580="",M580=B580),OR(N580="",N580=B580),OR(O580="",O580=B580)),"通过","不一致")</x:f>
        <x:v>通过</x:v>
      </x:c>
    </x:row>
    <x:row r="581" ht="22" customHeight="1">
      <x:c r="A581" s="289" t="n">
        <x:v>580</x:v>
      </x:c>
      <x:c r="B581" s="289" t="n">
        <x:v>6600</x:v>
      </x:c>
      <x:c r="C581" s="290" t="str">
        <x:v>血月荆棘·血痕</x:v>
      </x:c>
      <x:c r="D581" s="290" t="str">
        <x:v>血月荆棘</x:v>
      </x:c>
      <x:c r="E581" s="290" t="n">
        <x:v>1</x:v>
      </x:c>
      <x:c r="F581" s="290" t="str">
        <x:v>生肖7</x:v>
      </x:c>
      <x:c r="G581" s="289" t="n">
        <x:v>22</x:v>
      </x:c>
      <x:c r="H581" s="289" t="n">
        <x:v>46</x:v>
      </x:c>
      <x:c r="I581" s="289" t="n">
        <x:v>6600</x:v>
      </x:c>
      <x:c r="J581" s="289" t="n">
        <x:v>0</x:v>
      </x:c>
      <x:c r="K581" s="289" t="n">
        <x:v>4</x:v>
      </x:c>
      <x:c r="L581" s="289" t="n">
        <x:v>7</x:v>
      </x:c>
      <x:c r="M581" s="289" t="n">
        <x:v>6600</x:v>
      </x:c>
      <x:c r="N581" s="289" t="n">
        <x:v>6600</x:v>
      </x:c>
      <x:c r="O581" s="289" t="n">
        <x:v>6600</x:v>
      </x:c>
      <x:c r="P581" s="292"/>
      <x:c r="Q581" s="292" t="str">
        <x:v>candidate-preflight-passed</x:v>
      </x:c>
      <x:c r="R581" s="292" t="str"/>
      <x:c r="S581" s="292" t="str">
        <x:v>玄渊二十套全装备代码总表.xlsx</x:v>
      </x:c>
      <x:c r="T581" s="292" t="str">
        <x:v>玄渊20套全装备视觉候选；Items/StateItem/DnItems三库同码；属性待策划填写；OverLap=4; Expand1=7</x:v>
      </x:c>
      <x:c r="U581" t="str">
        <x:f>IF(COUNTIF($B$2:$B$1076,B581)&gt;1,"重复","")</x:f>
      </x:c>
      <x:c r="V581" t="str">
        <x:f>IF(AND(OR(M581="",M581=B581),OR(N581="",N581=B581),OR(O581="",O581=B581)),"通过","不一致")</x:f>
        <x:v>通过</x:v>
      </x:c>
    </x:row>
    <x:row r="582" ht="22" customHeight="1">
      <x:c r="A582" s="289" t="n">
        <x:v>581</x:v>
      </x:c>
      <x:c r="B582" s="289" t="n">
        <x:v>6601</x:v>
      </x:c>
      <x:c r="C582" s="290" t="str">
        <x:v>血月荆棘·血痕</x:v>
      </x:c>
      <x:c r="D582" s="290" t="str">
        <x:v>血月荆棘</x:v>
      </x:c>
      <x:c r="E582" s="290" t="n">
        <x:v>1</x:v>
      </x:c>
      <x:c r="F582" s="290" t="str">
        <x:v>生肖8</x:v>
      </x:c>
      <x:c r="G582" s="289" t="n">
        <x:v>22</x:v>
      </x:c>
      <x:c r="H582" s="289" t="n">
        <x:v>47</x:v>
      </x:c>
      <x:c r="I582" s="289" t="n">
        <x:v>6601</x:v>
      </x:c>
      <x:c r="J582" s="289" t="n">
        <x:v>0</x:v>
      </x:c>
      <x:c r="K582" s="289" t="n">
        <x:v>4</x:v>
      </x:c>
      <x:c r="L582" s="289" t="n">
        <x:v>8</x:v>
      </x:c>
      <x:c r="M582" s="289" t="n">
        <x:v>6601</x:v>
      </x:c>
      <x:c r="N582" s="289" t="n">
        <x:v>6601</x:v>
      </x:c>
      <x:c r="O582" s="289" t="n">
        <x:v>6601</x:v>
      </x:c>
      <x:c r="P582" s="292"/>
      <x:c r="Q582" s="292" t="str">
        <x:v>candidate-preflight-passed</x:v>
      </x:c>
      <x:c r="R582" s="292" t="str"/>
      <x:c r="S582" s="292" t="str">
        <x:v>玄渊二十套全装备代码总表.xlsx</x:v>
      </x:c>
      <x:c r="T582" s="292" t="str">
        <x:v>玄渊20套全装备视觉候选；Items/StateItem/DnItems三库同码；属性待策划填写；OverLap=4; Expand1=8</x:v>
      </x:c>
      <x:c r="U582" t="str">
        <x:f>IF(COUNTIF($B$2:$B$1076,B582)&gt;1,"重复","")</x:f>
      </x:c>
      <x:c r="V582" t="str">
        <x:f>IF(AND(OR(M582="",M582=B582),OR(N582="",N582=B582),OR(O582="",O582=B582)),"通过","不一致")</x:f>
        <x:v>通过</x:v>
      </x:c>
    </x:row>
    <x:row r="583" ht="22" customHeight="1">
      <x:c r="A583" s="289" t="n">
        <x:v>582</x:v>
      </x:c>
      <x:c r="B583" s="289" t="n">
        <x:v>6602</x:v>
      </x:c>
      <x:c r="C583" s="290" t="str">
        <x:v>血月荆棘·血痕</x:v>
      </x:c>
      <x:c r="D583" s="290" t="str">
        <x:v>血月荆棘</x:v>
      </x:c>
      <x:c r="E583" s="290" t="n">
        <x:v>1</x:v>
      </x:c>
      <x:c r="F583" s="290" t="str">
        <x:v>生肖9</x:v>
      </x:c>
      <x:c r="G583" s="289" t="n">
        <x:v>22</x:v>
      </x:c>
      <x:c r="H583" s="289" t="n">
        <x:v>48</x:v>
      </x:c>
      <x:c r="I583" s="289" t="n">
        <x:v>6602</x:v>
      </x:c>
      <x:c r="J583" s="289" t="n">
        <x:v>0</x:v>
      </x:c>
      <x:c r="K583" s="289" t="n">
        <x:v>4</x:v>
      </x:c>
      <x:c r="L583" s="289" t="n">
        <x:v>9</x:v>
      </x:c>
      <x:c r="M583" s="289" t="n">
        <x:v>6602</x:v>
      </x:c>
      <x:c r="N583" s="289" t="n">
        <x:v>6602</x:v>
      </x:c>
      <x:c r="O583" s="289" t="n">
        <x:v>6602</x:v>
      </x:c>
      <x:c r="P583" s="292"/>
      <x:c r="Q583" s="292" t="str">
        <x:v>candidate-preflight-passed</x:v>
      </x:c>
      <x:c r="R583" s="292" t="str"/>
      <x:c r="S583" s="292" t="str">
        <x:v>玄渊二十套全装备代码总表.xlsx</x:v>
      </x:c>
      <x:c r="T583" s="292" t="str">
        <x:v>玄渊20套全装备视觉候选；Items/StateItem/DnItems三库同码；属性待策划填写；OverLap=4; Expand1=9</x:v>
      </x:c>
      <x:c r="U583" t="str">
        <x:f>IF(COUNTIF($B$2:$B$1076,B583)&gt;1,"重复","")</x:f>
      </x:c>
      <x:c r="V583" t="str">
        <x:f>IF(AND(OR(M583="",M583=B583),OR(N583="",N583=B583),OR(O583="",O583=B583)),"通过","不一致")</x:f>
        <x:v>通过</x:v>
      </x:c>
    </x:row>
    <x:row r="584" ht="22" customHeight="1">
      <x:c r="A584" s="289" t="n">
        <x:v>583</x:v>
      </x:c>
      <x:c r="B584" s="289" t="n">
        <x:v>6603</x:v>
      </x:c>
      <x:c r="C584" s="290" t="str">
        <x:v>血月荆棘·血痕</x:v>
      </x:c>
      <x:c r="D584" s="290" t="str">
        <x:v>血月荆棘</x:v>
      </x:c>
      <x:c r="E584" s="290" t="n">
        <x:v>1</x:v>
      </x:c>
      <x:c r="F584" s="290" t="str">
        <x:v>生肖10</x:v>
      </x:c>
      <x:c r="G584" s="289" t="n">
        <x:v>22</x:v>
      </x:c>
      <x:c r="H584" s="289" t="n">
        <x:v>49</x:v>
      </x:c>
      <x:c r="I584" s="289" t="n">
        <x:v>6603</x:v>
      </x:c>
      <x:c r="J584" s="289" t="n">
        <x:v>0</x:v>
      </x:c>
      <x:c r="K584" s="289" t="n">
        <x:v>4</x:v>
      </x:c>
      <x:c r="L584" s="289" t="n">
        <x:v>10</x:v>
      </x:c>
      <x:c r="M584" s="289" t="n">
        <x:v>6603</x:v>
      </x:c>
      <x:c r="N584" s="289" t="n">
        <x:v>6603</x:v>
      </x:c>
      <x:c r="O584" s="289" t="n">
        <x:v>6603</x:v>
      </x:c>
      <x:c r="P584" s="292"/>
      <x:c r="Q584" s="292" t="str">
        <x:v>candidate-preflight-passed</x:v>
      </x:c>
      <x:c r="R584" s="292" t="str"/>
      <x:c r="S584" s="292" t="str">
        <x:v>玄渊二十套全装备代码总表.xlsx</x:v>
      </x:c>
      <x:c r="T584" s="292" t="str">
        <x:v>玄渊20套全装备视觉候选；Items/StateItem/DnItems三库同码；属性待策划填写；OverLap=4; Expand1=10</x:v>
      </x:c>
      <x:c r="U584" t="str">
        <x:f>IF(COUNTIF($B$2:$B$1076,B584)&gt;1,"重复","")</x:f>
      </x:c>
      <x:c r="V584" t="str">
        <x:f>IF(AND(OR(M584="",M584=B584),OR(N584="",N584=B584),OR(O584="",O584=B584)),"通过","不一致")</x:f>
        <x:v>通过</x:v>
      </x:c>
    </x:row>
    <x:row r="585" ht="22" customHeight="1">
      <x:c r="A585" s="289" t="n">
        <x:v>584</x:v>
      </x:c>
      <x:c r="B585" s="289" t="n">
        <x:v>6604</x:v>
      </x:c>
      <x:c r="C585" s="290" t="str">
        <x:v>血月荆棘·血痕</x:v>
      </x:c>
      <x:c r="D585" s="290" t="str">
        <x:v>血月荆棘</x:v>
      </x:c>
      <x:c r="E585" s="290" t="n">
        <x:v>1</x:v>
      </x:c>
      <x:c r="F585" s="290" t="str">
        <x:v>生肖11</x:v>
      </x:c>
      <x:c r="G585" s="289" t="n">
        <x:v>22</x:v>
      </x:c>
      <x:c r="H585" s="289" t="n">
        <x:v>50</x:v>
      </x:c>
      <x:c r="I585" s="289" t="n">
        <x:v>6604</x:v>
      </x:c>
      <x:c r="J585" s="289" t="n">
        <x:v>0</x:v>
      </x:c>
      <x:c r="K585" s="289" t="n">
        <x:v>4</x:v>
      </x:c>
      <x:c r="L585" s="289" t="n">
        <x:v>11</x:v>
      </x:c>
      <x:c r="M585" s="289" t="n">
        <x:v>6604</x:v>
      </x:c>
      <x:c r="N585" s="289" t="n">
        <x:v>6604</x:v>
      </x:c>
      <x:c r="O585" s="289" t="n">
        <x:v>6604</x:v>
      </x:c>
      <x:c r="P585" s="292"/>
      <x:c r="Q585" s="292" t="str">
        <x:v>candidate-preflight-passed</x:v>
      </x:c>
      <x:c r="R585" s="292" t="str"/>
      <x:c r="S585" s="292" t="str">
        <x:v>玄渊二十套全装备代码总表.xlsx</x:v>
      </x:c>
      <x:c r="T585" s="292" t="str">
        <x:v>玄渊20套全装备视觉候选；Items/StateItem/DnItems三库同码；属性待策划填写；OverLap=4; Expand1=11</x:v>
      </x:c>
      <x:c r="U585" t="str">
        <x:f>IF(COUNTIF($B$2:$B$1076,B585)&gt;1,"重复","")</x:f>
      </x:c>
      <x:c r="V585" t="str">
        <x:f>IF(AND(OR(M585="",M585=B585),OR(N585="",N585=B585),OR(O585="",O585=B585)),"通过","不一致")</x:f>
        <x:v>通过</x:v>
      </x:c>
    </x:row>
    <x:row r="586" ht="22" customHeight="1">
      <x:c r="A586" s="289" t="n">
        <x:v>585</x:v>
      </x:c>
      <x:c r="B586" s="289" t="n">
        <x:v>6605</x:v>
      </x:c>
      <x:c r="C586" s="290" t="str">
        <x:v>血月荆棘·血痕</x:v>
      </x:c>
      <x:c r="D586" s="290" t="str">
        <x:v>血月荆棘</x:v>
      </x:c>
      <x:c r="E586" s="290" t="n">
        <x:v>1</x:v>
      </x:c>
      <x:c r="F586" s="290" t="str">
        <x:v>生肖12</x:v>
      </x:c>
      <x:c r="G586" s="289" t="n">
        <x:v>22</x:v>
      </x:c>
      <x:c r="H586" s="289" t="n">
        <x:v>51</x:v>
      </x:c>
      <x:c r="I586" s="289" t="n">
        <x:v>6605</x:v>
      </x:c>
      <x:c r="J586" s="289" t="n">
        <x:v>0</x:v>
      </x:c>
      <x:c r="K586" s="289" t="n">
        <x:v>4</x:v>
      </x:c>
      <x:c r="L586" s="289" t="n">
        <x:v>12</x:v>
      </x:c>
      <x:c r="M586" s="289" t="n">
        <x:v>6605</x:v>
      </x:c>
      <x:c r="N586" s="289" t="n">
        <x:v>6605</x:v>
      </x:c>
      <x:c r="O586" s="289" t="n">
        <x:v>6605</x:v>
      </x:c>
      <x:c r="P586" s="292"/>
      <x:c r="Q586" s="292" t="str">
        <x:v>candidate-preflight-passed</x:v>
      </x:c>
      <x:c r="R586" s="292" t="str"/>
      <x:c r="S586" s="292" t="str">
        <x:v>玄渊二十套全装备代码总表.xlsx</x:v>
      </x:c>
      <x:c r="T586" s="292" t="str">
        <x:v>玄渊20套全装备视觉候选；Items/StateItem/DnItems三库同码；属性待策划填写；OverLap=4; Expand1=12</x:v>
      </x:c>
      <x:c r="U586" t="str">
        <x:f>IF(COUNTIF($B$2:$B$1076,B586)&gt;1,"重复","")</x:f>
      </x:c>
      <x:c r="V586" t="str">
        <x:f>IF(AND(OR(M586="",M586=B586),OR(N586="",N586=B586),OR(O586="",O586=B586)),"通过","不一致")</x:f>
        <x:v>通过</x:v>
      </x:c>
    </x:row>
    <x:row r="587" ht="22" customHeight="1">
      <x:c r="A587" s="289" t="n">
        <x:v>586</x:v>
      </x:c>
      <x:c r="B587" s="289" t="n">
        <x:v>6606</x:v>
      </x:c>
      <x:c r="C587" s="290" t="str">
        <x:v>血月荆棘·荆冠</x:v>
      </x:c>
      <x:c r="D587" s="290" t="str">
        <x:v>血月荆棘</x:v>
      </x:c>
      <x:c r="E587" s="290" t="n">
        <x:v>2</x:v>
      </x:c>
      <x:c r="F587" s="290" t="str">
        <x:v>武器</x:v>
      </x:c>
      <x:c r="G587" s="289" t="n">
        <x:v>5</x:v>
      </x:c>
      <x:c r="H587" s="289" t="n">
        <x:v>1</x:v>
      </x:c>
      <x:c r="I587" s="289" t="n">
        <x:v>6606</x:v>
      </x:c>
      <x:c r="J587" s="289" t="n">
        <x:v>22</x:v>
      </x:c>
      <x:c r="K587" s="289" t="n">
        <x:v>0</x:v>
      </x:c>
      <x:c r="L587" s="289" t="n">
        <x:v>0</x:v>
      </x:c>
      <x:c r="M587" s="289" t="n">
        <x:v>6606</x:v>
      </x:c>
      <x:c r="N587" s="289" t="n">
        <x:v>6606</x:v>
      </x:c>
      <x:c r="O587" s="289" t="n">
        <x:v>6606</x:v>
      </x:c>
      <x:c r="P587" s="292" t="str">
        <x:v>Weapon.wzl/wzx（复用现有真实动作）</x:v>
      </x:c>
      <x:c r="Q587" s="292" t="str">
        <x:v>candidate-preflight-passed</x:v>
      </x:c>
      <x:c r="R587" s="324" t="str">
        <x:v>C3-C10规划锁定：艾德统帅剑</x:v>
      </x:c>
      <x:c r="S587" s="292" t="str">
        <x:v>玄渊二十套全装备代码总表.xlsx</x:v>
      </x:c>
      <x:c r="T587" s="292" t="str">
        <x:v>玄渊20套全装备视觉候选；Items/StateItem/DnItems三库同码；属性待策划填写；Weapon Shape=22</x:v>
      </x:c>
      <x:c r="U587" t="str">
        <x:f>IF(COUNTIF($B$2:$B$1076,B587)&gt;1,"重复","")</x:f>
      </x:c>
      <x:c r="V587" t="str">
        <x:f>IF(AND(OR(M587="",M587=B587),OR(N587="",N587=B587),OR(O587="",O587=B587)),"通过","不一致")</x:f>
        <x:v>通过</x:v>
      </x:c>
    </x:row>
    <x:row r="588" ht="22" customHeight="1">
      <x:c r="A588" s="289" t="n">
        <x:v>587</x:v>
      </x:c>
      <x:c r="B588" s="289" t="n">
        <x:v>6607</x:v>
      </x:c>
      <x:c r="C588" s="290" t="str">
        <x:v>血月荆棘·荆冠</x:v>
      </x:c>
      <x:c r="D588" s="290" t="str">
        <x:v>血月荆棘</x:v>
      </x:c>
      <x:c r="E588" s="290" t="n">
        <x:v>2</x:v>
      </x:c>
      <x:c r="F588" s="290" t="str">
        <x:v>男衣服</x:v>
      </x:c>
      <x:c r="G588" s="289" t="n">
        <x:v>10</x:v>
      </x:c>
      <x:c r="H588" s="289" t="n">
        <x:v>0</x:v>
      </x:c>
      <x:c r="I588" s="289" t="n">
        <x:v>6607</x:v>
      </x:c>
      <x:c r="J588" s="289" t="n">
        <x:v>7</x:v>
      </x:c>
      <x:c r="K588" s="289" t="n">
        <x:v>0</x:v>
      </x:c>
      <x:c r="L588" s="289" t="n">
        <x:v>0</x:v>
      </x:c>
      <x:c r="M588" s="289" t="n">
        <x:v>6607</x:v>
      </x:c>
      <x:c r="N588" s="289" t="n">
        <x:v>6607</x:v>
      </x:c>
      <x:c r="O588" s="289" t="n">
        <x:v>6607</x:v>
      </x:c>
      <x:c r="P588" s="292" t="str">
        <x:v>Hum.wzl/wzx（复用现有真实动作）</x:v>
      </x:c>
      <x:c r="Q588" s="292" t="str">
        <x:v>candidate-preflight-passed</x:v>
      </x:c>
      <x:c r="R588" s="324" t="str">
        <x:v>C3-C10规划锁定：洛恩树心甲</x:v>
      </x:c>
      <x:c r="S588" s="292" t="str">
        <x:v>玄渊二十套全装备代码总表.xlsx</x:v>
      </x:c>
      <x:c r="T588" s="292" t="str">
        <x:v>玄渊20套全装备视觉候选；Items/StateItem/DnItems三库同码；属性待策划填写；Hum Shape=7</x:v>
      </x:c>
      <x:c r="U588" t="str">
        <x:f>IF(COUNTIF($B$2:$B$1076,B588)&gt;1,"重复","")</x:f>
      </x:c>
      <x:c r="V588" t="str">
        <x:f>IF(AND(OR(M588="",M588=B588),OR(N588="",N588=B588),OR(O588="",O588=B588)),"通过","不一致")</x:f>
        <x:v>通过</x:v>
      </x:c>
    </x:row>
    <x:row r="589" ht="22" customHeight="1">
      <x:c r="A589" s="289" t="n">
        <x:v>588</x:v>
      </x:c>
      <x:c r="B589" s="289" t="n">
        <x:v>6608</x:v>
      </x:c>
      <x:c r="C589" s="290" t="str">
        <x:v>血月荆棘·荆冠</x:v>
      </x:c>
      <x:c r="D589" s="290" t="str">
        <x:v>血月荆棘</x:v>
      </x:c>
      <x:c r="E589" s="290" t="n">
        <x:v>2</x:v>
      </x:c>
      <x:c r="F589" s="290" t="str">
        <x:v>女衣服</x:v>
      </x:c>
      <x:c r="G589" s="289" t="n">
        <x:v>11</x:v>
      </x:c>
      <x:c r="H589" s="289" t="n">
        <x:v>0</x:v>
      </x:c>
      <x:c r="I589" s="289" t="n">
        <x:v>6608</x:v>
      </x:c>
      <x:c r="J589" s="289" t="n">
        <x:v>7</x:v>
      </x:c>
      <x:c r="K589" s="289" t="n">
        <x:v>0</x:v>
      </x:c>
      <x:c r="L589" s="289" t="n">
        <x:v>0</x:v>
      </x:c>
      <x:c r="M589" s="289" t="n">
        <x:v>6608</x:v>
      </x:c>
      <x:c r="N589" s="289" t="n">
        <x:v>6608</x:v>
      </x:c>
      <x:c r="O589" s="289" t="n">
        <x:v>6608</x:v>
      </x:c>
      <x:c r="P589" s="292" t="str">
        <x:v>Hum.wzl/wzx（复用现有真实动作）</x:v>
      </x:c>
      <x:c r="Q589" s="292" t="str">
        <x:v>candidate-preflight-passed</x:v>
      </x:c>
      <x:c r="R589" s="292" t="str"/>
      <x:c r="S589" s="292" t="str">
        <x:v>玄渊二十套全装备代码总表.xlsx</x:v>
      </x:c>
      <x:c r="T589" s="292" t="str">
        <x:v>玄渊20套全装备视觉候选；Items/StateItem/DnItems三库同码；属性待策划填写；Hum Shape=7</x:v>
      </x:c>
      <x:c r="U589" t="str">
        <x:f>IF(COUNTIF($B$2:$B$1076,B589)&gt;1,"重复","")</x:f>
      </x:c>
      <x:c r="V589" t="str">
        <x:f>IF(AND(OR(M589="",M589=B589),OR(N589="",N589=B589),OR(O589="",O589=B589)),"通过","不一致")</x:f>
        <x:v>通过</x:v>
      </x:c>
    </x:row>
    <x:row r="590" ht="22" customHeight="1">
      <x:c r="A590" s="289" t="n">
        <x:v>589</x:v>
      </x:c>
      <x:c r="B590" s="289" t="n">
        <x:v>6609</x:v>
      </x:c>
      <x:c r="C590" s="290" t="str">
        <x:v>血月荆棘·荆冠</x:v>
      </x:c>
      <x:c r="D590" s="290" t="str">
        <x:v>血月荆棘</x:v>
      </x:c>
      <x:c r="E590" s="290" t="n">
        <x:v>2</x:v>
      </x:c>
      <x:c r="F590" s="290" t="str">
        <x:v>头盔</x:v>
      </x:c>
      <x:c r="G590" s="289" t="n">
        <x:v>15</x:v>
      </x:c>
      <x:c r="H590" s="289" t="n">
        <x:v>4</x:v>
      </x:c>
      <x:c r="I590" s="289" t="n">
        <x:v>6609</x:v>
      </x:c>
      <x:c r="J590" s="289" t="n">
        <x:v>0</x:v>
      </x:c>
      <x:c r="K590" s="289" t="n">
        <x:v>0</x:v>
      </x:c>
      <x:c r="L590" s="289" t="n">
        <x:v>0</x:v>
      </x:c>
      <x:c r="M590" s="289" t="n">
        <x:v>6609</x:v>
      </x:c>
      <x:c r="N590" s="289" t="n">
        <x:v>6609</x:v>
      </x:c>
      <x:c r="O590" s="289" t="n">
        <x:v>6609</x:v>
      </x:c>
      <x:c r="P590" s="292"/>
      <x:c r="Q590" s="292" t="str">
        <x:v>candidate-preflight-passed</x:v>
      </x:c>
      <x:c r="R590" s="324" t="str">
        <x:v>C3-C10规划锁定：回廊石盔</x:v>
      </x:c>
      <x:c r="S590" s="292" t="str">
        <x:v>玄渊二十套全装备代码总表.xlsx</x:v>
      </x:c>
      <x:c r="T590" s="292" t="str">
        <x:v>玄渊20套全装备视觉候选；Items/StateItem/DnItems三库同码；属性待策划填写</x:v>
      </x:c>
      <x:c r="U590" t="str">
        <x:f>IF(COUNTIF($B$2:$B$1076,B590)&gt;1,"重复","")</x:f>
      </x:c>
      <x:c r="V590" t="str">
        <x:f>IF(AND(OR(M590="",M590=B590),OR(N590="",N590=B590),OR(O590="",O590=B590)),"通过","不一致")</x:f>
        <x:v>通过</x:v>
      </x:c>
    </x:row>
    <x:row r="591" ht="22" customHeight="1">
      <x:c r="A591" s="289" t="n">
        <x:v>590</x:v>
      </x:c>
      <x:c r="B591" s="289" t="n">
        <x:v>6610</x:v>
      </x:c>
      <x:c r="C591" s="290" t="str">
        <x:v>血月荆棘·荆冠</x:v>
      </x:c>
      <x:c r="D591" s="290" t="str">
        <x:v>血月荆棘</x:v>
      </x:c>
      <x:c r="E591" s="290" t="n">
        <x:v>2</x:v>
      </x:c>
      <x:c r="F591" s="290" t="str">
        <x:v>面巾</x:v>
      </x:c>
      <x:c r="G591" s="289" t="n">
        <x:v>16</x:v>
      </x:c>
      <x:c r="H591" s="289" t="n">
        <x:v>13</x:v>
      </x:c>
      <x:c r="I591" s="289" t="n">
        <x:v>6610</x:v>
      </x:c>
      <x:c r="J591" s="289" t="n">
        <x:v>0</x:v>
      </x:c>
      <x:c r="K591" s="289" t="n">
        <x:v>0</x:v>
      </x:c>
      <x:c r="L591" s="289" t="n">
        <x:v>0</x:v>
      </x:c>
      <x:c r="M591" s="289" t="n">
        <x:v>6610</x:v>
      </x:c>
      <x:c r="N591" s="289" t="n">
        <x:v>6610</x:v>
      </x:c>
      <x:c r="O591" s="289" t="n">
        <x:v>6610</x:v>
      </x:c>
      <x:c r="P591" s="292"/>
      <x:c r="Q591" s="292" t="str">
        <x:v>candidate-preflight-passed</x:v>
      </x:c>
      <x:c r="R591" s="324" t="str">
        <x:v>C3-C10规划锁定：回声盗墓笠</x:v>
      </x:c>
      <x:c r="S591" s="292" t="str">
        <x:v>玄渊二十套全装备代码总表.xlsx</x:v>
      </x:c>
      <x:c r="T591" s="292" t="str">
        <x:v>玄渊20套全装备视觉候选；Items/StateItem/DnItems三库同码；属性待策划填写</x:v>
      </x:c>
      <x:c r="U591" t="str">
        <x:f>IF(COUNTIF($B$2:$B$1076,B591)&gt;1,"重复","")</x:f>
      </x:c>
      <x:c r="V591" t="str">
        <x:f>IF(AND(OR(M591="",M591=B591),OR(N591="",N591=B591),OR(O591="",O591=B591)),"通过","不一致")</x:f>
        <x:v>通过</x:v>
      </x:c>
    </x:row>
    <x:row r="592" ht="22" customHeight="1">
      <x:c r="A592" s="289" t="n">
        <x:v>591</x:v>
      </x:c>
      <x:c r="B592" s="289" t="n">
        <x:v>6611</x:v>
      </x:c>
      <x:c r="C592" s="290" t="str">
        <x:v>血月荆棘·荆冠</x:v>
      </x:c>
      <x:c r="D592" s="290" t="str">
        <x:v>血月荆棘</x:v>
      </x:c>
      <x:c r="E592" s="290" t="n">
        <x:v>2</x:v>
      </x:c>
      <x:c r="F592" s="290" t="str">
        <x:v>项链</x:v>
      </x:c>
      <x:c r="G592" s="289" t="n">
        <x:v>19</x:v>
      </x:c>
      <x:c r="H592" s="289" t="n">
        <x:v>3</x:v>
      </x:c>
      <x:c r="I592" s="289" t="n">
        <x:v>6611</x:v>
      </x:c>
      <x:c r="J592" s="289" t="n">
        <x:v>0</x:v>
      </x:c>
      <x:c r="K592" s="289" t="n">
        <x:v>0</x:v>
      </x:c>
      <x:c r="L592" s="289" t="n">
        <x:v>0</x:v>
      </x:c>
      <x:c r="M592" s="289" t="n">
        <x:v>6611</x:v>
      </x:c>
      <x:c r="N592" s="289" t="n">
        <x:v>6611</x:v>
      </x:c>
      <x:c r="O592" s="289" t="n">
        <x:v>6611</x:v>
      </x:c>
      <x:c r="P592" s="292"/>
      <x:c r="Q592" s="292" t="str">
        <x:v>candidate-preflight-passed</x:v>
      </x:c>
      <x:c r="R592" s="324" t="str">
        <x:v>C3-C10规划锁定：折戟铁链</x:v>
      </x:c>
      <x:c r="S592" s="292" t="str">
        <x:v>玄渊二十套全装备代码总表.xlsx</x:v>
      </x:c>
      <x:c r="T592" s="292" t="str">
        <x:v>玄渊20套全装备视觉候选；Items/StateItem/DnItems三库同码；属性待策划填写</x:v>
      </x:c>
      <x:c r="U592" t="str">
        <x:f>IF(COUNTIF($B$2:$B$1076,B592)&gt;1,"重复","")</x:f>
      </x:c>
      <x:c r="V592" t="str">
        <x:f>IF(AND(OR(M592="",M592=B592),OR(N592="",N592=B592),OR(O592="",O592=B592)),"通过","不一致")</x:f>
        <x:v>通过</x:v>
      </x:c>
    </x:row>
    <x:row r="593" ht="22" customHeight="1">
      <x:c r="A593" s="289" t="n">
        <x:v>592</x:v>
      </x:c>
      <x:c r="B593" s="289" t="n">
        <x:v>6612</x:v>
      </x:c>
      <x:c r="C593" s="290" t="str">
        <x:v>血月荆棘·荆冠</x:v>
      </x:c>
      <x:c r="D593" s="290" t="str">
        <x:v>血月荆棘</x:v>
      </x:c>
      <x:c r="E593" s="290" t="n">
        <x:v>2</x:v>
      </x:c>
      <x:c r="F593" s="290" t="str">
        <x:v>手镯</x:v>
      </x:c>
      <x:c r="G593" s="289" t="n">
        <x:v>26</x:v>
      </x:c>
      <x:c r="H593" s="289" t="n">
        <x:v>5</x:v>
      </x:c>
      <x:c r="I593" s="289" t="n">
        <x:v>6612</x:v>
      </x:c>
      <x:c r="J593" s="289" t="n">
        <x:v>0</x:v>
      </x:c>
      <x:c r="K593" s="289" t="n">
        <x:v>0</x:v>
      </x:c>
      <x:c r="L593" s="289" t="n">
        <x:v>0</x:v>
      </x:c>
      <x:c r="M593" s="289" t="n">
        <x:v>6612</x:v>
      </x:c>
      <x:c r="N593" s="289" t="n">
        <x:v>6612</x:v>
      </x:c>
      <x:c r="O593" s="289" t="n">
        <x:v>6612</x:v>
      </x:c>
      <x:c r="P593" s="292"/>
      <x:c r="Q593" s="292" t="str">
        <x:v>candidate-preflight-passed</x:v>
      </x:c>
      <x:c r="R593" s="324" t="str">
        <x:v>C3-C10规划锁定：圣露护腕</x:v>
      </x:c>
      <x:c r="S593" s="292" t="str">
        <x:v>玄渊二十套全装备代码总表.xlsx</x:v>
      </x:c>
      <x:c r="T593" s="292" t="str">
        <x:v>玄渊20套全装备视觉候选；Items/StateItem/DnItems三库同码；属性待策划填写</x:v>
      </x:c>
      <x:c r="U593" t="str">
        <x:f>IF(COUNTIF($B$2:$B$1076,B593)&gt;1,"重复","")</x:f>
      </x:c>
      <x:c r="V593" t="str">
        <x:f>IF(AND(OR(M593="",M593=B593),OR(N593="",N593=B593),OR(O593="",O593=B593)),"通过","不一致")</x:f>
        <x:v>通过</x:v>
      </x:c>
    </x:row>
    <x:row r="594" ht="22" customHeight="1">
      <x:c r="A594" s="289" t="n">
        <x:v>593</x:v>
      </x:c>
      <x:c r="B594" s="289" t="n">
        <x:v>6613</x:v>
      </x:c>
      <x:c r="C594" s="290" t="str">
        <x:v>血月荆棘·荆冠</x:v>
      </x:c>
      <x:c r="D594" s="290" t="str">
        <x:v>血月荆棘</x:v>
      </x:c>
      <x:c r="E594" s="290" t="n">
        <x:v>2</x:v>
      </x:c>
      <x:c r="F594" s="290" t="str">
        <x:v>戒指</x:v>
      </x:c>
      <x:c r="G594" s="289" t="n">
        <x:v>22</x:v>
      </x:c>
      <x:c r="H594" s="289" t="n">
        <x:v>7</x:v>
      </x:c>
      <x:c r="I594" s="289" t="n">
        <x:v>6613</x:v>
      </x:c>
      <x:c r="J594" s="289" t="n">
        <x:v>0</x:v>
      </x:c>
      <x:c r="K594" s="289" t="n">
        <x:v>0</x:v>
      </x:c>
      <x:c r="L594" s="289" t="n">
        <x:v>0</x:v>
      </x:c>
      <x:c r="M594" s="289" t="n">
        <x:v>6613</x:v>
      </x:c>
      <x:c r="N594" s="289" t="n">
        <x:v>6613</x:v>
      </x:c>
      <x:c r="O594" s="289" t="n">
        <x:v>6613</x:v>
      </x:c>
      <x:c r="P594" s="292"/>
      <x:c r="Q594" s="292" t="str">
        <x:v>candidate-preflight-passed</x:v>
      </x:c>
      <x:c r="R594" s="324" t="str">
        <x:v>C3-C10规划锁定：边墙牙戒</x:v>
      </x:c>
      <x:c r="S594" s="292" t="str">
        <x:v>玄渊二十套全装备代码总表.xlsx</x:v>
      </x:c>
      <x:c r="T594" s="292" t="str">
        <x:v>玄渊20套全装备视觉候选；Items/StateItem/DnItems三库同码；属性待策划填写</x:v>
      </x:c>
      <x:c r="U594" t="str">
        <x:f>IF(COUNTIF($B$2:$B$1076,B594)&gt;1,"重复","")</x:f>
      </x:c>
      <x:c r="V594" t="str">
        <x:f>IF(AND(OR(M594="",M594=B594),OR(N594="",N594=B594),OR(O594="",O594=B594)),"通过","不一致")</x:f>
        <x:v>通过</x:v>
      </x:c>
    </x:row>
    <x:row r="595" ht="22" customHeight="1">
      <x:c r="A595" s="289" t="n">
        <x:v>594</x:v>
      </x:c>
      <x:c r="B595" s="289" t="n">
        <x:v>6614</x:v>
      </x:c>
      <x:c r="C595" s="290" t="str">
        <x:v>血月荆棘·荆冠</x:v>
      </x:c>
      <x:c r="D595" s="290" t="str">
        <x:v>血月荆棘</x:v>
      </x:c>
      <x:c r="E595" s="290" t="n">
        <x:v>2</x:v>
      </x:c>
      <x:c r="F595" s="290" t="str">
        <x:v>勋章</x:v>
      </x:c>
      <x:c r="G595" s="289" t="n">
        <x:v>30</x:v>
      </x:c>
      <x:c r="H595" s="289" t="n">
        <x:v>2</x:v>
      </x:c>
      <x:c r="I595" s="289" t="n">
        <x:v>6614</x:v>
      </x:c>
      <x:c r="J595" s="289" t="n">
        <x:v>0</x:v>
      </x:c>
      <x:c r="K595" s="289" t="n">
        <x:v>0</x:v>
      </x:c>
      <x:c r="L595" s="289" t="n">
        <x:v>0</x:v>
      </x:c>
      <x:c r="M595" s="289" t="n">
        <x:v>6614</x:v>
      </x:c>
      <x:c r="N595" s="289" t="n">
        <x:v>6614</x:v>
      </x:c>
      <x:c r="O595" s="289" t="n">
        <x:v>6614</x:v>
      </x:c>
      <x:c r="P595" s="292"/>
      <x:c r="Q595" s="292" t="str">
        <x:v>candidate-preflight-passed</x:v>
      </x:c>
      <x:c r="R595" s="324" t="str">
        <x:v>C3-C10规划锁定：镇魂勋章</x:v>
      </x:c>
      <x:c r="S595" s="292" t="str">
        <x:v>玄渊二十套全装备代码总表.xlsx</x:v>
      </x:c>
      <x:c r="T595" s="292" t="str">
        <x:v>玄渊20套全装备视觉候选；Items/StateItem/DnItems三库同码；属性待策划填写</x:v>
      </x:c>
      <x:c r="U595" t="str">
        <x:f>IF(COUNTIF($B$2:$B$1076,B595)&gt;1,"重复","")</x:f>
      </x:c>
      <x:c r="V595" t="str">
        <x:f>IF(AND(OR(M595="",M595=B595),OR(N595="",N595=B595),OR(O595="",O595=B595)),"通过","不一致")</x:f>
        <x:v>通过</x:v>
      </x:c>
    </x:row>
    <x:row r="596" ht="22" customHeight="1">
      <x:c r="A596" s="289" t="n">
        <x:v>595</x:v>
      </x:c>
      <x:c r="B596" s="289" t="n">
        <x:v>6615</x:v>
      </x:c>
      <x:c r="C596" s="290" t="str">
        <x:v>血月荆棘·荆冠</x:v>
      </x:c>
      <x:c r="D596" s="290" t="str">
        <x:v>血月荆棘</x:v>
      </x:c>
      <x:c r="E596" s="290" t="n">
        <x:v>2</x:v>
      </x:c>
      <x:c r="F596" s="290" t="str">
        <x:v>盾牌</x:v>
      </x:c>
      <x:c r="G596" s="289" t="n">
        <x:v>12</x:v>
      </x:c>
      <x:c r="H596" s="289" t="n">
        <x:v>16</x:v>
      </x:c>
      <x:c r="I596" s="289" t="n">
        <x:v>6615</x:v>
      </x:c>
      <x:c r="J596" s="289" t="n">
        <x:v>0</x:v>
      </x:c>
      <x:c r="K596" s="289" t="n">
        <x:v>0</x:v>
      </x:c>
      <x:c r="L596" s="289" t="n">
        <x:v>0</x:v>
      </x:c>
      <x:c r="M596" s="289" t="n">
        <x:v>6615</x:v>
      </x:c>
      <x:c r="N596" s="289" t="n">
        <x:v>6615</x:v>
      </x:c>
      <x:c r="O596" s="289" t="n">
        <x:v>6615</x:v>
      </x:c>
      <x:c r="P596" s="292"/>
      <x:c r="Q596" s="292" t="str">
        <x:v>candidate-preflight-passed</x:v>
      </x:c>
      <x:c r="R596" s="324" t="str">
        <x:v>C3-C10规划锁定：青壳沼盾</x:v>
      </x:c>
      <x:c r="S596" s="292" t="str">
        <x:v>玄渊二十套全装备代码总表.xlsx</x:v>
      </x:c>
      <x:c r="T596" s="292" t="str">
        <x:v>玄渊20套全装备视觉候选；Items/StateItem/DnItems三库同码；属性待策划填写</x:v>
      </x:c>
      <x:c r="U596" t="str">
        <x:f>IF(COUNTIF($B$2:$B$1076,B596)&gt;1,"重复","")</x:f>
      </x:c>
      <x:c r="V596" t="str">
        <x:f>IF(AND(OR(M596="",M596=B596),OR(N596="",N596=B596),OR(O596="",O596=B596)),"通过","不一致")</x:f>
        <x:v>通过</x:v>
      </x:c>
    </x:row>
    <x:row r="597" ht="22" customHeight="1">
      <x:c r="A597" s="289" t="n">
        <x:v>596</x:v>
      </x:c>
      <x:c r="B597" s="289" t="n">
        <x:v>6616</x:v>
      </x:c>
      <x:c r="C597" s="290" t="str">
        <x:v>血月荆棘·荆冠</x:v>
      </x:c>
      <x:c r="D597" s="290" t="str">
        <x:v>血月荆棘</x:v>
      </x:c>
      <x:c r="E597" s="290" t="n">
        <x:v>2</x:v>
      </x:c>
      <x:c r="F597" s="290" t="str">
        <x:v>灵玉</x:v>
      </x:c>
      <x:c r="G597" s="289" t="n">
        <x:v>90</x:v>
      </x:c>
      <x:c r="H597" s="289" t="n">
        <x:v>17</x:v>
      </x:c>
      <x:c r="I597" s="289" t="n">
        <x:v>6616</x:v>
      </x:c>
      <x:c r="J597" s="289" t="n">
        <x:v>0</x:v>
      </x:c>
      <x:c r="K597" s="289" t="n">
        <x:v>0</x:v>
      </x:c>
      <x:c r="L597" s="289" t="n">
        <x:v>0</x:v>
      </x:c>
      <x:c r="M597" s="289" t="n">
        <x:v>6616</x:v>
      </x:c>
      <x:c r="N597" s="289" t="n">
        <x:v>6616</x:v>
      </x:c>
      <x:c r="O597" s="289" t="n">
        <x:v>6616</x:v>
      </x:c>
      <x:c r="P597" s="292"/>
      <x:c r="Q597" s="292" t="str">
        <x:v>candidate-preflight-passed</x:v>
      </x:c>
      <x:c r="R597" s="292" t="str"/>
      <x:c r="S597" s="292" t="str">
        <x:v>玄渊二十套全装备代码总表.xlsx</x:v>
      </x:c>
      <x:c r="T597" s="292" t="str">
        <x:v>玄渊20套全装备视觉候选；Items/StateItem/DnItems三库同码；属性待策划填写</x:v>
      </x:c>
      <x:c r="U597" t="str">
        <x:f>IF(COUNTIF($B$2:$B$1076,B597)&gt;1,"重复","")</x:f>
      </x:c>
      <x:c r="V597" t="str">
        <x:f>IF(AND(OR(M597="",M597=B597),OR(N597="",N597=B597),OR(O597="",O597=B597)),"通过","不一致")</x:f>
        <x:v>通过</x:v>
      </x:c>
    </x:row>
    <x:row r="598" ht="22" customHeight="1">
      <x:c r="A598" s="289" t="n">
        <x:v>597</x:v>
      </x:c>
      <x:c r="B598" s="289" t="n">
        <x:v>6617</x:v>
      </x:c>
      <x:c r="C598" s="290" t="str">
        <x:v>血月荆棘·荆冠</x:v>
      </x:c>
      <x:c r="D598" s="290" t="str">
        <x:v>血月荆棘</x:v>
      </x:c>
      <x:c r="E598" s="290" t="n">
        <x:v>2</x:v>
      </x:c>
      <x:c r="F598" s="290" t="str">
        <x:v>鞋子</x:v>
      </x:c>
      <x:c r="G598" s="289" t="n">
        <x:v>62</x:v>
      </x:c>
      <x:c r="H598" s="289" t="n">
        <x:v>11</x:v>
      </x:c>
      <x:c r="I598" s="289" t="n">
        <x:v>6617</x:v>
      </x:c>
      <x:c r="J598" s="289" t="n">
        <x:v>0</x:v>
      </x:c>
      <x:c r="K598" s="289" t="n">
        <x:v>0</x:v>
      </x:c>
      <x:c r="L598" s="289" t="n">
        <x:v>0</x:v>
      </x:c>
      <x:c r="M598" s="289" t="n">
        <x:v>6617</x:v>
      </x:c>
      <x:c r="N598" s="289" t="n">
        <x:v>6617</x:v>
      </x:c>
      <x:c r="O598" s="289" t="n">
        <x:v>6617</x:v>
      </x:c>
      <x:c r="P598" s="292"/>
      <x:c r="Q598" s="292" t="str">
        <x:v>candidate-preflight-passed</x:v>
      </x:c>
      <x:c r="R598" s="324" t="str">
        <x:v>C3-C10规划锁定：赐福战靴</x:v>
      </x:c>
      <x:c r="S598" s="292" t="str">
        <x:v>玄渊二十套全装备代码总表.xlsx</x:v>
      </x:c>
      <x:c r="T598" s="292" t="str">
        <x:v>玄渊20套全装备视觉候选；Items/StateItem/DnItems三库同码；属性待策划填写</x:v>
      </x:c>
      <x:c r="U598" t="str">
        <x:f>IF(COUNTIF($B$2:$B$1076,B598)&gt;1,"重复","")</x:f>
      </x:c>
      <x:c r="V598" t="str">
        <x:f>IF(AND(OR(M598="",M598=B598),OR(N598="",N598=B598),OR(O598="",O598=B598)),"通过","不一致")</x:f>
        <x:v>通过</x:v>
      </x:c>
    </x:row>
    <x:row r="599" ht="22" customHeight="1">
      <x:c r="A599" s="289" t="n">
        <x:v>598</x:v>
      </x:c>
      <x:c r="B599" s="289" t="n">
        <x:v>6618</x:v>
      </x:c>
      <x:c r="C599" s="290" t="str">
        <x:v>血月荆棘·荆冠</x:v>
      </x:c>
      <x:c r="D599" s="290" t="str">
        <x:v>血月荆棘</x:v>
      </x:c>
      <x:c r="E599" s="290" t="n">
        <x:v>2</x:v>
      </x:c>
      <x:c r="F599" s="290" t="str">
        <x:v>腰带</x:v>
      </x:c>
      <x:c r="G599" s="289" t="n">
        <x:v>64</x:v>
      </x:c>
      <x:c r="H599" s="289" t="n">
        <x:v>10</x:v>
      </x:c>
      <x:c r="I599" s="289" t="n">
        <x:v>6618</x:v>
      </x:c>
      <x:c r="J599" s="289" t="n">
        <x:v>0</x:v>
      </x:c>
      <x:c r="K599" s="289" t="n">
        <x:v>0</x:v>
      </x:c>
      <x:c r="L599" s="289" t="n">
        <x:v>0</x:v>
      </x:c>
      <x:c r="M599" s="289" t="n">
        <x:v>6618</x:v>
      </x:c>
      <x:c r="N599" s="289" t="n">
        <x:v>6618</x:v>
      </x:c>
      <x:c r="O599" s="289" t="n">
        <x:v>6618</x:v>
      </x:c>
      <x:c r="P599" s="292"/>
      <x:c r="Q599" s="292" t="str">
        <x:v>candidate-preflight-passed</x:v>
      </x:c>
      <x:c r="R599" s="324" t="str">
        <x:v>C3-C10规划锁定：双螯束带</x:v>
      </x:c>
      <x:c r="S599" s="292" t="str">
        <x:v>玄渊二十套全装备代码总表.xlsx</x:v>
      </x:c>
      <x:c r="T599" s="292" t="str">
        <x:v>玄渊20套全装备视觉候选；Items/StateItem/DnItems三库同码；属性待策划填写</x:v>
      </x:c>
      <x:c r="U599" t="str">
        <x:f>IF(COUNTIF($B$2:$B$1076,B599)&gt;1,"重复","")</x:f>
      </x:c>
      <x:c r="V599" t="str">
        <x:f>IF(AND(OR(M599="",M599=B599),OR(N599="",N599=B599),OR(O599="",O599=B599)),"通过","不一致")</x:f>
        <x:v>通过</x:v>
      </x:c>
    </x:row>
    <x:row r="600" ht="22" customHeight="1">
      <x:c r="A600" s="289" t="n">
        <x:v>599</x:v>
      </x:c>
      <x:c r="B600" s="289" t="n">
        <x:v>6619</x:v>
      </x:c>
      <x:c r="C600" s="290" t="str">
        <x:v>血月荆棘·荆冠</x:v>
      </x:c>
      <x:c r="D600" s="290" t="str">
        <x:v>血月荆棘</x:v>
      </x:c>
      <x:c r="E600" s="290" t="n">
        <x:v>2</x:v>
      </x:c>
      <x:c r="F600" s="290" t="str">
        <x:v>护身符</x:v>
      </x:c>
      <x:c r="G600" s="289" t="n">
        <x:v>25</x:v>
      </x:c>
      <x:c r="H600" s="289" t="n">
        <x:v>9</x:v>
      </x:c>
      <x:c r="I600" s="289" t="n">
        <x:v>6619</x:v>
      </x:c>
      <x:c r="J600" s="289" t="n">
        <x:v>0</x:v>
      </x:c>
      <x:c r="K600" s="289" t="n">
        <x:v>0</x:v>
      </x:c>
      <x:c r="L600" s="289" t="n">
        <x:v>0</x:v>
      </x:c>
      <x:c r="M600" s="289" t="n">
        <x:v>6619</x:v>
      </x:c>
      <x:c r="N600" s="289" t="n">
        <x:v>6619</x:v>
      </x:c>
      <x:c r="O600" s="289" t="n">
        <x:v>6619</x:v>
      </x:c>
      <x:c r="P600" s="292"/>
      <x:c r="Q600" s="292" t="str">
        <x:v>candidate-preflight-passed</x:v>
      </x:c>
      <x:c r="R600" s="292" t="str"/>
      <x:c r="S600" s="292" t="str">
        <x:v>玄渊二十套全装备代码总表.xlsx</x:v>
      </x:c>
      <x:c r="T600" s="292" t="str">
        <x:v>玄渊20套全装备视觉候选；Items/StateItem/DnItems三库同码；属性待策划填写</x:v>
      </x:c>
      <x:c r="U600" t="str">
        <x:f>IF(COUNTIF($B$2:$B$1076,B600)&gt;1,"重复","")</x:f>
      </x:c>
      <x:c r="V600" t="str">
        <x:f>IF(AND(OR(M600="",M600=B600),OR(N600="",N600=B600),OR(O600="",O600=B600)),"通过","不一致")</x:f>
        <x:v>通过</x:v>
      </x:c>
    </x:row>
    <x:row r="601" ht="22" customHeight="1">
      <x:c r="A601" s="289" t="n">
        <x:v>600</x:v>
      </x:c>
      <x:c r="B601" s="289" t="n">
        <x:v>6620</x:v>
      </x:c>
      <x:c r="C601" s="290" t="str">
        <x:v>血月荆棘·荆冠</x:v>
      </x:c>
      <x:c r="D601" s="290" t="str">
        <x:v>血月荆棘</x:v>
      </x:c>
      <x:c r="E601" s="290" t="n">
        <x:v>2</x:v>
      </x:c>
      <x:c r="F601" s="290" t="str">
        <x:v>宝石</x:v>
      </x:c>
      <x:c r="G601" s="289" t="n">
        <x:v>63</x:v>
      </x:c>
      <x:c r="H601" s="289" t="n">
        <x:v>12</x:v>
      </x:c>
      <x:c r="I601" s="289" t="n">
        <x:v>6620</x:v>
      </x:c>
      <x:c r="J601" s="289" t="n">
        <x:v>0</x:v>
      </x:c>
      <x:c r="K601" s="289" t="n">
        <x:v>0</x:v>
      </x:c>
      <x:c r="L601" s="289" t="n">
        <x:v>0</x:v>
      </x:c>
      <x:c r="M601" s="289" t="n">
        <x:v>6620</x:v>
      </x:c>
      <x:c r="N601" s="289" t="n">
        <x:v>6620</x:v>
      </x:c>
      <x:c r="O601" s="289" t="n">
        <x:v>6620</x:v>
      </x:c>
      <x:c r="P601" s="292"/>
      <x:c r="Q601" s="292" t="str">
        <x:v>candidate-preflight-passed</x:v>
      </x:c>
      <x:c r="R601" s="292" t="str"/>
      <x:c r="S601" s="292" t="str">
        <x:v>玄渊二十套全装备代码总表.xlsx</x:v>
      </x:c>
      <x:c r="T601" s="292" t="str">
        <x:v>玄渊20套全装备视觉候选；Items/StateItem/DnItems三库同码；属性待策划填写</x:v>
      </x:c>
      <x:c r="U601" t="str">
        <x:f>IF(COUNTIF($B$2:$B$1076,B601)&gt;1,"重复","")</x:f>
      </x:c>
      <x:c r="V601" t="str">
        <x:f>IF(AND(OR(M601="",M601=B601),OR(N601="",N601=B601),OR(O601="",O601=B601)),"通过","不一致")</x:f>
        <x:v>通过</x:v>
      </x:c>
    </x:row>
    <x:row r="602" ht="22" customHeight="1">
      <x:c r="A602" s="289" t="n">
        <x:v>601</x:v>
      </x:c>
      <x:c r="B602" s="289" t="n">
        <x:v>6621</x:v>
      </x:c>
      <x:c r="C602" s="290" t="str">
        <x:v>血月荆棘·荆冠</x:v>
      </x:c>
      <x:c r="D602" s="290" t="str">
        <x:v>血月荆棘</x:v>
      </x:c>
      <x:c r="E602" s="290" t="n">
        <x:v>2</x:v>
      </x:c>
      <x:c r="F602" s="290" t="str">
        <x:v>军鼓</x:v>
      </x:c>
      <x:c r="G602" s="289" t="n">
        <x:v>65</x:v>
      </x:c>
      <x:c r="H602" s="289" t="n">
        <x:v>14</x:v>
      </x:c>
      <x:c r="I602" s="289" t="n">
        <x:v>6621</x:v>
      </x:c>
      <x:c r="J602" s="289" t="n">
        <x:v>0</x:v>
      </x:c>
      <x:c r="K602" s="289" t="n">
        <x:v>0</x:v>
      </x:c>
      <x:c r="L602" s="289" t="n">
        <x:v>0</x:v>
      </x:c>
      <x:c r="M602" s="289" t="n">
        <x:v>6621</x:v>
      </x:c>
      <x:c r="N602" s="289" t="n">
        <x:v>6621</x:v>
      </x:c>
      <x:c r="O602" s="289" t="n">
        <x:v>6621</x:v>
      </x:c>
      <x:c r="P602" s="292"/>
      <x:c r="Q602" s="292" t="str">
        <x:v>candidate-preflight-passed</x:v>
      </x:c>
      <x:c r="R602" s="292" t="str"/>
      <x:c r="S602" s="292" t="str">
        <x:v>玄渊二十套全装备代码总表.xlsx</x:v>
      </x:c>
      <x:c r="T602" s="292" t="str">
        <x:v>玄渊20套全装备视觉候选；Items/StateItem/DnItems三库同码；属性待策划填写</x:v>
      </x:c>
      <x:c r="U602" t="str">
        <x:f>IF(COUNTIF($B$2:$B$1076,B602)&gt;1,"重复","")</x:f>
      </x:c>
      <x:c r="V602" t="str">
        <x:f>IF(AND(OR(M602="",M602=B602),OR(N602="",N602=B602),OR(O602="",O602=B602)),"通过","不一致")</x:f>
        <x:v>通过</x:v>
      </x:c>
    </x:row>
    <x:row r="603" ht="22" customHeight="1">
      <x:c r="A603" s="289" t="n">
        <x:v>602</x:v>
      </x:c>
      <x:c r="B603" s="289" t="n">
        <x:v>6622</x:v>
      </x:c>
      <x:c r="C603" s="290" t="str">
        <x:v>血月荆棘·荆冠</x:v>
      </x:c>
      <x:c r="D603" s="290" t="str">
        <x:v>血月荆棘</x:v>
      </x:c>
      <x:c r="E603" s="290" t="n">
        <x:v>2</x:v>
      </x:c>
      <x:c r="F603" s="290" t="str">
        <x:v>马牌</x:v>
      </x:c>
      <x:c r="G603" s="289" t="n">
        <x:v>28</x:v>
      </x:c>
      <x:c r="H603" s="289" t="n">
        <x:v>15</x:v>
      </x:c>
      <x:c r="I603" s="289" t="n">
        <x:v>6622</x:v>
      </x:c>
      <x:c r="J603" s="289" t="n">
        <x:v>0</x:v>
      </x:c>
      <x:c r="K603" s="289" t="n">
        <x:v>0</x:v>
      </x:c>
      <x:c r="L603" s="289" t="n">
        <x:v>0</x:v>
      </x:c>
      <x:c r="M603" s="289" t="n">
        <x:v>6622</x:v>
      </x:c>
      <x:c r="N603" s="289" t="n">
        <x:v>6622</x:v>
      </x:c>
      <x:c r="O603" s="289" t="n">
        <x:v>6622</x:v>
      </x:c>
      <x:c r="P603" s="292"/>
      <x:c r="Q603" s="292" t="str">
        <x:v>candidate-preflight-passed</x:v>
      </x:c>
      <x:c r="R603" s="292" t="str"/>
      <x:c r="S603" s="292" t="str">
        <x:v>玄渊二十套全装备代码总表.xlsx</x:v>
      </x:c>
      <x:c r="T603" s="292" t="str">
        <x:v>玄渊20套全装备视觉候选；Items/StateItem/DnItems三库同码；属性待策划填写</x:v>
      </x:c>
      <x:c r="U603" t="str">
        <x:f>IF(COUNTIF($B$2:$B$1076,B603)&gt;1,"重复","")</x:f>
      </x:c>
      <x:c r="V603" t="str">
        <x:f>IF(AND(OR(M603="",M603=B603),OR(N603="",N603=B603),OR(O603="",O603=B603)),"通过","不一致")</x:f>
        <x:v>通过</x:v>
      </x:c>
    </x:row>
    <x:row r="604" ht="22" customHeight="1">
      <x:c r="A604" s="289" t="n">
        <x:v>603</x:v>
      </x:c>
      <x:c r="B604" s="289" t="n">
        <x:v>6623</x:v>
      </x:c>
      <x:c r="C604" s="290" t="str">
        <x:v>血月荆棘·荆冠</x:v>
      </x:c>
      <x:c r="D604" s="290" t="str">
        <x:v>血月荆棘</x:v>
      </x:c>
      <x:c r="E604" s="290" t="n">
        <x:v>2</x:v>
      </x:c>
      <x:c r="F604" s="290" t="str">
        <x:v>首饰盒1</x:v>
      </x:c>
      <x:c r="G604" s="289" t="n">
        <x:v>22</x:v>
      </x:c>
      <x:c r="H604" s="289" t="n">
        <x:v>30</x:v>
      </x:c>
      <x:c r="I604" s="289" t="n">
        <x:v>6623</x:v>
      </x:c>
      <x:c r="J604" s="289" t="n">
        <x:v>0</x:v>
      </x:c>
      <x:c r="K604" s="289" t="n">
        <x:v>2</x:v>
      </x:c>
      <x:c r="L604" s="289" t="n">
        <x:v>1</x:v>
      </x:c>
      <x:c r="M604" s="289" t="n">
        <x:v>6623</x:v>
      </x:c>
      <x:c r="N604" s="289" t="n">
        <x:v>6623</x:v>
      </x:c>
      <x:c r="O604" s="289" t="n">
        <x:v>6623</x:v>
      </x:c>
      <x:c r="P604" s="292"/>
      <x:c r="Q604" s="292" t="str">
        <x:v>candidate-preflight-passed</x:v>
      </x:c>
      <x:c r="R604" s="292" t="str"/>
      <x:c r="S604" s="292" t="str">
        <x:v>玄渊二十套全装备代码总表.xlsx</x:v>
      </x:c>
      <x:c r="T604" s="292" t="str">
        <x:v>玄渊20套全装备视觉候选；Items/StateItem/DnItems三库同码；属性待策划填写；OverLap=2; Expand1=1</x:v>
      </x:c>
      <x:c r="U604" t="str">
        <x:f>IF(COUNTIF($B$2:$B$1076,B604)&gt;1,"重复","")</x:f>
      </x:c>
      <x:c r="V604" t="str">
        <x:f>IF(AND(OR(M604="",M604=B604),OR(N604="",N604=B604),OR(O604="",O604=B604)),"通过","不一致")</x:f>
        <x:v>通过</x:v>
      </x:c>
    </x:row>
    <x:row r="605" ht="22" customHeight="1">
      <x:c r="A605" s="289" t="n">
        <x:v>604</x:v>
      </x:c>
      <x:c r="B605" s="289" t="n">
        <x:v>6624</x:v>
      </x:c>
      <x:c r="C605" s="290" t="str">
        <x:v>血月荆棘·荆冠</x:v>
      </x:c>
      <x:c r="D605" s="290" t="str">
        <x:v>血月荆棘</x:v>
      </x:c>
      <x:c r="E605" s="290" t="n">
        <x:v>2</x:v>
      </x:c>
      <x:c r="F605" s="290" t="str">
        <x:v>首饰盒2</x:v>
      </x:c>
      <x:c r="G605" s="289" t="n">
        <x:v>22</x:v>
      </x:c>
      <x:c r="H605" s="289" t="n">
        <x:v>31</x:v>
      </x:c>
      <x:c r="I605" s="289" t="n">
        <x:v>6624</x:v>
      </x:c>
      <x:c r="J605" s="289" t="n">
        <x:v>0</x:v>
      </x:c>
      <x:c r="K605" s="289" t="n">
        <x:v>2</x:v>
      </x:c>
      <x:c r="L605" s="289" t="n">
        <x:v>2</x:v>
      </x:c>
      <x:c r="M605" s="289" t="n">
        <x:v>6624</x:v>
      </x:c>
      <x:c r="N605" s="289" t="n">
        <x:v>6624</x:v>
      </x:c>
      <x:c r="O605" s="289" t="n">
        <x:v>6624</x:v>
      </x:c>
      <x:c r="P605" s="292"/>
      <x:c r="Q605" s="292" t="str">
        <x:v>candidate-preflight-passed</x:v>
      </x:c>
      <x:c r="R605" s="292" t="str"/>
      <x:c r="S605" s="292" t="str">
        <x:v>玄渊二十套全装备代码总表.xlsx</x:v>
      </x:c>
      <x:c r="T605" s="292" t="str">
        <x:v>玄渊20套全装备视觉候选；Items/StateItem/DnItems三库同码；属性待策划填写；OverLap=2; Expand1=2</x:v>
      </x:c>
      <x:c r="U605" t="str">
        <x:f>IF(COUNTIF($B$2:$B$1076,B605)&gt;1,"重复","")</x:f>
      </x:c>
      <x:c r="V605" t="str">
        <x:f>IF(AND(OR(M605="",M605=B605),OR(N605="",N605=B605),OR(O605="",O605=B605)),"通过","不一致")</x:f>
        <x:v>通过</x:v>
      </x:c>
    </x:row>
    <x:row r="606" ht="22" customHeight="1">
      <x:c r="A606" s="289" t="n">
        <x:v>605</x:v>
      </x:c>
      <x:c r="B606" s="289" t="n">
        <x:v>6625</x:v>
      </x:c>
      <x:c r="C606" s="290" t="str">
        <x:v>血月荆棘·荆冠</x:v>
      </x:c>
      <x:c r="D606" s="290" t="str">
        <x:v>血月荆棘</x:v>
      </x:c>
      <x:c r="E606" s="290" t="n">
        <x:v>2</x:v>
      </x:c>
      <x:c r="F606" s="290" t="str">
        <x:v>首饰盒3</x:v>
      </x:c>
      <x:c r="G606" s="289" t="n">
        <x:v>22</x:v>
      </x:c>
      <x:c r="H606" s="289" t="n">
        <x:v>32</x:v>
      </x:c>
      <x:c r="I606" s="289" t="n">
        <x:v>6625</x:v>
      </x:c>
      <x:c r="J606" s="289" t="n">
        <x:v>0</x:v>
      </x:c>
      <x:c r="K606" s="289" t="n">
        <x:v>2</x:v>
      </x:c>
      <x:c r="L606" s="289" t="n">
        <x:v>3</x:v>
      </x:c>
      <x:c r="M606" s="289" t="n">
        <x:v>6625</x:v>
      </x:c>
      <x:c r="N606" s="289" t="n">
        <x:v>6625</x:v>
      </x:c>
      <x:c r="O606" s="289" t="n">
        <x:v>6625</x:v>
      </x:c>
      <x:c r="P606" s="292"/>
      <x:c r="Q606" s="292" t="str">
        <x:v>candidate-preflight-passed</x:v>
      </x:c>
      <x:c r="R606" s="292" t="str"/>
      <x:c r="S606" s="292" t="str">
        <x:v>玄渊二十套全装备代码总表.xlsx</x:v>
      </x:c>
      <x:c r="T606" s="292" t="str">
        <x:v>玄渊20套全装备视觉候选；Items/StateItem/DnItems三库同码；属性待策划填写；OverLap=2; Expand1=3</x:v>
      </x:c>
      <x:c r="U606" t="str">
        <x:f>IF(COUNTIF($B$2:$B$1076,B606)&gt;1,"重复","")</x:f>
      </x:c>
      <x:c r="V606" t="str">
        <x:f>IF(AND(OR(M606="",M606=B606),OR(N606="",N606=B606),OR(O606="",O606=B606)),"通过","不一致")</x:f>
        <x:v>通过</x:v>
      </x:c>
    </x:row>
    <x:row r="607" ht="22" customHeight="1">
      <x:c r="A607" s="289" t="n">
        <x:v>606</x:v>
      </x:c>
      <x:c r="B607" s="289" t="n">
        <x:v>6626</x:v>
      </x:c>
      <x:c r="C607" s="290" t="str">
        <x:v>血月荆棘·荆冠</x:v>
      </x:c>
      <x:c r="D607" s="290" t="str">
        <x:v>血月荆棘</x:v>
      </x:c>
      <x:c r="E607" s="290" t="n">
        <x:v>2</x:v>
      </x:c>
      <x:c r="F607" s="290" t="str">
        <x:v>首饰盒4</x:v>
      </x:c>
      <x:c r="G607" s="289" t="n">
        <x:v>22</x:v>
      </x:c>
      <x:c r="H607" s="289" t="n">
        <x:v>33</x:v>
      </x:c>
      <x:c r="I607" s="289" t="n">
        <x:v>6626</x:v>
      </x:c>
      <x:c r="J607" s="289" t="n">
        <x:v>0</x:v>
      </x:c>
      <x:c r="K607" s="289" t="n">
        <x:v>2</x:v>
      </x:c>
      <x:c r="L607" s="289" t="n">
        <x:v>4</x:v>
      </x:c>
      <x:c r="M607" s="289" t="n">
        <x:v>6626</x:v>
      </x:c>
      <x:c r="N607" s="289" t="n">
        <x:v>6626</x:v>
      </x:c>
      <x:c r="O607" s="289" t="n">
        <x:v>6626</x:v>
      </x:c>
      <x:c r="P607" s="292"/>
      <x:c r="Q607" s="292" t="str">
        <x:v>candidate-preflight-passed</x:v>
      </x:c>
      <x:c r="R607" s="292" t="str"/>
      <x:c r="S607" s="292" t="str">
        <x:v>玄渊二十套全装备代码总表.xlsx</x:v>
      </x:c>
      <x:c r="T607" s="292" t="str">
        <x:v>玄渊20套全装备视觉候选；Items/StateItem/DnItems三库同码；属性待策划填写；OverLap=2; Expand1=4</x:v>
      </x:c>
      <x:c r="U607" t="str">
        <x:f>IF(COUNTIF($B$2:$B$1076,B607)&gt;1,"重复","")</x:f>
      </x:c>
      <x:c r="V607" t="str">
        <x:f>IF(AND(OR(M607="",M607=B607),OR(N607="",N607=B607),OR(O607="",O607=B607)),"通过","不一致")</x:f>
        <x:v>通过</x:v>
      </x:c>
    </x:row>
    <x:row r="608" ht="22" customHeight="1">
      <x:c r="A608" s="289" t="n">
        <x:v>607</x:v>
      </x:c>
      <x:c r="B608" s="289" t="n">
        <x:v>6627</x:v>
      </x:c>
      <x:c r="C608" s="290" t="str">
        <x:v>血月荆棘·荆冠</x:v>
      </x:c>
      <x:c r="D608" s="290" t="str">
        <x:v>血月荆棘</x:v>
      </x:c>
      <x:c r="E608" s="290" t="n">
        <x:v>2</x:v>
      </x:c>
      <x:c r="F608" s="290" t="str">
        <x:v>首饰盒5</x:v>
      </x:c>
      <x:c r="G608" s="289" t="n">
        <x:v>22</x:v>
      </x:c>
      <x:c r="H608" s="289" t="n">
        <x:v>34</x:v>
      </x:c>
      <x:c r="I608" s="289" t="n">
        <x:v>6627</x:v>
      </x:c>
      <x:c r="J608" s="289" t="n">
        <x:v>0</x:v>
      </x:c>
      <x:c r="K608" s="289" t="n">
        <x:v>2</x:v>
      </x:c>
      <x:c r="L608" s="289" t="n">
        <x:v>5</x:v>
      </x:c>
      <x:c r="M608" s="289" t="n">
        <x:v>6627</x:v>
      </x:c>
      <x:c r="N608" s="289" t="n">
        <x:v>6627</x:v>
      </x:c>
      <x:c r="O608" s="289" t="n">
        <x:v>6627</x:v>
      </x:c>
      <x:c r="P608" s="292"/>
      <x:c r="Q608" s="292" t="str">
        <x:v>candidate-preflight-passed</x:v>
      </x:c>
      <x:c r="R608" s="292" t="str"/>
      <x:c r="S608" s="292" t="str">
        <x:v>玄渊二十套全装备代码总表.xlsx</x:v>
      </x:c>
      <x:c r="T608" s="292" t="str">
        <x:v>玄渊20套全装备视觉候选；Items/StateItem/DnItems三库同码；属性待策划填写；OverLap=2; Expand1=5</x:v>
      </x:c>
      <x:c r="U608" t="str">
        <x:f>IF(COUNTIF($B$2:$B$1076,B608)&gt;1,"重复","")</x:f>
      </x:c>
      <x:c r="V608" t="str">
        <x:f>IF(AND(OR(M608="",M608=B608),OR(N608="",N608=B608),OR(O608="",O608=B608)),"通过","不一致")</x:f>
        <x:v>通过</x:v>
      </x:c>
    </x:row>
    <x:row r="609" ht="22" customHeight="1">
      <x:c r="A609" s="289" t="n">
        <x:v>608</x:v>
      </x:c>
      <x:c r="B609" s="289" t="n">
        <x:v>6628</x:v>
      </x:c>
      <x:c r="C609" s="290" t="str">
        <x:v>血月荆棘·荆冠</x:v>
      </x:c>
      <x:c r="D609" s="290" t="str">
        <x:v>血月荆棘</x:v>
      </x:c>
      <x:c r="E609" s="290" t="n">
        <x:v>2</x:v>
      </x:c>
      <x:c r="F609" s="290" t="str">
        <x:v>首饰盒6</x:v>
      </x:c>
      <x:c r="G609" s="289" t="n">
        <x:v>22</x:v>
      </x:c>
      <x:c r="H609" s="289" t="n">
        <x:v>35</x:v>
      </x:c>
      <x:c r="I609" s="289" t="n">
        <x:v>6628</x:v>
      </x:c>
      <x:c r="J609" s="289" t="n">
        <x:v>0</x:v>
      </x:c>
      <x:c r="K609" s="289" t="n">
        <x:v>2</x:v>
      </x:c>
      <x:c r="L609" s="289" t="n">
        <x:v>6</x:v>
      </x:c>
      <x:c r="M609" s="289" t="n">
        <x:v>6628</x:v>
      </x:c>
      <x:c r="N609" s="289" t="n">
        <x:v>6628</x:v>
      </x:c>
      <x:c r="O609" s="289" t="n">
        <x:v>6628</x:v>
      </x:c>
      <x:c r="P609" s="292"/>
      <x:c r="Q609" s="292" t="str">
        <x:v>candidate-preflight-passed</x:v>
      </x:c>
      <x:c r="R609" s="292" t="str"/>
      <x:c r="S609" s="292" t="str">
        <x:v>玄渊二十套全装备代码总表.xlsx</x:v>
      </x:c>
      <x:c r="T609" s="292" t="str">
        <x:v>玄渊20套全装备视觉候选；Items/StateItem/DnItems三库同码；属性待策划填写；OverLap=2; Expand1=6</x:v>
      </x:c>
      <x:c r="U609" t="str">
        <x:f>IF(COUNTIF($B$2:$B$1076,B609)&gt;1,"重复","")</x:f>
      </x:c>
      <x:c r="V609" t="str">
        <x:f>IF(AND(OR(M609="",M609=B609),OR(N609="",N609=B609),OR(O609="",O609=B609)),"通过","不一致")</x:f>
        <x:v>通过</x:v>
      </x:c>
    </x:row>
    <x:row r="610" ht="22" customHeight="1">
      <x:c r="A610" s="289" t="n">
        <x:v>609</x:v>
      </x:c>
      <x:c r="B610" s="289" t="n">
        <x:v>6629</x:v>
      </x:c>
      <x:c r="C610" s="290" t="str">
        <x:v>血月荆棘·荆冠</x:v>
      </x:c>
      <x:c r="D610" s="290" t="str">
        <x:v>血月荆棘</x:v>
      </x:c>
      <x:c r="E610" s="290" t="n">
        <x:v>2</x:v>
      </x:c>
      <x:c r="F610" s="290" t="str">
        <x:v>生肖1</x:v>
      </x:c>
      <x:c r="G610" s="289" t="n">
        <x:v>22</x:v>
      </x:c>
      <x:c r="H610" s="289" t="n">
        <x:v>40</x:v>
      </x:c>
      <x:c r="I610" s="289" t="n">
        <x:v>6629</x:v>
      </x:c>
      <x:c r="J610" s="289" t="n">
        <x:v>0</x:v>
      </x:c>
      <x:c r="K610" s="289" t="n">
        <x:v>4</x:v>
      </x:c>
      <x:c r="L610" s="289" t="n">
        <x:v>1</x:v>
      </x:c>
      <x:c r="M610" s="289" t="n">
        <x:v>6629</x:v>
      </x:c>
      <x:c r="N610" s="289" t="n">
        <x:v>6629</x:v>
      </x:c>
      <x:c r="O610" s="289" t="n">
        <x:v>6629</x:v>
      </x:c>
      <x:c r="P610" s="292"/>
      <x:c r="Q610" s="292" t="str">
        <x:v>candidate-preflight-passed</x:v>
      </x:c>
      <x:c r="R610" s="292" t="str"/>
      <x:c r="S610" s="292" t="str">
        <x:v>玄渊二十套全装备代码总表.xlsx</x:v>
      </x:c>
      <x:c r="T610" s="292" t="str">
        <x:v>玄渊20套全装备视觉候选；Items/StateItem/DnItems三库同码；属性待策划填写；OverLap=4; Expand1=1</x:v>
      </x:c>
      <x:c r="U610" t="str">
        <x:f>IF(COUNTIF($B$2:$B$1076,B610)&gt;1,"重复","")</x:f>
      </x:c>
      <x:c r="V610" t="str">
        <x:f>IF(AND(OR(M610="",M610=B610),OR(N610="",N610=B610),OR(O610="",O610=B610)),"通过","不一致")</x:f>
        <x:v>通过</x:v>
      </x:c>
    </x:row>
    <x:row r="611" ht="22" customHeight="1">
      <x:c r="A611" s="289" t="n">
        <x:v>610</x:v>
      </x:c>
      <x:c r="B611" s="289" t="n">
        <x:v>6630</x:v>
      </x:c>
      <x:c r="C611" s="290" t="str">
        <x:v>血月荆棘·荆冠</x:v>
      </x:c>
      <x:c r="D611" s="290" t="str">
        <x:v>血月荆棘</x:v>
      </x:c>
      <x:c r="E611" s="290" t="n">
        <x:v>2</x:v>
      </x:c>
      <x:c r="F611" s="290" t="str">
        <x:v>生肖2</x:v>
      </x:c>
      <x:c r="G611" s="289" t="n">
        <x:v>22</x:v>
      </x:c>
      <x:c r="H611" s="289" t="n">
        <x:v>41</x:v>
      </x:c>
      <x:c r="I611" s="289" t="n">
        <x:v>6630</x:v>
      </x:c>
      <x:c r="J611" s="289" t="n">
        <x:v>0</x:v>
      </x:c>
      <x:c r="K611" s="289" t="n">
        <x:v>4</x:v>
      </x:c>
      <x:c r="L611" s="289" t="n">
        <x:v>2</x:v>
      </x:c>
      <x:c r="M611" s="289" t="n">
        <x:v>6630</x:v>
      </x:c>
      <x:c r="N611" s="289" t="n">
        <x:v>6630</x:v>
      </x:c>
      <x:c r="O611" s="289" t="n">
        <x:v>6630</x:v>
      </x:c>
      <x:c r="P611" s="292"/>
      <x:c r="Q611" s="292" t="str">
        <x:v>candidate-preflight-passed</x:v>
      </x:c>
      <x:c r="R611" s="292" t="str"/>
      <x:c r="S611" s="292" t="str">
        <x:v>玄渊二十套全装备代码总表.xlsx</x:v>
      </x:c>
      <x:c r="T611" s="292" t="str">
        <x:v>玄渊20套全装备视觉候选；Items/StateItem/DnItems三库同码；属性待策划填写；OverLap=4; Expand1=2</x:v>
      </x:c>
      <x:c r="U611" t="str">
        <x:f>IF(COUNTIF($B$2:$B$1076,B611)&gt;1,"重复","")</x:f>
      </x:c>
      <x:c r="V611" t="str">
        <x:f>IF(AND(OR(M611="",M611=B611),OR(N611="",N611=B611),OR(O611="",O611=B611)),"通过","不一致")</x:f>
        <x:v>通过</x:v>
      </x:c>
    </x:row>
    <x:row r="612" ht="22" customHeight="1">
      <x:c r="A612" s="289" t="n">
        <x:v>611</x:v>
      </x:c>
      <x:c r="B612" s="289" t="n">
        <x:v>6631</x:v>
      </x:c>
      <x:c r="C612" s="290" t="str">
        <x:v>血月荆棘·荆冠</x:v>
      </x:c>
      <x:c r="D612" s="290" t="str">
        <x:v>血月荆棘</x:v>
      </x:c>
      <x:c r="E612" s="290" t="n">
        <x:v>2</x:v>
      </x:c>
      <x:c r="F612" s="290" t="str">
        <x:v>生肖3</x:v>
      </x:c>
      <x:c r="G612" s="289" t="n">
        <x:v>22</x:v>
      </x:c>
      <x:c r="H612" s="289" t="n">
        <x:v>42</x:v>
      </x:c>
      <x:c r="I612" s="289" t="n">
        <x:v>6631</x:v>
      </x:c>
      <x:c r="J612" s="289" t="n">
        <x:v>0</x:v>
      </x:c>
      <x:c r="K612" s="289" t="n">
        <x:v>4</x:v>
      </x:c>
      <x:c r="L612" s="289" t="n">
        <x:v>3</x:v>
      </x:c>
      <x:c r="M612" s="289" t="n">
        <x:v>6631</x:v>
      </x:c>
      <x:c r="N612" s="289" t="n">
        <x:v>6631</x:v>
      </x:c>
      <x:c r="O612" s="289" t="n">
        <x:v>6631</x:v>
      </x:c>
      <x:c r="P612" s="292"/>
      <x:c r="Q612" s="292" t="str">
        <x:v>candidate-preflight-passed</x:v>
      </x:c>
      <x:c r="R612" s="292" t="str"/>
      <x:c r="S612" s="292" t="str">
        <x:v>玄渊二十套全装备代码总表.xlsx</x:v>
      </x:c>
      <x:c r="T612" s="292" t="str">
        <x:v>玄渊20套全装备视觉候选；Items/StateItem/DnItems三库同码；属性待策划填写；OverLap=4; Expand1=3</x:v>
      </x:c>
      <x:c r="U612" t="str">
        <x:f>IF(COUNTIF($B$2:$B$1076,B612)&gt;1,"重复","")</x:f>
      </x:c>
      <x:c r="V612" t="str">
        <x:f>IF(AND(OR(M612="",M612=B612),OR(N612="",N612=B612),OR(O612="",O612=B612)),"通过","不一致")</x:f>
        <x:v>通过</x:v>
      </x:c>
    </x:row>
    <x:row r="613" ht="22" customHeight="1">
      <x:c r="A613" s="289" t="n">
        <x:v>612</x:v>
      </x:c>
      <x:c r="B613" s="289" t="n">
        <x:v>6632</x:v>
      </x:c>
      <x:c r="C613" s="290" t="str">
        <x:v>血月荆棘·荆冠</x:v>
      </x:c>
      <x:c r="D613" s="290" t="str">
        <x:v>血月荆棘</x:v>
      </x:c>
      <x:c r="E613" s="290" t="n">
        <x:v>2</x:v>
      </x:c>
      <x:c r="F613" s="290" t="str">
        <x:v>生肖4</x:v>
      </x:c>
      <x:c r="G613" s="289" t="n">
        <x:v>22</x:v>
      </x:c>
      <x:c r="H613" s="289" t="n">
        <x:v>43</x:v>
      </x:c>
      <x:c r="I613" s="289" t="n">
        <x:v>6632</x:v>
      </x:c>
      <x:c r="J613" s="289" t="n">
        <x:v>0</x:v>
      </x:c>
      <x:c r="K613" s="289" t="n">
        <x:v>4</x:v>
      </x:c>
      <x:c r="L613" s="289" t="n">
        <x:v>4</x:v>
      </x:c>
      <x:c r="M613" s="289" t="n">
        <x:v>6632</x:v>
      </x:c>
      <x:c r="N613" s="289" t="n">
        <x:v>6632</x:v>
      </x:c>
      <x:c r="O613" s="289" t="n">
        <x:v>6632</x:v>
      </x:c>
      <x:c r="P613" s="292"/>
      <x:c r="Q613" s="292" t="str">
        <x:v>candidate-preflight-passed</x:v>
      </x:c>
      <x:c r="R613" s="292" t="str"/>
      <x:c r="S613" s="292" t="str">
        <x:v>玄渊二十套全装备代码总表.xlsx</x:v>
      </x:c>
      <x:c r="T613" s="292" t="str">
        <x:v>玄渊20套全装备视觉候选；Items/StateItem/DnItems三库同码；属性待策划填写；OverLap=4; Expand1=4</x:v>
      </x:c>
      <x:c r="U613" t="str">
        <x:f>IF(COUNTIF($B$2:$B$1076,B613)&gt;1,"重复","")</x:f>
      </x:c>
      <x:c r="V613" t="str">
        <x:f>IF(AND(OR(M613="",M613=B613),OR(N613="",N613=B613),OR(O613="",O613=B613)),"通过","不一致")</x:f>
        <x:v>通过</x:v>
      </x:c>
    </x:row>
    <x:row r="614" ht="22" customHeight="1">
      <x:c r="A614" s="289" t="n">
        <x:v>613</x:v>
      </x:c>
      <x:c r="B614" s="289" t="n">
        <x:v>6633</x:v>
      </x:c>
      <x:c r="C614" s="290" t="str">
        <x:v>血月荆棘·荆冠</x:v>
      </x:c>
      <x:c r="D614" s="290" t="str">
        <x:v>血月荆棘</x:v>
      </x:c>
      <x:c r="E614" s="290" t="n">
        <x:v>2</x:v>
      </x:c>
      <x:c r="F614" s="290" t="str">
        <x:v>生肖5</x:v>
      </x:c>
      <x:c r="G614" s="289" t="n">
        <x:v>22</x:v>
      </x:c>
      <x:c r="H614" s="289" t="n">
        <x:v>44</x:v>
      </x:c>
      <x:c r="I614" s="289" t="n">
        <x:v>6633</x:v>
      </x:c>
      <x:c r="J614" s="289" t="n">
        <x:v>0</x:v>
      </x:c>
      <x:c r="K614" s="289" t="n">
        <x:v>4</x:v>
      </x:c>
      <x:c r="L614" s="289" t="n">
        <x:v>5</x:v>
      </x:c>
      <x:c r="M614" s="289" t="n">
        <x:v>6633</x:v>
      </x:c>
      <x:c r="N614" s="289" t="n">
        <x:v>6633</x:v>
      </x:c>
      <x:c r="O614" s="289" t="n">
        <x:v>6633</x:v>
      </x:c>
      <x:c r="P614" s="292"/>
      <x:c r="Q614" s="292" t="str">
        <x:v>candidate-preflight-passed</x:v>
      </x:c>
      <x:c r="R614" s="292" t="str"/>
      <x:c r="S614" s="292" t="str">
        <x:v>玄渊二十套全装备代码总表.xlsx</x:v>
      </x:c>
      <x:c r="T614" s="292" t="str">
        <x:v>玄渊20套全装备视觉候选；Items/StateItem/DnItems三库同码；属性待策划填写；OverLap=4; Expand1=5</x:v>
      </x:c>
      <x:c r="U614" t="str">
        <x:f>IF(COUNTIF($B$2:$B$1076,B614)&gt;1,"重复","")</x:f>
      </x:c>
      <x:c r="V614" t="str">
        <x:f>IF(AND(OR(M614="",M614=B614),OR(N614="",N614=B614),OR(O614="",O614=B614)),"通过","不一致")</x:f>
        <x:v>通过</x:v>
      </x:c>
    </x:row>
    <x:row r="615" ht="22" customHeight="1">
      <x:c r="A615" s="289" t="n">
        <x:v>614</x:v>
      </x:c>
      <x:c r="B615" s="289" t="n">
        <x:v>6634</x:v>
      </x:c>
      <x:c r="C615" s="290" t="str">
        <x:v>血月荆棘·荆冠</x:v>
      </x:c>
      <x:c r="D615" s="290" t="str">
        <x:v>血月荆棘</x:v>
      </x:c>
      <x:c r="E615" s="290" t="n">
        <x:v>2</x:v>
      </x:c>
      <x:c r="F615" s="290" t="str">
        <x:v>生肖6</x:v>
      </x:c>
      <x:c r="G615" s="289" t="n">
        <x:v>22</x:v>
      </x:c>
      <x:c r="H615" s="289" t="n">
        <x:v>45</x:v>
      </x:c>
      <x:c r="I615" s="289" t="n">
        <x:v>6634</x:v>
      </x:c>
      <x:c r="J615" s="289" t="n">
        <x:v>0</x:v>
      </x:c>
      <x:c r="K615" s="289" t="n">
        <x:v>4</x:v>
      </x:c>
      <x:c r="L615" s="289" t="n">
        <x:v>6</x:v>
      </x:c>
      <x:c r="M615" s="289" t="n">
        <x:v>6634</x:v>
      </x:c>
      <x:c r="N615" s="289" t="n">
        <x:v>6634</x:v>
      </x:c>
      <x:c r="O615" s="289" t="n">
        <x:v>6634</x:v>
      </x:c>
      <x:c r="P615" s="292"/>
      <x:c r="Q615" s="292" t="str">
        <x:v>candidate-preflight-passed</x:v>
      </x:c>
      <x:c r="R615" s="292" t="str"/>
      <x:c r="S615" s="292" t="str">
        <x:v>玄渊二十套全装备代码总表.xlsx</x:v>
      </x:c>
      <x:c r="T615" s="292" t="str">
        <x:v>玄渊20套全装备视觉候选；Items/StateItem/DnItems三库同码；属性待策划填写；OverLap=4; Expand1=6</x:v>
      </x:c>
      <x:c r="U615" t="str">
        <x:f>IF(COUNTIF($B$2:$B$1076,B615)&gt;1,"重复","")</x:f>
      </x:c>
      <x:c r="V615" t="str">
        <x:f>IF(AND(OR(M615="",M615=B615),OR(N615="",N615=B615),OR(O615="",O615=B615)),"通过","不一致")</x:f>
        <x:v>通过</x:v>
      </x:c>
    </x:row>
    <x:row r="616" ht="22" customHeight="1">
      <x:c r="A616" s="289" t="n">
        <x:v>615</x:v>
      </x:c>
      <x:c r="B616" s="289" t="n">
        <x:v>6635</x:v>
      </x:c>
      <x:c r="C616" s="290" t="str">
        <x:v>血月荆棘·荆冠</x:v>
      </x:c>
      <x:c r="D616" s="290" t="str">
        <x:v>血月荆棘</x:v>
      </x:c>
      <x:c r="E616" s="290" t="n">
        <x:v>2</x:v>
      </x:c>
      <x:c r="F616" s="290" t="str">
        <x:v>生肖7</x:v>
      </x:c>
      <x:c r="G616" s="289" t="n">
        <x:v>22</x:v>
      </x:c>
      <x:c r="H616" s="289" t="n">
        <x:v>46</x:v>
      </x:c>
      <x:c r="I616" s="289" t="n">
        <x:v>6635</x:v>
      </x:c>
      <x:c r="J616" s="289" t="n">
        <x:v>0</x:v>
      </x:c>
      <x:c r="K616" s="289" t="n">
        <x:v>4</x:v>
      </x:c>
      <x:c r="L616" s="289" t="n">
        <x:v>7</x:v>
      </x:c>
      <x:c r="M616" s="289" t="n">
        <x:v>6635</x:v>
      </x:c>
      <x:c r="N616" s="289" t="n">
        <x:v>6635</x:v>
      </x:c>
      <x:c r="O616" s="289" t="n">
        <x:v>6635</x:v>
      </x:c>
      <x:c r="P616" s="292"/>
      <x:c r="Q616" s="292" t="str">
        <x:v>candidate-preflight-passed</x:v>
      </x:c>
      <x:c r="R616" s="292" t="str"/>
      <x:c r="S616" s="292" t="str">
        <x:v>玄渊二十套全装备代码总表.xlsx</x:v>
      </x:c>
      <x:c r="T616" s="292" t="str">
        <x:v>玄渊20套全装备视觉候选；Items/StateItem/DnItems三库同码；属性待策划填写；OverLap=4; Expand1=7</x:v>
      </x:c>
      <x:c r="U616" t="str">
        <x:f>IF(COUNTIF($B$2:$B$1076,B616)&gt;1,"重复","")</x:f>
      </x:c>
      <x:c r="V616" t="str">
        <x:f>IF(AND(OR(M616="",M616=B616),OR(N616="",N616=B616),OR(O616="",O616=B616)),"通过","不一致")</x:f>
        <x:v>通过</x:v>
      </x:c>
    </x:row>
    <x:row r="617" ht="22" customHeight="1">
      <x:c r="A617" s="289" t="n">
        <x:v>616</x:v>
      </x:c>
      <x:c r="B617" s="289" t="n">
        <x:v>6636</x:v>
      </x:c>
      <x:c r="C617" s="290" t="str">
        <x:v>血月荆棘·荆冠</x:v>
      </x:c>
      <x:c r="D617" s="290" t="str">
        <x:v>血月荆棘</x:v>
      </x:c>
      <x:c r="E617" s="290" t="n">
        <x:v>2</x:v>
      </x:c>
      <x:c r="F617" s="290" t="str">
        <x:v>生肖8</x:v>
      </x:c>
      <x:c r="G617" s="289" t="n">
        <x:v>22</x:v>
      </x:c>
      <x:c r="H617" s="289" t="n">
        <x:v>47</x:v>
      </x:c>
      <x:c r="I617" s="289" t="n">
        <x:v>6636</x:v>
      </x:c>
      <x:c r="J617" s="289" t="n">
        <x:v>0</x:v>
      </x:c>
      <x:c r="K617" s="289" t="n">
        <x:v>4</x:v>
      </x:c>
      <x:c r="L617" s="289" t="n">
        <x:v>8</x:v>
      </x:c>
      <x:c r="M617" s="289" t="n">
        <x:v>6636</x:v>
      </x:c>
      <x:c r="N617" s="289" t="n">
        <x:v>6636</x:v>
      </x:c>
      <x:c r="O617" s="289" t="n">
        <x:v>6636</x:v>
      </x:c>
      <x:c r="P617" s="292"/>
      <x:c r="Q617" s="292" t="str">
        <x:v>candidate-preflight-passed</x:v>
      </x:c>
      <x:c r="R617" s="292" t="str"/>
      <x:c r="S617" s="292" t="str">
        <x:v>玄渊二十套全装备代码总表.xlsx</x:v>
      </x:c>
      <x:c r="T617" s="292" t="str">
        <x:v>玄渊20套全装备视觉候选；Items/StateItem/DnItems三库同码；属性待策划填写；OverLap=4; Expand1=8</x:v>
      </x:c>
      <x:c r="U617" t="str">
        <x:f>IF(COUNTIF($B$2:$B$1076,B617)&gt;1,"重复","")</x:f>
      </x:c>
      <x:c r="V617" t="str">
        <x:f>IF(AND(OR(M617="",M617=B617),OR(N617="",N617=B617),OR(O617="",O617=B617)),"通过","不一致")</x:f>
        <x:v>通过</x:v>
      </x:c>
    </x:row>
    <x:row r="618" ht="22" customHeight="1">
      <x:c r="A618" s="289" t="n">
        <x:v>617</x:v>
      </x:c>
      <x:c r="B618" s="289" t="n">
        <x:v>6637</x:v>
      </x:c>
      <x:c r="C618" s="290" t="str">
        <x:v>血月荆棘·荆冠</x:v>
      </x:c>
      <x:c r="D618" s="290" t="str">
        <x:v>血月荆棘</x:v>
      </x:c>
      <x:c r="E618" s="290" t="n">
        <x:v>2</x:v>
      </x:c>
      <x:c r="F618" s="290" t="str">
        <x:v>生肖9</x:v>
      </x:c>
      <x:c r="G618" s="289" t="n">
        <x:v>22</x:v>
      </x:c>
      <x:c r="H618" s="289" t="n">
        <x:v>48</x:v>
      </x:c>
      <x:c r="I618" s="289" t="n">
        <x:v>6637</x:v>
      </x:c>
      <x:c r="J618" s="289" t="n">
        <x:v>0</x:v>
      </x:c>
      <x:c r="K618" s="289" t="n">
        <x:v>4</x:v>
      </x:c>
      <x:c r="L618" s="289" t="n">
        <x:v>9</x:v>
      </x:c>
      <x:c r="M618" s="289" t="n">
        <x:v>6637</x:v>
      </x:c>
      <x:c r="N618" s="289" t="n">
        <x:v>6637</x:v>
      </x:c>
      <x:c r="O618" s="289" t="n">
        <x:v>6637</x:v>
      </x:c>
      <x:c r="P618" s="292"/>
      <x:c r="Q618" s="292" t="str">
        <x:v>candidate-preflight-passed</x:v>
      </x:c>
      <x:c r="R618" s="292" t="str"/>
      <x:c r="S618" s="292" t="str">
        <x:v>玄渊二十套全装备代码总表.xlsx</x:v>
      </x:c>
      <x:c r="T618" s="292" t="str">
        <x:v>玄渊20套全装备视觉候选；Items/StateItem/DnItems三库同码；属性待策划填写；OverLap=4; Expand1=9</x:v>
      </x:c>
      <x:c r="U618" t="str">
        <x:f>IF(COUNTIF($B$2:$B$1076,B618)&gt;1,"重复","")</x:f>
      </x:c>
      <x:c r="V618" t="str">
        <x:f>IF(AND(OR(M618="",M618=B618),OR(N618="",N618=B618),OR(O618="",O618=B618)),"通过","不一致")</x:f>
        <x:v>通过</x:v>
      </x:c>
    </x:row>
    <x:row r="619" ht="22" customHeight="1">
      <x:c r="A619" s="289" t="n">
        <x:v>618</x:v>
      </x:c>
      <x:c r="B619" s="289" t="n">
        <x:v>6638</x:v>
      </x:c>
      <x:c r="C619" s="290" t="str">
        <x:v>血月荆棘·荆冠</x:v>
      </x:c>
      <x:c r="D619" s="290" t="str">
        <x:v>血月荆棘</x:v>
      </x:c>
      <x:c r="E619" s="290" t="n">
        <x:v>2</x:v>
      </x:c>
      <x:c r="F619" s="290" t="str">
        <x:v>生肖10</x:v>
      </x:c>
      <x:c r="G619" s="289" t="n">
        <x:v>22</x:v>
      </x:c>
      <x:c r="H619" s="289" t="n">
        <x:v>49</x:v>
      </x:c>
      <x:c r="I619" s="289" t="n">
        <x:v>6638</x:v>
      </x:c>
      <x:c r="J619" s="289" t="n">
        <x:v>0</x:v>
      </x:c>
      <x:c r="K619" s="289" t="n">
        <x:v>4</x:v>
      </x:c>
      <x:c r="L619" s="289" t="n">
        <x:v>10</x:v>
      </x:c>
      <x:c r="M619" s="289" t="n">
        <x:v>6638</x:v>
      </x:c>
      <x:c r="N619" s="289" t="n">
        <x:v>6638</x:v>
      </x:c>
      <x:c r="O619" s="289" t="n">
        <x:v>6638</x:v>
      </x:c>
      <x:c r="P619" s="292"/>
      <x:c r="Q619" s="292" t="str">
        <x:v>candidate-preflight-passed</x:v>
      </x:c>
      <x:c r="R619" s="292" t="str"/>
      <x:c r="S619" s="292" t="str">
        <x:v>玄渊二十套全装备代码总表.xlsx</x:v>
      </x:c>
      <x:c r="T619" s="292" t="str">
        <x:v>玄渊20套全装备视觉候选；Items/StateItem/DnItems三库同码；属性待策划填写；OverLap=4; Expand1=10</x:v>
      </x:c>
      <x:c r="U619" t="str">
        <x:f>IF(COUNTIF($B$2:$B$1076,B619)&gt;1,"重复","")</x:f>
      </x:c>
      <x:c r="V619" t="str">
        <x:f>IF(AND(OR(M619="",M619=B619),OR(N619="",N619=B619),OR(O619="",O619=B619)),"通过","不一致")</x:f>
        <x:v>通过</x:v>
      </x:c>
    </x:row>
    <x:row r="620" ht="22" customHeight="1">
      <x:c r="A620" s="289" t="n">
        <x:v>619</x:v>
      </x:c>
      <x:c r="B620" s="289" t="n">
        <x:v>6639</x:v>
      </x:c>
      <x:c r="C620" s="290" t="str">
        <x:v>血月荆棘·荆冠</x:v>
      </x:c>
      <x:c r="D620" s="290" t="str">
        <x:v>血月荆棘</x:v>
      </x:c>
      <x:c r="E620" s="290" t="n">
        <x:v>2</x:v>
      </x:c>
      <x:c r="F620" s="290" t="str">
        <x:v>生肖11</x:v>
      </x:c>
      <x:c r="G620" s="289" t="n">
        <x:v>22</x:v>
      </x:c>
      <x:c r="H620" s="289" t="n">
        <x:v>50</x:v>
      </x:c>
      <x:c r="I620" s="289" t="n">
        <x:v>6639</x:v>
      </x:c>
      <x:c r="J620" s="289" t="n">
        <x:v>0</x:v>
      </x:c>
      <x:c r="K620" s="289" t="n">
        <x:v>4</x:v>
      </x:c>
      <x:c r="L620" s="289" t="n">
        <x:v>11</x:v>
      </x:c>
      <x:c r="M620" s="289" t="n">
        <x:v>6639</x:v>
      </x:c>
      <x:c r="N620" s="289" t="n">
        <x:v>6639</x:v>
      </x:c>
      <x:c r="O620" s="289" t="n">
        <x:v>6639</x:v>
      </x:c>
      <x:c r="P620" s="292"/>
      <x:c r="Q620" s="292" t="str">
        <x:v>candidate-preflight-passed</x:v>
      </x:c>
      <x:c r="R620" s="292" t="str"/>
      <x:c r="S620" s="292" t="str">
        <x:v>玄渊二十套全装备代码总表.xlsx</x:v>
      </x:c>
      <x:c r="T620" s="292" t="str">
        <x:v>玄渊20套全装备视觉候选；Items/StateItem/DnItems三库同码；属性待策划填写；OverLap=4; Expand1=11</x:v>
      </x:c>
      <x:c r="U620" t="str">
        <x:f>IF(COUNTIF($B$2:$B$1076,B620)&gt;1,"重复","")</x:f>
      </x:c>
      <x:c r="V620" t="str">
        <x:f>IF(AND(OR(M620="",M620=B620),OR(N620="",N620=B620),OR(O620="",O620=B620)),"通过","不一致")</x:f>
        <x:v>通过</x:v>
      </x:c>
    </x:row>
    <x:row r="621" ht="22" customHeight="1">
      <x:c r="A621" s="289" t="n">
        <x:v>620</x:v>
      </x:c>
      <x:c r="B621" s="289" t="n">
        <x:v>6640</x:v>
      </x:c>
      <x:c r="C621" s="290" t="str">
        <x:v>血月荆棘·荆冠</x:v>
      </x:c>
      <x:c r="D621" s="290" t="str">
        <x:v>血月荆棘</x:v>
      </x:c>
      <x:c r="E621" s="290" t="n">
        <x:v>2</x:v>
      </x:c>
      <x:c r="F621" s="290" t="str">
        <x:v>生肖12</x:v>
      </x:c>
      <x:c r="G621" s="289" t="n">
        <x:v>22</x:v>
      </x:c>
      <x:c r="H621" s="289" t="n">
        <x:v>51</x:v>
      </x:c>
      <x:c r="I621" s="289" t="n">
        <x:v>6640</x:v>
      </x:c>
      <x:c r="J621" s="289" t="n">
        <x:v>0</x:v>
      </x:c>
      <x:c r="K621" s="289" t="n">
        <x:v>4</x:v>
      </x:c>
      <x:c r="L621" s="289" t="n">
        <x:v>12</x:v>
      </x:c>
      <x:c r="M621" s="289" t="n">
        <x:v>6640</x:v>
      </x:c>
      <x:c r="N621" s="289" t="n">
        <x:v>6640</x:v>
      </x:c>
      <x:c r="O621" s="289" t="n">
        <x:v>6640</x:v>
      </x:c>
      <x:c r="P621" s="292"/>
      <x:c r="Q621" s="292" t="str">
        <x:v>candidate-preflight-passed</x:v>
      </x:c>
      <x:c r="R621" s="292" t="str"/>
      <x:c r="S621" s="292" t="str">
        <x:v>玄渊二十套全装备代码总表.xlsx</x:v>
      </x:c>
      <x:c r="T621" s="292" t="str">
        <x:v>玄渊20套全装备视觉候选；Items/StateItem/DnItems三库同码；属性待策划填写；OverLap=4; Expand1=12</x:v>
      </x:c>
      <x:c r="U621" t="str">
        <x:f>IF(COUNTIF($B$2:$B$1076,B621)&gt;1,"重复","")</x:f>
      </x:c>
      <x:c r="V621" t="str">
        <x:f>IF(AND(OR(M621="",M621=B621),OR(N621="",N621=B621),OR(O621="",O621=B621)),"通过","不一致")</x:f>
        <x:v>通过</x:v>
      </x:c>
    </x:row>
    <x:row r="622" ht="22" customHeight="1">
      <x:c r="A622" s="289" t="n">
        <x:v>621</x:v>
      </x:c>
      <x:c r="B622" s="289" t="n">
        <x:v>6641</x:v>
      </x:c>
      <x:c r="C622" s="290" t="str">
        <x:v>血月荆棘·猩月</x:v>
      </x:c>
      <x:c r="D622" s="290" t="str">
        <x:v>血月荆棘</x:v>
      </x:c>
      <x:c r="E622" s="290" t="n">
        <x:v>3</x:v>
      </x:c>
      <x:c r="F622" s="290" t="str">
        <x:v>武器</x:v>
      </x:c>
      <x:c r="G622" s="289" t="n">
        <x:v>5</x:v>
      </x:c>
      <x:c r="H622" s="289" t="n">
        <x:v>1</x:v>
      </x:c>
      <x:c r="I622" s="289" t="n">
        <x:v>6641</x:v>
      </x:c>
      <x:c r="J622" s="289" t="n">
        <x:v>23</x:v>
      </x:c>
      <x:c r="K622" s="289" t="n">
        <x:v>0</x:v>
      </x:c>
      <x:c r="L622" s="289" t="n">
        <x:v>0</x:v>
      </x:c>
      <x:c r="M622" s="289" t="n">
        <x:v>6641</x:v>
      </x:c>
      <x:c r="N622" s="289" t="n">
        <x:v>6641</x:v>
      </x:c>
      <x:c r="O622" s="289" t="n">
        <x:v>6641</x:v>
      </x:c>
      <x:c r="P622" s="292" t="str">
        <x:v>Weapon.wzl/wzx（复用现有真实动作）</x:v>
      </x:c>
      <x:c r="Q622" s="292" t="str">
        <x:v>candidate-preflight-passed</x:v>
      </x:c>
      <x:c r="R622" s="324" t="str">
        <x:v>C3-C10规划锁定：葛弥的雾齿叉</x:v>
      </x:c>
      <x:c r="S622" s="292" t="str">
        <x:v>玄渊二十套全装备代码总表.xlsx</x:v>
      </x:c>
      <x:c r="T622" s="292" t="str">
        <x:v>玄渊20套全装备视觉候选；Items/StateItem/DnItems三库同码；属性待策划填写；Weapon Shape=23</x:v>
      </x:c>
      <x:c r="U622" t="str">
        <x:f>IF(COUNTIF($B$2:$B$1076,B622)&gt;1,"重复","")</x:f>
      </x:c>
      <x:c r="V622" t="str">
        <x:f>IF(AND(OR(M622="",M622=B622),OR(N622="",N622=B622),OR(O622="",O622=B622)),"通过","不一致")</x:f>
        <x:v>通过</x:v>
      </x:c>
    </x:row>
    <x:row r="623" ht="22" customHeight="1">
      <x:c r="A623" s="289" t="n">
        <x:v>622</x:v>
      </x:c>
      <x:c r="B623" s="289" t="n">
        <x:v>6642</x:v>
      </x:c>
      <x:c r="C623" s="290" t="str">
        <x:v>血月荆棘·猩月</x:v>
      </x:c>
      <x:c r="D623" s="290" t="str">
        <x:v>血月荆棘</x:v>
      </x:c>
      <x:c r="E623" s="290" t="n">
        <x:v>3</x:v>
      </x:c>
      <x:c r="F623" s="290" t="str">
        <x:v>男衣服</x:v>
      </x:c>
      <x:c r="G623" s="289" t="n">
        <x:v>10</x:v>
      </x:c>
      <x:c r="H623" s="289" t="n">
        <x:v>0</x:v>
      </x:c>
      <x:c r="I623" s="289" t="n">
        <x:v>6642</x:v>
      </x:c>
      <x:c r="J623" s="289" t="n">
        <x:v>8</x:v>
      </x:c>
      <x:c r="K623" s="289" t="n">
        <x:v>0</x:v>
      </x:c>
      <x:c r="L623" s="289" t="n">
        <x:v>0</x:v>
      </x:c>
      <x:c r="M623" s="289" t="n">
        <x:v>6642</x:v>
      </x:c>
      <x:c r="N623" s="289" t="n">
        <x:v>6642</x:v>
      </x:c>
      <x:c r="O623" s="289" t="n">
        <x:v>6642</x:v>
      </x:c>
      <x:c r="P623" s="292" t="str">
        <x:v>Hum.wzl/wzx（复用现有真实动作）</x:v>
      </x:c>
      <x:c r="Q623" s="292" t="str">
        <x:v>candidate-preflight-passed</x:v>
      </x:c>
      <x:c r="R623" s="324" t="str">
        <x:v>C3-C10规划锁定：弥瑟腐鳞衣</x:v>
      </x:c>
      <x:c r="S623" s="292" t="str">
        <x:v>玄渊二十套全装备代码总表.xlsx</x:v>
      </x:c>
      <x:c r="T623" s="292" t="str">
        <x:v>玄渊20套全装备视觉候选；Items/StateItem/DnItems三库同码；属性待策划填写；Hum Shape=8</x:v>
      </x:c>
      <x:c r="U623" t="str">
        <x:f>IF(COUNTIF($B$2:$B$1076,B623)&gt;1,"重复","")</x:f>
      </x:c>
      <x:c r="V623" t="str">
        <x:f>IF(AND(OR(M623="",M623=B623),OR(N623="",N623=B623),OR(O623="",O623=B623)),"通过","不一致")</x:f>
        <x:v>通过</x:v>
      </x:c>
    </x:row>
    <x:row r="624" ht="22" customHeight="1">
      <x:c r="A624" s="289" t="n">
        <x:v>623</x:v>
      </x:c>
      <x:c r="B624" s="289" t="n">
        <x:v>6643</x:v>
      </x:c>
      <x:c r="C624" s="290" t="str">
        <x:v>血月荆棘·猩月</x:v>
      </x:c>
      <x:c r="D624" s="290" t="str">
        <x:v>血月荆棘</x:v>
      </x:c>
      <x:c r="E624" s="290" t="n">
        <x:v>3</x:v>
      </x:c>
      <x:c r="F624" s="290" t="str">
        <x:v>女衣服</x:v>
      </x:c>
      <x:c r="G624" s="289" t="n">
        <x:v>11</x:v>
      </x:c>
      <x:c r="H624" s="289" t="n">
        <x:v>0</x:v>
      </x:c>
      <x:c r="I624" s="289" t="n">
        <x:v>6643</x:v>
      </x:c>
      <x:c r="J624" s="289" t="n">
        <x:v>8</x:v>
      </x:c>
      <x:c r="K624" s="289" t="n">
        <x:v>0</x:v>
      </x:c>
      <x:c r="L624" s="289" t="n">
        <x:v>0</x:v>
      </x:c>
      <x:c r="M624" s="289" t="n">
        <x:v>6643</x:v>
      </x:c>
      <x:c r="N624" s="289" t="n">
        <x:v>6643</x:v>
      </x:c>
      <x:c r="O624" s="289" t="n">
        <x:v>6643</x:v>
      </x:c>
      <x:c r="P624" s="292" t="str">
        <x:v>Hum.wzl/wzx（复用现有真实动作）</x:v>
      </x:c>
      <x:c r="Q624" s="292" t="str">
        <x:v>candidate-preflight-passed</x:v>
      </x:c>
      <x:c r="R624" s="292" t="str"/>
      <x:c r="S624" s="292" t="str">
        <x:v>玄渊二十套全装备代码总表.xlsx</x:v>
      </x:c>
      <x:c r="T624" s="292" t="str">
        <x:v>玄渊20套全装备视觉候选；Items/StateItem/DnItems三库同码；属性待策划填写；Hum Shape=8</x:v>
      </x:c>
      <x:c r="U624" t="str">
        <x:f>IF(COUNTIF($B$2:$B$1076,B624)&gt;1,"重复","")</x:f>
      </x:c>
      <x:c r="V624" t="str">
        <x:f>IF(AND(OR(M624="",M624=B624),OR(N624="",N624=B624),OR(O624="",O624=B624)),"通过","不一致")</x:f>
        <x:v>通过</x:v>
      </x:c>
    </x:row>
    <x:row r="625" ht="22" customHeight="1">
      <x:c r="A625" s="289" t="n">
        <x:v>624</x:v>
      </x:c>
      <x:c r="B625" s="289" t="n">
        <x:v>6644</x:v>
      </x:c>
      <x:c r="C625" s="290" t="str">
        <x:v>血月荆棘·猩月</x:v>
      </x:c>
      <x:c r="D625" s="290" t="str">
        <x:v>血月荆棘</x:v>
      </x:c>
      <x:c r="E625" s="290" t="n">
        <x:v>3</x:v>
      </x:c>
      <x:c r="F625" s="290" t="str">
        <x:v>头盔</x:v>
      </x:c>
      <x:c r="G625" s="289" t="n">
        <x:v>15</x:v>
      </x:c>
      <x:c r="H625" s="289" t="n">
        <x:v>4</x:v>
      </x:c>
      <x:c r="I625" s="289" t="n">
        <x:v>6644</x:v>
      </x:c>
      <x:c r="J625" s="289" t="n">
        <x:v>0</x:v>
      </x:c>
      <x:c r="K625" s="289" t="n">
        <x:v>0</x:v>
      </x:c>
      <x:c r="L625" s="289" t="n">
        <x:v>0</x:v>
      </x:c>
      <x:c r="M625" s="289" t="n">
        <x:v>6644</x:v>
      </x:c>
      <x:c r="N625" s="289" t="n">
        <x:v>6644</x:v>
      </x:c>
      <x:c r="O625" s="289" t="n">
        <x:v>6644</x:v>
      </x:c>
      <x:c r="P625" s="292"/>
      <x:c r="Q625" s="292" t="str">
        <x:v>candidate-preflight-passed</x:v>
      </x:c>
      <x:c r="R625" s="324" t="str">
        <x:v>C3-C10规划锁定：镀金羽冠</x:v>
      </x:c>
      <x:c r="S625" s="292" t="str">
        <x:v>玄渊二十套全装备代码总表.xlsx</x:v>
      </x:c>
      <x:c r="T625" s="292" t="str">
        <x:v>玄渊20套全装备视觉候选；Items/StateItem/DnItems三库同码；属性待策划填写</x:v>
      </x:c>
      <x:c r="U625" t="str">
        <x:f>IF(COUNTIF($B$2:$B$1076,B625)&gt;1,"重复","")</x:f>
      </x:c>
      <x:c r="V625" t="str">
        <x:f>IF(AND(OR(M625="",M625=B625),OR(N625="",N625=B625),OR(O625="",O625=B625)),"通过","不一致")</x:f>
        <x:v>通过</x:v>
      </x:c>
    </x:row>
    <x:row r="626" ht="22" customHeight="1">
      <x:c r="A626" s="289" t="n">
        <x:v>625</x:v>
      </x:c>
      <x:c r="B626" s="289" t="n">
        <x:v>6645</x:v>
      </x:c>
      <x:c r="C626" s="290" t="str">
        <x:v>血月荆棘·猩月</x:v>
      </x:c>
      <x:c r="D626" s="290" t="str">
        <x:v>血月荆棘</x:v>
      </x:c>
      <x:c r="E626" s="290" t="n">
        <x:v>3</x:v>
      </x:c>
      <x:c r="F626" s="290" t="str">
        <x:v>面巾</x:v>
      </x:c>
      <x:c r="G626" s="289" t="n">
        <x:v>16</x:v>
      </x:c>
      <x:c r="H626" s="289" t="n">
        <x:v>13</x:v>
      </x:c>
      <x:c r="I626" s="289" t="n">
        <x:v>6645</x:v>
      </x:c>
      <x:c r="J626" s="289" t="n">
        <x:v>0</x:v>
      </x:c>
      <x:c r="K626" s="289" t="n">
        <x:v>0</x:v>
      </x:c>
      <x:c r="L626" s="289" t="n">
        <x:v>0</x:v>
      </x:c>
      <x:c r="M626" s="289" t="n">
        <x:v>6645</x:v>
      </x:c>
      <x:c r="N626" s="289" t="n">
        <x:v>6645</x:v>
      </x:c>
      <x:c r="O626" s="289" t="n">
        <x:v>6645</x:v>
      </x:c>
      <x:c r="P626" s="292"/>
      <x:c r="Q626" s="292" t="str">
        <x:v>candidate-preflight-passed</x:v>
      </x:c>
      <x:c r="R626" s="324" t="str">
        <x:v>C3-C10规划锁定：雾凇引路笠</x:v>
      </x:c>
      <x:c r="S626" s="292" t="str">
        <x:v>玄渊二十套全装备代码总表.xlsx</x:v>
      </x:c>
      <x:c r="T626" s="292" t="str">
        <x:v>玄渊20套全装备视觉候选；Items/StateItem/DnItems三库同码；属性待策划填写</x:v>
      </x:c>
      <x:c r="U626" t="str">
        <x:f>IF(COUNTIF($B$2:$B$1076,B626)&gt;1,"重复","")</x:f>
      </x:c>
      <x:c r="V626" t="str">
        <x:f>IF(AND(OR(M626="",M626=B626),OR(N626="",N626=B626),OR(O626="",O626=B626)),"通过","不一致")</x:f>
        <x:v>通过</x:v>
      </x:c>
    </x:row>
    <x:row r="627" ht="22" customHeight="1">
      <x:c r="A627" s="289" t="n">
        <x:v>626</x:v>
      </x:c>
      <x:c r="B627" s="289" t="n">
        <x:v>6646</x:v>
      </x:c>
      <x:c r="C627" s="290" t="str">
        <x:v>血月荆棘·猩月</x:v>
      </x:c>
      <x:c r="D627" s="290" t="str">
        <x:v>血月荆棘</x:v>
      </x:c>
      <x:c r="E627" s="290" t="n">
        <x:v>3</x:v>
      </x:c>
      <x:c r="F627" s="290" t="str">
        <x:v>项链</x:v>
      </x:c>
      <x:c r="G627" s="289" t="n">
        <x:v>19</x:v>
      </x:c>
      <x:c r="H627" s="289" t="n">
        <x:v>3</x:v>
      </x:c>
      <x:c r="I627" s="289" t="n">
        <x:v>6646</x:v>
      </x:c>
      <x:c r="J627" s="289" t="n">
        <x:v>0</x:v>
      </x:c>
      <x:c r="K627" s="289" t="n">
        <x:v>0</x:v>
      </x:c>
      <x:c r="L627" s="289" t="n">
        <x:v>0</x:v>
      </x:c>
      <x:c r="M627" s="289" t="n">
        <x:v>6646</x:v>
      </x:c>
      <x:c r="N627" s="289" t="n">
        <x:v>6646</x:v>
      </x:c>
      <x:c r="O627" s="289" t="n">
        <x:v>6646</x:v>
      </x:c>
      <x:c r="P627" s="292"/>
      <x:c r="Q627" s="292" t="str">
        <x:v>candidate-preflight-passed</x:v>
      </x:c>
      <x:c r="R627" s="324" t="str">
        <x:v>C3-C10规划锁定：幽坛引魂铃</x:v>
      </x:c>
      <x:c r="S627" s="292" t="str">
        <x:v>玄渊二十套全装备代码总表.xlsx</x:v>
      </x:c>
      <x:c r="T627" s="292" t="str">
        <x:v>玄渊20套全装备视觉候选；Items/StateItem/DnItems三库同码；属性待策划填写</x:v>
      </x:c>
      <x:c r="U627" t="str">
        <x:f>IF(COUNTIF($B$2:$B$1076,B627)&gt;1,"重复","")</x:f>
      </x:c>
      <x:c r="V627" t="str">
        <x:f>IF(AND(OR(M627="",M627=B627),OR(N627="",N627=B627),OR(O627="",O627=B627)),"通过","不一致")</x:f>
        <x:v>通过</x:v>
      </x:c>
    </x:row>
    <x:row r="628" ht="22" customHeight="1">
      <x:c r="A628" s="289" t="n">
        <x:v>627</x:v>
      </x:c>
      <x:c r="B628" s="289" t="n">
        <x:v>6647</x:v>
      </x:c>
      <x:c r="C628" s="290" t="str">
        <x:v>血月荆棘·猩月</x:v>
      </x:c>
      <x:c r="D628" s="290" t="str">
        <x:v>血月荆棘</x:v>
      </x:c>
      <x:c r="E628" s="290" t="n">
        <x:v>3</x:v>
      </x:c>
      <x:c r="F628" s="290" t="str">
        <x:v>手镯</x:v>
      </x:c>
      <x:c r="G628" s="289" t="n">
        <x:v>26</x:v>
      </x:c>
      <x:c r="H628" s="289" t="n">
        <x:v>5</x:v>
      </x:c>
      <x:c r="I628" s="289" t="n">
        <x:v>6647</x:v>
      </x:c>
      <x:c r="J628" s="289" t="n">
        <x:v>0</x:v>
      </x:c>
      <x:c r="K628" s="289" t="n">
        <x:v>0</x:v>
      </x:c>
      <x:c r="L628" s="289" t="n">
        <x:v>0</x:v>
      </x:c>
      <x:c r="M628" s="289" t="n">
        <x:v>6647</x:v>
      </x:c>
      <x:c r="N628" s="289" t="n">
        <x:v>6647</x:v>
      </x:c>
      <x:c r="O628" s="289" t="n">
        <x:v>6647</x:v>
      </x:c>
      <x:c r="P628" s="292"/>
      <x:c r="Q628" s="292" t="str">
        <x:v>candidate-preflight-passed</x:v>
      </x:c>
      <x:c r="R628" s="324" t="str">
        <x:v>C3-C10规划锁定：赐光祷誓镯</x:v>
      </x:c>
      <x:c r="S628" s="292" t="str">
        <x:v>玄渊二十套全装备代码总表.xlsx</x:v>
      </x:c>
      <x:c r="T628" s="292" t="str">
        <x:v>玄渊20套全装备视觉候选；Items/StateItem/DnItems三库同码；属性待策划填写</x:v>
      </x:c>
      <x:c r="U628" t="str">
        <x:f>IF(COUNTIF($B$2:$B$1076,B628)&gt;1,"重复","")</x:f>
      </x:c>
      <x:c r="V628" t="str">
        <x:f>IF(AND(OR(M628="",M628=B628),OR(N628="",N628=B628),OR(O628="",O628=B628)),"通过","不一致")</x:f>
        <x:v>通过</x:v>
      </x:c>
    </x:row>
    <x:row r="629" ht="22" customHeight="1">
      <x:c r="A629" s="289" t="n">
        <x:v>628</x:v>
      </x:c>
      <x:c r="B629" s="289" t="n">
        <x:v>6648</x:v>
      </x:c>
      <x:c r="C629" s="290" t="str">
        <x:v>血月荆棘·猩月</x:v>
      </x:c>
      <x:c r="D629" s="290" t="str">
        <x:v>血月荆棘</x:v>
      </x:c>
      <x:c r="E629" s="290" t="n">
        <x:v>3</x:v>
      </x:c>
      <x:c r="F629" s="290" t="str">
        <x:v>戒指</x:v>
      </x:c>
      <x:c r="G629" s="289" t="n">
        <x:v>22</x:v>
      </x:c>
      <x:c r="H629" s="289" t="n">
        <x:v>7</x:v>
      </x:c>
      <x:c r="I629" s="289" t="n">
        <x:v>6648</x:v>
      </x:c>
      <x:c r="J629" s="289" t="n">
        <x:v>0</x:v>
      </x:c>
      <x:c r="K629" s="289" t="n">
        <x:v>0</x:v>
      </x:c>
      <x:c r="L629" s="289" t="n">
        <x:v>0</x:v>
      </x:c>
      <x:c r="M629" s="289" t="n">
        <x:v>6648</x:v>
      </x:c>
      <x:c r="N629" s="289" t="n">
        <x:v>6648</x:v>
      </x:c>
      <x:c r="O629" s="289" t="n">
        <x:v>6648</x:v>
      </x:c>
      <x:c r="P629" s="292"/>
      <x:c r="Q629" s="292" t="str">
        <x:v>candidate-preflight-passed</x:v>
      </x:c>
      <x:c r="R629" s="324" t="str">
        <x:v>C3-C10规划锁定：王树弩戒</x:v>
      </x:c>
      <x:c r="S629" s="292" t="str">
        <x:v>玄渊二十套全装备代码总表.xlsx</x:v>
      </x:c>
      <x:c r="T629" s="292" t="str">
        <x:v>玄渊20套全装备视觉候选；Items/StateItem/DnItems三库同码；属性待策划填写</x:v>
      </x:c>
      <x:c r="U629" t="str">
        <x:f>IF(COUNTIF($B$2:$B$1076,B629)&gt;1,"重复","")</x:f>
      </x:c>
      <x:c r="V629" t="str">
        <x:f>IF(AND(OR(M629="",M629=B629),OR(N629="",N629=B629),OR(O629="",O629=B629)),"通过","不一致")</x:f>
        <x:v>通过</x:v>
      </x:c>
    </x:row>
    <x:row r="630" ht="22" customHeight="1">
      <x:c r="A630" s="289" t="n">
        <x:v>629</x:v>
      </x:c>
      <x:c r="B630" s="289" t="n">
        <x:v>6649</x:v>
      </x:c>
      <x:c r="C630" s="290" t="str">
        <x:v>血月荆棘·猩月</x:v>
      </x:c>
      <x:c r="D630" s="290" t="str">
        <x:v>血月荆棘</x:v>
      </x:c>
      <x:c r="E630" s="290" t="n">
        <x:v>3</x:v>
      </x:c>
      <x:c r="F630" s="290" t="str">
        <x:v>勋章</x:v>
      </x:c>
      <x:c r="G630" s="289" t="n">
        <x:v>30</x:v>
      </x:c>
      <x:c r="H630" s="289" t="n">
        <x:v>2</x:v>
      </x:c>
      <x:c r="I630" s="289" t="n">
        <x:v>6649</x:v>
      </x:c>
      <x:c r="J630" s="289" t="n">
        <x:v>0</x:v>
      </x:c>
      <x:c r="K630" s="289" t="n">
        <x:v>0</x:v>
      </x:c>
      <x:c r="L630" s="289" t="n">
        <x:v>0</x:v>
      </x:c>
      <x:c r="M630" s="289" t="n">
        <x:v>6649</x:v>
      </x:c>
      <x:c r="N630" s="289" t="n">
        <x:v>6649</x:v>
      </x:c>
      <x:c r="O630" s="289" t="n">
        <x:v>6649</x:v>
      </x:c>
      <x:c r="P630" s="292"/>
      <x:c r="Q630" s="292" t="str">
        <x:v>candidate-preflight-passed</x:v>
      </x:c>
      <x:c r="R630" s="324" t="str">
        <x:v>C3-C10规划锁定：执炬勋章</x:v>
      </x:c>
      <x:c r="S630" s="292" t="str">
        <x:v>玄渊二十套全装备代码总表.xlsx</x:v>
      </x:c>
      <x:c r="T630" s="292" t="str">
        <x:v>玄渊20套全装备视觉候选；Items/StateItem/DnItems三库同码；属性待策划填写</x:v>
      </x:c>
      <x:c r="U630" t="str">
        <x:f>IF(COUNTIF($B$2:$B$1076,B630)&gt;1,"重复","")</x:f>
      </x:c>
      <x:c r="V630" t="str">
        <x:f>IF(AND(OR(M630="",M630=B630),OR(N630="",N630=B630),OR(O630="",O630=B630)),"通过","不一致")</x:f>
        <x:v>通过</x:v>
      </x:c>
    </x:row>
    <x:row r="631" ht="22" customHeight="1">
      <x:c r="A631" s="289" t="n">
        <x:v>630</x:v>
      </x:c>
      <x:c r="B631" s="289" t="n">
        <x:v>6650</x:v>
      </x:c>
      <x:c r="C631" s="290" t="str">
        <x:v>血月荆棘·猩月</x:v>
      </x:c>
      <x:c r="D631" s="290" t="str">
        <x:v>血月荆棘</x:v>
      </x:c>
      <x:c r="E631" s="290" t="n">
        <x:v>3</x:v>
      </x:c>
      <x:c r="F631" s="290" t="str">
        <x:v>盾牌</x:v>
      </x:c>
      <x:c r="G631" s="289" t="n">
        <x:v>12</x:v>
      </x:c>
      <x:c r="H631" s="289" t="n">
        <x:v>16</x:v>
      </x:c>
      <x:c r="I631" s="289" t="n">
        <x:v>6650</x:v>
      </x:c>
      <x:c r="J631" s="289" t="n">
        <x:v>0</x:v>
      </x:c>
      <x:c r="K631" s="289" t="n">
        <x:v>0</x:v>
      </x:c>
      <x:c r="L631" s="289" t="n">
        <x:v>0</x:v>
      </x:c>
      <x:c r="M631" s="289" t="n">
        <x:v>6650</x:v>
      </x:c>
      <x:c r="N631" s="289" t="n">
        <x:v>6650</x:v>
      </x:c>
      <x:c r="O631" s="289" t="n">
        <x:v>6650</x:v>
      </x:c>
      <x:c r="P631" s="292"/>
      <x:c r="Q631" s="292" t="str">
        <x:v>candidate-preflight-passed</x:v>
      </x:c>
      <x:c r="R631" s="324" t="str">
        <x:v>C3-C10规划锁定：巡潮重盾</x:v>
      </x:c>
      <x:c r="S631" s="292" t="str">
        <x:v>玄渊二十套全装备代码总表.xlsx</x:v>
      </x:c>
      <x:c r="T631" s="292" t="str">
        <x:v>玄渊20套全装备视觉候选；Items/StateItem/DnItems三库同码；属性待策划填写</x:v>
      </x:c>
      <x:c r="U631" t="str">
        <x:f>IF(COUNTIF($B$2:$B$1076,B631)&gt;1,"重复","")</x:f>
      </x:c>
      <x:c r="V631" t="str">
        <x:f>IF(AND(OR(M631="",M631=B631),OR(N631="",N631=B631),OR(O631="",O631=B631)),"通过","不一致")</x:f>
        <x:v>通过</x:v>
      </x:c>
    </x:row>
    <x:row r="632" ht="22" customHeight="1">
      <x:c r="A632" s="289" t="n">
        <x:v>631</x:v>
      </x:c>
      <x:c r="B632" s="289" t="n">
        <x:v>6651</x:v>
      </x:c>
      <x:c r="C632" s="290" t="str">
        <x:v>血月荆棘·猩月</x:v>
      </x:c>
      <x:c r="D632" s="290" t="str">
        <x:v>血月荆棘</x:v>
      </x:c>
      <x:c r="E632" s="290" t="n">
        <x:v>3</x:v>
      </x:c>
      <x:c r="F632" s="290" t="str">
        <x:v>灵玉</x:v>
      </x:c>
      <x:c r="G632" s="289" t="n">
        <x:v>90</x:v>
      </x:c>
      <x:c r="H632" s="289" t="n">
        <x:v>17</x:v>
      </x:c>
      <x:c r="I632" s="289" t="n">
        <x:v>6651</x:v>
      </x:c>
      <x:c r="J632" s="289" t="n">
        <x:v>0</x:v>
      </x:c>
      <x:c r="K632" s="289" t="n">
        <x:v>0</x:v>
      </x:c>
      <x:c r="L632" s="289" t="n">
        <x:v>0</x:v>
      </x:c>
      <x:c r="M632" s="289" t="n">
        <x:v>6651</x:v>
      </x:c>
      <x:c r="N632" s="289" t="n">
        <x:v>6651</x:v>
      </x:c>
      <x:c r="O632" s="289" t="n">
        <x:v>6651</x:v>
      </x:c>
      <x:c r="P632" s="292"/>
      <x:c r="Q632" s="292" t="str">
        <x:v>candidate-preflight-passed</x:v>
      </x:c>
      <x:c r="R632" s="292" t="str"/>
      <x:c r="S632" s="292" t="str">
        <x:v>玄渊二十套全装备代码总表.xlsx</x:v>
      </x:c>
      <x:c r="T632" s="292" t="str">
        <x:v>玄渊20套全装备视觉候选；Items/StateItem/DnItems三库同码；属性待策划填写</x:v>
      </x:c>
      <x:c r="U632" t="str">
        <x:f>IF(COUNTIF($B$2:$B$1076,B632)&gt;1,"重复","")</x:f>
      </x:c>
      <x:c r="V632" t="str">
        <x:f>IF(AND(OR(M632="",M632=B632),OR(N632="",N632=B632),OR(O632="",O632=B632)),"通过","不一致")</x:f>
        <x:v>通过</x:v>
      </x:c>
    </x:row>
    <x:row r="633" ht="22" customHeight="1">
      <x:c r="A633" s="289" t="n">
        <x:v>632</x:v>
      </x:c>
      <x:c r="B633" s="289" t="n">
        <x:v>6652</x:v>
      </x:c>
      <x:c r="C633" s="290" t="str">
        <x:v>血月荆棘·猩月</x:v>
      </x:c>
      <x:c r="D633" s="290" t="str">
        <x:v>血月荆棘</x:v>
      </x:c>
      <x:c r="E633" s="290" t="n">
        <x:v>3</x:v>
      </x:c>
      <x:c r="F633" s="290" t="str">
        <x:v>鞋子</x:v>
      </x:c>
      <x:c r="G633" s="289" t="n">
        <x:v>62</x:v>
      </x:c>
      <x:c r="H633" s="289" t="n">
        <x:v>11</x:v>
      </x:c>
      <x:c r="I633" s="289" t="n">
        <x:v>6652</x:v>
      </x:c>
      <x:c r="J633" s="289" t="n">
        <x:v>0</x:v>
      </x:c>
      <x:c r="K633" s="289" t="n">
        <x:v>0</x:v>
      </x:c>
      <x:c r="L633" s="289" t="n">
        <x:v>0</x:v>
      </x:c>
      <x:c r="M633" s="289" t="n">
        <x:v>6652</x:v>
      </x:c>
      <x:c r="N633" s="289" t="n">
        <x:v>6652</x:v>
      </x:c>
      <x:c r="O633" s="289" t="n">
        <x:v>6652</x:v>
      </x:c>
      <x:c r="P633" s="292"/>
      <x:c r="Q633" s="292" t="str">
        <x:v>candidate-preflight-passed</x:v>
      </x:c>
      <x:c r="R633" s="324" t="str">
        <x:v>C3-C10规划锁定：雾脚蹼靴</x:v>
      </x:c>
      <x:c r="S633" s="292" t="str">
        <x:v>玄渊二十套全装备代码总表.xlsx</x:v>
      </x:c>
      <x:c r="T633" s="292" t="str">
        <x:v>玄渊20套全装备视觉候选；Items/StateItem/DnItems三库同码；属性待策划填写</x:v>
      </x:c>
      <x:c r="U633" t="str">
        <x:f>IF(COUNTIF($B$2:$B$1076,B633)&gt;1,"重复","")</x:f>
      </x:c>
      <x:c r="V633" t="str">
        <x:f>IF(AND(OR(M633="",M633=B633),OR(N633="",N633=B633),OR(O633="",O633=B633)),"通过","不一致")</x:f>
        <x:v>通过</x:v>
      </x:c>
    </x:row>
    <x:row r="634" ht="22" customHeight="1">
      <x:c r="A634" s="289" t="n">
        <x:v>633</x:v>
      </x:c>
      <x:c r="B634" s="289" t="n">
        <x:v>6653</x:v>
      </x:c>
      <x:c r="C634" s="290" t="str">
        <x:v>血月荆棘·猩月</x:v>
      </x:c>
      <x:c r="D634" s="290" t="str">
        <x:v>血月荆棘</x:v>
      </x:c>
      <x:c r="E634" s="290" t="n">
        <x:v>3</x:v>
      </x:c>
      <x:c r="F634" s="290" t="str">
        <x:v>腰带</x:v>
      </x:c>
      <x:c r="G634" s="289" t="n">
        <x:v>64</x:v>
      </x:c>
      <x:c r="H634" s="289" t="n">
        <x:v>10</x:v>
      </x:c>
      <x:c r="I634" s="289" t="n">
        <x:v>6653</x:v>
      </x:c>
      <x:c r="J634" s="289" t="n">
        <x:v>0</x:v>
      </x:c>
      <x:c r="K634" s="289" t="n">
        <x:v>0</x:v>
      </x:c>
      <x:c r="L634" s="289" t="n">
        <x:v>0</x:v>
      </x:c>
      <x:c r="M634" s="289" t="n">
        <x:v>6653</x:v>
      </x:c>
      <x:c r="N634" s="289" t="n">
        <x:v>6653</x:v>
      </x:c>
      <x:c r="O634" s="289" t="n">
        <x:v>6653</x:v>
      </x:c>
      <x:c r="P634" s="292"/>
      <x:c r="Q634" s="292" t="str">
        <x:v>candidate-preflight-passed</x:v>
      </x:c>
      <x:c r="R634" s="324" t="str">
        <x:v>C3-C10规划锁定：破帆腰带</x:v>
      </x:c>
      <x:c r="S634" s="292" t="str">
        <x:v>玄渊二十套全装备代码总表.xlsx</x:v>
      </x:c>
      <x:c r="T634" s="292" t="str">
        <x:v>玄渊20套全装备视觉候选；Items/StateItem/DnItems三库同码；属性待策划填写</x:v>
      </x:c>
      <x:c r="U634" t="str">
        <x:f>IF(COUNTIF($B$2:$B$1076,B634)&gt;1,"重复","")</x:f>
      </x:c>
      <x:c r="V634" t="str">
        <x:f>IF(AND(OR(M634="",M634=B634),OR(N634="",N634=B634),OR(O634="",O634=B634)),"通过","不一致")</x:f>
        <x:v>通过</x:v>
      </x:c>
    </x:row>
    <x:row r="635" ht="22" customHeight="1">
      <x:c r="A635" s="289" t="n">
        <x:v>634</x:v>
      </x:c>
      <x:c r="B635" s="289" t="n">
        <x:v>6654</x:v>
      </x:c>
      <x:c r="C635" s="290" t="str">
        <x:v>血月荆棘·猩月</x:v>
      </x:c>
      <x:c r="D635" s="290" t="str">
        <x:v>血月荆棘</x:v>
      </x:c>
      <x:c r="E635" s="290" t="n">
        <x:v>3</x:v>
      </x:c>
      <x:c r="F635" s="290" t="str">
        <x:v>护身符</x:v>
      </x:c>
      <x:c r="G635" s="289" t="n">
        <x:v>25</x:v>
      </x:c>
      <x:c r="H635" s="289" t="n">
        <x:v>9</x:v>
      </x:c>
      <x:c r="I635" s="289" t="n">
        <x:v>6654</x:v>
      </x:c>
      <x:c r="J635" s="289" t="n">
        <x:v>0</x:v>
      </x:c>
      <x:c r="K635" s="289" t="n">
        <x:v>0</x:v>
      </x:c>
      <x:c r="L635" s="289" t="n">
        <x:v>0</x:v>
      </x:c>
      <x:c r="M635" s="289" t="n">
        <x:v>6654</x:v>
      </x:c>
      <x:c r="N635" s="289" t="n">
        <x:v>6654</x:v>
      </x:c>
      <x:c r="O635" s="289" t="n">
        <x:v>6654</x:v>
      </x:c>
      <x:c r="P635" s="292"/>
      <x:c r="Q635" s="292" t="str">
        <x:v>candidate-preflight-passed</x:v>
      </x:c>
      <x:c r="R635" s="292" t="str"/>
      <x:c r="S635" s="292" t="str">
        <x:v>玄渊二十套全装备代码总表.xlsx</x:v>
      </x:c>
      <x:c r="T635" s="292" t="str">
        <x:v>玄渊20套全装备视觉候选；Items/StateItem/DnItems三库同码；属性待策划填写</x:v>
      </x:c>
      <x:c r="U635" t="str">
        <x:f>IF(COUNTIF($B$2:$B$1076,B635)&gt;1,"重复","")</x:f>
      </x:c>
      <x:c r="V635" t="str">
        <x:f>IF(AND(OR(M635="",M635=B635),OR(N635="",N635=B635),OR(O635="",O635=B635)),"通过","不一致")</x:f>
        <x:v>通过</x:v>
      </x:c>
    </x:row>
    <x:row r="636" ht="22" customHeight="1">
      <x:c r="A636" s="289" t="n">
        <x:v>635</x:v>
      </x:c>
      <x:c r="B636" s="289" t="n">
        <x:v>6655</x:v>
      </x:c>
      <x:c r="C636" s="290" t="str">
        <x:v>血月荆棘·猩月</x:v>
      </x:c>
      <x:c r="D636" s="290" t="str">
        <x:v>血月荆棘</x:v>
      </x:c>
      <x:c r="E636" s="290" t="n">
        <x:v>3</x:v>
      </x:c>
      <x:c r="F636" s="290" t="str">
        <x:v>宝石</x:v>
      </x:c>
      <x:c r="G636" s="289" t="n">
        <x:v>63</x:v>
      </x:c>
      <x:c r="H636" s="289" t="n">
        <x:v>12</x:v>
      </x:c>
      <x:c r="I636" s="289" t="n">
        <x:v>6655</x:v>
      </x:c>
      <x:c r="J636" s="289" t="n">
        <x:v>0</x:v>
      </x:c>
      <x:c r="K636" s="289" t="n">
        <x:v>0</x:v>
      </x:c>
      <x:c r="L636" s="289" t="n">
        <x:v>0</x:v>
      </x:c>
      <x:c r="M636" s="289" t="n">
        <x:v>6655</x:v>
      </x:c>
      <x:c r="N636" s="289" t="n">
        <x:v>6655</x:v>
      </x:c>
      <x:c r="O636" s="289" t="n">
        <x:v>6655</x:v>
      </x:c>
      <x:c r="P636" s="292"/>
      <x:c r="Q636" s="292" t="str">
        <x:v>candidate-preflight-passed</x:v>
      </x:c>
      <x:c r="R636" s="292" t="str"/>
      <x:c r="S636" s="292" t="str">
        <x:v>玄渊二十套全装备代码总表.xlsx</x:v>
      </x:c>
      <x:c r="T636" s="292" t="str">
        <x:v>玄渊20套全装备视觉候选；Items/StateItem/DnItems三库同码；属性待策划填写</x:v>
      </x:c>
      <x:c r="U636" t="str">
        <x:f>IF(COUNTIF($B$2:$B$1076,B636)&gt;1,"重复","")</x:f>
      </x:c>
      <x:c r="V636" t="str">
        <x:f>IF(AND(OR(M636="",M636=B636),OR(N636="",N636=B636),OR(O636="",O636=B636)),"通过","不一致")</x:f>
        <x:v>通过</x:v>
      </x:c>
    </x:row>
    <x:row r="637" ht="22" customHeight="1">
      <x:c r="A637" s="289" t="n">
        <x:v>636</x:v>
      </x:c>
      <x:c r="B637" s="289" t="n">
        <x:v>6656</x:v>
      </x:c>
      <x:c r="C637" s="290" t="str">
        <x:v>血月荆棘·猩月</x:v>
      </x:c>
      <x:c r="D637" s="290" t="str">
        <x:v>血月荆棘</x:v>
      </x:c>
      <x:c r="E637" s="290" t="n">
        <x:v>3</x:v>
      </x:c>
      <x:c r="F637" s="290" t="str">
        <x:v>军鼓</x:v>
      </x:c>
      <x:c r="G637" s="289" t="n">
        <x:v>65</x:v>
      </x:c>
      <x:c r="H637" s="289" t="n">
        <x:v>14</x:v>
      </x:c>
      <x:c r="I637" s="289" t="n">
        <x:v>6656</x:v>
      </x:c>
      <x:c r="J637" s="289" t="n">
        <x:v>0</x:v>
      </x:c>
      <x:c r="K637" s="289" t="n">
        <x:v>0</x:v>
      </x:c>
      <x:c r="L637" s="289" t="n">
        <x:v>0</x:v>
      </x:c>
      <x:c r="M637" s="289" t="n">
        <x:v>6656</x:v>
      </x:c>
      <x:c r="N637" s="289" t="n">
        <x:v>6656</x:v>
      </x:c>
      <x:c r="O637" s="289" t="n">
        <x:v>6656</x:v>
      </x:c>
      <x:c r="P637" s="292"/>
      <x:c r="Q637" s="292" t="str">
        <x:v>candidate-preflight-passed</x:v>
      </x:c>
      <x:c r="R637" s="292" t="str"/>
      <x:c r="S637" s="292" t="str">
        <x:v>玄渊二十套全装备代码总表.xlsx</x:v>
      </x:c>
      <x:c r="T637" s="292" t="str">
        <x:v>玄渊20套全装备视觉候选；Items/StateItem/DnItems三库同码；属性待策划填写</x:v>
      </x:c>
      <x:c r="U637" t="str">
        <x:f>IF(COUNTIF($B$2:$B$1076,B637)&gt;1,"重复","")</x:f>
      </x:c>
      <x:c r="V637" t="str">
        <x:f>IF(AND(OR(M637="",M637=B637),OR(N637="",N637=B637),OR(O637="",O637=B637)),"通过","不一致")</x:f>
        <x:v>通过</x:v>
      </x:c>
    </x:row>
    <x:row r="638" ht="22" customHeight="1">
      <x:c r="A638" s="289" t="n">
        <x:v>637</x:v>
      </x:c>
      <x:c r="B638" s="289" t="n">
        <x:v>6657</x:v>
      </x:c>
      <x:c r="C638" s="290" t="str">
        <x:v>血月荆棘·猩月</x:v>
      </x:c>
      <x:c r="D638" s="290" t="str">
        <x:v>血月荆棘</x:v>
      </x:c>
      <x:c r="E638" s="290" t="n">
        <x:v>3</x:v>
      </x:c>
      <x:c r="F638" s="290" t="str">
        <x:v>马牌</x:v>
      </x:c>
      <x:c r="G638" s="289" t="n">
        <x:v>28</x:v>
      </x:c>
      <x:c r="H638" s="289" t="n">
        <x:v>15</x:v>
      </x:c>
      <x:c r="I638" s="289" t="n">
        <x:v>6657</x:v>
      </x:c>
      <x:c r="J638" s="289" t="n">
        <x:v>0</x:v>
      </x:c>
      <x:c r="K638" s="289" t="n">
        <x:v>0</x:v>
      </x:c>
      <x:c r="L638" s="289" t="n">
        <x:v>0</x:v>
      </x:c>
      <x:c r="M638" s="289" t="n">
        <x:v>6657</x:v>
      </x:c>
      <x:c r="N638" s="289" t="n">
        <x:v>6657</x:v>
      </x:c>
      <x:c r="O638" s="289" t="n">
        <x:v>6657</x:v>
      </x:c>
      <x:c r="P638" s="292"/>
      <x:c r="Q638" s="292" t="str">
        <x:v>candidate-preflight-passed</x:v>
      </x:c>
      <x:c r="R638" s="292" t="str"/>
      <x:c r="S638" s="292" t="str">
        <x:v>玄渊二十套全装备代码总表.xlsx</x:v>
      </x:c>
      <x:c r="T638" s="292" t="str">
        <x:v>玄渊20套全装备视觉候选；Items/StateItem/DnItems三库同码；属性待策划填写</x:v>
      </x:c>
      <x:c r="U638" t="str">
        <x:f>IF(COUNTIF($B$2:$B$1076,B638)&gt;1,"重复","")</x:f>
      </x:c>
      <x:c r="V638" t="str">
        <x:f>IF(AND(OR(M638="",M638=B638),OR(N638="",N638=B638),OR(O638="",O638=B638)),"通过","不一致")</x:f>
        <x:v>通过</x:v>
      </x:c>
    </x:row>
    <x:row r="639" ht="22" customHeight="1">
      <x:c r="A639" s="289" t="n">
        <x:v>638</x:v>
      </x:c>
      <x:c r="B639" s="289" t="n">
        <x:v>6658</x:v>
      </x:c>
      <x:c r="C639" s="290" t="str">
        <x:v>血月荆棘·猩月</x:v>
      </x:c>
      <x:c r="D639" s="290" t="str">
        <x:v>血月荆棘</x:v>
      </x:c>
      <x:c r="E639" s="290" t="n">
        <x:v>3</x:v>
      </x:c>
      <x:c r="F639" s="290" t="str">
        <x:v>首饰盒1</x:v>
      </x:c>
      <x:c r="G639" s="289" t="n">
        <x:v>22</x:v>
      </x:c>
      <x:c r="H639" s="289" t="n">
        <x:v>30</x:v>
      </x:c>
      <x:c r="I639" s="289" t="n">
        <x:v>6658</x:v>
      </x:c>
      <x:c r="J639" s="289" t="n">
        <x:v>0</x:v>
      </x:c>
      <x:c r="K639" s="289" t="n">
        <x:v>2</x:v>
      </x:c>
      <x:c r="L639" s="289" t="n">
        <x:v>1</x:v>
      </x:c>
      <x:c r="M639" s="289" t="n">
        <x:v>6658</x:v>
      </x:c>
      <x:c r="N639" s="289" t="n">
        <x:v>6658</x:v>
      </x:c>
      <x:c r="O639" s="289" t="n">
        <x:v>6658</x:v>
      </x:c>
      <x:c r="P639" s="292"/>
      <x:c r="Q639" s="292" t="str">
        <x:v>candidate-preflight-passed</x:v>
      </x:c>
      <x:c r="R639" s="292" t="str"/>
      <x:c r="S639" s="292" t="str">
        <x:v>玄渊二十套全装备代码总表.xlsx</x:v>
      </x:c>
      <x:c r="T639" s="292" t="str">
        <x:v>玄渊20套全装备视觉候选；Items/StateItem/DnItems三库同码；属性待策划填写；OverLap=2; Expand1=1</x:v>
      </x:c>
      <x:c r="U639" t="str">
        <x:f>IF(COUNTIF($B$2:$B$1076,B639)&gt;1,"重复","")</x:f>
      </x:c>
      <x:c r="V639" t="str">
        <x:f>IF(AND(OR(M639="",M639=B639),OR(N639="",N639=B639),OR(O639="",O639=B639)),"通过","不一致")</x:f>
        <x:v>通过</x:v>
      </x:c>
    </x:row>
    <x:row r="640" ht="22" customHeight="1">
      <x:c r="A640" s="289" t="n">
        <x:v>639</x:v>
      </x:c>
      <x:c r="B640" s="289" t="n">
        <x:v>6659</x:v>
      </x:c>
      <x:c r="C640" s="290" t="str">
        <x:v>血月荆棘·猩月</x:v>
      </x:c>
      <x:c r="D640" s="290" t="str">
        <x:v>血月荆棘</x:v>
      </x:c>
      <x:c r="E640" s="290" t="n">
        <x:v>3</x:v>
      </x:c>
      <x:c r="F640" s="290" t="str">
        <x:v>首饰盒2</x:v>
      </x:c>
      <x:c r="G640" s="289" t="n">
        <x:v>22</x:v>
      </x:c>
      <x:c r="H640" s="289" t="n">
        <x:v>31</x:v>
      </x:c>
      <x:c r="I640" s="289" t="n">
        <x:v>6659</x:v>
      </x:c>
      <x:c r="J640" s="289" t="n">
        <x:v>0</x:v>
      </x:c>
      <x:c r="K640" s="289" t="n">
        <x:v>2</x:v>
      </x:c>
      <x:c r="L640" s="289" t="n">
        <x:v>2</x:v>
      </x:c>
      <x:c r="M640" s="289" t="n">
        <x:v>6659</x:v>
      </x:c>
      <x:c r="N640" s="289" t="n">
        <x:v>6659</x:v>
      </x:c>
      <x:c r="O640" s="289" t="n">
        <x:v>6659</x:v>
      </x:c>
      <x:c r="P640" s="292"/>
      <x:c r="Q640" s="292" t="str">
        <x:v>candidate-preflight-passed</x:v>
      </x:c>
      <x:c r="R640" s="292" t="str"/>
      <x:c r="S640" s="292" t="str">
        <x:v>玄渊二十套全装备代码总表.xlsx</x:v>
      </x:c>
      <x:c r="T640" s="292" t="str">
        <x:v>玄渊20套全装备视觉候选；Items/StateItem/DnItems三库同码；属性待策划填写；OverLap=2; Expand1=2</x:v>
      </x:c>
      <x:c r="U640" t="str">
        <x:f>IF(COUNTIF($B$2:$B$1076,B640)&gt;1,"重复","")</x:f>
      </x:c>
      <x:c r="V640" t="str">
        <x:f>IF(AND(OR(M640="",M640=B640),OR(N640="",N640=B640),OR(O640="",O640=B640)),"通过","不一致")</x:f>
        <x:v>通过</x:v>
      </x:c>
    </x:row>
    <x:row r="641" ht="22" customHeight="1">
      <x:c r="A641" s="289" t="n">
        <x:v>640</x:v>
      </x:c>
      <x:c r="B641" s="289" t="n">
        <x:v>6660</x:v>
      </x:c>
      <x:c r="C641" s="290" t="str">
        <x:v>血月荆棘·猩月</x:v>
      </x:c>
      <x:c r="D641" s="290" t="str">
        <x:v>血月荆棘</x:v>
      </x:c>
      <x:c r="E641" s="290" t="n">
        <x:v>3</x:v>
      </x:c>
      <x:c r="F641" s="290" t="str">
        <x:v>首饰盒3</x:v>
      </x:c>
      <x:c r="G641" s="289" t="n">
        <x:v>22</x:v>
      </x:c>
      <x:c r="H641" s="289" t="n">
        <x:v>32</x:v>
      </x:c>
      <x:c r="I641" s="289" t="n">
        <x:v>6660</x:v>
      </x:c>
      <x:c r="J641" s="289" t="n">
        <x:v>0</x:v>
      </x:c>
      <x:c r="K641" s="289" t="n">
        <x:v>2</x:v>
      </x:c>
      <x:c r="L641" s="289" t="n">
        <x:v>3</x:v>
      </x:c>
      <x:c r="M641" s="289" t="n">
        <x:v>6660</x:v>
      </x:c>
      <x:c r="N641" s="289" t="n">
        <x:v>6660</x:v>
      </x:c>
      <x:c r="O641" s="289" t="n">
        <x:v>6660</x:v>
      </x:c>
      <x:c r="P641" s="292"/>
      <x:c r="Q641" s="292" t="str">
        <x:v>candidate-preflight-passed</x:v>
      </x:c>
      <x:c r="R641" s="292" t="str"/>
      <x:c r="S641" s="292" t="str">
        <x:v>玄渊二十套全装备代码总表.xlsx</x:v>
      </x:c>
      <x:c r="T641" s="292" t="str">
        <x:v>玄渊20套全装备视觉候选；Items/StateItem/DnItems三库同码；属性待策划填写；OverLap=2; Expand1=3</x:v>
      </x:c>
      <x:c r="U641" t="str">
        <x:f>IF(COUNTIF($B$2:$B$1076,B641)&gt;1,"重复","")</x:f>
      </x:c>
      <x:c r="V641" t="str">
        <x:f>IF(AND(OR(M641="",M641=B641),OR(N641="",N641=B641),OR(O641="",O641=B641)),"通过","不一致")</x:f>
        <x:v>通过</x:v>
      </x:c>
    </x:row>
    <x:row r="642" ht="22" customHeight="1">
      <x:c r="A642" s="289" t="n">
        <x:v>641</x:v>
      </x:c>
      <x:c r="B642" s="289" t="n">
        <x:v>6661</x:v>
      </x:c>
      <x:c r="C642" s="290" t="str">
        <x:v>血月荆棘·猩月</x:v>
      </x:c>
      <x:c r="D642" s="290" t="str">
        <x:v>血月荆棘</x:v>
      </x:c>
      <x:c r="E642" s="290" t="n">
        <x:v>3</x:v>
      </x:c>
      <x:c r="F642" s="290" t="str">
        <x:v>首饰盒4</x:v>
      </x:c>
      <x:c r="G642" s="289" t="n">
        <x:v>22</x:v>
      </x:c>
      <x:c r="H642" s="289" t="n">
        <x:v>33</x:v>
      </x:c>
      <x:c r="I642" s="289" t="n">
        <x:v>6661</x:v>
      </x:c>
      <x:c r="J642" s="289" t="n">
        <x:v>0</x:v>
      </x:c>
      <x:c r="K642" s="289" t="n">
        <x:v>2</x:v>
      </x:c>
      <x:c r="L642" s="289" t="n">
        <x:v>4</x:v>
      </x:c>
      <x:c r="M642" s="289" t="n">
        <x:v>6661</x:v>
      </x:c>
      <x:c r="N642" s="289" t="n">
        <x:v>6661</x:v>
      </x:c>
      <x:c r="O642" s="289" t="n">
        <x:v>6661</x:v>
      </x:c>
      <x:c r="P642" s="292"/>
      <x:c r="Q642" s="292" t="str">
        <x:v>candidate-preflight-passed</x:v>
      </x:c>
      <x:c r="R642" s="292" t="str"/>
      <x:c r="S642" s="292" t="str">
        <x:v>玄渊二十套全装备代码总表.xlsx</x:v>
      </x:c>
      <x:c r="T642" s="292" t="str">
        <x:v>玄渊20套全装备视觉候选；Items/StateItem/DnItems三库同码；属性待策划填写；OverLap=2; Expand1=4</x:v>
      </x:c>
      <x:c r="U642" t="str">
        <x:f>IF(COUNTIF($B$2:$B$1076,B642)&gt;1,"重复","")</x:f>
      </x:c>
      <x:c r="V642" t="str">
        <x:f>IF(AND(OR(M642="",M642=B642),OR(N642="",N642=B642),OR(O642="",O642=B642)),"通过","不一致")</x:f>
        <x:v>通过</x:v>
      </x:c>
    </x:row>
    <x:row r="643" ht="22" customHeight="1">
      <x:c r="A643" s="289" t="n">
        <x:v>642</x:v>
      </x:c>
      <x:c r="B643" s="289" t="n">
        <x:v>6662</x:v>
      </x:c>
      <x:c r="C643" s="290" t="str">
        <x:v>血月荆棘·猩月</x:v>
      </x:c>
      <x:c r="D643" s="290" t="str">
        <x:v>血月荆棘</x:v>
      </x:c>
      <x:c r="E643" s="290" t="n">
        <x:v>3</x:v>
      </x:c>
      <x:c r="F643" s="290" t="str">
        <x:v>首饰盒5</x:v>
      </x:c>
      <x:c r="G643" s="289" t="n">
        <x:v>22</x:v>
      </x:c>
      <x:c r="H643" s="289" t="n">
        <x:v>34</x:v>
      </x:c>
      <x:c r="I643" s="289" t="n">
        <x:v>6662</x:v>
      </x:c>
      <x:c r="J643" s="289" t="n">
        <x:v>0</x:v>
      </x:c>
      <x:c r="K643" s="289" t="n">
        <x:v>2</x:v>
      </x:c>
      <x:c r="L643" s="289" t="n">
        <x:v>5</x:v>
      </x:c>
      <x:c r="M643" s="289" t="n">
        <x:v>6662</x:v>
      </x:c>
      <x:c r="N643" s="289" t="n">
        <x:v>6662</x:v>
      </x:c>
      <x:c r="O643" s="289" t="n">
        <x:v>6662</x:v>
      </x:c>
      <x:c r="P643" s="292"/>
      <x:c r="Q643" s="292" t="str">
        <x:v>candidate-preflight-passed</x:v>
      </x:c>
      <x:c r="R643" s="292" t="str"/>
      <x:c r="S643" s="292" t="str">
        <x:v>玄渊二十套全装备代码总表.xlsx</x:v>
      </x:c>
      <x:c r="T643" s="292" t="str">
        <x:v>玄渊20套全装备视觉候选；Items/StateItem/DnItems三库同码；属性待策划填写；OverLap=2; Expand1=5</x:v>
      </x:c>
      <x:c r="U643" t="str">
        <x:f>IF(COUNTIF($B$2:$B$1076,B643)&gt;1,"重复","")</x:f>
      </x:c>
      <x:c r="V643" t="str">
        <x:f>IF(AND(OR(M643="",M643=B643),OR(N643="",N643=B643),OR(O643="",O643=B643)),"通过","不一致")</x:f>
        <x:v>通过</x:v>
      </x:c>
    </x:row>
    <x:row r="644" ht="22" customHeight="1">
      <x:c r="A644" s="289" t="n">
        <x:v>643</x:v>
      </x:c>
      <x:c r="B644" s="289" t="n">
        <x:v>6663</x:v>
      </x:c>
      <x:c r="C644" s="290" t="str">
        <x:v>血月荆棘·猩月</x:v>
      </x:c>
      <x:c r="D644" s="290" t="str">
        <x:v>血月荆棘</x:v>
      </x:c>
      <x:c r="E644" s="290" t="n">
        <x:v>3</x:v>
      </x:c>
      <x:c r="F644" s="290" t="str">
        <x:v>首饰盒6</x:v>
      </x:c>
      <x:c r="G644" s="289" t="n">
        <x:v>22</x:v>
      </x:c>
      <x:c r="H644" s="289" t="n">
        <x:v>35</x:v>
      </x:c>
      <x:c r="I644" s="289" t="n">
        <x:v>6663</x:v>
      </x:c>
      <x:c r="J644" s="289" t="n">
        <x:v>0</x:v>
      </x:c>
      <x:c r="K644" s="289" t="n">
        <x:v>2</x:v>
      </x:c>
      <x:c r="L644" s="289" t="n">
        <x:v>6</x:v>
      </x:c>
      <x:c r="M644" s="289" t="n">
        <x:v>6663</x:v>
      </x:c>
      <x:c r="N644" s="289" t="n">
        <x:v>6663</x:v>
      </x:c>
      <x:c r="O644" s="289" t="n">
        <x:v>6663</x:v>
      </x:c>
      <x:c r="P644" s="292"/>
      <x:c r="Q644" s="292" t="str">
        <x:v>candidate-preflight-passed</x:v>
      </x:c>
      <x:c r="R644" s="292" t="str"/>
      <x:c r="S644" s="292" t="str">
        <x:v>玄渊二十套全装备代码总表.xlsx</x:v>
      </x:c>
      <x:c r="T644" s="292" t="str">
        <x:v>玄渊20套全装备视觉候选；Items/StateItem/DnItems三库同码；属性待策划填写；OverLap=2; Expand1=6</x:v>
      </x:c>
      <x:c r="U644" t="str">
        <x:f>IF(COUNTIF($B$2:$B$1076,B644)&gt;1,"重复","")</x:f>
      </x:c>
      <x:c r="V644" t="str">
        <x:f>IF(AND(OR(M644="",M644=B644),OR(N644="",N644=B644),OR(O644="",O644=B644)),"通过","不一致")</x:f>
        <x:v>通过</x:v>
      </x:c>
    </x:row>
    <x:row r="645" ht="22" customHeight="1">
      <x:c r="A645" s="289" t="n">
        <x:v>644</x:v>
      </x:c>
      <x:c r="B645" s="289" t="n">
        <x:v>6664</x:v>
      </x:c>
      <x:c r="C645" s="290" t="str">
        <x:v>血月荆棘·猩月</x:v>
      </x:c>
      <x:c r="D645" s="290" t="str">
        <x:v>血月荆棘</x:v>
      </x:c>
      <x:c r="E645" s="290" t="n">
        <x:v>3</x:v>
      </x:c>
      <x:c r="F645" s="290" t="str">
        <x:v>生肖1</x:v>
      </x:c>
      <x:c r="G645" s="289" t="n">
        <x:v>22</x:v>
      </x:c>
      <x:c r="H645" s="289" t="n">
        <x:v>40</x:v>
      </x:c>
      <x:c r="I645" s="289" t="n">
        <x:v>6664</x:v>
      </x:c>
      <x:c r="J645" s="289" t="n">
        <x:v>0</x:v>
      </x:c>
      <x:c r="K645" s="289" t="n">
        <x:v>4</x:v>
      </x:c>
      <x:c r="L645" s="289" t="n">
        <x:v>1</x:v>
      </x:c>
      <x:c r="M645" s="289" t="n">
        <x:v>6664</x:v>
      </x:c>
      <x:c r="N645" s="289" t="n">
        <x:v>6664</x:v>
      </x:c>
      <x:c r="O645" s="289" t="n">
        <x:v>6664</x:v>
      </x:c>
      <x:c r="P645" s="292"/>
      <x:c r="Q645" s="292" t="str">
        <x:v>candidate-preflight-passed</x:v>
      </x:c>
      <x:c r="R645" s="292" t="str"/>
      <x:c r="S645" s="292" t="str">
        <x:v>玄渊二十套全装备代码总表.xlsx</x:v>
      </x:c>
      <x:c r="T645" s="292" t="str">
        <x:v>玄渊20套全装备视觉候选；Items/StateItem/DnItems三库同码；属性待策划填写；OverLap=4; Expand1=1</x:v>
      </x:c>
      <x:c r="U645" t="str">
        <x:f>IF(COUNTIF($B$2:$B$1076,B645)&gt;1,"重复","")</x:f>
      </x:c>
      <x:c r="V645" t="str">
        <x:f>IF(AND(OR(M645="",M645=B645),OR(N645="",N645=B645),OR(O645="",O645=B645)),"通过","不一致")</x:f>
        <x:v>通过</x:v>
      </x:c>
    </x:row>
    <x:row r="646" ht="22" customHeight="1">
      <x:c r="A646" s="289" t="n">
        <x:v>645</x:v>
      </x:c>
      <x:c r="B646" s="289" t="n">
        <x:v>6665</x:v>
      </x:c>
      <x:c r="C646" s="290" t="str">
        <x:v>血月荆棘·猩月</x:v>
      </x:c>
      <x:c r="D646" s="290" t="str">
        <x:v>血月荆棘</x:v>
      </x:c>
      <x:c r="E646" s="290" t="n">
        <x:v>3</x:v>
      </x:c>
      <x:c r="F646" s="290" t="str">
        <x:v>生肖2</x:v>
      </x:c>
      <x:c r="G646" s="289" t="n">
        <x:v>22</x:v>
      </x:c>
      <x:c r="H646" s="289" t="n">
        <x:v>41</x:v>
      </x:c>
      <x:c r="I646" s="289" t="n">
        <x:v>6665</x:v>
      </x:c>
      <x:c r="J646" s="289" t="n">
        <x:v>0</x:v>
      </x:c>
      <x:c r="K646" s="289" t="n">
        <x:v>4</x:v>
      </x:c>
      <x:c r="L646" s="289" t="n">
        <x:v>2</x:v>
      </x:c>
      <x:c r="M646" s="289" t="n">
        <x:v>6665</x:v>
      </x:c>
      <x:c r="N646" s="289" t="n">
        <x:v>6665</x:v>
      </x:c>
      <x:c r="O646" s="289" t="n">
        <x:v>6665</x:v>
      </x:c>
      <x:c r="P646" s="292"/>
      <x:c r="Q646" s="292" t="str">
        <x:v>candidate-preflight-passed</x:v>
      </x:c>
      <x:c r="R646" s="292" t="str"/>
      <x:c r="S646" s="292" t="str">
        <x:v>玄渊二十套全装备代码总表.xlsx</x:v>
      </x:c>
      <x:c r="T646" s="292" t="str">
        <x:v>玄渊20套全装备视觉候选；Items/StateItem/DnItems三库同码；属性待策划填写；OverLap=4; Expand1=2</x:v>
      </x:c>
      <x:c r="U646" t="str">
        <x:f>IF(COUNTIF($B$2:$B$1076,B646)&gt;1,"重复","")</x:f>
      </x:c>
      <x:c r="V646" t="str">
        <x:f>IF(AND(OR(M646="",M646=B646),OR(N646="",N646=B646),OR(O646="",O646=B646)),"通过","不一致")</x:f>
        <x:v>通过</x:v>
      </x:c>
    </x:row>
    <x:row r="647" ht="22" customHeight="1">
      <x:c r="A647" s="289" t="n">
        <x:v>646</x:v>
      </x:c>
      <x:c r="B647" s="289" t="n">
        <x:v>6666</x:v>
      </x:c>
      <x:c r="C647" s="290" t="str">
        <x:v>血月荆棘·猩月</x:v>
      </x:c>
      <x:c r="D647" s="290" t="str">
        <x:v>血月荆棘</x:v>
      </x:c>
      <x:c r="E647" s="290" t="n">
        <x:v>3</x:v>
      </x:c>
      <x:c r="F647" s="290" t="str">
        <x:v>生肖3</x:v>
      </x:c>
      <x:c r="G647" s="289" t="n">
        <x:v>22</x:v>
      </x:c>
      <x:c r="H647" s="289" t="n">
        <x:v>42</x:v>
      </x:c>
      <x:c r="I647" s="289" t="n">
        <x:v>6666</x:v>
      </x:c>
      <x:c r="J647" s="289" t="n">
        <x:v>0</x:v>
      </x:c>
      <x:c r="K647" s="289" t="n">
        <x:v>4</x:v>
      </x:c>
      <x:c r="L647" s="289" t="n">
        <x:v>3</x:v>
      </x:c>
      <x:c r="M647" s="289" t="n">
        <x:v>6666</x:v>
      </x:c>
      <x:c r="N647" s="289" t="n">
        <x:v>6666</x:v>
      </x:c>
      <x:c r="O647" s="289" t="n">
        <x:v>6666</x:v>
      </x:c>
      <x:c r="P647" s="292"/>
      <x:c r="Q647" s="292" t="str">
        <x:v>candidate-preflight-passed</x:v>
      </x:c>
      <x:c r="R647" s="292" t="str"/>
      <x:c r="S647" s="292" t="str">
        <x:v>玄渊二十套全装备代码总表.xlsx</x:v>
      </x:c>
      <x:c r="T647" s="292" t="str">
        <x:v>玄渊20套全装备视觉候选；Items/StateItem/DnItems三库同码；属性待策划填写；OverLap=4; Expand1=3</x:v>
      </x:c>
      <x:c r="U647" t="str">
        <x:f>IF(COUNTIF($B$2:$B$1076,B647)&gt;1,"重复","")</x:f>
      </x:c>
      <x:c r="V647" t="str">
        <x:f>IF(AND(OR(M647="",M647=B647),OR(N647="",N647=B647),OR(O647="",O647=B647)),"通过","不一致")</x:f>
        <x:v>通过</x:v>
      </x:c>
    </x:row>
    <x:row r="648" ht="22" customHeight="1">
      <x:c r="A648" s="289" t="n">
        <x:v>647</x:v>
      </x:c>
      <x:c r="B648" s="289" t="n">
        <x:v>6667</x:v>
      </x:c>
      <x:c r="C648" s="290" t="str">
        <x:v>血月荆棘·猩月</x:v>
      </x:c>
      <x:c r="D648" s="290" t="str">
        <x:v>血月荆棘</x:v>
      </x:c>
      <x:c r="E648" s="290" t="n">
        <x:v>3</x:v>
      </x:c>
      <x:c r="F648" s="290" t="str">
        <x:v>生肖4</x:v>
      </x:c>
      <x:c r="G648" s="289" t="n">
        <x:v>22</x:v>
      </x:c>
      <x:c r="H648" s="289" t="n">
        <x:v>43</x:v>
      </x:c>
      <x:c r="I648" s="289" t="n">
        <x:v>6667</x:v>
      </x:c>
      <x:c r="J648" s="289" t="n">
        <x:v>0</x:v>
      </x:c>
      <x:c r="K648" s="289" t="n">
        <x:v>4</x:v>
      </x:c>
      <x:c r="L648" s="289" t="n">
        <x:v>4</x:v>
      </x:c>
      <x:c r="M648" s="289" t="n">
        <x:v>6667</x:v>
      </x:c>
      <x:c r="N648" s="289" t="n">
        <x:v>6667</x:v>
      </x:c>
      <x:c r="O648" s="289" t="n">
        <x:v>6667</x:v>
      </x:c>
      <x:c r="P648" s="292"/>
      <x:c r="Q648" s="292" t="str">
        <x:v>candidate-preflight-passed</x:v>
      </x:c>
      <x:c r="R648" s="292" t="str"/>
      <x:c r="S648" s="292" t="str">
        <x:v>玄渊二十套全装备代码总表.xlsx</x:v>
      </x:c>
      <x:c r="T648" s="292" t="str">
        <x:v>玄渊20套全装备视觉候选；Items/StateItem/DnItems三库同码；属性待策划填写；OverLap=4; Expand1=4</x:v>
      </x:c>
      <x:c r="U648" t="str">
        <x:f>IF(COUNTIF($B$2:$B$1076,B648)&gt;1,"重复","")</x:f>
      </x:c>
      <x:c r="V648" t="str">
        <x:f>IF(AND(OR(M648="",M648=B648),OR(N648="",N648=B648),OR(O648="",O648=B648)),"通过","不一致")</x:f>
        <x:v>通过</x:v>
      </x:c>
    </x:row>
    <x:row r="649" ht="22" customHeight="1">
      <x:c r="A649" s="289" t="n">
        <x:v>648</x:v>
      </x:c>
      <x:c r="B649" s="289" t="n">
        <x:v>6668</x:v>
      </x:c>
      <x:c r="C649" s="290" t="str">
        <x:v>血月荆棘·猩月</x:v>
      </x:c>
      <x:c r="D649" s="290" t="str">
        <x:v>血月荆棘</x:v>
      </x:c>
      <x:c r="E649" s="290" t="n">
        <x:v>3</x:v>
      </x:c>
      <x:c r="F649" s="290" t="str">
        <x:v>生肖5</x:v>
      </x:c>
      <x:c r="G649" s="289" t="n">
        <x:v>22</x:v>
      </x:c>
      <x:c r="H649" s="289" t="n">
        <x:v>44</x:v>
      </x:c>
      <x:c r="I649" s="289" t="n">
        <x:v>6668</x:v>
      </x:c>
      <x:c r="J649" s="289" t="n">
        <x:v>0</x:v>
      </x:c>
      <x:c r="K649" s="289" t="n">
        <x:v>4</x:v>
      </x:c>
      <x:c r="L649" s="289" t="n">
        <x:v>5</x:v>
      </x:c>
      <x:c r="M649" s="289" t="n">
        <x:v>6668</x:v>
      </x:c>
      <x:c r="N649" s="289" t="n">
        <x:v>6668</x:v>
      </x:c>
      <x:c r="O649" s="289" t="n">
        <x:v>6668</x:v>
      </x:c>
      <x:c r="P649" s="292"/>
      <x:c r="Q649" s="292" t="str">
        <x:v>candidate-preflight-passed</x:v>
      </x:c>
      <x:c r="R649" s="292" t="str"/>
      <x:c r="S649" s="292" t="str">
        <x:v>玄渊二十套全装备代码总表.xlsx</x:v>
      </x:c>
      <x:c r="T649" s="292" t="str">
        <x:v>玄渊20套全装备视觉候选；Items/StateItem/DnItems三库同码；属性待策划填写；OverLap=4; Expand1=5</x:v>
      </x:c>
      <x:c r="U649" t="str">
        <x:f>IF(COUNTIF($B$2:$B$1076,B649)&gt;1,"重复","")</x:f>
      </x:c>
      <x:c r="V649" t="str">
        <x:f>IF(AND(OR(M649="",M649=B649),OR(N649="",N649=B649),OR(O649="",O649=B649)),"通过","不一致")</x:f>
        <x:v>通过</x:v>
      </x:c>
    </x:row>
    <x:row r="650" ht="22" customHeight="1">
      <x:c r="A650" s="289" t="n">
        <x:v>649</x:v>
      </x:c>
      <x:c r="B650" s="289" t="n">
        <x:v>6669</x:v>
      </x:c>
      <x:c r="C650" s="290" t="str">
        <x:v>血月荆棘·猩月</x:v>
      </x:c>
      <x:c r="D650" s="290" t="str">
        <x:v>血月荆棘</x:v>
      </x:c>
      <x:c r="E650" s="290" t="n">
        <x:v>3</x:v>
      </x:c>
      <x:c r="F650" s="290" t="str">
        <x:v>生肖6</x:v>
      </x:c>
      <x:c r="G650" s="289" t="n">
        <x:v>22</x:v>
      </x:c>
      <x:c r="H650" s="289" t="n">
        <x:v>45</x:v>
      </x:c>
      <x:c r="I650" s="289" t="n">
        <x:v>6669</x:v>
      </x:c>
      <x:c r="J650" s="289" t="n">
        <x:v>0</x:v>
      </x:c>
      <x:c r="K650" s="289" t="n">
        <x:v>4</x:v>
      </x:c>
      <x:c r="L650" s="289" t="n">
        <x:v>6</x:v>
      </x:c>
      <x:c r="M650" s="289" t="n">
        <x:v>6669</x:v>
      </x:c>
      <x:c r="N650" s="289" t="n">
        <x:v>6669</x:v>
      </x:c>
      <x:c r="O650" s="289" t="n">
        <x:v>6669</x:v>
      </x:c>
      <x:c r="P650" s="292"/>
      <x:c r="Q650" s="292" t="str">
        <x:v>candidate-preflight-passed</x:v>
      </x:c>
      <x:c r="R650" s="292" t="str"/>
      <x:c r="S650" s="292" t="str">
        <x:v>玄渊二十套全装备代码总表.xlsx</x:v>
      </x:c>
      <x:c r="T650" s="292" t="str">
        <x:v>玄渊20套全装备视觉候选；Items/StateItem/DnItems三库同码；属性待策划填写；OverLap=4; Expand1=6</x:v>
      </x:c>
      <x:c r="U650" t="str">
        <x:f>IF(COUNTIF($B$2:$B$1076,B650)&gt;1,"重复","")</x:f>
      </x:c>
      <x:c r="V650" t="str">
        <x:f>IF(AND(OR(M650="",M650=B650),OR(N650="",N650=B650),OR(O650="",O650=B650)),"通过","不一致")</x:f>
        <x:v>通过</x:v>
      </x:c>
    </x:row>
    <x:row r="651" ht="22" customHeight="1">
      <x:c r="A651" s="289" t="n">
        <x:v>650</x:v>
      </x:c>
      <x:c r="B651" s="289" t="n">
        <x:v>6670</x:v>
      </x:c>
      <x:c r="C651" s="290" t="str">
        <x:v>血月荆棘·猩月</x:v>
      </x:c>
      <x:c r="D651" s="290" t="str">
        <x:v>血月荆棘</x:v>
      </x:c>
      <x:c r="E651" s="290" t="n">
        <x:v>3</x:v>
      </x:c>
      <x:c r="F651" s="290" t="str">
        <x:v>生肖7</x:v>
      </x:c>
      <x:c r="G651" s="289" t="n">
        <x:v>22</x:v>
      </x:c>
      <x:c r="H651" s="289" t="n">
        <x:v>46</x:v>
      </x:c>
      <x:c r="I651" s="289" t="n">
        <x:v>6670</x:v>
      </x:c>
      <x:c r="J651" s="289" t="n">
        <x:v>0</x:v>
      </x:c>
      <x:c r="K651" s="289" t="n">
        <x:v>4</x:v>
      </x:c>
      <x:c r="L651" s="289" t="n">
        <x:v>7</x:v>
      </x:c>
      <x:c r="M651" s="289" t="n">
        <x:v>6670</x:v>
      </x:c>
      <x:c r="N651" s="289" t="n">
        <x:v>6670</x:v>
      </x:c>
      <x:c r="O651" s="289" t="n">
        <x:v>6670</x:v>
      </x:c>
      <x:c r="P651" s="292"/>
      <x:c r="Q651" s="292" t="str">
        <x:v>candidate-preflight-passed</x:v>
      </x:c>
      <x:c r="R651" s="292" t="str"/>
      <x:c r="S651" s="292" t="str">
        <x:v>玄渊二十套全装备代码总表.xlsx</x:v>
      </x:c>
      <x:c r="T651" s="292" t="str">
        <x:v>玄渊20套全装备视觉候选；Items/StateItem/DnItems三库同码；属性待策划填写；OverLap=4; Expand1=7</x:v>
      </x:c>
      <x:c r="U651" t="str">
        <x:f>IF(COUNTIF($B$2:$B$1076,B651)&gt;1,"重复","")</x:f>
      </x:c>
      <x:c r="V651" t="str">
        <x:f>IF(AND(OR(M651="",M651=B651),OR(N651="",N651=B651),OR(O651="",O651=B651)),"通过","不一致")</x:f>
        <x:v>通过</x:v>
      </x:c>
    </x:row>
    <x:row r="652" ht="22" customHeight="1">
      <x:c r="A652" s="289" t="n">
        <x:v>651</x:v>
      </x:c>
      <x:c r="B652" s="289" t="n">
        <x:v>6671</x:v>
      </x:c>
      <x:c r="C652" s="290" t="str">
        <x:v>血月荆棘·猩月</x:v>
      </x:c>
      <x:c r="D652" s="290" t="str">
        <x:v>血月荆棘</x:v>
      </x:c>
      <x:c r="E652" s="290" t="n">
        <x:v>3</x:v>
      </x:c>
      <x:c r="F652" s="290" t="str">
        <x:v>生肖8</x:v>
      </x:c>
      <x:c r="G652" s="289" t="n">
        <x:v>22</x:v>
      </x:c>
      <x:c r="H652" s="289" t="n">
        <x:v>47</x:v>
      </x:c>
      <x:c r="I652" s="289" t="n">
        <x:v>6671</x:v>
      </x:c>
      <x:c r="J652" s="289" t="n">
        <x:v>0</x:v>
      </x:c>
      <x:c r="K652" s="289" t="n">
        <x:v>4</x:v>
      </x:c>
      <x:c r="L652" s="289" t="n">
        <x:v>8</x:v>
      </x:c>
      <x:c r="M652" s="289" t="n">
        <x:v>6671</x:v>
      </x:c>
      <x:c r="N652" s="289" t="n">
        <x:v>6671</x:v>
      </x:c>
      <x:c r="O652" s="289" t="n">
        <x:v>6671</x:v>
      </x:c>
      <x:c r="P652" s="292"/>
      <x:c r="Q652" s="292" t="str">
        <x:v>candidate-preflight-passed</x:v>
      </x:c>
      <x:c r="R652" s="292" t="str"/>
      <x:c r="S652" s="292" t="str">
        <x:v>玄渊二十套全装备代码总表.xlsx</x:v>
      </x:c>
      <x:c r="T652" s="292" t="str">
        <x:v>玄渊20套全装备视觉候选；Items/StateItem/DnItems三库同码；属性待策划填写；OverLap=4; Expand1=8</x:v>
      </x:c>
      <x:c r="U652" t="str">
        <x:f>IF(COUNTIF($B$2:$B$1076,B652)&gt;1,"重复","")</x:f>
      </x:c>
      <x:c r="V652" t="str">
        <x:f>IF(AND(OR(M652="",M652=B652),OR(N652="",N652=B652),OR(O652="",O652=B652)),"通过","不一致")</x:f>
        <x:v>通过</x:v>
      </x:c>
    </x:row>
    <x:row r="653" ht="22" customHeight="1">
      <x:c r="A653" s="289" t="n">
        <x:v>652</x:v>
      </x:c>
      <x:c r="B653" s="289" t="n">
        <x:v>6672</x:v>
      </x:c>
      <x:c r="C653" s="290" t="str">
        <x:v>血月荆棘·猩月</x:v>
      </x:c>
      <x:c r="D653" s="290" t="str">
        <x:v>血月荆棘</x:v>
      </x:c>
      <x:c r="E653" s="290" t="n">
        <x:v>3</x:v>
      </x:c>
      <x:c r="F653" s="290" t="str">
        <x:v>生肖9</x:v>
      </x:c>
      <x:c r="G653" s="289" t="n">
        <x:v>22</x:v>
      </x:c>
      <x:c r="H653" s="289" t="n">
        <x:v>48</x:v>
      </x:c>
      <x:c r="I653" s="289" t="n">
        <x:v>6672</x:v>
      </x:c>
      <x:c r="J653" s="289" t="n">
        <x:v>0</x:v>
      </x:c>
      <x:c r="K653" s="289" t="n">
        <x:v>4</x:v>
      </x:c>
      <x:c r="L653" s="289" t="n">
        <x:v>9</x:v>
      </x:c>
      <x:c r="M653" s="289" t="n">
        <x:v>6672</x:v>
      </x:c>
      <x:c r="N653" s="289" t="n">
        <x:v>6672</x:v>
      </x:c>
      <x:c r="O653" s="289" t="n">
        <x:v>6672</x:v>
      </x:c>
      <x:c r="P653" s="292"/>
      <x:c r="Q653" s="292" t="str">
        <x:v>candidate-preflight-passed</x:v>
      </x:c>
      <x:c r="R653" s="292" t="str"/>
      <x:c r="S653" s="292" t="str">
        <x:v>玄渊二十套全装备代码总表.xlsx</x:v>
      </x:c>
      <x:c r="T653" s="292" t="str">
        <x:v>玄渊20套全装备视觉候选；Items/StateItem/DnItems三库同码；属性待策划填写；OverLap=4; Expand1=9</x:v>
      </x:c>
      <x:c r="U653" t="str">
        <x:f>IF(COUNTIF($B$2:$B$1076,B653)&gt;1,"重复","")</x:f>
      </x:c>
      <x:c r="V653" t="str">
        <x:f>IF(AND(OR(M653="",M653=B653),OR(N653="",N653=B653),OR(O653="",O653=B653)),"通过","不一致")</x:f>
        <x:v>通过</x:v>
      </x:c>
    </x:row>
    <x:row r="654" ht="22" customHeight="1">
      <x:c r="A654" s="289" t="n">
        <x:v>653</x:v>
      </x:c>
      <x:c r="B654" s="289" t="n">
        <x:v>6673</x:v>
      </x:c>
      <x:c r="C654" s="290" t="str">
        <x:v>血月荆棘·猩月</x:v>
      </x:c>
      <x:c r="D654" s="290" t="str">
        <x:v>血月荆棘</x:v>
      </x:c>
      <x:c r="E654" s="290" t="n">
        <x:v>3</x:v>
      </x:c>
      <x:c r="F654" s="290" t="str">
        <x:v>生肖10</x:v>
      </x:c>
      <x:c r="G654" s="289" t="n">
        <x:v>22</x:v>
      </x:c>
      <x:c r="H654" s="289" t="n">
        <x:v>49</x:v>
      </x:c>
      <x:c r="I654" s="289" t="n">
        <x:v>6673</x:v>
      </x:c>
      <x:c r="J654" s="289" t="n">
        <x:v>0</x:v>
      </x:c>
      <x:c r="K654" s="289" t="n">
        <x:v>4</x:v>
      </x:c>
      <x:c r="L654" s="289" t="n">
        <x:v>10</x:v>
      </x:c>
      <x:c r="M654" s="289" t="n">
        <x:v>6673</x:v>
      </x:c>
      <x:c r="N654" s="289" t="n">
        <x:v>6673</x:v>
      </x:c>
      <x:c r="O654" s="289" t="n">
        <x:v>6673</x:v>
      </x:c>
      <x:c r="P654" s="292"/>
      <x:c r="Q654" s="292" t="str">
        <x:v>candidate-preflight-passed</x:v>
      </x:c>
      <x:c r="R654" s="292" t="str"/>
      <x:c r="S654" s="292" t="str">
        <x:v>玄渊二十套全装备代码总表.xlsx</x:v>
      </x:c>
      <x:c r="T654" s="292" t="str">
        <x:v>玄渊20套全装备视觉候选；Items/StateItem/DnItems三库同码；属性待策划填写；OverLap=4; Expand1=10</x:v>
      </x:c>
      <x:c r="U654" t="str">
        <x:f>IF(COUNTIF($B$2:$B$1076,B654)&gt;1,"重复","")</x:f>
      </x:c>
      <x:c r="V654" t="str">
        <x:f>IF(AND(OR(M654="",M654=B654),OR(N654="",N654=B654),OR(O654="",O654=B654)),"通过","不一致")</x:f>
        <x:v>通过</x:v>
      </x:c>
    </x:row>
    <x:row r="655" ht="22" customHeight="1">
      <x:c r="A655" s="289" t="n">
        <x:v>654</x:v>
      </x:c>
      <x:c r="B655" s="289" t="n">
        <x:v>6674</x:v>
      </x:c>
      <x:c r="C655" s="290" t="str">
        <x:v>血月荆棘·猩月</x:v>
      </x:c>
      <x:c r="D655" s="290" t="str">
        <x:v>血月荆棘</x:v>
      </x:c>
      <x:c r="E655" s="290" t="n">
        <x:v>3</x:v>
      </x:c>
      <x:c r="F655" s="290" t="str">
        <x:v>生肖11</x:v>
      </x:c>
      <x:c r="G655" s="289" t="n">
        <x:v>22</x:v>
      </x:c>
      <x:c r="H655" s="289" t="n">
        <x:v>50</x:v>
      </x:c>
      <x:c r="I655" s="289" t="n">
        <x:v>6674</x:v>
      </x:c>
      <x:c r="J655" s="289" t="n">
        <x:v>0</x:v>
      </x:c>
      <x:c r="K655" s="289" t="n">
        <x:v>4</x:v>
      </x:c>
      <x:c r="L655" s="289" t="n">
        <x:v>11</x:v>
      </x:c>
      <x:c r="M655" s="289" t="n">
        <x:v>6674</x:v>
      </x:c>
      <x:c r="N655" s="289" t="n">
        <x:v>6674</x:v>
      </x:c>
      <x:c r="O655" s="289" t="n">
        <x:v>6674</x:v>
      </x:c>
      <x:c r="P655" s="292"/>
      <x:c r="Q655" s="292" t="str">
        <x:v>candidate-preflight-passed</x:v>
      </x:c>
      <x:c r="R655" s="292" t="str"/>
      <x:c r="S655" s="292" t="str">
        <x:v>玄渊二十套全装备代码总表.xlsx</x:v>
      </x:c>
      <x:c r="T655" s="292" t="str">
        <x:v>玄渊20套全装备视觉候选；Items/StateItem/DnItems三库同码；属性待策划填写；OverLap=4; Expand1=11</x:v>
      </x:c>
      <x:c r="U655" t="str">
        <x:f>IF(COUNTIF($B$2:$B$1076,B655)&gt;1,"重复","")</x:f>
      </x:c>
      <x:c r="V655" t="str">
        <x:f>IF(AND(OR(M655="",M655=B655),OR(N655="",N655=B655),OR(O655="",O655=B655)),"通过","不一致")</x:f>
        <x:v>通过</x:v>
      </x:c>
    </x:row>
    <x:row r="656" ht="22" customHeight="1">
      <x:c r="A656" s="289" t="n">
        <x:v>655</x:v>
      </x:c>
      <x:c r="B656" s="289" t="n">
        <x:v>6675</x:v>
      </x:c>
      <x:c r="C656" s="290" t="str">
        <x:v>血月荆棘·猩月</x:v>
      </x:c>
      <x:c r="D656" s="290" t="str">
        <x:v>血月荆棘</x:v>
      </x:c>
      <x:c r="E656" s="290" t="n">
        <x:v>3</x:v>
      </x:c>
      <x:c r="F656" s="290" t="str">
        <x:v>生肖12</x:v>
      </x:c>
      <x:c r="G656" s="289" t="n">
        <x:v>22</x:v>
      </x:c>
      <x:c r="H656" s="289" t="n">
        <x:v>51</x:v>
      </x:c>
      <x:c r="I656" s="289" t="n">
        <x:v>6675</x:v>
      </x:c>
      <x:c r="J656" s="289" t="n">
        <x:v>0</x:v>
      </x:c>
      <x:c r="K656" s="289" t="n">
        <x:v>4</x:v>
      </x:c>
      <x:c r="L656" s="289" t="n">
        <x:v>12</x:v>
      </x:c>
      <x:c r="M656" s="289" t="n">
        <x:v>6675</x:v>
      </x:c>
      <x:c r="N656" s="289" t="n">
        <x:v>6675</x:v>
      </x:c>
      <x:c r="O656" s="289" t="n">
        <x:v>6675</x:v>
      </x:c>
      <x:c r="P656" s="292"/>
      <x:c r="Q656" s="292" t="str">
        <x:v>candidate-preflight-passed</x:v>
      </x:c>
      <x:c r="R656" s="292" t="str"/>
      <x:c r="S656" s="292" t="str">
        <x:v>玄渊二十套全装备代码总表.xlsx</x:v>
      </x:c>
      <x:c r="T656" s="292" t="str">
        <x:v>玄渊20套全装备视觉候选；Items/StateItem/DnItems三库同码；属性待策划填写；OverLap=4; Expand1=12</x:v>
      </x:c>
      <x:c r="U656" t="str">
        <x:f>IF(COUNTIF($B$2:$B$1076,B656)&gt;1,"重复","")</x:f>
      </x:c>
      <x:c r="V656" t="str">
        <x:f>IF(AND(OR(M656="",M656=B656),OR(N656="",N656=B656),OR(O656="",O656=B656)),"通过","不一致")</x:f>
        <x:v>通过</x:v>
      </x:c>
    </x:row>
    <x:row r="657" ht="22" customHeight="1">
      <x:c r="A657" s="289" t="n">
        <x:v>656</x:v>
      </x:c>
      <x:c r="B657" s="289" t="n">
        <x:v>6676</x:v>
      </x:c>
      <x:c r="C657" s="290" t="str">
        <x:v>血月荆棘·弑王</x:v>
      </x:c>
      <x:c r="D657" s="290" t="str">
        <x:v>血月荆棘</x:v>
      </x:c>
      <x:c r="E657" s="290" t="n">
        <x:v>4</x:v>
      </x:c>
      <x:c r="F657" s="290" t="str">
        <x:v>武器</x:v>
      </x:c>
      <x:c r="G657" s="289" t="n">
        <x:v>5</x:v>
      </x:c>
      <x:c r="H657" s="289" t="n">
        <x:v>1</x:v>
      </x:c>
      <x:c r="I657" s="289" t="n">
        <x:v>6676</x:v>
      </x:c>
      <x:c r="J657" s="289" t="n">
        <x:v>24</x:v>
      </x:c>
      <x:c r="K657" s="289" t="n">
        <x:v>0</x:v>
      </x:c>
      <x:c r="L657" s="289" t="n">
        <x:v>0</x:v>
      </x:c>
      <x:c r="M657" s="289" t="n">
        <x:v>6676</x:v>
      </x:c>
      <x:c r="N657" s="289" t="n">
        <x:v>6676</x:v>
      </x:c>
      <x:c r="O657" s="289" t="n">
        <x:v>6676</x:v>
      </x:c>
      <x:c r="P657" s="292" t="str">
        <x:v>Weapon.wzl/wzx（复用现有真实动作）</x:v>
      </x:c>
      <x:c r="Q657" s="292" t="str">
        <x:v>candidate-preflight-passed</x:v>
      </x:c>
      <x:c r="R657" s="324" t="str">
        <x:v>C3-C10规划锁定：摩汶的沉水铡</x:v>
      </x:c>
      <x:c r="S657" s="292" t="str">
        <x:v>玄渊二十套全装备代码总表.xlsx</x:v>
      </x:c>
      <x:c r="T657" s="292" t="str">
        <x:v>玄渊20套全装备视觉候选；Items/StateItem/DnItems三库同码；属性待策划填写；Weapon Shape=24</x:v>
      </x:c>
      <x:c r="U657" t="str">
        <x:f>IF(COUNTIF($B$2:$B$1076,B657)&gt;1,"重复","")</x:f>
      </x:c>
      <x:c r="V657" t="str">
        <x:f>IF(AND(OR(M657="",M657=B657),OR(N657="",N657=B657),OR(O657="",O657=B657)),"通过","不一致")</x:f>
        <x:v>通过</x:v>
      </x:c>
    </x:row>
    <x:row r="658" ht="22" customHeight="1">
      <x:c r="A658" s="289" t="n">
        <x:v>657</x:v>
      </x:c>
      <x:c r="B658" s="289" t="n">
        <x:v>6677</x:v>
      </x:c>
      <x:c r="C658" s="290" t="str">
        <x:v>血月荆棘·弑王</x:v>
      </x:c>
      <x:c r="D658" s="290" t="str">
        <x:v>血月荆棘</x:v>
      </x:c>
      <x:c r="E658" s="290" t="n">
        <x:v>4</x:v>
      </x:c>
      <x:c r="F658" s="290" t="str">
        <x:v>男衣服</x:v>
      </x:c>
      <x:c r="G658" s="289" t="n">
        <x:v>10</x:v>
      </x:c>
      <x:c r="H658" s="289" t="n">
        <x:v>0</x:v>
      </x:c>
      <x:c r="I658" s="289" t="n">
        <x:v>6677</x:v>
      </x:c>
      <x:c r="J658" s="289" t="n">
        <x:v>1</x:v>
      </x:c>
      <x:c r="K658" s="289" t="n">
        <x:v>0</x:v>
      </x:c>
      <x:c r="L658" s="289" t="n">
        <x:v>0</x:v>
      </x:c>
      <x:c r="M658" s="289" t="n">
        <x:v>6677</x:v>
      </x:c>
      <x:c r="N658" s="289" t="n">
        <x:v>6677</x:v>
      </x:c>
      <x:c r="O658" s="289" t="n">
        <x:v>6677</x:v>
      </x:c>
      <x:c r="P658" s="292" t="str">
        <x:v>Hum.wzl/wzx（复用现有真实动作）</x:v>
      </x:c>
      <x:c r="Q658" s="292" t="str">
        <x:v>candidate-preflight-passed</x:v>
      </x:c>
      <x:c r="R658" s="324" t="str">
        <x:v>C3-C10规划锁定：塞芙拉无声衣</x:v>
      </x:c>
      <x:c r="S658" s="292" t="str">
        <x:v>玄渊二十套全装备代码总表.xlsx</x:v>
      </x:c>
      <x:c r="T658" s="292" t="str">
        <x:v>玄渊20套全装备视觉候选；Items/StateItem/DnItems三库同码；属性待策划填写；Hum Shape=1</x:v>
      </x:c>
      <x:c r="U658" t="str">
        <x:f>IF(COUNTIF($B$2:$B$1076,B658)&gt;1,"重复","")</x:f>
      </x:c>
      <x:c r="V658" t="str">
        <x:f>IF(AND(OR(M658="",M658=B658),OR(N658="",N658=B658),OR(O658="",O658=B658)),"通过","不一致")</x:f>
        <x:v>通过</x:v>
      </x:c>
    </x:row>
    <x:row r="659" ht="22" customHeight="1">
      <x:c r="A659" s="289" t="n">
        <x:v>658</x:v>
      </x:c>
      <x:c r="B659" s="289" t="n">
        <x:v>6678</x:v>
      </x:c>
      <x:c r="C659" s="290" t="str">
        <x:v>血月荆棘·弑王</x:v>
      </x:c>
      <x:c r="D659" s="290" t="str">
        <x:v>血月荆棘</x:v>
      </x:c>
      <x:c r="E659" s="290" t="n">
        <x:v>4</x:v>
      </x:c>
      <x:c r="F659" s="290" t="str">
        <x:v>女衣服</x:v>
      </x:c>
      <x:c r="G659" s="289" t="n">
        <x:v>11</x:v>
      </x:c>
      <x:c r="H659" s="289" t="n">
        <x:v>0</x:v>
      </x:c>
      <x:c r="I659" s="289" t="n">
        <x:v>6678</x:v>
      </x:c>
      <x:c r="J659" s="289" t="n">
        <x:v>1</x:v>
      </x:c>
      <x:c r="K659" s="289" t="n">
        <x:v>0</x:v>
      </x:c>
      <x:c r="L659" s="289" t="n">
        <x:v>0</x:v>
      </x:c>
      <x:c r="M659" s="289" t="n">
        <x:v>6678</x:v>
      </x:c>
      <x:c r="N659" s="289" t="n">
        <x:v>6678</x:v>
      </x:c>
      <x:c r="O659" s="289" t="n">
        <x:v>6678</x:v>
      </x:c>
      <x:c r="P659" s="292" t="str">
        <x:v>Hum.wzl/wzx（复用现有真实动作）</x:v>
      </x:c>
      <x:c r="Q659" s="292" t="str">
        <x:v>candidate-preflight-passed</x:v>
      </x:c>
      <x:c r="R659" s="292" t="str"/>
      <x:c r="S659" s="292" t="str">
        <x:v>玄渊二十套全装备代码总表.xlsx</x:v>
      </x:c>
      <x:c r="T659" s="292" t="str">
        <x:v>玄渊20套全装备视觉候选；Items/StateItem/DnItems三库同码；属性待策划填写；Hum Shape=1</x:v>
      </x:c>
      <x:c r="U659" t="str">
        <x:f>IF(COUNTIF($B$2:$B$1076,B659)&gt;1,"重复","")</x:f>
      </x:c>
      <x:c r="V659" t="str">
        <x:f>IF(AND(OR(M659="",M659=B659),OR(N659="",N659=B659),OR(O659="",O659=B659)),"通过","不一致")</x:f>
        <x:v>通过</x:v>
      </x:c>
    </x:row>
    <x:row r="660" ht="22" customHeight="1">
      <x:c r="A660" s="289" t="n">
        <x:v>659</x:v>
      </x:c>
      <x:c r="B660" s="289" t="n">
        <x:v>6679</x:v>
      </x:c>
      <x:c r="C660" s="290" t="str">
        <x:v>血月荆棘·弑王</x:v>
      </x:c>
      <x:c r="D660" s="290" t="str">
        <x:v>血月荆棘</x:v>
      </x:c>
      <x:c r="E660" s="290" t="n">
        <x:v>4</x:v>
      </x:c>
      <x:c r="F660" s="290" t="str">
        <x:v>头盔</x:v>
      </x:c>
      <x:c r="G660" s="289" t="n">
        <x:v>15</x:v>
      </x:c>
      <x:c r="H660" s="289" t="n">
        <x:v>4</x:v>
      </x:c>
      <x:c r="I660" s="289" t="n">
        <x:v>6679</x:v>
      </x:c>
      <x:c r="J660" s="289" t="n">
        <x:v>0</x:v>
      </x:c>
      <x:c r="K660" s="289" t="n">
        <x:v>0</x:v>
      </x:c>
      <x:c r="L660" s="289" t="n">
        <x:v>0</x:v>
      </x:c>
      <x:c r="M660" s="289" t="n">
        <x:v>6679</x:v>
      </x:c>
      <x:c r="N660" s="289" t="n">
        <x:v>6679</x:v>
      </x:c>
      <x:c r="O660" s="289" t="n">
        <x:v>6679</x:v>
      </x:c>
      <x:c r="P660" s="292"/>
      <x:c r="Q660" s="292" t="str">
        <x:v>candidate-preflight-passed</x:v>
      </x:c>
      <x:c r="R660" s="324" t="str">
        <x:v>C3-C10规划锁定：西境征服冠</x:v>
      </x:c>
      <x:c r="S660" s="292" t="str">
        <x:v>玄渊二十套全装备代码总表.xlsx</x:v>
      </x:c>
      <x:c r="T660" s="292" t="str">
        <x:v>玄渊20套全装备视觉候选；Items/StateItem/DnItems三库同码；属性待策划填写</x:v>
      </x:c>
      <x:c r="U660" t="str">
        <x:f>IF(COUNTIF($B$2:$B$1076,B660)&gt;1,"重复","")</x:f>
      </x:c>
      <x:c r="V660" t="str">
        <x:f>IF(AND(OR(M660="",M660=B660),OR(N660="",N660=B660),OR(O660="",O660=B660)),"通过","不一致")</x:f>
        <x:v>通过</x:v>
      </x:c>
    </x:row>
    <x:row r="661" ht="22" customHeight="1">
      <x:c r="A661" s="289" t="n">
        <x:v>660</x:v>
      </x:c>
      <x:c r="B661" s="289" t="n">
        <x:v>6680</x:v>
      </x:c>
      <x:c r="C661" s="290" t="str">
        <x:v>血月荆棘·弑王</x:v>
      </x:c>
      <x:c r="D661" s="290" t="str">
        <x:v>血月荆棘</x:v>
      </x:c>
      <x:c r="E661" s="290" t="n">
        <x:v>4</x:v>
      </x:c>
      <x:c r="F661" s="290" t="str">
        <x:v>面巾</x:v>
      </x:c>
      <x:c r="G661" s="289" t="n">
        <x:v>16</x:v>
      </x:c>
      <x:c r="H661" s="289" t="n">
        <x:v>13</x:v>
      </x:c>
      <x:c r="I661" s="289" t="n">
        <x:v>6680</x:v>
      </x:c>
      <x:c r="J661" s="289" t="n">
        <x:v>0</x:v>
      </x:c>
      <x:c r="K661" s="289" t="n">
        <x:v>0</x:v>
      </x:c>
      <x:c r="L661" s="289" t="n">
        <x:v>0</x:v>
      </x:c>
      <x:c r="M661" s="289" t="n">
        <x:v>6680</x:v>
      </x:c>
      <x:c r="N661" s="289" t="n">
        <x:v>6680</x:v>
      </x:c>
      <x:c r="O661" s="289" t="n">
        <x:v>6680</x:v>
      </x:c>
      <x:c r="P661" s="292"/>
      <x:c r="Q661" s="292" t="str">
        <x:v>candidate-preflight-passed</x:v>
      </x:c>
      <x:c r="R661" s="324" t="str">
        <x:v>C3-C10规划锁定：踏索雪笠</x:v>
      </x:c>
      <x:c r="S661" s="292" t="str">
        <x:v>玄渊二十套全装备代码总表.xlsx</x:v>
      </x:c>
      <x:c r="T661" s="292" t="str">
        <x:v>玄渊20套全装备视觉候选；Items/StateItem/DnItems三库同码；属性待策划填写</x:v>
      </x:c>
      <x:c r="U661" t="str">
        <x:f>IF(COUNTIF($B$2:$B$1076,B661)&gt;1,"重复","")</x:f>
      </x:c>
      <x:c r="V661" t="str">
        <x:f>IF(AND(OR(M661="",M661=B661),OR(N661="",N661=B661),OR(O661="",O661=B661)),"通过","不一致")</x:f>
        <x:v>通过</x:v>
      </x:c>
    </x:row>
    <x:row r="662" ht="22" customHeight="1">
      <x:c r="A662" s="289" t="n">
        <x:v>661</x:v>
      </x:c>
      <x:c r="B662" s="289" t="n">
        <x:v>6681</x:v>
      </x:c>
      <x:c r="C662" s="290" t="str">
        <x:v>血月荆棘·弑王</x:v>
      </x:c>
      <x:c r="D662" s="290" t="str">
        <x:v>血月荆棘</x:v>
      </x:c>
      <x:c r="E662" s="290" t="n">
        <x:v>4</x:v>
      </x:c>
      <x:c r="F662" s="290" t="str">
        <x:v>项链</x:v>
      </x:c>
      <x:c r="G662" s="289" t="n">
        <x:v>19</x:v>
      </x:c>
      <x:c r="H662" s="289" t="n">
        <x:v>3</x:v>
      </x:c>
      <x:c r="I662" s="289" t="n">
        <x:v>6681</x:v>
      </x:c>
      <x:c r="J662" s="289" t="n">
        <x:v>0</x:v>
      </x:c>
      <x:c r="K662" s="289" t="n">
        <x:v>0</x:v>
      </x:c>
      <x:c r="L662" s="289" t="n">
        <x:v>0</x:v>
      </x:c>
      <x:c r="M662" s="289" t="n">
        <x:v>6681</x:v>
      </x:c>
      <x:c r="N662" s="289" t="n">
        <x:v>6681</x:v>
      </x:c>
      <x:c r="O662" s="289" t="n">
        <x:v>6681</x:v>
      </x:c>
      <x:c r="P662" s="292"/>
      <x:c r="Q662" s="292" t="str">
        <x:v>candidate-preflight-passed</x:v>
      </x:c>
      <x:c r="R662" s="324" t="str">
        <x:v>C3-C10规划锁定：风沙鹰链</x:v>
      </x:c>
      <x:c r="S662" s="292" t="str">
        <x:v>玄渊二十套全装备代码总表.xlsx</x:v>
      </x:c>
      <x:c r="T662" s="292" t="str">
        <x:v>玄渊20套全装备视觉候选；Items/StateItem/DnItems三库同码；属性待策划填写</x:v>
      </x:c>
      <x:c r="U662" t="str">
        <x:f>IF(COUNTIF($B$2:$B$1076,B662)&gt;1,"重复","")</x:f>
      </x:c>
      <x:c r="V662" t="str">
        <x:f>IF(AND(OR(M662="",M662=B662),OR(N662="",N662=B662),OR(O662="",O662=B662)),"通过","不一致")</x:f>
        <x:v>通过</x:v>
      </x:c>
    </x:row>
    <x:row r="663" ht="22" customHeight="1">
      <x:c r="A663" s="289" t="n">
        <x:v>662</x:v>
      </x:c>
      <x:c r="B663" s="289" t="n">
        <x:v>6682</x:v>
      </x:c>
      <x:c r="C663" s="290" t="str">
        <x:v>血月荆棘·弑王</x:v>
      </x:c>
      <x:c r="D663" s="290" t="str">
        <x:v>血月荆棘</x:v>
      </x:c>
      <x:c r="E663" s="290" t="n">
        <x:v>4</x:v>
      </x:c>
      <x:c r="F663" s="290" t="str">
        <x:v>手镯</x:v>
      </x:c>
      <x:c r="G663" s="289" t="n">
        <x:v>26</x:v>
      </x:c>
      <x:c r="H663" s="289" t="n">
        <x:v>5</x:v>
      </x:c>
      <x:c r="I663" s="289" t="n">
        <x:v>6682</x:v>
      </x:c>
      <x:c r="J663" s="289" t="n">
        <x:v>0</x:v>
      </x:c>
      <x:c r="K663" s="289" t="n">
        <x:v>0</x:v>
      </x:c>
      <x:c r="L663" s="289" t="n">
        <x:v>0</x:v>
      </x:c>
      <x:c r="M663" s="289" t="n">
        <x:v>6682</x:v>
      </x:c>
      <x:c r="N663" s="289" t="n">
        <x:v>6682</x:v>
      </x:c>
      <x:c r="O663" s="289" t="n">
        <x:v>6682</x:v>
      </x:c>
      <x:c r="P663" s="292"/>
      <x:c r="Q663" s="292" t="str">
        <x:v>candidate-preflight-passed</x:v>
      </x:c>
      <x:c r="R663" s="324" t="str">
        <x:v>C3-C10规划锁定：芦针腕环</x:v>
      </x:c>
      <x:c r="S663" s="292" t="str">
        <x:v>玄渊二十套全装备代码总表.xlsx</x:v>
      </x:c>
      <x:c r="T663" s="292" t="str">
        <x:v>玄渊20套全装备视觉候选；Items/StateItem/DnItems三库同码；属性待策划填写</x:v>
      </x:c>
      <x:c r="U663" t="str">
        <x:f>IF(COUNTIF($B$2:$B$1076,B663)&gt;1,"重复","")</x:f>
      </x:c>
      <x:c r="V663" t="str">
        <x:f>IF(AND(OR(M663="",M663=B663),OR(N663="",N663=B663),OR(O663="",O663=B663)),"通过","不一致")</x:f>
        <x:v>通过</x:v>
      </x:c>
    </x:row>
    <x:row r="664" ht="22" customHeight="1">
      <x:c r="A664" s="289" t="n">
        <x:v>663</x:v>
      </x:c>
      <x:c r="B664" s="289" t="n">
        <x:v>6683</x:v>
      </x:c>
      <x:c r="C664" s="290" t="str">
        <x:v>血月荆棘·弑王</x:v>
      </x:c>
      <x:c r="D664" s="290" t="str">
        <x:v>血月荆棘</x:v>
      </x:c>
      <x:c r="E664" s="290" t="n">
        <x:v>4</x:v>
      </x:c>
      <x:c r="F664" s="290" t="str">
        <x:v>戒指</x:v>
      </x:c>
      <x:c r="G664" s="289" t="n">
        <x:v>22</x:v>
      </x:c>
      <x:c r="H664" s="289" t="n">
        <x:v>7</x:v>
      </x:c>
      <x:c r="I664" s="289" t="n">
        <x:v>6683</x:v>
      </x:c>
      <x:c r="J664" s="289" t="n">
        <x:v>0</x:v>
      </x:c>
      <x:c r="K664" s="289" t="n">
        <x:v>0</x:v>
      </x:c>
      <x:c r="L664" s="289" t="n">
        <x:v>0</x:v>
      </x:c>
      <x:c r="M664" s="289" t="n">
        <x:v>6683</x:v>
      </x:c>
      <x:c r="N664" s="289" t="n">
        <x:v>6683</x:v>
      </x:c>
      <x:c r="O664" s="289" t="n">
        <x:v>6683</x:v>
      </x:c>
      <x:c r="P664" s="292"/>
      <x:c r="Q664" s="292" t="str">
        <x:v>candidate-preflight-passed</x:v>
      </x:c>
      <x:c r="R664" s="324" t="str">
        <x:v>C3-C10规划锁定：圣律戒印</x:v>
      </x:c>
      <x:c r="S664" s="292" t="str">
        <x:v>玄渊二十套全装备代码总表.xlsx</x:v>
      </x:c>
      <x:c r="T664" s="292" t="str">
        <x:v>玄渊20套全装备视觉候选；Items/StateItem/DnItems三库同码；属性待策划填写</x:v>
      </x:c>
      <x:c r="U664" t="str">
        <x:f>IF(COUNTIF($B$2:$B$1076,B664)&gt;1,"重复","")</x:f>
      </x:c>
      <x:c r="V664" t="str">
        <x:f>IF(AND(OR(M664="",M664=B664),OR(N664="",N664=B664),OR(O664="",O664=B664)),"通过","不一致")</x:f>
        <x:v>通过</x:v>
      </x:c>
    </x:row>
    <x:row r="665" ht="22" customHeight="1">
      <x:c r="A665" s="289" t="n">
        <x:v>664</x:v>
      </x:c>
      <x:c r="B665" s="289" t="n">
        <x:v>6684</x:v>
      </x:c>
      <x:c r="C665" s="290" t="str">
        <x:v>血月荆棘·弑王</x:v>
      </x:c>
      <x:c r="D665" s="290" t="str">
        <x:v>血月荆棘</x:v>
      </x:c>
      <x:c r="E665" s="290" t="n">
        <x:v>4</x:v>
      </x:c>
      <x:c r="F665" s="290" t="str">
        <x:v>勋章</x:v>
      </x:c>
      <x:c r="G665" s="289" t="n">
        <x:v>30</x:v>
      </x:c>
      <x:c r="H665" s="289" t="n">
        <x:v>2</x:v>
      </x:c>
      <x:c r="I665" s="289" t="n">
        <x:v>6684</x:v>
      </x:c>
      <x:c r="J665" s="289" t="n">
        <x:v>0</x:v>
      </x:c>
      <x:c r="K665" s="289" t="n">
        <x:v>0</x:v>
      </x:c>
      <x:c r="L665" s="289" t="n">
        <x:v>0</x:v>
      </x:c>
      <x:c r="M665" s="289" t="n">
        <x:v>6684</x:v>
      </x:c>
      <x:c r="N665" s="289" t="n">
        <x:v>6684</x:v>
      </x:c>
      <x:c r="O665" s="289" t="n">
        <x:v>6684</x:v>
      </x:c>
      <x:c r="P665" s="292"/>
      <x:c r="Q665" s="292" t="str">
        <x:v>candidate-preflight-passed</x:v>
      </x:c>
      <x:c r="R665" s="324" t="str">
        <x:v>C3-C10规划锁定：月纱回音章</x:v>
      </x:c>
      <x:c r="S665" s="292" t="str">
        <x:v>玄渊二十套全装备代码总表.xlsx</x:v>
      </x:c>
      <x:c r="T665" s="292" t="str">
        <x:v>玄渊20套全装备视觉候选；Items/StateItem/DnItems三库同码；属性待策划填写</x:v>
      </x:c>
      <x:c r="U665" t="str">
        <x:f>IF(COUNTIF($B$2:$B$1076,B665)&gt;1,"重复","")</x:f>
      </x:c>
      <x:c r="V665" t="str">
        <x:f>IF(AND(OR(M665="",M665=B665),OR(N665="",N665=B665),OR(O665="",O665=B665)),"通过","不一致")</x:f>
        <x:v>通过</x:v>
      </x:c>
    </x:row>
    <x:row r="666" ht="22" customHeight="1">
      <x:c r="A666" s="289" t="n">
        <x:v>665</x:v>
      </x:c>
      <x:c r="B666" s="289" t="n">
        <x:v>6685</x:v>
      </x:c>
      <x:c r="C666" s="290" t="str">
        <x:v>血月荆棘·弑王</x:v>
      </x:c>
      <x:c r="D666" s="290" t="str">
        <x:v>血月荆棘</x:v>
      </x:c>
      <x:c r="E666" s="290" t="n">
        <x:v>4</x:v>
      </x:c>
      <x:c r="F666" s="290" t="str">
        <x:v>盾牌</x:v>
      </x:c>
      <x:c r="G666" s="289" t="n">
        <x:v>12</x:v>
      </x:c>
      <x:c r="H666" s="289" t="n">
        <x:v>16</x:v>
      </x:c>
      <x:c r="I666" s="289" t="n">
        <x:v>6685</x:v>
      </x:c>
      <x:c r="J666" s="289" t="n">
        <x:v>0</x:v>
      </x:c>
      <x:c r="K666" s="289" t="n">
        <x:v>0</x:v>
      </x:c>
      <x:c r="L666" s="289" t="n">
        <x:v>0</x:v>
      </x:c>
      <x:c r="M666" s="289" t="n">
        <x:v>6685</x:v>
      </x:c>
      <x:c r="N666" s="289" t="n">
        <x:v>6685</x:v>
      </x:c>
      <x:c r="O666" s="289" t="n">
        <x:v>6685</x:v>
      </x:c>
      <x:c r="P666" s="292"/>
      <x:c r="Q666" s="292" t="str">
        <x:v>candidate-preflight-passed</x:v>
      </x:c>
      <x:c r="R666" s="324" t="str">
        <x:v>C3-C10规划锁定：墓舱壳盾</x:v>
      </x:c>
      <x:c r="S666" s="292" t="str">
        <x:v>玄渊二十套全装备代码总表.xlsx</x:v>
      </x:c>
      <x:c r="T666" s="292" t="str">
        <x:v>玄渊20套全装备视觉候选；Items/StateItem/DnItems三库同码；属性待策划填写</x:v>
      </x:c>
      <x:c r="U666" t="str">
        <x:f>IF(COUNTIF($B$2:$B$1076,B666)&gt;1,"重复","")</x:f>
      </x:c>
      <x:c r="V666" t="str">
        <x:f>IF(AND(OR(M666="",M666=B666),OR(N666="",N666=B666),OR(O666="",O666=B666)),"通过","不一致")</x:f>
        <x:v>通过</x:v>
      </x:c>
    </x:row>
    <x:row r="667" ht="22" customHeight="1">
      <x:c r="A667" s="289" t="n">
        <x:v>666</x:v>
      </x:c>
      <x:c r="B667" s="289" t="n">
        <x:v>6686</x:v>
      </x:c>
      <x:c r="C667" s="290" t="str">
        <x:v>血月荆棘·弑王</x:v>
      </x:c>
      <x:c r="D667" s="290" t="str">
        <x:v>血月荆棘</x:v>
      </x:c>
      <x:c r="E667" s="290" t="n">
        <x:v>4</x:v>
      </x:c>
      <x:c r="F667" s="290" t="str">
        <x:v>灵玉</x:v>
      </x:c>
      <x:c r="G667" s="289" t="n">
        <x:v>90</x:v>
      </x:c>
      <x:c r="H667" s="289" t="n">
        <x:v>17</x:v>
      </x:c>
      <x:c r="I667" s="289" t="n">
        <x:v>6686</x:v>
      </x:c>
      <x:c r="J667" s="289" t="n">
        <x:v>0</x:v>
      </x:c>
      <x:c r="K667" s="289" t="n">
        <x:v>0</x:v>
      </x:c>
      <x:c r="L667" s="289" t="n">
        <x:v>0</x:v>
      </x:c>
      <x:c r="M667" s="289" t="n">
        <x:v>6686</x:v>
      </x:c>
      <x:c r="N667" s="289" t="n">
        <x:v>6686</x:v>
      </x:c>
      <x:c r="O667" s="289" t="n">
        <x:v>6686</x:v>
      </x:c>
      <x:c r="P667" s="292"/>
      <x:c r="Q667" s="292" t="str">
        <x:v>candidate-preflight-passed</x:v>
      </x:c>
      <x:c r="R667" s="292" t="str"/>
      <x:c r="S667" s="292" t="str">
        <x:v>玄渊二十套全装备代码总表.xlsx</x:v>
      </x:c>
      <x:c r="T667" s="292" t="str">
        <x:v>玄渊20套全装备视觉候选；Items/StateItem/DnItems三库同码；属性待策划填写</x:v>
      </x:c>
      <x:c r="U667" t="str">
        <x:f>IF(COUNTIF($B$2:$B$1076,B667)&gt;1,"重复","")</x:f>
      </x:c>
      <x:c r="V667" t="str">
        <x:f>IF(AND(OR(M667="",M667=B667),OR(N667="",N667=B667),OR(O667="",O667=B667)),"通过","不一致")</x:f>
        <x:v>通过</x:v>
      </x:c>
    </x:row>
    <x:row r="668" ht="22" customHeight="1">
      <x:c r="A668" s="289" t="n">
        <x:v>667</x:v>
      </x:c>
      <x:c r="B668" s="289" t="n">
        <x:v>6687</x:v>
      </x:c>
      <x:c r="C668" s="290" t="str">
        <x:v>血月荆棘·弑王</x:v>
      </x:c>
      <x:c r="D668" s="290" t="str">
        <x:v>血月荆棘</x:v>
      </x:c>
      <x:c r="E668" s="290" t="n">
        <x:v>4</x:v>
      </x:c>
      <x:c r="F668" s="290" t="str">
        <x:v>鞋子</x:v>
      </x:c>
      <x:c r="G668" s="289" t="n">
        <x:v>62</x:v>
      </x:c>
      <x:c r="H668" s="289" t="n">
        <x:v>11</x:v>
      </x:c>
      <x:c r="I668" s="289" t="n">
        <x:v>6687</x:v>
      </x:c>
      <x:c r="J668" s="289" t="n">
        <x:v>0</x:v>
      </x:c>
      <x:c r="K668" s="289" t="n">
        <x:v>0</x:v>
      </x:c>
      <x:c r="L668" s="289" t="n">
        <x:v>0</x:v>
      </x:c>
      <x:c r="M668" s="289" t="n">
        <x:v>6687</x:v>
      </x:c>
      <x:c r="N668" s="289" t="n">
        <x:v>6687</x:v>
      </x:c>
      <x:c r="O668" s="289" t="n">
        <x:v>6687</x:v>
      </x:c>
      <x:c r="P668" s="292"/>
      <x:c r="Q668" s="292" t="str">
        <x:v>candidate-preflight-passed</x:v>
      </x:c>
      <x:c r="R668" s="324" t="str">
        <x:v>C3-C10规划锁定：盲鱼鳍靴</x:v>
      </x:c>
      <x:c r="S668" s="292" t="str">
        <x:v>玄渊二十套全装备代码总表.xlsx</x:v>
      </x:c>
      <x:c r="T668" s="292" t="str">
        <x:v>玄渊20套全装备视觉候选；Items/StateItem/DnItems三库同码；属性待策划填写</x:v>
      </x:c>
      <x:c r="U668" t="str">
        <x:f>IF(COUNTIF($B$2:$B$1076,B668)&gt;1,"重复","")</x:f>
      </x:c>
      <x:c r="V668" t="str">
        <x:f>IF(AND(OR(M668="",M668=B668),OR(N668="",N668=B668),OR(O668="",O668=B668)),"通过","不一致")</x:f>
        <x:v>通过</x:v>
      </x:c>
    </x:row>
    <x:row r="669" ht="22" customHeight="1">
      <x:c r="A669" s="289" t="n">
        <x:v>668</x:v>
      </x:c>
      <x:c r="B669" s="289" t="n">
        <x:v>6688</x:v>
      </x:c>
      <x:c r="C669" s="290" t="str">
        <x:v>血月荆棘·弑王</x:v>
      </x:c>
      <x:c r="D669" s="290" t="str">
        <x:v>血月荆棘</x:v>
      </x:c>
      <x:c r="E669" s="290" t="n">
        <x:v>4</x:v>
      </x:c>
      <x:c r="F669" s="290" t="str">
        <x:v>腰带</x:v>
      </x:c>
      <x:c r="G669" s="289" t="n">
        <x:v>64</x:v>
      </x:c>
      <x:c r="H669" s="289" t="n">
        <x:v>10</x:v>
      </x:c>
      <x:c r="I669" s="289" t="n">
        <x:v>6688</x:v>
      </x:c>
      <x:c r="J669" s="289" t="n">
        <x:v>0</x:v>
      </x:c>
      <x:c r="K669" s="289" t="n">
        <x:v>0</x:v>
      </x:c>
      <x:c r="L669" s="289" t="n">
        <x:v>0</x:v>
      </x:c>
      <x:c r="M669" s="289" t="n">
        <x:v>6688</x:v>
      </x:c>
      <x:c r="N669" s="289" t="n">
        <x:v>6688</x:v>
      </x:c>
      <x:c r="O669" s="289" t="n">
        <x:v>6688</x:v>
      </x:c>
      <x:c r="P669" s="292"/>
      <x:c r="Q669" s="292" t="str">
        <x:v>candidate-preflight-passed</x:v>
      </x:c>
      <x:c r="R669" s="324" t="str">
        <x:v>C3-C10规划锁定：缝舱腰箍</x:v>
      </x:c>
      <x:c r="S669" s="292" t="str">
        <x:v>玄渊二十套全装备代码总表.xlsx</x:v>
      </x:c>
      <x:c r="T669" s="292" t="str">
        <x:v>玄渊20套全装备视觉候选；Items/StateItem/DnItems三库同码；属性待策划填写</x:v>
      </x:c>
      <x:c r="U669" t="str">
        <x:f>IF(COUNTIF($B$2:$B$1076,B669)&gt;1,"重复","")</x:f>
      </x:c>
      <x:c r="V669" t="str">
        <x:f>IF(AND(OR(M669="",M669=B669),OR(N669="",N669=B669),OR(O669="",O669=B669)),"通过","不一致")</x:f>
        <x:v>通过</x:v>
      </x:c>
    </x:row>
    <x:row r="670" ht="22" customHeight="1">
      <x:c r="A670" s="289" t="n">
        <x:v>669</x:v>
      </x:c>
      <x:c r="B670" s="289" t="n">
        <x:v>6689</x:v>
      </x:c>
      <x:c r="C670" s="290" t="str">
        <x:v>血月荆棘·弑王</x:v>
      </x:c>
      <x:c r="D670" s="290" t="str">
        <x:v>血月荆棘</x:v>
      </x:c>
      <x:c r="E670" s="290" t="n">
        <x:v>4</x:v>
      </x:c>
      <x:c r="F670" s="290" t="str">
        <x:v>护身符</x:v>
      </x:c>
      <x:c r="G670" s="289" t="n">
        <x:v>25</x:v>
      </x:c>
      <x:c r="H670" s="289" t="n">
        <x:v>9</x:v>
      </x:c>
      <x:c r="I670" s="289" t="n">
        <x:v>6689</x:v>
      </x:c>
      <x:c r="J670" s="289" t="n">
        <x:v>0</x:v>
      </x:c>
      <x:c r="K670" s="289" t="n">
        <x:v>0</x:v>
      </x:c>
      <x:c r="L670" s="289" t="n">
        <x:v>0</x:v>
      </x:c>
      <x:c r="M670" s="289" t="n">
        <x:v>6689</x:v>
      </x:c>
      <x:c r="N670" s="289" t="n">
        <x:v>6689</x:v>
      </x:c>
      <x:c r="O670" s="289" t="n">
        <x:v>6689</x:v>
      </x:c>
      <x:c r="P670" s="292"/>
      <x:c r="Q670" s="292" t="str">
        <x:v>candidate-preflight-passed</x:v>
      </x:c>
      <x:c r="R670" s="292" t="str"/>
      <x:c r="S670" s="292" t="str">
        <x:v>玄渊二十套全装备代码总表.xlsx</x:v>
      </x:c>
      <x:c r="T670" s="292" t="str">
        <x:v>玄渊20套全装备视觉候选；Items/StateItem/DnItems三库同码；属性待策划填写</x:v>
      </x:c>
      <x:c r="U670" t="str">
        <x:f>IF(COUNTIF($B$2:$B$1076,B670)&gt;1,"重复","")</x:f>
      </x:c>
      <x:c r="V670" t="str">
        <x:f>IF(AND(OR(M670="",M670=B670),OR(N670="",N670=B670),OR(O670="",O670=B670)),"通过","不一致")</x:f>
        <x:v>通过</x:v>
      </x:c>
    </x:row>
    <x:row r="671" ht="22" customHeight="1">
      <x:c r="A671" s="289" t="n">
        <x:v>670</x:v>
      </x:c>
      <x:c r="B671" s="289" t="n">
        <x:v>6690</x:v>
      </x:c>
      <x:c r="C671" s="290" t="str">
        <x:v>血月荆棘·弑王</x:v>
      </x:c>
      <x:c r="D671" s="290" t="str">
        <x:v>血月荆棘</x:v>
      </x:c>
      <x:c r="E671" s="290" t="n">
        <x:v>4</x:v>
      </x:c>
      <x:c r="F671" s="290" t="str">
        <x:v>宝石</x:v>
      </x:c>
      <x:c r="G671" s="289" t="n">
        <x:v>63</x:v>
      </x:c>
      <x:c r="H671" s="289" t="n">
        <x:v>12</x:v>
      </x:c>
      <x:c r="I671" s="289" t="n">
        <x:v>6690</x:v>
      </x:c>
      <x:c r="J671" s="289" t="n">
        <x:v>0</x:v>
      </x:c>
      <x:c r="K671" s="289" t="n">
        <x:v>0</x:v>
      </x:c>
      <x:c r="L671" s="289" t="n">
        <x:v>0</x:v>
      </x:c>
      <x:c r="M671" s="289" t="n">
        <x:v>6690</x:v>
      </x:c>
      <x:c r="N671" s="289" t="n">
        <x:v>6690</x:v>
      </x:c>
      <x:c r="O671" s="289" t="n">
        <x:v>6690</x:v>
      </x:c>
      <x:c r="P671" s="292"/>
      <x:c r="Q671" s="292" t="str">
        <x:v>candidate-preflight-passed</x:v>
      </x:c>
      <x:c r="R671" s="292" t="str"/>
      <x:c r="S671" s="292" t="str">
        <x:v>玄渊二十套全装备代码总表.xlsx</x:v>
      </x:c>
      <x:c r="T671" s="292" t="str">
        <x:v>玄渊20套全装备视觉候选；Items/StateItem/DnItems三库同码；属性待策划填写</x:v>
      </x:c>
      <x:c r="U671" t="str">
        <x:f>IF(COUNTIF($B$2:$B$1076,B671)&gt;1,"重复","")</x:f>
      </x:c>
      <x:c r="V671" t="str">
        <x:f>IF(AND(OR(M671="",M671=B671),OR(N671="",N671=B671),OR(O671="",O671=B671)),"通过","不一致")</x:f>
        <x:v>通过</x:v>
      </x:c>
    </x:row>
    <x:row r="672" ht="22" customHeight="1">
      <x:c r="A672" s="289" t="n">
        <x:v>671</x:v>
      </x:c>
      <x:c r="B672" s="289" t="n">
        <x:v>6691</x:v>
      </x:c>
      <x:c r="C672" s="290" t="str">
        <x:v>血月荆棘·弑王</x:v>
      </x:c>
      <x:c r="D672" s="290" t="str">
        <x:v>血月荆棘</x:v>
      </x:c>
      <x:c r="E672" s="290" t="n">
        <x:v>4</x:v>
      </x:c>
      <x:c r="F672" s="290" t="str">
        <x:v>军鼓</x:v>
      </x:c>
      <x:c r="G672" s="289" t="n">
        <x:v>65</x:v>
      </x:c>
      <x:c r="H672" s="289" t="n">
        <x:v>14</x:v>
      </x:c>
      <x:c r="I672" s="289" t="n">
        <x:v>6691</x:v>
      </x:c>
      <x:c r="J672" s="289" t="n">
        <x:v>0</x:v>
      </x:c>
      <x:c r="K672" s="289" t="n">
        <x:v>0</x:v>
      </x:c>
      <x:c r="L672" s="289" t="n">
        <x:v>0</x:v>
      </x:c>
      <x:c r="M672" s="289" t="n">
        <x:v>6691</x:v>
      </x:c>
      <x:c r="N672" s="289" t="n">
        <x:v>6691</x:v>
      </x:c>
      <x:c r="O672" s="289" t="n">
        <x:v>6691</x:v>
      </x:c>
      <x:c r="P672" s="292"/>
      <x:c r="Q672" s="292" t="str">
        <x:v>candidate-preflight-passed</x:v>
      </x:c>
      <x:c r="R672" s="292" t="str"/>
      <x:c r="S672" s="292" t="str">
        <x:v>玄渊二十套全装备代码总表.xlsx</x:v>
      </x:c>
      <x:c r="T672" s="292" t="str">
        <x:v>玄渊20套全装备视觉候选；Items/StateItem/DnItems三库同码；属性待策划填写</x:v>
      </x:c>
      <x:c r="U672" t="str">
        <x:f>IF(COUNTIF($B$2:$B$1076,B672)&gt;1,"重复","")</x:f>
      </x:c>
      <x:c r="V672" t="str">
        <x:f>IF(AND(OR(M672="",M672=B672),OR(N672="",N672=B672),OR(O672="",O672=B672)),"通过","不一致")</x:f>
        <x:v>通过</x:v>
      </x:c>
    </x:row>
    <x:row r="673" ht="22" customHeight="1">
      <x:c r="A673" s="289" t="n">
        <x:v>672</x:v>
      </x:c>
      <x:c r="B673" s="289" t="n">
        <x:v>6692</x:v>
      </x:c>
      <x:c r="C673" s="290" t="str">
        <x:v>血月荆棘·弑王</x:v>
      </x:c>
      <x:c r="D673" s="290" t="str">
        <x:v>血月荆棘</x:v>
      </x:c>
      <x:c r="E673" s="290" t="n">
        <x:v>4</x:v>
      </x:c>
      <x:c r="F673" s="290" t="str">
        <x:v>马牌</x:v>
      </x:c>
      <x:c r="G673" s="289" t="n">
        <x:v>28</x:v>
      </x:c>
      <x:c r="H673" s="289" t="n">
        <x:v>15</x:v>
      </x:c>
      <x:c r="I673" s="289" t="n">
        <x:v>6692</x:v>
      </x:c>
      <x:c r="J673" s="289" t="n">
        <x:v>0</x:v>
      </x:c>
      <x:c r="K673" s="289" t="n">
        <x:v>0</x:v>
      </x:c>
      <x:c r="L673" s="289" t="n">
        <x:v>0</x:v>
      </x:c>
      <x:c r="M673" s="289" t="n">
        <x:v>6692</x:v>
      </x:c>
      <x:c r="N673" s="289" t="n">
        <x:v>6692</x:v>
      </x:c>
      <x:c r="O673" s="289" t="n">
        <x:v>6692</x:v>
      </x:c>
      <x:c r="P673" s="292"/>
      <x:c r="Q673" s="292" t="str">
        <x:v>candidate-preflight-passed</x:v>
      </x:c>
      <x:c r="R673" s="292" t="str"/>
      <x:c r="S673" s="292" t="str">
        <x:v>玄渊二十套全装备代码总表.xlsx</x:v>
      </x:c>
      <x:c r="T673" s="292" t="str">
        <x:v>玄渊20套全装备视觉候选；Items/StateItem/DnItems三库同码；属性待策划填写</x:v>
      </x:c>
      <x:c r="U673" t="str">
        <x:f>IF(COUNTIF($B$2:$B$1076,B673)&gt;1,"重复","")</x:f>
      </x:c>
      <x:c r="V673" t="str">
        <x:f>IF(AND(OR(M673="",M673=B673),OR(N673="",N673=B673),OR(O673="",O673=B673)),"通过","不一致")</x:f>
        <x:v>通过</x:v>
      </x:c>
    </x:row>
    <x:row r="674" ht="22" customHeight="1">
      <x:c r="A674" s="289" t="n">
        <x:v>673</x:v>
      </x:c>
      <x:c r="B674" s="289" t="n">
        <x:v>6693</x:v>
      </x:c>
      <x:c r="C674" s="290" t="str">
        <x:v>血月荆棘·弑王</x:v>
      </x:c>
      <x:c r="D674" s="290" t="str">
        <x:v>血月荆棘</x:v>
      </x:c>
      <x:c r="E674" s="290" t="n">
        <x:v>4</x:v>
      </x:c>
      <x:c r="F674" s="290" t="str">
        <x:v>首饰盒1</x:v>
      </x:c>
      <x:c r="G674" s="289" t="n">
        <x:v>22</x:v>
      </x:c>
      <x:c r="H674" s="289" t="n">
        <x:v>30</x:v>
      </x:c>
      <x:c r="I674" s="289" t="n">
        <x:v>6693</x:v>
      </x:c>
      <x:c r="J674" s="289" t="n">
        <x:v>0</x:v>
      </x:c>
      <x:c r="K674" s="289" t="n">
        <x:v>2</x:v>
      </x:c>
      <x:c r="L674" s="289" t="n">
        <x:v>1</x:v>
      </x:c>
      <x:c r="M674" s="289" t="n">
        <x:v>6693</x:v>
      </x:c>
      <x:c r="N674" s="289" t="n">
        <x:v>6693</x:v>
      </x:c>
      <x:c r="O674" s="289" t="n">
        <x:v>6693</x:v>
      </x:c>
      <x:c r="P674" s="292"/>
      <x:c r="Q674" s="292" t="str">
        <x:v>candidate-preflight-passed</x:v>
      </x:c>
      <x:c r="R674" s="292" t="str"/>
      <x:c r="S674" s="292" t="str">
        <x:v>玄渊二十套全装备代码总表.xlsx</x:v>
      </x:c>
      <x:c r="T674" s="292" t="str">
        <x:v>玄渊20套全装备视觉候选；Items/StateItem/DnItems三库同码；属性待策划填写；OverLap=2; Expand1=1</x:v>
      </x:c>
      <x:c r="U674" t="str">
        <x:f>IF(COUNTIF($B$2:$B$1076,B674)&gt;1,"重复","")</x:f>
      </x:c>
      <x:c r="V674" t="str">
        <x:f>IF(AND(OR(M674="",M674=B674),OR(N674="",N674=B674),OR(O674="",O674=B674)),"通过","不一致")</x:f>
        <x:v>通过</x:v>
      </x:c>
    </x:row>
    <x:row r="675" ht="22" customHeight="1">
      <x:c r="A675" s="289" t="n">
        <x:v>674</x:v>
      </x:c>
      <x:c r="B675" s="289" t="n">
        <x:v>6694</x:v>
      </x:c>
      <x:c r="C675" s="290" t="str">
        <x:v>血月荆棘·弑王</x:v>
      </x:c>
      <x:c r="D675" s="290" t="str">
        <x:v>血月荆棘</x:v>
      </x:c>
      <x:c r="E675" s="290" t="n">
        <x:v>4</x:v>
      </x:c>
      <x:c r="F675" s="290" t="str">
        <x:v>首饰盒2</x:v>
      </x:c>
      <x:c r="G675" s="289" t="n">
        <x:v>22</x:v>
      </x:c>
      <x:c r="H675" s="289" t="n">
        <x:v>31</x:v>
      </x:c>
      <x:c r="I675" s="289" t="n">
        <x:v>6694</x:v>
      </x:c>
      <x:c r="J675" s="289" t="n">
        <x:v>0</x:v>
      </x:c>
      <x:c r="K675" s="289" t="n">
        <x:v>2</x:v>
      </x:c>
      <x:c r="L675" s="289" t="n">
        <x:v>2</x:v>
      </x:c>
      <x:c r="M675" s="289" t="n">
        <x:v>6694</x:v>
      </x:c>
      <x:c r="N675" s="289" t="n">
        <x:v>6694</x:v>
      </x:c>
      <x:c r="O675" s="289" t="n">
        <x:v>6694</x:v>
      </x:c>
      <x:c r="P675" s="292"/>
      <x:c r="Q675" s="292" t="str">
        <x:v>candidate-preflight-passed</x:v>
      </x:c>
      <x:c r="R675" s="292" t="str"/>
      <x:c r="S675" s="292" t="str">
        <x:v>玄渊二十套全装备代码总表.xlsx</x:v>
      </x:c>
      <x:c r="T675" s="292" t="str">
        <x:v>玄渊20套全装备视觉候选；Items/StateItem/DnItems三库同码；属性待策划填写；OverLap=2; Expand1=2</x:v>
      </x:c>
      <x:c r="U675" t="str">
        <x:f>IF(COUNTIF($B$2:$B$1076,B675)&gt;1,"重复","")</x:f>
      </x:c>
      <x:c r="V675" t="str">
        <x:f>IF(AND(OR(M675="",M675=B675),OR(N675="",N675=B675),OR(O675="",O675=B675)),"通过","不一致")</x:f>
        <x:v>通过</x:v>
      </x:c>
    </x:row>
    <x:row r="676" ht="22" customHeight="1">
      <x:c r="A676" s="289" t="n">
        <x:v>675</x:v>
      </x:c>
      <x:c r="B676" s="289" t="n">
        <x:v>6695</x:v>
      </x:c>
      <x:c r="C676" s="290" t="str">
        <x:v>血月荆棘·弑王</x:v>
      </x:c>
      <x:c r="D676" s="290" t="str">
        <x:v>血月荆棘</x:v>
      </x:c>
      <x:c r="E676" s="290" t="n">
        <x:v>4</x:v>
      </x:c>
      <x:c r="F676" s="290" t="str">
        <x:v>首饰盒3</x:v>
      </x:c>
      <x:c r="G676" s="289" t="n">
        <x:v>22</x:v>
      </x:c>
      <x:c r="H676" s="289" t="n">
        <x:v>32</x:v>
      </x:c>
      <x:c r="I676" s="289" t="n">
        <x:v>6695</x:v>
      </x:c>
      <x:c r="J676" s="289" t="n">
        <x:v>0</x:v>
      </x:c>
      <x:c r="K676" s="289" t="n">
        <x:v>2</x:v>
      </x:c>
      <x:c r="L676" s="289" t="n">
        <x:v>3</x:v>
      </x:c>
      <x:c r="M676" s="289" t="n">
        <x:v>6695</x:v>
      </x:c>
      <x:c r="N676" s="289" t="n">
        <x:v>6695</x:v>
      </x:c>
      <x:c r="O676" s="289" t="n">
        <x:v>6695</x:v>
      </x:c>
      <x:c r="P676" s="292"/>
      <x:c r="Q676" s="292" t="str">
        <x:v>candidate-preflight-passed</x:v>
      </x:c>
      <x:c r="R676" s="292" t="str"/>
      <x:c r="S676" s="292" t="str">
        <x:v>玄渊二十套全装备代码总表.xlsx</x:v>
      </x:c>
      <x:c r="T676" s="292" t="str">
        <x:v>玄渊20套全装备视觉候选；Items/StateItem/DnItems三库同码；属性待策划填写；OverLap=2; Expand1=3</x:v>
      </x:c>
      <x:c r="U676" t="str">
        <x:f>IF(COUNTIF($B$2:$B$1076,B676)&gt;1,"重复","")</x:f>
      </x:c>
      <x:c r="V676" t="str">
        <x:f>IF(AND(OR(M676="",M676=B676),OR(N676="",N676=B676),OR(O676="",O676=B676)),"通过","不一致")</x:f>
        <x:v>通过</x:v>
      </x:c>
    </x:row>
    <x:row r="677" ht="22" customHeight="1">
      <x:c r="A677" s="289" t="n">
        <x:v>676</x:v>
      </x:c>
      <x:c r="B677" s="289" t="n">
        <x:v>6696</x:v>
      </x:c>
      <x:c r="C677" s="290" t="str">
        <x:v>血月荆棘·弑王</x:v>
      </x:c>
      <x:c r="D677" s="290" t="str">
        <x:v>血月荆棘</x:v>
      </x:c>
      <x:c r="E677" s="290" t="n">
        <x:v>4</x:v>
      </x:c>
      <x:c r="F677" s="290" t="str">
        <x:v>首饰盒4</x:v>
      </x:c>
      <x:c r="G677" s="289" t="n">
        <x:v>22</x:v>
      </x:c>
      <x:c r="H677" s="289" t="n">
        <x:v>33</x:v>
      </x:c>
      <x:c r="I677" s="289" t="n">
        <x:v>6696</x:v>
      </x:c>
      <x:c r="J677" s="289" t="n">
        <x:v>0</x:v>
      </x:c>
      <x:c r="K677" s="289" t="n">
        <x:v>2</x:v>
      </x:c>
      <x:c r="L677" s="289" t="n">
        <x:v>4</x:v>
      </x:c>
      <x:c r="M677" s="289" t="n">
        <x:v>6696</x:v>
      </x:c>
      <x:c r="N677" s="289" t="n">
        <x:v>6696</x:v>
      </x:c>
      <x:c r="O677" s="289" t="n">
        <x:v>6696</x:v>
      </x:c>
      <x:c r="P677" s="292"/>
      <x:c r="Q677" s="292" t="str">
        <x:v>candidate-preflight-passed</x:v>
      </x:c>
      <x:c r="R677" s="292" t="str"/>
      <x:c r="S677" s="292" t="str">
        <x:v>玄渊二十套全装备代码总表.xlsx</x:v>
      </x:c>
      <x:c r="T677" s="292" t="str">
        <x:v>玄渊20套全装备视觉候选；Items/StateItem/DnItems三库同码；属性待策划填写；OverLap=2; Expand1=4</x:v>
      </x:c>
      <x:c r="U677" t="str">
        <x:f>IF(COUNTIF($B$2:$B$1076,B677)&gt;1,"重复","")</x:f>
      </x:c>
      <x:c r="V677" t="str">
        <x:f>IF(AND(OR(M677="",M677=B677),OR(N677="",N677=B677),OR(O677="",O677=B677)),"通过","不一致")</x:f>
        <x:v>通过</x:v>
      </x:c>
    </x:row>
    <x:row r="678" ht="22" customHeight="1">
      <x:c r="A678" s="289" t="n">
        <x:v>677</x:v>
      </x:c>
      <x:c r="B678" s="289" t="n">
        <x:v>6697</x:v>
      </x:c>
      <x:c r="C678" s="290" t="str">
        <x:v>血月荆棘·弑王</x:v>
      </x:c>
      <x:c r="D678" s="290" t="str">
        <x:v>血月荆棘</x:v>
      </x:c>
      <x:c r="E678" s="290" t="n">
        <x:v>4</x:v>
      </x:c>
      <x:c r="F678" s="290" t="str">
        <x:v>首饰盒5</x:v>
      </x:c>
      <x:c r="G678" s="289" t="n">
        <x:v>22</x:v>
      </x:c>
      <x:c r="H678" s="289" t="n">
        <x:v>34</x:v>
      </x:c>
      <x:c r="I678" s="289" t="n">
        <x:v>6697</x:v>
      </x:c>
      <x:c r="J678" s="289" t="n">
        <x:v>0</x:v>
      </x:c>
      <x:c r="K678" s="289" t="n">
        <x:v>2</x:v>
      </x:c>
      <x:c r="L678" s="289" t="n">
        <x:v>5</x:v>
      </x:c>
      <x:c r="M678" s="289" t="n">
        <x:v>6697</x:v>
      </x:c>
      <x:c r="N678" s="289" t="n">
        <x:v>6697</x:v>
      </x:c>
      <x:c r="O678" s="289" t="n">
        <x:v>6697</x:v>
      </x:c>
      <x:c r="P678" s="292"/>
      <x:c r="Q678" s="292" t="str">
        <x:v>candidate-preflight-passed</x:v>
      </x:c>
      <x:c r="R678" s="292" t="str"/>
      <x:c r="S678" s="292" t="str">
        <x:v>玄渊二十套全装备代码总表.xlsx</x:v>
      </x:c>
      <x:c r="T678" s="292" t="str">
        <x:v>玄渊20套全装备视觉候选；Items/StateItem/DnItems三库同码；属性待策划填写；OverLap=2; Expand1=5</x:v>
      </x:c>
      <x:c r="U678" t="str">
        <x:f>IF(COUNTIF($B$2:$B$1076,B678)&gt;1,"重复","")</x:f>
      </x:c>
      <x:c r="V678" t="str">
        <x:f>IF(AND(OR(M678="",M678=B678),OR(N678="",N678=B678),OR(O678="",O678=B678)),"通过","不一致")</x:f>
        <x:v>通过</x:v>
      </x:c>
    </x:row>
    <x:row r="679" ht="22" customHeight="1">
      <x:c r="A679" s="289" t="n">
        <x:v>678</x:v>
      </x:c>
      <x:c r="B679" s="289" t="n">
        <x:v>6698</x:v>
      </x:c>
      <x:c r="C679" s="290" t="str">
        <x:v>血月荆棘·弑王</x:v>
      </x:c>
      <x:c r="D679" s="290" t="str">
        <x:v>血月荆棘</x:v>
      </x:c>
      <x:c r="E679" s="290" t="n">
        <x:v>4</x:v>
      </x:c>
      <x:c r="F679" s="290" t="str">
        <x:v>首饰盒6</x:v>
      </x:c>
      <x:c r="G679" s="289" t="n">
        <x:v>22</x:v>
      </x:c>
      <x:c r="H679" s="289" t="n">
        <x:v>35</x:v>
      </x:c>
      <x:c r="I679" s="289" t="n">
        <x:v>6698</x:v>
      </x:c>
      <x:c r="J679" s="289" t="n">
        <x:v>0</x:v>
      </x:c>
      <x:c r="K679" s="289" t="n">
        <x:v>2</x:v>
      </x:c>
      <x:c r="L679" s="289" t="n">
        <x:v>6</x:v>
      </x:c>
      <x:c r="M679" s="289" t="n">
        <x:v>6698</x:v>
      </x:c>
      <x:c r="N679" s="289" t="n">
        <x:v>6698</x:v>
      </x:c>
      <x:c r="O679" s="289" t="n">
        <x:v>6698</x:v>
      </x:c>
      <x:c r="P679" s="292"/>
      <x:c r="Q679" s="292" t="str">
        <x:v>candidate-preflight-passed</x:v>
      </x:c>
      <x:c r="R679" s="292" t="str"/>
      <x:c r="S679" s="292" t="str">
        <x:v>玄渊二十套全装备代码总表.xlsx</x:v>
      </x:c>
      <x:c r="T679" s="292" t="str">
        <x:v>玄渊20套全装备视觉候选；Items/StateItem/DnItems三库同码；属性待策划填写；OverLap=2; Expand1=6</x:v>
      </x:c>
      <x:c r="U679" t="str">
        <x:f>IF(COUNTIF($B$2:$B$1076,B679)&gt;1,"重复","")</x:f>
      </x:c>
      <x:c r="V679" t="str">
        <x:f>IF(AND(OR(M679="",M679=B679),OR(N679="",N679=B679),OR(O679="",O679=B679)),"通过","不一致")</x:f>
        <x:v>通过</x:v>
      </x:c>
    </x:row>
    <x:row r="680" ht="22" customHeight="1">
      <x:c r="A680" s="289" t="n">
        <x:v>679</x:v>
      </x:c>
      <x:c r="B680" s="289" t="n">
        <x:v>6699</x:v>
      </x:c>
      <x:c r="C680" s="290" t="str">
        <x:v>血月荆棘·弑王</x:v>
      </x:c>
      <x:c r="D680" s="290" t="str">
        <x:v>血月荆棘</x:v>
      </x:c>
      <x:c r="E680" s="290" t="n">
        <x:v>4</x:v>
      </x:c>
      <x:c r="F680" s="290" t="str">
        <x:v>生肖1</x:v>
      </x:c>
      <x:c r="G680" s="289" t="n">
        <x:v>22</x:v>
      </x:c>
      <x:c r="H680" s="289" t="n">
        <x:v>40</x:v>
      </x:c>
      <x:c r="I680" s="289" t="n">
        <x:v>6699</x:v>
      </x:c>
      <x:c r="J680" s="289" t="n">
        <x:v>0</x:v>
      </x:c>
      <x:c r="K680" s="289" t="n">
        <x:v>4</x:v>
      </x:c>
      <x:c r="L680" s="289" t="n">
        <x:v>1</x:v>
      </x:c>
      <x:c r="M680" s="289" t="n">
        <x:v>6699</x:v>
      </x:c>
      <x:c r="N680" s="289" t="n">
        <x:v>6699</x:v>
      </x:c>
      <x:c r="O680" s="289" t="n">
        <x:v>6699</x:v>
      </x:c>
      <x:c r="P680" s="292"/>
      <x:c r="Q680" s="292" t="str">
        <x:v>candidate-preflight-passed</x:v>
      </x:c>
      <x:c r="R680" s="292" t="str"/>
      <x:c r="S680" s="292" t="str">
        <x:v>玄渊二十套全装备代码总表.xlsx</x:v>
      </x:c>
      <x:c r="T680" s="292" t="str">
        <x:v>玄渊20套全装备视觉候选；Items/StateItem/DnItems三库同码；属性待策划填写；OverLap=4; Expand1=1</x:v>
      </x:c>
      <x:c r="U680" t="str">
        <x:f>IF(COUNTIF($B$2:$B$1076,B680)&gt;1,"重复","")</x:f>
      </x:c>
      <x:c r="V680" t="str">
        <x:f>IF(AND(OR(M680="",M680=B680),OR(N680="",N680=B680),OR(O680="",O680=B680)),"通过","不一致")</x:f>
        <x:v>通过</x:v>
      </x:c>
    </x:row>
    <x:row r="681" ht="22" customHeight="1">
      <x:c r="A681" s="289" t="n">
        <x:v>680</x:v>
      </x:c>
      <x:c r="B681" s="289" t="n">
        <x:v>6700</x:v>
      </x:c>
      <x:c r="C681" s="290" t="str">
        <x:v>血月荆棘·弑王</x:v>
      </x:c>
      <x:c r="D681" s="290" t="str">
        <x:v>血月荆棘</x:v>
      </x:c>
      <x:c r="E681" s="290" t="n">
        <x:v>4</x:v>
      </x:c>
      <x:c r="F681" s="290" t="str">
        <x:v>生肖2</x:v>
      </x:c>
      <x:c r="G681" s="289" t="n">
        <x:v>22</x:v>
      </x:c>
      <x:c r="H681" s="289" t="n">
        <x:v>41</x:v>
      </x:c>
      <x:c r="I681" s="289" t="n">
        <x:v>6700</x:v>
      </x:c>
      <x:c r="J681" s="289" t="n">
        <x:v>0</x:v>
      </x:c>
      <x:c r="K681" s="289" t="n">
        <x:v>4</x:v>
      </x:c>
      <x:c r="L681" s="289" t="n">
        <x:v>2</x:v>
      </x:c>
      <x:c r="M681" s="289" t="n">
        <x:v>6700</x:v>
      </x:c>
      <x:c r="N681" s="289" t="n">
        <x:v>6700</x:v>
      </x:c>
      <x:c r="O681" s="289" t="n">
        <x:v>6700</x:v>
      </x:c>
      <x:c r="P681" s="292"/>
      <x:c r="Q681" s="292" t="str">
        <x:v>candidate-preflight-passed</x:v>
      </x:c>
      <x:c r="R681" s="292" t="str"/>
      <x:c r="S681" s="292" t="str">
        <x:v>玄渊二十套全装备代码总表.xlsx</x:v>
      </x:c>
      <x:c r="T681" s="292" t="str">
        <x:v>玄渊20套全装备视觉候选；Items/StateItem/DnItems三库同码；属性待策划填写；OverLap=4; Expand1=2</x:v>
      </x:c>
      <x:c r="U681" t="str">
        <x:f>IF(COUNTIF($B$2:$B$1076,B681)&gt;1,"重复","")</x:f>
      </x:c>
      <x:c r="V681" t="str">
        <x:f>IF(AND(OR(M681="",M681=B681),OR(N681="",N681=B681),OR(O681="",O681=B681)),"通过","不一致")</x:f>
        <x:v>通过</x:v>
      </x:c>
    </x:row>
    <x:row r="682" ht="22" customHeight="1">
      <x:c r="A682" s="289" t="n">
        <x:v>681</x:v>
      </x:c>
      <x:c r="B682" s="289" t="n">
        <x:v>6701</x:v>
      </x:c>
      <x:c r="C682" s="290" t="str">
        <x:v>血月荆棘·弑王</x:v>
      </x:c>
      <x:c r="D682" s="290" t="str">
        <x:v>血月荆棘</x:v>
      </x:c>
      <x:c r="E682" s="290" t="n">
        <x:v>4</x:v>
      </x:c>
      <x:c r="F682" s="290" t="str">
        <x:v>生肖3</x:v>
      </x:c>
      <x:c r="G682" s="289" t="n">
        <x:v>22</x:v>
      </x:c>
      <x:c r="H682" s="289" t="n">
        <x:v>42</x:v>
      </x:c>
      <x:c r="I682" s="289" t="n">
        <x:v>6701</x:v>
      </x:c>
      <x:c r="J682" s="289" t="n">
        <x:v>0</x:v>
      </x:c>
      <x:c r="K682" s="289" t="n">
        <x:v>4</x:v>
      </x:c>
      <x:c r="L682" s="289" t="n">
        <x:v>3</x:v>
      </x:c>
      <x:c r="M682" s="289" t="n">
        <x:v>6701</x:v>
      </x:c>
      <x:c r="N682" s="289" t="n">
        <x:v>6701</x:v>
      </x:c>
      <x:c r="O682" s="289" t="n">
        <x:v>6701</x:v>
      </x:c>
      <x:c r="P682" s="292"/>
      <x:c r="Q682" s="292" t="str">
        <x:v>candidate-preflight-passed</x:v>
      </x:c>
      <x:c r="R682" s="292" t="str"/>
      <x:c r="S682" s="292" t="str">
        <x:v>玄渊二十套全装备代码总表.xlsx</x:v>
      </x:c>
      <x:c r="T682" s="292" t="str">
        <x:v>玄渊20套全装备视觉候选；Items/StateItem/DnItems三库同码；属性待策划填写；OverLap=4; Expand1=3</x:v>
      </x:c>
      <x:c r="U682" t="str">
        <x:f>IF(COUNTIF($B$2:$B$1076,B682)&gt;1,"重复","")</x:f>
      </x:c>
      <x:c r="V682" t="str">
        <x:f>IF(AND(OR(M682="",M682=B682),OR(N682="",N682=B682),OR(O682="",O682=B682)),"通过","不一致")</x:f>
        <x:v>通过</x:v>
      </x:c>
    </x:row>
    <x:row r="683" ht="22" customHeight="1">
      <x:c r="A683" s="289" t="n">
        <x:v>682</x:v>
      </x:c>
      <x:c r="B683" s="289" t="n">
        <x:v>6702</x:v>
      </x:c>
      <x:c r="C683" s="290" t="str">
        <x:v>血月荆棘·弑王</x:v>
      </x:c>
      <x:c r="D683" s="290" t="str">
        <x:v>血月荆棘</x:v>
      </x:c>
      <x:c r="E683" s="290" t="n">
        <x:v>4</x:v>
      </x:c>
      <x:c r="F683" s="290" t="str">
        <x:v>生肖4</x:v>
      </x:c>
      <x:c r="G683" s="289" t="n">
        <x:v>22</x:v>
      </x:c>
      <x:c r="H683" s="289" t="n">
        <x:v>43</x:v>
      </x:c>
      <x:c r="I683" s="289" t="n">
        <x:v>6702</x:v>
      </x:c>
      <x:c r="J683" s="289" t="n">
        <x:v>0</x:v>
      </x:c>
      <x:c r="K683" s="289" t="n">
        <x:v>4</x:v>
      </x:c>
      <x:c r="L683" s="289" t="n">
        <x:v>4</x:v>
      </x:c>
      <x:c r="M683" s="289" t="n">
        <x:v>6702</x:v>
      </x:c>
      <x:c r="N683" s="289" t="n">
        <x:v>6702</x:v>
      </x:c>
      <x:c r="O683" s="289" t="n">
        <x:v>6702</x:v>
      </x:c>
      <x:c r="P683" s="292"/>
      <x:c r="Q683" s="292" t="str">
        <x:v>candidate-preflight-passed</x:v>
      </x:c>
      <x:c r="R683" s="292" t="str"/>
      <x:c r="S683" s="292" t="str">
        <x:v>玄渊二十套全装备代码总表.xlsx</x:v>
      </x:c>
      <x:c r="T683" s="292" t="str">
        <x:v>玄渊20套全装备视觉候选；Items/StateItem/DnItems三库同码；属性待策划填写；OverLap=4; Expand1=4</x:v>
      </x:c>
      <x:c r="U683" t="str">
        <x:f>IF(COUNTIF($B$2:$B$1076,B683)&gt;1,"重复","")</x:f>
      </x:c>
      <x:c r="V683" t="str">
        <x:f>IF(AND(OR(M683="",M683=B683),OR(N683="",N683=B683),OR(O683="",O683=B683)),"通过","不一致")</x:f>
        <x:v>通过</x:v>
      </x:c>
    </x:row>
    <x:row r="684" ht="22" customHeight="1">
      <x:c r="A684" s="289" t="n">
        <x:v>683</x:v>
      </x:c>
      <x:c r="B684" s="289" t="n">
        <x:v>6703</x:v>
      </x:c>
      <x:c r="C684" s="290" t="str">
        <x:v>血月荆棘·弑王</x:v>
      </x:c>
      <x:c r="D684" s="290" t="str">
        <x:v>血月荆棘</x:v>
      </x:c>
      <x:c r="E684" s="290" t="n">
        <x:v>4</x:v>
      </x:c>
      <x:c r="F684" s="290" t="str">
        <x:v>生肖5</x:v>
      </x:c>
      <x:c r="G684" s="289" t="n">
        <x:v>22</x:v>
      </x:c>
      <x:c r="H684" s="289" t="n">
        <x:v>44</x:v>
      </x:c>
      <x:c r="I684" s="289" t="n">
        <x:v>6703</x:v>
      </x:c>
      <x:c r="J684" s="289" t="n">
        <x:v>0</x:v>
      </x:c>
      <x:c r="K684" s="289" t="n">
        <x:v>4</x:v>
      </x:c>
      <x:c r="L684" s="289" t="n">
        <x:v>5</x:v>
      </x:c>
      <x:c r="M684" s="289" t="n">
        <x:v>6703</x:v>
      </x:c>
      <x:c r="N684" s="289" t="n">
        <x:v>6703</x:v>
      </x:c>
      <x:c r="O684" s="289" t="n">
        <x:v>6703</x:v>
      </x:c>
      <x:c r="P684" s="292"/>
      <x:c r="Q684" s="292" t="str">
        <x:v>candidate-preflight-passed</x:v>
      </x:c>
      <x:c r="R684" s="292" t="str"/>
      <x:c r="S684" s="292" t="str">
        <x:v>玄渊二十套全装备代码总表.xlsx</x:v>
      </x:c>
      <x:c r="T684" s="292" t="str">
        <x:v>玄渊20套全装备视觉候选；Items/StateItem/DnItems三库同码；属性待策划填写；OverLap=4; Expand1=5</x:v>
      </x:c>
      <x:c r="U684" t="str">
        <x:f>IF(COUNTIF($B$2:$B$1076,B684)&gt;1,"重复","")</x:f>
      </x:c>
      <x:c r="V684" t="str">
        <x:f>IF(AND(OR(M684="",M684=B684),OR(N684="",N684=B684),OR(O684="",O684=B684)),"通过","不一致")</x:f>
        <x:v>通过</x:v>
      </x:c>
    </x:row>
    <x:row r="685" ht="22" customHeight="1">
      <x:c r="A685" s="289" t="n">
        <x:v>684</x:v>
      </x:c>
      <x:c r="B685" s="289" t="n">
        <x:v>6704</x:v>
      </x:c>
      <x:c r="C685" s="290" t="str">
        <x:v>血月荆棘·弑王</x:v>
      </x:c>
      <x:c r="D685" s="290" t="str">
        <x:v>血月荆棘</x:v>
      </x:c>
      <x:c r="E685" s="290" t="n">
        <x:v>4</x:v>
      </x:c>
      <x:c r="F685" s="290" t="str">
        <x:v>生肖6</x:v>
      </x:c>
      <x:c r="G685" s="289" t="n">
        <x:v>22</x:v>
      </x:c>
      <x:c r="H685" s="289" t="n">
        <x:v>45</x:v>
      </x:c>
      <x:c r="I685" s="289" t="n">
        <x:v>6704</x:v>
      </x:c>
      <x:c r="J685" s="289" t="n">
        <x:v>0</x:v>
      </x:c>
      <x:c r="K685" s="289" t="n">
        <x:v>4</x:v>
      </x:c>
      <x:c r="L685" s="289" t="n">
        <x:v>6</x:v>
      </x:c>
      <x:c r="M685" s="289" t="n">
        <x:v>6704</x:v>
      </x:c>
      <x:c r="N685" s="289" t="n">
        <x:v>6704</x:v>
      </x:c>
      <x:c r="O685" s="289" t="n">
        <x:v>6704</x:v>
      </x:c>
      <x:c r="P685" s="292"/>
      <x:c r="Q685" s="292" t="str">
        <x:v>candidate-preflight-passed</x:v>
      </x:c>
      <x:c r="R685" s="292" t="str"/>
      <x:c r="S685" s="292" t="str">
        <x:v>玄渊二十套全装备代码总表.xlsx</x:v>
      </x:c>
      <x:c r="T685" s="292" t="str">
        <x:v>玄渊20套全装备视觉候选；Items/StateItem/DnItems三库同码；属性待策划填写；OverLap=4; Expand1=6</x:v>
      </x:c>
      <x:c r="U685" t="str">
        <x:f>IF(COUNTIF($B$2:$B$1076,B685)&gt;1,"重复","")</x:f>
      </x:c>
      <x:c r="V685" t="str">
        <x:f>IF(AND(OR(M685="",M685=B685),OR(N685="",N685=B685),OR(O685="",O685=B685)),"通过","不一致")</x:f>
        <x:v>通过</x:v>
      </x:c>
    </x:row>
    <x:row r="686" ht="22" customHeight="1">
      <x:c r="A686" s="289" t="n">
        <x:v>685</x:v>
      </x:c>
      <x:c r="B686" s="289" t="n">
        <x:v>6705</x:v>
      </x:c>
      <x:c r="C686" s="290" t="str">
        <x:v>血月荆棘·弑王</x:v>
      </x:c>
      <x:c r="D686" s="290" t="str">
        <x:v>血月荆棘</x:v>
      </x:c>
      <x:c r="E686" s="290" t="n">
        <x:v>4</x:v>
      </x:c>
      <x:c r="F686" s="290" t="str">
        <x:v>生肖7</x:v>
      </x:c>
      <x:c r="G686" s="289" t="n">
        <x:v>22</x:v>
      </x:c>
      <x:c r="H686" s="289" t="n">
        <x:v>46</x:v>
      </x:c>
      <x:c r="I686" s="289" t="n">
        <x:v>6705</x:v>
      </x:c>
      <x:c r="J686" s="289" t="n">
        <x:v>0</x:v>
      </x:c>
      <x:c r="K686" s="289" t="n">
        <x:v>4</x:v>
      </x:c>
      <x:c r="L686" s="289" t="n">
        <x:v>7</x:v>
      </x:c>
      <x:c r="M686" s="289" t="n">
        <x:v>6705</x:v>
      </x:c>
      <x:c r="N686" s="289" t="n">
        <x:v>6705</x:v>
      </x:c>
      <x:c r="O686" s="289" t="n">
        <x:v>6705</x:v>
      </x:c>
      <x:c r="P686" s="292"/>
      <x:c r="Q686" s="292" t="str">
        <x:v>candidate-preflight-passed</x:v>
      </x:c>
      <x:c r="R686" s="292" t="str"/>
      <x:c r="S686" s="292" t="str">
        <x:v>玄渊二十套全装备代码总表.xlsx</x:v>
      </x:c>
      <x:c r="T686" s="292" t="str">
        <x:v>玄渊20套全装备视觉候选；Items/StateItem/DnItems三库同码；属性待策划填写；OverLap=4; Expand1=7</x:v>
      </x:c>
      <x:c r="U686" t="str">
        <x:f>IF(COUNTIF($B$2:$B$1076,B686)&gt;1,"重复","")</x:f>
      </x:c>
      <x:c r="V686" t="str">
        <x:f>IF(AND(OR(M686="",M686=B686),OR(N686="",N686=B686),OR(O686="",O686=B686)),"通过","不一致")</x:f>
        <x:v>通过</x:v>
      </x:c>
    </x:row>
    <x:row r="687" ht="22" customHeight="1">
      <x:c r="A687" s="289" t="n">
        <x:v>686</x:v>
      </x:c>
      <x:c r="B687" s="289" t="n">
        <x:v>6706</x:v>
      </x:c>
      <x:c r="C687" s="290" t="str">
        <x:v>血月荆棘·弑王</x:v>
      </x:c>
      <x:c r="D687" s="290" t="str">
        <x:v>血月荆棘</x:v>
      </x:c>
      <x:c r="E687" s="290" t="n">
        <x:v>4</x:v>
      </x:c>
      <x:c r="F687" s="290" t="str">
        <x:v>生肖8</x:v>
      </x:c>
      <x:c r="G687" s="289" t="n">
        <x:v>22</x:v>
      </x:c>
      <x:c r="H687" s="289" t="n">
        <x:v>47</x:v>
      </x:c>
      <x:c r="I687" s="289" t="n">
        <x:v>6706</x:v>
      </x:c>
      <x:c r="J687" s="289" t="n">
        <x:v>0</x:v>
      </x:c>
      <x:c r="K687" s="289" t="n">
        <x:v>4</x:v>
      </x:c>
      <x:c r="L687" s="289" t="n">
        <x:v>8</x:v>
      </x:c>
      <x:c r="M687" s="289" t="n">
        <x:v>6706</x:v>
      </x:c>
      <x:c r="N687" s="289" t="n">
        <x:v>6706</x:v>
      </x:c>
      <x:c r="O687" s="289" t="n">
        <x:v>6706</x:v>
      </x:c>
      <x:c r="P687" s="292"/>
      <x:c r="Q687" s="292" t="str">
        <x:v>candidate-preflight-passed</x:v>
      </x:c>
      <x:c r="R687" s="292" t="str"/>
      <x:c r="S687" s="292" t="str">
        <x:v>玄渊二十套全装备代码总表.xlsx</x:v>
      </x:c>
      <x:c r="T687" s="292" t="str">
        <x:v>玄渊20套全装备视觉候选；Items/StateItem/DnItems三库同码；属性待策划填写；OverLap=4; Expand1=8</x:v>
      </x:c>
      <x:c r="U687" t="str">
        <x:f>IF(COUNTIF($B$2:$B$1076,B687)&gt;1,"重复","")</x:f>
      </x:c>
      <x:c r="V687" t="str">
        <x:f>IF(AND(OR(M687="",M687=B687),OR(N687="",N687=B687),OR(O687="",O687=B687)),"通过","不一致")</x:f>
        <x:v>通过</x:v>
      </x:c>
    </x:row>
    <x:row r="688" ht="22" customHeight="1">
      <x:c r="A688" s="289" t="n">
        <x:v>687</x:v>
      </x:c>
      <x:c r="B688" s="289" t="n">
        <x:v>6707</x:v>
      </x:c>
      <x:c r="C688" s="290" t="str">
        <x:v>血月荆棘·弑王</x:v>
      </x:c>
      <x:c r="D688" s="290" t="str">
        <x:v>血月荆棘</x:v>
      </x:c>
      <x:c r="E688" s="290" t="n">
        <x:v>4</x:v>
      </x:c>
      <x:c r="F688" s="290" t="str">
        <x:v>生肖9</x:v>
      </x:c>
      <x:c r="G688" s="289" t="n">
        <x:v>22</x:v>
      </x:c>
      <x:c r="H688" s="289" t="n">
        <x:v>48</x:v>
      </x:c>
      <x:c r="I688" s="289" t="n">
        <x:v>6707</x:v>
      </x:c>
      <x:c r="J688" s="289" t="n">
        <x:v>0</x:v>
      </x:c>
      <x:c r="K688" s="289" t="n">
        <x:v>4</x:v>
      </x:c>
      <x:c r="L688" s="289" t="n">
        <x:v>9</x:v>
      </x:c>
      <x:c r="M688" s="289" t="n">
        <x:v>6707</x:v>
      </x:c>
      <x:c r="N688" s="289" t="n">
        <x:v>6707</x:v>
      </x:c>
      <x:c r="O688" s="289" t="n">
        <x:v>6707</x:v>
      </x:c>
      <x:c r="P688" s="292"/>
      <x:c r="Q688" s="292" t="str">
        <x:v>candidate-preflight-passed</x:v>
      </x:c>
      <x:c r="R688" s="292" t="str"/>
      <x:c r="S688" s="292" t="str">
        <x:v>玄渊二十套全装备代码总表.xlsx</x:v>
      </x:c>
      <x:c r="T688" s="292" t="str">
        <x:v>玄渊20套全装备视觉候选；Items/StateItem/DnItems三库同码；属性待策划填写；OverLap=4; Expand1=9</x:v>
      </x:c>
      <x:c r="U688" t="str">
        <x:f>IF(COUNTIF($B$2:$B$1076,B688)&gt;1,"重复","")</x:f>
      </x:c>
      <x:c r="V688" t="str">
        <x:f>IF(AND(OR(M688="",M688=B688),OR(N688="",N688=B688),OR(O688="",O688=B688)),"通过","不一致")</x:f>
        <x:v>通过</x:v>
      </x:c>
    </x:row>
    <x:row r="689" ht="22" customHeight="1">
      <x:c r="A689" s="289" t="n">
        <x:v>688</x:v>
      </x:c>
      <x:c r="B689" s="289" t="n">
        <x:v>6708</x:v>
      </x:c>
      <x:c r="C689" s="290" t="str">
        <x:v>血月荆棘·弑王</x:v>
      </x:c>
      <x:c r="D689" s="290" t="str">
        <x:v>血月荆棘</x:v>
      </x:c>
      <x:c r="E689" s="290" t="n">
        <x:v>4</x:v>
      </x:c>
      <x:c r="F689" s="290" t="str">
        <x:v>生肖10</x:v>
      </x:c>
      <x:c r="G689" s="289" t="n">
        <x:v>22</x:v>
      </x:c>
      <x:c r="H689" s="289" t="n">
        <x:v>49</x:v>
      </x:c>
      <x:c r="I689" s="289" t="n">
        <x:v>6708</x:v>
      </x:c>
      <x:c r="J689" s="289" t="n">
        <x:v>0</x:v>
      </x:c>
      <x:c r="K689" s="289" t="n">
        <x:v>4</x:v>
      </x:c>
      <x:c r="L689" s="289" t="n">
        <x:v>10</x:v>
      </x:c>
      <x:c r="M689" s="289" t="n">
        <x:v>6708</x:v>
      </x:c>
      <x:c r="N689" s="289" t="n">
        <x:v>6708</x:v>
      </x:c>
      <x:c r="O689" s="289" t="n">
        <x:v>6708</x:v>
      </x:c>
      <x:c r="P689" s="292"/>
      <x:c r="Q689" s="292" t="str">
        <x:v>candidate-preflight-passed</x:v>
      </x:c>
      <x:c r="R689" s="292" t="str"/>
      <x:c r="S689" s="292" t="str">
        <x:v>玄渊二十套全装备代码总表.xlsx</x:v>
      </x:c>
      <x:c r="T689" s="292" t="str">
        <x:v>玄渊20套全装备视觉候选；Items/StateItem/DnItems三库同码；属性待策划填写；OverLap=4; Expand1=10</x:v>
      </x:c>
      <x:c r="U689" t="str">
        <x:f>IF(COUNTIF($B$2:$B$1076,B689)&gt;1,"重复","")</x:f>
      </x:c>
      <x:c r="V689" t="str">
        <x:f>IF(AND(OR(M689="",M689=B689),OR(N689="",N689=B689),OR(O689="",O689=B689)),"通过","不一致")</x:f>
        <x:v>通过</x:v>
      </x:c>
    </x:row>
    <x:row r="690" ht="22" customHeight="1">
      <x:c r="A690" s="289" t="n">
        <x:v>689</x:v>
      </x:c>
      <x:c r="B690" s="289" t="n">
        <x:v>6709</x:v>
      </x:c>
      <x:c r="C690" s="290" t="str">
        <x:v>血月荆棘·弑王</x:v>
      </x:c>
      <x:c r="D690" s="290" t="str">
        <x:v>血月荆棘</x:v>
      </x:c>
      <x:c r="E690" s="290" t="n">
        <x:v>4</x:v>
      </x:c>
      <x:c r="F690" s="290" t="str">
        <x:v>生肖11</x:v>
      </x:c>
      <x:c r="G690" s="289" t="n">
        <x:v>22</x:v>
      </x:c>
      <x:c r="H690" s="289" t="n">
        <x:v>50</x:v>
      </x:c>
      <x:c r="I690" s="289" t="n">
        <x:v>6709</x:v>
      </x:c>
      <x:c r="J690" s="289" t="n">
        <x:v>0</x:v>
      </x:c>
      <x:c r="K690" s="289" t="n">
        <x:v>4</x:v>
      </x:c>
      <x:c r="L690" s="289" t="n">
        <x:v>11</x:v>
      </x:c>
      <x:c r="M690" s="289" t="n">
        <x:v>6709</x:v>
      </x:c>
      <x:c r="N690" s="289" t="n">
        <x:v>6709</x:v>
      </x:c>
      <x:c r="O690" s="289" t="n">
        <x:v>6709</x:v>
      </x:c>
      <x:c r="P690" s="292"/>
      <x:c r="Q690" s="292" t="str">
        <x:v>candidate-preflight-passed</x:v>
      </x:c>
      <x:c r="R690" s="292" t="str"/>
      <x:c r="S690" s="292" t="str">
        <x:v>玄渊二十套全装备代码总表.xlsx</x:v>
      </x:c>
      <x:c r="T690" s="292" t="str">
        <x:v>玄渊20套全装备视觉候选；Items/StateItem/DnItems三库同码；属性待策划填写；OverLap=4; Expand1=11</x:v>
      </x:c>
      <x:c r="U690" t="str">
        <x:f>IF(COUNTIF($B$2:$B$1076,B690)&gt;1,"重复","")</x:f>
      </x:c>
      <x:c r="V690" t="str">
        <x:f>IF(AND(OR(M690="",M690=B690),OR(N690="",N690=B690),OR(O690="",O690=B690)),"通过","不一致")</x:f>
        <x:v>通过</x:v>
      </x:c>
    </x:row>
    <x:row r="691" ht="22" customHeight="1">
      <x:c r="A691" s="289" t="n">
        <x:v>690</x:v>
      </x:c>
      <x:c r="B691" s="289" t="n">
        <x:v>6710</x:v>
      </x:c>
      <x:c r="C691" s="290" t="str">
        <x:v>血月荆棘·弑王</x:v>
      </x:c>
      <x:c r="D691" s="290" t="str">
        <x:v>血月荆棘</x:v>
      </x:c>
      <x:c r="E691" s="290" t="n">
        <x:v>4</x:v>
      </x:c>
      <x:c r="F691" s="290" t="str">
        <x:v>生肖12</x:v>
      </x:c>
      <x:c r="G691" s="289" t="n">
        <x:v>22</x:v>
      </x:c>
      <x:c r="H691" s="289" t="n">
        <x:v>51</x:v>
      </x:c>
      <x:c r="I691" s="289" t="n">
        <x:v>6710</x:v>
      </x:c>
      <x:c r="J691" s="289" t="n">
        <x:v>0</x:v>
      </x:c>
      <x:c r="K691" s="289" t="n">
        <x:v>4</x:v>
      </x:c>
      <x:c r="L691" s="289" t="n">
        <x:v>12</x:v>
      </x:c>
      <x:c r="M691" s="289" t="n">
        <x:v>6710</x:v>
      </x:c>
      <x:c r="N691" s="289" t="n">
        <x:v>6710</x:v>
      </x:c>
      <x:c r="O691" s="289" t="n">
        <x:v>6710</x:v>
      </x:c>
      <x:c r="P691" s="292"/>
      <x:c r="Q691" s="292" t="str">
        <x:v>candidate-preflight-passed</x:v>
      </x:c>
      <x:c r="R691" s="292" t="str"/>
      <x:c r="S691" s="292" t="str">
        <x:v>玄渊二十套全装备代码总表.xlsx</x:v>
      </x:c>
      <x:c r="T691" s="292" t="str">
        <x:v>玄渊20套全装备视觉候选；Items/StateItem/DnItems三库同码；属性待策划填写；OverLap=4; Expand1=12</x:v>
      </x:c>
      <x:c r="U691" t="str">
        <x:f>IF(COUNTIF($B$2:$B$1076,B691)&gt;1,"重复","")</x:f>
      </x:c>
      <x:c r="V691" t="str">
        <x:f>IF(AND(OR(M691="",M691=B691),OR(N691="",N691=B691),OR(O691="",O691=B691)),"通过","不一致")</x:f>
        <x:v>通过</x:v>
      </x:c>
    </x:row>
    <x:row r="692" ht="22" customHeight="1">
      <x:c r="A692" s="289" t="n">
        <x:v>691</x:v>
      </x:c>
      <x:c r="B692" s="289" t="n">
        <x:v>6711</x:v>
      </x:c>
      <x:c r="C692" s="290" t="str">
        <x:v>血月荆棘·血月</x:v>
      </x:c>
      <x:c r="D692" s="290" t="str">
        <x:v>血月荆棘</x:v>
      </x:c>
      <x:c r="E692" s="290" t="n">
        <x:v>5</x:v>
      </x:c>
      <x:c r="F692" s="290" t="str">
        <x:v>武器</x:v>
      </x:c>
      <x:c r="G692" s="289" t="n">
        <x:v>5</x:v>
      </x:c>
      <x:c r="H692" s="289" t="n">
        <x:v>1</x:v>
      </x:c>
      <x:c r="I692" s="289" t="n">
        <x:v>6711</x:v>
      </x:c>
      <x:c r="J692" s="289" t="n">
        <x:v>25</x:v>
      </x:c>
      <x:c r="K692" s="289" t="n">
        <x:v>0</x:v>
      </x:c>
      <x:c r="L692" s="289" t="n">
        <x:v>0</x:v>
      </x:c>
      <x:c r="M692" s="289" t="n">
        <x:v>6711</x:v>
      </x:c>
      <x:c r="N692" s="289" t="n">
        <x:v>6711</x:v>
      </x:c>
      <x:c r="O692" s="289" t="n">
        <x:v>6711</x:v>
      </x:c>
      <x:c r="P692" s="292" t="str">
        <x:v>Weapon.wzl/wzx（复用现有真实动作）</x:v>
      </x:c>
      <x:c r="Q692" s="292" t="str">
        <x:v>candidate-preflight-passed</x:v>
      </x:c>
      <x:c r="R692" s="324" t="str">
        <x:v>C3-C10规划锁定：奥杜的锁舱刀</x:v>
      </x:c>
      <x:c r="S692" s="292" t="str">
        <x:v>玄渊二十套全装备代码总表.xlsx</x:v>
      </x:c>
      <x:c r="T692" s="292" t="str">
        <x:v>玄渊20套全装备视觉候选；Items/StateItem/DnItems三库同码；属性待策划填写；Weapon Shape=25</x:v>
      </x:c>
      <x:c r="U692" t="str">
        <x:f>IF(COUNTIF($B$2:$B$1076,B692)&gt;1,"重复","")</x:f>
      </x:c>
      <x:c r="V692" t="str">
        <x:f>IF(AND(OR(M692="",M692=B692),OR(N692="",N692=B692),OR(O692="",O692=B692)),"通过","不一致")</x:f>
        <x:v>通过</x:v>
      </x:c>
    </x:row>
    <x:row r="693" ht="22" customHeight="1">
      <x:c r="A693" s="289" t="n">
        <x:v>692</x:v>
      </x:c>
      <x:c r="B693" s="289" t="n">
        <x:v>6712</x:v>
      </x:c>
      <x:c r="C693" s="290" t="str">
        <x:v>血月荆棘·血月</x:v>
      </x:c>
      <x:c r="D693" s="290" t="str">
        <x:v>血月荆棘</x:v>
      </x:c>
      <x:c r="E693" s="290" t="n">
        <x:v>5</x:v>
      </x:c>
      <x:c r="F693" s="290" t="str">
        <x:v>男衣服</x:v>
      </x:c>
      <x:c r="G693" s="289" t="n">
        <x:v>10</x:v>
      </x:c>
      <x:c r="H693" s="289" t="n">
        <x:v>0</x:v>
      </x:c>
      <x:c r="I693" s="289" t="n">
        <x:v>6712</x:v>
      </x:c>
      <x:c r="J693" s="289" t="n">
        <x:v>2</x:v>
      </x:c>
      <x:c r="K693" s="289" t="n">
        <x:v>0</x:v>
      </x:c>
      <x:c r="L693" s="289" t="n">
        <x:v>0</x:v>
      </x:c>
      <x:c r="M693" s="289" t="n">
        <x:v>6712</x:v>
      </x:c>
      <x:c r="N693" s="289" t="n">
        <x:v>6712</x:v>
      </x:c>
      <x:c r="O693" s="289" t="n">
        <x:v>6712</x:v>
      </x:c>
      <x:c r="P693" s="292" t="str">
        <x:v>Hum.wzl/wzx（复用现有真实动作）</x:v>
      </x:c>
      <x:c r="Q693" s="292" t="str">
        <x:v>candidate-preflight-passed</x:v>
      </x:c>
      <x:c r="R693" s="324" t="str">
        <x:v>C3-C10规划锁定：伊蕾莎潮婚衣</x:v>
      </x:c>
      <x:c r="S693" s="292" t="str">
        <x:v>玄渊二十套全装备代码总表.xlsx</x:v>
      </x:c>
      <x:c r="T693" s="292" t="str">
        <x:v>玄渊20套全装备视觉候选；Items/StateItem/DnItems三库同码；属性待策划填写；Hum Shape=2</x:v>
      </x:c>
      <x:c r="U693" t="str">
        <x:f>IF(COUNTIF($B$2:$B$1076,B693)&gt;1,"重复","")</x:f>
      </x:c>
      <x:c r="V693" t="str">
        <x:f>IF(AND(OR(M693="",M693=B693),OR(N693="",N693=B693),OR(O693="",O693=B693)),"通过","不一致")</x:f>
        <x:v>通过</x:v>
      </x:c>
    </x:row>
    <x:row r="694" ht="22" customHeight="1">
      <x:c r="A694" s="289" t="n">
        <x:v>693</x:v>
      </x:c>
      <x:c r="B694" s="289" t="n">
        <x:v>6713</x:v>
      </x:c>
      <x:c r="C694" s="290" t="str">
        <x:v>血月荆棘·血月</x:v>
      </x:c>
      <x:c r="D694" s="290" t="str">
        <x:v>血月荆棘</x:v>
      </x:c>
      <x:c r="E694" s="290" t="n">
        <x:v>5</x:v>
      </x:c>
      <x:c r="F694" s="290" t="str">
        <x:v>女衣服</x:v>
      </x:c>
      <x:c r="G694" s="289" t="n">
        <x:v>11</x:v>
      </x:c>
      <x:c r="H694" s="289" t="n">
        <x:v>0</x:v>
      </x:c>
      <x:c r="I694" s="289" t="n">
        <x:v>6713</x:v>
      </x:c>
      <x:c r="J694" s="289" t="n">
        <x:v>2</x:v>
      </x:c>
      <x:c r="K694" s="289" t="n">
        <x:v>0</x:v>
      </x:c>
      <x:c r="L694" s="289" t="n">
        <x:v>0</x:v>
      </x:c>
      <x:c r="M694" s="289" t="n">
        <x:v>6713</x:v>
      </x:c>
      <x:c r="N694" s="289" t="n">
        <x:v>6713</x:v>
      </x:c>
      <x:c r="O694" s="289" t="n">
        <x:v>6713</x:v>
      </x:c>
      <x:c r="P694" s="292" t="str">
        <x:v>Hum.wzl/wzx（复用现有真实动作）</x:v>
      </x:c>
      <x:c r="Q694" s="292" t="str">
        <x:v>candidate-preflight-passed</x:v>
      </x:c>
      <x:c r="R694" s="292" t="str"/>
      <x:c r="S694" s="292" t="str">
        <x:v>玄渊二十套全装备代码总表.xlsx</x:v>
      </x:c>
      <x:c r="T694" s="292" t="str">
        <x:v>玄渊20套全装备视觉候选；Items/StateItem/DnItems三库同码；属性待策划填写；Hum Shape=2</x:v>
      </x:c>
      <x:c r="U694" t="str">
        <x:f>IF(COUNTIF($B$2:$B$1076,B694)&gt;1,"重复","")</x:f>
      </x:c>
      <x:c r="V694" t="str">
        <x:f>IF(AND(OR(M694="",M694=B694),OR(N694="",N694=B694),OR(O694="",O694=B694)),"通过","不一致")</x:f>
        <x:v>通过</x:v>
      </x:c>
    </x:row>
    <x:row r="695" ht="22" customHeight="1">
      <x:c r="A695" s="289" t="n">
        <x:v>694</x:v>
      </x:c>
      <x:c r="B695" s="289" t="n">
        <x:v>6714</x:v>
      </x:c>
      <x:c r="C695" s="290" t="str">
        <x:v>血月荆棘·血月</x:v>
      </x:c>
      <x:c r="D695" s="290" t="str">
        <x:v>血月荆棘</x:v>
      </x:c>
      <x:c r="E695" s="290" t="n">
        <x:v>5</x:v>
      </x:c>
      <x:c r="F695" s="290" t="str">
        <x:v>头盔</x:v>
      </x:c>
      <x:c r="G695" s="289" t="n">
        <x:v>15</x:v>
      </x:c>
      <x:c r="H695" s="289" t="n">
        <x:v>4</x:v>
      </x:c>
      <x:c r="I695" s="289" t="n">
        <x:v>6714</x:v>
      </x:c>
      <x:c r="J695" s="289" t="n">
        <x:v>0</x:v>
      </x:c>
      <x:c r="K695" s="289" t="n">
        <x:v>0</x:v>
      </x:c>
      <x:c r="L695" s="289" t="n">
        <x:v>0</x:v>
      </x:c>
      <x:c r="M695" s="289" t="n">
        <x:v>6714</x:v>
      </x:c>
      <x:c r="N695" s="289" t="n">
        <x:v>6714</x:v>
      </x:c>
      <x:c r="O695" s="289" t="n">
        <x:v>6714</x:v>
      </x:c>
      <x:c r="P695" s="292"/>
      <x:c r="Q695" s="292" t="str">
        <x:v>candidate-preflight-passed</x:v>
      </x:c>
      <x:c r="R695" s="324" t="str">
        <x:v>C3-C10规划锁定：沼鹿苔冠</x:v>
      </x:c>
      <x:c r="S695" s="292" t="str">
        <x:v>玄渊二十套全装备代码总表.xlsx</x:v>
      </x:c>
      <x:c r="T695" s="292" t="str">
        <x:v>玄渊20套全装备视觉候选；Items/StateItem/DnItems三库同码；属性待策划填写</x:v>
      </x:c>
      <x:c r="U695" t="str">
        <x:f>IF(COUNTIF($B$2:$B$1076,B695)&gt;1,"重复","")</x:f>
      </x:c>
      <x:c r="V695" t="str">
        <x:f>IF(AND(OR(M695="",M695=B695),OR(N695="",N695=B695),OR(O695="",O695=B695)),"通过","不一致")</x:f>
        <x:v>通过</x:v>
      </x:c>
    </x:row>
    <x:row r="696" ht="22" customHeight="1">
      <x:c r="A696" s="289" t="n">
        <x:v>695</x:v>
      </x:c>
      <x:c r="B696" s="289" t="n">
        <x:v>6715</x:v>
      </x:c>
      <x:c r="C696" s="290" t="str">
        <x:v>血月荆棘·血月</x:v>
      </x:c>
      <x:c r="D696" s="290" t="str">
        <x:v>血月荆棘</x:v>
      </x:c>
      <x:c r="E696" s="290" t="n">
        <x:v>5</x:v>
      </x:c>
      <x:c r="F696" s="290" t="str">
        <x:v>面巾</x:v>
      </x:c>
      <x:c r="G696" s="289" t="n">
        <x:v>16</x:v>
      </x:c>
      <x:c r="H696" s="289" t="n">
        <x:v>13</x:v>
      </x:c>
      <x:c r="I696" s="289" t="n">
        <x:v>6715</x:v>
      </x:c>
      <x:c r="J696" s="289" t="n">
        <x:v>0</x:v>
      </x:c>
      <x:c r="K696" s="289" t="n">
        <x:v>0</x:v>
      </x:c>
      <x:c r="L696" s="289" t="n">
        <x:v>0</x:v>
      </x:c>
      <x:c r="M696" s="289" t="n">
        <x:v>6715</x:v>
      </x:c>
      <x:c r="N696" s="289" t="n">
        <x:v>6715</x:v>
      </x:c>
      <x:c r="O696" s="289" t="n">
        <x:v>6715</x:v>
      </x:c>
      <x:c r="P696" s="292"/>
      <x:c r="Q696" s="292" t="str">
        <x:v>candidate-preflight-passed</x:v>
      </x:c>
      <x:c r="R696" s="324" t="str">
        <x:v>C3-C10规划锁定：缄声霜帘笠</x:v>
      </x:c>
      <x:c r="S696" s="292" t="str">
        <x:v>玄渊二十套全装备代码总表.xlsx</x:v>
      </x:c>
      <x:c r="T696" s="292" t="str">
        <x:v>玄渊20套全装备视觉候选；Items/StateItem/DnItems三库同码；属性待策划填写</x:v>
      </x:c>
      <x:c r="U696" t="str">
        <x:f>IF(COUNTIF($B$2:$B$1076,B696)&gt;1,"重复","")</x:f>
      </x:c>
      <x:c r="V696" t="str">
        <x:f>IF(AND(OR(M696="",M696=B696),OR(N696="",N696=B696),OR(O696="",O696=B696)),"通过","不一致")</x:f>
        <x:v>通过</x:v>
      </x:c>
    </x:row>
    <x:row r="697" ht="22" customHeight="1">
      <x:c r="A697" s="289" t="n">
        <x:v>696</x:v>
      </x:c>
      <x:c r="B697" s="289" t="n">
        <x:v>6716</x:v>
      </x:c>
      <x:c r="C697" s="290" t="str">
        <x:v>血月荆棘·血月</x:v>
      </x:c>
      <x:c r="D697" s="290" t="str">
        <x:v>血月荆棘</x:v>
      </x:c>
      <x:c r="E697" s="290" t="n">
        <x:v>5</x:v>
      </x:c>
      <x:c r="F697" s="290" t="str">
        <x:v>项链</x:v>
      </x:c>
      <x:c r="G697" s="289" t="n">
        <x:v>19</x:v>
      </x:c>
      <x:c r="H697" s="289" t="n">
        <x:v>3</x:v>
      </x:c>
      <x:c r="I697" s="289" t="n">
        <x:v>6716</x:v>
      </x:c>
      <x:c r="J697" s="289" t="n">
        <x:v>0</x:v>
      </x:c>
      <x:c r="K697" s="289" t="n">
        <x:v>0</x:v>
      </x:c>
      <x:c r="L697" s="289" t="n">
        <x:v>0</x:v>
      </x:c>
      <x:c r="M697" s="289" t="n">
        <x:v>6716</x:v>
      </x:c>
      <x:c r="N697" s="289" t="n">
        <x:v>6716</x:v>
      </x:c>
      <x:c r="O697" s="289" t="n">
        <x:v>6716</x:v>
      </x:c>
      <x:c r="P697" s="292"/>
      <x:c r="Q697" s="292" t="str">
        <x:v>candidate-preflight-passed</x:v>
      </x:c>
      <x:c r="R697" s="324" t="str">
        <x:v>C3-C10规划锁定：溺客灯坠</x:v>
      </x:c>
      <x:c r="S697" s="292" t="str">
        <x:v>玄渊二十套全装备代码总表.xlsx</x:v>
      </x:c>
      <x:c r="T697" s="292" t="str">
        <x:v>玄渊20套全装备视觉候选；Items/StateItem/DnItems三库同码；属性待策划填写</x:v>
      </x:c>
      <x:c r="U697" t="str">
        <x:f>IF(COUNTIF($B$2:$B$1076,B697)&gt;1,"重复","")</x:f>
      </x:c>
      <x:c r="V697" t="str">
        <x:f>IF(AND(OR(M697="",M697=B697),OR(N697="",N697=B697),OR(O697="",O697=B697)),"通过","不一致")</x:f>
        <x:v>通过</x:v>
      </x:c>
    </x:row>
    <x:row r="698" ht="22" customHeight="1">
      <x:c r="A698" s="289" t="n">
        <x:v>697</x:v>
      </x:c>
      <x:c r="B698" s="289" t="n">
        <x:v>6717</x:v>
      </x:c>
      <x:c r="C698" s="290" t="str">
        <x:v>血月荆棘·血月</x:v>
      </x:c>
      <x:c r="D698" s="290" t="str">
        <x:v>血月荆棘</x:v>
      </x:c>
      <x:c r="E698" s="290" t="n">
        <x:v>5</x:v>
      </x:c>
      <x:c r="F698" s="290" t="str">
        <x:v>手镯</x:v>
      </x:c>
      <x:c r="G698" s="289" t="n">
        <x:v>26</x:v>
      </x:c>
      <x:c r="H698" s="289" t="n">
        <x:v>5</x:v>
      </x:c>
      <x:c r="I698" s="289" t="n">
        <x:v>6717</x:v>
      </x:c>
      <x:c r="J698" s="289" t="n">
        <x:v>0</x:v>
      </x:c>
      <x:c r="K698" s="289" t="n">
        <x:v>0</x:v>
      </x:c>
      <x:c r="L698" s="289" t="n">
        <x:v>0</x:v>
      </x:c>
      <x:c r="M698" s="289" t="n">
        <x:v>6717</x:v>
      </x:c>
      <x:c r="N698" s="289" t="n">
        <x:v>6717</x:v>
      </x:c>
      <x:c r="O698" s="289" t="n">
        <x:v>6717</x:v>
      </x:c>
      <x:c r="P698" s="292"/>
      <x:c r="Q698" s="292" t="str">
        <x:v>candidate-preflight-passed</x:v>
      </x:c>
      <x:c r="R698" s="324" t="str">
        <x:v>C3-C10规划锁定：供盏腕轮</x:v>
      </x:c>
      <x:c r="S698" s="292" t="str">
        <x:v>玄渊二十套全装备代码总表.xlsx</x:v>
      </x:c>
      <x:c r="T698" s="292" t="str">
        <x:v>玄渊20套全装备视觉候选；Items/StateItem/DnItems三库同码；属性待策划填写</x:v>
      </x:c>
      <x:c r="U698" t="str">
        <x:f>IF(COUNTIF($B$2:$B$1076,B698)&gt;1,"重复","")</x:f>
      </x:c>
      <x:c r="V698" t="str">
        <x:f>IF(AND(OR(M698="",M698=B698),OR(N698="",N698=B698),OR(O698="",O698=B698)),"通过","不一致")</x:f>
        <x:v>通过</x:v>
      </x:c>
    </x:row>
    <x:row r="699" ht="22" customHeight="1">
      <x:c r="A699" s="289" t="n">
        <x:v>698</x:v>
      </x:c>
      <x:c r="B699" s="289" t="n">
        <x:v>6718</x:v>
      </x:c>
      <x:c r="C699" s="290" t="str">
        <x:v>血月荆棘·血月</x:v>
      </x:c>
      <x:c r="D699" s="290" t="str">
        <x:v>血月荆棘</x:v>
      </x:c>
      <x:c r="E699" s="290" t="n">
        <x:v>5</x:v>
      </x:c>
      <x:c r="F699" s="290" t="str">
        <x:v>戒指</x:v>
      </x:c>
      <x:c r="G699" s="289" t="n">
        <x:v>22</x:v>
      </x:c>
      <x:c r="H699" s="289" t="n">
        <x:v>7</x:v>
      </x:c>
      <x:c r="I699" s="289" t="n">
        <x:v>6718</x:v>
      </x:c>
      <x:c r="J699" s="289" t="n">
        <x:v>0</x:v>
      </x:c>
      <x:c r="K699" s="289" t="n">
        <x:v>0</x:v>
      </x:c>
      <x:c r="L699" s="289" t="n">
        <x:v>0</x:v>
      </x:c>
      <x:c r="M699" s="289" t="n">
        <x:v>6718</x:v>
      </x:c>
      <x:c r="N699" s="289" t="n">
        <x:v>6718</x:v>
      </x:c>
      <x:c r="O699" s="289" t="n">
        <x:v>6718</x:v>
      </x:c>
      <x:c r="P699" s="292"/>
      <x:c r="Q699" s="292" t="str">
        <x:v>candidate-preflight-passed</x:v>
      </x:c>
      <x:c r="R699" s="324" t="str">
        <x:v>C3-C10规划锁定：吸潮血戒</x:v>
      </x:c>
      <x:c r="S699" s="292" t="str">
        <x:v>玄渊二十套全装备代码总表.xlsx</x:v>
      </x:c>
      <x:c r="T699" s="292" t="str">
        <x:v>玄渊20套全装备视觉候选；Items/StateItem/DnItems三库同码；属性待策划填写</x:v>
      </x:c>
      <x:c r="U699" t="str">
        <x:f>IF(COUNTIF($B$2:$B$1076,B699)&gt;1,"重复","")</x:f>
      </x:c>
      <x:c r="V699" t="str">
        <x:f>IF(AND(OR(M699="",M699=B699),OR(N699="",N699=B699),OR(O699="",O699=B699)),"通过","不一致")</x:f>
        <x:v>通过</x:v>
      </x:c>
    </x:row>
    <x:row r="700" ht="22" customHeight="1">
      <x:c r="A700" s="289" t="n">
        <x:v>699</x:v>
      </x:c>
      <x:c r="B700" s="289" t="n">
        <x:v>6719</x:v>
      </x:c>
      <x:c r="C700" s="290" t="str">
        <x:v>血月荆棘·血月</x:v>
      </x:c>
      <x:c r="D700" s="290" t="str">
        <x:v>血月荆棘</x:v>
      </x:c>
      <x:c r="E700" s="290" t="n">
        <x:v>5</x:v>
      </x:c>
      <x:c r="F700" s="290" t="str">
        <x:v>勋章</x:v>
      </x:c>
      <x:c r="G700" s="289" t="n">
        <x:v>30</x:v>
      </x:c>
      <x:c r="H700" s="289" t="n">
        <x:v>2</x:v>
      </x:c>
      <x:c r="I700" s="289" t="n">
        <x:v>6719</x:v>
      </x:c>
      <x:c r="J700" s="289" t="n">
        <x:v>0</x:v>
      </x:c>
      <x:c r="K700" s="289" t="n">
        <x:v>0</x:v>
      </x:c>
      <x:c r="L700" s="289" t="n">
        <x:v>0</x:v>
      </x:c>
      <x:c r="M700" s="289" t="n">
        <x:v>6719</x:v>
      </x:c>
      <x:c r="N700" s="289" t="n">
        <x:v>6719</x:v>
      </x:c>
      <x:c r="O700" s="289" t="n">
        <x:v>6719</x:v>
      </x:c>
      <x:c r="P700" s="292"/>
      <x:c r="Q700" s="292" t="str">
        <x:v>candidate-preflight-passed</x:v>
      </x:c>
      <x:c r="R700" s="324" t="str">
        <x:v>C3-C10规划锁定：前庭晶戟勋</x:v>
      </x:c>
      <x:c r="S700" s="292" t="str">
        <x:v>玄渊二十套全装备代码总表.xlsx</x:v>
      </x:c>
      <x:c r="T700" s="292" t="str">
        <x:v>玄渊20套全装备视觉候选；Items/StateItem/DnItems三库同码；属性待策划填写</x:v>
      </x:c>
      <x:c r="U700" t="str">
        <x:f>IF(COUNTIF($B$2:$B$1076,B700)&gt;1,"重复","")</x:f>
      </x:c>
      <x:c r="V700" t="str">
        <x:f>IF(AND(OR(M700="",M700=B700),OR(N700="",N700=B700),OR(O700="",O700=B700)),"通过","不一致")</x:f>
        <x:v>通过</x:v>
      </x:c>
    </x:row>
    <x:row r="701" ht="22" customHeight="1">
      <x:c r="A701" s="289" t="n">
        <x:v>700</x:v>
      </x:c>
      <x:c r="B701" s="289" t="n">
        <x:v>6720</x:v>
      </x:c>
      <x:c r="C701" s="290" t="str">
        <x:v>血月荆棘·血月</x:v>
      </x:c>
      <x:c r="D701" s="290" t="str">
        <x:v>血月荆棘</x:v>
      </x:c>
      <x:c r="E701" s="290" t="n">
        <x:v>5</x:v>
      </x:c>
      <x:c r="F701" s="290" t="str">
        <x:v>盾牌</x:v>
      </x:c>
      <x:c r="G701" s="289" t="n">
        <x:v>12</x:v>
      </x:c>
      <x:c r="H701" s="289" t="n">
        <x:v>16</x:v>
      </x:c>
      <x:c r="I701" s="289" t="n">
        <x:v>6720</x:v>
      </x:c>
      <x:c r="J701" s="289" t="n">
        <x:v>0</x:v>
      </x:c>
      <x:c r="K701" s="289" t="n">
        <x:v>0</x:v>
      </x:c>
      <x:c r="L701" s="289" t="n">
        <x:v>0</x:v>
      </x:c>
      <x:c r="M701" s="289" t="n">
        <x:v>6720</x:v>
      </x:c>
      <x:c r="N701" s="289" t="n">
        <x:v>6720</x:v>
      </x:c>
      <x:c r="O701" s="289" t="n">
        <x:v>6720</x:v>
      </x:c>
      <x:c r="P701" s="292"/>
      <x:c r="Q701" s="292" t="str">
        <x:v>candidate-preflight-passed</x:v>
      </x:c>
      <x:c r="R701" s="324" t="str">
        <x:v>C3-C10规划锁定：桨官铁盾</x:v>
      </x:c>
      <x:c r="S701" s="292" t="str">
        <x:v>玄渊二十套全装备代码总表.xlsx</x:v>
      </x:c>
      <x:c r="T701" s="292" t="str">
        <x:v>玄渊20套全装备视觉候选；Items/StateItem/DnItems三库同码；属性待策划填写</x:v>
      </x:c>
      <x:c r="U701" t="str">
        <x:f>IF(COUNTIF($B$2:$B$1076,B701)&gt;1,"重复","")</x:f>
      </x:c>
      <x:c r="V701" t="str">
        <x:f>IF(AND(OR(M701="",M701=B701),OR(N701="",N701=B701),OR(O701="",O701=B701)),"通过","不一致")</x:f>
        <x:v>通过</x:v>
      </x:c>
    </x:row>
    <x:row r="702" ht="22" customHeight="1">
      <x:c r="A702" s="289" t="n">
        <x:v>701</x:v>
      </x:c>
      <x:c r="B702" s="289" t="n">
        <x:v>6721</x:v>
      </x:c>
      <x:c r="C702" s="290" t="str">
        <x:v>血月荆棘·血月</x:v>
      </x:c>
      <x:c r="D702" s="290" t="str">
        <x:v>血月荆棘</x:v>
      </x:c>
      <x:c r="E702" s="290" t="n">
        <x:v>5</x:v>
      </x:c>
      <x:c r="F702" s="290" t="str">
        <x:v>灵玉</x:v>
      </x:c>
      <x:c r="G702" s="289" t="n">
        <x:v>90</x:v>
      </x:c>
      <x:c r="H702" s="289" t="n">
        <x:v>17</x:v>
      </x:c>
      <x:c r="I702" s="289" t="n">
        <x:v>6721</x:v>
      </x:c>
      <x:c r="J702" s="289" t="n">
        <x:v>0</x:v>
      </x:c>
      <x:c r="K702" s="289" t="n">
        <x:v>0</x:v>
      </x:c>
      <x:c r="L702" s="289" t="n">
        <x:v>0</x:v>
      </x:c>
      <x:c r="M702" s="289" t="n">
        <x:v>6721</x:v>
      </x:c>
      <x:c r="N702" s="289" t="n">
        <x:v>6721</x:v>
      </x:c>
      <x:c r="O702" s="289" t="n">
        <x:v>6721</x:v>
      </x:c>
      <x:c r="P702" s="292"/>
      <x:c r="Q702" s="292" t="str">
        <x:v>candidate-preflight-passed</x:v>
      </x:c>
      <x:c r="R702" s="292" t="str"/>
      <x:c r="S702" s="292" t="str">
        <x:v>玄渊二十套全装备代码总表.xlsx</x:v>
      </x:c>
      <x:c r="T702" s="292" t="str">
        <x:v>玄渊20套全装备视觉候选；Items/StateItem/DnItems三库同码；属性待策划填写</x:v>
      </x:c>
      <x:c r="U702" t="str">
        <x:f>IF(COUNTIF($B$2:$B$1076,B702)&gt;1,"重复","")</x:f>
      </x:c>
      <x:c r="V702" t="str">
        <x:f>IF(AND(OR(M702="",M702=B702),OR(N702="",N702=B702),OR(O702="",O702=B702)),"通过","不一致")</x:f>
        <x:v>通过</x:v>
      </x:c>
    </x:row>
    <x:row r="703" ht="22" customHeight="1">
      <x:c r="A703" s="289" t="n">
        <x:v>702</x:v>
      </x:c>
      <x:c r="B703" s="289" t="n">
        <x:v>6722</x:v>
      </x:c>
      <x:c r="C703" s="290" t="str">
        <x:v>血月荆棘·血月</x:v>
      </x:c>
      <x:c r="D703" s="290" t="str">
        <x:v>血月荆棘</x:v>
      </x:c>
      <x:c r="E703" s="290" t="n">
        <x:v>5</x:v>
      </x:c>
      <x:c r="F703" s="290" t="str">
        <x:v>鞋子</x:v>
      </x:c>
      <x:c r="G703" s="289" t="n">
        <x:v>62</x:v>
      </x:c>
      <x:c r="H703" s="289" t="n">
        <x:v>11</x:v>
      </x:c>
      <x:c r="I703" s="289" t="n">
        <x:v>6722</x:v>
      </x:c>
      <x:c r="J703" s="289" t="n">
        <x:v>0</x:v>
      </x:c>
      <x:c r="K703" s="289" t="n">
        <x:v>0</x:v>
      </x:c>
      <x:c r="L703" s="289" t="n">
        <x:v>0</x:v>
      </x:c>
      <x:c r="M703" s="289" t="n">
        <x:v>6722</x:v>
      </x:c>
      <x:c r="N703" s="289" t="n">
        <x:v>6722</x:v>
      </x:c>
      <x:c r="O703" s="289" t="n">
        <x:v>6722</x:v>
      </x:c>
      <x:c r="P703" s="292"/>
      <x:c r="Q703" s="292" t="str">
        <x:v>candidate-preflight-passed</x:v>
      </x:c>
      <x:c r="R703" s="324" t="str">
        <x:v>C3-C10规划锁定：桅猴跳靴</x:v>
      </x:c>
      <x:c r="S703" s="292" t="str">
        <x:v>玄渊二十套全装备代码总表.xlsx</x:v>
      </x:c>
      <x:c r="T703" s="292" t="str">
        <x:v>玄渊20套全装备视觉候选；Items/StateItem/DnItems三库同码；属性待策划填写</x:v>
      </x:c>
      <x:c r="U703" t="str">
        <x:f>IF(COUNTIF($B$2:$B$1076,B703)&gt;1,"重复","")</x:f>
      </x:c>
      <x:c r="V703" t="str">
        <x:f>IF(AND(OR(M703="",M703=B703),OR(N703="",N703=B703),OR(O703="",O703=B703)),"通过","不一致")</x:f>
        <x:v>通过</x:v>
      </x:c>
    </x:row>
    <x:row r="704" ht="22" customHeight="1">
      <x:c r="A704" s="289" t="n">
        <x:v>703</x:v>
      </x:c>
      <x:c r="B704" s="289" t="n">
        <x:v>6723</x:v>
      </x:c>
      <x:c r="C704" s="290" t="str">
        <x:v>血月荆棘·血月</x:v>
      </x:c>
      <x:c r="D704" s="290" t="str">
        <x:v>血月荆棘</x:v>
      </x:c>
      <x:c r="E704" s="290" t="n">
        <x:v>5</x:v>
      </x:c>
      <x:c r="F704" s="290" t="str">
        <x:v>腰带</x:v>
      </x:c>
      <x:c r="G704" s="289" t="n">
        <x:v>64</x:v>
      </x:c>
      <x:c r="H704" s="289" t="n">
        <x:v>10</x:v>
      </x:c>
      <x:c r="I704" s="289" t="n">
        <x:v>6723</x:v>
      </x:c>
      <x:c r="J704" s="289" t="n">
        <x:v>0</x:v>
      </x:c>
      <x:c r="K704" s="289" t="n">
        <x:v>0</x:v>
      </x:c>
      <x:c r="L704" s="289" t="n">
        <x:v>0</x:v>
      </x:c>
      <x:c r="M704" s="289" t="n">
        <x:v>6723</x:v>
      </x:c>
      <x:c r="N704" s="289" t="n">
        <x:v>6723</x:v>
      </x:c>
      <x:c r="O704" s="289" t="n">
        <x:v>6723</x:v>
      </x:c>
      <x:c r="P704" s="292"/>
      <x:c r="Q704" s="292" t="str">
        <x:v>candidate-preflight-passed</x:v>
      </x:c>
      <x:c r="R704" s="324" t="str">
        <x:v>C3-C10规划锁定：鳗皮束腰</x:v>
      </x:c>
      <x:c r="S704" s="292" t="str">
        <x:v>玄渊二十套全装备代码总表.xlsx</x:v>
      </x:c>
      <x:c r="T704" s="292" t="str">
        <x:v>玄渊20套全装备视觉候选；Items/StateItem/DnItems三库同码；属性待策划填写</x:v>
      </x:c>
      <x:c r="U704" t="str">
        <x:f>IF(COUNTIF($B$2:$B$1076,B704)&gt;1,"重复","")</x:f>
      </x:c>
      <x:c r="V704" t="str">
        <x:f>IF(AND(OR(M704="",M704=B704),OR(N704="",N704=B704),OR(O704="",O704=B704)),"通过","不一致")</x:f>
        <x:v>通过</x:v>
      </x:c>
    </x:row>
    <x:row r="705" ht="22" customHeight="1">
      <x:c r="A705" s="289" t="n">
        <x:v>704</x:v>
      </x:c>
      <x:c r="B705" s="289" t="n">
        <x:v>6724</x:v>
      </x:c>
      <x:c r="C705" s="290" t="str">
        <x:v>血月荆棘·血月</x:v>
      </x:c>
      <x:c r="D705" s="290" t="str">
        <x:v>血月荆棘</x:v>
      </x:c>
      <x:c r="E705" s="290" t="n">
        <x:v>5</x:v>
      </x:c>
      <x:c r="F705" s="290" t="str">
        <x:v>护身符</x:v>
      </x:c>
      <x:c r="G705" s="289" t="n">
        <x:v>25</x:v>
      </x:c>
      <x:c r="H705" s="289" t="n">
        <x:v>9</x:v>
      </x:c>
      <x:c r="I705" s="289" t="n">
        <x:v>6724</x:v>
      </x:c>
      <x:c r="J705" s="289" t="n">
        <x:v>0</x:v>
      </x:c>
      <x:c r="K705" s="289" t="n">
        <x:v>0</x:v>
      </x:c>
      <x:c r="L705" s="289" t="n">
        <x:v>0</x:v>
      </x:c>
      <x:c r="M705" s="289" t="n">
        <x:v>6724</x:v>
      </x:c>
      <x:c r="N705" s="289" t="n">
        <x:v>6724</x:v>
      </x:c>
      <x:c r="O705" s="289" t="n">
        <x:v>6724</x:v>
      </x:c>
      <x:c r="P705" s="292"/>
      <x:c r="Q705" s="292" t="str">
        <x:v>candidate-preflight-passed</x:v>
      </x:c>
      <x:c r="R705" s="292" t="str"/>
      <x:c r="S705" s="292" t="str">
        <x:v>玄渊二十套全装备代码总表.xlsx</x:v>
      </x:c>
      <x:c r="T705" s="292" t="str">
        <x:v>玄渊20套全装备视觉候选；Items/StateItem/DnItems三库同码；属性待策划填写</x:v>
      </x:c>
      <x:c r="U705" t="str">
        <x:f>IF(COUNTIF($B$2:$B$1076,B705)&gt;1,"重复","")</x:f>
      </x:c>
      <x:c r="V705" t="str">
        <x:f>IF(AND(OR(M705="",M705=B705),OR(N705="",N705=B705),OR(O705="",O705=B705)),"通过","不一致")</x:f>
        <x:v>通过</x:v>
      </x:c>
    </x:row>
    <x:row r="706" ht="22" customHeight="1">
      <x:c r="A706" s="289" t="n">
        <x:v>705</x:v>
      </x:c>
      <x:c r="B706" s="289" t="n">
        <x:v>6725</x:v>
      </x:c>
      <x:c r="C706" s="290" t="str">
        <x:v>血月荆棘·血月</x:v>
      </x:c>
      <x:c r="D706" s="290" t="str">
        <x:v>血月荆棘</x:v>
      </x:c>
      <x:c r="E706" s="290" t="n">
        <x:v>5</x:v>
      </x:c>
      <x:c r="F706" s="290" t="str">
        <x:v>宝石</x:v>
      </x:c>
      <x:c r="G706" s="289" t="n">
        <x:v>63</x:v>
      </x:c>
      <x:c r="H706" s="289" t="n">
        <x:v>12</x:v>
      </x:c>
      <x:c r="I706" s="289" t="n">
        <x:v>6725</x:v>
      </x:c>
      <x:c r="J706" s="289" t="n">
        <x:v>0</x:v>
      </x:c>
      <x:c r="K706" s="289" t="n">
        <x:v>0</x:v>
      </x:c>
      <x:c r="L706" s="289" t="n">
        <x:v>0</x:v>
      </x:c>
      <x:c r="M706" s="289" t="n">
        <x:v>6725</x:v>
      </x:c>
      <x:c r="N706" s="289" t="n">
        <x:v>6725</x:v>
      </x:c>
      <x:c r="O706" s="289" t="n">
        <x:v>6725</x:v>
      </x:c>
      <x:c r="P706" s="292"/>
      <x:c r="Q706" s="292" t="str">
        <x:v>candidate-preflight-passed</x:v>
      </x:c>
      <x:c r="R706" s="292" t="str"/>
      <x:c r="S706" s="292" t="str">
        <x:v>玄渊二十套全装备代码总表.xlsx</x:v>
      </x:c>
      <x:c r="T706" s="292" t="str">
        <x:v>玄渊20套全装备视觉候选；Items/StateItem/DnItems三库同码；属性待策划填写</x:v>
      </x:c>
      <x:c r="U706" t="str">
        <x:f>IF(COUNTIF($B$2:$B$1076,B706)&gt;1,"重复","")</x:f>
      </x:c>
      <x:c r="V706" t="str">
        <x:f>IF(AND(OR(M706="",M706=B706),OR(N706="",N706=B706),OR(O706="",O706=B706)),"通过","不一致")</x:f>
        <x:v>通过</x:v>
      </x:c>
    </x:row>
    <x:row r="707" ht="22" customHeight="1">
      <x:c r="A707" s="289" t="n">
        <x:v>706</x:v>
      </x:c>
      <x:c r="B707" s="289" t="n">
        <x:v>6726</x:v>
      </x:c>
      <x:c r="C707" s="290" t="str">
        <x:v>血月荆棘·血月</x:v>
      </x:c>
      <x:c r="D707" s="290" t="str">
        <x:v>血月荆棘</x:v>
      </x:c>
      <x:c r="E707" s="290" t="n">
        <x:v>5</x:v>
      </x:c>
      <x:c r="F707" s="290" t="str">
        <x:v>军鼓</x:v>
      </x:c>
      <x:c r="G707" s="289" t="n">
        <x:v>65</x:v>
      </x:c>
      <x:c r="H707" s="289" t="n">
        <x:v>14</x:v>
      </x:c>
      <x:c r="I707" s="289" t="n">
        <x:v>6726</x:v>
      </x:c>
      <x:c r="J707" s="289" t="n">
        <x:v>0</x:v>
      </x:c>
      <x:c r="K707" s="289" t="n">
        <x:v>0</x:v>
      </x:c>
      <x:c r="L707" s="289" t="n">
        <x:v>0</x:v>
      </x:c>
      <x:c r="M707" s="289" t="n">
        <x:v>6726</x:v>
      </x:c>
      <x:c r="N707" s="289" t="n">
        <x:v>6726</x:v>
      </x:c>
      <x:c r="O707" s="289" t="n">
        <x:v>6726</x:v>
      </x:c>
      <x:c r="P707" s="292"/>
      <x:c r="Q707" s="292" t="str">
        <x:v>candidate-preflight-passed</x:v>
      </x:c>
      <x:c r="R707" s="292" t="str"/>
      <x:c r="S707" s="292" t="str">
        <x:v>玄渊二十套全装备代码总表.xlsx</x:v>
      </x:c>
      <x:c r="T707" s="292" t="str">
        <x:v>玄渊20套全装备视觉候选；Items/StateItem/DnItems三库同码；属性待策划填写</x:v>
      </x:c>
      <x:c r="U707" t="str">
        <x:f>IF(COUNTIF($B$2:$B$1076,B707)&gt;1,"重复","")</x:f>
      </x:c>
      <x:c r="V707" t="str">
        <x:f>IF(AND(OR(M707="",M707=B707),OR(N707="",N707=B707),OR(O707="",O707=B707)),"通过","不一致")</x:f>
        <x:v>通过</x:v>
      </x:c>
    </x:row>
    <x:row r="708" ht="22" customHeight="1">
      <x:c r="A708" s="289" t="n">
        <x:v>707</x:v>
      </x:c>
      <x:c r="B708" s="289" t="n">
        <x:v>6727</x:v>
      </x:c>
      <x:c r="C708" s="290" t="str">
        <x:v>血月荆棘·血月</x:v>
      </x:c>
      <x:c r="D708" s="290" t="str">
        <x:v>血月荆棘</x:v>
      </x:c>
      <x:c r="E708" s="290" t="n">
        <x:v>5</x:v>
      </x:c>
      <x:c r="F708" s="290" t="str">
        <x:v>马牌</x:v>
      </x:c>
      <x:c r="G708" s="289" t="n">
        <x:v>28</x:v>
      </x:c>
      <x:c r="H708" s="289" t="n">
        <x:v>15</x:v>
      </x:c>
      <x:c r="I708" s="289" t="n">
        <x:v>6727</x:v>
      </x:c>
      <x:c r="J708" s="289" t="n">
        <x:v>0</x:v>
      </x:c>
      <x:c r="K708" s="289" t="n">
        <x:v>0</x:v>
      </x:c>
      <x:c r="L708" s="289" t="n">
        <x:v>0</x:v>
      </x:c>
      <x:c r="M708" s="289" t="n">
        <x:v>6727</x:v>
      </x:c>
      <x:c r="N708" s="289" t="n">
        <x:v>6727</x:v>
      </x:c>
      <x:c r="O708" s="289" t="n">
        <x:v>6727</x:v>
      </x:c>
      <x:c r="P708" s="292"/>
      <x:c r="Q708" s="292" t="str">
        <x:v>candidate-preflight-passed</x:v>
      </x:c>
      <x:c r="R708" s="292" t="str"/>
      <x:c r="S708" s="292" t="str">
        <x:v>玄渊二十套全装备代码总表.xlsx</x:v>
      </x:c>
      <x:c r="T708" s="292" t="str">
        <x:v>玄渊20套全装备视觉候选；Items/StateItem/DnItems三库同码；属性待策划填写</x:v>
      </x:c>
      <x:c r="U708" t="str">
        <x:f>IF(COUNTIF($B$2:$B$1076,B708)&gt;1,"重复","")</x:f>
      </x:c>
      <x:c r="V708" t="str">
        <x:f>IF(AND(OR(M708="",M708=B708),OR(N708="",N708=B708),OR(O708="",O708=B708)),"通过","不一致")</x:f>
        <x:v>通过</x:v>
      </x:c>
    </x:row>
    <x:row r="709" ht="22" customHeight="1">
      <x:c r="A709" s="289" t="n">
        <x:v>708</x:v>
      </x:c>
      <x:c r="B709" s="289" t="n">
        <x:v>6728</x:v>
      </x:c>
      <x:c r="C709" s="290" t="str">
        <x:v>血月荆棘·血月</x:v>
      </x:c>
      <x:c r="D709" s="290" t="str">
        <x:v>血月荆棘</x:v>
      </x:c>
      <x:c r="E709" s="290" t="n">
        <x:v>5</x:v>
      </x:c>
      <x:c r="F709" s="290" t="str">
        <x:v>首饰盒1</x:v>
      </x:c>
      <x:c r="G709" s="289" t="n">
        <x:v>22</x:v>
      </x:c>
      <x:c r="H709" s="289" t="n">
        <x:v>30</x:v>
      </x:c>
      <x:c r="I709" s="289" t="n">
        <x:v>6728</x:v>
      </x:c>
      <x:c r="J709" s="289" t="n">
        <x:v>0</x:v>
      </x:c>
      <x:c r="K709" s="289" t="n">
        <x:v>2</x:v>
      </x:c>
      <x:c r="L709" s="289" t="n">
        <x:v>1</x:v>
      </x:c>
      <x:c r="M709" s="289" t="n">
        <x:v>6728</x:v>
      </x:c>
      <x:c r="N709" s="289" t="n">
        <x:v>6728</x:v>
      </x:c>
      <x:c r="O709" s="289" t="n">
        <x:v>6728</x:v>
      </x:c>
      <x:c r="P709" s="292"/>
      <x:c r="Q709" s="292" t="str">
        <x:v>candidate-preflight-passed</x:v>
      </x:c>
      <x:c r="R709" s="292" t="str"/>
      <x:c r="S709" s="292" t="str">
        <x:v>玄渊二十套全装备代码总表.xlsx</x:v>
      </x:c>
      <x:c r="T709" s="292" t="str">
        <x:v>玄渊20套全装备视觉候选；Items/StateItem/DnItems三库同码；属性待策划填写；OverLap=2; Expand1=1</x:v>
      </x:c>
      <x:c r="U709" t="str">
        <x:f>IF(COUNTIF($B$2:$B$1076,B709)&gt;1,"重复","")</x:f>
      </x:c>
      <x:c r="V709" t="str">
        <x:f>IF(AND(OR(M709="",M709=B709),OR(N709="",N709=B709),OR(O709="",O709=B709)),"通过","不一致")</x:f>
        <x:v>通过</x:v>
      </x:c>
    </x:row>
    <x:row r="710" ht="22" customHeight="1">
      <x:c r="A710" s="289" t="n">
        <x:v>709</x:v>
      </x:c>
      <x:c r="B710" s="289" t="n">
        <x:v>6729</x:v>
      </x:c>
      <x:c r="C710" s="290" t="str">
        <x:v>血月荆棘·血月</x:v>
      </x:c>
      <x:c r="D710" s="290" t="str">
        <x:v>血月荆棘</x:v>
      </x:c>
      <x:c r="E710" s="290" t="n">
        <x:v>5</x:v>
      </x:c>
      <x:c r="F710" s="290" t="str">
        <x:v>首饰盒2</x:v>
      </x:c>
      <x:c r="G710" s="289" t="n">
        <x:v>22</x:v>
      </x:c>
      <x:c r="H710" s="289" t="n">
        <x:v>31</x:v>
      </x:c>
      <x:c r="I710" s="289" t="n">
        <x:v>6729</x:v>
      </x:c>
      <x:c r="J710" s="289" t="n">
        <x:v>0</x:v>
      </x:c>
      <x:c r="K710" s="289" t="n">
        <x:v>2</x:v>
      </x:c>
      <x:c r="L710" s="289" t="n">
        <x:v>2</x:v>
      </x:c>
      <x:c r="M710" s="289" t="n">
        <x:v>6729</x:v>
      </x:c>
      <x:c r="N710" s="289" t="n">
        <x:v>6729</x:v>
      </x:c>
      <x:c r="O710" s="289" t="n">
        <x:v>6729</x:v>
      </x:c>
      <x:c r="P710" s="292"/>
      <x:c r="Q710" s="292" t="str">
        <x:v>candidate-preflight-passed</x:v>
      </x:c>
      <x:c r="R710" s="292" t="str"/>
      <x:c r="S710" s="292" t="str">
        <x:v>玄渊二十套全装备代码总表.xlsx</x:v>
      </x:c>
      <x:c r="T710" s="292" t="str">
        <x:v>玄渊20套全装备视觉候选；Items/StateItem/DnItems三库同码；属性待策划填写；OverLap=2; Expand1=2</x:v>
      </x:c>
      <x:c r="U710" t="str">
        <x:f>IF(COUNTIF($B$2:$B$1076,B710)&gt;1,"重复","")</x:f>
      </x:c>
      <x:c r="V710" t="str">
        <x:f>IF(AND(OR(M710="",M710=B710),OR(N710="",N710=B710),OR(O710="",O710=B710)),"通过","不一致")</x:f>
        <x:v>通过</x:v>
      </x:c>
    </x:row>
    <x:row r="711" ht="22" customHeight="1">
      <x:c r="A711" s="289" t="n">
        <x:v>710</x:v>
      </x:c>
      <x:c r="B711" s="289" t="n">
        <x:v>6730</x:v>
      </x:c>
      <x:c r="C711" s="290" t="str">
        <x:v>血月荆棘·血月</x:v>
      </x:c>
      <x:c r="D711" s="290" t="str">
        <x:v>血月荆棘</x:v>
      </x:c>
      <x:c r="E711" s="290" t="n">
        <x:v>5</x:v>
      </x:c>
      <x:c r="F711" s="290" t="str">
        <x:v>首饰盒3</x:v>
      </x:c>
      <x:c r="G711" s="289" t="n">
        <x:v>22</x:v>
      </x:c>
      <x:c r="H711" s="289" t="n">
        <x:v>32</x:v>
      </x:c>
      <x:c r="I711" s="289" t="n">
        <x:v>6730</x:v>
      </x:c>
      <x:c r="J711" s="289" t="n">
        <x:v>0</x:v>
      </x:c>
      <x:c r="K711" s="289" t="n">
        <x:v>2</x:v>
      </x:c>
      <x:c r="L711" s="289" t="n">
        <x:v>3</x:v>
      </x:c>
      <x:c r="M711" s="289" t="n">
        <x:v>6730</x:v>
      </x:c>
      <x:c r="N711" s="289" t="n">
        <x:v>6730</x:v>
      </x:c>
      <x:c r="O711" s="289" t="n">
        <x:v>6730</x:v>
      </x:c>
      <x:c r="P711" s="292"/>
      <x:c r="Q711" s="292" t="str">
        <x:v>candidate-preflight-passed</x:v>
      </x:c>
      <x:c r="R711" s="292" t="str"/>
      <x:c r="S711" s="292" t="str">
        <x:v>玄渊二十套全装备代码总表.xlsx</x:v>
      </x:c>
      <x:c r="T711" s="292" t="str">
        <x:v>玄渊20套全装备视觉候选；Items/StateItem/DnItems三库同码；属性待策划填写；OverLap=2; Expand1=3</x:v>
      </x:c>
      <x:c r="U711" t="str">
        <x:f>IF(COUNTIF($B$2:$B$1076,B711)&gt;1,"重复","")</x:f>
      </x:c>
      <x:c r="V711" t="str">
        <x:f>IF(AND(OR(M711="",M711=B711),OR(N711="",N711=B711),OR(O711="",O711=B711)),"通过","不一致")</x:f>
        <x:v>通过</x:v>
      </x:c>
    </x:row>
    <x:row r="712" ht="22" customHeight="1">
      <x:c r="A712" s="289" t="n">
        <x:v>711</x:v>
      </x:c>
      <x:c r="B712" s="289" t="n">
        <x:v>6731</x:v>
      </x:c>
      <x:c r="C712" s="290" t="str">
        <x:v>血月荆棘·血月</x:v>
      </x:c>
      <x:c r="D712" s="290" t="str">
        <x:v>血月荆棘</x:v>
      </x:c>
      <x:c r="E712" s="290" t="n">
        <x:v>5</x:v>
      </x:c>
      <x:c r="F712" s="290" t="str">
        <x:v>首饰盒4</x:v>
      </x:c>
      <x:c r="G712" s="289" t="n">
        <x:v>22</x:v>
      </x:c>
      <x:c r="H712" s="289" t="n">
        <x:v>33</x:v>
      </x:c>
      <x:c r="I712" s="289" t="n">
        <x:v>6731</x:v>
      </x:c>
      <x:c r="J712" s="289" t="n">
        <x:v>0</x:v>
      </x:c>
      <x:c r="K712" s="289" t="n">
        <x:v>2</x:v>
      </x:c>
      <x:c r="L712" s="289" t="n">
        <x:v>4</x:v>
      </x:c>
      <x:c r="M712" s="289" t="n">
        <x:v>6731</x:v>
      </x:c>
      <x:c r="N712" s="289" t="n">
        <x:v>6731</x:v>
      </x:c>
      <x:c r="O712" s="289" t="n">
        <x:v>6731</x:v>
      </x:c>
      <x:c r="P712" s="292"/>
      <x:c r="Q712" s="292" t="str">
        <x:v>candidate-preflight-passed</x:v>
      </x:c>
      <x:c r="R712" s="292" t="str"/>
      <x:c r="S712" s="292" t="str">
        <x:v>玄渊二十套全装备代码总表.xlsx</x:v>
      </x:c>
      <x:c r="T712" s="292" t="str">
        <x:v>玄渊20套全装备视觉候选；Items/StateItem/DnItems三库同码；属性待策划填写；OverLap=2; Expand1=4</x:v>
      </x:c>
      <x:c r="U712" t="str">
        <x:f>IF(COUNTIF($B$2:$B$1076,B712)&gt;1,"重复","")</x:f>
      </x:c>
      <x:c r="V712" t="str">
        <x:f>IF(AND(OR(M712="",M712=B712),OR(N712="",N712=B712),OR(O712="",O712=B712)),"通过","不一致")</x:f>
        <x:v>通过</x:v>
      </x:c>
    </x:row>
    <x:row r="713" ht="22" customHeight="1">
      <x:c r="A713" s="289" t="n">
        <x:v>712</x:v>
      </x:c>
      <x:c r="B713" s="289" t="n">
        <x:v>6732</x:v>
      </x:c>
      <x:c r="C713" s="290" t="str">
        <x:v>血月荆棘·血月</x:v>
      </x:c>
      <x:c r="D713" s="290" t="str">
        <x:v>血月荆棘</x:v>
      </x:c>
      <x:c r="E713" s="290" t="n">
        <x:v>5</x:v>
      </x:c>
      <x:c r="F713" s="290" t="str">
        <x:v>首饰盒5</x:v>
      </x:c>
      <x:c r="G713" s="289" t="n">
        <x:v>22</x:v>
      </x:c>
      <x:c r="H713" s="289" t="n">
        <x:v>34</x:v>
      </x:c>
      <x:c r="I713" s="289" t="n">
        <x:v>6732</x:v>
      </x:c>
      <x:c r="J713" s="289" t="n">
        <x:v>0</x:v>
      </x:c>
      <x:c r="K713" s="289" t="n">
        <x:v>2</x:v>
      </x:c>
      <x:c r="L713" s="289" t="n">
        <x:v>5</x:v>
      </x:c>
      <x:c r="M713" s="289" t="n">
        <x:v>6732</x:v>
      </x:c>
      <x:c r="N713" s="289" t="n">
        <x:v>6732</x:v>
      </x:c>
      <x:c r="O713" s="289" t="n">
        <x:v>6732</x:v>
      </x:c>
      <x:c r="P713" s="292"/>
      <x:c r="Q713" s="292" t="str">
        <x:v>candidate-preflight-passed</x:v>
      </x:c>
      <x:c r="R713" s="292" t="str"/>
      <x:c r="S713" s="292" t="str">
        <x:v>玄渊二十套全装备代码总表.xlsx</x:v>
      </x:c>
      <x:c r="T713" s="292" t="str">
        <x:v>玄渊20套全装备视觉候选；Items/StateItem/DnItems三库同码；属性待策划填写；OverLap=2; Expand1=5</x:v>
      </x:c>
      <x:c r="U713" t="str">
        <x:f>IF(COUNTIF($B$2:$B$1076,B713)&gt;1,"重复","")</x:f>
      </x:c>
      <x:c r="V713" t="str">
        <x:f>IF(AND(OR(M713="",M713=B713),OR(N713="",N713=B713),OR(O713="",O713=B713)),"通过","不一致")</x:f>
        <x:v>通过</x:v>
      </x:c>
    </x:row>
    <x:row r="714" ht="22" customHeight="1">
      <x:c r="A714" s="289" t="n">
        <x:v>713</x:v>
      </x:c>
      <x:c r="B714" s="289" t="n">
        <x:v>6733</x:v>
      </x:c>
      <x:c r="C714" s="290" t="str">
        <x:v>血月荆棘·血月</x:v>
      </x:c>
      <x:c r="D714" s="290" t="str">
        <x:v>血月荆棘</x:v>
      </x:c>
      <x:c r="E714" s="290" t="n">
        <x:v>5</x:v>
      </x:c>
      <x:c r="F714" s="290" t="str">
        <x:v>首饰盒6</x:v>
      </x:c>
      <x:c r="G714" s="289" t="n">
        <x:v>22</x:v>
      </x:c>
      <x:c r="H714" s="289" t="n">
        <x:v>35</x:v>
      </x:c>
      <x:c r="I714" s="289" t="n">
        <x:v>6733</x:v>
      </x:c>
      <x:c r="J714" s="289" t="n">
        <x:v>0</x:v>
      </x:c>
      <x:c r="K714" s="289" t="n">
        <x:v>2</x:v>
      </x:c>
      <x:c r="L714" s="289" t="n">
        <x:v>6</x:v>
      </x:c>
      <x:c r="M714" s="289" t="n">
        <x:v>6733</x:v>
      </x:c>
      <x:c r="N714" s="289" t="n">
        <x:v>6733</x:v>
      </x:c>
      <x:c r="O714" s="289" t="n">
        <x:v>6733</x:v>
      </x:c>
      <x:c r="P714" s="292"/>
      <x:c r="Q714" s="292" t="str">
        <x:v>candidate-preflight-passed</x:v>
      </x:c>
      <x:c r="R714" s="292" t="str"/>
      <x:c r="S714" s="292" t="str">
        <x:v>玄渊二十套全装备代码总表.xlsx</x:v>
      </x:c>
      <x:c r="T714" s="292" t="str">
        <x:v>玄渊20套全装备视觉候选；Items/StateItem/DnItems三库同码；属性待策划填写；OverLap=2; Expand1=6</x:v>
      </x:c>
      <x:c r="U714" t="str">
        <x:f>IF(COUNTIF($B$2:$B$1076,B714)&gt;1,"重复","")</x:f>
      </x:c>
      <x:c r="V714" t="str">
        <x:f>IF(AND(OR(M714="",M714=B714),OR(N714="",N714=B714),OR(O714="",O714=B714)),"通过","不一致")</x:f>
        <x:v>通过</x:v>
      </x:c>
    </x:row>
    <x:row r="715" ht="22" customHeight="1">
      <x:c r="A715" s="289" t="n">
        <x:v>714</x:v>
      </x:c>
      <x:c r="B715" s="289" t="n">
        <x:v>6734</x:v>
      </x:c>
      <x:c r="C715" s="290" t="str">
        <x:v>血月荆棘·血月</x:v>
      </x:c>
      <x:c r="D715" s="290" t="str">
        <x:v>血月荆棘</x:v>
      </x:c>
      <x:c r="E715" s="290" t="n">
        <x:v>5</x:v>
      </x:c>
      <x:c r="F715" s="290" t="str">
        <x:v>生肖1</x:v>
      </x:c>
      <x:c r="G715" s="289" t="n">
        <x:v>22</x:v>
      </x:c>
      <x:c r="H715" s="289" t="n">
        <x:v>40</x:v>
      </x:c>
      <x:c r="I715" s="289" t="n">
        <x:v>6734</x:v>
      </x:c>
      <x:c r="J715" s="289" t="n">
        <x:v>0</x:v>
      </x:c>
      <x:c r="K715" s="289" t="n">
        <x:v>4</x:v>
      </x:c>
      <x:c r="L715" s="289" t="n">
        <x:v>1</x:v>
      </x:c>
      <x:c r="M715" s="289" t="n">
        <x:v>6734</x:v>
      </x:c>
      <x:c r="N715" s="289" t="n">
        <x:v>6734</x:v>
      </x:c>
      <x:c r="O715" s="289" t="n">
        <x:v>6734</x:v>
      </x:c>
      <x:c r="P715" s="292"/>
      <x:c r="Q715" s="292" t="str">
        <x:v>candidate-preflight-passed</x:v>
      </x:c>
      <x:c r="R715" s="292" t="str"/>
      <x:c r="S715" s="292" t="str">
        <x:v>玄渊二十套全装备代码总表.xlsx</x:v>
      </x:c>
      <x:c r="T715" s="292" t="str">
        <x:v>玄渊20套全装备视觉候选；Items/StateItem/DnItems三库同码；属性待策划填写；OverLap=4; Expand1=1</x:v>
      </x:c>
      <x:c r="U715" t="str">
        <x:f>IF(COUNTIF($B$2:$B$1076,B715)&gt;1,"重复","")</x:f>
      </x:c>
      <x:c r="V715" t="str">
        <x:f>IF(AND(OR(M715="",M715=B715),OR(N715="",N715=B715),OR(O715="",O715=B715)),"通过","不一致")</x:f>
        <x:v>通过</x:v>
      </x:c>
    </x:row>
    <x:row r="716" ht="22" customHeight="1">
      <x:c r="A716" s="289" t="n">
        <x:v>715</x:v>
      </x:c>
      <x:c r="B716" s="289" t="n">
        <x:v>6735</x:v>
      </x:c>
      <x:c r="C716" s="290" t="str">
        <x:v>血月荆棘·血月</x:v>
      </x:c>
      <x:c r="D716" s="290" t="str">
        <x:v>血月荆棘</x:v>
      </x:c>
      <x:c r="E716" s="290" t="n">
        <x:v>5</x:v>
      </x:c>
      <x:c r="F716" s="290" t="str">
        <x:v>生肖2</x:v>
      </x:c>
      <x:c r="G716" s="289" t="n">
        <x:v>22</x:v>
      </x:c>
      <x:c r="H716" s="289" t="n">
        <x:v>41</x:v>
      </x:c>
      <x:c r="I716" s="289" t="n">
        <x:v>6735</x:v>
      </x:c>
      <x:c r="J716" s="289" t="n">
        <x:v>0</x:v>
      </x:c>
      <x:c r="K716" s="289" t="n">
        <x:v>4</x:v>
      </x:c>
      <x:c r="L716" s="289" t="n">
        <x:v>2</x:v>
      </x:c>
      <x:c r="M716" s="289" t="n">
        <x:v>6735</x:v>
      </x:c>
      <x:c r="N716" s="289" t="n">
        <x:v>6735</x:v>
      </x:c>
      <x:c r="O716" s="289" t="n">
        <x:v>6735</x:v>
      </x:c>
      <x:c r="P716" s="292"/>
      <x:c r="Q716" s="292" t="str">
        <x:v>candidate-preflight-passed</x:v>
      </x:c>
      <x:c r="R716" s="292" t="str"/>
      <x:c r="S716" s="292" t="str">
        <x:v>玄渊二十套全装备代码总表.xlsx</x:v>
      </x:c>
      <x:c r="T716" s="292" t="str">
        <x:v>玄渊20套全装备视觉候选；Items/StateItem/DnItems三库同码；属性待策划填写；OverLap=4; Expand1=2</x:v>
      </x:c>
      <x:c r="U716" t="str">
        <x:f>IF(COUNTIF($B$2:$B$1076,B716)&gt;1,"重复","")</x:f>
      </x:c>
      <x:c r="V716" t="str">
        <x:f>IF(AND(OR(M716="",M716=B716),OR(N716="",N716=B716),OR(O716="",O716=B716)),"通过","不一致")</x:f>
        <x:v>通过</x:v>
      </x:c>
    </x:row>
    <x:row r="717" ht="22" customHeight="1">
      <x:c r="A717" s="289" t="n">
        <x:v>716</x:v>
      </x:c>
      <x:c r="B717" s="289" t="n">
        <x:v>6736</x:v>
      </x:c>
      <x:c r="C717" s="290" t="str">
        <x:v>血月荆棘·血月</x:v>
      </x:c>
      <x:c r="D717" s="290" t="str">
        <x:v>血月荆棘</x:v>
      </x:c>
      <x:c r="E717" s="290" t="n">
        <x:v>5</x:v>
      </x:c>
      <x:c r="F717" s="290" t="str">
        <x:v>生肖3</x:v>
      </x:c>
      <x:c r="G717" s="289" t="n">
        <x:v>22</x:v>
      </x:c>
      <x:c r="H717" s="289" t="n">
        <x:v>42</x:v>
      </x:c>
      <x:c r="I717" s="289" t="n">
        <x:v>6736</x:v>
      </x:c>
      <x:c r="J717" s="289" t="n">
        <x:v>0</x:v>
      </x:c>
      <x:c r="K717" s="289" t="n">
        <x:v>4</x:v>
      </x:c>
      <x:c r="L717" s="289" t="n">
        <x:v>3</x:v>
      </x:c>
      <x:c r="M717" s="289" t="n">
        <x:v>6736</x:v>
      </x:c>
      <x:c r="N717" s="289" t="n">
        <x:v>6736</x:v>
      </x:c>
      <x:c r="O717" s="289" t="n">
        <x:v>6736</x:v>
      </x:c>
      <x:c r="P717" s="292"/>
      <x:c r="Q717" s="292" t="str">
        <x:v>candidate-preflight-passed</x:v>
      </x:c>
      <x:c r="R717" s="292" t="str"/>
      <x:c r="S717" s="292" t="str">
        <x:v>玄渊二十套全装备代码总表.xlsx</x:v>
      </x:c>
      <x:c r="T717" s="292" t="str">
        <x:v>玄渊20套全装备视觉候选；Items/StateItem/DnItems三库同码；属性待策划填写；OverLap=4; Expand1=3</x:v>
      </x:c>
      <x:c r="U717" t="str">
        <x:f>IF(COUNTIF($B$2:$B$1076,B717)&gt;1,"重复","")</x:f>
      </x:c>
      <x:c r="V717" t="str">
        <x:f>IF(AND(OR(M717="",M717=B717),OR(N717="",N717=B717),OR(O717="",O717=B717)),"通过","不一致")</x:f>
        <x:v>通过</x:v>
      </x:c>
    </x:row>
    <x:row r="718" ht="22" customHeight="1">
      <x:c r="A718" s="289" t="n">
        <x:v>717</x:v>
      </x:c>
      <x:c r="B718" s="289" t="n">
        <x:v>6737</x:v>
      </x:c>
      <x:c r="C718" s="290" t="str">
        <x:v>血月荆棘·血月</x:v>
      </x:c>
      <x:c r="D718" s="290" t="str">
        <x:v>血月荆棘</x:v>
      </x:c>
      <x:c r="E718" s="290" t="n">
        <x:v>5</x:v>
      </x:c>
      <x:c r="F718" s="290" t="str">
        <x:v>生肖4</x:v>
      </x:c>
      <x:c r="G718" s="289" t="n">
        <x:v>22</x:v>
      </x:c>
      <x:c r="H718" s="289" t="n">
        <x:v>43</x:v>
      </x:c>
      <x:c r="I718" s="289" t="n">
        <x:v>6737</x:v>
      </x:c>
      <x:c r="J718" s="289" t="n">
        <x:v>0</x:v>
      </x:c>
      <x:c r="K718" s="289" t="n">
        <x:v>4</x:v>
      </x:c>
      <x:c r="L718" s="289" t="n">
        <x:v>4</x:v>
      </x:c>
      <x:c r="M718" s="289" t="n">
        <x:v>6737</x:v>
      </x:c>
      <x:c r="N718" s="289" t="n">
        <x:v>6737</x:v>
      </x:c>
      <x:c r="O718" s="289" t="n">
        <x:v>6737</x:v>
      </x:c>
      <x:c r="P718" s="292"/>
      <x:c r="Q718" s="292" t="str">
        <x:v>candidate-preflight-passed</x:v>
      </x:c>
      <x:c r="R718" s="292" t="str"/>
      <x:c r="S718" s="292" t="str">
        <x:v>玄渊二十套全装备代码总表.xlsx</x:v>
      </x:c>
      <x:c r="T718" s="292" t="str">
        <x:v>玄渊20套全装备视觉候选；Items/StateItem/DnItems三库同码；属性待策划填写；OverLap=4; Expand1=4</x:v>
      </x:c>
      <x:c r="U718" t="str">
        <x:f>IF(COUNTIF($B$2:$B$1076,B718)&gt;1,"重复","")</x:f>
      </x:c>
      <x:c r="V718" t="str">
        <x:f>IF(AND(OR(M718="",M718=B718),OR(N718="",N718=B718),OR(O718="",O718=B718)),"通过","不一致")</x:f>
        <x:v>通过</x:v>
      </x:c>
    </x:row>
    <x:row r="719" ht="22" customHeight="1">
      <x:c r="A719" s="289" t="n">
        <x:v>718</x:v>
      </x:c>
      <x:c r="B719" s="289" t="n">
        <x:v>6738</x:v>
      </x:c>
      <x:c r="C719" s="290" t="str">
        <x:v>血月荆棘·血月</x:v>
      </x:c>
      <x:c r="D719" s="290" t="str">
        <x:v>血月荆棘</x:v>
      </x:c>
      <x:c r="E719" s="290" t="n">
        <x:v>5</x:v>
      </x:c>
      <x:c r="F719" s="290" t="str">
        <x:v>生肖5</x:v>
      </x:c>
      <x:c r="G719" s="289" t="n">
        <x:v>22</x:v>
      </x:c>
      <x:c r="H719" s="289" t="n">
        <x:v>44</x:v>
      </x:c>
      <x:c r="I719" s="289" t="n">
        <x:v>6738</x:v>
      </x:c>
      <x:c r="J719" s="289" t="n">
        <x:v>0</x:v>
      </x:c>
      <x:c r="K719" s="289" t="n">
        <x:v>4</x:v>
      </x:c>
      <x:c r="L719" s="289" t="n">
        <x:v>5</x:v>
      </x:c>
      <x:c r="M719" s="289" t="n">
        <x:v>6738</x:v>
      </x:c>
      <x:c r="N719" s="289" t="n">
        <x:v>6738</x:v>
      </x:c>
      <x:c r="O719" s="289" t="n">
        <x:v>6738</x:v>
      </x:c>
      <x:c r="P719" s="292"/>
      <x:c r="Q719" s="292" t="str">
        <x:v>candidate-preflight-passed</x:v>
      </x:c>
      <x:c r="R719" s="292" t="str"/>
      <x:c r="S719" s="292" t="str">
        <x:v>玄渊二十套全装备代码总表.xlsx</x:v>
      </x:c>
      <x:c r="T719" s="292" t="str">
        <x:v>玄渊20套全装备视觉候选；Items/StateItem/DnItems三库同码；属性待策划填写；OverLap=4; Expand1=5</x:v>
      </x:c>
      <x:c r="U719" t="str">
        <x:f>IF(COUNTIF($B$2:$B$1076,B719)&gt;1,"重复","")</x:f>
      </x:c>
      <x:c r="V719" t="str">
        <x:f>IF(AND(OR(M719="",M719=B719),OR(N719="",N719=B719),OR(O719="",O719=B719)),"通过","不一致")</x:f>
        <x:v>通过</x:v>
      </x:c>
    </x:row>
    <x:row r="720" ht="22" customHeight="1">
      <x:c r="A720" s="289" t="n">
        <x:v>719</x:v>
      </x:c>
      <x:c r="B720" s="289" t="n">
        <x:v>6739</x:v>
      </x:c>
      <x:c r="C720" s="290" t="str">
        <x:v>血月荆棘·血月</x:v>
      </x:c>
      <x:c r="D720" s="290" t="str">
        <x:v>血月荆棘</x:v>
      </x:c>
      <x:c r="E720" s="290" t="n">
        <x:v>5</x:v>
      </x:c>
      <x:c r="F720" s="290" t="str">
        <x:v>生肖6</x:v>
      </x:c>
      <x:c r="G720" s="289" t="n">
        <x:v>22</x:v>
      </x:c>
      <x:c r="H720" s="289" t="n">
        <x:v>45</x:v>
      </x:c>
      <x:c r="I720" s="289" t="n">
        <x:v>6739</x:v>
      </x:c>
      <x:c r="J720" s="289" t="n">
        <x:v>0</x:v>
      </x:c>
      <x:c r="K720" s="289" t="n">
        <x:v>4</x:v>
      </x:c>
      <x:c r="L720" s="289" t="n">
        <x:v>6</x:v>
      </x:c>
      <x:c r="M720" s="289" t="n">
        <x:v>6739</x:v>
      </x:c>
      <x:c r="N720" s="289" t="n">
        <x:v>6739</x:v>
      </x:c>
      <x:c r="O720" s="289" t="n">
        <x:v>6739</x:v>
      </x:c>
      <x:c r="P720" s="292"/>
      <x:c r="Q720" s="292" t="str">
        <x:v>candidate-preflight-passed</x:v>
      </x:c>
      <x:c r="R720" s="292" t="str"/>
      <x:c r="S720" s="292" t="str">
        <x:v>玄渊二十套全装备代码总表.xlsx</x:v>
      </x:c>
      <x:c r="T720" s="292" t="str">
        <x:v>玄渊20套全装备视觉候选；Items/StateItem/DnItems三库同码；属性待策划填写；OverLap=4; Expand1=6</x:v>
      </x:c>
      <x:c r="U720" t="str">
        <x:f>IF(COUNTIF($B$2:$B$1076,B720)&gt;1,"重复","")</x:f>
      </x:c>
      <x:c r="V720" t="str">
        <x:f>IF(AND(OR(M720="",M720=B720),OR(N720="",N720=B720),OR(O720="",O720=B720)),"通过","不一致")</x:f>
        <x:v>通过</x:v>
      </x:c>
    </x:row>
    <x:row r="721" ht="22" customHeight="1">
      <x:c r="A721" s="289" t="n">
        <x:v>720</x:v>
      </x:c>
      <x:c r="B721" s="289" t="n">
        <x:v>6740</x:v>
      </x:c>
      <x:c r="C721" s="290" t="str">
        <x:v>血月荆棘·血月</x:v>
      </x:c>
      <x:c r="D721" s="290" t="str">
        <x:v>血月荆棘</x:v>
      </x:c>
      <x:c r="E721" s="290" t="n">
        <x:v>5</x:v>
      </x:c>
      <x:c r="F721" s="290" t="str">
        <x:v>生肖7</x:v>
      </x:c>
      <x:c r="G721" s="289" t="n">
        <x:v>22</x:v>
      </x:c>
      <x:c r="H721" s="289" t="n">
        <x:v>46</x:v>
      </x:c>
      <x:c r="I721" s="289" t="n">
        <x:v>6740</x:v>
      </x:c>
      <x:c r="J721" s="289" t="n">
        <x:v>0</x:v>
      </x:c>
      <x:c r="K721" s="289" t="n">
        <x:v>4</x:v>
      </x:c>
      <x:c r="L721" s="289" t="n">
        <x:v>7</x:v>
      </x:c>
      <x:c r="M721" s="289" t="n">
        <x:v>6740</x:v>
      </x:c>
      <x:c r="N721" s="289" t="n">
        <x:v>6740</x:v>
      </x:c>
      <x:c r="O721" s="289" t="n">
        <x:v>6740</x:v>
      </x:c>
      <x:c r="P721" s="292"/>
      <x:c r="Q721" s="292" t="str">
        <x:v>candidate-preflight-passed</x:v>
      </x:c>
      <x:c r="R721" s="292" t="str"/>
      <x:c r="S721" s="292" t="str">
        <x:v>玄渊二十套全装备代码总表.xlsx</x:v>
      </x:c>
      <x:c r="T721" s="292" t="str">
        <x:v>玄渊20套全装备视觉候选；Items/StateItem/DnItems三库同码；属性待策划填写；OverLap=4; Expand1=7</x:v>
      </x:c>
      <x:c r="U721" t="str">
        <x:f>IF(COUNTIF($B$2:$B$1076,B721)&gt;1,"重复","")</x:f>
      </x:c>
      <x:c r="V721" t="str">
        <x:f>IF(AND(OR(M721="",M721=B721),OR(N721="",N721=B721),OR(O721="",O721=B721)),"通过","不一致")</x:f>
        <x:v>通过</x:v>
      </x:c>
    </x:row>
    <x:row r="722" ht="22" customHeight="1">
      <x:c r="A722" s="289" t="n">
        <x:v>721</x:v>
      </x:c>
      <x:c r="B722" s="289" t="n">
        <x:v>6741</x:v>
      </x:c>
      <x:c r="C722" s="290" t="str">
        <x:v>血月荆棘·血月</x:v>
      </x:c>
      <x:c r="D722" s="290" t="str">
        <x:v>血月荆棘</x:v>
      </x:c>
      <x:c r="E722" s="290" t="n">
        <x:v>5</x:v>
      </x:c>
      <x:c r="F722" s="290" t="str">
        <x:v>生肖8</x:v>
      </x:c>
      <x:c r="G722" s="289" t="n">
        <x:v>22</x:v>
      </x:c>
      <x:c r="H722" s="289" t="n">
        <x:v>47</x:v>
      </x:c>
      <x:c r="I722" s="289" t="n">
        <x:v>6741</x:v>
      </x:c>
      <x:c r="J722" s="289" t="n">
        <x:v>0</x:v>
      </x:c>
      <x:c r="K722" s="289" t="n">
        <x:v>4</x:v>
      </x:c>
      <x:c r="L722" s="289" t="n">
        <x:v>8</x:v>
      </x:c>
      <x:c r="M722" s="289" t="n">
        <x:v>6741</x:v>
      </x:c>
      <x:c r="N722" s="289" t="n">
        <x:v>6741</x:v>
      </x:c>
      <x:c r="O722" s="289" t="n">
        <x:v>6741</x:v>
      </x:c>
      <x:c r="P722" s="292"/>
      <x:c r="Q722" s="292" t="str">
        <x:v>candidate-preflight-passed</x:v>
      </x:c>
      <x:c r="R722" s="292" t="str"/>
      <x:c r="S722" s="292" t="str">
        <x:v>玄渊二十套全装备代码总表.xlsx</x:v>
      </x:c>
      <x:c r="T722" s="292" t="str">
        <x:v>玄渊20套全装备视觉候选；Items/StateItem/DnItems三库同码；属性待策划填写；OverLap=4; Expand1=8</x:v>
      </x:c>
      <x:c r="U722" t="str">
        <x:f>IF(COUNTIF($B$2:$B$1076,B722)&gt;1,"重复","")</x:f>
      </x:c>
      <x:c r="V722" t="str">
        <x:f>IF(AND(OR(M722="",M722=B722),OR(N722="",N722=B722),OR(O722="",O722=B722)),"通过","不一致")</x:f>
        <x:v>通过</x:v>
      </x:c>
    </x:row>
    <x:row r="723" ht="22" customHeight="1">
      <x:c r="A723" s="289" t="n">
        <x:v>722</x:v>
      </x:c>
      <x:c r="B723" s="289" t="n">
        <x:v>6742</x:v>
      </x:c>
      <x:c r="C723" s="290" t="str">
        <x:v>血月荆棘·血月</x:v>
      </x:c>
      <x:c r="D723" s="290" t="str">
        <x:v>血月荆棘</x:v>
      </x:c>
      <x:c r="E723" s="290" t="n">
        <x:v>5</x:v>
      </x:c>
      <x:c r="F723" s="290" t="str">
        <x:v>生肖9</x:v>
      </x:c>
      <x:c r="G723" s="289" t="n">
        <x:v>22</x:v>
      </x:c>
      <x:c r="H723" s="289" t="n">
        <x:v>48</x:v>
      </x:c>
      <x:c r="I723" s="289" t="n">
        <x:v>6742</x:v>
      </x:c>
      <x:c r="J723" s="289" t="n">
        <x:v>0</x:v>
      </x:c>
      <x:c r="K723" s="289" t="n">
        <x:v>4</x:v>
      </x:c>
      <x:c r="L723" s="289" t="n">
        <x:v>9</x:v>
      </x:c>
      <x:c r="M723" s="289" t="n">
        <x:v>6742</x:v>
      </x:c>
      <x:c r="N723" s="289" t="n">
        <x:v>6742</x:v>
      </x:c>
      <x:c r="O723" s="289" t="n">
        <x:v>6742</x:v>
      </x:c>
      <x:c r="P723" s="292"/>
      <x:c r="Q723" s="292" t="str">
        <x:v>candidate-preflight-passed</x:v>
      </x:c>
      <x:c r="R723" s="292" t="str"/>
      <x:c r="S723" s="292" t="str">
        <x:v>玄渊二十套全装备代码总表.xlsx</x:v>
      </x:c>
      <x:c r="T723" s="292" t="str">
        <x:v>玄渊20套全装备视觉候选；Items/StateItem/DnItems三库同码；属性待策划填写；OverLap=4; Expand1=9</x:v>
      </x:c>
      <x:c r="U723" t="str">
        <x:f>IF(COUNTIF($B$2:$B$1076,B723)&gt;1,"重复","")</x:f>
      </x:c>
      <x:c r="V723" t="str">
        <x:f>IF(AND(OR(M723="",M723=B723),OR(N723="",N723=B723),OR(O723="",O723=B723)),"通过","不一致")</x:f>
        <x:v>通过</x:v>
      </x:c>
    </x:row>
    <x:row r="724" ht="22" customHeight="1">
      <x:c r="A724" s="289" t="n">
        <x:v>723</x:v>
      </x:c>
      <x:c r="B724" s="289" t="n">
        <x:v>6743</x:v>
      </x:c>
      <x:c r="C724" s="290" t="str">
        <x:v>血月荆棘·血月</x:v>
      </x:c>
      <x:c r="D724" s="290" t="str">
        <x:v>血月荆棘</x:v>
      </x:c>
      <x:c r="E724" s="290" t="n">
        <x:v>5</x:v>
      </x:c>
      <x:c r="F724" s="290" t="str">
        <x:v>生肖10</x:v>
      </x:c>
      <x:c r="G724" s="289" t="n">
        <x:v>22</x:v>
      </x:c>
      <x:c r="H724" s="289" t="n">
        <x:v>49</x:v>
      </x:c>
      <x:c r="I724" s="289" t="n">
        <x:v>6743</x:v>
      </x:c>
      <x:c r="J724" s="289" t="n">
        <x:v>0</x:v>
      </x:c>
      <x:c r="K724" s="289" t="n">
        <x:v>4</x:v>
      </x:c>
      <x:c r="L724" s="289" t="n">
        <x:v>10</x:v>
      </x:c>
      <x:c r="M724" s="289" t="n">
        <x:v>6743</x:v>
      </x:c>
      <x:c r="N724" s="289" t="n">
        <x:v>6743</x:v>
      </x:c>
      <x:c r="O724" s="289" t="n">
        <x:v>6743</x:v>
      </x:c>
      <x:c r="P724" s="292"/>
      <x:c r="Q724" s="292" t="str">
        <x:v>candidate-preflight-passed</x:v>
      </x:c>
      <x:c r="R724" s="292" t="str"/>
      <x:c r="S724" s="292" t="str">
        <x:v>玄渊二十套全装备代码总表.xlsx</x:v>
      </x:c>
      <x:c r="T724" s="292" t="str">
        <x:v>玄渊20套全装备视觉候选；Items/StateItem/DnItems三库同码；属性待策划填写；OverLap=4; Expand1=10</x:v>
      </x:c>
      <x:c r="U724" t="str">
        <x:f>IF(COUNTIF($B$2:$B$1076,B724)&gt;1,"重复","")</x:f>
      </x:c>
      <x:c r="V724" t="str">
        <x:f>IF(AND(OR(M724="",M724=B724),OR(N724="",N724=B724),OR(O724="",O724=B724)),"通过","不一致")</x:f>
        <x:v>通过</x:v>
      </x:c>
    </x:row>
    <x:row r="725" ht="22" customHeight="1">
      <x:c r="A725" s="289" t="n">
        <x:v>724</x:v>
      </x:c>
      <x:c r="B725" s="289" t="n">
        <x:v>6744</x:v>
      </x:c>
      <x:c r="C725" s="290" t="str">
        <x:v>血月荆棘·血月</x:v>
      </x:c>
      <x:c r="D725" s="290" t="str">
        <x:v>血月荆棘</x:v>
      </x:c>
      <x:c r="E725" s="290" t="n">
        <x:v>5</x:v>
      </x:c>
      <x:c r="F725" s="290" t="str">
        <x:v>生肖11</x:v>
      </x:c>
      <x:c r="G725" s="289" t="n">
        <x:v>22</x:v>
      </x:c>
      <x:c r="H725" s="289" t="n">
        <x:v>50</x:v>
      </x:c>
      <x:c r="I725" s="289" t="n">
        <x:v>6744</x:v>
      </x:c>
      <x:c r="J725" s="289" t="n">
        <x:v>0</x:v>
      </x:c>
      <x:c r="K725" s="289" t="n">
        <x:v>4</x:v>
      </x:c>
      <x:c r="L725" s="289" t="n">
        <x:v>11</x:v>
      </x:c>
      <x:c r="M725" s="289" t="n">
        <x:v>6744</x:v>
      </x:c>
      <x:c r="N725" s="289" t="n">
        <x:v>6744</x:v>
      </x:c>
      <x:c r="O725" s="289" t="n">
        <x:v>6744</x:v>
      </x:c>
      <x:c r="P725" s="292"/>
      <x:c r="Q725" s="292" t="str">
        <x:v>candidate-preflight-passed</x:v>
      </x:c>
      <x:c r="R725" s="292" t="str"/>
      <x:c r="S725" s="292" t="str">
        <x:v>玄渊二十套全装备代码总表.xlsx</x:v>
      </x:c>
      <x:c r="T725" s="292" t="str">
        <x:v>玄渊20套全装备视觉候选；Items/StateItem/DnItems三库同码；属性待策划填写；OverLap=4; Expand1=11</x:v>
      </x:c>
      <x:c r="U725" t="str">
        <x:f>IF(COUNTIF($B$2:$B$1076,B725)&gt;1,"重复","")</x:f>
      </x:c>
      <x:c r="V725" t="str">
        <x:f>IF(AND(OR(M725="",M725=B725),OR(N725="",N725=B725),OR(O725="",O725=B725)),"通过","不一致")</x:f>
        <x:v>通过</x:v>
      </x:c>
    </x:row>
    <x:row r="726" ht="22" customHeight="1">
      <x:c r="A726" s="289" t="n">
        <x:v>725</x:v>
      </x:c>
      <x:c r="B726" s="289" t="n">
        <x:v>6745</x:v>
      </x:c>
      <x:c r="C726" s="290" t="str">
        <x:v>血月荆棘·血月</x:v>
      </x:c>
      <x:c r="D726" s="290" t="str">
        <x:v>血月荆棘</x:v>
      </x:c>
      <x:c r="E726" s="290" t="n">
        <x:v>5</x:v>
      </x:c>
      <x:c r="F726" s="290" t="str">
        <x:v>生肖12</x:v>
      </x:c>
      <x:c r="G726" s="289" t="n">
        <x:v>22</x:v>
      </x:c>
      <x:c r="H726" s="289" t="n">
        <x:v>51</x:v>
      </x:c>
      <x:c r="I726" s="289" t="n">
        <x:v>6745</x:v>
      </x:c>
      <x:c r="J726" s="289" t="n">
        <x:v>0</x:v>
      </x:c>
      <x:c r="K726" s="289" t="n">
        <x:v>4</x:v>
      </x:c>
      <x:c r="L726" s="289" t="n">
        <x:v>12</x:v>
      </x:c>
      <x:c r="M726" s="289" t="n">
        <x:v>6745</x:v>
      </x:c>
      <x:c r="N726" s="289" t="n">
        <x:v>6745</x:v>
      </x:c>
      <x:c r="O726" s="289" t="n">
        <x:v>6745</x:v>
      </x:c>
      <x:c r="P726" s="292"/>
      <x:c r="Q726" s="292" t="str">
        <x:v>candidate-preflight-passed</x:v>
      </x:c>
      <x:c r="R726" s="292" t="str"/>
      <x:c r="S726" s="292" t="str">
        <x:v>玄渊二十套全装备代码总表.xlsx</x:v>
      </x:c>
      <x:c r="T726" s="292" t="str">
        <x:v>玄渊20套全装备视觉候选；Items/StateItem/DnItems三库同码；属性待策划填写；OverLap=4; Expand1=12</x:v>
      </x:c>
      <x:c r="U726" t="str">
        <x:f>IF(COUNTIF($B$2:$B$1076,B726)&gt;1,"重复","")</x:f>
      </x:c>
      <x:c r="V726" t="str">
        <x:f>IF(AND(OR(M726="",M726=B726),OR(N726="",N726=B726),OR(O726="",O726=B726)),"通过","不一致")</x:f>
        <x:v>通过</x:v>
      </x:c>
    </x:row>
    <x:row r="727" ht="22" customHeight="1">
      <x:c r="A727" s="289" t="n">
        <x:v>726</x:v>
      </x:c>
      <x:c r="B727" s="289" t="n">
        <x:v>6746</x:v>
      </x:c>
      <x:c r="C727" s="290" t="str">
        <x:v>星渊龙息·星痕</x:v>
      </x:c>
      <x:c r="D727" s="290" t="str">
        <x:v>星渊龙息</x:v>
      </x:c>
      <x:c r="E727" s="290" t="n">
        <x:v>1</x:v>
      </x:c>
      <x:c r="F727" s="290" t="str">
        <x:v>武器</x:v>
      </x:c>
      <x:c r="G727" s="289" t="n">
        <x:v>5</x:v>
      </x:c>
      <x:c r="H727" s="289" t="n">
        <x:v>1</x:v>
      </x:c>
      <x:c r="I727" s="289" t="n">
        <x:v>6746</x:v>
      </x:c>
      <x:c r="J727" s="289" t="n">
        <x:v>26</x:v>
      </x:c>
      <x:c r="K727" s="289" t="n">
        <x:v>0</x:v>
      </x:c>
      <x:c r="L727" s="289" t="n">
        <x:v>0</x:v>
      </x:c>
      <x:c r="M727" s="289" t="n">
        <x:v>6746</x:v>
      </x:c>
      <x:c r="N727" s="289" t="n">
        <x:v>6746</x:v>
      </x:c>
      <x:c r="O727" s="289" t="n">
        <x:v>6746</x:v>
      </x:c>
      <x:c r="P727" s="292" t="str">
        <x:v>Weapon.wzl/wzx（复用现有真实动作）</x:v>
      </x:c>
      <x:c r="Q727" s="292" t="str">
        <x:v>candidate-preflight-passed</x:v>
      </x:c>
      <x:c r="R727" s="324" t="str">
        <x:v>C3-C10规划锁定：赫岚的幽舵刃</x:v>
      </x:c>
      <x:c r="S727" s="292" t="str">
        <x:v>玄渊二十套全装备代码总表.xlsx</x:v>
      </x:c>
      <x:c r="T727" s="292" t="str">
        <x:v>玄渊20套全装备视觉候选；Items/StateItem/DnItems三库同码；属性待策划填写；Weapon Shape=26</x:v>
      </x:c>
      <x:c r="U727" t="str">
        <x:f>IF(COUNTIF($B$2:$B$1076,B727)&gt;1,"重复","")</x:f>
      </x:c>
      <x:c r="V727" t="str">
        <x:f>IF(AND(OR(M727="",M727=B727),OR(N727="",N727=B727),OR(O727="",O727=B727)),"通过","不一致")</x:f>
        <x:v>通过</x:v>
      </x:c>
    </x:row>
    <x:row r="728" ht="22" customHeight="1">
      <x:c r="A728" s="289" t="n">
        <x:v>727</x:v>
      </x:c>
      <x:c r="B728" s="289" t="n">
        <x:v>6747</x:v>
      </x:c>
      <x:c r="C728" s="290" t="str">
        <x:v>星渊龙息·星痕</x:v>
      </x:c>
      <x:c r="D728" s="290" t="str">
        <x:v>星渊龙息</x:v>
      </x:c>
      <x:c r="E728" s="290" t="n">
        <x:v>1</x:v>
      </x:c>
      <x:c r="F728" s="290" t="str">
        <x:v>男衣服</x:v>
      </x:c>
      <x:c r="G728" s="289" t="n">
        <x:v>10</x:v>
      </x:c>
      <x:c r="H728" s="289" t="n">
        <x:v>0</x:v>
      </x:c>
      <x:c r="I728" s="289" t="n">
        <x:v>6747</x:v>
      </x:c>
      <x:c r="J728" s="289" t="n">
        <x:v>3</x:v>
      </x:c>
      <x:c r="K728" s="289" t="n">
        <x:v>0</x:v>
      </x:c>
      <x:c r="L728" s="289" t="n">
        <x:v>0</x:v>
      </x:c>
      <x:c r="M728" s="289" t="n">
        <x:v>6747</x:v>
      </x:c>
      <x:c r="N728" s="289" t="n">
        <x:v>6747</x:v>
      </x:c>
      <x:c r="O728" s="289" t="n">
        <x:v>6747</x:v>
      </x:c>
      <x:c r="P728" s="292" t="str">
        <x:v>Hum.wzl/wzx（复用现有真实动作）</x:v>
      </x:c>
      <x:c r="Q728" s="292" t="str">
        <x:v>candidate-preflight-passed</x:v>
      </x:c>
      <x:c r="R728" s="324" t="str">
        <x:v>C3-C10规划锁定：沃姆吞魂舱甲</x:v>
      </x:c>
      <x:c r="S728" s="292" t="str">
        <x:v>玄渊二十套全装备代码总表.xlsx</x:v>
      </x:c>
      <x:c r="T728" s="292" t="str">
        <x:v>玄渊20套全装备视觉候选；Items/StateItem/DnItems三库同码；属性待策划填写；Hum Shape=3</x:v>
      </x:c>
      <x:c r="U728" t="str">
        <x:f>IF(COUNTIF($B$2:$B$1076,B728)&gt;1,"重复","")</x:f>
      </x:c>
      <x:c r="V728" t="str">
        <x:f>IF(AND(OR(M728="",M728=B728),OR(N728="",N728=B728),OR(O728="",O728=B728)),"通过","不一致")</x:f>
        <x:v>通过</x:v>
      </x:c>
    </x:row>
    <x:row r="729" ht="22" customHeight="1">
      <x:c r="A729" s="289" t="n">
        <x:v>728</x:v>
      </x:c>
      <x:c r="B729" s="289" t="n">
        <x:v>6748</x:v>
      </x:c>
      <x:c r="C729" s="290" t="str">
        <x:v>星渊龙息·星痕</x:v>
      </x:c>
      <x:c r="D729" s="290" t="str">
        <x:v>星渊龙息</x:v>
      </x:c>
      <x:c r="E729" s="290" t="n">
        <x:v>1</x:v>
      </x:c>
      <x:c r="F729" s="290" t="str">
        <x:v>女衣服</x:v>
      </x:c>
      <x:c r="G729" s="289" t="n">
        <x:v>11</x:v>
      </x:c>
      <x:c r="H729" s="289" t="n">
        <x:v>0</x:v>
      </x:c>
      <x:c r="I729" s="289" t="n">
        <x:v>6748</x:v>
      </x:c>
      <x:c r="J729" s="289" t="n">
        <x:v>3</x:v>
      </x:c>
      <x:c r="K729" s="289" t="n">
        <x:v>0</x:v>
      </x:c>
      <x:c r="L729" s="289" t="n">
        <x:v>0</x:v>
      </x:c>
      <x:c r="M729" s="289" t="n">
        <x:v>6748</x:v>
      </x:c>
      <x:c r="N729" s="289" t="n">
        <x:v>6748</x:v>
      </x:c>
      <x:c r="O729" s="289" t="n">
        <x:v>6748</x:v>
      </x:c>
      <x:c r="P729" s="292" t="str">
        <x:v>Hum.wzl/wzx（复用现有真实动作）</x:v>
      </x:c>
      <x:c r="Q729" s="292" t="str">
        <x:v>candidate-preflight-passed</x:v>
      </x:c>
      <x:c r="R729" s="292" t="str"/>
      <x:c r="S729" s="292" t="str">
        <x:v>玄渊二十套全装备代码总表.xlsx</x:v>
      </x:c>
      <x:c r="T729" s="292" t="str">
        <x:v>玄渊20套全装备视觉候选；Items/StateItem/DnItems三库同码；属性待策划填写；Hum Shape=3</x:v>
      </x:c>
      <x:c r="U729" t="str">
        <x:f>IF(COUNTIF($B$2:$B$1076,B729)&gt;1,"重复","")</x:f>
      </x:c>
      <x:c r="V729" t="str">
        <x:f>IF(AND(OR(M729="",M729=B729),OR(N729="",N729=B729),OR(O729="",O729=B729)),"通过","不一致")</x:f>
        <x:v>通过</x:v>
      </x:c>
    </x:row>
    <x:row r="730" ht="22" customHeight="1">
      <x:c r="A730" s="289" t="n">
        <x:v>729</x:v>
      </x:c>
      <x:c r="B730" s="289" t="n">
        <x:v>6749</x:v>
      </x:c>
      <x:c r="C730" s="290" t="str">
        <x:v>星渊龙息·星痕</x:v>
      </x:c>
      <x:c r="D730" s="290" t="str">
        <x:v>星渊龙息</x:v>
      </x:c>
      <x:c r="E730" s="290" t="n">
        <x:v>1</x:v>
      </x:c>
      <x:c r="F730" s="290" t="str">
        <x:v>头盔</x:v>
      </x:c>
      <x:c r="G730" s="289" t="n">
        <x:v>15</x:v>
      </x:c>
      <x:c r="H730" s="289" t="n">
        <x:v>4</x:v>
      </x:c>
      <x:c r="I730" s="289" t="n">
        <x:v>6749</x:v>
      </x:c>
      <x:c r="J730" s="289" t="n">
        <x:v>0</x:v>
      </x:c>
      <x:c r="K730" s="289" t="n">
        <x:v>0</x:v>
      </x:c>
      <x:c r="L730" s="289" t="n">
        <x:v>0</x:v>
      </x:c>
      <x:c r="M730" s="289" t="n">
        <x:v>6749</x:v>
      </x:c>
      <x:c r="N730" s="289" t="n">
        <x:v>6749</x:v>
      </x:c>
      <x:c r="O730" s="289" t="n">
        <x:v>6749</x:v>
      </x:c>
      <x:c r="P730" s="292"/>
      <x:c r="Q730" s="292" t="str">
        <x:v>candidate-preflight-passed</x:v>
      </x:c>
      <x:c r="R730" s="324" t="str">
        <x:v>C3-C10规划锁定：藻纹石盔</x:v>
      </x:c>
      <x:c r="S730" s="292" t="str">
        <x:v>玄渊二十套全装备代码总表.xlsx</x:v>
      </x:c>
      <x:c r="T730" s="292" t="str">
        <x:v>玄渊20套全装备视觉候选；Items/StateItem/DnItems三库同码；属性待策划填写</x:v>
      </x:c>
      <x:c r="U730" t="str">
        <x:f>IF(COUNTIF($B$2:$B$1076,B730)&gt;1,"重复","")</x:f>
      </x:c>
      <x:c r="V730" t="str">
        <x:f>IF(AND(OR(M730="",M730=B730),OR(N730="",N730=B730),OR(O730="",O730=B730)),"通过","不一致")</x:f>
        <x:v>通过</x:v>
      </x:c>
    </x:row>
    <x:row r="731" ht="22" customHeight="1">
      <x:c r="A731" s="289" t="n">
        <x:v>730</x:v>
      </x:c>
      <x:c r="B731" s="289" t="n">
        <x:v>6750</x:v>
      </x:c>
      <x:c r="C731" s="290" t="str">
        <x:v>星渊龙息·星痕</x:v>
      </x:c>
      <x:c r="D731" s="290" t="str">
        <x:v>星渊龙息</x:v>
      </x:c>
      <x:c r="E731" s="290" t="n">
        <x:v>1</x:v>
      </x:c>
      <x:c r="F731" s="290" t="str">
        <x:v>面巾</x:v>
      </x:c>
      <x:c r="G731" s="289" t="n">
        <x:v>16</x:v>
      </x:c>
      <x:c r="H731" s="289" t="n">
        <x:v>13</x:v>
      </x:c>
      <x:c r="I731" s="289" t="n">
        <x:v>6750</x:v>
      </x:c>
      <x:c r="J731" s="289" t="n">
        <x:v>0</x:v>
      </x:c>
      <x:c r="K731" s="289" t="n">
        <x:v>0</x:v>
      </x:c>
      <x:c r="L731" s="289" t="n">
        <x:v>0</x:v>
      </x:c>
      <x:c r="M731" s="289" t="n">
        <x:v>6750</x:v>
      </x:c>
      <x:c r="N731" s="289" t="n">
        <x:v>6750</x:v>
      </x:c>
      <x:c r="O731" s="289" t="n">
        <x:v>6750</x:v>
      </x:c>
      <x:c r="P731" s="292"/>
      <x:c r="Q731" s="292" t="str">
        <x:v>candidate-preflight-passed</x:v>
      </x:c>
      <x:c r="R731" s="324" t="str">
        <x:v>C3-C10规划锁定：织雪白绒笠</x:v>
      </x:c>
      <x:c r="S731" s="292" t="str">
        <x:v>玄渊二十套全装备代码总表.xlsx</x:v>
      </x:c>
      <x:c r="T731" s="292" t="str">
        <x:v>玄渊20套全装备视觉候选；Items/StateItem/DnItems三库同码；属性待策划填写</x:v>
      </x:c>
      <x:c r="U731" t="str">
        <x:f>IF(COUNTIF($B$2:$B$1076,B731)&gt;1,"重复","")</x:f>
      </x:c>
      <x:c r="V731" t="str">
        <x:f>IF(AND(OR(M731="",M731=B731),OR(N731="",N731=B731),OR(O731="",O731=B731)),"通过","不一致")</x:f>
        <x:v>通过</x:v>
      </x:c>
    </x:row>
    <x:row r="732" ht="22" customHeight="1">
      <x:c r="A732" s="289" t="n">
        <x:v>731</x:v>
      </x:c>
      <x:c r="B732" s="289" t="n">
        <x:v>6751</x:v>
      </x:c>
      <x:c r="C732" s="290" t="str">
        <x:v>星渊龙息·星痕</x:v>
      </x:c>
      <x:c r="D732" s="290" t="str">
        <x:v>星渊龙息</x:v>
      </x:c>
      <x:c r="E732" s="290" t="n">
        <x:v>1</x:v>
      </x:c>
      <x:c r="F732" s="290" t="str">
        <x:v>项链</x:v>
      </x:c>
      <x:c r="G732" s="289" t="n">
        <x:v>19</x:v>
      </x:c>
      <x:c r="H732" s="289" t="n">
        <x:v>3</x:v>
      </x:c>
      <x:c r="I732" s="289" t="n">
        <x:v>6751</x:v>
      </x:c>
      <x:c r="J732" s="289" t="n">
        <x:v>0</x:v>
      </x:c>
      <x:c r="K732" s="289" t="n">
        <x:v>0</x:v>
      </x:c>
      <x:c r="L732" s="289" t="n">
        <x:v>0</x:v>
      </x:c>
      <x:c r="M732" s="289" t="n">
        <x:v>6751</x:v>
      </x:c>
      <x:c r="N732" s="289" t="n">
        <x:v>6751</x:v>
      </x:c>
      <x:c r="O732" s="289" t="n">
        <x:v>6751</x:v>
      </x:c>
      <x:c r="P732" s="292"/>
      <x:c r="Q732" s="292" t="str">
        <x:v>candidate-preflight-passed</x:v>
      </x:c>
      <x:c r="R732" s="324" t="str">
        <x:v>C3-C10规划锁定：湖狮断链坠</x:v>
      </x:c>
      <x:c r="S732" s="292" t="str">
        <x:v>玄渊二十套全装备代码总表.xlsx</x:v>
      </x:c>
      <x:c r="T732" s="292" t="str">
        <x:v>玄渊20套全装备视觉候选；Items/StateItem/DnItems三库同码；属性待策划填写</x:v>
      </x:c>
      <x:c r="U732" t="str">
        <x:f>IF(COUNTIF($B$2:$B$1076,B732)&gt;1,"重复","")</x:f>
      </x:c>
      <x:c r="V732" t="str">
        <x:f>IF(AND(OR(M732="",M732=B732),OR(N732="",N732=B732),OR(O732="",O732=B732)),"通过","不一致")</x:f>
        <x:v>通过</x:v>
      </x:c>
    </x:row>
    <x:row r="733" ht="22" customHeight="1">
      <x:c r="A733" s="289" t="n">
        <x:v>732</x:v>
      </x:c>
      <x:c r="B733" s="289" t="n">
        <x:v>6752</x:v>
      </x:c>
      <x:c r="C733" s="290" t="str">
        <x:v>星渊龙息·星痕</x:v>
      </x:c>
      <x:c r="D733" s="290" t="str">
        <x:v>星渊龙息</x:v>
      </x:c>
      <x:c r="E733" s="290" t="n">
        <x:v>1</x:v>
      </x:c>
      <x:c r="F733" s="290" t="str">
        <x:v>手镯</x:v>
      </x:c>
      <x:c r="G733" s="289" t="n">
        <x:v>26</x:v>
      </x:c>
      <x:c r="H733" s="289" t="n">
        <x:v>5</x:v>
      </x:c>
      <x:c r="I733" s="289" t="n">
        <x:v>6752</x:v>
      </x:c>
      <x:c r="J733" s="289" t="n">
        <x:v>0</x:v>
      </x:c>
      <x:c r="K733" s="289" t="n">
        <x:v>0</x:v>
      </x:c>
      <x:c r="L733" s="289" t="n">
        <x:v>0</x:v>
      </x:c>
      <x:c r="M733" s="289" t="n">
        <x:v>6752</x:v>
      </x:c>
      <x:c r="N733" s="289" t="n">
        <x:v>6752</x:v>
      </x:c>
      <x:c r="O733" s="289" t="n">
        <x:v>6752</x:v>
      </x:c>
      <x:c r="P733" s="292"/>
      <x:c r="Q733" s="292" t="str">
        <x:v>candidate-preflight-passed</x:v>
      </x:c>
      <x:c r="R733" s="324" t="str">
        <x:v>C3-C10规划锁定：老舵手镯</x:v>
      </x:c>
      <x:c r="S733" s="292" t="str">
        <x:v>玄渊二十套全装备代码总表.xlsx</x:v>
      </x:c>
      <x:c r="T733" s="292" t="str">
        <x:v>玄渊20套全装备视觉候选；Items/StateItem/DnItems三库同码；属性待策划填写</x:v>
      </x:c>
      <x:c r="U733" t="str">
        <x:f>IF(COUNTIF($B$2:$B$1076,B733)&gt;1,"重复","")</x:f>
      </x:c>
      <x:c r="V733" t="str">
        <x:f>IF(AND(OR(M733="",M733=B733),OR(N733="",N733=B733),OR(O733="",O733=B733)),"通过","不一致")</x:f>
        <x:v>通过</x:v>
      </x:c>
    </x:row>
    <x:row r="734" ht="22" customHeight="1">
      <x:c r="A734" s="289" t="n">
        <x:v>733</x:v>
      </x:c>
      <x:c r="B734" s="289" t="n">
        <x:v>6753</x:v>
      </x:c>
      <x:c r="C734" s="290" t="str">
        <x:v>星渊龙息·星痕</x:v>
      </x:c>
      <x:c r="D734" s="290" t="str">
        <x:v>星渊龙息</x:v>
      </x:c>
      <x:c r="E734" s="290" t="n">
        <x:v>1</x:v>
      </x:c>
      <x:c r="F734" s="290" t="str">
        <x:v>戒指</x:v>
      </x:c>
      <x:c r="G734" s="289" t="n">
        <x:v>22</x:v>
      </x:c>
      <x:c r="H734" s="289" t="n">
        <x:v>7</x:v>
      </x:c>
      <x:c r="I734" s="289" t="n">
        <x:v>6753</x:v>
      </x:c>
      <x:c r="J734" s="289" t="n">
        <x:v>0</x:v>
      </x:c>
      <x:c r="K734" s="289" t="n">
        <x:v>0</x:v>
      </x:c>
      <x:c r="L734" s="289" t="n">
        <x:v>0</x:v>
      </x:c>
      <x:c r="M734" s="289" t="n">
        <x:v>6753</x:v>
      </x:c>
      <x:c r="N734" s="289" t="n">
        <x:v>6753</x:v>
      </x:c>
      <x:c r="O734" s="289" t="n">
        <x:v>6753</x:v>
      </x:c>
      <x:c r="P734" s="292"/>
      <x:c r="Q734" s="292" t="str">
        <x:v>candidate-preflight-passed</x:v>
      </x:c>
      <x:c r="R734" s="324" t="str">
        <x:v>C3-C10规划锁定：蓝焰祷戒</x:v>
      </x:c>
      <x:c r="S734" s="292" t="str">
        <x:v>玄渊二十套全装备代码总表.xlsx</x:v>
      </x:c>
      <x:c r="T734" s="292" t="str">
        <x:v>玄渊20套全装备视觉候选；Items/StateItem/DnItems三库同码；属性待策划填写</x:v>
      </x:c>
      <x:c r="U734" t="str">
        <x:f>IF(COUNTIF($B$2:$B$1076,B734)&gt;1,"重复","")</x:f>
      </x:c>
      <x:c r="V734" t="str">
        <x:f>IF(AND(OR(M734="",M734=B734),OR(N734="",N734=B734),OR(O734="",O734=B734)),"通过","不一致")</x:f>
        <x:v>通过</x:v>
      </x:c>
    </x:row>
    <x:row r="735" ht="22" customHeight="1">
      <x:c r="A735" s="289" t="n">
        <x:v>734</x:v>
      </x:c>
      <x:c r="B735" s="289" t="n">
        <x:v>6754</x:v>
      </x:c>
      <x:c r="C735" s="290" t="str">
        <x:v>星渊龙息·星痕</x:v>
      </x:c>
      <x:c r="D735" s="290" t="str">
        <x:v>星渊龙息</x:v>
      </x:c>
      <x:c r="E735" s="290" t="n">
        <x:v>1</x:v>
      </x:c>
      <x:c r="F735" s="290" t="str">
        <x:v>勋章</x:v>
      </x:c>
      <x:c r="G735" s="289" t="n">
        <x:v>30</x:v>
      </x:c>
      <x:c r="H735" s="289" t="n">
        <x:v>2</x:v>
      </x:c>
      <x:c r="I735" s="289" t="n">
        <x:v>6754</x:v>
      </x:c>
      <x:c r="J735" s="289" t="n">
        <x:v>0</x:v>
      </x:c>
      <x:c r="K735" s="289" t="n">
        <x:v>0</x:v>
      </x:c>
      <x:c r="L735" s="289" t="n">
        <x:v>0</x:v>
      </x:c>
      <x:c r="M735" s="289" t="n">
        <x:v>6754</x:v>
      </x:c>
      <x:c r="N735" s="289" t="n">
        <x:v>6754</x:v>
      </x:c>
      <x:c r="O735" s="289" t="n">
        <x:v>6754</x:v>
      </x:c>
      <x:c r="P735" s="292"/>
      <x:c r="Q735" s="292" t="str">
        <x:v>candidate-preflight-passed</x:v>
      </x:c>
      <x:c r="R735" s="324" t="str">
        <x:v>C3-C10规划锁定：倒书客勋章</x:v>
      </x:c>
      <x:c r="S735" s="292" t="str">
        <x:v>玄渊二十套全装备代码总表.xlsx</x:v>
      </x:c>
      <x:c r="T735" s="292" t="str">
        <x:v>玄渊20套全装备视觉候选；Items/StateItem/DnItems三库同码；属性待策划填写</x:v>
      </x:c>
      <x:c r="U735" t="str">
        <x:f>IF(COUNTIF($B$2:$B$1076,B735)&gt;1,"重复","")</x:f>
      </x:c>
      <x:c r="V735" t="str">
        <x:f>IF(AND(OR(M735="",M735=B735),OR(N735="",N735=B735),OR(O735="",O735=B735)),"通过","不一致")</x:f>
        <x:v>通过</x:v>
      </x:c>
    </x:row>
    <x:row r="736" ht="22" customHeight="1">
      <x:c r="A736" s="289" t="n">
        <x:v>735</x:v>
      </x:c>
      <x:c r="B736" s="289" t="n">
        <x:v>6755</x:v>
      </x:c>
      <x:c r="C736" s="290" t="str">
        <x:v>星渊龙息·星痕</x:v>
      </x:c>
      <x:c r="D736" s="290" t="str">
        <x:v>星渊龙息</x:v>
      </x:c>
      <x:c r="E736" s="290" t="n">
        <x:v>1</x:v>
      </x:c>
      <x:c r="F736" s="290" t="str">
        <x:v>盾牌</x:v>
      </x:c>
      <x:c r="G736" s="289" t="n">
        <x:v>12</x:v>
      </x:c>
      <x:c r="H736" s="289" t="n">
        <x:v>16</x:v>
      </x:c>
      <x:c r="I736" s="289" t="n">
        <x:v>6755</x:v>
      </x:c>
      <x:c r="J736" s="289" t="n">
        <x:v>0</x:v>
      </x:c>
      <x:c r="K736" s="289" t="n">
        <x:v>0</x:v>
      </x:c>
      <x:c r="L736" s="289" t="n">
        <x:v>0</x:v>
      </x:c>
      <x:c r="M736" s="289" t="n">
        <x:v>6755</x:v>
      </x:c>
      <x:c r="N736" s="289" t="n">
        <x:v>6755</x:v>
      </x:c>
      <x:c r="O736" s="289" t="n">
        <x:v>6755</x:v>
      </x:c>
      <x:c r="P736" s="292"/>
      <x:c r="Q736" s="292" t="str">
        <x:v>candidate-preflight-passed</x:v>
      </x:c>
      <x:c r="R736" s="324" t="str">
        <x:v>C3-C10规划锁定：巡闸圆盾</x:v>
      </x:c>
      <x:c r="S736" s="292" t="str">
        <x:v>玄渊二十套全装备代码总表.xlsx</x:v>
      </x:c>
      <x:c r="T736" s="292" t="str">
        <x:v>玄渊20套全装备视觉候选；Items/StateItem/DnItems三库同码；属性待策划填写</x:v>
      </x:c>
      <x:c r="U736" t="str">
        <x:f>IF(COUNTIF($B$2:$B$1076,B736)&gt;1,"重复","")</x:f>
      </x:c>
      <x:c r="V736" t="str">
        <x:f>IF(AND(OR(M736="",M736=B736),OR(N736="",N736=B736),OR(O736="",O736=B736)),"通过","不一致")</x:f>
        <x:v>通过</x:v>
      </x:c>
    </x:row>
    <x:row r="737" ht="22" customHeight="1">
      <x:c r="A737" s="289" t="n">
        <x:v>736</x:v>
      </x:c>
      <x:c r="B737" s="289" t="n">
        <x:v>6756</x:v>
      </x:c>
      <x:c r="C737" s="290" t="str">
        <x:v>星渊龙息·星痕</x:v>
      </x:c>
      <x:c r="D737" s="290" t="str">
        <x:v>星渊龙息</x:v>
      </x:c>
      <x:c r="E737" s="290" t="n">
        <x:v>1</x:v>
      </x:c>
      <x:c r="F737" s="290" t="str">
        <x:v>灵玉</x:v>
      </x:c>
      <x:c r="G737" s="289" t="n">
        <x:v>90</x:v>
      </x:c>
      <x:c r="H737" s="289" t="n">
        <x:v>17</x:v>
      </x:c>
      <x:c r="I737" s="289" t="n">
        <x:v>6756</x:v>
      </x:c>
      <x:c r="J737" s="289" t="n">
        <x:v>0</x:v>
      </x:c>
      <x:c r="K737" s="289" t="n">
        <x:v>0</x:v>
      </x:c>
      <x:c r="L737" s="289" t="n">
        <x:v>0</x:v>
      </x:c>
      <x:c r="M737" s="289" t="n">
        <x:v>6756</x:v>
      </x:c>
      <x:c r="N737" s="289" t="n">
        <x:v>6756</x:v>
      </x:c>
      <x:c r="O737" s="289" t="n">
        <x:v>6756</x:v>
      </x:c>
      <x:c r="P737" s="292"/>
      <x:c r="Q737" s="292" t="str">
        <x:v>candidate-preflight-passed</x:v>
      </x:c>
      <x:c r="R737" s="292" t="str"/>
      <x:c r="S737" s="292" t="str">
        <x:v>玄渊二十套全装备代码总表.xlsx</x:v>
      </x:c>
      <x:c r="T737" s="292" t="str">
        <x:v>玄渊20套全装备视觉候选；Items/StateItem/DnItems三库同码；属性待策划填写</x:v>
      </x:c>
      <x:c r="U737" t="str">
        <x:f>IF(COUNTIF($B$2:$B$1076,B737)&gt;1,"重复","")</x:f>
      </x:c>
      <x:c r="V737" t="str">
        <x:f>IF(AND(OR(M737="",M737=B737),OR(N737="",N737=B737),OR(O737="",O737=B737)),"通过","不一致")</x:f>
        <x:v>通过</x:v>
      </x:c>
    </x:row>
    <x:row r="738" ht="22" customHeight="1">
      <x:c r="A738" s="289" t="n">
        <x:v>737</x:v>
      </x:c>
      <x:c r="B738" s="289" t="n">
        <x:v>6757</x:v>
      </x:c>
      <x:c r="C738" s="290" t="str">
        <x:v>星渊龙息·星痕</x:v>
      </x:c>
      <x:c r="D738" s="290" t="str">
        <x:v>星渊龙息</x:v>
      </x:c>
      <x:c r="E738" s="290" t="n">
        <x:v>1</x:v>
      </x:c>
      <x:c r="F738" s="290" t="str">
        <x:v>鞋子</x:v>
      </x:c>
      <x:c r="G738" s="289" t="n">
        <x:v>62</x:v>
      </x:c>
      <x:c r="H738" s="289" t="n">
        <x:v>11</x:v>
      </x:c>
      <x:c r="I738" s="289" t="n">
        <x:v>6757</x:v>
      </x:c>
      <x:c r="J738" s="289" t="n">
        <x:v>0</x:v>
      </x:c>
      <x:c r="K738" s="289" t="n">
        <x:v>0</x:v>
      </x:c>
      <x:c r="L738" s="289" t="n">
        <x:v>0</x:v>
      </x:c>
      <x:c r="M738" s="289" t="n">
        <x:v>6757</x:v>
      </x:c>
      <x:c r="N738" s="289" t="n">
        <x:v>6757</x:v>
      </x:c>
      <x:c r="O738" s="289" t="n">
        <x:v>6757</x:v>
      </x:c>
      <x:c r="P738" s="292"/>
      <x:c r="Q738" s="292" t="str">
        <x:v>candidate-preflight-passed</x:v>
      </x:c>
      <x:c r="R738" s="324" t="str">
        <x:v>C3-C10规划锁定：梦蛾踏水靴</x:v>
      </x:c>
      <x:c r="S738" s="292" t="str">
        <x:v>玄渊二十套全装备代码总表.xlsx</x:v>
      </x:c>
      <x:c r="T738" s="292" t="str">
        <x:v>玄渊20套全装备视觉候选；Items/StateItem/DnItems三库同码；属性待策划填写</x:v>
      </x:c>
      <x:c r="U738" t="str">
        <x:f>IF(COUNTIF($B$2:$B$1076,B738)&gt;1,"重复","")</x:f>
      </x:c>
      <x:c r="V738" t="str">
        <x:f>IF(AND(OR(M738="",M738=B738),OR(N738="",N738=B738),OR(O738="",O738=B738)),"通过","不一致")</x:f>
        <x:v>通过</x:v>
      </x:c>
    </x:row>
    <x:row r="739" ht="22" customHeight="1">
      <x:c r="A739" s="289" t="n">
        <x:v>738</x:v>
      </x:c>
      <x:c r="B739" s="289" t="n">
        <x:v>6758</x:v>
      </x:c>
      <x:c r="C739" s="290" t="str">
        <x:v>星渊龙息·星痕</x:v>
      </x:c>
      <x:c r="D739" s="290" t="str">
        <x:v>星渊龙息</x:v>
      </x:c>
      <x:c r="E739" s="290" t="n">
        <x:v>1</x:v>
      </x:c>
      <x:c r="F739" s="290" t="str">
        <x:v>腰带</x:v>
      </x:c>
      <x:c r="G739" s="289" t="n">
        <x:v>64</x:v>
      </x:c>
      <x:c r="H739" s="289" t="n">
        <x:v>10</x:v>
      </x:c>
      <x:c r="I739" s="289" t="n">
        <x:v>6758</x:v>
      </x:c>
      <x:c r="J739" s="289" t="n">
        <x:v>0</x:v>
      </x:c>
      <x:c r="K739" s="289" t="n">
        <x:v>0</x:v>
      </x:c>
      <x:c r="L739" s="289" t="n">
        <x:v>0</x:v>
      </x:c>
      <x:c r="M739" s="289" t="n">
        <x:v>6758</x:v>
      </x:c>
      <x:c r="N739" s="289" t="n">
        <x:v>6758</x:v>
      </x:c>
      <x:c r="O739" s="289" t="n">
        <x:v>6758</x:v>
      </x:c>
      <x:c r="P739" s="292"/>
      <x:c r="Q739" s="292" t="str">
        <x:v>candidate-preflight-passed</x:v>
      </x:c>
      <x:c r="R739" s="324" t="str">
        <x:v>C3-C10规划锁定：泥膜束带</x:v>
      </x:c>
      <x:c r="S739" s="292" t="str">
        <x:v>玄渊二十套全装备代码总表.xlsx</x:v>
      </x:c>
      <x:c r="T739" s="292" t="str">
        <x:v>玄渊20套全装备视觉候选；Items/StateItem/DnItems三库同码；属性待策划填写</x:v>
      </x:c>
      <x:c r="U739" t="str">
        <x:f>IF(COUNTIF($B$2:$B$1076,B739)&gt;1,"重复","")</x:f>
      </x:c>
      <x:c r="V739" t="str">
        <x:f>IF(AND(OR(M739="",M739=B739),OR(N739="",N739=B739),OR(O739="",O739=B739)),"通过","不一致")</x:f>
        <x:v>通过</x:v>
      </x:c>
    </x:row>
    <x:row r="740" ht="22" customHeight="1">
      <x:c r="A740" s="289" t="n">
        <x:v>739</x:v>
      </x:c>
      <x:c r="B740" s="289" t="n">
        <x:v>6759</x:v>
      </x:c>
      <x:c r="C740" s="290" t="str">
        <x:v>星渊龙息·星痕</x:v>
      </x:c>
      <x:c r="D740" s="290" t="str">
        <x:v>星渊龙息</x:v>
      </x:c>
      <x:c r="E740" s="290" t="n">
        <x:v>1</x:v>
      </x:c>
      <x:c r="F740" s="290" t="str">
        <x:v>护身符</x:v>
      </x:c>
      <x:c r="G740" s="289" t="n">
        <x:v>25</x:v>
      </x:c>
      <x:c r="H740" s="289" t="n">
        <x:v>9</x:v>
      </x:c>
      <x:c r="I740" s="289" t="n">
        <x:v>6759</x:v>
      </x:c>
      <x:c r="J740" s="289" t="n">
        <x:v>0</x:v>
      </x:c>
      <x:c r="K740" s="289" t="n">
        <x:v>0</x:v>
      </x:c>
      <x:c r="L740" s="289" t="n">
        <x:v>0</x:v>
      </x:c>
      <x:c r="M740" s="289" t="n">
        <x:v>6759</x:v>
      </x:c>
      <x:c r="N740" s="289" t="n">
        <x:v>6759</x:v>
      </x:c>
      <x:c r="O740" s="289" t="n">
        <x:v>6759</x:v>
      </x:c>
      <x:c r="P740" s="292"/>
      <x:c r="Q740" s="292" t="str">
        <x:v>candidate-preflight-passed</x:v>
      </x:c>
      <x:c r="R740" s="292" t="str"/>
      <x:c r="S740" s="292" t="str">
        <x:v>玄渊二十套全装备代码总表.xlsx</x:v>
      </x:c>
      <x:c r="T740" s="292" t="str">
        <x:v>玄渊20套全装备视觉候选；Items/StateItem/DnItems三库同码；属性待策划填写</x:v>
      </x:c>
      <x:c r="U740" t="str">
        <x:f>IF(COUNTIF($B$2:$B$1076,B740)&gt;1,"重复","")</x:f>
      </x:c>
      <x:c r="V740" t="str">
        <x:f>IF(AND(OR(M740="",M740=B740),OR(N740="",N740=B740),OR(O740="",O740=B740)),"通过","不一致")</x:f>
        <x:v>通过</x:v>
      </x:c>
    </x:row>
    <x:row r="741" ht="22" customHeight="1">
      <x:c r="A741" s="289" t="n">
        <x:v>740</x:v>
      </x:c>
      <x:c r="B741" s="289" t="n">
        <x:v>6760</x:v>
      </x:c>
      <x:c r="C741" s="290" t="str">
        <x:v>星渊龙息·星痕</x:v>
      </x:c>
      <x:c r="D741" s="290" t="str">
        <x:v>星渊龙息</x:v>
      </x:c>
      <x:c r="E741" s="290" t="n">
        <x:v>1</x:v>
      </x:c>
      <x:c r="F741" s="290" t="str">
        <x:v>宝石</x:v>
      </x:c>
      <x:c r="G741" s="289" t="n">
        <x:v>63</x:v>
      </x:c>
      <x:c r="H741" s="289" t="n">
        <x:v>12</x:v>
      </x:c>
      <x:c r="I741" s="289" t="n">
        <x:v>6760</x:v>
      </x:c>
      <x:c r="J741" s="289" t="n">
        <x:v>0</x:v>
      </x:c>
      <x:c r="K741" s="289" t="n">
        <x:v>0</x:v>
      </x:c>
      <x:c r="L741" s="289" t="n">
        <x:v>0</x:v>
      </x:c>
      <x:c r="M741" s="289" t="n">
        <x:v>6760</x:v>
      </x:c>
      <x:c r="N741" s="289" t="n">
        <x:v>6760</x:v>
      </x:c>
      <x:c r="O741" s="289" t="n">
        <x:v>6760</x:v>
      </x:c>
      <x:c r="P741" s="292"/>
      <x:c r="Q741" s="292" t="str">
        <x:v>candidate-preflight-passed</x:v>
      </x:c>
      <x:c r="R741" s="292" t="str"/>
      <x:c r="S741" s="292" t="str">
        <x:v>玄渊二十套全装备代码总表.xlsx</x:v>
      </x:c>
      <x:c r="T741" s="292" t="str">
        <x:v>玄渊20套全装备视觉候选；Items/StateItem/DnItems三库同码；属性待策划填写</x:v>
      </x:c>
      <x:c r="U741" t="str">
        <x:f>IF(COUNTIF($B$2:$B$1076,B741)&gt;1,"重复","")</x:f>
      </x:c>
      <x:c r="V741" t="str">
        <x:f>IF(AND(OR(M741="",M741=B741),OR(N741="",N741=B741),OR(O741="",O741=B741)),"通过","不一致")</x:f>
        <x:v>通过</x:v>
      </x:c>
    </x:row>
    <x:row r="742" ht="22" customHeight="1">
      <x:c r="A742" s="289" t="n">
        <x:v>741</x:v>
      </x:c>
      <x:c r="B742" s="289" t="n">
        <x:v>6761</x:v>
      </x:c>
      <x:c r="C742" s="290" t="str">
        <x:v>星渊龙息·星痕</x:v>
      </x:c>
      <x:c r="D742" s="290" t="str">
        <x:v>星渊龙息</x:v>
      </x:c>
      <x:c r="E742" s="290" t="n">
        <x:v>1</x:v>
      </x:c>
      <x:c r="F742" s="290" t="str">
        <x:v>军鼓</x:v>
      </x:c>
      <x:c r="G742" s="289" t="n">
        <x:v>65</x:v>
      </x:c>
      <x:c r="H742" s="289" t="n">
        <x:v>14</x:v>
      </x:c>
      <x:c r="I742" s="289" t="n">
        <x:v>6761</x:v>
      </x:c>
      <x:c r="J742" s="289" t="n">
        <x:v>0</x:v>
      </x:c>
      <x:c r="K742" s="289" t="n">
        <x:v>0</x:v>
      </x:c>
      <x:c r="L742" s="289" t="n">
        <x:v>0</x:v>
      </x:c>
      <x:c r="M742" s="289" t="n">
        <x:v>6761</x:v>
      </x:c>
      <x:c r="N742" s="289" t="n">
        <x:v>6761</x:v>
      </x:c>
      <x:c r="O742" s="289" t="n">
        <x:v>6761</x:v>
      </x:c>
      <x:c r="P742" s="292"/>
      <x:c r="Q742" s="292" t="str">
        <x:v>candidate-preflight-passed</x:v>
      </x:c>
      <x:c r="R742" s="292" t="str"/>
      <x:c r="S742" s="292" t="str">
        <x:v>玄渊二十套全装备代码总表.xlsx</x:v>
      </x:c>
      <x:c r="T742" s="292" t="str">
        <x:v>玄渊20套全装备视觉候选；Items/StateItem/DnItems三库同码；属性待策划填写</x:v>
      </x:c>
      <x:c r="U742" t="str">
        <x:f>IF(COUNTIF($B$2:$B$1076,B742)&gt;1,"重复","")</x:f>
      </x:c>
      <x:c r="V742" t="str">
        <x:f>IF(AND(OR(M742="",M742=B742),OR(N742="",N742=B742),OR(O742="",O742=B742)),"通过","不一致")</x:f>
        <x:v>通过</x:v>
      </x:c>
    </x:row>
    <x:row r="743" ht="22" customHeight="1">
      <x:c r="A743" s="289" t="n">
        <x:v>742</x:v>
      </x:c>
      <x:c r="B743" s="289" t="n">
        <x:v>6762</x:v>
      </x:c>
      <x:c r="C743" s="290" t="str">
        <x:v>星渊龙息·星痕</x:v>
      </x:c>
      <x:c r="D743" s="290" t="str">
        <x:v>星渊龙息</x:v>
      </x:c>
      <x:c r="E743" s="290" t="n">
        <x:v>1</x:v>
      </x:c>
      <x:c r="F743" s="290" t="str">
        <x:v>马牌</x:v>
      </x:c>
      <x:c r="G743" s="289" t="n">
        <x:v>28</x:v>
      </x:c>
      <x:c r="H743" s="289" t="n">
        <x:v>15</x:v>
      </x:c>
      <x:c r="I743" s="289" t="n">
        <x:v>6762</x:v>
      </x:c>
      <x:c r="J743" s="289" t="n">
        <x:v>0</x:v>
      </x:c>
      <x:c r="K743" s="289" t="n">
        <x:v>0</x:v>
      </x:c>
      <x:c r="L743" s="289" t="n">
        <x:v>0</x:v>
      </x:c>
      <x:c r="M743" s="289" t="n">
        <x:v>6762</x:v>
      </x:c>
      <x:c r="N743" s="289" t="n">
        <x:v>6762</x:v>
      </x:c>
      <x:c r="O743" s="289" t="n">
        <x:v>6762</x:v>
      </x:c>
      <x:c r="P743" s="292"/>
      <x:c r="Q743" s="292" t="str">
        <x:v>candidate-preflight-passed</x:v>
      </x:c>
      <x:c r="R743" s="292" t="str"/>
      <x:c r="S743" s="292" t="str">
        <x:v>玄渊二十套全装备代码总表.xlsx</x:v>
      </x:c>
      <x:c r="T743" s="292" t="str">
        <x:v>玄渊20套全装备视觉候选；Items/StateItem/DnItems三库同码；属性待策划填写</x:v>
      </x:c>
      <x:c r="U743" t="str">
        <x:f>IF(COUNTIF($B$2:$B$1076,B743)&gt;1,"重复","")</x:f>
      </x:c>
      <x:c r="V743" t="str">
        <x:f>IF(AND(OR(M743="",M743=B743),OR(N743="",N743=B743),OR(O743="",O743=B743)),"通过","不一致")</x:f>
        <x:v>通过</x:v>
      </x:c>
    </x:row>
    <x:row r="744" ht="22" customHeight="1">
      <x:c r="A744" s="289" t="n">
        <x:v>743</x:v>
      </x:c>
      <x:c r="B744" s="289" t="n">
        <x:v>6763</x:v>
      </x:c>
      <x:c r="C744" s="290" t="str">
        <x:v>星渊龙息·星痕</x:v>
      </x:c>
      <x:c r="D744" s="290" t="str">
        <x:v>星渊龙息</x:v>
      </x:c>
      <x:c r="E744" s="290" t="n">
        <x:v>1</x:v>
      </x:c>
      <x:c r="F744" s="290" t="str">
        <x:v>首饰盒1</x:v>
      </x:c>
      <x:c r="G744" s="289" t="n">
        <x:v>22</x:v>
      </x:c>
      <x:c r="H744" s="289" t="n">
        <x:v>30</x:v>
      </x:c>
      <x:c r="I744" s="289" t="n">
        <x:v>6763</x:v>
      </x:c>
      <x:c r="J744" s="289" t="n">
        <x:v>0</x:v>
      </x:c>
      <x:c r="K744" s="289" t="n">
        <x:v>2</x:v>
      </x:c>
      <x:c r="L744" s="289" t="n">
        <x:v>1</x:v>
      </x:c>
      <x:c r="M744" s="289" t="n">
        <x:v>6763</x:v>
      </x:c>
      <x:c r="N744" s="289" t="n">
        <x:v>6763</x:v>
      </x:c>
      <x:c r="O744" s="289" t="n">
        <x:v>6763</x:v>
      </x:c>
      <x:c r="P744" s="292"/>
      <x:c r="Q744" s="292" t="str">
        <x:v>candidate-preflight-passed</x:v>
      </x:c>
      <x:c r="R744" s="292" t="str"/>
      <x:c r="S744" s="292" t="str">
        <x:v>玄渊二十套全装备代码总表.xlsx</x:v>
      </x:c>
      <x:c r="T744" s="292" t="str">
        <x:v>玄渊20套全装备视觉候选；Items/StateItem/DnItems三库同码；属性待策划填写；OverLap=2; Expand1=1</x:v>
      </x:c>
      <x:c r="U744" t="str">
        <x:f>IF(COUNTIF($B$2:$B$1076,B744)&gt;1,"重复","")</x:f>
      </x:c>
      <x:c r="V744" t="str">
        <x:f>IF(AND(OR(M744="",M744=B744),OR(N744="",N744=B744),OR(O744="",O744=B744)),"通过","不一致")</x:f>
        <x:v>通过</x:v>
      </x:c>
    </x:row>
    <x:row r="745" ht="22" customHeight="1">
      <x:c r="A745" s="289" t="n">
        <x:v>744</x:v>
      </x:c>
      <x:c r="B745" s="289" t="n">
        <x:v>6764</x:v>
      </x:c>
      <x:c r="C745" s="290" t="str">
        <x:v>星渊龙息·星痕</x:v>
      </x:c>
      <x:c r="D745" s="290" t="str">
        <x:v>星渊龙息</x:v>
      </x:c>
      <x:c r="E745" s="290" t="n">
        <x:v>1</x:v>
      </x:c>
      <x:c r="F745" s="290" t="str">
        <x:v>首饰盒2</x:v>
      </x:c>
      <x:c r="G745" s="289" t="n">
        <x:v>22</x:v>
      </x:c>
      <x:c r="H745" s="289" t="n">
        <x:v>31</x:v>
      </x:c>
      <x:c r="I745" s="289" t="n">
        <x:v>6764</x:v>
      </x:c>
      <x:c r="J745" s="289" t="n">
        <x:v>0</x:v>
      </x:c>
      <x:c r="K745" s="289" t="n">
        <x:v>2</x:v>
      </x:c>
      <x:c r="L745" s="289" t="n">
        <x:v>2</x:v>
      </x:c>
      <x:c r="M745" s="289" t="n">
        <x:v>6764</x:v>
      </x:c>
      <x:c r="N745" s="289" t="n">
        <x:v>6764</x:v>
      </x:c>
      <x:c r="O745" s="289" t="n">
        <x:v>6764</x:v>
      </x:c>
      <x:c r="P745" s="292"/>
      <x:c r="Q745" s="292" t="str">
        <x:v>candidate-preflight-passed</x:v>
      </x:c>
      <x:c r="R745" s="292" t="str"/>
      <x:c r="S745" s="292" t="str">
        <x:v>玄渊二十套全装备代码总表.xlsx</x:v>
      </x:c>
      <x:c r="T745" s="292" t="str">
        <x:v>玄渊20套全装备视觉候选；Items/StateItem/DnItems三库同码；属性待策划填写；OverLap=2; Expand1=2</x:v>
      </x:c>
      <x:c r="U745" t="str">
        <x:f>IF(COUNTIF($B$2:$B$1076,B745)&gt;1,"重复","")</x:f>
      </x:c>
      <x:c r="V745" t="str">
        <x:f>IF(AND(OR(M745="",M745=B745),OR(N745="",N745=B745),OR(O745="",O745=B745)),"通过","不一致")</x:f>
        <x:v>通过</x:v>
      </x:c>
    </x:row>
    <x:row r="746" ht="22" customHeight="1">
      <x:c r="A746" s="289" t="n">
        <x:v>745</x:v>
      </x:c>
      <x:c r="B746" s="289" t="n">
        <x:v>6765</x:v>
      </x:c>
      <x:c r="C746" s="290" t="str">
        <x:v>星渊龙息·星痕</x:v>
      </x:c>
      <x:c r="D746" s="290" t="str">
        <x:v>星渊龙息</x:v>
      </x:c>
      <x:c r="E746" s="290" t="n">
        <x:v>1</x:v>
      </x:c>
      <x:c r="F746" s="290" t="str">
        <x:v>首饰盒3</x:v>
      </x:c>
      <x:c r="G746" s="289" t="n">
        <x:v>22</x:v>
      </x:c>
      <x:c r="H746" s="289" t="n">
        <x:v>32</x:v>
      </x:c>
      <x:c r="I746" s="289" t="n">
        <x:v>6765</x:v>
      </x:c>
      <x:c r="J746" s="289" t="n">
        <x:v>0</x:v>
      </x:c>
      <x:c r="K746" s="289" t="n">
        <x:v>2</x:v>
      </x:c>
      <x:c r="L746" s="289" t="n">
        <x:v>3</x:v>
      </x:c>
      <x:c r="M746" s="289" t="n">
        <x:v>6765</x:v>
      </x:c>
      <x:c r="N746" s="289" t="n">
        <x:v>6765</x:v>
      </x:c>
      <x:c r="O746" s="289" t="n">
        <x:v>6765</x:v>
      </x:c>
      <x:c r="P746" s="292"/>
      <x:c r="Q746" s="292" t="str">
        <x:v>candidate-preflight-passed</x:v>
      </x:c>
      <x:c r="R746" s="292" t="str"/>
      <x:c r="S746" s="292" t="str">
        <x:v>玄渊二十套全装备代码总表.xlsx</x:v>
      </x:c>
      <x:c r="T746" s="292" t="str">
        <x:v>玄渊20套全装备视觉候选；Items/StateItem/DnItems三库同码；属性待策划填写；OverLap=2; Expand1=3</x:v>
      </x:c>
      <x:c r="U746" t="str">
        <x:f>IF(COUNTIF($B$2:$B$1076,B746)&gt;1,"重复","")</x:f>
      </x:c>
      <x:c r="V746" t="str">
        <x:f>IF(AND(OR(M746="",M746=B746),OR(N746="",N746=B746),OR(O746="",O746=B746)),"通过","不一致")</x:f>
        <x:v>通过</x:v>
      </x:c>
    </x:row>
    <x:row r="747" ht="22" customHeight="1">
      <x:c r="A747" s="289" t="n">
        <x:v>746</x:v>
      </x:c>
      <x:c r="B747" s="289" t="n">
        <x:v>6766</x:v>
      </x:c>
      <x:c r="C747" s="290" t="str">
        <x:v>星渊龙息·星痕</x:v>
      </x:c>
      <x:c r="D747" s="290" t="str">
        <x:v>星渊龙息</x:v>
      </x:c>
      <x:c r="E747" s="290" t="n">
        <x:v>1</x:v>
      </x:c>
      <x:c r="F747" s="290" t="str">
        <x:v>首饰盒4</x:v>
      </x:c>
      <x:c r="G747" s="289" t="n">
        <x:v>22</x:v>
      </x:c>
      <x:c r="H747" s="289" t="n">
        <x:v>33</x:v>
      </x:c>
      <x:c r="I747" s="289" t="n">
        <x:v>6766</x:v>
      </x:c>
      <x:c r="J747" s="289" t="n">
        <x:v>0</x:v>
      </x:c>
      <x:c r="K747" s="289" t="n">
        <x:v>2</x:v>
      </x:c>
      <x:c r="L747" s="289" t="n">
        <x:v>4</x:v>
      </x:c>
      <x:c r="M747" s="289" t="n">
        <x:v>6766</x:v>
      </x:c>
      <x:c r="N747" s="289" t="n">
        <x:v>6766</x:v>
      </x:c>
      <x:c r="O747" s="289" t="n">
        <x:v>6766</x:v>
      </x:c>
      <x:c r="P747" s="292"/>
      <x:c r="Q747" s="292" t="str">
        <x:v>candidate-preflight-passed</x:v>
      </x:c>
      <x:c r="R747" s="292" t="str"/>
      <x:c r="S747" s="292" t="str">
        <x:v>玄渊二十套全装备代码总表.xlsx</x:v>
      </x:c>
      <x:c r="T747" s="292" t="str">
        <x:v>玄渊20套全装备视觉候选；Items/StateItem/DnItems三库同码；属性待策划填写；OverLap=2; Expand1=4</x:v>
      </x:c>
      <x:c r="U747" t="str">
        <x:f>IF(COUNTIF($B$2:$B$1076,B747)&gt;1,"重复","")</x:f>
      </x:c>
      <x:c r="V747" t="str">
        <x:f>IF(AND(OR(M747="",M747=B747),OR(N747="",N747=B747),OR(O747="",O747=B747)),"通过","不一致")</x:f>
        <x:v>通过</x:v>
      </x:c>
    </x:row>
    <x:row r="748" ht="22" customHeight="1">
      <x:c r="A748" s="289" t="n">
        <x:v>747</x:v>
      </x:c>
      <x:c r="B748" s="289" t="n">
        <x:v>6767</x:v>
      </x:c>
      <x:c r="C748" s="290" t="str">
        <x:v>星渊龙息·星痕</x:v>
      </x:c>
      <x:c r="D748" s="290" t="str">
        <x:v>星渊龙息</x:v>
      </x:c>
      <x:c r="E748" s="290" t="n">
        <x:v>1</x:v>
      </x:c>
      <x:c r="F748" s="290" t="str">
        <x:v>首饰盒5</x:v>
      </x:c>
      <x:c r="G748" s="289" t="n">
        <x:v>22</x:v>
      </x:c>
      <x:c r="H748" s="289" t="n">
        <x:v>34</x:v>
      </x:c>
      <x:c r="I748" s="289" t="n">
        <x:v>6767</x:v>
      </x:c>
      <x:c r="J748" s="289" t="n">
        <x:v>0</x:v>
      </x:c>
      <x:c r="K748" s="289" t="n">
        <x:v>2</x:v>
      </x:c>
      <x:c r="L748" s="289" t="n">
        <x:v>5</x:v>
      </x:c>
      <x:c r="M748" s="289" t="n">
        <x:v>6767</x:v>
      </x:c>
      <x:c r="N748" s="289" t="n">
        <x:v>6767</x:v>
      </x:c>
      <x:c r="O748" s="289" t="n">
        <x:v>6767</x:v>
      </x:c>
      <x:c r="P748" s="292"/>
      <x:c r="Q748" s="292" t="str">
        <x:v>candidate-preflight-passed</x:v>
      </x:c>
      <x:c r="R748" s="292" t="str"/>
      <x:c r="S748" s="292" t="str">
        <x:v>玄渊二十套全装备代码总表.xlsx</x:v>
      </x:c>
      <x:c r="T748" s="292" t="str">
        <x:v>玄渊20套全装备视觉候选；Items/StateItem/DnItems三库同码；属性待策划填写；OverLap=2; Expand1=5</x:v>
      </x:c>
      <x:c r="U748" t="str">
        <x:f>IF(COUNTIF($B$2:$B$1076,B748)&gt;1,"重复","")</x:f>
      </x:c>
      <x:c r="V748" t="str">
        <x:f>IF(AND(OR(M748="",M748=B748),OR(N748="",N748=B748),OR(O748="",O748=B748)),"通过","不一致")</x:f>
        <x:v>通过</x:v>
      </x:c>
    </x:row>
    <x:row r="749" ht="22" customHeight="1">
      <x:c r="A749" s="289" t="n">
        <x:v>748</x:v>
      </x:c>
      <x:c r="B749" s="289" t="n">
        <x:v>6768</x:v>
      </x:c>
      <x:c r="C749" s="290" t="str">
        <x:v>星渊龙息·星痕</x:v>
      </x:c>
      <x:c r="D749" s="290" t="str">
        <x:v>星渊龙息</x:v>
      </x:c>
      <x:c r="E749" s="290" t="n">
        <x:v>1</x:v>
      </x:c>
      <x:c r="F749" s="290" t="str">
        <x:v>首饰盒6</x:v>
      </x:c>
      <x:c r="G749" s="289" t="n">
        <x:v>22</x:v>
      </x:c>
      <x:c r="H749" s="289" t="n">
        <x:v>35</x:v>
      </x:c>
      <x:c r="I749" s="289" t="n">
        <x:v>6768</x:v>
      </x:c>
      <x:c r="J749" s="289" t="n">
        <x:v>0</x:v>
      </x:c>
      <x:c r="K749" s="289" t="n">
        <x:v>2</x:v>
      </x:c>
      <x:c r="L749" s="289" t="n">
        <x:v>6</x:v>
      </x:c>
      <x:c r="M749" s="289" t="n">
        <x:v>6768</x:v>
      </x:c>
      <x:c r="N749" s="289" t="n">
        <x:v>6768</x:v>
      </x:c>
      <x:c r="O749" s="289" t="n">
        <x:v>6768</x:v>
      </x:c>
      <x:c r="P749" s="292"/>
      <x:c r="Q749" s="292" t="str">
        <x:v>candidate-preflight-passed</x:v>
      </x:c>
      <x:c r="R749" s="292" t="str"/>
      <x:c r="S749" s="292" t="str">
        <x:v>玄渊二十套全装备代码总表.xlsx</x:v>
      </x:c>
      <x:c r="T749" s="292" t="str">
        <x:v>玄渊20套全装备视觉候选；Items/StateItem/DnItems三库同码；属性待策划填写；OverLap=2; Expand1=6</x:v>
      </x:c>
      <x:c r="U749" t="str">
        <x:f>IF(COUNTIF($B$2:$B$1076,B749)&gt;1,"重复","")</x:f>
      </x:c>
      <x:c r="V749" t="str">
        <x:f>IF(AND(OR(M749="",M749=B749),OR(N749="",N749=B749),OR(O749="",O749=B749)),"通过","不一致")</x:f>
        <x:v>通过</x:v>
      </x:c>
    </x:row>
    <x:row r="750" ht="22" customHeight="1">
      <x:c r="A750" s="289" t="n">
        <x:v>749</x:v>
      </x:c>
      <x:c r="B750" s="289" t="n">
        <x:v>6769</x:v>
      </x:c>
      <x:c r="C750" s="290" t="str">
        <x:v>星渊龙息·星痕</x:v>
      </x:c>
      <x:c r="D750" s="290" t="str">
        <x:v>星渊龙息</x:v>
      </x:c>
      <x:c r="E750" s="290" t="n">
        <x:v>1</x:v>
      </x:c>
      <x:c r="F750" s="290" t="str">
        <x:v>生肖1</x:v>
      </x:c>
      <x:c r="G750" s="289" t="n">
        <x:v>22</x:v>
      </x:c>
      <x:c r="H750" s="289" t="n">
        <x:v>40</x:v>
      </x:c>
      <x:c r="I750" s="289" t="n">
        <x:v>6769</x:v>
      </x:c>
      <x:c r="J750" s="289" t="n">
        <x:v>0</x:v>
      </x:c>
      <x:c r="K750" s="289" t="n">
        <x:v>4</x:v>
      </x:c>
      <x:c r="L750" s="289" t="n">
        <x:v>1</x:v>
      </x:c>
      <x:c r="M750" s="289" t="n">
        <x:v>6769</x:v>
      </x:c>
      <x:c r="N750" s="289" t="n">
        <x:v>6769</x:v>
      </x:c>
      <x:c r="O750" s="289" t="n">
        <x:v>6769</x:v>
      </x:c>
      <x:c r="P750" s="292"/>
      <x:c r="Q750" s="292" t="str">
        <x:v>candidate-preflight-passed</x:v>
      </x:c>
      <x:c r="R750" s="292" t="str"/>
      <x:c r="S750" s="292" t="str">
        <x:v>玄渊二十套全装备代码总表.xlsx</x:v>
      </x:c>
      <x:c r="T750" s="292" t="str">
        <x:v>玄渊20套全装备视觉候选；Items/StateItem/DnItems三库同码；属性待策划填写；OverLap=4; Expand1=1</x:v>
      </x:c>
      <x:c r="U750" t="str">
        <x:f>IF(COUNTIF($B$2:$B$1076,B750)&gt;1,"重复","")</x:f>
      </x:c>
      <x:c r="V750" t="str">
        <x:f>IF(AND(OR(M750="",M750=B750),OR(N750="",N750=B750),OR(O750="",O750=B750)),"通过","不一致")</x:f>
        <x:v>通过</x:v>
      </x:c>
    </x:row>
    <x:row r="751" ht="22" customHeight="1">
      <x:c r="A751" s="289" t="n">
        <x:v>750</x:v>
      </x:c>
      <x:c r="B751" s="289" t="n">
        <x:v>6770</x:v>
      </x:c>
      <x:c r="C751" s="290" t="str">
        <x:v>星渊龙息·星痕</x:v>
      </x:c>
      <x:c r="D751" s="290" t="str">
        <x:v>星渊龙息</x:v>
      </x:c>
      <x:c r="E751" s="290" t="n">
        <x:v>1</x:v>
      </x:c>
      <x:c r="F751" s="290" t="str">
        <x:v>生肖2</x:v>
      </x:c>
      <x:c r="G751" s="289" t="n">
        <x:v>22</x:v>
      </x:c>
      <x:c r="H751" s="289" t="n">
        <x:v>41</x:v>
      </x:c>
      <x:c r="I751" s="289" t="n">
        <x:v>6770</x:v>
      </x:c>
      <x:c r="J751" s="289" t="n">
        <x:v>0</x:v>
      </x:c>
      <x:c r="K751" s="289" t="n">
        <x:v>4</x:v>
      </x:c>
      <x:c r="L751" s="289" t="n">
        <x:v>2</x:v>
      </x:c>
      <x:c r="M751" s="289" t="n">
        <x:v>6770</x:v>
      </x:c>
      <x:c r="N751" s="289" t="n">
        <x:v>6770</x:v>
      </x:c>
      <x:c r="O751" s="289" t="n">
        <x:v>6770</x:v>
      </x:c>
      <x:c r="P751" s="292"/>
      <x:c r="Q751" s="292" t="str">
        <x:v>candidate-preflight-passed</x:v>
      </x:c>
      <x:c r="R751" s="292" t="str"/>
      <x:c r="S751" s="292" t="str">
        <x:v>玄渊二十套全装备代码总表.xlsx</x:v>
      </x:c>
      <x:c r="T751" s="292" t="str">
        <x:v>玄渊20套全装备视觉候选；Items/StateItem/DnItems三库同码；属性待策划填写；OverLap=4; Expand1=2</x:v>
      </x:c>
      <x:c r="U751" t="str">
        <x:f>IF(COUNTIF($B$2:$B$1076,B751)&gt;1,"重复","")</x:f>
      </x:c>
      <x:c r="V751" t="str">
        <x:f>IF(AND(OR(M751="",M751=B751),OR(N751="",N751=B751),OR(O751="",O751=B751)),"通过","不一致")</x:f>
        <x:v>通过</x:v>
      </x:c>
    </x:row>
    <x:row r="752" ht="22" customHeight="1">
      <x:c r="A752" s="289" t="n">
        <x:v>751</x:v>
      </x:c>
      <x:c r="B752" s="289" t="n">
        <x:v>6771</x:v>
      </x:c>
      <x:c r="C752" s="290" t="str">
        <x:v>星渊龙息·星痕</x:v>
      </x:c>
      <x:c r="D752" s="290" t="str">
        <x:v>星渊龙息</x:v>
      </x:c>
      <x:c r="E752" s="290" t="n">
        <x:v>1</x:v>
      </x:c>
      <x:c r="F752" s="290" t="str">
        <x:v>生肖3</x:v>
      </x:c>
      <x:c r="G752" s="289" t="n">
        <x:v>22</x:v>
      </x:c>
      <x:c r="H752" s="289" t="n">
        <x:v>42</x:v>
      </x:c>
      <x:c r="I752" s="289" t="n">
        <x:v>6771</x:v>
      </x:c>
      <x:c r="J752" s="289" t="n">
        <x:v>0</x:v>
      </x:c>
      <x:c r="K752" s="289" t="n">
        <x:v>4</x:v>
      </x:c>
      <x:c r="L752" s="289" t="n">
        <x:v>3</x:v>
      </x:c>
      <x:c r="M752" s="289" t="n">
        <x:v>6771</x:v>
      </x:c>
      <x:c r="N752" s="289" t="n">
        <x:v>6771</x:v>
      </x:c>
      <x:c r="O752" s="289" t="n">
        <x:v>6771</x:v>
      </x:c>
      <x:c r="P752" s="292"/>
      <x:c r="Q752" s="292" t="str">
        <x:v>candidate-preflight-passed</x:v>
      </x:c>
      <x:c r="R752" s="292" t="str"/>
      <x:c r="S752" s="292" t="str">
        <x:v>玄渊二十套全装备代码总表.xlsx</x:v>
      </x:c>
      <x:c r="T752" s="292" t="str">
        <x:v>玄渊20套全装备视觉候选；Items/StateItem/DnItems三库同码；属性待策划填写；OverLap=4; Expand1=3</x:v>
      </x:c>
      <x:c r="U752" t="str">
        <x:f>IF(COUNTIF($B$2:$B$1076,B752)&gt;1,"重复","")</x:f>
      </x:c>
      <x:c r="V752" t="str">
        <x:f>IF(AND(OR(M752="",M752=B752),OR(N752="",N752=B752),OR(O752="",O752=B752)),"通过","不一致")</x:f>
        <x:v>通过</x:v>
      </x:c>
    </x:row>
    <x:row r="753" ht="22" customHeight="1">
      <x:c r="A753" s="289" t="n">
        <x:v>752</x:v>
      </x:c>
      <x:c r="B753" s="289" t="n">
        <x:v>6772</x:v>
      </x:c>
      <x:c r="C753" s="290" t="str">
        <x:v>星渊龙息·星痕</x:v>
      </x:c>
      <x:c r="D753" s="290" t="str">
        <x:v>星渊龙息</x:v>
      </x:c>
      <x:c r="E753" s="290" t="n">
        <x:v>1</x:v>
      </x:c>
      <x:c r="F753" s="290" t="str">
        <x:v>生肖4</x:v>
      </x:c>
      <x:c r="G753" s="289" t="n">
        <x:v>22</x:v>
      </x:c>
      <x:c r="H753" s="289" t="n">
        <x:v>43</x:v>
      </x:c>
      <x:c r="I753" s="289" t="n">
        <x:v>6772</x:v>
      </x:c>
      <x:c r="J753" s="289" t="n">
        <x:v>0</x:v>
      </x:c>
      <x:c r="K753" s="289" t="n">
        <x:v>4</x:v>
      </x:c>
      <x:c r="L753" s="289" t="n">
        <x:v>4</x:v>
      </x:c>
      <x:c r="M753" s="289" t="n">
        <x:v>6772</x:v>
      </x:c>
      <x:c r="N753" s="289" t="n">
        <x:v>6772</x:v>
      </x:c>
      <x:c r="O753" s="289" t="n">
        <x:v>6772</x:v>
      </x:c>
      <x:c r="P753" s="292"/>
      <x:c r="Q753" s="292" t="str">
        <x:v>candidate-preflight-passed</x:v>
      </x:c>
      <x:c r="R753" s="292" t="str"/>
      <x:c r="S753" s="292" t="str">
        <x:v>玄渊二十套全装备代码总表.xlsx</x:v>
      </x:c>
      <x:c r="T753" s="292" t="str">
        <x:v>玄渊20套全装备视觉候选；Items/StateItem/DnItems三库同码；属性待策划填写；OverLap=4; Expand1=4</x:v>
      </x:c>
      <x:c r="U753" t="str">
        <x:f>IF(COUNTIF($B$2:$B$1076,B753)&gt;1,"重复","")</x:f>
      </x:c>
      <x:c r="V753" t="str">
        <x:f>IF(AND(OR(M753="",M753=B753),OR(N753="",N753=B753),OR(O753="",O753=B753)),"通过","不一致")</x:f>
        <x:v>通过</x:v>
      </x:c>
    </x:row>
    <x:row r="754" ht="22" customHeight="1">
      <x:c r="A754" s="289" t="n">
        <x:v>753</x:v>
      </x:c>
      <x:c r="B754" s="289" t="n">
        <x:v>6773</x:v>
      </x:c>
      <x:c r="C754" s="290" t="str">
        <x:v>星渊龙息·星痕</x:v>
      </x:c>
      <x:c r="D754" s="290" t="str">
        <x:v>星渊龙息</x:v>
      </x:c>
      <x:c r="E754" s="290" t="n">
        <x:v>1</x:v>
      </x:c>
      <x:c r="F754" s="290" t="str">
        <x:v>生肖5</x:v>
      </x:c>
      <x:c r="G754" s="289" t="n">
        <x:v>22</x:v>
      </x:c>
      <x:c r="H754" s="289" t="n">
        <x:v>44</x:v>
      </x:c>
      <x:c r="I754" s="289" t="n">
        <x:v>6773</x:v>
      </x:c>
      <x:c r="J754" s="289" t="n">
        <x:v>0</x:v>
      </x:c>
      <x:c r="K754" s="289" t="n">
        <x:v>4</x:v>
      </x:c>
      <x:c r="L754" s="289" t="n">
        <x:v>5</x:v>
      </x:c>
      <x:c r="M754" s="289" t="n">
        <x:v>6773</x:v>
      </x:c>
      <x:c r="N754" s="289" t="n">
        <x:v>6773</x:v>
      </x:c>
      <x:c r="O754" s="289" t="n">
        <x:v>6773</x:v>
      </x:c>
      <x:c r="P754" s="292"/>
      <x:c r="Q754" s="292" t="str">
        <x:v>candidate-preflight-passed</x:v>
      </x:c>
      <x:c r="R754" s="292" t="str"/>
      <x:c r="S754" s="292" t="str">
        <x:v>玄渊二十套全装备代码总表.xlsx</x:v>
      </x:c>
      <x:c r="T754" s="292" t="str">
        <x:v>玄渊20套全装备视觉候选；Items/StateItem/DnItems三库同码；属性待策划填写；OverLap=4; Expand1=5</x:v>
      </x:c>
      <x:c r="U754" t="str">
        <x:f>IF(COUNTIF($B$2:$B$1076,B754)&gt;1,"重复","")</x:f>
      </x:c>
      <x:c r="V754" t="str">
        <x:f>IF(AND(OR(M754="",M754=B754),OR(N754="",N754=B754),OR(O754="",O754=B754)),"通过","不一致")</x:f>
        <x:v>通过</x:v>
      </x:c>
    </x:row>
    <x:row r="755" ht="22" customHeight="1">
      <x:c r="A755" s="289" t="n">
        <x:v>754</x:v>
      </x:c>
      <x:c r="B755" s="289" t="n">
        <x:v>6774</x:v>
      </x:c>
      <x:c r="C755" s="290" t="str">
        <x:v>星渊龙息·星痕</x:v>
      </x:c>
      <x:c r="D755" s="290" t="str">
        <x:v>星渊龙息</x:v>
      </x:c>
      <x:c r="E755" s="290" t="n">
        <x:v>1</x:v>
      </x:c>
      <x:c r="F755" s="290" t="str">
        <x:v>生肖6</x:v>
      </x:c>
      <x:c r="G755" s="289" t="n">
        <x:v>22</x:v>
      </x:c>
      <x:c r="H755" s="289" t="n">
        <x:v>45</x:v>
      </x:c>
      <x:c r="I755" s="289" t="n">
        <x:v>6774</x:v>
      </x:c>
      <x:c r="J755" s="289" t="n">
        <x:v>0</x:v>
      </x:c>
      <x:c r="K755" s="289" t="n">
        <x:v>4</x:v>
      </x:c>
      <x:c r="L755" s="289" t="n">
        <x:v>6</x:v>
      </x:c>
      <x:c r="M755" s="289" t="n">
        <x:v>6774</x:v>
      </x:c>
      <x:c r="N755" s="289" t="n">
        <x:v>6774</x:v>
      </x:c>
      <x:c r="O755" s="289" t="n">
        <x:v>6774</x:v>
      </x:c>
      <x:c r="P755" s="292"/>
      <x:c r="Q755" s="292" t="str">
        <x:v>candidate-preflight-passed</x:v>
      </x:c>
      <x:c r="R755" s="292" t="str"/>
      <x:c r="S755" s="292" t="str">
        <x:v>玄渊二十套全装备代码总表.xlsx</x:v>
      </x:c>
      <x:c r="T755" s="292" t="str">
        <x:v>玄渊20套全装备视觉候选；Items/StateItem/DnItems三库同码；属性待策划填写；OverLap=4; Expand1=6</x:v>
      </x:c>
      <x:c r="U755" t="str">
        <x:f>IF(COUNTIF($B$2:$B$1076,B755)&gt;1,"重复","")</x:f>
      </x:c>
      <x:c r="V755" t="str">
        <x:f>IF(AND(OR(M755="",M755=B755),OR(N755="",N755=B755),OR(O755="",O755=B755)),"通过","不一致")</x:f>
        <x:v>通过</x:v>
      </x:c>
    </x:row>
    <x:row r="756" ht="22" customHeight="1">
      <x:c r="A756" s="289" t="n">
        <x:v>755</x:v>
      </x:c>
      <x:c r="B756" s="289" t="n">
        <x:v>6775</x:v>
      </x:c>
      <x:c r="C756" s="290" t="str">
        <x:v>星渊龙息·星痕</x:v>
      </x:c>
      <x:c r="D756" s="290" t="str">
        <x:v>星渊龙息</x:v>
      </x:c>
      <x:c r="E756" s="290" t="n">
        <x:v>1</x:v>
      </x:c>
      <x:c r="F756" s="290" t="str">
        <x:v>生肖7</x:v>
      </x:c>
      <x:c r="G756" s="289" t="n">
        <x:v>22</x:v>
      </x:c>
      <x:c r="H756" s="289" t="n">
        <x:v>46</x:v>
      </x:c>
      <x:c r="I756" s="289" t="n">
        <x:v>6775</x:v>
      </x:c>
      <x:c r="J756" s="289" t="n">
        <x:v>0</x:v>
      </x:c>
      <x:c r="K756" s="289" t="n">
        <x:v>4</x:v>
      </x:c>
      <x:c r="L756" s="289" t="n">
        <x:v>7</x:v>
      </x:c>
      <x:c r="M756" s="289" t="n">
        <x:v>6775</x:v>
      </x:c>
      <x:c r="N756" s="289" t="n">
        <x:v>6775</x:v>
      </x:c>
      <x:c r="O756" s="289" t="n">
        <x:v>6775</x:v>
      </x:c>
      <x:c r="P756" s="292"/>
      <x:c r="Q756" s="292" t="str">
        <x:v>candidate-preflight-passed</x:v>
      </x:c>
      <x:c r="R756" s="292" t="str"/>
      <x:c r="S756" s="292" t="str">
        <x:v>玄渊二十套全装备代码总表.xlsx</x:v>
      </x:c>
      <x:c r="T756" s="292" t="str">
        <x:v>玄渊20套全装备视觉候选；Items/StateItem/DnItems三库同码；属性待策划填写；OverLap=4; Expand1=7</x:v>
      </x:c>
      <x:c r="U756" t="str">
        <x:f>IF(COUNTIF($B$2:$B$1076,B756)&gt;1,"重复","")</x:f>
      </x:c>
      <x:c r="V756" t="str">
        <x:f>IF(AND(OR(M756="",M756=B756),OR(N756="",N756=B756),OR(O756="",O756=B756)),"通过","不一致")</x:f>
        <x:v>通过</x:v>
      </x:c>
    </x:row>
    <x:row r="757" ht="22" customHeight="1">
      <x:c r="A757" s="289" t="n">
        <x:v>756</x:v>
      </x:c>
      <x:c r="B757" s="289" t="n">
        <x:v>6776</x:v>
      </x:c>
      <x:c r="C757" s="290" t="str">
        <x:v>星渊龙息·星痕</x:v>
      </x:c>
      <x:c r="D757" s="290" t="str">
        <x:v>星渊龙息</x:v>
      </x:c>
      <x:c r="E757" s="290" t="n">
        <x:v>1</x:v>
      </x:c>
      <x:c r="F757" s="290" t="str">
        <x:v>生肖8</x:v>
      </x:c>
      <x:c r="G757" s="289" t="n">
        <x:v>22</x:v>
      </x:c>
      <x:c r="H757" s="289" t="n">
        <x:v>47</x:v>
      </x:c>
      <x:c r="I757" s="289" t="n">
        <x:v>6776</x:v>
      </x:c>
      <x:c r="J757" s="289" t="n">
        <x:v>0</x:v>
      </x:c>
      <x:c r="K757" s="289" t="n">
        <x:v>4</x:v>
      </x:c>
      <x:c r="L757" s="289" t="n">
        <x:v>8</x:v>
      </x:c>
      <x:c r="M757" s="289" t="n">
        <x:v>6776</x:v>
      </x:c>
      <x:c r="N757" s="289" t="n">
        <x:v>6776</x:v>
      </x:c>
      <x:c r="O757" s="289" t="n">
        <x:v>6776</x:v>
      </x:c>
      <x:c r="P757" s="292"/>
      <x:c r="Q757" s="292" t="str">
        <x:v>candidate-preflight-passed</x:v>
      </x:c>
      <x:c r="R757" s="292" t="str"/>
      <x:c r="S757" s="292" t="str">
        <x:v>玄渊二十套全装备代码总表.xlsx</x:v>
      </x:c>
      <x:c r="T757" s="292" t="str">
        <x:v>玄渊20套全装备视觉候选；Items/StateItem/DnItems三库同码；属性待策划填写；OverLap=4; Expand1=8</x:v>
      </x:c>
      <x:c r="U757" t="str">
        <x:f>IF(COUNTIF($B$2:$B$1076,B757)&gt;1,"重复","")</x:f>
      </x:c>
      <x:c r="V757" t="str">
        <x:f>IF(AND(OR(M757="",M757=B757),OR(N757="",N757=B757),OR(O757="",O757=B757)),"通过","不一致")</x:f>
        <x:v>通过</x:v>
      </x:c>
    </x:row>
    <x:row r="758" ht="22" customHeight="1">
      <x:c r="A758" s="289" t="n">
        <x:v>757</x:v>
      </x:c>
      <x:c r="B758" s="289" t="n">
        <x:v>6777</x:v>
      </x:c>
      <x:c r="C758" s="290" t="str">
        <x:v>星渊龙息·星痕</x:v>
      </x:c>
      <x:c r="D758" s="290" t="str">
        <x:v>星渊龙息</x:v>
      </x:c>
      <x:c r="E758" s="290" t="n">
        <x:v>1</x:v>
      </x:c>
      <x:c r="F758" s="290" t="str">
        <x:v>生肖9</x:v>
      </x:c>
      <x:c r="G758" s="289" t="n">
        <x:v>22</x:v>
      </x:c>
      <x:c r="H758" s="289" t="n">
        <x:v>48</x:v>
      </x:c>
      <x:c r="I758" s="289" t="n">
        <x:v>6777</x:v>
      </x:c>
      <x:c r="J758" s="289" t="n">
        <x:v>0</x:v>
      </x:c>
      <x:c r="K758" s="289" t="n">
        <x:v>4</x:v>
      </x:c>
      <x:c r="L758" s="289" t="n">
        <x:v>9</x:v>
      </x:c>
      <x:c r="M758" s="289" t="n">
        <x:v>6777</x:v>
      </x:c>
      <x:c r="N758" s="289" t="n">
        <x:v>6777</x:v>
      </x:c>
      <x:c r="O758" s="289" t="n">
        <x:v>6777</x:v>
      </x:c>
      <x:c r="P758" s="292"/>
      <x:c r="Q758" s="292" t="str">
        <x:v>candidate-preflight-passed</x:v>
      </x:c>
      <x:c r="R758" s="292" t="str"/>
      <x:c r="S758" s="292" t="str">
        <x:v>玄渊二十套全装备代码总表.xlsx</x:v>
      </x:c>
      <x:c r="T758" s="292" t="str">
        <x:v>玄渊20套全装备视觉候选；Items/StateItem/DnItems三库同码；属性待策划填写；OverLap=4; Expand1=9</x:v>
      </x:c>
      <x:c r="U758" t="str">
        <x:f>IF(COUNTIF($B$2:$B$1076,B758)&gt;1,"重复","")</x:f>
      </x:c>
      <x:c r="V758" t="str">
        <x:f>IF(AND(OR(M758="",M758=B758),OR(N758="",N758=B758),OR(O758="",O758=B758)),"通过","不一致")</x:f>
        <x:v>通过</x:v>
      </x:c>
    </x:row>
    <x:row r="759" ht="22" customHeight="1">
      <x:c r="A759" s="289" t="n">
        <x:v>758</x:v>
      </x:c>
      <x:c r="B759" s="289" t="n">
        <x:v>6778</x:v>
      </x:c>
      <x:c r="C759" s="290" t="str">
        <x:v>星渊龙息·星痕</x:v>
      </x:c>
      <x:c r="D759" s="290" t="str">
        <x:v>星渊龙息</x:v>
      </x:c>
      <x:c r="E759" s="290" t="n">
        <x:v>1</x:v>
      </x:c>
      <x:c r="F759" s="290" t="str">
        <x:v>生肖10</x:v>
      </x:c>
      <x:c r="G759" s="289" t="n">
        <x:v>22</x:v>
      </x:c>
      <x:c r="H759" s="289" t="n">
        <x:v>49</x:v>
      </x:c>
      <x:c r="I759" s="289" t="n">
        <x:v>6778</x:v>
      </x:c>
      <x:c r="J759" s="289" t="n">
        <x:v>0</x:v>
      </x:c>
      <x:c r="K759" s="289" t="n">
        <x:v>4</x:v>
      </x:c>
      <x:c r="L759" s="289" t="n">
        <x:v>10</x:v>
      </x:c>
      <x:c r="M759" s="289" t="n">
        <x:v>6778</x:v>
      </x:c>
      <x:c r="N759" s="289" t="n">
        <x:v>6778</x:v>
      </x:c>
      <x:c r="O759" s="289" t="n">
        <x:v>6778</x:v>
      </x:c>
      <x:c r="P759" s="292"/>
      <x:c r="Q759" s="292" t="str">
        <x:v>candidate-preflight-passed</x:v>
      </x:c>
      <x:c r="R759" s="292" t="str"/>
      <x:c r="S759" s="292" t="str">
        <x:v>玄渊二十套全装备代码总表.xlsx</x:v>
      </x:c>
      <x:c r="T759" s="292" t="str">
        <x:v>玄渊20套全装备视觉候选；Items/StateItem/DnItems三库同码；属性待策划填写；OverLap=4; Expand1=10</x:v>
      </x:c>
      <x:c r="U759" t="str">
        <x:f>IF(COUNTIF($B$2:$B$1076,B759)&gt;1,"重复","")</x:f>
      </x:c>
      <x:c r="V759" t="str">
        <x:f>IF(AND(OR(M759="",M759=B759),OR(N759="",N759=B759),OR(O759="",O759=B759)),"通过","不一致")</x:f>
        <x:v>通过</x:v>
      </x:c>
    </x:row>
    <x:row r="760" ht="22" customHeight="1">
      <x:c r="A760" s="289" t="n">
        <x:v>759</x:v>
      </x:c>
      <x:c r="B760" s="289" t="n">
        <x:v>6779</x:v>
      </x:c>
      <x:c r="C760" s="290" t="str">
        <x:v>星渊龙息·星痕</x:v>
      </x:c>
      <x:c r="D760" s="290" t="str">
        <x:v>星渊龙息</x:v>
      </x:c>
      <x:c r="E760" s="290" t="n">
        <x:v>1</x:v>
      </x:c>
      <x:c r="F760" s="290" t="str">
        <x:v>生肖11</x:v>
      </x:c>
      <x:c r="G760" s="289" t="n">
        <x:v>22</x:v>
      </x:c>
      <x:c r="H760" s="289" t="n">
        <x:v>50</x:v>
      </x:c>
      <x:c r="I760" s="289" t="n">
        <x:v>6779</x:v>
      </x:c>
      <x:c r="J760" s="289" t="n">
        <x:v>0</x:v>
      </x:c>
      <x:c r="K760" s="289" t="n">
        <x:v>4</x:v>
      </x:c>
      <x:c r="L760" s="289" t="n">
        <x:v>11</x:v>
      </x:c>
      <x:c r="M760" s="289" t="n">
        <x:v>6779</x:v>
      </x:c>
      <x:c r="N760" s="289" t="n">
        <x:v>6779</x:v>
      </x:c>
      <x:c r="O760" s="289" t="n">
        <x:v>6779</x:v>
      </x:c>
      <x:c r="P760" s="292"/>
      <x:c r="Q760" s="292" t="str">
        <x:v>candidate-preflight-passed</x:v>
      </x:c>
      <x:c r="R760" s="292" t="str"/>
      <x:c r="S760" s="292" t="str">
        <x:v>玄渊二十套全装备代码总表.xlsx</x:v>
      </x:c>
      <x:c r="T760" s="292" t="str">
        <x:v>玄渊20套全装备视觉候选；Items/StateItem/DnItems三库同码；属性待策划填写；OverLap=4; Expand1=11</x:v>
      </x:c>
      <x:c r="U760" t="str">
        <x:f>IF(COUNTIF($B$2:$B$1076,B760)&gt;1,"重复","")</x:f>
      </x:c>
      <x:c r="V760" t="str">
        <x:f>IF(AND(OR(M760="",M760=B760),OR(N760="",N760=B760),OR(O760="",O760=B760)),"通过","不一致")</x:f>
        <x:v>通过</x:v>
      </x:c>
    </x:row>
    <x:row r="761" ht="22" customHeight="1">
      <x:c r="A761" s="289" t="n">
        <x:v>760</x:v>
      </x:c>
      <x:c r="B761" s="289" t="n">
        <x:v>6780</x:v>
      </x:c>
      <x:c r="C761" s="290" t="str">
        <x:v>星渊龙息·星痕</x:v>
      </x:c>
      <x:c r="D761" s="290" t="str">
        <x:v>星渊龙息</x:v>
      </x:c>
      <x:c r="E761" s="290" t="n">
        <x:v>1</x:v>
      </x:c>
      <x:c r="F761" s="290" t="str">
        <x:v>生肖12</x:v>
      </x:c>
      <x:c r="G761" s="289" t="n">
        <x:v>22</x:v>
      </x:c>
      <x:c r="H761" s="289" t="n">
        <x:v>51</x:v>
      </x:c>
      <x:c r="I761" s="289" t="n">
        <x:v>6780</x:v>
      </x:c>
      <x:c r="J761" s="289" t="n">
        <x:v>0</x:v>
      </x:c>
      <x:c r="K761" s="289" t="n">
        <x:v>4</x:v>
      </x:c>
      <x:c r="L761" s="289" t="n">
        <x:v>12</x:v>
      </x:c>
      <x:c r="M761" s="289" t="n">
        <x:v>6780</x:v>
      </x:c>
      <x:c r="N761" s="289" t="n">
        <x:v>6780</x:v>
      </x:c>
      <x:c r="O761" s="289" t="n">
        <x:v>6780</x:v>
      </x:c>
      <x:c r="P761" s="292"/>
      <x:c r="Q761" s="292" t="str">
        <x:v>candidate-preflight-passed</x:v>
      </x:c>
      <x:c r="R761" s="292" t="str"/>
      <x:c r="S761" s="292" t="str">
        <x:v>玄渊二十套全装备代码总表.xlsx</x:v>
      </x:c>
      <x:c r="T761" s="292" t="str">
        <x:v>玄渊20套全装备视觉候选；Items/StateItem/DnItems三库同码；属性待策划填写；OverLap=4; Expand1=12</x:v>
      </x:c>
      <x:c r="U761" t="str">
        <x:f>IF(COUNTIF($B$2:$B$1076,B761)&gt;1,"重复","")</x:f>
      </x:c>
      <x:c r="V761" t="str">
        <x:f>IF(AND(OR(M761="",M761=B761),OR(N761="",N761=B761),OR(O761="",O761=B761)),"通过","不一致")</x:f>
        <x:v>通过</x:v>
      </x:c>
    </x:row>
    <x:row r="762" ht="22" customHeight="1">
      <x:c r="A762" s="289" t="n">
        <x:v>761</x:v>
      </x:c>
      <x:c r="B762" s="289" t="n">
        <x:v>6781</x:v>
      </x:c>
      <x:c r="C762" s="290" t="str">
        <x:v>星渊龙息·龙鳞</x:v>
      </x:c>
      <x:c r="D762" s="290" t="str">
        <x:v>星渊龙息</x:v>
      </x:c>
      <x:c r="E762" s="290" t="n">
        <x:v>2</x:v>
      </x:c>
      <x:c r="F762" s="290" t="str">
        <x:v>武器</x:v>
      </x:c>
      <x:c r="G762" s="289" t="n">
        <x:v>5</x:v>
      </x:c>
      <x:c r="H762" s="289" t="n">
        <x:v>1</x:v>
      </x:c>
      <x:c r="I762" s="289" t="n">
        <x:v>6781</x:v>
      </x:c>
      <x:c r="J762" s="289" t="n">
        <x:v>27</x:v>
      </x:c>
      <x:c r="K762" s="289" t="n">
        <x:v>0</x:v>
      </x:c>
      <x:c r="L762" s="289" t="n">
        <x:v>0</x:v>
      </x:c>
      <x:c r="M762" s="289" t="n">
        <x:v>6781</x:v>
      </x:c>
      <x:c r="N762" s="289" t="n">
        <x:v>6781</x:v>
      </x:c>
      <x:c r="O762" s="289" t="n">
        <x:v>6781</x:v>
      </x:c>
      <x:c r="P762" s="292" t="str">
        <x:v>Weapon.wzl/wzx（复用现有真实动作）</x:v>
      </x:c>
      <x:c r="Q762" s="292" t="str">
        <x:v>candidate-preflight-passed</x:v>
      </x:c>
      <x:c r="R762" s="324" t="str">
        <x:v>C3-C10规划锁定：罗缇的回流剑</x:v>
      </x:c>
      <x:c r="S762" s="292" t="str">
        <x:v>玄渊二十套全装备代码总表.xlsx</x:v>
      </x:c>
      <x:c r="T762" s="292" t="str">
        <x:v>玄渊20套全装备视觉候选；Items/StateItem/DnItems三库同码；属性待策划填写；Weapon Shape=27</x:v>
      </x:c>
      <x:c r="U762" t="str">
        <x:f>IF(COUNTIF($B$2:$B$1076,B762)&gt;1,"重复","")</x:f>
      </x:c>
      <x:c r="V762" t="str">
        <x:f>IF(AND(OR(M762="",M762=B762),OR(N762="",N762=B762),OR(O762="",O762=B762)),"通过","不一致")</x:f>
        <x:v>通过</x:v>
      </x:c>
    </x:row>
    <x:row r="763" ht="22" customHeight="1">
      <x:c r="A763" s="289" t="n">
        <x:v>762</x:v>
      </x:c>
      <x:c r="B763" s="289" t="n">
        <x:v>6782</x:v>
      </x:c>
      <x:c r="C763" s="290" t="str">
        <x:v>星渊龙息·龙鳞</x:v>
      </x:c>
      <x:c r="D763" s="290" t="str">
        <x:v>星渊龙息</x:v>
      </x:c>
      <x:c r="E763" s="290" t="n">
        <x:v>2</x:v>
      </x:c>
      <x:c r="F763" s="290" t="str">
        <x:v>男衣服</x:v>
      </x:c>
      <x:c r="G763" s="289" t="n">
        <x:v>10</x:v>
      </x:c>
      <x:c r="H763" s="289" t="n">
        <x:v>0</x:v>
      </x:c>
      <x:c r="I763" s="289" t="n">
        <x:v>6782</x:v>
      </x:c>
      <x:c r="J763" s="289" t="n">
        <x:v>4</x:v>
      </x:c>
      <x:c r="K763" s="289" t="n">
        <x:v>0</x:v>
      </x:c>
      <x:c r="L763" s="289" t="n">
        <x:v>0</x:v>
      </x:c>
      <x:c r="M763" s="289" t="n">
        <x:v>6782</x:v>
      </x:c>
      <x:c r="N763" s="289" t="n">
        <x:v>6782</x:v>
      </x:c>
      <x:c r="O763" s="289" t="n">
        <x:v>6782</x:v>
      </x:c>
      <x:c r="P763" s="292" t="str">
        <x:v>Hum.wzl/wzx（复用现有真实动作）</x:v>
      </x:c>
      <x:c r="Q763" s="292" t="str">
        <x:v>candidate-preflight-passed</x:v>
      </x:c>
      <x:c r="R763" s="324" t="str">
        <x:v>C3-C10规划锁定：涅珈镇渊衣</x:v>
      </x:c>
      <x:c r="S763" s="292" t="str">
        <x:v>玄渊二十套全装备代码总表.xlsx</x:v>
      </x:c>
      <x:c r="T763" s="292" t="str">
        <x:v>玄渊20套全装备视觉候选；Items/StateItem/DnItems三库同码；属性待策划填写；Hum Shape=4</x:v>
      </x:c>
      <x:c r="U763" t="str">
        <x:f>IF(COUNTIF($B$2:$B$1076,B763)&gt;1,"重复","")</x:f>
      </x:c>
      <x:c r="V763" t="str">
        <x:f>IF(AND(OR(M763="",M763=B763),OR(N763="",N763=B763),OR(O763="",O763=B763)),"通过","不一致")</x:f>
        <x:v>通过</x:v>
      </x:c>
    </x:row>
    <x:row r="764" ht="22" customHeight="1">
      <x:c r="A764" s="289" t="n">
        <x:v>763</x:v>
      </x:c>
      <x:c r="B764" s="289" t="n">
        <x:v>6783</x:v>
      </x:c>
      <x:c r="C764" s="290" t="str">
        <x:v>星渊龙息·龙鳞</x:v>
      </x:c>
      <x:c r="D764" s="290" t="str">
        <x:v>星渊龙息</x:v>
      </x:c>
      <x:c r="E764" s="290" t="n">
        <x:v>2</x:v>
      </x:c>
      <x:c r="F764" s="290" t="str">
        <x:v>女衣服</x:v>
      </x:c>
      <x:c r="G764" s="289" t="n">
        <x:v>11</x:v>
      </x:c>
      <x:c r="H764" s="289" t="n">
        <x:v>0</x:v>
      </x:c>
      <x:c r="I764" s="289" t="n">
        <x:v>6783</x:v>
      </x:c>
      <x:c r="J764" s="289" t="n">
        <x:v>4</x:v>
      </x:c>
      <x:c r="K764" s="289" t="n">
        <x:v>0</x:v>
      </x:c>
      <x:c r="L764" s="289" t="n">
        <x:v>0</x:v>
      </x:c>
      <x:c r="M764" s="289" t="n">
        <x:v>6783</x:v>
      </x:c>
      <x:c r="N764" s="289" t="n">
        <x:v>6783</x:v>
      </x:c>
      <x:c r="O764" s="289" t="n">
        <x:v>6783</x:v>
      </x:c>
      <x:c r="P764" s="292" t="str">
        <x:v>Hum.wzl/wzx（复用现有真实动作）</x:v>
      </x:c>
      <x:c r="Q764" s="292" t="str">
        <x:v>candidate-preflight-passed</x:v>
      </x:c>
      <x:c r="R764" s="292" t="str"/>
      <x:c r="S764" s="292" t="str">
        <x:v>玄渊二十套全装备代码总表.xlsx</x:v>
      </x:c>
      <x:c r="T764" s="292" t="str">
        <x:v>玄渊20套全装备视觉候选；Items/StateItem/DnItems三库同码；属性待策划填写；Hum Shape=4</x:v>
      </x:c>
      <x:c r="U764" t="str">
        <x:f>IF(COUNTIF($B$2:$B$1076,B764)&gt;1,"重复","")</x:f>
      </x:c>
      <x:c r="V764" t="str">
        <x:f>IF(AND(OR(M764="",M764=B764),OR(N764="",N764=B764),OR(O764="",O764=B764)),"通过","不一致")</x:f>
        <x:v>通过</x:v>
      </x:c>
    </x:row>
    <x:row r="765" ht="22" customHeight="1">
      <x:c r="A765" s="289" t="n">
        <x:v>764</x:v>
      </x:c>
      <x:c r="B765" s="289" t="n">
        <x:v>6784</x:v>
      </x:c>
      <x:c r="C765" s="290" t="str">
        <x:v>星渊龙息·龙鳞</x:v>
      </x:c>
      <x:c r="D765" s="290" t="str">
        <x:v>星渊龙息</x:v>
      </x:c>
      <x:c r="E765" s="290" t="n">
        <x:v>2</x:v>
      </x:c>
      <x:c r="F765" s="290" t="str">
        <x:v>头盔</x:v>
      </x:c>
      <x:c r="G765" s="289" t="n">
        <x:v>15</x:v>
      </x:c>
      <x:c r="H765" s="289" t="n">
        <x:v>4</x:v>
      </x:c>
      <x:c r="I765" s="289" t="n">
        <x:v>6784</x:v>
      </x:c>
      <x:c r="J765" s="289" t="n">
        <x:v>0</x:v>
      </x:c>
      <x:c r="K765" s="289" t="n">
        <x:v>0</x:v>
      </x:c>
      <x:c r="L765" s="289" t="n">
        <x:v>0</x:v>
      </x:c>
      <x:c r="M765" s="289" t="n">
        <x:v>6784</x:v>
      </x:c>
      <x:c r="N765" s="289" t="n">
        <x:v>6784</x:v>
      </x:c>
      <x:c r="O765" s="289" t="n">
        <x:v>6784</x:v>
      </x:c>
      <x:c r="P765" s="292"/>
      <x:c r="Q765" s="292" t="str">
        <x:v>candidate-preflight-passed</x:v>
      </x:c>
      <x:c r="R765" s="324" t="str">
        <x:v>C3-C10规划锁定：锚齿鱼盔</x:v>
      </x:c>
      <x:c r="S765" s="292" t="str">
        <x:v>玄渊二十套全装备代码总表.xlsx</x:v>
      </x:c>
      <x:c r="T765" s="292" t="str">
        <x:v>玄渊20套全装备视觉候选；Items/StateItem/DnItems三库同码；属性待策划填写</x:v>
      </x:c>
      <x:c r="U765" t="str">
        <x:f>IF(COUNTIF($B$2:$B$1076,B765)&gt;1,"重复","")</x:f>
      </x:c>
      <x:c r="V765" t="str">
        <x:f>IF(AND(OR(M765="",M765=B765),OR(N765="",N765=B765),OR(O765="",O765=B765)),"通过","不一致")</x:f>
        <x:v>通过</x:v>
      </x:c>
    </x:row>
    <x:row r="766" ht="22" customHeight="1">
      <x:c r="A766" s="289" t="n">
        <x:v>765</x:v>
      </x:c>
      <x:c r="B766" s="289" t="n">
        <x:v>6785</x:v>
      </x:c>
      <x:c r="C766" s="290" t="str">
        <x:v>星渊龙息·龙鳞</x:v>
      </x:c>
      <x:c r="D766" s="290" t="str">
        <x:v>星渊龙息</x:v>
      </x:c>
      <x:c r="E766" s="290" t="n">
        <x:v>2</x:v>
      </x:c>
      <x:c r="F766" s="290" t="str">
        <x:v>面巾</x:v>
      </x:c>
      <x:c r="G766" s="289" t="n">
        <x:v>16</x:v>
      </x:c>
      <x:c r="H766" s="289" t="n">
        <x:v>13</x:v>
      </x:c>
      <x:c r="I766" s="289" t="n">
        <x:v>6785</x:v>
      </x:c>
      <x:c r="J766" s="289" t="n">
        <x:v>0</x:v>
      </x:c>
      <x:c r="K766" s="289" t="n">
        <x:v>0</x:v>
      </x:c>
      <x:c r="L766" s="289" t="n">
        <x:v>0</x:v>
      </x:c>
      <x:c r="M766" s="289" t="n">
        <x:v>6785</x:v>
      </x:c>
      <x:c r="N766" s="289" t="n">
        <x:v>6785</x:v>
      </x:c>
      <x:c r="O766" s="289" t="n">
        <x:v>6785</x:v>
      </x:c>
      <x:c r="P766" s="292"/>
      <x:c r="Q766" s="292" t="str">
        <x:v>candidate-preflight-passed</x:v>
      </x:c>
      <x:c r="R766" s="324" t="str">
        <x:v>C3-C10规划锁定：占路秋叶笠</x:v>
      </x:c>
      <x:c r="S766" s="292" t="str">
        <x:v>玄渊二十套全装备代码总表.xlsx</x:v>
      </x:c>
      <x:c r="T766" s="292" t="str">
        <x:v>玄渊20套全装备视觉候选；Items/StateItem/DnItems三库同码；属性待策划填写</x:v>
      </x:c>
      <x:c r="U766" t="str">
        <x:f>IF(COUNTIF($B$2:$B$1076,B766)&gt;1,"重复","")</x:f>
      </x:c>
      <x:c r="V766" t="str">
        <x:f>IF(AND(OR(M766="",M766=B766),OR(N766="",N766=B766),OR(O766="",O766=B766)),"通过","不一致")</x:f>
        <x:v>通过</x:v>
      </x:c>
    </x:row>
    <x:row r="767" ht="22" customHeight="1">
      <x:c r="A767" s="289" t="n">
        <x:v>766</x:v>
      </x:c>
      <x:c r="B767" s="289" t="n">
        <x:v>6786</x:v>
      </x:c>
      <x:c r="C767" s="290" t="str">
        <x:v>星渊龙息·龙鳞</x:v>
      </x:c>
      <x:c r="D767" s="290" t="str">
        <x:v>星渊龙息</x:v>
      </x:c>
      <x:c r="E767" s="290" t="n">
        <x:v>2</x:v>
      </x:c>
      <x:c r="F767" s="290" t="str">
        <x:v>项链</x:v>
      </x:c>
      <x:c r="G767" s="289" t="n">
        <x:v>19</x:v>
      </x:c>
      <x:c r="H767" s="289" t="n">
        <x:v>3</x:v>
      </x:c>
      <x:c r="I767" s="289" t="n">
        <x:v>6786</x:v>
      </x:c>
      <x:c r="J767" s="289" t="n">
        <x:v>0</x:v>
      </x:c>
      <x:c r="K767" s="289" t="n">
        <x:v>0</x:v>
      </x:c>
      <x:c r="L767" s="289" t="n">
        <x:v>0</x:v>
      </x:c>
      <x:c r="M767" s="289" t="n">
        <x:v>6786</x:v>
      </x:c>
      <x:c r="N767" s="289" t="n">
        <x:v>6786</x:v>
      </x:c>
      <x:c r="O767" s="289" t="n">
        <x:v>6786</x:v>
      </x:c>
      <x:c r="P767" s="292"/>
      <x:c r="Q767" s="292" t="str">
        <x:v>candidate-preflight-passed</x:v>
      </x:c>
      <x:c r="R767" s="324" t="str">
        <x:v>C3-C10规划锁定：怨灯项链</x:v>
      </x:c>
      <x:c r="S767" s="292" t="str">
        <x:v>玄渊二十套全装备代码总表.xlsx</x:v>
      </x:c>
      <x:c r="T767" s="292" t="str">
        <x:v>玄渊20套全装备视觉候选；Items/StateItem/DnItems三库同码；属性待策划填写</x:v>
      </x:c>
      <x:c r="U767" t="str">
        <x:f>IF(COUNTIF($B$2:$B$1076,B767)&gt;1,"重复","")</x:f>
      </x:c>
      <x:c r="V767" t="str">
        <x:f>IF(AND(OR(M767="",M767=B767),OR(N767="",N767=B767),OR(O767="",O767=B767)),"通过","不一致")</x:f>
        <x:v>通过</x:v>
      </x:c>
    </x:row>
    <x:row r="768" ht="22" customHeight="1">
      <x:c r="A768" s="289" t="n">
        <x:v>767</x:v>
      </x:c>
      <x:c r="B768" s="289" t="n">
        <x:v>6787</x:v>
      </x:c>
      <x:c r="C768" s="290" t="str">
        <x:v>星渊龙息·龙鳞</x:v>
      </x:c>
      <x:c r="D768" s="290" t="str">
        <x:v>星渊龙息</x:v>
      </x:c>
      <x:c r="E768" s="290" t="n">
        <x:v>2</x:v>
      </x:c>
      <x:c r="F768" s="290" t="str">
        <x:v>手镯</x:v>
      </x:c>
      <x:c r="G768" s="289" t="n">
        <x:v>26</x:v>
      </x:c>
      <x:c r="H768" s="289" t="n">
        <x:v>5</x:v>
      </x:c>
      <x:c r="I768" s="289" t="n">
        <x:v>6787</x:v>
      </x:c>
      <x:c r="J768" s="289" t="n">
        <x:v>0</x:v>
      </x:c>
      <x:c r="K768" s="289" t="n">
        <x:v>0</x:v>
      </x:c>
      <x:c r="L768" s="289" t="n">
        <x:v>0</x:v>
      </x:c>
      <x:c r="M768" s="289" t="n">
        <x:v>6787</x:v>
      </x:c>
      <x:c r="N768" s="289" t="n">
        <x:v>6787</x:v>
      </x:c>
      <x:c r="O768" s="289" t="n">
        <x:v>6787</x:v>
      </x:c>
      <x:c r="P768" s="292"/>
      <x:c r="Q768" s="292" t="str">
        <x:v>candidate-preflight-passed</x:v>
      </x:c>
      <x:c r="R768" s="324" t="str">
        <x:v>C3-C10规划锁定：磷火腕铠</x:v>
      </x:c>
      <x:c r="S768" s="292" t="str">
        <x:v>玄渊二十套全装备代码总表.xlsx</x:v>
      </x:c>
      <x:c r="T768" s="292" t="str">
        <x:v>玄渊20套全装备视觉候选；Items/StateItem/DnItems三库同码；属性待策划填写</x:v>
      </x:c>
      <x:c r="U768" t="str">
        <x:f>IF(COUNTIF($B$2:$B$1076,B768)&gt;1,"重复","")</x:f>
      </x:c>
      <x:c r="V768" t="str">
        <x:f>IF(AND(OR(M768="",M768=B768),OR(N768="",N768=B768),OR(O768="",O768=B768)),"通过","不一致")</x:f>
        <x:v>通过</x:v>
      </x:c>
    </x:row>
    <x:row r="769" ht="22" customHeight="1">
      <x:c r="A769" s="289" t="n">
        <x:v>768</x:v>
      </x:c>
      <x:c r="B769" s="289" t="n">
        <x:v>6788</x:v>
      </x:c>
      <x:c r="C769" s="290" t="str">
        <x:v>星渊龙息·龙鳞</x:v>
      </x:c>
      <x:c r="D769" s="290" t="str">
        <x:v>星渊龙息</x:v>
      </x:c>
      <x:c r="E769" s="290" t="n">
        <x:v>2</x:v>
      </x:c>
      <x:c r="F769" s="290" t="str">
        <x:v>戒指</x:v>
      </x:c>
      <x:c r="G769" s="289" t="n">
        <x:v>22</x:v>
      </x:c>
      <x:c r="H769" s="289" t="n">
        <x:v>7</x:v>
      </x:c>
      <x:c r="I769" s="289" t="n">
        <x:v>6788</x:v>
      </x:c>
      <x:c r="J769" s="289" t="n">
        <x:v>0</x:v>
      </x:c>
      <x:c r="K769" s="289" t="n">
        <x:v>0</x:v>
      </x:c>
      <x:c r="L769" s="289" t="n">
        <x:v>0</x:v>
      </x:c>
      <x:c r="M769" s="289" t="n">
        <x:v>6788</x:v>
      </x:c>
      <x:c r="N769" s="289" t="n">
        <x:v>6788</x:v>
      </x:c>
      <x:c r="O769" s="289" t="n">
        <x:v>6788</x:v>
      </x:c>
      <x:c r="P769" s="292"/>
      <x:c r="Q769" s="292" t="str">
        <x:v>candidate-preflight-passed</x:v>
      </x:c>
      <x:c r="R769" s="324" t="str">
        <x:v>C3-C10规划锁定：棺钉指环</x:v>
      </x:c>
      <x:c r="S769" s="292" t="str">
        <x:v>玄渊二十套全装备代码总表.xlsx</x:v>
      </x:c>
      <x:c r="T769" s="292" t="str">
        <x:v>玄渊20套全装备视觉候选；Items/StateItem/DnItems三库同码；属性待策划填写</x:v>
      </x:c>
      <x:c r="U769" t="str">
        <x:f>IF(COUNTIF($B$2:$B$1076,B769)&gt;1,"重复","")</x:f>
      </x:c>
      <x:c r="V769" t="str">
        <x:f>IF(AND(OR(M769="",M769=B769),OR(N769="",N769=B769),OR(O769="",O769=B769)),"通过","不一致")</x:f>
        <x:v>通过</x:v>
      </x:c>
    </x:row>
    <x:row r="770" ht="22" customHeight="1">
      <x:c r="A770" s="289" t="n">
        <x:v>769</x:v>
      </x:c>
      <x:c r="B770" s="289" t="n">
        <x:v>6789</x:v>
      </x:c>
      <x:c r="C770" s="290" t="str">
        <x:v>星渊龙息·龙鳞</x:v>
      </x:c>
      <x:c r="D770" s="290" t="str">
        <x:v>星渊龙息</x:v>
      </x:c>
      <x:c r="E770" s="290" t="n">
        <x:v>2</x:v>
      </x:c>
      <x:c r="F770" s="290" t="str">
        <x:v>勋章</x:v>
      </x:c>
      <x:c r="G770" s="289" t="n">
        <x:v>30</x:v>
      </x:c>
      <x:c r="H770" s="289" t="n">
        <x:v>2</x:v>
      </x:c>
      <x:c r="I770" s="289" t="n">
        <x:v>6789</x:v>
      </x:c>
      <x:c r="J770" s="289" t="n">
        <x:v>0</x:v>
      </x:c>
      <x:c r="K770" s="289" t="n">
        <x:v>0</x:v>
      </x:c>
      <x:c r="L770" s="289" t="n">
        <x:v>0</x:v>
      </x:c>
      <x:c r="M770" s="289" t="n">
        <x:v>6789</x:v>
      </x:c>
      <x:c r="N770" s="289" t="n">
        <x:v>6789</x:v>
      </x:c>
      <x:c r="O770" s="289" t="n">
        <x:v>6789</x:v>
      </x:c>
      <x:c r="P770" s="292"/>
      <x:c r="Q770" s="292" t="str">
        <x:v>candidate-preflight-passed</x:v>
      </x:c>
      <x:c r="R770" s="324" t="str">
        <x:v>C3-C10规划锁定：藏卷沉思章</x:v>
      </x:c>
      <x:c r="S770" s="292" t="str">
        <x:v>玄渊二十套全装备代码总表.xlsx</x:v>
      </x:c>
      <x:c r="T770" s="292" t="str">
        <x:v>玄渊20套全装备视觉候选；Items/StateItem/DnItems三库同码；属性待策划填写</x:v>
      </x:c>
      <x:c r="U770" t="str">
        <x:f>IF(COUNTIF($B$2:$B$1076,B770)&gt;1,"重复","")</x:f>
      </x:c>
      <x:c r="V770" t="str">
        <x:f>IF(AND(OR(M770="",M770=B770),OR(N770="",N770=B770),OR(O770="",O770=B770)),"通过","不一致")</x:f>
        <x:v>通过</x:v>
      </x:c>
    </x:row>
    <x:row r="771" ht="22" customHeight="1">
      <x:c r="A771" s="289" t="n">
        <x:v>770</x:v>
      </x:c>
      <x:c r="B771" s="289" t="n">
        <x:v>6790</x:v>
      </x:c>
      <x:c r="C771" s="290" t="str">
        <x:v>星渊龙息·龙鳞</x:v>
      </x:c>
      <x:c r="D771" s="290" t="str">
        <x:v>星渊龙息</x:v>
      </x:c>
      <x:c r="E771" s="290" t="n">
        <x:v>2</x:v>
      </x:c>
      <x:c r="F771" s="290" t="str">
        <x:v>盾牌</x:v>
      </x:c>
      <x:c r="G771" s="289" t="n">
        <x:v>12</x:v>
      </x:c>
      <x:c r="H771" s="289" t="n">
        <x:v>16</x:v>
      </x:c>
      <x:c r="I771" s="289" t="n">
        <x:v>6790</x:v>
      </x:c>
      <x:c r="J771" s="289" t="n">
        <x:v>0</x:v>
      </x:c>
      <x:c r="K771" s="289" t="n">
        <x:v>0</x:v>
      </x:c>
      <x:c r="L771" s="289" t="n">
        <x:v>0</x:v>
      </x:c>
      <x:c r="M771" s="289" t="n">
        <x:v>6790</x:v>
      </x:c>
      <x:c r="N771" s="289" t="n">
        <x:v>6790</x:v>
      </x:c>
      <x:c r="O771" s="289" t="n">
        <x:v>6790</x:v>
      </x:c>
      <x:c r="P771" s="292"/>
      <x:c r="Q771" s="292" t="str">
        <x:v>candidate-preflight-passed</x:v>
      </x:c>
      <x:c r="R771" s="324" t="str">
        <x:v>C3-C10规划锁定：穴龟石盾</x:v>
      </x:c>
      <x:c r="S771" s="292" t="str">
        <x:v>玄渊二十套全装备代码总表.xlsx</x:v>
      </x:c>
      <x:c r="T771" s="292" t="str">
        <x:v>玄渊20套全装备视觉候选；Items/StateItem/DnItems三库同码；属性待策划填写</x:v>
      </x:c>
      <x:c r="U771" t="str">
        <x:f>IF(COUNTIF($B$2:$B$1076,B771)&gt;1,"重复","")</x:f>
      </x:c>
      <x:c r="V771" t="str">
        <x:f>IF(AND(OR(M771="",M771=B771),OR(N771="",N771=B771),OR(O771="",O771=B771)),"通过","不一致")</x:f>
        <x:v>通过</x:v>
      </x:c>
    </x:row>
    <x:row r="772" ht="22" customHeight="1">
      <x:c r="A772" s="289" t="n">
        <x:v>771</x:v>
      </x:c>
      <x:c r="B772" s="289" t="n">
        <x:v>6791</x:v>
      </x:c>
      <x:c r="C772" s="290" t="str">
        <x:v>星渊龙息·龙鳞</x:v>
      </x:c>
      <x:c r="D772" s="290" t="str">
        <x:v>星渊龙息</x:v>
      </x:c>
      <x:c r="E772" s="290" t="n">
        <x:v>2</x:v>
      </x:c>
      <x:c r="F772" s="290" t="str">
        <x:v>灵玉</x:v>
      </x:c>
      <x:c r="G772" s="289" t="n">
        <x:v>90</x:v>
      </x:c>
      <x:c r="H772" s="289" t="n">
        <x:v>17</x:v>
      </x:c>
      <x:c r="I772" s="289" t="n">
        <x:v>6791</x:v>
      </x:c>
      <x:c r="J772" s="289" t="n">
        <x:v>0</x:v>
      </x:c>
      <x:c r="K772" s="289" t="n">
        <x:v>0</x:v>
      </x:c>
      <x:c r="L772" s="289" t="n">
        <x:v>0</x:v>
      </x:c>
      <x:c r="M772" s="289" t="n">
        <x:v>6791</x:v>
      </x:c>
      <x:c r="N772" s="289" t="n">
        <x:v>6791</x:v>
      </x:c>
      <x:c r="O772" s="289" t="n">
        <x:v>6791</x:v>
      </x:c>
      <x:c r="P772" s="292"/>
      <x:c r="Q772" s="292" t="str">
        <x:v>candidate-preflight-passed</x:v>
      </x:c>
      <x:c r="R772" s="292" t="str"/>
      <x:c r="S772" s="292" t="str">
        <x:v>玄渊二十套全装备代码总表.xlsx</x:v>
      </x:c>
      <x:c r="T772" s="292" t="str">
        <x:v>玄渊20套全装备视觉候选；Items/StateItem/DnItems三库同码；属性待策划填写</x:v>
      </x:c>
      <x:c r="U772" t="str">
        <x:f>IF(COUNTIF($B$2:$B$1076,B772)&gt;1,"重复","")</x:f>
      </x:c>
      <x:c r="V772" t="str">
        <x:f>IF(AND(OR(M772="",M772=B772),OR(N772="",N772=B772),OR(O772="",O772=B772)),"通过","不一致")</x:f>
        <x:v>通过</x:v>
      </x:c>
    </x:row>
    <x:row r="773" ht="22" customHeight="1">
      <x:c r="A773" s="289" t="n">
        <x:v>772</x:v>
      </x:c>
      <x:c r="B773" s="289" t="n">
        <x:v>6792</x:v>
      </x:c>
      <x:c r="C773" s="290" t="str">
        <x:v>星渊龙息·龙鳞</x:v>
      </x:c>
      <x:c r="D773" s="290" t="str">
        <x:v>星渊龙息</x:v>
      </x:c>
      <x:c r="E773" s="290" t="n">
        <x:v>2</x:v>
      </x:c>
      <x:c r="F773" s="290" t="str">
        <x:v>鞋子</x:v>
      </x:c>
      <x:c r="G773" s="289" t="n">
        <x:v>62</x:v>
      </x:c>
      <x:c r="H773" s="289" t="n">
        <x:v>11</x:v>
      </x:c>
      <x:c r="I773" s="289" t="n">
        <x:v>6792</x:v>
      </x:c>
      <x:c r="J773" s="289" t="n">
        <x:v>0</x:v>
      </x:c>
      <x:c r="K773" s="289" t="n">
        <x:v>0</x:v>
      </x:c>
      <x:c r="L773" s="289" t="n">
        <x:v>0</x:v>
      </x:c>
      <x:c r="M773" s="289" t="n">
        <x:v>6792</x:v>
      </x:c>
      <x:c r="N773" s="289" t="n">
        <x:v>6792</x:v>
      </x:c>
      <x:c r="O773" s="289" t="n">
        <x:v>6792</x:v>
      </x:c>
      <x:c r="P773" s="292"/>
      <x:c r="Q773" s="292" t="str">
        <x:v>candidate-preflight-passed</x:v>
      </x:c>
      <x:c r="R773" s="324" t="str">
        <x:v>C3-C10规划锁定：伏流鳞靴</x:v>
      </x:c>
      <x:c r="S773" s="292" t="str">
        <x:v>玄渊二十套全装备代码总表.xlsx</x:v>
      </x:c>
      <x:c r="T773" s="292" t="str">
        <x:v>玄渊20套全装备视觉候选；Items/StateItem/DnItems三库同码；属性待策划填写</x:v>
      </x:c>
      <x:c r="U773" t="str">
        <x:f>IF(COUNTIF($B$2:$B$1076,B773)&gt;1,"重复","")</x:f>
      </x:c>
      <x:c r="V773" t="str">
        <x:f>IF(AND(OR(M773="",M773=B773),OR(N773="",N773=B773),OR(O773="",O773=B773)),"通过","不一致")</x:f>
        <x:v>通过</x:v>
      </x:c>
    </x:row>
    <x:row r="774" ht="22" customHeight="1">
      <x:c r="A774" s="289" t="n">
        <x:v>773</x:v>
      </x:c>
      <x:c r="B774" s="289" t="n">
        <x:v>6793</x:v>
      </x:c>
      <x:c r="C774" s="290" t="str">
        <x:v>星渊龙息·龙鳞</x:v>
      </x:c>
      <x:c r="D774" s="290" t="str">
        <x:v>星渊龙息</x:v>
      </x:c>
      <x:c r="E774" s="290" t="n">
        <x:v>2</x:v>
      </x:c>
      <x:c r="F774" s="290" t="str">
        <x:v>腰带</x:v>
      </x:c>
      <x:c r="G774" s="289" t="n">
        <x:v>64</x:v>
      </x:c>
      <x:c r="H774" s="289" t="n">
        <x:v>10</x:v>
      </x:c>
      <x:c r="I774" s="289" t="n">
        <x:v>6793</x:v>
      </x:c>
      <x:c r="J774" s="289" t="n">
        <x:v>0</x:v>
      </x:c>
      <x:c r="K774" s="289" t="n">
        <x:v>0</x:v>
      </x:c>
      <x:c r="L774" s="289" t="n">
        <x:v>0</x:v>
      </x:c>
      <x:c r="M774" s="289" t="n">
        <x:v>6793</x:v>
      </x:c>
      <x:c r="N774" s="289" t="n">
        <x:v>6793</x:v>
      </x:c>
      <x:c r="O774" s="289" t="n">
        <x:v>6793</x:v>
      </x:c>
      <x:c r="P774" s="292"/>
      <x:c r="Q774" s="292" t="str">
        <x:v>candidate-preflight-passed</x:v>
      </x:c>
      <x:c r="R774" s="324" t="str">
        <x:v>C3-C10规划锁定：汲月雾绦</x:v>
      </x:c>
      <x:c r="S774" s="292" t="str">
        <x:v>玄渊二十套全装备代码总表.xlsx</x:v>
      </x:c>
      <x:c r="T774" s="292" t="str">
        <x:v>玄渊20套全装备视觉候选；Items/StateItem/DnItems三库同码；属性待策划填写</x:v>
      </x:c>
      <x:c r="U774" t="str">
        <x:f>IF(COUNTIF($B$2:$B$1076,B774)&gt;1,"重复","")</x:f>
      </x:c>
      <x:c r="V774" t="str">
        <x:f>IF(AND(OR(M774="",M774=B774),OR(N774="",N774=B774),OR(O774="",O774=B774)),"通过","不一致")</x:f>
        <x:v>通过</x:v>
      </x:c>
    </x:row>
    <x:row r="775" ht="22" customHeight="1">
      <x:c r="A775" s="289" t="n">
        <x:v>774</x:v>
      </x:c>
      <x:c r="B775" s="289" t="n">
        <x:v>6794</x:v>
      </x:c>
      <x:c r="C775" s="290" t="str">
        <x:v>星渊龙息·龙鳞</x:v>
      </x:c>
      <x:c r="D775" s="290" t="str">
        <x:v>星渊龙息</x:v>
      </x:c>
      <x:c r="E775" s="290" t="n">
        <x:v>2</x:v>
      </x:c>
      <x:c r="F775" s="290" t="str">
        <x:v>护身符</x:v>
      </x:c>
      <x:c r="G775" s="289" t="n">
        <x:v>25</x:v>
      </x:c>
      <x:c r="H775" s="289" t="n">
        <x:v>9</x:v>
      </x:c>
      <x:c r="I775" s="289" t="n">
        <x:v>6794</x:v>
      </x:c>
      <x:c r="J775" s="289" t="n">
        <x:v>0</x:v>
      </x:c>
      <x:c r="K775" s="289" t="n">
        <x:v>0</x:v>
      </x:c>
      <x:c r="L775" s="289" t="n">
        <x:v>0</x:v>
      </x:c>
      <x:c r="M775" s="289" t="n">
        <x:v>6794</x:v>
      </x:c>
      <x:c r="N775" s="289" t="n">
        <x:v>6794</x:v>
      </x:c>
      <x:c r="O775" s="289" t="n">
        <x:v>6794</x:v>
      </x:c>
      <x:c r="P775" s="292"/>
      <x:c r="Q775" s="292" t="str">
        <x:v>candidate-preflight-passed</x:v>
      </x:c>
      <x:c r="R775" s="292" t="str"/>
      <x:c r="S775" s="292" t="str">
        <x:v>玄渊二十套全装备代码总表.xlsx</x:v>
      </x:c>
      <x:c r="T775" s="292" t="str">
        <x:v>玄渊20套全装备视觉候选；Items/StateItem/DnItems三库同码；属性待策划填写</x:v>
      </x:c>
      <x:c r="U775" t="str">
        <x:f>IF(COUNTIF($B$2:$B$1076,B775)&gt;1,"重复","")</x:f>
      </x:c>
      <x:c r="V775" t="str">
        <x:f>IF(AND(OR(M775="",M775=B775),OR(N775="",N775=B775),OR(O775="",O775=B775)),"通过","不一致")</x:f>
        <x:v>通过</x:v>
      </x:c>
    </x:row>
    <x:row r="776" ht="22" customHeight="1">
      <x:c r="A776" s="289" t="n">
        <x:v>775</x:v>
      </x:c>
      <x:c r="B776" s="289" t="n">
        <x:v>6795</x:v>
      </x:c>
      <x:c r="C776" s="290" t="str">
        <x:v>星渊龙息·龙鳞</x:v>
      </x:c>
      <x:c r="D776" s="290" t="str">
        <x:v>星渊龙息</x:v>
      </x:c>
      <x:c r="E776" s="290" t="n">
        <x:v>2</x:v>
      </x:c>
      <x:c r="F776" s="290" t="str">
        <x:v>宝石</x:v>
      </x:c>
      <x:c r="G776" s="289" t="n">
        <x:v>63</x:v>
      </x:c>
      <x:c r="H776" s="289" t="n">
        <x:v>12</x:v>
      </x:c>
      <x:c r="I776" s="289" t="n">
        <x:v>6795</x:v>
      </x:c>
      <x:c r="J776" s="289" t="n">
        <x:v>0</x:v>
      </x:c>
      <x:c r="K776" s="289" t="n">
        <x:v>0</x:v>
      </x:c>
      <x:c r="L776" s="289" t="n">
        <x:v>0</x:v>
      </x:c>
      <x:c r="M776" s="289" t="n">
        <x:v>6795</x:v>
      </x:c>
      <x:c r="N776" s="289" t="n">
        <x:v>6795</x:v>
      </x:c>
      <x:c r="O776" s="289" t="n">
        <x:v>6795</x:v>
      </x:c>
      <x:c r="P776" s="292"/>
      <x:c r="Q776" s="292" t="str">
        <x:v>candidate-preflight-passed</x:v>
      </x:c>
      <x:c r="R776" s="292" t="str"/>
      <x:c r="S776" s="292" t="str">
        <x:v>玄渊二十套全装备代码总表.xlsx</x:v>
      </x:c>
      <x:c r="T776" s="292" t="str">
        <x:v>玄渊20套全装备视觉候选；Items/StateItem/DnItems三库同码；属性待策划填写</x:v>
      </x:c>
      <x:c r="U776" t="str">
        <x:f>IF(COUNTIF($B$2:$B$1076,B776)&gt;1,"重复","")</x:f>
      </x:c>
      <x:c r="V776" t="str">
        <x:f>IF(AND(OR(M776="",M776=B776),OR(N776="",N776=B776),OR(O776="",O776=B776)),"通过","不一致")</x:f>
        <x:v>通过</x:v>
      </x:c>
    </x:row>
    <x:row r="777" ht="22" customHeight="1">
      <x:c r="A777" s="289" t="n">
        <x:v>776</x:v>
      </x:c>
      <x:c r="B777" s="289" t="n">
        <x:v>6796</x:v>
      </x:c>
      <x:c r="C777" s="290" t="str">
        <x:v>星渊龙息·龙鳞</x:v>
      </x:c>
      <x:c r="D777" s="290" t="str">
        <x:v>星渊龙息</x:v>
      </x:c>
      <x:c r="E777" s="290" t="n">
        <x:v>2</x:v>
      </x:c>
      <x:c r="F777" s="290" t="str">
        <x:v>军鼓</x:v>
      </x:c>
      <x:c r="G777" s="289" t="n">
        <x:v>65</x:v>
      </x:c>
      <x:c r="H777" s="289" t="n">
        <x:v>14</x:v>
      </x:c>
      <x:c r="I777" s="289" t="n">
        <x:v>6796</x:v>
      </x:c>
      <x:c r="J777" s="289" t="n">
        <x:v>0</x:v>
      </x:c>
      <x:c r="K777" s="289" t="n">
        <x:v>0</x:v>
      </x:c>
      <x:c r="L777" s="289" t="n">
        <x:v>0</x:v>
      </x:c>
      <x:c r="M777" s="289" t="n">
        <x:v>6796</x:v>
      </x:c>
      <x:c r="N777" s="289" t="n">
        <x:v>6796</x:v>
      </x:c>
      <x:c r="O777" s="289" t="n">
        <x:v>6796</x:v>
      </x:c>
      <x:c r="P777" s="292"/>
      <x:c r="Q777" s="292" t="str">
        <x:v>candidate-preflight-passed</x:v>
      </x:c>
      <x:c r="R777" s="292" t="str"/>
      <x:c r="S777" s="292" t="str">
        <x:v>玄渊二十套全装备代码总表.xlsx</x:v>
      </x:c>
      <x:c r="T777" s="292" t="str">
        <x:v>玄渊20套全装备视觉候选；Items/StateItem/DnItems三库同码；属性待策划填写</x:v>
      </x:c>
      <x:c r="U777" t="str">
        <x:f>IF(COUNTIF($B$2:$B$1076,B777)&gt;1,"重复","")</x:f>
      </x:c>
      <x:c r="V777" t="str">
        <x:f>IF(AND(OR(M777="",M777=B777),OR(N777="",N777=B777),OR(O777="",O777=B777)),"通过","不一致")</x:f>
        <x:v>通过</x:v>
      </x:c>
    </x:row>
    <x:row r="778" ht="22" customHeight="1">
      <x:c r="A778" s="289" t="n">
        <x:v>777</x:v>
      </x:c>
      <x:c r="B778" s="289" t="n">
        <x:v>6797</x:v>
      </x:c>
      <x:c r="C778" s="290" t="str">
        <x:v>星渊龙息·龙鳞</x:v>
      </x:c>
      <x:c r="D778" s="290" t="str">
        <x:v>星渊龙息</x:v>
      </x:c>
      <x:c r="E778" s="290" t="n">
        <x:v>2</x:v>
      </x:c>
      <x:c r="F778" s="290" t="str">
        <x:v>马牌</x:v>
      </x:c>
      <x:c r="G778" s="289" t="n">
        <x:v>28</x:v>
      </x:c>
      <x:c r="H778" s="289" t="n">
        <x:v>15</x:v>
      </x:c>
      <x:c r="I778" s="289" t="n">
        <x:v>6797</x:v>
      </x:c>
      <x:c r="J778" s="289" t="n">
        <x:v>0</x:v>
      </x:c>
      <x:c r="K778" s="289" t="n">
        <x:v>0</x:v>
      </x:c>
      <x:c r="L778" s="289" t="n">
        <x:v>0</x:v>
      </x:c>
      <x:c r="M778" s="289" t="n">
        <x:v>6797</x:v>
      </x:c>
      <x:c r="N778" s="289" t="n">
        <x:v>6797</x:v>
      </x:c>
      <x:c r="O778" s="289" t="n">
        <x:v>6797</x:v>
      </x:c>
      <x:c r="P778" s="292"/>
      <x:c r="Q778" s="292" t="str">
        <x:v>candidate-preflight-passed</x:v>
      </x:c>
      <x:c r="R778" s="292" t="str"/>
      <x:c r="S778" s="292" t="str">
        <x:v>玄渊二十套全装备代码总表.xlsx</x:v>
      </x:c>
      <x:c r="T778" s="292" t="str">
        <x:v>玄渊20套全装备视觉候选；Items/StateItem/DnItems三库同码；属性待策划填写</x:v>
      </x:c>
      <x:c r="U778" t="str">
        <x:f>IF(COUNTIF($B$2:$B$1076,B778)&gt;1,"重复","")</x:f>
      </x:c>
      <x:c r="V778" t="str">
        <x:f>IF(AND(OR(M778="",M778=B778),OR(N778="",N778=B778),OR(O778="",O778=B778)),"通过","不一致")</x:f>
        <x:v>通过</x:v>
      </x:c>
    </x:row>
    <x:row r="779" ht="22" customHeight="1">
      <x:c r="A779" s="289" t="n">
        <x:v>778</x:v>
      </x:c>
      <x:c r="B779" s="289" t="n">
        <x:v>6798</x:v>
      </x:c>
      <x:c r="C779" s="290" t="str">
        <x:v>星渊龙息·龙鳞</x:v>
      </x:c>
      <x:c r="D779" s="290" t="str">
        <x:v>星渊龙息</x:v>
      </x:c>
      <x:c r="E779" s="290" t="n">
        <x:v>2</x:v>
      </x:c>
      <x:c r="F779" s="290" t="str">
        <x:v>首饰盒1</x:v>
      </x:c>
      <x:c r="G779" s="289" t="n">
        <x:v>22</x:v>
      </x:c>
      <x:c r="H779" s="289" t="n">
        <x:v>30</x:v>
      </x:c>
      <x:c r="I779" s="289" t="n">
        <x:v>6798</x:v>
      </x:c>
      <x:c r="J779" s="289" t="n">
        <x:v>0</x:v>
      </x:c>
      <x:c r="K779" s="289" t="n">
        <x:v>2</x:v>
      </x:c>
      <x:c r="L779" s="289" t="n">
        <x:v>1</x:v>
      </x:c>
      <x:c r="M779" s="289" t="n">
        <x:v>6798</x:v>
      </x:c>
      <x:c r="N779" s="289" t="n">
        <x:v>6798</x:v>
      </x:c>
      <x:c r="O779" s="289" t="n">
        <x:v>6798</x:v>
      </x:c>
      <x:c r="P779" s="292"/>
      <x:c r="Q779" s="292" t="str">
        <x:v>candidate-preflight-passed</x:v>
      </x:c>
      <x:c r="R779" s="292" t="str"/>
      <x:c r="S779" s="292" t="str">
        <x:v>玄渊二十套全装备代码总表.xlsx</x:v>
      </x:c>
      <x:c r="T779" s="292" t="str">
        <x:v>玄渊20套全装备视觉候选；Items/StateItem/DnItems三库同码；属性待策划填写；OverLap=2; Expand1=1</x:v>
      </x:c>
      <x:c r="U779" t="str">
        <x:f>IF(COUNTIF($B$2:$B$1076,B779)&gt;1,"重复","")</x:f>
      </x:c>
      <x:c r="V779" t="str">
        <x:f>IF(AND(OR(M779="",M779=B779),OR(N779="",N779=B779),OR(O779="",O779=B779)),"通过","不一致")</x:f>
        <x:v>通过</x:v>
      </x:c>
    </x:row>
    <x:row r="780" ht="22" customHeight="1">
      <x:c r="A780" s="289" t="n">
        <x:v>779</x:v>
      </x:c>
      <x:c r="B780" s="289" t="n">
        <x:v>6799</x:v>
      </x:c>
      <x:c r="C780" s="290" t="str">
        <x:v>星渊龙息·龙鳞</x:v>
      </x:c>
      <x:c r="D780" s="290" t="str">
        <x:v>星渊龙息</x:v>
      </x:c>
      <x:c r="E780" s="290" t="n">
        <x:v>2</x:v>
      </x:c>
      <x:c r="F780" s="290" t="str">
        <x:v>首饰盒2</x:v>
      </x:c>
      <x:c r="G780" s="289" t="n">
        <x:v>22</x:v>
      </x:c>
      <x:c r="H780" s="289" t="n">
        <x:v>31</x:v>
      </x:c>
      <x:c r="I780" s="289" t="n">
        <x:v>6799</x:v>
      </x:c>
      <x:c r="J780" s="289" t="n">
        <x:v>0</x:v>
      </x:c>
      <x:c r="K780" s="289" t="n">
        <x:v>2</x:v>
      </x:c>
      <x:c r="L780" s="289" t="n">
        <x:v>2</x:v>
      </x:c>
      <x:c r="M780" s="289" t="n">
        <x:v>6799</x:v>
      </x:c>
      <x:c r="N780" s="289" t="n">
        <x:v>6799</x:v>
      </x:c>
      <x:c r="O780" s="289" t="n">
        <x:v>6799</x:v>
      </x:c>
      <x:c r="P780" s="292"/>
      <x:c r="Q780" s="292" t="str">
        <x:v>candidate-preflight-passed</x:v>
      </x:c>
      <x:c r="R780" s="292" t="str"/>
      <x:c r="S780" s="292" t="str">
        <x:v>玄渊二十套全装备代码总表.xlsx</x:v>
      </x:c>
      <x:c r="T780" s="292" t="str">
        <x:v>玄渊20套全装备视觉候选；Items/StateItem/DnItems三库同码；属性待策划填写；OverLap=2; Expand1=2</x:v>
      </x:c>
      <x:c r="U780" t="str">
        <x:f>IF(COUNTIF($B$2:$B$1076,B780)&gt;1,"重复","")</x:f>
      </x:c>
      <x:c r="V780" t="str">
        <x:f>IF(AND(OR(M780="",M780=B780),OR(N780="",N780=B780),OR(O780="",O780=B780)),"通过","不一致")</x:f>
        <x:v>通过</x:v>
      </x:c>
    </x:row>
    <x:row r="781" ht="22" customHeight="1">
      <x:c r="A781" s="289" t="n">
        <x:v>780</x:v>
      </x:c>
      <x:c r="B781" s="289" t="n">
        <x:v>6800</x:v>
      </x:c>
      <x:c r="C781" s="290" t="str">
        <x:v>星渊龙息·龙鳞</x:v>
      </x:c>
      <x:c r="D781" s="290" t="str">
        <x:v>星渊龙息</x:v>
      </x:c>
      <x:c r="E781" s="290" t="n">
        <x:v>2</x:v>
      </x:c>
      <x:c r="F781" s="290" t="str">
        <x:v>首饰盒3</x:v>
      </x:c>
      <x:c r="G781" s="289" t="n">
        <x:v>22</x:v>
      </x:c>
      <x:c r="H781" s="289" t="n">
        <x:v>32</x:v>
      </x:c>
      <x:c r="I781" s="289" t="n">
        <x:v>6800</x:v>
      </x:c>
      <x:c r="J781" s="289" t="n">
        <x:v>0</x:v>
      </x:c>
      <x:c r="K781" s="289" t="n">
        <x:v>2</x:v>
      </x:c>
      <x:c r="L781" s="289" t="n">
        <x:v>3</x:v>
      </x:c>
      <x:c r="M781" s="289" t="n">
        <x:v>6800</x:v>
      </x:c>
      <x:c r="N781" s="289" t="n">
        <x:v>6800</x:v>
      </x:c>
      <x:c r="O781" s="289" t="n">
        <x:v>6800</x:v>
      </x:c>
      <x:c r="P781" s="292"/>
      <x:c r="Q781" s="292" t="str">
        <x:v>candidate-preflight-passed</x:v>
      </x:c>
      <x:c r="R781" s="292" t="str"/>
      <x:c r="S781" s="292" t="str">
        <x:v>玄渊二十套全装备代码总表.xlsx</x:v>
      </x:c>
      <x:c r="T781" s="292" t="str">
        <x:v>玄渊20套全装备视觉候选；Items/StateItem/DnItems三库同码；属性待策划填写；OverLap=2; Expand1=3</x:v>
      </x:c>
      <x:c r="U781" t="str">
        <x:f>IF(COUNTIF($B$2:$B$1076,B781)&gt;1,"重复","")</x:f>
      </x:c>
      <x:c r="V781" t="str">
        <x:f>IF(AND(OR(M781="",M781=B781),OR(N781="",N781=B781),OR(O781="",O781=B781)),"通过","不一致")</x:f>
        <x:v>通过</x:v>
      </x:c>
    </x:row>
    <x:row r="782" ht="22" customHeight="1">
      <x:c r="A782" s="289" t="n">
        <x:v>781</x:v>
      </x:c>
      <x:c r="B782" s="289" t="n">
        <x:v>6801</x:v>
      </x:c>
      <x:c r="C782" s="290" t="str">
        <x:v>星渊龙息·龙鳞</x:v>
      </x:c>
      <x:c r="D782" s="290" t="str">
        <x:v>星渊龙息</x:v>
      </x:c>
      <x:c r="E782" s="290" t="n">
        <x:v>2</x:v>
      </x:c>
      <x:c r="F782" s="290" t="str">
        <x:v>首饰盒4</x:v>
      </x:c>
      <x:c r="G782" s="289" t="n">
        <x:v>22</x:v>
      </x:c>
      <x:c r="H782" s="289" t="n">
        <x:v>33</x:v>
      </x:c>
      <x:c r="I782" s="289" t="n">
        <x:v>6801</x:v>
      </x:c>
      <x:c r="J782" s="289" t="n">
        <x:v>0</x:v>
      </x:c>
      <x:c r="K782" s="289" t="n">
        <x:v>2</x:v>
      </x:c>
      <x:c r="L782" s="289" t="n">
        <x:v>4</x:v>
      </x:c>
      <x:c r="M782" s="289" t="n">
        <x:v>6801</x:v>
      </x:c>
      <x:c r="N782" s="289" t="n">
        <x:v>6801</x:v>
      </x:c>
      <x:c r="O782" s="289" t="n">
        <x:v>6801</x:v>
      </x:c>
      <x:c r="P782" s="292"/>
      <x:c r="Q782" s="292" t="str">
        <x:v>candidate-preflight-passed</x:v>
      </x:c>
      <x:c r="R782" s="292" t="str"/>
      <x:c r="S782" s="292" t="str">
        <x:v>玄渊二十套全装备代码总表.xlsx</x:v>
      </x:c>
      <x:c r="T782" s="292" t="str">
        <x:v>玄渊20套全装备视觉候选；Items/StateItem/DnItems三库同码；属性待策划填写；OverLap=2; Expand1=4</x:v>
      </x:c>
      <x:c r="U782" t="str">
        <x:f>IF(COUNTIF($B$2:$B$1076,B782)&gt;1,"重复","")</x:f>
      </x:c>
      <x:c r="V782" t="str">
        <x:f>IF(AND(OR(M782="",M782=B782),OR(N782="",N782=B782),OR(O782="",O782=B782)),"通过","不一致")</x:f>
        <x:v>通过</x:v>
      </x:c>
    </x:row>
    <x:row r="783" ht="22" customHeight="1">
      <x:c r="A783" s="289" t="n">
        <x:v>782</x:v>
      </x:c>
      <x:c r="B783" s="289" t="n">
        <x:v>6802</x:v>
      </x:c>
      <x:c r="C783" s="290" t="str">
        <x:v>星渊龙息·龙鳞</x:v>
      </x:c>
      <x:c r="D783" s="290" t="str">
        <x:v>星渊龙息</x:v>
      </x:c>
      <x:c r="E783" s="290" t="n">
        <x:v>2</x:v>
      </x:c>
      <x:c r="F783" s="290" t="str">
        <x:v>首饰盒5</x:v>
      </x:c>
      <x:c r="G783" s="289" t="n">
        <x:v>22</x:v>
      </x:c>
      <x:c r="H783" s="289" t="n">
        <x:v>34</x:v>
      </x:c>
      <x:c r="I783" s="289" t="n">
        <x:v>6802</x:v>
      </x:c>
      <x:c r="J783" s="289" t="n">
        <x:v>0</x:v>
      </x:c>
      <x:c r="K783" s="289" t="n">
        <x:v>2</x:v>
      </x:c>
      <x:c r="L783" s="289" t="n">
        <x:v>5</x:v>
      </x:c>
      <x:c r="M783" s="289" t="n">
        <x:v>6802</x:v>
      </x:c>
      <x:c r="N783" s="289" t="n">
        <x:v>6802</x:v>
      </x:c>
      <x:c r="O783" s="289" t="n">
        <x:v>6802</x:v>
      </x:c>
      <x:c r="P783" s="292"/>
      <x:c r="Q783" s="292" t="str">
        <x:v>candidate-preflight-passed</x:v>
      </x:c>
      <x:c r="R783" s="292" t="str"/>
      <x:c r="S783" s="292" t="str">
        <x:v>玄渊二十套全装备代码总表.xlsx</x:v>
      </x:c>
      <x:c r="T783" s="292" t="str">
        <x:v>玄渊20套全装备视觉候选；Items/StateItem/DnItems三库同码；属性待策划填写；OverLap=2; Expand1=5</x:v>
      </x:c>
      <x:c r="U783" t="str">
        <x:f>IF(COUNTIF($B$2:$B$1076,B783)&gt;1,"重复","")</x:f>
      </x:c>
      <x:c r="V783" t="str">
        <x:f>IF(AND(OR(M783="",M783=B783),OR(N783="",N783=B783),OR(O783="",O783=B783)),"通过","不一致")</x:f>
        <x:v>通过</x:v>
      </x:c>
    </x:row>
    <x:row r="784" ht="22" customHeight="1">
      <x:c r="A784" s="289" t="n">
        <x:v>783</x:v>
      </x:c>
      <x:c r="B784" s="289" t="n">
        <x:v>6803</x:v>
      </x:c>
      <x:c r="C784" s="290" t="str">
        <x:v>星渊龙息·龙鳞</x:v>
      </x:c>
      <x:c r="D784" s="290" t="str">
        <x:v>星渊龙息</x:v>
      </x:c>
      <x:c r="E784" s="290" t="n">
        <x:v>2</x:v>
      </x:c>
      <x:c r="F784" s="290" t="str">
        <x:v>首饰盒6</x:v>
      </x:c>
      <x:c r="G784" s="289" t="n">
        <x:v>22</x:v>
      </x:c>
      <x:c r="H784" s="289" t="n">
        <x:v>35</x:v>
      </x:c>
      <x:c r="I784" s="289" t="n">
        <x:v>6803</x:v>
      </x:c>
      <x:c r="J784" s="289" t="n">
        <x:v>0</x:v>
      </x:c>
      <x:c r="K784" s="289" t="n">
        <x:v>2</x:v>
      </x:c>
      <x:c r="L784" s="289" t="n">
        <x:v>6</x:v>
      </x:c>
      <x:c r="M784" s="289" t="n">
        <x:v>6803</x:v>
      </x:c>
      <x:c r="N784" s="289" t="n">
        <x:v>6803</x:v>
      </x:c>
      <x:c r="O784" s="289" t="n">
        <x:v>6803</x:v>
      </x:c>
      <x:c r="P784" s="292"/>
      <x:c r="Q784" s="292" t="str">
        <x:v>candidate-preflight-passed</x:v>
      </x:c>
      <x:c r="R784" s="292" t="str"/>
      <x:c r="S784" s="292" t="str">
        <x:v>玄渊二十套全装备代码总表.xlsx</x:v>
      </x:c>
      <x:c r="T784" s="292" t="str">
        <x:v>玄渊20套全装备视觉候选；Items/StateItem/DnItems三库同码；属性待策划填写；OverLap=2; Expand1=6</x:v>
      </x:c>
      <x:c r="U784" t="str">
        <x:f>IF(COUNTIF($B$2:$B$1076,B784)&gt;1,"重复","")</x:f>
      </x:c>
      <x:c r="V784" t="str">
        <x:f>IF(AND(OR(M784="",M784=B784),OR(N784="",N784=B784),OR(O784="",O784=B784)),"通过","不一致")</x:f>
        <x:v>通过</x:v>
      </x:c>
    </x:row>
    <x:row r="785" ht="22" customHeight="1">
      <x:c r="A785" s="289" t="n">
        <x:v>784</x:v>
      </x:c>
      <x:c r="B785" s="289" t="n">
        <x:v>6804</x:v>
      </x:c>
      <x:c r="C785" s="290" t="str">
        <x:v>星渊龙息·龙鳞</x:v>
      </x:c>
      <x:c r="D785" s="290" t="str">
        <x:v>星渊龙息</x:v>
      </x:c>
      <x:c r="E785" s="290" t="n">
        <x:v>2</x:v>
      </x:c>
      <x:c r="F785" s="290" t="str">
        <x:v>生肖1</x:v>
      </x:c>
      <x:c r="G785" s="289" t="n">
        <x:v>22</x:v>
      </x:c>
      <x:c r="H785" s="289" t="n">
        <x:v>40</x:v>
      </x:c>
      <x:c r="I785" s="289" t="n">
        <x:v>6804</x:v>
      </x:c>
      <x:c r="J785" s="289" t="n">
        <x:v>0</x:v>
      </x:c>
      <x:c r="K785" s="289" t="n">
        <x:v>4</x:v>
      </x:c>
      <x:c r="L785" s="289" t="n">
        <x:v>1</x:v>
      </x:c>
      <x:c r="M785" s="289" t="n">
        <x:v>6804</x:v>
      </x:c>
      <x:c r="N785" s="289" t="n">
        <x:v>6804</x:v>
      </x:c>
      <x:c r="O785" s="289" t="n">
        <x:v>6804</x:v>
      </x:c>
      <x:c r="P785" s="292"/>
      <x:c r="Q785" s="292" t="str">
        <x:v>candidate-preflight-passed</x:v>
      </x:c>
      <x:c r="R785" s="292" t="str"/>
      <x:c r="S785" s="292" t="str">
        <x:v>玄渊二十套全装备代码总表.xlsx</x:v>
      </x:c>
      <x:c r="T785" s="292" t="str">
        <x:v>玄渊20套全装备视觉候选；Items/StateItem/DnItems三库同码；属性待策划填写；OverLap=4; Expand1=1</x:v>
      </x:c>
      <x:c r="U785" t="str">
        <x:f>IF(COUNTIF($B$2:$B$1076,B785)&gt;1,"重复","")</x:f>
      </x:c>
      <x:c r="V785" t="str">
        <x:f>IF(AND(OR(M785="",M785=B785),OR(N785="",N785=B785),OR(O785="",O785=B785)),"通过","不一致")</x:f>
        <x:v>通过</x:v>
      </x:c>
    </x:row>
    <x:row r="786" ht="22" customHeight="1">
      <x:c r="A786" s="289" t="n">
        <x:v>785</x:v>
      </x:c>
      <x:c r="B786" s="289" t="n">
        <x:v>6805</x:v>
      </x:c>
      <x:c r="C786" s="290" t="str">
        <x:v>星渊龙息·龙鳞</x:v>
      </x:c>
      <x:c r="D786" s="290" t="str">
        <x:v>星渊龙息</x:v>
      </x:c>
      <x:c r="E786" s="290" t="n">
        <x:v>2</x:v>
      </x:c>
      <x:c r="F786" s="290" t="str">
        <x:v>生肖2</x:v>
      </x:c>
      <x:c r="G786" s="289" t="n">
        <x:v>22</x:v>
      </x:c>
      <x:c r="H786" s="289" t="n">
        <x:v>41</x:v>
      </x:c>
      <x:c r="I786" s="289" t="n">
        <x:v>6805</x:v>
      </x:c>
      <x:c r="J786" s="289" t="n">
        <x:v>0</x:v>
      </x:c>
      <x:c r="K786" s="289" t="n">
        <x:v>4</x:v>
      </x:c>
      <x:c r="L786" s="289" t="n">
        <x:v>2</x:v>
      </x:c>
      <x:c r="M786" s="289" t="n">
        <x:v>6805</x:v>
      </x:c>
      <x:c r="N786" s="289" t="n">
        <x:v>6805</x:v>
      </x:c>
      <x:c r="O786" s="289" t="n">
        <x:v>6805</x:v>
      </x:c>
      <x:c r="P786" s="292"/>
      <x:c r="Q786" s="292" t="str">
        <x:v>candidate-preflight-passed</x:v>
      </x:c>
      <x:c r="R786" s="292" t="str"/>
      <x:c r="S786" s="292" t="str">
        <x:v>玄渊二十套全装备代码总表.xlsx</x:v>
      </x:c>
      <x:c r="T786" s="292" t="str">
        <x:v>玄渊20套全装备视觉候选；Items/StateItem/DnItems三库同码；属性待策划填写；OverLap=4; Expand1=2</x:v>
      </x:c>
      <x:c r="U786" t="str">
        <x:f>IF(COUNTIF($B$2:$B$1076,B786)&gt;1,"重复","")</x:f>
      </x:c>
      <x:c r="V786" t="str">
        <x:f>IF(AND(OR(M786="",M786=B786),OR(N786="",N786=B786),OR(O786="",O786=B786)),"通过","不一致")</x:f>
        <x:v>通过</x:v>
      </x:c>
    </x:row>
    <x:row r="787" ht="22" customHeight="1">
      <x:c r="A787" s="289" t="n">
        <x:v>786</x:v>
      </x:c>
      <x:c r="B787" s="289" t="n">
        <x:v>6806</x:v>
      </x:c>
      <x:c r="C787" s="290" t="str">
        <x:v>星渊龙息·龙鳞</x:v>
      </x:c>
      <x:c r="D787" s="290" t="str">
        <x:v>星渊龙息</x:v>
      </x:c>
      <x:c r="E787" s="290" t="n">
        <x:v>2</x:v>
      </x:c>
      <x:c r="F787" s="290" t="str">
        <x:v>生肖3</x:v>
      </x:c>
      <x:c r="G787" s="289" t="n">
        <x:v>22</x:v>
      </x:c>
      <x:c r="H787" s="289" t="n">
        <x:v>42</x:v>
      </x:c>
      <x:c r="I787" s="289" t="n">
        <x:v>6806</x:v>
      </x:c>
      <x:c r="J787" s="289" t="n">
        <x:v>0</x:v>
      </x:c>
      <x:c r="K787" s="289" t="n">
        <x:v>4</x:v>
      </x:c>
      <x:c r="L787" s="289" t="n">
        <x:v>3</x:v>
      </x:c>
      <x:c r="M787" s="289" t="n">
        <x:v>6806</x:v>
      </x:c>
      <x:c r="N787" s="289" t="n">
        <x:v>6806</x:v>
      </x:c>
      <x:c r="O787" s="289" t="n">
        <x:v>6806</x:v>
      </x:c>
      <x:c r="P787" s="292"/>
      <x:c r="Q787" s="292" t="str">
        <x:v>candidate-preflight-passed</x:v>
      </x:c>
      <x:c r="R787" s="292" t="str"/>
      <x:c r="S787" s="292" t="str">
        <x:v>玄渊二十套全装备代码总表.xlsx</x:v>
      </x:c>
      <x:c r="T787" s="292" t="str">
        <x:v>玄渊20套全装备视觉候选；Items/StateItem/DnItems三库同码；属性待策划填写；OverLap=4; Expand1=3</x:v>
      </x:c>
      <x:c r="U787" t="str">
        <x:f>IF(COUNTIF($B$2:$B$1076,B787)&gt;1,"重复","")</x:f>
      </x:c>
      <x:c r="V787" t="str">
        <x:f>IF(AND(OR(M787="",M787=B787),OR(N787="",N787=B787),OR(O787="",O787=B787)),"通过","不一致")</x:f>
        <x:v>通过</x:v>
      </x:c>
    </x:row>
    <x:row r="788" ht="22" customHeight="1">
      <x:c r="A788" s="289" t="n">
        <x:v>787</x:v>
      </x:c>
      <x:c r="B788" s="289" t="n">
        <x:v>6807</x:v>
      </x:c>
      <x:c r="C788" s="290" t="str">
        <x:v>星渊龙息·龙鳞</x:v>
      </x:c>
      <x:c r="D788" s="290" t="str">
        <x:v>星渊龙息</x:v>
      </x:c>
      <x:c r="E788" s="290" t="n">
        <x:v>2</x:v>
      </x:c>
      <x:c r="F788" s="290" t="str">
        <x:v>生肖4</x:v>
      </x:c>
      <x:c r="G788" s="289" t="n">
        <x:v>22</x:v>
      </x:c>
      <x:c r="H788" s="289" t="n">
        <x:v>43</x:v>
      </x:c>
      <x:c r="I788" s="289" t="n">
        <x:v>6807</x:v>
      </x:c>
      <x:c r="J788" s="289" t="n">
        <x:v>0</x:v>
      </x:c>
      <x:c r="K788" s="289" t="n">
        <x:v>4</x:v>
      </x:c>
      <x:c r="L788" s="289" t="n">
        <x:v>4</x:v>
      </x:c>
      <x:c r="M788" s="289" t="n">
        <x:v>6807</x:v>
      </x:c>
      <x:c r="N788" s="289" t="n">
        <x:v>6807</x:v>
      </x:c>
      <x:c r="O788" s="289" t="n">
        <x:v>6807</x:v>
      </x:c>
      <x:c r="P788" s="292"/>
      <x:c r="Q788" s="292" t="str">
        <x:v>candidate-preflight-passed</x:v>
      </x:c>
      <x:c r="R788" s="292" t="str"/>
      <x:c r="S788" s="292" t="str">
        <x:v>玄渊二十套全装备代码总表.xlsx</x:v>
      </x:c>
      <x:c r="T788" s="292" t="str">
        <x:v>玄渊20套全装备视觉候选；Items/StateItem/DnItems三库同码；属性待策划填写；OverLap=4; Expand1=4</x:v>
      </x:c>
      <x:c r="U788" t="str">
        <x:f>IF(COUNTIF($B$2:$B$1076,B788)&gt;1,"重复","")</x:f>
      </x:c>
      <x:c r="V788" t="str">
        <x:f>IF(AND(OR(M788="",M788=B788),OR(N788="",N788=B788),OR(O788="",O788=B788)),"通过","不一致")</x:f>
        <x:v>通过</x:v>
      </x:c>
    </x:row>
    <x:row r="789" ht="22" customHeight="1">
      <x:c r="A789" s="289" t="n">
        <x:v>788</x:v>
      </x:c>
      <x:c r="B789" s="289" t="n">
        <x:v>6808</x:v>
      </x:c>
      <x:c r="C789" s="290" t="str">
        <x:v>星渊龙息·龙鳞</x:v>
      </x:c>
      <x:c r="D789" s="290" t="str">
        <x:v>星渊龙息</x:v>
      </x:c>
      <x:c r="E789" s="290" t="n">
        <x:v>2</x:v>
      </x:c>
      <x:c r="F789" s="290" t="str">
        <x:v>生肖5</x:v>
      </x:c>
      <x:c r="G789" s="289" t="n">
        <x:v>22</x:v>
      </x:c>
      <x:c r="H789" s="289" t="n">
        <x:v>44</x:v>
      </x:c>
      <x:c r="I789" s="289" t="n">
        <x:v>6808</x:v>
      </x:c>
      <x:c r="J789" s="289" t="n">
        <x:v>0</x:v>
      </x:c>
      <x:c r="K789" s="289" t="n">
        <x:v>4</x:v>
      </x:c>
      <x:c r="L789" s="289" t="n">
        <x:v>5</x:v>
      </x:c>
      <x:c r="M789" s="289" t="n">
        <x:v>6808</x:v>
      </x:c>
      <x:c r="N789" s="289" t="n">
        <x:v>6808</x:v>
      </x:c>
      <x:c r="O789" s="289" t="n">
        <x:v>6808</x:v>
      </x:c>
      <x:c r="P789" s="292"/>
      <x:c r="Q789" s="292" t="str">
        <x:v>candidate-preflight-passed</x:v>
      </x:c>
      <x:c r="R789" s="292" t="str"/>
      <x:c r="S789" s="292" t="str">
        <x:v>玄渊二十套全装备代码总表.xlsx</x:v>
      </x:c>
      <x:c r="T789" s="292" t="str">
        <x:v>玄渊20套全装备视觉候选；Items/StateItem/DnItems三库同码；属性待策划填写；OverLap=4; Expand1=5</x:v>
      </x:c>
      <x:c r="U789" t="str">
        <x:f>IF(COUNTIF($B$2:$B$1076,B789)&gt;1,"重复","")</x:f>
      </x:c>
      <x:c r="V789" t="str">
        <x:f>IF(AND(OR(M789="",M789=B789),OR(N789="",N789=B789),OR(O789="",O789=B789)),"通过","不一致")</x:f>
        <x:v>通过</x:v>
      </x:c>
    </x:row>
    <x:row r="790" ht="22" customHeight="1">
      <x:c r="A790" s="289" t="n">
        <x:v>789</x:v>
      </x:c>
      <x:c r="B790" s="289" t="n">
        <x:v>6809</x:v>
      </x:c>
      <x:c r="C790" s="290" t="str">
        <x:v>星渊龙息·龙鳞</x:v>
      </x:c>
      <x:c r="D790" s="290" t="str">
        <x:v>星渊龙息</x:v>
      </x:c>
      <x:c r="E790" s="290" t="n">
        <x:v>2</x:v>
      </x:c>
      <x:c r="F790" s="290" t="str">
        <x:v>生肖6</x:v>
      </x:c>
      <x:c r="G790" s="289" t="n">
        <x:v>22</x:v>
      </x:c>
      <x:c r="H790" s="289" t="n">
        <x:v>45</x:v>
      </x:c>
      <x:c r="I790" s="289" t="n">
        <x:v>6809</x:v>
      </x:c>
      <x:c r="J790" s="289" t="n">
        <x:v>0</x:v>
      </x:c>
      <x:c r="K790" s="289" t="n">
        <x:v>4</x:v>
      </x:c>
      <x:c r="L790" s="289" t="n">
        <x:v>6</x:v>
      </x:c>
      <x:c r="M790" s="289" t="n">
        <x:v>6809</x:v>
      </x:c>
      <x:c r="N790" s="289" t="n">
        <x:v>6809</x:v>
      </x:c>
      <x:c r="O790" s="289" t="n">
        <x:v>6809</x:v>
      </x:c>
      <x:c r="P790" s="292"/>
      <x:c r="Q790" s="292" t="str">
        <x:v>candidate-preflight-passed</x:v>
      </x:c>
      <x:c r="R790" s="292" t="str"/>
      <x:c r="S790" s="292" t="str">
        <x:v>玄渊二十套全装备代码总表.xlsx</x:v>
      </x:c>
      <x:c r="T790" s="292" t="str">
        <x:v>玄渊20套全装备视觉候选；Items/StateItem/DnItems三库同码；属性待策划填写；OverLap=4; Expand1=6</x:v>
      </x:c>
      <x:c r="U790" t="str">
        <x:f>IF(COUNTIF($B$2:$B$1076,B790)&gt;1,"重复","")</x:f>
      </x:c>
      <x:c r="V790" t="str">
        <x:f>IF(AND(OR(M790="",M790=B790),OR(N790="",N790=B790),OR(O790="",O790=B790)),"通过","不一致")</x:f>
        <x:v>通过</x:v>
      </x:c>
    </x:row>
    <x:row r="791" ht="22" customHeight="1">
      <x:c r="A791" s="289" t="n">
        <x:v>790</x:v>
      </x:c>
      <x:c r="B791" s="289" t="n">
        <x:v>6810</x:v>
      </x:c>
      <x:c r="C791" s="290" t="str">
        <x:v>星渊龙息·龙鳞</x:v>
      </x:c>
      <x:c r="D791" s="290" t="str">
        <x:v>星渊龙息</x:v>
      </x:c>
      <x:c r="E791" s="290" t="n">
        <x:v>2</x:v>
      </x:c>
      <x:c r="F791" s="290" t="str">
        <x:v>生肖7</x:v>
      </x:c>
      <x:c r="G791" s="289" t="n">
        <x:v>22</x:v>
      </x:c>
      <x:c r="H791" s="289" t="n">
        <x:v>46</x:v>
      </x:c>
      <x:c r="I791" s="289" t="n">
        <x:v>6810</x:v>
      </x:c>
      <x:c r="J791" s="289" t="n">
        <x:v>0</x:v>
      </x:c>
      <x:c r="K791" s="289" t="n">
        <x:v>4</x:v>
      </x:c>
      <x:c r="L791" s="289" t="n">
        <x:v>7</x:v>
      </x:c>
      <x:c r="M791" s="289" t="n">
        <x:v>6810</x:v>
      </x:c>
      <x:c r="N791" s="289" t="n">
        <x:v>6810</x:v>
      </x:c>
      <x:c r="O791" s="289" t="n">
        <x:v>6810</x:v>
      </x:c>
      <x:c r="P791" s="292"/>
      <x:c r="Q791" s="292" t="str">
        <x:v>candidate-preflight-passed</x:v>
      </x:c>
      <x:c r="R791" s="292" t="str"/>
      <x:c r="S791" s="292" t="str">
        <x:v>玄渊二十套全装备代码总表.xlsx</x:v>
      </x:c>
      <x:c r="T791" s="292" t="str">
        <x:v>玄渊20套全装备视觉候选；Items/StateItem/DnItems三库同码；属性待策划填写；OverLap=4; Expand1=7</x:v>
      </x:c>
      <x:c r="U791" t="str">
        <x:f>IF(COUNTIF($B$2:$B$1076,B791)&gt;1,"重复","")</x:f>
      </x:c>
      <x:c r="V791" t="str">
        <x:f>IF(AND(OR(M791="",M791=B791),OR(N791="",N791=B791),OR(O791="",O791=B791)),"通过","不一致")</x:f>
        <x:v>通过</x:v>
      </x:c>
    </x:row>
    <x:row r="792" ht="22" customHeight="1">
      <x:c r="A792" s="289" t="n">
        <x:v>791</x:v>
      </x:c>
      <x:c r="B792" s="289" t="n">
        <x:v>6811</x:v>
      </x:c>
      <x:c r="C792" s="290" t="str">
        <x:v>星渊龙息·龙鳞</x:v>
      </x:c>
      <x:c r="D792" s="290" t="str">
        <x:v>星渊龙息</x:v>
      </x:c>
      <x:c r="E792" s="290" t="n">
        <x:v>2</x:v>
      </x:c>
      <x:c r="F792" s="290" t="str">
        <x:v>生肖8</x:v>
      </x:c>
      <x:c r="G792" s="289" t="n">
        <x:v>22</x:v>
      </x:c>
      <x:c r="H792" s="289" t="n">
        <x:v>47</x:v>
      </x:c>
      <x:c r="I792" s="289" t="n">
        <x:v>6811</x:v>
      </x:c>
      <x:c r="J792" s="289" t="n">
        <x:v>0</x:v>
      </x:c>
      <x:c r="K792" s="289" t="n">
        <x:v>4</x:v>
      </x:c>
      <x:c r="L792" s="289" t="n">
        <x:v>8</x:v>
      </x:c>
      <x:c r="M792" s="289" t="n">
        <x:v>6811</x:v>
      </x:c>
      <x:c r="N792" s="289" t="n">
        <x:v>6811</x:v>
      </x:c>
      <x:c r="O792" s="289" t="n">
        <x:v>6811</x:v>
      </x:c>
      <x:c r="P792" s="292"/>
      <x:c r="Q792" s="292" t="str">
        <x:v>candidate-preflight-passed</x:v>
      </x:c>
      <x:c r="R792" s="292" t="str"/>
      <x:c r="S792" s="292" t="str">
        <x:v>玄渊二十套全装备代码总表.xlsx</x:v>
      </x:c>
      <x:c r="T792" s="292" t="str">
        <x:v>玄渊20套全装备视觉候选；Items/StateItem/DnItems三库同码；属性待策划填写；OverLap=4; Expand1=8</x:v>
      </x:c>
      <x:c r="U792" t="str">
        <x:f>IF(COUNTIF($B$2:$B$1076,B792)&gt;1,"重复","")</x:f>
      </x:c>
      <x:c r="V792" t="str">
        <x:f>IF(AND(OR(M792="",M792=B792),OR(N792="",N792=B792),OR(O792="",O792=B792)),"通过","不一致")</x:f>
        <x:v>通过</x:v>
      </x:c>
    </x:row>
    <x:row r="793" ht="22" customHeight="1">
      <x:c r="A793" s="289" t="n">
        <x:v>792</x:v>
      </x:c>
      <x:c r="B793" s="289" t="n">
        <x:v>6812</x:v>
      </x:c>
      <x:c r="C793" s="290" t="str">
        <x:v>星渊龙息·龙鳞</x:v>
      </x:c>
      <x:c r="D793" s="290" t="str">
        <x:v>星渊龙息</x:v>
      </x:c>
      <x:c r="E793" s="290" t="n">
        <x:v>2</x:v>
      </x:c>
      <x:c r="F793" s="290" t="str">
        <x:v>生肖9</x:v>
      </x:c>
      <x:c r="G793" s="289" t="n">
        <x:v>22</x:v>
      </x:c>
      <x:c r="H793" s="289" t="n">
        <x:v>48</x:v>
      </x:c>
      <x:c r="I793" s="289" t="n">
        <x:v>6812</x:v>
      </x:c>
      <x:c r="J793" s="289" t="n">
        <x:v>0</x:v>
      </x:c>
      <x:c r="K793" s="289" t="n">
        <x:v>4</x:v>
      </x:c>
      <x:c r="L793" s="289" t="n">
        <x:v>9</x:v>
      </x:c>
      <x:c r="M793" s="289" t="n">
        <x:v>6812</x:v>
      </x:c>
      <x:c r="N793" s="289" t="n">
        <x:v>6812</x:v>
      </x:c>
      <x:c r="O793" s="289" t="n">
        <x:v>6812</x:v>
      </x:c>
      <x:c r="P793" s="292"/>
      <x:c r="Q793" s="292" t="str">
        <x:v>candidate-preflight-passed</x:v>
      </x:c>
      <x:c r="R793" s="292" t="str"/>
      <x:c r="S793" s="292" t="str">
        <x:v>玄渊二十套全装备代码总表.xlsx</x:v>
      </x:c>
      <x:c r="T793" s="292" t="str">
        <x:v>玄渊20套全装备视觉候选；Items/StateItem/DnItems三库同码；属性待策划填写；OverLap=4; Expand1=9</x:v>
      </x:c>
      <x:c r="U793" t="str">
        <x:f>IF(COUNTIF($B$2:$B$1076,B793)&gt;1,"重复","")</x:f>
      </x:c>
      <x:c r="V793" t="str">
        <x:f>IF(AND(OR(M793="",M793=B793),OR(N793="",N793=B793),OR(O793="",O793=B793)),"通过","不一致")</x:f>
        <x:v>通过</x:v>
      </x:c>
    </x:row>
    <x:row r="794" ht="22" customHeight="1">
      <x:c r="A794" s="289" t="n">
        <x:v>793</x:v>
      </x:c>
      <x:c r="B794" s="289" t="n">
        <x:v>6813</x:v>
      </x:c>
      <x:c r="C794" s="290" t="str">
        <x:v>星渊龙息·龙鳞</x:v>
      </x:c>
      <x:c r="D794" s="290" t="str">
        <x:v>星渊龙息</x:v>
      </x:c>
      <x:c r="E794" s="290" t="n">
        <x:v>2</x:v>
      </x:c>
      <x:c r="F794" s="290" t="str">
        <x:v>生肖10</x:v>
      </x:c>
      <x:c r="G794" s="289" t="n">
        <x:v>22</x:v>
      </x:c>
      <x:c r="H794" s="289" t="n">
        <x:v>49</x:v>
      </x:c>
      <x:c r="I794" s="289" t="n">
        <x:v>6813</x:v>
      </x:c>
      <x:c r="J794" s="289" t="n">
        <x:v>0</x:v>
      </x:c>
      <x:c r="K794" s="289" t="n">
        <x:v>4</x:v>
      </x:c>
      <x:c r="L794" s="289" t="n">
        <x:v>10</x:v>
      </x:c>
      <x:c r="M794" s="289" t="n">
        <x:v>6813</x:v>
      </x:c>
      <x:c r="N794" s="289" t="n">
        <x:v>6813</x:v>
      </x:c>
      <x:c r="O794" s="289" t="n">
        <x:v>6813</x:v>
      </x:c>
      <x:c r="P794" s="292"/>
      <x:c r="Q794" s="292" t="str">
        <x:v>candidate-preflight-passed</x:v>
      </x:c>
      <x:c r="R794" s="292" t="str"/>
      <x:c r="S794" s="292" t="str">
        <x:v>玄渊二十套全装备代码总表.xlsx</x:v>
      </x:c>
      <x:c r="T794" s="292" t="str">
        <x:v>玄渊20套全装备视觉候选；Items/StateItem/DnItems三库同码；属性待策划填写；OverLap=4; Expand1=10</x:v>
      </x:c>
      <x:c r="U794" t="str">
        <x:f>IF(COUNTIF($B$2:$B$1076,B794)&gt;1,"重复","")</x:f>
      </x:c>
      <x:c r="V794" t="str">
        <x:f>IF(AND(OR(M794="",M794=B794),OR(N794="",N794=B794),OR(O794="",O794=B794)),"通过","不一致")</x:f>
        <x:v>通过</x:v>
      </x:c>
    </x:row>
    <x:row r="795" ht="22" customHeight="1">
      <x:c r="A795" s="289" t="n">
        <x:v>794</x:v>
      </x:c>
      <x:c r="B795" s="289" t="n">
        <x:v>6814</x:v>
      </x:c>
      <x:c r="C795" s="290" t="str">
        <x:v>星渊龙息·龙鳞</x:v>
      </x:c>
      <x:c r="D795" s="290" t="str">
        <x:v>星渊龙息</x:v>
      </x:c>
      <x:c r="E795" s="290" t="n">
        <x:v>2</x:v>
      </x:c>
      <x:c r="F795" s="290" t="str">
        <x:v>生肖11</x:v>
      </x:c>
      <x:c r="G795" s="289" t="n">
        <x:v>22</x:v>
      </x:c>
      <x:c r="H795" s="289" t="n">
        <x:v>50</x:v>
      </x:c>
      <x:c r="I795" s="289" t="n">
        <x:v>6814</x:v>
      </x:c>
      <x:c r="J795" s="289" t="n">
        <x:v>0</x:v>
      </x:c>
      <x:c r="K795" s="289" t="n">
        <x:v>4</x:v>
      </x:c>
      <x:c r="L795" s="289" t="n">
        <x:v>11</x:v>
      </x:c>
      <x:c r="M795" s="289" t="n">
        <x:v>6814</x:v>
      </x:c>
      <x:c r="N795" s="289" t="n">
        <x:v>6814</x:v>
      </x:c>
      <x:c r="O795" s="289" t="n">
        <x:v>6814</x:v>
      </x:c>
      <x:c r="P795" s="292"/>
      <x:c r="Q795" s="292" t="str">
        <x:v>candidate-preflight-passed</x:v>
      </x:c>
      <x:c r="R795" s="292" t="str"/>
      <x:c r="S795" s="292" t="str">
        <x:v>玄渊二十套全装备代码总表.xlsx</x:v>
      </x:c>
      <x:c r="T795" s="292" t="str">
        <x:v>玄渊20套全装备视觉候选；Items/StateItem/DnItems三库同码；属性待策划填写；OverLap=4; Expand1=11</x:v>
      </x:c>
      <x:c r="U795" t="str">
        <x:f>IF(COUNTIF($B$2:$B$1076,B795)&gt;1,"重复","")</x:f>
      </x:c>
      <x:c r="V795" t="str">
        <x:f>IF(AND(OR(M795="",M795=B795),OR(N795="",N795=B795),OR(O795="",O795=B795)),"通过","不一致")</x:f>
        <x:v>通过</x:v>
      </x:c>
    </x:row>
    <x:row r="796" ht="22" customHeight="1">
      <x:c r="A796" s="289" t="n">
        <x:v>795</x:v>
      </x:c>
      <x:c r="B796" s="289" t="n">
        <x:v>6815</x:v>
      </x:c>
      <x:c r="C796" s="290" t="str">
        <x:v>星渊龙息·龙鳞</x:v>
      </x:c>
      <x:c r="D796" s="290" t="str">
        <x:v>星渊龙息</x:v>
      </x:c>
      <x:c r="E796" s="290" t="n">
        <x:v>2</x:v>
      </x:c>
      <x:c r="F796" s="290" t="str">
        <x:v>生肖12</x:v>
      </x:c>
      <x:c r="G796" s="289" t="n">
        <x:v>22</x:v>
      </x:c>
      <x:c r="H796" s="289" t="n">
        <x:v>51</x:v>
      </x:c>
      <x:c r="I796" s="289" t="n">
        <x:v>6815</x:v>
      </x:c>
      <x:c r="J796" s="289" t="n">
        <x:v>0</x:v>
      </x:c>
      <x:c r="K796" s="289" t="n">
        <x:v>4</x:v>
      </x:c>
      <x:c r="L796" s="289" t="n">
        <x:v>12</x:v>
      </x:c>
      <x:c r="M796" s="289" t="n">
        <x:v>6815</x:v>
      </x:c>
      <x:c r="N796" s="289" t="n">
        <x:v>6815</x:v>
      </x:c>
      <x:c r="O796" s="289" t="n">
        <x:v>6815</x:v>
      </x:c>
      <x:c r="P796" s="292"/>
      <x:c r="Q796" s="292" t="str">
        <x:v>candidate-preflight-passed</x:v>
      </x:c>
      <x:c r="R796" s="292" t="str"/>
      <x:c r="S796" s="292" t="str">
        <x:v>玄渊二十套全装备代码总表.xlsx</x:v>
      </x:c>
      <x:c r="T796" s="292" t="str">
        <x:v>玄渊20套全装备视觉候选；Items/StateItem/DnItems三库同码；属性待策划填写；OverLap=4; Expand1=12</x:v>
      </x:c>
      <x:c r="U796" t="str">
        <x:f>IF(COUNTIF($B$2:$B$1076,B796)&gt;1,"重复","")</x:f>
      </x:c>
      <x:c r="V796" t="str">
        <x:f>IF(AND(OR(M796="",M796=B796),OR(N796="",N796=B796),OR(O796="",O796=B796)),"通过","不一致")</x:f>
        <x:v>通过</x:v>
      </x:c>
    </x:row>
    <x:row r="797" ht="22" customHeight="1">
      <x:c r="A797" s="289" t="n">
        <x:v>796</x:v>
      </x:c>
      <x:c r="B797" s="289" t="n">
        <x:v>6816</x:v>
      </x:c>
      <x:c r="C797" s="290" t="str">
        <x:v>星渊龙息·渊辉</x:v>
      </x:c>
      <x:c r="D797" s="290" t="str">
        <x:v>星渊龙息</x:v>
      </x:c>
      <x:c r="E797" s="290" t="n">
        <x:v>3</x:v>
      </x:c>
      <x:c r="F797" s="290" t="str">
        <x:v>武器</x:v>
      </x:c>
      <x:c r="G797" s="289" t="n">
        <x:v>5</x:v>
      </x:c>
      <x:c r="H797" s="289" t="n">
        <x:v>1</x:v>
      </x:c>
      <x:c r="I797" s="289" t="n">
        <x:v>6816</x:v>
      </x:c>
      <x:c r="J797" s="289" t="n">
        <x:v>28</x:v>
      </x:c>
      <x:c r="K797" s="289" t="n">
        <x:v>0</x:v>
      </x:c>
      <x:c r="L797" s="289" t="n">
        <x:v>0</x:v>
      </x:c>
      <x:c r="M797" s="289" t="n">
        <x:v>6816</x:v>
      </x:c>
      <x:c r="N797" s="289" t="n">
        <x:v>6816</x:v>
      </x:c>
      <x:c r="O797" s="289" t="n">
        <x:v>6816</x:v>
      </x:c>
      <x:c r="P797" s="292" t="str">
        <x:v>Weapon.wzl/wzx（复用现有真实动作）</x:v>
      </x:c>
      <x:c r="Q797" s="292" t="str">
        <x:v>candidate-preflight-passed</x:v>
      </x:c>
      <x:c r="R797" s="324" t="str">
        <x:v>C3-C10规划锁定：阿涅的誓渠枪</x:v>
      </x:c>
      <x:c r="S797" s="292" t="str">
        <x:v>玄渊二十套全装备代码总表.xlsx</x:v>
      </x:c>
      <x:c r="T797" s="292" t="str">
        <x:v>玄渊20套全装备视觉候选；Items/StateItem/DnItems三库同码；属性待策划填写；Weapon Shape=28</x:v>
      </x:c>
      <x:c r="U797" t="str">
        <x:f>IF(COUNTIF($B$2:$B$1076,B797)&gt;1,"重复","")</x:f>
      </x:c>
      <x:c r="V797" t="str">
        <x:f>IF(AND(OR(M797="",M797=B797),OR(N797="",N797=B797),OR(O797="",O797=B797)),"通过","不一致")</x:f>
        <x:v>通过</x:v>
      </x:c>
    </x:row>
    <x:row r="798" ht="22" customHeight="1">
      <x:c r="A798" s="289" t="n">
        <x:v>797</x:v>
      </x:c>
      <x:c r="B798" s="289" t="n">
        <x:v>6817</x:v>
      </x:c>
      <x:c r="C798" s="290" t="str">
        <x:v>星渊龙息·渊辉</x:v>
      </x:c>
      <x:c r="D798" s="290" t="str">
        <x:v>星渊龙息</x:v>
      </x:c>
      <x:c r="E798" s="290" t="n">
        <x:v>3</x:v>
      </x:c>
      <x:c r="F798" s="290" t="str">
        <x:v>男衣服</x:v>
      </x:c>
      <x:c r="G798" s="289" t="n">
        <x:v>10</x:v>
      </x:c>
      <x:c r="H798" s="289" t="n">
        <x:v>0</x:v>
      </x:c>
      <x:c r="I798" s="289" t="n">
        <x:v>6817</x:v>
      </x:c>
      <x:c r="J798" s="289" t="n">
        <x:v>5</x:v>
      </x:c>
      <x:c r="K798" s="289" t="n">
        <x:v>0</x:v>
      </x:c>
      <x:c r="L798" s="289" t="n">
        <x:v>0</x:v>
      </x:c>
      <x:c r="M798" s="289" t="n">
        <x:v>6817</x:v>
      </x:c>
      <x:c r="N798" s="289" t="n">
        <x:v>6817</x:v>
      </x:c>
      <x:c r="O798" s="289" t="n">
        <x:v>6817</x:v>
      </x:c>
      <x:c r="P798" s="292" t="str">
        <x:v>Hum.wzl/wzx（复用现有真实动作）</x:v>
      </x:c>
      <x:c r="Q798" s="292" t="str">
        <x:v>candidate-preflight-passed</x:v>
      </x:c>
      <x:c r="R798" s="324" t="str">
        <x:v>C3-C10规划锁定：弥洛镜水衣</x:v>
      </x:c>
      <x:c r="S798" s="292" t="str">
        <x:v>玄渊二十套全装备代码总表.xlsx</x:v>
      </x:c>
      <x:c r="T798" s="292" t="str">
        <x:v>玄渊20套全装备视觉候选；Items/StateItem/DnItems三库同码；属性待策划填写；Hum Shape=5</x:v>
      </x:c>
      <x:c r="U798" t="str">
        <x:f>IF(COUNTIF($B$2:$B$1076,B798)&gt;1,"重复","")</x:f>
      </x:c>
      <x:c r="V798" t="str">
        <x:f>IF(AND(OR(M798="",M798=B798),OR(N798="",N798=B798),OR(O798="",O798=B798)),"通过","不一致")</x:f>
        <x:v>通过</x:v>
      </x:c>
    </x:row>
    <x:row r="799" ht="22" customHeight="1">
      <x:c r="A799" s="289" t="n">
        <x:v>798</x:v>
      </x:c>
      <x:c r="B799" s="289" t="n">
        <x:v>6818</x:v>
      </x:c>
      <x:c r="C799" s="290" t="str">
        <x:v>星渊龙息·渊辉</x:v>
      </x:c>
      <x:c r="D799" s="290" t="str">
        <x:v>星渊龙息</x:v>
      </x:c>
      <x:c r="E799" s="290" t="n">
        <x:v>3</x:v>
      </x:c>
      <x:c r="F799" s="290" t="str">
        <x:v>女衣服</x:v>
      </x:c>
      <x:c r="G799" s="289" t="n">
        <x:v>11</x:v>
      </x:c>
      <x:c r="H799" s="289" t="n">
        <x:v>0</x:v>
      </x:c>
      <x:c r="I799" s="289" t="n">
        <x:v>6818</x:v>
      </x:c>
      <x:c r="J799" s="289" t="n">
        <x:v>5</x:v>
      </x:c>
      <x:c r="K799" s="289" t="n">
        <x:v>0</x:v>
      </x:c>
      <x:c r="L799" s="289" t="n">
        <x:v>0</x:v>
      </x:c>
      <x:c r="M799" s="289" t="n">
        <x:v>6818</x:v>
      </x:c>
      <x:c r="N799" s="289" t="n">
        <x:v>6818</x:v>
      </x:c>
      <x:c r="O799" s="289" t="n">
        <x:v>6818</x:v>
      </x:c>
      <x:c r="P799" s="292" t="str">
        <x:v>Hum.wzl/wzx（复用现有真实动作）</x:v>
      </x:c>
      <x:c r="Q799" s="292" t="str">
        <x:v>candidate-preflight-passed</x:v>
      </x:c>
      <x:c r="R799" s="292" t="str"/>
      <x:c r="S799" s="292" t="str">
        <x:v>玄渊二十套全装备代码总表.xlsx</x:v>
      </x:c>
      <x:c r="T799" s="292" t="str">
        <x:v>玄渊20套全装备视觉候选；Items/StateItem/DnItems三库同码；属性待策划填写；Hum Shape=5</x:v>
      </x:c>
      <x:c r="U799" t="str">
        <x:f>IF(COUNTIF($B$2:$B$1076,B799)&gt;1,"重复","")</x:f>
      </x:c>
      <x:c r="V799" t="str">
        <x:f>IF(AND(OR(M799="",M799=B799),OR(N799="",N799=B799),OR(O799="",O799=B799)),"通过","不一致")</x:f>
        <x:v>通过</x:v>
      </x:c>
    </x:row>
    <x:row r="800" ht="22" customHeight="1">
      <x:c r="A800" s="289" t="n">
        <x:v>799</x:v>
      </x:c>
      <x:c r="B800" s="289" t="n">
        <x:v>6819</x:v>
      </x:c>
      <x:c r="C800" s="290" t="str">
        <x:v>星渊龙息·渊辉</x:v>
      </x:c>
      <x:c r="D800" s="290" t="str">
        <x:v>星渊龙息</x:v>
      </x:c>
      <x:c r="E800" s="290" t="n">
        <x:v>3</x:v>
      </x:c>
      <x:c r="F800" s="290" t="str">
        <x:v>头盔</x:v>
      </x:c>
      <x:c r="G800" s="289" t="n">
        <x:v>15</x:v>
      </x:c>
      <x:c r="H800" s="289" t="n">
        <x:v>4</x:v>
      </x:c>
      <x:c r="I800" s="289" t="n">
        <x:v>6819</x:v>
      </x:c>
      <x:c r="J800" s="289" t="n">
        <x:v>0</x:v>
      </x:c>
      <x:c r="K800" s="289" t="n">
        <x:v>0</x:v>
      </x:c>
      <x:c r="L800" s="289" t="n">
        <x:v>0</x:v>
      </x:c>
      <x:c r="M800" s="289" t="n">
        <x:v>6819</x:v>
      </x:c>
      <x:c r="N800" s="289" t="n">
        <x:v>6819</x:v>
      </x:c>
      <x:c r="O800" s="289" t="n">
        <x:v>6819</x:v>
      </x:c>
      <x:c r="P800" s="292"/>
      <x:c r="Q800" s="292" t="str">
        <x:v>candidate-preflight-passed</x:v>
      </x:c>
      <x:c r="R800" s="324" t="str">
        <x:v>C3-C10规划锁定：骨鸥喙盔</x:v>
      </x:c>
      <x:c r="S800" s="292" t="str">
        <x:v>玄渊二十套全装备代码总表.xlsx</x:v>
      </x:c>
      <x:c r="T800" s="292" t="str">
        <x:v>玄渊20套全装备视觉候选；Items/StateItem/DnItems三库同码；属性待策划填写</x:v>
      </x:c>
      <x:c r="U800" t="str">
        <x:f>IF(COUNTIF($B$2:$B$1076,B800)&gt;1,"重复","")</x:f>
      </x:c>
      <x:c r="V800" t="str">
        <x:f>IF(AND(OR(M800="",M800=B800),OR(N800="",N800=B800),OR(O800="",O800=B800)),"通过","不一致")</x:f>
        <x:v>通过</x:v>
      </x:c>
    </x:row>
    <x:row r="801" ht="22" customHeight="1">
      <x:c r="A801" s="289" t="n">
        <x:v>800</x:v>
      </x:c>
      <x:c r="B801" s="289" t="n">
        <x:v>6820</x:v>
      </x:c>
      <x:c r="C801" s="290" t="str">
        <x:v>星渊龙息·渊辉</x:v>
      </x:c>
      <x:c r="D801" s="290" t="str">
        <x:v>星渊龙息</x:v>
      </x:c>
      <x:c r="E801" s="290" t="n">
        <x:v>3</x:v>
      </x:c>
      <x:c r="F801" s="290" t="str">
        <x:v>面巾</x:v>
      </x:c>
      <x:c r="G801" s="289" t="n">
        <x:v>16</x:v>
      </x:c>
      <x:c r="H801" s="289" t="n">
        <x:v>13</x:v>
      </x:c>
      <x:c r="I801" s="289" t="n">
        <x:v>6820</x:v>
      </x:c>
      <x:c r="J801" s="289" t="n">
        <x:v>0</x:v>
      </x:c>
      <x:c r="K801" s="289" t="n">
        <x:v>0</x:v>
      </x:c>
      <x:c r="L801" s="289" t="n">
        <x:v>0</x:v>
      </x:c>
      <x:c r="M801" s="289" t="n">
        <x:v>6820</x:v>
      </x:c>
      <x:c r="N801" s="289" t="n">
        <x:v>6820</x:v>
      </x:c>
      <x:c r="O801" s="289" t="n">
        <x:v>6820</x:v>
      </x:c>
      <x:c r="P801" s="292"/>
      <x:c r="Q801" s="292" t="str">
        <x:v>candidate-preflight-passed</x:v>
      </x:c>
      <x:c r="R801" s="324" t="str">
        <x:v>C3-C10规划锁定：问名官冥笠</x:v>
      </x:c>
      <x:c r="S801" s="292" t="str">
        <x:v>玄渊二十套全装备代码总表.xlsx</x:v>
      </x:c>
      <x:c r="T801" s="292" t="str">
        <x:v>玄渊20套全装备视觉候选；Items/StateItem/DnItems三库同码；属性待策划填写</x:v>
      </x:c>
      <x:c r="U801" t="str">
        <x:f>IF(COUNTIF($B$2:$B$1076,B801)&gt;1,"重复","")</x:f>
      </x:c>
      <x:c r="V801" t="str">
        <x:f>IF(AND(OR(M801="",M801=B801),OR(N801="",N801=B801),OR(O801="",O801=B801)),"通过","不一致")</x:f>
        <x:v>通过</x:v>
      </x:c>
    </x:row>
    <x:row r="802" ht="22" customHeight="1">
      <x:c r="A802" s="289" t="n">
        <x:v>801</x:v>
      </x:c>
      <x:c r="B802" s="289" t="n">
        <x:v>6821</x:v>
      </x:c>
      <x:c r="C802" s="290" t="str">
        <x:v>星渊龙息·渊辉</x:v>
      </x:c>
      <x:c r="D802" s="290" t="str">
        <x:v>星渊龙息</x:v>
      </x:c>
      <x:c r="E802" s="290" t="n">
        <x:v>3</x:v>
      </x:c>
      <x:c r="F802" s="290" t="str">
        <x:v>项链</x:v>
      </x:c>
      <x:c r="G802" s="289" t="n">
        <x:v>19</x:v>
      </x:c>
      <x:c r="H802" s="289" t="n">
        <x:v>3</x:v>
      </x:c>
      <x:c r="I802" s="289" t="n">
        <x:v>6821</x:v>
      </x:c>
      <x:c r="J802" s="289" t="n">
        <x:v>0</x:v>
      </x:c>
      <x:c r="K802" s="289" t="n">
        <x:v>0</x:v>
      </x:c>
      <x:c r="L802" s="289" t="n">
        <x:v>0</x:v>
      </x:c>
      <x:c r="M802" s="289" t="n">
        <x:v>6821</x:v>
      </x:c>
      <x:c r="N802" s="289" t="n">
        <x:v>6821</x:v>
      </x:c>
      <x:c r="O802" s="289" t="n">
        <x:v>6821</x:v>
      </x:c>
      <x:c r="P802" s="292"/>
      <x:c r="Q802" s="292" t="str">
        <x:v>candidate-preflight-passed</x:v>
      </x:c>
      <x:c r="R802" s="324" t="str">
        <x:v>C3-C10规划锁定：引魂铜铃链</x:v>
      </x:c>
      <x:c r="S802" s="292" t="str">
        <x:v>玄渊二十套全装备代码总表.xlsx</x:v>
      </x:c>
      <x:c r="T802" s="292" t="str">
        <x:v>玄渊20套全装备视觉候选；Items/StateItem/DnItems三库同码；属性待策划填写</x:v>
      </x:c>
      <x:c r="U802" t="str">
        <x:f>IF(COUNTIF($B$2:$B$1076,B802)&gt;1,"重复","")</x:f>
      </x:c>
      <x:c r="V802" t="str">
        <x:f>IF(AND(OR(M802="",M802=B802),OR(N802="",N802=B802),OR(O802="",O802=B802)),"通过","不一致")</x:f>
        <x:v>通过</x:v>
      </x:c>
    </x:row>
    <x:row r="803" ht="22" customHeight="1">
      <x:c r="A803" s="289" t="n">
        <x:v>802</x:v>
      </x:c>
      <x:c r="B803" s="289" t="n">
        <x:v>6822</x:v>
      </x:c>
      <x:c r="C803" s="290" t="str">
        <x:v>星渊龙息·渊辉</x:v>
      </x:c>
      <x:c r="D803" s="290" t="str">
        <x:v>星渊龙息</x:v>
      </x:c>
      <x:c r="E803" s="290" t="n">
        <x:v>3</x:v>
      </x:c>
      <x:c r="F803" s="290" t="str">
        <x:v>手镯</x:v>
      </x:c>
      <x:c r="G803" s="289" t="n">
        <x:v>26</x:v>
      </x:c>
      <x:c r="H803" s="289" t="n">
        <x:v>5</x:v>
      </x:c>
      <x:c r="I803" s="289" t="n">
        <x:v>6822</x:v>
      </x:c>
      <x:c r="J803" s="289" t="n">
        <x:v>0</x:v>
      </x:c>
      <x:c r="K803" s="289" t="n">
        <x:v>0</x:v>
      </x:c>
      <x:c r="L803" s="289" t="n">
        <x:v>0</x:v>
      </x:c>
      <x:c r="M803" s="289" t="n">
        <x:v>6822</x:v>
      </x:c>
      <x:c r="N803" s="289" t="n">
        <x:v>6822</x:v>
      </x:c>
      <x:c r="O803" s="289" t="n">
        <x:v>6822</x:v>
      </x:c>
      <x:c r="P803" s="292"/>
      <x:c r="Q803" s="292" t="str">
        <x:v>candidate-preflight-passed</x:v>
      </x:c>
      <x:c r="R803" s="324" t="str">
        <x:v>C3-C10规划锁定：月痕咒镯</x:v>
      </x:c>
      <x:c r="S803" s="292" t="str">
        <x:v>玄渊二十套全装备代码总表.xlsx</x:v>
      </x:c>
      <x:c r="T803" s="292" t="str">
        <x:v>玄渊20套全装备视觉候选；Items/StateItem/DnItems三库同码；属性待策划填写</x:v>
      </x:c>
      <x:c r="U803" t="str">
        <x:f>IF(COUNTIF($B$2:$B$1076,B803)&gt;1,"重复","")</x:f>
      </x:c>
      <x:c r="V803" t="str">
        <x:f>IF(AND(OR(M803="",M803=B803),OR(N803="",N803=B803),OR(O803="",O803=B803)),"通过","不一致")</x:f>
        <x:v>通过</x:v>
      </x:c>
    </x:row>
    <x:row r="804" ht="22" customHeight="1">
      <x:c r="A804" s="289" t="n">
        <x:v>803</x:v>
      </x:c>
      <x:c r="B804" s="289" t="n">
        <x:v>6823</x:v>
      </x:c>
      <x:c r="C804" s="290" t="str">
        <x:v>星渊龙息·渊辉</x:v>
      </x:c>
      <x:c r="D804" s="290" t="str">
        <x:v>星渊龙息</x:v>
      </x:c>
      <x:c r="E804" s="290" t="n">
        <x:v>3</x:v>
      </x:c>
      <x:c r="F804" s="290" t="str">
        <x:v>戒指</x:v>
      </x:c>
      <x:c r="G804" s="289" t="n">
        <x:v>22</x:v>
      </x:c>
      <x:c r="H804" s="289" t="n">
        <x:v>7</x:v>
      </x:c>
      <x:c r="I804" s="289" t="n">
        <x:v>6823</x:v>
      </x:c>
      <x:c r="J804" s="289" t="n">
        <x:v>0</x:v>
      </x:c>
      <x:c r="K804" s="289" t="n">
        <x:v>0</x:v>
      </x:c>
      <x:c r="L804" s="289" t="n">
        <x:v>0</x:v>
      </x:c>
      <x:c r="M804" s="289" t="n">
        <x:v>6823</x:v>
      </x:c>
      <x:c r="N804" s="289" t="n">
        <x:v>6823</x:v>
      </x:c>
      <x:c r="O804" s="289" t="n">
        <x:v>6823</x:v>
      </x:c>
      <x:c r="P804" s="292"/>
      <x:c r="Q804" s="292" t="str">
        <x:v>candidate-preflight-passed</x:v>
      </x:c>
      <x:c r="R804" s="324" t="str">
        <x:v>C3-C10规划锁定：黑帆魂戒</x:v>
      </x:c>
      <x:c r="S804" s="292" t="str">
        <x:v>玄渊二十套全装备代码总表.xlsx</x:v>
      </x:c>
      <x:c r="T804" s="292" t="str">
        <x:v>玄渊20套全装备视觉候选；Items/StateItem/DnItems三库同码；属性待策划填写</x:v>
      </x:c>
      <x:c r="U804" t="str">
        <x:f>IF(COUNTIF($B$2:$B$1076,B804)&gt;1,"重复","")</x:f>
      </x:c>
      <x:c r="V804" t="str">
        <x:f>IF(AND(OR(M804="",M804=B804),OR(N804="",N804=B804),OR(O804="",O804=B804)),"通过","不一致")</x:f>
        <x:v>通过</x:v>
      </x:c>
    </x:row>
    <x:row r="805" ht="22" customHeight="1">
      <x:c r="A805" s="289" t="n">
        <x:v>804</x:v>
      </x:c>
      <x:c r="B805" s="289" t="n">
        <x:v>6824</x:v>
      </x:c>
      <x:c r="C805" s="290" t="str">
        <x:v>星渊龙息·渊辉</x:v>
      </x:c>
      <x:c r="D805" s="290" t="str">
        <x:v>星渊龙息</x:v>
      </x:c>
      <x:c r="E805" s="290" t="n">
        <x:v>3</x:v>
      </x:c>
      <x:c r="F805" s="290" t="str">
        <x:v>勋章</x:v>
      </x:c>
      <x:c r="G805" s="289" t="n">
        <x:v>30</x:v>
      </x:c>
      <x:c r="H805" s="289" t="n">
        <x:v>2</x:v>
      </x:c>
      <x:c r="I805" s="289" t="n">
        <x:v>6824</x:v>
      </x:c>
      <x:c r="J805" s="289" t="n">
        <x:v>0</x:v>
      </x:c>
      <x:c r="K805" s="289" t="n">
        <x:v>0</x:v>
      </x:c>
      <x:c r="L805" s="289" t="n">
        <x:v>0</x:v>
      </x:c>
      <x:c r="M805" s="289" t="n">
        <x:v>6824</x:v>
      </x:c>
      <x:c r="N805" s="289" t="n">
        <x:v>6824</x:v>
      </x:c>
      <x:c r="O805" s="289" t="n">
        <x:v>6824</x:v>
      </x:c>
      <x:c r="P805" s="292"/>
      <x:c r="Q805" s="292" t="str">
        <x:v>candidate-preflight-passed</x:v>
      </x:c>
      <x:c r="R805" s="324" t="str">
        <x:v>C3-C10规划锁定：琉潮白鳍章</x:v>
      </x:c>
      <x:c r="S805" s="292" t="str">
        <x:v>玄渊二十套全装备代码总表.xlsx</x:v>
      </x:c>
      <x:c r="T805" s="292" t="str">
        <x:v>玄渊20套全装备视觉候选；Items/StateItem/DnItems三库同码；属性待策划填写</x:v>
      </x:c>
      <x:c r="U805" t="str">
        <x:f>IF(COUNTIF($B$2:$B$1076,B805)&gt;1,"重复","")</x:f>
      </x:c>
      <x:c r="V805" t="str">
        <x:f>IF(AND(OR(M805="",M805=B805),OR(N805="",N805=B805),OR(O805="",O805=B805)),"通过","不一致")</x:f>
        <x:v>通过</x:v>
      </x:c>
    </x:row>
    <x:row r="806" ht="22" customHeight="1">
      <x:c r="A806" s="289" t="n">
        <x:v>805</x:v>
      </x:c>
      <x:c r="B806" s="289" t="n">
        <x:v>6825</x:v>
      </x:c>
      <x:c r="C806" s="290" t="str">
        <x:v>星渊龙息·渊辉</x:v>
      </x:c>
      <x:c r="D806" s="290" t="str">
        <x:v>星渊龙息</x:v>
      </x:c>
      <x:c r="E806" s="290" t="n">
        <x:v>3</x:v>
      </x:c>
      <x:c r="F806" s="290" t="str">
        <x:v>盾牌</x:v>
      </x:c>
      <x:c r="G806" s="289" t="n">
        <x:v>12</x:v>
      </x:c>
      <x:c r="H806" s="289" t="n">
        <x:v>16</x:v>
      </x:c>
      <x:c r="I806" s="289" t="n">
        <x:v>6825</x:v>
      </x:c>
      <x:c r="J806" s="289" t="n">
        <x:v>0</x:v>
      </x:c>
      <x:c r="K806" s="289" t="n">
        <x:v>0</x:v>
      </x:c>
      <x:c r="L806" s="289" t="n">
        <x:v>0</x:v>
      </x:c>
      <x:c r="M806" s="289" t="n">
        <x:v>6825</x:v>
      </x:c>
      <x:c r="N806" s="289" t="n">
        <x:v>6825</x:v>
      </x:c>
      <x:c r="O806" s="289" t="n">
        <x:v>6825</x:v>
      </x:c>
      <x:c r="P806" s="292"/>
      <x:c r="Q806" s="292" t="str">
        <x:v>candidate-preflight-passed</x:v>
      </x:c>
      <x:c r="R806" s="324" t="str">
        <x:v>C3-C10规划锁定：苔纹潮壳盾</x:v>
      </x:c>
      <x:c r="S806" s="292" t="str">
        <x:v>玄渊二十套全装备代码总表.xlsx</x:v>
      </x:c>
      <x:c r="T806" s="292" t="str">
        <x:v>玄渊20套全装备视觉候选；Items/StateItem/DnItems三库同码；属性待策划填写</x:v>
      </x:c>
      <x:c r="U806" t="str">
        <x:f>IF(COUNTIF($B$2:$B$1076,B806)&gt;1,"重复","")</x:f>
      </x:c>
      <x:c r="V806" t="str">
        <x:f>IF(AND(OR(M806="",M806=B806),OR(N806="",N806=B806),OR(O806="",O806=B806)),"通过","不一致")</x:f>
        <x:v>通过</x:v>
      </x:c>
    </x:row>
    <x:row r="807" ht="22" customHeight="1">
      <x:c r="A807" s="289" t="n">
        <x:v>806</x:v>
      </x:c>
      <x:c r="B807" s="289" t="n">
        <x:v>6826</x:v>
      </x:c>
      <x:c r="C807" s="290" t="str">
        <x:v>星渊龙息·渊辉</x:v>
      </x:c>
      <x:c r="D807" s="290" t="str">
        <x:v>星渊龙息</x:v>
      </x:c>
      <x:c r="E807" s="290" t="n">
        <x:v>3</x:v>
      </x:c>
      <x:c r="F807" s="290" t="str">
        <x:v>灵玉</x:v>
      </x:c>
      <x:c r="G807" s="289" t="n">
        <x:v>90</x:v>
      </x:c>
      <x:c r="H807" s="289" t="n">
        <x:v>17</x:v>
      </x:c>
      <x:c r="I807" s="289" t="n">
        <x:v>6826</x:v>
      </x:c>
      <x:c r="J807" s="289" t="n">
        <x:v>0</x:v>
      </x:c>
      <x:c r="K807" s="289" t="n">
        <x:v>0</x:v>
      </x:c>
      <x:c r="L807" s="289" t="n">
        <x:v>0</x:v>
      </x:c>
      <x:c r="M807" s="289" t="n">
        <x:v>6826</x:v>
      </x:c>
      <x:c r="N807" s="289" t="n">
        <x:v>6826</x:v>
      </x:c>
      <x:c r="O807" s="289" t="n">
        <x:v>6826</x:v>
      </x:c>
      <x:c r="P807" s="292"/>
      <x:c r="Q807" s="292" t="str">
        <x:v>candidate-preflight-passed</x:v>
      </x:c>
      <x:c r="R807" s="292" t="str"/>
      <x:c r="S807" s="292" t="str">
        <x:v>玄渊二十套全装备代码总表.xlsx</x:v>
      </x:c>
      <x:c r="T807" s="292" t="str">
        <x:v>玄渊20套全装备视觉候选；Items/StateItem/DnItems三库同码；属性待策划填写</x:v>
      </x:c>
      <x:c r="U807" t="str">
        <x:f>IF(COUNTIF($B$2:$B$1076,B807)&gt;1,"重复","")</x:f>
      </x:c>
      <x:c r="V807" t="str">
        <x:f>IF(AND(OR(M807="",M807=B807),OR(N807="",N807=B807),OR(O807="",O807=B807)),"通过","不一致")</x:f>
        <x:v>通过</x:v>
      </x:c>
    </x:row>
    <x:row r="808" ht="22" customHeight="1">
      <x:c r="A808" s="289" t="n">
        <x:v>807</x:v>
      </x:c>
      <x:c r="B808" s="289" t="n">
        <x:v>6827</x:v>
      </x:c>
      <x:c r="C808" s="290" t="str">
        <x:v>星渊龙息·渊辉</x:v>
      </x:c>
      <x:c r="D808" s="290" t="str">
        <x:v>星渊龙息</x:v>
      </x:c>
      <x:c r="E808" s="290" t="n">
        <x:v>3</x:v>
      </x:c>
      <x:c r="F808" s="290" t="str">
        <x:v>鞋子</x:v>
      </x:c>
      <x:c r="G808" s="289" t="n">
        <x:v>62</x:v>
      </x:c>
      <x:c r="H808" s="289" t="n">
        <x:v>11</x:v>
      </x:c>
      <x:c r="I808" s="289" t="n">
        <x:v>6827</x:v>
      </x:c>
      <x:c r="J808" s="289" t="n">
        <x:v>0</x:v>
      </x:c>
      <x:c r="K808" s="289" t="n">
        <x:v>0</x:v>
      </x:c>
      <x:c r="L808" s="289" t="n">
        <x:v>0</x:v>
      </x:c>
      <x:c r="M808" s="289" t="n">
        <x:v>6827</x:v>
      </x:c>
      <x:c r="N808" s="289" t="n">
        <x:v>6827</x:v>
      </x:c>
      <x:c r="O808" s="289" t="n">
        <x:v>6827</x:v>
      </x:c>
      <x:c r="P808" s="292"/>
      <x:c r="Q808" s="292" t="str">
        <x:v>candidate-preflight-passed</x:v>
      </x:c>
      <x:c r="R808" s="324" t="str">
        <x:v>C3-C10规划锁定：封门泥履</x:v>
      </x:c>
      <x:c r="S808" s="292" t="str">
        <x:v>玄渊二十套全装备代码总表.xlsx</x:v>
      </x:c>
      <x:c r="T808" s="292" t="str">
        <x:v>玄渊20套全装备视觉候选；Items/StateItem/DnItems三库同码；属性待策划填写</x:v>
      </x:c>
      <x:c r="U808" t="str">
        <x:f>IF(COUNTIF($B$2:$B$1076,B808)&gt;1,"重复","")</x:f>
      </x:c>
      <x:c r="V808" t="str">
        <x:f>IF(AND(OR(M808="",M808=B808),OR(N808="",N808=B808),OR(O808="",O808=B808)),"通过","不一致")</x:f>
        <x:v>通过</x:v>
      </x:c>
    </x:row>
    <x:row r="809" ht="22" customHeight="1">
      <x:c r="A809" s="289" t="n">
        <x:v>808</x:v>
      </x:c>
      <x:c r="B809" s="289" t="n">
        <x:v>6828</x:v>
      </x:c>
      <x:c r="C809" s="290" t="str">
        <x:v>星渊龙息·渊辉</x:v>
      </x:c>
      <x:c r="D809" s="290" t="str">
        <x:v>星渊龙息</x:v>
      </x:c>
      <x:c r="E809" s="290" t="n">
        <x:v>3</x:v>
      </x:c>
      <x:c r="F809" s="290" t="str">
        <x:v>腰带</x:v>
      </x:c>
      <x:c r="G809" s="289" t="n">
        <x:v>64</x:v>
      </x:c>
      <x:c r="H809" s="289" t="n">
        <x:v>10</x:v>
      </x:c>
      <x:c r="I809" s="289" t="n">
        <x:v>6828</x:v>
      </x:c>
      <x:c r="J809" s="289" t="n">
        <x:v>0</x:v>
      </x:c>
      <x:c r="K809" s="289" t="n">
        <x:v>0</x:v>
      </x:c>
      <x:c r="L809" s="289" t="n">
        <x:v>0</x:v>
      </x:c>
      <x:c r="M809" s="289" t="n">
        <x:v>6828</x:v>
      </x:c>
      <x:c r="N809" s="289" t="n">
        <x:v>6828</x:v>
      </x:c>
      <x:c r="O809" s="289" t="n">
        <x:v>6828</x:v>
      </x:c>
      <x:c r="P809" s="292"/>
      <x:c r="Q809" s="292" t="str">
        <x:v>candidate-preflight-passed</x:v>
      </x:c>
      <x:c r="R809" s="324" t="str">
        <x:v>C3-C10规划锁定：辉壳束腰</x:v>
      </x:c>
      <x:c r="S809" s="292" t="str">
        <x:v>玄渊二十套全装备代码总表.xlsx</x:v>
      </x:c>
      <x:c r="T809" s="292" t="str">
        <x:v>玄渊20套全装备视觉候选；Items/StateItem/DnItems三库同码；属性待策划填写</x:v>
      </x:c>
      <x:c r="U809" t="str">
        <x:f>IF(COUNTIF($B$2:$B$1076,B809)&gt;1,"重复","")</x:f>
      </x:c>
      <x:c r="V809" t="str">
        <x:f>IF(AND(OR(M809="",M809=B809),OR(N809="",N809=B809),OR(O809="",O809=B809)),"通过","不一致")</x:f>
        <x:v>通过</x:v>
      </x:c>
    </x:row>
    <x:row r="810" ht="22" customHeight="1">
      <x:c r="A810" s="289" t="n">
        <x:v>809</x:v>
      </x:c>
      <x:c r="B810" s="289" t="n">
        <x:v>6829</x:v>
      </x:c>
      <x:c r="C810" s="290" t="str">
        <x:v>星渊龙息·渊辉</x:v>
      </x:c>
      <x:c r="D810" s="290" t="str">
        <x:v>星渊龙息</x:v>
      </x:c>
      <x:c r="E810" s="290" t="n">
        <x:v>3</x:v>
      </x:c>
      <x:c r="F810" s="290" t="str">
        <x:v>护身符</x:v>
      </x:c>
      <x:c r="G810" s="289" t="n">
        <x:v>25</x:v>
      </x:c>
      <x:c r="H810" s="289" t="n">
        <x:v>9</x:v>
      </x:c>
      <x:c r="I810" s="289" t="n">
        <x:v>6829</x:v>
      </x:c>
      <x:c r="J810" s="289" t="n">
        <x:v>0</x:v>
      </x:c>
      <x:c r="K810" s="289" t="n">
        <x:v>0</x:v>
      </x:c>
      <x:c r="L810" s="289" t="n">
        <x:v>0</x:v>
      </x:c>
      <x:c r="M810" s="289" t="n">
        <x:v>6829</x:v>
      </x:c>
      <x:c r="N810" s="289" t="n">
        <x:v>6829</x:v>
      </x:c>
      <x:c r="O810" s="289" t="n">
        <x:v>6829</x:v>
      </x:c>
      <x:c r="P810" s="292"/>
      <x:c r="Q810" s="292" t="str">
        <x:v>candidate-preflight-passed</x:v>
      </x:c>
      <x:c r="R810" s="292" t="str"/>
      <x:c r="S810" s="292" t="str">
        <x:v>玄渊二十套全装备代码总表.xlsx</x:v>
      </x:c>
      <x:c r="T810" s="292" t="str">
        <x:v>玄渊20套全装备视觉候选；Items/StateItem/DnItems三库同码；属性待策划填写</x:v>
      </x:c>
      <x:c r="U810" t="str">
        <x:f>IF(COUNTIF($B$2:$B$1076,B810)&gt;1,"重复","")</x:f>
      </x:c>
      <x:c r="V810" t="str">
        <x:f>IF(AND(OR(M810="",M810=B810),OR(N810="",N810=B810),OR(O810="",O810=B810)),"通过","不一致")</x:f>
        <x:v>通过</x:v>
      </x:c>
    </x:row>
    <x:row r="811" ht="22" customHeight="1">
      <x:c r="A811" s="289" t="n">
        <x:v>810</x:v>
      </x:c>
      <x:c r="B811" s="289" t="n">
        <x:v>6830</x:v>
      </x:c>
      <x:c r="C811" s="290" t="str">
        <x:v>星渊龙息·渊辉</x:v>
      </x:c>
      <x:c r="D811" s="290" t="str">
        <x:v>星渊龙息</x:v>
      </x:c>
      <x:c r="E811" s="290" t="n">
        <x:v>3</x:v>
      </x:c>
      <x:c r="F811" s="290" t="str">
        <x:v>宝石</x:v>
      </x:c>
      <x:c r="G811" s="289" t="n">
        <x:v>63</x:v>
      </x:c>
      <x:c r="H811" s="289" t="n">
        <x:v>12</x:v>
      </x:c>
      <x:c r="I811" s="289" t="n">
        <x:v>6830</x:v>
      </x:c>
      <x:c r="J811" s="289" t="n">
        <x:v>0</x:v>
      </x:c>
      <x:c r="K811" s="289" t="n">
        <x:v>0</x:v>
      </x:c>
      <x:c r="L811" s="289" t="n">
        <x:v>0</x:v>
      </x:c>
      <x:c r="M811" s="289" t="n">
        <x:v>6830</x:v>
      </x:c>
      <x:c r="N811" s="289" t="n">
        <x:v>6830</x:v>
      </x:c>
      <x:c r="O811" s="289" t="n">
        <x:v>6830</x:v>
      </x:c>
      <x:c r="P811" s="292"/>
      <x:c r="Q811" s="292" t="str">
        <x:v>candidate-preflight-passed</x:v>
      </x:c>
      <x:c r="R811" s="292" t="str"/>
      <x:c r="S811" s="292" t="str">
        <x:v>玄渊二十套全装备代码总表.xlsx</x:v>
      </x:c>
      <x:c r="T811" s="292" t="str">
        <x:v>玄渊20套全装备视觉候选；Items/StateItem/DnItems三库同码；属性待策划填写</x:v>
      </x:c>
      <x:c r="U811" t="str">
        <x:f>IF(COUNTIF($B$2:$B$1076,B811)&gt;1,"重复","")</x:f>
      </x:c>
      <x:c r="V811" t="str">
        <x:f>IF(AND(OR(M811="",M811=B811),OR(N811="",N811=B811),OR(O811="",O811=B811)),"通过","不一致")</x:f>
        <x:v>通过</x:v>
      </x:c>
    </x:row>
    <x:row r="812" ht="22" customHeight="1">
      <x:c r="A812" s="289" t="n">
        <x:v>811</x:v>
      </x:c>
      <x:c r="B812" s="289" t="n">
        <x:v>6831</x:v>
      </x:c>
      <x:c r="C812" s="290" t="str">
        <x:v>星渊龙息·渊辉</x:v>
      </x:c>
      <x:c r="D812" s="290" t="str">
        <x:v>星渊龙息</x:v>
      </x:c>
      <x:c r="E812" s="290" t="n">
        <x:v>3</x:v>
      </x:c>
      <x:c r="F812" s="290" t="str">
        <x:v>军鼓</x:v>
      </x:c>
      <x:c r="G812" s="289" t="n">
        <x:v>65</x:v>
      </x:c>
      <x:c r="H812" s="289" t="n">
        <x:v>14</x:v>
      </x:c>
      <x:c r="I812" s="289" t="n">
        <x:v>6831</x:v>
      </x:c>
      <x:c r="J812" s="289" t="n">
        <x:v>0</x:v>
      </x:c>
      <x:c r="K812" s="289" t="n">
        <x:v>0</x:v>
      </x:c>
      <x:c r="L812" s="289" t="n">
        <x:v>0</x:v>
      </x:c>
      <x:c r="M812" s="289" t="n">
        <x:v>6831</x:v>
      </x:c>
      <x:c r="N812" s="289" t="n">
        <x:v>6831</x:v>
      </x:c>
      <x:c r="O812" s="289" t="n">
        <x:v>6831</x:v>
      </x:c>
      <x:c r="P812" s="292"/>
      <x:c r="Q812" s="292" t="str">
        <x:v>candidate-preflight-passed</x:v>
      </x:c>
      <x:c r="R812" s="292" t="str"/>
      <x:c r="S812" s="292" t="str">
        <x:v>玄渊二十套全装备代码总表.xlsx</x:v>
      </x:c>
      <x:c r="T812" s="292" t="str">
        <x:v>玄渊20套全装备视觉候选；Items/StateItem/DnItems三库同码；属性待策划填写</x:v>
      </x:c>
      <x:c r="U812" t="str">
        <x:f>IF(COUNTIF($B$2:$B$1076,B812)&gt;1,"重复","")</x:f>
      </x:c>
      <x:c r="V812" t="str">
        <x:f>IF(AND(OR(M812="",M812=B812),OR(N812="",N812=B812),OR(O812="",O812=B812)),"通过","不一致")</x:f>
        <x:v>通过</x:v>
      </x:c>
    </x:row>
    <x:row r="813" ht="22" customHeight="1">
      <x:c r="A813" s="289" t="n">
        <x:v>812</x:v>
      </x:c>
      <x:c r="B813" s="289" t="n">
        <x:v>6832</x:v>
      </x:c>
      <x:c r="C813" s="290" t="str">
        <x:v>星渊龙息·渊辉</x:v>
      </x:c>
      <x:c r="D813" s="290" t="str">
        <x:v>星渊龙息</x:v>
      </x:c>
      <x:c r="E813" s="290" t="n">
        <x:v>3</x:v>
      </x:c>
      <x:c r="F813" s="290" t="str">
        <x:v>马牌</x:v>
      </x:c>
      <x:c r="G813" s="289" t="n">
        <x:v>28</x:v>
      </x:c>
      <x:c r="H813" s="289" t="n">
        <x:v>15</x:v>
      </x:c>
      <x:c r="I813" s="289" t="n">
        <x:v>6832</x:v>
      </x:c>
      <x:c r="J813" s="289" t="n">
        <x:v>0</x:v>
      </x:c>
      <x:c r="K813" s="289" t="n">
        <x:v>0</x:v>
      </x:c>
      <x:c r="L813" s="289" t="n">
        <x:v>0</x:v>
      </x:c>
      <x:c r="M813" s="289" t="n">
        <x:v>6832</x:v>
      </x:c>
      <x:c r="N813" s="289" t="n">
        <x:v>6832</x:v>
      </x:c>
      <x:c r="O813" s="289" t="n">
        <x:v>6832</x:v>
      </x:c>
      <x:c r="P813" s="292"/>
      <x:c r="Q813" s="292" t="str">
        <x:v>candidate-preflight-passed</x:v>
      </x:c>
      <x:c r="R813" s="292" t="str"/>
      <x:c r="S813" s="292" t="str">
        <x:v>玄渊二十套全装备代码总表.xlsx</x:v>
      </x:c>
      <x:c r="T813" s="292" t="str">
        <x:v>玄渊20套全装备视觉候选；Items/StateItem/DnItems三库同码；属性待策划填写</x:v>
      </x:c>
      <x:c r="U813" t="str">
        <x:f>IF(COUNTIF($B$2:$B$1076,B813)&gt;1,"重复","")</x:f>
      </x:c>
      <x:c r="V813" t="str">
        <x:f>IF(AND(OR(M813="",M813=B813),OR(N813="",N813=B813),OR(O813="",O813=B813)),"通过","不一致")</x:f>
        <x:v>通过</x:v>
      </x:c>
    </x:row>
    <x:row r="814" ht="22" customHeight="1">
      <x:c r="A814" s="289" t="n">
        <x:v>813</x:v>
      </x:c>
      <x:c r="B814" s="289" t="n">
        <x:v>6833</x:v>
      </x:c>
      <x:c r="C814" s="290" t="str">
        <x:v>星渊龙息·渊辉</x:v>
      </x:c>
      <x:c r="D814" s="290" t="str">
        <x:v>星渊龙息</x:v>
      </x:c>
      <x:c r="E814" s="290" t="n">
        <x:v>3</x:v>
      </x:c>
      <x:c r="F814" s="290" t="str">
        <x:v>首饰盒1</x:v>
      </x:c>
      <x:c r="G814" s="289" t="n">
        <x:v>22</x:v>
      </x:c>
      <x:c r="H814" s="289" t="n">
        <x:v>30</x:v>
      </x:c>
      <x:c r="I814" s="289" t="n">
        <x:v>6833</x:v>
      </x:c>
      <x:c r="J814" s="289" t="n">
        <x:v>0</x:v>
      </x:c>
      <x:c r="K814" s="289" t="n">
        <x:v>2</x:v>
      </x:c>
      <x:c r="L814" s="289" t="n">
        <x:v>1</x:v>
      </x:c>
      <x:c r="M814" s="289" t="n">
        <x:v>6833</x:v>
      </x:c>
      <x:c r="N814" s="289" t="n">
        <x:v>6833</x:v>
      </x:c>
      <x:c r="O814" s="289" t="n">
        <x:v>6833</x:v>
      </x:c>
      <x:c r="P814" s="292"/>
      <x:c r="Q814" s="292" t="str">
        <x:v>candidate-preflight-passed</x:v>
      </x:c>
      <x:c r="R814" s="292" t="str"/>
      <x:c r="S814" s="292" t="str">
        <x:v>玄渊二十套全装备代码总表.xlsx</x:v>
      </x:c>
      <x:c r="T814" s="292" t="str">
        <x:v>玄渊20套全装备视觉候选；Items/StateItem/DnItems三库同码；属性待策划填写；OverLap=2; Expand1=1</x:v>
      </x:c>
      <x:c r="U814" t="str">
        <x:f>IF(COUNTIF($B$2:$B$1076,B814)&gt;1,"重复","")</x:f>
      </x:c>
      <x:c r="V814" t="str">
        <x:f>IF(AND(OR(M814="",M814=B814),OR(N814="",N814=B814),OR(O814="",O814=B814)),"通过","不一致")</x:f>
        <x:v>通过</x:v>
      </x:c>
    </x:row>
    <x:row r="815" ht="22" customHeight="1">
      <x:c r="A815" s="289" t="n">
        <x:v>814</x:v>
      </x:c>
      <x:c r="B815" s="289" t="n">
        <x:v>6834</x:v>
      </x:c>
      <x:c r="C815" s="290" t="str">
        <x:v>星渊龙息·渊辉</x:v>
      </x:c>
      <x:c r="D815" s="290" t="str">
        <x:v>星渊龙息</x:v>
      </x:c>
      <x:c r="E815" s="290" t="n">
        <x:v>3</x:v>
      </x:c>
      <x:c r="F815" s="290" t="str">
        <x:v>首饰盒2</x:v>
      </x:c>
      <x:c r="G815" s="289" t="n">
        <x:v>22</x:v>
      </x:c>
      <x:c r="H815" s="289" t="n">
        <x:v>31</x:v>
      </x:c>
      <x:c r="I815" s="289" t="n">
        <x:v>6834</x:v>
      </x:c>
      <x:c r="J815" s="289" t="n">
        <x:v>0</x:v>
      </x:c>
      <x:c r="K815" s="289" t="n">
        <x:v>2</x:v>
      </x:c>
      <x:c r="L815" s="289" t="n">
        <x:v>2</x:v>
      </x:c>
      <x:c r="M815" s="289" t="n">
        <x:v>6834</x:v>
      </x:c>
      <x:c r="N815" s="289" t="n">
        <x:v>6834</x:v>
      </x:c>
      <x:c r="O815" s="289" t="n">
        <x:v>6834</x:v>
      </x:c>
      <x:c r="P815" s="292"/>
      <x:c r="Q815" s="292" t="str">
        <x:v>candidate-preflight-passed</x:v>
      </x:c>
      <x:c r="R815" s="292" t="str"/>
      <x:c r="S815" s="292" t="str">
        <x:v>玄渊二十套全装备代码总表.xlsx</x:v>
      </x:c>
      <x:c r="T815" s="292" t="str">
        <x:v>玄渊20套全装备视觉候选；Items/StateItem/DnItems三库同码；属性待策划填写；OverLap=2; Expand1=2</x:v>
      </x:c>
      <x:c r="U815" t="str">
        <x:f>IF(COUNTIF($B$2:$B$1076,B815)&gt;1,"重复","")</x:f>
      </x:c>
      <x:c r="V815" t="str">
        <x:f>IF(AND(OR(M815="",M815=B815),OR(N815="",N815=B815),OR(O815="",O815=B815)),"通过","不一致")</x:f>
        <x:v>通过</x:v>
      </x:c>
    </x:row>
    <x:row r="816" ht="22" customHeight="1">
      <x:c r="A816" s="289" t="n">
        <x:v>815</x:v>
      </x:c>
      <x:c r="B816" s="289" t="n">
        <x:v>6835</x:v>
      </x:c>
      <x:c r="C816" s="290" t="str">
        <x:v>星渊龙息·渊辉</x:v>
      </x:c>
      <x:c r="D816" s="290" t="str">
        <x:v>星渊龙息</x:v>
      </x:c>
      <x:c r="E816" s="290" t="n">
        <x:v>3</x:v>
      </x:c>
      <x:c r="F816" s="290" t="str">
        <x:v>首饰盒3</x:v>
      </x:c>
      <x:c r="G816" s="289" t="n">
        <x:v>22</x:v>
      </x:c>
      <x:c r="H816" s="289" t="n">
        <x:v>32</x:v>
      </x:c>
      <x:c r="I816" s="289" t="n">
        <x:v>6835</x:v>
      </x:c>
      <x:c r="J816" s="289" t="n">
        <x:v>0</x:v>
      </x:c>
      <x:c r="K816" s="289" t="n">
        <x:v>2</x:v>
      </x:c>
      <x:c r="L816" s="289" t="n">
        <x:v>3</x:v>
      </x:c>
      <x:c r="M816" s="289" t="n">
        <x:v>6835</x:v>
      </x:c>
      <x:c r="N816" s="289" t="n">
        <x:v>6835</x:v>
      </x:c>
      <x:c r="O816" s="289" t="n">
        <x:v>6835</x:v>
      </x:c>
      <x:c r="P816" s="292"/>
      <x:c r="Q816" s="292" t="str">
        <x:v>candidate-preflight-passed</x:v>
      </x:c>
      <x:c r="R816" s="292" t="str"/>
      <x:c r="S816" s="292" t="str">
        <x:v>玄渊二十套全装备代码总表.xlsx</x:v>
      </x:c>
      <x:c r="T816" s="292" t="str">
        <x:v>玄渊20套全装备视觉候选；Items/StateItem/DnItems三库同码；属性待策划填写；OverLap=2; Expand1=3</x:v>
      </x:c>
      <x:c r="U816" t="str">
        <x:f>IF(COUNTIF($B$2:$B$1076,B816)&gt;1,"重复","")</x:f>
      </x:c>
      <x:c r="V816" t="str">
        <x:f>IF(AND(OR(M816="",M816=B816),OR(N816="",N816=B816),OR(O816="",O816=B816)),"通过","不一致")</x:f>
        <x:v>通过</x:v>
      </x:c>
    </x:row>
    <x:row r="817" ht="22" customHeight="1">
      <x:c r="A817" s="289" t="n">
        <x:v>816</x:v>
      </x:c>
      <x:c r="B817" s="289" t="n">
        <x:v>6836</x:v>
      </x:c>
      <x:c r="C817" s="290" t="str">
        <x:v>星渊龙息·渊辉</x:v>
      </x:c>
      <x:c r="D817" s="290" t="str">
        <x:v>星渊龙息</x:v>
      </x:c>
      <x:c r="E817" s="290" t="n">
        <x:v>3</x:v>
      </x:c>
      <x:c r="F817" s="290" t="str">
        <x:v>首饰盒4</x:v>
      </x:c>
      <x:c r="G817" s="289" t="n">
        <x:v>22</x:v>
      </x:c>
      <x:c r="H817" s="289" t="n">
        <x:v>33</x:v>
      </x:c>
      <x:c r="I817" s="289" t="n">
        <x:v>6836</x:v>
      </x:c>
      <x:c r="J817" s="289" t="n">
        <x:v>0</x:v>
      </x:c>
      <x:c r="K817" s="289" t="n">
        <x:v>2</x:v>
      </x:c>
      <x:c r="L817" s="289" t="n">
        <x:v>4</x:v>
      </x:c>
      <x:c r="M817" s="289" t="n">
        <x:v>6836</x:v>
      </x:c>
      <x:c r="N817" s="289" t="n">
        <x:v>6836</x:v>
      </x:c>
      <x:c r="O817" s="289" t="n">
        <x:v>6836</x:v>
      </x:c>
      <x:c r="P817" s="292"/>
      <x:c r="Q817" s="292" t="str">
        <x:v>candidate-preflight-passed</x:v>
      </x:c>
      <x:c r="R817" s="292" t="str"/>
      <x:c r="S817" s="292" t="str">
        <x:v>玄渊二十套全装备代码总表.xlsx</x:v>
      </x:c>
      <x:c r="T817" s="292" t="str">
        <x:v>玄渊20套全装备视觉候选；Items/StateItem/DnItems三库同码；属性待策划填写；OverLap=2; Expand1=4</x:v>
      </x:c>
      <x:c r="U817" t="str">
        <x:f>IF(COUNTIF($B$2:$B$1076,B817)&gt;1,"重复","")</x:f>
      </x:c>
      <x:c r="V817" t="str">
        <x:f>IF(AND(OR(M817="",M817=B817),OR(N817="",N817=B817),OR(O817="",O817=B817)),"通过","不一致")</x:f>
        <x:v>通过</x:v>
      </x:c>
    </x:row>
    <x:row r="818" ht="22" customHeight="1">
      <x:c r="A818" s="289" t="n">
        <x:v>817</x:v>
      </x:c>
      <x:c r="B818" s="289" t="n">
        <x:v>6837</x:v>
      </x:c>
      <x:c r="C818" s="290" t="str">
        <x:v>星渊龙息·渊辉</x:v>
      </x:c>
      <x:c r="D818" s="290" t="str">
        <x:v>星渊龙息</x:v>
      </x:c>
      <x:c r="E818" s="290" t="n">
        <x:v>3</x:v>
      </x:c>
      <x:c r="F818" s="290" t="str">
        <x:v>首饰盒5</x:v>
      </x:c>
      <x:c r="G818" s="289" t="n">
        <x:v>22</x:v>
      </x:c>
      <x:c r="H818" s="289" t="n">
        <x:v>34</x:v>
      </x:c>
      <x:c r="I818" s="289" t="n">
        <x:v>6837</x:v>
      </x:c>
      <x:c r="J818" s="289" t="n">
        <x:v>0</x:v>
      </x:c>
      <x:c r="K818" s="289" t="n">
        <x:v>2</x:v>
      </x:c>
      <x:c r="L818" s="289" t="n">
        <x:v>5</x:v>
      </x:c>
      <x:c r="M818" s="289" t="n">
        <x:v>6837</x:v>
      </x:c>
      <x:c r="N818" s="289" t="n">
        <x:v>6837</x:v>
      </x:c>
      <x:c r="O818" s="289" t="n">
        <x:v>6837</x:v>
      </x:c>
      <x:c r="P818" s="292"/>
      <x:c r="Q818" s="292" t="str">
        <x:v>candidate-preflight-passed</x:v>
      </x:c>
      <x:c r="R818" s="292" t="str"/>
      <x:c r="S818" s="292" t="str">
        <x:v>玄渊二十套全装备代码总表.xlsx</x:v>
      </x:c>
      <x:c r="T818" s="292" t="str">
        <x:v>玄渊20套全装备视觉候选；Items/StateItem/DnItems三库同码；属性待策划填写；OverLap=2; Expand1=5</x:v>
      </x:c>
      <x:c r="U818" t="str">
        <x:f>IF(COUNTIF($B$2:$B$1076,B818)&gt;1,"重复","")</x:f>
      </x:c>
      <x:c r="V818" t="str">
        <x:f>IF(AND(OR(M818="",M818=B818),OR(N818="",N818=B818),OR(O818="",O818=B818)),"通过","不一致")</x:f>
        <x:v>通过</x:v>
      </x:c>
    </x:row>
    <x:row r="819" ht="22" customHeight="1">
      <x:c r="A819" s="289" t="n">
        <x:v>818</x:v>
      </x:c>
      <x:c r="B819" s="289" t="n">
        <x:v>6838</x:v>
      </x:c>
      <x:c r="C819" s="290" t="str">
        <x:v>星渊龙息·渊辉</x:v>
      </x:c>
      <x:c r="D819" s="290" t="str">
        <x:v>星渊龙息</x:v>
      </x:c>
      <x:c r="E819" s="290" t="n">
        <x:v>3</x:v>
      </x:c>
      <x:c r="F819" s="290" t="str">
        <x:v>首饰盒6</x:v>
      </x:c>
      <x:c r="G819" s="289" t="n">
        <x:v>22</x:v>
      </x:c>
      <x:c r="H819" s="289" t="n">
        <x:v>35</x:v>
      </x:c>
      <x:c r="I819" s="289" t="n">
        <x:v>6838</x:v>
      </x:c>
      <x:c r="J819" s="289" t="n">
        <x:v>0</x:v>
      </x:c>
      <x:c r="K819" s="289" t="n">
        <x:v>2</x:v>
      </x:c>
      <x:c r="L819" s="289" t="n">
        <x:v>6</x:v>
      </x:c>
      <x:c r="M819" s="289" t="n">
        <x:v>6838</x:v>
      </x:c>
      <x:c r="N819" s="289" t="n">
        <x:v>6838</x:v>
      </x:c>
      <x:c r="O819" s="289" t="n">
        <x:v>6838</x:v>
      </x:c>
      <x:c r="P819" s="292"/>
      <x:c r="Q819" s="292" t="str">
        <x:v>candidate-preflight-passed</x:v>
      </x:c>
      <x:c r="R819" s="292" t="str"/>
      <x:c r="S819" s="292" t="str">
        <x:v>玄渊二十套全装备代码总表.xlsx</x:v>
      </x:c>
      <x:c r="T819" s="292" t="str">
        <x:v>玄渊20套全装备视觉候选；Items/StateItem/DnItems三库同码；属性待策划填写；OverLap=2; Expand1=6</x:v>
      </x:c>
      <x:c r="U819" t="str">
        <x:f>IF(COUNTIF($B$2:$B$1076,B819)&gt;1,"重复","")</x:f>
      </x:c>
      <x:c r="V819" t="str">
        <x:f>IF(AND(OR(M819="",M819=B819),OR(N819="",N819=B819),OR(O819="",O819=B819)),"通过","不一致")</x:f>
        <x:v>通过</x:v>
      </x:c>
    </x:row>
    <x:row r="820" ht="22" customHeight="1">
      <x:c r="A820" s="289" t="n">
        <x:v>819</x:v>
      </x:c>
      <x:c r="B820" s="289" t="n">
        <x:v>6839</x:v>
      </x:c>
      <x:c r="C820" s="290" t="str">
        <x:v>星渊龙息·渊辉</x:v>
      </x:c>
      <x:c r="D820" s="290" t="str">
        <x:v>星渊龙息</x:v>
      </x:c>
      <x:c r="E820" s="290" t="n">
        <x:v>3</x:v>
      </x:c>
      <x:c r="F820" s="290" t="str">
        <x:v>生肖1</x:v>
      </x:c>
      <x:c r="G820" s="289" t="n">
        <x:v>22</x:v>
      </x:c>
      <x:c r="H820" s="289" t="n">
        <x:v>40</x:v>
      </x:c>
      <x:c r="I820" s="289" t="n">
        <x:v>6839</x:v>
      </x:c>
      <x:c r="J820" s="289" t="n">
        <x:v>0</x:v>
      </x:c>
      <x:c r="K820" s="289" t="n">
        <x:v>4</x:v>
      </x:c>
      <x:c r="L820" s="289" t="n">
        <x:v>1</x:v>
      </x:c>
      <x:c r="M820" s="289" t="n">
        <x:v>6839</x:v>
      </x:c>
      <x:c r="N820" s="289" t="n">
        <x:v>6839</x:v>
      </x:c>
      <x:c r="O820" s="289" t="n">
        <x:v>6839</x:v>
      </x:c>
      <x:c r="P820" s="292"/>
      <x:c r="Q820" s="292" t="str">
        <x:v>candidate-preflight-passed</x:v>
      </x:c>
      <x:c r="R820" s="292" t="str"/>
      <x:c r="S820" s="292" t="str">
        <x:v>玄渊二十套全装备代码总表.xlsx</x:v>
      </x:c>
      <x:c r="T820" s="292" t="str">
        <x:v>玄渊20套全装备视觉候选；Items/StateItem/DnItems三库同码；属性待策划填写；OverLap=4; Expand1=1</x:v>
      </x:c>
      <x:c r="U820" t="str">
        <x:f>IF(COUNTIF($B$2:$B$1076,B820)&gt;1,"重复","")</x:f>
      </x:c>
      <x:c r="V820" t="str">
        <x:f>IF(AND(OR(M820="",M820=B820),OR(N820="",N820=B820),OR(O820="",O820=B820)),"通过","不一致")</x:f>
        <x:v>通过</x:v>
      </x:c>
    </x:row>
    <x:row r="821" ht="22" customHeight="1">
      <x:c r="A821" s="289" t="n">
        <x:v>820</x:v>
      </x:c>
      <x:c r="B821" s="289" t="n">
        <x:v>6840</x:v>
      </x:c>
      <x:c r="C821" s="290" t="str">
        <x:v>星渊龙息·渊辉</x:v>
      </x:c>
      <x:c r="D821" s="290" t="str">
        <x:v>星渊龙息</x:v>
      </x:c>
      <x:c r="E821" s="290" t="n">
        <x:v>3</x:v>
      </x:c>
      <x:c r="F821" s="290" t="str">
        <x:v>生肖2</x:v>
      </x:c>
      <x:c r="G821" s="289" t="n">
        <x:v>22</x:v>
      </x:c>
      <x:c r="H821" s="289" t="n">
        <x:v>41</x:v>
      </x:c>
      <x:c r="I821" s="289" t="n">
        <x:v>6840</x:v>
      </x:c>
      <x:c r="J821" s="289" t="n">
        <x:v>0</x:v>
      </x:c>
      <x:c r="K821" s="289" t="n">
        <x:v>4</x:v>
      </x:c>
      <x:c r="L821" s="289" t="n">
        <x:v>2</x:v>
      </x:c>
      <x:c r="M821" s="289" t="n">
        <x:v>6840</x:v>
      </x:c>
      <x:c r="N821" s="289" t="n">
        <x:v>6840</x:v>
      </x:c>
      <x:c r="O821" s="289" t="n">
        <x:v>6840</x:v>
      </x:c>
      <x:c r="P821" s="292"/>
      <x:c r="Q821" s="292" t="str">
        <x:v>candidate-preflight-passed</x:v>
      </x:c>
      <x:c r="R821" s="292" t="str"/>
      <x:c r="S821" s="292" t="str">
        <x:v>玄渊二十套全装备代码总表.xlsx</x:v>
      </x:c>
      <x:c r="T821" s="292" t="str">
        <x:v>玄渊20套全装备视觉候选；Items/StateItem/DnItems三库同码；属性待策划填写；OverLap=4; Expand1=2</x:v>
      </x:c>
      <x:c r="U821" t="str">
        <x:f>IF(COUNTIF($B$2:$B$1076,B821)&gt;1,"重复","")</x:f>
      </x:c>
      <x:c r="V821" t="str">
        <x:f>IF(AND(OR(M821="",M821=B821),OR(N821="",N821=B821),OR(O821="",O821=B821)),"通过","不一致")</x:f>
        <x:v>通过</x:v>
      </x:c>
    </x:row>
    <x:row r="822" ht="22" customHeight="1">
      <x:c r="A822" s="289" t="n">
        <x:v>821</x:v>
      </x:c>
      <x:c r="B822" s="289" t="n">
        <x:v>6841</x:v>
      </x:c>
      <x:c r="C822" s="290" t="str">
        <x:v>星渊龙息·渊辉</x:v>
      </x:c>
      <x:c r="D822" s="290" t="str">
        <x:v>星渊龙息</x:v>
      </x:c>
      <x:c r="E822" s="290" t="n">
        <x:v>3</x:v>
      </x:c>
      <x:c r="F822" s="290" t="str">
        <x:v>生肖3</x:v>
      </x:c>
      <x:c r="G822" s="289" t="n">
        <x:v>22</x:v>
      </x:c>
      <x:c r="H822" s="289" t="n">
        <x:v>42</x:v>
      </x:c>
      <x:c r="I822" s="289" t="n">
        <x:v>6841</x:v>
      </x:c>
      <x:c r="J822" s="289" t="n">
        <x:v>0</x:v>
      </x:c>
      <x:c r="K822" s="289" t="n">
        <x:v>4</x:v>
      </x:c>
      <x:c r="L822" s="289" t="n">
        <x:v>3</x:v>
      </x:c>
      <x:c r="M822" s="289" t="n">
        <x:v>6841</x:v>
      </x:c>
      <x:c r="N822" s="289" t="n">
        <x:v>6841</x:v>
      </x:c>
      <x:c r="O822" s="289" t="n">
        <x:v>6841</x:v>
      </x:c>
      <x:c r="P822" s="292"/>
      <x:c r="Q822" s="292" t="str">
        <x:v>candidate-preflight-passed</x:v>
      </x:c>
      <x:c r="R822" s="292" t="str"/>
      <x:c r="S822" s="292" t="str">
        <x:v>玄渊二十套全装备代码总表.xlsx</x:v>
      </x:c>
      <x:c r="T822" s="292" t="str">
        <x:v>玄渊20套全装备视觉候选；Items/StateItem/DnItems三库同码；属性待策划填写；OverLap=4; Expand1=3</x:v>
      </x:c>
      <x:c r="U822" t="str">
        <x:f>IF(COUNTIF($B$2:$B$1076,B822)&gt;1,"重复","")</x:f>
      </x:c>
      <x:c r="V822" t="str">
        <x:f>IF(AND(OR(M822="",M822=B822),OR(N822="",N822=B822),OR(O822="",O822=B822)),"通过","不一致")</x:f>
        <x:v>通过</x:v>
      </x:c>
    </x:row>
    <x:row r="823" ht="22" customHeight="1">
      <x:c r="A823" s="289" t="n">
        <x:v>822</x:v>
      </x:c>
      <x:c r="B823" s="289" t="n">
        <x:v>6842</x:v>
      </x:c>
      <x:c r="C823" s="290" t="str">
        <x:v>星渊龙息·渊辉</x:v>
      </x:c>
      <x:c r="D823" s="290" t="str">
        <x:v>星渊龙息</x:v>
      </x:c>
      <x:c r="E823" s="290" t="n">
        <x:v>3</x:v>
      </x:c>
      <x:c r="F823" s="290" t="str">
        <x:v>生肖4</x:v>
      </x:c>
      <x:c r="G823" s="289" t="n">
        <x:v>22</x:v>
      </x:c>
      <x:c r="H823" s="289" t="n">
        <x:v>43</x:v>
      </x:c>
      <x:c r="I823" s="289" t="n">
        <x:v>6842</x:v>
      </x:c>
      <x:c r="J823" s="289" t="n">
        <x:v>0</x:v>
      </x:c>
      <x:c r="K823" s="289" t="n">
        <x:v>4</x:v>
      </x:c>
      <x:c r="L823" s="289" t="n">
        <x:v>4</x:v>
      </x:c>
      <x:c r="M823" s="289" t="n">
        <x:v>6842</x:v>
      </x:c>
      <x:c r="N823" s="289" t="n">
        <x:v>6842</x:v>
      </x:c>
      <x:c r="O823" s="289" t="n">
        <x:v>6842</x:v>
      </x:c>
      <x:c r="P823" s="292"/>
      <x:c r="Q823" s="292" t="str">
        <x:v>candidate-preflight-passed</x:v>
      </x:c>
      <x:c r="R823" s="292" t="str"/>
      <x:c r="S823" s="292" t="str">
        <x:v>玄渊二十套全装备代码总表.xlsx</x:v>
      </x:c>
      <x:c r="T823" s="292" t="str">
        <x:v>玄渊20套全装备视觉候选；Items/StateItem/DnItems三库同码；属性待策划填写；OverLap=4; Expand1=4</x:v>
      </x:c>
      <x:c r="U823" t="str">
        <x:f>IF(COUNTIF($B$2:$B$1076,B823)&gt;1,"重复","")</x:f>
      </x:c>
      <x:c r="V823" t="str">
        <x:f>IF(AND(OR(M823="",M823=B823),OR(N823="",N823=B823),OR(O823="",O823=B823)),"通过","不一致")</x:f>
        <x:v>通过</x:v>
      </x:c>
    </x:row>
    <x:row r="824" ht="22" customHeight="1">
      <x:c r="A824" s="289" t="n">
        <x:v>823</x:v>
      </x:c>
      <x:c r="B824" s="289" t="n">
        <x:v>6843</x:v>
      </x:c>
      <x:c r="C824" s="290" t="str">
        <x:v>星渊龙息·渊辉</x:v>
      </x:c>
      <x:c r="D824" s="290" t="str">
        <x:v>星渊龙息</x:v>
      </x:c>
      <x:c r="E824" s="290" t="n">
        <x:v>3</x:v>
      </x:c>
      <x:c r="F824" s="290" t="str">
        <x:v>生肖5</x:v>
      </x:c>
      <x:c r="G824" s="289" t="n">
        <x:v>22</x:v>
      </x:c>
      <x:c r="H824" s="289" t="n">
        <x:v>44</x:v>
      </x:c>
      <x:c r="I824" s="289" t="n">
        <x:v>6843</x:v>
      </x:c>
      <x:c r="J824" s="289" t="n">
        <x:v>0</x:v>
      </x:c>
      <x:c r="K824" s="289" t="n">
        <x:v>4</x:v>
      </x:c>
      <x:c r="L824" s="289" t="n">
        <x:v>5</x:v>
      </x:c>
      <x:c r="M824" s="289" t="n">
        <x:v>6843</x:v>
      </x:c>
      <x:c r="N824" s="289" t="n">
        <x:v>6843</x:v>
      </x:c>
      <x:c r="O824" s="289" t="n">
        <x:v>6843</x:v>
      </x:c>
      <x:c r="P824" s="292"/>
      <x:c r="Q824" s="292" t="str">
        <x:v>candidate-preflight-passed</x:v>
      </x:c>
      <x:c r="R824" s="292" t="str"/>
      <x:c r="S824" s="292" t="str">
        <x:v>玄渊二十套全装备代码总表.xlsx</x:v>
      </x:c>
      <x:c r="T824" s="292" t="str">
        <x:v>玄渊20套全装备视觉候选；Items/StateItem/DnItems三库同码；属性待策划填写；OverLap=4; Expand1=5</x:v>
      </x:c>
      <x:c r="U824" t="str">
        <x:f>IF(COUNTIF($B$2:$B$1076,B824)&gt;1,"重复","")</x:f>
      </x:c>
      <x:c r="V824" t="str">
        <x:f>IF(AND(OR(M824="",M824=B824),OR(N824="",N824=B824),OR(O824="",O824=B824)),"通过","不一致")</x:f>
        <x:v>通过</x:v>
      </x:c>
    </x:row>
    <x:row r="825" ht="22" customHeight="1">
      <x:c r="A825" s="289" t="n">
        <x:v>824</x:v>
      </x:c>
      <x:c r="B825" s="289" t="n">
        <x:v>6844</x:v>
      </x:c>
      <x:c r="C825" s="290" t="str">
        <x:v>星渊龙息·渊辉</x:v>
      </x:c>
      <x:c r="D825" s="290" t="str">
        <x:v>星渊龙息</x:v>
      </x:c>
      <x:c r="E825" s="290" t="n">
        <x:v>3</x:v>
      </x:c>
      <x:c r="F825" s="290" t="str">
        <x:v>生肖6</x:v>
      </x:c>
      <x:c r="G825" s="289" t="n">
        <x:v>22</x:v>
      </x:c>
      <x:c r="H825" s="289" t="n">
        <x:v>45</x:v>
      </x:c>
      <x:c r="I825" s="289" t="n">
        <x:v>6844</x:v>
      </x:c>
      <x:c r="J825" s="289" t="n">
        <x:v>0</x:v>
      </x:c>
      <x:c r="K825" s="289" t="n">
        <x:v>4</x:v>
      </x:c>
      <x:c r="L825" s="289" t="n">
        <x:v>6</x:v>
      </x:c>
      <x:c r="M825" s="289" t="n">
        <x:v>6844</x:v>
      </x:c>
      <x:c r="N825" s="289" t="n">
        <x:v>6844</x:v>
      </x:c>
      <x:c r="O825" s="289" t="n">
        <x:v>6844</x:v>
      </x:c>
      <x:c r="P825" s="292"/>
      <x:c r="Q825" s="292" t="str">
        <x:v>candidate-preflight-passed</x:v>
      </x:c>
      <x:c r="R825" s="292" t="str"/>
      <x:c r="S825" s="292" t="str">
        <x:v>玄渊二十套全装备代码总表.xlsx</x:v>
      </x:c>
      <x:c r="T825" s="292" t="str">
        <x:v>玄渊20套全装备视觉候选；Items/StateItem/DnItems三库同码；属性待策划填写；OverLap=4; Expand1=6</x:v>
      </x:c>
      <x:c r="U825" t="str">
        <x:f>IF(COUNTIF($B$2:$B$1076,B825)&gt;1,"重复","")</x:f>
      </x:c>
      <x:c r="V825" t="str">
        <x:f>IF(AND(OR(M825="",M825=B825),OR(N825="",N825=B825),OR(O825="",O825=B825)),"通过","不一致")</x:f>
        <x:v>通过</x:v>
      </x:c>
    </x:row>
    <x:row r="826" ht="22" customHeight="1">
      <x:c r="A826" s="289" t="n">
        <x:v>825</x:v>
      </x:c>
      <x:c r="B826" s="289" t="n">
        <x:v>6845</x:v>
      </x:c>
      <x:c r="C826" s="290" t="str">
        <x:v>星渊龙息·渊辉</x:v>
      </x:c>
      <x:c r="D826" s="290" t="str">
        <x:v>星渊龙息</x:v>
      </x:c>
      <x:c r="E826" s="290" t="n">
        <x:v>3</x:v>
      </x:c>
      <x:c r="F826" s="290" t="str">
        <x:v>生肖7</x:v>
      </x:c>
      <x:c r="G826" s="289" t="n">
        <x:v>22</x:v>
      </x:c>
      <x:c r="H826" s="289" t="n">
        <x:v>46</x:v>
      </x:c>
      <x:c r="I826" s="289" t="n">
        <x:v>6845</x:v>
      </x:c>
      <x:c r="J826" s="289" t="n">
        <x:v>0</x:v>
      </x:c>
      <x:c r="K826" s="289" t="n">
        <x:v>4</x:v>
      </x:c>
      <x:c r="L826" s="289" t="n">
        <x:v>7</x:v>
      </x:c>
      <x:c r="M826" s="289" t="n">
        <x:v>6845</x:v>
      </x:c>
      <x:c r="N826" s="289" t="n">
        <x:v>6845</x:v>
      </x:c>
      <x:c r="O826" s="289" t="n">
        <x:v>6845</x:v>
      </x:c>
      <x:c r="P826" s="292"/>
      <x:c r="Q826" s="292" t="str">
        <x:v>candidate-preflight-passed</x:v>
      </x:c>
      <x:c r="R826" s="292" t="str"/>
      <x:c r="S826" s="292" t="str">
        <x:v>玄渊二十套全装备代码总表.xlsx</x:v>
      </x:c>
      <x:c r="T826" s="292" t="str">
        <x:v>玄渊20套全装备视觉候选；Items/StateItem/DnItems三库同码；属性待策划填写；OverLap=4; Expand1=7</x:v>
      </x:c>
      <x:c r="U826" t="str">
        <x:f>IF(COUNTIF($B$2:$B$1076,B826)&gt;1,"重复","")</x:f>
      </x:c>
      <x:c r="V826" t="str">
        <x:f>IF(AND(OR(M826="",M826=B826),OR(N826="",N826=B826),OR(O826="",O826=B826)),"通过","不一致")</x:f>
        <x:v>通过</x:v>
      </x:c>
    </x:row>
    <x:row r="827" ht="22" customHeight="1">
      <x:c r="A827" s="289" t="n">
        <x:v>826</x:v>
      </x:c>
      <x:c r="B827" s="289" t="n">
        <x:v>6846</x:v>
      </x:c>
      <x:c r="C827" s="290" t="str">
        <x:v>星渊龙息·渊辉</x:v>
      </x:c>
      <x:c r="D827" s="290" t="str">
        <x:v>星渊龙息</x:v>
      </x:c>
      <x:c r="E827" s="290" t="n">
        <x:v>3</x:v>
      </x:c>
      <x:c r="F827" s="290" t="str">
        <x:v>生肖8</x:v>
      </x:c>
      <x:c r="G827" s="289" t="n">
        <x:v>22</x:v>
      </x:c>
      <x:c r="H827" s="289" t="n">
        <x:v>47</x:v>
      </x:c>
      <x:c r="I827" s="289" t="n">
        <x:v>6846</x:v>
      </x:c>
      <x:c r="J827" s="289" t="n">
        <x:v>0</x:v>
      </x:c>
      <x:c r="K827" s="289" t="n">
        <x:v>4</x:v>
      </x:c>
      <x:c r="L827" s="289" t="n">
        <x:v>8</x:v>
      </x:c>
      <x:c r="M827" s="289" t="n">
        <x:v>6846</x:v>
      </x:c>
      <x:c r="N827" s="289" t="n">
        <x:v>6846</x:v>
      </x:c>
      <x:c r="O827" s="289" t="n">
        <x:v>6846</x:v>
      </x:c>
      <x:c r="P827" s="292"/>
      <x:c r="Q827" s="292" t="str">
        <x:v>candidate-preflight-passed</x:v>
      </x:c>
      <x:c r="R827" s="292" t="str"/>
      <x:c r="S827" s="292" t="str">
        <x:v>玄渊二十套全装备代码总表.xlsx</x:v>
      </x:c>
      <x:c r="T827" s="292" t="str">
        <x:v>玄渊20套全装备视觉候选；Items/StateItem/DnItems三库同码；属性待策划填写；OverLap=4; Expand1=8</x:v>
      </x:c>
      <x:c r="U827" t="str">
        <x:f>IF(COUNTIF($B$2:$B$1076,B827)&gt;1,"重复","")</x:f>
      </x:c>
      <x:c r="V827" t="str">
        <x:f>IF(AND(OR(M827="",M827=B827),OR(N827="",N827=B827),OR(O827="",O827=B827)),"通过","不一致")</x:f>
        <x:v>通过</x:v>
      </x:c>
    </x:row>
    <x:row r="828" ht="22" customHeight="1">
      <x:c r="A828" s="289" t="n">
        <x:v>827</x:v>
      </x:c>
      <x:c r="B828" s="289" t="n">
        <x:v>6847</x:v>
      </x:c>
      <x:c r="C828" s="290" t="str">
        <x:v>星渊龙息·渊辉</x:v>
      </x:c>
      <x:c r="D828" s="290" t="str">
        <x:v>星渊龙息</x:v>
      </x:c>
      <x:c r="E828" s="290" t="n">
        <x:v>3</x:v>
      </x:c>
      <x:c r="F828" s="290" t="str">
        <x:v>生肖9</x:v>
      </x:c>
      <x:c r="G828" s="289" t="n">
        <x:v>22</x:v>
      </x:c>
      <x:c r="H828" s="289" t="n">
        <x:v>48</x:v>
      </x:c>
      <x:c r="I828" s="289" t="n">
        <x:v>6847</x:v>
      </x:c>
      <x:c r="J828" s="289" t="n">
        <x:v>0</x:v>
      </x:c>
      <x:c r="K828" s="289" t="n">
        <x:v>4</x:v>
      </x:c>
      <x:c r="L828" s="289" t="n">
        <x:v>9</x:v>
      </x:c>
      <x:c r="M828" s="289" t="n">
        <x:v>6847</x:v>
      </x:c>
      <x:c r="N828" s="289" t="n">
        <x:v>6847</x:v>
      </x:c>
      <x:c r="O828" s="289" t="n">
        <x:v>6847</x:v>
      </x:c>
      <x:c r="P828" s="292"/>
      <x:c r="Q828" s="292" t="str">
        <x:v>candidate-preflight-passed</x:v>
      </x:c>
      <x:c r="R828" s="292" t="str"/>
      <x:c r="S828" s="292" t="str">
        <x:v>玄渊二十套全装备代码总表.xlsx</x:v>
      </x:c>
      <x:c r="T828" s="292" t="str">
        <x:v>玄渊20套全装备视觉候选；Items/StateItem/DnItems三库同码；属性待策划填写；OverLap=4; Expand1=9</x:v>
      </x:c>
      <x:c r="U828" t="str">
        <x:f>IF(COUNTIF($B$2:$B$1076,B828)&gt;1,"重复","")</x:f>
      </x:c>
      <x:c r="V828" t="str">
        <x:f>IF(AND(OR(M828="",M828=B828),OR(N828="",N828=B828),OR(O828="",O828=B828)),"通过","不一致")</x:f>
        <x:v>通过</x:v>
      </x:c>
    </x:row>
    <x:row r="829" ht="22" customHeight="1">
      <x:c r="A829" s="289" t="n">
        <x:v>828</x:v>
      </x:c>
      <x:c r="B829" s="289" t="n">
        <x:v>6848</x:v>
      </x:c>
      <x:c r="C829" s="290" t="str">
        <x:v>星渊龙息·渊辉</x:v>
      </x:c>
      <x:c r="D829" s="290" t="str">
        <x:v>星渊龙息</x:v>
      </x:c>
      <x:c r="E829" s="290" t="n">
        <x:v>3</x:v>
      </x:c>
      <x:c r="F829" s="290" t="str">
        <x:v>生肖10</x:v>
      </x:c>
      <x:c r="G829" s="289" t="n">
        <x:v>22</x:v>
      </x:c>
      <x:c r="H829" s="289" t="n">
        <x:v>49</x:v>
      </x:c>
      <x:c r="I829" s="289" t="n">
        <x:v>6848</x:v>
      </x:c>
      <x:c r="J829" s="289" t="n">
        <x:v>0</x:v>
      </x:c>
      <x:c r="K829" s="289" t="n">
        <x:v>4</x:v>
      </x:c>
      <x:c r="L829" s="289" t="n">
        <x:v>10</x:v>
      </x:c>
      <x:c r="M829" s="289" t="n">
        <x:v>6848</x:v>
      </x:c>
      <x:c r="N829" s="289" t="n">
        <x:v>6848</x:v>
      </x:c>
      <x:c r="O829" s="289" t="n">
        <x:v>6848</x:v>
      </x:c>
      <x:c r="P829" s="292"/>
      <x:c r="Q829" s="292" t="str">
        <x:v>candidate-preflight-passed</x:v>
      </x:c>
      <x:c r="R829" s="292" t="str"/>
      <x:c r="S829" s="292" t="str">
        <x:v>玄渊二十套全装备代码总表.xlsx</x:v>
      </x:c>
      <x:c r="T829" s="292" t="str">
        <x:v>玄渊20套全装备视觉候选；Items/StateItem/DnItems三库同码；属性待策划填写；OverLap=4; Expand1=10</x:v>
      </x:c>
      <x:c r="U829" t="str">
        <x:f>IF(COUNTIF($B$2:$B$1076,B829)&gt;1,"重复","")</x:f>
      </x:c>
      <x:c r="V829" t="str">
        <x:f>IF(AND(OR(M829="",M829=B829),OR(N829="",N829=B829),OR(O829="",O829=B829)),"通过","不一致")</x:f>
        <x:v>通过</x:v>
      </x:c>
    </x:row>
    <x:row r="830" ht="22" customHeight="1">
      <x:c r="A830" s="289" t="n">
        <x:v>829</x:v>
      </x:c>
      <x:c r="B830" s="289" t="n">
        <x:v>6849</x:v>
      </x:c>
      <x:c r="C830" s="290" t="str">
        <x:v>星渊龙息·渊辉</x:v>
      </x:c>
      <x:c r="D830" s="290" t="str">
        <x:v>星渊龙息</x:v>
      </x:c>
      <x:c r="E830" s="290" t="n">
        <x:v>3</x:v>
      </x:c>
      <x:c r="F830" s="290" t="str">
        <x:v>生肖11</x:v>
      </x:c>
      <x:c r="G830" s="289" t="n">
        <x:v>22</x:v>
      </x:c>
      <x:c r="H830" s="289" t="n">
        <x:v>50</x:v>
      </x:c>
      <x:c r="I830" s="289" t="n">
        <x:v>6849</x:v>
      </x:c>
      <x:c r="J830" s="289" t="n">
        <x:v>0</x:v>
      </x:c>
      <x:c r="K830" s="289" t="n">
        <x:v>4</x:v>
      </x:c>
      <x:c r="L830" s="289" t="n">
        <x:v>11</x:v>
      </x:c>
      <x:c r="M830" s="289" t="n">
        <x:v>6849</x:v>
      </x:c>
      <x:c r="N830" s="289" t="n">
        <x:v>6849</x:v>
      </x:c>
      <x:c r="O830" s="289" t="n">
        <x:v>6849</x:v>
      </x:c>
      <x:c r="P830" s="292"/>
      <x:c r="Q830" s="292" t="str">
        <x:v>candidate-preflight-passed</x:v>
      </x:c>
      <x:c r="R830" s="292" t="str"/>
      <x:c r="S830" s="292" t="str">
        <x:v>玄渊二十套全装备代码总表.xlsx</x:v>
      </x:c>
      <x:c r="T830" s="292" t="str">
        <x:v>玄渊20套全装备视觉候选；Items/StateItem/DnItems三库同码；属性待策划填写；OverLap=4; Expand1=11</x:v>
      </x:c>
      <x:c r="U830" t="str">
        <x:f>IF(COUNTIF($B$2:$B$1076,B830)&gt;1,"重复","")</x:f>
      </x:c>
      <x:c r="V830" t="str">
        <x:f>IF(AND(OR(M830="",M830=B830),OR(N830="",N830=B830),OR(O830="",O830=B830)),"通过","不一致")</x:f>
        <x:v>通过</x:v>
      </x:c>
    </x:row>
    <x:row r="831" ht="22" customHeight="1">
      <x:c r="A831" s="289" t="n">
        <x:v>830</x:v>
      </x:c>
      <x:c r="B831" s="289" t="n">
        <x:v>6850</x:v>
      </x:c>
      <x:c r="C831" s="290" t="str">
        <x:v>星渊龙息·渊辉</x:v>
      </x:c>
      <x:c r="D831" s="290" t="str">
        <x:v>星渊龙息</x:v>
      </x:c>
      <x:c r="E831" s="290" t="n">
        <x:v>3</x:v>
      </x:c>
      <x:c r="F831" s="290" t="str">
        <x:v>生肖12</x:v>
      </x:c>
      <x:c r="G831" s="289" t="n">
        <x:v>22</x:v>
      </x:c>
      <x:c r="H831" s="289" t="n">
        <x:v>51</x:v>
      </x:c>
      <x:c r="I831" s="289" t="n">
        <x:v>6850</x:v>
      </x:c>
      <x:c r="J831" s="289" t="n">
        <x:v>0</x:v>
      </x:c>
      <x:c r="K831" s="289" t="n">
        <x:v>4</x:v>
      </x:c>
      <x:c r="L831" s="289" t="n">
        <x:v>12</x:v>
      </x:c>
      <x:c r="M831" s="289" t="n">
        <x:v>6850</x:v>
      </x:c>
      <x:c r="N831" s="289" t="n">
        <x:v>6850</x:v>
      </x:c>
      <x:c r="O831" s="289" t="n">
        <x:v>6850</x:v>
      </x:c>
      <x:c r="P831" s="292"/>
      <x:c r="Q831" s="292" t="str">
        <x:v>candidate-preflight-passed</x:v>
      </x:c>
      <x:c r="R831" s="292" t="str"/>
      <x:c r="S831" s="292" t="str">
        <x:v>玄渊二十套全装备代码总表.xlsx</x:v>
      </x:c>
      <x:c r="T831" s="292" t="str">
        <x:v>玄渊20套全装备视觉候选；Items/StateItem/DnItems三库同码；属性待策划填写；OverLap=4; Expand1=12</x:v>
      </x:c>
      <x:c r="U831" t="str">
        <x:f>IF(COUNTIF($B$2:$B$1076,B831)&gt;1,"重复","")</x:f>
      </x:c>
      <x:c r="V831" t="str">
        <x:f>IF(AND(OR(M831="",M831=B831),OR(N831="",N831=B831),OR(O831="",O831=B831)),"通过","不一致")</x:f>
        <x:v>通过</x:v>
      </x:c>
    </x:row>
    <x:row r="832" ht="22" customHeight="1">
      <x:c r="A832" s="289" t="n">
        <x:v>831</x:v>
      </x:c>
      <x:c r="B832" s="289" t="n">
        <x:v>6851</x:v>
      </x:c>
      <x:c r="C832" s="290" t="str">
        <x:v>星渊龙息·天穹</x:v>
      </x:c>
      <x:c r="D832" s="290" t="str">
        <x:v>星渊龙息</x:v>
      </x:c>
      <x:c r="E832" s="290" t="n">
        <x:v>4</x:v>
      </x:c>
      <x:c r="F832" s="290" t="str">
        <x:v>武器</x:v>
      </x:c>
      <x:c r="G832" s="289" t="n">
        <x:v>5</x:v>
      </x:c>
      <x:c r="H832" s="289" t="n">
        <x:v>1</x:v>
      </x:c>
      <x:c r="I832" s="289" t="n">
        <x:v>6851</x:v>
      </x:c>
      <x:c r="J832" s="289" t="n">
        <x:v>29</x:v>
      </x:c>
      <x:c r="K832" s="289" t="n">
        <x:v>0</x:v>
      </x:c>
      <x:c r="L832" s="289" t="n">
        <x:v>0</x:v>
      </x:c>
      <x:c r="M832" s="289" t="n">
        <x:v>6851</x:v>
      </x:c>
      <x:c r="N832" s="289" t="n">
        <x:v>6851</x:v>
      </x:c>
      <x:c r="O832" s="289" t="n">
        <x:v>6851</x:v>
      </x:c>
      <x:c r="P832" s="292" t="str">
        <x:v>Weapon.wzl/wzx（复用现有真实动作）</x:v>
      </x:c>
      <x:c r="Q832" s="292" t="str">
        <x:v>candidate-preflight-passed</x:v>
      </x:c>
      <x:c r="R832" s="324" t="str">
        <x:v>C3-C10规划锁定：莱弥恩的封湖巨剑</x:v>
      </x:c>
      <x:c r="S832" s="292" t="str">
        <x:v>玄渊二十套全装备代码总表.xlsx</x:v>
      </x:c>
      <x:c r="T832" s="292" t="str">
        <x:v>玄渊20套全装备视觉候选；Items/StateItem/DnItems三库同码；属性待策划填写；Weapon Shape=29</x:v>
      </x:c>
      <x:c r="U832" t="str">
        <x:f>IF(COUNTIF($B$2:$B$1076,B832)&gt;1,"重复","")</x:f>
      </x:c>
      <x:c r="V832" t="str">
        <x:f>IF(AND(OR(M832="",M832=B832),OR(N832="",N832=B832),OR(O832="",O832=B832)),"通过","不一致")</x:f>
        <x:v>通过</x:v>
      </x:c>
    </x:row>
    <x:row r="833" ht="22" customHeight="1">
      <x:c r="A833" s="289" t="n">
        <x:v>832</x:v>
      </x:c>
      <x:c r="B833" s="289" t="n">
        <x:v>6852</x:v>
      </x:c>
      <x:c r="C833" s="290" t="str">
        <x:v>星渊龙息·天穹</x:v>
      </x:c>
      <x:c r="D833" s="290" t="str">
        <x:v>星渊龙息</x:v>
      </x:c>
      <x:c r="E833" s="290" t="n">
        <x:v>4</x:v>
      </x:c>
      <x:c r="F833" s="290" t="str">
        <x:v>男衣服</x:v>
      </x:c>
      <x:c r="G833" s="289" t="n">
        <x:v>10</x:v>
      </x:c>
      <x:c r="H833" s="289" t="n">
        <x:v>0</x:v>
      </x:c>
      <x:c r="I833" s="289" t="n">
        <x:v>6852</x:v>
      </x:c>
      <x:c r="J833" s="289" t="n">
        <x:v>6</x:v>
      </x:c>
      <x:c r="K833" s="289" t="n">
        <x:v>0</x:v>
      </x:c>
      <x:c r="L833" s="289" t="n">
        <x:v>0</x:v>
      </x:c>
      <x:c r="M833" s="289" t="n">
        <x:v>6852</x:v>
      </x:c>
      <x:c r="N833" s="289" t="n">
        <x:v>6852</x:v>
      </x:c>
      <x:c r="O833" s="289" t="n">
        <x:v>6852</x:v>
      </x:c>
      <x:c r="P833" s="292" t="str">
        <x:v>Hum.wzl/wzx（复用现有真实动作）</x:v>
      </x:c>
      <x:c r="Q833" s="292" t="str">
        <x:v>candidate-preflight-passed</x:v>
      </x:c>
      <x:c r="R833" s="324" t="str">
        <x:v>C3-C10规划锁定：沉月镜池华服</x:v>
      </x:c>
      <x:c r="S833" s="292" t="str">
        <x:v>玄渊二十套全装备代码总表.xlsx</x:v>
      </x:c>
      <x:c r="T833" s="292" t="str">
        <x:v>玄渊20套全装备视觉候选；Items/StateItem/DnItems三库同码；属性待策划填写；Hum Shape=6</x:v>
      </x:c>
      <x:c r="U833" t="str">
        <x:f>IF(COUNTIF($B$2:$B$1076,B833)&gt;1,"重复","")</x:f>
      </x:c>
      <x:c r="V833" t="str">
        <x:f>IF(AND(OR(M833="",M833=B833),OR(N833="",N833=B833),OR(O833="",O833=B833)),"通过","不一致")</x:f>
        <x:v>通过</x:v>
      </x:c>
    </x:row>
    <x:row r="834" ht="22" customHeight="1">
      <x:c r="A834" s="289" t="n">
        <x:v>833</x:v>
      </x:c>
      <x:c r="B834" s="289" t="n">
        <x:v>6853</x:v>
      </x:c>
      <x:c r="C834" s="290" t="str">
        <x:v>星渊龙息·天穹</x:v>
      </x:c>
      <x:c r="D834" s="290" t="str">
        <x:v>星渊龙息</x:v>
      </x:c>
      <x:c r="E834" s="290" t="n">
        <x:v>4</x:v>
      </x:c>
      <x:c r="F834" s="290" t="str">
        <x:v>女衣服</x:v>
      </x:c>
      <x:c r="G834" s="289" t="n">
        <x:v>11</x:v>
      </x:c>
      <x:c r="H834" s="289" t="n">
        <x:v>0</x:v>
      </x:c>
      <x:c r="I834" s="289" t="n">
        <x:v>6853</x:v>
      </x:c>
      <x:c r="J834" s="289" t="n">
        <x:v>6</x:v>
      </x:c>
      <x:c r="K834" s="289" t="n">
        <x:v>0</x:v>
      </x:c>
      <x:c r="L834" s="289" t="n">
        <x:v>0</x:v>
      </x:c>
      <x:c r="M834" s="289" t="n">
        <x:v>6853</x:v>
      </x:c>
      <x:c r="N834" s="289" t="n">
        <x:v>6853</x:v>
      </x:c>
      <x:c r="O834" s="289" t="n">
        <x:v>6853</x:v>
      </x:c>
      <x:c r="P834" s="292" t="str">
        <x:v>Hum.wzl/wzx（复用现有真实动作）</x:v>
      </x:c>
      <x:c r="Q834" s="292" t="str">
        <x:v>candidate-preflight-passed</x:v>
      </x:c>
      <x:c r="R834" s="292" t="str"/>
      <x:c r="S834" s="292" t="str">
        <x:v>玄渊二十套全装备代码总表.xlsx</x:v>
      </x:c>
      <x:c r="T834" s="292" t="str">
        <x:v>玄渊20套全装备视觉候选；Items/StateItem/DnItems三库同码；属性待策划填写；Hum Shape=6</x:v>
      </x:c>
      <x:c r="U834" t="str">
        <x:f>IF(COUNTIF($B$2:$B$1076,B834)&gt;1,"重复","")</x:f>
      </x:c>
      <x:c r="V834" t="str">
        <x:f>IF(AND(OR(M834="",M834=B834),OR(N834="",N834=B834),OR(O834="",O834=B834)),"通过","不一致")</x:f>
        <x:v>通过</x:v>
      </x:c>
    </x:row>
    <x:row r="835" ht="22" customHeight="1">
      <x:c r="A835" s="289" t="n">
        <x:v>834</x:v>
      </x:c>
      <x:c r="B835" s="289" t="n">
        <x:v>6854</x:v>
      </x:c>
      <x:c r="C835" s="290" t="str">
        <x:v>星渊龙息·天穹</x:v>
      </x:c>
      <x:c r="D835" s="290" t="str">
        <x:v>星渊龙息</x:v>
      </x:c>
      <x:c r="E835" s="290" t="n">
        <x:v>4</x:v>
      </x:c>
      <x:c r="F835" s="290" t="str">
        <x:v>头盔</x:v>
      </x:c>
      <x:c r="G835" s="289" t="n">
        <x:v>15</x:v>
      </x:c>
      <x:c r="H835" s="289" t="n">
        <x:v>4</x:v>
      </x:c>
      <x:c r="I835" s="289" t="n">
        <x:v>6854</x:v>
      </x:c>
      <x:c r="J835" s="289" t="n">
        <x:v>0</x:v>
      </x:c>
      <x:c r="K835" s="289" t="n">
        <x:v>0</x:v>
      </x:c>
      <x:c r="L835" s="289" t="n">
        <x:v>0</x:v>
      </x:c>
      <x:c r="M835" s="289" t="n">
        <x:v>6854</x:v>
      </x:c>
      <x:c r="N835" s="289" t="n">
        <x:v>6854</x:v>
      </x:c>
      <x:c r="O835" s="289" t="n">
        <x:v>6854</x:v>
      </x:c>
      <x:c r="P835" s="292"/>
      <x:c r="Q835" s="292" t="str">
        <x:v>candidate-preflight-passed</x:v>
      </x:c>
      <x:c r="R835" s="324" t="str">
        <x:v>C3-C10规划锁定：盔虾壳帽</x:v>
      </x:c>
      <x:c r="S835" s="292" t="str">
        <x:v>玄渊二十套全装备代码总表.xlsx</x:v>
      </x:c>
      <x:c r="T835" s="292" t="str">
        <x:v>玄渊20套全装备视觉候选；Items/StateItem/DnItems三库同码；属性待策划填写</x:v>
      </x:c>
      <x:c r="U835" t="str">
        <x:f>IF(COUNTIF($B$2:$B$1076,B835)&gt;1,"重复","")</x:f>
      </x:c>
      <x:c r="V835" t="str">
        <x:f>IF(AND(OR(M835="",M835=B835),OR(N835="",N835=B835),OR(O835="",O835=B835)),"通过","不一致")</x:f>
        <x:v>通过</x:v>
      </x:c>
    </x:row>
    <x:row r="836" ht="22" customHeight="1">
      <x:c r="A836" s="289" t="n">
        <x:v>835</x:v>
      </x:c>
      <x:c r="B836" s="289" t="n">
        <x:v>6855</x:v>
      </x:c>
      <x:c r="C836" s="290" t="str">
        <x:v>星渊龙息·天穹</x:v>
      </x:c>
      <x:c r="D836" s="290" t="str">
        <x:v>星渊龙息</x:v>
      </x:c>
      <x:c r="E836" s="290" t="n">
        <x:v>4</x:v>
      </x:c>
      <x:c r="F836" s="290" t="str">
        <x:v>面巾</x:v>
      </x:c>
      <x:c r="G836" s="289" t="n">
        <x:v>16</x:v>
      </x:c>
      <x:c r="H836" s="289" t="n">
        <x:v>13</x:v>
      </x:c>
      <x:c r="I836" s="289" t="n">
        <x:v>6855</x:v>
      </x:c>
      <x:c r="J836" s="289" t="n">
        <x:v>0</x:v>
      </x:c>
      <x:c r="K836" s="289" t="n">
        <x:v>0</x:v>
      </x:c>
      <x:c r="L836" s="289" t="n">
        <x:v>0</x:v>
      </x:c>
      <x:c r="M836" s="289" t="n">
        <x:v>6855</x:v>
      </x:c>
      <x:c r="N836" s="289" t="n">
        <x:v>6855</x:v>
      </x:c>
      <x:c r="O836" s="289" t="n">
        <x:v>6855</x:v>
      </x:c>
      <x:c r="P836" s="292"/>
      <x:c r="Q836" s="292" t="str">
        <x:v>candidate-preflight-passed</x:v>
      </x:c>
      <x:c r="R836" s="324" t="str">
        <x:v>C3-C10规划锁定：无声司铎笠</x:v>
      </x:c>
      <x:c r="S836" s="292" t="str">
        <x:v>玄渊二十套全装备代码总表.xlsx</x:v>
      </x:c>
      <x:c r="T836" s="292" t="str">
        <x:v>玄渊20套全装备视觉候选；Items/StateItem/DnItems三库同码；属性待策划填写</x:v>
      </x:c>
      <x:c r="U836" t="str">
        <x:f>IF(COUNTIF($B$2:$B$1076,B836)&gt;1,"重复","")</x:f>
      </x:c>
      <x:c r="V836" t="str">
        <x:f>IF(AND(OR(M836="",M836=B836),OR(N836="",N836=B836),OR(O836="",O836=B836)),"通过","不一致")</x:f>
        <x:v>通过</x:v>
      </x:c>
    </x:row>
    <x:row r="837" ht="22" customHeight="1">
      <x:c r="A837" s="289" t="n">
        <x:v>836</x:v>
      </x:c>
      <x:c r="B837" s="289" t="n">
        <x:v>6856</x:v>
      </x:c>
      <x:c r="C837" s="290" t="str">
        <x:v>星渊龙息·天穹</x:v>
      </x:c>
      <x:c r="D837" s="290" t="str">
        <x:v>星渊龙息</x:v>
      </x:c>
      <x:c r="E837" s="290" t="n">
        <x:v>4</x:v>
      </x:c>
      <x:c r="F837" s="290" t="str">
        <x:v>项链</x:v>
      </x:c>
      <x:c r="G837" s="289" t="n">
        <x:v>19</x:v>
      </x:c>
      <x:c r="H837" s="289" t="n">
        <x:v>3</x:v>
      </x:c>
      <x:c r="I837" s="289" t="n">
        <x:v>6856</x:v>
      </x:c>
      <x:c r="J837" s="289" t="n">
        <x:v>0</x:v>
      </x:c>
      <x:c r="K837" s="289" t="n">
        <x:v>0</x:v>
      </x:c>
      <x:c r="L837" s="289" t="n">
        <x:v>0</x:v>
      </x:c>
      <x:c r="M837" s="289" t="n">
        <x:v>6856</x:v>
      </x:c>
      <x:c r="N837" s="289" t="n">
        <x:v>6856</x:v>
      </x:c>
      <x:c r="O837" s="289" t="n">
        <x:v>6856</x:v>
      </x:c>
      <x:c r="P837" s="292"/>
      <x:c r="Q837" s="292" t="str">
        <x:v>candidate-preflight-passed</x:v>
      </x:c>
      <x:c r="R837" s="324" t="str">
        <x:v>C3-C10规划锁定：诱猎声坠</x:v>
      </x:c>
      <x:c r="S837" s="292" t="str">
        <x:v>玄渊二十套全装备代码总表.xlsx</x:v>
      </x:c>
      <x:c r="T837" s="292" t="str">
        <x:v>玄渊20套全装备视觉候选；Items/StateItem/DnItems三库同码；属性待策划填写</x:v>
      </x:c>
      <x:c r="U837" t="str">
        <x:f>IF(COUNTIF($B$2:$B$1076,B837)&gt;1,"重复","")</x:f>
      </x:c>
      <x:c r="V837" t="str">
        <x:f>IF(AND(OR(M837="",M837=B837),OR(N837="",N837=B837),OR(O837="",O837=B837)),"通过","不一致")</x:f>
        <x:v>通过</x:v>
      </x:c>
    </x:row>
    <x:row r="838" ht="22" customHeight="1">
      <x:c r="A838" s="289" t="n">
        <x:v>837</x:v>
      </x:c>
      <x:c r="B838" s="289" t="n">
        <x:v>6857</x:v>
      </x:c>
      <x:c r="C838" s="290" t="str">
        <x:v>星渊龙息·天穹</x:v>
      </x:c>
      <x:c r="D838" s="290" t="str">
        <x:v>星渊龙息</x:v>
      </x:c>
      <x:c r="E838" s="290" t="n">
        <x:v>4</x:v>
      </x:c>
      <x:c r="F838" s="290" t="str">
        <x:v>手镯</x:v>
      </x:c>
      <x:c r="G838" s="289" t="n">
        <x:v>26</x:v>
      </x:c>
      <x:c r="H838" s="289" t="n">
        <x:v>5</x:v>
      </x:c>
      <x:c r="I838" s="289" t="n">
        <x:v>6857</x:v>
      </x:c>
      <x:c r="J838" s="289" t="n">
        <x:v>0</x:v>
      </x:c>
      <x:c r="K838" s="289" t="n">
        <x:v>0</x:v>
      </x:c>
      <x:c r="L838" s="289" t="n">
        <x:v>0</x:v>
      </x:c>
      <x:c r="M838" s="289" t="n">
        <x:v>6857</x:v>
      </x:c>
      <x:c r="N838" s="289" t="n">
        <x:v>6857</x:v>
      </x:c>
      <x:c r="O838" s="289" t="n">
        <x:v>6857</x:v>
      </x:c>
      <x:c r="P838" s="292"/>
      <x:c r="Q838" s="292" t="str">
        <x:v>candidate-preflight-passed</x:v>
      </x:c>
      <x:c r="R838" s="324" t="str">
        <x:v>C3-C10规划锁定：缚链僧镯</x:v>
      </x:c>
      <x:c r="S838" s="292" t="str">
        <x:v>玄渊二十套全装备代码总表.xlsx</x:v>
      </x:c>
      <x:c r="T838" s="292" t="str">
        <x:v>玄渊20套全装备视觉候选；Items/StateItem/DnItems三库同码；属性待策划填写</x:v>
      </x:c>
      <x:c r="U838" t="str">
        <x:f>IF(COUNTIF($B$2:$B$1076,B838)&gt;1,"重复","")</x:f>
      </x:c>
      <x:c r="V838" t="str">
        <x:f>IF(AND(OR(M838="",M838=B838),OR(N838="",N838=B838),OR(O838="",O838=B838)),"通过","不一致")</x:f>
        <x:v>通过</x:v>
      </x:c>
    </x:row>
    <x:row r="839" ht="22" customHeight="1">
      <x:c r="A839" s="289" t="n">
        <x:v>838</x:v>
      </x:c>
      <x:c r="B839" s="289" t="n">
        <x:v>6858</x:v>
      </x:c>
      <x:c r="C839" s="290" t="str">
        <x:v>星渊龙息·天穹</x:v>
      </x:c>
      <x:c r="D839" s="290" t="str">
        <x:v>星渊龙息</x:v>
      </x:c>
      <x:c r="E839" s="290" t="n">
        <x:v>4</x:v>
      </x:c>
      <x:c r="F839" s="290" t="str">
        <x:v>戒指</x:v>
      </x:c>
      <x:c r="G839" s="289" t="n">
        <x:v>22</x:v>
      </x:c>
      <x:c r="H839" s="289" t="n">
        <x:v>7</x:v>
      </x:c>
      <x:c r="I839" s="289" t="n">
        <x:v>6858</x:v>
      </x:c>
      <x:c r="J839" s="289" t="n">
        <x:v>0</x:v>
      </x:c>
      <x:c r="K839" s="289" t="n">
        <x:v>0</x:v>
      </x:c>
      <x:c r="L839" s="289" t="n">
        <x:v>0</x:v>
      </x:c>
      <x:c r="M839" s="289" t="n">
        <x:v>6858</x:v>
      </x:c>
      <x:c r="N839" s="289" t="n">
        <x:v>6858</x:v>
      </x:c>
      <x:c r="O839" s="289" t="n">
        <x:v>6858</x:v>
      </x:c>
      <x:c r="P839" s="292"/>
      <x:c r="Q839" s="292" t="str">
        <x:v>candidate-preflight-passed</x:v>
      </x:c>
      <x:c r="R839" s="324" t="str">
        <x:v>C3-C10规划锁定：吞灯牙戒</x:v>
      </x:c>
      <x:c r="S839" s="292" t="str">
        <x:v>玄渊二十套全装备代码总表.xlsx</x:v>
      </x:c>
      <x:c r="T839" s="292" t="str">
        <x:v>玄渊20套全装备视觉候选；Items/StateItem/DnItems三库同码；属性待策划填写</x:v>
      </x:c>
      <x:c r="U839" t="str">
        <x:f>IF(COUNTIF($B$2:$B$1076,B839)&gt;1,"重复","")</x:f>
      </x:c>
      <x:c r="V839" t="str">
        <x:f>IF(AND(OR(M839="",M839=B839),OR(N839="",N839=B839),OR(O839="",O839=B839)),"通过","不一致")</x:f>
        <x:v>通过</x:v>
      </x:c>
    </x:row>
    <x:row r="840" ht="22" customHeight="1">
      <x:c r="A840" s="289" t="n">
        <x:v>839</x:v>
      </x:c>
      <x:c r="B840" s="289" t="n">
        <x:v>6859</x:v>
      </x:c>
      <x:c r="C840" s="290" t="str">
        <x:v>星渊龙息·天穹</x:v>
      </x:c>
      <x:c r="D840" s="290" t="str">
        <x:v>星渊龙息</x:v>
      </x:c>
      <x:c r="E840" s="290" t="n">
        <x:v>4</x:v>
      </x:c>
      <x:c r="F840" s="290" t="str">
        <x:v>勋章</x:v>
      </x:c>
      <x:c r="G840" s="289" t="n">
        <x:v>30</x:v>
      </x:c>
      <x:c r="H840" s="289" t="n">
        <x:v>2</x:v>
      </x:c>
      <x:c r="I840" s="289" t="n">
        <x:v>6859</x:v>
      </x:c>
      <x:c r="J840" s="289" t="n">
        <x:v>0</x:v>
      </x:c>
      <x:c r="K840" s="289" t="n">
        <x:v>0</x:v>
      </x:c>
      <x:c r="L840" s="289" t="n">
        <x:v>0</x:v>
      </x:c>
      <x:c r="M840" s="289" t="n">
        <x:v>6859</x:v>
      </x:c>
      <x:c r="N840" s="289" t="n">
        <x:v>6859</x:v>
      </x:c>
      <x:c r="O840" s="289" t="n">
        <x:v>6859</x:v>
      </x:c>
      <x:c r="P840" s="292"/>
      <x:c r="Q840" s="292" t="str">
        <x:v>candidate-preflight-passed</x:v>
      </x:c>
      <x:c r="R840" s="324" t="str">
        <x:v>C3-C10规划锁定：蚀冠密殿章</x:v>
      </x:c>
      <x:c r="S840" s="292" t="str">
        <x:v>玄渊二十套全装备代码总表.xlsx</x:v>
      </x:c>
      <x:c r="T840" s="292" t="str">
        <x:v>玄渊20套全装备视觉候选；Items/StateItem/DnItems三库同码；属性待策划填写</x:v>
      </x:c>
      <x:c r="U840" t="str">
        <x:f>IF(COUNTIF($B$2:$B$1076,B840)&gt;1,"重复","")</x:f>
      </x:c>
      <x:c r="V840" t="str">
        <x:f>IF(AND(OR(M840="",M840=B840),OR(N840="",N840=B840),OR(O840="",O840=B840)),"通过","不一致")</x:f>
        <x:v>通过</x:v>
      </x:c>
    </x:row>
    <x:row r="841" ht="22" customHeight="1">
      <x:c r="A841" s="289" t="n">
        <x:v>840</x:v>
      </x:c>
      <x:c r="B841" s="289" t="n">
        <x:v>6860</x:v>
      </x:c>
      <x:c r="C841" s="290" t="str">
        <x:v>星渊龙息·天穹</x:v>
      </x:c>
      <x:c r="D841" s="290" t="str">
        <x:v>星渊龙息</x:v>
      </x:c>
      <x:c r="E841" s="290" t="n">
        <x:v>4</x:v>
      </x:c>
      <x:c r="F841" s="290" t="str">
        <x:v>盾牌</x:v>
      </x:c>
      <x:c r="G841" s="289" t="n">
        <x:v>12</x:v>
      </x:c>
      <x:c r="H841" s="289" t="n">
        <x:v>16</x:v>
      </x:c>
      <x:c r="I841" s="289" t="n">
        <x:v>6860</x:v>
      </x:c>
      <x:c r="J841" s="289" t="n">
        <x:v>0</x:v>
      </x:c>
      <x:c r="K841" s="289" t="n">
        <x:v>0</x:v>
      </x:c>
      <x:c r="L841" s="289" t="n">
        <x:v>0</x:v>
      </x:c>
      <x:c r="M841" s="289" t="n">
        <x:v>6860</x:v>
      </x:c>
      <x:c r="N841" s="289" t="n">
        <x:v>6860</x:v>
      </x:c>
      <x:c r="O841" s="289" t="n">
        <x:v>6860</x:v>
      </x:c>
      <x:c r="P841" s="292"/>
      <x:c r="Q841" s="292" t="str">
        <x:v>candidate-preflight-passed</x:v>
      </x:c>
      <x:c r="R841" s="324" t="str">
        <x:v>C3-C10规划锁定：砾晶护庭盾</x:v>
      </x:c>
      <x:c r="S841" s="292" t="str">
        <x:v>玄渊二十套全装备代码总表.xlsx</x:v>
      </x:c>
      <x:c r="T841" s="292" t="str">
        <x:v>玄渊20套全装备视觉候选；Items/StateItem/DnItems三库同码；属性待策划填写</x:v>
      </x:c>
      <x:c r="U841" t="str">
        <x:f>IF(COUNTIF($B$2:$B$1076,B841)&gt;1,"重复","")</x:f>
      </x:c>
      <x:c r="V841" t="str">
        <x:f>IF(AND(OR(M841="",M841=B841),OR(N841="",N841=B841),OR(O841="",O841=B841)),"通过","不一致")</x:f>
        <x:v>通过</x:v>
      </x:c>
    </x:row>
    <x:row r="842" ht="22" customHeight="1">
      <x:c r="A842" s="289" t="n">
        <x:v>841</x:v>
      </x:c>
      <x:c r="B842" s="289" t="n">
        <x:v>6861</x:v>
      </x:c>
      <x:c r="C842" s="290" t="str">
        <x:v>星渊龙息·天穹</x:v>
      </x:c>
      <x:c r="D842" s="290" t="str">
        <x:v>星渊龙息</x:v>
      </x:c>
      <x:c r="E842" s="290" t="n">
        <x:v>4</x:v>
      </x:c>
      <x:c r="F842" s="290" t="str">
        <x:v>灵玉</x:v>
      </x:c>
      <x:c r="G842" s="289" t="n">
        <x:v>90</x:v>
      </x:c>
      <x:c r="H842" s="289" t="n">
        <x:v>17</x:v>
      </x:c>
      <x:c r="I842" s="289" t="n">
        <x:v>6861</x:v>
      </x:c>
      <x:c r="J842" s="289" t="n">
        <x:v>0</x:v>
      </x:c>
      <x:c r="K842" s="289" t="n">
        <x:v>0</x:v>
      </x:c>
      <x:c r="L842" s="289" t="n">
        <x:v>0</x:v>
      </x:c>
      <x:c r="M842" s="289" t="n">
        <x:v>6861</x:v>
      </x:c>
      <x:c r="N842" s="289" t="n">
        <x:v>6861</x:v>
      </x:c>
      <x:c r="O842" s="289" t="n">
        <x:v>6861</x:v>
      </x:c>
      <x:c r="P842" s="292"/>
      <x:c r="Q842" s="292" t="str">
        <x:v>candidate-preflight-passed</x:v>
      </x:c>
      <x:c r="R842" s="292" t="str"/>
      <x:c r="S842" s="292" t="str">
        <x:v>玄渊二十套全装备代码总表.xlsx</x:v>
      </x:c>
      <x:c r="T842" s="292" t="str">
        <x:v>玄渊20套全装备视觉候选；Items/StateItem/DnItems三库同码；属性待策划填写</x:v>
      </x:c>
      <x:c r="U842" t="str">
        <x:f>IF(COUNTIF($B$2:$B$1076,B842)&gt;1,"重复","")</x:f>
      </x:c>
      <x:c r="V842" t="str">
        <x:f>IF(AND(OR(M842="",M842=B842),OR(N842="",N842=B842),OR(O842="",O842=B842)),"通过","不一致")</x:f>
        <x:v>通过</x:v>
      </x:c>
    </x:row>
    <x:row r="843" ht="22" customHeight="1">
      <x:c r="A843" s="289" t="n">
        <x:v>842</x:v>
      </x:c>
      <x:c r="B843" s="289" t="n">
        <x:v>6862</x:v>
      </x:c>
      <x:c r="C843" s="290" t="str">
        <x:v>星渊龙息·天穹</x:v>
      </x:c>
      <x:c r="D843" s="290" t="str">
        <x:v>星渊龙息</x:v>
      </x:c>
      <x:c r="E843" s="290" t="n">
        <x:v>4</x:v>
      </x:c>
      <x:c r="F843" s="290" t="str">
        <x:v>鞋子</x:v>
      </x:c>
      <x:c r="G843" s="289" t="n">
        <x:v>62</x:v>
      </x:c>
      <x:c r="H843" s="289" t="n">
        <x:v>11</x:v>
      </x:c>
      <x:c r="I843" s="289" t="n">
        <x:v>6862</x:v>
      </x:c>
      <x:c r="J843" s="289" t="n">
        <x:v>0</x:v>
      </x:c>
      <x:c r="K843" s="289" t="n">
        <x:v>0</x:v>
      </x:c>
      <x:c r="L843" s="289" t="n">
        <x:v>0</x:v>
      </x:c>
      <x:c r="M843" s="289" t="n">
        <x:v>6862</x:v>
      </x:c>
      <x:c r="N843" s="289" t="n">
        <x:v>6862</x:v>
      </x:c>
      <x:c r="O843" s="289" t="n">
        <x:v>6862</x:v>
      </x:c>
      <x:c r="P843" s="292"/>
      <x:c r="Q843" s="292" t="str">
        <x:v>candidate-preflight-passed</x:v>
      </x:c>
      <x:c r="R843" s="324" t="str">
        <x:v>C3-C10规划锁定：雾汐踏波履</x:v>
      </x:c>
      <x:c r="S843" s="292" t="str">
        <x:v>玄渊二十套全装备代码总表.xlsx</x:v>
      </x:c>
      <x:c r="T843" s="292" t="str">
        <x:v>玄渊20套全装备视觉候选；Items/StateItem/DnItems三库同码；属性待策划填写</x:v>
      </x:c>
      <x:c r="U843" t="str">
        <x:f>IF(COUNTIF($B$2:$B$1076,B843)&gt;1,"重复","")</x:f>
      </x:c>
      <x:c r="V843" t="str">
        <x:f>IF(AND(OR(M843="",M843=B843),OR(N843="",N843=B843),OR(O843="",O843=B843)),"通过","不一致")</x:f>
        <x:v>通过</x:v>
      </x:c>
    </x:row>
    <x:row r="844" ht="22" customHeight="1">
      <x:c r="A844" s="289" t="n">
        <x:v>843</x:v>
      </x:c>
      <x:c r="B844" s="289" t="n">
        <x:v>6863</x:v>
      </x:c>
      <x:c r="C844" s="290" t="str">
        <x:v>星渊龙息·天穹</x:v>
      </x:c>
      <x:c r="D844" s="290" t="str">
        <x:v>星渊龙息</x:v>
      </x:c>
      <x:c r="E844" s="290" t="n">
        <x:v>4</x:v>
      </x:c>
      <x:c r="F844" s="290" t="str">
        <x:v>腰带</x:v>
      </x:c>
      <x:c r="G844" s="289" t="n">
        <x:v>64</x:v>
      </x:c>
      <x:c r="H844" s="289" t="n">
        <x:v>10</x:v>
      </x:c>
      <x:c r="I844" s="289" t="n">
        <x:v>6863</x:v>
      </x:c>
      <x:c r="J844" s="289" t="n">
        <x:v>0</x:v>
      </x:c>
      <x:c r="K844" s="289" t="n">
        <x:v>0</x:v>
      </x:c>
      <x:c r="L844" s="289" t="n">
        <x:v>0</x:v>
      </x:c>
      <x:c r="M844" s="289" t="n">
        <x:v>6863</x:v>
      </x:c>
      <x:c r="N844" s="289" t="n">
        <x:v>6863</x:v>
      </x:c>
      <x:c r="O844" s="289" t="n">
        <x:v>6863</x:v>
      </x:c>
      <x:c r="P844" s="292"/>
      <x:c r="Q844" s="292" t="str">
        <x:v>candidate-preflight-passed</x:v>
      </x:c>
      <x:c r="R844" s="324" t="str">
        <x:v>C3-C10规划锁定：银规巡课束带</x:v>
      </x:c>
      <x:c r="S844" s="292" t="str">
        <x:v>玄渊二十套全装备代码总表.xlsx</x:v>
      </x:c>
      <x:c r="T844" s="292" t="str">
        <x:v>玄渊20套全装备视觉候选；Items/StateItem/DnItems三库同码；属性待策划填写</x:v>
      </x:c>
      <x:c r="U844" t="str">
        <x:f>IF(COUNTIF($B$2:$B$1076,B844)&gt;1,"重复","")</x:f>
      </x:c>
      <x:c r="V844" t="str">
        <x:f>IF(AND(OR(M844="",M844=B844),OR(N844="",N844=B844),OR(O844="",O844=B844)),"通过","不一致")</x:f>
        <x:v>通过</x:v>
      </x:c>
    </x:row>
    <x:row r="845" ht="22" customHeight="1">
      <x:c r="A845" s="289" t="n">
        <x:v>844</x:v>
      </x:c>
      <x:c r="B845" s="289" t="n">
        <x:v>6864</x:v>
      </x:c>
      <x:c r="C845" s="290" t="str">
        <x:v>星渊龙息·天穹</x:v>
      </x:c>
      <x:c r="D845" s="290" t="str">
        <x:v>星渊龙息</x:v>
      </x:c>
      <x:c r="E845" s="290" t="n">
        <x:v>4</x:v>
      </x:c>
      <x:c r="F845" s="290" t="str">
        <x:v>护身符</x:v>
      </x:c>
      <x:c r="G845" s="289" t="n">
        <x:v>25</x:v>
      </x:c>
      <x:c r="H845" s="289" t="n">
        <x:v>9</x:v>
      </x:c>
      <x:c r="I845" s="289" t="n">
        <x:v>6864</x:v>
      </x:c>
      <x:c r="J845" s="289" t="n">
        <x:v>0</x:v>
      </x:c>
      <x:c r="K845" s="289" t="n">
        <x:v>0</x:v>
      </x:c>
      <x:c r="L845" s="289" t="n">
        <x:v>0</x:v>
      </x:c>
      <x:c r="M845" s="289" t="n">
        <x:v>6864</x:v>
      </x:c>
      <x:c r="N845" s="289" t="n">
        <x:v>6864</x:v>
      </x:c>
      <x:c r="O845" s="289" t="n">
        <x:v>6864</x:v>
      </x:c>
      <x:c r="P845" s="292"/>
      <x:c r="Q845" s="292" t="str">
        <x:v>candidate-preflight-passed</x:v>
      </x:c>
      <x:c r="R845" s="292" t="str"/>
      <x:c r="S845" s="292" t="str">
        <x:v>玄渊二十套全装备代码总表.xlsx</x:v>
      </x:c>
      <x:c r="T845" s="292" t="str">
        <x:v>玄渊20套全装备视觉候选；Items/StateItem/DnItems三库同码；属性待策划填写</x:v>
      </x:c>
      <x:c r="U845" t="str">
        <x:f>IF(COUNTIF($B$2:$B$1076,B845)&gt;1,"重复","")</x:f>
      </x:c>
      <x:c r="V845" t="str">
        <x:f>IF(AND(OR(M845="",M845=B845),OR(N845="",N845=B845),OR(O845="",O845=B845)),"通过","不一致")</x:f>
        <x:v>通过</x:v>
      </x:c>
    </x:row>
    <x:row r="846" ht="22" customHeight="1">
      <x:c r="A846" s="289" t="n">
        <x:v>845</x:v>
      </x:c>
      <x:c r="B846" s="289" t="n">
        <x:v>6865</x:v>
      </x:c>
      <x:c r="C846" s="290" t="str">
        <x:v>星渊龙息·天穹</x:v>
      </x:c>
      <x:c r="D846" s="290" t="str">
        <x:v>星渊龙息</x:v>
      </x:c>
      <x:c r="E846" s="290" t="n">
        <x:v>4</x:v>
      </x:c>
      <x:c r="F846" s="290" t="str">
        <x:v>宝石</x:v>
      </x:c>
      <x:c r="G846" s="289" t="n">
        <x:v>63</x:v>
      </x:c>
      <x:c r="H846" s="289" t="n">
        <x:v>12</x:v>
      </x:c>
      <x:c r="I846" s="289" t="n">
        <x:v>6865</x:v>
      </x:c>
      <x:c r="J846" s="289" t="n">
        <x:v>0</x:v>
      </x:c>
      <x:c r="K846" s="289" t="n">
        <x:v>0</x:v>
      </x:c>
      <x:c r="L846" s="289" t="n">
        <x:v>0</x:v>
      </x:c>
      <x:c r="M846" s="289" t="n">
        <x:v>6865</x:v>
      </x:c>
      <x:c r="N846" s="289" t="n">
        <x:v>6865</x:v>
      </x:c>
      <x:c r="O846" s="289" t="n">
        <x:v>6865</x:v>
      </x:c>
      <x:c r="P846" s="292"/>
      <x:c r="Q846" s="292" t="str">
        <x:v>candidate-preflight-passed</x:v>
      </x:c>
      <x:c r="R846" s="292" t="str"/>
      <x:c r="S846" s="292" t="str">
        <x:v>玄渊二十套全装备代码总表.xlsx</x:v>
      </x:c>
      <x:c r="T846" s="292" t="str">
        <x:v>玄渊20套全装备视觉候选；Items/StateItem/DnItems三库同码；属性待策划填写</x:v>
      </x:c>
      <x:c r="U846" t="str">
        <x:f>IF(COUNTIF($B$2:$B$1076,B846)&gt;1,"重复","")</x:f>
      </x:c>
      <x:c r="V846" t="str">
        <x:f>IF(AND(OR(M846="",M846=B846),OR(N846="",N846=B846),OR(O846="",O846=B846)),"通过","不一致")</x:f>
        <x:v>通过</x:v>
      </x:c>
    </x:row>
    <x:row r="847" ht="22" customHeight="1">
      <x:c r="A847" s="289" t="n">
        <x:v>846</x:v>
      </x:c>
      <x:c r="B847" s="289" t="n">
        <x:v>6866</x:v>
      </x:c>
      <x:c r="C847" s="290" t="str">
        <x:v>星渊龙息·天穹</x:v>
      </x:c>
      <x:c r="D847" s="290" t="str">
        <x:v>星渊龙息</x:v>
      </x:c>
      <x:c r="E847" s="290" t="n">
        <x:v>4</x:v>
      </x:c>
      <x:c r="F847" s="290" t="str">
        <x:v>军鼓</x:v>
      </x:c>
      <x:c r="G847" s="289" t="n">
        <x:v>65</x:v>
      </x:c>
      <x:c r="H847" s="289" t="n">
        <x:v>14</x:v>
      </x:c>
      <x:c r="I847" s="289" t="n">
        <x:v>6866</x:v>
      </x:c>
      <x:c r="J847" s="289" t="n">
        <x:v>0</x:v>
      </x:c>
      <x:c r="K847" s="289" t="n">
        <x:v>0</x:v>
      </x:c>
      <x:c r="L847" s="289" t="n">
        <x:v>0</x:v>
      </x:c>
      <x:c r="M847" s="289" t="n">
        <x:v>6866</x:v>
      </x:c>
      <x:c r="N847" s="289" t="n">
        <x:v>6866</x:v>
      </x:c>
      <x:c r="O847" s="289" t="n">
        <x:v>6866</x:v>
      </x:c>
      <x:c r="P847" s="292"/>
      <x:c r="Q847" s="292" t="str">
        <x:v>candidate-preflight-passed</x:v>
      </x:c>
      <x:c r="R847" s="292" t="str"/>
      <x:c r="S847" s="292" t="str">
        <x:v>玄渊二十套全装备代码总表.xlsx</x:v>
      </x:c>
      <x:c r="T847" s="292" t="str">
        <x:v>玄渊20套全装备视觉候选；Items/StateItem/DnItems三库同码；属性待策划填写</x:v>
      </x:c>
      <x:c r="U847" t="str">
        <x:f>IF(COUNTIF($B$2:$B$1076,B847)&gt;1,"重复","")</x:f>
      </x:c>
      <x:c r="V847" t="str">
        <x:f>IF(AND(OR(M847="",M847=B847),OR(N847="",N847=B847),OR(O847="",O847=B847)),"通过","不一致")</x:f>
        <x:v>通过</x:v>
      </x:c>
    </x:row>
    <x:row r="848" ht="22" customHeight="1">
      <x:c r="A848" s="289" t="n">
        <x:v>847</x:v>
      </x:c>
      <x:c r="B848" s="289" t="n">
        <x:v>6867</x:v>
      </x:c>
      <x:c r="C848" s="290" t="str">
        <x:v>星渊龙息·天穹</x:v>
      </x:c>
      <x:c r="D848" s="290" t="str">
        <x:v>星渊龙息</x:v>
      </x:c>
      <x:c r="E848" s="290" t="n">
        <x:v>4</x:v>
      </x:c>
      <x:c r="F848" s="290" t="str">
        <x:v>马牌</x:v>
      </x:c>
      <x:c r="G848" s="289" t="n">
        <x:v>28</x:v>
      </x:c>
      <x:c r="H848" s="289" t="n">
        <x:v>15</x:v>
      </x:c>
      <x:c r="I848" s="289" t="n">
        <x:v>6867</x:v>
      </x:c>
      <x:c r="J848" s="289" t="n">
        <x:v>0</x:v>
      </x:c>
      <x:c r="K848" s="289" t="n">
        <x:v>0</x:v>
      </x:c>
      <x:c r="L848" s="289" t="n">
        <x:v>0</x:v>
      </x:c>
      <x:c r="M848" s="289" t="n">
        <x:v>6867</x:v>
      </x:c>
      <x:c r="N848" s="289" t="n">
        <x:v>6867</x:v>
      </x:c>
      <x:c r="O848" s="289" t="n">
        <x:v>6867</x:v>
      </x:c>
      <x:c r="P848" s="292"/>
      <x:c r="Q848" s="292" t="str">
        <x:v>candidate-preflight-passed</x:v>
      </x:c>
      <x:c r="R848" s="292" t="str"/>
      <x:c r="S848" s="292" t="str">
        <x:v>玄渊二十套全装备代码总表.xlsx</x:v>
      </x:c>
      <x:c r="T848" s="292" t="str">
        <x:v>玄渊20套全装备视觉候选；Items/StateItem/DnItems三库同码；属性待策划填写</x:v>
      </x:c>
      <x:c r="U848" t="str">
        <x:f>IF(COUNTIF($B$2:$B$1076,B848)&gt;1,"重复","")</x:f>
      </x:c>
      <x:c r="V848" t="str">
        <x:f>IF(AND(OR(M848="",M848=B848),OR(N848="",N848=B848),OR(O848="",O848=B848)),"通过","不一致")</x:f>
        <x:v>通过</x:v>
      </x:c>
    </x:row>
    <x:row r="849" ht="22" customHeight="1">
      <x:c r="A849" s="289" t="n">
        <x:v>848</x:v>
      </x:c>
      <x:c r="B849" s="289" t="n">
        <x:v>6868</x:v>
      </x:c>
      <x:c r="C849" s="290" t="str">
        <x:v>星渊龙息·天穹</x:v>
      </x:c>
      <x:c r="D849" s="290" t="str">
        <x:v>星渊龙息</x:v>
      </x:c>
      <x:c r="E849" s="290" t="n">
        <x:v>4</x:v>
      </x:c>
      <x:c r="F849" s="290" t="str">
        <x:v>首饰盒1</x:v>
      </x:c>
      <x:c r="G849" s="289" t="n">
        <x:v>22</x:v>
      </x:c>
      <x:c r="H849" s="289" t="n">
        <x:v>30</x:v>
      </x:c>
      <x:c r="I849" s="289" t="n">
        <x:v>6868</x:v>
      </x:c>
      <x:c r="J849" s="289" t="n">
        <x:v>0</x:v>
      </x:c>
      <x:c r="K849" s="289" t="n">
        <x:v>2</x:v>
      </x:c>
      <x:c r="L849" s="289" t="n">
        <x:v>1</x:v>
      </x:c>
      <x:c r="M849" s="289" t="n">
        <x:v>6868</x:v>
      </x:c>
      <x:c r="N849" s="289" t="n">
        <x:v>6868</x:v>
      </x:c>
      <x:c r="O849" s="289" t="n">
        <x:v>6868</x:v>
      </x:c>
      <x:c r="P849" s="292"/>
      <x:c r="Q849" s="292" t="str">
        <x:v>candidate-preflight-passed</x:v>
      </x:c>
      <x:c r="R849" s="292" t="str"/>
      <x:c r="S849" s="292" t="str">
        <x:v>玄渊二十套全装备代码总表.xlsx</x:v>
      </x:c>
      <x:c r="T849" s="292" t="str">
        <x:v>玄渊20套全装备视觉候选；Items/StateItem/DnItems三库同码；属性待策划填写；OverLap=2; Expand1=1</x:v>
      </x:c>
      <x:c r="U849" t="str">
        <x:f>IF(COUNTIF($B$2:$B$1076,B849)&gt;1,"重复","")</x:f>
      </x:c>
      <x:c r="V849" t="str">
        <x:f>IF(AND(OR(M849="",M849=B849),OR(N849="",N849=B849),OR(O849="",O849=B849)),"通过","不一致")</x:f>
        <x:v>通过</x:v>
      </x:c>
    </x:row>
    <x:row r="850" ht="22" customHeight="1">
      <x:c r="A850" s="289" t="n">
        <x:v>849</x:v>
      </x:c>
      <x:c r="B850" s="289" t="n">
        <x:v>6869</x:v>
      </x:c>
      <x:c r="C850" s="290" t="str">
        <x:v>星渊龙息·天穹</x:v>
      </x:c>
      <x:c r="D850" s="290" t="str">
        <x:v>星渊龙息</x:v>
      </x:c>
      <x:c r="E850" s="290" t="n">
        <x:v>4</x:v>
      </x:c>
      <x:c r="F850" s="290" t="str">
        <x:v>首饰盒2</x:v>
      </x:c>
      <x:c r="G850" s="289" t="n">
        <x:v>22</x:v>
      </x:c>
      <x:c r="H850" s="289" t="n">
        <x:v>31</x:v>
      </x:c>
      <x:c r="I850" s="289" t="n">
        <x:v>6869</x:v>
      </x:c>
      <x:c r="J850" s="289" t="n">
        <x:v>0</x:v>
      </x:c>
      <x:c r="K850" s="289" t="n">
        <x:v>2</x:v>
      </x:c>
      <x:c r="L850" s="289" t="n">
        <x:v>2</x:v>
      </x:c>
      <x:c r="M850" s="289" t="n">
        <x:v>6869</x:v>
      </x:c>
      <x:c r="N850" s="289" t="n">
        <x:v>6869</x:v>
      </x:c>
      <x:c r="O850" s="289" t="n">
        <x:v>6869</x:v>
      </x:c>
      <x:c r="P850" s="292"/>
      <x:c r="Q850" s="292" t="str">
        <x:v>candidate-preflight-passed</x:v>
      </x:c>
      <x:c r="R850" s="292" t="str"/>
      <x:c r="S850" s="292" t="str">
        <x:v>玄渊二十套全装备代码总表.xlsx</x:v>
      </x:c>
      <x:c r="T850" s="292" t="str">
        <x:v>玄渊20套全装备视觉候选；Items/StateItem/DnItems三库同码；属性待策划填写；OverLap=2; Expand1=2</x:v>
      </x:c>
      <x:c r="U850" t="str">
        <x:f>IF(COUNTIF($B$2:$B$1076,B850)&gt;1,"重复","")</x:f>
      </x:c>
      <x:c r="V850" t="str">
        <x:f>IF(AND(OR(M850="",M850=B850),OR(N850="",N850=B850),OR(O850="",O850=B850)),"通过","不一致")</x:f>
        <x:v>通过</x:v>
      </x:c>
    </x:row>
    <x:row r="851" ht="22" customHeight="1">
      <x:c r="A851" s="289" t="n">
        <x:v>850</x:v>
      </x:c>
      <x:c r="B851" s="289" t="n">
        <x:v>6870</x:v>
      </x:c>
      <x:c r="C851" s="290" t="str">
        <x:v>星渊龙息·天穹</x:v>
      </x:c>
      <x:c r="D851" s="290" t="str">
        <x:v>星渊龙息</x:v>
      </x:c>
      <x:c r="E851" s="290" t="n">
        <x:v>4</x:v>
      </x:c>
      <x:c r="F851" s="290" t="str">
        <x:v>首饰盒3</x:v>
      </x:c>
      <x:c r="G851" s="289" t="n">
        <x:v>22</x:v>
      </x:c>
      <x:c r="H851" s="289" t="n">
        <x:v>32</x:v>
      </x:c>
      <x:c r="I851" s="289" t="n">
        <x:v>6870</x:v>
      </x:c>
      <x:c r="J851" s="289" t="n">
        <x:v>0</x:v>
      </x:c>
      <x:c r="K851" s="289" t="n">
        <x:v>2</x:v>
      </x:c>
      <x:c r="L851" s="289" t="n">
        <x:v>3</x:v>
      </x:c>
      <x:c r="M851" s="289" t="n">
        <x:v>6870</x:v>
      </x:c>
      <x:c r="N851" s="289" t="n">
        <x:v>6870</x:v>
      </x:c>
      <x:c r="O851" s="289" t="n">
        <x:v>6870</x:v>
      </x:c>
      <x:c r="P851" s="292"/>
      <x:c r="Q851" s="292" t="str">
        <x:v>candidate-preflight-passed</x:v>
      </x:c>
      <x:c r="R851" s="292" t="str"/>
      <x:c r="S851" s="292" t="str">
        <x:v>玄渊二十套全装备代码总表.xlsx</x:v>
      </x:c>
      <x:c r="T851" s="292" t="str">
        <x:v>玄渊20套全装备视觉候选；Items/StateItem/DnItems三库同码；属性待策划填写；OverLap=2; Expand1=3</x:v>
      </x:c>
      <x:c r="U851" t="str">
        <x:f>IF(COUNTIF($B$2:$B$1076,B851)&gt;1,"重复","")</x:f>
      </x:c>
      <x:c r="V851" t="str">
        <x:f>IF(AND(OR(M851="",M851=B851),OR(N851="",N851=B851),OR(O851="",O851=B851)),"通过","不一致")</x:f>
        <x:v>通过</x:v>
      </x:c>
    </x:row>
    <x:row r="852" ht="22" customHeight="1">
      <x:c r="A852" s="289" t="n">
        <x:v>851</x:v>
      </x:c>
      <x:c r="B852" s="289" t="n">
        <x:v>6871</x:v>
      </x:c>
      <x:c r="C852" s="290" t="str">
        <x:v>星渊龙息·天穹</x:v>
      </x:c>
      <x:c r="D852" s="290" t="str">
        <x:v>星渊龙息</x:v>
      </x:c>
      <x:c r="E852" s="290" t="n">
        <x:v>4</x:v>
      </x:c>
      <x:c r="F852" s="290" t="str">
        <x:v>首饰盒4</x:v>
      </x:c>
      <x:c r="G852" s="289" t="n">
        <x:v>22</x:v>
      </x:c>
      <x:c r="H852" s="289" t="n">
        <x:v>33</x:v>
      </x:c>
      <x:c r="I852" s="289" t="n">
        <x:v>6871</x:v>
      </x:c>
      <x:c r="J852" s="289" t="n">
        <x:v>0</x:v>
      </x:c>
      <x:c r="K852" s="289" t="n">
        <x:v>2</x:v>
      </x:c>
      <x:c r="L852" s="289" t="n">
        <x:v>4</x:v>
      </x:c>
      <x:c r="M852" s="289" t="n">
        <x:v>6871</x:v>
      </x:c>
      <x:c r="N852" s="289" t="n">
        <x:v>6871</x:v>
      </x:c>
      <x:c r="O852" s="289" t="n">
        <x:v>6871</x:v>
      </x:c>
      <x:c r="P852" s="292"/>
      <x:c r="Q852" s="292" t="str">
        <x:v>candidate-preflight-passed</x:v>
      </x:c>
      <x:c r="R852" s="292" t="str"/>
      <x:c r="S852" s="292" t="str">
        <x:v>玄渊二十套全装备代码总表.xlsx</x:v>
      </x:c>
      <x:c r="T852" s="292" t="str">
        <x:v>玄渊20套全装备视觉候选；Items/StateItem/DnItems三库同码；属性待策划填写；OverLap=2; Expand1=4</x:v>
      </x:c>
      <x:c r="U852" t="str">
        <x:f>IF(COUNTIF($B$2:$B$1076,B852)&gt;1,"重复","")</x:f>
      </x:c>
      <x:c r="V852" t="str">
        <x:f>IF(AND(OR(M852="",M852=B852),OR(N852="",N852=B852),OR(O852="",O852=B852)),"通过","不一致")</x:f>
        <x:v>通过</x:v>
      </x:c>
    </x:row>
    <x:row r="853" ht="22" customHeight="1">
      <x:c r="A853" s="289" t="n">
        <x:v>852</x:v>
      </x:c>
      <x:c r="B853" s="289" t="n">
        <x:v>6872</x:v>
      </x:c>
      <x:c r="C853" s="290" t="str">
        <x:v>星渊龙息·天穹</x:v>
      </x:c>
      <x:c r="D853" s="290" t="str">
        <x:v>星渊龙息</x:v>
      </x:c>
      <x:c r="E853" s="290" t="n">
        <x:v>4</x:v>
      </x:c>
      <x:c r="F853" s="290" t="str">
        <x:v>首饰盒5</x:v>
      </x:c>
      <x:c r="G853" s="289" t="n">
        <x:v>22</x:v>
      </x:c>
      <x:c r="H853" s="289" t="n">
        <x:v>34</x:v>
      </x:c>
      <x:c r="I853" s="289" t="n">
        <x:v>6872</x:v>
      </x:c>
      <x:c r="J853" s="289" t="n">
        <x:v>0</x:v>
      </x:c>
      <x:c r="K853" s="289" t="n">
        <x:v>2</x:v>
      </x:c>
      <x:c r="L853" s="289" t="n">
        <x:v>5</x:v>
      </x:c>
      <x:c r="M853" s="289" t="n">
        <x:v>6872</x:v>
      </x:c>
      <x:c r="N853" s="289" t="n">
        <x:v>6872</x:v>
      </x:c>
      <x:c r="O853" s="289" t="n">
        <x:v>6872</x:v>
      </x:c>
      <x:c r="P853" s="292"/>
      <x:c r="Q853" s="292" t="str">
        <x:v>candidate-preflight-passed</x:v>
      </x:c>
      <x:c r="R853" s="292" t="str"/>
      <x:c r="S853" s="292" t="str">
        <x:v>玄渊二十套全装备代码总表.xlsx</x:v>
      </x:c>
      <x:c r="T853" s="292" t="str">
        <x:v>玄渊20套全装备视觉候选；Items/StateItem/DnItems三库同码；属性待策划填写；OverLap=2; Expand1=5</x:v>
      </x:c>
      <x:c r="U853" t="str">
        <x:f>IF(COUNTIF($B$2:$B$1076,B853)&gt;1,"重复","")</x:f>
      </x:c>
      <x:c r="V853" t="str">
        <x:f>IF(AND(OR(M853="",M853=B853),OR(N853="",N853=B853),OR(O853="",O853=B853)),"通过","不一致")</x:f>
        <x:v>通过</x:v>
      </x:c>
    </x:row>
    <x:row r="854" ht="22" customHeight="1">
      <x:c r="A854" s="289" t="n">
        <x:v>853</x:v>
      </x:c>
      <x:c r="B854" s="289" t="n">
        <x:v>6873</x:v>
      </x:c>
      <x:c r="C854" s="290" t="str">
        <x:v>星渊龙息·天穹</x:v>
      </x:c>
      <x:c r="D854" s="290" t="str">
        <x:v>星渊龙息</x:v>
      </x:c>
      <x:c r="E854" s="290" t="n">
        <x:v>4</x:v>
      </x:c>
      <x:c r="F854" s="290" t="str">
        <x:v>首饰盒6</x:v>
      </x:c>
      <x:c r="G854" s="289" t="n">
        <x:v>22</x:v>
      </x:c>
      <x:c r="H854" s="289" t="n">
        <x:v>35</x:v>
      </x:c>
      <x:c r="I854" s="289" t="n">
        <x:v>6873</x:v>
      </x:c>
      <x:c r="J854" s="289" t="n">
        <x:v>0</x:v>
      </x:c>
      <x:c r="K854" s="289" t="n">
        <x:v>2</x:v>
      </x:c>
      <x:c r="L854" s="289" t="n">
        <x:v>6</x:v>
      </x:c>
      <x:c r="M854" s="289" t="n">
        <x:v>6873</x:v>
      </x:c>
      <x:c r="N854" s="289" t="n">
        <x:v>6873</x:v>
      </x:c>
      <x:c r="O854" s="289" t="n">
        <x:v>6873</x:v>
      </x:c>
      <x:c r="P854" s="292"/>
      <x:c r="Q854" s="292" t="str">
        <x:v>candidate-preflight-passed</x:v>
      </x:c>
      <x:c r="R854" s="292" t="str"/>
      <x:c r="S854" s="292" t="str">
        <x:v>玄渊二十套全装备代码总表.xlsx</x:v>
      </x:c>
      <x:c r="T854" s="292" t="str">
        <x:v>玄渊20套全装备视觉候选；Items/StateItem/DnItems三库同码；属性待策划填写；OverLap=2; Expand1=6</x:v>
      </x:c>
      <x:c r="U854" t="str">
        <x:f>IF(COUNTIF($B$2:$B$1076,B854)&gt;1,"重复","")</x:f>
      </x:c>
      <x:c r="V854" t="str">
        <x:f>IF(AND(OR(M854="",M854=B854),OR(N854="",N854=B854),OR(O854="",O854=B854)),"通过","不一致")</x:f>
        <x:v>通过</x:v>
      </x:c>
    </x:row>
    <x:row r="855" ht="22" customHeight="1">
      <x:c r="A855" s="289" t="n">
        <x:v>854</x:v>
      </x:c>
      <x:c r="B855" s="289" t="n">
        <x:v>6874</x:v>
      </x:c>
      <x:c r="C855" s="290" t="str">
        <x:v>星渊龙息·天穹</x:v>
      </x:c>
      <x:c r="D855" s="290" t="str">
        <x:v>星渊龙息</x:v>
      </x:c>
      <x:c r="E855" s="290" t="n">
        <x:v>4</x:v>
      </x:c>
      <x:c r="F855" s="290" t="str">
        <x:v>生肖1</x:v>
      </x:c>
      <x:c r="G855" s="289" t="n">
        <x:v>22</x:v>
      </x:c>
      <x:c r="H855" s="289" t="n">
        <x:v>40</x:v>
      </x:c>
      <x:c r="I855" s="289" t="n">
        <x:v>6874</x:v>
      </x:c>
      <x:c r="J855" s="289" t="n">
        <x:v>0</x:v>
      </x:c>
      <x:c r="K855" s="289" t="n">
        <x:v>4</x:v>
      </x:c>
      <x:c r="L855" s="289" t="n">
        <x:v>1</x:v>
      </x:c>
      <x:c r="M855" s="289" t="n">
        <x:v>6874</x:v>
      </x:c>
      <x:c r="N855" s="289" t="n">
        <x:v>6874</x:v>
      </x:c>
      <x:c r="O855" s="289" t="n">
        <x:v>6874</x:v>
      </x:c>
      <x:c r="P855" s="292"/>
      <x:c r="Q855" s="292" t="str">
        <x:v>candidate-preflight-passed</x:v>
      </x:c>
      <x:c r="R855" s="292" t="str"/>
      <x:c r="S855" s="292" t="str">
        <x:v>玄渊二十套全装备代码总表.xlsx</x:v>
      </x:c>
      <x:c r="T855" s="292" t="str">
        <x:v>玄渊20套全装备视觉候选；Items/StateItem/DnItems三库同码；属性待策划填写；OverLap=4; Expand1=1</x:v>
      </x:c>
      <x:c r="U855" t="str">
        <x:f>IF(COUNTIF($B$2:$B$1076,B855)&gt;1,"重复","")</x:f>
      </x:c>
      <x:c r="V855" t="str">
        <x:f>IF(AND(OR(M855="",M855=B855),OR(N855="",N855=B855),OR(O855="",O855=B855)),"通过","不一致")</x:f>
        <x:v>通过</x:v>
      </x:c>
    </x:row>
    <x:row r="856" ht="22" customHeight="1">
      <x:c r="A856" s="289" t="n">
        <x:v>855</x:v>
      </x:c>
      <x:c r="B856" s="289" t="n">
        <x:v>6875</x:v>
      </x:c>
      <x:c r="C856" s="290" t="str">
        <x:v>星渊龙息·天穹</x:v>
      </x:c>
      <x:c r="D856" s="290" t="str">
        <x:v>星渊龙息</x:v>
      </x:c>
      <x:c r="E856" s="290" t="n">
        <x:v>4</x:v>
      </x:c>
      <x:c r="F856" s="290" t="str">
        <x:v>生肖2</x:v>
      </x:c>
      <x:c r="G856" s="289" t="n">
        <x:v>22</x:v>
      </x:c>
      <x:c r="H856" s="289" t="n">
        <x:v>41</x:v>
      </x:c>
      <x:c r="I856" s="289" t="n">
        <x:v>6875</x:v>
      </x:c>
      <x:c r="J856" s="289" t="n">
        <x:v>0</x:v>
      </x:c>
      <x:c r="K856" s="289" t="n">
        <x:v>4</x:v>
      </x:c>
      <x:c r="L856" s="289" t="n">
        <x:v>2</x:v>
      </x:c>
      <x:c r="M856" s="289" t="n">
        <x:v>6875</x:v>
      </x:c>
      <x:c r="N856" s="289" t="n">
        <x:v>6875</x:v>
      </x:c>
      <x:c r="O856" s="289" t="n">
        <x:v>6875</x:v>
      </x:c>
      <x:c r="P856" s="292"/>
      <x:c r="Q856" s="292" t="str">
        <x:v>candidate-preflight-passed</x:v>
      </x:c>
      <x:c r="R856" s="292" t="str"/>
      <x:c r="S856" s="292" t="str">
        <x:v>玄渊二十套全装备代码总表.xlsx</x:v>
      </x:c>
      <x:c r="T856" s="292" t="str">
        <x:v>玄渊20套全装备视觉候选；Items/StateItem/DnItems三库同码；属性待策划填写；OverLap=4; Expand1=2</x:v>
      </x:c>
      <x:c r="U856" t="str">
        <x:f>IF(COUNTIF($B$2:$B$1076,B856)&gt;1,"重复","")</x:f>
      </x:c>
      <x:c r="V856" t="str">
        <x:f>IF(AND(OR(M856="",M856=B856),OR(N856="",N856=B856),OR(O856="",O856=B856)),"通过","不一致")</x:f>
        <x:v>通过</x:v>
      </x:c>
    </x:row>
    <x:row r="857" ht="22" customHeight="1">
      <x:c r="A857" s="289" t="n">
        <x:v>856</x:v>
      </x:c>
      <x:c r="B857" s="289" t="n">
        <x:v>6876</x:v>
      </x:c>
      <x:c r="C857" s="290" t="str">
        <x:v>星渊龙息·天穹</x:v>
      </x:c>
      <x:c r="D857" s="290" t="str">
        <x:v>星渊龙息</x:v>
      </x:c>
      <x:c r="E857" s="290" t="n">
        <x:v>4</x:v>
      </x:c>
      <x:c r="F857" s="290" t="str">
        <x:v>生肖3</x:v>
      </x:c>
      <x:c r="G857" s="289" t="n">
        <x:v>22</x:v>
      </x:c>
      <x:c r="H857" s="289" t="n">
        <x:v>42</x:v>
      </x:c>
      <x:c r="I857" s="289" t="n">
        <x:v>6876</x:v>
      </x:c>
      <x:c r="J857" s="289" t="n">
        <x:v>0</x:v>
      </x:c>
      <x:c r="K857" s="289" t="n">
        <x:v>4</x:v>
      </x:c>
      <x:c r="L857" s="289" t="n">
        <x:v>3</x:v>
      </x:c>
      <x:c r="M857" s="289" t="n">
        <x:v>6876</x:v>
      </x:c>
      <x:c r="N857" s="289" t="n">
        <x:v>6876</x:v>
      </x:c>
      <x:c r="O857" s="289" t="n">
        <x:v>6876</x:v>
      </x:c>
      <x:c r="P857" s="292"/>
      <x:c r="Q857" s="292" t="str">
        <x:v>candidate-preflight-passed</x:v>
      </x:c>
      <x:c r="R857" s="292" t="str"/>
      <x:c r="S857" s="292" t="str">
        <x:v>玄渊二十套全装备代码总表.xlsx</x:v>
      </x:c>
      <x:c r="T857" s="292" t="str">
        <x:v>玄渊20套全装备视觉候选；Items/StateItem/DnItems三库同码；属性待策划填写；OverLap=4; Expand1=3</x:v>
      </x:c>
      <x:c r="U857" t="str">
        <x:f>IF(COUNTIF($B$2:$B$1076,B857)&gt;1,"重复","")</x:f>
      </x:c>
      <x:c r="V857" t="str">
        <x:f>IF(AND(OR(M857="",M857=B857),OR(N857="",N857=B857),OR(O857="",O857=B857)),"通过","不一致")</x:f>
        <x:v>通过</x:v>
      </x:c>
    </x:row>
    <x:row r="858" ht="22" customHeight="1">
      <x:c r="A858" s="289" t="n">
        <x:v>857</x:v>
      </x:c>
      <x:c r="B858" s="289" t="n">
        <x:v>6877</x:v>
      </x:c>
      <x:c r="C858" s="290" t="str">
        <x:v>星渊龙息·天穹</x:v>
      </x:c>
      <x:c r="D858" s="290" t="str">
        <x:v>星渊龙息</x:v>
      </x:c>
      <x:c r="E858" s="290" t="n">
        <x:v>4</x:v>
      </x:c>
      <x:c r="F858" s="290" t="str">
        <x:v>生肖4</x:v>
      </x:c>
      <x:c r="G858" s="289" t="n">
        <x:v>22</x:v>
      </x:c>
      <x:c r="H858" s="289" t="n">
        <x:v>43</x:v>
      </x:c>
      <x:c r="I858" s="289" t="n">
        <x:v>6877</x:v>
      </x:c>
      <x:c r="J858" s="289" t="n">
        <x:v>0</x:v>
      </x:c>
      <x:c r="K858" s="289" t="n">
        <x:v>4</x:v>
      </x:c>
      <x:c r="L858" s="289" t="n">
        <x:v>4</x:v>
      </x:c>
      <x:c r="M858" s="289" t="n">
        <x:v>6877</x:v>
      </x:c>
      <x:c r="N858" s="289" t="n">
        <x:v>6877</x:v>
      </x:c>
      <x:c r="O858" s="289" t="n">
        <x:v>6877</x:v>
      </x:c>
      <x:c r="P858" s="292"/>
      <x:c r="Q858" s="292" t="str">
        <x:v>candidate-preflight-passed</x:v>
      </x:c>
      <x:c r="R858" s="292" t="str"/>
      <x:c r="S858" s="292" t="str">
        <x:v>玄渊二十套全装备代码总表.xlsx</x:v>
      </x:c>
      <x:c r="T858" s="292" t="str">
        <x:v>玄渊20套全装备视觉候选；Items/StateItem/DnItems三库同码；属性待策划填写；OverLap=4; Expand1=4</x:v>
      </x:c>
      <x:c r="U858" t="str">
        <x:f>IF(COUNTIF($B$2:$B$1076,B858)&gt;1,"重复","")</x:f>
      </x:c>
      <x:c r="V858" t="str">
        <x:f>IF(AND(OR(M858="",M858=B858),OR(N858="",N858=B858),OR(O858="",O858=B858)),"通过","不一致")</x:f>
        <x:v>通过</x:v>
      </x:c>
    </x:row>
    <x:row r="859" ht="22" customHeight="1">
      <x:c r="A859" s="289" t="n">
        <x:v>858</x:v>
      </x:c>
      <x:c r="B859" s="289" t="n">
        <x:v>6878</x:v>
      </x:c>
      <x:c r="C859" s="290" t="str">
        <x:v>星渊龙息·天穹</x:v>
      </x:c>
      <x:c r="D859" s="290" t="str">
        <x:v>星渊龙息</x:v>
      </x:c>
      <x:c r="E859" s="290" t="n">
        <x:v>4</x:v>
      </x:c>
      <x:c r="F859" s="290" t="str">
        <x:v>生肖5</x:v>
      </x:c>
      <x:c r="G859" s="289" t="n">
        <x:v>22</x:v>
      </x:c>
      <x:c r="H859" s="289" t="n">
        <x:v>44</x:v>
      </x:c>
      <x:c r="I859" s="289" t="n">
        <x:v>6878</x:v>
      </x:c>
      <x:c r="J859" s="289" t="n">
        <x:v>0</x:v>
      </x:c>
      <x:c r="K859" s="289" t="n">
        <x:v>4</x:v>
      </x:c>
      <x:c r="L859" s="289" t="n">
        <x:v>5</x:v>
      </x:c>
      <x:c r="M859" s="289" t="n">
        <x:v>6878</x:v>
      </x:c>
      <x:c r="N859" s="289" t="n">
        <x:v>6878</x:v>
      </x:c>
      <x:c r="O859" s="289" t="n">
        <x:v>6878</x:v>
      </x:c>
      <x:c r="P859" s="292"/>
      <x:c r="Q859" s="292" t="str">
        <x:v>candidate-preflight-passed</x:v>
      </x:c>
      <x:c r="R859" s="292" t="str"/>
      <x:c r="S859" s="292" t="str">
        <x:v>玄渊二十套全装备代码总表.xlsx</x:v>
      </x:c>
      <x:c r="T859" s="292" t="str">
        <x:v>玄渊20套全装备视觉候选；Items/StateItem/DnItems三库同码；属性待策划填写；OverLap=4; Expand1=5</x:v>
      </x:c>
      <x:c r="U859" t="str">
        <x:f>IF(COUNTIF($B$2:$B$1076,B859)&gt;1,"重复","")</x:f>
      </x:c>
      <x:c r="V859" t="str">
        <x:f>IF(AND(OR(M859="",M859=B859),OR(N859="",N859=B859),OR(O859="",O859=B859)),"通过","不一致")</x:f>
        <x:v>通过</x:v>
      </x:c>
    </x:row>
    <x:row r="860" ht="22" customHeight="1">
      <x:c r="A860" s="289" t="n">
        <x:v>859</x:v>
      </x:c>
      <x:c r="B860" s="289" t="n">
        <x:v>6879</x:v>
      </x:c>
      <x:c r="C860" s="290" t="str">
        <x:v>星渊龙息·天穹</x:v>
      </x:c>
      <x:c r="D860" s="290" t="str">
        <x:v>星渊龙息</x:v>
      </x:c>
      <x:c r="E860" s="290" t="n">
        <x:v>4</x:v>
      </x:c>
      <x:c r="F860" s="290" t="str">
        <x:v>生肖6</x:v>
      </x:c>
      <x:c r="G860" s="289" t="n">
        <x:v>22</x:v>
      </x:c>
      <x:c r="H860" s="289" t="n">
        <x:v>45</x:v>
      </x:c>
      <x:c r="I860" s="289" t="n">
        <x:v>6879</x:v>
      </x:c>
      <x:c r="J860" s="289" t="n">
        <x:v>0</x:v>
      </x:c>
      <x:c r="K860" s="289" t="n">
        <x:v>4</x:v>
      </x:c>
      <x:c r="L860" s="289" t="n">
        <x:v>6</x:v>
      </x:c>
      <x:c r="M860" s="289" t="n">
        <x:v>6879</x:v>
      </x:c>
      <x:c r="N860" s="289" t="n">
        <x:v>6879</x:v>
      </x:c>
      <x:c r="O860" s="289" t="n">
        <x:v>6879</x:v>
      </x:c>
      <x:c r="P860" s="292"/>
      <x:c r="Q860" s="292" t="str">
        <x:v>candidate-preflight-passed</x:v>
      </x:c>
      <x:c r="R860" s="292" t="str"/>
      <x:c r="S860" s="292" t="str">
        <x:v>玄渊二十套全装备代码总表.xlsx</x:v>
      </x:c>
      <x:c r="T860" s="292" t="str">
        <x:v>玄渊20套全装备视觉候选；Items/StateItem/DnItems三库同码；属性待策划填写；OverLap=4; Expand1=6</x:v>
      </x:c>
      <x:c r="U860" t="str">
        <x:f>IF(COUNTIF($B$2:$B$1076,B860)&gt;1,"重复","")</x:f>
      </x:c>
      <x:c r="V860" t="str">
        <x:f>IF(AND(OR(M860="",M860=B860),OR(N860="",N860=B860),OR(O860="",O860=B860)),"通过","不一致")</x:f>
        <x:v>通过</x:v>
      </x:c>
    </x:row>
    <x:row r="861" ht="22" customHeight="1">
      <x:c r="A861" s="289" t="n">
        <x:v>860</x:v>
      </x:c>
      <x:c r="B861" s="289" t="n">
        <x:v>6880</x:v>
      </x:c>
      <x:c r="C861" s="290" t="str">
        <x:v>星渊龙息·天穹</x:v>
      </x:c>
      <x:c r="D861" s="290" t="str">
        <x:v>星渊龙息</x:v>
      </x:c>
      <x:c r="E861" s="290" t="n">
        <x:v>4</x:v>
      </x:c>
      <x:c r="F861" s="290" t="str">
        <x:v>生肖7</x:v>
      </x:c>
      <x:c r="G861" s="289" t="n">
        <x:v>22</x:v>
      </x:c>
      <x:c r="H861" s="289" t="n">
        <x:v>46</x:v>
      </x:c>
      <x:c r="I861" s="289" t="n">
        <x:v>6880</x:v>
      </x:c>
      <x:c r="J861" s="289" t="n">
        <x:v>0</x:v>
      </x:c>
      <x:c r="K861" s="289" t="n">
        <x:v>4</x:v>
      </x:c>
      <x:c r="L861" s="289" t="n">
        <x:v>7</x:v>
      </x:c>
      <x:c r="M861" s="289" t="n">
        <x:v>6880</x:v>
      </x:c>
      <x:c r="N861" s="289" t="n">
        <x:v>6880</x:v>
      </x:c>
      <x:c r="O861" s="289" t="n">
        <x:v>6880</x:v>
      </x:c>
      <x:c r="P861" s="292"/>
      <x:c r="Q861" s="292" t="str">
        <x:v>candidate-preflight-passed</x:v>
      </x:c>
      <x:c r="R861" s="292" t="str"/>
      <x:c r="S861" s="292" t="str">
        <x:v>玄渊二十套全装备代码总表.xlsx</x:v>
      </x:c>
      <x:c r="T861" s="292" t="str">
        <x:v>玄渊20套全装备视觉候选；Items/StateItem/DnItems三库同码；属性待策划填写；OverLap=4; Expand1=7</x:v>
      </x:c>
      <x:c r="U861" t="str">
        <x:f>IF(COUNTIF($B$2:$B$1076,B861)&gt;1,"重复","")</x:f>
      </x:c>
      <x:c r="V861" t="str">
        <x:f>IF(AND(OR(M861="",M861=B861),OR(N861="",N861=B861),OR(O861="",O861=B861)),"通过","不一致")</x:f>
        <x:v>通过</x:v>
      </x:c>
    </x:row>
    <x:row r="862" ht="22" customHeight="1">
      <x:c r="A862" s="289" t="n">
        <x:v>861</x:v>
      </x:c>
      <x:c r="B862" s="289" t="n">
        <x:v>6881</x:v>
      </x:c>
      <x:c r="C862" s="290" t="str">
        <x:v>星渊龙息·天穹</x:v>
      </x:c>
      <x:c r="D862" s="290" t="str">
        <x:v>星渊龙息</x:v>
      </x:c>
      <x:c r="E862" s="290" t="n">
        <x:v>4</x:v>
      </x:c>
      <x:c r="F862" s="290" t="str">
        <x:v>生肖8</x:v>
      </x:c>
      <x:c r="G862" s="289" t="n">
        <x:v>22</x:v>
      </x:c>
      <x:c r="H862" s="289" t="n">
        <x:v>47</x:v>
      </x:c>
      <x:c r="I862" s="289" t="n">
        <x:v>6881</x:v>
      </x:c>
      <x:c r="J862" s="289" t="n">
        <x:v>0</x:v>
      </x:c>
      <x:c r="K862" s="289" t="n">
        <x:v>4</x:v>
      </x:c>
      <x:c r="L862" s="289" t="n">
        <x:v>8</x:v>
      </x:c>
      <x:c r="M862" s="289" t="n">
        <x:v>6881</x:v>
      </x:c>
      <x:c r="N862" s="289" t="n">
        <x:v>6881</x:v>
      </x:c>
      <x:c r="O862" s="289" t="n">
        <x:v>6881</x:v>
      </x:c>
      <x:c r="P862" s="292"/>
      <x:c r="Q862" s="292" t="str">
        <x:v>candidate-preflight-passed</x:v>
      </x:c>
      <x:c r="R862" s="292" t="str"/>
      <x:c r="S862" s="292" t="str">
        <x:v>玄渊二十套全装备代码总表.xlsx</x:v>
      </x:c>
      <x:c r="T862" s="292" t="str">
        <x:v>玄渊20套全装备视觉候选；Items/StateItem/DnItems三库同码；属性待策划填写；OverLap=4; Expand1=8</x:v>
      </x:c>
      <x:c r="U862" t="str">
        <x:f>IF(COUNTIF($B$2:$B$1076,B862)&gt;1,"重复","")</x:f>
      </x:c>
      <x:c r="V862" t="str">
        <x:f>IF(AND(OR(M862="",M862=B862),OR(N862="",N862=B862),OR(O862="",O862=B862)),"通过","不一致")</x:f>
        <x:v>通过</x:v>
      </x:c>
    </x:row>
    <x:row r="863" ht="22" customHeight="1">
      <x:c r="A863" s="289" t="n">
        <x:v>862</x:v>
      </x:c>
      <x:c r="B863" s="289" t="n">
        <x:v>6882</x:v>
      </x:c>
      <x:c r="C863" s="290" t="str">
        <x:v>星渊龙息·天穹</x:v>
      </x:c>
      <x:c r="D863" s="290" t="str">
        <x:v>星渊龙息</x:v>
      </x:c>
      <x:c r="E863" s="290" t="n">
        <x:v>4</x:v>
      </x:c>
      <x:c r="F863" s="290" t="str">
        <x:v>生肖9</x:v>
      </x:c>
      <x:c r="G863" s="289" t="n">
        <x:v>22</x:v>
      </x:c>
      <x:c r="H863" s="289" t="n">
        <x:v>48</x:v>
      </x:c>
      <x:c r="I863" s="289" t="n">
        <x:v>6882</x:v>
      </x:c>
      <x:c r="J863" s="289" t="n">
        <x:v>0</x:v>
      </x:c>
      <x:c r="K863" s="289" t="n">
        <x:v>4</x:v>
      </x:c>
      <x:c r="L863" s="289" t="n">
        <x:v>9</x:v>
      </x:c>
      <x:c r="M863" s="289" t="n">
        <x:v>6882</x:v>
      </x:c>
      <x:c r="N863" s="289" t="n">
        <x:v>6882</x:v>
      </x:c>
      <x:c r="O863" s="289" t="n">
        <x:v>6882</x:v>
      </x:c>
      <x:c r="P863" s="292"/>
      <x:c r="Q863" s="292" t="str">
        <x:v>candidate-preflight-passed</x:v>
      </x:c>
      <x:c r="R863" s="292" t="str"/>
      <x:c r="S863" s="292" t="str">
        <x:v>玄渊二十套全装备代码总表.xlsx</x:v>
      </x:c>
      <x:c r="T863" s="292" t="str">
        <x:v>玄渊20套全装备视觉候选；Items/StateItem/DnItems三库同码；属性待策划填写；OverLap=4; Expand1=9</x:v>
      </x:c>
      <x:c r="U863" t="str">
        <x:f>IF(COUNTIF($B$2:$B$1076,B863)&gt;1,"重复","")</x:f>
      </x:c>
      <x:c r="V863" t="str">
        <x:f>IF(AND(OR(M863="",M863=B863),OR(N863="",N863=B863),OR(O863="",O863=B863)),"通过","不一致")</x:f>
        <x:v>通过</x:v>
      </x:c>
    </x:row>
    <x:row r="864" ht="22" customHeight="1">
      <x:c r="A864" s="289" t="n">
        <x:v>863</x:v>
      </x:c>
      <x:c r="B864" s="289" t="n">
        <x:v>6883</x:v>
      </x:c>
      <x:c r="C864" s="290" t="str">
        <x:v>星渊龙息·天穹</x:v>
      </x:c>
      <x:c r="D864" s="290" t="str">
        <x:v>星渊龙息</x:v>
      </x:c>
      <x:c r="E864" s="290" t="n">
        <x:v>4</x:v>
      </x:c>
      <x:c r="F864" s="290" t="str">
        <x:v>生肖10</x:v>
      </x:c>
      <x:c r="G864" s="289" t="n">
        <x:v>22</x:v>
      </x:c>
      <x:c r="H864" s="289" t="n">
        <x:v>49</x:v>
      </x:c>
      <x:c r="I864" s="289" t="n">
        <x:v>6883</x:v>
      </x:c>
      <x:c r="J864" s="289" t="n">
        <x:v>0</x:v>
      </x:c>
      <x:c r="K864" s="289" t="n">
        <x:v>4</x:v>
      </x:c>
      <x:c r="L864" s="289" t="n">
        <x:v>10</x:v>
      </x:c>
      <x:c r="M864" s="289" t="n">
        <x:v>6883</x:v>
      </x:c>
      <x:c r="N864" s="289" t="n">
        <x:v>6883</x:v>
      </x:c>
      <x:c r="O864" s="289" t="n">
        <x:v>6883</x:v>
      </x:c>
      <x:c r="P864" s="292"/>
      <x:c r="Q864" s="292" t="str">
        <x:v>candidate-preflight-passed</x:v>
      </x:c>
      <x:c r="R864" s="292" t="str"/>
      <x:c r="S864" s="292" t="str">
        <x:v>玄渊二十套全装备代码总表.xlsx</x:v>
      </x:c>
      <x:c r="T864" s="292" t="str">
        <x:v>玄渊20套全装备视觉候选；Items/StateItem/DnItems三库同码；属性待策划填写；OverLap=4; Expand1=10</x:v>
      </x:c>
      <x:c r="U864" t="str">
        <x:f>IF(COUNTIF($B$2:$B$1076,B864)&gt;1,"重复","")</x:f>
      </x:c>
      <x:c r="V864" t="str">
        <x:f>IF(AND(OR(M864="",M864=B864),OR(N864="",N864=B864),OR(O864="",O864=B864)),"通过","不一致")</x:f>
        <x:v>通过</x:v>
      </x:c>
    </x:row>
    <x:row r="865" ht="22" customHeight="1">
      <x:c r="A865" s="289" t="n">
        <x:v>864</x:v>
      </x:c>
      <x:c r="B865" s="289" t="n">
        <x:v>6884</x:v>
      </x:c>
      <x:c r="C865" s="290" t="str">
        <x:v>星渊龙息·天穹</x:v>
      </x:c>
      <x:c r="D865" s="290" t="str">
        <x:v>星渊龙息</x:v>
      </x:c>
      <x:c r="E865" s="290" t="n">
        <x:v>4</x:v>
      </x:c>
      <x:c r="F865" s="290" t="str">
        <x:v>生肖11</x:v>
      </x:c>
      <x:c r="G865" s="289" t="n">
        <x:v>22</x:v>
      </x:c>
      <x:c r="H865" s="289" t="n">
        <x:v>50</x:v>
      </x:c>
      <x:c r="I865" s="289" t="n">
        <x:v>6884</x:v>
      </x:c>
      <x:c r="J865" s="289" t="n">
        <x:v>0</x:v>
      </x:c>
      <x:c r="K865" s="289" t="n">
        <x:v>4</x:v>
      </x:c>
      <x:c r="L865" s="289" t="n">
        <x:v>11</x:v>
      </x:c>
      <x:c r="M865" s="289" t="n">
        <x:v>6884</x:v>
      </x:c>
      <x:c r="N865" s="289" t="n">
        <x:v>6884</x:v>
      </x:c>
      <x:c r="O865" s="289" t="n">
        <x:v>6884</x:v>
      </x:c>
      <x:c r="P865" s="292"/>
      <x:c r="Q865" s="292" t="str">
        <x:v>candidate-preflight-passed</x:v>
      </x:c>
      <x:c r="R865" s="292" t="str"/>
      <x:c r="S865" s="292" t="str">
        <x:v>玄渊二十套全装备代码总表.xlsx</x:v>
      </x:c>
      <x:c r="T865" s="292" t="str">
        <x:v>玄渊20套全装备视觉候选；Items/StateItem/DnItems三库同码；属性待策划填写；OverLap=4; Expand1=11</x:v>
      </x:c>
      <x:c r="U865" t="str">
        <x:f>IF(COUNTIF($B$2:$B$1076,B865)&gt;1,"重复","")</x:f>
      </x:c>
      <x:c r="V865" t="str">
        <x:f>IF(AND(OR(M865="",M865=B865),OR(N865="",N865=B865),OR(O865="",O865=B865)),"通过","不一致")</x:f>
        <x:v>通过</x:v>
      </x:c>
    </x:row>
    <x:row r="866" ht="22" customHeight="1">
      <x:c r="A866" s="289" t="n">
        <x:v>865</x:v>
      </x:c>
      <x:c r="B866" s="289" t="n">
        <x:v>6885</x:v>
      </x:c>
      <x:c r="C866" s="290" t="str">
        <x:v>星渊龙息·天穹</x:v>
      </x:c>
      <x:c r="D866" s="290" t="str">
        <x:v>星渊龙息</x:v>
      </x:c>
      <x:c r="E866" s="290" t="n">
        <x:v>4</x:v>
      </x:c>
      <x:c r="F866" s="290" t="str">
        <x:v>生肖12</x:v>
      </x:c>
      <x:c r="G866" s="289" t="n">
        <x:v>22</x:v>
      </x:c>
      <x:c r="H866" s="289" t="n">
        <x:v>51</x:v>
      </x:c>
      <x:c r="I866" s="289" t="n">
        <x:v>6885</x:v>
      </x:c>
      <x:c r="J866" s="289" t="n">
        <x:v>0</x:v>
      </x:c>
      <x:c r="K866" s="289" t="n">
        <x:v>4</x:v>
      </x:c>
      <x:c r="L866" s="289" t="n">
        <x:v>12</x:v>
      </x:c>
      <x:c r="M866" s="289" t="n">
        <x:v>6885</x:v>
      </x:c>
      <x:c r="N866" s="289" t="n">
        <x:v>6885</x:v>
      </x:c>
      <x:c r="O866" s="289" t="n">
        <x:v>6885</x:v>
      </x:c>
      <x:c r="P866" s="292"/>
      <x:c r="Q866" s="292" t="str">
        <x:v>candidate-preflight-passed</x:v>
      </x:c>
      <x:c r="R866" s="292" t="str"/>
      <x:c r="S866" s="292" t="str">
        <x:v>玄渊二十套全装备代码总表.xlsx</x:v>
      </x:c>
      <x:c r="T866" s="292" t="str">
        <x:v>玄渊20套全装备视觉候选；Items/StateItem/DnItems三库同码；属性待策划填写；OverLap=4; Expand1=12</x:v>
      </x:c>
      <x:c r="U866" t="str">
        <x:f>IF(COUNTIF($B$2:$B$1076,B866)&gt;1,"重复","")</x:f>
      </x:c>
      <x:c r="V866" t="str">
        <x:f>IF(AND(OR(M866="",M866=B866),OR(N866="",N866=B866),OR(O866="",O866=B866)),"通过","不一致")</x:f>
        <x:v>通过</x:v>
      </x:c>
    </x:row>
    <x:row r="867" ht="22" customHeight="1">
      <x:c r="A867" s="289" t="n">
        <x:v>866</x:v>
      </x:c>
      <x:c r="B867" s="289" t="n">
        <x:v>6886</x:v>
      </x:c>
      <x:c r="C867" s="290" t="str">
        <x:v>星渊龙息·无垠</x:v>
      </x:c>
      <x:c r="D867" s="290" t="str">
        <x:v>星渊龙息</x:v>
      </x:c>
      <x:c r="E867" s="290" t="n">
        <x:v>5</x:v>
      </x:c>
      <x:c r="F867" s="290" t="str">
        <x:v>武器</x:v>
      </x:c>
      <x:c r="G867" s="289" t="n">
        <x:v>5</x:v>
      </x:c>
      <x:c r="H867" s="289" t="n">
        <x:v>1</x:v>
      </x:c>
      <x:c r="I867" s="289" t="n">
        <x:v>6886</x:v>
      </x:c>
      <x:c r="J867" s="289" t="n">
        <x:v>30</x:v>
      </x:c>
      <x:c r="K867" s="289" t="n">
        <x:v>0</x:v>
      </x:c>
      <x:c r="L867" s="289" t="n">
        <x:v>0</x:v>
      </x:c>
      <x:c r="M867" s="289" t="n">
        <x:v>6886</x:v>
      </x:c>
      <x:c r="N867" s="289" t="n">
        <x:v>6886</x:v>
      </x:c>
      <x:c r="O867" s="289" t="n">
        <x:v>6886</x:v>
      </x:c>
      <x:c r="P867" s="292" t="str">
        <x:v>Weapon.wzl/wzx（复用现有真实动作）</x:v>
      </x:c>
      <x:c r="Q867" s="292" t="str">
        <x:v>candidate-preflight-passed</x:v>
      </x:c>
      <x:c r="R867" s="324" t="str">
        <x:v>C3-C10规划锁定：雾冠巡庭刃</x:v>
      </x:c>
      <x:c r="S867" s="292" t="str">
        <x:v>玄渊二十套全装备代码总表.xlsx</x:v>
      </x:c>
      <x:c r="T867" s="292" t="str">
        <x:v>玄渊20套全装备视觉候选；Items/StateItem/DnItems三库同码；属性待策划填写；Weapon Shape=30</x:v>
      </x:c>
      <x:c r="U867" t="str">
        <x:f>IF(COUNTIF($B$2:$B$1076,B867)&gt;1,"重复","")</x:f>
      </x:c>
      <x:c r="V867" t="str">
        <x:f>IF(AND(OR(M867="",M867=B867),OR(N867="",N867=B867),OR(O867="",O867=B867)),"通过","不一致")</x:f>
        <x:v>通过</x:v>
      </x:c>
    </x:row>
    <x:row r="868" ht="22" customHeight="1">
      <x:c r="A868" s="289" t="n">
        <x:v>867</x:v>
      </x:c>
      <x:c r="B868" s="289" t="n">
        <x:v>6887</x:v>
      </x:c>
      <x:c r="C868" s="290" t="str">
        <x:v>星渊龙息·无垠</x:v>
      </x:c>
      <x:c r="D868" s="290" t="str">
        <x:v>星渊龙息</x:v>
      </x:c>
      <x:c r="E868" s="290" t="n">
        <x:v>5</x:v>
      </x:c>
      <x:c r="F868" s="290" t="str">
        <x:v>男衣服</x:v>
      </x:c>
      <x:c r="G868" s="289" t="n">
        <x:v>10</x:v>
      </x:c>
      <x:c r="H868" s="289" t="n">
        <x:v>0</x:v>
      </x:c>
      <x:c r="I868" s="289" t="n">
        <x:v>6887</x:v>
      </x:c>
      <x:c r="J868" s="289" t="n">
        <x:v>7</x:v>
      </x:c>
      <x:c r="K868" s="289" t="n">
        <x:v>0</x:v>
      </x:c>
      <x:c r="L868" s="289" t="n">
        <x:v>0</x:v>
      </x:c>
      <x:c r="M868" s="289" t="n">
        <x:v>6887</x:v>
      </x:c>
      <x:c r="N868" s="289" t="n">
        <x:v>6887</x:v>
      </x:c>
      <x:c r="O868" s="289" t="n">
        <x:v>6887</x:v>
      </x:c>
      <x:c r="P868" s="292" t="str">
        <x:v>Hum.wzl/wzx（复用现有真实动作）</x:v>
      </x:c>
      <x:c r="Q868" s="292" t="str">
        <x:v>candidate-preflight-passed</x:v>
      </x:c>
      <x:c r="R868" s="324" t="str">
        <x:v>C3-C10规划锁定：万棱圣坛鳞衣</x:v>
      </x:c>
      <x:c r="S868" s="292" t="str">
        <x:v>玄渊二十套全装备代码总表.xlsx</x:v>
      </x:c>
      <x:c r="T868" s="292" t="str">
        <x:v>玄渊20套全装备视觉候选；Items/StateItem/DnItems三库同码；属性待策划填写；Hum Shape=7</x:v>
      </x:c>
      <x:c r="U868" t="str">
        <x:f>IF(COUNTIF($B$2:$B$1076,B868)&gt;1,"重复","")</x:f>
      </x:c>
      <x:c r="V868" t="str">
        <x:f>IF(AND(OR(M868="",M868=B868),OR(N868="",N868=B868),OR(O868="",O868=B868)),"通过","不一致")</x:f>
        <x:v>通过</x:v>
      </x:c>
    </x:row>
    <x:row r="869" ht="22" customHeight="1">
      <x:c r="A869" s="289" t="n">
        <x:v>868</x:v>
      </x:c>
      <x:c r="B869" s="289" t="n">
        <x:v>6888</x:v>
      </x:c>
      <x:c r="C869" s="290" t="str">
        <x:v>星渊龙息·无垠</x:v>
      </x:c>
      <x:c r="D869" s="290" t="str">
        <x:v>星渊龙息</x:v>
      </x:c>
      <x:c r="E869" s="290" t="n">
        <x:v>5</x:v>
      </x:c>
      <x:c r="F869" s="290" t="str">
        <x:v>女衣服</x:v>
      </x:c>
      <x:c r="G869" s="289" t="n">
        <x:v>11</x:v>
      </x:c>
      <x:c r="H869" s="289" t="n">
        <x:v>0</x:v>
      </x:c>
      <x:c r="I869" s="289" t="n">
        <x:v>6888</x:v>
      </x:c>
      <x:c r="J869" s="289" t="n">
        <x:v>7</x:v>
      </x:c>
      <x:c r="K869" s="289" t="n">
        <x:v>0</x:v>
      </x:c>
      <x:c r="L869" s="289" t="n">
        <x:v>0</x:v>
      </x:c>
      <x:c r="M869" s="289" t="n">
        <x:v>6888</x:v>
      </x:c>
      <x:c r="N869" s="289" t="n">
        <x:v>6888</x:v>
      </x:c>
      <x:c r="O869" s="289" t="n">
        <x:v>6888</x:v>
      </x:c>
      <x:c r="P869" s="292" t="str">
        <x:v>Hum.wzl/wzx（复用现有真实动作）</x:v>
      </x:c>
      <x:c r="Q869" s="292" t="str">
        <x:v>candidate-preflight-passed</x:v>
      </x:c>
      <x:c r="R869" s="292" t="str"/>
      <x:c r="S869" s="292" t="str">
        <x:v>玄渊二十套全装备代码总表.xlsx</x:v>
      </x:c>
      <x:c r="T869" s="292" t="str">
        <x:v>玄渊20套全装备视觉候选；Items/StateItem/DnItems三库同码；属性待策划填写；Hum Shape=7</x:v>
      </x:c>
      <x:c r="U869" t="str">
        <x:f>IF(COUNTIF($B$2:$B$1076,B869)&gt;1,"重复","")</x:f>
      </x:c>
      <x:c r="V869" t="str">
        <x:f>IF(AND(OR(M869="",M869=B869),OR(N869="",N869=B869),OR(O869="",O869=B869)),"通过","不一致")</x:f>
        <x:v>通过</x:v>
      </x:c>
    </x:row>
    <x:row r="870" ht="22" customHeight="1">
      <x:c r="A870" s="289" t="n">
        <x:v>869</x:v>
      </x:c>
      <x:c r="B870" s="289" t="n">
        <x:v>6889</x:v>
      </x:c>
      <x:c r="C870" s="290" t="str">
        <x:v>星渊龙息·无垠</x:v>
      </x:c>
      <x:c r="D870" s="290" t="str">
        <x:v>星渊龙息</x:v>
      </x:c>
      <x:c r="E870" s="290" t="n">
        <x:v>5</x:v>
      </x:c>
      <x:c r="F870" s="290" t="str">
        <x:v>头盔</x:v>
      </x:c>
      <x:c r="G870" s="289" t="n">
        <x:v>15</x:v>
      </x:c>
      <x:c r="H870" s="289" t="n">
        <x:v>4</x:v>
      </x:c>
      <x:c r="I870" s="289" t="n">
        <x:v>6889</x:v>
      </x:c>
      <x:c r="J870" s="289" t="n">
        <x:v>0</x:v>
      </x:c>
      <x:c r="K870" s="289" t="n">
        <x:v>0</x:v>
      </x:c>
      <x:c r="L870" s="289" t="n">
        <x:v>0</x:v>
      </x:c>
      <x:c r="M870" s="289" t="n">
        <x:v>6889</x:v>
      </x:c>
      <x:c r="N870" s="289" t="n">
        <x:v>6889</x:v>
      </x:c>
      <x:c r="O870" s="289" t="n">
        <x:v>6889</x:v>
      </x:c>
      <x:c r="P870" s="292"/>
      <x:c r="Q870" s="292" t="str">
        <x:v>candidate-preflight-passed</x:v>
      </x:c>
      <x:c r="R870" s="324" t="str">
        <x:v>C3-C10规划锁定：滤水蚌盔</x:v>
      </x:c>
      <x:c r="S870" s="292" t="str">
        <x:v>玄渊二十套全装备代码总表.xlsx</x:v>
      </x:c>
      <x:c r="T870" s="292" t="str">
        <x:v>玄渊20套全装备视觉候选；Items/StateItem/DnItems三库同码；属性待策划填写</x:v>
      </x:c>
      <x:c r="U870" t="str">
        <x:f>IF(COUNTIF($B$2:$B$1076,B870)&gt;1,"重复","")</x:f>
      </x:c>
      <x:c r="V870" t="str">
        <x:f>IF(AND(OR(M870="",M870=B870),OR(N870="",N870=B870),OR(O870="",O870=B870)),"通过","不一致")</x:f>
        <x:v>通过</x:v>
      </x:c>
    </x:row>
    <x:row r="871" ht="22" customHeight="1">
      <x:c r="A871" s="289" t="n">
        <x:v>870</x:v>
      </x:c>
      <x:c r="B871" s="289" t="n">
        <x:v>6890</x:v>
      </x:c>
      <x:c r="C871" s="290" t="str">
        <x:v>星渊龙息·无垠</x:v>
      </x:c>
      <x:c r="D871" s="290" t="str">
        <x:v>星渊龙息</x:v>
      </x:c>
      <x:c r="E871" s="290" t="n">
        <x:v>5</x:v>
      </x:c>
      <x:c r="F871" s="290" t="str">
        <x:v>面巾</x:v>
      </x:c>
      <x:c r="G871" s="289" t="n">
        <x:v>16</x:v>
      </x:c>
      <x:c r="H871" s="289" t="n">
        <x:v>13</x:v>
      </x:c>
      <x:c r="I871" s="289" t="n">
        <x:v>6890</x:v>
      </x:c>
      <x:c r="J871" s="289" t="n">
        <x:v>0</x:v>
      </x:c>
      <x:c r="K871" s="289" t="n">
        <x:v>0</x:v>
      </x:c>
      <x:c r="L871" s="289" t="n">
        <x:v>0</x:v>
      </x:c>
      <x:c r="M871" s="289" t="n">
        <x:v>6890</x:v>
      </x:c>
      <x:c r="N871" s="289" t="n">
        <x:v>6890</x:v>
      </x:c>
      <x:c r="O871" s="289" t="n">
        <x:v>6890</x:v>
      </x:c>
      <x:c r="P871" s="292"/>
      <x:c r="Q871" s="292" t="str">
        <x:v>candidate-preflight-passed</x:v>
      </x:c>
      <x:c r="R871" s="324" t="str">
        <x:v>C3-C10规划锁定：潜旗客灰翎笠</x:v>
      </x:c>
      <x:c r="S871" s="292" t="str">
        <x:v>玄渊二十套全装备代码总表.xlsx</x:v>
      </x:c>
      <x:c r="T871" s="292" t="str">
        <x:v>玄渊20套全装备视觉候选；Items/StateItem/DnItems三库同码；属性待策划填写</x:v>
      </x:c>
      <x:c r="U871" t="str">
        <x:f>IF(COUNTIF($B$2:$B$1076,B871)&gt;1,"重复","")</x:f>
      </x:c>
      <x:c r="V871" t="str">
        <x:f>IF(AND(OR(M871="",M871=B871),OR(N871="",N871=B871),OR(O871="",O871=B871)),"通过","不一致")</x:f>
        <x:v>通过</x:v>
      </x:c>
    </x:row>
    <x:row r="872" ht="22" customHeight="1">
      <x:c r="A872" s="289" t="n">
        <x:v>871</x:v>
      </x:c>
      <x:c r="B872" s="289" t="n">
        <x:v>6891</x:v>
      </x:c>
      <x:c r="C872" s="290" t="str">
        <x:v>星渊龙息·无垠</x:v>
      </x:c>
      <x:c r="D872" s="290" t="str">
        <x:v>星渊龙息</x:v>
      </x:c>
      <x:c r="E872" s="290" t="n">
        <x:v>5</x:v>
      </x:c>
      <x:c r="F872" s="290" t="str">
        <x:v>项链</x:v>
      </x:c>
      <x:c r="G872" s="289" t="n">
        <x:v>19</x:v>
      </x:c>
      <x:c r="H872" s="289" t="n">
        <x:v>3</x:v>
      </x:c>
      <x:c r="I872" s="289" t="n">
        <x:v>6891</x:v>
      </x:c>
      <x:c r="J872" s="289" t="n">
        <x:v>0</x:v>
      </x:c>
      <x:c r="K872" s="289" t="n">
        <x:v>0</x:v>
      </x:c>
      <x:c r="L872" s="289" t="n">
        <x:v>0</x:v>
      </x:c>
      <x:c r="M872" s="289" t="n">
        <x:v>6891</x:v>
      </x:c>
      <x:c r="N872" s="289" t="n">
        <x:v>6891</x:v>
      </x:c>
      <x:c r="O872" s="289" t="n">
        <x:v>6891</x:v>
      </x:c>
      <x:c r="P872" s="292"/>
      <x:c r="Q872" s="292" t="str">
        <x:v>candidate-preflight-passed</x:v>
      </x:c>
      <x:c r="R872" s="324" t="str">
        <x:v>C3-C10规划锁定：幽灯鱼坠</x:v>
      </x:c>
      <x:c r="S872" s="292" t="str">
        <x:v>玄渊二十套全装备代码总表.xlsx</x:v>
      </x:c>
      <x:c r="T872" s="292" t="str">
        <x:v>玄渊20套全装备视觉候选；Items/StateItem/DnItems三库同码；属性待策划填写</x:v>
      </x:c>
      <x:c r="U872" t="str">
        <x:f>IF(COUNTIF($B$2:$B$1076,B872)&gt;1,"重复","")</x:f>
      </x:c>
      <x:c r="V872" t="str">
        <x:f>IF(AND(OR(M872="",M872=B872),OR(N872="",N872=B872),OR(O872="",O872=B872)),"通过","不一致")</x:f>
        <x:v>通过</x:v>
      </x:c>
    </x:row>
    <x:row r="873" ht="22" customHeight="1">
      <x:c r="A873" s="289" t="n">
        <x:v>872</x:v>
      </x:c>
      <x:c r="B873" s="289" t="n">
        <x:v>6892</x:v>
      </x:c>
      <x:c r="C873" s="290" t="str">
        <x:v>星渊龙息·无垠</x:v>
      </x:c>
      <x:c r="D873" s="290" t="str">
        <x:v>星渊龙息</x:v>
      </x:c>
      <x:c r="E873" s="290" t="n">
        <x:v>5</x:v>
      </x:c>
      <x:c r="F873" s="290" t="str">
        <x:v>手镯</x:v>
      </x:c>
      <x:c r="G873" s="289" t="n">
        <x:v>26</x:v>
      </x:c>
      <x:c r="H873" s="289" t="n">
        <x:v>5</x:v>
      </x:c>
      <x:c r="I873" s="289" t="n">
        <x:v>6892</x:v>
      </x:c>
      <x:c r="J873" s="289" t="n">
        <x:v>0</x:v>
      </x:c>
      <x:c r="K873" s="289" t="n">
        <x:v>0</x:v>
      </x:c>
      <x:c r="L873" s="289" t="n">
        <x:v>0</x:v>
      </x:c>
      <x:c r="M873" s="289" t="n">
        <x:v>6892</x:v>
      </x:c>
      <x:c r="N873" s="289" t="n">
        <x:v>6892</x:v>
      </x:c>
      <x:c r="O873" s="289" t="n">
        <x:v>6892</x:v>
      </x:c>
      <x:c r="P873" s="292"/>
      <x:c r="Q873" s="292" t="str">
        <x:v>candidate-preflight-passed</x:v>
      </x:c>
      <x:c r="R873" s="324" t="str">
        <x:v>C3-C10规划锁定：静盏银纹镯</x:v>
      </x:c>
      <x:c r="S873" s="292" t="str">
        <x:v>玄渊二十套全装备代码总表.xlsx</x:v>
      </x:c>
      <x:c r="T873" s="292" t="str">
        <x:v>玄渊20套全装备视觉候选；Items/StateItem/DnItems三库同码；属性待策划填写</x:v>
      </x:c>
      <x:c r="U873" t="str">
        <x:f>IF(COUNTIF($B$2:$B$1076,B873)&gt;1,"重复","")</x:f>
      </x:c>
      <x:c r="V873" t="str">
        <x:f>IF(AND(OR(M873="",M873=B873),OR(N873="",N873=B873),OR(O873="",O873=B873)),"通过","不一致")</x:f>
        <x:v>通过</x:v>
      </x:c>
    </x:row>
    <x:row r="874" ht="22" customHeight="1">
      <x:c r="A874" s="289" t="n">
        <x:v>873</x:v>
      </x:c>
      <x:c r="B874" s="289" t="n">
        <x:v>6893</x:v>
      </x:c>
      <x:c r="C874" s="290" t="str">
        <x:v>星渊龙息·无垠</x:v>
      </x:c>
      <x:c r="D874" s="290" t="str">
        <x:v>星渊龙息</x:v>
      </x:c>
      <x:c r="E874" s="290" t="n">
        <x:v>5</x:v>
      </x:c>
      <x:c r="F874" s="290" t="str">
        <x:v>戒指</x:v>
      </x:c>
      <x:c r="G874" s="289" t="n">
        <x:v>22</x:v>
      </x:c>
      <x:c r="H874" s="289" t="n">
        <x:v>7</x:v>
      </x:c>
      <x:c r="I874" s="289" t="n">
        <x:v>6893</x:v>
      </x:c>
      <x:c r="J874" s="289" t="n">
        <x:v>0</x:v>
      </x:c>
      <x:c r="K874" s="289" t="n">
        <x:v>0</x:v>
      </x:c>
      <x:c r="L874" s="289" t="n">
        <x:v>0</x:v>
      </x:c>
      <x:c r="M874" s="289" t="n">
        <x:v>6893</x:v>
      </x:c>
      <x:c r="N874" s="289" t="n">
        <x:v>6893</x:v>
      </x:c>
      <x:c r="O874" s="289" t="n">
        <x:v>6893</x:v>
      </x:c>
      <x:c r="P874" s="292"/>
      <x:c r="Q874" s="292" t="str">
        <x:v>candidate-preflight-passed</x:v>
      </x:c>
      <x:c r="R874" s="324" t="str">
        <x:v>C3-C10规划锁定：湖尸钥戒</x:v>
      </x:c>
      <x:c r="S874" s="292" t="str">
        <x:v>玄渊二十套全装备代码总表.xlsx</x:v>
      </x:c>
      <x:c r="T874" s="292" t="str">
        <x:v>玄渊20套全装备视觉候选；Items/StateItem/DnItems三库同码；属性待策划填写</x:v>
      </x:c>
      <x:c r="U874" t="str">
        <x:f>IF(COUNTIF($B$2:$B$1076,B874)&gt;1,"重复","")</x:f>
      </x:c>
      <x:c r="V874" t="str">
        <x:f>IF(AND(OR(M874="",M874=B874),OR(N874="",N874=B874),OR(O874="",O874=B874)),"通过","不一致")</x:f>
        <x:v>通过</x:v>
      </x:c>
    </x:row>
    <x:row r="875" ht="22" customHeight="1">
      <x:c r="A875" s="289" t="n">
        <x:v>874</x:v>
      </x:c>
      <x:c r="B875" s="289" t="n">
        <x:v>6894</x:v>
      </x:c>
      <x:c r="C875" s="290" t="str">
        <x:v>星渊龙息·无垠</x:v>
      </x:c>
      <x:c r="D875" s="290" t="str">
        <x:v>星渊龙息</x:v>
      </x:c>
      <x:c r="E875" s="290" t="n">
        <x:v>5</x:v>
      </x:c>
      <x:c r="F875" s="290" t="str">
        <x:v>勋章</x:v>
      </x:c>
      <x:c r="G875" s="289" t="n">
        <x:v>30</x:v>
      </x:c>
      <x:c r="H875" s="289" t="n">
        <x:v>2</x:v>
      </x:c>
      <x:c r="I875" s="289" t="n">
        <x:v>6894</x:v>
      </x:c>
      <x:c r="J875" s="289" t="n">
        <x:v>0</x:v>
      </x:c>
      <x:c r="K875" s="289" t="n">
        <x:v>0</x:v>
      </x:c>
      <x:c r="L875" s="289" t="n">
        <x:v>0</x:v>
      </x:c>
      <x:c r="M875" s="289" t="n">
        <x:v>6894</x:v>
      </x:c>
      <x:c r="N875" s="289" t="n">
        <x:v>6894</x:v>
      </x:c>
      <x:c r="O875" s="289" t="n">
        <x:v>6894</x:v>
      </x:c>
      <x:c r="P875" s="292"/>
      <x:c r="Q875" s="292" t="str">
        <x:v>candidate-preflight-passed</x:v>
      </x:c>
      <x:c r="R875" s="324" t="str">
        <x:v>C3-C10规划锁定：灰烬裁印</x:v>
      </x:c>
      <x:c r="S875" s="292" t="str">
        <x:v>玄渊二十套全装备代码总表.xlsx</x:v>
      </x:c>
      <x:c r="T875" s="292" t="str">
        <x:v>玄渊20套全装备视觉候选；Items/StateItem/DnItems三库同码；属性待策划填写</x:v>
      </x:c>
      <x:c r="U875" t="str">
        <x:f>IF(COUNTIF($B$2:$B$1076,B875)&gt;1,"重复","")</x:f>
      </x:c>
      <x:c r="V875" t="str">
        <x:f>IF(AND(OR(M875="",M875=B875),OR(N875="",N875=B875),OR(O875="",O875=B875)),"通过","不一致")</x:f>
        <x:v>通过</x:v>
      </x:c>
    </x:row>
    <x:row r="876" ht="22" customHeight="1">
      <x:c r="A876" s="289" t="n">
        <x:v>875</x:v>
      </x:c>
      <x:c r="B876" s="289" t="n">
        <x:v>6895</x:v>
      </x:c>
      <x:c r="C876" s="290" t="str">
        <x:v>星渊龙息·无垠</x:v>
      </x:c>
      <x:c r="D876" s="290" t="str">
        <x:v>星渊龙息</x:v>
      </x:c>
      <x:c r="E876" s="290" t="n">
        <x:v>5</x:v>
      </x:c>
      <x:c r="F876" s="290" t="str">
        <x:v>盾牌</x:v>
      </x:c>
      <x:c r="G876" s="289" t="n">
        <x:v>12</x:v>
      </x:c>
      <x:c r="H876" s="289" t="n">
        <x:v>16</x:v>
      </x:c>
      <x:c r="I876" s="289" t="n">
        <x:v>6895</x:v>
      </x:c>
      <x:c r="J876" s="289" t="n">
        <x:v>0</x:v>
      </x:c>
      <x:c r="K876" s="289" t="n">
        <x:v>0</x:v>
      </x:c>
      <x:c r="L876" s="289" t="n">
        <x:v>0</x:v>
      </x:c>
      <x:c r="M876" s="289" t="n">
        <x:v>6895</x:v>
      </x:c>
      <x:c r="N876" s="289" t="n">
        <x:v>6895</x:v>
      </x:c>
      <x:c r="O876" s="289" t="n">
        <x:v>6895</x:v>
      </x:c>
      <x:c r="P876" s="292"/>
      <x:c r="Q876" s="292" t="str">
        <x:v>candidate-preflight-passed</x:v>
      </x:c>
      <x:c r="R876" s="324" t="str">
        <x:v>C3-C10规划锁定：缄咒讲台盾</x:v>
      </x:c>
      <x:c r="S876" s="292" t="str">
        <x:v>玄渊二十套全装备代码总表.xlsx</x:v>
      </x:c>
      <x:c r="T876" s="292" t="str">
        <x:v>玄渊20套全装备视觉候选；Items/StateItem/DnItems三库同码；属性待策划填写</x:v>
      </x:c>
      <x:c r="U876" t="str">
        <x:f>IF(COUNTIF($B$2:$B$1076,B876)&gt;1,"重复","")</x:f>
      </x:c>
      <x:c r="V876" t="str">
        <x:f>IF(AND(OR(M876="",M876=B876),OR(N876="",N876=B876),OR(O876="",O876=B876)),"通过","不一致")</x:f>
        <x:v>通过</x:v>
      </x:c>
    </x:row>
    <x:row r="877" ht="22" customHeight="1">
      <x:c r="A877" s="289" t="n">
        <x:v>876</x:v>
      </x:c>
      <x:c r="B877" s="289" t="n">
        <x:v>6896</x:v>
      </x:c>
      <x:c r="C877" s="290" t="str">
        <x:v>星渊龙息·无垠</x:v>
      </x:c>
      <x:c r="D877" s="290" t="str">
        <x:v>星渊龙息</x:v>
      </x:c>
      <x:c r="E877" s="290" t="n">
        <x:v>5</x:v>
      </x:c>
      <x:c r="F877" s="290" t="str">
        <x:v>灵玉</x:v>
      </x:c>
      <x:c r="G877" s="289" t="n">
        <x:v>90</x:v>
      </x:c>
      <x:c r="H877" s="289" t="n">
        <x:v>17</x:v>
      </x:c>
      <x:c r="I877" s="289" t="n">
        <x:v>6896</x:v>
      </x:c>
      <x:c r="J877" s="289" t="n">
        <x:v>0</x:v>
      </x:c>
      <x:c r="K877" s="289" t="n">
        <x:v>0</x:v>
      </x:c>
      <x:c r="L877" s="289" t="n">
        <x:v>0</x:v>
      </x:c>
      <x:c r="M877" s="289" t="n">
        <x:v>6896</x:v>
      </x:c>
      <x:c r="N877" s="289" t="n">
        <x:v>6896</x:v>
      </x:c>
      <x:c r="O877" s="289" t="n">
        <x:v>6896</x:v>
      </x:c>
      <x:c r="P877" s="292"/>
      <x:c r="Q877" s="292" t="str">
        <x:v>candidate-preflight-passed</x:v>
      </x:c>
      <x:c r="R877" s="292" t="str"/>
      <x:c r="S877" s="292" t="str">
        <x:v>玄渊二十套全装备代码总表.xlsx</x:v>
      </x:c>
      <x:c r="T877" s="292" t="str">
        <x:v>玄渊20套全装备视觉候选；Items/StateItem/DnItems三库同码；属性待策划填写</x:v>
      </x:c>
      <x:c r="U877" t="str">
        <x:f>IF(COUNTIF($B$2:$B$1076,B877)&gt;1,"重复","")</x:f>
      </x:c>
      <x:c r="V877" t="str">
        <x:f>IF(AND(OR(M877="",M877=B877),OR(N877="",N877=B877),OR(O877="",O877=B877)),"通过","不一致")</x:f>
        <x:v>通过</x:v>
      </x:c>
    </x:row>
    <x:row r="878" ht="22" customHeight="1">
      <x:c r="A878" s="289" t="n">
        <x:v>877</x:v>
      </x:c>
      <x:c r="B878" s="289" t="n">
        <x:v>6897</x:v>
      </x:c>
      <x:c r="C878" s="290" t="str">
        <x:v>星渊龙息·无垠</x:v>
      </x:c>
      <x:c r="D878" s="290" t="str">
        <x:v>星渊龙息</x:v>
      </x:c>
      <x:c r="E878" s="290" t="n">
        <x:v>5</x:v>
      </x:c>
      <x:c r="F878" s="290" t="str">
        <x:v>鞋子</x:v>
      </x:c>
      <x:c r="G878" s="289" t="n">
        <x:v>62</x:v>
      </x:c>
      <x:c r="H878" s="289" t="n">
        <x:v>11</x:v>
      </x:c>
      <x:c r="I878" s="289" t="n">
        <x:v>6897</x:v>
      </x:c>
      <x:c r="J878" s="289" t="n">
        <x:v>0</x:v>
      </x:c>
      <x:c r="K878" s="289" t="n">
        <x:v>0</x:v>
      </x:c>
      <x:c r="L878" s="289" t="n">
        <x:v>0</x:v>
      </x:c>
      <x:c r="M878" s="289" t="n">
        <x:v>6897</x:v>
      </x:c>
      <x:c r="N878" s="289" t="n">
        <x:v>6897</x:v>
      </x:c>
      <x:c r="O878" s="289" t="n">
        <x:v>6897</x:v>
      </x:c>
      <x:c r="P878" s="292"/>
      <x:c r="Q878" s="292" t="str">
        <x:v>candidate-preflight-passed</x:v>
      </x:c>
      <x:c r="R878" s="324" t="str">
        <x:v>C3-C10规划锁定：碎辉鳞踏靴</x:v>
      </x:c>
      <x:c r="S878" s="292" t="str">
        <x:v>玄渊二十套全装备代码总表.xlsx</x:v>
      </x:c>
      <x:c r="T878" s="292" t="str">
        <x:v>玄渊20套全装备视觉候选；Items/StateItem/DnItems三库同码；属性待策划填写</x:v>
      </x:c>
      <x:c r="U878" t="str">
        <x:f>IF(COUNTIF($B$2:$B$1076,B878)&gt;1,"重复","")</x:f>
      </x:c>
      <x:c r="V878" t="str">
        <x:f>IF(AND(OR(M878="",M878=B878),OR(N878="",N878=B878),OR(O878="",O878=B878)),"通过","不一致")</x:f>
        <x:v>通过</x:v>
      </x:c>
    </x:row>
    <x:row r="879" ht="22" customHeight="1">
      <x:c r="A879" s="289" t="n">
        <x:v>878</x:v>
      </x:c>
      <x:c r="B879" s="289" t="n">
        <x:v>6898</x:v>
      </x:c>
      <x:c r="C879" s="290" t="str">
        <x:v>星渊龙息·无垠</x:v>
      </x:c>
      <x:c r="D879" s="290" t="str">
        <x:v>星渊龙息</x:v>
      </x:c>
      <x:c r="E879" s="290" t="n">
        <x:v>5</x:v>
      </x:c>
      <x:c r="F879" s="290" t="str">
        <x:v>腰带</x:v>
      </x:c>
      <x:c r="G879" s="289" t="n">
        <x:v>64</x:v>
      </x:c>
      <x:c r="H879" s="289" t="n">
        <x:v>10</x:v>
      </x:c>
      <x:c r="I879" s="289" t="n">
        <x:v>6898</x:v>
      </x:c>
      <x:c r="J879" s="289" t="n">
        <x:v>0</x:v>
      </x:c>
      <x:c r="K879" s="289" t="n">
        <x:v>0</x:v>
      </x:c>
      <x:c r="L879" s="289" t="n">
        <x:v>0</x:v>
      </x:c>
      <x:c r="M879" s="289" t="n">
        <x:v>6898</x:v>
      </x:c>
      <x:c r="N879" s="289" t="n">
        <x:v>6898</x:v>
      </x:c>
      <x:c r="O879" s="289" t="n">
        <x:v>6898</x:v>
      </x:c>
      <x:c r="P879" s="292"/>
      <x:c r="Q879" s="292" t="str">
        <x:v>candidate-preflight-passed</x:v>
      </x:c>
      <x:c r="R879" s="324" t="str">
        <x:v>C3-C10规划锁定：月相编目束带</x:v>
      </x:c>
      <x:c r="S879" s="292" t="str">
        <x:v>玄渊二十套全装备代码总表.xlsx</x:v>
      </x:c>
      <x:c r="T879" s="292" t="str">
        <x:v>玄渊20套全装备视觉候选；Items/StateItem/DnItems三库同码；属性待策划填写</x:v>
      </x:c>
      <x:c r="U879" t="str">
        <x:f>IF(COUNTIF($B$2:$B$1076,B879)&gt;1,"重复","")</x:f>
      </x:c>
      <x:c r="V879" t="str">
        <x:f>IF(AND(OR(M879="",M879=B879),OR(N879="",N879=B879),OR(O879="",O879=B879)),"通过","不一致")</x:f>
        <x:v>通过</x:v>
      </x:c>
    </x:row>
    <x:row r="880" ht="22" customHeight="1">
      <x:c r="A880" s="289" t="n">
        <x:v>879</x:v>
      </x:c>
      <x:c r="B880" s="289" t="n">
        <x:v>6899</x:v>
      </x:c>
      <x:c r="C880" s="290" t="str">
        <x:v>星渊龙息·无垠</x:v>
      </x:c>
      <x:c r="D880" s="290" t="str">
        <x:v>星渊龙息</x:v>
      </x:c>
      <x:c r="E880" s="290" t="n">
        <x:v>5</x:v>
      </x:c>
      <x:c r="F880" s="290" t="str">
        <x:v>护身符</x:v>
      </x:c>
      <x:c r="G880" s="289" t="n">
        <x:v>25</x:v>
      </x:c>
      <x:c r="H880" s="289" t="n">
        <x:v>9</x:v>
      </x:c>
      <x:c r="I880" s="289" t="n">
        <x:v>6899</x:v>
      </x:c>
      <x:c r="J880" s="289" t="n">
        <x:v>0</x:v>
      </x:c>
      <x:c r="K880" s="289" t="n">
        <x:v>0</x:v>
      </x:c>
      <x:c r="L880" s="289" t="n">
        <x:v>0</x:v>
      </x:c>
      <x:c r="M880" s="289" t="n">
        <x:v>6899</x:v>
      </x:c>
      <x:c r="N880" s="289" t="n">
        <x:v>6899</x:v>
      </x:c>
      <x:c r="O880" s="289" t="n">
        <x:v>6899</x:v>
      </x:c>
      <x:c r="P880" s="292"/>
      <x:c r="Q880" s="292" t="str">
        <x:v>candidate-preflight-passed</x:v>
      </x:c>
      <x:c r="R880" s="292" t="str"/>
      <x:c r="S880" s="292" t="str">
        <x:v>玄渊二十套全装备代码总表.xlsx</x:v>
      </x:c>
      <x:c r="T880" s="292" t="str">
        <x:v>玄渊20套全装备视觉候选；Items/StateItem/DnItems三库同码；属性待策划填写</x:v>
      </x:c>
      <x:c r="U880" t="str">
        <x:f>IF(COUNTIF($B$2:$B$1076,B880)&gt;1,"重复","")</x:f>
      </x:c>
      <x:c r="V880" t="str">
        <x:f>IF(AND(OR(M880="",M880=B880),OR(N880="",N880=B880),OR(O880="",O880=B880)),"通过","不一致")</x:f>
        <x:v>通过</x:v>
      </x:c>
    </x:row>
    <x:row r="881" ht="22" customHeight="1">
      <x:c r="A881" s="289" t="n">
        <x:v>880</x:v>
      </x:c>
      <x:c r="B881" s="289" t="n">
        <x:v>6900</x:v>
      </x:c>
      <x:c r="C881" s="290" t="str">
        <x:v>星渊龙息·无垠</x:v>
      </x:c>
      <x:c r="D881" s="290" t="str">
        <x:v>星渊龙息</x:v>
      </x:c>
      <x:c r="E881" s="290" t="n">
        <x:v>5</x:v>
      </x:c>
      <x:c r="F881" s="290" t="str">
        <x:v>宝石</x:v>
      </x:c>
      <x:c r="G881" s="289" t="n">
        <x:v>63</x:v>
      </x:c>
      <x:c r="H881" s="289" t="n">
        <x:v>12</x:v>
      </x:c>
      <x:c r="I881" s="289" t="n">
        <x:v>6900</x:v>
      </x:c>
      <x:c r="J881" s="289" t="n">
        <x:v>0</x:v>
      </x:c>
      <x:c r="K881" s="289" t="n">
        <x:v>0</x:v>
      </x:c>
      <x:c r="L881" s="289" t="n">
        <x:v>0</x:v>
      </x:c>
      <x:c r="M881" s="289" t="n">
        <x:v>6900</x:v>
      </x:c>
      <x:c r="N881" s="289" t="n">
        <x:v>6900</x:v>
      </x:c>
      <x:c r="O881" s="289" t="n">
        <x:v>6900</x:v>
      </x:c>
      <x:c r="P881" s="292"/>
      <x:c r="Q881" s="292" t="str">
        <x:v>candidate-preflight-passed</x:v>
      </x:c>
      <x:c r="R881" s="292" t="str"/>
      <x:c r="S881" s="292" t="str">
        <x:v>玄渊二十套全装备代码总表.xlsx</x:v>
      </x:c>
      <x:c r="T881" s="292" t="str">
        <x:v>玄渊20套全装备视觉候选；Items/StateItem/DnItems三库同码；属性待策划填写</x:v>
      </x:c>
      <x:c r="U881" t="str">
        <x:f>IF(COUNTIF($B$2:$B$1076,B881)&gt;1,"重复","")</x:f>
      </x:c>
      <x:c r="V881" t="str">
        <x:f>IF(AND(OR(M881="",M881=B881),OR(N881="",N881=B881),OR(O881="",O881=B881)),"通过","不一致")</x:f>
        <x:v>通过</x:v>
      </x:c>
    </x:row>
    <x:row r="882" ht="22" customHeight="1">
      <x:c r="A882" s="289" t="n">
        <x:v>881</x:v>
      </x:c>
      <x:c r="B882" s="289" t="n">
        <x:v>6901</x:v>
      </x:c>
      <x:c r="C882" s="290" t="str">
        <x:v>星渊龙息·无垠</x:v>
      </x:c>
      <x:c r="D882" s="290" t="str">
        <x:v>星渊龙息</x:v>
      </x:c>
      <x:c r="E882" s="290" t="n">
        <x:v>5</x:v>
      </x:c>
      <x:c r="F882" s="290" t="str">
        <x:v>军鼓</x:v>
      </x:c>
      <x:c r="G882" s="289" t="n">
        <x:v>65</x:v>
      </x:c>
      <x:c r="H882" s="289" t="n">
        <x:v>14</x:v>
      </x:c>
      <x:c r="I882" s="289" t="n">
        <x:v>6901</x:v>
      </x:c>
      <x:c r="J882" s="289" t="n">
        <x:v>0</x:v>
      </x:c>
      <x:c r="K882" s="289" t="n">
        <x:v>0</x:v>
      </x:c>
      <x:c r="L882" s="289" t="n">
        <x:v>0</x:v>
      </x:c>
      <x:c r="M882" s="289" t="n">
        <x:v>6901</x:v>
      </x:c>
      <x:c r="N882" s="289" t="n">
        <x:v>6901</x:v>
      </x:c>
      <x:c r="O882" s="289" t="n">
        <x:v>6901</x:v>
      </x:c>
      <x:c r="P882" s="292"/>
      <x:c r="Q882" s="292" t="str">
        <x:v>candidate-preflight-passed</x:v>
      </x:c>
      <x:c r="R882" s="292" t="str"/>
      <x:c r="S882" s="292" t="str">
        <x:v>玄渊二十套全装备代码总表.xlsx</x:v>
      </x:c>
      <x:c r="T882" s="292" t="str">
        <x:v>玄渊20套全装备视觉候选；Items/StateItem/DnItems三库同码；属性待策划填写</x:v>
      </x:c>
      <x:c r="U882" t="str">
        <x:f>IF(COUNTIF($B$2:$B$1076,B882)&gt;1,"重复","")</x:f>
      </x:c>
      <x:c r="V882" t="str">
        <x:f>IF(AND(OR(M882="",M882=B882),OR(N882="",N882=B882),OR(O882="",O882=B882)),"通过","不一致")</x:f>
        <x:v>通过</x:v>
      </x:c>
    </x:row>
    <x:row r="883" ht="22" customHeight="1">
      <x:c r="A883" s="289" t="n">
        <x:v>882</x:v>
      </x:c>
      <x:c r="B883" s="289" t="n">
        <x:v>6902</x:v>
      </x:c>
      <x:c r="C883" s="290" t="str">
        <x:v>星渊龙息·无垠</x:v>
      </x:c>
      <x:c r="D883" s="290" t="str">
        <x:v>星渊龙息</x:v>
      </x:c>
      <x:c r="E883" s="290" t="n">
        <x:v>5</x:v>
      </x:c>
      <x:c r="F883" s="290" t="str">
        <x:v>马牌</x:v>
      </x:c>
      <x:c r="G883" s="289" t="n">
        <x:v>28</x:v>
      </x:c>
      <x:c r="H883" s="289" t="n">
        <x:v>15</x:v>
      </x:c>
      <x:c r="I883" s="289" t="n">
        <x:v>6902</x:v>
      </x:c>
      <x:c r="J883" s="289" t="n">
        <x:v>0</x:v>
      </x:c>
      <x:c r="K883" s="289" t="n">
        <x:v>0</x:v>
      </x:c>
      <x:c r="L883" s="289" t="n">
        <x:v>0</x:v>
      </x:c>
      <x:c r="M883" s="289" t="n">
        <x:v>6902</x:v>
      </x:c>
      <x:c r="N883" s="289" t="n">
        <x:v>6902</x:v>
      </x:c>
      <x:c r="O883" s="289" t="n">
        <x:v>6902</x:v>
      </x:c>
      <x:c r="P883" s="292"/>
      <x:c r="Q883" s="292" t="str">
        <x:v>candidate-preflight-passed</x:v>
      </x:c>
      <x:c r="R883" s="292" t="str"/>
      <x:c r="S883" s="292" t="str">
        <x:v>玄渊二十套全装备代码总表.xlsx</x:v>
      </x:c>
      <x:c r="T883" s="292" t="str">
        <x:v>玄渊20套全装备视觉候选；Items/StateItem/DnItems三库同码；属性待策划填写</x:v>
      </x:c>
      <x:c r="U883" t="str">
        <x:f>IF(COUNTIF($B$2:$B$1076,B883)&gt;1,"重复","")</x:f>
      </x:c>
      <x:c r="V883" t="str">
        <x:f>IF(AND(OR(M883="",M883=B883),OR(N883="",N883=B883),OR(O883="",O883=B883)),"通过","不一致")</x:f>
        <x:v>通过</x:v>
      </x:c>
    </x:row>
    <x:row r="884" ht="22" customHeight="1">
      <x:c r="A884" s="289" t="n">
        <x:v>883</x:v>
      </x:c>
      <x:c r="B884" s="289" t="n">
        <x:v>6903</x:v>
      </x:c>
      <x:c r="C884" s="290" t="str">
        <x:v>星渊龙息·无垠</x:v>
      </x:c>
      <x:c r="D884" s="290" t="str">
        <x:v>星渊龙息</x:v>
      </x:c>
      <x:c r="E884" s="290" t="n">
        <x:v>5</x:v>
      </x:c>
      <x:c r="F884" s="290" t="str">
        <x:v>首饰盒1</x:v>
      </x:c>
      <x:c r="G884" s="289" t="n">
        <x:v>22</x:v>
      </x:c>
      <x:c r="H884" s="289" t="n">
        <x:v>30</x:v>
      </x:c>
      <x:c r="I884" s="289" t="n">
        <x:v>6903</x:v>
      </x:c>
      <x:c r="J884" s="289" t="n">
        <x:v>0</x:v>
      </x:c>
      <x:c r="K884" s="289" t="n">
        <x:v>2</x:v>
      </x:c>
      <x:c r="L884" s="289" t="n">
        <x:v>1</x:v>
      </x:c>
      <x:c r="M884" s="289" t="n">
        <x:v>6903</x:v>
      </x:c>
      <x:c r="N884" s="289" t="n">
        <x:v>6903</x:v>
      </x:c>
      <x:c r="O884" s="289" t="n">
        <x:v>6903</x:v>
      </x:c>
      <x:c r="P884" s="292"/>
      <x:c r="Q884" s="292" t="str">
        <x:v>candidate-preflight-passed</x:v>
      </x:c>
      <x:c r="R884" s="292" t="str"/>
      <x:c r="S884" s="292" t="str">
        <x:v>玄渊二十套全装备代码总表.xlsx</x:v>
      </x:c>
      <x:c r="T884" s="292" t="str">
        <x:v>玄渊20套全装备视觉候选；Items/StateItem/DnItems三库同码；属性待策划填写；OverLap=2; Expand1=1</x:v>
      </x:c>
      <x:c r="U884" t="str">
        <x:f>IF(COUNTIF($B$2:$B$1076,B884)&gt;1,"重复","")</x:f>
      </x:c>
      <x:c r="V884" t="str">
        <x:f>IF(AND(OR(M884="",M884=B884),OR(N884="",N884=B884),OR(O884="",O884=B884)),"通过","不一致")</x:f>
        <x:v>通过</x:v>
      </x:c>
    </x:row>
    <x:row r="885" ht="22" customHeight="1">
      <x:c r="A885" s="289" t="n">
        <x:v>884</x:v>
      </x:c>
      <x:c r="B885" s="289" t="n">
        <x:v>6904</x:v>
      </x:c>
      <x:c r="C885" s="290" t="str">
        <x:v>星渊龙息·无垠</x:v>
      </x:c>
      <x:c r="D885" s="290" t="str">
        <x:v>星渊龙息</x:v>
      </x:c>
      <x:c r="E885" s="290" t="n">
        <x:v>5</x:v>
      </x:c>
      <x:c r="F885" s="290" t="str">
        <x:v>首饰盒2</x:v>
      </x:c>
      <x:c r="G885" s="289" t="n">
        <x:v>22</x:v>
      </x:c>
      <x:c r="H885" s="289" t="n">
        <x:v>31</x:v>
      </x:c>
      <x:c r="I885" s="289" t="n">
        <x:v>6904</x:v>
      </x:c>
      <x:c r="J885" s="289" t="n">
        <x:v>0</x:v>
      </x:c>
      <x:c r="K885" s="289" t="n">
        <x:v>2</x:v>
      </x:c>
      <x:c r="L885" s="289" t="n">
        <x:v>2</x:v>
      </x:c>
      <x:c r="M885" s="289" t="n">
        <x:v>6904</x:v>
      </x:c>
      <x:c r="N885" s="289" t="n">
        <x:v>6904</x:v>
      </x:c>
      <x:c r="O885" s="289" t="n">
        <x:v>6904</x:v>
      </x:c>
      <x:c r="P885" s="292"/>
      <x:c r="Q885" s="292" t="str">
        <x:v>candidate-preflight-passed</x:v>
      </x:c>
      <x:c r="R885" s="292" t="str"/>
      <x:c r="S885" s="292" t="str">
        <x:v>玄渊二十套全装备代码总表.xlsx</x:v>
      </x:c>
      <x:c r="T885" s="292" t="str">
        <x:v>玄渊20套全装备视觉候选；Items/StateItem/DnItems三库同码；属性待策划填写；OverLap=2; Expand1=2</x:v>
      </x:c>
      <x:c r="U885" t="str">
        <x:f>IF(COUNTIF($B$2:$B$1076,B885)&gt;1,"重复","")</x:f>
      </x:c>
      <x:c r="V885" t="str">
        <x:f>IF(AND(OR(M885="",M885=B885),OR(N885="",N885=B885),OR(O885="",O885=B885)),"通过","不一致")</x:f>
        <x:v>通过</x:v>
      </x:c>
    </x:row>
    <x:row r="886" ht="22" customHeight="1">
      <x:c r="A886" s="289" t="n">
        <x:v>885</x:v>
      </x:c>
      <x:c r="B886" s="289" t="n">
        <x:v>6905</x:v>
      </x:c>
      <x:c r="C886" s="290" t="str">
        <x:v>星渊龙息·无垠</x:v>
      </x:c>
      <x:c r="D886" s="290" t="str">
        <x:v>星渊龙息</x:v>
      </x:c>
      <x:c r="E886" s="290" t="n">
        <x:v>5</x:v>
      </x:c>
      <x:c r="F886" s="290" t="str">
        <x:v>首饰盒3</x:v>
      </x:c>
      <x:c r="G886" s="289" t="n">
        <x:v>22</x:v>
      </x:c>
      <x:c r="H886" s="289" t="n">
        <x:v>32</x:v>
      </x:c>
      <x:c r="I886" s="289" t="n">
        <x:v>6905</x:v>
      </x:c>
      <x:c r="J886" s="289" t="n">
        <x:v>0</x:v>
      </x:c>
      <x:c r="K886" s="289" t="n">
        <x:v>2</x:v>
      </x:c>
      <x:c r="L886" s="289" t="n">
        <x:v>3</x:v>
      </x:c>
      <x:c r="M886" s="289" t="n">
        <x:v>6905</x:v>
      </x:c>
      <x:c r="N886" s="289" t="n">
        <x:v>6905</x:v>
      </x:c>
      <x:c r="O886" s="289" t="n">
        <x:v>6905</x:v>
      </x:c>
      <x:c r="P886" s="292"/>
      <x:c r="Q886" s="292" t="str">
        <x:v>candidate-preflight-passed</x:v>
      </x:c>
      <x:c r="R886" s="292" t="str"/>
      <x:c r="S886" s="292" t="str">
        <x:v>玄渊二十套全装备代码总表.xlsx</x:v>
      </x:c>
      <x:c r="T886" s="292" t="str">
        <x:v>玄渊20套全装备视觉候选；Items/StateItem/DnItems三库同码；属性待策划填写；OverLap=2; Expand1=3</x:v>
      </x:c>
      <x:c r="U886" t="str">
        <x:f>IF(COUNTIF($B$2:$B$1076,B886)&gt;1,"重复","")</x:f>
      </x:c>
      <x:c r="V886" t="str">
        <x:f>IF(AND(OR(M886="",M886=B886),OR(N886="",N886=B886),OR(O886="",O886=B886)),"通过","不一致")</x:f>
        <x:v>通过</x:v>
      </x:c>
    </x:row>
    <x:row r="887" ht="22" customHeight="1">
      <x:c r="A887" s="289" t="n">
        <x:v>886</x:v>
      </x:c>
      <x:c r="B887" s="289" t="n">
        <x:v>6906</x:v>
      </x:c>
      <x:c r="C887" s="290" t="str">
        <x:v>星渊龙息·无垠</x:v>
      </x:c>
      <x:c r="D887" s="290" t="str">
        <x:v>星渊龙息</x:v>
      </x:c>
      <x:c r="E887" s="290" t="n">
        <x:v>5</x:v>
      </x:c>
      <x:c r="F887" s="290" t="str">
        <x:v>首饰盒4</x:v>
      </x:c>
      <x:c r="G887" s="289" t="n">
        <x:v>22</x:v>
      </x:c>
      <x:c r="H887" s="289" t="n">
        <x:v>33</x:v>
      </x:c>
      <x:c r="I887" s="289" t="n">
        <x:v>6906</x:v>
      </x:c>
      <x:c r="J887" s="289" t="n">
        <x:v>0</x:v>
      </x:c>
      <x:c r="K887" s="289" t="n">
        <x:v>2</x:v>
      </x:c>
      <x:c r="L887" s="289" t="n">
        <x:v>4</x:v>
      </x:c>
      <x:c r="M887" s="289" t="n">
        <x:v>6906</x:v>
      </x:c>
      <x:c r="N887" s="289" t="n">
        <x:v>6906</x:v>
      </x:c>
      <x:c r="O887" s="289" t="n">
        <x:v>6906</x:v>
      </x:c>
      <x:c r="P887" s="292"/>
      <x:c r="Q887" s="292" t="str">
        <x:v>candidate-preflight-passed</x:v>
      </x:c>
      <x:c r="R887" s="292" t="str"/>
      <x:c r="S887" s="292" t="str">
        <x:v>玄渊二十套全装备代码总表.xlsx</x:v>
      </x:c>
      <x:c r="T887" s="292" t="str">
        <x:v>玄渊20套全装备视觉候选；Items/StateItem/DnItems三库同码；属性待策划填写；OverLap=2; Expand1=4</x:v>
      </x:c>
      <x:c r="U887" t="str">
        <x:f>IF(COUNTIF($B$2:$B$1076,B887)&gt;1,"重复","")</x:f>
      </x:c>
      <x:c r="V887" t="str">
        <x:f>IF(AND(OR(M887="",M887=B887),OR(N887="",N887=B887),OR(O887="",O887=B887)),"通过","不一致")</x:f>
        <x:v>通过</x:v>
      </x:c>
    </x:row>
    <x:row r="888" ht="22" customHeight="1">
      <x:c r="A888" s="289" t="n">
        <x:v>887</x:v>
      </x:c>
      <x:c r="B888" s="289" t="n">
        <x:v>6907</x:v>
      </x:c>
      <x:c r="C888" s="290" t="str">
        <x:v>星渊龙息·无垠</x:v>
      </x:c>
      <x:c r="D888" s="290" t="str">
        <x:v>星渊龙息</x:v>
      </x:c>
      <x:c r="E888" s="290" t="n">
        <x:v>5</x:v>
      </x:c>
      <x:c r="F888" s="290" t="str">
        <x:v>首饰盒5</x:v>
      </x:c>
      <x:c r="G888" s="289" t="n">
        <x:v>22</x:v>
      </x:c>
      <x:c r="H888" s="289" t="n">
        <x:v>34</x:v>
      </x:c>
      <x:c r="I888" s="289" t="n">
        <x:v>6907</x:v>
      </x:c>
      <x:c r="J888" s="289" t="n">
        <x:v>0</x:v>
      </x:c>
      <x:c r="K888" s="289" t="n">
        <x:v>2</x:v>
      </x:c>
      <x:c r="L888" s="289" t="n">
        <x:v>5</x:v>
      </x:c>
      <x:c r="M888" s="289" t="n">
        <x:v>6907</x:v>
      </x:c>
      <x:c r="N888" s="289" t="n">
        <x:v>6907</x:v>
      </x:c>
      <x:c r="O888" s="289" t="n">
        <x:v>6907</x:v>
      </x:c>
      <x:c r="P888" s="292"/>
      <x:c r="Q888" s="292" t="str">
        <x:v>candidate-preflight-passed</x:v>
      </x:c>
      <x:c r="R888" s="292" t="str"/>
      <x:c r="S888" s="292" t="str">
        <x:v>玄渊二十套全装备代码总表.xlsx</x:v>
      </x:c>
      <x:c r="T888" s="292" t="str">
        <x:v>玄渊20套全装备视觉候选；Items/StateItem/DnItems三库同码；属性待策划填写；OverLap=2; Expand1=5</x:v>
      </x:c>
      <x:c r="U888" t="str">
        <x:f>IF(COUNTIF($B$2:$B$1076,B888)&gt;1,"重复","")</x:f>
      </x:c>
      <x:c r="V888" t="str">
        <x:f>IF(AND(OR(M888="",M888=B888),OR(N888="",N888=B888),OR(O888="",O888=B888)),"通过","不一致")</x:f>
        <x:v>通过</x:v>
      </x:c>
    </x:row>
    <x:row r="889" ht="22" customHeight="1">
      <x:c r="A889" s="289" t="n">
        <x:v>888</x:v>
      </x:c>
      <x:c r="B889" s="289" t="n">
        <x:v>6908</x:v>
      </x:c>
      <x:c r="C889" s="290" t="str">
        <x:v>星渊龙息·无垠</x:v>
      </x:c>
      <x:c r="D889" s="290" t="str">
        <x:v>星渊龙息</x:v>
      </x:c>
      <x:c r="E889" s="290" t="n">
        <x:v>5</x:v>
      </x:c>
      <x:c r="F889" s="290" t="str">
        <x:v>首饰盒6</x:v>
      </x:c>
      <x:c r="G889" s="289" t="n">
        <x:v>22</x:v>
      </x:c>
      <x:c r="H889" s="289" t="n">
        <x:v>35</x:v>
      </x:c>
      <x:c r="I889" s="289" t="n">
        <x:v>6908</x:v>
      </x:c>
      <x:c r="J889" s="289" t="n">
        <x:v>0</x:v>
      </x:c>
      <x:c r="K889" s="289" t="n">
        <x:v>2</x:v>
      </x:c>
      <x:c r="L889" s="289" t="n">
        <x:v>6</x:v>
      </x:c>
      <x:c r="M889" s="289" t="n">
        <x:v>6908</x:v>
      </x:c>
      <x:c r="N889" s="289" t="n">
        <x:v>6908</x:v>
      </x:c>
      <x:c r="O889" s="289" t="n">
        <x:v>6908</x:v>
      </x:c>
      <x:c r="P889" s="292"/>
      <x:c r="Q889" s="292" t="str">
        <x:v>candidate-preflight-passed</x:v>
      </x:c>
      <x:c r="R889" s="292" t="str"/>
      <x:c r="S889" s="292" t="str">
        <x:v>玄渊二十套全装备代码总表.xlsx</x:v>
      </x:c>
      <x:c r="T889" s="292" t="str">
        <x:v>玄渊20套全装备视觉候选；Items/StateItem/DnItems三库同码；属性待策划填写；OverLap=2; Expand1=6</x:v>
      </x:c>
      <x:c r="U889" t="str">
        <x:f>IF(COUNTIF($B$2:$B$1076,B889)&gt;1,"重复","")</x:f>
      </x:c>
      <x:c r="V889" t="str">
        <x:f>IF(AND(OR(M889="",M889=B889),OR(N889="",N889=B889),OR(O889="",O889=B889)),"通过","不一致")</x:f>
        <x:v>通过</x:v>
      </x:c>
    </x:row>
    <x:row r="890" ht="22" customHeight="1">
      <x:c r="A890" s="289" t="n">
        <x:v>889</x:v>
      </x:c>
      <x:c r="B890" s="289" t="n">
        <x:v>6909</x:v>
      </x:c>
      <x:c r="C890" s="290" t="str">
        <x:v>星渊龙息·无垠</x:v>
      </x:c>
      <x:c r="D890" s="290" t="str">
        <x:v>星渊龙息</x:v>
      </x:c>
      <x:c r="E890" s="290" t="n">
        <x:v>5</x:v>
      </x:c>
      <x:c r="F890" s="290" t="str">
        <x:v>生肖1</x:v>
      </x:c>
      <x:c r="G890" s="289" t="n">
        <x:v>22</x:v>
      </x:c>
      <x:c r="H890" s="289" t="n">
        <x:v>40</x:v>
      </x:c>
      <x:c r="I890" s="289" t="n">
        <x:v>6909</x:v>
      </x:c>
      <x:c r="J890" s="289" t="n">
        <x:v>0</x:v>
      </x:c>
      <x:c r="K890" s="289" t="n">
        <x:v>4</x:v>
      </x:c>
      <x:c r="L890" s="289" t="n">
        <x:v>1</x:v>
      </x:c>
      <x:c r="M890" s="289" t="n">
        <x:v>6909</x:v>
      </x:c>
      <x:c r="N890" s="289" t="n">
        <x:v>6909</x:v>
      </x:c>
      <x:c r="O890" s="289" t="n">
        <x:v>6909</x:v>
      </x:c>
      <x:c r="P890" s="292"/>
      <x:c r="Q890" s="292" t="str">
        <x:v>candidate-preflight-passed</x:v>
      </x:c>
      <x:c r="R890" s="292" t="str"/>
      <x:c r="S890" s="292" t="str">
        <x:v>玄渊二十套全装备代码总表.xlsx</x:v>
      </x:c>
      <x:c r="T890" s="292" t="str">
        <x:v>玄渊20套全装备视觉候选；Items/StateItem/DnItems三库同码；属性待策划填写；OverLap=4; Expand1=1</x:v>
      </x:c>
      <x:c r="U890" t="str">
        <x:f>IF(COUNTIF($B$2:$B$1076,B890)&gt;1,"重复","")</x:f>
      </x:c>
      <x:c r="V890" t="str">
        <x:f>IF(AND(OR(M890="",M890=B890),OR(N890="",N890=B890),OR(O890="",O890=B890)),"通过","不一致")</x:f>
        <x:v>通过</x:v>
      </x:c>
    </x:row>
    <x:row r="891" ht="22" customHeight="1">
      <x:c r="A891" s="289" t="n">
        <x:v>890</x:v>
      </x:c>
      <x:c r="B891" s="289" t="n">
        <x:v>6910</x:v>
      </x:c>
      <x:c r="C891" s="290" t="str">
        <x:v>星渊龙息·无垠</x:v>
      </x:c>
      <x:c r="D891" s="290" t="str">
        <x:v>星渊龙息</x:v>
      </x:c>
      <x:c r="E891" s="290" t="n">
        <x:v>5</x:v>
      </x:c>
      <x:c r="F891" s="290" t="str">
        <x:v>生肖2</x:v>
      </x:c>
      <x:c r="G891" s="289" t="n">
        <x:v>22</x:v>
      </x:c>
      <x:c r="H891" s="289" t="n">
        <x:v>41</x:v>
      </x:c>
      <x:c r="I891" s="289" t="n">
        <x:v>6910</x:v>
      </x:c>
      <x:c r="J891" s="289" t="n">
        <x:v>0</x:v>
      </x:c>
      <x:c r="K891" s="289" t="n">
        <x:v>4</x:v>
      </x:c>
      <x:c r="L891" s="289" t="n">
        <x:v>2</x:v>
      </x:c>
      <x:c r="M891" s="289" t="n">
        <x:v>6910</x:v>
      </x:c>
      <x:c r="N891" s="289" t="n">
        <x:v>6910</x:v>
      </x:c>
      <x:c r="O891" s="289" t="n">
        <x:v>6910</x:v>
      </x:c>
      <x:c r="P891" s="292"/>
      <x:c r="Q891" s="292" t="str">
        <x:v>candidate-preflight-passed</x:v>
      </x:c>
      <x:c r="R891" s="292" t="str"/>
      <x:c r="S891" s="292" t="str">
        <x:v>玄渊二十套全装备代码总表.xlsx</x:v>
      </x:c>
      <x:c r="T891" s="292" t="str">
        <x:v>玄渊20套全装备视觉候选；Items/StateItem/DnItems三库同码；属性待策划填写；OverLap=4; Expand1=2</x:v>
      </x:c>
      <x:c r="U891" t="str">
        <x:f>IF(COUNTIF($B$2:$B$1076,B891)&gt;1,"重复","")</x:f>
      </x:c>
      <x:c r="V891" t="str">
        <x:f>IF(AND(OR(M891="",M891=B891),OR(N891="",N891=B891),OR(O891="",O891=B891)),"通过","不一致")</x:f>
        <x:v>通过</x:v>
      </x:c>
    </x:row>
    <x:row r="892" ht="22" customHeight="1">
      <x:c r="A892" s="289" t="n">
        <x:v>891</x:v>
      </x:c>
      <x:c r="B892" s="289" t="n">
        <x:v>6911</x:v>
      </x:c>
      <x:c r="C892" s="290" t="str">
        <x:v>星渊龙息·无垠</x:v>
      </x:c>
      <x:c r="D892" s="290" t="str">
        <x:v>星渊龙息</x:v>
      </x:c>
      <x:c r="E892" s="290" t="n">
        <x:v>5</x:v>
      </x:c>
      <x:c r="F892" s="290" t="str">
        <x:v>生肖3</x:v>
      </x:c>
      <x:c r="G892" s="289" t="n">
        <x:v>22</x:v>
      </x:c>
      <x:c r="H892" s="289" t="n">
        <x:v>42</x:v>
      </x:c>
      <x:c r="I892" s="289" t="n">
        <x:v>6911</x:v>
      </x:c>
      <x:c r="J892" s="289" t="n">
        <x:v>0</x:v>
      </x:c>
      <x:c r="K892" s="289" t="n">
        <x:v>4</x:v>
      </x:c>
      <x:c r="L892" s="289" t="n">
        <x:v>3</x:v>
      </x:c>
      <x:c r="M892" s="289" t="n">
        <x:v>6911</x:v>
      </x:c>
      <x:c r="N892" s="289" t="n">
        <x:v>6911</x:v>
      </x:c>
      <x:c r="O892" s="289" t="n">
        <x:v>6911</x:v>
      </x:c>
      <x:c r="P892" s="292"/>
      <x:c r="Q892" s="292" t="str">
        <x:v>candidate-preflight-passed</x:v>
      </x:c>
      <x:c r="R892" s="292" t="str"/>
      <x:c r="S892" s="292" t="str">
        <x:v>玄渊二十套全装备代码总表.xlsx</x:v>
      </x:c>
      <x:c r="T892" s="292" t="str">
        <x:v>玄渊20套全装备视觉候选；Items/StateItem/DnItems三库同码；属性待策划填写；OverLap=4; Expand1=3</x:v>
      </x:c>
      <x:c r="U892" t="str">
        <x:f>IF(COUNTIF($B$2:$B$1076,B892)&gt;1,"重复","")</x:f>
      </x:c>
      <x:c r="V892" t="str">
        <x:f>IF(AND(OR(M892="",M892=B892),OR(N892="",N892=B892),OR(O892="",O892=B892)),"通过","不一致")</x:f>
        <x:v>通过</x:v>
      </x:c>
    </x:row>
    <x:row r="893" ht="22" customHeight="1">
      <x:c r="A893" s="289" t="n">
        <x:v>892</x:v>
      </x:c>
      <x:c r="B893" s="289" t="n">
        <x:v>6912</x:v>
      </x:c>
      <x:c r="C893" s="290" t="str">
        <x:v>星渊龙息·无垠</x:v>
      </x:c>
      <x:c r="D893" s="290" t="str">
        <x:v>星渊龙息</x:v>
      </x:c>
      <x:c r="E893" s="290" t="n">
        <x:v>5</x:v>
      </x:c>
      <x:c r="F893" s="290" t="str">
        <x:v>生肖4</x:v>
      </x:c>
      <x:c r="G893" s="289" t="n">
        <x:v>22</x:v>
      </x:c>
      <x:c r="H893" s="289" t="n">
        <x:v>43</x:v>
      </x:c>
      <x:c r="I893" s="289" t="n">
        <x:v>6912</x:v>
      </x:c>
      <x:c r="J893" s="289" t="n">
        <x:v>0</x:v>
      </x:c>
      <x:c r="K893" s="289" t="n">
        <x:v>4</x:v>
      </x:c>
      <x:c r="L893" s="289" t="n">
        <x:v>4</x:v>
      </x:c>
      <x:c r="M893" s="289" t="n">
        <x:v>6912</x:v>
      </x:c>
      <x:c r="N893" s="289" t="n">
        <x:v>6912</x:v>
      </x:c>
      <x:c r="O893" s="289" t="n">
        <x:v>6912</x:v>
      </x:c>
      <x:c r="P893" s="292"/>
      <x:c r="Q893" s="292" t="str">
        <x:v>candidate-preflight-passed</x:v>
      </x:c>
      <x:c r="R893" s="292" t="str"/>
      <x:c r="S893" s="292" t="str">
        <x:v>玄渊二十套全装备代码总表.xlsx</x:v>
      </x:c>
      <x:c r="T893" s="292" t="str">
        <x:v>玄渊20套全装备视觉候选；Items/StateItem/DnItems三库同码；属性待策划填写；OverLap=4; Expand1=4</x:v>
      </x:c>
      <x:c r="U893" t="str">
        <x:f>IF(COUNTIF($B$2:$B$1076,B893)&gt;1,"重复","")</x:f>
      </x:c>
      <x:c r="V893" t="str">
        <x:f>IF(AND(OR(M893="",M893=B893),OR(N893="",N893=B893),OR(O893="",O893=B893)),"通过","不一致")</x:f>
        <x:v>通过</x:v>
      </x:c>
    </x:row>
    <x:row r="894" ht="22" customHeight="1">
      <x:c r="A894" s="289" t="n">
        <x:v>893</x:v>
      </x:c>
      <x:c r="B894" s="289" t="n">
        <x:v>6913</x:v>
      </x:c>
      <x:c r="C894" s="290" t="str">
        <x:v>星渊龙息·无垠</x:v>
      </x:c>
      <x:c r="D894" s="290" t="str">
        <x:v>星渊龙息</x:v>
      </x:c>
      <x:c r="E894" s="290" t="n">
        <x:v>5</x:v>
      </x:c>
      <x:c r="F894" s="290" t="str">
        <x:v>生肖5</x:v>
      </x:c>
      <x:c r="G894" s="289" t="n">
        <x:v>22</x:v>
      </x:c>
      <x:c r="H894" s="289" t="n">
        <x:v>44</x:v>
      </x:c>
      <x:c r="I894" s="289" t="n">
        <x:v>6913</x:v>
      </x:c>
      <x:c r="J894" s="289" t="n">
        <x:v>0</x:v>
      </x:c>
      <x:c r="K894" s="289" t="n">
        <x:v>4</x:v>
      </x:c>
      <x:c r="L894" s="289" t="n">
        <x:v>5</x:v>
      </x:c>
      <x:c r="M894" s="289" t="n">
        <x:v>6913</x:v>
      </x:c>
      <x:c r="N894" s="289" t="n">
        <x:v>6913</x:v>
      </x:c>
      <x:c r="O894" s="289" t="n">
        <x:v>6913</x:v>
      </x:c>
      <x:c r="P894" s="292"/>
      <x:c r="Q894" s="292" t="str">
        <x:v>candidate-preflight-passed</x:v>
      </x:c>
      <x:c r="R894" s="292" t="str"/>
      <x:c r="S894" s="292" t="str">
        <x:v>玄渊二十套全装备代码总表.xlsx</x:v>
      </x:c>
      <x:c r="T894" s="292" t="str">
        <x:v>玄渊20套全装备视觉候选；Items/StateItem/DnItems三库同码；属性待策划填写；OverLap=4; Expand1=5</x:v>
      </x:c>
      <x:c r="U894" t="str">
        <x:f>IF(COUNTIF($B$2:$B$1076,B894)&gt;1,"重复","")</x:f>
      </x:c>
      <x:c r="V894" t="str">
        <x:f>IF(AND(OR(M894="",M894=B894),OR(N894="",N894=B894),OR(O894="",O894=B894)),"通过","不一致")</x:f>
        <x:v>通过</x:v>
      </x:c>
    </x:row>
    <x:row r="895" ht="22" customHeight="1">
      <x:c r="A895" s="289" t="n">
        <x:v>894</x:v>
      </x:c>
      <x:c r="B895" s="289" t="n">
        <x:v>6914</x:v>
      </x:c>
      <x:c r="C895" s="290" t="str">
        <x:v>星渊龙息·无垠</x:v>
      </x:c>
      <x:c r="D895" s="290" t="str">
        <x:v>星渊龙息</x:v>
      </x:c>
      <x:c r="E895" s="290" t="n">
        <x:v>5</x:v>
      </x:c>
      <x:c r="F895" s="290" t="str">
        <x:v>生肖6</x:v>
      </x:c>
      <x:c r="G895" s="289" t="n">
        <x:v>22</x:v>
      </x:c>
      <x:c r="H895" s="289" t="n">
        <x:v>45</x:v>
      </x:c>
      <x:c r="I895" s="289" t="n">
        <x:v>6914</x:v>
      </x:c>
      <x:c r="J895" s="289" t="n">
        <x:v>0</x:v>
      </x:c>
      <x:c r="K895" s="289" t="n">
        <x:v>4</x:v>
      </x:c>
      <x:c r="L895" s="289" t="n">
        <x:v>6</x:v>
      </x:c>
      <x:c r="M895" s="289" t="n">
        <x:v>6914</x:v>
      </x:c>
      <x:c r="N895" s="289" t="n">
        <x:v>6914</x:v>
      </x:c>
      <x:c r="O895" s="289" t="n">
        <x:v>6914</x:v>
      </x:c>
      <x:c r="P895" s="292"/>
      <x:c r="Q895" s="292" t="str">
        <x:v>candidate-preflight-passed</x:v>
      </x:c>
      <x:c r="R895" s="292" t="str"/>
      <x:c r="S895" s="292" t="str">
        <x:v>玄渊二十套全装备代码总表.xlsx</x:v>
      </x:c>
      <x:c r="T895" s="292" t="str">
        <x:v>玄渊20套全装备视觉候选；Items/StateItem/DnItems三库同码；属性待策划填写；OverLap=4; Expand1=6</x:v>
      </x:c>
      <x:c r="U895" t="str">
        <x:f>IF(COUNTIF($B$2:$B$1076,B895)&gt;1,"重复","")</x:f>
      </x:c>
      <x:c r="V895" t="str">
        <x:f>IF(AND(OR(M895="",M895=B895),OR(N895="",N895=B895),OR(O895="",O895=B895)),"通过","不一致")</x:f>
        <x:v>通过</x:v>
      </x:c>
    </x:row>
    <x:row r="896" ht="22" customHeight="1">
      <x:c r="A896" s="289" t="n">
        <x:v>895</x:v>
      </x:c>
      <x:c r="B896" s="289" t="n">
        <x:v>6915</x:v>
      </x:c>
      <x:c r="C896" s="290" t="str">
        <x:v>星渊龙息·无垠</x:v>
      </x:c>
      <x:c r="D896" s="290" t="str">
        <x:v>星渊龙息</x:v>
      </x:c>
      <x:c r="E896" s="290" t="n">
        <x:v>5</x:v>
      </x:c>
      <x:c r="F896" s="290" t="str">
        <x:v>生肖7</x:v>
      </x:c>
      <x:c r="G896" s="289" t="n">
        <x:v>22</x:v>
      </x:c>
      <x:c r="H896" s="289" t="n">
        <x:v>46</x:v>
      </x:c>
      <x:c r="I896" s="289" t="n">
        <x:v>6915</x:v>
      </x:c>
      <x:c r="J896" s="289" t="n">
        <x:v>0</x:v>
      </x:c>
      <x:c r="K896" s="289" t="n">
        <x:v>4</x:v>
      </x:c>
      <x:c r="L896" s="289" t="n">
        <x:v>7</x:v>
      </x:c>
      <x:c r="M896" s="289" t="n">
        <x:v>6915</x:v>
      </x:c>
      <x:c r="N896" s="289" t="n">
        <x:v>6915</x:v>
      </x:c>
      <x:c r="O896" s="289" t="n">
        <x:v>6915</x:v>
      </x:c>
      <x:c r="P896" s="292"/>
      <x:c r="Q896" s="292" t="str">
        <x:v>candidate-preflight-passed</x:v>
      </x:c>
      <x:c r="R896" s="292" t="str"/>
      <x:c r="S896" s="292" t="str">
        <x:v>玄渊二十套全装备代码总表.xlsx</x:v>
      </x:c>
      <x:c r="T896" s="292" t="str">
        <x:v>玄渊20套全装备视觉候选；Items/StateItem/DnItems三库同码；属性待策划填写；OverLap=4; Expand1=7</x:v>
      </x:c>
      <x:c r="U896" t="str">
        <x:f>IF(COUNTIF($B$2:$B$1076,B896)&gt;1,"重复","")</x:f>
      </x:c>
      <x:c r="V896" t="str">
        <x:f>IF(AND(OR(M896="",M896=B896),OR(N896="",N896=B896),OR(O896="",O896=B896)),"通过","不一致")</x:f>
        <x:v>通过</x:v>
      </x:c>
    </x:row>
    <x:row r="897" ht="22" customHeight="1">
      <x:c r="A897" s="289" t="n">
        <x:v>896</x:v>
      </x:c>
      <x:c r="B897" s="289" t="n">
        <x:v>6916</x:v>
      </x:c>
      <x:c r="C897" s="290" t="str">
        <x:v>星渊龙息·无垠</x:v>
      </x:c>
      <x:c r="D897" s="290" t="str">
        <x:v>星渊龙息</x:v>
      </x:c>
      <x:c r="E897" s="290" t="n">
        <x:v>5</x:v>
      </x:c>
      <x:c r="F897" s="290" t="str">
        <x:v>生肖8</x:v>
      </x:c>
      <x:c r="G897" s="289" t="n">
        <x:v>22</x:v>
      </x:c>
      <x:c r="H897" s="289" t="n">
        <x:v>47</x:v>
      </x:c>
      <x:c r="I897" s="289" t="n">
        <x:v>6916</x:v>
      </x:c>
      <x:c r="J897" s="289" t="n">
        <x:v>0</x:v>
      </x:c>
      <x:c r="K897" s="289" t="n">
        <x:v>4</x:v>
      </x:c>
      <x:c r="L897" s="289" t="n">
        <x:v>8</x:v>
      </x:c>
      <x:c r="M897" s="289" t="n">
        <x:v>6916</x:v>
      </x:c>
      <x:c r="N897" s="289" t="n">
        <x:v>6916</x:v>
      </x:c>
      <x:c r="O897" s="289" t="n">
        <x:v>6916</x:v>
      </x:c>
      <x:c r="P897" s="292"/>
      <x:c r="Q897" s="292" t="str">
        <x:v>candidate-preflight-passed</x:v>
      </x:c>
      <x:c r="R897" s="292" t="str"/>
      <x:c r="S897" s="292" t="str">
        <x:v>玄渊二十套全装备代码总表.xlsx</x:v>
      </x:c>
      <x:c r="T897" s="292" t="str">
        <x:v>玄渊20套全装备视觉候选；Items/StateItem/DnItems三库同码；属性待策划填写；OverLap=4; Expand1=8</x:v>
      </x:c>
      <x:c r="U897" t="str">
        <x:f>IF(COUNTIF($B$2:$B$1076,B897)&gt;1,"重复","")</x:f>
      </x:c>
      <x:c r="V897" t="str">
        <x:f>IF(AND(OR(M897="",M897=B897),OR(N897="",N897=B897),OR(O897="",O897=B897)),"通过","不一致")</x:f>
        <x:v>通过</x:v>
      </x:c>
    </x:row>
    <x:row r="898" ht="22" customHeight="1">
      <x:c r="A898" s="289" t="n">
        <x:v>897</x:v>
      </x:c>
      <x:c r="B898" s="289" t="n">
        <x:v>6917</x:v>
      </x:c>
      <x:c r="C898" s="290" t="str">
        <x:v>星渊龙息·无垠</x:v>
      </x:c>
      <x:c r="D898" s="290" t="str">
        <x:v>星渊龙息</x:v>
      </x:c>
      <x:c r="E898" s="290" t="n">
        <x:v>5</x:v>
      </x:c>
      <x:c r="F898" s="290" t="str">
        <x:v>生肖9</x:v>
      </x:c>
      <x:c r="G898" s="289" t="n">
        <x:v>22</x:v>
      </x:c>
      <x:c r="H898" s="289" t="n">
        <x:v>48</x:v>
      </x:c>
      <x:c r="I898" s="289" t="n">
        <x:v>6917</x:v>
      </x:c>
      <x:c r="J898" s="289" t="n">
        <x:v>0</x:v>
      </x:c>
      <x:c r="K898" s="289" t="n">
        <x:v>4</x:v>
      </x:c>
      <x:c r="L898" s="289" t="n">
        <x:v>9</x:v>
      </x:c>
      <x:c r="M898" s="289" t="n">
        <x:v>6917</x:v>
      </x:c>
      <x:c r="N898" s="289" t="n">
        <x:v>6917</x:v>
      </x:c>
      <x:c r="O898" s="289" t="n">
        <x:v>6917</x:v>
      </x:c>
      <x:c r="P898" s="292"/>
      <x:c r="Q898" s="292" t="str">
        <x:v>candidate-preflight-passed</x:v>
      </x:c>
      <x:c r="R898" s="292" t="str"/>
      <x:c r="S898" s="292" t="str">
        <x:v>玄渊二十套全装备代码总表.xlsx</x:v>
      </x:c>
      <x:c r="T898" s="292" t="str">
        <x:v>玄渊20套全装备视觉候选；Items/StateItem/DnItems三库同码；属性待策划填写；OverLap=4; Expand1=9</x:v>
      </x:c>
      <x:c r="U898" t="str">
        <x:f>IF(COUNTIF($B$2:$B$1076,B898)&gt;1,"重复","")</x:f>
      </x:c>
      <x:c r="V898" t="str">
        <x:f>IF(AND(OR(M898="",M898=B898),OR(N898="",N898=B898),OR(O898="",O898=B898)),"通过","不一致")</x:f>
        <x:v>通过</x:v>
      </x:c>
    </x:row>
    <x:row r="899" ht="22" customHeight="1">
      <x:c r="A899" s="289" t="n">
        <x:v>898</x:v>
      </x:c>
      <x:c r="B899" s="289" t="n">
        <x:v>6918</x:v>
      </x:c>
      <x:c r="C899" s="290" t="str">
        <x:v>星渊龙息·无垠</x:v>
      </x:c>
      <x:c r="D899" s="290" t="str">
        <x:v>星渊龙息</x:v>
      </x:c>
      <x:c r="E899" s="290" t="n">
        <x:v>5</x:v>
      </x:c>
      <x:c r="F899" s="290" t="str">
        <x:v>生肖10</x:v>
      </x:c>
      <x:c r="G899" s="289" t="n">
        <x:v>22</x:v>
      </x:c>
      <x:c r="H899" s="289" t="n">
        <x:v>49</x:v>
      </x:c>
      <x:c r="I899" s="289" t="n">
        <x:v>6918</x:v>
      </x:c>
      <x:c r="J899" s="289" t="n">
        <x:v>0</x:v>
      </x:c>
      <x:c r="K899" s="289" t="n">
        <x:v>4</x:v>
      </x:c>
      <x:c r="L899" s="289" t="n">
        <x:v>10</x:v>
      </x:c>
      <x:c r="M899" s="289" t="n">
        <x:v>6918</x:v>
      </x:c>
      <x:c r="N899" s="289" t="n">
        <x:v>6918</x:v>
      </x:c>
      <x:c r="O899" s="289" t="n">
        <x:v>6918</x:v>
      </x:c>
      <x:c r="P899" s="292"/>
      <x:c r="Q899" s="292" t="str">
        <x:v>candidate-preflight-passed</x:v>
      </x:c>
      <x:c r="R899" s="292" t="str"/>
      <x:c r="S899" s="292" t="str">
        <x:v>玄渊二十套全装备代码总表.xlsx</x:v>
      </x:c>
      <x:c r="T899" s="292" t="str">
        <x:v>玄渊20套全装备视觉候选；Items/StateItem/DnItems三库同码；属性待策划填写；OverLap=4; Expand1=10</x:v>
      </x:c>
      <x:c r="U899" t="str">
        <x:f>IF(COUNTIF($B$2:$B$1076,B899)&gt;1,"重复","")</x:f>
      </x:c>
      <x:c r="V899" t="str">
        <x:f>IF(AND(OR(M899="",M899=B899),OR(N899="",N899=B899),OR(O899="",O899=B899)),"通过","不一致")</x:f>
        <x:v>通过</x:v>
      </x:c>
    </x:row>
    <x:row r="900" ht="22" customHeight="1">
      <x:c r="A900" s="289" t="n">
        <x:v>899</x:v>
      </x:c>
      <x:c r="B900" s="289" t="n">
        <x:v>6919</x:v>
      </x:c>
      <x:c r="C900" s="290" t="str">
        <x:v>星渊龙息·无垠</x:v>
      </x:c>
      <x:c r="D900" s="290" t="str">
        <x:v>星渊龙息</x:v>
      </x:c>
      <x:c r="E900" s="290" t="n">
        <x:v>5</x:v>
      </x:c>
      <x:c r="F900" s="290" t="str">
        <x:v>生肖11</x:v>
      </x:c>
      <x:c r="G900" s="289" t="n">
        <x:v>22</x:v>
      </x:c>
      <x:c r="H900" s="289" t="n">
        <x:v>50</x:v>
      </x:c>
      <x:c r="I900" s="289" t="n">
        <x:v>6919</x:v>
      </x:c>
      <x:c r="J900" s="289" t="n">
        <x:v>0</x:v>
      </x:c>
      <x:c r="K900" s="289" t="n">
        <x:v>4</x:v>
      </x:c>
      <x:c r="L900" s="289" t="n">
        <x:v>11</x:v>
      </x:c>
      <x:c r="M900" s="289" t="n">
        <x:v>6919</x:v>
      </x:c>
      <x:c r="N900" s="289" t="n">
        <x:v>6919</x:v>
      </x:c>
      <x:c r="O900" s="289" t="n">
        <x:v>6919</x:v>
      </x:c>
      <x:c r="P900" s="292"/>
      <x:c r="Q900" s="292" t="str">
        <x:v>candidate-preflight-passed</x:v>
      </x:c>
      <x:c r="R900" s="292" t="str"/>
      <x:c r="S900" s="292" t="str">
        <x:v>玄渊二十套全装备代码总表.xlsx</x:v>
      </x:c>
      <x:c r="T900" s="292" t="str">
        <x:v>玄渊20套全装备视觉候选；Items/StateItem/DnItems三库同码；属性待策划填写；OverLap=4; Expand1=11</x:v>
      </x:c>
      <x:c r="U900" t="str">
        <x:f>IF(COUNTIF($B$2:$B$1076,B900)&gt;1,"重复","")</x:f>
      </x:c>
      <x:c r="V900" t="str">
        <x:f>IF(AND(OR(M900="",M900=B900),OR(N900="",N900=B900),OR(O900="",O900=B900)),"通过","不一致")</x:f>
        <x:v>通过</x:v>
      </x:c>
    </x:row>
    <x:row r="901" ht="22" customHeight="1">
      <x:c r="A901" s="289" t="n">
        <x:v>900</x:v>
      </x:c>
      <x:c r="B901" s="289" t="n">
        <x:v>6920</x:v>
      </x:c>
      <x:c r="C901" s="290" t="str">
        <x:v>星渊龙息·无垠</x:v>
      </x:c>
      <x:c r="D901" s="290" t="str">
        <x:v>星渊龙息</x:v>
      </x:c>
      <x:c r="E901" s="290" t="n">
        <x:v>5</x:v>
      </x:c>
      <x:c r="F901" s="290" t="str">
        <x:v>生肖12</x:v>
      </x:c>
      <x:c r="G901" s="289" t="n">
        <x:v>22</x:v>
      </x:c>
      <x:c r="H901" s="289" t="n">
        <x:v>51</x:v>
      </x:c>
      <x:c r="I901" s="289" t="n">
        <x:v>6920</x:v>
      </x:c>
      <x:c r="J901" s="289" t="n">
        <x:v>0</x:v>
      </x:c>
      <x:c r="K901" s="289" t="n">
        <x:v>4</x:v>
      </x:c>
      <x:c r="L901" s="289" t="n">
        <x:v>12</x:v>
      </x:c>
      <x:c r="M901" s="289" t="n">
        <x:v>6920</x:v>
      </x:c>
      <x:c r="N901" s="289" t="n">
        <x:v>6920</x:v>
      </x:c>
      <x:c r="O901" s="289" t="n">
        <x:v>6920</x:v>
      </x:c>
      <x:c r="P901" s="292"/>
      <x:c r="Q901" s="292" t="str">
        <x:v>candidate-preflight-passed</x:v>
      </x:c>
      <x:c r="R901" s="292" t="str"/>
      <x:c r="S901" s="292" t="str">
        <x:v>玄渊二十套全装备代码总表.xlsx</x:v>
      </x:c>
      <x:c r="T901" s="292" t="str">
        <x:v>玄渊20套全装备视觉候选；Items/StateItem/DnItems三库同码；属性待策划填写；OverLap=4; Expand1=12</x:v>
      </x:c>
      <x:c r="U901" t="str">
        <x:f>IF(COUNTIF($B$2:$B$1076,B901)&gt;1,"重复","")</x:f>
      </x:c>
      <x:c r="V901" t="str">
        <x:f>IF(AND(OR(M901="",M901=B901),OR(N901="",N901=B901),OR(O901="",O901=B901)),"通过","不一致")</x:f>
        <x:v>通过</x:v>
      </x:c>
    </x:row>
    <x:row r="902" ht="22" customHeight="1">
      <x:c r="A902" s="289" t="n">
        <x:v>901</x:v>
      </x:c>
      <x:c r="B902" s="289" t="n">
        <x:v>6921</x:v>
      </x:c>
      <x:c r="C902" s="290" t="str">
        <x:v>翠焰冥契·幽焰</x:v>
      </x:c>
      <x:c r="D902" s="290" t="str">
        <x:v>翠焰冥契</x:v>
      </x:c>
      <x:c r="E902" s="290" t="n">
        <x:v>1</x:v>
      </x:c>
      <x:c r="F902" s="290" t="str">
        <x:v>武器</x:v>
      </x:c>
      <x:c r="G902" s="289" t="n">
        <x:v>5</x:v>
      </x:c>
      <x:c r="H902" s="289" t="n">
        <x:v>1</x:v>
      </x:c>
      <x:c r="I902" s="289" t="n">
        <x:v>6921</x:v>
      </x:c>
      <x:c r="J902" s="289" t="n">
        <x:v>31</x:v>
      </x:c>
      <x:c r="K902" s="289" t="n">
        <x:v>0</x:v>
      </x:c>
      <x:c r="L902" s="289" t="n">
        <x:v>0</x:v>
      </x:c>
      <x:c r="M902" s="289" t="n">
        <x:v>6921</x:v>
      </x:c>
      <x:c r="N902" s="289" t="n">
        <x:v>6921</x:v>
      </x:c>
      <x:c r="O902" s="289" t="n">
        <x:v>6921</x:v>
      </x:c>
      <x:c r="P902" s="292" t="str">
        <x:v>Weapon.wzl/wzx（复用现有真实动作）</x:v>
      </x:c>
      <x:c r="Q902" s="292" t="str">
        <x:v>candidate-preflight-passed</x:v>
      </x:c>
      <x:c r="R902" s="324" t="str">
        <x:v>C3-C10规划锁定：终誓月裁剑</x:v>
      </x:c>
      <x:c r="S902" s="292" t="str">
        <x:v>玄渊二十套全装备代码总表.xlsx</x:v>
      </x:c>
      <x:c r="T902" s="292" t="str">
        <x:v>玄渊20套全装备视觉候选；Items/StateItem/DnItems三库同码；属性待策划填写；Weapon Shape=31</x:v>
      </x:c>
      <x:c r="U902" t="str">
        <x:f>IF(COUNTIF($B$2:$B$1076,B902)&gt;1,"重复","")</x:f>
      </x:c>
      <x:c r="V902" t="str">
        <x:f>IF(AND(OR(M902="",M902=B902),OR(N902="",N902=B902),OR(O902="",O902=B902)),"通过","不一致")</x:f>
        <x:v>通过</x:v>
      </x:c>
    </x:row>
    <x:row r="903" ht="22" customHeight="1">
      <x:c r="A903" s="289" t="n">
        <x:v>902</x:v>
      </x:c>
      <x:c r="B903" s="289" t="n">
        <x:v>6922</x:v>
      </x:c>
      <x:c r="C903" s="290" t="str">
        <x:v>翠焰冥契·幽焰</x:v>
      </x:c>
      <x:c r="D903" s="290" t="str">
        <x:v>翠焰冥契</x:v>
      </x:c>
      <x:c r="E903" s="290" t="n">
        <x:v>1</x:v>
      </x:c>
      <x:c r="F903" s="290" t="str">
        <x:v>男衣服</x:v>
      </x:c>
      <x:c r="G903" s="289" t="n">
        <x:v>10</x:v>
      </x:c>
      <x:c r="H903" s="289" t="n">
        <x:v>0</x:v>
      </x:c>
      <x:c r="I903" s="289" t="n">
        <x:v>6922</x:v>
      </x:c>
      <x:c r="J903" s="289" t="n">
        <x:v>8</x:v>
      </x:c>
      <x:c r="K903" s="289" t="n">
        <x:v>0</x:v>
      </x:c>
      <x:c r="L903" s="289" t="n">
        <x:v>0</x:v>
      </x:c>
      <x:c r="M903" s="289" t="n">
        <x:v>6922</x:v>
      </x:c>
      <x:c r="N903" s="289" t="n">
        <x:v>6922</x:v>
      </x:c>
      <x:c r="O903" s="289" t="n">
        <x:v>6922</x:v>
      </x:c>
      <x:c r="P903" s="292" t="str">
        <x:v>Hum.wzl/wzx（复用现有真实动作）</x:v>
      </x:c>
      <x:c r="Q903" s="292" t="str">
        <x:v>candidate-preflight-passed</x:v>
      </x:c>
      <x:c r="R903" s="324" t="str">
        <x:v>C3-C10规划锁定：逆页导师长衣</x:v>
      </x:c>
      <x:c r="S903" s="292" t="str">
        <x:v>玄渊二十套全装备代码总表.xlsx</x:v>
      </x:c>
      <x:c r="T903" s="292" t="str">
        <x:v>玄渊20套全装备视觉候选；Items/StateItem/DnItems三库同码；属性待策划填写；Hum Shape=8</x:v>
      </x:c>
      <x:c r="U903" t="str">
        <x:f>IF(COUNTIF($B$2:$B$1076,B903)&gt;1,"重复","")</x:f>
      </x:c>
      <x:c r="V903" t="str">
        <x:f>IF(AND(OR(M903="",M903=B903),OR(N903="",N903=B903),OR(O903="",O903=B903)),"通过","不一致")</x:f>
        <x:v>通过</x:v>
      </x:c>
    </x:row>
    <x:row r="904" ht="22" customHeight="1">
      <x:c r="A904" s="289" t="n">
        <x:v>903</x:v>
      </x:c>
      <x:c r="B904" s="289" t="n">
        <x:v>6923</x:v>
      </x:c>
      <x:c r="C904" s="290" t="str">
        <x:v>翠焰冥契·幽焰</x:v>
      </x:c>
      <x:c r="D904" s="290" t="str">
        <x:v>翠焰冥契</x:v>
      </x:c>
      <x:c r="E904" s="290" t="n">
        <x:v>1</x:v>
      </x:c>
      <x:c r="F904" s="290" t="str">
        <x:v>女衣服</x:v>
      </x:c>
      <x:c r="G904" s="289" t="n">
        <x:v>11</x:v>
      </x:c>
      <x:c r="H904" s="289" t="n">
        <x:v>0</x:v>
      </x:c>
      <x:c r="I904" s="289" t="n">
        <x:v>6923</x:v>
      </x:c>
      <x:c r="J904" s="289" t="n">
        <x:v>8</x:v>
      </x:c>
      <x:c r="K904" s="289" t="n">
        <x:v>0</x:v>
      </x:c>
      <x:c r="L904" s="289" t="n">
        <x:v>0</x:v>
      </x:c>
      <x:c r="M904" s="289" t="n">
        <x:v>6923</x:v>
      </x:c>
      <x:c r="N904" s="289" t="n">
        <x:v>6923</x:v>
      </x:c>
      <x:c r="O904" s="289" t="n">
        <x:v>6923</x:v>
      </x:c>
      <x:c r="P904" s="292" t="str">
        <x:v>Hum.wzl/wzx（复用现有真实动作）</x:v>
      </x:c>
      <x:c r="Q904" s="292" t="str">
        <x:v>candidate-preflight-passed</x:v>
      </x:c>
      <x:c r="R904" s="292" t="str"/>
      <x:c r="S904" s="292" t="str">
        <x:v>玄渊二十套全装备代码总表.xlsx</x:v>
      </x:c>
      <x:c r="T904" s="292" t="str">
        <x:v>玄渊20套全装备视觉候选；Items/StateItem/DnItems三库同码；属性待策划填写；Hum Shape=8</x:v>
      </x:c>
      <x:c r="U904" t="str">
        <x:f>IF(COUNTIF($B$2:$B$1076,B904)&gt;1,"重复","")</x:f>
      </x:c>
      <x:c r="V904" t="str">
        <x:f>IF(AND(OR(M904="",M904=B904),OR(N904="",N904=B904),OR(O904="",O904=B904)),"通过","不一致")</x:f>
        <x:v>通过</x:v>
      </x:c>
    </x:row>
    <x:row r="905" ht="22" customHeight="1">
      <x:c r="A905" s="289" t="n">
        <x:v>904</x:v>
      </x:c>
      <x:c r="B905" s="289" t="n">
        <x:v>6924</x:v>
      </x:c>
      <x:c r="C905" s="290" t="str">
        <x:v>翠焰冥契·幽焰</x:v>
      </x:c>
      <x:c r="D905" s="290" t="str">
        <x:v>翠焰冥契</x:v>
      </x:c>
      <x:c r="E905" s="290" t="n">
        <x:v>1</x:v>
      </x:c>
      <x:c r="F905" s="290" t="str">
        <x:v>头盔</x:v>
      </x:c>
      <x:c r="G905" s="289" t="n">
        <x:v>15</x:v>
      </x:c>
      <x:c r="H905" s="289" t="n">
        <x:v>4</x:v>
      </x:c>
      <x:c r="I905" s="289" t="n">
        <x:v>6924</x:v>
      </x:c>
      <x:c r="J905" s="289" t="n">
        <x:v>0</x:v>
      </x:c>
      <x:c r="K905" s="289" t="n">
        <x:v>0</x:v>
      </x:c>
      <x:c r="L905" s="289" t="n">
        <x:v>0</x:v>
      </x:c>
      <x:c r="M905" s="289" t="n">
        <x:v>6924</x:v>
      </x:c>
      <x:c r="N905" s="289" t="n">
        <x:v>6924</x:v>
      </x:c>
      <x:c r="O905" s="289" t="n">
        <x:v>6924</x:v>
      </x:c>
      <x:c r="P905" s="292"/>
      <x:c r="Q905" s="292" t="str">
        <x:v>candidate-preflight-passed</x:v>
      </x:c>
      <x:c r="R905" s="324" t="str">
        <x:v>C3-C10规划锁定：镜荷眠梦冠</x:v>
      </x:c>
      <x:c r="S905" s="292" t="str">
        <x:v>玄渊二十套全装备代码总表.xlsx</x:v>
      </x:c>
      <x:c r="T905" s="292" t="str">
        <x:v>玄渊20套全装备视觉候选；Items/StateItem/DnItems三库同码；属性待策划填写</x:v>
      </x:c>
      <x:c r="U905" t="str">
        <x:f>IF(COUNTIF($B$2:$B$1076,B905)&gt;1,"重复","")</x:f>
      </x:c>
      <x:c r="V905" t="str">
        <x:f>IF(AND(OR(M905="",M905=B905),OR(N905="",N905=B905),OR(O905="",O905=B905)),"通过","不一致")</x:f>
        <x:v>通过</x:v>
      </x:c>
    </x:row>
    <x:row r="906" ht="22" customHeight="1">
      <x:c r="A906" s="289" t="n">
        <x:v>905</x:v>
      </x:c>
      <x:c r="B906" s="289" t="n">
        <x:v>6925</x:v>
      </x:c>
      <x:c r="C906" s="290" t="str">
        <x:v>翠焰冥契·幽焰</x:v>
      </x:c>
      <x:c r="D906" s="290" t="str">
        <x:v>翠焰冥契</x:v>
      </x:c>
      <x:c r="E906" s="290" t="n">
        <x:v>1</x:v>
      </x:c>
      <x:c r="F906" s="290" t="str">
        <x:v>面巾</x:v>
      </x:c>
      <x:c r="G906" s="289" t="n">
        <x:v>16</x:v>
      </x:c>
      <x:c r="H906" s="289" t="n">
        <x:v>13</x:v>
      </x:c>
      <x:c r="I906" s="289" t="n">
        <x:v>6925</x:v>
      </x:c>
      <x:c r="J906" s="289" t="n">
        <x:v>0</x:v>
      </x:c>
      <x:c r="K906" s="289" t="n">
        <x:v>0</x:v>
      </x:c>
      <x:c r="L906" s="289" t="n">
        <x:v>0</x:v>
      </x:c>
      <x:c r="M906" s="289" t="n">
        <x:v>6925</x:v>
      </x:c>
      <x:c r="N906" s="289" t="n">
        <x:v>6925</x:v>
      </x:c>
      <x:c r="O906" s="289" t="n">
        <x:v>6925</x:v>
      </x:c>
      <x:c r="P906" s="292"/>
      <x:c r="Q906" s="292" t="str">
        <x:v>candidate-preflight-passed</x:v>
      </x:c>
      <x:c r="R906" s="324" t="str">
        <x:v>C3-C10规划锁定：无灯侯旧斗笠</x:v>
      </x:c>
      <x:c r="S906" s="292" t="str">
        <x:v>玄渊二十套全装备代码总表.xlsx</x:v>
      </x:c>
      <x:c r="T906" s="292" t="str">
        <x:v>玄渊20套全装备视觉候选；Items/StateItem/DnItems三库同码；属性待策划填写</x:v>
      </x:c>
      <x:c r="U906" t="str">
        <x:f>IF(COUNTIF($B$2:$B$1076,B906)&gt;1,"重复","")</x:f>
      </x:c>
      <x:c r="V906" t="str">
        <x:f>IF(AND(OR(M906="",M906=B906),OR(N906="",N906=B906),OR(O906="",O906=B906)),"通过","不一致")</x:f>
        <x:v>通过</x:v>
      </x:c>
    </x:row>
    <x:row r="907" ht="22" customHeight="1">
      <x:c r="A907" s="289" t="n">
        <x:v>906</x:v>
      </x:c>
      <x:c r="B907" s="289" t="n">
        <x:v>6926</x:v>
      </x:c>
      <x:c r="C907" s="290" t="str">
        <x:v>翠焰冥契·幽焰</x:v>
      </x:c>
      <x:c r="D907" s="290" t="str">
        <x:v>翠焰冥契</x:v>
      </x:c>
      <x:c r="E907" s="290" t="n">
        <x:v>1</x:v>
      </x:c>
      <x:c r="F907" s="290" t="str">
        <x:v>项链</x:v>
      </x:c>
      <x:c r="G907" s="289" t="n">
        <x:v>19</x:v>
      </x:c>
      <x:c r="H907" s="289" t="n">
        <x:v>3</x:v>
      </x:c>
      <x:c r="I907" s="289" t="n">
        <x:v>6926</x:v>
      </x:c>
      <x:c r="J907" s="289" t="n">
        <x:v>0</x:v>
      </x:c>
      <x:c r="K907" s="289" t="n">
        <x:v>0</x:v>
      </x:c>
      <x:c r="L907" s="289" t="n">
        <x:v>0</x:v>
      </x:c>
      <x:c r="M907" s="289" t="n">
        <x:v>6926</x:v>
      </x:c>
      <x:c r="N907" s="289" t="n">
        <x:v>6926</x:v>
      </x:c>
      <x:c r="O907" s="289" t="n">
        <x:v>6926</x:v>
      </x:c>
      <x:c r="P907" s="292"/>
      <x:c r="Q907" s="292" t="str">
        <x:v>candidate-preflight-passed</x:v>
      </x:c>
      <x:c r="R907" s="324" t="str">
        <x:v>C3-C10规划锁定：凝露蛾月坠</x:v>
      </x:c>
      <x:c r="S907" s="292" t="str">
        <x:v>玄渊二十套全装备代码总表.xlsx</x:v>
      </x:c>
      <x:c r="T907" s="292" t="str">
        <x:v>玄渊20套全装备视觉候选；Items/StateItem/DnItems三库同码；属性待策划填写</x:v>
      </x:c>
      <x:c r="U907" t="str">
        <x:f>IF(COUNTIF($B$2:$B$1076,B907)&gt;1,"重复","")</x:f>
      </x:c>
      <x:c r="V907" t="str">
        <x:f>IF(AND(OR(M907="",M907=B907),OR(N907="",N907=B907),OR(O907="",O907=B907)),"通过","不一致")</x:f>
        <x:v>通过</x:v>
      </x:c>
    </x:row>
    <x:row r="908" ht="22" customHeight="1">
      <x:c r="A908" s="289" t="n">
        <x:v>907</x:v>
      </x:c>
      <x:c r="B908" s="289" t="n">
        <x:v>6927</x:v>
      </x:c>
      <x:c r="C908" s="290" t="str">
        <x:v>翠焰冥契·幽焰</x:v>
      </x:c>
      <x:c r="D908" s="290" t="str">
        <x:v>翠焰冥契</x:v>
      </x:c>
      <x:c r="E908" s="290" t="n">
        <x:v>1</x:v>
      </x:c>
      <x:c r="F908" s="290" t="str">
        <x:v>手镯</x:v>
      </x:c>
      <x:c r="G908" s="289" t="n">
        <x:v>26</x:v>
      </x:c>
      <x:c r="H908" s="289" t="n">
        <x:v>5</x:v>
      </x:c>
      <x:c r="I908" s="289" t="n">
        <x:v>6927</x:v>
      </x:c>
      <x:c r="J908" s="289" t="n">
        <x:v>0</x:v>
      </x:c>
      <x:c r="K908" s="289" t="n">
        <x:v>0</x:v>
      </x:c>
      <x:c r="L908" s="289" t="n">
        <x:v>0</x:v>
      </x:c>
      <x:c r="M908" s="289" t="n">
        <x:v>6927</x:v>
      </x:c>
      <x:c r="N908" s="289" t="n">
        <x:v>6927</x:v>
      </x:c>
      <x:c r="O908" s="289" t="n">
        <x:v>6927</x:v>
      </x:c>
      <x:c r="P908" s="292"/>
      <x:c r="Q908" s="292" t="str">
        <x:v>candidate-preflight-passed</x:v>
      </x:c>
      <x:c r="R908" s="324" t="str">
        <x:v>C3-C10规划锁定：遗刻晶纹镯</x:v>
      </x:c>
      <x:c r="S908" s="292" t="str">
        <x:v>玄渊二十套全装备代码总表.xlsx</x:v>
      </x:c>
      <x:c r="T908" s="292" t="str">
        <x:v>玄渊20套全装备视觉候选；Items/StateItem/DnItems三库同码；属性待策划填写</x:v>
      </x:c>
      <x:c r="U908" t="str">
        <x:f>IF(COUNTIF($B$2:$B$1076,B908)&gt;1,"重复","")</x:f>
      </x:c>
      <x:c r="V908" t="str">
        <x:f>IF(AND(OR(M908="",M908=B908),OR(N908="",N908=B908),OR(O908="",O908=B908)),"通过","不一致")</x:f>
        <x:v>通过</x:v>
      </x:c>
    </x:row>
    <x:row r="909" ht="22" customHeight="1">
      <x:c r="A909" s="289" t="n">
        <x:v>908</x:v>
      </x:c>
      <x:c r="B909" s="289" t="n">
        <x:v>6928</x:v>
      </x:c>
      <x:c r="C909" s="290" t="str">
        <x:v>翠焰冥契·幽焰</x:v>
      </x:c>
      <x:c r="D909" s="290" t="str">
        <x:v>翠焰冥契</x:v>
      </x:c>
      <x:c r="E909" s="290" t="n">
        <x:v>1</x:v>
      </x:c>
      <x:c r="F909" s="290" t="str">
        <x:v>戒指</x:v>
      </x:c>
      <x:c r="G909" s="289" t="n">
        <x:v>22</x:v>
      </x:c>
      <x:c r="H909" s="289" t="n">
        <x:v>7</x:v>
      </x:c>
      <x:c r="I909" s="289" t="n">
        <x:v>6928</x:v>
      </x:c>
      <x:c r="J909" s="289" t="n">
        <x:v>0</x:v>
      </x:c>
      <x:c r="K909" s="289" t="n">
        <x:v>0</x:v>
      </x:c>
      <x:c r="L909" s="289" t="n">
        <x:v>0</x:v>
      </x:c>
      <x:c r="M909" s="289" t="n">
        <x:v>6928</x:v>
      </x:c>
      <x:c r="N909" s="289" t="n">
        <x:v>6928</x:v>
      </x:c>
      <x:c r="O909" s="289" t="n">
        <x:v>6928</x:v>
      </x:c>
      <x:c r="P909" s="292"/>
      <x:c r="Q909" s="292" t="str">
        <x:v>candidate-preflight-passed</x:v>
      </x:c>
      <x:c r="R909" s="324" t="str">
        <x:v>C3-C10规划锁定：涟影回波戒</x:v>
      </x:c>
      <x:c r="S909" s="292" t="str">
        <x:v>玄渊二十套全装备代码总表.xlsx</x:v>
      </x:c>
      <x:c r="T909" s="292" t="str">
        <x:v>玄渊20套全装备视觉候选；Items/StateItem/DnItems三库同码；属性待策划填写</x:v>
      </x:c>
      <x:c r="U909" t="str">
        <x:f>IF(COUNTIF($B$2:$B$1076,B909)&gt;1,"重复","")</x:f>
      </x:c>
      <x:c r="V909" t="str">
        <x:f>IF(AND(OR(M909="",M909=B909),OR(N909="",N909=B909),OR(O909="",O909=B909)),"通过","不一致")</x:f>
        <x:v>通过</x:v>
      </x:c>
    </x:row>
    <x:row r="910" ht="22" customHeight="1">
      <x:c r="A910" s="289" t="n">
        <x:v>909</x:v>
      </x:c>
      <x:c r="B910" s="289" t="n">
        <x:v>6929</x:v>
      </x:c>
      <x:c r="C910" s="290" t="str">
        <x:v>翠焰冥契·幽焰</x:v>
      </x:c>
      <x:c r="D910" s="290" t="str">
        <x:v>翠焰冥契</x:v>
      </x:c>
      <x:c r="E910" s="290" t="n">
        <x:v>1</x:v>
      </x:c>
      <x:c r="F910" s="290" t="str">
        <x:v>勋章</x:v>
      </x:c>
      <x:c r="G910" s="289" t="n">
        <x:v>30</x:v>
      </x:c>
      <x:c r="H910" s="289" t="n">
        <x:v>2</x:v>
      </x:c>
      <x:c r="I910" s="289" t="n">
        <x:v>6929</x:v>
      </x:c>
      <x:c r="J910" s="289" t="n">
        <x:v>0</x:v>
      </x:c>
      <x:c r="K910" s="289" t="n">
        <x:v>0</x:v>
      </x:c>
      <x:c r="L910" s="289" t="n">
        <x:v>0</x:v>
      </x:c>
      <x:c r="M910" s="289" t="n">
        <x:v>6929</x:v>
      </x:c>
      <x:c r="N910" s="289" t="n">
        <x:v>6929</x:v>
      </x:c>
      <x:c r="O910" s="289" t="n">
        <x:v>6929</x:v>
      </x:c>
      <x:c r="P910" s="292"/>
      <x:c r="Q910" s="292" t="str">
        <x:v>candidate-preflight-passed</x:v>
      </x:c>
      <x:c r="R910" s="324" t="str">
        <x:v>C3-C10规划锁定：祷刑罪章</x:v>
      </x:c>
      <x:c r="S910" s="292" t="str">
        <x:v>玄渊二十套全装备代码总表.xlsx</x:v>
      </x:c>
      <x:c r="T910" s="292" t="str">
        <x:v>玄渊20套全装备视觉候选；Items/StateItem/DnItems三库同码；属性待策划填写</x:v>
      </x:c>
      <x:c r="U910" t="str">
        <x:f>IF(COUNTIF($B$2:$B$1076,B910)&gt;1,"重复","")</x:f>
      </x:c>
      <x:c r="V910" t="str">
        <x:f>IF(AND(OR(M910="",M910=B910),OR(N910="",N910=B910),OR(O910="",O910=B910)),"通过","不一致")</x:f>
        <x:v>通过</x:v>
      </x:c>
    </x:row>
    <x:row r="911" ht="22" customHeight="1">
      <x:c r="A911" s="289" t="n">
        <x:v>910</x:v>
      </x:c>
      <x:c r="B911" s="289" t="n">
        <x:v>6930</x:v>
      </x:c>
      <x:c r="C911" s="290" t="str">
        <x:v>翠焰冥契·幽焰</x:v>
      </x:c>
      <x:c r="D911" s="290" t="str">
        <x:v>翠焰冥契</x:v>
      </x:c>
      <x:c r="E911" s="290" t="n">
        <x:v>1</x:v>
      </x:c>
      <x:c r="F911" s="290" t="str">
        <x:v>盾牌</x:v>
      </x:c>
      <x:c r="G911" s="289" t="n">
        <x:v>12</x:v>
      </x:c>
      <x:c r="H911" s="289" t="n">
        <x:v>16</x:v>
      </x:c>
      <x:c r="I911" s="289" t="n">
        <x:v>6930</x:v>
      </x:c>
      <x:c r="J911" s="289" t="n">
        <x:v>0</x:v>
      </x:c>
      <x:c r="K911" s="289" t="n">
        <x:v>0</x:v>
      </x:c>
      <x:c r="L911" s="289" t="n">
        <x:v>0</x:v>
      </x:c>
      <x:c r="M911" s="289" t="n">
        <x:v>6930</x:v>
      </x:c>
      <x:c r="N911" s="289" t="n">
        <x:v>6930</x:v>
      </x:c>
      <x:c r="O911" s="289" t="n">
        <x:v>6930</x:v>
      </x:c>
      <x:c r="P911" s="292"/>
      <x:c r="Q911" s="292" t="str">
        <x:v>candidate-preflight-passed</x:v>
      </x:c>
      <x:c r="R911" s="324" t="str">
        <x:v>C3-C10规划锁定：巡卷傀书盾</x:v>
      </x:c>
      <x:c r="S911" s="292" t="str">
        <x:v>玄渊二十套全装备代码总表.xlsx</x:v>
      </x:c>
      <x:c r="T911" s="292" t="str">
        <x:v>玄渊20套全装备视觉候选；Items/StateItem/DnItems三库同码；属性待策划填写</x:v>
      </x:c>
      <x:c r="U911" t="str">
        <x:f>IF(COUNTIF($B$2:$B$1076,B911)&gt;1,"重复","")</x:f>
      </x:c>
      <x:c r="V911" t="str">
        <x:f>IF(AND(OR(M911="",M911=B911),OR(N911="",N911=B911),OR(O911="",O911=B911)),"通过","不一致")</x:f>
        <x:v>通过</x:v>
      </x:c>
    </x:row>
    <x:row r="912" ht="22" customHeight="1">
      <x:c r="A912" s="289" t="n">
        <x:v>911</x:v>
      </x:c>
      <x:c r="B912" s="289" t="n">
        <x:v>6931</x:v>
      </x:c>
      <x:c r="C912" s="290" t="str">
        <x:v>翠焰冥契·幽焰</x:v>
      </x:c>
      <x:c r="D912" s="290" t="str">
        <x:v>翠焰冥契</x:v>
      </x:c>
      <x:c r="E912" s="290" t="n">
        <x:v>1</x:v>
      </x:c>
      <x:c r="F912" s="290" t="str">
        <x:v>灵玉</x:v>
      </x:c>
      <x:c r="G912" s="289" t="n">
        <x:v>90</x:v>
      </x:c>
      <x:c r="H912" s="289" t="n">
        <x:v>17</x:v>
      </x:c>
      <x:c r="I912" s="289" t="n">
        <x:v>6931</x:v>
      </x:c>
      <x:c r="J912" s="289" t="n">
        <x:v>0</x:v>
      </x:c>
      <x:c r="K912" s="289" t="n">
        <x:v>0</x:v>
      </x:c>
      <x:c r="L912" s="289" t="n">
        <x:v>0</x:v>
      </x:c>
      <x:c r="M912" s="289" t="n">
        <x:v>6931</x:v>
      </x:c>
      <x:c r="N912" s="289" t="n">
        <x:v>6931</x:v>
      </x:c>
      <x:c r="O912" s="289" t="n">
        <x:v>6931</x:v>
      </x:c>
      <x:c r="P912" s="292"/>
      <x:c r="Q912" s="292" t="str">
        <x:v>candidate-preflight-passed</x:v>
      </x:c>
      <x:c r="R912" s="292" t="str"/>
      <x:c r="S912" s="292" t="str">
        <x:v>玄渊二十套全装备代码总表.xlsx</x:v>
      </x:c>
      <x:c r="T912" s="292" t="str">
        <x:v>玄渊20套全装备视觉候选；Items/StateItem/DnItems三库同码；属性待策划填写</x:v>
      </x:c>
      <x:c r="U912" t="str">
        <x:f>IF(COUNTIF($B$2:$B$1076,B912)&gt;1,"重复","")</x:f>
      </x:c>
      <x:c r="V912" t="str">
        <x:f>IF(AND(OR(M912="",M912=B912),OR(N912="",N912=B912),OR(O912="",O912=B912)),"通过","不一致")</x:f>
        <x:v>通过</x:v>
      </x:c>
    </x:row>
    <x:row r="913" ht="22" customHeight="1">
      <x:c r="A913" s="289" t="n">
        <x:v>912</x:v>
      </x:c>
      <x:c r="B913" s="289" t="n">
        <x:v>6932</x:v>
      </x:c>
      <x:c r="C913" s="290" t="str">
        <x:v>翠焰冥契·幽焰</x:v>
      </x:c>
      <x:c r="D913" s="290" t="str">
        <x:v>翠焰冥契</x:v>
      </x:c>
      <x:c r="E913" s="290" t="n">
        <x:v>1</x:v>
      </x:c>
      <x:c r="F913" s="290" t="str">
        <x:v>鞋子</x:v>
      </x:c>
      <x:c r="G913" s="289" t="n">
        <x:v>62</x:v>
      </x:c>
      <x:c r="H913" s="289" t="n">
        <x:v>11</x:v>
      </x:c>
      <x:c r="I913" s="289" t="n">
        <x:v>6932</x:v>
      </x:c>
      <x:c r="J913" s="289" t="n">
        <x:v>0</x:v>
      </x:c>
      <x:c r="K913" s="289" t="n">
        <x:v>0</x:v>
      </x:c>
      <x:c r="L913" s="289" t="n">
        <x:v>0</x:v>
      </x:c>
      <x:c r="M913" s="289" t="n">
        <x:v>6932</x:v>
      </x:c>
      <x:c r="N913" s="289" t="n">
        <x:v>6932</x:v>
      </x:c>
      <x:c r="O913" s="289" t="n">
        <x:v>6932</x:v>
      </x:c>
      <x:c r="P913" s="292"/>
      <x:c r="Q913" s="292" t="str">
        <x:v>candidate-preflight-passed</x:v>
      </x:c>
      <x:c r="R913" s="324" t="str">
        <x:v>C3-C10规划锁定：卷蠹轻步履</x:v>
      </x:c>
      <x:c r="S913" s="292" t="str">
        <x:v>玄渊二十套全装备代码总表.xlsx</x:v>
      </x:c>
      <x:c r="T913" s="292" t="str">
        <x:v>玄渊20套全装备视觉候选；Items/StateItem/DnItems三库同码；属性待策划填写</x:v>
      </x:c>
      <x:c r="U913" t="str">
        <x:f>IF(COUNTIF($B$2:$B$1076,B913)&gt;1,"重复","")</x:f>
      </x:c>
      <x:c r="V913" t="str">
        <x:f>IF(AND(OR(M913="",M913=B913),OR(N913="",N913=B913),OR(O913="",O913=B913)),"通过","不一致")</x:f>
        <x:v>通过</x:v>
      </x:c>
    </x:row>
    <x:row r="914" ht="22" customHeight="1">
      <x:c r="A914" s="289" t="n">
        <x:v>913</x:v>
      </x:c>
      <x:c r="B914" s="289" t="n">
        <x:v>6933</x:v>
      </x:c>
      <x:c r="C914" s="290" t="str">
        <x:v>翠焰冥契·幽焰</x:v>
      </x:c>
      <x:c r="D914" s="290" t="str">
        <x:v>翠焰冥契</x:v>
      </x:c>
      <x:c r="E914" s="290" t="n">
        <x:v>1</x:v>
      </x:c>
      <x:c r="F914" s="290" t="str">
        <x:v>腰带</x:v>
      </x:c>
      <x:c r="G914" s="289" t="n">
        <x:v>64</x:v>
      </x:c>
      <x:c r="H914" s="289" t="n">
        <x:v>10</x:v>
      </x:c>
      <x:c r="I914" s="289" t="n">
        <x:v>6933</x:v>
      </x:c>
      <x:c r="J914" s="289" t="n">
        <x:v>0</x:v>
      </x:c>
      <x:c r="K914" s="289" t="n">
        <x:v>0</x:v>
      </x:c>
      <x:c r="L914" s="289" t="n">
        <x:v>0</x:v>
      </x:c>
      <x:c r="M914" s="289" t="n">
        <x:v>6933</x:v>
      </x:c>
      <x:c r="N914" s="289" t="n">
        <x:v>6933</x:v>
      </x:c>
      <x:c r="O914" s="289" t="n">
        <x:v>6933</x:v>
      </x:c>
      <x:c r="P914" s="292"/>
      <x:c r="Q914" s="292" t="str">
        <x:v>candidate-preflight-passed</x:v>
      </x:c>
      <x:c r="R914" s="324" t="str">
        <x:v>C3-C10规划锁定：影潮潜宫带</x:v>
      </x:c>
      <x:c r="S914" s="292" t="str">
        <x:v>玄渊二十套全装备代码总表.xlsx</x:v>
      </x:c>
      <x:c r="T914" s="292" t="str">
        <x:v>玄渊20套全装备视觉候选；Items/StateItem/DnItems三库同码；属性待策划填写</x:v>
      </x:c>
      <x:c r="U914" t="str">
        <x:f>IF(COUNTIF($B$2:$B$1076,B914)&gt;1,"重复","")</x:f>
      </x:c>
      <x:c r="V914" t="str">
        <x:f>IF(AND(OR(M914="",M914=B914),OR(N914="",N914=B914),OR(O914="",O914=B914)),"通过","不一致")</x:f>
        <x:v>通过</x:v>
      </x:c>
    </x:row>
    <x:row r="915" ht="22" customHeight="1">
      <x:c r="A915" s="289" t="n">
        <x:v>914</x:v>
      </x:c>
      <x:c r="B915" s="289" t="n">
        <x:v>6934</x:v>
      </x:c>
      <x:c r="C915" s="290" t="str">
        <x:v>翠焰冥契·幽焰</x:v>
      </x:c>
      <x:c r="D915" s="290" t="str">
        <x:v>翠焰冥契</x:v>
      </x:c>
      <x:c r="E915" s="290" t="n">
        <x:v>1</x:v>
      </x:c>
      <x:c r="F915" s="290" t="str">
        <x:v>护身符</x:v>
      </x:c>
      <x:c r="G915" s="289" t="n">
        <x:v>25</x:v>
      </x:c>
      <x:c r="H915" s="289" t="n">
        <x:v>9</x:v>
      </x:c>
      <x:c r="I915" s="289" t="n">
        <x:v>6934</x:v>
      </x:c>
      <x:c r="J915" s="289" t="n">
        <x:v>0</x:v>
      </x:c>
      <x:c r="K915" s="289" t="n">
        <x:v>0</x:v>
      </x:c>
      <x:c r="L915" s="289" t="n">
        <x:v>0</x:v>
      </x:c>
      <x:c r="M915" s="289" t="n">
        <x:v>6934</x:v>
      </x:c>
      <x:c r="N915" s="289" t="n">
        <x:v>6934</x:v>
      </x:c>
      <x:c r="O915" s="289" t="n">
        <x:v>6934</x:v>
      </x:c>
      <x:c r="P915" s="292"/>
      <x:c r="Q915" s="292" t="str">
        <x:v>candidate-preflight-passed</x:v>
      </x:c>
      <x:c r="R915" s="292" t="str"/>
      <x:c r="S915" s="292" t="str">
        <x:v>玄渊二十套全装备代码总表.xlsx</x:v>
      </x:c>
      <x:c r="T915" s="292" t="str">
        <x:v>玄渊20套全装备视觉候选；Items/StateItem/DnItems三库同码；属性待策划填写</x:v>
      </x:c>
      <x:c r="U915" t="str">
        <x:f>IF(COUNTIF($B$2:$B$1076,B915)&gt;1,"重复","")</x:f>
      </x:c>
      <x:c r="V915" t="str">
        <x:f>IF(AND(OR(M915="",M915=B915),OR(N915="",N915=B915),OR(O915="",O915=B915)),"通过","不一致")</x:f>
        <x:v>通过</x:v>
      </x:c>
    </x:row>
    <x:row r="916" ht="22" customHeight="1">
      <x:c r="A916" s="289" t="n">
        <x:v>915</x:v>
      </x:c>
      <x:c r="B916" s="289" t="n">
        <x:v>6935</x:v>
      </x:c>
      <x:c r="C916" s="290" t="str">
        <x:v>翠焰冥契·幽焰</x:v>
      </x:c>
      <x:c r="D916" s="290" t="str">
        <x:v>翠焰冥契</x:v>
      </x:c>
      <x:c r="E916" s="290" t="n">
        <x:v>1</x:v>
      </x:c>
      <x:c r="F916" s="290" t="str">
        <x:v>宝石</x:v>
      </x:c>
      <x:c r="G916" s="289" t="n">
        <x:v>63</x:v>
      </x:c>
      <x:c r="H916" s="289" t="n">
        <x:v>12</x:v>
      </x:c>
      <x:c r="I916" s="289" t="n">
        <x:v>6935</x:v>
      </x:c>
      <x:c r="J916" s="289" t="n">
        <x:v>0</x:v>
      </x:c>
      <x:c r="K916" s="289" t="n">
        <x:v>0</x:v>
      </x:c>
      <x:c r="L916" s="289" t="n">
        <x:v>0</x:v>
      </x:c>
      <x:c r="M916" s="289" t="n">
        <x:v>6935</x:v>
      </x:c>
      <x:c r="N916" s="289" t="n">
        <x:v>6935</x:v>
      </x:c>
      <x:c r="O916" s="289" t="n">
        <x:v>6935</x:v>
      </x:c>
      <x:c r="P916" s="292"/>
      <x:c r="Q916" s="292" t="str">
        <x:v>candidate-preflight-passed</x:v>
      </x:c>
      <x:c r="R916" s="292" t="str"/>
      <x:c r="S916" s="292" t="str">
        <x:v>玄渊二十套全装备代码总表.xlsx</x:v>
      </x:c>
      <x:c r="T916" s="292" t="str">
        <x:v>玄渊20套全装备视觉候选；Items/StateItem/DnItems三库同码；属性待策划填写</x:v>
      </x:c>
      <x:c r="U916" t="str">
        <x:f>IF(COUNTIF($B$2:$B$1076,B916)&gt;1,"重复","")</x:f>
      </x:c>
      <x:c r="V916" t="str">
        <x:f>IF(AND(OR(M916="",M916=B916),OR(N916="",N916=B916),OR(O916="",O916=B916)),"通过","不一致")</x:f>
        <x:v>通过</x:v>
      </x:c>
    </x:row>
    <x:row r="917" ht="22" customHeight="1">
      <x:c r="A917" s="289" t="n">
        <x:v>916</x:v>
      </x:c>
      <x:c r="B917" s="289" t="n">
        <x:v>6936</x:v>
      </x:c>
      <x:c r="C917" s="290" t="str">
        <x:v>翠焰冥契·幽焰</x:v>
      </x:c>
      <x:c r="D917" s="290" t="str">
        <x:v>翠焰冥契</x:v>
      </x:c>
      <x:c r="E917" s="290" t="n">
        <x:v>1</x:v>
      </x:c>
      <x:c r="F917" s="290" t="str">
        <x:v>军鼓</x:v>
      </x:c>
      <x:c r="G917" s="289" t="n">
        <x:v>65</x:v>
      </x:c>
      <x:c r="H917" s="289" t="n">
        <x:v>14</x:v>
      </x:c>
      <x:c r="I917" s="289" t="n">
        <x:v>6936</x:v>
      </x:c>
      <x:c r="J917" s="289" t="n">
        <x:v>0</x:v>
      </x:c>
      <x:c r="K917" s="289" t="n">
        <x:v>0</x:v>
      </x:c>
      <x:c r="L917" s="289" t="n">
        <x:v>0</x:v>
      </x:c>
      <x:c r="M917" s="289" t="n">
        <x:v>6936</x:v>
      </x:c>
      <x:c r="N917" s="289" t="n">
        <x:v>6936</x:v>
      </x:c>
      <x:c r="O917" s="289" t="n">
        <x:v>6936</x:v>
      </x:c>
      <x:c r="P917" s="292"/>
      <x:c r="Q917" s="292" t="str">
        <x:v>candidate-preflight-passed</x:v>
      </x:c>
      <x:c r="R917" s="292" t="str"/>
      <x:c r="S917" s="292" t="str">
        <x:v>玄渊二十套全装备代码总表.xlsx</x:v>
      </x:c>
      <x:c r="T917" s="292" t="str">
        <x:v>玄渊20套全装备视觉候选；Items/StateItem/DnItems三库同码；属性待策划填写</x:v>
      </x:c>
      <x:c r="U917" t="str">
        <x:f>IF(COUNTIF($B$2:$B$1076,B917)&gt;1,"重复","")</x:f>
      </x:c>
      <x:c r="V917" t="str">
        <x:f>IF(AND(OR(M917="",M917=B917),OR(N917="",N917=B917),OR(O917="",O917=B917)),"通过","不一致")</x:f>
        <x:v>通过</x:v>
      </x:c>
    </x:row>
    <x:row r="918" ht="22" customHeight="1">
      <x:c r="A918" s="289" t="n">
        <x:v>917</x:v>
      </x:c>
      <x:c r="B918" s="289" t="n">
        <x:v>6937</x:v>
      </x:c>
      <x:c r="C918" s="290" t="str">
        <x:v>翠焰冥契·幽焰</x:v>
      </x:c>
      <x:c r="D918" s="290" t="str">
        <x:v>翠焰冥契</x:v>
      </x:c>
      <x:c r="E918" s="290" t="n">
        <x:v>1</x:v>
      </x:c>
      <x:c r="F918" s="290" t="str">
        <x:v>马牌</x:v>
      </x:c>
      <x:c r="G918" s="289" t="n">
        <x:v>28</x:v>
      </x:c>
      <x:c r="H918" s="289" t="n">
        <x:v>15</x:v>
      </x:c>
      <x:c r="I918" s="289" t="n">
        <x:v>6937</x:v>
      </x:c>
      <x:c r="J918" s="289" t="n">
        <x:v>0</x:v>
      </x:c>
      <x:c r="K918" s="289" t="n">
        <x:v>0</x:v>
      </x:c>
      <x:c r="L918" s="289" t="n">
        <x:v>0</x:v>
      </x:c>
      <x:c r="M918" s="289" t="n">
        <x:v>6937</x:v>
      </x:c>
      <x:c r="N918" s="289" t="n">
        <x:v>6937</x:v>
      </x:c>
      <x:c r="O918" s="289" t="n">
        <x:v>6937</x:v>
      </x:c>
      <x:c r="P918" s="292"/>
      <x:c r="Q918" s="292" t="str">
        <x:v>candidate-preflight-passed</x:v>
      </x:c>
      <x:c r="R918" s="292" t="str"/>
      <x:c r="S918" s="292" t="str">
        <x:v>玄渊二十套全装备代码总表.xlsx</x:v>
      </x:c>
      <x:c r="T918" s="292" t="str">
        <x:v>玄渊20套全装备视觉候选；Items/StateItem/DnItems三库同码；属性待策划填写</x:v>
      </x:c>
      <x:c r="U918" t="str">
        <x:f>IF(COUNTIF($B$2:$B$1076,B918)&gt;1,"重复","")</x:f>
      </x:c>
      <x:c r="V918" t="str">
        <x:f>IF(AND(OR(M918="",M918=B918),OR(N918="",N918=B918),OR(O918="",O918=B918)),"通过","不一致")</x:f>
        <x:v>通过</x:v>
      </x:c>
    </x:row>
    <x:row r="919" ht="22" customHeight="1">
      <x:c r="A919" s="289" t="n">
        <x:v>918</x:v>
      </x:c>
      <x:c r="B919" s="289" t="n">
        <x:v>6938</x:v>
      </x:c>
      <x:c r="C919" s="290" t="str">
        <x:v>翠焰冥契·幽焰</x:v>
      </x:c>
      <x:c r="D919" s="290" t="str">
        <x:v>翠焰冥契</x:v>
      </x:c>
      <x:c r="E919" s="290" t="n">
        <x:v>1</x:v>
      </x:c>
      <x:c r="F919" s="290" t="str">
        <x:v>首饰盒1</x:v>
      </x:c>
      <x:c r="G919" s="289" t="n">
        <x:v>22</x:v>
      </x:c>
      <x:c r="H919" s="289" t="n">
        <x:v>30</x:v>
      </x:c>
      <x:c r="I919" s="289" t="n">
        <x:v>6938</x:v>
      </x:c>
      <x:c r="J919" s="289" t="n">
        <x:v>0</x:v>
      </x:c>
      <x:c r="K919" s="289" t="n">
        <x:v>2</x:v>
      </x:c>
      <x:c r="L919" s="289" t="n">
        <x:v>1</x:v>
      </x:c>
      <x:c r="M919" s="289" t="n">
        <x:v>6938</x:v>
      </x:c>
      <x:c r="N919" s="289" t="n">
        <x:v>6938</x:v>
      </x:c>
      <x:c r="O919" s="289" t="n">
        <x:v>6938</x:v>
      </x:c>
      <x:c r="P919" s="292"/>
      <x:c r="Q919" s="292" t="str">
        <x:v>candidate-preflight-passed</x:v>
      </x:c>
      <x:c r="R919" s="292" t="str"/>
      <x:c r="S919" s="292" t="str">
        <x:v>玄渊二十套全装备代码总表.xlsx</x:v>
      </x:c>
      <x:c r="T919" s="292" t="str">
        <x:v>玄渊20套全装备视觉候选；Items/StateItem/DnItems三库同码；属性待策划填写；OverLap=2; Expand1=1</x:v>
      </x:c>
      <x:c r="U919" t="str">
        <x:f>IF(COUNTIF($B$2:$B$1076,B919)&gt;1,"重复","")</x:f>
      </x:c>
      <x:c r="V919" t="str">
        <x:f>IF(AND(OR(M919="",M919=B919),OR(N919="",N919=B919),OR(O919="",O919=B919)),"通过","不一致")</x:f>
        <x:v>通过</x:v>
      </x:c>
    </x:row>
    <x:row r="920" ht="22" customHeight="1">
      <x:c r="A920" s="289" t="n">
        <x:v>919</x:v>
      </x:c>
      <x:c r="B920" s="289" t="n">
        <x:v>6939</x:v>
      </x:c>
      <x:c r="C920" s="290" t="str">
        <x:v>翠焰冥契·幽焰</x:v>
      </x:c>
      <x:c r="D920" s="290" t="str">
        <x:v>翠焰冥契</x:v>
      </x:c>
      <x:c r="E920" s="290" t="n">
        <x:v>1</x:v>
      </x:c>
      <x:c r="F920" s="290" t="str">
        <x:v>首饰盒2</x:v>
      </x:c>
      <x:c r="G920" s="289" t="n">
        <x:v>22</x:v>
      </x:c>
      <x:c r="H920" s="289" t="n">
        <x:v>31</x:v>
      </x:c>
      <x:c r="I920" s="289" t="n">
        <x:v>6939</x:v>
      </x:c>
      <x:c r="J920" s="289" t="n">
        <x:v>0</x:v>
      </x:c>
      <x:c r="K920" s="289" t="n">
        <x:v>2</x:v>
      </x:c>
      <x:c r="L920" s="289" t="n">
        <x:v>2</x:v>
      </x:c>
      <x:c r="M920" s="289" t="n">
        <x:v>6939</x:v>
      </x:c>
      <x:c r="N920" s="289" t="n">
        <x:v>6939</x:v>
      </x:c>
      <x:c r="O920" s="289" t="n">
        <x:v>6939</x:v>
      </x:c>
      <x:c r="P920" s="292"/>
      <x:c r="Q920" s="292" t="str">
        <x:v>candidate-preflight-passed</x:v>
      </x:c>
      <x:c r="R920" s="292" t="str"/>
      <x:c r="S920" s="292" t="str">
        <x:v>玄渊二十套全装备代码总表.xlsx</x:v>
      </x:c>
      <x:c r="T920" s="292" t="str">
        <x:v>玄渊20套全装备视觉候选；Items/StateItem/DnItems三库同码；属性待策划填写；OverLap=2; Expand1=2</x:v>
      </x:c>
      <x:c r="U920" t="str">
        <x:f>IF(COUNTIF($B$2:$B$1076,B920)&gt;1,"重复","")</x:f>
      </x:c>
      <x:c r="V920" t="str">
        <x:f>IF(AND(OR(M920="",M920=B920),OR(N920="",N920=B920),OR(O920="",O920=B920)),"通过","不一致")</x:f>
        <x:v>通过</x:v>
      </x:c>
    </x:row>
    <x:row r="921" ht="22" customHeight="1">
      <x:c r="A921" s="289" t="n">
        <x:v>920</x:v>
      </x:c>
      <x:c r="B921" s="289" t="n">
        <x:v>6940</x:v>
      </x:c>
      <x:c r="C921" s="290" t="str">
        <x:v>翠焰冥契·幽焰</x:v>
      </x:c>
      <x:c r="D921" s="290" t="str">
        <x:v>翠焰冥契</x:v>
      </x:c>
      <x:c r="E921" s="290" t="n">
        <x:v>1</x:v>
      </x:c>
      <x:c r="F921" s="290" t="str">
        <x:v>首饰盒3</x:v>
      </x:c>
      <x:c r="G921" s="289" t="n">
        <x:v>22</x:v>
      </x:c>
      <x:c r="H921" s="289" t="n">
        <x:v>32</x:v>
      </x:c>
      <x:c r="I921" s="289" t="n">
        <x:v>6940</x:v>
      </x:c>
      <x:c r="J921" s="289" t="n">
        <x:v>0</x:v>
      </x:c>
      <x:c r="K921" s="289" t="n">
        <x:v>2</x:v>
      </x:c>
      <x:c r="L921" s="289" t="n">
        <x:v>3</x:v>
      </x:c>
      <x:c r="M921" s="289" t="n">
        <x:v>6940</x:v>
      </x:c>
      <x:c r="N921" s="289" t="n">
        <x:v>6940</x:v>
      </x:c>
      <x:c r="O921" s="289" t="n">
        <x:v>6940</x:v>
      </x:c>
      <x:c r="P921" s="292"/>
      <x:c r="Q921" s="292" t="str">
        <x:v>candidate-preflight-passed</x:v>
      </x:c>
      <x:c r="R921" s="292" t="str"/>
      <x:c r="S921" s="292" t="str">
        <x:v>玄渊二十套全装备代码总表.xlsx</x:v>
      </x:c>
      <x:c r="T921" s="292" t="str">
        <x:v>玄渊20套全装备视觉候选；Items/StateItem/DnItems三库同码；属性待策划填写；OverLap=2; Expand1=3</x:v>
      </x:c>
      <x:c r="U921" t="str">
        <x:f>IF(COUNTIF($B$2:$B$1076,B921)&gt;1,"重复","")</x:f>
      </x:c>
      <x:c r="V921" t="str">
        <x:f>IF(AND(OR(M921="",M921=B921),OR(N921="",N921=B921),OR(O921="",O921=B921)),"通过","不一致")</x:f>
        <x:v>通过</x:v>
      </x:c>
    </x:row>
    <x:row r="922" ht="22" customHeight="1">
      <x:c r="A922" s="289" t="n">
        <x:v>921</x:v>
      </x:c>
      <x:c r="B922" s="289" t="n">
        <x:v>6941</x:v>
      </x:c>
      <x:c r="C922" s="290" t="str">
        <x:v>翠焰冥契·幽焰</x:v>
      </x:c>
      <x:c r="D922" s="290" t="str">
        <x:v>翠焰冥契</x:v>
      </x:c>
      <x:c r="E922" s="290" t="n">
        <x:v>1</x:v>
      </x:c>
      <x:c r="F922" s="290" t="str">
        <x:v>首饰盒4</x:v>
      </x:c>
      <x:c r="G922" s="289" t="n">
        <x:v>22</x:v>
      </x:c>
      <x:c r="H922" s="289" t="n">
        <x:v>33</x:v>
      </x:c>
      <x:c r="I922" s="289" t="n">
        <x:v>6941</x:v>
      </x:c>
      <x:c r="J922" s="289" t="n">
        <x:v>0</x:v>
      </x:c>
      <x:c r="K922" s="289" t="n">
        <x:v>2</x:v>
      </x:c>
      <x:c r="L922" s="289" t="n">
        <x:v>4</x:v>
      </x:c>
      <x:c r="M922" s="289" t="n">
        <x:v>6941</x:v>
      </x:c>
      <x:c r="N922" s="289" t="n">
        <x:v>6941</x:v>
      </x:c>
      <x:c r="O922" s="289" t="n">
        <x:v>6941</x:v>
      </x:c>
      <x:c r="P922" s="292"/>
      <x:c r="Q922" s="292" t="str">
        <x:v>candidate-preflight-passed</x:v>
      </x:c>
      <x:c r="R922" s="292" t="str"/>
      <x:c r="S922" s="292" t="str">
        <x:v>玄渊二十套全装备代码总表.xlsx</x:v>
      </x:c>
      <x:c r="T922" s="292" t="str">
        <x:v>玄渊20套全装备视觉候选；Items/StateItem/DnItems三库同码；属性待策划填写；OverLap=2; Expand1=4</x:v>
      </x:c>
      <x:c r="U922" t="str">
        <x:f>IF(COUNTIF($B$2:$B$1076,B922)&gt;1,"重复","")</x:f>
      </x:c>
      <x:c r="V922" t="str">
        <x:f>IF(AND(OR(M922="",M922=B922),OR(N922="",N922=B922),OR(O922="",O922=B922)),"通过","不一致")</x:f>
        <x:v>通过</x:v>
      </x:c>
    </x:row>
    <x:row r="923" ht="22" customHeight="1">
      <x:c r="A923" s="289" t="n">
        <x:v>922</x:v>
      </x:c>
      <x:c r="B923" s="289" t="n">
        <x:v>6942</x:v>
      </x:c>
      <x:c r="C923" s="290" t="str">
        <x:v>翠焰冥契·幽焰</x:v>
      </x:c>
      <x:c r="D923" s="290" t="str">
        <x:v>翠焰冥契</x:v>
      </x:c>
      <x:c r="E923" s="290" t="n">
        <x:v>1</x:v>
      </x:c>
      <x:c r="F923" s="290" t="str">
        <x:v>首饰盒5</x:v>
      </x:c>
      <x:c r="G923" s="289" t="n">
        <x:v>22</x:v>
      </x:c>
      <x:c r="H923" s="289" t="n">
        <x:v>34</x:v>
      </x:c>
      <x:c r="I923" s="289" t="n">
        <x:v>6942</x:v>
      </x:c>
      <x:c r="J923" s="289" t="n">
        <x:v>0</x:v>
      </x:c>
      <x:c r="K923" s="289" t="n">
        <x:v>2</x:v>
      </x:c>
      <x:c r="L923" s="289" t="n">
        <x:v>5</x:v>
      </x:c>
      <x:c r="M923" s="289" t="n">
        <x:v>6942</x:v>
      </x:c>
      <x:c r="N923" s="289" t="n">
        <x:v>6942</x:v>
      </x:c>
      <x:c r="O923" s="289" t="n">
        <x:v>6942</x:v>
      </x:c>
      <x:c r="P923" s="292"/>
      <x:c r="Q923" s="292" t="str">
        <x:v>candidate-preflight-passed</x:v>
      </x:c>
      <x:c r="R923" s="292" t="str"/>
      <x:c r="S923" s="292" t="str">
        <x:v>玄渊二十套全装备代码总表.xlsx</x:v>
      </x:c>
      <x:c r="T923" s="292" t="str">
        <x:v>玄渊20套全装备视觉候选；Items/StateItem/DnItems三库同码；属性待策划填写；OverLap=2; Expand1=5</x:v>
      </x:c>
      <x:c r="U923" t="str">
        <x:f>IF(COUNTIF($B$2:$B$1076,B923)&gt;1,"重复","")</x:f>
      </x:c>
      <x:c r="V923" t="str">
        <x:f>IF(AND(OR(M923="",M923=B923),OR(N923="",N923=B923),OR(O923="",O923=B923)),"通过","不一致")</x:f>
        <x:v>通过</x:v>
      </x:c>
    </x:row>
    <x:row r="924" ht="22" customHeight="1">
      <x:c r="A924" s="289" t="n">
        <x:v>923</x:v>
      </x:c>
      <x:c r="B924" s="289" t="n">
        <x:v>6943</x:v>
      </x:c>
      <x:c r="C924" s="290" t="str">
        <x:v>翠焰冥契·幽焰</x:v>
      </x:c>
      <x:c r="D924" s="290" t="str">
        <x:v>翠焰冥契</x:v>
      </x:c>
      <x:c r="E924" s="290" t="n">
        <x:v>1</x:v>
      </x:c>
      <x:c r="F924" s="290" t="str">
        <x:v>首饰盒6</x:v>
      </x:c>
      <x:c r="G924" s="289" t="n">
        <x:v>22</x:v>
      </x:c>
      <x:c r="H924" s="289" t="n">
        <x:v>35</x:v>
      </x:c>
      <x:c r="I924" s="289" t="n">
        <x:v>6943</x:v>
      </x:c>
      <x:c r="J924" s="289" t="n">
        <x:v>0</x:v>
      </x:c>
      <x:c r="K924" s="289" t="n">
        <x:v>2</x:v>
      </x:c>
      <x:c r="L924" s="289" t="n">
        <x:v>6</x:v>
      </x:c>
      <x:c r="M924" s="289" t="n">
        <x:v>6943</x:v>
      </x:c>
      <x:c r="N924" s="289" t="n">
        <x:v>6943</x:v>
      </x:c>
      <x:c r="O924" s="289" t="n">
        <x:v>6943</x:v>
      </x:c>
      <x:c r="P924" s="292"/>
      <x:c r="Q924" s="292" t="str">
        <x:v>candidate-preflight-passed</x:v>
      </x:c>
      <x:c r="R924" s="292" t="str"/>
      <x:c r="S924" s="292" t="str">
        <x:v>玄渊二十套全装备代码总表.xlsx</x:v>
      </x:c>
      <x:c r="T924" s="292" t="str">
        <x:v>玄渊20套全装备视觉候选；Items/StateItem/DnItems三库同码；属性待策划填写；OverLap=2; Expand1=6</x:v>
      </x:c>
      <x:c r="U924" t="str">
        <x:f>IF(COUNTIF($B$2:$B$1076,B924)&gt;1,"重复","")</x:f>
      </x:c>
      <x:c r="V924" t="str">
        <x:f>IF(AND(OR(M924="",M924=B924),OR(N924="",N924=B924),OR(O924="",O924=B924)),"通过","不一致")</x:f>
        <x:v>通过</x:v>
      </x:c>
    </x:row>
    <x:row r="925" ht="22" customHeight="1">
      <x:c r="A925" s="289" t="n">
        <x:v>924</x:v>
      </x:c>
      <x:c r="B925" s="289" t="n">
        <x:v>6944</x:v>
      </x:c>
      <x:c r="C925" s="290" t="str">
        <x:v>翠焰冥契·幽焰</x:v>
      </x:c>
      <x:c r="D925" s="290" t="str">
        <x:v>翠焰冥契</x:v>
      </x:c>
      <x:c r="E925" s="290" t="n">
        <x:v>1</x:v>
      </x:c>
      <x:c r="F925" s="290" t="str">
        <x:v>生肖1</x:v>
      </x:c>
      <x:c r="G925" s="289" t="n">
        <x:v>22</x:v>
      </x:c>
      <x:c r="H925" s="289" t="n">
        <x:v>40</x:v>
      </x:c>
      <x:c r="I925" s="289" t="n">
        <x:v>6944</x:v>
      </x:c>
      <x:c r="J925" s="289" t="n">
        <x:v>0</x:v>
      </x:c>
      <x:c r="K925" s="289" t="n">
        <x:v>4</x:v>
      </x:c>
      <x:c r="L925" s="289" t="n">
        <x:v>1</x:v>
      </x:c>
      <x:c r="M925" s="289" t="n">
        <x:v>6944</x:v>
      </x:c>
      <x:c r="N925" s="289" t="n">
        <x:v>6944</x:v>
      </x:c>
      <x:c r="O925" s="289" t="n">
        <x:v>6944</x:v>
      </x:c>
      <x:c r="P925" s="292"/>
      <x:c r="Q925" s="292" t="str">
        <x:v>candidate-preflight-passed</x:v>
      </x:c>
      <x:c r="R925" s="292" t="str"/>
      <x:c r="S925" s="292" t="str">
        <x:v>玄渊二十套全装备代码总表.xlsx</x:v>
      </x:c>
      <x:c r="T925" s="292" t="str">
        <x:v>玄渊20套全装备视觉候选；Items/StateItem/DnItems三库同码；属性待策划填写；OverLap=4; Expand1=1</x:v>
      </x:c>
      <x:c r="U925" t="str">
        <x:f>IF(COUNTIF($B$2:$B$1076,B925)&gt;1,"重复","")</x:f>
      </x:c>
      <x:c r="V925" t="str">
        <x:f>IF(AND(OR(M925="",M925=B925),OR(N925="",N925=B925),OR(O925="",O925=B925)),"通过","不一致")</x:f>
        <x:v>通过</x:v>
      </x:c>
    </x:row>
    <x:row r="926" ht="22" customHeight="1">
      <x:c r="A926" s="289" t="n">
        <x:v>925</x:v>
      </x:c>
      <x:c r="B926" s="289" t="n">
        <x:v>6945</x:v>
      </x:c>
      <x:c r="C926" s="290" t="str">
        <x:v>翠焰冥契·幽焰</x:v>
      </x:c>
      <x:c r="D926" s="290" t="str">
        <x:v>翠焰冥契</x:v>
      </x:c>
      <x:c r="E926" s="290" t="n">
        <x:v>1</x:v>
      </x:c>
      <x:c r="F926" s="290" t="str">
        <x:v>生肖2</x:v>
      </x:c>
      <x:c r="G926" s="289" t="n">
        <x:v>22</x:v>
      </x:c>
      <x:c r="H926" s="289" t="n">
        <x:v>41</x:v>
      </x:c>
      <x:c r="I926" s="289" t="n">
        <x:v>6945</x:v>
      </x:c>
      <x:c r="J926" s="289" t="n">
        <x:v>0</x:v>
      </x:c>
      <x:c r="K926" s="289" t="n">
        <x:v>4</x:v>
      </x:c>
      <x:c r="L926" s="289" t="n">
        <x:v>2</x:v>
      </x:c>
      <x:c r="M926" s="289" t="n">
        <x:v>6945</x:v>
      </x:c>
      <x:c r="N926" s="289" t="n">
        <x:v>6945</x:v>
      </x:c>
      <x:c r="O926" s="289" t="n">
        <x:v>6945</x:v>
      </x:c>
      <x:c r="P926" s="292"/>
      <x:c r="Q926" s="292" t="str">
        <x:v>candidate-preflight-passed</x:v>
      </x:c>
      <x:c r="R926" s="292" t="str"/>
      <x:c r="S926" s="292" t="str">
        <x:v>玄渊二十套全装备代码总表.xlsx</x:v>
      </x:c>
      <x:c r="T926" s="292" t="str">
        <x:v>玄渊20套全装备视觉候选；Items/StateItem/DnItems三库同码；属性待策划填写；OverLap=4; Expand1=2</x:v>
      </x:c>
      <x:c r="U926" t="str">
        <x:f>IF(COUNTIF($B$2:$B$1076,B926)&gt;1,"重复","")</x:f>
      </x:c>
      <x:c r="V926" t="str">
        <x:f>IF(AND(OR(M926="",M926=B926),OR(N926="",N926=B926),OR(O926="",O926=B926)),"通过","不一致")</x:f>
        <x:v>通过</x:v>
      </x:c>
    </x:row>
    <x:row r="927" ht="22" customHeight="1">
      <x:c r="A927" s="289" t="n">
        <x:v>926</x:v>
      </x:c>
      <x:c r="B927" s="289" t="n">
        <x:v>6946</x:v>
      </x:c>
      <x:c r="C927" s="290" t="str">
        <x:v>翠焰冥契·幽焰</x:v>
      </x:c>
      <x:c r="D927" s="290" t="str">
        <x:v>翠焰冥契</x:v>
      </x:c>
      <x:c r="E927" s="290" t="n">
        <x:v>1</x:v>
      </x:c>
      <x:c r="F927" s="290" t="str">
        <x:v>生肖3</x:v>
      </x:c>
      <x:c r="G927" s="289" t="n">
        <x:v>22</x:v>
      </x:c>
      <x:c r="H927" s="289" t="n">
        <x:v>42</x:v>
      </x:c>
      <x:c r="I927" s="289" t="n">
        <x:v>6946</x:v>
      </x:c>
      <x:c r="J927" s="289" t="n">
        <x:v>0</x:v>
      </x:c>
      <x:c r="K927" s="289" t="n">
        <x:v>4</x:v>
      </x:c>
      <x:c r="L927" s="289" t="n">
        <x:v>3</x:v>
      </x:c>
      <x:c r="M927" s="289" t="n">
        <x:v>6946</x:v>
      </x:c>
      <x:c r="N927" s="289" t="n">
        <x:v>6946</x:v>
      </x:c>
      <x:c r="O927" s="289" t="n">
        <x:v>6946</x:v>
      </x:c>
      <x:c r="P927" s="292"/>
      <x:c r="Q927" s="292" t="str">
        <x:v>candidate-preflight-passed</x:v>
      </x:c>
      <x:c r="R927" s="292" t="str"/>
      <x:c r="S927" s="292" t="str">
        <x:v>玄渊二十套全装备代码总表.xlsx</x:v>
      </x:c>
      <x:c r="T927" s="292" t="str">
        <x:v>玄渊20套全装备视觉候选；Items/StateItem/DnItems三库同码；属性待策划填写；OverLap=4; Expand1=3</x:v>
      </x:c>
      <x:c r="U927" t="str">
        <x:f>IF(COUNTIF($B$2:$B$1076,B927)&gt;1,"重复","")</x:f>
      </x:c>
      <x:c r="V927" t="str">
        <x:f>IF(AND(OR(M927="",M927=B927),OR(N927="",N927=B927),OR(O927="",O927=B927)),"通过","不一致")</x:f>
        <x:v>通过</x:v>
      </x:c>
    </x:row>
    <x:row r="928" ht="22" customHeight="1">
      <x:c r="A928" s="289" t="n">
        <x:v>927</x:v>
      </x:c>
      <x:c r="B928" s="289" t="n">
        <x:v>6947</x:v>
      </x:c>
      <x:c r="C928" s="290" t="str">
        <x:v>翠焰冥契·幽焰</x:v>
      </x:c>
      <x:c r="D928" s="290" t="str">
        <x:v>翠焰冥契</x:v>
      </x:c>
      <x:c r="E928" s="290" t="n">
        <x:v>1</x:v>
      </x:c>
      <x:c r="F928" s="290" t="str">
        <x:v>生肖4</x:v>
      </x:c>
      <x:c r="G928" s="289" t="n">
        <x:v>22</x:v>
      </x:c>
      <x:c r="H928" s="289" t="n">
        <x:v>43</x:v>
      </x:c>
      <x:c r="I928" s="289" t="n">
        <x:v>6947</x:v>
      </x:c>
      <x:c r="J928" s="289" t="n">
        <x:v>0</x:v>
      </x:c>
      <x:c r="K928" s="289" t="n">
        <x:v>4</x:v>
      </x:c>
      <x:c r="L928" s="289" t="n">
        <x:v>4</x:v>
      </x:c>
      <x:c r="M928" s="289" t="n">
        <x:v>6947</x:v>
      </x:c>
      <x:c r="N928" s="289" t="n">
        <x:v>6947</x:v>
      </x:c>
      <x:c r="O928" s="289" t="n">
        <x:v>6947</x:v>
      </x:c>
      <x:c r="P928" s="292"/>
      <x:c r="Q928" s="292" t="str">
        <x:v>candidate-preflight-passed</x:v>
      </x:c>
      <x:c r="R928" s="292" t="str"/>
      <x:c r="S928" s="292" t="str">
        <x:v>玄渊二十套全装备代码总表.xlsx</x:v>
      </x:c>
      <x:c r="T928" s="292" t="str">
        <x:v>玄渊20套全装备视觉候选；Items/StateItem/DnItems三库同码；属性待策划填写；OverLap=4; Expand1=4</x:v>
      </x:c>
      <x:c r="U928" t="str">
        <x:f>IF(COUNTIF($B$2:$B$1076,B928)&gt;1,"重复","")</x:f>
      </x:c>
      <x:c r="V928" t="str">
        <x:f>IF(AND(OR(M928="",M928=B928),OR(N928="",N928=B928),OR(O928="",O928=B928)),"通过","不一致")</x:f>
        <x:v>通过</x:v>
      </x:c>
    </x:row>
    <x:row r="929" ht="22" customHeight="1">
      <x:c r="A929" s="289" t="n">
        <x:v>928</x:v>
      </x:c>
      <x:c r="B929" s="289" t="n">
        <x:v>6948</x:v>
      </x:c>
      <x:c r="C929" s="290" t="str">
        <x:v>翠焰冥契·幽焰</x:v>
      </x:c>
      <x:c r="D929" s="290" t="str">
        <x:v>翠焰冥契</x:v>
      </x:c>
      <x:c r="E929" s="290" t="n">
        <x:v>1</x:v>
      </x:c>
      <x:c r="F929" s="290" t="str">
        <x:v>生肖5</x:v>
      </x:c>
      <x:c r="G929" s="289" t="n">
        <x:v>22</x:v>
      </x:c>
      <x:c r="H929" s="289" t="n">
        <x:v>44</x:v>
      </x:c>
      <x:c r="I929" s="289" t="n">
        <x:v>6948</x:v>
      </x:c>
      <x:c r="J929" s="289" t="n">
        <x:v>0</x:v>
      </x:c>
      <x:c r="K929" s="289" t="n">
        <x:v>4</x:v>
      </x:c>
      <x:c r="L929" s="289" t="n">
        <x:v>5</x:v>
      </x:c>
      <x:c r="M929" s="289" t="n">
        <x:v>6948</x:v>
      </x:c>
      <x:c r="N929" s="289" t="n">
        <x:v>6948</x:v>
      </x:c>
      <x:c r="O929" s="289" t="n">
        <x:v>6948</x:v>
      </x:c>
      <x:c r="P929" s="292"/>
      <x:c r="Q929" s="292" t="str">
        <x:v>candidate-preflight-passed</x:v>
      </x:c>
      <x:c r="R929" s="292" t="str"/>
      <x:c r="S929" s="292" t="str">
        <x:v>玄渊二十套全装备代码总表.xlsx</x:v>
      </x:c>
      <x:c r="T929" s="292" t="str">
        <x:v>玄渊20套全装备视觉候选；Items/StateItem/DnItems三库同码；属性待策划填写；OverLap=4; Expand1=5</x:v>
      </x:c>
      <x:c r="U929" t="str">
        <x:f>IF(COUNTIF($B$2:$B$1076,B929)&gt;1,"重复","")</x:f>
      </x:c>
      <x:c r="V929" t="str">
        <x:f>IF(AND(OR(M929="",M929=B929),OR(N929="",N929=B929),OR(O929="",O929=B929)),"通过","不一致")</x:f>
        <x:v>通过</x:v>
      </x:c>
    </x:row>
    <x:row r="930" ht="22" customHeight="1">
      <x:c r="A930" s="289" t="n">
        <x:v>929</x:v>
      </x:c>
      <x:c r="B930" s="289" t="n">
        <x:v>6949</x:v>
      </x:c>
      <x:c r="C930" s="290" t="str">
        <x:v>翠焰冥契·幽焰</x:v>
      </x:c>
      <x:c r="D930" s="290" t="str">
        <x:v>翠焰冥契</x:v>
      </x:c>
      <x:c r="E930" s="290" t="n">
        <x:v>1</x:v>
      </x:c>
      <x:c r="F930" s="290" t="str">
        <x:v>生肖6</x:v>
      </x:c>
      <x:c r="G930" s="289" t="n">
        <x:v>22</x:v>
      </x:c>
      <x:c r="H930" s="289" t="n">
        <x:v>45</x:v>
      </x:c>
      <x:c r="I930" s="289" t="n">
        <x:v>6949</x:v>
      </x:c>
      <x:c r="J930" s="289" t="n">
        <x:v>0</x:v>
      </x:c>
      <x:c r="K930" s="289" t="n">
        <x:v>4</x:v>
      </x:c>
      <x:c r="L930" s="289" t="n">
        <x:v>6</x:v>
      </x:c>
      <x:c r="M930" s="289" t="n">
        <x:v>6949</x:v>
      </x:c>
      <x:c r="N930" s="289" t="n">
        <x:v>6949</x:v>
      </x:c>
      <x:c r="O930" s="289" t="n">
        <x:v>6949</x:v>
      </x:c>
      <x:c r="P930" s="292"/>
      <x:c r="Q930" s="292" t="str">
        <x:v>candidate-preflight-passed</x:v>
      </x:c>
      <x:c r="R930" s="292" t="str"/>
      <x:c r="S930" s="292" t="str">
        <x:v>玄渊二十套全装备代码总表.xlsx</x:v>
      </x:c>
      <x:c r="T930" s="292" t="str">
        <x:v>玄渊20套全装备视觉候选；Items/StateItem/DnItems三库同码；属性待策划填写；OverLap=4; Expand1=6</x:v>
      </x:c>
      <x:c r="U930" t="str">
        <x:f>IF(COUNTIF($B$2:$B$1076,B930)&gt;1,"重复","")</x:f>
      </x:c>
      <x:c r="V930" t="str">
        <x:f>IF(AND(OR(M930="",M930=B930),OR(N930="",N930=B930),OR(O930="",O930=B930)),"通过","不一致")</x:f>
        <x:v>通过</x:v>
      </x:c>
    </x:row>
    <x:row r="931" ht="22" customHeight="1">
      <x:c r="A931" s="289" t="n">
        <x:v>930</x:v>
      </x:c>
      <x:c r="B931" s="289" t="n">
        <x:v>6950</x:v>
      </x:c>
      <x:c r="C931" s="290" t="str">
        <x:v>翠焰冥契·幽焰</x:v>
      </x:c>
      <x:c r="D931" s="290" t="str">
        <x:v>翠焰冥契</x:v>
      </x:c>
      <x:c r="E931" s="290" t="n">
        <x:v>1</x:v>
      </x:c>
      <x:c r="F931" s="290" t="str">
        <x:v>生肖7</x:v>
      </x:c>
      <x:c r="G931" s="289" t="n">
        <x:v>22</x:v>
      </x:c>
      <x:c r="H931" s="289" t="n">
        <x:v>46</x:v>
      </x:c>
      <x:c r="I931" s="289" t="n">
        <x:v>6950</x:v>
      </x:c>
      <x:c r="J931" s="289" t="n">
        <x:v>0</x:v>
      </x:c>
      <x:c r="K931" s="289" t="n">
        <x:v>4</x:v>
      </x:c>
      <x:c r="L931" s="289" t="n">
        <x:v>7</x:v>
      </x:c>
      <x:c r="M931" s="289" t="n">
        <x:v>6950</x:v>
      </x:c>
      <x:c r="N931" s="289" t="n">
        <x:v>6950</x:v>
      </x:c>
      <x:c r="O931" s="289" t="n">
        <x:v>6950</x:v>
      </x:c>
      <x:c r="P931" s="292"/>
      <x:c r="Q931" s="292" t="str">
        <x:v>candidate-preflight-passed</x:v>
      </x:c>
      <x:c r="R931" s="292" t="str"/>
      <x:c r="S931" s="292" t="str">
        <x:v>玄渊二十套全装备代码总表.xlsx</x:v>
      </x:c>
      <x:c r="T931" s="292" t="str">
        <x:v>玄渊20套全装备视觉候选；Items/StateItem/DnItems三库同码；属性待策划填写；OverLap=4; Expand1=7</x:v>
      </x:c>
      <x:c r="U931" t="str">
        <x:f>IF(COUNTIF($B$2:$B$1076,B931)&gt;1,"重复","")</x:f>
      </x:c>
      <x:c r="V931" t="str">
        <x:f>IF(AND(OR(M931="",M931=B931),OR(N931="",N931=B931),OR(O931="",O931=B931)),"通过","不一致")</x:f>
        <x:v>通过</x:v>
      </x:c>
    </x:row>
    <x:row r="932" ht="22" customHeight="1">
      <x:c r="A932" s="289" t="n">
        <x:v>931</x:v>
      </x:c>
      <x:c r="B932" s="289" t="n">
        <x:v>6951</x:v>
      </x:c>
      <x:c r="C932" s="290" t="str">
        <x:v>翠焰冥契·幽焰</x:v>
      </x:c>
      <x:c r="D932" s="290" t="str">
        <x:v>翠焰冥契</x:v>
      </x:c>
      <x:c r="E932" s="290" t="n">
        <x:v>1</x:v>
      </x:c>
      <x:c r="F932" s="290" t="str">
        <x:v>生肖8</x:v>
      </x:c>
      <x:c r="G932" s="289" t="n">
        <x:v>22</x:v>
      </x:c>
      <x:c r="H932" s="289" t="n">
        <x:v>47</x:v>
      </x:c>
      <x:c r="I932" s="289" t="n">
        <x:v>6951</x:v>
      </x:c>
      <x:c r="J932" s="289" t="n">
        <x:v>0</x:v>
      </x:c>
      <x:c r="K932" s="289" t="n">
        <x:v>4</x:v>
      </x:c>
      <x:c r="L932" s="289" t="n">
        <x:v>8</x:v>
      </x:c>
      <x:c r="M932" s="289" t="n">
        <x:v>6951</x:v>
      </x:c>
      <x:c r="N932" s="289" t="n">
        <x:v>6951</x:v>
      </x:c>
      <x:c r="O932" s="289" t="n">
        <x:v>6951</x:v>
      </x:c>
      <x:c r="P932" s="292"/>
      <x:c r="Q932" s="292" t="str">
        <x:v>candidate-preflight-passed</x:v>
      </x:c>
      <x:c r="R932" s="292" t="str"/>
      <x:c r="S932" s="292" t="str">
        <x:v>玄渊二十套全装备代码总表.xlsx</x:v>
      </x:c>
      <x:c r="T932" s="292" t="str">
        <x:v>玄渊20套全装备视觉候选；Items/StateItem/DnItems三库同码；属性待策划填写；OverLap=4; Expand1=8</x:v>
      </x:c>
      <x:c r="U932" t="str">
        <x:f>IF(COUNTIF($B$2:$B$1076,B932)&gt;1,"重复","")</x:f>
      </x:c>
      <x:c r="V932" t="str">
        <x:f>IF(AND(OR(M932="",M932=B932),OR(N932="",N932=B932),OR(O932="",O932=B932)),"通过","不一致")</x:f>
        <x:v>通过</x:v>
      </x:c>
    </x:row>
    <x:row r="933" ht="22" customHeight="1">
      <x:c r="A933" s="289" t="n">
        <x:v>932</x:v>
      </x:c>
      <x:c r="B933" s="289" t="n">
        <x:v>6952</x:v>
      </x:c>
      <x:c r="C933" s="290" t="str">
        <x:v>翠焰冥契·幽焰</x:v>
      </x:c>
      <x:c r="D933" s="290" t="str">
        <x:v>翠焰冥契</x:v>
      </x:c>
      <x:c r="E933" s="290" t="n">
        <x:v>1</x:v>
      </x:c>
      <x:c r="F933" s="290" t="str">
        <x:v>生肖9</x:v>
      </x:c>
      <x:c r="G933" s="289" t="n">
        <x:v>22</x:v>
      </x:c>
      <x:c r="H933" s="289" t="n">
        <x:v>48</x:v>
      </x:c>
      <x:c r="I933" s="289" t="n">
        <x:v>6952</x:v>
      </x:c>
      <x:c r="J933" s="289" t="n">
        <x:v>0</x:v>
      </x:c>
      <x:c r="K933" s="289" t="n">
        <x:v>4</x:v>
      </x:c>
      <x:c r="L933" s="289" t="n">
        <x:v>9</x:v>
      </x:c>
      <x:c r="M933" s="289" t="n">
        <x:v>6952</x:v>
      </x:c>
      <x:c r="N933" s="289" t="n">
        <x:v>6952</x:v>
      </x:c>
      <x:c r="O933" s="289" t="n">
        <x:v>6952</x:v>
      </x:c>
      <x:c r="P933" s="292"/>
      <x:c r="Q933" s="292" t="str">
        <x:v>candidate-preflight-passed</x:v>
      </x:c>
      <x:c r="R933" s="292" t="str"/>
      <x:c r="S933" s="292" t="str">
        <x:v>玄渊二十套全装备代码总表.xlsx</x:v>
      </x:c>
      <x:c r="T933" s="292" t="str">
        <x:v>玄渊20套全装备视觉候选；Items/StateItem/DnItems三库同码；属性待策划填写；OverLap=4; Expand1=9</x:v>
      </x:c>
      <x:c r="U933" t="str">
        <x:f>IF(COUNTIF($B$2:$B$1076,B933)&gt;1,"重复","")</x:f>
      </x:c>
      <x:c r="V933" t="str">
        <x:f>IF(AND(OR(M933="",M933=B933),OR(N933="",N933=B933),OR(O933="",O933=B933)),"通过","不一致")</x:f>
        <x:v>通过</x:v>
      </x:c>
    </x:row>
    <x:row r="934" ht="22" customHeight="1">
      <x:c r="A934" s="289" t="n">
        <x:v>933</x:v>
      </x:c>
      <x:c r="B934" s="289" t="n">
        <x:v>6953</x:v>
      </x:c>
      <x:c r="C934" s="290" t="str">
        <x:v>翠焰冥契·幽焰</x:v>
      </x:c>
      <x:c r="D934" s="290" t="str">
        <x:v>翠焰冥契</x:v>
      </x:c>
      <x:c r="E934" s="290" t="n">
        <x:v>1</x:v>
      </x:c>
      <x:c r="F934" s="290" t="str">
        <x:v>生肖10</x:v>
      </x:c>
      <x:c r="G934" s="289" t="n">
        <x:v>22</x:v>
      </x:c>
      <x:c r="H934" s="289" t="n">
        <x:v>49</x:v>
      </x:c>
      <x:c r="I934" s="289" t="n">
        <x:v>6953</x:v>
      </x:c>
      <x:c r="J934" s="289" t="n">
        <x:v>0</x:v>
      </x:c>
      <x:c r="K934" s="289" t="n">
        <x:v>4</x:v>
      </x:c>
      <x:c r="L934" s="289" t="n">
        <x:v>10</x:v>
      </x:c>
      <x:c r="M934" s="289" t="n">
        <x:v>6953</x:v>
      </x:c>
      <x:c r="N934" s="289" t="n">
        <x:v>6953</x:v>
      </x:c>
      <x:c r="O934" s="289" t="n">
        <x:v>6953</x:v>
      </x:c>
      <x:c r="P934" s="292"/>
      <x:c r="Q934" s="292" t="str">
        <x:v>candidate-preflight-passed</x:v>
      </x:c>
      <x:c r="R934" s="292" t="str"/>
      <x:c r="S934" s="292" t="str">
        <x:v>玄渊二十套全装备代码总表.xlsx</x:v>
      </x:c>
      <x:c r="T934" s="292" t="str">
        <x:v>玄渊20套全装备视觉候选；Items/StateItem/DnItems三库同码；属性待策划填写；OverLap=4; Expand1=10</x:v>
      </x:c>
      <x:c r="U934" t="str">
        <x:f>IF(COUNTIF($B$2:$B$1076,B934)&gt;1,"重复","")</x:f>
      </x:c>
      <x:c r="V934" t="str">
        <x:f>IF(AND(OR(M934="",M934=B934),OR(N934="",N934=B934),OR(O934="",O934=B934)),"通过","不一致")</x:f>
        <x:v>通过</x:v>
      </x:c>
    </x:row>
    <x:row r="935" ht="22" customHeight="1">
      <x:c r="A935" s="289" t="n">
        <x:v>934</x:v>
      </x:c>
      <x:c r="B935" s="289" t="n">
        <x:v>6954</x:v>
      </x:c>
      <x:c r="C935" s="290" t="str">
        <x:v>翠焰冥契·幽焰</x:v>
      </x:c>
      <x:c r="D935" s="290" t="str">
        <x:v>翠焰冥契</x:v>
      </x:c>
      <x:c r="E935" s="290" t="n">
        <x:v>1</x:v>
      </x:c>
      <x:c r="F935" s="290" t="str">
        <x:v>生肖11</x:v>
      </x:c>
      <x:c r="G935" s="289" t="n">
        <x:v>22</x:v>
      </x:c>
      <x:c r="H935" s="289" t="n">
        <x:v>50</x:v>
      </x:c>
      <x:c r="I935" s="289" t="n">
        <x:v>6954</x:v>
      </x:c>
      <x:c r="J935" s="289" t="n">
        <x:v>0</x:v>
      </x:c>
      <x:c r="K935" s="289" t="n">
        <x:v>4</x:v>
      </x:c>
      <x:c r="L935" s="289" t="n">
        <x:v>11</x:v>
      </x:c>
      <x:c r="M935" s="289" t="n">
        <x:v>6954</x:v>
      </x:c>
      <x:c r="N935" s="289" t="n">
        <x:v>6954</x:v>
      </x:c>
      <x:c r="O935" s="289" t="n">
        <x:v>6954</x:v>
      </x:c>
      <x:c r="P935" s="292"/>
      <x:c r="Q935" s="292" t="str">
        <x:v>candidate-preflight-passed</x:v>
      </x:c>
      <x:c r="R935" s="292" t="str"/>
      <x:c r="S935" s="292" t="str">
        <x:v>玄渊二十套全装备代码总表.xlsx</x:v>
      </x:c>
      <x:c r="T935" s="292" t="str">
        <x:v>玄渊20套全装备视觉候选；Items/StateItem/DnItems三库同码；属性待策划填写；OverLap=4; Expand1=11</x:v>
      </x:c>
      <x:c r="U935" t="str">
        <x:f>IF(COUNTIF($B$2:$B$1076,B935)&gt;1,"重复","")</x:f>
      </x:c>
      <x:c r="V935" t="str">
        <x:f>IF(AND(OR(M935="",M935=B935),OR(N935="",N935=B935),OR(O935="",O935=B935)),"通过","不一致")</x:f>
        <x:v>通过</x:v>
      </x:c>
    </x:row>
    <x:row r="936" ht="22" customHeight="1">
      <x:c r="A936" s="289" t="n">
        <x:v>935</x:v>
      </x:c>
      <x:c r="B936" s="289" t="n">
        <x:v>6955</x:v>
      </x:c>
      <x:c r="C936" s="290" t="str">
        <x:v>翠焰冥契·幽焰</x:v>
      </x:c>
      <x:c r="D936" s="290" t="str">
        <x:v>翠焰冥契</x:v>
      </x:c>
      <x:c r="E936" s="290" t="n">
        <x:v>1</x:v>
      </x:c>
      <x:c r="F936" s="290" t="str">
        <x:v>生肖12</x:v>
      </x:c>
      <x:c r="G936" s="289" t="n">
        <x:v>22</x:v>
      </x:c>
      <x:c r="H936" s="289" t="n">
        <x:v>51</x:v>
      </x:c>
      <x:c r="I936" s="289" t="n">
        <x:v>6955</x:v>
      </x:c>
      <x:c r="J936" s="289" t="n">
        <x:v>0</x:v>
      </x:c>
      <x:c r="K936" s="289" t="n">
        <x:v>4</x:v>
      </x:c>
      <x:c r="L936" s="289" t="n">
        <x:v>12</x:v>
      </x:c>
      <x:c r="M936" s="289" t="n">
        <x:v>6955</x:v>
      </x:c>
      <x:c r="N936" s="289" t="n">
        <x:v>6955</x:v>
      </x:c>
      <x:c r="O936" s="289" t="n">
        <x:v>6955</x:v>
      </x:c>
      <x:c r="P936" s="292"/>
      <x:c r="Q936" s="292" t="str">
        <x:v>candidate-preflight-passed</x:v>
      </x:c>
      <x:c r="R936" s="292" t="str"/>
      <x:c r="S936" s="292" t="str">
        <x:v>玄渊二十套全装备代码总表.xlsx</x:v>
      </x:c>
      <x:c r="T936" s="292" t="str">
        <x:v>玄渊20套全装备视觉候选；Items/StateItem/DnItems三库同码；属性待策划填写；OverLap=4; Expand1=12</x:v>
      </x:c>
      <x:c r="U936" t="str">
        <x:f>IF(COUNTIF($B$2:$B$1076,B936)&gt;1,"重复","")</x:f>
      </x:c>
      <x:c r="V936" t="str">
        <x:f>IF(AND(OR(M936="",M936=B936),OR(N936="",N936=B936),OR(O936="",O936=B936)),"通过","不一致")</x:f>
        <x:v>通过</x:v>
      </x:c>
    </x:row>
    <x:row r="937" ht="22" customHeight="1">
      <x:c r="A937" s="289" t="n">
        <x:v>936</x:v>
      </x:c>
      <x:c r="B937" s="289" t="n">
        <x:v>6956</x:v>
      </x:c>
      <x:c r="C937" s="290" t="str">
        <x:v>翠焰冥契·腐痕</x:v>
      </x:c>
      <x:c r="D937" s="290" t="str">
        <x:v>翠焰冥契</x:v>
      </x:c>
      <x:c r="E937" s="290" t="n">
        <x:v>2</x:v>
      </x:c>
      <x:c r="F937" s="290" t="str">
        <x:v>武器</x:v>
      </x:c>
      <x:c r="G937" s="289" t="n">
        <x:v>5</x:v>
      </x:c>
      <x:c r="H937" s="289" t="n">
        <x:v>1</x:v>
      </x:c>
      <x:c r="I937" s="289" t="n">
        <x:v>6956</x:v>
      </x:c>
      <x:c r="J937" s="289" t="n">
        <x:v>32</x:v>
      </x:c>
      <x:c r="K937" s="289" t="n">
        <x:v>0</x:v>
      </x:c>
      <x:c r="L937" s="289" t="n">
        <x:v>0</x:v>
      </x:c>
      <x:c r="M937" s="289" t="n">
        <x:v>6956</x:v>
      </x:c>
      <x:c r="N937" s="289" t="n">
        <x:v>6956</x:v>
      </x:c>
      <x:c r="O937" s="289" t="n">
        <x:v>6956</x:v>
      </x:c>
      <x:c r="P937" s="292" t="str">
        <x:v>Weapon.wzl/wzx（复用现有真实动作）</x:v>
      </x:c>
      <x:c r="Q937" s="292" t="str">
        <x:v>candidate-preflight-passed</x:v>
      </x:c>
      <x:c r="R937" s="324" t="str">
        <x:v>C3-C10规划锁定：拉塔恩碎星巨刃</x:v>
      </x:c>
      <x:c r="S937" s="292" t="str">
        <x:v>玄渊二十套全装备代码总表.xlsx</x:v>
      </x:c>
      <x:c r="T937" s="292" t="str">
        <x:v>玄渊20套全装备视觉候选；Items/StateItem/DnItems三库同码；属性待策划填写；Weapon Shape=32</x:v>
      </x:c>
      <x:c r="U937" t="str">
        <x:f>IF(COUNTIF($B$2:$B$1076,B937)&gt;1,"重复","")</x:f>
      </x:c>
      <x:c r="V937" t="str">
        <x:f>IF(AND(OR(M937="",M937=B937),OR(N937="",N937=B937),OR(O937="",O937=B937)),"通过","不一致")</x:f>
        <x:v>通过</x:v>
      </x:c>
    </x:row>
    <x:row r="938" ht="22" customHeight="1">
      <x:c r="A938" s="289" t="n">
        <x:v>937</x:v>
      </x:c>
      <x:c r="B938" s="289" t="n">
        <x:v>6957</x:v>
      </x:c>
      <x:c r="C938" s="290" t="str">
        <x:v>翠焰冥契·腐痕</x:v>
      </x:c>
      <x:c r="D938" s="290" t="str">
        <x:v>翠焰冥契</x:v>
      </x:c>
      <x:c r="E938" s="290" t="n">
        <x:v>2</x:v>
      </x:c>
      <x:c r="F938" s="290" t="str">
        <x:v>男衣服</x:v>
      </x:c>
      <x:c r="G938" s="289" t="n">
        <x:v>10</x:v>
      </x:c>
      <x:c r="H938" s="289" t="n">
        <x:v>0</x:v>
      </x:c>
      <x:c r="I938" s="289" t="n">
        <x:v>6957</x:v>
      </x:c>
      <x:c r="J938" s="289" t="n">
        <x:v>1</x:v>
      </x:c>
      <x:c r="K938" s="289" t="n">
        <x:v>0</x:v>
      </x:c>
      <x:c r="L938" s="289" t="n">
        <x:v>0</x:v>
      </x:c>
      <x:c r="M938" s="289" t="n">
        <x:v>6957</x:v>
      </x:c>
      <x:c r="N938" s="289" t="n">
        <x:v>6957</x:v>
      </x:c>
      <x:c r="O938" s="289" t="n">
        <x:v>6957</x:v>
      </x:c>
      <x:c r="P938" s="292" t="str">
        <x:v>Hum.wzl/wzx（复用现有真实动作）</x:v>
      </x:c>
      <x:c r="Q938" s="292" t="str">
        <x:v>candidate-preflight-passed</x:v>
      </x:c>
      <x:c r="R938" s="324" t="str">
        <x:v>C3-C10规划锁定：满月万卷法衣</x:v>
      </x:c>
      <x:c r="S938" s="292" t="str">
        <x:v>玄渊二十套全装备代码总表.xlsx</x:v>
      </x:c>
      <x:c r="T938" s="292" t="str">
        <x:v>玄渊20套全装备视觉候选；Items/StateItem/DnItems三库同码；属性待策划填写；Hum Shape=1</x:v>
      </x:c>
      <x:c r="U938" t="str">
        <x:f>IF(COUNTIF($B$2:$B$1076,B938)&gt;1,"重复","")</x:f>
      </x:c>
      <x:c r="V938" t="str">
        <x:f>IF(AND(OR(M938="",M938=B938),OR(N938="",N938=B938),OR(O938="",O938=B938)),"通过","不一致")</x:f>
        <x:v>通过</x:v>
      </x:c>
    </x:row>
    <x:row r="939" ht="22" customHeight="1">
      <x:c r="A939" s="289" t="n">
        <x:v>938</x:v>
      </x:c>
      <x:c r="B939" s="289" t="n">
        <x:v>6958</x:v>
      </x:c>
      <x:c r="C939" s="290" t="str">
        <x:v>翠焰冥契·腐痕</x:v>
      </x:c>
      <x:c r="D939" s="290" t="str">
        <x:v>翠焰冥契</x:v>
      </x:c>
      <x:c r="E939" s="290" t="n">
        <x:v>2</x:v>
      </x:c>
      <x:c r="F939" s="290" t="str">
        <x:v>女衣服</x:v>
      </x:c>
      <x:c r="G939" s="289" t="n">
        <x:v>11</x:v>
      </x:c>
      <x:c r="H939" s="289" t="n">
        <x:v>0</x:v>
      </x:c>
      <x:c r="I939" s="289" t="n">
        <x:v>6958</x:v>
      </x:c>
      <x:c r="J939" s="289" t="n">
        <x:v>1</x:v>
      </x:c>
      <x:c r="K939" s="289" t="n">
        <x:v>0</x:v>
      </x:c>
      <x:c r="L939" s="289" t="n">
        <x:v>0</x:v>
      </x:c>
      <x:c r="M939" s="289" t="n">
        <x:v>6958</x:v>
      </x:c>
      <x:c r="N939" s="289" t="n">
        <x:v>6958</x:v>
      </x:c>
      <x:c r="O939" s="289" t="n">
        <x:v>6958</x:v>
      </x:c>
      <x:c r="P939" s="292" t="str">
        <x:v>Hum.wzl/wzx（复用现有真实动作）</x:v>
      </x:c>
      <x:c r="Q939" s="292" t="str">
        <x:v>candidate-preflight-passed</x:v>
      </x:c>
      <x:c r="R939" s="292" t="str"/>
      <x:c r="S939" s="292" t="str">
        <x:v>玄渊二十套全装备代码总表.xlsx</x:v>
      </x:c>
      <x:c r="T939" s="292" t="str">
        <x:v>玄渊20套全装备视觉候选；Items/StateItem/DnItems三库同码；属性待策划填写；Hum Shape=1</x:v>
      </x:c>
      <x:c r="U939" t="str">
        <x:f>IF(COUNTIF($B$2:$B$1076,B939)&gt;1,"重复","")</x:f>
      </x:c>
      <x:c r="V939" t="str">
        <x:f>IF(AND(OR(M939="",M939=B939),OR(N939="",N939=B939),OR(O939="",O939=B939)),"通过","不一致")</x:f>
        <x:v>通过</x:v>
      </x:c>
    </x:row>
    <x:row r="940" ht="22" customHeight="1">
      <x:c r="A940" s="289" t="n">
        <x:v>939</x:v>
      </x:c>
      <x:c r="B940" s="289" t="n">
        <x:v>6959</x:v>
      </x:c>
      <x:c r="C940" s="290" t="str">
        <x:v>翠焰冥契·腐痕</x:v>
      </x:c>
      <x:c r="D940" s="290" t="str">
        <x:v>翠焰冥契</x:v>
      </x:c>
      <x:c r="E940" s="290" t="n">
        <x:v>2</x:v>
      </x:c>
      <x:c r="F940" s="290" t="str">
        <x:v>头盔</x:v>
      </x:c>
      <x:c r="G940" s="289" t="n">
        <x:v>15</x:v>
      </x:c>
      <x:c r="H940" s="289" t="n">
        <x:v>4</x:v>
      </x:c>
      <x:c r="I940" s="289" t="n">
        <x:v>6959</x:v>
      </x:c>
      <x:c r="J940" s="289" t="n">
        <x:v>0</x:v>
      </x:c>
      <x:c r="K940" s="289" t="n">
        <x:v>0</x:v>
      </x:c>
      <x:c r="L940" s="289" t="n">
        <x:v>0</x:v>
      </x:c>
      <x:c r="M940" s="289" t="n">
        <x:v>6959</x:v>
      </x:c>
      <x:c r="N940" s="289" t="n">
        <x:v>6959</x:v>
      </x:c>
      <x:c r="O940" s="289" t="n">
        <x:v>6959</x:v>
      </x:c>
      <x:c r="P940" s="292"/>
      <x:c r="Q940" s="292" t="str">
        <x:v>candidate-preflight-passed</x:v>
      </x:c>
      <x:c r="R940" s="324" t="str">
        <x:v>C3-C10规划锁定：棱光术冠</x:v>
      </x:c>
      <x:c r="S940" s="292" t="str">
        <x:v>玄渊二十套全装备代码总表.xlsx</x:v>
      </x:c>
      <x:c r="T940" s="292" t="str">
        <x:v>玄渊20套全装备视觉候选；Items/StateItem/DnItems三库同码；属性待策划填写</x:v>
      </x:c>
      <x:c r="U940" t="str">
        <x:f>IF(COUNTIF($B$2:$B$1076,B940)&gt;1,"重复","")</x:f>
      </x:c>
      <x:c r="V940" t="str">
        <x:f>IF(AND(OR(M940="",M940=B940),OR(N940="",N940=B940),OR(O940="",O940=B940)),"通过","不一致")</x:f>
        <x:v>通过</x:v>
      </x:c>
    </x:row>
    <x:row r="941" ht="22" customHeight="1">
      <x:c r="A941" s="289" t="n">
        <x:v>940</x:v>
      </x:c>
      <x:c r="B941" s="289" t="n">
        <x:v>6960</x:v>
      </x:c>
      <x:c r="C941" s="290" t="str">
        <x:v>翠焰冥契·腐痕</x:v>
      </x:c>
      <x:c r="D941" s="290" t="str">
        <x:v>翠焰冥契</x:v>
      </x:c>
      <x:c r="E941" s="290" t="n">
        <x:v>2</x:v>
      </x:c>
      <x:c r="F941" s="290" t="str">
        <x:v>面巾</x:v>
      </x:c>
      <x:c r="G941" s="289" t="n">
        <x:v>16</x:v>
      </x:c>
      <x:c r="H941" s="289" t="n">
        <x:v>13</x:v>
      </x:c>
      <x:c r="I941" s="289" t="n">
        <x:v>6960</x:v>
      </x:c>
      <x:c r="J941" s="289" t="n">
        <x:v>0</x:v>
      </x:c>
      <x:c r="K941" s="289" t="n">
        <x:v>0</x:v>
      </x:c>
      <x:c r="L941" s="289" t="n">
        <x:v>0</x:v>
      </x:c>
      <x:c r="M941" s="289" t="n">
        <x:v>6960</x:v>
      </x:c>
      <x:c r="N941" s="289" t="n">
        <x:v>6960</x:v>
      </x:c>
      <x:c r="O941" s="289" t="n">
        <x:v>6960</x:v>
      </x:c>
      <x:c r="P941" s="292"/>
      <x:c r="Q941" s="292" t="str">
        <x:v>candidate-preflight-passed</x:v>
      </x:c>
      <x:c r="R941" s="324" t="str">
        <x:v>C3-C10规划锁定：百喉闭音斗笠</x:v>
      </x:c>
      <x:c r="S941" s="292" t="str">
        <x:v>玄渊二十套全装备代码总表.xlsx</x:v>
      </x:c>
      <x:c r="T941" s="292" t="str">
        <x:v>玄渊20套全装备视觉候选；Items/StateItem/DnItems三库同码；属性待策划填写</x:v>
      </x:c>
      <x:c r="U941" t="str">
        <x:f>IF(COUNTIF($B$2:$B$1076,B941)&gt;1,"重复","")</x:f>
      </x:c>
      <x:c r="V941" t="str">
        <x:f>IF(AND(OR(M941="",M941=B941),OR(N941="",N941=B941),OR(O941="",O941=B941)),"通过","不一致")</x:f>
        <x:v>通过</x:v>
      </x:c>
    </x:row>
    <x:row r="942" ht="22" customHeight="1">
      <x:c r="A942" s="289" t="n">
        <x:v>941</x:v>
      </x:c>
      <x:c r="B942" s="289" t="n">
        <x:v>6961</x:v>
      </x:c>
      <x:c r="C942" s="290" t="str">
        <x:v>翠焰冥契·腐痕</x:v>
      </x:c>
      <x:c r="D942" s="290" t="str">
        <x:v>翠焰冥契</x:v>
      </x:c>
      <x:c r="E942" s="290" t="n">
        <x:v>2</x:v>
      </x:c>
      <x:c r="F942" s="290" t="str">
        <x:v>项链</x:v>
      </x:c>
      <x:c r="G942" s="289" t="n">
        <x:v>19</x:v>
      </x:c>
      <x:c r="H942" s="289" t="n">
        <x:v>3</x:v>
      </x:c>
      <x:c r="I942" s="289" t="n">
        <x:v>6961</x:v>
      </x:c>
      <x:c r="J942" s="289" t="n">
        <x:v>0</x:v>
      </x:c>
      <x:c r="K942" s="289" t="n">
        <x:v>0</x:v>
      </x:c>
      <x:c r="L942" s="289" t="n">
        <x:v>0</x:v>
      </x:c>
      <x:c r="M942" s="289" t="n">
        <x:v>6961</x:v>
      </x:c>
      <x:c r="N942" s="289" t="n">
        <x:v>6961</x:v>
      </x:c>
      <x:c r="O942" s="289" t="n">
        <x:v>6961</x:v>
      </x:c>
      <x:c r="P942" s="292"/>
      <x:c r="Q942" s="292" t="str">
        <x:v>candidate-preflight-passed</x:v>
      </x:c>
      <x:c r="R942" s="324" t="str">
        <x:v>C3-C10规划锁定：折光翅晶链</x:v>
      </x:c>
      <x:c r="S942" s="292" t="str">
        <x:v>玄渊二十套全装备代码总表.xlsx</x:v>
      </x:c>
      <x:c r="T942" s="292" t="str">
        <x:v>玄渊20套全装备视觉候选；Items/StateItem/DnItems三库同码；属性待策划填写</x:v>
      </x:c>
      <x:c r="U942" t="str">
        <x:f>IF(COUNTIF($B$2:$B$1076,B942)&gt;1,"重复","")</x:f>
      </x:c>
      <x:c r="V942" t="str">
        <x:f>IF(AND(OR(M942="",M942=B942),OR(N942="",N942=B942),OR(O942="",O942=B942)),"通过","不一致")</x:f>
        <x:v>通过</x:v>
      </x:c>
    </x:row>
    <x:row r="943" ht="22" customHeight="1">
      <x:c r="A943" s="289" t="n">
        <x:v>942</x:v>
      </x:c>
      <x:c r="B943" s="289" t="n">
        <x:v>6962</x:v>
      </x:c>
      <x:c r="C943" s="290" t="str">
        <x:v>翠焰冥契·腐痕</x:v>
      </x:c>
      <x:c r="D943" s="290" t="str">
        <x:v>翠焰冥契</x:v>
      </x:c>
      <x:c r="E943" s="290" t="n">
        <x:v>2</x:v>
      </x:c>
      <x:c r="F943" s="290" t="str">
        <x:v>手镯</x:v>
      </x:c>
      <x:c r="G943" s="289" t="n">
        <x:v>26</x:v>
      </x:c>
      <x:c r="H943" s="289" t="n">
        <x:v>5</x:v>
      </x:c>
      <x:c r="I943" s="289" t="n">
        <x:v>6962</x:v>
      </x:c>
      <x:c r="J943" s="289" t="n">
        <x:v>0</x:v>
      </x:c>
      <x:c r="K943" s="289" t="n">
        <x:v>0</x:v>
      </x:c>
      <x:c r="L943" s="289" t="n">
        <x:v>0</x:v>
      </x:c>
      <x:c r="M943" s="289" t="n">
        <x:v>6962</x:v>
      </x:c>
      <x:c r="N943" s="289" t="n">
        <x:v>6962</x:v>
      </x:c>
      <x:c r="O943" s="289" t="n">
        <x:v>6962</x:v>
      </x:c>
      <x:c r="P943" s="292"/>
      <x:c r="Q943" s="292" t="str">
        <x:v>candidate-preflight-passed</x:v>
      </x:c>
      <x:c r="R943" s="324" t="str">
        <x:v>C3-C10规划锁定：试术银规镯</x:v>
      </x:c>
      <x:c r="S943" s="292" t="str">
        <x:v>玄渊二十套全装备代码总表.xlsx</x:v>
      </x:c>
      <x:c r="T943" s="292" t="str">
        <x:v>玄渊20套全装备视觉候选；Items/StateItem/DnItems三库同码；属性待策划填写</x:v>
      </x:c>
      <x:c r="U943" t="str">
        <x:f>IF(COUNTIF($B$2:$B$1076,B943)&gt;1,"重复","")</x:f>
      </x:c>
      <x:c r="V943" t="str">
        <x:f>IF(AND(OR(M943="",M943=B943),OR(N943="",N943=B943),OR(O943="",O943=B943)),"通过","不一致")</x:f>
        <x:v>通过</x:v>
      </x:c>
    </x:row>
    <x:row r="944" ht="22" customHeight="1">
      <x:c r="A944" s="289" t="n">
        <x:v>943</x:v>
      </x:c>
      <x:c r="B944" s="289" t="n">
        <x:v>6963</x:v>
      </x:c>
      <x:c r="C944" s="290" t="str">
        <x:v>翠焰冥契·腐痕</x:v>
      </x:c>
      <x:c r="D944" s="290" t="str">
        <x:v>翠焰冥契</x:v>
      </x:c>
      <x:c r="E944" s="290" t="n">
        <x:v>2</x:v>
      </x:c>
      <x:c r="F944" s="290" t="str">
        <x:v>戒指</x:v>
      </x:c>
      <x:c r="G944" s="289" t="n">
        <x:v>22</x:v>
      </x:c>
      <x:c r="H944" s="289" t="n">
        <x:v>7</x:v>
      </x:c>
      <x:c r="I944" s="289" t="n">
        <x:v>6963</x:v>
      </x:c>
      <x:c r="J944" s="289" t="n">
        <x:v>0</x:v>
      </x:c>
      <x:c r="K944" s="289" t="n">
        <x:v>0</x:v>
      </x:c>
      <x:c r="L944" s="289" t="n">
        <x:v>0</x:v>
      </x:c>
      <x:c r="M944" s="289" t="n">
        <x:v>6963</x:v>
      </x:c>
      <x:c r="N944" s="289" t="n">
        <x:v>6963</x:v>
      </x:c>
      <x:c r="O944" s="289" t="n">
        <x:v>6963</x:v>
      </x:c>
      <x:c r="P944" s="292"/>
      <x:c r="Q944" s="292" t="str">
        <x:v>candidate-preflight-passed</x:v>
      </x:c>
      <x:c r="R944" s="324" t="str">
        <x:v>C3-C10规划锁定：青曜噬光戒</x:v>
      </x:c>
      <x:c r="S944" s="292" t="str">
        <x:v>玄渊二十套全装备代码总表.xlsx</x:v>
      </x:c>
      <x:c r="T944" s="292" t="str">
        <x:v>玄渊20套全装备视觉候选；Items/StateItem/DnItems三库同码；属性待策划填写</x:v>
      </x:c>
      <x:c r="U944" t="str">
        <x:f>IF(COUNTIF($B$2:$B$1076,B944)&gt;1,"重复","")</x:f>
      </x:c>
      <x:c r="V944" t="str">
        <x:f>IF(AND(OR(M944="",M944=B944),OR(N944="",N944=B944),OR(O944="",O944=B944)),"通过","不一致")</x:f>
        <x:v>通过</x:v>
      </x:c>
    </x:row>
    <x:row r="945" ht="22" customHeight="1">
      <x:c r="A945" s="289" t="n">
        <x:v>944</x:v>
      </x:c>
      <x:c r="B945" s="289" t="n">
        <x:v>6964</x:v>
      </x:c>
      <x:c r="C945" s="290" t="str">
        <x:v>翠焰冥契·腐痕</x:v>
      </x:c>
      <x:c r="D945" s="290" t="str">
        <x:v>翠焰冥契</x:v>
      </x:c>
      <x:c r="E945" s="290" t="n">
        <x:v>2</x:v>
      </x:c>
      <x:c r="F945" s="290" t="str">
        <x:v>勋章</x:v>
      </x:c>
      <x:c r="G945" s="289" t="n">
        <x:v>30</x:v>
      </x:c>
      <x:c r="H945" s="289" t="n">
        <x:v>2</x:v>
      </x:c>
      <x:c r="I945" s="289" t="n">
        <x:v>6964</x:v>
      </x:c>
      <x:c r="J945" s="289" t="n">
        <x:v>0</x:v>
      </x:c>
      <x:c r="K945" s="289" t="n">
        <x:v>0</x:v>
      </x:c>
      <x:c r="L945" s="289" t="n">
        <x:v>0</x:v>
      </x:c>
      <x:c r="M945" s="289" t="n">
        <x:v>6964</x:v>
      </x:c>
      <x:c r="N945" s="289" t="n">
        <x:v>6964</x:v>
      </x:c>
      <x:c r="O945" s="289" t="n">
        <x:v>6964</x:v>
      </x:c>
      <x:c r="P945" s="292"/>
      <x:c r="Q945" s="292" t="str">
        <x:v>candidate-preflight-passed</x:v>
      </x:c>
      <x:c r="R945" s="324" t="str">
        <x:v>C3-C10规划锁定：血祭徽章</x:v>
      </x:c>
      <x:c r="S945" s="292" t="str">
        <x:v>玄渊二十套全装备代码总表.xlsx</x:v>
      </x:c>
      <x:c r="T945" s="292" t="str">
        <x:v>玄渊20套全装备视觉候选；Items/StateItem/DnItems三库同码；属性待策划填写</x:v>
      </x:c>
      <x:c r="U945" t="str">
        <x:f>IF(COUNTIF($B$2:$B$1076,B945)&gt;1,"重复","")</x:f>
      </x:c>
      <x:c r="V945" t="str">
        <x:f>IF(AND(OR(M945="",M945=B945),OR(N945="",N945=B945),OR(O945="",O945=B945)),"通过","不一致")</x:f>
        <x:v>通过</x:v>
      </x:c>
    </x:row>
    <x:row r="946" ht="22" customHeight="1">
      <x:c r="A946" s="289" t="n">
        <x:v>945</x:v>
      </x:c>
      <x:c r="B946" s="289" t="n">
        <x:v>6965</x:v>
      </x:c>
      <x:c r="C946" s="290" t="str">
        <x:v>翠焰冥契·腐痕</x:v>
      </x:c>
      <x:c r="D946" s="290" t="str">
        <x:v>翠焰冥契</x:v>
      </x:c>
      <x:c r="E946" s="290" t="n">
        <x:v>2</x:v>
      </x:c>
      <x:c r="F946" s="290" t="str">
        <x:v>盾牌</x:v>
      </x:c>
      <x:c r="G946" s="289" t="n">
        <x:v>12</x:v>
      </x:c>
      <x:c r="H946" s="289" t="n">
        <x:v>16</x:v>
      </x:c>
      <x:c r="I946" s="289" t="n">
        <x:v>6965</x:v>
      </x:c>
      <x:c r="J946" s="289" t="n">
        <x:v>0</x:v>
      </x:c>
      <x:c r="K946" s="289" t="n">
        <x:v>0</x:v>
      </x:c>
      <x:c r="L946" s="289" t="n">
        <x:v>0</x:v>
      </x:c>
      <x:c r="M946" s="289" t="n">
        <x:v>6965</x:v>
      </x:c>
      <x:c r="N946" s="289" t="n">
        <x:v>6965</x:v>
      </x:c>
      <x:c r="O946" s="289" t="n">
        <x:v>6965</x:v>
      </x:c>
      <x:c r="P946" s="292"/>
      <x:c r="Q946" s="292" t="str">
        <x:v>candidate-preflight-passed</x:v>
      </x:c>
      <x:c r="R946" s="324" t="str">
        <x:v>C3-C10规划锁定：涡纹螺壳盾</x:v>
      </x:c>
      <x:c r="S946" s="292" t="str">
        <x:v>玄渊二十套全装备代码总表.xlsx</x:v>
      </x:c>
      <x:c r="T946" s="292" t="str">
        <x:v>玄渊20套全装备视觉候选；Items/StateItem/DnItems三库同码；属性待策划填写</x:v>
      </x:c>
      <x:c r="U946" t="str">
        <x:f>IF(COUNTIF($B$2:$B$1076,B946)&gt;1,"重复","")</x:f>
      </x:c>
      <x:c r="V946" t="str">
        <x:f>IF(AND(OR(M946="",M946=B946),OR(N946="",N946=B946),OR(O946="",O946=B946)),"通过","不一致")</x:f>
        <x:v>通过</x:v>
      </x:c>
    </x:row>
    <x:row r="947" ht="22" customHeight="1">
      <x:c r="A947" s="289" t="n">
        <x:v>946</x:v>
      </x:c>
      <x:c r="B947" s="289" t="n">
        <x:v>6966</x:v>
      </x:c>
      <x:c r="C947" s="290" t="str">
        <x:v>翠焰冥契·腐痕</x:v>
      </x:c>
      <x:c r="D947" s="290" t="str">
        <x:v>翠焰冥契</x:v>
      </x:c>
      <x:c r="E947" s="290" t="n">
        <x:v>2</x:v>
      </x:c>
      <x:c r="F947" s="290" t="str">
        <x:v>灵玉</x:v>
      </x:c>
      <x:c r="G947" s="289" t="n">
        <x:v>90</x:v>
      </x:c>
      <x:c r="H947" s="289" t="n">
        <x:v>17</x:v>
      </x:c>
      <x:c r="I947" s="289" t="n">
        <x:v>6966</x:v>
      </x:c>
      <x:c r="J947" s="289" t="n">
        <x:v>0</x:v>
      </x:c>
      <x:c r="K947" s="289" t="n">
        <x:v>0</x:v>
      </x:c>
      <x:c r="L947" s="289" t="n">
        <x:v>0</x:v>
      </x:c>
      <x:c r="M947" s="289" t="n">
        <x:v>6966</x:v>
      </x:c>
      <x:c r="N947" s="289" t="n">
        <x:v>6966</x:v>
      </x:c>
      <x:c r="O947" s="289" t="n">
        <x:v>6966</x:v>
      </x:c>
      <x:c r="P947" s="292"/>
      <x:c r="Q947" s="292" t="str">
        <x:v>candidate-preflight-passed</x:v>
      </x:c>
      <x:c r="R947" s="292" t="str"/>
      <x:c r="S947" s="292" t="str">
        <x:v>玄渊二十套全装备代码总表.xlsx</x:v>
      </x:c>
      <x:c r="T947" s="292" t="str">
        <x:v>玄渊20套全装备视觉候选；Items/StateItem/DnItems三库同码；属性待策划填写</x:v>
      </x:c>
      <x:c r="U947" t="str">
        <x:f>IF(COUNTIF($B$2:$B$1076,B947)&gt;1,"重复","")</x:f>
      </x:c>
      <x:c r="V947" t="str">
        <x:f>IF(AND(OR(M947="",M947=B947),OR(N947="",N947=B947),OR(O947="",O947=B947)),"通过","不一致")</x:f>
        <x:v>通过</x:v>
      </x:c>
    </x:row>
    <x:row r="948" ht="22" customHeight="1">
      <x:c r="A948" s="289" t="n">
        <x:v>947</x:v>
      </x:c>
      <x:c r="B948" s="289" t="n">
        <x:v>6967</x:v>
      </x:c>
      <x:c r="C948" s="290" t="str">
        <x:v>翠焰冥契·腐痕</x:v>
      </x:c>
      <x:c r="D948" s="290" t="str">
        <x:v>翠焰冥契</x:v>
      </x:c>
      <x:c r="E948" s="290" t="n">
        <x:v>2</x:v>
      </x:c>
      <x:c r="F948" s="290" t="str">
        <x:v>鞋子</x:v>
      </x:c>
      <x:c r="G948" s="289" t="n">
        <x:v>62</x:v>
      </x:c>
      <x:c r="H948" s="289" t="n">
        <x:v>11</x:v>
      </x:c>
      <x:c r="I948" s="289" t="n">
        <x:v>6967</x:v>
      </x:c>
      <x:c r="J948" s="289" t="n">
        <x:v>0</x:v>
      </x:c>
      <x:c r="K948" s="289" t="n">
        <x:v>0</x:v>
      </x:c>
      <x:c r="L948" s="289" t="n">
        <x:v>0</x:v>
      </x:c>
      <x:c r="M948" s="289" t="n">
        <x:v>6967</x:v>
      </x:c>
      <x:c r="N948" s="289" t="n">
        <x:v>6967</x:v>
      </x:c>
      <x:c r="O948" s="289" t="n">
        <x:v>6967</x:v>
      </x:c>
      <x:c r="P948" s="292"/>
      <x:c r="Q948" s="292" t="str">
        <x:v>candidate-preflight-passed</x:v>
      </x:c>
      <x:c r="R948" s="324" t="str">
        <x:v>C3-C10规划锁定：月尘理卷履</x:v>
      </x:c>
      <x:c r="S948" s="292" t="str">
        <x:v>玄渊二十套全装备代码总表.xlsx</x:v>
      </x:c>
      <x:c r="T948" s="292" t="str">
        <x:v>玄渊20套全装备视觉候选；Items/StateItem/DnItems三库同码；属性待策划填写</x:v>
      </x:c>
      <x:c r="U948" t="str">
        <x:f>IF(COUNTIF($B$2:$B$1076,B948)&gt;1,"重复","")</x:f>
      </x:c>
      <x:c r="V948" t="str">
        <x:f>IF(AND(OR(M948="",M948=B948),OR(N948="",N948=B948),OR(O948="",O948=B948)),"通过","不一致")</x:f>
        <x:v>通过</x:v>
      </x:c>
    </x:row>
    <x:row r="949" ht="22" customHeight="1">
      <x:c r="A949" s="289" t="n">
        <x:v>948</x:v>
      </x:c>
      <x:c r="B949" s="289" t="n">
        <x:v>6968</x:v>
      </x:c>
      <x:c r="C949" s="290" t="str">
        <x:v>翠焰冥契·腐痕</x:v>
      </x:c>
      <x:c r="D949" s="290" t="str">
        <x:v>翠焰冥契</x:v>
      </x:c>
      <x:c r="E949" s="290" t="n">
        <x:v>2</x:v>
      </x:c>
      <x:c r="F949" s="290" t="str">
        <x:v>腰带</x:v>
      </x:c>
      <x:c r="G949" s="289" t="n">
        <x:v>64</x:v>
      </x:c>
      <x:c r="H949" s="289" t="n">
        <x:v>10</x:v>
      </x:c>
      <x:c r="I949" s="289" t="n">
        <x:v>6968</x:v>
      </x:c>
      <x:c r="J949" s="289" t="n">
        <x:v>0</x:v>
      </x:c>
      <x:c r="K949" s="289" t="n">
        <x:v>0</x:v>
      </x:c>
      <x:c r="L949" s="289" t="n">
        <x:v>0</x:v>
      </x:c>
      <x:c r="M949" s="289" t="n">
        <x:v>6968</x:v>
      </x:c>
      <x:c r="N949" s="289" t="n">
        <x:v>6968</x:v>
      </x:c>
      <x:c r="O949" s="289" t="n">
        <x:v>6968</x:v>
      </x:c>
      <x:c r="P949" s="292"/>
      <x:c r="Q949" s="292" t="str">
        <x:v>candidate-preflight-passed</x:v>
      </x:c>
      <x:c r="R949" s="324" t="str">
        <x:v>C3-C10规划锁定：月契封印带</x:v>
      </x:c>
      <x:c r="S949" s="292" t="str">
        <x:v>玄渊二十套全装备代码总表.xlsx</x:v>
      </x:c>
      <x:c r="T949" s="292" t="str">
        <x:v>玄渊20套全装备视觉候选；Items/StateItem/DnItems三库同码；属性待策划填写</x:v>
      </x:c>
      <x:c r="U949" t="str">
        <x:f>IF(COUNTIF($B$2:$B$1076,B949)&gt;1,"重复","")</x:f>
      </x:c>
      <x:c r="V949" t="str">
        <x:f>IF(AND(OR(M949="",M949=B949),OR(N949="",N949=B949),OR(O949="",O949=B949)),"通过","不一致")</x:f>
        <x:v>通过</x:v>
      </x:c>
    </x:row>
    <x:row r="950" ht="22" customHeight="1">
      <x:c r="A950" s="289" t="n">
        <x:v>949</x:v>
      </x:c>
      <x:c r="B950" s="289" t="n">
        <x:v>6969</x:v>
      </x:c>
      <x:c r="C950" s="290" t="str">
        <x:v>翠焰冥契·腐痕</x:v>
      </x:c>
      <x:c r="D950" s="290" t="str">
        <x:v>翠焰冥契</x:v>
      </x:c>
      <x:c r="E950" s="290" t="n">
        <x:v>2</x:v>
      </x:c>
      <x:c r="F950" s="290" t="str">
        <x:v>护身符</x:v>
      </x:c>
      <x:c r="G950" s="289" t="n">
        <x:v>25</x:v>
      </x:c>
      <x:c r="H950" s="289" t="n">
        <x:v>9</x:v>
      </x:c>
      <x:c r="I950" s="289" t="n">
        <x:v>6969</x:v>
      </x:c>
      <x:c r="J950" s="289" t="n">
        <x:v>0</x:v>
      </x:c>
      <x:c r="K950" s="289" t="n">
        <x:v>0</x:v>
      </x:c>
      <x:c r="L950" s="289" t="n">
        <x:v>0</x:v>
      </x:c>
      <x:c r="M950" s="289" t="n">
        <x:v>6969</x:v>
      </x:c>
      <x:c r="N950" s="289" t="n">
        <x:v>6969</x:v>
      </x:c>
      <x:c r="O950" s="289" t="n">
        <x:v>6969</x:v>
      </x:c>
      <x:c r="P950" s="292"/>
      <x:c r="Q950" s="292" t="str">
        <x:v>candidate-preflight-passed</x:v>
      </x:c>
      <x:c r="R950" s="292" t="str"/>
      <x:c r="S950" s="292" t="str">
        <x:v>玄渊二十套全装备代码总表.xlsx</x:v>
      </x:c>
      <x:c r="T950" s="292" t="str">
        <x:v>玄渊20套全装备视觉候选；Items/StateItem/DnItems三库同码；属性待策划填写</x:v>
      </x:c>
      <x:c r="U950" t="str">
        <x:f>IF(COUNTIF($B$2:$B$1076,B950)&gt;1,"重复","")</x:f>
      </x:c>
      <x:c r="V950" t="str">
        <x:f>IF(AND(OR(M950="",M950=B950),OR(N950="",N950=B950),OR(O950="",O950=B950)),"通过","不一致")</x:f>
        <x:v>通过</x:v>
      </x:c>
    </x:row>
    <x:row r="951" ht="22" customHeight="1">
      <x:c r="A951" s="289" t="n">
        <x:v>950</x:v>
      </x:c>
      <x:c r="B951" s="289" t="n">
        <x:v>6970</x:v>
      </x:c>
      <x:c r="C951" s="290" t="str">
        <x:v>翠焰冥契·腐痕</x:v>
      </x:c>
      <x:c r="D951" s="290" t="str">
        <x:v>翠焰冥契</x:v>
      </x:c>
      <x:c r="E951" s="290" t="n">
        <x:v>2</x:v>
      </x:c>
      <x:c r="F951" s="290" t="str">
        <x:v>宝石</x:v>
      </x:c>
      <x:c r="G951" s="289" t="n">
        <x:v>63</x:v>
      </x:c>
      <x:c r="H951" s="289" t="n">
        <x:v>12</x:v>
      </x:c>
      <x:c r="I951" s="289" t="n">
        <x:v>6970</x:v>
      </x:c>
      <x:c r="J951" s="289" t="n">
        <x:v>0</x:v>
      </x:c>
      <x:c r="K951" s="289" t="n">
        <x:v>0</x:v>
      </x:c>
      <x:c r="L951" s="289" t="n">
        <x:v>0</x:v>
      </x:c>
      <x:c r="M951" s="289" t="n">
        <x:v>6970</x:v>
      </x:c>
      <x:c r="N951" s="289" t="n">
        <x:v>6970</x:v>
      </x:c>
      <x:c r="O951" s="289" t="n">
        <x:v>6970</x:v>
      </x:c>
      <x:c r="P951" s="292"/>
      <x:c r="Q951" s="292" t="str">
        <x:v>candidate-preflight-passed</x:v>
      </x:c>
      <x:c r="R951" s="292" t="str"/>
      <x:c r="S951" s="292" t="str">
        <x:v>玄渊二十套全装备代码总表.xlsx</x:v>
      </x:c>
      <x:c r="T951" s="292" t="str">
        <x:v>玄渊20套全装备视觉候选；Items/StateItem/DnItems三库同码；属性待策划填写</x:v>
      </x:c>
      <x:c r="U951" t="str">
        <x:f>IF(COUNTIF($B$2:$B$1076,B951)&gt;1,"重复","")</x:f>
      </x:c>
      <x:c r="V951" t="str">
        <x:f>IF(AND(OR(M951="",M951=B951),OR(N951="",N951=B951),OR(O951="",O951=B951)),"通过","不一致")</x:f>
        <x:v>通过</x:v>
      </x:c>
    </x:row>
    <x:row r="952" ht="22" customHeight="1">
      <x:c r="A952" s="289" t="n">
        <x:v>951</x:v>
      </x:c>
      <x:c r="B952" s="289" t="n">
        <x:v>6971</x:v>
      </x:c>
      <x:c r="C952" s="290" t="str">
        <x:v>翠焰冥契·腐痕</x:v>
      </x:c>
      <x:c r="D952" s="290" t="str">
        <x:v>翠焰冥契</x:v>
      </x:c>
      <x:c r="E952" s="290" t="n">
        <x:v>2</x:v>
      </x:c>
      <x:c r="F952" s="290" t="str">
        <x:v>军鼓</x:v>
      </x:c>
      <x:c r="G952" s="289" t="n">
        <x:v>65</x:v>
      </x:c>
      <x:c r="H952" s="289" t="n">
        <x:v>14</x:v>
      </x:c>
      <x:c r="I952" s="289" t="n">
        <x:v>6971</x:v>
      </x:c>
      <x:c r="J952" s="289" t="n">
        <x:v>0</x:v>
      </x:c>
      <x:c r="K952" s="289" t="n">
        <x:v>0</x:v>
      </x:c>
      <x:c r="L952" s="289" t="n">
        <x:v>0</x:v>
      </x:c>
      <x:c r="M952" s="289" t="n">
        <x:v>6971</x:v>
      </x:c>
      <x:c r="N952" s="289" t="n">
        <x:v>6971</x:v>
      </x:c>
      <x:c r="O952" s="289" t="n">
        <x:v>6971</x:v>
      </x:c>
      <x:c r="P952" s="292"/>
      <x:c r="Q952" s="292" t="str">
        <x:v>candidate-preflight-passed</x:v>
      </x:c>
      <x:c r="R952" s="292" t="str"/>
      <x:c r="S952" s="292" t="str">
        <x:v>玄渊二十套全装备代码总表.xlsx</x:v>
      </x:c>
      <x:c r="T952" s="292" t="str">
        <x:v>玄渊20套全装备视觉候选；Items/StateItem/DnItems三库同码；属性待策划填写</x:v>
      </x:c>
      <x:c r="U952" t="str">
        <x:f>IF(COUNTIF($B$2:$B$1076,B952)&gt;1,"重复","")</x:f>
      </x:c>
      <x:c r="V952" t="str">
        <x:f>IF(AND(OR(M952="",M952=B952),OR(N952="",N952=B952),OR(O952="",O952=B952)),"通过","不一致")</x:f>
        <x:v>通过</x:v>
      </x:c>
    </x:row>
    <x:row r="953" ht="22" customHeight="1">
      <x:c r="A953" s="289" t="n">
        <x:v>952</x:v>
      </x:c>
      <x:c r="B953" s="289" t="n">
        <x:v>6972</x:v>
      </x:c>
      <x:c r="C953" s="290" t="str">
        <x:v>翠焰冥契·腐痕</x:v>
      </x:c>
      <x:c r="D953" s="290" t="str">
        <x:v>翠焰冥契</x:v>
      </x:c>
      <x:c r="E953" s="290" t="n">
        <x:v>2</x:v>
      </x:c>
      <x:c r="F953" s="290" t="str">
        <x:v>马牌</x:v>
      </x:c>
      <x:c r="G953" s="289" t="n">
        <x:v>28</x:v>
      </x:c>
      <x:c r="H953" s="289" t="n">
        <x:v>15</x:v>
      </x:c>
      <x:c r="I953" s="289" t="n">
        <x:v>6972</x:v>
      </x:c>
      <x:c r="J953" s="289" t="n">
        <x:v>0</x:v>
      </x:c>
      <x:c r="K953" s="289" t="n">
        <x:v>0</x:v>
      </x:c>
      <x:c r="L953" s="289" t="n">
        <x:v>0</x:v>
      </x:c>
      <x:c r="M953" s="289" t="n">
        <x:v>6972</x:v>
      </x:c>
      <x:c r="N953" s="289" t="n">
        <x:v>6972</x:v>
      </x:c>
      <x:c r="O953" s="289" t="n">
        <x:v>6972</x:v>
      </x:c>
      <x:c r="P953" s="292"/>
      <x:c r="Q953" s="292" t="str">
        <x:v>candidate-preflight-passed</x:v>
      </x:c>
      <x:c r="R953" s="292" t="str"/>
      <x:c r="S953" s="292" t="str">
        <x:v>玄渊二十套全装备代码总表.xlsx</x:v>
      </x:c>
      <x:c r="T953" s="292" t="str">
        <x:v>玄渊20套全装备视觉候选；Items/StateItem/DnItems三库同码；属性待策划填写</x:v>
      </x:c>
      <x:c r="U953" t="str">
        <x:f>IF(COUNTIF($B$2:$B$1076,B953)&gt;1,"重复","")</x:f>
      </x:c>
      <x:c r="V953" t="str">
        <x:f>IF(AND(OR(M953="",M953=B953),OR(N953="",N953=B953),OR(O953="",O953=B953)),"通过","不一致")</x:f>
        <x:v>通过</x:v>
      </x:c>
    </x:row>
    <x:row r="954" ht="22" customHeight="1">
      <x:c r="A954" s="289" t="n">
        <x:v>953</x:v>
      </x:c>
      <x:c r="B954" s="289" t="n">
        <x:v>6973</x:v>
      </x:c>
      <x:c r="C954" s="290" t="str">
        <x:v>翠焰冥契·腐痕</x:v>
      </x:c>
      <x:c r="D954" s="290" t="str">
        <x:v>翠焰冥契</x:v>
      </x:c>
      <x:c r="E954" s="290" t="n">
        <x:v>2</x:v>
      </x:c>
      <x:c r="F954" s="290" t="str">
        <x:v>首饰盒1</x:v>
      </x:c>
      <x:c r="G954" s="289" t="n">
        <x:v>22</x:v>
      </x:c>
      <x:c r="H954" s="289" t="n">
        <x:v>30</x:v>
      </x:c>
      <x:c r="I954" s="289" t="n">
        <x:v>6973</x:v>
      </x:c>
      <x:c r="J954" s="289" t="n">
        <x:v>0</x:v>
      </x:c>
      <x:c r="K954" s="289" t="n">
        <x:v>2</x:v>
      </x:c>
      <x:c r="L954" s="289" t="n">
        <x:v>1</x:v>
      </x:c>
      <x:c r="M954" s="289" t="n">
        <x:v>6973</x:v>
      </x:c>
      <x:c r="N954" s="289" t="n">
        <x:v>6973</x:v>
      </x:c>
      <x:c r="O954" s="289" t="n">
        <x:v>6973</x:v>
      </x:c>
      <x:c r="P954" s="292"/>
      <x:c r="Q954" s="292" t="str">
        <x:v>candidate-preflight-passed</x:v>
      </x:c>
      <x:c r="R954" s="292" t="str"/>
      <x:c r="S954" s="292" t="str">
        <x:v>玄渊二十套全装备代码总表.xlsx</x:v>
      </x:c>
      <x:c r="T954" s="292" t="str">
        <x:v>玄渊20套全装备视觉候选；Items/StateItem/DnItems三库同码；属性待策划填写；OverLap=2; Expand1=1</x:v>
      </x:c>
      <x:c r="U954" t="str">
        <x:f>IF(COUNTIF($B$2:$B$1076,B954)&gt;1,"重复","")</x:f>
      </x:c>
      <x:c r="V954" t="str">
        <x:f>IF(AND(OR(M954="",M954=B954),OR(N954="",N954=B954),OR(O954="",O954=B954)),"通过","不一致")</x:f>
        <x:v>通过</x:v>
      </x:c>
    </x:row>
    <x:row r="955" ht="22" customHeight="1">
      <x:c r="A955" s="289" t="n">
        <x:v>954</x:v>
      </x:c>
      <x:c r="B955" s="289" t="n">
        <x:v>6974</x:v>
      </x:c>
      <x:c r="C955" s="290" t="str">
        <x:v>翠焰冥契·腐痕</x:v>
      </x:c>
      <x:c r="D955" s="290" t="str">
        <x:v>翠焰冥契</x:v>
      </x:c>
      <x:c r="E955" s="290" t="n">
        <x:v>2</x:v>
      </x:c>
      <x:c r="F955" s="290" t="str">
        <x:v>首饰盒2</x:v>
      </x:c>
      <x:c r="G955" s="289" t="n">
        <x:v>22</x:v>
      </x:c>
      <x:c r="H955" s="289" t="n">
        <x:v>31</x:v>
      </x:c>
      <x:c r="I955" s="289" t="n">
        <x:v>6974</x:v>
      </x:c>
      <x:c r="J955" s="289" t="n">
        <x:v>0</x:v>
      </x:c>
      <x:c r="K955" s="289" t="n">
        <x:v>2</x:v>
      </x:c>
      <x:c r="L955" s="289" t="n">
        <x:v>2</x:v>
      </x:c>
      <x:c r="M955" s="289" t="n">
        <x:v>6974</x:v>
      </x:c>
      <x:c r="N955" s="289" t="n">
        <x:v>6974</x:v>
      </x:c>
      <x:c r="O955" s="289" t="n">
        <x:v>6974</x:v>
      </x:c>
      <x:c r="P955" s="292"/>
      <x:c r="Q955" s="292" t="str">
        <x:v>candidate-preflight-passed</x:v>
      </x:c>
      <x:c r="R955" s="292" t="str"/>
      <x:c r="S955" s="292" t="str">
        <x:v>玄渊二十套全装备代码总表.xlsx</x:v>
      </x:c>
      <x:c r="T955" s="292" t="str">
        <x:v>玄渊20套全装备视觉候选；Items/StateItem/DnItems三库同码；属性待策划填写；OverLap=2; Expand1=2</x:v>
      </x:c>
      <x:c r="U955" t="str">
        <x:f>IF(COUNTIF($B$2:$B$1076,B955)&gt;1,"重复","")</x:f>
      </x:c>
      <x:c r="V955" t="str">
        <x:f>IF(AND(OR(M955="",M955=B955),OR(N955="",N955=B955),OR(O955="",O955=B955)),"通过","不一致")</x:f>
        <x:v>通过</x:v>
      </x:c>
    </x:row>
    <x:row r="956" ht="22" customHeight="1">
      <x:c r="A956" s="289" t="n">
        <x:v>955</x:v>
      </x:c>
      <x:c r="B956" s="289" t="n">
        <x:v>6975</x:v>
      </x:c>
      <x:c r="C956" s="290" t="str">
        <x:v>翠焰冥契·腐痕</x:v>
      </x:c>
      <x:c r="D956" s="290" t="str">
        <x:v>翠焰冥契</x:v>
      </x:c>
      <x:c r="E956" s="290" t="n">
        <x:v>2</x:v>
      </x:c>
      <x:c r="F956" s="290" t="str">
        <x:v>首饰盒3</x:v>
      </x:c>
      <x:c r="G956" s="289" t="n">
        <x:v>22</x:v>
      </x:c>
      <x:c r="H956" s="289" t="n">
        <x:v>32</x:v>
      </x:c>
      <x:c r="I956" s="289" t="n">
        <x:v>6975</x:v>
      </x:c>
      <x:c r="J956" s="289" t="n">
        <x:v>0</x:v>
      </x:c>
      <x:c r="K956" s="289" t="n">
        <x:v>2</x:v>
      </x:c>
      <x:c r="L956" s="289" t="n">
        <x:v>3</x:v>
      </x:c>
      <x:c r="M956" s="289" t="n">
        <x:v>6975</x:v>
      </x:c>
      <x:c r="N956" s="289" t="n">
        <x:v>6975</x:v>
      </x:c>
      <x:c r="O956" s="289" t="n">
        <x:v>6975</x:v>
      </x:c>
      <x:c r="P956" s="292"/>
      <x:c r="Q956" s="292" t="str">
        <x:v>candidate-preflight-passed</x:v>
      </x:c>
      <x:c r="R956" s="292" t="str"/>
      <x:c r="S956" s="292" t="str">
        <x:v>玄渊二十套全装备代码总表.xlsx</x:v>
      </x:c>
      <x:c r="T956" s="292" t="str">
        <x:v>玄渊20套全装备视觉候选；Items/StateItem/DnItems三库同码；属性待策划填写；OverLap=2; Expand1=3</x:v>
      </x:c>
      <x:c r="U956" t="str">
        <x:f>IF(COUNTIF($B$2:$B$1076,B956)&gt;1,"重复","")</x:f>
      </x:c>
      <x:c r="V956" t="str">
        <x:f>IF(AND(OR(M956="",M956=B956),OR(N956="",N956=B956),OR(O956="",O956=B956)),"通过","不一致")</x:f>
        <x:v>通过</x:v>
      </x:c>
    </x:row>
    <x:row r="957" ht="22" customHeight="1">
      <x:c r="A957" s="289" t="n">
        <x:v>956</x:v>
      </x:c>
      <x:c r="B957" s="289" t="n">
        <x:v>6976</x:v>
      </x:c>
      <x:c r="C957" s="290" t="str">
        <x:v>翠焰冥契·腐痕</x:v>
      </x:c>
      <x:c r="D957" s="290" t="str">
        <x:v>翠焰冥契</x:v>
      </x:c>
      <x:c r="E957" s="290" t="n">
        <x:v>2</x:v>
      </x:c>
      <x:c r="F957" s="290" t="str">
        <x:v>首饰盒4</x:v>
      </x:c>
      <x:c r="G957" s="289" t="n">
        <x:v>22</x:v>
      </x:c>
      <x:c r="H957" s="289" t="n">
        <x:v>33</x:v>
      </x:c>
      <x:c r="I957" s="289" t="n">
        <x:v>6976</x:v>
      </x:c>
      <x:c r="J957" s="289" t="n">
        <x:v>0</x:v>
      </x:c>
      <x:c r="K957" s="289" t="n">
        <x:v>2</x:v>
      </x:c>
      <x:c r="L957" s="289" t="n">
        <x:v>4</x:v>
      </x:c>
      <x:c r="M957" s="289" t="n">
        <x:v>6976</x:v>
      </x:c>
      <x:c r="N957" s="289" t="n">
        <x:v>6976</x:v>
      </x:c>
      <x:c r="O957" s="289" t="n">
        <x:v>6976</x:v>
      </x:c>
      <x:c r="P957" s="292"/>
      <x:c r="Q957" s="292" t="str">
        <x:v>candidate-preflight-passed</x:v>
      </x:c>
      <x:c r="R957" s="292" t="str"/>
      <x:c r="S957" s="292" t="str">
        <x:v>玄渊二十套全装备代码总表.xlsx</x:v>
      </x:c>
      <x:c r="T957" s="292" t="str">
        <x:v>玄渊20套全装备视觉候选；Items/StateItem/DnItems三库同码；属性待策划填写；OverLap=2; Expand1=4</x:v>
      </x:c>
      <x:c r="U957" t="str">
        <x:f>IF(COUNTIF($B$2:$B$1076,B957)&gt;1,"重复","")</x:f>
      </x:c>
      <x:c r="V957" t="str">
        <x:f>IF(AND(OR(M957="",M957=B957),OR(N957="",N957=B957),OR(O957="",O957=B957)),"通过","不一致")</x:f>
        <x:v>通过</x:v>
      </x:c>
    </x:row>
    <x:row r="958" ht="22" customHeight="1">
      <x:c r="A958" s="289" t="n">
        <x:v>957</x:v>
      </x:c>
      <x:c r="B958" s="289" t="n">
        <x:v>6977</x:v>
      </x:c>
      <x:c r="C958" s="290" t="str">
        <x:v>翠焰冥契·腐痕</x:v>
      </x:c>
      <x:c r="D958" s="290" t="str">
        <x:v>翠焰冥契</x:v>
      </x:c>
      <x:c r="E958" s="290" t="n">
        <x:v>2</x:v>
      </x:c>
      <x:c r="F958" s="290" t="str">
        <x:v>首饰盒5</x:v>
      </x:c>
      <x:c r="G958" s="289" t="n">
        <x:v>22</x:v>
      </x:c>
      <x:c r="H958" s="289" t="n">
        <x:v>34</x:v>
      </x:c>
      <x:c r="I958" s="289" t="n">
        <x:v>6977</x:v>
      </x:c>
      <x:c r="J958" s="289" t="n">
        <x:v>0</x:v>
      </x:c>
      <x:c r="K958" s="289" t="n">
        <x:v>2</x:v>
      </x:c>
      <x:c r="L958" s="289" t="n">
        <x:v>5</x:v>
      </x:c>
      <x:c r="M958" s="289" t="n">
        <x:v>6977</x:v>
      </x:c>
      <x:c r="N958" s="289" t="n">
        <x:v>6977</x:v>
      </x:c>
      <x:c r="O958" s="289" t="n">
        <x:v>6977</x:v>
      </x:c>
      <x:c r="P958" s="292"/>
      <x:c r="Q958" s="292" t="str">
        <x:v>candidate-preflight-passed</x:v>
      </x:c>
      <x:c r="R958" s="292" t="str"/>
      <x:c r="S958" s="292" t="str">
        <x:v>玄渊二十套全装备代码总表.xlsx</x:v>
      </x:c>
      <x:c r="T958" s="292" t="str">
        <x:v>玄渊20套全装备视觉候选；Items/StateItem/DnItems三库同码；属性待策划填写；OverLap=2; Expand1=5</x:v>
      </x:c>
      <x:c r="U958" t="str">
        <x:f>IF(COUNTIF($B$2:$B$1076,B958)&gt;1,"重复","")</x:f>
      </x:c>
      <x:c r="V958" t="str">
        <x:f>IF(AND(OR(M958="",M958=B958),OR(N958="",N958=B958),OR(O958="",O958=B958)),"通过","不一致")</x:f>
        <x:v>通过</x:v>
      </x:c>
    </x:row>
    <x:row r="959" ht="22" customHeight="1">
      <x:c r="A959" s="289" t="n">
        <x:v>958</x:v>
      </x:c>
      <x:c r="B959" s="289" t="n">
        <x:v>6978</x:v>
      </x:c>
      <x:c r="C959" s="290" t="str">
        <x:v>翠焰冥契·腐痕</x:v>
      </x:c>
      <x:c r="D959" s="290" t="str">
        <x:v>翠焰冥契</x:v>
      </x:c>
      <x:c r="E959" s="290" t="n">
        <x:v>2</x:v>
      </x:c>
      <x:c r="F959" s="290" t="str">
        <x:v>首饰盒6</x:v>
      </x:c>
      <x:c r="G959" s="289" t="n">
        <x:v>22</x:v>
      </x:c>
      <x:c r="H959" s="289" t="n">
        <x:v>35</x:v>
      </x:c>
      <x:c r="I959" s="289" t="n">
        <x:v>6978</x:v>
      </x:c>
      <x:c r="J959" s="289" t="n">
        <x:v>0</x:v>
      </x:c>
      <x:c r="K959" s="289" t="n">
        <x:v>2</x:v>
      </x:c>
      <x:c r="L959" s="289" t="n">
        <x:v>6</x:v>
      </x:c>
      <x:c r="M959" s="289" t="n">
        <x:v>6978</x:v>
      </x:c>
      <x:c r="N959" s="289" t="n">
        <x:v>6978</x:v>
      </x:c>
      <x:c r="O959" s="289" t="n">
        <x:v>6978</x:v>
      </x:c>
      <x:c r="P959" s="292"/>
      <x:c r="Q959" s="292" t="str">
        <x:v>candidate-preflight-passed</x:v>
      </x:c>
      <x:c r="R959" s="292" t="str"/>
      <x:c r="S959" s="292" t="str">
        <x:v>玄渊二十套全装备代码总表.xlsx</x:v>
      </x:c>
      <x:c r="T959" s="292" t="str">
        <x:v>玄渊20套全装备视觉候选；Items/StateItem/DnItems三库同码；属性待策划填写；OverLap=2; Expand1=6</x:v>
      </x:c>
      <x:c r="U959" t="str">
        <x:f>IF(COUNTIF($B$2:$B$1076,B959)&gt;1,"重复","")</x:f>
      </x:c>
      <x:c r="V959" t="str">
        <x:f>IF(AND(OR(M959="",M959=B959),OR(N959="",N959=B959),OR(O959="",O959=B959)),"通过","不一致")</x:f>
        <x:v>通过</x:v>
      </x:c>
    </x:row>
    <x:row r="960" ht="22" customHeight="1">
      <x:c r="A960" s="289" t="n">
        <x:v>959</x:v>
      </x:c>
      <x:c r="B960" s="289" t="n">
        <x:v>6979</x:v>
      </x:c>
      <x:c r="C960" s="290" t="str">
        <x:v>翠焰冥契·腐痕</x:v>
      </x:c>
      <x:c r="D960" s="290" t="str">
        <x:v>翠焰冥契</x:v>
      </x:c>
      <x:c r="E960" s="290" t="n">
        <x:v>2</x:v>
      </x:c>
      <x:c r="F960" s="290" t="str">
        <x:v>生肖1</x:v>
      </x:c>
      <x:c r="G960" s="289" t="n">
        <x:v>22</x:v>
      </x:c>
      <x:c r="H960" s="289" t="n">
        <x:v>40</x:v>
      </x:c>
      <x:c r="I960" s="289" t="n">
        <x:v>6979</x:v>
      </x:c>
      <x:c r="J960" s="289" t="n">
        <x:v>0</x:v>
      </x:c>
      <x:c r="K960" s="289" t="n">
        <x:v>4</x:v>
      </x:c>
      <x:c r="L960" s="289" t="n">
        <x:v>1</x:v>
      </x:c>
      <x:c r="M960" s="289" t="n">
        <x:v>6979</x:v>
      </x:c>
      <x:c r="N960" s="289" t="n">
        <x:v>6979</x:v>
      </x:c>
      <x:c r="O960" s="289" t="n">
        <x:v>6979</x:v>
      </x:c>
      <x:c r="P960" s="292"/>
      <x:c r="Q960" s="292" t="str">
        <x:v>candidate-preflight-passed</x:v>
      </x:c>
      <x:c r="R960" s="292" t="str"/>
      <x:c r="S960" s="292" t="str">
        <x:v>玄渊二十套全装备代码总表.xlsx</x:v>
      </x:c>
      <x:c r="T960" s="292" t="str">
        <x:v>玄渊20套全装备视觉候选；Items/StateItem/DnItems三库同码；属性待策划填写；OverLap=4; Expand1=1</x:v>
      </x:c>
      <x:c r="U960" t="str">
        <x:f>IF(COUNTIF($B$2:$B$1076,B960)&gt;1,"重复","")</x:f>
      </x:c>
      <x:c r="V960" t="str">
        <x:f>IF(AND(OR(M960="",M960=B960),OR(N960="",N960=B960),OR(O960="",O960=B960)),"通过","不一致")</x:f>
        <x:v>通过</x:v>
      </x:c>
    </x:row>
    <x:row r="961" ht="22" customHeight="1">
      <x:c r="A961" s="289" t="n">
        <x:v>960</x:v>
      </x:c>
      <x:c r="B961" s="289" t="n">
        <x:v>6980</x:v>
      </x:c>
      <x:c r="C961" s="290" t="str">
        <x:v>翠焰冥契·腐痕</x:v>
      </x:c>
      <x:c r="D961" s="290" t="str">
        <x:v>翠焰冥契</x:v>
      </x:c>
      <x:c r="E961" s="290" t="n">
        <x:v>2</x:v>
      </x:c>
      <x:c r="F961" s="290" t="str">
        <x:v>生肖2</x:v>
      </x:c>
      <x:c r="G961" s="289" t="n">
        <x:v>22</x:v>
      </x:c>
      <x:c r="H961" s="289" t="n">
        <x:v>41</x:v>
      </x:c>
      <x:c r="I961" s="289" t="n">
        <x:v>6980</x:v>
      </x:c>
      <x:c r="J961" s="289" t="n">
        <x:v>0</x:v>
      </x:c>
      <x:c r="K961" s="289" t="n">
        <x:v>4</x:v>
      </x:c>
      <x:c r="L961" s="289" t="n">
        <x:v>2</x:v>
      </x:c>
      <x:c r="M961" s="289" t="n">
        <x:v>6980</x:v>
      </x:c>
      <x:c r="N961" s="289" t="n">
        <x:v>6980</x:v>
      </x:c>
      <x:c r="O961" s="289" t="n">
        <x:v>6980</x:v>
      </x:c>
      <x:c r="P961" s="292"/>
      <x:c r="Q961" s="292" t="str">
        <x:v>candidate-preflight-passed</x:v>
      </x:c>
      <x:c r="R961" s="292" t="str"/>
      <x:c r="S961" s="292" t="str">
        <x:v>玄渊二十套全装备代码总表.xlsx</x:v>
      </x:c>
      <x:c r="T961" s="292" t="str">
        <x:v>玄渊20套全装备视觉候选；Items/StateItem/DnItems三库同码；属性待策划填写；OverLap=4; Expand1=2</x:v>
      </x:c>
      <x:c r="U961" t="str">
        <x:f>IF(COUNTIF($B$2:$B$1076,B961)&gt;1,"重复","")</x:f>
      </x:c>
      <x:c r="V961" t="str">
        <x:f>IF(AND(OR(M961="",M961=B961),OR(N961="",N961=B961),OR(O961="",O961=B961)),"通过","不一致")</x:f>
        <x:v>通过</x:v>
      </x:c>
    </x:row>
    <x:row r="962" ht="22" customHeight="1">
      <x:c r="A962" s="289" t="n">
        <x:v>961</x:v>
      </x:c>
      <x:c r="B962" s="289" t="n">
        <x:v>6981</x:v>
      </x:c>
      <x:c r="C962" s="290" t="str">
        <x:v>翠焰冥契·腐痕</x:v>
      </x:c>
      <x:c r="D962" s="290" t="str">
        <x:v>翠焰冥契</x:v>
      </x:c>
      <x:c r="E962" s="290" t="n">
        <x:v>2</x:v>
      </x:c>
      <x:c r="F962" s="290" t="str">
        <x:v>生肖3</x:v>
      </x:c>
      <x:c r="G962" s="289" t="n">
        <x:v>22</x:v>
      </x:c>
      <x:c r="H962" s="289" t="n">
        <x:v>42</x:v>
      </x:c>
      <x:c r="I962" s="289" t="n">
        <x:v>6981</x:v>
      </x:c>
      <x:c r="J962" s="289" t="n">
        <x:v>0</x:v>
      </x:c>
      <x:c r="K962" s="289" t="n">
        <x:v>4</x:v>
      </x:c>
      <x:c r="L962" s="289" t="n">
        <x:v>3</x:v>
      </x:c>
      <x:c r="M962" s="289" t="n">
        <x:v>6981</x:v>
      </x:c>
      <x:c r="N962" s="289" t="n">
        <x:v>6981</x:v>
      </x:c>
      <x:c r="O962" s="289" t="n">
        <x:v>6981</x:v>
      </x:c>
      <x:c r="P962" s="292"/>
      <x:c r="Q962" s="292" t="str">
        <x:v>candidate-preflight-passed</x:v>
      </x:c>
      <x:c r="R962" s="292" t="str"/>
      <x:c r="S962" s="292" t="str">
        <x:v>玄渊二十套全装备代码总表.xlsx</x:v>
      </x:c>
      <x:c r="T962" s="292" t="str">
        <x:v>玄渊20套全装备视觉候选；Items/StateItem/DnItems三库同码；属性待策划填写；OverLap=4; Expand1=3</x:v>
      </x:c>
      <x:c r="U962" t="str">
        <x:f>IF(COUNTIF($B$2:$B$1076,B962)&gt;1,"重复","")</x:f>
      </x:c>
      <x:c r="V962" t="str">
        <x:f>IF(AND(OR(M962="",M962=B962),OR(N962="",N962=B962),OR(O962="",O962=B962)),"通过","不一致")</x:f>
        <x:v>通过</x:v>
      </x:c>
    </x:row>
    <x:row r="963" ht="22" customHeight="1">
      <x:c r="A963" s="289" t="n">
        <x:v>962</x:v>
      </x:c>
      <x:c r="B963" s="289" t="n">
        <x:v>6982</x:v>
      </x:c>
      <x:c r="C963" s="290" t="str">
        <x:v>翠焰冥契·腐痕</x:v>
      </x:c>
      <x:c r="D963" s="290" t="str">
        <x:v>翠焰冥契</x:v>
      </x:c>
      <x:c r="E963" s="290" t="n">
        <x:v>2</x:v>
      </x:c>
      <x:c r="F963" s="290" t="str">
        <x:v>生肖4</x:v>
      </x:c>
      <x:c r="G963" s="289" t="n">
        <x:v>22</x:v>
      </x:c>
      <x:c r="H963" s="289" t="n">
        <x:v>43</x:v>
      </x:c>
      <x:c r="I963" s="289" t="n">
        <x:v>6982</x:v>
      </x:c>
      <x:c r="J963" s="289" t="n">
        <x:v>0</x:v>
      </x:c>
      <x:c r="K963" s="289" t="n">
        <x:v>4</x:v>
      </x:c>
      <x:c r="L963" s="289" t="n">
        <x:v>4</x:v>
      </x:c>
      <x:c r="M963" s="289" t="n">
        <x:v>6982</x:v>
      </x:c>
      <x:c r="N963" s="289" t="n">
        <x:v>6982</x:v>
      </x:c>
      <x:c r="O963" s="289" t="n">
        <x:v>6982</x:v>
      </x:c>
      <x:c r="P963" s="292"/>
      <x:c r="Q963" s="292" t="str">
        <x:v>candidate-preflight-passed</x:v>
      </x:c>
      <x:c r="R963" s="292" t="str"/>
      <x:c r="S963" s="292" t="str">
        <x:v>玄渊二十套全装备代码总表.xlsx</x:v>
      </x:c>
      <x:c r="T963" s="292" t="str">
        <x:v>玄渊20套全装备视觉候选；Items/StateItem/DnItems三库同码；属性待策划填写；OverLap=4; Expand1=4</x:v>
      </x:c>
      <x:c r="U963" t="str">
        <x:f>IF(COUNTIF($B$2:$B$1076,B963)&gt;1,"重复","")</x:f>
      </x:c>
      <x:c r="V963" t="str">
        <x:f>IF(AND(OR(M963="",M963=B963),OR(N963="",N963=B963),OR(O963="",O963=B963)),"通过","不一致")</x:f>
        <x:v>通过</x:v>
      </x:c>
    </x:row>
    <x:row r="964" ht="22" customHeight="1">
      <x:c r="A964" s="289" t="n">
        <x:v>963</x:v>
      </x:c>
      <x:c r="B964" s="289" t="n">
        <x:v>6983</x:v>
      </x:c>
      <x:c r="C964" s="290" t="str">
        <x:v>翠焰冥契·腐痕</x:v>
      </x:c>
      <x:c r="D964" s="290" t="str">
        <x:v>翠焰冥契</x:v>
      </x:c>
      <x:c r="E964" s="290" t="n">
        <x:v>2</x:v>
      </x:c>
      <x:c r="F964" s="290" t="str">
        <x:v>生肖5</x:v>
      </x:c>
      <x:c r="G964" s="289" t="n">
        <x:v>22</x:v>
      </x:c>
      <x:c r="H964" s="289" t="n">
        <x:v>44</x:v>
      </x:c>
      <x:c r="I964" s="289" t="n">
        <x:v>6983</x:v>
      </x:c>
      <x:c r="J964" s="289" t="n">
        <x:v>0</x:v>
      </x:c>
      <x:c r="K964" s="289" t="n">
        <x:v>4</x:v>
      </x:c>
      <x:c r="L964" s="289" t="n">
        <x:v>5</x:v>
      </x:c>
      <x:c r="M964" s="289" t="n">
        <x:v>6983</x:v>
      </x:c>
      <x:c r="N964" s="289" t="n">
        <x:v>6983</x:v>
      </x:c>
      <x:c r="O964" s="289" t="n">
        <x:v>6983</x:v>
      </x:c>
      <x:c r="P964" s="292"/>
      <x:c r="Q964" s="292" t="str">
        <x:v>candidate-preflight-passed</x:v>
      </x:c>
      <x:c r="R964" s="292" t="str"/>
      <x:c r="S964" s="292" t="str">
        <x:v>玄渊二十套全装备代码总表.xlsx</x:v>
      </x:c>
      <x:c r="T964" s="292" t="str">
        <x:v>玄渊20套全装备视觉候选；Items/StateItem/DnItems三库同码；属性待策划填写；OverLap=4; Expand1=5</x:v>
      </x:c>
      <x:c r="U964" t="str">
        <x:f>IF(COUNTIF($B$2:$B$1076,B964)&gt;1,"重复","")</x:f>
      </x:c>
      <x:c r="V964" t="str">
        <x:f>IF(AND(OR(M964="",M964=B964),OR(N964="",N964=B964),OR(O964="",O964=B964)),"通过","不一致")</x:f>
        <x:v>通过</x:v>
      </x:c>
    </x:row>
    <x:row r="965" ht="22" customHeight="1">
      <x:c r="A965" s="289" t="n">
        <x:v>964</x:v>
      </x:c>
      <x:c r="B965" s="289" t="n">
        <x:v>6984</x:v>
      </x:c>
      <x:c r="C965" s="290" t="str">
        <x:v>翠焰冥契·腐痕</x:v>
      </x:c>
      <x:c r="D965" s="290" t="str">
        <x:v>翠焰冥契</x:v>
      </x:c>
      <x:c r="E965" s="290" t="n">
        <x:v>2</x:v>
      </x:c>
      <x:c r="F965" s="290" t="str">
        <x:v>生肖6</x:v>
      </x:c>
      <x:c r="G965" s="289" t="n">
        <x:v>22</x:v>
      </x:c>
      <x:c r="H965" s="289" t="n">
        <x:v>45</x:v>
      </x:c>
      <x:c r="I965" s="289" t="n">
        <x:v>6984</x:v>
      </x:c>
      <x:c r="J965" s="289" t="n">
        <x:v>0</x:v>
      </x:c>
      <x:c r="K965" s="289" t="n">
        <x:v>4</x:v>
      </x:c>
      <x:c r="L965" s="289" t="n">
        <x:v>6</x:v>
      </x:c>
      <x:c r="M965" s="289" t="n">
        <x:v>6984</x:v>
      </x:c>
      <x:c r="N965" s="289" t="n">
        <x:v>6984</x:v>
      </x:c>
      <x:c r="O965" s="289" t="n">
        <x:v>6984</x:v>
      </x:c>
      <x:c r="P965" s="292"/>
      <x:c r="Q965" s="292" t="str">
        <x:v>candidate-preflight-passed</x:v>
      </x:c>
      <x:c r="R965" s="292" t="str"/>
      <x:c r="S965" s="292" t="str">
        <x:v>玄渊二十套全装备代码总表.xlsx</x:v>
      </x:c>
      <x:c r="T965" s="292" t="str">
        <x:v>玄渊20套全装备视觉候选；Items/StateItem/DnItems三库同码；属性待策划填写；OverLap=4; Expand1=6</x:v>
      </x:c>
      <x:c r="U965" t="str">
        <x:f>IF(COUNTIF($B$2:$B$1076,B965)&gt;1,"重复","")</x:f>
      </x:c>
      <x:c r="V965" t="str">
        <x:f>IF(AND(OR(M965="",M965=B965),OR(N965="",N965=B965),OR(O965="",O965=B965)),"通过","不一致")</x:f>
        <x:v>通过</x:v>
      </x:c>
    </x:row>
    <x:row r="966" ht="22" customHeight="1">
      <x:c r="A966" s="289" t="n">
        <x:v>965</x:v>
      </x:c>
      <x:c r="B966" s="289" t="n">
        <x:v>6985</x:v>
      </x:c>
      <x:c r="C966" s="290" t="str">
        <x:v>翠焰冥契·腐痕</x:v>
      </x:c>
      <x:c r="D966" s="290" t="str">
        <x:v>翠焰冥契</x:v>
      </x:c>
      <x:c r="E966" s="290" t="n">
        <x:v>2</x:v>
      </x:c>
      <x:c r="F966" s="290" t="str">
        <x:v>生肖7</x:v>
      </x:c>
      <x:c r="G966" s="289" t="n">
        <x:v>22</x:v>
      </x:c>
      <x:c r="H966" s="289" t="n">
        <x:v>46</x:v>
      </x:c>
      <x:c r="I966" s="289" t="n">
        <x:v>6985</x:v>
      </x:c>
      <x:c r="J966" s="289" t="n">
        <x:v>0</x:v>
      </x:c>
      <x:c r="K966" s="289" t="n">
        <x:v>4</x:v>
      </x:c>
      <x:c r="L966" s="289" t="n">
        <x:v>7</x:v>
      </x:c>
      <x:c r="M966" s="289" t="n">
        <x:v>6985</x:v>
      </x:c>
      <x:c r="N966" s="289" t="n">
        <x:v>6985</x:v>
      </x:c>
      <x:c r="O966" s="289" t="n">
        <x:v>6985</x:v>
      </x:c>
      <x:c r="P966" s="292"/>
      <x:c r="Q966" s="292" t="str">
        <x:v>candidate-preflight-passed</x:v>
      </x:c>
      <x:c r="R966" s="292" t="str"/>
      <x:c r="S966" s="292" t="str">
        <x:v>玄渊二十套全装备代码总表.xlsx</x:v>
      </x:c>
      <x:c r="T966" s="292" t="str">
        <x:v>玄渊20套全装备视觉候选；Items/StateItem/DnItems三库同码；属性待策划填写；OverLap=4; Expand1=7</x:v>
      </x:c>
      <x:c r="U966" t="str">
        <x:f>IF(COUNTIF($B$2:$B$1076,B966)&gt;1,"重复","")</x:f>
      </x:c>
      <x:c r="V966" t="str">
        <x:f>IF(AND(OR(M966="",M966=B966),OR(N966="",N966=B966),OR(O966="",O966=B966)),"通过","不一致")</x:f>
        <x:v>通过</x:v>
      </x:c>
    </x:row>
    <x:row r="967" ht="22" customHeight="1">
      <x:c r="A967" s="289" t="n">
        <x:v>966</x:v>
      </x:c>
      <x:c r="B967" s="289" t="n">
        <x:v>6986</x:v>
      </x:c>
      <x:c r="C967" s="290" t="str">
        <x:v>翠焰冥契·腐痕</x:v>
      </x:c>
      <x:c r="D967" s="290" t="str">
        <x:v>翠焰冥契</x:v>
      </x:c>
      <x:c r="E967" s="290" t="n">
        <x:v>2</x:v>
      </x:c>
      <x:c r="F967" s="290" t="str">
        <x:v>生肖8</x:v>
      </x:c>
      <x:c r="G967" s="289" t="n">
        <x:v>22</x:v>
      </x:c>
      <x:c r="H967" s="289" t="n">
        <x:v>47</x:v>
      </x:c>
      <x:c r="I967" s="289" t="n">
        <x:v>6986</x:v>
      </x:c>
      <x:c r="J967" s="289" t="n">
        <x:v>0</x:v>
      </x:c>
      <x:c r="K967" s="289" t="n">
        <x:v>4</x:v>
      </x:c>
      <x:c r="L967" s="289" t="n">
        <x:v>8</x:v>
      </x:c>
      <x:c r="M967" s="289" t="n">
        <x:v>6986</x:v>
      </x:c>
      <x:c r="N967" s="289" t="n">
        <x:v>6986</x:v>
      </x:c>
      <x:c r="O967" s="289" t="n">
        <x:v>6986</x:v>
      </x:c>
      <x:c r="P967" s="292"/>
      <x:c r="Q967" s="292" t="str">
        <x:v>candidate-preflight-passed</x:v>
      </x:c>
      <x:c r="R967" s="292" t="str"/>
      <x:c r="S967" s="292" t="str">
        <x:v>玄渊二十套全装备代码总表.xlsx</x:v>
      </x:c>
      <x:c r="T967" s="292" t="str">
        <x:v>玄渊20套全装备视觉候选；Items/StateItem/DnItems三库同码；属性待策划填写；OverLap=4; Expand1=8</x:v>
      </x:c>
      <x:c r="U967" t="str">
        <x:f>IF(COUNTIF($B$2:$B$1076,B967)&gt;1,"重复","")</x:f>
      </x:c>
      <x:c r="V967" t="str">
        <x:f>IF(AND(OR(M967="",M967=B967),OR(N967="",N967=B967),OR(O967="",O967=B967)),"通过","不一致")</x:f>
        <x:v>通过</x:v>
      </x:c>
    </x:row>
    <x:row r="968" ht="22" customHeight="1">
      <x:c r="A968" s="289" t="n">
        <x:v>967</x:v>
      </x:c>
      <x:c r="B968" s="289" t="n">
        <x:v>6987</x:v>
      </x:c>
      <x:c r="C968" s="290" t="str">
        <x:v>翠焰冥契·腐痕</x:v>
      </x:c>
      <x:c r="D968" s="290" t="str">
        <x:v>翠焰冥契</x:v>
      </x:c>
      <x:c r="E968" s="290" t="n">
        <x:v>2</x:v>
      </x:c>
      <x:c r="F968" s="290" t="str">
        <x:v>生肖9</x:v>
      </x:c>
      <x:c r="G968" s="289" t="n">
        <x:v>22</x:v>
      </x:c>
      <x:c r="H968" s="289" t="n">
        <x:v>48</x:v>
      </x:c>
      <x:c r="I968" s="289" t="n">
        <x:v>6987</x:v>
      </x:c>
      <x:c r="J968" s="289" t="n">
        <x:v>0</x:v>
      </x:c>
      <x:c r="K968" s="289" t="n">
        <x:v>4</x:v>
      </x:c>
      <x:c r="L968" s="289" t="n">
        <x:v>9</x:v>
      </x:c>
      <x:c r="M968" s="289" t="n">
        <x:v>6987</x:v>
      </x:c>
      <x:c r="N968" s="289" t="n">
        <x:v>6987</x:v>
      </x:c>
      <x:c r="O968" s="289" t="n">
        <x:v>6987</x:v>
      </x:c>
      <x:c r="P968" s="292"/>
      <x:c r="Q968" s="292" t="str">
        <x:v>candidate-preflight-passed</x:v>
      </x:c>
      <x:c r="R968" s="292" t="str"/>
      <x:c r="S968" s="292" t="str">
        <x:v>玄渊二十套全装备代码总表.xlsx</x:v>
      </x:c>
      <x:c r="T968" s="292" t="str">
        <x:v>玄渊20套全装备视觉候选；Items/StateItem/DnItems三库同码；属性待策划填写；OverLap=4; Expand1=9</x:v>
      </x:c>
      <x:c r="U968" t="str">
        <x:f>IF(COUNTIF($B$2:$B$1076,B968)&gt;1,"重复","")</x:f>
      </x:c>
      <x:c r="V968" t="str">
        <x:f>IF(AND(OR(M968="",M968=B968),OR(N968="",N968=B968),OR(O968="",O968=B968)),"通过","不一致")</x:f>
        <x:v>通过</x:v>
      </x:c>
    </x:row>
    <x:row r="969" ht="22" customHeight="1">
      <x:c r="A969" s="289" t="n">
        <x:v>968</x:v>
      </x:c>
      <x:c r="B969" s="289" t="n">
        <x:v>6988</x:v>
      </x:c>
      <x:c r="C969" s="290" t="str">
        <x:v>翠焰冥契·腐痕</x:v>
      </x:c>
      <x:c r="D969" s="290" t="str">
        <x:v>翠焰冥契</x:v>
      </x:c>
      <x:c r="E969" s="290" t="n">
        <x:v>2</x:v>
      </x:c>
      <x:c r="F969" s="290" t="str">
        <x:v>生肖10</x:v>
      </x:c>
      <x:c r="G969" s="289" t="n">
        <x:v>22</x:v>
      </x:c>
      <x:c r="H969" s="289" t="n">
        <x:v>49</x:v>
      </x:c>
      <x:c r="I969" s="289" t="n">
        <x:v>6988</x:v>
      </x:c>
      <x:c r="J969" s="289" t="n">
        <x:v>0</x:v>
      </x:c>
      <x:c r="K969" s="289" t="n">
        <x:v>4</x:v>
      </x:c>
      <x:c r="L969" s="289" t="n">
        <x:v>10</x:v>
      </x:c>
      <x:c r="M969" s="289" t="n">
        <x:v>6988</x:v>
      </x:c>
      <x:c r="N969" s="289" t="n">
        <x:v>6988</x:v>
      </x:c>
      <x:c r="O969" s="289" t="n">
        <x:v>6988</x:v>
      </x:c>
      <x:c r="P969" s="292"/>
      <x:c r="Q969" s="292" t="str">
        <x:v>candidate-preflight-passed</x:v>
      </x:c>
      <x:c r="R969" s="292" t="str"/>
      <x:c r="S969" s="292" t="str">
        <x:v>玄渊二十套全装备代码总表.xlsx</x:v>
      </x:c>
      <x:c r="T969" s="292" t="str">
        <x:v>玄渊20套全装备视觉候选；Items/StateItem/DnItems三库同码；属性待策划填写；OverLap=4; Expand1=10</x:v>
      </x:c>
      <x:c r="U969" t="str">
        <x:f>IF(COUNTIF($B$2:$B$1076,B969)&gt;1,"重复","")</x:f>
      </x:c>
      <x:c r="V969" t="str">
        <x:f>IF(AND(OR(M969="",M969=B969),OR(N969="",N969=B969),OR(O969="",O969=B969)),"通过","不一致")</x:f>
        <x:v>通过</x:v>
      </x:c>
    </x:row>
    <x:row r="970" ht="22" customHeight="1">
      <x:c r="A970" s="289" t="n">
        <x:v>969</x:v>
      </x:c>
      <x:c r="B970" s="289" t="n">
        <x:v>6989</x:v>
      </x:c>
      <x:c r="C970" s="290" t="str">
        <x:v>翠焰冥契·腐痕</x:v>
      </x:c>
      <x:c r="D970" s="290" t="str">
        <x:v>翠焰冥契</x:v>
      </x:c>
      <x:c r="E970" s="290" t="n">
        <x:v>2</x:v>
      </x:c>
      <x:c r="F970" s="290" t="str">
        <x:v>生肖11</x:v>
      </x:c>
      <x:c r="G970" s="289" t="n">
        <x:v>22</x:v>
      </x:c>
      <x:c r="H970" s="289" t="n">
        <x:v>50</x:v>
      </x:c>
      <x:c r="I970" s="289" t="n">
        <x:v>6989</x:v>
      </x:c>
      <x:c r="J970" s="289" t="n">
        <x:v>0</x:v>
      </x:c>
      <x:c r="K970" s="289" t="n">
        <x:v>4</x:v>
      </x:c>
      <x:c r="L970" s="289" t="n">
        <x:v>11</x:v>
      </x:c>
      <x:c r="M970" s="289" t="n">
        <x:v>6989</x:v>
      </x:c>
      <x:c r="N970" s="289" t="n">
        <x:v>6989</x:v>
      </x:c>
      <x:c r="O970" s="289" t="n">
        <x:v>6989</x:v>
      </x:c>
      <x:c r="P970" s="292"/>
      <x:c r="Q970" s="292" t="str">
        <x:v>candidate-preflight-passed</x:v>
      </x:c>
      <x:c r="R970" s="292" t="str"/>
      <x:c r="S970" s="292" t="str">
        <x:v>玄渊二十套全装备代码总表.xlsx</x:v>
      </x:c>
      <x:c r="T970" s="292" t="str">
        <x:v>玄渊20套全装备视觉候选；Items/StateItem/DnItems三库同码；属性待策划填写；OverLap=4; Expand1=11</x:v>
      </x:c>
      <x:c r="U970" t="str">
        <x:f>IF(COUNTIF($B$2:$B$1076,B970)&gt;1,"重复","")</x:f>
      </x:c>
      <x:c r="V970" t="str">
        <x:f>IF(AND(OR(M970="",M970=B970),OR(N970="",N970=B970),OR(O970="",O970=B970)),"通过","不一致")</x:f>
        <x:v>通过</x:v>
      </x:c>
    </x:row>
    <x:row r="971" ht="22" customHeight="1">
      <x:c r="A971" s="289" t="n">
        <x:v>970</x:v>
      </x:c>
      <x:c r="B971" s="289" t="n">
        <x:v>6990</x:v>
      </x:c>
      <x:c r="C971" s="290" t="str">
        <x:v>翠焰冥契·腐痕</x:v>
      </x:c>
      <x:c r="D971" s="290" t="str">
        <x:v>翠焰冥契</x:v>
      </x:c>
      <x:c r="E971" s="290" t="n">
        <x:v>2</x:v>
      </x:c>
      <x:c r="F971" s="290" t="str">
        <x:v>生肖12</x:v>
      </x:c>
      <x:c r="G971" s="289" t="n">
        <x:v>22</x:v>
      </x:c>
      <x:c r="H971" s="289" t="n">
        <x:v>51</x:v>
      </x:c>
      <x:c r="I971" s="289" t="n">
        <x:v>6990</x:v>
      </x:c>
      <x:c r="J971" s="289" t="n">
        <x:v>0</x:v>
      </x:c>
      <x:c r="K971" s="289" t="n">
        <x:v>4</x:v>
      </x:c>
      <x:c r="L971" s="289" t="n">
        <x:v>12</x:v>
      </x:c>
      <x:c r="M971" s="289" t="n">
        <x:v>6990</x:v>
      </x:c>
      <x:c r="N971" s="289" t="n">
        <x:v>6990</x:v>
      </x:c>
      <x:c r="O971" s="289" t="n">
        <x:v>6990</x:v>
      </x:c>
      <x:c r="P971" s="292"/>
      <x:c r="Q971" s="292" t="str">
        <x:v>candidate-preflight-passed</x:v>
      </x:c>
      <x:c r="R971" s="292" t="str"/>
      <x:c r="S971" s="292" t="str">
        <x:v>玄渊二十套全装备代码总表.xlsx</x:v>
      </x:c>
      <x:c r="T971" s="292" t="str">
        <x:v>玄渊20套全装备视觉候选；Items/StateItem/DnItems三库同码；属性待策划填写；OverLap=4; Expand1=12</x:v>
      </x:c>
      <x:c r="U971" t="str">
        <x:f>IF(COUNTIF($B$2:$B$1076,B971)&gt;1,"重复","")</x:f>
      </x:c>
      <x:c r="V971" t="str">
        <x:f>IF(AND(OR(M971="",M971=B971),OR(N971="",N971=B971),OR(O971="",O971=B971)),"通过","不一致")</x:f>
        <x:v>通过</x:v>
      </x:c>
    </x:row>
    <x:row r="972" ht="22" customHeight="1">
      <x:c r="A972" s="289" t="n">
        <x:v>971</x:v>
      </x:c>
      <x:c r="B972" s="289" t="n">
        <x:v>6991</x:v>
      </x:c>
      <x:c r="C972" s="290" t="str">
        <x:v>翠焰冥契·冥契</x:v>
      </x:c>
      <x:c r="D972" s="290" t="str">
        <x:v>翠焰冥契</x:v>
      </x:c>
      <x:c r="E972" s="290" t="n">
        <x:v>3</x:v>
      </x:c>
      <x:c r="F972" s="290" t="str">
        <x:v>武器</x:v>
      </x:c>
      <x:c r="G972" s="289" t="n">
        <x:v>5</x:v>
      </x:c>
      <x:c r="H972" s="289" t="n">
        <x:v>1</x:v>
      </x:c>
      <x:c r="I972" s="289" t="n">
        <x:v>6991</x:v>
      </x:c>
      <x:c r="J972" s="289" t="n">
        <x:v>33</x:v>
      </x:c>
      <x:c r="K972" s="289" t="n">
        <x:v>0</x:v>
      </x:c>
      <x:c r="L972" s="289" t="n">
        <x:v>0</x:v>
      </x:c>
      <x:c r="M972" s="289" t="n">
        <x:v>6991</x:v>
      </x:c>
      <x:c r="N972" s="289" t="n">
        <x:v>6991</x:v>
      </x:c>
      <x:c r="O972" s="289" t="n">
        <x:v>6991</x:v>
      </x:c>
      <x:c r="P972" s="292" t="str">
        <x:v>Weapon.wzl/wzx（复用现有真实动作）</x:v>
      </x:c>
      <x:c r="Q972" s="292" t="str">
        <x:v>candidate-preflight-passed</x:v>
      </x:c>
      <x:c r="R972" s="324" t="str">
        <x:v>C3-C10规划锁定：乌尔迈吞日巨剑</x:v>
      </x:c>
      <x:c r="S972" s="292" t="str">
        <x:v>玄渊二十套全装备代码总表.xlsx</x:v>
      </x:c>
      <x:c r="T972" s="292" t="str">
        <x:v>玄渊20套全装备视觉候选；Items/StateItem/DnItems三库同码；属性待策划填写；Weapon Shape=33</x:v>
      </x:c>
      <x:c r="U972" t="str">
        <x:f>IF(COUNTIF($B$2:$B$1076,B972)&gt;1,"重复","")</x:f>
      </x:c>
      <x:c r="V972" t="str">
        <x:f>IF(AND(OR(M972="",M972=B972),OR(N972="",N972=B972),OR(O972="",O972=B972)),"通过","不一致")</x:f>
        <x:v>通过</x:v>
      </x:c>
    </x:row>
    <x:row r="973" ht="22" customHeight="1">
      <x:c r="A973" s="289" t="n">
        <x:v>972</x:v>
      </x:c>
      <x:c r="B973" s="289" t="n">
        <x:v>6992</x:v>
      </x:c>
      <x:c r="C973" s="290" t="str">
        <x:v>翠焰冥契·冥契</x:v>
      </x:c>
      <x:c r="D973" s="290" t="str">
        <x:v>翠焰冥契</x:v>
      </x:c>
      <x:c r="E973" s="290" t="n">
        <x:v>3</x:v>
      </x:c>
      <x:c r="F973" s="290" t="str">
        <x:v>男衣服</x:v>
      </x:c>
      <x:c r="G973" s="289" t="n">
        <x:v>10</x:v>
      </x:c>
      <x:c r="H973" s="289" t="n">
        <x:v>0</x:v>
      </x:c>
      <x:c r="I973" s="289" t="n">
        <x:v>6992</x:v>
      </x:c>
      <x:c r="J973" s="289" t="n">
        <x:v>2</x:v>
      </x:c>
      <x:c r="K973" s="289" t="n">
        <x:v>0</x:v>
      </x:c>
      <x:c r="L973" s="289" t="n">
        <x:v>0</x:v>
      </x:c>
      <x:c r="M973" s="289" t="n">
        <x:v>6992</x:v>
      </x:c>
      <x:c r="N973" s="289" t="n">
        <x:v>6992</x:v>
      </x:c>
      <x:c r="O973" s="289" t="n">
        <x:v>6992</x:v>
      </x:c>
      <x:c r="P973" s="292" t="str">
        <x:v>Hum.wzl/wzx（复用现有真实动作）</x:v>
      </x:c>
      <x:c r="Q973" s="292" t="str">
        <x:v>candidate-preflight-passed</x:v>
      </x:c>
      <x:c r="R973" s="324" t="str">
        <x:v>C3-C10规划锁定：掌灯君月华衣</x:v>
      </x:c>
      <x:c r="S973" s="292" t="str">
        <x:v>玄渊二十套全装备代码总表.xlsx</x:v>
      </x:c>
      <x:c r="T973" s="292" t="str">
        <x:v>玄渊20套全装备视觉候选；Items/StateItem/DnItems三库同码；属性待策划填写；Hum Shape=2</x:v>
      </x:c>
      <x:c r="U973" t="str">
        <x:f>IF(COUNTIF($B$2:$B$1076,B973)&gt;1,"重复","")</x:f>
      </x:c>
      <x:c r="V973" t="str">
        <x:f>IF(AND(OR(M973="",M973=B973),OR(N973="",N973=B973),OR(O973="",O973=B973)),"通过","不一致")</x:f>
        <x:v>通过</x:v>
      </x:c>
    </x:row>
    <x:row r="974" ht="22" customHeight="1">
      <x:c r="A974" s="289" t="n">
        <x:v>973</x:v>
      </x:c>
      <x:c r="B974" s="289" t="n">
        <x:v>6993</x:v>
      </x:c>
      <x:c r="C974" s="290" t="str">
        <x:v>翠焰冥契·冥契</x:v>
      </x:c>
      <x:c r="D974" s="290" t="str">
        <x:v>翠焰冥契</x:v>
      </x:c>
      <x:c r="E974" s="290" t="n">
        <x:v>3</x:v>
      </x:c>
      <x:c r="F974" s="290" t="str">
        <x:v>女衣服</x:v>
      </x:c>
      <x:c r="G974" s="289" t="n">
        <x:v>11</x:v>
      </x:c>
      <x:c r="H974" s="289" t="n">
        <x:v>0</x:v>
      </x:c>
      <x:c r="I974" s="289" t="n">
        <x:v>6993</x:v>
      </x:c>
      <x:c r="J974" s="289" t="n">
        <x:v>2</x:v>
      </x:c>
      <x:c r="K974" s="289" t="n">
        <x:v>0</x:v>
      </x:c>
      <x:c r="L974" s="289" t="n">
        <x:v>0</x:v>
      </x:c>
      <x:c r="M974" s="289" t="n">
        <x:v>6993</x:v>
      </x:c>
      <x:c r="N974" s="289" t="n">
        <x:v>6993</x:v>
      </x:c>
      <x:c r="O974" s="289" t="n">
        <x:v>6993</x:v>
      </x:c>
      <x:c r="P974" s="292" t="str">
        <x:v>Hum.wzl/wzx（复用现有真实动作）</x:v>
      </x:c>
      <x:c r="Q974" s="292" t="str">
        <x:v>candidate-preflight-passed</x:v>
      </x:c>
      <x:c r="R974" s="292" t="str"/>
      <x:c r="S974" s="292" t="str">
        <x:v>玄渊二十套全装备代码总表.xlsx</x:v>
      </x:c>
      <x:c r="T974" s="292" t="str">
        <x:v>玄渊20套全装备视觉候选；Items/StateItem/DnItems三库同码；属性待策划填写；Hum Shape=2</x:v>
      </x:c>
      <x:c r="U974" t="str">
        <x:f>IF(COUNTIF($B$2:$B$1076,B974)&gt;1,"重复","")</x:f>
      </x:c>
      <x:c r="V974" t="str">
        <x:f>IF(AND(OR(M974="",M974=B974),OR(N974="",N974=B974),OR(O974="",O974=B974)),"通过","不一致")</x:f>
        <x:v>通过</x:v>
      </x:c>
    </x:row>
    <x:row r="975" ht="22" customHeight="1">
      <x:c r="A975" s="289" t="n">
        <x:v>974</x:v>
      </x:c>
      <x:c r="B975" s="289" t="n">
        <x:v>6994</x:v>
      </x:c>
      <x:c r="C975" s="290" t="str">
        <x:v>翠焰冥契·冥契</x:v>
      </x:c>
      <x:c r="D975" s="290" t="str">
        <x:v>翠焰冥契</x:v>
      </x:c>
      <x:c r="E975" s="290" t="n">
        <x:v>3</x:v>
      </x:c>
      <x:c r="F975" s="290" t="str">
        <x:v>头盔</x:v>
      </x:c>
      <x:c r="G975" s="289" t="n">
        <x:v>15</x:v>
      </x:c>
      <x:c r="H975" s="289" t="n">
        <x:v>4</x:v>
      </x:c>
      <x:c r="I975" s="289" t="n">
        <x:v>6994</x:v>
      </x:c>
      <x:c r="J975" s="289" t="n">
        <x:v>0</x:v>
      </x:c>
      <x:c r="K975" s="289" t="n">
        <x:v>0</x:v>
      </x:c>
      <x:c r="L975" s="289" t="n">
        <x:v>0</x:v>
      </x:c>
      <x:c r="M975" s="289" t="n">
        <x:v>6994</x:v>
      </x:c>
      <x:c r="N975" s="289" t="n">
        <x:v>6994</x:v>
      </x:c>
      <x:c r="O975" s="289" t="n">
        <x:v>6994</x:v>
      </x:c>
      <x:c r="P975" s="292"/>
      <x:c r="Q975" s="292" t="str">
        <x:v>candidate-preflight-passed</x:v>
      </x:c>
      <x:c r="R975" s="324" t="str">
        <x:v>C3-C10规划锁定：禁声讲师冠</x:v>
      </x:c>
      <x:c r="S975" s="292" t="str">
        <x:v>玄渊二十套全装备代码总表.xlsx</x:v>
      </x:c>
      <x:c r="T975" s="292" t="str">
        <x:v>玄渊20套全装备视觉候选；Items/StateItem/DnItems三库同码；属性待策划填写</x:v>
      </x:c>
      <x:c r="U975" t="str">
        <x:f>IF(COUNTIF($B$2:$B$1076,B975)&gt;1,"重复","")</x:f>
      </x:c>
      <x:c r="V975" t="str">
        <x:f>IF(AND(OR(M975="",M975=B975),OR(N975="",N975=B975),OR(O975="",O975=B975)),"通过","不一致")</x:f>
        <x:v>通过</x:v>
      </x:c>
    </x:row>
    <x:row r="976" ht="22" customHeight="1">
      <x:c r="A976" s="289" t="n">
        <x:v>975</x:v>
      </x:c>
      <x:c r="B976" s="289" t="n">
        <x:v>6995</x:v>
      </x:c>
      <x:c r="C976" s="290" t="str">
        <x:v>翠焰冥契·冥契</x:v>
      </x:c>
      <x:c r="D976" s="290" t="str">
        <x:v>翠焰冥契</x:v>
      </x:c>
      <x:c r="E976" s="290" t="n">
        <x:v>3</x:v>
      </x:c>
      <x:c r="F976" s="290" t="str">
        <x:v>面巾</x:v>
      </x:c>
      <x:c r="G976" s="289" t="n">
        <x:v>16</x:v>
      </x:c>
      <x:c r="H976" s="289" t="n">
        <x:v>13</x:v>
      </x:c>
      <x:c r="I976" s="289" t="n">
        <x:v>6995</x:v>
      </x:c>
      <x:c r="J976" s="289" t="n">
        <x:v>0</x:v>
      </x:c>
      <x:c r="K976" s="289" t="n">
        <x:v>0</x:v>
      </x:c>
      <x:c r="L976" s="289" t="n">
        <x:v>0</x:v>
      </x:c>
      <x:c r="M976" s="289" t="n">
        <x:v>6995</x:v>
      </x:c>
      <x:c r="N976" s="289" t="n">
        <x:v>6995</x:v>
      </x:c>
      <x:c r="O976" s="289" t="n">
        <x:v>6995</x:v>
      </x:c>
      <x:c r="P976" s="292"/>
      <x:c r="Q976" s="292" t="str">
        <x:v>candidate-preflight-passed</x:v>
      </x:c>
      <x:c r="R976" s="324" t="str">
        <x:v>C3-C10规划锁定：深井百臂灯笠</x:v>
      </x:c>
      <x:c r="S976" s="292" t="str">
        <x:v>玄渊二十套全装备代码总表.xlsx</x:v>
      </x:c>
      <x:c r="T976" s="292" t="str">
        <x:v>玄渊20套全装备视觉候选；Items/StateItem/DnItems三库同码；属性待策划填写</x:v>
      </x:c>
      <x:c r="U976" t="str">
        <x:f>IF(COUNTIF($B$2:$B$1076,B976)&gt;1,"重复","")</x:f>
      </x:c>
      <x:c r="V976" t="str">
        <x:f>IF(AND(OR(M976="",M976=B976),OR(N976="",N976=B976),OR(O976="",O976=B976)),"通过","不一致")</x:f>
        <x:v>通过</x:v>
      </x:c>
    </x:row>
    <x:row r="977" ht="22" customHeight="1">
      <x:c r="A977" s="289" t="n">
        <x:v>976</x:v>
      </x:c>
      <x:c r="B977" s="289" t="n">
        <x:v>6996</x:v>
      </x:c>
      <x:c r="C977" s="290" t="str">
        <x:v>翠焰冥契·冥契</x:v>
      </x:c>
      <x:c r="D977" s="290" t="str">
        <x:v>翠焰冥契</x:v>
      </x:c>
      <x:c r="E977" s="290" t="n">
        <x:v>3</x:v>
      </x:c>
      <x:c r="F977" s="290" t="str">
        <x:v>项链</x:v>
      </x:c>
      <x:c r="G977" s="289" t="n">
        <x:v>19</x:v>
      </x:c>
      <x:c r="H977" s="289" t="n">
        <x:v>3</x:v>
      </x:c>
      <x:c r="I977" s="289" t="n">
        <x:v>6996</x:v>
      </x:c>
      <x:c r="J977" s="289" t="n">
        <x:v>0</x:v>
      </x:c>
      <x:c r="K977" s="289" t="n">
        <x:v>0</x:v>
      </x:c>
      <x:c r="L977" s="289" t="n">
        <x:v>0</x:v>
      </x:c>
      <x:c r="M977" s="289" t="n">
        <x:v>6996</x:v>
      </x:c>
      <x:c r="N977" s="289" t="n">
        <x:v>6996</x:v>
      </x:c>
      <x:c r="O977" s="289" t="n">
        <x:v>6996</x:v>
      </x:c>
      <x:c r="P977" s="292"/>
      <x:c r="Q977" s="292" t="str">
        <x:v>candidate-preflight-passed</x:v>
      </x:c>
      <x:c r="R977" s="324" t="str">
        <x:v>C3-C10规划锁定：锁页秘文链</x:v>
      </x:c>
      <x:c r="S977" s="292" t="str">
        <x:v>玄渊二十套全装备代码总表.xlsx</x:v>
      </x:c>
      <x:c r="T977" s="292" t="str">
        <x:v>玄渊20套全装备视觉候选；Items/StateItem/DnItems三库同码；属性待策划填写</x:v>
      </x:c>
      <x:c r="U977" t="str">
        <x:f>IF(COUNTIF($B$2:$B$1076,B977)&gt;1,"重复","")</x:f>
      </x:c>
      <x:c r="V977" t="str">
        <x:f>IF(AND(OR(M977="",M977=B977),OR(N977="",N977=B977),OR(O977="",O977=B977)),"通过","不一致")</x:f>
        <x:v>通过</x:v>
      </x:c>
    </x:row>
    <x:row r="978" ht="22" customHeight="1">
      <x:c r="A978" s="289" t="n">
        <x:v>977</x:v>
      </x:c>
      <x:c r="B978" s="289" t="n">
        <x:v>6997</x:v>
      </x:c>
      <x:c r="C978" s="290" t="str">
        <x:v>翠焰冥契·冥契</x:v>
      </x:c>
      <x:c r="D978" s="290" t="str">
        <x:v>翠焰冥契</x:v>
      </x:c>
      <x:c r="E978" s="290" t="n">
        <x:v>3</x:v>
      </x:c>
      <x:c r="F978" s="290" t="str">
        <x:v>手镯</x:v>
      </x:c>
      <x:c r="G978" s="289" t="n">
        <x:v>26</x:v>
      </x:c>
      <x:c r="H978" s="289" t="n">
        <x:v>5</x:v>
      </x:c>
      <x:c r="I978" s="289" t="n">
        <x:v>6997</x:v>
      </x:c>
      <x:c r="J978" s="289" t="n">
        <x:v>0</x:v>
      </x:c>
      <x:c r="K978" s="289" t="n">
        <x:v>0</x:v>
      </x:c>
      <x:c r="L978" s="289" t="n">
        <x:v>0</x:v>
      </x:c>
      <x:c r="M978" s="289" t="n">
        <x:v>6997</x:v>
      </x:c>
      <x:c r="N978" s="289" t="n">
        <x:v>6997</x:v>
      </x:c>
      <x:c r="O978" s="289" t="n">
        <x:v>6997</x:v>
      </x:c>
      <x:c r="P978" s="292"/>
      <x:c r="Q978" s="292" t="str">
        <x:v>candidate-preflight-passed</x:v>
      </x:c>
      <x:c r="R978" s="324" t="str">
        <x:v>C3-C10规划锁定：墨潮藏页镯</x:v>
      </x:c>
      <x:c r="S978" s="292" t="str">
        <x:v>玄渊二十套全装备代码总表.xlsx</x:v>
      </x:c>
      <x:c r="T978" s="292" t="str">
        <x:v>玄渊20套全装备视觉候选；Items/StateItem/DnItems三库同码；属性待策划填写</x:v>
      </x:c>
      <x:c r="U978" t="str">
        <x:f>IF(COUNTIF($B$2:$B$1076,B978)&gt;1,"重复","")</x:f>
      </x:c>
      <x:c r="V978" t="str">
        <x:f>IF(AND(OR(M978="",M978=B978),OR(N978="",N978=B978),OR(O978="",O978=B978)),"通过","不一致")</x:f>
        <x:v>通过</x:v>
      </x:c>
    </x:row>
    <x:row r="979" ht="22" customHeight="1">
      <x:c r="A979" s="289" t="n">
        <x:v>978</x:v>
      </x:c>
      <x:c r="B979" s="289" t="n">
        <x:v>6998</x:v>
      </x:c>
      <x:c r="C979" s="290" t="str">
        <x:v>翠焰冥契·冥契</x:v>
      </x:c>
      <x:c r="D979" s="290" t="str">
        <x:v>翠焰冥契</x:v>
      </x:c>
      <x:c r="E979" s="290" t="n">
        <x:v>3</x:v>
      </x:c>
      <x:c r="F979" s="290" t="str">
        <x:v>戒指</x:v>
      </x:c>
      <x:c r="G979" s="289" t="n">
        <x:v>22</x:v>
      </x:c>
      <x:c r="H979" s="289" t="n">
        <x:v>7</x:v>
      </x:c>
      <x:c r="I979" s="289" t="n">
        <x:v>6998</x:v>
      </x:c>
      <x:c r="J979" s="289" t="n">
        <x:v>0</x:v>
      </x:c>
      <x:c r="K979" s="289" t="n">
        <x:v>0</x:v>
      </x:c>
      <x:c r="L979" s="289" t="n">
        <x:v>0</x:v>
      </x:c>
      <x:c r="M979" s="289" t="n">
        <x:v>6998</x:v>
      </x:c>
      <x:c r="N979" s="289" t="n">
        <x:v>6998</x:v>
      </x:c>
      <x:c r="O979" s="289" t="n">
        <x:v>6998</x:v>
      </x:c>
      <x:c r="P979" s="292"/>
      <x:c r="Q979" s="292" t="str">
        <x:v>candidate-preflight-passed</x:v>
      </x:c>
      <x:c r="R979" s="324" t="str">
        <x:v>C3-C10规划锁定：缄印粉屑戒</x:v>
      </x:c>
      <x:c r="S979" s="292" t="str">
        <x:v>玄渊二十套全装备代码总表.xlsx</x:v>
      </x:c>
      <x:c r="T979" s="292" t="str">
        <x:v>玄渊20套全装备视觉候选；Items/StateItem/DnItems三库同码；属性待策划填写</x:v>
      </x:c>
      <x:c r="U979" t="str">
        <x:f>IF(COUNTIF($B$2:$B$1076,B979)&gt;1,"重复","")</x:f>
      </x:c>
      <x:c r="V979" t="str">
        <x:f>IF(AND(OR(M979="",M979=B979),OR(N979="",N979=B979),OR(O979="",O979=B979)),"通过","不一致")</x:f>
        <x:v>通过</x:v>
      </x:c>
    </x:row>
    <x:row r="980" ht="22" customHeight="1">
      <x:c r="A980" s="289" t="n">
        <x:v>979</x:v>
      </x:c>
      <x:c r="B980" s="289" t="n">
        <x:v>6999</x:v>
      </x:c>
      <x:c r="C980" s="290" t="str">
        <x:v>翠焰冥契·冥契</x:v>
      </x:c>
      <x:c r="D980" s="290" t="str">
        <x:v>翠焰冥契</x:v>
      </x:c>
      <x:c r="E980" s="290" t="n">
        <x:v>3</x:v>
      </x:c>
      <x:c r="F980" s="290" t="str">
        <x:v>勋章</x:v>
      </x:c>
      <x:c r="G980" s="289" t="n">
        <x:v>30</x:v>
      </x:c>
      <x:c r="H980" s="289" t="n">
        <x:v>2</x:v>
      </x:c>
      <x:c r="I980" s="289" t="n">
        <x:v>6999</x:v>
      </x:c>
      <x:c r="J980" s="289" t="n">
        <x:v>0</x:v>
      </x:c>
      <x:c r="K980" s="289" t="n">
        <x:v>0</x:v>
      </x:c>
      <x:c r="L980" s="289" t="n">
        <x:v>0</x:v>
      </x:c>
      <x:c r="M980" s="289" t="n">
        <x:v>6999</x:v>
      </x:c>
      <x:c r="N980" s="289" t="n">
        <x:v>6999</x:v>
      </x:c>
      <x:c r="O980" s="289" t="n">
        <x:v>6999</x:v>
      </x:c>
      <x:c r="P980" s="292"/>
      <x:c r="Q980" s="292" t="str">
        <x:v>candidate-preflight-passed</x:v>
      </x:c>
      <x:c r="R980" s="324" t="str">
        <x:v>C3-C10规划锁定：苍白圣徽</x:v>
      </x:c>
      <x:c r="S980" s="292" t="str">
        <x:v>玄渊二十套全装备代码总表.xlsx</x:v>
      </x:c>
      <x:c r="T980" s="292" t="str">
        <x:v>玄渊20套全装备视觉候选；Items/StateItem/DnItems三库同码；属性待策划填写</x:v>
      </x:c>
      <x:c r="U980" t="str">
        <x:f>IF(COUNTIF($B$2:$B$1076,B980)&gt;1,"重复","")</x:f>
      </x:c>
      <x:c r="V980" t="str">
        <x:f>IF(AND(OR(M980="",M980=B980),OR(N980="",N980=B980),OR(O980="",O980=B980)),"通过","不一致")</x:f>
        <x:v>通过</x:v>
      </x:c>
    </x:row>
    <x:row r="981" ht="22" customHeight="1">
      <x:c r="A981" s="289" t="n">
        <x:v>980</x:v>
      </x:c>
      <x:c r="B981" s="289" t="n">
        <x:v>7000</x:v>
      </x:c>
      <x:c r="C981" s="290" t="str">
        <x:v>翠焰冥契·冥契</x:v>
      </x:c>
      <x:c r="D981" s="290" t="str">
        <x:v>翠焰冥契</x:v>
      </x:c>
      <x:c r="E981" s="290" t="n">
        <x:v>3</x:v>
      </x:c>
      <x:c r="F981" s="290" t="str">
        <x:v>盾牌</x:v>
      </x:c>
      <x:c r="G981" s="289" t="n">
        <x:v>12</x:v>
      </x:c>
      <x:c r="H981" s="289" t="n">
        <x:v>16</x:v>
      </x:c>
      <x:c r="I981" s="289" t="n">
        <x:v>7000</x:v>
      </x:c>
      <x:c r="J981" s="289" t="n">
        <x:v>0</x:v>
      </x:c>
      <x:c r="K981" s="289" t="n">
        <x:v>0</x:v>
      </x:c>
      <x:c r="L981" s="289" t="n">
        <x:v>0</x:v>
      </x:c>
      <x:c r="M981" s="289" t="n">
        <x:v>7000</x:v>
      </x:c>
      <x:c r="N981" s="289" t="n">
        <x:v>7000</x:v>
      </x:c>
      <x:c r="O981" s="289" t="n">
        <x:v>7000</x:v>
      </x:c>
      <x:c r="P981" s="292"/>
      <x:c r="Q981" s="292" t="str">
        <x:v>candidate-preflight-passed</x:v>
      </x:c>
      <x:c r="R981" s="324" t="str">
        <x:v>C3-C10规划锁定：折月傀镜盾</x:v>
      </x:c>
      <x:c r="S981" s="292" t="str">
        <x:v>玄渊二十套全装备代码总表.xlsx</x:v>
      </x:c>
      <x:c r="T981" s="292" t="str">
        <x:v>玄渊20套全装备视觉候选；Items/StateItem/DnItems三库同码；属性待策划填写</x:v>
      </x:c>
      <x:c r="U981" t="str">
        <x:f>IF(COUNTIF($B$2:$B$1076,B981)&gt;1,"重复","")</x:f>
      </x:c>
      <x:c r="V981" t="str">
        <x:f>IF(AND(OR(M981="",M981=B981),OR(N981="",N981=B981),OR(O981="",O981=B981)),"通过","不一致")</x:f>
        <x:v>通过</x:v>
      </x:c>
    </x:row>
    <x:row r="982" ht="22" customHeight="1">
      <x:c r="A982" s="289" t="n">
        <x:v>981</x:v>
      </x:c>
      <x:c r="B982" s="289" t="n">
        <x:v>7001</x:v>
      </x:c>
      <x:c r="C982" s="290" t="str">
        <x:v>翠焰冥契·冥契</x:v>
      </x:c>
      <x:c r="D982" s="290" t="str">
        <x:v>翠焰冥契</x:v>
      </x:c>
      <x:c r="E982" s="290" t="n">
        <x:v>3</x:v>
      </x:c>
      <x:c r="F982" s="290" t="str">
        <x:v>灵玉</x:v>
      </x:c>
      <x:c r="G982" s="289" t="n">
        <x:v>90</x:v>
      </x:c>
      <x:c r="H982" s="289" t="n">
        <x:v>17</x:v>
      </x:c>
      <x:c r="I982" s="289" t="n">
        <x:v>7001</x:v>
      </x:c>
      <x:c r="J982" s="289" t="n">
        <x:v>0</x:v>
      </x:c>
      <x:c r="K982" s="289" t="n">
        <x:v>0</x:v>
      </x:c>
      <x:c r="L982" s="289" t="n">
        <x:v>0</x:v>
      </x:c>
      <x:c r="M982" s="289" t="n">
        <x:v>7001</x:v>
      </x:c>
      <x:c r="N982" s="289" t="n">
        <x:v>7001</x:v>
      </x:c>
      <x:c r="O982" s="289" t="n">
        <x:v>7001</x:v>
      </x:c>
      <x:c r="P982" s="292"/>
      <x:c r="Q982" s="292" t="str">
        <x:v>candidate-preflight-passed</x:v>
      </x:c>
      <x:c r="R982" s="292" t="str"/>
      <x:c r="S982" s="292" t="str">
        <x:v>玄渊二十套全装备代码总表.xlsx</x:v>
      </x:c>
      <x:c r="T982" s="292" t="str">
        <x:v>玄渊20套全装备视觉候选；Items/StateItem/DnItems三库同码；属性待策划填写</x:v>
      </x:c>
      <x:c r="U982" t="str">
        <x:f>IF(COUNTIF($B$2:$B$1076,B982)&gt;1,"重复","")</x:f>
      </x:c>
      <x:c r="V982" t="str">
        <x:f>IF(AND(OR(M982="",M982=B982),OR(N982="",N982=B982),OR(O982="",O982=B982)),"通过","不一致")</x:f>
        <x:v>通过</x:v>
      </x:c>
    </x:row>
    <x:row r="983" ht="22" customHeight="1">
      <x:c r="A983" s="289" t="n">
        <x:v>982</x:v>
      </x:c>
      <x:c r="B983" s="289" t="n">
        <x:v>7002</x:v>
      </x:c>
      <x:c r="C983" s="290" t="str">
        <x:v>翠焰冥契·冥契</x:v>
      </x:c>
      <x:c r="D983" s="290" t="str">
        <x:v>翠焰冥契</x:v>
      </x:c>
      <x:c r="E983" s="290" t="n">
        <x:v>3</x:v>
      </x:c>
      <x:c r="F983" s="290" t="str">
        <x:v>鞋子</x:v>
      </x:c>
      <x:c r="G983" s="289" t="n">
        <x:v>62</x:v>
      </x:c>
      <x:c r="H983" s="289" t="n">
        <x:v>11</x:v>
      </x:c>
      <x:c r="I983" s="289" t="n">
        <x:v>7002</x:v>
      </x:c>
      <x:c r="J983" s="289" t="n">
        <x:v>0</x:v>
      </x:c>
      <x:c r="K983" s="289" t="n">
        <x:v>0</x:v>
      </x:c>
      <x:c r="L983" s="289" t="n">
        <x:v>0</x:v>
      </x:c>
      <x:c r="M983" s="289" t="n">
        <x:v>7002</x:v>
      </x:c>
      <x:c r="N983" s="289" t="n">
        <x:v>7002</x:v>
      </x:c>
      <x:c r="O983" s="289" t="n">
        <x:v>7002</x:v>
      </x:c>
      <x:c r="P983" s="292"/>
      <x:c r="Q983" s="292" t="str">
        <x:v>candidate-preflight-passed</x:v>
      </x:c>
      <x:c r="R983" s="324" t="str">
        <x:v>C3-C10规划锁定：澄潮祭步履</x:v>
      </x:c>
      <x:c r="S983" s="292" t="str">
        <x:v>玄渊二十套全装备代码总表.xlsx</x:v>
      </x:c>
      <x:c r="T983" s="292" t="str">
        <x:v>玄渊20套全装备视觉候选；Items/StateItem/DnItems三库同码；属性待策划填写</x:v>
      </x:c>
      <x:c r="U983" t="str">
        <x:f>IF(COUNTIF($B$2:$B$1076,B983)&gt;1,"重复","")</x:f>
      </x:c>
      <x:c r="V983" t="str">
        <x:f>IF(AND(OR(M983="",M983=B983),OR(N983="",N983=B983),OR(O983="",O983=B983)),"通过","不一致")</x:f>
        <x:v>通过</x:v>
      </x:c>
    </x:row>
    <x:row r="984" ht="22" customHeight="1">
      <x:c r="A984" s="289" t="n">
        <x:v>983</x:v>
      </x:c>
      <x:c r="B984" s="289" t="n">
        <x:v>7003</x:v>
      </x:c>
      <x:c r="C984" s="290" t="str">
        <x:v>翠焰冥契·冥契</x:v>
      </x:c>
      <x:c r="D984" s="290" t="str">
        <x:v>翠焰冥契</x:v>
      </x:c>
      <x:c r="E984" s="290" t="n">
        <x:v>3</x:v>
      </x:c>
      <x:c r="F984" s="290" t="str">
        <x:v>腰带</x:v>
      </x:c>
      <x:c r="G984" s="289" t="n">
        <x:v>64</x:v>
      </x:c>
      <x:c r="H984" s="289" t="n">
        <x:v>10</x:v>
      </x:c>
      <x:c r="I984" s="289" t="n">
        <x:v>7003</x:v>
      </x:c>
      <x:c r="J984" s="289" t="n">
        <x:v>0</x:v>
      </x:c>
      <x:c r="K984" s="289" t="n">
        <x:v>0</x:v>
      </x:c>
      <x:c r="L984" s="289" t="n">
        <x:v>0</x:v>
      </x:c>
      <x:c r="M984" s="289" t="n">
        <x:v>7003</x:v>
      </x:c>
      <x:c r="N984" s="289" t="n">
        <x:v>7003</x:v>
      </x:c>
      <x:c r="O984" s="289" t="n">
        <x:v>7003</x:v>
      </x:c>
      <x:c r="P984" s="292"/>
      <x:c r="Q984" s="292" t="str">
        <x:v>candidate-preflight-passed</x:v>
      </x:c>
      <x:c r="R984" s="324" t="str">
        <x:v>C3-C10规划锁定：执炭腰封</x:v>
      </x:c>
      <x:c r="S984" s="292" t="str">
        <x:v>玄渊二十套全装备代码总表.xlsx</x:v>
      </x:c>
      <x:c r="T984" s="292" t="str">
        <x:v>玄渊20套全装备视觉候选；Items/StateItem/DnItems三库同码；属性待策划填写</x:v>
      </x:c>
      <x:c r="U984" t="str">
        <x:f>IF(COUNTIF($B$2:$B$1076,B984)&gt;1,"重复","")</x:f>
      </x:c>
      <x:c r="V984" t="str">
        <x:f>IF(AND(OR(M984="",M984=B984),OR(N984="",N984=B984),OR(O984="",O984=B984)),"通过","不一致")</x:f>
        <x:v>通过</x:v>
      </x:c>
    </x:row>
    <x:row r="985" ht="22" customHeight="1">
      <x:c r="A985" s="289" t="n">
        <x:v>984</x:v>
      </x:c>
      <x:c r="B985" s="289" t="n">
        <x:v>7004</x:v>
      </x:c>
      <x:c r="C985" s="290" t="str">
        <x:v>翠焰冥契·冥契</x:v>
      </x:c>
      <x:c r="D985" s="290" t="str">
        <x:v>翠焰冥契</x:v>
      </x:c>
      <x:c r="E985" s="290" t="n">
        <x:v>3</x:v>
      </x:c>
      <x:c r="F985" s="290" t="str">
        <x:v>护身符</x:v>
      </x:c>
      <x:c r="G985" s="289" t="n">
        <x:v>25</x:v>
      </x:c>
      <x:c r="H985" s="289" t="n">
        <x:v>9</x:v>
      </x:c>
      <x:c r="I985" s="289" t="n">
        <x:v>7004</x:v>
      </x:c>
      <x:c r="J985" s="289" t="n">
        <x:v>0</x:v>
      </x:c>
      <x:c r="K985" s="289" t="n">
        <x:v>0</x:v>
      </x:c>
      <x:c r="L985" s="289" t="n">
        <x:v>0</x:v>
      </x:c>
      <x:c r="M985" s="289" t="n">
        <x:v>7004</x:v>
      </x:c>
      <x:c r="N985" s="289" t="n">
        <x:v>7004</x:v>
      </x:c>
      <x:c r="O985" s="289" t="n">
        <x:v>7004</x:v>
      </x:c>
      <x:c r="P985" s="292"/>
      <x:c r="Q985" s="292" t="str">
        <x:v>candidate-preflight-passed</x:v>
      </x:c>
      <x:c r="R985" s="292" t="str"/>
      <x:c r="S985" s="292" t="str">
        <x:v>玄渊二十套全装备代码总表.xlsx</x:v>
      </x:c>
      <x:c r="T985" s="292" t="str">
        <x:v>玄渊20套全装备视觉候选；Items/StateItem/DnItems三库同码；属性待策划填写</x:v>
      </x:c>
      <x:c r="U985" t="str">
        <x:f>IF(COUNTIF($B$2:$B$1076,B985)&gt;1,"重复","")</x:f>
      </x:c>
      <x:c r="V985" t="str">
        <x:f>IF(AND(OR(M985="",M985=B985),OR(N985="",N985=B985),OR(O985="",O985=B985)),"通过","不一致")</x:f>
        <x:v>通过</x:v>
      </x:c>
    </x:row>
    <x:row r="986" ht="22" customHeight="1">
      <x:c r="A986" s="289" t="n">
        <x:v>985</x:v>
      </x:c>
      <x:c r="B986" s="289" t="n">
        <x:v>7005</x:v>
      </x:c>
      <x:c r="C986" s="290" t="str">
        <x:v>翠焰冥契·冥契</x:v>
      </x:c>
      <x:c r="D986" s="290" t="str">
        <x:v>翠焰冥契</x:v>
      </x:c>
      <x:c r="E986" s="290" t="n">
        <x:v>3</x:v>
      </x:c>
      <x:c r="F986" s="290" t="str">
        <x:v>宝石</x:v>
      </x:c>
      <x:c r="G986" s="289" t="n">
        <x:v>63</x:v>
      </x:c>
      <x:c r="H986" s="289" t="n">
        <x:v>12</x:v>
      </x:c>
      <x:c r="I986" s="289" t="n">
        <x:v>7005</x:v>
      </x:c>
      <x:c r="J986" s="289" t="n">
        <x:v>0</x:v>
      </x:c>
      <x:c r="K986" s="289" t="n">
        <x:v>0</x:v>
      </x:c>
      <x:c r="L986" s="289" t="n">
        <x:v>0</x:v>
      </x:c>
      <x:c r="M986" s="289" t="n">
        <x:v>7005</x:v>
      </x:c>
      <x:c r="N986" s="289" t="n">
        <x:v>7005</x:v>
      </x:c>
      <x:c r="O986" s="289" t="n">
        <x:v>7005</x:v>
      </x:c>
      <x:c r="P986" s="292"/>
      <x:c r="Q986" s="292" t="str">
        <x:v>candidate-preflight-passed</x:v>
      </x:c>
      <x:c r="R986" s="292" t="str"/>
      <x:c r="S986" s="292" t="str">
        <x:v>玄渊二十套全装备代码总表.xlsx</x:v>
      </x:c>
      <x:c r="T986" s="292" t="str">
        <x:v>玄渊20套全装备视觉候选；Items/StateItem/DnItems三库同码；属性待策划填写</x:v>
      </x:c>
      <x:c r="U986" t="str">
        <x:f>IF(COUNTIF($B$2:$B$1076,B986)&gt;1,"重复","")</x:f>
      </x:c>
      <x:c r="V986" t="str">
        <x:f>IF(AND(OR(M986="",M986=B986),OR(N986="",N986=B986),OR(O986="",O986=B986)),"通过","不一致")</x:f>
        <x:v>通过</x:v>
      </x:c>
    </x:row>
    <x:row r="987" ht="22" customHeight="1">
      <x:c r="A987" s="289" t="n">
        <x:v>986</x:v>
      </x:c>
      <x:c r="B987" s="289" t="n">
        <x:v>7006</x:v>
      </x:c>
      <x:c r="C987" s="290" t="str">
        <x:v>翠焰冥契·冥契</x:v>
      </x:c>
      <x:c r="D987" s="290" t="str">
        <x:v>翠焰冥契</x:v>
      </x:c>
      <x:c r="E987" s="290" t="n">
        <x:v>3</x:v>
      </x:c>
      <x:c r="F987" s="290" t="str">
        <x:v>军鼓</x:v>
      </x:c>
      <x:c r="G987" s="289" t="n">
        <x:v>65</x:v>
      </x:c>
      <x:c r="H987" s="289" t="n">
        <x:v>14</x:v>
      </x:c>
      <x:c r="I987" s="289" t="n">
        <x:v>7006</x:v>
      </x:c>
      <x:c r="J987" s="289" t="n">
        <x:v>0</x:v>
      </x:c>
      <x:c r="K987" s="289" t="n">
        <x:v>0</x:v>
      </x:c>
      <x:c r="L987" s="289" t="n">
        <x:v>0</x:v>
      </x:c>
      <x:c r="M987" s="289" t="n">
        <x:v>7006</x:v>
      </x:c>
      <x:c r="N987" s="289" t="n">
        <x:v>7006</x:v>
      </x:c>
      <x:c r="O987" s="289" t="n">
        <x:v>7006</x:v>
      </x:c>
      <x:c r="P987" s="292"/>
      <x:c r="Q987" s="292" t="str">
        <x:v>candidate-preflight-passed</x:v>
      </x:c>
      <x:c r="R987" s="292" t="str"/>
      <x:c r="S987" s="292" t="str">
        <x:v>玄渊二十套全装备代码总表.xlsx</x:v>
      </x:c>
      <x:c r="T987" s="292" t="str">
        <x:v>玄渊20套全装备视觉候选；Items/StateItem/DnItems三库同码；属性待策划填写</x:v>
      </x:c>
      <x:c r="U987" t="str">
        <x:f>IF(COUNTIF($B$2:$B$1076,B987)&gt;1,"重复","")</x:f>
      </x:c>
      <x:c r="V987" t="str">
        <x:f>IF(AND(OR(M987="",M987=B987),OR(N987="",N987=B987),OR(O987="",O987=B987)),"通过","不一致")</x:f>
        <x:v>通过</x:v>
      </x:c>
    </x:row>
    <x:row r="988" ht="22" customHeight="1">
      <x:c r="A988" s="289" t="n">
        <x:v>987</x:v>
      </x:c>
      <x:c r="B988" s="289" t="n">
        <x:v>7007</x:v>
      </x:c>
      <x:c r="C988" s="290" t="str">
        <x:v>翠焰冥契·冥契</x:v>
      </x:c>
      <x:c r="D988" s="290" t="str">
        <x:v>翠焰冥契</x:v>
      </x:c>
      <x:c r="E988" s="290" t="n">
        <x:v>3</x:v>
      </x:c>
      <x:c r="F988" s="290" t="str">
        <x:v>马牌</x:v>
      </x:c>
      <x:c r="G988" s="289" t="n">
        <x:v>28</x:v>
      </x:c>
      <x:c r="H988" s="289" t="n">
        <x:v>15</x:v>
      </x:c>
      <x:c r="I988" s="289" t="n">
        <x:v>7007</x:v>
      </x:c>
      <x:c r="J988" s="289" t="n">
        <x:v>0</x:v>
      </x:c>
      <x:c r="K988" s="289" t="n">
        <x:v>0</x:v>
      </x:c>
      <x:c r="L988" s="289" t="n">
        <x:v>0</x:v>
      </x:c>
      <x:c r="M988" s="289" t="n">
        <x:v>7007</x:v>
      </x:c>
      <x:c r="N988" s="289" t="n">
        <x:v>7007</x:v>
      </x:c>
      <x:c r="O988" s="289" t="n">
        <x:v>7007</x:v>
      </x:c>
      <x:c r="P988" s="292"/>
      <x:c r="Q988" s="292" t="str">
        <x:v>candidate-preflight-passed</x:v>
      </x:c>
      <x:c r="R988" s="292" t="str"/>
      <x:c r="S988" s="292" t="str">
        <x:v>玄渊二十套全装备代码总表.xlsx</x:v>
      </x:c>
      <x:c r="T988" s="292" t="str">
        <x:v>玄渊20套全装备视觉候选；Items/StateItem/DnItems三库同码；属性待策划填写</x:v>
      </x:c>
      <x:c r="U988" t="str">
        <x:f>IF(COUNTIF($B$2:$B$1076,B988)&gt;1,"重复","")</x:f>
      </x:c>
      <x:c r="V988" t="str">
        <x:f>IF(AND(OR(M988="",M988=B988),OR(N988="",N988=B988),OR(O988="",O988=B988)),"通过","不一致")</x:f>
        <x:v>通过</x:v>
      </x:c>
    </x:row>
    <x:row r="989" ht="22" customHeight="1">
      <x:c r="A989" s="289" t="n">
        <x:v>988</x:v>
      </x:c>
      <x:c r="B989" s="289" t="n">
        <x:v>7008</x:v>
      </x:c>
      <x:c r="C989" s="290" t="str">
        <x:v>翠焰冥契·冥契</x:v>
      </x:c>
      <x:c r="D989" s="290" t="str">
        <x:v>翠焰冥契</x:v>
      </x:c>
      <x:c r="E989" s="290" t="n">
        <x:v>3</x:v>
      </x:c>
      <x:c r="F989" s="290" t="str">
        <x:v>首饰盒1</x:v>
      </x:c>
      <x:c r="G989" s="289" t="n">
        <x:v>22</x:v>
      </x:c>
      <x:c r="H989" s="289" t="n">
        <x:v>30</x:v>
      </x:c>
      <x:c r="I989" s="289" t="n">
        <x:v>7008</x:v>
      </x:c>
      <x:c r="J989" s="289" t="n">
        <x:v>0</x:v>
      </x:c>
      <x:c r="K989" s="289" t="n">
        <x:v>2</x:v>
      </x:c>
      <x:c r="L989" s="289" t="n">
        <x:v>1</x:v>
      </x:c>
      <x:c r="M989" s="289" t="n">
        <x:v>7008</x:v>
      </x:c>
      <x:c r="N989" s="289" t="n">
        <x:v>7008</x:v>
      </x:c>
      <x:c r="O989" s="289" t="n">
        <x:v>7008</x:v>
      </x:c>
      <x:c r="P989" s="292"/>
      <x:c r="Q989" s="292" t="str">
        <x:v>candidate-preflight-passed</x:v>
      </x:c>
      <x:c r="R989" s="292" t="str"/>
      <x:c r="S989" s="292" t="str">
        <x:v>玄渊二十套全装备代码总表.xlsx</x:v>
      </x:c>
      <x:c r="T989" s="292" t="str">
        <x:v>玄渊20套全装备视觉候选；Items/StateItem/DnItems三库同码；属性待策划填写；OverLap=2; Expand1=1</x:v>
      </x:c>
      <x:c r="U989" t="str">
        <x:f>IF(COUNTIF($B$2:$B$1076,B989)&gt;1,"重复","")</x:f>
      </x:c>
      <x:c r="V989" t="str">
        <x:f>IF(AND(OR(M989="",M989=B989),OR(N989="",N989=B989),OR(O989="",O989=B989)),"通过","不一致")</x:f>
        <x:v>通过</x:v>
      </x:c>
    </x:row>
    <x:row r="990" ht="22" customHeight="1">
      <x:c r="A990" s="289" t="n">
        <x:v>989</x:v>
      </x:c>
      <x:c r="B990" s="289" t="n">
        <x:v>7009</x:v>
      </x:c>
      <x:c r="C990" s="290" t="str">
        <x:v>翠焰冥契·冥契</x:v>
      </x:c>
      <x:c r="D990" s="290" t="str">
        <x:v>翠焰冥契</x:v>
      </x:c>
      <x:c r="E990" s="290" t="n">
        <x:v>3</x:v>
      </x:c>
      <x:c r="F990" s="290" t="str">
        <x:v>首饰盒2</x:v>
      </x:c>
      <x:c r="G990" s="289" t="n">
        <x:v>22</x:v>
      </x:c>
      <x:c r="H990" s="289" t="n">
        <x:v>31</x:v>
      </x:c>
      <x:c r="I990" s="289" t="n">
        <x:v>7009</x:v>
      </x:c>
      <x:c r="J990" s="289" t="n">
        <x:v>0</x:v>
      </x:c>
      <x:c r="K990" s="289" t="n">
        <x:v>2</x:v>
      </x:c>
      <x:c r="L990" s="289" t="n">
        <x:v>2</x:v>
      </x:c>
      <x:c r="M990" s="289" t="n">
        <x:v>7009</x:v>
      </x:c>
      <x:c r="N990" s="289" t="n">
        <x:v>7009</x:v>
      </x:c>
      <x:c r="O990" s="289" t="n">
        <x:v>7009</x:v>
      </x:c>
      <x:c r="P990" s="292"/>
      <x:c r="Q990" s="292" t="str">
        <x:v>candidate-preflight-passed</x:v>
      </x:c>
      <x:c r="R990" s="292" t="str"/>
      <x:c r="S990" s="292" t="str">
        <x:v>玄渊二十套全装备代码总表.xlsx</x:v>
      </x:c>
      <x:c r="T990" s="292" t="str">
        <x:v>玄渊20套全装备视觉候选；Items/StateItem/DnItems三库同码；属性待策划填写；OverLap=2; Expand1=2</x:v>
      </x:c>
      <x:c r="U990" t="str">
        <x:f>IF(COUNTIF($B$2:$B$1076,B990)&gt;1,"重复","")</x:f>
      </x:c>
      <x:c r="V990" t="str">
        <x:f>IF(AND(OR(M990="",M990=B990),OR(N990="",N990=B990),OR(O990="",O990=B990)),"通过","不一致")</x:f>
        <x:v>通过</x:v>
      </x:c>
    </x:row>
    <x:row r="991" ht="22" customHeight="1">
      <x:c r="A991" s="289" t="n">
        <x:v>990</x:v>
      </x:c>
      <x:c r="B991" s="289" t="n">
        <x:v>7010</x:v>
      </x:c>
      <x:c r="C991" s="290" t="str">
        <x:v>翠焰冥契·冥契</x:v>
      </x:c>
      <x:c r="D991" s="290" t="str">
        <x:v>翠焰冥契</x:v>
      </x:c>
      <x:c r="E991" s="290" t="n">
        <x:v>3</x:v>
      </x:c>
      <x:c r="F991" s="290" t="str">
        <x:v>首饰盒3</x:v>
      </x:c>
      <x:c r="G991" s="289" t="n">
        <x:v>22</x:v>
      </x:c>
      <x:c r="H991" s="289" t="n">
        <x:v>32</x:v>
      </x:c>
      <x:c r="I991" s="289" t="n">
        <x:v>7010</x:v>
      </x:c>
      <x:c r="J991" s="289" t="n">
        <x:v>0</x:v>
      </x:c>
      <x:c r="K991" s="289" t="n">
        <x:v>2</x:v>
      </x:c>
      <x:c r="L991" s="289" t="n">
        <x:v>3</x:v>
      </x:c>
      <x:c r="M991" s="289" t="n">
        <x:v>7010</x:v>
      </x:c>
      <x:c r="N991" s="289" t="n">
        <x:v>7010</x:v>
      </x:c>
      <x:c r="O991" s="289" t="n">
        <x:v>7010</x:v>
      </x:c>
      <x:c r="P991" s="292"/>
      <x:c r="Q991" s="292" t="str">
        <x:v>candidate-preflight-passed</x:v>
      </x:c>
      <x:c r="R991" s="292" t="str"/>
      <x:c r="S991" s="292" t="str">
        <x:v>玄渊二十套全装备代码总表.xlsx</x:v>
      </x:c>
      <x:c r="T991" s="292" t="str">
        <x:v>玄渊20套全装备视觉候选；Items/StateItem/DnItems三库同码；属性待策划填写；OverLap=2; Expand1=3</x:v>
      </x:c>
      <x:c r="U991" t="str">
        <x:f>IF(COUNTIF($B$2:$B$1076,B991)&gt;1,"重复","")</x:f>
      </x:c>
      <x:c r="V991" t="str">
        <x:f>IF(AND(OR(M991="",M991=B991),OR(N991="",N991=B991),OR(O991="",O991=B991)),"通过","不一致")</x:f>
        <x:v>通过</x:v>
      </x:c>
    </x:row>
    <x:row r="992" ht="22" customHeight="1">
      <x:c r="A992" s="289" t="n">
        <x:v>991</x:v>
      </x:c>
      <x:c r="B992" s="289" t="n">
        <x:v>7011</x:v>
      </x:c>
      <x:c r="C992" s="290" t="str">
        <x:v>翠焰冥契·冥契</x:v>
      </x:c>
      <x:c r="D992" s="290" t="str">
        <x:v>翠焰冥契</x:v>
      </x:c>
      <x:c r="E992" s="290" t="n">
        <x:v>3</x:v>
      </x:c>
      <x:c r="F992" s="290" t="str">
        <x:v>首饰盒4</x:v>
      </x:c>
      <x:c r="G992" s="289" t="n">
        <x:v>22</x:v>
      </x:c>
      <x:c r="H992" s="289" t="n">
        <x:v>33</x:v>
      </x:c>
      <x:c r="I992" s="289" t="n">
        <x:v>7011</x:v>
      </x:c>
      <x:c r="J992" s="289" t="n">
        <x:v>0</x:v>
      </x:c>
      <x:c r="K992" s="289" t="n">
        <x:v>2</x:v>
      </x:c>
      <x:c r="L992" s="289" t="n">
        <x:v>4</x:v>
      </x:c>
      <x:c r="M992" s="289" t="n">
        <x:v>7011</x:v>
      </x:c>
      <x:c r="N992" s="289" t="n">
        <x:v>7011</x:v>
      </x:c>
      <x:c r="O992" s="289" t="n">
        <x:v>7011</x:v>
      </x:c>
      <x:c r="P992" s="292"/>
      <x:c r="Q992" s="292" t="str">
        <x:v>candidate-preflight-passed</x:v>
      </x:c>
      <x:c r="R992" s="292" t="str"/>
      <x:c r="S992" s="292" t="str">
        <x:v>玄渊二十套全装备代码总表.xlsx</x:v>
      </x:c>
      <x:c r="T992" s="292" t="str">
        <x:v>玄渊20套全装备视觉候选；Items/StateItem/DnItems三库同码；属性待策划填写；OverLap=2; Expand1=4</x:v>
      </x:c>
      <x:c r="U992" t="str">
        <x:f>IF(COUNTIF($B$2:$B$1076,B992)&gt;1,"重复","")</x:f>
      </x:c>
      <x:c r="V992" t="str">
        <x:f>IF(AND(OR(M992="",M992=B992),OR(N992="",N992=B992),OR(O992="",O992=B992)),"通过","不一致")</x:f>
        <x:v>通过</x:v>
      </x:c>
    </x:row>
    <x:row r="993" ht="22" customHeight="1">
      <x:c r="A993" s="289" t="n">
        <x:v>992</x:v>
      </x:c>
      <x:c r="B993" s="289" t="n">
        <x:v>7012</x:v>
      </x:c>
      <x:c r="C993" s="290" t="str">
        <x:v>翠焰冥契·冥契</x:v>
      </x:c>
      <x:c r="D993" s="290" t="str">
        <x:v>翠焰冥契</x:v>
      </x:c>
      <x:c r="E993" s="290" t="n">
        <x:v>3</x:v>
      </x:c>
      <x:c r="F993" s="290" t="str">
        <x:v>首饰盒5</x:v>
      </x:c>
      <x:c r="G993" s="289" t="n">
        <x:v>22</x:v>
      </x:c>
      <x:c r="H993" s="289" t="n">
        <x:v>34</x:v>
      </x:c>
      <x:c r="I993" s="289" t="n">
        <x:v>7012</x:v>
      </x:c>
      <x:c r="J993" s="289" t="n">
        <x:v>0</x:v>
      </x:c>
      <x:c r="K993" s="289" t="n">
        <x:v>2</x:v>
      </x:c>
      <x:c r="L993" s="289" t="n">
        <x:v>5</x:v>
      </x:c>
      <x:c r="M993" s="289" t="n">
        <x:v>7012</x:v>
      </x:c>
      <x:c r="N993" s="289" t="n">
        <x:v>7012</x:v>
      </x:c>
      <x:c r="O993" s="289" t="n">
        <x:v>7012</x:v>
      </x:c>
      <x:c r="P993" s="292"/>
      <x:c r="Q993" s="292" t="str">
        <x:v>candidate-preflight-passed</x:v>
      </x:c>
      <x:c r="R993" s="292" t="str"/>
      <x:c r="S993" s="292" t="str">
        <x:v>玄渊二十套全装备代码总表.xlsx</x:v>
      </x:c>
      <x:c r="T993" s="292" t="str">
        <x:v>玄渊20套全装备视觉候选；Items/StateItem/DnItems三库同码；属性待策划填写；OverLap=2; Expand1=5</x:v>
      </x:c>
      <x:c r="U993" t="str">
        <x:f>IF(COUNTIF($B$2:$B$1076,B993)&gt;1,"重复","")</x:f>
      </x:c>
      <x:c r="V993" t="str">
        <x:f>IF(AND(OR(M993="",M993=B993),OR(N993="",N993=B993),OR(O993="",O993=B993)),"通过","不一致")</x:f>
        <x:v>通过</x:v>
      </x:c>
    </x:row>
    <x:row r="994" ht="22" customHeight="1">
      <x:c r="A994" s="289" t="n">
        <x:v>993</x:v>
      </x:c>
      <x:c r="B994" s="289" t="n">
        <x:v>7013</x:v>
      </x:c>
      <x:c r="C994" s="290" t="str">
        <x:v>翠焰冥契·冥契</x:v>
      </x:c>
      <x:c r="D994" s="290" t="str">
        <x:v>翠焰冥契</x:v>
      </x:c>
      <x:c r="E994" s="290" t="n">
        <x:v>3</x:v>
      </x:c>
      <x:c r="F994" s="290" t="str">
        <x:v>首饰盒6</x:v>
      </x:c>
      <x:c r="G994" s="289" t="n">
        <x:v>22</x:v>
      </x:c>
      <x:c r="H994" s="289" t="n">
        <x:v>35</x:v>
      </x:c>
      <x:c r="I994" s="289" t="n">
        <x:v>7013</x:v>
      </x:c>
      <x:c r="J994" s="289" t="n">
        <x:v>0</x:v>
      </x:c>
      <x:c r="K994" s="289" t="n">
        <x:v>2</x:v>
      </x:c>
      <x:c r="L994" s="289" t="n">
        <x:v>6</x:v>
      </x:c>
      <x:c r="M994" s="289" t="n">
        <x:v>7013</x:v>
      </x:c>
      <x:c r="N994" s="289" t="n">
        <x:v>7013</x:v>
      </x:c>
      <x:c r="O994" s="289" t="n">
        <x:v>7013</x:v>
      </x:c>
      <x:c r="P994" s="292"/>
      <x:c r="Q994" s="292" t="str">
        <x:v>candidate-preflight-passed</x:v>
      </x:c>
      <x:c r="R994" s="292" t="str"/>
      <x:c r="S994" s="292" t="str">
        <x:v>玄渊二十套全装备代码总表.xlsx</x:v>
      </x:c>
      <x:c r="T994" s="292" t="str">
        <x:v>玄渊20套全装备视觉候选；Items/StateItem/DnItems三库同码；属性待策划填写；OverLap=2; Expand1=6</x:v>
      </x:c>
      <x:c r="U994" t="str">
        <x:f>IF(COUNTIF($B$2:$B$1076,B994)&gt;1,"重复","")</x:f>
      </x:c>
      <x:c r="V994" t="str">
        <x:f>IF(AND(OR(M994="",M994=B994),OR(N994="",N994=B994),OR(O994="",O994=B994)),"通过","不一致")</x:f>
        <x:v>通过</x:v>
      </x:c>
    </x:row>
    <x:row r="995" ht="22" customHeight="1">
      <x:c r="A995" s="289" t="n">
        <x:v>994</x:v>
      </x:c>
      <x:c r="B995" s="289" t="n">
        <x:v>7014</x:v>
      </x:c>
      <x:c r="C995" s="290" t="str">
        <x:v>翠焰冥契·冥契</x:v>
      </x:c>
      <x:c r="D995" s="290" t="str">
        <x:v>翠焰冥契</x:v>
      </x:c>
      <x:c r="E995" s="290" t="n">
        <x:v>3</x:v>
      </x:c>
      <x:c r="F995" s="290" t="str">
        <x:v>生肖1</x:v>
      </x:c>
      <x:c r="G995" s="289" t="n">
        <x:v>22</x:v>
      </x:c>
      <x:c r="H995" s="289" t="n">
        <x:v>40</x:v>
      </x:c>
      <x:c r="I995" s="289" t="n">
        <x:v>7014</x:v>
      </x:c>
      <x:c r="J995" s="289" t="n">
        <x:v>0</x:v>
      </x:c>
      <x:c r="K995" s="289" t="n">
        <x:v>4</x:v>
      </x:c>
      <x:c r="L995" s="289" t="n">
        <x:v>1</x:v>
      </x:c>
      <x:c r="M995" s="289" t="n">
        <x:v>7014</x:v>
      </x:c>
      <x:c r="N995" s="289" t="n">
        <x:v>7014</x:v>
      </x:c>
      <x:c r="O995" s="289" t="n">
        <x:v>7014</x:v>
      </x:c>
      <x:c r="P995" s="292"/>
      <x:c r="Q995" s="292" t="str">
        <x:v>candidate-preflight-passed</x:v>
      </x:c>
      <x:c r="R995" s="292" t="str"/>
      <x:c r="S995" s="292" t="str">
        <x:v>玄渊二十套全装备代码总表.xlsx</x:v>
      </x:c>
      <x:c r="T995" s="292" t="str">
        <x:v>玄渊20套全装备视觉候选；Items/StateItem/DnItems三库同码；属性待策划填写；OverLap=4; Expand1=1</x:v>
      </x:c>
      <x:c r="U995" t="str">
        <x:f>IF(COUNTIF($B$2:$B$1076,B995)&gt;1,"重复","")</x:f>
      </x:c>
      <x:c r="V995" t="str">
        <x:f>IF(AND(OR(M995="",M995=B995),OR(N995="",N995=B995),OR(O995="",O995=B995)),"通过","不一致")</x:f>
        <x:v>通过</x:v>
      </x:c>
    </x:row>
    <x:row r="996" ht="22" customHeight="1">
      <x:c r="A996" s="289" t="n">
        <x:v>995</x:v>
      </x:c>
      <x:c r="B996" s="289" t="n">
        <x:v>7015</x:v>
      </x:c>
      <x:c r="C996" s="290" t="str">
        <x:v>翠焰冥契·冥契</x:v>
      </x:c>
      <x:c r="D996" s="290" t="str">
        <x:v>翠焰冥契</x:v>
      </x:c>
      <x:c r="E996" s="290" t="n">
        <x:v>3</x:v>
      </x:c>
      <x:c r="F996" s="290" t="str">
        <x:v>生肖2</x:v>
      </x:c>
      <x:c r="G996" s="289" t="n">
        <x:v>22</x:v>
      </x:c>
      <x:c r="H996" s="289" t="n">
        <x:v>41</x:v>
      </x:c>
      <x:c r="I996" s="289" t="n">
        <x:v>7015</x:v>
      </x:c>
      <x:c r="J996" s="289" t="n">
        <x:v>0</x:v>
      </x:c>
      <x:c r="K996" s="289" t="n">
        <x:v>4</x:v>
      </x:c>
      <x:c r="L996" s="289" t="n">
        <x:v>2</x:v>
      </x:c>
      <x:c r="M996" s="289" t="n">
        <x:v>7015</x:v>
      </x:c>
      <x:c r="N996" s="289" t="n">
        <x:v>7015</x:v>
      </x:c>
      <x:c r="O996" s="289" t="n">
        <x:v>7015</x:v>
      </x:c>
      <x:c r="P996" s="292"/>
      <x:c r="Q996" s="292" t="str">
        <x:v>candidate-preflight-passed</x:v>
      </x:c>
      <x:c r="R996" s="292" t="str"/>
      <x:c r="S996" s="292" t="str">
        <x:v>玄渊二十套全装备代码总表.xlsx</x:v>
      </x:c>
      <x:c r="T996" s="292" t="str">
        <x:v>玄渊20套全装备视觉候选；Items/StateItem/DnItems三库同码；属性待策划填写；OverLap=4; Expand1=2</x:v>
      </x:c>
      <x:c r="U996" t="str">
        <x:f>IF(COUNTIF($B$2:$B$1076,B996)&gt;1,"重复","")</x:f>
      </x:c>
      <x:c r="V996" t="str">
        <x:f>IF(AND(OR(M996="",M996=B996),OR(N996="",N996=B996),OR(O996="",O996=B996)),"通过","不一致")</x:f>
        <x:v>通过</x:v>
      </x:c>
    </x:row>
    <x:row r="997" ht="22" customHeight="1">
      <x:c r="A997" s="289" t="n">
        <x:v>996</x:v>
      </x:c>
      <x:c r="B997" s="289" t="n">
        <x:v>7016</x:v>
      </x:c>
      <x:c r="C997" s="290" t="str">
        <x:v>翠焰冥契·冥契</x:v>
      </x:c>
      <x:c r="D997" s="290" t="str">
        <x:v>翠焰冥契</x:v>
      </x:c>
      <x:c r="E997" s="290" t="n">
        <x:v>3</x:v>
      </x:c>
      <x:c r="F997" s="290" t="str">
        <x:v>生肖3</x:v>
      </x:c>
      <x:c r="G997" s="289" t="n">
        <x:v>22</x:v>
      </x:c>
      <x:c r="H997" s="289" t="n">
        <x:v>42</x:v>
      </x:c>
      <x:c r="I997" s="289" t="n">
        <x:v>7016</x:v>
      </x:c>
      <x:c r="J997" s="289" t="n">
        <x:v>0</x:v>
      </x:c>
      <x:c r="K997" s="289" t="n">
        <x:v>4</x:v>
      </x:c>
      <x:c r="L997" s="289" t="n">
        <x:v>3</x:v>
      </x:c>
      <x:c r="M997" s="289" t="n">
        <x:v>7016</x:v>
      </x:c>
      <x:c r="N997" s="289" t="n">
        <x:v>7016</x:v>
      </x:c>
      <x:c r="O997" s="289" t="n">
        <x:v>7016</x:v>
      </x:c>
      <x:c r="P997" s="292"/>
      <x:c r="Q997" s="292" t="str">
        <x:v>candidate-preflight-passed</x:v>
      </x:c>
      <x:c r="R997" s="292" t="str"/>
      <x:c r="S997" s="292" t="str">
        <x:v>玄渊二十套全装备代码总表.xlsx</x:v>
      </x:c>
      <x:c r="T997" s="292" t="str">
        <x:v>玄渊20套全装备视觉候选；Items/StateItem/DnItems三库同码；属性待策划填写；OverLap=4; Expand1=3</x:v>
      </x:c>
      <x:c r="U997" t="str">
        <x:f>IF(COUNTIF($B$2:$B$1076,B997)&gt;1,"重复","")</x:f>
      </x:c>
      <x:c r="V997" t="str">
        <x:f>IF(AND(OR(M997="",M997=B997),OR(N997="",N997=B997),OR(O997="",O997=B997)),"通过","不一致")</x:f>
        <x:v>通过</x:v>
      </x:c>
    </x:row>
    <x:row r="998" ht="22" customHeight="1">
      <x:c r="A998" s="289" t="n">
        <x:v>997</x:v>
      </x:c>
      <x:c r="B998" s="289" t="n">
        <x:v>7017</x:v>
      </x:c>
      <x:c r="C998" s="290" t="str">
        <x:v>翠焰冥契·冥契</x:v>
      </x:c>
      <x:c r="D998" s="290" t="str">
        <x:v>翠焰冥契</x:v>
      </x:c>
      <x:c r="E998" s="290" t="n">
        <x:v>3</x:v>
      </x:c>
      <x:c r="F998" s="290" t="str">
        <x:v>生肖4</x:v>
      </x:c>
      <x:c r="G998" s="289" t="n">
        <x:v>22</x:v>
      </x:c>
      <x:c r="H998" s="289" t="n">
        <x:v>43</x:v>
      </x:c>
      <x:c r="I998" s="289" t="n">
        <x:v>7017</x:v>
      </x:c>
      <x:c r="J998" s="289" t="n">
        <x:v>0</x:v>
      </x:c>
      <x:c r="K998" s="289" t="n">
        <x:v>4</x:v>
      </x:c>
      <x:c r="L998" s="289" t="n">
        <x:v>4</x:v>
      </x:c>
      <x:c r="M998" s="289" t="n">
        <x:v>7017</x:v>
      </x:c>
      <x:c r="N998" s="289" t="n">
        <x:v>7017</x:v>
      </x:c>
      <x:c r="O998" s="289" t="n">
        <x:v>7017</x:v>
      </x:c>
      <x:c r="P998" s="292"/>
      <x:c r="Q998" s="292" t="str">
        <x:v>candidate-preflight-passed</x:v>
      </x:c>
      <x:c r="R998" s="292" t="str"/>
      <x:c r="S998" s="292" t="str">
        <x:v>玄渊二十套全装备代码总表.xlsx</x:v>
      </x:c>
      <x:c r="T998" s="292" t="str">
        <x:v>玄渊20套全装备视觉候选；Items/StateItem/DnItems三库同码；属性待策划填写；OverLap=4; Expand1=4</x:v>
      </x:c>
      <x:c r="U998" t="str">
        <x:f>IF(COUNTIF($B$2:$B$1076,B998)&gt;1,"重复","")</x:f>
      </x:c>
      <x:c r="V998" t="str">
        <x:f>IF(AND(OR(M998="",M998=B998),OR(N998="",N998=B998),OR(O998="",O998=B998)),"通过","不一致")</x:f>
        <x:v>通过</x:v>
      </x:c>
    </x:row>
    <x:row r="999" ht="22" customHeight="1">
      <x:c r="A999" s="289" t="n">
        <x:v>998</x:v>
      </x:c>
      <x:c r="B999" s="289" t="n">
        <x:v>7018</x:v>
      </x:c>
      <x:c r="C999" s="290" t="str">
        <x:v>翠焰冥契·冥契</x:v>
      </x:c>
      <x:c r="D999" s="290" t="str">
        <x:v>翠焰冥契</x:v>
      </x:c>
      <x:c r="E999" s="290" t="n">
        <x:v>3</x:v>
      </x:c>
      <x:c r="F999" s="290" t="str">
        <x:v>生肖5</x:v>
      </x:c>
      <x:c r="G999" s="289" t="n">
        <x:v>22</x:v>
      </x:c>
      <x:c r="H999" s="289" t="n">
        <x:v>44</x:v>
      </x:c>
      <x:c r="I999" s="289" t="n">
        <x:v>7018</x:v>
      </x:c>
      <x:c r="J999" s="289" t="n">
        <x:v>0</x:v>
      </x:c>
      <x:c r="K999" s="289" t="n">
        <x:v>4</x:v>
      </x:c>
      <x:c r="L999" s="289" t="n">
        <x:v>5</x:v>
      </x:c>
      <x:c r="M999" s="289" t="n">
        <x:v>7018</x:v>
      </x:c>
      <x:c r="N999" s="289" t="n">
        <x:v>7018</x:v>
      </x:c>
      <x:c r="O999" s="289" t="n">
        <x:v>7018</x:v>
      </x:c>
      <x:c r="P999" s="292"/>
      <x:c r="Q999" s="292" t="str">
        <x:v>candidate-preflight-passed</x:v>
      </x:c>
      <x:c r="R999" s="292" t="str"/>
      <x:c r="S999" s="292" t="str">
        <x:v>玄渊二十套全装备代码总表.xlsx</x:v>
      </x:c>
      <x:c r="T999" s="292" t="str">
        <x:v>玄渊20套全装备视觉候选；Items/StateItem/DnItems三库同码；属性待策划填写；OverLap=4; Expand1=5</x:v>
      </x:c>
      <x:c r="U999" t="str">
        <x:f>IF(COUNTIF($B$2:$B$1076,B999)&gt;1,"重复","")</x:f>
      </x:c>
      <x:c r="V999" t="str">
        <x:f>IF(AND(OR(M999="",M999=B999),OR(N999="",N999=B999),OR(O999="",O999=B999)),"通过","不一致")</x:f>
        <x:v>通过</x:v>
      </x:c>
    </x:row>
    <x:row r="1000" ht="22" customHeight="1">
      <x:c r="A1000" s="289" t="n">
        <x:v>999</x:v>
      </x:c>
      <x:c r="B1000" s="289" t="n">
        <x:v>7019</x:v>
      </x:c>
      <x:c r="C1000" s="290" t="str">
        <x:v>翠焰冥契·冥契</x:v>
      </x:c>
      <x:c r="D1000" s="290" t="str">
        <x:v>翠焰冥契</x:v>
      </x:c>
      <x:c r="E1000" s="290" t="n">
        <x:v>3</x:v>
      </x:c>
      <x:c r="F1000" s="290" t="str">
        <x:v>生肖6</x:v>
      </x:c>
      <x:c r="G1000" s="289" t="n">
        <x:v>22</x:v>
      </x:c>
      <x:c r="H1000" s="289" t="n">
        <x:v>45</x:v>
      </x:c>
      <x:c r="I1000" s="289" t="n">
        <x:v>7019</x:v>
      </x:c>
      <x:c r="J1000" s="289" t="n">
        <x:v>0</x:v>
      </x:c>
      <x:c r="K1000" s="289" t="n">
        <x:v>4</x:v>
      </x:c>
      <x:c r="L1000" s="289" t="n">
        <x:v>6</x:v>
      </x:c>
      <x:c r="M1000" s="289" t="n">
        <x:v>7019</x:v>
      </x:c>
      <x:c r="N1000" s="289" t="n">
        <x:v>7019</x:v>
      </x:c>
      <x:c r="O1000" s="289" t="n">
        <x:v>7019</x:v>
      </x:c>
      <x:c r="P1000" s="292"/>
      <x:c r="Q1000" s="292" t="str">
        <x:v>candidate-preflight-passed</x:v>
      </x:c>
      <x:c r="R1000" s="292" t="str"/>
      <x:c r="S1000" s="292" t="str">
        <x:v>玄渊二十套全装备代码总表.xlsx</x:v>
      </x:c>
      <x:c r="T1000" s="292" t="str">
        <x:v>玄渊20套全装备视觉候选；Items/StateItem/DnItems三库同码；属性待策划填写；OverLap=4; Expand1=6</x:v>
      </x:c>
      <x:c r="U1000" t="str">
        <x:f>IF(COUNTIF($B$2:$B$1076,B1000)&gt;1,"重复","")</x:f>
      </x:c>
      <x:c r="V1000" t="str">
        <x:f>IF(AND(OR(M1000="",M1000=B1000),OR(N1000="",N1000=B1000),OR(O1000="",O1000=B1000)),"通过","不一致")</x:f>
        <x:v>通过</x:v>
      </x:c>
    </x:row>
    <x:row r="1001" ht="22" customHeight="1">
      <x:c r="A1001" s="289" t="n">
        <x:v>1000</x:v>
      </x:c>
      <x:c r="B1001" s="289" t="n">
        <x:v>7020</x:v>
      </x:c>
      <x:c r="C1001" s="290" t="str">
        <x:v>翠焰冥契·冥契</x:v>
      </x:c>
      <x:c r="D1001" s="290" t="str">
        <x:v>翠焰冥契</x:v>
      </x:c>
      <x:c r="E1001" s="290" t="n">
        <x:v>3</x:v>
      </x:c>
      <x:c r="F1001" s="290" t="str">
        <x:v>生肖7</x:v>
      </x:c>
      <x:c r="G1001" s="289" t="n">
        <x:v>22</x:v>
      </x:c>
      <x:c r="H1001" s="289" t="n">
        <x:v>46</x:v>
      </x:c>
      <x:c r="I1001" s="289" t="n">
        <x:v>7020</x:v>
      </x:c>
      <x:c r="J1001" s="289" t="n">
        <x:v>0</x:v>
      </x:c>
      <x:c r="K1001" s="289" t="n">
        <x:v>4</x:v>
      </x:c>
      <x:c r="L1001" s="289" t="n">
        <x:v>7</x:v>
      </x:c>
      <x:c r="M1001" s="289" t="n">
        <x:v>7020</x:v>
      </x:c>
      <x:c r="N1001" s="289" t="n">
        <x:v>7020</x:v>
      </x:c>
      <x:c r="O1001" s="289" t="n">
        <x:v>7020</x:v>
      </x:c>
      <x:c r="P1001" s="292"/>
      <x:c r="Q1001" s="292" t="str">
        <x:v>candidate-preflight-passed</x:v>
      </x:c>
      <x:c r="R1001" s="292" t="str"/>
      <x:c r="S1001" s="292" t="str">
        <x:v>玄渊二十套全装备代码总表.xlsx</x:v>
      </x:c>
      <x:c r="T1001" s="292" t="str">
        <x:v>玄渊20套全装备视觉候选；Items/StateItem/DnItems三库同码；属性待策划填写；OverLap=4; Expand1=7</x:v>
      </x:c>
      <x:c r="U1001" t="str">
        <x:f>IF(COUNTIF($B$2:$B$1076,B1001)&gt;1,"重复","")</x:f>
      </x:c>
      <x:c r="V1001" t="str">
        <x:f>IF(AND(OR(M1001="",M1001=B1001),OR(N1001="",N1001=B1001),OR(O1001="",O1001=B1001)),"通过","不一致")</x:f>
        <x:v>通过</x:v>
      </x:c>
    </x:row>
    <x:row r="1002" ht="22" customHeight="1">
      <x:c r="A1002" s="289" t="n">
        <x:v>1001</x:v>
      </x:c>
      <x:c r="B1002" s="289" t="n">
        <x:v>7021</x:v>
      </x:c>
      <x:c r="C1002" s="290" t="str">
        <x:v>翠焰冥契·冥契</x:v>
      </x:c>
      <x:c r="D1002" s="290" t="str">
        <x:v>翠焰冥契</x:v>
      </x:c>
      <x:c r="E1002" s="290" t="n">
        <x:v>3</x:v>
      </x:c>
      <x:c r="F1002" s="290" t="str">
        <x:v>生肖8</x:v>
      </x:c>
      <x:c r="G1002" s="289" t="n">
        <x:v>22</x:v>
      </x:c>
      <x:c r="H1002" s="289" t="n">
        <x:v>47</x:v>
      </x:c>
      <x:c r="I1002" s="289" t="n">
        <x:v>7021</x:v>
      </x:c>
      <x:c r="J1002" s="289" t="n">
        <x:v>0</x:v>
      </x:c>
      <x:c r="K1002" s="289" t="n">
        <x:v>4</x:v>
      </x:c>
      <x:c r="L1002" s="289" t="n">
        <x:v>8</x:v>
      </x:c>
      <x:c r="M1002" s="289" t="n">
        <x:v>7021</x:v>
      </x:c>
      <x:c r="N1002" s="289" t="n">
        <x:v>7021</x:v>
      </x:c>
      <x:c r="O1002" s="289" t="n">
        <x:v>7021</x:v>
      </x:c>
      <x:c r="P1002" s="292"/>
      <x:c r="Q1002" s="292" t="str">
        <x:v>candidate-preflight-passed</x:v>
      </x:c>
      <x:c r="R1002" s="292" t="str"/>
      <x:c r="S1002" s="292" t="str">
        <x:v>玄渊二十套全装备代码总表.xlsx</x:v>
      </x:c>
      <x:c r="T1002" s="292" t="str">
        <x:v>玄渊20套全装备视觉候选；Items/StateItem/DnItems三库同码；属性待策划填写；OverLap=4; Expand1=8</x:v>
      </x:c>
      <x:c r="U1002" t="str">
        <x:f>IF(COUNTIF($B$2:$B$1076,B1002)&gt;1,"重复","")</x:f>
      </x:c>
      <x:c r="V1002" t="str">
        <x:f>IF(AND(OR(M1002="",M1002=B1002),OR(N1002="",N1002=B1002),OR(O1002="",O1002=B1002)),"通过","不一致")</x:f>
        <x:v>通过</x:v>
      </x:c>
    </x:row>
    <x:row r="1003" ht="22" customHeight="1">
      <x:c r="A1003" s="289" t="n">
        <x:v>1002</x:v>
      </x:c>
      <x:c r="B1003" s="289" t="n">
        <x:v>7022</x:v>
      </x:c>
      <x:c r="C1003" s="290" t="str">
        <x:v>翠焰冥契·冥契</x:v>
      </x:c>
      <x:c r="D1003" s="290" t="str">
        <x:v>翠焰冥契</x:v>
      </x:c>
      <x:c r="E1003" s="290" t="n">
        <x:v>3</x:v>
      </x:c>
      <x:c r="F1003" s="290" t="str">
        <x:v>生肖9</x:v>
      </x:c>
      <x:c r="G1003" s="289" t="n">
        <x:v>22</x:v>
      </x:c>
      <x:c r="H1003" s="289" t="n">
        <x:v>48</x:v>
      </x:c>
      <x:c r="I1003" s="289" t="n">
        <x:v>7022</x:v>
      </x:c>
      <x:c r="J1003" s="289" t="n">
        <x:v>0</x:v>
      </x:c>
      <x:c r="K1003" s="289" t="n">
        <x:v>4</x:v>
      </x:c>
      <x:c r="L1003" s="289" t="n">
        <x:v>9</x:v>
      </x:c>
      <x:c r="M1003" s="289" t="n">
        <x:v>7022</x:v>
      </x:c>
      <x:c r="N1003" s="289" t="n">
        <x:v>7022</x:v>
      </x:c>
      <x:c r="O1003" s="289" t="n">
        <x:v>7022</x:v>
      </x:c>
      <x:c r="P1003" s="292"/>
      <x:c r="Q1003" s="292" t="str">
        <x:v>candidate-preflight-passed</x:v>
      </x:c>
      <x:c r="R1003" s="292" t="str"/>
      <x:c r="S1003" s="292" t="str">
        <x:v>玄渊二十套全装备代码总表.xlsx</x:v>
      </x:c>
      <x:c r="T1003" s="292" t="str">
        <x:v>玄渊20套全装备视觉候选；Items/StateItem/DnItems三库同码；属性待策划填写；OverLap=4; Expand1=9</x:v>
      </x:c>
      <x:c r="U1003" t="str">
        <x:f>IF(COUNTIF($B$2:$B$1076,B1003)&gt;1,"重复","")</x:f>
      </x:c>
      <x:c r="V1003" t="str">
        <x:f>IF(AND(OR(M1003="",M1003=B1003),OR(N1003="",N1003=B1003),OR(O1003="",O1003=B1003)),"通过","不一致")</x:f>
        <x:v>通过</x:v>
      </x:c>
    </x:row>
    <x:row r="1004" ht="22" customHeight="1">
      <x:c r="A1004" s="289" t="n">
        <x:v>1003</x:v>
      </x:c>
      <x:c r="B1004" s="289" t="n">
        <x:v>7023</x:v>
      </x:c>
      <x:c r="C1004" s="290" t="str">
        <x:v>翠焰冥契·冥契</x:v>
      </x:c>
      <x:c r="D1004" s="290" t="str">
        <x:v>翠焰冥契</x:v>
      </x:c>
      <x:c r="E1004" s="290" t="n">
        <x:v>3</x:v>
      </x:c>
      <x:c r="F1004" s="290" t="str">
        <x:v>生肖10</x:v>
      </x:c>
      <x:c r="G1004" s="289" t="n">
        <x:v>22</x:v>
      </x:c>
      <x:c r="H1004" s="289" t="n">
        <x:v>49</x:v>
      </x:c>
      <x:c r="I1004" s="289" t="n">
        <x:v>7023</x:v>
      </x:c>
      <x:c r="J1004" s="289" t="n">
        <x:v>0</x:v>
      </x:c>
      <x:c r="K1004" s="289" t="n">
        <x:v>4</x:v>
      </x:c>
      <x:c r="L1004" s="289" t="n">
        <x:v>10</x:v>
      </x:c>
      <x:c r="M1004" s="289" t="n">
        <x:v>7023</x:v>
      </x:c>
      <x:c r="N1004" s="289" t="n">
        <x:v>7023</x:v>
      </x:c>
      <x:c r="O1004" s="289" t="n">
        <x:v>7023</x:v>
      </x:c>
      <x:c r="P1004" s="292"/>
      <x:c r="Q1004" s="292" t="str">
        <x:v>candidate-preflight-passed</x:v>
      </x:c>
      <x:c r="R1004" s="292" t="str"/>
      <x:c r="S1004" s="292" t="str">
        <x:v>玄渊二十套全装备代码总表.xlsx</x:v>
      </x:c>
      <x:c r="T1004" s="292" t="str">
        <x:v>玄渊20套全装备视觉候选；Items/StateItem/DnItems三库同码；属性待策划填写；OverLap=4; Expand1=10</x:v>
      </x:c>
      <x:c r="U1004" t="str">
        <x:f>IF(COUNTIF($B$2:$B$1076,B1004)&gt;1,"重复","")</x:f>
      </x:c>
      <x:c r="V1004" t="str">
        <x:f>IF(AND(OR(M1004="",M1004=B1004),OR(N1004="",N1004=B1004),OR(O1004="",O1004=B1004)),"通过","不一致")</x:f>
        <x:v>通过</x:v>
      </x:c>
    </x:row>
    <x:row r="1005" ht="22" customHeight="1">
      <x:c r="A1005" s="289" t="n">
        <x:v>1004</x:v>
      </x:c>
      <x:c r="B1005" s="289" t="n">
        <x:v>7024</x:v>
      </x:c>
      <x:c r="C1005" s="290" t="str">
        <x:v>翠焰冥契·冥契</x:v>
      </x:c>
      <x:c r="D1005" s="290" t="str">
        <x:v>翠焰冥契</x:v>
      </x:c>
      <x:c r="E1005" s="290" t="n">
        <x:v>3</x:v>
      </x:c>
      <x:c r="F1005" s="290" t="str">
        <x:v>生肖11</x:v>
      </x:c>
      <x:c r="G1005" s="289" t="n">
        <x:v>22</x:v>
      </x:c>
      <x:c r="H1005" s="289" t="n">
        <x:v>50</x:v>
      </x:c>
      <x:c r="I1005" s="289" t="n">
        <x:v>7024</x:v>
      </x:c>
      <x:c r="J1005" s="289" t="n">
        <x:v>0</x:v>
      </x:c>
      <x:c r="K1005" s="289" t="n">
        <x:v>4</x:v>
      </x:c>
      <x:c r="L1005" s="289" t="n">
        <x:v>11</x:v>
      </x:c>
      <x:c r="M1005" s="289" t="n">
        <x:v>7024</x:v>
      </x:c>
      <x:c r="N1005" s="289" t="n">
        <x:v>7024</x:v>
      </x:c>
      <x:c r="O1005" s="289" t="n">
        <x:v>7024</x:v>
      </x:c>
      <x:c r="P1005" s="292"/>
      <x:c r="Q1005" s="292" t="str">
        <x:v>candidate-preflight-passed</x:v>
      </x:c>
      <x:c r="R1005" s="292" t="str"/>
      <x:c r="S1005" s="292" t="str">
        <x:v>玄渊二十套全装备代码总表.xlsx</x:v>
      </x:c>
      <x:c r="T1005" s="292" t="str">
        <x:v>玄渊20套全装备视觉候选；Items/StateItem/DnItems三库同码；属性待策划填写；OverLap=4; Expand1=11</x:v>
      </x:c>
      <x:c r="U1005" t="str">
        <x:f>IF(COUNTIF($B$2:$B$1076,B1005)&gt;1,"重复","")</x:f>
      </x:c>
      <x:c r="V1005" t="str">
        <x:f>IF(AND(OR(M1005="",M1005=B1005),OR(N1005="",N1005=B1005),OR(O1005="",O1005=B1005)),"通过","不一致")</x:f>
        <x:v>通过</x:v>
      </x:c>
    </x:row>
    <x:row r="1006" ht="22" customHeight="1">
      <x:c r="A1006" s="289" t="n">
        <x:v>1005</x:v>
      </x:c>
      <x:c r="B1006" s="289" t="n">
        <x:v>7025</x:v>
      </x:c>
      <x:c r="C1006" s="290" t="str">
        <x:v>翠焰冥契·冥契</x:v>
      </x:c>
      <x:c r="D1006" s="290" t="str">
        <x:v>翠焰冥契</x:v>
      </x:c>
      <x:c r="E1006" s="290" t="n">
        <x:v>3</x:v>
      </x:c>
      <x:c r="F1006" s="290" t="str">
        <x:v>生肖12</x:v>
      </x:c>
      <x:c r="G1006" s="289" t="n">
        <x:v>22</x:v>
      </x:c>
      <x:c r="H1006" s="289" t="n">
        <x:v>51</x:v>
      </x:c>
      <x:c r="I1006" s="289" t="n">
        <x:v>7025</x:v>
      </x:c>
      <x:c r="J1006" s="289" t="n">
        <x:v>0</x:v>
      </x:c>
      <x:c r="K1006" s="289" t="n">
        <x:v>4</x:v>
      </x:c>
      <x:c r="L1006" s="289" t="n">
        <x:v>12</x:v>
      </x:c>
      <x:c r="M1006" s="289" t="n">
        <x:v>7025</x:v>
      </x:c>
      <x:c r="N1006" s="289" t="n">
        <x:v>7025</x:v>
      </x:c>
      <x:c r="O1006" s="289" t="n">
        <x:v>7025</x:v>
      </x:c>
      <x:c r="P1006" s="292"/>
      <x:c r="Q1006" s="292" t="str">
        <x:v>candidate-preflight-passed</x:v>
      </x:c>
      <x:c r="R1006" s="292" t="str"/>
      <x:c r="S1006" s="292" t="str">
        <x:v>玄渊二十套全装备代码总表.xlsx</x:v>
      </x:c>
      <x:c r="T1006" s="292" t="str">
        <x:v>玄渊20套全装备视觉候选；Items/StateItem/DnItems三库同码；属性待策划填写；OverLap=4; Expand1=12</x:v>
      </x:c>
      <x:c r="U1006" t="str">
        <x:f>IF(COUNTIF($B$2:$B$1076,B1006)&gt;1,"重复","")</x:f>
      </x:c>
      <x:c r="V1006" t="str">
        <x:f>IF(AND(OR(M1006="",M1006=B1006),OR(N1006="",N1006=B1006),OR(O1006="",O1006=B1006)),"通过","不一致")</x:f>
        <x:v>通过</x:v>
      </x:c>
    </x:row>
    <x:row r="1007" ht="22" customHeight="1">
      <x:c r="A1007" s="289" t="n">
        <x:v>1006</x:v>
      </x:c>
      <x:c r="B1007" s="289" t="n">
        <x:v>7026</x:v>
      </x:c>
      <x:c r="C1007" s="290" t="str">
        <x:v>翠焰冥契·灾厄</x:v>
      </x:c>
      <x:c r="D1007" s="290" t="str">
        <x:v>翠焰冥契</x:v>
      </x:c>
      <x:c r="E1007" s="290" t="n">
        <x:v>4</x:v>
      </x:c>
      <x:c r="F1007" s="290" t="str">
        <x:v>武器</x:v>
      </x:c>
      <x:c r="G1007" s="289" t="n">
        <x:v>5</x:v>
      </x:c>
      <x:c r="H1007" s="289" t="n">
        <x:v>1</x:v>
      </x:c>
      <x:c r="I1007" s="289" t="n">
        <x:v>7026</x:v>
      </x:c>
      <x:c r="J1007" s="289" t="n">
        <x:v>12</x:v>
      </x:c>
      <x:c r="K1007" s="289" t="n">
        <x:v>0</x:v>
      </x:c>
      <x:c r="L1007" s="289" t="n">
        <x:v>0</x:v>
      </x:c>
      <x:c r="M1007" s="289" t="n">
        <x:v>7026</x:v>
      </x:c>
      <x:c r="N1007" s="289" t="n">
        <x:v>7026</x:v>
      </x:c>
      <x:c r="O1007" s="289" t="n">
        <x:v>7026</x:v>
      </x:c>
      <x:c r="P1007" s="292" t="str">
        <x:v>Weapon.wzl/wzx（复用现有真实动作）</x:v>
      </x:c>
      <x:c r="Q1007" s="292" t="str">
        <x:v>candidate-preflight-passed</x:v>
      </x:c>
      <x:c r="R1007" s="324" t="str">
        <x:v>C3-C10规划锁定：阿尔维萨蚀日王刃</x:v>
      </x:c>
      <x:c r="S1007" s="292" t="str">
        <x:v>玄渊二十套全装备代码总表.xlsx</x:v>
      </x:c>
      <x:c r="T1007" s="292" t="str">
        <x:v>玄渊20套全装备视觉候选；Items/StateItem/DnItems三库同码；属性待策划填写；Weapon Shape=12</x:v>
      </x:c>
      <x:c r="U1007" t="str">
        <x:f>IF(COUNTIF($B$2:$B$1076,B1007)&gt;1,"重复","")</x:f>
      </x:c>
      <x:c r="V1007" t="str">
        <x:f>IF(AND(OR(M1007="",M1007=B1007),OR(N1007="",N1007=B1007),OR(O1007="",O1007=B1007)),"通过","不一致")</x:f>
        <x:v>通过</x:v>
      </x:c>
    </x:row>
    <x:row r="1008" ht="22" customHeight="1">
      <x:c r="A1008" s="289" t="n">
        <x:v>1007</x:v>
      </x:c>
      <x:c r="B1008" s="289" t="n">
        <x:v>7027</x:v>
      </x:c>
      <x:c r="C1008" s="290" t="str">
        <x:v>翠焰冥契·灾厄</x:v>
      </x:c>
      <x:c r="D1008" s="290" t="str">
        <x:v>翠焰冥契</x:v>
      </x:c>
      <x:c r="E1008" s="290" t="n">
        <x:v>4</x:v>
      </x:c>
      <x:c r="F1008" s="290" t="str">
        <x:v>男衣服</x:v>
      </x:c>
      <x:c r="G1008" s="289" t="n">
        <x:v>10</x:v>
      </x:c>
      <x:c r="H1008" s="289" t="n">
        <x:v>0</x:v>
      </x:c>
      <x:c r="I1008" s="289" t="n">
        <x:v>7027</x:v>
      </x:c>
      <x:c r="J1008" s="289" t="n">
        <x:v>3</x:v>
      </x:c>
      <x:c r="K1008" s="289" t="n">
        <x:v>0</x:v>
      </x:c>
      <x:c r="L1008" s="289" t="n">
        <x:v>0</x:v>
      </x:c>
      <x:c r="M1008" s="289" t="n">
        <x:v>7027</x:v>
      </x:c>
      <x:c r="N1008" s="289" t="n">
        <x:v>7027</x:v>
      </x:c>
      <x:c r="O1008" s="289" t="n">
        <x:v>7027</x:v>
      </x:c>
      <x:c r="P1008" s="292" t="str">
        <x:v>Hum.wzl/wzx（复用现有真实动作）</x:v>
      </x:c>
      <x:c r="Q1008" s="292" t="str">
        <x:v>candidate-preflight-passed</x:v>
      </x:c>
      <x:c r="R1008" s="324" t="str">
        <x:v>C3-C10规划锁定：司冕月蚀礼衣</x:v>
      </x:c>
      <x:c r="S1008" s="292" t="str">
        <x:v>玄渊二十套全装备代码总表.xlsx</x:v>
      </x:c>
      <x:c r="T1008" s="292" t="str">
        <x:v>玄渊20套全装备视觉候选；Items/StateItem/DnItems三库同码；属性待策划填写；Hum Shape=3</x:v>
      </x:c>
      <x:c r="U1008" t="str">
        <x:f>IF(COUNTIF($B$2:$B$1076,B1008)&gt;1,"重复","")</x:f>
      </x:c>
      <x:c r="V1008" t="str">
        <x:f>IF(AND(OR(M1008="",M1008=B1008),OR(N1008="",N1008=B1008),OR(O1008="",O1008=B1008)),"通过","不一致")</x:f>
        <x:v>通过</x:v>
      </x:c>
    </x:row>
    <x:row r="1009" ht="22" customHeight="1">
      <x:c r="A1009" s="289" t="n">
        <x:v>1008</x:v>
      </x:c>
      <x:c r="B1009" s="289" t="n">
        <x:v>7028</x:v>
      </x:c>
      <x:c r="C1009" s="290" t="str">
        <x:v>翠焰冥契·灾厄</x:v>
      </x:c>
      <x:c r="D1009" s="290" t="str">
        <x:v>翠焰冥契</x:v>
      </x:c>
      <x:c r="E1009" s="290" t="n">
        <x:v>4</x:v>
      </x:c>
      <x:c r="F1009" s="290" t="str">
        <x:v>女衣服</x:v>
      </x:c>
      <x:c r="G1009" s="289" t="n">
        <x:v>11</x:v>
      </x:c>
      <x:c r="H1009" s="289" t="n">
        <x:v>0</x:v>
      </x:c>
      <x:c r="I1009" s="289" t="n">
        <x:v>7028</x:v>
      </x:c>
      <x:c r="J1009" s="289" t="n">
        <x:v>3</x:v>
      </x:c>
      <x:c r="K1009" s="289" t="n">
        <x:v>0</x:v>
      </x:c>
      <x:c r="L1009" s="289" t="n">
        <x:v>0</x:v>
      </x:c>
      <x:c r="M1009" s="289" t="n">
        <x:v>7028</x:v>
      </x:c>
      <x:c r="N1009" s="289" t="n">
        <x:v>7028</x:v>
      </x:c>
      <x:c r="O1009" s="289" t="n">
        <x:v>7028</x:v>
      </x:c>
      <x:c r="P1009" s="292" t="str">
        <x:v>Hum.wzl/wzx（复用现有真实动作）</x:v>
      </x:c>
      <x:c r="Q1009" s="292" t="str">
        <x:v>candidate-preflight-passed</x:v>
      </x:c>
      <x:c r="R1009" s="292" t="str"/>
      <x:c r="S1009" s="292" t="str">
        <x:v>玄渊二十套全装备代码总表.xlsx</x:v>
      </x:c>
      <x:c r="T1009" s="292" t="str">
        <x:v>玄渊20套全装备视觉候选；Items/StateItem/DnItems三库同码；属性待策划填写；Hum Shape=3</x:v>
      </x:c>
      <x:c r="U1009" t="str">
        <x:f>IF(COUNTIF($B$2:$B$1076,B1009)&gt;1,"重复","")</x:f>
      </x:c>
      <x:c r="V1009" t="str">
        <x:f>IF(AND(OR(M1009="",M1009=B1009),OR(N1009="",N1009=B1009),OR(O1009="",O1009=B1009)),"通过","不一致")</x:f>
        <x:v>通过</x:v>
      </x:c>
    </x:row>
    <x:row r="1010" ht="22" customHeight="1">
      <x:c r="A1010" s="289" t="n">
        <x:v>1009</x:v>
      </x:c>
      <x:c r="B1010" s="289" t="n">
        <x:v>7029</x:v>
      </x:c>
      <x:c r="C1010" s="290" t="str">
        <x:v>翠焰冥契·灾厄</x:v>
      </x:c>
      <x:c r="D1010" s="290" t="str">
        <x:v>翠焰冥契</x:v>
      </x:c>
      <x:c r="E1010" s="290" t="n">
        <x:v>4</x:v>
      </x:c>
      <x:c r="F1010" s="290" t="str">
        <x:v>头盔</x:v>
      </x:c>
      <x:c r="G1010" s="289" t="n">
        <x:v>15</x:v>
      </x:c>
      <x:c r="H1010" s="289" t="n">
        <x:v>4</x:v>
      </x:c>
      <x:c r="I1010" s="289" t="n">
        <x:v>7029</x:v>
      </x:c>
      <x:c r="J1010" s="289" t="n">
        <x:v>0</x:v>
      </x:c>
      <x:c r="K1010" s="289" t="n">
        <x:v>0</x:v>
      </x:c>
      <x:c r="L1010" s="289" t="n">
        <x:v>0</x:v>
      </x:c>
      <x:c r="M1010" s="289" t="n">
        <x:v>7029</x:v>
      </x:c>
      <x:c r="N1010" s="289" t="n">
        <x:v>7029</x:v>
      </x:c>
      <x:c r="O1010" s="289" t="n">
        <x:v>7029</x:v>
      </x:c>
      <x:c r="P1010" s="292"/>
      <x:c r="Q1010" s="292" t="str">
        <x:v>candidate-preflight-passed</x:v>
      </x:c>
      <x:c r="R1010" s="324" t="str">
        <x:v>C3-C10规划锁定：禁页蚀字冠</x:v>
      </x:c>
      <x:c r="S1010" s="292" t="str">
        <x:v>玄渊二十套全装备代码总表.xlsx</x:v>
      </x:c>
      <x:c r="T1010" s="292" t="str">
        <x:v>玄渊20套全装备视觉候选；Items/StateItem/DnItems三库同码；属性待策划填写</x:v>
      </x:c>
      <x:c r="U1010" t="str">
        <x:f>IF(COUNTIF($B$2:$B$1076,B1010)&gt;1,"重复","")</x:f>
      </x:c>
      <x:c r="V1010" t="str">
        <x:f>IF(AND(OR(M1010="",M1010=B1010),OR(N1010="",N1010=B1010),OR(O1010="",O1010=B1010)),"通过","不一致")</x:f>
        <x:v>通过</x:v>
      </x:c>
    </x:row>
    <x:row r="1011" ht="22" customHeight="1">
      <x:c r="A1011" s="289" t="n">
        <x:v>1010</x:v>
      </x:c>
      <x:c r="B1011" s="289" t="n">
        <x:v>7030</x:v>
      </x:c>
      <x:c r="C1011" s="290" t="str">
        <x:v>翠焰冥契·灾厄</x:v>
      </x:c>
      <x:c r="D1011" s="290" t="str">
        <x:v>翠焰冥契</x:v>
      </x:c>
      <x:c r="E1011" s="290" t="n">
        <x:v>4</x:v>
      </x:c>
      <x:c r="F1011" s="290" t="str">
        <x:v>面巾</x:v>
      </x:c>
      <x:c r="G1011" s="289" t="n">
        <x:v>16</x:v>
      </x:c>
      <x:c r="H1011" s="289" t="n">
        <x:v>13</x:v>
      </x:c>
      <x:c r="I1011" s="289" t="n">
        <x:v>7030</x:v>
      </x:c>
      <x:c r="J1011" s="289" t="n">
        <x:v>0</x:v>
      </x:c>
      <x:c r="K1011" s="289" t="n">
        <x:v>0</x:v>
      </x:c>
      <x:c r="L1011" s="289" t="n">
        <x:v>0</x:v>
      </x:c>
      <x:c r="M1011" s="289" t="n">
        <x:v>7030</x:v>
      </x:c>
      <x:c r="N1011" s="289" t="n">
        <x:v>7030</x:v>
      </x:c>
      <x:c r="O1011" s="289" t="n">
        <x:v>7030</x:v>
      </x:c>
      <x:c r="P1011" s="292"/>
      <x:c r="Q1011" s="292" t="str">
        <x:v>candidate-preflight-passed</x:v>
      </x:c>
      <x:c r="R1011" s="324" t="str">
        <x:v>C3-C10规划锁定：不葬王妃冥笠</x:v>
      </x:c>
      <x:c r="S1011" s="292" t="str">
        <x:v>玄渊二十套全装备代码总表.xlsx</x:v>
      </x:c>
      <x:c r="T1011" s="292" t="str">
        <x:v>玄渊20套全装备视觉候选；Items/StateItem/DnItems三库同码；属性待策划填写</x:v>
      </x:c>
      <x:c r="U1011" t="str">
        <x:f>IF(COUNTIF($B$2:$B$1076,B1011)&gt;1,"重复","")</x:f>
      </x:c>
      <x:c r="V1011" t="str">
        <x:f>IF(AND(OR(M1011="",M1011=B1011),OR(N1011="",N1011=B1011),OR(O1011="",O1011=B1011)),"通过","不一致")</x:f>
        <x:v>通过</x:v>
      </x:c>
    </x:row>
    <x:row r="1012" ht="22" customHeight="1">
      <x:c r="A1012" s="289" t="n">
        <x:v>1011</x:v>
      </x:c>
      <x:c r="B1012" s="289" t="n">
        <x:v>7031</x:v>
      </x:c>
      <x:c r="C1012" s="290" t="str">
        <x:v>翠焰冥契·灾厄</x:v>
      </x:c>
      <x:c r="D1012" s="290" t="str">
        <x:v>翠焰冥契</x:v>
      </x:c>
      <x:c r="E1012" s="290" t="n">
        <x:v>4</x:v>
      </x:c>
      <x:c r="F1012" s="290" t="str">
        <x:v>项链</x:v>
      </x:c>
      <x:c r="G1012" s="289" t="n">
        <x:v>19</x:v>
      </x:c>
      <x:c r="H1012" s="289" t="n">
        <x:v>3</x:v>
      </x:c>
      <x:c r="I1012" s="289" t="n">
        <x:v>7031</x:v>
      </x:c>
      <x:c r="J1012" s="289" t="n">
        <x:v>0</x:v>
      </x:c>
      <x:c r="K1012" s="289" t="n">
        <x:v>0</x:v>
      </x:c>
      <x:c r="L1012" s="289" t="n">
        <x:v>0</x:v>
      </x:c>
      <x:c r="M1012" s="289" t="n">
        <x:v>7031</x:v>
      </x:c>
      <x:c r="N1012" s="289" t="n">
        <x:v>7031</x:v>
      </x:c>
      <x:c r="O1012" s="289" t="n">
        <x:v>7031</x:v>
      </x:c>
      <x:c r="P1012" s="292"/>
      <x:c r="Q1012" s="292" t="str">
        <x:v>candidate-preflight-passed</x:v>
      </x:c>
      <x:c r="R1012" s="324" t="str">
        <x:v>C3-C10规划锁定：噤语灯芯坠</x:v>
      </x:c>
      <x:c r="S1012" s="292" t="str">
        <x:v>玄渊二十套全装备代码总表.xlsx</x:v>
      </x:c>
      <x:c r="T1012" s="292" t="str">
        <x:v>玄渊20套全装备视觉候选；Items/StateItem/DnItems三库同码；属性待策划填写</x:v>
      </x:c>
      <x:c r="U1012" t="str">
        <x:f>IF(COUNTIF($B$2:$B$1076,B1012)&gt;1,"重复","")</x:f>
      </x:c>
      <x:c r="V1012" t="str">
        <x:f>IF(AND(OR(M1012="",M1012=B1012),OR(N1012="",N1012=B1012),OR(O1012="",O1012=B1012)),"通过","不一致")</x:f>
        <x:v>通过</x:v>
      </x:c>
    </x:row>
    <x:row r="1013" ht="22" customHeight="1">
      <x:c r="A1013" s="289" t="n">
        <x:v>1012</x:v>
      </x:c>
      <x:c r="B1013" s="289" t="n">
        <x:v>7032</x:v>
      </x:c>
      <x:c r="C1013" s="290" t="str">
        <x:v>翠焰冥契·灾厄</x:v>
      </x:c>
      <x:c r="D1013" s="290" t="str">
        <x:v>翠焰冥契</x:v>
      </x:c>
      <x:c r="E1013" s="290" t="n">
        <x:v>4</x:v>
      </x:c>
      <x:c r="F1013" s="290" t="str">
        <x:v>手镯</x:v>
      </x:c>
      <x:c r="G1013" s="289" t="n">
        <x:v>26</x:v>
      </x:c>
      <x:c r="H1013" s="289" t="n">
        <x:v>5</x:v>
      </x:c>
      <x:c r="I1013" s="289" t="n">
        <x:v>7032</x:v>
      </x:c>
      <x:c r="J1013" s="289" t="n">
        <x:v>0</x:v>
      </x:c>
      <x:c r="K1013" s="289" t="n">
        <x:v>0</x:v>
      </x:c>
      <x:c r="L1013" s="289" t="n">
        <x:v>0</x:v>
      </x:c>
      <x:c r="M1013" s="289" t="n">
        <x:v>7032</x:v>
      </x:c>
      <x:c r="N1013" s="289" t="n">
        <x:v>7032</x:v>
      </x:c>
      <x:c r="O1013" s="289" t="n">
        <x:v>7032</x:v>
      </x:c>
      <x:c r="P1013" s="292"/>
      <x:c r="Q1013" s="292" t="str">
        <x:v>candidate-preflight-passed</x:v>
      </x:c>
      <x:c r="R1013" s="324" t="str">
        <x:v>C3-C10规划锁定：浮光鲛纹镯</x:v>
      </x:c>
      <x:c r="S1013" s="292" t="str">
        <x:v>玄渊二十套全装备代码总表.xlsx</x:v>
      </x:c>
      <x:c r="T1013" s="292" t="str">
        <x:v>玄渊20套全装备视觉候选；Items/StateItem/DnItems三库同码；属性待策划填写</x:v>
      </x:c>
      <x:c r="U1013" t="str">
        <x:f>IF(COUNTIF($B$2:$B$1076,B1013)&gt;1,"重复","")</x:f>
      </x:c>
      <x:c r="V1013" t="str">
        <x:f>IF(AND(OR(M1013="",M1013=B1013),OR(N1013="",N1013=B1013),OR(O1013="",O1013=B1013)),"通过","不一致")</x:f>
        <x:v>通过</x:v>
      </x:c>
    </x:row>
    <x:row r="1014" ht="22" customHeight="1">
      <x:c r="A1014" s="289" t="n">
        <x:v>1013</x:v>
      </x:c>
      <x:c r="B1014" s="289" t="n">
        <x:v>7033</x:v>
      </x:c>
      <x:c r="C1014" s="290" t="str">
        <x:v>翠焰冥契·灾厄</x:v>
      </x:c>
      <x:c r="D1014" s="290" t="str">
        <x:v>翠焰冥契</x:v>
      </x:c>
      <x:c r="E1014" s="290" t="n">
        <x:v>4</x:v>
      </x:c>
      <x:c r="F1014" s="290" t="str">
        <x:v>戒指</x:v>
      </x:c>
      <x:c r="G1014" s="289" t="n">
        <x:v>22</x:v>
      </x:c>
      <x:c r="H1014" s="289" t="n">
        <x:v>7</x:v>
      </x:c>
      <x:c r="I1014" s="289" t="n">
        <x:v>7033</x:v>
      </x:c>
      <x:c r="J1014" s="289" t="n">
        <x:v>0</x:v>
      </x:c>
      <x:c r="K1014" s="289" t="n">
        <x:v>0</x:v>
      </x:c>
      <x:c r="L1014" s="289" t="n">
        <x:v>0</x:v>
      </x:c>
      <x:c r="M1014" s="289" t="n">
        <x:v>7033</x:v>
      </x:c>
      <x:c r="N1014" s="289" t="n">
        <x:v>7033</x:v>
      </x:c>
      <x:c r="O1014" s="289" t="n">
        <x:v>7033</x:v>
      </x:c>
      <x:c r="P1014" s="292"/>
      <x:c r="Q1014" s="292" t="str">
        <x:v>candidate-preflight-passed</x:v>
      </x:c>
      <x:c r="R1014" s="324" t="str">
        <x:v>C3-C10规划锁定：夹页月痕戒</x:v>
      </x:c>
      <x:c r="S1014" s="292" t="str">
        <x:v>玄渊二十套全装备代码总表.xlsx</x:v>
      </x:c>
      <x:c r="T1014" s="292" t="str">
        <x:v>玄渊20套全装备视觉候选；Items/StateItem/DnItems三库同码；属性待策划填写</x:v>
      </x:c>
      <x:c r="U1014" t="str">
        <x:f>IF(COUNTIF($B$2:$B$1076,B1014)&gt;1,"重复","")</x:f>
      </x:c>
      <x:c r="V1014" t="str">
        <x:f>IF(AND(OR(M1014="",M1014=B1014),OR(N1014="",N1014=B1014),OR(O1014="",O1014=B1014)),"通过","不一致")</x:f>
        <x:v>通过</x:v>
      </x:c>
    </x:row>
    <x:row r="1015" ht="22" customHeight="1">
      <x:c r="A1015" s="289" t="n">
        <x:v>1014</x:v>
      </x:c>
      <x:c r="B1015" s="289" t="n">
        <x:v>7034</x:v>
      </x:c>
      <x:c r="C1015" s="290" t="str">
        <x:v>翠焰冥契·灾厄</x:v>
      </x:c>
      <x:c r="D1015" s="290" t="str">
        <x:v>翠焰冥契</x:v>
      </x:c>
      <x:c r="E1015" s="290" t="n">
        <x:v>4</x:v>
      </x:c>
      <x:c r="F1015" s="290" t="str">
        <x:v>勋章</x:v>
      </x:c>
      <x:c r="G1015" s="289" t="n">
        <x:v>30</x:v>
      </x:c>
      <x:c r="H1015" s="289" t="n">
        <x:v>2</x:v>
      </x:c>
      <x:c r="I1015" s="289" t="n">
        <x:v>7034</x:v>
      </x:c>
      <x:c r="J1015" s="289" t="n">
        <x:v>0</x:v>
      </x:c>
      <x:c r="K1015" s="289" t="n">
        <x:v>0</x:v>
      </x:c>
      <x:c r="L1015" s="289" t="n">
        <x:v>0</x:v>
      </x:c>
      <x:c r="M1015" s="289" t="n">
        <x:v>7034</x:v>
      </x:c>
      <x:c r="N1015" s="289" t="n">
        <x:v>7034</x:v>
      </x:c>
      <x:c r="O1015" s="289" t="n">
        <x:v>7034</x:v>
      </x:c>
      <x:c r="P1015" s="292"/>
      <x:c r="Q1015" s="292" t="str">
        <x:v>candidate-preflight-passed</x:v>
      </x:c>
      <x:c r="R1015" s="324" t="str">
        <x:v>C3-C10规划锁定：默祷雪章</x:v>
      </x:c>
      <x:c r="S1015" s="292" t="str">
        <x:v>玄渊二十套全装备代码总表.xlsx</x:v>
      </x:c>
      <x:c r="T1015" s="292" t="str">
        <x:v>玄渊20套全装备视觉候选；Items/StateItem/DnItems三库同码；属性待策划填写</x:v>
      </x:c>
      <x:c r="U1015" t="str">
        <x:f>IF(COUNTIF($B$2:$B$1076,B1015)&gt;1,"重复","")</x:f>
      </x:c>
      <x:c r="V1015" t="str">
        <x:f>IF(AND(OR(M1015="",M1015=B1015),OR(N1015="",N1015=B1015),OR(O1015="",O1015=B1015)),"通过","不一致")</x:f>
        <x:v>通过</x:v>
      </x:c>
    </x:row>
    <x:row r="1016" ht="22" customHeight="1">
      <x:c r="A1016" s="289" t="n">
        <x:v>1015</x:v>
      </x:c>
      <x:c r="B1016" s="289" t="n">
        <x:v>7035</x:v>
      </x:c>
      <x:c r="C1016" s="290" t="str">
        <x:v>翠焰冥契·灾厄</x:v>
      </x:c>
      <x:c r="D1016" s="290" t="str">
        <x:v>翠焰冥契</x:v>
      </x:c>
      <x:c r="E1016" s="290" t="n">
        <x:v>4</x:v>
      </x:c>
      <x:c r="F1016" s="290" t="str">
        <x:v>盾牌</x:v>
      </x:c>
      <x:c r="G1016" s="289" t="n">
        <x:v>12</x:v>
      </x:c>
      <x:c r="H1016" s="289" t="n">
        <x:v>16</x:v>
      </x:c>
      <x:c r="I1016" s="289" t="n">
        <x:v>7035</x:v>
      </x:c>
      <x:c r="J1016" s="289" t="n">
        <x:v>0</x:v>
      </x:c>
      <x:c r="K1016" s="289" t="n">
        <x:v>0</x:v>
      </x:c>
      <x:c r="L1016" s="289" t="n">
        <x:v>0</x:v>
      </x:c>
      <x:c r="M1016" s="289" t="n">
        <x:v>7035</x:v>
      </x:c>
      <x:c r="N1016" s="289" t="n">
        <x:v>7035</x:v>
      </x:c>
      <x:c r="O1016" s="289" t="n">
        <x:v>7035</x:v>
      </x:c>
      <x:c r="P1016" s="292"/>
      <x:c r="Q1016" s="292" t="str">
        <x:v>candidate-preflight-passed</x:v>
      </x:c>
      <x:c r="R1016" s="324" t="str">
        <x:v>C3-C10规划锁定：负甲熔盾</x:v>
      </x:c>
      <x:c r="S1016" s="292" t="str">
        <x:v>玄渊二十套全装备代码总表.xlsx</x:v>
      </x:c>
      <x:c r="T1016" s="292" t="str">
        <x:v>玄渊20套全装备视觉候选；Items/StateItem/DnItems三库同码；属性待策划填写</x:v>
      </x:c>
      <x:c r="U1016" t="str">
        <x:f>IF(COUNTIF($B$2:$B$1076,B1016)&gt;1,"重复","")</x:f>
      </x:c>
      <x:c r="V1016" t="str">
        <x:f>IF(AND(OR(M1016="",M1016=B1016),OR(N1016="",N1016=B1016),OR(O1016="",O1016=B1016)),"通过","不一致")</x:f>
        <x:v>通过</x:v>
      </x:c>
    </x:row>
    <x:row r="1017" ht="22" customHeight="1">
      <x:c r="A1017" s="289" t="n">
        <x:v>1016</x:v>
      </x:c>
      <x:c r="B1017" s="289" t="n">
        <x:v>7036</x:v>
      </x:c>
      <x:c r="C1017" s="290" t="str">
        <x:v>翠焰冥契·灾厄</x:v>
      </x:c>
      <x:c r="D1017" s="290" t="str">
        <x:v>翠焰冥契</x:v>
      </x:c>
      <x:c r="E1017" s="290" t="n">
        <x:v>4</x:v>
      </x:c>
      <x:c r="F1017" s="290" t="str">
        <x:v>灵玉</x:v>
      </x:c>
      <x:c r="G1017" s="289" t="n">
        <x:v>90</x:v>
      </x:c>
      <x:c r="H1017" s="289" t="n">
        <x:v>17</x:v>
      </x:c>
      <x:c r="I1017" s="289" t="n">
        <x:v>7036</x:v>
      </x:c>
      <x:c r="J1017" s="289" t="n">
        <x:v>0</x:v>
      </x:c>
      <x:c r="K1017" s="289" t="n">
        <x:v>0</x:v>
      </x:c>
      <x:c r="L1017" s="289" t="n">
        <x:v>0</x:v>
      </x:c>
      <x:c r="M1017" s="289" t="n">
        <x:v>7036</x:v>
      </x:c>
      <x:c r="N1017" s="289" t="n">
        <x:v>7036</x:v>
      </x:c>
      <x:c r="O1017" s="289" t="n">
        <x:v>7036</x:v>
      </x:c>
      <x:c r="P1017" s="292"/>
      <x:c r="Q1017" s="292" t="str">
        <x:v>candidate-preflight-passed</x:v>
      </x:c>
      <x:c r="R1017" s="292" t="str"/>
      <x:c r="S1017" s="292" t="str">
        <x:v>玄渊二十套全装备代码总表.xlsx</x:v>
      </x:c>
      <x:c r="T1017" s="292" t="str">
        <x:v>玄渊20套全装备视觉候选；Items/StateItem/DnItems三库同码；属性待策划填写</x:v>
      </x:c>
      <x:c r="U1017" t="str">
        <x:f>IF(COUNTIF($B$2:$B$1076,B1017)&gt;1,"重复","")</x:f>
      </x:c>
      <x:c r="V1017" t="str">
        <x:f>IF(AND(OR(M1017="",M1017=B1017),OR(N1017="",N1017=B1017),OR(O1017="",O1017=B1017)),"通过","不一致")</x:f>
        <x:v>通过</x:v>
      </x:c>
    </x:row>
    <x:row r="1018" ht="22" customHeight="1">
      <x:c r="A1018" s="289" t="n">
        <x:v>1017</x:v>
      </x:c>
      <x:c r="B1018" s="289" t="n">
        <x:v>7037</x:v>
      </x:c>
      <x:c r="C1018" s="290" t="str">
        <x:v>翠焰冥契·灾厄</x:v>
      </x:c>
      <x:c r="D1018" s="290" t="str">
        <x:v>翠焰冥契</x:v>
      </x:c>
      <x:c r="E1018" s="290" t="n">
        <x:v>4</x:v>
      </x:c>
      <x:c r="F1018" s="290" t="str">
        <x:v>鞋子</x:v>
      </x:c>
      <x:c r="G1018" s="289" t="n">
        <x:v>62</x:v>
      </x:c>
      <x:c r="H1018" s="289" t="n">
        <x:v>11</x:v>
      </x:c>
      <x:c r="I1018" s="289" t="n">
        <x:v>7037</x:v>
      </x:c>
      <x:c r="J1018" s="289" t="n">
        <x:v>0</x:v>
      </x:c>
      <x:c r="K1018" s="289" t="n">
        <x:v>0</x:v>
      </x:c>
      <x:c r="L1018" s="289" t="n">
        <x:v>0</x:v>
      </x:c>
      <x:c r="M1018" s="289" t="n">
        <x:v>7037</x:v>
      </x:c>
      <x:c r="N1018" s="289" t="n">
        <x:v>7037</x:v>
      </x:c>
      <x:c r="O1018" s="289" t="n">
        <x:v>7037</x:v>
      </x:c>
      <x:c r="P1018" s="292"/>
      <x:c r="Q1018" s="292" t="str">
        <x:v>candidate-preflight-passed</x:v>
      </x:c>
      <x:c r="R1018" s="324" t="str">
        <x:v>C3-C10规划锁定：蓝焰逐影履</x:v>
      </x:c>
      <x:c r="S1018" s="292" t="str">
        <x:v>玄渊二十套全装备代码总表.xlsx</x:v>
      </x:c>
      <x:c r="T1018" s="292" t="str">
        <x:v>玄渊20套全装备视觉候选；Items/StateItem/DnItems三库同码；属性待策划填写</x:v>
      </x:c>
      <x:c r="U1018" t="str">
        <x:f>IF(COUNTIF($B$2:$B$1076,B1018)&gt;1,"重复","")</x:f>
      </x:c>
      <x:c r="V1018" t="str">
        <x:f>IF(AND(OR(M1018="",M1018=B1018),OR(N1018="",N1018=B1018),OR(O1018="",O1018=B1018)),"通过","不一致")</x:f>
        <x:v>通过</x:v>
      </x:c>
    </x:row>
    <x:row r="1019" ht="22" customHeight="1">
      <x:c r="A1019" s="289" t="n">
        <x:v>1018</x:v>
      </x:c>
      <x:c r="B1019" s="289" t="n">
        <x:v>7038</x:v>
      </x:c>
      <x:c r="C1019" s="290" t="str">
        <x:v>翠焰冥契·灾厄</x:v>
      </x:c>
      <x:c r="D1019" s="290" t="str">
        <x:v>翠焰冥契</x:v>
      </x:c>
      <x:c r="E1019" s="290" t="n">
        <x:v>4</x:v>
      </x:c>
      <x:c r="F1019" s="290" t="str">
        <x:v>腰带</x:v>
      </x:c>
      <x:c r="G1019" s="289" t="n">
        <x:v>64</x:v>
      </x:c>
      <x:c r="H1019" s="289" t="n">
        <x:v>10</x:v>
      </x:c>
      <x:c r="I1019" s="289" t="n">
        <x:v>7038</x:v>
      </x:c>
      <x:c r="J1019" s="289" t="n">
        <x:v>0</x:v>
      </x:c>
      <x:c r="K1019" s="289" t="n">
        <x:v>0</x:v>
      </x:c>
      <x:c r="L1019" s="289" t="n">
        <x:v>0</x:v>
      </x:c>
      <x:c r="M1019" s="289" t="n">
        <x:v>7038</x:v>
      </x:c>
      <x:c r="N1019" s="289" t="n">
        <x:v>7038</x:v>
      </x:c>
      <x:c r="O1019" s="289" t="n">
        <x:v>7038</x:v>
      </x:c>
      <x:c r="P1019" s="292"/>
      <x:c r="Q1019" s="292" t="str">
        <x:v>candidate-preflight-passed</x:v>
      </x:c>
      <x:c r="R1019" s="324" t="str">
        <x:v>C3-C10规划锁定：灼骨腰甲</x:v>
      </x:c>
      <x:c r="S1019" s="292" t="str">
        <x:v>玄渊二十套全装备代码总表.xlsx</x:v>
      </x:c>
      <x:c r="T1019" s="292" t="str">
        <x:v>玄渊20套全装备视觉候选；Items/StateItem/DnItems三库同码；属性待策划填写</x:v>
      </x:c>
      <x:c r="U1019" t="str">
        <x:f>IF(COUNTIF($B$2:$B$1076,B1019)&gt;1,"重复","")</x:f>
      </x:c>
      <x:c r="V1019" t="str">
        <x:f>IF(AND(OR(M1019="",M1019=B1019),OR(N1019="",N1019=B1019),OR(O1019="",O1019=B1019)),"通过","不一致")</x:f>
        <x:v>通过</x:v>
      </x:c>
    </x:row>
    <x:row r="1020" ht="22" customHeight="1">
      <x:c r="A1020" s="289" t="n">
        <x:v>1019</x:v>
      </x:c>
      <x:c r="B1020" s="289" t="n">
        <x:v>7039</x:v>
      </x:c>
      <x:c r="C1020" s="290" t="str">
        <x:v>翠焰冥契·灾厄</x:v>
      </x:c>
      <x:c r="D1020" s="290" t="str">
        <x:v>翠焰冥契</x:v>
      </x:c>
      <x:c r="E1020" s="290" t="n">
        <x:v>4</x:v>
      </x:c>
      <x:c r="F1020" s="290" t="str">
        <x:v>护身符</x:v>
      </x:c>
      <x:c r="G1020" s="289" t="n">
        <x:v>25</x:v>
      </x:c>
      <x:c r="H1020" s="289" t="n">
        <x:v>9</x:v>
      </x:c>
      <x:c r="I1020" s="289" t="n">
        <x:v>7039</x:v>
      </x:c>
      <x:c r="J1020" s="289" t="n">
        <x:v>0</x:v>
      </x:c>
      <x:c r="K1020" s="289" t="n">
        <x:v>0</x:v>
      </x:c>
      <x:c r="L1020" s="289" t="n">
        <x:v>0</x:v>
      </x:c>
      <x:c r="M1020" s="289" t="n">
        <x:v>7039</x:v>
      </x:c>
      <x:c r="N1020" s="289" t="n">
        <x:v>7039</x:v>
      </x:c>
      <x:c r="O1020" s="289" t="n">
        <x:v>7039</x:v>
      </x:c>
      <x:c r="P1020" s="292"/>
      <x:c r="Q1020" s="292" t="str">
        <x:v>candidate-preflight-passed</x:v>
      </x:c>
      <x:c r="R1020" s="292" t="str"/>
      <x:c r="S1020" s="292" t="str">
        <x:v>玄渊二十套全装备代码总表.xlsx</x:v>
      </x:c>
      <x:c r="T1020" s="292" t="str">
        <x:v>玄渊20套全装备视觉候选；Items/StateItem/DnItems三库同码；属性待策划填写</x:v>
      </x:c>
      <x:c r="U1020" t="str">
        <x:f>IF(COUNTIF($B$2:$B$1076,B1020)&gt;1,"重复","")</x:f>
      </x:c>
      <x:c r="V1020" t="str">
        <x:f>IF(AND(OR(M1020="",M1020=B1020),OR(N1020="",N1020=B1020),OR(O1020="",O1020=B1020)),"通过","不一致")</x:f>
        <x:v>通过</x:v>
      </x:c>
    </x:row>
    <x:row r="1021" ht="22" customHeight="1">
      <x:c r="A1021" s="289" t="n">
        <x:v>1020</x:v>
      </x:c>
      <x:c r="B1021" s="289" t="n">
        <x:v>7040</x:v>
      </x:c>
      <x:c r="C1021" s="290" t="str">
        <x:v>翠焰冥契·灾厄</x:v>
      </x:c>
      <x:c r="D1021" s="290" t="str">
        <x:v>翠焰冥契</x:v>
      </x:c>
      <x:c r="E1021" s="290" t="n">
        <x:v>4</x:v>
      </x:c>
      <x:c r="F1021" s="290" t="str">
        <x:v>宝石</x:v>
      </x:c>
      <x:c r="G1021" s="289" t="n">
        <x:v>63</x:v>
      </x:c>
      <x:c r="H1021" s="289" t="n">
        <x:v>12</x:v>
      </x:c>
      <x:c r="I1021" s="289" t="n">
        <x:v>7040</x:v>
      </x:c>
      <x:c r="J1021" s="289" t="n">
        <x:v>0</x:v>
      </x:c>
      <x:c r="K1021" s="289" t="n">
        <x:v>0</x:v>
      </x:c>
      <x:c r="L1021" s="289" t="n">
        <x:v>0</x:v>
      </x:c>
      <x:c r="M1021" s="289" t="n">
        <x:v>7040</x:v>
      </x:c>
      <x:c r="N1021" s="289" t="n">
        <x:v>7040</x:v>
      </x:c>
      <x:c r="O1021" s="289" t="n">
        <x:v>7040</x:v>
      </x:c>
      <x:c r="P1021" s="292"/>
      <x:c r="Q1021" s="292" t="str">
        <x:v>candidate-preflight-passed</x:v>
      </x:c>
      <x:c r="R1021" s="292" t="str"/>
      <x:c r="S1021" s="292" t="str">
        <x:v>玄渊二十套全装备代码总表.xlsx</x:v>
      </x:c>
      <x:c r="T1021" s="292" t="str">
        <x:v>玄渊20套全装备视觉候选；Items/StateItem/DnItems三库同码；属性待策划填写</x:v>
      </x:c>
      <x:c r="U1021" t="str">
        <x:f>IF(COUNTIF($B$2:$B$1076,B1021)&gt;1,"重复","")</x:f>
      </x:c>
      <x:c r="V1021" t="str">
        <x:f>IF(AND(OR(M1021="",M1021=B1021),OR(N1021="",N1021=B1021),OR(O1021="",O1021=B1021)),"通过","不一致")</x:f>
        <x:v>通过</x:v>
      </x:c>
    </x:row>
    <x:row r="1022" ht="22" customHeight="1">
      <x:c r="A1022" s="289" t="n">
        <x:v>1021</x:v>
      </x:c>
      <x:c r="B1022" s="289" t="n">
        <x:v>7041</x:v>
      </x:c>
      <x:c r="C1022" s="290" t="str">
        <x:v>翠焰冥契·灾厄</x:v>
      </x:c>
      <x:c r="D1022" s="290" t="str">
        <x:v>翠焰冥契</x:v>
      </x:c>
      <x:c r="E1022" s="290" t="n">
        <x:v>4</x:v>
      </x:c>
      <x:c r="F1022" s="290" t="str">
        <x:v>军鼓</x:v>
      </x:c>
      <x:c r="G1022" s="289" t="n">
        <x:v>65</x:v>
      </x:c>
      <x:c r="H1022" s="289" t="n">
        <x:v>14</x:v>
      </x:c>
      <x:c r="I1022" s="289" t="n">
        <x:v>7041</x:v>
      </x:c>
      <x:c r="J1022" s="289" t="n">
        <x:v>0</x:v>
      </x:c>
      <x:c r="K1022" s="289" t="n">
        <x:v>0</x:v>
      </x:c>
      <x:c r="L1022" s="289" t="n">
        <x:v>0</x:v>
      </x:c>
      <x:c r="M1022" s="289" t="n">
        <x:v>7041</x:v>
      </x:c>
      <x:c r="N1022" s="289" t="n">
        <x:v>7041</x:v>
      </x:c>
      <x:c r="O1022" s="289" t="n">
        <x:v>7041</x:v>
      </x:c>
      <x:c r="P1022" s="292"/>
      <x:c r="Q1022" s="292" t="str">
        <x:v>candidate-preflight-passed</x:v>
      </x:c>
      <x:c r="R1022" s="292" t="str"/>
      <x:c r="S1022" s="292" t="str">
        <x:v>玄渊二十套全装备代码总表.xlsx</x:v>
      </x:c>
      <x:c r="T1022" s="292" t="str">
        <x:v>玄渊20套全装备视觉候选；Items/StateItem/DnItems三库同码；属性待策划填写</x:v>
      </x:c>
      <x:c r="U1022" t="str">
        <x:f>IF(COUNTIF($B$2:$B$1076,B1022)&gt;1,"重复","")</x:f>
      </x:c>
      <x:c r="V1022" t="str">
        <x:f>IF(AND(OR(M1022="",M1022=B1022),OR(N1022="",N1022=B1022),OR(O1022="",O1022=B1022)),"通过","不一致")</x:f>
        <x:v>通过</x:v>
      </x:c>
    </x:row>
    <x:row r="1023" ht="22" customHeight="1">
      <x:c r="A1023" s="289" t="n">
        <x:v>1022</x:v>
      </x:c>
      <x:c r="B1023" s="289" t="n">
        <x:v>7042</x:v>
      </x:c>
      <x:c r="C1023" s="290" t="str">
        <x:v>翠焰冥契·灾厄</x:v>
      </x:c>
      <x:c r="D1023" s="290" t="str">
        <x:v>翠焰冥契</x:v>
      </x:c>
      <x:c r="E1023" s="290" t="n">
        <x:v>4</x:v>
      </x:c>
      <x:c r="F1023" s="290" t="str">
        <x:v>马牌</x:v>
      </x:c>
      <x:c r="G1023" s="289" t="n">
        <x:v>28</x:v>
      </x:c>
      <x:c r="H1023" s="289" t="n">
        <x:v>15</x:v>
      </x:c>
      <x:c r="I1023" s="289" t="n">
        <x:v>7042</x:v>
      </x:c>
      <x:c r="J1023" s="289" t="n">
        <x:v>0</x:v>
      </x:c>
      <x:c r="K1023" s="289" t="n">
        <x:v>0</x:v>
      </x:c>
      <x:c r="L1023" s="289" t="n">
        <x:v>0</x:v>
      </x:c>
      <x:c r="M1023" s="289" t="n">
        <x:v>7042</x:v>
      </x:c>
      <x:c r="N1023" s="289" t="n">
        <x:v>7042</x:v>
      </x:c>
      <x:c r="O1023" s="289" t="n">
        <x:v>7042</x:v>
      </x:c>
      <x:c r="P1023" s="292"/>
      <x:c r="Q1023" s="292" t="str">
        <x:v>candidate-preflight-passed</x:v>
      </x:c>
      <x:c r="R1023" s="292" t="str"/>
      <x:c r="S1023" s="292" t="str">
        <x:v>玄渊二十套全装备代码总表.xlsx</x:v>
      </x:c>
      <x:c r="T1023" s="292" t="str">
        <x:v>玄渊20套全装备视觉候选；Items/StateItem/DnItems三库同码；属性待策划填写</x:v>
      </x:c>
      <x:c r="U1023" t="str">
        <x:f>IF(COUNTIF($B$2:$B$1076,B1023)&gt;1,"重复","")</x:f>
      </x:c>
      <x:c r="V1023" t="str">
        <x:f>IF(AND(OR(M1023="",M1023=B1023),OR(N1023="",N1023=B1023),OR(O1023="",O1023=B1023)),"通过","不一致")</x:f>
        <x:v>通过</x:v>
      </x:c>
    </x:row>
    <x:row r="1024" ht="22" customHeight="1">
      <x:c r="A1024" s="289" t="n">
        <x:v>1023</x:v>
      </x:c>
      <x:c r="B1024" s="289" t="n">
        <x:v>7043</x:v>
      </x:c>
      <x:c r="C1024" s="290" t="str">
        <x:v>翠焰冥契·灾厄</x:v>
      </x:c>
      <x:c r="D1024" s="290" t="str">
        <x:v>翠焰冥契</x:v>
      </x:c>
      <x:c r="E1024" s="290" t="n">
        <x:v>4</x:v>
      </x:c>
      <x:c r="F1024" s="290" t="str">
        <x:v>首饰盒1</x:v>
      </x:c>
      <x:c r="G1024" s="289" t="n">
        <x:v>22</x:v>
      </x:c>
      <x:c r="H1024" s="289" t="n">
        <x:v>30</x:v>
      </x:c>
      <x:c r="I1024" s="289" t="n">
        <x:v>7043</x:v>
      </x:c>
      <x:c r="J1024" s="289" t="n">
        <x:v>0</x:v>
      </x:c>
      <x:c r="K1024" s="289" t="n">
        <x:v>2</x:v>
      </x:c>
      <x:c r="L1024" s="289" t="n">
        <x:v>1</x:v>
      </x:c>
      <x:c r="M1024" s="289" t="n">
        <x:v>7043</x:v>
      </x:c>
      <x:c r="N1024" s="289" t="n">
        <x:v>7043</x:v>
      </x:c>
      <x:c r="O1024" s="289" t="n">
        <x:v>7043</x:v>
      </x:c>
      <x:c r="P1024" s="292"/>
      <x:c r="Q1024" s="292" t="str">
        <x:v>candidate-preflight-passed</x:v>
      </x:c>
      <x:c r="R1024" s="292" t="str"/>
      <x:c r="S1024" s="292" t="str">
        <x:v>玄渊二十套全装备代码总表.xlsx</x:v>
      </x:c>
      <x:c r="T1024" s="292" t="str">
        <x:v>玄渊20套全装备视觉候选；Items/StateItem/DnItems三库同码；属性待策划填写；OverLap=2; Expand1=1</x:v>
      </x:c>
      <x:c r="U1024" t="str">
        <x:f>IF(COUNTIF($B$2:$B$1076,B1024)&gt;1,"重复","")</x:f>
      </x:c>
      <x:c r="V1024" t="str">
        <x:f>IF(AND(OR(M1024="",M1024=B1024),OR(N1024="",N1024=B1024),OR(O1024="",O1024=B1024)),"通过","不一致")</x:f>
        <x:v>通过</x:v>
      </x:c>
    </x:row>
    <x:row r="1025" ht="22" customHeight="1">
      <x:c r="A1025" s="289" t="n">
        <x:v>1024</x:v>
      </x:c>
      <x:c r="B1025" s="289" t="n">
        <x:v>7044</x:v>
      </x:c>
      <x:c r="C1025" s="290" t="str">
        <x:v>翠焰冥契·灾厄</x:v>
      </x:c>
      <x:c r="D1025" s="290" t="str">
        <x:v>翠焰冥契</x:v>
      </x:c>
      <x:c r="E1025" s="290" t="n">
        <x:v>4</x:v>
      </x:c>
      <x:c r="F1025" s="290" t="str">
        <x:v>首饰盒2</x:v>
      </x:c>
      <x:c r="G1025" s="289" t="n">
        <x:v>22</x:v>
      </x:c>
      <x:c r="H1025" s="289" t="n">
        <x:v>31</x:v>
      </x:c>
      <x:c r="I1025" s="289" t="n">
        <x:v>7044</x:v>
      </x:c>
      <x:c r="J1025" s="289" t="n">
        <x:v>0</x:v>
      </x:c>
      <x:c r="K1025" s="289" t="n">
        <x:v>2</x:v>
      </x:c>
      <x:c r="L1025" s="289" t="n">
        <x:v>2</x:v>
      </x:c>
      <x:c r="M1025" s="289" t="n">
        <x:v>7044</x:v>
      </x:c>
      <x:c r="N1025" s="289" t="n">
        <x:v>7044</x:v>
      </x:c>
      <x:c r="O1025" s="289" t="n">
        <x:v>7044</x:v>
      </x:c>
      <x:c r="P1025" s="292"/>
      <x:c r="Q1025" s="292" t="str">
        <x:v>candidate-preflight-passed</x:v>
      </x:c>
      <x:c r="R1025" s="292" t="str"/>
      <x:c r="S1025" s="292" t="str">
        <x:v>玄渊二十套全装备代码总表.xlsx</x:v>
      </x:c>
      <x:c r="T1025" s="292" t="str">
        <x:v>玄渊20套全装备视觉候选；Items/StateItem/DnItems三库同码；属性待策划填写；OverLap=2; Expand1=2</x:v>
      </x:c>
      <x:c r="U1025" t="str">
        <x:f>IF(COUNTIF($B$2:$B$1076,B1025)&gt;1,"重复","")</x:f>
      </x:c>
      <x:c r="V1025" t="str">
        <x:f>IF(AND(OR(M1025="",M1025=B1025),OR(N1025="",N1025=B1025),OR(O1025="",O1025=B1025)),"通过","不一致")</x:f>
        <x:v>通过</x:v>
      </x:c>
    </x:row>
    <x:row r="1026" ht="22" customHeight="1">
      <x:c r="A1026" s="289" t="n">
        <x:v>1025</x:v>
      </x:c>
      <x:c r="B1026" s="289" t="n">
        <x:v>7045</x:v>
      </x:c>
      <x:c r="C1026" s="290" t="str">
        <x:v>翠焰冥契·灾厄</x:v>
      </x:c>
      <x:c r="D1026" s="290" t="str">
        <x:v>翠焰冥契</x:v>
      </x:c>
      <x:c r="E1026" s="290" t="n">
        <x:v>4</x:v>
      </x:c>
      <x:c r="F1026" s="290" t="str">
        <x:v>首饰盒3</x:v>
      </x:c>
      <x:c r="G1026" s="289" t="n">
        <x:v>22</x:v>
      </x:c>
      <x:c r="H1026" s="289" t="n">
        <x:v>32</x:v>
      </x:c>
      <x:c r="I1026" s="289" t="n">
        <x:v>7045</x:v>
      </x:c>
      <x:c r="J1026" s="289" t="n">
        <x:v>0</x:v>
      </x:c>
      <x:c r="K1026" s="289" t="n">
        <x:v>2</x:v>
      </x:c>
      <x:c r="L1026" s="289" t="n">
        <x:v>3</x:v>
      </x:c>
      <x:c r="M1026" s="289" t="n">
        <x:v>7045</x:v>
      </x:c>
      <x:c r="N1026" s="289" t="n">
        <x:v>7045</x:v>
      </x:c>
      <x:c r="O1026" s="289" t="n">
        <x:v>7045</x:v>
      </x:c>
      <x:c r="P1026" s="292"/>
      <x:c r="Q1026" s="292" t="str">
        <x:v>candidate-preflight-passed</x:v>
      </x:c>
      <x:c r="R1026" s="292" t="str"/>
      <x:c r="S1026" s="292" t="str">
        <x:v>玄渊二十套全装备代码总表.xlsx</x:v>
      </x:c>
      <x:c r="T1026" s="292" t="str">
        <x:v>玄渊20套全装备视觉候选；Items/StateItem/DnItems三库同码；属性待策划填写；OverLap=2; Expand1=3</x:v>
      </x:c>
      <x:c r="U1026" t="str">
        <x:f>IF(COUNTIF($B$2:$B$1076,B1026)&gt;1,"重复","")</x:f>
      </x:c>
      <x:c r="V1026" t="str">
        <x:f>IF(AND(OR(M1026="",M1026=B1026),OR(N1026="",N1026=B1026),OR(O1026="",O1026=B1026)),"通过","不一致")</x:f>
        <x:v>通过</x:v>
      </x:c>
    </x:row>
    <x:row r="1027" ht="22" customHeight="1">
      <x:c r="A1027" s="289" t="n">
        <x:v>1026</x:v>
      </x:c>
      <x:c r="B1027" s="289" t="n">
        <x:v>7046</x:v>
      </x:c>
      <x:c r="C1027" s="290" t="str">
        <x:v>翠焰冥契·灾厄</x:v>
      </x:c>
      <x:c r="D1027" s="290" t="str">
        <x:v>翠焰冥契</x:v>
      </x:c>
      <x:c r="E1027" s="290" t="n">
        <x:v>4</x:v>
      </x:c>
      <x:c r="F1027" s="290" t="str">
        <x:v>首饰盒4</x:v>
      </x:c>
      <x:c r="G1027" s="289" t="n">
        <x:v>22</x:v>
      </x:c>
      <x:c r="H1027" s="289" t="n">
        <x:v>33</x:v>
      </x:c>
      <x:c r="I1027" s="289" t="n">
        <x:v>7046</x:v>
      </x:c>
      <x:c r="J1027" s="289" t="n">
        <x:v>0</x:v>
      </x:c>
      <x:c r="K1027" s="289" t="n">
        <x:v>2</x:v>
      </x:c>
      <x:c r="L1027" s="289" t="n">
        <x:v>4</x:v>
      </x:c>
      <x:c r="M1027" s="289" t="n">
        <x:v>7046</x:v>
      </x:c>
      <x:c r="N1027" s="289" t="n">
        <x:v>7046</x:v>
      </x:c>
      <x:c r="O1027" s="289" t="n">
        <x:v>7046</x:v>
      </x:c>
      <x:c r="P1027" s="292"/>
      <x:c r="Q1027" s="292" t="str">
        <x:v>candidate-preflight-passed</x:v>
      </x:c>
      <x:c r="R1027" s="292" t="str"/>
      <x:c r="S1027" s="292" t="str">
        <x:v>玄渊二十套全装备代码总表.xlsx</x:v>
      </x:c>
      <x:c r="T1027" s="292" t="str">
        <x:v>玄渊20套全装备视觉候选；Items/StateItem/DnItems三库同码；属性待策划填写；OverLap=2; Expand1=4</x:v>
      </x:c>
      <x:c r="U1027" t="str">
        <x:f>IF(COUNTIF($B$2:$B$1076,B1027)&gt;1,"重复","")</x:f>
      </x:c>
      <x:c r="V1027" t="str">
        <x:f>IF(AND(OR(M1027="",M1027=B1027),OR(N1027="",N1027=B1027),OR(O1027="",O1027=B1027)),"通过","不一致")</x:f>
        <x:v>通过</x:v>
      </x:c>
    </x:row>
    <x:row r="1028" ht="22" customHeight="1">
      <x:c r="A1028" s="289" t="n">
        <x:v>1027</x:v>
      </x:c>
      <x:c r="B1028" s="289" t="n">
        <x:v>7047</x:v>
      </x:c>
      <x:c r="C1028" s="290" t="str">
        <x:v>翠焰冥契·灾厄</x:v>
      </x:c>
      <x:c r="D1028" s="290" t="str">
        <x:v>翠焰冥契</x:v>
      </x:c>
      <x:c r="E1028" s="290" t="n">
        <x:v>4</x:v>
      </x:c>
      <x:c r="F1028" s="290" t="str">
        <x:v>首饰盒5</x:v>
      </x:c>
      <x:c r="G1028" s="289" t="n">
        <x:v>22</x:v>
      </x:c>
      <x:c r="H1028" s="289" t="n">
        <x:v>34</x:v>
      </x:c>
      <x:c r="I1028" s="289" t="n">
        <x:v>7047</x:v>
      </x:c>
      <x:c r="J1028" s="289" t="n">
        <x:v>0</x:v>
      </x:c>
      <x:c r="K1028" s="289" t="n">
        <x:v>2</x:v>
      </x:c>
      <x:c r="L1028" s="289" t="n">
        <x:v>5</x:v>
      </x:c>
      <x:c r="M1028" s="289" t="n">
        <x:v>7047</x:v>
      </x:c>
      <x:c r="N1028" s="289" t="n">
        <x:v>7047</x:v>
      </x:c>
      <x:c r="O1028" s="289" t="n">
        <x:v>7047</x:v>
      </x:c>
      <x:c r="P1028" s="292"/>
      <x:c r="Q1028" s="292" t="str">
        <x:v>candidate-preflight-passed</x:v>
      </x:c>
      <x:c r="R1028" s="292" t="str"/>
      <x:c r="S1028" s="292" t="str">
        <x:v>玄渊二十套全装备代码总表.xlsx</x:v>
      </x:c>
      <x:c r="T1028" s="292" t="str">
        <x:v>玄渊20套全装备视觉候选；Items/StateItem/DnItems三库同码；属性待策划填写；OverLap=2; Expand1=5</x:v>
      </x:c>
      <x:c r="U1028" t="str">
        <x:f>IF(COUNTIF($B$2:$B$1076,B1028)&gt;1,"重复","")</x:f>
      </x:c>
      <x:c r="V1028" t="str">
        <x:f>IF(AND(OR(M1028="",M1028=B1028),OR(N1028="",N1028=B1028),OR(O1028="",O1028=B1028)),"通过","不一致")</x:f>
        <x:v>通过</x:v>
      </x:c>
    </x:row>
    <x:row r="1029" ht="22" customHeight="1">
      <x:c r="A1029" s="289" t="n">
        <x:v>1028</x:v>
      </x:c>
      <x:c r="B1029" s="289" t="n">
        <x:v>7048</x:v>
      </x:c>
      <x:c r="C1029" s="290" t="str">
        <x:v>翠焰冥契·灾厄</x:v>
      </x:c>
      <x:c r="D1029" s="290" t="str">
        <x:v>翠焰冥契</x:v>
      </x:c>
      <x:c r="E1029" s="290" t="n">
        <x:v>4</x:v>
      </x:c>
      <x:c r="F1029" s="290" t="str">
        <x:v>首饰盒6</x:v>
      </x:c>
      <x:c r="G1029" s="289" t="n">
        <x:v>22</x:v>
      </x:c>
      <x:c r="H1029" s="289" t="n">
        <x:v>35</x:v>
      </x:c>
      <x:c r="I1029" s="289" t="n">
        <x:v>7048</x:v>
      </x:c>
      <x:c r="J1029" s="289" t="n">
        <x:v>0</x:v>
      </x:c>
      <x:c r="K1029" s="289" t="n">
        <x:v>2</x:v>
      </x:c>
      <x:c r="L1029" s="289" t="n">
        <x:v>6</x:v>
      </x:c>
      <x:c r="M1029" s="289" t="n">
        <x:v>7048</x:v>
      </x:c>
      <x:c r="N1029" s="289" t="n">
        <x:v>7048</x:v>
      </x:c>
      <x:c r="O1029" s="289" t="n">
        <x:v>7048</x:v>
      </x:c>
      <x:c r="P1029" s="292"/>
      <x:c r="Q1029" s="292" t="str">
        <x:v>candidate-preflight-passed</x:v>
      </x:c>
      <x:c r="R1029" s="292" t="str"/>
      <x:c r="S1029" s="292" t="str">
        <x:v>玄渊二十套全装备代码总表.xlsx</x:v>
      </x:c>
      <x:c r="T1029" s="292" t="str">
        <x:v>玄渊20套全装备视觉候选；Items/StateItem/DnItems三库同码；属性待策划填写；OverLap=2; Expand1=6</x:v>
      </x:c>
      <x:c r="U1029" t="str">
        <x:f>IF(COUNTIF($B$2:$B$1076,B1029)&gt;1,"重复","")</x:f>
      </x:c>
      <x:c r="V1029" t="str">
        <x:f>IF(AND(OR(M1029="",M1029=B1029),OR(N1029="",N1029=B1029),OR(O1029="",O1029=B1029)),"通过","不一致")</x:f>
        <x:v>通过</x:v>
      </x:c>
    </x:row>
    <x:row r="1030" ht="22" customHeight="1">
      <x:c r="A1030" s="289" t="n">
        <x:v>1029</x:v>
      </x:c>
      <x:c r="B1030" s="289" t="n">
        <x:v>7049</x:v>
      </x:c>
      <x:c r="C1030" s="290" t="str">
        <x:v>翠焰冥契·灾厄</x:v>
      </x:c>
      <x:c r="D1030" s="290" t="str">
        <x:v>翠焰冥契</x:v>
      </x:c>
      <x:c r="E1030" s="290" t="n">
        <x:v>4</x:v>
      </x:c>
      <x:c r="F1030" s="290" t="str">
        <x:v>生肖1</x:v>
      </x:c>
      <x:c r="G1030" s="289" t="n">
        <x:v>22</x:v>
      </x:c>
      <x:c r="H1030" s="289" t="n">
        <x:v>40</x:v>
      </x:c>
      <x:c r="I1030" s="289" t="n">
        <x:v>7049</x:v>
      </x:c>
      <x:c r="J1030" s="289" t="n">
        <x:v>0</x:v>
      </x:c>
      <x:c r="K1030" s="289" t="n">
        <x:v>4</x:v>
      </x:c>
      <x:c r="L1030" s="289" t="n">
        <x:v>1</x:v>
      </x:c>
      <x:c r="M1030" s="289" t="n">
        <x:v>7049</x:v>
      </x:c>
      <x:c r="N1030" s="289" t="n">
        <x:v>7049</x:v>
      </x:c>
      <x:c r="O1030" s="289" t="n">
        <x:v>7049</x:v>
      </x:c>
      <x:c r="P1030" s="292"/>
      <x:c r="Q1030" s="292" t="str">
        <x:v>candidate-preflight-passed</x:v>
      </x:c>
      <x:c r="R1030" s="292" t="str"/>
      <x:c r="S1030" s="292" t="str">
        <x:v>玄渊二十套全装备代码总表.xlsx</x:v>
      </x:c>
      <x:c r="T1030" s="292" t="str">
        <x:v>玄渊20套全装备视觉候选；Items/StateItem/DnItems三库同码；属性待策划填写；OverLap=4; Expand1=1</x:v>
      </x:c>
      <x:c r="U1030" t="str">
        <x:f>IF(COUNTIF($B$2:$B$1076,B1030)&gt;1,"重复","")</x:f>
      </x:c>
      <x:c r="V1030" t="str">
        <x:f>IF(AND(OR(M1030="",M1030=B1030),OR(N1030="",N1030=B1030),OR(O1030="",O1030=B1030)),"通过","不一致")</x:f>
        <x:v>通过</x:v>
      </x:c>
    </x:row>
    <x:row r="1031" ht="22" customHeight="1">
      <x:c r="A1031" s="289" t="n">
        <x:v>1030</x:v>
      </x:c>
      <x:c r="B1031" s="289" t="n">
        <x:v>7050</x:v>
      </x:c>
      <x:c r="C1031" s="290" t="str">
        <x:v>翠焰冥契·灾厄</x:v>
      </x:c>
      <x:c r="D1031" s="290" t="str">
        <x:v>翠焰冥契</x:v>
      </x:c>
      <x:c r="E1031" s="290" t="n">
        <x:v>4</x:v>
      </x:c>
      <x:c r="F1031" s="290" t="str">
        <x:v>生肖2</x:v>
      </x:c>
      <x:c r="G1031" s="289" t="n">
        <x:v>22</x:v>
      </x:c>
      <x:c r="H1031" s="289" t="n">
        <x:v>41</x:v>
      </x:c>
      <x:c r="I1031" s="289" t="n">
        <x:v>7050</x:v>
      </x:c>
      <x:c r="J1031" s="289" t="n">
        <x:v>0</x:v>
      </x:c>
      <x:c r="K1031" s="289" t="n">
        <x:v>4</x:v>
      </x:c>
      <x:c r="L1031" s="289" t="n">
        <x:v>2</x:v>
      </x:c>
      <x:c r="M1031" s="289" t="n">
        <x:v>7050</x:v>
      </x:c>
      <x:c r="N1031" s="289" t="n">
        <x:v>7050</x:v>
      </x:c>
      <x:c r="O1031" s="289" t="n">
        <x:v>7050</x:v>
      </x:c>
      <x:c r="P1031" s="292"/>
      <x:c r="Q1031" s="292" t="str">
        <x:v>candidate-preflight-passed</x:v>
      </x:c>
      <x:c r="R1031" s="292" t="str"/>
      <x:c r="S1031" s="292" t="str">
        <x:v>玄渊二十套全装备代码总表.xlsx</x:v>
      </x:c>
      <x:c r="T1031" s="292" t="str">
        <x:v>玄渊20套全装备视觉候选；Items/StateItem/DnItems三库同码；属性待策划填写；OverLap=4; Expand1=2</x:v>
      </x:c>
      <x:c r="U1031" t="str">
        <x:f>IF(COUNTIF($B$2:$B$1076,B1031)&gt;1,"重复","")</x:f>
      </x:c>
      <x:c r="V1031" t="str">
        <x:f>IF(AND(OR(M1031="",M1031=B1031),OR(N1031="",N1031=B1031),OR(O1031="",O1031=B1031)),"通过","不一致")</x:f>
        <x:v>通过</x:v>
      </x:c>
    </x:row>
    <x:row r="1032" ht="22" customHeight="1">
      <x:c r="A1032" s="289" t="n">
        <x:v>1031</x:v>
      </x:c>
      <x:c r="B1032" s="289" t="n">
        <x:v>7051</x:v>
      </x:c>
      <x:c r="C1032" s="290" t="str">
        <x:v>翠焰冥契·灾厄</x:v>
      </x:c>
      <x:c r="D1032" s="290" t="str">
        <x:v>翠焰冥契</x:v>
      </x:c>
      <x:c r="E1032" s="290" t="n">
        <x:v>4</x:v>
      </x:c>
      <x:c r="F1032" s="290" t="str">
        <x:v>生肖3</x:v>
      </x:c>
      <x:c r="G1032" s="289" t="n">
        <x:v>22</x:v>
      </x:c>
      <x:c r="H1032" s="289" t="n">
        <x:v>42</x:v>
      </x:c>
      <x:c r="I1032" s="289" t="n">
        <x:v>7051</x:v>
      </x:c>
      <x:c r="J1032" s="289" t="n">
        <x:v>0</x:v>
      </x:c>
      <x:c r="K1032" s="289" t="n">
        <x:v>4</x:v>
      </x:c>
      <x:c r="L1032" s="289" t="n">
        <x:v>3</x:v>
      </x:c>
      <x:c r="M1032" s="289" t="n">
        <x:v>7051</x:v>
      </x:c>
      <x:c r="N1032" s="289" t="n">
        <x:v>7051</x:v>
      </x:c>
      <x:c r="O1032" s="289" t="n">
        <x:v>7051</x:v>
      </x:c>
      <x:c r="P1032" s="292"/>
      <x:c r="Q1032" s="292" t="str">
        <x:v>candidate-preflight-passed</x:v>
      </x:c>
      <x:c r="R1032" s="292" t="str"/>
      <x:c r="S1032" s="292" t="str">
        <x:v>玄渊二十套全装备代码总表.xlsx</x:v>
      </x:c>
      <x:c r="T1032" s="292" t="str">
        <x:v>玄渊20套全装备视觉候选；Items/StateItem/DnItems三库同码；属性待策划填写；OverLap=4; Expand1=3</x:v>
      </x:c>
      <x:c r="U1032" t="str">
        <x:f>IF(COUNTIF($B$2:$B$1076,B1032)&gt;1,"重复","")</x:f>
      </x:c>
      <x:c r="V1032" t="str">
        <x:f>IF(AND(OR(M1032="",M1032=B1032),OR(N1032="",N1032=B1032),OR(O1032="",O1032=B1032)),"通过","不一致")</x:f>
        <x:v>通过</x:v>
      </x:c>
    </x:row>
    <x:row r="1033" ht="22" customHeight="1">
      <x:c r="A1033" s="289" t="n">
        <x:v>1032</x:v>
      </x:c>
      <x:c r="B1033" s="289" t="n">
        <x:v>7052</x:v>
      </x:c>
      <x:c r="C1033" s="290" t="str">
        <x:v>翠焰冥契·灾厄</x:v>
      </x:c>
      <x:c r="D1033" s="290" t="str">
        <x:v>翠焰冥契</x:v>
      </x:c>
      <x:c r="E1033" s="290" t="n">
        <x:v>4</x:v>
      </x:c>
      <x:c r="F1033" s="290" t="str">
        <x:v>生肖4</x:v>
      </x:c>
      <x:c r="G1033" s="289" t="n">
        <x:v>22</x:v>
      </x:c>
      <x:c r="H1033" s="289" t="n">
        <x:v>43</x:v>
      </x:c>
      <x:c r="I1033" s="289" t="n">
        <x:v>7052</x:v>
      </x:c>
      <x:c r="J1033" s="289" t="n">
        <x:v>0</x:v>
      </x:c>
      <x:c r="K1033" s="289" t="n">
        <x:v>4</x:v>
      </x:c>
      <x:c r="L1033" s="289" t="n">
        <x:v>4</x:v>
      </x:c>
      <x:c r="M1033" s="289" t="n">
        <x:v>7052</x:v>
      </x:c>
      <x:c r="N1033" s="289" t="n">
        <x:v>7052</x:v>
      </x:c>
      <x:c r="O1033" s="289" t="n">
        <x:v>7052</x:v>
      </x:c>
      <x:c r="P1033" s="292"/>
      <x:c r="Q1033" s="292" t="str">
        <x:v>candidate-preflight-passed</x:v>
      </x:c>
      <x:c r="R1033" s="292" t="str"/>
      <x:c r="S1033" s="292" t="str">
        <x:v>玄渊二十套全装备代码总表.xlsx</x:v>
      </x:c>
      <x:c r="T1033" s="292" t="str">
        <x:v>玄渊20套全装备视觉候选；Items/StateItem/DnItems三库同码；属性待策划填写；OverLap=4; Expand1=4</x:v>
      </x:c>
      <x:c r="U1033" t="str">
        <x:f>IF(COUNTIF($B$2:$B$1076,B1033)&gt;1,"重复","")</x:f>
      </x:c>
      <x:c r="V1033" t="str">
        <x:f>IF(AND(OR(M1033="",M1033=B1033),OR(N1033="",N1033=B1033),OR(O1033="",O1033=B1033)),"通过","不一致")</x:f>
        <x:v>通过</x:v>
      </x:c>
    </x:row>
    <x:row r="1034" ht="22" customHeight="1">
      <x:c r="A1034" s="289" t="n">
        <x:v>1033</x:v>
      </x:c>
      <x:c r="B1034" s="289" t="n">
        <x:v>7053</x:v>
      </x:c>
      <x:c r="C1034" s="290" t="str">
        <x:v>翠焰冥契·灾厄</x:v>
      </x:c>
      <x:c r="D1034" s="290" t="str">
        <x:v>翠焰冥契</x:v>
      </x:c>
      <x:c r="E1034" s="290" t="n">
        <x:v>4</x:v>
      </x:c>
      <x:c r="F1034" s="290" t="str">
        <x:v>生肖5</x:v>
      </x:c>
      <x:c r="G1034" s="289" t="n">
        <x:v>22</x:v>
      </x:c>
      <x:c r="H1034" s="289" t="n">
        <x:v>44</x:v>
      </x:c>
      <x:c r="I1034" s="289" t="n">
        <x:v>7053</x:v>
      </x:c>
      <x:c r="J1034" s="289" t="n">
        <x:v>0</x:v>
      </x:c>
      <x:c r="K1034" s="289" t="n">
        <x:v>4</x:v>
      </x:c>
      <x:c r="L1034" s="289" t="n">
        <x:v>5</x:v>
      </x:c>
      <x:c r="M1034" s="289" t="n">
        <x:v>7053</x:v>
      </x:c>
      <x:c r="N1034" s="289" t="n">
        <x:v>7053</x:v>
      </x:c>
      <x:c r="O1034" s="289" t="n">
        <x:v>7053</x:v>
      </x:c>
      <x:c r="P1034" s="292"/>
      <x:c r="Q1034" s="292" t="str">
        <x:v>candidate-preflight-passed</x:v>
      </x:c>
      <x:c r="R1034" s="292" t="str"/>
      <x:c r="S1034" s="292" t="str">
        <x:v>玄渊二十套全装备代码总表.xlsx</x:v>
      </x:c>
      <x:c r="T1034" s="292" t="str">
        <x:v>玄渊20套全装备视觉候选；Items/StateItem/DnItems三库同码；属性待策划填写；OverLap=4; Expand1=5</x:v>
      </x:c>
      <x:c r="U1034" t="str">
        <x:f>IF(COUNTIF($B$2:$B$1076,B1034)&gt;1,"重复","")</x:f>
      </x:c>
      <x:c r="V1034" t="str">
        <x:f>IF(AND(OR(M1034="",M1034=B1034),OR(N1034="",N1034=B1034),OR(O1034="",O1034=B1034)),"通过","不一致")</x:f>
        <x:v>通过</x:v>
      </x:c>
    </x:row>
    <x:row r="1035" ht="22" customHeight="1">
      <x:c r="A1035" s="289" t="n">
        <x:v>1034</x:v>
      </x:c>
      <x:c r="B1035" s="289" t="n">
        <x:v>7054</x:v>
      </x:c>
      <x:c r="C1035" s="290" t="str">
        <x:v>翠焰冥契·灾厄</x:v>
      </x:c>
      <x:c r="D1035" s="290" t="str">
        <x:v>翠焰冥契</x:v>
      </x:c>
      <x:c r="E1035" s="290" t="n">
        <x:v>4</x:v>
      </x:c>
      <x:c r="F1035" s="290" t="str">
        <x:v>生肖6</x:v>
      </x:c>
      <x:c r="G1035" s="289" t="n">
        <x:v>22</x:v>
      </x:c>
      <x:c r="H1035" s="289" t="n">
        <x:v>45</x:v>
      </x:c>
      <x:c r="I1035" s="289" t="n">
        <x:v>7054</x:v>
      </x:c>
      <x:c r="J1035" s="289" t="n">
        <x:v>0</x:v>
      </x:c>
      <x:c r="K1035" s="289" t="n">
        <x:v>4</x:v>
      </x:c>
      <x:c r="L1035" s="289" t="n">
        <x:v>6</x:v>
      </x:c>
      <x:c r="M1035" s="289" t="n">
        <x:v>7054</x:v>
      </x:c>
      <x:c r="N1035" s="289" t="n">
        <x:v>7054</x:v>
      </x:c>
      <x:c r="O1035" s="289" t="n">
        <x:v>7054</x:v>
      </x:c>
      <x:c r="P1035" s="292"/>
      <x:c r="Q1035" s="292" t="str">
        <x:v>candidate-preflight-passed</x:v>
      </x:c>
      <x:c r="R1035" s="292" t="str"/>
      <x:c r="S1035" s="292" t="str">
        <x:v>玄渊二十套全装备代码总表.xlsx</x:v>
      </x:c>
      <x:c r="T1035" s="292" t="str">
        <x:v>玄渊20套全装备视觉候选；Items/StateItem/DnItems三库同码；属性待策划填写；OverLap=4; Expand1=6</x:v>
      </x:c>
      <x:c r="U1035" t="str">
        <x:f>IF(COUNTIF($B$2:$B$1076,B1035)&gt;1,"重复","")</x:f>
      </x:c>
      <x:c r="V1035" t="str">
        <x:f>IF(AND(OR(M1035="",M1035=B1035),OR(N1035="",N1035=B1035),OR(O1035="",O1035=B1035)),"通过","不一致")</x:f>
        <x:v>通过</x:v>
      </x:c>
    </x:row>
    <x:row r="1036" ht="22" customHeight="1">
      <x:c r="A1036" s="289" t="n">
        <x:v>1035</x:v>
      </x:c>
      <x:c r="B1036" s="289" t="n">
        <x:v>7055</x:v>
      </x:c>
      <x:c r="C1036" s="290" t="str">
        <x:v>翠焰冥契·灾厄</x:v>
      </x:c>
      <x:c r="D1036" s="290" t="str">
        <x:v>翠焰冥契</x:v>
      </x:c>
      <x:c r="E1036" s="290" t="n">
        <x:v>4</x:v>
      </x:c>
      <x:c r="F1036" s="290" t="str">
        <x:v>生肖7</x:v>
      </x:c>
      <x:c r="G1036" s="289" t="n">
        <x:v>22</x:v>
      </x:c>
      <x:c r="H1036" s="289" t="n">
        <x:v>46</x:v>
      </x:c>
      <x:c r="I1036" s="289" t="n">
        <x:v>7055</x:v>
      </x:c>
      <x:c r="J1036" s="289" t="n">
        <x:v>0</x:v>
      </x:c>
      <x:c r="K1036" s="289" t="n">
        <x:v>4</x:v>
      </x:c>
      <x:c r="L1036" s="289" t="n">
        <x:v>7</x:v>
      </x:c>
      <x:c r="M1036" s="289" t="n">
        <x:v>7055</x:v>
      </x:c>
      <x:c r="N1036" s="289" t="n">
        <x:v>7055</x:v>
      </x:c>
      <x:c r="O1036" s="289" t="n">
        <x:v>7055</x:v>
      </x:c>
      <x:c r="P1036" s="292"/>
      <x:c r="Q1036" s="292" t="str">
        <x:v>candidate-preflight-passed</x:v>
      </x:c>
      <x:c r="R1036" s="292" t="str"/>
      <x:c r="S1036" s="292" t="str">
        <x:v>玄渊二十套全装备代码总表.xlsx</x:v>
      </x:c>
      <x:c r="T1036" s="292" t="str">
        <x:v>玄渊20套全装备视觉候选；Items/StateItem/DnItems三库同码；属性待策划填写；OverLap=4; Expand1=7</x:v>
      </x:c>
      <x:c r="U1036" t="str">
        <x:f>IF(COUNTIF($B$2:$B$1076,B1036)&gt;1,"重复","")</x:f>
      </x:c>
      <x:c r="V1036" t="str">
        <x:f>IF(AND(OR(M1036="",M1036=B1036),OR(N1036="",N1036=B1036),OR(O1036="",O1036=B1036)),"通过","不一致")</x:f>
        <x:v>通过</x:v>
      </x:c>
    </x:row>
    <x:row r="1037" ht="22" customHeight="1">
      <x:c r="A1037" s="289" t="n">
        <x:v>1036</x:v>
      </x:c>
      <x:c r="B1037" s="289" t="n">
        <x:v>7056</x:v>
      </x:c>
      <x:c r="C1037" s="290" t="str">
        <x:v>翠焰冥契·灾厄</x:v>
      </x:c>
      <x:c r="D1037" s="290" t="str">
        <x:v>翠焰冥契</x:v>
      </x:c>
      <x:c r="E1037" s="290" t="n">
        <x:v>4</x:v>
      </x:c>
      <x:c r="F1037" s="290" t="str">
        <x:v>生肖8</x:v>
      </x:c>
      <x:c r="G1037" s="289" t="n">
        <x:v>22</x:v>
      </x:c>
      <x:c r="H1037" s="289" t="n">
        <x:v>47</x:v>
      </x:c>
      <x:c r="I1037" s="289" t="n">
        <x:v>7056</x:v>
      </x:c>
      <x:c r="J1037" s="289" t="n">
        <x:v>0</x:v>
      </x:c>
      <x:c r="K1037" s="289" t="n">
        <x:v>4</x:v>
      </x:c>
      <x:c r="L1037" s="289" t="n">
        <x:v>8</x:v>
      </x:c>
      <x:c r="M1037" s="289" t="n">
        <x:v>7056</x:v>
      </x:c>
      <x:c r="N1037" s="289" t="n">
        <x:v>7056</x:v>
      </x:c>
      <x:c r="O1037" s="289" t="n">
        <x:v>7056</x:v>
      </x:c>
      <x:c r="P1037" s="292"/>
      <x:c r="Q1037" s="292" t="str">
        <x:v>candidate-preflight-passed</x:v>
      </x:c>
      <x:c r="R1037" s="292" t="str"/>
      <x:c r="S1037" s="292" t="str">
        <x:v>玄渊二十套全装备代码总表.xlsx</x:v>
      </x:c>
      <x:c r="T1037" s="292" t="str">
        <x:v>玄渊20套全装备视觉候选；Items/StateItem/DnItems三库同码；属性待策划填写；OverLap=4; Expand1=8</x:v>
      </x:c>
      <x:c r="U1037" t="str">
        <x:f>IF(COUNTIF($B$2:$B$1076,B1037)&gt;1,"重复","")</x:f>
      </x:c>
      <x:c r="V1037" t="str">
        <x:f>IF(AND(OR(M1037="",M1037=B1037),OR(N1037="",N1037=B1037),OR(O1037="",O1037=B1037)),"通过","不一致")</x:f>
        <x:v>通过</x:v>
      </x:c>
    </x:row>
    <x:row r="1038" ht="22" customHeight="1">
      <x:c r="A1038" s="289" t="n">
        <x:v>1037</x:v>
      </x:c>
      <x:c r="B1038" s="289" t="n">
        <x:v>7057</x:v>
      </x:c>
      <x:c r="C1038" s="290" t="str">
        <x:v>翠焰冥契·灾厄</x:v>
      </x:c>
      <x:c r="D1038" s="290" t="str">
        <x:v>翠焰冥契</x:v>
      </x:c>
      <x:c r="E1038" s="290" t="n">
        <x:v>4</x:v>
      </x:c>
      <x:c r="F1038" s="290" t="str">
        <x:v>生肖9</x:v>
      </x:c>
      <x:c r="G1038" s="289" t="n">
        <x:v>22</x:v>
      </x:c>
      <x:c r="H1038" s="289" t="n">
        <x:v>48</x:v>
      </x:c>
      <x:c r="I1038" s="289" t="n">
        <x:v>7057</x:v>
      </x:c>
      <x:c r="J1038" s="289" t="n">
        <x:v>0</x:v>
      </x:c>
      <x:c r="K1038" s="289" t="n">
        <x:v>4</x:v>
      </x:c>
      <x:c r="L1038" s="289" t="n">
        <x:v>9</x:v>
      </x:c>
      <x:c r="M1038" s="289" t="n">
        <x:v>7057</x:v>
      </x:c>
      <x:c r="N1038" s="289" t="n">
        <x:v>7057</x:v>
      </x:c>
      <x:c r="O1038" s="289" t="n">
        <x:v>7057</x:v>
      </x:c>
      <x:c r="P1038" s="292"/>
      <x:c r="Q1038" s="292" t="str">
        <x:v>candidate-preflight-passed</x:v>
      </x:c>
      <x:c r="R1038" s="292" t="str"/>
      <x:c r="S1038" s="292" t="str">
        <x:v>玄渊二十套全装备代码总表.xlsx</x:v>
      </x:c>
      <x:c r="T1038" s="292" t="str">
        <x:v>玄渊20套全装备视觉候选；Items/StateItem/DnItems三库同码；属性待策划填写；OverLap=4; Expand1=9</x:v>
      </x:c>
      <x:c r="U1038" t="str">
        <x:f>IF(COUNTIF($B$2:$B$1076,B1038)&gt;1,"重复","")</x:f>
      </x:c>
      <x:c r="V1038" t="str">
        <x:f>IF(AND(OR(M1038="",M1038=B1038),OR(N1038="",N1038=B1038),OR(O1038="",O1038=B1038)),"通过","不一致")</x:f>
        <x:v>通过</x:v>
      </x:c>
    </x:row>
    <x:row r="1039" ht="22" customHeight="1">
      <x:c r="A1039" s="289" t="n">
        <x:v>1038</x:v>
      </x:c>
      <x:c r="B1039" s="289" t="n">
        <x:v>7058</x:v>
      </x:c>
      <x:c r="C1039" s="290" t="str">
        <x:v>翠焰冥契·灾厄</x:v>
      </x:c>
      <x:c r="D1039" s="290" t="str">
        <x:v>翠焰冥契</x:v>
      </x:c>
      <x:c r="E1039" s="290" t="n">
        <x:v>4</x:v>
      </x:c>
      <x:c r="F1039" s="290" t="str">
        <x:v>生肖10</x:v>
      </x:c>
      <x:c r="G1039" s="289" t="n">
        <x:v>22</x:v>
      </x:c>
      <x:c r="H1039" s="289" t="n">
        <x:v>49</x:v>
      </x:c>
      <x:c r="I1039" s="289" t="n">
        <x:v>7058</x:v>
      </x:c>
      <x:c r="J1039" s="289" t="n">
        <x:v>0</x:v>
      </x:c>
      <x:c r="K1039" s="289" t="n">
        <x:v>4</x:v>
      </x:c>
      <x:c r="L1039" s="289" t="n">
        <x:v>10</x:v>
      </x:c>
      <x:c r="M1039" s="289" t="n">
        <x:v>7058</x:v>
      </x:c>
      <x:c r="N1039" s="289" t="n">
        <x:v>7058</x:v>
      </x:c>
      <x:c r="O1039" s="289" t="n">
        <x:v>7058</x:v>
      </x:c>
      <x:c r="P1039" s="292"/>
      <x:c r="Q1039" s="292" t="str">
        <x:v>candidate-preflight-passed</x:v>
      </x:c>
      <x:c r="R1039" s="292" t="str"/>
      <x:c r="S1039" s="292" t="str">
        <x:v>玄渊二十套全装备代码总表.xlsx</x:v>
      </x:c>
      <x:c r="T1039" s="292" t="str">
        <x:v>玄渊20套全装备视觉候选；Items/StateItem/DnItems三库同码；属性待策划填写；OverLap=4; Expand1=10</x:v>
      </x:c>
      <x:c r="U1039" t="str">
        <x:f>IF(COUNTIF($B$2:$B$1076,B1039)&gt;1,"重复","")</x:f>
      </x:c>
      <x:c r="V1039" t="str">
        <x:f>IF(AND(OR(M1039="",M1039=B1039),OR(N1039="",N1039=B1039),OR(O1039="",O1039=B1039)),"通过","不一致")</x:f>
        <x:v>通过</x:v>
      </x:c>
    </x:row>
    <x:row r="1040" ht="22" customHeight="1">
      <x:c r="A1040" s="289" t="n">
        <x:v>1039</x:v>
      </x:c>
      <x:c r="B1040" s="289" t="n">
        <x:v>7059</x:v>
      </x:c>
      <x:c r="C1040" s="290" t="str">
        <x:v>翠焰冥契·灾厄</x:v>
      </x:c>
      <x:c r="D1040" s="290" t="str">
        <x:v>翠焰冥契</x:v>
      </x:c>
      <x:c r="E1040" s="290" t="n">
        <x:v>4</x:v>
      </x:c>
      <x:c r="F1040" s="290" t="str">
        <x:v>生肖11</x:v>
      </x:c>
      <x:c r="G1040" s="289" t="n">
        <x:v>22</x:v>
      </x:c>
      <x:c r="H1040" s="289" t="n">
        <x:v>50</x:v>
      </x:c>
      <x:c r="I1040" s="289" t="n">
        <x:v>7059</x:v>
      </x:c>
      <x:c r="J1040" s="289" t="n">
        <x:v>0</x:v>
      </x:c>
      <x:c r="K1040" s="289" t="n">
        <x:v>4</x:v>
      </x:c>
      <x:c r="L1040" s="289" t="n">
        <x:v>11</x:v>
      </x:c>
      <x:c r="M1040" s="289" t="n">
        <x:v>7059</x:v>
      </x:c>
      <x:c r="N1040" s="289" t="n">
        <x:v>7059</x:v>
      </x:c>
      <x:c r="O1040" s="289" t="n">
        <x:v>7059</x:v>
      </x:c>
      <x:c r="P1040" s="292"/>
      <x:c r="Q1040" s="292" t="str">
        <x:v>candidate-preflight-passed</x:v>
      </x:c>
      <x:c r="R1040" s="292" t="str"/>
      <x:c r="S1040" s="292" t="str">
        <x:v>玄渊二十套全装备代码总表.xlsx</x:v>
      </x:c>
      <x:c r="T1040" s="292" t="str">
        <x:v>玄渊20套全装备视觉候选；Items/StateItem/DnItems三库同码；属性待策划填写；OverLap=4; Expand1=11</x:v>
      </x:c>
      <x:c r="U1040" t="str">
        <x:f>IF(COUNTIF($B$2:$B$1076,B1040)&gt;1,"重复","")</x:f>
      </x:c>
      <x:c r="V1040" t="str">
        <x:f>IF(AND(OR(M1040="",M1040=B1040),OR(N1040="",N1040=B1040),OR(O1040="",O1040=B1040)),"通过","不一致")</x:f>
        <x:v>通过</x:v>
      </x:c>
    </x:row>
    <x:row r="1041" ht="22" customHeight="1">
      <x:c r="A1041" s="289" t="n">
        <x:v>1040</x:v>
      </x:c>
      <x:c r="B1041" s="289" t="n">
        <x:v>7060</x:v>
      </x:c>
      <x:c r="C1041" s="290" t="str">
        <x:v>翠焰冥契·灾厄</x:v>
      </x:c>
      <x:c r="D1041" s="290" t="str">
        <x:v>翠焰冥契</x:v>
      </x:c>
      <x:c r="E1041" s="290" t="n">
        <x:v>4</x:v>
      </x:c>
      <x:c r="F1041" s="290" t="str">
        <x:v>生肖12</x:v>
      </x:c>
      <x:c r="G1041" s="289" t="n">
        <x:v>22</x:v>
      </x:c>
      <x:c r="H1041" s="289" t="n">
        <x:v>51</x:v>
      </x:c>
      <x:c r="I1041" s="289" t="n">
        <x:v>7060</x:v>
      </x:c>
      <x:c r="J1041" s="289" t="n">
        <x:v>0</x:v>
      </x:c>
      <x:c r="K1041" s="289" t="n">
        <x:v>4</x:v>
      </x:c>
      <x:c r="L1041" s="289" t="n">
        <x:v>12</x:v>
      </x:c>
      <x:c r="M1041" s="289" t="n">
        <x:v>7060</x:v>
      </x:c>
      <x:c r="N1041" s="289" t="n">
        <x:v>7060</x:v>
      </x:c>
      <x:c r="O1041" s="289" t="n">
        <x:v>7060</x:v>
      </x:c>
      <x:c r="P1041" s="292"/>
      <x:c r="Q1041" s="292" t="str">
        <x:v>candidate-preflight-passed</x:v>
      </x:c>
      <x:c r="R1041" s="292" t="str"/>
      <x:c r="S1041" s="292" t="str">
        <x:v>玄渊二十套全装备代码总表.xlsx</x:v>
      </x:c>
      <x:c r="T1041" s="292" t="str">
        <x:v>玄渊20套全装备视觉候选；Items/StateItem/DnItems三库同码；属性待策划填写；OverLap=4; Expand1=12</x:v>
      </x:c>
      <x:c r="U1041" t="str">
        <x:f>IF(COUNTIF($B$2:$B$1076,B1041)&gt;1,"重复","")</x:f>
      </x:c>
      <x:c r="V1041" t="str">
        <x:f>IF(AND(OR(M1041="",M1041=B1041),OR(N1041="",N1041=B1041),OR(O1041="",O1041=B1041)),"通过","不一致")</x:f>
        <x:v>通过</x:v>
      </x:c>
    </x:row>
    <x:row r="1042" ht="22" customHeight="1">
      <x:c r="A1042" s="289" t="n">
        <x:v>1041</x:v>
      </x:c>
      <x:c r="B1042" s="289" t="n">
        <x:v>7061</x:v>
      </x:c>
      <x:c r="C1042" s="290" t="str">
        <x:v>翠焰冥契·永夜</x:v>
      </x:c>
      <x:c r="D1042" s="290" t="str">
        <x:v>翠焰冥契</x:v>
      </x:c>
      <x:c r="E1042" s="290" t="n">
        <x:v>5</x:v>
      </x:c>
      <x:c r="F1042" s="290" t="str">
        <x:v>武器</x:v>
      </x:c>
      <x:c r="G1042" s="289" t="n">
        <x:v>5</x:v>
      </x:c>
      <x:c r="H1042" s="289" t="n">
        <x:v>1</x:v>
      </x:c>
      <x:c r="I1042" s="289" t="n">
        <x:v>7061</x:v>
      </x:c>
      <x:c r="J1042" s="289" t="n">
        <x:v>11</x:v>
      </x:c>
      <x:c r="K1042" s="289" t="n">
        <x:v>0</x:v>
      </x:c>
      <x:c r="L1042" s="289" t="n">
        <x:v>0</x:v>
      </x:c>
      <x:c r="M1042" s="289" t="n">
        <x:v>7061</x:v>
      </x:c>
      <x:c r="N1042" s="289" t="n">
        <x:v>7061</x:v>
      </x:c>
      <x:c r="O1042" s="289" t="n">
        <x:v>7061</x:v>
      </x:c>
      <x:c r="P1042" s="292" t="str">
        <x:v>Weapon.wzl/wzx（复用现有真实动作）</x:v>
      </x:c>
      <x:c r="Q1042" s="292" t="str">
        <x:v>candidate-preflight-passed</x:v>
      </x:c>
      <x:c r="R1042" s="324" t="str">
        <x:v>C3-C10规划锁定：万冠终律圣刃</x:v>
      </x:c>
      <x:c r="S1042" s="292" t="str">
        <x:v>玄渊二十套全装备代码总表.xlsx</x:v>
      </x:c>
      <x:c r="T1042" s="292" t="str">
        <x:v>玄渊20套全装备视觉候选；Items/StateItem/DnItems三库同码；属性待策划填写；Weapon Shape=11</x:v>
      </x:c>
      <x:c r="U1042" t="str">
        <x:f>IF(COUNTIF($B$2:$B$1076,B1042)&gt;1,"重复","")</x:f>
      </x:c>
      <x:c r="V1042" t="str">
        <x:f>IF(AND(OR(M1042="",M1042=B1042),OR(N1042="",N1042=B1042),OR(O1042="",O1042=B1042)),"通过","不一致")</x:f>
        <x:v>通过</x:v>
      </x:c>
    </x:row>
    <x:row r="1043" ht="22" customHeight="1">
      <x:c r="A1043" s="289" t="n">
        <x:v>1042</x:v>
      </x:c>
      <x:c r="B1043" s="289" t="n">
        <x:v>7062</x:v>
      </x:c>
      <x:c r="C1043" s="290" t="str">
        <x:v>翠焰冥契·永夜</x:v>
      </x:c>
      <x:c r="D1043" s="290" t="str">
        <x:v>翠焰冥契</x:v>
      </x:c>
      <x:c r="E1043" s="290" t="n">
        <x:v>5</x:v>
      </x:c>
      <x:c r="F1043" s="290" t="str">
        <x:v>男衣服</x:v>
      </x:c>
      <x:c r="G1043" s="289" t="n">
        <x:v>10</x:v>
      </x:c>
      <x:c r="H1043" s="289" t="n">
        <x:v>0</x:v>
      </x:c>
      <x:c r="I1043" s="289" t="n">
        <x:v>7062</x:v>
      </x:c>
      <x:c r="J1043" s="289" t="n">
        <x:v>4</x:v>
      </x:c>
      <x:c r="K1043" s="289" t="n">
        <x:v>0</x:v>
      </x:c>
      <x:c r="L1043" s="289" t="n">
        <x:v>0</x:v>
      </x:c>
      <x:c r="M1043" s="289" t="n">
        <x:v>7062</x:v>
      </x:c>
      <x:c r="N1043" s="289" t="n">
        <x:v>7062</x:v>
      </x:c>
      <x:c r="O1043" s="289" t="n">
        <x:v>7062</x:v>
      </x:c>
      <x:c r="P1043" s="292" t="str">
        <x:v>Hum.wzl/wzx（复用现有真实动作）</x:v>
      </x:c>
      <x:c r="Q1043" s="292" t="str">
        <x:v>candidate-preflight-passed</x:v>
      </x:c>
      <x:c r="R1043" s="324" t="str">
        <x:v>C3-C10规划锁定：埃琉斯永霜铠</x:v>
      </x:c>
      <x:c r="S1043" s="292" t="str">
        <x:v>玄渊二十套全装备代码总表.xlsx</x:v>
      </x:c>
      <x:c r="T1043" s="292" t="str">
        <x:v>玄渊20套全装备视觉候选；Items/StateItem/DnItems三库同码；属性待策划填写；Hum Shape=4</x:v>
      </x:c>
      <x:c r="U1043" t="str">
        <x:f>IF(COUNTIF($B$2:$B$1076,B1043)&gt;1,"重复","")</x:f>
      </x:c>
      <x:c r="V1043" t="str">
        <x:f>IF(AND(OR(M1043="",M1043=B1043),OR(N1043="",N1043=B1043),OR(O1043="",O1043=B1043)),"通过","不一致")</x:f>
        <x:v>通过</x:v>
      </x:c>
    </x:row>
    <x:row r="1044" ht="22" customHeight="1">
      <x:c r="A1044" s="289" t="n">
        <x:v>1043</x:v>
      </x:c>
      <x:c r="B1044" s="289" t="n">
        <x:v>7063</x:v>
      </x:c>
      <x:c r="C1044" s="290" t="str">
        <x:v>翠焰冥契·永夜</x:v>
      </x:c>
      <x:c r="D1044" s="290" t="str">
        <x:v>翠焰冥契</x:v>
      </x:c>
      <x:c r="E1044" s="290" t="n">
        <x:v>5</x:v>
      </x:c>
      <x:c r="F1044" s="290" t="str">
        <x:v>女衣服</x:v>
      </x:c>
      <x:c r="G1044" s="289" t="n">
        <x:v>11</x:v>
      </x:c>
      <x:c r="H1044" s="289" t="n">
        <x:v>0</x:v>
      </x:c>
      <x:c r="I1044" s="289" t="n">
        <x:v>7063</x:v>
      </x:c>
      <x:c r="J1044" s="289" t="n">
        <x:v>4</x:v>
      </x:c>
      <x:c r="K1044" s="289" t="n">
        <x:v>0</x:v>
      </x:c>
      <x:c r="L1044" s="289" t="n">
        <x:v>0</x:v>
      </x:c>
      <x:c r="M1044" s="289" t="n">
        <x:v>7063</x:v>
      </x:c>
      <x:c r="N1044" s="289" t="n">
        <x:v>7063</x:v>
      </x:c>
      <x:c r="O1044" s="289" t="n">
        <x:v>7063</x:v>
      </x:c>
      <x:c r="P1044" s="292" t="str">
        <x:v>Hum.wzl/wzx（复用现有真实动作）</x:v>
      </x:c>
      <x:c r="Q1044" s="292" t="str">
        <x:v>candidate-preflight-passed</x:v>
      </x:c>
      <x:c r="R1044" s="292" t="str"/>
      <x:c r="S1044" s="292" t="str">
        <x:v>玄渊二十套全装备代码总表.xlsx</x:v>
      </x:c>
      <x:c r="T1044" s="292" t="str">
        <x:v>玄渊20套全装备视觉候选；Items/StateItem/DnItems三库同码；属性待策划填写；Hum Shape=4</x:v>
      </x:c>
      <x:c r="U1044" t="str">
        <x:f>IF(COUNTIF($B$2:$B$1076,B1044)&gt;1,"重复","")</x:f>
      </x:c>
      <x:c r="V1044" t="str">
        <x:f>IF(AND(OR(M1044="",M1044=B1044),OR(N1044="",N1044=B1044),OR(O1044="",O1044=B1044)),"通过","不一致")</x:f>
        <x:v>通过</x:v>
      </x:c>
    </x:row>
    <x:row r="1045" ht="22" customHeight="1">
      <x:c r="A1045" s="289" t="n">
        <x:v>1044</x:v>
      </x:c>
      <x:c r="B1045" s="289" t="n">
        <x:v>7064</x:v>
      </x:c>
      <x:c r="C1045" s="290" t="str">
        <x:v>翠焰冥契·永夜</x:v>
      </x:c>
      <x:c r="D1045" s="290" t="str">
        <x:v>翠焰冥契</x:v>
      </x:c>
      <x:c r="E1045" s="290" t="n">
        <x:v>5</x:v>
      </x:c>
      <x:c r="F1045" s="290" t="str">
        <x:v>头盔</x:v>
      </x:c>
      <x:c r="G1045" s="289" t="n">
        <x:v>15</x:v>
      </x:c>
      <x:c r="H1045" s="289" t="n">
        <x:v>4</x:v>
      </x:c>
      <x:c r="I1045" s="289" t="n">
        <x:v>7064</x:v>
      </x:c>
      <x:c r="J1045" s="289" t="n">
        <x:v>0</x:v>
      </x:c>
      <x:c r="K1045" s="289" t="n">
        <x:v>0</x:v>
      </x:c>
      <x:c r="L1045" s="289" t="n">
        <x:v>0</x:v>
      </x:c>
      <x:c r="M1045" s="289" t="n">
        <x:v>7064</x:v>
      </x:c>
      <x:c r="N1045" s="289" t="n">
        <x:v>7064</x:v>
      </x:c>
      <x:c r="O1045" s="289" t="n">
        <x:v>7064</x:v>
      </x:c>
      <x:c r="P1045" s="292"/>
      <x:c r="Q1045" s="292" t="str">
        <x:v>candidate-preflight-passed</x:v>
      </x:c>
      <x:c r="R1045" s="324" t="str">
        <x:v>C3-C10规划锁定：凝霜乐师冠</x:v>
      </x:c>
      <x:c r="S1045" s="292" t="str">
        <x:v>玄渊二十套全装备代码总表.xlsx</x:v>
      </x:c>
      <x:c r="T1045" s="292" t="str">
        <x:v>玄渊20套全装备视觉候选；Items/StateItem/DnItems三库同码；属性待策划填写</x:v>
      </x:c>
      <x:c r="U1045" t="str">
        <x:f>IF(COUNTIF($B$2:$B$1076,B1045)&gt;1,"重复","")</x:f>
      </x:c>
      <x:c r="V1045" t="str">
        <x:f>IF(AND(OR(M1045="",M1045=B1045),OR(N1045="",N1045=B1045),OR(O1045="",O1045=B1045)),"通过","不一致")</x:f>
        <x:v>通过</x:v>
      </x:c>
    </x:row>
    <x:row r="1046" ht="22" customHeight="1">
      <x:c r="A1046" s="289" t="n">
        <x:v>1045</x:v>
      </x:c>
      <x:c r="B1046" s="289" t="n">
        <x:v>7065</x:v>
      </x:c>
      <x:c r="C1046" s="290" t="str">
        <x:v>翠焰冥契·永夜</x:v>
      </x:c>
      <x:c r="D1046" s="290" t="str">
        <x:v>翠焰冥契</x:v>
      </x:c>
      <x:c r="E1046" s="290" t="n">
        <x:v>5</x:v>
      </x:c>
      <x:c r="F1046" s="290" t="str">
        <x:v>面巾</x:v>
      </x:c>
      <x:c r="G1046" s="289" t="n">
        <x:v>16</x:v>
      </x:c>
      <x:c r="H1046" s="289" t="n">
        <x:v>13</x:v>
      </x:c>
      <x:c r="I1046" s="289" t="n">
        <x:v>7065</x:v>
      </x:c>
      <x:c r="J1046" s="289" t="n">
        <x:v>0</x:v>
      </x:c>
      <x:c r="K1046" s="289" t="n">
        <x:v>0</x:v>
      </x:c>
      <x:c r="L1046" s="289" t="n">
        <x:v>0</x:v>
      </x:c>
      <x:c r="M1046" s="289" t="n">
        <x:v>7065</x:v>
      </x:c>
      <x:c r="N1046" s="289" t="n">
        <x:v>7065</x:v>
      </x:c>
      <x:c r="O1046" s="289" t="n">
        <x:v>7065</x:v>
      </x:c>
      <x:c r="P1046" s="292"/>
      <x:c r="Q1046" s="292" t="str">
        <x:v>candidate-preflight-passed</x:v>
      </x:c>
      <x:c r="R1046" s="324" t="str">
        <x:v>C3-C10规划锁定：碎日禁卫斗笠</x:v>
      </x:c>
      <x:c r="S1046" s="292" t="str">
        <x:v>玄渊二十套全装备代码总表.xlsx</x:v>
      </x:c>
      <x:c r="T1046" s="292" t="str">
        <x:v>玄渊20套全装备视觉候选；Items/StateItem/DnItems三库同码；属性待策划填写</x:v>
      </x:c>
      <x:c r="U1046" t="str">
        <x:f>IF(COUNTIF($B$2:$B$1076,B1046)&gt;1,"重复","")</x:f>
      </x:c>
      <x:c r="V1046" t="str">
        <x:f>IF(AND(OR(M1046="",M1046=B1046),OR(N1046="",N1046=B1046),OR(O1046="",O1046=B1046)),"通过","不一致")</x:f>
        <x:v>通过</x:v>
      </x:c>
    </x:row>
    <x:row r="1047" ht="22" customHeight="1">
      <x:c r="A1047" s="289" t="n">
        <x:v>1046</x:v>
      </x:c>
      <x:c r="B1047" s="289" t="n">
        <x:v>7066</x:v>
      </x:c>
      <x:c r="C1047" s="290" t="str">
        <x:v>翠焰冥契·永夜</x:v>
      </x:c>
      <x:c r="D1047" s="290" t="str">
        <x:v>翠焰冥契</x:v>
      </x:c>
      <x:c r="E1047" s="290" t="n">
        <x:v>5</x:v>
      </x:c>
      <x:c r="F1047" s="290" t="str">
        <x:v>项链</x:v>
      </x:c>
      <x:c r="G1047" s="289" t="n">
        <x:v>19</x:v>
      </x:c>
      <x:c r="H1047" s="289" t="n">
        <x:v>3</x:v>
      </x:c>
      <x:c r="I1047" s="289" t="n">
        <x:v>7066</x:v>
      </x:c>
      <x:c r="J1047" s="289" t="n">
        <x:v>0</x:v>
      </x:c>
      <x:c r="K1047" s="289" t="n">
        <x:v>0</x:v>
      </x:c>
      <x:c r="L1047" s="289" t="n">
        <x:v>0</x:v>
      </x:c>
      <x:c r="M1047" s="289" t="n">
        <x:v>7066</x:v>
      </x:c>
      <x:c r="N1047" s="289" t="n">
        <x:v>7066</x:v>
      </x:c>
      <x:c r="O1047" s="289" t="n">
        <x:v>7066</x:v>
      </x:c>
      <x:c r="P1047" s="292"/>
      <x:c r="Q1047" s="292" t="str">
        <x:v>candidate-preflight-passed</x:v>
      </x:c>
      <x:c r="R1047" s="324" t="str">
        <x:v>C3-C10规划锁定：悬月卫潮链</x:v>
      </x:c>
      <x:c r="S1047" s="292" t="str">
        <x:v>玄渊二十套全装备代码总表.xlsx</x:v>
      </x:c>
      <x:c r="T1047" s="292" t="str">
        <x:v>玄渊20套全装备视觉候选；Items/StateItem/DnItems三库同码；属性待策划填写</x:v>
      </x:c>
      <x:c r="U1047" t="str">
        <x:f>IF(COUNTIF($B$2:$B$1076,B1047)&gt;1,"重复","")</x:f>
      </x:c>
      <x:c r="V1047" t="str">
        <x:f>IF(AND(OR(M1047="",M1047=B1047),OR(N1047="",N1047=B1047),OR(O1047="",O1047=B1047)),"通过","不一致")</x:f>
        <x:v>通过</x:v>
      </x:c>
    </x:row>
    <x:row r="1048" ht="22" customHeight="1">
      <x:c r="A1048" s="289" t="n">
        <x:v>1047</x:v>
      </x:c>
      <x:c r="B1048" s="289" t="n">
        <x:v>7067</x:v>
      </x:c>
      <x:c r="C1048" s="290" t="str">
        <x:v>翠焰冥契·永夜</x:v>
      </x:c>
      <x:c r="D1048" s="290" t="str">
        <x:v>翠焰冥契</x:v>
      </x:c>
      <x:c r="E1048" s="290" t="n">
        <x:v>5</x:v>
      </x:c>
      <x:c r="F1048" s="290" t="str">
        <x:v>手镯</x:v>
      </x:c>
      <x:c r="G1048" s="289" t="n">
        <x:v>26</x:v>
      </x:c>
      <x:c r="H1048" s="289" t="n">
        <x:v>5</x:v>
      </x:c>
      <x:c r="I1048" s="289" t="n">
        <x:v>7067</x:v>
      </x:c>
      <x:c r="J1048" s="289" t="n">
        <x:v>0</x:v>
      </x:c>
      <x:c r="K1048" s="289" t="n">
        <x:v>0</x:v>
      </x:c>
      <x:c r="L1048" s="289" t="n">
        <x:v>0</x:v>
      </x:c>
      <x:c r="M1048" s="289" t="n">
        <x:v>7067</x:v>
      </x:c>
      <x:c r="N1048" s="289" t="n">
        <x:v>7067</x:v>
      </x:c>
      <x:c r="O1048" s="289" t="n">
        <x:v>7067</x:v>
      </x:c>
      <x:c r="P1048" s="292"/>
      <x:c r="Q1048" s="292" t="str">
        <x:v>candidate-preflight-passed</x:v>
      </x:c>
      <x:c r="R1048" s="324" t="str">
        <x:v>C3-C10规划锁定：银纹封庭镯</x:v>
      </x:c>
      <x:c r="S1048" s="292" t="str">
        <x:v>玄渊二十套全装备代码总表.xlsx</x:v>
      </x:c>
      <x:c r="T1048" s="292" t="str">
        <x:v>玄渊20套全装备视觉候选；Items/StateItem/DnItems三库同码；属性待策划填写</x:v>
      </x:c>
      <x:c r="U1048" t="str">
        <x:f>IF(COUNTIF($B$2:$B$1076,B1048)&gt;1,"重复","")</x:f>
      </x:c>
      <x:c r="V1048" t="str">
        <x:f>IF(AND(OR(M1048="",M1048=B1048),OR(N1048="",N1048=B1048),OR(O1048="",O1048=B1048)),"通过","不一致")</x:f>
        <x:v>通过</x:v>
      </x:c>
    </x:row>
    <x:row r="1049" ht="22" customHeight="1">
      <x:c r="A1049" s="289" t="n">
        <x:v>1048</x:v>
      </x:c>
      <x:c r="B1049" s="289" t="n">
        <x:v>7068</x:v>
      </x:c>
      <x:c r="C1049" s="290" t="str">
        <x:v>翠焰冥契·永夜</x:v>
      </x:c>
      <x:c r="D1049" s="290" t="str">
        <x:v>翠焰冥契</x:v>
      </x:c>
      <x:c r="E1049" s="290" t="n">
        <x:v>5</x:v>
      </x:c>
      <x:c r="F1049" s="290" t="str">
        <x:v>戒指</x:v>
      </x:c>
      <x:c r="G1049" s="289" t="n">
        <x:v>22</x:v>
      </x:c>
      <x:c r="H1049" s="289" t="n">
        <x:v>7</x:v>
      </x:c>
      <x:c r="I1049" s="289" t="n">
        <x:v>7068</x:v>
      </x:c>
      <x:c r="J1049" s="289" t="n">
        <x:v>0</x:v>
      </x:c>
      <x:c r="K1049" s="289" t="n">
        <x:v>0</x:v>
      </x:c>
      <x:c r="L1049" s="289" t="n">
        <x:v>0</x:v>
      </x:c>
      <x:c r="M1049" s="289" t="n">
        <x:v>7068</x:v>
      </x:c>
      <x:c r="N1049" s="289" t="n">
        <x:v>7068</x:v>
      </x:c>
      <x:c r="O1049" s="289" t="n">
        <x:v>7068</x:v>
      </x:c>
      <x:c r="P1049" s="292"/>
      <x:c r="Q1049" s="292" t="str">
        <x:v>candidate-preflight-passed</x:v>
      </x:c>
      <x:c r="R1049" s="324" t="str">
        <x:v>C3-C10规划锁定：月镜游鱼戒</x:v>
      </x:c>
      <x:c r="S1049" s="292" t="str">
        <x:v>玄渊二十套全装备代码总表.xlsx</x:v>
      </x:c>
      <x:c r="T1049" s="292" t="str">
        <x:v>玄渊20套全装备视觉候选；Items/StateItem/DnItems三库同码；属性待策划填写</x:v>
      </x:c>
      <x:c r="U1049" t="str">
        <x:f>IF(COUNTIF($B$2:$B$1076,B1049)&gt;1,"重复","")</x:f>
      </x:c>
      <x:c r="V1049" t="str">
        <x:f>IF(AND(OR(M1049="",M1049=B1049),OR(N1049="",N1049=B1049),OR(O1049="",O1049=B1049)),"通过","不一致")</x:f>
        <x:v>通过</x:v>
      </x:c>
    </x:row>
    <x:row r="1050" ht="22" customHeight="1">
      <x:c r="A1050" s="289" t="n">
        <x:v>1049</x:v>
      </x:c>
      <x:c r="B1050" s="289" t="n">
        <x:v>7069</x:v>
      </x:c>
      <x:c r="C1050" s="290" t="str">
        <x:v>翠焰冥契·永夜</x:v>
      </x:c>
      <x:c r="D1050" s="290" t="str">
        <x:v>翠焰冥契</x:v>
      </x:c>
      <x:c r="E1050" s="290" t="n">
        <x:v>5</x:v>
      </x:c>
      <x:c r="F1050" s="290" t="str">
        <x:v>勋章</x:v>
      </x:c>
      <x:c r="G1050" s="289" t="n">
        <x:v>30</x:v>
      </x:c>
      <x:c r="H1050" s="289" t="n">
        <x:v>2</x:v>
      </x:c>
      <x:c r="I1050" s="289" t="n">
        <x:v>7069</x:v>
      </x:c>
      <x:c r="J1050" s="289" t="n">
        <x:v>0</x:v>
      </x:c>
      <x:c r="K1050" s="289" t="n">
        <x:v>0</x:v>
      </x:c>
      <x:c r="L1050" s="289" t="n">
        <x:v>0</x:v>
      </x:c>
      <x:c r="M1050" s="289" t="n">
        <x:v>7069</x:v>
      </x:c>
      <x:c r="N1050" s="289" t="n">
        <x:v>7069</x:v>
      </x:c>
      <x:c r="O1050" s="289" t="n">
        <x:v>7069</x:v>
      </x:c>
      <x:c r="P1050" s="292"/>
      <x:c r="Q1050" s="292" t="str">
        <x:v>candidate-preflight-passed</x:v>
      </x:c>
      <x:c r="R1050" s="324" t="str">
        <x:v>C3-C10规划锁定：霜钟罪章</x:v>
      </x:c>
      <x:c r="S1050" s="292" t="str">
        <x:v>玄渊二十套全装备代码总表.xlsx</x:v>
      </x:c>
      <x:c r="T1050" s="292" t="str">
        <x:v>玄渊20套全装备视觉候选；Items/StateItem/DnItems三库同码；属性待策划填写</x:v>
      </x:c>
      <x:c r="U1050" t="str">
        <x:f>IF(COUNTIF($B$2:$B$1076,B1050)&gt;1,"重复","")</x:f>
      </x:c>
      <x:c r="V1050" t="str">
        <x:f>IF(AND(OR(M1050="",M1050=B1050),OR(N1050="",N1050=B1050),OR(O1050="",O1050=B1050)),"通过","不一致")</x:f>
        <x:v>通过</x:v>
      </x:c>
    </x:row>
    <x:row r="1051" ht="22" customHeight="1">
      <x:c r="A1051" s="289" t="n">
        <x:v>1050</x:v>
      </x:c>
      <x:c r="B1051" s="289" t="n">
        <x:v>7070</x:v>
      </x:c>
      <x:c r="C1051" s="290" t="str">
        <x:v>翠焰冥契·永夜</x:v>
      </x:c>
      <x:c r="D1051" s="290" t="str">
        <x:v>翠焰冥契</x:v>
      </x:c>
      <x:c r="E1051" s="290" t="n">
        <x:v>5</x:v>
      </x:c>
      <x:c r="F1051" s="290" t="str">
        <x:v>盾牌</x:v>
      </x:c>
      <x:c r="G1051" s="289" t="n">
        <x:v>12</x:v>
      </x:c>
      <x:c r="H1051" s="289" t="n">
        <x:v>16</x:v>
      </x:c>
      <x:c r="I1051" s="289" t="n">
        <x:v>7070</x:v>
      </x:c>
      <x:c r="J1051" s="289" t="n">
        <x:v>0</x:v>
      </x:c>
      <x:c r="K1051" s="289" t="n">
        <x:v>0</x:v>
      </x:c>
      <x:c r="L1051" s="289" t="n">
        <x:v>0</x:v>
      </x:c>
      <x:c r="M1051" s="289" t="n">
        <x:v>7070</x:v>
      </x:c>
      <x:c r="N1051" s="289" t="n">
        <x:v>7070</x:v>
      </x:c>
      <x:c r="O1051" s="289" t="n">
        <x:v>7070</x:v>
      </x:c>
      <x:c r="P1051" s="292"/>
      <x:c r="Q1051" s="292" t="str">
        <x:v>candidate-preflight-passed</x:v>
      </x:c>
      <x:c r="R1051" s="324" t="str">
        <x:v>C3-C10规划锁定：锁门重盾</x:v>
      </x:c>
      <x:c r="S1051" s="292" t="str">
        <x:v>玄渊二十套全装备代码总表.xlsx</x:v>
      </x:c>
      <x:c r="T1051" s="292" t="str">
        <x:v>玄渊20套全装备视觉候选；Items/StateItem/DnItems三库同码；属性待策划填写</x:v>
      </x:c>
      <x:c r="U1051" t="str">
        <x:f>IF(COUNTIF($B$2:$B$1076,B1051)&gt;1,"重复","")</x:f>
      </x:c>
      <x:c r="V1051" t="str">
        <x:f>IF(AND(OR(M1051="",M1051=B1051),OR(N1051="",N1051=B1051),OR(O1051="",O1051=B1051)),"通过","不一致")</x:f>
        <x:v>通过</x:v>
      </x:c>
    </x:row>
    <x:row r="1052" ht="22" customHeight="1">
      <x:c r="A1052" s="289" t="n">
        <x:v>1051</x:v>
      </x:c>
      <x:c r="B1052" s="289" t="n">
        <x:v>7071</x:v>
      </x:c>
      <x:c r="C1052" s="290" t="str">
        <x:v>翠焰冥契·永夜</x:v>
      </x:c>
      <x:c r="D1052" s="290" t="str">
        <x:v>翠焰冥契</x:v>
      </x:c>
      <x:c r="E1052" s="290" t="n">
        <x:v>5</x:v>
      </x:c>
      <x:c r="F1052" s="290" t="str">
        <x:v>灵玉</x:v>
      </x:c>
      <x:c r="G1052" s="289" t="n">
        <x:v>90</x:v>
      </x:c>
      <x:c r="H1052" s="289" t="n">
        <x:v>17</x:v>
      </x:c>
      <x:c r="I1052" s="289" t="n">
        <x:v>7071</x:v>
      </x:c>
      <x:c r="J1052" s="289" t="n">
        <x:v>0</x:v>
      </x:c>
      <x:c r="K1052" s="289" t="n">
        <x:v>0</x:v>
      </x:c>
      <x:c r="L1052" s="289" t="n">
        <x:v>0</x:v>
      </x:c>
      <x:c r="M1052" s="289" t="n">
        <x:v>7071</x:v>
      </x:c>
      <x:c r="N1052" s="289" t="n">
        <x:v>7071</x:v>
      </x:c>
      <x:c r="O1052" s="289" t="n">
        <x:v>7071</x:v>
      </x:c>
      <x:c r="P1052" s="292"/>
      <x:c r="Q1052" s="292" t="str">
        <x:v>candidate-preflight-passed</x:v>
      </x:c>
      <x:c r="R1052" s="292" t="str"/>
      <x:c r="S1052" s="292" t="str">
        <x:v>玄渊二十套全装备代码总表.xlsx</x:v>
      </x:c>
      <x:c r="T1052" s="292" t="str">
        <x:v>玄渊20套全装备视觉候选；Items/StateItem/DnItems三库同码；属性待策划填写</x:v>
      </x:c>
      <x:c r="U1052" t="str">
        <x:f>IF(COUNTIF($B$2:$B$1076,B1052)&gt;1,"重复","")</x:f>
      </x:c>
      <x:c r="V1052" t="str">
        <x:f>IF(AND(OR(M1052="",M1052=B1052),OR(N1052="",N1052=B1052),OR(O1052="",O1052=B1052)),"通过","不一致")</x:f>
        <x:v>通过</x:v>
      </x:c>
    </x:row>
    <x:row r="1053" ht="22" customHeight="1">
      <x:c r="A1053" s="289" t="n">
        <x:v>1052</x:v>
      </x:c>
      <x:c r="B1053" s="289" t="n">
        <x:v>7072</x:v>
      </x:c>
      <x:c r="C1053" s="290" t="str">
        <x:v>翠焰冥契·永夜</x:v>
      </x:c>
      <x:c r="D1053" s="290" t="str">
        <x:v>翠焰冥契</x:v>
      </x:c>
      <x:c r="E1053" s="290" t="n">
        <x:v>5</x:v>
      </x:c>
      <x:c r="F1053" s="290" t="str">
        <x:v>鞋子</x:v>
      </x:c>
      <x:c r="G1053" s="289" t="n">
        <x:v>62</x:v>
      </x:c>
      <x:c r="H1053" s="289" t="n">
        <x:v>11</x:v>
      </x:c>
      <x:c r="I1053" s="289" t="n">
        <x:v>7072</x:v>
      </x:c>
      <x:c r="J1053" s="289" t="n">
        <x:v>0</x:v>
      </x:c>
      <x:c r="K1053" s="289" t="n">
        <x:v>0</x:v>
      </x:c>
      <x:c r="L1053" s="289" t="n">
        <x:v>0</x:v>
      </x:c>
      <x:c r="M1053" s="289" t="n">
        <x:v>7072</x:v>
      </x:c>
      <x:c r="N1053" s="289" t="n">
        <x:v>7072</x:v>
      </x:c>
      <x:c r="O1053" s="289" t="n">
        <x:v>7072</x:v>
      </x:c>
      <x:c r="P1053" s="292"/>
      <x:c r="Q1053" s="292" t="str">
        <x:v>candidate-preflight-passed</x:v>
      </x:c>
      <x:c r="R1053" s="324" t="str">
        <x:v>C3-C10规划锁定：血尘猎靴</x:v>
      </x:c>
      <x:c r="S1053" s="292" t="str">
        <x:v>玄渊二十套全装备代码总表.xlsx</x:v>
      </x:c>
      <x:c r="T1053" s="292" t="str">
        <x:v>玄渊20套全装备视觉候选；Items/StateItem/DnItems三库同码；属性待策划填写</x:v>
      </x:c>
      <x:c r="U1053" t="str">
        <x:f>IF(COUNTIF($B$2:$B$1076,B1053)&gt;1,"重复","")</x:f>
      </x:c>
      <x:c r="V1053" t="str">
        <x:f>IF(AND(OR(M1053="",M1053=B1053),OR(N1053="",N1053=B1053),OR(O1053="",O1053=B1053)),"通过","不一致")</x:f>
        <x:v>通过</x:v>
      </x:c>
    </x:row>
    <x:row r="1054" ht="22" customHeight="1">
      <x:c r="A1054" s="289" t="n">
        <x:v>1053</x:v>
      </x:c>
      <x:c r="B1054" s="289" t="n">
        <x:v>7073</x:v>
      </x:c>
      <x:c r="C1054" s="290" t="str">
        <x:v>翠焰冥契·永夜</x:v>
      </x:c>
      <x:c r="D1054" s="290" t="str">
        <x:v>翠焰冥契</x:v>
      </x:c>
      <x:c r="E1054" s="290" t="n">
        <x:v>5</x:v>
      </x:c>
      <x:c r="F1054" s="290" t="str">
        <x:v>腰带</x:v>
      </x:c>
      <x:c r="G1054" s="289" t="n">
        <x:v>64</x:v>
      </x:c>
      <x:c r="H1054" s="289" t="n">
        <x:v>10</x:v>
      </x:c>
      <x:c r="I1054" s="289" t="n">
        <x:v>7073</x:v>
      </x:c>
      <x:c r="J1054" s="289" t="n">
        <x:v>0</x:v>
      </x:c>
      <x:c r="K1054" s="289" t="n">
        <x:v>0</x:v>
      </x:c>
      <x:c r="L1054" s="289" t="n">
        <x:v>0</x:v>
      </x:c>
      <x:c r="M1054" s="289" t="n">
        <x:v>7073</x:v>
      </x:c>
      <x:c r="N1054" s="289" t="n">
        <x:v>7073</x:v>
      </x:c>
      <x:c r="O1054" s="289" t="n">
        <x:v>7073</x:v>
      </x:c>
      <x:c r="P1054" s="292"/>
      <x:c r="Q1054" s="292" t="str">
        <x:v>candidate-preflight-passed</x:v>
      </x:c>
      <x:c r="R1054" s="324" t="str">
        <x:v>C3-C10规划锁定：斩翼腰封</x:v>
      </x:c>
      <x:c r="S1054" s="292" t="str">
        <x:v>玄渊二十套全装备代码总表.xlsx</x:v>
      </x:c>
      <x:c r="T1054" s="292" t="str">
        <x:v>玄渊20套全装备视觉候选；Items/StateItem/DnItems三库同码；属性待策划填写</x:v>
      </x:c>
      <x:c r="U1054" t="str">
        <x:f>IF(COUNTIF($B$2:$B$1076,B1054)&gt;1,"重复","")</x:f>
      </x:c>
      <x:c r="V1054" t="str">
        <x:f>IF(AND(OR(M1054="",M1054=B1054),OR(N1054="",N1054=B1054),OR(O1054="",O1054=B1054)),"通过","不一致")</x:f>
        <x:v>通过</x:v>
      </x:c>
    </x:row>
    <x:row r="1055" ht="22" customHeight="1">
      <x:c r="A1055" s="289" t="n">
        <x:v>1054</x:v>
      </x:c>
      <x:c r="B1055" s="289" t="n">
        <x:v>7074</x:v>
      </x:c>
      <x:c r="C1055" s="290" t="str">
        <x:v>翠焰冥契·永夜</x:v>
      </x:c>
      <x:c r="D1055" s="290" t="str">
        <x:v>翠焰冥契</x:v>
      </x:c>
      <x:c r="E1055" s="290" t="n">
        <x:v>5</x:v>
      </x:c>
      <x:c r="F1055" s="290" t="str">
        <x:v>护身符</x:v>
      </x:c>
      <x:c r="G1055" s="289" t="n">
        <x:v>25</x:v>
      </x:c>
      <x:c r="H1055" s="289" t="n">
        <x:v>9</x:v>
      </x:c>
      <x:c r="I1055" s="289" t="n">
        <x:v>7074</x:v>
      </x:c>
      <x:c r="J1055" s="289" t="n">
        <x:v>0</x:v>
      </x:c>
      <x:c r="K1055" s="289" t="n">
        <x:v>0</x:v>
      </x:c>
      <x:c r="L1055" s="289" t="n">
        <x:v>0</x:v>
      </x:c>
      <x:c r="M1055" s="289" t="n">
        <x:v>7074</x:v>
      </x:c>
      <x:c r="N1055" s="289" t="n">
        <x:v>7074</x:v>
      </x:c>
      <x:c r="O1055" s="289" t="n">
        <x:v>7074</x:v>
      </x:c>
      <x:c r="P1055" s="292"/>
      <x:c r="Q1055" s="292" t="str">
        <x:v>candidate-preflight-passed</x:v>
      </x:c>
      <x:c r="R1055" s="292" t="str"/>
      <x:c r="S1055" s="292" t="str">
        <x:v>玄渊二十套全装备代码总表.xlsx</x:v>
      </x:c>
      <x:c r="T1055" s="292" t="str">
        <x:v>玄渊20套全装备视觉候选；Items/StateItem/DnItems三库同码；属性待策划填写</x:v>
      </x:c>
      <x:c r="U1055" t="str">
        <x:f>IF(COUNTIF($B$2:$B$1076,B1055)&gt;1,"重复","")</x:f>
      </x:c>
      <x:c r="V1055" t="str">
        <x:f>IF(AND(OR(M1055="",M1055=B1055),OR(N1055="",N1055=B1055),OR(O1055="",O1055=B1055)),"通过","不一致")</x:f>
        <x:v>通过</x:v>
      </x:c>
    </x:row>
    <x:row r="1056" ht="22" customHeight="1">
      <x:c r="A1056" s="289" t="n">
        <x:v>1055</x:v>
      </x:c>
      <x:c r="B1056" s="289" t="n">
        <x:v>7075</x:v>
      </x:c>
      <x:c r="C1056" s="290" t="str">
        <x:v>翠焰冥契·永夜</x:v>
      </x:c>
      <x:c r="D1056" s="290" t="str">
        <x:v>翠焰冥契</x:v>
      </x:c>
      <x:c r="E1056" s="290" t="n">
        <x:v>5</x:v>
      </x:c>
      <x:c r="F1056" s="290" t="str">
        <x:v>宝石</x:v>
      </x:c>
      <x:c r="G1056" s="289" t="n">
        <x:v>63</x:v>
      </x:c>
      <x:c r="H1056" s="289" t="n">
        <x:v>12</x:v>
      </x:c>
      <x:c r="I1056" s="289" t="n">
        <x:v>7075</x:v>
      </x:c>
      <x:c r="J1056" s="289" t="n">
        <x:v>0</x:v>
      </x:c>
      <x:c r="K1056" s="289" t="n">
        <x:v>0</x:v>
      </x:c>
      <x:c r="L1056" s="289" t="n">
        <x:v>0</x:v>
      </x:c>
      <x:c r="M1056" s="289" t="n">
        <x:v>7075</x:v>
      </x:c>
      <x:c r="N1056" s="289" t="n">
        <x:v>7075</x:v>
      </x:c>
      <x:c r="O1056" s="289" t="n">
        <x:v>7075</x:v>
      </x:c>
      <x:c r="P1056" s="292"/>
      <x:c r="Q1056" s="292" t="str">
        <x:v>candidate-preflight-passed</x:v>
      </x:c>
      <x:c r="R1056" s="292" t="str"/>
      <x:c r="S1056" s="292" t="str">
        <x:v>玄渊二十套全装备代码总表.xlsx</x:v>
      </x:c>
      <x:c r="T1056" s="292" t="str">
        <x:v>玄渊20套全装备视觉候选；Items/StateItem/DnItems三库同码；属性待策划填写</x:v>
      </x:c>
      <x:c r="U1056" t="str">
        <x:f>IF(COUNTIF($B$2:$B$1076,B1056)&gt;1,"重复","")</x:f>
      </x:c>
      <x:c r="V1056" t="str">
        <x:f>IF(AND(OR(M1056="",M1056=B1056),OR(N1056="",N1056=B1056),OR(O1056="",O1056=B1056)),"通过","不一致")</x:f>
        <x:v>通过</x:v>
      </x:c>
    </x:row>
    <x:row r="1057" ht="22" customHeight="1">
      <x:c r="A1057" s="289" t="n">
        <x:v>1056</x:v>
      </x:c>
      <x:c r="B1057" s="289" t="n">
        <x:v>7076</x:v>
      </x:c>
      <x:c r="C1057" s="290" t="str">
        <x:v>翠焰冥契·永夜</x:v>
      </x:c>
      <x:c r="D1057" s="290" t="str">
        <x:v>翠焰冥契</x:v>
      </x:c>
      <x:c r="E1057" s="290" t="n">
        <x:v>5</x:v>
      </x:c>
      <x:c r="F1057" s="290" t="str">
        <x:v>军鼓</x:v>
      </x:c>
      <x:c r="G1057" s="289" t="n">
        <x:v>65</x:v>
      </x:c>
      <x:c r="H1057" s="289" t="n">
        <x:v>14</x:v>
      </x:c>
      <x:c r="I1057" s="289" t="n">
        <x:v>7076</x:v>
      </x:c>
      <x:c r="J1057" s="289" t="n">
        <x:v>0</x:v>
      </x:c>
      <x:c r="K1057" s="289" t="n">
        <x:v>0</x:v>
      </x:c>
      <x:c r="L1057" s="289" t="n">
        <x:v>0</x:v>
      </x:c>
      <x:c r="M1057" s="289" t="n">
        <x:v>7076</x:v>
      </x:c>
      <x:c r="N1057" s="289" t="n">
        <x:v>7076</x:v>
      </x:c>
      <x:c r="O1057" s="289" t="n">
        <x:v>7076</x:v>
      </x:c>
      <x:c r="P1057" s="292"/>
      <x:c r="Q1057" s="292" t="str">
        <x:v>candidate-preflight-passed</x:v>
      </x:c>
      <x:c r="R1057" s="292" t="str"/>
      <x:c r="S1057" s="292" t="str">
        <x:v>玄渊二十套全装备代码总表.xlsx</x:v>
      </x:c>
      <x:c r="T1057" s="292" t="str">
        <x:v>玄渊20套全装备视觉候选；Items/StateItem/DnItems三库同码；属性待策划填写</x:v>
      </x:c>
      <x:c r="U1057" t="str">
        <x:f>IF(COUNTIF($B$2:$B$1076,B1057)&gt;1,"重复","")</x:f>
      </x:c>
      <x:c r="V1057" t="str">
        <x:f>IF(AND(OR(M1057="",M1057=B1057),OR(N1057="",N1057=B1057),OR(O1057="",O1057=B1057)),"通过","不一致")</x:f>
        <x:v>通过</x:v>
      </x:c>
    </x:row>
    <x:row r="1058" ht="22" customHeight="1">
      <x:c r="A1058" s="289" t="n">
        <x:v>1057</x:v>
      </x:c>
      <x:c r="B1058" s="289" t="n">
        <x:v>7077</x:v>
      </x:c>
      <x:c r="C1058" s="290" t="str">
        <x:v>翠焰冥契·永夜</x:v>
      </x:c>
      <x:c r="D1058" s="290" t="str">
        <x:v>翠焰冥契</x:v>
      </x:c>
      <x:c r="E1058" s="290" t="n">
        <x:v>5</x:v>
      </x:c>
      <x:c r="F1058" s="290" t="str">
        <x:v>马牌</x:v>
      </x:c>
      <x:c r="G1058" s="289" t="n">
        <x:v>28</x:v>
      </x:c>
      <x:c r="H1058" s="289" t="n">
        <x:v>15</x:v>
      </x:c>
      <x:c r="I1058" s="289" t="n">
        <x:v>7077</x:v>
      </x:c>
      <x:c r="J1058" s="289" t="n">
        <x:v>0</x:v>
      </x:c>
      <x:c r="K1058" s="289" t="n">
        <x:v>0</x:v>
      </x:c>
      <x:c r="L1058" s="289" t="n">
        <x:v>0</x:v>
      </x:c>
      <x:c r="M1058" s="289" t="n">
        <x:v>7077</x:v>
      </x:c>
      <x:c r="N1058" s="289" t="n">
        <x:v>7077</x:v>
      </x:c>
      <x:c r="O1058" s="289" t="n">
        <x:v>7077</x:v>
      </x:c>
      <x:c r="P1058" s="292"/>
      <x:c r="Q1058" s="292" t="str">
        <x:v>candidate-preflight-passed</x:v>
      </x:c>
      <x:c r="R1058" s="292" t="str"/>
      <x:c r="S1058" s="292" t="str">
        <x:v>玄渊二十套全装备代码总表.xlsx</x:v>
      </x:c>
      <x:c r="T1058" s="292" t="str">
        <x:v>玄渊20套全装备视觉候选；Items/StateItem/DnItems三库同码；属性待策划填写</x:v>
      </x:c>
      <x:c r="U1058" t="str">
        <x:f>IF(COUNTIF($B$2:$B$1076,B1058)&gt;1,"重复","")</x:f>
      </x:c>
      <x:c r="V1058" t="str">
        <x:f>IF(AND(OR(M1058="",M1058=B1058),OR(N1058="",N1058=B1058),OR(O1058="",O1058=B1058)),"通过","不一致")</x:f>
        <x:v>通过</x:v>
      </x:c>
    </x:row>
    <x:row r="1059" ht="22" customHeight="1">
      <x:c r="A1059" s="289" t="n">
        <x:v>1058</x:v>
      </x:c>
      <x:c r="B1059" s="289" t="n">
        <x:v>7078</x:v>
      </x:c>
      <x:c r="C1059" s="290" t="str">
        <x:v>翠焰冥契·永夜</x:v>
      </x:c>
      <x:c r="D1059" s="290" t="str">
        <x:v>翠焰冥契</x:v>
      </x:c>
      <x:c r="E1059" s="290" t="n">
        <x:v>5</x:v>
      </x:c>
      <x:c r="F1059" s="290" t="str">
        <x:v>首饰盒1</x:v>
      </x:c>
      <x:c r="G1059" s="289" t="n">
        <x:v>22</x:v>
      </x:c>
      <x:c r="H1059" s="289" t="n">
        <x:v>30</x:v>
      </x:c>
      <x:c r="I1059" s="289" t="n">
        <x:v>7078</x:v>
      </x:c>
      <x:c r="J1059" s="289" t="n">
        <x:v>0</x:v>
      </x:c>
      <x:c r="K1059" s="289" t="n">
        <x:v>2</x:v>
      </x:c>
      <x:c r="L1059" s="289" t="n">
        <x:v>1</x:v>
      </x:c>
      <x:c r="M1059" s="289" t="n">
        <x:v>7078</x:v>
      </x:c>
      <x:c r="N1059" s="289" t="n">
        <x:v>7078</x:v>
      </x:c>
      <x:c r="O1059" s="289" t="n">
        <x:v>7078</x:v>
      </x:c>
      <x:c r="P1059" s="292"/>
      <x:c r="Q1059" s="292" t="str">
        <x:v>candidate-preflight-passed</x:v>
      </x:c>
      <x:c r="R1059" s="292" t="str"/>
      <x:c r="S1059" s="292" t="str">
        <x:v>玄渊二十套全装备代码总表.xlsx</x:v>
      </x:c>
      <x:c r="T1059" s="292" t="str">
        <x:v>玄渊20套全装备视觉候选；Items/StateItem/DnItems三库同码；属性待策划填写；OverLap=2; Expand1=1</x:v>
      </x:c>
      <x:c r="U1059" t="str">
        <x:f>IF(COUNTIF($B$2:$B$1076,B1059)&gt;1,"重复","")</x:f>
      </x:c>
      <x:c r="V1059" t="str">
        <x:f>IF(AND(OR(M1059="",M1059=B1059),OR(N1059="",N1059=B1059),OR(O1059="",O1059=B1059)),"通过","不一致")</x:f>
        <x:v>通过</x:v>
      </x:c>
    </x:row>
    <x:row r="1060" ht="22" customHeight="1">
      <x:c r="A1060" s="289" t="n">
        <x:v>1059</x:v>
      </x:c>
      <x:c r="B1060" s="289" t="n">
        <x:v>7079</x:v>
      </x:c>
      <x:c r="C1060" s="290" t="str">
        <x:v>翠焰冥契·永夜</x:v>
      </x:c>
      <x:c r="D1060" s="290" t="str">
        <x:v>翠焰冥契</x:v>
      </x:c>
      <x:c r="E1060" s="290" t="n">
        <x:v>5</x:v>
      </x:c>
      <x:c r="F1060" s="290" t="str">
        <x:v>首饰盒2</x:v>
      </x:c>
      <x:c r="G1060" s="289" t="n">
        <x:v>22</x:v>
      </x:c>
      <x:c r="H1060" s="289" t="n">
        <x:v>31</x:v>
      </x:c>
      <x:c r="I1060" s="289" t="n">
        <x:v>7079</x:v>
      </x:c>
      <x:c r="J1060" s="289" t="n">
        <x:v>0</x:v>
      </x:c>
      <x:c r="K1060" s="289" t="n">
        <x:v>2</x:v>
      </x:c>
      <x:c r="L1060" s="289" t="n">
        <x:v>2</x:v>
      </x:c>
      <x:c r="M1060" s="289" t="n">
        <x:v>7079</x:v>
      </x:c>
      <x:c r="N1060" s="289" t="n">
        <x:v>7079</x:v>
      </x:c>
      <x:c r="O1060" s="289" t="n">
        <x:v>7079</x:v>
      </x:c>
      <x:c r="P1060" s="292"/>
      <x:c r="Q1060" s="292" t="str">
        <x:v>candidate-preflight-passed</x:v>
      </x:c>
      <x:c r="R1060" s="292" t="str"/>
      <x:c r="S1060" s="292" t="str">
        <x:v>玄渊二十套全装备代码总表.xlsx</x:v>
      </x:c>
      <x:c r="T1060" s="292" t="str">
        <x:v>玄渊20套全装备视觉候选；Items/StateItem/DnItems三库同码；属性待策划填写；OverLap=2; Expand1=2</x:v>
      </x:c>
      <x:c r="U1060" t="str">
        <x:f>IF(COUNTIF($B$2:$B$1076,B1060)&gt;1,"重复","")</x:f>
      </x:c>
      <x:c r="V1060" t="str">
        <x:f>IF(AND(OR(M1060="",M1060=B1060),OR(N1060="",N1060=B1060),OR(O1060="",O1060=B1060)),"通过","不一致")</x:f>
        <x:v>通过</x:v>
      </x:c>
    </x:row>
    <x:row r="1061" ht="22" customHeight="1">
      <x:c r="A1061" s="289" t="n">
        <x:v>1060</x:v>
      </x:c>
      <x:c r="B1061" s="289" t="n">
        <x:v>7080</x:v>
      </x:c>
      <x:c r="C1061" s="290" t="str">
        <x:v>翠焰冥契·永夜</x:v>
      </x:c>
      <x:c r="D1061" s="290" t="str">
        <x:v>翠焰冥契</x:v>
      </x:c>
      <x:c r="E1061" s="290" t="n">
        <x:v>5</x:v>
      </x:c>
      <x:c r="F1061" s="290" t="str">
        <x:v>首饰盒3</x:v>
      </x:c>
      <x:c r="G1061" s="289" t="n">
        <x:v>22</x:v>
      </x:c>
      <x:c r="H1061" s="289" t="n">
        <x:v>32</x:v>
      </x:c>
      <x:c r="I1061" s="289" t="n">
        <x:v>7080</x:v>
      </x:c>
      <x:c r="J1061" s="289" t="n">
        <x:v>0</x:v>
      </x:c>
      <x:c r="K1061" s="289" t="n">
        <x:v>2</x:v>
      </x:c>
      <x:c r="L1061" s="289" t="n">
        <x:v>3</x:v>
      </x:c>
      <x:c r="M1061" s="289" t="n">
        <x:v>7080</x:v>
      </x:c>
      <x:c r="N1061" s="289" t="n">
        <x:v>7080</x:v>
      </x:c>
      <x:c r="O1061" s="289" t="n">
        <x:v>7080</x:v>
      </x:c>
      <x:c r="P1061" s="292"/>
      <x:c r="Q1061" s="292" t="str">
        <x:v>candidate-preflight-passed</x:v>
      </x:c>
      <x:c r="R1061" s="292" t="str"/>
      <x:c r="S1061" s="292" t="str">
        <x:v>玄渊二十套全装备代码总表.xlsx</x:v>
      </x:c>
      <x:c r="T1061" s="292" t="str">
        <x:v>玄渊20套全装备视觉候选；Items/StateItem/DnItems三库同码；属性待策划填写；OverLap=2; Expand1=3</x:v>
      </x:c>
      <x:c r="U1061" t="str">
        <x:f>IF(COUNTIF($B$2:$B$1076,B1061)&gt;1,"重复","")</x:f>
      </x:c>
      <x:c r="V1061" t="str">
        <x:f>IF(AND(OR(M1061="",M1061=B1061),OR(N1061="",N1061=B1061),OR(O1061="",O1061=B1061)),"通过","不一致")</x:f>
        <x:v>通过</x:v>
      </x:c>
    </x:row>
    <x:row r="1062" ht="22" customHeight="1">
      <x:c r="A1062" s="289" t="n">
        <x:v>1061</x:v>
      </x:c>
      <x:c r="B1062" s="289" t="n">
        <x:v>7081</x:v>
      </x:c>
      <x:c r="C1062" s="290" t="str">
        <x:v>翠焰冥契·永夜</x:v>
      </x:c>
      <x:c r="D1062" s="290" t="str">
        <x:v>翠焰冥契</x:v>
      </x:c>
      <x:c r="E1062" s="290" t="n">
        <x:v>5</x:v>
      </x:c>
      <x:c r="F1062" s="290" t="str">
        <x:v>首饰盒4</x:v>
      </x:c>
      <x:c r="G1062" s="289" t="n">
        <x:v>22</x:v>
      </x:c>
      <x:c r="H1062" s="289" t="n">
        <x:v>33</x:v>
      </x:c>
      <x:c r="I1062" s="289" t="n">
        <x:v>7081</x:v>
      </x:c>
      <x:c r="J1062" s="289" t="n">
        <x:v>0</x:v>
      </x:c>
      <x:c r="K1062" s="289" t="n">
        <x:v>2</x:v>
      </x:c>
      <x:c r="L1062" s="289" t="n">
        <x:v>4</x:v>
      </x:c>
      <x:c r="M1062" s="289" t="n">
        <x:v>7081</x:v>
      </x:c>
      <x:c r="N1062" s="289" t="n">
        <x:v>7081</x:v>
      </x:c>
      <x:c r="O1062" s="289" t="n">
        <x:v>7081</x:v>
      </x:c>
      <x:c r="P1062" s="292"/>
      <x:c r="Q1062" s="292" t="str">
        <x:v>candidate-preflight-passed</x:v>
      </x:c>
      <x:c r="R1062" s="292" t="str"/>
      <x:c r="S1062" s="292" t="str">
        <x:v>玄渊二十套全装备代码总表.xlsx</x:v>
      </x:c>
      <x:c r="T1062" s="292" t="str">
        <x:v>玄渊20套全装备视觉候选；Items/StateItem/DnItems三库同码；属性待策划填写；OverLap=2; Expand1=4</x:v>
      </x:c>
      <x:c r="U1062" t="str">
        <x:f>IF(COUNTIF($B$2:$B$1076,B1062)&gt;1,"重复","")</x:f>
      </x:c>
      <x:c r="V1062" t="str">
        <x:f>IF(AND(OR(M1062="",M1062=B1062),OR(N1062="",N1062=B1062),OR(O1062="",O1062=B1062)),"通过","不一致")</x:f>
        <x:v>通过</x:v>
      </x:c>
    </x:row>
    <x:row r="1063" ht="22" customHeight="1">
      <x:c r="A1063" s="289" t="n">
        <x:v>1062</x:v>
      </x:c>
      <x:c r="B1063" s="289" t="n">
        <x:v>7082</x:v>
      </x:c>
      <x:c r="C1063" s="290" t="str">
        <x:v>翠焰冥契·永夜</x:v>
      </x:c>
      <x:c r="D1063" s="290" t="str">
        <x:v>翠焰冥契</x:v>
      </x:c>
      <x:c r="E1063" s="290" t="n">
        <x:v>5</x:v>
      </x:c>
      <x:c r="F1063" s="290" t="str">
        <x:v>首饰盒5</x:v>
      </x:c>
      <x:c r="G1063" s="289" t="n">
        <x:v>22</x:v>
      </x:c>
      <x:c r="H1063" s="289" t="n">
        <x:v>34</x:v>
      </x:c>
      <x:c r="I1063" s="289" t="n">
        <x:v>7082</x:v>
      </x:c>
      <x:c r="J1063" s="289" t="n">
        <x:v>0</x:v>
      </x:c>
      <x:c r="K1063" s="289" t="n">
        <x:v>2</x:v>
      </x:c>
      <x:c r="L1063" s="289" t="n">
        <x:v>5</x:v>
      </x:c>
      <x:c r="M1063" s="289" t="n">
        <x:v>7082</x:v>
      </x:c>
      <x:c r="N1063" s="289" t="n">
        <x:v>7082</x:v>
      </x:c>
      <x:c r="O1063" s="289" t="n">
        <x:v>7082</x:v>
      </x:c>
      <x:c r="P1063" s="292"/>
      <x:c r="Q1063" s="292" t="str">
        <x:v>candidate-preflight-passed</x:v>
      </x:c>
      <x:c r="R1063" s="292" t="str"/>
      <x:c r="S1063" s="292" t="str">
        <x:v>玄渊二十套全装备代码总表.xlsx</x:v>
      </x:c>
      <x:c r="T1063" s="292" t="str">
        <x:v>玄渊20套全装备视觉候选；Items/StateItem/DnItems三库同码；属性待策划填写；OverLap=2; Expand1=5</x:v>
      </x:c>
      <x:c r="U1063" t="str">
        <x:f>IF(COUNTIF($B$2:$B$1076,B1063)&gt;1,"重复","")</x:f>
      </x:c>
      <x:c r="V1063" t="str">
        <x:f>IF(AND(OR(M1063="",M1063=B1063),OR(N1063="",N1063=B1063),OR(O1063="",O1063=B1063)),"通过","不一致")</x:f>
        <x:v>通过</x:v>
      </x:c>
    </x:row>
    <x:row r="1064" ht="22" customHeight="1">
      <x:c r="A1064" s="289" t="n">
        <x:v>1063</x:v>
      </x:c>
      <x:c r="B1064" s="289" t="n">
        <x:v>7083</x:v>
      </x:c>
      <x:c r="C1064" s="290" t="str">
        <x:v>翠焰冥契·永夜</x:v>
      </x:c>
      <x:c r="D1064" s="290" t="str">
        <x:v>翠焰冥契</x:v>
      </x:c>
      <x:c r="E1064" s="290" t="n">
        <x:v>5</x:v>
      </x:c>
      <x:c r="F1064" s="290" t="str">
        <x:v>首饰盒6</x:v>
      </x:c>
      <x:c r="G1064" s="289" t="n">
        <x:v>22</x:v>
      </x:c>
      <x:c r="H1064" s="289" t="n">
        <x:v>35</x:v>
      </x:c>
      <x:c r="I1064" s="289" t="n">
        <x:v>7083</x:v>
      </x:c>
      <x:c r="J1064" s="289" t="n">
        <x:v>0</x:v>
      </x:c>
      <x:c r="K1064" s="289" t="n">
        <x:v>2</x:v>
      </x:c>
      <x:c r="L1064" s="289" t="n">
        <x:v>6</x:v>
      </x:c>
      <x:c r="M1064" s="289" t="n">
        <x:v>7083</x:v>
      </x:c>
      <x:c r="N1064" s="289" t="n">
        <x:v>7083</x:v>
      </x:c>
      <x:c r="O1064" s="289" t="n">
        <x:v>7083</x:v>
      </x:c>
      <x:c r="P1064" s="292"/>
      <x:c r="Q1064" s="292" t="str">
        <x:v>candidate-preflight-passed</x:v>
      </x:c>
      <x:c r="R1064" s="292" t="str"/>
      <x:c r="S1064" s="292" t="str">
        <x:v>玄渊二十套全装备代码总表.xlsx</x:v>
      </x:c>
      <x:c r="T1064" s="292" t="str">
        <x:v>玄渊20套全装备视觉候选；Items/StateItem/DnItems三库同码；属性待策划填写；OverLap=2; Expand1=6</x:v>
      </x:c>
      <x:c r="U1064" t="str">
        <x:f>IF(COUNTIF($B$2:$B$1076,B1064)&gt;1,"重复","")</x:f>
      </x:c>
      <x:c r="V1064" t="str">
        <x:f>IF(AND(OR(M1064="",M1064=B1064),OR(N1064="",N1064=B1064),OR(O1064="",O1064=B1064)),"通过","不一致")</x:f>
        <x:v>通过</x:v>
      </x:c>
    </x:row>
    <x:row r="1065" ht="22" customHeight="1">
      <x:c r="A1065" s="289" t="n">
        <x:v>1064</x:v>
      </x:c>
      <x:c r="B1065" s="289" t="n">
        <x:v>7084</x:v>
      </x:c>
      <x:c r="C1065" s="290" t="str">
        <x:v>翠焰冥契·永夜</x:v>
      </x:c>
      <x:c r="D1065" s="290" t="str">
        <x:v>翠焰冥契</x:v>
      </x:c>
      <x:c r="E1065" s="290" t="n">
        <x:v>5</x:v>
      </x:c>
      <x:c r="F1065" s="290" t="str">
        <x:v>生肖1</x:v>
      </x:c>
      <x:c r="G1065" s="289" t="n">
        <x:v>22</x:v>
      </x:c>
      <x:c r="H1065" s="289" t="n">
        <x:v>40</x:v>
      </x:c>
      <x:c r="I1065" s="289" t="n">
        <x:v>7084</x:v>
      </x:c>
      <x:c r="J1065" s="289" t="n">
        <x:v>0</x:v>
      </x:c>
      <x:c r="K1065" s="289" t="n">
        <x:v>4</x:v>
      </x:c>
      <x:c r="L1065" s="289" t="n">
        <x:v>1</x:v>
      </x:c>
      <x:c r="M1065" s="289" t="n">
        <x:v>7084</x:v>
      </x:c>
      <x:c r="N1065" s="289" t="n">
        <x:v>7084</x:v>
      </x:c>
      <x:c r="O1065" s="289" t="n">
        <x:v>7084</x:v>
      </x:c>
      <x:c r="P1065" s="292"/>
      <x:c r="Q1065" s="292" t="str">
        <x:v>candidate-preflight-passed</x:v>
      </x:c>
      <x:c r="R1065" s="292" t="str"/>
      <x:c r="S1065" s="292" t="str">
        <x:v>玄渊二十套全装备代码总表.xlsx</x:v>
      </x:c>
      <x:c r="T1065" s="292" t="str">
        <x:v>玄渊20套全装备视觉候选；Items/StateItem/DnItems三库同码；属性待策划填写；OverLap=4; Expand1=1</x:v>
      </x:c>
      <x:c r="U1065" t="str">
        <x:f>IF(COUNTIF($B$2:$B$1076,B1065)&gt;1,"重复","")</x:f>
      </x:c>
      <x:c r="V1065" t="str">
        <x:f>IF(AND(OR(M1065="",M1065=B1065),OR(N1065="",N1065=B1065),OR(O1065="",O1065=B1065)),"通过","不一致")</x:f>
        <x:v>通过</x:v>
      </x:c>
    </x:row>
    <x:row r="1066" ht="22" customHeight="1">
      <x:c r="A1066" s="289" t="n">
        <x:v>1065</x:v>
      </x:c>
      <x:c r="B1066" s="289" t="n">
        <x:v>7085</x:v>
      </x:c>
      <x:c r="C1066" s="290" t="str">
        <x:v>翠焰冥契·永夜</x:v>
      </x:c>
      <x:c r="D1066" s="290" t="str">
        <x:v>翠焰冥契</x:v>
      </x:c>
      <x:c r="E1066" s="290" t="n">
        <x:v>5</x:v>
      </x:c>
      <x:c r="F1066" s="290" t="str">
        <x:v>生肖2</x:v>
      </x:c>
      <x:c r="G1066" s="289" t="n">
        <x:v>22</x:v>
      </x:c>
      <x:c r="H1066" s="289" t="n">
        <x:v>41</x:v>
      </x:c>
      <x:c r="I1066" s="289" t="n">
        <x:v>7085</x:v>
      </x:c>
      <x:c r="J1066" s="289" t="n">
        <x:v>0</x:v>
      </x:c>
      <x:c r="K1066" s="289" t="n">
        <x:v>4</x:v>
      </x:c>
      <x:c r="L1066" s="289" t="n">
        <x:v>2</x:v>
      </x:c>
      <x:c r="M1066" s="289" t="n">
        <x:v>7085</x:v>
      </x:c>
      <x:c r="N1066" s="289" t="n">
        <x:v>7085</x:v>
      </x:c>
      <x:c r="O1066" s="289" t="n">
        <x:v>7085</x:v>
      </x:c>
      <x:c r="P1066" s="292"/>
      <x:c r="Q1066" s="292" t="str">
        <x:v>candidate-preflight-passed</x:v>
      </x:c>
      <x:c r="R1066" s="292" t="str"/>
      <x:c r="S1066" s="292" t="str">
        <x:v>玄渊二十套全装备代码总表.xlsx</x:v>
      </x:c>
      <x:c r="T1066" s="292" t="str">
        <x:v>玄渊20套全装备视觉候选；Items/StateItem/DnItems三库同码；属性待策划填写；OverLap=4; Expand1=2</x:v>
      </x:c>
      <x:c r="U1066" t="str">
        <x:f>IF(COUNTIF($B$2:$B$1076,B1066)&gt;1,"重复","")</x:f>
      </x:c>
      <x:c r="V1066" t="str">
        <x:f>IF(AND(OR(M1066="",M1066=B1066),OR(N1066="",N1066=B1066),OR(O1066="",O1066=B1066)),"通过","不一致")</x:f>
        <x:v>通过</x:v>
      </x:c>
    </x:row>
    <x:row r="1067" ht="22" customHeight="1">
      <x:c r="A1067" s="289" t="n">
        <x:v>1066</x:v>
      </x:c>
      <x:c r="B1067" s="289" t="n">
        <x:v>7086</x:v>
      </x:c>
      <x:c r="C1067" s="290" t="str">
        <x:v>翠焰冥契·永夜</x:v>
      </x:c>
      <x:c r="D1067" s="290" t="str">
        <x:v>翠焰冥契</x:v>
      </x:c>
      <x:c r="E1067" s="290" t="n">
        <x:v>5</x:v>
      </x:c>
      <x:c r="F1067" s="290" t="str">
        <x:v>生肖3</x:v>
      </x:c>
      <x:c r="G1067" s="289" t="n">
        <x:v>22</x:v>
      </x:c>
      <x:c r="H1067" s="289" t="n">
        <x:v>42</x:v>
      </x:c>
      <x:c r="I1067" s="289" t="n">
        <x:v>7086</x:v>
      </x:c>
      <x:c r="J1067" s="289" t="n">
        <x:v>0</x:v>
      </x:c>
      <x:c r="K1067" s="289" t="n">
        <x:v>4</x:v>
      </x:c>
      <x:c r="L1067" s="289" t="n">
        <x:v>3</x:v>
      </x:c>
      <x:c r="M1067" s="289" t="n">
        <x:v>7086</x:v>
      </x:c>
      <x:c r="N1067" s="289" t="n">
        <x:v>7086</x:v>
      </x:c>
      <x:c r="O1067" s="289" t="n">
        <x:v>7086</x:v>
      </x:c>
      <x:c r="P1067" s="292"/>
      <x:c r="Q1067" s="292" t="str">
        <x:v>candidate-preflight-passed</x:v>
      </x:c>
      <x:c r="R1067" s="292" t="str"/>
      <x:c r="S1067" s="292" t="str">
        <x:v>玄渊二十套全装备代码总表.xlsx</x:v>
      </x:c>
      <x:c r="T1067" s="292" t="str">
        <x:v>玄渊20套全装备视觉候选；Items/StateItem/DnItems三库同码；属性待策划填写；OverLap=4; Expand1=3</x:v>
      </x:c>
      <x:c r="U1067" t="str">
        <x:f>IF(COUNTIF($B$2:$B$1076,B1067)&gt;1,"重复","")</x:f>
      </x:c>
      <x:c r="V1067" t="str">
        <x:f>IF(AND(OR(M1067="",M1067=B1067),OR(N1067="",N1067=B1067),OR(O1067="",O1067=B1067)),"通过","不一致")</x:f>
        <x:v>通过</x:v>
      </x:c>
    </x:row>
    <x:row r="1068" ht="22" customHeight="1">
      <x:c r="A1068" s="289" t="n">
        <x:v>1067</x:v>
      </x:c>
      <x:c r="B1068" s="289" t="n">
        <x:v>7087</x:v>
      </x:c>
      <x:c r="C1068" s="290" t="str">
        <x:v>翠焰冥契·永夜</x:v>
      </x:c>
      <x:c r="D1068" s="290" t="str">
        <x:v>翠焰冥契</x:v>
      </x:c>
      <x:c r="E1068" s="290" t="n">
        <x:v>5</x:v>
      </x:c>
      <x:c r="F1068" s="290" t="str">
        <x:v>生肖4</x:v>
      </x:c>
      <x:c r="G1068" s="289" t="n">
        <x:v>22</x:v>
      </x:c>
      <x:c r="H1068" s="289" t="n">
        <x:v>43</x:v>
      </x:c>
      <x:c r="I1068" s="289" t="n">
        <x:v>7087</x:v>
      </x:c>
      <x:c r="J1068" s="289" t="n">
        <x:v>0</x:v>
      </x:c>
      <x:c r="K1068" s="289" t="n">
        <x:v>4</x:v>
      </x:c>
      <x:c r="L1068" s="289" t="n">
        <x:v>4</x:v>
      </x:c>
      <x:c r="M1068" s="289" t="n">
        <x:v>7087</x:v>
      </x:c>
      <x:c r="N1068" s="289" t="n">
        <x:v>7087</x:v>
      </x:c>
      <x:c r="O1068" s="289" t="n">
        <x:v>7087</x:v>
      </x:c>
      <x:c r="P1068" s="292"/>
      <x:c r="Q1068" s="292" t="str">
        <x:v>candidate-preflight-passed</x:v>
      </x:c>
      <x:c r="R1068" s="292" t="str"/>
      <x:c r="S1068" s="292" t="str">
        <x:v>玄渊二十套全装备代码总表.xlsx</x:v>
      </x:c>
      <x:c r="T1068" s="292" t="str">
        <x:v>玄渊20套全装备视觉候选；Items/StateItem/DnItems三库同码；属性待策划填写；OverLap=4; Expand1=4</x:v>
      </x:c>
      <x:c r="U1068" t="str">
        <x:f>IF(COUNTIF($B$2:$B$1076,B1068)&gt;1,"重复","")</x:f>
      </x:c>
      <x:c r="V1068" t="str">
        <x:f>IF(AND(OR(M1068="",M1068=B1068),OR(N1068="",N1068=B1068),OR(O1068="",O1068=B1068)),"通过","不一致")</x:f>
        <x:v>通过</x:v>
      </x:c>
    </x:row>
    <x:row r="1069" ht="22" customHeight="1">
      <x:c r="A1069" s="289" t="n">
        <x:v>1068</x:v>
      </x:c>
      <x:c r="B1069" s="289" t="n">
        <x:v>7088</x:v>
      </x:c>
      <x:c r="C1069" s="290" t="str">
        <x:v>翠焰冥契·永夜</x:v>
      </x:c>
      <x:c r="D1069" s="290" t="str">
        <x:v>翠焰冥契</x:v>
      </x:c>
      <x:c r="E1069" s="290" t="n">
        <x:v>5</x:v>
      </x:c>
      <x:c r="F1069" s="290" t="str">
        <x:v>生肖5</x:v>
      </x:c>
      <x:c r="G1069" s="289" t="n">
        <x:v>22</x:v>
      </x:c>
      <x:c r="H1069" s="289" t="n">
        <x:v>44</x:v>
      </x:c>
      <x:c r="I1069" s="289" t="n">
        <x:v>7088</x:v>
      </x:c>
      <x:c r="J1069" s="289" t="n">
        <x:v>0</x:v>
      </x:c>
      <x:c r="K1069" s="289" t="n">
        <x:v>4</x:v>
      </x:c>
      <x:c r="L1069" s="289" t="n">
        <x:v>5</x:v>
      </x:c>
      <x:c r="M1069" s="289" t="n">
        <x:v>7088</x:v>
      </x:c>
      <x:c r="N1069" s="289" t="n">
        <x:v>7088</x:v>
      </x:c>
      <x:c r="O1069" s="289" t="n">
        <x:v>7088</x:v>
      </x:c>
      <x:c r="P1069" s="292"/>
      <x:c r="Q1069" s="292" t="str">
        <x:v>candidate-preflight-passed</x:v>
      </x:c>
      <x:c r="R1069" s="292" t="str"/>
      <x:c r="S1069" s="292" t="str">
        <x:v>玄渊二十套全装备代码总表.xlsx</x:v>
      </x:c>
      <x:c r="T1069" s="292" t="str">
        <x:v>玄渊20套全装备视觉候选；Items/StateItem/DnItems三库同码；属性待策划填写；OverLap=4; Expand1=5</x:v>
      </x:c>
      <x:c r="U1069" t="str">
        <x:f>IF(COUNTIF($B$2:$B$1076,B1069)&gt;1,"重复","")</x:f>
      </x:c>
      <x:c r="V1069" t="str">
        <x:f>IF(AND(OR(M1069="",M1069=B1069),OR(N1069="",N1069=B1069),OR(O1069="",O1069=B1069)),"通过","不一致")</x:f>
        <x:v>通过</x:v>
      </x:c>
    </x:row>
    <x:row r="1070" ht="22" customHeight="1">
      <x:c r="A1070" s="289" t="n">
        <x:v>1069</x:v>
      </x:c>
      <x:c r="B1070" s="289" t="n">
        <x:v>7089</x:v>
      </x:c>
      <x:c r="C1070" s="290" t="str">
        <x:v>翠焰冥契·永夜</x:v>
      </x:c>
      <x:c r="D1070" s="290" t="str">
        <x:v>翠焰冥契</x:v>
      </x:c>
      <x:c r="E1070" s="290" t="n">
        <x:v>5</x:v>
      </x:c>
      <x:c r="F1070" s="290" t="str">
        <x:v>生肖6</x:v>
      </x:c>
      <x:c r="G1070" s="289" t="n">
        <x:v>22</x:v>
      </x:c>
      <x:c r="H1070" s="289" t="n">
        <x:v>45</x:v>
      </x:c>
      <x:c r="I1070" s="289" t="n">
        <x:v>7089</x:v>
      </x:c>
      <x:c r="J1070" s="289" t="n">
        <x:v>0</x:v>
      </x:c>
      <x:c r="K1070" s="289" t="n">
        <x:v>4</x:v>
      </x:c>
      <x:c r="L1070" s="289" t="n">
        <x:v>6</x:v>
      </x:c>
      <x:c r="M1070" s="289" t="n">
        <x:v>7089</x:v>
      </x:c>
      <x:c r="N1070" s="289" t="n">
        <x:v>7089</x:v>
      </x:c>
      <x:c r="O1070" s="289" t="n">
        <x:v>7089</x:v>
      </x:c>
      <x:c r="P1070" s="292"/>
      <x:c r="Q1070" s="292" t="str">
        <x:v>candidate-preflight-passed</x:v>
      </x:c>
      <x:c r="R1070" s="292" t="str"/>
      <x:c r="S1070" s="292" t="str">
        <x:v>玄渊二十套全装备代码总表.xlsx</x:v>
      </x:c>
      <x:c r="T1070" s="292" t="str">
        <x:v>玄渊20套全装备视觉候选；Items/StateItem/DnItems三库同码；属性待策划填写；OverLap=4; Expand1=6</x:v>
      </x:c>
      <x:c r="U1070" t="str">
        <x:f>IF(COUNTIF($B$2:$B$1076,B1070)&gt;1,"重复","")</x:f>
      </x:c>
      <x:c r="V1070" t="str">
        <x:f>IF(AND(OR(M1070="",M1070=B1070),OR(N1070="",N1070=B1070),OR(O1070="",O1070=B1070)),"通过","不一致")</x:f>
        <x:v>通过</x:v>
      </x:c>
    </x:row>
    <x:row r="1071" ht="22" customHeight="1">
      <x:c r="A1071" s="289" t="n">
        <x:v>1070</x:v>
      </x:c>
      <x:c r="B1071" s="289" t="n">
        <x:v>7090</x:v>
      </x:c>
      <x:c r="C1071" s="290" t="str">
        <x:v>翠焰冥契·永夜</x:v>
      </x:c>
      <x:c r="D1071" s="290" t="str">
        <x:v>翠焰冥契</x:v>
      </x:c>
      <x:c r="E1071" s="290" t="n">
        <x:v>5</x:v>
      </x:c>
      <x:c r="F1071" s="290" t="str">
        <x:v>生肖7</x:v>
      </x:c>
      <x:c r="G1071" s="289" t="n">
        <x:v>22</x:v>
      </x:c>
      <x:c r="H1071" s="289" t="n">
        <x:v>46</x:v>
      </x:c>
      <x:c r="I1071" s="289" t="n">
        <x:v>7090</x:v>
      </x:c>
      <x:c r="J1071" s="289" t="n">
        <x:v>0</x:v>
      </x:c>
      <x:c r="K1071" s="289" t="n">
        <x:v>4</x:v>
      </x:c>
      <x:c r="L1071" s="289" t="n">
        <x:v>7</x:v>
      </x:c>
      <x:c r="M1071" s="289" t="n">
        <x:v>7090</x:v>
      </x:c>
      <x:c r="N1071" s="289" t="n">
        <x:v>7090</x:v>
      </x:c>
      <x:c r="O1071" s="289" t="n">
        <x:v>7090</x:v>
      </x:c>
      <x:c r="P1071" s="292"/>
      <x:c r="Q1071" s="292" t="str">
        <x:v>candidate-preflight-passed</x:v>
      </x:c>
      <x:c r="R1071" s="292" t="str"/>
      <x:c r="S1071" s="292" t="str">
        <x:v>玄渊二十套全装备代码总表.xlsx</x:v>
      </x:c>
      <x:c r="T1071" s="292" t="str">
        <x:v>玄渊20套全装备视觉候选；Items/StateItem/DnItems三库同码；属性待策划填写；OverLap=4; Expand1=7</x:v>
      </x:c>
      <x:c r="U1071" t="str">
        <x:f>IF(COUNTIF($B$2:$B$1076,B1071)&gt;1,"重复","")</x:f>
      </x:c>
      <x:c r="V1071" t="str">
        <x:f>IF(AND(OR(M1071="",M1071=B1071),OR(N1071="",N1071=B1071),OR(O1071="",O1071=B1071)),"通过","不一致")</x:f>
        <x:v>通过</x:v>
      </x:c>
    </x:row>
    <x:row r="1072" ht="22" customHeight="1">
      <x:c r="A1072" s="289" t="n">
        <x:v>1071</x:v>
      </x:c>
      <x:c r="B1072" s="289" t="n">
        <x:v>7091</x:v>
      </x:c>
      <x:c r="C1072" s="290" t="str">
        <x:v>翠焰冥契·永夜</x:v>
      </x:c>
      <x:c r="D1072" s="290" t="str">
        <x:v>翠焰冥契</x:v>
      </x:c>
      <x:c r="E1072" s="290" t="n">
        <x:v>5</x:v>
      </x:c>
      <x:c r="F1072" s="290" t="str">
        <x:v>生肖8</x:v>
      </x:c>
      <x:c r="G1072" s="289" t="n">
        <x:v>22</x:v>
      </x:c>
      <x:c r="H1072" s="289" t="n">
        <x:v>47</x:v>
      </x:c>
      <x:c r="I1072" s="289" t="n">
        <x:v>7091</x:v>
      </x:c>
      <x:c r="J1072" s="289" t="n">
        <x:v>0</x:v>
      </x:c>
      <x:c r="K1072" s="289" t="n">
        <x:v>4</x:v>
      </x:c>
      <x:c r="L1072" s="289" t="n">
        <x:v>8</x:v>
      </x:c>
      <x:c r="M1072" s="289" t="n">
        <x:v>7091</x:v>
      </x:c>
      <x:c r="N1072" s="289" t="n">
        <x:v>7091</x:v>
      </x:c>
      <x:c r="O1072" s="289" t="n">
        <x:v>7091</x:v>
      </x:c>
      <x:c r="P1072" s="292"/>
      <x:c r="Q1072" s="292" t="str">
        <x:v>candidate-preflight-passed</x:v>
      </x:c>
      <x:c r="R1072" s="292" t="str"/>
      <x:c r="S1072" s="292" t="str">
        <x:v>玄渊二十套全装备代码总表.xlsx</x:v>
      </x:c>
      <x:c r="T1072" s="292" t="str">
        <x:v>玄渊20套全装备视觉候选；Items/StateItem/DnItems三库同码；属性待策划填写；OverLap=4; Expand1=8</x:v>
      </x:c>
      <x:c r="U1072" t="str">
        <x:f>IF(COUNTIF($B$2:$B$1076,B1072)&gt;1,"重复","")</x:f>
      </x:c>
      <x:c r="V1072" t="str">
        <x:f>IF(AND(OR(M1072="",M1072=B1072),OR(N1072="",N1072=B1072),OR(O1072="",O1072=B1072)),"通过","不一致")</x:f>
        <x:v>通过</x:v>
      </x:c>
    </x:row>
    <x:row r="1073" ht="22" customHeight="1">
      <x:c r="A1073" s="289" t="n">
        <x:v>1072</x:v>
      </x:c>
      <x:c r="B1073" s="289" t="n">
        <x:v>7092</x:v>
      </x:c>
      <x:c r="C1073" s="290" t="str">
        <x:v>翠焰冥契·永夜</x:v>
      </x:c>
      <x:c r="D1073" s="290" t="str">
        <x:v>翠焰冥契</x:v>
      </x:c>
      <x:c r="E1073" s="290" t="n">
        <x:v>5</x:v>
      </x:c>
      <x:c r="F1073" s="290" t="str">
        <x:v>生肖9</x:v>
      </x:c>
      <x:c r="G1073" s="289" t="n">
        <x:v>22</x:v>
      </x:c>
      <x:c r="H1073" s="289" t="n">
        <x:v>48</x:v>
      </x:c>
      <x:c r="I1073" s="289" t="n">
        <x:v>7092</x:v>
      </x:c>
      <x:c r="J1073" s="289" t="n">
        <x:v>0</x:v>
      </x:c>
      <x:c r="K1073" s="289" t="n">
        <x:v>4</x:v>
      </x:c>
      <x:c r="L1073" s="289" t="n">
        <x:v>9</x:v>
      </x:c>
      <x:c r="M1073" s="289" t="n">
        <x:v>7092</x:v>
      </x:c>
      <x:c r="N1073" s="289" t="n">
        <x:v>7092</x:v>
      </x:c>
      <x:c r="O1073" s="289" t="n">
        <x:v>7092</x:v>
      </x:c>
      <x:c r="P1073" s="292"/>
      <x:c r="Q1073" s="292" t="str">
        <x:v>candidate-preflight-passed</x:v>
      </x:c>
      <x:c r="R1073" s="292" t="str"/>
      <x:c r="S1073" s="292" t="str">
        <x:v>玄渊二十套全装备代码总表.xlsx</x:v>
      </x:c>
      <x:c r="T1073" s="292" t="str">
        <x:v>玄渊20套全装备视觉候选；Items/StateItem/DnItems三库同码；属性待策划填写；OverLap=4; Expand1=9</x:v>
      </x:c>
      <x:c r="U1073" t="str">
        <x:f>IF(COUNTIF($B$2:$B$1076,B1073)&gt;1,"重复","")</x:f>
      </x:c>
      <x:c r="V1073" t="str">
        <x:f>IF(AND(OR(M1073="",M1073=B1073),OR(N1073="",N1073=B1073),OR(O1073="",O1073=B1073)),"通过","不一致")</x:f>
        <x:v>通过</x:v>
      </x:c>
    </x:row>
    <x:row r="1074" ht="22" customHeight="1">
      <x:c r="A1074" s="289" t="n">
        <x:v>1073</x:v>
      </x:c>
      <x:c r="B1074" s="289" t="n">
        <x:v>7093</x:v>
      </x:c>
      <x:c r="C1074" s="290" t="str">
        <x:v>翠焰冥契·永夜</x:v>
      </x:c>
      <x:c r="D1074" s="290" t="str">
        <x:v>翠焰冥契</x:v>
      </x:c>
      <x:c r="E1074" s="290" t="n">
        <x:v>5</x:v>
      </x:c>
      <x:c r="F1074" s="290" t="str">
        <x:v>生肖10</x:v>
      </x:c>
      <x:c r="G1074" s="289" t="n">
        <x:v>22</x:v>
      </x:c>
      <x:c r="H1074" s="289" t="n">
        <x:v>49</x:v>
      </x:c>
      <x:c r="I1074" s="289" t="n">
        <x:v>7093</x:v>
      </x:c>
      <x:c r="J1074" s="289" t="n">
        <x:v>0</x:v>
      </x:c>
      <x:c r="K1074" s="289" t="n">
        <x:v>4</x:v>
      </x:c>
      <x:c r="L1074" s="289" t="n">
        <x:v>10</x:v>
      </x:c>
      <x:c r="M1074" s="289" t="n">
        <x:v>7093</x:v>
      </x:c>
      <x:c r="N1074" s="289" t="n">
        <x:v>7093</x:v>
      </x:c>
      <x:c r="O1074" s="289" t="n">
        <x:v>7093</x:v>
      </x:c>
      <x:c r="P1074" s="292"/>
      <x:c r="Q1074" s="292" t="str">
        <x:v>candidate-preflight-passed</x:v>
      </x:c>
      <x:c r="R1074" s="292" t="str"/>
      <x:c r="S1074" s="292" t="str">
        <x:v>玄渊二十套全装备代码总表.xlsx</x:v>
      </x:c>
      <x:c r="T1074" s="292" t="str">
        <x:v>玄渊20套全装备视觉候选；Items/StateItem/DnItems三库同码；属性待策划填写；OverLap=4; Expand1=10</x:v>
      </x:c>
      <x:c r="U1074" t="str">
        <x:f>IF(COUNTIF($B$2:$B$1076,B1074)&gt;1,"重复","")</x:f>
      </x:c>
      <x:c r="V1074" t="str">
        <x:f>IF(AND(OR(M1074="",M1074=B1074),OR(N1074="",N1074=B1074),OR(O1074="",O1074=B1074)),"通过","不一致")</x:f>
        <x:v>通过</x:v>
      </x:c>
    </x:row>
    <x:row r="1075" ht="22" customHeight="1">
      <x:c r="A1075" s="289" t="n">
        <x:v>1074</x:v>
      </x:c>
      <x:c r="B1075" s="289" t="n">
        <x:v>7094</x:v>
      </x:c>
      <x:c r="C1075" s="290" t="str">
        <x:v>翠焰冥契·永夜</x:v>
      </x:c>
      <x:c r="D1075" s="290" t="str">
        <x:v>翠焰冥契</x:v>
      </x:c>
      <x:c r="E1075" s="290" t="n">
        <x:v>5</x:v>
      </x:c>
      <x:c r="F1075" s="290" t="str">
        <x:v>生肖11</x:v>
      </x:c>
      <x:c r="G1075" s="289" t="n">
        <x:v>22</x:v>
      </x:c>
      <x:c r="H1075" s="289" t="n">
        <x:v>50</x:v>
      </x:c>
      <x:c r="I1075" s="289" t="n">
        <x:v>7094</x:v>
      </x:c>
      <x:c r="J1075" s="289" t="n">
        <x:v>0</x:v>
      </x:c>
      <x:c r="K1075" s="289" t="n">
        <x:v>4</x:v>
      </x:c>
      <x:c r="L1075" s="289" t="n">
        <x:v>11</x:v>
      </x:c>
      <x:c r="M1075" s="289" t="n">
        <x:v>7094</x:v>
      </x:c>
      <x:c r="N1075" s="289" t="n">
        <x:v>7094</x:v>
      </x:c>
      <x:c r="O1075" s="289" t="n">
        <x:v>7094</x:v>
      </x:c>
      <x:c r="P1075" s="292"/>
      <x:c r="Q1075" s="292" t="str">
        <x:v>candidate-preflight-passed</x:v>
      </x:c>
      <x:c r="R1075" s="292" t="str"/>
      <x:c r="S1075" s="292" t="str">
        <x:v>玄渊二十套全装备代码总表.xlsx</x:v>
      </x:c>
      <x:c r="T1075" s="292" t="str">
        <x:v>玄渊20套全装备视觉候选；Items/StateItem/DnItems三库同码；属性待策划填写；OverLap=4; Expand1=11</x:v>
      </x:c>
      <x:c r="U1075" t="str">
        <x:f>IF(COUNTIF($B$2:$B$1076,B1075)&gt;1,"重复","")</x:f>
      </x:c>
      <x:c r="V1075" t="str">
        <x:f>IF(AND(OR(M1075="",M1075=B1075),OR(N1075="",N1075=B1075),OR(O1075="",O1075=B1075)),"通过","不一致")</x:f>
        <x:v>通过</x:v>
      </x:c>
    </x:row>
    <x:row r="1076" ht="22" customHeight="1">
      <x:c r="A1076" s="289" t="n">
        <x:v>1075</x:v>
      </x:c>
      <x:c r="B1076" s="289" t="n">
        <x:v>7095</x:v>
      </x:c>
      <x:c r="C1076" s="290" t="str">
        <x:v>翠焰冥契·永夜</x:v>
      </x:c>
      <x:c r="D1076" s="290" t="str">
        <x:v>翠焰冥契</x:v>
      </x:c>
      <x:c r="E1076" s="290" t="n">
        <x:v>5</x:v>
      </x:c>
      <x:c r="F1076" s="290" t="str">
        <x:v>生肖12</x:v>
      </x:c>
      <x:c r="G1076" s="289" t="n">
        <x:v>22</x:v>
      </x:c>
      <x:c r="H1076" s="289" t="n">
        <x:v>51</x:v>
      </x:c>
      <x:c r="I1076" s="289" t="n">
        <x:v>7095</x:v>
      </x:c>
      <x:c r="J1076" s="289" t="n">
        <x:v>0</x:v>
      </x:c>
      <x:c r="K1076" s="289" t="n">
        <x:v>4</x:v>
      </x:c>
      <x:c r="L1076" s="289" t="n">
        <x:v>12</x:v>
      </x:c>
      <x:c r="M1076" s="289" t="n">
        <x:v>7095</x:v>
      </x:c>
      <x:c r="N1076" s="289" t="n">
        <x:v>7095</x:v>
      </x:c>
      <x:c r="O1076" s="289" t="n">
        <x:v>7095</x:v>
      </x:c>
      <x:c r="P1076" s="292"/>
      <x:c r="Q1076" s="292" t="str">
        <x:v>candidate-preflight-passed</x:v>
      </x:c>
      <x:c r="R1076" s="292" t="str"/>
      <x:c r="S1076" s="292" t="str">
        <x:v>玄渊二十套全装备代码总表.xlsx</x:v>
      </x:c>
      <x:c r="T1076" s="292" t="str">
        <x:v>玄渊20套全装备视觉候选；Items/StateItem/DnItems三库同码；属性待策划填写；OverLap=4; Expand1=12</x:v>
      </x:c>
      <x:c r="U1076" t="str">
        <x:f>IF(COUNTIF($B$2:$B$1076,B1076)&gt;1,"重复","")</x:f>
      </x:c>
      <x:c r="V1076" t="str">
        <x:f>IF(AND(OR(M1076="",M1076=B1076),OR(N1076="",N1076=B1076),OR(O1076="",O1076=B1076)),"通过","不一致")</x:f>
        <x:v>通过</x:v>
      </x:c>
    </x:row>
  </x:sheetData>
  <x:conditionalFormatting sqref="U2:U1076">
    <x:cfRule type="containsText" dxfId="0" priority="1" operator="containsText" text="重复"/>
  </x:conditionalFormatting>
  <x:conditionalFormatting sqref="V2:V1076">
    <x:cfRule type="containsText" dxfId="1" priority="2" operator="containsText" text="不一致"/>
    <x:cfRule type="containsText" dxfId="2" priority="3" operator="containsText" text="通过"/>
  </x:conditionalFormatting>
  <x:pageMargins left="0.7" right="0.7" top="0.75" bottom="0.75" header="0.3" footer="0.3"/>
  <x:tableParts count="1">
    <x:tablePart xmlns:r="http://schemas.openxmlformats.org/officeDocument/2006/relationships" r:id="Rd73416ebac0f414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9" hidden="0" customWidth="1"/>
    <x:col min="3" max="3" width="16" hidden="0" customWidth="1"/>
    <x:col min="4" max="4" width="11" hidden="0" customWidth="1"/>
    <x:col min="5" max="5" width="20" hidden="0" customWidth="1"/>
    <x:col min="6" max="6" width="12" hidden="0" customWidth="1"/>
    <x:col min="7" max="7" width="22" hidden="0" customWidth="1"/>
    <x:col min="8" max="8" width="12" hidden="0" customWidth="1"/>
    <x:col min="9" max="9" width="28" hidden="0" customWidth="1"/>
    <x:col min="10" max="10" width="16" hidden="0" customWidth="1"/>
    <x:col min="11" max="11" width="32" hidden="0" customWidth="1"/>
    <x:col min="12" max="12" width="50" hidden="0" customWidth="1"/>
  </x:cols>
  <x:sheetData>
    <x:row r="1" ht="30" customHeight="1">
      <x:c r="A1" s="361" t="str">
        <x:v>第3—10大陆专属装备来源编号规划占用</x:v>
      </x:c>
      <x:c r="B1" s="361" t="str">
        <x:v>第3—10大陆专属装备来源编号规划占用</x:v>
      </x:c>
      <x:c r="C1" s="361" t="str">
        <x:v>第3—10大陆专属装备来源编号规划占用</x:v>
      </x:c>
      <x:c r="D1" s="361" t="str">
        <x:v>第3—10大陆专属装备来源编号规划占用</x:v>
      </x:c>
      <x:c r="E1" s="361" t="str">
        <x:v>第3—10大陆专属装备来源编号规划占用</x:v>
      </x:c>
      <x:c r="F1" s="361" t="str">
        <x:v>第3—10大陆专属装备来源编号规划占用</x:v>
      </x:c>
      <x:c r="G1" s="361" t="str">
        <x:v>第3—10大陆专属装备来源编号规划占用</x:v>
      </x:c>
      <x:c r="H1" s="361" t="str">
        <x:v>第3—10大陆专属装备来源编号规划占用</x:v>
      </x:c>
      <x:c r="I1" s="361" t="str">
        <x:v>第3—10大陆专属装备来源编号规划占用</x:v>
      </x:c>
      <x:c r="J1" s="361" t="str">
        <x:v>第3—10大陆专属装备来源编号规划占用</x:v>
      </x:c>
      <x:c r="K1" s="361" t="str">
        <x:v>第3—10大陆专属装备来源编号规划占用</x:v>
      </x:c>
      <x:c r="L1" s="361" t="str">
        <x:v>第3—10大陆专属装备来源编号规划占用</x:v>
      </x:c>
    </x:row>
    <x:row r="2" ht="38" customHeight="1">
      <x:c r="A2" s="365" t="str">
        <x:v>342码规划锁定、122件待补。分配依据为来源编号主键；资源组名称不得作为唯一键。旧九部位资源在入库前仍须实库回读。</x:v>
      </x:c>
      <x:c r="B2" s="365" t="str">
        <x:v>342码规划锁定、122件待补。分配依据为来源编号主键；资源组名称不得作为唯一键。旧九部位资源在入库前仍须实库回读。</x:v>
      </x:c>
      <x:c r="C2" s="365" t="str">
        <x:v>342码规划锁定、122件待补。分配依据为来源编号主键；资源组名称不得作为唯一键。旧九部位资源在入库前仍须实库回读。</x:v>
      </x:c>
      <x:c r="D2" s="365" t="str">
        <x:v>342码规划锁定、122件待补。分配依据为来源编号主键；资源组名称不得作为唯一键。旧九部位资源在入库前仍须实库回读。</x:v>
      </x:c>
      <x:c r="E2" s="365" t="str">
        <x:v>342码规划锁定、122件待补。分配依据为来源编号主键；资源组名称不得作为唯一键。旧九部位资源在入库前仍须实库回读。</x:v>
      </x:c>
      <x:c r="F2" s="365" t="str">
        <x:v>342码规划锁定、122件待补。分配依据为来源编号主键；资源组名称不得作为唯一键。旧九部位资源在入库前仍须实库回读。</x:v>
      </x:c>
      <x:c r="G2" s="365" t="str">
        <x:v>342码规划锁定、122件待补。分配依据为来源编号主键；资源组名称不得作为唯一键。旧九部位资源在入库前仍须实库回读。</x:v>
      </x:c>
      <x:c r="H2" s="365" t="str">
        <x:v>342码规划锁定、122件待补。分配依据为来源编号主键；资源组名称不得作为唯一键。旧九部位资源在入库前仍须实库回读。</x:v>
      </x:c>
      <x:c r="I2" s="365" t="str">
        <x:v>342码规划锁定、122件待补。分配依据为来源编号主键；资源组名称不得作为唯一键。旧九部位资源在入库前仍须实库回读。</x:v>
      </x:c>
      <x:c r="J2" s="365" t="str">
        <x:v>342码规划锁定、122件待补。分配依据为来源编号主键；资源组名称不得作为唯一键。旧九部位资源在入库前仍须实库回读。</x:v>
      </x:c>
      <x:c r="K2" s="365" t="str">
        <x:v>342码规划锁定、122件待补。分配依据为来源编号主键；资源组名称不得作为唯一键。旧九部位资源在入库前仍须实库回读。</x:v>
      </x:c>
      <x:c r="L2" s="365" t="str">
        <x:v>342码规划锁定、122件待补。分配依据为来源编号主键；资源组名称不得作为唯一键。旧九部位资源在入库前仍须实库回读。</x:v>
      </x:c>
    </x:row>
    <x:row r="4" ht="30" customHeight="1">
      <x:c r="A4" s="371" t="str">
        <x:v>记录ID</x:v>
      </x:c>
      <x:c r="B4" s="371" t="str">
        <x:v>大陆ID</x:v>
      </x:c>
      <x:c r="C4" s="371" t="str">
        <x:v>大陆</x:v>
      </x:c>
      <x:c r="D4" s="371" t="str">
        <x:v>地图号</x:v>
      </x:c>
      <x:c r="E4" s="371" t="str">
        <x:v>怪物名称</x:v>
      </x:c>
      <x:c r="F4" s="371" t="str">
        <x:v>类别</x:v>
      </x:c>
      <x:c r="G4" s="371" t="str">
        <x:v>专属名称</x:v>
      </x:c>
      <x:c r="H4" s="371" t="str">
        <x:v>概念部位</x:v>
      </x:c>
      <x:c r="I4" s="371" t="str">
        <x:v>资源库部位</x:v>
      </x:c>
      <x:c r="J4" s="371" t="str">
        <x:v>装备来源编号</x:v>
      </x:c>
      <x:c r="K4" s="371" t="str">
        <x:v>分配状态</x:v>
      </x:c>
      <x:c r="L4" s="371" t="str">
        <x:v>说明</x:v>
      </x:c>
    </x:row>
    <x:row r="5" ht="34" customHeight="1">
      <x:c r="A5" s="344" t="str">
        <x:v>C03-M001</x:v>
      </x:c>
      <x:c r="B5" s="345" t="str">
        <x:v>C03</x:v>
      </x:c>
      <x:c r="C5" s="345" t="str">
        <x:v>宁姆格福西域</x:v>
      </x:c>
      <x:c r="D5" s="345" t="str">
        <x:v>XX776</x:v>
      </x:c>
      <x:c r="E5" s="345" t="str">
        <x:v>荒原拾骨者</x:v>
      </x:c>
      <x:c r="F5" s="345" t="str">
        <x:v>普通</x:v>
      </x:c>
      <x:c r="G5" s="345" t="str">
        <x:v>拾骨弯刀</x:v>
      </x:c>
      <x:c r="H5" s="345" t="str">
        <x:v>武器</x:v>
      </x:c>
      <x:c r="I5" s="345" t="str">
        <x:v>武器</x:v>
      </x:c>
      <x:c r="J5" s="345"/>
      <x:c r="K5" s="345" t="str">
        <x:v>缺武器来源码</x:v>
      </x:c>
      <x:c r="L5" s="346" t="str">
        <x:v>需补同部位Items/StateItem/DnItems三库同码资源</x:v>
      </x:c>
    </x:row>
    <x:row r="6" ht="34" customHeight="1">
      <x:c r="A6" s="347" t="str">
        <x:v>C03-M002</x:v>
      </x:c>
      <x:c r="B6" s="348" t="str">
        <x:v>C03</x:v>
      </x:c>
      <x:c r="C6" s="348" t="str">
        <x:v>宁姆格福西域</x:v>
      </x:c>
      <x:c r="D6" s="348" t="str">
        <x:v>XX775</x:v>
      </x:c>
      <x:c r="E6" s="348" t="str">
        <x:v>断旗步兵</x:v>
      </x:c>
      <x:c r="F6" s="348" t="str">
        <x:v>普通</x:v>
      </x:c>
      <x:c r="G6" s="348" t="str">
        <x:v>断旗战链</x:v>
      </x:c>
      <x:c r="H6" s="348" t="str">
        <x:v>项链</x:v>
      </x:c>
      <x:c r="I6" s="348" t="str">
        <x:v>项链</x:v>
      </x:c>
      <x:c r="J6" s="348" t="n">
        <x:v>6471</x:v>
      </x:c>
      <x:c r="K6" s="348" t="str">
        <x:v>预检通过资源／规划锁定／待入库</x:v>
      </x:c>
      <x:c r="L6" s="349" t="str">
        <x:v>装备资源库黄金圣树·王权</x:v>
      </x:c>
    </x:row>
    <x:row r="7" ht="34" customHeight="1">
      <x:c r="A7" s="347" t="str">
        <x:v>C03-M003</x:v>
      </x:c>
      <x:c r="B7" s="348" t="str">
        <x:v>C03</x:v>
      </x:c>
      <x:c r="C7" s="348" t="str">
        <x:v>宁姆格福西域</x:v>
      </x:c>
      <x:c r="D7" s="348" t="str">
        <x:v>XX780</x:v>
      </x:c>
      <x:c r="E7" s="348" t="str">
        <x:v>风沙掠夺者</x:v>
      </x:c>
      <x:c r="F7" s="348" t="str">
        <x:v>普通</x:v>
      </x:c>
      <x:c r="G7" s="348" t="str">
        <x:v>掠风护腕</x:v>
      </x:c>
      <x:c r="H7" s="348" t="str">
        <x:v>手镯</x:v>
      </x:c>
      <x:c r="I7" s="348" t="str">
        <x:v>手镯</x:v>
      </x:c>
      <x:c r="J7" s="348" t="n">
        <x:v>6472</x:v>
      </x:c>
      <x:c r="K7" s="348" t="str">
        <x:v>预检通过资源／规划锁定／待入库</x:v>
      </x:c>
      <x:c r="L7" s="349" t="str">
        <x:v>装备资源库黄金圣树·王权</x:v>
      </x:c>
    </x:row>
    <x:row r="8" ht="34" customHeight="1">
      <x:c r="A8" s="347" t="str">
        <x:v>C03-M004</x:v>
      </x:c>
      <x:c r="B8" s="348" t="str">
        <x:v>C03</x:v>
      </x:c>
      <x:c r="C8" s="348" t="str">
        <x:v>宁姆格福西域</x:v>
      </x:c>
      <x:c r="D8" s="348" t="str">
        <x:v>XX780</x:v>
      </x:c>
      <x:c r="E8" s="348" t="str">
        <x:v>铁蹄战马</x:v>
      </x:c>
      <x:c r="F8" s="348" t="str">
        <x:v>普通</x:v>
      </x:c>
      <x:c r="G8" s="348" t="str">
        <x:v>铁蹄战靴</x:v>
      </x:c>
      <x:c r="H8" s="348" t="str">
        <x:v>鞋子</x:v>
      </x:c>
      <x:c r="I8" s="348" t="str">
        <x:v>鞋子</x:v>
      </x:c>
      <x:c r="J8" s="348" t="n">
        <x:v>6477</x:v>
      </x:c>
      <x:c r="K8" s="348" t="str">
        <x:v>预检通过资源／规划锁定／待入库</x:v>
      </x:c>
      <x:c r="L8" s="349" t="str">
        <x:v>装备资源库黄金圣树·王权</x:v>
      </x:c>
    </x:row>
    <x:row r="9" ht="34" customHeight="1">
      <x:c r="A9" s="347" t="str">
        <x:v>C03-M005</x:v>
      </x:c>
      <x:c r="B9" s="348" t="str">
        <x:v>C03</x:v>
      </x:c>
      <x:c r="C9" s="348" t="str">
        <x:v>宁姆格福西域</x:v>
      </x:c>
      <x:c r="D9" s="348" t="str">
        <x:v>XX776</x:v>
      </x:c>
      <x:c r="E9" s="348" t="str">
        <x:v>枯草狼</x:v>
      </x:c>
      <x:c r="F9" s="348" t="str">
        <x:v>普通</x:v>
      </x:c>
      <x:c r="G9" s="348" t="str">
        <x:v>枯草牙戒</x:v>
      </x:c>
      <x:c r="H9" s="348" t="str">
        <x:v>戒指</x:v>
      </x:c>
      <x:c r="I9" s="348" t="str">
        <x:v>戒指</x:v>
      </x:c>
      <x:c r="J9" s="348" t="n">
        <x:v>6473</x:v>
      </x:c>
      <x:c r="K9" s="348" t="str">
        <x:v>预检通过资源／规划锁定／待入库</x:v>
      </x:c>
      <x:c r="L9" s="349" t="str">
        <x:v>装备资源库黄金圣树·王权</x:v>
      </x:c>
    </x:row>
    <x:row r="10" ht="34" customHeight="1">
      <x:c r="A10" s="347" t="str">
        <x:v>C03-M006</x:v>
      </x:c>
      <x:c r="B10" s="348" t="str">
        <x:v>C03</x:v>
      </x:c>
      <x:c r="C10" s="348" t="str">
        <x:v>宁姆格福西域</x:v>
      </x:c>
      <x:c r="D10" s="348" t="str">
        <x:v>XX778</x:v>
      </x:c>
      <x:c r="E10" s="348" t="str">
        <x:v>锈甲逃兵</x:v>
      </x:c>
      <x:c r="F10" s="348" t="str">
        <x:v>普通</x:v>
      </x:c>
      <x:c r="G10" s="348" t="str">
        <x:v>锈甲腰封</x:v>
      </x:c>
      <x:c r="H10" s="348" t="str">
        <x:v>腰带</x:v>
      </x:c>
      <x:c r="I10" s="348" t="str">
        <x:v>腰带</x:v>
      </x:c>
      <x:c r="J10" s="348" t="n">
        <x:v>6478</x:v>
      </x:c>
      <x:c r="K10" s="348" t="str">
        <x:v>预检通过资源／规划锁定／待入库</x:v>
      </x:c>
      <x:c r="L10" s="349" t="str">
        <x:v>装备资源库黄金圣树·王权</x:v>
      </x:c>
    </x:row>
    <x:row r="11" ht="34" customHeight="1">
      <x:c r="A11" s="347" t="str">
        <x:v>C03-M007</x:v>
      </x:c>
      <x:c r="B11" s="348" t="str">
        <x:v>C03</x:v>
      </x:c>
      <x:c r="C11" s="348" t="str">
        <x:v>宁姆格福西域</x:v>
      </x:c>
      <x:c r="D11" s="348" t="str">
        <x:v>XX776</x:v>
      </x:c>
      <x:c r="E11" s="348" t="str">
        <x:v>西境旗卫</x:v>
      </x:c>
      <x:c r="F11" s="348" t="str">
        <x:v>稀有</x:v>
      </x:c>
      <x:c r="G11" s="348" t="str">
        <x:v>西境军盔</x:v>
      </x:c>
      <x:c r="H11" s="348" t="str">
        <x:v>头盔</x:v>
      </x:c>
      <x:c r="I11" s="348" t="str">
        <x:v>头盔</x:v>
      </x:c>
      <x:c r="J11" s="348" t="n">
        <x:v>6469</x:v>
      </x:c>
      <x:c r="K11" s="348" t="str">
        <x:v>预检通过资源／规划锁定／待入库</x:v>
      </x:c>
      <x:c r="L11" s="349" t="str">
        <x:v>装备资源库黄金圣树·王权</x:v>
      </x:c>
    </x:row>
    <x:row r="12" ht="34" customHeight="1">
      <x:c r="A12" s="347" t="str">
        <x:v>C03-M008</x:v>
      </x:c>
      <x:c r="B12" s="348" t="str">
        <x:v>C03</x:v>
      </x:c>
      <x:c r="C12" s="348" t="str">
        <x:v>宁姆格福西域</x:v>
      </x:c>
      <x:c r="D12" s="348" t="str">
        <x:v>XX775</x:v>
      </x:c>
      <x:c r="E12" s="348" t="str">
        <x:v>独眼弩将</x:v>
      </x:c>
      <x:c r="F12" s="348" t="str">
        <x:v>稀有</x:v>
      </x:c>
      <x:c r="G12" s="348" t="str">
        <x:v>独眼鹰坠</x:v>
      </x:c>
      <x:c r="H12" s="348" t="str">
        <x:v>项链</x:v>
      </x:c>
      <x:c r="I12" s="348" t="str">
        <x:v>项链</x:v>
      </x:c>
      <x:c r="J12" s="348" t="n">
        <x:v>6506</x:v>
      </x:c>
      <x:c r="K12" s="348" t="str">
        <x:v>预检通过资源／规划锁定／待入库</x:v>
      </x:c>
      <x:c r="L12" s="349" t="str">
        <x:v>装备资源库黄金圣树·律法</x:v>
      </x:c>
    </x:row>
    <x:row r="13" ht="34" customHeight="1">
      <x:c r="A13" s="347" t="str">
        <x:v>C03-M009</x:v>
      </x:c>
      <x:c r="B13" s="348" t="str">
        <x:v>C03</x:v>
      </x:c>
      <x:c r="C13" s="348" t="str">
        <x:v>宁姆格福西域</x:v>
      </x:c>
      <x:c r="D13" s="348" t="str">
        <x:v>XX780</x:v>
      </x:c>
      <x:c r="E13" s="348" t="str">
        <x:v>荒风骑士</x:v>
      </x:c>
      <x:c r="F13" s="348" t="str">
        <x:v>稀有</x:v>
      </x:c>
      <x:c r="G13" s="348" t="str">
        <x:v>荒风披甲</x:v>
      </x:c>
      <x:c r="H13" s="348" t="str">
        <x:v>衣服</x:v>
      </x:c>
      <x:c r="I13" s="348" t="str">
        <x:v>男衣服（现行模板的衣服映射）</x:v>
      </x:c>
      <x:c r="J13" s="348"/>
      <x:c r="K13" s="348" t="str">
        <x:v>缺衣服来源码</x:v>
      </x:c>
      <x:c r="L13" s="349" t="str">
        <x:v>需补男衣服StdMode10的三库同码资源；女衣服码未获准合池</x:v>
      </x:c>
    </x:row>
    <x:row r="14" ht="34" customHeight="1">
      <x:c r="A14" s="347" t="str">
        <x:v>C03-M010</x:v>
      </x:c>
      <x:c r="B14" s="348" t="str">
        <x:v>C03</x:v>
      </x:c>
      <x:c r="C14" s="348" t="str">
        <x:v>宁姆格福西域</x:v>
      </x:c>
      <x:c r="D14" s="348" t="str">
        <x:v>XX778</x:v>
      </x:c>
      <x:c r="E14" s="348" t="str">
        <x:v>战场收尸官</x:v>
      </x:c>
      <x:c r="F14" s="348" t="str">
        <x:v>稀有</x:v>
      </x:c>
      <x:c r="G14" s="348" t="str">
        <x:v>收尸骨印</x:v>
      </x:c>
      <x:c r="H14" s="348" t="str">
        <x:v>勋章</x:v>
      </x:c>
      <x:c r="I14" s="348" t="str">
        <x:v>勋章</x:v>
      </x:c>
      <x:c r="J14" s="348" t="n">
        <x:v>6474</x:v>
      </x:c>
      <x:c r="K14" s="348" t="str">
        <x:v>预检通过资源／规划锁定／待入库</x:v>
      </x:c>
      <x:c r="L14" s="349" t="str">
        <x:v>装备资源库黄金圣树·王权</x:v>
      </x:c>
    </x:row>
    <x:row r="15" ht="34" customHeight="1">
      <x:c r="A15" s="347" t="str">
        <x:v>C03-M011</x:v>
      </x:c>
      <x:c r="B15" s="348" t="str">
        <x:v>C03</x:v>
      </x:c>
      <x:c r="C15" s="348" t="str">
        <x:v>宁姆格福西域</x:v>
      </x:c>
      <x:c r="D15" s="348" t="str">
        <x:v>XX775</x:v>
      </x:c>
      <x:c r="E15" s="348" t="str">
        <x:v>断旗统领·瓦伦</x:v>
      </x:c>
      <x:c r="F15" s="348" t="str">
        <x:v>地图BOSS</x:v>
      </x:c>
      <x:c r="G15" s="348" t="str">
        <x:v>统领断旗枪</x:v>
      </x:c>
      <x:c r="H15" s="348" t="str">
        <x:v>武器</x:v>
      </x:c>
      <x:c r="I15" s="348" t="str">
        <x:v>武器</x:v>
      </x:c>
      <x:c r="J15" s="348" t="n">
        <x:v>6396</x:v>
      </x:c>
      <x:c r="K15" s="348" t="str">
        <x:v>预检通过资源／规划锁定／待入库</x:v>
      </x:c>
      <x:c r="L15" s="349" t="str">
        <x:v>装备资源库黄金圣树·初誓</x:v>
      </x:c>
    </x:row>
    <x:row r="16" ht="34" customHeight="1">
      <x:c r="A16" s="347" t="str">
        <x:v>C03-M012</x:v>
      </x:c>
      <x:c r="B16" s="348" t="str">
        <x:v>C03</x:v>
      </x:c>
      <x:c r="C16" s="348" t="str">
        <x:v>宁姆格福西域</x:v>
      </x:c>
      <x:c r="D16" s="348" t="str">
        <x:v>XX778</x:v>
      </x:c>
      <x:c r="E16" s="348" t="str">
        <x:v>荒原巨犀·莫赫</x:v>
      </x:c>
      <x:c r="F16" s="348" t="str">
        <x:v>地图BOSS</x:v>
      </x:c>
      <x:c r="G16" s="348" t="str">
        <x:v>巨犀荒铠</x:v>
      </x:c>
      <x:c r="H16" s="348" t="str">
        <x:v>衣服</x:v>
      </x:c>
      <x:c r="I16" s="348" t="str">
        <x:v>男衣服（现行模板的衣服映射）</x:v>
      </x:c>
      <x:c r="J16" s="348" t="n">
        <x:v>6397</x:v>
      </x:c>
      <x:c r="K16" s="348" t="str">
        <x:v>预检通过资源／规划锁定／待入库</x:v>
      </x:c>
      <x:c r="L16" s="349" t="str">
        <x:v>按现行装备模板映射男衣服StdMode10；黄金圣树·初誓</x:v>
      </x:c>
    </x:row>
    <x:row r="17" ht="34" customHeight="1">
      <x:c r="A17" s="347" t="str">
        <x:v>C03-M013</x:v>
      </x:c>
      <x:c r="B17" s="348" t="str">
        <x:v>C03</x:v>
      </x:c>
      <x:c r="C17" s="348" t="str">
        <x:v>宁姆格福西域</x:v>
      </x:c>
      <x:c r="D17" s="348" t="str">
        <x:v>XX332</x:v>
      </x:c>
      <x:c r="E17" s="348" t="str">
        <x:v>海崖盐工</x:v>
      </x:c>
      <x:c r="F17" s="348" t="str">
        <x:v>普通</x:v>
      </x:c>
      <x:c r="G17" s="348" t="str">
        <x:v>盐晶短刃</x:v>
      </x:c>
      <x:c r="H17" s="348" t="str">
        <x:v>武器</x:v>
      </x:c>
      <x:c r="I17" s="348" t="str">
        <x:v>武器</x:v>
      </x:c>
      <x:c r="J17" s="348"/>
      <x:c r="K17" s="348" t="str">
        <x:v>缺武器来源码</x:v>
      </x:c>
      <x:c r="L17" s="349" t="str">
        <x:v>需补同部位Items/StateItem/DnItems三库同码资源</x:v>
      </x:c>
    </x:row>
    <x:row r="18" ht="34" customHeight="1">
      <x:c r="A18" s="347" t="str">
        <x:v>C03-M014</x:v>
      </x:c>
      <x:c r="B18" s="348" t="str">
        <x:v>C03</x:v>
      </x:c>
      <x:c r="C18" s="348" t="str">
        <x:v>宁姆格福西域</x:v>
      </x:c>
      <x:c r="D18" s="348" t="str">
        <x:v>XX333</x:v>
      </x:c>
      <x:c r="E18" s="348" t="str">
        <x:v>逐风矛兵</x:v>
      </x:c>
      <x:c r="F18" s="348" t="str">
        <x:v>普通</x:v>
      </x:c>
      <x:c r="G18" s="348" t="str">
        <x:v>逐风长矛</x:v>
      </x:c>
      <x:c r="H18" s="348" t="str">
        <x:v>武器</x:v>
      </x:c>
      <x:c r="I18" s="348" t="str">
        <x:v>武器</x:v>
      </x:c>
      <x:c r="J18" s="348"/>
      <x:c r="K18" s="348" t="str">
        <x:v>缺武器来源码</x:v>
      </x:c>
      <x:c r="L18" s="349" t="str">
        <x:v>需补同部位Items/StateItem/DnItems三库同码资源</x:v>
      </x:c>
    </x:row>
    <x:row r="19" ht="34" customHeight="1">
      <x:c r="A19" s="347" t="str">
        <x:v>C03-M015</x:v>
      </x:c>
      <x:c r="B19" s="348" t="str">
        <x:v>C03</x:v>
      </x:c>
      <x:c r="C19" s="348" t="str">
        <x:v>宁姆格福西域</x:v>
      </x:c>
      <x:c r="D19" s="348" t="str">
        <x:v>XX334</x:v>
      </x:c>
      <x:c r="E19" s="348" t="str">
        <x:v>裂羽海鹰</x:v>
      </x:c>
      <x:c r="F19" s="348" t="str">
        <x:v>普通</x:v>
      </x:c>
      <x:c r="G19" s="348" t="str">
        <x:v>裂羽护腕</x:v>
      </x:c>
      <x:c r="H19" s="348" t="str">
        <x:v>手镯</x:v>
      </x:c>
      <x:c r="I19" s="348" t="str">
        <x:v>手镯</x:v>
      </x:c>
      <x:c r="J19" s="348" t="n">
        <x:v>6507</x:v>
      </x:c>
      <x:c r="K19" s="348" t="str">
        <x:v>预检通过资源／规划锁定／待入库</x:v>
      </x:c>
      <x:c r="L19" s="349" t="str">
        <x:v>装备资源库黄金圣树·律法</x:v>
      </x:c>
    </x:row>
    <x:row r="20" ht="34" customHeight="1">
      <x:c r="A20" s="347" t="str">
        <x:v>C03-M016</x:v>
      </x:c>
      <x:c r="B20" s="348" t="str">
        <x:v>C03</x:v>
      </x:c>
      <x:c r="C20" s="348" t="str">
        <x:v>宁姆格福西域</x:v>
      </x:c>
      <x:c r="D20" s="348" t="str">
        <x:v>XX332</x:v>
      </x:c>
      <x:c r="E20" s="348" t="str">
        <x:v>潮穴石蜥</x:v>
      </x:c>
      <x:c r="F20" s="348" t="str">
        <x:v>普通</x:v>
      </x:c>
      <x:c r="G20" s="348" t="str">
        <x:v>潮穴石盾</x:v>
      </x:c>
      <x:c r="H20" s="348" t="str">
        <x:v>盾牌</x:v>
      </x:c>
      <x:c r="I20" s="348" t="str">
        <x:v>盾牌</x:v>
      </x:c>
      <x:c r="J20" s="348" t="n">
        <x:v>6475</x:v>
      </x:c>
      <x:c r="K20" s="348" t="str">
        <x:v>预检通过资源／规划锁定／待入库</x:v>
      </x:c>
      <x:c r="L20" s="349" t="str">
        <x:v>装备资源库黄金圣树·王权</x:v>
      </x:c>
    </x:row>
    <x:row r="21" ht="34" customHeight="1">
      <x:c r="A21" s="347" t="str">
        <x:v>C03-M017</x:v>
      </x:c>
      <x:c r="B21" s="348" t="str">
        <x:v>C03</x:v>
      </x:c>
      <x:c r="C21" s="348" t="str">
        <x:v>宁姆格福西域</x:v>
      </x:c>
      <x:c r="D21" s="348" t="str">
        <x:v>XX333</x:v>
      </x:c>
      <x:c r="E21" s="348" t="str">
        <x:v>断索流徒</x:v>
      </x:c>
      <x:c r="F21" s="348" t="str">
        <x:v>普通</x:v>
      </x:c>
      <x:c r="G21" s="348" t="str">
        <x:v>断索束带</x:v>
      </x:c>
      <x:c r="H21" s="348" t="str">
        <x:v>腰带</x:v>
      </x:c>
      <x:c r="I21" s="348" t="str">
        <x:v>腰带</x:v>
      </x:c>
      <x:c r="J21" s="348" t="n">
        <x:v>6513</x:v>
      </x:c>
      <x:c r="K21" s="348" t="str">
        <x:v>预检通过资源／规划锁定／待入库</x:v>
      </x:c>
      <x:c r="L21" s="349" t="str">
        <x:v>装备资源库黄金圣树·律法</x:v>
      </x:c>
    </x:row>
    <x:row r="22" ht="34" customHeight="1">
      <x:c r="A22" s="347" t="str">
        <x:v>C03-M018</x:v>
      </x:c>
      <x:c r="B22" s="348" t="str">
        <x:v>C03</x:v>
      </x:c>
      <x:c r="C22" s="348" t="str">
        <x:v>宁姆格福西域</x:v>
      </x:c>
      <x:c r="D22" s="348" t="str">
        <x:v>XX335</x:v>
      </x:c>
      <x:c r="E22" s="348" t="str">
        <x:v>崖边祷徒</x:v>
      </x:c>
      <x:c r="F22" s="348" t="str">
        <x:v>普通</x:v>
      </x:c>
      <x:c r="G22" s="348" t="str">
        <x:v>海崖祷链</x:v>
      </x:c>
      <x:c r="H22" s="348" t="str">
        <x:v>项链</x:v>
      </x:c>
      <x:c r="I22" s="348" t="str">
        <x:v>项链</x:v>
      </x:c>
      <x:c r="J22" s="348" t="n">
        <x:v>6541</x:v>
      </x:c>
      <x:c r="K22" s="348" t="str">
        <x:v>预检通过资源／规划锁定／待入库</x:v>
      </x:c>
      <x:c r="L22" s="349" t="str">
        <x:v>装备资源库黄金圣树·永恒</x:v>
      </x:c>
    </x:row>
    <x:row r="23" ht="34" customHeight="1">
      <x:c r="A23" s="347" t="str">
        <x:v>C03-M019</x:v>
      </x:c>
      <x:c r="B23" s="348" t="str">
        <x:v>C03</x:v>
      </x:c>
      <x:c r="C23" s="348" t="str">
        <x:v>宁姆格福西域</x:v>
      </x:c>
      <x:c r="D23" s="348" t="str">
        <x:v>XX334</x:v>
      </x:c>
      <x:c r="E23" s="348" t="str">
        <x:v>风蚀守望者</x:v>
      </x:c>
      <x:c r="F23" s="348" t="str">
        <x:v>稀有</x:v>
      </x:c>
      <x:c r="G23" s="348" t="str">
        <x:v>风蚀眺盔</x:v>
      </x:c>
      <x:c r="H23" s="348" t="str">
        <x:v>头盔</x:v>
      </x:c>
      <x:c r="I23" s="348" t="str">
        <x:v>头盔</x:v>
      </x:c>
      <x:c r="J23" s="348" t="n">
        <x:v>6504</x:v>
      </x:c>
      <x:c r="K23" s="348" t="str">
        <x:v>预检通过资源／规划锁定／待入库</x:v>
      </x:c>
      <x:c r="L23" s="349" t="str">
        <x:v>装备资源库黄金圣树·律法</x:v>
      </x:c>
    </x:row>
    <x:row r="24" ht="34" customHeight="1">
      <x:c r="A24" s="347" t="str">
        <x:v>C03-M020</x:v>
      </x:c>
      <x:c r="B24" s="348" t="str">
        <x:v>C03</x:v>
      </x:c>
      <x:c r="C24" s="348" t="str">
        <x:v>宁姆格福西域</x:v>
      </x:c>
      <x:c r="D24" s="348" t="str">
        <x:v>XX332</x:v>
      </x:c>
      <x:c r="E24" s="348" t="str">
        <x:v>斩浪骑士</x:v>
      </x:c>
      <x:c r="F24" s="348" t="str">
        <x:v>稀有</x:v>
      </x:c>
      <x:c r="G24" s="348" t="str">
        <x:v>斩浪战衣</x:v>
      </x:c>
      <x:c r="H24" s="348" t="str">
        <x:v>衣服</x:v>
      </x:c>
      <x:c r="I24" s="348" t="str">
        <x:v>男衣服（现行模板的衣服映射）</x:v>
      </x:c>
      <x:c r="J24" s="348"/>
      <x:c r="K24" s="348" t="str">
        <x:v>缺衣服来源码</x:v>
      </x:c>
      <x:c r="L24" s="349" t="str">
        <x:v>需补男衣服StdMode10的三库同码资源；女衣服码未获准合池</x:v>
      </x:c>
    </x:row>
    <x:row r="25" ht="34" customHeight="1">
      <x:c r="A25" s="347" t="str">
        <x:v>C03-M021</x:v>
      </x:c>
      <x:c r="B25" s="348" t="str">
        <x:v>C03</x:v>
      </x:c>
      <x:c r="C25" s="348" t="str">
        <x:v>宁姆格福西域</x:v>
      </x:c>
      <x:c r="D25" s="348" t="str">
        <x:v>XX333</x:v>
      </x:c>
      <x:c r="E25" s="348" t="str">
        <x:v>海雾猎手</x:v>
      </x:c>
      <x:c r="F25" s="348" t="str">
        <x:v>稀有</x:v>
      </x:c>
      <x:c r="G25" s="348" t="str">
        <x:v>海雾猎戒</x:v>
      </x:c>
      <x:c r="H25" s="348" t="str">
        <x:v>戒指</x:v>
      </x:c>
      <x:c r="I25" s="348" t="str">
        <x:v>戒指</x:v>
      </x:c>
      <x:c r="J25" s="348" t="n">
        <x:v>6508</x:v>
      </x:c>
      <x:c r="K25" s="348" t="str">
        <x:v>预检通过资源／规划锁定／待入库</x:v>
      </x:c>
      <x:c r="L25" s="349" t="str">
        <x:v>装备资源库黄金圣树·律法</x:v>
      </x:c>
    </x:row>
    <x:row r="26" ht="34" customHeight="1">
      <x:c r="A26" s="347" t="str">
        <x:v>C03-M022</x:v>
      </x:c>
      <x:c r="B26" s="348" t="str">
        <x:v>C03</x:v>
      </x:c>
      <x:c r="C26" s="348" t="str">
        <x:v>宁姆格福西域</x:v>
      </x:c>
      <x:c r="D26" s="348" t="str">
        <x:v>XX335</x:v>
      </x:c>
      <x:c r="E26" s="348" t="str">
        <x:v>雷崖祭司</x:v>
      </x:c>
      <x:c r="F26" s="348" t="str">
        <x:v>稀有</x:v>
      </x:c>
      <x:c r="G26" s="348" t="str">
        <x:v>霆崖祭冠</x:v>
      </x:c>
      <x:c r="H26" s="348" t="str">
        <x:v>头盔</x:v>
      </x:c>
      <x:c r="I26" s="348" t="str">
        <x:v>头盔</x:v>
      </x:c>
      <x:c r="J26" s="348" t="n">
        <x:v>6539</x:v>
      </x:c>
      <x:c r="K26" s="348" t="str">
        <x:v>预检通过资源／规划锁定／待入库</x:v>
      </x:c>
      <x:c r="L26" s="349" t="str">
        <x:v>装备资源库黄金圣树·永恒</x:v>
      </x:c>
    </x:row>
    <x:row r="27" ht="34" customHeight="1">
      <x:c r="A27" s="347" t="str">
        <x:v>C03-M023</x:v>
      </x:c>
      <x:c r="B27" s="348" t="str">
        <x:v>C03</x:v>
      </x:c>
      <x:c r="C27" s="348" t="str">
        <x:v>宁姆格福西域</x:v>
      </x:c>
      <x:c r="D27" s="348" t="str">
        <x:v>XX334</x:v>
      </x:c>
      <x:c r="E27" s="348" t="str">
        <x:v>裂风执旗官·卡恩</x:v>
      </x:c>
      <x:c r="F27" s="348" t="str">
        <x:v>地图BOSS</x:v>
      </x:c>
      <x:c r="G27" s="348" t="str">
        <x:v>裂风战旗刃</x:v>
      </x:c>
      <x:c r="H27" s="348" t="str">
        <x:v>武器</x:v>
      </x:c>
      <x:c r="I27" s="348" t="str">
        <x:v>武器</x:v>
      </x:c>
      <x:c r="J27" s="348" t="n">
        <x:v>6466</x:v>
      </x:c>
      <x:c r="K27" s="348" t="str">
        <x:v>预检通过资源／规划锁定／待入库</x:v>
      </x:c>
      <x:c r="L27" s="349" t="str">
        <x:v>装备资源库黄金圣树·王权</x:v>
      </x:c>
    </x:row>
    <x:row r="28" ht="34" customHeight="1">
      <x:c r="A28" s="347" t="str">
        <x:v>C03-M024</x:v>
      </x:c>
      <x:c r="B28" s="348" t="str">
        <x:v>C03</x:v>
      </x:c>
      <x:c r="C28" s="348" t="str">
        <x:v>宁姆格福西域</x:v>
      </x:c>
      <x:c r="D28" s="348" t="str">
        <x:v>XX335</x:v>
      </x:c>
      <x:c r="E28" s="348" t="str">
        <x:v>啸海古翼·塞洛</x:v>
      </x:c>
      <x:c r="F28" s="348" t="str">
        <x:v>地图BOSS</x:v>
      </x:c>
      <x:c r="G28" s="348" t="str">
        <x:v>啸海翼铠</x:v>
      </x:c>
      <x:c r="H28" s="348" t="str">
        <x:v>衣服</x:v>
      </x:c>
      <x:c r="I28" s="348" t="str">
        <x:v>男衣服（现行模板的衣服映射）</x:v>
      </x:c>
      <x:c r="J28" s="348" t="n">
        <x:v>6467</x:v>
      </x:c>
      <x:c r="K28" s="348" t="str">
        <x:v>预检通过资源／规划锁定／待入库</x:v>
      </x:c>
      <x:c r="L28" s="349" t="str">
        <x:v>按现行装备模板映射男衣服StdMode10；黄金圣树·王权</x:v>
      </x:c>
    </x:row>
    <x:row r="29" ht="34" customHeight="1">
      <x:c r="A29" s="347" t="str">
        <x:v>C03-M025</x:v>
      </x:c>
      <x:c r="B29" s="348" t="str">
        <x:v>C03</x:v>
      </x:c>
      <x:c r="C29" s="348" t="str">
        <x:v>宁姆格福西域</x:v>
      </x:c>
      <x:c r="D29" s="348" t="str">
        <x:v>XX343</x:v>
      </x:c>
      <x:c r="E29" s="348" t="str">
        <x:v>驿道苦役</x:v>
      </x:c>
      <x:c r="F29" s="348" t="str">
        <x:v>普通</x:v>
      </x:c>
      <x:c r="G29" s="348" t="str">
        <x:v>驿骨短剑</x:v>
      </x:c>
      <x:c r="H29" s="348" t="str">
        <x:v>武器</x:v>
      </x:c>
      <x:c r="I29" s="348" t="str">
        <x:v>武器</x:v>
      </x:c>
      <x:c r="J29" s="348"/>
      <x:c r="K29" s="348" t="str">
        <x:v>缺武器来源码</x:v>
      </x:c>
      <x:c r="L29" s="349" t="str">
        <x:v>需补同部位Items/StateItem/DnItems三库同码资源</x:v>
      </x:c>
    </x:row>
    <x:row r="30" ht="34" customHeight="1">
      <x:c r="A30" s="347" t="str">
        <x:v>C03-M026</x:v>
      </x:c>
      <x:c r="B30" s="348" t="str">
        <x:v>C03</x:v>
      </x:c>
      <x:c r="C30" s="348" t="str">
        <x:v>宁姆格福西域</x:v>
      </x:c>
      <x:c r="D30" s="348" t="str">
        <x:v>XX344</x:v>
      </x:c>
      <x:c r="E30" s="348" t="str">
        <x:v>荒商护卫</x:v>
      </x:c>
      <x:c r="F30" s="348" t="str">
        <x:v>普通</x:v>
      </x:c>
      <x:c r="G30" s="348" t="str">
        <x:v>荒商护符</x:v>
      </x:c>
      <x:c r="H30" s="348" t="str">
        <x:v>项链</x:v>
      </x:c>
      <x:c r="I30" s="348" t="str">
        <x:v>项链</x:v>
      </x:c>
      <x:c r="J30" s="348" t="n">
        <x:v>6576</x:v>
      </x:c>
      <x:c r="K30" s="348" t="str">
        <x:v>预检通过资源／规划锁定／待入库</x:v>
      </x:c>
      <x:c r="L30" s="349" t="str">
        <x:v>装备资源库血月荆棘·血痕</x:v>
      </x:c>
    </x:row>
    <x:row r="31" ht="34" customHeight="1">
      <x:c r="A31" s="347" t="str">
        <x:v>C03-M027</x:v>
      </x:c>
      <x:c r="B31" s="348" t="str">
        <x:v>C03</x:v>
      </x:c>
      <x:c r="C31" s="348" t="str">
        <x:v>宁姆格福西域</x:v>
      </x:c>
      <x:c r="D31" s="348" t="str">
        <x:v>XX343</x:v>
      </x:c>
      <x:c r="E31" s="348" t="str">
        <x:v>灰篷盗匪</x:v>
      </x:c>
      <x:c r="F31" s="348" t="str">
        <x:v>普通</x:v>
      </x:c>
      <x:c r="G31" s="348" t="str">
        <x:v>灰篷面巾</x:v>
      </x:c>
      <x:c r="H31" s="348" t="str">
        <x:v>斗笠</x:v>
      </x:c>
      <x:c r="I31" s="348" t="str">
        <x:v>面巾（位置13，对应斗笠）</x:v>
      </x:c>
      <x:c r="J31" s="348" t="n">
        <x:v>6470</x:v>
      </x:c>
      <x:c r="K31" s="348" t="str">
        <x:v>预检通过资源／规划锁定／待入库</x:v>
      </x:c>
      <x:c r="L31" s="349" t="str">
        <x:v>StdMode16/位置13；黄金圣树·王权</x:v>
      </x:c>
    </x:row>
    <x:row r="32" ht="34" customHeight="1">
      <x:c r="A32" s="347" t="str">
        <x:v>C03-M028</x:v>
      </x:c>
      <x:c r="B32" s="348" t="str">
        <x:v>C03</x:v>
      </x:c>
      <x:c r="C32" s="348" t="str">
        <x:v>宁姆格福西域</x:v>
      </x:c>
      <x:c r="D32" s="348" t="str">
        <x:v>XX344</x:v>
      </x:c>
      <x:c r="E32" s="348" t="str">
        <x:v>驮货尸兵</x:v>
      </x:c>
      <x:c r="F32" s="348" t="str">
        <x:v>普通</x:v>
      </x:c>
      <x:c r="G32" s="348" t="str">
        <x:v>驮货重甲</x:v>
      </x:c>
      <x:c r="H32" s="348" t="str">
        <x:v>衣服</x:v>
      </x:c>
      <x:c r="I32" s="348" t="str">
        <x:v>男衣服（现行模板的衣服映射）</x:v>
      </x:c>
      <x:c r="J32" s="348"/>
      <x:c r="K32" s="348" t="str">
        <x:v>缺衣服来源码</x:v>
      </x:c>
      <x:c r="L32" s="349" t="str">
        <x:v>需补男衣服StdMode10的三库同码资源；女衣服码未获准合池</x:v>
      </x:c>
    </x:row>
    <x:row r="33" ht="34" customHeight="1">
      <x:c r="A33" s="347" t="str">
        <x:v>C03-M029</x:v>
      </x:c>
      <x:c r="B33" s="348" t="str">
        <x:v>C03</x:v>
      </x:c>
      <x:c r="C33" s="348" t="str">
        <x:v>宁姆格福西域</x:v>
      </x:c>
      <x:c r="D33" s="348" t="str">
        <x:v>XX345</x:v>
      </x:c>
      <x:c r="E33" s="348" t="str">
        <x:v>营火猎犬</x:v>
      </x:c>
      <x:c r="F33" s="348" t="str">
        <x:v>普通</x:v>
      </x:c>
      <x:c r="G33" s="348" t="str">
        <x:v>营火牙戒</x:v>
      </x:c>
      <x:c r="H33" s="348" t="str">
        <x:v>戒指</x:v>
      </x:c>
      <x:c r="I33" s="348" t="str">
        <x:v>戒指</x:v>
      </x:c>
      <x:c r="J33" s="348" t="n">
        <x:v>6543</x:v>
      </x:c>
      <x:c r="K33" s="348" t="str">
        <x:v>预检通过资源／规划锁定／待入库</x:v>
      </x:c>
      <x:c r="L33" s="349" t="str">
        <x:v>装备资源库黄金圣树·永恒</x:v>
      </x:c>
    </x:row>
    <x:row r="34" ht="34" customHeight="1">
      <x:c r="A34" s="347" t="str">
        <x:v>C03-M030</x:v>
      </x:c>
      <x:c r="B34" s="348" t="str">
        <x:v>C03</x:v>
      </x:c>
      <x:c r="C34" s="348" t="str">
        <x:v>宁姆格福西域</x:v>
      </x:c>
      <x:c r="D34" s="348" t="str">
        <x:v>XX345</x:v>
      </x:c>
      <x:c r="E34" s="348" t="str">
        <x:v>断轮弩手</x:v>
      </x:c>
      <x:c r="F34" s="348" t="str">
        <x:v>普通</x:v>
      </x:c>
      <x:c r="G34" s="348" t="str">
        <x:v>断轮弩机</x:v>
      </x:c>
      <x:c r="H34" s="348" t="str">
        <x:v>武器</x:v>
      </x:c>
      <x:c r="I34" s="348" t="str">
        <x:v>武器</x:v>
      </x:c>
      <x:c r="J34" s="348"/>
      <x:c r="K34" s="348" t="str">
        <x:v>缺武器来源码</x:v>
      </x:c>
      <x:c r="L34" s="349" t="str">
        <x:v>需补同部位Items/StateItem/DnItems三库同码资源</x:v>
      </x:c>
    </x:row>
    <x:row r="35" ht="34" customHeight="1">
      <x:c r="A35" s="347" t="str">
        <x:v>C03-M031</x:v>
      </x:c>
      <x:c r="B35" s="348" t="str">
        <x:v>C03</x:v>
      </x:c>
      <x:c r="C35" s="348" t="str">
        <x:v>宁姆格福西域</x:v>
      </x:c>
      <x:c r="D35" s="348" t="str">
        <x:v>XX343</x:v>
      </x:c>
      <x:c r="E35" s="348" t="str">
        <x:v>火漆追缉者</x:v>
      </x:c>
      <x:c r="F35" s="348" t="str">
        <x:v>稀有</x:v>
      </x:c>
      <x:c r="G35" s="348" t="str">
        <x:v>火漆追缉令</x:v>
      </x:c>
      <x:c r="H35" s="348" t="str">
        <x:v>勋章</x:v>
      </x:c>
      <x:c r="I35" s="348" t="str">
        <x:v>勋章</x:v>
      </x:c>
      <x:c r="J35" s="348" t="n">
        <x:v>6509</x:v>
      </x:c>
      <x:c r="K35" s="348" t="str">
        <x:v>预检通过资源／规划锁定／待入库</x:v>
      </x:c>
      <x:c r="L35" s="349" t="str">
        <x:v>装备资源库黄金圣树·律法</x:v>
      </x:c>
    </x:row>
    <x:row r="36" ht="34" customHeight="1">
      <x:c r="A36" s="347" t="str">
        <x:v>C03-M032</x:v>
      </x:c>
      <x:c r="B36" s="348" t="str">
        <x:v>C03</x:v>
      </x:c>
      <x:c r="C36" s="348" t="str">
        <x:v>宁姆格福西域</x:v>
      </x:c>
      <x:c r="D36" s="348" t="str">
        <x:v>XX344</x:v>
      </x:c>
      <x:c r="E36" s="348" t="str">
        <x:v>商队叛骑</x:v>
      </x:c>
      <x:c r="F36" s="348" t="str">
        <x:v>稀有</x:v>
      </x:c>
      <x:c r="G36" s="348" t="str">
        <x:v>叛骑战靴</x:v>
      </x:c>
      <x:c r="H36" s="348" t="str">
        <x:v>鞋子</x:v>
      </x:c>
      <x:c r="I36" s="348" t="str">
        <x:v>鞋子</x:v>
      </x:c>
      <x:c r="J36" s="348" t="n">
        <x:v>6512</x:v>
      </x:c>
      <x:c r="K36" s="348" t="str">
        <x:v>预检通过资源／规划锁定／待入库</x:v>
      </x:c>
      <x:c r="L36" s="349" t="str">
        <x:v>装备资源库黄金圣树·律法</x:v>
      </x:c>
    </x:row>
    <x:row r="37" ht="34" customHeight="1">
      <x:c r="A37" s="347" t="str">
        <x:v>C03-M033</x:v>
      </x:c>
      <x:c r="B37" s="348" t="str">
        <x:v>C03</x:v>
      </x:c>
      <x:c r="C37" s="348" t="str">
        <x:v>宁姆格福西域</x:v>
      </x:c>
      <x:c r="D37" s="348" t="str">
        <x:v>XX345</x:v>
      </x:c>
      <x:c r="E37" s="348" t="str">
        <x:v>断路劫首</x:v>
      </x:c>
      <x:c r="F37" s="348" t="str">
        <x:v>稀有</x:v>
      </x:c>
      <x:c r="G37" s="348" t="str">
        <x:v>劫首弯刃</x:v>
      </x:c>
      <x:c r="H37" s="348" t="str">
        <x:v>武器</x:v>
      </x:c>
      <x:c r="I37" s="348" t="str">
        <x:v>武器</x:v>
      </x:c>
      <x:c r="J37" s="348"/>
      <x:c r="K37" s="348" t="str">
        <x:v>缺武器来源码</x:v>
      </x:c>
      <x:c r="L37" s="349" t="str">
        <x:v>需补同部位Items/StateItem/DnItems三库同码资源</x:v>
      </x:c>
    </x:row>
    <x:row r="38" ht="34" customHeight="1">
      <x:c r="A38" s="347" t="str">
        <x:v>C03-M034</x:v>
      </x:c>
      <x:c r="B38" s="348" t="str">
        <x:v>C03</x:v>
      </x:c>
      <x:c r="C38" s="348" t="str">
        <x:v>宁姆格福西域</x:v>
      </x:c>
      <x:c r="D38" s="348" t="str">
        <x:v>XX345</x:v>
      </x:c>
      <x:c r="E38" s="348" t="str">
        <x:v>黑帐术士</x:v>
      </x:c>
      <x:c r="F38" s="348" t="str">
        <x:v>稀有</x:v>
      </x:c>
      <x:c r="G38" s="348" t="str">
        <x:v>黯幕咒戒</x:v>
      </x:c>
      <x:c r="H38" s="348" t="str">
        <x:v>戒指</x:v>
      </x:c>
      <x:c r="I38" s="348" t="str">
        <x:v>戒指</x:v>
      </x:c>
      <x:c r="J38" s="348" t="n">
        <x:v>6578</x:v>
      </x:c>
      <x:c r="K38" s="348" t="str">
        <x:v>预检通过资源／规划锁定／待入库</x:v>
      </x:c>
      <x:c r="L38" s="349" t="str">
        <x:v>装备资源库血月荆棘·血痕</x:v>
      </x:c>
    </x:row>
    <x:row r="39" ht="34" customHeight="1">
      <x:c r="A39" s="347" t="str">
        <x:v>C03-M035</x:v>
      </x:c>
      <x:c r="B39" s="348" t="str">
        <x:v>C03</x:v>
      </x:c>
      <x:c r="C39" s="348" t="str">
        <x:v>宁姆格福西域</x:v>
      </x:c>
      <x:c r="D39" s="348" t="str">
        <x:v>XX344</x:v>
      </x:c>
      <x:c r="E39" s="348" t="str">
        <x:v>无路佣兵王·赫托</x:v>
      </x:c>
      <x:c r="F39" s="348" t="str">
        <x:v>地图BOSS</x:v>
      </x:c>
      <x:c r="G39" s="348" t="str">
        <x:v>无路王剑</x:v>
      </x:c>
      <x:c r="H39" s="348" t="str">
        <x:v>武器</x:v>
      </x:c>
      <x:c r="I39" s="348" t="str">
        <x:v>武器</x:v>
      </x:c>
      <x:c r="J39" s="348" t="n">
        <x:v>6501</x:v>
      </x:c>
      <x:c r="K39" s="348" t="str">
        <x:v>预检通过资源／规划锁定／待入库</x:v>
      </x:c>
      <x:c r="L39" s="349" t="str">
        <x:v>装备资源库黄金圣树·律法</x:v>
      </x:c>
    </x:row>
    <x:row r="40" ht="34" customHeight="1">
      <x:c r="A40" s="347" t="str">
        <x:v>C03-M036</x:v>
      </x:c>
      <x:c r="B40" s="348" t="str">
        <x:v>C03</x:v>
      </x:c>
      <x:c r="C40" s="348" t="str">
        <x:v>宁姆格福西域</x:v>
      </x:c>
      <x:c r="D40" s="348" t="str">
        <x:v>XX345</x:v>
      </x:c>
      <x:c r="E40" s="348" t="str">
        <x:v>赤篷巨像·马尔</x:v>
      </x:c>
      <x:c r="F40" s="348" t="str">
        <x:v>地图BOSS</x:v>
      </x:c>
      <x:c r="G40" s="348" t="str">
        <x:v>赤篷铁衣</x:v>
      </x:c>
      <x:c r="H40" s="348" t="str">
        <x:v>衣服</x:v>
      </x:c>
      <x:c r="I40" s="348" t="str">
        <x:v>男衣服（现行模板的衣服映射）</x:v>
      </x:c>
      <x:c r="J40" s="348" t="n">
        <x:v>6502</x:v>
      </x:c>
      <x:c r="K40" s="348" t="str">
        <x:v>预检通过资源／规划锁定／待入库</x:v>
      </x:c>
      <x:c r="L40" s="349" t="str">
        <x:v>按现行装备模板映射男衣服StdMode10；黄金圣树·律法</x:v>
      </x:c>
    </x:row>
    <x:row r="41" ht="34" customHeight="1">
      <x:c r="A41" s="347" t="str">
        <x:v>C03-M037</x:v>
      </x:c>
      <x:c r="B41" s="348" t="str">
        <x:v>C03</x:v>
      </x:c>
      <x:c r="C41" s="348" t="str">
        <x:v>宁姆格福西域</x:v>
      </x:c>
      <x:c r="D41" s="348" t="str">
        <x:v>XX310</x:v>
      </x:c>
      <x:c r="E41" s="348" t="str">
        <x:v>残阵兵魂</x:v>
      </x:c>
      <x:c r="F41" s="348" t="str">
        <x:v>普通</x:v>
      </x:c>
      <x:c r="G41" s="348" t="str">
        <x:v>残阵战刀</x:v>
      </x:c>
      <x:c r="H41" s="348" t="str">
        <x:v>武器</x:v>
      </x:c>
      <x:c r="I41" s="348" t="str">
        <x:v>武器</x:v>
      </x:c>
      <x:c r="J41" s="348"/>
      <x:c r="K41" s="348" t="str">
        <x:v>缺武器来源码</x:v>
      </x:c>
      <x:c r="L41" s="349" t="str">
        <x:v>需补同部位Items/StateItem/DnItems三库同码资源</x:v>
      </x:c>
    </x:row>
    <x:row r="42" ht="34" customHeight="1">
      <x:c r="A42" s="347" t="str">
        <x:v>C03-M038</x:v>
      </x:c>
      <x:c r="B42" s="348" t="str">
        <x:v>C03</x:v>
      </x:c>
      <x:c r="C42" s="348" t="str">
        <x:v>宁姆格福西域</x:v>
      </x:c>
      <x:c r="D42" s="348" t="str">
        <x:v>XX310</x:v>
      </x:c>
      <x:c r="E42" s="348" t="str">
        <x:v>折戟亡卒</x:v>
      </x:c>
      <x:c r="F42" s="348" t="str">
        <x:v>普通</x:v>
      </x:c>
      <x:c r="G42" s="348" t="str">
        <x:v>折戟铁链</x:v>
      </x:c>
      <x:c r="H42" s="348" t="str">
        <x:v>项链</x:v>
      </x:c>
      <x:c r="I42" s="348" t="str">
        <x:v>项链</x:v>
      </x:c>
      <x:c r="J42" s="348" t="n">
        <x:v>6611</x:v>
      </x:c>
      <x:c r="K42" s="348" t="str">
        <x:v>预检通过资源／规划锁定／待入库</x:v>
      </x:c>
      <x:c r="L42" s="349" t="str">
        <x:v>装备资源库血月荆棘·荆冠</x:v>
      </x:c>
    </x:row>
    <x:row r="43" ht="34" customHeight="1">
      <x:c r="A43" s="347" t="str">
        <x:v>C03-M039</x:v>
      </x:c>
      <x:c r="B43" s="348" t="str">
        <x:v>C03</x:v>
      </x:c>
      <x:c r="C43" s="348" t="str">
        <x:v>宁姆格福西域</x:v>
      </x:c>
      <x:c r="D43" s="348" t="str">
        <x:v>XX311</x:v>
      </x:c>
      <x:c r="E43" s="348" t="str">
        <x:v>战壕腐尸</x:v>
      </x:c>
      <x:c r="F43" s="348" t="str">
        <x:v>普通</x:v>
      </x:c>
      <x:c r="G43" s="348" t="str">
        <x:v>战壕骨甲</x:v>
      </x:c>
      <x:c r="H43" s="348" t="str">
        <x:v>衣服</x:v>
      </x:c>
      <x:c r="I43" s="348" t="str">
        <x:v>男衣服（现行模板的衣服映射）</x:v>
      </x:c>
      <x:c r="J43" s="348"/>
      <x:c r="K43" s="348" t="str">
        <x:v>缺衣服来源码</x:v>
      </x:c>
      <x:c r="L43" s="349" t="str">
        <x:v>需补男衣服StdMode10的三库同码资源；女衣服码未获准合池</x:v>
      </x:c>
    </x:row>
    <x:row r="44" ht="34" customHeight="1">
      <x:c r="A44" s="347" t="str">
        <x:v>C03-M040</x:v>
      </x:c>
      <x:c r="B44" s="348" t="str">
        <x:v>C03</x:v>
      </x:c>
      <x:c r="C44" s="348" t="str">
        <x:v>宁姆格福西域</x:v>
      </x:c>
      <x:c r="D44" s="348" t="str">
        <x:v>XX311</x:v>
      </x:c>
      <x:c r="E44" s="348" t="str">
        <x:v>无首号手</x:v>
      </x:c>
      <x:c r="F44" s="348" t="str">
        <x:v>普通</x:v>
      </x:c>
      <x:c r="G44" s="348" t="str">
        <x:v>无首号角</x:v>
      </x:c>
      <x:c r="H44" s="348" t="str">
        <x:v>勋章</x:v>
      </x:c>
      <x:c r="I44" s="348" t="str">
        <x:v>勋章</x:v>
      </x:c>
      <x:c r="J44" s="348" t="n">
        <x:v>6544</x:v>
      </x:c>
      <x:c r="K44" s="348" t="str">
        <x:v>预检通过资源／规划锁定／待入库</x:v>
      </x:c>
      <x:c r="L44" s="349" t="str">
        <x:v>装备资源库黄金圣树·永恒</x:v>
      </x:c>
    </x:row>
    <x:row r="45" ht="34" customHeight="1">
      <x:c r="A45" s="347" t="str">
        <x:v>C03-M041</x:v>
      </x:c>
      <x:c r="B45" s="348" t="str">
        <x:v>C03</x:v>
      </x:c>
      <x:c r="C45" s="348" t="str">
        <x:v>宁姆格福西域</x:v>
      </x:c>
      <x:c r="D45" s="348" t="str">
        <x:v>XX312</x:v>
      </x:c>
      <x:c r="E45" s="348" t="str">
        <x:v>墓旗守卫</x:v>
      </x:c>
      <x:c r="F45" s="348" t="str">
        <x:v>普通</x:v>
      </x:c>
      <x:c r="G45" s="348" t="str">
        <x:v>墓旗头冠</x:v>
      </x:c>
      <x:c r="H45" s="348" t="str">
        <x:v>头盔</x:v>
      </x:c>
      <x:c r="I45" s="348" t="str">
        <x:v>头盔</x:v>
      </x:c>
      <x:c r="J45" s="348" t="n">
        <x:v>6574</x:v>
      </x:c>
      <x:c r="K45" s="348" t="str">
        <x:v>预检通过资源／规划锁定／待入库</x:v>
      </x:c>
      <x:c r="L45" s="349" t="str">
        <x:v>装备资源库血月荆棘·血痕</x:v>
      </x:c>
    </x:row>
    <x:row r="46" ht="34" customHeight="1">
      <x:c r="A46" s="347" t="str">
        <x:v>C03-M042</x:v>
      </x:c>
      <x:c r="B46" s="348" t="str">
        <x:v>C03</x:v>
      </x:c>
      <x:c r="C46" s="348" t="str">
        <x:v>宁姆格福西域</x:v>
      </x:c>
      <x:c r="D46" s="348" t="str">
        <x:v>XX312</x:v>
      </x:c>
      <x:c r="E46" s="348" t="str">
        <x:v>英灵战马</x:v>
      </x:c>
      <x:c r="F46" s="348" t="str">
        <x:v>普通</x:v>
      </x:c>
      <x:c r="G46" s="348" t="str">
        <x:v>英灵马靴</x:v>
      </x:c>
      <x:c r="H46" s="348" t="str">
        <x:v>鞋子</x:v>
      </x:c>
      <x:c r="I46" s="348" t="str">
        <x:v>鞋子</x:v>
      </x:c>
      <x:c r="J46" s="348" t="n">
        <x:v>6547</x:v>
      </x:c>
      <x:c r="K46" s="348" t="str">
        <x:v>预检通过资源／规划锁定／待入库</x:v>
      </x:c>
      <x:c r="L46" s="349" t="str">
        <x:v>装备资源库黄金圣树·永恒</x:v>
      </x:c>
    </x:row>
    <x:row r="47" ht="34" customHeight="1">
      <x:c r="A47" s="347" t="str">
        <x:v>C03-M043</x:v>
      </x:c>
      <x:c r="B47" s="348" t="str">
        <x:v>C03</x:v>
      </x:c>
      <x:c r="C47" s="348" t="str">
        <x:v>宁姆格福西域</x:v>
      </x:c>
      <x:c r="D47" s="348" t="str">
        <x:v>XX310</x:v>
      </x:c>
      <x:c r="E47" s="348" t="str">
        <x:v>百战英魂</x:v>
      </x:c>
      <x:c r="F47" s="348" t="str">
        <x:v>稀有</x:v>
      </x:c>
      <x:c r="G47" s="348" t="str">
        <x:v>百战腕甲</x:v>
      </x:c>
      <x:c r="H47" s="348" t="str">
        <x:v>手镯</x:v>
      </x:c>
      <x:c r="I47" s="348" t="str">
        <x:v>手镯</x:v>
      </x:c>
      <x:c r="J47" s="348" t="n">
        <x:v>6542</x:v>
      </x:c>
      <x:c r="K47" s="348" t="str">
        <x:v>预检通过资源／规划锁定／待入库</x:v>
      </x:c>
      <x:c r="L47" s="349" t="str">
        <x:v>装备资源库黄金圣树·永恒</x:v>
      </x:c>
    </x:row>
    <x:row r="48" ht="34" customHeight="1">
      <x:c r="A48" s="347" t="str">
        <x:v>C03-M044</x:v>
      </x:c>
      <x:c r="B48" s="348" t="str">
        <x:v>C03</x:v>
      </x:c>
      <x:c r="C48" s="348" t="str">
        <x:v>宁姆格福西域</x:v>
      </x:c>
      <x:c r="D48" s="348" t="str">
        <x:v>XX311</x:v>
      </x:c>
      <x:c r="E48" s="348" t="str">
        <x:v>亡阵旗官</x:v>
      </x:c>
      <x:c r="F48" s="348" t="str">
        <x:v>稀有</x:v>
      </x:c>
      <x:c r="G48" s="348" t="str">
        <x:v>亡阵旗印</x:v>
      </x:c>
      <x:c r="H48" s="348" t="str">
        <x:v>勋章</x:v>
      </x:c>
      <x:c r="I48" s="348" t="str">
        <x:v>勋章</x:v>
      </x:c>
      <x:c r="J48" s="348" t="n">
        <x:v>6579</x:v>
      </x:c>
      <x:c r="K48" s="348" t="str">
        <x:v>预检通过资源／规划锁定／待入库</x:v>
      </x:c>
      <x:c r="L48" s="349" t="str">
        <x:v>装备资源库血月荆棘·血痕</x:v>
      </x:c>
    </x:row>
    <x:row r="49" ht="34" customHeight="1">
      <x:c r="A49" s="347" t="str">
        <x:v>C03-M045</x:v>
      </x:c>
      <x:c r="B49" s="348" t="str">
        <x:v>C03</x:v>
      </x:c>
      <x:c r="C49" s="348" t="str">
        <x:v>宁姆格福西域</x:v>
      </x:c>
      <x:c r="D49" s="348" t="str">
        <x:v>XX312</x:v>
      </x:c>
      <x:c r="E49" s="348" t="str">
        <x:v>誓死卫士</x:v>
      </x:c>
      <x:c r="F49" s="348" t="str">
        <x:v>稀有</x:v>
      </x:c>
      <x:c r="G49" s="348" t="str">
        <x:v>誓死王盾</x:v>
      </x:c>
      <x:c r="H49" s="348" t="str">
        <x:v>盾牌</x:v>
      </x:c>
      <x:c r="I49" s="348" t="str">
        <x:v>盾牌</x:v>
      </x:c>
      <x:c r="J49" s="348" t="n">
        <x:v>6510</x:v>
      </x:c>
      <x:c r="K49" s="348" t="str">
        <x:v>预检通过资源／规划锁定／待入库</x:v>
      </x:c>
      <x:c r="L49" s="349" t="str">
        <x:v>装备资源库黄金圣树·律法</x:v>
      </x:c>
    </x:row>
    <x:row r="50" ht="34" customHeight="1">
      <x:c r="A50" s="347" t="str">
        <x:v>C03-M046</x:v>
      </x:c>
      <x:c r="B50" s="348" t="str">
        <x:v>C03</x:v>
      </x:c>
      <x:c r="C50" s="348" t="str">
        <x:v>宁姆格福西域</x:v>
      </x:c>
      <x:c r="D50" s="348" t="str">
        <x:v>XX312</x:v>
      </x:c>
      <x:c r="E50" s="348" t="str">
        <x:v>祭坛唤魂师</x:v>
      </x:c>
      <x:c r="F50" s="348" t="str">
        <x:v>稀有</x:v>
      </x:c>
      <x:c r="G50" s="348" t="str">
        <x:v>幽坛引魂铃</x:v>
      </x:c>
      <x:c r="H50" s="348" t="str">
        <x:v>项链</x:v>
      </x:c>
      <x:c r="I50" s="348" t="str">
        <x:v>项链</x:v>
      </x:c>
      <x:c r="J50" s="348" t="n">
        <x:v>6646</x:v>
      </x:c>
      <x:c r="K50" s="348" t="str">
        <x:v>预检通过资源／规划锁定／待入库</x:v>
      </x:c>
      <x:c r="L50" s="349" t="str">
        <x:v>装备资源库血月荆棘·猩月</x:v>
      </x:c>
    </x:row>
    <x:row r="51" ht="34" customHeight="1">
      <x:c r="A51" s="347" t="str">
        <x:v>C03-M047</x:v>
      </x:c>
      <x:c r="B51" s="348" t="str">
        <x:v>C03</x:v>
      </x:c>
      <x:c r="C51" s="348" t="str">
        <x:v>宁姆格福西域</x:v>
      </x:c>
      <x:c r="D51" s="348" t="str">
        <x:v>XX311</x:v>
      </x:c>
      <x:c r="E51" s="348" t="str">
        <x:v>古战将·雷戈</x:v>
      </x:c>
      <x:c r="F51" s="348" t="str">
        <x:v>地图BOSS</x:v>
      </x:c>
      <x:c r="G51" s="348" t="str">
        <x:v>雷戈古戟</x:v>
      </x:c>
      <x:c r="H51" s="348" t="str">
        <x:v>武器</x:v>
      </x:c>
      <x:c r="I51" s="348" t="str">
        <x:v>武器</x:v>
      </x:c>
      <x:c r="J51" s="348" t="n">
        <x:v>6536</x:v>
      </x:c>
      <x:c r="K51" s="348" t="str">
        <x:v>预检通过资源／规划锁定／待入库</x:v>
      </x:c>
      <x:c r="L51" s="349" t="str">
        <x:v>装备资源库黄金圣树·永恒</x:v>
      </x:c>
    </x:row>
    <x:row r="52" ht="34" customHeight="1">
      <x:c r="A52" s="347" t="str">
        <x:v>C03-M048</x:v>
      </x:c>
      <x:c r="B52" s="348" t="str">
        <x:v>C03</x:v>
      </x:c>
      <x:c r="C52" s="348" t="str">
        <x:v>宁姆格福西域</x:v>
      </x:c>
      <x:c r="D52" s="348" t="str">
        <x:v>XX312</x:v>
      </x:c>
      <x:c r="E52" s="348" t="str">
        <x:v>千军怨灵·阿萨</x:v>
      </x:c>
      <x:c r="F52" s="348" t="str">
        <x:v>地图BOSS</x:v>
      </x:c>
      <x:c r="G52" s="348" t="str">
        <x:v>千军魂衣</x:v>
      </x:c>
      <x:c r="H52" s="348" t="str">
        <x:v>衣服</x:v>
      </x:c>
      <x:c r="I52" s="348" t="str">
        <x:v>男衣服（现行模板的衣服映射）</x:v>
      </x:c>
      <x:c r="J52" s="348" t="n">
        <x:v>6537</x:v>
      </x:c>
      <x:c r="K52" s="348" t="str">
        <x:v>预检通过资源／规划锁定／待入库</x:v>
      </x:c>
      <x:c r="L52" s="349" t="str">
        <x:v>按现行装备模板映射男衣服StdMode10；黄金圣树·永恒</x:v>
      </x:c>
    </x:row>
    <x:row r="53" ht="34" customHeight="1">
      <x:c r="A53" s="347" t="str">
        <x:v>C03-M049</x:v>
      </x:c>
      <x:c r="B53" s="348" t="str">
        <x:v>C03</x:v>
      </x:c>
      <x:c r="C53" s="348" t="str">
        <x:v>宁姆格福西域</x:v>
      </x:c>
      <x:c r="D53" s="348" t="str">
        <x:v>XX518</x:v>
      </x:c>
      <x:c r="E53" s="348" t="str">
        <x:v>古垒戍兵</x:v>
      </x:c>
      <x:c r="F53" s="348" t="str">
        <x:v>普通</x:v>
      </x:c>
      <x:c r="G53" s="348" t="str">
        <x:v>古垒军刀</x:v>
      </x:c>
      <x:c r="H53" s="348" t="str">
        <x:v>武器</x:v>
      </x:c>
      <x:c r="I53" s="348" t="str">
        <x:v>武器</x:v>
      </x:c>
      <x:c r="J53" s="348"/>
      <x:c r="K53" s="348" t="str">
        <x:v>缺武器来源码</x:v>
      </x:c>
      <x:c r="L53" s="349" t="str">
        <x:v>需补同部位Items/StateItem/DnItems三库同码资源</x:v>
      </x:c>
    </x:row>
    <x:row r="54" ht="34" customHeight="1">
      <x:c r="A54" s="347" t="str">
        <x:v>C03-M050</x:v>
      </x:c>
      <x:c r="B54" s="348" t="str">
        <x:v>C03</x:v>
      </x:c>
      <x:c r="C54" s="348" t="str">
        <x:v>宁姆格福西域</x:v>
      </x:c>
      <x:c r="D54" s="348" t="str">
        <x:v>XX518</x:v>
      </x:c>
      <x:c r="E54" s="348" t="str">
        <x:v>风沙箭手</x:v>
      </x:c>
      <x:c r="F54" s="348" t="str">
        <x:v>普通</x:v>
      </x:c>
      <x:c r="G54" s="348" t="str">
        <x:v>风沙鹰链</x:v>
      </x:c>
      <x:c r="H54" s="348" t="str">
        <x:v>项链</x:v>
      </x:c>
      <x:c r="I54" s="348" t="str">
        <x:v>项链</x:v>
      </x:c>
      <x:c r="J54" s="348" t="n">
        <x:v>6681</x:v>
      </x:c>
      <x:c r="K54" s="348" t="str">
        <x:v>预检通过资源／规划锁定／待入库</x:v>
      </x:c>
      <x:c r="L54" s="349" t="str">
        <x:v>装备资源库血月荆棘·弑王</x:v>
      </x:c>
    </x:row>
    <x:row r="55" ht="34" customHeight="1">
      <x:c r="A55" s="347" t="str">
        <x:v>C03-M051</x:v>
      </x:c>
      <x:c r="B55" s="348" t="str">
        <x:v>C03</x:v>
      </x:c>
      <x:c r="C55" s="348" t="str">
        <x:v>宁姆格福西域</x:v>
      </x:c>
      <x:c r="D55" s="348" t="str">
        <x:v>XX517</x:v>
      </x:c>
      <x:c r="E55" s="348" t="str">
        <x:v>回廊石卫</x:v>
      </x:c>
      <x:c r="F55" s="348" t="str">
        <x:v>普通</x:v>
      </x:c>
      <x:c r="G55" s="348" t="str">
        <x:v>回廊石盔</x:v>
      </x:c>
      <x:c r="H55" s="348" t="str">
        <x:v>头盔</x:v>
      </x:c>
      <x:c r="I55" s="348" t="str">
        <x:v>头盔</x:v>
      </x:c>
      <x:c r="J55" s="348" t="n">
        <x:v>6609</x:v>
      </x:c>
      <x:c r="K55" s="348" t="str">
        <x:v>预检通过资源／规划锁定／待入库</x:v>
      </x:c>
      <x:c r="L55" s="349" t="str">
        <x:v>装备资源库血月荆棘·荆冠</x:v>
      </x:c>
    </x:row>
    <x:row r="56" ht="34" customHeight="1">
      <x:c r="A56" s="347" t="str">
        <x:v>C03-M052</x:v>
      </x:c>
      <x:c r="B56" s="348" t="str">
        <x:v>C03</x:v>
      </x:c>
      <x:c r="C56" s="348" t="str">
        <x:v>宁姆格福西域</x:v>
      </x:c>
      <x:c r="D56" s="348" t="str">
        <x:v>XX516</x:v>
      </x:c>
      <x:c r="E56" s="348" t="str">
        <x:v>地宫掘墓人</x:v>
      </x:c>
      <x:c r="F56" s="348" t="str">
        <x:v>普通</x:v>
      </x:c>
      <x:c r="G56" s="348" t="str">
        <x:v>掘墓铁镯</x:v>
      </x:c>
      <x:c r="H56" s="348" t="str">
        <x:v>手镯</x:v>
      </x:c>
      <x:c r="I56" s="348" t="str">
        <x:v>手镯</x:v>
      </x:c>
      <x:c r="J56" s="348" t="n">
        <x:v>6577</x:v>
      </x:c>
      <x:c r="K56" s="348" t="str">
        <x:v>预检通过资源／规划锁定／待入库</x:v>
      </x:c>
      <x:c r="L56" s="349" t="str">
        <x:v>装备资源库血月荆棘·血痕</x:v>
      </x:c>
    </x:row>
    <x:row r="57" ht="34" customHeight="1">
      <x:c r="A57" s="347" t="str">
        <x:v>C03-M053</x:v>
      </x:c>
      <x:c r="B57" s="348" t="str">
        <x:v>C03</x:v>
      </x:c>
      <x:c r="C57" s="348" t="str">
        <x:v>宁姆格福西域</x:v>
      </x:c>
      <x:c r="D57" s="348" t="str">
        <x:v>XX517</x:v>
      </x:c>
      <x:c r="E57" s="348" t="str">
        <x:v>边墙猎犬</x:v>
      </x:c>
      <x:c r="F57" s="348" t="str">
        <x:v>普通</x:v>
      </x:c>
      <x:c r="G57" s="348" t="str">
        <x:v>边墙牙戒</x:v>
      </x:c>
      <x:c r="H57" s="348" t="str">
        <x:v>戒指</x:v>
      </x:c>
      <x:c r="I57" s="348" t="str">
        <x:v>戒指</x:v>
      </x:c>
      <x:c r="J57" s="348" t="n">
        <x:v>6613</x:v>
      </x:c>
      <x:c r="K57" s="348" t="str">
        <x:v>预检通过资源／规划锁定／待入库</x:v>
      </x:c>
      <x:c r="L57" s="349" t="str">
        <x:v>装备资源库血月荆棘·荆冠</x:v>
      </x:c>
    </x:row>
    <x:row r="58" ht="34" customHeight="1">
      <x:c r="A58" s="347" t="str">
        <x:v>C03-M054</x:v>
      </x:c>
      <x:c r="B58" s="348" t="str">
        <x:v>C03</x:v>
      </x:c>
      <x:c r="C58" s="348" t="str">
        <x:v>宁姆格福西域</x:v>
      </x:c>
      <x:c r="D58" s="348" t="str">
        <x:v>XX516</x:v>
      </x:c>
      <x:c r="E58" s="348" t="str">
        <x:v>铜门守卒</x:v>
      </x:c>
      <x:c r="F58" s="348" t="str">
        <x:v>普通</x:v>
      </x:c>
      <x:c r="G58" s="348" t="str">
        <x:v>铜门束带</x:v>
      </x:c>
      <x:c r="H58" s="348" t="str">
        <x:v>腰带</x:v>
      </x:c>
      <x:c r="I58" s="348" t="str">
        <x:v>腰带</x:v>
      </x:c>
      <x:c r="J58" s="348" t="n">
        <x:v>6548</x:v>
      </x:c>
      <x:c r="K58" s="348" t="str">
        <x:v>预检通过资源／规划锁定／待入库</x:v>
      </x:c>
      <x:c r="L58" s="349" t="str">
        <x:v>装备资源库黄金圣树·永恒</x:v>
      </x:c>
    </x:row>
    <x:row r="59" ht="34" customHeight="1">
      <x:c r="A59" s="347" t="str">
        <x:v>C03-M055</x:v>
      </x:c>
      <x:c r="B59" s="348" t="str">
        <x:v>C03</x:v>
      </x:c>
      <x:c r="C59" s="348" t="str">
        <x:v>宁姆格福西域</x:v>
      </x:c>
      <x:c r="D59" s="348" t="str">
        <x:v>XX518</x:v>
      </x:c>
      <x:c r="E59" s="348" t="str">
        <x:v>古垒百夫长</x:v>
      </x:c>
      <x:c r="F59" s="348" t="str">
        <x:v>稀有</x:v>
      </x:c>
      <x:c r="G59" s="348" t="str">
        <x:v>百夫战靴</x:v>
      </x:c>
      <x:c r="H59" s="348" t="str">
        <x:v>鞋子</x:v>
      </x:c>
      <x:c r="I59" s="348" t="str">
        <x:v>鞋子</x:v>
      </x:c>
      <x:c r="J59" s="348" t="n">
        <x:v>6582</x:v>
      </x:c>
      <x:c r="K59" s="348" t="str">
        <x:v>预检通过资源／规划锁定／待入库</x:v>
      </x:c>
      <x:c r="L59" s="349" t="str">
        <x:v>装备资源库血月荆棘·血痕</x:v>
      </x:c>
    </x:row>
    <x:row r="60" ht="34" customHeight="1">
      <x:c r="A60" s="347" t="str">
        <x:v>C03-M056</x:v>
      </x:c>
      <x:c r="B60" s="348" t="str">
        <x:v>C03</x:v>
      </x:c>
      <x:c r="C60" s="348" t="str">
        <x:v>宁姆格福西域</x:v>
      </x:c>
      <x:c r="D60" s="348" t="str">
        <x:v>XX517</x:v>
      </x:c>
      <x:c r="E60" s="348" t="str">
        <x:v>风蚀刑官</x:v>
      </x:c>
      <x:c r="F60" s="348" t="str">
        <x:v>稀有</x:v>
      </x:c>
      <x:c r="G60" s="348" t="str">
        <x:v>刑官断刃</x:v>
      </x:c>
      <x:c r="H60" s="348" t="str">
        <x:v>武器</x:v>
      </x:c>
      <x:c r="I60" s="348" t="str">
        <x:v>武器</x:v>
      </x:c>
      <x:c r="J60" s="348"/>
      <x:c r="K60" s="348" t="str">
        <x:v>缺武器来源码</x:v>
      </x:c>
      <x:c r="L60" s="349" t="str">
        <x:v>需补同部位Items/StateItem/DnItems三库同码资源</x:v>
      </x:c>
    </x:row>
    <x:row r="61" ht="34" customHeight="1">
      <x:c r="A61" s="347" t="str">
        <x:v>C03-M057</x:v>
      </x:c>
      <x:c r="B61" s="348" t="str">
        <x:v>C03</x:v>
      </x:c>
      <x:c r="C61" s="348" t="str">
        <x:v>宁姆格福西域</x:v>
      </x:c>
      <x:c r="D61" s="348" t="str">
        <x:v>XX516</x:v>
      </x:c>
      <x:c r="E61" s="348" t="str">
        <x:v>地宫镇魂者</x:v>
      </x:c>
      <x:c r="F61" s="348" t="str">
        <x:v>稀有</x:v>
      </x:c>
      <x:c r="G61" s="348" t="str">
        <x:v>镇魂勋章</x:v>
      </x:c>
      <x:c r="H61" s="348" t="str">
        <x:v>勋章</x:v>
      </x:c>
      <x:c r="I61" s="348" t="str">
        <x:v>勋章</x:v>
      </x:c>
      <x:c r="J61" s="348" t="n">
        <x:v>6614</x:v>
      </x:c>
      <x:c r="K61" s="348" t="str">
        <x:v>预检通过资源／规划锁定／待入库</x:v>
      </x:c>
      <x:c r="L61" s="349" t="str">
        <x:v>装备资源库血月荆棘·荆冠</x:v>
      </x:c>
    </x:row>
    <x:row r="62" ht="34" customHeight="1">
      <x:c r="A62" s="347" t="str">
        <x:v>C03-M058</x:v>
      </x:c>
      <x:c r="B62" s="348" t="str">
        <x:v>C03</x:v>
      </x:c>
      <x:c r="C62" s="348" t="str">
        <x:v>宁姆格福西域</x:v>
      </x:c>
      <x:c r="D62" s="348" t="str">
        <x:v>XX516</x:v>
      </x:c>
      <x:c r="E62" s="348" t="str">
        <x:v>边境铜像</x:v>
      </x:c>
      <x:c r="F62" s="348" t="str">
        <x:v>稀有</x:v>
      </x:c>
      <x:c r="G62" s="348" t="str">
        <x:v>边境塔盾</x:v>
      </x:c>
      <x:c r="H62" s="348" t="str">
        <x:v>盾牌</x:v>
      </x:c>
      <x:c r="I62" s="348" t="str">
        <x:v>盾牌</x:v>
      </x:c>
      <x:c r="J62" s="348" t="n">
        <x:v>6545</x:v>
      </x:c>
      <x:c r="K62" s="348" t="str">
        <x:v>预检通过资源／规划锁定／待入库</x:v>
      </x:c>
      <x:c r="L62" s="349" t="str">
        <x:v>装备资源库黄金圣树·永恒</x:v>
      </x:c>
    </x:row>
    <x:row r="63" ht="34" customHeight="1">
      <x:c r="A63" s="347" t="str">
        <x:v>C03-M059</x:v>
      </x:c>
      <x:c r="B63" s="348" t="str">
        <x:v>C03</x:v>
      </x:c>
      <x:c r="C63" s="348" t="str">
        <x:v>宁姆格福西域</x:v>
      </x:c>
      <x:c r="D63" s="348" t="str">
        <x:v>XX517</x:v>
      </x:c>
      <x:c r="E63" s="348" t="str">
        <x:v>无归守将·布兰</x:v>
      </x:c>
      <x:c r="F63" s="348" t="str">
        <x:v>地图BOSS</x:v>
      </x:c>
      <x:c r="G63" s="348" t="str">
        <x:v>布兰守城枪</x:v>
      </x:c>
      <x:c r="H63" s="348" t="str">
        <x:v>武器</x:v>
      </x:c>
      <x:c r="I63" s="348" t="str">
        <x:v>武器</x:v>
      </x:c>
      <x:c r="J63" s="348" t="n">
        <x:v>6571</x:v>
      </x:c>
      <x:c r="K63" s="348" t="str">
        <x:v>预检通过资源／规划锁定／待入库</x:v>
      </x:c>
      <x:c r="L63" s="349" t="str">
        <x:v>装备资源库血月荆棘·血痕</x:v>
      </x:c>
    </x:row>
    <x:row r="64" ht="34" customHeight="1">
      <x:c r="A64" s="347" t="str">
        <x:v>C03-M060</x:v>
      </x:c>
      <x:c r="B64" s="348" t="str">
        <x:v>C03</x:v>
      </x:c>
      <x:c r="C64" s="348" t="str">
        <x:v>宁姆格福西域</x:v>
      </x:c>
      <x:c r="D64" s="348" t="str">
        <x:v>XX516</x:v>
      </x:c>
      <x:c r="E64" s="348" t="str">
        <x:v>古垒石王·迦姆</x:v>
      </x:c>
      <x:c r="F64" s="348" t="str">
        <x:v>地图BOSS</x:v>
      </x:c>
      <x:c r="G64" s="348" t="str">
        <x:v>石王古铠</x:v>
      </x:c>
      <x:c r="H64" s="348" t="str">
        <x:v>衣服</x:v>
      </x:c>
      <x:c r="I64" s="348" t="str">
        <x:v>男衣服（现行模板的衣服映射）</x:v>
      </x:c>
      <x:c r="J64" s="348" t="n">
        <x:v>6572</x:v>
      </x:c>
      <x:c r="K64" s="348" t="str">
        <x:v>预检通过资源／规划锁定／待入库</x:v>
      </x:c>
      <x:c r="L64" s="349" t="str">
        <x:v>按现行装备模板映射男衣服StdMode10；血月荆棘·血痕</x:v>
      </x:c>
    </x:row>
    <x:row r="65" ht="34" customHeight="1">
      <x:c r="A65" s="347" t="str">
        <x:v>C03-M061</x:v>
      </x:c>
      <x:c r="B65" s="348" t="str">
        <x:v>C03</x:v>
      </x:c>
      <x:c r="C65" s="348" t="str">
        <x:v>宁姆格福西域</x:v>
      </x:c>
      <x:c r="D65" s="348" t="str">
        <x:v>XX140</x:v>
      </x:c>
      <x:c r="E65" s="348" t="str">
        <x:v>金叶哨兵</x:v>
      </x:c>
      <x:c r="F65" s="348" t="str">
        <x:v>普通</x:v>
      </x:c>
      <x:c r="G65" s="348" t="str">
        <x:v>金叶军刃</x:v>
      </x:c>
      <x:c r="H65" s="348" t="str">
        <x:v>武器</x:v>
      </x:c>
      <x:c r="I65" s="348" t="str">
        <x:v>武器</x:v>
      </x:c>
      <x:c r="J65" s="348"/>
      <x:c r="K65" s="348" t="str">
        <x:v>缺武器来源码</x:v>
      </x:c>
      <x:c r="L65" s="349" t="str">
        <x:v>需补同部位Items/StateItem/DnItems三库同码资源</x:v>
      </x:c>
    </x:row>
    <x:row r="66" ht="34" customHeight="1">
      <x:c r="A66" s="347" t="str">
        <x:v>C03-M062</x:v>
      </x:c>
      <x:c r="B66" s="348" t="str">
        <x:v>C03</x:v>
      </x:c>
      <x:c r="C66" s="348" t="str">
        <x:v>宁姆格福西域</x:v>
      </x:c>
      <x:c r="D66" s="348" t="str">
        <x:v>XX140</x:v>
      </x:c>
      <x:c r="E66" s="348" t="str">
        <x:v>王树弩卫</x:v>
      </x:c>
      <x:c r="F66" s="348" t="str">
        <x:v>普通</x:v>
      </x:c>
      <x:c r="G66" s="348" t="str">
        <x:v>王树弩戒</x:v>
      </x:c>
      <x:c r="H66" s="348" t="str">
        <x:v>戒指</x:v>
      </x:c>
      <x:c r="I66" s="348" t="str">
        <x:v>戒指</x:v>
      </x:c>
      <x:c r="J66" s="348" t="n">
        <x:v>6648</x:v>
      </x:c>
      <x:c r="K66" s="348" t="str">
        <x:v>预检通过资源／规划锁定／待入库</x:v>
      </x:c>
      <x:c r="L66" s="349" t="str">
        <x:v>装备资源库血月荆棘·猩月</x:v>
      </x:c>
    </x:row>
    <x:row r="67" ht="34" customHeight="1">
      <x:c r="A67" s="347" t="str">
        <x:v>C03-M063</x:v>
      </x:c>
      <x:c r="B67" s="348" t="str">
        <x:v>C03</x:v>
      </x:c>
      <x:c r="C67" s="348" t="str">
        <x:v>宁姆格福西域</x:v>
      </x:c>
      <x:c r="D67" s="348" t="str">
        <x:v>XX136</x:v>
      </x:c>
      <x:c r="E67" s="348" t="str">
        <x:v>圣露侍从</x:v>
      </x:c>
      <x:c r="F67" s="348" t="str">
        <x:v>普通</x:v>
      </x:c>
      <x:c r="G67" s="348" t="str">
        <x:v>圣露护腕</x:v>
      </x:c>
      <x:c r="H67" s="348" t="str">
        <x:v>手镯</x:v>
      </x:c>
      <x:c r="I67" s="348" t="str">
        <x:v>手镯</x:v>
      </x:c>
      <x:c r="J67" s="348" t="n">
        <x:v>6612</x:v>
      </x:c>
      <x:c r="K67" s="348" t="str">
        <x:v>预检通过资源／规划锁定／待入库</x:v>
      </x:c>
      <x:c r="L67" s="349" t="str">
        <x:v>装备资源库血月荆棘·荆冠</x:v>
      </x:c>
    </x:row>
    <x:row r="68" ht="34" customHeight="1">
      <x:c r="A68" s="347" t="str">
        <x:v>C03-M064</x:v>
      </x:c>
      <x:c r="B68" s="348" t="str">
        <x:v>C03</x:v>
      </x:c>
      <x:c r="C68" s="348" t="str">
        <x:v>宁姆格福西域</x:v>
      </x:c>
      <x:c r="D68" s="348" t="str">
        <x:v>XX136</x:v>
      </x:c>
      <x:c r="E68" s="348" t="str">
        <x:v>镀金战鹰</x:v>
      </x:c>
      <x:c r="F68" s="348" t="str">
        <x:v>普通</x:v>
      </x:c>
      <x:c r="G68" s="348" t="str">
        <x:v>镀金羽冠</x:v>
      </x:c>
      <x:c r="H68" s="348" t="str">
        <x:v>头盔</x:v>
      </x:c>
      <x:c r="I68" s="348" t="str">
        <x:v>头盔</x:v>
      </x:c>
      <x:c r="J68" s="348" t="n">
        <x:v>6644</x:v>
      </x:c>
      <x:c r="K68" s="348" t="str">
        <x:v>预检通过资源／规划锁定／待入库</x:v>
      </x:c>
      <x:c r="L68" s="349" t="str">
        <x:v>装备资源库血月荆棘·猩月</x:v>
      </x:c>
    </x:row>
    <x:row r="69" ht="34" customHeight="1">
      <x:c r="A69" s="347" t="str">
        <x:v>C03-M065</x:v>
      </x:c>
      <x:c r="B69" s="348" t="str">
        <x:v>C03</x:v>
      </x:c>
      <x:c r="C69" s="348" t="str">
        <x:v>宁姆格福西域</x:v>
      </x:c>
      <x:c r="D69" s="348" t="str">
        <x:v>XX169</x:v>
      </x:c>
      <x:c r="E69" s="348" t="str">
        <x:v>赐福骑兵</x:v>
      </x:c>
      <x:c r="F69" s="348" t="str">
        <x:v>普通</x:v>
      </x:c>
      <x:c r="G69" s="348" t="str">
        <x:v>赐福战靴</x:v>
      </x:c>
      <x:c r="H69" s="348" t="str">
        <x:v>鞋子</x:v>
      </x:c>
      <x:c r="I69" s="348" t="str">
        <x:v>鞋子</x:v>
      </x:c>
      <x:c r="J69" s="348" t="n">
        <x:v>6617</x:v>
      </x:c>
      <x:c r="K69" s="348" t="str">
        <x:v>预检通过资源／规划锁定／待入库</x:v>
      </x:c>
      <x:c r="L69" s="349" t="str">
        <x:v>装备资源库血月荆棘·荆冠</x:v>
      </x:c>
    </x:row>
    <x:row r="70" ht="34" customHeight="1">
      <x:c r="A70" s="347" t="str">
        <x:v>C03-M066</x:v>
      </x:c>
      <x:c r="B70" s="348" t="str">
        <x:v>C03</x:v>
      </x:c>
      <x:c r="C70" s="348" t="str">
        <x:v>宁姆格福西域</x:v>
      </x:c>
      <x:c r="D70" s="348" t="str">
        <x:v>XX169</x:v>
      </x:c>
      <x:c r="E70" s="348" t="str">
        <x:v>哨垒执炬者</x:v>
      </x:c>
      <x:c r="F70" s="348" t="str">
        <x:v>普通</x:v>
      </x:c>
      <x:c r="G70" s="348" t="str">
        <x:v>执炬勋章</x:v>
      </x:c>
      <x:c r="H70" s="348" t="str">
        <x:v>勋章</x:v>
      </x:c>
      <x:c r="I70" s="348" t="str">
        <x:v>勋章</x:v>
      </x:c>
      <x:c r="J70" s="348" t="n">
        <x:v>6649</x:v>
      </x:c>
      <x:c r="K70" s="348" t="str">
        <x:v>预检通过资源／规划锁定／待入库</x:v>
      </x:c>
      <x:c r="L70" s="349" t="str">
        <x:v>装备资源库血月荆棘·猩月</x:v>
      </x:c>
    </x:row>
    <x:row r="71" ht="34" customHeight="1">
      <x:c r="A71" s="347" t="str">
        <x:v>C03-M067</x:v>
      </x:c>
      <x:c r="B71" s="348" t="str">
        <x:v>C03</x:v>
      </x:c>
      <x:c r="C71" s="348" t="str">
        <x:v>宁姆格福西域</x:v>
      </x:c>
      <x:c r="D71" s="348" t="str">
        <x:v>XX140</x:v>
      </x:c>
      <x:c r="E71" s="348" t="str">
        <x:v>黄金树旗卫</x:v>
      </x:c>
      <x:c r="F71" s="348" t="str">
        <x:v>稀有</x:v>
      </x:c>
      <x:c r="G71" s="348" t="str">
        <x:v>黄金旗甲</x:v>
      </x:c>
      <x:c r="H71" s="348" t="str">
        <x:v>衣服</x:v>
      </x:c>
      <x:c r="I71" s="348" t="str">
        <x:v>男衣服（现行模板的衣服映射）</x:v>
      </x:c>
      <x:c r="J71" s="348"/>
      <x:c r="K71" s="348" t="str">
        <x:v>缺衣服来源码</x:v>
      </x:c>
      <x:c r="L71" s="349" t="str">
        <x:v>需补男衣服StdMode10的三库同码资源；女衣服码未获准合池</x:v>
      </x:c>
    </x:row>
    <x:row r="72" ht="34" customHeight="1">
      <x:c r="A72" s="347" t="str">
        <x:v>C03-M068</x:v>
      </x:c>
      <x:c r="B72" s="348" t="str">
        <x:v>C03</x:v>
      </x:c>
      <x:c r="C72" s="348" t="str">
        <x:v>宁姆格福西域</x:v>
      </x:c>
      <x:c r="D72" s="348" t="str">
        <x:v>XX136</x:v>
      </x:c>
      <x:c r="E72" s="348" t="str">
        <x:v>圣律监军</x:v>
      </x:c>
      <x:c r="F72" s="348" t="str">
        <x:v>稀有</x:v>
      </x:c>
      <x:c r="G72" s="348" t="str">
        <x:v>圣律戒印</x:v>
      </x:c>
      <x:c r="H72" s="348" t="str">
        <x:v>戒指</x:v>
      </x:c>
      <x:c r="I72" s="348" t="str">
        <x:v>戒指</x:v>
      </x:c>
      <x:c r="J72" s="348" t="n">
        <x:v>6683</x:v>
      </x:c>
      <x:c r="K72" s="348" t="str">
        <x:v>预检通过资源／规划锁定／待入库</x:v>
      </x:c>
      <x:c r="L72" s="349" t="str">
        <x:v>装备资源库血月荆棘·弑王</x:v>
      </x:c>
    </x:row>
    <x:row r="73" ht="34" customHeight="1">
      <x:c r="A73" s="347" t="str">
        <x:v>C03-M069</x:v>
      </x:c>
      <x:c r="B73" s="348" t="str">
        <x:v>C03</x:v>
      </x:c>
      <x:c r="C73" s="348" t="str">
        <x:v>宁姆格福西域</x:v>
      </x:c>
      <x:c r="D73" s="348" t="str">
        <x:v>XX169</x:v>
      </x:c>
      <x:c r="E73" s="348" t="str">
        <x:v>赐福守门人</x:v>
      </x:c>
      <x:c r="F73" s="348" t="str">
        <x:v>稀有</x:v>
      </x:c>
      <x:c r="G73" s="348" t="str">
        <x:v>守门王盾</x:v>
      </x:c>
      <x:c r="H73" s="348" t="str">
        <x:v>盾牌</x:v>
      </x:c>
      <x:c r="I73" s="348" t="str">
        <x:v>盾牌</x:v>
      </x:c>
      <x:c r="J73" s="348" t="n">
        <x:v>6580</x:v>
      </x:c>
      <x:c r="K73" s="348" t="str">
        <x:v>预检通过资源／规划锁定／待入库</x:v>
      </x:c>
      <x:c r="L73" s="349" t="str">
        <x:v>装备资源库血月荆棘·血痕</x:v>
      </x:c>
    </x:row>
    <x:row r="74" ht="34" customHeight="1">
      <x:c r="A74" s="347" t="str">
        <x:v>C03-M070</x:v>
      </x:c>
      <x:c r="B74" s="348" t="str">
        <x:v>C03</x:v>
      </x:c>
      <x:c r="C74" s="348" t="str">
        <x:v>宁姆格福西域</x:v>
      </x:c>
      <x:c r="D74" s="348" t="str">
        <x:v>XX169</x:v>
      </x:c>
      <x:c r="E74" s="348" t="str">
        <x:v>哨垒祷告师</x:v>
      </x:c>
      <x:c r="F74" s="348" t="str">
        <x:v>稀有</x:v>
      </x:c>
      <x:c r="G74" s="348" t="str">
        <x:v>赐光祷誓镯</x:v>
      </x:c>
      <x:c r="H74" s="348" t="str">
        <x:v>手镯</x:v>
      </x:c>
      <x:c r="I74" s="348" t="str">
        <x:v>手镯</x:v>
      </x:c>
      <x:c r="J74" s="348" t="n">
        <x:v>6647</x:v>
      </x:c>
      <x:c r="K74" s="348" t="str">
        <x:v>预检通过资源／规划锁定／待入库</x:v>
      </x:c>
      <x:c r="L74" s="349" t="str">
        <x:v>装备资源库血月荆棘·猩月</x:v>
      </x:c>
    </x:row>
    <x:row r="75" ht="34" customHeight="1">
      <x:c r="A75" s="347" t="str">
        <x:v>C03-M071</x:v>
      </x:c>
      <x:c r="B75" s="348" t="str">
        <x:v>C03</x:v>
      </x:c>
      <x:c r="C75" s="348" t="str">
        <x:v>宁姆格福西域</x:v>
      </x:c>
      <x:c r="D75" s="348" t="str">
        <x:v>XX136</x:v>
      </x:c>
      <x:c r="E75" s="348" t="str">
        <x:v>金叶统帅·艾德</x:v>
      </x:c>
      <x:c r="F75" s="348" t="str">
        <x:v>地图BOSS</x:v>
      </x:c>
      <x:c r="G75" s="348" t="str">
        <x:v>艾德统帅剑</x:v>
      </x:c>
      <x:c r="H75" s="348" t="str">
        <x:v>武器</x:v>
      </x:c>
      <x:c r="I75" s="348" t="str">
        <x:v>武器</x:v>
      </x:c>
      <x:c r="J75" s="348" t="n">
        <x:v>6606</x:v>
      </x:c>
      <x:c r="K75" s="348" t="str">
        <x:v>预检通过资源／规划锁定／待入库</x:v>
      </x:c>
      <x:c r="L75" s="349" t="str">
        <x:v>装备资源库血月荆棘·荆冠</x:v>
      </x:c>
    </x:row>
    <x:row r="76" ht="34" customHeight="1">
      <x:c r="A76" s="347" t="str">
        <x:v>C03-M072</x:v>
      </x:c>
      <x:c r="B76" s="348" t="str">
        <x:v>C03</x:v>
      </x:c>
      <x:c r="C76" s="348" t="str">
        <x:v>宁姆格福西域</x:v>
      </x:c>
      <x:c r="D76" s="348" t="str">
        <x:v>XX169</x:v>
      </x:c>
      <x:c r="E76" s="348" t="str">
        <x:v>黄金树化身·洛恩</x:v>
      </x:c>
      <x:c r="F76" s="348" t="str">
        <x:v>地图BOSS</x:v>
      </x:c>
      <x:c r="G76" s="348" t="str">
        <x:v>洛恩树心甲</x:v>
      </x:c>
      <x:c r="H76" s="348" t="str">
        <x:v>衣服</x:v>
      </x:c>
      <x:c r="I76" s="348" t="str">
        <x:v>男衣服（现行模板的衣服映射）</x:v>
      </x:c>
      <x:c r="J76" s="348" t="n">
        <x:v>6607</x:v>
      </x:c>
      <x:c r="K76" s="348" t="str">
        <x:v>预检通过资源／规划锁定／待入库</x:v>
      </x:c>
      <x:c r="L76" s="349" t="str">
        <x:v>按现行装备模板映射男衣服StdMode10；血月荆棘·荆冠</x:v>
      </x:c>
    </x:row>
    <x:row r="77" ht="34" customHeight="1">
      <x:c r="A77" s="347" t="str">
        <x:v>C03-M073</x:v>
      </x:c>
      <x:c r="B77" s="348" t="str">
        <x:v>C03</x:v>
      </x:c>
      <x:c r="C77" s="348" t="str">
        <x:v>宁姆格福西域</x:v>
      </x:c>
      <x:c r="D77" s="348" t="str">
        <x:v>XX169</x:v>
      </x:c>
      <x:c r="E77" s="348" t="str">
        <x:v>西境征服者·戈德里安</x:v>
      </x:c>
      <x:c r="F77" s="348" t="str">
        <x:v>守关BOSS</x:v>
      </x:c>
      <x:c r="G77" s="348" t="str">
        <x:v>西境征服冠</x:v>
      </x:c>
      <x:c r="H77" s="348" t="str">
        <x:v>头盔</x:v>
      </x:c>
      <x:c r="I77" s="348" t="str">
        <x:v>头盔</x:v>
      </x:c>
      <x:c r="J77" s="348" t="n">
        <x:v>6679</x:v>
      </x:c>
      <x:c r="K77" s="348" t="str">
        <x:v>预检通过资源／规划锁定／待入库</x:v>
      </x:c>
      <x:c r="L77" s="349" t="str">
        <x:v>装备资源库血月荆棘·弑王</x:v>
      </x:c>
    </x:row>
    <x:row r="78" ht="34" customHeight="1">
      <x:c r="A78" s="347" t="str">
        <x:v>C04-M001</x:v>
      </x:c>
      <x:c r="B78" s="348" t="str">
        <x:v>C04</x:v>
      </x:c>
      <x:c r="C78" s="348" t="str">
        <x:v>利耶尼亚海域</x:v>
      </x:c>
      <x:c r="D78" s="348" t="str">
        <x:v>XX341</x:v>
      </x:c>
      <x:c r="E78" s="348" t="str">
        <x:v>雾脚泥蛙</x:v>
      </x:c>
      <x:c r="F78" s="348" t="str">
        <x:v>普通</x:v>
      </x:c>
      <x:c r="G78" s="348" t="str">
        <x:v>雾脚蹼靴</x:v>
      </x:c>
      <x:c r="H78" s="348" t="str">
        <x:v>鞋子</x:v>
      </x:c>
      <x:c r="I78" s="348" t="str">
        <x:v>鞋子</x:v>
      </x:c>
      <x:c r="J78" s="348" t="n">
        <x:v>6652</x:v>
      </x:c>
      <x:c r="K78" s="348" t="str">
        <x:v>预检通过资源／规划锁定／待入库</x:v>
      </x:c>
      <x:c r="L78" s="349" t="str">
        <x:v>装备资源库血月荆棘·猩月</x:v>
      </x:c>
    </x:row>
    <x:row r="79" ht="34" customHeight="1">
      <x:c r="A79" s="347" t="str">
        <x:v>C04-M002</x:v>
      </x:c>
      <x:c r="B79" s="348" t="str">
        <x:v>C04</x:v>
      </x:c>
      <x:c r="C79" s="348" t="str">
        <x:v>利耶尼亚海域</x:v>
      </x:c>
      <x:c r="D79" s="348" t="str">
        <x:v>XX341</x:v>
      </x:c>
      <x:c r="E79" s="348" t="str">
        <x:v>苔冠沼鹿</x:v>
      </x:c>
      <x:c r="F79" s="348" t="str">
        <x:v>普通</x:v>
      </x:c>
      <x:c r="G79" s="348" t="str">
        <x:v>沼鹿苔冠</x:v>
      </x:c>
      <x:c r="H79" s="348" t="str">
        <x:v>头盔</x:v>
      </x:c>
      <x:c r="I79" s="348" t="str">
        <x:v>头盔</x:v>
      </x:c>
      <x:c r="J79" s="348" t="n">
        <x:v>6714</x:v>
      </x:c>
      <x:c r="K79" s="348" t="str">
        <x:v>预检通过资源／规划锁定／待入库</x:v>
      </x:c>
      <x:c r="L79" s="349" t="str">
        <x:v>装备资源库血月荆棘·血月</x:v>
      </x:c>
    </x:row>
    <x:row r="80" ht="34" customHeight="1">
      <x:c r="A80" s="347" t="str">
        <x:v>C04-M003</x:v>
      </x:c>
      <x:c r="B80" s="348" t="str">
        <x:v>C04</x:v>
      </x:c>
      <x:c r="C80" s="348" t="str">
        <x:v>利耶尼亚海域</x:v>
      </x:c>
      <x:c r="D80" s="348" t="str">
        <x:v>XX341</x:v>
      </x:c>
      <x:c r="E80" s="348" t="str">
        <x:v>潮沟芦妖</x:v>
      </x:c>
      <x:c r="F80" s="348" t="str">
        <x:v>普通</x:v>
      </x:c>
      <x:c r="G80" s="348" t="str">
        <x:v>芦针腕环</x:v>
      </x:c>
      <x:c r="H80" s="348" t="str">
        <x:v>手镯</x:v>
      </x:c>
      <x:c r="I80" s="348" t="str">
        <x:v>手镯</x:v>
      </x:c>
      <x:c r="J80" s="348" t="n">
        <x:v>6682</x:v>
      </x:c>
      <x:c r="K80" s="348" t="str">
        <x:v>预检通过资源／规划锁定／待入库</x:v>
      </x:c>
      <x:c r="L80" s="349" t="str">
        <x:v>装备资源库血月荆棘·弑王</x:v>
      </x:c>
    </x:row>
    <x:row r="81" ht="34" customHeight="1">
      <x:c r="A81" s="347" t="str">
        <x:v>C04-M004</x:v>
      </x:c>
      <x:c r="B81" s="348" t="str">
        <x:v>C04</x:v>
      </x:c>
      <x:c r="C81" s="348" t="str">
        <x:v>利耶尼亚海域</x:v>
      </x:c>
      <x:c r="D81" s="348" t="str">
        <x:v>XX342</x:v>
      </x:c>
      <x:c r="E81" s="348" t="str">
        <x:v>腐雾钳虾</x:v>
      </x:c>
      <x:c r="F81" s="348" t="str">
        <x:v>普通</x:v>
      </x:c>
      <x:c r="G81" s="348" t="str">
        <x:v>青壳沼盾</x:v>
      </x:c>
      <x:c r="H81" s="348" t="str">
        <x:v>盾牌</x:v>
      </x:c>
      <x:c r="I81" s="348" t="str">
        <x:v>盾牌</x:v>
      </x:c>
      <x:c r="J81" s="348" t="n">
        <x:v>6615</x:v>
      </x:c>
      <x:c r="K81" s="348" t="str">
        <x:v>预检通过资源／规划锁定／待入库</x:v>
      </x:c>
      <x:c r="L81" s="349" t="str">
        <x:v>装备资源库血月荆棘·荆冠</x:v>
      </x:c>
    </x:row>
    <x:row r="82" ht="34" customHeight="1">
      <x:c r="A82" s="347" t="str">
        <x:v>C04-M005</x:v>
      </x:c>
      <x:c r="B82" s="348" t="str">
        <x:v>C04</x:v>
      </x:c>
      <x:c r="C82" s="348" t="str">
        <x:v>利耶尼亚海域</x:v>
      </x:c>
      <x:c r="D82" s="348" t="str">
        <x:v>XX342</x:v>
      </x:c>
      <x:c r="E82" s="348" t="str">
        <x:v>烂泽水蛭</x:v>
      </x:c>
      <x:c r="F82" s="348" t="str">
        <x:v>普通</x:v>
      </x:c>
      <x:c r="G82" s="348" t="str">
        <x:v>吸潮血戒</x:v>
      </x:c>
      <x:c r="H82" s="348" t="str">
        <x:v>戒指</x:v>
      </x:c>
      <x:c r="I82" s="348" t="str">
        <x:v>戒指</x:v>
      </x:c>
      <x:c r="J82" s="348" t="n">
        <x:v>6718</x:v>
      </x:c>
      <x:c r="K82" s="348" t="str">
        <x:v>预检通过资源／规划锁定／待入库</x:v>
      </x:c>
      <x:c r="L82" s="349" t="str">
        <x:v>装备资源库血月荆棘·血月</x:v>
      </x:c>
    </x:row>
    <x:row r="83" ht="34" customHeight="1">
      <x:c r="A83" s="347" t="str">
        <x:v>C04-M006</x:v>
      </x:c>
      <x:c r="B83" s="348" t="str">
        <x:v>C04</x:v>
      </x:c>
      <x:c r="C83" s="348" t="str">
        <x:v>利耶尼亚海域</x:v>
      </x:c>
      <x:c r="D83" s="348" t="str">
        <x:v>XX342</x:v>
      </x:c>
      <x:c r="E83" s="348" t="str">
        <x:v>蒙眼采藕人</x:v>
      </x:c>
      <x:c r="F83" s="348" t="str">
        <x:v>普通</x:v>
      </x:c>
      <x:c r="G83" s="348" t="str">
        <x:v>盲采藕刀</x:v>
      </x:c>
      <x:c r="H83" s="348" t="str">
        <x:v>武器</x:v>
      </x:c>
      <x:c r="I83" s="348" t="str">
        <x:v>武器</x:v>
      </x:c>
      <x:c r="J83" s="348"/>
      <x:c r="K83" s="348" t="str">
        <x:v>缺武器来源码</x:v>
      </x:c>
      <x:c r="L83" s="349" t="str">
        <x:v>需补同部位Items/StateItem/DnItems三库同码资源</x:v>
      </x:c>
    </x:row>
    <x:row r="84" ht="34" customHeight="1">
      <x:c r="A84" s="347" t="str">
        <x:v>C04-M007</x:v>
      </x:c>
      <x:c r="B84" s="348" t="str">
        <x:v>C04</x:v>
      </x:c>
      <x:c r="C84" s="348" t="str">
        <x:v>利耶尼亚海域</x:v>
      </x:c>
      <x:c r="D84" s="348" t="str">
        <x:v>XX341</x:v>
      </x:c>
      <x:c r="E84" s="348" t="str">
        <x:v>雾纱水巫</x:v>
      </x:c>
      <x:c r="F84" s="348" t="str">
        <x:v>稀有</x:v>
      </x:c>
      <x:c r="G84" s="348" t="str">
        <x:v>水巫雾纱笠</x:v>
      </x:c>
      <x:c r="H84" s="348" t="str">
        <x:v>斗笠</x:v>
      </x:c>
      <x:c r="I84" s="348" t="str">
        <x:v>面巾（位置13，对应斗笠）</x:v>
      </x:c>
      <x:c r="J84" s="348" t="n">
        <x:v>6505</x:v>
      </x:c>
      <x:c r="K84" s="348" t="str">
        <x:v>预检通过资源／规划锁定／待入库</x:v>
      </x:c>
      <x:c r="L84" s="349" t="str">
        <x:v>StdMode16/位置13；黄金圣树·律法</x:v>
      </x:c>
    </x:row>
    <x:row r="85" ht="34" customHeight="1">
      <x:c r="A85" s="347" t="str">
        <x:v>C04-M008</x:v>
      </x:c>
      <x:c r="B85" s="348" t="str">
        <x:v>C04</x:v>
      </x:c>
      <x:c r="C85" s="348" t="str">
        <x:v>利耶尼亚海域</x:v>
      </x:c>
      <x:c r="D85" s="348" t="str">
        <x:v>XX341</x:v>
      </x:c>
      <x:c r="E85" s="348" t="str">
        <x:v>银腹塘鳄</x:v>
      </x:c>
      <x:c r="F85" s="348" t="str">
        <x:v>稀有</x:v>
      </x:c>
      <x:c r="G85" s="348" t="str">
        <x:v>银腹鳄甲</x:v>
      </x:c>
      <x:c r="H85" s="348" t="str">
        <x:v>衣服</x:v>
      </x:c>
      <x:c r="I85" s="348" t="str">
        <x:v>男衣服（现行模板的衣服映射）</x:v>
      </x:c>
      <x:c r="J85" s="348"/>
      <x:c r="K85" s="348" t="str">
        <x:v>缺衣服来源码</x:v>
      </x:c>
      <x:c r="L85" s="349" t="str">
        <x:v>需补男衣服StdMode10的三库同码资源；女衣服码未获准合池</x:v>
      </x:c>
    </x:row>
    <x:row r="86" ht="34" customHeight="1">
      <x:c r="A86" s="347" t="str">
        <x:v>C04-M009</x:v>
      </x:c>
      <x:c r="B86" s="348" t="str">
        <x:v>C04</x:v>
      </x:c>
      <x:c r="C86" s="348" t="str">
        <x:v>利耶尼亚海域</x:v>
      </x:c>
      <x:c r="D86" s="348" t="str">
        <x:v>XX342</x:v>
      </x:c>
      <x:c r="E86" s="348" t="str">
        <x:v>腐泽孢母</x:v>
      </x:c>
      <x:c r="F86" s="348" t="str">
        <x:v>稀有</x:v>
      </x:c>
      <x:c r="G86" s="348" t="str">
        <x:v>孢母菌带</x:v>
      </x:c>
      <x:c r="H86" s="348" t="str">
        <x:v>腰带</x:v>
      </x:c>
      <x:c r="I86" s="348" t="str">
        <x:v>腰带</x:v>
      </x:c>
      <x:c r="J86" s="348" t="n">
        <x:v>6583</x:v>
      </x:c>
      <x:c r="K86" s="348" t="str">
        <x:v>预检通过资源／规划锁定／待入库</x:v>
      </x:c>
      <x:c r="L86" s="349" t="str">
        <x:v>装备资源库血月荆棘·血痕</x:v>
      </x:c>
    </x:row>
    <x:row r="87" ht="34" customHeight="1">
      <x:c r="A87" s="347" t="str">
        <x:v>C04-M010</x:v>
      </x:c>
      <x:c r="B87" s="348" t="str">
        <x:v>C04</x:v>
      </x:c>
      <x:c r="C87" s="348" t="str">
        <x:v>利耶尼亚海域</x:v>
      </x:c>
      <x:c r="D87" s="348" t="str">
        <x:v>XX342</x:v>
      </x:c>
      <x:c r="E87" s="348" t="str">
        <x:v>提灯溺客</x:v>
      </x:c>
      <x:c r="F87" s="348" t="str">
        <x:v>稀有</x:v>
      </x:c>
      <x:c r="G87" s="348" t="str">
        <x:v>溺客灯坠</x:v>
      </x:c>
      <x:c r="H87" s="348" t="str">
        <x:v>项链</x:v>
      </x:c>
      <x:c r="I87" s="348" t="str">
        <x:v>项链</x:v>
      </x:c>
      <x:c r="J87" s="348" t="n">
        <x:v>6716</x:v>
      </x:c>
      <x:c r="K87" s="348" t="str">
        <x:v>预检通过资源／规划锁定／待入库</x:v>
      </x:c>
      <x:c r="L87" s="349" t="str">
        <x:v>装备资源库血月荆棘·血月</x:v>
      </x:c>
    </x:row>
    <x:row r="88" ht="34" customHeight="1">
      <x:c r="A88" s="347" t="str">
        <x:v>C04-M011</x:v>
      </x:c>
      <x:c r="B88" s="348" t="str">
        <x:v>C04</x:v>
      </x:c>
      <x:c r="C88" s="348" t="str">
        <x:v>利耶尼亚海域</x:v>
      </x:c>
      <x:c r="D88" s="348" t="str">
        <x:v>XX341</x:v>
      </x:c>
      <x:c r="E88" s="348" t="str">
        <x:v>潮痕猎首·葛弥</x:v>
      </x:c>
      <x:c r="F88" s="348" t="str">
        <x:v>地图BOSS</x:v>
      </x:c>
      <x:c r="G88" s="348" t="str">
        <x:v>葛弥的雾齿叉</x:v>
      </x:c>
      <x:c r="H88" s="348" t="str">
        <x:v>武器</x:v>
      </x:c>
      <x:c r="I88" s="348" t="str">
        <x:v>武器</x:v>
      </x:c>
      <x:c r="J88" s="348" t="n">
        <x:v>6641</x:v>
      </x:c>
      <x:c r="K88" s="348" t="str">
        <x:v>预检通过资源／规划锁定／待入库</x:v>
      </x:c>
      <x:c r="L88" s="349" t="str">
        <x:v>装备资源库血月荆棘·猩月</x:v>
      </x:c>
    </x:row>
    <x:row r="89" ht="34" customHeight="1">
      <x:c r="A89" s="347" t="str">
        <x:v>C04-M012</x:v>
      </x:c>
      <x:c r="B89" s="348" t="str">
        <x:v>C04</x:v>
      </x:c>
      <x:c r="C89" s="348" t="str">
        <x:v>利耶尼亚海域</x:v>
      </x:c>
      <x:c r="D89" s="348" t="str">
        <x:v>XX342</x:v>
      </x:c>
      <x:c r="E89" s="348" t="str">
        <x:v>沼冠腐龙·弥瑟</x:v>
      </x:c>
      <x:c r="F89" s="348" t="str">
        <x:v>地图BOSS</x:v>
      </x:c>
      <x:c r="G89" s="348" t="str">
        <x:v>弥瑟腐鳞衣</x:v>
      </x:c>
      <x:c r="H89" s="348" t="str">
        <x:v>衣服</x:v>
      </x:c>
      <x:c r="I89" s="348" t="str">
        <x:v>男衣服（现行模板的衣服映射）</x:v>
      </x:c>
      <x:c r="J89" s="348" t="n">
        <x:v>6642</x:v>
      </x:c>
      <x:c r="K89" s="348" t="str">
        <x:v>预检通过资源／规划锁定／待入库</x:v>
      </x:c>
      <x:c r="L89" s="349" t="str">
        <x:v>按现行装备模板映射男衣服StdMode10；血月荆棘·猩月</x:v>
      </x:c>
    </x:row>
    <x:row r="90" ht="34" customHeight="1">
      <x:c r="A90" s="347" t="str">
        <x:v>C04-M013</x:v>
      </x:c>
      <x:c r="B90" s="348" t="str">
        <x:v>C04</x:v>
      </x:c>
      <x:c r="C90" s="348" t="str">
        <x:v>利耶尼亚海域</x:v>
      </x:c>
      <x:c r="D90" s="348" t="str">
        <x:v>XX337</x:v>
      </x:c>
      <x:c r="E90" s="348" t="str">
        <x:v>潜碑拾荒者</x:v>
      </x:c>
      <x:c r="F90" s="348" t="str">
        <x:v>普通</x:v>
      </x:c>
      <x:c r="G90" s="348" t="str">
        <x:v>拾碑短刃</x:v>
      </x:c>
      <x:c r="H90" s="348" t="str">
        <x:v>武器</x:v>
      </x:c>
      <x:c r="I90" s="348" t="str">
        <x:v>武器</x:v>
      </x:c>
      <x:c r="J90" s="348"/>
      <x:c r="K90" s="348" t="str">
        <x:v>缺武器来源码</x:v>
      </x:c>
      <x:c r="L90" s="349" t="str">
        <x:v>需补同部位Items/StateItem/DnItems三库同码资源</x:v>
      </x:c>
    </x:row>
    <x:row r="91" ht="34" customHeight="1">
      <x:c r="A91" s="347" t="str">
        <x:v>C04-M014</x:v>
      </x:c>
      <x:c r="B91" s="348" t="str">
        <x:v>C04</x:v>
      </x:c>
      <x:c r="C91" s="348" t="str">
        <x:v>利耶尼亚海域</x:v>
      </x:c>
      <x:c r="D91" s="348" t="str">
        <x:v>XX337</x:v>
      </x:c>
      <x:c r="E91" s="348" t="str">
        <x:v>藻甲石仆</x:v>
      </x:c>
      <x:c r="F91" s="348" t="str">
        <x:v>普通</x:v>
      </x:c>
      <x:c r="G91" s="348" t="str">
        <x:v>藻纹石盔</x:v>
      </x:c>
      <x:c r="H91" s="348" t="str">
        <x:v>头盔</x:v>
      </x:c>
      <x:c r="I91" s="348" t="str">
        <x:v>头盔</x:v>
      </x:c>
      <x:c r="J91" s="348" t="n">
        <x:v>6749</x:v>
      </x:c>
      <x:c r="K91" s="348" t="str">
        <x:v>预检通过资源／规划锁定／待入库</x:v>
      </x:c>
      <x:c r="L91" s="349" t="str">
        <x:v>装备资源库星渊龙息·星痕</x:v>
      </x:c>
    </x:row>
    <x:row r="92" ht="34" customHeight="1">
      <x:c r="A92" s="347" t="str">
        <x:v>C04-M015</x:v>
      </x:c>
      <x:c r="B92" s="348" t="str">
        <x:v>C04</x:v>
      </x:c>
      <x:c r="C92" s="348" t="str">
        <x:v>利耶尼亚海域</x:v>
      </x:c>
      <x:c r="D92" s="348" t="str">
        <x:v>XX336</x:v>
      </x:c>
      <x:c r="E92" s="348" t="str">
        <x:v>回廊水弩手</x:v>
      </x:c>
      <x:c r="F92" s="348" t="str">
        <x:v>普通</x:v>
      </x:c>
      <x:c r="G92" s="348" t="str">
        <x:v>浸廊手弩</x:v>
      </x:c>
      <x:c r="H92" s="348" t="str">
        <x:v>武器</x:v>
      </x:c>
      <x:c r="I92" s="348" t="str">
        <x:v>武器</x:v>
      </x:c>
      <x:c r="J92" s="348"/>
      <x:c r="K92" s="348" t="str">
        <x:v>缺武器来源码</x:v>
      </x:c>
      <x:c r="L92" s="349" t="str">
        <x:v>需补同部位Items/StateItem/DnItems三库同码资源</x:v>
      </x:c>
    </x:row>
    <x:row r="93" ht="34" customHeight="1">
      <x:c r="A93" s="347" t="str">
        <x:v>C04-M016</x:v>
      </x:c>
      <x:c r="B93" s="348" t="str">
        <x:v>C04</x:v>
      </x:c>
      <x:c r="C93" s="348" t="str">
        <x:v>利耶尼亚海域</x:v>
      </x:c>
      <x:c r="D93" s="348" t="str">
        <x:v>XX336</x:v>
      </x:c>
      <x:c r="E93" s="348" t="str">
        <x:v>沉钟侍祭</x:v>
      </x:c>
      <x:c r="F93" s="348" t="str">
        <x:v>普通</x:v>
      </x:c>
      <x:c r="G93" s="348" t="str">
        <x:v>沉钟祭袍</x:v>
      </x:c>
      <x:c r="H93" s="348" t="str">
        <x:v>衣服</x:v>
      </x:c>
      <x:c r="I93" s="348" t="str">
        <x:v>男衣服（现行模板的衣服映射）</x:v>
      </x:c>
      <x:c r="J93" s="348"/>
      <x:c r="K93" s="348" t="str">
        <x:v>缺衣服来源码</x:v>
      </x:c>
      <x:c r="L93" s="349" t="str">
        <x:v>需补男衣服StdMode10的三库同码资源；女衣服码未获准合池</x:v>
      </x:c>
    </x:row>
    <x:row r="94" ht="34" customHeight="1">
      <x:c r="A94" s="347" t="str">
        <x:v>C04-M017</x:v>
      </x:c>
      <x:c r="B94" s="348" t="str">
        <x:v>C04</x:v>
      </x:c>
      <x:c r="C94" s="348" t="str">
        <x:v>利耶尼亚海域</x:v>
      </x:c>
      <x:c r="D94" s="348" t="str">
        <x:v>XX340</x:v>
      </x:c>
      <x:c r="E94" s="348" t="str">
        <x:v>祭坛盲鱼</x:v>
      </x:c>
      <x:c r="F94" s="348" t="str">
        <x:v>普通</x:v>
      </x:c>
      <x:c r="G94" s="348" t="str">
        <x:v>盲鱼鳍靴</x:v>
      </x:c>
      <x:c r="H94" s="348" t="str">
        <x:v>鞋子</x:v>
      </x:c>
      <x:c r="I94" s="348" t="str">
        <x:v>鞋子</x:v>
      </x:c>
      <x:c r="J94" s="348" t="n">
        <x:v>6687</x:v>
      </x:c>
      <x:c r="K94" s="348" t="str">
        <x:v>预检通过资源／规划锁定／待入库</x:v>
      </x:c>
      <x:c r="L94" s="349" t="str">
        <x:v>装备资源库血月荆棘·弑王</x:v>
      </x:c>
    </x:row>
    <x:row r="95" ht="34" customHeight="1">
      <x:c r="A95" s="347" t="str">
        <x:v>C04-M018</x:v>
      </x:c>
      <x:c r="B95" s="348" t="str">
        <x:v>C04</x:v>
      </x:c>
      <x:c r="C95" s="348" t="str">
        <x:v>利耶尼亚海域</x:v>
      </x:c>
      <x:c r="D95" s="348" t="str">
        <x:v>XX340</x:v>
      </x:c>
      <x:c r="E95" s="348" t="str">
        <x:v>捧盏泥俑</x:v>
      </x:c>
      <x:c r="F95" s="348" t="str">
        <x:v>普通</x:v>
      </x:c>
      <x:c r="G95" s="348" t="str">
        <x:v>供盏腕轮</x:v>
      </x:c>
      <x:c r="H95" s="348" t="str">
        <x:v>手镯</x:v>
      </x:c>
      <x:c r="I95" s="348" t="str">
        <x:v>手镯</x:v>
      </x:c>
      <x:c r="J95" s="348" t="n">
        <x:v>6717</x:v>
      </x:c>
      <x:c r="K95" s="348" t="str">
        <x:v>预检通过资源／规划锁定／待入库</x:v>
      </x:c>
      <x:c r="L95" s="349" t="str">
        <x:v>装备资源库血月荆棘·血月</x:v>
      </x:c>
    </x:row>
    <x:row r="96" ht="34" customHeight="1">
      <x:c r="A96" s="347" t="str">
        <x:v>C04-M019</x:v>
      </x:c>
      <x:c r="B96" s="348" t="str">
        <x:v>C04</x:v>
      </x:c>
      <x:c r="C96" s="348" t="str">
        <x:v>利耶尼亚海域</x:v>
      </x:c>
      <x:c r="D96" s="348" t="str">
        <x:v>XX337</x:v>
      </x:c>
      <x:c r="E96" s="348" t="str">
        <x:v>碑林巡潮官</x:v>
      </x:c>
      <x:c r="F96" s="348" t="str">
        <x:v>稀有</x:v>
      </x:c>
      <x:c r="G96" s="348" t="str">
        <x:v>巡潮重盾</x:v>
      </x:c>
      <x:c r="H96" s="348" t="str">
        <x:v>盾牌</x:v>
      </x:c>
      <x:c r="I96" s="348" t="str">
        <x:v>盾牌</x:v>
      </x:c>
      <x:c r="J96" s="348" t="n">
        <x:v>6650</x:v>
      </x:c>
      <x:c r="K96" s="348" t="str">
        <x:v>预检通过资源／规划锁定／待入库</x:v>
      </x:c>
      <x:c r="L96" s="349" t="str">
        <x:v>装备资源库血月荆棘·猩月</x:v>
      </x:c>
    </x:row>
    <x:row r="97" ht="34" customHeight="1">
      <x:c r="A97" s="347" t="str">
        <x:v>C04-M020</x:v>
      </x:c>
      <x:c r="B97" s="348" t="str">
        <x:v>C04</x:v>
      </x:c>
      <x:c r="C97" s="348" t="str">
        <x:v>利耶尼亚海域</x:v>
      </x:c>
      <x:c r="D97" s="348" t="str">
        <x:v>XX336</x:v>
      </x:c>
      <x:c r="E97" s="348" t="str">
        <x:v>断链湖狮</x:v>
      </x:c>
      <x:c r="F97" s="348" t="str">
        <x:v>稀有</x:v>
      </x:c>
      <x:c r="G97" s="348" t="str">
        <x:v>湖狮断链坠</x:v>
      </x:c>
      <x:c r="H97" s="348" t="str">
        <x:v>项链</x:v>
      </x:c>
      <x:c r="I97" s="348" t="str">
        <x:v>项链</x:v>
      </x:c>
      <x:c r="J97" s="348" t="n">
        <x:v>6751</x:v>
      </x:c>
      <x:c r="K97" s="348" t="str">
        <x:v>预检通过资源／规划锁定／待入库</x:v>
      </x:c>
      <x:c r="L97" s="349" t="str">
        <x:v>装备资源库星渊龙息·星痕</x:v>
      </x:c>
    </x:row>
    <x:row r="98" ht="34" customHeight="1">
      <x:c r="A98" s="347" t="str">
        <x:v>C04-M021</x:v>
      </x:c>
      <x:c r="B98" s="348" t="str">
        <x:v>C04</x:v>
      </x:c>
      <x:c r="C98" s="348" t="str">
        <x:v>利耶尼亚海域</x:v>
      </x:c>
      <x:c r="D98" s="348" t="str">
        <x:v>XX340</x:v>
      </x:c>
      <x:c r="E98" s="348" t="str">
        <x:v>蓝焰祷亡者</x:v>
      </x:c>
      <x:c r="F98" s="348" t="str">
        <x:v>稀有</x:v>
      </x:c>
      <x:c r="G98" s="348" t="str">
        <x:v>蓝焰祷戒</x:v>
      </x:c>
      <x:c r="H98" s="348" t="str">
        <x:v>戒指</x:v>
      </x:c>
      <x:c r="I98" s="348" t="str">
        <x:v>戒指</x:v>
      </x:c>
      <x:c r="J98" s="348" t="n">
        <x:v>6753</x:v>
      </x:c>
      <x:c r="K98" s="348" t="str">
        <x:v>预检通过资源／规划锁定／待入库</x:v>
      </x:c>
      <x:c r="L98" s="349" t="str">
        <x:v>装备资源库星渊龙息·星痕</x:v>
      </x:c>
    </x:row>
    <x:row r="99" ht="34" customHeight="1">
      <x:c r="A99" s="347" t="str">
        <x:v>C04-M022</x:v>
      </x:c>
      <x:c r="B99" s="348" t="str">
        <x:v>C04</x:v>
      </x:c>
      <x:c r="C99" s="348" t="str">
        <x:v>利耶尼亚海域</x:v>
      </x:c>
      <x:c r="D99" s="348" t="str">
        <x:v>XX340</x:v>
      </x:c>
      <x:c r="E99" s="348" t="str">
        <x:v>祭池双生螯</x:v>
      </x:c>
      <x:c r="F99" s="348" t="str">
        <x:v>稀有</x:v>
      </x:c>
      <x:c r="G99" s="348" t="str">
        <x:v>双螯束带</x:v>
      </x:c>
      <x:c r="H99" s="348" t="str">
        <x:v>腰带</x:v>
      </x:c>
      <x:c r="I99" s="348" t="str">
        <x:v>腰带</x:v>
      </x:c>
      <x:c r="J99" s="348" t="n">
        <x:v>6618</x:v>
      </x:c>
      <x:c r="K99" s="348" t="str">
        <x:v>预检通过资源／规划锁定／待入库</x:v>
      </x:c>
      <x:c r="L99" s="349" t="str">
        <x:v>装备资源库血月荆棘·荆冠</x:v>
      </x:c>
    </x:row>
    <x:row r="100" ht="34" customHeight="1">
      <x:c r="A100" s="347" t="str">
        <x:v>C04-M023</x:v>
      </x:c>
      <x:c r="B100" s="348" t="str">
        <x:v>C04</x:v>
      </x:c>
      <x:c r="C100" s="348" t="str">
        <x:v>利耶尼亚海域</x:v>
      </x:c>
      <x:c r="D100" s="348" t="str">
        <x:v>XX336</x:v>
      </x:c>
      <x:c r="E100" s="348" t="str">
        <x:v>淹廊判官·摩汶</x:v>
      </x:c>
      <x:c r="F100" s="348" t="str">
        <x:v>地图BOSS</x:v>
      </x:c>
      <x:c r="G100" s="348" t="str">
        <x:v>摩汶的沉水铡</x:v>
      </x:c>
      <x:c r="H100" s="348" t="str">
        <x:v>武器</x:v>
      </x:c>
      <x:c r="I100" s="348" t="str">
        <x:v>武器</x:v>
      </x:c>
      <x:c r="J100" s="348" t="n">
        <x:v>6676</x:v>
      </x:c>
      <x:c r="K100" s="348" t="str">
        <x:v>预检通过资源／规划锁定／待入库</x:v>
      </x:c>
      <x:c r="L100" s="349" t="str">
        <x:v>装备资源库血月荆棘·弑王</x:v>
      </x:c>
    </x:row>
    <x:row r="101" ht="34" customHeight="1">
      <x:c r="A101" s="347" t="str">
        <x:v>C04-M024</x:v>
      </x:c>
      <x:c r="B101" s="348" t="str">
        <x:v>C04</x:v>
      </x:c>
      <x:c r="C101" s="348" t="str">
        <x:v>利耶尼亚海域</x:v>
      </x:c>
      <x:c r="D101" s="348" t="str">
        <x:v>XX340</x:v>
      </x:c>
      <x:c r="E101" s="348" t="str">
        <x:v>无声湖后·塞芙拉</x:v>
      </x:c>
      <x:c r="F101" s="348" t="str">
        <x:v>地图BOSS</x:v>
      </x:c>
      <x:c r="G101" s="348" t="str">
        <x:v>塞芙拉无声衣</x:v>
      </x:c>
      <x:c r="H101" s="348" t="str">
        <x:v>衣服</x:v>
      </x:c>
      <x:c r="I101" s="348" t="str">
        <x:v>男衣服（现行模板的衣服映射）</x:v>
      </x:c>
      <x:c r="J101" s="348" t="n">
        <x:v>6677</x:v>
      </x:c>
      <x:c r="K101" s="348" t="str">
        <x:v>预检通过资源／规划锁定／待入库</x:v>
      </x:c>
      <x:c r="L101" s="349" t="str">
        <x:v>按现行装备模板映射男衣服StdMode10；血月荆棘·弑王</x:v>
      </x:c>
    </x:row>
    <x:row r="102" ht="34" customHeight="1">
      <x:c r="A102" s="347" t="str">
        <x:v>C04-M025</x:v>
      </x:c>
      <x:c r="B102" s="348" t="str">
        <x:v>C04</x:v>
      </x:c>
      <x:c r="C102" s="348" t="str">
        <x:v>利耶尼亚海域</x:v>
      </x:c>
      <x:c r="D102" s="348" t="str">
        <x:v>XX363</x:v>
      </x:c>
      <x:c r="E102" s="348" t="str">
        <x:v>破帆水手</x:v>
      </x:c>
      <x:c r="F102" s="348" t="str">
        <x:v>普通</x:v>
      </x:c>
      <x:c r="G102" s="348" t="str">
        <x:v>破帆腰带</x:v>
      </x:c>
      <x:c r="H102" s="348" t="str">
        <x:v>腰带</x:v>
      </x:c>
      <x:c r="I102" s="348" t="str">
        <x:v>腰带</x:v>
      </x:c>
      <x:c r="J102" s="348" t="n">
        <x:v>6653</x:v>
      </x:c>
      <x:c r="K102" s="348" t="str">
        <x:v>预检通过资源／规划锁定／待入库</x:v>
      </x:c>
      <x:c r="L102" s="349" t="str">
        <x:v>装备资源库血月荆棘·猩月</x:v>
      </x:c>
    </x:row>
    <x:row r="103" ht="34" customHeight="1">
      <x:c r="A103" s="347" t="str">
        <x:v>C04-M026</x:v>
      </x:c>
      <x:c r="B103" s="348" t="str">
        <x:v>C04</x:v>
      </x:c>
      <x:c r="C103" s="348" t="str">
        <x:v>利耶尼亚海域</x:v>
      </x:c>
      <x:c r="D103" s="348" t="str">
        <x:v>XX363</x:v>
      </x:c>
      <x:c r="E103" s="348" t="str">
        <x:v>缠藻桅猴</x:v>
      </x:c>
      <x:c r="F103" s="348" t="str">
        <x:v>普通</x:v>
      </x:c>
      <x:c r="G103" s="348" t="str">
        <x:v>桅猴跳靴</x:v>
      </x:c>
      <x:c r="H103" s="348" t="str">
        <x:v>鞋子</x:v>
      </x:c>
      <x:c r="I103" s="348" t="str">
        <x:v>鞋子</x:v>
      </x:c>
      <x:c r="J103" s="348" t="n">
        <x:v>6722</x:v>
      </x:c>
      <x:c r="K103" s="348" t="str">
        <x:v>预检通过资源／规划锁定／待入库</x:v>
      </x:c>
      <x:c r="L103" s="349" t="str">
        <x:v>装备资源库血月荆棘·血月</x:v>
      </x:c>
    </x:row>
    <x:row r="104" ht="34" customHeight="1">
      <x:c r="A104" s="347" t="str">
        <x:v>C04-M027</x:v>
      </x:c>
      <x:c r="B104" s="348" t="str">
        <x:v>C04</x:v>
      </x:c>
      <x:c r="C104" s="348" t="str">
        <x:v>利耶尼亚海域</x:v>
      </x:c>
      <x:c r="D104" s="348" t="str">
        <x:v>XX362</x:v>
      </x:c>
      <x:c r="E104" s="348" t="str">
        <x:v>舱门凿击者</x:v>
      </x:c>
      <x:c r="F104" s="348" t="str">
        <x:v>普通</x:v>
      </x:c>
      <x:c r="G104" s="348" t="str">
        <x:v>凿舱铁锤</x:v>
      </x:c>
      <x:c r="H104" s="348" t="str">
        <x:v>武器</x:v>
      </x:c>
      <x:c r="I104" s="348" t="str">
        <x:v>武器</x:v>
      </x:c>
      <x:c r="J104" s="348"/>
      <x:c r="K104" s="348" t="str">
        <x:v>缺武器来源码</x:v>
      </x:c>
      <x:c r="L104" s="349" t="str">
        <x:v>需补同部位Items/StateItem/DnItems三库同码资源</x:v>
      </x:c>
    </x:row>
    <x:row r="105" ht="34" customHeight="1">
      <x:c r="A105" s="347" t="str">
        <x:v>C04-M028</x:v>
      </x:c>
      <x:c r="B105" s="348" t="str">
        <x:v>C04</x:v>
      </x:c>
      <x:c r="C105" s="348" t="str">
        <x:v>利耶尼亚海域</x:v>
      </x:c>
      <x:c r="D105" s="348" t="str">
        <x:v>XX362</x:v>
      </x:c>
      <x:c r="E105" s="348" t="str">
        <x:v>油灯怨影</x:v>
      </x:c>
      <x:c r="F105" s="348" t="str">
        <x:v>普通</x:v>
      </x:c>
      <x:c r="G105" s="348" t="str">
        <x:v>怨灯项链</x:v>
      </x:c>
      <x:c r="H105" s="348" t="str">
        <x:v>项链</x:v>
      </x:c>
      <x:c r="I105" s="348" t="str">
        <x:v>项链</x:v>
      </x:c>
      <x:c r="J105" s="348" t="n">
        <x:v>6786</x:v>
      </x:c>
      <x:c r="K105" s="348" t="str">
        <x:v>预检通过资源／规划锁定／待入库</x:v>
      </x:c>
      <x:c r="L105" s="349" t="str">
        <x:v>装备资源库星渊龙息·龙鳞</x:v>
      </x:c>
    </x:row>
    <x:row r="106" ht="34" customHeight="1">
      <x:c r="A106" s="347" t="str">
        <x:v>C04-M029</x:v>
      </x:c>
      <x:c r="B106" s="348" t="str">
        <x:v>C04</x:v>
      </x:c>
      <x:c r="C106" s="348" t="str">
        <x:v>利耶尼亚海域</x:v>
      </x:c>
      <x:c r="D106" s="348" t="str">
        <x:v>XX351</x:v>
      </x:c>
      <x:c r="E106" s="348" t="str">
        <x:v>墓舱寄居蟹</x:v>
      </x:c>
      <x:c r="F106" s="348" t="str">
        <x:v>普通</x:v>
      </x:c>
      <x:c r="G106" s="348" t="str">
        <x:v>墓舱壳盾</x:v>
      </x:c>
      <x:c r="H106" s="348" t="str">
        <x:v>盾牌</x:v>
      </x:c>
      <x:c r="I106" s="348" t="str">
        <x:v>盾牌</x:v>
      </x:c>
      <x:c r="J106" s="348" t="n">
        <x:v>6685</x:v>
      </x:c>
      <x:c r="K106" s="348" t="str">
        <x:v>预检通过资源／规划锁定／待入库</x:v>
      </x:c>
      <x:c r="L106" s="349" t="str">
        <x:v>装备资源库血月荆棘·弑王</x:v>
      </x:c>
    </x:row>
    <x:row r="107" ht="34" customHeight="1">
      <x:c r="A107" s="347" t="str">
        <x:v>C04-M030</x:v>
      </x:c>
      <x:c r="B107" s="348" t="str">
        <x:v>C04</x:v>
      </x:c>
      <x:c r="C107" s="348" t="str">
        <x:v>利耶尼亚海域</x:v>
      </x:c>
      <x:c r="D107" s="348" t="str">
        <x:v>XX351</x:v>
      </x:c>
      <x:c r="E107" s="348" t="str">
        <x:v>裹布船尸</x:v>
      </x:c>
      <x:c r="F107" s="348" t="str">
        <x:v>普通</x:v>
      </x:c>
      <x:c r="G107" s="348" t="str">
        <x:v>盐裹尸衣</x:v>
      </x:c>
      <x:c r="H107" s="348" t="str">
        <x:v>衣服</x:v>
      </x:c>
      <x:c r="I107" s="348" t="str">
        <x:v>男衣服（现行模板的衣服映射）</x:v>
      </x:c>
      <x:c r="J107" s="348"/>
      <x:c r="K107" s="348" t="str">
        <x:v>缺衣服来源码</x:v>
      </x:c>
      <x:c r="L107" s="349" t="str">
        <x:v>需补男衣服StdMode10的三库同码资源；女衣服码未获准合池</x:v>
      </x:c>
    </x:row>
    <x:row r="108" ht="34" customHeight="1">
      <x:c r="A108" s="347" t="str">
        <x:v>C04-M031</x:v>
      </x:c>
      <x:c r="B108" s="348" t="str">
        <x:v>C04</x:v>
      </x:c>
      <x:c r="C108" s="348" t="str">
        <x:v>利耶尼亚海域</x:v>
      </x:c>
      <x:c r="D108" s="348" t="str">
        <x:v>XX363</x:v>
      </x:c>
      <x:c r="E108" s="348" t="str">
        <x:v>白鳍劫舟客</x:v>
      </x:c>
      <x:c r="F108" s="348" t="str">
        <x:v>稀有</x:v>
      </x:c>
      <x:c r="G108" s="348" t="str">
        <x:v>白鳍浪客笠</x:v>
      </x:c>
      <x:c r="H108" s="348" t="str">
        <x:v>斗笠</x:v>
      </x:c>
      <x:c r="I108" s="348" t="str">
        <x:v>面巾（位置13，对应斗笠）</x:v>
      </x:c>
      <x:c r="J108" s="348" t="n">
        <x:v>6540</x:v>
      </x:c>
      <x:c r="K108" s="348" t="str">
        <x:v>预检通过资源／规划锁定／待入库</x:v>
      </x:c>
      <x:c r="L108" s="349" t="str">
        <x:v>StdMode16/位置13；黄金圣树·永恒</x:v>
      </x:c>
    </x:row>
    <x:row r="109" ht="34" customHeight="1">
      <x:c r="A109" s="347" t="str">
        <x:v>C04-M032</x:v>
      </x:c>
      <x:c r="B109" s="348" t="str">
        <x:v>C04</x:v>
      </x:c>
      <x:c r="C109" s="348" t="str">
        <x:v>利耶尼亚海域</x:v>
      </x:c>
      <x:c r="D109" s="348" t="str">
        <x:v>XX362</x:v>
      </x:c>
      <x:c r="E109" s="348" t="str">
        <x:v>抱舵老幽魂</x:v>
      </x:c>
      <x:c r="F109" s="348" t="str">
        <x:v>稀有</x:v>
      </x:c>
      <x:c r="G109" s="348" t="str">
        <x:v>老舵手镯</x:v>
      </x:c>
      <x:c r="H109" s="348" t="str">
        <x:v>手镯</x:v>
      </x:c>
      <x:c r="I109" s="348" t="str">
        <x:v>手镯</x:v>
      </x:c>
      <x:c r="J109" s="348" t="n">
        <x:v>6752</x:v>
      </x:c>
      <x:c r="K109" s="348" t="str">
        <x:v>预检通过资源／规划锁定／待入库</x:v>
      </x:c>
      <x:c r="L109" s="349" t="str">
        <x:v>装备资源库星渊龙息·星痕</x:v>
      </x:c>
    </x:row>
    <x:row r="110" ht="34" customHeight="1">
      <x:c r="A110" s="347" t="str">
        <x:v>C04-M033</x:v>
      </x:c>
      <x:c r="B110" s="348" t="str">
        <x:v>C04</x:v>
      </x:c>
      <x:c r="C110" s="348" t="str">
        <x:v>利耶尼亚海域</x:v>
      </x:c>
      <x:c r="D110" s="348" t="str">
        <x:v>XX351</x:v>
      </x:c>
      <x:c r="E110" s="348" t="str">
        <x:v>棺板伏行者</x:v>
      </x:c>
      <x:c r="F110" s="348" t="str">
        <x:v>稀有</x:v>
      </x:c>
      <x:c r="G110" s="348" t="str">
        <x:v>棺钉指环</x:v>
      </x:c>
      <x:c r="H110" s="348" t="str">
        <x:v>戒指</x:v>
      </x:c>
      <x:c r="I110" s="348" t="str">
        <x:v>戒指</x:v>
      </x:c>
      <x:c r="J110" s="348" t="n">
        <x:v>6788</x:v>
      </x:c>
      <x:c r="K110" s="348" t="str">
        <x:v>预检通过资源／规划锁定／待入库</x:v>
      </x:c>
      <x:c r="L110" s="349" t="str">
        <x:v>装备资源库星渊龙息·龙鳞</x:v>
      </x:c>
    </x:row>
    <x:row r="111" ht="34" customHeight="1">
      <x:c r="A111" s="347" t="str">
        <x:v>C04-M034</x:v>
      </x:c>
      <x:c r="B111" s="348" t="str">
        <x:v>C04</x:v>
      </x:c>
      <x:c r="C111" s="348" t="str">
        <x:v>利耶尼亚海域</x:v>
      </x:c>
      <x:c r="D111" s="348" t="str">
        <x:v>XX351</x:v>
      </x:c>
      <x:c r="E111" s="348" t="str">
        <x:v>啃锚深渊鱼</x:v>
      </x:c>
      <x:c r="F111" s="348" t="str">
        <x:v>稀有</x:v>
      </x:c>
      <x:c r="G111" s="348" t="str">
        <x:v>锚齿鱼盔</x:v>
      </x:c>
      <x:c r="H111" s="348" t="str">
        <x:v>头盔</x:v>
      </x:c>
      <x:c r="I111" s="348" t="str">
        <x:v>头盔</x:v>
      </x:c>
      <x:c r="J111" s="348" t="n">
        <x:v>6784</x:v>
      </x:c>
      <x:c r="K111" s="348" t="str">
        <x:v>预检通过资源／规划锁定／待入库</x:v>
      </x:c>
      <x:c r="L111" s="349" t="str">
        <x:v>装备资源库星渊龙息·龙鳞</x:v>
      </x:c>
    </x:row>
    <x:row r="112" ht="34" customHeight="1">
      <x:c r="A112" s="347" t="str">
        <x:v>C04-M035</x:v>
      </x:c>
      <x:c r="B112" s="348" t="str">
        <x:v>C04</x:v>
      </x:c>
      <x:c r="C112" s="348" t="str">
        <x:v>利耶尼亚海域</x:v>
      </x:c>
      <x:c r="D112" s="348" t="str">
        <x:v>XX362</x:v>
      </x:c>
      <x:c r="E112" s="348" t="str">
        <x:v>锁舱船长·奥杜</x:v>
      </x:c>
      <x:c r="F112" s="348" t="str">
        <x:v>地图BOSS</x:v>
      </x:c>
      <x:c r="G112" s="348" t="str">
        <x:v>奥杜的锁舱刀</x:v>
      </x:c>
      <x:c r="H112" s="348" t="str">
        <x:v>武器</x:v>
      </x:c>
      <x:c r="I112" s="348" t="str">
        <x:v>武器</x:v>
      </x:c>
      <x:c r="J112" s="348" t="n">
        <x:v>6711</x:v>
      </x:c>
      <x:c r="K112" s="348" t="str">
        <x:v>预检通过资源／规划锁定／待入库</x:v>
      </x:c>
      <x:c r="L112" s="349" t="str">
        <x:v>装备资源库血月荆棘·血月</x:v>
      </x:c>
    </x:row>
    <x:row r="113" ht="34" customHeight="1">
      <x:c r="A113" s="347" t="str">
        <x:v>C04-M036</x:v>
      </x:c>
      <x:c r="B113" s="348" t="str">
        <x:v>C04</x:v>
      </x:c>
      <x:c r="C113" s="348" t="str">
        <x:v>利耶尼亚海域</x:v>
      </x:c>
      <x:c r="D113" s="348" t="str">
        <x:v>XX351</x:v>
      </x:c>
      <x:c r="E113" s="348" t="str">
        <x:v>亡舟新娘·伊蕾莎</x:v>
      </x:c>
      <x:c r="F113" s="348" t="str">
        <x:v>地图BOSS</x:v>
      </x:c>
      <x:c r="G113" s="348" t="str">
        <x:v>伊蕾莎潮婚衣</x:v>
      </x:c>
      <x:c r="H113" s="348" t="str">
        <x:v>衣服</x:v>
      </x:c>
      <x:c r="I113" s="348" t="str">
        <x:v>男衣服（现行模板的衣服映射）</x:v>
      </x:c>
      <x:c r="J113" s="348" t="n">
        <x:v>6712</x:v>
      </x:c>
      <x:c r="K113" s="348" t="str">
        <x:v>预检通过资源／规划锁定／待入库</x:v>
      </x:c>
      <x:c r="L113" s="349" t="str">
        <x:v>按现行装备模板映射男衣服StdMode10；血月荆棘·血月</x:v>
      </x:c>
    </x:row>
    <x:row r="114" ht="34" customHeight="1">
      <x:c r="A114" s="347" t="str">
        <x:v>C04-M037</x:v>
      </x:c>
      <x:c r="B114" s="348" t="str">
        <x:v>C04</x:v>
      </x:c>
      <x:c r="C114" s="348" t="str">
        <x:v>利耶尼亚海域</x:v>
      </x:c>
      <x:c r="D114" s="348" t="str">
        <x:v>XX527</x:v>
      </x:c>
      <x:c r="E114" s="348" t="str">
        <x:v>磷火甲板兵</x:v>
      </x:c>
      <x:c r="F114" s="348" t="str">
        <x:v>普通</x:v>
      </x:c>
      <x:c r="G114" s="348" t="str">
        <x:v>磷火腕铠</x:v>
      </x:c>
      <x:c r="H114" s="348" t="str">
        <x:v>手镯</x:v>
      </x:c>
      <x:c r="I114" s="348" t="str">
        <x:v>手镯</x:v>
      </x:c>
      <x:c r="J114" s="348" t="n">
        <x:v>6787</x:v>
      </x:c>
      <x:c r="K114" s="348" t="str">
        <x:v>预检通过资源／规划锁定／待入库</x:v>
      </x:c>
      <x:c r="L114" s="349" t="str">
        <x:v>装备资源库星渊龙息·龙鳞</x:v>
      </x:c>
    </x:row>
    <x:row r="115" ht="34" customHeight="1">
      <x:c r="A115" s="347" t="str">
        <x:v>C04-M038</x:v>
      </x:c>
      <x:c r="B115" s="348" t="str">
        <x:v>C04</x:v>
      </x:c>
      <x:c r="C115" s="348" t="str">
        <x:v>利耶尼亚海域</x:v>
      </x:c>
      <x:c r="D115" s="348" t="str">
        <x:v>XX527</x:v>
      </x:c>
      <x:c r="E115" s="348" t="str">
        <x:v>船骸骨鸥</x:v>
      </x:c>
      <x:c r="F115" s="348" t="str">
        <x:v>普通</x:v>
      </x:c>
      <x:c r="G115" s="348" t="str">
        <x:v>骨鸥喙盔</x:v>
      </x:c>
      <x:c r="H115" s="348" t="str">
        <x:v>头盔</x:v>
      </x:c>
      <x:c r="I115" s="348" t="str">
        <x:v>头盔</x:v>
      </x:c>
      <x:c r="J115" s="348" t="n">
        <x:v>6819</x:v>
      </x:c>
      <x:c r="K115" s="348" t="str">
        <x:v>预检通过资源／规划锁定／待入库</x:v>
      </x:c>
      <x:c r="L115" s="349" t="str">
        <x:v>装备资源库星渊龙息·渊辉</x:v>
      </x:c>
    </x:row>
    <x:row r="116" ht="34" customHeight="1">
      <x:c r="A116" s="347" t="str">
        <x:v>C04-M039</x:v>
      </x:c>
      <x:c r="B116" s="348" t="str">
        <x:v>C04</x:v>
      </x:c>
      <x:c r="C116" s="348" t="str">
        <x:v>利耶尼亚海域</x:v>
      </x:c>
      <x:c r="D116" s="348" t="str">
        <x:v>XX457</x:v>
      </x:c>
      <x:c r="E116" s="348" t="str">
        <x:v>漏舱舀水鬼</x:v>
      </x:c>
      <x:c r="F116" s="348" t="str">
        <x:v>普通</x:v>
      </x:c>
      <x:c r="G116" s="348" t="str">
        <x:v>舀魂铜瓢</x:v>
      </x:c>
      <x:c r="H116" s="348" t="str">
        <x:v>武器</x:v>
      </x:c>
      <x:c r="I116" s="348" t="str">
        <x:v>武器</x:v>
      </x:c>
      <x:c r="J116" s="348"/>
      <x:c r="K116" s="348" t="str">
        <x:v>缺武器来源码</x:v>
      </x:c>
      <x:c r="L116" s="349" t="str">
        <x:v>需补同部位Items/StateItem/DnItems三库同码资源</x:v>
      </x:c>
    </x:row>
    <x:row r="117" ht="34" customHeight="1">
      <x:c r="A117" s="347" t="str">
        <x:v>C04-M040</x:v>
      </x:c>
      <x:c r="B117" s="348" t="str">
        <x:v>C04</x:v>
      </x:c>
      <x:c r="C117" s="348" t="str">
        <x:v>利耶尼亚海域</x:v>
      </x:c>
      <x:c r="D117" s="348" t="str">
        <x:v>XX457</x:v>
      </x:c>
      <x:c r="E117" s="348" t="str">
        <x:v>铜铃引魂童</x:v>
      </x:c>
      <x:c r="F117" s="348" t="str">
        <x:v>普通</x:v>
      </x:c>
      <x:c r="G117" s="348" t="str">
        <x:v>引魂铜铃链</x:v>
      </x:c>
      <x:c r="H117" s="348" t="str">
        <x:v>项链</x:v>
      </x:c>
      <x:c r="I117" s="348" t="str">
        <x:v>项链</x:v>
      </x:c>
      <x:c r="J117" s="348" t="n">
        <x:v>6821</x:v>
      </x:c>
      <x:c r="K117" s="348" t="str">
        <x:v>预检通过资源／规划锁定／待入库</x:v>
      </x:c>
      <x:c r="L117" s="349" t="str">
        <x:v>装备资源库星渊龙息·渊辉</x:v>
      </x:c>
    </x:row>
    <x:row r="118" ht="34" customHeight="1">
      <x:c r="A118" s="347" t="str">
        <x:v>C04-M041</x:v>
      </x:c>
      <x:c r="B118" s="348" t="str">
        <x:v>C04</x:v>
      </x:c>
      <x:c r="C118" s="348" t="str">
        <x:v>利耶尼亚海域</x:v>
      </x:c>
      <x:c r="D118" s="348" t="str">
        <x:v>XX582</x:v>
      </x:c>
      <x:c r="E118" s="348" t="str">
        <x:v>密舱蜡尸</x:v>
      </x:c>
      <x:c r="F118" s="348" t="str">
        <x:v>普通</x:v>
      </x:c>
      <x:c r="G118" s="348" t="str">
        <x:v>蜡封尸衣</x:v>
      </x:c>
      <x:c r="H118" s="348" t="str">
        <x:v>衣服</x:v>
      </x:c>
      <x:c r="I118" s="348" t="str">
        <x:v>男衣服（现行模板的衣服映射）</x:v>
      </x:c>
      <x:c r="J118" s="348"/>
      <x:c r="K118" s="348" t="str">
        <x:v>缺衣服来源码</x:v>
      </x:c>
      <x:c r="L118" s="349" t="str">
        <x:v>需补男衣服StdMode10的三库同码资源；女衣服码未获准合池</x:v>
      </x:c>
    </x:row>
    <x:row r="119" ht="34" customHeight="1">
      <x:c r="A119" s="347" t="str">
        <x:v>C04-M042</x:v>
      </x:c>
      <x:c r="B119" s="348" t="str">
        <x:v>C04</x:v>
      </x:c>
      <x:c r="C119" s="348" t="str">
        <x:v>利耶尼亚海域</x:v>
      </x:c>
      <x:c r="D119" s="348" t="str">
        <x:v>XX582</x:v>
      </x:c>
      <x:c r="E119" s="348" t="str">
        <x:v>食梦船蛾</x:v>
      </x:c>
      <x:c r="F119" s="348" t="str">
        <x:v>普通</x:v>
      </x:c>
      <x:c r="G119" s="348" t="str">
        <x:v>梦蛾踏水靴</x:v>
      </x:c>
      <x:c r="H119" s="348" t="str">
        <x:v>鞋子</x:v>
      </x:c>
      <x:c r="I119" s="348" t="str">
        <x:v>鞋子</x:v>
      </x:c>
      <x:c r="J119" s="348" t="n">
        <x:v>6757</x:v>
      </x:c>
      <x:c r="K119" s="348" t="str">
        <x:v>预检通过资源／规划锁定／待入库</x:v>
      </x:c>
      <x:c r="L119" s="349" t="str">
        <x:v>装备资源库星渊龙息·星痕</x:v>
      </x:c>
    </x:row>
    <x:row r="120" ht="34" customHeight="1">
      <x:c r="A120" s="347" t="str">
        <x:v>C04-M043</x:v>
      </x:c>
      <x:c r="B120" s="348" t="str">
        <x:v>C04</x:v>
      </x:c>
      <x:c r="C120" s="348" t="str">
        <x:v>利耶尼亚海域</x:v>
      </x:c>
      <x:c r="D120" s="348" t="str">
        <x:v>XX527</x:v>
      </x:c>
      <x:c r="E120" s="348" t="str">
        <x:v>倒吊瞭望手</x:v>
      </x:c>
      <x:c r="F120" s="348" t="str">
        <x:v>稀有</x:v>
      </x:c>
      <x:c r="G120" s="348" t="str">
        <x:v>倒桅瞭望笠</x:v>
      </x:c>
      <x:c r="H120" s="348" t="str">
        <x:v>斗笠</x:v>
      </x:c>
      <x:c r="I120" s="348" t="str">
        <x:v>面巾（位置13，对应斗笠）</x:v>
      </x:c>
      <x:c r="J120" s="348" t="n">
        <x:v>6575</x:v>
      </x:c>
      <x:c r="K120" s="348" t="str">
        <x:v>预检通过资源／规划锁定／待入库</x:v>
      </x:c>
      <x:c r="L120" s="349" t="str">
        <x:v>StdMode16/位置13；血月荆棘·血痕</x:v>
      </x:c>
    </x:row>
    <x:row r="121" ht="34" customHeight="1">
      <x:c r="A121" s="347" t="str">
        <x:v>C04-M044</x:v>
      </x:c>
      <x:c r="B121" s="348" t="str">
        <x:v>C04</x:v>
      </x:c>
      <x:c r="C121" s="348" t="str">
        <x:v>利耶尼亚海域</x:v>
      </x:c>
      <x:c r="D121" s="348" t="str">
        <x:v>XX457</x:v>
      </x:c>
      <x:c r="E121" s="348" t="str">
        <x:v>无面桨官</x:v>
      </x:c>
      <x:c r="F121" s="348" t="str">
        <x:v>稀有</x:v>
      </x:c>
      <x:c r="G121" s="348" t="str">
        <x:v>桨官铁盾</x:v>
      </x:c>
      <x:c r="H121" s="348" t="str">
        <x:v>盾牌</x:v>
      </x:c>
      <x:c r="I121" s="348" t="str">
        <x:v>盾牌</x:v>
      </x:c>
      <x:c r="J121" s="348" t="n">
        <x:v>6720</x:v>
      </x:c>
      <x:c r="K121" s="348" t="str">
        <x:v>预检通过资源／规划锁定／待入库</x:v>
      </x:c>
      <x:c r="L121" s="349" t="str">
        <x:v>装备资源库血月荆棘·血月</x:v>
      </x:c>
    </x:row>
    <x:row r="122" ht="34" customHeight="1">
      <x:c r="A122" s="347" t="str">
        <x:v>C04-M045</x:v>
      </x:c>
      <x:c r="B122" s="348" t="str">
        <x:v>C04</x:v>
      </x:c>
      <x:c r="C122" s="348" t="str">
        <x:v>利耶尼亚海域</x:v>
      </x:c>
      <x:c r="D122" s="348" t="str">
        <x:v>XX582</x:v>
      </x:c>
      <x:c r="E122" s="348" t="str">
        <x:v>舱壁缝合怪</x:v>
      </x:c>
      <x:c r="F122" s="348" t="str">
        <x:v>稀有</x:v>
      </x:c>
      <x:c r="G122" s="348" t="str">
        <x:v>缝舱腰箍</x:v>
      </x:c>
      <x:c r="H122" s="348" t="str">
        <x:v>腰带</x:v>
      </x:c>
      <x:c r="I122" s="348" t="str">
        <x:v>腰带</x:v>
      </x:c>
      <x:c r="J122" s="348" t="n">
        <x:v>6688</x:v>
      </x:c>
      <x:c r="K122" s="348" t="str">
        <x:v>预检通过资源／规划锁定／待入库</x:v>
      </x:c>
      <x:c r="L122" s="349" t="str">
        <x:v>装备资源库血月荆棘·弑王</x:v>
      </x:c>
    </x:row>
    <x:row r="123" ht="34" customHeight="1">
      <x:c r="A123" s="347" t="str">
        <x:v>C04-M046</x:v>
      </x:c>
      <x:c r="B123" s="348" t="str">
        <x:v>C04</x:v>
      </x:c>
      <x:c r="C123" s="348" t="str">
        <x:v>利耶尼亚海域</x:v>
      </x:c>
      <x:c r="D123" s="348" t="str">
        <x:v>XX582</x:v>
      </x:c>
      <x:c r="E123" s="348" t="str">
        <x:v>黑帆招魂师</x:v>
      </x:c>
      <x:c r="F123" s="348" t="str">
        <x:v>稀有</x:v>
      </x:c>
      <x:c r="G123" s="348" t="str">
        <x:v>黑帆魂戒</x:v>
      </x:c>
      <x:c r="H123" s="348" t="str">
        <x:v>戒指</x:v>
      </x:c>
      <x:c r="I123" s="348" t="str">
        <x:v>戒指</x:v>
      </x:c>
      <x:c r="J123" s="348" t="n">
        <x:v>6823</x:v>
      </x:c>
      <x:c r="K123" s="348" t="str">
        <x:v>预检通过资源／规划锁定／待入库</x:v>
      </x:c>
      <x:c r="L123" s="349" t="str">
        <x:v>装备资源库星渊龙息·渊辉</x:v>
      </x:c>
    </x:row>
    <x:row r="124" ht="34" customHeight="1">
      <x:c r="A124" s="347" t="str">
        <x:v>C04-M047</x:v>
      </x:c>
      <x:c r="B124" s="348" t="str">
        <x:v>C04</x:v>
      </x:c>
      <x:c r="C124" s="348" t="str">
        <x:v>利耶尼亚海域</x:v>
      </x:c>
      <x:c r="D124" s="348" t="str">
        <x:v>XX457</x:v>
      </x:c>
      <x:c r="E124" s="348" t="str">
        <x:v>幽舵大副·赫岚</x:v>
      </x:c>
      <x:c r="F124" s="348" t="str">
        <x:v>地图BOSS</x:v>
      </x:c>
      <x:c r="G124" s="348" t="str">
        <x:v>赫岚的幽舵刃</x:v>
      </x:c>
      <x:c r="H124" s="348" t="str">
        <x:v>武器</x:v>
      </x:c>
      <x:c r="I124" s="348" t="str">
        <x:v>武器</x:v>
      </x:c>
      <x:c r="J124" s="348" t="n">
        <x:v>6746</x:v>
      </x:c>
      <x:c r="K124" s="348" t="str">
        <x:v>预检通过资源／规划锁定／待入库</x:v>
      </x:c>
      <x:c r="L124" s="349" t="str">
        <x:v>装备资源库星渊龙息·星痕</x:v>
      </x:c>
    </x:row>
    <x:row r="125" ht="34" customHeight="1">
      <x:c r="A125" s="347" t="str">
        <x:v>C04-M048</x:v>
      </x:c>
      <x:c r="B125" s="348" t="str">
        <x:v>C04</x:v>
      </x:c>
      <x:c r="C125" s="348" t="str">
        <x:v>利耶尼亚海域</x:v>
      </x:c>
      <x:c r="D125" s="348" t="str">
        <x:v>XX582</x:v>
      </x:c>
      <x:c r="E125" s="348" t="str">
        <x:v>百舱吞魂者·沃姆</x:v>
      </x:c>
      <x:c r="F125" s="348" t="str">
        <x:v>地图BOSS</x:v>
      </x:c>
      <x:c r="G125" s="348" t="str">
        <x:v>沃姆吞魂舱甲</x:v>
      </x:c>
      <x:c r="H125" s="348" t="str">
        <x:v>衣服</x:v>
      </x:c>
      <x:c r="I125" s="348" t="str">
        <x:v>男衣服（现行模板的衣服映射）</x:v>
      </x:c>
      <x:c r="J125" s="348" t="n">
        <x:v>6747</x:v>
      </x:c>
      <x:c r="K125" s="348" t="str">
        <x:v>预检通过资源／规划锁定／待入库</x:v>
      </x:c>
      <x:c r="L125" s="349" t="str">
        <x:v>按现行装备模板映射男衣服StdMode10；星渊龙息·星痕</x:v>
      </x:c>
    </x:row>
    <x:row r="126" ht="34" customHeight="1">
      <x:c r="A126" s="347" t="str">
        <x:v>C04-M049</x:v>
      </x:c>
      <x:c r="B126" s="348" t="str">
        <x:v>C04</x:v>
      </x:c>
      <x:c r="C126" s="348" t="str">
        <x:v>利耶尼亚海域</x:v>
      </x:c>
      <x:c r="D126" s="348" t="str">
        <x:v>XX395</x:v>
      </x:c>
      <x:c r="E126" s="348" t="str">
        <x:v>水闸巡守</x:v>
      </x:c>
      <x:c r="F126" s="348" t="str">
        <x:v>普通</x:v>
      </x:c>
      <x:c r="G126" s="348" t="str">
        <x:v>巡闸圆盾</x:v>
      </x:c>
      <x:c r="H126" s="348" t="str">
        <x:v>盾牌</x:v>
      </x:c>
      <x:c r="I126" s="348" t="str">
        <x:v>盾牌</x:v>
      </x:c>
      <x:c r="J126" s="348" t="n">
        <x:v>6755</x:v>
      </x:c>
      <x:c r="K126" s="348" t="str">
        <x:v>预检通过资源／规划锁定／待入库</x:v>
      </x:c>
      <x:c r="L126" s="349" t="str">
        <x:v>装备资源库星渊龙息·星痕</x:v>
      </x:c>
    </x:row>
    <x:row r="127" ht="34" customHeight="1">
      <x:c r="A127" s="347" t="str">
        <x:v>C04-M050</x:v>
      </x:c>
      <x:c r="B127" s="348" t="str">
        <x:v>C04</x:v>
      </x:c>
      <x:c r="C127" s="348" t="str">
        <x:v>利耶尼亚海域</x:v>
      </x:c>
      <x:c r="D127" s="348" t="str">
        <x:v>XX395</x:v>
      </x:c>
      <x:c r="E127" s="348" t="str">
        <x:v>涡背鳗犬</x:v>
      </x:c>
      <x:c r="F127" s="348" t="str">
        <x:v>普通</x:v>
      </x:c>
      <x:c r="G127" s="348" t="str">
        <x:v>鳗皮束腰</x:v>
      </x:c>
      <x:c r="H127" s="348" t="str">
        <x:v>腰带</x:v>
      </x:c>
      <x:c r="I127" s="348" t="str">
        <x:v>腰带</x:v>
      </x:c>
      <x:c r="J127" s="348" t="n">
        <x:v>6723</x:v>
      </x:c>
      <x:c r="K127" s="348" t="str">
        <x:v>预检通过资源／规划锁定／待入库</x:v>
      </x:c>
      <x:c r="L127" s="349" t="str">
        <x:v>装备资源库血月荆棘·血月</x:v>
      </x:c>
    </x:row>
    <x:row r="128" ht="34" customHeight="1">
      <x:c r="A128" s="347" t="str">
        <x:v>C04-M051</x:v>
      </x:c>
      <x:c r="B128" s="348" t="str">
        <x:v>C04</x:v>
      </x:c>
      <x:c r="C128" s="348" t="str">
        <x:v>利耶尼亚海域</x:v>
      </x:c>
      <x:c r="D128" s="348" t="str">
        <x:v>XX392</x:v>
      </x:c>
      <x:c r="E128" s="348" t="str">
        <x:v>月河箭蛙</x:v>
      </x:c>
      <x:c r="F128" s="348" t="str">
        <x:v>普通</x:v>
      </x:c>
      <x:c r="G128" s="348" t="str">
        <x:v>月蛙刺弩</x:v>
      </x:c>
      <x:c r="H128" s="348" t="str">
        <x:v>武器</x:v>
      </x:c>
      <x:c r="I128" s="348" t="str">
        <x:v>武器</x:v>
      </x:c>
      <x:c r="J128" s="348"/>
      <x:c r="K128" s="348" t="str">
        <x:v>缺武器来源码</x:v>
      </x:c>
      <x:c r="L128" s="349" t="str">
        <x:v>需补同部位Items/StateItem/DnItems三库同码资源</x:v>
      </x:c>
    </x:row>
    <x:row r="129" ht="34" customHeight="1">
      <x:c r="A129" s="347" t="str">
        <x:v>C04-M052</x:v>
      </x:c>
      <x:c r="B129" s="348" t="str">
        <x:v>C04</x:v>
      </x:c>
      <x:c r="C129" s="348" t="str">
        <x:v>利耶尼亚海域</x:v>
      </x:c>
      <x:c r="D129" s="348" t="str">
        <x:v>XX392</x:v>
      </x:c>
      <x:c r="E129" s="348" t="str">
        <x:v>暗径拾珠客</x:v>
      </x:c>
      <x:c r="F129" s="348" t="str">
        <x:v>普通</x:v>
      </x:c>
      <x:c r="G129" s="348" t="str">
        <x:v>拾珠客斗笠</x:v>
      </x:c>
      <x:c r="H129" s="348" t="str">
        <x:v>斗笠</x:v>
      </x:c>
      <x:c r="I129" s="348" t="str">
        <x:v>面巾（位置13，对应斗笠）</x:v>
      </x:c>
      <x:c r="J129" s="348"/>
      <x:c r="K129" s="348" t="str">
        <x:v>缺斗笠来源码</x:v>
      </x:c>
      <x:c r="L129" s="349" t="str">
        <x:v>需补StdMode16/位置13的三库同码资源</x:v>
      </x:c>
    </x:row>
    <x:row r="130" ht="34" customHeight="1">
      <x:c r="A130" s="347" t="str">
        <x:v>C04-M053</x:v>
      </x:c>
      <x:c r="B130" s="348" t="str">
        <x:v>C04</x:v>
      </x:c>
      <x:c r="C130" s="348" t="str">
        <x:v>利耶尼亚海域</x:v>
      </x:c>
      <x:c r="D130" s="348" t="str">
        <x:v>XX391</x:v>
      </x:c>
      <x:c r="E130" s="348" t="str">
        <x:v>渊口盔虾</x:v>
      </x:c>
      <x:c r="F130" s="348" t="str">
        <x:v>普通</x:v>
      </x:c>
      <x:c r="G130" s="348" t="str">
        <x:v>盔虾壳帽</x:v>
      </x:c>
      <x:c r="H130" s="348" t="str">
        <x:v>头盔</x:v>
      </x:c>
      <x:c r="I130" s="348" t="str">
        <x:v>头盔</x:v>
      </x:c>
      <x:c r="J130" s="348" t="n">
        <x:v>6854</x:v>
      </x:c>
      <x:c r="K130" s="348" t="str">
        <x:v>预检通过资源／规划锁定／待入库</x:v>
      </x:c>
      <x:c r="L130" s="349" t="str">
        <x:v>装备资源库星渊龙息·天穹</x:v>
      </x:c>
    </x:row>
    <x:row r="131" ht="34" customHeight="1">
      <x:c r="A131" s="347" t="str">
        <x:v>C04-M054</x:v>
      </x:c>
      <x:c r="B131" s="348" t="str">
        <x:v>C04</x:v>
      </x:c>
      <x:c r="C131" s="348" t="str">
        <x:v>利耶尼亚海域</x:v>
      </x:c>
      <x:c r="D131" s="348" t="str">
        <x:v>XX391</x:v>
      </x:c>
      <x:c r="E131" s="348" t="str">
        <x:v>伏流石鳗</x:v>
      </x:c>
      <x:c r="F131" s="348" t="str">
        <x:v>普通</x:v>
      </x:c>
      <x:c r="G131" s="348" t="str">
        <x:v>伏流鳞靴</x:v>
      </x:c>
      <x:c r="H131" s="348" t="str">
        <x:v>鞋子</x:v>
      </x:c>
      <x:c r="I131" s="348" t="str">
        <x:v>鞋子</x:v>
      </x:c>
      <x:c r="J131" s="348" t="n">
        <x:v>6792</x:v>
      </x:c>
      <x:c r="K131" s="348" t="str">
        <x:v>预检通过资源／规划锁定／待入库</x:v>
      </x:c>
      <x:c r="L131" s="349" t="str">
        <x:v>装备资源库星渊龙息·龙鳞</x:v>
      </x:c>
    </x:row>
    <x:row r="132" ht="34" customHeight="1">
      <x:c r="A132" s="347" t="str">
        <x:v>C04-M055</x:v>
      </x:c>
      <x:c r="B132" s="348" t="str">
        <x:v>C04</x:v>
      </x:c>
      <x:c r="C132" s="348" t="str">
        <x:v>利耶尼亚海域</x:v>
      </x:c>
      <x:c r="D132" s="348" t="str">
        <x:v>XX395</x:v>
      </x:c>
      <x:c r="E132" s="348" t="str">
        <x:v>断闸铁卫</x:v>
      </x:c>
      <x:c r="F132" s="348" t="str">
        <x:v>稀有</x:v>
      </x:c>
      <x:c r="G132" s="348" t="str">
        <x:v>断闸铁衣</x:v>
      </x:c>
      <x:c r="H132" s="348" t="str">
        <x:v>衣服</x:v>
      </x:c>
      <x:c r="I132" s="348" t="str">
        <x:v>男衣服（现行模板的衣服映射）</x:v>
      </x:c>
      <x:c r="J132" s="348"/>
      <x:c r="K132" s="348" t="str">
        <x:v>缺衣服来源码</x:v>
      </x:c>
      <x:c r="L132" s="349" t="str">
        <x:v>需补男衣服StdMode10的三库同码资源；女衣服码未获准合池</x:v>
      </x:c>
    </x:row>
    <x:row r="133" ht="34" customHeight="1">
      <x:c r="A133" s="347" t="str">
        <x:v>C04-M056</x:v>
      </x:c>
      <x:c r="B133" s="348" t="str">
        <x:v>C04</x:v>
      </x:c>
      <x:c r="C133" s="348" t="str">
        <x:v>利耶尼亚海域</x:v>
      </x:c>
      <x:c r="D133" s="348" t="str">
        <x:v>XX392</x:v>
      </x:c>
      <x:c r="E133" s="348" t="str">
        <x:v>月痕水咒师</x:v>
      </x:c>
      <x:c r="F133" s="348" t="str">
        <x:v>稀有</x:v>
      </x:c>
      <x:c r="G133" s="348" t="str">
        <x:v>月痕咒镯</x:v>
      </x:c>
      <x:c r="H133" s="348" t="str">
        <x:v>手镯</x:v>
      </x:c>
      <x:c r="I133" s="348" t="str">
        <x:v>手镯</x:v>
      </x:c>
      <x:c r="J133" s="348" t="n">
        <x:v>6822</x:v>
      </x:c>
      <x:c r="K133" s="348" t="str">
        <x:v>预检通过资源／规划锁定／待入库</x:v>
      </x:c>
      <x:c r="L133" s="349" t="str">
        <x:v>装备资源库星渊龙息·渊辉</x:v>
      </x:c>
    </x:row>
    <x:row r="134" ht="34" customHeight="1">
      <x:c r="A134" s="347" t="str">
        <x:v>C04-M057</x:v>
      </x:c>
      <x:c r="B134" s="348" t="str">
        <x:v>C04</x:v>
      </x:c>
      <x:c r="C134" s="348" t="str">
        <x:v>利耶尼亚海域</x:v>
      </x:c>
      <x:c r="D134" s="348" t="str">
        <x:v>XX391</x:v>
      </x:c>
      <x:c r="E134" s="348" t="str">
        <x:v>渊声诱猎者</x:v>
      </x:c>
      <x:c r="F134" s="348" t="str">
        <x:v>稀有</x:v>
      </x:c>
      <x:c r="G134" s="348" t="str">
        <x:v>诱猎声坠</x:v>
      </x:c>
      <x:c r="H134" s="348" t="str">
        <x:v>项链</x:v>
      </x:c>
      <x:c r="I134" s="348" t="str">
        <x:v>项链</x:v>
      </x:c>
      <x:c r="J134" s="348" t="n">
        <x:v>6856</x:v>
      </x:c>
      <x:c r="K134" s="348" t="str">
        <x:v>预检通过资源／规划锁定／待入库</x:v>
      </x:c>
      <x:c r="L134" s="349" t="str">
        <x:v>装备资源库星渊龙息·天穹</x:v>
      </x:c>
    </x:row>
    <x:row r="135" ht="34" customHeight="1">
      <x:c r="A135" s="347" t="str">
        <x:v>C04-M058</x:v>
      </x:c>
      <x:c r="B135" s="348" t="str">
        <x:v>C04</x:v>
      </x:c>
      <x:c r="C135" s="348" t="str">
        <x:v>利耶尼亚海域</x:v>
      </x:c>
      <x:c r="D135" s="348" t="str">
        <x:v>XX391</x:v>
      </x:c>
      <x:c r="E135" s="348" t="str">
        <x:v>吞灯巨鲶</x:v>
      </x:c>
      <x:c r="F135" s="348" t="str">
        <x:v>稀有</x:v>
      </x:c>
      <x:c r="G135" s="348" t="str">
        <x:v>吞灯牙戒</x:v>
      </x:c>
      <x:c r="H135" s="348" t="str">
        <x:v>戒指</x:v>
      </x:c>
      <x:c r="I135" s="348" t="str">
        <x:v>戒指</x:v>
      </x:c>
      <x:c r="J135" s="348" t="n">
        <x:v>6858</x:v>
      </x:c>
      <x:c r="K135" s="348" t="str">
        <x:v>预检通过资源／规划锁定／待入库</x:v>
      </x:c>
      <x:c r="L135" s="349" t="str">
        <x:v>装备资源库星渊龙息·天穹</x:v>
      </x:c>
    </x:row>
    <x:row r="136" ht="34" customHeight="1">
      <x:c r="A136" s="347" t="str">
        <x:v>C04-M059</x:v>
      </x:c>
      <x:c r="B136" s="348" t="str">
        <x:v>C04</x:v>
      </x:c>
      <x:c r="C136" s="348" t="str">
        <x:v>利耶尼亚海域</x:v>
      </x:c>
      <x:c r="D136" s="348" t="str">
        <x:v>XX392</x:v>
      </x:c>
      <x:c r="E136" s="348" t="str">
        <x:v>暗河剑师·罗缇</x:v>
      </x:c>
      <x:c r="F136" s="348" t="str">
        <x:v>地图BOSS</x:v>
      </x:c>
      <x:c r="G136" s="348" t="str">
        <x:v>罗缇的回流剑</x:v>
      </x:c>
      <x:c r="H136" s="348" t="str">
        <x:v>武器</x:v>
      </x:c>
      <x:c r="I136" s="348" t="str">
        <x:v>武器</x:v>
      </x:c>
      <x:c r="J136" s="348" t="n">
        <x:v>6781</x:v>
      </x:c>
      <x:c r="K136" s="348" t="str">
        <x:v>预检通过资源／规划锁定／待入库</x:v>
      </x:c>
      <x:c r="L136" s="349" t="str">
        <x:v>装备资源库星渊龙息·龙鳞</x:v>
      </x:c>
    </x:row>
    <x:row r="137" ht="34" customHeight="1">
      <x:c r="A137" s="347" t="str">
        <x:v>C04-M060</x:v>
      </x:c>
      <x:c r="B137" s="348" t="str">
        <x:v>C04</x:v>
      </x:c>
      <x:c r="C137" s="348" t="str">
        <x:v>利耶尼亚海域</x:v>
      </x:c>
      <x:c r="D137" s="348" t="str">
        <x:v>XX391</x:v>
      </x:c>
      <x:c r="E137" s="348" t="str">
        <x:v>渊口老蛟·涅珈</x:v>
      </x:c>
      <x:c r="F137" s="348" t="str">
        <x:v>地图BOSS</x:v>
      </x:c>
      <x:c r="G137" s="348" t="str">
        <x:v>涅珈镇渊衣</x:v>
      </x:c>
      <x:c r="H137" s="348" t="str">
        <x:v>衣服</x:v>
      </x:c>
      <x:c r="I137" s="348" t="str">
        <x:v>男衣服（现行模板的衣服映射）</x:v>
      </x:c>
      <x:c r="J137" s="348" t="n">
        <x:v>6782</x:v>
      </x:c>
      <x:c r="K137" s="348" t="str">
        <x:v>预检通过资源／规划锁定／待入库</x:v>
      </x:c>
      <x:c r="L137" s="349" t="str">
        <x:v>按现行装备模板映射男衣服StdMode10；星渊龙息·龙鳞</x:v>
      </x:c>
    </x:row>
    <x:row r="138" ht="34" customHeight="1">
      <x:c r="A138" s="347" t="str">
        <x:v>C04-M061</x:v>
      </x:c>
      <x:c r="B138" s="348" t="str">
        <x:v>C04</x:v>
      </x:c>
      <x:c r="C138" s="348" t="str">
        <x:v>利耶尼亚海域</x:v>
      </x:c>
      <x:c r="D138" s="348" t="str">
        <x:v>XX368</x:v>
      </x:c>
      <x:c r="E138" s="348" t="str">
        <x:v>摸壁潜行者</x:v>
      </x:c>
      <x:c r="F138" s="348" t="str">
        <x:v>普通</x:v>
      </x:c>
      <x:c r="G138" s="348" t="str">
        <x:v>潜壁短钩</x:v>
      </x:c>
      <x:c r="H138" s="348" t="str">
        <x:v>武器</x:v>
      </x:c>
      <x:c r="I138" s="348" t="str">
        <x:v>武器</x:v>
      </x:c>
      <x:c r="J138" s="348"/>
      <x:c r="K138" s="348" t="str">
        <x:v>缺武器来源码</x:v>
      </x:c>
      <x:c r="L138" s="349" t="str">
        <x:v>需补同部位Items/StateItem/DnItems三库同码资源</x:v>
      </x:c>
    </x:row>
    <x:row r="139" ht="34" customHeight="1">
      <x:c r="A139" s="347" t="str">
        <x:v>C04-M062</x:v>
      </x:c>
      <x:c r="B139" s="348" t="str">
        <x:v>C04</x:v>
      </x:c>
      <x:c r="C139" s="348" t="str">
        <x:v>利耶尼亚海域</x:v>
      </x:c>
      <x:c r="D139" s="348" t="str">
        <x:v>XX368</x:v>
      </x:c>
      <x:c r="E139" s="348" t="str">
        <x:v>砾壳穴龟</x:v>
      </x:c>
      <x:c r="F139" s="348" t="str">
        <x:v>普通</x:v>
      </x:c>
      <x:c r="G139" s="348" t="str">
        <x:v>穴龟石盾</x:v>
      </x:c>
      <x:c r="H139" s="348" t="str">
        <x:v>盾牌</x:v>
      </x:c>
      <x:c r="I139" s="348" t="str">
        <x:v>盾牌</x:v>
      </x:c>
      <x:c r="J139" s="348" t="n">
        <x:v>6790</x:v>
      </x:c>
      <x:c r="K139" s="348" t="str">
        <x:v>预检通过资源／规划锁定／待入库</x:v>
      </x:c>
      <x:c r="L139" s="349" t="str">
        <x:v>装备资源库星渊龙息·龙鳞</x:v>
      </x:c>
    </x:row>
    <x:row r="140" ht="34" customHeight="1">
      <x:c r="A140" s="347" t="str">
        <x:v>C04-M063</x:v>
      </x:c>
      <x:c r="B140" s="348" t="str">
        <x:v>C04</x:v>
      </x:c>
      <x:c r="C140" s="348" t="str">
        <x:v>利耶尼亚海域</x:v>
      </x:c>
      <x:c r="D140" s="348" t="str">
        <x:v>XX382</x:v>
      </x:c>
      <x:c r="E140" s="348" t="str">
        <x:v>暗渠滤水蚌</x:v>
      </x:c>
      <x:c r="F140" s="348" t="str">
        <x:v>普通</x:v>
      </x:c>
      <x:c r="G140" s="348" t="str">
        <x:v>滤水蚌盔</x:v>
      </x:c>
      <x:c r="H140" s="348" t="str">
        <x:v>头盔</x:v>
      </x:c>
      <x:c r="I140" s="348" t="str">
        <x:v>头盔</x:v>
      </x:c>
      <x:c r="J140" s="348" t="n">
        <x:v>6889</x:v>
      </x:c>
      <x:c r="K140" s="348" t="str">
        <x:v>预检通过资源／规划锁定／待入库</x:v>
      </x:c>
      <x:c r="L140" s="349" t="str">
        <x:v>装备资源库星渊龙息·无垠</x:v>
      </x:c>
    </x:row>
    <x:row r="141" ht="34" customHeight="1">
      <x:c r="A141" s="347" t="str">
        <x:v>C04-M064</x:v>
      </x:c>
      <x:c r="B141" s="348" t="str">
        <x:v>C04</x:v>
      </x:c>
      <x:c r="C141" s="348" t="str">
        <x:v>利耶尼亚海域</x:v>
      </x:c>
      <x:c r="D141" s="348" t="str">
        <x:v>XX382</x:v>
      </x:c>
      <x:c r="E141" s="348" t="str">
        <x:v>锈闸守渠人</x:v>
      </x:c>
      <x:c r="F141" s="348" t="str">
        <x:v>普通</x:v>
      </x:c>
      <x:c r="G141" s="348" t="str">
        <x:v>守渠锈衣</x:v>
      </x:c>
      <x:c r="H141" s="348" t="str">
        <x:v>衣服</x:v>
      </x:c>
      <x:c r="I141" s="348" t="str">
        <x:v>男衣服（现行模板的衣服映射）</x:v>
      </x:c>
      <x:c r="J141" s="348"/>
      <x:c r="K141" s="348" t="str">
        <x:v>缺衣服来源码</x:v>
      </x:c>
      <x:c r="L141" s="349" t="str">
        <x:v>需补男衣服StdMode10的三库同码资源；女衣服码未获准合池</x:v>
      </x:c>
    </x:row>
    <x:row r="142" ht="34" customHeight="1">
      <x:c r="A142" s="347" t="str">
        <x:v>C04-M065</x:v>
      </x:c>
      <x:c r="B142" s="348" t="str">
        <x:v>C04</x:v>
      </x:c>
      <x:c r="C142" s="348" t="str">
        <x:v>利耶尼亚海域</x:v>
      </x:c>
      <x:c r="D142" s="348" t="str">
        <x:v>XX369</x:v>
      </x:c>
      <x:c r="E142" s="348" t="str">
        <x:v>秘室灯笼鱼</x:v>
      </x:c>
      <x:c r="F142" s="348" t="str">
        <x:v>普通</x:v>
      </x:c>
      <x:c r="G142" s="348" t="str">
        <x:v>幽灯鱼坠</x:v>
      </x:c>
      <x:c r="H142" s="348" t="str">
        <x:v>项链</x:v>
      </x:c>
      <x:c r="I142" s="348" t="str">
        <x:v>项链</x:v>
      </x:c>
      <x:c r="J142" s="348" t="n">
        <x:v>6891</x:v>
      </x:c>
      <x:c r="K142" s="348" t="str">
        <x:v>预检通过资源／规划锁定／待入库</x:v>
      </x:c>
      <x:c r="L142" s="349" t="str">
        <x:v>装备资源库星渊龙息·无垠</x:v>
      </x:c>
    </x:row>
    <x:row r="143" ht="34" customHeight="1">
      <x:c r="A143" s="347" t="str">
        <x:v>C04-M066</x:v>
      </x:c>
      <x:c r="B143" s="348" t="str">
        <x:v>C04</x:v>
      </x:c>
      <x:c r="C143" s="348" t="str">
        <x:v>利耶尼亚海域</x:v>
      </x:c>
      <x:c r="D143" s="348" t="str">
        <x:v>XX369</x:v>
      </x:c>
      <x:c r="E143" s="348" t="str">
        <x:v>封门泥塑</x:v>
      </x:c>
      <x:c r="F143" s="348" t="str">
        <x:v>普通</x:v>
      </x:c>
      <x:c r="G143" s="348" t="str">
        <x:v>封门泥履</x:v>
      </x:c>
      <x:c r="H143" s="348" t="str">
        <x:v>鞋子</x:v>
      </x:c>
      <x:c r="I143" s="348" t="str">
        <x:v>鞋子</x:v>
      </x:c>
      <x:c r="J143" s="348" t="n">
        <x:v>6827</x:v>
      </x:c>
      <x:c r="K143" s="348" t="str">
        <x:v>预检通过资源／规划锁定／待入库</x:v>
      </x:c>
      <x:c r="L143" s="349" t="str">
        <x:v>装备资源库星渊龙息·渊辉</x:v>
      </x:c>
    </x:row>
    <x:row r="144" ht="34" customHeight="1">
      <x:c r="A144" s="347" t="str">
        <x:v>C04-M067</x:v>
      </x:c>
      <x:c r="B144" s="348" t="str">
        <x:v>C04</x:v>
      </x:c>
      <x:c r="C144" s="348" t="str">
        <x:v>利耶尼亚海域</x:v>
      </x:c>
      <x:c r="D144" s="348" t="str">
        <x:v>XX368</x:v>
      </x:c>
      <x:c r="E144" s="348" t="str">
        <x:v>回声盗墓客</x:v>
      </x:c>
      <x:c r="F144" s="348" t="str">
        <x:v>稀有</x:v>
      </x:c>
      <x:c r="G144" s="348" t="str">
        <x:v>回声盗墓笠</x:v>
      </x:c>
      <x:c r="H144" s="348" t="str">
        <x:v>斗笠</x:v>
      </x:c>
      <x:c r="I144" s="348" t="str">
        <x:v>面巾（位置13，对应斗笠）</x:v>
      </x:c>
      <x:c r="J144" s="348" t="n">
        <x:v>6610</x:v>
      </x:c>
      <x:c r="K144" s="348" t="str">
        <x:v>预检通过资源／规划锁定／待入库</x:v>
      </x:c>
      <x:c r="L144" s="349" t="str">
        <x:v>StdMode16/位置13；血月荆棘·荆冠</x:v>
      </x:c>
    </x:row>
    <x:row r="145" ht="34" customHeight="1">
      <x:c r="A145" s="347" t="str">
        <x:v>C04-M068</x:v>
      </x:c>
      <x:c r="B145" s="348" t="str">
        <x:v>C04</x:v>
      </x:c>
      <x:c r="C145" s="348" t="str">
        <x:v>利耶尼亚海域</x:v>
      </x:c>
      <x:c r="D145" s="348" t="str">
        <x:v>XX382</x:v>
      </x:c>
      <x:c r="E145" s="348" t="str">
        <x:v>暗渠缚链僧</x:v>
      </x:c>
      <x:c r="F145" s="348" t="str">
        <x:v>稀有</x:v>
      </x:c>
      <x:c r="G145" s="348" t="str">
        <x:v>缚链僧镯</x:v>
      </x:c>
      <x:c r="H145" s="348" t="str">
        <x:v>手镯</x:v>
      </x:c>
      <x:c r="I145" s="348" t="str">
        <x:v>手镯</x:v>
      </x:c>
      <x:c r="J145" s="348" t="n">
        <x:v>6857</x:v>
      </x:c>
      <x:c r="K145" s="348" t="str">
        <x:v>预检通过资源／规划锁定／待入库</x:v>
      </x:c>
      <x:c r="L145" s="349" t="str">
        <x:v>装备资源库星渊龙息·天穹</x:v>
      </x:c>
    </x:row>
    <x:row r="146" ht="34" customHeight="1">
      <x:c r="A146" s="347" t="str">
        <x:v>C04-M069</x:v>
      </x:c>
      <x:c r="B146" s="348" t="str">
        <x:v>C04</x:v>
      </x:c>
      <x:c r="C146" s="348" t="str">
        <x:v>利耶尼亚海域</x:v>
      </x:c>
      <x:c r="D146" s="348" t="str">
        <x:v>XX369</x:v>
      </x:c>
      <x:c r="E146" s="348" t="str">
        <x:v>抱钥湖尸</x:v>
      </x:c>
      <x:c r="F146" s="348" t="str">
        <x:v>稀有</x:v>
      </x:c>
      <x:c r="G146" s="348" t="str">
        <x:v>湖尸钥戒</x:v>
      </x:c>
      <x:c r="H146" s="348" t="str">
        <x:v>戒指</x:v>
      </x:c>
      <x:c r="I146" s="348" t="str">
        <x:v>戒指</x:v>
      </x:c>
      <x:c r="J146" s="348" t="n">
        <x:v>6893</x:v>
      </x:c>
      <x:c r="K146" s="348" t="str">
        <x:v>预检通过资源／规划锁定／待入库</x:v>
      </x:c>
      <x:c r="L146" s="349" t="str">
        <x:v>装备资源库星渊龙息·无垠</x:v>
      </x:c>
    </x:row>
    <x:row r="147" ht="34" customHeight="1">
      <x:c r="A147" s="347" t="str">
        <x:v>C04-M070</x:v>
      </x:c>
      <x:c r="B147" s="348" t="str">
        <x:v>C04</x:v>
      </x:c>
      <x:c r="C147" s="348" t="str">
        <x:v>利耶尼亚海域</x:v>
      </x:c>
      <x:c r="D147" s="348" t="str">
        <x:v>XX369</x:v>
      </x:c>
      <x:c r="E147" s="348" t="str">
        <x:v>噬门泥怪</x:v>
      </x:c>
      <x:c r="F147" s="348" t="str">
        <x:v>稀有</x:v>
      </x:c>
      <x:c r="G147" s="348" t="str">
        <x:v>泥膜束带</x:v>
      </x:c>
      <x:c r="H147" s="348" t="str">
        <x:v>腰带</x:v>
      </x:c>
      <x:c r="I147" s="348" t="str">
        <x:v>腰带</x:v>
      </x:c>
      <x:c r="J147" s="348" t="n">
        <x:v>6758</x:v>
      </x:c>
      <x:c r="K147" s="348" t="str">
        <x:v>预检通过资源／规划锁定／待入库</x:v>
      </x:c>
      <x:c r="L147" s="349" t="str">
        <x:v>装备资源库星渊龙息·星痕</x:v>
      </x:c>
    </x:row>
    <x:row r="148" ht="34" customHeight="1">
      <x:c r="A148" s="347" t="str">
        <x:v>C04-M071</x:v>
      </x:c>
      <x:c r="B148" s="348" t="str">
        <x:v>C04</x:v>
      </x:c>
      <x:c r="C148" s="348" t="str">
        <x:v>利耶尼亚海域</x:v>
      </x:c>
      <x:c r="D148" s="348" t="str">
        <x:v>XX382</x:v>
      </x:c>
      <x:c r="E148" s="348" t="str">
        <x:v>沉渠守誓者·阿涅</x:v>
      </x:c>
      <x:c r="F148" s="348" t="str">
        <x:v>地图BOSS</x:v>
      </x:c>
      <x:c r="G148" s="348" t="str">
        <x:v>阿涅的誓渠枪</x:v>
      </x:c>
      <x:c r="H148" s="348" t="str">
        <x:v>武器</x:v>
      </x:c>
      <x:c r="I148" s="348" t="str">
        <x:v>武器</x:v>
      </x:c>
      <x:c r="J148" s="348" t="n">
        <x:v>6816</x:v>
      </x:c>
      <x:c r="K148" s="348" t="str">
        <x:v>预检通过资源／规划锁定／待入库</x:v>
      </x:c>
      <x:c r="L148" s="349" t="str">
        <x:v>装备资源库星渊龙息·渊辉</x:v>
      </x:c>
    </x:row>
    <x:row r="149" ht="34" customHeight="1">
      <x:c r="A149" s="347" t="str">
        <x:v>C04-M072</x:v>
      </x:c>
      <x:c r="B149" s="348" t="str">
        <x:v>C04</x:v>
      </x:c>
      <x:c r="C149" s="348" t="str">
        <x:v>利耶尼亚海域</x:v>
      </x:c>
      <x:c r="D149" s="348" t="str">
        <x:v>XX369</x:v>
      </x:c>
      <x:c r="E149" s="348" t="str">
        <x:v>封室水镜姬·弥洛</x:v>
      </x:c>
      <x:c r="F149" s="348" t="str">
        <x:v>地图BOSS</x:v>
      </x:c>
      <x:c r="G149" s="348" t="str">
        <x:v>弥洛镜水衣</x:v>
      </x:c>
      <x:c r="H149" s="348" t="str">
        <x:v>衣服</x:v>
      </x:c>
      <x:c r="I149" s="348" t="str">
        <x:v>男衣服（现行模板的衣服映射）</x:v>
      </x:c>
      <x:c r="J149" s="348" t="n">
        <x:v>6817</x:v>
      </x:c>
      <x:c r="K149" s="348" t="str">
        <x:v>预检通过资源／规划锁定／待入库</x:v>
      </x:c>
      <x:c r="L149" s="349" t="str">
        <x:v>按现行装备模板映射男衣服StdMode10；星渊龙息·渊辉</x:v>
      </x:c>
    </x:row>
    <x:row r="150" ht="34" customHeight="1">
      <x:c r="A150" s="347" t="str">
        <x:v>C04-M073</x:v>
      </x:c>
      <x:c r="B150" s="348" t="str">
        <x:v>C04</x:v>
      </x:c>
      <x:c r="C150" s="348" t="str">
        <x:v>利耶尼亚海域</x:v>
      </x:c>
      <x:c r="D150" s="348" t="str">
        <x:v>XX369</x:v>
      </x:c>
      <x:c r="E150" s="348" t="str">
        <x:v>闭潮王·莱弥恩</x:v>
      </x:c>
      <x:c r="F150" s="348" t="str">
        <x:v>守关BOSS</x:v>
      </x:c>
      <x:c r="G150" s="348" t="str">
        <x:v>莱弥恩的封湖巨剑</x:v>
      </x:c>
      <x:c r="H150" s="348" t="str">
        <x:v>武器</x:v>
      </x:c>
      <x:c r="I150" s="348" t="str">
        <x:v>武器</x:v>
      </x:c>
      <x:c r="J150" s="348" t="n">
        <x:v>6851</x:v>
      </x:c>
      <x:c r="K150" s="348" t="str">
        <x:v>预检通过资源／规划锁定／待入库</x:v>
      </x:c>
      <x:c r="L150" s="349" t="str">
        <x:v>装备资源库星渊龙息·天穹</x:v>
      </x:c>
    </x:row>
    <x:row r="151" ht="34" customHeight="1">
      <x:c r="A151" s="347" t="str">
        <x:v>C05-M001</x:v>
      </x:c>
      <x:c r="B151" s="348" t="str">
        <x:v>C05</x:v>
      </x:c>
      <x:c r="C151" s="348" t="str">
        <x:v>湖之利耶尼亚</x:v>
      </x:c>
      <x:c r="D151" s="348" t="str">
        <x:v>XX338</x:v>
      </x:c>
      <x:c r="E151" s="348" t="str">
        <x:v>雾汐游魂</x:v>
      </x:c>
      <x:c r="F151" s="348" t="str">
        <x:v>普通</x:v>
      </x:c>
      <x:c r="G151" s="348" t="str">
        <x:v>雾汐踏波履</x:v>
      </x:c>
      <x:c r="H151" s="348" t="str">
        <x:v>鞋子</x:v>
      </x:c>
      <x:c r="I151" s="348" t="str">
        <x:v>鞋子</x:v>
      </x:c>
      <x:c r="J151" s="348" t="n">
        <x:v>6862</x:v>
      </x:c>
      <x:c r="K151" s="348" t="str">
        <x:v>预检通过资源／规划锁定／待入库</x:v>
      </x:c>
      <x:c r="L151" s="349" t="str">
        <x:v>装备资源库星渊龙息·天穹</x:v>
      </x:c>
    </x:row>
    <x:row r="152" ht="34" customHeight="1">
      <x:c r="A152" s="347" t="str">
        <x:v>C05-M002</x:v>
      </x:c>
      <x:c r="B152" s="348" t="str">
        <x:v>C05</x:v>
      </x:c>
      <x:c r="C152" s="348" t="str">
        <x:v>湖之利耶尼亚</x:v>
      </x:c>
      <x:c r="D152" s="348" t="str">
        <x:v>XX338</x:v>
      </x:c>
      <x:c r="E152" s="348" t="str">
        <x:v>水庭苔甲蟹</x:v>
      </x:c>
      <x:c r="F152" s="348" t="str">
        <x:v>普通</x:v>
      </x:c>
      <x:c r="G152" s="348" t="str">
        <x:v>苔纹潮壳盾</x:v>
      </x:c>
      <x:c r="H152" s="348" t="str">
        <x:v>盾牌</x:v>
      </x:c>
      <x:c r="I152" s="348" t="str">
        <x:v>盾牌</x:v>
      </x:c>
      <x:c r="J152" s="348" t="n">
        <x:v>6825</x:v>
      </x:c>
      <x:c r="K152" s="348" t="str">
        <x:v>预检通过资源／规划锁定／待入库</x:v>
      </x:c>
      <x:c r="L152" s="349" t="str">
        <x:v>装备资源库星渊龙息·渊辉</x:v>
      </x:c>
    </x:row>
    <x:row r="153" ht="34" customHeight="1">
      <x:c r="A153" s="347" t="str">
        <x:v>C05-M003</x:v>
      </x:c>
      <x:c r="B153" s="348" t="str">
        <x:v>C05</x:v>
      </x:c>
      <x:c r="C153" s="348" t="str">
        <x:v>湖之利耶尼亚</x:v>
      </x:c>
      <x:c r="D153" s="348" t="str">
        <x:v>XX339</x:v>
      </x:c>
      <x:c r="E153" s="348" t="str">
        <x:v>月雾提灯侍</x:v>
      </x:c>
      <x:c r="F153" s="348" t="str">
        <x:v>普通</x:v>
      </x:c>
      <x:c r="G153" s="348" t="str">
        <x:v>月翳提灯笠</x:v>
      </x:c>
      <x:c r="H153" s="348" t="str">
        <x:v>斗笠</x:v>
      </x:c>
      <x:c r="I153" s="348" t="str">
        <x:v>面巾（位置13，对应斗笠）</x:v>
      </x:c>
      <x:c r="J153" s="348"/>
      <x:c r="K153" s="348" t="str">
        <x:v>缺斗笠来源码</x:v>
      </x:c>
      <x:c r="L153" s="349" t="str">
        <x:v>需补StdMode16/位置13的三库同码资源</x:v>
      </x:c>
    </x:row>
    <x:row r="154" ht="34" customHeight="1">
      <x:c r="A154" s="347" t="str">
        <x:v>C05-M004</x:v>
      </x:c>
      <x:c r="B154" s="348" t="str">
        <x:v>C05</x:v>
      </x:c>
      <x:c r="C154" s="348" t="str">
        <x:v>湖之利耶尼亚</x:v>
      </x:c>
      <x:c r="D154" s="348" t="str">
        <x:v>XX339</x:v>
      </x:c>
      <x:c r="E154" s="348" t="str">
        <x:v>回廊凝露蛾</x:v>
      </x:c>
      <x:c r="F154" s="348" t="str">
        <x:v>普通</x:v>
      </x:c>
      <x:c r="G154" s="348" t="str">
        <x:v>凝露蛾月坠</x:v>
      </x:c>
      <x:c r="H154" s="348" t="str">
        <x:v>项链</x:v>
      </x:c>
      <x:c r="I154" s="348" t="str">
        <x:v>项链</x:v>
      </x:c>
      <x:c r="J154" s="348" t="n">
        <x:v>6926</x:v>
      </x:c>
      <x:c r="K154" s="348" t="str">
        <x:v>预检通过资源／规划锁定／待入库</x:v>
      </x:c>
      <x:c r="L154" s="349" t="str">
        <x:v>装备资源库翠焰冥契·幽焰</x:v>
      </x:c>
    </x:row>
    <x:row r="155" ht="34" customHeight="1">
      <x:c r="A155" s="347" t="str">
        <x:v>C05-M005</x:v>
      </x:c>
      <x:c r="B155" s="348" t="str">
        <x:v>C05</x:v>
      </x:c>
      <x:c r="C155" s="348" t="str">
        <x:v>湖之利耶尼亚</x:v>
      </x:c>
      <x:c r="D155" s="348" t="str">
        <x:v>XX331</x:v>
      </x:c>
      <x:c r="E155" s="348" t="str">
        <x:v>静月执盏者</x:v>
      </x:c>
      <x:c r="F155" s="348" t="str">
        <x:v>普通</x:v>
      </x:c>
      <x:c r="G155" s="348" t="str">
        <x:v>静盏银纹镯</x:v>
      </x:c>
      <x:c r="H155" s="348" t="str">
        <x:v>手镯</x:v>
      </x:c>
      <x:c r="I155" s="348" t="str">
        <x:v>手镯</x:v>
      </x:c>
      <x:c r="J155" s="348" t="n">
        <x:v>6892</x:v>
      </x:c>
      <x:c r="K155" s="348" t="str">
        <x:v>预检通过资源／规划锁定／待入库</x:v>
      </x:c>
      <x:c r="L155" s="349" t="str">
        <x:v>装备资源库星渊龙息·无垠</x:v>
      </x:c>
    </x:row>
    <x:row r="156" ht="34" customHeight="1">
      <x:c r="A156" s="347" t="str">
        <x:v>C05-M006</x:v>
      </x:c>
      <x:c r="B156" s="348" t="str">
        <x:v>C05</x:v>
      </x:c>
      <x:c r="C156" s="348" t="str">
        <x:v>湖之利耶尼亚</x:v>
      </x:c>
      <x:c r="D156" s="348" t="str">
        <x:v>XX331</x:v>
      </x:c>
      <x:c r="E156" s="348" t="str">
        <x:v>祭庭涟影</x:v>
      </x:c>
      <x:c r="F156" s="348" t="str">
        <x:v>普通</x:v>
      </x:c>
      <x:c r="G156" s="348" t="str">
        <x:v>涟影回波戒</x:v>
      </x:c>
      <x:c r="H156" s="348" t="str">
        <x:v>戒指</x:v>
      </x:c>
      <x:c r="I156" s="348" t="str">
        <x:v>戒指</x:v>
      </x:c>
      <x:c r="J156" s="348" t="n">
        <x:v>6928</x:v>
      </x:c>
      <x:c r="K156" s="348" t="str">
        <x:v>预检通过资源／规划锁定／待入库</x:v>
      </x:c>
      <x:c r="L156" s="349" t="str">
        <x:v>装备资源库翠焰冥契·幽焰</x:v>
      </x:c>
    </x:row>
    <x:row r="157" ht="34" customHeight="1">
      <x:c r="A157" s="347" t="str">
        <x:v>C05-M007</x:v>
      </x:c>
      <x:c r="B157" s="348" t="str">
        <x:v>C05</x:v>
      </x:c>
      <x:c r="C157" s="348" t="str">
        <x:v>湖之利耶尼亚</x:v>
      </x:c>
      <x:c r="D157" s="348" t="str">
        <x:v>XX338</x:v>
      </x:c>
      <x:c r="E157" s="348" t="str">
        <x:v>银雾汲月兽</x:v>
      </x:c>
      <x:c r="F157" s="348" t="str">
        <x:v>稀有</x:v>
      </x:c>
      <x:c r="G157" s="348" t="str">
        <x:v>汲月雾绦</x:v>
      </x:c>
      <x:c r="H157" s="348" t="str">
        <x:v>腰带</x:v>
      </x:c>
      <x:c r="I157" s="348" t="str">
        <x:v>腰带</x:v>
      </x:c>
      <x:c r="J157" s="348" t="n">
        <x:v>6793</x:v>
      </x:c>
      <x:c r="K157" s="348" t="str">
        <x:v>预检通过资源／规划锁定／待入库</x:v>
      </x:c>
      <x:c r="L157" s="349" t="str">
        <x:v>装备资源库星渊龙息·龙鳞</x:v>
      </x:c>
    </x:row>
    <x:row r="158" ht="34" customHeight="1">
      <x:c r="A158" s="347" t="str">
        <x:v>C05-M008</x:v>
      </x:c>
      <x:c r="B158" s="348" t="str">
        <x:v>C05</x:v>
      </x:c>
      <x:c r="C158" s="348" t="str">
        <x:v>湖之利耶尼亚</x:v>
      </x:c>
      <x:c r="D158" s="348" t="str">
        <x:v>XX338</x:v>
      </x:c>
      <x:c r="E158" s="348" t="str">
        <x:v>镜荷守梦灵</x:v>
      </x:c>
      <x:c r="F158" s="348" t="str">
        <x:v>稀有</x:v>
      </x:c>
      <x:c r="G158" s="348" t="str">
        <x:v>镜荷眠梦冠</x:v>
      </x:c>
      <x:c r="H158" s="348" t="str">
        <x:v>头盔</x:v>
      </x:c>
      <x:c r="I158" s="348" t="str">
        <x:v>头盔</x:v>
      </x:c>
      <x:c r="J158" s="348" t="n">
        <x:v>6924</x:v>
      </x:c>
      <x:c r="K158" s="348" t="str">
        <x:v>预检通过资源／规划锁定／待入库</x:v>
      </x:c>
      <x:c r="L158" s="349" t="str">
        <x:v>装备资源库翠焰冥契·幽焰</x:v>
      </x:c>
    </x:row>
    <x:row r="159" ht="34" customHeight="1">
      <x:c r="A159" s="347" t="str">
        <x:v>C05-M009</x:v>
      </x:c>
      <x:c r="B159" s="348" t="str">
        <x:v>C05</x:v>
      </x:c>
      <x:c r="C159" s="348" t="str">
        <x:v>湖之利耶尼亚</x:v>
      </x:c>
      <x:c r="D159" s="348" t="str">
        <x:v>XX339</x:v>
      </x:c>
      <x:c r="E159" s="348" t="str">
        <x:v>月纱回声女官</x:v>
      </x:c>
      <x:c r="F159" s="348" t="str">
        <x:v>稀有</x:v>
      </x:c>
      <x:c r="G159" s="348" t="str">
        <x:v>月纱回音章</x:v>
      </x:c>
      <x:c r="H159" s="348" t="str">
        <x:v>勋章</x:v>
      </x:c>
      <x:c r="I159" s="348" t="str">
        <x:v>勋章</x:v>
      </x:c>
      <x:c r="J159" s="348" t="n">
        <x:v>6684</x:v>
      </x:c>
      <x:c r="K159" s="348" t="str">
        <x:v>预检通过资源／规划锁定／待入库</x:v>
      </x:c>
      <x:c r="L159" s="349" t="str">
        <x:v>装备资源库血月荆棘·弑王</x:v>
      </x:c>
    </x:row>
    <x:row r="160" ht="34" customHeight="1">
      <x:c r="A160" s="347" t="str">
        <x:v>C05-M010</x:v>
      </x:c>
      <x:c r="B160" s="348" t="str">
        <x:v>C05</x:v>
      </x:c>
      <x:c r="C160" s="348" t="str">
        <x:v>湖之利耶尼亚</x:v>
      </x:c>
      <x:c r="D160" s="348" t="str">
        <x:v>XX331</x:v>
      </x:c>
      <x:c r="E160" s="348" t="str">
        <x:v>静潮祷月祭司</x:v>
      </x:c>
      <x:c r="F160" s="348" t="str">
        <x:v>稀有</x:v>
      </x:c>
      <x:c r="G160" s="348" t="str">
        <x:v>静潮祷仪袍</x:v>
      </x:c>
      <x:c r="H160" s="348" t="str">
        <x:v>衣服</x:v>
      </x:c>
      <x:c r="I160" s="348" t="str">
        <x:v>男衣服（现行模板的衣服映射）</x:v>
      </x:c>
      <x:c r="J160" s="348"/>
      <x:c r="K160" s="348" t="str">
        <x:v>缺衣服来源码</x:v>
      </x:c>
      <x:c r="L160" s="349" t="str">
        <x:v>需补男衣服StdMode10的三库同码资源；女衣服码未获准合池</x:v>
      </x:c>
    </x:row>
    <x:row r="161" ht="34" customHeight="1">
      <x:c r="A161" s="347" t="str">
        <x:v>C05-M011</x:v>
      </x:c>
      <x:c r="B161" s="348" t="str">
        <x:v>C05</x:v>
      </x:c>
      <x:c r="C161" s="348" t="str">
        <x:v>湖之利耶尼亚</x:v>
      </x:c>
      <x:c r="D161" s="348" t="str">
        <x:v>XX339</x:v>
      </x:c>
      <x:c r="E161" s="348" t="str">
        <x:v>雾冠巡庭侯</x:v>
      </x:c>
      <x:c r="F161" s="348" t="str">
        <x:v>地图BOSS</x:v>
      </x:c>
      <x:c r="G161" s="348" t="str">
        <x:v>雾冠巡庭刃</x:v>
      </x:c>
      <x:c r="H161" s="348" t="str">
        <x:v>武器</x:v>
      </x:c>
      <x:c r="I161" s="348" t="str">
        <x:v>武器</x:v>
      </x:c>
      <x:c r="J161" s="348" t="n">
        <x:v>6886</x:v>
      </x:c>
      <x:c r="K161" s="348" t="str">
        <x:v>预检通过资源／规划锁定／待入库</x:v>
      </x:c>
      <x:c r="L161" s="349" t="str">
        <x:v>装备资源库星渊龙息·无垠</x:v>
      </x:c>
    </x:row>
    <x:row r="162" ht="34" customHeight="1">
      <x:c r="A162" s="347" t="str">
        <x:v>C05-M012</x:v>
      </x:c>
      <x:c r="B162" s="348" t="str">
        <x:v>C05</x:v>
      </x:c>
      <x:c r="C162" s="348" t="str">
        <x:v>湖之利耶尼亚</x:v>
      </x:c>
      <x:c r="D162" s="348" t="str">
        <x:v>XX331</x:v>
      </x:c>
      <x:c r="E162" s="348" t="str">
        <x:v>沉月镜池圣母</x:v>
      </x:c>
      <x:c r="F162" s="348" t="str">
        <x:v>地图BOSS</x:v>
      </x:c>
      <x:c r="G162" s="348" t="str">
        <x:v>沉月镜池华服</x:v>
      </x:c>
      <x:c r="H162" s="348" t="str">
        <x:v>衣服</x:v>
      </x:c>
      <x:c r="I162" s="348" t="str">
        <x:v>男衣服（现行模板的衣服映射）</x:v>
      </x:c>
      <x:c r="J162" s="348" t="n">
        <x:v>6852</x:v>
      </x:c>
      <x:c r="K162" s="348" t="str">
        <x:v>预检通过资源／规划锁定／待入库</x:v>
      </x:c>
      <x:c r="L162" s="349" t="str">
        <x:v>按现行装备模板映射男衣服StdMode10；星渊龙息·天穹</x:v>
      </x:c>
    </x:row>
    <x:row r="163" ht="34" customHeight="1">
      <x:c r="A163" s="347" t="str">
        <x:v>C05-M013</x:v>
      </x:c>
      <x:c r="B163" s="348" t="str">
        <x:v>C05</x:v>
      </x:c>
      <x:c r="C163" s="348" t="str">
        <x:v>湖之利耶尼亚</x:v>
      </x:c>
      <x:c r="D163" s="348" t="str">
        <x:v>XX812</x:v>
      </x:c>
      <x:c r="E163" s="348" t="str">
        <x:v>碎辉穴蜥</x:v>
      </x:c>
      <x:c r="F163" s="348" t="str">
        <x:v>普通</x:v>
      </x:c>
      <x:c r="G163" s="348" t="str">
        <x:v>碎辉鳞踏靴</x:v>
      </x:c>
      <x:c r="H163" s="348" t="str">
        <x:v>鞋子</x:v>
      </x:c>
      <x:c r="I163" s="348" t="str">
        <x:v>鞋子</x:v>
      </x:c>
      <x:c r="J163" s="348" t="n">
        <x:v>6897</x:v>
      </x:c>
      <x:c r="K163" s="348" t="str">
        <x:v>预检通过资源／规划锁定／待入库</x:v>
      </x:c>
      <x:c r="L163" s="349" t="str">
        <x:v>装备资源库星渊龙息·无垠</x:v>
      </x:c>
    </x:row>
    <x:row r="164" ht="34" customHeight="1">
      <x:c r="A164" s="347" t="str">
        <x:v>C05-M014</x:v>
      </x:c>
      <x:c r="B164" s="348" t="str">
        <x:v>C05</x:v>
      </x:c>
      <x:c r="C164" s="348" t="str">
        <x:v>湖之利耶尼亚</x:v>
      </x:c>
      <x:c r="D164" s="348" t="str">
        <x:v>XX812</x:v>
      </x:c>
      <x:c r="E164" s="348" t="str">
        <x:v>遗迹刻晶奴</x:v>
      </x:c>
      <x:c r="F164" s="348" t="str">
        <x:v>普通</x:v>
      </x:c>
      <x:c r="G164" s="348" t="str">
        <x:v>遗刻晶纹镯</x:v>
      </x:c>
      <x:c r="H164" s="348" t="str">
        <x:v>手镯</x:v>
      </x:c>
      <x:c r="I164" s="348" t="str">
        <x:v>手镯</x:v>
      </x:c>
      <x:c r="J164" s="348" t="n">
        <x:v>6927</x:v>
      </x:c>
      <x:c r="K164" s="348" t="str">
        <x:v>预检通过资源／规划锁定／待入库</x:v>
      </x:c>
      <x:c r="L164" s="349" t="str">
        <x:v>装备资源库翠焰冥契·幽焰</x:v>
      </x:c>
    </x:row>
    <x:row r="165" ht="34" customHeight="1">
      <x:c r="A165" s="347" t="str">
        <x:v>C05-M015</x:v>
      </x:c>
      <x:c r="B165" s="348" t="str">
        <x:v>C05</x:v>
      </x:c>
      <x:c r="C165" s="348" t="str">
        <x:v>湖之利耶尼亚</x:v>
      </x:c>
      <x:c r="D165" s="348" t="str">
        <x:v>XX815</x:v>
      </x:c>
      <x:c r="E165" s="348" t="str">
        <x:v>晶廊折光蝶</x:v>
      </x:c>
      <x:c r="F165" s="348" t="str">
        <x:v>普通</x:v>
      </x:c>
      <x:c r="G165" s="348" t="str">
        <x:v>折光翅晶链</x:v>
      </x:c>
      <x:c r="H165" s="348" t="str">
        <x:v>项链</x:v>
      </x:c>
      <x:c r="I165" s="348" t="str">
        <x:v>项链</x:v>
      </x:c>
      <x:c r="J165" s="348" t="n">
        <x:v>6961</x:v>
      </x:c>
      <x:c r="K165" s="348" t="str">
        <x:v>预检通过资源／规划锁定／待入库</x:v>
      </x:c>
      <x:c r="L165" s="349" t="str">
        <x:v>装备资源库翠焰冥契·腐痕</x:v>
      </x:c>
    </x:row>
    <x:row r="166" ht="34" customHeight="1">
      <x:c r="A166" s="347" t="str">
        <x:v>C05-M016</x:v>
      </x:c>
      <x:c r="B166" s="348" t="str">
        <x:v>C05</x:v>
      </x:c>
      <x:c r="C166" s="348" t="str">
        <x:v>湖之利耶尼亚</x:v>
      </x:c>
      <x:c r="D166" s="348" t="str">
        <x:v>XX813</x:v>
      </x:c>
      <x:c r="E166" s="348" t="str">
        <x:v>前庭砾晶守卒</x:v>
      </x:c>
      <x:c r="F166" s="348" t="str">
        <x:v>普通</x:v>
      </x:c>
      <x:c r="G166" s="348" t="str">
        <x:v>砾晶护庭盾</x:v>
      </x:c>
      <x:c r="H166" s="348" t="str">
        <x:v>盾牌</x:v>
      </x:c>
      <x:c r="I166" s="348" t="str">
        <x:v>盾牌</x:v>
      </x:c>
      <x:c r="J166" s="348" t="n">
        <x:v>6860</x:v>
      </x:c>
      <x:c r="K166" s="348" t="str">
        <x:v>预检通过资源／规划锁定／待入库</x:v>
      </x:c>
      <x:c r="L166" s="349" t="str">
        <x:v>装备资源库星渊龙息·天穹</x:v>
      </x:c>
    </x:row>
    <x:row r="167" ht="34" customHeight="1">
      <x:c r="A167" s="347" t="str">
        <x:v>C05-M017</x:v>
      </x:c>
      <x:c r="B167" s="348" t="str">
        <x:v>C05</x:v>
      </x:c>
      <x:c r="C167" s="348" t="str">
        <x:v>湖之利耶尼亚</x:v>
      </x:c>
      <x:c r="D167" s="348" t="str">
        <x:v>XX814</x:v>
      </x:c>
      <x:c r="E167" s="348" t="str">
        <x:v>内院辉壳犬</x:v>
      </x:c>
      <x:c r="F167" s="348" t="str">
        <x:v>普通</x:v>
      </x:c>
      <x:c r="G167" s="348" t="str">
        <x:v>辉壳束腰</x:v>
      </x:c>
      <x:c r="H167" s="348" t="str">
        <x:v>腰带</x:v>
      </x:c>
      <x:c r="I167" s="348" t="str">
        <x:v>腰带</x:v>
      </x:c>
      <x:c r="J167" s="348" t="n">
        <x:v>6828</x:v>
      </x:c>
      <x:c r="K167" s="348" t="str">
        <x:v>预检通过资源／规划锁定／待入库</x:v>
      </x:c>
      <x:c r="L167" s="349" t="str">
        <x:v>装备资源库星渊龙息·渊辉</x:v>
      </x:c>
    </x:row>
    <x:row r="168" ht="34" customHeight="1">
      <x:c r="A168" s="347" t="str">
        <x:v>C05-M018</x:v>
      </x:c>
      <x:c r="B168" s="348" t="str">
        <x:v>C05</x:v>
      </x:c>
      <x:c r="C168" s="348" t="str">
        <x:v>湖之利耶尼亚</x:v>
      </x:c>
      <x:c r="D168" s="348" t="str">
        <x:v>XX816</x:v>
      </x:c>
      <x:c r="E168" s="348" t="str">
        <x:v>圣坛悬晶灵</x:v>
      </x:c>
      <x:c r="F168" s="348" t="str">
        <x:v>普通</x:v>
      </x:c>
      <x:c r="G168" s="348" t="str">
        <x:v>悬晶祭辉笠</x:v>
      </x:c>
      <x:c r="H168" s="348" t="str">
        <x:v>斗笠</x:v>
      </x:c>
      <x:c r="I168" s="348" t="str">
        <x:v>面巾（位置13，对应斗笠）</x:v>
      </x:c>
      <x:c r="J168" s="348"/>
      <x:c r="K168" s="348" t="str">
        <x:v>缺斗笠来源码</x:v>
      </x:c>
      <x:c r="L168" s="349" t="str">
        <x:v>需补StdMode16/位置13的三库同码资源</x:v>
      </x:c>
    </x:row>
    <x:row r="169" ht="34" customHeight="1">
      <x:c r="A169" s="347" t="str">
        <x:v>C05-M019</x:v>
      </x:c>
      <x:c r="B169" s="348" t="str">
        <x:v>C05</x:v>
      </x:c>
      <x:c r="C169" s="348" t="str">
        <x:v>湖之利耶尼亚</x:v>
      </x:c>
      <x:c r="D169" s="348" t="str">
        <x:v>XX812</x:v>
      </x:c>
      <x:c r="E169" s="348" t="str">
        <x:v>青曜啮辉兽</x:v>
      </x:c>
      <x:c r="F169" s="348" t="str">
        <x:v>稀有</x:v>
      </x:c>
      <x:c r="G169" s="348" t="str">
        <x:v>青曜噬光戒</x:v>
      </x:c>
      <x:c r="H169" s="348" t="str">
        <x:v>戒指</x:v>
      </x:c>
      <x:c r="I169" s="348" t="str">
        <x:v>戒指</x:v>
      </x:c>
      <x:c r="J169" s="348" t="n">
        <x:v>6963</x:v>
      </x:c>
      <x:c r="K169" s="348" t="str">
        <x:v>预检通过资源／规划锁定／待入库</x:v>
      </x:c>
      <x:c r="L169" s="349" t="str">
        <x:v>装备资源库翠焰冥契·腐痕</x:v>
      </x:c>
    </x:row>
    <x:row r="170" ht="34" customHeight="1">
      <x:c r="A170" s="347" t="str">
        <x:v>C05-M020</x:v>
      </x:c>
      <x:c r="B170" s="348" t="str">
        <x:v>C05</x:v>
      </x:c>
      <x:c r="C170" s="348" t="str">
        <x:v>湖之利耶尼亚</x:v>
      </x:c>
      <x:c r="D170" s="348" t="str">
        <x:v>XX815</x:v>
      </x:c>
      <x:c r="E170" s="348" t="str">
        <x:v>棱光长廊术士</x:v>
      </x:c>
      <x:c r="F170" s="348" t="str">
        <x:v>稀有</x:v>
      </x:c>
      <x:c r="G170" s="348" t="str">
        <x:v>棱光术冠</x:v>
      </x:c>
      <x:c r="H170" s="348" t="str">
        <x:v>头盔</x:v>
      </x:c>
      <x:c r="I170" s="348" t="str">
        <x:v>头盔</x:v>
      </x:c>
      <x:c r="J170" s="348" t="n">
        <x:v>6959</x:v>
      </x:c>
      <x:c r="K170" s="348" t="str">
        <x:v>预检通过资源／规划锁定／待入库</x:v>
      </x:c>
      <x:c r="L170" s="349" t="str">
        <x:v>装备资源库翠焰冥契·腐痕</x:v>
      </x:c>
    </x:row>
    <x:row r="171" ht="34" customHeight="1">
      <x:c r="A171" s="347" t="str">
        <x:v>C05-M021</x:v>
      </x:c>
      <x:c r="B171" s="348" t="str">
        <x:v>C05</x:v>
      </x:c>
      <x:c r="C171" s="348" t="str">
        <x:v>湖之利耶尼亚</x:v>
      </x:c>
      <x:c r="D171" s="348" t="str">
        <x:v>XX813</x:v>
      </x:c>
      <x:c r="E171" s="348" t="str">
        <x:v>学院前庭晶戟卫</x:v>
      </x:c>
      <x:c r="F171" s="348" t="str">
        <x:v>稀有</x:v>
      </x:c>
      <x:c r="G171" s="348" t="str">
        <x:v>前庭晶戟勋</x:v>
      </x:c>
      <x:c r="H171" s="348" t="str">
        <x:v>勋章</x:v>
      </x:c>
      <x:c r="I171" s="348" t="str">
        <x:v>勋章</x:v>
      </x:c>
      <x:c r="J171" s="348" t="n">
        <x:v>6719</x:v>
      </x:c>
      <x:c r="K171" s="348" t="str">
        <x:v>预检通过资源／规划锁定／待入库</x:v>
      </x:c>
      <x:c r="L171" s="349" t="str">
        <x:v>装备资源库血月荆棘·血月</x:v>
      </x:c>
    </x:row>
    <x:row r="172" ht="34" customHeight="1">
      <x:c r="A172" s="347" t="str">
        <x:v>C05-M022</x:v>
      </x:c>
      <x:c r="B172" s="348" t="str">
        <x:v>C05</x:v>
      </x:c>
      <x:c r="C172" s="348" t="str">
        <x:v>湖之利耶尼亚</x:v>
      </x:c>
      <x:c r="D172" s="348" t="str">
        <x:v>XX814</x:v>
      </x:c>
      <x:c r="E172" s="348" t="str">
        <x:v>内院辉核铸像</x:v>
      </x:c>
      <x:c r="F172" s="348" t="str">
        <x:v>稀有</x:v>
      </x:c>
      <x:c r="G172" s="348" t="str">
        <x:v>辉核铸像衣</x:v>
      </x:c>
      <x:c r="H172" s="348" t="str">
        <x:v>衣服</x:v>
      </x:c>
      <x:c r="I172" s="348" t="str">
        <x:v>男衣服（现行模板的衣服映射）</x:v>
      </x:c>
      <x:c r="J172" s="348"/>
      <x:c r="K172" s="348" t="str">
        <x:v>缺衣服来源码</x:v>
      </x:c>
      <x:c r="L172" s="349" t="str">
        <x:v>需补男衣服StdMode10的三库同码资源；女衣服码未获准合池</x:v>
      </x:c>
    </x:row>
    <x:row r="173" ht="34" customHeight="1">
      <x:c r="A173" s="347" t="str">
        <x:v>C05-M023</x:v>
      </x:c>
      <x:c r="B173" s="348" t="str">
        <x:v>C05</x:v>
      </x:c>
      <x:c r="C173" s="348" t="str">
        <x:v>湖之利耶尼亚</x:v>
      </x:c>
      <x:c r="D173" s="348" t="str">
        <x:v>XX814</x:v>
      </x:c>
      <x:c r="E173" s="348" t="str">
        <x:v>裂辉古院监</x:v>
      </x:c>
      <x:c r="F173" s="348" t="str">
        <x:v>地图BOSS</x:v>
      </x:c>
      <x:c r="G173" s="348" t="str">
        <x:v>裂辉监院长戟</x:v>
      </x:c>
      <x:c r="H173" s="348" t="str">
        <x:v>武器</x:v>
      </x:c>
      <x:c r="I173" s="348" t="str">
        <x:v>武器</x:v>
      </x:c>
      <x:c r="J173" s="348"/>
      <x:c r="K173" s="348" t="str">
        <x:v>缺武器来源码</x:v>
      </x:c>
      <x:c r="L173" s="349" t="str">
        <x:v>需补同部位Items/StateItem/DnItems三库同码资源</x:v>
      </x:c>
    </x:row>
    <x:row r="174" ht="34" customHeight="1">
      <x:c r="A174" s="347" t="str">
        <x:v>C05-M024</x:v>
      </x:c>
      <x:c r="B174" s="348" t="str">
        <x:v>C05</x:v>
      </x:c>
      <x:c r="C174" s="348" t="str">
        <x:v>湖之利耶尼亚</x:v>
      </x:c>
      <x:c r="D174" s="348" t="str">
        <x:v>XX816</x:v>
      </x:c>
      <x:c r="E174" s="348" t="str">
        <x:v>万棱圣坛龙蜥</x:v>
      </x:c>
      <x:c r="F174" s="348" t="str">
        <x:v>地图BOSS</x:v>
      </x:c>
      <x:c r="G174" s="348" t="str">
        <x:v>万棱圣坛鳞衣</x:v>
      </x:c>
      <x:c r="H174" s="348" t="str">
        <x:v>衣服</x:v>
      </x:c>
      <x:c r="I174" s="348" t="str">
        <x:v>男衣服（现行模板的衣服映射）</x:v>
      </x:c>
      <x:c r="J174" s="348" t="n">
        <x:v>6887</x:v>
      </x:c>
      <x:c r="K174" s="348" t="str">
        <x:v>预检通过资源／规划锁定／待入库</x:v>
      </x:c>
      <x:c r="L174" s="349" t="str">
        <x:v>按现行装备模板映射男衣服StdMode10；星渊龙息·无垠</x:v>
      </x:c>
    </x:row>
    <x:row r="175" ht="34" customHeight="1">
      <x:c r="A175" s="347" t="str">
        <x:v>C05-M025</x:v>
      </x:c>
      <x:c r="B175" s="348" t="str">
        <x:v>C05</x:v>
      </x:c>
      <x:c r="C175" s="348" t="str">
        <x:v>湖之利耶尼亚</x:v>
      </x:c>
      <x:c r="D175" s="348" t="str">
        <x:v>XX1053</x:v>
      </x:c>
      <x:c r="E175" s="348" t="str">
        <x:v>墨羽抄录仆</x:v>
      </x:c>
      <x:c r="F175" s="348" t="str">
        <x:v>普通</x:v>
      </x:c>
      <x:c r="G175" s="348" t="str">
        <x:v>墨羽校录笠</x:v>
      </x:c>
      <x:c r="H175" s="348" t="str">
        <x:v>斗笠</x:v>
      </x:c>
      <x:c r="I175" s="348" t="str">
        <x:v>面巾（位置13，对应斗笠）</x:v>
      </x:c>
      <x:c r="J175" s="348"/>
      <x:c r="K175" s="348" t="str">
        <x:v>缺斗笠来源码</x:v>
      </x:c>
      <x:c r="L175" s="349" t="str">
        <x:v>需补StdMode16/位置13的三库同码资源</x:v>
      </x:c>
    </x:row>
    <x:row r="176" ht="34" customHeight="1">
      <x:c r="A176" s="347" t="str">
        <x:v>C05-M026</x:v>
      </x:c>
      <x:c r="B176" s="348" t="str">
        <x:v>C05</x:v>
      </x:c>
      <x:c r="C176" s="348" t="str">
        <x:v>湖之利耶尼亚</x:v>
      </x:c>
      <x:c r="D176" s="348" t="str">
        <x:v>XX1053</x:v>
      </x:c>
      <x:c r="E176" s="348" t="str">
        <x:v>回廊试术生</x:v>
      </x:c>
      <x:c r="F176" s="348" t="str">
        <x:v>普通</x:v>
      </x:c>
      <x:c r="G176" s="348" t="str">
        <x:v>试术银规镯</x:v>
      </x:c>
      <x:c r="H176" s="348" t="str">
        <x:v>手镯</x:v>
      </x:c>
      <x:c r="I176" s="348" t="str">
        <x:v>手镯</x:v>
      </x:c>
      <x:c r="J176" s="348" t="n">
        <x:v>6962</x:v>
      </x:c>
      <x:c r="K176" s="348" t="str">
        <x:v>预检通过资源／规划锁定／待入库</x:v>
      </x:c>
      <x:c r="L176" s="349" t="str">
        <x:v>装备资源库翠焰冥契·腐痕</x:v>
      </x:c>
    </x:row>
    <x:row r="177" ht="34" customHeight="1">
      <x:c r="A177" s="347" t="str">
        <x:v>C05-M027</x:v>
      </x:c>
      <x:c r="B177" s="348" t="str">
        <x:v>C05</x:v>
      </x:c>
      <x:c r="C177" s="348" t="str">
        <x:v>湖之利耶尼亚</x:v>
      </x:c>
      <x:c r="D177" s="348" t="str">
        <x:v>XX1060</x:v>
      </x:c>
      <x:c r="E177" s="348" t="str">
        <x:v>封印粉笔灵</x:v>
      </x:c>
      <x:c r="F177" s="348" t="str">
        <x:v>普通</x:v>
      </x:c>
      <x:c r="G177" s="348" t="str">
        <x:v>缄印粉屑戒</x:v>
      </x:c>
      <x:c r="H177" s="348" t="str">
        <x:v>戒指</x:v>
      </x:c>
      <x:c r="I177" s="348" t="str">
        <x:v>戒指</x:v>
      </x:c>
      <x:c r="J177" s="348" t="n">
        <x:v>6998</x:v>
      </x:c>
      <x:c r="K177" s="348" t="str">
        <x:v>预检通过资源／规划锁定／待入库</x:v>
      </x:c>
      <x:c r="L177" s="349" t="str">
        <x:v>装备资源库翠焰冥契·冥契</x:v>
      </x:c>
    </x:row>
    <x:row r="178" ht="34" customHeight="1">
      <x:c r="A178" s="347" t="str">
        <x:v>C05-M028</x:v>
      </x:c>
      <x:c r="B178" s="348" t="str">
        <x:v>C05</x:v>
      </x:c>
      <x:c r="C178" s="348" t="str">
        <x:v>湖之利耶尼亚</x:v>
      </x:c>
      <x:c r="D178" s="348" t="str">
        <x:v>XX1060</x:v>
      </x:c>
      <x:c r="E178" s="348" t="str">
        <x:v>讲堂缄咒像</x:v>
      </x:c>
      <x:c r="F178" s="348" t="str">
        <x:v>普通</x:v>
      </x:c>
      <x:c r="G178" s="348" t="str">
        <x:v>缄咒讲台盾</x:v>
      </x:c>
      <x:c r="H178" s="348" t="str">
        <x:v>盾牌</x:v>
      </x:c>
      <x:c r="I178" s="348" t="str">
        <x:v>盾牌</x:v>
      </x:c>
      <x:c r="J178" s="348" t="n">
        <x:v>6895</x:v>
      </x:c>
      <x:c r="K178" s="348" t="str">
        <x:v>预检通过资源／规划锁定／待入库</x:v>
      </x:c>
      <x:c r="L178" s="349" t="str">
        <x:v>装备资源库星渊龙息·无垠</x:v>
      </x:c>
    </x:row>
    <x:row r="179" ht="34" customHeight="1">
      <x:c r="A179" s="347" t="str">
        <x:v>C05-M029</x:v>
      </x:c>
      <x:c r="B179" s="348" t="str">
        <x:v>C05</x:v>
      </x:c>
      <x:c r="C179" s="348" t="str">
        <x:v>湖之利耶尼亚</x:v>
      </x:c>
      <x:c r="D179" s="348" t="str">
        <x:v>XX1058</x:v>
      </x:c>
      <x:c r="E179" s="348" t="str">
        <x:v>密室卷轴蠹</x:v>
      </x:c>
      <x:c r="F179" s="348" t="str">
        <x:v>普通</x:v>
      </x:c>
      <x:c r="G179" s="348" t="str">
        <x:v>卷蠹轻步履</x:v>
      </x:c>
      <x:c r="H179" s="348" t="str">
        <x:v>鞋子</x:v>
      </x:c>
      <x:c r="I179" s="348" t="str">
        <x:v>鞋子</x:v>
      </x:c>
      <x:c r="J179" s="348" t="n">
        <x:v>6932</x:v>
      </x:c>
      <x:c r="K179" s="348" t="str">
        <x:v>预检通过资源／规划锁定／待入库</x:v>
      </x:c>
      <x:c r="L179" s="349" t="str">
        <x:v>装备资源库翠焰冥契·幽焰</x:v>
      </x:c>
    </x:row>
    <x:row r="180" ht="34" customHeight="1">
      <x:c r="A180" s="347" t="str">
        <x:v>C05-M030</x:v>
      </x:c>
      <x:c r="B180" s="348" t="str">
        <x:v>C05</x:v>
      </x:c>
      <x:c r="C180" s="348" t="str">
        <x:v>湖之利耶尼亚</x:v>
      </x:c>
      <x:c r="D180" s="348" t="str">
        <x:v>XX1058</x:v>
      </x:c>
      <x:c r="E180" s="348" t="str">
        <x:v>学院锁页卫</x:v>
      </x:c>
      <x:c r="F180" s="348" t="str">
        <x:v>普通</x:v>
      </x:c>
      <x:c r="G180" s="348" t="str">
        <x:v>锁页秘文链</x:v>
      </x:c>
      <x:c r="H180" s="348" t="str">
        <x:v>项链</x:v>
      </x:c>
      <x:c r="I180" s="348" t="str">
        <x:v>项链</x:v>
      </x:c>
      <x:c r="J180" s="348" t="n">
        <x:v>6996</x:v>
      </x:c>
      <x:c r="K180" s="348" t="str">
        <x:v>预检通过资源／规划锁定／待入库</x:v>
      </x:c>
      <x:c r="L180" s="349" t="str">
        <x:v>装备资源库翠焰冥契·冥契</x:v>
      </x:c>
    </x:row>
    <x:row r="181" ht="34" customHeight="1">
      <x:c r="A181" s="347" t="str">
        <x:v>C05-M031</x:v>
      </x:c>
      <x:c r="B181" s="348" t="str">
        <x:v>C05</x:v>
      </x:c>
      <x:c r="C181" s="348" t="str">
        <x:v>湖之利耶尼亚</x:v>
      </x:c>
      <x:c r="D181" s="348" t="str">
        <x:v>XX1053</x:v>
      </x:c>
      <x:c r="E181" s="348" t="str">
        <x:v>银规巡课官</x:v>
      </x:c>
      <x:c r="F181" s="348" t="str">
        <x:v>稀有</x:v>
      </x:c>
      <x:c r="G181" s="348" t="str">
        <x:v>银规巡课束带</x:v>
      </x:c>
      <x:c r="H181" s="348" t="str">
        <x:v>腰带</x:v>
      </x:c>
      <x:c r="I181" s="348" t="str">
        <x:v>腰带</x:v>
      </x:c>
      <x:c r="J181" s="348" t="n">
        <x:v>6863</x:v>
      </x:c>
      <x:c r="K181" s="348" t="str">
        <x:v>预检通过资源／规划锁定／待入库</x:v>
      </x:c>
      <x:c r="L181" s="349" t="str">
        <x:v>装备资源库星渊龙息·天穹</x:v>
      </x:c>
    </x:row>
    <x:row r="182" ht="34" customHeight="1">
      <x:c r="A182" s="347" t="str">
        <x:v>C05-M032</x:v>
      </x:c>
      <x:c r="B182" s="348" t="str">
        <x:v>C05</x:v>
      </x:c>
      <x:c r="C182" s="348" t="str">
        <x:v>湖之利耶尼亚</x:v>
      </x:c>
      <x:c r="D182" s="348" t="str">
        <x:v>XX1060</x:v>
      </x:c>
      <x:c r="E182" s="348" t="str">
        <x:v>封讲禁声师</x:v>
      </x:c>
      <x:c r="F182" s="348" t="str">
        <x:v>稀有</x:v>
      </x:c>
      <x:c r="G182" s="348" t="str">
        <x:v>禁声讲师冠</x:v>
      </x:c>
      <x:c r="H182" s="348" t="str">
        <x:v>头盔</x:v>
      </x:c>
      <x:c r="I182" s="348" t="str">
        <x:v>头盔</x:v>
      </x:c>
      <x:c r="J182" s="348" t="n">
        <x:v>6994</x:v>
      </x:c>
      <x:c r="K182" s="348" t="str">
        <x:v>预检通过资源／规划锁定／待入库</x:v>
      </x:c>
      <x:c r="L182" s="349" t="str">
        <x:v>装备资源库翠焰冥契·冥契</x:v>
      </x:c>
    </x:row>
    <x:row r="183" ht="34" customHeight="1">
      <x:c r="A183" s="347" t="str">
        <x:v>C05-M033</x:v>
      </x:c>
      <x:c r="B183" s="348" t="str">
        <x:v>C05</x:v>
      </x:c>
      <x:c r="C183" s="348" t="str">
        <x:v>湖之利耶尼亚</x:v>
      </x:c>
      <x:c r="D183" s="348" t="str">
        <x:v>XX1058</x:v>
      </x:c>
      <x:c r="E183" s="348" t="str">
        <x:v>密室倒书客</x:v>
      </x:c>
      <x:c r="F183" s="348" t="str">
        <x:v>稀有</x:v>
      </x:c>
      <x:c r="G183" s="348" t="str">
        <x:v>倒书客勋章</x:v>
      </x:c>
      <x:c r="H183" s="348" t="str">
        <x:v>勋章</x:v>
      </x:c>
      <x:c r="I183" s="348" t="str">
        <x:v>勋章</x:v>
      </x:c>
      <x:c r="J183" s="348" t="n">
        <x:v>6754</x:v>
      </x:c>
      <x:c r="K183" s="348" t="str">
        <x:v>预检通过资源／规划锁定／待入库</x:v>
      </x:c>
      <x:c r="L183" s="349" t="str">
        <x:v>装备资源库星渊龙息·星痕</x:v>
      </x:c>
    </x:row>
    <x:row r="184" ht="34" customHeight="1">
      <x:c r="A184" s="347" t="str">
        <x:v>C05-M034</x:v>
      </x:c>
      <x:c r="B184" s="348" t="str">
        <x:v>C05</x:v>
      </x:c>
      <x:c r="C184" s="348" t="str">
        <x:v>湖之利耶尼亚</x:v>
      </x:c>
      <x:c r="D184" s="348" t="str">
        <x:v>XX1058</x:v>
      </x:c>
      <x:c r="E184" s="348" t="str">
        <x:v>星墨活页兽</x:v>
      </x:c>
      <x:c r="F184" s="348" t="str">
        <x:v>稀有</x:v>
      </x:c>
      <x:c r="G184" s="348" t="str">
        <x:v>星墨活页袍</x:v>
      </x:c>
      <x:c r="H184" s="348" t="str">
        <x:v>衣服</x:v>
      </x:c>
      <x:c r="I184" s="348" t="str">
        <x:v>男衣服（现行模板的衣服映射）</x:v>
      </x:c>
      <x:c r="J184" s="348"/>
      <x:c r="K184" s="348" t="str">
        <x:v>缺衣服来源码</x:v>
      </x:c>
      <x:c r="L184" s="349" t="str">
        <x:v>需补男衣服StdMode10的三库同码资源；女衣服码未获准合池</x:v>
      </x:c>
    </x:row>
    <x:row r="185" ht="34" customHeight="1">
      <x:c r="A185" s="347" t="str">
        <x:v>C05-M035</x:v>
      </x:c>
      <x:c r="B185" s="348" t="str">
        <x:v>C05</x:v>
      </x:c>
      <x:c r="C185" s="348" t="str">
        <x:v>湖之利耶尼亚</x:v>
      </x:c>
      <x:c r="D185" s="348" t="str">
        <x:v>XX1060</x:v>
      </x:c>
      <x:c r="E185" s="348" t="str">
        <x:v>七印讲堂监</x:v>
      </x:c>
      <x:c r="F185" s="348" t="str">
        <x:v>地图BOSS</x:v>
      </x:c>
      <x:c r="G185" s="348" t="str">
        <x:v>七印讲堂法杖</x:v>
      </x:c>
      <x:c r="H185" s="348" t="str">
        <x:v>武器</x:v>
      </x:c>
      <x:c r="I185" s="348" t="str">
        <x:v>武器</x:v>
      </x:c>
      <x:c r="J185" s="348"/>
      <x:c r="K185" s="348" t="str">
        <x:v>缺武器来源码</x:v>
      </x:c>
      <x:c r="L185" s="349" t="str">
        <x:v>需补同部位Items/StateItem/DnItems三库同码资源</x:v>
      </x:c>
    </x:row>
    <x:row r="186" ht="34" customHeight="1">
      <x:c r="A186" s="347" t="str">
        <x:v>C05-M036</x:v>
      </x:c>
      <x:c r="B186" s="348" t="str">
        <x:v>C05</x:v>
      </x:c>
      <x:c r="C186" s="348" t="str">
        <x:v>湖之利耶尼亚</x:v>
      </x:c>
      <x:c r="D186" s="348" t="str">
        <x:v>XX1058</x:v>
      </x:c>
      <x:c r="E186" s="348" t="str">
        <x:v>逆页密室导师</x:v>
      </x:c>
      <x:c r="F186" s="348" t="str">
        <x:v>地图BOSS</x:v>
      </x:c>
      <x:c r="G186" s="348" t="str">
        <x:v>逆页导师长衣</x:v>
      </x:c>
      <x:c r="H186" s="348" t="str">
        <x:v>衣服</x:v>
      </x:c>
      <x:c r="I186" s="348" t="str">
        <x:v>男衣服（现行模板的衣服映射）</x:v>
      </x:c>
      <x:c r="J186" s="348" t="n">
        <x:v>6922</x:v>
      </x:c>
      <x:c r="K186" s="348" t="str">
        <x:v>预检通过资源／规划锁定／待入库</x:v>
      </x:c>
      <x:c r="L186" s="349" t="str">
        <x:v>按现行装备模板映射男衣服StdMode10；翠焰冥契·幽焰</x:v>
      </x:c>
    </x:row>
    <x:row r="187" ht="34" customHeight="1">
      <x:c r="A187" s="347" t="str">
        <x:v>C05-M037</x:v>
      </x:c>
      <x:c r="B187" s="348" t="str">
        <x:v>C05</x:v>
      </x:c>
      <x:c r="C187" s="348" t="str">
        <x:v>湖之利耶尼亚</x:v>
      </x:c>
      <x:c r="D187" s="348" t="str">
        <x:v>XX1063</x:v>
      </x:c>
      <x:c r="E187" s="348" t="str">
        <x:v>月尘理卷童</x:v>
      </x:c>
      <x:c r="F187" s="348" t="str">
        <x:v>普通</x:v>
      </x:c>
      <x:c r="G187" s="348" t="str">
        <x:v>月尘理卷履</x:v>
      </x:c>
      <x:c r="H187" s="348" t="str">
        <x:v>鞋子</x:v>
      </x:c>
      <x:c r="I187" s="348" t="str">
        <x:v>鞋子</x:v>
      </x:c>
      <x:c r="J187" s="348" t="n">
        <x:v>6967</x:v>
      </x:c>
      <x:c r="K187" s="348" t="str">
        <x:v>预检通过资源／规划锁定／待入库</x:v>
      </x:c>
      <x:c r="L187" s="349" t="str">
        <x:v>装备资源库翠焰冥契·腐痕</x:v>
      </x:c>
    </x:row>
    <x:row r="188" ht="34" customHeight="1">
      <x:c r="A188" s="347" t="str">
        <x:v>C05-M038</x:v>
      </x:c>
      <x:c r="B188" s="348" t="str">
        <x:v>C05</x:v>
      </x:c>
      <x:c r="C188" s="348" t="str">
        <x:v>湖之利耶尼亚</x:v>
      </x:c>
      <x:c r="D188" s="348" t="str">
        <x:v>XX1063</x:v>
      </x:c>
      <x:c r="E188" s="348" t="str">
        <x:v>银页栖书鸦</x:v>
      </x:c>
      <x:c r="F188" s="348" t="str">
        <x:v>普通</x:v>
      </x:c>
      <x:c r="G188" s="348" t="str">
        <x:v>银页书鸦笠</x:v>
      </x:c>
      <x:c r="H188" s="348" t="str">
        <x:v>斗笠</x:v>
      </x:c>
      <x:c r="I188" s="348" t="str">
        <x:v>面巾（位置13，对应斗笠）</x:v>
      </x:c>
      <x:c r="J188" s="348"/>
      <x:c r="K188" s="348" t="str">
        <x:v>缺斗笠来源码</x:v>
      </x:c>
      <x:c r="L188" s="349" t="str">
        <x:v>需补StdMode16/位置13的三库同码资源</x:v>
      </x:c>
    </x:row>
    <x:row r="189" ht="34" customHeight="1">
      <x:c r="A189" s="347" t="str">
        <x:v>C05-M039</x:v>
      </x:c>
      <x:c r="B189" s="348" t="str">
        <x:v>C05</x:v>
      </x:c>
      <x:c r="C189" s="348" t="str">
        <x:v>湖之利耶尼亚</x:v>
      </x:c>
      <x:c r="D189" s="348" t="str">
        <x:v>XX1065</x:v>
      </x:c>
      <x:c r="E189" s="348" t="str">
        <x:v>禁书噤语灯</x:v>
      </x:c>
      <x:c r="F189" s="348" t="str">
        <x:v>普通</x:v>
      </x:c>
      <x:c r="G189" s="348" t="str">
        <x:v>噤语灯芯坠</x:v>
      </x:c>
      <x:c r="H189" s="348" t="str">
        <x:v>项链</x:v>
      </x:c>
      <x:c r="I189" s="348" t="str">
        <x:v>项链</x:v>
      </x:c>
      <x:c r="J189" s="348" t="n">
        <x:v>7031</x:v>
      </x:c>
      <x:c r="K189" s="348" t="str">
        <x:v>预检通过资源／规划锁定／待入库</x:v>
      </x:c>
      <x:c r="L189" s="349" t="str">
        <x:v>装备资源库翠焰冥契·灾厄</x:v>
      </x:c>
    </x:row>
    <x:row r="190" ht="34" customHeight="1">
      <x:c r="A190" s="347" t="str">
        <x:v>C05-M040</x:v>
      </x:c>
      <x:c r="B190" s="348" t="str">
        <x:v>C05</x:v>
      </x:c>
      <x:c r="C190" s="348" t="str">
        <x:v>湖之利耶尼亚</x:v>
      </x:c>
      <x:c r="D190" s="348" t="str">
        <x:v>XX1065</x:v>
      </x:c>
      <x:c r="E190" s="348" t="str">
        <x:v>回廊巡卷傀</x:v>
      </x:c>
      <x:c r="F190" s="348" t="str">
        <x:v>普通</x:v>
      </x:c>
      <x:c r="G190" s="348" t="str">
        <x:v>巡卷傀书盾</x:v>
      </x:c>
      <x:c r="H190" s="348" t="str">
        <x:v>盾牌</x:v>
      </x:c>
      <x:c r="I190" s="348" t="str">
        <x:v>盾牌</x:v>
      </x:c>
      <x:c r="J190" s="348" t="n">
        <x:v>6930</x:v>
      </x:c>
      <x:c r="K190" s="348" t="str">
        <x:v>预检通过资源／规划锁定／待入库</x:v>
      </x:c>
      <x:c r="L190" s="349" t="str">
        <x:v>装备资源库翠焰冥契·幽焰</x:v>
      </x:c>
    </x:row>
    <x:row r="191" ht="34" customHeight="1">
      <x:c r="A191" s="347" t="str">
        <x:v>C05-M041</x:v>
      </x:c>
      <x:c r="B191" s="348" t="str">
        <x:v>C05</x:v>
      </x:c>
      <x:c r="C191" s="348" t="str">
        <x:v>湖之利耶尼亚</x:v>
      </x:c>
      <x:c r="D191" s="348" t="str">
        <x:v>XX1066</x:v>
      </x:c>
      <x:c r="E191" s="348" t="str">
        <x:v>藏书室墨潮蛭</x:v>
      </x:c>
      <x:c r="F191" s="348" t="str">
        <x:v>普通</x:v>
      </x:c>
      <x:c r="G191" s="348" t="str">
        <x:v>墨潮藏页镯</x:v>
      </x:c>
      <x:c r="H191" s="348" t="str">
        <x:v>手镯</x:v>
      </x:c>
      <x:c r="I191" s="348" t="str">
        <x:v>手镯</x:v>
      </x:c>
      <x:c r="J191" s="348" t="n">
        <x:v>6997</x:v>
      </x:c>
      <x:c r="K191" s="348" t="str">
        <x:v>预检通过资源／规划锁定／待入库</x:v>
      </x:c>
      <x:c r="L191" s="349" t="str">
        <x:v>装备资源库翠焰冥契·冥契</x:v>
      </x:c>
    </x:row>
    <x:row r="192" ht="34" customHeight="1">
      <x:c r="A192" s="347" t="str">
        <x:v>C05-M042</x:v>
      </x:c>
      <x:c r="B192" s="348" t="str">
        <x:v>C05</x:v>
      </x:c>
      <x:c r="C192" s="348" t="str">
        <x:v>湖之利耶尼亚</x:v>
      </x:c>
      <x:c r="D192" s="348" t="str">
        <x:v>XX1066</x:v>
      </x:c>
      <x:c r="E192" s="348" t="str">
        <x:v>满月夹页灵</x:v>
      </x:c>
      <x:c r="F192" s="348" t="str">
        <x:v>普通</x:v>
      </x:c>
      <x:c r="G192" s="348" t="str">
        <x:v>夹页月痕戒</x:v>
      </x:c>
      <x:c r="H192" s="348" t="str">
        <x:v>戒指</x:v>
      </x:c>
      <x:c r="I192" s="348" t="str">
        <x:v>戒指</x:v>
      </x:c>
      <x:c r="J192" s="348" t="n">
        <x:v>7033</x:v>
      </x:c>
      <x:c r="K192" s="348" t="str">
        <x:v>预检通过资源／规划锁定／待入库</x:v>
      </x:c>
      <x:c r="L192" s="349" t="str">
        <x:v>装备资源库翠焰冥契·灾厄</x:v>
      </x:c>
    </x:row>
    <x:row r="193" ht="34" customHeight="1">
      <x:c r="A193" s="347" t="str">
        <x:v>C05-M043</x:v>
      </x:c>
      <x:c r="B193" s="348" t="str">
        <x:v>C05</x:v>
      </x:c>
      <x:c r="C193" s="348" t="str">
        <x:v>湖之利耶尼亚</x:v>
      </x:c>
      <x:c r="D193" s="348" t="str">
        <x:v>XX1063</x:v>
      </x:c>
      <x:c r="E193" s="348" t="str">
        <x:v>月相编目师</x:v>
      </x:c>
      <x:c r="F193" s="348" t="str">
        <x:v>稀有</x:v>
      </x:c>
      <x:c r="G193" s="348" t="str">
        <x:v>月相编目束带</x:v>
      </x:c>
      <x:c r="H193" s="348" t="str">
        <x:v>腰带</x:v>
      </x:c>
      <x:c r="I193" s="348" t="str">
        <x:v>腰带</x:v>
      </x:c>
      <x:c r="J193" s="348" t="n">
        <x:v>6898</x:v>
      </x:c>
      <x:c r="K193" s="348" t="str">
        <x:v>预检通过资源／规划锁定／待入库</x:v>
      </x:c>
      <x:c r="L193" s="349" t="str">
        <x:v>装备资源库星渊龙息·无垠</x:v>
      </x:c>
    </x:row>
    <x:row r="194" ht="34" customHeight="1">
      <x:c r="A194" s="347" t="str">
        <x:v>C05-M044</x:v>
      </x:c>
      <x:c r="B194" s="348" t="str">
        <x:v>C05</x:v>
      </x:c>
      <x:c r="C194" s="348" t="str">
        <x:v>湖之利耶尼亚</x:v>
      </x:c>
      <x:c r="D194" s="348" t="str">
        <x:v>XX1065</x:v>
      </x:c>
      <x:c r="E194" s="348" t="str">
        <x:v>禁页蚀字兽</x:v>
      </x:c>
      <x:c r="F194" s="348" t="str">
        <x:v>稀有</x:v>
      </x:c>
      <x:c r="G194" s="348" t="str">
        <x:v>禁页蚀字冠</x:v>
      </x:c>
      <x:c r="H194" s="348" t="str">
        <x:v>头盔</x:v>
      </x:c>
      <x:c r="I194" s="348" t="str">
        <x:v>头盔</x:v>
      </x:c>
      <x:c r="J194" s="348" t="n">
        <x:v>7029</x:v>
      </x:c>
      <x:c r="K194" s="348" t="str">
        <x:v>预检通过资源／规划锁定／待入库</x:v>
      </x:c>
      <x:c r="L194" s="349" t="str">
        <x:v>装备资源库翠焰冥契·灾厄</x:v>
      </x:c>
    </x:row>
    <x:row r="195" ht="34" customHeight="1">
      <x:c r="A195" s="347" t="str">
        <x:v>C05-M045</x:v>
      </x:c>
      <x:c r="B195" s="348" t="str">
        <x:v>C05</x:v>
      </x:c>
      <x:c r="C195" s="348" t="str">
        <x:v>湖之利耶尼亚</x:v>
      </x:c>
      <x:c r="D195" s="348" t="str">
        <x:v>XX1066</x:v>
      </x:c>
      <x:c r="E195" s="348" t="str">
        <x:v>藏卷沉思者</x:v>
      </x:c>
      <x:c r="F195" s="348" t="str">
        <x:v>稀有</x:v>
      </x:c>
      <x:c r="G195" s="348" t="str">
        <x:v>藏卷沉思章</x:v>
      </x:c>
      <x:c r="H195" s="348" t="str">
        <x:v>勋章</x:v>
      </x:c>
      <x:c r="I195" s="348" t="str">
        <x:v>勋章</x:v>
      </x:c>
      <x:c r="J195" s="348" t="n">
        <x:v>6789</x:v>
      </x:c>
      <x:c r="K195" s="348" t="str">
        <x:v>预检通过资源／规划锁定／待入库</x:v>
      </x:c>
      <x:c r="L195" s="349" t="str">
        <x:v>装备资源库星渊龙息·龙鳞</x:v>
      </x:c>
    </x:row>
    <x:row r="196" ht="34" customHeight="1">
      <x:c r="A196" s="347" t="str">
        <x:v>C05-M046</x:v>
      </x:c>
      <x:c r="B196" s="348" t="str">
        <x:v>C05</x:v>
      </x:c>
      <x:c r="C196" s="348" t="str">
        <x:v>湖之利耶尼亚</x:v>
      </x:c>
      <x:c r="D196" s="348" t="str">
        <x:v>XX1063</x:v>
      </x:c>
      <x:c r="E196" s="348" t="str">
        <x:v>银书长尾猫</x:v>
      </x:c>
      <x:c r="F196" s="348" t="str">
        <x:v>稀有</x:v>
      </x:c>
      <x:c r="G196" s="348" t="str">
        <x:v>银书尾翎袍</x:v>
      </x:c>
      <x:c r="H196" s="348" t="str">
        <x:v>衣服</x:v>
      </x:c>
      <x:c r="I196" s="348" t="str">
        <x:v>男衣服（现行模板的衣服映射）</x:v>
      </x:c>
      <x:c r="J196" s="348"/>
      <x:c r="K196" s="348" t="str">
        <x:v>缺衣服来源码</x:v>
      </x:c>
      <x:c r="L196" s="349" t="str">
        <x:v>需补男衣服StdMode10的三库同码资源；女衣服码未获准合池</x:v>
      </x:c>
    </x:row>
    <x:row r="197" ht="34" customHeight="1">
      <x:c r="A197" s="347" t="str">
        <x:v>C05-M047</x:v>
      </x:c>
      <x:c r="B197" s="348" t="str">
        <x:v>C05</x:v>
      </x:c>
      <x:c r="C197" s="348" t="str">
        <x:v>湖之利耶尼亚</x:v>
      </x:c>
      <x:c r="D197" s="348" t="str">
        <x:v>XX1065</x:v>
      </x:c>
      <x:c r="E197" s="348" t="str">
        <x:v>无声禁典司</x:v>
      </x:c>
      <x:c r="F197" s="348" t="str">
        <x:v>地图BOSS</x:v>
      </x:c>
      <x:c r="G197" s="348" t="str">
        <x:v>无声禁典刃</x:v>
      </x:c>
      <x:c r="H197" s="348" t="str">
        <x:v>武器</x:v>
      </x:c>
      <x:c r="I197" s="348" t="str">
        <x:v>武器</x:v>
      </x:c>
      <x:c r="J197" s="348"/>
      <x:c r="K197" s="348" t="str">
        <x:v>缺武器来源码</x:v>
      </x:c>
      <x:c r="L197" s="349" t="str">
        <x:v>需补同部位Items/StateItem/DnItems三库同码资源</x:v>
      </x:c>
    </x:row>
    <x:row r="198" ht="34" customHeight="1">
      <x:c r="A198" s="347" t="str">
        <x:v>C05-M048</x:v>
      </x:c>
      <x:c r="B198" s="348" t="str">
        <x:v>C05</x:v>
      </x:c>
      <x:c r="C198" s="348" t="str">
        <x:v>湖之利耶尼亚</x:v>
      </x:c>
      <x:c r="D198" s="348" t="str">
        <x:v>XX1066</x:v>
      </x:c>
      <x:c r="E198" s="348" t="str">
        <x:v>满月万卷君</x:v>
      </x:c>
      <x:c r="F198" s="348" t="str">
        <x:v>地图BOSS</x:v>
      </x:c>
      <x:c r="G198" s="348" t="str">
        <x:v>满月万卷法衣</x:v>
      </x:c>
      <x:c r="H198" s="348" t="str">
        <x:v>衣服</x:v>
      </x:c>
      <x:c r="I198" s="348" t="str">
        <x:v>男衣服（现行模板的衣服映射）</x:v>
      </x:c>
      <x:c r="J198" s="348" t="n">
        <x:v>6957</x:v>
      </x:c>
      <x:c r="K198" s="348" t="str">
        <x:v>预检通过资源／规划锁定／待入库</x:v>
      </x:c>
      <x:c r="L198" s="349" t="str">
        <x:v>按现行装备模板映射男衣服StdMode10；翠焰冥契·腐痕</x:v>
      </x:c>
    </x:row>
    <x:row r="199" ht="34" customHeight="1">
      <x:c r="A199" s="347" t="str">
        <x:v>C05-M049</x:v>
      </x:c>
      <x:c r="B199" s="348" t="str">
        <x:v>C05</x:v>
      </x:c>
      <x:c r="C199" s="348" t="str">
        <x:v>湖之利耶尼亚</x:v>
      </x:c>
      <x:c r="D199" s="348" t="str">
        <x:v>XX377</x:v>
      </x:c>
      <x:c r="E199" s="348" t="str">
        <x:v>月影鳞侍</x:v>
      </x:c>
      <x:c r="F199" s="348" t="str">
        <x:v>普通</x:v>
      </x:c>
      <x:c r="G199" s="348" t="str">
        <x:v>月影鳞侍叉</x:v>
      </x:c>
      <x:c r="H199" s="348" t="str">
        <x:v>武器</x:v>
      </x:c>
      <x:c r="I199" s="348" t="str">
        <x:v>武器</x:v>
      </x:c>
      <x:c r="J199" s="348"/>
      <x:c r="K199" s="348" t="str">
        <x:v>缺武器来源码</x:v>
      </x:c>
      <x:c r="L199" s="349" t="str">
        <x:v>需补同部位Items/StateItem/DnItems三库同码资源</x:v>
      </x:c>
    </x:row>
    <x:row r="200" ht="34" customHeight="1">
      <x:c r="A200" s="347" t="str">
        <x:v>C05-M050</x:v>
      </x:c>
      <x:c r="B200" s="348" t="str">
        <x:v>C05</x:v>
      </x:c>
      <x:c r="C200" s="348" t="str">
        <x:v>湖之利耶尼亚</x:v>
      </x:c>
      <x:c r="D200" s="348" t="str">
        <x:v>XX377</x:v>
      </x:c>
      <x:c r="E200" s="348" t="str">
        <x:v>水宫涡纹螺</x:v>
      </x:c>
      <x:c r="F200" s="348" t="str">
        <x:v>普通</x:v>
      </x:c>
      <x:c r="G200" s="348" t="str">
        <x:v>涡纹螺壳盾</x:v>
      </x:c>
      <x:c r="H200" s="348" t="str">
        <x:v>盾牌</x:v>
      </x:c>
      <x:c r="I200" s="348" t="str">
        <x:v>盾牌</x:v>
      </x:c>
      <x:c r="J200" s="348" t="n">
        <x:v>6965</x:v>
      </x:c>
      <x:c r="K200" s="348" t="str">
        <x:v>预检通过资源／规划锁定／待入库</x:v>
      </x:c>
      <x:c r="L200" s="349" t="str">
        <x:v>装备资源库翠焰冥契·腐痕</x:v>
      </x:c>
    </x:row>
    <x:row r="201" ht="34" customHeight="1">
      <x:c r="A201" s="347" t="str">
        <x:v>C05-M051</x:v>
      </x:c>
      <x:c r="B201" s="348" t="str">
        <x:v>C05</x:v>
      </x:c>
      <x:c r="C201" s="348" t="str">
        <x:v>湖之利耶尼亚</x:v>
      </x:c>
      <x:c r="D201" s="348" t="str">
        <x:v>XX378</x:v>
      </x:c>
      <x:c r="E201" s="348" t="str">
        <x:v>月华执扇女使</x:v>
      </x:c>
      <x:c r="F201" s="348" t="str">
        <x:v>普通</x:v>
      </x:c>
      <x:c r="G201" s="348" t="str">
        <x:v>月华流扇笠</x:v>
      </x:c>
      <x:c r="H201" s="348" t="str">
        <x:v>斗笠</x:v>
      </x:c>
      <x:c r="I201" s="348" t="str">
        <x:v>面巾（位置13，对应斗笠）</x:v>
      </x:c>
      <x:c r="J201" s="348"/>
      <x:c r="K201" s="348" t="str">
        <x:v>缺斗笠来源码</x:v>
      </x:c>
      <x:c r="L201" s="349" t="str">
        <x:v>需补StdMode16/位置13的三库同码资源</x:v>
      </x:c>
    </x:row>
    <x:row r="202" ht="34" customHeight="1">
      <x:c r="A202" s="347" t="str">
        <x:v>C05-M052</x:v>
      </x:c>
      <x:c r="B202" s="348" t="str">
        <x:v>C05</x:v>
      </x:c>
      <x:c r="C202" s="348" t="str">
        <x:v>湖之利耶尼亚</x:v>
      </x:c>
      <x:c r="D202" s="348" t="str">
        <x:v>XX378</x:v>
      </x:c>
      <x:c r="E202" s="348" t="str">
        <x:v>内殿浮光鲛兵</x:v>
      </x:c>
      <x:c r="F202" s="348" t="str">
        <x:v>普通</x:v>
      </x:c>
      <x:c r="G202" s="348" t="str">
        <x:v>浮光鲛纹镯</x:v>
      </x:c>
      <x:c r="H202" s="348" t="str">
        <x:v>手镯</x:v>
      </x:c>
      <x:c r="I202" s="348" t="str">
        <x:v>手镯</x:v>
      </x:c>
      <x:c r="J202" s="348" t="n">
        <x:v>7032</x:v>
      </x:c>
      <x:c r="K202" s="348" t="str">
        <x:v>预检通过资源／规划锁定／待入库</x:v>
      </x:c>
      <x:c r="L202" s="349" t="str">
        <x:v>装备资源库翠焰冥契·灾厄</x:v>
      </x:c>
    </x:row>
    <x:row r="203" ht="34" customHeight="1">
      <x:c r="A203" s="347" t="str">
        <x:v>C05-M053</x:v>
      </x:c>
      <x:c r="B203" s="348" t="str">
        <x:v>C05</x:v>
      </x:c>
      <x:c r="C203" s="348" t="str">
        <x:v>湖之利耶尼亚</x:v>
      </x:c>
      <x:c r="D203" s="348" t="str">
        <x:v>XX379</x:v>
      </x:c>
      <x:c r="E203" s="348" t="str">
        <x:v>圣殿澄潮祭从</x:v>
      </x:c>
      <x:c r="F203" s="348" t="str">
        <x:v>普通</x:v>
      </x:c>
      <x:c r="G203" s="348" t="str">
        <x:v>澄潮祭步履</x:v>
      </x:c>
      <x:c r="H203" s="348" t="str">
        <x:v>鞋子</x:v>
      </x:c>
      <x:c r="I203" s="348" t="str">
        <x:v>鞋子</x:v>
      </x:c>
      <x:c r="J203" s="348" t="n">
        <x:v>7002</x:v>
      </x:c>
      <x:c r="K203" s="348" t="str">
        <x:v>预检通过资源／规划锁定／待入库</x:v>
      </x:c>
      <x:c r="L203" s="349" t="str">
        <x:v>装备资源库翠焰冥契·冥契</x:v>
      </x:c>
    </x:row>
    <x:row r="204" ht="34" customHeight="1">
      <x:c r="A204" s="347" t="str">
        <x:v>C05-M054</x:v>
      </x:c>
      <x:c r="B204" s="348" t="str">
        <x:v>C05</x:v>
      </x:c>
      <x:c r="C204" s="348" t="str">
        <x:v>湖之利耶尼亚</x:v>
      </x:c>
      <x:c r="D204" s="348" t="str">
        <x:v>XX379</x:v>
      </x:c>
      <x:c r="E204" s="348" t="str">
        <x:v>月镜游鱼灵</x:v>
      </x:c>
      <x:c r="F204" s="348" t="str">
        <x:v>普通</x:v>
      </x:c>
      <x:c r="G204" s="348" t="str">
        <x:v>月镜游鱼戒</x:v>
      </x:c>
      <x:c r="H204" s="348" t="str">
        <x:v>戒指</x:v>
      </x:c>
      <x:c r="I204" s="348" t="str">
        <x:v>戒指</x:v>
      </x:c>
      <x:c r="J204" s="348" t="n">
        <x:v>7068</x:v>
      </x:c>
      <x:c r="K204" s="348" t="str">
        <x:v>预检通过资源／规划锁定／待入库</x:v>
      </x:c>
      <x:c r="L204" s="349" t="str">
        <x:v>装备资源库翠焰冥契·永夜</x:v>
      </x:c>
    </x:row>
    <x:row r="205" ht="34" customHeight="1">
      <x:c r="A205" s="347" t="str">
        <x:v>C05-M055</x:v>
      </x:c>
      <x:c r="B205" s="348" t="str">
        <x:v>C05</x:v>
      </x:c>
      <x:c r="C205" s="348" t="str">
        <x:v>湖之利耶尼亚</x:v>
      </x:c>
      <x:c r="D205" s="348" t="str">
        <x:v>XX377</x:v>
      </x:c>
      <x:c r="E205" s="348" t="str">
        <x:v>影潮伏宫兽</x:v>
      </x:c>
      <x:c r="F205" s="348" t="str">
        <x:v>稀有</x:v>
      </x:c>
      <x:c r="G205" s="348" t="str">
        <x:v>影潮潜宫带</x:v>
      </x:c>
      <x:c r="H205" s="348" t="str">
        <x:v>腰带</x:v>
      </x:c>
      <x:c r="I205" s="348" t="str">
        <x:v>腰带</x:v>
      </x:c>
      <x:c r="J205" s="348" t="n">
        <x:v>6933</x:v>
      </x:c>
      <x:c r="K205" s="348" t="str">
        <x:v>预检通过资源／规划锁定／待入库</x:v>
      </x:c>
      <x:c r="L205" s="349" t="str">
        <x:v>装备资源库翠焰冥契·幽焰</x:v>
      </x:c>
    </x:row>
    <x:row r="206" ht="34" customHeight="1">
      <x:c r="A206" s="347" t="str">
        <x:v>C05-M056</x:v>
      </x:c>
      <x:c r="B206" s="348" t="str">
        <x:v>C05</x:v>
      </x:c>
      <x:c r="C206" s="348" t="str">
        <x:v>湖之利耶尼亚</x:v>
      </x:c>
      <x:c r="D206" s="348" t="str">
        <x:v>XX378</x:v>
      </x:c>
      <x:c r="E206" s="348" t="str">
        <x:v>月华凝霜乐师</x:v>
      </x:c>
      <x:c r="F206" s="348" t="str">
        <x:v>稀有</x:v>
      </x:c>
      <x:c r="G206" s="348" t="str">
        <x:v>凝霜乐师冠</x:v>
      </x:c>
      <x:c r="H206" s="348" t="str">
        <x:v>头盔</x:v>
      </x:c>
      <x:c r="I206" s="348" t="str">
        <x:v>头盔</x:v>
      </x:c>
      <x:c r="J206" s="348" t="n">
        <x:v>7064</x:v>
      </x:c>
      <x:c r="K206" s="348" t="str">
        <x:v>预检通过资源／规划锁定／待入库</x:v>
      </x:c>
      <x:c r="L206" s="349" t="str">
        <x:v>装备资源库翠焰冥契·永夜</x:v>
      </x:c>
    </x:row>
    <x:row r="207" ht="34" customHeight="1">
      <x:c r="A207" s="347" t="str">
        <x:v>C05-M057</x:v>
      </x:c>
      <x:c r="B207" s="348" t="str">
        <x:v>C05</x:v>
      </x:c>
      <x:c r="C207" s="348" t="str">
        <x:v>湖之利耶尼亚</x:v>
      </x:c>
      <x:c r="D207" s="348" t="str">
        <x:v>XX379</x:v>
      </x:c>
      <x:c r="E207" s="348" t="str">
        <x:v>圣殿悬月卫</x:v>
      </x:c>
      <x:c r="F207" s="348" t="str">
        <x:v>稀有</x:v>
      </x:c>
      <x:c r="G207" s="348" t="str">
        <x:v>悬月卫潮链</x:v>
      </x:c>
      <x:c r="H207" s="348" t="str">
        <x:v>项链</x:v>
      </x:c>
      <x:c r="I207" s="348" t="str">
        <x:v>项链</x:v>
      </x:c>
      <x:c r="J207" s="348" t="n">
        <x:v>7066</x:v>
      </x:c>
      <x:c r="K207" s="348" t="str">
        <x:v>预检通过资源／规划锁定／待入库</x:v>
      </x:c>
      <x:c r="L207" s="349" t="str">
        <x:v>装备资源库翠焰冥契·永夜</x:v>
      </x:c>
    </x:row>
    <x:row r="208" ht="34" customHeight="1">
      <x:c r="A208" s="347" t="str">
        <x:v>C05-M058</x:v>
      </x:c>
      <x:c r="B208" s="348" t="str">
        <x:v>C05</x:v>
      </x:c>
      <x:c r="C208" s="348" t="str">
        <x:v>湖之利耶尼亚</x:v>
      </x:c>
      <x:c r="D208" s="348" t="str">
        <x:v>XX377</x:v>
      </x:c>
      <x:c r="E208" s="348" t="str">
        <x:v>琉潮白鳍巫</x:v>
      </x:c>
      <x:c r="F208" s="348" t="str">
        <x:v>稀有</x:v>
      </x:c>
      <x:c r="G208" s="348" t="str">
        <x:v>琉潮白鳍章</x:v>
      </x:c>
      <x:c r="H208" s="348" t="str">
        <x:v>勋章</x:v>
      </x:c>
      <x:c r="I208" s="348" t="str">
        <x:v>勋章</x:v>
      </x:c>
      <x:c r="J208" s="348" t="n">
        <x:v>6824</x:v>
      </x:c>
      <x:c r="K208" s="348" t="str">
        <x:v>预检通过资源／规划锁定／待入库</x:v>
      </x:c>
      <x:c r="L208" s="349" t="str">
        <x:v>装备资源库星渊龙息·渊辉</x:v>
      </x:c>
    </x:row>
    <x:row r="209" ht="34" customHeight="1">
      <x:c r="A209" s="347" t="str">
        <x:v>C05-M059</x:v>
      </x:c>
      <x:c r="B209" s="348" t="str">
        <x:v>C05</x:v>
      </x:c>
      <x:c r="C209" s="348" t="str">
        <x:v>湖之利耶尼亚</x:v>
      </x:c>
      <x:c r="D209" s="348" t="str">
        <x:v>XX378</x:v>
      </x:c>
      <x:c r="E209" s="348" t="str">
        <x:v>月华内殿掌灯君</x:v>
      </x:c>
      <x:c r="F209" s="348" t="str">
        <x:v>地图BOSS</x:v>
      </x:c>
      <x:c r="G209" s="348" t="str">
        <x:v>掌灯君月华衣</x:v>
      </x:c>
      <x:c r="H209" s="348" t="str">
        <x:v>衣服</x:v>
      </x:c>
      <x:c r="I209" s="348" t="str">
        <x:v>男衣服（现行模板的衣服映射）</x:v>
      </x:c>
      <x:c r="J209" s="348" t="n">
        <x:v>6992</x:v>
      </x:c>
      <x:c r="K209" s="348" t="str">
        <x:v>预检通过资源／规划锁定／待入库</x:v>
      </x:c>
      <x:c r="L209" s="349" t="str">
        <x:v>按现行装备模板映射男衣服StdMode10；翠焰冥契·冥契</x:v>
      </x:c>
    </x:row>
    <x:row r="210" ht="34" customHeight="1">
      <x:c r="A210" s="347" t="str">
        <x:v>C05-M060</x:v>
      </x:c>
      <x:c r="B210" s="348" t="str">
        <x:v>C05</x:v>
      </x:c>
      <x:c r="C210" s="348" t="str">
        <x:v>湖之利耶尼亚</x:v>
      </x:c>
      <x:c r="D210" s="348" t="str">
        <x:v>XX379</x:v>
      </x:c>
      <x:c r="E210" s="348" t="str">
        <x:v>影宫深潮王女</x:v>
      </x:c>
      <x:c r="F210" s="348" t="str">
        <x:v>地图BOSS</x:v>
      </x:c>
      <x:c r="G210" s="348" t="str">
        <x:v>深潮王女权杖</x:v>
      </x:c>
      <x:c r="H210" s="348" t="str">
        <x:v>武器</x:v>
      </x:c>
      <x:c r="I210" s="348" t="str">
        <x:v>武器</x:v>
      </x:c>
      <x:c r="J210" s="348"/>
      <x:c r="K210" s="348" t="str">
        <x:v>缺武器来源码</x:v>
      </x:c>
      <x:c r="L210" s="349" t="str">
        <x:v>需补同部位Items/StateItem/DnItems三库同码资源</x:v>
      </x:c>
    </x:row>
    <x:row r="211" ht="34" customHeight="1">
      <x:c r="A211" s="347" t="str">
        <x:v>C05-M061</x:v>
      </x:c>
      <x:c r="B211" s="348" t="str">
        <x:v>C05</x:v>
      </x:c>
      <x:c r="C211" s="348" t="str">
        <x:v>湖之利耶尼亚</x:v>
      </x:c>
      <x:c r="D211" s="348" t="str">
        <x:v>XX927</x:v>
      </x:c>
      <x:c r="E211" s="348" t="str">
        <x:v>禁域蓝焰猎犬</x:v>
      </x:c>
      <x:c r="F211" s="348" t="str">
        <x:v>普通</x:v>
      </x:c>
      <x:c r="G211" s="348" t="str">
        <x:v>蓝焰逐影履</x:v>
      </x:c>
      <x:c r="H211" s="348" t="str">
        <x:v>鞋子</x:v>
      </x:c>
      <x:c r="I211" s="348" t="str">
        <x:v>鞋子</x:v>
      </x:c>
      <x:c r="J211" s="348" t="n">
        <x:v>7037</x:v>
      </x:c>
      <x:c r="K211" s="348" t="str">
        <x:v>预检通过资源／规划锁定／待入库</x:v>
      </x:c>
      <x:c r="L211" s="349" t="str">
        <x:v>装备资源库翠焰冥契·灾厄</x:v>
      </x:c>
    </x:row>
    <x:row r="212" ht="34" customHeight="1">
      <x:c r="A212" s="347" t="str">
        <x:v>C05-M062</x:v>
      </x:c>
      <x:c r="B212" s="348" t="str">
        <x:v>C05</x:v>
      </x:c>
      <x:c r="C212" s="348" t="str">
        <x:v>湖之利耶尼亚</x:v>
      </x:c>
      <x:c r="D212" s="348" t="str">
        <x:v>XX927</x:v>
      </x:c>
      <x:c r="E212" s="348" t="str">
        <x:v>卡利亚断誓侍</x:v>
      </x:c>
      <x:c r="F212" s="348" t="str">
        <x:v>普通</x:v>
      </x:c>
      <x:c r="G212" s="348" t="str">
        <x:v>断誓侍银剑</x:v>
      </x:c>
      <x:c r="H212" s="348" t="str">
        <x:v>武器</x:v>
      </x:c>
      <x:c r="I212" s="348" t="str">
        <x:v>武器</x:v>
      </x:c>
      <x:c r="J212" s="348"/>
      <x:c r="K212" s="348" t="str">
        <x:v>缺武器来源码</x:v>
      </x:c>
      <x:c r="L212" s="349" t="str">
        <x:v>需补同部位Items/StateItem/DnItems三库同码资源</x:v>
      </x:c>
    </x:row>
    <x:row r="213" ht="34" customHeight="1">
      <x:c r="A213" s="347" t="str">
        <x:v>C05-M063</x:v>
      </x:c>
      <x:c r="B213" s="348" t="str">
        <x:v>C05</x:v>
      </x:c>
      <x:c r="C213" s="348" t="str">
        <x:v>湖之利耶尼亚</x:v>
      </x:c>
      <x:c r="D213" s="348" t="str">
        <x:v>XX925</x:v>
      </x:c>
      <x:c r="E213" s="348" t="str">
        <x:v>回廊折月傀</x:v>
      </x:c>
      <x:c r="F213" s="348" t="str">
        <x:v>普通</x:v>
      </x:c>
      <x:c r="G213" s="348" t="str">
        <x:v>折月傀镜盾</x:v>
      </x:c>
      <x:c r="H213" s="348" t="str">
        <x:v>盾牌</x:v>
      </x:c>
      <x:c r="I213" s="348" t="str">
        <x:v>盾牌</x:v>
      </x:c>
      <x:c r="J213" s="348" t="n">
        <x:v>7000</x:v>
      </x:c>
      <x:c r="K213" s="348" t="str">
        <x:v>预检通过资源／规划锁定／待入库</x:v>
      </x:c>
      <x:c r="L213" s="349" t="str">
        <x:v>装备资源库翠焰冥契·冥契</x:v>
      </x:c>
    </x:row>
    <x:row r="214" ht="34" customHeight="1">
      <x:c r="A214" s="347" t="str">
        <x:v>C05-M064</x:v>
      </x:c>
      <x:c r="B214" s="348" t="str">
        <x:v>C05</x:v>
      </x:c>
      <x:c r="C214" s="348" t="str">
        <x:v>湖之利耶尼亚</x:v>
      </x:c>
      <x:c r="D214" s="348" t="str">
        <x:v>XX926</x:v>
      </x:c>
      <x:c r="E214" s="348" t="str">
        <x:v>封印庭银纹卒</x:v>
      </x:c>
      <x:c r="F214" s="348" t="str">
        <x:v>普通</x:v>
      </x:c>
      <x:c r="G214" s="348" t="str">
        <x:v>银纹封庭镯</x:v>
      </x:c>
      <x:c r="H214" s="348" t="str">
        <x:v>手镯</x:v>
      </x:c>
      <x:c r="I214" s="348" t="str">
        <x:v>手镯</x:v>
      </x:c>
      <x:c r="J214" s="348" t="n">
        <x:v>7067</x:v>
      </x:c>
      <x:c r="K214" s="348" t="str">
        <x:v>预检通过资源／规划锁定／待入库</x:v>
      </x:c>
      <x:c r="L214" s="349" t="str">
        <x:v>装备资源库翠焰冥契·永夜</x:v>
      </x:c>
    </x:row>
    <x:row r="215" ht="34" customHeight="1">
      <x:c r="A215" s="347" t="str">
        <x:v>C05-M065</x:v>
      </x:c>
      <x:c r="B215" s="348" t="str">
        <x:v>C05</x:v>
      </x:c>
      <x:c r="C215" s="348" t="str">
        <x:v>湖之利耶尼亚</x:v>
      </x:c>
      <x:c r="D215" s="348" t="str">
        <x:v>XX923</x:v>
      </x:c>
      <x:c r="E215" s="348" t="str">
        <x:v>月蚀殿噬辉蛾</x:v>
      </x:c>
      <x:c r="F215" s="348" t="str">
        <x:v>普通</x:v>
      </x:c>
      <x:c r="G215" s="348" t="str">
        <x:v>噬辉蛾蚀月笠</x:v>
      </x:c>
      <x:c r="H215" s="348" t="str">
        <x:v>斗笠</x:v>
      </x:c>
      <x:c r="I215" s="348" t="str">
        <x:v>面巾（位置13，对应斗笠）</x:v>
      </x:c>
      <x:c r="J215" s="348"/>
      <x:c r="K215" s="348" t="str">
        <x:v>缺斗笠来源码</x:v>
      </x:c>
      <x:c r="L215" s="349" t="str">
        <x:v>需补StdMode16/位置13的三库同码资源</x:v>
      </x:c>
    </x:row>
    <x:row r="216" ht="34" customHeight="1">
      <x:c r="A216" s="347" t="str">
        <x:v>C05-M066</x:v>
      </x:c>
      <x:c r="B216" s="348" t="str">
        <x:v>C05</x:v>
      </x:c>
      <x:c r="C216" s="348" t="str">
        <x:v>湖之利耶尼亚</x:v>
      </x:c>
      <x:c r="D216" s="348" t="str">
        <x:v>XX924</x:v>
      </x:c>
      <x:c r="E216" s="348" t="str">
        <x:v>圣所守星残灵</x:v>
      </x:c>
      <x:c r="F216" s="348" t="str">
        <x:v>普通</x:v>
      </x:c>
      <x:c r="G216" s="348" t="str">
        <x:v>守星残灵戒</x:v>
      </x:c>
      <x:c r="H216" s="348" t="str">
        <x:v>戒指</x:v>
      </x:c>
      <x:c r="I216" s="348" t="str">
        <x:v>戒指</x:v>
      </x:c>
      <x:c r="J216" s="348" t="n">
        <x:v>5871</x:v>
      </x:c>
      <x:c r="K216" s="348" t="str">
        <x:v>规划锁定／旧资源待实库回读</x:v>
      </x:c>
      <x:c r="L216" s="349" t="str">
        <x:v>装备资源库黄金圣律·初誓</x:v>
      </x:c>
    </x:row>
    <x:row r="217" ht="34" customHeight="1">
      <x:c r="A217" s="347" t="str">
        <x:v>C05-M067</x:v>
      </x:c>
      <x:c r="B217" s="348" t="str">
        <x:v>C05</x:v>
      </x:c>
      <x:c r="C217" s="348" t="str">
        <x:v>湖之利耶尼亚</x:v>
      </x:c>
      <x:c r="D217" s="348" t="str">
        <x:v>XX927</x:v>
      </x:c>
      <x:c r="E217" s="348" t="str">
        <x:v>王室镜刃使</x:v>
      </x:c>
      <x:c r="F217" s="348" t="str">
        <x:v>稀有</x:v>
      </x:c>
      <x:c r="G217" s="348" t="str">
        <x:v>镜刃王室链</x:v>
      </x:c>
      <x:c r="H217" s="348" t="str">
        <x:v>项链</x:v>
      </x:c>
      <x:c r="I217" s="348" t="str">
        <x:v>项链</x:v>
      </x:c>
      <x:c r="J217" s="348" t="n">
        <x:v>5886</x:v>
      </x:c>
      <x:c r="K217" s="348" t="str">
        <x:v>规划锁定／旧资源待实库回读</x:v>
      </x:c>
      <x:c r="L217" s="349" t="str">
        <x:v>装备资源库黄金圣律·执火</x:v>
      </x:c>
    </x:row>
    <x:row r="218" ht="34" customHeight="1">
      <x:c r="A218" s="347" t="str">
        <x:v>C05-M068</x:v>
      </x:c>
      <x:c r="B218" s="348" t="str">
        <x:v>C05</x:v>
      </x:c>
      <x:c r="C218" s="348" t="str">
        <x:v>湖之利耶尼亚</x:v>
      </x:c>
      <x:c r="D218" s="348" t="str">
        <x:v>XX925</x:v>
      </x:c>
      <x:c r="E218" s="348" t="str">
        <x:v>禁域缄门法官</x:v>
      </x:c>
      <x:c r="F218" s="348" t="str">
        <x:v>稀有</x:v>
      </x:c>
      <x:c r="G218" s="348" t="str">
        <x:v>缄门法官冠</x:v>
      </x:c>
      <x:c r="H218" s="348" t="str">
        <x:v>头盔</x:v>
      </x:c>
      <x:c r="I218" s="348" t="str">
        <x:v>头盔</x:v>
      </x:c>
      <x:c r="J218" s="348" t="n">
        <x:v>5878</x:v>
      </x:c>
      <x:c r="K218" s="348" t="str">
        <x:v>规划锁定／旧资源待实库回读</x:v>
      </x:c>
      <x:c r="L218" s="349" t="str">
        <x:v>装备资源库黄金圣律·铭契</x:v>
      </x:c>
    </x:row>
    <x:row r="219" ht="34" customHeight="1">
      <x:c r="A219" s="347" t="str">
        <x:v>C05-M069</x:v>
      </x:c>
      <x:c r="B219" s="348" t="str">
        <x:v>C05</x:v>
      </x:c>
      <x:c r="C219" s="348" t="str">
        <x:v>湖之利耶尼亚</x:v>
      </x:c>
      <x:c r="D219" s="348" t="str">
        <x:v>XX926</x:v>
      </x:c>
      <x:c r="E219" s="348" t="str">
        <x:v>封庭月契巫</x:v>
      </x:c>
      <x:c r="F219" s="348" t="str">
        <x:v>稀有</x:v>
      </x:c>
      <x:c r="G219" s="348" t="str">
        <x:v>月契封印带</x:v>
      </x:c>
      <x:c r="H219" s="348" t="str">
        <x:v>腰带</x:v>
      </x:c>
      <x:c r="I219" s="348" t="str">
        <x:v>腰带</x:v>
      </x:c>
      <x:c r="J219" s="348" t="n">
        <x:v>6968</x:v>
      </x:c>
      <x:c r="K219" s="348" t="str">
        <x:v>预检通过资源／规划锁定／待入库</x:v>
      </x:c>
      <x:c r="L219" s="349" t="str">
        <x:v>装备资源库翠焰冥契·腐痕</x:v>
      </x:c>
    </x:row>
    <x:row r="220" ht="34" customHeight="1">
      <x:c r="A220" s="347" t="str">
        <x:v>C05-M070</x:v>
      </x:c>
      <x:c r="B220" s="348" t="str">
        <x:v>C05</x:v>
      </x:c>
      <x:c r="C220" s="348" t="str">
        <x:v>湖之利耶尼亚</x:v>
      </x:c>
      <x:c r="D220" s="348" t="str">
        <x:v>XX923</x:v>
      </x:c>
      <x:c r="E220" s="348" t="str">
        <x:v>密殿蚀冠兽</x:v>
      </x:c>
      <x:c r="F220" s="348" t="str">
        <x:v>稀有</x:v>
      </x:c>
      <x:c r="G220" s="348" t="str">
        <x:v>蚀冠密殿章</x:v>
      </x:c>
      <x:c r="H220" s="348" t="str">
        <x:v>勋章</x:v>
      </x:c>
      <x:c r="I220" s="348" t="str">
        <x:v>勋章</x:v>
      </x:c>
      <x:c r="J220" s="348" t="n">
        <x:v>6859</x:v>
      </x:c>
      <x:c r="K220" s="348" t="str">
        <x:v>预检通过资源／规划锁定／待入库</x:v>
      </x:c>
      <x:c r="L220" s="349" t="str">
        <x:v>装备资源库星渊龙息·天穹</x:v>
      </x:c>
    </x:row>
    <x:row r="221" ht="34" customHeight="1">
      <x:c r="A221" s="347" t="str">
        <x:v>C05-M071</x:v>
      </x:c>
      <x:c r="B221" s="348" t="str">
        <x:v>C05</x:v>
      </x:c>
      <x:c r="C221" s="348" t="str">
        <x:v>湖之利耶尼亚</x:v>
      </x:c>
      <x:c r="D221" s="348" t="str">
        <x:v>XX923</x:v>
      </x:c>
      <x:c r="E221" s="348" t="str">
        <x:v>月蚀密殿司冕</x:v>
      </x:c>
      <x:c r="F221" s="348" t="str">
        <x:v>地图BOSS</x:v>
      </x:c>
      <x:c r="G221" s="348" t="str">
        <x:v>司冕月蚀礼衣</x:v>
      </x:c>
      <x:c r="H221" s="348" t="str">
        <x:v>衣服</x:v>
      </x:c>
      <x:c r="I221" s="348" t="str">
        <x:v>男衣服（现行模板的衣服映射）</x:v>
      </x:c>
      <x:c r="J221" s="348" t="n">
        <x:v>7027</x:v>
      </x:c>
      <x:c r="K221" s="348" t="str">
        <x:v>预检通过资源／规划锁定／待入库</x:v>
      </x:c>
      <x:c r="L221" s="349" t="str">
        <x:v>按现行装备模板映射男衣服StdMode10；翠焰冥契·灾厄</x:v>
      </x:c>
    </x:row>
    <x:row r="222" ht="34" customHeight="1">
      <x:c r="A222" s="347" t="str">
        <x:v>C05-M072</x:v>
      </x:c>
      <x:c r="B222" s="348" t="str">
        <x:v>C05</x:v>
      </x:c>
      <x:c r="C222" s="348" t="str">
        <x:v>湖之利耶尼亚</x:v>
      </x:c>
      <x:c r="D222" s="348" t="str">
        <x:v>XX924</x:v>
      </x:c>
      <x:c r="E222" s="348" t="str">
        <x:v>卡利亚圣所摄政灵</x:v>
      </x:c>
      <x:c r="F222" s="348" t="str">
        <x:v>地图BOSS</x:v>
      </x:c>
      <x:c r="G222" s="348" t="str">
        <x:v>摄政灵辉杖</x:v>
      </x:c>
      <x:c r="H222" s="348" t="str">
        <x:v>武器</x:v>
      </x:c>
      <x:c r="I222" s="348" t="str">
        <x:v>武器</x:v>
      </x:c>
      <x:c r="J222" s="348"/>
      <x:c r="K222" s="348" t="str">
        <x:v>缺武器来源码</x:v>
      </x:c>
      <x:c r="L222" s="349" t="str">
        <x:v>需补同部位Items/StateItem/DnItems三库同码资源</x:v>
      </x:c>
    </x:row>
    <x:row r="223" ht="34" customHeight="1">
      <x:c r="A223" s="347" t="str">
        <x:v>C05-M073</x:v>
      </x:c>
      <x:c r="B223" s="348" t="str">
        <x:v>C05</x:v>
      </x:c>
      <x:c r="C223" s="348" t="str">
        <x:v>湖之利耶尼亚</x:v>
      </x:c>
      <x:c r="D223" s="348" t="str">
        <x:v>XX924</x:v>
      </x:c>
      <x:c r="E223" s="348" t="str">
        <x:v>寒镜终誓王</x:v>
      </x:c>
      <x:c r="F223" s="348" t="str">
        <x:v>守关BOSS</x:v>
      </x:c>
      <x:c r="G223" s="348" t="str">
        <x:v>终誓月裁剑</x:v>
      </x:c>
      <x:c r="H223" s="348" t="str">
        <x:v>武器</x:v>
      </x:c>
      <x:c r="I223" s="348" t="str">
        <x:v>武器</x:v>
      </x:c>
      <x:c r="J223" s="348" t="n">
        <x:v>6921</x:v>
      </x:c>
      <x:c r="K223" s="348" t="str">
        <x:v>预检通过资源／规划锁定／待入库</x:v>
      </x:c>
      <x:c r="L223" s="349" t="str">
        <x:v>装备资源库翠焰冥契·幽焰</x:v>
      </x:c>
    </x:row>
    <x:row r="224" ht="34" customHeight="1">
      <x:c r="A224" s="347" t="str">
        <x:v>C06-M001</x:v>
      </x:c>
      <x:c r="B224" s="348" t="str">
        <x:v>C06</x:v>
      </x:c>
      <x:c r="C224" s="348" t="str">
        <x:v>盖利德</x:v>
      </x:c>
      <x:c r="D224" s="348" t="str">
        <x:v>XX304</x:v>
      </x:c>
      <x:c r="E224" s="348" t="str">
        <x:v>熔原灰背兽</x:v>
      </x:c>
      <x:c r="F224" s="348" t="str">
        <x:v>普通</x:v>
      </x:c>
      <x:c r="G224" s="348" t="str">
        <x:v>灰背灼牙</x:v>
      </x:c>
      <x:c r="H224" s="348" t="str">
        <x:v>武器</x:v>
      </x:c>
      <x:c r="I224" s="348" t="str">
        <x:v>武器</x:v>
      </x:c>
      <x:c r="J224" s="348"/>
      <x:c r="K224" s="348" t="str">
        <x:v>缺武器来源码</x:v>
      </x:c>
      <x:c r="L224" s="349" t="str">
        <x:v>需补同部位Items/StateItem/DnItems三库同码资源</x:v>
      </x:c>
    </x:row>
    <x:row r="225" ht="34" customHeight="1">
      <x:c r="A225" s="347" t="str">
        <x:v>C06-M002</x:v>
      </x:c>
      <x:c r="B225" s="348" t="str">
        <x:v>C06</x:v>
      </x:c>
      <x:c r="C225" s="348" t="str">
        <x:v>盖利德</x:v>
      </x:c>
      <x:c r="D225" s="348" t="str">
        <x:v>XX305</x:v>
      </x:c>
      <x:c r="E225" s="348" t="str">
        <x:v>焦土拾骸兵</x:v>
      </x:c>
      <x:c r="F225" s="348" t="str">
        <x:v>普通</x:v>
      </x:c>
      <x:c r="G225" s="348" t="str">
        <x:v>拾骸骨盔</x:v>
      </x:c>
      <x:c r="H225" s="348" t="str">
        <x:v>头盔</x:v>
      </x:c>
      <x:c r="I225" s="348" t="str">
        <x:v>头盔</x:v>
      </x:c>
      <x:c r="J225" s="348" t="n">
        <x:v>5887</x:v>
      </x:c>
      <x:c r="K225" s="348" t="str">
        <x:v>规划锁定／旧资源待实库回读</x:v>
      </x:c>
      <x:c r="L225" s="349" t="str">
        <x:v>装备资源库黄金圣律·执火</x:v>
      </x:c>
    </x:row>
    <x:row r="226" ht="34" customHeight="1">
      <x:c r="A226" s="347" t="str">
        <x:v>C06-M003</x:v>
      </x:c>
      <x:c r="B226" s="348" t="str">
        <x:v>C06</x:v>
      </x:c>
      <x:c r="C226" s="348" t="str">
        <x:v>盖利德</x:v>
      </x:c>
      <x:c r="D226" s="348" t="str">
        <x:v>XX306</x:v>
      </x:c>
      <x:c r="E226" s="348" t="str">
        <x:v>岩河爬鳞者</x:v>
      </x:c>
      <x:c r="F226" s="348" t="str">
        <x:v>普通</x:v>
      </x:c>
      <x:c r="G226" s="348" t="str">
        <x:v>岩河鳞衣</x:v>
      </x:c>
      <x:c r="H226" s="348" t="str">
        <x:v>衣服</x:v>
      </x:c>
      <x:c r="I226" s="348" t="str">
        <x:v>男衣服（现行模板的衣服映射）</x:v>
      </x:c>
      <x:c r="J226" s="348"/>
      <x:c r="K226" s="348" t="str">
        <x:v>缺衣服来源码</x:v>
      </x:c>
      <x:c r="L226" s="349" t="str">
        <x:v>需补男衣服StdMode10的三库同码资源；女衣服码未获准合池</x:v>
      </x:c>
    </x:row>
    <x:row r="227" ht="34" customHeight="1">
      <x:c r="A227" s="347" t="str">
        <x:v>C06-M004</x:v>
      </x:c>
      <x:c r="B227" s="348" t="str">
        <x:v>C06</x:v>
      </x:c>
      <x:c r="C227" s="348" t="str">
        <x:v>盖利德</x:v>
      </x:c>
      <x:c r="D227" s="348" t="str">
        <x:v>XX307</x:v>
      </x:c>
      <x:c r="E227" s="348" t="str">
        <x:v>祭场执炭徒</x:v>
      </x:c>
      <x:c r="F227" s="348" t="str">
        <x:v>普通</x:v>
      </x:c>
      <x:c r="G227" s="348" t="str">
        <x:v>执炭腰封</x:v>
      </x:c>
      <x:c r="H227" s="348" t="str">
        <x:v>腰带</x:v>
      </x:c>
      <x:c r="I227" s="348" t="str">
        <x:v>腰带</x:v>
      </x:c>
      <x:c r="J227" s="348" t="n">
        <x:v>7003</x:v>
      </x:c>
      <x:c r="K227" s="348" t="str">
        <x:v>预检通过资源／规划锁定／待入库</x:v>
      </x:c>
      <x:c r="L227" s="349" t="str">
        <x:v>装备资源库翠焰冥契·冥契</x:v>
      </x:c>
    </x:row>
    <x:row r="228" ht="34" customHeight="1">
      <x:c r="A228" s="347" t="str">
        <x:v>C06-M005</x:v>
      </x:c>
      <x:c r="B228" s="348" t="str">
        <x:v>C06</x:v>
      </x:c>
      <x:c r="C228" s="348" t="str">
        <x:v>盖利德</x:v>
      </x:c>
      <x:c r="D228" s="348" t="str">
        <x:v>XX308</x:v>
      </x:c>
      <x:c r="E228" s="348" t="str">
        <x:v>熔心赤螯虫</x:v>
      </x:c>
      <x:c r="F228" s="348" t="str">
        <x:v>普通</x:v>
      </x:c>
      <x:c r="G228" s="348" t="str">
        <x:v>赤螯腕甲</x:v>
      </x:c>
      <x:c r="H228" s="348" t="str">
        <x:v>手镯</x:v>
      </x:c>
      <x:c r="I228" s="348" t="str">
        <x:v>手镯</x:v>
      </x:c>
      <x:c r="J228" s="348" t="n">
        <x:v>5870</x:v>
      </x:c>
      <x:c r="K228" s="348" t="str">
        <x:v>规划锁定／旧资源待实库回读</x:v>
      </x:c>
      <x:c r="L228" s="349" t="str">
        <x:v>装备资源库黄金圣律·初誓</x:v>
      </x:c>
    </x:row>
    <x:row r="229" ht="34" customHeight="1">
      <x:c r="A229" s="347" t="str">
        <x:v>C06-M006</x:v>
      </x:c>
      <x:c r="B229" s="348" t="str">
        <x:v>C06</x:v>
      </x:c>
      <x:c r="C229" s="348" t="str">
        <x:v>盖利德</x:v>
      </x:c>
      <x:c r="D229" s="348" t="str">
        <x:v>XX304</x:v>
      </x:c>
      <x:c r="E229" s="348" t="str">
        <x:v>血尘游猎手</x:v>
      </x:c>
      <x:c r="F229" s="348" t="str">
        <x:v>普通</x:v>
      </x:c>
      <x:c r="G229" s="348" t="str">
        <x:v>血尘猎靴</x:v>
      </x:c>
      <x:c r="H229" s="348" t="str">
        <x:v>鞋子</x:v>
      </x:c>
      <x:c r="I229" s="348" t="str">
        <x:v>鞋子</x:v>
      </x:c>
      <x:c r="J229" s="348" t="n">
        <x:v>7072</x:v>
      </x:c>
      <x:c r="K229" s="348" t="str">
        <x:v>预检通过资源／规划锁定／待入库</x:v>
      </x:c>
      <x:c r="L229" s="349" t="str">
        <x:v>装备资源库翠焰冥契·永夜</x:v>
      </x:c>
    </x:row>
    <x:row r="230" ht="34" customHeight="1">
      <x:c r="A230" s="347" t="str">
        <x:v>C06-M007</x:v>
      </x:c>
      <x:c r="B230" s="348" t="str">
        <x:v>C06</x:v>
      </x:c>
      <x:c r="C230" s="348" t="str">
        <x:v>盖利德</x:v>
      </x:c>
      <x:c r="D230" s="348" t="str">
        <x:v>XX304</x:v>
      </x:c>
      <x:c r="E230" s="348" t="str">
        <x:v>赤棘狂战士</x:v>
      </x:c>
      <x:c r="F230" s="348" t="str">
        <x:v>稀有</x:v>
      </x:c>
      <x:c r="G230" s="348" t="str">
        <x:v>赤棘重戒</x:v>
      </x:c>
      <x:c r="H230" s="348" t="str">
        <x:v>戒指</x:v>
      </x:c>
      <x:c r="I230" s="348" t="str">
        <x:v>戒指</x:v>
      </x:c>
      <x:c r="J230" s="348" t="n">
        <x:v>5880</x:v>
      </x:c>
      <x:c r="K230" s="348" t="str">
        <x:v>规划锁定／旧资源待实库回读</x:v>
      </x:c>
      <x:c r="L230" s="349" t="str">
        <x:v>装备资源库黄金圣律·铭契</x:v>
      </x:c>
    </x:row>
    <x:row r="231" ht="34" customHeight="1">
      <x:c r="A231" s="347" t="str">
        <x:v>C06-M008</x:v>
      </x:c>
      <x:c r="B231" s="348" t="str">
        <x:v>C06</x:v>
      </x:c>
      <x:c r="C231" s="348" t="str">
        <x:v>盖利德</x:v>
      </x:c>
      <x:c r="D231" s="348" t="str">
        <x:v>XX305</x:v>
      </x:c>
      <x:c r="E231" s="348" t="str">
        <x:v>焦脉咒炎师</x:v>
      </x:c>
      <x:c r="F231" s="348" t="str">
        <x:v>稀有</x:v>
      </x:c>
      <x:c r="G231" s="348" t="str">
        <x:v>焦脉祭链</x:v>
      </x:c>
      <x:c r="H231" s="348" t="str">
        <x:v>项链</x:v>
      </x:c>
      <x:c r="I231" s="348" t="str">
        <x:v>项链</x:v>
      </x:c>
      <x:c r="J231" s="348" t="n">
        <x:v>5895</x:v>
      </x:c>
      <x:c r="K231" s="348" t="str">
        <x:v>规划锁定／旧资源待实库回读</x:v>
      </x:c>
      <x:c r="L231" s="349" t="str">
        <x:v>装备资源库黄金圣律·圣徽</x:v>
      </x:c>
    </x:row>
    <x:row r="232" ht="34" customHeight="1">
      <x:c r="A232" s="347" t="str">
        <x:v>C06-M009</x:v>
      </x:c>
      <x:c r="B232" s="348" t="str">
        <x:v>C06</x:v>
      </x:c>
      <x:c r="C232" s="348" t="str">
        <x:v>盖利德</x:v>
      </x:c>
      <x:c r="D232" s="348" t="str">
        <x:v>XX306</x:v>
      </x:c>
      <x:c r="E232" s="348" t="str">
        <x:v>岩浆负甲兽</x:v>
      </x:c>
      <x:c r="F232" s="348" t="str">
        <x:v>稀有</x:v>
      </x:c>
      <x:c r="G232" s="348" t="str">
        <x:v>负甲熔盾</x:v>
      </x:c>
      <x:c r="H232" s="348" t="str">
        <x:v>盾牌</x:v>
      </x:c>
      <x:c r="I232" s="348" t="str">
        <x:v>盾牌</x:v>
      </x:c>
      <x:c r="J232" s="348" t="n">
        <x:v>7035</x:v>
      </x:c>
      <x:c r="K232" s="348" t="str">
        <x:v>预检通过资源／规划锁定／待入库</x:v>
      </x:c>
      <x:c r="L232" s="349" t="str">
        <x:v>装备资源库翠焰冥契·灾厄</x:v>
      </x:c>
    </x:row>
    <x:row r="233" ht="34" customHeight="1">
      <x:c r="A233" s="347" t="str">
        <x:v>C06-M010</x:v>
      </x:c>
      <x:c r="B233" s="348" t="str">
        <x:v>C06</x:v>
      </x:c>
      <x:c r="C233" s="348" t="str">
        <x:v>盖利德</x:v>
      </x:c>
      <x:c r="D233" s="348" t="str">
        <x:v>XX307</x:v>
      </x:c>
      <x:c r="E233" s="348" t="str">
        <x:v>灰烬裁决官</x:v>
      </x:c>
      <x:c r="F233" s="348" t="str">
        <x:v>稀有</x:v>
      </x:c>
      <x:c r="G233" s="348" t="str">
        <x:v>灰烬裁印</x:v>
      </x:c>
      <x:c r="H233" s="348" t="str">
        <x:v>勋章</x:v>
      </x:c>
      <x:c r="I233" s="348" t="str">
        <x:v>勋章</x:v>
      </x:c>
      <x:c r="J233" s="348" t="n">
        <x:v>6894</x:v>
      </x:c>
      <x:c r="K233" s="348" t="str">
        <x:v>预检通过资源／规划锁定／待入库</x:v>
      </x:c>
      <x:c r="L233" s="349" t="str">
        <x:v>装备资源库星渊龙息·无垠</x:v>
      </x:c>
    </x:row>
    <x:row r="234" ht="34" customHeight="1">
      <x:c r="A234" s="347" t="str">
        <x:v>C06-M011</x:v>
      </x:c>
      <x:c r="B234" s="348" t="str">
        <x:v>C06</x:v>
      </x:c>
      <x:c r="C234" s="348" t="str">
        <x:v>盖利德</x:v>
      </x:c>
      <x:c r="D234" s="348" t="str">
        <x:v>XX307</x:v>
      </x:c>
      <x:c r="E234" s="348" t="str">
        <x:v>火蚀巨像·巴洛</x:v>
      </x:c>
      <x:c r="F234" s="348" t="str">
        <x:v>地图BOSS</x:v>
      </x:c>
      <x:c r="G234" s="348" t="str">
        <x:v>巴洛熔拳</x:v>
      </x:c>
      <x:c r="H234" s="348" t="str">
        <x:v>武器</x:v>
      </x:c>
      <x:c r="I234" s="348" t="str">
        <x:v>武器</x:v>
      </x:c>
      <x:c r="J234" s="348"/>
      <x:c r="K234" s="348" t="str">
        <x:v>缺武器来源码</x:v>
      </x:c>
      <x:c r="L234" s="349" t="str">
        <x:v>需补同部位Items/StateItem/DnItems三库同码资源</x:v>
      </x:c>
    </x:row>
    <x:row r="235" ht="34" customHeight="1">
      <x:c r="A235" s="347" t="str">
        <x:v>C06-M012</x:v>
      </x:c>
      <x:c r="B235" s="348" t="str">
        <x:v>C06</x:v>
      </x:c>
      <x:c r="C235" s="348" t="str">
        <x:v>盖利德</x:v>
      </x:c>
      <x:c r="D235" s="348" t="str">
        <x:v>XX308</x:v>
      </x:c>
      <x:c r="E235" s="348" t="str">
        <x:v>猩红熔母·瑟芮</x:v>
      </x:c>
      <x:c r="F235" s="348" t="str">
        <x:v>地图BOSS</x:v>
      </x:c>
      <x:c r="G235" s="348" t="str">
        <x:v>瑟芮血衣</x:v>
      </x:c>
      <x:c r="H235" s="348" t="str">
        <x:v>衣服</x:v>
      </x:c>
      <x:c r="I235" s="348" t="str">
        <x:v>男衣服（现行模板的衣服映射）</x:v>
      </x:c>
      <x:c r="J235" s="348"/>
      <x:c r="K235" s="348" t="str">
        <x:v>缺衣服来源码</x:v>
      </x:c>
      <x:c r="L235" s="349" t="str">
        <x:v>需补男衣服StdMode10的三库同码资源；女衣服码未获准合池</x:v>
      </x:c>
    </x:row>
    <x:row r="236" ht="34" customHeight="1">
      <x:c r="A236" s="347" t="str">
        <x:v>C06-M013</x:v>
      </x:c>
      <x:c r="B236" s="348" t="str">
        <x:v>C06</x:v>
      </x:c>
      <x:c r="C236" s="348" t="str">
        <x:v>盖利德</x:v>
      </x:c>
      <x:c r="D236" s="348" t="str">
        <x:v>XX357</x:v>
      </x:c>
      <x:c r="E236" s="348" t="str">
        <x:v>腐狱囚徒</x:v>
      </x:c>
      <x:c r="F236" s="348" t="str">
        <x:v>普通</x:v>
      </x:c>
      <x:c r="G236" s="348" t="str">
        <x:v>腐狱铁链</x:v>
      </x:c>
      <x:c r="H236" s="348" t="str">
        <x:v>项链</x:v>
      </x:c>
      <x:c r="I236" s="348" t="str">
        <x:v>项链</x:v>
      </x:c>
      <x:c r="J236" s="348" t="n">
        <x:v>5913</x:v>
      </x:c>
      <x:c r="K236" s="348" t="str">
        <x:v>规划锁定／旧资源待实库回读</x:v>
      </x:c>
      <x:c r="L236" s="349" t="str">
        <x:v>装备资源库黄金圣律·蓝辉</x:v>
      </x:c>
    </x:row>
    <x:row r="237" ht="34" customHeight="1">
      <x:c r="A237" s="347" t="str">
        <x:v>C06-M014</x:v>
      </x:c>
      <x:c r="B237" s="348" t="str">
        <x:v>C06</x:v>
      </x:c>
      <x:c r="C237" s="348" t="str">
        <x:v>盖利德</x:v>
      </x:c>
      <x:c r="D237" s="348" t="str">
        <x:v>XX358</x:v>
      </x:c>
      <x:c r="E237" s="348" t="str">
        <x:v>灼腐行刑兵</x:v>
      </x:c>
      <x:c r="F237" s="348" t="str">
        <x:v>普通</x:v>
      </x:c>
      <x:c r="G237" s="348" t="str">
        <x:v>灼刑断刃</x:v>
      </x:c>
      <x:c r="H237" s="348" t="str">
        <x:v>武器</x:v>
      </x:c>
      <x:c r="I237" s="348" t="str">
        <x:v>武器</x:v>
      </x:c>
      <x:c r="J237" s="348"/>
      <x:c r="K237" s="348" t="str">
        <x:v>缺武器来源码</x:v>
      </x:c>
      <x:c r="L237" s="349" t="str">
        <x:v>需补同部位Items/StateItem/DnItems三库同码资源</x:v>
      </x:c>
    </x:row>
    <x:row r="238" ht="34" customHeight="1">
      <x:c r="A238" s="347" t="str">
        <x:v>C06-M015</x:v>
      </x:c>
      <x:c r="B238" s="348" t="str">
        <x:v>C06</x:v>
      </x:c>
      <x:c r="C238" s="348" t="str">
        <x:v>盖利德</x:v>
      </x:c>
      <x:c r="D238" s="348" t="str">
        <x:v>XX359</x:v>
      </x:c>
      <x:c r="E238" s="348" t="str">
        <x:v>深渊熔壳虫</x:v>
      </x:c>
      <x:c r="F238" s="348" t="str">
        <x:v>普通</x:v>
      </x:c>
      <x:c r="G238" s="348" t="str">
        <x:v>熔壳甲衣</x:v>
      </x:c>
      <x:c r="H238" s="348" t="str">
        <x:v>衣服</x:v>
      </x:c>
      <x:c r="I238" s="348" t="str">
        <x:v>男衣服（现行模板的衣服映射）</x:v>
      </x:c>
      <x:c r="J238" s="348"/>
      <x:c r="K238" s="348" t="str">
        <x:v>缺衣服来源码</x:v>
      </x:c>
      <x:c r="L238" s="349" t="str">
        <x:v>需补男衣服StdMode10的三库同码资源；女衣服码未获准合池</x:v>
      </x:c>
    </x:row>
    <x:row r="239" ht="34" customHeight="1">
      <x:c r="A239" s="347" t="str">
        <x:v>C06-M016</x:v>
      </x:c>
      <x:c r="B239" s="348" t="str">
        <x:v>C06</x:v>
      </x:c>
      <x:c r="C239" s="348" t="str">
        <x:v>盖利德</x:v>
      </x:c>
      <x:c r="D239" s="348" t="str">
        <x:v>XX360</x:v>
      </x:c>
      <x:c r="E239" s="348" t="str">
        <x:v>内域血菌兽</x:v>
      </x:c>
      <x:c r="F239" s="348" t="str">
        <x:v>普通</x:v>
      </x:c>
      <x:c r="G239" s="348" t="str">
        <x:v>血菌腕轮</x:v>
      </x:c>
      <x:c r="H239" s="348" t="str">
        <x:v>手镯</x:v>
      </x:c>
      <x:c r="I239" s="348" t="str">
        <x:v>手镯</x:v>
      </x:c>
      <x:c r="J239" s="348" t="n">
        <x:v>5879</x:v>
      </x:c>
      <x:c r="K239" s="348" t="str">
        <x:v>规划锁定／旧资源待实库回读</x:v>
      </x:c>
      <x:c r="L239" s="349" t="str">
        <x:v>装备资源库黄金圣律·铭契</x:v>
      </x:c>
    </x:row>
    <x:row r="240" ht="34" customHeight="1">
      <x:c r="A240" s="347" t="str">
        <x:v>C06-M017</x:v>
      </x:c>
      <x:c r="B240" s="348" t="str">
        <x:v>C06</x:v>
      </x:c>
      <x:c r="C240" s="348" t="str">
        <x:v>盖利德</x:v>
      </x:c>
      <x:c r="D240" s="348" t="str">
        <x:v>XX361</x:v>
      </x:c>
      <x:c r="E240" s="348" t="str">
        <x:v>熔心烙印僧</x:v>
      </x:c>
      <x:c r="F240" s="348" t="str">
        <x:v>普通</x:v>
      </x:c>
      <x:c r="G240" s="348" t="str">
        <x:v>烙印斗笠</x:v>
      </x:c>
      <x:c r="H240" s="348" t="str">
        <x:v>斗笠</x:v>
      </x:c>
      <x:c r="I240" s="348" t="str">
        <x:v>面巾（位置13，对应斗笠）</x:v>
      </x:c>
      <x:c r="J240" s="348"/>
      <x:c r="K240" s="348" t="str">
        <x:v>缺斗笠来源码</x:v>
      </x:c>
      <x:c r="L240" s="349" t="str">
        <x:v>需补StdMode16/位置13的三库同码资源</x:v>
      </x:c>
    </x:row>
    <x:row r="241" ht="34" customHeight="1">
      <x:c r="A241" s="347" t="str">
        <x:v>C06-M018</x:v>
      </x:c>
      <x:c r="B241" s="348" t="str">
        <x:v>C06</x:v>
      </x:c>
      <x:c r="C241" s="348" t="str">
        <x:v>盖利德</x:v>
      </x:c>
      <x:c r="D241" s="348" t="str">
        <x:v>XX357</x:v>
      </x:c>
      <x:c r="E241" s="348" t="str">
        <x:v>火狱锁门卒</x:v>
      </x:c>
      <x:c r="F241" s="348" t="str">
        <x:v>普通</x:v>
      </x:c>
      <x:c r="G241" s="348" t="str">
        <x:v>锁门重盾</x:v>
      </x:c>
      <x:c r="H241" s="348" t="str">
        <x:v>盾牌</x:v>
      </x:c>
      <x:c r="I241" s="348" t="str">
        <x:v>盾牌</x:v>
      </x:c>
      <x:c r="J241" s="348" t="n">
        <x:v>7070</x:v>
      </x:c>
      <x:c r="K241" s="348" t="str">
        <x:v>预检通过资源／规划锁定／待入库</x:v>
      </x:c>
      <x:c r="L241" s="349" t="str">
        <x:v>装备资源库翠焰冥契·永夜</x:v>
      </x:c>
    </x:row>
    <x:row r="242" ht="34" customHeight="1">
      <x:c r="A242" s="347" t="str">
        <x:v>C06-M019</x:v>
      </x:c>
      <x:c r="B242" s="348" t="str">
        <x:v>C06</x:v>
      </x:c>
      <x:c r="C242" s="348" t="str">
        <x:v>盖利德</x:v>
      </x:c>
      <x:c r="D242" s="348" t="str">
        <x:v>XX357</x:v>
      </x:c>
      <x:c r="E242" s="348" t="str">
        <x:v>瘴焰缝尸匠</x:v>
      </x:c>
      <x:c r="F242" s="348" t="str">
        <x:v>稀有</x:v>
      </x:c>
      <x:c r="G242" s="348" t="str">
        <x:v>缝尸骨针</x:v>
      </x:c>
      <x:c r="H242" s="348" t="str">
        <x:v>武器</x:v>
      </x:c>
      <x:c r="I242" s="348" t="str">
        <x:v>武器</x:v>
      </x:c>
      <x:c r="J242" s="348"/>
      <x:c r="K242" s="348" t="str">
        <x:v>缺武器来源码</x:v>
      </x:c>
      <x:c r="L242" s="349" t="str">
        <x:v>需补同部位Items/StateItem/DnItems三库同码资源</x:v>
      </x:c>
    </x:row>
    <x:row r="243" ht="34" customHeight="1">
      <x:c r="A243" s="347" t="str">
        <x:v>C06-M020</x:v>
      </x:c>
      <x:c r="B243" s="348" t="str">
        <x:v>C06</x:v>
      </x:c>
      <x:c r="C243" s="348" t="str">
        <x:v>盖利德</x:v>
      </x:c>
      <x:c r="D243" s="348" t="str">
        <x:v>XX358</x:v>
      </x:c>
      <x:c r="E243" s="348" t="str">
        <x:v>灼骨狱卒长</x:v>
      </x:c>
      <x:c r="F243" s="348" t="str">
        <x:v>稀有</x:v>
      </x:c>
      <x:c r="G243" s="348" t="str">
        <x:v>灼骨腰甲</x:v>
      </x:c>
      <x:c r="H243" s="348" t="str">
        <x:v>腰带</x:v>
      </x:c>
      <x:c r="I243" s="348" t="str">
        <x:v>腰带</x:v>
      </x:c>
      <x:c r="J243" s="348" t="n">
        <x:v>7038</x:v>
      </x:c>
      <x:c r="K243" s="348" t="str">
        <x:v>预检通过资源／规划锁定／待入库</x:v>
      </x:c>
      <x:c r="L243" s="349" t="str">
        <x:v>装备资源库翠焰冥契·灾厄</x:v>
      </x:c>
    </x:row>
    <x:row r="244" ht="34" customHeight="1">
      <x:c r="A244" s="347" t="str">
        <x:v>C06-M021</x:v>
      </x:c>
      <x:c r="B244" s="348" t="str">
        <x:v>C06</x:v>
      </x:c>
      <x:c r="C244" s="348" t="str">
        <x:v>盖利德</x:v>
      </x:c>
      <x:c r="D244" s="348" t="str">
        <x:v>XX359</x:v>
      </x:c>
      <x:c r="E244" s="348" t="str">
        <x:v>深渊熔喉兽</x:v>
      </x:c>
      <x:c r="F244" s="348" t="str">
        <x:v>稀有</x:v>
      </x:c>
      <x:c r="G244" s="348" t="str">
        <x:v>熔喉牙戒</x:v>
      </x:c>
      <x:c r="H244" s="348" t="str">
        <x:v>戒指</x:v>
      </x:c>
      <x:c r="I244" s="348" t="str">
        <x:v>戒指</x:v>
      </x:c>
      <x:c r="J244" s="348" t="n">
        <x:v>5889</x:v>
      </x:c>
      <x:c r="K244" s="348" t="str">
        <x:v>规划锁定／旧资源待实库回读</x:v>
      </x:c>
      <x:c r="L244" s="349" t="str">
        <x:v>装备资源库黄金圣律·执火</x:v>
      </x:c>
    </x:row>
    <x:row r="245" ht="34" customHeight="1">
      <x:c r="A245" s="347" t="str">
        <x:v>C06-M022</x:v>
      </x:c>
      <x:c r="B245" s="348" t="str">
        <x:v>C06</x:v>
      </x:c>
      <x:c r="C245" s="348" t="str">
        <x:v>盖利德</x:v>
      </x:c>
      <x:c r="D245" s="348" t="str">
        <x:v>XX360</x:v>
      </x:c>
      <x:c r="E245" s="348" t="str">
        <x:v>赤腐祷刑官</x:v>
      </x:c>
      <x:c r="F245" s="348" t="str">
        <x:v>稀有</x:v>
      </x:c>
      <x:c r="G245" s="348" t="str">
        <x:v>祷刑罪章</x:v>
      </x:c>
      <x:c r="H245" s="348" t="str">
        <x:v>勋章</x:v>
      </x:c>
      <x:c r="I245" s="348" t="str">
        <x:v>勋章</x:v>
      </x:c>
      <x:c r="J245" s="348" t="n">
        <x:v>6929</x:v>
      </x:c>
      <x:c r="K245" s="348" t="str">
        <x:v>预检通过资源／规划锁定／待入库</x:v>
      </x:c>
      <x:c r="L245" s="349" t="str">
        <x:v>装备资源库翠焰冥契·幽焰</x:v>
      </x:c>
    </x:row>
    <x:row r="246" ht="34" customHeight="1">
      <x:c r="A246" s="347" t="str">
        <x:v>C06-M023</x:v>
      </x:c>
      <x:c r="B246" s="348" t="str">
        <x:v>C06</x:v>
      </x:c>
      <x:c r="C246" s="348" t="str">
        <x:v>盖利德</x:v>
      </x:c>
      <x:c r="D246" s="348" t="str">
        <x:v>XX360</x:v>
      </x:c>
      <x:c r="E246" s="348" t="str">
        <x:v>腐败火侯·伊弗</x:v>
      </x:c>
      <x:c r="F246" s="348" t="str">
        <x:v>地图BOSS</x:v>
      </x:c>
      <x:c r="G246" s="348" t="str">
        <x:v>伊弗腐冠</x:v>
      </x:c>
      <x:c r="H246" s="348" t="str">
        <x:v>头盔</x:v>
      </x:c>
      <x:c r="I246" s="348" t="str">
        <x:v>头盔</x:v>
      </x:c>
      <x:c r="J246" s="348" t="n">
        <x:v>5896</x:v>
      </x:c>
      <x:c r="K246" s="348" t="str">
        <x:v>规划锁定／旧资源待实库回读</x:v>
      </x:c>
      <x:c r="L246" s="349" t="str">
        <x:v>装备资源库黄金圣律·圣徽</x:v>
      </x:c>
    </x:row>
    <x:row r="247" ht="34" customHeight="1">
      <x:c r="A247" s="347" t="str">
        <x:v>C06-M024</x:v>
      </x:c>
      <x:c r="B247" s="348" t="str">
        <x:v>C06</x:v>
      </x:c>
      <x:c r="C247" s="348" t="str">
        <x:v>盖利德</x:v>
      </x:c>
      <x:c r="D247" s="348" t="str">
        <x:v>XX361</x:v>
      </x:c>
      <x:c r="E247" s="348" t="str">
        <x:v>熔心狱主·塞维拉</x:v>
      </x:c>
      <x:c r="F247" s="348" t="str">
        <x:v>地图BOSS</x:v>
      </x:c>
      <x:c r="G247" s="348" t="str">
        <x:v>塞维拉狱衣</x:v>
      </x:c>
      <x:c r="H247" s="348" t="str">
        <x:v>衣服</x:v>
      </x:c>
      <x:c r="I247" s="348" t="str">
        <x:v>男衣服（现行模板的衣服映射）</x:v>
      </x:c>
      <x:c r="J247" s="348"/>
      <x:c r="K247" s="348" t="str">
        <x:v>缺衣服来源码</x:v>
      </x:c>
      <x:c r="L247" s="349" t="str">
        <x:v>需补男衣服StdMode10的三库同码资源；女衣服码未获准合池</x:v>
      </x:c>
    </x:row>
    <x:row r="248" ht="34" customHeight="1">
      <x:c r="A248" s="347" t="str">
        <x:v>C06-M025</x:v>
      </x:c>
      <x:c r="B248" s="348" t="str">
        <x:v>C06</x:v>
      </x:c>
      <x:c r="C248" s="348" t="str">
        <x:v>盖利德</x:v>
      </x:c>
      <x:c r="D248" s="348" t="str">
        <x:v>XX485</x:v>
      </x:c>
      <x:c r="E248" s="348" t="str">
        <x:v>龙窟烬鳞兽</x:v>
      </x:c>
      <x:c r="F248" s="348" t="str">
        <x:v>普通</x:v>
      </x:c>
      <x:c r="G248" s="348" t="str">
        <x:v>烬鳞护腕</x:v>
      </x:c>
      <x:c r="H248" s="348" t="str">
        <x:v>手镯</x:v>
      </x:c>
      <x:c r="I248" s="348" t="str">
        <x:v>手镯</x:v>
      </x:c>
      <x:c r="J248" s="348" t="n">
        <x:v>5888</x:v>
      </x:c>
      <x:c r="K248" s="348" t="str">
        <x:v>规划锁定／旧资源待实库回读</x:v>
      </x:c>
      <x:c r="L248" s="349" t="str">
        <x:v>装备资源库黄金圣律·执火</x:v>
      </x:c>
    </x:row>
    <x:row r="249" ht="34" customHeight="1">
      <x:c r="A249" s="347" t="str">
        <x:v>C06-M026</x:v>
      </x:c>
      <x:c r="B249" s="348" t="str">
        <x:v>C06</x:v>
      </x:c>
      <x:c r="C249" s="348" t="str">
        <x:v>盖利德</x:v>
      </x:c>
      <x:c r="D249" s="348" t="str">
        <x:v>XX484</x:v>
      </x:c>
      <x:c r="E249" s="348" t="str">
        <x:v>崎路红狮兵</x:v>
      </x:c>
      <x:c r="F249" s="348" t="str">
        <x:v>普通</x:v>
      </x:c>
      <x:c r="G249" s="348" t="str">
        <x:v>崎路狮盔</x:v>
      </x:c>
      <x:c r="H249" s="348" t="str">
        <x:v>头盔</x:v>
      </x:c>
      <x:c r="I249" s="348" t="str">
        <x:v>头盔</x:v>
      </x:c>
      <x:c r="J249" s="348" t="n">
        <x:v>5905</x:v>
      </x:c>
      <x:c r="K249" s="348" t="str">
        <x:v>规划锁定／旧资源待实库回读</x:v>
      </x:c>
      <x:c r="L249" s="349" t="str">
        <x:v>装备资源库黄金圣律·璨金</x:v>
      </x:c>
    </x:row>
    <x:row r="250" ht="34" customHeight="1">
      <x:c r="A250" s="347" t="str">
        <x:v>C06-M027</x:v>
      </x:c>
      <x:c r="B250" s="348" t="str">
        <x:v>C06</x:v>
      </x:c>
      <x:c r="C250" s="348" t="str">
        <x:v>盖利德</x:v>
      </x:c>
      <x:c r="D250" s="348" t="str">
        <x:v>XX483</x:v>
      </x:c>
      <x:c r="E250" s="348" t="str">
        <x:v>回廊火弩卫</x:v>
      </x:c>
      <x:c r="F250" s="348" t="str">
        <x:v>普通</x:v>
      </x:c>
      <x:c r="G250" s="348" t="str">
        <x:v>火弩指环</x:v>
      </x:c>
      <x:c r="H250" s="348" t="str">
        <x:v>戒指</x:v>
      </x:c>
      <x:c r="I250" s="348" t="str">
        <x:v>戒指</x:v>
      </x:c>
      <x:c r="J250" s="348" t="n">
        <x:v>5907</x:v>
      </x:c>
      <x:c r="K250" s="348" t="str">
        <x:v>规划锁定／旧资源待实库回读</x:v>
      </x:c>
      <x:c r="L250" s="349" t="str">
        <x:v>装备资源库黄金圣律·璨金</x:v>
      </x:c>
    </x:row>
    <x:row r="251" ht="34" customHeight="1">
      <x:c r="A251" s="347" t="str">
        <x:v>C06-M028</x:v>
      </x:c>
      <x:c r="B251" s="348" t="str">
        <x:v>C06</x:v>
      </x:c>
      <x:c r="C251" s="348" t="str">
        <x:v>盖利德</x:v>
      </x:c>
      <x:c r="D251" s="348" t="str">
        <x:v>XX482</x:v>
      </x:c>
      <x:c r="E251" s="348" t="str">
        <x:v>龙巢护卵兽</x:v>
      </x:c>
      <x:c r="F251" s="348" t="str">
        <x:v>普通</x:v>
      </x:c>
      <x:c r="G251" s="348" t="str">
        <x:v>护卵鳞衣</x:v>
      </x:c>
      <x:c r="H251" s="348" t="str">
        <x:v>衣服</x:v>
      </x:c>
      <x:c r="I251" s="348" t="str">
        <x:v>男衣服（现行模板的衣服映射）</x:v>
      </x:c>
      <x:c r="J251" s="348"/>
      <x:c r="K251" s="348" t="str">
        <x:v>缺衣服来源码</x:v>
      </x:c>
      <x:c r="L251" s="349" t="str">
        <x:v>需补男衣服StdMode10的三库同码资源；女衣服码未获准合池</x:v>
      </x:c>
    </x:row>
    <x:row r="252" ht="34" customHeight="1">
      <x:c r="A252" s="347" t="str">
        <x:v>C06-M029</x:v>
      </x:c>
      <x:c r="B252" s="348" t="str">
        <x:v>C06</x:v>
      </x:c>
      <x:c r="C252" s="348" t="str">
        <x:v>盖利德</x:v>
      </x:c>
      <x:c r="D252" s="348" t="str">
        <x:v>XX481</x:v>
      </x:c>
      <x:c r="E252" s="348" t="str">
        <x:v>神殿执矛僧</x:v>
      </x:c>
      <x:c r="F252" s="348" t="str">
        <x:v>普通</x:v>
      </x:c>
      <x:c r="G252" s="348" t="str">
        <x:v>神殿焰矛</x:v>
      </x:c>
      <x:c r="H252" s="348" t="str">
        <x:v>武器</x:v>
      </x:c>
      <x:c r="I252" s="348" t="str">
        <x:v>武器</x:v>
      </x:c>
      <x:c r="J252" s="348"/>
      <x:c r="K252" s="348" t="str">
        <x:v>缺武器来源码</x:v>
      </x:c>
      <x:c r="L252" s="349" t="str">
        <x:v>需补同部位Items/StateItem/DnItems三库同码资源</x:v>
      </x:c>
    </x:row>
    <x:row r="253" ht="34" customHeight="1">
      <x:c r="A253" s="347" t="str">
        <x:v>C06-M030</x:v>
      </x:c>
      <x:c r="B253" s="348" t="str">
        <x:v>C06</x:v>
      </x:c>
      <x:c r="C253" s="348" t="str">
        <x:v>盖利德</x:v>
      </x:c>
      <x:c r="D253" s="348" t="str">
        <x:v>XX485</x:v>
      </x:c>
      <x:c r="E253" s="348" t="str">
        <x:v>赤鬃巡巢者</x:v>
      </x:c>
      <x:c r="F253" s="348" t="str">
        <x:v>普通</x:v>
      </x:c>
      <x:c r="G253" s="348" t="str">
        <x:v>赤鬃战靴</x:v>
      </x:c>
      <x:c r="H253" s="348" t="str">
        <x:v>鞋子</x:v>
      </x:c>
      <x:c r="I253" s="348" t="str">
        <x:v>鞋子</x:v>
      </x:c>
      <x:c r="J253" s="348" t="n">
        <x:v>5874</x:v>
      </x:c>
      <x:c r="K253" s="348" t="str">
        <x:v>规划锁定／旧资源待实库回读</x:v>
      </x:c>
      <x:c r="L253" s="349" t="str">
        <x:v>装备资源库黄金圣律·初誓</x:v>
      </x:c>
    </x:row>
    <x:row r="254" ht="34" customHeight="1">
      <x:c r="A254" s="347" t="str">
        <x:v>C06-M031</x:v>
      </x:c>
      <x:c r="B254" s="348" t="str">
        <x:v>C06</x:v>
      </x:c>
      <x:c r="C254" s="348" t="str">
        <x:v>盖利德</x:v>
      </x:c>
      <x:c r="D254" s="348" t="str">
        <x:v>XX485</x:v>
      </x:c>
      <x:c r="E254" s="348" t="str">
        <x:v>龙火驯兽师</x:v>
      </x:c>
      <x:c r="F254" s="348" t="str">
        <x:v>稀有</x:v>
      </x:c>
      <x:c r="G254" s="348" t="str">
        <x:v>驯火锁链</x:v>
      </x:c>
      <x:c r="H254" s="348" t="str">
        <x:v>项链</x:v>
      </x:c>
      <x:c r="I254" s="348" t="str">
        <x:v>项链</x:v>
      </x:c>
      <x:c r="J254" s="348" t="n">
        <x:v>5922</x:v>
      </x:c>
      <x:c r="K254" s="348" t="str">
        <x:v>规划锁定／旧资源待实库回读</x:v>
      </x:c>
      <x:c r="L254" s="349" t="str">
        <x:v>装备资源库黄金圣律·王权</x:v>
      </x:c>
    </x:row>
    <x:row r="255" ht="34" customHeight="1">
      <x:c r="A255" s="347" t="str">
        <x:v>C06-M032</x:v>
      </x:c>
      <x:c r="B255" s="348" t="str">
        <x:v>C06</x:v>
      </x:c>
      <x:c r="C255" s="348" t="str">
        <x:v>盖利德</x:v>
      </x:c>
      <x:c r="D255" s="348" t="str">
        <x:v>XX484</x:v>
      </x:c>
      <x:c r="E255" s="348" t="str">
        <x:v>红狮斩翼骑</x:v>
      </x:c>
      <x:c r="F255" s="348" t="str">
        <x:v>稀有</x:v>
      </x:c>
      <x:c r="G255" s="348" t="str">
        <x:v>斩翼腰封</x:v>
      </x:c>
      <x:c r="H255" s="348" t="str">
        <x:v>腰带</x:v>
      </x:c>
      <x:c r="I255" s="348" t="str">
        <x:v>腰带</x:v>
      </x:c>
      <x:c r="J255" s="348" t="n">
        <x:v>7073</x:v>
      </x:c>
      <x:c r="K255" s="348" t="str">
        <x:v>预检通过资源／规划锁定／待入库</x:v>
      </x:c>
      <x:c r="L255" s="349" t="str">
        <x:v>装备资源库翠焰冥契·永夜</x:v>
      </x:c>
    </x:row>
    <x:row r="256" ht="34" customHeight="1">
      <x:c r="A256" s="347" t="str">
        <x:v>C06-M033</x:v>
      </x:c>
      <x:c r="B256" s="348" t="str">
        <x:v>C06</x:v>
      </x:c>
      <x:c r="C256" s="348" t="str">
        <x:v>盖利德</x:v>
      </x:c>
      <x:c r="D256" s="348" t="str">
        <x:v>XX483</x:v>
      </x:c>
      <x:c r="E256" s="348" t="str">
        <x:v>赤焰鳞甲将</x:v>
      </x:c>
      <x:c r="F256" s="348" t="str">
        <x:v>稀有</x:v>
      </x:c>
      <x:c r="G256" s="348" t="str">
        <x:v>赤焰塔盾</x:v>
      </x:c>
      <x:c r="H256" s="348" t="str">
        <x:v>盾牌</x:v>
      </x:c>
      <x:c r="I256" s="348" t="str">
        <x:v>盾牌</x:v>
      </x:c>
      <x:c r="J256" s="348" t="n">
        <x:v>5872</x:v>
      </x:c>
      <x:c r="K256" s="348" t="str">
        <x:v>规划锁定／旧资源待实库回读</x:v>
      </x:c>
      <x:c r="L256" s="349" t="str">
        <x:v>装备资源库黄金圣律·初誓</x:v>
      </x:c>
    </x:row>
    <x:row r="257" ht="34" customHeight="1">
      <x:c r="A257" s="347" t="str">
        <x:v>C06-M034</x:v>
      </x:c>
      <x:c r="B257" s="348" t="str">
        <x:v>C06</x:v>
      </x:c>
      <x:c r="C257" s="348" t="str">
        <x:v>盖利德</x:v>
      </x:c>
      <x:c r="D257" s="348" t="str">
        <x:v>XX482</x:v>
      </x:c>
      <x:c r="E257" s="348" t="str">
        <x:v>龙巢血祭司</x:v>
      </x:c>
      <x:c r="F257" s="348" t="str">
        <x:v>稀有</x:v>
      </x:c>
      <x:c r="G257" s="348" t="str">
        <x:v>血祭徽章</x:v>
      </x:c>
      <x:c r="H257" s="348" t="str">
        <x:v>勋章</x:v>
      </x:c>
      <x:c r="I257" s="348" t="str">
        <x:v>勋章</x:v>
      </x:c>
      <x:c r="J257" s="348" t="n">
        <x:v>6964</x:v>
      </x:c>
      <x:c r="K257" s="348" t="str">
        <x:v>预检通过资源／规划锁定／待入库</x:v>
      </x:c>
      <x:c r="L257" s="349" t="str">
        <x:v>装备资源库翠焰冥契·腐痕</x:v>
      </x:c>
    </x:row>
    <x:row r="258" ht="34" customHeight="1">
      <x:c r="A258" s="347" t="str">
        <x:v>C06-M035</x:v>
      </x:c>
      <x:c r="B258" s="348" t="str">
        <x:v>C06</x:v>
      </x:c>
      <x:c r="C258" s="348" t="str">
        <x:v>盖利德</x:v>
      </x:c>
      <x:c r="D258" s="348" t="str">
        <x:v>XX482</x:v>
      </x:c>
      <x:c r="E258" s="348" t="str">
        <x:v>焚翼古龙·阿格纳</x:v>
      </x:c>
      <x:c r="F258" s="348" t="str">
        <x:v>地图BOSS</x:v>
      </x:c>
      <x:c r="G258" s="348" t="str">
        <x:v>阿格纳龙牙</x:v>
      </x:c>
      <x:c r="H258" s="348" t="str">
        <x:v>武器</x:v>
      </x:c>
      <x:c r="I258" s="348" t="str">
        <x:v>武器</x:v>
      </x:c>
      <x:c r="J258" s="348"/>
      <x:c r="K258" s="348" t="str">
        <x:v>缺武器来源码</x:v>
      </x:c>
      <x:c r="L258" s="349" t="str">
        <x:v>需补同部位Items/StateItem/DnItems三库同码资源</x:v>
      </x:c>
    </x:row>
    <x:row r="259" ht="34" customHeight="1">
      <x:c r="A259" s="347" t="str">
        <x:v>C06-M036</x:v>
      </x:c>
      <x:c r="B259" s="348" t="str">
        <x:v>C06</x:v>
      </x:c>
      <x:c r="C259" s="348" t="str">
        <x:v>盖利德</x:v>
      </x:c>
      <x:c r="D259" s="348" t="str">
        <x:v>XX481</x:v>
      </x:c>
      <x:c r="E259" s="348" t="str">
        <x:v>红狮圣兽·雷奥尼斯</x:v>
      </x:c>
      <x:c r="F259" s="348" t="str">
        <x:v>地图BOSS</x:v>
      </x:c>
      <x:c r="G259" s="348" t="str">
        <x:v>雷奥尼斯狮铠</x:v>
      </x:c>
      <x:c r="H259" s="348" t="str">
        <x:v>衣服</x:v>
      </x:c>
      <x:c r="I259" s="348" t="str">
        <x:v>男衣服（现行模板的衣服映射）</x:v>
      </x:c>
      <x:c r="J259" s="348"/>
      <x:c r="K259" s="348" t="str">
        <x:v>缺衣服来源码</x:v>
      </x:c>
      <x:c r="L259" s="349" t="str">
        <x:v>需补男衣服StdMode10的三库同码资源；女衣服码未获准合池</x:v>
      </x:c>
    </x:row>
    <x:row r="260" ht="34" customHeight="1">
      <x:c r="A260" s="347" t="str">
        <x:v>C06-M037</x:v>
      </x:c>
      <x:c r="B260" s="348" t="str">
        <x:v>C06</x:v>
      </x:c>
      <x:c r="C260" s="348" t="str">
        <x:v>盖利德</x:v>
      </x:c>
      <x:c r="D260" s="348" t="str">
        <x:v>XX481</x:v>
      </x:c>
      <x:c r="E260" s="348" t="str">
        <x:v>碎星狮王·拉塔恩</x:v>
      </x:c>
      <x:c r="F260" s="348" t="str">
        <x:v>守关BOSS</x:v>
      </x:c>
      <x:c r="G260" s="348" t="str">
        <x:v>拉塔恩碎星巨刃</x:v>
      </x:c>
      <x:c r="H260" s="348" t="str">
        <x:v>武器</x:v>
      </x:c>
      <x:c r="I260" s="348" t="str">
        <x:v>武器</x:v>
      </x:c>
      <x:c r="J260" s="348" t="n">
        <x:v>6956</x:v>
      </x:c>
      <x:c r="K260" s="348" t="str">
        <x:v>预检通过资源／规划锁定／待入库</x:v>
      </x:c>
      <x:c r="L260" s="349" t="str">
        <x:v>装备资源库翠焰冥契·腐痕</x:v>
      </x:c>
    </x:row>
    <x:row r="261" ht="34" customHeight="1">
      <x:c r="A261" s="347" t="str">
        <x:v>C07-M001</x:v>
      </x:c>
      <x:c r="B261" s="348" t="str">
        <x:v>C07</x:v>
      </x:c>
      <x:c r="C261" s="348" t="str">
        <x:v>化圣雪原</x:v>
      </x:c>
      <x:c r="D261" s="348" t="str">
        <x:v>XX149</x:v>
      </x:c>
      <x:c r="E261" s="348" t="str">
        <x:v>雪原冻角鹿</x:v>
      </x:c>
      <x:c r="F261" s="348" t="str">
        <x:v>普通</x:v>
      </x:c>
      <x:c r="G261" s="348" t="str">
        <x:v>冻角护腕</x:v>
      </x:c>
      <x:c r="H261" s="348" t="str">
        <x:v>手镯</x:v>
      </x:c>
      <x:c r="I261" s="348" t="str">
        <x:v>手镯</x:v>
      </x:c>
      <x:c r="J261" s="348" t="n">
        <x:v>5897</x:v>
      </x:c>
      <x:c r="K261" s="348" t="str">
        <x:v>规划锁定／旧资源待实库回读</x:v>
      </x:c>
      <x:c r="L261" s="349" t="str">
        <x:v>装备资源库黄金圣律·圣徽</x:v>
      </x:c>
    </x:row>
    <x:row r="262" ht="34" customHeight="1">
      <x:c r="A262" s="347" t="str">
        <x:v>C07-M002</x:v>
      </x:c>
      <x:c r="B262" s="348" t="str">
        <x:v>C07</x:v>
      </x:c>
      <x:c r="C262" s="348" t="str">
        <x:v>化圣雪原</x:v>
      </x:c>
      <x:c r="D262" s="348" t="str">
        <x:v>XX148</x:v>
      </x:c>
      <x:c r="E262" s="348" t="str">
        <x:v>霜风放逐兵</x:v>
      </x:c>
      <x:c r="F262" s="348" t="str">
        <x:v>普通</x:v>
      </x:c>
      <x:c r="G262" s="348" t="str">
        <x:v>放逐雪刃</x:v>
      </x:c>
      <x:c r="H262" s="348" t="str">
        <x:v>武器</x:v>
      </x:c>
      <x:c r="I262" s="348" t="str">
        <x:v>武器</x:v>
      </x:c>
      <x:c r="J262" s="348"/>
      <x:c r="K262" s="348" t="str">
        <x:v>缺武器来源码</x:v>
      </x:c>
      <x:c r="L262" s="349" t="str">
        <x:v>需补同部位Items/StateItem/DnItems三库同码资源</x:v>
      </x:c>
    </x:row>
    <x:row r="263" ht="34" customHeight="1">
      <x:c r="A263" s="347" t="str">
        <x:v>C07-M003</x:v>
      </x:c>
      <x:c r="B263" s="348" t="str">
        <x:v>C07</x:v>
      </x:c>
      <x:c r="C263" s="348" t="str">
        <x:v>化圣雪原</x:v>
      </x:c>
      <x:c r="D263" s="348" t="str">
        <x:v>XX147</x:v>
      </x:c>
      <x:c r="E263" s="348" t="str">
        <x:v>冻土掘冰徒</x:v>
      </x:c>
      <x:c r="F263" s="348" t="str">
        <x:v>普通</x:v>
      </x:c>
      <x:c r="G263" s="348" t="str">
        <x:v>掘冰腰带</x:v>
      </x:c>
      <x:c r="H263" s="348" t="str">
        <x:v>腰带</x:v>
      </x:c>
      <x:c r="I263" s="348" t="str">
        <x:v>腰带</x:v>
      </x:c>
      <x:c r="J263" s="348" t="n">
        <x:v>5875</x:v>
      </x:c>
      <x:c r="K263" s="348" t="str">
        <x:v>规划锁定／旧资源待实库回读</x:v>
      </x:c>
      <x:c r="L263" s="349" t="str">
        <x:v>装备资源库黄金圣律·初誓</x:v>
      </x:c>
    </x:row>
    <x:row r="264" ht="34" customHeight="1">
      <x:c r="A264" s="347" t="str">
        <x:v>C07-M004</x:v>
      </x:c>
      <x:c r="B264" s="348" t="str">
        <x:v>C07</x:v>
      </x:c>
      <x:c r="C264" s="348" t="str">
        <x:v>化圣雪原</x:v>
      </x:c>
      <x:c r="D264" s="348" t="str">
        <x:v>XX150</x:v>
      </x:c>
      <x:c r="E264" s="348" t="str">
        <x:v>祭场白烛侍</x:v>
      </x:c>
      <x:c r="F264" s="348" t="str">
        <x:v>普通</x:v>
      </x:c>
      <x:c r="G264" s="348" t="str">
        <x:v>白烛礼冠</x:v>
      </x:c>
      <x:c r="H264" s="348" t="str">
        <x:v>头盔</x:v>
      </x:c>
      <x:c r="I264" s="348" t="str">
        <x:v>头盔</x:v>
      </x:c>
      <x:c r="J264" s="348" t="n">
        <x:v>5914</x:v>
      </x:c>
      <x:c r="K264" s="348" t="str">
        <x:v>规划锁定／旧资源待实库回读</x:v>
      </x:c>
      <x:c r="L264" s="349" t="str">
        <x:v>装备资源库黄金圣律·蓝辉</x:v>
      </x:c>
    </x:row>
    <x:row r="265" ht="34" customHeight="1">
      <x:c r="A265" s="347" t="str">
        <x:v>C07-M005</x:v>
      </x:c>
      <x:c r="B265" s="348" t="str">
        <x:v>C07</x:v>
      </x:c>
      <x:c r="C265" s="348" t="str">
        <x:v>化圣雪原</x:v>
      </x:c>
      <x:c r="D265" s="348" t="str">
        <x:v>XX149</x:v>
      </x:c>
      <x:c r="E265" s="348" t="str">
        <x:v>苍鬃雪狼</x:v>
      </x:c>
      <x:c r="F265" s="348" t="str">
        <x:v>普通</x:v>
      </x:c>
      <x:c r="G265" s="348" t="str">
        <x:v>苍鬃牙戒</x:v>
      </x:c>
      <x:c r="H265" s="348" t="str">
        <x:v>戒指</x:v>
      </x:c>
      <x:c r="I265" s="348" t="str">
        <x:v>戒指</x:v>
      </x:c>
      <x:c r="J265" s="348" t="n">
        <x:v>5916</x:v>
      </x:c>
      <x:c r="K265" s="348" t="str">
        <x:v>规划锁定／旧资源待实库回读</x:v>
      </x:c>
      <x:c r="L265" s="349" t="str">
        <x:v>装备资源库黄金圣律·蓝辉</x:v>
      </x:c>
    </x:row>
    <x:row r="266" ht="34" customHeight="1">
      <x:c r="A266" s="347" t="str">
        <x:v>C07-M006</x:v>
      </x:c>
      <x:c r="B266" s="348" t="str">
        <x:v>C07</x:v>
      </x:c>
      <x:c r="C266" s="348" t="str">
        <x:v>化圣雪原</x:v>
      </x:c>
      <x:c r="D266" s="348" t="str">
        <x:v>XX148</x:v>
      </x:c>
      <x:c r="E266" s="348" t="str">
        <x:v>寒羽巡猎鹰</x:v>
      </x:c>
      <x:c r="F266" s="348" t="str">
        <x:v>普通</x:v>
      </x:c>
      <x:c r="G266" s="348" t="str">
        <x:v>寒羽猎链</x:v>
      </x:c>
      <x:c r="H266" s="348" t="str">
        <x:v>项链</x:v>
      </x:c>
      <x:c r="I266" s="348" t="str">
        <x:v>项链</x:v>
      </x:c>
      <x:c r="J266" s="348" t="n">
        <x:v>5931</x:v>
      </x:c>
      <x:c r="K266" s="348" t="str">
        <x:v>规划锁定／旧资源待实库回读</x:v>
      </x:c>
      <x:c r="L266" s="349" t="str">
        <x:v>装备资源库黄金圣律·日冕</x:v>
      </x:c>
    </x:row>
    <x:row r="267" ht="34" customHeight="1">
      <x:c r="A267" s="347" t="str">
        <x:v>C07-M007</x:v>
      </x:c>
      <x:c r="B267" s="348" t="str">
        <x:v>C07</x:v>
      </x:c>
      <x:c r="C267" s="348" t="str">
        <x:v>化圣雪原</x:v>
      </x:c>
      <x:c r="D267" s="348" t="str">
        <x:v>XX149</x:v>
      </x:c>
      <x:c r="E267" s="348" t="str">
        <x:v>白霜重甲卫</x:v>
      </x:c>
      <x:c r="F267" s="348" t="str">
        <x:v>稀有</x:v>
      </x:c>
      <x:c r="G267" s="348" t="str">
        <x:v>白霜重衣</x:v>
      </x:c>
      <x:c r="H267" s="348" t="str">
        <x:v>衣服</x:v>
      </x:c>
      <x:c r="I267" s="348" t="str">
        <x:v>男衣服（现行模板的衣服映射）</x:v>
      </x:c>
      <x:c r="J267" s="348"/>
      <x:c r="K267" s="348" t="str">
        <x:v>缺衣服来源码</x:v>
      </x:c>
      <x:c r="L267" s="349" t="str">
        <x:v>需补男衣服StdMode10的三库同码资源；女衣服码未获准合池</x:v>
      </x:c>
    </x:row>
    <x:row r="268" ht="34" customHeight="1">
      <x:c r="A268" s="347" t="str">
        <x:v>C07-M008</x:v>
      </x:c>
      <x:c r="B268" s="348" t="str">
        <x:v>C07</x:v>
      </x:c>
      <x:c r="C268" s="348" t="str">
        <x:v>化圣雪原</x:v>
      </x:c>
      <x:c r="D268" s="348" t="str">
        <x:v>XX148</x:v>
      </x:c>
      <x:c r="E268" s="348" t="str">
        <x:v>霜风号角骑</x:v>
      </x:c>
      <x:c r="F268" s="348" t="str">
        <x:v>稀有</x:v>
      </x:c>
      <x:c r="G268" s="348" t="str">
        <x:v>霜风战靴</x:v>
      </x:c>
      <x:c r="H268" s="348" t="str">
        <x:v>鞋子</x:v>
      </x:c>
      <x:c r="I268" s="348" t="str">
        <x:v>鞋子</x:v>
      </x:c>
      <x:c r="J268" s="348" t="n">
        <x:v>5883</x:v>
      </x:c>
      <x:c r="K268" s="348" t="str">
        <x:v>规划锁定／旧资源待实库回读</x:v>
      </x:c>
      <x:c r="L268" s="349" t="str">
        <x:v>装备资源库黄金圣律·铭契</x:v>
      </x:c>
    </x:row>
    <x:row r="269" ht="34" customHeight="1">
      <x:c r="A269" s="347" t="str">
        <x:v>C07-M009</x:v>
      </x:c>
      <x:c r="B269" s="348" t="str">
        <x:v>C07</x:v>
      </x:c>
      <x:c r="C269" s="348" t="str">
        <x:v>化圣雪原</x:v>
      </x:c>
      <x:c r="D269" s="348" t="str">
        <x:v>XX147</x:v>
      </x:c>
      <x:c r="E269" s="348" t="str">
        <x:v>冻土晶背熊</x:v>
      </x:c>
      <x:c r="F269" s="348" t="str">
        <x:v>稀有</x:v>
      </x:c>
      <x:c r="G269" s="348" t="str">
        <x:v>晶背塔盾</x:v>
      </x:c>
      <x:c r="H269" s="348" t="str">
        <x:v>盾牌</x:v>
      </x:c>
      <x:c r="I269" s="348" t="str">
        <x:v>盾牌</x:v>
      </x:c>
      <x:c r="J269" s="348" t="n">
        <x:v>5881</x:v>
      </x:c>
      <x:c r="K269" s="348" t="str">
        <x:v>规划锁定／旧资源待实库回读</x:v>
      </x:c>
      <x:c r="L269" s="349" t="str">
        <x:v>装备资源库黄金圣律·铭契</x:v>
      </x:c>
    </x:row>
    <x:row r="270" ht="34" customHeight="1">
      <x:c r="A270" s="347" t="str">
        <x:v>C07-M010</x:v>
      </x:c>
      <x:c r="B270" s="348" t="str">
        <x:v>C07</x:v>
      </x:c>
      <x:c r="C270" s="348" t="str">
        <x:v>化圣雪原</x:v>
      </x:c>
      <x:c r="D270" s="348" t="str">
        <x:v>XX150</x:v>
      </x:c>
      <x:c r="E270" s="348" t="str">
        <x:v>苍白祭司</x:v>
      </x:c>
      <x:c r="F270" s="348" t="str">
        <x:v>稀有</x:v>
      </x:c>
      <x:c r="G270" s="348" t="str">
        <x:v>苍白圣徽</x:v>
      </x:c>
      <x:c r="H270" s="348" t="str">
        <x:v>勋章</x:v>
      </x:c>
      <x:c r="I270" s="348" t="str">
        <x:v>勋章</x:v>
      </x:c>
      <x:c r="J270" s="348" t="n">
        <x:v>6999</x:v>
      </x:c>
      <x:c r="K270" s="348" t="str">
        <x:v>预检通过资源／规划锁定／待入库</x:v>
      </x:c>
      <x:c r="L270" s="349" t="str">
        <x:v>装备资源库翠焰冥契·冥契</x:v>
      </x:c>
    </x:row>
    <x:row r="271" ht="34" customHeight="1">
      <x:c r="A271" s="347" t="str">
        <x:v>C07-M011</x:v>
      </x:c>
      <x:c r="B271" s="348" t="str">
        <x:v>C07</x:v>
      </x:c>
      <x:c r="C271" s="348" t="str">
        <x:v>化圣雪原</x:v>
      </x:c>
      <x:c r="D271" s="348" t="str">
        <x:v>XX147</x:v>
      </x:c>
      <x:c r="E271" s="348" t="str">
        <x:v>雪墓巨人·赫洛</x:v>
      </x:c>
      <x:c r="F271" s="348" t="str">
        <x:v>地图BOSS</x:v>
      </x:c>
      <x:c r="G271" s="348" t="str">
        <x:v>赫洛冻拳</x:v>
      </x:c>
      <x:c r="H271" s="348" t="str">
        <x:v>武器</x:v>
      </x:c>
      <x:c r="I271" s="348" t="str">
        <x:v>武器</x:v>
      </x:c>
      <x:c r="J271" s="348"/>
      <x:c r="K271" s="348" t="str">
        <x:v>缺武器来源码</x:v>
      </x:c>
      <x:c r="L271" s="349" t="str">
        <x:v>需补同部位Items/StateItem/DnItems三库同码资源</x:v>
      </x:c>
    </x:row>
    <x:row r="272" ht="34" customHeight="1">
      <x:c r="A272" s="347" t="str">
        <x:v>C07-M012</x:v>
      </x:c>
      <x:c r="B272" s="348" t="str">
        <x:v>C07</x:v>
      </x:c>
      <x:c r="C272" s="348" t="str">
        <x:v>化圣雪原</x:v>
      </x:c>
      <x:c r="D272" s="348" t="str">
        <x:v>XX150</x:v>
      </x:c>
      <x:c r="E272" s="348" t="str">
        <x:v>苍白鹿王·艾尔维</x:v>
      </x:c>
      <x:c r="F272" s="348" t="str">
        <x:v>地图BOSS</x:v>
      </x:c>
      <x:c r="G272" s="348" t="str">
        <x:v>艾尔维霜冠</x:v>
      </x:c>
      <x:c r="H272" s="348" t="str">
        <x:v>头盔</x:v>
      </x:c>
      <x:c r="I272" s="348" t="str">
        <x:v>头盔</x:v>
      </x:c>
      <x:c r="J272" s="348" t="n">
        <x:v>5923</x:v>
      </x:c>
      <x:c r="K272" s="348" t="str">
        <x:v>规划锁定／旧资源待实库回读</x:v>
      </x:c>
      <x:c r="L272" s="349" t="str">
        <x:v>装备资源库黄金圣律·王权</x:v>
      </x:c>
    </x:row>
    <x:row r="273" ht="34" customHeight="1">
      <x:c r="A273" s="347" t="str">
        <x:v>C07-M013</x:v>
      </x:c>
      <x:c r="B273" s="348" t="str">
        <x:v>C07</x:v>
      </x:c>
      <x:c r="C273" s="348" t="str">
        <x:v>化圣雪原</x:v>
      </x:c>
      <x:c r="D273" s="348" t="str">
        <x:v>XX904</x:v>
      </x:c>
      <x:c r="E273" s="348" t="str">
        <x:v>荒境雪壳虫</x:v>
      </x:c>
      <x:c r="F273" s="348" t="str">
        <x:v>普通</x:v>
      </x:c>
      <x:c r="G273" s="348" t="str">
        <x:v>雪壳腕甲</x:v>
      </x:c>
      <x:c r="H273" s="348" t="str">
        <x:v>手镯</x:v>
      </x:c>
      <x:c r="I273" s="348" t="str">
        <x:v>手镯</x:v>
      </x:c>
      <x:c r="J273" s="348" t="n">
        <x:v>5906</x:v>
      </x:c>
      <x:c r="K273" s="348" t="str">
        <x:v>规划锁定／旧资源待实库回读</x:v>
      </x:c>
      <x:c r="L273" s="349" t="str">
        <x:v>装备资源库黄金圣律·璨金</x:v>
      </x:c>
    </x:row>
    <x:row r="274" ht="34" customHeight="1">
      <x:c r="A274" s="347" t="str">
        <x:v>C07-M014</x:v>
      </x:c>
      <x:c r="B274" s="348" t="str">
        <x:v>C07</x:v>
      </x:c>
      <x:c r="C274" s="348" t="str">
        <x:v>化圣雪原</x:v>
      </x:c>
      <x:c r="D274" s="348" t="str">
        <x:v>XX906</x:v>
      </x:c>
      <x:c r="E274" s="348" t="str">
        <x:v>冰封流亡者</x:v>
      </x:c>
      <x:c r="F274" s="348" t="str">
        <x:v>普通</x:v>
      </x:c>
      <x:c r="G274" s="348" t="str">
        <x:v>流亡冰刀</x:v>
      </x:c>
      <x:c r="H274" s="348" t="str">
        <x:v>武器</x:v>
      </x:c>
      <x:c r="I274" s="348" t="str">
        <x:v>武器</x:v>
      </x:c>
      <x:c r="J274" s="348"/>
      <x:c r="K274" s="348" t="str">
        <x:v>缺武器来源码</x:v>
      </x:c>
      <x:c r="L274" s="349" t="str">
        <x:v>需补同部位Items/StateItem/DnItems三库同码资源</x:v>
      </x:c>
    </x:row>
    <x:row r="275" ht="34" customHeight="1">
      <x:c r="A275" s="347" t="str">
        <x:v>C07-M015</x:v>
      </x:c>
      <x:c r="B275" s="348" t="str">
        <x:v>C07</x:v>
      </x:c>
      <x:c r="C275" s="348" t="str">
        <x:v>化圣雪原</x:v>
      </x:c>
      <x:c r="D275" s="348" t="str">
        <x:v>XX907</x:v>
      </x:c>
      <x:c r="E275" s="348" t="str">
        <x:v>极昼逐光兽</x:v>
      </x:c>
      <x:c r="F275" s="348" t="str">
        <x:v>普通</x:v>
      </x:c>
      <x:c r="G275" s="348" t="str">
        <x:v>逐光雪衣</x:v>
      </x:c>
      <x:c r="H275" s="348" t="str">
        <x:v>衣服</x:v>
      </x:c>
      <x:c r="I275" s="348" t="str">
        <x:v>男衣服（现行模板的衣服映射）</x:v>
      </x:c>
      <x:c r="J275" s="348"/>
      <x:c r="K275" s="348" t="str">
        <x:v>缺衣服来源码</x:v>
      </x:c>
      <x:c r="L275" s="349" t="str">
        <x:v>需补男衣服StdMode10的三库同码资源；女衣服码未获准合池</x:v>
      </x:c>
    </x:row>
    <x:row r="276" ht="34" customHeight="1">
      <x:c r="A276" s="347" t="str">
        <x:v>C07-M016</x:v>
      </x:c>
      <x:c r="B276" s="348" t="str">
        <x:v>C07</x:v>
      </x:c>
      <x:c r="C276" s="348" t="str">
        <x:v>化圣雪原</x:v>
      </x:c>
      <x:c r="D276" s="348" t="str">
        <x:v>XX905</x:v>
      </x:c>
      <x:c r="E276" s="348" t="str">
        <x:v>圣域守碑人</x:v>
      </x:c>
      <x:c r="F276" s="348" t="str">
        <x:v>普通</x:v>
      </x:c>
      <x:c r="G276" s="348" t="str">
        <x:v>守碑斗笠</x:v>
      </x:c>
      <x:c r="H276" s="348" t="str">
        <x:v>斗笠</x:v>
      </x:c>
      <x:c r="I276" s="348" t="str">
        <x:v>面巾（位置13，对应斗笠）</x:v>
      </x:c>
      <x:c r="J276" s="348"/>
      <x:c r="K276" s="348" t="str">
        <x:v>缺斗笠来源码</x:v>
      </x:c>
      <x:c r="L276" s="349" t="str">
        <x:v>需补StdMode16/位置13的三库同码资源</x:v>
      </x:c>
    </x:row>
    <x:row r="277" ht="34" customHeight="1">
      <x:c r="A277" s="347" t="str">
        <x:v>C07-M017</x:v>
      </x:c>
      <x:c r="B277" s="348" t="str">
        <x:v>C07</x:v>
      </x:c>
      <x:c r="C277" s="348" t="str">
        <x:v>化圣雪原</x:v>
      </x:c>
      <x:c r="D277" s="348" t="str">
        <x:v>XX904</x:v>
      </x:c>
      <x:c r="E277" s="348" t="str">
        <x:v>永冻霜牙狼</x:v>
      </x:c>
      <x:c r="F277" s="348" t="str">
        <x:v>普通</x:v>
      </x:c>
      <x:c r="G277" s="348" t="str">
        <x:v>霜牙指环</x:v>
      </x:c>
      <x:c r="H277" s="348" t="str">
        <x:v>戒指</x:v>
      </x:c>
      <x:c r="I277" s="348" t="str">
        <x:v>戒指</x:v>
      </x:c>
      <x:c r="J277" s="348" t="n">
        <x:v>5934</x:v>
      </x:c>
      <x:c r="K277" s="348" t="str">
        <x:v>规划锁定／旧资源待实库回读</x:v>
      </x:c>
      <x:c r="L277" s="349" t="str">
        <x:v>装备资源库黄金圣律·日冕</x:v>
      </x:c>
    </x:row>
    <x:row r="278" ht="34" customHeight="1">
      <x:c r="A278" s="347" t="str">
        <x:v>C07-M018</x:v>
      </x:c>
      <x:c r="B278" s="348" t="str">
        <x:v>C07</x:v>
      </x:c>
      <x:c r="C278" s="348" t="str">
        <x:v>化圣雪原</x:v>
      </x:c>
      <x:c r="D278" s="348" t="str">
        <x:v>XX906</x:v>
      </x:c>
      <x:c r="E278" s="348" t="str">
        <x:v>旷野寒弓手</x:v>
      </x:c>
      <x:c r="F278" s="348" t="str">
        <x:v>普通</x:v>
      </x:c>
      <x:c r="G278" s="348" t="str">
        <x:v>寒弓束带</x:v>
      </x:c>
      <x:c r="H278" s="348" t="str">
        <x:v>腰带</x:v>
      </x:c>
      <x:c r="I278" s="348" t="str">
        <x:v>腰带</x:v>
      </x:c>
      <x:c r="J278" s="348" t="n">
        <x:v>5884</x:v>
      </x:c>
      <x:c r="K278" s="348" t="str">
        <x:v>规划锁定／旧资源待实库回读</x:v>
      </x:c>
      <x:c r="L278" s="349" t="str">
        <x:v>装备资源库黄金圣律·铭契</x:v>
      </x:c>
    </x:row>
    <x:row r="279" ht="34" customHeight="1">
      <x:c r="A279" s="347" t="str">
        <x:v>C07-M019</x:v>
      </x:c>
      <x:c r="B279" s="348" t="str">
        <x:v>C07</x:v>
      </x:c>
      <x:c r="C279" s="348" t="str">
        <x:v>化圣雪原</x:v>
      </x:c>
      <x:c r="D279" s="348" t="str">
        <x:v>XX904</x:v>
      </x:c>
      <x:c r="E279" s="348" t="str">
        <x:v>荒境冰甲犀</x:v>
      </x:c>
      <x:c r="F279" s="348" t="str">
        <x:v>稀有</x:v>
      </x:c>
      <x:c r="G279" s="348" t="str">
        <x:v>冰甲重盾</x:v>
      </x:c>
      <x:c r="H279" s="348" t="str">
        <x:v>盾牌</x:v>
      </x:c>
      <x:c r="I279" s="348" t="str">
        <x:v>盾牌</x:v>
      </x:c>
      <x:c r="J279" s="348" t="n">
        <x:v>5890</x:v>
      </x:c>
      <x:c r="K279" s="348" t="str">
        <x:v>规划锁定／旧资源待实库回读</x:v>
      </x:c>
      <x:c r="L279" s="349" t="str">
        <x:v>装备资源库黄金圣律·执火</x:v>
      </x:c>
    </x:row>
    <x:row r="280" ht="34" customHeight="1">
      <x:c r="A280" s="347" t="str">
        <x:v>C07-M020</x:v>
      </x:c>
      <x:c r="B280" s="348" t="str">
        <x:v>C07</x:v>
      </x:c>
      <x:c r="C280" s="348" t="str">
        <x:v>化圣雪原</x:v>
      </x:c>
      <x:c r="D280" s="348" t="str">
        <x:v>XX906</x:v>
      </x:c>
      <x:c r="E280" s="348" t="str">
        <x:v>冰封审判骑</x:v>
      </x:c>
      <x:c r="F280" s="348" t="str">
        <x:v>稀有</x:v>
      </x:c>
      <x:c r="G280" s="348" t="str">
        <x:v>审判长靴</x:v>
      </x:c>
      <x:c r="H280" s="348" t="str">
        <x:v>鞋子</x:v>
      </x:c>
      <x:c r="I280" s="348" t="str">
        <x:v>鞋子</x:v>
      </x:c>
      <x:c r="J280" s="348" t="n">
        <x:v>5892</x:v>
      </x:c>
      <x:c r="K280" s="348" t="str">
        <x:v>规划锁定／旧资源待实库回读</x:v>
      </x:c>
      <x:c r="L280" s="349" t="str">
        <x:v>装备资源库黄金圣律·执火</x:v>
      </x:c>
    </x:row>
    <x:row r="281" ht="34" customHeight="1">
      <x:c r="A281" s="347" t="str">
        <x:v>C07-M021</x:v>
      </x:c>
      <x:c r="B281" s="348" t="str">
        <x:v>C07</x:v>
      </x:c>
      <x:c r="C281" s="348" t="str">
        <x:v>化圣雪原</x:v>
      </x:c>
      <x:c r="D281" s="348" t="str">
        <x:v>XX907</x:v>
      </x:c>
      <x:c r="E281" s="348" t="str">
        <x:v>极昼白翼鹫</x:v>
      </x:c>
      <x:c r="F281" s="348" t="str">
        <x:v>稀有</x:v>
      </x:c>
      <x:c r="G281" s="348" t="str">
        <x:v>白翼颈链</x:v>
      </x:c>
      <x:c r="H281" s="348" t="str">
        <x:v>项链</x:v>
      </x:c>
      <x:c r="I281" s="348" t="str">
        <x:v>项链</x:v>
      </x:c>
      <x:c r="J281" s="348" t="n">
        <x:v>5940</x:v>
      </x:c>
      <x:c r="K281" s="348" t="str">
        <x:v>规划锁定／旧资源待实库回读</x:v>
      </x:c>
      <x:c r="L281" s="349" t="str">
        <x:v>装备资源库黄金圣律·神律</x:v>
      </x:c>
    </x:row>
    <x:row r="282" ht="34" customHeight="1">
      <x:c r="A282" s="347" t="str">
        <x:v>C07-M022</x:v>
      </x:c>
      <x:c r="B282" s="348" t="str">
        <x:v>C07</x:v>
      </x:c>
      <x:c r="C282" s="348" t="str">
        <x:v>化圣雪原</x:v>
      </x:c>
      <x:c r="D282" s="348" t="str">
        <x:v>XX905</x:v>
      </x:c>
      <x:c r="E282" s="348" t="str">
        <x:v>圣域默祷师</x:v>
      </x:c>
      <x:c r="F282" s="348" t="str">
        <x:v>稀有</x:v>
      </x:c>
      <x:c r="G282" s="348" t="str">
        <x:v>默祷雪章</x:v>
      </x:c>
      <x:c r="H282" s="348" t="str">
        <x:v>勋章</x:v>
      </x:c>
      <x:c r="I282" s="348" t="str">
        <x:v>勋章</x:v>
      </x:c>
      <x:c r="J282" s="348" t="n">
        <x:v>7034</x:v>
      </x:c>
      <x:c r="K282" s="348" t="str">
        <x:v>预检通过资源／规划锁定／待入库</x:v>
      </x:c>
      <x:c r="L282" s="349" t="str">
        <x:v>装备资源库翠焰冥契·灾厄</x:v>
      </x:c>
    </x:row>
    <x:row r="283" ht="34" customHeight="1">
      <x:c r="A283" s="347" t="str">
        <x:v>C07-M023</x:v>
      </x:c>
      <x:c r="B283" s="348" t="str">
        <x:v>C07</x:v>
      </x:c>
      <x:c r="C283" s="348" t="str">
        <x:v>化圣雪原</x:v>
      </x:c>
      <x:c r="D283" s="348" t="str">
        <x:v>XX907</x:v>
      </x:c>
      <x:c r="E283" s="348" t="str">
        <x:v>极昼雪后·芙蕾</x:v>
      </x:c>
      <x:c r="F283" s="348" t="str">
        <x:v>地图BOSS</x:v>
      </x:c>
      <x:c r="G283" s="348" t="str">
        <x:v>芙蕾冰冠</x:v>
      </x:c>
      <x:c r="H283" s="348" t="str">
        <x:v>头盔</x:v>
      </x:c>
      <x:c r="I283" s="348" t="str">
        <x:v>头盔</x:v>
      </x:c>
      <x:c r="J283" s="348" t="n">
        <x:v>5941</x:v>
      </x:c>
      <x:c r="K283" s="348" t="str">
        <x:v>规划锁定／旧资源待实库回读</x:v>
      </x:c>
      <x:c r="L283" s="349" t="str">
        <x:v>装备资源库黄金圣律·神律</x:v>
      </x:c>
    </x:row>
    <x:row r="284" ht="34" customHeight="1">
      <x:c r="A284" s="347" t="str">
        <x:v>C07-M024</x:v>
      </x:c>
      <x:c r="B284" s="348" t="str">
        <x:v>C07</x:v>
      </x:c>
      <x:c r="C284" s="348" t="str">
        <x:v>化圣雪原</x:v>
      </x:c>
      <x:c r="D284" s="348" t="str">
        <x:v>XX905</x:v>
      </x:c>
      <x:c r="E284" s="348" t="str">
        <x:v>永冻圣兽·乌尔</x:v>
      </x:c>
      <x:c r="F284" s="348" t="str">
        <x:v>地图BOSS</x:v>
      </x:c>
      <x:c r="G284" s="348" t="str">
        <x:v>乌尔寒铠</x:v>
      </x:c>
      <x:c r="H284" s="348" t="str">
        <x:v>衣服</x:v>
      </x:c>
      <x:c r="I284" s="348" t="str">
        <x:v>男衣服（现行模板的衣服映射）</x:v>
      </x:c>
      <x:c r="J284" s="348"/>
      <x:c r="K284" s="348" t="str">
        <x:v>缺衣服来源码</x:v>
      </x:c>
      <x:c r="L284" s="349" t="str">
        <x:v>需补男衣服StdMode10的三库同码资源；女衣服码未获准合池</x:v>
      </x:c>
    </x:row>
    <x:row r="285" ht="34" customHeight="1">
      <x:c r="A285" s="347" t="str">
        <x:v>C07-M025</x:v>
      </x:c>
      <x:c r="B285" s="348" t="str">
        <x:v>C07</x:v>
      </x:c>
      <x:c r="C285" s="348" t="str">
        <x:v>化圣雪原</x:v>
      </x:c>
      <x:c r="D285" s="348" t="str">
        <x:v>XX912</x:v>
      </x:c>
      <x:c r="E285" s="348" t="str">
        <x:v>禁域冻喉兽</x:v>
      </x:c>
      <x:c r="F285" s="348" t="str">
        <x:v>普通</x:v>
      </x:c>
      <x:c r="G285" s="348" t="str">
        <x:v>冻喉牙刃</x:v>
      </x:c>
      <x:c r="H285" s="348" t="str">
        <x:v>武器</x:v>
      </x:c>
      <x:c r="I285" s="348" t="str">
        <x:v>武器</x:v>
      </x:c>
      <x:c r="J285" s="348"/>
      <x:c r="K285" s="348" t="str">
        <x:v>缺武器来源码</x:v>
      </x:c>
      <x:c r="L285" s="349" t="str">
        <x:v>需补同部位Items/StateItem/DnItems三库同码资源</x:v>
      </x:c>
    </x:row>
    <x:row r="286" ht="34" customHeight="1">
      <x:c r="A286" s="347" t="str">
        <x:v>C07-M026</x:v>
      </x:c>
      <x:c r="B286" s="348" t="str">
        <x:v>C07</x:v>
      </x:c>
      <x:c r="C286" s="348" t="str">
        <x:v>化圣雪原</x:v>
      </x:c>
      <x:c r="D286" s="348" t="str">
        <x:v>XX908</x:v>
      </x:c>
      <x:c r="E286" s="348" t="str">
        <x:v>雾界迷途兵</x:v>
      </x:c>
      <x:c r="F286" s="348" t="str">
        <x:v>普通</x:v>
      </x:c>
      <x:c r="G286" s="348" t="str">
        <x:v>雾界斗笠</x:v>
      </x:c>
      <x:c r="H286" s="348" t="str">
        <x:v>斗笠</x:v>
      </x:c>
      <x:c r="I286" s="348" t="str">
        <x:v>面巾（位置13，对应斗笠）</x:v>
      </x:c>
      <x:c r="J286" s="348"/>
      <x:c r="K286" s="348" t="str">
        <x:v>缺斗笠来源码</x:v>
      </x:c>
      <x:c r="L286" s="349" t="str">
        <x:v>需补StdMode16/位置13的三库同码资源</x:v>
      </x:c>
    </x:row>
    <x:row r="287" ht="34" customHeight="1">
      <x:c r="A287" s="347" t="str">
        <x:v>C07-M027</x:v>
      </x:c>
      <x:c r="B287" s="348" t="str">
        <x:v>C07</x:v>
      </x:c>
      <x:c r="C287" s="348" t="str">
        <x:v>化圣雪原</x:v>
      </x:c>
      <x:c r="D287" s="348" t="str">
        <x:v>XX909</x:v>
      </x:c>
      <x:c r="E287" s="348" t="str">
        <x:v>寒狱锁链卒</x:v>
      </x:c>
      <x:c r="F287" s="348" t="str">
        <x:v>普通</x:v>
      </x:c>
      <x:c r="G287" s="348" t="str">
        <x:v>寒狱铁镯</x:v>
      </x:c>
      <x:c r="H287" s="348" t="str">
        <x:v>手镯</x:v>
      </x:c>
      <x:c r="I287" s="348" t="str">
        <x:v>手镯</x:v>
      </x:c>
      <x:c r="J287" s="348" t="n">
        <x:v>5915</x:v>
      </x:c>
      <x:c r="K287" s="348" t="str">
        <x:v>规划锁定／旧资源待实库回读</x:v>
      </x:c>
      <x:c r="L287" s="349" t="str">
        <x:v>装备资源库黄金圣律·蓝辉</x:v>
      </x:c>
    </x:row>
    <x:row r="288" ht="34" customHeight="1">
      <x:c r="A288" s="347" t="str">
        <x:v>C07-M028</x:v>
      </x:c>
      <x:c r="B288" s="348" t="str">
        <x:v>C07</x:v>
      </x:c>
      <x:c r="C288" s="348" t="str">
        <x:v>化圣雪原</x:v>
      </x:c>
      <x:c r="D288" s="348" t="str">
        <x:v>XX910</x:v>
      </x:c>
      <x:c r="E288" s="348" t="str">
        <x:v>祭坛守烛女</x:v>
      </x:c>
      <x:c r="F288" s="348" t="str">
        <x:v>普通</x:v>
      </x:c>
      <x:c r="G288" s="348" t="str">
        <x:v>守烛项链</x:v>
      </x:c>
      <x:c r="H288" s="348" t="str">
        <x:v>项链</x:v>
      </x:c>
      <x:c r="I288" s="348" t="str">
        <x:v>项链</x:v>
      </x:c>
      <x:c r="J288" s="348" t="n">
        <x:v>5949</x:v>
      </x:c>
      <x:c r="K288" s="348" t="str">
        <x:v>规划锁定／旧资源待实库回读</x:v>
      </x:c>
      <x:c r="L288" s="349" t="str">
        <x:v>装备资源库黄金圣律·永耀</x:v>
      </x:c>
    </x:row>
    <x:row r="289" ht="34" customHeight="1">
      <x:c r="A289" s="347" t="str">
        <x:v>C07-M029</x:v>
      </x:c>
      <x:c r="B289" s="348" t="str">
        <x:v>C07</x:v>
      </x:c>
      <x:c r="C289" s="348" t="str">
        <x:v>化圣雪原</x:v>
      </x:c>
      <x:c r="D289" s="348" t="str">
        <x:v>XX911</x:v>
      </x:c>
      <x:c r="E289" s="348" t="str">
        <x:v>圣所白甲卫</x:v>
      </x:c>
      <x:c r="F289" s="348" t="str">
        <x:v>普通</x:v>
      </x:c>
      <x:c r="G289" s="348" t="str">
        <x:v>白甲战衣</x:v>
      </x:c>
      <x:c r="H289" s="348" t="str">
        <x:v>衣服</x:v>
      </x:c>
      <x:c r="I289" s="348" t="str">
        <x:v>男衣服（现行模板的衣服映射）</x:v>
      </x:c>
      <x:c r="J289" s="348"/>
      <x:c r="K289" s="348" t="str">
        <x:v>缺衣服来源码</x:v>
      </x:c>
      <x:c r="L289" s="349" t="str">
        <x:v>需补男衣服StdMode10的三库同码资源；女衣服码未获准合池</x:v>
      </x:c>
    </x:row>
    <x:row r="290" ht="34" customHeight="1">
      <x:c r="A290" s="347" t="str">
        <x:v>C07-M030</x:v>
      </x:c>
      <x:c r="B290" s="348" t="str">
        <x:v>C07</x:v>
      </x:c>
      <x:c r="C290" s="348" t="str">
        <x:v>化圣雪原</x:v>
      </x:c>
      <x:c r="D290" s="348" t="str">
        <x:v>XX912</x:v>
      </x:c>
      <x:c r="E290" s="348" t="str">
        <x:v>极寒巡界狼</x:v>
      </x:c>
      <x:c r="F290" s="348" t="str">
        <x:v>普通</x:v>
      </x:c>
      <x:c r="G290" s="348" t="str">
        <x:v>巡界牙戒</x:v>
      </x:c>
      <x:c r="H290" s="348" t="str">
        <x:v>戒指</x:v>
      </x:c>
      <x:c r="I290" s="348" t="str">
        <x:v>戒指</x:v>
      </x:c>
      <x:c r="J290" s="348" t="n">
        <x:v>5943</x:v>
      </x:c>
      <x:c r="K290" s="348" t="str">
        <x:v>规划锁定／旧资源待实库回读</x:v>
      </x:c>
      <x:c r="L290" s="349" t="str">
        <x:v>装备资源库黄金圣律·神律</x:v>
      </x:c>
    </x:row>
    <x:row r="291" ht="34" customHeight="1">
      <x:c r="A291" s="347" t="str">
        <x:v>C07-M031</x:v>
      </x:c>
      <x:c r="B291" s="348" t="str">
        <x:v>C07</x:v>
      </x:c>
      <x:c r="C291" s="348" t="str">
        <x:v>化圣雪原</x:v>
      </x:c>
      <x:c r="D291" s="348" t="str">
        <x:v>XX908</x:v>
      </x:c>
      <x:c r="E291" s="348" t="str">
        <x:v>冻雾幻刃客</x:v>
      </x:c>
      <x:c r="F291" s="348" t="str">
        <x:v>稀有</x:v>
      </x:c>
      <x:c r="G291" s="348" t="str">
        <x:v>幻刃腰封</x:v>
      </x:c>
      <x:c r="H291" s="348" t="str">
        <x:v>腰带</x:v>
      </x:c>
      <x:c r="I291" s="348" t="str">
        <x:v>腰带</x:v>
      </x:c>
      <x:c r="J291" s="348" t="n">
        <x:v>5893</x:v>
      </x:c>
      <x:c r="K291" s="348" t="str">
        <x:v>规划锁定／旧资源待实库回读</x:v>
      </x:c>
      <x:c r="L291" s="349" t="str">
        <x:v>装备资源库黄金圣律·执火</x:v>
      </x:c>
    </x:row>
    <x:row r="292" ht="34" customHeight="1">
      <x:c r="A292" s="347" t="str">
        <x:v>C07-M032</x:v>
      </x:c>
      <x:c r="B292" s="348" t="str">
        <x:v>C07</x:v>
      </x:c>
      <x:c r="C292" s="348" t="str">
        <x:v>化圣雪原</x:v>
      </x:c>
      <x:c r="D292" s="348" t="str">
        <x:v>XX909</x:v>
      </x:c>
      <x:c r="E292" s="348" t="str">
        <x:v>寒狱冰骨将</x:v>
      </x:c>
      <x:c r="F292" s="348" t="str">
        <x:v>稀有</x:v>
      </x:c>
      <x:c r="G292" s="348" t="str">
        <x:v>冰骨战靴</x:v>
      </x:c>
      <x:c r="H292" s="348" t="str">
        <x:v>鞋子</x:v>
      </x:c>
      <x:c r="I292" s="348" t="str">
        <x:v>鞋子</x:v>
      </x:c>
      <x:c r="J292" s="348" t="n">
        <x:v>5901</x:v>
      </x:c>
      <x:c r="K292" s="348" t="str">
        <x:v>规划锁定／旧资源待实库回读</x:v>
      </x:c>
      <x:c r="L292" s="349" t="str">
        <x:v>装备资源库黄金圣律·圣徽</x:v>
      </x:c>
    </x:row>
    <x:row r="293" ht="34" customHeight="1">
      <x:c r="A293" s="347" t="str">
        <x:v>C07-M033</x:v>
      </x:c>
      <x:c r="B293" s="348" t="str">
        <x:v>C07</x:v>
      </x:c>
      <x:c r="C293" s="348" t="str">
        <x:v>化圣雪原</x:v>
      </x:c>
      <x:c r="D293" s="348" t="str">
        <x:v>XX910</x:v>
      </x:c>
      <x:c r="E293" s="348" t="str">
        <x:v>祭坛霜钟僧</x:v>
      </x:c>
      <x:c r="F293" s="348" t="str">
        <x:v>稀有</x:v>
      </x:c>
      <x:c r="G293" s="348" t="str">
        <x:v>霜钟罪章</x:v>
      </x:c>
      <x:c r="H293" s="348" t="str">
        <x:v>勋章</x:v>
      </x:c>
      <x:c r="I293" s="348" t="str">
        <x:v>勋章</x:v>
      </x:c>
      <x:c r="J293" s="348" t="n">
        <x:v>7069</x:v>
      </x:c>
      <x:c r="K293" s="348" t="str">
        <x:v>预检通过资源／规划锁定／待入库</x:v>
      </x:c>
      <x:c r="L293" s="349" t="str">
        <x:v>装备资源库翠焰冥契·永夜</x:v>
      </x:c>
    </x:row>
    <x:row r="294" ht="34" customHeight="1">
      <x:c r="A294" s="347" t="str">
        <x:v>C07-M034</x:v>
      </x:c>
      <x:c r="B294" s="348" t="str">
        <x:v>C07</x:v>
      </x:c>
      <x:c r="C294" s="348" t="str">
        <x:v>化圣雪原</x:v>
      </x:c>
      <x:c r="D294" s="348" t="str">
        <x:v>XX911</x:v>
      </x:c>
      <x:c r="E294" s="348" t="str">
        <x:v>圣所银角兽</x:v>
      </x:c>
      <x:c r="F294" s="348" t="str">
        <x:v>稀有</x:v>
      </x:c>
      <x:c r="G294" s="348" t="str">
        <x:v>银角塔盾</x:v>
      </x:c>
      <x:c r="H294" s="348" t="str">
        <x:v>盾牌</x:v>
      </x:c>
      <x:c r="I294" s="348" t="str">
        <x:v>盾牌</x:v>
      </x:c>
      <x:c r="J294" s="348" t="n">
        <x:v>5899</x:v>
      </x:c>
      <x:c r="K294" s="348" t="str">
        <x:v>规划锁定／旧资源待实库回读</x:v>
      </x:c>
      <x:c r="L294" s="349" t="str">
        <x:v>装备资源库黄金圣律·圣徽</x:v>
      </x:c>
    </x:row>
    <x:row r="295" ht="34" customHeight="1">
      <x:c r="A295" s="347" t="str">
        <x:v>C07-M035</x:v>
      </x:c>
      <x:c r="B295" s="348" t="str">
        <x:v>C07</x:v>
      </x:c>
      <x:c r="C295" s="348" t="str">
        <x:v>化圣雪原</x:v>
      </x:c>
      <x:c r="D295" s="348" t="str">
        <x:v>XX910</x:v>
      </x:c>
      <x:c r="E295" s="348" t="str">
        <x:v>冰祭审判者·诺薇</x:v>
      </x:c>
      <x:c r="F295" s="348" t="str">
        <x:v>地图BOSS</x:v>
      </x:c>
      <x:c r="G295" s="348" t="str">
        <x:v>诺薇霜镰</x:v>
      </x:c>
      <x:c r="H295" s="348" t="str">
        <x:v>武器</x:v>
      </x:c>
      <x:c r="I295" s="348" t="str">
        <x:v>武器</x:v>
      </x:c>
      <x:c r="J295" s="348"/>
      <x:c r="K295" s="348" t="str">
        <x:v>缺武器来源码</x:v>
      </x:c>
      <x:c r="L295" s="349" t="str">
        <x:v>需补同部位Items/StateItem/DnItems三库同码资源</x:v>
      </x:c>
    </x:row>
    <x:row r="296" ht="34" customHeight="1">
      <x:c r="A296" s="347" t="str">
        <x:v>C07-M036</x:v>
      </x:c>
      <x:c r="B296" s="348" t="str">
        <x:v>C07</x:v>
      </x:c>
      <x:c r="C296" s="348" t="str">
        <x:v>化圣雪原</x:v>
      </x:c>
      <x:c r="D296" s="348" t="str">
        <x:v>XX911</x:v>
      </x:c>
      <x:c r="E296" s="348" t="str">
        <x:v>极寒圣女·希尔达</x:v>
      </x:c>
      <x:c r="F296" s="348" t="str">
        <x:v>地图BOSS</x:v>
      </x:c>
      <x:c r="G296" s="348" t="str">
        <x:v>希尔达圣冠</x:v>
      </x:c>
      <x:c r="H296" s="348" t="str">
        <x:v>头盔</x:v>
      </x:c>
      <x:c r="I296" s="348" t="str">
        <x:v>头盔</x:v>
      </x:c>
      <x:c r="J296" s="348" t="n">
        <x:v>5950</x:v>
      </x:c>
      <x:c r="K296" s="348" t="str">
        <x:v>规划锁定／旧资源待实库回读</x:v>
      </x:c>
      <x:c r="L296" s="349" t="str">
        <x:v>装备资源库黄金圣律·永耀</x:v>
      </x:c>
    </x:row>
    <x:row r="297" ht="34" customHeight="1">
      <x:c r="A297" s="347" t="str">
        <x:v>C07-M037</x:v>
      </x:c>
      <x:c r="B297" s="348" t="str">
        <x:v>C07</x:v>
      </x:c>
      <x:c r="C297" s="348" t="str">
        <x:v>化圣雪原</x:v>
      </x:c>
      <x:c r="D297" s="348" t="str">
        <x:v>XX911</x:v>
      </x:c>
      <x:c r="E297" s="348" t="str">
        <x:v>化圣霜王·埃琉斯</x:v>
      </x:c>
      <x:c r="F297" s="348" t="str">
        <x:v>守关BOSS</x:v>
      </x:c>
      <x:c r="G297" s="348" t="str">
        <x:v>埃琉斯永霜铠</x:v>
      </x:c>
      <x:c r="H297" s="348" t="str">
        <x:v>衣服</x:v>
      </x:c>
      <x:c r="I297" s="348" t="str">
        <x:v>男衣服（现行模板的衣服映射）</x:v>
      </x:c>
      <x:c r="J297" s="348" t="n">
        <x:v>7062</x:v>
      </x:c>
      <x:c r="K297" s="348" t="str">
        <x:v>预检通过资源／规划锁定／待入库</x:v>
      </x:c>
      <x:c r="L297" s="349" t="str">
        <x:v>按现行装备模板映射男衣服StdMode10；翠焰冥契·永夜</x:v>
      </x:c>
    </x:row>
    <x:row r="298" ht="34" customHeight="1">
      <x:c r="A298" s="347" t="str">
        <x:v>C08-M001</x:v>
      </x:c>
      <x:c r="B298" s="348" t="str">
        <x:v>C08</x:v>
      </x:c>
      <x:c r="C298" s="348" t="str">
        <x:v>巨人山顶</x:v>
      </x:c>
      <x:c r="D298" s="348" t="str">
        <x:v>XX900</x:v>
      </x:c>
      <x:c r="E298" s="348" t="str">
        <x:v>霜蹄岩羊</x:v>
      </x:c>
      <x:c r="F298" s="348" t="str">
        <x:v>普通</x:v>
      </x:c>
      <x:c r="G298" s="348" t="str">
        <x:v>霜蹄踏雪靴</x:v>
      </x:c>
      <x:c r="H298" s="348" t="str">
        <x:v>鞋子</x:v>
      </x:c>
      <x:c r="I298" s="348" t="str">
        <x:v>鞋子</x:v>
      </x:c>
      <x:c r="J298" s="348" t="n">
        <x:v>5910</x:v>
      </x:c>
      <x:c r="K298" s="348" t="str">
        <x:v>规划锁定／旧资源待实库回读</x:v>
      </x:c>
      <x:c r="L298" s="349" t="str">
        <x:v>装备资源库黄金圣律·璨金</x:v>
      </x:c>
    </x:row>
    <x:row r="299" ht="34" customHeight="1">
      <x:c r="A299" s="347" t="str">
        <x:v>C08-M002</x:v>
      </x:c>
      <x:c r="B299" s="348" t="str">
        <x:v>C08</x:v>
      </x:c>
      <x:c r="C299" s="348" t="str">
        <x:v>巨人山顶</x:v>
      </x:c>
      <x:c r="D299" s="348" t="str">
        <x:v>XX900</x:v>
      </x:c>
      <x:c r="E299" s="348" t="str">
        <x:v>背冰拾荒者</x:v>
      </x:c>
      <x:c r="F299" s="348" t="str">
        <x:v>普通</x:v>
      </x:c>
      <x:c r="G299" s="348" t="str">
        <x:v>拾荒冰镐</x:v>
      </x:c>
      <x:c r="H299" s="348" t="str">
        <x:v>武器</x:v>
      </x:c>
      <x:c r="I299" s="348" t="str">
        <x:v>武器</x:v>
      </x:c>
      <x:c r="J299" s="348"/>
      <x:c r="K299" s="348" t="str">
        <x:v>缺武器来源码</x:v>
      </x:c>
      <x:c r="L299" s="349" t="str">
        <x:v>需补同部位Items/StateItem/DnItems三库同码资源</x:v>
      </x:c>
    </x:row>
    <x:row r="300" ht="34" customHeight="1">
      <x:c r="A300" s="347" t="str">
        <x:v>C08-M003</x:v>
      </x:c>
      <x:c r="B300" s="348" t="str">
        <x:v>C08</x:v>
      </x:c>
      <x:c r="C300" s="348" t="str">
        <x:v>巨人山顶</x:v>
      </x:c>
      <x:c r="D300" s="348" t="str">
        <x:v>XX901</x:v>
      </x:c>
      <x:c r="E300" s="348" t="str">
        <x:v>冰脊雪猿</x:v>
      </x:c>
      <x:c r="F300" s="348" t="str">
        <x:v>普通</x:v>
      </x:c>
      <x:c r="G300" s="348" t="str">
        <x:v>雪猿鬃甲</x:v>
      </x:c>
      <x:c r="H300" s="348" t="str">
        <x:v>衣服</x:v>
      </x:c>
      <x:c r="I300" s="348" t="str">
        <x:v>男衣服（现行模板的衣服映射）</x:v>
      </x:c>
      <x:c r="J300" s="348"/>
      <x:c r="K300" s="348" t="str">
        <x:v>缺衣服来源码</x:v>
      </x:c>
      <x:c r="L300" s="349" t="str">
        <x:v>需补男衣服StdMode10的三库同码资源；女衣服码未获准合池</x:v>
      </x:c>
    </x:row>
    <x:row r="301" ht="34" customHeight="1">
      <x:c r="A301" s="347" t="str">
        <x:v>C08-M004</x:v>
      </x:c>
      <x:c r="B301" s="348" t="str">
        <x:v>C08</x:v>
      </x:c>
      <x:c r="C301" s="348" t="str">
        <x:v>巨人山顶</x:v>
      </x:c>
      <x:c r="D301" s="348" t="str">
        <x:v>XX901</x:v>
      </x:c>
      <x:c r="E301" s="348" t="str">
        <x:v>古道冻骸</x:v>
      </x:c>
      <x:c r="F301" s="348" t="str">
        <x:v>普通</x:v>
      </x:c>
      <x:c r="G301" s="348" t="str">
        <x:v>冻骨圆盾</x:v>
      </x:c>
      <x:c r="H301" s="348" t="str">
        <x:v>盾牌</x:v>
      </x:c>
      <x:c r="I301" s="348" t="str">
        <x:v>盾牌</x:v>
      </x:c>
      <x:c r="J301" s="348" t="n">
        <x:v>5908</x:v>
      </x:c>
      <x:c r="K301" s="348" t="str">
        <x:v>规划锁定／旧资源待实库回读</x:v>
      </x:c>
      <x:c r="L301" s="349" t="str">
        <x:v>装备资源库黄金圣律·璨金</x:v>
      </x:c>
    </x:row>
    <x:row r="302" ht="34" customHeight="1">
      <x:c r="A302" s="347" t="str">
        <x:v>C08-M005</x:v>
      </x:c>
      <x:c r="B302" s="348" t="str">
        <x:v>C08</x:v>
      </x:c>
      <x:c r="C302" s="348" t="str">
        <x:v>巨人山顶</x:v>
      </x:c>
      <x:c r="D302" s="348" t="str">
        <x:v>XX902</x:v>
      </x:c>
      <x:c r="E302" s="348" t="str">
        <x:v>暴雪青隼</x:v>
      </x:c>
      <x:c r="F302" s="348" t="str">
        <x:v>普通</x:v>
      </x:c>
      <x:c r="G302" s="348" t="str">
        <x:v>青隼翎盔</x:v>
      </x:c>
      <x:c r="H302" s="348" t="str">
        <x:v>头盔</x:v>
      </x:c>
      <x:c r="I302" s="348" t="str">
        <x:v>头盔</x:v>
      </x:c>
      <x:c r="J302" s="348" t="n">
        <x:v>5959</x:v>
      </x:c>
      <x:c r="K302" s="348" t="str">
        <x:v>规划锁定／旧资源待实库回读</x:v>
      </x:c>
      <x:c r="L302" s="349" t="str">
        <x:v>装备资源库血月荆棘·暗芽</x:v>
      </x:c>
    </x:row>
    <x:row r="303" ht="34" customHeight="1">
      <x:c r="A303" s="347" t="str">
        <x:v>C08-M006</x:v>
      </x:c>
      <x:c r="B303" s="348" t="str">
        <x:v>C08</x:v>
      </x:c>
      <x:c r="C303" s="348" t="str">
        <x:v>巨人山顶</x:v>
      </x:c>
      <x:c r="D303" s="348" t="str">
        <x:v>XX903</x:v>
      </x:c>
      <x:c r="E303" s="348" t="str">
        <x:v>祭台霜烛灵</x:v>
      </x:c>
      <x:c r="F303" s="348" t="str">
        <x:v>普通</x:v>
      </x:c>
      <x:c r="G303" s="348" t="str">
        <x:v>霜烛垂链</x:v>
      </x:c>
      <x:c r="H303" s="348" t="str">
        <x:v>项链</x:v>
      </x:c>
      <x:c r="I303" s="348" t="str">
        <x:v>项链</x:v>
      </x:c>
      <x:c r="J303" s="348" t="n">
        <x:v>5958</x:v>
      </x:c>
      <x:c r="K303" s="348" t="str">
        <x:v>规划锁定／旧资源待实库回读</x:v>
      </x:c>
      <x:c r="L303" s="349" t="str">
        <x:v>装备资源库血月荆棘·暗芽</x:v>
      </x:c>
    </x:row>
    <x:row r="304" ht="34" customHeight="1">
      <x:c r="A304" s="347" t="str">
        <x:v>C08-M007</x:v>
      </x:c>
      <x:c r="B304" s="348" t="str">
        <x:v>C08</x:v>
      </x:c>
      <x:c r="C304" s="348" t="str">
        <x:v>巨人山顶</x:v>
      </x:c>
      <x:c r="D304" s="348" t="str">
        <x:v>XX900</x:v>
      </x:c>
      <x:c r="E304" s="348" t="str">
        <x:v>雾凇引路人</x:v>
      </x:c>
      <x:c r="F304" s="348" t="str">
        <x:v>稀有</x:v>
      </x:c>
      <x:c r="G304" s="348" t="str">
        <x:v>雾凇引路笠</x:v>
      </x:c>
      <x:c r="H304" s="348" t="str">
        <x:v>斗笠</x:v>
      </x:c>
      <x:c r="I304" s="348" t="str">
        <x:v>面巾（位置13，对应斗笠）</x:v>
      </x:c>
      <x:c r="J304" s="348" t="n">
        <x:v>6645</x:v>
      </x:c>
      <x:c r="K304" s="348" t="str">
        <x:v>预检通过资源／规划锁定／待入库</x:v>
      </x:c>
      <x:c r="L304" s="349" t="str">
        <x:v>StdMode16/位置13；血月荆棘·猩月</x:v>
      </x:c>
    </x:row>
    <x:row r="305" ht="34" customHeight="1">
      <x:c r="A305" s="347" t="str">
        <x:v>C08-M008</x:v>
      </x:c>
      <x:c r="B305" s="348" t="str">
        <x:v>C08</x:v>
      </x:c>
      <x:c r="C305" s="348" t="str">
        <x:v>巨人山顶</x:v>
      </x:c>
      <x:c r="D305" s="348" t="str">
        <x:v>XX901</x:v>
      </x:c>
      <x:c r="E305" s="348" t="str">
        <x:v>冰脊驮碑兽</x:v>
      </x:c>
      <x:c r="F305" s="348" t="str">
        <x:v>稀有</x:v>
      </x:c>
      <x:c r="G305" s="348" t="str">
        <x:v>驮碑束腰</x:v>
      </x:c>
      <x:c r="H305" s="348" t="str">
        <x:v>腰带</x:v>
      </x:c>
      <x:c r="I305" s="348" t="str">
        <x:v>腰带</x:v>
      </x:c>
      <x:c r="J305" s="348" t="n">
        <x:v>5902</x:v>
      </x:c>
      <x:c r="K305" s="348" t="str">
        <x:v>规划锁定／旧资源待实库回读</x:v>
      </x:c>
      <x:c r="L305" s="349" t="str">
        <x:v>装备资源库黄金圣律·圣徽</x:v>
      </x:c>
    </x:row>
    <x:row r="306" ht="34" customHeight="1">
      <x:c r="A306" s="347" t="str">
        <x:v>C08-M009</x:v>
      </x:c>
      <x:c r="B306" s="348" t="str">
        <x:v>C08</x:v>
      </x:c>
      <x:c r="C306" s="348" t="str">
        <x:v>巨人山顶</x:v>
      </x:c>
      <x:c r="D306" s="348" t="str">
        <x:v>XX902</x:v>
      </x:c>
      <x:c r="E306" s="348" t="str">
        <x:v>啸峰白魈</x:v>
      </x:c>
      <x:c r="F306" s="348" t="str">
        <x:v>稀有</x:v>
      </x:c>
      <x:c r="G306" s="348" t="str">
        <x:v>白魈啸风镯</x:v>
      </x:c>
      <x:c r="H306" s="348" t="str">
        <x:v>手镯</x:v>
      </x:c>
      <x:c r="I306" s="348" t="str">
        <x:v>手镯</x:v>
      </x:c>
      <x:c r="J306" s="348" t="n">
        <x:v>5924</x:v>
      </x:c>
      <x:c r="K306" s="348" t="str">
        <x:v>规划锁定／旧资源待实库回读</x:v>
      </x:c>
      <x:c r="L306" s="349" t="str">
        <x:v>装备资源库黄金圣律·王权</x:v>
      </x:c>
    </x:row>
    <x:row r="307" ht="34" customHeight="1">
      <x:c r="A307" s="347" t="str">
        <x:v>C08-M010</x:v>
      </x:c>
      <x:c r="B307" s="348" t="str">
        <x:v>C08</x:v>
      </x:c>
      <x:c r="C307" s="348" t="str">
        <x:v>巨人山顶</x:v>
      </x:c>
      <x:c r="D307" s="348" t="str">
        <x:v>XX903</x:v>
      </x:c>
      <x:c r="E307" s="348" t="str">
        <x:v>祭台封誓者</x:v>
      </x:c>
      <x:c r="F307" s="348" t="str">
        <x:v>稀有</x:v>
      </x:c>
      <x:c r="G307" s="348" t="str">
        <x:v>封誓霜纹戒</x:v>
      </x:c>
      <x:c r="H307" s="348" t="str">
        <x:v>戒指</x:v>
      </x:c>
      <x:c r="I307" s="348" t="str">
        <x:v>戒指</x:v>
      </x:c>
      <x:c r="J307" s="348" t="n">
        <x:v>5952</x:v>
      </x:c>
      <x:c r="K307" s="348" t="str">
        <x:v>规划锁定／旧资源待实库回读</x:v>
      </x:c>
      <x:c r="L307" s="349" t="str">
        <x:v>装备资源库黄金圣律·永耀</x:v>
      </x:c>
    </x:row>
    <x:row r="308" ht="34" customHeight="1">
      <x:c r="A308" s="347" t="str">
        <x:v>C08-M011</x:v>
      </x:c>
      <x:c r="B308" s="348" t="str">
        <x:v>C08</x:v>
      </x:c>
      <x:c r="C308" s="348" t="str">
        <x:v>巨人山顶</x:v>
      </x:c>
      <x:c r="D308" s="348" t="str">
        <x:v>XX902</x:v>
      </x:c>
      <x:c r="E308" s="348" t="str">
        <x:v>雪崩号角·赫罗姆</x:v>
      </x:c>
      <x:c r="F308" s="348" t="str">
        <x:v>地图BOSS</x:v>
      </x:c>
      <x:c r="G308" s="348" t="str">
        <x:v>赫罗姆凿峰槌</x:v>
      </x:c>
      <x:c r="H308" s="348" t="str">
        <x:v>武器</x:v>
      </x:c>
      <x:c r="I308" s="348" t="str">
        <x:v>武器</x:v>
      </x:c>
      <x:c r="J308" s="348"/>
      <x:c r="K308" s="348" t="str">
        <x:v>缺武器来源码</x:v>
      </x:c>
      <x:c r="L308" s="349" t="str">
        <x:v>需补同部位Items/StateItem/DnItems三库同码资源</x:v>
      </x:c>
    </x:row>
    <x:row r="309" ht="34" customHeight="1">
      <x:c r="A309" s="347" t="str">
        <x:v>C08-M012</x:v>
      </x:c>
      <x:c r="B309" s="348" t="str">
        <x:v>C08</x:v>
      </x:c>
      <x:c r="C309" s="348" t="str">
        <x:v>巨人山顶</x:v>
      </x:c>
      <x:c r="D309" s="348" t="str">
        <x:v>XX903</x:v>
      </x:c>
      <x:c r="E309" s="348" t="str">
        <x:v>山巅霜祀·伊芙迦</x:v>
      </x:c>
      <x:c r="F309" s="348" t="str">
        <x:v>地图BOSS</x:v>
      </x:c>
      <x:c r="G309" s="348" t="str">
        <x:v>伊芙迦霜祀衣</x:v>
      </x:c>
      <x:c r="H309" s="348" t="str">
        <x:v>衣服</x:v>
      </x:c>
      <x:c r="I309" s="348" t="str">
        <x:v>男衣服（现行模板的衣服映射）</x:v>
      </x:c>
      <x:c r="J309" s="348"/>
      <x:c r="K309" s="348" t="str">
        <x:v>缺衣服来源码</x:v>
      </x:c>
      <x:c r="L309" s="349" t="str">
        <x:v>需补男衣服StdMode10的三库同码资源；女衣服码未获准合池</x:v>
      </x:c>
    </x:row>
    <x:row r="310" ht="34" customHeight="1">
      <x:c r="A310" s="347" t="str">
        <x:v>C08-M013</x:v>
      </x:c>
      <x:c r="B310" s="348" t="str">
        <x:v>C08</x:v>
      </x:c>
      <x:c r="C310" s="348" t="str">
        <x:v>巨人山顶</x:v>
      </x:c>
      <x:c r="D310" s="348" t="str">
        <x:v>XX320</x:v>
      </x:c>
      <x:c r="E310" s="348" t="str">
        <x:v>断峰岩獾</x:v>
      </x:c>
      <x:c r="F310" s="348" t="str">
        <x:v>普通</x:v>
      </x:c>
      <x:c r="G310" s="348" t="str">
        <x:v>岩獾碎石履</x:v>
      </x:c>
      <x:c r="H310" s="348" t="str">
        <x:v>鞋子</x:v>
      </x:c>
      <x:c r="I310" s="348" t="str">
        <x:v>鞋子</x:v>
      </x:c>
      <x:c r="J310" s="348" t="n">
        <x:v>5919</x:v>
      </x:c>
      <x:c r="K310" s="348" t="str">
        <x:v>规划锁定／旧资源待实库回读</x:v>
      </x:c>
      <x:c r="L310" s="349" t="str">
        <x:v>装备资源库黄金圣律·蓝辉</x:v>
      </x:c>
    </x:row>
    <x:row r="311" ht="34" customHeight="1">
      <x:c r="A311" s="347" t="str">
        <x:v>C08-M014</x:v>
      </x:c>
      <x:c r="B311" s="348" t="str">
        <x:v>C08</x:v>
      </x:c>
      <x:c r="C311" s="348" t="str">
        <x:v>巨人山顶</x:v>
      </x:c>
      <x:c r="D311" s="348" t="str">
        <x:v>XX320</x:v>
      </x:c>
      <x:c r="E311" s="348" t="str">
        <x:v>负霜矿奴</x:v>
      </x:c>
      <x:c r="F311" s="348" t="str">
        <x:v>普通</x:v>
      </x:c>
      <x:c r="G311" s="348" t="str">
        <x:v>负霜钉腰带</x:v>
      </x:c>
      <x:c r="H311" s="348" t="str">
        <x:v>腰带</x:v>
      </x:c>
      <x:c r="I311" s="348" t="str">
        <x:v>腰带</x:v>
      </x:c>
      <x:c r="J311" s="348" t="n">
        <x:v>5911</x:v>
      </x:c>
      <x:c r="K311" s="348" t="str">
        <x:v>规划锁定／旧资源待实库回读</x:v>
      </x:c>
      <x:c r="L311" s="349" t="str">
        <x:v>装备资源库黄金圣律·璨金</x:v>
      </x:c>
    </x:row>
    <x:row r="312" ht="34" customHeight="1">
      <x:c r="A312" s="347" t="str">
        <x:v>C08-M015</x:v>
      </x:c>
      <x:c r="B312" s="348" t="str">
        <x:v>C08</x:v>
      </x:c>
      <x:c r="C312" s="348" t="str">
        <x:v>巨人山顶</x:v>
      </x:c>
      <x:c r="D312" s="348" t="str">
        <x:v>XX318</x:v>
      </x:c>
      <x:c r="E312" s="348" t="str">
        <x:v>碎冰桥弩卒</x:v>
      </x:c>
      <x:c r="F312" s="348" t="str">
        <x:v>普通</x:v>
      </x:c>
      <x:c r="G312" s="348" t="str">
        <x:v>桥卒破冰弩</x:v>
      </x:c>
      <x:c r="H312" s="348" t="str">
        <x:v>武器</x:v>
      </x:c>
      <x:c r="I312" s="348" t="str">
        <x:v>武器</x:v>
      </x:c>
      <x:c r="J312" s="348"/>
      <x:c r="K312" s="348" t="str">
        <x:v>缺武器来源码</x:v>
      </x:c>
      <x:c r="L312" s="349" t="str">
        <x:v>需补同部位Items/StateItem/DnItems三库同码资源</x:v>
      </x:c>
    </x:row>
    <x:row r="313" ht="34" customHeight="1">
      <x:c r="A313" s="347" t="str">
        <x:v>C08-M016</x:v>
      </x:c>
      <x:c r="B313" s="348" t="str">
        <x:v>C08</x:v>
      </x:c>
      <x:c r="C313" s="348" t="str">
        <x:v>巨人山顶</x:v>
      </x:c>
      <x:c r="D313" s="348" t="str">
        <x:v>XX318</x:v>
      </x:c>
      <x:c r="E313" s="348" t="str">
        <x:v>天桥冰甲虫</x:v>
      </x:c>
      <x:c r="F313" s="348" t="str">
        <x:v>普通</x:v>
      </x:c>
      <x:c r="G313" s="348" t="str">
        <x:v>冰甲棱盾</x:v>
      </x:c>
      <x:c r="H313" s="348" t="str">
        <x:v>盾牌</x:v>
      </x:c>
      <x:c r="I313" s="348" t="str">
        <x:v>盾牌</x:v>
      </x:c>
      <x:c r="J313" s="348" t="n">
        <x:v>5926</x:v>
      </x:c>
      <x:c r="K313" s="348" t="str">
        <x:v>规划锁定／旧资源待实库回读</x:v>
      </x:c>
      <x:c r="L313" s="349" t="str">
        <x:v>装备资源库黄金圣律·王权</x:v>
      </x:c>
    </x:row>
    <x:row r="314" ht="34" customHeight="1">
      <x:c r="A314" s="347" t="str">
        <x:v>C08-M017</x:v>
      </x:c>
      <x:c r="B314" s="348" t="str">
        <x:v>C08</x:v>
      </x:c>
      <x:c r="C314" s="348" t="str">
        <x:v>巨人山顶</x:v>
      </x:c>
      <x:c r="D314" s="348" t="str">
        <x:v>XX319</x:v>
      </x:c>
      <x:c r="E314" s="348" t="str">
        <x:v>裂谷寒翼蝠</x:v>
      </x:c>
      <x:c r="F314" s="348" t="str">
        <x:v>普通</x:v>
      </x:c>
      <x:c r="G314" s="348" t="str">
        <x:v>寒翼听风坠</x:v>
      </x:c>
      <x:c r="H314" s="348" t="str">
        <x:v>项链</x:v>
      </x:c>
      <x:c r="I314" s="348" t="str">
        <x:v>项链</x:v>
      </x:c>
      <x:c r="J314" s="348" t="n">
        <x:v>5967</x:v>
      </x:c>
      <x:c r="K314" s="348" t="str">
        <x:v>规划锁定／旧资源待实库回读</x:v>
      </x:c>
      <x:c r="L314" s="349" t="str">
        <x:v>装备资源库血月荆棘·血棘</x:v>
      </x:c>
    </x:row>
    <x:row r="315" ht="34" customHeight="1">
      <x:c r="A315" s="347" t="str">
        <x:v>C08-M018</x:v>
      </x:c>
      <x:c r="B315" s="348" t="str">
        <x:v>C08</x:v>
      </x:c>
      <x:c r="C315" s="348" t="str">
        <x:v>巨人山顶</x:v>
      </x:c>
      <x:c r="D315" s="348" t="str">
        <x:v>XX316</x:v>
      </x:c>
      <x:c r="E315" s="348" t="str">
        <x:v>祭场残斧魂</x:v>
      </x:c>
      <x:c r="F315" s="348" t="str">
        <x:v>普通</x:v>
      </x:c>
      <x:c r="G315" s="348" t="str">
        <x:v>残斧魂腕环</x:v>
      </x:c>
      <x:c r="H315" s="348" t="str">
        <x:v>手镯</x:v>
      </x:c>
      <x:c r="I315" s="348" t="str">
        <x:v>手镯</x:v>
      </x:c>
      <x:c r="J315" s="348" t="n">
        <x:v>5933</x:v>
      </x:c>
      <x:c r="K315" s="348" t="str">
        <x:v>规划锁定／旧资源待实库回读</x:v>
      </x:c>
      <x:c r="L315" s="349" t="str">
        <x:v>装备资源库黄金圣律·日冕</x:v>
      </x:c>
    </x:row>
    <x:row r="316" ht="34" customHeight="1">
      <x:c r="A316" s="347" t="str">
        <x:v>C08-M019</x:v>
      </x:c>
      <x:c r="B316" s="348" t="str">
        <x:v>C08</x:v>
      </x:c>
      <x:c r="C316" s="348" t="str">
        <x:v>巨人山顶</x:v>
      </x:c>
      <x:c r="D316" s="348" t="str">
        <x:v>XX320</x:v>
      </x:c>
      <x:c r="E316" s="348" t="str">
        <x:v>断冰猎旗手</x:v>
      </x:c>
      <x:c r="F316" s="348" t="str">
        <x:v>稀有</x:v>
      </x:c>
      <x:c r="G316" s="348" t="str">
        <x:v>猎旗霜披</x:v>
      </x:c>
      <x:c r="H316" s="348" t="str">
        <x:v>衣服</x:v>
      </x:c>
      <x:c r="I316" s="348" t="str">
        <x:v>男衣服（现行模板的衣服映射）</x:v>
      </x:c>
      <x:c r="J316" s="348"/>
      <x:c r="K316" s="348" t="str">
        <x:v>缺衣服来源码</x:v>
      </x:c>
      <x:c r="L316" s="349" t="str">
        <x:v>需补男衣服StdMode10的三库同码资源；女衣服码未获准合池</x:v>
      </x:c>
    </x:row>
    <x:row r="317" ht="34" customHeight="1">
      <x:c r="A317" s="347" t="str">
        <x:v>C08-M020</x:v>
      </x:c>
      <x:c r="B317" s="348" t="str">
        <x:v>C08</x:v>
      </x:c>
      <x:c r="C317" s="348" t="str">
        <x:v>巨人山顶</x:v>
      </x:c>
      <x:c r="D317" s="348" t="str">
        <x:v>XX318</x:v>
      </x:c>
      <x:c r="E317" s="348" t="str">
        <x:v>天桥踏索客</x:v>
      </x:c>
      <x:c r="F317" s="348" t="str">
        <x:v>稀有</x:v>
      </x:c>
      <x:c r="G317" s="348" t="str">
        <x:v>踏索雪笠</x:v>
      </x:c>
      <x:c r="H317" s="348" t="str">
        <x:v>斗笠</x:v>
      </x:c>
      <x:c r="I317" s="348" t="str">
        <x:v>面巾（位置13，对应斗笠）</x:v>
      </x:c>
      <x:c r="J317" s="348" t="n">
        <x:v>6680</x:v>
      </x:c>
      <x:c r="K317" s="348" t="str">
        <x:v>预检通过资源／规划锁定／待入库</x:v>
      </x:c>
      <x:c r="L317" s="349" t="str">
        <x:v>StdMode16/位置13；血月荆棘·弑王</x:v>
      </x:c>
    </x:row>
    <x:row r="318" ht="34" customHeight="1">
      <x:c r="A318" s="347" t="str">
        <x:v>C08-M021</x:v>
      </x:c>
      <x:c r="B318" s="348" t="str">
        <x:v>C08</x:v>
      </x:c>
      <x:c r="C318" s="348" t="str">
        <x:v>巨人山顶</x:v>
      </x:c>
      <x:c r="D318" s="348" t="str">
        <x:v>XX319</x:v>
      </x:c>
      <x:c r="E318" s="348" t="str">
        <x:v>裂谷雪嚎兽</x:v>
      </x:c>
      <x:c r="F318" s="348" t="str">
        <x:v>稀有</x:v>
      </x:c>
      <x:c r="G318" s="348" t="str">
        <x:v>雪嚎裂角盔</x:v>
      </x:c>
      <x:c r="H318" s="348" t="str">
        <x:v>头盔</x:v>
      </x:c>
      <x:c r="I318" s="348" t="str">
        <x:v>头盔</x:v>
      </x:c>
      <x:c r="J318" s="348" t="n">
        <x:v>5977</x:v>
      </x:c>
      <x:c r="K318" s="348" t="str">
        <x:v>规划锁定／旧资源待实库回读</x:v>
      </x:c>
      <x:c r="L318" s="349" t="str">
        <x:v>装备资源库血月荆棘·猩痕</x:v>
      </x:c>
    </x:row>
    <x:row r="319" ht="34" customHeight="1">
      <x:c r="A319" s="347" t="str">
        <x:v>C08-M022</x:v>
      </x:c>
      <x:c r="B319" s="348" t="str">
        <x:v>C08</x:v>
      </x:c>
      <x:c r="C319" s="348" t="str">
        <x:v>巨人山顶</x:v>
      </x:c>
      <x:c r="D319" s="348" t="str">
        <x:v>XX316</x:v>
      </x:c>
      <x:c r="E319" s="348" t="str">
        <x:v>祭场缄誓巫</x:v>
      </x:c>
      <x:c r="F319" s="348" t="str">
        <x:v>稀有</x:v>
      </x:c>
      <x:c r="G319" s="348" t="str">
        <x:v>缄誓寒铁戒</x:v>
      </x:c>
      <x:c r="H319" s="348" t="str">
        <x:v>戒指</x:v>
      </x:c>
      <x:c r="I319" s="348" t="str">
        <x:v>戒指</x:v>
      </x:c>
      <x:c r="J319" s="348" t="n">
        <x:v>5961</x:v>
      </x:c>
      <x:c r="K319" s="348" t="str">
        <x:v>规划锁定／旧资源待实库回读</x:v>
      </x:c>
      <x:c r="L319" s="349" t="str">
        <x:v>装备资源库血月荆棘·暗芽</x:v>
      </x:c>
    </x:row>
    <x:row r="320" ht="34" customHeight="1">
      <x:c r="A320" s="347" t="str">
        <x:v>C08-M023</x:v>
      </x:c>
      <x:c r="B320" s="348" t="str">
        <x:v>C08</x:v>
      </x:c>
      <x:c r="C320" s="348" t="str">
        <x:v>巨人山顶</x:v>
      </x:c>
      <x:c r="D320" s="348" t="str">
        <x:v>XX319</x:v>
      </x:c>
      <x:c r="E320" s="348" t="str">
        <x:v>裂谷锻峰侯·德鲁伽</x:v>
      </x:c>
      <x:c r="F320" s="348" t="str">
        <x:v>地图BOSS</x:v>
      </x:c>
      <x:c r="G320" s="348" t="str">
        <x:v>德鲁伽裂峰斧</x:v>
      </x:c>
      <x:c r="H320" s="348" t="str">
        <x:v>武器</x:v>
      </x:c>
      <x:c r="I320" s="348" t="str">
        <x:v>武器</x:v>
      </x:c>
      <x:c r="J320" s="348"/>
      <x:c r="K320" s="348" t="str">
        <x:v>缺武器来源码</x:v>
      </x:c>
      <x:c r="L320" s="349" t="str">
        <x:v>需补同部位Items/StateItem/DnItems三库同码资源</x:v>
      </x:c>
    </x:row>
    <x:row r="321" ht="34" customHeight="1">
      <x:c r="A321" s="347" t="str">
        <x:v>C08-M024</x:v>
      </x:c>
      <x:c r="B321" s="348" t="str">
        <x:v>C08</x:v>
      </x:c>
      <x:c r="C321" s="348" t="str">
        <x:v>巨人山顶</x:v>
      </x:c>
      <x:c r="D321" s="348" t="str">
        <x:v>XX316</x:v>
      </x:c>
      <x:c r="E321" s="348" t="str">
        <x:v>断峰献祭者·维瑟娅</x:v>
      </x:c>
      <x:c r="F321" s="348" t="str">
        <x:v>地图BOSS</x:v>
      </x:c>
      <x:c r="G321" s="348" t="str">
        <x:v>维瑟娅霜祭衣</x:v>
      </x:c>
      <x:c r="H321" s="348" t="str">
        <x:v>衣服</x:v>
      </x:c>
      <x:c r="I321" s="348" t="str">
        <x:v>男衣服（现行模板的衣服映射）</x:v>
      </x:c>
      <x:c r="J321" s="348"/>
      <x:c r="K321" s="348" t="str">
        <x:v>缺衣服来源码</x:v>
      </x:c>
      <x:c r="L321" s="349" t="str">
        <x:v>需补男衣服StdMode10的三库同码资源；女衣服码未获准合池</x:v>
      </x:c>
    </x:row>
    <x:row r="322" ht="34" customHeight="1">
      <x:c r="A322" s="347" t="str">
        <x:v>C08-M025</x:v>
      </x:c>
      <x:c r="B322" s="348" t="str">
        <x:v>C08</x:v>
      </x:c>
      <x:c r="C322" s="348" t="str">
        <x:v>巨人山顶</x:v>
      </x:c>
      <x:c r="D322" s="348" t="str">
        <x:v>XX325</x:v>
      </x:c>
      <x:c r="E322" s="348" t="str">
        <x:v>冰宫雪鸦</x:v>
      </x:c>
      <x:c r="F322" s="348" t="str">
        <x:v>普通</x:v>
      </x:c>
      <x:c r="G322" s="348" t="str">
        <x:v>雪鸦冰喙坠</x:v>
      </x:c>
      <x:c r="H322" s="348" t="str">
        <x:v>项链</x:v>
      </x:c>
      <x:c r="I322" s="348" t="str">
        <x:v>项链</x:v>
      </x:c>
      <x:c r="J322" s="348" t="n">
        <x:v>5985</x:v>
      </x:c>
      <x:c r="K322" s="348" t="str">
        <x:v>规划锁定／旧资源待实库回读</x:v>
      </x:c>
      <x:c r="L322" s="349" t="str">
        <x:v>装备资源库血月荆棘·夜蔷</x:v>
      </x:c>
    </x:row>
    <x:row r="323" ht="34" customHeight="1">
      <x:c r="A323" s="347" t="str">
        <x:v>C08-M026</x:v>
      </x:c>
      <x:c r="B323" s="348" t="str">
        <x:v>C08</x:v>
      </x:c>
      <x:c r="C323" s="348" t="str">
        <x:v>巨人山顶</x:v>
      </x:c>
      <x:c r="D323" s="348" t="str">
        <x:v>XX325</x:v>
      </x:c>
      <x:c r="E323" s="348" t="str">
        <x:v>御阶铲雪仆</x:v>
      </x:c>
      <x:c r="F323" s="348" t="str">
        <x:v>普通</x:v>
      </x:c>
      <x:c r="G323" s="348" t="str">
        <x:v>御阶雪铲</x:v>
      </x:c>
      <x:c r="H323" s="348" t="str">
        <x:v>武器</x:v>
      </x:c>
      <x:c r="I323" s="348" t="str">
        <x:v>武器</x:v>
      </x:c>
      <x:c r="J323" s="348"/>
      <x:c r="K323" s="348" t="str">
        <x:v>缺武器来源码</x:v>
      </x:c>
      <x:c r="L323" s="349" t="str">
        <x:v>需补同部位Items/StateItem/DnItems三库同码资源</x:v>
      </x:c>
    </x:row>
    <x:row r="324" ht="34" customHeight="1">
      <x:c r="A324" s="347" t="str">
        <x:v>C08-M027</x:v>
      </x:c>
      <x:c r="B324" s="348" t="str">
        <x:v>C08</x:v>
      </x:c>
      <x:c r="C324" s="348" t="str">
        <x:v>巨人山顶</x:v>
      </x:c>
      <x:c r="D324" s="348" t="str">
        <x:v>XX321</x:v>
      </x:c>
      <x:c r="E324" s="348" t="str">
        <x:v>外廊冰枪卫</x:v>
      </x:c>
      <x:c r="F324" s="348" t="str">
        <x:v>普通</x:v>
      </x:c>
      <x:c r="G324" s="348" t="str">
        <x:v>外廊纹冰盾</x:v>
      </x:c>
      <x:c r="H324" s="348" t="str">
        <x:v>盾牌</x:v>
      </x:c>
      <x:c r="I324" s="348" t="str">
        <x:v>盾牌</x:v>
      </x:c>
      <x:c r="J324" s="348" t="n">
        <x:v>5935</x:v>
      </x:c>
      <x:c r="K324" s="348" t="str">
        <x:v>规划锁定／旧资源待实库回读</x:v>
      </x:c>
      <x:c r="L324" s="349" t="str">
        <x:v>装备资源库黄金圣律·日冕</x:v>
      </x:c>
    </x:row>
    <x:row r="325" ht="34" customHeight="1">
      <x:c r="A325" s="347" t="str">
        <x:v>C08-M028</x:v>
      </x:c>
      <x:c r="B325" s="348" t="str">
        <x:v>C08</x:v>
      </x:c>
      <x:c r="C325" s="348" t="str">
        <x:v>巨人山顶</x:v>
      </x:c>
      <x:c r="D325" s="348" t="str">
        <x:v>XX322</x:v>
      </x:c>
      <x:c r="E325" s="348" t="str">
        <x:v>内廷霜纱侍女</x:v>
      </x:c>
      <x:c r="F325" s="348" t="str">
        <x:v>普通</x:v>
      </x:c>
      <x:c r="G325" s="348" t="str">
        <x:v>霜纱侍衣</x:v>
      </x:c>
      <x:c r="H325" s="348" t="str">
        <x:v>衣服</x:v>
      </x:c>
      <x:c r="I325" s="348" t="str">
        <x:v>男衣服（现行模板的衣服映射）</x:v>
      </x:c>
      <x:c r="J325" s="348"/>
      <x:c r="K325" s="348" t="str">
        <x:v>缺衣服来源码</x:v>
      </x:c>
      <x:c r="L325" s="349" t="str">
        <x:v>需补男衣服StdMode10的三库同码资源；女衣服码未获准合池</x:v>
      </x:c>
    </x:row>
    <x:row r="326" ht="34" customHeight="1">
      <x:c r="A326" s="347" t="str">
        <x:v>C08-M029</x:v>
      </x:c>
      <x:c r="B326" s="348" t="str">
        <x:v>C08</x:v>
      </x:c>
      <x:c r="C326" s="348" t="str">
        <x:v>巨人山顶</x:v>
      </x:c>
      <x:c r="D326" s="348" t="str">
        <x:v>XX323</x:v>
      </x:c>
      <x:c r="E326" s="348" t="str">
        <x:v>议殿石髯书记</x:v>
      </x:c>
      <x:c r="F326" s="348" t="str">
        <x:v>普通</x:v>
      </x:c>
      <x:c r="G326" s="348" t="str">
        <x:v>石髯记事镯</x:v>
      </x:c>
      <x:c r="H326" s="348" t="str">
        <x:v>手镯</x:v>
      </x:c>
      <x:c r="I326" s="348" t="str">
        <x:v>手镯</x:v>
      </x:c>
      <x:c r="J326" s="348" t="n">
        <x:v>5942</x:v>
      </x:c>
      <x:c r="K326" s="348" t="str">
        <x:v>规划锁定／旧资源待实库回读</x:v>
      </x:c>
      <x:c r="L326" s="349" t="str">
        <x:v>装备资源库黄金圣律·神律</x:v>
      </x:c>
    </x:row>
    <x:row r="327" ht="34" customHeight="1">
      <x:c r="A327" s="347" t="str">
        <x:v>C08-M030</x:v>
      </x:c>
      <x:c r="B327" s="348" t="str">
        <x:v>C08</x:v>
      </x:c>
      <x:c r="C327" s="348" t="str">
        <x:v>巨人山顶</x:v>
      </x:c>
      <x:c r="D327" s="348" t="str">
        <x:v>XX326</x:v>
      </x:c>
      <x:c r="E327" s="348" t="str">
        <x:v>王座寒灯侍</x:v>
      </x:c>
      <x:c r="F327" s="348" t="str">
        <x:v>普通</x:v>
      </x:c>
      <x:c r="G327" s="348" t="str">
        <x:v>寒灯侍履</x:v>
      </x:c>
      <x:c r="H327" s="348" t="str">
        <x:v>鞋子</x:v>
      </x:c>
      <x:c r="I327" s="348" t="str">
        <x:v>鞋子</x:v>
      </x:c>
      <x:c r="J327" s="348" t="n">
        <x:v>5928</x:v>
      </x:c>
      <x:c r="K327" s="348" t="str">
        <x:v>规划锁定／旧资源待实库回读</x:v>
      </x:c>
      <x:c r="L327" s="349" t="str">
        <x:v>装备资源库黄金圣律·王权</x:v>
      </x:c>
    </x:row>
    <x:row r="328" ht="34" customHeight="1">
      <x:c r="A328" s="347" t="str">
        <x:v>C08-M031</x:v>
      </x:c>
      <x:c r="B328" s="348" t="str">
        <x:v>C08</x:v>
      </x:c>
      <x:c r="C328" s="348" t="str">
        <x:v>巨人山顶</x:v>
      </x:c>
      <x:c r="D328" s="348" t="str">
        <x:v>XX321</x:v>
      </x:c>
      <x:c r="E328" s="348" t="str">
        <x:v>外廊镜甲将</x:v>
      </x:c>
      <x:c r="F328" s="348" t="str">
        <x:v>稀有</x:v>
      </x:c>
      <x:c r="G328" s="348" t="str">
        <x:v>镜甲将军盔</x:v>
      </x:c>
      <x:c r="H328" s="348" t="str">
        <x:v>头盔</x:v>
      </x:c>
      <x:c r="I328" s="348" t="str">
        <x:v>头盔</x:v>
      </x:c>
      <x:c r="J328" s="348" t="n">
        <x:v>5986</x:v>
      </x:c>
      <x:c r="K328" s="348" t="str">
        <x:v>规划锁定／旧资源待实库回读</x:v>
      </x:c>
      <x:c r="L328" s="349" t="str">
        <x:v>装备资源库血月荆棘·夜蔷</x:v>
      </x:c>
    </x:row>
    <x:row r="329" ht="34" customHeight="1">
      <x:c r="A329" s="347" t="str">
        <x:v>C08-M032</x:v>
      </x:c>
      <x:c r="B329" s="348" t="str">
        <x:v>C08</x:v>
      </x:c>
      <x:c r="C329" s="348" t="str">
        <x:v>巨人山顶</x:v>
      </x:c>
      <x:c r="D329" s="348" t="str">
        <x:v>XX322</x:v>
      </x:c>
      <x:c r="E329" s="348" t="str">
        <x:v>内廷缄声女官</x:v>
      </x:c>
      <x:c r="F329" s="348" t="str">
        <x:v>稀有</x:v>
      </x:c>
      <x:c r="G329" s="348" t="str">
        <x:v>缄声霜帘笠</x:v>
      </x:c>
      <x:c r="H329" s="348" t="str">
        <x:v>斗笠</x:v>
      </x:c>
      <x:c r="I329" s="348" t="str">
        <x:v>面巾（位置13，对应斗笠）</x:v>
      </x:c>
      <x:c r="J329" s="348" t="n">
        <x:v>6715</x:v>
      </x:c>
      <x:c r="K329" s="348" t="str">
        <x:v>预检通过资源／规划锁定／待入库</x:v>
      </x:c>
      <x:c r="L329" s="349" t="str">
        <x:v>StdMode16/位置13；血月荆棘·血月</x:v>
      </x:c>
    </x:row>
    <x:row r="330" ht="34" customHeight="1">
      <x:c r="A330" s="347" t="str">
        <x:v>C08-M033</x:v>
      </x:c>
      <x:c r="B330" s="348" t="str">
        <x:v>C08</x:v>
      </x:c>
      <x:c r="C330" s="348" t="str">
        <x:v>巨人山顶</x:v>
      </x:c>
      <x:c r="D330" s="348" t="str">
        <x:v>XX323</x:v>
      </x:c>
      <x:c r="E330" s="348" t="str">
        <x:v>议殿古律巨人</x:v>
      </x:c>
      <x:c r="F330" s="348" t="str">
        <x:v>稀有</x:v>
      </x:c>
      <x:c r="G330" s="348" t="str">
        <x:v>古律铭板带</x:v>
      </x:c>
      <x:c r="H330" s="348" t="str">
        <x:v>腰带</x:v>
      </x:c>
      <x:c r="I330" s="348" t="str">
        <x:v>腰带</x:v>
      </x:c>
      <x:c r="J330" s="348" t="n">
        <x:v>5920</x:v>
      </x:c>
      <x:c r="K330" s="348" t="str">
        <x:v>规划锁定／旧资源待实库回读</x:v>
      </x:c>
      <x:c r="L330" s="349" t="str">
        <x:v>装备资源库黄金圣律·蓝辉</x:v>
      </x:c>
    </x:row>
    <x:row r="331" ht="34" customHeight="1">
      <x:c r="A331" s="347" t="str">
        <x:v>C08-M034</x:v>
      </x:c>
      <x:c r="B331" s="348" t="str">
        <x:v>C08</x:v>
      </x:c>
      <x:c r="C331" s="348" t="str">
        <x:v>巨人山顶</x:v>
      </x:c>
      <x:c r="D331" s="348" t="str">
        <x:v>XX326</x:v>
      </x:c>
      <x:c r="E331" s="348" t="str">
        <x:v>王座霜冠司礼</x:v>
      </x:c>
      <x:c r="F331" s="348" t="str">
        <x:v>稀有</x:v>
      </x:c>
      <x:c r="G331" s="348" t="str">
        <x:v>霜冠司礼戒</x:v>
      </x:c>
      <x:c r="H331" s="348" t="str">
        <x:v>戒指</x:v>
      </x:c>
      <x:c r="I331" s="348" t="str">
        <x:v>戒指</x:v>
      </x:c>
      <x:c r="J331" s="348" t="n">
        <x:v>5970</x:v>
      </x:c>
      <x:c r="K331" s="348" t="str">
        <x:v>规划锁定／旧资源待实库回读</x:v>
      </x:c>
      <x:c r="L331" s="349" t="str">
        <x:v>装备资源库血月荆棘·血棘</x:v>
      </x:c>
    </x:row>
    <x:row r="332" ht="34" customHeight="1">
      <x:c r="A332" s="347" t="str">
        <x:v>C08-M035</x:v>
      </x:c>
      <x:c r="B332" s="348" t="str">
        <x:v>C08</x:v>
      </x:c>
      <x:c r="C332" s="348" t="str">
        <x:v>巨人山顶</x:v>
      </x:c>
      <x:c r="D332" s="348" t="str">
        <x:v>XX323</x:v>
      </x:c>
      <x:c r="E332" s="348" t="str">
        <x:v>议殿白髯公·沃尔格</x:v>
      </x:c>
      <x:c r="F332" s="348" t="str">
        <x:v>地图BOSS</x:v>
      </x:c>
      <x:c r="G332" s="348" t="str">
        <x:v>沃尔格廷议杖</x:v>
      </x:c>
      <x:c r="H332" s="348" t="str">
        <x:v>武器</x:v>
      </x:c>
      <x:c r="I332" s="348" t="str">
        <x:v>武器</x:v>
      </x:c>
      <x:c r="J332" s="348"/>
      <x:c r="K332" s="348" t="str">
        <x:v>缺武器来源码</x:v>
      </x:c>
      <x:c r="L332" s="349" t="str">
        <x:v>需补同部位Items/StateItem/DnItems三库同码资源</x:v>
      </x:c>
    </x:row>
    <x:row r="333" ht="34" customHeight="1">
      <x:c r="A333" s="347" t="str">
        <x:v>C08-M036</x:v>
      </x:c>
      <x:c r="B333" s="348" t="str">
        <x:v>C08</x:v>
      </x:c>
      <x:c r="C333" s="348" t="str">
        <x:v>巨人山顶</x:v>
      </x:c>
      <x:c r="D333" s="348" t="str">
        <x:v>XX326</x:v>
      </x:c>
      <x:c r="E333" s="348" t="str">
        <x:v>冰宫摄政后·伊瑟芮</x:v>
      </x:c>
      <x:c r="F333" s="348" t="str">
        <x:v>地图BOSS</x:v>
      </x:c>
      <x:c r="G333" s="348" t="str">
        <x:v>伊瑟芮冰绡袍</x:v>
      </x:c>
      <x:c r="H333" s="348" t="str">
        <x:v>衣服</x:v>
      </x:c>
      <x:c r="I333" s="348" t="str">
        <x:v>男衣服（现行模板的衣服映射）</x:v>
      </x:c>
      <x:c r="J333" s="348"/>
      <x:c r="K333" s="348" t="str">
        <x:v>缺衣服来源码</x:v>
      </x:c>
      <x:c r="L333" s="349" t="str">
        <x:v>需补男衣服StdMode10的三库同码资源；女衣服码未获准合池</x:v>
      </x:c>
    </x:row>
    <x:row r="334" ht="34" customHeight="1">
      <x:c r="A334" s="347" t="str">
        <x:v>C08-M037</x:v>
      </x:c>
      <x:c r="B334" s="348" t="str">
        <x:v>C08</x:v>
      </x:c>
      <x:c r="C334" s="348" t="str">
        <x:v>巨人山顶</x:v>
      </x:c>
      <x:c r="D334" s="348" t="str">
        <x:v>XX899</x:v>
      </x:c>
      <x:c r="E334" s="348" t="str">
        <x:v>王庭铸霜卫</x:v>
      </x:c>
      <x:c r="F334" s="348" t="str">
        <x:v>普通</x:v>
      </x:c>
      <x:c r="G334" s="348" t="str">
        <x:v>铸霜庭卫戟</x:v>
      </x:c>
      <x:c r="H334" s="348" t="str">
        <x:v>武器</x:v>
      </x:c>
      <x:c r="I334" s="348" t="str">
        <x:v>武器</x:v>
      </x:c>
      <x:c r="J334" s="348"/>
      <x:c r="K334" s="348" t="str">
        <x:v>缺武器来源码</x:v>
      </x:c>
      <x:c r="L334" s="349" t="str">
        <x:v>需补同部位Items/StateItem/DnItems三库同码资源</x:v>
      </x:c>
    </x:row>
    <x:row r="335" ht="34" customHeight="1">
      <x:c r="A335" s="347" t="str">
        <x:v>C08-M038</x:v>
      </x:c>
      <x:c r="B335" s="348" t="str">
        <x:v>C08</x:v>
      </x:c>
      <x:c r="C335" s="348" t="str">
        <x:v>巨人山顶</x:v>
      </x:c>
      <x:c r="D335" s="348" t="str">
        <x:v>XX899</x:v>
      </x:c>
      <x:c r="E335" s="348" t="str">
        <x:v>庭阶雪鬃獒</x:v>
      </x:c>
      <x:c r="F335" s="348" t="str">
        <x:v>普通</x:v>
      </x:c>
      <x:c r="G335" s="348" t="str">
        <x:v>雪鬃獒踏靴</x:v>
      </x:c>
      <x:c r="H335" s="348" t="str">
        <x:v>鞋子</x:v>
      </x:c>
      <x:c r="I335" s="348" t="str">
        <x:v>鞋子</x:v>
      </x:c>
      <x:c r="J335" s="348" t="n">
        <x:v>5937</x:v>
      </x:c>
      <x:c r="K335" s="348" t="str">
        <x:v>规划锁定／旧资源待实库回读</x:v>
      </x:c>
      <x:c r="L335" s="349" t="str">
        <x:v>装备资源库黄金圣律·日冕</x:v>
      </x:c>
    </x:row>
    <x:row r="336" ht="34" customHeight="1">
      <x:c r="A336" s="347" t="str">
        <x:v>C08-M039</x:v>
      </x:c>
      <x:c r="B336" s="348" t="str">
        <x:v>C08</x:v>
      </x:c>
      <x:c r="C336" s="348" t="str">
        <x:v>巨人山顶</x:v>
      </x:c>
      <x:c r="D336" s="348" t="str">
        <x:v>XX898</x:v>
      </x:c>
      <x:c r="E336" s="348" t="str">
        <x:v>内宫白毡侍</x:v>
      </x:c>
      <x:c r="F336" s="348" t="str">
        <x:v>普通</x:v>
      </x:c>
      <x:c r="G336" s="348" t="str">
        <x:v>白毡宫衣</x:v>
      </x:c>
      <x:c r="H336" s="348" t="str">
        <x:v>衣服</x:v>
      </x:c>
      <x:c r="I336" s="348" t="str">
        <x:v>男衣服（现行模板的衣服映射）</x:v>
      </x:c>
      <x:c r="J336" s="348"/>
      <x:c r="K336" s="348" t="str">
        <x:v>缺衣服来源码</x:v>
      </x:c>
      <x:c r="L336" s="349" t="str">
        <x:v>需补男衣服StdMode10的三库同码资源；女衣服码未获准合池</x:v>
      </x:c>
    </x:row>
    <x:row r="337" ht="34" customHeight="1">
      <x:c r="A337" s="347" t="str">
        <x:v>C08-M040</x:v>
      </x:c>
      <x:c r="B337" s="348" t="str">
        <x:v>C08</x:v>
      </x:c>
      <x:c r="C337" s="348" t="str">
        <x:v>巨人山顶</x:v>
      </x:c>
      <x:c r="D337" s="348" t="str">
        <x:v>XX898</x:v>
      </x:c>
      <x:c r="E337" s="348" t="str">
        <x:v>雪域巡烛官</x:v>
      </x:c>
      <x:c r="F337" s="348" t="str">
        <x:v>普通</x:v>
      </x:c>
      <x:c r="G337" s="348" t="str">
        <x:v>巡烛官灯坠</x:v>
      </x:c>
      <x:c r="H337" s="348" t="str">
        <x:v>项链</x:v>
      </x:c>
      <x:c r="I337" s="348" t="str">
        <x:v>项链</x:v>
      </x:c>
      <x:c r="J337" s="348" t="n">
        <x:v>5994</x:v>
      </x:c>
      <x:c r="K337" s="348" t="str">
        <x:v>规划锁定／旧资源待实库回读</x:v>
      </x:c>
      <x:c r="L337" s="349" t="str">
        <x:v>装备资源库血月荆棘·赤冠</x:v>
      </x:c>
    </x:row>
    <x:row r="338" ht="34" customHeight="1">
      <x:c r="A338" s="347" t="str">
        <x:v>C08-M041</x:v>
      </x:c>
      <x:c r="B338" s="348" t="str">
        <x:v>C08</x:v>
      </x:c>
      <x:c r="C338" s="348" t="str">
        <x:v>巨人山顶</x:v>
      </x:c>
      <x:c r="D338" s="348" t="str">
        <x:v>XX897</x:v>
      </x:c>
      <x:c r="E338" s="348" t="str">
        <x:v>王座负碑巨人</x:v>
      </x:c>
      <x:c r="F338" s="348" t="str">
        <x:v>普通</x:v>
      </x:c>
      <x:c r="G338" s="348" t="str">
        <x:v>负碑王座盾</x:v>
      </x:c>
      <x:c r="H338" s="348" t="str">
        <x:v>盾牌</x:v>
      </x:c>
      <x:c r="I338" s="348" t="str">
        <x:v>盾牌</x:v>
      </x:c>
      <x:c r="J338" s="348" t="n">
        <x:v>5944</x:v>
      </x:c>
      <x:c r="K338" s="348" t="str">
        <x:v>规划锁定／旧资源待实库回读</x:v>
      </x:c>
      <x:c r="L338" s="349" t="str">
        <x:v>装备资源库黄金圣律·神律</x:v>
      </x:c>
    </x:row>
    <x:row r="339" ht="34" customHeight="1">
      <x:c r="A339" s="347" t="str">
        <x:v>C08-M042</x:v>
      </x:c>
      <x:c r="B339" s="348" t="str">
        <x:v>C08</x:v>
      </x:c>
      <x:c r="C339" s="348" t="str">
        <x:v>巨人山顶</x:v>
      </x:c>
      <x:c r="D339" s="348" t="str">
        <x:v>XX897</x:v>
      </x:c>
      <x:c r="E339" s="348" t="str">
        <x:v>王座冰铃童</x:v>
      </x:c>
      <x:c r="F339" s="348" t="str">
        <x:v>普通</x:v>
      </x:c>
      <x:c r="G339" s="348" t="str">
        <x:v>冰铃童腕镯</x:v>
      </x:c>
      <x:c r="H339" s="348" t="str">
        <x:v>手镯</x:v>
      </x:c>
      <x:c r="I339" s="348" t="str">
        <x:v>手镯</x:v>
      </x:c>
      <x:c r="J339" s="348" t="n">
        <x:v>5951</x:v>
      </x:c>
      <x:c r="K339" s="348" t="str">
        <x:v>规划锁定／旧资源待实库回读</x:v>
      </x:c>
      <x:c r="L339" s="349" t="str">
        <x:v>装备资源库黄金圣律·永耀</x:v>
      </x:c>
    </x:row>
    <x:row r="340" ht="34" customHeight="1">
      <x:c r="A340" s="347" t="str">
        <x:v>C08-M043</x:v>
      </x:c>
      <x:c r="B340" s="348" t="str">
        <x:v>C08</x:v>
      </x:c>
      <x:c r="C340" s="348" t="str">
        <x:v>巨人山顶</x:v>
      </x:c>
      <x:c r="D340" s="348" t="str">
        <x:v>XX899</x:v>
      </x:c>
      <x:c r="E340" s="348" t="str">
        <x:v>觐庭裂盔侯</x:v>
      </x:c>
      <x:c r="F340" s="348" t="str">
        <x:v>稀有</x:v>
      </x:c>
      <x:c r="G340" s="348" t="str">
        <x:v>觐庭裂纹盔</x:v>
      </x:c>
      <x:c r="H340" s="348" t="str">
        <x:v>头盔</x:v>
      </x:c>
      <x:c r="I340" s="348" t="str">
        <x:v>头盔</x:v>
      </x:c>
      <x:c r="J340" s="348" t="n">
        <x:v>5995</x:v>
      </x:c>
      <x:c r="K340" s="348" t="str">
        <x:v>规划锁定／旧资源待实库回读</x:v>
      </x:c>
      <x:c r="L340" s="349" t="str">
        <x:v>装备资源库血月荆棘·赤冠</x:v>
      </x:c>
    </x:row>
    <x:row r="341" ht="34" customHeight="1">
      <x:c r="A341" s="347" t="str">
        <x:v>C08-M044</x:v>
      </x:c>
      <x:c r="B341" s="348" t="str">
        <x:v>C08</x:v>
      </x:c>
      <x:c r="C341" s="348" t="str">
        <x:v>巨人山顶</x:v>
      </x:c>
      <x:c r="D341" s="348" t="str">
        <x:v>XX898</x:v>
      </x:c>
      <x:c r="E341" s="348" t="str">
        <x:v>内宫织雪妪</x:v>
      </x:c>
      <x:c r="F341" s="348" t="str">
        <x:v>稀有</x:v>
      </x:c>
      <x:c r="G341" s="348" t="str">
        <x:v>织雪白绒笠</x:v>
      </x:c>
      <x:c r="H341" s="348" t="str">
        <x:v>斗笠</x:v>
      </x:c>
      <x:c r="I341" s="348" t="str">
        <x:v>面巾（位置13，对应斗笠）</x:v>
      </x:c>
      <x:c r="J341" s="348" t="n">
        <x:v>6750</x:v>
      </x:c>
      <x:c r="K341" s="348" t="str">
        <x:v>预检通过资源／规划锁定／待入库</x:v>
      </x:c>
      <x:c r="L341" s="349" t="str">
        <x:v>StdMode16/位置13；星渊龙息·星痕</x:v>
      </x:c>
    </x:row>
    <x:row r="342" ht="34" customHeight="1">
      <x:c r="A342" s="347" t="str">
        <x:v>C08-M045</x:v>
      </x:c>
      <x:c r="B342" s="348" t="str">
        <x:v>C08</x:v>
      </x:c>
      <x:c r="C342" s="348" t="str">
        <x:v>巨人山顶</x:v>
      </x:c>
      <x:c r="D342" s="348" t="str">
        <x:v>XX898</x:v>
      </x:c>
      <x:c r="E342" s="348" t="str">
        <x:v>雪域封门将</x:v>
      </x:c>
      <x:c r="F342" s="348" t="str">
        <x:v>稀有</x:v>
      </x:c>
      <x:c r="G342" s="348" t="str">
        <x:v>封门玄冰带</x:v>
      </x:c>
      <x:c r="H342" s="348" t="str">
        <x:v>腰带</x:v>
      </x:c>
      <x:c r="I342" s="348" t="str">
        <x:v>腰带</x:v>
      </x:c>
      <x:c r="J342" s="348" t="n">
        <x:v>5929</x:v>
      </x:c>
      <x:c r="K342" s="348" t="str">
        <x:v>规划锁定／旧资源待实库回读</x:v>
      </x:c>
      <x:c r="L342" s="349" t="str">
        <x:v>装备资源库黄金圣律·王权</x:v>
      </x:c>
    </x:row>
    <x:row r="343" ht="34" customHeight="1">
      <x:c r="A343" s="347" t="str">
        <x:v>C08-M046</x:v>
      </x:c>
      <x:c r="B343" s="348" t="str">
        <x:v>C08</x:v>
      </x:c>
      <x:c r="C343" s="348" t="str">
        <x:v>巨人山顶</x:v>
      </x:c>
      <x:c r="D343" s="348" t="str">
        <x:v>XX897</x:v>
      </x:c>
      <x:c r="E343" s="348" t="str">
        <x:v>王座守梦巫</x:v>
      </x:c>
      <x:c r="F343" s="348" t="str">
        <x:v>稀有</x:v>
      </x:c>
      <x:c r="G343" s="348" t="str">
        <x:v>守梦霜瞳戒</x:v>
      </x:c>
      <x:c r="H343" s="348" t="str">
        <x:v>戒指</x:v>
      </x:c>
      <x:c r="I343" s="348" t="str">
        <x:v>戒指</x:v>
      </x:c>
      <x:c r="J343" s="348" t="n">
        <x:v>5979</x:v>
      </x:c>
      <x:c r="K343" s="348" t="str">
        <x:v>规划锁定／旧资源待实库回读</x:v>
      </x:c>
      <x:c r="L343" s="349" t="str">
        <x:v>装备资源库血月荆棘·猩痕</x:v>
      </x:c>
    </x:row>
    <x:row r="344" ht="34" customHeight="1">
      <x:c r="A344" s="347" t="str">
        <x:v>C08-M047</x:v>
      </x:c>
      <x:c r="B344" s="348" t="str">
        <x:v>C08</x:v>
      </x:c>
      <x:c r="C344" s="348" t="str">
        <x:v>巨人山顶</x:v>
      </x:c>
      <x:c r="D344" s="348" t="str">
        <x:v>XX898</x:v>
      </x:c>
      <x:c r="E344" s="348" t="str">
        <x:v>内宫冬眠王·格罗尔</x:v>
      </x:c>
      <x:c r="F344" s="348" t="str">
        <x:v>地图BOSS</x:v>
      </x:c>
      <x:c r="G344" s="348" t="str">
        <x:v>格罗尔冬眠刃</x:v>
      </x:c>
      <x:c r="H344" s="348" t="str">
        <x:v>武器</x:v>
      </x:c>
      <x:c r="I344" s="348" t="str">
        <x:v>武器</x:v>
      </x:c>
      <x:c r="J344" s="348"/>
      <x:c r="K344" s="348" t="str">
        <x:v>缺武器来源码</x:v>
      </x:c>
      <x:c r="L344" s="349" t="str">
        <x:v>需补同部位Items/StateItem/DnItems三库同码资源</x:v>
      </x:c>
    </x:row>
    <x:row r="345" ht="34" customHeight="1">
      <x:c r="A345" s="347" t="str">
        <x:v>C08-M048</x:v>
      </x:c>
      <x:c r="B345" s="348" t="str">
        <x:v>C08</x:v>
      </x:c>
      <x:c r="C345" s="348" t="str">
        <x:v>巨人山顶</x:v>
      </x:c>
      <x:c r="D345" s="348" t="str">
        <x:v>XX897</x:v>
      </x:c>
      <x:c r="E345" s="348" t="str">
        <x:v>巨人女王·赫芮迦</x:v>
      </x:c>
      <x:c r="F345" s="348" t="str">
        <x:v>地图BOSS</x:v>
      </x:c>
      <x:c r="G345" s="348" t="str">
        <x:v>赫芮迦穹霜王衣</x:v>
      </x:c>
      <x:c r="H345" s="348" t="str">
        <x:v>衣服</x:v>
      </x:c>
      <x:c r="I345" s="348" t="str">
        <x:v>男衣服（现行模板的衣服映射）</x:v>
      </x:c>
      <x:c r="J345" s="348"/>
      <x:c r="K345" s="348" t="str">
        <x:v>缺衣服来源码</x:v>
      </x:c>
      <x:c r="L345" s="349" t="str">
        <x:v>需补男衣服StdMode10的三库同码资源；女衣服码未获准合池</x:v>
      </x:c>
    </x:row>
    <x:row r="346" ht="34" customHeight="1">
      <x:c r="A346" s="347" t="str">
        <x:v>C08-M049</x:v>
      </x:c>
      <x:c r="B346" s="348" t="str">
        <x:v>C08</x:v>
      </x:c>
      <x:c r="C346" s="348" t="str">
        <x:v>巨人山顶</x:v>
      </x:c>
      <x:c r="D346" s="348" t="str">
        <x:v>XX897</x:v>
      </x:c>
      <x:c r="E346" s="348" t="str">
        <x:v>吞日霜王·乌尔迈</x:v>
      </x:c>
      <x:c r="F346" s="348" t="str">
        <x:v>守关BOSS</x:v>
      </x:c>
      <x:c r="G346" s="348" t="str">
        <x:v>乌尔迈吞日巨剑</x:v>
      </x:c>
      <x:c r="H346" s="348" t="str">
        <x:v>武器</x:v>
      </x:c>
      <x:c r="I346" s="348" t="str">
        <x:v>武器</x:v>
      </x:c>
      <x:c r="J346" s="348" t="n">
        <x:v>6991</x:v>
      </x:c>
      <x:c r="K346" s="348" t="str">
        <x:v>预检通过资源／规划锁定／待入库</x:v>
      </x:c>
      <x:c r="L346" s="349" t="str">
        <x:v>装备资源库翠焰冥契·冥契</x:v>
      </x:c>
    </x:row>
    <x:row r="347" ht="34" customHeight="1">
      <x:c r="A347" s="347" t="str">
        <x:v>C09-M001</x:v>
      </x:c>
      <x:c r="B347" s="348" t="str">
        <x:v>C09</x:v>
      </x:c>
      <x:c r="C347" s="348" t="str">
        <x:v>亚坛高原</x:v>
      </x:c>
      <x:c r="D347" s="348" t="str">
        <x:v>XX720</x:v>
      </x:c>
      <x:c r="E347" s="348" t="str">
        <x:v>金叶角鹿</x:v>
      </x:c>
      <x:c r="F347" s="348" t="str">
        <x:v>普通</x:v>
      </x:c>
      <x:c r="G347" s="348" t="str">
        <x:v>角鹿逐叶履</x:v>
      </x:c>
      <x:c r="H347" s="348" t="str">
        <x:v>鞋子</x:v>
      </x:c>
      <x:c r="I347" s="348" t="str">
        <x:v>鞋子</x:v>
      </x:c>
      <x:c r="J347" s="348" t="n">
        <x:v>5946</x:v>
      </x:c>
      <x:c r="K347" s="348" t="str">
        <x:v>规划锁定／旧资源待实库回读</x:v>
      </x:c>
      <x:c r="L347" s="349" t="str">
        <x:v>装备资源库黄金圣律·神律</x:v>
      </x:c>
    </x:row>
    <x:row r="348" ht="34" customHeight="1">
      <x:c r="A348" s="347" t="str">
        <x:v>C09-M002</x:v>
      </x:c>
      <x:c r="B348" s="348" t="str">
        <x:v>C09</x:v>
      </x:c>
      <x:c r="C348" s="348" t="str">
        <x:v>亚坛高原</x:v>
      </x:c>
      <x:c r="D348" s="348" t="str">
        <x:v>XX720</x:v>
      </x:c>
      <x:c r="E348" s="348" t="str">
        <x:v>拾穗旅盗</x:v>
      </x:c>
      <x:c r="F348" s="348" t="str">
        <x:v>普通</x:v>
      </x:c>
      <x:c r="G348" s="348" t="str">
        <x:v>拾穗弯刃</x:v>
      </x:c>
      <x:c r="H348" s="348" t="str">
        <x:v>武器</x:v>
      </x:c>
      <x:c r="I348" s="348" t="str">
        <x:v>武器</x:v>
      </x:c>
      <x:c r="J348" s="348"/>
      <x:c r="K348" s="348" t="str">
        <x:v>缺武器来源码</x:v>
      </x:c>
      <x:c r="L348" s="349" t="str">
        <x:v>需补同部位Items/StateItem/DnItems三库同码资源</x:v>
      </x:c>
    </x:row>
    <x:row r="349" ht="34" customHeight="1">
      <x:c r="A349" s="347" t="str">
        <x:v>C09-M003</x:v>
      </x:c>
      <x:c r="B349" s="348" t="str">
        <x:v>C09</x:v>
      </x:c>
      <x:c r="C349" s="348" t="str">
        <x:v>亚坛高原</x:v>
      </x:c>
      <x:c r="D349" s="348" t="str">
        <x:v>XX717</x:v>
      </x:c>
      <x:c r="E349" s="348" t="str">
        <x:v>秋风驿卒</x:v>
      </x:c>
      <x:c r="F349" s="348" t="str">
        <x:v>普通</x:v>
      </x:c>
      <x:c r="G349" s="348" t="str">
        <x:v>驿卒挡风盔</x:v>
      </x:c>
      <x:c r="H349" s="348" t="str">
        <x:v>头盔</x:v>
      </x:c>
      <x:c r="I349" s="348" t="str">
        <x:v>头盔</x:v>
      </x:c>
      <x:c r="J349" s="348" t="n">
        <x:v>6004</x:v>
      </x:c>
      <x:c r="K349" s="348" t="str">
        <x:v>规划锁定／旧资源待实库回读</x:v>
      </x:c>
      <x:c r="L349" s="349" t="str">
        <x:v>装备资源库血月荆棘·月蚀</x:v>
      </x:c>
    </x:row>
    <x:row r="350" ht="34" customHeight="1">
      <x:c r="A350" s="347" t="str">
        <x:v>C09-M004</x:v>
      </x:c>
      <x:c r="B350" s="348" t="str">
        <x:v>C09</x:v>
      </x:c>
      <x:c r="C350" s="348" t="str">
        <x:v>亚坛高原</x:v>
      </x:c>
      <x:c r="D350" s="348" t="str">
        <x:v>XX717</x:v>
      </x:c>
      <x:c r="E350" s="348" t="str">
        <x:v>驿路驮甲虫</x:v>
      </x:c>
      <x:c r="F350" s="348" t="str">
        <x:v>普通</x:v>
      </x:c>
      <x:c r="G350" s="348" t="str">
        <x:v>驮甲叶纹盾</x:v>
      </x:c>
      <x:c r="H350" s="348" t="str">
        <x:v>盾牌</x:v>
      </x:c>
      <x:c r="I350" s="348" t="str">
        <x:v>盾牌</x:v>
      </x:c>
      <x:c r="J350" s="348" t="n">
        <x:v>5962</x:v>
      </x:c>
      <x:c r="K350" s="348" t="str">
        <x:v>规划锁定／旧资源待实库回读</x:v>
      </x:c>
      <x:c r="L350" s="349" t="str">
        <x:v>装备资源库血月荆棘·暗芽</x:v>
      </x:c>
    </x:row>
    <x:row r="351" ht="34" customHeight="1">
      <x:c r="A351" s="347" t="str">
        <x:v>C09-M005</x:v>
      </x:c>
      <x:c r="B351" s="348" t="str">
        <x:v>C09</x:v>
      </x:c>
      <x:c r="C351" s="348" t="str">
        <x:v>亚坛高原</x:v>
      </x:c>
      <x:c r="D351" s="348" t="str">
        <x:v>XX718</x:v>
      </x:c>
      <x:c r="E351" s="348" t="str">
        <x:v>陵园鎏苔像</x:v>
      </x:c>
      <x:c r="F351" s="348" t="str">
        <x:v>普通</x:v>
      </x:c>
      <x:c r="G351" s="348" t="str">
        <x:v>鎏苔守陵衣</x:v>
      </x:c>
      <x:c r="H351" s="348" t="str">
        <x:v>衣服</x:v>
      </x:c>
      <x:c r="I351" s="348" t="str">
        <x:v>男衣服（现行模板的衣服映射）</x:v>
      </x:c>
      <x:c r="J351" s="348"/>
      <x:c r="K351" s="348" t="str">
        <x:v>缺衣服来源码</x:v>
      </x:c>
      <x:c r="L351" s="349" t="str">
        <x:v>需补男衣服StdMode10的三库同码资源；女衣服码未获准合池</x:v>
      </x:c>
    </x:row>
    <x:row r="352" ht="34" customHeight="1">
      <x:c r="A352" s="347" t="str">
        <x:v>C09-M006</x:v>
      </x:c>
      <x:c r="B352" s="348" t="str">
        <x:v>C09</x:v>
      </x:c>
      <x:c r="C352" s="348" t="str">
        <x:v>亚坛高原</x:v>
      </x:c>
      <x:c r="D352" s="348" t="str">
        <x:v>XX721</x:v>
      </x:c>
      <x:c r="E352" s="348" t="str">
        <x:v>祭坛衔烛鸦</x:v>
      </x:c>
      <x:c r="F352" s="348" t="str">
        <x:v>普通</x:v>
      </x:c>
      <x:c r="G352" s="348" t="str">
        <x:v>衔烛鸦羽坠</x:v>
      </x:c>
      <x:c r="H352" s="348" t="str">
        <x:v>项链</x:v>
      </x:c>
      <x:c r="I352" s="348" t="str">
        <x:v>项链</x:v>
      </x:c>
      <x:c r="J352" s="348" t="n">
        <x:v>6003</x:v>
      </x:c>
      <x:c r="K352" s="348" t="str">
        <x:v>规划锁定／旧资源待实库回读</x:v>
      </x:c>
      <x:c r="L352" s="349" t="str">
        <x:v>装备资源库血月荆棘·月蚀</x:v>
      </x:c>
    </x:row>
    <x:row r="353" ht="34" customHeight="1">
      <x:c r="A353" s="347" t="str">
        <x:v>C09-M007</x:v>
      </x:c>
      <x:c r="B353" s="348" t="str">
        <x:v>C09</x:v>
      </x:c>
      <x:c r="C353" s="348" t="str">
        <x:v>亚坛高原</x:v>
      </x:c>
      <x:c r="D353" s="348" t="str">
        <x:v>XX720</x:v>
      </x:c>
      <x:c r="E353" s="348" t="str">
        <x:v>落叶占路僧</x:v>
      </x:c>
      <x:c r="F353" s="348" t="str">
        <x:v>稀有</x:v>
      </x:c>
      <x:c r="G353" s="348" t="str">
        <x:v>占路秋叶笠</x:v>
      </x:c>
      <x:c r="H353" s="348" t="str">
        <x:v>斗笠</x:v>
      </x:c>
      <x:c r="I353" s="348" t="str">
        <x:v>面巾（位置13，对应斗笠）</x:v>
      </x:c>
      <x:c r="J353" s="348" t="n">
        <x:v>6785</x:v>
      </x:c>
      <x:c r="K353" s="348" t="str">
        <x:v>预检通过资源／规划锁定／待入库</x:v>
      </x:c>
      <x:c r="L353" s="349" t="str">
        <x:v>StdMode16/位置13；星渊龙息·龙鳞</x:v>
      </x:c>
    </x:row>
    <x:row r="354" ht="34" customHeight="1">
      <x:c r="A354" s="347" t="str">
        <x:v>C09-M008</x:v>
      </x:c>
      <x:c r="B354" s="348" t="str">
        <x:v>C09</x:v>
      </x:c>
      <x:c r="C354" s="348" t="str">
        <x:v>亚坛高原</x:v>
      </x:c>
      <x:c r="D354" s="348" t="str">
        <x:v>XX717</x:v>
      </x:c>
      <x:c r="E354" s="348" t="str">
        <x:v>逆风驿骑</x:v>
      </x:c>
      <x:c r="F354" s="348" t="str">
        <x:v>稀有</x:v>
      </x:c>
      <x:c r="G354" s="348" t="str">
        <x:v>逆风驿骑带</x:v>
      </x:c>
      <x:c r="H354" s="348" t="str">
        <x:v>腰带</x:v>
      </x:c>
      <x:c r="I354" s="348" t="str">
        <x:v>腰带</x:v>
      </x:c>
      <x:c r="J354" s="348" t="n">
        <x:v>5938</x:v>
      </x:c>
      <x:c r="K354" s="348" t="str">
        <x:v>规划锁定／旧资源待实库回读</x:v>
      </x:c>
      <x:c r="L354" s="349" t="str">
        <x:v>装备资源库黄金圣律·日冕</x:v>
      </x:c>
    </x:row>
    <x:row r="355" ht="34" customHeight="1">
      <x:c r="A355" s="347" t="str">
        <x:v>C09-M009</x:v>
      </x:c>
      <x:c r="B355" s="348" t="str">
        <x:v>C09</x:v>
      </x:c>
      <x:c r="C355" s="348" t="str">
        <x:v>亚坛高原</x:v>
      </x:c>
      <x:c r="D355" s="348" t="str">
        <x:v>XX718</x:v>
      </x:c>
      <x:c r="E355" s="348" t="str">
        <x:v>守陵金颚兽</x:v>
      </x:c>
      <x:c r="F355" s="348" t="str">
        <x:v>稀有</x:v>
      </x:c>
      <x:c r="G355" s="348" t="str">
        <x:v>金颚守陵镯</x:v>
      </x:c>
      <x:c r="H355" s="348" t="str">
        <x:v>手镯</x:v>
      </x:c>
      <x:c r="I355" s="348" t="str">
        <x:v>手镯</x:v>
      </x:c>
      <x:c r="J355" s="348" t="n">
        <x:v>5960</x:v>
      </x:c>
      <x:c r="K355" s="348" t="str">
        <x:v>规划锁定／旧资源待实库回读</x:v>
      </x:c>
      <x:c r="L355" s="349" t="str">
        <x:v>装备资源库血月荆棘·暗芽</x:v>
      </x:c>
    </x:row>
    <x:row r="356" ht="34" customHeight="1">
      <x:c r="A356" s="347" t="str">
        <x:v>C09-M010</x:v>
      </x:c>
      <x:c r="B356" s="348" t="str">
        <x:v>C09</x:v>
      </x:c>
      <x:c r="C356" s="348" t="str">
        <x:v>亚坛高原</x:v>
      </x:c>
      <x:c r="D356" s="348" t="str">
        <x:v>XX721</x:v>
      </x:c>
      <x:c r="E356" s="348" t="str">
        <x:v>古王献梦者</x:v>
      </x:c>
      <x:c r="F356" s="348" t="str">
        <x:v>稀有</x:v>
      </x:c>
      <x:c r="G356" s="348" t="str">
        <x:v>献梦琥金戒</x:v>
      </x:c>
      <x:c r="H356" s="348" t="str">
        <x:v>戒指</x:v>
      </x:c>
      <x:c r="I356" s="348" t="str">
        <x:v>戒指</x:v>
      </x:c>
      <x:c r="J356" s="348" t="n">
        <x:v>5988</x:v>
      </x:c>
      <x:c r="K356" s="348" t="str">
        <x:v>规划锁定／旧资源待实库回读</x:v>
      </x:c>
      <x:c r="L356" s="349" t="str">
        <x:v>装备资源库血月荆棘·夜蔷</x:v>
      </x:c>
    </x:row>
    <x:row r="357" ht="34" customHeight="1">
      <x:c r="A357" s="347" t="str">
        <x:v>C09-M011</x:v>
      </x:c>
      <x:c r="B357" s="348" t="str">
        <x:v>C09</x:v>
      </x:c>
      <x:c r="C357" s="348" t="str">
        <x:v>亚坛高原</x:v>
      </x:c>
      <x:c r="D357" s="348" t="str">
        <x:v>XX718</x:v>
      </x:c>
      <x:c r="E357" s="348" t="str">
        <x:v>陵园摘冠侯·阿维恩</x:v>
      </x:c>
      <x:c r="F357" s="348" t="str">
        <x:v>地图BOSS</x:v>
      </x:c>
      <x:c r="G357" s="348" t="str">
        <x:v>阿维恩摘冠剑</x:v>
      </x:c>
      <x:c r="H357" s="348" t="str">
        <x:v>武器</x:v>
      </x:c>
      <x:c r="I357" s="348" t="str">
        <x:v>武器</x:v>
      </x:c>
      <x:c r="J357" s="348"/>
      <x:c r="K357" s="348" t="str">
        <x:v>缺武器来源码</x:v>
      </x:c>
      <x:c r="L357" s="349" t="str">
        <x:v>需补同部位Items/StateItem/DnItems三库同码资源</x:v>
      </x:c>
    </x:row>
    <x:row r="358" ht="34" customHeight="1">
      <x:c r="A358" s="347" t="str">
        <x:v>C09-M012</x:v>
      </x:c>
      <x:c r="B358" s="348" t="str">
        <x:v>C09</x:v>
      </x:c>
      <x:c r="C358" s="348" t="str">
        <x:v>亚坛高原</x:v>
      </x:c>
      <x:c r="D358" s="348" t="str">
        <x:v>XX721</x:v>
      </x:c>
      <x:c r="E358" s="348" t="str">
        <x:v>金叶祭王·萨鲁恩</x:v>
      </x:c>
      <x:c r="F358" s="348" t="str">
        <x:v>地图BOSS</x:v>
      </x:c>
      <x:c r="G358" s="348" t="str">
        <x:v>萨鲁恩金叶祭衣</x:v>
      </x:c>
      <x:c r="H358" s="348" t="str">
        <x:v>衣服</x:v>
      </x:c>
      <x:c r="I358" s="348" t="str">
        <x:v>男衣服（现行模板的衣服映射）</x:v>
      </x:c>
      <x:c r="J358" s="348"/>
      <x:c r="K358" s="348" t="str">
        <x:v>缺衣服来源码</x:v>
      </x:c>
      <x:c r="L358" s="349" t="str">
        <x:v>需补男衣服StdMode10的三库同码资源；女衣服码未获准合池</x:v>
      </x:c>
    </x:row>
    <x:row r="359" ht="34" customHeight="1">
      <x:c r="A359" s="347" t="str">
        <x:v>C09-M013</x:v>
      </x:c>
      <x:c r="B359" s="348" t="str">
        <x:v>C09</x:v>
      </x:c>
      <x:c r="C359" s="348" t="str">
        <x:v>亚坛高原</x:v>
      </x:c>
      <x:c r="D359" s="348" t="str">
        <x:v>XX820</x:v>
      </x:c>
      <x:c r="E359" s="348" t="str">
        <x:v>矿脉啮岩鼠</x:v>
      </x:c>
      <x:c r="F359" s="348" t="str">
        <x:v>普通</x:v>
      </x:c>
      <x:c r="G359" s="348" t="str">
        <x:v>啮岩鼠爪靴</x:v>
      </x:c>
      <x:c r="H359" s="348" t="str">
        <x:v>鞋子</x:v>
      </x:c>
      <x:c r="I359" s="348" t="str">
        <x:v>鞋子</x:v>
      </x:c>
      <x:c r="J359" s="348" t="n">
        <x:v>5955</x:v>
      </x:c>
      <x:c r="K359" s="348" t="str">
        <x:v>规划锁定／旧资源待实库回读</x:v>
      </x:c>
      <x:c r="L359" s="349" t="str">
        <x:v>装备资源库黄金圣律·永耀</x:v>
      </x:c>
    </x:row>
    <x:row r="360" ht="34" customHeight="1">
      <x:c r="A360" s="347" t="str">
        <x:v>C09-M014</x:v>
      </x:c>
      <x:c r="B360" s="348" t="str">
        <x:v>C09</x:v>
      </x:c>
      <x:c r="C360" s="348" t="str">
        <x:v>亚坛高原</x:v>
      </x:c>
      <x:c r="D360" s="348" t="str">
        <x:v>XX820</x:v>
      </x:c>
      <x:c r="E360" s="348" t="str">
        <x:v>高原探脉客</x:v>
      </x:c>
      <x:c r="F360" s="348" t="str">
        <x:v>普通</x:v>
      </x:c>
      <x:c r="G360" s="348" t="str">
        <x:v>探脉听石坠</x:v>
      </x:c>
      <x:c r="H360" s="348" t="str">
        <x:v>项链</x:v>
      </x:c>
      <x:c r="I360" s="348" t="str">
        <x:v>项链</x:v>
      </x:c>
      <x:c r="J360" s="348" t="n">
        <x:v>6012</x:v>
      </x:c>
      <x:c r="K360" s="348" t="str">
        <x:v>规划锁定／旧资源待实库回读</x:v>
      </x:c>
      <x:c r="L360" s="349" t="str">
        <x:v>装备资源库血月荆棘·王刺</x:v>
      </x:c>
    </x:row>
    <x:row r="361" ht="34" customHeight="1">
      <x:c r="A361" s="347" t="str">
        <x:v>C09-M015</x:v>
      </x:c>
      <x:c r="B361" s="348" t="str">
        <x:v>C09</x:v>
      </x:c>
      <x:c r="C361" s="348" t="str">
        <x:v>亚坛高原</x:v>
      </x:c>
      <x:c r="D361" s="348" t="str">
        <x:v>XX821</x:v>
      </x:c>
      <x:c r="E361" s="348" t="str">
        <x:v>黄金矿道凿工</x:v>
      </x:c>
      <x:c r="F361" s="348" t="str">
        <x:v>普通</x:v>
      </x:c>
      <x:c r="G361" s="348" t="str">
        <x:v>凿工尖喙镐</x:v>
      </x:c>
      <x:c r="H361" s="348" t="str">
        <x:v>武器</x:v>
      </x:c>
      <x:c r="I361" s="348" t="str">
        <x:v>武器</x:v>
      </x:c>
      <x:c r="J361" s="348"/>
      <x:c r="K361" s="348" t="str">
        <x:v>缺武器来源码</x:v>
      </x:c>
      <x:c r="L361" s="349" t="str">
        <x:v>需补同部位Items/StateItem/DnItems三库同码资源</x:v>
      </x:c>
    </x:row>
    <x:row r="362" ht="34" customHeight="1">
      <x:c r="A362" s="347" t="str">
        <x:v>C09-M016</x:v>
      </x:c>
      <x:c r="B362" s="348" t="str">
        <x:v>C09</x:v>
      </x:c>
      <x:c r="C362" s="348" t="str">
        <x:v>亚坛高原</x:v>
      </x:c>
      <x:c r="D362" s="348" t="str">
        <x:v>XX822</x:v>
      </x:c>
      <x:c r="E362" s="348" t="str">
        <x:v>旧营提灯尸</x:v>
      </x:c>
      <x:c r="F362" s="348" t="str">
        <x:v>普通</x:v>
      </x:c>
      <x:c r="G362" s="348" t="str">
        <x:v>提灯旧毡笠</x:v>
      </x:c>
      <x:c r="H362" s="348" t="str">
        <x:v>斗笠</x:v>
      </x:c>
      <x:c r="I362" s="348" t="str">
        <x:v>面巾（位置13，对应斗笠）</x:v>
      </x:c>
      <x:c r="J362" s="348"/>
      <x:c r="K362" s="348" t="str">
        <x:v>缺斗笠来源码</x:v>
      </x:c>
      <x:c r="L362" s="349" t="str">
        <x:v>需补StdMode16/位置13的三库同码资源</x:v>
      </x:c>
    </x:row>
    <x:row r="363" ht="34" customHeight="1">
      <x:c r="A363" s="347" t="str">
        <x:v>C09-M017</x:v>
      </x:c>
      <x:c r="B363" s="348" t="str">
        <x:v>C09</x:v>
      </x:c>
      <x:c r="C363" s="348" t="str">
        <x:v>亚坛高原</x:v>
      </x:c>
      <x:c r="D363" s="348" t="str">
        <x:v>XX823</x:v>
      </x:c>
      <x:c r="E363" s="348" t="str">
        <x:v>深井负筐奴</x:v>
      </x:c>
      <x:c r="F363" s="348" t="str">
        <x:v>普通</x:v>
      </x:c>
      <x:c r="G363" s="348" t="str">
        <x:v>负筐矿奴衣</x:v>
      </x:c>
      <x:c r="H363" s="348" t="str">
        <x:v>衣服</x:v>
      </x:c>
      <x:c r="I363" s="348" t="str">
        <x:v>男衣服（现行模板的衣服映射）</x:v>
      </x:c>
      <x:c r="J363" s="348"/>
      <x:c r="K363" s="348" t="str">
        <x:v>缺衣服来源码</x:v>
      </x:c>
      <x:c r="L363" s="349" t="str">
        <x:v>需补男衣服StdMode10的三库同码资源；女衣服码未获准合池</x:v>
      </x:c>
    </x:row>
    <x:row r="364" ht="34" customHeight="1">
      <x:c r="A364" s="347" t="str">
        <x:v>C09-M018</x:v>
      </x:c>
      <x:c r="B364" s="348" t="str">
        <x:v>C09</x:v>
      </x:c>
      <x:c r="C364" s="348" t="str">
        <x:v>亚坛高原</x:v>
      </x:c>
      <x:c r="D364" s="348" t="str">
        <x:v>XX824</x:v>
      </x:c>
      <x:c r="E364" s="348" t="str">
        <x:v>核心晶背虫</x:v>
      </x:c>
      <x:c r="F364" s="348" t="str">
        <x:v>普通</x:v>
      </x:c>
      <x:c r="G364" s="348" t="str">
        <x:v>晶背层岩盾</x:v>
      </x:c>
      <x:c r="H364" s="348" t="str">
        <x:v>盾牌</x:v>
      </x:c>
      <x:c r="I364" s="348" t="str">
        <x:v>盾牌</x:v>
      </x:c>
      <x:c r="J364" s="348" t="n">
        <x:v>5971</x:v>
      </x:c>
      <x:c r="K364" s="348" t="str">
        <x:v>规划锁定／旧资源待实库回读</x:v>
      </x:c>
      <x:c r="L364" s="349" t="str">
        <x:v>装备资源库血月荆棘·血棘</x:v>
      </x:c>
    </x:row>
    <x:row r="365" ht="34" customHeight="1">
      <x:c r="A365" s="347" t="str">
        <x:v>C09-M019</x:v>
      </x:c>
      <x:c r="B365" s="348" t="str">
        <x:v>C09</x:v>
      </x:c>
      <x:c r="C365" s="348" t="str">
        <x:v>亚坛高原</x:v>
      </x:c>
      <x:c r="D365" s="348" t="str">
        <x:v>XX821</x:v>
      </x:c>
      <x:c r="E365" s="348" t="str">
        <x:v>矿道哑钟监工</x:v>
      </x:c>
      <x:c r="F365" s="348" t="str">
        <x:v>稀有</x:v>
      </x:c>
      <x:c r="G365" s="348" t="str">
        <x:v>哑钟监工盔</x:v>
      </x:c>
      <x:c r="H365" s="348" t="str">
        <x:v>头盔</x:v>
      </x:c>
      <x:c r="I365" s="348" t="str">
        <x:v>头盔</x:v>
      </x:c>
      <x:c r="J365" s="348" t="n">
        <x:v>6013</x:v>
      </x:c>
      <x:c r="K365" s="348" t="str">
        <x:v>规划锁定／旧资源待实库回读</x:v>
      </x:c>
      <x:c r="L365" s="349" t="str">
        <x:v>装备资源库血月荆棘·王刺</x:v>
      </x:c>
    </x:row>
    <x:row r="366" ht="34" customHeight="1">
      <x:c r="A366" s="347" t="str">
        <x:v>C09-M020</x:v>
      </x:c>
      <x:c r="B366" s="348" t="str">
        <x:v>C09</x:v>
      </x:c>
      <x:c r="C366" s="348" t="str">
        <x:v>亚坛高原</x:v>
      </x:c>
      <x:c r="D366" s="348" t="str">
        <x:v>XX822</x:v>
      </x:c>
      <x:c r="E366" s="348" t="str">
        <x:v>营地熔勺婆</x:v>
      </x:c>
      <x:c r="F366" s="348" t="str">
        <x:v>稀有</x:v>
      </x:c>
      <x:c r="G366" s="348" t="str">
        <x:v>熔勺婆铜镯</x:v>
      </x:c>
      <x:c r="H366" s="348" t="str">
        <x:v>手镯</x:v>
      </x:c>
      <x:c r="I366" s="348" t="str">
        <x:v>手镯</x:v>
      </x:c>
      <x:c r="J366" s="348" t="n">
        <x:v>5969</x:v>
      </x:c>
      <x:c r="K366" s="348" t="str">
        <x:v>规划锁定／旧资源待实库回读</x:v>
      </x:c>
      <x:c r="L366" s="349" t="str">
        <x:v>装备资源库血月荆棘·血棘</x:v>
      </x:c>
    </x:row>
    <x:row r="367" ht="34" customHeight="1">
      <x:c r="A367" s="347" t="str">
        <x:v>C09-M021</x:v>
      </x:c>
      <x:c r="B367" s="348" t="str">
        <x:v>C09</x:v>
      </x:c>
      <x:c r="C367" s="348" t="str">
        <x:v>亚坛高原</x:v>
      </x:c>
      <x:c r="D367" s="348" t="str">
        <x:v>XX823</x:v>
      </x:c>
      <x:c r="E367" s="348" t="str">
        <x:v>深层听岩师</x:v>
      </x:c>
      <x:c r="F367" s="348" t="str">
        <x:v>稀有</x:v>
      </x:c>
      <x:c r="G367" s="348" t="str">
        <x:v>听岩回声戒</x:v>
      </x:c>
      <x:c r="H367" s="348" t="str">
        <x:v>戒指</x:v>
      </x:c>
      <x:c r="I367" s="348" t="str">
        <x:v>戒指</x:v>
      </x:c>
      <x:c r="J367" s="348" t="n">
        <x:v>6006</x:v>
      </x:c>
      <x:c r="K367" s="348" t="str">
        <x:v>规划锁定／旧资源待实库回读</x:v>
      </x:c>
      <x:c r="L367" s="349" t="str">
        <x:v>装备资源库血月荆棘·月蚀</x:v>
      </x:c>
    </x:row>
    <x:row r="368" ht="34" customHeight="1">
      <x:c r="A368" s="347" t="str">
        <x:v>C09-M022</x:v>
      </x:c>
      <x:c r="B368" s="348" t="str">
        <x:v>C09</x:v>
      </x:c>
      <x:c r="C368" s="348" t="str">
        <x:v>亚坛高原</x:v>
      </x:c>
      <x:c r="D368" s="348" t="str">
        <x:v>XX824</x:v>
      </x:c>
      <x:c r="E368" s="348" t="str">
        <x:v>核心吞金蜥</x:v>
      </x:c>
      <x:c r="F368" s="348" t="str">
        <x:v>稀有</x:v>
      </x:c>
      <x:c r="G368" s="348" t="str">
        <x:v>吞金蜥尾带</x:v>
      </x:c>
      <x:c r="H368" s="348" t="str">
        <x:v>腰带</x:v>
      </x:c>
      <x:c r="I368" s="348" t="str">
        <x:v>腰带</x:v>
      </x:c>
      <x:c r="J368" s="348" t="n">
        <x:v>5947</x:v>
      </x:c>
      <x:c r="K368" s="348" t="str">
        <x:v>规划锁定／旧资源待实库回读</x:v>
      </x:c>
      <x:c r="L368" s="349" t="str">
        <x:v>装备资源库黄金圣律·神律</x:v>
      </x:c>
    </x:row>
    <x:row r="369" ht="34" customHeight="1">
      <x:c r="A369" s="347" t="str">
        <x:v>C09-M023</x:v>
      </x:c>
      <x:c r="B369" s="348" t="str">
        <x:v>C09</x:v>
      </x:c>
      <x:c r="C369" s="348" t="str">
        <x:v>亚坛高原</x:v>
      </x:c>
      <x:c r="D369" s="348" t="str">
        <x:v>XX823</x:v>
      </x:c>
      <x:c r="E369" s="348" t="str">
        <x:v>深井断索王·布洛克</x:v>
      </x:c>
      <x:c r="F369" s="348" t="str">
        <x:v>地图BOSS</x:v>
      </x:c>
      <x:c r="G369" s="348" t="str">
        <x:v>布洛克断索锤</x:v>
      </x:c>
      <x:c r="H369" s="348" t="str">
        <x:v>武器</x:v>
      </x:c>
      <x:c r="I369" s="348" t="str">
        <x:v>武器</x:v>
      </x:c>
      <x:c r="J369" s="348"/>
      <x:c r="K369" s="348" t="str">
        <x:v>缺武器来源码</x:v>
      </x:c>
      <x:c r="L369" s="349" t="str">
        <x:v>需补同部位Items/StateItem/DnItems三库同码资源</x:v>
      </x:c>
    </x:row>
    <x:row r="370" ht="34" customHeight="1">
      <x:c r="A370" s="347" t="str">
        <x:v>C09-M024</x:v>
      </x:c>
      <x:c r="B370" s="348" t="str">
        <x:v>C09</x:v>
      </x:c>
      <x:c r="C370" s="348" t="str">
        <x:v>亚坛高原</x:v>
      </x:c>
      <x:c r="D370" s="348" t="str">
        <x:v>XX824</x:v>
      </x:c>
      <x:c r="E370" s="348" t="str">
        <x:v>矿心鎏金母·奥莉莎</x:v>
      </x:c>
      <x:c r="F370" s="348" t="str">
        <x:v>地图BOSS</x:v>
      </x:c>
      <x:c r="G370" s="348" t="str">
        <x:v>奥莉莎矿心甲</x:v>
      </x:c>
      <x:c r="H370" s="348" t="str">
        <x:v>衣服</x:v>
      </x:c>
      <x:c r="I370" s="348" t="str">
        <x:v>男衣服（现行模板的衣服映射）</x:v>
      </x:c>
      <x:c r="J370" s="348"/>
      <x:c r="K370" s="348" t="str">
        <x:v>缺衣服来源码</x:v>
      </x:c>
      <x:c r="L370" s="349" t="str">
        <x:v>需补男衣服StdMode10的三库同码资源；女衣服码未获准合池</x:v>
      </x:c>
    </x:row>
    <x:row r="371" ht="34" customHeight="1">
      <x:c r="A371" s="347" t="str">
        <x:v>C09-M025</x:v>
      </x:c>
      <x:c r="B371" s="348" t="str">
        <x:v>C09</x:v>
      </x:c>
      <x:c r="C371" s="348" t="str">
        <x:v>亚坛高原</x:v>
      </x:c>
      <x:c r="D371" s="348" t="str">
        <x:v>XX837</x:v>
      </x:c>
      <x:c r="E371" s="348" t="str">
        <x:v>陵园剪枝傀</x:v>
      </x:c>
      <x:c r="F371" s="348" t="str">
        <x:v>普通</x:v>
      </x:c>
      <x:c r="G371" s="348" t="str">
        <x:v>剪枝傀镰</x:v>
      </x:c>
      <x:c r="H371" s="348" t="str">
        <x:v>武器</x:v>
      </x:c>
      <x:c r="I371" s="348" t="str">
        <x:v>武器</x:v>
      </x:c>
      <x:c r="J371" s="348"/>
      <x:c r="K371" s="348" t="str">
        <x:v>缺武器来源码</x:v>
      </x:c>
      <x:c r="L371" s="349" t="str">
        <x:v>需补同部位Items/StateItem/DnItems三库同码资源</x:v>
      </x:c>
    </x:row>
    <x:row r="372" ht="34" customHeight="1">
      <x:c r="A372" s="347" t="str">
        <x:v>C09-M026</x:v>
      </x:c>
      <x:c r="B372" s="348" t="str">
        <x:v>C09</x:v>
      </x:c>
      <x:c r="C372" s="348" t="str">
        <x:v>亚坛高原</x:v>
      </x:c>
      <x:c r="D372" s="348" t="str">
        <x:v>XX837</x:v>
      </x:c>
      <x:c r="E372" s="348" t="str">
        <x:v>王碑金翅蛾</x:v>
      </x:c>
      <x:c r="F372" s="348" t="str">
        <x:v>普通</x:v>
      </x:c>
      <x:c r="G372" s="348" t="str">
        <x:v>金翅碑尘履</x:v>
      </x:c>
      <x:c r="H372" s="348" t="str">
        <x:v>鞋子</x:v>
      </x:c>
      <x:c r="I372" s="348" t="str">
        <x:v>鞋子</x:v>
      </x:c>
      <x:c r="J372" s="348" t="n">
        <x:v>5964</x:v>
      </x:c>
      <x:c r="K372" s="348" t="str">
        <x:v>规划锁定／旧资源待实库回读</x:v>
      </x:c>
      <x:c r="L372" s="349" t="str">
        <x:v>装备资源库血月荆棘·暗芽</x:v>
      </x:c>
    </x:row>
    <x:row r="373" ht="34" customHeight="1">
      <x:c r="A373" s="347" t="str">
        <x:v>C09-M027</x:v>
      </x:c>
      <x:c r="B373" s="348" t="str">
        <x:v>C09</x:v>
      </x:c>
      <x:c r="C373" s="348" t="str">
        <x:v>亚坛高原</x:v>
      </x:c>
      <x:c r="D373" s="348" t="str">
        <x:v>XX836</x:v>
      </x:c>
      <x:c r="E373" s="348" t="str">
        <x:v>甬道扶棺卒</x:v>
      </x:c>
      <x:c r="F373" s="348" t="str">
        <x:v>普通</x:v>
      </x:c>
      <x:c r="G373" s="348" t="str">
        <x:v>扶棺铜纹盾</x:v>
      </x:c>
      <x:c r="H373" s="348" t="str">
        <x:v>盾牌</x:v>
      </x:c>
      <x:c r="I373" s="348" t="str">
        <x:v>盾牌</x:v>
      </x:c>
      <x:c r="J373" s="348" t="n">
        <x:v>5980</x:v>
      </x:c>
      <x:c r="K373" s="348" t="str">
        <x:v>规划锁定／旧资源待实库回读</x:v>
      </x:c>
      <x:c r="L373" s="349" t="str">
        <x:v>装备资源库血月荆棘·猩痕</x:v>
      </x:c>
    </x:row>
    <x:row r="374" ht="34" customHeight="1">
      <x:c r="A374" s="347" t="str">
        <x:v>C09-M028</x:v>
      </x:c>
      <x:c r="B374" s="348" t="str">
        <x:v>C09</x:v>
      </x:c>
      <x:c r="C374" s="348" t="str">
        <x:v>亚坛高原</x:v>
      </x:c>
      <x:c r="D374" s="348" t="str">
        <x:v>XX836</x:v>
      </x:c>
      <x:c r="E374" s="348" t="str">
        <x:v>壁龛守烛童</x:v>
      </x:c>
      <x:c r="F374" s="348" t="str">
        <x:v>普通</x:v>
      </x:c>
      <x:c r="G374" s="348" t="str">
        <x:v>壁龛守烛坠</x:v>
      </x:c>
      <x:c r="H374" s="348" t="str">
        <x:v>项链</x:v>
      </x:c>
      <x:c r="I374" s="348" t="str">
        <x:v>项链</x:v>
      </x:c>
      <x:c r="J374" s="348" t="n">
        <x:v>6021</x:v>
      </x:c>
      <x:c r="K374" s="348" t="str">
        <x:v>规划锁定／旧资源待实库回读</x:v>
      </x:c>
      <x:c r="L374" s="349" t="str">
        <x:v>装备资源库血月荆棘·灾焰</x:v>
      </x:c>
    </x:row>
    <x:row r="375" ht="34" customHeight="1">
      <x:c r="A375" s="347" t="str">
        <x:v>C09-M029</x:v>
      </x:c>
      <x:c r="B375" s="348" t="str">
        <x:v>C09</x:v>
      </x:c>
      <x:c r="C375" s="348" t="str">
        <x:v>亚坛高原</x:v>
      </x:c>
      <x:c r="D375" s="348" t="str">
        <x:v>XX838</x:v>
      </x:c>
      <x:c r="E375" s="348" t="str">
        <x:v>墓室敛袍侍</x:v>
      </x:c>
      <x:c r="F375" s="348" t="str">
        <x:v>普通</x:v>
      </x:c>
      <x:c r="G375" s="348" t="str">
        <x:v>敛袍侍素衣</x:v>
      </x:c>
      <x:c r="H375" s="348" t="str">
        <x:v>衣服</x:v>
      </x:c>
      <x:c r="I375" s="348" t="str">
        <x:v>男衣服（现行模板的衣服映射）</x:v>
      </x:c>
      <x:c r="J375" s="348"/>
      <x:c r="K375" s="348" t="str">
        <x:v>缺衣服来源码</x:v>
      </x:c>
      <x:c r="L375" s="349" t="str">
        <x:v>需补男衣服StdMode10的三库同码资源；女衣服码未获准合池</x:v>
      </x:c>
    </x:row>
    <x:row r="376" ht="34" customHeight="1">
      <x:c r="A376" s="347" t="str">
        <x:v>C09-M030</x:v>
      </x:c>
      <x:c r="B376" s="348" t="str">
        <x:v>C09</x:v>
      </x:c>
      <x:c r="C376" s="348" t="str">
        <x:v>亚坛高原</x:v>
      </x:c>
      <x:c r="D376" s="348" t="str">
        <x:v>XX838</x:v>
      </x:c>
      <x:c r="E376" s="348" t="str">
        <x:v>古王陪葬犬</x:v>
      </x:c>
      <x:c r="F376" s="348" t="str">
        <x:v>普通</x:v>
      </x:c>
      <x:c r="G376" s="348" t="str">
        <x:v>葬犬衔骨镯</x:v>
      </x:c>
      <x:c r="H376" s="348" t="str">
        <x:v>手镯</x:v>
      </x:c>
      <x:c r="I376" s="348" t="str">
        <x:v>手镯</x:v>
      </x:c>
      <x:c r="J376" s="348" t="n">
        <x:v>5978</x:v>
      </x:c>
      <x:c r="K376" s="348" t="str">
        <x:v>规划锁定／旧资源待实库回读</x:v>
      </x:c>
      <x:c r="L376" s="349" t="str">
        <x:v>装备资源库血月荆棘·猩痕</x:v>
      </x:c>
    </x:row>
    <x:row r="377" ht="34" customHeight="1">
      <x:c r="A377" s="347" t="str">
        <x:v>C09-M031</x:v>
      </x:c>
      <x:c r="B377" s="348" t="str">
        <x:v>C09</x:v>
      </x:c>
      <x:c r="C377" s="348" t="str">
        <x:v>亚坛高原</x:v>
      </x:c>
      <x:c r="D377" s="348" t="str">
        <x:v>XX837</x:v>
      </x:c>
      <x:c r="E377" s="348" t="str">
        <x:v>王陵问名官</x:v>
      </x:c>
      <x:c r="F377" s="348" t="str">
        <x:v>稀有</x:v>
      </x:c>
      <x:c r="G377" s="348" t="str">
        <x:v>问名官冥笠</x:v>
      </x:c>
      <x:c r="H377" s="348" t="str">
        <x:v>斗笠</x:v>
      </x:c>
      <x:c r="I377" s="348" t="str">
        <x:v>面巾（位置13，对应斗笠）</x:v>
      </x:c>
      <x:c r="J377" s="348" t="n">
        <x:v>6820</x:v>
      </x:c>
      <x:c r="K377" s="348" t="str">
        <x:v>预检通过资源／规划锁定／待入库</x:v>
      </x:c>
      <x:c r="L377" s="349" t="str">
        <x:v>StdMode16/位置13；星渊龙息·渊辉</x:v>
      </x:c>
    </x:row>
    <x:row r="378" ht="34" customHeight="1">
      <x:c r="A378" s="347" t="str">
        <x:v>C09-M032</x:v>
      </x:c>
      <x:c r="B378" s="348" t="str">
        <x:v>C09</x:v>
      </x:c>
      <x:c r="C378" s="348" t="str">
        <x:v>亚坛高原</x:v>
      </x:c>
      <x:c r="D378" s="348" t="str">
        <x:v>XX836</x:v>
      </x:c>
      <x:c r="E378" s="348" t="str">
        <x:v>甬道无面近卫</x:v>
      </x:c>
      <x:c r="F378" s="348" t="str">
        <x:v>稀有</x:v>
      </x:c>
      <x:c r="G378" s="348" t="str">
        <x:v>无面近卫盔</x:v>
      </x:c>
      <x:c r="H378" s="348" t="str">
        <x:v>头盔</x:v>
      </x:c>
      <x:c r="I378" s="348" t="str">
        <x:v>头盔</x:v>
      </x:c>
      <x:c r="J378" s="348" t="n">
        <x:v>6022</x:v>
      </x:c>
      <x:c r="K378" s="348" t="str">
        <x:v>规划锁定／旧资源待实库回读</x:v>
      </x:c>
      <x:c r="L378" s="349" t="str">
        <x:v>装备资源库血月荆棘·灾焰</x:v>
      </x:c>
    </x:row>
    <x:row r="379" ht="34" customHeight="1">
      <x:c r="A379" s="347" t="str">
        <x:v>C09-M033</x:v>
      </x:c>
      <x:c r="B379" s="348" t="str">
        <x:v>C09</x:v>
      </x:c>
      <x:c r="C379" s="348" t="str">
        <x:v>亚坛高原</x:v>
      </x:c>
      <x:c r="D379" s="348" t="str">
        <x:v>XX838</x:v>
      </x:c>
      <x:c r="E379" s="348" t="str">
        <x:v>墓室守印妃</x:v>
      </x:c>
      <x:c r="F379" s="348" t="str">
        <x:v>稀有</x:v>
      </x:c>
      <x:c r="G379" s="348" t="str">
        <x:v>守印妃金戒</x:v>
      </x:c>
      <x:c r="H379" s="348" t="str">
        <x:v>戒指</x:v>
      </x:c>
      <x:c r="I379" s="348" t="str">
        <x:v>戒指</x:v>
      </x:c>
      <x:c r="J379" s="348" t="n">
        <x:v>6015</x:v>
      </x:c>
      <x:c r="K379" s="348" t="str">
        <x:v>规划锁定／旧资源待实库回读</x:v>
      </x:c>
      <x:c r="L379" s="349" t="str">
        <x:v>装备资源库血月荆棘·王刺</x:v>
      </x:c>
    </x:row>
    <x:row r="380" ht="34" customHeight="1">
      <x:c r="A380" s="347" t="str">
        <x:v>C09-M034</x:v>
      </x:c>
      <x:c r="B380" s="348" t="str">
        <x:v>C09</x:v>
      </x:c>
      <x:c r="C380" s="348" t="str">
        <x:v>亚坛高原</x:v>
      </x:c>
      <x:c r="D380" s="348" t="str">
        <x:v>XX838</x:v>
      </x:c>
      <x:c r="E380" s="348" t="str">
        <x:v>墓室食梦金蝉</x:v>
      </x:c>
      <x:c r="F380" s="348" t="str">
        <x:v>稀有</x:v>
      </x:c>
      <x:c r="G380" s="348" t="str">
        <x:v>食梦蝉蜕带</x:v>
      </x:c>
      <x:c r="H380" s="348" t="str">
        <x:v>腰带</x:v>
      </x:c>
      <x:c r="I380" s="348" t="str">
        <x:v>腰带</x:v>
      </x:c>
      <x:c r="J380" s="348" t="n">
        <x:v>5956</x:v>
      </x:c>
      <x:c r="K380" s="348" t="str">
        <x:v>规划锁定／旧资源待实库回读</x:v>
      </x:c>
      <x:c r="L380" s="349" t="str">
        <x:v>装备资源库黄金圣律·永耀</x:v>
      </x:c>
    </x:row>
    <x:row r="381" ht="34" customHeight="1">
      <x:c r="A381" s="347" t="str">
        <x:v>C09-M035</x:v>
      </x:c>
      <x:c r="B381" s="348" t="str">
        <x:v>C09</x:v>
      </x:c>
      <x:c r="C381" s="348" t="str">
        <x:v>亚坛高原</x:v>
      </x:c>
      <x:c r="D381" s="348" t="str">
        <x:v>XX836</x:v>
      </x:c>
      <x:c r="E381" s="348" t="str">
        <x:v>封棺执政·梅尔顿</x:v>
      </x:c>
      <x:c r="F381" s="348" t="str">
        <x:v>地图BOSS</x:v>
      </x:c>
      <x:c r="G381" s="348" t="str">
        <x:v>梅尔顿封棺钺</x:v>
      </x:c>
      <x:c r="H381" s="348" t="str">
        <x:v>武器</x:v>
      </x:c>
      <x:c r="I381" s="348" t="str">
        <x:v>武器</x:v>
      </x:c>
      <x:c r="J381" s="348"/>
      <x:c r="K381" s="348" t="str">
        <x:v>缺武器来源码</x:v>
      </x:c>
      <x:c r="L381" s="349" t="str">
        <x:v>需补同部位Items/StateItem/DnItems三库同码资源</x:v>
      </x:c>
    </x:row>
    <x:row r="382" ht="34" customHeight="1">
      <x:c r="A382" s="347" t="str">
        <x:v>C09-M036</x:v>
      </x:c>
      <x:c r="B382" s="348" t="str">
        <x:v>C09</x:v>
      </x:c>
      <x:c r="C382" s="348" t="str">
        <x:v>亚坛高原</x:v>
      </x:c>
      <x:c r="D382" s="348" t="str">
        <x:v>XX838</x:v>
      </x:c>
      <x:c r="E382" s="348" t="str">
        <x:v>不醒古王·奥瑞昂</x:v>
      </x:c>
      <x:c r="F382" s="348" t="str">
        <x:v>地图BOSS</x:v>
      </x:c>
      <x:c r="G382" s="348" t="str">
        <x:v>奥瑞昂不醒王衣</x:v>
      </x:c>
      <x:c r="H382" s="348" t="str">
        <x:v>衣服</x:v>
      </x:c>
      <x:c r="I382" s="348" t="str">
        <x:v>男衣服（现行模板的衣服映射）</x:v>
      </x:c>
      <x:c r="J382" s="348"/>
      <x:c r="K382" s="348" t="str">
        <x:v>缺衣服来源码</x:v>
      </x:c>
      <x:c r="L382" s="349" t="str">
        <x:v>需补男衣服StdMode10的三库同码资源；女衣服码未获准合池</x:v>
      </x:c>
    </x:row>
    <x:row r="383" ht="34" customHeight="1">
      <x:c r="A383" s="347" t="str">
        <x:v>C09-M037</x:v>
      </x:c>
      <x:c r="B383" s="348" t="str">
        <x:v>C09</x:v>
      </x:c>
      <x:c r="C383" s="348" t="str">
        <x:v>亚坛高原</x:v>
      </x:c>
      <x:c r="D383" s="348" t="str">
        <x:v>XX786</x:v>
      </x:c>
      <x:c r="E383" s="348" t="str">
        <x:v>圣堂扫金仆</x:v>
      </x:c>
      <x:c r="F383" s="348" t="str">
        <x:v>普通</x:v>
      </x:c>
      <x:c r="G383" s="348" t="str">
        <x:v>扫金仆软履</x:v>
      </x:c>
      <x:c r="H383" s="348" t="str">
        <x:v>鞋子</x:v>
      </x:c>
      <x:c r="I383" s="348" t="str">
        <x:v>鞋子</x:v>
      </x:c>
      <x:c r="J383" s="348" t="n">
        <x:v>5973</x:v>
      </x:c>
      <x:c r="K383" s="348" t="str">
        <x:v>规划锁定／旧资源待实库回读</x:v>
      </x:c>
      <x:c r="L383" s="349" t="str">
        <x:v>装备资源库血月荆棘·血棘</x:v>
      </x:c>
    </x:row>
    <x:row r="384" ht="34" customHeight="1">
      <x:c r="A384" s="347" t="str">
        <x:v>C09-M038</x:v>
      </x:c>
      <x:c r="B384" s="348" t="str">
        <x:v>C09</x:v>
      </x:c>
      <x:c r="C384" s="348" t="str">
        <x:v>亚坛高原</x:v>
      </x:c>
      <x:c r="D384" s="348" t="str">
        <x:v>XX786</x:v>
      </x:c>
      <x:c r="E384" s="348" t="str">
        <x:v>鎏檐守门士</x:v>
      </x:c>
      <x:c r="F384" s="348" t="str">
        <x:v>普通</x:v>
      </x:c>
      <x:c r="G384" s="348" t="str">
        <x:v>鎏檐拱门盾</x:v>
      </x:c>
      <x:c r="H384" s="348" t="str">
        <x:v>盾牌</x:v>
      </x:c>
      <x:c r="I384" s="348" t="str">
        <x:v>盾牌</x:v>
      </x:c>
      <x:c r="J384" s="348" t="n">
        <x:v>5989</x:v>
      </x:c>
      <x:c r="K384" s="348" t="str">
        <x:v>规划锁定／旧资源待实库回读</x:v>
      </x:c>
      <x:c r="L384" s="349" t="str">
        <x:v>装备资源库血月荆棘·夜蔷</x:v>
      </x:c>
    </x:row>
    <x:row r="385" ht="34" customHeight="1">
      <x:c r="A385" s="347" t="str">
        <x:v>C09-M039</x:v>
      </x:c>
      <x:c r="B385" s="348" t="str">
        <x:v>C09</x:v>
      </x:c>
      <x:c r="C385" s="348" t="str">
        <x:v>亚坛高原</x:v>
      </x:c>
      <x:c r="D385" s="348" t="str">
        <x:v>XX796</x:v>
      </x:c>
      <x:c r="E385" s="348" t="str">
        <x:v>前廊白袍唱者</x:v>
      </x:c>
      <x:c r="F385" s="348" t="str">
        <x:v>普通</x:v>
      </x:c>
      <x:c r="G385" s="348" t="str">
        <x:v>白袍唱诗衣</x:v>
      </x:c>
      <x:c r="H385" s="348" t="str">
        <x:v>衣服</x:v>
      </x:c>
      <x:c r="I385" s="348" t="str">
        <x:v>男衣服（现行模板的衣服映射）</x:v>
      </x:c>
      <x:c r="J385" s="348"/>
      <x:c r="K385" s="348" t="str">
        <x:v>缺衣服来源码</x:v>
      </x:c>
      <x:c r="L385" s="349" t="str">
        <x:v>需补男衣服StdMode10的三库同码资源；女衣服码未获准合池</x:v>
      </x:c>
    </x:row>
    <x:row r="386" ht="34" customHeight="1">
      <x:c r="A386" s="347" t="str">
        <x:v>C09-M040</x:v>
      </x:c>
      <x:c r="B386" s="348" t="str">
        <x:v>C09</x:v>
      </x:c>
      <x:c r="C386" s="348" t="str">
        <x:v>亚坛高原</x:v>
      </x:c>
      <x:c r="D386" s="348" t="str">
        <x:v>XX787</x:v>
      </x:c>
      <x:c r="E386" s="348" t="str">
        <x:v>祭厅焚香奴</x:v>
      </x:c>
      <x:c r="F386" s="348" t="str">
        <x:v>普通</x:v>
      </x:c>
      <x:c r="G386" s="348" t="str">
        <x:v>焚香奴腕镯</x:v>
      </x:c>
      <x:c r="H386" s="348" t="str">
        <x:v>手镯</x:v>
      </x:c>
      <x:c r="I386" s="348" t="str">
        <x:v>手镯</x:v>
      </x:c>
      <x:c r="J386" s="348" t="n">
        <x:v>5987</x:v>
      </x:c>
      <x:c r="K386" s="348" t="str">
        <x:v>规划锁定／旧资源待实库回读</x:v>
      </x:c>
      <x:c r="L386" s="349" t="str">
        <x:v>装备资源库血月荆棘·夜蔷</x:v>
      </x:c>
    </x:row>
    <x:row r="387" ht="34" customHeight="1">
      <x:c r="A387" s="347" t="str">
        <x:v>C09-M041</x:v>
      </x:c>
      <x:c r="B387" s="348" t="str">
        <x:v>C09</x:v>
      </x:c>
      <x:c r="C387" s="348" t="str">
        <x:v>亚坛高原</x:v>
      </x:c>
      <x:c r="D387" s="348" t="str">
        <x:v>XX795</x:v>
      </x:c>
      <x:c r="E387" s="348" t="str">
        <x:v>内殿金面僧</x:v>
      </x:c>
      <x:c r="F387" s="348" t="str">
        <x:v>普通</x:v>
      </x:c>
      <x:c r="G387" s="348" t="str">
        <x:v>金面僧宝盔</x:v>
      </x:c>
      <x:c r="H387" s="348" t="str">
        <x:v>头盔</x:v>
      </x:c>
      <x:c r="I387" s="348" t="str">
        <x:v>头盔</x:v>
      </x:c>
      <x:c r="J387" s="348" t="n">
        <x:v>6031</x:v>
      </x:c>
      <x:c r="K387" s="348" t="str">
        <x:v>规划锁定／旧资源待实库回读</x:v>
      </x:c>
      <x:c r="L387" s="349" t="str">
        <x:v>装备资源库血月荆棘·弑神</x:v>
      </x:c>
    </x:row>
    <x:row r="388" ht="34" customHeight="1">
      <x:c r="A388" s="347" t="str">
        <x:v>C09-M042</x:v>
      </x:c>
      <x:c r="B388" s="348" t="str">
        <x:v>C09</x:v>
      </x:c>
      <x:c r="C388" s="348" t="str">
        <x:v>亚坛高原</x:v>
      </x:c>
      <x:c r="D388" s="348" t="str">
        <x:v>XX791</x:v>
      </x:c>
      <x:c r="E388" s="348" t="str">
        <x:v>圣坛祷弓手</x:v>
      </x:c>
      <x:c r="F388" s="348" t="str">
        <x:v>普通</x:v>
      </x:c>
      <x:c r="G388" s="348" t="str">
        <x:v>祷弓手日轮弓</x:v>
      </x:c>
      <x:c r="H388" s="348" t="str">
        <x:v>武器</x:v>
      </x:c>
      <x:c r="I388" s="348" t="str">
        <x:v>武器</x:v>
      </x:c>
      <x:c r="J388" s="348"/>
      <x:c r="K388" s="348" t="str">
        <x:v>缺武器来源码</x:v>
      </x:c>
      <x:c r="L388" s="349" t="str">
        <x:v>需补同部位Items/StateItem/DnItems三库同码资源</x:v>
      </x:c>
    </x:row>
    <x:row r="389" ht="34" customHeight="1">
      <x:c r="A389" s="347" t="str">
        <x:v>C09-M043</x:v>
      </x:c>
      <x:c r="B389" s="348" t="str">
        <x:v>C09</x:v>
      </x:c>
      <x:c r="C389" s="348" t="str">
        <x:v>亚坛高原</x:v>
      </x:c>
      <x:c r="D389" s="348" t="str">
        <x:v>XX796</x:v>
      </x:c>
      <x:c r="E389" s="348" t="str">
        <x:v>前廊裁罪使</x:v>
      </x:c>
      <x:c r="F389" s="348" t="str">
        <x:v>稀有</x:v>
      </x:c>
      <x:c r="G389" s="348" t="str">
        <x:v>裁罪使荆腰带</x:v>
      </x:c>
      <x:c r="H389" s="348" t="str">
        <x:v>腰带</x:v>
      </x:c>
      <x:c r="I389" s="348" t="str">
        <x:v>腰带</x:v>
      </x:c>
      <x:c r="J389" s="348" t="n">
        <x:v>5974</x:v>
      </x:c>
      <x:c r="K389" s="348" t="str">
        <x:v>规划锁定／旧资源待实库回读</x:v>
      </x:c>
      <x:c r="L389" s="349" t="str">
        <x:v>装备资源库血月荆棘·血棘</x:v>
      </x:c>
    </x:row>
    <x:row r="390" ht="34" customHeight="1">
      <x:c r="A390" s="347" t="str">
        <x:v>C09-M044</x:v>
      </x:c>
      <x:c r="B390" s="348" t="str">
        <x:v>C09</x:v>
      </x:c>
      <x:c r="C390" s="348" t="str">
        <x:v>亚坛高原</x:v>
      </x:c>
      <x:c r="D390" s="348" t="str">
        <x:v>XX787</x:v>
      </x:c>
      <x:c r="E390" s="348" t="str">
        <x:v>古神食香兽</x:v>
      </x:c>
      <x:c r="F390" s="348" t="str">
        <x:v>稀有</x:v>
      </x:c>
      <x:c r="G390" s="348" t="str">
        <x:v>食香兽烟坠</x:v>
      </x:c>
      <x:c r="H390" s="348" t="str">
        <x:v>项链</x:v>
      </x:c>
      <x:c r="I390" s="348" t="str">
        <x:v>项链</x:v>
      </x:c>
      <x:c r="J390" s="348" t="n">
        <x:v>6030</x:v>
      </x:c>
      <x:c r="K390" s="348" t="str">
        <x:v>规划锁定／旧资源待实库回读</x:v>
      </x:c>
      <x:c r="L390" s="349" t="str">
        <x:v>装备资源库血月荆棘·弑神</x:v>
      </x:c>
    </x:row>
    <x:row r="391" ht="34" customHeight="1">
      <x:c r="A391" s="347" t="str">
        <x:v>C09-M045</x:v>
      </x:c>
      <x:c r="B391" s="348" t="str">
        <x:v>C09</x:v>
      </x:c>
      <x:c r="C391" s="348" t="str">
        <x:v>亚坛高原</x:v>
      </x:c>
      <x:c r="D391" s="348" t="str">
        <x:v>XX795</x:v>
      </x:c>
      <x:c r="E391" s="348" t="str">
        <x:v>内殿无声司铎</x:v>
      </x:c>
      <x:c r="F391" s="348" t="str">
        <x:v>稀有</x:v>
      </x:c>
      <x:c r="G391" s="348" t="str">
        <x:v>无声司铎笠</x:v>
      </x:c>
      <x:c r="H391" s="348" t="str">
        <x:v>斗笠</x:v>
      </x:c>
      <x:c r="I391" s="348" t="str">
        <x:v>面巾（位置13，对应斗笠）</x:v>
      </x:c>
      <x:c r="J391" s="348" t="n">
        <x:v>6855</x:v>
      </x:c>
      <x:c r="K391" s="348" t="str">
        <x:v>预检通过资源／规划锁定／待入库</x:v>
      </x:c>
      <x:c r="L391" s="349" t="str">
        <x:v>StdMode16/位置13；星渊龙息·天穹</x:v>
      </x:c>
    </x:row>
    <x:row r="392" ht="34" customHeight="1">
      <x:c r="A392" s="347" t="str">
        <x:v>C09-M046</x:v>
      </x:c>
      <x:c r="B392" s="348" t="str">
        <x:v>C09</x:v>
      </x:c>
      <x:c r="C392" s="348" t="str">
        <x:v>亚坛高原</x:v>
      </x:c>
      <x:c r="D392" s="348" t="str">
        <x:v>XX791</x:v>
      </x:c>
      <x:c r="E392" s="348" t="str">
        <x:v>圣坛逐光姬</x:v>
      </x:c>
      <x:c r="F392" s="348" t="str">
        <x:v>稀有</x:v>
      </x:c>
      <x:c r="G392" s="348" t="str">
        <x:v>逐光姬曜戒</x:v>
      </x:c>
      <x:c r="H392" s="348" t="str">
        <x:v>戒指</x:v>
      </x:c>
      <x:c r="I392" s="348" t="str">
        <x:v>戒指</x:v>
      </x:c>
      <x:c r="J392" s="348" t="n">
        <x:v>6024</x:v>
      </x:c>
      <x:c r="K392" s="348" t="str">
        <x:v>规划锁定／旧资源待实库回读</x:v>
      </x:c>
      <x:c r="L392" s="349" t="str">
        <x:v>装备资源库血月荆棘·灾焰</x:v>
      </x:c>
    </x:row>
    <x:row r="393" ht="34" customHeight="1">
      <x:c r="A393" s="347" t="str">
        <x:v>C09-M047</x:v>
      </x:c>
      <x:c r="B393" s="348" t="str">
        <x:v>C09</x:v>
      </x:c>
      <x:c r="C393" s="348" t="str">
        <x:v>亚坛高原</x:v>
      </x:c>
      <x:c r="D393" s="348" t="str">
        <x:v>XX795</x:v>
      </x:c>
      <x:c r="E393" s="348" t="str">
        <x:v>黄金枢机·赛维兰</x:v>
      </x:c>
      <x:c r="F393" s="348" t="str">
        <x:v>地图BOSS</x:v>
      </x:c>
      <x:c r="G393" s="348" t="str">
        <x:v>赛维兰裁阳杖</x:v>
      </x:c>
      <x:c r="H393" s="348" t="str">
        <x:v>武器</x:v>
      </x:c>
      <x:c r="I393" s="348" t="str">
        <x:v>武器</x:v>
      </x:c>
      <x:c r="J393" s="348"/>
      <x:c r="K393" s="348" t="str">
        <x:v>缺武器来源码</x:v>
      </x:c>
      <x:c r="L393" s="349" t="str">
        <x:v>需补同部位Items/StateItem/DnItems三库同码资源</x:v>
      </x:c>
    </x:row>
    <x:row r="394" ht="34" customHeight="1">
      <x:c r="A394" s="347" t="str">
        <x:v>C09-M048</x:v>
      </x:c>
      <x:c r="B394" s="348" t="str">
        <x:v>C09</x:v>
      </x:c>
      <x:c r="C394" s="348" t="str">
        <x:v>亚坛高原</x:v>
      </x:c>
      <x:c r="D394" s="348" t="str">
        <x:v>XX791</x:v>
      </x:c>
      <x:c r="E394" s="348" t="str">
        <x:v>高原圣母·艾德莉雅</x:v>
      </x:c>
      <x:c r="F394" s="348" t="str">
        <x:v>地图BOSS</x:v>
      </x:c>
      <x:c r="G394" s="348" t="str">
        <x:v>艾德莉雅鎏辉圣衣</x:v>
      </x:c>
      <x:c r="H394" s="348" t="str">
        <x:v>衣服</x:v>
      </x:c>
      <x:c r="I394" s="348" t="str">
        <x:v>男衣服（现行模板的衣服映射）</x:v>
      </x:c>
      <x:c r="J394" s="348"/>
      <x:c r="K394" s="348" t="str">
        <x:v>缺衣服来源码</x:v>
      </x:c>
      <x:c r="L394" s="349" t="str">
        <x:v>需补男衣服StdMode10的三库同码资源；女衣服码未获准合池</x:v>
      </x:c>
    </x:row>
    <x:row r="395" ht="34" customHeight="1">
      <x:c r="A395" s="347" t="str">
        <x:v>C09-M049</x:v>
      </x:c>
      <x:c r="B395" s="348" t="str">
        <x:v>C09</x:v>
      </x:c>
      <x:c r="C395" s="348" t="str">
        <x:v>亚坛高原</x:v>
      </x:c>
      <x:c r="D395" s="348" t="str">
        <x:v>XX690</x:v>
      </x:c>
      <x:c r="E395" s="348" t="str">
        <x:v>外垒铆甲兵</x:v>
      </x:c>
      <x:c r="F395" s="348" t="str">
        <x:v>普通</x:v>
      </x:c>
      <x:c r="G395" s="348" t="str">
        <x:v>铆甲兵垒盾</x:v>
      </x:c>
      <x:c r="H395" s="348" t="str">
        <x:v>盾牌</x:v>
      </x:c>
      <x:c r="I395" s="348" t="str">
        <x:v>盾牌</x:v>
      </x:c>
      <x:c r="J395" s="348" t="n">
        <x:v>5998</x:v>
      </x:c>
      <x:c r="K395" s="348" t="str">
        <x:v>规划锁定／旧资源待实库回读</x:v>
      </x:c>
      <x:c r="L395" s="349" t="str">
        <x:v>装备资源库血月荆棘·赤冠</x:v>
      </x:c>
    </x:row>
    <x:row r="396" ht="34" customHeight="1">
      <x:c r="A396" s="347" t="str">
        <x:v>C09-M050</x:v>
      </x:c>
      <x:c r="B396" s="348" t="str">
        <x:v>C09</x:v>
      </x:c>
      <x:c r="C396" s="348" t="str">
        <x:v>亚坛高原</x:v>
      </x:c>
      <x:c r="D396" s="348" t="str">
        <x:v>XX690</x:v>
      </x:c>
      <x:c r="E396" s="348" t="str">
        <x:v>城前拾箭童</x:v>
      </x:c>
      <x:c r="F396" s="348" t="str">
        <x:v>普通</x:v>
      </x:c>
      <x:c r="G396" s="348" t="str">
        <x:v>拾箭童疾履</x:v>
      </x:c>
      <x:c r="H396" s="348" t="str">
        <x:v>鞋子</x:v>
      </x:c>
      <x:c r="I396" s="348" t="str">
        <x:v>鞋子</x:v>
      </x:c>
      <x:c r="J396" s="348" t="n">
        <x:v>5982</x:v>
      </x:c>
      <x:c r="K396" s="348" t="str">
        <x:v>规划锁定／旧资源待实库回读</x:v>
      </x:c>
      <x:c r="L396" s="349" t="str">
        <x:v>装备资源库血月荆棘·猩痕</x:v>
      </x:c>
    </x:row>
    <x:row r="397" ht="34" customHeight="1">
      <x:c r="A397" s="347" t="str">
        <x:v>C09-M051</x:v>
      </x:c>
      <x:c r="B397" s="348" t="str">
        <x:v>C09</x:v>
      </x:c>
      <x:c r="C397" s="348" t="str">
        <x:v>亚坛高原</x:v>
      </x:c>
      <x:c r="D397" s="348" t="str">
        <x:v>XX691</x:v>
      </x:c>
      <x:c r="E397" s="348" t="str">
        <x:v>甬道持炬枪卒</x:v>
      </x:c>
      <x:c r="F397" s="348" t="str">
        <x:v>普通</x:v>
      </x:c>
      <x:c r="G397" s="348" t="str">
        <x:v>持炬枪卒矛</x:v>
      </x:c>
      <x:c r="H397" s="348" t="str">
        <x:v>武器</x:v>
      </x:c>
      <x:c r="I397" s="348" t="str">
        <x:v>武器</x:v>
      </x:c>
      <x:c r="J397" s="348"/>
      <x:c r="K397" s="348" t="str">
        <x:v>缺武器来源码</x:v>
      </x:c>
      <x:c r="L397" s="349" t="str">
        <x:v>需补同部位Items/StateItem/DnItems三库同码资源</x:v>
      </x:c>
    </x:row>
    <x:row r="398" ht="34" customHeight="1">
      <x:c r="A398" s="347" t="str">
        <x:v>C09-M052</x:v>
      </x:c>
      <x:c r="B398" s="348" t="str">
        <x:v>C09</x:v>
      </x:c>
      <x:c r="C398" s="348" t="str">
        <x:v>亚坛高原</x:v>
      </x:c>
      <x:c r="D398" s="348" t="str">
        <x:v>XX689</x:v>
      </x:c>
      <x:c r="E398" s="348" t="str">
        <x:v>驻军庭院炊兵</x:v>
      </x:c>
      <x:c r="F398" s="348" t="str">
        <x:v>普通</x:v>
      </x:c>
      <x:c r="G398" s="348" t="str">
        <x:v>炊兵铁勺镯</x:v>
      </x:c>
      <x:c r="H398" s="348" t="str">
        <x:v>手镯</x:v>
      </x:c>
      <x:c r="I398" s="348" t="str">
        <x:v>手镯</x:v>
      </x:c>
      <x:c r="J398" s="348" t="n">
        <x:v>5996</x:v>
      </x:c>
      <x:c r="K398" s="348" t="str">
        <x:v>规划锁定／旧资源待实库回读</x:v>
      </x:c>
      <x:c r="L398" s="349" t="str">
        <x:v>装备资源库血月荆棘·赤冠</x:v>
      </x:c>
    </x:row>
    <x:row r="399" ht="34" customHeight="1">
      <x:c r="A399" s="347" t="str">
        <x:v>C09-M053</x:v>
      </x:c>
      <x:c r="B399" s="348" t="str">
        <x:v>C09</x:v>
      </x:c>
      <x:c r="C399" s="348" t="str">
        <x:v>亚坛高原</x:v>
      </x:c>
      <x:c r="D399" s="348" t="str">
        <x:v>XX688</x:v>
      </x:c>
      <x:c r="E399" s="348" t="str">
        <x:v>黄金壁垒号手</x:v>
      </x:c>
      <x:c r="F399" s="348" t="str">
        <x:v>普通</x:v>
      </x:c>
      <x:c r="G399" s="348" t="str">
        <x:v>壁垒号手盔</x:v>
      </x:c>
      <x:c r="H399" s="348" t="str">
        <x:v>头盔</x:v>
      </x:c>
      <x:c r="I399" s="348" t="str">
        <x:v>头盔</x:v>
      </x:c>
      <x:c r="J399" s="348" t="n">
        <x:v>6058</x:v>
      </x:c>
      <x:c r="K399" s="348" t="str">
        <x:v>规划锁定／旧资源待实库回读</x:v>
      </x:c>
      <x:c r="L399" s="349" t="str">
        <x:v>装备资源库星渊龙息·龙痕</x:v>
      </x:c>
    </x:row>
    <x:row r="400" ht="34" customHeight="1">
      <x:c r="A400" s="347" t="str">
        <x:v>C09-M054</x:v>
      </x:c>
      <x:c r="B400" s="348" t="str">
        <x:v>C09</x:v>
      </x:c>
      <x:c r="C400" s="348" t="str">
        <x:v>亚坛高原</x:v>
      </x:c>
      <x:c r="D400" s="348" t="str">
        <x:v>XX639</x:v>
      </x:c>
      <x:c r="E400" s="348" t="str">
        <x:v>关门锁链卫</x:v>
      </x:c>
      <x:c r="F400" s="348" t="str">
        <x:v>普通</x:v>
      </x:c>
      <x:c r="G400" s="348" t="str">
        <x:v>锁链关门甲</x:v>
      </x:c>
      <x:c r="H400" s="348" t="str">
        <x:v>衣服</x:v>
      </x:c>
      <x:c r="I400" s="348" t="str">
        <x:v>男衣服（现行模板的衣服映射）</x:v>
      </x:c>
      <x:c r="J400" s="348"/>
      <x:c r="K400" s="348" t="str">
        <x:v>缺衣服来源码</x:v>
      </x:c>
      <x:c r="L400" s="349" t="str">
        <x:v>需补男衣服StdMode10的三库同码资源；女衣服码未获准合池</x:v>
      </x:c>
    </x:row>
    <x:row r="401" ht="34" customHeight="1">
      <x:c r="A401" s="347" t="str">
        <x:v>C09-M055</x:v>
      </x:c>
      <x:c r="B401" s="348" t="str">
        <x:v>C09</x:v>
      </x:c>
      <x:c r="C401" s="348" t="str">
        <x:v>亚坛高原</x:v>
      </x:c>
      <x:c r="D401" s="348" t="str">
        <x:v>XX691</x:v>
      </x:c>
      <x:c r="E401" s="348" t="str">
        <x:v>甬道潜旗客</x:v>
      </x:c>
      <x:c r="F401" s="348" t="str">
        <x:v>稀有</x:v>
      </x:c>
      <x:c r="G401" s="348" t="str">
        <x:v>潜旗客灰翎笠</x:v>
      </x:c>
      <x:c r="H401" s="348" t="str">
        <x:v>斗笠</x:v>
      </x:c>
      <x:c r="I401" s="348" t="str">
        <x:v>面巾（位置13，对应斗笠）</x:v>
      </x:c>
      <x:c r="J401" s="348" t="n">
        <x:v>6890</x:v>
      </x:c>
      <x:c r="K401" s="348" t="str">
        <x:v>预检通过资源／规划锁定／待入库</x:v>
      </x:c>
      <x:c r="L401" s="349" t="str">
        <x:v>StdMode16/位置13；星渊龙息·无垠</x:v>
      </x:c>
    </x:row>
    <x:row r="402" ht="34" customHeight="1">
      <x:c r="A402" s="347" t="str">
        <x:v>C09-M056</x:v>
      </x:c>
      <x:c r="B402" s="348" t="str">
        <x:v>C09</x:v>
      </x:c>
      <x:c r="C402" s="348" t="str">
        <x:v>亚坛高原</x:v>
      </x:c>
      <x:c r="D402" s="348" t="str">
        <x:v>XX689</x:v>
      </x:c>
      <x:c r="E402" s="348" t="str">
        <x:v>庭院百战旗官</x:v>
      </x:c>
      <x:c r="F402" s="348" t="str">
        <x:v>稀有</x:v>
      </x:c>
      <x:c r="G402" s="348" t="str">
        <x:v>百战旗官带</x:v>
      </x:c>
      <x:c r="H402" s="348" t="str">
        <x:v>腰带</x:v>
      </x:c>
      <x:c r="I402" s="348" t="str">
        <x:v>腰带</x:v>
      </x:c>
      <x:c r="J402" s="348" t="n">
        <x:v>5983</x:v>
      </x:c>
      <x:c r="K402" s="348" t="str">
        <x:v>规划锁定／旧资源待实库回读</x:v>
      </x:c>
      <x:c r="L402" s="349" t="str">
        <x:v>装备资源库血月荆棘·猩痕</x:v>
      </x:c>
    </x:row>
    <x:row r="403" ht="34" customHeight="1">
      <x:c r="A403" s="347" t="str">
        <x:v>C09-M057</x:v>
      </x:c>
      <x:c r="B403" s="348" t="str">
        <x:v>C09</x:v>
      </x:c>
      <x:c r="C403" s="348" t="str">
        <x:v>亚坛高原</x:v>
      </x:c>
      <x:c r="D403" s="348" t="str">
        <x:v>XX688</x:v>
      </x:c>
      <x:c r="E403" s="348" t="str">
        <x:v>壁垒鎏甲骑士</x:v>
      </x:c>
      <x:c r="F403" s="348" t="str">
        <x:v>稀有</x:v>
      </x:c>
      <x:c r="G403" s="348" t="str">
        <x:v>鎏甲骑士坠</x:v>
      </x:c>
      <x:c r="H403" s="348" t="str">
        <x:v>项链</x:v>
      </x:c>
      <x:c r="I403" s="348" t="str">
        <x:v>项链</x:v>
      </x:c>
      <x:c r="J403" s="348" t="n">
        <x:v>6039</x:v>
      </x:c>
      <x:c r="K403" s="348" t="str">
        <x:v>规划锁定／旧资源待实库回读</x:v>
      </x:c>
      <x:c r="L403" s="349" t="str">
        <x:v>装备资源库血月荆棘·终夜</x:v>
      </x:c>
    </x:row>
    <x:row r="404" ht="34" customHeight="1">
      <x:c r="A404" s="347" t="str">
        <x:v>C09-M058</x:v>
      </x:c>
      <x:c r="B404" s="348" t="str">
        <x:v>C09</x:v>
      </x:c>
      <x:c r="C404" s="348" t="str">
        <x:v>亚坛高原</x:v>
      </x:c>
      <x:c r="D404" s="348" t="str">
        <x:v>XX639</x:v>
      </x:c>
      <x:c r="E404" s="348" t="str">
        <x:v>罗德尔守门卜者</x:v>
      </x:c>
      <x:c r="F404" s="348" t="str">
        <x:v>稀有</x:v>
      </x:c>
      <x:c r="G404" s="348" t="str">
        <x:v>守门卜者戒</x:v>
      </x:c>
      <x:c r="H404" s="348" t="str">
        <x:v>戒指</x:v>
      </x:c>
      <x:c r="I404" s="348" t="str">
        <x:v>戒指</x:v>
      </x:c>
      <x:c r="J404" s="348" t="n">
        <x:v>6033</x:v>
      </x:c>
      <x:c r="K404" s="348" t="str">
        <x:v>规划锁定／旧资源待实库回读</x:v>
      </x:c>
      <x:c r="L404" s="349" t="str">
        <x:v>装备资源库血月荆棘·弑神</x:v>
      </x:c>
    </x:row>
    <x:row r="405" ht="34" customHeight="1">
      <x:c r="A405" s="347" t="str">
        <x:v>C09-M059</x:v>
      </x:c>
      <x:c r="B405" s="348" t="str">
        <x:v>C09</x:v>
      </x:c>
      <x:c r="C405" s="348" t="str">
        <x:v>亚坛高原</x:v>
      </x:c>
      <x:c r="D405" s="348" t="str">
        <x:v>XX688</x:v>
      </x:c>
      <x:c r="E405" s="348" t="str">
        <x:v>黄金壁垒统帅·罗梵迪</x:v>
      </x:c>
      <x:c r="F405" s="348" t="str">
        <x:v>地图BOSS</x:v>
      </x:c>
      <x:c r="G405" s="348" t="str">
        <x:v>罗梵迪壁垒长戟</x:v>
      </x:c>
      <x:c r="H405" s="348" t="str">
        <x:v>武器</x:v>
      </x:c>
      <x:c r="I405" s="348" t="str">
        <x:v>武器</x:v>
      </x:c>
      <x:c r="J405" s="348"/>
      <x:c r="K405" s="348" t="str">
        <x:v>缺武器来源码</x:v>
      </x:c>
      <x:c r="L405" s="349" t="str">
        <x:v>需补同部位Items/StateItem/DnItems三库同码资源</x:v>
      </x:c>
    </x:row>
    <x:row r="406" ht="34" customHeight="1">
      <x:c r="A406" s="347" t="str">
        <x:v>C09-M060</x:v>
      </x:c>
      <x:c r="B406" s="348" t="str">
        <x:v>C09</x:v>
      </x:c>
      <x:c r="C406" s="348" t="str">
        <x:v>亚坛高原</x:v>
      </x:c>
      <x:c r="D406" s="348" t="str">
        <x:v>XX639</x:v>
      </x:c>
      <x:c r="E406" s="348" t="str">
        <x:v>王门执宪者·赫桑达</x:v>
      </x:c>
      <x:c r="F406" s="348" t="str">
        <x:v>地图BOSS</x:v>
      </x:c>
      <x:c r="G406" s="348" t="str">
        <x:v>赫桑达执宪战衣</x:v>
      </x:c>
      <x:c r="H406" s="348" t="str">
        <x:v>衣服</x:v>
      </x:c>
      <x:c r="I406" s="348" t="str">
        <x:v>男衣服（现行模板的衣服映射）</x:v>
      </x:c>
      <x:c r="J406" s="348"/>
      <x:c r="K406" s="348" t="str">
        <x:v>缺衣服来源码</x:v>
      </x:c>
      <x:c r="L406" s="349" t="str">
        <x:v>需补男衣服StdMode10的三库同码资源；女衣服码未获准合池</x:v>
      </x:c>
    </x:row>
    <x:row r="407" ht="34" customHeight="1">
      <x:c r="A407" s="347" t="str">
        <x:v>C09-M061</x:v>
      </x:c>
      <x:c r="B407" s="348" t="str">
        <x:v>C09</x:v>
      </x:c>
      <x:c r="C407" s="348" t="str">
        <x:v>亚坛高原</x:v>
      </x:c>
      <x:c r="D407" s="348" t="str">
        <x:v>XX639</x:v>
      </x:c>
      <x:c r="E407" s="348" t="str">
        <x:v>鎏日王城之影·阿尔维萨</x:v>
      </x:c>
      <x:c r="F407" s="348" t="str">
        <x:v>守关BOSS</x:v>
      </x:c>
      <x:c r="G407" s="348" t="str">
        <x:v>阿尔维萨蚀日王刃</x:v>
      </x:c>
      <x:c r="H407" s="348" t="str">
        <x:v>武器</x:v>
      </x:c>
      <x:c r="I407" s="348" t="str">
        <x:v>武器</x:v>
      </x:c>
      <x:c r="J407" s="348" t="n">
        <x:v>7026</x:v>
      </x:c>
      <x:c r="K407" s="348" t="str">
        <x:v>预检通过资源／规划锁定／待入库</x:v>
      </x:c>
      <x:c r="L407" s="349" t="str">
        <x:v>装备资源库翠焰冥契·灾厄</x:v>
      </x:c>
    </x:row>
    <x:row r="408" ht="34" customHeight="1">
      <x:c r="A408" s="347" t="str">
        <x:v>C10-M001</x:v>
      </x:c>
      <x:c r="B408" s="348" t="str">
        <x:v>C10</x:v>
      </x:c>
      <x:c r="C408" s="348" t="str">
        <x:v>王城罗德尔</x:v>
      </x:c>
      <x:c r="D408" s="348" t="str">
        <x:v>XX932</x:v>
      </x:c>
      <x:c r="E408" s="348" t="str">
        <x:v>檐沟拾烬徒</x:v>
      </x:c>
      <x:c r="F408" s="348" t="str">
        <x:v>普通</x:v>
      </x:c>
      <x:c r="G408" s="348" t="str">
        <x:v>拾烬钩刃</x:v>
      </x:c>
      <x:c r="H408" s="348" t="str">
        <x:v>武器</x:v>
      </x:c>
      <x:c r="I408" s="348" t="str">
        <x:v>武器</x:v>
      </x:c>
      <x:c r="J408" s="348"/>
      <x:c r="K408" s="348" t="str">
        <x:v>缺武器来源码</x:v>
      </x:c>
      <x:c r="L408" s="349" t="str">
        <x:v>需补同部位Items/StateItem/DnItems三库同码资源</x:v>
      </x:c>
    </x:row>
    <x:row r="409" ht="34" customHeight="1">
      <x:c r="A409" s="347" t="str">
        <x:v>C10-M002</x:v>
      </x:c>
      <x:c r="B409" s="348" t="str">
        <x:v>C10</x:v>
      </x:c>
      <x:c r="C409" s="348" t="str">
        <x:v>王城罗德尔</x:v>
      </x:c>
      <x:c r="D409" s="348" t="str">
        <x:v>XX932</x:v>
      </x:c>
      <x:c r="E409" s="348" t="str">
        <x:v>斑墙巡灯卒</x:v>
      </x:c>
      <x:c r="F409" s="348" t="str">
        <x:v>普通</x:v>
      </x:c>
      <x:c r="G409" s="348" t="str">
        <x:v>斑墙巡灯盔</x:v>
      </x:c>
      <x:c r="H409" s="348" t="str">
        <x:v>头盔</x:v>
      </x:c>
      <x:c r="I409" s="348" t="str">
        <x:v>头盔</x:v>
      </x:c>
      <x:c r="J409" s="348" t="n">
        <x:v>6067</x:v>
      </x:c>
      <x:c r="K409" s="348" t="str">
        <x:v>规划锁定／旧资源待实库回读</x:v>
      </x:c>
      <x:c r="L409" s="349" t="str">
        <x:v>装备资源库星渊龙息·星晶</x:v>
      </x:c>
    </x:row>
    <x:row r="410" ht="34" customHeight="1">
      <x:c r="A410" s="347" t="str">
        <x:v>C10-M003</x:v>
      </x:c>
      <x:c r="B410" s="348" t="str">
        <x:v>C10</x:v>
      </x:c>
      <x:c r="C410" s="348" t="str">
        <x:v>王城罗德尔</x:v>
      </x:c>
      <x:c r="D410" s="348" t="str">
        <x:v>XX933</x:v>
      </x:c>
      <x:c r="E410" s="348" t="str">
        <x:v>暗巷伏砖客</x:v>
      </x:c>
      <x:c r="F410" s="348" t="str">
        <x:v>普通</x:v>
      </x:c>
      <x:c r="G410" s="348" t="str">
        <x:v>伏砖旧革靴</x:v>
      </x:c>
      <x:c r="H410" s="348" t="str">
        <x:v>鞋子</x:v>
      </x:c>
      <x:c r="I410" s="348" t="str">
        <x:v>鞋子</x:v>
      </x:c>
      <x:c r="J410" s="348" t="n">
        <x:v>5991</x:v>
      </x:c>
      <x:c r="K410" s="348" t="str">
        <x:v>规划锁定／旧资源待实库回读</x:v>
      </x:c>
      <x:c r="L410" s="349" t="str">
        <x:v>装备资源库血月荆棘·夜蔷</x:v>
      </x:c>
    </x:row>
    <x:row r="411" ht="34" customHeight="1">
      <x:c r="A411" s="347" t="str">
        <x:v>C10-M004</x:v>
      </x:c>
      <x:c r="B411" s="348" t="str">
        <x:v>C10</x:v>
      </x:c>
      <x:c r="C411" s="348" t="str">
        <x:v>王城罗德尔</x:v>
      </x:c>
      <x:c r="D411" s="348" t="str">
        <x:v>XX933</x:v>
      </x:c>
      <x:c r="E411" s="348" t="str">
        <x:v>旧街缚铃犬</x:v>
      </x:c>
      <x:c r="F411" s="348" t="str">
        <x:v>普通</x:v>
      </x:c>
      <x:c r="G411" s="348" t="str">
        <x:v>缚铃窄项圈</x:v>
      </x:c>
      <x:c r="H411" s="348" t="str">
        <x:v>项链</x:v>
      </x:c>
      <x:c r="I411" s="348" t="str">
        <x:v>项链</x:v>
      </x:c>
      <x:c r="J411" s="348" t="n">
        <x:v>6057</x:v>
      </x:c>
      <x:c r="K411" s="348" t="str">
        <x:v>规划锁定／旧资源待实库回读</x:v>
      </x:c>
      <x:c r="L411" s="349" t="str">
        <x:v>装备资源库星渊龙息·龙痕</x:v>
      </x:c>
    </x:row>
    <x:row r="412" ht="34" customHeight="1">
      <x:c r="A412" s="347" t="str">
        <x:v>C10-M005</x:v>
      </x:c>
      <x:c r="B412" s="348" t="str">
        <x:v>C10</x:v>
      </x:c>
      <x:c r="C412" s="348" t="str">
        <x:v>王城罗德尔</x:v>
      </x:c>
      <x:c r="D412" s="348" t="str">
        <x:v>XX930</x:v>
      </x:c>
      <x:c r="E412" s="348" t="str">
        <x:v>闸底淤甲工</x:v>
      </x:c>
      <x:c r="F412" s="348" t="str">
        <x:v>普通</x:v>
      </x:c>
      <x:c r="G412" s="348" t="str">
        <x:v>淤甲闸工衣</x:v>
      </x:c>
      <x:c r="H412" s="348" t="str">
        <x:v>衣服</x:v>
      </x:c>
      <x:c r="I412" s="348" t="str">
        <x:v>男衣服（现行模板的衣服映射）</x:v>
      </x:c>
      <x:c r="J412" s="348"/>
      <x:c r="K412" s="348" t="str">
        <x:v>缺衣服来源码</x:v>
      </x:c>
      <x:c r="L412" s="349" t="str">
        <x:v>需补男衣服StdMode10的三库同码资源；女衣服码未获准合池</x:v>
      </x:c>
    </x:row>
    <x:row r="413" ht="34" customHeight="1">
      <x:c r="A413" s="347" t="str">
        <x:v>C10-M006</x:v>
      </x:c>
      <x:c r="B413" s="348" t="str">
        <x:v>C10</x:v>
      </x:c>
      <x:c r="C413" s="348" t="str">
        <x:v>王城罗德尔</x:v>
      </x:c>
      <x:c r="D413" s="348" t="str">
        <x:v>XX930</x:v>
      </x:c>
      <x:c r="E413" s="348" t="str">
        <x:v>链轮守栓奴</x:v>
      </x:c>
      <x:c r="F413" s="348" t="str">
        <x:v>普通</x:v>
      </x:c>
      <x:c r="G413" s="348" t="str">
        <x:v>链轮束腰</x:v>
      </x:c>
      <x:c r="H413" s="348" t="str">
        <x:v>腰带</x:v>
      </x:c>
      <x:c r="I413" s="348" t="str">
        <x:v>腰带</x:v>
      </x:c>
      <x:c r="J413" s="348" t="n">
        <x:v>6001</x:v>
      </x:c>
      <x:c r="K413" s="348" t="str">
        <x:v>规划锁定／旧资源待实库回读</x:v>
      </x:c>
      <x:c r="L413" s="349" t="str">
        <x:v>装备资源库血月荆棘·赤冠</x:v>
      </x:c>
    </x:row>
    <x:row r="414" ht="34" customHeight="1">
      <x:c r="A414" s="347" t="str">
        <x:v>C10-M007</x:v>
      </x:c>
      <x:c r="B414" s="348" t="str">
        <x:v>C10</x:v>
      </x:c>
      <x:c r="C414" s="348" t="str">
        <x:v>王城罗德尔</x:v>
      </x:c>
      <x:c r="D414" s="348" t="str">
        <x:v>XX932</x:v>
      </x:c>
      <x:c r="E414" s="348" t="str">
        <x:v>碎檐金羽鸦</x:v>
      </x:c>
      <x:c r="F414" s="348" t="str">
        <x:v>稀有</x:v>
      </x:c>
      <x:c r="G414" s="348" t="str">
        <x:v>碎檐金羽镯</x:v>
      </x:c>
      <x:c r="H414" s="348" t="str">
        <x:v>手镯</x:v>
      </x:c>
      <x:c r="I414" s="348" t="str">
        <x:v>手镯</x:v>
      </x:c>
      <x:c r="J414" s="348" t="n">
        <x:v>6005</x:v>
      </x:c>
      <x:c r="K414" s="348" t="str">
        <x:v>规划锁定／旧资源待实库回读</x:v>
      </x:c>
      <x:c r="L414" s="349" t="str">
        <x:v>装备资源库血月荆棘·月蚀</x:v>
      </x:c>
    </x:row>
    <x:row r="415" ht="34" customHeight="1">
      <x:c r="A415" s="347" t="str">
        <x:v>C10-M008</x:v>
      </x:c>
      <x:c r="B415" s="348" t="str">
        <x:v>C10</x:v>
      </x:c>
      <x:c r="C415" s="348" t="str">
        <x:v>王城罗德尔</x:v>
      </x:c>
      <x:c r="D415" s="348" t="str">
        <x:v>XX932</x:v>
      </x:c>
      <x:c r="E415" s="348" t="str">
        <x:v>缄口税契吏</x:v>
      </x:c>
      <x:c r="F415" s="348" t="str">
        <x:v>稀有</x:v>
      </x:c>
      <x:c r="G415" s="348" t="str">
        <x:v>缄契铅印戒</x:v>
      </x:c>
      <x:c r="H415" s="348" t="str">
        <x:v>戒指</x:v>
      </x:c>
      <x:c r="I415" s="348" t="str">
        <x:v>戒指</x:v>
      </x:c>
      <x:c r="J415" s="348" t="n">
        <x:v>6042</x:v>
      </x:c>
      <x:c r="K415" s="348" t="str">
        <x:v>规划锁定／旧资源待实库回读</x:v>
      </x:c>
      <x:c r="L415" s="349" t="str">
        <x:v>装备资源库血月荆棘·终夜</x:v>
      </x:c>
    </x:row>
    <x:row r="416" ht="34" customHeight="1">
      <x:c r="A416" s="347" t="str">
        <x:v>C10-M009</x:v>
      </x:c>
      <x:c r="B416" s="348" t="str">
        <x:v>C10</x:v>
      </x:c>
      <x:c r="C416" s="348" t="str">
        <x:v>王城罗德尔</x:v>
      </x:c>
      <x:c r="D416" s="348" t="str">
        <x:v>XX933</x:v>
      </x:c>
      <x:c r="E416" s="348" t="str">
        <x:v>巷钟剜影者</x:v>
      </x:c>
      <x:c r="F416" s="348" t="str">
        <x:v>稀有</x:v>
      </x:c>
      <x:c r="G416" s="348" t="str">
        <x:v>剜影巷钟章</x:v>
      </x:c>
      <x:c r="H416" s="348" t="str">
        <x:v>勋章</x:v>
      </x:c>
      <x:c r="I416" s="348" t="str">
        <x:v>勋章</x:v>
      </x:c>
      <x:c r="J416" s="348" t="n">
        <x:v>5867</x:v>
      </x:c>
      <x:c r="K416" s="348" t="str">
        <x:v>规划锁定／旧资源待实库回读</x:v>
      </x:c>
      <x:c r="L416" s="349" t="str">
        <x:v>装备资源库黄金圣律·初誓</x:v>
      </x:c>
    </x:row>
    <x:row r="417" ht="34" customHeight="1">
      <x:c r="A417" s="347" t="str">
        <x:v>C10-M010</x:v>
      </x:c>
      <x:c r="B417" s="348" t="str">
        <x:v>C10</x:v>
      </x:c>
      <x:c r="C417" s="348" t="str">
        <x:v>王城罗德尔</x:v>
      </x:c>
      <x:c r="D417" s="348" t="str">
        <x:v>XX930</x:v>
      </x:c>
      <x:c r="E417" s="348" t="str">
        <x:v>沉闸铜面监工</x:v>
      </x:c>
      <x:c r="F417" s="348" t="str">
        <x:v>稀有</x:v>
      </x:c>
      <x:c r="G417" s="348" t="str">
        <x:v>沉闸铜面盾</x:v>
      </x:c>
      <x:c r="H417" s="348" t="str">
        <x:v>盾牌</x:v>
      </x:c>
      <x:c r="I417" s="348" t="str">
        <x:v>盾牌</x:v>
      </x:c>
      <x:c r="J417" s="348" t="n">
        <x:v>6016</x:v>
      </x:c>
      <x:c r="K417" s="348" t="str">
        <x:v>规划锁定／旧资源待实库回读</x:v>
      </x:c>
      <x:c r="L417" s="349" t="str">
        <x:v>装备资源库血月荆棘·王刺</x:v>
      </x:c>
    </x:row>
    <x:row r="418" ht="34" customHeight="1">
      <x:c r="A418" s="347" t="str">
        <x:v>C10-M011</x:v>
      </x:c>
      <x:c r="B418" s="348" t="str">
        <x:v>C10</x:v>
      </x:c>
      <x:c r="C418" s="348" t="str">
        <x:v>王城罗德尔</x:v>
      </x:c>
      <x:c r="D418" s="348" t="str">
        <x:v>XX933</x:v>
      </x:c>
      <x:c r="E418" s="348" t="str">
        <x:v>灰巷的无灯侯</x:v>
      </x:c>
      <x:c r="F418" s="348" t="str">
        <x:v>地图BOSS</x:v>
      </x:c>
      <x:c r="G418" s="348" t="str">
        <x:v>无灯侯旧斗笠</x:v>
      </x:c>
      <x:c r="H418" s="348" t="str">
        <x:v>斗笠</x:v>
      </x:c>
      <x:c r="I418" s="348" t="str">
        <x:v>面巾（位置13，对应斗笠）</x:v>
      </x:c>
      <x:c r="J418" s="348" t="n">
        <x:v>6925</x:v>
      </x:c>
      <x:c r="K418" s="348" t="str">
        <x:v>预检通过资源／规划锁定／待入库</x:v>
      </x:c>
      <x:c r="L418" s="349" t="str">
        <x:v>StdMode16/位置13；翠焰冥契·幽焰</x:v>
      </x:c>
    </x:row>
    <x:row r="419" ht="34" customHeight="1">
      <x:c r="A419" s="347" t="str">
        <x:v>C10-M012</x:v>
      </x:c>
      <x:c r="B419" s="348" t="str">
        <x:v>C10</x:v>
      </x:c>
      <x:c r="C419" s="348" t="str">
        <x:v>王城罗德尔</x:v>
      </x:c>
      <x:c r="D419" s="348" t="str">
        <x:v>XX930</x:v>
      </x:c>
      <x:c r="E419" s="348" t="str">
        <x:v>千锁闸门统领</x:v>
      </x:c>
      <x:c r="F419" s="348" t="str">
        <x:v>地图BOSS</x:v>
      </x:c>
      <x:c r="G419" s="348" t="str">
        <x:v>千锁断流铡</x:v>
      </x:c>
      <x:c r="H419" s="348" t="str">
        <x:v>武器</x:v>
      </x:c>
      <x:c r="I419" s="348" t="str">
        <x:v>武器</x:v>
      </x:c>
      <x:c r="J419" s="348"/>
      <x:c r="K419" s="348" t="str">
        <x:v>缺武器来源码</x:v>
      </x:c>
      <x:c r="L419" s="349" t="str">
        <x:v>需补同部位Items/StateItem/DnItems三库同码资源</x:v>
      </x:c>
    </x:row>
    <x:row r="420" ht="34" customHeight="1">
      <x:c r="A420" s="347" t="str">
        <x:v>C10-M013</x:v>
      </x:c>
      <x:c r="B420" s="348" t="str">
        <x:v>C10</x:v>
      </x:c>
      <x:c r="C420" s="348" t="str">
        <x:v>王城罗德尔</x:v>
      </x:c>
      <x:c r="D420" s="348" t="str">
        <x:v>XX629</x:v>
      </x:c>
      <x:c r="E420" s="348" t="str">
        <x:v>金垢潜渠鼠</x:v>
      </x:c>
      <x:c r="F420" s="348" t="str">
        <x:v>普通</x:v>
      </x:c>
      <x:c r="G420" s="348" t="str">
        <x:v>金垢噬骨爪</x:v>
      </x:c>
      <x:c r="H420" s="348" t="str">
        <x:v>武器</x:v>
      </x:c>
      <x:c r="I420" s="348" t="str">
        <x:v>武器</x:v>
      </x:c>
      <x:c r="J420" s="348"/>
      <x:c r="K420" s="348" t="str">
        <x:v>缺武器来源码</x:v>
      </x:c>
      <x:c r="L420" s="349" t="str">
        <x:v>需补同部位Items/StateItem/DnItems三库同码资源</x:v>
      </x:c>
    </x:row>
    <x:row r="421" ht="34" customHeight="1">
      <x:c r="A421" s="347" t="str">
        <x:v>C10-M014</x:v>
      </x:c>
      <x:c r="B421" s="348" t="str">
        <x:v>C10</x:v>
      </x:c>
      <x:c r="C421" s="348" t="str">
        <x:v>王城罗德尔</x:v>
      </x:c>
      <x:c r="D421" s="348" t="str">
        <x:v>XX629</x:v>
      </x:c>
      <x:c r="E421" s="348" t="str">
        <x:v>污潮捞骨役</x:v>
      </x:c>
      <x:c r="F421" s="348" t="str">
        <x:v>普通</x:v>
      </x:c>
      <x:c r="G421" s="348" t="str">
        <x:v>捞骨防污衣</x:v>
      </x:c>
      <x:c r="H421" s="348" t="str">
        <x:v>衣服</x:v>
      </x:c>
      <x:c r="I421" s="348" t="str">
        <x:v>男衣服（现行模板的衣服映射）</x:v>
      </x:c>
      <x:c r="J421" s="348"/>
      <x:c r="K421" s="348" t="str">
        <x:v>缺衣服来源码</x:v>
      </x:c>
      <x:c r="L421" s="349" t="str">
        <x:v>需补男衣服StdMode10的三库同码资源；女衣服码未获准合池</x:v>
      </x:c>
    </x:row>
    <x:row r="422" ht="34" customHeight="1">
      <x:c r="A422" s="347" t="str">
        <x:v>C10-M015</x:v>
      </x:c>
      <x:c r="B422" s="348" t="str">
        <x:v>C10</x:v>
      </x:c>
      <x:c r="C422" s="348" t="str">
        <x:v>王城罗德尔</x:v>
      </x:c>
      <x:c r="D422" s="348" t="str">
        <x:v>XX631</x:v>
      </x:c>
      <x:c r="E422" s="348" t="str">
        <x:v>回廊鸣管蜥</x:v>
      </x:c>
      <x:c r="F422" s="348" t="str">
        <x:v>普通</x:v>
      </x:c>
      <x:c r="G422" s="348" t="str">
        <x:v>鸣管鳞盔</x:v>
      </x:c>
      <x:c r="H422" s="348" t="str">
        <x:v>头盔</x:v>
      </x:c>
      <x:c r="I422" s="348" t="str">
        <x:v>头盔</x:v>
      </x:c>
      <x:c r="J422" s="348" t="n">
        <x:v>6076</x:v>
      </x:c>
      <x:c r="K422" s="348" t="str">
        <x:v>规划锁定／旧资源待实库回读</x:v>
      </x:c>
      <x:c r="L422" s="349" t="str">
        <x:v>装备资源库星渊龙息·霜翼</x:v>
      </x:c>
    </x:row>
    <x:row r="423" ht="34" customHeight="1">
      <x:c r="A423" s="347" t="str">
        <x:v>C10-M016</x:v>
      </x:c>
      <x:c r="B423" s="348" t="str">
        <x:v>C10</x:v>
      </x:c>
      <x:c r="C423" s="348" t="str">
        <x:v>王城罗德尔</x:v>
      </x:c>
      <x:c r="D423" s="348" t="str">
        <x:v>XX631</x:v>
      </x:c>
      <x:c r="E423" s="348" t="str">
        <x:v>锈槽巡污卒</x:v>
      </x:c>
      <x:c r="F423" s="348" t="str">
        <x:v>普通</x:v>
      </x:c>
      <x:c r="G423" s="348" t="str">
        <x:v>锈槽踏污靴</x:v>
      </x:c>
      <x:c r="H423" s="348" t="str">
        <x:v>鞋子</x:v>
      </x:c>
      <x:c r="I423" s="348" t="str">
        <x:v>鞋子</x:v>
      </x:c>
      <x:c r="J423" s="348" t="n">
        <x:v>6000</x:v>
      </x:c>
      <x:c r="K423" s="348" t="str">
        <x:v>规划锁定／旧资源待实库回读</x:v>
      </x:c>
      <x:c r="L423" s="349" t="str">
        <x:v>装备资源库血月荆棘·赤冠</x:v>
      </x:c>
    </x:row>
    <x:row r="424" ht="34" customHeight="1">
      <x:c r="A424" s="347" t="str">
        <x:v>C10-M017</x:v>
      </x:c>
      <x:c r="B424" s="348" t="str">
        <x:v>C10</x:v>
      </x:c>
      <x:c r="C424" s="348" t="str">
        <x:v>王城罗德尔</x:v>
      </x:c>
      <x:c r="D424" s="348" t="str">
        <x:v>XX624</x:v>
      </x:c>
      <x:c r="E424" s="348" t="str">
        <x:v>中枢盘阀傀</x:v>
      </x:c>
      <x:c r="F424" s="348" t="str">
        <x:v>普通</x:v>
      </x:c>
      <x:c r="G424" s="348" t="str">
        <x:v>盘阀锁流带</x:v>
      </x:c>
      <x:c r="H424" s="348" t="str">
        <x:v>腰带</x:v>
      </x:c>
      <x:c r="I424" s="348" t="str">
        <x:v>腰带</x:v>
      </x:c>
      <x:c r="J424" s="348" t="n">
        <x:v>6010</x:v>
      </x:c>
      <x:c r="K424" s="348" t="str">
        <x:v>规划锁定／旧资源待实库回读</x:v>
      </x:c>
      <x:c r="L424" s="349" t="str">
        <x:v>装备资源库血月荆棘·月蚀</x:v>
      </x:c>
    </x:row>
    <x:row r="425" ht="34" customHeight="1">
      <x:c r="A425" s="347" t="str">
        <x:v>C10-M018</x:v>
      </x:c>
      <x:c r="B425" s="348" t="str">
        <x:v>C10</x:v>
      </x:c>
      <x:c r="C425" s="348" t="str">
        <x:v>王城罗德尔</x:v>
      </x:c>
      <x:c r="D425" s="348" t="str">
        <x:v>XX624</x:v>
      </x:c>
      <x:c r="E425" s="348" t="str">
        <x:v>泄洪窥灯虫</x:v>
      </x:c>
      <x:c r="F425" s="348" t="str">
        <x:v>普通</x:v>
      </x:c>
      <x:c r="G425" s="348" t="str">
        <x:v>窥灯浊辉坠</x:v>
      </x:c>
      <x:c r="H425" s="348" t="str">
        <x:v>项链</x:v>
      </x:c>
      <x:c r="I425" s="348" t="str">
        <x:v>项链</x:v>
      </x:c>
      <x:c r="J425" s="348" t="n">
        <x:v>6066</x:v>
      </x:c>
      <x:c r="K425" s="348" t="str">
        <x:v>规划锁定／旧资源待实库回读</x:v>
      </x:c>
      <x:c r="L425" s="349" t="str">
        <x:v>装备资源库星渊龙息·星晶</x:v>
      </x:c>
    </x:row>
    <x:row r="426" ht="34" customHeight="1">
      <x:c r="A426" s="347" t="str">
        <x:v>C10-M019</x:v>
      </x:c>
      <x:c r="B426" s="348" t="str">
        <x:v>C10</x:v>
      </x:c>
      <x:c r="C426" s="348" t="str">
        <x:v>王城罗德尔</x:v>
      </x:c>
      <x:c r="D426" s="348" t="str">
        <x:v>XX629</x:v>
      </x:c>
      <x:c r="E426" s="348" t="str">
        <x:v>镀金脓潮母</x:v>
      </x:c>
      <x:c r="F426" s="348" t="str">
        <x:v>稀有</x:v>
      </x:c>
      <x:c r="G426" s="348" t="str">
        <x:v>脓潮镀金腕</x:v>
      </x:c>
      <x:c r="H426" s="348" t="str">
        <x:v>手镯</x:v>
      </x:c>
      <x:c r="I426" s="348" t="str">
        <x:v>手镯</x:v>
      </x:c>
      <x:c r="J426" s="348" t="n">
        <x:v>6014</x:v>
      </x:c>
      <x:c r="K426" s="348" t="str">
        <x:v>规划锁定／旧资源待实库回读</x:v>
      </x:c>
      <x:c r="L426" s="349" t="str">
        <x:v>装备资源库血月荆棘·王刺</x:v>
      </x:c>
    </x:row>
    <x:row r="427" ht="34" customHeight="1">
      <x:c r="A427" s="347" t="str">
        <x:v>C10-M020</x:v>
      </x:c>
      <x:c r="B427" s="348" t="str">
        <x:v>C10</x:v>
      </x:c>
      <x:c r="C427" s="348" t="str">
        <x:v>王城罗德尔</x:v>
      </x:c>
      <x:c r="D427" s="348" t="str">
        <x:v>XX631</x:v>
      </x:c>
      <x:c r="E427" s="348" t="str">
        <x:v>逆流剥甲人</x:v>
      </x:c>
      <x:c r="F427" s="348" t="str">
        <x:v>稀有</x:v>
      </x:c>
      <x:c r="G427" s="348" t="str">
        <x:v>逆流剥甲盾</x:v>
      </x:c>
      <x:c r="H427" s="348" t="str">
        <x:v>盾牌</x:v>
      </x:c>
      <x:c r="I427" s="348" t="str">
        <x:v>盾牌</x:v>
      </x:c>
      <x:c r="J427" s="348" t="n">
        <x:v>6025</x:v>
      </x:c>
      <x:c r="K427" s="348" t="str">
        <x:v>规划锁定／旧资源待实库回读</x:v>
      </x:c>
      <x:c r="L427" s="349" t="str">
        <x:v>装备资源库血月荆棘·灾焰</x:v>
      </x:c>
    </x:row>
    <x:row r="428" ht="34" customHeight="1">
      <x:c r="A428" s="347" t="str">
        <x:v>C10-M021</x:v>
      </x:c>
      <x:c r="B428" s="348" t="str">
        <x:v>C10</x:v>
      </x:c>
      <x:c r="C428" s="348" t="str">
        <x:v>王城罗德尔</x:v>
      </x:c>
      <x:c r="D428" s="348" t="str">
        <x:v>XX631</x:v>
      </x:c>
      <x:c r="E428" s="348" t="str">
        <x:v>七孔哀笛客</x:v>
      </x:c>
      <x:c r="F428" s="348" t="str">
        <x:v>稀有</x:v>
      </x:c>
      <x:c r="G428" s="348" t="str">
        <x:v>七孔哀笛戒</x:v>
      </x:c>
      <x:c r="H428" s="348" t="str">
        <x:v>戒指</x:v>
      </x:c>
      <x:c r="I428" s="348" t="str">
        <x:v>戒指</x:v>
      </x:c>
      <x:c r="J428" s="348" t="n">
        <x:v>6060</x:v>
      </x:c>
      <x:c r="K428" s="348" t="str">
        <x:v>规划锁定／旧资源待实库回读</x:v>
      </x:c>
      <x:c r="L428" s="349" t="str">
        <x:v>装备资源库星渊龙息·龙痕</x:v>
      </x:c>
    </x:row>
    <x:row r="429" ht="34" customHeight="1">
      <x:c r="A429" s="347" t="str">
        <x:v>C10-M022</x:v>
      </x:c>
      <x:c r="B429" s="348" t="str">
        <x:v>C10</x:v>
      </x:c>
      <x:c r="C429" s="348" t="str">
        <x:v>王城罗德尔</x:v>
      </x:c>
      <x:c r="D429" s="348" t="str">
        <x:v>XX624</x:v>
      </x:c>
      <x:c r="E429" s="348" t="str">
        <x:v>沸淤校阀官</x:v>
      </x:c>
      <x:c r="F429" s="348" t="str">
        <x:v>稀有</x:v>
      </x:c>
      <x:c r="G429" s="348" t="str">
        <x:v>沸淤校阀章</x:v>
      </x:c>
      <x:c r="H429" s="348" t="str">
        <x:v>勋章</x:v>
      </x:c>
      <x:c r="I429" s="348" t="str">
        <x:v>勋章</x:v>
      </x:c>
      <x:c r="J429" s="348" t="n">
        <x:v>5876</x:v>
      </x:c>
      <x:c r="K429" s="348" t="str">
        <x:v>规划锁定／旧资源待实库回读</x:v>
      </x:c>
      <x:c r="L429" s="349" t="str">
        <x:v>装备资源库黄金圣律·铭契</x:v>
      </x:c>
    </x:row>
    <x:row r="430" ht="34" customHeight="1">
      <x:c r="A430" s="347" t="str">
        <x:v>C10-M023</x:v>
      </x:c>
      <x:c r="B430" s="348" t="str">
        <x:v>C10</x:v>
      </x:c>
      <x:c r="C430" s="348" t="str">
        <x:v>王城罗德尔</x:v>
      </x:c>
      <x:c r="D430" s="348" t="str">
        <x:v>XX631</x:v>
      </x:c>
      <x:c r="E430" s="348" t="str">
        <x:v>百喉回廊吞声兽</x:v>
      </x:c>
      <x:c r="F430" s="348" t="str">
        <x:v>地图BOSS</x:v>
      </x:c>
      <x:c r="G430" s="348" t="str">
        <x:v>百喉闭音斗笠</x:v>
      </x:c>
      <x:c r="H430" s="348" t="str">
        <x:v>斗笠</x:v>
      </x:c>
      <x:c r="I430" s="348" t="str">
        <x:v>面巾（位置13，对应斗笠）</x:v>
      </x:c>
      <x:c r="J430" s="348" t="n">
        <x:v>6960</x:v>
      </x:c>
      <x:c r="K430" s="348" t="str">
        <x:v>预检通过资源／规划锁定／待入库</x:v>
      </x:c>
      <x:c r="L430" s="349" t="str">
        <x:v>StdMode16/位置13；翠焰冥契·腐痕</x:v>
      </x:c>
    </x:row>
    <x:row r="431" ht="34" customHeight="1">
      <x:c r="A431" s="347" t="str">
        <x:v>C10-M024</x:v>
      </x:c>
      <x:c r="B431" s="348" t="str">
        <x:v>C10</x:v>
      </x:c>
      <x:c r="C431" s="348" t="str">
        <x:v>王城罗德尔</x:v>
      </x:c>
      <x:c r="D431" s="348" t="str">
        <x:v>XX624</x:v>
      </x:c>
      <x:c r="E431" s="348" t="str">
        <x:v>鎏污大司闸</x:v>
      </x:c>
      <x:c r="F431" s="348" t="str">
        <x:v>地图BOSS</x:v>
      </x:c>
      <x:c r="G431" s="348" t="str">
        <x:v>鎏污司闸战袍</x:v>
      </x:c>
      <x:c r="H431" s="348" t="str">
        <x:v>衣服</x:v>
      </x:c>
      <x:c r="I431" s="348" t="str">
        <x:v>男衣服（现行模板的衣服映射）</x:v>
      </x:c>
      <x:c r="J431" s="348"/>
      <x:c r="K431" s="348" t="str">
        <x:v>缺衣服来源码</x:v>
      </x:c>
      <x:c r="L431" s="349" t="str">
        <x:v>需补男衣服StdMode10的三库同码资源；女衣服码未获准合池</x:v>
      </x:c>
    </x:row>
    <x:row r="432" ht="34" customHeight="1">
      <x:c r="A432" s="347" t="str">
        <x:v>C10-M025</x:v>
      </x:c>
      <x:c r="B432" s="348" t="str">
        <x:v>C10</x:v>
      </x:c>
      <x:c r="C432" s="348" t="str">
        <x:v>王城罗德尔</x:v>
      </x:c>
      <x:c r="D432" s="348" t="str">
        <x:v>XX954</x:v>
      </x:c>
      <x:c r="E432" s="348" t="str">
        <x:v>金脉铲痕奴</x:v>
      </x:c>
      <x:c r="F432" s="348" t="str">
        <x:v>普通</x:v>
      </x:c>
      <x:c r="G432" s="348" t="str">
        <x:v>铲痕护矿盔</x:v>
      </x:c>
      <x:c r="H432" s="348" t="str">
        <x:v>头盔</x:v>
      </x:c>
      <x:c r="I432" s="348" t="str">
        <x:v>头盔</x:v>
      </x:c>
      <x:c r="J432" s="348" t="n">
        <x:v>6085</x:v>
      </x:c>
      <x:c r="K432" s="348" t="str">
        <x:v>规划锁定／旧资源待实库回读</x:v>
      </x:c>
      <x:c r="L432" s="349" t="str">
        <x:v>装备资源库星渊龙息·渊潮</x:v>
      </x:c>
    </x:row>
    <x:row r="433" ht="34" customHeight="1">
      <x:c r="A433" s="347" t="str">
        <x:v>C10-M026</x:v>
      </x:c>
      <x:c r="B433" s="348" t="str">
        <x:v>C10</x:v>
      </x:c>
      <x:c r="C433" s="348" t="str">
        <x:v>王城罗德尔</x:v>
      </x:c>
      <x:c r="D433" s="348" t="str">
        <x:v>XX954</x:v>
      </x:c>
      <x:c r="E433" s="348" t="str">
        <x:v>王矿负灯鼹</x:v>
      </x:c>
      <x:c r="F433" s="348" t="str">
        <x:v>普通</x:v>
      </x:c>
      <x:c r="G433" s="348" t="str">
        <x:v>负灯探脉靴</x:v>
      </x:c>
      <x:c r="H433" s="348" t="str">
        <x:v>鞋子</x:v>
      </x:c>
      <x:c r="I433" s="348" t="str">
        <x:v>鞋子</x:v>
      </x:c>
      <x:c r="J433" s="348" t="n">
        <x:v>6009</x:v>
      </x:c>
      <x:c r="K433" s="348" t="str">
        <x:v>规划锁定／旧资源待实库回读</x:v>
      </x:c>
      <x:c r="L433" s="349" t="str">
        <x:v>装备资源库血月荆棘·月蚀</x:v>
      </x:c>
    </x:row>
    <x:row r="434" ht="34" customHeight="1">
      <x:c r="A434" s="347" t="str">
        <x:v>C10-M027</x:v>
      </x:c>
      <x:c r="B434" s="348" t="str">
        <x:v>C10</x:v>
      </x:c>
      <x:c r="C434" s="348" t="str">
        <x:v>王城罗德尔</x:v>
      </x:c>
      <x:c r="D434" s="348" t="str">
        <x:v>XX955</x:v>
      </x:c>
      <x:c r="E434" s="348" t="str">
        <x:v>崩轨拖链卒</x:v>
      </x:c>
      <x:c r="F434" s="348" t="str">
        <x:v>普通</x:v>
      </x:c>
      <x:c r="G434" s="348" t="str">
        <x:v>崩轨拖链盾</x:v>
      </x:c>
      <x:c r="H434" s="348" t="str">
        <x:v>盾牌</x:v>
      </x:c>
      <x:c r="I434" s="348" t="str">
        <x:v>盾牌</x:v>
      </x:c>
      <x:c r="J434" s="348" t="n">
        <x:v>6034</x:v>
      </x:c>
      <x:c r="K434" s="348" t="str">
        <x:v>规划锁定／旧资源待实库回读</x:v>
      </x:c>
      <x:c r="L434" s="349" t="str">
        <x:v>装备资源库血月荆棘·弑神</x:v>
      </x:c>
    </x:row>
    <x:row r="435" ht="34" customHeight="1">
      <x:c r="A435" s="347" t="str">
        <x:v>C10-M028</x:v>
      </x:c>
      <x:c r="B435" s="348" t="str">
        <x:v>C10</x:v>
      </x:c>
      <x:c r="C435" s="348" t="str">
        <x:v>王城罗德尔</x:v>
      </x:c>
      <x:c r="D435" s="348" t="str">
        <x:v>XX953</x:v>
      </x:c>
      <x:c r="E435" s="348" t="str">
        <x:v>冷砧铆甲匠</x:v>
      </x:c>
      <x:c r="F435" s="348" t="str">
        <x:v>普通</x:v>
      </x:c>
      <x:c r="G435" s="348" t="str">
        <x:v>冷砧铆甲衣</x:v>
      </x:c>
      <x:c r="H435" s="348" t="str">
        <x:v>衣服</x:v>
      </x:c>
      <x:c r="I435" s="348" t="str">
        <x:v>男衣服（现行模板的衣服映射）</x:v>
      </x:c>
      <x:c r="J435" s="348"/>
      <x:c r="K435" s="348" t="str">
        <x:v>缺衣服来源码</x:v>
      </x:c>
      <x:c r="L435" s="349" t="str">
        <x:v>需补男衣服StdMode10的三库同码资源；女衣服码未获准合池</x:v>
      </x:c>
    </x:row>
    <x:row r="436" ht="34" customHeight="1">
      <x:c r="A436" s="347" t="str">
        <x:v>C10-M029</x:v>
      </x:c>
      <x:c r="B436" s="348" t="str">
        <x:v>C10</x:v>
      </x:c>
      <x:c r="C436" s="348" t="str">
        <x:v>王城罗德尔</x:v>
      </x:c>
      <x:c r="D436" s="348" t="str">
        <x:v>XX957</x:v>
      </x:c>
      <x:c r="E436" s="348" t="str">
        <x:v>裂晶钻颚兽</x:v>
      </x:c>
      <x:c r="F436" s="348" t="str">
        <x:v>普通</x:v>
      </x:c>
      <x:c r="G436" s="348" t="str">
        <x:v>裂晶钻颚刃</x:v>
      </x:c>
      <x:c r="H436" s="348" t="str">
        <x:v>武器</x:v>
      </x:c>
      <x:c r="I436" s="348" t="str">
        <x:v>武器</x:v>
      </x:c>
      <x:c r="J436" s="348"/>
      <x:c r="K436" s="348" t="str">
        <x:v>缺武器来源码</x:v>
      </x:c>
      <x:c r="L436" s="349" t="str">
        <x:v>需补同部位Items/StateItem/DnItems三库同码资源</x:v>
      </x:c>
    </x:row>
    <x:row r="437" ht="34" customHeight="1">
      <x:c r="A437" s="347" t="str">
        <x:v>C10-M030</x:v>
      </x:c>
      <x:c r="B437" s="348" t="str">
        <x:v>C10</x:v>
      </x:c>
      <x:c r="C437" s="348" t="str">
        <x:v>王城罗德尔</x:v>
      </x:c>
      <x:c r="D437" s="348" t="str">
        <x:v>XX956</x:v>
      </x:c>
      <x:c r="E437" s="348" t="str">
        <x:v>矿脉听金虫</x:v>
      </x:c>
      <x:c r="F437" s="348" t="str">
        <x:v>普通</x:v>
      </x:c>
      <x:c r="G437" s="348" t="str">
        <x:v>听金矿纹坠</x:v>
      </x:c>
      <x:c r="H437" s="348" t="str">
        <x:v>项链</x:v>
      </x:c>
      <x:c r="I437" s="348" t="str">
        <x:v>项链</x:v>
      </x:c>
      <x:c r="J437" s="348" t="n">
        <x:v>6075</x:v>
      </x:c>
      <x:c r="K437" s="348" t="str">
        <x:v>规划锁定／旧资源待实库回读</x:v>
      </x:c>
      <x:c r="L437" s="349" t="str">
        <x:v>装备资源库星渊龙息·霜翼</x:v>
      </x:c>
    </x:row>
    <x:row r="438" ht="34" customHeight="1">
      <x:c r="A438" s="347" t="str">
        <x:v>C10-M031</x:v>
      </x:c>
      <x:c r="B438" s="348" t="str">
        <x:v>C10</x:v>
      </x:c>
      <x:c r="C438" s="348" t="str">
        <x:v>王城罗德尔</x:v>
      </x:c>
      <x:c r="D438" s="348" t="str">
        <x:v>XX954</x:v>
      </x:c>
      <x:c r="E438" s="348" t="str">
        <x:v>监坑鎏面骑</x:v>
      </x:c>
      <x:c r="F438" s="348" t="str">
        <x:v>稀有</x:v>
      </x:c>
      <x:c r="G438" s="348" t="str">
        <x:v>鎏面监坑腰封</x:v>
      </x:c>
      <x:c r="H438" s="348" t="str">
        <x:v>腰带</x:v>
      </x:c>
      <x:c r="I438" s="348" t="str">
        <x:v>腰带</x:v>
      </x:c>
      <x:c r="J438" s="348" t="n">
        <x:v>6019</x:v>
      </x:c>
      <x:c r="K438" s="348" t="str">
        <x:v>规划锁定／旧资源待实库回读</x:v>
      </x:c>
      <x:c r="L438" s="349" t="str">
        <x:v>装备资源库血月荆棘·王刺</x:v>
      </x:c>
    </x:row>
    <x:row r="439" ht="34" customHeight="1">
      <x:c r="A439" s="347" t="str">
        <x:v>C10-M032</x:v>
      </x:c>
      <x:c r="B439" s="348" t="str">
        <x:v>C10</x:v>
      </x:c>
      <x:c r="C439" s="348" t="str">
        <x:v>王城罗德尔</x:v>
      </x:c>
      <x:c r="D439" s="348" t="str">
        <x:v>XX953</x:v>
      </x:c>
      <x:c r="E439" s="348" t="str">
        <x:v>空炉吐渣鬼</x:v>
      </x:c>
      <x:c r="F439" s="348" t="str">
        <x:v>稀有</x:v>
      </x:c>
      <x:c r="G439" s="348" t="str">
        <x:v>空炉渣火镯</x:v>
      </x:c>
      <x:c r="H439" s="348" t="str">
        <x:v>手镯</x:v>
      </x:c>
      <x:c r="I439" s="348" t="str">
        <x:v>手镯</x:v>
      </x:c>
      <x:c r="J439" s="348" t="n">
        <x:v>6023</x:v>
      </x:c>
      <x:c r="K439" s="348" t="str">
        <x:v>规划锁定／旧资源待实库回读</x:v>
      </x:c>
      <x:c r="L439" s="349" t="str">
        <x:v>装备资源库血月荆棘·灾焰</x:v>
      </x:c>
    </x:row>
    <x:row r="440" ht="34" customHeight="1">
      <x:c r="A440" s="347" t="str">
        <x:v>C10-M033</x:v>
      </x:c>
      <x:c r="B440" s="348" t="str">
        <x:v>C10</x:v>
      </x:c>
      <x:c r="C440" s="348" t="str">
        <x:v>王城罗德尔</x:v>
      </x:c>
      <x:c r="D440" s="348" t="str">
        <x:v>XX957</x:v>
      </x:c>
      <x:c r="E440" s="348" t="str">
        <x:v>黑晶凿梦师</x:v>
      </x:c>
      <x:c r="F440" s="348" t="str">
        <x:v>稀有</x:v>
      </x:c>
      <x:c r="G440" s="348" t="str">
        <x:v>黑晶凿梦戒</x:v>
      </x:c>
      <x:c r="H440" s="348" t="str">
        <x:v>戒指</x:v>
      </x:c>
      <x:c r="I440" s="348" t="str">
        <x:v>戒指</x:v>
      </x:c>
      <x:c r="J440" s="348" t="n">
        <x:v>6069</x:v>
      </x:c>
      <x:c r="K440" s="348" t="str">
        <x:v>规划锁定／旧资源待实库回读</x:v>
      </x:c>
      <x:c r="L440" s="349" t="str">
        <x:v>装备资源库星渊龙息·星晶</x:v>
      </x:c>
    </x:row>
    <x:row r="441" ht="34" customHeight="1">
      <x:c r="A441" s="347" t="str">
        <x:v>C10-M034</x:v>
      </x:c>
      <x:c r="B441" s="348" t="str">
        <x:v>C10</x:v>
      </x:c>
      <x:c r="C441" s="348" t="str">
        <x:v>王城罗德尔</x:v>
      </x:c>
      <x:c r="D441" s="348" t="str">
        <x:v>XX956</x:v>
      </x:c>
      <x:c r="E441" s="348" t="str">
        <x:v>王脉封勘使</x:v>
      </x:c>
      <x:c r="F441" s="348" t="str">
        <x:v>稀有</x:v>
      </x:c>
      <x:c r="G441" s="348" t="str">
        <x:v>封勘金衡章</x:v>
      </x:c>
      <x:c r="H441" s="348" t="str">
        <x:v>勋章</x:v>
      </x:c>
      <x:c r="I441" s="348" t="str">
        <x:v>勋章</x:v>
      </x:c>
      <x:c r="J441" s="348" t="n">
        <x:v>5894</x:v>
      </x:c>
      <x:c r="K441" s="348" t="str">
        <x:v>规划锁定／旧资源待实库回读</x:v>
      </x:c>
      <x:c r="L441" s="349" t="str">
        <x:v>装备资源库黄金圣律·圣徽</x:v>
      </x:c>
    </x:row>
    <x:row r="442" ht="34" customHeight="1">
      <x:c r="A442" s="347" t="str">
        <x:v>C10-M035</x:v>
      </x:c>
      <x:c r="B442" s="348" t="str">
        <x:v>C10</x:v>
      </x:c>
      <x:c r="C442" s="348" t="str">
        <x:v>王城罗德尔</x:v>
      </x:c>
      <x:c r="D442" s="348" t="str">
        <x:v>XX957</x:v>
      </x:c>
      <x:c r="E442" s="348" t="str">
        <x:v>深井百臂掘王</x:v>
      </x:c>
      <x:c r="F442" s="348" t="str">
        <x:v>地图BOSS</x:v>
      </x:c>
      <x:c r="G442" s="348" t="str">
        <x:v>深井百臂灯笠</x:v>
      </x:c>
      <x:c r="H442" s="348" t="str">
        <x:v>斗笠</x:v>
      </x:c>
      <x:c r="I442" s="348" t="str">
        <x:v>面巾（位置13，对应斗笠）</x:v>
      </x:c>
      <x:c r="J442" s="348" t="n">
        <x:v>6995</x:v>
      </x:c>
      <x:c r="K442" s="348" t="str">
        <x:v>预检通过资源／规划锁定／待入库</x:v>
      </x:c>
      <x:c r="L442" s="349" t="str">
        <x:v>StdMode16/位置13；翠焰冥契·冥契</x:v>
      </x:c>
    </x:row>
    <x:row r="443" ht="34" customHeight="1">
      <x:c r="A443" s="347" t="str">
        <x:v>C10-M036</x:v>
      </x:c>
      <x:c r="B443" s="348" t="str">
        <x:v>C10</x:v>
      </x:c>
      <x:c r="C443" s="348" t="str">
        <x:v>王城罗德尔</x:v>
      </x:c>
      <x:c r="D443" s="348" t="str">
        <x:v>XX956</x:v>
      </x:c>
      <x:c r="E443" s="348" t="str">
        <x:v>地脉熔冠巨像</x:v>
      </x:c>
      <x:c r="F443" s="348" t="str">
        <x:v>地图BOSS</x:v>
      </x:c>
      <x:c r="G443" s="348" t="str">
        <x:v>熔冠镇脉巨锤</x:v>
      </x:c>
      <x:c r="H443" s="348" t="str">
        <x:v>武器</x:v>
      </x:c>
      <x:c r="I443" s="348" t="str">
        <x:v>武器</x:v>
      </x:c>
      <x:c r="J443" s="348"/>
      <x:c r="K443" s="348" t="str">
        <x:v>缺武器来源码</x:v>
      </x:c>
      <x:c r="L443" s="349" t="str">
        <x:v>需补同部位Items/StateItem/DnItems三库同码资源</x:v>
      </x:c>
    </x:row>
    <x:row r="444" ht="34" customHeight="1">
      <x:c r="A444" s="347" t="str">
        <x:v>C10-M037</x:v>
      </x:c>
      <x:c r="B444" s="348" t="str">
        <x:v>C10</x:v>
      </x:c>
      <x:c r="C444" s="348" t="str">
        <x:v>王城罗德尔</x:v>
      </x:c>
      <x:c r="D444" s="348" t="str">
        <x:v>XX707</x:v>
      </x:c>
      <x:c r="E444" s="348" t="str">
        <x:v>石棺刮蜡侍</x:v>
      </x:c>
      <x:c r="F444" s="348" t="str">
        <x:v>普通</x:v>
      </x:c>
      <x:c r="G444" s="348" t="str">
        <x:v>刮蜡墓烛匕</x:v>
      </x:c>
      <x:c r="H444" s="348" t="str">
        <x:v>武器</x:v>
      </x:c>
      <x:c r="I444" s="348" t="str">
        <x:v>武器</x:v>
      </x:c>
      <x:c r="J444" s="348"/>
      <x:c r="K444" s="348" t="str">
        <x:v>缺武器来源码</x:v>
      </x:c>
      <x:c r="L444" s="349" t="str">
        <x:v>需补同部位Items/StateItem/DnItems三库同码资源</x:v>
      </x:c>
    </x:row>
    <x:row r="445" ht="34" customHeight="1">
      <x:c r="A445" s="347" t="str">
        <x:v>C10-M038</x:v>
      </x:c>
      <x:c r="B445" s="348" t="str">
        <x:v>C10</x:v>
      </x:c>
      <x:c r="C445" s="348" t="str">
        <x:v>王城罗德尔</x:v>
      </x:c>
      <x:c r="D445" s="348" t="str">
        <x:v>XX707</x:v>
      </x:c>
      <x:c r="E445" s="348" t="str">
        <x:v>眠碑缝尸媪</x:v>
      </x:c>
      <x:c r="F445" s="348" t="str">
        <x:v>普通</x:v>
      </x:c>
      <x:c r="G445" s="348" t="str">
        <x:v>眠碑缝尸衣</x:v>
      </x:c>
      <x:c r="H445" s="348" t="str">
        <x:v>衣服</x:v>
      </x:c>
      <x:c r="I445" s="348" t="str">
        <x:v>男衣服（现行模板的衣服映射）</x:v>
      </x:c>
      <x:c r="J445" s="348"/>
      <x:c r="K445" s="348" t="str">
        <x:v>缺衣服来源码</x:v>
      </x:c>
      <x:c r="L445" s="349" t="str">
        <x:v>需补男衣服StdMode10的三库同码资源；女衣服码未获准合池</x:v>
      </x:c>
    </x:row>
    <x:row r="446" ht="34" customHeight="1">
      <x:c r="A446" s="347" t="str">
        <x:v>C10-M039</x:v>
      </x:c>
      <x:c r="B446" s="348" t="str">
        <x:v>C10</x:v>
      </x:c>
      <x:c r="C446" s="348" t="str">
        <x:v>王城罗德尔</x:v>
      </x:c>
      <x:c r="D446" s="348" t="str">
        <x:v>XX708</x:v>
      </x:c>
      <x:c r="E446" s="348" t="str">
        <x:v>墓王执幡骨卫</x:v>
      </x:c>
      <x:c r="F446" s="348" t="str">
        <x:v>普通</x:v>
      </x:c>
      <x:c r="G446" s="348" t="str">
        <x:v>执幡骨纹盔</x:v>
      </x:c>
      <x:c r="H446" s="348" t="str">
        <x:v>头盔</x:v>
      </x:c>
      <x:c r="I446" s="348" t="str">
        <x:v>头盔</x:v>
      </x:c>
      <x:c r="J446" s="348" t="n">
        <x:v>6103</x:v>
      </x:c>
      <x:c r="K446" s="348" t="str">
        <x:v>规划锁定／旧资源待实库回读</x:v>
      </x:c>
      <x:c r="L446" s="349" t="str">
        <x:v>装备资源库星渊龙息·龙皇</x:v>
      </x:c>
    </x:row>
    <x:row r="447" ht="34" customHeight="1">
      <x:c r="A447" s="347" t="str">
        <x:v>C10-M040</x:v>
      </x:c>
      <x:c r="B447" s="348" t="str">
        <x:v>C10</x:v>
      </x:c>
      <x:c r="C447" s="348" t="str">
        <x:v>王城罗德尔</x:v>
      </x:c>
      <x:c r="D447" s="348" t="str">
        <x:v>XX708</x:v>
      </x:c>
      <x:c r="E447" s="348" t="str">
        <x:v>甬道噤歌蛾</x:v>
      </x:c>
      <x:c r="F447" s="348" t="str">
        <x:v>普通</x:v>
      </x:c>
      <x:c r="G447" s="348" t="str">
        <x:v>噤歌幽绡坠</x:v>
      </x:c>
      <x:c r="H447" s="348" t="str">
        <x:v>项链</x:v>
      </x:c>
      <x:c r="I447" s="348" t="str">
        <x:v>项链</x:v>
      </x:c>
      <x:c r="J447" s="348" t="n">
        <x:v>6084</x:v>
      </x:c>
      <x:c r="K447" s="348" t="str">
        <x:v>规划锁定／旧资源待实库回读</x:v>
      </x:c>
      <x:c r="L447" s="349" t="str">
        <x:v>装备资源库星渊龙息·渊潮</x:v>
      </x:c>
    </x:row>
    <x:row r="448" ht="34" customHeight="1">
      <x:c r="A448" s="347" t="str">
        <x:v>C10-M041</x:v>
      </x:c>
      <x:c r="B448" s="348" t="str">
        <x:v>C10</x:v>
      </x:c>
      <x:c r="C448" s="348" t="str">
        <x:v>王城罗德尔</x:v>
      </x:c>
      <x:c r="D448" s="348" t="str">
        <x:v>XX704</x:v>
      </x:c>
      <x:c r="E448" s="348" t="str">
        <x:v>寝室抱瓮童</x:v>
      </x:c>
      <x:c r="F448" s="348" t="str">
        <x:v>普通</x:v>
      </x:c>
      <x:c r="G448" s="348" t="str">
        <x:v>抱瓮缚灵镯</x:v>
      </x:c>
      <x:c r="H448" s="348" t="str">
        <x:v>手镯</x:v>
      </x:c>
      <x:c r="I448" s="348" t="str">
        <x:v>手镯</x:v>
      </x:c>
      <x:c r="J448" s="348" t="n">
        <x:v>6041</x:v>
      </x:c>
      <x:c r="K448" s="348" t="str">
        <x:v>规划锁定／旧资源待实库回读</x:v>
      </x:c>
      <x:c r="L448" s="349" t="str">
        <x:v>装备资源库血月荆棘·终夜</x:v>
      </x:c>
    </x:row>
    <x:row r="449" ht="34" customHeight="1">
      <x:c r="A449" s="347" t="str">
        <x:v>C10-M042</x:v>
      </x:c>
      <x:c r="B449" s="348" t="str">
        <x:v>C10</x:v>
      </x:c>
      <x:c r="C449" s="348" t="str">
        <x:v>王城罗德尔</x:v>
      </x:c>
      <x:c r="D449" s="348" t="str">
        <x:v>XX704</x:v>
      </x:c>
      <x:c r="E449" s="348" t="str">
        <x:v>枕陵掘指尸</x:v>
      </x:c>
      <x:c r="F449" s="348" t="str">
        <x:v>普通</x:v>
      </x:c>
      <x:c r="G449" s="348" t="str">
        <x:v>枕陵掘痕靴</x:v>
      </x:c>
      <x:c r="H449" s="348" t="str">
        <x:v>鞋子</x:v>
      </x:c>
      <x:c r="I449" s="348" t="str">
        <x:v>鞋子</x:v>
      </x:c>
      <x:c r="J449" s="348" t="n">
        <x:v>6018</x:v>
      </x:c>
      <x:c r="K449" s="348" t="str">
        <x:v>规划锁定／旧资源待实库回读</x:v>
      </x:c>
      <x:c r="L449" s="349" t="str">
        <x:v>装备资源库血月荆棘·王刺</x:v>
      </x:c>
    </x:row>
    <x:row r="450" ht="34" customHeight="1">
      <x:c r="A450" s="347" t="str">
        <x:v>C10-M043</x:v>
      </x:c>
      <x:c r="B450" s="348" t="str">
        <x:v>C10</x:v>
      </x:c>
      <x:c r="C450" s="348" t="str">
        <x:v>王城罗德尔</x:v>
      </x:c>
      <x:c r="D450" s="348" t="str">
        <x:v>XX707</x:v>
      </x:c>
      <x:c r="E450" s="348" t="str">
        <x:v>无烛守丧女</x:v>
      </x:c>
      <x:c r="F450" s="348" t="str">
        <x:v>稀有</x:v>
      </x:c>
      <x:c r="G450" s="348" t="str">
        <x:v>无烛哀誓戒</x:v>
      </x:c>
      <x:c r="H450" s="348" t="str">
        <x:v>戒指</x:v>
      </x:c>
      <x:c r="I450" s="348" t="str">
        <x:v>戒指</x:v>
      </x:c>
      <x:c r="J450" s="348" t="n">
        <x:v>6078</x:v>
      </x:c>
      <x:c r="K450" s="348" t="str">
        <x:v>规划锁定／旧资源待实库回读</x:v>
      </x:c>
      <x:c r="L450" s="349" t="str">
        <x:v>装备资源库星渊龙息·霜翼</x:v>
      </x:c>
    </x:row>
    <x:row r="451" ht="34" customHeight="1">
      <x:c r="A451" s="347" t="str">
        <x:v>C10-M044</x:v>
      </x:c>
      <x:c r="B451" s="348" t="str">
        <x:v>C10</x:v>
      </x:c>
      <x:c r="C451" s="348" t="str">
        <x:v>王城罗德尔</x:v>
      </x:c>
      <x:c r="D451" s="348" t="str">
        <x:v>XX708</x:v>
      </x:c>
      <x:c r="E451" s="348" t="str">
        <x:v>断碑驮棺兽</x:v>
      </x:c>
      <x:c r="F451" s="348" t="str">
        <x:v>稀有</x:v>
      </x:c>
      <x:c r="G451" s="348" t="str">
        <x:v>断碑驮棺带</x:v>
      </x:c>
      <x:c r="H451" s="348" t="str">
        <x:v>腰带</x:v>
      </x:c>
      <x:c r="I451" s="348" t="str">
        <x:v>腰带</x:v>
      </x:c>
      <x:c r="J451" s="348" t="n">
        <x:v>6028</x:v>
      </x:c>
      <x:c r="K451" s="348" t="str">
        <x:v>规划锁定／旧资源待实库回读</x:v>
      </x:c>
      <x:c r="L451" s="349" t="str">
        <x:v>装备资源库血月荆棘·灾焰</x:v>
      </x:c>
    </x:row>
    <x:row r="452" ht="34" customHeight="1">
      <x:c r="A452" s="347" t="str">
        <x:v>C10-M045</x:v>
      </x:c>
      <x:c r="B452" s="348" t="str">
        <x:v>C10</x:v>
      </x:c>
      <x:c r="C452" s="348" t="str">
        <x:v>王城罗德尔</x:v>
      </x:c>
      <x:c r="D452" s="348" t="str">
        <x:v>XX708</x:v>
      </x:c>
      <x:c r="E452" s="348" t="str">
        <x:v>王甬秤罪官</x:v>
      </x:c>
      <x:c r="F452" s="348" t="str">
        <x:v>稀有</x:v>
      </x:c>
      <x:c r="G452" s="348" t="str">
        <x:v>秤罪墓律章</x:v>
      </x:c>
      <x:c r="H452" s="348" t="str">
        <x:v>勋章</x:v>
      </x:c>
      <x:c r="I452" s="348" t="str">
        <x:v>勋章</x:v>
      </x:c>
      <x:c r="J452" s="348" t="n">
        <x:v>5903</x:v>
      </x:c>
      <x:c r="K452" s="348" t="str">
        <x:v>规划锁定／旧资源待实库回读</x:v>
      </x:c>
      <x:c r="L452" s="349" t="str">
        <x:v>装备资源库黄金圣律·璨金</x:v>
      </x:c>
    </x:row>
    <x:row r="453" ht="34" customHeight="1">
      <x:c r="A453" s="347" t="str">
        <x:v>C10-M046</x:v>
      </x:c>
      <x:c r="B453" s="348" t="str">
        <x:v>C10</x:v>
      </x:c>
      <x:c r="C453" s="348" t="str">
        <x:v>王城罗德尔</x:v>
      </x:c>
      <x:c r="D453" s="348" t="str">
        <x:v>XX704</x:v>
      </x:c>
      <x:c r="E453" s="348" t="str">
        <x:v>寝门返魂甲</x:v>
      </x:c>
      <x:c r="F453" s="348" t="str">
        <x:v>稀有</x:v>
      </x:c>
      <x:c r="G453" s="348" t="str">
        <x:v>返魂寝门盾</x:v>
      </x:c>
      <x:c r="H453" s="348" t="str">
        <x:v>盾牌</x:v>
      </x:c>
      <x:c r="I453" s="348" t="str">
        <x:v>盾牌</x:v>
      </x:c>
      <x:c r="J453" s="348" t="n">
        <x:v>6043</x:v>
      </x:c>
      <x:c r="K453" s="348" t="str">
        <x:v>规划锁定／旧资源待实库回读</x:v>
      </x:c>
      <x:c r="L453" s="349" t="str">
        <x:v>装备资源库血月荆棘·终夜</x:v>
      </x:c>
    </x:row>
    <x:row r="454" ht="34" customHeight="1">
      <x:c r="A454" s="347" t="str">
        <x:v>C10-M047</x:v>
      </x:c>
      <x:c r="B454" s="348" t="str">
        <x:v>C10</x:v>
      </x:c>
      <x:c r="C454" s="348" t="str">
        <x:v>王城罗德尔</x:v>
      </x:c>
      <x:c r="D454" s="348" t="str">
        <x:v>XX708</x:v>
      </x:c>
      <x:c r="E454" s="348" t="str">
        <x:v>不葬的甬道王妃</x:v>
      </x:c>
      <x:c r="F454" s="348" t="str">
        <x:v>地图BOSS</x:v>
      </x:c>
      <x:c r="G454" s="348" t="str">
        <x:v>不葬王妃冥笠</x:v>
      </x:c>
      <x:c r="H454" s="348" t="str">
        <x:v>斗笠</x:v>
      </x:c>
      <x:c r="I454" s="348" t="str">
        <x:v>面巾（位置13，对应斗笠）</x:v>
      </x:c>
      <x:c r="J454" s="348" t="n">
        <x:v>7030</x:v>
      </x:c>
      <x:c r="K454" s="348" t="str">
        <x:v>预检通过资源／规划锁定／待入库</x:v>
      </x:c>
      <x:c r="L454" s="349" t="str">
        <x:v>StdMode16/位置13；翠焰冥契·灾厄</x:v>
      </x:c>
    </x:row>
    <x:row r="455" ht="34" customHeight="1">
      <x:c r="A455" s="347" t="str">
        <x:v>C10-M048</x:v>
      </x:c>
      <x:c r="B455" s="348" t="str">
        <x:v>C10</x:v>
      </x:c>
      <x:c r="C455" s="348" t="str">
        <x:v>王城罗德尔</x:v>
      </x:c>
      <x:c r="D455" s="348" t="str">
        <x:v>XX704</x:v>
      </x:c>
      <x:c r="E455" s="348" t="str">
        <x:v>枯寝吞碑王</x:v>
      </x:c>
      <x:c r="F455" s="348" t="str">
        <x:v>地图BOSS</x:v>
      </x:c>
      <x:c r="G455" s="348" t="str">
        <x:v>吞碑枯寝大氅</x:v>
      </x:c>
      <x:c r="H455" s="348" t="str">
        <x:v>衣服</x:v>
      </x:c>
      <x:c r="I455" s="348" t="str">
        <x:v>男衣服（现行模板的衣服映射）</x:v>
      </x:c>
      <x:c r="J455" s="348"/>
      <x:c r="K455" s="348" t="str">
        <x:v>缺衣服来源码</x:v>
      </x:c>
      <x:c r="L455" s="349" t="str">
        <x:v>需补男衣服StdMode10的三库同码资源；女衣服码未获准合池</x:v>
      </x:c>
    </x:row>
    <x:row r="456" ht="34" customHeight="1">
      <x:c r="A456" s="347" t="str">
        <x:v>C10-M049</x:v>
      </x:c>
      <x:c r="B456" s="348" t="str">
        <x:v>C10</x:v>
      </x:c>
      <x:c r="C456" s="348" t="str">
        <x:v>王城罗德尔</x:v>
      </x:c>
      <x:c r="D456" s="348" t="str">
        <x:v>XX371</x:v>
      </x:c>
      <x:c r="E456" s="348" t="str">
        <x:v>日轮扫阶侍</x:v>
      </x:c>
      <x:c r="F456" s="348" t="str">
        <x:v>普通</x:v>
      </x:c>
      <x:c r="G456" s="348" t="str">
        <x:v>扫阶日轮刃</x:v>
      </x:c>
      <x:c r="H456" s="348" t="str">
        <x:v>武器</x:v>
      </x:c>
      <x:c r="I456" s="348" t="str">
        <x:v>武器</x:v>
      </x:c>
      <x:c r="J456" s="348"/>
      <x:c r="K456" s="348" t="str">
        <x:v>缺武器来源码</x:v>
      </x:c>
      <x:c r="L456" s="349" t="str">
        <x:v>需补同部位Items/StateItem/DnItems三库同码资源</x:v>
      </x:c>
    </x:row>
    <x:row r="457" ht="34" customHeight="1">
      <x:c r="A457" s="347" t="str">
        <x:v>C10-M050</x:v>
      </x:c>
      <x:c r="B457" s="348" t="str">
        <x:v>C10</x:v>
      </x:c>
      <x:c r="C457" s="348" t="str">
        <x:v>王城罗德尔</x:v>
      </x:c>
      <x:c r="D457" s="348" t="str">
        <x:v>XX371</x:v>
      </x:c>
      <x:c r="E457" s="348" t="str">
        <x:v>金桂驯狮吏</x:v>
      </x:c>
      <x:c r="F457" s="348" t="str">
        <x:v>普通</x:v>
      </x:c>
      <x:c r="G457" s="348" t="str">
        <x:v>金桂驯狮腕</x:v>
      </x:c>
      <x:c r="H457" s="348" t="str">
        <x:v>手镯</x:v>
      </x:c>
      <x:c r="I457" s="348" t="str">
        <x:v>手镯</x:v>
      </x:c>
      <x:c r="J457" s="348" t="n">
        <x:v>6068</x:v>
      </x:c>
      <x:c r="K457" s="348" t="str">
        <x:v>规划锁定／旧资源待实库回读</x:v>
      </x:c>
      <x:c r="L457" s="349" t="str">
        <x:v>装备资源库星渊龙息·星晶</x:v>
      </x:c>
    </x:row>
    <x:row r="458" ht="34" customHeight="1">
      <x:c r="A458" s="347" t="str">
        <x:v>C10-M051</x:v>
      </x:c>
      <x:c r="B458" s="348" t="str">
        <x:v>C10</x:v>
      </x:c>
      <x:c r="C458" s="348" t="str">
        <x:v>王城罗德尔</x:v>
      </x:c>
      <x:c r="D458" s="348" t="str">
        <x:v>XX372</x:v>
      </x:c>
      <x:c r="E458" s="348" t="str">
        <x:v>垂纱持香女</x:v>
      </x:c>
      <x:c r="F458" s="348" t="str">
        <x:v>普通</x:v>
      </x:c>
      <x:c r="G458" s="348" t="str">
        <x:v>垂纱持香衣</x:v>
      </x:c>
      <x:c r="H458" s="348" t="str">
        <x:v>衣服</x:v>
      </x:c>
      <x:c r="I458" s="348" t="str">
        <x:v>男衣服（现行模板的衣服映射）</x:v>
      </x:c>
      <x:c r="J458" s="348"/>
      <x:c r="K458" s="348" t="str">
        <x:v>缺衣服来源码</x:v>
      </x:c>
      <x:c r="L458" s="349" t="str">
        <x:v>需补男衣服StdMode10的三库同码资源；女衣服码未获准合池</x:v>
      </x:c>
    </x:row>
    <x:row r="459" ht="34" customHeight="1">
      <x:c r="A459" s="347" t="str">
        <x:v>C10-M052</x:v>
      </x:c>
      <x:c r="B459" s="348" t="str">
        <x:v>C10</x:v>
      </x:c>
      <x:c r="C459" s="348" t="str">
        <x:v>王城罗德尔</x:v>
      </x:c>
      <x:c r="D459" s="348" t="str">
        <x:v>XX463</x:v>
      </x:c>
      <x:c r="E459" s="348" t="str">
        <x:v>律烛诵壁僧</x:v>
      </x:c>
      <x:c r="F459" s="348" t="str">
        <x:v>普通</x:v>
      </x:c>
      <x:c r="G459" s="348" t="str">
        <x:v>律烛诵壁冠</x:v>
      </x:c>
      <x:c r="H459" s="348" t="str">
        <x:v>头盔</x:v>
      </x:c>
      <x:c r="I459" s="348" t="str">
        <x:v>头盔</x:v>
      </x:c>
      <x:c r="J459" s="348" t="n">
        <x:v>6112</x:v>
      </x:c>
      <x:c r="K459" s="348" t="str">
        <x:v>规划锁定／旧资源待实库回读</x:v>
      </x:c>
      <x:c r="L459" s="349" t="str">
        <x:v>装备资源库星渊龙息·天陨</x:v>
      </x:c>
    </x:row>
    <x:row r="460" ht="34" customHeight="1">
      <x:c r="A460" s="347" t="str">
        <x:v>C10-M053</x:v>
      </x:c>
      <x:c r="B460" s="348" t="str">
        <x:v>C10</x:v>
      </x:c>
      <x:c r="C460" s="348" t="str">
        <x:v>王城罗德尔</x:v>
      </x:c>
      <x:c r="D460" s="348" t="str">
        <x:v>XX370</x:v>
      </x:c>
      <x:c r="E460" s="348" t="str">
        <x:v>前厅捧剑灵</x:v>
      </x:c>
      <x:c r="F460" s="348" t="str">
        <x:v>普通</x:v>
      </x:c>
      <x:c r="G460" s="348" t="str">
        <x:v>捧剑护座盾</x:v>
      </x:c>
      <x:c r="H460" s="348" t="str">
        <x:v>盾牌</x:v>
      </x:c>
      <x:c r="I460" s="348" t="str">
        <x:v>盾牌</x:v>
      </x:c>
      <x:c r="J460" s="348" t="n">
        <x:v>6070</x:v>
      </x:c>
      <x:c r="K460" s="348" t="str">
        <x:v>规划锁定／旧资源待实库回读</x:v>
      </x:c>
      <x:c r="L460" s="349" t="str">
        <x:v>装备资源库星渊龙息·星晶</x:v>
      </x:c>
    </x:row>
    <x:row r="461" ht="34" customHeight="1">
      <x:c r="A461" s="347" t="str">
        <x:v>C10-M054</x:v>
      </x:c>
      <x:c r="B461" s="348" t="str">
        <x:v>C10</x:v>
      </x:c>
      <x:c r="C461" s="348" t="str">
        <x:v>王城罗德尔</x:v>
      </x:c>
      <x:c r="D461" s="348" t="str">
        <x:v>XX386</x:v>
      </x:c>
      <x:c r="E461" s="348" t="str">
        <x:v>王座拾辉甲</x:v>
      </x:c>
      <x:c r="F461" s="348" t="str">
        <x:v>普通</x:v>
      </x:c>
      <x:c r="G461" s="348" t="str">
        <x:v>拾辉登阶靴</x:v>
      </x:c>
      <x:c r="H461" s="348" t="str">
        <x:v>鞋子</x:v>
      </x:c>
      <x:c r="I461" s="348" t="str">
        <x:v>鞋子</x:v>
      </x:c>
      <x:c r="J461" s="348" t="n">
        <x:v>6036</x:v>
      </x:c>
      <x:c r="K461" s="348" t="str">
        <x:v>规划锁定／旧资源待实库回读</x:v>
      </x:c>
      <x:c r="L461" s="349" t="str">
        <x:v>装备资源库血月荆棘·弑神</x:v>
      </x:c>
    </x:row>
    <x:row r="462" ht="34" customHeight="1">
      <x:c r="A462" s="347" t="str">
        <x:v>C10-M055</x:v>
      </x:c>
      <x:c r="B462" s="348" t="str">
        <x:v>C10</x:v>
      </x:c>
      <x:c r="C462" s="348" t="str">
        <x:v>王城罗德尔</x:v>
      </x:c>
      <x:c r="D462" s="348" t="str">
        <x:v>XX371</x:v>
      </x:c>
      <x:c r="E462" s="348" t="str">
        <x:v>外庭熔桂狮</x:v>
      </x:c>
      <x:c r="F462" s="348" t="str">
        <x:v>稀有</x:v>
      </x:c>
      <x:c r="G462" s="348" t="str">
        <x:v>熔桂狮鬃坠</x:v>
      </x:c>
      <x:c r="H462" s="348" t="str">
        <x:v>项链</x:v>
      </x:c>
      <x:c r="I462" s="348" t="str">
        <x:v>项链</x:v>
      </x:c>
      <x:c r="J462" s="348" t="n">
        <x:v>6102</x:v>
      </x:c>
      <x:c r="K462" s="348" t="str">
        <x:v>规划锁定／旧资源待实库回读</x:v>
      </x:c>
      <x:c r="L462" s="349" t="str">
        <x:v>装备资源库星渊龙息·龙皇</x:v>
      </x:c>
    </x:row>
    <x:row r="463" ht="34" customHeight="1">
      <x:c r="A463" s="347" t="str">
        <x:v>C10-M056</x:v>
      </x:c>
      <x:c r="B463" s="348" t="str">
        <x:v>C10</x:v>
      </x:c>
      <x:c r="C463" s="348" t="str">
        <x:v>王城罗德尔</x:v>
      </x:c>
      <x:c r="D463" s="348" t="str">
        <x:v>XX372</x:v>
      </x:c>
      <x:c r="E463" s="348" t="str">
        <x:v>内庭七帷掌仪</x:v>
      </x:c>
      <x:c r="F463" s="348" t="str">
        <x:v>稀有</x:v>
      </x:c>
      <x:c r="G463" s="348" t="str">
        <x:v>七帷掌仪腰封</x:v>
      </x:c>
      <x:c r="H463" s="348" t="str">
        <x:v>腰带</x:v>
      </x:c>
      <x:c r="I463" s="348" t="str">
        <x:v>腰带</x:v>
      </x:c>
      <x:c r="J463" s="348" t="n">
        <x:v>6037</x:v>
      </x:c>
      <x:c r="K463" s="348" t="str">
        <x:v>规划锁定／旧资源待实库回读</x:v>
      </x:c>
      <x:c r="L463" s="349" t="str">
        <x:v>装备资源库血月荆棘·弑神</x:v>
      </x:c>
    </x:row>
    <x:row r="464" ht="34" customHeight="1">
      <x:c r="A464" s="347" t="str">
        <x:v>C10-M057</x:v>
      </x:c>
      <x:c r="B464" s="348" t="str">
        <x:v>C10</x:v>
      </x:c>
      <x:c r="C464" s="348" t="str">
        <x:v>王城罗德尔</x:v>
      </x:c>
      <x:c r="D464" s="348" t="str">
        <x:v>XX463</x:v>
      </x:c>
      <x:c r="E464" s="348" t="str">
        <x:v>深殿缄律书记</x:v>
      </x:c>
      <x:c r="F464" s="348" t="str">
        <x:v>稀有</x:v>
      </x:c>
      <x:c r="G464" s="348" t="str">
        <x:v>缄律书记戒</x:v>
      </x:c>
      <x:c r="H464" s="348" t="str">
        <x:v>戒指</x:v>
      </x:c>
      <x:c r="I464" s="348" t="str">
        <x:v>戒指</x:v>
      </x:c>
      <x:c r="J464" s="348" t="n">
        <x:v>6087</x:v>
      </x:c>
      <x:c r="K464" s="348" t="str">
        <x:v>规划锁定／旧资源待实库回读</x:v>
      </x:c>
      <x:c r="L464" s="349" t="str">
        <x:v>装备资源库星渊龙息·渊潮</x:v>
      </x:c>
    </x:row>
    <x:row r="465" ht="34" customHeight="1">
      <x:c r="A465" s="347" t="str">
        <x:v>C10-M058</x:v>
      </x:c>
      <x:c r="B465" s="348" t="str">
        <x:v>C10</x:v>
      </x:c>
      <x:c r="C465" s="348" t="str">
        <x:v>王城罗德尔</x:v>
      </x:c>
      <x:c r="D465" s="348" t="str">
        <x:v>XX370</x:v>
      </x:c>
      <x:c r="E465" s="348" t="str">
        <x:v>前厅无声执冠官</x:v>
      </x:c>
      <x:c r="F465" s="348" t="str">
        <x:v>稀有</x:v>
      </x:c>
      <x:c r="G465" s="348" t="str">
        <x:v>无声执冠勋章</x:v>
      </x:c>
      <x:c r="H465" s="348" t="str">
        <x:v>勋章</x:v>
      </x:c>
      <x:c r="I465" s="348" t="str">
        <x:v>勋章</x:v>
      </x:c>
      <x:c r="J465" s="348" t="n">
        <x:v>5912</x:v>
      </x:c>
      <x:c r="K465" s="348" t="str">
        <x:v>规划锁定／旧资源待实库回读</x:v>
      </x:c>
      <x:c r="L465" s="349" t="str">
        <x:v>装备资源库黄金圣律·蓝辉</x:v>
      </x:c>
    </x:row>
    <x:row r="466" ht="34" customHeight="1">
      <x:c r="A466" s="347" t="str">
        <x:v>C10-M059</x:v>
      </x:c>
      <x:c r="B466" s="348" t="str">
        <x:v>C10</x:v>
      </x:c>
      <x:c r="C466" s="348" t="str">
        <x:v>王城罗德尔</x:v>
      </x:c>
      <x:c r="D466" s="348" t="str">
        <x:v>XX370</x:v>
      </x:c>
      <x:c r="E466" s="348" t="str">
        <x:v>碎日门的黄金禁卫</x:v>
      </x:c>
      <x:c r="F466" s="348" t="str">
        <x:v>地图BOSS</x:v>
      </x:c>
      <x:c r="G466" s="348" t="str">
        <x:v>碎日禁卫斗笠</x:v>
      </x:c>
      <x:c r="H466" s="348" t="str">
        <x:v>斗笠</x:v>
      </x:c>
      <x:c r="I466" s="348" t="str">
        <x:v>面巾（位置13，对应斗笠）</x:v>
      </x:c>
      <x:c r="J466" s="348" t="n">
        <x:v>7065</x:v>
      </x:c>
      <x:c r="K466" s="348" t="str">
        <x:v>预检通过资源／规划锁定／待入库</x:v>
      </x:c>
      <x:c r="L466" s="349" t="str">
        <x:v>StdMode16/位置13；翠焰冥契·永夜</x:v>
      </x:c>
    </x:row>
    <x:row r="467" ht="34" customHeight="1">
      <x:c r="A467" s="347" t="str">
        <x:v>C10-M060</x:v>
      </x:c>
      <x:c r="B467" s="348" t="str">
        <x:v>C10</x:v>
      </x:c>
      <x:c r="C467" s="348" t="str">
        <x:v>王城罗德尔</x:v>
      </x:c>
      <x:c r="D467" s="348" t="str">
        <x:v>XX386</x:v>
      </x:c>
      <x:c r="E467" s="348" t="str">
        <x:v>永辉帷后的空王</x:v>
      </x:c>
      <x:c r="F467" s="348" t="str">
        <x:v>地图BOSS</x:v>
      </x:c>
      <x:c r="G467" s="348" t="str">
        <x:v>永辉空王礼服</x:v>
      </x:c>
      <x:c r="H467" s="348" t="str">
        <x:v>衣服</x:v>
      </x:c>
      <x:c r="I467" s="348" t="str">
        <x:v>男衣服（现行模板的衣服映射）</x:v>
      </x:c>
      <x:c r="J467" s="348"/>
      <x:c r="K467" s="348" t="str">
        <x:v>缺衣服来源码</x:v>
      </x:c>
      <x:c r="L467" s="349" t="str">
        <x:v>需补男衣服StdMode10的三库同码资源；女衣服码未获准合池</x:v>
      </x:c>
    </x:row>
    <x:row r="468" ht="34" customHeight="1">
      <x:c r="A468" s="350" t="str">
        <x:v>C10-M061</x:v>
      </x:c>
      <x:c r="B468" s="351" t="str">
        <x:v>C10</x:v>
      </x:c>
      <x:c r="C468" s="351" t="str">
        <x:v>王城罗德尔</x:v>
      </x:c>
      <x:c r="D468" s="351" t="str">
        <x:v>XX386</x:v>
      </x:c>
      <x:c r="E468" s="351" t="str">
        <x:v>万冠终审者·萨洛恩</x:v>
      </x:c>
      <x:c r="F468" s="351" t="str">
        <x:v>守关BOSS</x:v>
      </x:c>
      <x:c r="G468" s="351" t="str">
        <x:v>万冠终律圣刃</x:v>
      </x:c>
      <x:c r="H468" s="351" t="str">
        <x:v>武器</x:v>
      </x:c>
      <x:c r="I468" s="351" t="str">
        <x:v>武器</x:v>
      </x:c>
      <x:c r="J468" s="351" t="n">
        <x:v>7061</x:v>
      </x:c>
      <x:c r="K468" s="351" t="str">
        <x:v>预检通过资源／规划锁定／待入库</x:v>
      </x:c>
      <x:c r="L468" s="352" t="str">
        <x:v>装备资源库翠焰冥契·永夜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819b077cefda4d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14" hidden="0" customWidth="1"/>
    <x:col min="4" max="4" width="14" hidden="0" customWidth="1"/>
    <x:col min="5" max="5" width="14" hidden="0" customWidth="1"/>
    <x:col min="6" max="6" width="16" hidden="0" customWidth="1"/>
    <x:col min="7" max="7" width="16" hidden="0" customWidth="1"/>
    <x:col min="8" max="8" width="20" hidden="0" customWidth="1"/>
  </x:cols>
  <x:sheetData>
    <x:row r="1" ht="30" customHeight="1">
      <x:c r="A1" s="361" t="str">
        <x:v>第3—10大陆装备来源码缺口</x:v>
      </x:c>
      <x:c r="B1" s="361" t="str">
        <x:v>第3—10大陆装备来源码缺口</x:v>
      </x:c>
      <x:c r="C1" s="361" t="str">
        <x:v>第3—10大陆装备来源码缺口</x:v>
      </x:c>
      <x:c r="D1" s="361" t="str">
        <x:v>第3—10大陆装备来源码缺口</x:v>
      </x:c>
      <x:c r="E1" s="361" t="str">
        <x:v>第3—10大陆装备来源码缺口</x:v>
      </x:c>
      <x:c r="F1" s="361" t="str">
        <x:v>第3—10大陆装备来源码缺口</x:v>
      </x:c>
      <x:c r="G1" s="361" t="str">
        <x:v>第3—10大陆装备来源码缺口</x:v>
      </x:c>
      <x:c r="H1" s="361" t="str">
        <x:v>第3—10大陆装备来源码缺口</x:v>
      </x:c>
    </x:row>
    <x:row r="2" ht="38" customHeight="1">
      <x:c r="A2" s="365" t="str">
        <x:v>按部位严格匹配；其他部位盈余不得代替武器、衣服或斗笠。</x:v>
      </x:c>
      <x:c r="B2" s="365" t="str">
        <x:v>按部位严格匹配；其他部位盈余不得代替武器、衣服或斗笠。</x:v>
      </x:c>
      <x:c r="C2" s="365" t="str">
        <x:v>按部位严格匹配；其他部位盈余不得代替武器、衣服或斗笠。</x:v>
      </x:c>
      <x:c r="D2" s="365" t="str">
        <x:v>按部位严格匹配；其他部位盈余不得代替武器、衣服或斗笠。</x:v>
      </x:c>
      <x:c r="E2" s="365" t="str">
        <x:v>按部位严格匹配；其他部位盈余不得代替武器、衣服或斗笠。</x:v>
      </x:c>
      <x:c r="F2" s="365" t="str">
        <x:v>按部位严格匹配；其他部位盈余不得代替武器、衣服或斗笠。</x:v>
      </x:c>
      <x:c r="G2" s="365" t="str">
        <x:v>按部位严格匹配；其他部位盈余不得代替武器、衣服或斗笠。</x:v>
      </x:c>
      <x:c r="H2" s="365" t="str">
        <x:v>按部位严格匹配；其他部位盈余不得代替武器、衣服或斗笠。</x:v>
      </x:c>
    </x:row>
    <x:row r="4" ht="30" customHeight="1">
      <x:c r="A4" s="371" t="str">
        <x:v>概念部位</x:v>
      </x:c>
      <x:c r="B4" s="371" t="str">
        <x:v>资源库部位</x:v>
      </x:c>
      <x:c r="C4" s="371" t="str">
        <x:v>需求件数</x:v>
      </x:c>
      <x:c r="D4" s="371" t="str">
        <x:v>账面可用</x:v>
      </x:c>
      <x:c r="E4" s="371" t="str">
        <x:v>已分配</x:v>
      </x:c>
      <x:c r="F4" s="371" t="str">
        <x:v>待分配件数</x:v>
      </x:c>
      <x:c r="G4" s="371" t="str">
        <x:v>需补来源码</x:v>
      </x:c>
      <x:c r="H4" s="371" t="str">
        <x:v>处理状态</x:v>
      </x:c>
    </x:row>
    <x:row r="5" ht="30" customHeight="1">
      <x:c r="A5" s="344" t="str">
        <x:v>项链</x:v>
      </x:c>
      <x:c r="B5" s="345" t="str">
        <x:v>项链</x:v>
      </x:c>
      <x:c r="C5" s="345" t="n">
        <x:v>39</x:v>
      </x:c>
      <x:c r="D5" s="345" t="n">
        <x:v>46</x:v>
      </x:c>
      <x:c r="E5" s="345" t="n">
        <x:v>39</x:v>
      </x:c>
      <x:c r="F5" s="345" t="n">
        <x:v>0</x:v>
      </x:c>
      <x:c r="G5" s="345" t="n">
        <x:v>0</x:v>
      </x:c>
      <x:c r="H5" s="346" t="str">
        <x:v>已覆盖</x:v>
      </x:c>
    </x:row>
    <x:row r="6" ht="30" customHeight="1">
      <x:c r="A6" s="347" t="str">
        <x:v>手镯</x:v>
      </x:c>
      <x:c r="B6" s="348" t="str">
        <x:v>手镯</x:v>
      </x:c>
      <x:c r="C6" s="348" t="n">
        <x:v>38</x:v>
      </x:c>
      <x:c r="D6" s="348" t="n">
        <x:v>47</x:v>
      </x:c>
      <x:c r="E6" s="348" t="n">
        <x:v>38</x:v>
      </x:c>
      <x:c r="F6" s="348" t="n">
        <x:v>0</x:v>
      </x:c>
      <x:c r="G6" s="348" t="n">
        <x:v>0</x:v>
      </x:c>
      <x:c r="H6" s="349" t="str">
        <x:v>已覆盖</x:v>
      </x:c>
    </x:row>
    <x:row r="7" ht="30" customHeight="1">
      <x:c r="A7" s="347" t="str">
        <x:v>鞋子</x:v>
      </x:c>
      <x:c r="B7" s="348" t="str">
        <x:v>鞋子</x:v>
      </x:c>
      <x:c r="C7" s="348" t="n">
        <x:v>36</x:v>
      </x:c>
      <x:c r="D7" s="348" t="n">
        <x:v>49</x:v>
      </x:c>
      <x:c r="E7" s="348" t="n">
        <x:v>36</x:v>
      </x:c>
      <x:c r="F7" s="348" t="n">
        <x:v>0</x:v>
      </x:c>
      <x:c r="G7" s="348" t="n">
        <x:v>0</x:v>
      </x:c>
      <x:c r="H7" s="349" t="str">
        <x:v>已覆盖</x:v>
      </x:c>
    </x:row>
    <x:row r="8" ht="30" customHeight="1">
      <x:c r="A8" s="347" t="str">
        <x:v>戒指</x:v>
      </x:c>
      <x:c r="B8" s="348" t="str">
        <x:v>戒指</x:v>
      </x:c>
      <x:c r="C8" s="348" t="n">
        <x:v>39</x:v>
      </x:c>
      <x:c r="D8" s="348" t="n">
        <x:v>46</x:v>
      </x:c>
      <x:c r="E8" s="348" t="n">
        <x:v>39</x:v>
      </x:c>
      <x:c r="F8" s="348" t="n">
        <x:v>0</x:v>
      </x:c>
      <x:c r="G8" s="348" t="n">
        <x:v>0</x:v>
      </x:c>
      <x:c r="H8" s="349" t="str">
        <x:v>已覆盖</x:v>
      </x:c>
    </x:row>
    <x:row r="9" ht="30" customHeight="1">
      <x:c r="A9" s="347" t="str">
        <x:v>腰带</x:v>
      </x:c>
      <x:c r="B9" s="348" t="str">
        <x:v>腰带</x:v>
      </x:c>
      <x:c r="C9" s="348" t="n">
        <x:v>35</x:v>
      </x:c>
      <x:c r="D9" s="348" t="n">
        <x:v>49</x:v>
      </x:c>
      <x:c r="E9" s="348" t="n">
        <x:v>35</x:v>
      </x:c>
      <x:c r="F9" s="348" t="n">
        <x:v>0</x:v>
      </x:c>
      <x:c r="G9" s="348" t="n">
        <x:v>0</x:v>
      </x:c>
      <x:c r="H9" s="349" t="str">
        <x:v>已覆盖</x:v>
      </x:c>
    </x:row>
    <x:row r="10" ht="30" customHeight="1">
      <x:c r="A10" s="347" t="str">
        <x:v>头盔</x:v>
      </x:c>
      <x:c r="B10" s="348" t="str">
        <x:v>头盔</x:v>
      </x:c>
      <x:c r="C10" s="348" t="n">
        <x:v>40</x:v>
      </x:c>
      <x:c r="D10" s="348" t="n">
        <x:v>46</x:v>
      </x:c>
      <x:c r="E10" s="348" t="n">
        <x:v>40</x:v>
      </x:c>
      <x:c r="F10" s="348" t="n">
        <x:v>0</x:v>
      </x:c>
      <x:c r="G10" s="348" t="n">
        <x:v>0</x:v>
      </x:c>
      <x:c r="H10" s="349" t="str">
        <x:v>已覆盖</x:v>
      </x:c>
    </x:row>
    <x:row r="11" ht="30" customHeight="1">
      <x:c r="A11" s="347" t="str">
        <x:v>勋章</x:v>
      </x:c>
      <x:c r="B11" s="348" t="str">
        <x:v>勋章</x:v>
      </x:c>
      <x:c r="C11" s="348" t="n">
        <x:v>23</x:v>
      </x:c>
      <x:c r="D11" s="348" t="n">
        <x:v>47</x:v>
      </x:c>
      <x:c r="E11" s="348" t="n">
        <x:v>23</x:v>
      </x:c>
      <x:c r="F11" s="348" t="n">
        <x:v>0</x:v>
      </x:c>
      <x:c r="G11" s="348" t="n">
        <x:v>0</x:v>
      </x:c>
      <x:c r="H11" s="349" t="str">
        <x:v>已覆盖</x:v>
      </x:c>
    </x:row>
    <x:row r="12" ht="30" customHeight="1">
      <x:c r="A12" s="347" t="str">
        <x:v>盾牌</x:v>
      </x:c>
      <x:c r="B12" s="348" t="str">
        <x:v>盾牌</x:v>
      </x:c>
      <x:c r="C12" s="348" t="n">
        <x:v>36</x:v>
      </x:c>
      <x:c r="D12" s="348" t="n">
        <x:v>46</x:v>
      </x:c>
      <x:c r="E12" s="348" t="n">
        <x:v>36</x:v>
      </x:c>
      <x:c r="F12" s="348" t="n">
        <x:v>0</x:v>
      </x:c>
      <x:c r="G12" s="348" t="n">
        <x:v>0</x:v>
      </x:c>
      <x:c r="H12" s="349" t="str">
        <x:v>已覆盖</x:v>
      </x:c>
    </x:row>
    <x:row r="13" ht="30" customHeight="1">
      <x:c r="A13" s="347" t="str">
        <x:v>武器</x:v>
      </x:c>
      <x:c r="B13" s="348" t="str">
        <x:v>武器</x:v>
      </x:c>
      <x:c r="C13" s="348" t="n">
        <x:v>79</x:v>
      </x:c>
      <x:c r="D13" s="348" t="n">
        <x:v>19</x:v>
      </x:c>
      <x:c r="E13" s="348" t="n">
        <x:v>19</x:v>
      </x:c>
      <x:c r="F13" s="348" t="n">
        <x:v>60</x:v>
      </x:c>
      <x:c r="G13" s="348" t="n">
        <x:v>60</x:v>
      </x:c>
      <x:c r="H13" s="349" t="str">
        <x:v>需用户补码</x:v>
      </x:c>
    </x:row>
    <x:row r="14" ht="30" customHeight="1">
      <x:c r="A14" s="347" t="str">
        <x:v>衣服</x:v>
      </x:c>
      <x:c r="B14" s="348" t="str">
        <x:v>男衣服（StdMode10）</x:v>
      </x:c>
      <x:c r="C14" s="348" t="n">
        <x:v>70</x:v>
      </x:c>
      <x:c r="D14" s="348" t="n">
        <x:v>19</x:v>
      </x:c>
      <x:c r="E14" s="348" t="n">
        <x:v>19</x:v>
      </x:c>
      <x:c r="F14" s="348" t="n">
        <x:v>51</x:v>
      </x:c>
      <x:c r="G14" s="348" t="n">
        <x:v>51</x:v>
      </x:c>
      <x:c r="H14" s="349" t="str">
        <x:v>需用户补码</x:v>
      </x:c>
    </x:row>
    <x:row r="15" ht="30" customHeight="1">
      <x:c r="A15" s="350" t="str">
        <x:v>斗笠</x:v>
      </x:c>
      <x:c r="B15" s="351" t="str">
        <x:v>面巾（StdMode16/位置13）</x:v>
      </x:c>
      <x:c r="C15" s="351" t="n">
        <x:v>29</x:v>
      </x:c>
      <x:c r="D15" s="351" t="n">
        <x:v>18</x:v>
      </x:c>
      <x:c r="E15" s="351" t="n">
        <x:v>18</x:v>
      </x:c>
      <x:c r="F15" s="351" t="n">
        <x:v>11</x:v>
      </x:c>
      <x:c r="G15" s="351" t="n">
        <x:v>11</x:v>
      </x:c>
      <x:c r="H15" s="352" t="str">
        <x:v>需用户补码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b571bcda0834cb9"/>
  </x:tableParts>
</x:worksheet>
</file>